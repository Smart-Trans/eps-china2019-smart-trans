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Programming\EPS\Github Push\China\eps4.0-china-smart-trans\InputData\dist-heat\BFoHPbF\"/>
    </mc:Choice>
  </mc:AlternateContent>
  <xr:revisionPtr revIDLastSave="0" documentId="13_ncr:1_{FCE856AD-288D-483B-921C-B755E0428692}" xr6:coauthVersionLast="47" xr6:coauthVersionMax="47" xr10:uidLastSave="{00000000-0000-0000-0000-000000000000}"/>
  <bookViews>
    <workbookView xWindow="6975" yWindow="2280" windowWidth="21600" windowHeight="11385" tabRatio="665" activeTab="3" xr2:uid="{00000000-000D-0000-FFFF-FFFF00000000}"/>
  </bookViews>
  <sheets>
    <sheet name="About" sheetId="1" r:id="rId1"/>
    <sheet name="Region Selector" sheetId="7" r:id="rId2"/>
    <sheet name=" Energy Balance" sheetId="6" r:id="rId3"/>
    <sheet name="Calculation" sheetId="8" r:id="rId4"/>
    <sheet name="Fuel Category and Heat Rate" sheetId="4" r:id="rId5"/>
    <sheet name="BFoHPbF" sheetId="3" r:id="rId6"/>
  </sheets>
  <definedNames>
    <definedName name="_xlnm._FilterDatabase" localSheetId="2" hidden="1">' Energy Balance'!$A$1:$I$1</definedName>
    <definedName name="_xlnm._FilterDatabase" localSheetId="3" hidden="1">Calculation!$A$4:$H$4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8" l="1"/>
  <c r="C38" i="8"/>
  <c r="A2" i="8"/>
  <c r="D7" i="8" s="1"/>
  <c r="C14" i="8"/>
  <c r="C21" i="8"/>
  <c r="C22" i="8"/>
  <c r="C7" i="8"/>
  <c r="C23" i="8"/>
  <c r="C8" i="8"/>
  <c r="C32" i="8"/>
  <c r="C33" i="8"/>
  <c r="C24" i="8"/>
  <c r="C6" i="8"/>
  <c r="C15" i="8"/>
  <c r="C9" i="8"/>
  <c r="C34" i="8"/>
  <c r="C16" i="8"/>
  <c r="C17" i="8"/>
  <c r="C25" i="8"/>
  <c r="C18" i="8"/>
  <c r="C26" i="8"/>
  <c r="C19" i="8"/>
  <c r="C20" i="8"/>
  <c r="C29" i="8"/>
  <c r="C10" i="8"/>
  <c r="C11" i="8"/>
  <c r="C27" i="8"/>
  <c r="C30" i="8"/>
  <c r="C12" i="8"/>
  <c r="C13" i="8"/>
  <c r="C28" i="8"/>
  <c r="C31" i="8"/>
  <c r="E31" i="8" l="1"/>
  <c r="E27" i="8"/>
  <c r="E23" i="8"/>
  <c r="E19" i="8"/>
  <c r="E15" i="8"/>
  <c r="E11" i="8"/>
  <c r="E7" i="8"/>
  <c r="H34" i="8"/>
  <c r="H30" i="8"/>
  <c r="H26" i="8"/>
  <c r="H22" i="8"/>
  <c r="H18" i="8"/>
  <c r="H14" i="8"/>
  <c r="P5" i="8" s="1"/>
  <c r="H10" i="8"/>
  <c r="H6" i="8"/>
  <c r="P8" i="8" s="1"/>
  <c r="G22" i="8"/>
  <c r="G6" i="8"/>
  <c r="F34" i="8"/>
  <c r="F30" i="8"/>
  <c r="F26" i="8"/>
  <c r="F22" i="8"/>
  <c r="F18" i="8"/>
  <c r="F14" i="8"/>
  <c r="F10" i="8"/>
  <c r="F6" i="8"/>
  <c r="G34" i="8"/>
  <c r="G30" i="8"/>
  <c r="G14" i="8"/>
  <c r="O5" i="8" s="1"/>
  <c r="E30" i="8"/>
  <c r="E22" i="8"/>
  <c r="E10" i="8"/>
  <c r="M6" i="8" s="1"/>
  <c r="E6" i="8"/>
  <c r="M8" i="8" s="1"/>
  <c r="H33" i="8"/>
  <c r="H29" i="8"/>
  <c r="P7" i="8" s="1"/>
  <c r="H25" i="8"/>
  <c r="H21" i="8"/>
  <c r="H17" i="8"/>
  <c r="H13" i="8"/>
  <c r="H9" i="8"/>
  <c r="G26" i="8"/>
  <c r="G10" i="8"/>
  <c r="E34" i="8"/>
  <c r="E18" i="8"/>
  <c r="G33" i="8"/>
  <c r="G25" i="8"/>
  <c r="G21" i="8"/>
  <c r="G13" i="8"/>
  <c r="O11" i="8" s="1"/>
  <c r="F29" i="8"/>
  <c r="N7" i="8" s="1"/>
  <c r="F21" i="8"/>
  <c r="F13" i="8"/>
  <c r="H38" i="8"/>
  <c r="E33" i="8"/>
  <c r="E25" i="8"/>
  <c r="E17" i="8"/>
  <c r="E9" i="8"/>
  <c r="G18" i="8"/>
  <c r="E26" i="8"/>
  <c r="E14" i="8"/>
  <c r="G29" i="8"/>
  <c r="G17" i="8"/>
  <c r="O12" i="8" s="1"/>
  <c r="G9" i="8"/>
  <c r="F33" i="8"/>
  <c r="F25" i="8"/>
  <c r="F17" i="8"/>
  <c r="F9" i="8"/>
  <c r="E29" i="8"/>
  <c r="E21" i="8"/>
  <c r="E13" i="8"/>
  <c r="G38" i="8"/>
  <c r="H32" i="8"/>
  <c r="H28" i="8"/>
  <c r="H24" i="8"/>
  <c r="H20" i="8"/>
  <c r="H16" i="8"/>
  <c r="H12" i="8"/>
  <c r="H8" i="8"/>
  <c r="F38" i="8"/>
  <c r="G20" i="8"/>
  <c r="G8" i="8"/>
  <c r="F28" i="8"/>
  <c r="F20" i="8"/>
  <c r="F12" i="8"/>
  <c r="H36" i="8"/>
  <c r="P29" i="8" s="1"/>
  <c r="E32" i="8"/>
  <c r="E24" i="8"/>
  <c r="E16" i="8"/>
  <c r="E8" i="8"/>
  <c r="G36" i="8"/>
  <c r="H31" i="8"/>
  <c r="H27" i="8"/>
  <c r="H19" i="8"/>
  <c r="H15" i="8"/>
  <c r="P12" i="8" s="1"/>
  <c r="H11" i="8"/>
  <c r="F36" i="8"/>
  <c r="G31" i="8"/>
  <c r="O9" i="8" s="1"/>
  <c r="G27" i="8"/>
  <c r="G23" i="8"/>
  <c r="G19" i="8"/>
  <c r="G15" i="8"/>
  <c r="G11" i="8"/>
  <c r="G7" i="8"/>
  <c r="E36" i="8"/>
  <c r="G32" i="8"/>
  <c r="G28" i="8"/>
  <c r="G24" i="8"/>
  <c r="G16" i="8"/>
  <c r="G12" i="8"/>
  <c r="E38" i="8"/>
  <c r="F32" i="8"/>
  <c r="F24" i="8"/>
  <c r="F16" i="8"/>
  <c r="F8" i="8"/>
  <c r="E28" i="8"/>
  <c r="E20" i="8"/>
  <c r="E12" i="8"/>
  <c r="H23" i="8"/>
  <c r="H7" i="8"/>
  <c r="F31" i="8"/>
  <c r="F27" i="8"/>
  <c r="F23" i="8"/>
  <c r="F19" i="8"/>
  <c r="F15" i="8"/>
  <c r="F11" i="8"/>
  <c r="F7" i="8"/>
  <c r="L10" i="8"/>
  <c r="M10" i="8"/>
  <c r="P9" i="8"/>
  <c r="N10" i="8"/>
  <c r="N5" i="8"/>
  <c r="M9" i="8"/>
  <c r="M5" i="8"/>
  <c r="P14" i="8"/>
  <c r="O8" i="8"/>
  <c r="O14" i="8"/>
  <c r="N8" i="8"/>
  <c r="N14" i="8"/>
  <c r="M14" i="8"/>
  <c r="P11" i="8"/>
  <c r="L14" i="8"/>
  <c r="O7" i="8"/>
  <c r="P13" i="8"/>
  <c r="N11" i="8"/>
  <c r="M11" i="8"/>
  <c r="P10" i="8"/>
  <c r="O10" i="8"/>
  <c r="D38" i="8"/>
  <c r="D21" i="8"/>
  <c r="D36" i="8"/>
  <c r="D20" i="8"/>
  <c r="D22" i="8"/>
  <c r="D6" i="8"/>
  <c r="L8" i="8" s="1"/>
  <c r="D19" i="8"/>
  <c r="D18" i="8"/>
  <c r="D34" i="8"/>
  <c r="D33" i="8"/>
  <c r="D17" i="8"/>
  <c r="D32" i="8"/>
  <c r="D16" i="8"/>
  <c r="D31" i="8"/>
  <c r="D15" i="8"/>
  <c r="L12" i="8" s="1"/>
  <c r="D30" i="8"/>
  <c r="D14" i="8"/>
  <c r="L5" i="8" s="1"/>
  <c r="D29" i="8"/>
  <c r="L7" i="8" s="1"/>
  <c r="D13" i="8"/>
  <c r="L11" i="8" s="1"/>
  <c r="D28" i="8"/>
  <c r="D12" i="8"/>
  <c r="D11" i="8"/>
  <c r="D27" i="8"/>
  <c r="D26" i="8"/>
  <c r="D10" i="8"/>
  <c r="D25" i="8"/>
  <c r="D9" i="8"/>
  <c r="D24" i="8"/>
  <c r="D8" i="8"/>
  <c r="D23" i="8"/>
  <c r="H4962" i="6"/>
  <c r="I4962" i="6"/>
  <c r="H4963" i="6"/>
  <c r="I4963" i="6"/>
  <c r="H4964" i="6"/>
  <c r="I4964" i="6"/>
  <c r="H4965" i="6"/>
  <c r="I4965" i="6"/>
  <c r="H4966" i="6"/>
  <c r="I4966" i="6"/>
  <c r="H4967" i="6"/>
  <c r="I4967" i="6"/>
  <c r="H4968" i="6"/>
  <c r="I4968" i="6"/>
  <c r="H4969" i="6"/>
  <c r="I4969" i="6"/>
  <c r="H4970" i="6"/>
  <c r="I4970" i="6"/>
  <c r="H4971" i="6"/>
  <c r="I4971" i="6"/>
  <c r="H4972" i="6"/>
  <c r="I4972" i="6"/>
  <c r="H4973" i="6"/>
  <c r="I4973" i="6"/>
  <c r="H4974" i="6"/>
  <c r="I4974" i="6"/>
  <c r="H4975" i="6"/>
  <c r="I4975" i="6"/>
  <c r="H4976" i="6"/>
  <c r="I4976" i="6"/>
  <c r="H4977" i="6"/>
  <c r="I4977" i="6"/>
  <c r="H4978" i="6"/>
  <c r="I4978" i="6"/>
  <c r="H4979" i="6"/>
  <c r="I4979" i="6"/>
  <c r="H4980" i="6"/>
  <c r="I4980" i="6"/>
  <c r="H4981" i="6"/>
  <c r="I4981" i="6"/>
  <c r="H4982" i="6"/>
  <c r="I4982" i="6"/>
  <c r="H4983" i="6"/>
  <c r="I4983" i="6"/>
  <c r="H4984" i="6"/>
  <c r="I4984" i="6"/>
  <c r="H4985" i="6"/>
  <c r="I4985" i="6"/>
  <c r="H4986" i="6"/>
  <c r="I4986" i="6"/>
  <c r="H4987" i="6"/>
  <c r="I4987" i="6"/>
  <c r="H4988" i="6"/>
  <c r="I4988" i="6"/>
  <c r="H4989" i="6"/>
  <c r="I4989" i="6"/>
  <c r="H4990" i="6"/>
  <c r="I4990" i="6"/>
  <c r="H4991" i="6"/>
  <c r="I4991" i="6"/>
  <c r="H4992" i="6"/>
  <c r="I4992" i="6"/>
  <c r="H4993" i="6"/>
  <c r="I4993" i="6"/>
  <c r="H4994" i="6"/>
  <c r="I4994" i="6"/>
  <c r="H4995" i="6"/>
  <c r="I4995" i="6"/>
  <c r="H4996" i="6"/>
  <c r="I4996" i="6"/>
  <c r="H4997" i="6"/>
  <c r="I4997" i="6"/>
  <c r="H4998" i="6"/>
  <c r="I4998" i="6"/>
  <c r="H4999" i="6"/>
  <c r="I4999" i="6"/>
  <c r="H5000" i="6"/>
  <c r="I5000" i="6"/>
  <c r="H5001" i="6"/>
  <c r="I5001" i="6"/>
  <c r="H5002" i="6"/>
  <c r="I5002" i="6"/>
  <c r="H5003" i="6"/>
  <c r="I5003" i="6"/>
  <c r="H5004" i="6"/>
  <c r="I5004" i="6"/>
  <c r="H5005" i="6"/>
  <c r="I5005" i="6"/>
  <c r="H5006" i="6"/>
  <c r="I5006" i="6"/>
  <c r="H5007" i="6"/>
  <c r="I5007" i="6"/>
  <c r="H5008" i="6"/>
  <c r="I5008" i="6"/>
  <c r="H5009" i="6"/>
  <c r="I5009" i="6"/>
  <c r="H5010" i="6"/>
  <c r="I5010" i="6"/>
  <c r="H5011" i="6"/>
  <c r="I5011" i="6"/>
  <c r="H5012" i="6"/>
  <c r="I5012" i="6"/>
  <c r="H5013" i="6"/>
  <c r="I5013" i="6"/>
  <c r="H5014" i="6"/>
  <c r="I5014" i="6"/>
  <c r="H5015" i="6"/>
  <c r="I5015" i="6"/>
  <c r="H5016" i="6"/>
  <c r="I5016" i="6"/>
  <c r="H5017" i="6"/>
  <c r="I5017" i="6"/>
  <c r="H5018" i="6"/>
  <c r="I5018" i="6"/>
  <c r="H5019" i="6"/>
  <c r="I5019" i="6"/>
  <c r="H5020" i="6"/>
  <c r="I5020" i="6"/>
  <c r="H5021" i="6"/>
  <c r="I5021" i="6"/>
  <c r="H5022" i="6"/>
  <c r="I5022" i="6"/>
  <c r="H5023" i="6"/>
  <c r="I5023" i="6"/>
  <c r="H5024" i="6"/>
  <c r="I5024" i="6"/>
  <c r="H5025" i="6"/>
  <c r="I5025" i="6"/>
  <c r="H5026" i="6"/>
  <c r="I5026" i="6"/>
  <c r="H5027" i="6"/>
  <c r="I5027" i="6"/>
  <c r="H5028" i="6"/>
  <c r="I5028" i="6"/>
  <c r="H5029" i="6"/>
  <c r="I5029" i="6"/>
  <c r="H5030" i="6"/>
  <c r="I5030" i="6"/>
  <c r="H5031" i="6"/>
  <c r="I5031" i="6"/>
  <c r="H5032" i="6"/>
  <c r="I5032" i="6"/>
  <c r="H5033" i="6"/>
  <c r="I5033" i="6"/>
  <c r="H5034" i="6"/>
  <c r="I5034" i="6"/>
  <c r="H5035" i="6"/>
  <c r="I5035" i="6"/>
  <c r="H5036" i="6"/>
  <c r="I5036" i="6"/>
  <c r="H5037" i="6"/>
  <c r="I5037" i="6"/>
  <c r="H5038" i="6"/>
  <c r="I5038" i="6"/>
  <c r="H5039" i="6"/>
  <c r="I5039" i="6"/>
  <c r="H5040" i="6"/>
  <c r="I5040" i="6"/>
  <c r="H5041" i="6"/>
  <c r="I5041" i="6"/>
  <c r="H5042" i="6"/>
  <c r="I5042" i="6"/>
  <c r="H5043" i="6"/>
  <c r="I5043" i="6"/>
  <c r="H5044" i="6"/>
  <c r="I5044" i="6"/>
  <c r="H5045" i="6"/>
  <c r="I5045" i="6"/>
  <c r="H5046" i="6"/>
  <c r="I5046" i="6"/>
  <c r="H5047" i="6"/>
  <c r="I5047" i="6"/>
  <c r="H5048" i="6"/>
  <c r="I5048" i="6"/>
  <c r="H5049" i="6"/>
  <c r="I5049" i="6"/>
  <c r="H5050" i="6"/>
  <c r="I5050" i="6"/>
  <c r="H5051" i="6"/>
  <c r="I5051" i="6"/>
  <c r="H5052" i="6"/>
  <c r="I5052" i="6"/>
  <c r="H5053" i="6"/>
  <c r="I5053" i="6"/>
  <c r="H5054" i="6"/>
  <c r="I5054" i="6"/>
  <c r="H5055" i="6"/>
  <c r="I5055" i="6"/>
  <c r="H5056" i="6"/>
  <c r="I5056" i="6"/>
  <c r="H5057" i="6"/>
  <c r="I5057" i="6"/>
  <c r="H5058" i="6"/>
  <c r="I5058" i="6"/>
  <c r="H5059" i="6"/>
  <c r="I5059" i="6"/>
  <c r="H5060" i="6"/>
  <c r="I5060" i="6"/>
  <c r="H5061" i="6"/>
  <c r="I5061" i="6"/>
  <c r="H5062" i="6"/>
  <c r="I5062" i="6"/>
  <c r="H5063" i="6"/>
  <c r="I5063" i="6"/>
  <c r="H5064" i="6"/>
  <c r="I5064" i="6"/>
  <c r="H5065" i="6"/>
  <c r="I5065" i="6"/>
  <c r="H5066" i="6"/>
  <c r="I5066" i="6"/>
  <c r="H5067" i="6"/>
  <c r="I5067" i="6"/>
  <c r="H5068" i="6"/>
  <c r="I5068" i="6"/>
  <c r="H5069" i="6"/>
  <c r="I5069" i="6"/>
  <c r="H5070" i="6"/>
  <c r="I5070" i="6"/>
  <c r="H5071" i="6"/>
  <c r="I5071" i="6"/>
  <c r="H5072" i="6"/>
  <c r="I5072" i="6"/>
  <c r="H5073" i="6"/>
  <c r="I5073" i="6"/>
  <c r="H5074" i="6"/>
  <c r="I5074" i="6"/>
  <c r="H5075" i="6"/>
  <c r="I5075" i="6"/>
  <c r="H5076" i="6"/>
  <c r="I5076" i="6"/>
  <c r="H5077" i="6"/>
  <c r="I5077" i="6"/>
  <c r="H5078" i="6"/>
  <c r="I5078" i="6"/>
  <c r="H5079" i="6"/>
  <c r="I5079" i="6"/>
  <c r="H5080" i="6"/>
  <c r="I5080" i="6"/>
  <c r="H5081" i="6"/>
  <c r="I5081" i="6"/>
  <c r="H5082" i="6"/>
  <c r="I5082" i="6"/>
  <c r="H5083" i="6"/>
  <c r="I5083" i="6"/>
  <c r="H5084" i="6"/>
  <c r="I5084" i="6"/>
  <c r="H5085" i="6"/>
  <c r="I5085" i="6"/>
  <c r="H5086" i="6"/>
  <c r="I5086" i="6"/>
  <c r="H5087" i="6"/>
  <c r="I5087" i="6"/>
  <c r="H5088" i="6"/>
  <c r="I5088" i="6"/>
  <c r="H5089" i="6"/>
  <c r="I5089" i="6"/>
  <c r="H5090" i="6"/>
  <c r="I5090" i="6"/>
  <c r="H5091" i="6"/>
  <c r="I5091" i="6"/>
  <c r="H5092" i="6"/>
  <c r="I5092" i="6"/>
  <c r="H5093" i="6"/>
  <c r="I5093" i="6"/>
  <c r="H5094" i="6"/>
  <c r="I5094" i="6"/>
  <c r="H5095" i="6"/>
  <c r="I5095" i="6"/>
  <c r="H5096" i="6"/>
  <c r="I5096" i="6"/>
  <c r="H5097" i="6"/>
  <c r="I5097" i="6"/>
  <c r="H5098" i="6"/>
  <c r="I5098" i="6"/>
  <c r="H5099" i="6"/>
  <c r="I5099" i="6"/>
  <c r="H5100" i="6"/>
  <c r="I5100" i="6"/>
  <c r="H5101" i="6"/>
  <c r="I5101" i="6"/>
  <c r="H5102" i="6"/>
  <c r="I5102" i="6"/>
  <c r="H5103" i="6"/>
  <c r="I5103" i="6"/>
  <c r="H5104" i="6"/>
  <c r="I5104" i="6"/>
  <c r="H5105" i="6"/>
  <c r="I5105" i="6"/>
  <c r="H5106" i="6"/>
  <c r="I5106" i="6"/>
  <c r="H5107" i="6"/>
  <c r="I5107" i="6"/>
  <c r="H5108" i="6"/>
  <c r="I5108" i="6"/>
  <c r="H5109" i="6"/>
  <c r="I5109" i="6"/>
  <c r="H5110" i="6"/>
  <c r="I5110" i="6"/>
  <c r="H5111" i="6"/>
  <c r="I5111" i="6"/>
  <c r="H5112" i="6"/>
  <c r="I5112" i="6"/>
  <c r="H5113" i="6"/>
  <c r="I511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2" i="6"/>
  <c r="N29" i="8" l="1"/>
  <c r="N9" i="8"/>
  <c r="O13" i="8"/>
  <c r="M13" i="8"/>
  <c r="L13" i="8"/>
  <c r="L23" i="8" s="1"/>
  <c r="B8" i="3" s="1"/>
  <c r="N12" i="8"/>
  <c r="N24" i="8" s="1"/>
  <c r="D9" i="3" s="1"/>
  <c r="L9" i="8"/>
  <c r="L6" i="8"/>
  <c r="L20" i="8" s="1"/>
  <c r="B5" i="3" s="1"/>
  <c r="P6" i="8"/>
  <c r="P18" i="8" s="1"/>
  <c r="F3" i="3" s="1"/>
  <c r="N3" i="3" s="1"/>
  <c r="O6" i="8"/>
  <c r="O18" i="8" s="1"/>
  <c r="E3" i="3" s="1"/>
  <c r="N13" i="8"/>
  <c r="M12" i="8"/>
  <c r="M23" i="8" s="1"/>
  <c r="C8" i="3" s="1"/>
  <c r="M7" i="8"/>
  <c r="M26" i="8" s="1"/>
  <c r="C11" i="3" s="1"/>
  <c r="N6" i="8"/>
  <c r="N22" i="8" s="1"/>
  <c r="D7" i="3" s="1"/>
  <c r="P24" i="8"/>
  <c r="F9" i="3" s="1"/>
  <c r="S3" i="3"/>
  <c r="AG3" i="3"/>
  <c r="G3" i="3"/>
  <c r="AF3" i="3"/>
  <c r="O3" i="3"/>
  <c r="AM3" i="3"/>
  <c r="AK3" i="3"/>
  <c r="U3" i="3"/>
  <c r="I3" i="3"/>
  <c r="AC3" i="3"/>
  <c r="R3" i="3"/>
  <c r="K3" i="3"/>
  <c r="AE3" i="3"/>
  <c r="Q3" i="3"/>
  <c r="AN3" i="3"/>
  <c r="AL3" i="3"/>
  <c r="AJ3" i="3"/>
  <c r="AI3" i="3"/>
  <c r="AD3" i="3"/>
  <c r="AB3" i="3"/>
  <c r="L3" i="3"/>
  <c r="H3" i="3"/>
  <c r="P19" i="8"/>
  <c r="F4" i="3" s="1"/>
  <c r="O19" i="8"/>
  <c r="E4" i="3" s="1"/>
  <c r="P23" i="8"/>
  <c r="F8" i="3" s="1"/>
  <c r="M32" i="8"/>
  <c r="P26" i="8"/>
  <c r="F11" i="3" s="1"/>
  <c r="O23" i="8"/>
  <c r="E8" i="3" s="1"/>
  <c r="M20" i="8"/>
  <c r="C5" i="3" s="1"/>
  <c r="P22" i="8"/>
  <c r="F7" i="3" s="1"/>
  <c r="P17" i="8"/>
  <c r="F2" i="3" s="1"/>
  <c r="O29" i="8"/>
  <c r="P21" i="8"/>
  <c r="F6" i="3" s="1"/>
  <c r="N20" i="8"/>
  <c r="D5" i="3" s="1"/>
  <c r="M29" i="8"/>
  <c r="P32" i="8"/>
  <c r="L29" i="8"/>
  <c r="P25" i="8"/>
  <c r="F10" i="3" s="1"/>
  <c r="P20" i="8"/>
  <c r="F5" i="3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2" i="6"/>
  <c r="Z3" i="3" l="1"/>
  <c r="AA3" i="3"/>
  <c r="T3" i="3"/>
  <c r="M17" i="8"/>
  <c r="C2" i="3" s="1"/>
  <c r="N17" i="8"/>
  <c r="D2" i="3" s="1"/>
  <c r="AH3" i="3"/>
  <c r="M24" i="8"/>
  <c r="C9" i="3" s="1"/>
  <c r="M19" i="8"/>
  <c r="C4" i="3" s="1"/>
  <c r="N25" i="8"/>
  <c r="D10" i="3" s="1"/>
  <c r="L24" i="8"/>
  <c r="B9" i="3" s="1"/>
  <c r="L18" i="8"/>
  <c r="B3" i="3" s="1"/>
  <c r="N26" i="8"/>
  <c r="D11" i="3" s="1"/>
  <c r="M21" i="8"/>
  <c r="C6" i="3" s="1"/>
  <c r="L21" i="8"/>
  <c r="B6" i="3" s="1"/>
  <c r="M22" i="8"/>
  <c r="C7" i="3" s="1"/>
  <c r="L22" i="8"/>
  <c r="B7" i="3" s="1"/>
  <c r="L17" i="8"/>
  <c r="B2" i="3" s="1"/>
  <c r="O17" i="8"/>
  <c r="E2" i="3" s="1"/>
  <c r="N32" i="8"/>
  <c r="AP3" i="3"/>
  <c r="AO3" i="3"/>
  <c r="O22" i="8"/>
  <c r="E7" i="3" s="1"/>
  <c r="AR3" i="3"/>
  <c r="AQ3" i="3"/>
  <c r="L25" i="8"/>
  <c r="B10" i="3" s="1"/>
  <c r="L26" i="8"/>
  <c r="B11" i="3" s="1"/>
  <c r="L32" i="8"/>
  <c r="L19" i="8"/>
  <c r="B4" i="3" s="1"/>
  <c r="N23" i="8"/>
  <c r="D8" i="3" s="1"/>
  <c r="N18" i="8"/>
  <c r="D3" i="3" s="1"/>
  <c r="O24" i="8"/>
  <c r="E9" i="3" s="1"/>
  <c r="M3" i="3"/>
  <c r="P3" i="3"/>
  <c r="M25" i="8"/>
  <c r="C10" i="3" s="1"/>
  <c r="N19" i="8"/>
  <c r="D4" i="3" s="1"/>
  <c r="O25" i="8"/>
  <c r="E10" i="3" s="1"/>
  <c r="O20" i="8"/>
  <c r="E5" i="3" s="1"/>
  <c r="O26" i="8"/>
  <c r="E11" i="3" s="1"/>
  <c r="V3" i="3"/>
  <c r="W3" i="3"/>
  <c r="J3" i="3"/>
  <c r="M18" i="8"/>
  <c r="C3" i="3" s="1"/>
  <c r="N21" i="8"/>
  <c r="D6" i="3" s="1"/>
  <c r="O32" i="8"/>
  <c r="X3" i="3"/>
  <c r="Y3" i="3"/>
  <c r="O21" i="8"/>
  <c r="E6" i="3" s="1"/>
  <c r="T6" i="3"/>
  <c r="AP6" i="3"/>
  <c r="AI6" i="3"/>
  <c r="AB6" i="3"/>
  <c r="X6" i="3"/>
  <c r="V6" i="3"/>
  <c r="P6" i="3"/>
  <c r="AH6" i="3"/>
  <c r="S6" i="3"/>
  <c r="N6" i="3"/>
  <c r="L6" i="3"/>
  <c r="J6" i="3"/>
  <c r="H6" i="3"/>
  <c r="R6" i="3"/>
  <c r="AF6" i="3"/>
  <c r="AO6" i="3"/>
  <c r="AM6" i="3"/>
  <c r="AK6" i="3"/>
  <c r="AE6" i="3"/>
  <c r="AC6" i="3"/>
  <c r="AA6" i="3"/>
  <c r="Y6" i="3"/>
  <c r="W6" i="3"/>
  <c r="K6" i="3"/>
  <c r="AJ6" i="3"/>
  <c r="G6" i="3"/>
  <c r="AQ6" i="3"/>
  <c r="U6" i="3"/>
  <c r="O6" i="3"/>
  <c r="I6" i="3"/>
  <c r="AG6" i="3"/>
  <c r="M6" i="3"/>
  <c r="Q6" i="3"/>
  <c r="AR6" i="3"/>
  <c r="AN6" i="3"/>
  <c r="AL6" i="3"/>
  <c r="AD6" i="3"/>
  <c r="Z6" i="3"/>
  <c r="J8" i="3"/>
  <c r="W8" i="3"/>
  <c r="O8" i="3"/>
  <c r="AM8" i="3"/>
  <c r="AQ8" i="3"/>
  <c r="AK8" i="3"/>
  <c r="AI8" i="3"/>
  <c r="AG8" i="3"/>
  <c r="AE8" i="3"/>
  <c r="AC8" i="3"/>
  <c r="AA8" i="3"/>
  <c r="V8" i="3"/>
  <c r="AL8" i="3"/>
  <c r="U8" i="3"/>
  <c r="AN8" i="3"/>
  <c r="Z8" i="3"/>
  <c r="AR8" i="3"/>
  <c r="AJ8" i="3"/>
  <c r="G8" i="3"/>
  <c r="AP8" i="3"/>
  <c r="H8" i="3"/>
  <c r="AH8" i="3"/>
  <c r="AF8" i="3"/>
  <c r="AB8" i="3"/>
  <c r="AO8" i="3"/>
  <c r="AD8" i="3"/>
  <c r="X8" i="3"/>
  <c r="Y8" i="3"/>
  <c r="T8" i="3"/>
  <c r="R8" i="3"/>
  <c r="P8" i="3"/>
  <c r="N8" i="3"/>
  <c r="L8" i="3"/>
  <c r="I8" i="3"/>
  <c r="S8" i="3"/>
  <c r="Q8" i="3"/>
  <c r="M8" i="3"/>
  <c r="K8" i="3"/>
  <c r="H2" i="3"/>
  <c r="AK2" i="3"/>
  <c r="AJ2" i="3"/>
  <c r="AI2" i="3"/>
  <c r="AG2" i="3"/>
  <c r="AE2" i="3"/>
  <c r="AC2" i="3"/>
  <c r="AA2" i="3"/>
  <c r="Y2" i="3"/>
  <c r="S2" i="3"/>
  <c r="Q2" i="3"/>
  <c r="O2" i="3"/>
  <c r="M2" i="3"/>
  <c r="K2" i="3"/>
  <c r="I2" i="3"/>
  <c r="T2" i="3"/>
  <c r="AR2" i="3"/>
  <c r="AP2" i="3"/>
  <c r="AM2" i="3"/>
  <c r="AL2" i="3"/>
  <c r="P2" i="3"/>
  <c r="N2" i="3"/>
  <c r="R2" i="3"/>
  <c r="J2" i="3"/>
  <c r="V2" i="3"/>
  <c r="AH2" i="3"/>
  <c r="AF2" i="3"/>
  <c r="AD2" i="3"/>
  <c r="AB2" i="3"/>
  <c r="Z2" i="3"/>
  <c r="W2" i="3"/>
  <c r="L2" i="3"/>
  <c r="G2" i="3"/>
  <c r="AQ2" i="3"/>
  <c r="X2" i="3"/>
  <c r="U2" i="3"/>
  <c r="AN2" i="3"/>
  <c r="AO2" i="3"/>
  <c r="I5" i="3"/>
  <c r="W5" i="3"/>
  <c r="AQ5" i="3"/>
  <c r="AN5" i="3"/>
  <c r="AI5" i="3"/>
  <c r="AG5" i="3"/>
  <c r="AE5" i="3"/>
  <c r="AC5" i="3"/>
  <c r="AA5" i="3"/>
  <c r="X5" i="3"/>
  <c r="S5" i="3"/>
  <c r="Q5" i="3"/>
  <c r="O5" i="3"/>
  <c r="G5" i="3"/>
  <c r="M5" i="3"/>
  <c r="K5" i="3"/>
  <c r="AM5" i="3"/>
  <c r="V5" i="3"/>
  <c r="AD5" i="3"/>
  <c r="AB5" i="3"/>
  <c r="L5" i="3"/>
  <c r="AO5" i="3"/>
  <c r="AR5" i="3"/>
  <c r="AP5" i="3"/>
  <c r="AJ5" i="3"/>
  <c r="AF5" i="3"/>
  <c r="T5" i="3"/>
  <c r="AL5" i="3"/>
  <c r="U5" i="3"/>
  <c r="AH5" i="3"/>
  <c r="Z5" i="3"/>
  <c r="P5" i="3"/>
  <c r="N5" i="3"/>
  <c r="J5" i="3"/>
  <c r="R5" i="3"/>
  <c r="Y5" i="3"/>
  <c r="AK5" i="3"/>
  <c r="H5" i="3"/>
  <c r="P10" i="3"/>
  <c r="AD10" i="3"/>
  <c r="M10" i="3"/>
  <c r="I10" i="3"/>
  <c r="AC10" i="3"/>
  <c r="L10" i="3"/>
  <c r="AP10" i="3"/>
  <c r="AN10" i="3"/>
  <c r="AL10" i="3"/>
  <c r="AJ10" i="3"/>
  <c r="AH10" i="3"/>
  <c r="O10" i="3"/>
  <c r="J10" i="3"/>
  <c r="H10" i="3"/>
  <c r="N10" i="3"/>
  <c r="AB10" i="3"/>
  <c r="AE10" i="3"/>
  <c r="Z10" i="3"/>
  <c r="X10" i="3"/>
  <c r="V10" i="3"/>
  <c r="T10" i="3"/>
  <c r="R10" i="3"/>
  <c r="G10" i="3"/>
  <c r="AR10" i="3"/>
  <c r="AF10" i="3"/>
  <c r="AQ10" i="3"/>
  <c r="AO10" i="3"/>
  <c r="AM10" i="3"/>
  <c r="AK10" i="3"/>
  <c r="AI10" i="3"/>
  <c r="AG10" i="3"/>
  <c r="AA10" i="3"/>
  <c r="Y10" i="3"/>
  <c r="W10" i="3"/>
  <c r="U10" i="3"/>
  <c r="S10" i="3"/>
  <c r="Q10" i="3"/>
  <c r="K10" i="3"/>
  <c r="O7" i="3"/>
  <c r="M7" i="3"/>
  <c r="G7" i="3"/>
  <c r="AF7" i="3"/>
  <c r="AC7" i="3"/>
  <c r="AP7" i="3"/>
  <c r="AL7" i="3"/>
  <c r="Z7" i="3"/>
  <c r="X7" i="3"/>
  <c r="V7" i="3"/>
  <c r="T7" i="3"/>
  <c r="R7" i="3"/>
  <c r="P7" i="3"/>
  <c r="AB7" i="3"/>
  <c r="AE7" i="3"/>
  <c r="L7" i="3"/>
  <c r="J7" i="3"/>
  <c r="H7" i="3"/>
  <c r="AH7" i="3"/>
  <c r="AR7" i="3"/>
  <c r="K7" i="3"/>
  <c r="AA7" i="3"/>
  <c r="AO7" i="3"/>
  <c r="AM7" i="3"/>
  <c r="AK7" i="3"/>
  <c r="AI7" i="3"/>
  <c r="AG7" i="3"/>
  <c r="AD7" i="3"/>
  <c r="Y7" i="3"/>
  <c r="W7" i="3"/>
  <c r="U7" i="3"/>
  <c r="S7" i="3"/>
  <c r="Q7" i="3"/>
  <c r="N7" i="3"/>
  <c r="I7" i="3"/>
  <c r="AQ7" i="3"/>
  <c r="AN7" i="3"/>
  <c r="AJ7" i="3"/>
  <c r="U9" i="3"/>
  <c r="AP9" i="3"/>
  <c r="AL9" i="3"/>
  <c r="AG9" i="3"/>
  <c r="AF9" i="3"/>
  <c r="AD9" i="3"/>
  <c r="AB9" i="3"/>
  <c r="Z9" i="3"/>
  <c r="X9" i="3"/>
  <c r="V9" i="3"/>
  <c r="P9" i="3"/>
  <c r="N9" i="3"/>
  <c r="L9" i="3"/>
  <c r="J9" i="3"/>
  <c r="H9" i="3"/>
  <c r="G9" i="3"/>
  <c r="S9" i="3"/>
  <c r="AK9" i="3"/>
  <c r="Y9" i="3"/>
  <c r="W9" i="3"/>
  <c r="T9" i="3"/>
  <c r="O9" i="3"/>
  <c r="M9" i="3"/>
  <c r="AI9" i="3"/>
  <c r="AQ9" i="3"/>
  <c r="AO9" i="3"/>
  <c r="AM9" i="3"/>
  <c r="AC9" i="3"/>
  <c r="AA9" i="3"/>
  <c r="I9" i="3"/>
  <c r="R9" i="3"/>
  <c r="AJ9" i="3"/>
  <c r="AE9" i="3"/>
  <c r="K9" i="3"/>
  <c r="AH9" i="3"/>
  <c r="Q9" i="3"/>
  <c r="AR9" i="3"/>
  <c r="AN9" i="3"/>
  <c r="N4" i="3"/>
  <c r="AL4" i="3"/>
  <c r="AF4" i="3"/>
  <c r="AA4" i="3"/>
  <c r="L4" i="3"/>
  <c r="AQ4" i="3"/>
  <c r="AN4" i="3"/>
  <c r="AH4" i="3"/>
  <c r="V4" i="3"/>
  <c r="AC4" i="3"/>
  <c r="X4" i="3"/>
  <c r="R4" i="3"/>
  <c r="K4" i="3"/>
  <c r="M4" i="3"/>
  <c r="H4" i="3"/>
  <c r="AP4" i="3"/>
  <c r="Z4" i="3"/>
  <c r="G4" i="3"/>
  <c r="P4" i="3"/>
  <c r="T4" i="3"/>
  <c r="AO4" i="3"/>
  <c r="AM4" i="3"/>
  <c r="AK4" i="3"/>
  <c r="AI4" i="3"/>
  <c r="AG4" i="3"/>
  <c r="AE4" i="3"/>
  <c r="AB4" i="3"/>
  <c r="Y4" i="3"/>
  <c r="W4" i="3"/>
  <c r="U4" i="3"/>
  <c r="S4" i="3"/>
  <c r="Q4" i="3"/>
  <c r="O4" i="3"/>
  <c r="AD4" i="3"/>
  <c r="J4" i="3"/>
  <c r="AR4" i="3"/>
  <c r="I4" i="3"/>
  <c r="AJ4" i="3"/>
  <c r="K11" i="3"/>
  <c r="I11" i="3"/>
  <c r="X11" i="3"/>
  <c r="AK11" i="3"/>
  <c r="U11" i="3"/>
  <c r="M11" i="3"/>
  <c r="G11" i="3"/>
  <c r="AG11" i="3"/>
  <c r="AA11" i="3"/>
  <c r="S11" i="3"/>
  <c r="AQ11" i="3"/>
  <c r="AI11" i="3"/>
  <c r="AC11" i="3"/>
  <c r="AM11" i="3"/>
  <c r="Z11" i="3"/>
  <c r="J11" i="3"/>
  <c r="W11" i="3"/>
  <c r="Y11" i="3"/>
  <c r="AR11" i="3"/>
  <c r="AO11" i="3"/>
  <c r="O11" i="3"/>
  <c r="AL11" i="3"/>
  <c r="AJ11" i="3"/>
  <c r="AH11" i="3"/>
  <c r="AF11" i="3"/>
  <c r="AD11" i="3"/>
  <c r="AB11" i="3"/>
  <c r="V11" i="3"/>
  <c r="T11" i="3"/>
  <c r="R11" i="3"/>
  <c r="P11" i="3"/>
  <c r="N11" i="3"/>
  <c r="L11" i="3"/>
  <c r="AP11" i="3"/>
  <c r="AE11" i="3"/>
  <c r="Q11" i="3"/>
  <c r="H11" i="3"/>
  <c r="AN11" i="3"/>
</calcChain>
</file>

<file path=xl/sharedStrings.xml><?xml version="1.0" encoding="utf-8"?>
<sst xmlns="http://schemas.openxmlformats.org/spreadsheetml/2006/main" count="20956" uniqueCount="304">
  <si>
    <t>项目</t>
  </si>
  <si>
    <t>2.2. 供热</t>
  </si>
  <si>
    <t>煤合计</t>
  </si>
  <si>
    <t>原煤</t>
  </si>
  <si>
    <t>洗精煤</t>
  </si>
  <si>
    <t>其他洗煤</t>
  </si>
  <si>
    <t>型煤</t>
  </si>
  <si>
    <t>煤矸石</t>
  </si>
  <si>
    <t>焦炭</t>
  </si>
  <si>
    <t>焦炉煤气</t>
  </si>
  <si>
    <t>高炉煤气</t>
  </si>
  <si>
    <t>转炉煤气</t>
  </si>
  <si>
    <t>其他煤气</t>
  </si>
  <si>
    <t>其他焦化产品</t>
  </si>
  <si>
    <t>油品合计</t>
  </si>
  <si>
    <t>原油</t>
  </si>
  <si>
    <t>汽油</t>
  </si>
  <si>
    <t>煤油</t>
  </si>
  <si>
    <t>柴油</t>
  </si>
  <si>
    <t>燃料油</t>
  </si>
  <si>
    <t>石脑油</t>
  </si>
  <si>
    <t>润滑油</t>
  </si>
  <si>
    <t>石蜡</t>
  </si>
  <si>
    <t>溶剂油</t>
  </si>
  <si>
    <t>石油沥青</t>
  </si>
  <si>
    <t>石油焦</t>
  </si>
  <si>
    <t>液化石油气</t>
  </si>
  <si>
    <t>炼厂干气</t>
  </si>
  <si>
    <t>其他石油制品</t>
  </si>
  <si>
    <t>天然气</t>
  </si>
  <si>
    <t>液化天然气</t>
  </si>
  <si>
    <t>热力</t>
  </si>
  <si>
    <t>电力</t>
  </si>
  <si>
    <t>其他能源</t>
  </si>
  <si>
    <t>实物量单位</t>
  </si>
  <si>
    <t>万吨</t>
  </si>
  <si>
    <t>亿立方米</t>
  </si>
  <si>
    <t>万百万千焦</t>
  </si>
  <si>
    <t>万吨标准煤</t>
  </si>
  <si>
    <t>Fraction of Heat Provided by Fuel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</si>
  <si>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</si>
  <si>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</si>
  <si>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</si>
  <si>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</si>
  <si>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</si>
  <si>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</si>
  <si>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</si>
  <si>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</si>
  <si>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</si>
  <si>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</si>
  <si>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BFoHPbF BAU Frac of Heat Provided by Fuel</t>
    <phoneticPr fontId="3" type="noConversion"/>
  </si>
  <si>
    <t>source:</t>
    <phoneticPr fontId="3" type="noConversion"/>
  </si>
  <si>
    <t>BAU Frac of Heat Provided by Fuel</t>
    <phoneticPr fontId="3" type="noConversion"/>
  </si>
  <si>
    <t>National Bureau of Statistics</t>
    <phoneticPr fontId="3" type="noConversion"/>
  </si>
  <si>
    <t>中国统计年鉴 - 国家统计局 (stats.gov.cn)</t>
  </si>
  <si>
    <t>note</t>
    <phoneticPr fontId="3" type="noConversion"/>
  </si>
  <si>
    <t>Based on the unit calorific value of the fuel “Heat conversion factor”, we convert the energy mass in the energy balance to total heat</t>
    <phoneticPr fontId="3" type="noConversion"/>
  </si>
  <si>
    <t>Energy Balance Sheet</t>
    <phoneticPr fontId="3" type="noConversion"/>
  </si>
  <si>
    <t>索引</t>
  </si>
  <si>
    <t>地区</t>
  </si>
  <si>
    <t>年份</t>
  </si>
  <si>
    <t>能源品种</t>
  </si>
  <si>
    <t>实物消费量</t>
  </si>
  <si>
    <t>折标准煤消费量</t>
  </si>
  <si>
    <t>安徽省</t>
  </si>
  <si>
    <t>亿千瓦小时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</si>
  <si>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</si>
  <si>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</si>
  <si>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</si>
  <si>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</si>
  <si>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</si>
  <si>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</si>
  <si>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</si>
  <si>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</si>
  <si>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</si>
  <si>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</si>
  <si>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</si>
  <si>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</si>
  <si>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</si>
  <si>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</si>
  <si>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</si>
  <si>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</si>
  <si>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</si>
  <si>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</si>
  <si>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</si>
  <si>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全国</t>
  </si>
  <si>
    <t>山东省</t>
  </si>
  <si>
    <t>山西省</t>
  </si>
  <si>
    <t>陕西省</t>
  </si>
  <si>
    <t>上海市</t>
  </si>
  <si>
    <t>四川省</t>
  </si>
  <si>
    <t>天津市</t>
  </si>
  <si>
    <t>新疆维吾尔自治区</t>
  </si>
  <si>
    <t>云南省</t>
  </si>
  <si>
    <t>浙江省</t>
  </si>
  <si>
    <t>重庆市</t>
  </si>
  <si>
    <t>序号
Index</t>
    <phoneticPr fontId="1" type="noConversion"/>
  </si>
  <si>
    <t>能源名称
Fuel Type</t>
    <phoneticPr fontId="1" type="noConversion"/>
  </si>
  <si>
    <t>实物量单位
Physical Unit</t>
    <phoneticPr fontId="1" type="noConversion"/>
  </si>
  <si>
    <t>能源名称(含单位）
Fuel Type</t>
    <phoneticPr fontId="1" type="noConversion"/>
  </si>
  <si>
    <t>平均低位发热量 Average Lower Heat Value</t>
    <phoneticPr fontId="1" type="noConversion"/>
  </si>
  <si>
    <t xml:space="preserve"> TJ/单位</t>
    <phoneticPr fontId="1" type="noConversion"/>
  </si>
  <si>
    <t>万tce/单位</t>
  </si>
  <si>
    <t>BTU/单位</t>
  </si>
  <si>
    <t>煤合计(万吨)</t>
  </si>
  <si>
    <t>原煤(万吨)</t>
  </si>
  <si>
    <t>洗精煤(万吨)</t>
  </si>
  <si>
    <t>其他洗煤(万吨)</t>
  </si>
  <si>
    <t>型煤(万吨)</t>
  </si>
  <si>
    <t>煤矸石(万吨)</t>
  </si>
  <si>
    <t>焦炭(万吨)</t>
  </si>
  <si>
    <t>焦炉煤气(亿立方米)</t>
  </si>
  <si>
    <t>高炉煤气(亿立方米)</t>
  </si>
  <si>
    <t>转炉煤气(亿立方米)</t>
  </si>
  <si>
    <t>其他煤气(亿立方米)</t>
  </si>
  <si>
    <t>其他焦化产品(万吨)</t>
  </si>
  <si>
    <t>油品合计(万吨)</t>
  </si>
  <si>
    <t>原油(万吨)</t>
  </si>
  <si>
    <t>汽油(万吨)</t>
  </si>
  <si>
    <t>煤油(万吨)</t>
  </si>
  <si>
    <t>柴油(万吨)</t>
  </si>
  <si>
    <t>燃料油(万吨)</t>
  </si>
  <si>
    <t>石脑油(万吨)</t>
  </si>
  <si>
    <t>润滑油(万吨)</t>
  </si>
  <si>
    <t>石蜡(万吨)</t>
  </si>
  <si>
    <t>溶剂油(万吨)</t>
  </si>
  <si>
    <t>石油沥青(万吨)</t>
  </si>
  <si>
    <t>石油焦(万吨)</t>
  </si>
  <si>
    <t>液化石油气(万吨)</t>
  </si>
  <si>
    <t>炼厂干气(万吨)</t>
  </si>
  <si>
    <t>其他石油制品(万吨)</t>
  </si>
  <si>
    <t>天然气(亿立方米)</t>
  </si>
  <si>
    <t>液化天然气(万吨)</t>
  </si>
  <si>
    <t>热力(万百万千焦)</t>
  </si>
  <si>
    <t>亿千瓦小时</t>
    <phoneticPr fontId="1" type="noConversion"/>
  </si>
  <si>
    <t>电力(亿千瓦小时)</t>
    <phoneticPr fontId="1" type="noConversion"/>
  </si>
  <si>
    <t>其他能源(万吨标准煤)</t>
  </si>
  <si>
    <t>Chinese Model Fuel</t>
  </si>
  <si>
    <t>EPS Fuel</t>
  </si>
  <si>
    <t>EPS Industrial Module Fuel</t>
  </si>
  <si>
    <t>Crude Oil</t>
  </si>
  <si>
    <t>Diesel Oil</t>
  </si>
  <si>
    <t>municipal solid waste</t>
  </si>
  <si>
    <t>城市生活垃圾</t>
  </si>
  <si>
    <t>other energy</t>
  </si>
  <si>
    <t>Electricity</t>
  </si>
  <si>
    <t>Blast Furnance Gas</t>
  </si>
  <si>
    <t>Coke Oven Gas</t>
  </si>
  <si>
    <t>Coke</t>
  </si>
  <si>
    <t>Refinery Gas</t>
  </si>
  <si>
    <t>Gangue</t>
  </si>
  <si>
    <t>lignite</t>
  </si>
  <si>
    <t>Kerosene</t>
  </si>
  <si>
    <t>jet fuel or kerosene</t>
  </si>
  <si>
    <t>Briquettes</t>
  </si>
  <si>
    <t>hard coal</t>
  </si>
  <si>
    <t>Other Coking Products</t>
  </si>
  <si>
    <t>Other Gas</t>
  </si>
  <si>
    <t>Other Energy</t>
  </si>
  <si>
    <t>biomass</t>
    <phoneticPr fontId="11" type="noConversion"/>
  </si>
  <si>
    <t>Other Petroleum Products</t>
  </si>
  <si>
    <t>heavy fuel oil</t>
  </si>
  <si>
    <t>Other Washed Coal</t>
  </si>
  <si>
    <t>Gasoline</t>
  </si>
  <si>
    <t>petroleum gasoline</t>
  </si>
  <si>
    <t>Fuel Oil</t>
  </si>
  <si>
    <t>Heat</t>
  </si>
  <si>
    <t>White Spirit</t>
  </si>
  <si>
    <t>Lubricant</t>
  </si>
  <si>
    <t>生物质</t>
  </si>
  <si>
    <t>biofuel diesel</t>
  </si>
  <si>
    <t>生物质柴油</t>
  </si>
  <si>
    <t>biofuel gasoline</t>
  </si>
  <si>
    <t>生物质汽油</t>
  </si>
  <si>
    <t>Paraffin Waxes</t>
  </si>
  <si>
    <t>Naphtha</t>
  </si>
  <si>
    <t>Petroleum Coke</t>
  </si>
  <si>
    <t>Bitumen Asphalt</t>
  </si>
  <si>
    <t>Natural Gas</t>
  </si>
  <si>
    <t>Cleaned Coal</t>
  </si>
  <si>
    <t>Liquefied Petroleum Gas</t>
  </si>
  <si>
    <t>Liquefied Natural Gas</t>
  </si>
  <si>
    <t>Raw Coal</t>
  </si>
  <si>
    <t>Converter Gas</t>
  </si>
  <si>
    <t>EPS Industry Fuel Type</t>
    <phoneticPr fontId="3" type="noConversion"/>
  </si>
  <si>
    <t>2.9. 回收能</t>
  </si>
  <si>
    <t>Code</t>
    <phoneticPr fontId="11" type="noConversion"/>
  </si>
  <si>
    <t>Name</t>
    <phoneticPr fontId="11" type="noConversion"/>
  </si>
  <si>
    <t>Region</t>
    <phoneticPr fontId="11" type="noConversion"/>
  </si>
  <si>
    <t>Region (EN)</t>
    <phoneticPr fontId="11" type="noConversion"/>
  </si>
  <si>
    <t>00</t>
    <phoneticPr fontId="11" type="noConversion"/>
  </si>
  <si>
    <t>全国 National</t>
    <phoneticPr fontId="11" type="noConversion"/>
  </si>
  <si>
    <t>National</t>
  </si>
  <si>
    <t>北京市 Beijing</t>
  </si>
  <si>
    <t>Beijing</t>
  </si>
  <si>
    <t>天津市 Tianjin</t>
  </si>
  <si>
    <t>Tianjin</t>
  </si>
  <si>
    <t>河北省 Hebei</t>
  </si>
  <si>
    <t>Hebei</t>
  </si>
  <si>
    <t>山西省 Shanxi</t>
  </si>
  <si>
    <t>Shanxi</t>
  </si>
  <si>
    <t>内蒙古自治区 Inner Mongolia</t>
  </si>
  <si>
    <t>Inner Mongolia</t>
  </si>
  <si>
    <t>辽宁省 Liaoning</t>
  </si>
  <si>
    <t>Liaoning</t>
  </si>
  <si>
    <t>吉林省 Jilin</t>
  </si>
  <si>
    <t>Jilin</t>
  </si>
  <si>
    <t>黑龙江省 Heilongjiang</t>
  </si>
  <si>
    <t>Heilongjiang</t>
  </si>
  <si>
    <t>上海市 Shanghai</t>
  </si>
  <si>
    <t>Shanghai</t>
  </si>
  <si>
    <t>江苏省 Jiangsu</t>
    <phoneticPr fontId="11" type="noConversion"/>
  </si>
  <si>
    <t>Jiangsu</t>
  </si>
  <si>
    <t>浙江省 Zhejiang</t>
  </si>
  <si>
    <t>Zhejiang</t>
  </si>
  <si>
    <t>安徽省 Anhui</t>
  </si>
  <si>
    <t>Anhui</t>
  </si>
  <si>
    <t>福建省 Fujian</t>
  </si>
  <si>
    <t>Fujian</t>
  </si>
  <si>
    <t>江西省 Jiangxi</t>
  </si>
  <si>
    <t>Jiangxi</t>
  </si>
  <si>
    <t>山东省 Shandong</t>
  </si>
  <si>
    <t>Shandong</t>
  </si>
  <si>
    <t>河南省 Henan</t>
  </si>
  <si>
    <t>Henan</t>
  </si>
  <si>
    <t>湖北省 Hubei</t>
  </si>
  <si>
    <t>Hubei</t>
  </si>
  <si>
    <t>湖南省 Hunan</t>
  </si>
  <si>
    <t>Hunan</t>
  </si>
  <si>
    <t>广东省 Guangdong</t>
  </si>
  <si>
    <t>Guangdong</t>
  </si>
  <si>
    <t>广西壮族自治区 Guangxi</t>
  </si>
  <si>
    <t>Guangxi</t>
  </si>
  <si>
    <t>海南省 Hainan</t>
  </si>
  <si>
    <t>Hainan</t>
  </si>
  <si>
    <t>重庆市 Chongqing</t>
  </si>
  <si>
    <t>Chongqing</t>
  </si>
  <si>
    <t>四川省 Sichuan</t>
  </si>
  <si>
    <t>Sichuan</t>
  </si>
  <si>
    <t>贵州省 Guizhou</t>
  </si>
  <si>
    <t>Guizhou</t>
  </si>
  <si>
    <t>云南省 Yunnan</t>
  </si>
  <si>
    <t>Yunnan</t>
  </si>
  <si>
    <t>西藏自治区 Tibet</t>
  </si>
  <si>
    <t>西藏自治区</t>
  </si>
  <si>
    <t>Tibet</t>
  </si>
  <si>
    <t>陕西省 Shaanxi</t>
  </si>
  <si>
    <t>Shaanxi</t>
  </si>
  <si>
    <t>甘肃省 Gansu</t>
  </si>
  <si>
    <t>Gansu</t>
  </si>
  <si>
    <t>青海省 Qinghai</t>
  </si>
  <si>
    <t>Qinghai</t>
  </si>
  <si>
    <t>宁夏回族自治区 Ningxia</t>
  </si>
  <si>
    <t>Ningxia</t>
  </si>
  <si>
    <t>新疆维吾尔自治区 Xijiang</t>
  </si>
  <si>
    <t>Region Selector</t>
    <phoneticPr fontId="11" type="noConversion"/>
  </si>
  <si>
    <t>This excel file includes data required for all Chinese provinces (excluding Taiwan, Hong Kong, Macau,</t>
    <phoneticPr fontId="11" type="noConversion"/>
  </si>
  <si>
    <t xml:space="preserve">and sometimes Tibet). You can use the selector below to choose which province/region you would </t>
    <phoneticPr fontId="11" type="noConversion"/>
  </si>
  <si>
    <t>like to calculate for:</t>
    <phoneticPr fontId="11" type="noConversion"/>
  </si>
  <si>
    <t>全国 National</t>
  </si>
  <si>
    <t>Selected Region (see about Sheet)</t>
    <phoneticPr fontId="3" type="noConversion"/>
  </si>
  <si>
    <t>内蒙古</t>
    <phoneticPr fontId="3" type="noConversion"/>
  </si>
  <si>
    <t>黑龙江</t>
    <phoneticPr fontId="3" type="noConversion"/>
  </si>
  <si>
    <t>北京</t>
  </si>
  <si>
    <t>天津</t>
  </si>
  <si>
    <t>河北</t>
  </si>
  <si>
    <t>山西</t>
  </si>
  <si>
    <t>辽宁</t>
  </si>
  <si>
    <t>吉林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</si>
  <si>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</si>
  <si>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</si>
  <si>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</si>
  <si>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</si>
  <si>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</si>
  <si>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</si>
  <si>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</si>
  <si>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</si>
  <si>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</si>
  <si>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</si>
  <si>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</si>
  <si>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</si>
  <si>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</si>
  <si>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</si>
  <si>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</si>
  <si>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</si>
  <si>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</si>
  <si>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</si>
  <si>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</si>
  <si>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</si>
  <si>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</si>
  <si>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</si>
  <si>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</si>
  <si>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Region (short)</t>
    <phoneticPr fontId="11" type="noConversion"/>
  </si>
  <si>
    <t>Xinjiang</t>
    <phoneticPr fontId="3" type="noConversion"/>
  </si>
  <si>
    <t>Fuel Type</t>
    <phoneticPr fontId="3" type="noConversion"/>
  </si>
  <si>
    <t>Fuel Intake</t>
    <phoneticPr fontId="3" type="noConversion"/>
  </si>
  <si>
    <t>Recovered Heat</t>
    <phoneticPr fontId="3" type="noConversion"/>
  </si>
  <si>
    <t>Share of "free" heat in final supply</t>
    <phoneticPr fontId="3" type="noConversion"/>
  </si>
  <si>
    <t>Share of heat generation pathway</t>
    <phoneticPr fontId="3" type="noConversion"/>
  </si>
  <si>
    <t>Average Heat Conversion Efficiency</t>
    <phoneticPr fontId="3" type="noConversion"/>
  </si>
  <si>
    <t>Efficiency</t>
    <phoneticPr fontId="3" type="noConversion"/>
  </si>
  <si>
    <t>Heat Generated from Fuel</t>
    <phoneticPr fontId="3" type="noConversion"/>
  </si>
  <si>
    <t>2018-2022</t>
    <phoneticPr fontId="3" type="noConversion"/>
  </si>
  <si>
    <t>*This data is fairly close to the results calculated from actual heating facilities used in EoCtUH, and will be treated as supporting evidence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</si>
</sst>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%"/>
    <numFmt numFmtId="178" formatCode="0.000_ "/>
  </numFmts>
  <fonts count="1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4" tint="-0.249977111117893"/>
      <name val="Calibri"/>
      <family val="2"/>
    </font>
    <font>
      <sz val="9"/>
      <name val="宋体"/>
      <family val="2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/>
    <xf numFmtId="0" fontId="4" fillId="0" borderId="0"/>
  </cellStyleXfs>
  <cellXfs count="66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0" fillId="0" borderId="0" xfId="0" applyAlignment="1"/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1">
      <alignment vertical="center"/>
    </xf>
    <xf numFmtId="2" fontId="0" fillId="0" borderId="0" xfId="0" applyNumberFormat="1" applyAlignment="1"/>
    <xf numFmtId="0" fontId="6" fillId="3" borderId="8" xfId="2" applyFill="1" applyBorder="1" applyAlignment="1">
      <alignment horizontal="center" vertical="center" wrapText="1"/>
    </xf>
    <xf numFmtId="0" fontId="6" fillId="0" borderId="8" xfId="2" applyBorder="1"/>
    <xf numFmtId="0" fontId="6" fillId="0" borderId="8" xfId="2" applyBorder="1" applyAlignment="1">
      <alignment vertical="center"/>
    </xf>
    <xf numFmtId="0" fontId="4" fillId="0" borderId="8" xfId="3" applyBorder="1" applyAlignment="1">
      <alignment vertical="center"/>
    </xf>
    <xf numFmtId="11" fontId="0" fillId="0" borderId="0" xfId="0" applyNumberFormat="1" applyAlignment="1"/>
    <xf numFmtId="11" fontId="0" fillId="0" borderId="0" xfId="0" applyNumberFormat="1">
      <alignment vertical="center"/>
    </xf>
    <xf numFmtId="0" fontId="7" fillId="4" borderId="8" xfId="3" applyFont="1" applyFill="1" applyBorder="1" applyAlignment="1">
      <alignment vertical="center" wrapText="1" readingOrder="1"/>
    </xf>
    <xf numFmtId="0" fontId="7" fillId="5" borderId="8" xfId="3" applyFont="1" applyFill="1" applyBorder="1" applyAlignment="1">
      <alignment horizontal="center" vertical="center" wrapText="1" readingOrder="1"/>
    </xf>
    <xf numFmtId="0" fontId="8" fillId="3" borderId="8" xfId="3" applyFont="1" applyFill="1" applyBorder="1" applyAlignment="1">
      <alignment horizontal="left" vertical="center" wrapText="1" readingOrder="1"/>
    </xf>
    <xf numFmtId="0" fontId="9" fillId="6" borderId="8" xfId="3" applyFont="1" applyFill="1" applyBorder="1" applyAlignment="1">
      <alignment horizontal="left" wrapText="1" readingOrder="1"/>
    </xf>
    <xf numFmtId="0" fontId="8" fillId="3" borderId="8" xfId="3" applyFont="1" applyFill="1" applyBorder="1" applyAlignment="1">
      <alignment horizontal="left" wrapText="1" readingOrder="1"/>
    </xf>
    <xf numFmtId="0" fontId="9" fillId="7" borderId="8" xfId="3" applyFont="1" applyFill="1" applyBorder="1" applyAlignment="1">
      <alignment horizontal="left" wrapText="1" readingOrder="1"/>
    </xf>
    <xf numFmtId="0" fontId="10" fillId="5" borderId="8" xfId="3" applyFont="1" applyFill="1" applyBorder="1" applyAlignment="1">
      <alignment horizontal="left" wrapText="1" readingOrder="1"/>
    </xf>
    <xf numFmtId="0" fontId="9" fillId="6" borderId="8" xfId="3" applyFont="1" applyFill="1" applyBorder="1" applyAlignment="1">
      <alignment horizontal="left" vertical="center" wrapText="1" readingOrder="1"/>
    </xf>
    <xf numFmtId="0" fontId="10" fillId="5" borderId="8" xfId="3" applyFont="1" applyFill="1" applyBorder="1" applyAlignment="1">
      <alignment horizontal="left" vertical="center" wrapText="1" readingOrder="1"/>
    </xf>
    <xf numFmtId="176" fontId="4" fillId="0" borderId="8" xfId="3" applyNumberFormat="1" applyBorder="1" applyAlignment="1">
      <alignment vertical="center"/>
    </xf>
    <xf numFmtId="11" fontId="4" fillId="0" borderId="8" xfId="3" applyNumberFormat="1" applyBorder="1" applyAlignment="1">
      <alignment vertical="center"/>
    </xf>
    <xf numFmtId="0" fontId="12" fillId="4" borderId="8" xfId="3" applyFont="1" applyFill="1" applyBorder="1" applyAlignment="1">
      <alignment vertical="center" wrapText="1" readingOrder="1"/>
    </xf>
    <xf numFmtId="0" fontId="13" fillId="3" borderId="8" xfId="3" applyFont="1" applyFill="1" applyBorder="1" applyAlignment="1">
      <alignment horizontal="left" vertical="center" wrapText="1" readingOrder="1"/>
    </xf>
    <xf numFmtId="0" fontId="4" fillId="3" borderId="8" xfId="3" applyFill="1" applyBorder="1" applyAlignment="1">
      <alignment vertical="center"/>
    </xf>
    <xf numFmtId="0" fontId="4" fillId="3" borderId="8" xfId="3" applyFill="1" applyBorder="1"/>
    <xf numFmtId="0" fontId="4" fillId="0" borderId="0" xfId="0" applyFont="1" applyAlignment="1"/>
    <xf numFmtId="0" fontId="2" fillId="0" borderId="8" xfId="3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4" fillId="0" borderId="8" xfId="3" quotePrefix="1" applyBorder="1" applyAlignment="1">
      <alignment horizontal="center"/>
    </xf>
    <xf numFmtId="0" fontId="0" fillId="0" borderId="8" xfId="0" applyBorder="1">
      <alignment vertical="center"/>
    </xf>
    <xf numFmtId="0" fontId="4" fillId="0" borderId="8" xfId="3" applyBorder="1" applyAlignment="1">
      <alignment horizontal="center"/>
    </xf>
    <xf numFmtId="0" fontId="4" fillId="0" borderId="0" xfId="3"/>
    <xf numFmtId="0" fontId="4" fillId="0" borderId="0" xfId="3" applyAlignment="1">
      <alignment horizontal="center"/>
    </xf>
    <xf numFmtId="0" fontId="2" fillId="0" borderId="0" xfId="3" applyFont="1"/>
    <xf numFmtId="0" fontId="2" fillId="0" borderId="8" xfId="3" applyFont="1" applyBorder="1" applyAlignment="1">
      <alignment horizontal="center"/>
    </xf>
    <xf numFmtId="0" fontId="4" fillId="8" borderId="8" xfId="3" applyFill="1" applyBorder="1" applyAlignment="1">
      <alignment horizontal="center"/>
    </xf>
    <xf numFmtId="0" fontId="2" fillId="8" borderId="0" xfId="0" applyFont="1" applyFill="1">
      <alignment vertical="center"/>
    </xf>
    <xf numFmtId="0" fontId="4" fillId="0" borderId="8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/>
    <xf numFmtId="0" fontId="0" fillId="0" borderId="8" xfId="0" applyBorder="1" applyAlignment="1"/>
    <xf numFmtId="0" fontId="2" fillId="0" borderId="8" xfId="0" applyFont="1" applyBorder="1" applyAlignment="1">
      <alignment horizont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177" fontId="0" fillId="0" borderId="8" xfId="0" applyNumberFormat="1" applyBorder="1">
      <alignment vertical="center"/>
    </xf>
    <xf numFmtId="0" fontId="2" fillId="0" borderId="8" xfId="0" applyFont="1" applyBorder="1" applyAlignment="1"/>
    <xf numFmtId="0" fontId="0" fillId="9" borderId="0" xfId="0" applyFill="1" applyAlignment="1"/>
    <xf numFmtId="0" fontId="2" fillId="9" borderId="0" xfId="0" applyFont="1" applyFill="1" applyAlignment="1"/>
    <xf numFmtId="0" fontId="2" fillId="9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78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3" borderId="1" xfId="2" applyFill="1" applyBorder="1" applyAlignment="1">
      <alignment horizontal="center" vertical="center" wrapText="1"/>
    </xf>
    <xf numFmtId="0" fontId="6" fillId="3" borderId="6" xfId="2" applyFill="1" applyBorder="1" applyAlignment="1">
      <alignment horizontal="center" vertical="center" wrapText="1"/>
    </xf>
    <xf numFmtId="0" fontId="6" fillId="3" borderId="2" xfId="2" applyFill="1" applyBorder="1" applyAlignment="1">
      <alignment horizontal="center" vertical="center" wrapText="1"/>
    </xf>
    <xf numFmtId="0" fontId="6" fillId="3" borderId="7" xfId="2" applyFill="1" applyBorder="1" applyAlignment="1">
      <alignment horizontal="center" vertical="center" wrapText="1"/>
    </xf>
    <xf numFmtId="0" fontId="6" fillId="3" borderId="3" xfId="2" applyFill="1" applyBorder="1" applyAlignment="1">
      <alignment horizontal="center" vertical="center" wrapText="1"/>
    </xf>
    <xf numFmtId="0" fontId="6" fillId="3" borderId="4" xfId="2" applyFill="1" applyBorder="1" applyAlignment="1">
      <alignment horizontal="center" vertical="center" wrapText="1"/>
    </xf>
    <xf numFmtId="0" fontId="6" fillId="3" borderId="5" xfId="2" applyFill="1" applyBorder="1" applyAlignment="1">
      <alignment horizontal="center" vertical="center" wrapText="1"/>
    </xf>
  </cellXfs>
  <cellStyles count="4">
    <cellStyle name="常规" xfId="0" builtinId="0"/>
    <cellStyle name="常规 2" xfId="3" xr:uid="{13353E23-524C-4C86-BDD5-A38434E49CD7}"/>
    <cellStyle name="常规 3" xfId="2" xr:uid="{8B86144C-B461-419F-876D-E1D7E856DFE1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sj/nds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B16" sqref="B16"/>
    </sheetView>
  </sheetViews>
  <sheetFormatPr defaultColWidth="9" defaultRowHeight="13.5" x14ac:dyDescent="0.15"/>
  <cols>
    <col min="2" max="2" width="37.25" customWidth="1"/>
  </cols>
  <sheetData>
    <row r="1" spans="1:10" x14ac:dyDescent="0.15">
      <c r="A1" s="4" t="s">
        <v>50</v>
      </c>
      <c r="B1" s="4"/>
    </row>
    <row r="3" spans="1:10" x14ac:dyDescent="0.15">
      <c r="A3" s="4" t="s">
        <v>51</v>
      </c>
      <c r="B3" s="5" t="s">
        <v>52</v>
      </c>
    </row>
    <row r="4" spans="1:10" x14ac:dyDescent="0.15">
      <c r="B4" s="3" t="s">
        <v>53</v>
      </c>
    </row>
    <row r="5" spans="1:10" x14ac:dyDescent="0.15">
      <c r="B5" s="3" t="s">
        <v>302</v>
      </c>
    </row>
    <row r="6" spans="1:10" x14ac:dyDescent="0.15">
      <c r="B6" s="3" t="s">
        <v>57</v>
      </c>
    </row>
    <row r="7" spans="1:10" x14ac:dyDescent="0.15">
      <c r="B7" s="6" t="s">
        <v>54</v>
      </c>
    </row>
    <row r="8" spans="1:10" x14ac:dyDescent="0.15">
      <c r="A8" s="4" t="s">
        <v>55</v>
      </c>
      <c r="B8" s="3" t="s">
        <v>56</v>
      </c>
    </row>
    <row r="11" spans="1:10" s="35" customFormat="1" x14ac:dyDescent="0.15">
      <c r="A11" s="37" t="s">
        <v>255</v>
      </c>
      <c r="J11" s="36"/>
    </row>
    <row r="12" spans="1:10" s="35" customFormat="1" x14ac:dyDescent="0.15">
      <c r="A12" s="35" t="s">
        <v>256</v>
      </c>
      <c r="J12" s="36"/>
    </row>
    <row r="13" spans="1:10" s="35" customFormat="1" x14ac:dyDescent="0.15">
      <c r="A13" s="35" t="s">
        <v>257</v>
      </c>
      <c r="J13" s="36"/>
    </row>
    <row r="14" spans="1:10" s="35" customFormat="1" x14ac:dyDescent="0.15">
      <c r="A14" s="35" t="s">
        <v>258</v>
      </c>
      <c r="J14" s="36"/>
    </row>
    <row r="15" spans="1:10" s="35" customFormat="1" x14ac:dyDescent="0.15">
      <c r="B15" s="38" t="s">
        <v>255</v>
      </c>
      <c r="J15" s="36"/>
    </row>
    <row r="16" spans="1:10" s="35" customFormat="1" x14ac:dyDescent="0.15">
      <c r="B16" s="39" t="s">
        <v>259</v>
      </c>
      <c r="J16" s="36"/>
    </row>
  </sheetData>
  <phoneticPr fontId="3" type="noConversion"/>
  <hyperlinks>
    <hyperlink ref="B7" r:id="rId1" display="http://www.stats.gov.cn/sj/ndsj/" xr:uid="{617F486A-F8AB-4661-ACFF-AD53D6640184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A6ADE-861B-42BB-8544-265BE3DC5D90}">
          <x14:formula1>
            <xm:f>'Region Selector'!$B$2:$B$33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4698-BAB9-41FE-9F6D-BD7959EF67BE}">
  <dimension ref="A1:E33"/>
  <sheetViews>
    <sheetView workbookViewId="0">
      <selection activeCell="D29" sqref="D29"/>
    </sheetView>
  </sheetViews>
  <sheetFormatPr defaultRowHeight="13.5" x14ac:dyDescent="0.15"/>
  <cols>
    <col min="1" max="1" width="6.25" bestFit="1" customWidth="1"/>
    <col min="2" max="2" width="29.625" bestFit="1" customWidth="1"/>
    <col min="3" max="3" width="17.25" bestFit="1" customWidth="1"/>
    <col min="4" max="4" width="17.25" customWidth="1"/>
    <col min="5" max="5" width="16.125" bestFit="1" customWidth="1"/>
  </cols>
  <sheetData>
    <row r="1" spans="1:5" x14ac:dyDescent="0.15">
      <c r="A1" s="30" t="s">
        <v>186</v>
      </c>
      <c r="B1" s="30" t="s">
        <v>187</v>
      </c>
      <c r="C1" s="31" t="s">
        <v>188</v>
      </c>
      <c r="D1" s="31" t="s">
        <v>292</v>
      </c>
      <c r="E1" s="31" t="s">
        <v>189</v>
      </c>
    </row>
    <row r="2" spans="1:5" x14ac:dyDescent="0.15">
      <c r="A2" s="32" t="s">
        <v>190</v>
      </c>
      <c r="B2" s="34" t="s">
        <v>191</v>
      </c>
      <c r="C2" s="42" t="s">
        <v>85</v>
      </c>
      <c r="D2" s="42" t="s">
        <v>85</v>
      </c>
      <c r="E2" s="42" t="s">
        <v>192</v>
      </c>
    </row>
    <row r="3" spans="1:5" x14ac:dyDescent="0.15">
      <c r="A3" s="34">
        <v>11</v>
      </c>
      <c r="B3" s="34" t="s">
        <v>193</v>
      </c>
      <c r="C3" s="42" t="s">
        <v>66</v>
      </c>
      <c r="D3" s="42" t="s">
        <v>263</v>
      </c>
      <c r="E3" s="42" t="s">
        <v>194</v>
      </c>
    </row>
    <row r="4" spans="1:5" x14ac:dyDescent="0.15">
      <c r="A4" s="34">
        <v>12</v>
      </c>
      <c r="B4" s="34" t="s">
        <v>195</v>
      </c>
      <c r="C4" s="42" t="s">
        <v>91</v>
      </c>
      <c r="D4" s="42" t="s">
        <v>264</v>
      </c>
      <c r="E4" s="42" t="s">
        <v>196</v>
      </c>
    </row>
    <row r="5" spans="1:5" x14ac:dyDescent="0.15">
      <c r="A5" s="34">
        <v>13</v>
      </c>
      <c r="B5" s="34" t="s">
        <v>197</v>
      </c>
      <c r="C5" s="42" t="s">
        <v>73</v>
      </c>
      <c r="D5" s="42" t="s">
        <v>265</v>
      </c>
      <c r="E5" s="42" t="s">
        <v>198</v>
      </c>
    </row>
    <row r="6" spans="1:5" x14ac:dyDescent="0.15">
      <c r="A6" s="34">
        <v>14</v>
      </c>
      <c r="B6" s="34" t="s">
        <v>199</v>
      </c>
      <c r="C6" s="42" t="s">
        <v>87</v>
      </c>
      <c r="D6" s="42" t="s">
        <v>266</v>
      </c>
      <c r="E6" s="42" t="s">
        <v>200</v>
      </c>
    </row>
    <row r="7" spans="1:5" x14ac:dyDescent="0.15">
      <c r="A7" s="34">
        <v>15</v>
      </c>
      <c r="B7" s="34" t="s">
        <v>201</v>
      </c>
      <c r="C7" s="42" t="s">
        <v>82</v>
      </c>
      <c r="D7" s="43" t="s">
        <v>261</v>
      </c>
      <c r="E7" s="42" t="s">
        <v>202</v>
      </c>
    </row>
    <row r="8" spans="1:5" x14ac:dyDescent="0.15">
      <c r="A8" s="34">
        <v>21</v>
      </c>
      <c r="B8" s="34" t="s">
        <v>203</v>
      </c>
      <c r="C8" s="42" t="s">
        <v>81</v>
      </c>
      <c r="D8" s="42" t="s">
        <v>267</v>
      </c>
      <c r="E8" s="42" t="s">
        <v>204</v>
      </c>
    </row>
    <row r="9" spans="1:5" x14ac:dyDescent="0.15">
      <c r="A9" s="34">
        <v>22</v>
      </c>
      <c r="B9" s="34" t="s">
        <v>205</v>
      </c>
      <c r="C9" s="42" t="s">
        <v>78</v>
      </c>
      <c r="D9" s="42" t="s">
        <v>268</v>
      </c>
      <c r="E9" s="42" t="s">
        <v>206</v>
      </c>
    </row>
    <row r="10" spans="1:5" x14ac:dyDescent="0.15">
      <c r="A10" s="34">
        <v>23</v>
      </c>
      <c r="B10" s="34" t="s">
        <v>207</v>
      </c>
      <c r="C10" s="42" t="s">
        <v>75</v>
      </c>
      <c r="D10" s="43" t="s">
        <v>262</v>
      </c>
      <c r="E10" s="42" t="s">
        <v>208</v>
      </c>
    </row>
    <row r="11" spans="1:5" x14ac:dyDescent="0.15">
      <c r="A11" s="34">
        <v>31</v>
      </c>
      <c r="B11" s="34" t="s">
        <v>209</v>
      </c>
      <c r="C11" s="42" t="s">
        <v>89</v>
      </c>
      <c r="D11" s="42" t="s">
        <v>269</v>
      </c>
      <c r="E11" s="42" t="s">
        <v>210</v>
      </c>
    </row>
    <row r="12" spans="1:5" x14ac:dyDescent="0.15">
      <c r="A12" s="34">
        <v>32</v>
      </c>
      <c r="B12" s="34" t="s">
        <v>211</v>
      </c>
      <c r="C12" s="42" t="s">
        <v>79</v>
      </c>
      <c r="D12" s="42" t="s">
        <v>270</v>
      </c>
      <c r="E12" s="42" t="s">
        <v>212</v>
      </c>
    </row>
    <row r="13" spans="1:5" x14ac:dyDescent="0.15">
      <c r="A13" s="34">
        <v>33</v>
      </c>
      <c r="B13" s="34" t="s">
        <v>213</v>
      </c>
      <c r="C13" s="42" t="s">
        <v>94</v>
      </c>
      <c r="D13" s="42" t="s">
        <v>271</v>
      </c>
      <c r="E13" s="42" t="s">
        <v>214</v>
      </c>
    </row>
    <row r="14" spans="1:5" x14ac:dyDescent="0.15">
      <c r="A14" s="34">
        <v>34</v>
      </c>
      <c r="B14" s="34" t="s">
        <v>215</v>
      </c>
      <c r="C14" s="42" t="s">
        <v>64</v>
      </c>
      <c r="D14" s="42" t="s">
        <v>272</v>
      </c>
      <c r="E14" s="42" t="s">
        <v>216</v>
      </c>
    </row>
    <row r="15" spans="1:5" x14ac:dyDescent="0.15">
      <c r="A15" s="34">
        <v>35</v>
      </c>
      <c r="B15" s="34" t="s">
        <v>217</v>
      </c>
      <c r="C15" s="42" t="s">
        <v>67</v>
      </c>
      <c r="D15" s="42" t="s">
        <v>273</v>
      </c>
      <c r="E15" s="42" t="s">
        <v>218</v>
      </c>
    </row>
    <row r="16" spans="1:5" x14ac:dyDescent="0.15">
      <c r="A16" s="34">
        <v>36</v>
      </c>
      <c r="B16" s="34" t="s">
        <v>219</v>
      </c>
      <c r="C16" s="42" t="s">
        <v>80</v>
      </c>
      <c r="D16" s="42" t="s">
        <v>274</v>
      </c>
      <c r="E16" s="42" t="s">
        <v>220</v>
      </c>
    </row>
    <row r="17" spans="1:5" x14ac:dyDescent="0.15">
      <c r="A17" s="34">
        <v>37</v>
      </c>
      <c r="B17" s="34" t="s">
        <v>221</v>
      </c>
      <c r="C17" s="42" t="s">
        <v>86</v>
      </c>
      <c r="D17" s="42" t="s">
        <v>275</v>
      </c>
      <c r="E17" s="42" t="s">
        <v>222</v>
      </c>
    </row>
    <row r="18" spans="1:5" x14ac:dyDescent="0.15">
      <c r="A18" s="34">
        <v>41</v>
      </c>
      <c r="B18" s="34" t="s">
        <v>223</v>
      </c>
      <c r="C18" s="42" t="s">
        <v>74</v>
      </c>
      <c r="D18" s="42" t="s">
        <v>276</v>
      </c>
      <c r="E18" s="42" t="s">
        <v>224</v>
      </c>
    </row>
    <row r="19" spans="1:5" x14ac:dyDescent="0.15">
      <c r="A19" s="34">
        <v>42</v>
      </c>
      <c r="B19" s="34" t="s">
        <v>225</v>
      </c>
      <c r="C19" s="42" t="s">
        <v>76</v>
      </c>
      <c r="D19" s="42" t="s">
        <v>277</v>
      </c>
      <c r="E19" s="42" t="s">
        <v>226</v>
      </c>
    </row>
    <row r="20" spans="1:5" x14ac:dyDescent="0.15">
      <c r="A20" s="34">
        <v>43</v>
      </c>
      <c r="B20" s="34" t="s">
        <v>227</v>
      </c>
      <c r="C20" s="42" t="s">
        <v>77</v>
      </c>
      <c r="D20" s="42" t="s">
        <v>278</v>
      </c>
      <c r="E20" s="42" t="s">
        <v>228</v>
      </c>
    </row>
    <row r="21" spans="1:5" x14ac:dyDescent="0.15">
      <c r="A21" s="34">
        <v>44</v>
      </c>
      <c r="B21" s="34" t="s">
        <v>229</v>
      </c>
      <c r="C21" s="42" t="s">
        <v>69</v>
      </c>
      <c r="D21" s="42" t="s">
        <v>279</v>
      </c>
      <c r="E21" s="42" t="s">
        <v>230</v>
      </c>
    </row>
    <row r="22" spans="1:5" x14ac:dyDescent="0.15">
      <c r="A22" s="34">
        <v>45</v>
      </c>
      <c r="B22" s="34" t="s">
        <v>231</v>
      </c>
      <c r="C22" s="42" t="s">
        <v>70</v>
      </c>
      <c r="D22" s="42" t="s">
        <v>280</v>
      </c>
      <c r="E22" s="42" t="s">
        <v>232</v>
      </c>
    </row>
    <row r="23" spans="1:5" x14ac:dyDescent="0.15">
      <c r="A23" s="34">
        <v>46</v>
      </c>
      <c r="B23" s="34" t="s">
        <v>233</v>
      </c>
      <c r="C23" s="42" t="s">
        <v>72</v>
      </c>
      <c r="D23" s="42" t="s">
        <v>281</v>
      </c>
      <c r="E23" s="42" t="s">
        <v>234</v>
      </c>
    </row>
    <row r="24" spans="1:5" x14ac:dyDescent="0.15">
      <c r="A24" s="34">
        <v>50</v>
      </c>
      <c r="B24" s="34" t="s">
        <v>235</v>
      </c>
      <c r="C24" s="42" t="s">
        <v>95</v>
      </c>
      <c r="D24" s="42" t="s">
        <v>282</v>
      </c>
      <c r="E24" s="42" t="s">
        <v>236</v>
      </c>
    </row>
    <row r="25" spans="1:5" x14ac:dyDescent="0.15">
      <c r="A25" s="34">
        <v>51</v>
      </c>
      <c r="B25" s="34" t="s">
        <v>237</v>
      </c>
      <c r="C25" s="42" t="s">
        <v>90</v>
      </c>
      <c r="D25" s="42" t="s">
        <v>283</v>
      </c>
      <c r="E25" s="42" t="s">
        <v>238</v>
      </c>
    </row>
    <row r="26" spans="1:5" x14ac:dyDescent="0.15">
      <c r="A26" s="34">
        <v>52</v>
      </c>
      <c r="B26" s="34" t="s">
        <v>239</v>
      </c>
      <c r="C26" s="42" t="s">
        <v>71</v>
      </c>
      <c r="D26" s="42" t="s">
        <v>284</v>
      </c>
      <c r="E26" s="42" t="s">
        <v>240</v>
      </c>
    </row>
    <row r="27" spans="1:5" x14ac:dyDescent="0.15">
      <c r="A27" s="34">
        <v>53</v>
      </c>
      <c r="B27" s="34" t="s">
        <v>241</v>
      </c>
      <c r="C27" s="42" t="s">
        <v>93</v>
      </c>
      <c r="D27" s="42" t="s">
        <v>285</v>
      </c>
      <c r="E27" s="42" t="s">
        <v>242</v>
      </c>
    </row>
    <row r="28" spans="1:5" x14ac:dyDescent="0.15">
      <c r="A28" s="34">
        <v>54</v>
      </c>
      <c r="B28" s="34" t="s">
        <v>243</v>
      </c>
      <c r="C28" s="42" t="s">
        <v>244</v>
      </c>
      <c r="D28" s="42" t="s">
        <v>286</v>
      </c>
      <c r="E28" s="42" t="s">
        <v>245</v>
      </c>
    </row>
    <row r="29" spans="1:5" x14ac:dyDescent="0.15">
      <c r="A29" s="34">
        <v>61</v>
      </c>
      <c r="B29" s="34" t="s">
        <v>246</v>
      </c>
      <c r="C29" s="42" t="s">
        <v>88</v>
      </c>
      <c r="D29" s="42" t="s">
        <v>287</v>
      </c>
      <c r="E29" s="42" t="s">
        <v>247</v>
      </c>
    </row>
    <row r="30" spans="1:5" x14ac:dyDescent="0.15">
      <c r="A30" s="34">
        <v>62</v>
      </c>
      <c r="B30" s="34" t="s">
        <v>248</v>
      </c>
      <c r="C30" s="42" t="s">
        <v>68</v>
      </c>
      <c r="D30" s="42" t="s">
        <v>288</v>
      </c>
      <c r="E30" s="42" t="s">
        <v>249</v>
      </c>
    </row>
    <row r="31" spans="1:5" x14ac:dyDescent="0.15">
      <c r="A31" s="34">
        <v>63</v>
      </c>
      <c r="B31" s="34" t="s">
        <v>250</v>
      </c>
      <c r="C31" s="42" t="s">
        <v>84</v>
      </c>
      <c r="D31" s="42" t="s">
        <v>289</v>
      </c>
      <c r="E31" s="42" t="s">
        <v>251</v>
      </c>
    </row>
    <row r="32" spans="1:5" x14ac:dyDescent="0.15">
      <c r="A32" s="34">
        <v>64</v>
      </c>
      <c r="B32" s="34" t="s">
        <v>252</v>
      </c>
      <c r="C32" s="42" t="s">
        <v>83</v>
      </c>
      <c r="D32" s="42" t="s">
        <v>290</v>
      </c>
      <c r="E32" s="42" t="s">
        <v>253</v>
      </c>
    </row>
    <row r="33" spans="1:5" x14ac:dyDescent="0.15">
      <c r="A33" s="34">
        <v>65</v>
      </c>
      <c r="B33" s="34" t="s">
        <v>254</v>
      </c>
      <c r="C33" s="42" t="s">
        <v>92</v>
      </c>
      <c r="D33" s="42" t="s">
        <v>291</v>
      </c>
      <c r="E33" s="43" t="s">
        <v>293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39DF-81D4-4F01-B938-C9636459A705}">
  <dimension ref="A1:I5113"/>
  <sheetViews>
    <sheetView workbookViewId="0">
      <selection activeCell="H29" sqref="H29"/>
    </sheetView>
  </sheetViews>
  <sheetFormatPr defaultRowHeight="13.5" x14ac:dyDescent="0.15"/>
  <cols>
    <col min="1" max="1" width="7.5" bestFit="1" customWidth="1"/>
    <col min="2" max="2" width="17.25" bestFit="1" customWidth="1"/>
    <col min="3" max="3" width="5.5" bestFit="1" customWidth="1"/>
    <col min="4" max="4" width="10.25" bestFit="1" customWidth="1"/>
    <col min="5" max="5" width="13" bestFit="1" customWidth="1"/>
    <col min="6" max="7" width="11" bestFit="1" customWidth="1"/>
    <col min="8" max="8" width="15.125" style="13" bestFit="1" customWidth="1"/>
    <col min="9" max="9" width="23.875" bestFit="1" customWidth="1"/>
  </cols>
  <sheetData>
    <row r="1" spans="1:9" x14ac:dyDescent="0.15">
      <c r="A1" s="2" t="s">
        <v>58</v>
      </c>
      <c r="B1" s="2" t="s">
        <v>59</v>
      </c>
      <c r="C1" s="2" t="s">
        <v>60</v>
      </c>
      <c r="D1" s="2" t="s">
        <v>0</v>
      </c>
      <c r="E1" s="2" t="s">
        <v>61</v>
      </c>
      <c r="F1" s="2" t="s">
        <v>34</v>
      </c>
      <c r="G1" s="7" t="s">
        <v>62</v>
      </c>
      <c r="H1" s="12" t="s">
        <v>63</v>
      </c>
      <c r="I1" s="29" t="s">
        <v>184</v>
      </c>
    </row>
    <row r="2" spans="1:9" x14ac:dyDescent="0.15">
      <c r="A2" s="2">
        <v>12</v>
      </c>
      <c r="B2" s="2" t="s">
        <v>64</v>
      </c>
      <c r="C2" s="2">
        <v>2022</v>
      </c>
      <c r="D2" s="2" t="s">
        <v>1</v>
      </c>
      <c r="E2" s="2" t="s">
        <v>18</v>
      </c>
      <c r="F2" s="2" t="s">
        <v>35</v>
      </c>
      <c r="G2" s="7">
        <v>-0.12</v>
      </c>
      <c r="H2" s="13">
        <f>IFERROR(IF(ABS($G2)&gt;0,VLOOKUP($E2,'Fuel Category and Heat Rate'!$B$1:$G$34,6,FALSE)*($G2),""),"")</f>
        <v>-48511555099.192139</v>
      </c>
      <c r="I2" t="str">
        <f>IFERROR(VLOOKUP($E2,'Fuel Category and Heat Rate'!$K$2:$M$36,3,FALSE),"")</f>
        <v>petroleum diesel</v>
      </c>
    </row>
    <row r="3" spans="1:9" x14ac:dyDescent="0.15">
      <c r="A3" s="2">
        <v>47</v>
      </c>
      <c r="B3" s="2" t="s">
        <v>64</v>
      </c>
      <c r="C3" s="2">
        <v>2022</v>
      </c>
      <c r="D3" s="2" t="s">
        <v>1</v>
      </c>
      <c r="E3" s="2" t="s">
        <v>32</v>
      </c>
      <c r="F3" s="2" t="s">
        <v>65</v>
      </c>
      <c r="G3" s="7"/>
      <c r="H3" s="13" t="str">
        <f>IFERROR(IF(ABS($G3)&gt;0,VLOOKUP($E3,'Fuel Category and Heat Rate'!$B$1:$G$34,6,FALSE)*($G3),""),"")</f>
        <v/>
      </c>
      <c r="I3" t="str">
        <f>IFERROR(VLOOKUP($E3,'Fuel Category and Heat Rate'!$K$2:$M$36,3,FALSE),"")</f>
        <v>electricity</v>
      </c>
    </row>
    <row r="4" spans="1:9" x14ac:dyDescent="0.15">
      <c r="A4" s="2">
        <v>82</v>
      </c>
      <c r="B4" s="2" t="s">
        <v>64</v>
      </c>
      <c r="C4" s="2">
        <v>2022</v>
      </c>
      <c r="D4" s="2" t="s">
        <v>1</v>
      </c>
      <c r="E4" s="2" t="s">
        <v>10</v>
      </c>
      <c r="F4" s="2" t="s">
        <v>36</v>
      </c>
      <c r="G4" s="7">
        <v>-5.24</v>
      </c>
      <c r="H4" s="13">
        <f>IFERROR(IF(ABS($G4)&gt;0,VLOOKUP($E4,'Fuel Category and Heat Rate'!$B$1:$G$34,6,FALSE)*($G4),""),"")</f>
        <v>-1868917176280.2888</v>
      </c>
      <c r="I4" t="str">
        <f>IFERROR(VLOOKUP($E4,'Fuel Category and Heat Rate'!$K$2:$M$36,3,FALSE),"")</f>
        <v>LPG propane or butane</v>
      </c>
    </row>
    <row r="5" spans="1:9" x14ac:dyDescent="0.15">
      <c r="A5" s="2">
        <v>117</v>
      </c>
      <c r="B5" s="2" t="s">
        <v>64</v>
      </c>
      <c r="C5" s="2">
        <v>2022</v>
      </c>
      <c r="D5" s="2" t="s">
        <v>1</v>
      </c>
      <c r="E5" s="2" t="s">
        <v>9</v>
      </c>
      <c r="F5" s="2" t="s">
        <v>36</v>
      </c>
      <c r="G5" s="7">
        <v>-1.68</v>
      </c>
      <c r="H5" s="13">
        <f>IFERROR(IF(ABS($G5)&gt;0,VLOOKUP($E5,'Fuel Category and Heat Rate'!$B$1:$G$34,6,FALSE)*($G5),""),"")</f>
        <v>-2763254665617.9385</v>
      </c>
      <c r="I5" t="str">
        <f>IFERROR(VLOOKUP($E5,'Fuel Category and Heat Rate'!$K$2:$M$36,3,FALSE),"")</f>
        <v>LPG propane or butane</v>
      </c>
    </row>
    <row r="6" spans="1:9" x14ac:dyDescent="0.15">
      <c r="A6" s="2">
        <v>152</v>
      </c>
      <c r="B6" s="2" t="s">
        <v>64</v>
      </c>
      <c r="C6" s="2">
        <v>2022</v>
      </c>
      <c r="D6" s="2" t="s">
        <v>1</v>
      </c>
      <c r="E6" s="2" t="s">
        <v>8</v>
      </c>
      <c r="F6" s="2" t="s">
        <v>35</v>
      </c>
      <c r="G6" s="7"/>
      <c r="H6" s="13" t="str">
        <f>IFERROR(IF(ABS($G6)&gt;0,VLOOKUP($E6,'Fuel Category and Heat Rate'!$B$1:$G$34,6,FALSE)*($G6),""),"")</f>
        <v/>
      </c>
      <c r="I6" t="str">
        <f>IFERROR(VLOOKUP($E6,'Fuel Category and Heat Rate'!$K$2:$M$36,3,FALSE),"")</f>
        <v>coal</v>
      </c>
    </row>
    <row r="7" spans="1:9" x14ac:dyDescent="0.15">
      <c r="A7" s="2">
        <v>187</v>
      </c>
      <c r="B7" s="2" t="s">
        <v>64</v>
      </c>
      <c r="C7" s="2">
        <v>2022</v>
      </c>
      <c r="D7" s="2" t="s">
        <v>1</v>
      </c>
      <c r="E7" s="2" t="s">
        <v>27</v>
      </c>
      <c r="F7" s="2" t="s">
        <v>35</v>
      </c>
      <c r="G7" s="7">
        <v>-1.1200000000000001</v>
      </c>
      <c r="H7" s="13">
        <f>IFERROR(IF(ABS($G7)&gt;0,VLOOKUP($E7,'Fuel Category and Heat Rate'!$B$1:$G$34,6,FALSE)*($G7),""),"")</f>
        <v>-488294150494.49756</v>
      </c>
      <c r="I7" t="str">
        <f>IFERROR(VLOOKUP($E7,'Fuel Category and Heat Rate'!$K$2:$M$36,3,FALSE),"")</f>
        <v>LPG propane or butane</v>
      </c>
    </row>
    <row r="8" spans="1:9" x14ac:dyDescent="0.15">
      <c r="A8" s="2">
        <v>222</v>
      </c>
      <c r="B8" s="2" t="s">
        <v>64</v>
      </c>
      <c r="C8" s="2">
        <v>2022</v>
      </c>
      <c r="D8" s="2" t="s">
        <v>1</v>
      </c>
      <c r="E8" s="2" t="s">
        <v>7</v>
      </c>
      <c r="F8" s="2" t="s">
        <v>35</v>
      </c>
      <c r="G8" s="7">
        <v>-19.829999999999998</v>
      </c>
      <c r="H8" s="13">
        <f>IFERROR(IF(ABS($G8)&gt;0,VLOOKUP($E8,'Fuel Category and Heat Rate'!$B$1:$G$34,6,FALSE)*($G8),""),"")</f>
        <v>-1573911182047.8508</v>
      </c>
      <c r="I8" t="str">
        <f>IFERROR(VLOOKUP($E8,'Fuel Category and Heat Rate'!$K$2:$M$36,3,FALSE),"")</f>
        <v>coal</v>
      </c>
    </row>
    <row r="9" spans="1:9" x14ac:dyDescent="0.15">
      <c r="A9" s="2">
        <v>257</v>
      </c>
      <c r="B9" s="2" t="s">
        <v>64</v>
      </c>
      <c r="C9" s="2">
        <v>2022</v>
      </c>
      <c r="D9" s="2" t="s">
        <v>1</v>
      </c>
      <c r="E9" s="2" t="s">
        <v>2</v>
      </c>
      <c r="F9" s="2" t="s">
        <v>35</v>
      </c>
      <c r="G9" s="7">
        <v>-899.07</v>
      </c>
      <c r="H9" s="13">
        <f>IFERROR(IF(ABS($G9)&gt;0,VLOOKUP($E9,'Fuel Category and Heat Rate'!$B$1:$G$34,6,FALSE)*($G9),""),"")</f>
        <v>0</v>
      </c>
      <c r="I9" t="str">
        <f>IFERROR(VLOOKUP($E9,'Fuel Category and Heat Rate'!$K$2:$M$36,3,FALSE),"")</f>
        <v/>
      </c>
    </row>
    <row r="10" spans="1:9" x14ac:dyDescent="0.15">
      <c r="A10" s="2">
        <v>292</v>
      </c>
      <c r="B10" s="2" t="s">
        <v>64</v>
      </c>
      <c r="C10" s="2">
        <v>2022</v>
      </c>
      <c r="D10" s="2" t="s">
        <v>1</v>
      </c>
      <c r="E10" s="2" t="s">
        <v>17</v>
      </c>
      <c r="F10" s="2" t="s">
        <v>35</v>
      </c>
      <c r="G10" s="7"/>
      <c r="H10" s="13" t="str">
        <f>IFERROR(IF(ABS($G10)&gt;0,VLOOKUP($E10,'Fuel Category and Heat Rate'!$B$1:$G$34,6,FALSE)*($G10),""),"")</f>
        <v/>
      </c>
      <c r="I10" t="str">
        <f>IFERROR(VLOOKUP($E10,'Fuel Category and Heat Rate'!$K$2:$M$36,3,FALSE),"")</f>
        <v>petroleum diesel</v>
      </c>
    </row>
    <row r="11" spans="1:9" x14ac:dyDescent="0.15">
      <c r="A11" s="2">
        <v>327</v>
      </c>
      <c r="B11" s="2" t="s">
        <v>64</v>
      </c>
      <c r="C11" s="2">
        <v>2022</v>
      </c>
      <c r="D11" s="2" t="s">
        <v>1</v>
      </c>
      <c r="E11" s="2" t="s">
        <v>13</v>
      </c>
      <c r="F11" s="2" t="s">
        <v>35</v>
      </c>
      <c r="G11" s="7"/>
      <c r="H11" s="13" t="str">
        <f>IFERROR(IF(ABS($G11)&gt;0,VLOOKUP($E11,'Fuel Category and Heat Rate'!$B$1:$G$34,6,FALSE)*($G11),""),"")</f>
        <v/>
      </c>
      <c r="I11" t="str">
        <f>IFERROR(VLOOKUP($E11,'Fuel Category and Heat Rate'!$K$2:$M$36,3,FALSE),"")</f>
        <v>petroleum diesel</v>
      </c>
    </row>
    <row r="12" spans="1:9" x14ac:dyDescent="0.15">
      <c r="A12" s="2">
        <v>362</v>
      </c>
      <c r="B12" s="2" t="s">
        <v>64</v>
      </c>
      <c r="C12" s="2">
        <v>2022</v>
      </c>
      <c r="D12" s="2" t="s">
        <v>1</v>
      </c>
      <c r="E12" s="2" t="s">
        <v>12</v>
      </c>
      <c r="F12" s="2" t="s">
        <v>36</v>
      </c>
      <c r="G12" s="7"/>
      <c r="H12" s="13" t="str">
        <f>IFERROR(IF(ABS($G12)&gt;0,VLOOKUP($E12,'Fuel Category and Heat Rate'!$B$1:$G$34,6,FALSE)*($G12),""),"")</f>
        <v/>
      </c>
      <c r="I12" t="str">
        <f>IFERROR(VLOOKUP($E12,'Fuel Category and Heat Rate'!$K$2:$M$36,3,FALSE),"")</f>
        <v>LPG propane or butane</v>
      </c>
    </row>
    <row r="13" spans="1:9" x14ac:dyDescent="0.15">
      <c r="A13" s="2">
        <v>397</v>
      </c>
      <c r="B13" s="2" t="s">
        <v>64</v>
      </c>
      <c r="C13" s="2">
        <v>2022</v>
      </c>
      <c r="D13" s="2" t="s">
        <v>1</v>
      </c>
      <c r="E13" s="2" t="s">
        <v>33</v>
      </c>
      <c r="F13" s="2" t="s">
        <v>38</v>
      </c>
      <c r="G13" s="7">
        <v>-38.369999999999997</v>
      </c>
      <c r="H13" s="13">
        <f>IFERROR(IF(ABS($G13)&gt;0,VLOOKUP($E13,'Fuel Category and Heat Rate'!$B$1:$G$34,6,FALSE)*($G13),""),"")</f>
        <v>-10645202052573.803</v>
      </c>
      <c r="I13" t="str">
        <f>IFERROR(VLOOKUP($E13,'Fuel Category and Heat Rate'!$K$2:$M$36,3,FALSE),"")</f>
        <v>biomass</v>
      </c>
    </row>
    <row r="14" spans="1:9" x14ac:dyDescent="0.15">
      <c r="A14" s="2">
        <v>432</v>
      </c>
      <c r="B14" s="2" t="s">
        <v>64</v>
      </c>
      <c r="C14" s="2">
        <v>2022</v>
      </c>
      <c r="D14" s="2" t="s">
        <v>1</v>
      </c>
      <c r="E14" s="2" t="s">
        <v>28</v>
      </c>
      <c r="F14" s="2" t="s">
        <v>35</v>
      </c>
      <c r="G14" s="7"/>
      <c r="H14" s="13" t="str">
        <f>IFERROR(IF(ABS($G14)&gt;0,VLOOKUP($E14,'Fuel Category and Heat Rate'!$B$1:$G$34,6,FALSE)*($G14),""),"")</f>
        <v/>
      </c>
      <c r="I14" t="str">
        <f>IFERROR(VLOOKUP($E14,'Fuel Category and Heat Rate'!$K$2:$M$36,3,FALSE),"")</f>
        <v>heavy or residual fuel oil</v>
      </c>
    </row>
    <row r="15" spans="1:9" x14ac:dyDescent="0.15">
      <c r="A15" s="2">
        <v>467</v>
      </c>
      <c r="B15" s="2" t="s">
        <v>64</v>
      </c>
      <c r="C15" s="2">
        <v>2022</v>
      </c>
      <c r="D15" s="2" t="s">
        <v>1</v>
      </c>
      <c r="E15" s="2" t="s">
        <v>5</v>
      </c>
      <c r="F15" s="2" t="s">
        <v>35</v>
      </c>
      <c r="G15" s="7">
        <v>-20.8</v>
      </c>
      <c r="H15" s="13">
        <f>IFERROR(IF(ABS($G15)&gt;0,VLOOKUP($E15,'Fuel Category and Heat Rate'!$B$1:$G$34,6,FALSE)*($G15),""),"")</f>
        <v>-1648731676147.7603</v>
      </c>
      <c r="I15" t="str">
        <f>IFERROR(VLOOKUP($E15,'Fuel Category and Heat Rate'!$K$2:$M$36,3,FALSE),"")</f>
        <v>coal</v>
      </c>
    </row>
    <row r="16" spans="1:9" x14ac:dyDescent="0.15">
      <c r="A16" s="2">
        <v>502</v>
      </c>
      <c r="B16" s="2" t="s">
        <v>64</v>
      </c>
      <c r="C16" s="2">
        <v>2022</v>
      </c>
      <c r="D16" s="2" t="s">
        <v>1</v>
      </c>
      <c r="E16" s="2" t="s">
        <v>16</v>
      </c>
      <c r="F16" s="2" t="s">
        <v>35</v>
      </c>
      <c r="G16" s="7"/>
      <c r="H16" s="13" t="str">
        <f>IFERROR(IF(ABS($G16)&gt;0,VLOOKUP($E16,'Fuel Category and Heat Rate'!$B$1:$G$34,6,FALSE)*($G16),""),"")</f>
        <v/>
      </c>
      <c r="I16" t="str">
        <f>IFERROR(VLOOKUP($E16,'Fuel Category and Heat Rate'!$K$2:$M$36,3,FALSE),"")</f>
        <v>petroleum diesel</v>
      </c>
    </row>
    <row r="17" spans="1:9" x14ac:dyDescent="0.15">
      <c r="A17" s="2">
        <v>537</v>
      </c>
      <c r="B17" s="2" t="s">
        <v>64</v>
      </c>
      <c r="C17" s="2">
        <v>2022</v>
      </c>
      <c r="D17" s="2" t="s">
        <v>1</v>
      </c>
      <c r="E17" s="2" t="s">
        <v>19</v>
      </c>
      <c r="F17" s="2" t="s">
        <v>35</v>
      </c>
      <c r="G17" s="7"/>
      <c r="H17" s="13" t="str">
        <f>IFERROR(IF(ABS($G17)&gt;0,VLOOKUP($E17,'Fuel Category and Heat Rate'!$B$1:$G$34,6,FALSE)*($G17),""),"")</f>
        <v/>
      </c>
      <c r="I17" t="str">
        <f>IFERROR(VLOOKUP($E17,'Fuel Category and Heat Rate'!$K$2:$M$36,3,FALSE),"")</f>
        <v>heavy or residual fuel oil</v>
      </c>
    </row>
    <row r="18" spans="1:9" x14ac:dyDescent="0.15">
      <c r="A18" s="2">
        <v>572</v>
      </c>
      <c r="B18" s="2" t="s">
        <v>64</v>
      </c>
      <c r="C18" s="2">
        <v>2022</v>
      </c>
      <c r="D18" s="2" t="s">
        <v>1</v>
      </c>
      <c r="E18" s="2" t="s">
        <v>31</v>
      </c>
      <c r="F18" s="2" t="s">
        <v>37</v>
      </c>
      <c r="G18" s="7">
        <v>17230.490000000002</v>
      </c>
      <c r="H18" s="13">
        <f>IFERROR(IF(ABS($G18)&gt;0,VLOOKUP($E18,'Fuel Category and Heat Rate'!$B$1:$G$34,6,FALSE)*($G18),""),"")</f>
        <v>163313534539427.5</v>
      </c>
      <c r="I18" t="str">
        <f>IFERROR(VLOOKUP($E18,'Fuel Category and Heat Rate'!$K$2:$M$36,3,FALSE),"")</f>
        <v>heat</v>
      </c>
    </row>
    <row r="19" spans="1:9" x14ac:dyDescent="0.15">
      <c r="A19" s="2">
        <v>607</v>
      </c>
      <c r="B19" s="2" t="s">
        <v>64</v>
      </c>
      <c r="C19" s="2">
        <v>2022</v>
      </c>
      <c r="D19" s="2" t="s">
        <v>1</v>
      </c>
      <c r="E19" s="2" t="s">
        <v>23</v>
      </c>
      <c r="F19" s="2" t="s">
        <v>35</v>
      </c>
      <c r="G19" s="7"/>
      <c r="H19" s="13" t="str">
        <f>IFERROR(IF(ABS($G19)&gt;0,VLOOKUP($E19,'Fuel Category and Heat Rate'!$B$1:$G$34,6,FALSE)*($G19),""),"")</f>
        <v/>
      </c>
      <c r="I19" t="str">
        <f>IFERROR(VLOOKUP($E19,'Fuel Category and Heat Rate'!$K$2:$M$36,3,FALSE),"")</f>
        <v>heavy or residual fuel oil</v>
      </c>
    </row>
    <row r="20" spans="1:9" x14ac:dyDescent="0.15">
      <c r="A20" s="2">
        <v>642</v>
      </c>
      <c r="B20" s="2" t="s">
        <v>64</v>
      </c>
      <c r="C20" s="2">
        <v>2022</v>
      </c>
      <c r="D20" s="2" t="s">
        <v>1</v>
      </c>
      <c r="E20" s="2" t="s">
        <v>21</v>
      </c>
      <c r="F20" s="2" t="s">
        <v>35</v>
      </c>
      <c r="G20" s="7"/>
      <c r="H20" s="13" t="str">
        <f>IFERROR(IF(ABS($G20)&gt;0,VLOOKUP($E20,'Fuel Category and Heat Rate'!$B$1:$G$34,6,FALSE)*($G20),""),"")</f>
        <v/>
      </c>
      <c r="I20" t="str">
        <f>IFERROR(VLOOKUP($E20,'Fuel Category and Heat Rate'!$K$2:$M$36,3,FALSE),"")</f>
        <v>LPG propane or butane</v>
      </c>
    </row>
    <row r="21" spans="1:9" x14ac:dyDescent="0.15">
      <c r="A21" s="2">
        <v>677</v>
      </c>
      <c r="B21" s="2" t="s">
        <v>64</v>
      </c>
      <c r="C21" s="2">
        <v>2022</v>
      </c>
      <c r="D21" s="2" t="s">
        <v>1</v>
      </c>
      <c r="E21" s="2" t="s">
        <v>22</v>
      </c>
      <c r="F21" s="2" t="s">
        <v>35</v>
      </c>
      <c r="G21" s="7"/>
      <c r="H21" s="13" t="str">
        <f>IFERROR(IF(ABS($G21)&gt;0,VLOOKUP($E21,'Fuel Category and Heat Rate'!$B$1:$G$34,6,FALSE)*($G21),""),"")</f>
        <v/>
      </c>
      <c r="I21" t="str">
        <f>IFERROR(VLOOKUP($E21,'Fuel Category and Heat Rate'!$K$2:$M$36,3,FALSE),"")</f>
        <v>heavy fuel oil</v>
      </c>
    </row>
    <row r="22" spans="1:9" x14ac:dyDescent="0.15">
      <c r="A22" s="2">
        <v>712</v>
      </c>
      <c r="B22" s="2" t="s">
        <v>64</v>
      </c>
      <c r="C22" s="2">
        <v>2022</v>
      </c>
      <c r="D22" s="2" t="s">
        <v>1</v>
      </c>
      <c r="E22" s="2" t="s">
        <v>20</v>
      </c>
      <c r="F22" s="2" t="s">
        <v>35</v>
      </c>
      <c r="G22" s="7"/>
      <c r="H22" s="13" t="str">
        <f>IFERROR(IF(ABS($G22)&gt;0,VLOOKUP($E22,'Fuel Category and Heat Rate'!$B$1:$G$34,6,FALSE)*($G22),""),"")</f>
        <v/>
      </c>
      <c r="I22" t="str">
        <f>IFERROR(VLOOKUP($E22,'Fuel Category and Heat Rate'!$K$2:$M$36,3,FALSE),"")</f>
        <v>LPG propane or butane</v>
      </c>
    </row>
    <row r="23" spans="1:9" x14ac:dyDescent="0.15">
      <c r="A23" s="2">
        <v>747</v>
      </c>
      <c r="B23" s="2" t="s">
        <v>64</v>
      </c>
      <c r="C23" s="2">
        <v>2022</v>
      </c>
      <c r="D23" s="2" t="s">
        <v>1</v>
      </c>
      <c r="E23" s="2" t="s">
        <v>25</v>
      </c>
      <c r="F23" s="2" t="s">
        <v>35</v>
      </c>
      <c r="G23" s="7"/>
      <c r="H23" s="13" t="str">
        <f>IFERROR(IF(ABS($G23)&gt;0,VLOOKUP($E23,'Fuel Category and Heat Rate'!$B$1:$G$34,6,FALSE)*($G23),""),"")</f>
        <v/>
      </c>
      <c r="I23" t="str">
        <f>IFERROR(VLOOKUP($E23,'Fuel Category and Heat Rate'!$K$2:$M$36,3,FALSE),"")</f>
        <v>heavy fuel oil</v>
      </c>
    </row>
    <row r="24" spans="1:9" x14ac:dyDescent="0.15">
      <c r="A24" s="2">
        <v>782</v>
      </c>
      <c r="B24" s="2" t="s">
        <v>64</v>
      </c>
      <c r="C24" s="2">
        <v>2022</v>
      </c>
      <c r="D24" s="2" t="s">
        <v>1</v>
      </c>
      <c r="E24" s="2" t="s">
        <v>24</v>
      </c>
      <c r="F24" s="2" t="s">
        <v>35</v>
      </c>
      <c r="G24" s="7"/>
      <c r="H24" s="13" t="str">
        <f>IFERROR(IF(ABS($G24)&gt;0,VLOOKUP($E24,'Fuel Category and Heat Rate'!$B$1:$G$34,6,FALSE)*($G24),""),"")</f>
        <v/>
      </c>
      <c r="I24" t="str">
        <f>IFERROR(VLOOKUP($E24,'Fuel Category and Heat Rate'!$K$2:$M$36,3,FALSE),"")</f>
        <v>heavy fuel oil</v>
      </c>
    </row>
    <row r="25" spans="1:9" x14ac:dyDescent="0.15">
      <c r="A25" s="2">
        <v>817</v>
      </c>
      <c r="B25" s="2" t="s">
        <v>64</v>
      </c>
      <c r="C25" s="2">
        <v>2022</v>
      </c>
      <c r="D25" s="2" t="s">
        <v>1</v>
      </c>
      <c r="E25" s="2" t="s">
        <v>29</v>
      </c>
      <c r="F25" s="2" t="s">
        <v>36</v>
      </c>
      <c r="G25" s="7">
        <v>-0.8</v>
      </c>
      <c r="H25" s="13">
        <f>IFERROR(IF(ABS($G25)&gt;0,VLOOKUP($E25,'Fuel Category and Heat Rate'!$B$1:$G$34,6,FALSE)*($G25),""),"")</f>
        <v>-2698207872123.5469</v>
      </c>
      <c r="I25" t="str">
        <f>IFERROR(VLOOKUP($E25,'Fuel Category and Heat Rate'!$K$2:$M$36,3,FALSE),"")</f>
        <v>natural gas</v>
      </c>
    </row>
    <row r="26" spans="1:9" x14ac:dyDescent="0.15">
      <c r="A26" s="2">
        <v>852</v>
      </c>
      <c r="B26" s="2" t="s">
        <v>64</v>
      </c>
      <c r="C26" s="2">
        <v>2022</v>
      </c>
      <c r="D26" s="2" t="s">
        <v>1</v>
      </c>
      <c r="E26" s="2" t="s">
        <v>4</v>
      </c>
      <c r="F26" s="2" t="s">
        <v>35</v>
      </c>
      <c r="G26" s="7"/>
      <c r="H26" s="13" t="str">
        <f>IFERROR(IF(ABS($G26)&gt;0,VLOOKUP($E26,'Fuel Category and Heat Rate'!$B$1:$G$34,6,FALSE)*($G26),""),"")</f>
        <v/>
      </c>
      <c r="I26" t="str">
        <f>IFERROR(VLOOKUP($E26,'Fuel Category and Heat Rate'!$K$2:$M$36,3,FALSE),"")</f>
        <v>coal</v>
      </c>
    </row>
    <row r="27" spans="1:9" x14ac:dyDescent="0.15">
      <c r="A27" s="2">
        <v>887</v>
      </c>
      <c r="B27" s="2" t="s">
        <v>64</v>
      </c>
      <c r="C27" s="2">
        <v>2022</v>
      </c>
      <c r="D27" s="2" t="s">
        <v>1</v>
      </c>
      <c r="E27" s="2" t="s">
        <v>6</v>
      </c>
      <c r="F27" s="2" t="s">
        <v>35</v>
      </c>
      <c r="G27" s="7"/>
      <c r="H27" s="13" t="str">
        <f>IFERROR(IF(ABS($G27)&gt;0,VLOOKUP($E27,'Fuel Category and Heat Rate'!$B$1:$G$34,6,FALSE)*($G27),""),"")</f>
        <v/>
      </c>
      <c r="I27" t="str">
        <f>IFERROR(VLOOKUP($E27,'Fuel Category and Heat Rate'!$K$2:$M$36,3,FALSE),"")</f>
        <v>coal</v>
      </c>
    </row>
    <row r="28" spans="1:9" x14ac:dyDescent="0.15">
      <c r="A28" s="2">
        <v>922</v>
      </c>
      <c r="B28" s="2" t="s">
        <v>64</v>
      </c>
      <c r="C28" s="2">
        <v>2022</v>
      </c>
      <c r="D28" s="2" t="s">
        <v>1</v>
      </c>
      <c r="E28" s="2" t="s">
        <v>26</v>
      </c>
      <c r="F28" s="2" t="s">
        <v>35</v>
      </c>
      <c r="G28" s="7"/>
      <c r="H28" s="13" t="str">
        <f>IFERROR(IF(ABS($G28)&gt;0,VLOOKUP($E28,'Fuel Category and Heat Rate'!$B$1:$G$34,6,FALSE)*($G28),""),"")</f>
        <v/>
      </c>
      <c r="I28" t="str">
        <f>IFERROR(VLOOKUP($E28,'Fuel Category and Heat Rate'!$K$2:$M$36,3,FALSE),"")</f>
        <v>LPG propane or butane</v>
      </c>
    </row>
    <row r="29" spans="1:9" x14ac:dyDescent="0.15">
      <c r="A29" s="2">
        <v>957</v>
      </c>
      <c r="B29" s="2" t="s">
        <v>64</v>
      </c>
      <c r="C29" s="2">
        <v>2022</v>
      </c>
      <c r="D29" s="2" t="s">
        <v>1</v>
      </c>
      <c r="E29" s="2" t="s">
        <v>30</v>
      </c>
      <c r="F29" s="2" t="s">
        <v>35</v>
      </c>
      <c r="G29" s="7">
        <v>-0.35</v>
      </c>
      <c r="H29" s="13">
        <f>IFERROR(IF(ABS($G29)&gt;0,VLOOKUP($E29,'Fuel Category and Heat Rate'!$B$1:$G$34,6,FALSE)*($G29),""),"")</f>
        <v>-170625090605.3931</v>
      </c>
      <c r="I29" t="str">
        <f>IFERROR(VLOOKUP($E29,'Fuel Category and Heat Rate'!$K$2:$M$36,3,FALSE),"")</f>
        <v>natural gas</v>
      </c>
    </row>
    <row r="30" spans="1:9" x14ac:dyDescent="0.15">
      <c r="A30" s="2">
        <v>992</v>
      </c>
      <c r="B30" s="2" t="s">
        <v>64</v>
      </c>
      <c r="C30" s="2">
        <v>2022</v>
      </c>
      <c r="D30" s="2" t="s">
        <v>1</v>
      </c>
      <c r="E30" s="2" t="s">
        <v>14</v>
      </c>
      <c r="F30" s="2" t="s">
        <v>35</v>
      </c>
      <c r="G30" s="7">
        <v>-1.24</v>
      </c>
      <c r="H30" s="13">
        <f>IFERROR(IF(ABS($G30)&gt;0,VLOOKUP($E30,'Fuel Category and Heat Rate'!$B$1:$G$34,6,FALSE)*($G30),""),"")</f>
        <v>0</v>
      </c>
      <c r="I30" t="str">
        <f>IFERROR(VLOOKUP($E30,'Fuel Category and Heat Rate'!$K$2:$M$36,3,FALSE),"")</f>
        <v/>
      </c>
    </row>
    <row r="31" spans="1:9" x14ac:dyDescent="0.15">
      <c r="A31" s="2">
        <v>1027</v>
      </c>
      <c r="B31" s="2" t="s">
        <v>64</v>
      </c>
      <c r="C31" s="2">
        <v>2022</v>
      </c>
      <c r="D31" s="2" t="s">
        <v>1</v>
      </c>
      <c r="E31" s="2" t="s">
        <v>3</v>
      </c>
      <c r="F31" s="2" t="s">
        <v>35</v>
      </c>
      <c r="G31" s="7">
        <v>-878.27</v>
      </c>
      <c r="H31" s="13">
        <f>IFERROR(IF(ABS($G31)&gt;0,VLOOKUP($E31,'Fuel Category and Heat Rate'!$B$1:$G$34,6,FALSE)*($G31),""),"")</f>
        <v>-174046418111420.34</v>
      </c>
      <c r="I31" t="str">
        <f>IFERROR(VLOOKUP($E31,'Fuel Category and Heat Rate'!$K$2:$M$36,3,FALSE),"")</f>
        <v>coal</v>
      </c>
    </row>
    <row r="32" spans="1:9" x14ac:dyDescent="0.15">
      <c r="A32" s="2">
        <v>1062</v>
      </c>
      <c r="B32" s="2" t="s">
        <v>64</v>
      </c>
      <c r="C32" s="2">
        <v>2022</v>
      </c>
      <c r="D32" s="2" t="s">
        <v>1</v>
      </c>
      <c r="E32" s="2" t="s">
        <v>15</v>
      </c>
      <c r="F32" s="2" t="s">
        <v>35</v>
      </c>
      <c r="G32" s="7"/>
      <c r="H32" s="13" t="str">
        <f>IFERROR(IF(ABS($G32)&gt;0,VLOOKUP($E32,'Fuel Category and Heat Rate'!$B$1:$G$34,6,FALSE)*($G32),""),"")</f>
        <v/>
      </c>
      <c r="I32" t="str">
        <f>IFERROR(VLOOKUP($E32,'Fuel Category and Heat Rate'!$K$2:$M$36,3,FALSE),"")</f>
        <v>crude oil</v>
      </c>
    </row>
    <row r="33" spans="1:9" x14ac:dyDescent="0.15">
      <c r="A33" s="2">
        <v>1097</v>
      </c>
      <c r="B33" s="2" t="s">
        <v>64</v>
      </c>
      <c r="C33" s="2">
        <v>2022</v>
      </c>
      <c r="D33" s="2" t="s">
        <v>1</v>
      </c>
      <c r="E33" s="2" t="s">
        <v>11</v>
      </c>
      <c r="F33" s="2" t="s">
        <v>36</v>
      </c>
      <c r="G33" s="7">
        <v>-0.81</v>
      </c>
      <c r="H33" s="13">
        <f>IFERROR(IF(ABS($G33)&gt;0,VLOOKUP($E33,'Fuel Category and Heat Rate'!$B$1:$G$34,6,FALSE)*($G33),""),"")</f>
        <v>-609962970206.74316</v>
      </c>
      <c r="I33" t="str">
        <f>IFERROR(VLOOKUP($E33,'Fuel Category and Heat Rate'!$K$2:$M$36,3,FALSE),"")</f>
        <v>LPG propane or butane</v>
      </c>
    </row>
    <row r="34" spans="1:9" x14ac:dyDescent="0.15">
      <c r="A34" s="2">
        <v>1132</v>
      </c>
      <c r="B34" s="2" t="s">
        <v>64</v>
      </c>
      <c r="C34" s="2">
        <v>2021</v>
      </c>
      <c r="D34" s="2" t="s">
        <v>1</v>
      </c>
      <c r="E34" s="2" t="s">
        <v>18</v>
      </c>
      <c r="F34" s="2" t="s">
        <v>35</v>
      </c>
      <c r="G34" s="7">
        <v>-0.06</v>
      </c>
      <c r="H34" s="13">
        <f>IFERROR(IF(ABS($G34)&gt;0,VLOOKUP($E34,'Fuel Category and Heat Rate'!$B$1:$G$34,6,FALSE)*($G34),""),"")</f>
        <v>-24255777549.596069</v>
      </c>
      <c r="I34" t="str">
        <f>IFERROR(VLOOKUP($E34,'Fuel Category and Heat Rate'!$K$2:$M$36,3,FALSE),"")</f>
        <v>petroleum diesel</v>
      </c>
    </row>
    <row r="35" spans="1:9" x14ac:dyDescent="0.15">
      <c r="A35" s="2">
        <v>1167</v>
      </c>
      <c r="B35" s="2" t="s">
        <v>64</v>
      </c>
      <c r="C35" s="2">
        <v>2021</v>
      </c>
      <c r="D35" s="2" t="s">
        <v>1</v>
      </c>
      <c r="E35" s="2" t="s">
        <v>32</v>
      </c>
      <c r="F35" s="2" t="s">
        <v>65</v>
      </c>
      <c r="G35" s="7"/>
      <c r="H35" s="13" t="str">
        <f>IFERROR(IF(ABS($G35)&gt;0,VLOOKUP($E35,'Fuel Category and Heat Rate'!$B$1:$G$34,6,FALSE)*($G35),""),"")</f>
        <v/>
      </c>
      <c r="I35" t="str">
        <f>IFERROR(VLOOKUP($E35,'Fuel Category and Heat Rate'!$K$2:$M$36,3,FALSE),"")</f>
        <v>electricity</v>
      </c>
    </row>
    <row r="36" spans="1:9" x14ac:dyDescent="0.15">
      <c r="A36" s="2">
        <v>1202</v>
      </c>
      <c r="B36" s="2" t="s">
        <v>64</v>
      </c>
      <c r="C36" s="2">
        <v>2021</v>
      </c>
      <c r="D36" s="2" t="s">
        <v>1</v>
      </c>
      <c r="E36" s="2" t="s">
        <v>10</v>
      </c>
      <c r="F36" s="2" t="s">
        <v>36</v>
      </c>
      <c r="G36" s="7">
        <v>-8.17</v>
      </c>
      <c r="H36" s="13">
        <f>IFERROR(IF(ABS($G36)&gt;0,VLOOKUP($E36,'Fuel Category and Heat Rate'!$B$1:$G$34,6,FALSE)*($G36),""),"")</f>
        <v>-2913941475230.9082</v>
      </c>
      <c r="I36" t="str">
        <f>IFERROR(VLOOKUP($E36,'Fuel Category and Heat Rate'!$K$2:$M$36,3,FALSE),"")</f>
        <v>LPG propane or butane</v>
      </c>
    </row>
    <row r="37" spans="1:9" x14ac:dyDescent="0.15">
      <c r="A37" s="2">
        <v>1237</v>
      </c>
      <c r="B37" s="2" t="s">
        <v>64</v>
      </c>
      <c r="C37" s="2">
        <v>2021</v>
      </c>
      <c r="D37" s="2" t="s">
        <v>1</v>
      </c>
      <c r="E37" s="2" t="s">
        <v>9</v>
      </c>
      <c r="F37" s="2" t="s">
        <v>36</v>
      </c>
      <c r="G37" s="7">
        <v>-1.33</v>
      </c>
      <c r="H37" s="13">
        <f>IFERROR(IF(ABS($G37)&gt;0,VLOOKUP($E37,'Fuel Category and Heat Rate'!$B$1:$G$34,6,FALSE)*($G37),""),"")</f>
        <v>-2187576610280.8684</v>
      </c>
      <c r="I37" t="str">
        <f>IFERROR(VLOOKUP($E37,'Fuel Category and Heat Rate'!$K$2:$M$36,3,FALSE),"")</f>
        <v>LPG propane or butane</v>
      </c>
    </row>
    <row r="38" spans="1:9" x14ac:dyDescent="0.15">
      <c r="A38" s="2">
        <v>1272</v>
      </c>
      <c r="B38" s="2" t="s">
        <v>64</v>
      </c>
      <c r="C38" s="2">
        <v>2021</v>
      </c>
      <c r="D38" s="2" t="s">
        <v>1</v>
      </c>
      <c r="E38" s="2" t="s">
        <v>8</v>
      </c>
      <c r="F38" s="2" t="s">
        <v>35</v>
      </c>
      <c r="G38" s="7"/>
      <c r="H38" s="13" t="str">
        <f>IFERROR(IF(ABS($G38)&gt;0,VLOOKUP($E38,'Fuel Category and Heat Rate'!$B$1:$G$34,6,FALSE)*($G38),""),"")</f>
        <v/>
      </c>
      <c r="I38" t="str">
        <f>IFERROR(VLOOKUP($E38,'Fuel Category and Heat Rate'!$K$2:$M$36,3,FALSE),"")</f>
        <v>coal</v>
      </c>
    </row>
    <row r="39" spans="1:9" x14ac:dyDescent="0.15">
      <c r="A39" s="2">
        <v>1307</v>
      </c>
      <c r="B39" s="2" t="s">
        <v>64</v>
      </c>
      <c r="C39" s="2">
        <v>2021</v>
      </c>
      <c r="D39" s="2" t="s">
        <v>1</v>
      </c>
      <c r="E39" s="2" t="s">
        <v>27</v>
      </c>
      <c r="F39" s="2" t="s">
        <v>35</v>
      </c>
      <c r="G39" s="7">
        <v>-0.54</v>
      </c>
      <c r="H39" s="13">
        <f>IFERROR(IF(ABS($G39)&gt;0,VLOOKUP($E39,'Fuel Category and Heat Rate'!$B$1:$G$34,6,FALSE)*($G39),""),"")</f>
        <v>-235427536845.56134</v>
      </c>
      <c r="I39" t="str">
        <f>IFERROR(VLOOKUP($E39,'Fuel Category and Heat Rate'!$K$2:$M$36,3,FALSE),"")</f>
        <v>LPG propane or butane</v>
      </c>
    </row>
    <row r="40" spans="1:9" x14ac:dyDescent="0.15">
      <c r="A40" s="2">
        <v>1342</v>
      </c>
      <c r="B40" s="2" t="s">
        <v>64</v>
      </c>
      <c r="C40" s="2">
        <v>2021</v>
      </c>
      <c r="D40" s="2" t="s">
        <v>1</v>
      </c>
      <c r="E40" s="2" t="s">
        <v>7</v>
      </c>
      <c r="F40" s="2" t="s">
        <v>35</v>
      </c>
      <c r="G40" s="7">
        <v>-29.42</v>
      </c>
      <c r="H40" s="13">
        <f>IFERROR(IF(ABS($G40)&gt;0,VLOOKUP($E40,'Fuel Category and Heat Rate'!$B$1:$G$34,6,FALSE)*($G40),""),"")</f>
        <v>-2335071456169.8325</v>
      </c>
      <c r="I40" t="str">
        <f>IFERROR(VLOOKUP($E40,'Fuel Category and Heat Rate'!$K$2:$M$36,3,FALSE),"")</f>
        <v>coal</v>
      </c>
    </row>
    <row r="41" spans="1:9" x14ac:dyDescent="0.15">
      <c r="A41" s="2">
        <v>1377</v>
      </c>
      <c r="B41" s="2" t="s">
        <v>64</v>
      </c>
      <c r="C41" s="2">
        <v>2021</v>
      </c>
      <c r="D41" s="2" t="s">
        <v>1</v>
      </c>
      <c r="E41" s="2" t="s">
        <v>2</v>
      </c>
      <c r="F41" s="2" t="s">
        <v>35</v>
      </c>
      <c r="G41" s="7">
        <v>-763.78</v>
      </c>
      <c r="H41" s="13">
        <f>IFERROR(IF(ABS($G41)&gt;0,VLOOKUP($E41,'Fuel Category and Heat Rate'!$B$1:$G$34,6,FALSE)*($G41),""),"")</f>
        <v>0</v>
      </c>
      <c r="I41" t="str">
        <f>IFERROR(VLOOKUP($E41,'Fuel Category and Heat Rate'!$K$2:$M$36,3,FALSE),"")</f>
        <v/>
      </c>
    </row>
    <row r="42" spans="1:9" x14ac:dyDescent="0.15">
      <c r="A42" s="2">
        <v>1412</v>
      </c>
      <c r="B42" s="2" t="s">
        <v>64</v>
      </c>
      <c r="C42" s="2">
        <v>2021</v>
      </c>
      <c r="D42" s="2" t="s">
        <v>1</v>
      </c>
      <c r="E42" s="2" t="s">
        <v>17</v>
      </c>
      <c r="F42" s="2" t="s">
        <v>35</v>
      </c>
      <c r="G42" s="7"/>
      <c r="H42" s="13" t="str">
        <f>IFERROR(IF(ABS($G42)&gt;0,VLOOKUP($E42,'Fuel Category and Heat Rate'!$B$1:$G$34,6,FALSE)*($G42),""),"")</f>
        <v/>
      </c>
      <c r="I42" t="str">
        <f>IFERROR(VLOOKUP($E42,'Fuel Category and Heat Rate'!$K$2:$M$36,3,FALSE),"")</f>
        <v>petroleum diesel</v>
      </c>
    </row>
    <row r="43" spans="1:9" x14ac:dyDescent="0.15">
      <c r="A43" s="2">
        <v>1447</v>
      </c>
      <c r="B43" s="2" t="s">
        <v>64</v>
      </c>
      <c r="C43" s="2">
        <v>2021</v>
      </c>
      <c r="D43" s="2" t="s">
        <v>1</v>
      </c>
      <c r="E43" s="2" t="s">
        <v>13</v>
      </c>
      <c r="F43" s="2" t="s">
        <v>35</v>
      </c>
      <c r="G43" s="7"/>
      <c r="H43" s="13" t="str">
        <f>IFERROR(IF(ABS($G43)&gt;0,VLOOKUP($E43,'Fuel Category and Heat Rate'!$B$1:$G$34,6,FALSE)*($G43),""),"")</f>
        <v/>
      </c>
      <c r="I43" t="str">
        <f>IFERROR(VLOOKUP($E43,'Fuel Category and Heat Rate'!$K$2:$M$36,3,FALSE),"")</f>
        <v>petroleum diesel</v>
      </c>
    </row>
    <row r="44" spans="1:9" x14ac:dyDescent="0.15">
      <c r="A44" s="2">
        <v>1482</v>
      </c>
      <c r="B44" s="2" t="s">
        <v>64</v>
      </c>
      <c r="C44" s="2">
        <v>2021</v>
      </c>
      <c r="D44" s="2" t="s">
        <v>1</v>
      </c>
      <c r="E44" s="2" t="s">
        <v>12</v>
      </c>
      <c r="F44" s="2" t="s">
        <v>36</v>
      </c>
      <c r="G44" s="7"/>
      <c r="H44" s="13" t="str">
        <f>IFERROR(IF(ABS($G44)&gt;0,VLOOKUP($E44,'Fuel Category and Heat Rate'!$B$1:$G$34,6,FALSE)*($G44),""),"")</f>
        <v/>
      </c>
      <c r="I44" t="str">
        <f>IFERROR(VLOOKUP($E44,'Fuel Category and Heat Rate'!$K$2:$M$36,3,FALSE),"")</f>
        <v>LPG propane or butane</v>
      </c>
    </row>
    <row r="45" spans="1:9" x14ac:dyDescent="0.15">
      <c r="A45" s="2">
        <v>1517</v>
      </c>
      <c r="B45" s="2" t="s">
        <v>64</v>
      </c>
      <c r="C45" s="2">
        <v>2021</v>
      </c>
      <c r="D45" s="2" t="s">
        <v>1</v>
      </c>
      <c r="E45" s="2" t="s">
        <v>33</v>
      </c>
      <c r="F45" s="2" t="s">
        <v>38</v>
      </c>
      <c r="G45" s="7">
        <v>-28.84</v>
      </c>
      <c r="H45" s="13">
        <f>IFERROR(IF(ABS($G45)&gt;0,VLOOKUP($E45,'Fuel Category and Heat Rate'!$B$1:$G$34,6,FALSE)*($G45),""),"")</f>
        <v>-8001241261303.8438</v>
      </c>
      <c r="I45" t="str">
        <f>IFERROR(VLOOKUP($E45,'Fuel Category and Heat Rate'!$K$2:$M$36,3,FALSE),"")</f>
        <v>biomass</v>
      </c>
    </row>
    <row r="46" spans="1:9" x14ac:dyDescent="0.15">
      <c r="A46" s="2">
        <v>1552</v>
      </c>
      <c r="B46" s="2" t="s">
        <v>64</v>
      </c>
      <c r="C46" s="2">
        <v>2021</v>
      </c>
      <c r="D46" s="2" t="s">
        <v>1</v>
      </c>
      <c r="E46" s="2" t="s">
        <v>28</v>
      </c>
      <c r="F46" s="2" t="s">
        <v>35</v>
      </c>
      <c r="G46" s="7"/>
      <c r="H46" s="13" t="str">
        <f>IFERROR(IF(ABS($G46)&gt;0,VLOOKUP($E46,'Fuel Category and Heat Rate'!$B$1:$G$34,6,FALSE)*($G46),""),"")</f>
        <v/>
      </c>
      <c r="I46" t="str">
        <f>IFERROR(VLOOKUP($E46,'Fuel Category and Heat Rate'!$K$2:$M$36,3,FALSE),"")</f>
        <v>heavy or residual fuel oil</v>
      </c>
    </row>
    <row r="47" spans="1:9" x14ac:dyDescent="0.15">
      <c r="A47" s="2">
        <v>1587</v>
      </c>
      <c r="B47" s="2" t="s">
        <v>64</v>
      </c>
      <c r="C47" s="2">
        <v>2021</v>
      </c>
      <c r="D47" s="2" t="s">
        <v>1</v>
      </c>
      <c r="E47" s="2" t="s">
        <v>5</v>
      </c>
      <c r="F47" s="2" t="s">
        <v>35</v>
      </c>
      <c r="G47" s="7">
        <v>-17.28</v>
      </c>
      <c r="H47" s="13">
        <f>IFERROR(IF(ABS($G47)&gt;0,VLOOKUP($E47,'Fuel Category and Heat Rate'!$B$1:$G$34,6,FALSE)*($G47),""),"")</f>
        <v>-1369715546338.1394</v>
      </c>
      <c r="I47" t="str">
        <f>IFERROR(VLOOKUP($E47,'Fuel Category and Heat Rate'!$K$2:$M$36,3,FALSE),"")</f>
        <v>coal</v>
      </c>
    </row>
    <row r="48" spans="1:9" x14ac:dyDescent="0.15">
      <c r="A48" s="2">
        <v>1622</v>
      </c>
      <c r="B48" s="2" t="s">
        <v>64</v>
      </c>
      <c r="C48" s="2">
        <v>2021</v>
      </c>
      <c r="D48" s="2" t="s">
        <v>1</v>
      </c>
      <c r="E48" s="2" t="s">
        <v>16</v>
      </c>
      <c r="F48" s="2" t="s">
        <v>35</v>
      </c>
      <c r="G48" s="7"/>
      <c r="H48" s="13" t="str">
        <f>IFERROR(IF(ABS($G48)&gt;0,VLOOKUP($E48,'Fuel Category and Heat Rate'!$B$1:$G$34,6,FALSE)*($G48),""),"")</f>
        <v/>
      </c>
      <c r="I48" t="str">
        <f>IFERROR(VLOOKUP($E48,'Fuel Category and Heat Rate'!$K$2:$M$36,3,FALSE),"")</f>
        <v>petroleum diesel</v>
      </c>
    </row>
    <row r="49" spans="1:9" x14ac:dyDescent="0.15">
      <c r="A49" s="2">
        <v>1657</v>
      </c>
      <c r="B49" s="2" t="s">
        <v>64</v>
      </c>
      <c r="C49" s="2">
        <v>2021</v>
      </c>
      <c r="D49" s="2" t="s">
        <v>1</v>
      </c>
      <c r="E49" s="2" t="s">
        <v>19</v>
      </c>
      <c r="F49" s="2" t="s">
        <v>35</v>
      </c>
      <c r="G49" s="7"/>
      <c r="H49" s="13" t="str">
        <f>IFERROR(IF(ABS($G49)&gt;0,VLOOKUP($E49,'Fuel Category and Heat Rate'!$B$1:$G$34,6,FALSE)*($G49),""),"")</f>
        <v/>
      </c>
      <c r="I49" t="str">
        <f>IFERROR(VLOOKUP($E49,'Fuel Category and Heat Rate'!$K$2:$M$36,3,FALSE),"")</f>
        <v>heavy or residual fuel oil</v>
      </c>
    </row>
    <row r="50" spans="1:9" x14ac:dyDescent="0.15">
      <c r="A50" s="2">
        <v>1692</v>
      </c>
      <c r="B50" s="2" t="s">
        <v>64</v>
      </c>
      <c r="C50" s="2">
        <v>2021</v>
      </c>
      <c r="D50" s="2" t="s">
        <v>1</v>
      </c>
      <c r="E50" s="2" t="s">
        <v>31</v>
      </c>
      <c r="F50" s="2" t="s">
        <v>37</v>
      </c>
      <c r="G50" s="7">
        <v>14244.01</v>
      </c>
      <c r="H50" s="13">
        <f>IFERROR(IF(ABS($G50)&gt;0,VLOOKUP($E50,'Fuel Category and Heat Rate'!$B$1:$G$34,6,FALSE)*($G50),""),"")</f>
        <v>135007165734401.66</v>
      </c>
      <c r="I50" t="str">
        <f>IFERROR(VLOOKUP($E50,'Fuel Category and Heat Rate'!$K$2:$M$36,3,FALSE),"")</f>
        <v>heat</v>
      </c>
    </row>
    <row r="51" spans="1:9" x14ac:dyDescent="0.15">
      <c r="A51" s="2">
        <v>1727</v>
      </c>
      <c r="B51" s="2" t="s">
        <v>64</v>
      </c>
      <c r="C51" s="2">
        <v>2021</v>
      </c>
      <c r="D51" s="2" t="s">
        <v>1</v>
      </c>
      <c r="E51" s="2" t="s">
        <v>23</v>
      </c>
      <c r="F51" s="2" t="s">
        <v>35</v>
      </c>
      <c r="G51" s="7"/>
      <c r="H51" s="13" t="str">
        <f>IFERROR(IF(ABS($G51)&gt;0,VLOOKUP($E51,'Fuel Category and Heat Rate'!$B$1:$G$34,6,FALSE)*($G51),""),"")</f>
        <v/>
      </c>
      <c r="I51" t="str">
        <f>IFERROR(VLOOKUP($E51,'Fuel Category and Heat Rate'!$K$2:$M$36,3,FALSE),"")</f>
        <v>heavy or residual fuel oil</v>
      </c>
    </row>
    <row r="52" spans="1:9" x14ac:dyDescent="0.15">
      <c r="A52" s="2">
        <v>1762</v>
      </c>
      <c r="B52" s="2" t="s">
        <v>64</v>
      </c>
      <c r="C52" s="2">
        <v>2021</v>
      </c>
      <c r="D52" s="2" t="s">
        <v>1</v>
      </c>
      <c r="E52" s="2" t="s">
        <v>21</v>
      </c>
      <c r="F52" s="2" t="s">
        <v>35</v>
      </c>
      <c r="G52" s="7"/>
      <c r="H52" s="13" t="str">
        <f>IFERROR(IF(ABS($G52)&gt;0,VLOOKUP($E52,'Fuel Category and Heat Rate'!$B$1:$G$34,6,FALSE)*($G52),""),"")</f>
        <v/>
      </c>
      <c r="I52" t="str">
        <f>IFERROR(VLOOKUP($E52,'Fuel Category and Heat Rate'!$K$2:$M$36,3,FALSE),"")</f>
        <v>LPG propane or butane</v>
      </c>
    </row>
    <row r="53" spans="1:9" x14ac:dyDescent="0.15">
      <c r="A53" s="2">
        <v>1797</v>
      </c>
      <c r="B53" s="2" t="s">
        <v>64</v>
      </c>
      <c r="C53" s="2">
        <v>2021</v>
      </c>
      <c r="D53" s="2" t="s">
        <v>1</v>
      </c>
      <c r="E53" s="2" t="s">
        <v>22</v>
      </c>
      <c r="F53" s="2" t="s">
        <v>35</v>
      </c>
      <c r="G53" s="7"/>
      <c r="H53" s="13" t="str">
        <f>IFERROR(IF(ABS($G53)&gt;0,VLOOKUP($E53,'Fuel Category and Heat Rate'!$B$1:$G$34,6,FALSE)*($G53),""),"")</f>
        <v/>
      </c>
      <c r="I53" t="str">
        <f>IFERROR(VLOOKUP($E53,'Fuel Category and Heat Rate'!$K$2:$M$36,3,FALSE),"")</f>
        <v>heavy fuel oil</v>
      </c>
    </row>
    <row r="54" spans="1:9" x14ac:dyDescent="0.15">
      <c r="A54" s="2">
        <v>1832</v>
      </c>
      <c r="B54" s="2" t="s">
        <v>64</v>
      </c>
      <c r="C54" s="2">
        <v>2021</v>
      </c>
      <c r="D54" s="2" t="s">
        <v>1</v>
      </c>
      <c r="E54" s="2" t="s">
        <v>20</v>
      </c>
      <c r="F54" s="2" t="s">
        <v>35</v>
      </c>
      <c r="G54" s="7"/>
      <c r="H54" s="13" t="str">
        <f>IFERROR(IF(ABS($G54)&gt;0,VLOOKUP($E54,'Fuel Category and Heat Rate'!$B$1:$G$34,6,FALSE)*($G54),""),"")</f>
        <v/>
      </c>
      <c r="I54" t="str">
        <f>IFERROR(VLOOKUP($E54,'Fuel Category and Heat Rate'!$K$2:$M$36,3,FALSE),"")</f>
        <v>LPG propane or butane</v>
      </c>
    </row>
    <row r="55" spans="1:9" x14ac:dyDescent="0.15">
      <c r="A55" s="2">
        <v>1867</v>
      </c>
      <c r="B55" s="2" t="s">
        <v>64</v>
      </c>
      <c r="C55" s="2">
        <v>2021</v>
      </c>
      <c r="D55" s="2" t="s">
        <v>1</v>
      </c>
      <c r="E55" s="2" t="s">
        <v>25</v>
      </c>
      <c r="F55" s="2" t="s">
        <v>35</v>
      </c>
      <c r="G55" s="7"/>
      <c r="H55" s="13" t="str">
        <f>IFERROR(IF(ABS($G55)&gt;0,VLOOKUP($E55,'Fuel Category and Heat Rate'!$B$1:$G$34,6,FALSE)*($G55),""),"")</f>
        <v/>
      </c>
      <c r="I55" t="str">
        <f>IFERROR(VLOOKUP($E55,'Fuel Category and Heat Rate'!$K$2:$M$36,3,FALSE),"")</f>
        <v>heavy fuel oil</v>
      </c>
    </row>
    <row r="56" spans="1:9" x14ac:dyDescent="0.15">
      <c r="A56" s="2">
        <v>1902</v>
      </c>
      <c r="B56" s="2" t="s">
        <v>64</v>
      </c>
      <c r="C56" s="2">
        <v>2021</v>
      </c>
      <c r="D56" s="2" t="s">
        <v>1</v>
      </c>
      <c r="E56" s="2" t="s">
        <v>24</v>
      </c>
      <c r="F56" s="2" t="s">
        <v>35</v>
      </c>
      <c r="G56" s="7"/>
      <c r="H56" s="13" t="str">
        <f>IFERROR(IF(ABS($G56)&gt;0,VLOOKUP($E56,'Fuel Category and Heat Rate'!$B$1:$G$34,6,FALSE)*($G56),""),"")</f>
        <v/>
      </c>
      <c r="I56" t="str">
        <f>IFERROR(VLOOKUP($E56,'Fuel Category and Heat Rate'!$K$2:$M$36,3,FALSE),"")</f>
        <v>heavy fuel oil</v>
      </c>
    </row>
    <row r="57" spans="1:9" x14ac:dyDescent="0.15">
      <c r="A57" s="2">
        <v>1937</v>
      </c>
      <c r="B57" s="2" t="s">
        <v>64</v>
      </c>
      <c r="C57" s="2">
        <v>2021</v>
      </c>
      <c r="D57" s="2" t="s">
        <v>1</v>
      </c>
      <c r="E57" s="2" t="s">
        <v>29</v>
      </c>
      <c r="F57" s="2" t="s">
        <v>36</v>
      </c>
      <c r="G57" s="7">
        <v>-0.64</v>
      </c>
      <c r="H57" s="13">
        <f>IFERROR(IF(ABS($G57)&gt;0,VLOOKUP($E57,'Fuel Category and Heat Rate'!$B$1:$G$34,6,FALSE)*($G57),""),"")</f>
        <v>-2158566297698.8376</v>
      </c>
      <c r="I57" t="str">
        <f>IFERROR(VLOOKUP($E57,'Fuel Category and Heat Rate'!$K$2:$M$36,3,FALSE),"")</f>
        <v>natural gas</v>
      </c>
    </row>
    <row r="58" spans="1:9" x14ac:dyDescent="0.15">
      <c r="A58" s="2">
        <v>1972</v>
      </c>
      <c r="B58" s="2" t="s">
        <v>64</v>
      </c>
      <c r="C58" s="2">
        <v>2021</v>
      </c>
      <c r="D58" s="2" t="s">
        <v>1</v>
      </c>
      <c r="E58" s="2" t="s">
        <v>4</v>
      </c>
      <c r="F58" s="2" t="s">
        <v>35</v>
      </c>
      <c r="G58" s="7"/>
      <c r="H58" s="13" t="str">
        <f>IFERROR(IF(ABS($G58)&gt;0,VLOOKUP($E58,'Fuel Category and Heat Rate'!$B$1:$G$34,6,FALSE)*($G58),""),"")</f>
        <v/>
      </c>
      <c r="I58" t="str">
        <f>IFERROR(VLOOKUP($E58,'Fuel Category and Heat Rate'!$K$2:$M$36,3,FALSE),"")</f>
        <v>coal</v>
      </c>
    </row>
    <row r="59" spans="1:9" x14ac:dyDescent="0.15">
      <c r="A59" s="2">
        <v>2007</v>
      </c>
      <c r="B59" s="2" t="s">
        <v>64</v>
      </c>
      <c r="C59" s="2">
        <v>2021</v>
      </c>
      <c r="D59" s="2" t="s">
        <v>1</v>
      </c>
      <c r="E59" s="2" t="s">
        <v>6</v>
      </c>
      <c r="F59" s="2" t="s">
        <v>35</v>
      </c>
      <c r="G59" s="7"/>
      <c r="H59" s="13" t="str">
        <f>IFERROR(IF(ABS($G59)&gt;0,VLOOKUP($E59,'Fuel Category and Heat Rate'!$B$1:$G$34,6,FALSE)*($G59),""),"")</f>
        <v/>
      </c>
      <c r="I59" t="str">
        <f>IFERROR(VLOOKUP($E59,'Fuel Category and Heat Rate'!$K$2:$M$36,3,FALSE),"")</f>
        <v>coal</v>
      </c>
    </row>
    <row r="60" spans="1:9" x14ac:dyDescent="0.15">
      <c r="A60" s="2">
        <v>2042</v>
      </c>
      <c r="B60" s="2" t="s">
        <v>64</v>
      </c>
      <c r="C60" s="2">
        <v>2021</v>
      </c>
      <c r="D60" s="2" t="s">
        <v>1</v>
      </c>
      <c r="E60" s="2" t="s">
        <v>26</v>
      </c>
      <c r="F60" s="2" t="s">
        <v>35</v>
      </c>
      <c r="G60" s="7"/>
      <c r="H60" s="13" t="str">
        <f>IFERROR(IF(ABS($G60)&gt;0,VLOOKUP($E60,'Fuel Category and Heat Rate'!$B$1:$G$34,6,FALSE)*($G60),""),"")</f>
        <v/>
      </c>
      <c r="I60" t="str">
        <f>IFERROR(VLOOKUP($E60,'Fuel Category and Heat Rate'!$K$2:$M$36,3,FALSE),"")</f>
        <v>LPG propane or butane</v>
      </c>
    </row>
    <row r="61" spans="1:9" x14ac:dyDescent="0.15">
      <c r="A61" s="2">
        <v>2077</v>
      </c>
      <c r="B61" s="2" t="s">
        <v>64</v>
      </c>
      <c r="C61" s="2">
        <v>2021</v>
      </c>
      <c r="D61" s="2" t="s">
        <v>1</v>
      </c>
      <c r="E61" s="2" t="s">
        <v>30</v>
      </c>
      <c r="F61" s="2" t="s">
        <v>35</v>
      </c>
      <c r="G61" s="7">
        <v>-0.37</v>
      </c>
      <c r="H61" s="13">
        <f>IFERROR(IF(ABS($G61)&gt;0,VLOOKUP($E61,'Fuel Category and Heat Rate'!$B$1:$G$34,6,FALSE)*($G61),""),"")</f>
        <v>-180375095782.84412</v>
      </c>
      <c r="I61" t="str">
        <f>IFERROR(VLOOKUP($E61,'Fuel Category and Heat Rate'!$K$2:$M$36,3,FALSE),"")</f>
        <v>natural gas</v>
      </c>
    </row>
    <row r="62" spans="1:9" x14ac:dyDescent="0.15">
      <c r="A62" s="2">
        <v>2112</v>
      </c>
      <c r="B62" s="2" t="s">
        <v>64</v>
      </c>
      <c r="C62" s="2">
        <v>2021</v>
      </c>
      <c r="D62" s="2" t="s">
        <v>1</v>
      </c>
      <c r="E62" s="2" t="s">
        <v>14</v>
      </c>
      <c r="F62" s="2" t="s">
        <v>35</v>
      </c>
      <c r="G62" s="7">
        <v>-0.6</v>
      </c>
      <c r="H62" s="13">
        <f>IFERROR(IF(ABS($G62)&gt;0,VLOOKUP($E62,'Fuel Category and Heat Rate'!$B$1:$G$34,6,FALSE)*($G62),""),"")</f>
        <v>0</v>
      </c>
      <c r="I62" t="str">
        <f>IFERROR(VLOOKUP($E62,'Fuel Category and Heat Rate'!$K$2:$M$36,3,FALSE),"")</f>
        <v/>
      </c>
    </row>
    <row r="63" spans="1:9" x14ac:dyDescent="0.15">
      <c r="A63" s="2">
        <v>2147</v>
      </c>
      <c r="B63" s="2" t="s">
        <v>64</v>
      </c>
      <c r="C63" s="2">
        <v>2021</v>
      </c>
      <c r="D63" s="2" t="s">
        <v>1</v>
      </c>
      <c r="E63" s="2" t="s">
        <v>3</v>
      </c>
      <c r="F63" s="2" t="s">
        <v>35</v>
      </c>
      <c r="G63" s="7">
        <v>-746.5</v>
      </c>
      <c r="H63" s="13">
        <f>IFERROR(IF(ABS($G63)&gt;0,VLOOKUP($E63,'Fuel Category and Heat Rate'!$B$1:$G$34,6,FALSE)*($G63),""),"")</f>
        <v>-147933609391389.09</v>
      </c>
      <c r="I63" t="str">
        <f>IFERROR(VLOOKUP($E63,'Fuel Category and Heat Rate'!$K$2:$M$36,3,FALSE),"")</f>
        <v>coal</v>
      </c>
    </row>
    <row r="64" spans="1:9" x14ac:dyDescent="0.15">
      <c r="A64" s="2">
        <v>2182</v>
      </c>
      <c r="B64" s="2" t="s">
        <v>64</v>
      </c>
      <c r="C64" s="2">
        <v>2021</v>
      </c>
      <c r="D64" s="2" t="s">
        <v>1</v>
      </c>
      <c r="E64" s="2" t="s">
        <v>15</v>
      </c>
      <c r="F64" s="2" t="s">
        <v>35</v>
      </c>
      <c r="G64" s="7"/>
      <c r="H64" s="13" t="str">
        <f>IFERROR(IF(ABS($G64)&gt;0,VLOOKUP($E64,'Fuel Category and Heat Rate'!$B$1:$G$34,6,FALSE)*($G64),""),"")</f>
        <v/>
      </c>
      <c r="I64" t="str">
        <f>IFERROR(VLOOKUP($E64,'Fuel Category and Heat Rate'!$K$2:$M$36,3,FALSE),"")</f>
        <v>crude oil</v>
      </c>
    </row>
    <row r="65" spans="1:9" x14ac:dyDescent="0.15">
      <c r="A65" s="2">
        <v>2217</v>
      </c>
      <c r="B65" s="2" t="s">
        <v>64</v>
      </c>
      <c r="C65" s="2">
        <v>2021</v>
      </c>
      <c r="D65" s="2" t="s">
        <v>1</v>
      </c>
      <c r="E65" s="2" t="s">
        <v>11</v>
      </c>
      <c r="F65" s="2" t="s">
        <v>36</v>
      </c>
      <c r="G65" s="7">
        <v>-0.71</v>
      </c>
      <c r="H65" s="13">
        <f>IFERROR(IF(ABS($G65)&gt;0,VLOOKUP($E65,'Fuel Category and Heat Rate'!$B$1:$G$34,6,FALSE)*($G65),""),"")</f>
        <v>-534658899810.84888</v>
      </c>
      <c r="I65" t="str">
        <f>IFERROR(VLOOKUP($E65,'Fuel Category and Heat Rate'!$K$2:$M$36,3,FALSE),"")</f>
        <v>LPG propane or butane</v>
      </c>
    </row>
    <row r="66" spans="1:9" x14ac:dyDescent="0.15">
      <c r="A66" s="2">
        <v>2252</v>
      </c>
      <c r="B66" s="2" t="s">
        <v>64</v>
      </c>
      <c r="C66" s="2">
        <v>2020</v>
      </c>
      <c r="D66" s="2" t="s">
        <v>1</v>
      </c>
      <c r="E66" s="2" t="s">
        <v>18</v>
      </c>
      <c r="F66" s="2" t="s">
        <v>35</v>
      </c>
      <c r="G66" s="7">
        <v>-0.09</v>
      </c>
      <c r="H66" s="13">
        <f>IFERROR(IF(ABS($G66)&gt;0,VLOOKUP($E66,'Fuel Category and Heat Rate'!$B$1:$G$34,6,FALSE)*($G66),""),"")</f>
        <v>-36383666324.394104</v>
      </c>
      <c r="I66" t="str">
        <f>IFERROR(VLOOKUP($E66,'Fuel Category and Heat Rate'!$K$2:$M$36,3,FALSE),"")</f>
        <v>petroleum diesel</v>
      </c>
    </row>
    <row r="67" spans="1:9" x14ac:dyDescent="0.15">
      <c r="A67" s="2">
        <v>2287</v>
      </c>
      <c r="B67" s="2" t="s">
        <v>64</v>
      </c>
      <c r="C67" s="2">
        <v>2020</v>
      </c>
      <c r="D67" s="2" t="s">
        <v>1</v>
      </c>
      <c r="E67" s="2" t="s">
        <v>32</v>
      </c>
      <c r="F67" s="2" t="s">
        <v>65</v>
      </c>
      <c r="G67" s="7"/>
      <c r="H67" s="13" t="str">
        <f>IFERROR(IF(ABS($G67)&gt;0,VLOOKUP($E67,'Fuel Category and Heat Rate'!$B$1:$G$34,6,FALSE)*($G67),""),"")</f>
        <v/>
      </c>
      <c r="I67" t="str">
        <f>IFERROR(VLOOKUP($E67,'Fuel Category and Heat Rate'!$K$2:$M$36,3,FALSE),"")</f>
        <v>electricity</v>
      </c>
    </row>
    <row r="68" spans="1:9" x14ac:dyDescent="0.15">
      <c r="A68" s="2">
        <v>2322</v>
      </c>
      <c r="B68" s="2" t="s">
        <v>64</v>
      </c>
      <c r="C68" s="2">
        <v>2020</v>
      </c>
      <c r="D68" s="2" t="s">
        <v>1</v>
      </c>
      <c r="E68" s="2" t="s">
        <v>10</v>
      </c>
      <c r="F68" s="2" t="s">
        <v>36</v>
      </c>
      <c r="G68" s="7">
        <v>-12.09</v>
      </c>
      <c r="H68" s="13">
        <f>IFERROR(IF(ABS($G68)&gt;0,VLOOKUP($E68,'Fuel Category and Heat Rate'!$B$1:$G$34,6,FALSE)*($G68),""),"")</f>
        <v>-4312062721608.5288</v>
      </c>
      <c r="I68" t="str">
        <f>IFERROR(VLOOKUP($E68,'Fuel Category and Heat Rate'!$K$2:$M$36,3,FALSE),"")</f>
        <v>LPG propane or butane</v>
      </c>
    </row>
    <row r="69" spans="1:9" x14ac:dyDescent="0.15">
      <c r="A69" s="2">
        <v>2357</v>
      </c>
      <c r="B69" s="2" t="s">
        <v>64</v>
      </c>
      <c r="C69" s="2">
        <v>2020</v>
      </c>
      <c r="D69" s="2" t="s">
        <v>1</v>
      </c>
      <c r="E69" s="2" t="s">
        <v>9</v>
      </c>
      <c r="F69" s="2" t="s">
        <v>36</v>
      </c>
      <c r="G69" s="7">
        <v>-1.08</v>
      </c>
      <c r="H69" s="13">
        <f>IFERROR(IF(ABS($G69)&gt;0,VLOOKUP($E69,'Fuel Category and Heat Rate'!$B$1:$G$34,6,FALSE)*($G69),""),"")</f>
        <v>-1776377999325.8179</v>
      </c>
      <c r="I69" t="str">
        <f>IFERROR(VLOOKUP($E69,'Fuel Category and Heat Rate'!$K$2:$M$36,3,FALSE),"")</f>
        <v>LPG propane or butane</v>
      </c>
    </row>
    <row r="70" spans="1:9" x14ac:dyDescent="0.15">
      <c r="A70" s="2">
        <v>2392</v>
      </c>
      <c r="B70" s="2" t="s">
        <v>64</v>
      </c>
      <c r="C70" s="2">
        <v>2020</v>
      </c>
      <c r="D70" s="2" t="s">
        <v>1</v>
      </c>
      <c r="E70" s="2" t="s">
        <v>8</v>
      </c>
      <c r="F70" s="2" t="s">
        <v>35</v>
      </c>
      <c r="G70" s="7"/>
      <c r="H70" s="13" t="str">
        <f>IFERROR(IF(ABS($G70)&gt;0,VLOOKUP($E70,'Fuel Category and Heat Rate'!$B$1:$G$34,6,FALSE)*($G70),""),"")</f>
        <v/>
      </c>
      <c r="I70" t="str">
        <f>IFERROR(VLOOKUP($E70,'Fuel Category and Heat Rate'!$K$2:$M$36,3,FALSE),"")</f>
        <v>coal</v>
      </c>
    </row>
    <row r="71" spans="1:9" x14ac:dyDescent="0.15">
      <c r="A71" s="2">
        <v>2427</v>
      </c>
      <c r="B71" s="2" t="s">
        <v>64</v>
      </c>
      <c r="C71" s="2">
        <v>2020</v>
      </c>
      <c r="D71" s="2" t="s">
        <v>1</v>
      </c>
      <c r="E71" s="2" t="s">
        <v>27</v>
      </c>
      <c r="F71" s="2" t="s">
        <v>35</v>
      </c>
      <c r="G71" s="7"/>
      <c r="H71" s="13" t="str">
        <f>IFERROR(IF(ABS($G71)&gt;0,VLOOKUP($E71,'Fuel Category and Heat Rate'!$B$1:$G$34,6,FALSE)*($G71),""),"")</f>
        <v/>
      </c>
      <c r="I71" t="str">
        <f>IFERROR(VLOOKUP($E71,'Fuel Category and Heat Rate'!$K$2:$M$36,3,FALSE),"")</f>
        <v>LPG propane or butane</v>
      </c>
    </row>
    <row r="72" spans="1:9" x14ac:dyDescent="0.15">
      <c r="A72" s="2">
        <v>2462</v>
      </c>
      <c r="B72" s="2" t="s">
        <v>64</v>
      </c>
      <c r="C72" s="2">
        <v>2020</v>
      </c>
      <c r="D72" s="2" t="s">
        <v>1</v>
      </c>
      <c r="E72" s="2" t="s">
        <v>7</v>
      </c>
      <c r="F72" s="2" t="s">
        <v>35</v>
      </c>
      <c r="G72" s="7">
        <v>-19.760000000000002</v>
      </c>
      <c r="H72" s="13">
        <f>IFERROR(IF(ABS($G72)&gt;0,VLOOKUP($E72,'Fuel Category and Heat Rate'!$B$1:$G$34,6,FALSE)*($G72),""),"")</f>
        <v>-1568355267638.2014</v>
      </c>
      <c r="I72" t="str">
        <f>IFERROR(VLOOKUP($E72,'Fuel Category and Heat Rate'!$K$2:$M$36,3,FALSE),"")</f>
        <v>coal</v>
      </c>
    </row>
    <row r="73" spans="1:9" x14ac:dyDescent="0.15">
      <c r="A73" s="2">
        <v>2497</v>
      </c>
      <c r="B73" s="2" t="s">
        <v>64</v>
      </c>
      <c r="C73" s="2">
        <v>2020</v>
      </c>
      <c r="D73" s="2" t="s">
        <v>1</v>
      </c>
      <c r="E73" s="2" t="s">
        <v>2</v>
      </c>
      <c r="F73" s="2" t="s">
        <v>35</v>
      </c>
      <c r="G73" s="7">
        <v>-728.61</v>
      </c>
      <c r="H73" s="13">
        <f>IFERROR(IF(ABS($G73)&gt;0,VLOOKUP($E73,'Fuel Category and Heat Rate'!$B$1:$G$34,6,FALSE)*($G73),""),"")</f>
        <v>0</v>
      </c>
      <c r="I73" t="str">
        <f>IFERROR(VLOOKUP($E73,'Fuel Category and Heat Rate'!$K$2:$M$36,3,FALSE),"")</f>
        <v/>
      </c>
    </row>
    <row r="74" spans="1:9" x14ac:dyDescent="0.15">
      <c r="A74" s="2">
        <v>2532</v>
      </c>
      <c r="B74" s="2" t="s">
        <v>64</v>
      </c>
      <c r="C74" s="2">
        <v>2020</v>
      </c>
      <c r="D74" s="2" t="s">
        <v>1</v>
      </c>
      <c r="E74" s="2" t="s">
        <v>17</v>
      </c>
      <c r="F74" s="2" t="s">
        <v>35</v>
      </c>
      <c r="G74" s="7"/>
      <c r="H74" s="13" t="str">
        <f>IFERROR(IF(ABS($G74)&gt;0,VLOOKUP($E74,'Fuel Category and Heat Rate'!$B$1:$G$34,6,FALSE)*($G74),""),"")</f>
        <v/>
      </c>
      <c r="I74" t="str">
        <f>IFERROR(VLOOKUP($E74,'Fuel Category and Heat Rate'!$K$2:$M$36,3,FALSE),"")</f>
        <v>petroleum diesel</v>
      </c>
    </row>
    <row r="75" spans="1:9" x14ac:dyDescent="0.15">
      <c r="A75" s="2">
        <v>2567</v>
      </c>
      <c r="B75" s="2" t="s">
        <v>64</v>
      </c>
      <c r="C75" s="2">
        <v>2020</v>
      </c>
      <c r="D75" s="2" t="s">
        <v>1</v>
      </c>
      <c r="E75" s="2" t="s">
        <v>13</v>
      </c>
      <c r="F75" s="2" t="s">
        <v>35</v>
      </c>
      <c r="G75" s="7"/>
      <c r="H75" s="13" t="str">
        <f>IFERROR(IF(ABS($G75)&gt;0,VLOOKUP($E75,'Fuel Category and Heat Rate'!$B$1:$G$34,6,FALSE)*($G75),""),"")</f>
        <v/>
      </c>
      <c r="I75" t="str">
        <f>IFERROR(VLOOKUP($E75,'Fuel Category and Heat Rate'!$K$2:$M$36,3,FALSE),"")</f>
        <v>petroleum diesel</v>
      </c>
    </row>
    <row r="76" spans="1:9" x14ac:dyDescent="0.15">
      <c r="A76" s="2">
        <v>2602</v>
      </c>
      <c r="B76" s="2" t="s">
        <v>64</v>
      </c>
      <c r="C76" s="2">
        <v>2020</v>
      </c>
      <c r="D76" s="2" t="s">
        <v>1</v>
      </c>
      <c r="E76" s="2" t="s">
        <v>12</v>
      </c>
      <c r="F76" s="2" t="s">
        <v>36</v>
      </c>
      <c r="G76" s="7"/>
      <c r="H76" s="13" t="str">
        <f>IFERROR(IF(ABS($G76)&gt;0,VLOOKUP($E76,'Fuel Category and Heat Rate'!$B$1:$G$34,6,FALSE)*($G76),""),"")</f>
        <v/>
      </c>
      <c r="I76" t="str">
        <f>IFERROR(VLOOKUP($E76,'Fuel Category and Heat Rate'!$K$2:$M$36,3,FALSE),"")</f>
        <v>LPG propane or butane</v>
      </c>
    </row>
    <row r="77" spans="1:9" x14ac:dyDescent="0.15">
      <c r="A77" s="2">
        <v>2637</v>
      </c>
      <c r="B77" s="2" t="s">
        <v>64</v>
      </c>
      <c r="C77" s="2">
        <v>2020</v>
      </c>
      <c r="D77" s="2" t="s">
        <v>1</v>
      </c>
      <c r="E77" s="2" t="s">
        <v>33</v>
      </c>
      <c r="F77" s="2" t="s">
        <v>38</v>
      </c>
      <c r="G77" s="7">
        <v>-16.95</v>
      </c>
      <c r="H77" s="13">
        <f>IFERROR(IF(ABS($G77)&gt;0,VLOOKUP($E77,'Fuel Category and Heat Rate'!$B$1:$G$34,6,FALSE)*($G77),""),"")</f>
        <v>-4702532572090.8516</v>
      </c>
      <c r="I77" t="str">
        <f>IFERROR(VLOOKUP($E77,'Fuel Category and Heat Rate'!$K$2:$M$36,3,FALSE),"")</f>
        <v>biomass</v>
      </c>
    </row>
    <row r="78" spans="1:9" x14ac:dyDescent="0.15">
      <c r="A78" s="2">
        <v>2672</v>
      </c>
      <c r="B78" s="2" t="s">
        <v>64</v>
      </c>
      <c r="C78" s="2">
        <v>2020</v>
      </c>
      <c r="D78" s="2" t="s">
        <v>1</v>
      </c>
      <c r="E78" s="2" t="s">
        <v>28</v>
      </c>
      <c r="F78" s="2" t="s">
        <v>35</v>
      </c>
      <c r="G78" s="7"/>
      <c r="H78" s="13" t="str">
        <f>IFERROR(IF(ABS($G78)&gt;0,VLOOKUP($E78,'Fuel Category and Heat Rate'!$B$1:$G$34,6,FALSE)*($G78),""),"")</f>
        <v/>
      </c>
      <c r="I78" t="str">
        <f>IFERROR(VLOOKUP($E78,'Fuel Category and Heat Rate'!$K$2:$M$36,3,FALSE),"")</f>
        <v>heavy or residual fuel oil</v>
      </c>
    </row>
    <row r="79" spans="1:9" x14ac:dyDescent="0.15">
      <c r="A79" s="2">
        <v>2707</v>
      </c>
      <c r="B79" s="2" t="s">
        <v>64</v>
      </c>
      <c r="C79" s="2">
        <v>2020</v>
      </c>
      <c r="D79" s="2" t="s">
        <v>1</v>
      </c>
      <c r="E79" s="2" t="s">
        <v>5</v>
      </c>
      <c r="F79" s="2" t="s">
        <v>35</v>
      </c>
      <c r="G79" s="7">
        <v>-16.690000000000001</v>
      </c>
      <c r="H79" s="13">
        <f>IFERROR(IF(ABS($G79)&gt;0,VLOOKUP($E79,'Fuel Category and Heat Rate'!$B$1:$G$34,6,FALSE)*($G79),""),"")</f>
        <v>-1322948638216.6404</v>
      </c>
      <c r="I79" t="str">
        <f>IFERROR(VLOOKUP($E79,'Fuel Category and Heat Rate'!$K$2:$M$36,3,FALSE),"")</f>
        <v>coal</v>
      </c>
    </row>
    <row r="80" spans="1:9" x14ac:dyDescent="0.15">
      <c r="A80" s="2">
        <v>2742</v>
      </c>
      <c r="B80" s="2" t="s">
        <v>64</v>
      </c>
      <c r="C80" s="2">
        <v>2020</v>
      </c>
      <c r="D80" s="2" t="s">
        <v>1</v>
      </c>
      <c r="E80" s="2" t="s">
        <v>16</v>
      </c>
      <c r="F80" s="2" t="s">
        <v>35</v>
      </c>
      <c r="G80" s="7"/>
      <c r="H80" s="13" t="str">
        <f>IFERROR(IF(ABS($G80)&gt;0,VLOOKUP($E80,'Fuel Category and Heat Rate'!$B$1:$G$34,6,FALSE)*($G80),""),"")</f>
        <v/>
      </c>
      <c r="I80" t="str">
        <f>IFERROR(VLOOKUP($E80,'Fuel Category and Heat Rate'!$K$2:$M$36,3,FALSE),"")</f>
        <v>petroleum diesel</v>
      </c>
    </row>
    <row r="81" spans="1:9" x14ac:dyDescent="0.15">
      <c r="A81" s="2">
        <v>2777</v>
      </c>
      <c r="B81" s="2" t="s">
        <v>64</v>
      </c>
      <c r="C81" s="2">
        <v>2020</v>
      </c>
      <c r="D81" s="2" t="s">
        <v>1</v>
      </c>
      <c r="E81" s="2" t="s">
        <v>19</v>
      </c>
      <c r="F81" s="2" t="s">
        <v>35</v>
      </c>
      <c r="G81" s="7"/>
      <c r="H81" s="13" t="str">
        <f>IFERROR(IF(ABS($G81)&gt;0,VLOOKUP($E81,'Fuel Category and Heat Rate'!$B$1:$G$34,6,FALSE)*($G81),""),"")</f>
        <v/>
      </c>
      <c r="I81" t="str">
        <f>IFERROR(VLOOKUP($E81,'Fuel Category and Heat Rate'!$K$2:$M$36,3,FALSE),"")</f>
        <v>heavy or residual fuel oil</v>
      </c>
    </row>
    <row r="82" spans="1:9" x14ac:dyDescent="0.15">
      <c r="A82" s="2">
        <v>2812</v>
      </c>
      <c r="B82" s="2" t="s">
        <v>64</v>
      </c>
      <c r="C82" s="2">
        <v>2020</v>
      </c>
      <c r="D82" s="2" t="s">
        <v>1</v>
      </c>
      <c r="E82" s="2" t="s">
        <v>31</v>
      </c>
      <c r="F82" s="2" t="s">
        <v>37</v>
      </c>
      <c r="G82" s="7">
        <v>13049.6</v>
      </c>
      <c r="H82" s="13">
        <f>IFERROR(IF(ABS($G82)&gt;0,VLOOKUP($E82,'Fuel Category and Heat Rate'!$B$1:$G$34,6,FALSE)*($G82),""),"")</f>
        <v>123686343239554.58</v>
      </c>
      <c r="I82" t="str">
        <f>IFERROR(VLOOKUP($E82,'Fuel Category and Heat Rate'!$K$2:$M$36,3,FALSE),"")</f>
        <v>heat</v>
      </c>
    </row>
    <row r="83" spans="1:9" x14ac:dyDescent="0.15">
      <c r="A83" s="2">
        <v>2847</v>
      </c>
      <c r="B83" s="2" t="s">
        <v>64</v>
      </c>
      <c r="C83" s="2">
        <v>2020</v>
      </c>
      <c r="D83" s="2" t="s">
        <v>1</v>
      </c>
      <c r="E83" s="2" t="s">
        <v>23</v>
      </c>
      <c r="F83" s="2" t="s">
        <v>35</v>
      </c>
      <c r="G83" s="7"/>
      <c r="H83" s="13" t="str">
        <f>IFERROR(IF(ABS($G83)&gt;0,VLOOKUP($E83,'Fuel Category and Heat Rate'!$B$1:$G$34,6,FALSE)*($G83),""),"")</f>
        <v/>
      </c>
      <c r="I83" t="str">
        <f>IFERROR(VLOOKUP($E83,'Fuel Category and Heat Rate'!$K$2:$M$36,3,FALSE),"")</f>
        <v>heavy or residual fuel oil</v>
      </c>
    </row>
    <row r="84" spans="1:9" x14ac:dyDescent="0.15">
      <c r="A84" s="2">
        <v>2882</v>
      </c>
      <c r="B84" s="2" t="s">
        <v>64</v>
      </c>
      <c r="C84" s="2">
        <v>2020</v>
      </c>
      <c r="D84" s="2" t="s">
        <v>1</v>
      </c>
      <c r="E84" s="2" t="s">
        <v>21</v>
      </c>
      <c r="F84" s="2" t="s">
        <v>35</v>
      </c>
      <c r="G84" s="7"/>
      <c r="H84" s="13" t="str">
        <f>IFERROR(IF(ABS($G84)&gt;0,VLOOKUP($E84,'Fuel Category and Heat Rate'!$B$1:$G$34,6,FALSE)*($G84),""),"")</f>
        <v/>
      </c>
      <c r="I84" t="str">
        <f>IFERROR(VLOOKUP($E84,'Fuel Category and Heat Rate'!$K$2:$M$36,3,FALSE),"")</f>
        <v>LPG propane or butane</v>
      </c>
    </row>
    <row r="85" spans="1:9" x14ac:dyDescent="0.15">
      <c r="A85" s="2">
        <v>2917</v>
      </c>
      <c r="B85" s="2" t="s">
        <v>64</v>
      </c>
      <c r="C85" s="2">
        <v>2020</v>
      </c>
      <c r="D85" s="2" t="s">
        <v>1</v>
      </c>
      <c r="E85" s="2" t="s">
        <v>22</v>
      </c>
      <c r="F85" s="2" t="s">
        <v>35</v>
      </c>
      <c r="G85" s="7"/>
      <c r="H85" s="13" t="str">
        <f>IFERROR(IF(ABS($G85)&gt;0,VLOOKUP($E85,'Fuel Category and Heat Rate'!$B$1:$G$34,6,FALSE)*($G85),""),"")</f>
        <v/>
      </c>
      <c r="I85" t="str">
        <f>IFERROR(VLOOKUP($E85,'Fuel Category and Heat Rate'!$K$2:$M$36,3,FALSE),"")</f>
        <v>heavy fuel oil</v>
      </c>
    </row>
    <row r="86" spans="1:9" x14ac:dyDescent="0.15">
      <c r="A86" s="2">
        <v>2952</v>
      </c>
      <c r="B86" s="2" t="s">
        <v>64</v>
      </c>
      <c r="C86" s="2">
        <v>2020</v>
      </c>
      <c r="D86" s="2" t="s">
        <v>1</v>
      </c>
      <c r="E86" s="2" t="s">
        <v>20</v>
      </c>
      <c r="F86" s="2" t="s">
        <v>35</v>
      </c>
      <c r="G86" s="7"/>
      <c r="H86" s="13" t="str">
        <f>IFERROR(IF(ABS($G86)&gt;0,VLOOKUP($E86,'Fuel Category and Heat Rate'!$B$1:$G$34,6,FALSE)*($G86),""),"")</f>
        <v/>
      </c>
      <c r="I86" t="str">
        <f>IFERROR(VLOOKUP($E86,'Fuel Category and Heat Rate'!$K$2:$M$36,3,FALSE),"")</f>
        <v>LPG propane or butane</v>
      </c>
    </row>
    <row r="87" spans="1:9" x14ac:dyDescent="0.15">
      <c r="A87" s="2">
        <v>2987</v>
      </c>
      <c r="B87" s="2" t="s">
        <v>64</v>
      </c>
      <c r="C87" s="2">
        <v>2020</v>
      </c>
      <c r="D87" s="2" t="s">
        <v>1</v>
      </c>
      <c r="E87" s="2" t="s">
        <v>25</v>
      </c>
      <c r="F87" s="2" t="s">
        <v>35</v>
      </c>
      <c r="G87" s="7"/>
      <c r="H87" s="13" t="str">
        <f>IFERROR(IF(ABS($G87)&gt;0,VLOOKUP($E87,'Fuel Category and Heat Rate'!$B$1:$G$34,6,FALSE)*($G87),""),"")</f>
        <v/>
      </c>
      <c r="I87" t="str">
        <f>IFERROR(VLOOKUP($E87,'Fuel Category and Heat Rate'!$K$2:$M$36,3,FALSE),"")</f>
        <v>heavy fuel oil</v>
      </c>
    </row>
    <row r="88" spans="1:9" x14ac:dyDescent="0.15">
      <c r="A88" s="2">
        <v>3022</v>
      </c>
      <c r="B88" s="2" t="s">
        <v>64</v>
      </c>
      <c r="C88" s="2">
        <v>2020</v>
      </c>
      <c r="D88" s="2" t="s">
        <v>1</v>
      </c>
      <c r="E88" s="2" t="s">
        <v>24</v>
      </c>
      <c r="F88" s="2" t="s">
        <v>35</v>
      </c>
      <c r="G88" s="7"/>
      <c r="H88" s="13" t="str">
        <f>IFERROR(IF(ABS($G88)&gt;0,VLOOKUP($E88,'Fuel Category and Heat Rate'!$B$1:$G$34,6,FALSE)*($G88),""),"")</f>
        <v/>
      </c>
      <c r="I88" t="str">
        <f>IFERROR(VLOOKUP($E88,'Fuel Category and Heat Rate'!$K$2:$M$36,3,FALSE),"")</f>
        <v>heavy fuel oil</v>
      </c>
    </row>
    <row r="89" spans="1:9" x14ac:dyDescent="0.15">
      <c r="A89" s="2">
        <v>3057</v>
      </c>
      <c r="B89" s="2" t="s">
        <v>64</v>
      </c>
      <c r="C89" s="2">
        <v>2020</v>
      </c>
      <c r="D89" s="2" t="s">
        <v>1</v>
      </c>
      <c r="E89" s="2" t="s">
        <v>29</v>
      </c>
      <c r="F89" s="2" t="s">
        <v>36</v>
      </c>
      <c r="G89" s="7">
        <v>-0.45</v>
      </c>
      <c r="H89" s="13">
        <f>IFERROR(IF(ABS($G89)&gt;0,VLOOKUP($E89,'Fuel Category and Heat Rate'!$B$1:$G$34,6,FALSE)*($G89),""),"")</f>
        <v>-1517741928069.4951</v>
      </c>
      <c r="I89" t="str">
        <f>IFERROR(VLOOKUP($E89,'Fuel Category and Heat Rate'!$K$2:$M$36,3,FALSE),"")</f>
        <v>natural gas</v>
      </c>
    </row>
    <row r="90" spans="1:9" x14ac:dyDescent="0.15">
      <c r="A90" s="2">
        <v>3092</v>
      </c>
      <c r="B90" s="2" t="s">
        <v>64</v>
      </c>
      <c r="C90" s="2">
        <v>2020</v>
      </c>
      <c r="D90" s="2" t="s">
        <v>1</v>
      </c>
      <c r="E90" s="2" t="s">
        <v>4</v>
      </c>
      <c r="F90" s="2" t="s">
        <v>35</v>
      </c>
      <c r="G90" s="7"/>
      <c r="H90" s="13" t="str">
        <f>IFERROR(IF(ABS($G90)&gt;0,VLOOKUP($E90,'Fuel Category and Heat Rate'!$B$1:$G$34,6,FALSE)*($G90),""),"")</f>
        <v/>
      </c>
      <c r="I90" t="str">
        <f>IFERROR(VLOOKUP($E90,'Fuel Category and Heat Rate'!$K$2:$M$36,3,FALSE),"")</f>
        <v>coal</v>
      </c>
    </row>
    <row r="91" spans="1:9" x14ac:dyDescent="0.15">
      <c r="A91" s="2">
        <v>3127</v>
      </c>
      <c r="B91" s="2" t="s">
        <v>64</v>
      </c>
      <c r="C91" s="2">
        <v>2020</v>
      </c>
      <c r="D91" s="2" t="s">
        <v>1</v>
      </c>
      <c r="E91" s="2" t="s">
        <v>6</v>
      </c>
      <c r="F91" s="2" t="s">
        <v>35</v>
      </c>
      <c r="G91" s="7"/>
      <c r="H91" s="13" t="str">
        <f>IFERROR(IF(ABS($G91)&gt;0,VLOOKUP($E91,'Fuel Category and Heat Rate'!$B$1:$G$34,6,FALSE)*($G91),""),"")</f>
        <v/>
      </c>
      <c r="I91" t="str">
        <f>IFERROR(VLOOKUP($E91,'Fuel Category and Heat Rate'!$K$2:$M$36,3,FALSE),"")</f>
        <v>coal</v>
      </c>
    </row>
    <row r="92" spans="1:9" x14ac:dyDescent="0.15">
      <c r="A92" s="2">
        <v>3162</v>
      </c>
      <c r="B92" s="2" t="s">
        <v>64</v>
      </c>
      <c r="C92" s="2">
        <v>2020</v>
      </c>
      <c r="D92" s="2" t="s">
        <v>1</v>
      </c>
      <c r="E92" s="2" t="s">
        <v>26</v>
      </c>
      <c r="F92" s="2" t="s">
        <v>35</v>
      </c>
      <c r="G92" s="7"/>
      <c r="H92" s="13" t="str">
        <f>IFERROR(IF(ABS($G92)&gt;0,VLOOKUP($E92,'Fuel Category and Heat Rate'!$B$1:$G$34,6,FALSE)*($G92),""),"")</f>
        <v/>
      </c>
      <c r="I92" t="str">
        <f>IFERROR(VLOOKUP($E92,'Fuel Category and Heat Rate'!$K$2:$M$36,3,FALSE),"")</f>
        <v>LPG propane or butane</v>
      </c>
    </row>
    <row r="93" spans="1:9" x14ac:dyDescent="0.15">
      <c r="A93" s="2">
        <v>3197</v>
      </c>
      <c r="B93" s="2" t="s">
        <v>64</v>
      </c>
      <c r="C93" s="2">
        <v>2020</v>
      </c>
      <c r="D93" s="2" t="s">
        <v>1</v>
      </c>
      <c r="E93" s="2" t="s">
        <v>30</v>
      </c>
      <c r="F93" s="2" t="s">
        <v>35</v>
      </c>
      <c r="G93" s="7"/>
      <c r="H93" s="13" t="str">
        <f>IFERROR(IF(ABS($G93)&gt;0,VLOOKUP($E93,'Fuel Category and Heat Rate'!$B$1:$G$34,6,FALSE)*($G93),""),"")</f>
        <v/>
      </c>
      <c r="I93" t="str">
        <f>IFERROR(VLOOKUP($E93,'Fuel Category and Heat Rate'!$K$2:$M$36,3,FALSE),"")</f>
        <v>natural gas</v>
      </c>
    </row>
    <row r="94" spans="1:9" x14ac:dyDescent="0.15">
      <c r="A94" s="2">
        <v>3232</v>
      </c>
      <c r="B94" s="2" t="s">
        <v>64</v>
      </c>
      <c r="C94" s="2">
        <v>2020</v>
      </c>
      <c r="D94" s="2" t="s">
        <v>1</v>
      </c>
      <c r="E94" s="2" t="s">
        <v>14</v>
      </c>
      <c r="F94" s="2" t="s">
        <v>35</v>
      </c>
      <c r="G94" s="7">
        <v>-0.09</v>
      </c>
      <c r="H94" s="13">
        <f>IFERROR(IF(ABS($G94)&gt;0,VLOOKUP($E94,'Fuel Category and Heat Rate'!$B$1:$G$34,6,FALSE)*($G94),""),"")</f>
        <v>0</v>
      </c>
      <c r="I94" t="str">
        <f>IFERROR(VLOOKUP($E94,'Fuel Category and Heat Rate'!$K$2:$M$36,3,FALSE),"")</f>
        <v/>
      </c>
    </row>
    <row r="95" spans="1:9" x14ac:dyDescent="0.15">
      <c r="A95" s="2">
        <v>3267</v>
      </c>
      <c r="B95" s="2" t="s">
        <v>64</v>
      </c>
      <c r="C95" s="2">
        <v>2020</v>
      </c>
      <c r="D95" s="2" t="s">
        <v>1</v>
      </c>
      <c r="E95" s="2" t="s">
        <v>3</v>
      </c>
      <c r="F95" s="2" t="s">
        <v>35</v>
      </c>
      <c r="G95" s="7">
        <v>-711.92</v>
      </c>
      <c r="H95" s="13">
        <f>IFERROR(IF(ABS($G95)&gt;0,VLOOKUP($E95,'Fuel Category and Heat Rate'!$B$1:$G$34,6,FALSE)*($G95),""),"")</f>
        <v>-141080904484819.44</v>
      </c>
      <c r="I95" t="str">
        <f>IFERROR(VLOOKUP($E95,'Fuel Category and Heat Rate'!$K$2:$M$36,3,FALSE),"")</f>
        <v>coal</v>
      </c>
    </row>
    <row r="96" spans="1:9" x14ac:dyDescent="0.15">
      <c r="A96" s="2">
        <v>3302</v>
      </c>
      <c r="B96" s="2" t="s">
        <v>64</v>
      </c>
      <c r="C96" s="2">
        <v>2020</v>
      </c>
      <c r="D96" s="2" t="s">
        <v>1</v>
      </c>
      <c r="E96" s="2" t="s">
        <v>15</v>
      </c>
      <c r="F96" s="2" t="s">
        <v>35</v>
      </c>
      <c r="G96" s="7"/>
      <c r="H96" s="13" t="str">
        <f>IFERROR(IF(ABS($G96)&gt;0,VLOOKUP($E96,'Fuel Category and Heat Rate'!$B$1:$G$34,6,FALSE)*($G96),""),"")</f>
        <v/>
      </c>
      <c r="I96" t="str">
        <f>IFERROR(VLOOKUP($E96,'Fuel Category and Heat Rate'!$K$2:$M$36,3,FALSE),"")</f>
        <v>crude oil</v>
      </c>
    </row>
    <row r="97" spans="1:9" x14ac:dyDescent="0.15">
      <c r="A97" s="2">
        <v>3337</v>
      </c>
      <c r="B97" s="2" t="s">
        <v>64</v>
      </c>
      <c r="C97" s="2">
        <v>2020</v>
      </c>
      <c r="D97" s="2" t="s">
        <v>1</v>
      </c>
      <c r="E97" s="2" t="s">
        <v>11</v>
      </c>
      <c r="F97" s="2" t="s">
        <v>36</v>
      </c>
      <c r="G97" s="7">
        <v>-0.93</v>
      </c>
      <c r="H97" s="13">
        <f>IFERROR(IF(ABS($G97)&gt;0,VLOOKUP($E97,'Fuel Category and Heat Rate'!$B$1:$G$34,6,FALSE)*($G97),""),"")</f>
        <v>-700327854681.81628</v>
      </c>
      <c r="I97" t="str">
        <f>IFERROR(VLOOKUP($E97,'Fuel Category and Heat Rate'!$K$2:$M$36,3,FALSE),"")</f>
        <v>LPG propane or butane</v>
      </c>
    </row>
    <row r="98" spans="1:9" x14ac:dyDescent="0.15">
      <c r="A98" s="2">
        <v>3372</v>
      </c>
      <c r="B98" s="2" t="s">
        <v>64</v>
      </c>
      <c r="C98" s="2">
        <v>2019</v>
      </c>
      <c r="D98" s="2" t="s">
        <v>1</v>
      </c>
      <c r="E98" s="2" t="s">
        <v>18</v>
      </c>
      <c r="F98" s="2" t="s">
        <v>35</v>
      </c>
      <c r="G98" s="7">
        <v>-0.08</v>
      </c>
      <c r="H98" s="13">
        <f>IFERROR(IF(ABS($G98)&gt;0,VLOOKUP($E98,'Fuel Category and Heat Rate'!$B$1:$G$34,6,FALSE)*($G98),""),"")</f>
        <v>-32341036732.794762</v>
      </c>
      <c r="I98" t="str">
        <f>IFERROR(VLOOKUP($E98,'Fuel Category and Heat Rate'!$K$2:$M$36,3,FALSE),"")</f>
        <v>petroleum diesel</v>
      </c>
    </row>
    <row r="99" spans="1:9" x14ac:dyDescent="0.15">
      <c r="A99" s="2">
        <v>3407</v>
      </c>
      <c r="B99" s="2" t="s">
        <v>64</v>
      </c>
      <c r="C99" s="2">
        <v>2019</v>
      </c>
      <c r="D99" s="2" t="s">
        <v>1</v>
      </c>
      <c r="E99" s="2" t="s">
        <v>32</v>
      </c>
      <c r="F99" s="2" t="s">
        <v>65</v>
      </c>
      <c r="G99" s="7"/>
      <c r="H99" s="13" t="str">
        <f>IFERROR(IF(ABS($G99)&gt;0,VLOOKUP($E99,'Fuel Category and Heat Rate'!$B$1:$G$34,6,FALSE)*($G99),""),"")</f>
        <v/>
      </c>
      <c r="I99" t="str">
        <f>IFERROR(VLOOKUP($E99,'Fuel Category and Heat Rate'!$K$2:$M$36,3,FALSE),"")</f>
        <v>electricity</v>
      </c>
    </row>
    <row r="100" spans="1:9" x14ac:dyDescent="0.15">
      <c r="A100" s="2">
        <v>3442</v>
      </c>
      <c r="B100" s="2" t="s">
        <v>64</v>
      </c>
      <c r="C100" s="2">
        <v>2019</v>
      </c>
      <c r="D100" s="2" t="s">
        <v>1</v>
      </c>
      <c r="E100" s="2" t="s">
        <v>10</v>
      </c>
      <c r="F100" s="2" t="s">
        <v>36</v>
      </c>
      <c r="G100" s="7">
        <v>-10.27</v>
      </c>
      <c r="H100" s="13">
        <f>IFERROR(IF(ABS($G100)&gt;0,VLOOKUP($E100,'Fuel Category and Heat Rate'!$B$1:$G$34,6,FALSE)*($G100),""),"")</f>
        <v>-3662935000076.062</v>
      </c>
      <c r="I100" t="str">
        <f>IFERROR(VLOOKUP($E100,'Fuel Category and Heat Rate'!$K$2:$M$36,3,FALSE),"")</f>
        <v>LPG propane or butane</v>
      </c>
    </row>
    <row r="101" spans="1:9" x14ac:dyDescent="0.15">
      <c r="A101" s="2">
        <v>3477</v>
      </c>
      <c r="B101" s="2" t="s">
        <v>64</v>
      </c>
      <c r="C101" s="2">
        <v>2019</v>
      </c>
      <c r="D101" s="2" t="s">
        <v>1</v>
      </c>
      <c r="E101" s="2" t="s">
        <v>9</v>
      </c>
      <c r="F101" s="2" t="s">
        <v>36</v>
      </c>
      <c r="G101" s="7">
        <v>-1.04</v>
      </c>
      <c r="H101" s="13">
        <f>IFERROR(IF(ABS($G101)&gt;0,VLOOKUP($E101,'Fuel Category and Heat Rate'!$B$1:$G$34,6,FALSE)*($G101),""),"")</f>
        <v>-1710586221573.0098</v>
      </c>
      <c r="I101" t="str">
        <f>IFERROR(VLOOKUP($E101,'Fuel Category and Heat Rate'!$K$2:$M$36,3,FALSE),"")</f>
        <v>LPG propane or butane</v>
      </c>
    </row>
    <row r="102" spans="1:9" x14ac:dyDescent="0.15">
      <c r="A102" s="2">
        <v>3512</v>
      </c>
      <c r="B102" s="2" t="s">
        <v>64</v>
      </c>
      <c r="C102" s="2">
        <v>2019</v>
      </c>
      <c r="D102" s="2" t="s">
        <v>1</v>
      </c>
      <c r="E102" s="2" t="s">
        <v>8</v>
      </c>
      <c r="F102" s="2" t="s">
        <v>35</v>
      </c>
      <c r="G102" s="7"/>
      <c r="H102" s="13" t="str">
        <f>IFERROR(IF(ABS($G102)&gt;0,VLOOKUP($E102,'Fuel Category and Heat Rate'!$B$1:$G$34,6,FALSE)*($G102),""),"")</f>
        <v/>
      </c>
      <c r="I102" t="str">
        <f>IFERROR(VLOOKUP($E102,'Fuel Category and Heat Rate'!$K$2:$M$36,3,FALSE),"")</f>
        <v>coal</v>
      </c>
    </row>
    <row r="103" spans="1:9" x14ac:dyDescent="0.15">
      <c r="A103" s="2">
        <v>3547</v>
      </c>
      <c r="B103" s="2" t="s">
        <v>64</v>
      </c>
      <c r="C103" s="2">
        <v>2019</v>
      </c>
      <c r="D103" s="2" t="s">
        <v>1</v>
      </c>
      <c r="E103" s="2" t="s">
        <v>27</v>
      </c>
      <c r="F103" s="2" t="s">
        <v>35</v>
      </c>
      <c r="G103" s="7">
        <v>-0.2</v>
      </c>
      <c r="H103" s="13">
        <f>IFERROR(IF(ABS($G103)&gt;0,VLOOKUP($E103,'Fuel Category and Heat Rate'!$B$1:$G$34,6,FALSE)*($G103),""),"")</f>
        <v>-87195384016.874573</v>
      </c>
      <c r="I103" t="str">
        <f>IFERROR(VLOOKUP($E103,'Fuel Category and Heat Rate'!$K$2:$M$36,3,FALSE),"")</f>
        <v>LPG propane or butane</v>
      </c>
    </row>
    <row r="104" spans="1:9" x14ac:dyDescent="0.15">
      <c r="A104" s="2">
        <v>3582</v>
      </c>
      <c r="B104" s="2" t="s">
        <v>64</v>
      </c>
      <c r="C104" s="2">
        <v>2019</v>
      </c>
      <c r="D104" s="2" t="s">
        <v>1</v>
      </c>
      <c r="E104" s="2" t="s">
        <v>7</v>
      </c>
      <c r="F104" s="2" t="s">
        <v>35</v>
      </c>
      <c r="G104" s="7">
        <v>-9.9</v>
      </c>
      <c r="H104" s="13">
        <f>IFERROR(IF(ABS($G104)&gt;0,VLOOKUP($E104,'Fuel Category and Heat Rate'!$B$1:$G$34,6,FALSE)*($G104),""),"")</f>
        <v>-785765037936.14343</v>
      </c>
      <c r="I104" t="str">
        <f>IFERROR(VLOOKUP($E104,'Fuel Category and Heat Rate'!$K$2:$M$36,3,FALSE),"")</f>
        <v>coal</v>
      </c>
    </row>
    <row r="105" spans="1:9" x14ac:dyDescent="0.15">
      <c r="A105" s="2">
        <v>3617</v>
      </c>
      <c r="B105" s="2" t="s">
        <v>64</v>
      </c>
      <c r="C105" s="2">
        <v>2019</v>
      </c>
      <c r="D105" s="2" t="s">
        <v>1</v>
      </c>
      <c r="E105" s="2" t="s">
        <v>2</v>
      </c>
      <c r="F105" s="2" t="s">
        <v>35</v>
      </c>
      <c r="G105" s="7">
        <v>-502.68</v>
      </c>
      <c r="H105" s="13">
        <f>IFERROR(IF(ABS($G105)&gt;0,VLOOKUP($E105,'Fuel Category and Heat Rate'!$B$1:$G$34,6,FALSE)*($G105),""),"")</f>
        <v>0</v>
      </c>
      <c r="I105" t="str">
        <f>IFERROR(VLOOKUP($E105,'Fuel Category and Heat Rate'!$K$2:$M$36,3,FALSE),"")</f>
        <v/>
      </c>
    </row>
    <row r="106" spans="1:9" x14ac:dyDescent="0.15">
      <c r="A106" s="2">
        <v>3652</v>
      </c>
      <c r="B106" s="2" t="s">
        <v>64</v>
      </c>
      <c r="C106" s="2">
        <v>2019</v>
      </c>
      <c r="D106" s="2" t="s">
        <v>1</v>
      </c>
      <c r="E106" s="2" t="s">
        <v>17</v>
      </c>
      <c r="F106" s="2" t="s">
        <v>35</v>
      </c>
      <c r="G106" s="7"/>
      <c r="H106" s="13" t="str">
        <f>IFERROR(IF(ABS($G106)&gt;0,VLOOKUP($E106,'Fuel Category and Heat Rate'!$B$1:$G$34,6,FALSE)*($G106),""),"")</f>
        <v/>
      </c>
      <c r="I106" t="str">
        <f>IFERROR(VLOOKUP($E106,'Fuel Category and Heat Rate'!$K$2:$M$36,3,FALSE),"")</f>
        <v>petroleum diesel</v>
      </c>
    </row>
    <row r="107" spans="1:9" x14ac:dyDescent="0.15">
      <c r="A107" s="2">
        <v>3687</v>
      </c>
      <c r="B107" s="2" t="s">
        <v>64</v>
      </c>
      <c r="C107" s="2">
        <v>2019</v>
      </c>
      <c r="D107" s="2" t="s">
        <v>1</v>
      </c>
      <c r="E107" s="2" t="s">
        <v>13</v>
      </c>
      <c r="F107" s="2" t="s">
        <v>35</v>
      </c>
      <c r="G107" s="7"/>
      <c r="H107" s="13" t="str">
        <f>IFERROR(IF(ABS($G107)&gt;0,VLOOKUP($E107,'Fuel Category and Heat Rate'!$B$1:$G$34,6,FALSE)*($G107),""),"")</f>
        <v/>
      </c>
      <c r="I107" t="str">
        <f>IFERROR(VLOOKUP($E107,'Fuel Category and Heat Rate'!$K$2:$M$36,3,FALSE),"")</f>
        <v>petroleum diesel</v>
      </c>
    </row>
    <row r="108" spans="1:9" x14ac:dyDescent="0.15">
      <c r="A108" s="2">
        <v>3722</v>
      </c>
      <c r="B108" s="2" t="s">
        <v>64</v>
      </c>
      <c r="C108" s="2">
        <v>2019</v>
      </c>
      <c r="D108" s="2" t="s">
        <v>1</v>
      </c>
      <c r="E108" s="2" t="s">
        <v>12</v>
      </c>
      <c r="F108" s="2" t="s">
        <v>36</v>
      </c>
      <c r="G108" s="7"/>
      <c r="H108" s="13" t="str">
        <f>IFERROR(IF(ABS($G108)&gt;0,VLOOKUP($E108,'Fuel Category and Heat Rate'!$B$1:$G$34,6,FALSE)*($G108),""),"")</f>
        <v/>
      </c>
      <c r="I108" t="str">
        <f>IFERROR(VLOOKUP($E108,'Fuel Category and Heat Rate'!$K$2:$M$36,3,FALSE),"")</f>
        <v>LPG propane or butane</v>
      </c>
    </row>
    <row r="109" spans="1:9" x14ac:dyDescent="0.15">
      <c r="A109" s="2">
        <v>3757</v>
      </c>
      <c r="B109" s="2" t="s">
        <v>64</v>
      </c>
      <c r="C109" s="2">
        <v>2019</v>
      </c>
      <c r="D109" s="2" t="s">
        <v>1</v>
      </c>
      <c r="E109" s="2" t="s">
        <v>33</v>
      </c>
      <c r="F109" s="2" t="s">
        <v>38</v>
      </c>
      <c r="G109" s="7">
        <v>-17.309999999999999</v>
      </c>
      <c r="H109" s="13">
        <f>IFERROR(IF(ABS($G109)&gt;0,VLOOKUP($E109,'Fuel Category and Heat Rate'!$B$1:$G$34,6,FALSE)*($G109),""),"")</f>
        <v>-4802409370082.1611</v>
      </c>
      <c r="I109" t="str">
        <f>IFERROR(VLOOKUP($E109,'Fuel Category and Heat Rate'!$K$2:$M$36,3,FALSE),"")</f>
        <v>biomass</v>
      </c>
    </row>
    <row r="110" spans="1:9" x14ac:dyDescent="0.15">
      <c r="A110" s="2">
        <v>3792</v>
      </c>
      <c r="B110" s="2" t="s">
        <v>64</v>
      </c>
      <c r="C110" s="2">
        <v>2019</v>
      </c>
      <c r="D110" s="2" t="s">
        <v>1</v>
      </c>
      <c r="E110" s="2" t="s">
        <v>28</v>
      </c>
      <c r="F110" s="2" t="s">
        <v>35</v>
      </c>
      <c r="G110" s="7"/>
      <c r="H110" s="13" t="str">
        <f>IFERROR(IF(ABS($G110)&gt;0,VLOOKUP($E110,'Fuel Category and Heat Rate'!$B$1:$G$34,6,FALSE)*($G110),""),"")</f>
        <v/>
      </c>
      <c r="I110" t="str">
        <f>IFERROR(VLOOKUP($E110,'Fuel Category and Heat Rate'!$K$2:$M$36,3,FALSE),"")</f>
        <v>heavy or residual fuel oil</v>
      </c>
    </row>
    <row r="111" spans="1:9" x14ac:dyDescent="0.15">
      <c r="A111" s="2">
        <v>3827</v>
      </c>
      <c r="B111" s="2" t="s">
        <v>64</v>
      </c>
      <c r="C111" s="2">
        <v>2019</v>
      </c>
      <c r="D111" s="2" t="s">
        <v>1</v>
      </c>
      <c r="E111" s="2" t="s">
        <v>5</v>
      </c>
      <c r="F111" s="2" t="s">
        <v>35</v>
      </c>
      <c r="G111" s="7">
        <v>-9.16</v>
      </c>
      <c r="H111" s="13">
        <f>IFERROR(IF(ABS($G111)&gt;0,VLOOKUP($E111,'Fuel Category and Heat Rate'!$B$1:$G$34,6,FALSE)*($G111),""),"")</f>
        <v>-726076065072.76367</v>
      </c>
      <c r="I111" t="str">
        <f>IFERROR(VLOOKUP($E111,'Fuel Category and Heat Rate'!$K$2:$M$36,3,FALSE),"")</f>
        <v>coal</v>
      </c>
    </row>
    <row r="112" spans="1:9" x14ac:dyDescent="0.15">
      <c r="A112" s="2">
        <v>3862</v>
      </c>
      <c r="B112" s="2" t="s">
        <v>64</v>
      </c>
      <c r="C112" s="2">
        <v>2019</v>
      </c>
      <c r="D112" s="2" t="s">
        <v>1</v>
      </c>
      <c r="E112" s="2" t="s">
        <v>16</v>
      </c>
      <c r="F112" s="2" t="s">
        <v>35</v>
      </c>
      <c r="G112" s="7"/>
      <c r="H112" s="13" t="str">
        <f>IFERROR(IF(ABS($G112)&gt;0,VLOOKUP($E112,'Fuel Category and Heat Rate'!$B$1:$G$34,6,FALSE)*($G112),""),"")</f>
        <v/>
      </c>
      <c r="I112" t="str">
        <f>IFERROR(VLOOKUP($E112,'Fuel Category and Heat Rate'!$K$2:$M$36,3,FALSE),"")</f>
        <v>petroleum diesel</v>
      </c>
    </row>
    <row r="113" spans="1:9" x14ac:dyDescent="0.15">
      <c r="A113" s="2">
        <v>3897</v>
      </c>
      <c r="B113" s="2" t="s">
        <v>64</v>
      </c>
      <c r="C113" s="2">
        <v>2019</v>
      </c>
      <c r="D113" s="2" t="s">
        <v>1</v>
      </c>
      <c r="E113" s="2" t="s">
        <v>19</v>
      </c>
      <c r="F113" s="2" t="s">
        <v>35</v>
      </c>
      <c r="G113" s="7"/>
      <c r="H113" s="13" t="str">
        <f>IFERROR(IF(ABS($G113)&gt;0,VLOOKUP($E113,'Fuel Category and Heat Rate'!$B$1:$G$34,6,FALSE)*($G113),""),"")</f>
        <v/>
      </c>
      <c r="I113" t="str">
        <f>IFERROR(VLOOKUP($E113,'Fuel Category and Heat Rate'!$K$2:$M$36,3,FALSE),"")</f>
        <v>heavy or residual fuel oil</v>
      </c>
    </row>
    <row r="114" spans="1:9" x14ac:dyDescent="0.15">
      <c r="A114" s="2">
        <v>3932</v>
      </c>
      <c r="B114" s="2" t="s">
        <v>64</v>
      </c>
      <c r="C114" s="2">
        <v>2019</v>
      </c>
      <c r="D114" s="2" t="s">
        <v>1</v>
      </c>
      <c r="E114" s="2" t="s">
        <v>31</v>
      </c>
      <c r="F114" s="2" t="s">
        <v>37</v>
      </c>
      <c r="G114" s="7">
        <v>9426.07</v>
      </c>
      <c r="H114" s="13">
        <f>IFERROR(IF(ABS($G114)&gt;0,VLOOKUP($E114,'Fuel Category and Heat Rate'!$B$1:$G$34,6,FALSE)*($G114),""),"")</f>
        <v>89341905454578.547</v>
      </c>
      <c r="I114" t="str">
        <f>IFERROR(VLOOKUP($E114,'Fuel Category and Heat Rate'!$K$2:$M$36,3,FALSE),"")</f>
        <v>heat</v>
      </c>
    </row>
    <row r="115" spans="1:9" x14ac:dyDescent="0.15">
      <c r="A115" s="2">
        <v>3967</v>
      </c>
      <c r="B115" s="2" t="s">
        <v>64</v>
      </c>
      <c r="C115" s="2">
        <v>2019</v>
      </c>
      <c r="D115" s="2" t="s">
        <v>1</v>
      </c>
      <c r="E115" s="2" t="s">
        <v>23</v>
      </c>
      <c r="F115" s="2" t="s">
        <v>35</v>
      </c>
      <c r="G115" s="7"/>
      <c r="H115" s="13" t="str">
        <f>IFERROR(IF(ABS($G115)&gt;0,VLOOKUP($E115,'Fuel Category and Heat Rate'!$B$1:$G$34,6,FALSE)*($G115),""),"")</f>
        <v/>
      </c>
      <c r="I115" t="str">
        <f>IFERROR(VLOOKUP($E115,'Fuel Category and Heat Rate'!$K$2:$M$36,3,FALSE),"")</f>
        <v>heavy or residual fuel oil</v>
      </c>
    </row>
    <row r="116" spans="1:9" x14ac:dyDescent="0.15">
      <c r="A116" s="2">
        <v>4002</v>
      </c>
      <c r="B116" s="2" t="s">
        <v>64</v>
      </c>
      <c r="C116" s="2">
        <v>2019</v>
      </c>
      <c r="D116" s="2" t="s">
        <v>1</v>
      </c>
      <c r="E116" s="2" t="s">
        <v>21</v>
      </c>
      <c r="F116" s="2" t="s">
        <v>35</v>
      </c>
      <c r="G116" s="7"/>
      <c r="H116" s="13" t="str">
        <f>IFERROR(IF(ABS($G116)&gt;0,VLOOKUP($E116,'Fuel Category and Heat Rate'!$B$1:$G$34,6,FALSE)*($G116),""),"")</f>
        <v/>
      </c>
      <c r="I116" t="str">
        <f>IFERROR(VLOOKUP($E116,'Fuel Category and Heat Rate'!$K$2:$M$36,3,FALSE),"")</f>
        <v>LPG propane or butane</v>
      </c>
    </row>
    <row r="117" spans="1:9" x14ac:dyDescent="0.15">
      <c r="A117" s="2">
        <v>4037</v>
      </c>
      <c r="B117" s="2" t="s">
        <v>64</v>
      </c>
      <c r="C117" s="2">
        <v>2019</v>
      </c>
      <c r="D117" s="2" t="s">
        <v>1</v>
      </c>
      <c r="E117" s="2" t="s">
        <v>22</v>
      </c>
      <c r="F117" s="2" t="s">
        <v>35</v>
      </c>
      <c r="G117" s="7"/>
      <c r="H117" s="13" t="str">
        <f>IFERROR(IF(ABS($G117)&gt;0,VLOOKUP($E117,'Fuel Category and Heat Rate'!$B$1:$G$34,6,FALSE)*($G117),""),"")</f>
        <v/>
      </c>
      <c r="I117" t="str">
        <f>IFERROR(VLOOKUP($E117,'Fuel Category and Heat Rate'!$K$2:$M$36,3,FALSE),"")</f>
        <v>heavy fuel oil</v>
      </c>
    </row>
    <row r="118" spans="1:9" x14ac:dyDescent="0.15">
      <c r="A118" s="2">
        <v>4072</v>
      </c>
      <c r="B118" s="2" t="s">
        <v>64</v>
      </c>
      <c r="C118" s="2">
        <v>2019</v>
      </c>
      <c r="D118" s="2" t="s">
        <v>1</v>
      </c>
      <c r="E118" s="2" t="s">
        <v>20</v>
      </c>
      <c r="F118" s="2" t="s">
        <v>35</v>
      </c>
      <c r="G118" s="7"/>
      <c r="H118" s="13" t="str">
        <f>IFERROR(IF(ABS($G118)&gt;0,VLOOKUP($E118,'Fuel Category and Heat Rate'!$B$1:$G$34,6,FALSE)*($G118),""),"")</f>
        <v/>
      </c>
      <c r="I118" t="str">
        <f>IFERROR(VLOOKUP($E118,'Fuel Category and Heat Rate'!$K$2:$M$36,3,FALSE),"")</f>
        <v>LPG propane or butane</v>
      </c>
    </row>
    <row r="119" spans="1:9" x14ac:dyDescent="0.15">
      <c r="A119" s="2">
        <v>4107</v>
      </c>
      <c r="B119" s="2" t="s">
        <v>64</v>
      </c>
      <c r="C119" s="2">
        <v>2019</v>
      </c>
      <c r="D119" s="2" t="s">
        <v>1</v>
      </c>
      <c r="E119" s="2" t="s">
        <v>25</v>
      </c>
      <c r="F119" s="2" t="s">
        <v>35</v>
      </c>
      <c r="G119" s="7"/>
      <c r="H119" s="13" t="str">
        <f>IFERROR(IF(ABS($G119)&gt;0,VLOOKUP($E119,'Fuel Category and Heat Rate'!$B$1:$G$34,6,FALSE)*($G119),""),"")</f>
        <v/>
      </c>
      <c r="I119" t="str">
        <f>IFERROR(VLOOKUP($E119,'Fuel Category and Heat Rate'!$K$2:$M$36,3,FALSE),"")</f>
        <v>heavy fuel oil</v>
      </c>
    </row>
    <row r="120" spans="1:9" x14ac:dyDescent="0.15">
      <c r="A120" s="2">
        <v>4142</v>
      </c>
      <c r="B120" s="2" t="s">
        <v>64</v>
      </c>
      <c r="C120" s="2">
        <v>2019</v>
      </c>
      <c r="D120" s="2" t="s">
        <v>1</v>
      </c>
      <c r="E120" s="2" t="s">
        <v>24</v>
      </c>
      <c r="F120" s="2" t="s">
        <v>35</v>
      </c>
      <c r="G120" s="7"/>
      <c r="H120" s="13" t="str">
        <f>IFERROR(IF(ABS($G120)&gt;0,VLOOKUP($E120,'Fuel Category and Heat Rate'!$B$1:$G$34,6,FALSE)*($G120),""),"")</f>
        <v/>
      </c>
      <c r="I120" t="str">
        <f>IFERROR(VLOOKUP($E120,'Fuel Category and Heat Rate'!$K$2:$M$36,3,FALSE),"")</f>
        <v>heavy fuel oil</v>
      </c>
    </row>
    <row r="121" spans="1:9" x14ac:dyDescent="0.15">
      <c r="A121" s="2">
        <v>4177</v>
      </c>
      <c r="B121" s="2" t="s">
        <v>64</v>
      </c>
      <c r="C121" s="2">
        <v>2019</v>
      </c>
      <c r="D121" s="2" t="s">
        <v>1</v>
      </c>
      <c r="E121" s="2" t="s">
        <v>29</v>
      </c>
      <c r="F121" s="2" t="s">
        <v>36</v>
      </c>
      <c r="G121" s="7">
        <v>-0.17</v>
      </c>
      <c r="H121" s="13">
        <f>IFERROR(IF(ABS($G121)&gt;0,VLOOKUP($E121,'Fuel Category and Heat Rate'!$B$1:$G$34,6,FALSE)*($G121),""),"")</f>
        <v>-573369172826.25378</v>
      </c>
      <c r="I121" t="str">
        <f>IFERROR(VLOOKUP($E121,'Fuel Category and Heat Rate'!$K$2:$M$36,3,FALSE),"")</f>
        <v>natural gas</v>
      </c>
    </row>
    <row r="122" spans="1:9" x14ac:dyDescent="0.15">
      <c r="A122" s="2">
        <v>4212</v>
      </c>
      <c r="B122" s="2" t="s">
        <v>64</v>
      </c>
      <c r="C122" s="2">
        <v>2019</v>
      </c>
      <c r="D122" s="2" t="s">
        <v>1</v>
      </c>
      <c r="E122" s="2" t="s">
        <v>4</v>
      </c>
      <c r="F122" s="2" t="s">
        <v>35</v>
      </c>
      <c r="G122" s="7"/>
      <c r="H122" s="13" t="str">
        <f>IFERROR(IF(ABS($G122)&gt;0,VLOOKUP($E122,'Fuel Category and Heat Rate'!$B$1:$G$34,6,FALSE)*($G122),""),"")</f>
        <v/>
      </c>
      <c r="I122" t="str">
        <f>IFERROR(VLOOKUP($E122,'Fuel Category and Heat Rate'!$K$2:$M$36,3,FALSE),"")</f>
        <v>coal</v>
      </c>
    </row>
    <row r="123" spans="1:9" x14ac:dyDescent="0.15">
      <c r="A123" s="2">
        <v>4247</v>
      </c>
      <c r="B123" s="2" t="s">
        <v>64</v>
      </c>
      <c r="C123" s="2">
        <v>2019</v>
      </c>
      <c r="D123" s="2" t="s">
        <v>1</v>
      </c>
      <c r="E123" s="2" t="s">
        <v>6</v>
      </c>
      <c r="F123" s="2" t="s">
        <v>35</v>
      </c>
      <c r="G123" s="7">
        <v>-0.13</v>
      </c>
      <c r="H123" s="13">
        <f>IFERROR(IF(ABS($G123)&gt;0,VLOOKUP($E123,'Fuel Category and Heat Rate'!$B$1:$G$34,6,FALSE)*($G123),""),"")</f>
        <v>-19065246640.734707</v>
      </c>
      <c r="I123" t="str">
        <f>IFERROR(VLOOKUP($E123,'Fuel Category and Heat Rate'!$K$2:$M$36,3,FALSE),"")</f>
        <v>coal</v>
      </c>
    </row>
    <row r="124" spans="1:9" x14ac:dyDescent="0.15">
      <c r="A124" s="2">
        <v>4282</v>
      </c>
      <c r="B124" s="2" t="s">
        <v>64</v>
      </c>
      <c r="C124" s="2">
        <v>2019</v>
      </c>
      <c r="D124" s="2" t="s">
        <v>1</v>
      </c>
      <c r="E124" s="2" t="s">
        <v>26</v>
      </c>
      <c r="F124" s="2" t="s">
        <v>35</v>
      </c>
      <c r="G124" s="7"/>
      <c r="H124" s="13" t="str">
        <f>IFERROR(IF(ABS($G124)&gt;0,VLOOKUP($E124,'Fuel Category and Heat Rate'!$B$1:$G$34,6,FALSE)*($G124),""),"")</f>
        <v/>
      </c>
      <c r="I124" t="str">
        <f>IFERROR(VLOOKUP($E124,'Fuel Category and Heat Rate'!$K$2:$M$36,3,FALSE),"")</f>
        <v>LPG propane or butane</v>
      </c>
    </row>
    <row r="125" spans="1:9" x14ac:dyDescent="0.15">
      <c r="A125" s="2">
        <v>4317</v>
      </c>
      <c r="B125" s="2" t="s">
        <v>64</v>
      </c>
      <c r="C125" s="2">
        <v>2019</v>
      </c>
      <c r="D125" s="2" t="s">
        <v>1</v>
      </c>
      <c r="E125" s="2" t="s">
        <v>30</v>
      </c>
      <c r="F125" s="2" t="s">
        <v>35</v>
      </c>
      <c r="G125" s="7"/>
      <c r="H125" s="13" t="str">
        <f>IFERROR(IF(ABS($G125)&gt;0,VLOOKUP($E125,'Fuel Category and Heat Rate'!$B$1:$G$34,6,FALSE)*($G125),""),"")</f>
        <v/>
      </c>
      <c r="I125" t="str">
        <f>IFERROR(VLOOKUP($E125,'Fuel Category and Heat Rate'!$K$2:$M$36,3,FALSE),"")</f>
        <v>natural gas</v>
      </c>
    </row>
    <row r="126" spans="1:9" x14ac:dyDescent="0.15">
      <c r="A126" s="2">
        <v>4352</v>
      </c>
      <c r="B126" s="2" t="s">
        <v>64</v>
      </c>
      <c r="C126" s="2">
        <v>2019</v>
      </c>
      <c r="D126" s="2" t="s">
        <v>1</v>
      </c>
      <c r="E126" s="2" t="s">
        <v>14</v>
      </c>
      <c r="F126" s="2" t="s">
        <v>35</v>
      </c>
      <c r="G126" s="7">
        <v>-0.28000000000000003</v>
      </c>
      <c r="H126" s="13">
        <f>IFERROR(IF(ABS($G126)&gt;0,VLOOKUP($E126,'Fuel Category and Heat Rate'!$B$1:$G$34,6,FALSE)*($G126),""),"")</f>
        <v>0</v>
      </c>
      <c r="I126" t="str">
        <f>IFERROR(VLOOKUP($E126,'Fuel Category and Heat Rate'!$K$2:$M$36,3,FALSE),"")</f>
        <v/>
      </c>
    </row>
    <row r="127" spans="1:9" x14ac:dyDescent="0.15">
      <c r="A127" s="2">
        <v>4387</v>
      </c>
      <c r="B127" s="2" t="s">
        <v>64</v>
      </c>
      <c r="C127" s="2">
        <v>2019</v>
      </c>
      <c r="D127" s="2" t="s">
        <v>1</v>
      </c>
      <c r="E127" s="2" t="s">
        <v>3</v>
      </c>
      <c r="F127" s="2" t="s">
        <v>35</v>
      </c>
      <c r="G127" s="7">
        <v>-493.39</v>
      </c>
      <c r="H127" s="13">
        <f>IFERROR(IF(ABS($G127)&gt;0,VLOOKUP($E127,'Fuel Category and Heat Rate'!$B$1:$G$34,6,FALSE)*($G127),""),"")</f>
        <v>-97774900921121.859</v>
      </c>
      <c r="I127" t="str">
        <f>IFERROR(VLOOKUP($E127,'Fuel Category and Heat Rate'!$K$2:$M$36,3,FALSE),"")</f>
        <v>coal</v>
      </c>
    </row>
    <row r="128" spans="1:9" x14ac:dyDescent="0.15">
      <c r="A128" s="2">
        <v>4422</v>
      </c>
      <c r="B128" s="2" t="s">
        <v>64</v>
      </c>
      <c r="C128" s="2">
        <v>2019</v>
      </c>
      <c r="D128" s="2" t="s">
        <v>1</v>
      </c>
      <c r="E128" s="2" t="s">
        <v>15</v>
      </c>
      <c r="F128" s="2" t="s">
        <v>35</v>
      </c>
      <c r="G128" s="7"/>
      <c r="H128" s="13" t="str">
        <f>IFERROR(IF(ABS($G128)&gt;0,VLOOKUP($E128,'Fuel Category and Heat Rate'!$B$1:$G$34,6,FALSE)*($G128),""),"")</f>
        <v/>
      </c>
      <c r="I128" t="str">
        <f>IFERROR(VLOOKUP($E128,'Fuel Category and Heat Rate'!$K$2:$M$36,3,FALSE),"")</f>
        <v>crude oil</v>
      </c>
    </row>
    <row r="129" spans="1:9" x14ac:dyDescent="0.15">
      <c r="A129" s="2">
        <v>4457</v>
      </c>
      <c r="B129" s="2" t="s">
        <v>64</v>
      </c>
      <c r="C129" s="2">
        <v>2019</v>
      </c>
      <c r="D129" s="2" t="s">
        <v>1</v>
      </c>
      <c r="E129" s="2" t="s">
        <v>11</v>
      </c>
      <c r="F129" s="2" t="s">
        <v>36</v>
      </c>
      <c r="G129" s="7">
        <v>-1.01</v>
      </c>
      <c r="H129" s="13">
        <f>IFERROR(IF(ABS($G129)&gt;0,VLOOKUP($E129,'Fuel Category and Heat Rate'!$B$1:$G$34,6,FALSE)*($G129),""),"")</f>
        <v>-760571110998.53162</v>
      </c>
      <c r="I129" t="str">
        <f>IFERROR(VLOOKUP($E129,'Fuel Category and Heat Rate'!$K$2:$M$36,3,FALSE),"")</f>
        <v>LPG propane or butane</v>
      </c>
    </row>
    <row r="130" spans="1:9" x14ac:dyDescent="0.15">
      <c r="A130" s="2">
        <v>4492</v>
      </c>
      <c r="B130" s="2" t="s">
        <v>64</v>
      </c>
      <c r="C130" s="2">
        <v>2018</v>
      </c>
      <c r="D130" s="2" t="s">
        <v>1</v>
      </c>
      <c r="E130" s="2" t="s">
        <v>18</v>
      </c>
      <c r="F130" s="2" t="s">
        <v>35</v>
      </c>
      <c r="G130" s="7">
        <v>-0.14000000000000001</v>
      </c>
      <c r="H130" s="13">
        <f>IFERROR(IF(ABS($G130)&gt;0,VLOOKUP($E130,'Fuel Category and Heat Rate'!$B$1:$G$34,6,FALSE)*($G130),""),"")</f>
        <v>-56596814282.390839</v>
      </c>
      <c r="I130" t="str">
        <f>IFERROR(VLOOKUP($E130,'Fuel Category and Heat Rate'!$K$2:$M$36,3,FALSE),"")</f>
        <v>petroleum diesel</v>
      </c>
    </row>
    <row r="131" spans="1:9" x14ac:dyDescent="0.15">
      <c r="A131" s="2">
        <v>4527</v>
      </c>
      <c r="B131" s="2" t="s">
        <v>64</v>
      </c>
      <c r="C131" s="2">
        <v>2018</v>
      </c>
      <c r="D131" s="2" t="s">
        <v>1</v>
      </c>
      <c r="E131" s="2" t="s">
        <v>32</v>
      </c>
      <c r="F131" s="2" t="s">
        <v>65</v>
      </c>
      <c r="G131" s="7"/>
      <c r="H131" s="13" t="str">
        <f>IFERROR(IF(ABS($G131)&gt;0,VLOOKUP($E131,'Fuel Category and Heat Rate'!$B$1:$G$34,6,FALSE)*($G131),""),"")</f>
        <v/>
      </c>
      <c r="I131" t="str">
        <f>IFERROR(VLOOKUP($E131,'Fuel Category and Heat Rate'!$K$2:$M$36,3,FALSE),"")</f>
        <v>electricity</v>
      </c>
    </row>
    <row r="132" spans="1:9" x14ac:dyDescent="0.15">
      <c r="A132" s="2">
        <v>4562</v>
      </c>
      <c r="B132" s="2" t="s">
        <v>64</v>
      </c>
      <c r="C132" s="2">
        <v>2018</v>
      </c>
      <c r="D132" s="2" t="s">
        <v>1</v>
      </c>
      <c r="E132" s="2" t="s">
        <v>10</v>
      </c>
      <c r="F132" s="2" t="s">
        <v>36</v>
      </c>
      <c r="G132" s="7">
        <v>-8.9700000000000006</v>
      </c>
      <c r="H132" s="13">
        <f>IFERROR(IF(ABS($G132)&gt;0,VLOOKUP($E132,'Fuel Category and Heat Rate'!$B$1:$G$34,6,FALSE)*($G132),""),"")</f>
        <v>-3199272341838.5864</v>
      </c>
      <c r="I132" t="str">
        <f>IFERROR(VLOOKUP($E132,'Fuel Category and Heat Rate'!$K$2:$M$36,3,FALSE),"")</f>
        <v>LPG propane or butane</v>
      </c>
    </row>
    <row r="133" spans="1:9" x14ac:dyDescent="0.15">
      <c r="A133" s="2">
        <v>4597</v>
      </c>
      <c r="B133" s="2" t="s">
        <v>64</v>
      </c>
      <c r="C133" s="2">
        <v>2018</v>
      </c>
      <c r="D133" s="2" t="s">
        <v>1</v>
      </c>
      <c r="E133" s="2" t="s">
        <v>9</v>
      </c>
      <c r="F133" s="2" t="s">
        <v>36</v>
      </c>
      <c r="G133" s="7">
        <v>-0.71</v>
      </c>
      <c r="H133" s="13">
        <f>IFERROR(IF(ABS($G133)&gt;0,VLOOKUP($E133,'Fuel Category and Heat Rate'!$B$1:$G$34,6,FALSE)*($G133),""),"")</f>
        <v>-1167804055112.343</v>
      </c>
      <c r="I133" t="str">
        <f>IFERROR(VLOOKUP($E133,'Fuel Category and Heat Rate'!$K$2:$M$36,3,FALSE),"")</f>
        <v>LPG propane or butane</v>
      </c>
    </row>
    <row r="134" spans="1:9" x14ac:dyDescent="0.15">
      <c r="A134" s="2">
        <v>4632</v>
      </c>
      <c r="B134" s="2" t="s">
        <v>64</v>
      </c>
      <c r="C134" s="2">
        <v>2018</v>
      </c>
      <c r="D134" s="2" t="s">
        <v>1</v>
      </c>
      <c r="E134" s="2" t="s">
        <v>8</v>
      </c>
      <c r="F134" s="2" t="s">
        <v>35</v>
      </c>
      <c r="G134" s="7"/>
      <c r="H134" s="13" t="str">
        <f>IFERROR(IF(ABS($G134)&gt;0,VLOOKUP($E134,'Fuel Category and Heat Rate'!$B$1:$G$34,6,FALSE)*($G134),""),"")</f>
        <v/>
      </c>
      <c r="I134" t="str">
        <f>IFERROR(VLOOKUP($E134,'Fuel Category and Heat Rate'!$K$2:$M$36,3,FALSE),"")</f>
        <v>coal</v>
      </c>
    </row>
    <row r="135" spans="1:9" x14ac:dyDescent="0.15">
      <c r="A135" s="2">
        <v>4667</v>
      </c>
      <c r="B135" s="2" t="s">
        <v>64</v>
      </c>
      <c r="C135" s="2">
        <v>2018</v>
      </c>
      <c r="D135" s="2" t="s">
        <v>1</v>
      </c>
      <c r="E135" s="2" t="s">
        <v>27</v>
      </c>
      <c r="F135" s="2" t="s">
        <v>35</v>
      </c>
      <c r="G135" s="7">
        <v>-0.7</v>
      </c>
      <c r="H135" s="13">
        <f>IFERROR(IF(ABS($G135)&gt;0,VLOOKUP($E135,'Fuel Category and Heat Rate'!$B$1:$G$34,6,FALSE)*($G135),""),"")</f>
        <v>-305183844059.06091</v>
      </c>
      <c r="I135" t="str">
        <f>IFERROR(VLOOKUP($E135,'Fuel Category and Heat Rate'!$K$2:$M$36,3,FALSE),"")</f>
        <v>LPG propane or butane</v>
      </c>
    </row>
    <row r="136" spans="1:9" x14ac:dyDescent="0.15">
      <c r="A136" s="2">
        <v>4702</v>
      </c>
      <c r="B136" s="2" t="s">
        <v>64</v>
      </c>
      <c r="C136" s="2">
        <v>2018</v>
      </c>
      <c r="D136" s="2" t="s">
        <v>1</v>
      </c>
      <c r="E136" s="2" t="s">
        <v>7</v>
      </c>
      <c r="F136" s="2" t="s">
        <v>35</v>
      </c>
      <c r="G136" s="7">
        <v>-7.86</v>
      </c>
      <c r="H136" s="13">
        <f>IFERROR(IF(ABS($G136)&gt;0,VLOOKUP($E136,'Fuel Category and Heat Rate'!$B$1:$G$34,6,FALSE)*($G136),""),"")</f>
        <v>-623849817997.78662</v>
      </c>
      <c r="I136" t="str">
        <f>IFERROR(VLOOKUP($E136,'Fuel Category and Heat Rate'!$K$2:$M$36,3,FALSE),"")</f>
        <v>coal</v>
      </c>
    </row>
    <row r="137" spans="1:9" x14ac:dyDescent="0.15">
      <c r="A137" s="2">
        <v>4737</v>
      </c>
      <c r="B137" s="2" t="s">
        <v>64</v>
      </c>
      <c r="C137" s="2">
        <v>2018</v>
      </c>
      <c r="D137" s="2" t="s">
        <v>1</v>
      </c>
      <c r="E137" s="2" t="s">
        <v>2</v>
      </c>
      <c r="F137" s="2" t="s">
        <v>35</v>
      </c>
      <c r="G137" s="7">
        <v>-535.13</v>
      </c>
      <c r="H137" s="13">
        <f>IFERROR(IF(ABS($G137)&gt;0,VLOOKUP($E137,'Fuel Category and Heat Rate'!$B$1:$G$34,6,FALSE)*($G137),""),"")</f>
        <v>0</v>
      </c>
      <c r="I137" t="str">
        <f>IFERROR(VLOOKUP($E137,'Fuel Category and Heat Rate'!$K$2:$M$36,3,FALSE),"")</f>
        <v/>
      </c>
    </row>
    <row r="138" spans="1:9" x14ac:dyDescent="0.15">
      <c r="A138" s="2">
        <v>4772</v>
      </c>
      <c r="B138" s="2" t="s">
        <v>64</v>
      </c>
      <c r="C138" s="2">
        <v>2018</v>
      </c>
      <c r="D138" s="2" t="s">
        <v>1</v>
      </c>
      <c r="E138" s="2" t="s">
        <v>17</v>
      </c>
      <c r="F138" s="2" t="s">
        <v>35</v>
      </c>
      <c r="G138" s="7"/>
      <c r="H138" s="13" t="str">
        <f>IFERROR(IF(ABS($G138)&gt;0,VLOOKUP($E138,'Fuel Category and Heat Rate'!$B$1:$G$34,6,FALSE)*($G138),""),"")</f>
        <v/>
      </c>
      <c r="I138" t="str">
        <f>IFERROR(VLOOKUP($E138,'Fuel Category and Heat Rate'!$K$2:$M$36,3,FALSE),"")</f>
        <v>petroleum diesel</v>
      </c>
    </row>
    <row r="139" spans="1:9" x14ac:dyDescent="0.15">
      <c r="A139" s="2">
        <v>4807</v>
      </c>
      <c r="B139" s="2" t="s">
        <v>64</v>
      </c>
      <c r="C139" s="2">
        <v>2018</v>
      </c>
      <c r="D139" s="2" t="s">
        <v>1</v>
      </c>
      <c r="E139" s="2" t="s">
        <v>13</v>
      </c>
      <c r="F139" s="2" t="s">
        <v>35</v>
      </c>
      <c r="G139" s="7"/>
      <c r="H139" s="13" t="str">
        <f>IFERROR(IF(ABS($G139)&gt;0,VLOOKUP($E139,'Fuel Category and Heat Rate'!$B$1:$G$34,6,FALSE)*($G139),""),"")</f>
        <v/>
      </c>
      <c r="I139" t="str">
        <f>IFERROR(VLOOKUP($E139,'Fuel Category and Heat Rate'!$K$2:$M$36,3,FALSE),"")</f>
        <v>petroleum diesel</v>
      </c>
    </row>
    <row r="140" spans="1:9" x14ac:dyDescent="0.15">
      <c r="A140" s="2">
        <v>4842</v>
      </c>
      <c r="B140" s="2" t="s">
        <v>64</v>
      </c>
      <c r="C140" s="2">
        <v>2018</v>
      </c>
      <c r="D140" s="2" t="s">
        <v>1</v>
      </c>
      <c r="E140" s="2" t="s">
        <v>12</v>
      </c>
      <c r="F140" s="2" t="s">
        <v>36</v>
      </c>
      <c r="G140" s="7"/>
      <c r="H140" s="13" t="str">
        <f>IFERROR(IF(ABS($G140)&gt;0,VLOOKUP($E140,'Fuel Category and Heat Rate'!$B$1:$G$34,6,FALSE)*($G140),""),"")</f>
        <v/>
      </c>
      <c r="I140" t="str">
        <f>IFERROR(VLOOKUP($E140,'Fuel Category and Heat Rate'!$K$2:$M$36,3,FALSE),"")</f>
        <v>LPG propane or butane</v>
      </c>
    </row>
    <row r="141" spans="1:9" x14ac:dyDescent="0.15">
      <c r="A141" s="2">
        <v>4877</v>
      </c>
      <c r="B141" s="2" t="s">
        <v>64</v>
      </c>
      <c r="C141" s="2">
        <v>2018</v>
      </c>
      <c r="D141" s="2" t="s">
        <v>1</v>
      </c>
      <c r="E141" s="2" t="s">
        <v>33</v>
      </c>
      <c r="F141" s="2" t="s">
        <v>38</v>
      </c>
      <c r="G141" s="7">
        <v>-22.7</v>
      </c>
      <c r="H141" s="13">
        <f>IFERROR(IF(ABS($G141)&gt;0,VLOOKUP($E141,'Fuel Category and Heat Rate'!$B$1:$G$34,6,FALSE)*($G141),""),"")</f>
        <v>-6297786984452.0547</v>
      </c>
      <c r="I141" t="str">
        <f>IFERROR(VLOOKUP($E141,'Fuel Category and Heat Rate'!$K$2:$M$36,3,FALSE),"")</f>
        <v>biomass</v>
      </c>
    </row>
    <row r="142" spans="1:9" x14ac:dyDescent="0.15">
      <c r="A142" s="2">
        <v>4912</v>
      </c>
      <c r="B142" s="2" t="s">
        <v>64</v>
      </c>
      <c r="C142" s="2">
        <v>2018</v>
      </c>
      <c r="D142" s="2" t="s">
        <v>1</v>
      </c>
      <c r="E142" s="2" t="s">
        <v>28</v>
      </c>
      <c r="F142" s="2" t="s">
        <v>35</v>
      </c>
      <c r="G142" s="7"/>
      <c r="H142" s="13" t="str">
        <f>IFERROR(IF(ABS($G142)&gt;0,VLOOKUP($E142,'Fuel Category and Heat Rate'!$B$1:$G$34,6,FALSE)*($G142),""),"")</f>
        <v/>
      </c>
      <c r="I142" t="str">
        <f>IFERROR(VLOOKUP($E142,'Fuel Category and Heat Rate'!$K$2:$M$36,3,FALSE),"")</f>
        <v>heavy or residual fuel oil</v>
      </c>
    </row>
    <row r="143" spans="1:9" x14ac:dyDescent="0.15">
      <c r="A143" s="2">
        <v>4947</v>
      </c>
      <c r="B143" s="2" t="s">
        <v>64</v>
      </c>
      <c r="C143" s="2">
        <v>2018</v>
      </c>
      <c r="D143" s="2" t="s">
        <v>1</v>
      </c>
      <c r="E143" s="2" t="s">
        <v>5</v>
      </c>
      <c r="F143" s="2" t="s">
        <v>35</v>
      </c>
      <c r="G143" s="7">
        <v>-6.73</v>
      </c>
      <c r="H143" s="13">
        <f>IFERROR(IF(ABS($G143)&gt;0,VLOOKUP($E143,'Fuel Category and Heat Rate'!$B$1:$G$34,6,FALSE)*($G143),""),"")</f>
        <v>-533459816368.96283</v>
      </c>
      <c r="I143" t="str">
        <f>IFERROR(VLOOKUP($E143,'Fuel Category and Heat Rate'!$K$2:$M$36,3,FALSE),"")</f>
        <v>coal</v>
      </c>
    </row>
    <row r="144" spans="1:9" x14ac:dyDescent="0.15">
      <c r="A144" s="2">
        <v>4982</v>
      </c>
      <c r="B144" s="2" t="s">
        <v>64</v>
      </c>
      <c r="C144" s="2">
        <v>2018</v>
      </c>
      <c r="D144" s="2" t="s">
        <v>1</v>
      </c>
      <c r="E144" s="2" t="s">
        <v>16</v>
      </c>
      <c r="F144" s="2" t="s">
        <v>35</v>
      </c>
      <c r="G144" s="7"/>
      <c r="H144" s="13" t="str">
        <f>IFERROR(IF(ABS($G144)&gt;0,VLOOKUP($E144,'Fuel Category and Heat Rate'!$B$1:$G$34,6,FALSE)*($G144),""),"")</f>
        <v/>
      </c>
      <c r="I144" t="str">
        <f>IFERROR(VLOOKUP($E144,'Fuel Category and Heat Rate'!$K$2:$M$36,3,FALSE),"")</f>
        <v>petroleum diesel</v>
      </c>
    </row>
    <row r="145" spans="1:9" x14ac:dyDescent="0.15">
      <c r="A145" s="2">
        <v>5017</v>
      </c>
      <c r="B145" s="2" t="s">
        <v>64</v>
      </c>
      <c r="C145" s="2">
        <v>2018</v>
      </c>
      <c r="D145" s="2" t="s">
        <v>1</v>
      </c>
      <c r="E145" s="2" t="s">
        <v>19</v>
      </c>
      <c r="F145" s="2" t="s">
        <v>35</v>
      </c>
      <c r="G145" s="7"/>
      <c r="H145" s="13" t="str">
        <f>IFERROR(IF(ABS($G145)&gt;0,VLOOKUP($E145,'Fuel Category and Heat Rate'!$B$1:$G$34,6,FALSE)*($G145),""),"")</f>
        <v/>
      </c>
      <c r="I145" t="str">
        <f>IFERROR(VLOOKUP($E145,'Fuel Category and Heat Rate'!$K$2:$M$36,3,FALSE),"")</f>
        <v>heavy or residual fuel oil</v>
      </c>
    </row>
    <row r="146" spans="1:9" x14ac:dyDescent="0.15">
      <c r="A146" s="2">
        <v>5052</v>
      </c>
      <c r="B146" s="2" t="s">
        <v>64</v>
      </c>
      <c r="C146" s="2">
        <v>2018</v>
      </c>
      <c r="D146" s="2" t="s">
        <v>1</v>
      </c>
      <c r="E146" s="2" t="s">
        <v>31</v>
      </c>
      <c r="F146" s="2" t="s">
        <v>37</v>
      </c>
      <c r="G146" s="7">
        <v>9927.2900000000009</v>
      </c>
      <c r="H146" s="13">
        <f>IFERROR(IF(ABS($G146)&gt;0,VLOOKUP($E146,'Fuel Category and Heat Rate'!$B$1:$G$34,6,FALSE)*($G146),""),"")</f>
        <v>94092554436810.156</v>
      </c>
      <c r="I146" t="str">
        <f>IFERROR(VLOOKUP($E146,'Fuel Category and Heat Rate'!$K$2:$M$36,3,FALSE),"")</f>
        <v>heat</v>
      </c>
    </row>
    <row r="147" spans="1:9" x14ac:dyDescent="0.15">
      <c r="A147" s="2">
        <v>5087</v>
      </c>
      <c r="B147" s="2" t="s">
        <v>64</v>
      </c>
      <c r="C147" s="2">
        <v>2018</v>
      </c>
      <c r="D147" s="2" t="s">
        <v>1</v>
      </c>
      <c r="E147" s="2" t="s">
        <v>23</v>
      </c>
      <c r="F147" s="2" t="s">
        <v>35</v>
      </c>
      <c r="G147" s="7"/>
      <c r="H147" s="13" t="str">
        <f>IFERROR(IF(ABS($G147)&gt;0,VLOOKUP($E147,'Fuel Category and Heat Rate'!$B$1:$G$34,6,FALSE)*($G147),""),"")</f>
        <v/>
      </c>
      <c r="I147" t="str">
        <f>IFERROR(VLOOKUP($E147,'Fuel Category and Heat Rate'!$K$2:$M$36,3,FALSE),"")</f>
        <v>heavy or residual fuel oil</v>
      </c>
    </row>
    <row r="148" spans="1:9" x14ac:dyDescent="0.15">
      <c r="A148" s="2">
        <v>5122</v>
      </c>
      <c r="B148" s="2" t="s">
        <v>64</v>
      </c>
      <c r="C148" s="2">
        <v>2018</v>
      </c>
      <c r="D148" s="2" t="s">
        <v>1</v>
      </c>
      <c r="E148" s="2" t="s">
        <v>21</v>
      </c>
      <c r="F148" s="2" t="s">
        <v>35</v>
      </c>
      <c r="G148" s="7"/>
      <c r="H148" s="13" t="str">
        <f>IFERROR(IF(ABS($G148)&gt;0,VLOOKUP($E148,'Fuel Category and Heat Rate'!$B$1:$G$34,6,FALSE)*($G148),""),"")</f>
        <v/>
      </c>
      <c r="I148" t="str">
        <f>IFERROR(VLOOKUP($E148,'Fuel Category and Heat Rate'!$K$2:$M$36,3,FALSE),"")</f>
        <v>LPG propane or butane</v>
      </c>
    </row>
    <row r="149" spans="1:9" x14ac:dyDescent="0.15">
      <c r="A149" s="2">
        <v>5157</v>
      </c>
      <c r="B149" s="2" t="s">
        <v>64</v>
      </c>
      <c r="C149" s="2">
        <v>2018</v>
      </c>
      <c r="D149" s="2" t="s">
        <v>1</v>
      </c>
      <c r="E149" s="2" t="s">
        <v>22</v>
      </c>
      <c r="F149" s="2" t="s">
        <v>35</v>
      </c>
      <c r="G149" s="7"/>
      <c r="H149" s="13" t="str">
        <f>IFERROR(IF(ABS($G149)&gt;0,VLOOKUP($E149,'Fuel Category and Heat Rate'!$B$1:$G$34,6,FALSE)*($G149),""),"")</f>
        <v/>
      </c>
      <c r="I149" t="str">
        <f>IFERROR(VLOOKUP($E149,'Fuel Category and Heat Rate'!$K$2:$M$36,3,FALSE),"")</f>
        <v>heavy fuel oil</v>
      </c>
    </row>
    <row r="150" spans="1:9" x14ac:dyDescent="0.15">
      <c r="A150" s="2">
        <v>5192</v>
      </c>
      <c r="B150" s="2" t="s">
        <v>64</v>
      </c>
      <c r="C150" s="2">
        <v>2018</v>
      </c>
      <c r="D150" s="2" t="s">
        <v>1</v>
      </c>
      <c r="E150" s="2" t="s">
        <v>20</v>
      </c>
      <c r="F150" s="2" t="s">
        <v>35</v>
      </c>
      <c r="G150" s="7"/>
      <c r="H150" s="13" t="str">
        <f>IFERROR(IF(ABS($G150)&gt;0,VLOOKUP($E150,'Fuel Category and Heat Rate'!$B$1:$G$34,6,FALSE)*($G150),""),"")</f>
        <v/>
      </c>
      <c r="I150" t="str">
        <f>IFERROR(VLOOKUP($E150,'Fuel Category and Heat Rate'!$K$2:$M$36,3,FALSE),"")</f>
        <v>LPG propane or butane</v>
      </c>
    </row>
    <row r="151" spans="1:9" x14ac:dyDescent="0.15">
      <c r="A151" s="2">
        <v>5227</v>
      </c>
      <c r="B151" s="2" t="s">
        <v>64</v>
      </c>
      <c r="C151" s="2">
        <v>2018</v>
      </c>
      <c r="D151" s="2" t="s">
        <v>1</v>
      </c>
      <c r="E151" s="2" t="s">
        <v>25</v>
      </c>
      <c r="F151" s="2" t="s">
        <v>35</v>
      </c>
      <c r="G151" s="7"/>
      <c r="H151" s="13" t="str">
        <f>IFERROR(IF(ABS($G151)&gt;0,VLOOKUP($E151,'Fuel Category and Heat Rate'!$B$1:$G$34,6,FALSE)*($G151),""),"")</f>
        <v/>
      </c>
      <c r="I151" t="str">
        <f>IFERROR(VLOOKUP($E151,'Fuel Category and Heat Rate'!$K$2:$M$36,3,FALSE),"")</f>
        <v>heavy fuel oil</v>
      </c>
    </row>
    <row r="152" spans="1:9" x14ac:dyDescent="0.15">
      <c r="A152" s="2">
        <v>5262</v>
      </c>
      <c r="B152" s="2" t="s">
        <v>64</v>
      </c>
      <c r="C152" s="2">
        <v>2018</v>
      </c>
      <c r="D152" s="2" t="s">
        <v>1</v>
      </c>
      <c r="E152" s="2" t="s">
        <v>24</v>
      </c>
      <c r="F152" s="2" t="s">
        <v>35</v>
      </c>
      <c r="G152" s="7"/>
      <c r="H152" s="13" t="str">
        <f>IFERROR(IF(ABS($G152)&gt;0,VLOOKUP($E152,'Fuel Category and Heat Rate'!$B$1:$G$34,6,FALSE)*($G152),""),"")</f>
        <v/>
      </c>
      <c r="I152" t="str">
        <f>IFERROR(VLOOKUP($E152,'Fuel Category and Heat Rate'!$K$2:$M$36,3,FALSE),"")</f>
        <v>heavy fuel oil</v>
      </c>
    </row>
    <row r="153" spans="1:9" x14ac:dyDescent="0.15">
      <c r="A153" s="2">
        <v>5297</v>
      </c>
      <c r="B153" s="2" t="s">
        <v>64</v>
      </c>
      <c r="C153" s="2">
        <v>2018</v>
      </c>
      <c r="D153" s="2" t="s">
        <v>1</v>
      </c>
      <c r="E153" s="2" t="s">
        <v>29</v>
      </c>
      <c r="F153" s="2" t="s">
        <v>36</v>
      </c>
      <c r="G153" s="7"/>
      <c r="H153" s="13" t="str">
        <f>IFERROR(IF(ABS($G153)&gt;0,VLOOKUP($E153,'Fuel Category and Heat Rate'!$B$1:$G$34,6,FALSE)*($G153),""),"")</f>
        <v/>
      </c>
      <c r="I153" t="str">
        <f>IFERROR(VLOOKUP($E153,'Fuel Category and Heat Rate'!$K$2:$M$36,3,FALSE),"")</f>
        <v>natural gas</v>
      </c>
    </row>
    <row r="154" spans="1:9" x14ac:dyDescent="0.15">
      <c r="A154" s="2">
        <v>5332</v>
      </c>
      <c r="B154" s="2" t="s">
        <v>64</v>
      </c>
      <c r="C154" s="2">
        <v>2018</v>
      </c>
      <c r="D154" s="2" t="s">
        <v>1</v>
      </c>
      <c r="E154" s="2" t="s">
        <v>4</v>
      </c>
      <c r="F154" s="2" t="s">
        <v>35</v>
      </c>
      <c r="G154" s="7"/>
      <c r="H154" s="13" t="str">
        <f>IFERROR(IF(ABS($G154)&gt;0,VLOOKUP($E154,'Fuel Category and Heat Rate'!$B$1:$G$34,6,FALSE)*($G154),""),"")</f>
        <v/>
      </c>
      <c r="I154" t="str">
        <f>IFERROR(VLOOKUP($E154,'Fuel Category and Heat Rate'!$K$2:$M$36,3,FALSE),"")</f>
        <v>coal</v>
      </c>
    </row>
    <row r="155" spans="1:9" x14ac:dyDescent="0.15">
      <c r="A155" s="2">
        <v>5367</v>
      </c>
      <c r="B155" s="2" t="s">
        <v>64</v>
      </c>
      <c r="C155" s="2">
        <v>2018</v>
      </c>
      <c r="D155" s="2" t="s">
        <v>1</v>
      </c>
      <c r="E155" s="2" t="s">
        <v>6</v>
      </c>
      <c r="F155" s="2" t="s">
        <v>35</v>
      </c>
      <c r="G155" s="7"/>
      <c r="H155" s="13" t="str">
        <f>IFERROR(IF(ABS($G155)&gt;0,VLOOKUP($E155,'Fuel Category and Heat Rate'!$B$1:$G$34,6,FALSE)*($G155),""),"")</f>
        <v/>
      </c>
      <c r="I155" t="str">
        <f>IFERROR(VLOOKUP($E155,'Fuel Category and Heat Rate'!$K$2:$M$36,3,FALSE),"")</f>
        <v>coal</v>
      </c>
    </row>
    <row r="156" spans="1:9" x14ac:dyDescent="0.15">
      <c r="A156" s="2">
        <v>5402</v>
      </c>
      <c r="B156" s="2" t="s">
        <v>64</v>
      </c>
      <c r="C156" s="2">
        <v>2018</v>
      </c>
      <c r="D156" s="2" t="s">
        <v>1</v>
      </c>
      <c r="E156" s="2" t="s">
        <v>26</v>
      </c>
      <c r="F156" s="2" t="s">
        <v>35</v>
      </c>
      <c r="G156" s="7"/>
      <c r="H156" s="13" t="str">
        <f>IFERROR(IF(ABS($G156)&gt;0,VLOOKUP($E156,'Fuel Category and Heat Rate'!$B$1:$G$34,6,FALSE)*($G156),""),"")</f>
        <v/>
      </c>
      <c r="I156" t="str">
        <f>IFERROR(VLOOKUP($E156,'Fuel Category and Heat Rate'!$K$2:$M$36,3,FALSE),"")</f>
        <v>LPG propane or butane</v>
      </c>
    </row>
    <row r="157" spans="1:9" x14ac:dyDescent="0.15">
      <c r="A157" s="2">
        <v>5437</v>
      </c>
      <c r="B157" s="2" t="s">
        <v>64</v>
      </c>
      <c r="C157" s="2">
        <v>2018</v>
      </c>
      <c r="D157" s="2" t="s">
        <v>1</v>
      </c>
      <c r="E157" s="2" t="s">
        <v>30</v>
      </c>
      <c r="F157" s="2" t="s">
        <v>35</v>
      </c>
      <c r="G157" s="7"/>
      <c r="H157" s="13" t="str">
        <f>IFERROR(IF(ABS($G157)&gt;0,VLOOKUP($E157,'Fuel Category and Heat Rate'!$B$1:$G$34,6,FALSE)*($G157),""),"")</f>
        <v/>
      </c>
      <c r="I157" t="str">
        <f>IFERROR(VLOOKUP($E157,'Fuel Category and Heat Rate'!$K$2:$M$36,3,FALSE),"")</f>
        <v>natural gas</v>
      </c>
    </row>
    <row r="158" spans="1:9" x14ac:dyDescent="0.15">
      <c r="A158" s="2">
        <v>5472</v>
      </c>
      <c r="B158" s="2" t="s">
        <v>64</v>
      </c>
      <c r="C158" s="2">
        <v>2018</v>
      </c>
      <c r="D158" s="2" t="s">
        <v>1</v>
      </c>
      <c r="E158" s="2" t="s">
        <v>14</v>
      </c>
      <c r="F158" s="2" t="s">
        <v>35</v>
      </c>
      <c r="G158" s="7">
        <v>-0.85</v>
      </c>
      <c r="H158" s="13">
        <f>IFERROR(IF(ABS($G158)&gt;0,VLOOKUP($E158,'Fuel Category and Heat Rate'!$B$1:$G$34,6,FALSE)*($G158),""),"")</f>
        <v>0</v>
      </c>
      <c r="I158" t="str">
        <f>IFERROR(VLOOKUP($E158,'Fuel Category and Heat Rate'!$K$2:$M$36,3,FALSE),"")</f>
        <v/>
      </c>
    </row>
    <row r="159" spans="1:9" x14ac:dyDescent="0.15">
      <c r="A159" s="2">
        <v>5507</v>
      </c>
      <c r="B159" s="2" t="s">
        <v>64</v>
      </c>
      <c r="C159" s="2">
        <v>2018</v>
      </c>
      <c r="D159" s="2" t="s">
        <v>1</v>
      </c>
      <c r="E159" s="2" t="s">
        <v>3</v>
      </c>
      <c r="F159" s="2" t="s">
        <v>35</v>
      </c>
      <c r="G159" s="7">
        <v>-528.4</v>
      </c>
      <c r="H159" s="13">
        <f>IFERROR(IF(ABS($G159)&gt;0,VLOOKUP($E159,'Fuel Category and Heat Rate'!$B$1:$G$34,6,FALSE)*($G159),""),"")</f>
        <v>-104712818757414.59</v>
      </c>
      <c r="I159" t="str">
        <f>IFERROR(VLOOKUP($E159,'Fuel Category and Heat Rate'!$K$2:$M$36,3,FALSE),"")</f>
        <v>coal</v>
      </c>
    </row>
    <row r="160" spans="1:9" x14ac:dyDescent="0.15">
      <c r="A160" s="2">
        <v>5542</v>
      </c>
      <c r="B160" s="2" t="s">
        <v>64</v>
      </c>
      <c r="C160" s="2">
        <v>2018</v>
      </c>
      <c r="D160" s="2" t="s">
        <v>1</v>
      </c>
      <c r="E160" s="2" t="s">
        <v>15</v>
      </c>
      <c r="F160" s="2" t="s">
        <v>35</v>
      </c>
      <c r="G160" s="7"/>
      <c r="H160" s="13" t="str">
        <f>IFERROR(IF(ABS($G160)&gt;0,VLOOKUP($E160,'Fuel Category and Heat Rate'!$B$1:$G$34,6,FALSE)*($G160),""),"")</f>
        <v/>
      </c>
      <c r="I160" t="str">
        <f>IFERROR(VLOOKUP($E160,'Fuel Category and Heat Rate'!$K$2:$M$36,3,FALSE),"")</f>
        <v>crude oil</v>
      </c>
    </row>
    <row r="161" spans="1:9" x14ac:dyDescent="0.15">
      <c r="A161" s="2">
        <v>5577</v>
      </c>
      <c r="B161" s="2" t="s">
        <v>64</v>
      </c>
      <c r="C161" s="2">
        <v>2018</v>
      </c>
      <c r="D161" s="2" t="s">
        <v>1</v>
      </c>
      <c r="E161" s="2" t="s">
        <v>11</v>
      </c>
      <c r="F161" s="2" t="s">
        <v>36</v>
      </c>
      <c r="G161" s="7">
        <v>-0.99</v>
      </c>
      <c r="H161" s="13">
        <f>IFERROR(IF(ABS($G161)&gt;0,VLOOKUP($E161,'Fuel Category and Heat Rate'!$B$1:$G$34,6,FALSE)*($G161),""),"")</f>
        <v>-745510296919.35266</v>
      </c>
      <c r="I161" t="str">
        <f>IFERROR(VLOOKUP($E161,'Fuel Category and Heat Rate'!$K$2:$M$36,3,FALSE),"")</f>
        <v>LPG propane or butane</v>
      </c>
    </row>
    <row r="162" spans="1:9" x14ac:dyDescent="0.15">
      <c r="A162" s="2">
        <v>18422</v>
      </c>
      <c r="B162" s="2" t="s">
        <v>66</v>
      </c>
      <c r="C162" s="2">
        <v>2022</v>
      </c>
      <c r="D162" s="2" t="s">
        <v>1</v>
      </c>
      <c r="E162" s="2" t="s">
        <v>18</v>
      </c>
      <c r="F162" s="2" t="s">
        <v>35</v>
      </c>
      <c r="G162" s="7">
        <v>-0.18</v>
      </c>
      <c r="H162" s="13">
        <f>IFERROR(IF(ABS($G162)&gt;0,VLOOKUP($E162,'Fuel Category and Heat Rate'!$B$1:$G$34,6,FALSE)*($G162),""),"")</f>
        <v>-72767332648.788208</v>
      </c>
      <c r="I162" t="str">
        <f>IFERROR(VLOOKUP($E162,'Fuel Category and Heat Rate'!$K$2:$M$36,3,FALSE),"")</f>
        <v>petroleum diesel</v>
      </c>
    </row>
    <row r="163" spans="1:9" x14ac:dyDescent="0.15">
      <c r="A163" s="2">
        <v>18457</v>
      </c>
      <c r="B163" s="2" t="s">
        <v>66</v>
      </c>
      <c r="C163" s="2">
        <v>2022</v>
      </c>
      <c r="D163" s="2" t="s">
        <v>1</v>
      </c>
      <c r="E163" s="2" t="s">
        <v>32</v>
      </c>
      <c r="F163" s="2" t="s">
        <v>65</v>
      </c>
      <c r="G163" s="7">
        <v>-0.19</v>
      </c>
      <c r="H163" s="13">
        <f>IFERROR(IF(ABS($G163)&gt;0,VLOOKUP($E163,'Fuel Category and Heat Rate'!$B$1:$G$34,6,FALSE)*($G163),""),"")</f>
        <v>-64830691190.423714</v>
      </c>
      <c r="I163" t="str">
        <f>IFERROR(VLOOKUP($E163,'Fuel Category and Heat Rate'!$K$2:$M$36,3,FALSE),"")</f>
        <v>electricity</v>
      </c>
    </row>
    <row r="164" spans="1:9" x14ac:dyDescent="0.15">
      <c r="A164" s="2">
        <v>18492</v>
      </c>
      <c r="B164" s="2" t="s">
        <v>66</v>
      </c>
      <c r="C164" s="2">
        <v>2022</v>
      </c>
      <c r="D164" s="2" t="s">
        <v>1</v>
      </c>
      <c r="E164" s="2" t="s">
        <v>10</v>
      </c>
      <c r="F164" s="2" t="s">
        <v>36</v>
      </c>
      <c r="G164" s="7"/>
      <c r="H164" s="13" t="str">
        <f>IFERROR(IF(ABS($G164)&gt;0,VLOOKUP($E164,'Fuel Category and Heat Rate'!$B$1:$G$34,6,FALSE)*($G164),""),"")</f>
        <v/>
      </c>
      <c r="I164" t="str">
        <f>IFERROR(VLOOKUP($E164,'Fuel Category and Heat Rate'!$K$2:$M$36,3,FALSE),"")</f>
        <v>LPG propane or butane</v>
      </c>
    </row>
    <row r="165" spans="1:9" x14ac:dyDescent="0.15">
      <c r="A165" s="2">
        <v>18527</v>
      </c>
      <c r="B165" s="2" t="s">
        <v>66</v>
      </c>
      <c r="C165" s="2">
        <v>2022</v>
      </c>
      <c r="D165" s="2" t="s">
        <v>1</v>
      </c>
      <c r="E165" s="2" t="s">
        <v>9</v>
      </c>
      <c r="F165" s="2" t="s">
        <v>36</v>
      </c>
      <c r="G165" s="7"/>
      <c r="H165" s="13" t="str">
        <f>IFERROR(IF(ABS($G165)&gt;0,VLOOKUP($E165,'Fuel Category and Heat Rate'!$B$1:$G$34,6,FALSE)*($G165),""),"")</f>
        <v/>
      </c>
      <c r="I165" t="str">
        <f>IFERROR(VLOOKUP($E165,'Fuel Category and Heat Rate'!$K$2:$M$36,3,FALSE),"")</f>
        <v>LPG propane or butane</v>
      </c>
    </row>
    <row r="166" spans="1:9" x14ac:dyDescent="0.15">
      <c r="A166" s="2">
        <v>18562</v>
      </c>
      <c r="B166" s="2" t="s">
        <v>66</v>
      </c>
      <c r="C166" s="2">
        <v>2022</v>
      </c>
      <c r="D166" s="2" t="s">
        <v>1</v>
      </c>
      <c r="E166" s="2" t="s">
        <v>8</v>
      </c>
      <c r="F166" s="2" t="s">
        <v>35</v>
      </c>
      <c r="G166" s="7"/>
      <c r="H166" s="13" t="str">
        <f>IFERROR(IF(ABS($G166)&gt;0,VLOOKUP($E166,'Fuel Category and Heat Rate'!$B$1:$G$34,6,FALSE)*($G166),""),"")</f>
        <v/>
      </c>
      <c r="I166" t="str">
        <f>IFERROR(VLOOKUP($E166,'Fuel Category and Heat Rate'!$K$2:$M$36,3,FALSE),"")</f>
        <v>coal</v>
      </c>
    </row>
    <row r="167" spans="1:9" x14ac:dyDescent="0.15">
      <c r="A167" s="2">
        <v>18597</v>
      </c>
      <c r="B167" s="2" t="s">
        <v>66</v>
      </c>
      <c r="C167" s="2">
        <v>2022</v>
      </c>
      <c r="D167" s="2" t="s">
        <v>1</v>
      </c>
      <c r="E167" s="2" t="s">
        <v>27</v>
      </c>
      <c r="F167" s="2" t="s">
        <v>35</v>
      </c>
      <c r="G167" s="7">
        <v>-1.05</v>
      </c>
      <c r="H167" s="13">
        <f>IFERROR(IF(ABS($G167)&gt;0,VLOOKUP($E167,'Fuel Category and Heat Rate'!$B$1:$G$34,6,FALSE)*($G167),""),"")</f>
        <v>-457775766088.59149</v>
      </c>
      <c r="I167" t="str">
        <f>IFERROR(VLOOKUP($E167,'Fuel Category and Heat Rate'!$K$2:$M$36,3,FALSE),"")</f>
        <v>LPG propane or butane</v>
      </c>
    </row>
    <row r="168" spans="1:9" x14ac:dyDescent="0.15">
      <c r="A168" s="2">
        <v>18632</v>
      </c>
      <c r="B168" s="2" t="s">
        <v>66</v>
      </c>
      <c r="C168" s="2">
        <v>2022</v>
      </c>
      <c r="D168" s="2" t="s">
        <v>1</v>
      </c>
      <c r="E168" s="2" t="s">
        <v>7</v>
      </c>
      <c r="F168" s="2" t="s">
        <v>35</v>
      </c>
      <c r="G168" s="7"/>
      <c r="H168" s="13" t="str">
        <f>IFERROR(IF(ABS($G168)&gt;0,VLOOKUP($E168,'Fuel Category and Heat Rate'!$B$1:$G$34,6,FALSE)*($G168),""),"")</f>
        <v/>
      </c>
      <c r="I168" t="str">
        <f>IFERROR(VLOOKUP($E168,'Fuel Category and Heat Rate'!$K$2:$M$36,3,FALSE),"")</f>
        <v>coal</v>
      </c>
    </row>
    <row r="169" spans="1:9" x14ac:dyDescent="0.15">
      <c r="A169" s="2">
        <v>18667</v>
      </c>
      <c r="B169" s="2" t="s">
        <v>66</v>
      </c>
      <c r="C169" s="2">
        <v>2022</v>
      </c>
      <c r="D169" s="2" t="s">
        <v>1</v>
      </c>
      <c r="E169" s="2" t="s">
        <v>2</v>
      </c>
      <c r="F169" s="2" t="s">
        <v>35</v>
      </c>
      <c r="G169" s="7">
        <v>-30.07</v>
      </c>
      <c r="H169" s="13">
        <f>IFERROR(IF(ABS($G169)&gt;0,VLOOKUP($E169,'Fuel Category and Heat Rate'!$B$1:$G$34,6,FALSE)*($G169),""),"")</f>
        <v>0</v>
      </c>
      <c r="I169" t="str">
        <f>IFERROR(VLOOKUP($E169,'Fuel Category and Heat Rate'!$K$2:$M$36,3,FALSE),"")</f>
        <v/>
      </c>
    </row>
    <row r="170" spans="1:9" x14ac:dyDescent="0.15">
      <c r="A170" s="2">
        <v>18702</v>
      </c>
      <c r="B170" s="2" t="s">
        <v>66</v>
      </c>
      <c r="C170" s="2">
        <v>2022</v>
      </c>
      <c r="D170" s="2" t="s">
        <v>1</v>
      </c>
      <c r="E170" s="2" t="s">
        <v>17</v>
      </c>
      <c r="F170" s="2" t="s">
        <v>35</v>
      </c>
      <c r="G170" s="7"/>
      <c r="H170" s="13" t="str">
        <f>IFERROR(IF(ABS($G170)&gt;0,VLOOKUP($E170,'Fuel Category and Heat Rate'!$B$1:$G$34,6,FALSE)*($G170),""),"")</f>
        <v/>
      </c>
      <c r="I170" t="str">
        <f>IFERROR(VLOOKUP($E170,'Fuel Category and Heat Rate'!$K$2:$M$36,3,FALSE),"")</f>
        <v>petroleum diesel</v>
      </c>
    </row>
    <row r="171" spans="1:9" x14ac:dyDescent="0.15">
      <c r="A171" s="2">
        <v>18737</v>
      </c>
      <c r="B171" s="2" t="s">
        <v>66</v>
      </c>
      <c r="C171" s="2">
        <v>2022</v>
      </c>
      <c r="D171" s="2" t="s">
        <v>1</v>
      </c>
      <c r="E171" s="2" t="s">
        <v>13</v>
      </c>
      <c r="F171" s="2" t="s">
        <v>35</v>
      </c>
      <c r="G171" s="7"/>
      <c r="H171" s="13" t="str">
        <f>IFERROR(IF(ABS($G171)&gt;0,VLOOKUP($E171,'Fuel Category and Heat Rate'!$B$1:$G$34,6,FALSE)*($G171),""),"")</f>
        <v/>
      </c>
      <c r="I171" t="str">
        <f>IFERROR(VLOOKUP($E171,'Fuel Category and Heat Rate'!$K$2:$M$36,3,FALSE),"")</f>
        <v>petroleum diesel</v>
      </c>
    </row>
    <row r="172" spans="1:9" x14ac:dyDescent="0.15">
      <c r="A172" s="2">
        <v>18772</v>
      </c>
      <c r="B172" s="2" t="s">
        <v>66</v>
      </c>
      <c r="C172" s="2">
        <v>2022</v>
      </c>
      <c r="D172" s="2" t="s">
        <v>1</v>
      </c>
      <c r="E172" s="2" t="s">
        <v>12</v>
      </c>
      <c r="F172" s="2" t="s">
        <v>36</v>
      </c>
      <c r="G172" s="7"/>
      <c r="H172" s="13" t="str">
        <f>IFERROR(IF(ABS($G172)&gt;0,VLOOKUP($E172,'Fuel Category and Heat Rate'!$B$1:$G$34,6,FALSE)*($G172),""),"")</f>
        <v/>
      </c>
      <c r="I172" t="str">
        <f>IFERROR(VLOOKUP($E172,'Fuel Category and Heat Rate'!$K$2:$M$36,3,FALSE),"")</f>
        <v>LPG propane or butane</v>
      </c>
    </row>
    <row r="173" spans="1:9" x14ac:dyDescent="0.15">
      <c r="A173" s="2">
        <v>18807</v>
      </c>
      <c r="B173" s="2" t="s">
        <v>66</v>
      </c>
      <c r="C173" s="2">
        <v>2022</v>
      </c>
      <c r="D173" s="2" t="s">
        <v>1</v>
      </c>
      <c r="E173" s="2" t="s">
        <v>33</v>
      </c>
      <c r="F173" s="2" t="s">
        <v>38</v>
      </c>
      <c r="G173" s="7"/>
      <c r="H173" s="13" t="str">
        <f>IFERROR(IF(ABS($G173)&gt;0,VLOOKUP($E173,'Fuel Category and Heat Rate'!$B$1:$G$34,6,FALSE)*($G173),""),"")</f>
        <v/>
      </c>
      <c r="I173" t="str">
        <f>IFERROR(VLOOKUP($E173,'Fuel Category and Heat Rate'!$K$2:$M$36,3,FALSE),"")</f>
        <v>biomass</v>
      </c>
    </row>
    <row r="174" spans="1:9" x14ac:dyDescent="0.15">
      <c r="A174" s="2">
        <v>18842</v>
      </c>
      <c r="B174" s="2" t="s">
        <v>66</v>
      </c>
      <c r="C174" s="2">
        <v>2022</v>
      </c>
      <c r="D174" s="2" t="s">
        <v>1</v>
      </c>
      <c r="E174" s="2" t="s">
        <v>28</v>
      </c>
      <c r="F174" s="2" t="s">
        <v>35</v>
      </c>
      <c r="G174" s="7">
        <v>-9.4600000000000009</v>
      </c>
      <c r="H174" s="13">
        <f>IFERROR(IF(ABS($G174)&gt;0,VLOOKUP($E174,'Fuel Category and Heat Rate'!$B$1:$G$34,6,FALSE)*($G174),""),"")</f>
        <v>-3674410221980.1924</v>
      </c>
      <c r="I174" t="str">
        <f>IFERROR(VLOOKUP($E174,'Fuel Category and Heat Rate'!$K$2:$M$36,3,FALSE),"")</f>
        <v>heavy or residual fuel oil</v>
      </c>
    </row>
    <row r="175" spans="1:9" x14ac:dyDescent="0.15">
      <c r="A175" s="2">
        <v>18877</v>
      </c>
      <c r="B175" s="2" t="s">
        <v>66</v>
      </c>
      <c r="C175" s="2">
        <v>2022</v>
      </c>
      <c r="D175" s="2" t="s">
        <v>1</v>
      </c>
      <c r="E175" s="2" t="s">
        <v>5</v>
      </c>
      <c r="F175" s="2" t="s">
        <v>35</v>
      </c>
      <c r="G175" s="7"/>
      <c r="H175" s="13" t="str">
        <f>IFERROR(IF(ABS($G175)&gt;0,VLOOKUP($E175,'Fuel Category and Heat Rate'!$B$1:$G$34,6,FALSE)*($G175),""),"")</f>
        <v/>
      </c>
      <c r="I175" t="str">
        <f>IFERROR(VLOOKUP($E175,'Fuel Category and Heat Rate'!$K$2:$M$36,3,FALSE),"")</f>
        <v>coal</v>
      </c>
    </row>
    <row r="176" spans="1:9" x14ac:dyDescent="0.15">
      <c r="A176" s="2">
        <v>18912</v>
      </c>
      <c r="B176" s="2" t="s">
        <v>66</v>
      </c>
      <c r="C176" s="2">
        <v>2022</v>
      </c>
      <c r="D176" s="2" t="s">
        <v>1</v>
      </c>
      <c r="E176" s="2" t="s">
        <v>16</v>
      </c>
      <c r="F176" s="2" t="s">
        <v>35</v>
      </c>
      <c r="G176" s="7"/>
      <c r="H176" s="13" t="str">
        <f>IFERROR(IF(ABS($G176)&gt;0,VLOOKUP($E176,'Fuel Category and Heat Rate'!$B$1:$G$34,6,FALSE)*($G176),""),"")</f>
        <v/>
      </c>
      <c r="I176" t="str">
        <f>IFERROR(VLOOKUP($E176,'Fuel Category and Heat Rate'!$K$2:$M$36,3,FALSE),"")</f>
        <v>petroleum diesel</v>
      </c>
    </row>
    <row r="177" spans="1:9" x14ac:dyDescent="0.15">
      <c r="A177" s="2">
        <v>18947</v>
      </c>
      <c r="B177" s="2" t="s">
        <v>66</v>
      </c>
      <c r="C177" s="2">
        <v>2022</v>
      </c>
      <c r="D177" s="2" t="s">
        <v>1</v>
      </c>
      <c r="E177" s="2" t="s">
        <v>19</v>
      </c>
      <c r="F177" s="2" t="s">
        <v>35</v>
      </c>
      <c r="G177" s="7">
        <v>-0.16</v>
      </c>
      <c r="H177" s="13">
        <f>IFERROR(IF(ABS($G177)&gt;0,VLOOKUP($E177,'Fuel Category and Heat Rate'!$B$1:$G$34,6,FALSE)*($G177),""),"")</f>
        <v>-63414273282.310127</v>
      </c>
      <c r="I177" t="str">
        <f>IFERROR(VLOOKUP($E177,'Fuel Category and Heat Rate'!$K$2:$M$36,3,FALSE),"")</f>
        <v>heavy or residual fuel oil</v>
      </c>
    </row>
    <row r="178" spans="1:9" x14ac:dyDescent="0.15">
      <c r="A178" s="2">
        <v>18982</v>
      </c>
      <c r="B178" s="2" t="s">
        <v>66</v>
      </c>
      <c r="C178" s="2">
        <v>2022</v>
      </c>
      <c r="D178" s="2" t="s">
        <v>1</v>
      </c>
      <c r="E178" s="2" t="s">
        <v>31</v>
      </c>
      <c r="F178" s="2" t="s">
        <v>37</v>
      </c>
      <c r="G178" s="7">
        <v>20563.740000000002</v>
      </c>
      <c r="H178" s="13">
        <f>IFERROR(IF(ABS($G178)&gt;0,VLOOKUP($E178,'Fuel Category and Heat Rate'!$B$1:$G$34,6,FALSE)*($G178),""),"")</f>
        <v>194906648780725.72</v>
      </c>
      <c r="I178" t="str">
        <f>IFERROR(VLOOKUP($E178,'Fuel Category and Heat Rate'!$K$2:$M$36,3,FALSE),"")</f>
        <v>heat</v>
      </c>
    </row>
    <row r="179" spans="1:9" x14ac:dyDescent="0.15">
      <c r="A179" s="2">
        <v>19017</v>
      </c>
      <c r="B179" s="2" t="s">
        <v>66</v>
      </c>
      <c r="C179" s="2">
        <v>2022</v>
      </c>
      <c r="D179" s="2" t="s">
        <v>1</v>
      </c>
      <c r="E179" s="2" t="s">
        <v>23</v>
      </c>
      <c r="F179" s="2" t="s">
        <v>35</v>
      </c>
      <c r="G179" s="7"/>
      <c r="H179" s="13" t="str">
        <f>IFERROR(IF(ABS($G179)&gt;0,VLOOKUP($E179,'Fuel Category and Heat Rate'!$B$1:$G$34,6,FALSE)*($G179),""),"")</f>
        <v/>
      </c>
      <c r="I179" t="str">
        <f>IFERROR(VLOOKUP($E179,'Fuel Category and Heat Rate'!$K$2:$M$36,3,FALSE),"")</f>
        <v>heavy or residual fuel oil</v>
      </c>
    </row>
    <row r="180" spans="1:9" x14ac:dyDescent="0.15">
      <c r="A180" s="2">
        <v>19052</v>
      </c>
      <c r="B180" s="2" t="s">
        <v>66</v>
      </c>
      <c r="C180" s="2">
        <v>2022</v>
      </c>
      <c r="D180" s="2" t="s">
        <v>1</v>
      </c>
      <c r="E180" s="2" t="s">
        <v>21</v>
      </c>
      <c r="F180" s="2" t="s">
        <v>35</v>
      </c>
      <c r="G180" s="7"/>
      <c r="H180" s="13" t="str">
        <f>IFERROR(IF(ABS($G180)&gt;0,VLOOKUP($E180,'Fuel Category and Heat Rate'!$B$1:$G$34,6,FALSE)*($G180),""),"")</f>
        <v/>
      </c>
      <c r="I180" t="str">
        <f>IFERROR(VLOOKUP($E180,'Fuel Category and Heat Rate'!$K$2:$M$36,3,FALSE),"")</f>
        <v>LPG propane or butane</v>
      </c>
    </row>
    <row r="181" spans="1:9" x14ac:dyDescent="0.15">
      <c r="A181" s="2">
        <v>19087</v>
      </c>
      <c r="B181" s="2" t="s">
        <v>66</v>
      </c>
      <c r="C181" s="2">
        <v>2022</v>
      </c>
      <c r="D181" s="2" t="s">
        <v>1</v>
      </c>
      <c r="E181" s="2" t="s">
        <v>22</v>
      </c>
      <c r="F181" s="2" t="s">
        <v>35</v>
      </c>
      <c r="G181" s="7"/>
      <c r="H181" s="13" t="str">
        <f>IFERROR(IF(ABS($G181)&gt;0,VLOOKUP($E181,'Fuel Category and Heat Rate'!$B$1:$G$34,6,FALSE)*($G181),""),"")</f>
        <v/>
      </c>
      <c r="I181" t="str">
        <f>IFERROR(VLOOKUP($E181,'Fuel Category and Heat Rate'!$K$2:$M$36,3,FALSE),"")</f>
        <v>heavy fuel oil</v>
      </c>
    </row>
    <row r="182" spans="1:9" x14ac:dyDescent="0.15">
      <c r="A182" s="2">
        <v>19122</v>
      </c>
      <c r="B182" s="2" t="s">
        <v>66</v>
      </c>
      <c r="C182" s="2">
        <v>2022</v>
      </c>
      <c r="D182" s="2" t="s">
        <v>1</v>
      </c>
      <c r="E182" s="2" t="s">
        <v>20</v>
      </c>
      <c r="F182" s="2" t="s">
        <v>35</v>
      </c>
      <c r="G182" s="7"/>
      <c r="H182" s="13" t="str">
        <f>IFERROR(IF(ABS($G182)&gt;0,VLOOKUP($E182,'Fuel Category and Heat Rate'!$B$1:$G$34,6,FALSE)*($G182),""),"")</f>
        <v/>
      </c>
      <c r="I182" t="str">
        <f>IFERROR(VLOOKUP($E182,'Fuel Category and Heat Rate'!$K$2:$M$36,3,FALSE),"")</f>
        <v>LPG propane or butane</v>
      </c>
    </row>
    <row r="183" spans="1:9" x14ac:dyDescent="0.15">
      <c r="A183" s="2">
        <v>19157</v>
      </c>
      <c r="B183" s="2" t="s">
        <v>66</v>
      </c>
      <c r="C183" s="2">
        <v>2022</v>
      </c>
      <c r="D183" s="2" t="s">
        <v>1</v>
      </c>
      <c r="E183" s="2" t="s">
        <v>25</v>
      </c>
      <c r="F183" s="2" t="s">
        <v>35</v>
      </c>
      <c r="G183" s="7"/>
      <c r="H183" s="13" t="str">
        <f>IFERROR(IF(ABS($G183)&gt;0,VLOOKUP($E183,'Fuel Category and Heat Rate'!$B$1:$G$34,6,FALSE)*($G183),""),"")</f>
        <v/>
      </c>
      <c r="I183" t="str">
        <f>IFERROR(VLOOKUP($E183,'Fuel Category and Heat Rate'!$K$2:$M$36,3,FALSE),"")</f>
        <v>heavy fuel oil</v>
      </c>
    </row>
    <row r="184" spans="1:9" x14ac:dyDescent="0.15">
      <c r="A184" s="2">
        <v>19192</v>
      </c>
      <c r="B184" s="2" t="s">
        <v>66</v>
      </c>
      <c r="C184" s="2">
        <v>2022</v>
      </c>
      <c r="D184" s="2" t="s">
        <v>1</v>
      </c>
      <c r="E184" s="2" t="s">
        <v>24</v>
      </c>
      <c r="F184" s="2" t="s">
        <v>35</v>
      </c>
      <c r="G184" s="7"/>
      <c r="H184" s="13" t="str">
        <f>IFERROR(IF(ABS($G184)&gt;0,VLOOKUP($E184,'Fuel Category and Heat Rate'!$B$1:$G$34,6,FALSE)*($G184),""),"")</f>
        <v/>
      </c>
      <c r="I184" t="str">
        <f>IFERROR(VLOOKUP($E184,'Fuel Category and Heat Rate'!$K$2:$M$36,3,FALSE),"")</f>
        <v>heavy fuel oil</v>
      </c>
    </row>
    <row r="185" spans="1:9" x14ac:dyDescent="0.15">
      <c r="A185" s="2">
        <v>19227</v>
      </c>
      <c r="B185" s="2" t="s">
        <v>66</v>
      </c>
      <c r="C185" s="2">
        <v>2022</v>
      </c>
      <c r="D185" s="2" t="s">
        <v>1</v>
      </c>
      <c r="E185" s="2" t="s">
        <v>29</v>
      </c>
      <c r="F185" s="2" t="s">
        <v>36</v>
      </c>
      <c r="G185" s="7">
        <v>-59.49</v>
      </c>
      <c r="H185" s="13">
        <f>IFERROR(IF(ABS($G185)&gt;0,VLOOKUP($E185,'Fuel Category and Heat Rate'!$B$1:$G$34,6,FALSE)*($G185),""),"")</f>
        <v>-200645482890787.25</v>
      </c>
      <c r="I185" t="str">
        <f>IFERROR(VLOOKUP($E185,'Fuel Category and Heat Rate'!$K$2:$M$36,3,FALSE),"")</f>
        <v>natural gas</v>
      </c>
    </row>
    <row r="186" spans="1:9" x14ac:dyDescent="0.15">
      <c r="A186" s="2">
        <v>19262</v>
      </c>
      <c r="B186" s="2" t="s">
        <v>66</v>
      </c>
      <c r="C186" s="2">
        <v>2022</v>
      </c>
      <c r="D186" s="2" t="s">
        <v>1</v>
      </c>
      <c r="E186" s="2" t="s">
        <v>4</v>
      </c>
      <c r="F186" s="2" t="s">
        <v>35</v>
      </c>
      <c r="G186" s="7"/>
      <c r="H186" s="13" t="str">
        <f>IFERROR(IF(ABS($G186)&gt;0,VLOOKUP($E186,'Fuel Category and Heat Rate'!$B$1:$G$34,6,FALSE)*($G186),""),"")</f>
        <v/>
      </c>
      <c r="I186" t="str">
        <f>IFERROR(VLOOKUP($E186,'Fuel Category and Heat Rate'!$K$2:$M$36,3,FALSE),"")</f>
        <v>coal</v>
      </c>
    </row>
    <row r="187" spans="1:9" x14ac:dyDescent="0.15">
      <c r="A187" s="2">
        <v>19297</v>
      </c>
      <c r="B187" s="2" t="s">
        <v>66</v>
      </c>
      <c r="C187" s="2">
        <v>2022</v>
      </c>
      <c r="D187" s="2" t="s">
        <v>1</v>
      </c>
      <c r="E187" s="2" t="s">
        <v>6</v>
      </c>
      <c r="F187" s="2" t="s">
        <v>35</v>
      </c>
      <c r="G187" s="7"/>
      <c r="H187" s="13" t="str">
        <f>IFERROR(IF(ABS($G187)&gt;0,VLOOKUP($E187,'Fuel Category and Heat Rate'!$B$1:$G$34,6,FALSE)*($G187),""),"")</f>
        <v/>
      </c>
      <c r="I187" t="str">
        <f>IFERROR(VLOOKUP($E187,'Fuel Category and Heat Rate'!$K$2:$M$36,3,FALSE),"")</f>
        <v>coal</v>
      </c>
    </row>
    <row r="188" spans="1:9" x14ac:dyDescent="0.15">
      <c r="A188" s="2">
        <v>19332</v>
      </c>
      <c r="B188" s="2" t="s">
        <v>66</v>
      </c>
      <c r="C188" s="2">
        <v>2022</v>
      </c>
      <c r="D188" s="2" t="s">
        <v>1</v>
      </c>
      <c r="E188" s="2" t="s">
        <v>26</v>
      </c>
      <c r="F188" s="2" t="s">
        <v>35</v>
      </c>
      <c r="G188" s="7">
        <v>-0.67</v>
      </c>
      <c r="H188" s="13">
        <f>IFERROR(IF(ABS($G188)&gt;0,VLOOKUP($E188,'Fuel Category and Heat Rate'!$B$1:$G$34,6,FALSE)*($G188),""),"")</f>
        <v>-318655453168.66406</v>
      </c>
      <c r="I188" t="str">
        <f>IFERROR(VLOOKUP($E188,'Fuel Category and Heat Rate'!$K$2:$M$36,3,FALSE),"")</f>
        <v>LPG propane or butane</v>
      </c>
    </row>
    <row r="189" spans="1:9" x14ac:dyDescent="0.15">
      <c r="A189" s="2">
        <v>19367</v>
      </c>
      <c r="B189" s="2" t="s">
        <v>66</v>
      </c>
      <c r="C189" s="2">
        <v>2022</v>
      </c>
      <c r="D189" s="2" t="s">
        <v>1</v>
      </c>
      <c r="E189" s="2" t="s">
        <v>30</v>
      </c>
      <c r="F189" s="2" t="s">
        <v>35</v>
      </c>
      <c r="G189" s="7">
        <v>-0.37</v>
      </c>
      <c r="H189" s="13">
        <f>IFERROR(IF(ABS($G189)&gt;0,VLOOKUP($E189,'Fuel Category and Heat Rate'!$B$1:$G$34,6,FALSE)*($G189),""),"")</f>
        <v>-180375095782.84412</v>
      </c>
      <c r="I189" t="str">
        <f>IFERROR(VLOOKUP($E189,'Fuel Category and Heat Rate'!$K$2:$M$36,3,FALSE),"")</f>
        <v>natural gas</v>
      </c>
    </row>
    <row r="190" spans="1:9" x14ac:dyDescent="0.15">
      <c r="A190" s="2">
        <v>19402</v>
      </c>
      <c r="B190" s="2" t="s">
        <v>66</v>
      </c>
      <c r="C190" s="2">
        <v>2022</v>
      </c>
      <c r="D190" s="2" t="s">
        <v>1</v>
      </c>
      <c r="E190" s="2" t="s">
        <v>14</v>
      </c>
      <c r="F190" s="2" t="s">
        <v>35</v>
      </c>
      <c r="G190" s="7">
        <v>-11.52</v>
      </c>
      <c r="H190" s="13">
        <f>IFERROR(IF(ABS($G190)&gt;0,VLOOKUP($E190,'Fuel Category and Heat Rate'!$B$1:$G$34,6,FALSE)*($G190),""),"")</f>
        <v>0</v>
      </c>
      <c r="I190" t="str">
        <f>IFERROR(VLOOKUP($E190,'Fuel Category and Heat Rate'!$K$2:$M$36,3,FALSE),"")</f>
        <v/>
      </c>
    </row>
    <row r="191" spans="1:9" x14ac:dyDescent="0.15">
      <c r="A191" s="2">
        <v>19437</v>
      </c>
      <c r="B191" s="2" t="s">
        <v>66</v>
      </c>
      <c r="C191" s="2">
        <v>2022</v>
      </c>
      <c r="D191" s="2" t="s">
        <v>1</v>
      </c>
      <c r="E191" s="2" t="s">
        <v>3</v>
      </c>
      <c r="F191" s="2" t="s">
        <v>35</v>
      </c>
      <c r="G191" s="7">
        <v>-30.07</v>
      </c>
      <c r="H191" s="13">
        <f>IFERROR(IF(ABS($G191)&gt;0,VLOOKUP($E191,'Fuel Category and Heat Rate'!$B$1:$G$34,6,FALSE)*($G191),""),"")</f>
        <v>-5958959992497.0801</v>
      </c>
      <c r="I191" t="str">
        <f>IFERROR(VLOOKUP($E191,'Fuel Category and Heat Rate'!$K$2:$M$36,3,FALSE),"")</f>
        <v>coal</v>
      </c>
    </row>
    <row r="192" spans="1:9" x14ac:dyDescent="0.15">
      <c r="A192" s="2">
        <v>19472</v>
      </c>
      <c r="B192" s="2" t="s">
        <v>66</v>
      </c>
      <c r="C192" s="2">
        <v>2022</v>
      </c>
      <c r="D192" s="2" t="s">
        <v>1</v>
      </c>
      <c r="E192" s="2" t="s">
        <v>15</v>
      </c>
      <c r="F192" s="2" t="s">
        <v>35</v>
      </c>
      <c r="G192" s="7"/>
      <c r="H192" s="13" t="str">
        <f>IFERROR(IF(ABS($G192)&gt;0,VLOOKUP($E192,'Fuel Category and Heat Rate'!$B$1:$G$34,6,FALSE)*($G192),""),"")</f>
        <v/>
      </c>
      <c r="I192" t="str">
        <f>IFERROR(VLOOKUP($E192,'Fuel Category and Heat Rate'!$K$2:$M$36,3,FALSE),"")</f>
        <v>crude oil</v>
      </c>
    </row>
    <row r="193" spans="1:9" x14ac:dyDescent="0.15">
      <c r="A193" s="2">
        <v>19507</v>
      </c>
      <c r="B193" s="2" t="s">
        <v>66</v>
      </c>
      <c r="C193" s="2">
        <v>2022</v>
      </c>
      <c r="D193" s="2" t="s">
        <v>1</v>
      </c>
      <c r="E193" s="2" t="s">
        <v>11</v>
      </c>
      <c r="F193" s="2" t="s">
        <v>36</v>
      </c>
      <c r="G193" s="7"/>
      <c r="H193" s="13" t="str">
        <f>IFERROR(IF(ABS($G193)&gt;0,VLOOKUP($E193,'Fuel Category and Heat Rate'!$B$1:$G$34,6,FALSE)*($G193),""),"")</f>
        <v/>
      </c>
      <c r="I193" t="str">
        <f>IFERROR(VLOOKUP($E193,'Fuel Category and Heat Rate'!$K$2:$M$36,3,FALSE),"")</f>
        <v>LPG propane or butane</v>
      </c>
    </row>
    <row r="194" spans="1:9" x14ac:dyDescent="0.15">
      <c r="A194" s="2">
        <v>19542</v>
      </c>
      <c r="B194" s="2" t="s">
        <v>66</v>
      </c>
      <c r="C194" s="2">
        <v>2021</v>
      </c>
      <c r="D194" s="2" t="s">
        <v>1</v>
      </c>
      <c r="E194" s="2" t="s">
        <v>18</v>
      </c>
      <c r="F194" s="2" t="s">
        <v>35</v>
      </c>
      <c r="G194" s="7">
        <v>-0.22</v>
      </c>
      <c r="H194" s="13">
        <f>IFERROR(IF(ABS($G194)&gt;0,VLOOKUP($E194,'Fuel Category and Heat Rate'!$B$1:$G$34,6,FALSE)*($G194),""),"")</f>
        <v>-88937851015.185593</v>
      </c>
      <c r="I194" t="str">
        <f>IFERROR(VLOOKUP($E194,'Fuel Category and Heat Rate'!$K$2:$M$36,3,FALSE),"")</f>
        <v>petroleum diesel</v>
      </c>
    </row>
    <row r="195" spans="1:9" x14ac:dyDescent="0.15">
      <c r="A195" s="2">
        <v>19577</v>
      </c>
      <c r="B195" s="2" t="s">
        <v>66</v>
      </c>
      <c r="C195" s="2">
        <v>2021</v>
      </c>
      <c r="D195" s="2" t="s">
        <v>1</v>
      </c>
      <c r="E195" s="2" t="s">
        <v>32</v>
      </c>
      <c r="F195" s="2" t="s">
        <v>65</v>
      </c>
      <c r="G195" s="7">
        <v>-0.19</v>
      </c>
      <c r="H195" s="13">
        <f>IFERROR(IF(ABS($G195)&gt;0,VLOOKUP($E195,'Fuel Category and Heat Rate'!$B$1:$G$34,6,FALSE)*($G195),""),"")</f>
        <v>-64830691190.423714</v>
      </c>
      <c r="I195" t="str">
        <f>IFERROR(VLOOKUP($E195,'Fuel Category and Heat Rate'!$K$2:$M$36,3,FALSE),"")</f>
        <v>electricity</v>
      </c>
    </row>
    <row r="196" spans="1:9" x14ac:dyDescent="0.15">
      <c r="A196" s="2">
        <v>19612</v>
      </c>
      <c r="B196" s="2" t="s">
        <v>66</v>
      </c>
      <c r="C196" s="2">
        <v>2021</v>
      </c>
      <c r="D196" s="2" t="s">
        <v>1</v>
      </c>
      <c r="E196" s="2" t="s">
        <v>10</v>
      </c>
      <c r="F196" s="2" t="s">
        <v>36</v>
      </c>
      <c r="G196" s="7"/>
      <c r="H196" s="13" t="str">
        <f>IFERROR(IF(ABS($G196)&gt;0,VLOOKUP($E196,'Fuel Category and Heat Rate'!$B$1:$G$34,6,FALSE)*($G196),""),"")</f>
        <v/>
      </c>
      <c r="I196" t="str">
        <f>IFERROR(VLOOKUP($E196,'Fuel Category and Heat Rate'!$K$2:$M$36,3,FALSE),"")</f>
        <v>LPG propane or butane</v>
      </c>
    </row>
    <row r="197" spans="1:9" x14ac:dyDescent="0.15">
      <c r="A197" s="2">
        <v>19647</v>
      </c>
      <c r="B197" s="2" t="s">
        <v>66</v>
      </c>
      <c r="C197" s="2">
        <v>2021</v>
      </c>
      <c r="D197" s="2" t="s">
        <v>1</v>
      </c>
      <c r="E197" s="2" t="s">
        <v>9</v>
      </c>
      <c r="F197" s="2" t="s">
        <v>36</v>
      </c>
      <c r="G197" s="7"/>
      <c r="H197" s="13" t="str">
        <f>IFERROR(IF(ABS($G197)&gt;0,VLOOKUP($E197,'Fuel Category and Heat Rate'!$B$1:$G$34,6,FALSE)*($G197),""),"")</f>
        <v/>
      </c>
      <c r="I197" t="str">
        <f>IFERROR(VLOOKUP($E197,'Fuel Category and Heat Rate'!$K$2:$M$36,3,FALSE),"")</f>
        <v>LPG propane or butane</v>
      </c>
    </row>
    <row r="198" spans="1:9" x14ac:dyDescent="0.15">
      <c r="A198" s="2">
        <v>19682</v>
      </c>
      <c r="B198" s="2" t="s">
        <v>66</v>
      </c>
      <c r="C198" s="2">
        <v>2021</v>
      </c>
      <c r="D198" s="2" t="s">
        <v>1</v>
      </c>
      <c r="E198" s="2" t="s">
        <v>8</v>
      </c>
      <c r="F198" s="2" t="s">
        <v>35</v>
      </c>
      <c r="G198" s="7"/>
      <c r="H198" s="13" t="str">
        <f>IFERROR(IF(ABS($G198)&gt;0,VLOOKUP($E198,'Fuel Category and Heat Rate'!$B$1:$G$34,6,FALSE)*($G198),""),"")</f>
        <v/>
      </c>
      <c r="I198" t="str">
        <f>IFERROR(VLOOKUP($E198,'Fuel Category and Heat Rate'!$K$2:$M$36,3,FALSE),"")</f>
        <v>coal</v>
      </c>
    </row>
    <row r="199" spans="1:9" x14ac:dyDescent="0.15">
      <c r="A199" s="2">
        <v>19717</v>
      </c>
      <c r="B199" s="2" t="s">
        <v>66</v>
      </c>
      <c r="C199" s="2">
        <v>2021</v>
      </c>
      <c r="D199" s="2" t="s">
        <v>1</v>
      </c>
      <c r="E199" s="2" t="s">
        <v>27</v>
      </c>
      <c r="F199" s="2" t="s">
        <v>35</v>
      </c>
      <c r="G199" s="7">
        <v>-6.84</v>
      </c>
      <c r="H199" s="13">
        <f>IFERROR(IF(ABS($G199)&gt;0,VLOOKUP($E199,'Fuel Category and Heat Rate'!$B$1:$G$34,6,FALSE)*($G199),""),"")</f>
        <v>-2982082133377.1099</v>
      </c>
      <c r="I199" t="str">
        <f>IFERROR(VLOOKUP($E199,'Fuel Category and Heat Rate'!$K$2:$M$36,3,FALSE),"")</f>
        <v>LPG propane or butane</v>
      </c>
    </row>
    <row r="200" spans="1:9" x14ac:dyDescent="0.15">
      <c r="A200" s="2">
        <v>19752</v>
      </c>
      <c r="B200" s="2" t="s">
        <v>66</v>
      </c>
      <c r="C200" s="2">
        <v>2021</v>
      </c>
      <c r="D200" s="2" t="s">
        <v>1</v>
      </c>
      <c r="E200" s="2" t="s">
        <v>7</v>
      </c>
      <c r="F200" s="2" t="s">
        <v>35</v>
      </c>
      <c r="G200" s="7"/>
      <c r="H200" s="13" t="str">
        <f>IFERROR(IF(ABS($G200)&gt;0,VLOOKUP($E200,'Fuel Category and Heat Rate'!$B$1:$G$34,6,FALSE)*($G200),""),"")</f>
        <v/>
      </c>
      <c r="I200" t="str">
        <f>IFERROR(VLOOKUP($E200,'Fuel Category and Heat Rate'!$K$2:$M$36,3,FALSE),"")</f>
        <v>coal</v>
      </c>
    </row>
    <row r="201" spans="1:9" x14ac:dyDescent="0.15">
      <c r="A201" s="2">
        <v>19787</v>
      </c>
      <c r="B201" s="2" t="s">
        <v>66</v>
      </c>
      <c r="C201" s="2">
        <v>2021</v>
      </c>
      <c r="D201" s="2" t="s">
        <v>1</v>
      </c>
      <c r="E201" s="2" t="s">
        <v>2</v>
      </c>
      <c r="F201" s="2" t="s">
        <v>35</v>
      </c>
      <c r="G201" s="7">
        <v>-49.58</v>
      </c>
      <c r="H201" s="13">
        <f>IFERROR(IF(ABS($G201)&gt;0,VLOOKUP($E201,'Fuel Category and Heat Rate'!$B$1:$G$34,6,FALSE)*($G201),""),"")</f>
        <v>0</v>
      </c>
      <c r="I201" t="str">
        <f>IFERROR(VLOOKUP($E201,'Fuel Category and Heat Rate'!$K$2:$M$36,3,FALSE),"")</f>
        <v/>
      </c>
    </row>
    <row r="202" spans="1:9" x14ac:dyDescent="0.15">
      <c r="A202" s="2">
        <v>19822</v>
      </c>
      <c r="B202" s="2" t="s">
        <v>66</v>
      </c>
      <c r="C202" s="2">
        <v>2021</v>
      </c>
      <c r="D202" s="2" t="s">
        <v>1</v>
      </c>
      <c r="E202" s="2" t="s">
        <v>17</v>
      </c>
      <c r="F202" s="2" t="s">
        <v>35</v>
      </c>
      <c r="G202" s="7"/>
      <c r="H202" s="13" t="str">
        <f>IFERROR(IF(ABS($G202)&gt;0,VLOOKUP($E202,'Fuel Category and Heat Rate'!$B$1:$G$34,6,FALSE)*($G202),""),"")</f>
        <v/>
      </c>
      <c r="I202" t="str">
        <f>IFERROR(VLOOKUP($E202,'Fuel Category and Heat Rate'!$K$2:$M$36,3,FALSE),"")</f>
        <v>petroleum diesel</v>
      </c>
    </row>
    <row r="203" spans="1:9" x14ac:dyDescent="0.15">
      <c r="A203" s="2">
        <v>19857</v>
      </c>
      <c r="B203" s="2" t="s">
        <v>66</v>
      </c>
      <c r="C203" s="2">
        <v>2021</v>
      </c>
      <c r="D203" s="2" t="s">
        <v>1</v>
      </c>
      <c r="E203" s="2" t="s">
        <v>13</v>
      </c>
      <c r="F203" s="2" t="s">
        <v>35</v>
      </c>
      <c r="G203" s="7"/>
      <c r="H203" s="13" t="str">
        <f>IFERROR(IF(ABS($G203)&gt;0,VLOOKUP($E203,'Fuel Category and Heat Rate'!$B$1:$G$34,6,FALSE)*($G203),""),"")</f>
        <v/>
      </c>
      <c r="I203" t="str">
        <f>IFERROR(VLOOKUP($E203,'Fuel Category and Heat Rate'!$K$2:$M$36,3,FALSE),"")</f>
        <v>petroleum diesel</v>
      </c>
    </row>
    <row r="204" spans="1:9" x14ac:dyDescent="0.15">
      <c r="A204" s="2">
        <v>19892</v>
      </c>
      <c r="B204" s="2" t="s">
        <v>66</v>
      </c>
      <c r="C204" s="2">
        <v>2021</v>
      </c>
      <c r="D204" s="2" t="s">
        <v>1</v>
      </c>
      <c r="E204" s="2" t="s">
        <v>12</v>
      </c>
      <c r="F204" s="2" t="s">
        <v>36</v>
      </c>
      <c r="G204" s="7"/>
      <c r="H204" s="13" t="str">
        <f>IFERROR(IF(ABS($G204)&gt;0,VLOOKUP($E204,'Fuel Category and Heat Rate'!$B$1:$G$34,6,FALSE)*($G204),""),"")</f>
        <v/>
      </c>
      <c r="I204" t="str">
        <f>IFERROR(VLOOKUP($E204,'Fuel Category and Heat Rate'!$K$2:$M$36,3,FALSE),"")</f>
        <v>LPG propane or butane</v>
      </c>
    </row>
    <row r="205" spans="1:9" x14ac:dyDescent="0.15">
      <c r="A205" s="2">
        <v>19927</v>
      </c>
      <c r="B205" s="2" t="s">
        <v>66</v>
      </c>
      <c r="C205" s="2">
        <v>2021</v>
      </c>
      <c r="D205" s="2" t="s">
        <v>1</v>
      </c>
      <c r="E205" s="2" t="s">
        <v>33</v>
      </c>
      <c r="F205" s="2" t="s">
        <v>38</v>
      </c>
      <c r="G205" s="7"/>
      <c r="H205" s="13" t="str">
        <f>IFERROR(IF(ABS($G205)&gt;0,VLOOKUP($E205,'Fuel Category and Heat Rate'!$B$1:$G$34,6,FALSE)*($G205),""),"")</f>
        <v/>
      </c>
      <c r="I205" t="str">
        <f>IFERROR(VLOOKUP($E205,'Fuel Category and Heat Rate'!$K$2:$M$36,3,FALSE),"")</f>
        <v>biomass</v>
      </c>
    </row>
    <row r="206" spans="1:9" x14ac:dyDescent="0.15">
      <c r="A206" s="2">
        <v>19962</v>
      </c>
      <c r="B206" s="2" t="s">
        <v>66</v>
      </c>
      <c r="C206" s="2">
        <v>2021</v>
      </c>
      <c r="D206" s="2" t="s">
        <v>1</v>
      </c>
      <c r="E206" s="2" t="s">
        <v>28</v>
      </c>
      <c r="F206" s="2" t="s">
        <v>35</v>
      </c>
      <c r="G206" s="7">
        <v>-10.49</v>
      </c>
      <c r="H206" s="13">
        <f>IFERROR(IF(ABS($G206)&gt;0,VLOOKUP($E206,'Fuel Category and Heat Rate'!$B$1:$G$34,6,FALSE)*($G206),""),"")</f>
        <v>-4074478142555.2026</v>
      </c>
      <c r="I206" t="str">
        <f>IFERROR(VLOOKUP($E206,'Fuel Category and Heat Rate'!$K$2:$M$36,3,FALSE),"")</f>
        <v>heavy or residual fuel oil</v>
      </c>
    </row>
    <row r="207" spans="1:9" x14ac:dyDescent="0.15">
      <c r="A207" s="2">
        <v>19997</v>
      </c>
      <c r="B207" s="2" t="s">
        <v>66</v>
      </c>
      <c r="C207" s="2">
        <v>2021</v>
      </c>
      <c r="D207" s="2" t="s">
        <v>1</v>
      </c>
      <c r="E207" s="2" t="s">
        <v>5</v>
      </c>
      <c r="F207" s="2" t="s">
        <v>35</v>
      </c>
      <c r="G207" s="7"/>
      <c r="H207" s="13" t="str">
        <f>IFERROR(IF(ABS($G207)&gt;0,VLOOKUP($E207,'Fuel Category and Heat Rate'!$B$1:$G$34,6,FALSE)*($G207),""),"")</f>
        <v/>
      </c>
      <c r="I207" t="str">
        <f>IFERROR(VLOOKUP($E207,'Fuel Category and Heat Rate'!$K$2:$M$36,3,FALSE),"")</f>
        <v>coal</v>
      </c>
    </row>
    <row r="208" spans="1:9" x14ac:dyDescent="0.15">
      <c r="A208" s="2">
        <v>20032</v>
      </c>
      <c r="B208" s="2" t="s">
        <v>66</v>
      </c>
      <c r="C208" s="2">
        <v>2021</v>
      </c>
      <c r="D208" s="2" t="s">
        <v>1</v>
      </c>
      <c r="E208" s="2" t="s">
        <v>16</v>
      </c>
      <c r="F208" s="2" t="s">
        <v>35</v>
      </c>
      <c r="G208" s="7"/>
      <c r="H208" s="13" t="str">
        <f>IFERROR(IF(ABS($G208)&gt;0,VLOOKUP($E208,'Fuel Category and Heat Rate'!$B$1:$G$34,6,FALSE)*($G208),""),"")</f>
        <v/>
      </c>
      <c r="I208" t="str">
        <f>IFERROR(VLOOKUP($E208,'Fuel Category and Heat Rate'!$K$2:$M$36,3,FALSE),"")</f>
        <v>petroleum diesel</v>
      </c>
    </row>
    <row r="209" spans="1:9" x14ac:dyDescent="0.15">
      <c r="A209" s="2">
        <v>20067</v>
      </c>
      <c r="B209" s="2" t="s">
        <v>66</v>
      </c>
      <c r="C209" s="2">
        <v>2021</v>
      </c>
      <c r="D209" s="2" t="s">
        <v>1</v>
      </c>
      <c r="E209" s="2" t="s">
        <v>19</v>
      </c>
      <c r="F209" s="2" t="s">
        <v>35</v>
      </c>
      <c r="G209" s="7">
        <v>-0.16</v>
      </c>
      <c r="H209" s="13">
        <f>IFERROR(IF(ABS($G209)&gt;0,VLOOKUP($E209,'Fuel Category and Heat Rate'!$B$1:$G$34,6,FALSE)*($G209),""),"")</f>
        <v>-63414273282.310127</v>
      </c>
      <c r="I209" t="str">
        <f>IFERROR(VLOOKUP($E209,'Fuel Category and Heat Rate'!$K$2:$M$36,3,FALSE),"")</f>
        <v>heavy or residual fuel oil</v>
      </c>
    </row>
    <row r="210" spans="1:9" x14ac:dyDescent="0.15">
      <c r="A210" s="2">
        <v>20102</v>
      </c>
      <c r="B210" s="2" t="s">
        <v>66</v>
      </c>
      <c r="C210" s="2">
        <v>2021</v>
      </c>
      <c r="D210" s="2" t="s">
        <v>1</v>
      </c>
      <c r="E210" s="2" t="s">
        <v>31</v>
      </c>
      <c r="F210" s="2" t="s">
        <v>37</v>
      </c>
      <c r="G210" s="7">
        <v>19178.12</v>
      </c>
      <c r="H210" s="13">
        <f>IFERROR(IF(ABS($G210)&gt;0,VLOOKUP($E210,'Fuel Category and Heat Rate'!$B$1:$G$34,6,FALSE)*($G210),""),"")</f>
        <v>181773505165627</v>
      </c>
      <c r="I210" t="str">
        <f>IFERROR(VLOOKUP($E210,'Fuel Category and Heat Rate'!$K$2:$M$36,3,FALSE),"")</f>
        <v>heat</v>
      </c>
    </row>
    <row r="211" spans="1:9" x14ac:dyDescent="0.15">
      <c r="A211" s="2">
        <v>20137</v>
      </c>
      <c r="B211" s="2" t="s">
        <v>66</v>
      </c>
      <c r="C211" s="2">
        <v>2021</v>
      </c>
      <c r="D211" s="2" t="s">
        <v>1</v>
      </c>
      <c r="E211" s="2" t="s">
        <v>23</v>
      </c>
      <c r="F211" s="2" t="s">
        <v>35</v>
      </c>
      <c r="G211" s="7"/>
      <c r="H211" s="13" t="str">
        <f>IFERROR(IF(ABS($G211)&gt;0,VLOOKUP($E211,'Fuel Category and Heat Rate'!$B$1:$G$34,6,FALSE)*($G211),""),"")</f>
        <v/>
      </c>
      <c r="I211" t="str">
        <f>IFERROR(VLOOKUP($E211,'Fuel Category and Heat Rate'!$K$2:$M$36,3,FALSE),"")</f>
        <v>heavy or residual fuel oil</v>
      </c>
    </row>
    <row r="212" spans="1:9" x14ac:dyDescent="0.15">
      <c r="A212" s="2">
        <v>20172</v>
      </c>
      <c r="B212" s="2" t="s">
        <v>66</v>
      </c>
      <c r="C212" s="2">
        <v>2021</v>
      </c>
      <c r="D212" s="2" t="s">
        <v>1</v>
      </c>
      <c r="E212" s="2" t="s">
        <v>21</v>
      </c>
      <c r="F212" s="2" t="s">
        <v>35</v>
      </c>
      <c r="G212" s="7"/>
      <c r="H212" s="13" t="str">
        <f>IFERROR(IF(ABS($G212)&gt;0,VLOOKUP($E212,'Fuel Category and Heat Rate'!$B$1:$G$34,6,FALSE)*($G212),""),"")</f>
        <v/>
      </c>
      <c r="I212" t="str">
        <f>IFERROR(VLOOKUP($E212,'Fuel Category and Heat Rate'!$K$2:$M$36,3,FALSE),"")</f>
        <v>LPG propane or butane</v>
      </c>
    </row>
    <row r="213" spans="1:9" x14ac:dyDescent="0.15">
      <c r="A213" s="2">
        <v>20207</v>
      </c>
      <c r="B213" s="2" t="s">
        <v>66</v>
      </c>
      <c r="C213" s="2">
        <v>2021</v>
      </c>
      <c r="D213" s="2" t="s">
        <v>1</v>
      </c>
      <c r="E213" s="2" t="s">
        <v>22</v>
      </c>
      <c r="F213" s="2" t="s">
        <v>35</v>
      </c>
      <c r="G213" s="7"/>
      <c r="H213" s="13" t="str">
        <f>IFERROR(IF(ABS($G213)&gt;0,VLOOKUP($E213,'Fuel Category and Heat Rate'!$B$1:$G$34,6,FALSE)*($G213),""),"")</f>
        <v/>
      </c>
      <c r="I213" t="str">
        <f>IFERROR(VLOOKUP($E213,'Fuel Category and Heat Rate'!$K$2:$M$36,3,FALSE),"")</f>
        <v>heavy fuel oil</v>
      </c>
    </row>
    <row r="214" spans="1:9" x14ac:dyDescent="0.15">
      <c r="A214" s="2">
        <v>20242</v>
      </c>
      <c r="B214" s="2" t="s">
        <v>66</v>
      </c>
      <c r="C214" s="2">
        <v>2021</v>
      </c>
      <c r="D214" s="2" t="s">
        <v>1</v>
      </c>
      <c r="E214" s="2" t="s">
        <v>20</v>
      </c>
      <c r="F214" s="2" t="s">
        <v>35</v>
      </c>
      <c r="G214" s="7"/>
      <c r="H214" s="13" t="str">
        <f>IFERROR(IF(ABS($G214)&gt;0,VLOOKUP($E214,'Fuel Category and Heat Rate'!$B$1:$G$34,6,FALSE)*($G214),""),"")</f>
        <v/>
      </c>
      <c r="I214" t="str">
        <f>IFERROR(VLOOKUP($E214,'Fuel Category and Heat Rate'!$K$2:$M$36,3,FALSE),"")</f>
        <v>LPG propane or butane</v>
      </c>
    </row>
    <row r="215" spans="1:9" x14ac:dyDescent="0.15">
      <c r="A215" s="2">
        <v>20277</v>
      </c>
      <c r="B215" s="2" t="s">
        <v>66</v>
      </c>
      <c r="C215" s="2">
        <v>2021</v>
      </c>
      <c r="D215" s="2" t="s">
        <v>1</v>
      </c>
      <c r="E215" s="2" t="s">
        <v>25</v>
      </c>
      <c r="F215" s="2" t="s">
        <v>35</v>
      </c>
      <c r="G215" s="7"/>
      <c r="H215" s="13" t="str">
        <f>IFERROR(IF(ABS($G215)&gt;0,VLOOKUP($E215,'Fuel Category and Heat Rate'!$B$1:$G$34,6,FALSE)*($G215),""),"")</f>
        <v/>
      </c>
      <c r="I215" t="str">
        <f>IFERROR(VLOOKUP($E215,'Fuel Category and Heat Rate'!$K$2:$M$36,3,FALSE),"")</f>
        <v>heavy fuel oil</v>
      </c>
    </row>
    <row r="216" spans="1:9" x14ac:dyDescent="0.15">
      <c r="A216" s="2">
        <v>20312</v>
      </c>
      <c r="B216" s="2" t="s">
        <v>66</v>
      </c>
      <c r="C216" s="2">
        <v>2021</v>
      </c>
      <c r="D216" s="2" t="s">
        <v>1</v>
      </c>
      <c r="E216" s="2" t="s">
        <v>24</v>
      </c>
      <c r="F216" s="2" t="s">
        <v>35</v>
      </c>
      <c r="G216" s="7"/>
      <c r="H216" s="13" t="str">
        <f>IFERROR(IF(ABS($G216)&gt;0,VLOOKUP($E216,'Fuel Category and Heat Rate'!$B$1:$G$34,6,FALSE)*($G216),""),"")</f>
        <v/>
      </c>
      <c r="I216" t="str">
        <f>IFERROR(VLOOKUP($E216,'Fuel Category and Heat Rate'!$K$2:$M$36,3,FALSE),"")</f>
        <v>heavy fuel oil</v>
      </c>
    </row>
    <row r="217" spans="1:9" x14ac:dyDescent="0.15">
      <c r="A217" s="2">
        <v>20347</v>
      </c>
      <c r="B217" s="2" t="s">
        <v>66</v>
      </c>
      <c r="C217" s="2">
        <v>2021</v>
      </c>
      <c r="D217" s="2" t="s">
        <v>1</v>
      </c>
      <c r="E217" s="2" t="s">
        <v>29</v>
      </c>
      <c r="F217" s="2" t="s">
        <v>36</v>
      </c>
      <c r="G217" s="7">
        <v>-53.02</v>
      </c>
      <c r="H217" s="13">
        <f>IFERROR(IF(ABS($G217)&gt;0,VLOOKUP($E217,'Fuel Category and Heat Rate'!$B$1:$G$34,6,FALSE)*($G217),""),"")</f>
        <v>-178823726724988.09</v>
      </c>
      <c r="I217" t="str">
        <f>IFERROR(VLOOKUP($E217,'Fuel Category and Heat Rate'!$K$2:$M$36,3,FALSE),"")</f>
        <v>natural gas</v>
      </c>
    </row>
    <row r="218" spans="1:9" x14ac:dyDescent="0.15">
      <c r="A218" s="2">
        <v>20382</v>
      </c>
      <c r="B218" s="2" t="s">
        <v>66</v>
      </c>
      <c r="C218" s="2">
        <v>2021</v>
      </c>
      <c r="D218" s="2" t="s">
        <v>1</v>
      </c>
      <c r="E218" s="2" t="s">
        <v>4</v>
      </c>
      <c r="F218" s="2" t="s">
        <v>35</v>
      </c>
      <c r="G218" s="7"/>
      <c r="H218" s="13" t="str">
        <f>IFERROR(IF(ABS($G218)&gt;0,VLOOKUP($E218,'Fuel Category and Heat Rate'!$B$1:$G$34,6,FALSE)*($G218),""),"")</f>
        <v/>
      </c>
      <c r="I218" t="str">
        <f>IFERROR(VLOOKUP($E218,'Fuel Category and Heat Rate'!$K$2:$M$36,3,FALSE),"")</f>
        <v>coal</v>
      </c>
    </row>
    <row r="219" spans="1:9" x14ac:dyDescent="0.15">
      <c r="A219" s="2">
        <v>20417</v>
      </c>
      <c r="B219" s="2" t="s">
        <v>66</v>
      </c>
      <c r="C219" s="2">
        <v>2021</v>
      </c>
      <c r="D219" s="2" t="s">
        <v>1</v>
      </c>
      <c r="E219" s="2" t="s">
        <v>6</v>
      </c>
      <c r="F219" s="2" t="s">
        <v>35</v>
      </c>
      <c r="G219" s="7"/>
      <c r="H219" s="13" t="str">
        <f>IFERROR(IF(ABS($G219)&gt;0,VLOOKUP($E219,'Fuel Category and Heat Rate'!$B$1:$G$34,6,FALSE)*($G219),""),"")</f>
        <v/>
      </c>
      <c r="I219" t="str">
        <f>IFERROR(VLOOKUP($E219,'Fuel Category and Heat Rate'!$K$2:$M$36,3,FALSE),"")</f>
        <v>coal</v>
      </c>
    </row>
    <row r="220" spans="1:9" x14ac:dyDescent="0.15">
      <c r="A220" s="2">
        <v>20452</v>
      </c>
      <c r="B220" s="2" t="s">
        <v>66</v>
      </c>
      <c r="C220" s="2">
        <v>2021</v>
      </c>
      <c r="D220" s="2" t="s">
        <v>1</v>
      </c>
      <c r="E220" s="2" t="s">
        <v>26</v>
      </c>
      <c r="F220" s="2" t="s">
        <v>35</v>
      </c>
      <c r="G220" s="7">
        <v>-2.41</v>
      </c>
      <c r="H220" s="13">
        <f>IFERROR(IF(ABS($G220)&gt;0,VLOOKUP($E220,'Fuel Category and Heat Rate'!$B$1:$G$34,6,FALSE)*($G220),""),"")</f>
        <v>-1146208421099.2244</v>
      </c>
      <c r="I220" t="str">
        <f>IFERROR(VLOOKUP($E220,'Fuel Category and Heat Rate'!$K$2:$M$36,3,FALSE),"")</f>
        <v>LPG propane or butane</v>
      </c>
    </row>
    <row r="221" spans="1:9" x14ac:dyDescent="0.15">
      <c r="A221" s="2">
        <v>20487</v>
      </c>
      <c r="B221" s="2" t="s">
        <v>66</v>
      </c>
      <c r="C221" s="2">
        <v>2021</v>
      </c>
      <c r="D221" s="2" t="s">
        <v>1</v>
      </c>
      <c r="E221" s="2" t="s">
        <v>30</v>
      </c>
      <c r="F221" s="2" t="s">
        <v>35</v>
      </c>
      <c r="G221" s="7">
        <v>-0.63</v>
      </c>
      <c r="H221" s="13">
        <f>IFERROR(IF(ABS($G221)&gt;0,VLOOKUP($E221,'Fuel Category and Heat Rate'!$B$1:$G$34,6,FALSE)*($G221),""),"")</f>
        <v>-307125163089.70758</v>
      </c>
      <c r="I221" t="str">
        <f>IFERROR(VLOOKUP($E221,'Fuel Category and Heat Rate'!$K$2:$M$36,3,FALSE),"")</f>
        <v>natural gas</v>
      </c>
    </row>
    <row r="222" spans="1:9" x14ac:dyDescent="0.15">
      <c r="A222" s="2">
        <v>20522</v>
      </c>
      <c r="B222" s="2" t="s">
        <v>66</v>
      </c>
      <c r="C222" s="2">
        <v>2021</v>
      </c>
      <c r="D222" s="2" t="s">
        <v>1</v>
      </c>
      <c r="E222" s="2" t="s">
        <v>14</v>
      </c>
      <c r="F222" s="2" t="s">
        <v>35</v>
      </c>
      <c r="G222" s="7">
        <v>-20.12</v>
      </c>
      <c r="H222" s="13">
        <f>IFERROR(IF(ABS($G222)&gt;0,VLOOKUP($E222,'Fuel Category and Heat Rate'!$B$1:$G$34,6,FALSE)*($G222),""),"")</f>
        <v>0</v>
      </c>
      <c r="I222" t="str">
        <f>IFERROR(VLOOKUP($E222,'Fuel Category and Heat Rate'!$K$2:$M$36,3,FALSE),"")</f>
        <v/>
      </c>
    </row>
    <row r="223" spans="1:9" x14ac:dyDescent="0.15">
      <c r="A223" s="2">
        <v>20557</v>
      </c>
      <c r="B223" s="2" t="s">
        <v>66</v>
      </c>
      <c r="C223" s="2">
        <v>2021</v>
      </c>
      <c r="D223" s="2" t="s">
        <v>1</v>
      </c>
      <c r="E223" s="2" t="s">
        <v>3</v>
      </c>
      <c r="F223" s="2" t="s">
        <v>35</v>
      </c>
      <c r="G223" s="7">
        <v>-49.58</v>
      </c>
      <c r="H223" s="13">
        <f>IFERROR(IF(ABS($G223)&gt;0,VLOOKUP($E223,'Fuel Category and Heat Rate'!$B$1:$G$34,6,FALSE)*($G223),""),"")</f>
        <v>-9825248966677.9258</v>
      </c>
      <c r="I223" t="str">
        <f>IFERROR(VLOOKUP($E223,'Fuel Category and Heat Rate'!$K$2:$M$36,3,FALSE),"")</f>
        <v>coal</v>
      </c>
    </row>
    <row r="224" spans="1:9" x14ac:dyDescent="0.15">
      <c r="A224" s="2">
        <v>20592</v>
      </c>
      <c r="B224" s="2" t="s">
        <v>66</v>
      </c>
      <c r="C224" s="2">
        <v>2021</v>
      </c>
      <c r="D224" s="2" t="s">
        <v>1</v>
      </c>
      <c r="E224" s="2" t="s">
        <v>15</v>
      </c>
      <c r="F224" s="2" t="s">
        <v>35</v>
      </c>
      <c r="G224" s="7"/>
      <c r="H224" s="13" t="str">
        <f>IFERROR(IF(ABS($G224)&gt;0,VLOOKUP($E224,'Fuel Category and Heat Rate'!$B$1:$G$34,6,FALSE)*($G224),""),"")</f>
        <v/>
      </c>
      <c r="I224" t="str">
        <f>IFERROR(VLOOKUP($E224,'Fuel Category and Heat Rate'!$K$2:$M$36,3,FALSE),"")</f>
        <v>crude oil</v>
      </c>
    </row>
    <row r="225" spans="1:9" x14ac:dyDescent="0.15">
      <c r="A225" s="2">
        <v>20627</v>
      </c>
      <c r="B225" s="2" t="s">
        <v>66</v>
      </c>
      <c r="C225" s="2">
        <v>2021</v>
      </c>
      <c r="D225" s="2" t="s">
        <v>1</v>
      </c>
      <c r="E225" s="2" t="s">
        <v>11</v>
      </c>
      <c r="F225" s="2" t="s">
        <v>36</v>
      </c>
      <c r="G225" s="7"/>
      <c r="H225" s="13" t="str">
        <f>IFERROR(IF(ABS($G225)&gt;0,VLOOKUP($E225,'Fuel Category and Heat Rate'!$B$1:$G$34,6,FALSE)*($G225),""),"")</f>
        <v/>
      </c>
      <c r="I225" t="str">
        <f>IFERROR(VLOOKUP($E225,'Fuel Category and Heat Rate'!$K$2:$M$36,3,FALSE),"")</f>
        <v>LPG propane or butane</v>
      </c>
    </row>
    <row r="226" spans="1:9" x14ac:dyDescent="0.15">
      <c r="A226" s="2">
        <v>20662</v>
      </c>
      <c r="B226" s="2" t="s">
        <v>66</v>
      </c>
      <c r="C226" s="2">
        <v>2020</v>
      </c>
      <c r="D226" s="2" t="s">
        <v>1</v>
      </c>
      <c r="E226" s="2" t="s">
        <v>18</v>
      </c>
      <c r="F226" s="2" t="s">
        <v>35</v>
      </c>
      <c r="G226" s="7">
        <v>-0.25</v>
      </c>
      <c r="H226" s="13">
        <f>IFERROR(IF(ABS($G226)&gt;0,VLOOKUP($E226,'Fuel Category and Heat Rate'!$B$1:$G$34,6,FALSE)*($G226),""),"")</f>
        <v>-101065739789.98363</v>
      </c>
      <c r="I226" t="str">
        <f>IFERROR(VLOOKUP($E226,'Fuel Category and Heat Rate'!$K$2:$M$36,3,FALSE),"")</f>
        <v>petroleum diesel</v>
      </c>
    </row>
    <row r="227" spans="1:9" x14ac:dyDescent="0.15">
      <c r="A227" s="2">
        <v>20697</v>
      </c>
      <c r="B227" s="2" t="s">
        <v>66</v>
      </c>
      <c r="C227" s="2">
        <v>2020</v>
      </c>
      <c r="D227" s="2" t="s">
        <v>1</v>
      </c>
      <c r="E227" s="2" t="s">
        <v>32</v>
      </c>
      <c r="F227" s="2" t="s">
        <v>65</v>
      </c>
      <c r="G227" s="7">
        <v>-0.25</v>
      </c>
      <c r="H227" s="13">
        <f>IFERROR(IF(ABS($G227)&gt;0,VLOOKUP($E227,'Fuel Category and Heat Rate'!$B$1:$G$34,6,FALSE)*($G227),""),"")</f>
        <v>-85303541040.031204</v>
      </c>
      <c r="I227" t="str">
        <f>IFERROR(VLOOKUP($E227,'Fuel Category and Heat Rate'!$K$2:$M$36,3,FALSE),"")</f>
        <v>electricity</v>
      </c>
    </row>
    <row r="228" spans="1:9" x14ac:dyDescent="0.15">
      <c r="A228" s="2">
        <v>20732</v>
      </c>
      <c r="B228" s="2" t="s">
        <v>66</v>
      </c>
      <c r="C228" s="2">
        <v>2020</v>
      </c>
      <c r="D228" s="2" t="s">
        <v>1</v>
      </c>
      <c r="E228" s="2" t="s">
        <v>10</v>
      </c>
      <c r="F228" s="2" t="s">
        <v>36</v>
      </c>
      <c r="G228" s="7"/>
      <c r="H228" s="13" t="str">
        <f>IFERROR(IF(ABS($G228)&gt;0,VLOOKUP($E228,'Fuel Category and Heat Rate'!$B$1:$G$34,6,FALSE)*($G228),""),"")</f>
        <v/>
      </c>
      <c r="I228" t="str">
        <f>IFERROR(VLOOKUP($E228,'Fuel Category and Heat Rate'!$K$2:$M$36,3,FALSE),"")</f>
        <v>LPG propane or butane</v>
      </c>
    </row>
    <row r="229" spans="1:9" x14ac:dyDescent="0.15">
      <c r="A229" s="2">
        <v>20767</v>
      </c>
      <c r="B229" s="2" t="s">
        <v>66</v>
      </c>
      <c r="C229" s="2">
        <v>2020</v>
      </c>
      <c r="D229" s="2" t="s">
        <v>1</v>
      </c>
      <c r="E229" s="2" t="s">
        <v>9</v>
      </c>
      <c r="F229" s="2" t="s">
        <v>36</v>
      </c>
      <c r="G229" s="7"/>
      <c r="H229" s="13" t="str">
        <f>IFERROR(IF(ABS($G229)&gt;0,VLOOKUP($E229,'Fuel Category and Heat Rate'!$B$1:$G$34,6,FALSE)*($G229),""),"")</f>
        <v/>
      </c>
      <c r="I229" t="str">
        <f>IFERROR(VLOOKUP($E229,'Fuel Category and Heat Rate'!$K$2:$M$36,3,FALSE),"")</f>
        <v>LPG propane or butane</v>
      </c>
    </row>
    <row r="230" spans="1:9" x14ac:dyDescent="0.15">
      <c r="A230" s="2">
        <v>20802</v>
      </c>
      <c r="B230" s="2" t="s">
        <v>66</v>
      </c>
      <c r="C230" s="2">
        <v>2020</v>
      </c>
      <c r="D230" s="2" t="s">
        <v>1</v>
      </c>
      <c r="E230" s="2" t="s">
        <v>8</v>
      </c>
      <c r="F230" s="2" t="s">
        <v>35</v>
      </c>
      <c r="G230" s="7"/>
      <c r="H230" s="13" t="str">
        <f>IFERROR(IF(ABS($G230)&gt;0,VLOOKUP($E230,'Fuel Category and Heat Rate'!$B$1:$G$34,6,FALSE)*($G230),""),"")</f>
        <v/>
      </c>
      <c r="I230" t="str">
        <f>IFERROR(VLOOKUP($E230,'Fuel Category and Heat Rate'!$K$2:$M$36,3,FALSE),"")</f>
        <v>coal</v>
      </c>
    </row>
    <row r="231" spans="1:9" x14ac:dyDescent="0.15">
      <c r="A231" s="2">
        <v>20837</v>
      </c>
      <c r="B231" s="2" t="s">
        <v>66</v>
      </c>
      <c r="C231" s="2">
        <v>2020</v>
      </c>
      <c r="D231" s="2" t="s">
        <v>1</v>
      </c>
      <c r="E231" s="2" t="s">
        <v>27</v>
      </c>
      <c r="F231" s="2" t="s">
        <v>35</v>
      </c>
      <c r="G231" s="7">
        <v>-6.06</v>
      </c>
      <c r="H231" s="13">
        <f>IFERROR(IF(ABS($G231)&gt;0,VLOOKUP($E231,'Fuel Category and Heat Rate'!$B$1:$G$34,6,FALSE)*($G231),""),"")</f>
        <v>-2642020135711.2988</v>
      </c>
      <c r="I231" t="str">
        <f>IFERROR(VLOOKUP($E231,'Fuel Category and Heat Rate'!$K$2:$M$36,3,FALSE),"")</f>
        <v>LPG propane or butane</v>
      </c>
    </row>
    <row r="232" spans="1:9" x14ac:dyDescent="0.15">
      <c r="A232" s="2">
        <v>20872</v>
      </c>
      <c r="B232" s="2" t="s">
        <v>66</v>
      </c>
      <c r="C232" s="2">
        <v>2020</v>
      </c>
      <c r="D232" s="2" t="s">
        <v>1</v>
      </c>
      <c r="E232" s="2" t="s">
        <v>7</v>
      </c>
      <c r="F232" s="2" t="s">
        <v>35</v>
      </c>
      <c r="G232" s="7"/>
      <c r="H232" s="13" t="str">
        <f>IFERROR(IF(ABS($G232)&gt;0,VLOOKUP($E232,'Fuel Category and Heat Rate'!$B$1:$G$34,6,FALSE)*($G232),""),"")</f>
        <v/>
      </c>
      <c r="I232" t="str">
        <f>IFERROR(VLOOKUP($E232,'Fuel Category and Heat Rate'!$K$2:$M$36,3,FALSE),"")</f>
        <v>coal</v>
      </c>
    </row>
    <row r="233" spans="1:9" x14ac:dyDescent="0.15">
      <c r="A233" s="2">
        <v>20907</v>
      </c>
      <c r="B233" s="2" t="s">
        <v>66</v>
      </c>
      <c r="C233" s="2">
        <v>2020</v>
      </c>
      <c r="D233" s="2" t="s">
        <v>1</v>
      </c>
      <c r="E233" s="2" t="s">
        <v>2</v>
      </c>
      <c r="F233" s="2" t="s">
        <v>35</v>
      </c>
      <c r="G233" s="7">
        <v>-37.82</v>
      </c>
      <c r="H233" s="13">
        <f>IFERROR(IF(ABS($G233)&gt;0,VLOOKUP($E233,'Fuel Category and Heat Rate'!$B$1:$G$34,6,FALSE)*($G233),""),"")</f>
        <v>0</v>
      </c>
      <c r="I233" t="str">
        <f>IFERROR(VLOOKUP($E233,'Fuel Category and Heat Rate'!$K$2:$M$36,3,FALSE),"")</f>
        <v/>
      </c>
    </row>
    <row r="234" spans="1:9" x14ac:dyDescent="0.15">
      <c r="A234" s="2">
        <v>20942</v>
      </c>
      <c r="B234" s="2" t="s">
        <v>66</v>
      </c>
      <c r="C234" s="2">
        <v>2020</v>
      </c>
      <c r="D234" s="2" t="s">
        <v>1</v>
      </c>
      <c r="E234" s="2" t="s">
        <v>17</v>
      </c>
      <c r="F234" s="2" t="s">
        <v>35</v>
      </c>
      <c r="G234" s="7"/>
      <c r="H234" s="13" t="str">
        <f>IFERROR(IF(ABS($G234)&gt;0,VLOOKUP($E234,'Fuel Category and Heat Rate'!$B$1:$G$34,6,FALSE)*($G234),""),"")</f>
        <v/>
      </c>
      <c r="I234" t="str">
        <f>IFERROR(VLOOKUP($E234,'Fuel Category and Heat Rate'!$K$2:$M$36,3,FALSE),"")</f>
        <v>petroleum diesel</v>
      </c>
    </row>
    <row r="235" spans="1:9" x14ac:dyDescent="0.15">
      <c r="A235" s="2">
        <v>20977</v>
      </c>
      <c r="B235" s="2" t="s">
        <v>66</v>
      </c>
      <c r="C235" s="2">
        <v>2020</v>
      </c>
      <c r="D235" s="2" t="s">
        <v>1</v>
      </c>
      <c r="E235" s="2" t="s">
        <v>13</v>
      </c>
      <c r="F235" s="2" t="s">
        <v>35</v>
      </c>
      <c r="G235" s="7"/>
      <c r="H235" s="13" t="str">
        <f>IFERROR(IF(ABS($G235)&gt;0,VLOOKUP($E235,'Fuel Category and Heat Rate'!$B$1:$G$34,6,FALSE)*($G235),""),"")</f>
        <v/>
      </c>
      <c r="I235" t="str">
        <f>IFERROR(VLOOKUP($E235,'Fuel Category and Heat Rate'!$K$2:$M$36,3,FALSE),"")</f>
        <v>petroleum diesel</v>
      </c>
    </row>
    <row r="236" spans="1:9" x14ac:dyDescent="0.15">
      <c r="A236" s="2">
        <v>21012</v>
      </c>
      <c r="B236" s="2" t="s">
        <v>66</v>
      </c>
      <c r="C236" s="2">
        <v>2020</v>
      </c>
      <c r="D236" s="2" t="s">
        <v>1</v>
      </c>
      <c r="E236" s="2" t="s">
        <v>12</v>
      </c>
      <c r="F236" s="2" t="s">
        <v>36</v>
      </c>
      <c r="G236" s="7"/>
      <c r="H236" s="13" t="str">
        <f>IFERROR(IF(ABS($G236)&gt;0,VLOOKUP($E236,'Fuel Category and Heat Rate'!$B$1:$G$34,6,FALSE)*($G236),""),"")</f>
        <v/>
      </c>
      <c r="I236" t="str">
        <f>IFERROR(VLOOKUP($E236,'Fuel Category and Heat Rate'!$K$2:$M$36,3,FALSE),"")</f>
        <v>LPG propane or butane</v>
      </c>
    </row>
    <row r="237" spans="1:9" x14ac:dyDescent="0.15">
      <c r="A237" s="2">
        <v>21047</v>
      </c>
      <c r="B237" s="2" t="s">
        <v>66</v>
      </c>
      <c r="C237" s="2">
        <v>2020</v>
      </c>
      <c r="D237" s="2" t="s">
        <v>1</v>
      </c>
      <c r="E237" s="2" t="s">
        <v>33</v>
      </c>
      <c r="F237" s="2" t="s">
        <v>38</v>
      </c>
      <c r="G237" s="7"/>
      <c r="H237" s="13" t="str">
        <f>IFERROR(IF(ABS($G237)&gt;0,VLOOKUP($E237,'Fuel Category and Heat Rate'!$B$1:$G$34,6,FALSE)*($G237),""),"")</f>
        <v/>
      </c>
      <c r="I237" t="str">
        <f>IFERROR(VLOOKUP($E237,'Fuel Category and Heat Rate'!$K$2:$M$36,3,FALSE),"")</f>
        <v>biomass</v>
      </c>
    </row>
    <row r="238" spans="1:9" x14ac:dyDescent="0.15">
      <c r="A238" s="2">
        <v>21082</v>
      </c>
      <c r="B238" s="2" t="s">
        <v>66</v>
      </c>
      <c r="C238" s="2">
        <v>2020</v>
      </c>
      <c r="D238" s="2" t="s">
        <v>1</v>
      </c>
      <c r="E238" s="2" t="s">
        <v>28</v>
      </c>
      <c r="F238" s="2" t="s">
        <v>35</v>
      </c>
      <c r="G238" s="7">
        <v>-9.0299999999999994</v>
      </c>
      <c r="H238" s="13">
        <f>IFERROR(IF(ABS($G238)&gt;0,VLOOKUP($E238,'Fuel Category and Heat Rate'!$B$1:$G$34,6,FALSE)*($G238),""),"")</f>
        <v>-3507391575526.5469</v>
      </c>
      <c r="I238" t="str">
        <f>IFERROR(VLOOKUP($E238,'Fuel Category and Heat Rate'!$K$2:$M$36,3,FALSE),"")</f>
        <v>heavy or residual fuel oil</v>
      </c>
    </row>
    <row r="239" spans="1:9" x14ac:dyDescent="0.15">
      <c r="A239" s="2">
        <v>21117</v>
      </c>
      <c r="B239" s="2" t="s">
        <v>66</v>
      </c>
      <c r="C239" s="2">
        <v>2020</v>
      </c>
      <c r="D239" s="2" t="s">
        <v>1</v>
      </c>
      <c r="E239" s="2" t="s">
        <v>5</v>
      </c>
      <c r="F239" s="2" t="s">
        <v>35</v>
      </c>
      <c r="G239" s="7"/>
      <c r="H239" s="13" t="str">
        <f>IFERROR(IF(ABS($G239)&gt;0,VLOOKUP($E239,'Fuel Category and Heat Rate'!$B$1:$G$34,6,FALSE)*($G239),""),"")</f>
        <v/>
      </c>
      <c r="I239" t="str">
        <f>IFERROR(VLOOKUP($E239,'Fuel Category and Heat Rate'!$K$2:$M$36,3,FALSE),"")</f>
        <v>coal</v>
      </c>
    </row>
    <row r="240" spans="1:9" x14ac:dyDescent="0.15">
      <c r="A240" s="2">
        <v>21152</v>
      </c>
      <c r="B240" s="2" t="s">
        <v>66</v>
      </c>
      <c r="C240" s="2">
        <v>2020</v>
      </c>
      <c r="D240" s="2" t="s">
        <v>1</v>
      </c>
      <c r="E240" s="2" t="s">
        <v>16</v>
      </c>
      <c r="F240" s="2" t="s">
        <v>35</v>
      </c>
      <c r="G240" s="7"/>
      <c r="H240" s="13" t="str">
        <f>IFERROR(IF(ABS($G240)&gt;0,VLOOKUP($E240,'Fuel Category and Heat Rate'!$B$1:$G$34,6,FALSE)*($G240),""),"")</f>
        <v/>
      </c>
      <c r="I240" t="str">
        <f>IFERROR(VLOOKUP($E240,'Fuel Category and Heat Rate'!$K$2:$M$36,3,FALSE),"")</f>
        <v>petroleum diesel</v>
      </c>
    </row>
    <row r="241" spans="1:9" x14ac:dyDescent="0.15">
      <c r="A241" s="2">
        <v>21187</v>
      </c>
      <c r="B241" s="2" t="s">
        <v>66</v>
      </c>
      <c r="C241" s="2">
        <v>2020</v>
      </c>
      <c r="D241" s="2" t="s">
        <v>1</v>
      </c>
      <c r="E241" s="2" t="s">
        <v>19</v>
      </c>
      <c r="F241" s="2" t="s">
        <v>35</v>
      </c>
      <c r="G241" s="7">
        <v>-7.0000000000000007E-2</v>
      </c>
      <c r="H241" s="13">
        <f>IFERROR(IF(ABS($G241)&gt;0,VLOOKUP($E241,'Fuel Category and Heat Rate'!$B$1:$G$34,6,FALSE)*($G241),""),"")</f>
        <v>-27743744561.010685</v>
      </c>
      <c r="I241" t="str">
        <f>IFERROR(VLOOKUP($E241,'Fuel Category and Heat Rate'!$K$2:$M$36,3,FALSE),"")</f>
        <v>heavy or residual fuel oil</v>
      </c>
    </row>
    <row r="242" spans="1:9" x14ac:dyDescent="0.15">
      <c r="A242" s="2">
        <v>21222</v>
      </c>
      <c r="B242" s="2" t="s">
        <v>66</v>
      </c>
      <c r="C242" s="2">
        <v>2020</v>
      </c>
      <c r="D242" s="2" t="s">
        <v>1</v>
      </c>
      <c r="E242" s="2" t="s">
        <v>31</v>
      </c>
      <c r="F242" s="2" t="s">
        <v>37</v>
      </c>
      <c r="G242" s="7">
        <v>19774.02</v>
      </c>
      <c r="H242" s="13">
        <f>IFERROR(IF(ABS($G242)&gt;0,VLOOKUP($E242,'Fuel Category and Heat Rate'!$B$1:$G$34,6,FALSE)*($G242),""),"")</f>
        <v>187421547399599.75</v>
      </c>
      <c r="I242" t="str">
        <f>IFERROR(VLOOKUP($E242,'Fuel Category and Heat Rate'!$K$2:$M$36,3,FALSE),"")</f>
        <v>heat</v>
      </c>
    </row>
    <row r="243" spans="1:9" x14ac:dyDescent="0.15">
      <c r="A243" s="2">
        <v>21257</v>
      </c>
      <c r="B243" s="2" t="s">
        <v>66</v>
      </c>
      <c r="C243" s="2">
        <v>2020</v>
      </c>
      <c r="D243" s="2" t="s">
        <v>1</v>
      </c>
      <c r="E243" s="2" t="s">
        <v>23</v>
      </c>
      <c r="F243" s="2" t="s">
        <v>35</v>
      </c>
      <c r="G243" s="7"/>
      <c r="H243" s="13" t="str">
        <f>IFERROR(IF(ABS($G243)&gt;0,VLOOKUP($E243,'Fuel Category and Heat Rate'!$B$1:$G$34,6,FALSE)*($G243),""),"")</f>
        <v/>
      </c>
      <c r="I243" t="str">
        <f>IFERROR(VLOOKUP($E243,'Fuel Category and Heat Rate'!$K$2:$M$36,3,FALSE),"")</f>
        <v>heavy or residual fuel oil</v>
      </c>
    </row>
    <row r="244" spans="1:9" x14ac:dyDescent="0.15">
      <c r="A244" s="2">
        <v>21292</v>
      </c>
      <c r="B244" s="2" t="s">
        <v>66</v>
      </c>
      <c r="C244" s="2">
        <v>2020</v>
      </c>
      <c r="D244" s="2" t="s">
        <v>1</v>
      </c>
      <c r="E244" s="2" t="s">
        <v>21</v>
      </c>
      <c r="F244" s="2" t="s">
        <v>35</v>
      </c>
      <c r="G244" s="7"/>
      <c r="H244" s="13" t="str">
        <f>IFERROR(IF(ABS($G244)&gt;0,VLOOKUP($E244,'Fuel Category and Heat Rate'!$B$1:$G$34,6,FALSE)*($G244),""),"")</f>
        <v/>
      </c>
      <c r="I244" t="str">
        <f>IFERROR(VLOOKUP($E244,'Fuel Category and Heat Rate'!$K$2:$M$36,3,FALSE),"")</f>
        <v>LPG propane or butane</v>
      </c>
    </row>
    <row r="245" spans="1:9" x14ac:dyDescent="0.15">
      <c r="A245" s="2">
        <v>21327</v>
      </c>
      <c r="B245" s="2" t="s">
        <v>66</v>
      </c>
      <c r="C245" s="2">
        <v>2020</v>
      </c>
      <c r="D245" s="2" t="s">
        <v>1</v>
      </c>
      <c r="E245" s="2" t="s">
        <v>22</v>
      </c>
      <c r="F245" s="2" t="s">
        <v>35</v>
      </c>
      <c r="G245" s="7"/>
      <c r="H245" s="13" t="str">
        <f>IFERROR(IF(ABS($G245)&gt;0,VLOOKUP($E245,'Fuel Category and Heat Rate'!$B$1:$G$34,6,FALSE)*($G245),""),"")</f>
        <v/>
      </c>
      <c r="I245" t="str">
        <f>IFERROR(VLOOKUP($E245,'Fuel Category and Heat Rate'!$K$2:$M$36,3,FALSE),"")</f>
        <v>heavy fuel oil</v>
      </c>
    </row>
    <row r="246" spans="1:9" x14ac:dyDescent="0.15">
      <c r="A246" s="2">
        <v>21362</v>
      </c>
      <c r="B246" s="2" t="s">
        <v>66</v>
      </c>
      <c r="C246" s="2">
        <v>2020</v>
      </c>
      <c r="D246" s="2" t="s">
        <v>1</v>
      </c>
      <c r="E246" s="2" t="s">
        <v>20</v>
      </c>
      <c r="F246" s="2" t="s">
        <v>35</v>
      </c>
      <c r="G246" s="7"/>
      <c r="H246" s="13" t="str">
        <f>IFERROR(IF(ABS($G246)&gt;0,VLOOKUP($E246,'Fuel Category and Heat Rate'!$B$1:$G$34,6,FALSE)*($G246),""),"")</f>
        <v/>
      </c>
      <c r="I246" t="str">
        <f>IFERROR(VLOOKUP($E246,'Fuel Category and Heat Rate'!$K$2:$M$36,3,FALSE),"")</f>
        <v>LPG propane or butane</v>
      </c>
    </row>
    <row r="247" spans="1:9" x14ac:dyDescent="0.15">
      <c r="A247" s="2">
        <v>21397</v>
      </c>
      <c r="B247" s="2" t="s">
        <v>66</v>
      </c>
      <c r="C247" s="2">
        <v>2020</v>
      </c>
      <c r="D247" s="2" t="s">
        <v>1</v>
      </c>
      <c r="E247" s="2" t="s">
        <v>25</v>
      </c>
      <c r="F247" s="2" t="s">
        <v>35</v>
      </c>
      <c r="G247" s="7">
        <v>-43.59</v>
      </c>
      <c r="H247" s="13">
        <f>IFERROR(IF(ABS($G247)&gt;0,VLOOKUP($E247,'Fuel Category and Heat Rate'!$B$1:$G$34,6,FALSE)*($G247),""),"")</f>
        <v>-13199014346017.797</v>
      </c>
      <c r="I247" t="str">
        <f>IFERROR(VLOOKUP($E247,'Fuel Category and Heat Rate'!$K$2:$M$36,3,FALSE),"")</f>
        <v>heavy fuel oil</v>
      </c>
    </row>
    <row r="248" spans="1:9" x14ac:dyDescent="0.15">
      <c r="A248" s="2">
        <v>21432</v>
      </c>
      <c r="B248" s="2" t="s">
        <v>66</v>
      </c>
      <c r="C248" s="2">
        <v>2020</v>
      </c>
      <c r="D248" s="2" t="s">
        <v>1</v>
      </c>
      <c r="E248" s="2" t="s">
        <v>24</v>
      </c>
      <c r="F248" s="2" t="s">
        <v>35</v>
      </c>
      <c r="G248" s="7"/>
      <c r="H248" s="13" t="str">
        <f>IFERROR(IF(ABS($G248)&gt;0,VLOOKUP($E248,'Fuel Category and Heat Rate'!$B$1:$G$34,6,FALSE)*($G248),""),"")</f>
        <v/>
      </c>
      <c r="I248" t="str">
        <f>IFERROR(VLOOKUP($E248,'Fuel Category and Heat Rate'!$K$2:$M$36,3,FALSE),"")</f>
        <v>heavy fuel oil</v>
      </c>
    </row>
    <row r="249" spans="1:9" x14ac:dyDescent="0.15">
      <c r="A249" s="2">
        <v>21467</v>
      </c>
      <c r="B249" s="2" t="s">
        <v>66</v>
      </c>
      <c r="C249" s="2">
        <v>2020</v>
      </c>
      <c r="D249" s="2" t="s">
        <v>1</v>
      </c>
      <c r="E249" s="2" t="s">
        <v>29</v>
      </c>
      <c r="F249" s="2" t="s">
        <v>36</v>
      </c>
      <c r="G249" s="7">
        <v>-51.74</v>
      </c>
      <c r="H249" s="13">
        <f>IFERROR(IF(ABS($G249)&gt;0,VLOOKUP($E249,'Fuel Category and Heat Rate'!$B$1:$G$34,6,FALSE)*($G249),""),"")</f>
        <v>-174506594129590.41</v>
      </c>
      <c r="I249" t="str">
        <f>IFERROR(VLOOKUP($E249,'Fuel Category and Heat Rate'!$K$2:$M$36,3,FALSE),"")</f>
        <v>natural gas</v>
      </c>
    </row>
    <row r="250" spans="1:9" x14ac:dyDescent="0.15">
      <c r="A250" s="2">
        <v>21502</v>
      </c>
      <c r="B250" s="2" t="s">
        <v>66</v>
      </c>
      <c r="C250" s="2">
        <v>2020</v>
      </c>
      <c r="D250" s="2" t="s">
        <v>1</v>
      </c>
      <c r="E250" s="2" t="s">
        <v>4</v>
      </c>
      <c r="F250" s="2" t="s">
        <v>35</v>
      </c>
      <c r="G250" s="7"/>
      <c r="H250" s="13" t="str">
        <f>IFERROR(IF(ABS($G250)&gt;0,VLOOKUP($E250,'Fuel Category and Heat Rate'!$B$1:$G$34,6,FALSE)*($G250),""),"")</f>
        <v/>
      </c>
      <c r="I250" t="str">
        <f>IFERROR(VLOOKUP($E250,'Fuel Category and Heat Rate'!$K$2:$M$36,3,FALSE),"")</f>
        <v>coal</v>
      </c>
    </row>
    <row r="251" spans="1:9" x14ac:dyDescent="0.15">
      <c r="A251" s="2">
        <v>21537</v>
      </c>
      <c r="B251" s="2" t="s">
        <v>66</v>
      </c>
      <c r="C251" s="2">
        <v>2020</v>
      </c>
      <c r="D251" s="2" t="s">
        <v>1</v>
      </c>
      <c r="E251" s="2" t="s">
        <v>6</v>
      </c>
      <c r="F251" s="2" t="s">
        <v>35</v>
      </c>
      <c r="G251" s="7"/>
      <c r="H251" s="13" t="str">
        <f>IFERROR(IF(ABS($G251)&gt;0,VLOOKUP($E251,'Fuel Category and Heat Rate'!$B$1:$G$34,6,FALSE)*($G251),""),"")</f>
        <v/>
      </c>
      <c r="I251" t="str">
        <f>IFERROR(VLOOKUP($E251,'Fuel Category and Heat Rate'!$K$2:$M$36,3,FALSE),"")</f>
        <v>coal</v>
      </c>
    </row>
    <row r="252" spans="1:9" x14ac:dyDescent="0.15">
      <c r="A252" s="2">
        <v>21572</v>
      </c>
      <c r="B252" s="2" t="s">
        <v>66</v>
      </c>
      <c r="C252" s="2">
        <v>2020</v>
      </c>
      <c r="D252" s="2" t="s">
        <v>1</v>
      </c>
      <c r="E252" s="2" t="s">
        <v>26</v>
      </c>
      <c r="F252" s="2" t="s">
        <v>35</v>
      </c>
      <c r="G252" s="7">
        <v>-0.43</v>
      </c>
      <c r="H252" s="13">
        <f>IFERROR(IF(ABS($G252)&gt;0,VLOOKUP($E252,'Fuel Category and Heat Rate'!$B$1:$G$34,6,FALSE)*($G252),""),"")</f>
        <v>-204510216212.72467</v>
      </c>
      <c r="I252" t="str">
        <f>IFERROR(VLOOKUP($E252,'Fuel Category and Heat Rate'!$K$2:$M$36,3,FALSE),"")</f>
        <v>LPG propane or butane</v>
      </c>
    </row>
    <row r="253" spans="1:9" x14ac:dyDescent="0.15">
      <c r="A253" s="2">
        <v>21607</v>
      </c>
      <c r="B253" s="2" t="s">
        <v>66</v>
      </c>
      <c r="C253" s="2">
        <v>2020</v>
      </c>
      <c r="D253" s="2" t="s">
        <v>1</v>
      </c>
      <c r="E253" s="2" t="s">
        <v>30</v>
      </c>
      <c r="F253" s="2" t="s">
        <v>35</v>
      </c>
      <c r="G253" s="7">
        <v>-0.67</v>
      </c>
      <c r="H253" s="13">
        <f>IFERROR(IF(ABS($G253)&gt;0,VLOOKUP($E253,'Fuel Category and Heat Rate'!$B$1:$G$34,6,FALSE)*($G253),""),"")</f>
        <v>-326625173444.60968</v>
      </c>
      <c r="I253" t="str">
        <f>IFERROR(VLOOKUP($E253,'Fuel Category and Heat Rate'!$K$2:$M$36,3,FALSE),"")</f>
        <v>natural gas</v>
      </c>
    </row>
    <row r="254" spans="1:9" x14ac:dyDescent="0.15">
      <c r="A254" s="2">
        <v>21642</v>
      </c>
      <c r="B254" s="2" t="s">
        <v>66</v>
      </c>
      <c r="C254" s="2">
        <v>2020</v>
      </c>
      <c r="D254" s="2" t="s">
        <v>1</v>
      </c>
      <c r="E254" s="2" t="s">
        <v>14</v>
      </c>
      <c r="F254" s="2" t="s">
        <v>35</v>
      </c>
      <c r="G254" s="7">
        <v>-59.43</v>
      </c>
      <c r="H254" s="13">
        <f>IFERROR(IF(ABS($G254)&gt;0,VLOOKUP($E254,'Fuel Category and Heat Rate'!$B$1:$G$34,6,FALSE)*($G254),""),"")</f>
        <v>0</v>
      </c>
      <c r="I254" t="str">
        <f>IFERROR(VLOOKUP($E254,'Fuel Category and Heat Rate'!$K$2:$M$36,3,FALSE),"")</f>
        <v/>
      </c>
    </row>
    <row r="255" spans="1:9" x14ac:dyDescent="0.15">
      <c r="A255" s="2">
        <v>21677</v>
      </c>
      <c r="B255" s="2" t="s">
        <v>66</v>
      </c>
      <c r="C255" s="2">
        <v>2020</v>
      </c>
      <c r="D255" s="2" t="s">
        <v>1</v>
      </c>
      <c r="E255" s="2" t="s">
        <v>3</v>
      </c>
      <c r="F255" s="2" t="s">
        <v>35</v>
      </c>
      <c r="G255" s="7">
        <v>-37.82</v>
      </c>
      <c r="H255" s="13">
        <f>IFERROR(IF(ABS($G255)&gt;0,VLOOKUP($E255,'Fuel Category and Heat Rate'!$B$1:$G$34,6,FALSE)*($G255),""),"")</f>
        <v>-7494774423553.0283</v>
      </c>
      <c r="I255" t="str">
        <f>IFERROR(VLOOKUP($E255,'Fuel Category and Heat Rate'!$K$2:$M$36,3,FALSE),"")</f>
        <v>coal</v>
      </c>
    </row>
    <row r="256" spans="1:9" x14ac:dyDescent="0.15">
      <c r="A256" s="2">
        <v>21712</v>
      </c>
      <c r="B256" s="2" t="s">
        <v>66</v>
      </c>
      <c r="C256" s="2">
        <v>2020</v>
      </c>
      <c r="D256" s="2" t="s">
        <v>1</v>
      </c>
      <c r="E256" s="2" t="s">
        <v>15</v>
      </c>
      <c r="F256" s="2" t="s">
        <v>35</v>
      </c>
      <c r="G256" s="7"/>
      <c r="H256" s="13" t="str">
        <f>IFERROR(IF(ABS($G256)&gt;0,VLOOKUP($E256,'Fuel Category and Heat Rate'!$B$1:$G$34,6,FALSE)*($G256),""),"")</f>
        <v/>
      </c>
      <c r="I256" t="str">
        <f>IFERROR(VLOOKUP($E256,'Fuel Category and Heat Rate'!$K$2:$M$36,3,FALSE),"")</f>
        <v>crude oil</v>
      </c>
    </row>
    <row r="257" spans="1:9" x14ac:dyDescent="0.15">
      <c r="A257" s="2">
        <v>21747</v>
      </c>
      <c r="B257" s="2" t="s">
        <v>66</v>
      </c>
      <c r="C257" s="2">
        <v>2020</v>
      </c>
      <c r="D257" s="2" t="s">
        <v>1</v>
      </c>
      <c r="E257" s="2" t="s">
        <v>11</v>
      </c>
      <c r="F257" s="2" t="s">
        <v>36</v>
      </c>
      <c r="G257" s="7"/>
      <c r="H257" s="13" t="str">
        <f>IFERROR(IF(ABS($G257)&gt;0,VLOOKUP($E257,'Fuel Category and Heat Rate'!$B$1:$G$34,6,FALSE)*($G257),""),"")</f>
        <v/>
      </c>
      <c r="I257" t="str">
        <f>IFERROR(VLOOKUP($E257,'Fuel Category and Heat Rate'!$K$2:$M$36,3,FALSE),"")</f>
        <v>LPG propane or butane</v>
      </c>
    </row>
    <row r="258" spans="1:9" x14ac:dyDescent="0.15">
      <c r="A258" s="2">
        <v>21782</v>
      </c>
      <c r="B258" s="2" t="s">
        <v>66</v>
      </c>
      <c r="C258" s="2">
        <v>2019</v>
      </c>
      <c r="D258" s="2" t="s">
        <v>1</v>
      </c>
      <c r="E258" s="2" t="s">
        <v>18</v>
      </c>
      <c r="F258" s="2" t="s">
        <v>35</v>
      </c>
      <c r="G258" s="7">
        <v>-0.27</v>
      </c>
      <c r="H258" s="13">
        <f>IFERROR(IF(ABS($G258)&gt;0,VLOOKUP($E258,'Fuel Category and Heat Rate'!$B$1:$G$34,6,FALSE)*($G258),""),"")</f>
        <v>-109150998973.18233</v>
      </c>
      <c r="I258" t="str">
        <f>IFERROR(VLOOKUP($E258,'Fuel Category and Heat Rate'!$K$2:$M$36,3,FALSE),"")</f>
        <v>petroleum diesel</v>
      </c>
    </row>
    <row r="259" spans="1:9" x14ac:dyDescent="0.15">
      <c r="A259" s="2">
        <v>21817</v>
      </c>
      <c r="B259" s="2" t="s">
        <v>66</v>
      </c>
      <c r="C259" s="2">
        <v>2019</v>
      </c>
      <c r="D259" s="2" t="s">
        <v>1</v>
      </c>
      <c r="E259" s="2" t="s">
        <v>32</v>
      </c>
      <c r="F259" s="2" t="s">
        <v>65</v>
      </c>
      <c r="G259" s="7"/>
      <c r="H259" s="13" t="str">
        <f>IFERROR(IF(ABS($G259)&gt;0,VLOOKUP($E259,'Fuel Category and Heat Rate'!$B$1:$G$34,6,FALSE)*($G259),""),"")</f>
        <v/>
      </c>
      <c r="I259" t="str">
        <f>IFERROR(VLOOKUP($E259,'Fuel Category and Heat Rate'!$K$2:$M$36,3,FALSE),"")</f>
        <v>electricity</v>
      </c>
    </row>
    <row r="260" spans="1:9" x14ac:dyDescent="0.15">
      <c r="A260" s="2">
        <v>21852</v>
      </c>
      <c r="B260" s="2" t="s">
        <v>66</v>
      </c>
      <c r="C260" s="2">
        <v>2019</v>
      </c>
      <c r="D260" s="2" t="s">
        <v>1</v>
      </c>
      <c r="E260" s="2" t="s">
        <v>10</v>
      </c>
      <c r="F260" s="2" t="s">
        <v>36</v>
      </c>
      <c r="G260" s="7"/>
      <c r="H260" s="13" t="str">
        <f>IFERROR(IF(ABS($G260)&gt;0,VLOOKUP($E260,'Fuel Category and Heat Rate'!$B$1:$G$34,6,FALSE)*($G260),""),"")</f>
        <v/>
      </c>
      <c r="I260" t="str">
        <f>IFERROR(VLOOKUP($E260,'Fuel Category and Heat Rate'!$K$2:$M$36,3,FALSE),"")</f>
        <v>LPG propane or butane</v>
      </c>
    </row>
    <row r="261" spans="1:9" x14ac:dyDescent="0.15">
      <c r="A261" s="2">
        <v>21887</v>
      </c>
      <c r="B261" s="2" t="s">
        <v>66</v>
      </c>
      <c r="C261" s="2">
        <v>2019</v>
      </c>
      <c r="D261" s="2" t="s">
        <v>1</v>
      </c>
      <c r="E261" s="2" t="s">
        <v>9</v>
      </c>
      <c r="F261" s="2" t="s">
        <v>36</v>
      </c>
      <c r="G261" s="7"/>
      <c r="H261" s="13" t="str">
        <f>IFERROR(IF(ABS($G261)&gt;0,VLOOKUP($E261,'Fuel Category and Heat Rate'!$B$1:$G$34,6,FALSE)*($G261),""),"")</f>
        <v/>
      </c>
      <c r="I261" t="str">
        <f>IFERROR(VLOOKUP($E261,'Fuel Category and Heat Rate'!$K$2:$M$36,3,FALSE),"")</f>
        <v>LPG propane or butane</v>
      </c>
    </row>
    <row r="262" spans="1:9" x14ac:dyDescent="0.15">
      <c r="A262" s="2">
        <v>21922</v>
      </c>
      <c r="B262" s="2" t="s">
        <v>66</v>
      </c>
      <c r="C262" s="2">
        <v>2019</v>
      </c>
      <c r="D262" s="2" t="s">
        <v>1</v>
      </c>
      <c r="E262" s="2" t="s">
        <v>8</v>
      </c>
      <c r="F262" s="2" t="s">
        <v>35</v>
      </c>
      <c r="G262" s="7"/>
      <c r="H262" s="13" t="str">
        <f>IFERROR(IF(ABS($G262)&gt;0,VLOOKUP($E262,'Fuel Category and Heat Rate'!$B$1:$G$34,6,FALSE)*($G262),""),"")</f>
        <v/>
      </c>
      <c r="I262" t="str">
        <f>IFERROR(VLOOKUP($E262,'Fuel Category and Heat Rate'!$K$2:$M$36,3,FALSE),"")</f>
        <v>coal</v>
      </c>
    </row>
    <row r="263" spans="1:9" x14ac:dyDescent="0.15">
      <c r="A263" s="2">
        <v>21957</v>
      </c>
      <c r="B263" s="2" t="s">
        <v>66</v>
      </c>
      <c r="C263" s="2">
        <v>2019</v>
      </c>
      <c r="D263" s="2" t="s">
        <v>1</v>
      </c>
      <c r="E263" s="2" t="s">
        <v>27</v>
      </c>
      <c r="F263" s="2" t="s">
        <v>35</v>
      </c>
      <c r="G263" s="7">
        <v>-5.6</v>
      </c>
      <c r="H263" s="13">
        <f>IFERROR(IF(ABS($G263)&gt;0,VLOOKUP($E263,'Fuel Category and Heat Rate'!$B$1:$G$34,6,FALSE)*($G263),""),"")</f>
        <v>-2441470752472.4873</v>
      </c>
      <c r="I263" t="str">
        <f>IFERROR(VLOOKUP($E263,'Fuel Category and Heat Rate'!$K$2:$M$36,3,FALSE),"")</f>
        <v>LPG propane or butane</v>
      </c>
    </row>
    <row r="264" spans="1:9" x14ac:dyDescent="0.15">
      <c r="A264" s="2">
        <v>21992</v>
      </c>
      <c r="B264" s="2" t="s">
        <v>66</v>
      </c>
      <c r="C264" s="2">
        <v>2019</v>
      </c>
      <c r="D264" s="2" t="s">
        <v>1</v>
      </c>
      <c r="E264" s="2" t="s">
        <v>7</v>
      </c>
      <c r="F264" s="2" t="s">
        <v>35</v>
      </c>
      <c r="G264" s="7"/>
      <c r="H264" s="13" t="str">
        <f>IFERROR(IF(ABS($G264)&gt;0,VLOOKUP($E264,'Fuel Category and Heat Rate'!$B$1:$G$34,6,FALSE)*($G264),""),"")</f>
        <v/>
      </c>
      <c r="I264" t="str">
        <f>IFERROR(VLOOKUP($E264,'Fuel Category and Heat Rate'!$K$2:$M$36,3,FALSE),"")</f>
        <v>coal</v>
      </c>
    </row>
    <row r="265" spans="1:9" x14ac:dyDescent="0.15">
      <c r="A265" s="2">
        <v>22027</v>
      </c>
      <c r="B265" s="2" t="s">
        <v>66</v>
      </c>
      <c r="C265" s="2">
        <v>2019</v>
      </c>
      <c r="D265" s="2" t="s">
        <v>1</v>
      </c>
      <c r="E265" s="2" t="s">
        <v>2</v>
      </c>
      <c r="F265" s="2" t="s">
        <v>35</v>
      </c>
      <c r="G265" s="7">
        <v>-50.54</v>
      </c>
      <c r="H265" s="13">
        <f>IFERROR(IF(ABS($G265)&gt;0,VLOOKUP($E265,'Fuel Category and Heat Rate'!$B$1:$G$34,6,FALSE)*($G265),""),"")</f>
        <v>0</v>
      </c>
      <c r="I265" t="str">
        <f>IFERROR(VLOOKUP($E265,'Fuel Category and Heat Rate'!$K$2:$M$36,3,FALSE),"")</f>
        <v/>
      </c>
    </row>
    <row r="266" spans="1:9" x14ac:dyDescent="0.15">
      <c r="A266" s="2">
        <v>22062</v>
      </c>
      <c r="B266" s="2" t="s">
        <v>66</v>
      </c>
      <c r="C266" s="2">
        <v>2019</v>
      </c>
      <c r="D266" s="2" t="s">
        <v>1</v>
      </c>
      <c r="E266" s="2" t="s">
        <v>17</v>
      </c>
      <c r="F266" s="2" t="s">
        <v>35</v>
      </c>
      <c r="G266" s="7"/>
      <c r="H266" s="13" t="str">
        <f>IFERROR(IF(ABS($G266)&gt;0,VLOOKUP($E266,'Fuel Category and Heat Rate'!$B$1:$G$34,6,FALSE)*($G266),""),"")</f>
        <v/>
      </c>
      <c r="I266" t="str">
        <f>IFERROR(VLOOKUP($E266,'Fuel Category and Heat Rate'!$K$2:$M$36,3,FALSE),"")</f>
        <v>petroleum diesel</v>
      </c>
    </row>
    <row r="267" spans="1:9" x14ac:dyDescent="0.15">
      <c r="A267" s="2">
        <v>22097</v>
      </c>
      <c r="B267" s="2" t="s">
        <v>66</v>
      </c>
      <c r="C267" s="2">
        <v>2019</v>
      </c>
      <c r="D267" s="2" t="s">
        <v>1</v>
      </c>
      <c r="E267" s="2" t="s">
        <v>13</v>
      </c>
      <c r="F267" s="2" t="s">
        <v>35</v>
      </c>
      <c r="G267" s="7"/>
      <c r="H267" s="13" t="str">
        <f>IFERROR(IF(ABS($G267)&gt;0,VLOOKUP($E267,'Fuel Category and Heat Rate'!$B$1:$G$34,6,FALSE)*($G267),""),"")</f>
        <v/>
      </c>
      <c r="I267" t="str">
        <f>IFERROR(VLOOKUP($E267,'Fuel Category and Heat Rate'!$K$2:$M$36,3,FALSE),"")</f>
        <v>petroleum diesel</v>
      </c>
    </row>
    <row r="268" spans="1:9" x14ac:dyDescent="0.15">
      <c r="A268" s="2">
        <v>22132</v>
      </c>
      <c r="B268" s="2" t="s">
        <v>66</v>
      </c>
      <c r="C268" s="2">
        <v>2019</v>
      </c>
      <c r="D268" s="2" t="s">
        <v>1</v>
      </c>
      <c r="E268" s="2" t="s">
        <v>12</v>
      </c>
      <c r="F268" s="2" t="s">
        <v>36</v>
      </c>
      <c r="G268" s="7"/>
      <c r="H268" s="13" t="str">
        <f>IFERROR(IF(ABS($G268)&gt;0,VLOOKUP($E268,'Fuel Category and Heat Rate'!$B$1:$G$34,6,FALSE)*($G268),""),"")</f>
        <v/>
      </c>
      <c r="I268" t="str">
        <f>IFERROR(VLOOKUP($E268,'Fuel Category and Heat Rate'!$K$2:$M$36,3,FALSE),"")</f>
        <v>LPG propane or butane</v>
      </c>
    </row>
    <row r="269" spans="1:9" x14ac:dyDescent="0.15">
      <c r="A269" s="2">
        <v>22167</v>
      </c>
      <c r="B269" s="2" t="s">
        <v>66</v>
      </c>
      <c r="C269" s="2">
        <v>2019</v>
      </c>
      <c r="D269" s="2" t="s">
        <v>1</v>
      </c>
      <c r="E269" s="2" t="s">
        <v>33</v>
      </c>
      <c r="F269" s="2" t="s">
        <v>38</v>
      </c>
      <c r="G269" s="7"/>
      <c r="H269" s="13" t="str">
        <f>IFERROR(IF(ABS($G269)&gt;0,VLOOKUP($E269,'Fuel Category and Heat Rate'!$B$1:$G$34,6,FALSE)*($G269),""),"")</f>
        <v/>
      </c>
      <c r="I269" t="str">
        <f>IFERROR(VLOOKUP($E269,'Fuel Category and Heat Rate'!$K$2:$M$36,3,FALSE),"")</f>
        <v>biomass</v>
      </c>
    </row>
    <row r="270" spans="1:9" x14ac:dyDescent="0.15">
      <c r="A270" s="2">
        <v>22202</v>
      </c>
      <c r="B270" s="2" t="s">
        <v>66</v>
      </c>
      <c r="C270" s="2">
        <v>2019</v>
      </c>
      <c r="D270" s="2" t="s">
        <v>1</v>
      </c>
      <c r="E270" s="2" t="s">
        <v>28</v>
      </c>
      <c r="F270" s="2" t="s">
        <v>35</v>
      </c>
      <c r="G270" s="7">
        <v>-13.94</v>
      </c>
      <c r="H270" s="13">
        <f>IFERROR(IF(ABS($G270)&gt;0,VLOOKUP($E270,'Fuel Category and Heat Rate'!$B$1:$G$34,6,FALSE)*($G270),""),"")</f>
        <v>-5414511468753.0527</v>
      </c>
      <c r="I270" t="str">
        <f>IFERROR(VLOOKUP($E270,'Fuel Category and Heat Rate'!$K$2:$M$36,3,FALSE),"")</f>
        <v>heavy or residual fuel oil</v>
      </c>
    </row>
    <row r="271" spans="1:9" x14ac:dyDescent="0.15">
      <c r="A271" s="2">
        <v>22237</v>
      </c>
      <c r="B271" s="2" t="s">
        <v>66</v>
      </c>
      <c r="C271" s="2">
        <v>2019</v>
      </c>
      <c r="D271" s="2" t="s">
        <v>1</v>
      </c>
      <c r="E271" s="2" t="s">
        <v>5</v>
      </c>
      <c r="F271" s="2" t="s">
        <v>35</v>
      </c>
      <c r="G271" s="7"/>
      <c r="H271" s="13" t="str">
        <f>IFERROR(IF(ABS($G271)&gt;0,VLOOKUP($E271,'Fuel Category and Heat Rate'!$B$1:$G$34,6,FALSE)*($G271),""),"")</f>
        <v/>
      </c>
      <c r="I271" t="str">
        <f>IFERROR(VLOOKUP($E271,'Fuel Category and Heat Rate'!$K$2:$M$36,3,FALSE),"")</f>
        <v>coal</v>
      </c>
    </row>
    <row r="272" spans="1:9" x14ac:dyDescent="0.15">
      <c r="A272" s="2">
        <v>22272</v>
      </c>
      <c r="B272" s="2" t="s">
        <v>66</v>
      </c>
      <c r="C272" s="2">
        <v>2019</v>
      </c>
      <c r="D272" s="2" t="s">
        <v>1</v>
      </c>
      <c r="E272" s="2" t="s">
        <v>16</v>
      </c>
      <c r="F272" s="2" t="s">
        <v>35</v>
      </c>
      <c r="G272" s="7"/>
      <c r="H272" s="13" t="str">
        <f>IFERROR(IF(ABS($G272)&gt;0,VLOOKUP($E272,'Fuel Category and Heat Rate'!$B$1:$G$34,6,FALSE)*($G272),""),"")</f>
        <v/>
      </c>
      <c r="I272" t="str">
        <f>IFERROR(VLOOKUP($E272,'Fuel Category and Heat Rate'!$K$2:$M$36,3,FALSE),"")</f>
        <v>petroleum diesel</v>
      </c>
    </row>
    <row r="273" spans="1:9" x14ac:dyDescent="0.15">
      <c r="A273" s="2">
        <v>22307</v>
      </c>
      <c r="B273" s="2" t="s">
        <v>66</v>
      </c>
      <c r="C273" s="2">
        <v>2019</v>
      </c>
      <c r="D273" s="2" t="s">
        <v>1</v>
      </c>
      <c r="E273" s="2" t="s">
        <v>19</v>
      </c>
      <c r="F273" s="2" t="s">
        <v>35</v>
      </c>
      <c r="G273" s="7">
        <v>-0.06</v>
      </c>
      <c r="H273" s="13">
        <f>IFERROR(IF(ABS($G273)&gt;0,VLOOKUP($E273,'Fuel Category and Heat Rate'!$B$1:$G$34,6,FALSE)*($G273),""),"")</f>
        <v>-23780352480.866295</v>
      </c>
      <c r="I273" t="str">
        <f>IFERROR(VLOOKUP($E273,'Fuel Category and Heat Rate'!$K$2:$M$36,3,FALSE),"")</f>
        <v>heavy or residual fuel oil</v>
      </c>
    </row>
    <row r="274" spans="1:9" x14ac:dyDescent="0.15">
      <c r="A274" s="2">
        <v>22342</v>
      </c>
      <c r="B274" s="2" t="s">
        <v>66</v>
      </c>
      <c r="C274" s="2">
        <v>2019</v>
      </c>
      <c r="D274" s="2" t="s">
        <v>1</v>
      </c>
      <c r="E274" s="2" t="s">
        <v>31</v>
      </c>
      <c r="F274" s="2" t="s">
        <v>37</v>
      </c>
      <c r="G274" s="7">
        <v>18195.169999999998</v>
      </c>
      <c r="H274" s="13">
        <f>IFERROR(IF(ABS($G274)&gt;0,VLOOKUP($E274,'Fuel Category and Heat Rate'!$B$1:$G$34,6,FALSE)*($G274),""),"")</f>
        <v>172456936758371.59</v>
      </c>
      <c r="I274" t="str">
        <f>IFERROR(VLOOKUP($E274,'Fuel Category and Heat Rate'!$K$2:$M$36,3,FALSE),"")</f>
        <v>heat</v>
      </c>
    </row>
    <row r="275" spans="1:9" x14ac:dyDescent="0.15">
      <c r="A275" s="2">
        <v>22377</v>
      </c>
      <c r="B275" s="2" t="s">
        <v>66</v>
      </c>
      <c r="C275" s="2">
        <v>2019</v>
      </c>
      <c r="D275" s="2" t="s">
        <v>1</v>
      </c>
      <c r="E275" s="2" t="s">
        <v>23</v>
      </c>
      <c r="F275" s="2" t="s">
        <v>35</v>
      </c>
      <c r="G275" s="7"/>
      <c r="H275" s="13" t="str">
        <f>IFERROR(IF(ABS($G275)&gt;0,VLOOKUP($E275,'Fuel Category and Heat Rate'!$B$1:$G$34,6,FALSE)*($G275),""),"")</f>
        <v/>
      </c>
      <c r="I275" t="str">
        <f>IFERROR(VLOOKUP($E275,'Fuel Category and Heat Rate'!$K$2:$M$36,3,FALSE),"")</f>
        <v>heavy or residual fuel oil</v>
      </c>
    </row>
    <row r="276" spans="1:9" x14ac:dyDescent="0.15">
      <c r="A276" s="2">
        <v>22412</v>
      </c>
      <c r="B276" s="2" t="s">
        <v>66</v>
      </c>
      <c r="C276" s="2">
        <v>2019</v>
      </c>
      <c r="D276" s="2" t="s">
        <v>1</v>
      </c>
      <c r="E276" s="2" t="s">
        <v>21</v>
      </c>
      <c r="F276" s="2" t="s">
        <v>35</v>
      </c>
      <c r="G276" s="7"/>
      <c r="H276" s="13" t="str">
        <f>IFERROR(IF(ABS($G276)&gt;0,VLOOKUP($E276,'Fuel Category and Heat Rate'!$B$1:$G$34,6,FALSE)*($G276),""),"")</f>
        <v/>
      </c>
      <c r="I276" t="str">
        <f>IFERROR(VLOOKUP($E276,'Fuel Category and Heat Rate'!$K$2:$M$36,3,FALSE),"")</f>
        <v>LPG propane or butane</v>
      </c>
    </row>
    <row r="277" spans="1:9" x14ac:dyDescent="0.15">
      <c r="A277" s="2">
        <v>22447</v>
      </c>
      <c r="B277" s="2" t="s">
        <v>66</v>
      </c>
      <c r="C277" s="2">
        <v>2019</v>
      </c>
      <c r="D277" s="2" t="s">
        <v>1</v>
      </c>
      <c r="E277" s="2" t="s">
        <v>22</v>
      </c>
      <c r="F277" s="2" t="s">
        <v>35</v>
      </c>
      <c r="G277" s="7"/>
      <c r="H277" s="13" t="str">
        <f>IFERROR(IF(ABS($G277)&gt;0,VLOOKUP($E277,'Fuel Category and Heat Rate'!$B$1:$G$34,6,FALSE)*($G277),""),"")</f>
        <v/>
      </c>
      <c r="I277" t="str">
        <f>IFERROR(VLOOKUP($E277,'Fuel Category and Heat Rate'!$K$2:$M$36,3,FALSE),"")</f>
        <v>heavy fuel oil</v>
      </c>
    </row>
    <row r="278" spans="1:9" x14ac:dyDescent="0.15">
      <c r="A278" s="2">
        <v>22482</v>
      </c>
      <c r="B278" s="2" t="s">
        <v>66</v>
      </c>
      <c r="C278" s="2">
        <v>2019</v>
      </c>
      <c r="D278" s="2" t="s">
        <v>1</v>
      </c>
      <c r="E278" s="2" t="s">
        <v>20</v>
      </c>
      <c r="F278" s="2" t="s">
        <v>35</v>
      </c>
      <c r="G278" s="7"/>
      <c r="H278" s="13" t="str">
        <f>IFERROR(IF(ABS($G278)&gt;0,VLOOKUP($E278,'Fuel Category and Heat Rate'!$B$1:$G$34,6,FALSE)*($G278),""),"")</f>
        <v/>
      </c>
      <c r="I278" t="str">
        <f>IFERROR(VLOOKUP($E278,'Fuel Category and Heat Rate'!$K$2:$M$36,3,FALSE),"")</f>
        <v>LPG propane or butane</v>
      </c>
    </row>
    <row r="279" spans="1:9" x14ac:dyDescent="0.15">
      <c r="A279" s="2">
        <v>22517</v>
      </c>
      <c r="B279" s="2" t="s">
        <v>66</v>
      </c>
      <c r="C279" s="2">
        <v>2019</v>
      </c>
      <c r="D279" s="2" t="s">
        <v>1</v>
      </c>
      <c r="E279" s="2" t="s">
        <v>25</v>
      </c>
      <c r="F279" s="2" t="s">
        <v>35</v>
      </c>
      <c r="G279" s="7">
        <v>-26.25</v>
      </c>
      <c r="H279" s="13">
        <f>IFERROR(IF(ABS($G279)&gt;0,VLOOKUP($E279,'Fuel Category and Heat Rate'!$B$1:$G$34,6,FALSE)*($G279),""),"")</f>
        <v>-7948477324683.8066</v>
      </c>
      <c r="I279" t="str">
        <f>IFERROR(VLOOKUP($E279,'Fuel Category and Heat Rate'!$K$2:$M$36,3,FALSE),"")</f>
        <v>heavy fuel oil</v>
      </c>
    </row>
    <row r="280" spans="1:9" x14ac:dyDescent="0.15">
      <c r="A280" s="2">
        <v>22552</v>
      </c>
      <c r="B280" s="2" t="s">
        <v>66</v>
      </c>
      <c r="C280" s="2">
        <v>2019</v>
      </c>
      <c r="D280" s="2" t="s">
        <v>1</v>
      </c>
      <c r="E280" s="2" t="s">
        <v>24</v>
      </c>
      <c r="F280" s="2" t="s">
        <v>35</v>
      </c>
      <c r="G280" s="7"/>
      <c r="H280" s="13" t="str">
        <f>IFERROR(IF(ABS($G280)&gt;0,VLOOKUP($E280,'Fuel Category and Heat Rate'!$B$1:$G$34,6,FALSE)*($G280),""),"")</f>
        <v/>
      </c>
      <c r="I280" t="str">
        <f>IFERROR(VLOOKUP($E280,'Fuel Category and Heat Rate'!$K$2:$M$36,3,FALSE),"")</f>
        <v>heavy fuel oil</v>
      </c>
    </row>
    <row r="281" spans="1:9" x14ac:dyDescent="0.15">
      <c r="A281" s="2">
        <v>22587</v>
      </c>
      <c r="B281" s="2" t="s">
        <v>66</v>
      </c>
      <c r="C281" s="2">
        <v>2019</v>
      </c>
      <c r="D281" s="2" t="s">
        <v>1</v>
      </c>
      <c r="E281" s="2" t="s">
        <v>29</v>
      </c>
      <c r="F281" s="2" t="s">
        <v>36</v>
      </c>
      <c r="G281" s="7">
        <v>-47.51</v>
      </c>
      <c r="H281" s="13">
        <f>IFERROR(IF(ABS($G281)&gt;0,VLOOKUP($E281,'Fuel Category and Heat Rate'!$B$1:$G$34,6,FALSE)*($G281),""),"")</f>
        <v>-160239820005737.13</v>
      </c>
      <c r="I281" t="str">
        <f>IFERROR(VLOOKUP($E281,'Fuel Category and Heat Rate'!$K$2:$M$36,3,FALSE),"")</f>
        <v>natural gas</v>
      </c>
    </row>
    <row r="282" spans="1:9" x14ac:dyDescent="0.15">
      <c r="A282" s="2">
        <v>22622</v>
      </c>
      <c r="B282" s="2" t="s">
        <v>66</v>
      </c>
      <c r="C282" s="2">
        <v>2019</v>
      </c>
      <c r="D282" s="2" t="s">
        <v>1</v>
      </c>
      <c r="E282" s="2" t="s">
        <v>4</v>
      </c>
      <c r="F282" s="2" t="s">
        <v>35</v>
      </c>
      <c r="G282" s="7"/>
      <c r="H282" s="13" t="str">
        <f>IFERROR(IF(ABS($G282)&gt;0,VLOOKUP($E282,'Fuel Category and Heat Rate'!$B$1:$G$34,6,FALSE)*($G282),""),"")</f>
        <v/>
      </c>
      <c r="I282" t="str">
        <f>IFERROR(VLOOKUP($E282,'Fuel Category and Heat Rate'!$K$2:$M$36,3,FALSE),"")</f>
        <v>coal</v>
      </c>
    </row>
    <row r="283" spans="1:9" x14ac:dyDescent="0.15">
      <c r="A283" s="2">
        <v>22657</v>
      </c>
      <c r="B283" s="2" t="s">
        <v>66</v>
      </c>
      <c r="C283" s="2">
        <v>2019</v>
      </c>
      <c r="D283" s="2" t="s">
        <v>1</v>
      </c>
      <c r="E283" s="2" t="s">
        <v>6</v>
      </c>
      <c r="F283" s="2" t="s">
        <v>35</v>
      </c>
      <c r="G283" s="7"/>
      <c r="H283" s="13" t="str">
        <f>IFERROR(IF(ABS($G283)&gt;0,VLOOKUP($E283,'Fuel Category and Heat Rate'!$B$1:$G$34,6,FALSE)*($G283),""),"")</f>
        <v/>
      </c>
      <c r="I283" t="str">
        <f>IFERROR(VLOOKUP($E283,'Fuel Category and Heat Rate'!$K$2:$M$36,3,FALSE),"")</f>
        <v>coal</v>
      </c>
    </row>
    <row r="284" spans="1:9" x14ac:dyDescent="0.15">
      <c r="A284" s="2">
        <v>22692</v>
      </c>
      <c r="B284" s="2" t="s">
        <v>66</v>
      </c>
      <c r="C284" s="2">
        <v>2019</v>
      </c>
      <c r="D284" s="2" t="s">
        <v>1</v>
      </c>
      <c r="E284" s="2" t="s">
        <v>26</v>
      </c>
      <c r="F284" s="2" t="s">
        <v>35</v>
      </c>
      <c r="G284" s="7">
        <v>-1.41</v>
      </c>
      <c r="H284" s="13">
        <f>IFERROR(IF(ABS($G284)&gt;0,VLOOKUP($E284,'Fuel Category and Heat Rate'!$B$1:$G$34,6,FALSE)*($G284),""),"")</f>
        <v>-670603267116.14368</v>
      </c>
      <c r="I284" t="str">
        <f>IFERROR(VLOOKUP($E284,'Fuel Category and Heat Rate'!$K$2:$M$36,3,FALSE),"")</f>
        <v>LPG propane or butane</v>
      </c>
    </row>
    <row r="285" spans="1:9" x14ac:dyDescent="0.15">
      <c r="A285" s="2">
        <v>22727</v>
      </c>
      <c r="B285" s="2" t="s">
        <v>66</v>
      </c>
      <c r="C285" s="2">
        <v>2019</v>
      </c>
      <c r="D285" s="2" t="s">
        <v>1</v>
      </c>
      <c r="E285" s="2" t="s">
        <v>30</v>
      </c>
      <c r="F285" s="2" t="s">
        <v>35</v>
      </c>
      <c r="G285" s="7">
        <v>-0.9</v>
      </c>
      <c r="H285" s="13">
        <f>IFERROR(IF(ABS($G285)&gt;0,VLOOKUP($E285,'Fuel Category and Heat Rate'!$B$1:$G$34,6,FALSE)*($G285),""),"")</f>
        <v>-438750232985.29651</v>
      </c>
      <c r="I285" t="str">
        <f>IFERROR(VLOOKUP($E285,'Fuel Category and Heat Rate'!$K$2:$M$36,3,FALSE),"")</f>
        <v>natural gas</v>
      </c>
    </row>
    <row r="286" spans="1:9" x14ac:dyDescent="0.15">
      <c r="A286" s="2">
        <v>22762</v>
      </c>
      <c r="B286" s="2" t="s">
        <v>66</v>
      </c>
      <c r="C286" s="2">
        <v>2019</v>
      </c>
      <c r="D286" s="2" t="s">
        <v>1</v>
      </c>
      <c r="E286" s="2" t="s">
        <v>14</v>
      </c>
      <c r="F286" s="2" t="s">
        <v>35</v>
      </c>
      <c r="G286" s="7">
        <v>-47.53</v>
      </c>
      <c r="H286" s="13">
        <f>IFERROR(IF(ABS($G286)&gt;0,VLOOKUP($E286,'Fuel Category and Heat Rate'!$B$1:$G$34,6,FALSE)*($G286),""),"")</f>
        <v>0</v>
      </c>
      <c r="I286" t="str">
        <f>IFERROR(VLOOKUP($E286,'Fuel Category and Heat Rate'!$K$2:$M$36,3,FALSE),"")</f>
        <v/>
      </c>
    </row>
    <row r="287" spans="1:9" x14ac:dyDescent="0.15">
      <c r="A287" s="2">
        <v>22797</v>
      </c>
      <c r="B287" s="2" t="s">
        <v>66</v>
      </c>
      <c r="C287" s="2">
        <v>2019</v>
      </c>
      <c r="D287" s="2" t="s">
        <v>1</v>
      </c>
      <c r="E287" s="2" t="s">
        <v>3</v>
      </c>
      <c r="F287" s="2" t="s">
        <v>35</v>
      </c>
      <c r="G287" s="7">
        <v>-50.54</v>
      </c>
      <c r="H287" s="13">
        <f>IFERROR(IF(ABS($G287)&gt;0,VLOOKUP($E287,'Fuel Category and Heat Rate'!$B$1:$G$34,6,FALSE)*($G287),""),"")</f>
        <v>-10015491786524.855</v>
      </c>
      <c r="I287" t="str">
        <f>IFERROR(VLOOKUP($E287,'Fuel Category and Heat Rate'!$K$2:$M$36,3,FALSE),"")</f>
        <v>coal</v>
      </c>
    </row>
    <row r="288" spans="1:9" x14ac:dyDescent="0.15">
      <c r="A288" s="2">
        <v>22832</v>
      </c>
      <c r="B288" s="2" t="s">
        <v>66</v>
      </c>
      <c r="C288" s="2">
        <v>2019</v>
      </c>
      <c r="D288" s="2" t="s">
        <v>1</v>
      </c>
      <c r="E288" s="2" t="s">
        <v>15</v>
      </c>
      <c r="F288" s="2" t="s">
        <v>35</v>
      </c>
      <c r="G288" s="7"/>
      <c r="H288" s="13" t="str">
        <f>IFERROR(IF(ABS($G288)&gt;0,VLOOKUP($E288,'Fuel Category and Heat Rate'!$B$1:$G$34,6,FALSE)*($G288),""),"")</f>
        <v/>
      </c>
      <c r="I288" t="str">
        <f>IFERROR(VLOOKUP($E288,'Fuel Category and Heat Rate'!$K$2:$M$36,3,FALSE),"")</f>
        <v>crude oil</v>
      </c>
    </row>
    <row r="289" spans="1:9" x14ac:dyDescent="0.15">
      <c r="A289" s="2">
        <v>22867</v>
      </c>
      <c r="B289" s="2" t="s">
        <v>66</v>
      </c>
      <c r="C289" s="2">
        <v>2019</v>
      </c>
      <c r="D289" s="2" t="s">
        <v>1</v>
      </c>
      <c r="E289" s="2" t="s">
        <v>11</v>
      </c>
      <c r="F289" s="2" t="s">
        <v>36</v>
      </c>
      <c r="G289" s="7"/>
      <c r="H289" s="13" t="str">
        <f>IFERROR(IF(ABS($G289)&gt;0,VLOOKUP($E289,'Fuel Category and Heat Rate'!$B$1:$G$34,6,FALSE)*($G289),""),"")</f>
        <v/>
      </c>
      <c r="I289" t="str">
        <f>IFERROR(VLOOKUP($E289,'Fuel Category and Heat Rate'!$K$2:$M$36,3,FALSE),"")</f>
        <v>LPG propane or butane</v>
      </c>
    </row>
    <row r="290" spans="1:9" x14ac:dyDescent="0.15">
      <c r="A290" s="2">
        <v>22902</v>
      </c>
      <c r="B290" s="2" t="s">
        <v>66</v>
      </c>
      <c r="C290" s="2">
        <v>2018</v>
      </c>
      <c r="D290" s="2" t="s">
        <v>1</v>
      </c>
      <c r="E290" s="2" t="s">
        <v>18</v>
      </c>
      <c r="F290" s="2" t="s">
        <v>35</v>
      </c>
      <c r="G290" s="7">
        <v>-0.32</v>
      </c>
      <c r="H290" s="13">
        <f>IFERROR(IF(ABS($G290)&gt;0,VLOOKUP($E290,'Fuel Category and Heat Rate'!$B$1:$G$34,6,FALSE)*($G290),""),"")</f>
        <v>-129364146931.17905</v>
      </c>
      <c r="I290" t="str">
        <f>IFERROR(VLOOKUP($E290,'Fuel Category and Heat Rate'!$K$2:$M$36,3,FALSE),"")</f>
        <v>petroleum diesel</v>
      </c>
    </row>
    <row r="291" spans="1:9" x14ac:dyDescent="0.15">
      <c r="A291" s="2">
        <v>22937</v>
      </c>
      <c r="B291" s="2" t="s">
        <v>66</v>
      </c>
      <c r="C291" s="2">
        <v>2018</v>
      </c>
      <c r="D291" s="2" t="s">
        <v>1</v>
      </c>
      <c r="E291" s="2" t="s">
        <v>32</v>
      </c>
      <c r="F291" s="2" t="s">
        <v>65</v>
      </c>
      <c r="G291" s="7"/>
      <c r="H291" s="13" t="str">
        <f>IFERROR(IF(ABS($G291)&gt;0,VLOOKUP($E291,'Fuel Category and Heat Rate'!$B$1:$G$34,6,FALSE)*($G291),""),"")</f>
        <v/>
      </c>
      <c r="I291" t="str">
        <f>IFERROR(VLOOKUP($E291,'Fuel Category and Heat Rate'!$K$2:$M$36,3,FALSE),"")</f>
        <v>electricity</v>
      </c>
    </row>
    <row r="292" spans="1:9" x14ac:dyDescent="0.15">
      <c r="A292" s="2">
        <v>22972</v>
      </c>
      <c r="B292" s="2" t="s">
        <v>66</v>
      </c>
      <c r="C292" s="2">
        <v>2018</v>
      </c>
      <c r="D292" s="2" t="s">
        <v>1</v>
      </c>
      <c r="E292" s="2" t="s">
        <v>10</v>
      </c>
      <c r="F292" s="2" t="s">
        <v>36</v>
      </c>
      <c r="G292" s="7"/>
      <c r="H292" s="13" t="str">
        <f>IFERROR(IF(ABS($G292)&gt;0,VLOOKUP($E292,'Fuel Category and Heat Rate'!$B$1:$G$34,6,FALSE)*($G292),""),"")</f>
        <v/>
      </c>
      <c r="I292" t="str">
        <f>IFERROR(VLOOKUP($E292,'Fuel Category and Heat Rate'!$K$2:$M$36,3,FALSE),"")</f>
        <v>LPG propane or butane</v>
      </c>
    </row>
    <row r="293" spans="1:9" x14ac:dyDescent="0.15">
      <c r="A293" s="2">
        <v>23007</v>
      </c>
      <c r="B293" s="2" t="s">
        <v>66</v>
      </c>
      <c r="C293" s="2">
        <v>2018</v>
      </c>
      <c r="D293" s="2" t="s">
        <v>1</v>
      </c>
      <c r="E293" s="2" t="s">
        <v>9</v>
      </c>
      <c r="F293" s="2" t="s">
        <v>36</v>
      </c>
      <c r="G293" s="7"/>
      <c r="H293" s="13" t="str">
        <f>IFERROR(IF(ABS($G293)&gt;0,VLOOKUP($E293,'Fuel Category and Heat Rate'!$B$1:$G$34,6,FALSE)*($G293),""),"")</f>
        <v/>
      </c>
      <c r="I293" t="str">
        <f>IFERROR(VLOOKUP($E293,'Fuel Category and Heat Rate'!$K$2:$M$36,3,FALSE),"")</f>
        <v>LPG propane or butane</v>
      </c>
    </row>
    <row r="294" spans="1:9" x14ac:dyDescent="0.15">
      <c r="A294" s="2">
        <v>23042</v>
      </c>
      <c r="B294" s="2" t="s">
        <v>66</v>
      </c>
      <c r="C294" s="2">
        <v>2018</v>
      </c>
      <c r="D294" s="2" t="s">
        <v>1</v>
      </c>
      <c r="E294" s="2" t="s">
        <v>8</v>
      </c>
      <c r="F294" s="2" t="s">
        <v>35</v>
      </c>
      <c r="G294" s="7"/>
      <c r="H294" s="13" t="str">
        <f>IFERROR(IF(ABS($G294)&gt;0,VLOOKUP($E294,'Fuel Category and Heat Rate'!$B$1:$G$34,6,FALSE)*($G294),""),"")</f>
        <v/>
      </c>
      <c r="I294" t="str">
        <f>IFERROR(VLOOKUP($E294,'Fuel Category and Heat Rate'!$K$2:$M$36,3,FALSE),"")</f>
        <v>coal</v>
      </c>
    </row>
    <row r="295" spans="1:9" x14ac:dyDescent="0.15">
      <c r="A295" s="2">
        <v>23077</v>
      </c>
      <c r="B295" s="2" t="s">
        <v>66</v>
      </c>
      <c r="C295" s="2">
        <v>2018</v>
      </c>
      <c r="D295" s="2" t="s">
        <v>1</v>
      </c>
      <c r="E295" s="2" t="s">
        <v>27</v>
      </c>
      <c r="F295" s="2" t="s">
        <v>35</v>
      </c>
      <c r="G295" s="7">
        <v>-5.34</v>
      </c>
      <c r="H295" s="13">
        <f>IFERROR(IF(ABS($G295)&gt;0,VLOOKUP($E295,'Fuel Category and Heat Rate'!$B$1:$G$34,6,FALSE)*($G295),""),"")</f>
        <v>-2328116753250.5508</v>
      </c>
      <c r="I295" t="str">
        <f>IFERROR(VLOOKUP($E295,'Fuel Category and Heat Rate'!$K$2:$M$36,3,FALSE),"")</f>
        <v>LPG propane or butane</v>
      </c>
    </row>
    <row r="296" spans="1:9" x14ac:dyDescent="0.15">
      <c r="A296" s="2">
        <v>23112</v>
      </c>
      <c r="B296" s="2" t="s">
        <v>66</v>
      </c>
      <c r="C296" s="2">
        <v>2018</v>
      </c>
      <c r="D296" s="2" t="s">
        <v>1</v>
      </c>
      <c r="E296" s="2" t="s">
        <v>7</v>
      </c>
      <c r="F296" s="2" t="s">
        <v>35</v>
      </c>
      <c r="G296" s="7"/>
      <c r="H296" s="13" t="str">
        <f>IFERROR(IF(ABS($G296)&gt;0,VLOOKUP($E296,'Fuel Category and Heat Rate'!$B$1:$G$34,6,FALSE)*($G296),""),"")</f>
        <v/>
      </c>
      <c r="I296" t="str">
        <f>IFERROR(VLOOKUP($E296,'Fuel Category and Heat Rate'!$K$2:$M$36,3,FALSE),"")</f>
        <v>coal</v>
      </c>
    </row>
    <row r="297" spans="1:9" x14ac:dyDescent="0.15">
      <c r="A297" s="2">
        <v>23147</v>
      </c>
      <c r="B297" s="2" t="s">
        <v>66</v>
      </c>
      <c r="C297" s="2">
        <v>2018</v>
      </c>
      <c r="D297" s="2" t="s">
        <v>1</v>
      </c>
      <c r="E297" s="2" t="s">
        <v>2</v>
      </c>
      <c r="F297" s="2" t="s">
        <v>35</v>
      </c>
      <c r="G297" s="7">
        <v>-96.7</v>
      </c>
      <c r="H297" s="13">
        <f>IFERROR(IF(ABS($G297)&gt;0,VLOOKUP($E297,'Fuel Category and Heat Rate'!$B$1:$G$34,6,FALSE)*($G297),""),"")</f>
        <v>0</v>
      </c>
      <c r="I297" t="str">
        <f>IFERROR(VLOOKUP($E297,'Fuel Category and Heat Rate'!$K$2:$M$36,3,FALSE),"")</f>
        <v/>
      </c>
    </row>
    <row r="298" spans="1:9" x14ac:dyDescent="0.15">
      <c r="A298" s="2">
        <v>23182</v>
      </c>
      <c r="B298" s="2" t="s">
        <v>66</v>
      </c>
      <c r="C298" s="2">
        <v>2018</v>
      </c>
      <c r="D298" s="2" t="s">
        <v>1</v>
      </c>
      <c r="E298" s="2" t="s">
        <v>17</v>
      </c>
      <c r="F298" s="2" t="s">
        <v>35</v>
      </c>
      <c r="G298" s="7"/>
      <c r="H298" s="13" t="str">
        <f>IFERROR(IF(ABS($G298)&gt;0,VLOOKUP($E298,'Fuel Category and Heat Rate'!$B$1:$G$34,6,FALSE)*($G298),""),"")</f>
        <v/>
      </c>
      <c r="I298" t="str">
        <f>IFERROR(VLOOKUP($E298,'Fuel Category and Heat Rate'!$K$2:$M$36,3,FALSE),"")</f>
        <v>petroleum diesel</v>
      </c>
    </row>
    <row r="299" spans="1:9" x14ac:dyDescent="0.15">
      <c r="A299" s="2">
        <v>23217</v>
      </c>
      <c r="B299" s="2" t="s">
        <v>66</v>
      </c>
      <c r="C299" s="2">
        <v>2018</v>
      </c>
      <c r="D299" s="2" t="s">
        <v>1</v>
      </c>
      <c r="E299" s="2" t="s">
        <v>13</v>
      </c>
      <c r="F299" s="2" t="s">
        <v>35</v>
      </c>
      <c r="G299" s="7"/>
      <c r="H299" s="13" t="str">
        <f>IFERROR(IF(ABS($G299)&gt;0,VLOOKUP($E299,'Fuel Category and Heat Rate'!$B$1:$G$34,6,FALSE)*($G299),""),"")</f>
        <v/>
      </c>
      <c r="I299" t="str">
        <f>IFERROR(VLOOKUP($E299,'Fuel Category and Heat Rate'!$K$2:$M$36,3,FALSE),"")</f>
        <v>petroleum diesel</v>
      </c>
    </row>
    <row r="300" spans="1:9" x14ac:dyDescent="0.15">
      <c r="A300" s="2">
        <v>23252</v>
      </c>
      <c r="B300" s="2" t="s">
        <v>66</v>
      </c>
      <c r="C300" s="2">
        <v>2018</v>
      </c>
      <c r="D300" s="2" t="s">
        <v>1</v>
      </c>
      <c r="E300" s="2" t="s">
        <v>12</v>
      </c>
      <c r="F300" s="2" t="s">
        <v>36</v>
      </c>
      <c r="G300" s="7"/>
      <c r="H300" s="13" t="str">
        <f>IFERROR(IF(ABS($G300)&gt;0,VLOOKUP($E300,'Fuel Category and Heat Rate'!$B$1:$G$34,6,FALSE)*($G300),""),"")</f>
        <v/>
      </c>
      <c r="I300" t="str">
        <f>IFERROR(VLOOKUP($E300,'Fuel Category and Heat Rate'!$K$2:$M$36,3,FALSE),"")</f>
        <v>LPG propane or butane</v>
      </c>
    </row>
    <row r="301" spans="1:9" x14ac:dyDescent="0.15">
      <c r="A301" s="2">
        <v>23287</v>
      </c>
      <c r="B301" s="2" t="s">
        <v>66</v>
      </c>
      <c r="C301" s="2">
        <v>2018</v>
      </c>
      <c r="D301" s="2" t="s">
        <v>1</v>
      </c>
      <c r="E301" s="2" t="s">
        <v>33</v>
      </c>
      <c r="F301" s="2" t="s">
        <v>38</v>
      </c>
      <c r="G301" s="7"/>
      <c r="H301" s="13" t="str">
        <f>IFERROR(IF(ABS($G301)&gt;0,VLOOKUP($E301,'Fuel Category and Heat Rate'!$B$1:$G$34,6,FALSE)*($G301),""),"")</f>
        <v/>
      </c>
      <c r="I301" t="str">
        <f>IFERROR(VLOOKUP($E301,'Fuel Category and Heat Rate'!$K$2:$M$36,3,FALSE),"")</f>
        <v>biomass</v>
      </c>
    </row>
    <row r="302" spans="1:9" x14ac:dyDescent="0.15">
      <c r="A302" s="2">
        <v>23322</v>
      </c>
      <c r="B302" s="2" t="s">
        <v>66</v>
      </c>
      <c r="C302" s="2">
        <v>2018</v>
      </c>
      <c r="D302" s="2" t="s">
        <v>1</v>
      </c>
      <c r="E302" s="2" t="s">
        <v>28</v>
      </c>
      <c r="F302" s="2" t="s">
        <v>35</v>
      </c>
      <c r="G302" s="7">
        <v>-8.26</v>
      </c>
      <c r="H302" s="13">
        <f>IFERROR(IF(ABS($G302)&gt;0,VLOOKUP($E302,'Fuel Category and Heat Rate'!$B$1:$G$34,6,FALSE)*($G302),""),"")</f>
        <v>-3208311673737.4614</v>
      </c>
      <c r="I302" t="str">
        <f>IFERROR(VLOOKUP($E302,'Fuel Category and Heat Rate'!$K$2:$M$36,3,FALSE),"")</f>
        <v>heavy or residual fuel oil</v>
      </c>
    </row>
    <row r="303" spans="1:9" x14ac:dyDescent="0.15">
      <c r="A303" s="2">
        <v>23357</v>
      </c>
      <c r="B303" s="2" t="s">
        <v>66</v>
      </c>
      <c r="C303" s="2">
        <v>2018</v>
      </c>
      <c r="D303" s="2" t="s">
        <v>1</v>
      </c>
      <c r="E303" s="2" t="s">
        <v>5</v>
      </c>
      <c r="F303" s="2" t="s">
        <v>35</v>
      </c>
      <c r="G303" s="7"/>
      <c r="H303" s="13" t="str">
        <f>IFERROR(IF(ABS($G303)&gt;0,VLOOKUP($E303,'Fuel Category and Heat Rate'!$B$1:$G$34,6,FALSE)*($G303),""),"")</f>
        <v/>
      </c>
      <c r="I303" t="str">
        <f>IFERROR(VLOOKUP($E303,'Fuel Category and Heat Rate'!$K$2:$M$36,3,FALSE),"")</f>
        <v>coal</v>
      </c>
    </row>
    <row r="304" spans="1:9" x14ac:dyDescent="0.15">
      <c r="A304" s="2">
        <v>23392</v>
      </c>
      <c r="B304" s="2" t="s">
        <v>66</v>
      </c>
      <c r="C304" s="2">
        <v>2018</v>
      </c>
      <c r="D304" s="2" t="s">
        <v>1</v>
      </c>
      <c r="E304" s="2" t="s">
        <v>16</v>
      </c>
      <c r="F304" s="2" t="s">
        <v>35</v>
      </c>
      <c r="G304" s="7"/>
      <c r="H304" s="13" t="str">
        <f>IFERROR(IF(ABS($G304)&gt;0,VLOOKUP($E304,'Fuel Category and Heat Rate'!$B$1:$G$34,6,FALSE)*($G304),""),"")</f>
        <v/>
      </c>
      <c r="I304" t="str">
        <f>IFERROR(VLOOKUP($E304,'Fuel Category and Heat Rate'!$K$2:$M$36,3,FALSE),"")</f>
        <v>petroleum diesel</v>
      </c>
    </row>
    <row r="305" spans="1:9" x14ac:dyDescent="0.15">
      <c r="A305" s="2">
        <v>23427</v>
      </c>
      <c r="B305" s="2" t="s">
        <v>66</v>
      </c>
      <c r="C305" s="2">
        <v>2018</v>
      </c>
      <c r="D305" s="2" t="s">
        <v>1</v>
      </c>
      <c r="E305" s="2" t="s">
        <v>19</v>
      </c>
      <c r="F305" s="2" t="s">
        <v>35</v>
      </c>
      <c r="G305" s="7">
        <v>-0.99</v>
      </c>
      <c r="H305" s="13">
        <f>IFERROR(IF(ABS($G305)&gt;0,VLOOKUP($E305,'Fuel Category and Heat Rate'!$B$1:$G$34,6,FALSE)*($G305),""),"")</f>
        <v>-392375815934.29388</v>
      </c>
      <c r="I305" t="str">
        <f>IFERROR(VLOOKUP($E305,'Fuel Category and Heat Rate'!$K$2:$M$36,3,FALSE),"")</f>
        <v>heavy or residual fuel oil</v>
      </c>
    </row>
    <row r="306" spans="1:9" x14ac:dyDescent="0.15">
      <c r="A306" s="2">
        <v>23462</v>
      </c>
      <c r="B306" s="2" t="s">
        <v>66</v>
      </c>
      <c r="C306" s="2">
        <v>2018</v>
      </c>
      <c r="D306" s="2" t="s">
        <v>1</v>
      </c>
      <c r="E306" s="2" t="s">
        <v>31</v>
      </c>
      <c r="F306" s="2" t="s">
        <v>37</v>
      </c>
      <c r="G306" s="7">
        <v>18380</v>
      </c>
      <c r="H306" s="13">
        <f>IFERROR(IF(ABS($G306)&gt;0,VLOOKUP($E306,'Fuel Category and Heat Rate'!$B$1:$G$34,6,FALSE)*($G306),""),"")</f>
        <v>174208787146197.06</v>
      </c>
      <c r="I306" t="str">
        <f>IFERROR(VLOOKUP($E306,'Fuel Category and Heat Rate'!$K$2:$M$36,3,FALSE),"")</f>
        <v>heat</v>
      </c>
    </row>
    <row r="307" spans="1:9" x14ac:dyDescent="0.15">
      <c r="A307" s="2">
        <v>23497</v>
      </c>
      <c r="B307" s="2" t="s">
        <v>66</v>
      </c>
      <c r="C307" s="2">
        <v>2018</v>
      </c>
      <c r="D307" s="2" t="s">
        <v>1</v>
      </c>
      <c r="E307" s="2" t="s">
        <v>23</v>
      </c>
      <c r="F307" s="2" t="s">
        <v>35</v>
      </c>
      <c r="G307" s="7"/>
      <c r="H307" s="13" t="str">
        <f>IFERROR(IF(ABS($G307)&gt;0,VLOOKUP($E307,'Fuel Category and Heat Rate'!$B$1:$G$34,6,FALSE)*($G307),""),"")</f>
        <v/>
      </c>
      <c r="I307" t="str">
        <f>IFERROR(VLOOKUP($E307,'Fuel Category and Heat Rate'!$K$2:$M$36,3,FALSE),"")</f>
        <v>heavy or residual fuel oil</v>
      </c>
    </row>
    <row r="308" spans="1:9" x14ac:dyDescent="0.15">
      <c r="A308" s="2">
        <v>23532</v>
      </c>
      <c r="B308" s="2" t="s">
        <v>66</v>
      </c>
      <c r="C308" s="2">
        <v>2018</v>
      </c>
      <c r="D308" s="2" t="s">
        <v>1</v>
      </c>
      <c r="E308" s="2" t="s">
        <v>21</v>
      </c>
      <c r="F308" s="2" t="s">
        <v>35</v>
      </c>
      <c r="G308" s="7"/>
      <c r="H308" s="13" t="str">
        <f>IFERROR(IF(ABS($G308)&gt;0,VLOOKUP($E308,'Fuel Category and Heat Rate'!$B$1:$G$34,6,FALSE)*($G308),""),"")</f>
        <v/>
      </c>
      <c r="I308" t="str">
        <f>IFERROR(VLOOKUP($E308,'Fuel Category and Heat Rate'!$K$2:$M$36,3,FALSE),"")</f>
        <v>LPG propane or butane</v>
      </c>
    </row>
    <row r="309" spans="1:9" x14ac:dyDescent="0.15">
      <c r="A309" s="2">
        <v>23567</v>
      </c>
      <c r="B309" s="2" t="s">
        <v>66</v>
      </c>
      <c r="C309" s="2">
        <v>2018</v>
      </c>
      <c r="D309" s="2" t="s">
        <v>1</v>
      </c>
      <c r="E309" s="2" t="s">
        <v>22</v>
      </c>
      <c r="F309" s="2" t="s">
        <v>35</v>
      </c>
      <c r="G309" s="7"/>
      <c r="H309" s="13" t="str">
        <f>IFERROR(IF(ABS($G309)&gt;0,VLOOKUP($E309,'Fuel Category and Heat Rate'!$B$1:$G$34,6,FALSE)*($G309),""),"")</f>
        <v/>
      </c>
      <c r="I309" t="str">
        <f>IFERROR(VLOOKUP($E309,'Fuel Category and Heat Rate'!$K$2:$M$36,3,FALSE),"")</f>
        <v>heavy fuel oil</v>
      </c>
    </row>
    <row r="310" spans="1:9" x14ac:dyDescent="0.15">
      <c r="A310" s="2">
        <v>23602</v>
      </c>
      <c r="B310" s="2" t="s">
        <v>66</v>
      </c>
      <c r="C310" s="2">
        <v>2018</v>
      </c>
      <c r="D310" s="2" t="s">
        <v>1</v>
      </c>
      <c r="E310" s="2" t="s">
        <v>20</v>
      </c>
      <c r="F310" s="2" t="s">
        <v>35</v>
      </c>
      <c r="G310" s="7"/>
      <c r="H310" s="13" t="str">
        <f>IFERROR(IF(ABS($G310)&gt;0,VLOOKUP($E310,'Fuel Category and Heat Rate'!$B$1:$G$34,6,FALSE)*($G310),""),"")</f>
        <v/>
      </c>
      <c r="I310" t="str">
        <f>IFERROR(VLOOKUP($E310,'Fuel Category and Heat Rate'!$K$2:$M$36,3,FALSE),"")</f>
        <v>LPG propane or butane</v>
      </c>
    </row>
    <row r="311" spans="1:9" x14ac:dyDescent="0.15">
      <c r="A311" s="2">
        <v>23637</v>
      </c>
      <c r="B311" s="2" t="s">
        <v>66</v>
      </c>
      <c r="C311" s="2">
        <v>2018</v>
      </c>
      <c r="D311" s="2" t="s">
        <v>1</v>
      </c>
      <c r="E311" s="2" t="s">
        <v>25</v>
      </c>
      <c r="F311" s="2" t="s">
        <v>35</v>
      </c>
      <c r="G311" s="7">
        <v>-19.559999999999999</v>
      </c>
      <c r="H311" s="13">
        <f>IFERROR(IF(ABS($G311)&gt;0,VLOOKUP($E311,'Fuel Category and Heat Rate'!$B$1:$G$34,6,FALSE)*($G311),""),"")</f>
        <v>-5922751103650.1045</v>
      </c>
      <c r="I311" t="str">
        <f>IFERROR(VLOOKUP($E311,'Fuel Category and Heat Rate'!$K$2:$M$36,3,FALSE),"")</f>
        <v>heavy fuel oil</v>
      </c>
    </row>
    <row r="312" spans="1:9" x14ac:dyDescent="0.15">
      <c r="A312" s="2">
        <v>23672</v>
      </c>
      <c r="B312" s="2" t="s">
        <v>66</v>
      </c>
      <c r="C312" s="2">
        <v>2018</v>
      </c>
      <c r="D312" s="2" t="s">
        <v>1</v>
      </c>
      <c r="E312" s="2" t="s">
        <v>24</v>
      </c>
      <c r="F312" s="2" t="s">
        <v>35</v>
      </c>
      <c r="G312" s="7"/>
      <c r="H312" s="13" t="str">
        <f>IFERROR(IF(ABS($G312)&gt;0,VLOOKUP($E312,'Fuel Category and Heat Rate'!$B$1:$G$34,6,FALSE)*($G312),""),"")</f>
        <v/>
      </c>
      <c r="I312" t="str">
        <f>IFERROR(VLOOKUP($E312,'Fuel Category and Heat Rate'!$K$2:$M$36,3,FALSE),"")</f>
        <v>heavy fuel oil</v>
      </c>
    </row>
    <row r="313" spans="1:9" x14ac:dyDescent="0.15">
      <c r="A313" s="2">
        <v>23707</v>
      </c>
      <c r="B313" s="2" t="s">
        <v>66</v>
      </c>
      <c r="C313" s="2">
        <v>2018</v>
      </c>
      <c r="D313" s="2" t="s">
        <v>1</v>
      </c>
      <c r="E313" s="2" t="s">
        <v>29</v>
      </c>
      <c r="F313" s="2" t="s">
        <v>36</v>
      </c>
      <c r="G313" s="7">
        <v>-46.35</v>
      </c>
      <c r="H313" s="13">
        <f>IFERROR(IF(ABS($G313)&gt;0,VLOOKUP($E313,'Fuel Category and Heat Rate'!$B$1:$G$34,6,FALSE)*($G313),""),"")</f>
        <v>-156327418591158</v>
      </c>
      <c r="I313" t="str">
        <f>IFERROR(VLOOKUP($E313,'Fuel Category and Heat Rate'!$K$2:$M$36,3,FALSE),"")</f>
        <v>natural gas</v>
      </c>
    </row>
    <row r="314" spans="1:9" x14ac:dyDescent="0.15">
      <c r="A314" s="2">
        <v>23742</v>
      </c>
      <c r="B314" s="2" t="s">
        <v>66</v>
      </c>
      <c r="C314" s="2">
        <v>2018</v>
      </c>
      <c r="D314" s="2" t="s">
        <v>1</v>
      </c>
      <c r="E314" s="2" t="s">
        <v>4</v>
      </c>
      <c r="F314" s="2" t="s">
        <v>35</v>
      </c>
      <c r="G314" s="7"/>
      <c r="H314" s="13" t="str">
        <f>IFERROR(IF(ABS($G314)&gt;0,VLOOKUP($E314,'Fuel Category and Heat Rate'!$B$1:$G$34,6,FALSE)*($G314),""),"")</f>
        <v/>
      </c>
      <c r="I314" t="str">
        <f>IFERROR(VLOOKUP($E314,'Fuel Category and Heat Rate'!$K$2:$M$36,3,FALSE),"")</f>
        <v>coal</v>
      </c>
    </row>
    <row r="315" spans="1:9" x14ac:dyDescent="0.15">
      <c r="A315" s="2">
        <v>23777</v>
      </c>
      <c r="B315" s="2" t="s">
        <v>66</v>
      </c>
      <c r="C315" s="2">
        <v>2018</v>
      </c>
      <c r="D315" s="2" t="s">
        <v>1</v>
      </c>
      <c r="E315" s="2" t="s">
        <v>6</v>
      </c>
      <c r="F315" s="2" t="s">
        <v>35</v>
      </c>
      <c r="G315" s="7"/>
      <c r="H315" s="13" t="str">
        <f>IFERROR(IF(ABS($G315)&gt;0,VLOOKUP($E315,'Fuel Category and Heat Rate'!$B$1:$G$34,6,FALSE)*($G315),""),"")</f>
        <v/>
      </c>
      <c r="I315" t="str">
        <f>IFERROR(VLOOKUP($E315,'Fuel Category and Heat Rate'!$K$2:$M$36,3,FALSE),"")</f>
        <v>coal</v>
      </c>
    </row>
    <row r="316" spans="1:9" x14ac:dyDescent="0.15">
      <c r="A316" s="2">
        <v>23812</v>
      </c>
      <c r="B316" s="2" t="s">
        <v>66</v>
      </c>
      <c r="C316" s="2">
        <v>2018</v>
      </c>
      <c r="D316" s="2" t="s">
        <v>1</v>
      </c>
      <c r="E316" s="2" t="s">
        <v>26</v>
      </c>
      <c r="F316" s="2" t="s">
        <v>35</v>
      </c>
      <c r="G316" s="7">
        <v>-2.15</v>
      </c>
      <c r="H316" s="13">
        <f>IFERROR(IF(ABS($G316)&gt;0,VLOOKUP($E316,'Fuel Category and Heat Rate'!$B$1:$G$34,6,FALSE)*($G316),""),"")</f>
        <v>-1022551081063.6233</v>
      </c>
      <c r="I316" t="str">
        <f>IFERROR(VLOOKUP($E316,'Fuel Category and Heat Rate'!$K$2:$M$36,3,FALSE),"")</f>
        <v>LPG propane or butane</v>
      </c>
    </row>
    <row r="317" spans="1:9" x14ac:dyDescent="0.15">
      <c r="A317" s="2">
        <v>23847</v>
      </c>
      <c r="B317" s="2" t="s">
        <v>66</v>
      </c>
      <c r="C317" s="2">
        <v>2018</v>
      </c>
      <c r="D317" s="2" t="s">
        <v>1</v>
      </c>
      <c r="E317" s="2" t="s">
        <v>30</v>
      </c>
      <c r="F317" s="2" t="s">
        <v>35</v>
      </c>
      <c r="G317" s="7">
        <v>-1.4</v>
      </c>
      <c r="H317" s="13">
        <f>IFERROR(IF(ABS($G317)&gt;0,VLOOKUP($E317,'Fuel Category and Heat Rate'!$B$1:$G$34,6,FALSE)*($G317),""),"")</f>
        <v>-682500362421.57239</v>
      </c>
      <c r="I317" t="str">
        <f>IFERROR(VLOOKUP($E317,'Fuel Category and Heat Rate'!$K$2:$M$36,3,FALSE),"")</f>
        <v>natural gas</v>
      </c>
    </row>
    <row r="318" spans="1:9" x14ac:dyDescent="0.15">
      <c r="A318" s="2">
        <v>23882</v>
      </c>
      <c r="B318" s="2" t="s">
        <v>66</v>
      </c>
      <c r="C318" s="2">
        <v>2018</v>
      </c>
      <c r="D318" s="2" t="s">
        <v>1</v>
      </c>
      <c r="E318" s="2" t="s">
        <v>14</v>
      </c>
      <c r="F318" s="2" t="s">
        <v>35</v>
      </c>
      <c r="G318" s="7">
        <v>-36.630000000000003</v>
      </c>
      <c r="H318" s="13">
        <f>IFERROR(IF(ABS($G318)&gt;0,VLOOKUP($E318,'Fuel Category and Heat Rate'!$B$1:$G$34,6,FALSE)*($G318),""),"")</f>
        <v>0</v>
      </c>
      <c r="I318" t="str">
        <f>IFERROR(VLOOKUP($E318,'Fuel Category and Heat Rate'!$K$2:$M$36,3,FALSE),"")</f>
        <v/>
      </c>
    </row>
    <row r="319" spans="1:9" x14ac:dyDescent="0.15">
      <c r="A319" s="2">
        <v>23917</v>
      </c>
      <c r="B319" s="2" t="s">
        <v>66</v>
      </c>
      <c r="C319" s="2">
        <v>2018</v>
      </c>
      <c r="D319" s="2" t="s">
        <v>1</v>
      </c>
      <c r="E319" s="2" t="s">
        <v>3</v>
      </c>
      <c r="F319" s="2" t="s">
        <v>35</v>
      </c>
      <c r="G319" s="7">
        <v>-96.7</v>
      </c>
      <c r="H319" s="13">
        <f>IFERROR(IF(ABS($G319)&gt;0,VLOOKUP($E319,'Fuel Category and Heat Rate'!$B$1:$G$34,6,FALSE)*($G319),""),"")</f>
        <v>-19163000707498.094</v>
      </c>
      <c r="I319" t="str">
        <f>IFERROR(VLOOKUP($E319,'Fuel Category and Heat Rate'!$K$2:$M$36,3,FALSE),"")</f>
        <v>coal</v>
      </c>
    </row>
    <row r="320" spans="1:9" x14ac:dyDescent="0.15">
      <c r="A320" s="2">
        <v>23952</v>
      </c>
      <c r="B320" s="2" t="s">
        <v>66</v>
      </c>
      <c r="C320" s="2">
        <v>2018</v>
      </c>
      <c r="D320" s="2" t="s">
        <v>1</v>
      </c>
      <c r="E320" s="2" t="s">
        <v>15</v>
      </c>
      <c r="F320" s="2" t="s">
        <v>35</v>
      </c>
      <c r="G320" s="7"/>
      <c r="H320" s="13" t="str">
        <f>IFERROR(IF(ABS($G320)&gt;0,VLOOKUP($E320,'Fuel Category and Heat Rate'!$B$1:$G$34,6,FALSE)*($G320),""),"")</f>
        <v/>
      </c>
      <c r="I320" t="str">
        <f>IFERROR(VLOOKUP($E320,'Fuel Category and Heat Rate'!$K$2:$M$36,3,FALSE),"")</f>
        <v>crude oil</v>
      </c>
    </row>
    <row r="321" spans="1:9" x14ac:dyDescent="0.15">
      <c r="A321" s="2">
        <v>23987</v>
      </c>
      <c r="B321" s="2" t="s">
        <v>66</v>
      </c>
      <c r="C321" s="2">
        <v>2018</v>
      </c>
      <c r="D321" s="2" t="s">
        <v>1</v>
      </c>
      <c r="E321" s="2" t="s">
        <v>11</v>
      </c>
      <c r="F321" s="2" t="s">
        <v>36</v>
      </c>
      <c r="G321" s="7"/>
      <c r="H321" s="13" t="str">
        <f>IFERROR(IF(ABS($G321)&gt;0,VLOOKUP($E321,'Fuel Category and Heat Rate'!$B$1:$G$34,6,FALSE)*($G321),""),"")</f>
        <v/>
      </c>
      <c r="I321" t="str">
        <f>IFERROR(VLOOKUP($E321,'Fuel Category and Heat Rate'!$K$2:$M$36,3,FALSE),"")</f>
        <v>LPG propane or butane</v>
      </c>
    </row>
    <row r="322" spans="1:9" x14ac:dyDescent="0.15">
      <c r="A322" s="2">
        <v>36832</v>
      </c>
      <c r="B322" s="2" t="s">
        <v>67</v>
      </c>
      <c r="C322" s="2">
        <v>2022</v>
      </c>
      <c r="D322" s="2" t="s">
        <v>1</v>
      </c>
      <c r="E322" s="2" t="s">
        <v>18</v>
      </c>
      <c r="F322" s="2" t="s">
        <v>35</v>
      </c>
      <c r="G322" s="7">
        <v>-0.24</v>
      </c>
      <c r="H322" s="13">
        <f>IFERROR(IF(ABS($G322)&gt;0,VLOOKUP($E322,'Fuel Category and Heat Rate'!$B$1:$G$34,6,FALSE)*($G322),""),"")</f>
        <v>-97023110198.384277</v>
      </c>
      <c r="I322" t="str">
        <f>IFERROR(VLOOKUP($E322,'Fuel Category and Heat Rate'!$K$2:$M$36,3,FALSE),"")</f>
        <v>petroleum diesel</v>
      </c>
    </row>
    <row r="323" spans="1:9" x14ac:dyDescent="0.15">
      <c r="A323" s="2">
        <v>36867</v>
      </c>
      <c r="B323" s="2" t="s">
        <v>67</v>
      </c>
      <c r="C323" s="2">
        <v>2022</v>
      </c>
      <c r="D323" s="2" t="s">
        <v>1</v>
      </c>
      <c r="E323" s="2" t="s">
        <v>32</v>
      </c>
      <c r="F323" s="2" t="s">
        <v>65</v>
      </c>
      <c r="G323" s="7"/>
      <c r="H323" s="13" t="str">
        <f>IFERROR(IF(ABS($G323)&gt;0,VLOOKUP($E323,'Fuel Category and Heat Rate'!$B$1:$G$34,6,FALSE)*($G323),""),"")</f>
        <v/>
      </c>
      <c r="I323" t="str">
        <f>IFERROR(VLOOKUP($E323,'Fuel Category and Heat Rate'!$K$2:$M$36,3,FALSE),"")</f>
        <v>electricity</v>
      </c>
    </row>
    <row r="324" spans="1:9" x14ac:dyDescent="0.15">
      <c r="A324" s="2">
        <v>36902</v>
      </c>
      <c r="B324" s="2" t="s">
        <v>67</v>
      </c>
      <c r="C324" s="2">
        <v>2022</v>
      </c>
      <c r="D324" s="2" t="s">
        <v>1</v>
      </c>
      <c r="E324" s="2" t="s">
        <v>10</v>
      </c>
      <c r="F324" s="2" t="s">
        <v>36</v>
      </c>
      <c r="G324" s="7">
        <v>-4.6500000000000004</v>
      </c>
      <c r="H324" s="13">
        <f>IFERROR(IF(ABS($G324)&gt;0,VLOOKUP($E324,'Fuel Category and Heat Rate'!$B$1:$G$34,6,FALSE)*($G324),""),"")</f>
        <v>-1658485662157.1267</v>
      </c>
      <c r="I324" t="str">
        <f>IFERROR(VLOOKUP($E324,'Fuel Category and Heat Rate'!$K$2:$M$36,3,FALSE),"")</f>
        <v>LPG propane or butane</v>
      </c>
    </row>
    <row r="325" spans="1:9" x14ac:dyDescent="0.15">
      <c r="A325" s="2">
        <v>36937</v>
      </c>
      <c r="B325" s="2" t="s">
        <v>67</v>
      </c>
      <c r="C325" s="2">
        <v>2022</v>
      </c>
      <c r="D325" s="2" t="s">
        <v>1</v>
      </c>
      <c r="E325" s="2" t="s">
        <v>9</v>
      </c>
      <c r="F325" s="2" t="s">
        <v>36</v>
      </c>
      <c r="G325" s="7">
        <v>-0.41</v>
      </c>
      <c r="H325" s="13">
        <f>IFERROR(IF(ABS($G325)&gt;0,VLOOKUP($E325,'Fuel Category and Heat Rate'!$B$1:$G$34,6,FALSE)*($G325),""),"")</f>
        <v>-674365721966.28259</v>
      </c>
      <c r="I325" t="str">
        <f>IFERROR(VLOOKUP($E325,'Fuel Category and Heat Rate'!$K$2:$M$36,3,FALSE),"")</f>
        <v>LPG propane or butane</v>
      </c>
    </row>
    <row r="326" spans="1:9" x14ac:dyDescent="0.15">
      <c r="A326" s="2">
        <v>36972</v>
      </c>
      <c r="B326" s="2" t="s">
        <v>67</v>
      </c>
      <c r="C326" s="2">
        <v>2022</v>
      </c>
      <c r="D326" s="2" t="s">
        <v>1</v>
      </c>
      <c r="E326" s="2" t="s">
        <v>8</v>
      </c>
      <c r="F326" s="2" t="s">
        <v>35</v>
      </c>
      <c r="G326" s="7"/>
      <c r="H326" s="13" t="str">
        <f>IFERROR(IF(ABS($G326)&gt;0,VLOOKUP($E326,'Fuel Category and Heat Rate'!$B$1:$G$34,6,FALSE)*($G326),""),"")</f>
        <v/>
      </c>
      <c r="I326" t="str">
        <f>IFERROR(VLOOKUP($E326,'Fuel Category and Heat Rate'!$K$2:$M$36,3,FALSE),"")</f>
        <v>coal</v>
      </c>
    </row>
    <row r="327" spans="1:9" x14ac:dyDescent="0.15">
      <c r="A327" s="2">
        <v>37007</v>
      </c>
      <c r="B327" s="2" t="s">
        <v>67</v>
      </c>
      <c r="C327" s="2">
        <v>2022</v>
      </c>
      <c r="D327" s="2" t="s">
        <v>1</v>
      </c>
      <c r="E327" s="2" t="s">
        <v>27</v>
      </c>
      <c r="F327" s="2" t="s">
        <v>35</v>
      </c>
      <c r="G327" s="7">
        <v>-4.79</v>
      </c>
      <c r="H327" s="13">
        <f>IFERROR(IF(ABS($G327)&gt;0,VLOOKUP($E327,'Fuel Category and Heat Rate'!$B$1:$G$34,6,FALSE)*($G327),""),"")</f>
        <v>-2088329447204.1458</v>
      </c>
      <c r="I327" t="str">
        <f>IFERROR(VLOOKUP($E327,'Fuel Category and Heat Rate'!$K$2:$M$36,3,FALSE),"")</f>
        <v>LPG propane or butane</v>
      </c>
    </row>
    <row r="328" spans="1:9" x14ac:dyDescent="0.15">
      <c r="A328" s="2">
        <v>37042</v>
      </c>
      <c r="B328" s="2" t="s">
        <v>67</v>
      </c>
      <c r="C328" s="2">
        <v>2022</v>
      </c>
      <c r="D328" s="2" t="s">
        <v>1</v>
      </c>
      <c r="E328" s="2" t="s">
        <v>7</v>
      </c>
      <c r="F328" s="2" t="s">
        <v>35</v>
      </c>
      <c r="G328" s="7"/>
      <c r="H328" s="13" t="str">
        <f>IFERROR(IF(ABS($G328)&gt;0,VLOOKUP($E328,'Fuel Category and Heat Rate'!$B$1:$G$34,6,FALSE)*($G328),""),"")</f>
        <v/>
      </c>
      <c r="I328" t="str">
        <f>IFERROR(VLOOKUP($E328,'Fuel Category and Heat Rate'!$K$2:$M$36,3,FALSE),"")</f>
        <v>coal</v>
      </c>
    </row>
    <row r="329" spans="1:9" x14ac:dyDescent="0.15">
      <c r="A329" s="2">
        <v>37077</v>
      </c>
      <c r="B329" s="2" t="s">
        <v>67</v>
      </c>
      <c r="C329" s="2">
        <v>2022</v>
      </c>
      <c r="D329" s="2" t="s">
        <v>1</v>
      </c>
      <c r="E329" s="2" t="s">
        <v>2</v>
      </c>
      <c r="F329" s="2" t="s">
        <v>35</v>
      </c>
      <c r="G329" s="7">
        <v>-1102.28</v>
      </c>
      <c r="H329" s="13">
        <f>IFERROR(IF(ABS($G329)&gt;0,VLOOKUP($E329,'Fuel Category and Heat Rate'!$B$1:$G$34,6,FALSE)*($G329),""),"")</f>
        <v>0</v>
      </c>
      <c r="I329" t="str">
        <f>IFERROR(VLOOKUP($E329,'Fuel Category and Heat Rate'!$K$2:$M$36,3,FALSE),"")</f>
        <v/>
      </c>
    </row>
    <row r="330" spans="1:9" x14ac:dyDescent="0.15">
      <c r="A330" s="2">
        <v>37112</v>
      </c>
      <c r="B330" s="2" t="s">
        <v>67</v>
      </c>
      <c r="C330" s="2">
        <v>2022</v>
      </c>
      <c r="D330" s="2" t="s">
        <v>1</v>
      </c>
      <c r="E330" s="2" t="s">
        <v>17</v>
      </c>
      <c r="F330" s="2" t="s">
        <v>35</v>
      </c>
      <c r="G330" s="7"/>
      <c r="H330" s="13" t="str">
        <f>IFERROR(IF(ABS($G330)&gt;0,VLOOKUP($E330,'Fuel Category and Heat Rate'!$B$1:$G$34,6,FALSE)*($G330),""),"")</f>
        <v/>
      </c>
      <c r="I330" t="str">
        <f>IFERROR(VLOOKUP($E330,'Fuel Category and Heat Rate'!$K$2:$M$36,3,FALSE),"")</f>
        <v>petroleum diesel</v>
      </c>
    </row>
    <row r="331" spans="1:9" x14ac:dyDescent="0.15">
      <c r="A331" s="2">
        <v>37147</v>
      </c>
      <c r="B331" s="2" t="s">
        <v>67</v>
      </c>
      <c r="C331" s="2">
        <v>2022</v>
      </c>
      <c r="D331" s="2" t="s">
        <v>1</v>
      </c>
      <c r="E331" s="2" t="s">
        <v>13</v>
      </c>
      <c r="F331" s="2" t="s">
        <v>35</v>
      </c>
      <c r="G331" s="7"/>
      <c r="H331" s="13" t="str">
        <f>IFERROR(IF(ABS($G331)&gt;0,VLOOKUP($E331,'Fuel Category and Heat Rate'!$B$1:$G$34,6,FALSE)*($G331),""),"")</f>
        <v/>
      </c>
      <c r="I331" t="str">
        <f>IFERROR(VLOOKUP($E331,'Fuel Category and Heat Rate'!$K$2:$M$36,3,FALSE),"")</f>
        <v>petroleum diesel</v>
      </c>
    </row>
    <row r="332" spans="1:9" x14ac:dyDescent="0.15">
      <c r="A332" s="2">
        <v>37182</v>
      </c>
      <c r="B332" s="2" t="s">
        <v>67</v>
      </c>
      <c r="C332" s="2">
        <v>2022</v>
      </c>
      <c r="D332" s="2" t="s">
        <v>1</v>
      </c>
      <c r="E332" s="2" t="s">
        <v>12</v>
      </c>
      <c r="F332" s="2" t="s">
        <v>36</v>
      </c>
      <c r="G332" s="7"/>
      <c r="H332" s="13" t="str">
        <f>IFERROR(IF(ABS($G332)&gt;0,VLOOKUP($E332,'Fuel Category and Heat Rate'!$B$1:$G$34,6,FALSE)*($G332),""),"")</f>
        <v/>
      </c>
      <c r="I332" t="str">
        <f>IFERROR(VLOOKUP($E332,'Fuel Category and Heat Rate'!$K$2:$M$36,3,FALSE),"")</f>
        <v>LPG propane or butane</v>
      </c>
    </row>
    <row r="333" spans="1:9" x14ac:dyDescent="0.15">
      <c r="A333" s="2">
        <v>37217</v>
      </c>
      <c r="B333" s="2" t="s">
        <v>67</v>
      </c>
      <c r="C333" s="2">
        <v>2022</v>
      </c>
      <c r="D333" s="2" t="s">
        <v>1</v>
      </c>
      <c r="E333" s="2" t="s">
        <v>33</v>
      </c>
      <c r="F333" s="2" t="s">
        <v>38</v>
      </c>
      <c r="G333" s="7">
        <v>-21.17</v>
      </c>
      <c r="H333" s="13">
        <f>IFERROR(IF(ABS($G333)&gt;0,VLOOKUP($E333,'Fuel Category and Heat Rate'!$B$1:$G$34,6,FALSE)*($G333),""),"")</f>
        <v>-5873310592988.9873</v>
      </c>
      <c r="I333" t="str">
        <f>IFERROR(VLOOKUP($E333,'Fuel Category and Heat Rate'!$K$2:$M$36,3,FALSE),"")</f>
        <v>biomass</v>
      </c>
    </row>
    <row r="334" spans="1:9" x14ac:dyDescent="0.15">
      <c r="A334" s="2">
        <v>37252</v>
      </c>
      <c r="B334" s="2" t="s">
        <v>67</v>
      </c>
      <c r="C334" s="2">
        <v>2022</v>
      </c>
      <c r="D334" s="2" t="s">
        <v>1</v>
      </c>
      <c r="E334" s="2" t="s">
        <v>28</v>
      </c>
      <c r="F334" s="2" t="s">
        <v>35</v>
      </c>
      <c r="G334" s="7"/>
      <c r="H334" s="13" t="str">
        <f>IFERROR(IF(ABS($G334)&gt;0,VLOOKUP($E334,'Fuel Category and Heat Rate'!$B$1:$G$34,6,FALSE)*($G334),""),"")</f>
        <v/>
      </c>
      <c r="I334" t="str">
        <f>IFERROR(VLOOKUP($E334,'Fuel Category and Heat Rate'!$K$2:$M$36,3,FALSE),"")</f>
        <v>heavy or residual fuel oil</v>
      </c>
    </row>
    <row r="335" spans="1:9" x14ac:dyDescent="0.15">
      <c r="A335" s="2">
        <v>37287</v>
      </c>
      <c r="B335" s="2" t="s">
        <v>67</v>
      </c>
      <c r="C335" s="2">
        <v>2022</v>
      </c>
      <c r="D335" s="2" t="s">
        <v>1</v>
      </c>
      <c r="E335" s="2" t="s">
        <v>5</v>
      </c>
      <c r="F335" s="2" t="s">
        <v>35</v>
      </c>
      <c r="G335" s="7"/>
      <c r="H335" s="13" t="str">
        <f>IFERROR(IF(ABS($G335)&gt;0,VLOOKUP($E335,'Fuel Category and Heat Rate'!$B$1:$G$34,6,FALSE)*($G335),""),"")</f>
        <v/>
      </c>
      <c r="I335" t="str">
        <f>IFERROR(VLOOKUP($E335,'Fuel Category and Heat Rate'!$K$2:$M$36,3,FALSE),"")</f>
        <v>coal</v>
      </c>
    </row>
    <row r="336" spans="1:9" x14ac:dyDescent="0.15">
      <c r="A336" s="2">
        <v>37322</v>
      </c>
      <c r="B336" s="2" t="s">
        <v>67</v>
      </c>
      <c r="C336" s="2">
        <v>2022</v>
      </c>
      <c r="D336" s="2" t="s">
        <v>1</v>
      </c>
      <c r="E336" s="2" t="s">
        <v>16</v>
      </c>
      <c r="F336" s="2" t="s">
        <v>35</v>
      </c>
      <c r="G336" s="7"/>
      <c r="H336" s="13" t="str">
        <f>IFERROR(IF(ABS($G336)&gt;0,VLOOKUP($E336,'Fuel Category and Heat Rate'!$B$1:$G$34,6,FALSE)*($G336),""),"")</f>
        <v/>
      </c>
      <c r="I336" t="str">
        <f>IFERROR(VLOOKUP($E336,'Fuel Category and Heat Rate'!$K$2:$M$36,3,FALSE),"")</f>
        <v>petroleum diesel</v>
      </c>
    </row>
    <row r="337" spans="1:9" x14ac:dyDescent="0.15">
      <c r="A337" s="2">
        <v>37357</v>
      </c>
      <c r="B337" s="2" t="s">
        <v>67</v>
      </c>
      <c r="C337" s="2">
        <v>2022</v>
      </c>
      <c r="D337" s="2" t="s">
        <v>1</v>
      </c>
      <c r="E337" s="2" t="s">
        <v>19</v>
      </c>
      <c r="F337" s="2" t="s">
        <v>35</v>
      </c>
      <c r="G337" s="7">
        <v>-7.33</v>
      </c>
      <c r="H337" s="13">
        <f>IFERROR(IF(ABS($G337)&gt;0,VLOOKUP($E337,'Fuel Category and Heat Rate'!$B$1:$G$34,6,FALSE)*($G337),""),"")</f>
        <v>-2905166394745.8325</v>
      </c>
      <c r="I337" t="str">
        <f>IFERROR(VLOOKUP($E337,'Fuel Category and Heat Rate'!$K$2:$M$36,3,FALSE),"")</f>
        <v>heavy or residual fuel oil</v>
      </c>
    </row>
    <row r="338" spans="1:9" x14ac:dyDescent="0.15">
      <c r="A338" s="2">
        <v>37392</v>
      </c>
      <c r="B338" s="2" t="s">
        <v>67</v>
      </c>
      <c r="C338" s="2">
        <v>2022</v>
      </c>
      <c r="D338" s="2" t="s">
        <v>1</v>
      </c>
      <c r="E338" s="2" t="s">
        <v>31</v>
      </c>
      <c r="F338" s="2" t="s">
        <v>37</v>
      </c>
      <c r="G338" s="7">
        <v>22158.68</v>
      </c>
      <c r="H338" s="13">
        <f>IFERROR(IF(ABS($G338)&gt;0,VLOOKUP($E338,'Fuel Category and Heat Rate'!$B$1:$G$34,6,FALSE)*($G338),""),"")</f>
        <v>210023763196990.97</v>
      </c>
      <c r="I338" t="str">
        <f>IFERROR(VLOOKUP($E338,'Fuel Category and Heat Rate'!$K$2:$M$36,3,FALSE),"")</f>
        <v>heat</v>
      </c>
    </row>
    <row r="339" spans="1:9" x14ac:dyDescent="0.15">
      <c r="A339" s="2">
        <v>37427</v>
      </c>
      <c r="B339" s="2" t="s">
        <v>67</v>
      </c>
      <c r="C339" s="2">
        <v>2022</v>
      </c>
      <c r="D339" s="2" t="s">
        <v>1</v>
      </c>
      <c r="E339" s="2" t="s">
        <v>23</v>
      </c>
      <c r="F339" s="2" t="s">
        <v>35</v>
      </c>
      <c r="G339" s="7"/>
      <c r="H339" s="13" t="str">
        <f>IFERROR(IF(ABS($G339)&gt;0,VLOOKUP($E339,'Fuel Category and Heat Rate'!$B$1:$G$34,6,FALSE)*($G339),""),"")</f>
        <v/>
      </c>
      <c r="I339" t="str">
        <f>IFERROR(VLOOKUP($E339,'Fuel Category and Heat Rate'!$K$2:$M$36,3,FALSE),"")</f>
        <v>heavy or residual fuel oil</v>
      </c>
    </row>
    <row r="340" spans="1:9" x14ac:dyDescent="0.15">
      <c r="A340" s="2">
        <v>37462</v>
      </c>
      <c r="B340" s="2" t="s">
        <v>67</v>
      </c>
      <c r="C340" s="2">
        <v>2022</v>
      </c>
      <c r="D340" s="2" t="s">
        <v>1</v>
      </c>
      <c r="E340" s="2" t="s">
        <v>21</v>
      </c>
      <c r="F340" s="2" t="s">
        <v>35</v>
      </c>
      <c r="G340" s="7"/>
      <c r="H340" s="13" t="str">
        <f>IFERROR(IF(ABS($G340)&gt;0,VLOOKUP($E340,'Fuel Category and Heat Rate'!$B$1:$G$34,6,FALSE)*($G340),""),"")</f>
        <v/>
      </c>
      <c r="I340" t="str">
        <f>IFERROR(VLOOKUP($E340,'Fuel Category and Heat Rate'!$K$2:$M$36,3,FALSE),"")</f>
        <v>LPG propane or butane</v>
      </c>
    </row>
    <row r="341" spans="1:9" x14ac:dyDescent="0.15">
      <c r="A341" s="2">
        <v>37497</v>
      </c>
      <c r="B341" s="2" t="s">
        <v>67</v>
      </c>
      <c r="C341" s="2">
        <v>2022</v>
      </c>
      <c r="D341" s="2" t="s">
        <v>1</v>
      </c>
      <c r="E341" s="2" t="s">
        <v>22</v>
      </c>
      <c r="F341" s="2" t="s">
        <v>35</v>
      </c>
      <c r="G341" s="7"/>
      <c r="H341" s="13" t="str">
        <f>IFERROR(IF(ABS($G341)&gt;0,VLOOKUP($E341,'Fuel Category and Heat Rate'!$B$1:$G$34,6,FALSE)*($G341),""),"")</f>
        <v/>
      </c>
      <c r="I341" t="str">
        <f>IFERROR(VLOOKUP($E341,'Fuel Category and Heat Rate'!$K$2:$M$36,3,FALSE),"")</f>
        <v>heavy fuel oil</v>
      </c>
    </row>
    <row r="342" spans="1:9" x14ac:dyDescent="0.15">
      <c r="A342" s="2">
        <v>37532</v>
      </c>
      <c r="B342" s="2" t="s">
        <v>67</v>
      </c>
      <c r="C342" s="2">
        <v>2022</v>
      </c>
      <c r="D342" s="2" t="s">
        <v>1</v>
      </c>
      <c r="E342" s="2" t="s">
        <v>20</v>
      </c>
      <c r="F342" s="2" t="s">
        <v>35</v>
      </c>
      <c r="G342" s="7"/>
      <c r="H342" s="13" t="str">
        <f>IFERROR(IF(ABS($G342)&gt;0,VLOOKUP($E342,'Fuel Category and Heat Rate'!$B$1:$G$34,6,FALSE)*($G342),""),"")</f>
        <v/>
      </c>
      <c r="I342" t="str">
        <f>IFERROR(VLOOKUP($E342,'Fuel Category and Heat Rate'!$K$2:$M$36,3,FALSE),"")</f>
        <v>LPG propane or butane</v>
      </c>
    </row>
    <row r="343" spans="1:9" x14ac:dyDescent="0.15">
      <c r="A343" s="2">
        <v>37567</v>
      </c>
      <c r="B343" s="2" t="s">
        <v>67</v>
      </c>
      <c r="C343" s="2">
        <v>2022</v>
      </c>
      <c r="D343" s="2" t="s">
        <v>1</v>
      </c>
      <c r="E343" s="2" t="s">
        <v>25</v>
      </c>
      <c r="F343" s="2" t="s">
        <v>35</v>
      </c>
      <c r="G343" s="7">
        <v>-23.96</v>
      </c>
      <c r="H343" s="13">
        <f>IFERROR(IF(ABS($G343)&gt;0,VLOOKUP($E343,'Fuel Category and Heat Rate'!$B$1:$G$34,6,FALSE)*($G343),""),"")</f>
        <v>-7255067302835.2002</v>
      </c>
      <c r="I343" t="str">
        <f>IFERROR(VLOOKUP($E343,'Fuel Category and Heat Rate'!$K$2:$M$36,3,FALSE),"")</f>
        <v>heavy fuel oil</v>
      </c>
    </row>
    <row r="344" spans="1:9" x14ac:dyDescent="0.15">
      <c r="A344" s="2">
        <v>37602</v>
      </c>
      <c r="B344" s="2" t="s">
        <v>67</v>
      </c>
      <c r="C344" s="2">
        <v>2022</v>
      </c>
      <c r="D344" s="2" t="s">
        <v>1</v>
      </c>
      <c r="E344" s="2" t="s">
        <v>24</v>
      </c>
      <c r="F344" s="2" t="s">
        <v>35</v>
      </c>
      <c r="G344" s="7"/>
      <c r="H344" s="13" t="str">
        <f>IFERROR(IF(ABS($G344)&gt;0,VLOOKUP($E344,'Fuel Category and Heat Rate'!$B$1:$G$34,6,FALSE)*($G344),""),"")</f>
        <v/>
      </c>
      <c r="I344" t="str">
        <f>IFERROR(VLOOKUP($E344,'Fuel Category and Heat Rate'!$K$2:$M$36,3,FALSE),"")</f>
        <v>heavy fuel oil</v>
      </c>
    </row>
    <row r="345" spans="1:9" x14ac:dyDescent="0.15">
      <c r="A345" s="2">
        <v>37637</v>
      </c>
      <c r="B345" s="2" t="s">
        <v>67</v>
      </c>
      <c r="C345" s="2">
        <v>2022</v>
      </c>
      <c r="D345" s="2" t="s">
        <v>1</v>
      </c>
      <c r="E345" s="2" t="s">
        <v>29</v>
      </c>
      <c r="F345" s="2" t="s">
        <v>36</v>
      </c>
      <c r="G345" s="7">
        <v>-1.25</v>
      </c>
      <c r="H345" s="13">
        <f>IFERROR(IF(ABS($G345)&gt;0,VLOOKUP($E345,'Fuel Category and Heat Rate'!$B$1:$G$34,6,FALSE)*($G345),""),"")</f>
        <v>-4215949800193.042</v>
      </c>
      <c r="I345" t="str">
        <f>IFERROR(VLOOKUP($E345,'Fuel Category and Heat Rate'!$K$2:$M$36,3,FALSE),"")</f>
        <v>natural gas</v>
      </c>
    </row>
    <row r="346" spans="1:9" x14ac:dyDescent="0.15">
      <c r="A346" s="2">
        <v>37672</v>
      </c>
      <c r="B346" s="2" t="s">
        <v>67</v>
      </c>
      <c r="C346" s="2">
        <v>2022</v>
      </c>
      <c r="D346" s="2" t="s">
        <v>1</v>
      </c>
      <c r="E346" s="2" t="s">
        <v>4</v>
      </c>
      <c r="F346" s="2" t="s">
        <v>35</v>
      </c>
      <c r="G346" s="7"/>
      <c r="H346" s="13" t="str">
        <f>IFERROR(IF(ABS($G346)&gt;0,VLOOKUP($E346,'Fuel Category and Heat Rate'!$B$1:$G$34,6,FALSE)*($G346),""),"")</f>
        <v/>
      </c>
      <c r="I346" t="str">
        <f>IFERROR(VLOOKUP($E346,'Fuel Category and Heat Rate'!$K$2:$M$36,3,FALSE),"")</f>
        <v>coal</v>
      </c>
    </row>
    <row r="347" spans="1:9" x14ac:dyDescent="0.15">
      <c r="A347" s="2">
        <v>37707</v>
      </c>
      <c r="B347" s="2" t="s">
        <v>67</v>
      </c>
      <c r="C347" s="2">
        <v>2022</v>
      </c>
      <c r="D347" s="2" t="s">
        <v>1</v>
      </c>
      <c r="E347" s="2" t="s">
        <v>6</v>
      </c>
      <c r="F347" s="2" t="s">
        <v>35</v>
      </c>
      <c r="G347" s="7"/>
      <c r="H347" s="13" t="str">
        <f>IFERROR(IF(ABS($G347)&gt;0,VLOOKUP($E347,'Fuel Category and Heat Rate'!$B$1:$G$34,6,FALSE)*($G347),""),"")</f>
        <v/>
      </c>
      <c r="I347" t="str">
        <f>IFERROR(VLOOKUP($E347,'Fuel Category and Heat Rate'!$K$2:$M$36,3,FALSE),"")</f>
        <v>coal</v>
      </c>
    </row>
    <row r="348" spans="1:9" x14ac:dyDescent="0.15">
      <c r="A348" s="2">
        <v>37742</v>
      </c>
      <c r="B348" s="2" t="s">
        <v>67</v>
      </c>
      <c r="C348" s="2">
        <v>2022</v>
      </c>
      <c r="D348" s="2" t="s">
        <v>1</v>
      </c>
      <c r="E348" s="2" t="s">
        <v>26</v>
      </c>
      <c r="F348" s="2" t="s">
        <v>35</v>
      </c>
      <c r="G348" s="7">
        <v>-3.58</v>
      </c>
      <c r="H348" s="13">
        <f>IFERROR(IF(ABS($G348)&gt;0,VLOOKUP($E348,'Fuel Category and Heat Rate'!$B$1:$G$34,6,FALSE)*($G348),""),"")</f>
        <v>-1702666451259.4287</v>
      </c>
      <c r="I348" t="str">
        <f>IFERROR(VLOOKUP($E348,'Fuel Category and Heat Rate'!$K$2:$M$36,3,FALSE),"")</f>
        <v>LPG propane or butane</v>
      </c>
    </row>
    <row r="349" spans="1:9" x14ac:dyDescent="0.15">
      <c r="A349" s="2">
        <v>37777</v>
      </c>
      <c r="B349" s="2" t="s">
        <v>67</v>
      </c>
      <c r="C349" s="2">
        <v>2022</v>
      </c>
      <c r="D349" s="2" t="s">
        <v>1</v>
      </c>
      <c r="E349" s="2" t="s">
        <v>30</v>
      </c>
      <c r="F349" s="2" t="s">
        <v>35</v>
      </c>
      <c r="G349" s="7"/>
      <c r="H349" s="13" t="str">
        <f>IFERROR(IF(ABS($G349)&gt;0,VLOOKUP($E349,'Fuel Category and Heat Rate'!$B$1:$G$34,6,FALSE)*($G349),""),"")</f>
        <v/>
      </c>
      <c r="I349" t="str">
        <f>IFERROR(VLOOKUP($E349,'Fuel Category and Heat Rate'!$K$2:$M$36,3,FALSE),"")</f>
        <v>natural gas</v>
      </c>
    </row>
    <row r="350" spans="1:9" x14ac:dyDescent="0.15">
      <c r="A350" s="2">
        <v>37812</v>
      </c>
      <c r="B350" s="2" t="s">
        <v>67</v>
      </c>
      <c r="C350" s="2">
        <v>2022</v>
      </c>
      <c r="D350" s="2" t="s">
        <v>1</v>
      </c>
      <c r="E350" s="2" t="s">
        <v>14</v>
      </c>
      <c r="F350" s="2" t="s">
        <v>35</v>
      </c>
      <c r="G350" s="7">
        <v>-39.9</v>
      </c>
      <c r="H350" s="13">
        <f>IFERROR(IF(ABS($G350)&gt;0,VLOOKUP($E350,'Fuel Category and Heat Rate'!$B$1:$G$34,6,FALSE)*($G350),""),"")</f>
        <v>0</v>
      </c>
      <c r="I350" t="str">
        <f>IFERROR(VLOOKUP($E350,'Fuel Category and Heat Rate'!$K$2:$M$36,3,FALSE),"")</f>
        <v/>
      </c>
    </row>
    <row r="351" spans="1:9" x14ac:dyDescent="0.15">
      <c r="A351" s="2">
        <v>37847</v>
      </c>
      <c r="B351" s="2" t="s">
        <v>67</v>
      </c>
      <c r="C351" s="2">
        <v>2022</v>
      </c>
      <c r="D351" s="2" t="s">
        <v>1</v>
      </c>
      <c r="E351" s="2" t="s">
        <v>3</v>
      </c>
      <c r="F351" s="2" t="s">
        <v>35</v>
      </c>
      <c r="G351" s="7">
        <v>-1102.28</v>
      </c>
      <c r="H351" s="13">
        <f>IFERROR(IF(ABS($G351)&gt;0,VLOOKUP($E351,'Fuel Category and Heat Rate'!$B$1:$G$34,6,FALSE)*($G351),""),"")</f>
        <v>-218438391105077.53</v>
      </c>
      <c r="I351" t="str">
        <f>IFERROR(VLOOKUP($E351,'Fuel Category and Heat Rate'!$K$2:$M$36,3,FALSE),"")</f>
        <v>coal</v>
      </c>
    </row>
    <row r="352" spans="1:9" x14ac:dyDescent="0.15">
      <c r="A352" s="2">
        <v>37882</v>
      </c>
      <c r="B352" s="2" t="s">
        <v>67</v>
      </c>
      <c r="C352" s="2">
        <v>2022</v>
      </c>
      <c r="D352" s="2" t="s">
        <v>1</v>
      </c>
      <c r="E352" s="2" t="s">
        <v>15</v>
      </c>
      <c r="F352" s="2" t="s">
        <v>35</v>
      </c>
      <c r="G352" s="7"/>
      <c r="H352" s="13" t="str">
        <f>IFERROR(IF(ABS($G352)&gt;0,VLOOKUP($E352,'Fuel Category and Heat Rate'!$B$1:$G$34,6,FALSE)*($G352),""),"")</f>
        <v/>
      </c>
      <c r="I352" t="str">
        <f>IFERROR(VLOOKUP($E352,'Fuel Category and Heat Rate'!$K$2:$M$36,3,FALSE),"")</f>
        <v>crude oil</v>
      </c>
    </row>
    <row r="353" spans="1:9" x14ac:dyDescent="0.15">
      <c r="A353" s="2">
        <v>37917</v>
      </c>
      <c r="B353" s="2" t="s">
        <v>67</v>
      </c>
      <c r="C353" s="2">
        <v>2022</v>
      </c>
      <c r="D353" s="2" t="s">
        <v>1</v>
      </c>
      <c r="E353" s="2" t="s">
        <v>11</v>
      </c>
      <c r="F353" s="2" t="s">
        <v>36</v>
      </c>
      <c r="G353" s="7">
        <v>-0.72</v>
      </c>
      <c r="H353" s="13">
        <f>IFERROR(IF(ABS($G353)&gt;0,VLOOKUP($E353,'Fuel Category and Heat Rate'!$B$1:$G$34,6,FALSE)*($G353),""),"")</f>
        <v>-542189306850.43829</v>
      </c>
      <c r="I353" t="str">
        <f>IFERROR(VLOOKUP($E353,'Fuel Category and Heat Rate'!$K$2:$M$36,3,FALSE),"")</f>
        <v>LPG propane or butane</v>
      </c>
    </row>
    <row r="354" spans="1:9" x14ac:dyDescent="0.15">
      <c r="A354" s="2">
        <v>37952</v>
      </c>
      <c r="B354" s="2" t="s">
        <v>67</v>
      </c>
      <c r="C354" s="2">
        <v>2021</v>
      </c>
      <c r="D354" s="2" t="s">
        <v>1</v>
      </c>
      <c r="E354" s="2" t="s">
        <v>18</v>
      </c>
      <c r="F354" s="2" t="s">
        <v>35</v>
      </c>
      <c r="G354" s="7">
        <v>-0.48</v>
      </c>
      <c r="H354" s="13">
        <f>IFERROR(IF(ABS($G354)&gt;0,VLOOKUP($E354,'Fuel Category and Heat Rate'!$B$1:$G$34,6,FALSE)*($G354),""),"")</f>
        <v>-194046220396.76855</v>
      </c>
      <c r="I354" t="str">
        <f>IFERROR(VLOOKUP($E354,'Fuel Category and Heat Rate'!$K$2:$M$36,3,FALSE),"")</f>
        <v>petroleum diesel</v>
      </c>
    </row>
    <row r="355" spans="1:9" x14ac:dyDescent="0.15">
      <c r="A355" s="2">
        <v>37987</v>
      </c>
      <c r="B355" s="2" t="s">
        <v>67</v>
      </c>
      <c r="C355" s="2">
        <v>2021</v>
      </c>
      <c r="D355" s="2" t="s">
        <v>1</v>
      </c>
      <c r="E355" s="2" t="s">
        <v>32</v>
      </c>
      <c r="F355" s="2" t="s">
        <v>65</v>
      </c>
      <c r="G355" s="7"/>
      <c r="H355" s="13" t="str">
        <f>IFERROR(IF(ABS($G355)&gt;0,VLOOKUP($E355,'Fuel Category and Heat Rate'!$B$1:$G$34,6,FALSE)*($G355),""),"")</f>
        <v/>
      </c>
      <c r="I355" t="str">
        <f>IFERROR(VLOOKUP($E355,'Fuel Category and Heat Rate'!$K$2:$M$36,3,FALSE),"")</f>
        <v>electricity</v>
      </c>
    </row>
    <row r="356" spans="1:9" x14ac:dyDescent="0.15">
      <c r="A356" s="2">
        <v>38022</v>
      </c>
      <c r="B356" s="2" t="s">
        <v>67</v>
      </c>
      <c r="C356" s="2">
        <v>2021</v>
      </c>
      <c r="D356" s="2" t="s">
        <v>1</v>
      </c>
      <c r="E356" s="2" t="s">
        <v>10</v>
      </c>
      <c r="F356" s="2" t="s">
        <v>36</v>
      </c>
      <c r="G356" s="7">
        <v>-8.56</v>
      </c>
      <c r="H356" s="13">
        <f>IFERROR(IF(ABS($G356)&gt;0,VLOOKUP($E356,'Fuel Category and Heat Rate'!$B$1:$G$34,6,FALSE)*($G356),""),"")</f>
        <v>-3053040272702.1514</v>
      </c>
      <c r="I356" t="str">
        <f>IFERROR(VLOOKUP($E356,'Fuel Category and Heat Rate'!$K$2:$M$36,3,FALSE),"")</f>
        <v>LPG propane or butane</v>
      </c>
    </row>
    <row r="357" spans="1:9" x14ac:dyDescent="0.15">
      <c r="A357" s="2">
        <v>38057</v>
      </c>
      <c r="B357" s="2" t="s">
        <v>67</v>
      </c>
      <c r="C357" s="2">
        <v>2021</v>
      </c>
      <c r="D357" s="2" t="s">
        <v>1</v>
      </c>
      <c r="E357" s="2" t="s">
        <v>9</v>
      </c>
      <c r="F357" s="2" t="s">
        <v>36</v>
      </c>
      <c r="G357" s="7">
        <v>-0.13</v>
      </c>
      <c r="H357" s="13">
        <f>IFERROR(IF(ABS($G357)&gt;0,VLOOKUP($E357,'Fuel Category and Heat Rate'!$B$1:$G$34,6,FALSE)*($G357),""),"")</f>
        <v>-213823277696.62622</v>
      </c>
      <c r="I357" t="str">
        <f>IFERROR(VLOOKUP($E357,'Fuel Category and Heat Rate'!$K$2:$M$36,3,FALSE),"")</f>
        <v>LPG propane or butane</v>
      </c>
    </row>
    <row r="358" spans="1:9" x14ac:dyDescent="0.15">
      <c r="A358" s="2">
        <v>38092</v>
      </c>
      <c r="B358" s="2" t="s">
        <v>67</v>
      </c>
      <c r="C358" s="2">
        <v>2021</v>
      </c>
      <c r="D358" s="2" t="s">
        <v>1</v>
      </c>
      <c r="E358" s="2" t="s">
        <v>8</v>
      </c>
      <c r="F358" s="2" t="s">
        <v>35</v>
      </c>
      <c r="G358" s="7"/>
      <c r="H358" s="13" t="str">
        <f>IFERROR(IF(ABS($G358)&gt;0,VLOOKUP($E358,'Fuel Category and Heat Rate'!$B$1:$G$34,6,FALSE)*($G358),""),"")</f>
        <v/>
      </c>
      <c r="I358" t="str">
        <f>IFERROR(VLOOKUP($E358,'Fuel Category and Heat Rate'!$K$2:$M$36,3,FALSE),"")</f>
        <v>coal</v>
      </c>
    </row>
    <row r="359" spans="1:9" x14ac:dyDescent="0.15">
      <c r="A359" s="2">
        <v>38127</v>
      </c>
      <c r="B359" s="2" t="s">
        <v>67</v>
      </c>
      <c r="C359" s="2">
        <v>2021</v>
      </c>
      <c r="D359" s="2" t="s">
        <v>1</v>
      </c>
      <c r="E359" s="2" t="s">
        <v>27</v>
      </c>
      <c r="F359" s="2" t="s">
        <v>35</v>
      </c>
      <c r="G359" s="7">
        <v>-8.42</v>
      </c>
      <c r="H359" s="13">
        <f>IFERROR(IF(ABS($G359)&gt;0,VLOOKUP($E359,'Fuel Category and Heat Rate'!$B$1:$G$34,6,FALSE)*($G359),""),"")</f>
        <v>-3670925667110.4189</v>
      </c>
      <c r="I359" t="str">
        <f>IFERROR(VLOOKUP($E359,'Fuel Category and Heat Rate'!$K$2:$M$36,3,FALSE),"")</f>
        <v>LPG propane or butane</v>
      </c>
    </row>
    <row r="360" spans="1:9" x14ac:dyDescent="0.15">
      <c r="A360" s="2">
        <v>38162</v>
      </c>
      <c r="B360" s="2" t="s">
        <v>67</v>
      </c>
      <c r="C360" s="2">
        <v>2021</v>
      </c>
      <c r="D360" s="2" t="s">
        <v>1</v>
      </c>
      <c r="E360" s="2" t="s">
        <v>7</v>
      </c>
      <c r="F360" s="2" t="s">
        <v>35</v>
      </c>
      <c r="G360" s="7"/>
      <c r="H360" s="13" t="str">
        <f>IFERROR(IF(ABS($G360)&gt;0,VLOOKUP($E360,'Fuel Category and Heat Rate'!$B$1:$G$34,6,FALSE)*($G360),""),"")</f>
        <v/>
      </c>
      <c r="I360" t="str">
        <f>IFERROR(VLOOKUP($E360,'Fuel Category and Heat Rate'!$K$2:$M$36,3,FALSE),"")</f>
        <v>coal</v>
      </c>
    </row>
    <row r="361" spans="1:9" x14ac:dyDescent="0.15">
      <c r="A361" s="2">
        <v>38197</v>
      </c>
      <c r="B361" s="2" t="s">
        <v>67</v>
      </c>
      <c r="C361" s="2">
        <v>2021</v>
      </c>
      <c r="D361" s="2" t="s">
        <v>1</v>
      </c>
      <c r="E361" s="2" t="s">
        <v>2</v>
      </c>
      <c r="F361" s="2" t="s">
        <v>35</v>
      </c>
      <c r="G361" s="7">
        <v>-1036.46</v>
      </c>
      <c r="H361" s="13">
        <f>IFERROR(IF(ABS($G361)&gt;0,VLOOKUP($E361,'Fuel Category and Heat Rate'!$B$1:$G$34,6,FALSE)*($G361),""),"")</f>
        <v>0</v>
      </c>
      <c r="I361" t="str">
        <f>IFERROR(VLOOKUP($E361,'Fuel Category and Heat Rate'!$K$2:$M$36,3,FALSE),"")</f>
        <v/>
      </c>
    </row>
    <row r="362" spans="1:9" x14ac:dyDescent="0.15">
      <c r="A362" s="2">
        <v>38232</v>
      </c>
      <c r="B362" s="2" t="s">
        <v>67</v>
      </c>
      <c r="C362" s="2">
        <v>2021</v>
      </c>
      <c r="D362" s="2" t="s">
        <v>1</v>
      </c>
      <c r="E362" s="2" t="s">
        <v>17</v>
      </c>
      <c r="F362" s="2" t="s">
        <v>35</v>
      </c>
      <c r="G362" s="7"/>
      <c r="H362" s="13" t="str">
        <f>IFERROR(IF(ABS($G362)&gt;0,VLOOKUP($E362,'Fuel Category and Heat Rate'!$B$1:$G$34,6,FALSE)*($G362),""),"")</f>
        <v/>
      </c>
      <c r="I362" t="str">
        <f>IFERROR(VLOOKUP($E362,'Fuel Category and Heat Rate'!$K$2:$M$36,3,FALSE),"")</f>
        <v>petroleum diesel</v>
      </c>
    </row>
    <row r="363" spans="1:9" x14ac:dyDescent="0.15">
      <c r="A363" s="2">
        <v>38267</v>
      </c>
      <c r="B363" s="2" t="s">
        <v>67</v>
      </c>
      <c r="C363" s="2">
        <v>2021</v>
      </c>
      <c r="D363" s="2" t="s">
        <v>1</v>
      </c>
      <c r="E363" s="2" t="s">
        <v>13</v>
      </c>
      <c r="F363" s="2" t="s">
        <v>35</v>
      </c>
      <c r="G363" s="7"/>
      <c r="H363" s="13" t="str">
        <f>IFERROR(IF(ABS($G363)&gt;0,VLOOKUP($E363,'Fuel Category and Heat Rate'!$B$1:$G$34,6,FALSE)*($G363),""),"")</f>
        <v/>
      </c>
      <c r="I363" t="str">
        <f>IFERROR(VLOOKUP($E363,'Fuel Category and Heat Rate'!$K$2:$M$36,3,FALSE),"")</f>
        <v>petroleum diesel</v>
      </c>
    </row>
    <row r="364" spans="1:9" x14ac:dyDescent="0.15">
      <c r="A364" s="2">
        <v>38302</v>
      </c>
      <c r="B364" s="2" t="s">
        <v>67</v>
      </c>
      <c r="C364" s="2">
        <v>2021</v>
      </c>
      <c r="D364" s="2" t="s">
        <v>1</v>
      </c>
      <c r="E364" s="2" t="s">
        <v>12</v>
      </c>
      <c r="F364" s="2" t="s">
        <v>36</v>
      </c>
      <c r="G364" s="7"/>
      <c r="H364" s="13" t="str">
        <f>IFERROR(IF(ABS($G364)&gt;0,VLOOKUP($E364,'Fuel Category and Heat Rate'!$B$1:$G$34,6,FALSE)*($G364),""),"")</f>
        <v/>
      </c>
      <c r="I364" t="str">
        <f>IFERROR(VLOOKUP($E364,'Fuel Category and Heat Rate'!$K$2:$M$36,3,FALSE),"")</f>
        <v>LPG propane or butane</v>
      </c>
    </row>
    <row r="365" spans="1:9" x14ac:dyDescent="0.15">
      <c r="A365" s="2">
        <v>38337</v>
      </c>
      <c r="B365" s="2" t="s">
        <v>67</v>
      </c>
      <c r="C365" s="2">
        <v>2021</v>
      </c>
      <c r="D365" s="2" t="s">
        <v>1</v>
      </c>
      <c r="E365" s="2" t="s">
        <v>33</v>
      </c>
      <c r="F365" s="2" t="s">
        <v>38</v>
      </c>
      <c r="G365" s="7">
        <v>-3.36</v>
      </c>
      <c r="H365" s="13">
        <f>IFERROR(IF(ABS($G365)&gt;0,VLOOKUP($E365,'Fuel Category and Heat Rate'!$B$1:$G$34,6,FALSE)*($G365),""),"")</f>
        <v>-932183447918.89441</v>
      </c>
      <c r="I365" t="str">
        <f>IFERROR(VLOOKUP($E365,'Fuel Category and Heat Rate'!$K$2:$M$36,3,FALSE),"")</f>
        <v>biomass</v>
      </c>
    </row>
    <row r="366" spans="1:9" x14ac:dyDescent="0.15">
      <c r="A366" s="2">
        <v>38372</v>
      </c>
      <c r="B366" s="2" t="s">
        <v>67</v>
      </c>
      <c r="C366" s="2">
        <v>2021</v>
      </c>
      <c r="D366" s="2" t="s">
        <v>1</v>
      </c>
      <c r="E366" s="2" t="s">
        <v>28</v>
      </c>
      <c r="F366" s="2" t="s">
        <v>35</v>
      </c>
      <c r="G366" s="7">
        <v>-0.02</v>
      </c>
      <c r="H366" s="13">
        <f>IFERROR(IF(ABS($G366)&gt;0,VLOOKUP($E366,'Fuel Category and Heat Rate'!$B$1:$G$34,6,FALSE)*($G366),""),"")</f>
        <v>-7768309137.3788414</v>
      </c>
      <c r="I366" t="str">
        <f>IFERROR(VLOOKUP($E366,'Fuel Category and Heat Rate'!$K$2:$M$36,3,FALSE),"")</f>
        <v>heavy or residual fuel oil</v>
      </c>
    </row>
    <row r="367" spans="1:9" x14ac:dyDescent="0.15">
      <c r="A367" s="2">
        <v>38407</v>
      </c>
      <c r="B367" s="2" t="s">
        <v>67</v>
      </c>
      <c r="C367" s="2">
        <v>2021</v>
      </c>
      <c r="D367" s="2" t="s">
        <v>1</v>
      </c>
      <c r="E367" s="2" t="s">
        <v>5</v>
      </c>
      <c r="F367" s="2" t="s">
        <v>35</v>
      </c>
      <c r="G367" s="7"/>
      <c r="H367" s="13" t="str">
        <f>IFERROR(IF(ABS($G367)&gt;0,VLOOKUP($E367,'Fuel Category and Heat Rate'!$B$1:$G$34,6,FALSE)*($G367),""),"")</f>
        <v/>
      </c>
      <c r="I367" t="str">
        <f>IFERROR(VLOOKUP($E367,'Fuel Category and Heat Rate'!$K$2:$M$36,3,FALSE),"")</f>
        <v>coal</v>
      </c>
    </row>
    <row r="368" spans="1:9" x14ac:dyDescent="0.15">
      <c r="A368" s="2">
        <v>38442</v>
      </c>
      <c r="B368" s="2" t="s">
        <v>67</v>
      </c>
      <c r="C368" s="2">
        <v>2021</v>
      </c>
      <c r="D368" s="2" t="s">
        <v>1</v>
      </c>
      <c r="E368" s="2" t="s">
        <v>16</v>
      </c>
      <c r="F368" s="2" t="s">
        <v>35</v>
      </c>
      <c r="G368" s="7"/>
      <c r="H368" s="13" t="str">
        <f>IFERROR(IF(ABS($G368)&gt;0,VLOOKUP($E368,'Fuel Category and Heat Rate'!$B$1:$G$34,6,FALSE)*($G368),""),"")</f>
        <v/>
      </c>
      <c r="I368" t="str">
        <f>IFERROR(VLOOKUP($E368,'Fuel Category and Heat Rate'!$K$2:$M$36,3,FALSE),"")</f>
        <v>petroleum diesel</v>
      </c>
    </row>
    <row r="369" spans="1:9" x14ac:dyDescent="0.15">
      <c r="A369" s="2">
        <v>38477</v>
      </c>
      <c r="B369" s="2" t="s">
        <v>67</v>
      </c>
      <c r="C369" s="2">
        <v>2021</v>
      </c>
      <c r="D369" s="2" t="s">
        <v>1</v>
      </c>
      <c r="E369" s="2" t="s">
        <v>19</v>
      </c>
      <c r="F369" s="2" t="s">
        <v>35</v>
      </c>
      <c r="G369" s="7">
        <v>-11.44</v>
      </c>
      <c r="H369" s="13">
        <f>IFERROR(IF(ABS($G369)&gt;0,VLOOKUP($E369,'Fuel Category and Heat Rate'!$B$1:$G$34,6,FALSE)*($G369),""),"")</f>
        <v>-4534120539685.1738</v>
      </c>
      <c r="I369" t="str">
        <f>IFERROR(VLOOKUP($E369,'Fuel Category and Heat Rate'!$K$2:$M$36,3,FALSE),"")</f>
        <v>heavy or residual fuel oil</v>
      </c>
    </row>
    <row r="370" spans="1:9" x14ac:dyDescent="0.15">
      <c r="A370" s="2">
        <v>38512</v>
      </c>
      <c r="B370" s="2" t="s">
        <v>67</v>
      </c>
      <c r="C370" s="2">
        <v>2021</v>
      </c>
      <c r="D370" s="2" t="s">
        <v>1</v>
      </c>
      <c r="E370" s="2" t="s">
        <v>31</v>
      </c>
      <c r="F370" s="2" t="s">
        <v>37</v>
      </c>
      <c r="G370" s="7">
        <v>20912.009999999998</v>
      </c>
      <c r="H370" s="13">
        <f>IFERROR(IF(ABS($G370)&gt;0,VLOOKUP($E370,'Fuel Category and Heat Rate'!$B$1:$G$34,6,FALSE)*($G370),""),"")</f>
        <v>198207611473838.09</v>
      </c>
      <c r="I370" t="str">
        <f>IFERROR(VLOOKUP($E370,'Fuel Category and Heat Rate'!$K$2:$M$36,3,FALSE),"")</f>
        <v>heat</v>
      </c>
    </row>
    <row r="371" spans="1:9" x14ac:dyDescent="0.15">
      <c r="A371" s="2">
        <v>38547</v>
      </c>
      <c r="B371" s="2" t="s">
        <v>67</v>
      </c>
      <c r="C371" s="2">
        <v>2021</v>
      </c>
      <c r="D371" s="2" t="s">
        <v>1</v>
      </c>
      <c r="E371" s="2" t="s">
        <v>23</v>
      </c>
      <c r="F371" s="2" t="s">
        <v>35</v>
      </c>
      <c r="G371" s="7"/>
      <c r="H371" s="13" t="str">
        <f>IFERROR(IF(ABS($G371)&gt;0,VLOOKUP($E371,'Fuel Category and Heat Rate'!$B$1:$G$34,6,FALSE)*($G371),""),"")</f>
        <v/>
      </c>
      <c r="I371" t="str">
        <f>IFERROR(VLOOKUP($E371,'Fuel Category and Heat Rate'!$K$2:$M$36,3,FALSE),"")</f>
        <v>heavy or residual fuel oil</v>
      </c>
    </row>
    <row r="372" spans="1:9" x14ac:dyDescent="0.15">
      <c r="A372" s="2">
        <v>38582</v>
      </c>
      <c r="B372" s="2" t="s">
        <v>67</v>
      </c>
      <c r="C372" s="2">
        <v>2021</v>
      </c>
      <c r="D372" s="2" t="s">
        <v>1</v>
      </c>
      <c r="E372" s="2" t="s">
        <v>21</v>
      </c>
      <c r="F372" s="2" t="s">
        <v>35</v>
      </c>
      <c r="G372" s="7"/>
      <c r="H372" s="13" t="str">
        <f>IFERROR(IF(ABS($G372)&gt;0,VLOOKUP($E372,'Fuel Category and Heat Rate'!$B$1:$G$34,6,FALSE)*($G372),""),"")</f>
        <v/>
      </c>
      <c r="I372" t="str">
        <f>IFERROR(VLOOKUP($E372,'Fuel Category and Heat Rate'!$K$2:$M$36,3,FALSE),"")</f>
        <v>LPG propane or butane</v>
      </c>
    </row>
    <row r="373" spans="1:9" x14ac:dyDescent="0.15">
      <c r="A373" s="2">
        <v>38617</v>
      </c>
      <c r="B373" s="2" t="s">
        <v>67</v>
      </c>
      <c r="C373" s="2">
        <v>2021</v>
      </c>
      <c r="D373" s="2" t="s">
        <v>1</v>
      </c>
      <c r="E373" s="2" t="s">
        <v>22</v>
      </c>
      <c r="F373" s="2" t="s">
        <v>35</v>
      </c>
      <c r="G373" s="7"/>
      <c r="H373" s="13" t="str">
        <f>IFERROR(IF(ABS($G373)&gt;0,VLOOKUP($E373,'Fuel Category and Heat Rate'!$B$1:$G$34,6,FALSE)*($G373),""),"")</f>
        <v/>
      </c>
      <c r="I373" t="str">
        <f>IFERROR(VLOOKUP($E373,'Fuel Category and Heat Rate'!$K$2:$M$36,3,FALSE),"")</f>
        <v>heavy fuel oil</v>
      </c>
    </row>
    <row r="374" spans="1:9" x14ac:dyDescent="0.15">
      <c r="A374" s="2">
        <v>38652</v>
      </c>
      <c r="B374" s="2" t="s">
        <v>67</v>
      </c>
      <c r="C374" s="2">
        <v>2021</v>
      </c>
      <c r="D374" s="2" t="s">
        <v>1</v>
      </c>
      <c r="E374" s="2" t="s">
        <v>20</v>
      </c>
      <c r="F374" s="2" t="s">
        <v>35</v>
      </c>
      <c r="G374" s="7"/>
      <c r="H374" s="13" t="str">
        <f>IFERROR(IF(ABS($G374)&gt;0,VLOOKUP($E374,'Fuel Category and Heat Rate'!$B$1:$G$34,6,FALSE)*($G374),""),"")</f>
        <v/>
      </c>
      <c r="I374" t="str">
        <f>IFERROR(VLOOKUP($E374,'Fuel Category and Heat Rate'!$K$2:$M$36,3,FALSE),"")</f>
        <v>LPG propane or butane</v>
      </c>
    </row>
    <row r="375" spans="1:9" x14ac:dyDescent="0.15">
      <c r="A375" s="2">
        <v>38687</v>
      </c>
      <c r="B375" s="2" t="s">
        <v>67</v>
      </c>
      <c r="C375" s="2">
        <v>2021</v>
      </c>
      <c r="D375" s="2" t="s">
        <v>1</v>
      </c>
      <c r="E375" s="2" t="s">
        <v>25</v>
      </c>
      <c r="F375" s="2" t="s">
        <v>35</v>
      </c>
      <c r="G375" s="7">
        <v>-19.239999999999998</v>
      </c>
      <c r="H375" s="13">
        <f>IFERROR(IF(ABS($G375)&gt;0,VLOOKUP($E375,'Fuel Category and Heat Rate'!$B$1:$G$34,6,FALSE)*($G375),""),"")</f>
        <v>-5825855380073.0068</v>
      </c>
      <c r="I375" t="str">
        <f>IFERROR(VLOOKUP($E375,'Fuel Category and Heat Rate'!$K$2:$M$36,3,FALSE),"")</f>
        <v>heavy fuel oil</v>
      </c>
    </row>
    <row r="376" spans="1:9" x14ac:dyDescent="0.15">
      <c r="A376" s="2">
        <v>38722</v>
      </c>
      <c r="B376" s="2" t="s">
        <v>67</v>
      </c>
      <c r="C376" s="2">
        <v>2021</v>
      </c>
      <c r="D376" s="2" t="s">
        <v>1</v>
      </c>
      <c r="E376" s="2" t="s">
        <v>24</v>
      </c>
      <c r="F376" s="2" t="s">
        <v>35</v>
      </c>
      <c r="G376" s="7"/>
      <c r="H376" s="13" t="str">
        <f>IFERROR(IF(ABS($G376)&gt;0,VLOOKUP($E376,'Fuel Category and Heat Rate'!$B$1:$G$34,6,FALSE)*($G376),""),"")</f>
        <v/>
      </c>
      <c r="I376" t="str">
        <f>IFERROR(VLOOKUP($E376,'Fuel Category and Heat Rate'!$K$2:$M$36,3,FALSE),"")</f>
        <v>heavy fuel oil</v>
      </c>
    </row>
    <row r="377" spans="1:9" x14ac:dyDescent="0.15">
      <c r="A377" s="2">
        <v>38757</v>
      </c>
      <c r="B377" s="2" t="s">
        <v>67</v>
      </c>
      <c r="C377" s="2">
        <v>2021</v>
      </c>
      <c r="D377" s="2" t="s">
        <v>1</v>
      </c>
      <c r="E377" s="2" t="s">
        <v>29</v>
      </c>
      <c r="F377" s="2" t="s">
        <v>36</v>
      </c>
      <c r="G377" s="7">
        <v>-1.46</v>
      </c>
      <c r="H377" s="13">
        <f>IFERROR(IF(ABS($G377)&gt;0,VLOOKUP($E377,'Fuel Category and Heat Rate'!$B$1:$G$34,6,FALSE)*($G377),""),"")</f>
        <v>-4924229366625.4727</v>
      </c>
      <c r="I377" t="str">
        <f>IFERROR(VLOOKUP($E377,'Fuel Category and Heat Rate'!$K$2:$M$36,3,FALSE),"")</f>
        <v>natural gas</v>
      </c>
    </row>
    <row r="378" spans="1:9" x14ac:dyDescent="0.15">
      <c r="A378" s="2">
        <v>38792</v>
      </c>
      <c r="B378" s="2" t="s">
        <v>67</v>
      </c>
      <c r="C378" s="2">
        <v>2021</v>
      </c>
      <c r="D378" s="2" t="s">
        <v>1</v>
      </c>
      <c r="E378" s="2" t="s">
        <v>4</v>
      </c>
      <c r="F378" s="2" t="s">
        <v>35</v>
      </c>
      <c r="G378" s="7"/>
      <c r="H378" s="13" t="str">
        <f>IFERROR(IF(ABS($G378)&gt;0,VLOOKUP($E378,'Fuel Category and Heat Rate'!$B$1:$G$34,6,FALSE)*($G378),""),"")</f>
        <v/>
      </c>
      <c r="I378" t="str">
        <f>IFERROR(VLOOKUP($E378,'Fuel Category and Heat Rate'!$K$2:$M$36,3,FALSE),"")</f>
        <v>coal</v>
      </c>
    </row>
    <row r="379" spans="1:9" x14ac:dyDescent="0.15">
      <c r="A379" s="2">
        <v>38827</v>
      </c>
      <c r="B379" s="2" t="s">
        <v>67</v>
      </c>
      <c r="C379" s="2">
        <v>2021</v>
      </c>
      <c r="D379" s="2" t="s">
        <v>1</v>
      </c>
      <c r="E379" s="2" t="s">
        <v>6</v>
      </c>
      <c r="F379" s="2" t="s">
        <v>35</v>
      </c>
      <c r="G379" s="7"/>
      <c r="H379" s="13" t="str">
        <f>IFERROR(IF(ABS($G379)&gt;0,VLOOKUP($E379,'Fuel Category and Heat Rate'!$B$1:$G$34,6,FALSE)*($G379),""),"")</f>
        <v/>
      </c>
      <c r="I379" t="str">
        <f>IFERROR(VLOOKUP($E379,'Fuel Category and Heat Rate'!$K$2:$M$36,3,FALSE),"")</f>
        <v>coal</v>
      </c>
    </row>
    <row r="380" spans="1:9" x14ac:dyDescent="0.15">
      <c r="A380" s="2">
        <v>38862</v>
      </c>
      <c r="B380" s="2" t="s">
        <v>67</v>
      </c>
      <c r="C380" s="2">
        <v>2021</v>
      </c>
      <c r="D380" s="2" t="s">
        <v>1</v>
      </c>
      <c r="E380" s="2" t="s">
        <v>26</v>
      </c>
      <c r="F380" s="2" t="s">
        <v>35</v>
      </c>
      <c r="G380" s="7">
        <v>-2.09</v>
      </c>
      <c r="H380" s="13">
        <f>IFERROR(IF(ABS($G380)&gt;0,VLOOKUP($E380,'Fuel Category and Heat Rate'!$B$1:$G$34,6,FALSE)*($G380),""),"")</f>
        <v>-994014771824.63843</v>
      </c>
      <c r="I380" t="str">
        <f>IFERROR(VLOOKUP($E380,'Fuel Category and Heat Rate'!$K$2:$M$36,3,FALSE),"")</f>
        <v>LPG propane or butane</v>
      </c>
    </row>
    <row r="381" spans="1:9" x14ac:dyDescent="0.15">
      <c r="A381" s="2">
        <v>38897</v>
      </c>
      <c r="B381" s="2" t="s">
        <v>67</v>
      </c>
      <c r="C381" s="2">
        <v>2021</v>
      </c>
      <c r="D381" s="2" t="s">
        <v>1</v>
      </c>
      <c r="E381" s="2" t="s">
        <v>30</v>
      </c>
      <c r="F381" s="2" t="s">
        <v>35</v>
      </c>
      <c r="G381" s="7"/>
      <c r="H381" s="13" t="str">
        <f>IFERROR(IF(ABS($G381)&gt;0,VLOOKUP($E381,'Fuel Category and Heat Rate'!$B$1:$G$34,6,FALSE)*($G381),""),"")</f>
        <v/>
      </c>
      <c r="I381" t="str">
        <f>IFERROR(VLOOKUP($E381,'Fuel Category and Heat Rate'!$K$2:$M$36,3,FALSE),"")</f>
        <v>natural gas</v>
      </c>
    </row>
    <row r="382" spans="1:9" x14ac:dyDescent="0.15">
      <c r="A382" s="2">
        <v>38932</v>
      </c>
      <c r="B382" s="2" t="s">
        <v>67</v>
      </c>
      <c r="C382" s="2">
        <v>2021</v>
      </c>
      <c r="D382" s="2" t="s">
        <v>1</v>
      </c>
      <c r="E382" s="2" t="s">
        <v>14</v>
      </c>
      <c r="F382" s="2" t="s">
        <v>35</v>
      </c>
      <c r="G382" s="7">
        <v>-41.69</v>
      </c>
      <c r="H382" s="13">
        <f>IFERROR(IF(ABS($G382)&gt;0,VLOOKUP($E382,'Fuel Category and Heat Rate'!$B$1:$G$34,6,FALSE)*($G382),""),"")</f>
        <v>0</v>
      </c>
      <c r="I382" t="str">
        <f>IFERROR(VLOOKUP($E382,'Fuel Category and Heat Rate'!$K$2:$M$36,3,FALSE),"")</f>
        <v/>
      </c>
    </row>
    <row r="383" spans="1:9" x14ac:dyDescent="0.15">
      <c r="A383" s="2">
        <v>38967</v>
      </c>
      <c r="B383" s="2" t="s">
        <v>67</v>
      </c>
      <c r="C383" s="2">
        <v>2021</v>
      </c>
      <c r="D383" s="2" t="s">
        <v>1</v>
      </c>
      <c r="E383" s="2" t="s">
        <v>3</v>
      </c>
      <c r="F383" s="2" t="s">
        <v>35</v>
      </c>
      <c r="G383" s="7">
        <v>-1036.46</v>
      </c>
      <c r="H383" s="13">
        <f>IFERROR(IF(ABS($G383)&gt;0,VLOOKUP($E383,'Fuel Category and Heat Rate'!$B$1:$G$34,6,FALSE)*($G383),""),"")</f>
        <v>-205394867769322.38</v>
      </c>
      <c r="I383" t="str">
        <f>IFERROR(VLOOKUP($E383,'Fuel Category and Heat Rate'!$K$2:$M$36,3,FALSE),"")</f>
        <v>coal</v>
      </c>
    </row>
    <row r="384" spans="1:9" x14ac:dyDescent="0.15">
      <c r="A384" s="2">
        <v>39002</v>
      </c>
      <c r="B384" s="2" t="s">
        <v>67</v>
      </c>
      <c r="C384" s="2">
        <v>2021</v>
      </c>
      <c r="D384" s="2" t="s">
        <v>1</v>
      </c>
      <c r="E384" s="2" t="s">
        <v>15</v>
      </c>
      <c r="F384" s="2" t="s">
        <v>35</v>
      </c>
      <c r="G384" s="7"/>
      <c r="H384" s="13" t="str">
        <f>IFERROR(IF(ABS($G384)&gt;0,VLOOKUP($E384,'Fuel Category and Heat Rate'!$B$1:$G$34,6,FALSE)*($G384),""),"")</f>
        <v/>
      </c>
      <c r="I384" t="str">
        <f>IFERROR(VLOOKUP($E384,'Fuel Category and Heat Rate'!$K$2:$M$36,3,FALSE),"")</f>
        <v>crude oil</v>
      </c>
    </row>
    <row r="385" spans="1:9" x14ac:dyDescent="0.15">
      <c r="A385" s="2">
        <v>39037</v>
      </c>
      <c r="B385" s="2" t="s">
        <v>67</v>
      </c>
      <c r="C385" s="2">
        <v>2021</v>
      </c>
      <c r="D385" s="2" t="s">
        <v>1</v>
      </c>
      <c r="E385" s="2" t="s">
        <v>11</v>
      </c>
      <c r="F385" s="2" t="s">
        <v>36</v>
      </c>
      <c r="G385" s="7">
        <v>-0.76</v>
      </c>
      <c r="H385" s="13">
        <f>IFERROR(IF(ABS($G385)&gt;0,VLOOKUP($E385,'Fuel Category and Heat Rate'!$B$1:$G$34,6,FALSE)*($G385),""),"")</f>
        <v>-572310935008.79602</v>
      </c>
      <c r="I385" t="str">
        <f>IFERROR(VLOOKUP($E385,'Fuel Category and Heat Rate'!$K$2:$M$36,3,FALSE),"")</f>
        <v>LPG propane or butane</v>
      </c>
    </row>
    <row r="386" spans="1:9" x14ac:dyDescent="0.15">
      <c r="A386" s="2">
        <v>39072</v>
      </c>
      <c r="B386" s="2" t="s">
        <v>67</v>
      </c>
      <c r="C386" s="2">
        <v>2020</v>
      </c>
      <c r="D386" s="2" t="s">
        <v>1</v>
      </c>
      <c r="E386" s="2" t="s">
        <v>18</v>
      </c>
      <c r="F386" s="2" t="s">
        <v>35</v>
      </c>
      <c r="G386" s="7">
        <v>-0.6</v>
      </c>
      <c r="H386" s="13">
        <f>IFERROR(IF(ABS($G386)&gt;0,VLOOKUP($E386,'Fuel Category and Heat Rate'!$B$1:$G$34,6,FALSE)*($G386),""),"")</f>
        <v>-242557775495.96069</v>
      </c>
      <c r="I386" t="str">
        <f>IFERROR(VLOOKUP($E386,'Fuel Category and Heat Rate'!$K$2:$M$36,3,FALSE),"")</f>
        <v>petroleum diesel</v>
      </c>
    </row>
    <row r="387" spans="1:9" x14ac:dyDescent="0.15">
      <c r="A387" s="2">
        <v>39107</v>
      </c>
      <c r="B387" s="2" t="s">
        <v>67</v>
      </c>
      <c r="C387" s="2">
        <v>2020</v>
      </c>
      <c r="D387" s="2" t="s">
        <v>1</v>
      </c>
      <c r="E387" s="2" t="s">
        <v>32</v>
      </c>
      <c r="F387" s="2" t="s">
        <v>65</v>
      </c>
      <c r="G387" s="7"/>
      <c r="H387" s="13" t="str">
        <f>IFERROR(IF(ABS($G387)&gt;0,VLOOKUP($E387,'Fuel Category and Heat Rate'!$B$1:$G$34,6,FALSE)*($G387),""),"")</f>
        <v/>
      </c>
      <c r="I387" t="str">
        <f>IFERROR(VLOOKUP($E387,'Fuel Category and Heat Rate'!$K$2:$M$36,3,FALSE),"")</f>
        <v>electricity</v>
      </c>
    </row>
    <row r="388" spans="1:9" x14ac:dyDescent="0.15">
      <c r="A388" s="2">
        <v>39142</v>
      </c>
      <c r="B388" s="2" t="s">
        <v>67</v>
      </c>
      <c r="C388" s="2">
        <v>2020</v>
      </c>
      <c r="D388" s="2" t="s">
        <v>1</v>
      </c>
      <c r="E388" s="2" t="s">
        <v>10</v>
      </c>
      <c r="F388" s="2" t="s">
        <v>36</v>
      </c>
      <c r="G388" s="7">
        <v>-14.4</v>
      </c>
      <c r="H388" s="13">
        <f>IFERROR(IF(ABS($G388)&gt;0,VLOOKUP($E388,'Fuel Category and Heat Rate'!$B$1:$G$34,6,FALSE)*($G388),""),"")</f>
        <v>-5135955598938.1982</v>
      </c>
      <c r="I388" t="str">
        <f>IFERROR(VLOOKUP($E388,'Fuel Category and Heat Rate'!$K$2:$M$36,3,FALSE),"")</f>
        <v>LPG propane or butane</v>
      </c>
    </row>
    <row r="389" spans="1:9" x14ac:dyDescent="0.15">
      <c r="A389" s="2">
        <v>39177</v>
      </c>
      <c r="B389" s="2" t="s">
        <v>67</v>
      </c>
      <c r="C389" s="2">
        <v>2020</v>
      </c>
      <c r="D389" s="2" t="s">
        <v>1</v>
      </c>
      <c r="E389" s="2" t="s">
        <v>9</v>
      </c>
      <c r="F389" s="2" t="s">
        <v>36</v>
      </c>
      <c r="G389" s="7">
        <v>-0.4</v>
      </c>
      <c r="H389" s="13">
        <f>IFERROR(IF(ABS($G389)&gt;0,VLOOKUP($E389,'Fuel Category and Heat Rate'!$B$1:$G$34,6,FALSE)*($G389),""),"")</f>
        <v>-657917777528.08069</v>
      </c>
      <c r="I389" t="str">
        <f>IFERROR(VLOOKUP($E389,'Fuel Category and Heat Rate'!$K$2:$M$36,3,FALSE),"")</f>
        <v>LPG propane or butane</v>
      </c>
    </row>
    <row r="390" spans="1:9" x14ac:dyDescent="0.15">
      <c r="A390" s="2">
        <v>39212</v>
      </c>
      <c r="B390" s="2" t="s">
        <v>67</v>
      </c>
      <c r="C390" s="2">
        <v>2020</v>
      </c>
      <c r="D390" s="2" t="s">
        <v>1</v>
      </c>
      <c r="E390" s="2" t="s">
        <v>8</v>
      </c>
      <c r="F390" s="2" t="s">
        <v>35</v>
      </c>
      <c r="G390" s="7"/>
      <c r="H390" s="13" t="str">
        <f>IFERROR(IF(ABS($G390)&gt;0,VLOOKUP($E390,'Fuel Category and Heat Rate'!$B$1:$G$34,6,FALSE)*($G390),""),"")</f>
        <v/>
      </c>
      <c r="I390" t="str">
        <f>IFERROR(VLOOKUP($E390,'Fuel Category and Heat Rate'!$K$2:$M$36,3,FALSE),"")</f>
        <v>coal</v>
      </c>
    </row>
    <row r="391" spans="1:9" x14ac:dyDescent="0.15">
      <c r="A391" s="2">
        <v>39247</v>
      </c>
      <c r="B391" s="2" t="s">
        <v>67</v>
      </c>
      <c r="C391" s="2">
        <v>2020</v>
      </c>
      <c r="D391" s="2" t="s">
        <v>1</v>
      </c>
      <c r="E391" s="2" t="s">
        <v>27</v>
      </c>
      <c r="F391" s="2" t="s">
        <v>35</v>
      </c>
      <c r="G391" s="7">
        <v>-4.1900000000000004</v>
      </c>
      <c r="H391" s="13">
        <f>IFERROR(IF(ABS($G391)&gt;0,VLOOKUP($E391,'Fuel Category and Heat Rate'!$B$1:$G$34,6,FALSE)*($G391),""),"")</f>
        <v>-1826743295153.5222</v>
      </c>
      <c r="I391" t="str">
        <f>IFERROR(VLOOKUP($E391,'Fuel Category and Heat Rate'!$K$2:$M$36,3,FALSE),"")</f>
        <v>LPG propane or butane</v>
      </c>
    </row>
    <row r="392" spans="1:9" x14ac:dyDescent="0.15">
      <c r="A392" s="2">
        <v>39282</v>
      </c>
      <c r="B392" s="2" t="s">
        <v>67</v>
      </c>
      <c r="C392" s="2">
        <v>2020</v>
      </c>
      <c r="D392" s="2" t="s">
        <v>1</v>
      </c>
      <c r="E392" s="2" t="s">
        <v>7</v>
      </c>
      <c r="F392" s="2" t="s">
        <v>35</v>
      </c>
      <c r="G392" s="7"/>
      <c r="H392" s="13" t="str">
        <f>IFERROR(IF(ABS($G392)&gt;0,VLOOKUP($E392,'Fuel Category and Heat Rate'!$B$1:$G$34,6,FALSE)*($G392),""),"")</f>
        <v/>
      </c>
      <c r="I392" t="str">
        <f>IFERROR(VLOOKUP($E392,'Fuel Category and Heat Rate'!$K$2:$M$36,3,FALSE),"")</f>
        <v>coal</v>
      </c>
    </row>
    <row r="393" spans="1:9" x14ac:dyDescent="0.15">
      <c r="A393" s="2">
        <v>39317</v>
      </c>
      <c r="B393" s="2" t="s">
        <v>67</v>
      </c>
      <c r="C393" s="2">
        <v>2020</v>
      </c>
      <c r="D393" s="2" t="s">
        <v>1</v>
      </c>
      <c r="E393" s="2" t="s">
        <v>2</v>
      </c>
      <c r="F393" s="2" t="s">
        <v>35</v>
      </c>
      <c r="G393" s="7">
        <v>-747.94</v>
      </c>
      <c r="H393" s="13">
        <f>IFERROR(IF(ABS($G393)&gt;0,VLOOKUP($E393,'Fuel Category and Heat Rate'!$B$1:$G$34,6,FALSE)*($G393),""),"")</f>
        <v>0</v>
      </c>
      <c r="I393" t="str">
        <f>IFERROR(VLOOKUP($E393,'Fuel Category and Heat Rate'!$K$2:$M$36,3,FALSE),"")</f>
        <v/>
      </c>
    </row>
    <row r="394" spans="1:9" x14ac:dyDescent="0.15">
      <c r="A394" s="2">
        <v>39352</v>
      </c>
      <c r="B394" s="2" t="s">
        <v>67</v>
      </c>
      <c r="C394" s="2">
        <v>2020</v>
      </c>
      <c r="D394" s="2" t="s">
        <v>1</v>
      </c>
      <c r="E394" s="2" t="s">
        <v>17</v>
      </c>
      <c r="F394" s="2" t="s">
        <v>35</v>
      </c>
      <c r="G394" s="7"/>
      <c r="H394" s="13" t="str">
        <f>IFERROR(IF(ABS($G394)&gt;0,VLOOKUP($E394,'Fuel Category and Heat Rate'!$B$1:$G$34,6,FALSE)*($G394),""),"")</f>
        <v/>
      </c>
      <c r="I394" t="str">
        <f>IFERROR(VLOOKUP($E394,'Fuel Category and Heat Rate'!$K$2:$M$36,3,FALSE),"")</f>
        <v>petroleum diesel</v>
      </c>
    </row>
    <row r="395" spans="1:9" x14ac:dyDescent="0.15">
      <c r="A395" s="2">
        <v>39387</v>
      </c>
      <c r="B395" s="2" t="s">
        <v>67</v>
      </c>
      <c r="C395" s="2">
        <v>2020</v>
      </c>
      <c r="D395" s="2" t="s">
        <v>1</v>
      </c>
      <c r="E395" s="2" t="s">
        <v>13</v>
      </c>
      <c r="F395" s="2" t="s">
        <v>35</v>
      </c>
      <c r="G395" s="7"/>
      <c r="H395" s="13" t="str">
        <f>IFERROR(IF(ABS($G395)&gt;0,VLOOKUP($E395,'Fuel Category and Heat Rate'!$B$1:$G$34,6,FALSE)*($G395),""),"")</f>
        <v/>
      </c>
      <c r="I395" t="str">
        <f>IFERROR(VLOOKUP($E395,'Fuel Category and Heat Rate'!$K$2:$M$36,3,FALSE),"")</f>
        <v>petroleum diesel</v>
      </c>
    </row>
    <row r="396" spans="1:9" x14ac:dyDescent="0.15">
      <c r="A396" s="2">
        <v>39422</v>
      </c>
      <c r="B396" s="2" t="s">
        <v>67</v>
      </c>
      <c r="C396" s="2">
        <v>2020</v>
      </c>
      <c r="D396" s="2" t="s">
        <v>1</v>
      </c>
      <c r="E396" s="2" t="s">
        <v>12</v>
      </c>
      <c r="F396" s="2" t="s">
        <v>36</v>
      </c>
      <c r="G396" s="7"/>
      <c r="H396" s="13" t="str">
        <f>IFERROR(IF(ABS($G396)&gt;0,VLOOKUP($E396,'Fuel Category and Heat Rate'!$B$1:$G$34,6,FALSE)*($G396),""),"")</f>
        <v/>
      </c>
      <c r="I396" t="str">
        <f>IFERROR(VLOOKUP($E396,'Fuel Category and Heat Rate'!$K$2:$M$36,3,FALSE),"")</f>
        <v>LPG propane or butane</v>
      </c>
    </row>
    <row r="397" spans="1:9" x14ac:dyDescent="0.15">
      <c r="A397" s="2">
        <v>39457</v>
      </c>
      <c r="B397" s="2" t="s">
        <v>67</v>
      </c>
      <c r="C397" s="2">
        <v>2020</v>
      </c>
      <c r="D397" s="2" t="s">
        <v>1</v>
      </c>
      <c r="E397" s="2" t="s">
        <v>33</v>
      </c>
      <c r="F397" s="2" t="s">
        <v>38</v>
      </c>
      <c r="G397" s="7">
        <v>-2.27</v>
      </c>
      <c r="H397" s="13">
        <f>IFERROR(IF(ABS($G397)&gt;0,VLOOKUP($E397,'Fuel Category and Heat Rate'!$B$1:$G$34,6,FALSE)*($G397),""),"")</f>
        <v>-629778698445.20544</v>
      </c>
      <c r="I397" t="str">
        <f>IFERROR(VLOOKUP($E397,'Fuel Category and Heat Rate'!$K$2:$M$36,3,FALSE),"")</f>
        <v>biomass</v>
      </c>
    </row>
    <row r="398" spans="1:9" x14ac:dyDescent="0.15">
      <c r="A398" s="2">
        <v>39492</v>
      </c>
      <c r="B398" s="2" t="s">
        <v>67</v>
      </c>
      <c r="C398" s="2">
        <v>2020</v>
      </c>
      <c r="D398" s="2" t="s">
        <v>1</v>
      </c>
      <c r="E398" s="2" t="s">
        <v>28</v>
      </c>
      <c r="F398" s="2" t="s">
        <v>35</v>
      </c>
      <c r="G398" s="7"/>
      <c r="H398" s="13" t="str">
        <f>IFERROR(IF(ABS($G398)&gt;0,VLOOKUP($E398,'Fuel Category and Heat Rate'!$B$1:$G$34,6,FALSE)*($G398),""),"")</f>
        <v/>
      </c>
      <c r="I398" t="str">
        <f>IFERROR(VLOOKUP($E398,'Fuel Category and Heat Rate'!$K$2:$M$36,3,FALSE),"")</f>
        <v>heavy or residual fuel oil</v>
      </c>
    </row>
    <row r="399" spans="1:9" x14ac:dyDescent="0.15">
      <c r="A399" s="2">
        <v>39527</v>
      </c>
      <c r="B399" s="2" t="s">
        <v>67</v>
      </c>
      <c r="C399" s="2">
        <v>2020</v>
      </c>
      <c r="D399" s="2" t="s">
        <v>1</v>
      </c>
      <c r="E399" s="2" t="s">
        <v>5</v>
      </c>
      <c r="F399" s="2" t="s">
        <v>35</v>
      </c>
      <c r="G399" s="7"/>
      <c r="H399" s="13" t="str">
        <f>IFERROR(IF(ABS($G399)&gt;0,VLOOKUP($E399,'Fuel Category and Heat Rate'!$B$1:$G$34,6,FALSE)*($G399),""),"")</f>
        <v/>
      </c>
      <c r="I399" t="str">
        <f>IFERROR(VLOOKUP($E399,'Fuel Category and Heat Rate'!$K$2:$M$36,3,FALSE),"")</f>
        <v>coal</v>
      </c>
    </row>
    <row r="400" spans="1:9" x14ac:dyDescent="0.15">
      <c r="A400" s="2">
        <v>39562</v>
      </c>
      <c r="B400" s="2" t="s">
        <v>67</v>
      </c>
      <c r="C400" s="2">
        <v>2020</v>
      </c>
      <c r="D400" s="2" t="s">
        <v>1</v>
      </c>
      <c r="E400" s="2" t="s">
        <v>16</v>
      </c>
      <c r="F400" s="2" t="s">
        <v>35</v>
      </c>
      <c r="G400" s="7"/>
      <c r="H400" s="13" t="str">
        <f>IFERROR(IF(ABS($G400)&gt;0,VLOOKUP($E400,'Fuel Category and Heat Rate'!$B$1:$G$34,6,FALSE)*($G400),""),"")</f>
        <v/>
      </c>
      <c r="I400" t="str">
        <f>IFERROR(VLOOKUP($E400,'Fuel Category and Heat Rate'!$K$2:$M$36,3,FALSE),"")</f>
        <v>petroleum diesel</v>
      </c>
    </row>
    <row r="401" spans="1:9" x14ac:dyDescent="0.15">
      <c r="A401" s="2">
        <v>39597</v>
      </c>
      <c r="B401" s="2" t="s">
        <v>67</v>
      </c>
      <c r="C401" s="2">
        <v>2020</v>
      </c>
      <c r="D401" s="2" t="s">
        <v>1</v>
      </c>
      <c r="E401" s="2" t="s">
        <v>19</v>
      </c>
      <c r="F401" s="2" t="s">
        <v>35</v>
      </c>
      <c r="G401" s="7">
        <v>-7.83</v>
      </c>
      <c r="H401" s="13">
        <f>IFERROR(IF(ABS($G401)&gt;0,VLOOKUP($E401,'Fuel Category and Heat Rate'!$B$1:$G$34,6,FALSE)*($G401),""),"")</f>
        <v>-3103335998753.0518</v>
      </c>
      <c r="I401" t="str">
        <f>IFERROR(VLOOKUP($E401,'Fuel Category and Heat Rate'!$K$2:$M$36,3,FALSE),"")</f>
        <v>heavy or residual fuel oil</v>
      </c>
    </row>
    <row r="402" spans="1:9" x14ac:dyDescent="0.15">
      <c r="A402" s="2">
        <v>39632</v>
      </c>
      <c r="B402" s="2" t="s">
        <v>67</v>
      </c>
      <c r="C402" s="2">
        <v>2020</v>
      </c>
      <c r="D402" s="2" t="s">
        <v>1</v>
      </c>
      <c r="E402" s="2" t="s">
        <v>31</v>
      </c>
      <c r="F402" s="2" t="s">
        <v>37</v>
      </c>
      <c r="G402" s="7">
        <v>15367.52</v>
      </c>
      <c r="H402" s="13">
        <f>IFERROR(IF(ABS($G402)&gt;0,VLOOKUP($E402,'Fuel Category and Heat Rate'!$B$1:$G$34,6,FALSE)*($G402),""),"")</f>
        <v>145655985889277.81</v>
      </c>
      <c r="I402" t="str">
        <f>IFERROR(VLOOKUP($E402,'Fuel Category and Heat Rate'!$K$2:$M$36,3,FALSE),"")</f>
        <v>heat</v>
      </c>
    </row>
    <row r="403" spans="1:9" x14ac:dyDescent="0.15">
      <c r="A403" s="2">
        <v>39667</v>
      </c>
      <c r="B403" s="2" t="s">
        <v>67</v>
      </c>
      <c r="C403" s="2">
        <v>2020</v>
      </c>
      <c r="D403" s="2" t="s">
        <v>1</v>
      </c>
      <c r="E403" s="2" t="s">
        <v>23</v>
      </c>
      <c r="F403" s="2" t="s">
        <v>35</v>
      </c>
      <c r="G403" s="7"/>
      <c r="H403" s="13" t="str">
        <f>IFERROR(IF(ABS($G403)&gt;0,VLOOKUP($E403,'Fuel Category and Heat Rate'!$B$1:$G$34,6,FALSE)*($G403),""),"")</f>
        <v/>
      </c>
      <c r="I403" t="str">
        <f>IFERROR(VLOOKUP($E403,'Fuel Category and Heat Rate'!$K$2:$M$36,3,FALSE),"")</f>
        <v>heavy or residual fuel oil</v>
      </c>
    </row>
    <row r="404" spans="1:9" x14ac:dyDescent="0.15">
      <c r="A404" s="2">
        <v>39702</v>
      </c>
      <c r="B404" s="2" t="s">
        <v>67</v>
      </c>
      <c r="C404" s="2">
        <v>2020</v>
      </c>
      <c r="D404" s="2" t="s">
        <v>1</v>
      </c>
      <c r="E404" s="2" t="s">
        <v>21</v>
      </c>
      <c r="F404" s="2" t="s">
        <v>35</v>
      </c>
      <c r="G404" s="7"/>
      <c r="H404" s="13" t="str">
        <f>IFERROR(IF(ABS($G404)&gt;0,VLOOKUP($E404,'Fuel Category and Heat Rate'!$B$1:$G$34,6,FALSE)*($G404),""),"")</f>
        <v/>
      </c>
      <c r="I404" t="str">
        <f>IFERROR(VLOOKUP($E404,'Fuel Category and Heat Rate'!$K$2:$M$36,3,FALSE),"")</f>
        <v>LPG propane or butane</v>
      </c>
    </row>
    <row r="405" spans="1:9" x14ac:dyDescent="0.15">
      <c r="A405" s="2">
        <v>39737</v>
      </c>
      <c r="B405" s="2" t="s">
        <v>67</v>
      </c>
      <c r="C405" s="2">
        <v>2020</v>
      </c>
      <c r="D405" s="2" t="s">
        <v>1</v>
      </c>
      <c r="E405" s="2" t="s">
        <v>22</v>
      </c>
      <c r="F405" s="2" t="s">
        <v>35</v>
      </c>
      <c r="G405" s="7"/>
      <c r="H405" s="13" t="str">
        <f>IFERROR(IF(ABS($G405)&gt;0,VLOOKUP($E405,'Fuel Category and Heat Rate'!$B$1:$G$34,6,FALSE)*($G405),""),"")</f>
        <v/>
      </c>
      <c r="I405" t="str">
        <f>IFERROR(VLOOKUP($E405,'Fuel Category and Heat Rate'!$K$2:$M$36,3,FALSE),"")</f>
        <v>heavy fuel oil</v>
      </c>
    </row>
    <row r="406" spans="1:9" x14ac:dyDescent="0.15">
      <c r="A406" s="2">
        <v>39772</v>
      </c>
      <c r="B406" s="2" t="s">
        <v>67</v>
      </c>
      <c r="C406" s="2">
        <v>2020</v>
      </c>
      <c r="D406" s="2" t="s">
        <v>1</v>
      </c>
      <c r="E406" s="2" t="s">
        <v>20</v>
      </c>
      <c r="F406" s="2" t="s">
        <v>35</v>
      </c>
      <c r="G406" s="7"/>
      <c r="H406" s="13" t="str">
        <f>IFERROR(IF(ABS($G406)&gt;0,VLOOKUP($E406,'Fuel Category and Heat Rate'!$B$1:$G$34,6,FALSE)*($G406),""),"")</f>
        <v/>
      </c>
      <c r="I406" t="str">
        <f>IFERROR(VLOOKUP($E406,'Fuel Category and Heat Rate'!$K$2:$M$36,3,FALSE),"")</f>
        <v>LPG propane or butane</v>
      </c>
    </row>
    <row r="407" spans="1:9" x14ac:dyDescent="0.15">
      <c r="A407" s="2">
        <v>39807</v>
      </c>
      <c r="B407" s="2" t="s">
        <v>67</v>
      </c>
      <c r="C407" s="2">
        <v>2020</v>
      </c>
      <c r="D407" s="2" t="s">
        <v>1</v>
      </c>
      <c r="E407" s="2" t="s">
        <v>25</v>
      </c>
      <c r="F407" s="2" t="s">
        <v>35</v>
      </c>
      <c r="G407" s="7">
        <v>-16.68</v>
      </c>
      <c r="H407" s="13">
        <f>IFERROR(IF(ABS($G407)&gt;0,VLOOKUP($E407,'Fuel Category and Heat Rate'!$B$1:$G$34,6,FALSE)*($G407),""),"")</f>
        <v>-5050689591456.2246</v>
      </c>
      <c r="I407" t="str">
        <f>IFERROR(VLOOKUP($E407,'Fuel Category and Heat Rate'!$K$2:$M$36,3,FALSE),"")</f>
        <v>heavy fuel oil</v>
      </c>
    </row>
    <row r="408" spans="1:9" x14ac:dyDescent="0.15">
      <c r="A408" s="2">
        <v>39842</v>
      </c>
      <c r="B408" s="2" t="s">
        <v>67</v>
      </c>
      <c r="C408" s="2">
        <v>2020</v>
      </c>
      <c r="D408" s="2" t="s">
        <v>1</v>
      </c>
      <c r="E408" s="2" t="s">
        <v>24</v>
      </c>
      <c r="F408" s="2" t="s">
        <v>35</v>
      </c>
      <c r="G408" s="7"/>
      <c r="H408" s="13" t="str">
        <f>IFERROR(IF(ABS($G408)&gt;0,VLOOKUP($E408,'Fuel Category and Heat Rate'!$B$1:$G$34,6,FALSE)*($G408),""),"")</f>
        <v/>
      </c>
      <c r="I408" t="str">
        <f>IFERROR(VLOOKUP($E408,'Fuel Category and Heat Rate'!$K$2:$M$36,3,FALSE),"")</f>
        <v>heavy fuel oil</v>
      </c>
    </row>
    <row r="409" spans="1:9" x14ac:dyDescent="0.15">
      <c r="A409" s="2">
        <v>39877</v>
      </c>
      <c r="B409" s="2" t="s">
        <v>67</v>
      </c>
      <c r="C409" s="2">
        <v>2020</v>
      </c>
      <c r="D409" s="2" t="s">
        <v>1</v>
      </c>
      <c r="E409" s="2" t="s">
        <v>29</v>
      </c>
      <c r="F409" s="2" t="s">
        <v>36</v>
      </c>
      <c r="G409" s="7">
        <v>-0.52</v>
      </c>
      <c r="H409" s="13">
        <f>IFERROR(IF(ABS($G409)&gt;0,VLOOKUP($E409,'Fuel Category and Heat Rate'!$B$1:$G$34,6,FALSE)*($G409),""),"")</f>
        <v>-1753835116880.3054</v>
      </c>
      <c r="I409" t="str">
        <f>IFERROR(VLOOKUP($E409,'Fuel Category and Heat Rate'!$K$2:$M$36,3,FALSE),"")</f>
        <v>natural gas</v>
      </c>
    </row>
    <row r="410" spans="1:9" x14ac:dyDescent="0.15">
      <c r="A410" s="2">
        <v>39912</v>
      </c>
      <c r="B410" s="2" t="s">
        <v>67</v>
      </c>
      <c r="C410" s="2">
        <v>2020</v>
      </c>
      <c r="D410" s="2" t="s">
        <v>1</v>
      </c>
      <c r="E410" s="2" t="s">
        <v>4</v>
      </c>
      <c r="F410" s="2" t="s">
        <v>35</v>
      </c>
      <c r="G410" s="7"/>
      <c r="H410" s="13" t="str">
        <f>IFERROR(IF(ABS($G410)&gt;0,VLOOKUP($E410,'Fuel Category and Heat Rate'!$B$1:$G$34,6,FALSE)*($G410),""),"")</f>
        <v/>
      </c>
      <c r="I410" t="str">
        <f>IFERROR(VLOOKUP($E410,'Fuel Category and Heat Rate'!$K$2:$M$36,3,FALSE),"")</f>
        <v>coal</v>
      </c>
    </row>
    <row r="411" spans="1:9" x14ac:dyDescent="0.15">
      <c r="A411" s="2">
        <v>39947</v>
      </c>
      <c r="B411" s="2" t="s">
        <v>67</v>
      </c>
      <c r="C411" s="2">
        <v>2020</v>
      </c>
      <c r="D411" s="2" t="s">
        <v>1</v>
      </c>
      <c r="E411" s="2" t="s">
        <v>6</v>
      </c>
      <c r="F411" s="2" t="s">
        <v>35</v>
      </c>
      <c r="G411" s="7"/>
      <c r="H411" s="13" t="str">
        <f>IFERROR(IF(ABS($G411)&gt;0,VLOOKUP($E411,'Fuel Category and Heat Rate'!$B$1:$G$34,6,FALSE)*($G411),""),"")</f>
        <v/>
      </c>
      <c r="I411" t="str">
        <f>IFERROR(VLOOKUP($E411,'Fuel Category and Heat Rate'!$K$2:$M$36,3,FALSE),"")</f>
        <v>coal</v>
      </c>
    </row>
    <row r="412" spans="1:9" x14ac:dyDescent="0.15">
      <c r="A412" s="2">
        <v>39982</v>
      </c>
      <c r="B412" s="2" t="s">
        <v>67</v>
      </c>
      <c r="C412" s="2">
        <v>2020</v>
      </c>
      <c r="D412" s="2" t="s">
        <v>1</v>
      </c>
      <c r="E412" s="2" t="s">
        <v>26</v>
      </c>
      <c r="F412" s="2" t="s">
        <v>35</v>
      </c>
      <c r="G412" s="7"/>
      <c r="H412" s="13" t="str">
        <f>IFERROR(IF(ABS($G412)&gt;0,VLOOKUP($E412,'Fuel Category and Heat Rate'!$B$1:$G$34,6,FALSE)*($G412),""),"")</f>
        <v/>
      </c>
      <c r="I412" t="str">
        <f>IFERROR(VLOOKUP($E412,'Fuel Category and Heat Rate'!$K$2:$M$36,3,FALSE),"")</f>
        <v>LPG propane or butane</v>
      </c>
    </row>
    <row r="413" spans="1:9" x14ac:dyDescent="0.15">
      <c r="A413" s="2">
        <v>40017</v>
      </c>
      <c r="B413" s="2" t="s">
        <v>67</v>
      </c>
      <c r="C413" s="2">
        <v>2020</v>
      </c>
      <c r="D413" s="2" t="s">
        <v>1</v>
      </c>
      <c r="E413" s="2" t="s">
        <v>30</v>
      </c>
      <c r="F413" s="2" t="s">
        <v>35</v>
      </c>
      <c r="G413" s="7"/>
      <c r="H413" s="13" t="str">
        <f>IFERROR(IF(ABS($G413)&gt;0,VLOOKUP($E413,'Fuel Category and Heat Rate'!$B$1:$G$34,6,FALSE)*($G413),""),"")</f>
        <v/>
      </c>
      <c r="I413" t="str">
        <f>IFERROR(VLOOKUP($E413,'Fuel Category and Heat Rate'!$K$2:$M$36,3,FALSE),"")</f>
        <v>natural gas</v>
      </c>
    </row>
    <row r="414" spans="1:9" x14ac:dyDescent="0.15">
      <c r="A414" s="2">
        <v>40052</v>
      </c>
      <c r="B414" s="2" t="s">
        <v>67</v>
      </c>
      <c r="C414" s="2">
        <v>2020</v>
      </c>
      <c r="D414" s="2" t="s">
        <v>1</v>
      </c>
      <c r="E414" s="2" t="s">
        <v>14</v>
      </c>
      <c r="F414" s="2" t="s">
        <v>35</v>
      </c>
      <c r="G414" s="7">
        <v>-29.3</v>
      </c>
      <c r="H414" s="13">
        <f>IFERROR(IF(ABS($G414)&gt;0,VLOOKUP($E414,'Fuel Category and Heat Rate'!$B$1:$G$34,6,FALSE)*($G414),""),"")</f>
        <v>0</v>
      </c>
      <c r="I414" t="str">
        <f>IFERROR(VLOOKUP($E414,'Fuel Category and Heat Rate'!$K$2:$M$36,3,FALSE),"")</f>
        <v/>
      </c>
    </row>
    <row r="415" spans="1:9" x14ac:dyDescent="0.15">
      <c r="A415" s="2">
        <v>40087</v>
      </c>
      <c r="B415" s="2" t="s">
        <v>67</v>
      </c>
      <c r="C415" s="2">
        <v>2020</v>
      </c>
      <c r="D415" s="2" t="s">
        <v>1</v>
      </c>
      <c r="E415" s="2" t="s">
        <v>3</v>
      </c>
      <c r="F415" s="2" t="s">
        <v>35</v>
      </c>
      <c r="G415" s="7">
        <v>-747.94</v>
      </c>
      <c r="H415" s="13">
        <f>IFERROR(IF(ABS($G415)&gt;0,VLOOKUP($E415,'Fuel Category and Heat Rate'!$B$1:$G$34,6,FALSE)*($G415),""),"")</f>
        <v>-148218973621159.5</v>
      </c>
      <c r="I415" t="str">
        <f>IFERROR(VLOOKUP($E415,'Fuel Category and Heat Rate'!$K$2:$M$36,3,FALSE),"")</f>
        <v>coal</v>
      </c>
    </row>
    <row r="416" spans="1:9" x14ac:dyDescent="0.15">
      <c r="A416" s="2">
        <v>40122</v>
      </c>
      <c r="B416" s="2" t="s">
        <v>67</v>
      </c>
      <c r="C416" s="2">
        <v>2020</v>
      </c>
      <c r="D416" s="2" t="s">
        <v>1</v>
      </c>
      <c r="E416" s="2" t="s">
        <v>15</v>
      </c>
      <c r="F416" s="2" t="s">
        <v>35</v>
      </c>
      <c r="G416" s="7"/>
      <c r="H416" s="13" t="str">
        <f>IFERROR(IF(ABS($G416)&gt;0,VLOOKUP($E416,'Fuel Category and Heat Rate'!$B$1:$G$34,6,FALSE)*($G416),""),"")</f>
        <v/>
      </c>
      <c r="I416" t="str">
        <f>IFERROR(VLOOKUP($E416,'Fuel Category and Heat Rate'!$K$2:$M$36,3,FALSE),"")</f>
        <v>crude oil</v>
      </c>
    </row>
    <row r="417" spans="1:9" x14ac:dyDescent="0.15">
      <c r="A417" s="2">
        <v>40157</v>
      </c>
      <c r="B417" s="2" t="s">
        <v>67</v>
      </c>
      <c r="C417" s="2">
        <v>2020</v>
      </c>
      <c r="D417" s="2" t="s">
        <v>1</v>
      </c>
      <c r="E417" s="2" t="s">
        <v>11</v>
      </c>
      <c r="F417" s="2" t="s">
        <v>36</v>
      </c>
      <c r="G417" s="7">
        <v>-1.03</v>
      </c>
      <c r="H417" s="13">
        <f>IFERROR(IF(ABS($G417)&gt;0,VLOOKUP($E417,'Fuel Category and Heat Rate'!$B$1:$G$34,6,FALSE)*($G417),""),"")</f>
        <v>-775631925077.71045</v>
      </c>
      <c r="I417" t="str">
        <f>IFERROR(VLOOKUP($E417,'Fuel Category and Heat Rate'!$K$2:$M$36,3,FALSE),"")</f>
        <v>LPG propane or butane</v>
      </c>
    </row>
    <row r="418" spans="1:9" x14ac:dyDescent="0.15">
      <c r="A418" s="2">
        <v>40192</v>
      </c>
      <c r="B418" s="2" t="s">
        <v>67</v>
      </c>
      <c r="C418" s="2">
        <v>2019</v>
      </c>
      <c r="D418" s="2" t="s">
        <v>1</v>
      </c>
      <c r="E418" s="2" t="s">
        <v>18</v>
      </c>
      <c r="F418" s="2" t="s">
        <v>35</v>
      </c>
      <c r="G418" s="7">
        <v>-2.15</v>
      </c>
      <c r="H418" s="13">
        <f>IFERROR(IF(ABS($G418)&gt;0,VLOOKUP($E418,'Fuel Category and Heat Rate'!$B$1:$G$34,6,FALSE)*($G418),""),"")</f>
        <v>-869165362193.85913</v>
      </c>
      <c r="I418" t="str">
        <f>IFERROR(VLOOKUP($E418,'Fuel Category and Heat Rate'!$K$2:$M$36,3,FALSE),"")</f>
        <v>petroleum diesel</v>
      </c>
    </row>
    <row r="419" spans="1:9" x14ac:dyDescent="0.15">
      <c r="A419" s="2">
        <v>40227</v>
      </c>
      <c r="B419" s="2" t="s">
        <v>67</v>
      </c>
      <c r="C419" s="2">
        <v>2019</v>
      </c>
      <c r="D419" s="2" t="s">
        <v>1</v>
      </c>
      <c r="E419" s="2" t="s">
        <v>32</v>
      </c>
      <c r="F419" s="2" t="s">
        <v>65</v>
      </c>
      <c r="G419" s="7"/>
      <c r="H419" s="13" t="str">
        <f>IFERROR(IF(ABS($G419)&gt;0,VLOOKUP($E419,'Fuel Category and Heat Rate'!$B$1:$G$34,6,FALSE)*($G419),""),"")</f>
        <v/>
      </c>
      <c r="I419" t="str">
        <f>IFERROR(VLOOKUP($E419,'Fuel Category and Heat Rate'!$K$2:$M$36,3,FALSE),"")</f>
        <v>electricity</v>
      </c>
    </row>
    <row r="420" spans="1:9" x14ac:dyDescent="0.15">
      <c r="A420" s="2">
        <v>40262</v>
      </c>
      <c r="B420" s="2" t="s">
        <v>67</v>
      </c>
      <c r="C420" s="2">
        <v>2019</v>
      </c>
      <c r="D420" s="2" t="s">
        <v>1</v>
      </c>
      <c r="E420" s="2" t="s">
        <v>10</v>
      </c>
      <c r="F420" s="2" t="s">
        <v>36</v>
      </c>
      <c r="G420" s="7">
        <v>-17.63</v>
      </c>
      <c r="H420" s="13">
        <f>IFERROR(IF(ABS($G420)&gt;0,VLOOKUP($E420,'Fuel Category and Heat Rate'!$B$1:$G$34,6,FALSE)*($G420),""),"")</f>
        <v>-6287978972866.6963</v>
      </c>
      <c r="I420" t="str">
        <f>IFERROR(VLOOKUP($E420,'Fuel Category and Heat Rate'!$K$2:$M$36,3,FALSE),"")</f>
        <v>LPG propane or butane</v>
      </c>
    </row>
    <row r="421" spans="1:9" x14ac:dyDescent="0.15">
      <c r="A421" s="2">
        <v>40297</v>
      </c>
      <c r="B421" s="2" t="s">
        <v>67</v>
      </c>
      <c r="C421" s="2">
        <v>2019</v>
      </c>
      <c r="D421" s="2" t="s">
        <v>1</v>
      </c>
      <c r="E421" s="2" t="s">
        <v>9</v>
      </c>
      <c r="F421" s="2" t="s">
        <v>36</v>
      </c>
      <c r="G421" s="7">
        <v>-0.39</v>
      </c>
      <c r="H421" s="13">
        <f>IFERROR(IF(ABS($G421)&gt;0,VLOOKUP($E421,'Fuel Category and Heat Rate'!$B$1:$G$34,6,FALSE)*($G421),""),"")</f>
        <v>-641469833089.87866</v>
      </c>
      <c r="I421" t="str">
        <f>IFERROR(VLOOKUP($E421,'Fuel Category and Heat Rate'!$K$2:$M$36,3,FALSE),"")</f>
        <v>LPG propane or butane</v>
      </c>
    </row>
    <row r="422" spans="1:9" x14ac:dyDescent="0.15">
      <c r="A422" s="2">
        <v>40332</v>
      </c>
      <c r="B422" s="2" t="s">
        <v>67</v>
      </c>
      <c r="C422" s="2">
        <v>2019</v>
      </c>
      <c r="D422" s="2" t="s">
        <v>1</v>
      </c>
      <c r="E422" s="2" t="s">
        <v>8</v>
      </c>
      <c r="F422" s="2" t="s">
        <v>35</v>
      </c>
      <c r="G422" s="7"/>
      <c r="H422" s="13" t="str">
        <f>IFERROR(IF(ABS($G422)&gt;0,VLOOKUP($E422,'Fuel Category and Heat Rate'!$B$1:$G$34,6,FALSE)*($G422),""),"")</f>
        <v/>
      </c>
      <c r="I422" t="str">
        <f>IFERROR(VLOOKUP($E422,'Fuel Category and Heat Rate'!$K$2:$M$36,3,FALSE),"")</f>
        <v>coal</v>
      </c>
    </row>
    <row r="423" spans="1:9" x14ac:dyDescent="0.15">
      <c r="A423" s="2">
        <v>40367</v>
      </c>
      <c r="B423" s="2" t="s">
        <v>67</v>
      </c>
      <c r="C423" s="2">
        <v>2019</v>
      </c>
      <c r="D423" s="2" t="s">
        <v>1</v>
      </c>
      <c r="E423" s="2" t="s">
        <v>27</v>
      </c>
      <c r="F423" s="2" t="s">
        <v>35</v>
      </c>
      <c r="G423" s="7">
        <v>-3.69</v>
      </c>
      <c r="H423" s="13">
        <f>IFERROR(IF(ABS($G423)&gt;0,VLOOKUP($E423,'Fuel Category and Heat Rate'!$B$1:$G$34,6,FALSE)*($G423),""),"")</f>
        <v>-1608754835111.3357</v>
      </c>
      <c r="I423" t="str">
        <f>IFERROR(VLOOKUP($E423,'Fuel Category and Heat Rate'!$K$2:$M$36,3,FALSE),"")</f>
        <v>LPG propane or butane</v>
      </c>
    </row>
    <row r="424" spans="1:9" x14ac:dyDescent="0.15">
      <c r="A424" s="2">
        <v>40402</v>
      </c>
      <c r="B424" s="2" t="s">
        <v>67</v>
      </c>
      <c r="C424" s="2">
        <v>2019</v>
      </c>
      <c r="D424" s="2" t="s">
        <v>1</v>
      </c>
      <c r="E424" s="2" t="s">
        <v>7</v>
      </c>
      <c r="F424" s="2" t="s">
        <v>35</v>
      </c>
      <c r="G424" s="7"/>
      <c r="H424" s="13" t="str">
        <f>IFERROR(IF(ABS($G424)&gt;0,VLOOKUP($E424,'Fuel Category and Heat Rate'!$B$1:$G$34,6,FALSE)*($G424),""),"")</f>
        <v/>
      </c>
      <c r="I424" t="str">
        <f>IFERROR(VLOOKUP($E424,'Fuel Category and Heat Rate'!$K$2:$M$36,3,FALSE),"")</f>
        <v>coal</v>
      </c>
    </row>
    <row r="425" spans="1:9" x14ac:dyDescent="0.15">
      <c r="A425" s="2">
        <v>40437</v>
      </c>
      <c r="B425" s="2" t="s">
        <v>67</v>
      </c>
      <c r="C425" s="2">
        <v>2019</v>
      </c>
      <c r="D425" s="2" t="s">
        <v>1</v>
      </c>
      <c r="E425" s="2" t="s">
        <v>2</v>
      </c>
      <c r="F425" s="2" t="s">
        <v>35</v>
      </c>
      <c r="G425" s="7">
        <v>-661.88</v>
      </c>
      <c r="H425" s="13">
        <f>IFERROR(IF(ABS($G425)&gt;0,VLOOKUP($E425,'Fuel Category and Heat Rate'!$B$1:$G$34,6,FALSE)*($G425),""),"")</f>
        <v>0</v>
      </c>
      <c r="I425" t="str">
        <f>IFERROR(VLOOKUP($E425,'Fuel Category and Heat Rate'!$K$2:$M$36,3,FALSE),"")</f>
        <v/>
      </c>
    </row>
    <row r="426" spans="1:9" x14ac:dyDescent="0.15">
      <c r="A426" s="2">
        <v>40472</v>
      </c>
      <c r="B426" s="2" t="s">
        <v>67</v>
      </c>
      <c r="C426" s="2">
        <v>2019</v>
      </c>
      <c r="D426" s="2" t="s">
        <v>1</v>
      </c>
      <c r="E426" s="2" t="s">
        <v>17</v>
      </c>
      <c r="F426" s="2" t="s">
        <v>35</v>
      </c>
      <c r="G426" s="7"/>
      <c r="H426" s="13" t="str">
        <f>IFERROR(IF(ABS($G426)&gt;0,VLOOKUP($E426,'Fuel Category and Heat Rate'!$B$1:$G$34,6,FALSE)*($G426),""),"")</f>
        <v/>
      </c>
      <c r="I426" t="str">
        <f>IFERROR(VLOOKUP($E426,'Fuel Category and Heat Rate'!$K$2:$M$36,3,FALSE),"")</f>
        <v>petroleum diesel</v>
      </c>
    </row>
    <row r="427" spans="1:9" x14ac:dyDescent="0.15">
      <c r="A427" s="2">
        <v>40507</v>
      </c>
      <c r="B427" s="2" t="s">
        <v>67</v>
      </c>
      <c r="C427" s="2">
        <v>2019</v>
      </c>
      <c r="D427" s="2" t="s">
        <v>1</v>
      </c>
      <c r="E427" s="2" t="s">
        <v>13</v>
      </c>
      <c r="F427" s="2" t="s">
        <v>35</v>
      </c>
      <c r="G427" s="7"/>
      <c r="H427" s="13" t="str">
        <f>IFERROR(IF(ABS($G427)&gt;0,VLOOKUP($E427,'Fuel Category and Heat Rate'!$B$1:$G$34,6,FALSE)*($G427),""),"")</f>
        <v/>
      </c>
      <c r="I427" t="str">
        <f>IFERROR(VLOOKUP($E427,'Fuel Category and Heat Rate'!$K$2:$M$36,3,FALSE),"")</f>
        <v>petroleum diesel</v>
      </c>
    </row>
    <row r="428" spans="1:9" x14ac:dyDescent="0.15">
      <c r="A428" s="2">
        <v>40542</v>
      </c>
      <c r="B428" s="2" t="s">
        <v>67</v>
      </c>
      <c r="C428" s="2">
        <v>2019</v>
      </c>
      <c r="D428" s="2" t="s">
        <v>1</v>
      </c>
      <c r="E428" s="2" t="s">
        <v>12</v>
      </c>
      <c r="F428" s="2" t="s">
        <v>36</v>
      </c>
      <c r="G428" s="7"/>
      <c r="H428" s="13" t="str">
        <f>IFERROR(IF(ABS($G428)&gt;0,VLOOKUP($E428,'Fuel Category and Heat Rate'!$B$1:$G$34,6,FALSE)*($G428),""),"")</f>
        <v/>
      </c>
      <c r="I428" t="str">
        <f>IFERROR(VLOOKUP($E428,'Fuel Category and Heat Rate'!$K$2:$M$36,3,FALSE),"")</f>
        <v>LPG propane or butane</v>
      </c>
    </row>
    <row r="429" spans="1:9" x14ac:dyDescent="0.15">
      <c r="A429" s="2">
        <v>40577</v>
      </c>
      <c r="B429" s="2" t="s">
        <v>67</v>
      </c>
      <c r="C429" s="2">
        <v>2019</v>
      </c>
      <c r="D429" s="2" t="s">
        <v>1</v>
      </c>
      <c r="E429" s="2" t="s">
        <v>33</v>
      </c>
      <c r="F429" s="2" t="s">
        <v>38</v>
      </c>
      <c r="G429" s="7">
        <v>-2.13</v>
      </c>
      <c r="H429" s="13">
        <f>IFERROR(IF(ABS($G429)&gt;0,VLOOKUP($E429,'Fuel Category and Heat Rate'!$B$1:$G$34,6,FALSE)*($G429),""),"")</f>
        <v>-590937721448.58484</v>
      </c>
      <c r="I429" t="str">
        <f>IFERROR(VLOOKUP($E429,'Fuel Category and Heat Rate'!$K$2:$M$36,3,FALSE),"")</f>
        <v>biomass</v>
      </c>
    </row>
    <row r="430" spans="1:9" x14ac:dyDescent="0.15">
      <c r="A430" s="2">
        <v>40612</v>
      </c>
      <c r="B430" s="2" t="s">
        <v>67</v>
      </c>
      <c r="C430" s="2">
        <v>2019</v>
      </c>
      <c r="D430" s="2" t="s">
        <v>1</v>
      </c>
      <c r="E430" s="2" t="s">
        <v>28</v>
      </c>
      <c r="F430" s="2" t="s">
        <v>35</v>
      </c>
      <c r="G430" s="7"/>
      <c r="H430" s="13" t="str">
        <f>IFERROR(IF(ABS($G430)&gt;0,VLOOKUP($E430,'Fuel Category and Heat Rate'!$B$1:$G$34,6,FALSE)*($G430),""),"")</f>
        <v/>
      </c>
      <c r="I430" t="str">
        <f>IFERROR(VLOOKUP($E430,'Fuel Category and Heat Rate'!$K$2:$M$36,3,FALSE),"")</f>
        <v>heavy or residual fuel oil</v>
      </c>
    </row>
    <row r="431" spans="1:9" x14ac:dyDescent="0.15">
      <c r="A431" s="2">
        <v>40647</v>
      </c>
      <c r="B431" s="2" t="s">
        <v>67</v>
      </c>
      <c r="C431" s="2">
        <v>2019</v>
      </c>
      <c r="D431" s="2" t="s">
        <v>1</v>
      </c>
      <c r="E431" s="2" t="s">
        <v>5</v>
      </c>
      <c r="F431" s="2" t="s">
        <v>35</v>
      </c>
      <c r="G431" s="7"/>
      <c r="H431" s="13" t="str">
        <f>IFERROR(IF(ABS($G431)&gt;0,VLOOKUP($E431,'Fuel Category and Heat Rate'!$B$1:$G$34,6,FALSE)*($G431),""),"")</f>
        <v/>
      </c>
      <c r="I431" t="str">
        <f>IFERROR(VLOOKUP($E431,'Fuel Category and Heat Rate'!$K$2:$M$36,3,FALSE),"")</f>
        <v>coal</v>
      </c>
    </row>
    <row r="432" spans="1:9" x14ac:dyDescent="0.15">
      <c r="A432" s="2">
        <v>40682</v>
      </c>
      <c r="B432" s="2" t="s">
        <v>67</v>
      </c>
      <c r="C432" s="2">
        <v>2019</v>
      </c>
      <c r="D432" s="2" t="s">
        <v>1</v>
      </c>
      <c r="E432" s="2" t="s">
        <v>16</v>
      </c>
      <c r="F432" s="2" t="s">
        <v>35</v>
      </c>
      <c r="G432" s="7"/>
      <c r="H432" s="13" t="str">
        <f>IFERROR(IF(ABS($G432)&gt;0,VLOOKUP($E432,'Fuel Category and Heat Rate'!$B$1:$G$34,6,FALSE)*($G432),""),"")</f>
        <v/>
      </c>
      <c r="I432" t="str">
        <f>IFERROR(VLOOKUP($E432,'Fuel Category and Heat Rate'!$K$2:$M$36,3,FALSE),"")</f>
        <v>petroleum diesel</v>
      </c>
    </row>
    <row r="433" spans="1:9" x14ac:dyDescent="0.15">
      <c r="A433" s="2">
        <v>40717</v>
      </c>
      <c r="B433" s="2" t="s">
        <v>67</v>
      </c>
      <c r="C433" s="2">
        <v>2019</v>
      </c>
      <c r="D433" s="2" t="s">
        <v>1</v>
      </c>
      <c r="E433" s="2" t="s">
        <v>19</v>
      </c>
      <c r="F433" s="2" t="s">
        <v>35</v>
      </c>
      <c r="G433" s="7">
        <v>-5.99</v>
      </c>
      <c r="H433" s="13">
        <f>IFERROR(IF(ABS($G433)&gt;0,VLOOKUP($E433,'Fuel Category and Heat Rate'!$B$1:$G$34,6,FALSE)*($G433),""),"")</f>
        <v>-2374071856006.4854</v>
      </c>
      <c r="I433" t="str">
        <f>IFERROR(VLOOKUP($E433,'Fuel Category and Heat Rate'!$K$2:$M$36,3,FALSE),"")</f>
        <v>heavy or residual fuel oil</v>
      </c>
    </row>
    <row r="434" spans="1:9" x14ac:dyDescent="0.15">
      <c r="A434" s="2">
        <v>40752</v>
      </c>
      <c r="B434" s="2" t="s">
        <v>67</v>
      </c>
      <c r="C434" s="2">
        <v>2019</v>
      </c>
      <c r="D434" s="2" t="s">
        <v>1</v>
      </c>
      <c r="E434" s="2" t="s">
        <v>31</v>
      </c>
      <c r="F434" s="2" t="s">
        <v>37</v>
      </c>
      <c r="G434" s="7">
        <v>13090.78</v>
      </c>
      <c r="H434" s="13">
        <f>IFERROR(IF(ABS($G434)&gt;0,VLOOKUP($E434,'Fuel Category and Heat Rate'!$B$1:$G$34,6,FALSE)*($G434),""),"")</f>
        <v>124076654330668.86</v>
      </c>
      <c r="I434" t="str">
        <f>IFERROR(VLOOKUP($E434,'Fuel Category and Heat Rate'!$K$2:$M$36,3,FALSE),"")</f>
        <v>heat</v>
      </c>
    </row>
    <row r="435" spans="1:9" x14ac:dyDescent="0.15">
      <c r="A435" s="2">
        <v>40787</v>
      </c>
      <c r="B435" s="2" t="s">
        <v>67</v>
      </c>
      <c r="C435" s="2">
        <v>2019</v>
      </c>
      <c r="D435" s="2" t="s">
        <v>1</v>
      </c>
      <c r="E435" s="2" t="s">
        <v>23</v>
      </c>
      <c r="F435" s="2" t="s">
        <v>35</v>
      </c>
      <c r="G435" s="7"/>
      <c r="H435" s="13" t="str">
        <f>IFERROR(IF(ABS($G435)&gt;0,VLOOKUP($E435,'Fuel Category and Heat Rate'!$B$1:$G$34,6,FALSE)*($G435),""),"")</f>
        <v/>
      </c>
      <c r="I435" t="str">
        <f>IFERROR(VLOOKUP($E435,'Fuel Category and Heat Rate'!$K$2:$M$36,3,FALSE),"")</f>
        <v>heavy or residual fuel oil</v>
      </c>
    </row>
    <row r="436" spans="1:9" x14ac:dyDescent="0.15">
      <c r="A436" s="2">
        <v>40822</v>
      </c>
      <c r="B436" s="2" t="s">
        <v>67</v>
      </c>
      <c r="C436" s="2">
        <v>2019</v>
      </c>
      <c r="D436" s="2" t="s">
        <v>1</v>
      </c>
      <c r="E436" s="2" t="s">
        <v>21</v>
      </c>
      <c r="F436" s="2" t="s">
        <v>35</v>
      </c>
      <c r="G436" s="7"/>
      <c r="H436" s="13" t="str">
        <f>IFERROR(IF(ABS($G436)&gt;0,VLOOKUP($E436,'Fuel Category and Heat Rate'!$B$1:$G$34,6,FALSE)*($G436),""),"")</f>
        <v/>
      </c>
      <c r="I436" t="str">
        <f>IFERROR(VLOOKUP($E436,'Fuel Category and Heat Rate'!$K$2:$M$36,3,FALSE),"")</f>
        <v>LPG propane or butane</v>
      </c>
    </row>
    <row r="437" spans="1:9" x14ac:dyDescent="0.15">
      <c r="A437" s="2">
        <v>40857</v>
      </c>
      <c r="B437" s="2" t="s">
        <v>67</v>
      </c>
      <c r="C437" s="2">
        <v>2019</v>
      </c>
      <c r="D437" s="2" t="s">
        <v>1</v>
      </c>
      <c r="E437" s="2" t="s">
        <v>22</v>
      </c>
      <c r="F437" s="2" t="s">
        <v>35</v>
      </c>
      <c r="G437" s="7"/>
      <c r="H437" s="13" t="str">
        <f>IFERROR(IF(ABS($G437)&gt;0,VLOOKUP($E437,'Fuel Category and Heat Rate'!$B$1:$G$34,6,FALSE)*($G437),""),"")</f>
        <v/>
      </c>
      <c r="I437" t="str">
        <f>IFERROR(VLOOKUP($E437,'Fuel Category and Heat Rate'!$K$2:$M$36,3,FALSE),"")</f>
        <v>heavy fuel oil</v>
      </c>
    </row>
    <row r="438" spans="1:9" x14ac:dyDescent="0.15">
      <c r="A438" s="2">
        <v>40892</v>
      </c>
      <c r="B438" s="2" t="s">
        <v>67</v>
      </c>
      <c r="C438" s="2">
        <v>2019</v>
      </c>
      <c r="D438" s="2" t="s">
        <v>1</v>
      </c>
      <c r="E438" s="2" t="s">
        <v>20</v>
      </c>
      <c r="F438" s="2" t="s">
        <v>35</v>
      </c>
      <c r="G438" s="7"/>
      <c r="H438" s="13" t="str">
        <f>IFERROR(IF(ABS($G438)&gt;0,VLOOKUP($E438,'Fuel Category and Heat Rate'!$B$1:$G$34,6,FALSE)*($G438),""),"")</f>
        <v/>
      </c>
      <c r="I438" t="str">
        <f>IFERROR(VLOOKUP($E438,'Fuel Category and Heat Rate'!$K$2:$M$36,3,FALSE),"")</f>
        <v>LPG propane or butane</v>
      </c>
    </row>
    <row r="439" spans="1:9" x14ac:dyDescent="0.15">
      <c r="A439" s="2">
        <v>40927</v>
      </c>
      <c r="B439" s="2" t="s">
        <v>67</v>
      </c>
      <c r="C439" s="2">
        <v>2019</v>
      </c>
      <c r="D439" s="2" t="s">
        <v>1</v>
      </c>
      <c r="E439" s="2" t="s">
        <v>25</v>
      </c>
      <c r="F439" s="2" t="s">
        <v>35</v>
      </c>
      <c r="G439" s="7">
        <v>-4.32</v>
      </c>
      <c r="H439" s="13">
        <f>IFERROR(IF(ABS($G439)&gt;0,VLOOKUP($E439,'Fuel Category and Heat Rate'!$B$1:$G$34,6,FALSE)*($G439),""),"")</f>
        <v>-1308092268290.8208</v>
      </c>
      <c r="I439" t="str">
        <f>IFERROR(VLOOKUP($E439,'Fuel Category and Heat Rate'!$K$2:$M$36,3,FALSE),"")</f>
        <v>heavy fuel oil</v>
      </c>
    </row>
    <row r="440" spans="1:9" x14ac:dyDescent="0.15">
      <c r="A440" s="2">
        <v>40962</v>
      </c>
      <c r="B440" s="2" t="s">
        <v>67</v>
      </c>
      <c r="C440" s="2">
        <v>2019</v>
      </c>
      <c r="D440" s="2" t="s">
        <v>1</v>
      </c>
      <c r="E440" s="2" t="s">
        <v>24</v>
      </c>
      <c r="F440" s="2" t="s">
        <v>35</v>
      </c>
      <c r="G440" s="7"/>
      <c r="H440" s="13" t="str">
        <f>IFERROR(IF(ABS($G440)&gt;0,VLOOKUP($E440,'Fuel Category and Heat Rate'!$B$1:$G$34,6,FALSE)*($G440),""),"")</f>
        <v/>
      </c>
      <c r="I440" t="str">
        <f>IFERROR(VLOOKUP($E440,'Fuel Category and Heat Rate'!$K$2:$M$36,3,FALSE),"")</f>
        <v>heavy fuel oil</v>
      </c>
    </row>
    <row r="441" spans="1:9" x14ac:dyDescent="0.15">
      <c r="A441" s="2">
        <v>40997</v>
      </c>
      <c r="B441" s="2" t="s">
        <v>67</v>
      </c>
      <c r="C441" s="2">
        <v>2019</v>
      </c>
      <c r="D441" s="2" t="s">
        <v>1</v>
      </c>
      <c r="E441" s="2" t="s">
        <v>29</v>
      </c>
      <c r="F441" s="2" t="s">
        <v>36</v>
      </c>
      <c r="G441" s="7">
        <v>-0.33</v>
      </c>
      <c r="H441" s="13">
        <f>IFERROR(IF(ABS($G441)&gt;0,VLOOKUP($E441,'Fuel Category and Heat Rate'!$B$1:$G$34,6,FALSE)*($G441),""),"")</f>
        <v>-1113010747250.9631</v>
      </c>
      <c r="I441" t="str">
        <f>IFERROR(VLOOKUP($E441,'Fuel Category and Heat Rate'!$K$2:$M$36,3,FALSE),"")</f>
        <v>natural gas</v>
      </c>
    </row>
    <row r="442" spans="1:9" x14ac:dyDescent="0.15">
      <c r="A442" s="2">
        <v>41032</v>
      </c>
      <c r="B442" s="2" t="s">
        <v>67</v>
      </c>
      <c r="C442" s="2">
        <v>2019</v>
      </c>
      <c r="D442" s="2" t="s">
        <v>1</v>
      </c>
      <c r="E442" s="2" t="s">
        <v>4</v>
      </c>
      <c r="F442" s="2" t="s">
        <v>35</v>
      </c>
      <c r="G442" s="7"/>
      <c r="H442" s="13" t="str">
        <f>IFERROR(IF(ABS($G442)&gt;0,VLOOKUP($E442,'Fuel Category and Heat Rate'!$B$1:$G$34,6,FALSE)*($G442),""),"")</f>
        <v/>
      </c>
      <c r="I442" t="str">
        <f>IFERROR(VLOOKUP($E442,'Fuel Category and Heat Rate'!$K$2:$M$36,3,FALSE),"")</f>
        <v>coal</v>
      </c>
    </row>
    <row r="443" spans="1:9" x14ac:dyDescent="0.15">
      <c r="A443" s="2">
        <v>41067</v>
      </c>
      <c r="B443" s="2" t="s">
        <v>67</v>
      </c>
      <c r="C443" s="2">
        <v>2019</v>
      </c>
      <c r="D443" s="2" t="s">
        <v>1</v>
      </c>
      <c r="E443" s="2" t="s">
        <v>6</v>
      </c>
      <c r="F443" s="2" t="s">
        <v>35</v>
      </c>
      <c r="G443" s="7"/>
      <c r="H443" s="13" t="str">
        <f>IFERROR(IF(ABS($G443)&gt;0,VLOOKUP($E443,'Fuel Category and Heat Rate'!$B$1:$G$34,6,FALSE)*($G443),""),"")</f>
        <v/>
      </c>
      <c r="I443" t="str">
        <f>IFERROR(VLOOKUP($E443,'Fuel Category and Heat Rate'!$K$2:$M$36,3,FALSE),"")</f>
        <v>coal</v>
      </c>
    </row>
    <row r="444" spans="1:9" x14ac:dyDescent="0.15">
      <c r="A444" s="2">
        <v>41102</v>
      </c>
      <c r="B444" s="2" t="s">
        <v>67</v>
      </c>
      <c r="C444" s="2">
        <v>2019</v>
      </c>
      <c r="D444" s="2" t="s">
        <v>1</v>
      </c>
      <c r="E444" s="2" t="s">
        <v>26</v>
      </c>
      <c r="F444" s="2" t="s">
        <v>35</v>
      </c>
      <c r="G444" s="7"/>
      <c r="H444" s="13" t="str">
        <f>IFERROR(IF(ABS($G444)&gt;0,VLOOKUP($E444,'Fuel Category and Heat Rate'!$B$1:$G$34,6,FALSE)*($G444),""),"")</f>
        <v/>
      </c>
      <c r="I444" t="str">
        <f>IFERROR(VLOOKUP($E444,'Fuel Category and Heat Rate'!$K$2:$M$36,3,FALSE),"")</f>
        <v>LPG propane or butane</v>
      </c>
    </row>
    <row r="445" spans="1:9" x14ac:dyDescent="0.15">
      <c r="A445" s="2">
        <v>41137</v>
      </c>
      <c r="B445" s="2" t="s">
        <v>67</v>
      </c>
      <c r="C445" s="2">
        <v>2019</v>
      </c>
      <c r="D445" s="2" t="s">
        <v>1</v>
      </c>
      <c r="E445" s="2" t="s">
        <v>30</v>
      </c>
      <c r="F445" s="2" t="s">
        <v>35</v>
      </c>
      <c r="G445" s="7"/>
      <c r="H445" s="13" t="str">
        <f>IFERROR(IF(ABS($G445)&gt;0,VLOOKUP($E445,'Fuel Category and Heat Rate'!$B$1:$G$34,6,FALSE)*($G445),""),"")</f>
        <v/>
      </c>
      <c r="I445" t="str">
        <f>IFERROR(VLOOKUP($E445,'Fuel Category and Heat Rate'!$K$2:$M$36,3,FALSE),"")</f>
        <v>natural gas</v>
      </c>
    </row>
    <row r="446" spans="1:9" x14ac:dyDescent="0.15">
      <c r="A446" s="2">
        <v>41172</v>
      </c>
      <c r="B446" s="2" t="s">
        <v>67</v>
      </c>
      <c r="C446" s="2">
        <v>2019</v>
      </c>
      <c r="D446" s="2" t="s">
        <v>1</v>
      </c>
      <c r="E446" s="2" t="s">
        <v>14</v>
      </c>
      <c r="F446" s="2" t="s">
        <v>35</v>
      </c>
      <c r="G446" s="7">
        <v>-16.149999999999999</v>
      </c>
      <c r="H446" s="13">
        <f>IFERROR(IF(ABS($G446)&gt;0,VLOOKUP($E446,'Fuel Category and Heat Rate'!$B$1:$G$34,6,FALSE)*($G446),""),"")</f>
        <v>0</v>
      </c>
      <c r="I446" t="str">
        <f>IFERROR(VLOOKUP($E446,'Fuel Category and Heat Rate'!$K$2:$M$36,3,FALSE),"")</f>
        <v/>
      </c>
    </row>
    <row r="447" spans="1:9" x14ac:dyDescent="0.15">
      <c r="A447" s="2">
        <v>41207</v>
      </c>
      <c r="B447" s="2" t="s">
        <v>67</v>
      </c>
      <c r="C447" s="2">
        <v>2019</v>
      </c>
      <c r="D447" s="2" t="s">
        <v>1</v>
      </c>
      <c r="E447" s="2" t="s">
        <v>3</v>
      </c>
      <c r="F447" s="2" t="s">
        <v>35</v>
      </c>
      <c r="G447" s="7">
        <v>-661.88</v>
      </c>
      <c r="H447" s="13">
        <f>IFERROR(IF(ABS($G447)&gt;0,VLOOKUP($E447,'Fuel Category and Heat Rate'!$B$1:$G$34,6,FALSE)*($G447),""),"")</f>
        <v>-131164497500298.2</v>
      </c>
      <c r="I447" t="str">
        <f>IFERROR(VLOOKUP($E447,'Fuel Category and Heat Rate'!$K$2:$M$36,3,FALSE),"")</f>
        <v>coal</v>
      </c>
    </row>
    <row r="448" spans="1:9" x14ac:dyDescent="0.15">
      <c r="A448" s="2">
        <v>41242</v>
      </c>
      <c r="B448" s="2" t="s">
        <v>67</v>
      </c>
      <c r="C448" s="2">
        <v>2019</v>
      </c>
      <c r="D448" s="2" t="s">
        <v>1</v>
      </c>
      <c r="E448" s="2" t="s">
        <v>15</v>
      </c>
      <c r="F448" s="2" t="s">
        <v>35</v>
      </c>
      <c r="G448" s="7"/>
      <c r="H448" s="13" t="str">
        <f>IFERROR(IF(ABS($G448)&gt;0,VLOOKUP($E448,'Fuel Category and Heat Rate'!$B$1:$G$34,6,FALSE)*($G448),""),"")</f>
        <v/>
      </c>
      <c r="I448" t="str">
        <f>IFERROR(VLOOKUP($E448,'Fuel Category and Heat Rate'!$K$2:$M$36,3,FALSE),"")</f>
        <v>crude oil</v>
      </c>
    </row>
    <row r="449" spans="1:9" x14ac:dyDescent="0.15">
      <c r="A449" s="2">
        <v>41277</v>
      </c>
      <c r="B449" s="2" t="s">
        <v>67</v>
      </c>
      <c r="C449" s="2">
        <v>2019</v>
      </c>
      <c r="D449" s="2" t="s">
        <v>1</v>
      </c>
      <c r="E449" s="2" t="s">
        <v>11</v>
      </c>
      <c r="F449" s="2" t="s">
        <v>36</v>
      </c>
      <c r="G449" s="7">
        <v>-1.1000000000000001</v>
      </c>
      <c r="H449" s="13">
        <f>IFERROR(IF(ABS($G449)&gt;0,VLOOKUP($E449,'Fuel Category and Heat Rate'!$B$1:$G$34,6,FALSE)*($G449),""),"")</f>
        <v>-828344774354.83643</v>
      </c>
      <c r="I449" t="str">
        <f>IFERROR(VLOOKUP($E449,'Fuel Category and Heat Rate'!$K$2:$M$36,3,FALSE),"")</f>
        <v>LPG propane or butane</v>
      </c>
    </row>
    <row r="450" spans="1:9" x14ac:dyDescent="0.15">
      <c r="A450" s="2">
        <v>41312</v>
      </c>
      <c r="B450" s="2" t="s">
        <v>67</v>
      </c>
      <c r="C450" s="2">
        <v>2018</v>
      </c>
      <c r="D450" s="2" t="s">
        <v>1</v>
      </c>
      <c r="E450" s="2" t="s">
        <v>18</v>
      </c>
      <c r="F450" s="2" t="s">
        <v>35</v>
      </c>
      <c r="G450" s="7">
        <v>-2.0699999999999998</v>
      </c>
      <c r="H450" s="13">
        <f>IFERROR(IF(ABS($G450)&gt;0,VLOOKUP($E450,'Fuel Category and Heat Rate'!$B$1:$G$34,6,FALSE)*($G450),""),"")</f>
        <v>-836824325461.06433</v>
      </c>
      <c r="I450" t="str">
        <f>IFERROR(VLOOKUP($E450,'Fuel Category and Heat Rate'!$K$2:$M$36,3,FALSE),"")</f>
        <v>petroleum diesel</v>
      </c>
    </row>
    <row r="451" spans="1:9" x14ac:dyDescent="0.15">
      <c r="A451" s="2">
        <v>41347</v>
      </c>
      <c r="B451" s="2" t="s">
        <v>67</v>
      </c>
      <c r="C451" s="2">
        <v>2018</v>
      </c>
      <c r="D451" s="2" t="s">
        <v>1</v>
      </c>
      <c r="E451" s="2" t="s">
        <v>32</v>
      </c>
      <c r="F451" s="2" t="s">
        <v>65</v>
      </c>
      <c r="G451" s="7"/>
      <c r="H451" s="13" t="str">
        <f>IFERROR(IF(ABS($G451)&gt;0,VLOOKUP($E451,'Fuel Category and Heat Rate'!$B$1:$G$34,6,FALSE)*($G451),""),"")</f>
        <v/>
      </c>
      <c r="I451" t="str">
        <f>IFERROR(VLOOKUP($E451,'Fuel Category and Heat Rate'!$K$2:$M$36,3,FALSE),"")</f>
        <v>electricity</v>
      </c>
    </row>
    <row r="452" spans="1:9" x14ac:dyDescent="0.15">
      <c r="A452" s="2">
        <v>41382</v>
      </c>
      <c r="B452" s="2" t="s">
        <v>67</v>
      </c>
      <c r="C452" s="2">
        <v>2018</v>
      </c>
      <c r="D452" s="2" t="s">
        <v>1</v>
      </c>
      <c r="E452" s="2" t="s">
        <v>10</v>
      </c>
      <c r="F452" s="2" t="s">
        <v>36</v>
      </c>
      <c r="G452" s="7">
        <v>-13.1</v>
      </c>
      <c r="H452" s="13">
        <f>IFERROR(IF(ABS($G452)&gt;0,VLOOKUP($E452,'Fuel Category and Heat Rate'!$B$1:$G$34,6,FALSE)*($G452),""),"")</f>
        <v>-4672292940700.7217</v>
      </c>
      <c r="I452" t="str">
        <f>IFERROR(VLOOKUP($E452,'Fuel Category and Heat Rate'!$K$2:$M$36,3,FALSE),"")</f>
        <v>LPG propane or butane</v>
      </c>
    </row>
    <row r="453" spans="1:9" x14ac:dyDescent="0.15">
      <c r="A453" s="2">
        <v>41417</v>
      </c>
      <c r="B453" s="2" t="s">
        <v>67</v>
      </c>
      <c r="C453" s="2">
        <v>2018</v>
      </c>
      <c r="D453" s="2" t="s">
        <v>1</v>
      </c>
      <c r="E453" s="2" t="s">
        <v>9</v>
      </c>
      <c r="F453" s="2" t="s">
        <v>36</v>
      </c>
      <c r="G453" s="7">
        <v>-0.71</v>
      </c>
      <c r="H453" s="13">
        <f>IFERROR(IF(ABS($G453)&gt;0,VLOOKUP($E453,'Fuel Category and Heat Rate'!$B$1:$G$34,6,FALSE)*($G453),""),"")</f>
        <v>-1167804055112.343</v>
      </c>
      <c r="I453" t="str">
        <f>IFERROR(VLOOKUP($E453,'Fuel Category and Heat Rate'!$K$2:$M$36,3,FALSE),"")</f>
        <v>LPG propane or butane</v>
      </c>
    </row>
    <row r="454" spans="1:9" x14ac:dyDescent="0.15">
      <c r="A454" s="2">
        <v>41452</v>
      </c>
      <c r="B454" s="2" t="s">
        <v>67</v>
      </c>
      <c r="C454" s="2">
        <v>2018</v>
      </c>
      <c r="D454" s="2" t="s">
        <v>1</v>
      </c>
      <c r="E454" s="2" t="s">
        <v>8</v>
      </c>
      <c r="F454" s="2" t="s">
        <v>35</v>
      </c>
      <c r="G454" s="7"/>
      <c r="H454" s="13" t="str">
        <f>IFERROR(IF(ABS($G454)&gt;0,VLOOKUP($E454,'Fuel Category and Heat Rate'!$B$1:$G$34,6,FALSE)*($G454),""),"")</f>
        <v/>
      </c>
      <c r="I454" t="str">
        <f>IFERROR(VLOOKUP($E454,'Fuel Category and Heat Rate'!$K$2:$M$36,3,FALSE),"")</f>
        <v>coal</v>
      </c>
    </row>
    <row r="455" spans="1:9" x14ac:dyDescent="0.15">
      <c r="A455" s="2">
        <v>41487</v>
      </c>
      <c r="B455" s="2" t="s">
        <v>67</v>
      </c>
      <c r="C455" s="2">
        <v>2018</v>
      </c>
      <c r="D455" s="2" t="s">
        <v>1</v>
      </c>
      <c r="E455" s="2" t="s">
        <v>27</v>
      </c>
      <c r="F455" s="2" t="s">
        <v>35</v>
      </c>
      <c r="G455" s="7">
        <v>-3.62</v>
      </c>
      <c r="H455" s="13">
        <f>IFERROR(IF(ABS($G455)&gt;0,VLOOKUP($E455,'Fuel Category and Heat Rate'!$B$1:$G$34,6,FALSE)*($G455),""),"")</f>
        <v>-1578236450705.4297</v>
      </c>
      <c r="I455" t="str">
        <f>IFERROR(VLOOKUP($E455,'Fuel Category and Heat Rate'!$K$2:$M$36,3,FALSE),"")</f>
        <v>LPG propane or butane</v>
      </c>
    </row>
    <row r="456" spans="1:9" x14ac:dyDescent="0.15">
      <c r="A456" s="2">
        <v>41522</v>
      </c>
      <c r="B456" s="2" t="s">
        <v>67</v>
      </c>
      <c r="C456" s="2">
        <v>2018</v>
      </c>
      <c r="D456" s="2" t="s">
        <v>1</v>
      </c>
      <c r="E456" s="2" t="s">
        <v>7</v>
      </c>
      <c r="F456" s="2" t="s">
        <v>35</v>
      </c>
      <c r="G456" s="7"/>
      <c r="H456" s="13" t="str">
        <f>IFERROR(IF(ABS($G456)&gt;0,VLOOKUP($E456,'Fuel Category and Heat Rate'!$B$1:$G$34,6,FALSE)*($G456),""),"")</f>
        <v/>
      </c>
      <c r="I456" t="str">
        <f>IFERROR(VLOOKUP($E456,'Fuel Category and Heat Rate'!$K$2:$M$36,3,FALSE),"")</f>
        <v>coal</v>
      </c>
    </row>
    <row r="457" spans="1:9" x14ac:dyDescent="0.15">
      <c r="A457" s="2">
        <v>41557</v>
      </c>
      <c r="B457" s="2" t="s">
        <v>67</v>
      </c>
      <c r="C457" s="2">
        <v>2018</v>
      </c>
      <c r="D457" s="2" t="s">
        <v>1</v>
      </c>
      <c r="E457" s="2" t="s">
        <v>2</v>
      </c>
      <c r="F457" s="2" t="s">
        <v>35</v>
      </c>
      <c r="G457" s="7">
        <v>-468.67</v>
      </c>
      <c r="H457" s="13">
        <f>IFERROR(IF(ABS($G457)&gt;0,VLOOKUP($E457,'Fuel Category and Heat Rate'!$B$1:$G$34,6,FALSE)*($G457),""),"")</f>
        <v>0</v>
      </c>
      <c r="I457" t="str">
        <f>IFERROR(VLOOKUP($E457,'Fuel Category and Heat Rate'!$K$2:$M$36,3,FALSE),"")</f>
        <v/>
      </c>
    </row>
    <row r="458" spans="1:9" x14ac:dyDescent="0.15">
      <c r="A458" s="2">
        <v>41592</v>
      </c>
      <c r="B458" s="2" t="s">
        <v>67</v>
      </c>
      <c r="C458" s="2">
        <v>2018</v>
      </c>
      <c r="D458" s="2" t="s">
        <v>1</v>
      </c>
      <c r="E458" s="2" t="s">
        <v>17</v>
      </c>
      <c r="F458" s="2" t="s">
        <v>35</v>
      </c>
      <c r="G458" s="7"/>
      <c r="H458" s="13" t="str">
        <f>IFERROR(IF(ABS($G458)&gt;0,VLOOKUP($E458,'Fuel Category and Heat Rate'!$B$1:$G$34,6,FALSE)*($G458),""),"")</f>
        <v/>
      </c>
      <c r="I458" t="str">
        <f>IFERROR(VLOOKUP($E458,'Fuel Category and Heat Rate'!$K$2:$M$36,3,FALSE),"")</f>
        <v>petroleum diesel</v>
      </c>
    </row>
    <row r="459" spans="1:9" x14ac:dyDescent="0.15">
      <c r="A459" s="2">
        <v>41627</v>
      </c>
      <c r="B459" s="2" t="s">
        <v>67</v>
      </c>
      <c r="C459" s="2">
        <v>2018</v>
      </c>
      <c r="D459" s="2" t="s">
        <v>1</v>
      </c>
      <c r="E459" s="2" t="s">
        <v>13</v>
      </c>
      <c r="F459" s="2" t="s">
        <v>35</v>
      </c>
      <c r="G459" s="7"/>
      <c r="H459" s="13" t="str">
        <f>IFERROR(IF(ABS($G459)&gt;0,VLOOKUP($E459,'Fuel Category and Heat Rate'!$B$1:$G$34,6,FALSE)*($G459),""),"")</f>
        <v/>
      </c>
      <c r="I459" t="str">
        <f>IFERROR(VLOOKUP($E459,'Fuel Category and Heat Rate'!$K$2:$M$36,3,FALSE),"")</f>
        <v>petroleum diesel</v>
      </c>
    </row>
    <row r="460" spans="1:9" x14ac:dyDescent="0.15">
      <c r="A460" s="2">
        <v>41662</v>
      </c>
      <c r="B460" s="2" t="s">
        <v>67</v>
      </c>
      <c r="C460" s="2">
        <v>2018</v>
      </c>
      <c r="D460" s="2" t="s">
        <v>1</v>
      </c>
      <c r="E460" s="2" t="s">
        <v>12</v>
      </c>
      <c r="F460" s="2" t="s">
        <v>36</v>
      </c>
      <c r="G460" s="7"/>
      <c r="H460" s="13" t="str">
        <f>IFERROR(IF(ABS($G460)&gt;0,VLOOKUP($E460,'Fuel Category and Heat Rate'!$B$1:$G$34,6,FALSE)*($G460),""),"")</f>
        <v/>
      </c>
      <c r="I460" t="str">
        <f>IFERROR(VLOOKUP($E460,'Fuel Category and Heat Rate'!$K$2:$M$36,3,FALSE),"")</f>
        <v>LPG propane or butane</v>
      </c>
    </row>
    <row r="461" spans="1:9" x14ac:dyDescent="0.15">
      <c r="A461" s="2">
        <v>41697</v>
      </c>
      <c r="B461" s="2" t="s">
        <v>67</v>
      </c>
      <c r="C461" s="2">
        <v>2018</v>
      </c>
      <c r="D461" s="2" t="s">
        <v>1</v>
      </c>
      <c r="E461" s="2" t="s">
        <v>33</v>
      </c>
      <c r="F461" s="2" t="s">
        <v>38</v>
      </c>
      <c r="G461" s="7">
        <v>-1.8</v>
      </c>
      <c r="H461" s="13">
        <f>IFERROR(IF(ABS($G461)&gt;0,VLOOKUP($E461,'Fuel Category and Heat Rate'!$B$1:$G$34,6,FALSE)*($G461),""),"")</f>
        <v>-499383989956.5506</v>
      </c>
      <c r="I461" t="str">
        <f>IFERROR(VLOOKUP($E461,'Fuel Category and Heat Rate'!$K$2:$M$36,3,FALSE),"")</f>
        <v>biomass</v>
      </c>
    </row>
    <row r="462" spans="1:9" x14ac:dyDescent="0.15">
      <c r="A462" s="2">
        <v>41732</v>
      </c>
      <c r="B462" s="2" t="s">
        <v>67</v>
      </c>
      <c r="C462" s="2">
        <v>2018</v>
      </c>
      <c r="D462" s="2" t="s">
        <v>1</v>
      </c>
      <c r="E462" s="2" t="s">
        <v>28</v>
      </c>
      <c r="F462" s="2" t="s">
        <v>35</v>
      </c>
      <c r="G462" s="7"/>
      <c r="H462" s="13" t="str">
        <f>IFERROR(IF(ABS($G462)&gt;0,VLOOKUP($E462,'Fuel Category and Heat Rate'!$B$1:$G$34,6,FALSE)*($G462),""),"")</f>
        <v/>
      </c>
      <c r="I462" t="str">
        <f>IFERROR(VLOOKUP($E462,'Fuel Category and Heat Rate'!$K$2:$M$36,3,FALSE),"")</f>
        <v>heavy or residual fuel oil</v>
      </c>
    </row>
    <row r="463" spans="1:9" x14ac:dyDescent="0.15">
      <c r="A463" s="2">
        <v>41767</v>
      </c>
      <c r="B463" s="2" t="s">
        <v>67</v>
      </c>
      <c r="C463" s="2">
        <v>2018</v>
      </c>
      <c r="D463" s="2" t="s">
        <v>1</v>
      </c>
      <c r="E463" s="2" t="s">
        <v>5</v>
      </c>
      <c r="F463" s="2" t="s">
        <v>35</v>
      </c>
      <c r="G463" s="7"/>
      <c r="H463" s="13" t="str">
        <f>IFERROR(IF(ABS($G463)&gt;0,VLOOKUP($E463,'Fuel Category and Heat Rate'!$B$1:$G$34,6,FALSE)*($G463),""),"")</f>
        <v/>
      </c>
      <c r="I463" t="str">
        <f>IFERROR(VLOOKUP($E463,'Fuel Category and Heat Rate'!$K$2:$M$36,3,FALSE),"")</f>
        <v>coal</v>
      </c>
    </row>
    <row r="464" spans="1:9" x14ac:dyDescent="0.15">
      <c r="A464" s="2">
        <v>41802</v>
      </c>
      <c r="B464" s="2" t="s">
        <v>67</v>
      </c>
      <c r="C464" s="2">
        <v>2018</v>
      </c>
      <c r="D464" s="2" t="s">
        <v>1</v>
      </c>
      <c r="E464" s="2" t="s">
        <v>16</v>
      </c>
      <c r="F464" s="2" t="s">
        <v>35</v>
      </c>
      <c r="G464" s="7"/>
      <c r="H464" s="13" t="str">
        <f>IFERROR(IF(ABS($G464)&gt;0,VLOOKUP($E464,'Fuel Category and Heat Rate'!$B$1:$G$34,6,FALSE)*($G464),""),"")</f>
        <v/>
      </c>
      <c r="I464" t="str">
        <f>IFERROR(VLOOKUP($E464,'Fuel Category and Heat Rate'!$K$2:$M$36,3,FALSE),"")</f>
        <v>petroleum diesel</v>
      </c>
    </row>
    <row r="465" spans="1:9" x14ac:dyDescent="0.15">
      <c r="A465" s="2">
        <v>41837</v>
      </c>
      <c r="B465" s="2" t="s">
        <v>67</v>
      </c>
      <c r="C465" s="2">
        <v>2018</v>
      </c>
      <c r="D465" s="2" t="s">
        <v>1</v>
      </c>
      <c r="E465" s="2" t="s">
        <v>19</v>
      </c>
      <c r="F465" s="2" t="s">
        <v>35</v>
      </c>
      <c r="G465" s="7">
        <v>-4.84</v>
      </c>
      <c r="H465" s="13">
        <f>IFERROR(IF(ABS($G465)&gt;0,VLOOKUP($E465,'Fuel Category and Heat Rate'!$B$1:$G$34,6,FALSE)*($G465),""),"")</f>
        <v>-1918281766789.8813</v>
      </c>
      <c r="I465" t="str">
        <f>IFERROR(VLOOKUP($E465,'Fuel Category and Heat Rate'!$K$2:$M$36,3,FALSE),"")</f>
        <v>heavy or residual fuel oil</v>
      </c>
    </row>
    <row r="466" spans="1:9" x14ac:dyDescent="0.15">
      <c r="A466" s="2">
        <v>41872</v>
      </c>
      <c r="B466" s="2" t="s">
        <v>67</v>
      </c>
      <c r="C466" s="2">
        <v>2018</v>
      </c>
      <c r="D466" s="2" t="s">
        <v>1</v>
      </c>
      <c r="E466" s="2" t="s">
        <v>31</v>
      </c>
      <c r="F466" s="2" t="s">
        <v>37</v>
      </c>
      <c r="G466" s="7">
        <v>9203.25</v>
      </c>
      <c r="H466" s="13">
        <f>IFERROR(IF(ABS($G466)&gt;0,VLOOKUP($E466,'Fuel Category and Heat Rate'!$B$1:$G$34,6,FALSE)*($G466),""),"")</f>
        <v>87229979341851.906</v>
      </c>
      <c r="I466" t="str">
        <f>IFERROR(VLOOKUP($E466,'Fuel Category and Heat Rate'!$K$2:$M$36,3,FALSE),"")</f>
        <v>heat</v>
      </c>
    </row>
    <row r="467" spans="1:9" x14ac:dyDescent="0.15">
      <c r="A467" s="2">
        <v>41907</v>
      </c>
      <c r="B467" s="2" t="s">
        <v>67</v>
      </c>
      <c r="C467" s="2">
        <v>2018</v>
      </c>
      <c r="D467" s="2" t="s">
        <v>1</v>
      </c>
      <c r="E467" s="2" t="s">
        <v>23</v>
      </c>
      <c r="F467" s="2" t="s">
        <v>35</v>
      </c>
      <c r="G467" s="7"/>
      <c r="H467" s="13" t="str">
        <f>IFERROR(IF(ABS($G467)&gt;0,VLOOKUP($E467,'Fuel Category and Heat Rate'!$B$1:$G$34,6,FALSE)*($G467),""),"")</f>
        <v/>
      </c>
      <c r="I467" t="str">
        <f>IFERROR(VLOOKUP($E467,'Fuel Category and Heat Rate'!$K$2:$M$36,3,FALSE),"")</f>
        <v>heavy or residual fuel oil</v>
      </c>
    </row>
    <row r="468" spans="1:9" x14ac:dyDescent="0.15">
      <c r="A468" s="2">
        <v>41942</v>
      </c>
      <c r="B468" s="2" t="s">
        <v>67</v>
      </c>
      <c r="C468" s="2">
        <v>2018</v>
      </c>
      <c r="D468" s="2" t="s">
        <v>1</v>
      </c>
      <c r="E468" s="2" t="s">
        <v>21</v>
      </c>
      <c r="F468" s="2" t="s">
        <v>35</v>
      </c>
      <c r="G468" s="7"/>
      <c r="H468" s="13" t="str">
        <f>IFERROR(IF(ABS($G468)&gt;0,VLOOKUP($E468,'Fuel Category and Heat Rate'!$B$1:$G$34,6,FALSE)*($G468),""),"")</f>
        <v/>
      </c>
      <c r="I468" t="str">
        <f>IFERROR(VLOOKUP($E468,'Fuel Category and Heat Rate'!$K$2:$M$36,3,FALSE),"")</f>
        <v>LPG propane or butane</v>
      </c>
    </row>
    <row r="469" spans="1:9" x14ac:dyDescent="0.15">
      <c r="A469" s="2">
        <v>41977</v>
      </c>
      <c r="B469" s="2" t="s">
        <v>67</v>
      </c>
      <c r="C469" s="2">
        <v>2018</v>
      </c>
      <c r="D469" s="2" t="s">
        <v>1</v>
      </c>
      <c r="E469" s="2" t="s">
        <v>22</v>
      </c>
      <c r="F469" s="2" t="s">
        <v>35</v>
      </c>
      <c r="G469" s="7"/>
      <c r="H469" s="13" t="str">
        <f>IFERROR(IF(ABS($G469)&gt;0,VLOOKUP($E469,'Fuel Category and Heat Rate'!$B$1:$G$34,6,FALSE)*($G469),""),"")</f>
        <v/>
      </c>
      <c r="I469" t="str">
        <f>IFERROR(VLOOKUP($E469,'Fuel Category and Heat Rate'!$K$2:$M$36,3,FALSE),"")</f>
        <v>heavy fuel oil</v>
      </c>
    </row>
    <row r="470" spans="1:9" x14ac:dyDescent="0.15">
      <c r="A470" s="2">
        <v>42012</v>
      </c>
      <c r="B470" s="2" t="s">
        <v>67</v>
      </c>
      <c r="C470" s="2">
        <v>2018</v>
      </c>
      <c r="D470" s="2" t="s">
        <v>1</v>
      </c>
      <c r="E470" s="2" t="s">
        <v>20</v>
      </c>
      <c r="F470" s="2" t="s">
        <v>35</v>
      </c>
      <c r="G470" s="7"/>
      <c r="H470" s="13" t="str">
        <f>IFERROR(IF(ABS($G470)&gt;0,VLOOKUP($E470,'Fuel Category and Heat Rate'!$B$1:$G$34,6,FALSE)*($G470),""),"")</f>
        <v/>
      </c>
      <c r="I470" t="str">
        <f>IFERROR(VLOOKUP($E470,'Fuel Category and Heat Rate'!$K$2:$M$36,3,FALSE),"")</f>
        <v>LPG propane or butane</v>
      </c>
    </row>
    <row r="471" spans="1:9" x14ac:dyDescent="0.15">
      <c r="A471" s="2">
        <v>42047</v>
      </c>
      <c r="B471" s="2" t="s">
        <v>67</v>
      </c>
      <c r="C471" s="2">
        <v>2018</v>
      </c>
      <c r="D471" s="2" t="s">
        <v>1</v>
      </c>
      <c r="E471" s="2" t="s">
        <v>25</v>
      </c>
      <c r="F471" s="2" t="s">
        <v>35</v>
      </c>
      <c r="G471" s="7">
        <v>-4.22</v>
      </c>
      <c r="H471" s="13">
        <f>IFERROR(IF(ABS($G471)&gt;0,VLOOKUP($E471,'Fuel Category and Heat Rate'!$B$1:$G$34,6,FALSE)*($G471),""),"")</f>
        <v>-1277812354672.9775</v>
      </c>
      <c r="I471" t="str">
        <f>IFERROR(VLOOKUP($E471,'Fuel Category and Heat Rate'!$K$2:$M$36,3,FALSE),"")</f>
        <v>heavy fuel oil</v>
      </c>
    </row>
    <row r="472" spans="1:9" x14ac:dyDescent="0.15">
      <c r="A472" s="2">
        <v>42082</v>
      </c>
      <c r="B472" s="2" t="s">
        <v>67</v>
      </c>
      <c r="C472" s="2">
        <v>2018</v>
      </c>
      <c r="D472" s="2" t="s">
        <v>1</v>
      </c>
      <c r="E472" s="2" t="s">
        <v>24</v>
      </c>
      <c r="F472" s="2" t="s">
        <v>35</v>
      </c>
      <c r="G472" s="7"/>
      <c r="H472" s="13" t="str">
        <f>IFERROR(IF(ABS($G472)&gt;0,VLOOKUP($E472,'Fuel Category and Heat Rate'!$B$1:$G$34,6,FALSE)*($G472),""),"")</f>
        <v/>
      </c>
      <c r="I472" t="str">
        <f>IFERROR(VLOOKUP($E472,'Fuel Category and Heat Rate'!$K$2:$M$36,3,FALSE),"")</f>
        <v>heavy fuel oil</v>
      </c>
    </row>
    <row r="473" spans="1:9" x14ac:dyDescent="0.15">
      <c r="A473" s="2">
        <v>42117</v>
      </c>
      <c r="B473" s="2" t="s">
        <v>67</v>
      </c>
      <c r="C473" s="2">
        <v>2018</v>
      </c>
      <c r="D473" s="2" t="s">
        <v>1</v>
      </c>
      <c r="E473" s="2" t="s">
        <v>29</v>
      </c>
      <c r="F473" s="2" t="s">
        <v>36</v>
      </c>
      <c r="G473" s="7">
        <v>-0.14000000000000001</v>
      </c>
      <c r="H473" s="13">
        <f>IFERROR(IF(ABS($G473)&gt;0,VLOOKUP($E473,'Fuel Category and Heat Rate'!$B$1:$G$34,6,FALSE)*($G473),""),"")</f>
        <v>-472186377621.62073</v>
      </c>
      <c r="I473" t="str">
        <f>IFERROR(VLOOKUP($E473,'Fuel Category and Heat Rate'!$K$2:$M$36,3,FALSE),"")</f>
        <v>natural gas</v>
      </c>
    </row>
    <row r="474" spans="1:9" x14ac:dyDescent="0.15">
      <c r="A474" s="2">
        <v>42152</v>
      </c>
      <c r="B474" s="2" t="s">
        <v>67</v>
      </c>
      <c r="C474" s="2">
        <v>2018</v>
      </c>
      <c r="D474" s="2" t="s">
        <v>1</v>
      </c>
      <c r="E474" s="2" t="s">
        <v>4</v>
      </c>
      <c r="F474" s="2" t="s">
        <v>35</v>
      </c>
      <c r="G474" s="7"/>
      <c r="H474" s="13" t="str">
        <f>IFERROR(IF(ABS($G474)&gt;0,VLOOKUP($E474,'Fuel Category and Heat Rate'!$B$1:$G$34,6,FALSE)*($G474),""),"")</f>
        <v/>
      </c>
      <c r="I474" t="str">
        <f>IFERROR(VLOOKUP($E474,'Fuel Category and Heat Rate'!$K$2:$M$36,3,FALSE),"")</f>
        <v>coal</v>
      </c>
    </row>
    <row r="475" spans="1:9" x14ac:dyDescent="0.15">
      <c r="A475" s="2">
        <v>42187</v>
      </c>
      <c r="B475" s="2" t="s">
        <v>67</v>
      </c>
      <c r="C475" s="2">
        <v>2018</v>
      </c>
      <c r="D475" s="2" t="s">
        <v>1</v>
      </c>
      <c r="E475" s="2" t="s">
        <v>6</v>
      </c>
      <c r="F475" s="2" t="s">
        <v>35</v>
      </c>
      <c r="G475" s="7"/>
      <c r="H475" s="13" t="str">
        <f>IFERROR(IF(ABS($G475)&gt;0,VLOOKUP($E475,'Fuel Category and Heat Rate'!$B$1:$G$34,6,FALSE)*($G475),""),"")</f>
        <v/>
      </c>
      <c r="I475" t="str">
        <f>IFERROR(VLOOKUP($E475,'Fuel Category and Heat Rate'!$K$2:$M$36,3,FALSE),"")</f>
        <v>coal</v>
      </c>
    </row>
    <row r="476" spans="1:9" x14ac:dyDescent="0.15">
      <c r="A476" s="2">
        <v>42222</v>
      </c>
      <c r="B476" s="2" t="s">
        <v>67</v>
      </c>
      <c r="C476" s="2">
        <v>2018</v>
      </c>
      <c r="D476" s="2" t="s">
        <v>1</v>
      </c>
      <c r="E476" s="2" t="s">
        <v>26</v>
      </c>
      <c r="F476" s="2" t="s">
        <v>35</v>
      </c>
      <c r="G476" s="7"/>
      <c r="H476" s="13" t="str">
        <f>IFERROR(IF(ABS($G476)&gt;0,VLOOKUP($E476,'Fuel Category and Heat Rate'!$B$1:$G$34,6,FALSE)*($G476),""),"")</f>
        <v/>
      </c>
      <c r="I476" t="str">
        <f>IFERROR(VLOOKUP($E476,'Fuel Category and Heat Rate'!$K$2:$M$36,3,FALSE),"")</f>
        <v>LPG propane or butane</v>
      </c>
    </row>
    <row r="477" spans="1:9" x14ac:dyDescent="0.15">
      <c r="A477" s="2">
        <v>42257</v>
      </c>
      <c r="B477" s="2" t="s">
        <v>67</v>
      </c>
      <c r="C477" s="2">
        <v>2018</v>
      </c>
      <c r="D477" s="2" t="s">
        <v>1</v>
      </c>
      <c r="E477" s="2" t="s">
        <v>30</v>
      </c>
      <c r="F477" s="2" t="s">
        <v>35</v>
      </c>
      <c r="G477" s="7"/>
      <c r="H477" s="13" t="str">
        <f>IFERROR(IF(ABS($G477)&gt;0,VLOOKUP($E477,'Fuel Category and Heat Rate'!$B$1:$G$34,6,FALSE)*($G477),""),"")</f>
        <v/>
      </c>
      <c r="I477" t="str">
        <f>IFERROR(VLOOKUP($E477,'Fuel Category and Heat Rate'!$K$2:$M$36,3,FALSE),"")</f>
        <v>natural gas</v>
      </c>
    </row>
    <row r="478" spans="1:9" x14ac:dyDescent="0.15">
      <c r="A478" s="2">
        <v>42292</v>
      </c>
      <c r="B478" s="2" t="s">
        <v>67</v>
      </c>
      <c r="C478" s="2">
        <v>2018</v>
      </c>
      <c r="D478" s="2" t="s">
        <v>1</v>
      </c>
      <c r="E478" s="2" t="s">
        <v>14</v>
      </c>
      <c r="F478" s="2" t="s">
        <v>35</v>
      </c>
      <c r="G478" s="7">
        <v>-14.75</v>
      </c>
      <c r="H478" s="13">
        <f>IFERROR(IF(ABS($G478)&gt;0,VLOOKUP($E478,'Fuel Category and Heat Rate'!$B$1:$G$34,6,FALSE)*($G478),""),"")</f>
        <v>0</v>
      </c>
      <c r="I478" t="str">
        <f>IFERROR(VLOOKUP($E478,'Fuel Category and Heat Rate'!$K$2:$M$36,3,FALSE),"")</f>
        <v/>
      </c>
    </row>
    <row r="479" spans="1:9" x14ac:dyDescent="0.15">
      <c r="A479" s="2">
        <v>42327</v>
      </c>
      <c r="B479" s="2" t="s">
        <v>67</v>
      </c>
      <c r="C479" s="2">
        <v>2018</v>
      </c>
      <c r="D479" s="2" t="s">
        <v>1</v>
      </c>
      <c r="E479" s="2" t="s">
        <v>3</v>
      </c>
      <c r="F479" s="2" t="s">
        <v>35</v>
      </c>
      <c r="G479" s="7">
        <v>-468.67</v>
      </c>
      <c r="H479" s="13">
        <f>IFERROR(IF(ABS($G479)&gt;0,VLOOKUP($E479,'Fuel Category and Heat Rate'!$B$1:$G$34,6,FALSE)*($G479),""),"")</f>
        <v>-92876148310063.406</v>
      </c>
      <c r="I479" t="str">
        <f>IFERROR(VLOOKUP($E479,'Fuel Category and Heat Rate'!$K$2:$M$36,3,FALSE),"")</f>
        <v>coal</v>
      </c>
    </row>
    <row r="480" spans="1:9" x14ac:dyDescent="0.15">
      <c r="A480" s="2">
        <v>42362</v>
      </c>
      <c r="B480" s="2" t="s">
        <v>67</v>
      </c>
      <c r="C480" s="2">
        <v>2018</v>
      </c>
      <c r="D480" s="2" t="s">
        <v>1</v>
      </c>
      <c r="E480" s="2" t="s">
        <v>15</v>
      </c>
      <c r="F480" s="2" t="s">
        <v>35</v>
      </c>
      <c r="G480" s="7"/>
      <c r="H480" s="13" t="str">
        <f>IFERROR(IF(ABS($G480)&gt;0,VLOOKUP($E480,'Fuel Category and Heat Rate'!$B$1:$G$34,6,FALSE)*($G480),""),"")</f>
        <v/>
      </c>
      <c r="I480" t="str">
        <f>IFERROR(VLOOKUP($E480,'Fuel Category and Heat Rate'!$K$2:$M$36,3,FALSE),"")</f>
        <v>crude oil</v>
      </c>
    </row>
    <row r="481" spans="1:9" x14ac:dyDescent="0.15">
      <c r="A481" s="2">
        <v>42397</v>
      </c>
      <c r="B481" s="2" t="s">
        <v>67</v>
      </c>
      <c r="C481" s="2">
        <v>2018</v>
      </c>
      <c r="D481" s="2" t="s">
        <v>1</v>
      </c>
      <c r="E481" s="2" t="s">
        <v>11</v>
      </c>
      <c r="F481" s="2" t="s">
        <v>36</v>
      </c>
      <c r="G481" s="7">
        <v>-0.73</v>
      </c>
      <c r="H481" s="13">
        <f>IFERROR(IF(ABS($G481)&gt;0,VLOOKUP($E481,'Fuel Category and Heat Rate'!$B$1:$G$34,6,FALSE)*($G481),""),"")</f>
        <v>-549719713890.02777</v>
      </c>
      <c r="I481" t="str">
        <f>IFERROR(VLOOKUP($E481,'Fuel Category and Heat Rate'!$K$2:$M$36,3,FALSE),"")</f>
        <v>LPG propane or butane</v>
      </c>
    </row>
    <row r="482" spans="1:9" x14ac:dyDescent="0.15">
      <c r="A482" s="2">
        <v>55242</v>
      </c>
      <c r="B482" s="2" t="s">
        <v>68</v>
      </c>
      <c r="C482" s="2">
        <v>2022</v>
      </c>
      <c r="D482" s="2" t="s">
        <v>1</v>
      </c>
      <c r="E482" s="2" t="s">
        <v>18</v>
      </c>
      <c r="F482" s="2" t="s">
        <v>35</v>
      </c>
      <c r="G482" s="7">
        <v>-0.06</v>
      </c>
      <c r="H482" s="13">
        <f>IFERROR(IF(ABS($G482)&gt;0,VLOOKUP($E482,'Fuel Category and Heat Rate'!$B$1:$G$34,6,FALSE)*($G482),""),"")</f>
        <v>-24255777549.596069</v>
      </c>
      <c r="I482" t="str">
        <f>IFERROR(VLOOKUP($E482,'Fuel Category and Heat Rate'!$K$2:$M$36,3,FALSE),"")</f>
        <v>petroleum diesel</v>
      </c>
    </row>
    <row r="483" spans="1:9" x14ac:dyDescent="0.15">
      <c r="A483" s="2">
        <v>55277</v>
      </c>
      <c r="B483" s="2" t="s">
        <v>68</v>
      </c>
      <c r="C483" s="2">
        <v>2022</v>
      </c>
      <c r="D483" s="2" t="s">
        <v>1</v>
      </c>
      <c r="E483" s="2" t="s">
        <v>32</v>
      </c>
      <c r="F483" s="2" t="s">
        <v>65</v>
      </c>
      <c r="G483" s="7"/>
      <c r="H483" s="13" t="str">
        <f>IFERROR(IF(ABS($G483)&gt;0,VLOOKUP($E483,'Fuel Category and Heat Rate'!$B$1:$G$34,6,FALSE)*($G483),""),"")</f>
        <v/>
      </c>
      <c r="I483" t="str">
        <f>IFERROR(VLOOKUP($E483,'Fuel Category and Heat Rate'!$K$2:$M$36,3,FALSE),"")</f>
        <v>electricity</v>
      </c>
    </row>
    <row r="484" spans="1:9" x14ac:dyDescent="0.15">
      <c r="A484" s="2">
        <v>55312</v>
      </c>
      <c r="B484" s="2" t="s">
        <v>68</v>
      </c>
      <c r="C484" s="2">
        <v>2022</v>
      </c>
      <c r="D484" s="2" t="s">
        <v>1</v>
      </c>
      <c r="E484" s="2" t="s">
        <v>10</v>
      </c>
      <c r="F484" s="2" t="s">
        <v>36</v>
      </c>
      <c r="G484" s="7">
        <v>-1.42</v>
      </c>
      <c r="H484" s="13">
        <f>IFERROR(IF(ABS($G484)&gt;0,VLOOKUP($E484,'Fuel Category and Heat Rate'!$B$1:$G$34,6,FALSE)*($G484),""),"")</f>
        <v>-506462288228.62787</v>
      </c>
      <c r="I484" t="str">
        <f>IFERROR(VLOOKUP($E484,'Fuel Category and Heat Rate'!$K$2:$M$36,3,FALSE),"")</f>
        <v>LPG propane or butane</v>
      </c>
    </row>
    <row r="485" spans="1:9" x14ac:dyDescent="0.15">
      <c r="A485" s="2">
        <v>55347</v>
      </c>
      <c r="B485" s="2" t="s">
        <v>68</v>
      </c>
      <c r="C485" s="2">
        <v>2022</v>
      </c>
      <c r="D485" s="2" t="s">
        <v>1</v>
      </c>
      <c r="E485" s="2" t="s">
        <v>9</v>
      </c>
      <c r="F485" s="2" t="s">
        <v>36</v>
      </c>
      <c r="G485" s="7">
        <v>-0.32</v>
      </c>
      <c r="H485" s="13">
        <f>IFERROR(IF(ABS($G485)&gt;0,VLOOKUP($E485,'Fuel Category and Heat Rate'!$B$1:$G$34,6,FALSE)*($G485),""),"")</f>
        <v>-526334222022.46454</v>
      </c>
      <c r="I485" t="str">
        <f>IFERROR(VLOOKUP($E485,'Fuel Category and Heat Rate'!$K$2:$M$36,3,FALSE),"")</f>
        <v>LPG propane or butane</v>
      </c>
    </row>
    <row r="486" spans="1:9" x14ac:dyDescent="0.15">
      <c r="A486" s="2">
        <v>55382</v>
      </c>
      <c r="B486" s="2" t="s">
        <v>68</v>
      </c>
      <c r="C486" s="2">
        <v>2022</v>
      </c>
      <c r="D486" s="2" t="s">
        <v>1</v>
      </c>
      <c r="E486" s="2" t="s">
        <v>8</v>
      </c>
      <c r="F486" s="2" t="s">
        <v>35</v>
      </c>
      <c r="G486" s="7"/>
      <c r="H486" s="13" t="str">
        <f>IFERROR(IF(ABS($G486)&gt;0,VLOOKUP($E486,'Fuel Category and Heat Rate'!$B$1:$G$34,6,FALSE)*($G486),""),"")</f>
        <v/>
      </c>
      <c r="I486" t="str">
        <f>IFERROR(VLOOKUP($E486,'Fuel Category and Heat Rate'!$K$2:$M$36,3,FALSE),"")</f>
        <v>coal</v>
      </c>
    </row>
    <row r="487" spans="1:9" x14ac:dyDescent="0.15">
      <c r="A487" s="2">
        <v>55417</v>
      </c>
      <c r="B487" s="2" t="s">
        <v>68</v>
      </c>
      <c r="C487" s="2">
        <v>2022</v>
      </c>
      <c r="D487" s="2" t="s">
        <v>1</v>
      </c>
      <c r="E487" s="2" t="s">
        <v>27</v>
      </c>
      <c r="F487" s="2" t="s">
        <v>35</v>
      </c>
      <c r="G487" s="7">
        <v>-14.47</v>
      </c>
      <c r="H487" s="13">
        <f>IFERROR(IF(ABS($G487)&gt;0,VLOOKUP($E487,'Fuel Category and Heat Rate'!$B$1:$G$34,6,FALSE)*($G487),""),"")</f>
        <v>-6308586033620.875</v>
      </c>
      <c r="I487" t="str">
        <f>IFERROR(VLOOKUP($E487,'Fuel Category and Heat Rate'!$K$2:$M$36,3,FALSE),"")</f>
        <v>LPG propane or butane</v>
      </c>
    </row>
    <row r="488" spans="1:9" x14ac:dyDescent="0.15">
      <c r="A488" s="2">
        <v>55452</v>
      </c>
      <c r="B488" s="2" t="s">
        <v>68</v>
      </c>
      <c r="C488" s="2">
        <v>2022</v>
      </c>
      <c r="D488" s="2" t="s">
        <v>1</v>
      </c>
      <c r="E488" s="2" t="s">
        <v>7</v>
      </c>
      <c r="F488" s="2" t="s">
        <v>35</v>
      </c>
      <c r="G488" s="7">
        <v>-8.7899999999999991</v>
      </c>
      <c r="H488" s="13">
        <f>IFERROR(IF(ABS($G488)&gt;0,VLOOKUP($E488,'Fuel Category and Heat Rate'!$B$1:$G$34,6,FALSE)*($G488),""),"")</f>
        <v>-697664109440.27271</v>
      </c>
      <c r="I488" t="str">
        <f>IFERROR(VLOOKUP($E488,'Fuel Category and Heat Rate'!$K$2:$M$36,3,FALSE),"")</f>
        <v>coal</v>
      </c>
    </row>
    <row r="489" spans="1:9" x14ac:dyDescent="0.15">
      <c r="A489" s="2">
        <v>55487</v>
      </c>
      <c r="B489" s="2" t="s">
        <v>68</v>
      </c>
      <c r="C489" s="2">
        <v>2022</v>
      </c>
      <c r="D489" s="2" t="s">
        <v>1</v>
      </c>
      <c r="E489" s="2" t="s">
        <v>2</v>
      </c>
      <c r="F489" s="2" t="s">
        <v>35</v>
      </c>
      <c r="G489" s="7">
        <v>-1086.3399999999999</v>
      </c>
      <c r="H489" s="13">
        <f>IFERROR(IF(ABS($G489)&gt;0,VLOOKUP($E489,'Fuel Category and Heat Rate'!$B$1:$G$34,6,FALSE)*($G489),""),"")</f>
        <v>0</v>
      </c>
      <c r="I489" t="str">
        <f>IFERROR(VLOOKUP($E489,'Fuel Category and Heat Rate'!$K$2:$M$36,3,FALSE),"")</f>
        <v/>
      </c>
    </row>
    <row r="490" spans="1:9" x14ac:dyDescent="0.15">
      <c r="A490" s="2">
        <v>55522</v>
      </c>
      <c r="B490" s="2" t="s">
        <v>68</v>
      </c>
      <c r="C490" s="2">
        <v>2022</v>
      </c>
      <c r="D490" s="2" t="s">
        <v>1</v>
      </c>
      <c r="E490" s="2" t="s">
        <v>17</v>
      </c>
      <c r="F490" s="2" t="s">
        <v>35</v>
      </c>
      <c r="G490" s="7"/>
      <c r="H490" s="13" t="str">
        <f>IFERROR(IF(ABS($G490)&gt;0,VLOOKUP($E490,'Fuel Category and Heat Rate'!$B$1:$G$34,6,FALSE)*($G490),""),"")</f>
        <v/>
      </c>
      <c r="I490" t="str">
        <f>IFERROR(VLOOKUP($E490,'Fuel Category and Heat Rate'!$K$2:$M$36,3,FALSE),"")</f>
        <v>petroleum diesel</v>
      </c>
    </row>
    <row r="491" spans="1:9" x14ac:dyDescent="0.15">
      <c r="A491" s="2">
        <v>55557</v>
      </c>
      <c r="B491" s="2" t="s">
        <v>68</v>
      </c>
      <c r="C491" s="2">
        <v>2022</v>
      </c>
      <c r="D491" s="2" t="s">
        <v>1</v>
      </c>
      <c r="E491" s="2" t="s">
        <v>13</v>
      </c>
      <c r="F491" s="2" t="s">
        <v>35</v>
      </c>
      <c r="G491" s="7"/>
      <c r="H491" s="13" t="str">
        <f>IFERROR(IF(ABS($G491)&gt;0,VLOOKUP($E491,'Fuel Category and Heat Rate'!$B$1:$G$34,6,FALSE)*($G491),""),"")</f>
        <v/>
      </c>
      <c r="I491" t="str">
        <f>IFERROR(VLOOKUP($E491,'Fuel Category and Heat Rate'!$K$2:$M$36,3,FALSE),"")</f>
        <v>petroleum diesel</v>
      </c>
    </row>
    <row r="492" spans="1:9" x14ac:dyDescent="0.15">
      <c r="A492" s="2">
        <v>55592</v>
      </c>
      <c r="B492" s="2" t="s">
        <v>68</v>
      </c>
      <c r="C492" s="2">
        <v>2022</v>
      </c>
      <c r="D492" s="2" t="s">
        <v>1</v>
      </c>
      <c r="E492" s="2" t="s">
        <v>12</v>
      </c>
      <c r="F492" s="2" t="s">
        <v>36</v>
      </c>
      <c r="G492" s="7"/>
      <c r="H492" s="13" t="str">
        <f>IFERROR(IF(ABS($G492)&gt;0,VLOOKUP($E492,'Fuel Category and Heat Rate'!$B$1:$G$34,6,FALSE)*($G492),""),"")</f>
        <v/>
      </c>
      <c r="I492" t="str">
        <f>IFERROR(VLOOKUP($E492,'Fuel Category and Heat Rate'!$K$2:$M$36,3,FALSE),"")</f>
        <v>LPG propane or butane</v>
      </c>
    </row>
    <row r="493" spans="1:9" x14ac:dyDescent="0.15">
      <c r="A493" s="2">
        <v>55627</v>
      </c>
      <c r="B493" s="2" t="s">
        <v>68</v>
      </c>
      <c r="C493" s="2">
        <v>2022</v>
      </c>
      <c r="D493" s="2" t="s">
        <v>1</v>
      </c>
      <c r="E493" s="2" t="s">
        <v>33</v>
      </c>
      <c r="F493" s="2" t="s">
        <v>38</v>
      </c>
      <c r="G493" s="7">
        <v>-0.21</v>
      </c>
      <c r="H493" s="13">
        <f>IFERROR(IF(ABS($G493)&gt;0,VLOOKUP($E493,'Fuel Category and Heat Rate'!$B$1:$G$34,6,FALSE)*($G493),""),"")</f>
        <v>-58261465494.930901</v>
      </c>
      <c r="I493" t="str">
        <f>IFERROR(VLOOKUP($E493,'Fuel Category and Heat Rate'!$K$2:$M$36,3,FALSE),"")</f>
        <v>biomass</v>
      </c>
    </row>
    <row r="494" spans="1:9" x14ac:dyDescent="0.15">
      <c r="A494" s="2">
        <v>55662</v>
      </c>
      <c r="B494" s="2" t="s">
        <v>68</v>
      </c>
      <c r="C494" s="2">
        <v>2022</v>
      </c>
      <c r="D494" s="2" t="s">
        <v>1</v>
      </c>
      <c r="E494" s="2" t="s">
        <v>28</v>
      </c>
      <c r="F494" s="2" t="s">
        <v>35</v>
      </c>
      <c r="G494" s="7"/>
      <c r="H494" s="13" t="str">
        <f>IFERROR(IF(ABS($G494)&gt;0,VLOOKUP($E494,'Fuel Category and Heat Rate'!$B$1:$G$34,6,FALSE)*($G494),""),"")</f>
        <v/>
      </c>
      <c r="I494" t="str">
        <f>IFERROR(VLOOKUP($E494,'Fuel Category and Heat Rate'!$K$2:$M$36,3,FALSE),"")</f>
        <v>heavy or residual fuel oil</v>
      </c>
    </row>
    <row r="495" spans="1:9" x14ac:dyDescent="0.15">
      <c r="A495" s="2">
        <v>55697</v>
      </c>
      <c r="B495" s="2" t="s">
        <v>68</v>
      </c>
      <c r="C495" s="2">
        <v>2022</v>
      </c>
      <c r="D495" s="2" t="s">
        <v>1</v>
      </c>
      <c r="E495" s="2" t="s">
        <v>5</v>
      </c>
      <c r="F495" s="2" t="s">
        <v>35</v>
      </c>
      <c r="G495" s="7">
        <v>-6.15</v>
      </c>
      <c r="H495" s="13">
        <f>IFERROR(IF(ABS($G495)&gt;0,VLOOKUP($E495,'Fuel Category and Heat Rate'!$B$1:$G$34,6,FALSE)*($G495),""),"")</f>
        <v>-487485567707.15027</v>
      </c>
      <c r="I495" t="str">
        <f>IFERROR(VLOOKUP($E495,'Fuel Category and Heat Rate'!$K$2:$M$36,3,FALSE),"")</f>
        <v>coal</v>
      </c>
    </row>
    <row r="496" spans="1:9" x14ac:dyDescent="0.15">
      <c r="A496" s="2">
        <v>55732</v>
      </c>
      <c r="B496" s="2" t="s">
        <v>68</v>
      </c>
      <c r="C496" s="2">
        <v>2022</v>
      </c>
      <c r="D496" s="2" t="s">
        <v>1</v>
      </c>
      <c r="E496" s="2" t="s">
        <v>16</v>
      </c>
      <c r="F496" s="2" t="s">
        <v>35</v>
      </c>
      <c r="G496" s="7"/>
      <c r="H496" s="13" t="str">
        <f>IFERROR(IF(ABS($G496)&gt;0,VLOOKUP($E496,'Fuel Category and Heat Rate'!$B$1:$G$34,6,FALSE)*($G496),""),"")</f>
        <v/>
      </c>
      <c r="I496" t="str">
        <f>IFERROR(VLOOKUP($E496,'Fuel Category and Heat Rate'!$K$2:$M$36,3,FALSE),"")</f>
        <v>petroleum diesel</v>
      </c>
    </row>
    <row r="497" spans="1:9" x14ac:dyDescent="0.15">
      <c r="A497" s="2">
        <v>55767</v>
      </c>
      <c r="B497" s="2" t="s">
        <v>68</v>
      </c>
      <c r="C497" s="2">
        <v>2022</v>
      </c>
      <c r="D497" s="2" t="s">
        <v>1</v>
      </c>
      <c r="E497" s="2" t="s">
        <v>19</v>
      </c>
      <c r="F497" s="2" t="s">
        <v>35</v>
      </c>
      <c r="G497" s="7"/>
      <c r="H497" s="13" t="str">
        <f>IFERROR(IF(ABS($G497)&gt;0,VLOOKUP($E497,'Fuel Category and Heat Rate'!$B$1:$G$34,6,FALSE)*($G497),""),"")</f>
        <v/>
      </c>
      <c r="I497" t="str">
        <f>IFERROR(VLOOKUP($E497,'Fuel Category and Heat Rate'!$K$2:$M$36,3,FALSE),"")</f>
        <v>heavy or residual fuel oil</v>
      </c>
    </row>
    <row r="498" spans="1:9" x14ac:dyDescent="0.15">
      <c r="A498" s="2">
        <v>55802</v>
      </c>
      <c r="B498" s="2" t="s">
        <v>68</v>
      </c>
      <c r="C498" s="2">
        <v>2022</v>
      </c>
      <c r="D498" s="2" t="s">
        <v>1</v>
      </c>
      <c r="E498" s="2" t="s">
        <v>31</v>
      </c>
      <c r="F498" s="2" t="s">
        <v>37</v>
      </c>
      <c r="G498" s="7">
        <v>17510.38</v>
      </c>
      <c r="H498" s="13">
        <f>IFERROR(IF(ABS($G498)&gt;0,VLOOKUP($E498,'Fuel Category and Heat Rate'!$B$1:$G$34,6,FALSE)*($G498),""),"")</f>
        <v>165966379884060.19</v>
      </c>
      <c r="I498" t="str">
        <f>IFERROR(VLOOKUP($E498,'Fuel Category and Heat Rate'!$K$2:$M$36,3,FALSE),"")</f>
        <v>heat</v>
      </c>
    </row>
    <row r="499" spans="1:9" x14ac:dyDescent="0.15">
      <c r="A499" s="2">
        <v>55837</v>
      </c>
      <c r="B499" s="2" t="s">
        <v>68</v>
      </c>
      <c r="C499" s="2">
        <v>2022</v>
      </c>
      <c r="D499" s="2" t="s">
        <v>1</v>
      </c>
      <c r="E499" s="2" t="s">
        <v>23</v>
      </c>
      <c r="F499" s="2" t="s">
        <v>35</v>
      </c>
      <c r="G499" s="7"/>
      <c r="H499" s="13" t="str">
        <f>IFERROR(IF(ABS($G499)&gt;0,VLOOKUP($E499,'Fuel Category and Heat Rate'!$B$1:$G$34,6,FALSE)*($G499),""),"")</f>
        <v/>
      </c>
      <c r="I499" t="str">
        <f>IFERROR(VLOOKUP($E499,'Fuel Category and Heat Rate'!$K$2:$M$36,3,FALSE),"")</f>
        <v>heavy or residual fuel oil</v>
      </c>
    </row>
    <row r="500" spans="1:9" x14ac:dyDescent="0.15">
      <c r="A500" s="2">
        <v>55872</v>
      </c>
      <c r="B500" s="2" t="s">
        <v>68</v>
      </c>
      <c r="C500" s="2">
        <v>2022</v>
      </c>
      <c r="D500" s="2" t="s">
        <v>1</v>
      </c>
      <c r="E500" s="2" t="s">
        <v>21</v>
      </c>
      <c r="F500" s="2" t="s">
        <v>35</v>
      </c>
      <c r="G500" s="7"/>
      <c r="H500" s="13" t="str">
        <f>IFERROR(IF(ABS($G500)&gt;0,VLOOKUP($E500,'Fuel Category and Heat Rate'!$B$1:$G$34,6,FALSE)*($G500),""),"")</f>
        <v/>
      </c>
      <c r="I500" t="str">
        <f>IFERROR(VLOOKUP($E500,'Fuel Category and Heat Rate'!$K$2:$M$36,3,FALSE),"")</f>
        <v>LPG propane or butane</v>
      </c>
    </row>
    <row r="501" spans="1:9" x14ac:dyDescent="0.15">
      <c r="A501" s="2">
        <v>55907</v>
      </c>
      <c r="B501" s="2" t="s">
        <v>68</v>
      </c>
      <c r="C501" s="2">
        <v>2022</v>
      </c>
      <c r="D501" s="2" t="s">
        <v>1</v>
      </c>
      <c r="E501" s="2" t="s">
        <v>22</v>
      </c>
      <c r="F501" s="2" t="s">
        <v>35</v>
      </c>
      <c r="G501" s="7"/>
      <c r="H501" s="13" t="str">
        <f>IFERROR(IF(ABS($G501)&gt;0,VLOOKUP($E501,'Fuel Category and Heat Rate'!$B$1:$G$34,6,FALSE)*($G501),""),"")</f>
        <v/>
      </c>
      <c r="I501" t="str">
        <f>IFERROR(VLOOKUP($E501,'Fuel Category and Heat Rate'!$K$2:$M$36,3,FALSE),"")</f>
        <v>heavy fuel oil</v>
      </c>
    </row>
    <row r="502" spans="1:9" x14ac:dyDescent="0.15">
      <c r="A502" s="2">
        <v>55942</v>
      </c>
      <c r="B502" s="2" t="s">
        <v>68</v>
      </c>
      <c r="C502" s="2">
        <v>2022</v>
      </c>
      <c r="D502" s="2" t="s">
        <v>1</v>
      </c>
      <c r="E502" s="2" t="s">
        <v>20</v>
      </c>
      <c r="F502" s="2" t="s">
        <v>35</v>
      </c>
      <c r="G502" s="7"/>
      <c r="H502" s="13" t="str">
        <f>IFERROR(IF(ABS($G502)&gt;0,VLOOKUP($E502,'Fuel Category and Heat Rate'!$B$1:$G$34,6,FALSE)*($G502),""),"")</f>
        <v/>
      </c>
      <c r="I502" t="str">
        <f>IFERROR(VLOOKUP($E502,'Fuel Category and Heat Rate'!$K$2:$M$36,3,FALSE),"")</f>
        <v>LPG propane or butane</v>
      </c>
    </row>
    <row r="503" spans="1:9" x14ac:dyDescent="0.15">
      <c r="A503" s="2">
        <v>55977</v>
      </c>
      <c r="B503" s="2" t="s">
        <v>68</v>
      </c>
      <c r="C503" s="2">
        <v>2022</v>
      </c>
      <c r="D503" s="2" t="s">
        <v>1</v>
      </c>
      <c r="E503" s="2" t="s">
        <v>25</v>
      </c>
      <c r="F503" s="2" t="s">
        <v>35</v>
      </c>
      <c r="G503" s="7"/>
      <c r="H503" s="13" t="str">
        <f>IFERROR(IF(ABS($G503)&gt;0,VLOOKUP($E503,'Fuel Category and Heat Rate'!$B$1:$G$34,6,FALSE)*($G503),""),"")</f>
        <v/>
      </c>
      <c r="I503" t="str">
        <f>IFERROR(VLOOKUP($E503,'Fuel Category and Heat Rate'!$K$2:$M$36,3,FALSE),"")</f>
        <v>heavy fuel oil</v>
      </c>
    </row>
    <row r="504" spans="1:9" x14ac:dyDescent="0.15">
      <c r="A504" s="2">
        <v>56012</v>
      </c>
      <c r="B504" s="2" t="s">
        <v>68</v>
      </c>
      <c r="C504" s="2">
        <v>2022</v>
      </c>
      <c r="D504" s="2" t="s">
        <v>1</v>
      </c>
      <c r="E504" s="2" t="s">
        <v>24</v>
      </c>
      <c r="F504" s="2" t="s">
        <v>35</v>
      </c>
      <c r="G504" s="7"/>
      <c r="H504" s="13" t="str">
        <f>IFERROR(IF(ABS($G504)&gt;0,VLOOKUP($E504,'Fuel Category and Heat Rate'!$B$1:$G$34,6,FALSE)*($G504),""),"")</f>
        <v/>
      </c>
      <c r="I504" t="str">
        <f>IFERROR(VLOOKUP($E504,'Fuel Category and Heat Rate'!$K$2:$M$36,3,FALSE),"")</f>
        <v>heavy fuel oil</v>
      </c>
    </row>
    <row r="505" spans="1:9" x14ac:dyDescent="0.15">
      <c r="A505" s="2">
        <v>56047</v>
      </c>
      <c r="B505" s="2" t="s">
        <v>68</v>
      </c>
      <c r="C505" s="2">
        <v>2022</v>
      </c>
      <c r="D505" s="2" t="s">
        <v>1</v>
      </c>
      <c r="E505" s="2" t="s">
        <v>29</v>
      </c>
      <c r="F505" s="2" t="s">
        <v>36</v>
      </c>
      <c r="G505" s="7">
        <v>-0.84</v>
      </c>
      <c r="H505" s="13">
        <f>IFERROR(IF(ABS($G505)&gt;0,VLOOKUP($E505,'Fuel Category and Heat Rate'!$B$1:$G$34,6,FALSE)*($G505),""),"")</f>
        <v>-2833118265729.7241</v>
      </c>
      <c r="I505" t="str">
        <f>IFERROR(VLOOKUP($E505,'Fuel Category and Heat Rate'!$K$2:$M$36,3,FALSE),"")</f>
        <v>natural gas</v>
      </c>
    </row>
    <row r="506" spans="1:9" x14ac:dyDescent="0.15">
      <c r="A506" s="2">
        <v>56082</v>
      </c>
      <c r="B506" s="2" t="s">
        <v>68</v>
      </c>
      <c r="C506" s="2">
        <v>2022</v>
      </c>
      <c r="D506" s="2" t="s">
        <v>1</v>
      </c>
      <c r="E506" s="2" t="s">
        <v>4</v>
      </c>
      <c r="F506" s="2" t="s">
        <v>35</v>
      </c>
      <c r="G506" s="7"/>
      <c r="H506" s="13" t="str">
        <f>IFERROR(IF(ABS($G506)&gt;0,VLOOKUP($E506,'Fuel Category and Heat Rate'!$B$1:$G$34,6,FALSE)*($G506),""),"")</f>
        <v/>
      </c>
      <c r="I506" t="str">
        <f>IFERROR(VLOOKUP($E506,'Fuel Category and Heat Rate'!$K$2:$M$36,3,FALSE),"")</f>
        <v>coal</v>
      </c>
    </row>
    <row r="507" spans="1:9" x14ac:dyDescent="0.15">
      <c r="A507" s="2">
        <v>56117</v>
      </c>
      <c r="B507" s="2" t="s">
        <v>68</v>
      </c>
      <c r="C507" s="2">
        <v>2022</v>
      </c>
      <c r="D507" s="2" t="s">
        <v>1</v>
      </c>
      <c r="E507" s="2" t="s">
        <v>6</v>
      </c>
      <c r="F507" s="2" t="s">
        <v>35</v>
      </c>
      <c r="G507" s="7">
        <v>-22.08</v>
      </c>
      <c r="H507" s="13">
        <f>IFERROR(IF(ABS($G507)&gt;0,VLOOKUP($E507,'Fuel Category and Heat Rate'!$B$1:$G$34,6,FALSE)*($G507),""),"")</f>
        <v>-3238158814057.0942</v>
      </c>
      <c r="I507" t="str">
        <f>IFERROR(VLOOKUP($E507,'Fuel Category and Heat Rate'!$K$2:$M$36,3,FALSE),"")</f>
        <v>coal</v>
      </c>
    </row>
    <row r="508" spans="1:9" x14ac:dyDescent="0.15">
      <c r="A508" s="2">
        <v>56152</v>
      </c>
      <c r="B508" s="2" t="s">
        <v>68</v>
      </c>
      <c r="C508" s="2">
        <v>2022</v>
      </c>
      <c r="D508" s="2" t="s">
        <v>1</v>
      </c>
      <c r="E508" s="2" t="s">
        <v>26</v>
      </c>
      <c r="F508" s="2" t="s">
        <v>35</v>
      </c>
      <c r="G508" s="7"/>
      <c r="H508" s="13" t="str">
        <f>IFERROR(IF(ABS($G508)&gt;0,VLOOKUP($E508,'Fuel Category and Heat Rate'!$B$1:$G$34,6,FALSE)*($G508),""),"")</f>
        <v/>
      </c>
      <c r="I508" t="str">
        <f>IFERROR(VLOOKUP($E508,'Fuel Category and Heat Rate'!$K$2:$M$36,3,FALSE),"")</f>
        <v>LPG propane or butane</v>
      </c>
    </row>
    <row r="509" spans="1:9" x14ac:dyDescent="0.15">
      <c r="A509" s="2">
        <v>56187</v>
      </c>
      <c r="B509" s="2" t="s">
        <v>68</v>
      </c>
      <c r="C509" s="2">
        <v>2022</v>
      </c>
      <c r="D509" s="2" t="s">
        <v>1</v>
      </c>
      <c r="E509" s="2" t="s">
        <v>30</v>
      </c>
      <c r="F509" s="2" t="s">
        <v>35</v>
      </c>
      <c r="G509" s="7"/>
      <c r="H509" s="13" t="str">
        <f>IFERROR(IF(ABS($G509)&gt;0,VLOOKUP($E509,'Fuel Category and Heat Rate'!$B$1:$G$34,6,FALSE)*($G509),""),"")</f>
        <v/>
      </c>
      <c r="I509" t="str">
        <f>IFERROR(VLOOKUP($E509,'Fuel Category and Heat Rate'!$K$2:$M$36,3,FALSE),"")</f>
        <v>natural gas</v>
      </c>
    </row>
    <row r="510" spans="1:9" x14ac:dyDescent="0.15">
      <c r="A510" s="2">
        <v>56222</v>
      </c>
      <c r="B510" s="2" t="s">
        <v>68</v>
      </c>
      <c r="C510" s="2">
        <v>2022</v>
      </c>
      <c r="D510" s="2" t="s">
        <v>1</v>
      </c>
      <c r="E510" s="2" t="s">
        <v>14</v>
      </c>
      <c r="F510" s="2" t="s">
        <v>35</v>
      </c>
      <c r="G510" s="7">
        <v>-14.53</v>
      </c>
      <c r="H510" s="13">
        <f>IFERROR(IF(ABS($G510)&gt;0,VLOOKUP($E510,'Fuel Category and Heat Rate'!$B$1:$G$34,6,FALSE)*($G510),""),"")</f>
        <v>0</v>
      </c>
      <c r="I510" t="str">
        <f>IFERROR(VLOOKUP($E510,'Fuel Category and Heat Rate'!$K$2:$M$36,3,FALSE),"")</f>
        <v/>
      </c>
    </row>
    <row r="511" spans="1:9" x14ac:dyDescent="0.15">
      <c r="A511" s="2">
        <v>56257</v>
      </c>
      <c r="B511" s="2" t="s">
        <v>68</v>
      </c>
      <c r="C511" s="2">
        <v>2022</v>
      </c>
      <c r="D511" s="2" t="s">
        <v>1</v>
      </c>
      <c r="E511" s="2" t="s">
        <v>3</v>
      </c>
      <c r="F511" s="2" t="s">
        <v>35</v>
      </c>
      <c r="G511" s="7">
        <v>-1058.1099999999999</v>
      </c>
      <c r="H511" s="13">
        <f>IFERROR(IF(ABS($G511)&gt;0,VLOOKUP($E511,'Fuel Category and Heat Rate'!$B$1:$G$34,6,FALSE)*($G511),""),"")</f>
        <v>-209685239696078.63</v>
      </c>
      <c r="I511" t="str">
        <f>IFERROR(VLOOKUP($E511,'Fuel Category and Heat Rate'!$K$2:$M$36,3,FALSE),"")</f>
        <v>coal</v>
      </c>
    </row>
    <row r="512" spans="1:9" x14ac:dyDescent="0.15">
      <c r="A512" s="2">
        <v>56292</v>
      </c>
      <c r="B512" s="2" t="s">
        <v>68</v>
      </c>
      <c r="C512" s="2">
        <v>2022</v>
      </c>
      <c r="D512" s="2" t="s">
        <v>1</v>
      </c>
      <c r="E512" s="2" t="s">
        <v>15</v>
      </c>
      <c r="F512" s="2" t="s">
        <v>35</v>
      </c>
      <c r="G512" s="7"/>
      <c r="H512" s="13" t="str">
        <f>IFERROR(IF(ABS($G512)&gt;0,VLOOKUP($E512,'Fuel Category and Heat Rate'!$B$1:$G$34,6,FALSE)*($G512),""),"")</f>
        <v/>
      </c>
      <c r="I512" t="str">
        <f>IFERROR(VLOOKUP($E512,'Fuel Category and Heat Rate'!$K$2:$M$36,3,FALSE),"")</f>
        <v>crude oil</v>
      </c>
    </row>
    <row r="513" spans="1:9" x14ac:dyDescent="0.15">
      <c r="A513" s="2">
        <v>56327</v>
      </c>
      <c r="B513" s="2" t="s">
        <v>68</v>
      </c>
      <c r="C513" s="2">
        <v>2022</v>
      </c>
      <c r="D513" s="2" t="s">
        <v>1</v>
      </c>
      <c r="E513" s="2" t="s">
        <v>11</v>
      </c>
      <c r="F513" s="2" t="s">
        <v>36</v>
      </c>
      <c r="G513" s="7">
        <v>-0.27</v>
      </c>
      <c r="H513" s="13">
        <f>IFERROR(IF(ABS($G513)&gt;0,VLOOKUP($E513,'Fuel Category and Heat Rate'!$B$1:$G$34,6,FALSE)*($G513),""),"")</f>
        <v>-203320990068.9144</v>
      </c>
      <c r="I513" t="str">
        <f>IFERROR(VLOOKUP($E513,'Fuel Category and Heat Rate'!$K$2:$M$36,3,FALSE),"")</f>
        <v>LPG propane or butane</v>
      </c>
    </row>
    <row r="514" spans="1:9" x14ac:dyDescent="0.15">
      <c r="A514" s="2">
        <v>56362</v>
      </c>
      <c r="B514" s="2" t="s">
        <v>68</v>
      </c>
      <c r="C514" s="2">
        <v>2021</v>
      </c>
      <c r="D514" s="2" t="s">
        <v>1</v>
      </c>
      <c r="E514" s="2" t="s">
        <v>18</v>
      </c>
      <c r="F514" s="2" t="s">
        <v>35</v>
      </c>
      <c r="G514" s="7">
        <v>-0.1</v>
      </c>
      <c r="H514" s="13">
        <f>IFERROR(IF(ABS($G514)&gt;0,VLOOKUP($E514,'Fuel Category and Heat Rate'!$B$1:$G$34,6,FALSE)*($G514),""),"")</f>
        <v>-40426295915.993454</v>
      </c>
      <c r="I514" t="str">
        <f>IFERROR(VLOOKUP($E514,'Fuel Category and Heat Rate'!$K$2:$M$36,3,FALSE),"")</f>
        <v>petroleum diesel</v>
      </c>
    </row>
    <row r="515" spans="1:9" x14ac:dyDescent="0.15">
      <c r="A515" s="2">
        <v>56397</v>
      </c>
      <c r="B515" s="2" t="s">
        <v>68</v>
      </c>
      <c r="C515" s="2">
        <v>2021</v>
      </c>
      <c r="D515" s="2" t="s">
        <v>1</v>
      </c>
      <c r="E515" s="2" t="s">
        <v>32</v>
      </c>
      <c r="F515" s="2" t="s">
        <v>65</v>
      </c>
      <c r="G515" s="7"/>
      <c r="H515" s="13" t="str">
        <f>IFERROR(IF(ABS($G515)&gt;0,VLOOKUP($E515,'Fuel Category and Heat Rate'!$B$1:$G$34,6,FALSE)*($G515),""),"")</f>
        <v/>
      </c>
      <c r="I515" t="str">
        <f>IFERROR(VLOOKUP($E515,'Fuel Category and Heat Rate'!$K$2:$M$36,3,FALSE),"")</f>
        <v>electricity</v>
      </c>
    </row>
    <row r="516" spans="1:9" x14ac:dyDescent="0.15">
      <c r="A516" s="2">
        <v>56432</v>
      </c>
      <c r="B516" s="2" t="s">
        <v>68</v>
      </c>
      <c r="C516" s="2">
        <v>2021</v>
      </c>
      <c r="D516" s="2" t="s">
        <v>1</v>
      </c>
      <c r="E516" s="2" t="s">
        <v>10</v>
      </c>
      <c r="F516" s="2" t="s">
        <v>36</v>
      </c>
      <c r="G516" s="7">
        <v>-1.42</v>
      </c>
      <c r="H516" s="13">
        <f>IFERROR(IF(ABS($G516)&gt;0,VLOOKUP($E516,'Fuel Category and Heat Rate'!$B$1:$G$34,6,FALSE)*($G516),""),"")</f>
        <v>-506462288228.62787</v>
      </c>
      <c r="I516" t="str">
        <f>IFERROR(VLOOKUP($E516,'Fuel Category and Heat Rate'!$K$2:$M$36,3,FALSE),"")</f>
        <v>LPG propane or butane</v>
      </c>
    </row>
    <row r="517" spans="1:9" x14ac:dyDescent="0.15">
      <c r="A517" s="2">
        <v>56467</v>
      </c>
      <c r="B517" s="2" t="s">
        <v>68</v>
      </c>
      <c r="C517" s="2">
        <v>2021</v>
      </c>
      <c r="D517" s="2" t="s">
        <v>1</v>
      </c>
      <c r="E517" s="2" t="s">
        <v>9</v>
      </c>
      <c r="F517" s="2" t="s">
        <v>36</v>
      </c>
      <c r="G517" s="7">
        <v>-0.19</v>
      </c>
      <c r="H517" s="13">
        <f>IFERROR(IF(ABS($G517)&gt;0,VLOOKUP($E517,'Fuel Category and Heat Rate'!$B$1:$G$34,6,FALSE)*($G517),""),"")</f>
        <v>-312510944325.83832</v>
      </c>
      <c r="I517" t="str">
        <f>IFERROR(VLOOKUP($E517,'Fuel Category and Heat Rate'!$K$2:$M$36,3,FALSE),"")</f>
        <v>LPG propane or butane</v>
      </c>
    </row>
    <row r="518" spans="1:9" x14ac:dyDescent="0.15">
      <c r="A518" s="2">
        <v>56502</v>
      </c>
      <c r="B518" s="2" t="s">
        <v>68</v>
      </c>
      <c r="C518" s="2">
        <v>2021</v>
      </c>
      <c r="D518" s="2" t="s">
        <v>1</v>
      </c>
      <c r="E518" s="2" t="s">
        <v>8</v>
      </c>
      <c r="F518" s="2" t="s">
        <v>35</v>
      </c>
      <c r="G518" s="7"/>
      <c r="H518" s="13" t="str">
        <f>IFERROR(IF(ABS($G518)&gt;0,VLOOKUP($E518,'Fuel Category and Heat Rate'!$B$1:$G$34,6,FALSE)*($G518),""),"")</f>
        <v/>
      </c>
      <c r="I518" t="str">
        <f>IFERROR(VLOOKUP($E518,'Fuel Category and Heat Rate'!$K$2:$M$36,3,FALSE),"")</f>
        <v>coal</v>
      </c>
    </row>
    <row r="519" spans="1:9" x14ac:dyDescent="0.15">
      <c r="A519" s="2">
        <v>56537</v>
      </c>
      <c r="B519" s="2" t="s">
        <v>68</v>
      </c>
      <c r="C519" s="2">
        <v>2021</v>
      </c>
      <c r="D519" s="2" t="s">
        <v>1</v>
      </c>
      <c r="E519" s="2" t="s">
        <v>27</v>
      </c>
      <c r="F519" s="2" t="s">
        <v>35</v>
      </c>
      <c r="G519" s="7">
        <v>-9.7799999999999994</v>
      </c>
      <c r="H519" s="13">
        <f>IFERROR(IF(ABS($G519)&gt;0,VLOOKUP($E519,'Fuel Category and Heat Rate'!$B$1:$G$34,6,FALSE)*($G519),""),"")</f>
        <v>-4263854278425.1655</v>
      </c>
      <c r="I519" t="str">
        <f>IFERROR(VLOOKUP($E519,'Fuel Category and Heat Rate'!$K$2:$M$36,3,FALSE),"")</f>
        <v>LPG propane or butane</v>
      </c>
    </row>
    <row r="520" spans="1:9" x14ac:dyDescent="0.15">
      <c r="A520" s="2">
        <v>56572</v>
      </c>
      <c r="B520" s="2" t="s">
        <v>68</v>
      </c>
      <c r="C520" s="2">
        <v>2021</v>
      </c>
      <c r="D520" s="2" t="s">
        <v>1</v>
      </c>
      <c r="E520" s="2" t="s">
        <v>7</v>
      </c>
      <c r="F520" s="2" t="s">
        <v>35</v>
      </c>
      <c r="G520" s="7">
        <v>-7.41</v>
      </c>
      <c r="H520" s="13">
        <f>IFERROR(IF(ABS($G520)&gt;0,VLOOKUP($E520,'Fuel Category and Heat Rate'!$B$1:$G$34,6,FALSE)*($G520),""),"")</f>
        <v>-588133225364.32556</v>
      </c>
      <c r="I520" t="str">
        <f>IFERROR(VLOOKUP($E520,'Fuel Category and Heat Rate'!$K$2:$M$36,3,FALSE),"")</f>
        <v>coal</v>
      </c>
    </row>
    <row r="521" spans="1:9" x14ac:dyDescent="0.15">
      <c r="A521" s="2">
        <v>56607</v>
      </c>
      <c r="B521" s="2" t="s">
        <v>68</v>
      </c>
      <c r="C521" s="2">
        <v>2021</v>
      </c>
      <c r="D521" s="2" t="s">
        <v>1</v>
      </c>
      <c r="E521" s="2" t="s">
        <v>2</v>
      </c>
      <c r="F521" s="2" t="s">
        <v>35</v>
      </c>
      <c r="G521" s="7">
        <v>-1022.54</v>
      </c>
      <c r="H521" s="13">
        <f>IFERROR(IF(ABS($G521)&gt;0,VLOOKUP($E521,'Fuel Category and Heat Rate'!$B$1:$G$34,6,FALSE)*($G521),""),"")</f>
        <v>0</v>
      </c>
      <c r="I521" t="str">
        <f>IFERROR(VLOOKUP($E521,'Fuel Category and Heat Rate'!$K$2:$M$36,3,FALSE),"")</f>
        <v/>
      </c>
    </row>
    <row r="522" spans="1:9" x14ac:dyDescent="0.15">
      <c r="A522" s="2">
        <v>56642</v>
      </c>
      <c r="B522" s="2" t="s">
        <v>68</v>
      </c>
      <c r="C522" s="2">
        <v>2021</v>
      </c>
      <c r="D522" s="2" t="s">
        <v>1</v>
      </c>
      <c r="E522" s="2" t="s">
        <v>17</v>
      </c>
      <c r="F522" s="2" t="s">
        <v>35</v>
      </c>
      <c r="G522" s="7"/>
      <c r="H522" s="13" t="str">
        <f>IFERROR(IF(ABS($G522)&gt;0,VLOOKUP($E522,'Fuel Category and Heat Rate'!$B$1:$G$34,6,FALSE)*($G522),""),"")</f>
        <v/>
      </c>
      <c r="I522" t="str">
        <f>IFERROR(VLOOKUP($E522,'Fuel Category and Heat Rate'!$K$2:$M$36,3,FALSE),"")</f>
        <v>petroleum diesel</v>
      </c>
    </row>
    <row r="523" spans="1:9" x14ac:dyDescent="0.15">
      <c r="A523" s="2">
        <v>56677</v>
      </c>
      <c r="B523" s="2" t="s">
        <v>68</v>
      </c>
      <c r="C523" s="2">
        <v>2021</v>
      </c>
      <c r="D523" s="2" t="s">
        <v>1</v>
      </c>
      <c r="E523" s="2" t="s">
        <v>13</v>
      </c>
      <c r="F523" s="2" t="s">
        <v>35</v>
      </c>
      <c r="G523" s="7"/>
      <c r="H523" s="13" t="str">
        <f>IFERROR(IF(ABS($G523)&gt;0,VLOOKUP($E523,'Fuel Category and Heat Rate'!$B$1:$G$34,6,FALSE)*($G523),""),"")</f>
        <v/>
      </c>
      <c r="I523" t="str">
        <f>IFERROR(VLOOKUP($E523,'Fuel Category and Heat Rate'!$K$2:$M$36,3,FALSE),"")</f>
        <v>petroleum diesel</v>
      </c>
    </row>
    <row r="524" spans="1:9" x14ac:dyDescent="0.15">
      <c r="A524" s="2">
        <v>56712</v>
      </c>
      <c r="B524" s="2" t="s">
        <v>68</v>
      </c>
      <c r="C524" s="2">
        <v>2021</v>
      </c>
      <c r="D524" s="2" t="s">
        <v>1</v>
      </c>
      <c r="E524" s="2" t="s">
        <v>12</v>
      </c>
      <c r="F524" s="2" t="s">
        <v>36</v>
      </c>
      <c r="G524" s="7"/>
      <c r="H524" s="13" t="str">
        <f>IFERROR(IF(ABS($G524)&gt;0,VLOOKUP($E524,'Fuel Category and Heat Rate'!$B$1:$G$34,6,FALSE)*($G524),""),"")</f>
        <v/>
      </c>
      <c r="I524" t="str">
        <f>IFERROR(VLOOKUP($E524,'Fuel Category and Heat Rate'!$K$2:$M$36,3,FALSE),"")</f>
        <v>LPG propane or butane</v>
      </c>
    </row>
    <row r="525" spans="1:9" x14ac:dyDescent="0.15">
      <c r="A525" s="2">
        <v>56747</v>
      </c>
      <c r="B525" s="2" t="s">
        <v>68</v>
      </c>
      <c r="C525" s="2">
        <v>2021</v>
      </c>
      <c r="D525" s="2" t="s">
        <v>1</v>
      </c>
      <c r="E525" s="2" t="s">
        <v>33</v>
      </c>
      <c r="F525" s="2" t="s">
        <v>38</v>
      </c>
      <c r="G525" s="7">
        <v>-0.3</v>
      </c>
      <c r="H525" s="13">
        <f>IFERROR(IF(ABS($G525)&gt;0,VLOOKUP($E525,'Fuel Category and Heat Rate'!$B$1:$G$34,6,FALSE)*($G525),""),"")</f>
        <v>-83230664992.758438</v>
      </c>
      <c r="I525" t="str">
        <f>IFERROR(VLOOKUP($E525,'Fuel Category and Heat Rate'!$K$2:$M$36,3,FALSE),"")</f>
        <v>biomass</v>
      </c>
    </row>
    <row r="526" spans="1:9" x14ac:dyDescent="0.15">
      <c r="A526" s="2">
        <v>56782</v>
      </c>
      <c r="B526" s="2" t="s">
        <v>68</v>
      </c>
      <c r="C526" s="2">
        <v>2021</v>
      </c>
      <c r="D526" s="2" t="s">
        <v>1</v>
      </c>
      <c r="E526" s="2" t="s">
        <v>28</v>
      </c>
      <c r="F526" s="2" t="s">
        <v>35</v>
      </c>
      <c r="G526" s="7"/>
      <c r="H526" s="13" t="str">
        <f>IFERROR(IF(ABS($G526)&gt;0,VLOOKUP($E526,'Fuel Category and Heat Rate'!$B$1:$G$34,6,FALSE)*($G526),""),"")</f>
        <v/>
      </c>
      <c r="I526" t="str">
        <f>IFERROR(VLOOKUP($E526,'Fuel Category and Heat Rate'!$K$2:$M$36,3,FALSE),"")</f>
        <v>heavy or residual fuel oil</v>
      </c>
    </row>
    <row r="527" spans="1:9" x14ac:dyDescent="0.15">
      <c r="A527" s="2">
        <v>56817</v>
      </c>
      <c r="B527" s="2" t="s">
        <v>68</v>
      </c>
      <c r="C527" s="2">
        <v>2021</v>
      </c>
      <c r="D527" s="2" t="s">
        <v>1</v>
      </c>
      <c r="E527" s="2" t="s">
        <v>5</v>
      </c>
      <c r="F527" s="2" t="s">
        <v>35</v>
      </c>
      <c r="G527" s="7">
        <v>-8.93</v>
      </c>
      <c r="H527" s="13">
        <f>IFERROR(IF(ABS($G527)&gt;0,VLOOKUP($E527,'Fuel Category and Heat Rate'!$B$1:$G$34,6,FALSE)*($G527),""),"")</f>
        <v>-707844897499.97583</v>
      </c>
      <c r="I527" t="str">
        <f>IFERROR(VLOOKUP($E527,'Fuel Category and Heat Rate'!$K$2:$M$36,3,FALSE),"")</f>
        <v>coal</v>
      </c>
    </row>
    <row r="528" spans="1:9" x14ac:dyDescent="0.15">
      <c r="A528" s="2">
        <v>56852</v>
      </c>
      <c r="B528" s="2" t="s">
        <v>68</v>
      </c>
      <c r="C528" s="2">
        <v>2021</v>
      </c>
      <c r="D528" s="2" t="s">
        <v>1</v>
      </c>
      <c r="E528" s="2" t="s">
        <v>16</v>
      </c>
      <c r="F528" s="2" t="s">
        <v>35</v>
      </c>
      <c r="G528" s="7"/>
      <c r="H528" s="13" t="str">
        <f>IFERROR(IF(ABS($G528)&gt;0,VLOOKUP($E528,'Fuel Category and Heat Rate'!$B$1:$G$34,6,FALSE)*($G528),""),"")</f>
        <v/>
      </c>
      <c r="I528" t="str">
        <f>IFERROR(VLOOKUP($E528,'Fuel Category and Heat Rate'!$K$2:$M$36,3,FALSE),"")</f>
        <v>petroleum diesel</v>
      </c>
    </row>
    <row r="529" spans="1:9" x14ac:dyDescent="0.15">
      <c r="A529" s="2">
        <v>56887</v>
      </c>
      <c r="B529" s="2" t="s">
        <v>68</v>
      </c>
      <c r="C529" s="2">
        <v>2021</v>
      </c>
      <c r="D529" s="2" t="s">
        <v>1</v>
      </c>
      <c r="E529" s="2" t="s">
        <v>19</v>
      </c>
      <c r="F529" s="2" t="s">
        <v>35</v>
      </c>
      <c r="G529" s="7"/>
      <c r="H529" s="13" t="str">
        <f>IFERROR(IF(ABS($G529)&gt;0,VLOOKUP($E529,'Fuel Category and Heat Rate'!$B$1:$G$34,6,FALSE)*($G529),""),"")</f>
        <v/>
      </c>
      <c r="I529" t="str">
        <f>IFERROR(VLOOKUP($E529,'Fuel Category and Heat Rate'!$K$2:$M$36,3,FALSE),"")</f>
        <v>heavy or residual fuel oil</v>
      </c>
    </row>
    <row r="530" spans="1:9" x14ac:dyDescent="0.15">
      <c r="A530" s="2">
        <v>56922</v>
      </c>
      <c r="B530" s="2" t="s">
        <v>68</v>
      </c>
      <c r="C530" s="2">
        <v>2021</v>
      </c>
      <c r="D530" s="2" t="s">
        <v>1</v>
      </c>
      <c r="E530" s="2" t="s">
        <v>31</v>
      </c>
      <c r="F530" s="2" t="s">
        <v>37</v>
      </c>
      <c r="G530" s="7">
        <v>16506.84</v>
      </c>
      <c r="H530" s="13">
        <f>IFERROR(IF(ABS($G530)&gt;0,VLOOKUP($E530,'Fuel Category and Heat Rate'!$B$1:$G$34,6,FALSE)*($G530),""),"")</f>
        <v>156454655931247.63</v>
      </c>
      <c r="I530" t="str">
        <f>IFERROR(VLOOKUP($E530,'Fuel Category and Heat Rate'!$K$2:$M$36,3,FALSE),"")</f>
        <v>heat</v>
      </c>
    </row>
    <row r="531" spans="1:9" x14ac:dyDescent="0.15">
      <c r="A531" s="2">
        <v>56957</v>
      </c>
      <c r="B531" s="2" t="s">
        <v>68</v>
      </c>
      <c r="C531" s="2">
        <v>2021</v>
      </c>
      <c r="D531" s="2" t="s">
        <v>1</v>
      </c>
      <c r="E531" s="2" t="s">
        <v>23</v>
      </c>
      <c r="F531" s="2" t="s">
        <v>35</v>
      </c>
      <c r="G531" s="7"/>
      <c r="H531" s="13" t="str">
        <f>IFERROR(IF(ABS($G531)&gt;0,VLOOKUP($E531,'Fuel Category and Heat Rate'!$B$1:$G$34,6,FALSE)*($G531),""),"")</f>
        <v/>
      </c>
      <c r="I531" t="str">
        <f>IFERROR(VLOOKUP($E531,'Fuel Category and Heat Rate'!$K$2:$M$36,3,FALSE),"")</f>
        <v>heavy or residual fuel oil</v>
      </c>
    </row>
    <row r="532" spans="1:9" x14ac:dyDescent="0.15">
      <c r="A532" s="2">
        <v>56992</v>
      </c>
      <c r="B532" s="2" t="s">
        <v>68</v>
      </c>
      <c r="C532" s="2">
        <v>2021</v>
      </c>
      <c r="D532" s="2" t="s">
        <v>1</v>
      </c>
      <c r="E532" s="2" t="s">
        <v>21</v>
      </c>
      <c r="F532" s="2" t="s">
        <v>35</v>
      </c>
      <c r="G532" s="7"/>
      <c r="H532" s="13" t="str">
        <f>IFERROR(IF(ABS($G532)&gt;0,VLOOKUP($E532,'Fuel Category and Heat Rate'!$B$1:$G$34,6,FALSE)*($G532),""),"")</f>
        <v/>
      </c>
      <c r="I532" t="str">
        <f>IFERROR(VLOOKUP($E532,'Fuel Category and Heat Rate'!$K$2:$M$36,3,FALSE),"")</f>
        <v>LPG propane or butane</v>
      </c>
    </row>
    <row r="533" spans="1:9" x14ac:dyDescent="0.15">
      <c r="A533" s="2">
        <v>57027</v>
      </c>
      <c r="B533" s="2" t="s">
        <v>68</v>
      </c>
      <c r="C533" s="2">
        <v>2021</v>
      </c>
      <c r="D533" s="2" t="s">
        <v>1</v>
      </c>
      <c r="E533" s="2" t="s">
        <v>22</v>
      </c>
      <c r="F533" s="2" t="s">
        <v>35</v>
      </c>
      <c r="G533" s="7"/>
      <c r="H533" s="13" t="str">
        <f>IFERROR(IF(ABS($G533)&gt;0,VLOOKUP($E533,'Fuel Category and Heat Rate'!$B$1:$G$34,6,FALSE)*($G533),""),"")</f>
        <v/>
      </c>
      <c r="I533" t="str">
        <f>IFERROR(VLOOKUP($E533,'Fuel Category and Heat Rate'!$K$2:$M$36,3,FALSE),"")</f>
        <v>heavy fuel oil</v>
      </c>
    </row>
    <row r="534" spans="1:9" x14ac:dyDescent="0.15">
      <c r="A534" s="2">
        <v>57062</v>
      </c>
      <c r="B534" s="2" t="s">
        <v>68</v>
      </c>
      <c r="C534" s="2">
        <v>2021</v>
      </c>
      <c r="D534" s="2" t="s">
        <v>1</v>
      </c>
      <c r="E534" s="2" t="s">
        <v>20</v>
      </c>
      <c r="F534" s="2" t="s">
        <v>35</v>
      </c>
      <c r="G534" s="7"/>
      <c r="H534" s="13" t="str">
        <f>IFERROR(IF(ABS($G534)&gt;0,VLOOKUP($E534,'Fuel Category and Heat Rate'!$B$1:$G$34,6,FALSE)*($G534),""),"")</f>
        <v/>
      </c>
      <c r="I534" t="str">
        <f>IFERROR(VLOOKUP($E534,'Fuel Category and Heat Rate'!$K$2:$M$36,3,FALSE),"")</f>
        <v>LPG propane or butane</v>
      </c>
    </row>
    <row r="535" spans="1:9" x14ac:dyDescent="0.15">
      <c r="A535" s="2">
        <v>57097</v>
      </c>
      <c r="B535" s="2" t="s">
        <v>68</v>
      </c>
      <c r="C535" s="2">
        <v>2021</v>
      </c>
      <c r="D535" s="2" t="s">
        <v>1</v>
      </c>
      <c r="E535" s="2" t="s">
        <v>25</v>
      </c>
      <c r="F535" s="2" t="s">
        <v>35</v>
      </c>
      <c r="G535" s="7"/>
      <c r="H535" s="13" t="str">
        <f>IFERROR(IF(ABS($G535)&gt;0,VLOOKUP($E535,'Fuel Category and Heat Rate'!$B$1:$G$34,6,FALSE)*($G535),""),"")</f>
        <v/>
      </c>
      <c r="I535" t="str">
        <f>IFERROR(VLOOKUP($E535,'Fuel Category and Heat Rate'!$K$2:$M$36,3,FALSE),"")</f>
        <v>heavy fuel oil</v>
      </c>
    </row>
    <row r="536" spans="1:9" x14ac:dyDescent="0.15">
      <c r="A536" s="2">
        <v>57132</v>
      </c>
      <c r="B536" s="2" t="s">
        <v>68</v>
      </c>
      <c r="C536" s="2">
        <v>2021</v>
      </c>
      <c r="D536" s="2" t="s">
        <v>1</v>
      </c>
      <c r="E536" s="2" t="s">
        <v>24</v>
      </c>
      <c r="F536" s="2" t="s">
        <v>35</v>
      </c>
      <c r="G536" s="7"/>
      <c r="H536" s="13" t="str">
        <f>IFERROR(IF(ABS($G536)&gt;0,VLOOKUP($E536,'Fuel Category and Heat Rate'!$B$1:$G$34,6,FALSE)*($G536),""),"")</f>
        <v/>
      </c>
      <c r="I536" t="str">
        <f>IFERROR(VLOOKUP($E536,'Fuel Category and Heat Rate'!$K$2:$M$36,3,FALSE),"")</f>
        <v>heavy fuel oil</v>
      </c>
    </row>
    <row r="537" spans="1:9" x14ac:dyDescent="0.15">
      <c r="A537" s="2">
        <v>57167</v>
      </c>
      <c r="B537" s="2" t="s">
        <v>68</v>
      </c>
      <c r="C537" s="2">
        <v>2021</v>
      </c>
      <c r="D537" s="2" t="s">
        <v>1</v>
      </c>
      <c r="E537" s="2" t="s">
        <v>29</v>
      </c>
      <c r="F537" s="2" t="s">
        <v>36</v>
      </c>
      <c r="G537" s="7">
        <v>-0.6</v>
      </c>
      <c r="H537" s="13">
        <f>IFERROR(IF(ABS($G537)&gt;0,VLOOKUP($E537,'Fuel Category and Heat Rate'!$B$1:$G$34,6,FALSE)*($G537),""),"")</f>
        <v>-2023655904092.6602</v>
      </c>
      <c r="I537" t="str">
        <f>IFERROR(VLOOKUP($E537,'Fuel Category and Heat Rate'!$K$2:$M$36,3,FALSE),"")</f>
        <v>natural gas</v>
      </c>
    </row>
    <row r="538" spans="1:9" x14ac:dyDescent="0.15">
      <c r="A538" s="2">
        <v>57202</v>
      </c>
      <c r="B538" s="2" t="s">
        <v>68</v>
      </c>
      <c r="C538" s="2">
        <v>2021</v>
      </c>
      <c r="D538" s="2" t="s">
        <v>1</v>
      </c>
      <c r="E538" s="2" t="s">
        <v>4</v>
      </c>
      <c r="F538" s="2" t="s">
        <v>35</v>
      </c>
      <c r="G538" s="7"/>
      <c r="H538" s="13" t="str">
        <f>IFERROR(IF(ABS($G538)&gt;0,VLOOKUP($E538,'Fuel Category and Heat Rate'!$B$1:$G$34,6,FALSE)*($G538),""),"")</f>
        <v/>
      </c>
      <c r="I538" t="str">
        <f>IFERROR(VLOOKUP($E538,'Fuel Category and Heat Rate'!$K$2:$M$36,3,FALSE),"")</f>
        <v>coal</v>
      </c>
    </row>
    <row r="539" spans="1:9" x14ac:dyDescent="0.15">
      <c r="A539" s="2">
        <v>57237</v>
      </c>
      <c r="B539" s="2" t="s">
        <v>68</v>
      </c>
      <c r="C539" s="2">
        <v>2021</v>
      </c>
      <c r="D539" s="2" t="s">
        <v>1</v>
      </c>
      <c r="E539" s="2" t="s">
        <v>6</v>
      </c>
      <c r="F539" s="2" t="s">
        <v>35</v>
      </c>
      <c r="G539" s="7">
        <v>-21.11</v>
      </c>
      <c r="H539" s="13">
        <f>IFERROR(IF(ABS($G539)&gt;0,VLOOKUP($E539,'Fuel Category and Heat Rate'!$B$1:$G$34,6,FALSE)*($G539),""),"")</f>
        <v>-3095902742968.5356</v>
      </c>
      <c r="I539" t="str">
        <f>IFERROR(VLOOKUP($E539,'Fuel Category and Heat Rate'!$K$2:$M$36,3,FALSE),"")</f>
        <v>coal</v>
      </c>
    </row>
    <row r="540" spans="1:9" x14ac:dyDescent="0.15">
      <c r="A540" s="2">
        <v>57272</v>
      </c>
      <c r="B540" s="2" t="s">
        <v>68</v>
      </c>
      <c r="C540" s="2">
        <v>2021</v>
      </c>
      <c r="D540" s="2" t="s">
        <v>1</v>
      </c>
      <c r="E540" s="2" t="s">
        <v>26</v>
      </c>
      <c r="F540" s="2" t="s">
        <v>35</v>
      </c>
      <c r="G540" s="7"/>
      <c r="H540" s="13" t="str">
        <f>IFERROR(IF(ABS($G540)&gt;0,VLOOKUP($E540,'Fuel Category and Heat Rate'!$B$1:$G$34,6,FALSE)*($G540),""),"")</f>
        <v/>
      </c>
      <c r="I540" t="str">
        <f>IFERROR(VLOOKUP($E540,'Fuel Category and Heat Rate'!$K$2:$M$36,3,FALSE),"")</f>
        <v>LPG propane or butane</v>
      </c>
    </row>
    <row r="541" spans="1:9" x14ac:dyDescent="0.15">
      <c r="A541" s="2">
        <v>57307</v>
      </c>
      <c r="B541" s="2" t="s">
        <v>68</v>
      </c>
      <c r="C541" s="2">
        <v>2021</v>
      </c>
      <c r="D541" s="2" t="s">
        <v>1</v>
      </c>
      <c r="E541" s="2" t="s">
        <v>30</v>
      </c>
      <c r="F541" s="2" t="s">
        <v>35</v>
      </c>
      <c r="G541" s="7"/>
      <c r="H541" s="13" t="str">
        <f>IFERROR(IF(ABS($G541)&gt;0,VLOOKUP($E541,'Fuel Category and Heat Rate'!$B$1:$G$34,6,FALSE)*($G541),""),"")</f>
        <v/>
      </c>
      <c r="I541" t="str">
        <f>IFERROR(VLOOKUP($E541,'Fuel Category and Heat Rate'!$K$2:$M$36,3,FALSE),"")</f>
        <v>natural gas</v>
      </c>
    </row>
    <row r="542" spans="1:9" x14ac:dyDescent="0.15">
      <c r="A542" s="2">
        <v>57342</v>
      </c>
      <c r="B542" s="2" t="s">
        <v>68</v>
      </c>
      <c r="C542" s="2">
        <v>2021</v>
      </c>
      <c r="D542" s="2" t="s">
        <v>1</v>
      </c>
      <c r="E542" s="2" t="s">
        <v>14</v>
      </c>
      <c r="F542" s="2" t="s">
        <v>35</v>
      </c>
      <c r="G542" s="7">
        <v>-9.8800000000000008</v>
      </c>
      <c r="H542" s="13">
        <f>IFERROR(IF(ABS($G542)&gt;0,VLOOKUP($E542,'Fuel Category and Heat Rate'!$B$1:$G$34,6,FALSE)*($G542),""),"")</f>
        <v>0</v>
      </c>
      <c r="I542" t="str">
        <f>IFERROR(VLOOKUP($E542,'Fuel Category and Heat Rate'!$K$2:$M$36,3,FALSE),"")</f>
        <v/>
      </c>
    </row>
    <row r="543" spans="1:9" x14ac:dyDescent="0.15">
      <c r="A543" s="2">
        <v>57377</v>
      </c>
      <c r="B543" s="2" t="s">
        <v>68</v>
      </c>
      <c r="C543" s="2">
        <v>2021</v>
      </c>
      <c r="D543" s="2" t="s">
        <v>1</v>
      </c>
      <c r="E543" s="2" t="s">
        <v>3</v>
      </c>
      <c r="F543" s="2" t="s">
        <v>35</v>
      </c>
      <c r="G543" s="7">
        <v>-992.5</v>
      </c>
      <c r="H543" s="13">
        <f>IFERROR(IF(ABS($G543)&gt;0,VLOOKUP($E543,'Fuel Category and Heat Rate'!$B$1:$G$34,6,FALSE)*($G543),""),"")</f>
        <v>-196683331977165</v>
      </c>
      <c r="I543" t="str">
        <f>IFERROR(VLOOKUP($E543,'Fuel Category and Heat Rate'!$K$2:$M$36,3,FALSE),"")</f>
        <v>coal</v>
      </c>
    </row>
    <row r="544" spans="1:9" x14ac:dyDescent="0.15">
      <c r="A544" s="2">
        <v>57412</v>
      </c>
      <c r="B544" s="2" t="s">
        <v>68</v>
      </c>
      <c r="C544" s="2">
        <v>2021</v>
      </c>
      <c r="D544" s="2" t="s">
        <v>1</v>
      </c>
      <c r="E544" s="2" t="s">
        <v>15</v>
      </c>
      <c r="F544" s="2" t="s">
        <v>35</v>
      </c>
      <c r="G544" s="7"/>
      <c r="H544" s="13" t="str">
        <f>IFERROR(IF(ABS($G544)&gt;0,VLOOKUP($E544,'Fuel Category and Heat Rate'!$B$1:$G$34,6,FALSE)*($G544),""),"")</f>
        <v/>
      </c>
      <c r="I544" t="str">
        <f>IFERROR(VLOOKUP($E544,'Fuel Category and Heat Rate'!$K$2:$M$36,3,FALSE),"")</f>
        <v>crude oil</v>
      </c>
    </row>
    <row r="545" spans="1:9" x14ac:dyDescent="0.15">
      <c r="A545" s="2">
        <v>57447</v>
      </c>
      <c r="B545" s="2" t="s">
        <v>68</v>
      </c>
      <c r="C545" s="2">
        <v>2021</v>
      </c>
      <c r="D545" s="2" t="s">
        <v>1</v>
      </c>
      <c r="E545" s="2" t="s">
        <v>11</v>
      </c>
      <c r="F545" s="2" t="s">
        <v>36</v>
      </c>
      <c r="G545" s="7">
        <v>-0.16</v>
      </c>
      <c r="H545" s="13">
        <f>IFERROR(IF(ABS($G545)&gt;0,VLOOKUP($E545,'Fuel Category and Heat Rate'!$B$1:$G$34,6,FALSE)*($G545),""),"")</f>
        <v>-120486512633.43074</v>
      </c>
      <c r="I545" t="str">
        <f>IFERROR(VLOOKUP($E545,'Fuel Category and Heat Rate'!$K$2:$M$36,3,FALSE),"")</f>
        <v>LPG propane or butane</v>
      </c>
    </row>
    <row r="546" spans="1:9" x14ac:dyDescent="0.15">
      <c r="A546" s="2">
        <v>57482</v>
      </c>
      <c r="B546" s="2" t="s">
        <v>68</v>
      </c>
      <c r="C546" s="2">
        <v>2020</v>
      </c>
      <c r="D546" s="2" t="s">
        <v>1</v>
      </c>
      <c r="E546" s="2" t="s">
        <v>18</v>
      </c>
      <c r="F546" s="2" t="s">
        <v>35</v>
      </c>
      <c r="G546" s="7">
        <v>-0.05</v>
      </c>
      <c r="H546" s="13">
        <f>IFERROR(IF(ABS($G546)&gt;0,VLOOKUP($E546,'Fuel Category and Heat Rate'!$B$1:$G$34,6,FALSE)*($G546),""),"")</f>
        <v>-20213147957.996727</v>
      </c>
      <c r="I546" t="str">
        <f>IFERROR(VLOOKUP($E546,'Fuel Category and Heat Rate'!$K$2:$M$36,3,FALSE),"")</f>
        <v>petroleum diesel</v>
      </c>
    </row>
    <row r="547" spans="1:9" x14ac:dyDescent="0.15">
      <c r="A547" s="2">
        <v>57517</v>
      </c>
      <c r="B547" s="2" t="s">
        <v>68</v>
      </c>
      <c r="C547" s="2">
        <v>2020</v>
      </c>
      <c r="D547" s="2" t="s">
        <v>1</v>
      </c>
      <c r="E547" s="2" t="s">
        <v>32</v>
      </c>
      <c r="F547" s="2" t="s">
        <v>65</v>
      </c>
      <c r="G547" s="7"/>
      <c r="H547" s="13" t="str">
        <f>IFERROR(IF(ABS($G547)&gt;0,VLOOKUP($E547,'Fuel Category and Heat Rate'!$B$1:$G$34,6,FALSE)*($G547),""),"")</f>
        <v/>
      </c>
      <c r="I547" t="str">
        <f>IFERROR(VLOOKUP($E547,'Fuel Category and Heat Rate'!$K$2:$M$36,3,FALSE),"")</f>
        <v>electricity</v>
      </c>
    </row>
    <row r="548" spans="1:9" x14ac:dyDescent="0.15">
      <c r="A548" s="2">
        <v>57552</v>
      </c>
      <c r="B548" s="2" t="s">
        <v>68</v>
      </c>
      <c r="C548" s="2">
        <v>2020</v>
      </c>
      <c r="D548" s="2" t="s">
        <v>1</v>
      </c>
      <c r="E548" s="2" t="s">
        <v>10</v>
      </c>
      <c r="F548" s="2" t="s">
        <v>36</v>
      </c>
      <c r="G548" s="7">
        <v>-0.65</v>
      </c>
      <c r="H548" s="13">
        <f>IFERROR(IF(ABS($G548)&gt;0,VLOOKUP($E548,'Fuel Category and Heat Rate'!$B$1:$G$34,6,FALSE)*($G548),""),"")</f>
        <v>-231831329118.73813</v>
      </c>
      <c r="I548" t="str">
        <f>IFERROR(VLOOKUP($E548,'Fuel Category and Heat Rate'!$K$2:$M$36,3,FALSE),"")</f>
        <v>LPG propane or butane</v>
      </c>
    </row>
    <row r="549" spans="1:9" x14ac:dyDescent="0.15">
      <c r="A549" s="2">
        <v>57587</v>
      </c>
      <c r="B549" s="2" t="s">
        <v>68</v>
      </c>
      <c r="C549" s="2">
        <v>2020</v>
      </c>
      <c r="D549" s="2" t="s">
        <v>1</v>
      </c>
      <c r="E549" s="2" t="s">
        <v>9</v>
      </c>
      <c r="F549" s="2" t="s">
        <v>36</v>
      </c>
      <c r="G549" s="7">
        <v>-0.08</v>
      </c>
      <c r="H549" s="13">
        <f>IFERROR(IF(ABS($G549)&gt;0,VLOOKUP($E549,'Fuel Category and Heat Rate'!$B$1:$G$34,6,FALSE)*($G549),""),"")</f>
        <v>-131583555505.61613</v>
      </c>
      <c r="I549" t="str">
        <f>IFERROR(VLOOKUP($E549,'Fuel Category and Heat Rate'!$K$2:$M$36,3,FALSE),"")</f>
        <v>LPG propane or butane</v>
      </c>
    </row>
    <row r="550" spans="1:9" x14ac:dyDescent="0.15">
      <c r="A550" s="2">
        <v>57622</v>
      </c>
      <c r="B550" s="2" t="s">
        <v>68</v>
      </c>
      <c r="C550" s="2">
        <v>2020</v>
      </c>
      <c r="D550" s="2" t="s">
        <v>1</v>
      </c>
      <c r="E550" s="2" t="s">
        <v>8</v>
      </c>
      <c r="F550" s="2" t="s">
        <v>35</v>
      </c>
      <c r="G550" s="7"/>
      <c r="H550" s="13" t="str">
        <f>IFERROR(IF(ABS($G550)&gt;0,VLOOKUP($E550,'Fuel Category and Heat Rate'!$B$1:$G$34,6,FALSE)*($G550),""),"")</f>
        <v/>
      </c>
      <c r="I550" t="str">
        <f>IFERROR(VLOOKUP($E550,'Fuel Category and Heat Rate'!$K$2:$M$36,3,FALSE),"")</f>
        <v>coal</v>
      </c>
    </row>
    <row r="551" spans="1:9" x14ac:dyDescent="0.15">
      <c r="A551" s="2">
        <v>57657</v>
      </c>
      <c r="B551" s="2" t="s">
        <v>68</v>
      </c>
      <c r="C551" s="2">
        <v>2020</v>
      </c>
      <c r="D551" s="2" t="s">
        <v>1</v>
      </c>
      <c r="E551" s="2" t="s">
        <v>27</v>
      </c>
      <c r="F551" s="2" t="s">
        <v>35</v>
      </c>
      <c r="G551" s="7">
        <v>-9.4499999999999993</v>
      </c>
      <c r="H551" s="13">
        <f>IFERROR(IF(ABS($G551)&gt;0,VLOOKUP($E551,'Fuel Category and Heat Rate'!$B$1:$G$34,6,FALSE)*($G551),""),"")</f>
        <v>-4119981894797.3228</v>
      </c>
      <c r="I551" t="str">
        <f>IFERROR(VLOOKUP($E551,'Fuel Category and Heat Rate'!$K$2:$M$36,3,FALSE),"")</f>
        <v>LPG propane or butane</v>
      </c>
    </row>
    <row r="552" spans="1:9" x14ac:dyDescent="0.15">
      <c r="A552" s="2">
        <v>57692</v>
      </c>
      <c r="B552" s="2" t="s">
        <v>68</v>
      </c>
      <c r="C552" s="2">
        <v>2020</v>
      </c>
      <c r="D552" s="2" t="s">
        <v>1</v>
      </c>
      <c r="E552" s="2" t="s">
        <v>7</v>
      </c>
      <c r="F552" s="2" t="s">
        <v>35</v>
      </c>
      <c r="G552" s="7">
        <v>-6.35</v>
      </c>
      <c r="H552" s="13">
        <f>IFERROR(IF(ABS($G552)&gt;0,VLOOKUP($E552,'Fuel Category and Heat Rate'!$B$1:$G$34,6,FALSE)*($G552),""),"")</f>
        <v>-504000807161.06165</v>
      </c>
      <c r="I552" t="str">
        <f>IFERROR(VLOOKUP($E552,'Fuel Category and Heat Rate'!$K$2:$M$36,3,FALSE),"")</f>
        <v>coal</v>
      </c>
    </row>
    <row r="553" spans="1:9" x14ac:dyDescent="0.15">
      <c r="A553" s="2">
        <v>57727</v>
      </c>
      <c r="B553" s="2" t="s">
        <v>68</v>
      </c>
      <c r="C553" s="2">
        <v>2020</v>
      </c>
      <c r="D553" s="2" t="s">
        <v>1</v>
      </c>
      <c r="E553" s="2" t="s">
        <v>2</v>
      </c>
      <c r="F553" s="2" t="s">
        <v>35</v>
      </c>
      <c r="G553" s="7">
        <v>-933.16</v>
      </c>
      <c r="H553" s="13">
        <f>IFERROR(IF(ABS($G553)&gt;0,VLOOKUP($E553,'Fuel Category and Heat Rate'!$B$1:$G$34,6,FALSE)*($G553),""),"")</f>
        <v>0</v>
      </c>
      <c r="I553" t="str">
        <f>IFERROR(VLOOKUP($E553,'Fuel Category and Heat Rate'!$K$2:$M$36,3,FALSE),"")</f>
        <v/>
      </c>
    </row>
    <row r="554" spans="1:9" x14ac:dyDescent="0.15">
      <c r="A554" s="2">
        <v>57762</v>
      </c>
      <c r="B554" s="2" t="s">
        <v>68</v>
      </c>
      <c r="C554" s="2">
        <v>2020</v>
      </c>
      <c r="D554" s="2" t="s">
        <v>1</v>
      </c>
      <c r="E554" s="2" t="s">
        <v>17</v>
      </c>
      <c r="F554" s="2" t="s">
        <v>35</v>
      </c>
      <c r="G554" s="7"/>
      <c r="H554" s="13" t="str">
        <f>IFERROR(IF(ABS($G554)&gt;0,VLOOKUP($E554,'Fuel Category and Heat Rate'!$B$1:$G$34,6,FALSE)*($G554),""),"")</f>
        <v/>
      </c>
      <c r="I554" t="str">
        <f>IFERROR(VLOOKUP($E554,'Fuel Category and Heat Rate'!$K$2:$M$36,3,FALSE),"")</f>
        <v>petroleum diesel</v>
      </c>
    </row>
    <row r="555" spans="1:9" x14ac:dyDescent="0.15">
      <c r="A555" s="2">
        <v>57797</v>
      </c>
      <c r="B555" s="2" t="s">
        <v>68</v>
      </c>
      <c r="C555" s="2">
        <v>2020</v>
      </c>
      <c r="D555" s="2" t="s">
        <v>1</v>
      </c>
      <c r="E555" s="2" t="s">
        <v>13</v>
      </c>
      <c r="F555" s="2" t="s">
        <v>35</v>
      </c>
      <c r="G555" s="7"/>
      <c r="H555" s="13" t="str">
        <f>IFERROR(IF(ABS($G555)&gt;0,VLOOKUP($E555,'Fuel Category and Heat Rate'!$B$1:$G$34,6,FALSE)*($G555),""),"")</f>
        <v/>
      </c>
      <c r="I555" t="str">
        <f>IFERROR(VLOOKUP($E555,'Fuel Category and Heat Rate'!$K$2:$M$36,3,FALSE),"")</f>
        <v>petroleum diesel</v>
      </c>
    </row>
    <row r="556" spans="1:9" x14ac:dyDescent="0.15">
      <c r="A556" s="2">
        <v>57832</v>
      </c>
      <c r="B556" s="2" t="s">
        <v>68</v>
      </c>
      <c r="C556" s="2">
        <v>2020</v>
      </c>
      <c r="D556" s="2" t="s">
        <v>1</v>
      </c>
      <c r="E556" s="2" t="s">
        <v>12</v>
      </c>
      <c r="F556" s="2" t="s">
        <v>36</v>
      </c>
      <c r="G556" s="7"/>
      <c r="H556" s="13" t="str">
        <f>IFERROR(IF(ABS($G556)&gt;0,VLOOKUP($E556,'Fuel Category and Heat Rate'!$B$1:$G$34,6,FALSE)*($G556),""),"")</f>
        <v/>
      </c>
      <c r="I556" t="str">
        <f>IFERROR(VLOOKUP($E556,'Fuel Category and Heat Rate'!$K$2:$M$36,3,FALSE),"")</f>
        <v>LPG propane or butane</v>
      </c>
    </row>
    <row r="557" spans="1:9" x14ac:dyDescent="0.15">
      <c r="A557" s="2">
        <v>57867</v>
      </c>
      <c r="B557" s="2" t="s">
        <v>68</v>
      </c>
      <c r="C557" s="2">
        <v>2020</v>
      </c>
      <c r="D557" s="2" t="s">
        <v>1</v>
      </c>
      <c r="E557" s="2" t="s">
        <v>33</v>
      </c>
      <c r="F557" s="2" t="s">
        <v>38</v>
      </c>
      <c r="G557" s="7">
        <v>-0.8</v>
      </c>
      <c r="H557" s="13">
        <f>IFERROR(IF(ABS($G557)&gt;0,VLOOKUP($E557,'Fuel Category and Heat Rate'!$B$1:$G$34,6,FALSE)*($G557),""),"")</f>
        <v>-221948439980.68918</v>
      </c>
      <c r="I557" t="str">
        <f>IFERROR(VLOOKUP($E557,'Fuel Category and Heat Rate'!$K$2:$M$36,3,FALSE),"")</f>
        <v>biomass</v>
      </c>
    </row>
    <row r="558" spans="1:9" x14ac:dyDescent="0.15">
      <c r="A558" s="2">
        <v>57902</v>
      </c>
      <c r="B558" s="2" t="s">
        <v>68</v>
      </c>
      <c r="C558" s="2">
        <v>2020</v>
      </c>
      <c r="D558" s="2" t="s">
        <v>1</v>
      </c>
      <c r="E558" s="2" t="s">
        <v>28</v>
      </c>
      <c r="F558" s="2" t="s">
        <v>35</v>
      </c>
      <c r="G558" s="7"/>
      <c r="H558" s="13" t="str">
        <f>IFERROR(IF(ABS($G558)&gt;0,VLOOKUP($E558,'Fuel Category and Heat Rate'!$B$1:$G$34,6,FALSE)*($G558),""),"")</f>
        <v/>
      </c>
      <c r="I558" t="str">
        <f>IFERROR(VLOOKUP($E558,'Fuel Category and Heat Rate'!$K$2:$M$36,3,FALSE),"")</f>
        <v>heavy or residual fuel oil</v>
      </c>
    </row>
    <row r="559" spans="1:9" x14ac:dyDescent="0.15">
      <c r="A559" s="2">
        <v>57937</v>
      </c>
      <c r="B559" s="2" t="s">
        <v>68</v>
      </c>
      <c r="C559" s="2">
        <v>2020</v>
      </c>
      <c r="D559" s="2" t="s">
        <v>1</v>
      </c>
      <c r="E559" s="2" t="s">
        <v>5</v>
      </c>
      <c r="F559" s="2" t="s">
        <v>35</v>
      </c>
      <c r="G559" s="7">
        <v>-8.52</v>
      </c>
      <c r="H559" s="13">
        <f>IFERROR(IF(ABS($G559)&gt;0,VLOOKUP($E559,'Fuel Category and Heat Rate'!$B$1:$G$34,6,FALSE)*($G559),""),"")</f>
        <v>-675345859652.83252</v>
      </c>
      <c r="I559" t="str">
        <f>IFERROR(VLOOKUP($E559,'Fuel Category and Heat Rate'!$K$2:$M$36,3,FALSE),"")</f>
        <v>coal</v>
      </c>
    </row>
    <row r="560" spans="1:9" x14ac:dyDescent="0.15">
      <c r="A560" s="2">
        <v>57972</v>
      </c>
      <c r="B560" s="2" t="s">
        <v>68</v>
      </c>
      <c r="C560" s="2">
        <v>2020</v>
      </c>
      <c r="D560" s="2" t="s">
        <v>1</v>
      </c>
      <c r="E560" s="2" t="s">
        <v>16</v>
      </c>
      <c r="F560" s="2" t="s">
        <v>35</v>
      </c>
      <c r="G560" s="7"/>
      <c r="H560" s="13" t="str">
        <f>IFERROR(IF(ABS($G560)&gt;0,VLOOKUP($E560,'Fuel Category and Heat Rate'!$B$1:$G$34,6,FALSE)*($G560),""),"")</f>
        <v/>
      </c>
      <c r="I560" t="str">
        <f>IFERROR(VLOOKUP($E560,'Fuel Category and Heat Rate'!$K$2:$M$36,3,FALSE),"")</f>
        <v>petroleum diesel</v>
      </c>
    </row>
    <row r="561" spans="1:9" x14ac:dyDescent="0.15">
      <c r="A561" s="2">
        <v>58007</v>
      </c>
      <c r="B561" s="2" t="s">
        <v>68</v>
      </c>
      <c r="C561" s="2">
        <v>2020</v>
      </c>
      <c r="D561" s="2" t="s">
        <v>1</v>
      </c>
      <c r="E561" s="2" t="s">
        <v>19</v>
      </c>
      <c r="F561" s="2" t="s">
        <v>35</v>
      </c>
      <c r="G561" s="7"/>
      <c r="H561" s="13" t="str">
        <f>IFERROR(IF(ABS($G561)&gt;0,VLOOKUP($E561,'Fuel Category and Heat Rate'!$B$1:$G$34,6,FALSE)*($G561),""),"")</f>
        <v/>
      </c>
      <c r="I561" t="str">
        <f>IFERROR(VLOOKUP($E561,'Fuel Category and Heat Rate'!$K$2:$M$36,3,FALSE),"")</f>
        <v>heavy or residual fuel oil</v>
      </c>
    </row>
    <row r="562" spans="1:9" x14ac:dyDescent="0.15">
      <c r="A562" s="2">
        <v>58042</v>
      </c>
      <c r="B562" s="2" t="s">
        <v>68</v>
      </c>
      <c r="C562" s="2">
        <v>2020</v>
      </c>
      <c r="D562" s="2" t="s">
        <v>1</v>
      </c>
      <c r="E562" s="2" t="s">
        <v>31</v>
      </c>
      <c r="F562" s="2" t="s">
        <v>37</v>
      </c>
      <c r="G562" s="7">
        <v>15493.11</v>
      </c>
      <c r="H562" s="13">
        <f>IFERROR(IF(ABS($G562)&gt;0,VLOOKUP($E562,'Fuel Category and Heat Rate'!$B$1:$G$34,6,FALSE)*($G562),""),"")</f>
        <v>146846349413635.31</v>
      </c>
      <c r="I562" t="str">
        <f>IFERROR(VLOOKUP($E562,'Fuel Category and Heat Rate'!$K$2:$M$36,3,FALSE),"")</f>
        <v>heat</v>
      </c>
    </row>
    <row r="563" spans="1:9" x14ac:dyDescent="0.15">
      <c r="A563" s="2">
        <v>58077</v>
      </c>
      <c r="B563" s="2" t="s">
        <v>68</v>
      </c>
      <c r="C563" s="2">
        <v>2020</v>
      </c>
      <c r="D563" s="2" t="s">
        <v>1</v>
      </c>
      <c r="E563" s="2" t="s">
        <v>23</v>
      </c>
      <c r="F563" s="2" t="s">
        <v>35</v>
      </c>
      <c r="G563" s="7"/>
      <c r="H563" s="13" t="str">
        <f>IFERROR(IF(ABS($G563)&gt;0,VLOOKUP($E563,'Fuel Category and Heat Rate'!$B$1:$G$34,6,FALSE)*($G563),""),"")</f>
        <v/>
      </c>
      <c r="I563" t="str">
        <f>IFERROR(VLOOKUP($E563,'Fuel Category and Heat Rate'!$K$2:$M$36,3,FALSE),"")</f>
        <v>heavy or residual fuel oil</v>
      </c>
    </row>
    <row r="564" spans="1:9" x14ac:dyDescent="0.15">
      <c r="A564" s="2">
        <v>58112</v>
      </c>
      <c r="B564" s="2" t="s">
        <v>68</v>
      </c>
      <c r="C564" s="2">
        <v>2020</v>
      </c>
      <c r="D564" s="2" t="s">
        <v>1</v>
      </c>
      <c r="E564" s="2" t="s">
        <v>21</v>
      </c>
      <c r="F564" s="2" t="s">
        <v>35</v>
      </c>
      <c r="G564" s="7"/>
      <c r="H564" s="13" t="str">
        <f>IFERROR(IF(ABS($G564)&gt;0,VLOOKUP($E564,'Fuel Category and Heat Rate'!$B$1:$G$34,6,FALSE)*($G564),""),"")</f>
        <v/>
      </c>
      <c r="I564" t="str">
        <f>IFERROR(VLOOKUP($E564,'Fuel Category and Heat Rate'!$K$2:$M$36,3,FALSE),"")</f>
        <v>LPG propane or butane</v>
      </c>
    </row>
    <row r="565" spans="1:9" x14ac:dyDescent="0.15">
      <c r="A565" s="2">
        <v>58147</v>
      </c>
      <c r="B565" s="2" t="s">
        <v>68</v>
      </c>
      <c r="C565" s="2">
        <v>2020</v>
      </c>
      <c r="D565" s="2" t="s">
        <v>1</v>
      </c>
      <c r="E565" s="2" t="s">
        <v>22</v>
      </c>
      <c r="F565" s="2" t="s">
        <v>35</v>
      </c>
      <c r="G565" s="7"/>
      <c r="H565" s="13" t="str">
        <f>IFERROR(IF(ABS($G565)&gt;0,VLOOKUP($E565,'Fuel Category and Heat Rate'!$B$1:$G$34,6,FALSE)*($G565),""),"")</f>
        <v/>
      </c>
      <c r="I565" t="str">
        <f>IFERROR(VLOOKUP($E565,'Fuel Category and Heat Rate'!$K$2:$M$36,3,FALSE),"")</f>
        <v>heavy fuel oil</v>
      </c>
    </row>
    <row r="566" spans="1:9" x14ac:dyDescent="0.15">
      <c r="A566" s="2">
        <v>58182</v>
      </c>
      <c r="B566" s="2" t="s">
        <v>68</v>
      </c>
      <c r="C566" s="2">
        <v>2020</v>
      </c>
      <c r="D566" s="2" t="s">
        <v>1</v>
      </c>
      <c r="E566" s="2" t="s">
        <v>20</v>
      </c>
      <c r="F566" s="2" t="s">
        <v>35</v>
      </c>
      <c r="G566" s="7"/>
      <c r="H566" s="13" t="str">
        <f>IFERROR(IF(ABS($G566)&gt;0,VLOOKUP($E566,'Fuel Category and Heat Rate'!$B$1:$G$34,6,FALSE)*($G566),""),"")</f>
        <v/>
      </c>
      <c r="I566" t="str">
        <f>IFERROR(VLOOKUP($E566,'Fuel Category and Heat Rate'!$K$2:$M$36,3,FALSE),"")</f>
        <v>LPG propane or butane</v>
      </c>
    </row>
    <row r="567" spans="1:9" x14ac:dyDescent="0.15">
      <c r="A567" s="2">
        <v>58217</v>
      </c>
      <c r="B567" s="2" t="s">
        <v>68</v>
      </c>
      <c r="C567" s="2">
        <v>2020</v>
      </c>
      <c r="D567" s="2" t="s">
        <v>1</v>
      </c>
      <c r="E567" s="2" t="s">
        <v>25</v>
      </c>
      <c r="F567" s="2" t="s">
        <v>35</v>
      </c>
      <c r="G567" s="7"/>
      <c r="H567" s="13" t="str">
        <f>IFERROR(IF(ABS($G567)&gt;0,VLOOKUP($E567,'Fuel Category and Heat Rate'!$B$1:$G$34,6,FALSE)*($G567),""),"")</f>
        <v/>
      </c>
      <c r="I567" t="str">
        <f>IFERROR(VLOOKUP($E567,'Fuel Category and Heat Rate'!$K$2:$M$36,3,FALSE),"")</f>
        <v>heavy fuel oil</v>
      </c>
    </row>
    <row r="568" spans="1:9" x14ac:dyDescent="0.15">
      <c r="A568" s="2">
        <v>58252</v>
      </c>
      <c r="B568" s="2" t="s">
        <v>68</v>
      </c>
      <c r="C568" s="2">
        <v>2020</v>
      </c>
      <c r="D568" s="2" t="s">
        <v>1</v>
      </c>
      <c r="E568" s="2" t="s">
        <v>24</v>
      </c>
      <c r="F568" s="2" t="s">
        <v>35</v>
      </c>
      <c r="G568" s="7"/>
      <c r="H568" s="13" t="str">
        <f>IFERROR(IF(ABS($G568)&gt;0,VLOOKUP($E568,'Fuel Category and Heat Rate'!$B$1:$G$34,6,FALSE)*($G568),""),"")</f>
        <v/>
      </c>
      <c r="I568" t="str">
        <f>IFERROR(VLOOKUP($E568,'Fuel Category and Heat Rate'!$K$2:$M$36,3,FALSE),"")</f>
        <v>heavy fuel oil</v>
      </c>
    </row>
    <row r="569" spans="1:9" x14ac:dyDescent="0.15">
      <c r="A569" s="2">
        <v>58287</v>
      </c>
      <c r="B569" s="2" t="s">
        <v>68</v>
      </c>
      <c r="C569" s="2">
        <v>2020</v>
      </c>
      <c r="D569" s="2" t="s">
        <v>1</v>
      </c>
      <c r="E569" s="2" t="s">
        <v>29</v>
      </c>
      <c r="F569" s="2" t="s">
        <v>36</v>
      </c>
      <c r="G569" s="7">
        <v>-0.54</v>
      </c>
      <c r="H569" s="13">
        <f>IFERROR(IF(ABS($G569)&gt;0,VLOOKUP($E569,'Fuel Category and Heat Rate'!$B$1:$G$34,6,FALSE)*($G569),""),"")</f>
        <v>-1821290313683.3943</v>
      </c>
      <c r="I569" t="str">
        <f>IFERROR(VLOOKUP($E569,'Fuel Category and Heat Rate'!$K$2:$M$36,3,FALSE),"")</f>
        <v>natural gas</v>
      </c>
    </row>
    <row r="570" spans="1:9" x14ac:dyDescent="0.15">
      <c r="A570" s="2">
        <v>58322</v>
      </c>
      <c r="B570" s="2" t="s">
        <v>68</v>
      </c>
      <c r="C570" s="2">
        <v>2020</v>
      </c>
      <c r="D570" s="2" t="s">
        <v>1</v>
      </c>
      <c r="E570" s="2" t="s">
        <v>4</v>
      </c>
      <c r="F570" s="2" t="s">
        <v>35</v>
      </c>
      <c r="G570" s="7"/>
      <c r="H570" s="13" t="str">
        <f>IFERROR(IF(ABS($G570)&gt;0,VLOOKUP($E570,'Fuel Category and Heat Rate'!$B$1:$G$34,6,FALSE)*($G570),""),"")</f>
        <v/>
      </c>
      <c r="I570" t="str">
        <f>IFERROR(VLOOKUP($E570,'Fuel Category and Heat Rate'!$K$2:$M$36,3,FALSE),"")</f>
        <v>coal</v>
      </c>
    </row>
    <row r="571" spans="1:9" x14ac:dyDescent="0.15">
      <c r="A571" s="2">
        <v>58357</v>
      </c>
      <c r="B571" s="2" t="s">
        <v>68</v>
      </c>
      <c r="C571" s="2">
        <v>2020</v>
      </c>
      <c r="D571" s="2" t="s">
        <v>1</v>
      </c>
      <c r="E571" s="2" t="s">
        <v>6</v>
      </c>
      <c r="F571" s="2" t="s">
        <v>35</v>
      </c>
      <c r="G571" s="7">
        <v>-13.24</v>
      </c>
      <c r="H571" s="13">
        <f>IFERROR(IF(ABS($G571)&gt;0,VLOOKUP($E571,'Fuel Category and Heat Rate'!$B$1:$G$34,6,FALSE)*($G571),""),"")</f>
        <v>-1941722042487.1348</v>
      </c>
      <c r="I571" t="str">
        <f>IFERROR(VLOOKUP($E571,'Fuel Category and Heat Rate'!$K$2:$M$36,3,FALSE),"")</f>
        <v>coal</v>
      </c>
    </row>
    <row r="572" spans="1:9" x14ac:dyDescent="0.15">
      <c r="A572" s="2">
        <v>58392</v>
      </c>
      <c r="B572" s="2" t="s">
        <v>68</v>
      </c>
      <c r="C572" s="2">
        <v>2020</v>
      </c>
      <c r="D572" s="2" t="s">
        <v>1</v>
      </c>
      <c r="E572" s="2" t="s">
        <v>26</v>
      </c>
      <c r="F572" s="2" t="s">
        <v>35</v>
      </c>
      <c r="G572" s="7"/>
      <c r="H572" s="13" t="str">
        <f>IFERROR(IF(ABS($G572)&gt;0,VLOOKUP($E572,'Fuel Category and Heat Rate'!$B$1:$G$34,6,FALSE)*($G572),""),"")</f>
        <v/>
      </c>
      <c r="I572" t="str">
        <f>IFERROR(VLOOKUP($E572,'Fuel Category and Heat Rate'!$K$2:$M$36,3,FALSE),"")</f>
        <v>LPG propane or butane</v>
      </c>
    </row>
    <row r="573" spans="1:9" x14ac:dyDescent="0.15">
      <c r="A573" s="2">
        <v>58427</v>
      </c>
      <c r="B573" s="2" t="s">
        <v>68</v>
      </c>
      <c r="C573" s="2">
        <v>2020</v>
      </c>
      <c r="D573" s="2" t="s">
        <v>1</v>
      </c>
      <c r="E573" s="2" t="s">
        <v>30</v>
      </c>
      <c r="F573" s="2" t="s">
        <v>35</v>
      </c>
      <c r="G573" s="7"/>
      <c r="H573" s="13" t="str">
        <f>IFERROR(IF(ABS($G573)&gt;0,VLOOKUP($E573,'Fuel Category and Heat Rate'!$B$1:$G$34,6,FALSE)*($G573),""),"")</f>
        <v/>
      </c>
      <c r="I573" t="str">
        <f>IFERROR(VLOOKUP($E573,'Fuel Category and Heat Rate'!$K$2:$M$36,3,FALSE),"")</f>
        <v>natural gas</v>
      </c>
    </row>
    <row r="574" spans="1:9" x14ac:dyDescent="0.15">
      <c r="A574" s="2">
        <v>58462</v>
      </c>
      <c r="B574" s="2" t="s">
        <v>68</v>
      </c>
      <c r="C574" s="2">
        <v>2020</v>
      </c>
      <c r="D574" s="2" t="s">
        <v>1</v>
      </c>
      <c r="E574" s="2" t="s">
        <v>14</v>
      </c>
      <c r="F574" s="2" t="s">
        <v>35</v>
      </c>
      <c r="G574" s="7">
        <v>-9.5</v>
      </c>
      <c r="H574" s="13">
        <f>IFERROR(IF(ABS($G574)&gt;0,VLOOKUP($E574,'Fuel Category and Heat Rate'!$B$1:$G$34,6,FALSE)*($G574),""),"")</f>
        <v>0</v>
      </c>
      <c r="I574" t="str">
        <f>IFERROR(VLOOKUP($E574,'Fuel Category and Heat Rate'!$K$2:$M$36,3,FALSE),"")</f>
        <v/>
      </c>
    </row>
    <row r="575" spans="1:9" x14ac:dyDescent="0.15">
      <c r="A575" s="2">
        <v>58497</v>
      </c>
      <c r="B575" s="2" t="s">
        <v>68</v>
      </c>
      <c r="C575" s="2">
        <v>2020</v>
      </c>
      <c r="D575" s="2" t="s">
        <v>1</v>
      </c>
      <c r="E575" s="2" t="s">
        <v>3</v>
      </c>
      <c r="F575" s="2" t="s">
        <v>35</v>
      </c>
      <c r="G575" s="7">
        <v>-911.4</v>
      </c>
      <c r="H575" s="13">
        <f>IFERROR(IF(ABS($G575)&gt;0,VLOOKUP($E575,'Fuel Category and Heat Rate'!$B$1:$G$34,6,FALSE)*($G575),""),"")</f>
        <v>-180611777092179.53</v>
      </c>
      <c r="I575" t="str">
        <f>IFERROR(VLOOKUP($E575,'Fuel Category and Heat Rate'!$K$2:$M$36,3,FALSE),"")</f>
        <v>coal</v>
      </c>
    </row>
    <row r="576" spans="1:9" x14ac:dyDescent="0.15">
      <c r="A576" s="2">
        <v>58532</v>
      </c>
      <c r="B576" s="2" t="s">
        <v>68</v>
      </c>
      <c r="C576" s="2">
        <v>2020</v>
      </c>
      <c r="D576" s="2" t="s">
        <v>1</v>
      </c>
      <c r="E576" s="2" t="s">
        <v>15</v>
      </c>
      <c r="F576" s="2" t="s">
        <v>35</v>
      </c>
      <c r="G576" s="7"/>
      <c r="H576" s="13" t="str">
        <f>IFERROR(IF(ABS($G576)&gt;0,VLOOKUP($E576,'Fuel Category and Heat Rate'!$B$1:$G$34,6,FALSE)*($G576),""),"")</f>
        <v/>
      </c>
      <c r="I576" t="str">
        <f>IFERROR(VLOOKUP($E576,'Fuel Category and Heat Rate'!$K$2:$M$36,3,FALSE),"")</f>
        <v>crude oil</v>
      </c>
    </row>
    <row r="577" spans="1:9" x14ac:dyDescent="0.15">
      <c r="A577" s="2">
        <v>58567</v>
      </c>
      <c r="B577" s="2" t="s">
        <v>68</v>
      </c>
      <c r="C577" s="2">
        <v>2020</v>
      </c>
      <c r="D577" s="2" t="s">
        <v>1</v>
      </c>
      <c r="E577" s="2" t="s">
        <v>11</v>
      </c>
      <c r="F577" s="2" t="s">
        <v>36</v>
      </c>
      <c r="G577" s="7">
        <v>-0.16</v>
      </c>
      <c r="H577" s="13">
        <f>IFERROR(IF(ABS($G577)&gt;0,VLOOKUP($E577,'Fuel Category and Heat Rate'!$B$1:$G$34,6,FALSE)*($G577),""),"")</f>
        <v>-120486512633.43074</v>
      </c>
      <c r="I577" t="str">
        <f>IFERROR(VLOOKUP($E577,'Fuel Category and Heat Rate'!$K$2:$M$36,3,FALSE),"")</f>
        <v>LPG propane or butane</v>
      </c>
    </row>
    <row r="578" spans="1:9" x14ac:dyDescent="0.15">
      <c r="A578" s="2">
        <v>58602</v>
      </c>
      <c r="B578" s="2" t="s">
        <v>68</v>
      </c>
      <c r="C578" s="2">
        <v>2019</v>
      </c>
      <c r="D578" s="2" t="s">
        <v>1</v>
      </c>
      <c r="E578" s="2" t="s">
        <v>18</v>
      </c>
      <c r="F578" s="2" t="s">
        <v>35</v>
      </c>
      <c r="G578" s="7">
        <v>-0.04</v>
      </c>
      <c r="H578" s="13">
        <f>IFERROR(IF(ABS($G578)&gt;0,VLOOKUP($E578,'Fuel Category and Heat Rate'!$B$1:$G$34,6,FALSE)*($G578),""),"")</f>
        <v>-16170518366.397381</v>
      </c>
      <c r="I578" t="str">
        <f>IFERROR(VLOOKUP($E578,'Fuel Category and Heat Rate'!$K$2:$M$36,3,FALSE),"")</f>
        <v>petroleum diesel</v>
      </c>
    </row>
    <row r="579" spans="1:9" x14ac:dyDescent="0.15">
      <c r="A579" s="2">
        <v>58637</v>
      </c>
      <c r="B579" s="2" t="s">
        <v>68</v>
      </c>
      <c r="C579" s="2">
        <v>2019</v>
      </c>
      <c r="D579" s="2" t="s">
        <v>1</v>
      </c>
      <c r="E579" s="2" t="s">
        <v>32</v>
      </c>
      <c r="F579" s="2" t="s">
        <v>65</v>
      </c>
      <c r="G579" s="7"/>
      <c r="H579" s="13" t="str">
        <f>IFERROR(IF(ABS($G579)&gt;0,VLOOKUP($E579,'Fuel Category and Heat Rate'!$B$1:$G$34,6,FALSE)*($G579),""),"")</f>
        <v/>
      </c>
      <c r="I579" t="str">
        <f>IFERROR(VLOOKUP($E579,'Fuel Category and Heat Rate'!$K$2:$M$36,3,FALSE),"")</f>
        <v>electricity</v>
      </c>
    </row>
    <row r="580" spans="1:9" x14ac:dyDescent="0.15">
      <c r="A580" s="2">
        <v>58672</v>
      </c>
      <c r="B580" s="2" t="s">
        <v>68</v>
      </c>
      <c r="C580" s="2">
        <v>2019</v>
      </c>
      <c r="D580" s="2" t="s">
        <v>1</v>
      </c>
      <c r="E580" s="2" t="s">
        <v>10</v>
      </c>
      <c r="F580" s="2" t="s">
        <v>36</v>
      </c>
      <c r="G580" s="7">
        <v>-0.03</v>
      </c>
      <c r="H580" s="13">
        <f>IFERROR(IF(ABS($G580)&gt;0,VLOOKUP($E580,'Fuel Category and Heat Rate'!$B$1:$G$34,6,FALSE)*($G580),""),"")</f>
        <v>-10699907497.787912</v>
      </c>
      <c r="I580" t="str">
        <f>IFERROR(VLOOKUP($E580,'Fuel Category and Heat Rate'!$K$2:$M$36,3,FALSE),"")</f>
        <v>LPG propane or butane</v>
      </c>
    </row>
    <row r="581" spans="1:9" x14ac:dyDescent="0.15">
      <c r="A581" s="2">
        <v>58707</v>
      </c>
      <c r="B581" s="2" t="s">
        <v>68</v>
      </c>
      <c r="C581" s="2">
        <v>2019</v>
      </c>
      <c r="D581" s="2" t="s">
        <v>1</v>
      </c>
      <c r="E581" s="2" t="s">
        <v>9</v>
      </c>
      <c r="F581" s="2" t="s">
        <v>36</v>
      </c>
      <c r="G581" s="7"/>
      <c r="H581" s="13" t="str">
        <f>IFERROR(IF(ABS($G581)&gt;0,VLOOKUP($E581,'Fuel Category and Heat Rate'!$B$1:$G$34,6,FALSE)*($G581),""),"")</f>
        <v/>
      </c>
      <c r="I581" t="str">
        <f>IFERROR(VLOOKUP($E581,'Fuel Category and Heat Rate'!$K$2:$M$36,3,FALSE),"")</f>
        <v>LPG propane or butane</v>
      </c>
    </row>
    <row r="582" spans="1:9" x14ac:dyDescent="0.15">
      <c r="A582" s="2">
        <v>58742</v>
      </c>
      <c r="B582" s="2" t="s">
        <v>68</v>
      </c>
      <c r="C582" s="2">
        <v>2019</v>
      </c>
      <c r="D582" s="2" t="s">
        <v>1</v>
      </c>
      <c r="E582" s="2" t="s">
        <v>8</v>
      </c>
      <c r="F582" s="2" t="s">
        <v>35</v>
      </c>
      <c r="G582" s="7"/>
      <c r="H582" s="13" t="str">
        <f>IFERROR(IF(ABS($G582)&gt;0,VLOOKUP($E582,'Fuel Category and Heat Rate'!$B$1:$G$34,6,FALSE)*($G582),""),"")</f>
        <v/>
      </c>
      <c r="I582" t="str">
        <f>IFERROR(VLOOKUP($E582,'Fuel Category and Heat Rate'!$K$2:$M$36,3,FALSE),"")</f>
        <v>coal</v>
      </c>
    </row>
    <row r="583" spans="1:9" x14ac:dyDescent="0.15">
      <c r="A583" s="2">
        <v>58777</v>
      </c>
      <c r="B583" s="2" t="s">
        <v>68</v>
      </c>
      <c r="C583" s="2">
        <v>2019</v>
      </c>
      <c r="D583" s="2" t="s">
        <v>1</v>
      </c>
      <c r="E583" s="2" t="s">
        <v>27</v>
      </c>
      <c r="F583" s="2" t="s">
        <v>35</v>
      </c>
      <c r="G583" s="7">
        <v>-10.24</v>
      </c>
      <c r="H583" s="13">
        <f>IFERROR(IF(ABS($G583)&gt;0,VLOOKUP($E583,'Fuel Category and Heat Rate'!$B$1:$G$34,6,FALSE)*($G583),""),"")</f>
        <v>-4464403661663.9775</v>
      </c>
      <c r="I583" t="str">
        <f>IFERROR(VLOOKUP($E583,'Fuel Category and Heat Rate'!$K$2:$M$36,3,FALSE),"")</f>
        <v>LPG propane or butane</v>
      </c>
    </row>
    <row r="584" spans="1:9" x14ac:dyDescent="0.15">
      <c r="A584" s="2">
        <v>58812</v>
      </c>
      <c r="B584" s="2" t="s">
        <v>68</v>
      </c>
      <c r="C584" s="2">
        <v>2019</v>
      </c>
      <c r="D584" s="2" t="s">
        <v>1</v>
      </c>
      <c r="E584" s="2" t="s">
        <v>7</v>
      </c>
      <c r="F584" s="2" t="s">
        <v>35</v>
      </c>
      <c r="G584" s="7">
        <v>-7.48</v>
      </c>
      <c r="H584" s="13">
        <f>IFERROR(IF(ABS($G584)&gt;0,VLOOKUP($E584,'Fuel Category and Heat Rate'!$B$1:$G$34,6,FALSE)*($G584),""),"")</f>
        <v>-593689139773.9751</v>
      </c>
      <c r="I584" t="str">
        <f>IFERROR(VLOOKUP($E584,'Fuel Category and Heat Rate'!$K$2:$M$36,3,FALSE),"")</f>
        <v>coal</v>
      </c>
    </row>
    <row r="585" spans="1:9" x14ac:dyDescent="0.15">
      <c r="A585" s="2">
        <v>58847</v>
      </c>
      <c r="B585" s="2" t="s">
        <v>68</v>
      </c>
      <c r="C585" s="2">
        <v>2019</v>
      </c>
      <c r="D585" s="2" t="s">
        <v>1</v>
      </c>
      <c r="E585" s="2" t="s">
        <v>2</v>
      </c>
      <c r="F585" s="2" t="s">
        <v>35</v>
      </c>
      <c r="G585" s="7">
        <v>-852.1</v>
      </c>
      <c r="H585" s="13">
        <f>IFERROR(IF(ABS($G585)&gt;0,VLOOKUP($E585,'Fuel Category and Heat Rate'!$B$1:$G$34,6,FALSE)*($G585),""),"")</f>
        <v>0</v>
      </c>
      <c r="I585" t="str">
        <f>IFERROR(VLOOKUP($E585,'Fuel Category and Heat Rate'!$K$2:$M$36,3,FALSE),"")</f>
        <v/>
      </c>
    </row>
    <row r="586" spans="1:9" x14ac:dyDescent="0.15">
      <c r="A586" s="2">
        <v>58882</v>
      </c>
      <c r="B586" s="2" t="s">
        <v>68</v>
      </c>
      <c r="C586" s="2">
        <v>2019</v>
      </c>
      <c r="D586" s="2" t="s">
        <v>1</v>
      </c>
      <c r="E586" s="2" t="s">
        <v>17</v>
      </c>
      <c r="F586" s="2" t="s">
        <v>35</v>
      </c>
      <c r="G586" s="7"/>
      <c r="H586" s="13" t="str">
        <f>IFERROR(IF(ABS($G586)&gt;0,VLOOKUP($E586,'Fuel Category and Heat Rate'!$B$1:$G$34,6,FALSE)*($G586),""),"")</f>
        <v/>
      </c>
      <c r="I586" t="str">
        <f>IFERROR(VLOOKUP($E586,'Fuel Category and Heat Rate'!$K$2:$M$36,3,FALSE),"")</f>
        <v>petroleum diesel</v>
      </c>
    </row>
    <row r="587" spans="1:9" x14ac:dyDescent="0.15">
      <c r="A587" s="2">
        <v>58917</v>
      </c>
      <c r="B587" s="2" t="s">
        <v>68</v>
      </c>
      <c r="C587" s="2">
        <v>2019</v>
      </c>
      <c r="D587" s="2" t="s">
        <v>1</v>
      </c>
      <c r="E587" s="2" t="s">
        <v>13</v>
      </c>
      <c r="F587" s="2" t="s">
        <v>35</v>
      </c>
      <c r="G587" s="7"/>
      <c r="H587" s="13" t="str">
        <f>IFERROR(IF(ABS($G587)&gt;0,VLOOKUP($E587,'Fuel Category and Heat Rate'!$B$1:$G$34,6,FALSE)*($G587),""),"")</f>
        <v/>
      </c>
      <c r="I587" t="str">
        <f>IFERROR(VLOOKUP($E587,'Fuel Category and Heat Rate'!$K$2:$M$36,3,FALSE),"")</f>
        <v>petroleum diesel</v>
      </c>
    </row>
    <row r="588" spans="1:9" x14ac:dyDescent="0.15">
      <c r="A588" s="2">
        <v>58952</v>
      </c>
      <c r="B588" s="2" t="s">
        <v>68</v>
      </c>
      <c r="C588" s="2">
        <v>2019</v>
      </c>
      <c r="D588" s="2" t="s">
        <v>1</v>
      </c>
      <c r="E588" s="2" t="s">
        <v>12</v>
      </c>
      <c r="F588" s="2" t="s">
        <v>36</v>
      </c>
      <c r="G588" s="7"/>
      <c r="H588" s="13" t="str">
        <f>IFERROR(IF(ABS($G588)&gt;0,VLOOKUP($E588,'Fuel Category and Heat Rate'!$B$1:$G$34,6,FALSE)*($G588),""),"")</f>
        <v/>
      </c>
      <c r="I588" t="str">
        <f>IFERROR(VLOOKUP($E588,'Fuel Category and Heat Rate'!$K$2:$M$36,3,FALSE),"")</f>
        <v>LPG propane or butane</v>
      </c>
    </row>
    <row r="589" spans="1:9" x14ac:dyDescent="0.15">
      <c r="A589" s="2">
        <v>58987</v>
      </c>
      <c r="B589" s="2" t="s">
        <v>68</v>
      </c>
      <c r="C589" s="2">
        <v>2019</v>
      </c>
      <c r="D589" s="2" t="s">
        <v>1</v>
      </c>
      <c r="E589" s="2" t="s">
        <v>33</v>
      </c>
      <c r="F589" s="2" t="s">
        <v>38</v>
      </c>
      <c r="G589" s="7">
        <v>-0.42</v>
      </c>
      <c r="H589" s="13">
        <f>IFERROR(IF(ABS($G589)&gt;0,VLOOKUP($E589,'Fuel Category and Heat Rate'!$B$1:$G$34,6,FALSE)*($G589),""),"")</f>
        <v>-116522930989.8618</v>
      </c>
      <c r="I589" t="str">
        <f>IFERROR(VLOOKUP($E589,'Fuel Category and Heat Rate'!$K$2:$M$36,3,FALSE),"")</f>
        <v>biomass</v>
      </c>
    </row>
    <row r="590" spans="1:9" x14ac:dyDescent="0.15">
      <c r="A590" s="2">
        <v>59022</v>
      </c>
      <c r="B590" s="2" t="s">
        <v>68</v>
      </c>
      <c r="C590" s="2">
        <v>2019</v>
      </c>
      <c r="D590" s="2" t="s">
        <v>1</v>
      </c>
      <c r="E590" s="2" t="s">
        <v>28</v>
      </c>
      <c r="F590" s="2" t="s">
        <v>35</v>
      </c>
      <c r="G590" s="7"/>
      <c r="H590" s="13" t="str">
        <f>IFERROR(IF(ABS($G590)&gt;0,VLOOKUP($E590,'Fuel Category and Heat Rate'!$B$1:$G$34,6,FALSE)*($G590),""),"")</f>
        <v/>
      </c>
      <c r="I590" t="str">
        <f>IFERROR(VLOOKUP($E590,'Fuel Category and Heat Rate'!$K$2:$M$36,3,FALSE),"")</f>
        <v>heavy or residual fuel oil</v>
      </c>
    </row>
    <row r="591" spans="1:9" x14ac:dyDescent="0.15">
      <c r="A591" s="2">
        <v>59057</v>
      </c>
      <c r="B591" s="2" t="s">
        <v>68</v>
      </c>
      <c r="C591" s="2">
        <v>2019</v>
      </c>
      <c r="D591" s="2" t="s">
        <v>1</v>
      </c>
      <c r="E591" s="2" t="s">
        <v>5</v>
      </c>
      <c r="F591" s="2" t="s">
        <v>35</v>
      </c>
      <c r="G591" s="7">
        <v>-9.6999999999999993</v>
      </c>
      <c r="H591" s="13">
        <f>IFERROR(IF(ABS($G591)&gt;0,VLOOKUP($E591,'Fuel Category and Heat Rate'!$B$1:$G$34,6,FALSE)*($G591),""),"")</f>
        <v>-768879675895.83044</v>
      </c>
      <c r="I591" t="str">
        <f>IFERROR(VLOOKUP($E591,'Fuel Category and Heat Rate'!$K$2:$M$36,3,FALSE),"")</f>
        <v>coal</v>
      </c>
    </row>
    <row r="592" spans="1:9" x14ac:dyDescent="0.15">
      <c r="A592" s="2">
        <v>59092</v>
      </c>
      <c r="B592" s="2" t="s">
        <v>68</v>
      </c>
      <c r="C592" s="2">
        <v>2019</v>
      </c>
      <c r="D592" s="2" t="s">
        <v>1</v>
      </c>
      <c r="E592" s="2" t="s">
        <v>16</v>
      </c>
      <c r="F592" s="2" t="s">
        <v>35</v>
      </c>
      <c r="G592" s="7"/>
      <c r="H592" s="13" t="str">
        <f>IFERROR(IF(ABS($G592)&gt;0,VLOOKUP($E592,'Fuel Category and Heat Rate'!$B$1:$G$34,6,FALSE)*($G592),""),"")</f>
        <v/>
      </c>
      <c r="I592" t="str">
        <f>IFERROR(VLOOKUP($E592,'Fuel Category and Heat Rate'!$K$2:$M$36,3,FALSE),"")</f>
        <v>petroleum diesel</v>
      </c>
    </row>
    <row r="593" spans="1:9" x14ac:dyDescent="0.15">
      <c r="A593" s="2">
        <v>59127</v>
      </c>
      <c r="B593" s="2" t="s">
        <v>68</v>
      </c>
      <c r="C593" s="2">
        <v>2019</v>
      </c>
      <c r="D593" s="2" t="s">
        <v>1</v>
      </c>
      <c r="E593" s="2" t="s">
        <v>19</v>
      </c>
      <c r="F593" s="2" t="s">
        <v>35</v>
      </c>
      <c r="G593" s="7"/>
      <c r="H593" s="13" t="str">
        <f>IFERROR(IF(ABS($G593)&gt;0,VLOOKUP($E593,'Fuel Category and Heat Rate'!$B$1:$G$34,6,FALSE)*($G593),""),"")</f>
        <v/>
      </c>
      <c r="I593" t="str">
        <f>IFERROR(VLOOKUP($E593,'Fuel Category and Heat Rate'!$K$2:$M$36,3,FALSE),"")</f>
        <v>heavy or residual fuel oil</v>
      </c>
    </row>
    <row r="594" spans="1:9" x14ac:dyDescent="0.15">
      <c r="A594" s="2">
        <v>59162</v>
      </c>
      <c r="B594" s="2" t="s">
        <v>68</v>
      </c>
      <c r="C594" s="2">
        <v>2019</v>
      </c>
      <c r="D594" s="2" t="s">
        <v>1</v>
      </c>
      <c r="E594" s="2" t="s">
        <v>31</v>
      </c>
      <c r="F594" s="2" t="s">
        <v>37</v>
      </c>
      <c r="G594" s="7">
        <v>14534.57</v>
      </c>
      <c r="H594" s="13">
        <f>IFERROR(IF(ABS($G594)&gt;0,VLOOKUP($E594,'Fuel Category and Heat Rate'!$B$1:$G$34,6,FALSE)*($G594),""),"")</f>
        <v>137761143166022.92</v>
      </c>
      <c r="I594" t="str">
        <f>IFERROR(VLOOKUP($E594,'Fuel Category and Heat Rate'!$K$2:$M$36,3,FALSE),"")</f>
        <v>heat</v>
      </c>
    </row>
    <row r="595" spans="1:9" x14ac:dyDescent="0.15">
      <c r="A595" s="2">
        <v>59197</v>
      </c>
      <c r="B595" s="2" t="s">
        <v>68</v>
      </c>
      <c r="C595" s="2">
        <v>2019</v>
      </c>
      <c r="D595" s="2" t="s">
        <v>1</v>
      </c>
      <c r="E595" s="2" t="s">
        <v>23</v>
      </c>
      <c r="F595" s="2" t="s">
        <v>35</v>
      </c>
      <c r="G595" s="7"/>
      <c r="H595" s="13" t="str">
        <f>IFERROR(IF(ABS($G595)&gt;0,VLOOKUP($E595,'Fuel Category and Heat Rate'!$B$1:$G$34,6,FALSE)*($G595),""),"")</f>
        <v/>
      </c>
      <c r="I595" t="str">
        <f>IFERROR(VLOOKUP($E595,'Fuel Category and Heat Rate'!$K$2:$M$36,3,FALSE),"")</f>
        <v>heavy or residual fuel oil</v>
      </c>
    </row>
    <row r="596" spans="1:9" x14ac:dyDescent="0.15">
      <c r="A596" s="2">
        <v>59232</v>
      </c>
      <c r="B596" s="2" t="s">
        <v>68</v>
      </c>
      <c r="C596" s="2">
        <v>2019</v>
      </c>
      <c r="D596" s="2" t="s">
        <v>1</v>
      </c>
      <c r="E596" s="2" t="s">
        <v>21</v>
      </c>
      <c r="F596" s="2" t="s">
        <v>35</v>
      </c>
      <c r="G596" s="7"/>
      <c r="H596" s="13" t="str">
        <f>IFERROR(IF(ABS($G596)&gt;0,VLOOKUP($E596,'Fuel Category and Heat Rate'!$B$1:$G$34,6,FALSE)*($G596),""),"")</f>
        <v/>
      </c>
      <c r="I596" t="str">
        <f>IFERROR(VLOOKUP($E596,'Fuel Category and Heat Rate'!$K$2:$M$36,3,FALSE),"")</f>
        <v>LPG propane or butane</v>
      </c>
    </row>
    <row r="597" spans="1:9" x14ac:dyDescent="0.15">
      <c r="A597" s="2">
        <v>59267</v>
      </c>
      <c r="B597" s="2" t="s">
        <v>68</v>
      </c>
      <c r="C597" s="2">
        <v>2019</v>
      </c>
      <c r="D597" s="2" t="s">
        <v>1</v>
      </c>
      <c r="E597" s="2" t="s">
        <v>22</v>
      </c>
      <c r="F597" s="2" t="s">
        <v>35</v>
      </c>
      <c r="G597" s="7"/>
      <c r="H597" s="13" t="str">
        <f>IFERROR(IF(ABS($G597)&gt;0,VLOOKUP($E597,'Fuel Category and Heat Rate'!$B$1:$G$34,6,FALSE)*($G597),""),"")</f>
        <v/>
      </c>
      <c r="I597" t="str">
        <f>IFERROR(VLOOKUP($E597,'Fuel Category and Heat Rate'!$K$2:$M$36,3,FALSE),"")</f>
        <v>heavy fuel oil</v>
      </c>
    </row>
    <row r="598" spans="1:9" x14ac:dyDescent="0.15">
      <c r="A598" s="2">
        <v>59302</v>
      </c>
      <c r="B598" s="2" t="s">
        <v>68</v>
      </c>
      <c r="C598" s="2">
        <v>2019</v>
      </c>
      <c r="D598" s="2" t="s">
        <v>1</v>
      </c>
      <c r="E598" s="2" t="s">
        <v>20</v>
      </c>
      <c r="F598" s="2" t="s">
        <v>35</v>
      </c>
      <c r="G598" s="7"/>
      <c r="H598" s="13" t="str">
        <f>IFERROR(IF(ABS($G598)&gt;0,VLOOKUP($E598,'Fuel Category and Heat Rate'!$B$1:$G$34,6,FALSE)*($G598),""),"")</f>
        <v/>
      </c>
      <c r="I598" t="str">
        <f>IFERROR(VLOOKUP($E598,'Fuel Category and Heat Rate'!$K$2:$M$36,3,FALSE),"")</f>
        <v>LPG propane or butane</v>
      </c>
    </row>
    <row r="599" spans="1:9" x14ac:dyDescent="0.15">
      <c r="A599" s="2">
        <v>59337</v>
      </c>
      <c r="B599" s="2" t="s">
        <v>68</v>
      </c>
      <c r="C599" s="2">
        <v>2019</v>
      </c>
      <c r="D599" s="2" t="s">
        <v>1</v>
      </c>
      <c r="E599" s="2" t="s">
        <v>25</v>
      </c>
      <c r="F599" s="2" t="s">
        <v>35</v>
      </c>
      <c r="G599" s="7"/>
      <c r="H599" s="13" t="str">
        <f>IFERROR(IF(ABS($G599)&gt;0,VLOOKUP($E599,'Fuel Category and Heat Rate'!$B$1:$G$34,6,FALSE)*($G599),""),"")</f>
        <v/>
      </c>
      <c r="I599" t="str">
        <f>IFERROR(VLOOKUP($E599,'Fuel Category and Heat Rate'!$K$2:$M$36,3,FALSE),"")</f>
        <v>heavy fuel oil</v>
      </c>
    </row>
    <row r="600" spans="1:9" x14ac:dyDescent="0.15">
      <c r="A600" s="2">
        <v>59372</v>
      </c>
      <c r="B600" s="2" t="s">
        <v>68</v>
      </c>
      <c r="C600" s="2">
        <v>2019</v>
      </c>
      <c r="D600" s="2" t="s">
        <v>1</v>
      </c>
      <c r="E600" s="2" t="s">
        <v>24</v>
      </c>
      <c r="F600" s="2" t="s">
        <v>35</v>
      </c>
      <c r="G600" s="7"/>
      <c r="H600" s="13" t="str">
        <f>IFERROR(IF(ABS($G600)&gt;0,VLOOKUP($E600,'Fuel Category and Heat Rate'!$B$1:$G$34,6,FALSE)*($G600),""),"")</f>
        <v/>
      </c>
      <c r="I600" t="str">
        <f>IFERROR(VLOOKUP($E600,'Fuel Category and Heat Rate'!$K$2:$M$36,3,FALSE),"")</f>
        <v>heavy fuel oil</v>
      </c>
    </row>
    <row r="601" spans="1:9" x14ac:dyDescent="0.15">
      <c r="A601" s="2">
        <v>59407</v>
      </c>
      <c r="B601" s="2" t="s">
        <v>68</v>
      </c>
      <c r="C601" s="2">
        <v>2019</v>
      </c>
      <c r="D601" s="2" t="s">
        <v>1</v>
      </c>
      <c r="E601" s="2" t="s">
        <v>29</v>
      </c>
      <c r="F601" s="2" t="s">
        <v>36</v>
      </c>
      <c r="G601" s="7">
        <v>-1.07</v>
      </c>
      <c r="H601" s="13">
        <f>IFERROR(IF(ABS($G601)&gt;0,VLOOKUP($E601,'Fuel Category and Heat Rate'!$B$1:$G$34,6,FALSE)*($G601),""),"")</f>
        <v>-3608853028965.2441</v>
      </c>
      <c r="I601" t="str">
        <f>IFERROR(VLOOKUP($E601,'Fuel Category and Heat Rate'!$K$2:$M$36,3,FALSE),"")</f>
        <v>natural gas</v>
      </c>
    </row>
    <row r="602" spans="1:9" x14ac:dyDescent="0.15">
      <c r="A602" s="2">
        <v>59442</v>
      </c>
      <c r="B602" s="2" t="s">
        <v>68</v>
      </c>
      <c r="C602" s="2">
        <v>2019</v>
      </c>
      <c r="D602" s="2" t="s">
        <v>1</v>
      </c>
      <c r="E602" s="2" t="s">
        <v>4</v>
      </c>
      <c r="F602" s="2" t="s">
        <v>35</v>
      </c>
      <c r="G602" s="7"/>
      <c r="H602" s="13" t="str">
        <f>IFERROR(IF(ABS($G602)&gt;0,VLOOKUP($E602,'Fuel Category and Heat Rate'!$B$1:$G$34,6,FALSE)*($G602),""),"")</f>
        <v/>
      </c>
      <c r="I602" t="str">
        <f>IFERROR(VLOOKUP($E602,'Fuel Category and Heat Rate'!$K$2:$M$36,3,FALSE),"")</f>
        <v>coal</v>
      </c>
    </row>
    <row r="603" spans="1:9" x14ac:dyDescent="0.15">
      <c r="A603" s="2">
        <v>59477</v>
      </c>
      <c r="B603" s="2" t="s">
        <v>68</v>
      </c>
      <c r="C603" s="2">
        <v>2019</v>
      </c>
      <c r="D603" s="2" t="s">
        <v>1</v>
      </c>
      <c r="E603" s="2" t="s">
        <v>6</v>
      </c>
      <c r="F603" s="2" t="s">
        <v>35</v>
      </c>
      <c r="G603" s="7">
        <v>-14.05</v>
      </c>
      <c r="H603" s="13">
        <f>IFERROR(IF(ABS($G603)&gt;0,VLOOKUP($E603,'Fuel Category and Heat Rate'!$B$1:$G$34,6,FALSE)*($G603),""),"")</f>
        <v>-2060513194633.251</v>
      </c>
      <c r="I603" t="str">
        <f>IFERROR(VLOOKUP($E603,'Fuel Category and Heat Rate'!$K$2:$M$36,3,FALSE),"")</f>
        <v>coal</v>
      </c>
    </row>
    <row r="604" spans="1:9" x14ac:dyDescent="0.15">
      <c r="A604" s="2">
        <v>59512</v>
      </c>
      <c r="B604" s="2" t="s">
        <v>68</v>
      </c>
      <c r="C604" s="2">
        <v>2019</v>
      </c>
      <c r="D604" s="2" t="s">
        <v>1</v>
      </c>
      <c r="E604" s="2" t="s">
        <v>26</v>
      </c>
      <c r="F604" s="2" t="s">
        <v>35</v>
      </c>
      <c r="G604" s="7"/>
      <c r="H604" s="13" t="str">
        <f>IFERROR(IF(ABS($G604)&gt;0,VLOOKUP($E604,'Fuel Category and Heat Rate'!$B$1:$G$34,6,FALSE)*($G604),""),"")</f>
        <v/>
      </c>
      <c r="I604" t="str">
        <f>IFERROR(VLOOKUP($E604,'Fuel Category and Heat Rate'!$K$2:$M$36,3,FALSE),"")</f>
        <v>LPG propane or butane</v>
      </c>
    </row>
    <row r="605" spans="1:9" x14ac:dyDescent="0.15">
      <c r="A605" s="2">
        <v>59547</v>
      </c>
      <c r="B605" s="2" t="s">
        <v>68</v>
      </c>
      <c r="C605" s="2">
        <v>2019</v>
      </c>
      <c r="D605" s="2" t="s">
        <v>1</v>
      </c>
      <c r="E605" s="2" t="s">
        <v>30</v>
      </c>
      <c r="F605" s="2" t="s">
        <v>35</v>
      </c>
      <c r="G605" s="7"/>
      <c r="H605" s="13" t="str">
        <f>IFERROR(IF(ABS($G605)&gt;0,VLOOKUP($E605,'Fuel Category and Heat Rate'!$B$1:$G$34,6,FALSE)*($G605),""),"")</f>
        <v/>
      </c>
      <c r="I605" t="str">
        <f>IFERROR(VLOOKUP($E605,'Fuel Category and Heat Rate'!$K$2:$M$36,3,FALSE),"")</f>
        <v>natural gas</v>
      </c>
    </row>
    <row r="606" spans="1:9" x14ac:dyDescent="0.15">
      <c r="A606" s="2">
        <v>59582</v>
      </c>
      <c r="B606" s="2" t="s">
        <v>68</v>
      </c>
      <c r="C606" s="2">
        <v>2019</v>
      </c>
      <c r="D606" s="2" t="s">
        <v>1</v>
      </c>
      <c r="E606" s="2" t="s">
        <v>14</v>
      </c>
      <c r="F606" s="2" t="s">
        <v>35</v>
      </c>
      <c r="G606" s="7">
        <v>-10.28</v>
      </c>
      <c r="H606" s="13">
        <f>IFERROR(IF(ABS($G606)&gt;0,VLOOKUP($E606,'Fuel Category and Heat Rate'!$B$1:$G$34,6,FALSE)*($G606),""),"")</f>
        <v>0</v>
      </c>
      <c r="I606" t="str">
        <f>IFERROR(VLOOKUP($E606,'Fuel Category and Heat Rate'!$K$2:$M$36,3,FALSE),"")</f>
        <v/>
      </c>
    </row>
    <row r="607" spans="1:9" x14ac:dyDescent="0.15">
      <c r="A607" s="2">
        <v>59617</v>
      </c>
      <c r="B607" s="2" t="s">
        <v>68</v>
      </c>
      <c r="C607" s="2">
        <v>2019</v>
      </c>
      <c r="D607" s="2" t="s">
        <v>1</v>
      </c>
      <c r="E607" s="2" t="s">
        <v>3</v>
      </c>
      <c r="F607" s="2" t="s">
        <v>35</v>
      </c>
      <c r="G607" s="7">
        <v>-828.35</v>
      </c>
      <c r="H607" s="13">
        <f>IFERROR(IF(ABS($G607)&gt;0,VLOOKUP($E607,'Fuel Category and Heat Rate'!$B$1:$G$34,6,FALSE)*($G607),""),"")</f>
        <v>-164153791479380</v>
      </c>
      <c r="I607" t="str">
        <f>IFERROR(VLOOKUP($E607,'Fuel Category and Heat Rate'!$K$2:$M$36,3,FALSE),"")</f>
        <v>coal</v>
      </c>
    </row>
    <row r="608" spans="1:9" x14ac:dyDescent="0.15">
      <c r="A608" s="2">
        <v>59652</v>
      </c>
      <c r="B608" s="2" t="s">
        <v>68</v>
      </c>
      <c r="C608" s="2">
        <v>2019</v>
      </c>
      <c r="D608" s="2" t="s">
        <v>1</v>
      </c>
      <c r="E608" s="2" t="s">
        <v>15</v>
      </c>
      <c r="F608" s="2" t="s">
        <v>35</v>
      </c>
      <c r="G608" s="7"/>
      <c r="H608" s="13" t="str">
        <f>IFERROR(IF(ABS($G608)&gt;0,VLOOKUP($E608,'Fuel Category and Heat Rate'!$B$1:$G$34,6,FALSE)*($G608),""),"")</f>
        <v/>
      </c>
      <c r="I608" t="str">
        <f>IFERROR(VLOOKUP($E608,'Fuel Category and Heat Rate'!$K$2:$M$36,3,FALSE),"")</f>
        <v>crude oil</v>
      </c>
    </row>
    <row r="609" spans="1:9" x14ac:dyDescent="0.15">
      <c r="A609" s="2">
        <v>59687</v>
      </c>
      <c r="B609" s="2" t="s">
        <v>68</v>
      </c>
      <c r="C609" s="2">
        <v>2019</v>
      </c>
      <c r="D609" s="2" t="s">
        <v>1</v>
      </c>
      <c r="E609" s="2" t="s">
        <v>11</v>
      </c>
      <c r="F609" s="2" t="s">
        <v>36</v>
      </c>
      <c r="G609" s="7">
        <v>-0.1</v>
      </c>
      <c r="H609" s="13">
        <f>IFERROR(IF(ABS($G609)&gt;0,VLOOKUP($E609,'Fuel Category and Heat Rate'!$B$1:$G$34,6,FALSE)*($G609),""),"")</f>
        <v>-75304070395.894211</v>
      </c>
      <c r="I609" t="str">
        <f>IFERROR(VLOOKUP($E609,'Fuel Category and Heat Rate'!$K$2:$M$36,3,FALSE),"")</f>
        <v>LPG propane or butane</v>
      </c>
    </row>
    <row r="610" spans="1:9" x14ac:dyDescent="0.15">
      <c r="A610" s="2">
        <v>59722</v>
      </c>
      <c r="B610" s="2" t="s">
        <v>68</v>
      </c>
      <c r="C610" s="2">
        <v>2018</v>
      </c>
      <c r="D610" s="2" t="s">
        <v>1</v>
      </c>
      <c r="E610" s="2" t="s">
        <v>18</v>
      </c>
      <c r="F610" s="2" t="s">
        <v>35</v>
      </c>
      <c r="G610" s="7">
        <v>-0.05</v>
      </c>
      <c r="H610" s="13">
        <f>IFERROR(IF(ABS($G610)&gt;0,VLOOKUP($E610,'Fuel Category and Heat Rate'!$B$1:$G$34,6,FALSE)*($G610),""),"")</f>
        <v>-20213147957.996727</v>
      </c>
      <c r="I610" t="str">
        <f>IFERROR(VLOOKUP($E610,'Fuel Category and Heat Rate'!$K$2:$M$36,3,FALSE),"")</f>
        <v>petroleum diesel</v>
      </c>
    </row>
    <row r="611" spans="1:9" x14ac:dyDescent="0.15">
      <c r="A611" s="2">
        <v>59757</v>
      </c>
      <c r="B611" s="2" t="s">
        <v>68</v>
      </c>
      <c r="C611" s="2">
        <v>2018</v>
      </c>
      <c r="D611" s="2" t="s">
        <v>1</v>
      </c>
      <c r="E611" s="2" t="s">
        <v>32</v>
      </c>
      <c r="F611" s="2" t="s">
        <v>65</v>
      </c>
      <c r="G611" s="7"/>
      <c r="H611" s="13" t="str">
        <f>IFERROR(IF(ABS($G611)&gt;0,VLOOKUP($E611,'Fuel Category and Heat Rate'!$B$1:$G$34,6,FALSE)*($G611),""),"")</f>
        <v/>
      </c>
      <c r="I611" t="str">
        <f>IFERROR(VLOOKUP($E611,'Fuel Category and Heat Rate'!$K$2:$M$36,3,FALSE),"")</f>
        <v>electricity</v>
      </c>
    </row>
    <row r="612" spans="1:9" x14ac:dyDescent="0.15">
      <c r="A612" s="2">
        <v>59792</v>
      </c>
      <c r="B612" s="2" t="s">
        <v>68</v>
      </c>
      <c r="C612" s="2">
        <v>2018</v>
      </c>
      <c r="D612" s="2" t="s">
        <v>1</v>
      </c>
      <c r="E612" s="2" t="s">
        <v>10</v>
      </c>
      <c r="F612" s="2" t="s">
        <v>36</v>
      </c>
      <c r="G612" s="7">
        <v>-0.08</v>
      </c>
      <c r="H612" s="13">
        <f>IFERROR(IF(ABS($G612)&gt;0,VLOOKUP($E612,'Fuel Category and Heat Rate'!$B$1:$G$34,6,FALSE)*($G612),""),"")</f>
        <v>-28533086660.767769</v>
      </c>
      <c r="I612" t="str">
        <f>IFERROR(VLOOKUP($E612,'Fuel Category and Heat Rate'!$K$2:$M$36,3,FALSE),"")</f>
        <v>LPG propane or butane</v>
      </c>
    </row>
    <row r="613" spans="1:9" x14ac:dyDescent="0.15">
      <c r="A613" s="2">
        <v>59827</v>
      </c>
      <c r="B613" s="2" t="s">
        <v>68</v>
      </c>
      <c r="C613" s="2">
        <v>2018</v>
      </c>
      <c r="D613" s="2" t="s">
        <v>1</v>
      </c>
      <c r="E613" s="2" t="s">
        <v>9</v>
      </c>
      <c r="F613" s="2" t="s">
        <v>36</v>
      </c>
      <c r="G613" s="7">
        <v>-0.06</v>
      </c>
      <c r="H613" s="13">
        <f>IFERROR(IF(ABS($G613)&gt;0,VLOOKUP($E613,'Fuel Category and Heat Rate'!$B$1:$G$34,6,FALSE)*($G613),""),"")</f>
        <v>-98687666629.212097</v>
      </c>
      <c r="I613" t="str">
        <f>IFERROR(VLOOKUP($E613,'Fuel Category and Heat Rate'!$K$2:$M$36,3,FALSE),"")</f>
        <v>LPG propane or butane</v>
      </c>
    </row>
    <row r="614" spans="1:9" x14ac:dyDescent="0.15">
      <c r="A614" s="2">
        <v>59862</v>
      </c>
      <c r="B614" s="2" t="s">
        <v>68</v>
      </c>
      <c r="C614" s="2">
        <v>2018</v>
      </c>
      <c r="D614" s="2" t="s">
        <v>1</v>
      </c>
      <c r="E614" s="2" t="s">
        <v>8</v>
      </c>
      <c r="F614" s="2" t="s">
        <v>35</v>
      </c>
      <c r="G614" s="7"/>
      <c r="H614" s="13" t="str">
        <f>IFERROR(IF(ABS($G614)&gt;0,VLOOKUP($E614,'Fuel Category and Heat Rate'!$B$1:$G$34,6,FALSE)*($G614),""),"")</f>
        <v/>
      </c>
      <c r="I614" t="str">
        <f>IFERROR(VLOOKUP($E614,'Fuel Category and Heat Rate'!$K$2:$M$36,3,FALSE),"")</f>
        <v>coal</v>
      </c>
    </row>
    <row r="615" spans="1:9" x14ac:dyDescent="0.15">
      <c r="A615" s="2">
        <v>59897</v>
      </c>
      <c r="B615" s="2" t="s">
        <v>68</v>
      </c>
      <c r="C615" s="2">
        <v>2018</v>
      </c>
      <c r="D615" s="2" t="s">
        <v>1</v>
      </c>
      <c r="E615" s="2" t="s">
        <v>27</v>
      </c>
      <c r="F615" s="2" t="s">
        <v>35</v>
      </c>
      <c r="G615" s="7">
        <v>-12.98</v>
      </c>
      <c r="H615" s="13">
        <f>IFERROR(IF(ABS($G615)&gt;0,VLOOKUP($E615,'Fuel Category and Heat Rate'!$B$1:$G$34,6,FALSE)*($G615),""),"")</f>
        <v>-5658980422695.1592</v>
      </c>
      <c r="I615" t="str">
        <f>IFERROR(VLOOKUP($E615,'Fuel Category and Heat Rate'!$K$2:$M$36,3,FALSE),"")</f>
        <v>LPG propane or butane</v>
      </c>
    </row>
    <row r="616" spans="1:9" x14ac:dyDescent="0.15">
      <c r="A616" s="2">
        <v>59932</v>
      </c>
      <c r="B616" s="2" t="s">
        <v>68</v>
      </c>
      <c r="C616" s="2">
        <v>2018</v>
      </c>
      <c r="D616" s="2" t="s">
        <v>1</v>
      </c>
      <c r="E616" s="2" t="s">
        <v>7</v>
      </c>
      <c r="F616" s="2" t="s">
        <v>35</v>
      </c>
      <c r="G616" s="7">
        <v>-7.95</v>
      </c>
      <c r="H616" s="13">
        <f>IFERROR(IF(ABS($G616)&gt;0,VLOOKUP($E616,'Fuel Category and Heat Rate'!$B$1:$G$34,6,FALSE)*($G616),""),"")</f>
        <v>-630993136524.47876</v>
      </c>
      <c r="I616" t="str">
        <f>IFERROR(VLOOKUP($E616,'Fuel Category and Heat Rate'!$K$2:$M$36,3,FALSE),"")</f>
        <v>coal</v>
      </c>
    </row>
    <row r="617" spans="1:9" x14ac:dyDescent="0.15">
      <c r="A617" s="2">
        <v>59967</v>
      </c>
      <c r="B617" s="2" t="s">
        <v>68</v>
      </c>
      <c r="C617" s="2">
        <v>2018</v>
      </c>
      <c r="D617" s="2" t="s">
        <v>1</v>
      </c>
      <c r="E617" s="2" t="s">
        <v>2</v>
      </c>
      <c r="F617" s="2" t="s">
        <v>35</v>
      </c>
      <c r="G617" s="7">
        <v>-790.58</v>
      </c>
      <c r="H617" s="13">
        <f>IFERROR(IF(ABS($G617)&gt;0,VLOOKUP($E617,'Fuel Category and Heat Rate'!$B$1:$G$34,6,FALSE)*($G617),""),"")</f>
        <v>0</v>
      </c>
      <c r="I617" t="str">
        <f>IFERROR(VLOOKUP($E617,'Fuel Category and Heat Rate'!$K$2:$M$36,3,FALSE),"")</f>
        <v/>
      </c>
    </row>
    <row r="618" spans="1:9" x14ac:dyDescent="0.15">
      <c r="A618" s="2">
        <v>60002</v>
      </c>
      <c r="B618" s="2" t="s">
        <v>68</v>
      </c>
      <c r="C618" s="2">
        <v>2018</v>
      </c>
      <c r="D618" s="2" t="s">
        <v>1</v>
      </c>
      <c r="E618" s="2" t="s">
        <v>17</v>
      </c>
      <c r="F618" s="2" t="s">
        <v>35</v>
      </c>
      <c r="G618" s="7"/>
      <c r="H618" s="13" t="str">
        <f>IFERROR(IF(ABS($G618)&gt;0,VLOOKUP($E618,'Fuel Category and Heat Rate'!$B$1:$G$34,6,FALSE)*($G618),""),"")</f>
        <v/>
      </c>
      <c r="I618" t="str">
        <f>IFERROR(VLOOKUP($E618,'Fuel Category and Heat Rate'!$K$2:$M$36,3,FALSE),"")</f>
        <v>petroleum diesel</v>
      </c>
    </row>
    <row r="619" spans="1:9" x14ac:dyDescent="0.15">
      <c r="A619" s="2">
        <v>60037</v>
      </c>
      <c r="B619" s="2" t="s">
        <v>68</v>
      </c>
      <c r="C619" s="2">
        <v>2018</v>
      </c>
      <c r="D619" s="2" t="s">
        <v>1</v>
      </c>
      <c r="E619" s="2" t="s">
        <v>13</v>
      </c>
      <c r="F619" s="2" t="s">
        <v>35</v>
      </c>
      <c r="G619" s="7"/>
      <c r="H619" s="13" t="str">
        <f>IFERROR(IF(ABS($G619)&gt;0,VLOOKUP($E619,'Fuel Category and Heat Rate'!$B$1:$G$34,6,FALSE)*($G619),""),"")</f>
        <v/>
      </c>
      <c r="I619" t="str">
        <f>IFERROR(VLOOKUP($E619,'Fuel Category and Heat Rate'!$K$2:$M$36,3,FALSE),"")</f>
        <v>petroleum diesel</v>
      </c>
    </row>
    <row r="620" spans="1:9" x14ac:dyDescent="0.15">
      <c r="A620" s="2">
        <v>60072</v>
      </c>
      <c r="B620" s="2" t="s">
        <v>68</v>
      </c>
      <c r="C620" s="2">
        <v>2018</v>
      </c>
      <c r="D620" s="2" t="s">
        <v>1</v>
      </c>
      <c r="E620" s="2" t="s">
        <v>12</v>
      </c>
      <c r="F620" s="2" t="s">
        <v>36</v>
      </c>
      <c r="G620" s="7"/>
      <c r="H620" s="13" t="str">
        <f>IFERROR(IF(ABS($G620)&gt;0,VLOOKUP($E620,'Fuel Category and Heat Rate'!$B$1:$G$34,6,FALSE)*($G620),""),"")</f>
        <v/>
      </c>
      <c r="I620" t="str">
        <f>IFERROR(VLOOKUP($E620,'Fuel Category and Heat Rate'!$K$2:$M$36,3,FALSE),"")</f>
        <v>LPG propane or butane</v>
      </c>
    </row>
    <row r="621" spans="1:9" x14ac:dyDescent="0.15">
      <c r="A621" s="2">
        <v>60107</v>
      </c>
      <c r="B621" s="2" t="s">
        <v>68</v>
      </c>
      <c r="C621" s="2">
        <v>2018</v>
      </c>
      <c r="D621" s="2" t="s">
        <v>1</v>
      </c>
      <c r="E621" s="2" t="s">
        <v>33</v>
      </c>
      <c r="F621" s="2" t="s">
        <v>38</v>
      </c>
      <c r="G621" s="7">
        <v>-0.31</v>
      </c>
      <c r="H621" s="13">
        <f>IFERROR(IF(ABS($G621)&gt;0,VLOOKUP($E621,'Fuel Category and Heat Rate'!$B$1:$G$34,6,FALSE)*($G621),""),"")</f>
        <v>-86005020492.517044</v>
      </c>
      <c r="I621" t="str">
        <f>IFERROR(VLOOKUP($E621,'Fuel Category and Heat Rate'!$K$2:$M$36,3,FALSE),"")</f>
        <v>biomass</v>
      </c>
    </row>
    <row r="622" spans="1:9" x14ac:dyDescent="0.15">
      <c r="A622" s="2">
        <v>60142</v>
      </c>
      <c r="B622" s="2" t="s">
        <v>68</v>
      </c>
      <c r="C622" s="2">
        <v>2018</v>
      </c>
      <c r="D622" s="2" t="s">
        <v>1</v>
      </c>
      <c r="E622" s="2" t="s">
        <v>28</v>
      </c>
      <c r="F622" s="2" t="s">
        <v>35</v>
      </c>
      <c r="G622" s="7"/>
      <c r="H622" s="13" t="str">
        <f>IFERROR(IF(ABS($G622)&gt;0,VLOOKUP($E622,'Fuel Category and Heat Rate'!$B$1:$G$34,6,FALSE)*($G622),""),"")</f>
        <v/>
      </c>
      <c r="I622" t="str">
        <f>IFERROR(VLOOKUP($E622,'Fuel Category and Heat Rate'!$K$2:$M$36,3,FALSE),"")</f>
        <v>heavy or residual fuel oil</v>
      </c>
    </row>
    <row r="623" spans="1:9" x14ac:dyDescent="0.15">
      <c r="A623" s="2">
        <v>60177</v>
      </c>
      <c r="B623" s="2" t="s">
        <v>68</v>
      </c>
      <c r="C623" s="2">
        <v>2018</v>
      </c>
      <c r="D623" s="2" t="s">
        <v>1</v>
      </c>
      <c r="E623" s="2" t="s">
        <v>5</v>
      </c>
      <c r="F623" s="2" t="s">
        <v>35</v>
      </c>
      <c r="G623" s="7"/>
      <c r="H623" s="13" t="str">
        <f>IFERROR(IF(ABS($G623)&gt;0,VLOOKUP($E623,'Fuel Category and Heat Rate'!$B$1:$G$34,6,FALSE)*($G623),""),"")</f>
        <v/>
      </c>
      <c r="I623" t="str">
        <f>IFERROR(VLOOKUP($E623,'Fuel Category and Heat Rate'!$K$2:$M$36,3,FALSE),"")</f>
        <v>coal</v>
      </c>
    </row>
    <row r="624" spans="1:9" x14ac:dyDescent="0.15">
      <c r="A624" s="2">
        <v>60212</v>
      </c>
      <c r="B624" s="2" t="s">
        <v>68</v>
      </c>
      <c r="C624" s="2">
        <v>2018</v>
      </c>
      <c r="D624" s="2" t="s">
        <v>1</v>
      </c>
      <c r="E624" s="2" t="s">
        <v>16</v>
      </c>
      <c r="F624" s="2" t="s">
        <v>35</v>
      </c>
      <c r="G624" s="7"/>
      <c r="H624" s="13" t="str">
        <f>IFERROR(IF(ABS($G624)&gt;0,VLOOKUP($E624,'Fuel Category and Heat Rate'!$B$1:$G$34,6,FALSE)*($G624),""),"")</f>
        <v/>
      </c>
      <c r="I624" t="str">
        <f>IFERROR(VLOOKUP($E624,'Fuel Category and Heat Rate'!$K$2:$M$36,3,FALSE),"")</f>
        <v>petroleum diesel</v>
      </c>
    </row>
    <row r="625" spans="1:9" x14ac:dyDescent="0.15">
      <c r="A625" s="2">
        <v>60247</v>
      </c>
      <c r="B625" s="2" t="s">
        <v>68</v>
      </c>
      <c r="C625" s="2">
        <v>2018</v>
      </c>
      <c r="D625" s="2" t="s">
        <v>1</v>
      </c>
      <c r="E625" s="2" t="s">
        <v>19</v>
      </c>
      <c r="F625" s="2" t="s">
        <v>35</v>
      </c>
      <c r="G625" s="7">
        <v>-0.19</v>
      </c>
      <c r="H625" s="13">
        <f>IFERROR(IF(ABS($G625)&gt;0,VLOOKUP($E625,'Fuel Category and Heat Rate'!$B$1:$G$34,6,FALSE)*($G625),""),"")</f>
        <v>-75304449522.743271</v>
      </c>
      <c r="I625" t="str">
        <f>IFERROR(VLOOKUP($E625,'Fuel Category and Heat Rate'!$K$2:$M$36,3,FALSE),"")</f>
        <v>heavy or residual fuel oil</v>
      </c>
    </row>
    <row r="626" spans="1:9" x14ac:dyDescent="0.15">
      <c r="A626" s="2">
        <v>60282</v>
      </c>
      <c r="B626" s="2" t="s">
        <v>68</v>
      </c>
      <c r="C626" s="2">
        <v>2018</v>
      </c>
      <c r="D626" s="2" t="s">
        <v>1</v>
      </c>
      <c r="E626" s="2" t="s">
        <v>31</v>
      </c>
      <c r="F626" s="2" t="s">
        <v>37</v>
      </c>
      <c r="G626" s="7">
        <v>13315.17</v>
      </c>
      <c r="H626" s="13">
        <f>IFERROR(IF(ABS($G626)&gt;0,VLOOKUP($E626,'Fuel Category and Heat Rate'!$B$1:$G$34,6,FALSE)*($G626),""),"")</f>
        <v>126203461172221.36</v>
      </c>
      <c r="I626" t="str">
        <f>IFERROR(VLOOKUP($E626,'Fuel Category and Heat Rate'!$K$2:$M$36,3,FALSE),"")</f>
        <v>heat</v>
      </c>
    </row>
    <row r="627" spans="1:9" x14ac:dyDescent="0.15">
      <c r="A627" s="2">
        <v>60317</v>
      </c>
      <c r="B627" s="2" t="s">
        <v>68</v>
      </c>
      <c r="C627" s="2">
        <v>2018</v>
      </c>
      <c r="D627" s="2" t="s">
        <v>1</v>
      </c>
      <c r="E627" s="2" t="s">
        <v>23</v>
      </c>
      <c r="F627" s="2" t="s">
        <v>35</v>
      </c>
      <c r="G627" s="7"/>
      <c r="H627" s="13" t="str">
        <f>IFERROR(IF(ABS($G627)&gt;0,VLOOKUP($E627,'Fuel Category and Heat Rate'!$B$1:$G$34,6,FALSE)*($G627),""),"")</f>
        <v/>
      </c>
      <c r="I627" t="str">
        <f>IFERROR(VLOOKUP($E627,'Fuel Category and Heat Rate'!$K$2:$M$36,3,FALSE),"")</f>
        <v>heavy or residual fuel oil</v>
      </c>
    </row>
    <row r="628" spans="1:9" x14ac:dyDescent="0.15">
      <c r="A628" s="2">
        <v>60352</v>
      </c>
      <c r="B628" s="2" t="s">
        <v>68</v>
      </c>
      <c r="C628" s="2">
        <v>2018</v>
      </c>
      <c r="D628" s="2" t="s">
        <v>1</v>
      </c>
      <c r="E628" s="2" t="s">
        <v>21</v>
      </c>
      <c r="F628" s="2" t="s">
        <v>35</v>
      </c>
      <c r="G628" s="7"/>
      <c r="H628" s="13" t="str">
        <f>IFERROR(IF(ABS($G628)&gt;0,VLOOKUP($E628,'Fuel Category and Heat Rate'!$B$1:$G$34,6,FALSE)*($G628),""),"")</f>
        <v/>
      </c>
      <c r="I628" t="str">
        <f>IFERROR(VLOOKUP($E628,'Fuel Category and Heat Rate'!$K$2:$M$36,3,FALSE),"")</f>
        <v>LPG propane or butane</v>
      </c>
    </row>
    <row r="629" spans="1:9" x14ac:dyDescent="0.15">
      <c r="A629" s="2">
        <v>60387</v>
      </c>
      <c r="B629" s="2" t="s">
        <v>68</v>
      </c>
      <c r="C629" s="2">
        <v>2018</v>
      </c>
      <c r="D629" s="2" t="s">
        <v>1</v>
      </c>
      <c r="E629" s="2" t="s">
        <v>22</v>
      </c>
      <c r="F629" s="2" t="s">
        <v>35</v>
      </c>
      <c r="G629" s="7"/>
      <c r="H629" s="13" t="str">
        <f>IFERROR(IF(ABS($G629)&gt;0,VLOOKUP($E629,'Fuel Category and Heat Rate'!$B$1:$G$34,6,FALSE)*($G629),""),"")</f>
        <v/>
      </c>
      <c r="I629" t="str">
        <f>IFERROR(VLOOKUP($E629,'Fuel Category and Heat Rate'!$K$2:$M$36,3,FALSE),"")</f>
        <v>heavy fuel oil</v>
      </c>
    </row>
    <row r="630" spans="1:9" x14ac:dyDescent="0.15">
      <c r="A630" s="2">
        <v>60422</v>
      </c>
      <c r="B630" s="2" t="s">
        <v>68</v>
      </c>
      <c r="C630" s="2">
        <v>2018</v>
      </c>
      <c r="D630" s="2" t="s">
        <v>1</v>
      </c>
      <c r="E630" s="2" t="s">
        <v>20</v>
      </c>
      <c r="F630" s="2" t="s">
        <v>35</v>
      </c>
      <c r="G630" s="7"/>
      <c r="H630" s="13" t="str">
        <f>IFERROR(IF(ABS($G630)&gt;0,VLOOKUP($E630,'Fuel Category and Heat Rate'!$B$1:$G$34,6,FALSE)*($G630),""),"")</f>
        <v/>
      </c>
      <c r="I630" t="str">
        <f>IFERROR(VLOOKUP($E630,'Fuel Category and Heat Rate'!$K$2:$M$36,3,FALSE),"")</f>
        <v>LPG propane or butane</v>
      </c>
    </row>
    <row r="631" spans="1:9" x14ac:dyDescent="0.15">
      <c r="A631" s="2">
        <v>60457</v>
      </c>
      <c r="B631" s="2" t="s">
        <v>68</v>
      </c>
      <c r="C631" s="2">
        <v>2018</v>
      </c>
      <c r="D631" s="2" t="s">
        <v>1</v>
      </c>
      <c r="E631" s="2" t="s">
        <v>25</v>
      </c>
      <c r="F631" s="2" t="s">
        <v>35</v>
      </c>
      <c r="G631" s="7"/>
      <c r="H631" s="13" t="str">
        <f>IFERROR(IF(ABS($G631)&gt;0,VLOOKUP($E631,'Fuel Category and Heat Rate'!$B$1:$G$34,6,FALSE)*($G631),""),"")</f>
        <v/>
      </c>
      <c r="I631" t="str">
        <f>IFERROR(VLOOKUP($E631,'Fuel Category and Heat Rate'!$K$2:$M$36,3,FALSE),"")</f>
        <v>heavy fuel oil</v>
      </c>
    </row>
    <row r="632" spans="1:9" x14ac:dyDescent="0.15">
      <c r="A632" s="2">
        <v>60492</v>
      </c>
      <c r="B632" s="2" t="s">
        <v>68</v>
      </c>
      <c r="C632" s="2">
        <v>2018</v>
      </c>
      <c r="D632" s="2" t="s">
        <v>1</v>
      </c>
      <c r="E632" s="2" t="s">
        <v>24</v>
      </c>
      <c r="F632" s="2" t="s">
        <v>35</v>
      </c>
      <c r="G632" s="7"/>
      <c r="H632" s="13" t="str">
        <f>IFERROR(IF(ABS($G632)&gt;0,VLOOKUP($E632,'Fuel Category and Heat Rate'!$B$1:$G$34,6,FALSE)*($G632),""),"")</f>
        <v/>
      </c>
      <c r="I632" t="str">
        <f>IFERROR(VLOOKUP($E632,'Fuel Category and Heat Rate'!$K$2:$M$36,3,FALSE),"")</f>
        <v>heavy fuel oil</v>
      </c>
    </row>
    <row r="633" spans="1:9" x14ac:dyDescent="0.15">
      <c r="A633" s="2">
        <v>60527</v>
      </c>
      <c r="B633" s="2" t="s">
        <v>68</v>
      </c>
      <c r="C633" s="2">
        <v>2018</v>
      </c>
      <c r="D633" s="2" t="s">
        <v>1</v>
      </c>
      <c r="E633" s="2" t="s">
        <v>29</v>
      </c>
      <c r="F633" s="2" t="s">
        <v>36</v>
      </c>
      <c r="G633" s="7">
        <v>-0.97</v>
      </c>
      <c r="H633" s="13">
        <f>IFERROR(IF(ABS($G633)&gt;0,VLOOKUP($E633,'Fuel Category and Heat Rate'!$B$1:$G$34,6,FALSE)*($G633),""),"")</f>
        <v>-3271577044949.8003</v>
      </c>
      <c r="I633" t="str">
        <f>IFERROR(VLOOKUP($E633,'Fuel Category and Heat Rate'!$K$2:$M$36,3,FALSE),"")</f>
        <v>natural gas</v>
      </c>
    </row>
    <row r="634" spans="1:9" x14ac:dyDescent="0.15">
      <c r="A634" s="2">
        <v>60562</v>
      </c>
      <c r="B634" s="2" t="s">
        <v>68</v>
      </c>
      <c r="C634" s="2">
        <v>2018</v>
      </c>
      <c r="D634" s="2" t="s">
        <v>1</v>
      </c>
      <c r="E634" s="2" t="s">
        <v>4</v>
      </c>
      <c r="F634" s="2" t="s">
        <v>35</v>
      </c>
      <c r="G634" s="7"/>
      <c r="H634" s="13" t="str">
        <f>IFERROR(IF(ABS($G634)&gt;0,VLOOKUP($E634,'Fuel Category and Heat Rate'!$B$1:$G$34,6,FALSE)*($G634),""),"")</f>
        <v/>
      </c>
      <c r="I634" t="str">
        <f>IFERROR(VLOOKUP($E634,'Fuel Category and Heat Rate'!$K$2:$M$36,3,FALSE),"")</f>
        <v>coal</v>
      </c>
    </row>
    <row r="635" spans="1:9" x14ac:dyDescent="0.15">
      <c r="A635" s="2">
        <v>60597</v>
      </c>
      <c r="B635" s="2" t="s">
        <v>68</v>
      </c>
      <c r="C635" s="2">
        <v>2018</v>
      </c>
      <c r="D635" s="2" t="s">
        <v>1</v>
      </c>
      <c r="E635" s="2" t="s">
        <v>6</v>
      </c>
      <c r="F635" s="2" t="s">
        <v>35</v>
      </c>
      <c r="G635" s="7">
        <v>-1.41</v>
      </c>
      <c r="H635" s="13">
        <f>IFERROR(IF(ABS($G635)&gt;0,VLOOKUP($E635,'Fuel Category and Heat Rate'!$B$1:$G$34,6,FALSE)*($G635),""),"")</f>
        <v>-206784598180.2764</v>
      </c>
      <c r="I635" t="str">
        <f>IFERROR(VLOOKUP($E635,'Fuel Category and Heat Rate'!$K$2:$M$36,3,FALSE),"")</f>
        <v>coal</v>
      </c>
    </row>
    <row r="636" spans="1:9" x14ac:dyDescent="0.15">
      <c r="A636" s="2">
        <v>60632</v>
      </c>
      <c r="B636" s="2" t="s">
        <v>68</v>
      </c>
      <c r="C636" s="2">
        <v>2018</v>
      </c>
      <c r="D636" s="2" t="s">
        <v>1</v>
      </c>
      <c r="E636" s="2" t="s">
        <v>26</v>
      </c>
      <c r="F636" s="2" t="s">
        <v>35</v>
      </c>
      <c r="G636" s="7"/>
      <c r="H636" s="13" t="str">
        <f>IFERROR(IF(ABS($G636)&gt;0,VLOOKUP($E636,'Fuel Category and Heat Rate'!$B$1:$G$34,6,FALSE)*($G636),""),"")</f>
        <v/>
      </c>
      <c r="I636" t="str">
        <f>IFERROR(VLOOKUP($E636,'Fuel Category and Heat Rate'!$K$2:$M$36,3,FALSE),"")</f>
        <v>LPG propane or butane</v>
      </c>
    </row>
    <row r="637" spans="1:9" x14ac:dyDescent="0.15">
      <c r="A637" s="2">
        <v>60667</v>
      </c>
      <c r="B637" s="2" t="s">
        <v>68</v>
      </c>
      <c r="C637" s="2">
        <v>2018</v>
      </c>
      <c r="D637" s="2" t="s">
        <v>1</v>
      </c>
      <c r="E637" s="2" t="s">
        <v>30</v>
      </c>
      <c r="F637" s="2" t="s">
        <v>35</v>
      </c>
      <c r="G637" s="7"/>
      <c r="H637" s="13" t="str">
        <f>IFERROR(IF(ABS($G637)&gt;0,VLOOKUP($E637,'Fuel Category and Heat Rate'!$B$1:$G$34,6,FALSE)*($G637),""),"")</f>
        <v/>
      </c>
      <c r="I637" t="str">
        <f>IFERROR(VLOOKUP($E637,'Fuel Category and Heat Rate'!$K$2:$M$36,3,FALSE),"")</f>
        <v>natural gas</v>
      </c>
    </row>
    <row r="638" spans="1:9" x14ac:dyDescent="0.15">
      <c r="A638" s="2">
        <v>60702</v>
      </c>
      <c r="B638" s="2" t="s">
        <v>68</v>
      </c>
      <c r="C638" s="2">
        <v>2018</v>
      </c>
      <c r="D638" s="2" t="s">
        <v>1</v>
      </c>
      <c r="E638" s="2" t="s">
        <v>14</v>
      </c>
      <c r="F638" s="2" t="s">
        <v>35</v>
      </c>
      <c r="G638" s="7">
        <v>-13.22</v>
      </c>
      <c r="H638" s="13">
        <f>IFERROR(IF(ABS($G638)&gt;0,VLOOKUP($E638,'Fuel Category and Heat Rate'!$B$1:$G$34,6,FALSE)*($G638),""),"")</f>
        <v>0</v>
      </c>
      <c r="I638" t="str">
        <f>IFERROR(VLOOKUP($E638,'Fuel Category and Heat Rate'!$K$2:$M$36,3,FALSE),"")</f>
        <v/>
      </c>
    </row>
    <row r="639" spans="1:9" x14ac:dyDescent="0.15">
      <c r="A639" s="2">
        <v>60737</v>
      </c>
      <c r="B639" s="2" t="s">
        <v>68</v>
      </c>
      <c r="C639" s="2">
        <v>2018</v>
      </c>
      <c r="D639" s="2" t="s">
        <v>1</v>
      </c>
      <c r="E639" s="2" t="s">
        <v>3</v>
      </c>
      <c r="F639" s="2" t="s">
        <v>35</v>
      </c>
      <c r="G639" s="7">
        <v>-789.17</v>
      </c>
      <c r="H639" s="13">
        <f>IFERROR(IF(ABS($G639)&gt;0,VLOOKUP($E639,'Fuel Category and Heat Rate'!$B$1:$G$34,6,FALSE)*($G639),""),"")</f>
        <v>-156389506394377.13</v>
      </c>
      <c r="I639" t="str">
        <f>IFERROR(VLOOKUP($E639,'Fuel Category and Heat Rate'!$K$2:$M$36,3,FALSE),"")</f>
        <v>coal</v>
      </c>
    </row>
    <row r="640" spans="1:9" x14ac:dyDescent="0.15">
      <c r="A640" s="2">
        <v>60772</v>
      </c>
      <c r="B640" s="2" t="s">
        <v>68</v>
      </c>
      <c r="C640" s="2">
        <v>2018</v>
      </c>
      <c r="D640" s="2" t="s">
        <v>1</v>
      </c>
      <c r="E640" s="2" t="s">
        <v>15</v>
      </c>
      <c r="F640" s="2" t="s">
        <v>35</v>
      </c>
      <c r="G640" s="7"/>
      <c r="H640" s="13" t="str">
        <f>IFERROR(IF(ABS($G640)&gt;0,VLOOKUP($E640,'Fuel Category and Heat Rate'!$B$1:$G$34,6,FALSE)*($G640),""),"")</f>
        <v/>
      </c>
      <c r="I640" t="str">
        <f>IFERROR(VLOOKUP($E640,'Fuel Category and Heat Rate'!$K$2:$M$36,3,FALSE),"")</f>
        <v>crude oil</v>
      </c>
    </row>
    <row r="641" spans="1:9" x14ac:dyDescent="0.15">
      <c r="A641" s="2">
        <v>60807</v>
      </c>
      <c r="B641" s="2" t="s">
        <v>68</v>
      </c>
      <c r="C641" s="2">
        <v>2018</v>
      </c>
      <c r="D641" s="2" t="s">
        <v>1</v>
      </c>
      <c r="E641" s="2" t="s">
        <v>11</v>
      </c>
      <c r="F641" s="2" t="s">
        <v>36</v>
      </c>
      <c r="G641" s="7">
        <v>-0.09</v>
      </c>
      <c r="H641" s="13">
        <f>IFERROR(IF(ABS($G641)&gt;0,VLOOKUP($E641,'Fuel Category and Heat Rate'!$B$1:$G$34,6,FALSE)*($G641),""),"")</f>
        <v>-67773663356.304787</v>
      </c>
      <c r="I641" t="str">
        <f>IFERROR(VLOOKUP($E641,'Fuel Category and Heat Rate'!$K$2:$M$36,3,FALSE),"")</f>
        <v>LPG propane or butane</v>
      </c>
    </row>
    <row r="642" spans="1:9" x14ac:dyDescent="0.15">
      <c r="A642" s="2">
        <v>73652</v>
      </c>
      <c r="B642" s="2" t="s">
        <v>69</v>
      </c>
      <c r="C642" s="2">
        <v>2022</v>
      </c>
      <c r="D642" s="2" t="s">
        <v>1</v>
      </c>
      <c r="E642" s="2" t="s">
        <v>18</v>
      </c>
      <c r="F642" s="2" t="s">
        <v>35</v>
      </c>
      <c r="G642" s="7">
        <v>-7.0000000000000007E-2</v>
      </c>
      <c r="H642" s="13">
        <f>IFERROR(IF(ABS($G642)&gt;0,VLOOKUP($E642,'Fuel Category and Heat Rate'!$B$1:$G$34,6,FALSE)*($G642),""),"")</f>
        <v>-28298407141.195419</v>
      </c>
      <c r="I642" t="str">
        <f>IFERROR(VLOOKUP($E642,'Fuel Category and Heat Rate'!$K$2:$M$36,3,FALSE),"")</f>
        <v>petroleum diesel</v>
      </c>
    </row>
    <row r="643" spans="1:9" x14ac:dyDescent="0.15">
      <c r="A643" s="2">
        <v>73687</v>
      </c>
      <c r="B643" s="2" t="s">
        <v>69</v>
      </c>
      <c r="C643" s="2">
        <v>2022</v>
      </c>
      <c r="D643" s="2" t="s">
        <v>1</v>
      </c>
      <c r="E643" s="2" t="s">
        <v>32</v>
      </c>
      <c r="F643" s="2" t="s">
        <v>65</v>
      </c>
      <c r="G643" s="7"/>
      <c r="H643" s="13" t="str">
        <f>IFERROR(IF(ABS($G643)&gt;0,VLOOKUP($E643,'Fuel Category and Heat Rate'!$B$1:$G$34,6,FALSE)*($G643),""),"")</f>
        <v/>
      </c>
      <c r="I643" t="str">
        <f>IFERROR(VLOOKUP($E643,'Fuel Category and Heat Rate'!$K$2:$M$36,3,FALSE),"")</f>
        <v>electricity</v>
      </c>
    </row>
    <row r="644" spans="1:9" x14ac:dyDescent="0.15">
      <c r="A644" s="2">
        <v>73722</v>
      </c>
      <c r="B644" s="2" t="s">
        <v>69</v>
      </c>
      <c r="C644" s="2">
        <v>2022</v>
      </c>
      <c r="D644" s="2" t="s">
        <v>1</v>
      </c>
      <c r="E644" s="2" t="s">
        <v>10</v>
      </c>
      <c r="F644" s="2" t="s">
        <v>36</v>
      </c>
      <c r="G644" s="7">
        <v>-17.78</v>
      </c>
      <c r="H644" s="13">
        <f>IFERROR(IF(ABS($G644)&gt;0,VLOOKUP($E644,'Fuel Category and Heat Rate'!$B$1:$G$34,6,FALSE)*($G644),""),"")</f>
        <v>-6341478510355.6367</v>
      </c>
      <c r="I644" t="str">
        <f>IFERROR(VLOOKUP($E644,'Fuel Category and Heat Rate'!$K$2:$M$36,3,FALSE),"")</f>
        <v>LPG propane or butane</v>
      </c>
    </row>
    <row r="645" spans="1:9" x14ac:dyDescent="0.15">
      <c r="A645" s="2">
        <v>73757</v>
      </c>
      <c r="B645" s="2" t="s">
        <v>69</v>
      </c>
      <c r="C645" s="2">
        <v>2022</v>
      </c>
      <c r="D645" s="2" t="s">
        <v>1</v>
      </c>
      <c r="E645" s="2" t="s">
        <v>9</v>
      </c>
      <c r="F645" s="2" t="s">
        <v>36</v>
      </c>
      <c r="G645" s="7"/>
      <c r="H645" s="13" t="str">
        <f>IFERROR(IF(ABS($G645)&gt;0,VLOOKUP($E645,'Fuel Category and Heat Rate'!$B$1:$G$34,6,FALSE)*($G645),""),"")</f>
        <v/>
      </c>
      <c r="I645" t="str">
        <f>IFERROR(VLOOKUP($E645,'Fuel Category and Heat Rate'!$K$2:$M$36,3,FALSE),"")</f>
        <v>LPG propane or butane</v>
      </c>
    </row>
    <row r="646" spans="1:9" x14ac:dyDescent="0.15">
      <c r="A646" s="2">
        <v>73792</v>
      </c>
      <c r="B646" s="2" t="s">
        <v>69</v>
      </c>
      <c r="C646" s="2">
        <v>2022</v>
      </c>
      <c r="D646" s="2" t="s">
        <v>1</v>
      </c>
      <c r="E646" s="2" t="s">
        <v>8</v>
      </c>
      <c r="F646" s="2" t="s">
        <v>35</v>
      </c>
      <c r="G646" s="7"/>
      <c r="H646" s="13" t="str">
        <f>IFERROR(IF(ABS($G646)&gt;0,VLOOKUP($E646,'Fuel Category and Heat Rate'!$B$1:$G$34,6,FALSE)*($G646),""),"")</f>
        <v/>
      </c>
      <c r="I646" t="str">
        <f>IFERROR(VLOOKUP($E646,'Fuel Category and Heat Rate'!$K$2:$M$36,3,FALSE),"")</f>
        <v>coal</v>
      </c>
    </row>
    <row r="647" spans="1:9" x14ac:dyDescent="0.15">
      <c r="A647" s="2">
        <v>73827</v>
      </c>
      <c r="B647" s="2" t="s">
        <v>69</v>
      </c>
      <c r="C647" s="2">
        <v>2022</v>
      </c>
      <c r="D647" s="2" t="s">
        <v>1</v>
      </c>
      <c r="E647" s="2" t="s">
        <v>27</v>
      </c>
      <c r="F647" s="2" t="s">
        <v>35</v>
      </c>
      <c r="G647" s="7">
        <v>-7.59</v>
      </c>
      <c r="H647" s="13">
        <f>IFERROR(IF(ABS($G647)&gt;0,VLOOKUP($E647,'Fuel Category and Heat Rate'!$B$1:$G$34,6,FALSE)*($G647),""),"")</f>
        <v>-3309064823440.3896</v>
      </c>
      <c r="I647" t="str">
        <f>IFERROR(VLOOKUP($E647,'Fuel Category and Heat Rate'!$K$2:$M$36,3,FALSE),"")</f>
        <v>LPG propane or butane</v>
      </c>
    </row>
    <row r="648" spans="1:9" x14ac:dyDescent="0.15">
      <c r="A648" s="2">
        <v>73862</v>
      </c>
      <c r="B648" s="2" t="s">
        <v>69</v>
      </c>
      <c r="C648" s="2">
        <v>2022</v>
      </c>
      <c r="D648" s="2" t="s">
        <v>1</v>
      </c>
      <c r="E648" s="2" t="s">
        <v>7</v>
      </c>
      <c r="F648" s="2" t="s">
        <v>35</v>
      </c>
      <c r="G648" s="7">
        <v>-0.11</v>
      </c>
      <c r="H648" s="13">
        <f>IFERROR(IF(ABS($G648)&gt;0,VLOOKUP($E648,'Fuel Category and Heat Rate'!$B$1:$G$34,6,FALSE)*($G648),""),"")</f>
        <v>-8730722643.7349262</v>
      </c>
      <c r="I648" t="str">
        <f>IFERROR(VLOOKUP($E648,'Fuel Category and Heat Rate'!$K$2:$M$36,3,FALSE),"")</f>
        <v>coal</v>
      </c>
    </row>
    <row r="649" spans="1:9" x14ac:dyDescent="0.15">
      <c r="A649" s="2">
        <v>73897</v>
      </c>
      <c r="B649" s="2" t="s">
        <v>69</v>
      </c>
      <c r="C649" s="2">
        <v>2022</v>
      </c>
      <c r="D649" s="2" t="s">
        <v>1</v>
      </c>
      <c r="E649" s="2" t="s">
        <v>2</v>
      </c>
      <c r="F649" s="2" t="s">
        <v>35</v>
      </c>
      <c r="G649" s="7">
        <v>-1249.3699999999999</v>
      </c>
      <c r="H649" s="13">
        <f>IFERROR(IF(ABS($G649)&gt;0,VLOOKUP($E649,'Fuel Category and Heat Rate'!$B$1:$G$34,6,FALSE)*($G649),""),"")</f>
        <v>0</v>
      </c>
      <c r="I649" t="str">
        <f>IFERROR(VLOOKUP($E649,'Fuel Category and Heat Rate'!$K$2:$M$36,3,FALSE),"")</f>
        <v/>
      </c>
    </row>
    <row r="650" spans="1:9" x14ac:dyDescent="0.15">
      <c r="A650" s="2">
        <v>73932</v>
      </c>
      <c r="B650" s="2" t="s">
        <v>69</v>
      </c>
      <c r="C650" s="2">
        <v>2022</v>
      </c>
      <c r="D650" s="2" t="s">
        <v>1</v>
      </c>
      <c r="E650" s="2" t="s">
        <v>17</v>
      </c>
      <c r="F650" s="2" t="s">
        <v>35</v>
      </c>
      <c r="G650" s="7"/>
      <c r="H650" s="13" t="str">
        <f>IFERROR(IF(ABS($G650)&gt;0,VLOOKUP($E650,'Fuel Category and Heat Rate'!$B$1:$G$34,6,FALSE)*($G650),""),"")</f>
        <v/>
      </c>
      <c r="I650" t="str">
        <f>IFERROR(VLOOKUP($E650,'Fuel Category and Heat Rate'!$K$2:$M$36,3,FALSE),"")</f>
        <v>petroleum diesel</v>
      </c>
    </row>
    <row r="651" spans="1:9" x14ac:dyDescent="0.15">
      <c r="A651" s="2">
        <v>73967</v>
      </c>
      <c r="B651" s="2" t="s">
        <v>69</v>
      </c>
      <c r="C651" s="2">
        <v>2022</v>
      </c>
      <c r="D651" s="2" t="s">
        <v>1</v>
      </c>
      <c r="E651" s="2" t="s">
        <v>13</v>
      </c>
      <c r="F651" s="2" t="s">
        <v>35</v>
      </c>
      <c r="G651" s="7"/>
      <c r="H651" s="13" t="str">
        <f>IFERROR(IF(ABS($G651)&gt;0,VLOOKUP($E651,'Fuel Category and Heat Rate'!$B$1:$G$34,6,FALSE)*($G651),""),"")</f>
        <v/>
      </c>
      <c r="I651" t="str">
        <f>IFERROR(VLOOKUP($E651,'Fuel Category and Heat Rate'!$K$2:$M$36,3,FALSE),"")</f>
        <v>petroleum diesel</v>
      </c>
    </row>
    <row r="652" spans="1:9" x14ac:dyDescent="0.15">
      <c r="A652" s="2">
        <v>74002</v>
      </c>
      <c r="B652" s="2" t="s">
        <v>69</v>
      </c>
      <c r="C652" s="2">
        <v>2022</v>
      </c>
      <c r="D652" s="2" t="s">
        <v>1</v>
      </c>
      <c r="E652" s="2" t="s">
        <v>12</v>
      </c>
      <c r="F652" s="2" t="s">
        <v>36</v>
      </c>
      <c r="G652" s="7"/>
      <c r="H652" s="13" t="str">
        <f>IFERROR(IF(ABS($G652)&gt;0,VLOOKUP($E652,'Fuel Category and Heat Rate'!$B$1:$G$34,6,FALSE)*($G652),""),"")</f>
        <v/>
      </c>
      <c r="I652" t="str">
        <f>IFERROR(VLOOKUP($E652,'Fuel Category and Heat Rate'!$K$2:$M$36,3,FALSE),"")</f>
        <v>LPG propane or butane</v>
      </c>
    </row>
    <row r="653" spans="1:9" x14ac:dyDescent="0.15">
      <c r="A653" s="2">
        <v>74037</v>
      </c>
      <c r="B653" s="2" t="s">
        <v>69</v>
      </c>
      <c r="C653" s="2">
        <v>2022</v>
      </c>
      <c r="D653" s="2" t="s">
        <v>1</v>
      </c>
      <c r="E653" s="2" t="s">
        <v>33</v>
      </c>
      <c r="F653" s="2" t="s">
        <v>38</v>
      </c>
      <c r="G653" s="7">
        <v>-49.45</v>
      </c>
      <c r="H653" s="13">
        <f>IFERROR(IF(ABS($G653)&gt;0,VLOOKUP($E653,'Fuel Category and Heat Rate'!$B$1:$G$34,6,FALSE)*($G653),""),"")</f>
        <v>-13719187946306.35</v>
      </c>
      <c r="I653" t="str">
        <f>IFERROR(VLOOKUP($E653,'Fuel Category and Heat Rate'!$K$2:$M$36,3,FALSE),"")</f>
        <v>biomass</v>
      </c>
    </row>
    <row r="654" spans="1:9" x14ac:dyDescent="0.15">
      <c r="A654" s="2">
        <v>74072</v>
      </c>
      <c r="B654" s="2" t="s">
        <v>69</v>
      </c>
      <c r="C654" s="2">
        <v>2022</v>
      </c>
      <c r="D654" s="2" t="s">
        <v>1</v>
      </c>
      <c r="E654" s="2" t="s">
        <v>28</v>
      </c>
      <c r="F654" s="2" t="s">
        <v>35</v>
      </c>
      <c r="G654" s="7">
        <v>-1.79</v>
      </c>
      <c r="H654" s="13">
        <f>IFERROR(IF(ABS($G654)&gt;0,VLOOKUP($E654,'Fuel Category and Heat Rate'!$B$1:$G$34,6,FALSE)*($G654),""),"")</f>
        <v>-695263667795.40637</v>
      </c>
      <c r="I654" t="str">
        <f>IFERROR(VLOOKUP($E654,'Fuel Category and Heat Rate'!$K$2:$M$36,3,FALSE),"")</f>
        <v>heavy or residual fuel oil</v>
      </c>
    </row>
    <row r="655" spans="1:9" x14ac:dyDescent="0.15">
      <c r="A655" s="2">
        <v>74107</v>
      </c>
      <c r="B655" s="2" t="s">
        <v>69</v>
      </c>
      <c r="C655" s="2">
        <v>2022</v>
      </c>
      <c r="D655" s="2" t="s">
        <v>1</v>
      </c>
      <c r="E655" s="2" t="s">
        <v>5</v>
      </c>
      <c r="F655" s="2" t="s">
        <v>35</v>
      </c>
      <c r="G655" s="7">
        <v>-0.9</v>
      </c>
      <c r="H655" s="13">
        <f>IFERROR(IF(ABS($G655)&gt;0,VLOOKUP($E655,'Fuel Category and Heat Rate'!$B$1:$G$34,6,FALSE)*($G655),""),"")</f>
        <v>-71339351371.778091</v>
      </c>
      <c r="I655" t="str">
        <f>IFERROR(VLOOKUP($E655,'Fuel Category and Heat Rate'!$K$2:$M$36,3,FALSE),"")</f>
        <v>coal</v>
      </c>
    </row>
    <row r="656" spans="1:9" x14ac:dyDescent="0.15">
      <c r="A656" s="2">
        <v>74142</v>
      </c>
      <c r="B656" s="2" t="s">
        <v>69</v>
      </c>
      <c r="C656" s="2">
        <v>2022</v>
      </c>
      <c r="D656" s="2" t="s">
        <v>1</v>
      </c>
      <c r="E656" s="2" t="s">
        <v>16</v>
      </c>
      <c r="F656" s="2" t="s">
        <v>35</v>
      </c>
      <c r="G656" s="7"/>
      <c r="H656" s="13" t="str">
        <f>IFERROR(IF(ABS($G656)&gt;0,VLOOKUP($E656,'Fuel Category and Heat Rate'!$B$1:$G$34,6,FALSE)*($G656),""),"")</f>
        <v/>
      </c>
      <c r="I656" t="str">
        <f>IFERROR(VLOOKUP($E656,'Fuel Category and Heat Rate'!$K$2:$M$36,3,FALSE),"")</f>
        <v>petroleum diesel</v>
      </c>
    </row>
    <row r="657" spans="1:9" x14ac:dyDescent="0.15">
      <c r="A657" s="2">
        <v>74177</v>
      </c>
      <c r="B657" s="2" t="s">
        <v>69</v>
      </c>
      <c r="C657" s="2">
        <v>2022</v>
      </c>
      <c r="D657" s="2" t="s">
        <v>1</v>
      </c>
      <c r="E657" s="2" t="s">
        <v>19</v>
      </c>
      <c r="F657" s="2" t="s">
        <v>35</v>
      </c>
      <c r="G657" s="7">
        <v>-190.07</v>
      </c>
      <c r="H657" s="13">
        <f>IFERROR(IF(ABS($G657)&gt;0,VLOOKUP($E657,'Fuel Category and Heat Rate'!$B$1:$G$34,6,FALSE)*($G657),""),"")</f>
        <v>-75332193267304.281</v>
      </c>
      <c r="I657" t="str">
        <f>IFERROR(VLOOKUP($E657,'Fuel Category and Heat Rate'!$K$2:$M$36,3,FALSE),"")</f>
        <v>heavy or residual fuel oil</v>
      </c>
    </row>
    <row r="658" spans="1:9" x14ac:dyDescent="0.15">
      <c r="A658" s="2">
        <v>74212</v>
      </c>
      <c r="B658" s="2" t="s">
        <v>69</v>
      </c>
      <c r="C658" s="2">
        <v>2022</v>
      </c>
      <c r="D658" s="2" t="s">
        <v>1</v>
      </c>
      <c r="E658" s="2" t="s">
        <v>31</v>
      </c>
      <c r="F658" s="2" t="s">
        <v>37</v>
      </c>
      <c r="G658" s="7">
        <v>37121.01</v>
      </c>
      <c r="H658" s="13">
        <f>IFERROR(IF(ABS($G658)&gt;0,VLOOKUP($E658,'Fuel Category and Heat Rate'!$B$1:$G$34,6,FALSE)*($G658),""),"")</f>
        <v>351839288886934.31</v>
      </c>
      <c r="I658" t="str">
        <f>IFERROR(VLOOKUP($E658,'Fuel Category and Heat Rate'!$K$2:$M$36,3,FALSE),"")</f>
        <v>heat</v>
      </c>
    </row>
    <row r="659" spans="1:9" x14ac:dyDescent="0.15">
      <c r="A659" s="2">
        <v>74247</v>
      </c>
      <c r="B659" s="2" t="s">
        <v>69</v>
      </c>
      <c r="C659" s="2">
        <v>2022</v>
      </c>
      <c r="D659" s="2" t="s">
        <v>1</v>
      </c>
      <c r="E659" s="2" t="s">
        <v>23</v>
      </c>
      <c r="F659" s="2" t="s">
        <v>35</v>
      </c>
      <c r="G659" s="7"/>
      <c r="H659" s="13" t="str">
        <f>IFERROR(IF(ABS($G659)&gt;0,VLOOKUP($E659,'Fuel Category and Heat Rate'!$B$1:$G$34,6,FALSE)*($G659),""),"")</f>
        <v/>
      </c>
      <c r="I659" t="str">
        <f>IFERROR(VLOOKUP($E659,'Fuel Category and Heat Rate'!$K$2:$M$36,3,FALSE),"")</f>
        <v>heavy or residual fuel oil</v>
      </c>
    </row>
    <row r="660" spans="1:9" x14ac:dyDescent="0.15">
      <c r="A660" s="2">
        <v>74282</v>
      </c>
      <c r="B660" s="2" t="s">
        <v>69</v>
      </c>
      <c r="C660" s="2">
        <v>2022</v>
      </c>
      <c r="D660" s="2" t="s">
        <v>1</v>
      </c>
      <c r="E660" s="2" t="s">
        <v>21</v>
      </c>
      <c r="F660" s="2" t="s">
        <v>35</v>
      </c>
      <c r="G660" s="7"/>
      <c r="H660" s="13" t="str">
        <f>IFERROR(IF(ABS($G660)&gt;0,VLOOKUP($E660,'Fuel Category and Heat Rate'!$B$1:$G$34,6,FALSE)*($G660),""),"")</f>
        <v/>
      </c>
      <c r="I660" t="str">
        <f>IFERROR(VLOOKUP($E660,'Fuel Category and Heat Rate'!$K$2:$M$36,3,FALSE),"")</f>
        <v>LPG propane or butane</v>
      </c>
    </row>
    <row r="661" spans="1:9" x14ac:dyDescent="0.15">
      <c r="A661" s="2">
        <v>74317</v>
      </c>
      <c r="B661" s="2" t="s">
        <v>69</v>
      </c>
      <c r="C661" s="2">
        <v>2022</v>
      </c>
      <c r="D661" s="2" t="s">
        <v>1</v>
      </c>
      <c r="E661" s="2" t="s">
        <v>22</v>
      </c>
      <c r="F661" s="2" t="s">
        <v>35</v>
      </c>
      <c r="G661" s="7"/>
      <c r="H661" s="13" t="str">
        <f>IFERROR(IF(ABS($G661)&gt;0,VLOOKUP($E661,'Fuel Category and Heat Rate'!$B$1:$G$34,6,FALSE)*($G661),""),"")</f>
        <v/>
      </c>
      <c r="I661" t="str">
        <f>IFERROR(VLOOKUP($E661,'Fuel Category and Heat Rate'!$K$2:$M$36,3,FALSE),"")</f>
        <v>heavy fuel oil</v>
      </c>
    </row>
    <row r="662" spans="1:9" x14ac:dyDescent="0.15">
      <c r="A662" s="2">
        <v>74352</v>
      </c>
      <c r="B662" s="2" t="s">
        <v>69</v>
      </c>
      <c r="C662" s="2">
        <v>2022</v>
      </c>
      <c r="D662" s="2" t="s">
        <v>1</v>
      </c>
      <c r="E662" s="2" t="s">
        <v>20</v>
      </c>
      <c r="F662" s="2" t="s">
        <v>35</v>
      </c>
      <c r="G662" s="7"/>
      <c r="H662" s="13" t="str">
        <f>IFERROR(IF(ABS($G662)&gt;0,VLOOKUP($E662,'Fuel Category and Heat Rate'!$B$1:$G$34,6,FALSE)*($G662),""),"")</f>
        <v/>
      </c>
      <c r="I662" t="str">
        <f>IFERROR(VLOOKUP($E662,'Fuel Category and Heat Rate'!$K$2:$M$36,3,FALSE),"")</f>
        <v>LPG propane or butane</v>
      </c>
    </row>
    <row r="663" spans="1:9" x14ac:dyDescent="0.15">
      <c r="A663" s="2">
        <v>74387</v>
      </c>
      <c r="B663" s="2" t="s">
        <v>69</v>
      </c>
      <c r="C663" s="2">
        <v>2022</v>
      </c>
      <c r="D663" s="2" t="s">
        <v>1</v>
      </c>
      <c r="E663" s="2" t="s">
        <v>25</v>
      </c>
      <c r="F663" s="2" t="s">
        <v>35</v>
      </c>
      <c r="G663" s="7">
        <v>-45.95</v>
      </c>
      <c r="H663" s="13">
        <f>IFERROR(IF(ABS($G663)&gt;0,VLOOKUP($E663,'Fuel Category and Heat Rate'!$B$1:$G$34,6,FALSE)*($G663),""),"")</f>
        <v>-13913620307398.893</v>
      </c>
      <c r="I663" t="str">
        <f>IFERROR(VLOOKUP($E663,'Fuel Category and Heat Rate'!$K$2:$M$36,3,FALSE),"")</f>
        <v>heavy fuel oil</v>
      </c>
    </row>
    <row r="664" spans="1:9" x14ac:dyDescent="0.15">
      <c r="A664" s="2">
        <v>74422</v>
      </c>
      <c r="B664" s="2" t="s">
        <v>69</v>
      </c>
      <c r="C664" s="2">
        <v>2022</v>
      </c>
      <c r="D664" s="2" t="s">
        <v>1</v>
      </c>
      <c r="E664" s="2" t="s">
        <v>24</v>
      </c>
      <c r="F664" s="2" t="s">
        <v>35</v>
      </c>
      <c r="G664" s="7"/>
      <c r="H664" s="13" t="str">
        <f>IFERROR(IF(ABS($G664)&gt;0,VLOOKUP($E664,'Fuel Category and Heat Rate'!$B$1:$G$34,6,FALSE)*($G664),""),"")</f>
        <v/>
      </c>
      <c r="I664" t="str">
        <f>IFERROR(VLOOKUP($E664,'Fuel Category and Heat Rate'!$K$2:$M$36,3,FALSE),"")</f>
        <v>heavy fuel oil</v>
      </c>
    </row>
    <row r="665" spans="1:9" x14ac:dyDescent="0.15">
      <c r="A665" s="2">
        <v>74457</v>
      </c>
      <c r="B665" s="2" t="s">
        <v>69</v>
      </c>
      <c r="C665" s="2">
        <v>2022</v>
      </c>
      <c r="D665" s="2" t="s">
        <v>1</v>
      </c>
      <c r="E665" s="2" t="s">
        <v>29</v>
      </c>
      <c r="F665" s="2" t="s">
        <v>36</v>
      </c>
      <c r="G665" s="7">
        <v>-18.11</v>
      </c>
      <c r="H665" s="13">
        <f>IFERROR(IF(ABS($G665)&gt;0,VLOOKUP($E665,'Fuel Category and Heat Rate'!$B$1:$G$34,6,FALSE)*($G665),""),"")</f>
        <v>-61080680705196.789</v>
      </c>
      <c r="I665" t="str">
        <f>IFERROR(VLOOKUP($E665,'Fuel Category and Heat Rate'!$K$2:$M$36,3,FALSE),"")</f>
        <v>natural gas</v>
      </c>
    </row>
    <row r="666" spans="1:9" x14ac:dyDescent="0.15">
      <c r="A666" s="2">
        <v>74492</v>
      </c>
      <c r="B666" s="2" t="s">
        <v>69</v>
      </c>
      <c r="C666" s="2">
        <v>2022</v>
      </c>
      <c r="D666" s="2" t="s">
        <v>1</v>
      </c>
      <c r="E666" s="2" t="s">
        <v>4</v>
      </c>
      <c r="F666" s="2" t="s">
        <v>35</v>
      </c>
      <c r="G666" s="7"/>
      <c r="H666" s="13" t="str">
        <f>IFERROR(IF(ABS($G666)&gt;0,VLOOKUP($E666,'Fuel Category and Heat Rate'!$B$1:$G$34,6,FALSE)*($G666),""),"")</f>
        <v/>
      </c>
      <c r="I666" t="str">
        <f>IFERROR(VLOOKUP($E666,'Fuel Category and Heat Rate'!$K$2:$M$36,3,FALSE),"")</f>
        <v>coal</v>
      </c>
    </row>
    <row r="667" spans="1:9" x14ac:dyDescent="0.15">
      <c r="A667" s="2">
        <v>74527</v>
      </c>
      <c r="B667" s="2" t="s">
        <v>69</v>
      </c>
      <c r="C667" s="2">
        <v>2022</v>
      </c>
      <c r="D667" s="2" t="s">
        <v>1</v>
      </c>
      <c r="E667" s="2" t="s">
        <v>6</v>
      </c>
      <c r="F667" s="2" t="s">
        <v>35</v>
      </c>
      <c r="G667" s="7">
        <v>-18.28</v>
      </c>
      <c r="H667" s="13">
        <f>IFERROR(IF(ABS($G667)&gt;0,VLOOKUP($E667,'Fuel Category and Heat Rate'!$B$1:$G$34,6,FALSE)*($G667),""),"")</f>
        <v>-2680866989174.0806</v>
      </c>
      <c r="I667" t="str">
        <f>IFERROR(VLOOKUP($E667,'Fuel Category and Heat Rate'!$K$2:$M$36,3,FALSE),"")</f>
        <v>coal</v>
      </c>
    </row>
    <row r="668" spans="1:9" x14ac:dyDescent="0.15">
      <c r="A668" s="2">
        <v>74562</v>
      </c>
      <c r="B668" s="2" t="s">
        <v>69</v>
      </c>
      <c r="C668" s="2">
        <v>2022</v>
      </c>
      <c r="D668" s="2" t="s">
        <v>1</v>
      </c>
      <c r="E668" s="2" t="s">
        <v>26</v>
      </c>
      <c r="F668" s="2" t="s">
        <v>35</v>
      </c>
      <c r="G668" s="7">
        <v>-0.13</v>
      </c>
      <c r="H668" s="13">
        <f>IFERROR(IF(ABS($G668)&gt;0,VLOOKUP($E668,'Fuel Category and Heat Rate'!$B$1:$G$34,6,FALSE)*($G668),""),"")</f>
        <v>-61828670017.800484</v>
      </c>
      <c r="I668" t="str">
        <f>IFERROR(VLOOKUP($E668,'Fuel Category and Heat Rate'!$K$2:$M$36,3,FALSE),"")</f>
        <v>LPG propane or butane</v>
      </c>
    </row>
    <row r="669" spans="1:9" x14ac:dyDescent="0.15">
      <c r="A669" s="2">
        <v>74597</v>
      </c>
      <c r="B669" s="2" t="s">
        <v>69</v>
      </c>
      <c r="C669" s="2">
        <v>2022</v>
      </c>
      <c r="D669" s="2" t="s">
        <v>1</v>
      </c>
      <c r="E669" s="2" t="s">
        <v>30</v>
      </c>
      <c r="F669" s="2" t="s">
        <v>35</v>
      </c>
      <c r="G669" s="7">
        <v>-30.1</v>
      </c>
      <c r="H669" s="13">
        <f>IFERROR(IF(ABS($G669)&gt;0,VLOOKUP($E669,'Fuel Category and Heat Rate'!$B$1:$G$34,6,FALSE)*($G669),""),"")</f>
        <v>-14673757792063.807</v>
      </c>
      <c r="I669" t="str">
        <f>IFERROR(VLOOKUP($E669,'Fuel Category and Heat Rate'!$K$2:$M$36,3,FALSE),"")</f>
        <v>natural gas</v>
      </c>
    </row>
    <row r="670" spans="1:9" x14ac:dyDescent="0.15">
      <c r="A670" s="2">
        <v>74632</v>
      </c>
      <c r="B670" s="2" t="s">
        <v>69</v>
      </c>
      <c r="C670" s="2">
        <v>2022</v>
      </c>
      <c r="D670" s="2" t="s">
        <v>1</v>
      </c>
      <c r="E670" s="2" t="s">
        <v>14</v>
      </c>
      <c r="F670" s="2" t="s">
        <v>35</v>
      </c>
      <c r="G670" s="7">
        <v>-245.6</v>
      </c>
      <c r="H670" s="13">
        <f>IFERROR(IF(ABS($G670)&gt;0,VLOOKUP($E670,'Fuel Category and Heat Rate'!$B$1:$G$34,6,FALSE)*($G670),""),"")</f>
        <v>0</v>
      </c>
      <c r="I670" t="str">
        <f>IFERROR(VLOOKUP($E670,'Fuel Category and Heat Rate'!$K$2:$M$36,3,FALSE),"")</f>
        <v/>
      </c>
    </row>
    <row r="671" spans="1:9" x14ac:dyDescent="0.15">
      <c r="A671" s="2">
        <v>74667</v>
      </c>
      <c r="B671" s="2" t="s">
        <v>69</v>
      </c>
      <c r="C671" s="2">
        <v>2022</v>
      </c>
      <c r="D671" s="2" t="s">
        <v>1</v>
      </c>
      <c r="E671" s="2" t="s">
        <v>3</v>
      </c>
      <c r="F671" s="2" t="s">
        <v>35</v>
      </c>
      <c r="G671" s="7">
        <v>-1230.19</v>
      </c>
      <c r="H671" s="13">
        <f>IFERROR(IF(ABS($G671)&gt;0,VLOOKUP($E671,'Fuel Category and Heat Rate'!$B$1:$G$34,6,FALSE)*($G671),""),"")</f>
        <v>-243786265153640.94</v>
      </c>
      <c r="I671" t="str">
        <f>IFERROR(VLOOKUP($E671,'Fuel Category and Heat Rate'!$K$2:$M$36,3,FALSE),"")</f>
        <v>coal</v>
      </c>
    </row>
    <row r="672" spans="1:9" x14ac:dyDescent="0.15">
      <c r="A672" s="2">
        <v>74702</v>
      </c>
      <c r="B672" s="2" t="s">
        <v>69</v>
      </c>
      <c r="C672" s="2">
        <v>2022</v>
      </c>
      <c r="D672" s="2" t="s">
        <v>1</v>
      </c>
      <c r="E672" s="2" t="s">
        <v>15</v>
      </c>
      <c r="F672" s="2" t="s">
        <v>35</v>
      </c>
      <c r="G672" s="7"/>
      <c r="H672" s="13" t="str">
        <f>IFERROR(IF(ABS($G672)&gt;0,VLOOKUP($E672,'Fuel Category and Heat Rate'!$B$1:$G$34,6,FALSE)*($G672),""),"")</f>
        <v/>
      </c>
      <c r="I672" t="str">
        <f>IFERROR(VLOOKUP($E672,'Fuel Category and Heat Rate'!$K$2:$M$36,3,FALSE),"")</f>
        <v>crude oil</v>
      </c>
    </row>
    <row r="673" spans="1:9" x14ac:dyDescent="0.15">
      <c r="A673" s="2">
        <v>74737</v>
      </c>
      <c r="B673" s="2" t="s">
        <v>69</v>
      </c>
      <c r="C673" s="2">
        <v>2022</v>
      </c>
      <c r="D673" s="2" t="s">
        <v>1</v>
      </c>
      <c r="E673" s="2" t="s">
        <v>11</v>
      </c>
      <c r="F673" s="2" t="s">
        <v>36</v>
      </c>
      <c r="G673" s="7">
        <v>-0.84</v>
      </c>
      <c r="H673" s="13">
        <f>IFERROR(IF(ABS($G673)&gt;0,VLOOKUP($E673,'Fuel Category and Heat Rate'!$B$1:$G$34,6,FALSE)*($G673),""),"")</f>
        <v>-632554191325.51135</v>
      </c>
      <c r="I673" t="str">
        <f>IFERROR(VLOOKUP($E673,'Fuel Category and Heat Rate'!$K$2:$M$36,3,FALSE),"")</f>
        <v>LPG propane or butane</v>
      </c>
    </row>
    <row r="674" spans="1:9" x14ac:dyDescent="0.15">
      <c r="A674" s="2">
        <v>74772</v>
      </c>
      <c r="B674" s="2" t="s">
        <v>69</v>
      </c>
      <c r="C674" s="2">
        <v>2021</v>
      </c>
      <c r="D674" s="2" t="s">
        <v>1</v>
      </c>
      <c r="E674" s="2" t="s">
        <v>18</v>
      </c>
      <c r="F674" s="2" t="s">
        <v>35</v>
      </c>
      <c r="G674" s="7">
        <v>-0.36</v>
      </c>
      <c r="H674" s="13">
        <f>IFERROR(IF(ABS($G674)&gt;0,VLOOKUP($E674,'Fuel Category and Heat Rate'!$B$1:$G$34,6,FALSE)*($G674),""),"")</f>
        <v>-145534665297.57642</v>
      </c>
      <c r="I674" t="str">
        <f>IFERROR(VLOOKUP($E674,'Fuel Category and Heat Rate'!$K$2:$M$36,3,FALSE),"")</f>
        <v>petroleum diesel</v>
      </c>
    </row>
    <row r="675" spans="1:9" x14ac:dyDescent="0.15">
      <c r="A675" s="2">
        <v>74807</v>
      </c>
      <c r="B675" s="2" t="s">
        <v>69</v>
      </c>
      <c r="C675" s="2">
        <v>2021</v>
      </c>
      <c r="D675" s="2" t="s">
        <v>1</v>
      </c>
      <c r="E675" s="2" t="s">
        <v>32</v>
      </c>
      <c r="F675" s="2" t="s">
        <v>65</v>
      </c>
      <c r="G675" s="7"/>
      <c r="H675" s="13" t="str">
        <f>IFERROR(IF(ABS($G675)&gt;0,VLOOKUP($E675,'Fuel Category and Heat Rate'!$B$1:$G$34,6,FALSE)*($G675),""),"")</f>
        <v/>
      </c>
      <c r="I675" t="str">
        <f>IFERROR(VLOOKUP($E675,'Fuel Category and Heat Rate'!$K$2:$M$36,3,FALSE),"")</f>
        <v>electricity</v>
      </c>
    </row>
    <row r="676" spans="1:9" x14ac:dyDescent="0.15">
      <c r="A676" s="2">
        <v>74842</v>
      </c>
      <c r="B676" s="2" t="s">
        <v>69</v>
      </c>
      <c r="C676" s="2">
        <v>2021</v>
      </c>
      <c r="D676" s="2" t="s">
        <v>1</v>
      </c>
      <c r="E676" s="2" t="s">
        <v>10</v>
      </c>
      <c r="F676" s="2" t="s">
        <v>36</v>
      </c>
      <c r="G676" s="7">
        <v>-19.23</v>
      </c>
      <c r="H676" s="13">
        <f>IFERROR(IF(ABS($G676)&gt;0,VLOOKUP($E676,'Fuel Category and Heat Rate'!$B$1:$G$34,6,FALSE)*($G676),""),"")</f>
        <v>-6858640706082.0527</v>
      </c>
      <c r="I676" t="str">
        <f>IFERROR(VLOOKUP($E676,'Fuel Category and Heat Rate'!$K$2:$M$36,3,FALSE),"")</f>
        <v>LPG propane or butane</v>
      </c>
    </row>
    <row r="677" spans="1:9" x14ac:dyDescent="0.15">
      <c r="A677" s="2">
        <v>74877</v>
      </c>
      <c r="B677" s="2" t="s">
        <v>69</v>
      </c>
      <c r="C677" s="2">
        <v>2021</v>
      </c>
      <c r="D677" s="2" t="s">
        <v>1</v>
      </c>
      <c r="E677" s="2" t="s">
        <v>9</v>
      </c>
      <c r="F677" s="2" t="s">
        <v>36</v>
      </c>
      <c r="G677" s="7"/>
      <c r="H677" s="13" t="str">
        <f>IFERROR(IF(ABS($G677)&gt;0,VLOOKUP($E677,'Fuel Category and Heat Rate'!$B$1:$G$34,6,FALSE)*($G677),""),"")</f>
        <v/>
      </c>
      <c r="I677" t="str">
        <f>IFERROR(VLOOKUP($E677,'Fuel Category and Heat Rate'!$K$2:$M$36,3,FALSE),"")</f>
        <v>LPG propane or butane</v>
      </c>
    </row>
    <row r="678" spans="1:9" x14ac:dyDescent="0.15">
      <c r="A678" s="2">
        <v>74912</v>
      </c>
      <c r="B678" s="2" t="s">
        <v>69</v>
      </c>
      <c r="C678" s="2">
        <v>2021</v>
      </c>
      <c r="D678" s="2" t="s">
        <v>1</v>
      </c>
      <c r="E678" s="2" t="s">
        <v>8</v>
      </c>
      <c r="F678" s="2" t="s">
        <v>35</v>
      </c>
      <c r="G678" s="7"/>
      <c r="H678" s="13" t="str">
        <f>IFERROR(IF(ABS($G678)&gt;0,VLOOKUP($E678,'Fuel Category and Heat Rate'!$B$1:$G$34,6,FALSE)*($G678),""),"")</f>
        <v/>
      </c>
      <c r="I678" t="str">
        <f>IFERROR(VLOOKUP($E678,'Fuel Category and Heat Rate'!$K$2:$M$36,3,FALSE),"")</f>
        <v>coal</v>
      </c>
    </row>
    <row r="679" spans="1:9" x14ac:dyDescent="0.15">
      <c r="A679" s="2">
        <v>74947</v>
      </c>
      <c r="B679" s="2" t="s">
        <v>69</v>
      </c>
      <c r="C679" s="2">
        <v>2021</v>
      </c>
      <c r="D679" s="2" t="s">
        <v>1</v>
      </c>
      <c r="E679" s="2" t="s">
        <v>27</v>
      </c>
      <c r="F679" s="2" t="s">
        <v>35</v>
      </c>
      <c r="G679" s="7">
        <v>-7.61</v>
      </c>
      <c r="H679" s="13">
        <f>IFERROR(IF(ABS($G679)&gt;0,VLOOKUP($E679,'Fuel Category and Heat Rate'!$B$1:$G$34,6,FALSE)*($G679),""),"")</f>
        <v>-3317784361842.0771</v>
      </c>
      <c r="I679" t="str">
        <f>IFERROR(VLOOKUP($E679,'Fuel Category and Heat Rate'!$K$2:$M$36,3,FALSE),"")</f>
        <v>LPG propane or butane</v>
      </c>
    </row>
    <row r="680" spans="1:9" x14ac:dyDescent="0.15">
      <c r="A680" s="2">
        <v>74982</v>
      </c>
      <c r="B680" s="2" t="s">
        <v>69</v>
      </c>
      <c r="C680" s="2">
        <v>2021</v>
      </c>
      <c r="D680" s="2" t="s">
        <v>1</v>
      </c>
      <c r="E680" s="2" t="s">
        <v>7</v>
      </c>
      <c r="F680" s="2" t="s">
        <v>35</v>
      </c>
      <c r="G680" s="7"/>
      <c r="H680" s="13" t="str">
        <f>IFERROR(IF(ABS($G680)&gt;0,VLOOKUP($E680,'Fuel Category and Heat Rate'!$B$1:$G$34,6,FALSE)*($G680),""),"")</f>
        <v/>
      </c>
      <c r="I680" t="str">
        <f>IFERROR(VLOOKUP($E680,'Fuel Category and Heat Rate'!$K$2:$M$36,3,FALSE),"")</f>
        <v>coal</v>
      </c>
    </row>
    <row r="681" spans="1:9" x14ac:dyDescent="0.15">
      <c r="A681" s="2">
        <v>75017</v>
      </c>
      <c r="B681" s="2" t="s">
        <v>69</v>
      </c>
      <c r="C681" s="2">
        <v>2021</v>
      </c>
      <c r="D681" s="2" t="s">
        <v>1</v>
      </c>
      <c r="E681" s="2" t="s">
        <v>2</v>
      </c>
      <c r="F681" s="2" t="s">
        <v>35</v>
      </c>
      <c r="G681" s="7">
        <v>-1191.29</v>
      </c>
      <c r="H681" s="13">
        <f>IFERROR(IF(ABS($G681)&gt;0,VLOOKUP($E681,'Fuel Category and Heat Rate'!$B$1:$G$34,6,FALSE)*($G681),""),"")</f>
        <v>0</v>
      </c>
      <c r="I681" t="str">
        <f>IFERROR(VLOOKUP($E681,'Fuel Category and Heat Rate'!$K$2:$M$36,3,FALSE),"")</f>
        <v/>
      </c>
    </row>
    <row r="682" spans="1:9" x14ac:dyDescent="0.15">
      <c r="A682" s="2">
        <v>75052</v>
      </c>
      <c r="B682" s="2" t="s">
        <v>69</v>
      </c>
      <c r="C682" s="2">
        <v>2021</v>
      </c>
      <c r="D682" s="2" t="s">
        <v>1</v>
      </c>
      <c r="E682" s="2" t="s">
        <v>17</v>
      </c>
      <c r="F682" s="2" t="s">
        <v>35</v>
      </c>
      <c r="G682" s="7"/>
      <c r="H682" s="13" t="str">
        <f>IFERROR(IF(ABS($G682)&gt;0,VLOOKUP($E682,'Fuel Category and Heat Rate'!$B$1:$G$34,6,FALSE)*($G682),""),"")</f>
        <v/>
      </c>
      <c r="I682" t="str">
        <f>IFERROR(VLOOKUP($E682,'Fuel Category and Heat Rate'!$K$2:$M$36,3,FALSE),"")</f>
        <v>petroleum diesel</v>
      </c>
    </row>
    <row r="683" spans="1:9" x14ac:dyDescent="0.15">
      <c r="A683" s="2">
        <v>75087</v>
      </c>
      <c r="B683" s="2" t="s">
        <v>69</v>
      </c>
      <c r="C683" s="2">
        <v>2021</v>
      </c>
      <c r="D683" s="2" t="s">
        <v>1</v>
      </c>
      <c r="E683" s="2" t="s">
        <v>13</v>
      </c>
      <c r="F683" s="2" t="s">
        <v>35</v>
      </c>
      <c r="G683" s="7"/>
      <c r="H683" s="13" t="str">
        <f>IFERROR(IF(ABS($G683)&gt;0,VLOOKUP($E683,'Fuel Category and Heat Rate'!$B$1:$G$34,6,FALSE)*($G683),""),"")</f>
        <v/>
      </c>
      <c r="I683" t="str">
        <f>IFERROR(VLOOKUP($E683,'Fuel Category and Heat Rate'!$K$2:$M$36,3,FALSE),"")</f>
        <v>petroleum diesel</v>
      </c>
    </row>
    <row r="684" spans="1:9" x14ac:dyDescent="0.15">
      <c r="A684" s="2">
        <v>75122</v>
      </c>
      <c r="B684" s="2" t="s">
        <v>69</v>
      </c>
      <c r="C684" s="2">
        <v>2021</v>
      </c>
      <c r="D684" s="2" t="s">
        <v>1</v>
      </c>
      <c r="E684" s="2" t="s">
        <v>12</v>
      </c>
      <c r="F684" s="2" t="s">
        <v>36</v>
      </c>
      <c r="G684" s="7"/>
      <c r="H684" s="13" t="str">
        <f>IFERROR(IF(ABS($G684)&gt;0,VLOOKUP($E684,'Fuel Category and Heat Rate'!$B$1:$G$34,6,FALSE)*($G684),""),"")</f>
        <v/>
      </c>
      <c r="I684" t="str">
        <f>IFERROR(VLOOKUP($E684,'Fuel Category and Heat Rate'!$K$2:$M$36,3,FALSE),"")</f>
        <v>LPG propane or butane</v>
      </c>
    </row>
    <row r="685" spans="1:9" x14ac:dyDescent="0.15">
      <c r="A685" s="2">
        <v>75157</v>
      </c>
      <c r="B685" s="2" t="s">
        <v>69</v>
      </c>
      <c r="C685" s="2">
        <v>2021</v>
      </c>
      <c r="D685" s="2" t="s">
        <v>1</v>
      </c>
      <c r="E685" s="2" t="s">
        <v>33</v>
      </c>
      <c r="F685" s="2" t="s">
        <v>38</v>
      </c>
      <c r="G685" s="7">
        <v>-37.58</v>
      </c>
      <c r="H685" s="13">
        <f>IFERROR(IF(ABS($G685)&gt;0,VLOOKUP($E685,'Fuel Category and Heat Rate'!$B$1:$G$34,6,FALSE)*($G685),""),"")</f>
        <v>-10426027968092.873</v>
      </c>
      <c r="I685" t="str">
        <f>IFERROR(VLOOKUP($E685,'Fuel Category and Heat Rate'!$K$2:$M$36,3,FALSE),"")</f>
        <v>biomass</v>
      </c>
    </row>
    <row r="686" spans="1:9" x14ac:dyDescent="0.15">
      <c r="A686" s="2">
        <v>75192</v>
      </c>
      <c r="B686" s="2" t="s">
        <v>69</v>
      </c>
      <c r="C686" s="2">
        <v>2021</v>
      </c>
      <c r="D686" s="2" t="s">
        <v>1</v>
      </c>
      <c r="E686" s="2" t="s">
        <v>28</v>
      </c>
      <c r="F686" s="2" t="s">
        <v>35</v>
      </c>
      <c r="G686" s="7">
        <v>-3.89</v>
      </c>
      <c r="H686" s="13">
        <f>IFERROR(IF(ABS($G686)&gt;0,VLOOKUP($E686,'Fuel Category and Heat Rate'!$B$1:$G$34,6,FALSE)*($G686),""),"")</f>
        <v>-1510936127220.1848</v>
      </c>
      <c r="I686" t="str">
        <f>IFERROR(VLOOKUP($E686,'Fuel Category and Heat Rate'!$K$2:$M$36,3,FALSE),"")</f>
        <v>heavy or residual fuel oil</v>
      </c>
    </row>
    <row r="687" spans="1:9" x14ac:dyDescent="0.15">
      <c r="A687" s="2">
        <v>75227</v>
      </c>
      <c r="B687" s="2" t="s">
        <v>69</v>
      </c>
      <c r="C687" s="2">
        <v>2021</v>
      </c>
      <c r="D687" s="2" t="s">
        <v>1</v>
      </c>
      <c r="E687" s="2" t="s">
        <v>5</v>
      </c>
      <c r="F687" s="2" t="s">
        <v>35</v>
      </c>
      <c r="G687" s="7">
        <v>-6.4</v>
      </c>
      <c r="H687" s="13">
        <f>IFERROR(IF(ABS($G687)&gt;0,VLOOKUP($E687,'Fuel Category and Heat Rate'!$B$1:$G$34,6,FALSE)*($G687),""),"")</f>
        <v>-507302054199.31085</v>
      </c>
      <c r="I687" t="str">
        <f>IFERROR(VLOOKUP($E687,'Fuel Category and Heat Rate'!$K$2:$M$36,3,FALSE),"")</f>
        <v>coal</v>
      </c>
    </row>
    <row r="688" spans="1:9" x14ac:dyDescent="0.15">
      <c r="A688" s="2">
        <v>75262</v>
      </c>
      <c r="B688" s="2" t="s">
        <v>69</v>
      </c>
      <c r="C688" s="2">
        <v>2021</v>
      </c>
      <c r="D688" s="2" t="s">
        <v>1</v>
      </c>
      <c r="E688" s="2" t="s">
        <v>16</v>
      </c>
      <c r="F688" s="2" t="s">
        <v>35</v>
      </c>
      <c r="G688" s="7"/>
      <c r="H688" s="13" t="str">
        <f>IFERROR(IF(ABS($G688)&gt;0,VLOOKUP($E688,'Fuel Category and Heat Rate'!$B$1:$G$34,6,FALSE)*($G688),""),"")</f>
        <v/>
      </c>
      <c r="I688" t="str">
        <f>IFERROR(VLOOKUP($E688,'Fuel Category and Heat Rate'!$K$2:$M$36,3,FALSE),"")</f>
        <v>petroleum diesel</v>
      </c>
    </row>
    <row r="689" spans="1:9" x14ac:dyDescent="0.15">
      <c r="A689" s="2">
        <v>75297</v>
      </c>
      <c r="B689" s="2" t="s">
        <v>69</v>
      </c>
      <c r="C689" s="2">
        <v>2021</v>
      </c>
      <c r="D689" s="2" t="s">
        <v>1</v>
      </c>
      <c r="E689" s="2" t="s">
        <v>19</v>
      </c>
      <c r="F689" s="2" t="s">
        <v>35</v>
      </c>
      <c r="G689" s="7">
        <v>-184.51</v>
      </c>
      <c r="H689" s="13">
        <f>IFERROR(IF(ABS($G689)&gt;0,VLOOKUP($E689,'Fuel Category and Heat Rate'!$B$1:$G$34,6,FALSE)*($G689),""),"")</f>
        <v>-73128547270744</v>
      </c>
      <c r="I689" t="str">
        <f>IFERROR(VLOOKUP($E689,'Fuel Category and Heat Rate'!$K$2:$M$36,3,FALSE),"")</f>
        <v>heavy or residual fuel oil</v>
      </c>
    </row>
    <row r="690" spans="1:9" x14ac:dyDescent="0.15">
      <c r="A690" s="2">
        <v>75332</v>
      </c>
      <c r="B690" s="2" t="s">
        <v>69</v>
      </c>
      <c r="C690" s="2">
        <v>2021</v>
      </c>
      <c r="D690" s="2" t="s">
        <v>1</v>
      </c>
      <c r="E690" s="2" t="s">
        <v>31</v>
      </c>
      <c r="F690" s="2" t="s">
        <v>37</v>
      </c>
      <c r="G690" s="7">
        <v>36045.11</v>
      </c>
      <c r="H690" s="13">
        <f>IFERROR(IF(ABS($G690)&gt;0,VLOOKUP($E690,'Fuel Category and Heat Rate'!$B$1:$G$34,6,FALSE)*($G690),""),"")</f>
        <v>341641724464159.88</v>
      </c>
      <c r="I690" t="str">
        <f>IFERROR(VLOOKUP($E690,'Fuel Category and Heat Rate'!$K$2:$M$36,3,FALSE),"")</f>
        <v>heat</v>
      </c>
    </row>
    <row r="691" spans="1:9" x14ac:dyDescent="0.15">
      <c r="A691" s="2">
        <v>75367</v>
      </c>
      <c r="B691" s="2" t="s">
        <v>69</v>
      </c>
      <c r="C691" s="2">
        <v>2021</v>
      </c>
      <c r="D691" s="2" t="s">
        <v>1</v>
      </c>
      <c r="E691" s="2" t="s">
        <v>23</v>
      </c>
      <c r="F691" s="2" t="s">
        <v>35</v>
      </c>
      <c r="G691" s="7"/>
      <c r="H691" s="13" t="str">
        <f>IFERROR(IF(ABS($G691)&gt;0,VLOOKUP($E691,'Fuel Category and Heat Rate'!$B$1:$G$34,6,FALSE)*($G691),""),"")</f>
        <v/>
      </c>
      <c r="I691" t="str">
        <f>IFERROR(VLOOKUP($E691,'Fuel Category and Heat Rate'!$K$2:$M$36,3,FALSE),"")</f>
        <v>heavy or residual fuel oil</v>
      </c>
    </row>
    <row r="692" spans="1:9" x14ac:dyDescent="0.15">
      <c r="A692" s="2">
        <v>75402</v>
      </c>
      <c r="B692" s="2" t="s">
        <v>69</v>
      </c>
      <c r="C692" s="2">
        <v>2021</v>
      </c>
      <c r="D692" s="2" t="s">
        <v>1</v>
      </c>
      <c r="E692" s="2" t="s">
        <v>21</v>
      </c>
      <c r="F692" s="2" t="s">
        <v>35</v>
      </c>
      <c r="G692" s="7"/>
      <c r="H692" s="13" t="str">
        <f>IFERROR(IF(ABS($G692)&gt;0,VLOOKUP($E692,'Fuel Category and Heat Rate'!$B$1:$G$34,6,FALSE)*($G692),""),"")</f>
        <v/>
      </c>
      <c r="I692" t="str">
        <f>IFERROR(VLOOKUP($E692,'Fuel Category and Heat Rate'!$K$2:$M$36,3,FALSE),"")</f>
        <v>LPG propane or butane</v>
      </c>
    </row>
    <row r="693" spans="1:9" x14ac:dyDescent="0.15">
      <c r="A693" s="2">
        <v>75437</v>
      </c>
      <c r="B693" s="2" t="s">
        <v>69</v>
      </c>
      <c r="C693" s="2">
        <v>2021</v>
      </c>
      <c r="D693" s="2" t="s">
        <v>1</v>
      </c>
      <c r="E693" s="2" t="s">
        <v>22</v>
      </c>
      <c r="F693" s="2" t="s">
        <v>35</v>
      </c>
      <c r="G693" s="7"/>
      <c r="H693" s="13" t="str">
        <f>IFERROR(IF(ABS($G693)&gt;0,VLOOKUP($E693,'Fuel Category and Heat Rate'!$B$1:$G$34,6,FALSE)*($G693),""),"")</f>
        <v/>
      </c>
      <c r="I693" t="str">
        <f>IFERROR(VLOOKUP($E693,'Fuel Category and Heat Rate'!$K$2:$M$36,3,FALSE),"")</f>
        <v>heavy fuel oil</v>
      </c>
    </row>
    <row r="694" spans="1:9" x14ac:dyDescent="0.15">
      <c r="A694" s="2">
        <v>75472</v>
      </c>
      <c r="B694" s="2" t="s">
        <v>69</v>
      </c>
      <c r="C694" s="2">
        <v>2021</v>
      </c>
      <c r="D694" s="2" t="s">
        <v>1</v>
      </c>
      <c r="E694" s="2" t="s">
        <v>20</v>
      </c>
      <c r="F694" s="2" t="s">
        <v>35</v>
      </c>
      <c r="G694" s="7"/>
      <c r="H694" s="13" t="str">
        <f>IFERROR(IF(ABS($G694)&gt;0,VLOOKUP($E694,'Fuel Category and Heat Rate'!$B$1:$G$34,6,FALSE)*($G694),""),"")</f>
        <v/>
      </c>
      <c r="I694" t="str">
        <f>IFERROR(VLOOKUP($E694,'Fuel Category and Heat Rate'!$K$2:$M$36,3,FALSE),"")</f>
        <v>LPG propane or butane</v>
      </c>
    </row>
    <row r="695" spans="1:9" x14ac:dyDescent="0.15">
      <c r="A695" s="2">
        <v>75507</v>
      </c>
      <c r="B695" s="2" t="s">
        <v>69</v>
      </c>
      <c r="C695" s="2">
        <v>2021</v>
      </c>
      <c r="D695" s="2" t="s">
        <v>1</v>
      </c>
      <c r="E695" s="2" t="s">
        <v>25</v>
      </c>
      <c r="F695" s="2" t="s">
        <v>35</v>
      </c>
      <c r="G695" s="7">
        <v>-46.31</v>
      </c>
      <c r="H695" s="13">
        <f>IFERROR(IF(ABS($G695)&gt;0,VLOOKUP($E695,'Fuel Category and Heat Rate'!$B$1:$G$34,6,FALSE)*($G695),""),"")</f>
        <v>-14022627996423.127</v>
      </c>
      <c r="I695" t="str">
        <f>IFERROR(VLOOKUP($E695,'Fuel Category and Heat Rate'!$K$2:$M$36,3,FALSE),"")</f>
        <v>heavy fuel oil</v>
      </c>
    </row>
    <row r="696" spans="1:9" x14ac:dyDescent="0.15">
      <c r="A696" s="2">
        <v>75542</v>
      </c>
      <c r="B696" s="2" t="s">
        <v>69</v>
      </c>
      <c r="C696" s="2">
        <v>2021</v>
      </c>
      <c r="D696" s="2" t="s">
        <v>1</v>
      </c>
      <c r="E696" s="2" t="s">
        <v>24</v>
      </c>
      <c r="F696" s="2" t="s">
        <v>35</v>
      </c>
      <c r="G696" s="7"/>
      <c r="H696" s="13" t="str">
        <f>IFERROR(IF(ABS($G696)&gt;0,VLOOKUP($E696,'Fuel Category and Heat Rate'!$B$1:$G$34,6,FALSE)*($G696),""),"")</f>
        <v/>
      </c>
      <c r="I696" t="str">
        <f>IFERROR(VLOOKUP($E696,'Fuel Category and Heat Rate'!$K$2:$M$36,3,FALSE),"")</f>
        <v>heavy fuel oil</v>
      </c>
    </row>
    <row r="697" spans="1:9" x14ac:dyDescent="0.15">
      <c r="A697" s="2">
        <v>75577</v>
      </c>
      <c r="B697" s="2" t="s">
        <v>69</v>
      </c>
      <c r="C697" s="2">
        <v>2021</v>
      </c>
      <c r="D697" s="2" t="s">
        <v>1</v>
      </c>
      <c r="E697" s="2" t="s">
        <v>29</v>
      </c>
      <c r="F697" s="2" t="s">
        <v>36</v>
      </c>
      <c r="G697" s="7">
        <v>-15.05</v>
      </c>
      <c r="H697" s="13">
        <f>IFERROR(IF(ABS($G697)&gt;0,VLOOKUP($E697,'Fuel Category and Heat Rate'!$B$1:$G$34,6,FALSE)*($G697),""),"")</f>
        <v>-50760035594324.227</v>
      </c>
      <c r="I697" t="str">
        <f>IFERROR(VLOOKUP($E697,'Fuel Category and Heat Rate'!$K$2:$M$36,3,FALSE),"")</f>
        <v>natural gas</v>
      </c>
    </row>
    <row r="698" spans="1:9" x14ac:dyDescent="0.15">
      <c r="A698" s="2">
        <v>75612</v>
      </c>
      <c r="B698" s="2" t="s">
        <v>69</v>
      </c>
      <c r="C698" s="2">
        <v>2021</v>
      </c>
      <c r="D698" s="2" t="s">
        <v>1</v>
      </c>
      <c r="E698" s="2" t="s">
        <v>4</v>
      </c>
      <c r="F698" s="2" t="s">
        <v>35</v>
      </c>
      <c r="G698" s="7"/>
      <c r="H698" s="13" t="str">
        <f>IFERROR(IF(ABS($G698)&gt;0,VLOOKUP($E698,'Fuel Category and Heat Rate'!$B$1:$G$34,6,FALSE)*($G698),""),"")</f>
        <v/>
      </c>
      <c r="I698" t="str">
        <f>IFERROR(VLOOKUP($E698,'Fuel Category and Heat Rate'!$K$2:$M$36,3,FALSE),"")</f>
        <v>coal</v>
      </c>
    </row>
    <row r="699" spans="1:9" x14ac:dyDescent="0.15">
      <c r="A699" s="2">
        <v>75647</v>
      </c>
      <c r="B699" s="2" t="s">
        <v>69</v>
      </c>
      <c r="C699" s="2">
        <v>2021</v>
      </c>
      <c r="D699" s="2" t="s">
        <v>1</v>
      </c>
      <c r="E699" s="2" t="s">
        <v>6</v>
      </c>
      <c r="F699" s="2" t="s">
        <v>35</v>
      </c>
      <c r="G699" s="7">
        <v>-23.99</v>
      </c>
      <c r="H699" s="13">
        <f>IFERROR(IF(ABS($G699)&gt;0,VLOOKUP($E699,'Fuel Category and Heat Rate'!$B$1:$G$34,6,FALSE)*($G699),""),"")</f>
        <v>-3518271283932.5044</v>
      </c>
      <c r="I699" t="str">
        <f>IFERROR(VLOOKUP($E699,'Fuel Category and Heat Rate'!$K$2:$M$36,3,FALSE),"")</f>
        <v>coal</v>
      </c>
    </row>
    <row r="700" spans="1:9" x14ac:dyDescent="0.15">
      <c r="A700" s="2">
        <v>75682</v>
      </c>
      <c r="B700" s="2" t="s">
        <v>69</v>
      </c>
      <c r="C700" s="2">
        <v>2021</v>
      </c>
      <c r="D700" s="2" t="s">
        <v>1</v>
      </c>
      <c r="E700" s="2" t="s">
        <v>26</v>
      </c>
      <c r="F700" s="2" t="s">
        <v>35</v>
      </c>
      <c r="G700" s="7">
        <v>-0.03</v>
      </c>
      <c r="H700" s="13">
        <f>IFERROR(IF(ABS($G700)&gt;0,VLOOKUP($E700,'Fuel Category and Heat Rate'!$B$1:$G$34,6,FALSE)*($G700),""),"")</f>
        <v>-14268154619.492418</v>
      </c>
      <c r="I700" t="str">
        <f>IFERROR(VLOOKUP($E700,'Fuel Category and Heat Rate'!$K$2:$M$36,3,FALSE),"")</f>
        <v>LPG propane or butane</v>
      </c>
    </row>
    <row r="701" spans="1:9" x14ac:dyDescent="0.15">
      <c r="A701" s="2">
        <v>75717</v>
      </c>
      <c r="B701" s="2" t="s">
        <v>69</v>
      </c>
      <c r="C701" s="2">
        <v>2021</v>
      </c>
      <c r="D701" s="2" t="s">
        <v>1</v>
      </c>
      <c r="E701" s="2" t="s">
        <v>30</v>
      </c>
      <c r="F701" s="2" t="s">
        <v>35</v>
      </c>
      <c r="G701" s="7">
        <v>-44.27</v>
      </c>
      <c r="H701" s="13">
        <f>IFERROR(IF(ABS($G701)&gt;0,VLOOKUP($E701,'Fuel Category and Heat Rate'!$B$1:$G$34,6,FALSE)*($G701),""),"")</f>
        <v>-21581636460287.863</v>
      </c>
      <c r="I701" t="str">
        <f>IFERROR(VLOOKUP($E701,'Fuel Category and Heat Rate'!$K$2:$M$36,3,FALSE),"")</f>
        <v>natural gas</v>
      </c>
    </row>
    <row r="702" spans="1:9" x14ac:dyDescent="0.15">
      <c r="A702" s="2">
        <v>75752</v>
      </c>
      <c r="B702" s="2" t="s">
        <v>69</v>
      </c>
      <c r="C702" s="2">
        <v>2021</v>
      </c>
      <c r="D702" s="2" t="s">
        <v>1</v>
      </c>
      <c r="E702" s="2" t="s">
        <v>14</v>
      </c>
      <c r="F702" s="2" t="s">
        <v>35</v>
      </c>
      <c r="G702" s="7">
        <v>-242.71</v>
      </c>
      <c r="H702" s="13">
        <f>IFERROR(IF(ABS($G702)&gt;0,VLOOKUP($E702,'Fuel Category and Heat Rate'!$B$1:$G$34,6,FALSE)*($G702),""),"")</f>
        <v>0</v>
      </c>
      <c r="I702" t="str">
        <f>IFERROR(VLOOKUP($E702,'Fuel Category and Heat Rate'!$K$2:$M$36,3,FALSE),"")</f>
        <v/>
      </c>
    </row>
    <row r="703" spans="1:9" x14ac:dyDescent="0.15">
      <c r="A703" s="2">
        <v>75787</v>
      </c>
      <c r="B703" s="2" t="s">
        <v>69</v>
      </c>
      <c r="C703" s="2">
        <v>2021</v>
      </c>
      <c r="D703" s="2" t="s">
        <v>1</v>
      </c>
      <c r="E703" s="2" t="s">
        <v>3</v>
      </c>
      <c r="F703" s="2" t="s">
        <v>35</v>
      </c>
      <c r="G703" s="7">
        <v>-1160.9000000000001</v>
      </c>
      <c r="H703" s="13">
        <f>IFERROR(IF(ABS($G703)&gt;0,VLOOKUP($E703,'Fuel Category and Heat Rate'!$B$1:$G$34,6,FALSE)*($G703),""),"")</f>
        <v>-230055093291980.72</v>
      </c>
      <c r="I703" t="str">
        <f>IFERROR(VLOOKUP($E703,'Fuel Category and Heat Rate'!$K$2:$M$36,3,FALSE),"")</f>
        <v>coal</v>
      </c>
    </row>
    <row r="704" spans="1:9" x14ac:dyDescent="0.15">
      <c r="A704" s="2">
        <v>75822</v>
      </c>
      <c r="B704" s="2" t="s">
        <v>69</v>
      </c>
      <c r="C704" s="2">
        <v>2021</v>
      </c>
      <c r="D704" s="2" t="s">
        <v>1</v>
      </c>
      <c r="E704" s="2" t="s">
        <v>15</v>
      </c>
      <c r="F704" s="2" t="s">
        <v>35</v>
      </c>
      <c r="G704" s="7"/>
      <c r="H704" s="13" t="str">
        <f>IFERROR(IF(ABS($G704)&gt;0,VLOOKUP($E704,'Fuel Category and Heat Rate'!$B$1:$G$34,6,FALSE)*($G704),""),"")</f>
        <v/>
      </c>
      <c r="I704" t="str">
        <f>IFERROR(VLOOKUP($E704,'Fuel Category and Heat Rate'!$K$2:$M$36,3,FALSE),"")</f>
        <v>crude oil</v>
      </c>
    </row>
    <row r="705" spans="1:9" x14ac:dyDescent="0.15">
      <c r="A705" s="2">
        <v>75857</v>
      </c>
      <c r="B705" s="2" t="s">
        <v>69</v>
      </c>
      <c r="C705" s="2">
        <v>2021</v>
      </c>
      <c r="D705" s="2" t="s">
        <v>1</v>
      </c>
      <c r="E705" s="2" t="s">
        <v>11</v>
      </c>
      <c r="F705" s="2" t="s">
        <v>36</v>
      </c>
      <c r="G705" s="7">
        <v>-0.91</v>
      </c>
      <c r="H705" s="13">
        <f>IFERROR(IF(ABS($G705)&gt;0,VLOOKUP($E705,'Fuel Category and Heat Rate'!$B$1:$G$34,6,FALSE)*($G705),""),"")</f>
        <v>-685267040602.63733</v>
      </c>
      <c r="I705" t="str">
        <f>IFERROR(VLOOKUP($E705,'Fuel Category and Heat Rate'!$K$2:$M$36,3,FALSE),"")</f>
        <v>LPG propane or butane</v>
      </c>
    </row>
    <row r="706" spans="1:9" x14ac:dyDescent="0.15">
      <c r="A706" s="2">
        <v>75892</v>
      </c>
      <c r="B706" s="2" t="s">
        <v>69</v>
      </c>
      <c r="C706" s="2">
        <v>2020</v>
      </c>
      <c r="D706" s="2" t="s">
        <v>1</v>
      </c>
      <c r="E706" s="2" t="s">
        <v>18</v>
      </c>
      <c r="F706" s="2" t="s">
        <v>35</v>
      </c>
      <c r="G706" s="7">
        <v>-0.21</v>
      </c>
      <c r="H706" s="13">
        <f>IFERROR(IF(ABS($G706)&gt;0,VLOOKUP($E706,'Fuel Category and Heat Rate'!$B$1:$G$34,6,FALSE)*($G706),""),"")</f>
        <v>-84895221423.586243</v>
      </c>
      <c r="I706" t="str">
        <f>IFERROR(VLOOKUP($E706,'Fuel Category and Heat Rate'!$K$2:$M$36,3,FALSE),"")</f>
        <v>petroleum diesel</v>
      </c>
    </row>
    <row r="707" spans="1:9" x14ac:dyDescent="0.15">
      <c r="A707" s="2">
        <v>75927</v>
      </c>
      <c r="B707" s="2" t="s">
        <v>69</v>
      </c>
      <c r="C707" s="2">
        <v>2020</v>
      </c>
      <c r="D707" s="2" t="s">
        <v>1</v>
      </c>
      <c r="E707" s="2" t="s">
        <v>32</v>
      </c>
      <c r="F707" s="2" t="s">
        <v>65</v>
      </c>
      <c r="G707" s="7"/>
      <c r="H707" s="13" t="str">
        <f>IFERROR(IF(ABS($G707)&gt;0,VLOOKUP($E707,'Fuel Category and Heat Rate'!$B$1:$G$34,6,FALSE)*($G707),""),"")</f>
        <v/>
      </c>
      <c r="I707" t="str">
        <f>IFERROR(VLOOKUP($E707,'Fuel Category and Heat Rate'!$K$2:$M$36,3,FALSE),"")</f>
        <v>electricity</v>
      </c>
    </row>
    <row r="708" spans="1:9" x14ac:dyDescent="0.15">
      <c r="A708" s="2">
        <v>75962</v>
      </c>
      <c r="B708" s="2" t="s">
        <v>69</v>
      </c>
      <c r="C708" s="2">
        <v>2020</v>
      </c>
      <c r="D708" s="2" t="s">
        <v>1</v>
      </c>
      <c r="E708" s="2" t="s">
        <v>10</v>
      </c>
      <c r="F708" s="2" t="s">
        <v>36</v>
      </c>
      <c r="G708" s="7">
        <v>-31.27</v>
      </c>
      <c r="H708" s="13">
        <f>IFERROR(IF(ABS($G708)&gt;0,VLOOKUP($E708,'Fuel Category and Heat Rate'!$B$1:$G$34,6,FALSE)*($G708),""),"")</f>
        <v>-11152870248527.602</v>
      </c>
      <c r="I708" t="str">
        <f>IFERROR(VLOOKUP($E708,'Fuel Category and Heat Rate'!$K$2:$M$36,3,FALSE),"")</f>
        <v>LPG propane or butane</v>
      </c>
    </row>
    <row r="709" spans="1:9" x14ac:dyDescent="0.15">
      <c r="A709" s="2">
        <v>75997</v>
      </c>
      <c r="B709" s="2" t="s">
        <v>69</v>
      </c>
      <c r="C709" s="2">
        <v>2020</v>
      </c>
      <c r="D709" s="2" t="s">
        <v>1</v>
      </c>
      <c r="E709" s="2" t="s">
        <v>9</v>
      </c>
      <c r="F709" s="2" t="s">
        <v>36</v>
      </c>
      <c r="G709" s="7">
        <v>-0.51</v>
      </c>
      <c r="H709" s="13">
        <f>IFERROR(IF(ABS($G709)&gt;0,VLOOKUP($E709,'Fuel Category and Heat Rate'!$B$1:$G$34,6,FALSE)*($G709),""),"")</f>
        <v>-838845166348.30286</v>
      </c>
      <c r="I709" t="str">
        <f>IFERROR(VLOOKUP($E709,'Fuel Category and Heat Rate'!$K$2:$M$36,3,FALSE),"")</f>
        <v>LPG propane or butane</v>
      </c>
    </row>
    <row r="710" spans="1:9" x14ac:dyDescent="0.15">
      <c r="A710" s="2">
        <v>76032</v>
      </c>
      <c r="B710" s="2" t="s">
        <v>69</v>
      </c>
      <c r="C710" s="2">
        <v>2020</v>
      </c>
      <c r="D710" s="2" t="s">
        <v>1</v>
      </c>
      <c r="E710" s="2" t="s">
        <v>8</v>
      </c>
      <c r="F710" s="2" t="s">
        <v>35</v>
      </c>
      <c r="G710" s="7"/>
      <c r="H710" s="13" t="str">
        <f>IFERROR(IF(ABS($G710)&gt;0,VLOOKUP($E710,'Fuel Category and Heat Rate'!$B$1:$G$34,6,FALSE)*($G710),""),"")</f>
        <v/>
      </c>
      <c r="I710" t="str">
        <f>IFERROR(VLOOKUP($E710,'Fuel Category and Heat Rate'!$K$2:$M$36,3,FALSE),"")</f>
        <v>coal</v>
      </c>
    </row>
    <row r="711" spans="1:9" x14ac:dyDescent="0.15">
      <c r="A711" s="2">
        <v>76067</v>
      </c>
      <c r="B711" s="2" t="s">
        <v>69</v>
      </c>
      <c r="C711" s="2">
        <v>2020</v>
      </c>
      <c r="D711" s="2" t="s">
        <v>1</v>
      </c>
      <c r="E711" s="2" t="s">
        <v>27</v>
      </c>
      <c r="F711" s="2" t="s">
        <v>35</v>
      </c>
      <c r="G711" s="7">
        <v>-6.52</v>
      </c>
      <c r="H711" s="13">
        <f>IFERROR(IF(ABS($G711)&gt;0,VLOOKUP($E711,'Fuel Category and Heat Rate'!$B$1:$G$34,6,FALSE)*($G711),""),"")</f>
        <v>-2842569518950.1104</v>
      </c>
      <c r="I711" t="str">
        <f>IFERROR(VLOOKUP($E711,'Fuel Category and Heat Rate'!$K$2:$M$36,3,FALSE),"")</f>
        <v>LPG propane or butane</v>
      </c>
    </row>
    <row r="712" spans="1:9" x14ac:dyDescent="0.15">
      <c r="A712" s="2">
        <v>76102</v>
      </c>
      <c r="B712" s="2" t="s">
        <v>69</v>
      </c>
      <c r="C712" s="2">
        <v>2020</v>
      </c>
      <c r="D712" s="2" t="s">
        <v>1</v>
      </c>
      <c r="E712" s="2" t="s">
        <v>7</v>
      </c>
      <c r="F712" s="2" t="s">
        <v>35</v>
      </c>
      <c r="G712" s="7"/>
      <c r="H712" s="13" t="str">
        <f>IFERROR(IF(ABS($G712)&gt;0,VLOOKUP($E712,'Fuel Category and Heat Rate'!$B$1:$G$34,6,FALSE)*($G712),""),"")</f>
        <v/>
      </c>
      <c r="I712" t="str">
        <f>IFERROR(VLOOKUP($E712,'Fuel Category and Heat Rate'!$K$2:$M$36,3,FALSE),"")</f>
        <v>coal</v>
      </c>
    </row>
    <row r="713" spans="1:9" x14ac:dyDescent="0.15">
      <c r="A713" s="2">
        <v>76137</v>
      </c>
      <c r="B713" s="2" t="s">
        <v>69</v>
      </c>
      <c r="C713" s="2">
        <v>2020</v>
      </c>
      <c r="D713" s="2" t="s">
        <v>1</v>
      </c>
      <c r="E713" s="2" t="s">
        <v>2</v>
      </c>
      <c r="F713" s="2" t="s">
        <v>35</v>
      </c>
      <c r="G713" s="7">
        <v>-950.39</v>
      </c>
      <c r="H713" s="13">
        <f>IFERROR(IF(ABS($G713)&gt;0,VLOOKUP($E713,'Fuel Category and Heat Rate'!$B$1:$G$34,6,FALSE)*($G713),""),"")</f>
        <v>0</v>
      </c>
      <c r="I713" t="str">
        <f>IFERROR(VLOOKUP($E713,'Fuel Category and Heat Rate'!$K$2:$M$36,3,FALSE),"")</f>
        <v/>
      </c>
    </row>
    <row r="714" spans="1:9" x14ac:dyDescent="0.15">
      <c r="A714" s="2">
        <v>76172</v>
      </c>
      <c r="B714" s="2" t="s">
        <v>69</v>
      </c>
      <c r="C714" s="2">
        <v>2020</v>
      </c>
      <c r="D714" s="2" t="s">
        <v>1</v>
      </c>
      <c r="E714" s="2" t="s">
        <v>17</v>
      </c>
      <c r="F714" s="2" t="s">
        <v>35</v>
      </c>
      <c r="G714" s="7"/>
      <c r="H714" s="13" t="str">
        <f>IFERROR(IF(ABS($G714)&gt;0,VLOOKUP($E714,'Fuel Category and Heat Rate'!$B$1:$G$34,6,FALSE)*($G714),""),"")</f>
        <v/>
      </c>
      <c r="I714" t="str">
        <f>IFERROR(VLOOKUP($E714,'Fuel Category and Heat Rate'!$K$2:$M$36,3,FALSE),"")</f>
        <v>petroleum diesel</v>
      </c>
    </row>
    <row r="715" spans="1:9" x14ac:dyDescent="0.15">
      <c r="A715" s="2">
        <v>76207</v>
      </c>
      <c r="B715" s="2" t="s">
        <v>69</v>
      </c>
      <c r="C715" s="2">
        <v>2020</v>
      </c>
      <c r="D715" s="2" t="s">
        <v>1</v>
      </c>
      <c r="E715" s="2" t="s">
        <v>13</v>
      </c>
      <c r="F715" s="2" t="s">
        <v>35</v>
      </c>
      <c r="G715" s="7"/>
      <c r="H715" s="13" t="str">
        <f>IFERROR(IF(ABS($G715)&gt;0,VLOOKUP($E715,'Fuel Category and Heat Rate'!$B$1:$G$34,6,FALSE)*($G715),""),"")</f>
        <v/>
      </c>
      <c r="I715" t="str">
        <f>IFERROR(VLOOKUP($E715,'Fuel Category and Heat Rate'!$K$2:$M$36,3,FALSE),"")</f>
        <v>petroleum diesel</v>
      </c>
    </row>
    <row r="716" spans="1:9" x14ac:dyDescent="0.15">
      <c r="A716" s="2">
        <v>76242</v>
      </c>
      <c r="B716" s="2" t="s">
        <v>69</v>
      </c>
      <c r="C716" s="2">
        <v>2020</v>
      </c>
      <c r="D716" s="2" t="s">
        <v>1</v>
      </c>
      <c r="E716" s="2" t="s">
        <v>12</v>
      </c>
      <c r="F716" s="2" t="s">
        <v>36</v>
      </c>
      <c r="G716" s="7"/>
      <c r="H716" s="13" t="str">
        <f>IFERROR(IF(ABS($G716)&gt;0,VLOOKUP($E716,'Fuel Category and Heat Rate'!$B$1:$G$34,6,FALSE)*($G716),""),"")</f>
        <v/>
      </c>
      <c r="I716" t="str">
        <f>IFERROR(VLOOKUP($E716,'Fuel Category and Heat Rate'!$K$2:$M$36,3,FALSE),"")</f>
        <v>LPG propane or butane</v>
      </c>
    </row>
    <row r="717" spans="1:9" x14ac:dyDescent="0.15">
      <c r="A717" s="2">
        <v>76277</v>
      </c>
      <c r="B717" s="2" t="s">
        <v>69</v>
      </c>
      <c r="C717" s="2">
        <v>2020</v>
      </c>
      <c r="D717" s="2" t="s">
        <v>1</v>
      </c>
      <c r="E717" s="2" t="s">
        <v>33</v>
      </c>
      <c r="F717" s="2" t="s">
        <v>38</v>
      </c>
      <c r="G717" s="7">
        <v>-26.19</v>
      </c>
      <c r="H717" s="13">
        <f>IFERROR(IF(ABS($G717)&gt;0,VLOOKUP($E717,'Fuel Category and Heat Rate'!$B$1:$G$34,6,FALSE)*($G717),""),"")</f>
        <v>-7266037053867.8115</v>
      </c>
      <c r="I717" t="str">
        <f>IFERROR(VLOOKUP($E717,'Fuel Category and Heat Rate'!$K$2:$M$36,3,FALSE),"")</f>
        <v>biomass</v>
      </c>
    </row>
    <row r="718" spans="1:9" x14ac:dyDescent="0.15">
      <c r="A718" s="2">
        <v>76312</v>
      </c>
      <c r="B718" s="2" t="s">
        <v>69</v>
      </c>
      <c r="C718" s="2">
        <v>2020</v>
      </c>
      <c r="D718" s="2" t="s">
        <v>1</v>
      </c>
      <c r="E718" s="2" t="s">
        <v>28</v>
      </c>
      <c r="F718" s="2" t="s">
        <v>35</v>
      </c>
      <c r="G718" s="7">
        <v>-2.15</v>
      </c>
      <c r="H718" s="13">
        <f>IFERROR(IF(ABS($G718)&gt;0,VLOOKUP($E718,'Fuel Category and Heat Rate'!$B$1:$G$34,6,FALSE)*($G718),""),"")</f>
        <v>-835093232268.22546</v>
      </c>
      <c r="I718" t="str">
        <f>IFERROR(VLOOKUP($E718,'Fuel Category and Heat Rate'!$K$2:$M$36,3,FALSE),"")</f>
        <v>heavy or residual fuel oil</v>
      </c>
    </row>
    <row r="719" spans="1:9" x14ac:dyDescent="0.15">
      <c r="A719" s="2">
        <v>76347</v>
      </c>
      <c r="B719" s="2" t="s">
        <v>69</v>
      </c>
      <c r="C719" s="2">
        <v>2020</v>
      </c>
      <c r="D719" s="2" t="s">
        <v>1</v>
      </c>
      <c r="E719" s="2" t="s">
        <v>5</v>
      </c>
      <c r="F719" s="2" t="s">
        <v>35</v>
      </c>
      <c r="G719" s="7"/>
      <c r="H719" s="13" t="str">
        <f>IFERROR(IF(ABS($G719)&gt;0,VLOOKUP($E719,'Fuel Category and Heat Rate'!$B$1:$G$34,6,FALSE)*($G719),""),"")</f>
        <v/>
      </c>
      <c r="I719" t="str">
        <f>IFERROR(VLOOKUP($E719,'Fuel Category and Heat Rate'!$K$2:$M$36,3,FALSE),"")</f>
        <v>coal</v>
      </c>
    </row>
    <row r="720" spans="1:9" x14ac:dyDescent="0.15">
      <c r="A720" s="2">
        <v>76382</v>
      </c>
      <c r="B720" s="2" t="s">
        <v>69</v>
      </c>
      <c r="C720" s="2">
        <v>2020</v>
      </c>
      <c r="D720" s="2" t="s">
        <v>1</v>
      </c>
      <c r="E720" s="2" t="s">
        <v>16</v>
      </c>
      <c r="F720" s="2" t="s">
        <v>35</v>
      </c>
      <c r="G720" s="7"/>
      <c r="H720" s="13" t="str">
        <f>IFERROR(IF(ABS($G720)&gt;0,VLOOKUP($E720,'Fuel Category and Heat Rate'!$B$1:$G$34,6,FALSE)*($G720),""),"")</f>
        <v/>
      </c>
      <c r="I720" t="str">
        <f>IFERROR(VLOOKUP($E720,'Fuel Category and Heat Rate'!$K$2:$M$36,3,FALSE),"")</f>
        <v>petroleum diesel</v>
      </c>
    </row>
    <row r="721" spans="1:9" x14ac:dyDescent="0.15">
      <c r="A721" s="2">
        <v>76417</v>
      </c>
      <c r="B721" s="2" t="s">
        <v>69</v>
      </c>
      <c r="C721" s="2">
        <v>2020</v>
      </c>
      <c r="D721" s="2" t="s">
        <v>1</v>
      </c>
      <c r="E721" s="2" t="s">
        <v>19</v>
      </c>
      <c r="F721" s="2" t="s">
        <v>35</v>
      </c>
      <c r="G721" s="7">
        <v>-174.43</v>
      </c>
      <c r="H721" s="13">
        <f>IFERROR(IF(ABS($G721)&gt;0,VLOOKUP($E721,'Fuel Category and Heat Rate'!$B$1:$G$34,6,FALSE)*($G721),""),"")</f>
        <v>-69133448053958.477</v>
      </c>
      <c r="I721" t="str">
        <f>IFERROR(VLOOKUP($E721,'Fuel Category and Heat Rate'!$K$2:$M$36,3,FALSE),"")</f>
        <v>heavy or residual fuel oil</v>
      </c>
    </row>
    <row r="722" spans="1:9" x14ac:dyDescent="0.15">
      <c r="A722" s="2">
        <v>76452</v>
      </c>
      <c r="B722" s="2" t="s">
        <v>69</v>
      </c>
      <c r="C722" s="2">
        <v>2020</v>
      </c>
      <c r="D722" s="2" t="s">
        <v>1</v>
      </c>
      <c r="E722" s="2" t="s">
        <v>31</v>
      </c>
      <c r="F722" s="2" t="s">
        <v>37</v>
      </c>
      <c r="G722" s="7">
        <v>29880.26</v>
      </c>
      <c r="H722" s="13">
        <f>IFERROR(IF(ABS($G722)&gt;0,VLOOKUP($E722,'Fuel Category and Heat Rate'!$B$1:$G$34,6,FALSE)*($G722),""),"")</f>
        <v>283210220577422.5</v>
      </c>
      <c r="I722" t="str">
        <f>IFERROR(VLOOKUP($E722,'Fuel Category and Heat Rate'!$K$2:$M$36,3,FALSE),"")</f>
        <v>heat</v>
      </c>
    </row>
    <row r="723" spans="1:9" x14ac:dyDescent="0.15">
      <c r="A723" s="2">
        <v>76487</v>
      </c>
      <c r="B723" s="2" t="s">
        <v>69</v>
      </c>
      <c r="C723" s="2">
        <v>2020</v>
      </c>
      <c r="D723" s="2" t="s">
        <v>1</v>
      </c>
      <c r="E723" s="2" t="s">
        <v>23</v>
      </c>
      <c r="F723" s="2" t="s">
        <v>35</v>
      </c>
      <c r="G723" s="7"/>
      <c r="H723" s="13" t="str">
        <f>IFERROR(IF(ABS($G723)&gt;0,VLOOKUP($E723,'Fuel Category and Heat Rate'!$B$1:$G$34,6,FALSE)*($G723),""),"")</f>
        <v/>
      </c>
      <c r="I723" t="str">
        <f>IFERROR(VLOOKUP($E723,'Fuel Category and Heat Rate'!$K$2:$M$36,3,FALSE),"")</f>
        <v>heavy or residual fuel oil</v>
      </c>
    </row>
    <row r="724" spans="1:9" x14ac:dyDescent="0.15">
      <c r="A724" s="2">
        <v>76522</v>
      </c>
      <c r="B724" s="2" t="s">
        <v>69</v>
      </c>
      <c r="C724" s="2">
        <v>2020</v>
      </c>
      <c r="D724" s="2" t="s">
        <v>1</v>
      </c>
      <c r="E724" s="2" t="s">
        <v>21</v>
      </c>
      <c r="F724" s="2" t="s">
        <v>35</v>
      </c>
      <c r="G724" s="7"/>
      <c r="H724" s="13" t="str">
        <f>IFERROR(IF(ABS($G724)&gt;0,VLOOKUP($E724,'Fuel Category and Heat Rate'!$B$1:$G$34,6,FALSE)*($G724),""),"")</f>
        <v/>
      </c>
      <c r="I724" t="str">
        <f>IFERROR(VLOOKUP($E724,'Fuel Category and Heat Rate'!$K$2:$M$36,3,FALSE),"")</f>
        <v>LPG propane or butane</v>
      </c>
    </row>
    <row r="725" spans="1:9" x14ac:dyDescent="0.15">
      <c r="A725" s="2">
        <v>76557</v>
      </c>
      <c r="B725" s="2" t="s">
        <v>69</v>
      </c>
      <c r="C725" s="2">
        <v>2020</v>
      </c>
      <c r="D725" s="2" t="s">
        <v>1</v>
      </c>
      <c r="E725" s="2" t="s">
        <v>22</v>
      </c>
      <c r="F725" s="2" t="s">
        <v>35</v>
      </c>
      <c r="G725" s="7"/>
      <c r="H725" s="13" t="str">
        <f>IFERROR(IF(ABS($G725)&gt;0,VLOOKUP($E725,'Fuel Category and Heat Rate'!$B$1:$G$34,6,FALSE)*($G725),""),"")</f>
        <v/>
      </c>
      <c r="I725" t="str">
        <f>IFERROR(VLOOKUP($E725,'Fuel Category and Heat Rate'!$K$2:$M$36,3,FALSE),"")</f>
        <v>heavy fuel oil</v>
      </c>
    </row>
    <row r="726" spans="1:9" x14ac:dyDescent="0.15">
      <c r="A726" s="2">
        <v>76592</v>
      </c>
      <c r="B726" s="2" t="s">
        <v>69</v>
      </c>
      <c r="C726" s="2">
        <v>2020</v>
      </c>
      <c r="D726" s="2" t="s">
        <v>1</v>
      </c>
      <c r="E726" s="2" t="s">
        <v>20</v>
      </c>
      <c r="F726" s="2" t="s">
        <v>35</v>
      </c>
      <c r="G726" s="7"/>
      <c r="H726" s="13" t="str">
        <f>IFERROR(IF(ABS($G726)&gt;0,VLOOKUP($E726,'Fuel Category and Heat Rate'!$B$1:$G$34,6,FALSE)*($G726),""),"")</f>
        <v/>
      </c>
      <c r="I726" t="str">
        <f>IFERROR(VLOOKUP($E726,'Fuel Category and Heat Rate'!$K$2:$M$36,3,FALSE),"")</f>
        <v>LPG propane or butane</v>
      </c>
    </row>
    <row r="727" spans="1:9" x14ac:dyDescent="0.15">
      <c r="A727" s="2">
        <v>76627</v>
      </c>
      <c r="B727" s="2" t="s">
        <v>69</v>
      </c>
      <c r="C727" s="2">
        <v>2020</v>
      </c>
      <c r="D727" s="2" t="s">
        <v>1</v>
      </c>
      <c r="E727" s="2" t="s">
        <v>25</v>
      </c>
      <c r="F727" s="2" t="s">
        <v>35</v>
      </c>
      <c r="G727" s="7">
        <v>-54.83</v>
      </c>
      <c r="H727" s="13">
        <f>IFERROR(IF(ABS($G727)&gt;0,VLOOKUP($E727,'Fuel Category and Heat Rate'!$B$1:$G$34,6,FALSE)*($G727),""),"")</f>
        <v>-16602476636663.355</v>
      </c>
      <c r="I727" t="str">
        <f>IFERROR(VLOOKUP($E727,'Fuel Category and Heat Rate'!$K$2:$M$36,3,FALSE),"")</f>
        <v>heavy fuel oil</v>
      </c>
    </row>
    <row r="728" spans="1:9" x14ac:dyDescent="0.15">
      <c r="A728" s="2">
        <v>76662</v>
      </c>
      <c r="B728" s="2" t="s">
        <v>69</v>
      </c>
      <c r="C728" s="2">
        <v>2020</v>
      </c>
      <c r="D728" s="2" t="s">
        <v>1</v>
      </c>
      <c r="E728" s="2" t="s">
        <v>24</v>
      </c>
      <c r="F728" s="2" t="s">
        <v>35</v>
      </c>
      <c r="G728" s="7"/>
      <c r="H728" s="13" t="str">
        <f>IFERROR(IF(ABS($G728)&gt;0,VLOOKUP($E728,'Fuel Category and Heat Rate'!$B$1:$G$34,6,FALSE)*($G728),""),"")</f>
        <v/>
      </c>
      <c r="I728" t="str">
        <f>IFERROR(VLOOKUP($E728,'Fuel Category and Heat Rate'!$K$2:$M$36,3,FALSE),"")</f>
        <v>heavy fuel oil</v>
      </c>
    </row>
    <row r="729" spans="1:9" x14ac:dyDescent="0.15">
      <c r="A729" s="2">
        <v>76697</v>
      </c>
      <c r="B729" s="2" t="s">
        <v>69</v>
      </c>
      <c r="C729" s="2">
        <v>2020</v>
      </c>
      <c r="D729" s="2" t="s">
        <v>1</v>
      </c>
      <c r="E729" s="2" t="s">
        <v>29</v>
      </c>
      <c r="F729" s="2" t="s">
        <v>36</v>
      </c>
      <c r="G729" s="7">
        <v>-9.34</v>
      </c>
      <c r="H729" s="13">
        <f>IFERROR(IF(ABS($G729)&gt;0,VLOOKUP($E729,'Fuel Category and Heat Rate'!$B$1:$G$34,6,FALSE)*($G729),""),"")</f>
        <v>-31501576907042.41</v>
      </c>
      <c r="I729" t="str">
        <f>IFERROR(VLOOKUP($E729,'Fuel Category and Heat Rate'!$K$2:$M$36,3,FALSE),"")</f>
        <v>natural gas</v>
      </c>
    </row>
    <row r="730" spans="1:9" x14ac:dyDescent="0.15">
      <c r="A730" s="2">
        <v>76732</v>
      </c>
      <c r="B730" s="2" t="s">
        <v>69</v>
      </c>
      <c r="C730" s="2">
        <v>2020</v>
      </c>
      <c r="D730" s="2" t="s">
        <v>1</v>
      </c>
      <c r="E730" s="2" t="s">
        <v>4</v>
      </c>
      <c r="F730" s="2" t="s">
        <v>35</v>
      </c>
      <c r="G730" s="7"/>
      <c r="H730" s="13" t="str">
        <f>IFERROR(IF(ABS($G730)&gt;0,VLOOKUP($E730,'Fuel Category and Heat Rate'!$B$1:$G$34,6,FALSE)*($G730),""),"")</f>
        <v/>
      </c>
      <c r="I730" t="str">
        <f>IFERROR(VLOOKUP($E730,'Fuel Category and Heat Rate'!$K$2:$M$36,3,FALSE),"")</f>
        <v>coal</v>
      </c>
    </row>
    <row r="731" spans="1:9" x14ac:dyDescent="0.15">
      <c r="A731" s="2">
        <v>76767</v>
      </c>
      <c r="B731" s="2" t="s">
        <v>69</v>
      </c>
      <c r="C731" s="2">
        <v>2020</v>
      </c>
      <c r="D731" s="2" t="s">
        <v>1</v>
      </c>
      <c r="E731" s="2" t="s">
        <v>6</v>
      </c>
      <c r="F731" s="2" t="s">
        <v>35</v>
      </c>
      <c r="G731" s="7">
        <v>-28.8</v>
      </c>
      <c r="H731" s="13">
        <f>IFERROR(IF(ABS($G731)&gt;0,VLOOKUP($E731,'Fuel Category and Heat Rate'!$B$1:$G$34,6,FALSE)*($G731),""),"")</f>
        <v>-4223685409639.689</v>
      </c>
      <c r="I731" t="str">
        <f>IFERROR(VLOOKUP($E731,'Fuel Category and Heat Rate'!$K$2:$M$36,3,FALSE),"")</f>
        <v>coal</v>
      </c>
    </row>
    <row r="732" spans="1:9" x14ac:dyDescent="0.15">
      <c r="A732" s="2">
        <v>76802</v>
      </c>
      <c r="B732" s="2" t="s">
        <v>69</v>
      </c>
      <c r="C732" s="2">
        <v>2020</v>
      </c>
      <c r="D732" s="2" t="s">
        <v>1</v>
      </c>
      <c r="E732" s="2" t="s">
        <v>26</v>
      </c>
      <c r="F732" s="2" t="s">
        <v>35</v>
      </c>
      <c r="G732" s="7">
        <v>-0.08</v>
      </c>
      <c r="H732" s="13">
        <f>IFERROR(IF(ABS($G732)&gt;0,VLOOKUP($E732,'Fuel Category and Heat Rate'!$B$1:$G$34,6,FALSE)*($G732),""),"")</f>
        <v>-38048412318.646454</v>
      </c>
      <c r="I732" t="str">
        <f>IFERROR(VLOOKUP($E732,'Fuel Category and Heat Rate'!$K$2:$M$36,3,FALSE),"")</f>
        <v>LPG propane or butane</v>
      </c>
    </row>
    <row r="733" spans="1:9" x14ac:dyDescent="0.15">
      <c r="A733" s="2">
        <v>76837</v>
      </c>
      <c r="B733" s="2" t="s">
        <v>69</v>
      </c>
      <c r="C733" s="2">
        <v>2020</v>
      </c>
      <c r="D733" s="2" t="s">
        <v>1</v>
      </c>
      <c r="E733" s="2" t="s">
        <v>30</v>
      </c>
      <c r="F733" s="2" t="s">
        <v>35</v>
      </c>
      <c r="G733" s="7">
        <v>-39.64</v>
      </c>
      <c r="H733" s="13">
        <f>IFERROR(IF(ABS($G733)&gt;0,VLOOKUP($E733,'Fuel Category and Heat Rate'!$B$1:$G$34,6,FALSE)*($G733),""),"")</f>
        <v>-19324510261707.949</v>
      </c>
      <c r="I733" t="str">
        <f>IFERROR(VLOOKUP($E733,'Fuel Category and Heat Rate'!$K$2:$M$36,3,FALSE),"")</f>
        <v>natural gas</v>
      </c>
    </row>
    <row r="734" spans="1:9" x14ac:dyDescent="0.15">
      <c r="A734" s="2">
        <v>76872</v>
      </c>
      <c r="B734" s="2" t="s">
        <v>69</v>
      </c>
      <c r="C734" s="2">
        <v>2020</v>
      </c>
      <c r="D734" s="2" t="s">
        <v>1</v>
      </c>
      <c r="E734" s="2" t="s">
        <v>14</v>
      </c>
      <c r="F734" s="2" t="s">
        <v>35</v>
      </c>
      <c r="G734" s="7">
        <v>-238.22</v>
      </c>
      <c r="H734" s="13">
        <f>IFERROR(IF(ABS($G734)&gt;0,VLOOKUP($E734,'Fuel Category and Heat Rate'!$B$1:$G$34,6,FALSE)*($G734),""),"")</f>
        <v>0</v>
      </c>
      <c r="I734" t="str">
        <f>IFERROR(VLOOKUP($E734,'Fuel Category and Heat Rate'!$K$2:$M$36,3,FALSE),"")</f>
        <v/>
      </c>
    </row>
    <row r="735" spans="1:9" x14ac:dyDescent="0.15">
      <c r="A735" s="2">
        <v>76907</v>
      </c>
      <c r="B735" s="2" t="s">
        <v>69</v>
      </c>
      <c r="C735" s="2">
        <v>2020</v>
      </c>
      <c r="D735" s="2" t="s">
        <v>1</v>
      </c>
      <c r="E735" s="2" t="s">
        <v>3</v>
      </c>
      <c r="F735" s="2" t="s">
        <v>35</v>
      </c>
      <c r="G735" s="7">
        <v>-921.59</v>
      </c>
      <c r="H735" s="13">
        <f>IFERROR(IF(ABS($G735)&gt;0,VLOOKUP($E735,'Fuel Category and Heat Rate'!$B$1:$G$34,6,FALSE)*($G735),""),"")</f>
        <v>-182631125357013.09</v>
      </c>
      <c r="I735" t="str">
        <f>IFERROR(VLOOKUP($E735,'Fuel Category and Heat Rate'!$K$2:$M$36,3,FALSE),"")</f>
        <v>coal</v>
      </c>
    </row>
    <row r="736" spans="1:9" x14ac:dyDescent="0.15">
      <c r="A736" s="2">
        <v>76942</v>
      </c>
      <c r="B736" s="2" t="s">
        <v>69</v>
      </c>
      <c r="C736" s="2">
        <v>2020</v>
      </c>
      <c r="D736" s="2" t="s">
        <v>1</v>
      </c>
      <c r="E736" s="2" t="s">
        <v>15</v>
      </c>
      <c r="F736" s="2" t="s">
        <v>35</v>
      </c>
      <c r="G736" s="7"/>
      <c r="H736" s="13" t="str">
        <f>IFERROR(IF(ABS($G736)&gt;0,VLOOKUP($E736,'Fuel Category and Heat Rate'!$B$1:$G$34,6,FALSE)*($G736),""),"")</f>
        <v/>
      </c>
      <c r="I736" t="str">
        <f>IFERROR(VLOOKUP($E736,'Fuel Category and Heat Rate'!$K$2:$M$36,3,FALSE),"")</f>
        <v>crude oil</v>
      </c>
    </row>
    <row r="737" spans="1:9" x14ac:dyDescent="0.15">
      <c r="A737" s="2">
        <v>76977</v>
      </c>
      <c r="B737" s="2" t="s">
        <v>69</v>
      </c>
      <c r="C737" s="2">
        <v>2020</v>
      </c>
      <c r="D737" s="2" t="s">
        <v>1</v>
      </c>
      <c r="E737" s="2" t="s">
        <v>11</v>
      </c>
      <c r="F737" s="2" t="s">
        <v>36</v>
      </c>
      <c r="G737" s="7">
        <v>-1.53</v>
      </c>
      <c r="H737" s="13">
        <f>IFERROR(IF(ABS($G737)&gt;0,VLOOKUP($E737,'Fuel Category and Heat Rate'!$B$1:$G$34,6,FALSE)*($G737),""),"")</f>
        <v>-1152152277057.1814</v>
      </c>
      <c r="I737" t="str">
        <f>IFERROR(VLOOKUP($E737,'Fuel Category and Heat Rate'!$K$2:$M$36,3,FALSE),"")</f>
        <v>LPG propane or butane</v>
      </c>
    </row>
    <row r="738" spans="1:9" x14ac:dyDescent="0.15">
      <c r="A738" s="2">
        <v>77012</v>
      </c>
      <c r="B738" s="2" t="s">
        <v>69</v>
      </c>
      <c r="C738" s="2">
        <v>2019</v>
      </c>
      <c r="D738" s="2" t="s">
        <v>1</v>
      </c>
      <c r="E738" s="2" t="s">
        <v>18</v>
      </c>
      <c r="F738" s="2" t="s">
        <v>35</v>
      </c>
      <c r="G738" s="7">
        <v>-0.08</v>
      </c>
      <c r="H738" s="13">
        <f>IFERROR(IF(ABS($G738)&gt;0,VLOOKUP($E738,'Fuel Category and Heat Rate'!$B$1:$G$34,6,FALSE)*($G738),""),"")</f>
        <v>-32341036732.794762</v>
      </c>
      <c r="I738" t="str">
        <f>IFERROR(VLOOKUP($E738,'Fuel Category and Heat Rate'!$K$2:$M$36,3,FALSE),"")</f>
        <v>petroleum diesel</v>
      </c>
    </row>
    <row r="739" spans="1:9" x14ac:dyDescent="0.15">
      <c r="A739" s="2">
        <v>77047</v>
      </c>
      <c r="B739" s="2" t="s">
        <v>69</v>
      </c>
      <c r="C739" s="2">
        <v>2019</v>
      </c>
      <c r="D739" s="2" t="s">
        <v>1</v>
      </c>
      <c r="E739" s="2" t="s">
        <v>32</v>
      </c>
      <c r="F739" s="2" t="s">
        <v>65</v>
      </c>
      <c r="G739" s="7"/>
      <c r="H739" s="13" t="str">
        <f>IFERROR(IF(ABS($G739)&gt;0,VLOOKUP($E739,'Fuel Category and Heat Rate'!$B$1:$G$34,6,FALSE)*($G739),""),"")</f>
        <v/>
      </c>
      <c r="I739" t="str">
        <f>IFERROR(VLOOKUP($E739,'Fuel Category and Heat Rate'!$K$2:$M$36,3,FALSE),"")</f>
        <v>electricity</v>
      </c>
    </row>
    <row r="740" spans="1:9" x14ac:dyDescent="0.15">
      <c r="A740" s="2">
        <v>77082</v>
      </c>
      <c r="B740" s="2" t="s">
        <v>69</v>
      </c>
      <c r="C740" s="2">
        <v>2019</v>
      </c>
      <c r="D740" s="2" t="s">
        <v>1</v>
      </c>
      <c r="E740" s="2" t="s">
        <v>10</v>
      </c>
      <c r="F740" s="2" t="s">
        <v>36</v>
      </c>
      <c r="G740" s="7">
        <v>-21.96</v>
      </c>
      <c r="H740" s="13">
        <f>IFERROR(IF(ABS($G740)&gt;0,VLOOKUP($E740,'Fuel Category and Heat Rate'!$B$1:$G$34,6,FALSE)*($G740),""),"")</f>
        <v>-7832332288380.7529</v>
      </c>
      <c r="I740" t="str">
        <f>IFERROR(VLOOKUP($E740,'Fuel Category and Heat Rate'!$K$2:$M$36,3,FALSE),"")</f>
        <v>LPG propane or butane</v>
      </c>
    </row>
    <row r="741" spans="1:9" x14ac:dyDescent="0.15">
      <c r="A741" s="2">
        <v>77117</v>
      </c>
      <c r="B741" s="2" t="s">
        <v>69</v>
      </c>
      <c r="C741" s="2">
        <v>2019</v>
      </c>
      <c r="D741" s="2" t="s">
        <v>1</v>
      </c>
      <c r="E741" s="2" t="s">
        <v>9</v>
      </c>
      <c r="F741" s="2" t="s">
        <v>36</v>
      </c>
      <c r="G741" s="7"/>
      <c r="H741" s="13" t="str">
        <f>IFERROR(IF(ABS($G741)&gt;0,VLOOKUP($E741,'Fuel Category and Heat Rate'!$B$1:$G$34,6,FALSE)*($G741),""),"")</f>
        <v/>
      </c>
      <c r="I741" t="str">
        <f>IFERROR(VLOOKUP($E741,'Fuel Category and Heat Rate'!$K$2:$M$36,3,FALSE),"")</f>
        <v>LPG propane or butane</v>
      </c>
    </row>
    <row r="742" spans="1:9" x14ac:dyDescent="0.15">
      <c r="A742" s="2">
        <v>77152</v>
      </c>
      <c r="B742" s="2" t="s">
        <v>69</v>
      </c>
      <c r="C742" s="2">
        <v>2019</v>
      </c>
      <c r="D742" s="2" t="s">
        <v>1</v>
      </c>
      <c r="E742" s="2" t="s">
        <v>8</v>
      </c>
      <c r="F742" s="2" t="s">
        <v>35</v>
      </c>
      <c r="G742" s="7"/>
      <c r="H742" s="13" t="str">
        <f>IFERROR(IF(ABS($G742)&gt;0,VLOOKUP($E742,'Fuel Category and Heat Rate'!$B$1:$G$34,6,FALSE)*($G742),""),"")</f>
        <v/>
      </c>
      <c r="I742" t="str">
        <f>IFERROR(VLOOKUP($E742,'Fuel Category and Heat Rate'!$K$2:$M$36,3,FALSE),"")</f>
        <v>coal</v>
      </c>
    </row>
    <row r="743" spans="1:9" x14ac:dyDescent="0.15">
      <c r="A743" s="2">
        <v>77187</v>
      </c>
      <c r="B743" s="2" t="s">
        <v>69</v>
      </c>
      <c r="C743" s="2">
        <v>2019</v>
      </c>
      <c r="D743" s="2" t="s">
        <v>1</v>
      </c>
      <c r="E743" s="2" t="s">
        <v>27</v>
      </c>
      <c r="F743" s="2" t="s">
        <v>35</v>
      </c>
      <c r="G743" s="7">
        <v>-3.99</v>
      </c>
      <c r="H743" s="13">
        <f>IFERROR(IF(ABS($G743)&gt;0,VLOOKUP($E743,'Fuel Category and Heat Rate'!$B$1:$G$34,6,FALSE)*($G743),""),"")</f>
        <v>-1739547911136.6475</v>
      </c>
      <c r="I743" t="str">
        <f>IFERROR(VLOOKUP($E743,'Fuel Category and Heat Rate'!$K$2:$M$36,3,FALSE),"")</f>
        <v>LPG propane or butane</v>
      </c>
    </row>
    <row r="744" spans="1:9" x14ac:dyDescent="0.15">
      <c r="A744" s="2">
        <v>77222</v>
      </c>
      <c r="B744" s="2" t="s">
        <v>69</v>
      </c>
      <c r="C744" s="2">
        <v>2019</v>
      </c>
      <c r="D744" s="2" t="s">
        <v>1</v>
      </c>
      <c r="E744" s="2" t="s">
        <v>7</v>
      </c>
      <c r="F744" s="2" t="s">
        <v>35</v>
      </c>
      <c r="G744" s="7"/>
      <c r="H744" s="13" t="str">
        <f>IFERROR(IF(ABS($G744)&gt;0,VLOOKUP($E744,'Fuel Category and Heat Rate'!$B$1:$G$34,6,FALSE)*($G744),""),"")</f>
        <v/>
      </c>
      <c r="I744" t="str">
        <f>IFERROR(VLOOKUP($E744,'Fuel Category and Heat Rate'!$K$2:$M$36,3,FALSE),"")</f>
        <v>coal</v>
      </c>
    </row>
    <row r="745" spans="1:9" x14ac:dyDescent="0.15">
      <c r="A745" s="2">
        <v>77257</v>
      </c>
      <c r="B745" s="2" t="s">
        <v>69</v>
      </c>
      <c r="C745" s="2">
        <v>2019</v>
      </c>
      <c r="D745" s="2" t="s">
        <v>1</v>
      </c>
      <c r="E745" s="2" t="s">
        <v>2</v>
      </c>
      <c r="F745" s="2" t="s">
        <v>35</v>
      </c>
      <c r="G745" s="7">
        <v>-1000.12</v>
      </c>
      <c r="H745" s="13">
        <f>IFERROR(IF(ABS($G745)&gt;0,VLOOKUP($E745,'Fuel Category and Heat Rate'!$B$1:$G$34,6,FALSE)*($G745),""),"")</f>
        <v>0</v>
      </c>
      <c r="I745" t="str">
        <f>IFERROR(VLOOKUP($E745,'Fuel Category and Heat Rate'!$K$2:$M$36,3,FALSE),"")</f>
        <v/>
      </c>
    </row>
    <row r="746" spans="1:9" x14ac:dyDescent="0.15">
      <c r="A746" s="2">
        <v>77292</v>
      </c>
      <c r="B746" s="2" t="s">
        <v>69</v>
      </c>
      <c r="C746" s="2">
        <v>2019</v>
      </c>
      <c r="D746" s="2" t="s">
        <v>1</v>
      </c>
      <c r="E746" s="2" t="s">
        <v>17</v>
      </c>
      <c r="F746" s="2" t="s">
        <v>35</v>
      </c>
      <c r="G746" s="7"/>
      <c r="H746" s="13" t="str">
        <f>IFERROR(IF(ABS($G746)&gt;0,VLOOKUP($E746,'Fuel Category and Heat Rate'!$B$1:$G$34,6,FALSE)*($G746),""),"")</f>
        <v/>
      </c>
      <c r="I746" t="str">
        <f>IFERROR(VLOOKUP($E746,'Fuel Category and Heat Rate'!$K$2:$M$36,3,FALSE),"")</f>
        <v>petroleum diesel</v>
      </c>
    </row>
    <row r="747" spans="1:9" x14ac:dyDescent="0.15">
      <c r="A747" s="2">
        <v>77327</v>
      </c>
      <c r="B747" s="2" t="s">
        <v>69</v>
      </c>
      <c r="C747" s="2">
        <v>2019</v>
      </c>
      <c r="D747" s="2" t="s">
        <v>1</v>
      </c>
      <c r="E747" s="2" t="s">
        <v>13</v>
      </c>
      <c r="F747" s="2" t="s">
        <v>35</v>
      </c>
      <c r="G747" s="7"/>
      <c r="H747" s="13" t="str">
        <f>IFERROR(IF(ABS($G747)&gt;0,VLOOKUP($E747,'Fuel Category and Heat Rate'!$B$1:$G$34,6,FALSE)*($G747),""),"")</f>
        <v/>
      </c>
      <c r="I747" t="str">
        <f>IFERROR(VLOOKUP($E747,'Fuel Category and Heat Rate'!$K$2:$M$36,3,FALSE),"")</f>
        <v>petroleum diesel</v>
      </c>
    </row>
    <row r="748" spans="1:9" x14ac:dyDescent="0.15">
      <c r="A748" s="2">
        <v>77362</v>
      </c>
      <c r="B748" s="2" t="s">
        <v>69</v>
      </c>
      <c r="C748" s="2">
        <v>2019</v>
      </c>
      <c r="D748" s="2" t="s">
        <v>1</v>
      </c>
      <c r="E748" s="2" t="s">
        <v>12</v>
      </c>
      <c r="F748" s="2" t="s">
        <v>36</v>
      </c>
      <c r="G748" s="7"/>
      <c r="H748" s="13" t="str">
        <f>IFERROR(IF(ABS($G748)&gt;0,VLOOKUP($E748,'Fuel Category and Heat Rate'!$B$1:$G$34,6,FALSE)*($G748),""),"")</f>
        <v/>
      </c>
      <c r="I748" t="str">
        <f>IFERROR(VLOOKUP($E748,'Fuel Category and Heat Rate'!$K$2:$M$36,3,FALSE),"")</f>
        <v>LPG propane or butane</v>
      </c>
    </row>
    <row r="749" spans="1:9" x14ac:dyDescent="0.15">
      <c r="A749" s="2">
        <v>77397</v>
      </c>
      <c r="B749" s="2" t="s">
        <v>69</v>
      </c>
      <c r="C749" s="2">
        <v>2019</v>
      </c>
      <c r="D749" s="2" t="s">
        <v>1</v>
      </c>
      <c r="E749" s="2" t="s">
        <v>33</v>
      </c>
      <c r="F749" s="2" t="s">
        <v>38</v>
      </c>
      <c r="G749" s="7">
        <v>-30.08</v>
      </c>
      <c r="H749" s="13">
        <f>IFERROR(IF(ABS($G749)&gt;0,VLOOKUP($E749,'Fuel Category and Heat Rate'!$B$1:$G$34,6,FALSE)*($G749),""),"")</f>
        <v>-8345261343273.9121</v>
      </c>
      <c r="I749" t="str">
        <f>IFERROR(VLOOKUP($E749,'Fuel Category and Heat Rate'!$K$2:$M$36,3,FALSE),"")</f>
        <v>biomass</v>
      </c>
    </row>
    <row r="750" spans="1:9" x14ac:dyDescent="0.15">
      <c r="A750" s="2">
        <v>77432</v>
      </c>
      <c r="B750" s="2" t="s">
        <v>69</v>
      </c>
      <c r="C750" s="2">
        <v>2019</v>
      </c>
      <c r="D750" s="2" t="s">
        <v>1</v>
      </c>
      <c r="E750" s="2" t="s">
        <v>28</v>
      </c>
      <c r="F750" s="2" t="s">
        <v>35</v>
      </c>
      <c r="G750" s="7">
        <v>-5.26</v>
      </c>
      <c r="H750" s="13">
        <f>IFERROR(IF(ABS($G750)&gt;0,VLOOKUP($E750,'Fuel Category and Heat Rate'!$B$1:$G$34,6,FALSE)*($G750),""),"")</f>
        <v>-2043065303130.6353</v>
      </c>
      <c r="I750" t="str">
        <f>IFERROR(VLOOKUP($E750,'Fuel Category and Heat Rate'!$K$2:$M$36,3,FALSE),"")</f>
        <v>heavy or residual fuel oil</v>
      </c>
    </row>
    <row r="751" spans="1:9" x14ac:dyDescent="0.15">
      <c r="A751" s="2">
        <v>77467</v>
      </c>
      <c r="B751" s="2" t="s">
        <v>69</v>
      </c>
      <c r="C751" s="2">
        <v>2019</v>
      </c>
      <c r="D751" s="2" t="s">
        <v>1</v>
      </c>
      <c r="E751" s="2" t="s">
        <v>5</v>
      </c>
      <c r="F751" s="2" t="s">
        <v>35</v>
      </c>
      <c r="G751" s="7"/>
      <c r="H751" s="13" t="str">
        <f>IFERROR(IF(ABS($G751)&gt;0,VLOOKUP($E751,'Fuel Category and Heat Rate'!$B$1:$G$34,6,FALSE)*($G751),""),"")</f>
        <v/>
      </c>
      <c r="I751" t="str">
        <f>IFERROR(VLOOKUP($E751,'Fuel Category and Heat Rate'!$K$2:$M$36,3,FALSE),"")</f>
        <v>coal</v>
      </c>
    </row>
    <row r="752" spans="1:9" x14ac:dyDescent="0.15">
      <c r="A752" s="2">
        <v>77502</v>
      </c>
      <c r="B752" s="2" t="s">
        <v>69</v>
      </c>
      <c r="C752" s="2">
        <v>2019</v>
      </c>
      <c r="D752" s="2" t="s">
        <v>1</v>
      </c>
      <c r="E752" s="2" t="s">
        <v>16</v>
      </c>
      <c r="F752" s="2" t="s">
        <v>35</v>
      </c>
      <c r="G752" s="7"/>
      <c r="H752" s="13" t="str">
        <f>IFERROR(IF(ABS($G752)&gt;0,VLOOKUP($E752,'Fuel Category and Heat Rate'!$B$1:$G$34,6,FALSE)*($G752),""),"")</f>
        <v/>
      </c>
      <c r="I752" t="str">
        <f>IFERROR(VLOOKUP($E752,'Fuel Category and Heat Rate'!$K$2:$M$36,3,FALSE),"")</f>
        <v>petroleum diesel</v>
      </c>
    </row>
    <row r="753" spans="1:9" x14ac:dyDescent="0.15">
      <c r="A753" s="2">
        <v>77537</v>
      </c>
      <c r="B753" s="2" t="s">
        <v>69</v>
      </c>
      <c r="C753" s="2">
        <v>2019</v>
      </c>
      <c r="D753" s="2" t="s">
        <v>1</v>
      </c>
      <c r="E753" s="2" t="s">
        <v>19</v>
      </c>
      <c r="F753" s="2" t="s">
        <v>35</v>
      </c>
      <c r="G753" s="7"/>
      <c r="H753" s="13" t="str">
        <f>IFERROR(IF(ABS($G753)&gt;0,VLOOKUP($E753,'Fuel Category and Heat Rate'!$B$1:$G$34,6,FALSE)*($G753),""),"")</f>
        <v/>
      </c>
      <c r="I753" t="str">
        <f>IFERROR(VLOOKUP($E753,'Fuel Category and Heat Rate'!$K$2:$M$36,3,FALSE),"")</f>
        <v>heavy or residual fuel oil</v>
      </c>
    </row>
    <row r="754" spans="1:9" x14ac:dyDescent="0.15">
      <c r="A754" s="2">
        <v>77572</v>
      </c>
      <c r="B754" s="2" t="s">
        <v>69</v>
      </c>
      <c r="C754" s="2">
        <v>2019</v>
      </c>
      <c r="D754" s="2" t="s">
        <v>1</v>
      </c>
      <c r="E754" s="2" t="s">
        <v>31</v>
      </c>
      <c r="F754" s="2" t="s">
        <v>37</v>
      </c>
      <c r="G754" s="7">
        <v>28080.73</v>
      </c>
      <c r="H754" s="13">
        <f>IFERROR(IF(ABS($G754)&gt;0,VLOOKUP($E754,'Fuel Category and Heat Rate'!$B$1:$G$34,6,FALSE)*($G754),""),"")</f>
        <v>266153967109892.81</v>
      </c>
      <c r="I754" t="str">
        <f>IFERROR(VLOOKUP($E754,'Fuel Category and Heat Rate'!$K$2:$M$36,3,FALSE),"")</f>
        <v>heat</v>
      </c>
    </row>
    <row r="755" spans="1:9" x14ac:dyDescent="0.15">
      <c r="A755" s="2">
        <v>77607</v>
      </c>
      <c r="B755" s="2" t="s">
        <v>69</v>
      </c>
      <c r="C755" s="2">
        <v>2019</v>
      </c>
      <c r="D755" s="2" t="s">
        <v>1</v>
      </c>
      <c r="E755" s="2" t="s">
        <v>23</v>
      </c>
      <c r="F755" s="2" t="s">
        <v>35</v>
      </c>
      <c r="G755" s="7"/>
      <c r="H755" s="13" t="str">
        <f>IFERROR(IF(ABS($G755)&gt;0,VLOOKUP($E755,'Fuel Category and Heat Rate'!$B$1:$G$34,6,FALSE)*($G755),""),"")</f>
        <v/>
      </c>
      <c r="I755" t="str">
        <f>IFERROR(VLOOKUP($E755,'Fuel Category and Heat Rate'!$K$2:$M$36,3,FALSE),"")</f>
        <v>heavy or residual fuel oil</v>
      </c>
    </row>
    <row r="756" spans="1:9" x14ac:dyDescent="0.15">
      <c r="A756" s="2">
        <v>77642</v>
      </c>
      <c r="B756" s="2" t="s">
        <v>69</v>
      </c>
      <c r="C756" s="2">
        <v>2019</v>
      </c>
      <c r="D756" s="2" t="s">
        <v>1</v>
      </c>
      <c r="E756" s="2" t="s">
        <v>21</v>
      </c>
      <c r="F756" s="2" t="s">
        <v>35</v>
      </c>
      <c r="G756" s="7"/>
      <c r="H756" s="13" t="str">
        <f>IFERROR(IF(ABS($G756)&gt;0,VLOOKUP($E756,'Fuel Category and Heat Rate'!$B$1:$G$34,6,FALSE)*($G756),""),"")</f>
        <v/>
      </c>
      <c r="I756" t="str">
        <f>IFERROR(VLOOKUP($E756,'Fuel Category and Heat Rate'!$K$2:$M$36,3,FALSE),"")</f>
        <v>LPG propane or butane</v>
      </c>
    </row>
    <row r="757" spans="1:9" x14ac:dyDescent="0.15">
      <c r="A757" s="2">
        <v>77677</v>
      </c>
      <c r="B757" s="2" t="s">
        <v>69</v>
      </c>
      <c r="C757" s="2">
        <v>2019</v>
      </c>
      <c r="D757" s="2" t="s">
        <v>1</v>
      </c>
      <c r="E757" s="2" t="s">
        <v>22</v>
      </c>
      <c r="F757" s="2" t="s">
        <v>35</v>
      </c>
      <c r="G757" s="7"/>
      <c r="H757" s="13" t="str">
        <f>IFERROR(IF(ABS($G757)&gt;0,VLOOKUP($E757,'Fuel Category and Heat Rate'!$B$1:$G$34,6,FALSE)*($G757),""),"")</f>
        <v/>
      </c>
      <c r="I757" t="str">
        <f>IFERROR(VLOOKUP($E757,'Fuel Category and Heat Rate'!$K$2:$M$36,3,FALSE),"")</f>
        <v>heavy fuel oil</v>
      </c>
    </row>
    <row r="758" spans="1:9" x14ac:dyDescent="0.15">
      <c r="A758" s="2">
        <v>77712</v>
      </c>
      <c r="B758" s="2" t="s">
        <v>69</v>
      </c>
      <c r="C758" s="2">
        <v>2019</v>
      </c>
      <c r="D758" s="2" t="s">
        <v>1</v>
      </c>
      <c r="E758" s="2" t="s">
        <v>20</v>
      </c>
      <c r="F758" s="2" t="s">
        <v>35</v>
      </c>
      <c r="G758" s="7">
        <v>-163.1</v>
      </c>
      <c r="H758" s="13">
        <f>IFERROR(IF(ABS($G758)&gt;0,VLOOKUP($E758,'Fuel Category and Heat Rate'!$B$1:$G$34,6,FALSE)*($G758),""),"")</f>
        <v>-67875380246458.047</v>
      </c>
      <c r="I758" t="str">
        <f>IFERROR(VLOOKUP($E758,'Fuel Category and Heat Rate'!$K$2:$M$36,3,FALSE),"")</f>
        <v>LPG propane or butane</v>
      </c>
    </row>
    <row r="759" spans="1:9" x14ac:dyDescent="0.15">
      <c r="A759" s="2">
        <v>77747</v>
      </c>
      <c r="B759" s="2" t="s">
        <v>69</v>
      </c>
      <c r="C759" s="2">
        <v>2019</v>
      </c>
      <c r="D759" s="2" t="s">
        <v>1</v>
      </c>
      <c r="E759" s="2" t="s">
        <v>25</v>
      </c>
      <c r="F759" s="2" t="s">
        <v>35</v>
      </c>
      <c r="G759" s="7">
        <v>-43.54</v>
      </c>
      <c r="H759" s="13">
        <f>IFERROR(IF(ABS($G759)&gt;0,VLOOKUP($E759,'Fuel Category and Heat Rate'!$B$1:$G$34,6,FALSE)*($G759),""),"")</f>
        <v>-13183874389208.873</v>
      </c>
      <c r="I759" t="str">
        <f>IFERROR(VLOOKUP($E759,'Fuel Category and Heat Rate'!$K$2:$M$36,3,FALSE),"")</f>
        <v>heavy fuel oil</v>
      </c>
    </row>
    <row r="760" spans="1:9" x14ac:dyDescent="0.15">
      <c r="A760" s="2">
        <v>77782</v>
      </c>
      <c r="B760" s="2" t="s">
        <v>69</v>
      </c>
      <c r="C760" s="2">
        <v>2019</v>
      </c>
      <c r="D760" s="2" t="s">
        <v>1</v>
      </c>
      <c r="E760" s="2" t="s">
        <v>24</v>
      </c>
      <c r="F760" s="2" t="s">
        <v>35</v>
      </c>
      <c r="G760" s="7"/>
      <c r="H760" s="13" t="str">
        <f>IFERROR(IF(ABS($G760)&gt;0,VLOOKUP($E760,'Fuel Category and Heat Rate'!$B$1:$G$34,6,FALSE)*($G760),""),"")</f>
        <v/>
      </c>
      <c r="I760" t="str">
        <f>IFERROR(VLOOKUP($E760,'Fuel Category and Heat Rate'!$K$2:$M$36,3,FALSE),"")</f>
        <v>heavy fuel oil</v>
      </c>
    </row>
    <row r="761" spans="1:9" x14ac:dyDescent="0.15">
      <c r="A761" s="2">
        <v>77817</v>
      </c>
      <c r="B761" s="2" t="s">
        <v>69</v>
      </c>
      <c r="C761" s="2">
        <v>2019</v>
      </c>
      <c r="D761" s="2" t="s">
        <v>1</v>
      </c>
      <c r="E761" s="2" t="s">
        <v>29</v>
      </c>
      <c r="F761" s="2" t="s">
        <v>36</v>
      </c>
      <c r="G761" s="7">
        <v>-6.54</v>
      </c>
      <c r="H761" s="13">
        <f>IFERROR(IF(ABS($G761)&gt;0,VLOOKUP($E761,'Fuel Category and Heat Rate'!$B$1:$G$34,6,FALSE)*($G761),""),"")</f>
        <v>-22057849354609.996</v>
      </c>
      <c r="I761" t="str">
        <f>IFERROR(VLOOKUP($E761,'Fuel Category and Heat Rate'!$K$2:$M$36,3,FALSE),"")</f>
        <v>natural gas</v>
      </c>
    </row>
    <row r="762" spans="1:9" x14ac:dyDescent="0.15">
      <c r="A762" s="2">
        <v>77852</v>
      </c>
      <c r="B762" s="2" t="s">
        <v>69</v>
      </c>
      <c r="C762" s="2">
        <v>2019</v>
      </c>
      <c r="D762" s="2" t="s">
        <v>1</v>
      </c>
      <c r="E762" s="2" t="s">
        <v>4</v>
      </c>
      <c r="F762" s="2" t="s">
        <v>35</v>
      </c>
      <c r="G762" s="7"/>
      <c r="H762" s="13" t="str">
        <f>IFERROR(IF(ABS($G762)&gt;0,VLOOKUP($E762,'Fuel Category and Heat Rate'!$B$1:$G$34,6,FALSE)*($G762),""),"")</f>
        <v/>
      </c>
      <c r="I762" t="str">
        <f>IFERROR(VLOOKUP($E762,'Fuel Category and Heat Rate'!$K$2:$M$36,3,FALSE),"")</f>
        <v>coal</v>
      </c>
    </row>
    <row r="763" spans="1:9" x14ac:dyDescent="0.15">
      <c r="A763" s="2">
        <v>77887</v>
      </c>
      <c r="B763" s="2" t="s">
        <v>69</v>
      </c>
      <c r="C763" s="2">
        <v>2019</v>
      </c>
      <c r="D763" s="2" t="s">
        <v>1</v>
      </c>
      <c r="E763" s="2" t="s">
        <v>6</v>
      </c>
      <c r="F763" s="2" t="s">
        <v>35</v>
      </c>
      <c r="G763" s="7">
        <v>-31.83</v>
      </c>
      <c r="H763" s="13">
        <f>IFERROR(IF(ABS($G763)&gt;0,VLOOKUP($E763,'Fuel Category and Heat Rate'!$B$1:$G$34,6,FALSE)*($G763),""),"")</f>
        <v>-4668052312112.1973</v>
      </c>
      <c r="I763" t="str">
        <f>IFERROR(VLOOKUP($E763,'Fuel Category and Heat Rate'!$K$2:$M$36,3,FALSE),"")</f>
        <v>coal</v>
      </c>
    </row>
    <row r="764" spans="1:9" x14ac:dyDescent="0.15">
      <c r="A764" s="2">
        <v>77922</v>
      </c>
      <c r="B764" s="2" t="s">
        <v>69</v>
      </c>
      <c r="C764" s="2">
        <v>2019</v>
      </c>
      <c r="D764" s="2" t="s">
        <v>1</v>
      </c>
      <c r="E764" s="2" t="s">
        <v>26</v>
      </c>
      <c r="F764" s="2" t="s">
        <v>35</v>
      </c>
      <c r="G764" s="7"/>
      <c r="H764" s="13" t="str">
        <f>IFERROR(IF(ABS($G764)&gt;0,VLOOKUP($E764,'Fuel Category and Heat Rate'!$B$1:$G$34,6,FALSE)*($G764),""),"")</f>
        <v/>
      </c>
      <c r="I764" t="str">
        <f>IFERROR(VLOOKUP($E764,'Fuel Category and Heat Rate'!$K$2:$M$36,3,FALSE),"")</f>
        <v>LPG propane or butane</v>
      </c>
    </row>
    <row r="765" spans="1:9" x14ac:dyDescent="0.15">
      <c r="A765" s="2">
        <v>77957</v>
      </c>
      <c r="B765" s="2" t="s">
        <v>69</v>
      </c>
      <c r="C765" s="2">
        <v>2019</v>
      </c>
      <c r="D765" s="2" t="s">
        <v>1</v>
      </c>
      <c r="E765" s="2" t="s">
        <v>30</v>
      </c>
      <c r="F765" s="2" t="s">
        <v>35</v>
      </c>
      <c r="G765" s="7">
        <v>-26.24</v>
      </c>
      <c r="H765" s="13">
        <f>IFERROR(IF(ABS($G765)&gt;0,VLOOKUP($E765,'Fuel Category and Heat Rate'!$B$1:$G$34,6,FALSE)*($G765),""),"")</f>
        <v>-12792006792815.756</v>
      </c>
      <c r="I765" t="str">
        <f>IFERROR(VLOOKUP($E765,'Fuel Category and Heat Rate'!$K$2:$M$36,3,FALSE),"")</f>
        <v>natural gas</v>
      </c>
    </row>
    <row r="766" spans="1:9" x14ac:dyDescent="0.15">
      <c r="A766" s="2">
        <v>77992</v>
      </c>
      <c r="B766" s="2" t="s">
        <v>69</v>
      </c>
      <c r="C766" s="2">
        <v>2019</v>
      </c>
      <c r="D766" s="2" t="s">
        <v>1</v>
      </c>
      <c r="E766" s="2" t="s">
        <v>14</v>
      </c>
      <c r="F766" s="2" t="s">
        <v>35</v>
      </c>
      <c r="G766" s="7">
        <v>-215.97</v>
      </c>
      <c r="H766" s="13">
        <f>IFERROR(IF(ABS($G766)&gt;0,VLOOKUP($E766,'Fuel Category and Heat Rate'!$B$1:$G$34,6,FALSE)*($G766),""),"")</f>
        <v>0</v>
      </c>
      <c r="I766" t="str">
        <f>IFERROR(VLOOKUP($E766,'Fuel Category and Heat Rate'!$K$2:$M$36,3,FALSE),"")</f>
        <v/>
      </c>
    </row>
    <row r="767" spans="1:9" x14ac:dyDescent="0.15">
      <c r="A767" s="2">
        <v>78027</v>
      </c>
      <c r="B767" s="2" t="s">
        <v>69</v>
      </c>
      <c r="C767" s="2">
        <v>2019</v>
      </c>
      <c r="D767" s="2" t="s">
        <v>1</v>
      </c>
      <c r="E767" s="2" t="s">
        <v>3</v>
      </c>
      <c r="F767" s="2" t="s">
        <v>35</v>
      </c>
      <c r="G767" s="7">
        <v>-968.29</v>
      </c>
      <c r="H767" s="13">
        <f>IFERROR(IF(ABS($G767)&gt;0,VLOOKUP($E767,'Fuel Category and Heat Rate'!$B$1:$G$34,6,FALSE)*($G767),""),"")</f>
        <v>-191885645864150.22</v>
      </c>
      <c r="I767" t="str">
        <f>IFERROR(VLOOKUP($E767,'Fuel Category and Heat Rate'!$K$2:$M$36,3,FALSE),"")</f>
        <v>coal</v>
      </c>
    </row>
    <row r="768" spans="1:9" x14ac:dyDescent="0.15">
      <c r="A768" s="2">
        <v>78062</v>
      </c>
      <c r="B768" s="2" t="s">
        <v>69</v>
      </c>
      <c r="C768" s="2">
        <v>2019</v>
      </c>
      <c r="D768" s="2" t="s">
        <v>1</v>
      </c>
      <c r="E768" s="2" t="s">
        <v>15</v>
      </c>
      <c r="F768" s="2" t="s">
        <v>35</v>
      </c>
      <c r="G768" s="7"/>
      <c r="H768" s="13" t="str">
        <f>IFERROR(IF(ABS($G768)&gt;0,VLOOKUP($E768,'Fuel Category and Heat Rate'!$B$1:$G$34,6,FALSE)*($G768),""),"")</f>
        <v/>
      </c>
      <c r="I768" t="str">
        <f>IFERROR(VLOOKUP($E768,'Fuel Category and Heat Rate'!$K$2:$M$36,3,FALSE),"")</f>
        <v>crude oil</v>
      </c>
    </row>
    <row r="769" spans="1:9" x14ac:dyDescent="0.15">
      <c r="A769" s="2">
        <v>78097</v>
      </c>
      <c r="B769" s="2" t="s">
        <v>69</v>
      </c>
      <c r="C769" s="2">
        <v>2019</v>
      </c>
      <c r="D769" s="2" t="s">
        <v>1</v>
      </c>
      <c r="E769" s="2" t="s">
        <v>11</v>
      </c>
      <c r="F769" s="2" t="s">
        <v>36</v>
      </c>
      <c r="G769" s="7">
        <v>-1</v>
      </c>
      <c r="H769" s="13">
        <f>IFERROR(IF(ABS($G769)&gt;0,VLOOKUP($E769,'Fuel Category and Heat Rate'!$B$1:$G$34,6,FALSE)*($G769),""),"")</f>
        <v>-753040703958.94214</v>
      </c>
      <c r="I769" t="str">
        <f>IFERROR(VLOOKUP($E769,'Fuel Category and Heat Rate'!$K$2:$M$36,3,FALSE),"")</f>
        <v>LPG propane or butane</v>
      </c>
    </row>
    <row r="770" spans="1:9" x14ac:dyDescent="0.15">
      <c r="A770" s="2">
        <v>78132</v>
      </c>
      <c r="B770" s="2" t="s">
        <v>69</v>
      </c>
      <c r="C770" s="2">
        <v>2018</v>
      </c>
      <c r="D770" s="2" t="s">
        <v>1</v>
      </c>
      <c r="E770" s="2" t="s">
        <v>18</v>
      </c>
      <c r="F770" s="2" t="s">
        <v>35</v>
      </c>
      <c r="G770" s="7">
        <v>-0.8</v>
      </c>
      <c r="H770" s="13">
        <f>IFERROR(IF(ABS($G770)&gt;0,VLOOKUP($E770,'Fuel Category and Heat Rate'!$B$1:$G$34,6,FALSE)*($G770),""),"")</f>
        <v>-323410367327.94763</v>
      </c>
      <c r="I770" t="str">
        <f>IFERROR(VLOOKUP($E770,'Fuel Category and Heat Rate'!$K$2:$M$36,3,FALSE),"")</f>
        <v>petroleum diesel</v>
      </c>
    </row>
    <row r="771" spans="1:9" x14ac:dyDescent="0.15">
      <c r="A771" s="2">
        <v>78167</v>
      </c>
      <c r="B771" s="2" t="s">
        <v>69</v>
      </c>
      <c r="C771" s="2">
        <v>2018</v>
      </c>
      <c r="D771" s="2" t="s">
        <v>1</v>
      </c>
      <c r="E771" s="2" t="s">
        <v>32</v>
      </c>
      <c r="F771" s="2" t="s">
        <v>65</v>
      </c>
      <c r="G771" s="7"/>
      <c r="H771" s="13" t="str">
        <f>IFERROR(IF(ABS($G771)&gt;0,VLOOKUP($E771,'Fuel Category and Heat Rate'!$B$1:$G$34,6,FALSE)*($G771),""),"")</f>
        <v/>
      </c>
      <c r="I771" t="str">
        <f>IFERROR(VLOOKUP($E771,'Fuel Category and Heat Rate'!$K$2:$M$36,3,FALSE),"")</f>
        <v>electricity</v>
      </c>
    </row>
    <row r="772" spans="1:9" x14ac:dyDescent="0.15">
      <c r="A772" s="2">
        <v>78202</v>
      </c>
      <c r="B772" s="2" t="s">
        <v>69</v>
      </c>
      <c r="C772" s="2">
        <v>2018</v>
      </c>
      <c r="D772" s="2" t="s">
        <v>1</v>
      </c>
      <c r="E772" s="2" t="s">
        <v>10</v>
      </c>
      <c r="F772" s="2" t="s">
        <v>36</v>
      </c>
      <c r="G772" s="7">
        <v>-20.84</v>
      </c>
      <c r="H772" s="13">
        <f>IFERROR(IF(ABS($G772)&gt;0,VLOOKUP($E772,'Fuel Category and Heat Rate'!$B$1:$G$34,6,FALSE)*($G772),""),"")</f>
        <v>-7432869075130.0039</v>
      </c>
      <c r="I772" t="str">
        <f>IFERROR(VLOOKUP($E772,'Fuel Category and Heat Rate'!$K$2:$M$36,3,FALSE),"")</f>
        <v>LPG propane or butane</v>
      </c>
    </row>
    <row r="773" spans="1:9" x14ac:dyDescent="0.15">
      <c r="A773" s="2">
        <v>78237</v>
      </c>
      <c r="B773" s="2" t="s">
        <v>69</v>
      </c>
      <c r="C773" s="2">
        <v>2018</v>
      </c>
      <c r="D773" s="2" t="s">
        <v>1</v>
      </c>
      <c r="E773" s="2" t="s">
        <v>9</v>
      </c>
      <c r="F773" s="2" t="s">
        <v>36</v>
      </c>
      <c r="G773" s="7"/>
      <c r="H773" s="13" t="str">
        <f>IFERROR(IF(ABS($G773)&gt;0,VLOOKUP($E773,'Fuel Category and Heat Rate'!$B$1:$G$34,6,FALSE)*($G773),""),"")</f>
        <v/>
      </c>
      <c r="I773" t="str">
        <f>IFERROR(VLOOKUP($E773,'Fuel Category and Heat Rate'!$K$2:$M$36,3,FALSE),"")</f>
        <v>LPG propane or butane</v>
      </c>
    </row>
    <row r="774" spans="1:9" x14ac:dyDescent="0.15">
      <c r="A774" s="2">
        <v>78272</v>
      </c>
      <c r="B774" s="2" t="s">
        <v>69</v>
      </c>
      <c r="C774" s="2">
        <v>2018</v>
      </c>
      <c r="D774" s="2" t="s">
        <v>1</v>
      </c>
      <c r="E774" s="2" t="s">
        <v>8</v>
      </c>
      <c r="F774" s="2" t="s">
        <v>35</v>
      </c>
      <c r="G774" s="7"/>
      <c r="H774" s="13" t="str">
        <f>IFERROR(IF(ABS($G774)&gt;0,VLOOKUP($E774,'Fuel Category and Heat Rate'!$B$1:$G$34,6,FALSE)*($G774),""),"")</f>
        <v/>
      </c>
      <c r="I774" t="str">
        <f>IFERROR(VLOOKUP($E774,'Fuel Category and Heat Rate'!$K$2:$M$36,3,FALSE),"")</f>
        <v>coal</v>
      </c>
    </row>
    <row r="775" spans="1:9" x14ac:dyDescent="0.15">
      <c r="A775" s="2">
        <v>78307</v>
      </c>
      <c r="B775" s="2" t="s">
        <v>69</v>
      </c>
      <c r="C775" s="2">
        <v>2018</v>
      </c>
      <c r="D775" s="2" t="s">
        <v>1</v>
      </c>
      <c r="E775" s="2" t="s">
        <v>27</v>
      </c>
      <c r="F775" s="2" t="s">
        <v>35</v>
      </c>
      <c r="G775" s="7">
        <v>-10.119999999999999</v>
      </c>
      <c r="H775" s="13">
        <f>IFERROR(IF(ABS($G775)&gt;0,VLOOKUP($E775,'Fuel Category and Heat Rate'!$B$1:$G$34,6,FALSE)*($G775),""),"")</f>
        <v>-4412086431253.8525</v>
      </c>
      <c r="I775" t="str">
        <f>IFERROR(VLOOKUP($E775,'Fuel Category and Heat Rate'!$K$2:$M$36,3,FALSE),"")</f>
        <v>LPG propane or butane</v>
      </c>
    </row>
    <row r="776" spans="1:9" x14ac:dyDescent="0.15">
      <c r="A776" s="2">
        <v>78342</v>
      </c>
      <c r="B776" s="2" t="s">
        <v>69</v>
      </c>
      <c r="C776" s="2">
        <v>2018</v>
      </c>
      <c r="D776" s="2" t="s">
        <v>1</v>
      </c>
      <c r="E776" s="2" t="s">
        <v>7</v>
      </c>
      <c r="F776" s="2" t="s">
        <v>35</v>
      </c>
      <c r="G776" s="7"/>
      <c r="H776" s="13" t="str">
        <f>IFERROR(IF(ABS($G776)&gt;0,VLOOKUP($E776,'Fuel Category and Heat Rate'!$B$1:$G$34,6,FALSE)*($G776),""),"")</f>
        <v/>
      </c>
      <c r="I776" t="str">
        <f>IFERROR(VLOOKUP($E776,'Fuel Category and Heat Rate'!$K$2:$M$36,3,FALSE),"")</f>
        <v>coal</v>
      </c>
    </row>
    <row r="777" spans="1:9" x14ac:dyDescent="0.15">
      <c r="A777" s="2">
        <v>78377</v>
      </c>
      <c r="B777" s="2" t="s">
        <v>69</v>
      </c>
      <c r="C777" s="2">
        <v>2018</v>
      </c>
      <c r="D777" s="2" t="s">
        <v>1</v>
      </c>
      <c r="E777" s="2" t="s">
        <v>2</v>
      </c>
      <c r="F777" s="2" t="s">
        <v>35</v>
      </c>
      <c r="G777" s="7">
        <v>-980.21</v>
      </c>
      <c r="H777" s="13">
        <f>IFERROR(IF(ABS($G777)&gt;0,VLOOKUP($E777,'Fuel Category and Heat Rate'!$B$1:$G$34,6,FALSE)*($G777),""),"")</f>
        <v>0</v>
      </c>
      <c r="I777" t="str">
        <f>IFERROR(VLOOKUP($E777,'Fuel Category and Heat Rate'!$K$2:$M$36,3,FALSE),"")</f>
        <v/>
      </c>
    </row>
    <row r="778" spans="1:9" x14ac:dyDescent="0.15">
      <c r="A778" s="2">
        <v>78412</v>
      </c>
      <c r="B778" s="2" t="s">
        <v>69</v>
      </c>
      <c r="C778" s="2">
        <v>2018</v>
      </c>
      <c r="D778" s="2" t="s">
        <v>1</v>
      </c>
      <c r="E778" s="2" t="s">
        <v>17</v>
      </c>
      <c r="F778" s="2" t="s">
        <v>35</v>
      </c>
      <c r="G778" s="7"/>
      <c r="H778" s="13" t="str">
        <f>IFERROR(IF(ABS($G778)&gt;0,VLOOKUP($E778,'Fuel Category and Heat Rate'!$B$1:$G$34,6,FALSE)*($G778),""),"")</f>
        <v/>
      </c>
      <c r="I778" t="str">
        <f>IFERROR(VLOOKUP($E778,'Fuel Category and Heat Rate'!$K$2:$M$36,3,FALSE),"")</f>
        <v>petroleum diesel</v>
      </c>
    </row>
    <row r="779" spans="1:9" x14ac:dyDescent="0.15">
      <c r="A779" s="2">
        <v>78447</v>
      </c>
      <c r="B779" s="2" t="s">
        <v>69</v>
      </c>
      <c r="C779" s="2">
        <v>2018</v>
      </c>
      <c r="D779" s="2" t="s">
        <v>1</v>
      </c>
      <c r="E779" s="2" t="s">
        <v>13</v>
      </c>
      <c r="F779" s="2" t="s">
        <v>35</v>
      </c>
      <c r="G779" s="7"/>
      <c r="H779" s="13" t="str">
        <f>IFERROR(IF(ABS($G779)&gt;0,VLOOKUP($E779,'Fuel Category and Heat Rate'!$B$1:$G$34,6,FALSE)*($G779),""),"")</f>
        <v/>
      </c>
      <c r="I779" t="str">
        <f>IFERROR(VLOOKUP($E779,'Fuel Category and Heat Rate'!$K$2:$M$36,3,FALSE),"")</f>
        <v>petroleum diesel</v>
      </c>
    </row>
    <row r="780" spans="1:9" x14ac:dyDescent="0.15">
      <c r="A780" s="2">
        <v>78482</v>
      </c>
      <c r="B780" s="2" t="s">
        <v>69</v>
      </c>
      <c r="C780" s="2">
        <v>2018</v>
      </c>
      <c r="D780" s="2" t="s">
        <v>1</v>
      </c>
      <c r="E780" s="2" t="s">
        <v>12</v>
      </c>
      <c r="F780" s="2" t="s">
        <v>36</v>
      </c>
      <c r="G780" s="7">
        <v>-0.02</v>
      </c>
      <c r="H780" s="13">
        <f>IFERROR(IF(ABS($G780)&gt;0,VLOOKUP($E780,'Fuel Category and Heat Rate'!$B$1:$G$34,6,FALSE)*($G780),""),"")</f>
        <v>-9908480200.3609581</v>
      </c>
      <c r="I780" t="str">
        <f>IFERROR(VLOOKUP($E780,'Fuel Category and Heat Rate'!$K$2:$M$36,3,FALSE),"")</f>
        <v>LPG propane or butane</v>
      </c>
    </row>
    <row r="781" spans="1:9" x14ac:dyDescent="0.15">
      <c r="A781" s="2">
        <v>78517</v>
      </c>
      <c r="B781" s="2" t="s">
        <v>69</v>
      </c>
      <c r="C781" s="2">
        <v>2018</v>
      </c>
      <c r="D781" s="2" t="s">
        <v>1</v>
      </c>
      <c r="E781" s="2" t="s">
        <v>33</v>
      </c>
      <c r="F781" s="2" t="s">
        <v>38</v>
      </c>
      <c r="G781" s="7">
        <v>-18.61</v>
      </c>
      <c r="H781" s="13">
        <f>IFERROR(IF(ABS($G781)&gt;0,VLOOKUP($E781,'Fuel Category and Heat Rate'!$B$1:$G$34,6,FALSE)*($G781),""),"")</f>
        <v>-5163075585050.7813</v>
      </c>
      <c r="I781" t="str">
        <f>IFERROR(VLOOKUP($E781,'Fuel Category and Heat Rate'!$K$2:$M$36,3,FALSE),"")</f>
        <v>biomass</v>
      </c>
    </row>
    <row r="782" spans="1:9" x14ac:dyDescent="0.15">
      <c r="A782" s="2">
        <v>78552</v>
      </c>
      <c r="B782" s="2" t="s">
        <v>69</v>
      </c>
      <c r="C782" s="2">
        <v>2018</v>
      </c>
      <c r="D782" s="2" t="s">
        <v>1</v>
      </c>
      <c r="E782" s="2" t="s">
        <v>28</v>
      </c>
      <c r="F782" s="2" t="s">
        <v>35</v>
      </c>
      <c r="G782" s="7">
        <v>-3.1</v>
      </c>
      <c r="H782" s="13">
        <f>IFERROR(IF(ABS($G782)&gt;0,VLOOKUP($E782,'Fuel Category and Heat Rate'!$B$1:$G$34,6,FALSE)*($G782),""),"")</f>
        <v>-1204087916293.7205</v>
      </c>
      <c r="I782" t="str">
        <f>IFERROR(VLOOKUP($E782,'Fuel Category and Heat Rate'!$K$2:$M$36,3,FALSE),"")</f>
        <v>heavy or residual fuel oil</v>
      </c>
    </row>
    <row r="783" spans="1:9" x14ac:dyDescent="0.15">
      <c r="A783" s="2">
        <v>78587</v>
      </c>
      <c r="B783" s="2" t="s">
        <v>69</v>
      </c>
      <c r="C783" s="2">
        <v>2018</v>
      </c>
      <c r="D783" s="2" t="s">
        <v>1</v>
      </c>
      <c r="E783" s="2" t="s">
        <v>5</v>
      </c>
      <c r="F783" s="2" t="s">
        <v>35</v>
      </c>
      <c r="G783" s="7"/>
      <c r="H783" s="13" t="str">
        <f>IFERROR(IF(ABS($G783)&gt;0,VLOOKUP($E783,'Fuel Category and Heat Rate'!$B$1:$G$34,6,FALSE)*($G783),""),"")</f>
        <v/>
      </c>
      <c r="I783" t="str">
        <f>IFERROR(VLOOKUP($E783,'Fuel Category and Heat Rate'!$K$2:$M$36,3,FALSE),"")</f>
        <v>coal</v>
      </c>
    </row>
    <row r="784" spans="1:9" x14ac:dyDescent="0.15">
      <c r="A784" s="2">
        <v>78622</v>
      </c>
      <c r="B784" s="2" t="s">
        <v>69</v>
      </c>
      <c r="C784" s="2">
        <v>2018</v>
      </c>
      <c r="D784" s="2" t="s">
        <v>1</v>
      </c>
      <c r="E784" s="2" t="s">
        <v>16</v>
      </c>
      <c r="F784" s="2" t="s">
        <v>35</v>
      </c>
      <c r="G784" s="7"/>
      <c r="H784" s="13" t="str">
        <f>IFERROR(IF(ABS($G784)&gt;0,VLOOKUP($E784,'Fuel Category and Heat Rate'!$B$1:$G$34,6,FALSE)*($G784),""),"")</f>
        <v/>
      </c>
      <c r="I784" t="str">
        <f>IFERROR(VLOOKUP($E784,'Fuel Category and Heat Rate'!$K$2:$M$36,3,FALSE),"")</f>
        <v>petroleum diesel</v>
      </c>
    </row>
    <row r="785" spans="1:9" x14ac:dyDescent="0.15">
      <c r="A785" s="2">
        <v>78657</v>
      </c>
      <c r="B785" s="2" t="s">
        <v>69</v>
      </c>
      <c r="C785" s="2">
        <v>2018</v>
      </c>
      <c r="D785" s="2" t="s">
        <v>1</v>
      </c>
      <c r="E785" s="2" t="s">
        <v>19</v>
      </c>
      <c r="F785" s="2" t="s">
        <v>35</v>
      </c>
      <c r="G785" s="7"/>
      <c r="H785" s="13" t="str">
        <f>IFERROR(IF(ABS($G785)&gt;0,VLOOKUP($E785,'Fuel Category and Heat Rate'!$B$1:$G$34,6,FALSE)*($G785),""),"")</f>
        <v/>
      </c>
      <c r="I785" t="str">
        <f>IFERROR(VLOOKUP($E785,'Fuel Category and Heat Rate'!$K$2:$M$36,3,FALSE),"")</f>
        <v>heavy or residual fuel oil</v>
      </c>
    </row>
    <row r="786" spans="1:9" x14ac:dyDescent="0.15">
      <c r="A786" s="2">
        <v>78692</v>
      </c>
      <c r="B786" s="2" t="s">
        <v>69</v>
      </c>
      <c r="C786" s="2">
        <v>2018</v>
      </c>
      <c r="D786" s="2" t="s">
        <v>1</v>
      </c>
      <c r="E786" s="2" t="s">
        <v>31</v>
      </c>
      <c r="F786" s="2" t="s">
        <v>37</v>
      </c>
      <c r="G786" s="7">
        <v>25487.71</v>
      </c>
      <c r="H786" s="13">
        <f>IFERROR(IF(ABS($G786)&gt;0,VLOOKUP($E786,'Fuel Category and Heat Rate'!$B$1:$G$34,6,FALSE)*($G786),""),"")</f>
        <v>241576879555712.63</v>
      </c>
      <c r="I786" t="str">
        <f>IFERROR(VLOOKUP($E786,'Fuel Category and Heat Rate'!$K$2:$M$36,3,FALSE),"")</f>
        <v>heat</v>
      </c>
    </row>
    <row r="787" spans="1:9" x14ac:dyDescent="0.15">
      <c r="A787" s="2">
        <v>78727</v>
      </c>
      <c r="B787" s="2" t="s">
        <v>69</v>
      </c>
      <c r="C787" s="2">
        <v>2018</v>
      </c>
      <c r="D787" s="2" t="s">
        <v>1</v>
      </c>
      <c r="E787" s="2" t="s">
        <v>23</v>
      </c>
      <c r="F787" s="2" t="s">
        <v>35</v>
      </c>
      <c r="G787" s="7"/>
      <c r="H787" s="13" t="str">
        <f>IFERROR(IF(ABS($G787)&gt;0,VLOOKUP($E787,'Fuel Category and Heat Rate'!$B$1:$G$34,6,FALSE)*($G787),""),"")</f>
        <v/>
      </c>
      <c r="I787" t="str">
        <f>IFERROR(VLOOKUP($E787,'Fuel Category and Heat Rate'!$K$2:$M$36,3,FALSE),"")</f>
        <v>heavy or residual fuel oil</v>
      </c>
    </row>
    <row r="788" spans="1:9" x14ac:dyDescent="0.15">
      <c r="A788" s="2">
        <v>78762</v>
      </c>
      <c r="B788" s="2" t="s">
        <v>69</v>
      </c>
      <c r="C788" s="2">
        <v>2018</v>
      </c>
      <c r="D788" s="2" t="s">
        <v>1</v>
      </c>
      <c r="E788" s="2" t="s">
        <v>21</v>
      </c>
      <c r="F788" s="2" t="s">
        <v>35</v>
      </c>
      <c r="G788" s="7"/>
      <c r="H788" s="13" t="str">
        <f>IFERROR(IF(ABS($G788)&gt;0,VLOOKUP($E788,'Fuel Category and Heat Rate'!$B$1:$G$34,6,FALSE)*($G788),""),"")</f>
        <v/>
      </c>
      <c r="I788" t="str">
        <f>IFERROR(VLOOKUP($E788,'Fuel Category and Heat Rate'!$K$2:$M$36,3,FALSE),"")</f>
        <v>LPG propane or butane</v>
      </c>
    </row>
    <row r="789" spans="1:9" x14ac:dyDescent="0.15">
      <c r="A789" s="2">
        <v>78797</v>
      </c>
      <c r="B789" s="2" t="s">
        <v>69</v>
      </c>
      <c r="C789" s="2">
        <v>2018</v>
      </c>
      <c r="D789" s="2" t="s">
        <v>1</v>
      </c>
      <c r="E789" s="2" t="s">
        <v>22</v>
      </c>
      <c r="F789" s="2" t="s">
        <v>35</v>
      </c>
      <c r="G789" s="7"/>
      <c r="H789" s="13" t="str">
        <f>IFERROR(IF(ABS($G789)&gt;0,VLOOKUP($E789,'Fuel Category and Heat Rate'!$B$1:$G$34,6,FALSE)*($G789),""),"")</f>
        <v/>
      </c>
      <c r="I789" t="str">
        <f>IFERROR(VLOOKUP($E789,'Fuel Category and Heat Rate'!$K$2:$M$36,3,FALSE),"")</f>
        <v>heavy fuel oil</v>
      </c>
    </row>
    <row r="790" spans="1:9" x14ac:dyDescent="0.15">
      <c r="A790" s="2">
        <v>78832</v>
      </c>
      <c r="B790" s="2" t="s">
        <v>69</v>
      </c>
      <c r="C790" s="2">
        <v>2018</v>
      </c>
      <c r="D790" s="2" t="s">
        <v>1</v>
      </c>
      <c r="E790" s="2" t="s">
        <v>20</v>
      </c>
      <c r="F790" s="2" t="s">
        <v>35</v>
      </c>
      <c r="G790" s="7">
        <v>-137.56</v>
      </c>
      <c r="H790" s="13">
        <f>IFERROR(IF(ABS($G790)&gt;0,VLOOKUP($E790,'Fuel Category and Heat Rate'!$B$1:$G$34,6,FALSE)*($G790),""),"")</f>
        <v>-57246703290636.234</v>
      </c>
      <c r="I790" t="str">
        <f>IFERROR(VLOOKUP($E790,'Fuel Category and Heat Rate'!$K$2:$M$36,3,FALSE),"")</f>
        <v>LPG propane or butane</v>
      </c>
    </row>
    <row r="791" spans="1:9" x14ac:dyDescent="0.15">
      <c r="A791" s="2">
        <v>78867</v>
      </c>
      <c r="B791" s="2" t="s">
        <v>69</v>
      </c>
      <c r="C791" s="2">
        <v>2018</v>
      </c>
      <c r="D791" s="2" t="s">
        <v>1</v>
      </c>
      <c r="E791" s="2" t="s">
        <v>25</v>
      </c>
      <c r="F791" s="2" t="s">
        <v>35</v>
      </c>
      <c r="G791" s="7">
        <v>-36.659999999999997</v>
      </c>
      <c r="H791" s="13">
        <f>IFERROR(IF(ABS($G791)&gt;0,VLOOKUP($E791,'Fuel Category and Heat Rate'!$B$1:$G$34,6,FALSE)*($G791),""),"")</f>
        <v>-11100616332301.27</v>
      </c>
      <c r="I791" t="str">
        <f>IFERROR(VLOOKUP($E791,'Fuel Category and Heat Rate'!$K$2:$M$36,3,FALSE),"")</f>
        <v>heavy fuel oil</v>
      </c>
    </row>
    <row r="792" spans="1:9" x14ac:dyDescent="0.15">
      <c r="A792" s="2">
        <v>78902</v>
      </c>
      <c r="B792" s="2" t="s">
        <v>69</v>
      </c>
      <c r="C792" s="2">
        <v>2018</v>
      </c>
      <c r="D792" s="2" t="s">
        <v>1</v>
      </c>
      <c r="E792" s="2" t="s">
        <v>24</v>
      </c>
      <c r="F792" s="2" t="s">
        <v>35</v>
      </c>
      <c r="G792" s="7"/>
      <c r="H792" s="13" t="str">
        <f>IFERROR(IF(ABS($G792)&gt;0,VLOOKUP($E792,'Fuel Category and Heat Rate'!$B$1:$G$34,6,FALSE)*($G792),""),"")</f>
        <v/>
      </c>
      <c r="I792" t="str">
        <f>IFERROR(VLOOKUP($E792,'Fuel Category and Heat Rate'!$K$2:$M$36,3,FALSE),"")</f>
        <v>heavy fuel oil</v>
      </c>
    </row>
    <row r="793" spans="1:9" x14ac:dyDescent="0.15">
      <c r="A793" s="2">
        <v>78937</v>
      </c>
      <c r="B793" s="2" t="s">
        <v>69</v>
      </c>
      <c r="C793" s="2">
        <v>2018</v>
      </c>
      <c r="D793" s="2" t="s">
        <v>1</v>
      </c>
      <c r="E793" s="2" t="s">
        <v>29</v>
      </c>
      <c r="F793" s="2" t="s">
        <v>36</v>
      </c>
      <c r="G793" s="7">
        <v>-4.2</v>
      </c>
      <c r="H793" s="13">
        <f>IFERROR(IF(ABS($G793)&gt;0,VLOOKUP($E793,'Fuel Category and Heat Rate'!$B$1:$G$34,6,FALSE)*($G793),""),"")</f>
        <v>-14165591328648.621</v>
      </c>
      <c r="I793" t="str">
        <f>IFERROR(VLOOKUP($E793,'Fuel Category and Heat Rate'!$K$2:$M$36,3,FALSE),"")</f>
        <v>natural gas</v>
      </c>
    </row>
    <row r="794" spans="1:9" x14ac:dyDescent="0.15">
      <c r="A794" s="2">
        <v>78972</v>
      </c>
      <c r="B794" s="2" t="s">
        <v>69</v>
      </c>
      <c r="C794" s="2">
        <v>2018</v>
      </c>
      <c r="D794" s="2" t="s">
        <v>1</v>
      </c>
      <c r="E794" s="2" t="s">
        <v>4</v>
      </c>
      <c r="F794" s="2" t="s">
        <v>35</v>
      </c>
      <c r="G794" s="7"/>
      <c r="H794" s="13" t="str">
        <f>IFERROR(IF(ABS($G794)&gt;0,VLOOKUP($E794,'Fuel Category and Heat Rate'!$B$1:$G$34,6,FALSE)*($G794),""),"")</f>
        <v/>
      </c>
      <c r="I794" t="str">
        <f>IFERROR(VLOOKUP($E794,'Fuel Category and Heat Rate'!$K$2:$M$36,3,FALSE),"")</f>
        <v>coal</v>
      </c>
    </row>
    <row r="795" spans="1:9" x14ac:dyDescent="0.15">
      <c r="A795" s="2">
        <v>79007</v>
      </c>
      <c r="B795" s="2" t="s">
        <v>69</v>
      </c>
      <c r="C795" s="2">
        <v>2018</v>
      </c>
      <c r="D795" s="2" t="s">
        <v>1</v>
      </c>
      <c r="E795" s="2" t="s">
        <v>6</v>
      </c>
      <c r="F795" s="2" t="s">
        <v>35</v>
      </c>
      <c r="G795" s="7">
        <v>-32.9</v>
      </c>
      <c r="H795" s="13">
        <f>IFERROR(IF(ABS($G795)&gt;0,VLOOKUP($E795,'Fuel Category and Heat Rate'!$B$1:$G$34,6,FALSE)*($G795),""),"")</f>
        <v>-4824973957539.7832</v>
      </c>
      <c r="I795" t="str">
        <f>IFERROR(VLOOKUP($E795,'Fuel Category and Heat Rate'!$K$2:$M$36,3,FALSE),"")</f>
        <v>coal</v>
      </c>
    </row>
    <row r="796" spans="1:9" x14ac:dyDescent="0.15">
      <c r="A796" s="2">
        <v>79042</v>
      </c>
      <c r="B796" s="2" t="s">
        <v>69</v>
      </c>
      <c r="C796" s="2">
        <v>2018</v>
      </c>
      <c r="D796" s="2" t="s">
        <v>1</v>
      </c>
      <c r="E796" s="2" t="s">
        <v>26</v>
      </c>
      <c r="F796" s="2" t="s">
        <v>35</v>
      </c>
      <c r="G796" s="7"/>
      <c r="H796" s="13" t="str">
        <f>IFERROR(IF(ABS($G796)&gt;0,VLOOKUP($E796,'Fuel Category and Heat Rate'!$B$1:$G$34,6,FALSE)*($G796),""),"")</f>
        <v/>
      </c>
      <c r="I796" t="str">
        <f>IFERROR(VLOOKUP($E796,'Fuel Category and Heat Rate'!$K$2:$M$36,3,FALSE),"")</f>
        <v>LPG propane or butane</v>
      </c>
    </row>
    <row r="797" spans="1:9" x14ac:dyDescent="0.15">
      <c r="A797" s="2">
        <v>79077</v>
      </c>
      <c r="B797" s="2" t="s">
        <v>69</v>
      </c>
      <c r="C797" s="2">
        <v>2018</v>
      </c>
      <c r="D797" s="2" t="s">
        <v>1</v>
      </c>
      <c r="E797" s="2" t="s">
        <v>30</v>
      </c>
      <c r="F797" s="2" t="s">
        <v>35</v>
      </c>
      <c r="G797" s="7">
        <v>-17.63</v>
      </c>
      <c r="H797" s="13">
        <f>IFERROR(IF(ABS($G797)&gt;0,VLOOKUP($E797,'Fuel Category and Heat Rate'!$B$1:$G$34,6,FALSE)*($G797),""),"")</f>
        <v>-8594629563923.0859</v>
      </c>
      <c r="I797" t="str">
        <f>IFERROR(VLOOKUP($E797,'Fuel Category and Heat Rate'!$K$2:$M$36,3,FALSE),"")</f>
        <v>natural gas</v>
      </c>
    </row>
    <row r="798" spans="1:9" x14ac:dyDescent="0.15">
      <c r="A798" s="2">
        <v>79112</v>
      </c>
      <c r="B798" s="2" t="s">
        <v>69</v>
      </c>
      <c r="C798" s="2">
        <v>2018</v>
      </c>
      <c r="D798" s="2" t="s">
        <v>1</v>
      </c>
      <c r="E798" s="2" t="s">
        <v>14</v>
      </c>
      <c r="F798" s="2" t="s">
        <v>35</v>
      </c>
      <c r="G798" s="7">
        <v>-188.24</v>
      </c>
      <c r="H798" s="13">
        <f>IFERROR(IF(ABS($G798)&gt;0,VLOOKUP($E798,'Fuel Category and Heat Rate'!$B$1:$G$34,6,FALSE)*($G798),""),"")</f>
        <v>0</v>
      </c>
      <c r="I798" t="str">
        <f>IFERROR(VLOOKUP($E798,'Fuel Category and Heat Rate'!$K$2:$M$36,3,FALSE),"")</f>
        <v/>
      </c>
    </row>
    <row r="799" spans="1:9" x14ac:dyDescent="0.15">
      <c r="A799" s="2">
        <v>79147</v>
      </c>
      <c r="B799" s="2" t="s">
        <v>69</v>
      </c>
      <c r="C799" s="2">
        <v>2018</v>
      </c>
      <c r="D799" s="2" t="s">
        <v>1</v>
      </c>
      <c r="E799" s="2" t="s">
        <v>3</v>
      </c>
      <c r="F799" s="2" t="s">
        <v>35</v>
      </c>
      <c r="G799" s="7">
        <v>-947.31</v>
      </c>
      <c r="H799" s="13">
        <f>IFERROR(IF(ABS($G799)&gt;0,VLOOKUP($E799,'Fuel Category and Heat Rate'!$B$1:$G$34,6,FALSE)*($G799),""),"")</f>
        <v>-187728047572078.75</v>
      </c>
      <c r="I799" t="str">
        <f>IFERROR(VLOOKUP($E799,'Fuel Category and Heat Rate'!$K$2:$M$36,3,FALSE),"")</f>
        <v>coal</v>
      </c>
    </row>
    <row r="800" spans="1:9" x14ac:dyDescent="0.15">
      <c r="A800" s="2">
        <v>79182</v>
      </c>
      <c r="B800" s="2" t="s">
        <v>69</v>
      </c>
      <c r="C800" s="2">
        <v>2018</v>
      </c>
      <c r="D800" s="2" t="s">
        <v>1</v>
      </c>
      <c r="E800" s="2" t="s">
        <v>15</v>
      </c>
      <c r="F800" s="2" t="s">
        <v>35</v>
      </c>
      <c r="G800" s="7"/>
      <c r="H800" s="13" t="str">
        <f>IFERROR(IF(ABS($G800)&gt;0,VLOOKUP($E800,'Fuel Category and Heat Rate'!$B$1:$G$34,6,FALSE)*($G800),""),"")</f>
        <v/>
      </c>
      <c r="I800" t="str">
        <f>IFERROR(VLOOKUP($E800,'Fuel Category and Heat Rate'!$K$2:$M$36,3,FALSE),"")</f>
        <v>crude oil</v>
      </c>
    </row>
    <row r="801" spans="1:9" x14ac:dyDescent="0.15">
      <c r="A801" s="2">
        <v>79217</v>
      </c>
      <c r="B801" s="2" t="s">
        <v>69</v>
      </c>
      <c r="C801" s="2">
        <v>2018</v>
      </c>
      <c r="D801" s="2" t="s">
        <v>1</v>
      </c>
      <c r="E801" s="2" t="s">
        <v>11</v>
      </c>
      <c r="F801" s="2" t="s">
        <v>36</v>
      </c>
      <c r="G801" s="7">
        <v>-0.96</v>
      </c>
      <c r="H801" s="13">
        <f>IFERROR(IF(ABS($G801)&gt;0,VLOOKUP($E801,'Fuel Category and Heat Rate'!$B$1:$G$34,6,FALSE)*($G801),""),"")</f>
        <v>-722919075800.58447</v>
      </c>
      <c r="I801" t="str">
        <f>IFERROR(VLOOKUP($E801,'Fuel Category and Heat Rate'!$K$2:$M$36,3,FALSE),"")</f>
        <v>LPG propane or butane</v>
      </c>
    </row>
    <row r="802" spans="1:9" x14ac:dyDescent="0.15">
      <c r="A802" s="2">
        <v>92062</v>
      </c>
      <c r="B802" s="2" t="s">
        <v>70</v>
      </c>
      <c r="C802" s="2">
        <v>2022</v>
      </c>
      <c r="D802" s="2" t="s">
        <v>1</v>
      </c>
      <c r="E802" s="2" t="s">
        <v>18</v>
      </c>
      <c r="F802" s="2" t="s">
        <v>35</v>
      </c>
      <c r="G802" s="7"/>
      <c r="H802" s="13" t="str">
        <f>IFERROR(IF(ABS($G802)&gt;0,VLOOKUP($E802,'Fuel Category and Heat Rate'!$B$1:$G$34,6,FALSE)*($G802),""),"")</f>
        <v/>
      </c>
      <c r="I802" t="str">
        <f>IFERROR(VLOOKUP($E802,'Fuel Category and Heat Rate'!$K$2:$M$36,3,FALSE),"")</f>
        <v>petroleum diesel</v>
      </c>
    </row>
    <row r="803" spans="1:9" x14ac:dyDescent="0.15">
      <c r="A803" s="2">
        <v>92097</v>
      </c>
      <c r="B803" s="2" t="s">
        <v>70</v>
      </c>
      <c r="C803" s="2">
        <v>2022</v>
      </c>
      <c r="D803" s="2" t="s">
        <v>1</v>
      </c>
      <c r="E803" s="2" t="s">
        <v>32</v>
      </c>
      <c r="F803" s="2" t="s">
        <v>65</v>
      </c>
      <c r="G803" s="7"/>
      <c r="H803" s="13" t="str">
        <f>IFERROR(IF(ABS($G803)&gt;0,VLOOKUP($E803,'Fuel Category and Heat Rate'!$B$1:$G$34,6,FALSE)*($G803),""),"")</f>
        <v/>
      </c>
      <c r="I803" t="str">
        <f>IFERROR(VLOOKUP($E803,'Fuel Category and Heat Rate'!$K$2:$M$36,3,FALSE),"")</f>
        <v>electricity</v>
      </c>
    </row>
    <row r="804" spans="1:9" x14ac:dyDescent="0.15">
      <c r="A804" s="2">
        <v>92132</v>
      </c>
      <c r="B804" s="2" t="s">
        <v>70</v>
      </c>
      <c r="C804" s="2">
        <v>2022</v>
      </c>
      <c r="D804" s="2" t="s">
        <v>1</v>
      </c>
      <c r="E804" s="2" t="s">
        <v>10</v>
      </c>
      <c r="F804" s="2" t="s">
        <v>36</v>
      </c>
      <c r="G804" s="7">
        <v>-0.32</v>
      </c>
      <c r="H804" s="13">
        <f>IFERROR(IF(ABS($G804)&gt;0,VLOOKUP($E804,'Fuel Category and Heat Rate'!$B$1:$G$34,6,FALSE)*($G804),""),"")</f>
        <v>-114132346643.07108</v>
      </c>
      <c r="I804" t="str">
        <f>IFERROR(VLOOKUP($E804,'Fuel Category and Heat Rate'!$K$2:$M$36,3,FALSE),"")</f>
        <v>LPG propane or butane</v>
      </c>
    </row>
    <row r="805" spans="1:9" x14ac:dyDescent="0.15">
      <c r="A805" s="2">
        <v>92167</v>
      </c>
      <c r="B805" s="2" t="s">
        <v>70</v>
      </c>
      <c r="C805" s="2">
        <v>2022</v>
      </c>
      <c r="D805" s="2" t="s">
        <v>1</v>
      </c>
      <c r="E805" s="2" t="s">
        <v>9</v>
      </c>
      <c r="F805" s="2" t="s">
        <v>36</v>
      </c>
      <c r="G805" s="7"/>
      <c r="H805" s="13" t="str">
        <f>IFERROR(IF(ABS($G805)&gt;0,VLOOKUP($E805,'Fuel Category and Heat Rate'!$B$1:$G$34,6,FALSE)*($G805),""),"")</f>
        <v/>
      </c>
      <c r="I805" t="str">
        <f>IFERROR(VLOOKUP($E805,'Fuel Category and Heat Rate'!$K$2:$M$36,3,FALSE),"")</f>
        <v>LPG propane or butane</v>
      </c>
    </row>
    <row r="806" spans="1:9" x14ac:dyDescent="0.15">
      <c r="A806" s="2">
        <v>92202</v>
      </c>
      <c r="B806" s="2" t="s">
        <v>70</v>
      </c>
      <c r="C806" s="2">
        <v>2022</v>
      </c>
      <c r="D806" s="2" t="s">
        <v>1</v>
      </c>
      <c r="E806" s="2" t="s">
        <v>8</v>
      </c>
      <c r="F806" s="2" t="s">
        <v>35</v>
      </c>
      <c r="G806" s="7"/>
      <c r="H806" s="13" t="str">
        <f>IFERROR(IF(ABS($G806)&gt;0,VLOOKUP($E806,'Fuel Category and Heat Rate'!$B$1:$G$34,6,FALSE)*($G806),""),"")</f>
        <v/>
      </c>
      <c r="I806" t="str">
        <f>IFERROR(VLOOKUP($E806,'Fuel Category and Heat Rate'!$K$2:$M$36,3,FALSE),"")</f>
        <v>coal</v>
      </c>
    </row>
    <row r="807" spans="1:9" x14ac:dyDescent="0.15">
      <c r="A807" s="2">
        <v>92237</v>
      </c>
      <c r="B807" s="2" t="s">
        <v>70</v>
      </c>
      <c r="C807" s="2">
        <v>2022</v>
      </c>
      <c r="D807" s="2" t="s">
        <v>1</v>
      </c>
      <c r="E807" s="2" t="s">
        <v>27</v>
      </c>
      <c r="F807" s="2" t="s">
        <v>35</v>
      </c>
      <c r="G807" s="7">
        <v>-4.6100000000000003</v>
      </c>
      <c r="H807" s="13">
        <f>IFERROR(IF(ABS($G807)&gt;0,VLOOKUP($E807,'Fuel Category and Heat Rate'!$B$1:$G$34,6,FALSE)*($G807),""),"")</f>
        <v>-2009853601588.9587</v>
      </c>
      <c r="I807" t="str">
        <f>IFERROR(VLOOKUP($E807,'Fuel Category and Heat Rate'!$K$2:$M$36,3,FALSE),"")</f>
        <v>LPG propane or butane</v>
      </c>
    </row>
    <row r="808" spans="1:9" x14ac:dyDescent="0.15">
      <c r="A808" s="2">
        <v>92272</v>
      </c>
      <c r="B808" s="2" t="s">
        <v>70</v>
      </c>
      <c r="C808" s="2">
        <v>2022</v>
      </c>
      <c r="D808" s="2" t="s">
        <v>1</v>
      </c>
      <c r="E808" s="2" t="s">
        <v>7</v>
      </c>
      <c r="F808" s="2" t="s">
        <v>35</v>
      </c>
      <c r="G808" s="7"/>
      <c r="H808" s="13" t="str">
        <f>IFERROR(IF(ABS($G808)&gt;0,VLOOKUP($E808,'Fuel Category and Heat Rate'!$B$1:$G$34,6,FALSE)*($G808),""),"")</f>
        <v/>
      </c>
      <c r="I808" t="str">
        <f>IFERROR(VLOOKUP($E808,'Fuel Category and Heat Rate'!$K$2:$M$36,3,FALSE),"")</f>
        <v>coal</v>
      </c>
    </row>
    <row r="809" spans="1:9" x14ac:dyDescent="0.15">
      <c r="A809" s="2">
        <v>92307</v>
      </c>
      <c r="B809" s="2" t="s">
        <v>70</v>
      </c>
      <c r="C809" s="2">
        <v>2022</v>
      </c>
      <c r="D809" s="2" t="s">
        <v>1</v>
      </c>
      <c r="E809" s="2" t="s">
        <v>2</v>
      </c>
      <c r="F809" s="2" t="s">
        <v>35</v>
      </c>
      <c r="G809" s="7">
        <v>-800.8</v>
      </c>
      <c r="H809" s="13">
        <f>IFERROR(IF(ABS($G809)&gt;0,VLOOKUP($E809,'Fuel Category and Heat Rate'!$B$1:$G$34,6,FALSE)*($G809),""),"")</f>
        <v>0</v>
      </c>
      <c r="I809" t="str">
        <f>IFERROR(VLOOKUP($E809,'Fuel Category and Heat Rate'!$K$2:$M$36,3,FALSE),"")</f>
        <v/>
      </c>
    </row>
    <row r="810" spans="1:9" x14ac:dyDescent="0.15">
      <c r="A810" s="2">
        <v>92342</v>
      </c>
      <c r="B810" s="2" t="s">
        <v>70</v>
      </c>
      <c r="C810" s="2">
        <v>2022</v>
      </c>
      <c r="D810" s="2" t="s">
        <v>1</v>
      </c>
      <c r="E810" s="2" t="s">
        <v>17</v>
      </c>
      <c r="F810" s="2" t="s">
        <v>35</v>
      </c>
      <c r="G810" s="7"/>
      <c r="H810" s="13" t="str">
        <f>IFERROR(IF(ABS($G810)&gt;0,VLOOKUP($E810,'Fuel Category and Heat Rate'!$B$1:$G$34,6,FALSE)*($G810),""),"")</f>
        <v/>
      </c>
      <c r="I810" t="str">
        <f>IFERROR(VLOOKUP($E810,'Fuel Category and Heat Rate'!$K$2:$M$36,3,FALSE),"")</f>
        <v>petroleum diesel</v>
      </c>
    </row>
    <row r="811" spans="1:9" x14ac:dyDescent="0.15">
      <c r="A811" s="2">
        <v>92377</v>
      </c>
      <c r="B811" s="2" t="s">
        <v>70</v>
      </c>
      <c r="C811" s="2">
        <v>2022</v>
      </c>
      <c r="D811" s="2" t="s">
        <v>1</v>
      </c>
      <c r="E811" s="2" t="s">
        <v>13</v>
      </c>
      <c r="F811" s="2" t="s">
        <v>35</v>
      </c>
      <c r="G811" s="7"/>
      <c r="H811" s="13" t="str">
        <f>IFERROR(IF(ABS($G811)&gt;0,VLOOKUP($E811,'Fuel Category and Heat Rate'!$B$1:$G$34,6,FALSE)*($G811),""),"")</f>
        <v/>
      </c>
      <c r="I811" t="str">
        <f>IFERROR(VLOOKUP($E811,'Fuel Category and Heat Rate'!$K$2:$M$36,3,FALSE),"")</f>
        <v>petroleum diesel</v>
      </c>
    </row>
    <row r="812" spans="1:9" x14ac:dyDescent="0.15">
      <c r="A812" s="2">
        <v>92412</v>
      </c>
      <c r="B812" s="2" t="s">
        <v>70</v>
      </c>
      <c r="C812" s="2">
        <v>2022</v>
      </c>
      <c r="D812" s="2" t="s">
        <v>1</v>
      </c>
      <c r="E812" s="2" t="s">
        <v>12</v>
      </c>
      <c r="F812" s="2" t="s">
        <v>36</v>
      </c>
      <c r="G812" s="7">
        <v>-0.03</v>
      </c>
      <c r="H812" s="13">
        <f>IFERROR(IF(ABS($G812)&gt;0,VLOOKUP($E812,'Fuel Category and Heat Rate'!$B$1:$G$34,6,FALSE)*($G812),""),"")</f>
        <v>-14862720300.541437</v>
      </c>
      <c r="I812" t="str">
        <f>IFERROR(VLOOKUP($E812,'Fuel Category and Heat Rate'!$K$2:$M$36,3,FALSE),"")</f>
        <v>LPG propane or butane</v>
      </c>
    </row>
    <row r="813" spans="1:9" x14ac:dyDescent="0.15">
      <c r="A813" s="2">
        <v>92447</v>
      </c>
      <c r="B813" s="2" t="s">
        <v>70</v>
      </c>
      <c r="C813" s="2">
        <v>2022</v>
      </c>
      <c r="D813" s="2" t="s">
        <v>1</v>
      </c>
      <c r="E813" s="2" t="s">
        <v>33</v>
      </c>
      <c r="F813" s="2" t="s">
        <v>38</v>
      </c>
      <c r="G813" s="7">
        <v>-55.46</v>
      </c>
      <c r="H813" s="13">
        <f>IFERROR(IF(ABS($G813)&gt;0,VLOOKUP($E813,'Fuel Category and Heat Rate'!$B$1:$G$34,6,FALSE)*($G813),""),"")</f>
        <v>-15386575601661.275</v>
      </c>
      <c r="I813" t="str">
        <f>IFERROR(VLOOKUP($E813,'Fuel Category and Heat Rate'!$K$2:$M$36,3,FALSE),"")</f>
        <v>biomass</v>
      </c>
    </row>
    <row r="814" spans="1:9" x14ac:dyDescent="0.15">
      <c r="A814" s="2">
        <v>92482</v>
      </c>
      <c r="B814" s="2" t="s">
        <v>70</v>
      </c>
      <c r="C814" s="2">
        <v>2022</v>
      </c>
      <c r="D814" s="2" t="s">
        <v>1</v>
      </c>
      <c r="E814" s="2" t="s">
        <v>28</v>
      </c>
      <c r="F814" s="2" t="s">
        <v>35</v>
      </c>
      <c r="G814" s="7"/>
      <c r="H814" s="13" t="str">
        <f>IFERROR(IF(ABS($G814)&gt;0,VLOOKUP($E814,'Fuel Category and Heat Rate'!$B$1:$G$34,6,FALSE)*($G814),""),"")</f>
        <v/>
      </c>
      <c r="I814" t="str">
        <f>IFERROR(VLOOKUP($E814,'Fuel Category and Heat Rate'!$K$2:$M$36,3,FALSE),"")</f>
        <v>heavy or residual fuel oil</v>
      </c>
    </row>
    <row r="815" spans="1:9" x14ac:dyDescent="0.15">
      <c r="A815" s="2">
        <v>92517</v>
      </c>
      <c r="B815" s="2" t="s">
        <v>70</v>
      </c>
      <c r="C815" s="2">
        <v>2022</v>
      </c>
      <c r="D815" s="2" t="s">
        <v>1</v>
      </c>
      <c r="E815" s="2" t="s">
        <v>5</v>
      </c>
      <c r="F815" s="2" t="s">
        <v>35</v>
      </c>
      <c r="G815" s="7"/>
      <c r="H815" s="13" t="str">
        <f>IFERROR(IF(ABS($G815)&gt;0,VLOOKUP($E815,'Fuel Category and Heat Rate'!$B$1:$G$34,6,FALSE)*($G815),""),"")</f>
        <v/>
      </c>
      <c r="I815" t="str">
        <f>IFERROR(VLOOKUP($E815,'Fuel Category and Heat Rate'!$K$2:$M$36,3,FALSE),"")</f>
        <v>coal</v>
      </c>
    </row>
    <row r="816" spans="1:9" x14ac:dyDescent="0.15">
      <c r="A816" s="2">
        <v>92552</v>
      </c>
      <c r="B816" s="2" t="s">
        <v>70</v>
      </c>
      <c r="C816" s="2">
        <v>2022</v>
      </c>
      <c r="D816" s="2" t="s">
        <v>1</v>
      </c>
      <c r="E816" s="2" t="s">
        <v>16</v>
      </c>
      <c r="F816" s="2" t="s">
        <v>35</v>
      </c>
      <c r="G816" s="7"/>
      <c r="H816" s="13" t="str">
        <f>IFERROR(IF(ABS($G816)&gt;0,VLOOKUP($E816,'Fuel Category and Heat Rate'!$B$1:$G$34,6,FALSE)*($G816),""),"")</f>
        <v/>
      </c>
      <c r="I816" t="str">
        <f>IFERROR(VLOOKUP($E816,'Fuel Category and Heat Rate'!$K$2:$M$36,3,FALSE),"")</f>
        <v>petroleum diesel</v>
      </c>
    </row>
    <row r="817" spans="1:9" x14ac:dyDescent="0.15">
      <c r="A817" s="2">
        <v>92587</v>
      </c>
      <c r="B817" s="2" t="s">
        <v>70</v>
      </c>
      <c r="C817" s="2">
        <v>2022</v>
      </c>
      <c r="D817" s="2" t="s">
        <v>1</v>
      </c>
      <c r="E817" s="2" t="s">
        <v>19</v>
      </c>
      <c r="F817" s="2" t="s">
        <v>35</v>
      </c>
      <c r="G817" s="7">
        <v>-0.9</v>
      </c>
      <c r="H817" s="13">
        <f>IFERROR(IF(ABS($G817)&gt;0,VLOOKUP($E817,'Fuel Category and Heat Rate'!$B$1:$G$34,6,FALSE)*($G817),""),"")</f>
        <v>-356705287212.99445</v>
      </c>
      <c r="I817" t="str">
        <f>IFERROR(VLOOKUP($E817,'Fuel Category and Heat Rate'!$K$2:$M$36,3,FALSE),"")</f>
        <v>heavy or residual fuel oil</v>
      </c>
    </row>
    <row r="818" spans="1:9" x14ac:dyDescent="0.15">
      <c r="A818" s="2">
        <v>92622</v>
      </c>
      <c r="B818" s="2" t="s">
        <v>70</v>
      </c>
      <c r="C818" s="2">
        <v>2022</v>
      </c>
      <c r="D818" s="2" t="s">
        <v>1</v>
      </c>
      <c r="E818" s="2" t="s">
        <v>31</v>
      </c>
      <c r="F818" s="2" t="s">
        <v>37</v>
      </c>
      <c r="G818" s="7">
        <v>14195.99</v>
      </c>
      <c r="H818" s="13">
        <f>IFERROR(IF(ABS($G818)&gt;0,VLOOKUP($E818,'Fuel Category and Heat Rate'!$B$1:$G$34,6,FALSE)*($G818),""),"")</f>
        <v>134552023952096.95</v>
      </c>
      <c r="I818" t="str">
        <f>IFERROR(VLOOKUP($E818,'Fuel Category and Heat Rate'!$K$2:$M$36,3,FALSE),"")</f>
        <v>heat</v>
      </c>
    </row>
    <row r="819" spans="1:9" x14ac:dyDescent="0.15">
      <c r="A819" s="2">
        <v>92657</v>
      </c>
      <c r="B819" s="2" t="s">
        <v>70</v>
      </c>
      <c r="C819" s="2">
        <v>2022</v>
      </c>
      <c r="D819" s="2" t="s">
        <v>1</v>
      </c>
      <c r="E819" s="2" t="s">
        <v>23</v>
      </c>
      <c r="F819" s="2" t="s">
        <v>35</v>
      </c>
      <c r="G819" s="7"/>
      <c r="H819" s="13" t="str">
        <f>IFERROR(IF(ABS($G819)&gt;0,VLOOKUP($E819,'Fuel Category and Heat Rate'!$B$1:$G$34,6,FALSE)*($G819),""),"")</f>
        <v/>
      </c>
      <c r="I819" t="str">
        <f>IFERROR(VLOOKUP($E819,'Fuel Category and Heat Rate'!$K$2:$M$36,3,FALSE),"")</f>
        <v>heavy or residual fuel oil</v>
      </c>
    </row>
    <row r="820" spans="1:9" x14ac:dyDescent="0.15">
      <c r="A820" s="2">
        <v>92692</v>
      </c>
      <c r="B820" s="2" t="s">
        <v>70</v>
      </c>
      <c r="C820" s="2">
        <v>2022</v>
      </c>
      <c r="D820" s="2" t="s">
        <v>1</v>
      </c>
      <c r="E820" s="2" t="s">
        <v>21</v>
      </c>
      <c r="F820" s="2" t="s">
        <v>35</v>
      </c>
      <c r="G820" s="7"/>
      <c r="H820" s="13" t="str">
        <f>IFERROR(IF(ABS($G820)&gt;0,VLOOKUP($E820,'Fuel Category and Heat Rate'!$B$1:$G$34,6,FALSE)*($G820),""),"")</f>
        <v/>
      </c>
      <c r="I820" t="str">
        <f>IFERROR(VLOOKUP($E820,'Fuel Category and Heat Rate'!$K$2:$M$36,3,FALSE),"")</f>
        <v>LPG propane or butane</v>
      </c>
    </row>
    <row r="821" spans="1:9" x14ac:dyDescent="0.15">
      <c r="A821" s="2">
        <v>92727</v>
      </c>
      <c r="B821" s="2" t="s">
        <v>70</v>
      </c>
      <c r="C821" s="2">
        <v>2022</v>
      </c>
      <c r="D821" s="2" t="s">
        <v>1</v>
      </c>
      <c r="E821" s="2" t="s">
        <v>22</v>
      </c>
      <c r="F821" s="2" t="s">
        <v>35</v>
      </c>
      <c r="G821" s="7"/>
      <c r="H821" s="13" t="str">
        <f>IFERROR(IF(ABS($G821)&gt;0,VLOOKUP($E821,'Fuel Category and Heat Rate'!$B$1:$G$34,6,FALSE)*($G821),""),"")</f>
        <v/>
      </c>
      <c r="I821" t="str">
        <f>IFERROR(VLOOKUP($E821,'Fuel Category and Heat Rate'!$K$2:$M$36,3,FALSE),"")</f>
        <v>heavy fuel oil</v>
      </c>
    </row>
    <row r="822" spans="1:9" x14ac:dyDescent="0.15">
      <c r="A822" s="2">
        <v>92762</v>
      </c>
      <c r="B822" s="2" t="s">
        <v>70</v>
      </c>
      <c r="C822" s="2">
        <v>2022</v>
      </c>
      <c r="D822" s="2" t="s">
        <v>1</v>
      </c>
      <c r="E822" s="2" t="s">
        <v>20</v>
      </c>
      <c r="F822" s="2" t="s">
        <v>35</v>
      </c>
      <c r="G822" s="7"/>
      <c r="H822" s="13" t="str">
        <f>IFERROR(IF(ABS($G822)&gt;0,VLOOKUP($E822,'Fuel Category and Heat Rate'!$B$1:$G$34,6,FALSE)*($G822),""),"")</f>
        <v/>
      </c>
      <c r="I822" t="str">
        <f>IFERROR(VLOOKUP($E822,'Fuel Category and Heat Rate'!$K$2:$M$36,3,FALSE),"")</f>
        <v>LPG propane or butane</v>
      </c>
    </row>
    <row r="823" spans="1:9" x14ac:dyDescent="0.15">
      <c r="A823" s="2">
        <v>92797</v>
      </c>
      <c r="B823" s="2" t="s">
        <v>70</v>
      </c>
      <c r="C823" s="2">
        <v>2022</v>
      </c>
      <c r="D823" s="2" t="s">
        <v>1</v>
      </c>
      <c r="E823" s="2" t="s">
        <v>25</v>
      </c>
      <c r="F823" s="2" t="s">
        <v>35</v>
      </c>
      <c r="G823" s="7"/>
      <c r="H823" s="13" t="str">
        <f>IFERROR(IF(ABS($G823)&gt;0,VLOOKUP($E823,'Fuel Category and Heat Rate'!$B$1:$G$34,6,FALSE)*($G823),""),"")</f>
        <v/>
      </c>
      <c r="I823" t="str">
        <f>IFERROR(VLOOKUP($E823,'Fuel Category and Heat Rate'!$K$2:$M$36,3,FALSE),"")</f>
        <v>heavy fuel oil</v>
      </c>
    </row>
    <row r="824" spans="1:9" x14ac:dyDescent="0.15">
      <c r="A824" s="2">
        <v>92832</v>
      </c>
      <c r="B824" s="2" t="s">
        <v>70</v>
      </c>
      <c r="C824" s="2">
        <v>2022</v>
      </c>
      <c r="D824" s="2" t="s">
        <v>1</v>
      </c>
      <c r="E824" s="2" t="s">
        <v>24</v>
      </c>
      <c r="F824" s="2" t="s">
        <v>35</v>
      </c>
      <c r="G824" s="7"/>
      <c r="H824" s="13" t="str">
        <f>IFERROR(IF(ABS($G824)&gt;0,VLOOKUP($E824,'Fuel Category and Heat Rate'!$B$1:$G$34,6,FALSE)*($G824),""),"")</f>
        <v/>
      </c>
      <c r="I824" t="str">
        <f>IFERROR(VLOOKUP($E824,'Fuel Category and Heat Rate'!$K$2:$M$36,3,FALSE),"")</f>
        <v>heavy fuel oil</v>
      </c>
    </row>
    <row r="825" spans="1:9" x14ac:dyDescent="0.15">
      <c r="A825" s="2">
        <v>92867</v>
      </c>
      <c r="B825" s="2" t="s">
        <v>70</v>
      </c>
      <c r="C825" s="2">
        <v>2022</v>
      </c>
      <c r="D825" s="2" t="s">
        <v>1</v>
      </c>
      <c r="E825" s="2" t="s">
        <v>29</v>
      </c>
      <c r="F825" s="2" t="s">
        <v>36</v>
      </c>
      <c r="G825" s="7">
        <v>-1.4</v>
      </c>
      <c r="H825" s="13">
        <f>IFERROR(IF(ABS($G825)&gt;0,VLOOKUP($E825,'Fuel Category and Heat Rate'!$B$1:$G$34,6,FALSE)*($G825),""),"")</f>
        <v>-4721863776216.207</v>
      </c>
      <c r="I825" t="str">
        <f>IFERROR(VLOOKUP($E825,'Fuel Category and Heat Rate'!$K$2:$M$36,3,FALSE),"")</f>
        <v>natural gas</v>
      </c>
    </row>
    <row r="826" spans="1:9" x14ac:dyDescent="0.15">
      <c r="A826" s="2">
        <v>92902</v>
      </c>
      <c r="B826" s="2" t="s">
        <v>70</v>
      </c>
      <c r="C826" s="2">
        <v>2022</v>
      </c>
      <c r="D826" s="2" t="s">
        <v>1</v>
      </c>
      <c r="E826" s="2" t="s">
        <v>4</v>
      </c>
      <c r="F826" s="2" t="s">
        <v>35</v>
      </c>
      <c r="G826" s="7"/>
      <c r="H826" s="13" t="str">
        <f>IFERROR(IF(ABS($G826)&gt;0,VLOOKUP($E826,'Fuel Category and Heat Rate'!$B$1:$G$34,6,FALSE)*($G826),""),"")</f>
        <v/>
      </c>
      <c r="I826" t="str">
        <f>IFERROR(VLOOKUP($E826,'Fuel Category and Heat Rate'!$K$2:$M$36,3,FALSE),"")</f>
        <v>coal</v>
      </c>
    </row>
    <row r="827" spans="1:9" x14ac:dyDescent="0.15">
      <c r="A827" s="2">
        <v>92937</v>
      </c>
      <c r="B827" s="2" t="s">
        <v>70</v>
      </c>
      <c r="C827" s="2">
        <v>2022</v>
      </c>
      <c r="D827" s="2" t="s">
        <v>1</v>
      </c>
      <c r="E827" s="2" t="s">
        <v>6</v>
      </c>
      <c r="F827" s="2" t="s">
        <v>35</v>
      </c>
      <c r="G827" s="7"/>
      <c r="H827" s="13" t="str">
        <f>IFERROR(IF(ABS($G827)&gt;0,VLOOKUP($E827,'Fuel Category and Heat Rate'!$B$1:$G$34,6,FALSE)*($G827),""),"")</f>
        <v/>
      </c>
      <c r="I827" t="str">
        <f>IFERROR(VLOOKUP($E827,'Fuel Category and Heat Rate'!$K$2:$M$36,3,FALSE),"")</f>
        <v>coal</v>
      </c>
    </row>
    <row r="828" spans="1:9" x14ac:dyDescent="0.15">
      <c r="A828" s="2">
        <v>92972</v>
      </c>
      <c r="B828" s="2" t="s">
        <v>70</v>
      </c>
      <c r="C828" s="2">
        <v>2022</v>
      </c>
      <c r="D828" s="2" t="s">
        <v>1</v>
      </c>
      <c r="E828" s="2" t="s">
        <v>26</v>
      </c>
      <c r="F828" s="2" t="s">
        <v>35</v>
      </c>
      <c r="G828" s="7"/>
      <c r="H828" s="13" t="str">
        <f>IFERROR(IF(ABS($G828)&gt;0,VLOOKUP($E828,'Fuel Category and Heat Rate'!$B$1:$G$34,6,FALSE)*($G828),""),"")</f>
        <v/>
      </c>
      <c r="I828" t="str">
        <f>IFERROR(VLOOKUP($E828,'Fuel Category and Heat Rate'!$K$2:$M$36,3,FALSE),"")</f>
        <v>LPG propane or butane</v>
      </c>
    </row>
    <row r="829" spans="1:9" x14ac:dyDescent="0.15">
      <c r="A829" s="2">
        <v>93007</v>
      </c>
      <c r="B829" s="2" t="s">
        <v>70</v>
      </c>
      <c r="C829" s="2">
        <v>2022</v>
      </c>
      <c r="D829" s="2" t="s">
        <v>1</v>
      </c>
      <c r="E829" s="2" t="s">
        <v>30</v>
      </c>
      <c r="F829" s="2" t="s">
        <v>35</v>
      </c>
      <c r="G829" s="7"/>
      <c r="H829" s="13" t="str">
        <f>IFERROR(IF(ABS($G829)&gt;0,VLOOKUP($E829,'Fuel Category and Heat Rate'!$B$1:$G$34,6,FALSE)*($G829),""),"")</f>
        <v/>
      </c>
      <c r="I829" t="str">
        <f>IFERROR(VLOOKUP($E829,'Fuel Category and Heat Rate'!$K$2:$M$36,3,FALSE),"")</f>
        <v>natural gas</v>
      </c>
    </row>
    <row r="830" spans="1:9" x14ac:dyDescent="0.15">
      <c r="A830" s="2">
        <v>93042</v>
      </c>
      <c r="B830" s="2" t="s">
        <v>70</v>
      </c>
      <c r="C830" s="2">
        <v>2022</v>
      </c>
      <c r="D830" s="2" t="s">
        <v>1</v>
      </c>
      <c r="E830" s="2" t="s">
        <v>14</v>
      </c>
      <c r="F830" s="2" t="s">
        <v>35</v>
      </c>
      <c r="G830" s="7">
        <v>-5.5</v>
      </c>
      <c r="H830" s="13">
        <f>IFERROR(IF(ABS($G830)&gt;0,VLOOKUP($E830,'Fuel Category and Heat Rate'!$B$1:$G$34,6,FALSE)*($G830),""),"")</f>
        <v>0</v>
      </c>
      <c r="I830" t="str">
        <f>IFERROR(VLOOKUP($E830,'Fuel Category and Heat Rate'!$K$2:$M$36,3,FALSE),"")</f>
        <v/>
      </c>
    </row>
    <row r="831" spans="1:9" x14ac:dyDescent="0.15">
      <c r="A831" s="2">
        <v>93077</v>
      </c>
      <c r="B831" s="2" t="s">
        <v>70</v>
      </c>
      <c r="C831" s="2">
        <v>2022</v>
      </c>
      <c r="D831" s="2" t="s">
        <v>1</v>
      </c>
      <c r="E831" s="2" t="s">
        <v>3</v>
      </c>
      <c r="F831" s="2" t="s">
        <v>35</v>
      </c>
      <c r="G831" s="7">
        <v>-800.8</v>
      </c>
      <c r="H831" s="13">
        <f>IFERROR(IF(ABS($G831)&gt;0,VLOOKUP($E831,'Fuel Category and Heat Rate'!$B$1:$G$34,6,FALSE)*($G831),""),"")</f>
        <v>-158694218888981.09</v>
      </c>
      <c r="I831" t="str">
        <f>IFERROR(VLOOKUP($E831,'Fuel Category and Heat Rate'!$K$2:$M$36,3,FALSE),"")</f>
        <v>coal</v>
      </c>
    </row>
    <row r="832" spans="1:9" x14ac:dyDescent="0.15">
      <c r="A832" s="2">
        <v>93112</v>
      </c>
      <c r="B832" s="2" t="s">
        <v>70</v>
      </c>
      <c r="C832" s="2">
        <v>2022</v>
      </c>
      <c r="D832" s="2" t="s">
        <v>1</v>
      </c>
      <c r="E832" s="2" t="s">
        <v>15</v>
      </c>
      <c r="F832" s="2" t="s">
        <v>35</v>
      </c>
      <c r="G832" s="7"/>
      <c r="H832" s="13" t="str">
        <f>IFERROR(IF(ABS($G832)&gt;0,VLOOKUP($E832,'Fuel Category and Heat Rate'!$B$1:$G$34,6,FALSE)*($G832),""),"")</f>
        <v/>
      </c>
      <c r="I832" t="str">
        <f>IFERROR(VLOOKUP($E832,'Fuel Category and Heat Rate'!$K$2:$M$36,3,FALSE),"")</f>
        <v>crude oil</v>
      </c>
    </row>
    <row r="833" spans="1:9" x14ac:dyDescent="0.15">
      <c r="A833" s="2">
        <v>93147</v>
      </c>
      <c r="B833" s="2" t="s">
        <v>70</v>
      </c>
      <c r="C833" s="2">
        <v>2022</v>
      </c>
      <c r="D833" s="2" t="s">
        <v>1</v>
      </c>
      <c r="E833" s="2" t="s">
        <v>11</v>
      </c>
      <c r="F833" s="2" t="s">
        <v>36</v>
      </c>
      <c r="G833" s="7"/>
      <c r="H833" s="13" t="str">
        <f>IFERROR(IF(ABS($G833)&gt;0,VLOOKUP($E833,'Fuel Category and Heat Rate'!$B$1:$G$34,6,FALSE)*($G833),""),"")</f>
        <v/>
      </c>
      <c r="I833" t="str">
        <f>IFERROR(VLOOKUP($E833,'Fuel Category and Heat Rate'!$K$2:$M$36,3,FALSE),"")</f>
        <v>LPG propane or butane</v>
      </c>
    </row>
    <row r="834" spans="1:9" x14ac:dyDescent="0.15">
      <c r="A834" s="2">
        <v>93182</v>
      </c>
      <c r="B834" s="2" t="s">
        <v>70</v>
      </c>
      <c r="C834" s="2">
        <v>2021</v>
      </c>
      <c r="D834" s="2" t="s">
        <v>1</v>
      </c>
      <c r="E834" s="2" t="s">
        <v>18</v>
      </c>
      <c r="F834" s="2" t="s">
        <v>35</v>
      </c>
      <c r="G834" s="7"/>
      <c r="H834" s="13" t="str">
        <f>IFERROR(IF(ABS($G834)&gt;0,VLOOKUP($E834,'Fuel Category and Heat Rate'!$B$1:$G$34,6,FALSE)*($G834),""),"")</f>
        <v/>
      </c>
      <c r="I834" t="str">
        <f>IFERROR(VLOOKUP($E834,'Fuel Category and Heat Rate'!$K$2:$M$36,3,FALSE),"")</f>
        <v>petroleum diesel</v>
      </c>
    </row>
    <row r="835" spans="1:9" x14ac:dyDescent="0.15">
      <c r="A835" s="2">
        <v>93217</v>
      </c>
      <c r="B835" s="2" t="s">
        <v>70</v>
      </c>
      <c r="C835" s="2">
        <v>2021</v>
      </c>
      <c r="D835" s="2" t="s">
        <v>1</v>
      </c>
      <c r="E835" s="2" t="s">
        <v>32</v>
      </c>
      <c r="F835" s="2" t="s">
        <v>65</v>
      </c>
      <c r="G835" s="7"/>
      <c r="H835" s="13" t="str">
        <f>IFERROR(IF(ABS($G835)&gt;0,VLOOKUP($E835,'Fuel Category and Heat Rate'!$B$1:$G$34,6,FALSE)*($G835),""),"")</f>
        <v/>
      </c>
      <c r="I835" t="str">
        <f>IFERROR(VLOOKUP($E835,'Fuel Category and Heat Rate'!$K$2:$M$36,3,FALSE),"")</f>
        <v>electricity</v>
      </c>
    </row>
    <row r="836" spans="1:9" x14ac:dyDescent="0.15">
      <c r="A836" s="2">
        <v>93252</v>
      </c>
      <c r="B836" s="2" t="s">
        <v>70</v>
      </c>
      <c r="C836" s="2">
        <v>2021</v>
      </c>
      <c r="D836" s="2" t="s">
        <v>1</v>
      </c>
      <c r="E836" s="2" t="s">
        <v>10</v>
      </c>
      <c r="F836" s="2" t="s">
        <v>36</v>
      </c>
      <c r="G836" s="7">
        <v>-0.44</v>
      </c>
      <c r="H836" s="13">
        <f>IFERROR(IF(ABS($G836)&gt;0,VLOOKUP($E836,'Fuel Category and Heat Rate'!$B$1:$G$34,6,FALSE)*($G836),""),"")</f>
        <v>-156931976634.22272</v>
      </c>
      <c r="I836" t="str">
        <f>IFERROR(VLOOKUP($E836,'Fuel Category and Heat Rate'!$K$2:$M$36,3,FALSE),"")</f>
        <v>LPG propane or butane</v>
      </c>
    </row>
    <row r="837" spans="1:9" x14ac:dyDescent="0.15">
      <c r="A837" s="2">
        <v>93287</v>
      </c>
      <c r="B837" s="2" t="s">
        <v>70</v>
      </c>
      <c r="C837" s="2">
        <v>2021</v>
      </c>
      <c r="D837" s="2" t="s">
        <v>1</v>
      </c>
      <c r="E837" s="2" t="s">
        <v>9</v>
      </c>
      <c r="F837" s="2" t="s">
        <v>36</v>
      </c>
      <c r="G837" s="7"/>
      <c r="H837" s="13" t="str">
        <f>IFERROR(IF(ABS($G837)&gt;0,VLOOKUP($E837,'Fuel Category and Heat Rate'!$B$1:$G$34,6,FALSE)*($G837),""),"")</f>
        <v/>
      </c>
      <c r="I837" t="str">
        <f>IFERROR(VLOOKUP($E837,'Fuel Category and Heat Rate'!$K$2:$M$36,3,FALSE),"")</f>
        <v>LPG propane or butane</v>
      </c>
    </row>
    <row r="838" spans="1:9" x14ac:dyDescent="0.15">
      <c r="A838" s="2">
        <v>93322</v>
      </c>
      <c r="B838" s="2" t="s">
        <v>70</v>
      </c>
      <c r="C838" s="2">
        <v>2021</v>
      </c>
      <c r="D838" s="2" t="s">
        <v>1</v>
      </c>
      <c r="E838" s="2" t="s">
        <v>8</v>
      </c>
      <c r="F838" s="2" t="s">
        <v>35</v>
      </c>
      <c r="G838" s="7"/>
      <c r="H838" s="13" t="str">
        <f>IFERROR(IF(ABS($G838)&gt;0,VLOOKUP($E838,'Fuel Category and Heat Rate'!$B$1:$G$34,6,FALSE)*($G838),""),"")</f>
        <v/>
      </c>
      <c r="I838" t="str">
        <f>IFERROR(VLOOKUP($E838,'Fuel Category and Heat Rate'!$K$2:$M$36,3,FALSE),"")</f>
        <v>coal</v>
      </c>
    </row>
    <row r="839" spans="1:9" x14ac:dyDescent="0.15">
      <c r="A839" s="2">
        <v>93357</v>
      </c>
      <c r="B839" s="2" t="s">
        <v>70</v>
      </c>
      <c r="C839" s="2">
        <v>2021</v>
      </c>
      <c r="D839" s="2" t="s">
        <v>1</v>
      </c>
      <c r="E839" s="2" t="s">
        <v>27</v>
      </c>
      <c r="F839" s="2" t="s">
        <v>35</v>
      </c>
      <c r="G839" s="7">
        <v>-4.2300000000000004</v>
      </c>
      <c r="H839" s="13">
        <f>IFERROR(IF(ABS($G839)&gt;0,VLOOKUP($E839,'Fuel Category and Heat Rate'!$B$1:$G$34,6,FALSE)*($G839),""),"")</f>
        <v>-1844182371956.8972</v>
      </c>
      <c r="I839" t="str">
        <f>IFERROR(VLOOKUP($E839,'Fuel Category and Heat Rate'!$K$2:$M$36,3,FALSE),"")</f>
        <v>LPG propane or butane</v>
      </c>
    </row>
    <row r="840" spans="1:9" x14ac:dyDescent="0.15">
      <c r="A840" s="2">
        <v>93392</v>
      </c>
      <c r="B840" s="2" t="s">
        <v>70</v>
      </c>
      <c r="C840" s="2">
        <v>2021</v>
      </c>
      <c r="D840" s="2" t="s">
        <v>1</v>
      </c>
      <c r="E840" s="2" t="s">
        <v>7</v>
      </c>
      <c r="F840" s="2" t="s">
        <v>35</v>
      </c>
      <c r="G840" s="7"/>
      <c r="H840" s="13" t="str">
        <f>IFERROR(IF(ABS($G840)&gt;0,VLOOKUP($E840,'Fuel Category and Heat Rate'!$B$1:$G$34,6,FALSE)*($G840),""),"")</f>
        <v/>
      </c>
      <c r="I840" t="str">
        <f>IFERROR(VLOOKUP($E840,'Fuel Category and Heat Rate'!$K$2:$M$36,3,FALSE),"")</f>
        <v>coal</v>
      </c>
    </row>
    <row r="841" spans="1:9" x14ac:dyDescent="0.15">
      <c r="A841" s="2">
        <v>93427</v>
      </c>
      <c r="B841" s="2" t="s">
        <v>70</v>
      </c>
      <c r="C841" s="2">
        <v>2021</v>
      </c>
      <c r="D841" s="2" t="s">
        <v>1</v>
      </c>
      <c r="E841" s="2" t="s">
        <v>2</v>
      </c>
      <c r="F841" s="2" t="s">
        <v>35</v>
      </c>
      <c r="G841" s="7">
        <v>-542.87</v>
      </c>
      <c r="H841" s="13">
        <f>IFERROR(IF(ABS($G841)&gt;0,VLOOKUP($E841,'Fuel Category and Heat Rate'!$B$1:$G$34,6,FALSE)*($G841),""),"")</f>
        <v>0</v>
      </c>
      <c r="I841" t="str">
        <f>IFERROR(VLOOKUP($E841,'Fuel Category and Heat Rate'!$K$2:$M$36,3,FALSE),"")</f>
        <v/>
      </c>
    </row>
    <row r="842" spans="1:9" x14ac:dyDescent="0.15">
      <c r="A842" s="2">
        <v>93462</v>
      </c>
      <c r="B842" s="2" t="s">
        <v>70</v>
      </c>
      <c r="C842" s="2">
        <v>2021</v>
      </c>
      <c r="D842" s="2" t="s">
        <v>1</v>
      </c>
      <c r="E842" s="2" t="s">
        <v>17</v>
      </c>
      <c r="F842" s="2" t="s">
        <v>35</v>
      </c>
      <c r="G842" s="7"/>
      <c r="H842" s="13" t="str">
        <f>IFERROR(IF(ABS($G842)&gt;0,VLOOKUP($E842,'Fuel Category and Heat Rate'!$B$1:$G$34,6,FALSE)*($G842),""),"")</f>
        <v/>
      </c>
      <c r="I842" t="str">
        <f>IFERROR(VLOOKUP($E842,'Fuel Category and Heat Rate'!$K$2:$M$36,3,FALSE),"")</f>
        <v>petroleum diesel</v>
      </c>
    </row>
    <row r="843" spans="1:9" x14ac:dyDescent="0.15">
      <c r="A843" s="2">
        <v>93497</v>
      </c>
      <c r="B843" s="2" t="s">
        <v>70</v>
      </c>
      <c r="C843" s="2">
        <v>2021</v>
      </c>
      <c r="D843" s="2" t="s">
        <v>1</v>
      </c>
      <c r="E843" s="2" t="s">
        <v>13</v>
      </c>
      <c r="F843" s="2" t="s">
        <v>35</v>
      </c>
      <c r="G843" s="7"/>
      <c r="H843" s="13" t="str">
        <f>IFERROR(IF(ABS($G843)&gt;0,VLOOKUP($E843,'Fuel Category and Heat Rate'!$B$1:$G$34,6,FALSE)*($G843),""),"")</f>
        <v/>
      </c>
      <c r="I843" t="str">
        <f>IFERROR(VLOOKUP($E843,'Fuel Category and Heat Rate'!$K$2:$M$36,3,FALSE),"")</f>
        <v>petroleum diesel</v>
      </c>
    </row>
    <row r="844" spans="1:9" x14ac:dyDescent="0.15">
      <c r="A844" s="2">
        <v>93532</v>
      </c>
      <c r="B844" s="2" t="s">
        <v>70</v>
      </c>
      <c r="C844" s="2">
        <v>2021</v>
      </c>
      <c r="D844" s="2" t="s">
        <v>1</v>
      </c>
      <c r="E844" s="2" t="s">
        <v>12</v>
      </c>
      <c r="F844" s="2" t="s">
        <v>36</v>
      </c>
      <c r="G844" s="7">
        <v>-0.28999999999999998</v>
      </c>
      <c r="H844" s="13">
        <f>IFERROR(IF(ABS($G844)&gt;0,VLOOKUP($E844,'Fuel Category and Heat Rate'!$B$1:$G$34,6,FALSE)*($G844),""),"")</f>
        <v>-143672962905.23389</v>
      </c>
      <c r="I844" t="str">
        <f>IFERROR(VLOOKUP($E844,'Fuel Category and Heat Rate'!$K$2:$M$36,3,FALSE),"")</f>
        <v>LPG propane or butane</v>
      </c>
    </row>
    <row r="845" spans="1:9" x14ac:dyDescent="0.15">
      <c r="A845" s="2">
        <v>93567</v>
      </c>
      <c r="B845" s="2" t="s">
        <v>70</v>
      </c>
      <c r="C845" s="2">
        <v>2021</v>
      </c>
      <c r="D845" s="2" t="s">
        <v>1</v>
      </c>
      <c r="E845" s="2" t="s">
        <v>33</v>
      </c>
      <c r="F845" s="2" t="s">
        <v>38</v>
      </c>
      <c r="G845" s="7">
        <v>-28.5</v>
      </c>
      <c r="H845" s="13">
        <f>IFERROR(IF(ABS($G845)&gt;0,VLOOKUP($E845,'Fuel Category and Heat Rate'!$B$1:$G$34,6,FALSE)*($G845),""),"")</f>
        <v>-7906913174312.0518</v>
      </c>
      <c r="I845" t="str">
        <f>IFERROR(VLOOKUP($E845,'Fuel Category and Heat Rate'!$K$2:$M$36,3,FALSE),"")</f>
        <v>biomass</v>
      </c>
    </row>
    <row r="846" spans="1:9" x14ac:dyDescent="0.15">
      <c r="A846" s="2">
        <v>93602</v>
      </c>
      <c r="B846" s="2" t="s">
        <v>70</v>
      </c>
      <c r="C846" s="2">
        <v>2021</v>
      </c>
      <c r="D846" s="2" t="s">
        <v>1</v>
      </c>
      <c r="E846" s="2" t="s">
        <v>28</v>
      </c>
      <c r="F846" s="2" t="s">
        <v>35</v>
      </c>
      <c r="G846" s="7"/>
      <c r="H846" s="13" t="str">
        <f>IFERROR(IF(ABS($G846)&gt;0,VLOOKUP($E846,'Fuel Category and Heat Rate'!$B$1:$G$34,6,FALSE)*($G846),""),"")</f>
        <v/>
      </c>
      <c r="I846" t="str">
        <f>IFERROR(VLOOKUP($E846,'Fuel Category and Heat Rate'!$K$2:$M$36,3,FALSE),"")</f>
        <v>heavy or residual fuel oil</v>
      </c>
    </row>
    <row r="847" spans="1:9" x14ac:dyDescent="0.15">
      <c r="A847" s="2">
        <v>93637</v>
      </c>
      <c r="B847" s="2" t="s">
        <v>70</v>
      </c>
      <c r="C847" s="2">
        <v>2021</v>
      </c>
      <c r="D847" s="2" t="s">
        <v>1</v>
      </c>
      <c r="E847" s="2" t="s">
        <v>5</v>
      </c>
      <c r="F847" s="2" t="s">
        <v>35</v>
      </c>
      <c r="G847" s="7"/>
      <c r="H847" s="13" t="str">
        <f>IFERROR(IF(ABS($G847)&gt;0,VLOOKUP($E847,'Fuel Category and Heat Rate'!$B$1:$G$34,6,FALSE)*($G847),""),"")</f>
        <v/>
      </c>
      <c r="I847" t="str">
        <f>IFERROR(VLOOKUP($E847,'Fuel Category and Heat Rate'!$K$2:$M$36,3,FALSE),"")</f>
        <v>coal</v>
      </c>
    </row>
    <row r="848" spans="1:9" x14ac:dyDescent="0.15">
      <c r="A848" s="2">
        <v>93672</v>
      </c>
      <c r="B848" s="2" t="s">
        <v>70</v>
      </c>
      <c r="C848" s="2">
        <v>2021</v>
      </c>
      <c r="D848" s="2" t="s">
        <v>1</v>
      </c>
      <c r="E848" s="2" t="s">
        <v>16</v>
      </c>
      <c r="F848" s="2" t="s">
        <v>35</v>
      </c>
      <c r="G848" s="7"/>
      <c r="H848" s="13" t="str">
        <f>IFERROR(IF(ABS($G848)&gt;0,VLOOKUP($E848,'Fuel Category and Heat Rate'!$B$1:$G$34,6,FALSE)*($G848),""),"")</f>
        <v/>
      </c>
      <c r="I848" t="str">
        <f>IFERROR(VLOOKUP($E848,'Fuel Category and Heat Rate'!$K$2:$M$36,3,FALSE),"")</f>
        <v>petroleum diesel</v>
      </c>
    </row>
    <row r="849" spans="1:9" x14ac:dyDescent="0.15">
      <c r="A849" s="2">
        <v>93707</v>
      </c>
      <c r="B849" s="2" t="s">
        <v>70</v>
      </c>
      <c r="C849" s="2">
        <v>2021</v>
      </c>
      <c r="D849" s="2" t="s">
        <v>1</v>
      </c>
      <c r="E849" s="2" t="s">
        <v>19</v>
      </c>
      <c r="F849" s="2" t="s">
        <v>35</v>
      </c>
      <c r="G849" s="7">
        <v>-1.01</v>
      </c>
      <c r="H849" s="13">
        <f>IFERROR(IF(ABS($G849)&gt;0,VLOOKUP($E849,'Fuel Category and Heat Rate'!$B$1:$G$34,6,FALSE)*($G849),""),"")</f>
        <v>-400302600094.5827</v>
      </c>
      <c r="I849" t="str">
        <f>IFERROR(VLOOKUP($E849,'Fuel Category and Heat Rate'!$K$2:$M$36,3,FALSE),"")</f>
        <v>heavy or residual fuel oil</v>
      </c>
    </row>
    <row r="850" spans="1:9" x14ac:dyDescent="0.15">
      <c r="A850" s="2">
        <v>93742</v>
      </c>
      <c r="B850" s="2" t="s">
        <v>70</v>
      </c>
      <c r="C850" s="2">
        <v>2021</v>
      </c>
      <c r="D850" s="2" t="s">
        <v>1</v>
      </c>
      <c r="E850" s="2" t="s">
        <v>31</v>
      </c>
      <c r="F850" s="2" t="s">
        <v>37</v>
      </c>
      <c r="G850" s="7">
        <v>10535.11</v>
      </c>
      <c r="H850" s="13">
        <f>IFERROR(IF(ABS($G850)&gt;0,VLOOKUP($E850,'Fuel Category and Heat Rate'!$B$1:$G$34,6,FALSE)*($G850),""),"")</f>
        <v>99853576471804.797</v>
      </c>
      <c r="I850" t="str">
        <f>IFERROR(VLOOKUP($E850,'Fuel Category and Heat Rate'!$K$2:$M$36,3,FALSE),"")</f>
        <v>heat</v>
      </c>
    </row>
    <row r="851" spans="1:9" x14ac:dyDescent="0.15">
      <c r="A851" s="2">
        <v>93777</v>
      </c>
      <c r="B851" s="2" t="s">
        <v>70</v>
      </c>
      <c r="C851" s="2">
        <v>2021</v>
      </c>
      <c r="D851" s="2" t="s">
        <v>1</v>
      </c>
      <c r="E851" s="2" t="s">
        <v>23</v>
      </c>
      <c r="F851" s="2" t="s">
        <v>35</v>
      </c>
      <c r="G851" s="7"/>
      <c r="H851" s="13" t="str">
        <f>IFERROR(IF(ABS($G851)&gt;0,VLOOKUP($E851,'Fuel Category and Heat Rate'!$B$1:$G$34,6,FALSE)*($G851),""),"")</f>
        <v/>
      </c>
      <c r="I851" t="str">
        <f>IFERROR(VLOOKUP($E851,'Fuel Category and Heat Rate'!$K$2:$M$36,3,FALSE),"")</f>
        <v>heavy or residual fuel oil</v>
      </c>
    </row>
    <row r="852" spans="1:9" x14ac:dyDescent="0.15">
      <c r="A852" s="2">
        <v>93812</v>
      </c>
      <c r="B852" s="2" t="s">
        <v>70</v>
      </c>
      <c r="C852" s="2">
        <v>2021</v>
      </c>
      <c r="D852" s="2" t="s">
        <v>1</v>
      </c>
      <c r="E852" s="2" t="s">
        <v>21</v>
      </c>
      <c r="F852" s="2" t="s">
        <v>35</v>
      </c>
      <c r="G852" s="7"/>
      <c r="H852" s="13" t="str">
        <f>IFERROR(IF(ABS($G852)&gt;0,VLOOKUP($E852,'Fuel Category and Heat Rate'!$B$1:$G$34,6,FALSE)*($G852),""),"")</f>
        <v/>
      </c>
      <c r="I852" t="str">
        <f>IFERROR(VLOOKUP($E852,'Fuel Category and Heat Rate'!$K$2:$M$36,3,FALSE),"")</f>
        <v>LPG propane or butane</v>
      </c>
    </row>
    <row r="853" spans="1:9" x14ac:dyDescent="0.15">
      <c r="A853" s="2">
        <v>93847</v>
      </c>
      <c r="B853" s="2" t="s">
        <v>70</v>
      </c>
      <c r="C853" s="2">
        <v>2021</v>
      </c>
      <c r="D853" s="2" t="s">
        <v>1</v>
      </c>
      <c r="E853" s="2" t="s">
        <v>22</v>
      </c>
      <c r="F853" s="2" t="s">
        <v>35</v>
      </c>
      <c r="G853" s="7"/>
      <c r="H853" s="13" t="str">
        <f>IFERROR(IF(ABS($G853)&gt;0,VLOOKUP($E853,'Fuel Category and Heat Rate'!$B$1:$G$34,6,FALSE)*($G853),""),"")</f>
        <v/>
      </c>
      <c r="I853" t="str">
        <f>IFERROR(VLOOKUP($E853,'Fuel Category and Heat Rate'!$K$2:$M$36,3,FALSE),"")</f>
        <v>heavy fuel oil</v>
      </c>
    </row>
    <row r="854" spans="1:9" x14ac:dyDescent="0.15">
      <c r="A854" s="2">
        <v>93882</v>
      </c>
      <c r="B854" s="2" t="s">
        <v>70</v>
      </c>
      <c r="C854" s="2">
        <v>2021</v>
      </c>
      <c r="D854" s="2" t="s">
        <v>1</v>
      </c>
      <c r="E854" s="2" t="s">
        <v>20</v>
      </c>
      <c r="F854" s="2" t="s">
        <v>35</v>
      </c>
      <c r="G854" s="7"/>
      <c r="H854" s="13" t="str">
        <f>IFERROR(IF(ABS($G854)&gt;0,VLOOKUP($E854,'Fuel Category and Heat Rate'!$B$1:$G$34,6,FALSE)*($G854),""),"")</f>
        <v/>
      </c>
      <c r="I854" t="str">
        <f>IFERROR(VLOOKUP($E854,'Fuel Category and Heat Rate'!$K$2:$M$36,3,FALSE),"")</f>
        <v>LPG propane or butane</v>
      </c>
    </row>
    <row r="855" spans="1:9" x14ac:dyDescent="0.15">
      <c r="A855" s="2">
        <v>93917</v>
      </c>
      <c r="B855" s="2" t="s">
        <v>70</v>
      </c>
      <c r="C855" s="2">
        <v>2021</v>
      </c>
      <c r="D855" s="2" t="s">
        <v>1</v>
      </c>
      <c r="E855" s="2" t="s">
        <v>25</v>
      </c>
      <c r="F855" s="2" t="s">
        <v>35</v>
      </c>
      <c r="G855" s="7"/>
      <c r="H855" s="13" t="str">
        <f>IFERROR(IF(ABS($G855)&gt;0,VLOOKUP($E855,'Fuel Category and Heat Rate'!$B$1:$G$34,6,FALSE)*($G855),""),"")</f>
        <v/>
      </c>
      <c r="I855" t="str">
        <f>IFERROR(VLOOKUP($E855,'Fuel Category and Heat Rate'!$K$2:$M$36,3,FALSE),"")</f>
        <v>heavy fuel oil</v>
      </c>
    </row>
    <row r="856" spans="1:9" x14ac:dyDescent="0.15">
      <c r="A856" s="2">
        <v>93952</v>
      </c>
      <c r="B856" s="2" t="s">
        <v>70</v>
      </c>
      <c r="C856" s="2">
        <v>2021</v>
      </c>
      <c r="D856" s="2" t="s">
        <v>1</v>
      </c>
      <c r="E856" s="2" t="s">
        <v>24</v>
      </c>
      <c r="F856" s="2" t="s">
        <v>35</v>
      </c>
      <c r="G856" s="7"/>
      <c r="H856" s="13" t="str">
        <f>IFERROR(IF(ABS($G856)&gt;0,VLOOKUP($E856,'Fuel Category and Heat Rate'!$B$1:$G$34,6,FALSE)*($G856),""),"")</f>
        <v/>
      </c>
      <c r="I856" t="str">
        <f>IFERROR(VLOOKUP($E856,'Fuel Category and Heat Rate'!$K$2:$M$36,3,FALSE),"")</f>
        <v>heavy fuel oil</v>
      </c>
    </row>
    <row r="857" spans="1:9" x14ac:dyDescent="0.15">
      <c r="A857" s="2">
        <v>93987</v>
      </c>
      <c r="B857" s="2" t="s">
        <v>70</v>
      </c>
      <c r="C857" s="2">
        <v>2021</v>
      </c>
      <c r="D857" s="2" t="s">
        <v>1</v>
      </c>
      <c r="E857" s="2" t="s">
        <v>29</v>
      </c>
      <c r="F857" s="2" t="s">
        <v>36</v>
      </c>
      <c r="G857" s="7">
        <v>-3.48</v>
      </c>
      <c r="H857" s="13">
        <f>IFERROR(IF(ABS($G857)&gt;0,VLOOKUP($E857,'Fuel Category and Heat Rate'!$B$1:$G$34,6,FALSE)*($G857),""),"")</f>
        <v>-11737204243737.43</v>
      </c>
      <c r="I857" t="str">
        <f>IFERROR(VLOOKUP($E857,'Fuel Category and Heat Rate'!$K$2:$M$36,3,FALSE),"")</f>
        <v>natural gas</v>
      </c>
    </row>
    <row r="858" spans="1:9" x14ac:dyDescent="0.15">
      <c r="A858" s="2">
        <v>94022</v>
      </c>
      <c r="B858" s="2" t="s">
        <v>70</v>
      </c>
      <c r="C858" s="2">
        <v>2021</v>
      </c>
      <c r="D858" s="2" t="s">
        <v>1</v>
      </c>
      <c r="E858" s="2" t="s">
        <v>4</v>
      </c>
      <c r="F858" s="2" t="s">
        <v>35</v>
      </c>
      <c r="G858" s="7"/>
      <c r="H858" s="13" t="str">
        <f>IFERROR(IF(ABS($G858)&gt;0,VLOOKUP($E858,'Fuel Category and Heat Rate'!$B$1:$G$34,6,FALSE)*($G858),""),"")</f>
        <v/>
      </c>
      <c r="I858" t="str">
        <f>IFERROR(VLOOKUP($E858,'Fuel Category and Heat Rate'!$K$2:$M$36,3,FALSE),"")</f>
        <v>coal</v>
      </c>
    </row>
    <row r="859" spans="1:9" x14ac:dyDescent="0.15">
      <c r="A859" s="2">
        <v>94057</v>
      </c>
      <c r="B859" s="2" t="s">
        <v>70</v>
      </c>
      <c r="C859" s="2">
        <v>2021</v>
      </c>
      <c r="D859" s="2" t="s">
        <v>1</v>
      </c>
      <c r="E859" s="2" t="s">
        <v>6</v>
      </c>
      <c r="F859" s="2" t="s">
        <v>35</v>
      </c>
      <c r="G859" s="7"/>
      <c r="H859" s="13" t="str">
        <f>IFERROR(IF(ABS($G859)&gt;0,VLOOKUP($E859,'Fuel Category and Heat Rate'!$B$1:$G$34,6,FALSE)*($G859),""),"")</f>
        <v/>
      </c>
      <c r="I859" t="str">
        <f>IFERROR(VLOOKUP($E859,'Fuel Category and Heat Rate'!$K$2:$M$36,3,FALSE),"")</f>
        <v>coal</v>
      </c>
    </row>
    <row r="860" spans="1:9" x14ac:dyDescent="0.15">
      <c r="A860" s="2">
        <v>94092</v>
      </c>
      <c r="B860" s="2" t="s">
        <v>70</v>
      </c>
      <c r="C860" s="2">
        <v>2021</v>
      </c>
      <c r="D860" s="2" t="s">
        <v>1</v>
      </c>
      <c r="E860" s="2" t="s">
        <v>26</v>
      </c>
      <c r="F860" s="2" t="s">
        <v>35</v>
      </c>
      <c r="G860" s="7"/>
      <c r="H860" s="13" t="str">
        <f>IFERROR(IF(ABS($G860)&gt;0,VLOOKUP($E860,'Fuel Category and Heat Rate'!$B$1:$G$34,6,FALSE)*($G860),""),"")</f>
        <v/>
      </c>
      <c r="I860" t="str">
        <f>IFERROR(VLOOKUP($E860,'Fuel Category and Heat Rate'!$K$2:$M$36,3,FALSE),"")</f>
        <v>LPG propane or butane</v>
      </c>
    </row>
    <row r="861" spans="1:9" x14ac:dyDescent="0.15">
      <c r="A861" s="2">
        <v>94127</v>
      </c>
      <c r="B861" s="2" t="s">
        <v>70</v>
      </c>
      <c r="C861" s="2">
        <v>2021</v>
      </c>
      <c r="D861" s="2" t="s">
        <v>1</v>
      </c>
      <c r="E861" s="2" t="s">
        <v>30</v>
      </c>
      <c r="F861" s="2" t="s">
        <v>35</v>
      </c>
      <c r="G861" s="7">
        <v>-0.02</v>
      </c>
      <c r="H861" s="13">
        <f>IFERROR(IF(ABS($G861)&gt;0,VLOOKUP($E861,'Fuel Category and Heat Rate'!$B$1:$G$34,6,FALSE)*($G861),""),"")</f>
        <v>-9750005177.4510345</v>
      </c>
      <c r="I861" t="str">
        <f>IFERROR(VLOOKUP($E861,'Fuel Category and Heat Rate'!$K$2:$M$36,3,FALSE),"")</f>
        <v>natural gas</v>
      </c>
    </row>
    <row r="862" spans="1:9" x14ac:dyDescent="0.15">
      <c r="A862" s="2">
        <v>94162</v>
      </c>
      <c r="B862" s="2" t="s">
        <v>70</v>
      </c>
      <c r="C862" s="2">
        <v>2021</v>
      </c>
      <c r="D862" s="2" t="s">
        <v>1</v>
      </c>
      <c r="E862" s="2" t="s">
        <v>14</v>
      </c>
      <c r="F862" s="2" t="s">
        <v>35</v>
      </c>
      <c r="G862" s="7">
        <v>-5.24</v>
      </c>
      <c r="H862" s="13">
        <f>IFERROR(IF(ABS($G862)&gt;0,VLOOKUP($E862,'Fuel Category and Heat Rate'!$B$1:$G$34,6,FALSE)*($G862),""),"")</f>
        <v>0</v>
      </c>
      <c r="I862" t="str">
        <f>IFERROR(VLOOKUP($E862,'Fuel Category and Heat Rate'!$K$2:$M$36,3,FALSE),"")</f>
        <v/>
      </c>
    </row>
    <row r="863" spans="1:9" x14ac:dyDescent="0.15">
      <c r="A863" s="2">
        <v>94197</v>
      </c>
      <c r="B863" s="2" t="s">
        <v>70</v>
      </c>
      <c r="C863" s="2">
        <v>2021</v>
      </c>
      <c r="D863" s="2" t="s">
        <v>1</v>
      </c>
      <c r="E863" s="2" t="s">
        <v>3</v>
      </c>
      <c r="F863" s="2" t="s">
        <v>35</v>
      </c>
      <c r="G863" s="7">
        <v>-542.87</v>
      </c>
      <c r="H863" s="13">
        <f>IFERROR(IF(ABS($G863)&gt;0,VLOOKUP($E863,'Fuel Category and Heat Rate'!$B$1:$G$34,6,FALSE)*($G863),""),"")</f>
        <v>-107580332927399.06</v>
      </c>
      <c r="I863" t="str">
        <f>IFERROR(VLOOKUP($E863,'Fuel Category and Heat Rate'!$K$2:$M$36,3,FALSE),"")</f>
        <v>coal</v>
      </c>
    </row>
    <row r="864" spans="1:9" x14ac:dyDescent="0.15">
      <c r="A864" s="2">
        <v>94232</v>
      </c>
      <c r="B864" s="2" t="s">
        <v>70</v>
      </c>
      <c r="C864" s="2">
        <v>2021</v>
      </c>
      <c r="D864" s="2" t="s">
        <v>1</v>
      </c>
      <c r="E864" s="2" t="s">
        <v>15</v>
      </c>
      <c r="F864" s="2" t="s">
        <v>35</v>
      </c>
      <c r="G864" s="7"/>
      <c r="H864" s="13" t="str">
        <f>IFERROR(IF(ABS($G864)&gt;0,VLOOKUP($E864,'Fuel Category and Heat Rate'!$B$1:$G$34,6,FALSE)*($G864),""),"")</f>
        <v/>
      </c>
      <c r="I864" t="str">
        <f>IFERROR(VLOOKUP($E864,'Fuel Category and Heat Rate'!$K$2:$M$36,3,FALSE),"")</f>
        <v>crude oil</v>
      </c>
    </row>
    <row r="865" spans="1:9" x14ac:dyDescent="0.15">
      <c r="A865" s="2">
        <v>94267</v>
      </c>
      <c r="B865" s="2" t="s">
        <v>70</v>
      </c>
      <c r="C865" s="2">
        <v>2021</v>
      </c>
      <c r="D865" s="2" t="s">
        <v>1</v>
      </c>
      <c r="E865" s="2" t="s">
        <v>11</v>
      </c>
      <c r="F865" s="2" t="s">
        <v>36</v>
      </c>
      <c r="G865" s="7"/>
      <c r="H865" s="13" t="str">
        <f>IFERROR(IF(ABS($G865)&gt;0,VLOOKUP($E865,'Fuel Category and Heat Rate'!$B$1:$G$34,6,FALSE)*($G865),""),"")</f>
        <v/>
      </c>
      <c r="I865" t="str">
        <f>IFERROR(VLOOKUP($E865,'Fuel Category and Heat Rate'!$K$2:$M$36,3,FALSE),"")</f>
        <v>LPG propane or butane</v>
      </c>
    </row>
    <row r="866" spans="1:9" x14ac:dyDescent="0.15">
      <c r="A866" s="2">
        <v>94302</v>
      </c>
      <c r="B866" s="2" t="s">
        <v>70</v>
      </c>
      <c r="C866" s="2">
        <v>2020</v>
      </c>
      <c r="D866" s="2" t="s">
        <v>1</v>
      </c>
      <c r="E866" s="2" t="s">
        <v>18</v>
      </c>
      <c r="F866" s="2" t="s">
        <v>35</v>
      </c>
      <c r="G866" s="7">
        <v>-0.01</v>
      </c>
      <c r="H866" s="13">
        <f>IFERROR(IF(ABS($G866)&gt;0,VLOOKUP($E866,'Fuel Category and Heat Rate'!$B$1:$G$34,6,FALSE)*($G866),""),"")</f>
        <v>-4042629591.5993452</v>
      </c>
      <c r="I866" t="str">
        <f>IFERROR(VLOOKUP($E866,'Fuel Category and Heat Rate'!$K$2:$M$36,3,FALSE),"")</f>
        <v>petroleum diesel</v>
      </c>
    </row>
    <row r="867" spans="1:9" x14ac:dyDescent="0.15">
      <c r="A867" s="2">
        <v>94337</v>
      </c>
      <c r="B867" s="2" t="s">
        <v>70</v>
      </c>
      <c r="C867" s="2">
        <v>2020</v>
      </c>
      <c r="D867" s="2" t="s">
        <v>1</v>
      </c>
      <c r="E867" s="2" t="s">
        <v>32</v>
      </c>
      <c r="F867" s="2" t="s">
        <v>65</v>
      </c>
      <c r="G867" s="7"/>
      <c r="H867" s="13" t="str">
        <f>IFERROR(IF(ABS($G867)&gt;0,VLOOKUP($E867,'Fuel Category and Heat Rate'!$B$1:$G$34,6,FALSE)*($G867),""),"")</f>
        <v/>
      </c>
      <c r="I867" t="str">
        <f>IFERROR(VLOOKUP($E867,'Fuel Category and Heat Rate'!$K$2:$M$36,3,FALSE),"")</f>
        <v>electricity</v>
      </c>
    </row>
    <row r="868" spans="1:9" x14ac:dyDescent="0.15">
      <c r="A868" s="2">
        <v>94372</v>
      </c>
      <c r="B868" s="2" t="s">
        <v>70</v>
      </c>
      <c r="C868" s="2">
        <v>2020</v>
      </c>
      <c r="D868" s="2" t="s">
        <v>1</v>
      </c>
      <c r="E868" s="2" t="s">
        <v>10</v>
      </c>
      <c r="F868" s="2" t="s">
        <v>36</v>
      </c>
      <c r="G868" s="7"/>
      <c r="H868" s="13" t="str">
        <f>IFERROR(IF(ABS($G868)&gt;0,VLOOKUP($E868,'Fuel Category and Heat Rate'!$B$1:$G$34,6,FALSE)*($G868),""),"")</f>
        <v/>
      </c>
      <c r="I868" t="str">
        <f>IFERROR(VLOOKUP($E868,'Fuel Category and Heat Rate'!$K$2:$M$36,3,FALSE),"")</f>
        <v>LPG propane or butane</v>
      </c>
    </row>
    <row r="869" spans="1:9" x14ac:dyDescent="0.15">
      <c r="A869" s="2">
        <v>94407</v>
      </c>
      <c r="B869" s="2" t="s">
        <v>70</v>
      </c>
      <c r="C869" s="2">
        <v>2020</v>
      </c>
      <c r="D869" s="2" t="s">
        <v>1</v>
      </c>
      <c r="E869" s="2" t="s">
        <v>9</v>
      </c>
      <c r="F869" s="2" t="s">
        <v>36</v>
      </c>
      <c r="G869" s="7"/>
      <c r="H869" s="13" t="str">
        <f>IFERROR(IF(ABS($G869)&gt;0,VLOOKUP($E869,'Fuel Category and Heat Rate'!$B$1:$G$34,6,FALSE)*($G869),""),"")</f>
        <v/>
      </c>
      <c r="I869" t="str">
        <f>IFERROR(VLOOKUP($E869,'Fuel Category and Heat Rate'!$K$2:$M$36,3,FALSE),"")</f>
        <v>LPG propane or butane</v>
      </c>
    </row>
    <row r="870" spans="1:9" x14ac:dyDescent="0.15">
      <c r="A870" s="2">
        <v>94442</v>
      </c>
      <c r="B870" s="2" t="s">
        <v>70</v>
      </c>
      <c r="C870" s="2">
        <v>2020</v>
      </c>
      <c r="D870" s="2" t="s">
        <v>1</v>
      </c>
      <c r="E870" s="2" t="s">
        <v>8</v>
      </c>
      <c r="F870" s="2" t="s">
        <v>35</v>
      </c>
      <c r="G870" s="7"/>
      <c r="H870" s="13" t="str">
        <f>IFERROR(IF(ABS($G870)&gt;0,VLOOKUP($E870,'Fuel Category and Heat Rate'!$B$1:$G$34,6,FALSE)*($G870),""),"")</f>
        <v/>
      </c>
      <c r="I870" t="str">
        <f>IFERROR(VLOOKUP($E870,'Fuel Category and Heat Rate'!$K$2:$M$36,3,FALSE),"")</f>
        <v>coal</v>
      </c>
    </row>
    <row r="871" spans="1:9" x14ac:dyDescent="0.15">
      <c r="A871" s="2">
        <v>94477</v>
      </c>
      <c r="B871" s="2" t="s">
        <v>70</v>
      </c>
      <c r="C871" s="2">
        <v>2020</v>
      </c>
      <c r="D871" s="2" t="s">
        <v>1</v>
      </c>
      <c r="E871" s="2" t="s">
        <v>27</v>
      </c>
      <c r="F871" s="2" t="s">
        <v>35</v>
      </c>
      <c r="G871" s="7">
        <v>-3.57</v>
      </c>
      <c r="H871" s="13">
        <f>IFERROR(IF(ABS($G871)&gt;0,VLOOKUP($E871,'Fuel Category and Heat Rate'!$B$1:$G$34,6,FALSE)*($G871),""),"")</f>
        <v>-1556437604701.2109</v>
      </c>
      <c r="I871" t="str">
        <f>IFERROR(VLOOKUP($E871,'Fuel Category and Heat Rate'!$K$2:$M$36,3,FALSE),"")</f>
        <v>LPG propane or butane</v>
      </c>
    </row>
    <row r="872" spans="1:9" x14ac:dyDescent="0.15">
      <c r="A872" s="2">
        <v>94512</v>
      </c>
      <c r="B872" s="2" t="s">
        <v>70</v>
      </c>
      <c r="C872" s="2">
        <v>2020</v>
      </c>
      <c r="D872" s="2" t="s">
        <v>1</v>
      </c>
      <c r="E872" s="2" t="s">
        <v>7</v>
      </c>
      <c r="F872" s="2" t="s">
        <v>35</v>
      </c>
      <c r="G872" s="7"/>
      <c r="H872" s="13" t="str">
        <f>IFERROR(IF(ABS($G872)&gt;0,VLOOKUP($E872,'Fuel Category and Heat Rate'!$B$1:$G$34,6,FALSE)*($G872),""),"")</f>
        <v/>
      </c>
      <c r="I872" t="str">
        <f>IFERROR(VLOOKUP($E872,'Fuel Category and Heat Rate'!$K$2:$M$36,3,FALSE),"")</f>
        <v>coal</v>
      </c>
    </row>
    <row r="873" spans="1:9" x14ac:dyDescent="0.15">
      <c r="A873" s="2">
        <v>94547</v>
      </c>
      <c r="B873" s="2" t="s">
        <v>70</v>
      </c>
      <c r="C873" s="2">
        <v>2020</v>
      </c>
      <c r="D873" s="2" t="s">
        <v>1</v>
      </c>
      <c r="E873" s="2" t="s">
        <v>2</v>
      </c>
      <c r="F873" s="2" t="s">
        <v>35</v>
      </c>
      <c r="G873" s="7">
        <v>-441.81</v>
      </c>
      <c r="H873" s="13">
        <f>IFERROR(IF(ABS($G873)&gt;0,VLOOKUP($E873,'Fuel Category and Heat Rate'!$B$1:$G$34,6,FALSE)*($G873),""),"")</f>
        <v>0</v>
      </c>
      <c r="I873" t="str">
        <f>IFERROR(VLOOKUP($E873,'Fuel Category and Heat Rate'!$K$2:$M$36,3,FALSE),"")</f>
        <v/>
      </c>
    </row>
    <row r="874" spans="1:9" x14ac:dyDescent="0.15">
      <c r="A874" s="2">
        <v>94582</v>
      </c>
      <c r="B874" s="2" t="s">
        <v>70</v>
      </c>
      <c r="C874" s="2">
        <v>2020</v>
      </c>
      <c r="D874" s="2" t="s">
        <v>1</v>
      </c>
      <c r="E874" s="2" t="s">
        <v>17</v>
      </c>
      <c r="F874" s="2" t="s">
        <v>35</v>
      </c>
      <c r="G874" s="7"/>
      <c r="H874" s="13" t="str">
        <f>IFERROR(IF(ABS($G874)&gt;0,VLOOKUP($E874,'Fuel Category and Heat Rate'!$B$1:$G$34,6,FALSE)*($G874),""),"")</f>
        <v/>
      </c>
      <c r="I874" t="str">
        <f>IFERROR(VLOOKUP($E874,'Fuel Category and Heat Rate'!$K$2:$M$36,3,FALSE),"")</f>
        <v>petroleum diesel</v>
      </c>
    </row>
    <row r="875" spans="1:9" x14ac:dyDescent="0.15">
      <c r="A875" s="2">
        <v>94617</v>
      </c>
      <c r="B875" s="2" t="s">
        <v>70</v>
      </c>
      <c r="C875" s="2">
        <v>2020</v>
      </c>
      <c r="D875" s="2" t="s">
        <v>1</v>
      </c>
      <c r="E875" s="2" t="s">
        <v>13</v>
      </c>
      <c r="F875" s="2" t="s">
        <v>35</v>
      </c>
      <c r="G875" s="7"/>
      <c r="H875" s="13" t="str">
        <f>IFERROR(IF(ABS($G875)&gt;0,VLOOKUP($E875,'Fuel Category and Heat Rate'!$B$1:$G$34,6,FALSE)*($G875),""),"")</f>
        <v/>
      </c>
      <c r="I875" t="str">
        <f>IFERROR(VLOOKUP($E875,'Fuel Category and Heat Rate'!$K$2:$M$36,3,FALSE),"")</f>
        <v>petroleum diesel</v>
      </c>
    </row>
    <row r="876" spans="1:9" x14ac:dyDescent="0.15">
      <c r="A876" s="2">
        <v>94652</v>
      </c>
      <c r="B876" s="2" t="s">
        <v>70</v>
      </c>
      <c r="C876" s="2">
        <v>2020</v>
      </c>
      <c r="D876" s="2" t="s">
        <v>1</v>
      </c>
      <c r="E876" s="2" t="s">
        <v>12</v>
      </c>
      <c r="F876" s="2" t="s">
        <v>36</v>
      </c>
      <c r="G876" s="7"/>
      <c r="H876" s="13" t="str">
        <f>IFERROR(IF(ABS($G876)&gt;0,VLOOKUP($E876,'Fuel Category and Heat Rate'!$B$1:$G$34,6,FALSE)*($G876),""),"")</f>
        <v/>
      </c>
      <c r="I876" t="str">
        <f>IFERROR(VLOOKUP($E876,'Fuel Category and Heat Rate'!$K$2:$M$36,3,FALSE),"")</f>
        <v>LPG propane or butane</v>
      </c>
    </row>
    <row r="877" spans="1:9" x14ac:dyDescent="0.15">
      <c r="A877" s="2">
        <v>94687</v>
      </c>
      <c r="B877" s="2" t="s">
        <v>70</v>
      </c>
      <c r="C877" s="2">
        <v>2020</v>
      </c>
      <c r="D877" s="2" t="s">
        <v>1</v>
      </c>
      <c r="E877" s="2" t="s">
        <v>33</v>
      </c>
      <c r="F877" s="2" t="s">
        <v>38</v>
      </c>
      <c r="G877" s="7">
        <v>-24.11</v>
      </c>
      <c r="H877" s="13">
        <f>IFERROR(IF(ABS($G877)&gt;0,VLOOKUP($E877,'Fuel Category and Heat Rate'!$B$1:$G$34,6,FALSE)*($G877),""),"")</f>
        <v>-6688971109918.0195</v>
      </c>
      <c r="I877" t="str">
        <f>IFERROR(VLOOKUP($E877,'Fuel Category and Heat Rate'!$K$2:$M$36,3,FALSE),"")</f>
        <v>biomass</v>
      </c>
    </row>
    <row r="878" spans="1:9" x14ac:dyDescent="0.15">
      <c r="A878" s="2">
        <v>94722</v>
      </c>
      <c r="B878" s="2" t="s">
        <v>70</v>
      </c>
      <c r="C878" s="2">
        <v>2020</v>
      </c>
      <c r="D878" s="2" t="s">
        <v>1</v>
      </c>
      <c r="E878" s="2" t="s">
        <v>28</v>
      </c>
      <c r="F878" s="2" t="s">
        <v>35</v>
      </c>
      <c r="G878" s="7"/>
      <c r="H878" s="13" t="str">
        <f>IFERROR(IF(ABS($G878)&gt;0,VLOOKUP($E878,'Fuel Category and Heat Rate'!$B$1:$G$34,6,FALSE)*($G878),""),"")</f>
        <v/>
      </c>
      <c r="I878" t="str">
        <f>IFERROR(VLOOKUP($E878,'Fuel Category and Heat Rate'!$K$2:$M$36,3,FALSE),"")</f>
        <v>heavy or residual fuel oil</v>
      </c>
    </row>
    <row r="879" spans="1:9" x14ac:dyDescent="0.15">
      <c r="A879" s="2">
        <v>94757</v>
      </c>
      <c r="B879" s="2" t="s">
        <v>70</v>
      </c>
      <c r="C879" s="2">
        <v>2020</v>
      </c>
      <c r="D879" s="2" t="s">
        <v>1</v>
      </c>
      <c r="E879" s="2" t="s">
        <v>5</v>
      </c>
      <c r="F879" s="2" t="s">
        <v>35</v>
      </c>
      <c r="G879" s="7"/>
      <c r="H879" s="13" t="str">
        <f>IFERROR(IF(ABS($G879)&gt;0,VLOOKUP($E879,'Fuel Category and Heat Rate'!$B$1:$G$34,6,FALSE)*($G879),""),"")</f>
        <v/>
      </c>
      <c r="I879" t="str">
        <f>IFERROR(VLOOKUP($E879,'Fuel Category and Heat Rate'!$K$2:$M$36,3,FALSE),"")</f>
        <v>coal</v>
      </c>
    </row>
    <row r="880" spans="1:9" x14ac:dyDescent="0.15">
      <c r="A880" s="2">
        <v>94792</v>
      </c>
      <c r="B880" s="2" t="s">
        <v>70</v>
      </c>
      <c r="C880" s="2">
        <v>2020</v>
      </c>
      <c r="D880" s="2" t="s">
        <v>1</v>
      </c>
      <c r="E880" s="2" t="s">
        <v>16</v>
      </c>
      <c r="F880" s="2" t="s">
        <v>35</v>
      </c>
      <c r="G880" s="7"/>
      <c r="H880" s="13" t="str">
        <f>IFERROR(IF(ABS($G880)&gt;0,VLOOKUP($E880,'Fuel Category and Heat Rate'!$B$1:$G$34,6,FALSE)*($G880),""),"")</f>
        <v/>
      </c>
      <c r="I880" t="str">
        <f>IFERROR(VLOOKUP($E880,'Fuel Category and Heat Rate'!$K$2:$M$36,3,FALSE),"")</f>
        <v>petroleum diesel</v>
      </c>
    </row>
    <row r="881" spans="1:9" x14ac:dyDescent="0.15">
      <c r="A881" s="2">
        <v>94827</v>
      </c>
      <c r="B881" s="2" t="s">
        <v>70</v>
      </c>
      <c r="C881" s="2">
        <v>2020</v>
      </c>
      <c r="D881" s="2" t="s">
        <v>1</v>
      </c>
      <c r="E881" s="2" t="s">
        <v>19</v>
      </c>
      <c r="F881" s="2" t="s">
        <v>35</v>
      </c>
      <c r="G881" s="7">
        <v>-2.11</v>
      </c>
      <c r="H881" s="13">
        <f>IFERROR(IF(ABS($G881)&gt;0,VLOOKUP($E881,'Fuel Category and Heat Rate'!$B$1:$G$34,6,FALSE)*($G881),""),"")</f>
        <v>-836275728910.46472</v>
      </c>
      <c r="I881" t="str">
        <f>IFERROR(VLOOKUP($E881,'Fuel Category and Heat Rate'!$K$2:$M$36,3,FALSE),"")</f>
        <v>heavy or residual fuel oil</v>
      </c>
    </row>
    <row r="882" spans="1:9" x14ac:dyDescent="0.15">
      <c r="A882" s="2">
        <v>94862</v>
      </c>
      <c r="B882" s="2" t="s">
        <v>70</v>
      </c>
      <c r="C882" s="2">
        <v>2020</v>
      </c>
      <c r="D882" s="2" t="s">
        <v>1</v>
      </c>
      <c r="E882" s="2" t="s">
        <v>31</v>
      </c>
      <c r="F882" s="2" t="s">
        <v>37</v>
      </c>
      <c r="G882" s="7">
        <v>8761.41</v>
      </c>
      <c r="H882" s="13">
        <f>IFERROR(IF(ABS($G882)&gt;0,VLOOKUP($E882,'Fuel Category and Heat Rate'!$B$1:$G$34,6,FALSE)*($G882),""),"")</f>
        <v>83042144167059.969</v>
      </c>
      <c r="I882" t="str">
        <f>IFERROR(VLOOKUP($E882,'Fuel Category and Heat Rate'!$K$2:$M$36,3,FALSE),"")</f>
        <v>heat</v>
      </c>
    </row>
    <row r="883" spans="1:9" x14ac:dyDescent="0.15">
      <c r="A883" s="2">
        <v>94897</v>
      </c>
      <c r="B883" s="2" t="s">
        <v>70</v>
      </c>
      <c r="C883" s="2">
        <v>2020</v>
      </c>
      <c r="D883" s="2" t="s">
        <v>1</v>
      </c>
      <c r="E883" s="2" t="s">
        <v>23</v>
      </c>
      <c r="F883" s="2" t="s">
        <v>35</v>
      </c>
      <c r="G883" s="7"/>
      <c r="H883" s="13" t="str">
        <f>IFERROR(IF(ABS($G883)&gt;0,VLOOKUP($E883,'Fuel Category and Heat Rate'!$B$1:$G$34,6,FALSE)*($G883),""),"")</f>
        <v/>
      </c>
      <c r="I883" t="str">
        <f>IFERROR(VLOOKUP($E883,'Fuel Category and Heat Rate'!$K$2:$M$36,3,FALSE),"")</f>
        <v>heavy or residual fuel oil</v>
      </c>
    </row>
    <row r="884" spans="1:9" x14ac:dyDescent="0.15">
      <c r="A884" s="2">
        <v>94932</v>
      </c>
      <c r="B884" s="2" t="s">
        <v>70</v>
      </c>
      <c r="C884" s="2">
        <v>2020</v>
      </c>
      <c r="D884" s="2" t="s">
        <v>1</v>
      </c>
      <c r="E884" s="2" t="s">
        <v>21</v>
      </c>
      <c r="F884" s="2" t="s">
        <v>35</v>
      </c>
      <c r="G884" s="7"/>
      <c r="H884" s="13" t="str">
        <f>IFERROR(IF(ABS($G884)&gt;0,VLOOKUP($E884,'Fuel Category and Heat Rate'!$B$1:$G$34,6,FALSE)*($G884),""),"")</f>
        <v/>
      </c>
      <c r="I884" t="str">
        <f>IFERROR(VLOOKUP($E884,'Fuel Category and Heat Rate'!$K$2:$M$36,3,FALSE),"")</f>
        <v>LPG propane or butane</v>
      </c>
    </row>
    <row r="885" spans="1:9" x14ac:dyDescent="0.15">
      <c r="A885" s="2">
        <v>94967</v>
      </c>
      <c r="B885" s="2" t="s">
        <v>70</v>
      </c>
      <c r="C885" s="2">
        <v>2020</v>
      </c>
      <c r="D885" s="2" t="s">
        <v>1</v>
      </c>
      <c r="E885" s="2" t="s">
        <v>22</v>
      </c>
      <c r="F885" s="2" t="s">
        <v>35</v>
      </c>
      <c r="G885" s="7"/>
      <c r="H885" s="13" t="str">
        <f>IFERROR(IF(ABS($G885)&gt;0,VLOOKUP($E885,'Fuel Category and Heat Rate'!$B$1:$G$34,6,FALSE)*($G885),""),"")</f>
        <v/>
      </c>
      <c r="I885" t="str">
        <f>IFERROR(VLOOKUP($E885,'Fuel Category and Heat Rate'!$K$2:$M$36,3,FALSE),"")</f>
        <v>heavy fuel oil</v>
      </c>
    </row>
    <row r="886" spans="1:9" x14ac:dyDescent="0.15">
      <c r="A886" s="2">
        <v>95002</v>
      </c>
      <c r="B886" s="2" t="s">
        <v>70</v>
      </c>
      <c r="C886" s="2">
        <v>2020</v>
      </c>
      <c r="D886" s="2" t="s">
        <v>1</v>
      </c>
      <c r="E886" s="2" t="s">
        <v>20</v>
      </c>
      <c r="F886" s="2" t="s">
        <v>35</v>
      </c>
      <c r="G886" s="7"/>
      <c r="H886" s="13" t="str">
        <f>IFERROR(IF(ABS($G886)&gt;0,VLOOKUP($E886,'Fuel Category and Heat Rate'!$B$1:$G$34,6,FALSE)*($G886),""),"")</f>
        <v/>
      </c>
      <c r="I886" t="str">
        <f>IFERROR(VLOOKUP($E886,'Fuel Category and Heat Rate'!$K$2:$M$36,3,FALSE),"")</f>
        <v>LPG propane or butane</v>
      </c>
    </row>
    <row r="887" spans="1:9" x14ac:dyDescent="0.15">
      <c r="A887" s="2">
        <v>95037</v>
      </c>
      <c r="B887" s="2" t="s">
        <v>70</v>
      </c>
      <c r="C887" s="2">
        <v>2020</v>
      </c>
      <c r="D887" s="2" t="s">
        <v>1</v>
      </c>
      <c r="E887" s="2" t="s">
        <v>25</v>
      </c>
      <c r="F887" s="2" t="s">
        <v>35</v>
      </c>
      <c r="G887" s="7">
        <v>-2.48</v>
      </c>
      <c r="H887" s="13">
        <f>IFERROR(IF(ABS($G887)&gt;0,VLOOKUP($E887,'Fuel Category and Heat Rate'!$B$1:$G$34,6,FALSE)*($G887),""),"")</f>
        <v>-750941857722.50818</v>
      </c>
      <c r="I887" t="str">
        <f>IFERROR(VLOOKUP($E887,'Fuel Category and Heat Rate'!$K$2:$M$36,3,FALSE),"")</f>
        <v>heavy fuel oil</v>
      </c>
    </row>
    <row r="888" spans="1:9" x14ac:dyDescent="0.15">
      <c r="A888" s="2">
        <v>95072</v>
      </c>
      <c r="B888" s="2" t="s">
        <v>70</v>
      </c>
      <c r="C888" s="2">
        <v>2020</v>
      </c>
      <c r="D888" s="2" t="s">
        <v>1</v>
      </c>
      <c r="E888" s="2" t="s">
        <v>24</v>
      </c>
      <c r="F888" s="2" t="s">
        <v>35</v>
      </c>
      <c r="G888" s="7"/>
      <c r="H888" s="13" t="str">
        <f>IFERROR(IF(ABS($G888)&gt;0,VLOOKUP($E888,'Fuel Category and Heat Rate'!$B$1:$G$34,6,FALSE)*($G888),""),"")</f>
        <v/>
      </c>
      <c r="I888" t="str">
        <f>IFERROR(VLOOKUP($E888,'Fuel Category and Heat Rate'!$K$2:$M$36,3,FALSE),"")</f>
        <v>heavy fuel oil</v>
      </c>
    </row>
    <row r="889" spans="1:9" x14ac:dyDescent="0.15">
      <c r="A889" s="2">
        <v>95107</v>
      </c>
      <c r="B889" s="2" t="s">
        <v>70</v>
      </c>
      <c r="C889" s="2">
        <v>2020</v>
      </c>
      <c r="D889" s="2" t="s">
        <v>1</v>
      </c>
      <c r="E889" s="2" t="s">
        <v>29</v>
      </c>
      <c r="F889" s="2" t="s">
        <v>36</v>
      </c>
      <c r="G889" s="7">
        <v>-0.88</v>
      </c>
      <c r="H889" s="13">
        <f>IFERROR(IF(ABS($G889)&gt;0,VLOOKUP($E889,'Fuel Category and Heat Rate'!$B$1:$G$34,6,FALSE)*($G889),""),"")</f>
        <v>-2968028659335.9014</v>
      </c>
      <c r="I889" t="str">
        <f>IFERROR(VLOOKUP($E889,'Fuel Category and Heat Rate'!$K$2:$M$36,3,FALSE),"")</f>
        <v>natural gas</v>
      </c>
    </row>
    <row r="890" spans="1:9" x14ac:dyDescent="0.15">
      <c r="A890" s="2">
        <v>95142</v>
      </c>
      <c r="B890" s="2" t="s">
        <v>70</v>
      </c>
      <c r="C890" s="2">
        <v>2020</v>
      </c>
      <c r="D890" s="2" t="s">
        <v>1</v>
      </c>
      <c r="E890" s="2" t="s">
        <v>4</v>
      </c>
      <c r="F890" s="2" t="s">
        <v>35</v>
      </c>
      <c r="G890" s="7"/>
      <c r="H890" s="13" t="str">
        <f>IFERROR(IF(ABS($G890)&gt;0,VLOOKUP($E890,'Fuel Category and Heat Rate'!$B$1:$G$34,6,FALSE)*($G890),""),"")</f>
        <v/>
      </c>
      <c r="I890" t="str">
        <f>IFERROR(VLOOKUP($E890,'Fuel Category and Heat Rate'!$K$2:$M$36,3,FALSE),"")</f>
        <v>coal</v>
      </c>
    </row>
    <row r="891" spans="1:9" x14ac:dyDescent="0.15">
      <c r="A891" s="2">
        <v>95177</v>
      </c>
      <c r="B891" s="2" t="s">
        <v>70</v>
      </c>
      <c r="C891" s="2">
        <v>2020</v>
      </c>
      <c r="D891" s="2" t="s">
        <v>1</v>
      </c>
      <c r="E891" s="2" t="s">
        <v>6</v>
      </c>
      <c r="F891" s="2" t="s">
        <v>35</v>
      </c>
      <c r="G891" s="7"/>
      <c r="H891" s="13" t="str">
        <f>IFERROR(IF(ABS($G891)&gt;0,VLOOKUP($E891,'Fuel Category and Heat Rate'!$B$1:$G$34,6,FALSE)*($G891),""),"")</f>
        <v/>
      </c>
      <c r="I891" t="str">
        <f>IFERROR(VLOOKUP($E891,'Fuel Category and Heat Rate'!$K$2:$M$36,3,FALSE),"")</f>
        <v>coal</v>
      </c>
    </row>
    <row r="892" spans="1:9" x14ac:dyDescent="0.15">
      <c r="A892" s="2">
        <v>95212</v>
      </c>
      <c r="B892" s="2" t="s">
        <v>70</v>
      </c>
      <c r="C892" s="2">
        <v>2020</v>
      </c>
      <c r="D892" s="2" t="s">
        <v>1</v>
      </c>
      <c r="E892" s="2" t="s">
        <v>26</v>
      </c>
      <c r="F892" s="2" t="s">
        <v>35</v>
      </c>
      <c r="G892" s="7"/>
      <c r="H892" s="13" t="str">
        <f>IFERROR(IF(ABS($G892)&gt;0,VLOOKUP($E892,'Fuel Category and Heat Rate'!$B$1:$G$34,6,FALSE)*($G892),""),"")</f>
        <v/>
      </c>
      <c r="I892" t="str">
        <f>IFERROR(VLOOKUP($E892,'Fuel Category and Heat Rate'!$K$2:$M$36,3,FALSE),"")</f>
        <v>LPG propane or butane</v>
      </c>
    </row>
    <row r="893" spans="1:9" x14ac:dyDescent="0.15">
      <c r="A893" s="2">
        <v>95247</v>
      </c>
      <c r="B893" s="2" t="s">
        <v>70</v>
      </c>
      <c r="C893" s="2">
        <v>2020</v>
      </c>
      <c r="D893" s="2" t="s">
        <v>1</v>
      </c>
      <c r="E893" s="2" t="s">
        <v>30</v>
      </c>
      <c r="F893" s="2" t="s">
        <v>35</v>
      </c>
      <c r="G893" s="7"/>
      <c r="H893" s="13" t="str">
        <f>IFERROR(IF(ABS($G893)&gt;0,VLOOKUP($E893,'Fuel Category and Heat Rate'!$B$1:$G$34,6,FALSE)*($G893),""),"")</f>
        <v/>
      </c>
      <c r="I893" t="str">
        <f>IFERROR(VLOOKUP($E893,'Fuel Category and Heat Rate'!$K$2:$M$36,3,FALSE),"")</f>
        <v>natural gas</v>
      </c>
    </row>
    <row r="894" spans="1:9" x14ac:dyDescent="0.15">
      <c r="A894" s="2">
        <v>95282</v>
      </c>
      <c r="B894" s="2" t="s">
        <v>70</v>
      </c>
      <c r="C894" s="2">
        <v>2020</v>
      </c>
      <c r="D894" s="2" t="s">
        <v>1</v>
      </c>
      <c r="E894" s="2" t="s">
        <v>14</v>
      </c>
      <c r="F894" s="2" t="s">
        <v>35</v>
      </c>
      <c r="G894" s="7">
        <v>-8.17</v>
      </c>
      <c r="H894" s="13">
        <f>IFERROR(IF(ABS($G894)&gt;0,VLOOKUP($E894,'Fuel Category and Heat Rate'!$B$1:$G$34,6,FALSE)*($G894),""),"")</f>
        <v>0</v>
      </c>
      <c r="I894" t="str">
        <f>IFERROR(VLOOKUP($E894,'Fuel Category and Heat Rate'!$K$2:$M$36,3,FALSE),"")</f>
        <v/>
      </c>
    </row>
    <row r="895" spans="1:9" x14ac:dyDescent="0.15">
      <c r="A895" s="2">
        <v>95317</v>
      </c>
      <c r="B895" s="2" t="s">
        <v>70</v>
      </c>
      <c r="C895" s="2">
        <v>2020</v>
      </c>
      <c r="D895" s="2" t="s">
        <v>1</v>
      </c>
      <c r="E895" s="2" t="s">
        <v>3</v>
      </c>
      <c r="F895" s="2" t="s">
        <v>35</v>
      </c>
      <c r="G895" s="7">
        <v>-441.81</v>
      </c>
      <c r="H895" s="13">
        <f>IFERROR(IF(ABS($G895)&gt;0,VLOOKUP($E895,'Fuel Category and Heat Rate'!$B$1:$G$34,6,FALSE)*($G895),""),"")</f>
        <v>-87553312746429.484</v>
      </c>
      <c r="I895" t="str">
        <f>IFERROR(VLOOKUP($E895,'Fuel Category and Heat Rate'!$K$2:$M$36,3,FALSE),"")</f>
        <v>coal</v>
      </c>
    </row>
    <row r="896" spans="1:9" x14ac:dyDescent="0.15">
      <c r="A896" s="2">
        <v>95352</v>
      </c>
      <c r="B896" s="2" t="s">
        <v>70</v>
      </c>
      <c r="C896" s="2">
        <v>2020</v>
      </c>
      <c r="D896" s="2" t="s">
        <v>1</v>
      </c>
      <c r="E896" s="2" t="s">
        <v>15</v>
      </c>
      <c r="F896" s="2" t="s">
        <v>35</v>
      </c>
      <c r="G896" s="7"/>
      <c r="H896" s="13" t="str">
        <f>IFERROR(IF(ABS($G896)&gt;0,VLOOKUP($E896,'Fuel Category and Heat Rate'!$B$1:$G$34,6,FALSE)*($G896),""),"")</f>
        <v/>
      </c>
      <c r="I896" t="str">
        <f>IFERROR(VLOOKUP($E896,'Fuel Category and Heat Rate'!$K$2:$M$36,3,FALSE),"")</f>
        <v>crude oil</v>
      </c>
    </row>
    <row r="897" spans="1:9" x14ac:dyDescent="0.15">
      <c r="A897" s="2">
        <v>95387</v>
      </c>
      <c r="B897" s="2" t="s">
        <v>70</v>
      </c>
      <c r="C897" s="2">
        <v>2020</v>
      </c>
      <c r="D897" s="2" t="s">
        <v>1</v>
      </c>
      <c r="E897" s="2" t="s">
        <v>11</v>
      </c>
      <c r="F897" s="2" t="s">
        <v>36</v>
      </c>
      <c r="G897" s="7"/>
      <c r="H897" s="13" t="str">
        <f>IFERROR(IF(ABS($G897)&gt;0,VLOOKUP($E897,'Fuel Category and Heat Rate'!$B$1:$G$34,6,FALSE)*($G897),""),"")</f>
        <v/>
      </c>
      <c r="I897" t="str">
        <f>IFERROR(VLOOKUP($E897,'Fuel Category and Heat Rate'!$K$2:$M$36,3,FALSE),"")</f>
        <v>LPG propane or butane</v>
      </c>
    </row>
    <row r="898" spans="1:9" x14ac:dyDescent="0.15">
      <c r="A898" s="2">
        <v>95422</v>
      </c>
      <c r="B898" s="2" t="s">
        <v>70</v>
      </c>
      <c r="C898" s="2">
        <v>2019</v>
      </c>
      <c r="D898" s="2" t="s">
        <v>1</v>
      </c>
      <c r="E898" s="2" t="s">
        <v>18</v>
      </c>
      <c r="F898" s="2" t="s">
        <v>35</v>
      </c>
      <c r="G898" s="7">
        <v>-0.04</v>
      </c>
      <c r="H898" s="13">
        <f>IFERROR(IF(ABS($G898)&gt;0,VLOOKUP($E898,'Fuel Category and Heat Rate'!$B$1:$G$34,6,FALSE)*($G898),""),"")</f>
        <v>-16170518366.397381</v>
      </c>
      <c r="I898" t="str">
        <f>IFERROR(VLOOKUP($E898,'Fuel Category and Heat Rate'!$K$2:$M$36,3,FALSE),"")</f>
        <v>petroleum diesel</v>
      </c>
    </row>
    <row r="899" spans="1:9" x14ac:dyDescent="0.15">
      <c r="A899" s="2">
        <v>95457</v>
      </c>
      <c r="B899" s="2" t="s">
        <v>70</v>
      </c>
      <c r="C899" s="2">
        <v>2019</v>
      </c>
      <c r="D899" s="2" t="s">
        <v>1</v>
      </c>
      <c r="E899" s="2" t="s">
        <v>32</v>
      </c>
      <c r="F899" s="2" t="s">
        <v>65</v>
      </c>
      <c r="G899" s="7"/>
      <c r="H899" s="13" t="str">
        <f>IFERROR(IF(ABS($G899)&gt;0,VLOOKUP($E899,'Fuel Category and Heat Rate'!$B$1:$G$34,6,FALSE)*($G899),""),"")</f>
        <v/>
      </c>
      <c r="I899" t="str">
        <f>IFERROR(VLOOKUP($E899,'Fuel Category and Heat Rate'!$K$2:$M$36,3,FALSE),"")</f>
        <v>electricity</v>
      </c>
    </row>
    <row r="900" spans="1:9" x14ac:dyDescent="0.15">
      <c r="A900" s="2">
        <v>95492</v>
      </c>
      <c r="B900" s="2" t="s">
        <v>70</v>
      </c>
      <c r="C900" s="2">
        <v>2019</v>
      </c>
      <c r="D900" s="2" t="s">
        <v>1</v>
      </c>
      <c r="E900" s="2" t="s">
        <v>10</v>
      </c>
      <c r="F900" s="2" t="s">
        <v>36</v>
      </c>
      <c r="G900" s="7"/>
      <c r="H900" s="13" t="str">
        <f>IFERROR(IF(ABS($G900)&gt;0,VLOOKUP($E900,'Fuel Category and Heat Rate'!$B$1:$G$34,6,FALSE)*($G900),""),"")</f>
        <v/>
      </c>
      <c r="I900" t="str">
        <f>IFERROR(VLOOKUP($E900,'Fuel Category and Heat Rate'!$K$2:$M$36,3,FALSE),"")</f>
        <v>LPG propane or butane</v>
      </c>
    </row>
    <row r="901" spans="1:9" x14ac:dyDescent="0.15">
      <c r="A901" s="2">
        <v>95527</v>
      </c>
      <c r="B901" s="2" t="s">
        <v>70</v>
      </c>
      <c r="C901" s="2">
        <v>2019</v>
      </c>
      <c r="D901" s="2" t="s">
        <v>1</v>
      </c>
      <c r="E901" s="2" t="s">
        <v>9</v>
      </c>
      <c r="F901" s="2" t="s">
        <v>36</v>
      </c>
      <c r="G901" s="7"/>
      <c r="H901" s="13" t="str">
        <f>IFERROR(IF(ABS($G901)&gt;0,VLOOKUP($E901,'Fuel Category and Heat Rate'!$B$1:$G$34,6,FALSE)*($G901),""),"")</f>
        <v/>
      </c>
      <c r="I901" t="str">
        <f>IFERROR(VLOOKUP($E901,'Fuel Category and Heat Rate'!$K$2:$M$36,3,FALSE),"")</f>
        <v>LPG propane or butane</v>
      </c>
    </row>
    <row r="902" spans="1:9" x14ac:dyDescent="0.15">
      <c r="A902" s="2">
        <v>95562</v>
      </c>
      <c r="B902" s="2" t="s">
        <v>70</v>
      </c>
      <c r="C902" s="2">
        <v>2019</v>
      </c>
      <c r="D902" s="2" t="s">
        <v>1</v>
      </c>
      <c r="E902" s="2" t="s">
        <v>8</v>
      </c>
      <c r="F902" s="2" t="s">
        <v>35</v>
      </c>
      <c r="G902" s="7"/>
      <c r="H902" s="13" t="str">
        <f>IFERROR(IF(ABS($G902)&gt;0,VLOOKUP($E902,'Fuel Category and Heat Rate'!$B$1:$G$34,6,FALSE)*($G902),""),"")</f>
        <v/>
      </c>
      <c r="I902" t="str">
        <f>IFERROR(VLOOKUP($E902,'Fuel Category and Heat Rate'!$K$2:$M$36,3,FALSE),"")</f>
        <v>coal</v>
      </c>
    </row>
    <row r="903" spans="1:9" x14ac:dyDescent="0.15">
      <c r="A903" s="2">
        <v>95597</v>
      </c>
      <c r="B903" s="2" t="s">
        <v>70</v>
      </c>
      <c r="C903" s="2">
        <v>2019</v>
      </c>
      <c r="D903" s="2" t="s">
        <v>1</v>
      </c>
      <c r="E903" s="2" t="s">
        <v>27</v>
      </c>
      <c r="F903" s="2" t="s">
        <v>35</v>
      </c>
      <c r="G903" s="7">
        <v>-6.87</v>
      </c>
      <c r="H903" s="13">
        <f>IFERROR(IF(ABS($G903)&gt;0,VLOOKUP($E903,'Fuel Category and Heat Rate'!$B$1:$G$34,6,FALSE)*($G903),""),"")</f>
        <v>-2995161440979.6411</v>
      </c>
      <c r="I903" t="str">
        <f>IFERROR(VLOOKUP($E903,'Fuel Category and Heat Rate'!$K$2:$M$36,3,FALSE),"")</f>
        <v>LPG propane or butane</v>
      </c>
    </row>
    <row r="904" spans="1:9" x14ac:dyDescent="0.15">
      <c r="A904" s="2">
        <v>95632</v>
      </c>
      <c r="B904" s="2" t="s">
        <v>70</v>
      </c>
      <c r="C904" s="2">
        <v>2019</v>
      </c>
      <c r="D904" s="2" t="s">
        <v>1</v>
      </c>
      <c r="E904" s="2" t="s">
        <v>7</v>
      </c>
      <c r="F904" s="2" t="s">
        <v>35</v>
      </c>
      <c r="G904" s="7"/>
      <c r="H904" s="13" t="str">
        <f>IFERROR(IF(ABS($G904)&gt;0,VLOOKUP($E904,'Fuel Category and Heat Rate'!$B$1:$G$34,6,FALSE)*($G904),""),"")</f>
        <v/>
      </c>
      <c r="I904" t="str">
        <f>IFERROR(VLOOKUP($E904,'Fuel Category and Heat Rate'!$K$2:$M$36,3,FALSE),"")</f>
        <v>coal</v>
      </c>
    </row>
    <row r="905" spans="1:9" x14ac:dyDescent="0.15">
      <c r="A905" s="2">
        <v>95667</v>
      </c>
      <c r="B905" s="2" t="s">
        <v>70</v>
      </c>
      <c r="C905" s="2">
        <v>2019</v>
      </c>
      <c r="D905" s="2" t="s">
        <v>1</v>
      </c>
      <c r="E905" s="2" t="s">
        <v>2</v>
      </c>
      <c r="F905" s="2" t="s">
        <v>35</v>
      </c>
      <c r="G905" s="7">
        <v>-469.29</v>
      </c>
      <c r="H905" s="13">
        <f>IFERROR(IF(ABS($G905)&gt;0,VLOOKUP($E905,'Fuel Category and Heat Rate'!$B$1:$G$34,6,FALSE)*($G905),""),"")</f>
        <v>0</v>
      </c>
      <c r="I905" t="str">
        <f>IFERROR(VLOOKUP($E905,'Fuel Category and Heat Rate'!$K$2:$M$36,3,FALSE),"")</f>
        <v/>
      </c>
    </row>
    <row r="906" spans="1:9" x14ac:dyDescent="0.15">
      <c r="A906" s="2">
        <v>95702</v>
      </c>
      <c r="B906" s="2" t="s">
        <v>70</v>
      </c>
      <c r="C906" s="2">
        <v>2019</v>
      </c>
      <c r="D906" s="2" t="s">
        <v>1</v>
      </c>
      <c r="E906" s="2" t="s">
        <v>17</v>
      </c>
      <c r="F906" s="2" t="s">
        <v>35</v>
      </c>
      <c r="G906" s="7"/>
      <c r="H906" s="13" t="str">
        <f>IFERROR(IF(ABS($G906)&gt;0,VLOOKUP($E906,'Fuel Category and Heat Rate'!$B$1:$G$34,6,FALSE)*($G906),""),"")</f>
        <v/>
      </c>
      <c r="I906" t="str">
        <f>IFERROR(VLOOKUP($E906,'Fuel Category and Heat Rate'!$K$2:$M$36,3,FALSE),"")</f>
        <v>petroleum diesel</v>
      </c>
    </row>
    <row r="907" spans="1:9" x14ac:dyDescent="0.15">
      <c r="A907" s="2">
        <v>95737</v>
      </c>
      <c r="B907" s="2" t="s">
        <v>70</v>
      </c>
      <c r="C907" s="2">
        <v>2019</v>
      </c>
      <c r="D907" s="2" t="s">
        <v>1</v>
      </c>
      <c r="E907" s="2" t="s">
        <v>13</v>
      </c>
      <c r="F907" s="2" t="s">
        <v>35</v>
      </c>
      <c r="G907" s="7"/>
      <c r="H907" s="13" t="str">
        <f>IFERROR(IF(ABS($G907)&gt;0,VLOOKUP($E907,'Fuel Category and Heat Rate'!$B$1:$G$34,6,FALSE)*($G907),""),"")</f>
        <v/>
      </c>
      <c r="I907" t="str">
        <f>IFERROR(VLOOKUP($E907,'Fuel Category and Heat Rate'!$K$2:$M$36,3,FALSE),"")</f>
        <v>petroleum diesel</v>
      </c>
    </row>
    <row r="908" spans="1:9" x14ac:dyDescent="0.15">
      <c r="A908" s="2">
        <v>95772</v>
      </c>
      <c r="B908" s="2" t="s">
        <v>70</v>
      </c>
      <c r="C908" s="2">
        <v>2019</v>
      </c>
      <c r="D908" s="2" t="s">
        <v>1</v>
      </c>
      <c r="E908" s="2" t="s">
        <v>12</v>
      </c>
      <c r="F908" s="2" t="s">
        <v>36</v>
      </c>
      <c r="G908" s="7"/>
      <c r="H908" s="13" t="str">
        <f>IFERROR(IF(ABS($G908)&gt;0,VLOOKUP($E908,'Fuel Category and Heat Rate'!$B$1:$G$34,6,FALSE)*($G908),""),"")</f>
        <v/>
      </c>
      <c r="I908" t="str">
        <f>IFERROR(VLOOKUP($E908,'Fuel Category and Heat Rate'!$K$2:$M$36,3,FALSE),"")</f>
        <v>LPG propane or butane</v>
      </c>
    </row>
    <row r="909" spans="1:9" x14ac:dyDescent="0.15">
      <c r="A909" s="2">
        <v>95807</v>
      </c>
      <c r="B909" s="2" t="s">
        <v>70</v>
      </c>
      <c r="C909" s="2">
        <v>2019</v>
      </c>
      <c r="D909" s="2" t="s">
        <v>1</v>
      </c>
      <c r="E909" s="2" t="s">
        <v>33</v>
      </c>
      <c r="F909" s="2" t="s">
        <v>38</v>
      </c>
      <c r="G909" s="7">
        <v>-25.83</v>
      </c>
      <c r="H909" s="13">
        <f>IFERROR(IF(ABS($G909)&gt;0,VLOOKUP($E909,'Fuel Category and Heat Rate'!$B$1:$G$34,6,FALSE)*($G909),""),"")</f>
        <v>-7166160255876.501</v>
      </c>
      <c r="I909" t="str">
        <f>IFERROR(VLOOKUP($E909,'Fuel Category and Heat Rate'!$K$2:$M$36,3,FALSE),"")</f>
        <v>biomass</v>
      </c>
    </row>
    <row r="910" spans="1:9" x14ac:dyDescent="0.15">
      <c r="A910" s="2">
        <v>95842</v>
      </c>
      <c r="B910" s="2" t="s">
        <v>70</v>
      </c>
      <c r="C910" s="2">
        <v>2019</v>
      </c>
      <c r="D910" s="2" t="s">
        <v>1</v>
      </c>
      <c r="E910" s="2" t="s">
        <v>28</v>
      </c>
      <c r="F910" s="2" t="s">
        <v>35</v>
      </c>
      <c r="G910" s="7"/>
      <c r="H910" s="13" t="str">
        <f>IFERROR(IF(ABS($G910)&gt;0,VLOOKUP($E910,'Fuel Category and Heat Rate'!$B$1:$G$34,6,FALSE)*($G910),""),"")</f>
        <v/>
      </c>
      <c r="I910" t="str">
        <f>IFERROR(VLOOKUP($E910,'Fuel Category and Heat Rate'!$K$2:$M$36,3,FALSE),"")</f>
        <v>heavy or residual fuel oil</v>
      </c>
    </row>
    <row r="911" spans="1:9" x14ac:dyDescent="0.15">
      <c r="A911" s="2">
        <v>95877</v>
      </c>
      <c r="B911" s="2" t="s">
        <v>70</v>
      </c>
      <c r="C911" s="2">
        <v>2019</v>
      </c>
      <c r="D911" s="2" t="s">
        <v>1</v>
      </c>
      <c r="E911" s="2" t="s">
        <v>5</v>
      </c>
      <c r="F911" s="2" t="s">
        <v>35</v>
      </c>
      <c r="G911" s="7"/>
      <c r="H911" s="13" t="str">
        <f>IFERROR(IF(ABS($G911)&gt;0,VLOOKUP($E911,'Fuel Category and Heat Rate'!$B$1:$G$34,6,FALSE)*($G911),""),"")</f>
        <v/>
      </c>
      <c r="I911" t="str">
        <f>IFERROR(VLOOKUP($E911,'Fuel Category and Heat Rate'!$K$2:$M$36,3,FALSE),"")</f>
        <v>coal</v>
      </c>
    </row>
    <row r="912" spans="1:9" x14ac:dyDescent="0.15">
      <c r="A912" s="2">
        <v>95912</v>
      </c>
      <c r="B912" s="2" t="s">
        <v>70</v>
      </c>
      <c r="C912" s="2">
        <v>2019</v>
      </c>
      <c r="D912" s="2" t="s">
        <v>1</v>
      </c>
      <c r="E912" s="2" t="s">
        <v>16</v>
      </c>
      <c r="F912" s="2" t="s">
        <v>35</v>
      </c>
      <c r="G912" s="7"/>
      <c r="H912" s="13" t="str">
        <f>IFERROR(IF(ABS($G912)&gt;0,VLOOKUP($E912,'Fuel Category and Heat Rate'!$B$1:$G$34,6,FALSE)*($G912),""),"")</f>
        <v/>
      </c>
      <c r="I912" t="str">
        <f>IFERROR(VLOOKUP($E912,'Fuel Category and Heat Rate'!$K$2:$M$36,3,FALSE),"")</f>
        <v>petroleum diesel</v>
      </c>
    </row>
    <row r="913" spans="1:9" x14ac:dyDescent="0.15">
      <c r="A913" s="2">
        <v>95947</v>
      </c>
      <c r="B913" s="2" t="s">
        <v>70</v>
      </c>
      <c r="C913" s="2">
        <v>2019</v>
      </c>
      <c r="D913" s="2" t="s">
        <v>1</v>
      </c>
      <c r="E913" s="2" t="s">
        <v>19</v>
      </c>
      <c r="F913" s="2" t="s">
        <v>35</v>
      </c>
      <c r="G913" s="7">
        <v>-3.83</v>
      </c>
      <c r="H913" s="13">
        <f>IFERROR(IF(ABS($G913)&gt;0,VLOOKUP($E913,'Fuel Category and Heat Rate'!$B$1:$G$34,6,FALSE)*($G913),""),"")</f>
        <v>-1517979166695.2986</v>
      </c>
      <c r="I913" t="str">
        <f>IFERROR(VLOOKUP($E913,'Fuel Category and Heat Rate'!$K$2:$M$36,3,FALSE),"")</f>
        <v>heavy or residual fuel oil</v>
      </c>
    </row>
    <row r="914" spans="1:9" x14ac:dyDescent="0.15">
      <c r="A914" s="2">
        <v>95982</v>
      </c>
      <c r="B914" s="2" t="s">
        <v>70</v>
      </c>
      <c r="C914" s="2">
        <v>2019</v>
      </c>
      <c r="D914" s="2" t="s">
        <v>1</v>
      </c>
      <c r="E914" s="2" t="s">
        <v>31</v>
      </c>
      <c r="F914" s="2" t="s">
        <v>37</v>
      </c>
      <c r="G914" s="7">
        <v>8809.4699999999993</v>
      </c>
      <c r="H914" s="13">
        <f>IFERROR(IF(ABS($G914)&gt;0,VLOOKUP($E914,'Fuel Category and Heat Rate'!$B$1:$G$34,6,FALSE)*($G914),""),"")</f>
        <v>83497665076213.734</v>
      </c>
      <c r="I914" t="str">
        <f>IFERROR(VLOOKUP($E914,'Fuel Category and Heat Rate'!$K$2:$M$36,3,FALSE),"")</f>
        <v>heat</v>
      </c>
    </row>
    <row r="915" spans="1:9" x14ac:dyDescent="0.15">
      <c r="A915" s="2">
        <v>96017</v>
      </c>
      <c r="B915" s="2" t="s">
        <v>70</v>
      </c>
      <c r="C915" s="2">
        <v>2019</v>
      </c>
      <c r="D915" s="2" t="s">
        <v>1</v>
      </c>
      <c r="E915" s="2" t="s">
        <v>23</v>
      </c>
      <c r="F915" s="2" t="s">
        <v>35</v>
      </c>
      <c r="G915" s="7"/>
      <c r="H915" s="13" t="str">
        <f>IFERROR(IF(ABS($G915)&gt;0,VLOOKUP($E915,'Fuel Category and Heat Rate'!$B$1:$G$34,6,FALSE)*($G915),""),"")</f>
        <v/>
      </c>
      <c r="I915" t="str">
        <f>IFERROR(VLOOKUP($E915,'Fuel Category and Heat Rate'!$K$2:$M$36,3,FALSE),"")</f>
        <v>heavy or residual fuel oil</v>
      </c>
    </row>
    <row r="916" spans="1:9" x14ac:dyDescent="0.15">
      <c r="A916" s="2">
        <v>96052</v>
      </c>
      <c r="B916" s="2" t="s">
        <v>70</v>
      </c>
      <c r="C916" s="2">
        <v>2019</v>
      </c>
      <c r="D916" s="2" t="s">
        <v>1</v>
      </c>
      <c r="E916" s="2" t="s">
        <v>21</v>
      </c>
      <c r="F916" s="2" t="s">
        <v>35</v>
      </c>
      <c r="G916" s="7"/>
      <c r="H916" s="13" t="str">
        <f>IFERROR(IF(ABS($G916)&gt;0,VLOOKUP($E916,'Fuel Category and Heat Rate'!$B$1:$G$34,6,FALSE)*($G916),""),"")</f>
        <v/>
      </c>
      <c r="I916" t="str">
        <f>IFERROR(VLOOKUP($E916,'Fuel Category and Heat Rate'!$K$2:$M$36,3,FALSE),"")</f>
        <v>LPG propane or butane</v>
      </c>
    </row>
    <row r="917" spans="1:9" x14ac:dyDescent="0.15">
      <c r="A917" s="2">
        <v>96087</v>
      </c>
      <c r="B917" s="2" t="s">
        <v>70</v>
      </c>
      <c r="C917" s="2">
        <v>2019</v>
      </c>
      <c r="D917" s="2" t="s">
        <v>1</v>
      </c>
      <c r="E917" s="2" t="s">
        <v>22</v>
      </c>
      <c r="F917" s="2" t="s">
        <v>35</v>
      </c>
      <c r="G917" s="7"/>
      <c r="H917" s="13" t="str">
        <f>IFERROR(IF(ABS($G917)&gt;0,VLOOKUP($E917,'Fuel Category and Heat Rate'!$B$1:$G$34,6,FALSE)*($G917),""),"")</f>
        <v/>
      </c>
      <c r="I917" t="str">
        <f>IFERROR(VLOOKUP($E917,'Fuel Category and Heat Rate'!$K$2:$M$36,3,FALSE),"")</f>
        <v>heavy fuel oil</v>
      </c>
    </row>
    <row r="918" spans="1:9" x14ac:dyDescent="0.15">
      <c r="A918" s="2">
        <v>96122</v>
      </c>
      <c r="B918" s="2" t="s">
        <v>70</v>
      </c>
      <c r="C918" s="2">
        <v>2019</v>
      </c>
      <c r="D918" s="2" t="s">
        <v>1</v>
      </c>
      <c r="E918" s="2" t="s">
        <v>20</v>
      </c>
      <c r="F918" s="2" t="s">
        <v>35</v>
      </c>
      <c r="G918" s="7"/>
      <c r="H918" s="13" t="str">
        <f>IFERROR(IF(ABS($G918)&gt;0,VLOOKUP($E918,'Fuel Category and Heat Rate'!$B$1:$G$34,6,FALSE)*($G918),""),"")</f>
        <v/>
      </c>
      <c r="I918" t="str">
        <f>IFERROR(VLOOKUP($E918,'Fuel Category and Heat Rate'!$K$2:$M$36,3,FALSE),"")</f>
        <v>LPG propane or butane</v>
      </c>
    </row>
    <row r="919" spans="1:9" x14ac:dyDescent="0.15">
      <c r="A919" s="2">
        <v>96157</v>
      </c>
      <c r="B919" s="2" t="s">
        <v>70</v>
      </c>
      <c r="C919" s="2">
        <v>2019</v>
      </c>
      <c r="D919" s="2" t="s">
        <v>1</v>
      </c>
      <c r="E919" s="2" t="s">
        <v>25</v>
      </c>
      <c r="F919" s="2" t="s">
        <v>35</v>
      </c>
      <c r="G919" s="7">
        <v>-1.51</v>
      </c>
      <c r="H919" s="13">
        <f>IFERROR(IF(ABS($G919)&gt;0,VLOOKUP($E919,'Fuel Category and Heat Rate'!$B$1:$G$34,6,FALSE)*($G919),""),"")</f>
        <v>-457226695629.43042</v>
      </c>
      <c r="I919" t="str">
        <f>IFERROR(VLOOKUP($E919,'Fuel Category and Heat Rate'!$K$2:$M$36,3,FALSE),"")</f>
        <v>heavy fuel oil</v>
      </c>
    </row>
    <row r="920" spans="1:9" x14ac:dyDescent="0.15">
      <c r="A920" s="2">
        <v>96192</v>
      </c>
      <c r="B920" s="2" t="s">
        <v>70</v>
      </c>
      <c r="C920" s="2">
        <v>2019</v>
      </c>
      <c r="D920" s="2" t="s">
        <v>1</v>
      </c>
      <c r="E920" s="2" t="s">
        <v>24</v>
      </c>
      <c r="F920" s="2" t="s">
        <v>35</v>
      </c>
      <c r="G920" s="7"/>
      <c r="H920" s="13" t="str">
        <f>IFERROR(IF(ABS($G920)&gt;0,VLOOKUP($E920,'Fuel Category and Heat Rate'!$B$1:$G$34,6,FALSE)*($G920),""),"")</f>
        <v/>
      </c>
      <c r="I920" t="str">
        <f>IFERROR(VLOOKUP($E920,'Fuel Category and Heat Rate'!$K$2:$M$36,3,FALSE),"")</f>
        <v>heavy fuel oil</v>
      </c>
    </row>
    <row r="921" spans="1:9" x14ac:dyDescent="0.15">
      <c r="A921" s="2">
        <v>96227</v>
      </c>
      <c r="B921" s="2" t="s">
        <v>70</v>
      </c>
      <c r="C921" s="2">
        <v>2019</v>
      </c>
      <c r="D921" s="2" t="s">
        <v>1</v>
      </c>
      <c r="E921" s="2" t="s">
        <v>29</v>
      </c>
      <c r="F921" s="2" t="s">
        <v>36</v>
      </c>
      <c r="G921" s="7">
        <v>-1.1499999999999999</v>
      </c>
      <c r="H921" s="13">
        <f>IFERROR(IF(ABS($G921)&gt;0,VLOOKUP($E921,'Fuel Category and Heat Rate'!$B$1:$G$34,6,FALSE)*($G921),""),"")</f>
        <v>-3878673816177.5981</v>
      </c>
      <c r="I921" t="str">
        <f>IFERROR(VLOOKUP($E921,'Fuel Category and Heat Rate'!$K$2:$M$36,3,FALSE),"")</f>
        <v>natural gas</v>
      </c>
    </row>
    <row r="922" spans="1:9" x14ac:dyDescent="0.15">
      <c r="A922" s="2">
        <v>96262</v>
      </c>
      <c r="B922" s="2" t="s">
        <v>70</v>
      </c>
      <c r="C922" s="2">
        <v>2019</v>
      </c>
      <c r="D922" s="2" t="s">
        <v>1</v>
      </c>
      <c r="E922" s="2" t="s">
        <v>4</v>
      </c>
      <c r="F922" s="2" t="s">
        <v>35</v>
      </c>
      <c r="G922" s="7"/>
      <c r="H922" s="13" t="str">
        <f>IFERROR(IF(ABS($G922)&gt;0,VLOOKUP($E922,'Fuel Category and Heat Rate'!$B$1:$G$34,6,FALSE)*($G922),""),"")</f>
        <v/>
      </c>
      <c r="I922" t="str">
        <f>IFERROR(VLOOKUP($E922,'Fuel Category and Heat Rate'!$K$2:$M$36,3,FALSE),"")</f>
        <v>coal</v>
      </c>
    </row>
    <row r="923" spans="1:9" x14ac:dyDescent="0.15">
      <c r="A923" s="2">
        <v>96297</v>
      </c>
      <c r="B923" s="2" t="s">
        <v>70</v>
      </c>
      <c r="C923" s="2">
        <v>2019</v>
      </c>
      <c r="D923" s="2" t="s">
        <v>1</v>
      </c>
      <c r="E923" s="2" t="s">
        <v>6</v>
      </c>
      <c r="F923" s="2" t="s">
        <v>35</v>
      </c>
      <c r="G923" s="7"/>
      <c r="H923" s="13" t="str">
        <f>IFERROR(IF(ABS($G923)&gt;0,VLOOKUP($E923,'Fuel Category and Heat Rate'!$B$1:$G$34,6,FALSE)*($G923),""),"")</f>
        <v/>
      </c>
      <c r="I923" t="str">
        <f>IFERROR(VLOOKUP($E923,'Fuel Category and Heat Rate'!$K$2:$M$36,3,FALSE),"")</f>
        <v>coal</v>
      </c>
    </row>
    <row r="924" spans="1:9" x14ac:dyDescent="0.15">
      <c r="A924" s="2">
        <v>96332</v>
      </c>
      <c r="B924" s="2" t="s">
        <v>70</v>
      </c>
      <c r="C924" s="2">
        <v>2019</v>
      </c>
      <c r="D924" s="2" t="s">
        <v>1</v>
      </c>
      <c r="E924" s="2" t="s">
        <v>26</v>
      </c>
      <c r="F924" s="2" t="s">
        <v>35</v>
      </c>
      <c r="G924" s="7"/>
      <c r="H924" s="13" t="str">
        <f>IFERROR(IF(ABS($G924)&gt;0,VLOOKUP($E924,'Fuel Category and Heat Rate'!$B$1:$G$34,6,FALSE)*($G924),""),"")</f>
        <v/>
      </c>
      <c r="I924" t="str">
        <f>IFERROR(VLOOKUP($E924,'Fuel Category and Heat Rate'!$K$2:$M$36,3,FALSE),"")</f>
        <v>LPG propane or butane</v>
      </c>
    </row>
    <row r="925" spans="1:9" x14ac:dyDescent="0.15">
      <c r="A925" s="2">
        <v>96367</v>
      </c>
      <c r="B925" s="2" t="s">
        <v>70</v>
      </c>
      <c r="C925" s="2">
        <v>2019</v>
      </c>
      <c r="D925" s="2" t="s">
        <v>1</v>
      </c>
      <c r="E925" s="2" t="s">
        <v>30</v>
      </c>
      <c r="F925" s="2" t="s">
        <v>35</v>
      </c>
      <c r="G925" s="7"/>
      <c r="H925" s="13" t="str">
        <f>IFERROR(IF(ABS($G925)&gt;0,VLOOKUP($E925,'Fuel Category and Heat Rate'!$B$1:$G$34,6,FALSE)*($G925),""),"")</f>
        <v/>
      </c>
      <c r="I925" t="str">
        <f>IFERROR(VLOOKUP($E925,'Fuel Category and Heat Rate'!$K$2:$M$36,3,FALSE),"")</f>
        <v>natural gas</v>
      </c>
    </row>
    <row r="926" spans="1:9" x14ac:dyDescent="0.15">
      <c r="A926" s="2">
        <v>96402</v>
      </c>
      <c r="B926" s="2" t="s">
        <v>70</v>
      </c>
      <c r="C926" s="2">
        <v>2019</v>
      </c>
      <c r="D926" s="2" t="s">
        <v>1</v>
      </c>
      <c r="E926" s="2" t="s">
        <v>14</v>
      </c>
      <c r="F926" s="2" t="s">
        <v>35</v>
      </c>
      <c r="G926" s="7">
        <v>-12.25</v>
      </c>
      <c r="H926" s="13">
        <f>IFERROR(IF(ABS($G926)&gt;0,VLOOKUP($E926,'Fuel Category and Heat Rate'!$B$1:$G$34,6,FALSE)*($G926),""),"")</f>
        <v>0</v>
      </c>
      <c r="I926" t="str">
        <f>IFERROR(VLOOKUP($E926,'Fuel Category and Heat Rate'!$K$2:$M$36,3,FALSE),"")</f>
        <v/>
      </c>
    </row>
    <row r="927" spans="1:9" x14ac:dyDescent="0.15">
      <c r="A927" s="2">
        <v>96437</v>
      </c>
      <c r="B927" s="2" t="s">
        <v>70</v>
      </c>
      <c r="C927" s="2">
        <v>2019</v>
      </c>
      <c r="D927" s="2" t="s">
        <v>1</v>
      </c>
      <c r="E927" s="2" t="s">
        <v>3</v>
      </c>
      <c r="F927" s="2" t="s">
        <v>35</v>
      </c>
      <c r="G927" s="7">
        <v>-469.29</v>
      </c>
      <c r="H927" s="13">
        <f>IFERROR(IF(ABS($G927)&gt;0,VLOOKUP($E927,'Fuel Category and Heat Rate'!$B$1:$G$34,6,FALSE)*($G927),""),"")</f>
        <v>-92999013464547.875</v>
      </c>
      <c r="I927" t="str">
        <f>IFERROR(VLOOKUP($E927,'Fuel Category and Heat Rate'!$K$2:$M$36,3,FALSE),"")</f>
        <v>coal</v>
      </c>
    </row>
    <row r="928" spans="1:9" x14ac:dyDescent="0.15">
      <c r="A928" s="2">
        <v>96472</v>
      </c>
      <c r="B928" s="2" t="s">
        <v>70</v>
      </c>
      <c r="C928" s="2">
        <v>2019</v>
      </c>
      <c r="D928" s="2" t="s">
        <v>1</v>
      </c>
      <c r="E928" s="2" t="s">
        <v>15</v>
      </c>
      <c r="F928" s="2" t="s">
        <v>35</v>
      </c>
      <c r="G928" s="7"/>
      <c r="H928" s="13" t="str">
        <f>IFERROR(IF(ABS($G928)&gt;0,VLOOKUP($E928,'Fuel Category and Heat Rate'!$B$1:$G$34,6,FALSE)*($G928),""),"")</f>
        <v/>
      </c>
      <c r="I928" t="str">
        <f>IFERROR(VLOOKUP($E928,'Fuel Category and Heat Rate'!$K$2:$M$36,3,FALSE),"")</f>
        <v>crude oil</v>
      </c>
    </row>
    <row r="929" spans="1:9" x14ac:dyDescent="0.15">
      <c r="A929" s="2">
        <v>96507</v>
      </c>
      <c r="B929" s="2" t="s">
        <v>70</v>
      </c>
      <c r="C929" s="2">
        <v>2019</v>
      </c>
      <c r="D929" s="2" t="s">
        <v>1</v>
      </c>
      <c r="E929" s="2" t="s">
        <v>11</v>
      </c>
      <c r="F929" s="2" t="s">
        <v>36</v>
      </c>
      <c r="G929" s="7"/>
      <c r="H929" s="13" t="str">
        <f>IFERROR(IF(ABS($G929)&gt;0,VLOOKUP($E929,'Fuel Category and Heat Rate'!$B$1:$G$34,6,FALSE)*($G929),""),"")</f>
        <v/>
      </c>
      <c r="I929" t="str">
        <f>IFERROR(VLOOKUP($E929,'Fuel Category and Heat Rate'!$K$2:$M$36,3,FALSE),"")</f>
        <v>LPG propane or butane</v>
      </c>
    </row>
    <row r="930" spans="1:9" x14ac:dyDescent="0.15">
      <c r="A930" s="2">
        <v>96542</v>
      </c>
      <c r="B930" s="2" t="s">
        <v>70</v>
      </c>
      <c r="C930" s="2">
        <v>2018</v>
      </c>
      <c r="D930" s="2" t="s">
        <v>1</v>
      </c>
      <c r="E930" s="2" t="s">
        <v>18</v>
      </c>
      <c r="F930" s="2" t="s">
        <v>35</v>
      </c>
      <c r="G930" s="7">
        <v>-0.03</v>
      </c>
      <c r="H930" s="13">
        <f>IFERROR(IF(ABS($G930)&gt;0,VLOOKUP($E930,'Fuel Category and Heat Rate'!$B$1:$G$34,6,FALSE)*($G930),""),"")</f>
        <v>-12127888774.798035</v>
      </c>
      <c r="I930" t="str">
        <f>IFERROR(VLOOKUP($E930,'Fuel Category and Heat Rate'!$K$2:$M$36,3,FALSE),"")</f>
        <v>petroleum diesel</v>
      </c>
    </row>
    <row r="931" spans="1:9" x14ac:dyDescent="0.15">
      <c r="A931" s="2">
        <v>96577</v>
      </c>
      <c r="B931" s="2" t="s">
        <v>70</v>
      </c>
      <c r="C931" s="2">
        <v>2018</v>
      </c>
      <c r="D931" s="2" t="s">
        <v>1</v>
      </c>
      <c r="E931" s="2" t="s">
        <v>32</v>
      </c>
      <c r="F931" s="2" t="s">
        <v>65</v>
      </c>
      <c r="G931" s="7"/>
      <c r="H931" s="13" t="str">
        <f>IFERROR(IF(ABS($G931)&gt;0,VLOOKUP($E931,'Fuel Category and Heat Rate'!$B$1:$G$34,6,FALSE)*($G931),""),"")</f>
        <v/>
      </c>
      <c r="I931" t="str">
        <f>IFERROR(VLOOKUP($E931,'Fuel Category and Heat Rate'!$K$2:$M$36,3,FALSE),"")</f>
        <v>electricity</v>
      </c>
    </row>
    <row r="932" spans="1:9" x14ac:dyDescent="0.15">
      <c r="A932" s="2">
        <v>96612</v>
      </c>
      <c r="B932" s="2" t="s">
        <v>70</v>
      </c>
      <c r="C932" s="2">
        <v>2018</v>
      </c>
      <c r="D932" s="2" t="s">
        <v>1</v>
      </c>
      <c r="E932" s="2" t="s">
        <v>10</v>
      </c>
      <c r="F932" s="2" t="s">
        <v>36</v>
      </c>
      <c r="G932" s="7"/>
      <c r="H932" s="13" t="str">
        <f>IFERROR(IF(ABS($G932)&gt;0,VLOOKUP($E932,'Fuel Category and Heat Rate'!$B$1:$G$34,6,FALSE)*($G932),""),"")</f>
        <v/>
      </c>
      <c r="I932" t="str">
        <f>IFERROR(VLOOKUP($E932,'Fuel Category and Heat Rate'!$K$2:$M$36,3,FALSE),"")</f>
        <v>LPG propane or butane</v>
      </c>
    </row>
    <row r="933" spans="1:9" x14ac:dyDescent="0.15">
      <c r="A933" s="2">
        <v>96647</v>
      </c>
      <c r="B933" s="2" t="s">
        <v>70</v>
      </c>
      <c r="C933" s="2">
        <v>2018</v>
      </c>
      <c r="D933" s="2" t="s">
        <v>1</v>
      </c>
      <c r="E933" s="2" t="s">
        <v>9</v>
      </c>
      <c r="F933" s="2" t="s">
        <v>36</v>
      </c>
      <c r="G933" s="7"/>
      <c r="H933" s="13" t="str">
        <f>IFERROR(IF(ABS($G933)&gt;0,VLOOKUP($E933,'Fuel Category and Heat Rate'!$B$1:$G$34,6,FALSE)*($G933),""),"")</f>
        <v/>
      </c>
      <c r="I933" t="str">
        <f>IFERROR(VLOOKUP($E933,'Fuel Category and Heat Rate'!$K$2:$M$36,3,FALSE),"")</f>
        <v>LPG propane or butane</v>
      </c>
    </row>
    <row r="934" spans="1:9" x14ac:dyDescent="0.15">
      <c r="A934" s="2">
        <v>96682</v>
      </c>
      <c r="B934" s="2" t="s">
        <v>70</v>
      </c>
      <c r="C934" s="2">
        <v>2018</v>
      </c>
      <c r="D934" s="2" t="s">
        <v>1</v>
      </c>
      <c r="E934" s="2" t="s">
        <v>8</v>
      </c>
      <c r="F934" s="2" t="s">
        <v>35</v>
      </c>
      <c r="G934" s="7"/>
      <c r="H934" s="13" t="str">
        <f>IFERROR(IF(ABS($G934)&gt;0,VLOOKUP($E934,'Fuel Category and Heat Rate'!$B$1:$G$34,6,FALSE)*($G934),""),"")</f>
        <v/>
      </c>
      <c r="I934" t="str">
        <f>IFERROR(VLOOKUP($E934,'Fuel Category and Heat Rate'!$K$2:$M$36,3,FALSE),"")</f>
        <v>coal</v>
      </c>
    </row>
    <row r="935" spans="1:9" x14ac:dyDescent="0.15">
      <c r="A935" s="2">
        <v>96717</v>
      </c>
      <c r="B935" s="2" t="s">
        <v>70</v>
      </c>
      <c r="C935" s="2">
        <v>2018</v>
      </c>
      <c r="D935" s="2" t="s">
        <v>1</v>
      </c>
      <c r="E935" s="2" t="s">
        <v>27</v>
      </c>
      <c r="F935" s="2" t="s">
        <v>35</v>
      </c>
      <c r="G935" s="7">
        <v>-3.85</v>
      </c>
      <c r="H935" s="13">
        <f>IFERROR(IF(ABS($G935)&gt;0,VLOOKUP($E935,'Fuel Category and Heat Rate'!$B$1:$G$34,6,FALSE)*($G935),""),"")</f>
        <v>-1678511142324.8354</v>
      </c>
      <c r="I935" t="str">
        <f>IFERROR(VLOOKUP($E935,'Fuel Category and Heat Rate'!$K$2:$M$36,3,FALSE),"")</f>
        <v>LPG propane or butane</v>
      </c>
    </row>
    <row r="936" spans="1:9" x14ac:dyDescent="0.15">
      <c r="A936" s="2">
        <v>96752</v>
      </c>
      <c r="B936" s="2" t="s">
        <v>70</v>
      </c>
      <c r="C936" s="2">
        <v>2018</v>
      </c>
      <c r="D936" s="2" t="s">
        <v>1</v>
      </c>
      <c r="E936" s="2" t="s">
        <v>7</v>
      </c>
      <c r="F936" s="2" t="s">
        <v>35</v>
      </c>
      <c r="G936" s="7"/>
      <c r="H936" s="13" t="str">
        <f>IFERROR(IF(ABS($G936)&gt;0,VLOOKUP($E936,'Fuel Category and Heat Rate'!$B$1:$G$34,6,FALSE)*($G936),""),"")</f>
        <v/>
      </c>
      <c r="I936" t="str">
        <f>IFERROR(VLOOKUP($E936,'Fuel Category and Heat Rate'!$K$2:$M$36,3,FALSE),"")</f>
        <v>coal</v>
      </c>
    </row>
    <row r="937" spans="1:9" x14ac:dyDescent="0.15">
      <c r="A937" s="2">
        <v>96787</v>
      </c>
      <c r="B937" s="2" t="s">
        <v>70</v>
      </c>
      <c r="C937" s="2">
        <v>2018</v>
      </c>
      <c r="D937" s="2" t="s">
        <v>1</v>
      </c>
      <c r="E937" s="2" t="s">
        <v>2</v>
      </c>
      <c r="F937" s="2" t="s">
        <v>35</v>
      </c>
      <c r="G937" s="7">
        <v>-503.63</v>
      </c>
      <c r="H937" s="13">
        <f>IFERROR(IF(ABS($G937)&gt;0,VLOOKUP($E937,'Fuel Category and Heat Rate'!$B$1:$G$34,6,FALSE)*($G937),""),"")</f>
        <v>0</v>
      </c>
      <c r="I937" t="str">
        <f>IFERROR(VLOOKUP($E937,'Fuel Category and Heat Rate'!$K$2:$M$36,3,FALSE),"")</f>
        <v/>
      </c>
    </row>
    <row r="938" spans="1:9" x14ac:dyDescent="0.15">
      <c r="A938" s="2">
        <v>96822</v>
      </c>
      <c r="B938" s="2" t="s">
        <v>70</v>
      </c>
      <c r="C938" s="2">
        <v>2018</v>
      </c>
      <c r="D938" s="2" t="s">
        <v>1</v>
      </c>
      <c r="E938" s="2" t="s">
        <v>17</v>
      </c>
      <c r="F938" s="2" t="s">
        <v>35</v>
      </c>
      <c r="G938" s="7">
        <v>-0.03</v>
      </c>
      <c r="H938" s="13">
        <f>IFERROR(IF(ABS($G938)&gt;0,VLOOKUP($E938,'Fuel Category and Heat Rate'!$B$1:$G$34,6,FALSE)*($G938),""),"")</f>
        <v>-12246745041.98048</v>
      </c>
      <c r="I938" t="str">
        <f>IFERROR(VLOOKUP($E938,'Fuel Category and Heat Rate'!$K$2:$M$36,3,FALSE),"")</f>
        <v>petroleum diesel</v>
      </c>
    </row>
    <row r="939" spans="1:9" x14ac:dyDescent="0.15">
      <c r="A939" s="2">
        <v>96857</v>
      </c>
      <c r="B939" s="2" t="s">
        <v>70</v>
      </c>
      <c r="C939" s="2">
        <v>2018</v>
      </c>
      <c r="D939" s="2" t="s">
        <v>1</v>
      </c>
      <c r="E939" s="2" t="s">
        <v>13</v>
      </c>
      <c r="F939" s="2" t="s">
        <v>35</v>
      </c>
      <c r="G939" s="7"/>
      <c r="H939" s="13" t="str">
        <f>IFERROR(IF(ABS($G939)&gt;0,VLOOKUP($E939,'Fuel Category and Heat Rate'!$B$1:$G$34,6,FALSE)*($G939),""),"")</f>
        <v/>
      </c>
      <c r="I939" t="str">
        <f>IFERROR(VLOOKUP($E939,'Fuel Category and Heat Rate'!$K$2:$M$36,3,FALSE),"")</f>
        <v>petroleum diesel</v>
      </c>
    </row>
    <row r="940" spans="1:9" x14ac:dyDescent="0.15">
      <c r="A940" s="2">
        <v>96892</v>
      </c>
      <c r="B940" s="2" t="s">
        <v>70</v>
      </c>
      <c r="C940" s="2">
        <v>2018</v>
      </c>
      <c r="D940" s="2" t="s">
        <v>1</v>
      </c>
      <c r="E940" s="2" t="s">
        <v>12</v>
      </c>
      <c r="F940" s="2" t="s">
        <v>36</v>
      </c>
      <c r="G940" s="7"/>
      <c r="H940" s="13" t="str">
        <f>IFERROR(IF(ABS($G940)&gt;0,VLOOKUP($E940,'Fuel Category and Heat Rate'!$B$1:$G$34,6,FALSE)*($G940),""),"")</f>
        <v/>
      </c>
      <c r="I940" t="str">
        <f>IFERROR(VLOOKUP($E940,'Fuel Category and Heat Rate'!$K$2:$M$36,3,FALSE),"")</f>
        <v>LPG propane or butane</v>
      </c>
    </row>
    <row r="941" spans="1:9" x14ac:dyDescent="0.15">
      <c r="A941" s="2">
        <v>96927</v>
      </c>
      <c r="B941" s="2" t="s">
        <v>70</v>
      </c>
      <c r="C941" s="2">
        <v>2018</v>
      </c>
      <c r="D941" s="2" t="s">
        <v>1</v>
      </c>
      <c r="E941" s="2" t="s">
        <v>33</v>
      </c>
      <c r="F941" s="2" t="s">
        <v>38</v>
      </c>
      <c r="G941" s="7">
        <v>-13.75</v>
      </c>
      <c r="H941" s="13">
        <f>IFERROR(IF(ABS($G941)&gt;0,VLOOKUP($E941,'Fuel Category and Heat Rate'!$B$1:$G$34,6,FALSE)*($G941),""),"")</f>
        <v>-3814738812168.0947</v>
      </c>
      <c r="I941" t="str">
        <f>IFERROR(VLOOKUP($E941,'Fuel Category and Heat Rate'!$K$2:$M$36,3,FALSE),"")</f>
        <v>biomass</v>
      </c>
    </row>
    <row r="942" spans="1:9" x14ac:dyDescent="0.15">
      <c r="A942" s="2">
        <v>96962</v>
      </c>
      <c r="B942" s="2" t="s">
        <v>70</v>
      </c>
      <c r="C942" s="2">
        <v>2018</v>
      </c>
      <c r="D942" s="2" t="s">
        <v>1</v>
      </c>
      <c r="E942" s="2" t="s">
        <v>28</v>
      </c>
      <c r="F942" s="2" t="s">
        <v>35</v>
      </c>
      <c r="G942" s="7"/>
      <c r="H942" s="13" t="str">
        <f>IFERROR(IF(ABS($G942)&gt;0,VLOOKUP($E942,'Fuel Category and Heat Rate'!$B$1:$G$34,6,FALSE)*($G942),""),"")</f>
        <v/>
      </c>
      <c r="I942" t="str">
        <f>IFERROR(VLOOKUP($E942,'Fuel Category and Heat Rate'!$K$2:$M$36,3,FALSE),"")</f>
        <v>heavy or residual fuel oil</v>
      </c>
    </row>
    <row r="943" spans="1:9" x14ac:dyDescent="0.15">
      <c r="A943" s="2">
        <v>96997</v>
      </c>
      <c r="B943" s="2" t="s">
        <v>70</v>
      </c>
      <c r="C943" s="2">
        <v>2018</v>
      </c>
      <c r="D943" s="2" t="s">
        <v>1</v>
      </c>
      <c r="E943" s="2" t="s">
        <v>5</v>
      </c>
      <c r="F943" s="2" t="s">
        <v>35</v>
      </c>
      <c r="G943" s="7"/>
      <c r="H943" s="13" t="str">
        <f>IFERROR(IF(ABS($G943)&gt;0,VLOOKUP($E943,'Fuel Category and Heat Rate'!$B$1:$G$34,6,FALSE)*($G943),""),"")</f>
        <v/>
      </c>
      <c r="I943" t="str">
        <f>IFERROR(VLOOKUP($E943,'Fuel Category and Heat Rate'!$K$2:$M$36,3,FALSE),"")</f>
        <v>coal</v>
      </c>
    </row>
    <row r="944" spans="1:9" x14ac:dyDescent="0.15">
      <c r="A944" s="2">
        <v>97032</v>
      </c>
      <c r="B944" s="2" t="s">
        <v>70</v>
      </c>
      <c r="C944" s="2">
        <v>2018</v>
      </c>
      <c r="D944" s="2" t="s">
        <v>1</v>
      </c>
      <c r="E944" s="2" t="s">
        <v>16</v>
      </c>
      <c r="F944" s="2" t="s">
        <v>35</v>
      </c>
      <c r="G944" s="7"/>
      <c r="H944" s="13" t="str">
        <f>IFERROR(IF(ABS($G944)&gt;0,VLOOKUP($E944,'Fuel Category and Heat Rate'!$B$1:$G$34,6,FALSE)*($G944),""),"")</f>
        <v/>
      </c>
      <c r="I944" t="str">
        <f>IFERROR(VLOOKUP($E944,'Fuel Category and Heat Rate'!$K$2:$M$36,3,FALSE),"")</f>
        <v>petroleum diesel</v>
      </c>
    </row>
    <row r="945" spans="1:9" x14ac:dyDescent="0.15">
      <c r="A945" s="2">
        <v>97067</v>
      </c>
      <c r="B945" s="2" t="s">
        <v>70</v>
      </c>
      <c r="C945" s="2">
        <v>2018</v>
      </c>
      <c r="D945" s="2" t="s">
        <v>1</v>
      </c>
      <c r="E945" s="2" t="s">
        <v>19</v>
      </c>
      <c r="F945" s="2" t="s">
        <v>35</v>
      </c>
      <c r="G945" s="7"/>
      <c r="H945" s="13" t="str">
        <f>IFERROR(IF(ABS($G945)&gt;0,VLOOKUP($E945,'Fuel Category and Heat Rate'!$B$1:$G$34,6,FALSE)*($G945),""),"")</f>
        <v/>
      </c>
      <c r="I945" t="str">
        <f>IFERROR(VLOOKUP($E945,'Fuel Category and Heat Rate'!$K$2:$M$36,3,FALSE),"")</f>
        <v>heavy or residual fuel oil</v>
      </c>
    </row>
    <row r="946" spans="1:9" x14ac:dyDescent="0.15">
      <c r="A946" s="2">
        <v>97102</v>
      </c>
      <c r="B946" s="2" t="s">
        <v>70</v>
      </c>
      <c r="C946" s="2">
        <v>2018</v>
      </c>
      <c r="D946" s="2" t="s">
        <v>1</v>
      </c>
      <c r="E946" s="2" t="s">
        <v>31</v>
      </c>
      <c r="F946" s="2" t="s">
        <v>37</v>
      </c>
      <c r="G946" s="7">
        <v>8650.15</v>
      </c>
      <c r="H946" s="13">
        <f>IFERROR(IF(ABS($G946)&gt;0,VLOOKUP($E946,'Fuel Category and Heat Rate'!$B$1:$G$34,6,FALSE)*($G946),""),"")</f>
        <v>81987602836380.656</v>
      </c>
      <c r="I946" t="str">
        <f>IFERROR(VLOOKUP($E946,'Fuel Category and Heat Rate'!$K$2:$M$36,3,FALSE),"")</f>
        <v>heat</v>
      </c>
    </row>
    <row r="947" spans="1:9" x14ac:dyDescent="0.15">
      <c r="A947" s="2">
        <v>97137</v>
      </c>
      <c r="B947" s="2" t="s">
        <v>70</v>
      </c>
      <c r="C947" s="2">
        <v>2018</v>
      </c>
      <c r="D947" s="2" t="s">
        <v>1</v>
      </c>
      <c r="E947" s="2" t="s">
        <v>23</v>
      </c>
      <c r="F947" s="2" t="s">
        <v>35</v>
      </c>
      <c r="G947" s="7"/>
      <c r="H947" s="13" t="str">
        <f>IFERROR(IF(ABS($G947)&gt;0,VLOOKUP($E947,'Fuel Category and Heat Rate'!$B$1:$G$34,6,FALSE)*($G947),""),"")</f>
        <v/>
      </c>
      <c r="I947" t="str">
        <f>IFERROR(VLOOKUP($E947,'Fuel Category and Heat Rate'!$K$2:$M$36,3,FALSE),"")</f>
        <v>heavy or residual fuel oil</v>
      </c>
    </row>
    <row r="948" spans="1:9" x14ac:dyDescent="0.15">
      <c r="A948" s="2">
        <v>97172</v>
      </c>
      <c r="B948" s="2" t="s">
        <v>70</v>
      </c>
      <c r="C948" s="2">
        <v>2018</v>
      </c>
      <c r="D948" s="2" t="s">
        <v>1</v>
      </c>
      <c r="E948" s="2" t="s">
        <v>21</v>
      </c>
      <c r="F948" s="2" t="s">
        <v>35</v>
      </c>
      <c r="G948" s="7"/>
      <c r="H948" s="13" t="str">
        <f>IFERROR(IF(ABS($G948)&gt;0,VLOOKUP($E948,'Fuel Category and Heat Rate'!$B$1:$G$34,6,FALSE)*($G948),""),"")</f>
        <v/>
      </c>
      <c r="I948" t="str">
        <f>IFERROR(VLOOKUP($E948,'Fuel Category and Heat Rate'!$K$2:$M$36,3,FALSE),"")</f>
        <v>LPG propane or butane</v>
      </c>
    </row>
    <row r="949" spans="1:9" x14ac:dyDescent="0.15">
      <c r="A949" s="2">
        <v>97207</v>
      </c>
      <c r="B949" s="2" t="s">
        <v>70</v>
      </c>
      <c r="C949" s="2">
        <v>2018</v>
      </c>
      <c r="D949" s="2" t="s">
        <v>1</v>
      </c>
      <c r="E949" s="2" t="s">
        <v>22</v>
      </c>
      <c r="F949" s="2" t="s">
        <v>35</v>
      </c>
      <c r="G949" s="7"/>
      <c r="H949" s="13" t="str">
        <f>IFERROR(IF(ABS($G949)&gt;0,VLOOKUP($E949,'Fuel Category and Heat Rate'!$B$1:$G$34,6,FALSE)*($G949),""),"")</f>
        <v/>
      </c>
      <c r="I949" t="str">
        <f>IFERROR(VLOOKUP($E949,'Fuel Category and Heat Rate'!$K$2:$M$36,3,FALSE),"")</f>
        <v>heavy fuel oil</v>
      </c>
    </row>
    <row r="950" spans="1:9" x14ac:dyDescent="0.15">
      <c r="A950" s="2">
        <v>97242</v>
      </c>
      <c r="B950" s="2" t="s">
        <v>70</v>
      </c>
      <c r="C950" s="2">
        <v>2018</v>
      </c>
      <c r="D950" s="2" t="s">
        <v>1</v>
      </c>
      <c r="E950" s="2" t="s">
        <v>20</v>
      </c>
      <c r="F950" s="2" t="s">
        <v>35</v>
      </c>
      <c r="G950" s="7"/>
      <c r="H950" s="13" t="str">
        <f>IFERROR(IF(ABS($G950)&gt;0,VLOOKUP($E950,'Fuel Category and Heat Rate'!$B$1:$G$34,6,FALSE)*($G950),""),"")</f>
        <v/>
      </c>
      <c r="I950" t="str">
        <f>IFERROR(VLOOKUP($E950,'Fuel Category and Heat Rate'!$K$2:$M$36,3,FALSE),"")</f>
        <v>LPG propane or butane</v>
      </c>
    </row>
    <row r="951" spans="1:9" x14ac:dyDescent="0.15">
      <c r="A951" s="2">
        <v>97277</v>
      </c>
      <c r="B951" s="2" t="s">
        <v>70</v>
      </c>
      <c r="C951" s="2">
        <v>2018</v>
      </c>
      <c r="D951" s="2" t="s">
        <v>1</v>
      </c>
      <c r="E951" s="2" t="s">
        <v>25</v>
      </c>
      <c r="F951" s="2" t="s">
        <v>35</v>
      </c>
      <c r="G951" s="7">
        <v>-1.88</v>
      </c>
      <c r="H951" s="13">
        <f>IFERROR(IF(ABS($G951)&gt;0,VLOOKUP($E951,'Fuel Category and Heat Rate'!$B$1:$G$34,6,FALSE)*($G951),""),"")</f>
        <v>-569262376015.44971</v>
      </c>
      <c r="I951" t="str">
        <f>IFERROR(VLOOKUP($E951,'Fuel Category and Heat Rate'!$K$2:$M$36,3,FALSE),"")</f>
        <v>heavy fuel oil</v>
      </c>
    </row>
    <row r="952" spans="1:9" x14ac:dyDescent="0.15">
      <c r="A952" s="2">
        <v>97312</v>
      </c>
      <c r="B952" s="2" t="s">
        <v>70</v>
      </c>
      <c r="C952" s="2">
        <v>2018</v>
      </c>
      <c r="D952" s="2" t="s">
        <v>1</v>
      </c>
      <c r="E952" s="2" t="s">
        <v>24</v>
      </c>
      <c r="F952" s="2" t="s">
        <v>35</v>
      </c>
      <c r="G952" s="7"/>
      <c r="H952" s="13" t="str">
        <f>IFERROR(IF(ABS($G952)&gt;0,VLOOKUP($E952,'Fuel Category and Heat Rate'!$B$1:$G$34,6,FALSE)*($G952),""),"")</f>
        <v/>
      </c>
      <c r="I952" t="str">
        <f>IFERROR(VLOOKUP($E952,'Fuel Category and Heat Rate'!$K$2:$M$36,3,FALSE),"")</f>
        <v>heavy fuel oil</v>
      </c>
    </row>
    <row r="953" spans="1:9" x14ac:dyDescent="0.15">
      <c r="A953" s="2">
        <v>97347</v>
      </c>
      <c r="B953" s="2" t="s">
        <v>70</v>
      </c>
      <c r="C953" s="2">
        <v>2018</v>
      </c>
      <c r="D953" s="2" t="s">
        <v>1</v>
      </c>
      <c r="E953" s="2" t="s">
        <v>29</v>
      </c>
      <c r="F953" s="2" t="s">
        <v>36</v>
      </c>
      <c r="G953" s="7">
        <v>-0.04</v>
      </c>
      <c r="H953" s="13">
        <f>IFERROR(IF(ABS($G953)&gt;0,VLOOKUP($E953,'Fuel Category and Heat Rate'!$B$1:$G$34,6,FALSE)*($G953),""),"")</f>
        <v>-134910393606.17735</v>
      </c>
      <c r="I953" t="str">
        <f>IFERROR(VLOOKUP($E953,'Fuel Category and Heat Rate'!$K$2:$M$36,3,FALSE),"")</f>
        <v>natural gas</v>
      </c>
    </row>
    <row r="954" spans="1:9" x14ac:dyDescent="0.15">
      <c r="A954" s="2">
        <v>97382</v>
      </c>
      <c r="B954" s="2" t="s">
        <v>70</v>
      </c>
      <c r="C954" s="2">
        <v>2018</v>
      </c>
      <c r="D954" s="2" t="s">
        <v>1</v>
      </c>
      <c r="E954" s="2" t="s">
        <v>4</v>
      </c>
      <c r="F954" s="2" t="s">
        <v>35</v>
      </c>
      <c r="G954" s="7"/>
      <c r="H954" s="13" t="str">
        <f>IFERROR(IF(ABS($G954)&gt;0,VLOOKUP($E954,'Fuel Category and Heat Rate'!$B$1:$G$34,6,FALSE)*($G954),""),"")</f>
        <v/>
      </c>
      <c r="I954" t="str">
        <f>IFERROR(VLOOKUP($E954,'Fuel Category and Heat Rate'!$K$2:$M$36,3,FALSE),"")</f>
        <v>coal</v>
      </c>
    </row>
    <row r="955" spans="1:9" x14ac:dyDescent="0.15">
      <c r="A955" s="2">
        <v>97417</v>
      </c>
      <c r="B955" s="2" t="s">
        <v>70</v>
      </c>
      <c r="C955" s="2">
        <v>2018</v>
      </c>
      <c r="D955" s="2" t="s">
        <v>1</v>
      </c>
      <c r="E955" s="2" t="s">
        <v>6</v>
      </c>
      <c r="F955" s="2" t="s">
        <v>35</v>
      </c>
      <c r="G955" s="7"/>
      <c r="H955" s="13" t="str">
        <f>IFERROR(IF(ABS($G955)&gt;0,VLOOKUP($E955,'Fuel Category and Heat Rate'!$B$1:$G$34,6,FALSE)*($G955),""),"")</f>
        <v/>
      </c>
      <c r="I955" t="str">
        <f>IFERROR(VLOOKUP($E955,'Fuel Category and Heat Rate'!$K$2:$M$36,3,FALSE),"")</f>
        <v>coal</v>
      </c>
    </row>
    <row r="956" spans="1:9" x14ac:dyDescent="0.15">
      <c r="A956" s="2">
        <v>97452</v>
      </c>
      <c r="B956" s="2" t="s">
        <v>70</v>
      </c>
      <c r="C956" s="2">
        <v>2018</v>
      </c>
      <c r="D956" s="2" t="s">
        <v>1</v>
      </c>
      <c r="E956" s="2" t="s">
        <v>26</v>
      </c>
      <c r="F956" s="2" t="s">
        <v>35</v>
      </c>
      <c r="G956" s="7"/>
      <c r="H956" s="13" t="str">
        <f>IFERROR(IF(ABS($G956)&gt;0,VLOOKUP($E956,'Fuel Category and Heat Rate'!$B$1:$G$34,6,FALSE)*($G956),""),"")</f>
        <v/>
      </c>
      <c r="I956" t="str">
        <f>IFERROR(VLOOKUP($E956,'Fuel Category and Heat Rate'!$K$2:$M$36,3,FALSE),"")</f>
        <v>LPG propane or butane</v>
      </c>
    </row>
    <row r="957" spans="1:9" x14ac:dyDescent="0.15">
      <c r="A957" s="2">
        <v>97487</v>
      </c>
      <c r="B957" s="2" t="s">
        <v>70</v>
      </c>
      <c r="C957" s="2">
        <v>2018</v>
      </c>
      <c r="D957" s="2" t="s">
        <v>1</v>
      </c>
      <c r="E957" s="2" t="s">
        <v>30</v>
      </c>
      <c r="F957" s="2" t="s">
        <v>35</v>
      </c>
      <c r="G957" s="7"/>
      <c r="H957" s="13" t="str">
        <f>IFERROR(IF(ABS($G957)&gt;0,VLOOKUP($E957,'Fuel Category and Heat Rate'!$B$1:$G$34,6,FALSE)*($G957),""),"")</f>
        <v/>
      </c>
      <c r="I957" t="str">
        <f>IFERROR(VLOOKUP($E957,'Fuel Category and Heat Rate'!$K$2:$M$36,3,FALSE),"")</f>
        <v>natural gas</v>
      </c>
    </row>
    <row r="958" spans="1:9" x14ac:dyDescent="0.15">
      <c r="A958" s="2">
        <v>97522</v>
      </c>
      <c r="B958" s="2" t="s">
        <v>70</v>
      </c>
      <c r="C958" s="2">
        <v>2018</v>
      </c>
      <c r="D958" s="2" t="s">
        <v>1</v>
      </c>
      <c r="E958" s="2" t="s">
        <v>14</v>
      </c>
      <c r="F958" s="2" t="s">
        <v>35</v>
      </c>
      <c r="G958" s="7">
        <v>-5.79</v>
      </c>
      <c r="H958" s="13">
        <f>IFERROR(IF(ABS($G958)&gt;0,VLOOKUP($E958,'Fuel Category and Heat Rate'!$B$1:$G$34,6,FALSE)*($G958),""),"")</f>
        <v>0</v>
      </c>
      <c r="I958" t="str">
        <f>IFERROR(VLOOKUP($E958,'Fuel Category and Heat Rate'!$K$2:$M$36,3,FALSE),"")</f>
        <v/>
      </c>
    </row>
    <row r="959" spans="1:9" x14ac:dyDescent="0.15">
      <c r="A959" s="2">
        <v>97557</v>
      </c>
      <c r="B959" s="2" t="s">
        <v>70</v>
      </c>
      <c r="C959" s="2">
        <v>2018</v>
      </c>
      <c r="D959" s="2" t="s">
        <v>1</v>
      </c>
      <c r="E959" s="2" t="s">
        <v>3</v>
      </c>
      <c r="F959" s="2" t="s">
        <v>35</v>
      </c>
      <c r="G959" s="7">
        <v>-503.63</v>
      </c>
      <c r="H959" s="13">
        <f>IFERROR(IF(ABS($G959)&gt;0,VLOOKUP($E959,'Fuel Category and Heat Rate'!$B$1:$G$34,6,FALSE)*($G959),""),"")</f>
        <v>-99804157666155.781</v>
      </c>
      <c r="I959" t="str">
        <f>IFERROR(VLOOKUP($E959,'Fuel Category and Heat Rate'!$K$2:$M$36,3,FALSE),"")</f>
        <v>coal</v>
      </c>
    </row>
    <row r="960" spans="1:9" x14ac:dyDescent="0.15">
      <c r="A960" s="2">
        <v>97592</v>
      </c>
      <c r="B960" s="2" t="s">
        <v>70</v>
      </c>
      <c r="C960" s="2">
        <v>2018</v>
      </c>
      <c r="D960" s="2" t="s">
        <v>1</v>
      </c>
      <c r="E960" s="2" t="s">
        <v>15</v>
      </c>
      <c r="F960" s="2" t="s">
        <v>35</v>
      </c>
      <c r="G960" s="7"/>
      <c r="H960" s="13" t="str">
        <f>IFERROR(IF(ABS($G960)&gt;0,VLOOKUP($E960,'Fuel Category and Heat Rate'!$B$1:$G$34,6,FALSE)*($G960),""),"")</f>
        <v/>
      </c>
      <c r="I960" t="str">
        <f>IFERROR(VLOOKUP($E960,'Fuel Category and Heat Rate'!$K$2:$M$36,3,FALSE),"")</f>
        <v>crude oil</v>
      </c>
    </row>
    <row r="961" spans="1:9" x14ac:dyDescent="0.15">
      <c r="A961" s="2">
        <v>97627</v>
      </c>
      <c r="B961" s="2" t="s">
        <v>70</v>
      </c>
      <c r="C961" s="2">
        <v>2018</v>
      </c>
      <c r="D961" s="2" t="s">
        <v>1</v>
      </c>
      <c r="E961" s="2" t="s">
        <v>11</v>
      </c>
      <c r="F961" s="2" t="s">
        <v>36</v>
      </c>
      <c r="G961" s="7"/>
      <c r="H961" s="13" t="str">
        <f>IFERROR(IF(ABS($G961)&gt;0,VLOOKUP($E961,'Fuel Category and Heat Rate'!$B$1:$G$34,6,FALSE)*($G961),""),"")</f>
        <v/>
      </c>
      <c r="I961" t="str">
        <f>IFERROR(VLOOKUP($E961,'Fuel Category and Heat Rate'!$K$2:$M$36,3,FALSE),"")</f>
        <v>LPG propane or butane</v>
      </c>
    </row>
    <row r="962" spans="1:9" x14ac:dyDescent="0.15">
      <c r="A962" s="2">
        <v>110472</v>
      </c>
      <c r="B962" s="2" t="s">
        <v>71</v>
      </c>
      <c r="C962" s="2">
        <v>2022</v>
      </c>
      <c r="D962" s="2" t="s">
        <v>1</v>
      </c>
      <c r="E962" s="2" t="s">
        <v>18</v>
      </c>
      <c r="F962" s="2" t="s">
        <v>35</v>
      </c>
      <c r="G962" s="7"/>
      <c r="H962" s="13" t="str">
        <f>IFERROR(IF(ABS($G962)&gt;0,VLOOKUP($E962,'Fuel Category and Heat Rate'!$B$1:$G$34,6,FALSE)*($G962),""),"")</f>
        <v/>
      </c>
      <c r="I962" t="str">
        <f>IFERROR(VLOOKUP($E962,'Fuel Category and Heat Rate'!$K$2:$M$36,3,FALSE),"")</f>
        <v>petroleum diesel</v>
      </c>
    </row>
    <row r="963" spans="1:9" x14ac:dyDescent="0.15">
      <c r="A963" s="2">
        <v>110507</v>
      </c>
      <c r="B963" s="2" t="s">
        <v>71</v>
      </c>
      <c r="C963" s="2">
        <v>2022</v>
      </c>
      <c r="D963" s="2" t="s">
        <v>1</v>
      </c>
      <c r="E963" s="2" t="s">
        <v>32</v>
      </c>
      <c r="F963" s="2" t="s">
        <v>65</v>
      </c>
      <c r="G963" s="7"/>
      <c r="H963" s="13" t="str">
        <f>IFERROR(IF(ABS($G963)&gt;0,VLOOKUP($E963,'Fuel Category and Heat Rate'!$B$1:$G$34,6,FALSE)*($G963),""),"")</f>
        <v/>
      </c>
      <c r="I963" t="str">
        <f>IFERROR(VLOOKUP($E963,'Fuel Category and Heat Rate'!$K$2:$M$36,3,FALSE),"")</f>
        <v>electricity</v>
      </c>
    </row>
    <row r="964" spans="1:9" x14ac:dyDescent="0.15">
      <c r="A964" s="2">
        <v>110542</v>
      </c>
      <c r="B964" s="2" t="s">
        <v>71</v>
      </c>
      <c r="C964" s="2">
        <v>2022</v>
      </c>
      <c r="D964" s="2" t="s">
        <v>1</v>
      </c>
      <c r="E964" s="2" t="s">
        <v>10</v>
      </c>
      <c r="F964" s="2" t="s">
        <v>36</v>
      </c>
      <c r="G964" s="7"/>
      <c r="H964" s="13" t="str">
        <f>IFERROR(IF(ABS($G964)&gt;0,VLOOKUP($E964,'Fuel Category and Heat Rate'!$B$1:$G$34,6,FALSE)*($G964),""),"")</f>
        <v/>
      </c>
      <c r="I964" t="str">
        <f>IFERROR(VLOOKUP($E964,'Fuel Category and Heat Rate'!$K$2:$M$36,3,FALSE),"")</f>
        <v>LPG propane or butane</v>
      </c>
    </row>
    <row r="965" spans="1:9" x14ac:dyDescent="0.15">
      <c r="A965" s="2">
        <v>110577</v>
      </c>
      <c r="B965" s="2" t="s">
        <v>71</v>
      </c>
      <c r="C965" s="2">
        <v>2022</v>
      </c>
      <c r="D965" s="2" t="s">
        <v>1</v>
      </c>
      <c r="E965" s="2" t="s">
        <v>9</v>
      </c>
      <c r="F965" s="2" t="s">
        <v>36</v>
      </c>
      <c r="G965" s="7"/>
      <c r="H965" s="13" t="str">
        <f>IFERROR(IF(ABS($G965)&gt;0,VLOOKUP($E965,'Fuel Category and Heat Rate'!$B$1:$G$34,6,FALSE)*($G965),""),"")</f>
        <v/>
      </c>
      <c r="I965" t="str">
        <f>IFERROR(VLOOKUP($E965,'Fuel Category and Heat Rate'!$K$2:$M$36,3,FALSE),"")</f>
        <v>LPG propane or butane</v>
      </c>
    </row>
    <row r="966" spans="1:9" x14ac:dyDescent="0.15">
      <c r="A966" s="2">
        <v>110612</v>
      </c>
      <c r="B966" s="2" t="s">
        <v>71</v>
      </c>
      <c r="C966" s="2">
        <v>2022</v>
      </c>
      <c r="D966" s="2" t="s">
        <v>1</v>
      </c>
      <c r="E966" s="2" t="s">
        <v>8</v>
      </c>
      <c r="F966" s="2" t="s">
        <v>35</v>
      </c>
      <c r="G966" s="7"/>
      <c r="H966" s="13" t="str">
        <f>IFERROR(IF(ABS($G966)&gt;0,VLOOKUP($E966,'Fuel Category and Heat Rate'!$B$1:$G$34,6,FALSE)*($G966),""),"")</f>
        <v/>
      </c>
      <c r="I966" t="str">
        <f>IFERROR(VLOOKUP($E966,'Fuel Category and Heat Rate'!$K$2:$M$36,3,FALSE),"")</f>
        <v>coal</v>
      </c>
    </row>
    <row r="967" spans="1:9" x14ac:dyDescent="0.15">
      <c r="A967" s="2">
        <v>110647</v>
      </c>
      <c r="B967" s="2" t="s">
        <v>71</v>
      </c>
      <c r="C967" s="2">
        <v>2022</v>
      </c>
      <c r="D967" s="2" t="s">
        <v>1</v>
      </c>
      <c r="E967" s="2" t="s">
        <v>27</v>
      </c>
      <c r="F967" s="2" t="s">
        <v>35</v>
      </c>
      <c r="G967" s="7"/>
      <c r="H967" s="13" t="str">
        <f>IFERROR(IF(ABS($G967)&gt;0,VLOOKUP($E967,'Fuel Category and Heat Rate'!$B$1:$G$34,6,FALSE)*($G967),""),"")</f>
        <v/>
      </c>
      <c r="I967" t="str">
        <f>IFERROR(VLOOKUP($E967,'Fuel Category and Heat Rate'!$K$2:$M$36,3,FALSE),"")</f>
        <v>LPG propane or butane</v>
      </c>
    </row>
    <row r="968" spans="1:9" x14ac:dyDescent="0.15">
      <c r="A968" s="2">
        <v>110682</v>
      </c>
      <c r="B968" s="2" t="s">
        <v>71</v>
      </c>
      <c r="C968" s="2">
        <v>2022</v>
      </c>
      <c r="D968" s="2" t="s">
        <v>1</v>
      </c>
      <c r="E968" s="2" t="s">
        <v>7</v>
      </c>
      <c r="F968" s="2" t="s">
        <v>35</v>
      </c>
      <c r="G968" s="7"/>
      <c r="H968" s="13" t="str">
        <f>IFERROR(IF(ABS($G968)&gt;0,VLOOKUP($E968,'Fuel Category and Heat Rate'!$B$1:$G$34,6,FALSE)*($G968),""),"")</f>
        <v/>
      </c>
      <c r="I968" t="str">
        <f>IFERROR(VLOOKUP($E968,'Fuel Category and Heat Rate'!$K$2:$M$36,3,FALSE),"")</f>
        <v>coal</v>
      </c>
    </row>
    <row r="969" spans="1:9" x14ac:dyDescent="0.15">
      <c r="A969" s="2">
        <v>110717</v>
      </c>
      <c r="B969" s="2" t="s">
        <v>71</v>
      </c>
      <c r="C969" s="2">
        <v>2022</v>
      </c>
      <c r="D969" s="2" t="s">
        <v>1</v>
      </c>
      <c r="E969" s="2" t="s">
        <v>2</v>
      </c>
      <c r="F969" s="2" t="s">
        <v>35</v>
      </c>
      <c r="G969" s="7">
        <v>-158.31</v>
      </c>
      <c r="H969" s="13">
        <f>IFERROR(IF(ABS($G969)&gt;0,VLOOKUP($E969,'Fuel Category and Heat Rate'!$B$1:$G$34,6,FALSE)*($G969),""),"")</f>
        <v>0</v>
      </c>
      <c r="I969" t="str">
        <f>IFERROR(VLOOKUP($E969,'Fuel Category and Heat Rate'!$K$2:$M$36,3,FALSE),"")</f>
        <v/>
      </c>
    </row>
    <row r="970" spans="1:9" x14ac:dyDescent="0.15">
      <c r="A970" s="2">
        <v>110752</v>
      </c>
      <c r="B970" s="2" t="s">
        <v>71</v>
      </c>
      <c r="C970" s="2">
        <v>2022</v>
      </c>
      <c r="D970" s="2" t="s">
        <v>1</v>
      </c>
      <c r="E970" s="2" t="s">
        <v>17</v>
      </c>
      <c r="F970" s="2" t="s">
        <v>35</v>
      </c>
      <c r="G970" s="7"/>
      <c r="H970" s="13" t="str">
        <f>IFERROR(IF(ABS($G970)&gt;0,VLOOKUP($E970,'Fuel Category and Heat Rate'!$B$1:$G$34,6,FALSE)*($G970),""),"")</f>
        <v/>
      </c>
      <c r="I970" t="str">
        <f>IFERROR(VLOOKUP($E970,'Fuel Category and Heat Rate'!$K$2:$M$36,3,FALSE),"")</f>
        <v>petroleum diesel</v>
      </c>
    </row>
    <row r="971" spans="1:9" x14ac:dyDescent="0.15">
      <c r="A971" s="2">
        <v>110787</v>
      </c>
      <c r="B971" s="2" t="s">
        <v>71</v>
      </c>
      <c r="C971" s="2">
        <v>2022</v>
      </c>
      <c r="D971" s="2" t="s">
        <v>1</v>
      </c>
      <c r="E971" s="2" t="s">
        <v>13</v>
      </c>
      <c r="F971" s="2" t="s">
        <v>35</v>
      </c>
      <c r="G971" s="7"/>
      <c r="H971" s="13" t="str">
        <f>IFERROR(IF(ABS($G971)&gt;0,VLOOKUP($E971,'Fuel Category and Heat Rate'!$B$1:$G$34,6,FALSE)*($G971),""),"")</f>
        <v/>
      </c>
      <c r="I971" t="str">
        <f>IFERROR(VLOOKUP($E971,'Fuel Category and Heat Rate'!$K$2:$M$36,3,FALSE),"")</f>
        <v>petroleum diesel</v>
      </c>
    </row>
    <row r="972" spans="1:9" x14ac:dyDescent="0.15">
      <c r="A972" s="2">
        <v>110822</v>
      </c>
      <c r="B972" s="2" t="s">
        <v>71</v>
      </c>
      <c r="C972" s="2">
        <v>2022</v>
      </c>
      <c r="D972" s="2" t="s">
        <v>1</v>
      </c>
      <c r="E972" s="2" t="s">
        <v>12</v>
      </c>
      <c r="F972" s="2" t="s">
        <v>36</v>
      </c>
      <c r="G972" s="7"/>
      <c r="H972" s="13" t="str">
        <f>IFERROR(IF(ABS($G972)&gt;0,VLOOKUP($E972,'Fuel Category and Heat Rate'!$B$1:$G$34,6,FALSE)*($G972),""),"")</f>
        <v/>
      </c>
      <c r="I972" t="str">
        <f>IFERROR(VLOOKUP($E972,'Fuel Category and Heat Rate'!$K$2:$M$36,3,FALSE),"")</f>
        <v>LPG propane or butane</v>
      </c>
    </row>
    <row r="973" spans="1:9" x14ac:dyDescent="0.15">
      <c r="A973" s="2">
        <v>110857</v>
      </c>
      <c r="B973" s="2" t="s">
        <v>71</v>
      </c>
      <c r="C973" s="2">
        <v>2022</v>
      </c>
      <c r="D973" s="2" t="s">
        <v>1</v>
      </c>
      <c r="E973" s="2" t="s">
        <v>33</v>
      </c>
      <c r="F973" s="2" t="s">
        <v>38</v>
      </c>
      <c r="G973" s="7"/>
      <c r="H973" s="13" t="str">
        <f>IFERROR(IF(ABS($G973)&gt;0,VLOOKUP($E973,'Fuel Category and Heat Rate'!$B$1:$G$34,6,FALSE)*($G973),""),"")</f>
        <v/>
      </c>
      <c r="I973" t="str">
        <f>IFERROR(VLOOKUP($E973,'Fuel Category and Heat Rate'!$K$2:$M$36,3,FALSE),"")</f>
        <v>biomass</v>
      </c>
    </row>
    <row r="974" spans="1:9" x14ac:dyDescent="0.15">
      <c r="A974" s="2">
        <v>110892</v>
      </c>
      <c r="B974" s="2" t="s">
        <v>71</v>
      </c>
      <c r="C974" s="2">
        <v>2022</v>
      </c>
      <c r="D974" s="2" t="s">
        <v>1</v>
      </c>
      <c r="E974" s="2" t="s">
        <v>28</v>
      </c>
      <c r="F974" s="2" t="s">
        <v>35</v>
      </c>
      <c r="G974" s="7"/>
      <c r="H974" s="13" t="str">
        <f>IFERROR(IF(ABS($G974)&gt;0,VLOOKUP($E974,'Fuel Category and Heat Rate'!$B$1:$G$34,6,FALSE)*($G974),""),"")</f>
        <v/>
      </c>
      <c r="I974" t="str">
        <f>IFERROR(VLOOKUP($E974,'Fuel Category and Heat Rate'!$K$2:$M$36,3,FALSE),"")</f>
        <v>heavy or residual fuel oil</v>
      </c>
    </row>
    <row r="975" spans="1:9" x14ac:dyDescent="0.15">
      <c r="A975" s="2">
        <v>110927</v>
      </c>
      <c r="B975" s="2" t="s">
        <v>71</v>
      </c>
      <c r="C975" s="2">
        <v>2022</v>
      </c>
      <c r="D975" s="2" t="s">
        <v>1</v>
      </c>
      <c r="E975" s="2" t="s">
        <v>5</v>
      </c>
      <c r="F975" s="2" t="s">
        <v>35</v>
      </c>
      <c r="G975" s="7"/>
      <c r="H975" s="13" t="str">
        <f>IFERROR(IF(ABS($G975)&gt;0,VLOOKUP($E975,'Fuel Category and Heat Rate'!$B$1:$G$34,6,FALSE)*($G975),""),"")</f>
        <v/>
      </c>
      <c r="I975" t="str">
        <f>IFERROR(VLOOKUP($E975,'Fuel Category and Heat Rate'!$K$2:$M$36,3,FALSE),"")</f>
        <v>coal</v>
      </c>
    </row>
    <row r="976" spans="1:9" x14ac:dyDescent="0.15">
      <c r="A976" s="2">
        <v>110962</v>
      </c>
      <c r="B976" s="2" t="s">
        <v>71</v>
      </c>
      <c r="C976" s="2">
        <v>2022</v>
      </c>
      <c r="D976" s="2" t="s">
        <v>1</v>
      </c>
      <c r="E976" s="2" t="s">
        <v>16</v>
      </c>
      <c r="F976" s="2" t="s">
        <v>35</v>
      </c>
      <c r="G976" s="7"/>
      <c r="H976" s="13" t="str">
        <f>IFERROR(IF(ABS($G976)&gt;0,VLOOKUP($E976,'Fuel Category and Heat Rate'!$B$1:$G$34,6,FALSE)*($G976),""),"")</f>
        <v/>
      </c>
      <c r="I976" t="str">
        <f>IFERROR(VLOOKUP($E976,'Fuel Category and Heat Rate'!$K$2:$M$36,3,FALSE),"")</f>
        <v>petroleum diesel</v>
      </c>
    </row>
    <row r="977" spans="1:9" x14ac:dyDescent="0.15">
      <c r="A977" s="2">
        <v>110997</v>
      </c>
      <c r="B977" s="2" t="s">
        <v>71</v>
      </c>
      <c r="C977" s="2">
        <v>2022</v>
      </c>
      <c r="D977" s="2" t="s">
        <v>1</v>
      </c>
      <c r="E977" s="2" t="s">
        <v>19</v>
      </c>
      <c r="F977" s="2" t="s">
        <v>35</v>
      </c>
      <c r="G977" s="7"/>
      <c r="H977" s="13" t="str">
        <f>IFERROR(IF(ABS($G977)&gt;0,VLOOKUP($E977,'Fuel Category and Heat Rate'!$B$1:$G$34,6,FALSE)*($G977),""),"")</f>
        <v/>
      </c>
      <c r="I977" t="str">
        <f>IFERROR(VLOOKUP($E977,'Fuel Category and Heat Rate'!$K$2:$M$36,3,FALSE),"")</f>
        <v>heavy or residual fuel oil</v>
      </c>
    </row>
    <row r="978" spans="1:9" x14ac:dyDescent="0.15">
      <c r="A978" s="2">
        <v>111032</v>
      </c>
      <c r="B978" s="2" t="s">
        <v>71</v>
      </c>
      <c r="C978" s="2">
        <v>2022</v>
      </c>
      <c r="D978" s="2" t="s">
        <v>1</v>
      </c>
      <c r="E978" s="2" t="s">
        <v>31</v>
      </c>
      <c r="F978" s="2" t="s">
        <v>37</v>
      </c>
      <c r="G978" s="7">
        <v>2602.54</v>
      </c>
      <c r="H978" s="13">
        <f>IFERROR(IF(ABS($G978)&gt;0,VLOOKUP($E978,'Fuel Category and Heat Rate'!$B$1:$G$34,6,FALSE)*($G978),""),"")</f>
        <v>24667319744258.09</v>
      </c>
      <c r="I978" t="str">
        <f>IFERROR(VLOOKUP($E978,'Fuel Category and Heat Rate'!$K$2:$M$36,3,FALSE),"")</f>
        <v>heat</v>
      </c>
    </row>
    <row r="979" spans="1:9" x14ac:dyDescent="0.15">
      <c r="A979" s="2">
        <v>111067</v>
      </c>
      <c r="B979" s="2" t="s">
        <v>71</v>
      </c>
      <c r="C979" s="2">
        <v>2022</v>
      </c>
      <c r="D979" s="2" t="s">
        <v>1</v>
      </c>
      <c r="E979" s="2" t="s">
        <v>23</v>
      </c>
      <c r="F979" s="2" t="s">
        <v>35</v>
      </c>
      <c r="G979" s="7"/>
      <c r="H979" s="13" t="str">
        <f>IFERROR(IF(ABS($G979)&gt;0,VLOOKUP($E979,'Fuel Category and Heat Rate'!$B$1:$G$34,6,FALSE)*($G979),""),"")</f>
        <v/>
      </c>
      <c r="I979" t="str">
        <f>IFERROR(VLOOKUP($E979,'Fuel Category and Heat Rate'!$K$2:$M$36,3,FALSE),"")</f>
        <v>heavy or residual fuel oil</v>
      </c>
    </row>
    <row r="980" spans="1:9" x14ac:dyDescent="0.15">
      <c r="A980" s="2">
        <v>111102</v>
      </c>
      <c r="B980" s="2" t="s">
        <v>71</v>
      </c>
      <c r="C980" s="2">
        <v>2022</v>
      </c>
      <c r="D980" s="2" t="s">
        <v>1</v>
      </c>
      <c r="E980" s="2" t="s">
        <v>21</v>
      </c>
      <c r="F980" s="2" t="s">
        <v>35</v>
      </c>
      <c r="G980" s="7"/>
      <c r="H980" s="13" t="str">
        <f>IFERROR(IF(ABS($G980)&gt;0,VLOOKUP($E980,'Fuel Category and Heat Rate'!$B$1:$G$34,6,FALSE)*($G980),""),"")</f>
        <v/>
      </c>
      <c r="I980" t="str">
        <f>IFERROR(VLOOKUP($E980,'Fuel Category and Heat Rate'!$K$2:$M$36,3,FALSE),"")</f>
        <v>LPG propane or butane</v>
      </c>
    </row>
    <row r="981" spans="1:9" x14ac:dyDescent="0.15">
      <c r="A981" s="2">
        <v>111137</v>
      </c>
      <c r="B981" s="2" t="s">
        <v>71</v>
      </c>
      <c r="C981" s="2">
        <v>2022</v>
      </c>
      <c r="D981" s="2" t="s">
        <v>1</v>
      </c>
      <c r="E981" s="2" t="s">
        <v>22</v>
      </c>
      <c r="F981" s="2" t="s">
        <v>35</v>
      </c>
      <c r="G981" s="7"/>
      <c r="H981" s="13" t="str">
        <f>IFERROR(IF(ABS($G981)&gt;0,VLOOKUP($E981,'Fuel Category and Heat Rate'!$B$1:$G$34,6,FALSE)*($G981),""),"")</f>
        <v/>
      </c>
      <c r="I981" t="str">
        <f>IFERROR(VLOOKUP($E981,'Fuel Category and Heat Rate'!$K$2:$M$36,3,FALSE),"")</f>
        <v>heavy fuel oil</v>
      </c>
    </row>
    <row r="982" spans="1:9" x14ac:dyDescent="0.15">
      <c r="A982" s="2">
        <v>111172</v>
      </c>
      <c r="B982" s="2" t="s">
        <v>71</v>
      </c>
      <c r="C982" s="2">
        <v>2022</v>
      </c>
      <c r="D982" s="2" t="s">
        <v>1</v>
      </c>
      <c r="E982" s="2" t="s">
        <v>20</v>
      </c>
      <c r="F982" s="2" t="s">
        <v>35</v>
      </c>
      <c r="G982" s="7"/>
      <c r="H982" s="13" t="str">
        <f>IFERROR(IF(ABS($G982)&gt;0,VLOOKUP($E982,'Fuel Category and Heat Rate'!$B$1:$G$34,6,FALSE)*($G982),""),"")</f>
        <v/>
      </c>
      <c r="I982" t="str">
        <f>IFERROR(VLOOKUP($E982,'Fuel Category and Heat Rate'!$K$2:$M$36,3,FALSE),"")</f>
        <v>LPG propane or butane</v>
      </c>
    </row>
    <row r="983" spans="1:9" x14ac:dyDescent="0.15">
      <c r="A983" s="2">
        <v>111207</v>
      </c>
      <c r="B983" s="2" t="s">
        <v>71</v>
      </c>
      <c r="C983" s="2">
        <v>2022</v>
      </c>
      <c r="D983" s="2" t="s">
        <v>1</v>
      </c>
      <c r="E983" s="2" t="s">
        <v>25</v>
      </c>
      <c r="F983" s="2" t="s">
        <v>35</v>
      </c>
      <c r="G983" s="7"/>
      <c r="H983" s="13" t="str">
        <f>IFERROR(IF(ABS($G983)&gt;0,VLOOKUP($E983,'Fuel Category and Heat Rate'!$B$1:$G$34,6,FALSE)*($G983),""),"")</f>
        <v/>
      </c>
      <c r="I983" t="str">
        <f>IFERROR(VLOOKUP($E983,'Fuel Category and Heat Rate'!$K$2:$M$36,3,FALSE),"")</f>
        <v>heavy fuel oil</v>
      </c>
    </row>
    <row r="984" spans="1:9" x14ac:dyDescent="0.15">
      <c r="A984" s="2">
        <v>111242</v>
      </c>
      <c r="B984" s="2" t="s">
        <v>71</v>
      </c>
      <c r="C984" s="2">
        <v>2022</v>
      </c>
      <c r="D984" s="2" t="s">
        <v>1</v>
      </c>
      <c r="E984" s="2" t="s">
        <v>24</v>
      </c>
      <c r="F984" s="2" t="s">
        <v>35</v>
      </c>
      <c r="G984" s="7"/>
      <c r="H984" s="13" t="str">
        <f>IFERROR(IF(ABS($G984)&gt;0,VLOOKUP($E984,'Fuel Category and Heat Rate'!$B$1:$G$34,6,FALSE)*($G984),""),"")</f>
        <v/>
      </c>
      <c r="I984" t="str">
        <f>IFERROR(VLOOKUP($E984,'Fuel Category and Heat Rate'!$K$2:$M$36,3,FALSE),"")</f>
        <v>heavy fuel oil</v>
      </c>
    </row>
    <row r="985" spans="1:9" x14ac:dyDescent="0.15">
      <c r="A985" s="2">
        <v>111277</v>
      </c>
      <c r="B985" s="2" t="s">
        <v>71</v>
      </c>
      <c r="C985" s="2">
        <v>2022</v>
      </c>
      <c r="D985" s="2" t="s">
        <v>1</v>
      </c>
      <c r="E985" s="2" t="s">
        <v>29</v>
      </c>
      <c r="F985" s="2" t="s">
        <v>36</v>
      </c>
      <c r="G985" s="7"/>
      <c r="H985" s="13" t="str">
        <f>IFERROR(IF(ABS($G985)&gt;0,VLOOKUP($E985,'Fuel Category and Heat Rate'!$B$1:$G$34,6,FALSE)*($G985),""),"")</f>
        <v/>
      </c>
      <c r="I985" t="str">
        <f>IFERROR(VLOOKUP($E985,'Fuel Category and Heat Rate'!$K$2:$M$36,3,FALSE),"")</f>
        <v>natural gas</v>
      </c>
    </row>
    <row r="986" spans="1:9" x14ac:dyDescent="0.15">
      <c r="A986" s="2">
        <v>111312</v>
      </c>
      <c r="B986" s="2" t="s">
        <v>71</v>
      </c>
      <c r="C986" s="2">
        <v>2022</v>
      </c>
      <c r="D986" s="2" t="s">
        <v>1</v>
      </c>
      <c r="E986" s="2" t="s">
        <v>4</v>
      </c>
      <c r="F986" s="2" t="s">
        <v>35</v>
      </c>
      <c r="G986" s="7"/>
      <c r="H986" s="13" t="str">
        <f>IFERROR(IF(ABS($G986)&gt;0,VLOOKUP($E986,'Fuel Category and Heat Rate'!$B$1:$G$34,6,FALSE)*($G986),""),"")</f>
        <v/>
      </c>
      <c r="I986" t="str">
        <f>IFERROR(VLOOKUP($E986,'Fuel Category and Heat Rate'!$K$2:$M$36,3,FALSE),"")</f>
        <v>coal</v>
      </c>
    </row>
    <row r="987" spans="1:9" x14ac:dyDescent="0.15">
      <c r="A987" s="2">
        <v>111347</v>
      </c>
      <c r="B987" s="2" t="s">
        <v>71</v>
      </c>
      <c r="C987" s="2">
        <v>2022</v>
      </c>
      <c r="D987" s="2" t="s">
        <v>1</v>
      </c>
      <c r="E987" s="2" t="s">
        <v>6</v>
      </c>
      <c r="F987" s="2" t="s">
        <v>35</v>
      </c>
      <c r="G987" s="7"/>
      <c r="H987" s="13" t="str">
        <f>IFERROR(IF(ABS($G987)&gt;0,VLOOKUP($E987,'Fuel Category and Heat Rate'!$B$1:$G$34,6,FALSE)*($G987),""),"")</f>
        <v/>
      </c>
      <c r="I987" t="str">
        <f>IFERROR(VLOOKUP($E987,'Fuel Category and Heat Rate'!$K$2:$M$36,3,FALSE),"")</f>
        <v>coal</v>
      </c>
    </row>
    <row r="988" spans="1:9" x14ac:dyDescent="0.15">
      <c r="A988" s="2">
        <v>111382</v>
      </c>
      <c r="B988" s="2" t="s">
        <v>71</v>
      </c>
      <c r="C988" s="2">
        <v>2022</v>
      </c>
      <c r="D988" s="2" t="s">
        <v>1</v>
      </c>
      <c r="E988" s="2" t="s">
        <v>26</v>
      </c>
      <c r="F988" s="2" t="s">
        <v>35</v>
      </c>
      <c r="G988" s="7"/>
      <c r="H988" s="13" t="str">
        <f>IFERROR(IF(ABS($G988)&gt;0,VLOOKUP($E988,'Fuel Category and Heat Rate'!$B$1:$G$34,6,FALSE)*($G988),""),"")</f>
        <v/>
      </c>
      <c r="I988" t="str">
        <f>IFERROR(VLOOKUP($E988,'Fuel Category and Heat Rate'!$K$2:$M$36,3,FALSE),"")</f>
        <v>LPG propane or butane</v>
      </c>
    </row>
    <row r="989" spans="1:9" x14ac:dyDescent="0.15">
      <c r="A989" s="2">
        <v>111417</v>
      </c>
      <c r="B989" s="2" t="s">
        <v>71</v>
      </c>
      <c r="C989" s="2">
        <v>2022</v>
      </c>
      <c r="D989" s="2" t="s">
        <v>1</v>
      </c>
      <c r="E989" s="2" t="s">
        <v>30</v>
      </c>
      <c r="F989" s="2" t="s">
        <v>35</v>
      </c>
      <c r="G989" s="7"/>
      <c r="H989" s="13" t="str">
        <f>IFERROR(IF(ABS($G989)&gt;0,VLOOKUP($E989,'Fuel Category and Heat Rate'!$B$1:$G$34,6,FALSE)*($G989),""),"")</f>
        <v/>
      </c>
      <c r="I989" t="str">
        <f>IFERROR(VLOOKUP($E989,'Fuel Category and Heat Rate'!$K$2:$M$36,3,FALSE),"")</f>
        <v>natural gas</v>
      </c>
    </row>
    <row r="990" spans="1:9" x14ac:dyDescent="0.15">
      <c r="A990" s="2">
        <v>111452</v>
      </c>
      <c r="B990" s="2" t="s">
        <v>71</v>
      </c>
      <c r="C990" s="2">
        <v>2022</v>
      </c>
      <c r="D990" s="2" t="s">
        <v>1</v>
      </c>
      <c r="E990" s="2" t="s">
        <v>14</v>
      </c>
      <c r="F990" s="2" t="s">
        <v>35</v>
      </c>
      <c r="G990" s="7"/>
      <c r="H990" s="13" t="str">
        <f>IFERROR(IF(ABS($G990)&gt;0,VLOOKUP($E990,'Fuel Category and Heat Rate'!$B$1:$G$34,6,FALSE)*($G990),""),"")</f>
        <v/>
      </c>
      <c r="I990" t="str">
        <f>IFERROR(VLOOKUP($E990,'Fuel Category and Heat Rate'!$K$2:$M$36,3,FALSE),"")</f>
        <v/>
      </c>
    </row>
    <row r="991" spans="1:9" x14ac:dyDescent="0.15">
      <c r="A991" s="2">
        <v>111487</v>
      </c>
      <c r="B991" s="2" t="s">
        <v>71</v>
      </c>
      <c r="C991" s="2">
        <v>2022</v>
      </c>
      <c r="D991" s="2" t="s">
        <v>1</v>
      </c>
      <c r="E991" s="2" t="s">
        <v>3</v>
      </c>
      <c r="F991" s="2" t="s">
        <v>35</v>
      </c>
      <c r="G991" s="7">
        <v>-158.31</v>
      </c>
      <c r="H991" s="13">
        <f>IFERROR(IF(ABS($G991)&gt;0,VLOOKUP($E991,'Fuel Category and Heat Rate'!$B$1:$G$34,6,FALSE)*($G991),""),"")</f>
        <v>-31372230010382.863</v>
      </c>
      <c r="I991" t="str">
        <f>IFERROR(VLOOKUP($E991,'Fuel Category and Heat Rate'!$K$2:$M$36,3,FALSE),"")</f>
        <v>coal</v>
      </c>
    </row>
    <row r="992" spans="1:9" x14ac:dyDescent="0.15">
      <c r="A992" s="2">
        <v>111522</v>
      </c>
      <c r="B992" s="2" t="s">
        <v>71</v>
      </c>
      <c r="C992" s="2">
        <v>2022</v>
      </c>
      <c r="D992" s="2" t="s">
        <v>1</v>
      </c>
      <c r="E992" s="2" t="s">
        <v>15</v>
      </c>
      <c r="F992" s="2" t="s">
        <v>35</v>
      </c>
      <c r="G992" s="7"/>
      <c r="H992" s="13" t="str">
        <f>IFERROR(IF(ABS($G992)&gt;0,VLOOKUP($E992,'Fuel Category and Heat Rate'!$B$1:$G$34,6,FALSE)*($G992),""),"")</f>
        <v/>
      </c>
      <c r="I992" t="str">
        <f>IFERROR(VLOOKUP($E992,'Fuel Category and Heat Rate'!$K$2:$M$36,3,FALSE),"")</f>
        <v>crude oil</v>
      </c>
    </row>
    <row r="993" spans="1:9" x14ac:dyDescent="0.15">
      <c r="A993" s="2">
        <v>111557</v>
      </c>
      <c r="B993" s="2" t="s">
        <v>71</v>
      </c>
      <c r="C993" s="2">
        <v>2022</v>
      </c>
      <c r="D993" s="2" t="s">
        <v>1</v>
      </c>
      <c r="E993" s="2" t="s">
        <v>11</v>
      </c>
      <c r="F993" s="2" t="s">
        <v>36</v>
      </c>
      <c r="G993" s="7"/>
      <c r="H993" s="13" t="str">
        <f>IFERROR(IF(ABS($G993)&gt;0,VLOOKUP($E993,'Fuel Category and Heat Rate'!$B$1:$G$34,6,FALSE)*($G993),""),"")</f>
        <v/>
      </c>
      <c r="I993" t="str">
        <f>IFERROR(VLOOKUP($E993,'Fuel Category and Heat Rate'!$K$2:$M$36,3,FALSE),"")</f>
        <v>LPG propane or butane</v>
      </c>
    </row>
    <row r="994" spans="1:9" x14ac:dyDescent="0.15">
      <c r="A994" s="2">
        <v>111592</v>
      </c>
      <c r="B994" s="2" t="s">
        <v>71</v>
      </c>
      <c r="C994" s="2">
        <v>2021</v>
      </c>
      <c r="D994" s="2" t="s">
        <v>1</v>
      </c>
      <c r="E994" s="2" t="s">
        <v>18</v>
      </c>
      <c r="F994" s="2" t="s">
        <v>35</v>
      </c>
      <c r="G994" s="7"/>
      <c r="H994" s="13" t="str">
        <f>IFERROR(IF(ABS($G994)&gt;0,VLOOKUP($E994,'Fuel Category and Heat Rate'!$B$1:$G$34,6,FALSE)*($G994),""),"")</f>
        <v/>
      </c>
      <c r="I994" t="str">
        <f>IFERROR(VLOOKUP($E994,'Fuel Category and Heat Rate'!$K$2:$M$36,3,FALSE),"")</f>
        <v>petroleum diesel</v>
      </c>
    </row>
    <row r="995" spans="1:9" x14ac:dyDescent="0.15">
      <c r="A995" s="2">
        <v>111627</v>
      </c>
      <c r="B995" s="2" t="s">
        <v>71</v>
      </c>
      <c r="C995" s="2">
        <v>2021</v>
      </c>
      <c r="D995" s="2" t="s">
        <v>1</v>
      </c>
      <c r="E995" s="2" t="s">
        <v>32</v>
      </c>
      <c r="F995" s="2" t="s">
        <v>65</v>
      </c>
      <c r="G995" s="7"/>
      <c r="H995" s="13" t="str">
        <f>IFERROR(IF(ABS($G995)&gt;0,VLOOKUP($E995,'Fuel Category and Heat Rate'!$B$1:$G$34,6,FALSE)*($G995),""),"")</f>
        <v/>
      </c>
      <c r="I995" t="str">
        <f>IFERROR(VLOOKUP($E995,'Fuel Category and Heat Rate'!$K$2:$M$36,3,FALSE),"")</f>
        <v>electricity</v>
      </c>
    </row>
    <row r="996" spans="1:9" x14ac:dyDescent="0.15">
      <c r="A996" s="2">
        <v>111662</v>
      </c>
      <c r="B996" s="2" t="s">
        <v>71</v>
      </c>
      <c r="C996" s="2">
        <v>2021</v>
      </c>
      <c r="D996" s="2" t="s">
        <v>1</v>
      </c>
      <c r="E996" s="2" t="s">
        <v>10</v>
      </c>
      <c r="F996" s="2" t="s">
        <v>36</v>
      </c>
      <c r="G996" s="7"/>
      <c r="H996" s="13" t="str">
        <f>IFERROR(IF(ABS($G996)&gt;0,VLOOKUP($E996,'Fuel Category and Heat Rate'!$B$1:$G$34,6,FALSE)*($G996),""),"")</f>
        <v/>
      </c>
      <c r="I996" t="str">
        <f>IFERROR(VLOOKUP($E996,'Fuel Category and Heat Rate'!$K$2:$M$36,3,FALSE),"")</f>
        <v>LPG propane or butane</v>
      </c>
    </row>
    <row r="997" spans="1:9" x14ac:dyDescent="0.15">
      <c r="A997" s="2">
        <v>111697</v>
      </c>
      <c r="B997" s="2" t="s">
        <v>71</v>
      </c>
      <c r="C997" s="2">
        <v>2021</v>
      </c>
      <c r="D997" s="2" t="s">
        <v>1</v>
      </c>
      <c r="E997" s="2" t="s">
        <v>9</v>
      </c>
      <c r="F997" s="2" t="s">
        <v>36</v>
      </c>
      <c r="G997" s="7"/>
      <c r="H997" s="13" t="str">
        <f>IFERROR(IF(ABS($G997)&gt;0,VLOOKUP($E997,'Fuel Category and Heat Rate'!$B$1:$G$34,6,FALSE)*($G997),""),"")</f>
        <v/>
      </c>
      <c r="I997" t="str">
        <f>IFERROR(VLOOKUP($E997,'Fuel Category and Heat Rate'!$K$2:$M$36,3,FALSE),"")</f>
        <v>LPG propane or butane</v>
      </c>
    </row>
    <row r="998" spans="1:9" x14ac:dyDescent="0.15">
      <c r="A998" s="2">
        <v>111732</v>
      </c>
      <c r="B998" s="2" t="s">
        <v>71</v>
      </c>
      <c r="C998" s="2">
        <v>2021</v>
      </c>
      <c r="D998" s="2" t="s">
        <v>1</v>
      </c>
      <c r="E998" s="2" t="s">
        <v>8</v>
      </c>
      <c r="F998" s="2" t="s">
        <v>35</v>
      </c>
      <c r="G998" s="7"/>
      <c r="H998" s="13" t="str">
        <f>IFERROR(IF(ABS($G998)&gt;0,VLOOKUP($E998,'Fuel Category and Heat Rate'!$B$1:$G$34,6,FALSE)*($G998),""),"")</f>
        <v/>
      </c>
      <c r="I998" t="str">
        <f>IFERROR(VLOOKUP($E998,'Fuel Category and Heat Rate'!$K$2:$M$36,3,FALSE),"")</f>
        <v>coal</v>
      </c>
    </row>
    <row r="999" spans="1:9" x14ac:dyDescent="0.15">
      <c r="A999" s="2">
        <v>111767</v>
      </c>
      <c r="B999" s="2" t="s">
        <v>71</v>
      </c>
      <c r="C999" s="2">
        <v>2021</v>
      </c>
      <c r="D999" s="2" t="s">
        <v>1</v>
      </c>
      <c r="E999" s="2" t="s">
        <v>27</v>
      </c>
      <c r="F999" s="2" t="s">
        <v>35</v>
      </c>
      <c r="G999" s="7"/>
      <c r="H999" s="13" t="str">
        <f>IFERROR(IF(ABS($G999)&gt;0,VLOOKUP($E999,'Fuel Category and Heat Rate'!$B$1:$G$34,6,FALSE)*($G999),""),"")</f>
        <v/>
      </c>
      <c r="I999" t="str">
        <f>IFERROR(VLOOKUP($E999,'Fuel Category and Heat Rate'!$K$2:$M$36,3,FALSE),"")</f>
        <v>LPG propane or butane</v>
      </c>
    </row>
    <row r="1000" spans="1:9" x14ac:dyDescent="0.15">
      <c r="A1000" s="2">
        <v>111802</v>
      </c>
      <c r="B1000" s="2" t="s">
        <v>71</v>
      </c>
      <c r="C1000" s="2">
        <v>2021</v>
      </c>
      <c r="D1000" s="2" t="s">
        <v>1</v>
      </c>
      <c r="E1000" s="2" t="s">
        <v>7</v>
      </c>
      <c r="F1000" s="2" t="s">
        <v>35</v>
      </c>
      <c r="G1000" s="7"/>
      <c r="H1000" s="13" t="str">
        <f>IFERROR(IF(ABS($G1000)&gt;0,VLOOKUP($E1000,'Fuel Category and Heat Rate'!$B$1:$G$34,6,FALSE)*($G1000),""),"")</f>
        <v/>
      </c>
      <c r="I1000" t="str">
        <f>IFERROR(VLOOKUP($E1000,'Fuel Category and Heat Rate'!$K$2:$M$36,3,FALSE),"")</f>
        <v>coal</v>
      </c>
    </row>
    <row r="1001" spans="1:9" x14ac:dyDescent="0.15">
      <c r="A1001" s="2">
        <v>111837</v>
      </c>
      <c r="B1001" s="2" t="s">
        <v>71</v>
      </c>
      <c r="C1001" s="2">
        <v>2021</v>
      </c>
      <c r="D1001" s="2" t="s">
        <v>1</v>
      </c>
      <c r="E1001" s="2" t="s">
        <v>2</v>
      </c>
      <c r="F1001" s="2" t="s">
        <v>35</v>
      </c>
      <c r="G1001" s="7">
        <v>-67.89</v>
      </c>
      <c r="H1001" s="13">
        <f>IFERROR(IF(ABS($G1001)&gt;0,VLOOKUP($E1001,'Fuel Category and Heat Rate'!$B$1:$G$34,6,FALSE)*($G1001),""),"")</f>
        <v>0</v>
      </c>
      <c r="I1001" t="str">
        <f>IFERROR(VLOOKUP($E1001,'Fuel Category and Heat Rate'!$K$2:$M$36,3,FALSE),"")</f>
        <v/>
      </c>
    </row>
    <row r="1002" spans="1:9" x14ac:dyDescent="0.15">
      <c r="A1002" s="2">
        <v>111872</v>
      </c>
      <c r="B1002" s="2" t="s">
        <v>71</v>
      </c>
      <c r="C1002" s="2">
        <v>2021</v>
      </c>
      <c r="D1002" s="2" t="s">
        <v>1</v>
      </c>
      <c r="E1002" s="2" t="s">
        <v>17</v>
      </c>
      <c r="F1002" s="2" t="s">
        <v>35</v>
      </c>
      <c r="G1002" s="7"/>
      <c r="H1002" s="13" t="str">
        <f>IFERROR(IF(ABS($G1002)&gt;0,VLOOKUP($E1002,'Fuel Category and Heat Rate'!$B$1:$G$34,6,FALSE)*($G1002),""),"")</f>
        <v/>
      </c>
      <c r="I1002" t="str">
        <f>IFERROR(VLOOKUP($E1002,'Fuel Category and Heat Rate'!$K$2:$M$36,3,FALSE),"")</f>
        <v>petroleum diesel</v>
      </c>
    </row>
    <row r="1003" spans="1:9" x14ac:dyDescent="0.15">
      <c r="A1003" s="2">
        <v>111907</v>
      </c>
      <c r="B1003" s="2" t="s">
        <v>71</v>
      </c>
      <c r="C1003" s="2">
        <v>2021</v>
      </c>
      <c r="D1003" s="2" t="s">
        <v>1</v>
      </c>
      <c r="E1003" s="2" t="s">
        <v>13</v>
      </c>
      <c r="F1003" s="2" t="s">
        <v>35</v>
      </c>
      <c r="G1003" s="7"/>
      <c r="H1003" s="13" t="str">
        <f>IFERROR(IF(ABS($G1003)&gt;0,VLOOKUP($E1003,'Fuel Category and Heat Rate'!$B$1:$G$34,6,FALSE)*($G1003),""),"")</f>
        <v/>
      </c>
      <c r="I1003" t="str">
        <f>IFERROR(VLOOKUP($E1003,'Fuel Category and Heat Rate'!$K$2:$M$36,3,FALSE),"")</f>
        <v>petroleum diesel</v>
      </c>
    </row>
    <row r="1004" spans="1:9" x14ac:dyDescent="0.15">
      <c r="A1004" s="2">
        <v>111942</v>
      </c>
      <c r="B1004" s="2" t="s">
        <v>71</v>
      </c>
      <c r="C1004" s="2">
        <v>2021</v>
      </c>
      <c r="D1004" s="2" t="s">
        <v>1</v>
      </c>
      <c r="E1004" s="2" t="s">
        <v>12</v>
      </c>
      <c r="F1004" s="2" t="s">
        <v>36</v>
      </c>
      <c r="G1004" s="7"/>
      <c r="H1004" s="13" t="str">
        <f>IFERROR(IF(ABS($G1004)&gt;0,VLOOKUP($E1004,'Fuel Category and Heat Rate'!$B$1:$G$34,6,FALSE)*($G1004),""),"")</f>
        <v/>
      </c>
      <c r="I1004" t="str">
        <f>IFERROR(VLOOKUP($E1004,'Fuel Category and Heat Rate'!$K$2:$M$36,3,FALSE),"")</f>
        <v>LPG propane or butane</v>
      </c>
    </row>
    <row r="1005" spans="1:9" x14ac:dyDescent="0.15">
      <c r="A1005" s="2">
        <v>111977</v>
      </c>
      <c r="B1005" s="2" t="s">
        <v>71</v>
      </c>
      <c r="C1005" s="2">
        <v>2021</v>
      </c>
      <c r="D1005" s="2" t="s">
        <v>1</v>
      </c>
      <c r="E1005" s="2" t="s">
        <v>33</v>
      </c>
      <c r="F1005" s="2" t="s">
        <v>38</v>
      </c>
      <c r="G1005" s="7"/>
      <c r="H1005" s="13" t="str">
        <f>IFERROR(IF(ABS($G1005)&gt;0,VLOOKUP($E1005,'Fuel Category and Heat Rate'!$B$1:$G$34,6,FALSE)*($G1005),""),"")</f>
        <v/>
      </c>
      <c r="I1005" t="str">
        <f>IFERROR(VLOOKUP($E1005,'Fuel Category and Heat Rate'!$K$2:$M$36,3,FALSE),"")</f>
        <v>biomass</v>
      </c>
    </row>
    <row r="1006" spans="1:9" x14ac:dyDescent="0.15">
      <c r="A1006" s="2">
        <v>112012</v>
      </c>
      <c r="B1006" s="2" t="s">
        <v>71</v>
      </c>
      <c r="C1006" s="2">
        <v>2021</v>
      </c>
      <c r="D1006" s="2" t="s">
        <v>1</v>
      </c>
      <c r="E1006" s="2" t="s">
        <v>28</v>
      </c>
      <c r="F1006" s="2" t="s">
        <v>35</v>
      </c>
      <c r="G1006" s="7"/>
      <c r="H1006" s="13" t="str">
        <f>IFERROR(IF(ABS($G1006)&gt;0,VLOOKUP($E1006,'Fuel Category and Heat Rate'!$B$1:$G$34,6,FALSE)*($G1006),""),"")</f>
        <v/>
      </c>
      <c r="I1006" t="str">
        <f>IFERROR(VLOOKUP($E1006,'Fuel Category and Heat Rate'!$K$2:$M$36,3,FALSE),"")</f>
        <v>heavy or residual fuel oil</v>
      </c>
    </row>
    <row r="1007" spans="1:9" x14ac:dyDescent="0.15">
      <c r="A1007" s="2">
        <v>112047</v>
      </c>
      <c r="B1007" s="2" t="s">
        <v>71</v>
      </c>
      <c r="C1007" s="2">
        <v>2021</v>
      </c>
      <c r="D1007" s="2" t="s">
        <v>1</v>
      </c>
      <c r="E1007" s="2" t="s">
        <v>5</v>
      </c>
      <c r="F1007" s="2" t="s">
        <v>35</v>
      </c>
      <c r="G1007" s="7"/>
      <c r="H1007" s="13" t="str">
        <f>IFERROR(IF(ABS($G1007)&gt;0,VLOOKUP($E1007,'Fuel Category and Heat Rate'!$B$1:$G$34,6,FALSE)*($G1007),""),"")</f>
        <v/>
      </c>
      <c r="I1007" t="str">
        <f>IFERROR(VLOOKUP($E1007,'Fuel Category and Heat Rate'!$K$2:$M$36,3,FALSE),"")</f>
        <v>coal</v>
      </c>
    </row>
    <row r="1008" spans="1:9" x14ac:dyDescent="0.15">
      <c r="A1008" s="2">
        <v>112082</v>
      </c>
      <c r="B1008" s="2" t="s">
        <v>71</v>
      </c>
      <c r="C1008" s="2">
        <v>2021</v>
      </c>
      <c r="D1008" s="2" t="s">
        <v>1</v>
      </c>
      <c r="E1008" s="2" t="s">
        <v>16</v>
      </c>
      <c r="F1008" s="2" t="s">
        <v>35</v>
      </c>
      <c r="G1008" s="7"/>
      <c r="H1008" s="13" t="str">
        <f>IFERROR(IF(ABS($G1008)&gt;0,VLOOKUP($E1008,'Fuel Category and Heat Rate'!$B$1:$G$34,6,FALSE)*($G1008),""),"")</f>
        <v/>
      </c>
      <c r="I1008" t="str">
        <f>IFERROR(VLOOKUP($E1008,'Fuel Category and Heat Rate'!$K$2:$M$36,3,FALSE),"")</f>
        <v>petroleum diesel</v>
      </c>
    </row>
    <row r="1009" spans="1:9" x14ac:dyDescent="0.15">
      <c r="A1009" s="2">
        <v>112117</v>
      </c>
      <c r="B1009" s="2" t="s">
        <v>71</v>
      </c>
      <c r="C1009" s="2">
        <v>2021</v>
      </c>
      <c r="D1009" s="2" t="s">
        <v>1</v>
      </c>
      <c r="E1009" s="2" t="s">
        <v>19</v>
      </c>
      <c r="F1009" s="2" t="s">
        <v>35</v>
      </c>
      <c r="G1009" s="7"/>
      <c r="H1009" s="13" t="str">
        <f>IFERROR(IF(ABS($G1009)&gt;0,VLOOKUP($E1009,'Fuel Category and Heat Rate'!$B$1:$G$34,6,FALSE)*($G1009),""),"")</f>
        <v/>
      </c>
      <c r="I1009" t="str">
        <f>IFERROR(VLOOKUP($E1009,'Fuel Category and Heat Rate'!$K$2:$M$36,3,FALSE),"")</f>
        <v>heavy or residual fuel oil</v>
      </c>
    </row>
    <row r="1010" spans="1:9" x14ac:dyDescent="0.15">
      <c r="A1010" s="2">
        <v>112152</v>
      </c>
      <c r="B1010" s="2" t="s">
        <v>71</v>
      </c>
      <c r="C1010" s="2">
        <v>2021</v>
      </c>
      <c r="D1010" s="2" t="s">
        <v>1</v>
      </c>
      <c r="E1010" s="2" t="s">
        <v>31</v>
      </c>
      <c r="F1010" s="2" t="s">
        <v>37</v>
      </c>
      <c r="G1010" s="7">
        <v>980.92</v>
      </c>
      <c r="H1010" s="13">
        <f>IFERROR(IF(ABS($G1010)&gt;0,VLOOKUP($E1010,'Fuel Category and Heat Rate'!$B$1:$G$34,6,FALSE)*($G1010),""),"")</f>
        <v>9297327719665.2676</v>
      </c>
      <c r="I1010" t="str">
        <f>IFERROR(VLOOKUP($E1010,'Fuel Category and Heat Rate'!$K$2:$M$36,3,FALSE),"")</f>
        <v>heat</v>
      </c>
    </row>
    <row r="1011" spans="1:9" x14ac:dyDescent="0.15">
      <c r="A1011" s="2">
        <v>112187</v>
      </c>
      <c r="B1011" s="2" t="s">
        <v>71</v>
      </c>
      <c r="C1011" s="2">
        <v>2021</v>
      </c>
      <c r="D1011" s="2" t="s">
        <v>1</v>
      </c>
      <c r="E1011" s="2" t="s">
        <v>23</v>
      </c>
      <c r="F1011" s="2" t="s">
        <v>35</v>
      </c>
      <c r="G1011" s="7"/>
      <c r="H1011" s="13" t="str">
        <f>IFERROR(IF(ABS($G1011)&gt;0,VLOOKUP($E1011,'Fuel Category and Heat Rate'!$B$1:$G$34,6,FALSE)*($G1011),""),"")</f>
        <v/>
      </c>
      <c r="I1011" t="str">
        <f>IFERROR(VLOOKUP($E1011,'Fuel Category and Heat Rate'!$K$2:$M$36,3,FALSE),"")</f>
        <v>heavy or residual fuel oil</v>
      </c>
    </row>
    <row r="1012" spans="1:9" x14ac:dyDescent="0.15">
      <c r="A1012" s="2">
        <v>112222</v>
      </c>
      <c r="B1012" s="2" t="s">
        <v>71</v>
      </c>
      <c r="C1012" s="2">
        <v>2021</v>
      </c>
      <c r="D1012" s="2" t="s">
        <v>1</v>
      </c>
      <c r="E1012" s="2" t="s">
        <v>21</v>
      </c>
      <c r="F1012" s="2" t="s">
        <v>35</v>
      </c>
      <c r="G1012" s="7"/>
      <c r="H1012" s="13" t="str">
        <f>IFERROR(IF(ABS($G1012)&gt;0,VLOOKUP($E1012,'Fuel Category and Heat Rate'!$B$1:$G$34,6,FALSE)*($G1012),""),"")</f>
        <v/>
      </c>
      <c r="I1012" t="str">
        <f>IFERROR(VLOOKUP($E1012,'Fuel Category and Heat Rate'!$K$2:$M$36,3,FALSE),"")</f>
        <v>LPG propane or butane</v>
      </c>
    </row>
    <row r="1013" spans="1:9" x14ac:dyDescent="0.15">
      <c r="A1013" s="2">
        <v>112257</v>
      </c>
      <c r="B1013" s="2" t="s">
        <v>71</v>
      </c>
      <c r="C1013" s="2">
        <v>2021</v>
      </c>
      <c r="D1013" s="2" t="s">
        <v>1</v>
      </c>
      <c r="E1013" s="2" t="s">
        <v>22</v>
      </c>
      <c r="F1013" s="2" t="s">
        <v>35</v>
      </c>
      <c r="G1013" s="7"/>
      <c r="H1013" s="13" t="str">
        <f>IFERROR(IF(ABS($G1013)&gt;0,VLOOKUP($E1013,'Fuel Category and Heat Rate'!$B$1:$G$34,6,FALSE)*($G1013),""),"")</f>
        <v/>
      </c>
      <c r="I1013" t="str">
        <f>IFERROR(VLOOKUP($E1013,'Fuel Category and Heat Rate'!$K$2:$M$36,3,FALSE),"")</f>
        <v>heavy fuel oil</v>
      </c>
    </row>
    <row r="1014" spans="1:9" x14ac:dyDescent="0.15">
      <c r="A1014" s="2">
        <v>112292</v>
      </c>
      <c r="B1014" s="2" t="s">
        <v>71</v>
      </c>
      <c r="C1014" s="2">
        <v>2021</v>
      </c>
      <c r="D1014" s="2" t="s">
        <v>1</v>
      </c>
      <c r="E1014" s="2" t="s">
        <v>20</v>
      </c>
      <c r="F1014" s="2" t="s">
        <v>35</v>
      </c>
      <c r="G1014" s="7"/>
      <c r="H1014" s="13" t="str">
        <f>IFERROR(IF(ABS($G1014)&gt;0,VLOOKUP($E1014,'Fuel Category and Heat Rate'!$B$1:$G$34,6,FALSE)*($G1014),""),"")</f>
        <v/>
      </c>
      <c r="I1014" t="str">
        <f>IFERROR(VLOOKUP($E1014,'Fuel Category and Heat Rate'!$K$2:$M$36,3,FALSE),"")</f>
        <v>LPG propane or butane</v>
      </c>
    </row>
    <row r="1015" spans="1:9" x14ac:dyDescent="0.15">
      <c r="A1015" s="2">
        <v>112327</v>
      </c>
      <c r="B1015" s="2" t="s">
        <v>71</v>
      </c>
      <c r="C1015" s="2">
        <v>2021</v>
      </c>
      <c r="D1015" s="2" t="s">
        <v>1</v>
      </c>
      <c r="E1015" s="2" t="s">
        <v>25</v>
      </c>
      <c r="F1015" s="2" t="s">
        <v>35</v>
      </c>
      <c r="G1015" s="7"/>
      <c r="H1015" s="13" t="str">
        <f>IFERROR(IF(ABS($G1015)&gt;0,VLOOKUP($E1015,'Fuel Category and Heat Rate'!$B$1:$G$34,6,FALSE)*($G1015),""),"")</f>
        <v/>
      </c>
      <c r="I1015" t="str">
        <f>IFERROR(VLOOKUP($E1015,'Fuel Category and Heat Rate'!$K$2:$M$36,3,FALSE),"")</f>
        <v>heavy fuel oil</v>
      </c>
    </row>
    <row r="1016" spans="1:9" x14ac:dyDescent="0.15">
      <c r="A1016" s="2">
        <v>112362</v>
      </c>
      <c r="B1016" s="2" t="s">
        <v>71</v>
      </c>
      <c r="C1016" s="2">
        <v>2021</v>
      </c>
      <c r="D1016" s="2" t="s">
        <v>1</v>
      </c>
      <c r="E1016" s="2" t="s">
        <v>24</v>
      </c>
      <c r="F1016" s="2" t="s">
        <v>35</v>
      </c>
      <c r="G1016" s="7"/>
      <c r="H1016" s="13" t="str">
        <f>IFERROR(IF(ABS($G1016)&gt;0,VLOOKUP($E1016,'Fuel Category and Heat Rate'!$B$1:$G$34,6,FALSE)*($G1016),""),"")</f>
        <v/>
      </c>
      <c r="I1016" t="str">
        <f>IFERROR(VLOOKUP($E1016,'Fuel Category and Heat Rate'!$K$2:$M$36,3,FALSE),"")</f>
        <v>heavy fuel oil</v>
      </c>
    </row>
    <row r="1017" spans="1:9" x14ac:dyDescent="0.15">
      <c r="A1017" s="2">
        <v>112397</v>
      </c>
      <c r="B1017" s="2" t="s">
        <v>71</v>
      </c>
      <c r="C1017" s="2">
        <v>2021</v>
      </c>
      <c r="D1017" s="2" t="s">
        <v>1</v>
      </c>
      <c r="E1017" s="2" t="s">
        <v>29</v>
      </c>
      <c r="F1017" s="2" t="s">
        <v>36</v>
      </c>
      <c r="G1017" s="7"/>
      <c r="H1017" s="13" t="str">
        <f>IFERROR(IF(ABS($G1017)&gt;0,VLOOKUP($E1017,'Fuel Category and Heat Rate'!$B$1:$G$34,6,FALSE)*($G1017),""),"")</f>
        <v/>
      </c>
      <c r="I1017" t="str">
        <f>IFERROR(VLOOKUP($E1017,'Fuel Category and Heat Rate'!$K$2:$M$36,3,FALSE),"")</f>
        <v>natural gas</v>
      </c>
    </row>
    <row r="1018" spans="1:9" x14ac:dyDescent="0.15">
      <c r="A1018" s="2">
        <v>112432</v>
      </c>
      <c r="B1018" s="2" t="s">
        <v>71</v>
      </c>
      <c r="C1018" s="2">
        <v>2021</v>
      </c>
      <c r="D1018" s="2" t="s">
        <v>1</v>
      </c>
      <c r="E1018" s="2" t="s">
        <v>4</v>
      </c>
      <c r="F1018" s="2" t="s">
        <v>35</v>
      </c>
      <c r="G1018" s="7"/>
      <c r="H1018" s="13" t="str">
        <f>IFERROR(IF(ABS($G1018)&gt;0,VLOOKUP($E1018,'Fuel Category and Heat Rate'!$B$1:$G$34,6,FALSE)*($G1018),""),"")</f>
        <v/>
      </c>
      <c r="I1018" t="str">
        <f>IFERROR(VLOOKUP($E1018,'Fuel Category and Heat Rate'!$K$2:$M$36,3,FALSE),"")</f>
        <v>coal</v>
      </c>
    </row>
    <row r="1019" spans="1:9" x14ac:dyDescent="0.15">
      <c r="A1019" s="2">
        <v>112467</v>
      </c>
      <c r="B1019" s="2" t="s">
        <v>71</v>
      </c>
      <c r="C1019" s="2">
        <v>2021</v>
      </c>
      <c r="D1019" s="2" t="s">
        <v>1</v>
      </c>
      <c r="E1019" s="2" t="s">
        <v>6</v>
      </c>
      <c r="F1019" s="2" t="s">
        <v>35</v>
      </c>
      <c r="G1019" s="7"/>
      <c r="H1019" s="13" t="str">
        <f>IFERROR(IF(ABS($G1019)&gt;0,VLOOKUP($E1019,'Fuel Category and Heat Rate'!$B$1:$G$34,6,FALSE)*($G1019),""),"")</f>
        <v/>
      </c>
      <c r="I1019" t="str">
        <f>IFERROR(VLOOKUP($E1019,'Fuel Category and Heat Rate'!$K$2:$M$36,3,FALSE),"")</f>
        <v>coal</v>
      </c>
    </row>
    <row r="1020" spans="1:9" x14ac:dyDescent="0.15">
      <c r="A1020" s="2">
        <v>112502</v>
      </c>
      <c r="B1020" s="2" t="s">
        <v>71</v>
      </c>
      <c r="C1020" s="2">
        <v>2021</v>
      </c>
      <c r="D1020" s="2" t="s">
        <v>1</v>
      </c>
      <c r="E1020" s="2" t="s">
        <v>26</v>
      </c>
      <c r="F1020" s="2" t="s">
        <v>35</v>
      </c>
      <c r="G1020" s="7"/>
      <c r="H1020" s="13" t="str">
        <f>IFERROR(IF(ABS($G1020)&gt;0,VLOOKUP($E1020,'Fuel Category and Heat Rate'!$B$1:$G$34,6,FALSE)*($G1020),""),"")</f>
        <v/>
      </c>
      <c r="I1020" t="str">
        <f>IFERROR(VLOOKUP($E1020,'Fuel Category and Heat Rate'!$K$2:$M$36,3,FALSE),"")</f>
        <v>LPG propane or butane</v>
      </c>
    </row>
    <row r="1021" spans="1:9" x14ac:dyDescent="0.15">
      <c r="A1021" s="2">
        <v>112537</v>
      </c>
      <c r="B1021" s="2" t="s">
        <v>71</v>
      </c>
      <c r="C1021" s="2">
        <v>2021</v>
      </c>
      <c r="D1021" s="2" t="s">
        <v>1</v>
      </c>
      <c r="E1021" s="2" t="s">
        <v>30</v>
      </c>
      <c r="F1021" s="2" t="s">
        <v>35</v>
      </c>
      <c r="G1021" s="7"/>
      <c r="H1021" s="13" t="str">
        <f>IFERROR(IF(ABS($G1021)&gt;0,VLOOKUP($E1021,'Fuel Category and Heat Rate'!$B$1:$G$34,6,FALSE)*($G1021),""),"")</f>
        <v/>
      </c>
      <c r="I1021" t="str">
        <f>IFERROR(VLOOKUP($E1021,'Fuel Category and Heat Rate'!$K$2:$M$36,3,FALSE),"")</f>
        <v>natural gas</v>
      </c>
    </row>
    <row r="1022" spans="1:9" x14ac:dyDescent="0.15">
      <c r="A1022" s="2">
        <v>112572</v>
      </c>
      <c r="B1022" s="2" t="s">
        <v>71</v>
      </c>
      <c r="C1022" s="2">
        <v>2021</v>
      </c>
      <c r="D1022" s="2" t="s">
        <v>1</v>
      </c>
      <c r="E1022" s="2" t="s">
        <v>14</v>
      </c>
      <c r="F1022" s="2" t="s">
        <v>35</v>
      </c>
      <c r="G1022" s="7"/>
      <c r="H1022" s="13" t="str">
        <f>IFERROR(IF(ABS($G1022)&gt;0,VLOOKUP($E1022,'Fuel Category and Heat Rate'!$B$1:$G$34,6,FALSE)*($G1022),""),"")</f>
        <v/>
      </c>
      <c r="I1022" t="str">
        <f>IFERROR(VLOOKUP($E1022,'Fuel Category and Heat Rate'!$K$2:$M$36,3,FALSE),"")</f>
        <v/>
      </c>
    </row>
    <row r="1023" spans="1:9" x14ac:dyDescent="0.15">
      <c r="A1023" s="2">
        <v>112607</v>
      </c>
      <c r="B1023" s="2" t="s">
        <v>71</v>
      </c>
      <c r="C1023" s="2">
        <v>2021</v>
      </c>
      <c r="D1023" s="2" t="s">
        <v>1</v>
      </c>
      <c r="E1023" s="2" t="s">
        <v>3</v>
      </c>
      <c r="F1023" s="2" t="s">
        <v>35</v>
      </c>
      <c r="G1023" s="7">
        <v>-67.89</v>
      </c>
      <c r="H1023" s="13">
        <f>IFERROR(IF(ABS($G1023)&gt;0,VLOOKUP($E1023,'Fuel Category and Heat Rate'!$B$1:$G$34,6,FALSE)*($G1023),""),"")</f>
        <v>-13453734416050.107</v>
      </c>
      <c r="I1023" t="str">
        <f>IFERROR(VLOOKUP($E1023,'Fuel Category and Heat Rate'!$K$2:$M$36,3,FALSE),"")</f>
        <v>coal</v>
      </c>
    </row>
    <row r="1024" spans="1:9" x14ac:dyDescent="0.15">
      <c r="A1024" s="2">
        <v>112642</v>
      </c>
      <c r="B1024" s="2" t="s">
        <v>71</v>
      </c>
      <c r="C1024" s="2">
        <v>2021</v>
      </c>
      <c r="D1024" s="2" t="s">
        <v>1</v>
      </c>
      <c r="E1024" s="2" t="s">
        <v>15</v>
      </c>
      <c r="F1024" s="2" t="s">
        <v>35</v>
      </c>
      <c r="G1024" s="7"/>
      <c r="H1024" s="13" t="str">
        <f>IFERROR(IF(ABS($G1024)&gt;0,VLOOKUP($E1024,'Fuel Category and Heat Rate'!$B$1:$G$34,6,FALSE)*($G1024),""),"")</f>
        <v/>
      </c>
      <c r="I1024" t="str">
        <f>IFERROR(VLOOKUP($E1024,'Fuel Category and Heat Rate'!$K$2:$M$36,3,FALSE),"")</f>
        <v>crude oil</v>
      </c>
    </row>
    <row r="1025" spans="1:9" x14ac:dyDescent="0.15">
      <c r="A1025" s="2">
        <v>112677</v>
      </c>
      <c r="B1025" s="2" t="s">
        <v>71</v>
      </c>
      <c r="C1025" s="2">
        <v>2021</v>
      </c>
      <c r="D1025" s="2" t="s">
        <v>1</v>
      </c>
      <c r="E1025" s="2" t="s">
        <v>11</v>
      </c>
      <c r="F1025" s="2" t="s">
        <v>36</v>
      </c>
      <c r="G1025" s="7"/>
      <c r="H1025" s="13" t="str">
        <f>IFERROR(IF(ABS($G1025)&gt;0,VLOOKUP($E1025,'Fuel Category and Heat Rate'!$B$1:$G$34,6,FALSE)*($G1025),""),"")</f>
        <v/>
      </c>
      <c r="I1025" t="str">
        <f>IFERROR(VLOOKUP($E1025,'Fuel Category and Heat Rate'!$K$2:$M$36,3,FALSE),"")</f>
        <v>LPG propane or butane</v>
      </c>
    </row>
    <row r="1026" spans="1:9" x14ac:dyDescent="0.15">
      <c r="A1026" s="2">
        <v>112712</v>
      </c>
      <c r="B1026" s="2" t="s">
        <v>71</v>
      </c>
      <c r="C1026" s="2">
        <v>2020</v>
      </c>
      <c r="D1026" s="2" t="s">
        <v>1</v>
      </c>
      <c r="E1026" s="2" t="s">
        <v>18</v>
      </c>
      <c r="F1026" s="2" t="s">
        <v>35</v>
      </c>
      <c r="G1026" s="7"/>
      <c r="H1026" s="13" t="str">
        <f>IFERROR(IF(ABS($G1026)&gt;0,VLOOKUP($E1026,'Fuel Category and Heat Rate'!$B$1:$G$34,6,FALSE)*($G1026),""),"")</f>
        <v/>
      </c>
      <c r="I1026" t="str">
        <f>IFERROR(VLOOKUP($E1026,'Fuel Category and Heat Rate'!$K$2:$M$36,3,FALSE),"")</f>
        <v>petroleum diesel</v>
      </c>
    </row>
    <row r="1027" spans="1:9" x14ac:dyDescent="0.15">
      <c r="A1027" s="2">
        <v>112747</v>
      </c>
      <c r="B1027" s="2" t="s">
        <v>71</v>
      </c>
      <c r="C1027" s="2">
        <v>2020</v>
      </c>
      <c r="D1027" s="2" t="s">
        <v>1</v>
      </c>
      <c r="E1027" s="2" t="s">
        <v>32</v>
      </c>
      <c r="F1027" s="2" t="s">
        <v>65</v>
      </c>
      <c r="G1027" s="7"/>
      <c r="H1027" s="13" t="str">
        <f>IFERROR(IF(ABS($G1027)&gt;0,VLOOKUP($E1027,'Fuel Category and Heat Rate'!$B$1:$G$34,6,FALSE)*($G1027),""),"")</f>
        <v/>
      </c>
      <c r="I1027" t="str">
        <f>IFERROR(VLOOKUP($E1027,'Fuel Category and Heat Rate'!$K$2:$M$36,3,FALSE),"")</f>
        <v>electricity</v>
      </c>
    </row>
    <row r="1028" spans="1:9" x14ac:dyDescent="0.15">
      <c r="A1028" s="2">
        <v>112782</v>
      </c>
      <c r="B1028" s="2" t="s">
        <v>71</v>
      </c>
      <c r="C1028" s="2">
        <v>2020</v>
      </c>
      <c r="D1028" s="2" t="s">
        <v>1</v>
      </c>
      <c r="E1028" s="2" t="s">
        <v>10</v>
      </c>
      <c r="F1028" s="2" t="s">
        <v>36</v>
      </c>
      <c r="G1028" s="7"/>
      <c r="H1028" s="13" t="str">
        <f>IFERROR(IF(ABS($G1028)&gt;0,VLOOKUP($E1028,'Fuel Category and Heat Rate'!$B$1:$G$34,6,FALSE)*($G1028),""),"")</f>
        <v/>
      </c>
      <c r="I1028" t="str">
        <f>IFERROR(VLOOKUP($E1028,'Fuel Category and Heat Rate'!$K$2:$M$36,3,FALSE),"")</f>
        <v>LPG propane or butane</v>
      </c>
    </row>
    <row r="1029" spans="1:9" x14ac:dyDescent="0.15">
      <c r="A1029" s="2">
        <v>112817</v>
      </c>
      <c r="B1029" s="2" t="s">
        <v>71</v>
      </c>
      <c r="C1029" s="2">
        <v>2020</v>
      </c>
      <c r="D1029" s="2" t="s">
        <v>1</v>
      </c>
      <c r="E1029" s="2" t="s">
        <v>9</v>
      </c>
      <c r="F1029" s="2" t="s">
        <v>36</v>
      </c>
      <c r="G1029" s="7"/>
      <c r="H1029" s="13" t="str">
        <f>IFERROR(IF(ABS($G1029)&gt;0,VLOOKUP($E1029,'Fuel Category and Heat Rate'!$B$1:$G$34,6,FALSE)*($G1029),""),"")</f>
        <v/>
      </c>
      <c r="I1029" t="str">
        <f>IFERROR(VLOOKUP($E1029,'Fuel Category and Heat Rate'!$K$2:$M$36,3,FALSE),"")</f>
        <v>LPG propane or butane</v>
      </c>
    </row>
    <row r="1030" spans="1:9" x14ac:dyDescent="0.15">
      <c r="A1030" s="2">
        <v>112852</v>
      </c>
      <c r="B1030" s="2" t="s">
        <v>71</v>
      </c>
      <c r="C1030" s="2">
        <v>2020</v>
      </c>
      <c r="D1030" s="2" t="s">
        <v>1</v>
      </c>
      <c r="E1030" s="2" t="s">
        <v>8</v>
      </c>
      <c r="F1030" s="2" t="s">
        <v>35</v>
      </c>
      <c r="G1030" s="7"/>
      <c r="H1030" s="13" t="str">
        <f>IFERROR(IF(ABS($G1030)&gt;0,VLOOKUP($E1030,'Fuel Category and Heat Rate'!$B$1:$G$34,6,FALSE)*($G1030),""),"")</f>
        <v/>
      </c>
      <c r="I1030" t="str">
        <f>IFERROR(VLOOKUP($E1030,'Fuel Category and Heat Rate'!$K$2:$M$36,3,FALSE),"")</f>
        <v>coal</v>
      </c>
    </row>
    <row r="1031" spans="1:9" x14ac:dyDescent="0.15">
      <c r="A1031" s="2">
        <v>112887</v>
      </c>
      <c r="B1031" s="2" t="s">
        <v>71</v>
      </c>
      <c r="C1031" s="2">
        <v>2020</v>
      </c>
      <c r="D1031" s="2" t="s">
        <v>1</v>
      </c>
      <c r="E1031" s="2" t="s">
        <v>27</v>
      </c>
      <c r="F1031" s="2" t="s">
        <v>35</v>
      </c>
      <c r="G1031" s="7"/>
      <c r="H1031" s="13" t="str">
        <f>IFERROR(IF(ABS($G1031)&gt;0,VLOOKUP($E1031,'Fuel Category and Heat Rate'!$B$1:$G$34,6,FALSE)*($G1031),""),"")</f>
        <v/>
      </c>
      <c r="I1031" t="str">
        <f>IFERROR(VLOOKUP($E1031,'Fuel Category and Heat Rate'!$K$2:$M$36,3,FALSE),"")</f>
        <v>LPG propane or butane</v>
      </c>
    </row>
    <row r="1032" spans="1:9" x14ac:dyDescent="0.15">
      <c r="A1032" s="2">
        <v>112922</v>
      </c>
      <c r="B1032" s="2" t="s">
        <v>71</v>
      </c>
      <c r="C1032" s="2">
        <v>2020</v>
      </c>
      <c r="D1032" s="2" t="s">
        <v>1</v>
      </c>
      <c r="E1032" s="2" t="s">
        <v>7</v>
      </c>
      <c r="F1032" s="2" t="s">
        <v>35</v>
      </c>
      <c r="G1032" s="7"/>
      <c r="H1032" s="13" t="str">
        <f>IFERROR(IF(ABS($G1032)&gt;0,VLOOKUP($E1032,'Fuel Category and Heat Rate'!$B$1:$G$34,6,FALSE)*($G1032),""),"")</f>
        <v/>
      </c>
      <c r="I1032" t="str">
        <f>IFERROR(VLOOKUP($E1032,'Fuel Category and Heat Rate'!$K$2:$M$36,3,FALSE),"")</f>
        <v>coal</v>
      </c>
    </row>
    <row r="1033" spans="1:9" x14ac:dyDescent="0.15">
      <c r="A1033" s="2">
        <v>112957</v>
      </c>
      <c r="B1033" s="2" t="s">
        <v>71</v>
      </c>
      <c r="C1033" s="2">
        <v>2020</v>
      </c>
      <c r="D1033" s="2" t="s">
        <v>1</v>
      </c>
      <c r="E1033" s="2" t="s">
        <v>2</v>
      </c>
      <c r="F1033" s="2" t="s">
        <v>35</v>
      </c>
      <c r="G1033" s="7">
        <v>-46.91</v>
      </c>
      <c r="H1033" s="13">
        <f>IFERROR(IF(ABS($G1033)&gt;0,VLOOKUP($E1033,'Fuel Category and Heat Rate'!$B$1:$G$34,6,FALSE)*($G1033),""),"")</f>
        <v>0</v>
      </c>
      <c r="I1033" t="str">
        <f>IFERROR(VLOOKUP($E1033,'Fuel Category and Heat Rate'!$K$2:$M$36,3,FALSE),"")</f>
        <v/>
      </c>
    </row>
    <row r="1034" spans="1:9" x14ac:dyDescent="0.15">
      <c r="A1034" s="2">
        <v>112992</v>
      </c>
      <c r="B1034" s="2" t="s">
        <v>71</v>
      </c>
      <c r="C1034" s="2">
        <v>2020</v>
      </c>
      <c r="D1034" s="2" t="s">
        <v>1</v>
      </c>
      <c r="E1034" s="2" t="s">
        <v>17</v>
      </c>
      <c r="F1034" s="2" t="s">
        <v>35</v>
      </c>
      <c r="G1034" s="7"/>
      <c r="H1034" s="13" t="str">
        <f>IFERROR(IF(ABS($G1034)&gt;0,VLOOKUP($E1034,'Fuel Category and Heat Rate'!$B$1:$G$34,6,FALSE)*($G1034),""),"")</f>
        <v/>
      </c>
      <c r="I1034" t="str">
        <f>IFERROR(VLOOKUP($E1034,'Fuel Category and Heat Rate'!$K$2:$M$36,3,FALSE),"")</f>
        <v>petroleum diesel</v>
      </c>
    </row>
    <row r="1035" spans="1:9" x14ac:dyDescent="0.15">
      <c r="A1035" s="2">
        <v>113027</v>
      </c>
      <c r="B1035" s="2" t="s">
        <v>71</v>
      </c>
      <c r="C1035" s="2">
        <v>2020</v>
      </c>
      <c r="D1035" s="2" t="s">
        <v>1</v>
      </c>
      <c r="E1035" s="2" t="s">
        <v>13</v>
      </c>
      <c r="F1035" s="2" t="s">
        <v>35</v>
      </c>
      <c r="G1035" s="7"/>
      <c r="H1035" s="13" t="str">
        <f>IFERROR(IF(ABS($G1035)&gt;0,VLOOKUP($E1035,'Fuel Category and Heat Rate'!$B$1:$G$34,6,FALSE)*($G1035),""),"")</f>
        <v/>
      </c>
      <c r="I1035" t="str">
        <f>IFERROR(VLOOKUP($E1035,'Fuel Category and Heat Rate'!$K$2:$M$36,3,FALSE),"")</f>
        <v>petroleum diesel</v>
      </c>
    </row>
    <row r="1036" spans="1:9" x14ac:dyDescent="0.15">
      <c r="A1036" s="2">
        <v>113062</v>
      </c>
      <c r="B1036" s="2" t="s">
        <v>71</v>
      </c>
      <c r="C1036" s="2">
        <v>2020</v>
      </c>
      <c r="D1036" s="2" t="s">
        <v>1</v>
      </c>
      <c r="E1036" s="2" t="s">
        <v>12</v>
      </c>
      <c r="F1036" s="2" t="s">
        <v>36</v>
      </c>
      <c r="G1036" s="7"/>
      <c r="H1036" s="13" t="str">
        <f>IFERROR(IF(ABS($G1036)&gt;0,VLOOKUP($E1036,'Fuel Category and Heat Rate'!$B$1:$G$34,6,FALSE)*($G1036),""),"")</f>
        <v/>
      </c>
      <c r="I1036" t="str">
        <f>IFERROR(VLOOKUP($E1036,'Fuel Category and Heat Rate'!$K$2:$M$36,3,FALSE),"")</f>
        <v>LPG propane or butane</v>
      </c>
    </row>
    <row r="1037" spans="1:9" x14ac:dyDescent="0.15">
      <c r="A1037" s="2">
        <v>113097</v>
      </c>
      <c r="B1037" s="2" t="s">
        <v>71</v>
      </c>
      <c r="C1037" s="2">
        <v>2020</v>
      </c>
      <c r="D1037" s="2" t="s">
        <v>1</v>
      </c>
      <c r="E1037" s="2" t="s">
        <v>33</v>
      </c>
      <c r="F1037" s="2" t="s">
        <v>38</v>
      </c>
      <c r="G1037" s="7"/>
      <c r="H1037" s="13" t="str">
        <f>IFERROR(IF(ABS($G1037)&gt;0,VLOOKUP($E1037,'Fuel Category and Heat Rate'!$B$1:$G$34,6,FALSE)*($G1037),""),"")</f>
        <v/>
      </c>
      <c r="I1037" t="str">
        <f>IFERROR(VLOOKUP($E1037,'Fuel Category and Heat Rate'!$K$2:$M$36,3,FALSE),"")</f>
        <v>biomass</v>
      </c>
    </row>
    <row r="1038" spans="1:9" x14ac:dyDescent="0.15">
      <c r="A1038" s="2">
        <v>113132</v>
      </c>
      <c r="B1038" s="2" t="s">
        <v>71</v>
      </c>
      <c r="C1038" s="2">
        <v>2020</v>
      </c>
      <c r="D1038" s="2" t="s">
        <v>1</v>
      </c>
      <c r="E1038" s="2" t="s">
        <v>28</v>
      </c>
      <c r="F1038" s="2" t="s">
        <v>35</v>
      </c>
      <c r="G1038" s="7"/>
      <c r="H1038" s="13" t="str">
        <f>IFERROR(IF(ABS($G1038)&gt;0,VLOOKUP($E1038,'Fuel Category and Heat Rate'!$B$1:$G$34,6,FALSE)*($G1038),""),"")</f>
        <v/>
      </c>
      <c r="I1038" t="str">
        <f>IFERROR(VLOOKUP($E1038,'Fuel Category and Heat Rate'!$K$2:$M$36,3,FALSE),"")</f>
        <v>heavy or residual fuel oil</v>
      </c>
    </row>
    <row r="1039" spans="1:9" x14ac:dyDescent="0.15">
      <c r="A1039" s="2">
        <v>113167</v>
      </c>
      <c r="B1039" s="2" t="s">
        <v>71</v>
      </c>
      <c r="C1039" s="2">
        <v>2020</v>
      </c>
      <c r="D1039" s="2" t="s">
        <v>1</v>
      </c>
      <c r="E1039" s="2" t="s">
        <v>5</v>
      </c>
      <c r="F1039" s="2" t="s">
        <v>35</v>
      </c>
      <c r="G1039" s="7"/>
      <c r="H1039" s="13" t="str">
        <f>IFERROR(IF(ABS($G1039)&gt;0,VLOOKUP($E1039,'Fuel Category and Heat Rate'!$B$1:$G$34,6,FALSE)*($G1039),""),"")</f>
        <v/>
      </c>
      <c r="I1039" t="str">
        <f>IFERROR(VLOOKUP($E1039,'Fuel Category and Heat Rate'!$K$2:$M$36,3,FALSE),"")</f>
        <v>coal</v>
      </c>
    </row>
    <row r="1040" spans="1:9" x14ac:dyDescent="0.15">
      <c r="A1040" s="2">
        <v>113202</v>
      </c>
      <c r="B1040" s="2" t="s">
        <v>71</v>
      </c>
      <c r="C1040" s="2">
        <v>2020</v>
      </c>
      <c r="D1040" s="2" t="s">
        <v>1</v>
      </c>
      <c r="E1040" s="2" t="s">
        <v>16</v>
      </c>
      <c r="F1040" s="2" t="s">
        <v>35</v>
      </c>
      <c r="G1040" s="7"/>
      <c r="H1040" s="13" t="str">
        <f>IFERROR(IF(ABS($G1040)&gt;0,VLOOKUP($E1040,'Fuel Category and Heat Rate'!$B$1:$G$34,6,FALSE)*($G1040),""),"")</f>
        <v/>
      </c>
      <c r="I1040" t="str">
        <f>IFERROR(VLOOKUP($E1040,'Fuel Category and Heat Rate'!$K$2:$M$36,3,FALSE),"")</f>
        <v>petroleum diesel</v>
      </c>
    </row>
    <row r="1041" spans="1:9" x14ac:dyDescent="0.15">
      <c r="A1041" s="2">
        <v>113237</v>
      </c>
      <c r="B1041" s="2" t="s">
        <v>71</v>
      </c>
      <c r="C1041" s="2">
        <v>2020</v>
      </c>
      <c r="D1041" s="2" t="s">
        <v>1</v>
      </c>
      <c r="E1041" s="2" t="s">
        <v>19</v>
      </c>
      <c r="F1041" s="2" t="s">
        <v>35</v>
      </c>
      <c r="G1041" s="7"/>
      <c r="H1041" s="13" t="str">
        <f>IFERROR(IF(ABS($G1041)&gt;0,VLOOKUP($E1041,'Fuel Category and Heat Rate'!$B$1:$G$34,6,FALSE)*($G1041),""),"")</f>
        <v/>
      </c>
      <c r="I1041" t="str">
        <f>IFERROR(VLOOKUP($E1041,'Fuel Category and Heat Rate'!$K$2:$M$36,3,FALSE),"")</f>
        <v>heavy or residual fuel oil</v>
      </c>
    </row>
    <row r="1042" spans="1:9" x14ac:dyDescent="0.15">
      <c r="A1042" s="2">
        <v>113272</v>
      </c>
      <c r="B1042" s="2" t="s">
        <v>71</v>
      </c>
      <c r="C1042" s="2">
        <v>2020</v>
      </c>
      <c r="D1042" s="2" t="s">
        <v>1</v>
      </c>
      <c r="E1042" s="2" t="s">
        <v>31</v>
      </c>
      <c r="F1042" s="2" t="s">
        <v>37</v>
      </c>
      <c r="G1042" s="7">
        <v>570.49</v>
      </c>
      <c r="H1042" s="13">
        <f>IFERROR(IF(ABS($G1042)&gt;0,VLOOKUP($E1042,'Fuel Category and Heat Rate'!$B$1:$G$34,6,FALSE)*($G1042),""),"")</f>
        <v>5407201903103.0449</v>
      </c>
      <c r="I1042" t="str">
        <f>IFERROR(VLOOKUP($E1042,'Fuel Category and Heat Rate'!$K$2:$M$36,3,FALSE),"")</f>
        <v>heat</v>
      </c>
    </row>
    <row r="1043" spans="1:9" x14ac:dyDescent="0.15">
      <c r="A1043" s="2">
        <v>113307</v>
      </c>
      <c r="B1043" s="2" t="s">
        <v>71</v>
      </c>
      <c r="C1043" s="2">
        <v>2020</v>
      </c>
      <c r="D1043" s="2" t="s">
        <v>1</v>
      </c>
      <c r="E1043" s="2" t="s">
        <v>23</v>
      </c>
      <c r="F1043" s="2" t="s">
        <v>35</v>
      </c>
      <c r="G1043" s="7"/>
      <c r="H1043" s="13" t="str">
        <f>IFERROR(IF(ABS($G1043)&gt;0,VLOOKUP($E1043,'Fuel Category and Heat Rate'!$B$1:$G$34,6,FALSE)*($G1043),""),"")</f>
        <v/>
      </c>
      <c r="I1043" t="str">
        <f>IFERROR(VLOOKUP($E1043,'Fuel Category and Heat Rate'!$K$2:$M$36,3,FALSE),"")</f>
        <v>heavy or residual fuel oil</v>
      </c>
    </row>
    <row r="1044" spans="1:9" x14ac:dyDescent="0.15">
      <c r="A1044" s="2">
        <v>113342</v>
      </c>
      <c r="B1044" s="2" t="s">
        <v>71</v>
      </c>
      <c r="C1044" s="2">
        <v>2020</v>
      </c>
      <c r="D1044" s="2" t="s">
        <v>1</v>
      </c>
      <c r="E1044" s="2" t="s">
        <v>21</v>
      </c>
      <c r="F1044" s="2" t="s">
        <v>35</v>
      </c>
      <c r="G1044" s="7"/>
      <c r="H1044" s="13" t="str">
        <f>IFERROR(IF(ABS($G1044)&gt;0,VLOOKUP($E1044,'Fuel Category and Heat Rate'!$B$1:$G$34,6,FALSE)*($G1044),""),"")</f>
        <v/>
      </c>
      <c r="I1044" t="str">
        <f>IFERROR(VLOOKUP($E1044,'Fuel Category and Heat Rate'!$K$2:$M$36,3,FALSE),"")</f>
        <v>LPG propane or butane</v>
      </c>
    </row>
    <row r="1045" spans="1:9" x14ac:dyDescent="0.15">
      <c r="A1045" s="2">
        <v>113377</v>
      </c>
      <c r="B1045" s="2" t="s">
        <v>71</v>
      </c>
      <c r="C1045" s="2">
        <v>2020</v>
      </c>
      <c r="D1045" s="2" t="s">
        <v>1</v>
      </c>
      <c r="E1045" s="2" t="s">
        <v>22</v>
      </c>
      <c r="F1045" s="2" t="s">
        <v>35</v>
      </c>
      <c r="G1045" s="7"/>
      <c r="H1045" s="13" t="str">
        <f>IFERROR(IF(ABS($G1045)&gt;0,VLOOKUP($E1045,'Fuel Category and Heat Rate'!$B$1:$G$34,6,FALSE)*($G1045),""),"")</f>
        <v/>
      </c>
      <c r="I1045" t="str">
        <f>IFERROR(VLOOKUP($E1045,'Fuel Category and Heat Rate'!$K$2:$M$36,3,FALSE),"")</f>
        <v>heavy fuel oil</v>
      </c>
    </row>
    <row r="1046" spans="1:9" x14ac:dyDescent="0.15">
      <c r="A1046" s="2">
        <v>113412</v>
      </c>
      <c r="B1046" s="2" t="s">
        <v>71</v>
      </c>
      <c r="C1046" s="2">
        <v>2020</v>
      </c>
      <c r="D1046" s="2" t="s">
        <v>1</v>
      </c>
      <c r="E1046" s="2" t="s">
        <v>20</v>
      </c>
      <c r="F1046" s="2" t="s">
        <v>35</v>
      </c>
      <c r="G1046" s="7"/>
      <c r="H1046" s="13" t="str">
        <f>IFERROR(IF(ABS($G1046)&gt;0,VLOOKUP($E1046,'Fuel Category and Heat Rate'!$B$1:$G$34,6,FALSE)*($G1046),""),"")</f>
        <v/>
      </c>
      <c r="I1046" t="str">
        <f>IFERROR(VLOOKUP($E1046,'Fuel Category and Heat Rate'!$K$2:$M$36,3,FALSE),"")</f>
        <v>LPG propane or butane</v>
      </c>
    </row>
    <row r="1047" spans="1:9" x14ac:dyDescent="0.15">
      <c r="A1047" s="2">
        <v>113447</v>
      </c>
      <c r="B1047" s="2" t="s">
        <v>71</v>
      </c>
      <c r="C1047" s="2">
        <v>2020</v>
      </c>
      <c r="D1047" s="2" t="s">
        <v>1</v>
      </c>
      <c r="E1047" s="2" t="s">
        <v>25</v>
      </c>
      <c r="F1047" s="2" t="s">
        <v>35</v>
      </c>
      <c r="G1047" s="7"/>
      <c r="H1047" s="13" t="str">
        <f>IFERROR(IF(ABS($G1047)&gt;0,VLOOKUP($E1047,'Fuel Category and Heat Rate'!$B$1:$G$34,6,FALSE)*($G1047),""),"")</f>
        <v/>
      </c>
      <c r="I1047" t="str">
        <f>IFERROR(VLOOKUP($E1047,'Fuel Category and Heat Rate'!$K$2:$M$36,3,FALSE),"")</f>
        <v>heavy fuel oil</v>
      </c>
    </row>
    <row r="1048" spans="1:9" x14ac:dyDescent="0.15">
      <c r="A1048" s="2">
        <v>113482</v>
      </c>
      <c r="B1048" s="2" t="s">
        <v>71</v>
      </c>
      <c r="C1048" s="2">
        <v>2020</v>
      </c>
      <c r="D1048" s="2" t="s">
        <v>1</v>
      </c>
      <c r="E1048" s="2" t="s">
        <v>24</v>
      </c>
      <c r="F1048" s="2" t="s">
        <v>35</v>
      </c>
      <c r="G1048" s="7"/>
      <c r="H1048" s="13" t="str">
        <f>IFERROR(IF(ABS($G1048)&gt;0,VLOOKUP($E1048,'Fuel Category and Heat Rate'!$B$1:$G$34,6,FALSE)*($G1048),""),"")</f>
        <v/>
      </c>
      <c r="I1048" t="str">
        <f>IFERROR(VLOOKUP($E1048,'Fuel Category and Heat Rate'!$K$2:$M$36,3,FALSE),"")</f>
        <v>heavy fuel oil</v>
      </c>
    </row>
    <row r="1049" spans="1:9" x14ac:dyDescent="0.15">
      <c r="A1049" s="2">
        <v>113517</v>
      </c>
      <c r="B1049" s="2" t="s">
        <v>71</v>
      </c>
      <c r="C1049" s="2">
        <v>2020</v>
      </c>
      <c r="D1049" s="2" t="s">
        <v>1</v>
      </c>
      <c r="E1049" s="2" t="s">
        <v>29</v>
      </c>
      <c r="F1049" s="2" t="s">
        <v>36</v>
      </c>
      <c r="G1049" s="7"/>
      <c r="H1049" s="13" t="str">
        <f>IFERROR(IF(ABS($G1049)&gt;0,VLOOKUP($E1049,'Fuel Category and Heat Rate'!$B$1:$G$34,6,FALSE)*($G1049),""),"")</f>
        <v/>
      </c>
      <c r="I1049" t="str">
        <f>IFERROR(VLOOKUP($E1049,'Fuel Category and Heat Rate'!$K$2:$M$36,3,FALSE),"")</f>
        <v>natural gas</v>
      </c>
    </row>
    <row r="1050" spans="1:9" x14ac:dyDescent="0.15">
      <c r="A1050" s="2">
        <v>113552</v>
      </c>
      <c r="B1050" s="2" t="s">
        <v>71</v>
      </c>
      <c r="C1050" s="2">
        <v>2020</v>
      </c>
      <c r="D1050" s="2" t="s">
        <v>1</v>
      </c>
      <c r="E1050" s="2" t="s">
        <v>4</v>
      </c>
      <c r="F1050" s="2" t="s">
        <v>35</v>
      </c>
      <c r="G1050" s="7"/>
      <c r="H1050" s="13" t="str">
        <f>IFERROR(IF(ABS($G1050)&gt;0,VLOOKUP($E1050,'Fuel Category and Heat Rate'!$B$1:$G$34,6,FALSE)*($G1050),""),"")</f>
        <v/>
      </c>
      <c r="I1050" t="str">
        <f>IFERROR(VLOOKUP($E1050,'Fuel Category and Heat Rate'!$K$2:$M$36,3,FALSE),"")</f>
        <v>coal</v>
      </c>
    </row>
    <row r="1051" spans="1:9" x14ac:dyDescent="0.15">
      <c r="A1051" s="2">
        <v>113587</v>
      </c>
      <c r="B1051" s="2" t="s">
        <v>71</v>
      </c>
      <c r="C1051" s="2">
        <v>2020</v>
      </c>
      <c r="D1051" s="2" t="s">
        <v>1</v>
      </c>
      <c r="E1051" s="2" t="s">
        <v>6</v>
      </c>
      <c r="F1051" s="2" t="s">
        <v>35</v>
      </c>
      <c r="G1051" s="7"/>
      <c r="H1051" s="13" t="str">
        <f>IFERROR(IF(ABS($G1051)&gt;0,VLOOKUP($E1051,'Fuel Category and Heat Rate'!$B$1:$G$34,6,FALSE)*($G1051),""),"")</f>
        <v/>
      </c>
      <c r="I1051" t="str">
        <f>IFERROR(VLOOKUP($E1051,'Fuel Category and Heat Rate'!$K$2:$M$36,3,FALSE),"")</f>
        <v>coal</v>
      </c>
    </row>
    <row r="1052" spans="1:9" x14ac:dyDescent="0.15">
      <c r="A1052" s="2">
        <v>113622</v>
      </c>
      <c r="B1052" s="2" t="s">
        <v>71</v>
      </c>
      <c r="C1052" s="2">
        <v>2020</v>
      </c>
      <c r="D1052" s="2" t="s">
        <v>1</v>
      </c>
      <c r="E1052" s="2" t="s">
        <v>26</v>
      </c>
      <c r="F1052" s="2" t="s">
        <v>35</v>
      </c>
      <c r="G1052" s="7"/>
      <c r="H1052" s="13" t="str">
        <f>IFERROR(IF(ABS($G1052)&gt;0,VLOOKUP($E1052,'Fuel Category and Heat Rate'!$B$1:$G$34,6,FALSE)*($G1052),""),"")</f>
        <v/>
      </c>
      <c r="I1052" t="str">
        <f>IFERROR(VLOOKUP($E1052,'Fuel Category and Heat Rate'!$K$2:$M$36,3,FALSE),"")</f>
        <v>LPG propane or butane</v>
      </c>
    </row>
    <row r="1053" spans="1:9" x14ac:dyDescent="0.15">
      <c r="A1053" s="2">
        <v>113657</v>
      </c>
      <c r="B1053" s="2" t="s">
        <v>71</v>
      </c>
      <c r="C1053" s="2">
        <v>2020</v>
      </c>
      <c r="D1053" s="2" t="s">
        <v>1</v>
      </c>
      <c r="E1053" s="2" t="s">
        <v>30</v>
      </c>
      <c r="F1053" s="2" t="s">
        <v>35</v>
      </c>
      <c r="G1053" s="7"/>
      <c r="H1053" s="13" t="str">
        <f>IFERROR(IF(ABS($G1053)&gt;0,VLOOKUP($E1053,'Fuel Category and Heat Rate'!$B$1:$G$34,6,FALSE)*($G1053),""),"")</f>
        <v/>
      </c>
      <c r="I1053" t="str">
        <f>IFERROR(VLOOKUP($E1053,'Fuel Category and Heat Rate'!$K$2:$M$36,3,FALSE),"")</f>
        <v>natural gas</v>
      </c>
    </row>
    <row r="1054" spans="1:9" x14ac:dyDescent="0.15">
      <c r="A1054" s="2">
        <v>113692</v>
      </c>
      <c r="B1054" s="2" t="s">
        <v>71</v>
      </c>
      <c r="C1054" s="2">
        <v>2020</v>
      </c>
      <c r="D1054" s="2" t="s">
        <v>1</v>
      </c>
      <c r="E1054" s="2" t="s">
        <v>14</v>
      </c>
      <c r="F1054" s="2" t="s">
        <v>35</v>
      </c>
      <c r="G1054" s="7"/>
      <c r="H1054" s="13" t="str">
        <f>IFERROR(IF(ABS($G1054)&gt;0,VLOOKUP($E1054,'Fuel Category and Heat Rate'!$B$1:$G$34,6,FALSE)*($G1054),""),"")</f>
        <v/>
      </c>
      <c r="I1054" t="str">
        <f>IFERROR(VLOOKUP($E1054,'Fuel Category and Heat Rate'!$K$2:$M$36,3,FALSE),"")</f>
        <v/>
      </c>
    </row>
    <row r="1055" spans="1:9" x14ac:dyDescent="0.15">
      <c r="A1055" s="2">
        <v>113727</v>
      </c>
      <c r="B1055" s="2" t="s">
        <v>71</v>
      </c>
      <c r="C1055" s="2">
        <v>2020</v>
      </c>
      <c r="D1055" s="2" t="s">
        <v>1</v>
      </c>
      <c r="E1055" s="2" t="s">
        <v>3</v>
      </c>
      <c r="F1055" s="2" t="s">
        <v>35</v>
      </c>
      <c r="G1055" s="7">
        <v>-46.91</v>
      </c>
      <c r="H1055" s="13">
        <f>IFERROR(IF(ABS($G1055)&gt;0,VLOOKUP($E1055,'Fuel Category and Heat Rate'!$B$1:$G$34,6,FALSE)*($G1055),""),"")</f>
        <v>-9296136123978.6504</v>
      </c>
      <c r="I1055" t="str">
        <f>IFERROR(VLOOKUP($E1055,'Fuel Category and Heat Rate'!$K$2:$M$36,3,FALSE),"")</f>
        <v>coal</v>
      </c>
    </row>
    <row r="1056" spans="1:9" x14ac:dyDescent="0.15">
      <c r="A1056" s="2">
        <v>113762</v>
      </c>
      <c r="B1056" s="2" t="s">
        <v>71</v>
      </c>
      <c r="C1056" s="2">
        <v>2020</v>
      </c>
      <c r="D1056" s="2" t="s">
        <v>1</v>
      </c>
      <c r="E1056" s="2" t="s">
        <v>15</v>
      </c>
      <c r="F1056" s="2" t="s">
        <v>35</v>
      </c>
      <c r="G1056" s="7"/>
      <c r="H1056" s="13" t="str">
        <f>IFERROR(IF(ABS($G1056)&gt;0,VLOOKUP($E1056,'Fuel Category and Heat Rate'!$B$1:$G$34,6,FALSE)*($G1056),""),"")</f>
        <v/>
      </c>
      <c r="I1056" t="str">
        <f>IFERROR(VLOOKUP($E1056,'Fuel Category and Heat Rate'!$K$2:$M$36,3,FALSE),"")</f>
        <v>crude oil</v>
      </c>
    </row>
    <row r="1057" spans="1:9" x14ac:dyDescent="0.15">
      <c r="A1057" s="2">
        <v>113797</v>
      </c>
      <c r="B1057" s="2" t="s">
        <v>71</v>
      </c>
      <c r="C1057" s="2">
        <v>2020</v>
      </c>
      <c r="D1057" s="2" t="s">
        <v>1</v>
      </c>
      <c r="E1057" s="2" t="s">
        <v>11</v>
      </c>
      <c r="F1057" s="2" t="s">
        <v>36</v>
      </c>
      <c r="G1057" s="7"/>
      <c r="H1057" s="13" t="str">
        <f>IFERROR(IF(ABS($G1057)&gt;0,VLOOKUP($E1057,'Fuel Category and Heat Rate'!$B$1:$G$34,6,FALSE)*($G1057),""),"")</f>
        <v/>
      </c>
      <c r="I1057" t="str">
        <f>IFERROR(VLOOKUP($E1057,'Fuel Category and Heat Rate'!$K$2:$M$36,3,FALSE),"")</f>
        <v>LPG propane or butane</v>
      </c>
    </row>
    <row r="1058" spans="1:9" x14ac:dyDescent="0.15">
      <c r="A1058" s="2">
        <v>113832</v>
      </c>
      <c r="B1058" s="2" t="s">
        <v>71</v>
      </c>
      <c r="C1058" s="2">
        <v>2019</v>
      </c>
      <c r="D1058" s="2" t="s">
        <v>1</v>
      </c>
      <c r="E1058" s="2" t="s">
        <v>18</v>
      </c>
      <c r="F1058" s="2" t="s">
        <v>35</v>
      </c>
      <c r="G1058" s="7"/>
      <c r="H1058" s="13" t="str">
        <f>IFERROR(IF(ABS($G1058)&gt;0,VLOOKUP($E1058,'Fuel Category and Heat Rate'!$B$1:$G$34,6,FALSE)*($G1058),""),"")</f>
        <v/>
      </c>
      <c r="I1058" t="str">
        <f>IFERROR(VLOOKUP($E1058,'Fuel Category and Heat Rate'!$K$2:$M$36,3,FALSE),"")</f>
        <v>petroleum diesel</v>
      </c>
    </row>
    <row r="1059" spans="1:9" x14ac:dyDescent="0.15">
      <c r="A1059" s="2">
        <v>113867</v>
      </c>
      <c r="B1059" s="2" t="s">
        <v>71</v>
      </c>
      <c r="C1059" s="2">
        <v>2019</v>
      </c>
      <c r="D1059" s="2" t="s">
        <v>1</v>
      </c>
      <c r="E1059" s="2" t="s">
        <v>32</v>
      </c>
      <c r="F1059" s="2" t="s">
        <v>65</v>
      </c>
      <c r="G1059" s="7"/>
      <c r="H1059" s="13" t="str">
        <f>IFERROR(IF(ABS($G1059)&gt;0,VLOOKUP($E1059,'Fuel Category and Heat Rate'!$B$1:$G$34,6,FALSE)*($G1059),""),"")</f>
        <v/>
      </c>
      <c r="I1059" t="str">
        <f>IFERROR(VLOOKUP($E1059,'Fuel Category and Heat Rate'!$K$2:$M$36,3,FALSE),"")</f>
        <v>electricity</v>
      </c>
    </row>
    <row r="1060" spans="1:9" x14ac:dyDescent="0.15">
      <c r="A1060" s="2">
        <v>113902</v>
      </c>
      <c r="B1060" s="2" t="s">
        <v>71</v>
      </c>
      <c r="C1060" s="2">
        <v>2019</v>
      </c>
      <c r="D1060" s="2" t="s">
        <v>1</v>
      </c>
      <c r="E1060" s="2" t="s">
        <v>10</v>
      </c>
      <c r="F1060" s="2" t="s">
        <v>36</v>
      </c>
      <c r="G1060" s="7"/>
      <c r="H1060" s="13" t="str">
        <f>IFERROR(IF(ABS($G1060)&gt;0,VLOOKUP($E1060,'Fuel Category and Heat Rate'!$B$1:$G$34,6,FALSE)*($G1060),""),"")</f>
        <v/>
      </c>
      <c r="I1060" t="str">
        <f>IFERROR(VLOOKUP($E1060,'Fuel Category and Heat Rate'!$K$2:$M$36,3,FALSE),"")</f>
        <v>LPG propane or butane</v>
      </c>
    </row>
    <row r="1061" spans="1:9" x14ac:dyDescent="0.15">
      <c r="A1061" s="2">
        <v>113937</v>
      </c>
      <c r="B1061" s="2" t="s">
        <v>71</v>
      </c>
      <c r="C1061" s="2">
        <v>2019</v>
      </c>
      <c r="D1061" s="2" t="s">
        <v>1</v>
      </c>
      <c r="E1061" s="2" t="s">
        <v>9</v>
      </c>
      <c r="F1061" s="2" t="s">
        <v>36</v>
      </c>
      <c r="G1061" s="7"/>
      <c r="H1061" s="13" t="str">
        <f>IFERROR(IF(ABS($G1061)&gt;0,VLOOKUP($E1061,'Fuel Category and Heat Rate'!$B$1:$G$34,6,FALSE)*($G1061),""),"")</f>
        <v/>
      </c>
      <c r="I1061" t="str">
        <f>IFERROR(VLOOKUP($E1061,'Fuel Category and Heat Rate'!$K$2:$M$36,3,FALSE),"")</f>
        <v>LPG propane or butane</v>
      </c>
    </row>
    <row r="1062" spans="1:9" x14ac:dyDescent="0.15">
      <c r="A1062" s="2">
        <v>113972</v>
      </c>
      <c r="B1062" s="2" t="s">
        <v>71</v>
      </c>
      <c r="C1062" s="2">
        <v>2019</v>
      </c>
      <c r="D1062" s="2" t="s">
        <v>1</v>
      </c>
      <c r="E1062" s="2" t="s">
        <v>8</v>
      </c>
      <c r="F1062" s="2" t="s">
        <v>35</v>
      </c>
      <c r="G1062" s="7"/>
      <c r="H1062" s="13" t="str">
        <f>IFERROR(IF(ABS($G1062)&gt;0,VLOOKUP($E1062,'Fuel Category and Heat Rate'!$B$1:$G$34,6,FALSE)*($G1062),""),"")</f>
        <v/>
      </c>
      <c r="I1062" t="str">
        <f>IFERROR(VLOOKUP($E1062,'Fuel Category and Heat Rate'!$K$2:$M$36,3,FALSE),"")</f>
        <v>coal</v>
      </c>
    </row>
    <row r="1063" spans="1:9" x14ac:dyDescent="0.15">
      <c r="A1063" s="2">
        <v>114007</v>
      </c>
      <c r="B1063" s="2" t="s">
        <v>71</v>
      </c>
      <c r="C1063" s="2">
        <v>2019</v>
      </c>
      <c r="D1063" s="2" t="s">
        <v>1</v>
      </c>
      <c r="E1063" s="2" t="s">
        <v>27</v>
      </c>
      <c r="F1063" s="2" t="s">
        <v>35</v>
      </c>
      <c r="G1063" s="7"/>
      <c r="H1063" s="13" t="str">
        <f>IFERROR(IF(ABS($G1063)&gt;0,VLOOKUP($E1063,'Fuel Category and Heat Rate'!$B$1:$G$34,6,FALSE)*($G1063),""),"")</f>
        <v/>
      </c>
      <c r="I1063" t="str">
        <f>IFERROR(VLOOKUP($E1063,'Fuel Category and Heat Rate'!$K$2:$M$36,3,FALSE),"")</f>
        <v>LPG propane or butane</v>
      </c>
    </row>
    <row r="1064" spans="1:9" x14ac:dyDescent="0.15">
      <c r="A1064" s="2">
        <v>114042</v>
      </c>
      <c r="B1064" s="2" t="s">
        <v>71</v>
      </c>
      <c r="C1064" s="2">
        <v>2019</v>
      </c>
      <c r="D1064" s="2" t="s">
        <v>1</v>
      </c>
      <c r="E1064" s="2" t="s">
        <v>7</v>
      </c>
      <c r="F1064" s="2" t="s">
        <v>35</v>
      </c>
      <c r="G1064" s="7"/>
      <c r="H1064" s="13" t="str">
        <f>IFERROR(IF(ABS($G1064)&gt;0,VLOOKUP($E1064,'Fuel Category and Heat Rate'!$B$1:$G$34,6,FALSE)*($G1064),""),"")</f>
        <v/>
      </c>
      <c r="I1064" t="str">
        <f>IFERROR(VLOOKUP($E1064,'Fuel Category and Heat Rate'!$K$2:$M$36,3,FALSE),"")</f>
        <v>coal</v>
      </c>
    </row>
    <row r="1065" spans="1:9" x14ac:dyDescent="0.15">
      <c r="A1065" s="2">
        <v>114077</v>
      </c>
      <c r="B1065" s="2" t="s">
        <v>71</v>
      </c>
      <c r="C1065" s="2">
        <v>2019</v>
      </c>
      <c r="D1065" s="2" t="s">
        <v>1</v>
      </c>
      <c r="E1065" s="2" t="s">
        <v>2</v>
      </c>
      <c r="F1065" s="2" t="s">
        <v>35</v>
      </c>
      <c r="G1065" s="7">
        <v>-15.6</v>
      </c>
      <c r="H1065" s="13">
        <f>IFERROR(IF(ABS($G1065)&gt;0,VLOOKUP($E1065,'Fuel Category and Heat Rate'!$B$1:$G$34,6,FALSE)*($G1065),""),"")</f>
        <v>0</v>
      </c>
      <c r="I1065" t="str">
        <f>IFERROR(VLOOKUP($E1065,'Fuel Category and Heat Rate'!$K$2:$M$36,3,FALSE),"")</f>
        <v/>
      </c>
    </row>
    <row r="1066" spans="1:9" x14ac:dyDescent="0.15">
      <c r="A1066" s="2">
        <v>114112</v>
      </c>
      <c r="B1066" s="2" t="s">
        <v>71</v>
      </c>
      <c r="C1066" s="2">
        <v>2019</v>
      </c>
      <c r="D1066" s="2" t="s">
        <v>1</v>
      </c>
      <c r="E1066" s="2" t="s">
        <v>17</v>
      </c>
      <c r="F1066" s="2" t="s">
        <v>35</v>
      </c>
      <c r="G1066" s="7"/>
      <c r="H1066" s="13" t="str">
        <f>IFERROR(IF(ABS($G1066)&gt;0,VLOOKUP($E1066,'Fuel Category and Heat Rate'!$B$1:$G$34,6,FALSE)*($G1066),""),"")</f>
        <v/>
      </c>
      <c r="I1066" t="str">
        <f>IFERROR(VLOOKUP($E1066,'Fuel Category and Heat Rate'!$K$2:$M$36,3,FALSE),"")</f>
        <v>petroleum diesel</v>
      </c>
    </row>
    <row r="1067" spans="1:9" x14ac:dyDescent="0.15">
      <c r="A1067" s="2">
        <v>114147</v>
      </c>
      <c r="B1067" s="2" t="s">
        <v>71</v>
      </c>
      <c r="C1067" s="2">
        <v>2019</v>
      </c>
      <c r="D1067" s="2" t="s">
        <v>1</v>
      </c>
      <c r="E1067" s="2" t="s">
        <v>13</v>
      </c>
      <c r="F1067" s="2" t="s">
        <v>35</v>
      </c>
      <c r="G1067" s="7"/>
      <c r="H1067" s="13" t="str">
        <f>IFERROR(IF(ABS($G1067)&gt;0,VLOOKUP($E1067,'Fuel Category and Heat Rate'!$B$1:$G$34,6,FALSE)*($G1067),""),"")</f>
        <v/>
      </c>
      <c r="I1067" t="str">
        <f>IFERROR(VLOOKUP($E1067,'Fuel Category and Heat Rate'!$K$2:$M$36,3,FALSE),"")</f>
        <v>petroleum diesel</v>
      </c>
    </row>
    <row r="1068" spans="1:9" x14ac:dyDescent="0.15">
      <c r="A1068" s="2">
        <v>114182</v>
      </c>
      <c r="B1068" s="2" t="s">
        <v>71</v>
      </c>
      <c r="C1068" s="2">
        <v>2019</v>
      </c>
      <c r="D1068" s="2" t="s">
        <v>1</v>
      </c>
      <c r="E1068" s="2" t="s">
        <v>12</v>
      </c>
      <c r="F1068" s="2" t="s">
        <v>36</v>
      </c>
      <c r="G1068" s="7"/>
      <c r="H1068" s="13" t="str">
        <f>IFERROR(IF(ABS($G1068)&gt;0,VLOOKUP($E1068,'Fuel Category and Heat Rate'!$B$1:$G$34,6,FALSE)*($G1068),""),"")</f>
        <v/>
      </c>
      <c r="I1068" t="str">
        <f>IFERROR(VLOOKUP($E1068,'Fuel Category and Heat Rate'!$K$2:$M$36,3,FALSE),"")</f>
        <v>LPG propane or butane</v>
      </c>
    </row>
    <row r="1069" spans="1:9" x14ac:dyDescent="0.15">
      <c r="A1069" s="2">
        <v>114217</v>
      </c>
      <c r="B1069" s="2" t="s">
        <v>71</v>
      </c>
      <c r="C1069" s="2">
        <v>2019</v>
      </c>
      <c r="D1069" s="2" t="s">
        <v>1</v>
      </c>
      <c r="E1069" s="2" t="s">
        <v>33</v>
      </c>
      <c r="F1069" s="2" t="s">
        <v>38</v>
      </c>
      <c r="G1069" s="7"/>
      <c r="H1069" s="13" t="str">
        <f>IFERROR(IF(ABS($G1069)&gt;0,VLOOKUP($E1069,'Fuel Category and Heat Rate'!$B$1:$G$34,6,FALSE)*($G1069),""),"")</f>
        <v/>
      </c>
      <c r="I1069" t="str">
        <f>IFERROR(VLOOKUP($E1069,'Fuel Category and Heat Rate'!$K$2:$M$36,3,FALSE),"")</f>
        <v>biomass</v>
      </c>
    </row>
    <row r="1070" spans="1:9" x14ac:dyDescent="0.15">
      <c r="A1070" s="2">
        <v>114252</v>
      </c>
      <c r="B1070" s="2" t="s">
        <v>71</v>
      </c>
      <c r="C1070" s="2">
        <v>2019</v>
      </c>
      <c r="D1070" s="2" t="s">
        <v>1</v>
      </c>
      <c r="E1070" s="2" t="s">
        <v>28</v>
      </c>
      <c r="F1070" s="2" t="s">
        <v>35</v>
      </c>
      <c r="G1070" s="7"/>
      <c r="H1070" s="13" t="str">
        <f>IFERROR(IF(ABS($G1070)&gt;0,VLOOKUP($E1070,'Fuel Category and Heat Rate'!$B$1:$G$34,6,FALSE)*($G1070),""),"")</f>
        <v/>
      </c>
      <c r="I1070" t="str">
        <f>IFERROR(VLOOKUP($E1070,'Fuel Category and Heat Rate'!$K$2:$M$36,3,FALSE),"")</f>
        <v>heavy or residual fuel oil</v>
      </c>
    </row>
    <row r="1071" spans="1:9" x14ac:dyDescent="0.15">
      <c r="A1071" s="2">
        <v>114287</v>
      </c>
      <c r="B1071" s="2" t="s">
        <v>71</v>
      </c>
      <c r="C1071" s="2">
        <v>2019</v>
      </c>
      <c r="D1071" s="2" t="s">
        <v>1</v>
      </c>
      <c r="E1071" s="2" t="s">
        <v>5</v>
      </c>
      <c r="F1071" s="2" t="s">
        <v>35</v>
      </c>
      <c r="G1071" s="7"/>
      <c r="H1071" s="13" t="str">
        <f>IFERROR(IF(ABS($G1071)&gt;0,VLOOKUP($E1071,'Fuel Category and Heat Rate'!$B$1:$G$34,6,FALSE)*($G1071),""),"")</f>
        <v/>
      </c>
      <c r="I1071" t="str">
        <f>IFERROR(VLOOKUP($E1071,'Fuel Category and Heat Rate'!$K$2:$M$36,3,FALSE),"")</f>
        <v>coal</v>
      </c>
    </row>
    <row r="1072" spans="1:9" x14ac:dyDescent="0.15">
      <c r="A1072" s="2">
        <v>114322</v>
      </c>
      <c r="B1072" s="2" t="s">
        <v>71</v>
      </c>
      <c r="C1072" s="2">
        <v>2019</v>
      </c>
      <c r="D1072" s="2" t="s">
        <v>1</v>
      </c>
      <c r="E1072" s="2" t="s">
        <v>16</v>
      </c>
      <c r="F1072" s="2" t="s">
        <v>35</v>
      </c>
      <c r="G1072" s="7"/>
      <c r="H1072" s="13" t="str">
        <f>IFERROR(IF(ABS($G1072)&gt;0,VLOOKUP($E1072,'Fuel Category and Heat Rate'!$B$1:$G$34,6,FALSE)*($G1072),""),"")</f>
        <v/>
      </c>
      <c r="I1072" t="str">
        <f>IFERROR(VLOOKUP($E1072,'Fuel Category and Heat Rate'!$K$2:$M$36,3,FALSE),"")</f>
        <v>petroleum diesel</v>
      </c>
    </row>
    <row r="1073" spans="1:9" x14ac:dyDescent="0.15">
      <c r="A1073" s="2">
        <v>114357</v>
      </c>
      <c r="B1073" s="2" t="s">
        <v>71</v>
      </c>
      <c r="C1073" s="2">
        <v>2019</v>
      </c>
      <c r="D1073" s="2" t="s">
        <v>1</v>
      </c>
      <c r="E1073" s="2" t="s">
        <v>19</v>
      </c>
      <c r="F1073" s="2" t="s">
        <v>35</v>
      </c>
      <c r="G1073" s="7"/>
      <c r="H1073" s="13" t="str">
        <f>IFERROR(IF(ABS($G1073)&gt;0,VLOOKUP($E1073,'Fuel Category and Heat Rate'!$B$1:$G$34,6,FALSE)*($G1073),""),"")</f>
        <v/>
      </c>
      <c r="I1073" t="str">
        <f>IFERROR(VLOOKUP($E1073,'Fuel Category and Heat Rate'!$K$2:$M$36,3,FALSE),"")</f>
        <v>heavy or residual fuel oil</v>
      </c>
    </row>
    <row r="1074" spans="1:9" x14ac:dyDescent="0.15">
      <c r="A1074" s="2">
        <v>114392</v>
      </c>
      <c r="B1074" s="2" t="s">
        <v>71</v>
      </c>
      <c r="C1074" s="2">
        <v>2019</v>
      </c>
      <c r="D1074" s="2" t="s">
        <v>1</v>
      </c>
      <c r="E1074" s="2" t="s">
        <v>31</v>
      </c>
      <c r="F1074" s="2" t="s">
        <v>37</v>
      </c>
      <c r="G1074" s="7">
        <v>241.39</v>
      </c>
      <c r="H1074" s="13">
        <f>IFERROR(IF(ABS($G1074)&gt;0,VLOOKUP($E1074,'Fuel Category and Heat Rate'!$B$1:$G$34,6,FALSE)*($G1074),""),"")</f>
        <v>2287935752405.9033</v>
      </c>
      <c r="I1074" t="str">
        <f>IFERROR(VLOOKUP($E1074,'Fuel Category and Heat Rate'!$K$2:$M$36,3,FALSE),"")</f>
        <v>heat</v>
      </c>
    </row>
    <row r="1075" spans="1:9" x14ac:dyDescent="0.15">
      <c r="A1075" s="2">
        <v>114427</v>
      </c>
      <c r="B1075" s="2" t="s">
        <v>71</v>
      </c>
      <c r="C1075" s="2">
        <v>2019</v>
      </c>
      <c r="D1075" s="2" t="s">
        <v>1</v>
      </c>
      <c r="E1075" s="2" t="s">
        <v>23</v>
      </c>
      <c r="F1075" s="2" t="s">
        <v>35</v>
      </c>
      <c r="G1075" s="7"/>
      <c r="H1075" s="13" t="str">
        <f>IFERROR(IF(ABS($G1075)&gt;0,VLOOKUP($E1075,'Fuel Category and Heat Rate'!$B$1:$G$34,6,FALSE)*($G1075),""),"")</f>
        <v/>
      </c>
      <c r="I1075" t="str">
        <f>IFERROR(VLOOKUP($E1075,'Fuel Category and Heat Rate'!$K$2:$M$36,3,FALSE),"")</f>
        <v>heavy or residual fuel oil</v>
      </c>
    </row>
    <row r="1076" spans="1:9" x14ac:dyDescent="0.15">
      <c r="A1076" s="2">
        <v>114462</v>
      </c>
      <c r="B1076" s="2" t="s">
        <v>71</v>
      </c>
      <c r="C1076" s="2">
        <v>2019</v>
      </c>
      <c r="D1076" s="2" t="s">
        <v>1</v>
      </c>
      <c r="E1076" s="2" t="s">
        <v>21</v>
      </c>
      <c r="F1076" s="2" t="s">
        <v>35</v>
      </c>
      <c r="G1076" s="7"/>
      <c r="H1076" s="13" t="str">
        <f>IFERROR(IF(ABS($G1076)&gt;0,VLOOKUP($E1076,'Fuel Category and Heat Rate'!$B$1:$G$34,6,FALSE)*($G1076),""),"")</f>
        <v/>
      </c>
      <c r="I1076" t="str">
        <f>IFERROR(VLOOKUP($E1076,'Fuel Category and Heat Rate'!$K$2:$M$36,3,FALSE),"")</f>
        <v>LPG propane or butane</v>
      </c>
    </row>
    <row r="1077" spans="1:9" x14ac:dyDescent="0.15">
      <c r="A1077" s="2">
        <v>114497</v>
      </c>
      <c r="B1077" s="2" t="s">
        <v>71</v>
      </c>
      <c r="C1077" s="2">
        <v>2019</v>
      </c>
      <c r="D1077" s="2" t="s">
        <v>1</v>
      </c>
      <c r="E1077" s="2" t="s">
        <v>22</v>
      </c>
      <c r="F1077" s="2" t="s">
        <v>35</v>
      </c>
      <c r="G1077" s="7"/>
      <c r="H1077" s="13" t="str">
        <f>IFERROR(IF(ABS($G1077)&gt;0,VLOOKUP($E1077,'Fuel Category and Heat Rate'!$B$1:$G$34,6,FALSE)*($G1077),""),"")</f>
        <v/>
      </c>
      <c r="I1077" t="str">
        <f>IFERROR(VLOOKUP($E1077,'Fuel Category and Heat Rate'!$K$2:$M$36,3,FALSE),"")</f>
        <v>heavy fuel oil</v>
      </c>
    </row>
    <row r="1078" spans="1:9" x14ac:dyDescent="0.15">
      <c r="A1078" s="2">
        <v>114532</v>
      </c>
      <c r="B1078" s="2" t="s">
        <v>71</v>
      </c>
      <c r="C1078" s="2">
        <v>2019</v>
      </c>
      <c r="D1078" s="2" t="s">
        <v>1</v>
      </c>
      <c r="E1078" s="2" t="s">
        <v>20</v>
      </c>
      <c r="F1078" s="2" t="s">
        <v>35</v>
      </c>
      <c r="G1078" s="7"/>
      <c r="H1078" s="13" t="str">
        <f>IFERROR(IF(ABS($G1078)&gt;0,VLOOKUP($E1078,'Fuel Category and Heat Rate'!$B$1:$G$34,6,FALSE)*($G1078),""),"")</f>
        <v/>
      </c>
      <c r="I1078" t="str">
        <f>IFERROR(VLOOKUP($E1078,'Fuel Category and Heat Rate'!$K$2:$M$36,3,FALSE),"")</f>
        <v>LPG propane or butane</v>
      </c>
    </row>
    <row r="1079" spans="1:9" x14ac:dyDescent="0.15">
      <c r="A1079" s="2">
        <v>114567</v>
      </c>
      <c r="B1079" s="2" t="s">
        <v>71</v>
      </c>
      <c r="C1079" s="2">
        <v>2019</v>
      </c>
      <c r="D1079" s="2" t="s">
        <v>1</v>
      </c>
      <c r="E1079" s="2" t="s">
        <v>25</v>
      </c>
      <c r="F1079" s="2" t="s">
        <v>35</v>
      </c>
      <c r="G1079" s="7"/>
      <c r="H1079" s="13" t="str">
        <f>IFERROR(IF(ABS($G1079)&gt;0,VLOOKUP($E1079,'Fuel Category and Heat Rate'!$B$1:$G$34,6,FALSE)*($G1079),""),"")</f>
        <v/>
      </c>
      <c r="I1079" t="str">
        <f>IFERROR(VLOOKUP($E1079,'Fuel Category and Heat Rate'!$K$2:$M$36,3,FALSE),"")</f>
        <v>heavy fuel oil</v>
      </c>
    </row>
    <row r="1080" spans="1:9" x14ac:dyDescent="0.15">
      <c r="A1080" s="2">
        <v>114602</v>
      </c>
      <c r="B1080" s="2" t="s">
        <v>71</v>
      </c>
      <c r="C1080" s="2">
        <v>2019</v>
      </c>
      <c r="D1080" s="2" t="s">
        <v>1</v>
      </c>
      <c r="E1080" s="2" t="s">
        <v>24</v>
      </c>
      <c r="F1080" s="2" t="s">
        <v>35</v>
      </c>
      <c r="G1080" s="7"/>
      <c r="H1080" s="13" t="str">
        <f>IFERROR(IF(ABS($G1080)&gt;0,VLOOKUP($E1080,'Fuel Category and Heat Rate'!$B$1:$G$34,6,FALSE)*($G1080),""),"")</f>
        <v/>
      </c>
      <c r="I1080" t="str">
        <f>IFERROR(VLOOKUP($E1080,'Fuel Category and Heat Rate'!$K$2:$M$36,3,FALSE),"")</f>
        <v>heavy fuel oil</v>
      </c>
    </row>
    <row r="1081" spans="1:9" x14ac:dyDescent="0.15">
      <c r="A1081" s="2">
        <v>114637</v>
      </c>
      <c r="B1081" s="2" t="s">
        <v>71</v>
      </c>
      <c r="C1081" s="2">
        <v>2019</v>
      </c>
      <c r="D1081" s="2" t="s">
        <v>1</v>
      </c>
      <c r="E1081" s="2" t="s">
        <v>29</v>
      </c>
      <c r="F1081" s="2" t="s">
        <v>36</v>
      </c>
      <c r="G1081" s="7"/>
      <c r="H1081" s="13" t="str">
        <f>IFERROR(IF(ABS($G1081)&gt;0,VLOOKUP($E1081,'Fuel Category and Heat Rate'!$B$1:$G$34,6,FALSE)*($G1081),""),"")</f>
        <v/>
      </c>
      <c r="I1081" t="str">
        <f>IFERROR(VLOOKUP($E1081,'Fuel Category and Heat Rate'!$K$2:$M$36,3,FALSE),"")</f>
        <v>natural gas</v>
      </c>
    </row>
    <row r="1082" spans="1:9" x14ac:dyDescent="0.15">
      <c r="A1082" s="2">
        <v>114672</v>
      </c>
      <c r="B1082" s="2" t="s">
        <v>71</v>
      </c>
      <c r="C1082" s="2">
        <v>2019</v>
      </c>
      <c r="D1082" s="2" t="s">
        <v>1</v>
      </c>
      <c r="E1082" s="2" t="s">
        <v>4</v>
      </c>
      <c r="F1082" s="2" t="s">
        <v>35</v>
      </c>
      <c r="G1082" s="7"/>
      <c r="H1082" s="13" t="str">
        <f>IFERROR(IF(ABS($G1082)&gt;0,VLOOKUP($E1082,'Fuel Category and Heat Rate'!$B$1:$G$34,6,FALSE)*($G1082),""),"")</f>
        <v/>
      </c>
      <c r="I1082" t="str">
        <f>IFERROR(VLOOKUP($E1082,'Fuel Category and Heat Rate'!$K$2:$M$36,3,FALSE),"")</f>
        <v>coal</v>
      </c>
    </row>
    <row r="1083" spans="1:9" x14ac:dyDescent="0.15">
      <c r="A1083" s="2">
        <v>114707</v>
      </c>
      <c r="B1083" s="2" t="s">
        <v>71</v>
      </c>
      <c r="C1083" s="2">
        <v>2019</v>
      </c>
      <c r="D1083" s="2" t="s">
        <v>1</v>
      </c>
      <c r="E1083" s="2" t="s">
        <v>6</v>
      </c>
      <c r="F1083" s="2" t="s">
        <v>35</v>
      </c>
      <c r="G1083" s="7"/>
      <c r="H1083" s="13" t="str">
        <f>IFERROR(IF(ABS($G1083)&gt;0,VLOOKUP($E1083,'Fuel Category and Heat Rate'!$B$1:$G$34,6,FALSE)*($G1083),""),"")</f>
        <v/>
      </c>
      <c r="I1083" t="str">
        <f>IFERROR(VLOOKUP($E1083,'Fuel Category and Heat Rate'!$K$2:$M$36,3,FALSE),"")</f>
        <v>coal</v>
      </c>
    </row>
    <row r="1084" spans="1:9" x14ac:dyDescent="0.15">
      <c r="A1084" s="2">
        <v>114742</v>
      </c>
      <c r="B1084" s="2" t="s">
        <v>71</v>
      </c>
      <c r="C1084" s="2">
        <v>2019</v>
      </c>
      <c r="D1084" s="2" t="s">
        <v>1</v>
      </c>
      <c r="E1084" s="2" t="s">
        <v>26</v>
      </c>
      <c r="F1084" s="2" t="s">
        <v>35</v>
      </c>
      <c r="G1084" s="7"/>
      <c r="H1084" s="13" t="str">
        <f>IFERROR(IF(ABS($G1084)&gt;0,VLOOKUP($E1084,'Fuel Category and Heat Rate'!$B$1:$G$34,6,FALSE)*($G1084),""),"")</f>
        <v/>
      </c>
      <c r="I1084" t="str">
        <f>IFERROR(VLOOKUP($E1084,'Fuel Category and Heat Rate'!$K$2:$M$36,3,FALSE),"")</f>
        <v>LPG propane or butane</v>
      </c>
    </row>
    <row r="1085" spans="1:9" x14ac:dyDescent="0.15">
      <c r="A1085" s="2">
        <v>114777</v>
      </c>
      <c r="B1085" s="2" t="s">
        <v>71</v>
      </c>
      <c r="C1085" s="2">
        <v>2019</v>
      </c>
      <c r="D1085" s="2" t="s">
        <v>1</v>
      </c>
      <c r="E1085" s="2" t="s">
        <v>30</v>
      </c>
      <c r="F1085" s="2" t="s">
        <v>35</v>
      </c>
      <c r="G1085" s="7"/>
      <c r="H1085" s="13" t="str">
        <f>IFERROR(IF(ABS($G1085)&gt;0,VLOOKUP($E1085,'Fuel Category and Heat Rate'!$B$1:$G$34,6,FALSE)*($G1085),""),"")</f>
        <v/>
      </c>
      <c r="I1085" t="str">
        <f>IFERROR(VLOOKUP($E1085,'Fuel Category and Heat Rate'!$K$2:$M$36,3,FALSE),"")</f>
        <v>natural gas</v>
      </c>
    </row>
    <row r="1086" spans="1:9" x14ac:dyDescent="0.15">
      <c r="A1086" s="2">
        <v>114812</v>
      </c>
      <c r="B1086" s="2" t="s">
        <v>71</v>
      </c>
      <c r="C1086" s="2">
        <v>2019</v>
      </c>
      <c r="D1086" s="2" t="s">
        <v>1</v>
      </c>
      <c r="E1086" s="2" t="s">
        <v>14</v>
      </c>
      <c r="F1086" s="2" t="s">
        <v>35</v>
      </c>
      <c r="G1086" s="7"/>
      <c r="H1086" s="13" t="str">
        <f>IFERROR(IF(ABS($G1086)&gt;0,VLOOKUP($E1086,'Fuel Category and Heat Rate'!$B$1:$G$34,6,FALSE)*($G1086),""),"")</f>
        <v/>
      </c>
      <c r="I1086" t="str">
        <f>IFERROR(VLOOKUP($E1086,'Fuel Category and Heat Rate'!$K$2:$M$36,3,FALSE),"")</f>
        <v/>
      </c>
    </row>
    <row r="1087" spans="1:9" x14ac:dyDescent="0.15">
      <c r="A1087" s="2">
        <v>114847</v>
      </c>
      <c r="B1087" s="2" t="s">
        <v>71</v>
      </c>
      <c r="C1087" s="2">
        <v>2019</v>
      </c>
      <c r="D1087" s="2" t="s">
        <v>1</v>
      </c>
      <c r="E1087" s="2" t="s">
        <v>3</v>
      </c>
      <c r="F1087" s="2" t="s">
        <v>35</v>
      </c>
      <c r="G1087" s="7">
        <v>-15.6</v>
      </c>
      <c r="H1087" s="13">
        <f>IFERROR(IF(ABS($G1087)&gt;0,VLOOKUP($E1087,'Fuel Category and Heat Rate'!$B$1:$G$34,6,FALSE)*($G1087),""),"")</f>
        <v>-3091445822512.6187</v>
      </c>
      <c r="I1087" t="str">
        <f>IFERROR(VLOOKUP($E1087,'Fuel Category and Heat Rate'!$K$2:$M$36,3,FALSE),"")</f>
        <v>coal</v>
      </c>
    </row>
    <row r="1088" spans="1:9" x14ac:dyDescent="0.15">
      <c r="A1088" s="2">
        <v>114882</v>
      </c>
      <c r="B1088" s="2" t="s">
        <v>71</v>
      </c>
      <c r="C1088" s="2">
        <v>2019</v>
      </c>
      <c r="D1088" s="2" t="s">
        <v>1</v>
      </c>
      <c r="E1088" s="2" t="s">
        <v>15</v>
      </c>
      <c r="F1088" s="2" t="s">
        <v>35</v>
      </c>
      <c r="G1088" s="7"/>
      <c r="H1088" s="13" t="str">
        <f>IFERROR(IF(ABS($G1088)&gt;0,VLOOKUP($E1088,'Fuel Category and Heat Rate'!$B$1:$G$34,6,FALSE)*($G1088),""),"")</f>
        <v/>
      </c>
      <c r="I1088" t="str">
        <f>IFERROR(VLOOKUP($E1088,'Fuel Category and Heat Rate'!$K$2:$M$36,3,FALSE),"")</f>
        <v>crude oil</v>
      </c>
    </row>
    <row r="1089" spans="1:9" x14ac:dyDescent="0.15">
      <c r="A1089" s="2">
        <v>114917</v>
      </c>
      <c r="B1089" s="2" t="s">
        <v>71</v>
      </c>
      <c r="C1089" s="2">
        <v>2019</v>
      </c>
      <c r="D1089" s="2" t="s">
        <v>1</v>
      </c>
      <c r="E1089" s="2" t="s">
        <v>11</v>
      </c>
      <c r="F1089" s="2" t="s">
        <v>36</v>
      </c>
      <c r="G1089" s="7"/>
      <c r="H1089" s="13" t="str">
        <f>IFERROR(IF(ABS($G1089)&gt;0,VLOOKUP($E1089,'Fuel Category and Heat Rate'!$B$1:$G$34,6,FALSE)*($G1089),""),"")</f>
        <v/>
      </c>
      <c r="I1089" t="str">
        <f>IFERROR(VLOOKUP($E1089,'Fuel Category and Heat Rate'!$K$2:$M$36,3,FALSE),"")</f>
        <v>LPG propane or butane</v>
      </c>
    </row>
    <row r="1090" spans="1:9" x14ac:dyDescent="0.15">
      <c r="A1090" s="2">
        <v>114952</v>
      </c>
      <c r="B1090" s="2" t="s">
        <v>71</v>
      </c>
      <c r="C1090" s="2">
        <v>2018</v>
      </c>
      <c r="D1090" s="2" t="s">
        <v>1</v>
      </c>
      <c r="E1090" s="2" t="s">
        <v>18</v>
      </c>
      <c r="F1090" s="2" t="s">
        <v>35</v>
      </c>
      <c r="G1090" s="7"/>
      <c r="H1090" s="13" t="str">
        <f>IFERROR(IF(ABS($G1090)&gt;0,VLOOKUP($E1090,'Fuel Category and Heat Rate'!$B$1:$G$34,6,FALSE)*($G1090),""),"")</f>
        <v/>
      </c>
      <c r="I1090" t="str">
        <f>IFERROR(VLOOKUP($E1090,'Fuel Category and Heat Rate'!$K$2:$M$36,3,FALSE),"")</f>
        <v>petroleum diesel</v>
      </c>
    </row>
    <row r="1091" spans="1:9" x14ac:dyDescent="0.15">
      <c r="A1091" s="2">
        <v>114987</v>
      </c>
      <c r="B1091" s="2" t="s">
        <v>71</v>
      </c>
      <c r="C1091" s="2">
        <v>2018</v>
      </c>
      <c r="D1091" s="2" t="s">
        <v>1</v>
      </c>
      <c r="E1091" s="2" t="s">
        <v>32</v>
      </c>
      <c r="F1091" s="2" t="s">
        <v>65</v>
      </c>
      <c r="G1091" s="7"/>
      <c r="H1091" s="13" t="str">
        <f>IFERROR(IF(ABS($G1091)&gt;0,VLOOKUP($E1091,'Fuel Category and Heat Rate'!$B$1:$G$34,6,FALSE)*($G1091),""),"")</f>
        <v/>
      </c>
      <c r="I1091" t="str">
        <f>IFERROR(VLOOKUP($E1091,'Fuel Category and Heat Rate'!$K$2:$M$36,3,FALSE),"")</f>
        <v>electricity</v>
      </c>
    </row>
    <row r="1092" spans="1:9" x14ac:dyDescent="0.15">
      <c r="A1092" s="2">
        <v>115022</v>
      </c>
      <c r="B1092" s="2" t="s">
        <v>71</v>
      </c>
      <c r="C1092" s="2">
        <v>2018</v>
      </c>
      <c r="D1092" s="2" t="s">
        <v>1</v>
      </c>
      <c r="E1092" s="2" t="s">
        <v>10</v>
      </c>
      <c r="F1092" s="2" t="s">
        <v>36</v>
      </c>
      <c r="G1092" s="7"/>
      <c r="H1092" s="13" t="str">
        <f>IFERROR(IF(ABS($G1092)&gt;0,VLOOKUP($E1092,'Fuel Category and Heat Rate'!$B$1:$G$34,6,FALSE)*($G1092),""),"")</f>
        <v/>
      </c>
      <c r="I1092" t="str">
        <f>IFERROR(VLOOKUP($E1092,'Fuel Category and Heat Rate'!$K$2:$M$36,3,FALSE),"")</f>
        <v>LPG propane or butane</v>
      </c>
    </row>
    <row r="1093" spans="1:9" x14ac:dyDescent="0.15">
      <c r="A1093" s="2">
        <v>115057</v>
      </c>
      <c r="B1093" s="2" t="s">
        <v>71</v>
      </c>
      <c r="C1093" s="2">
        <v>2018</v>
      </c>
      <c r="D1093" s="2" t="s">
        <v>1</v>
      </c>
      <c r="E1093" s="2" t="s">
        <v>9</v>
      </c>
      <c r="F1093" s="2" t="s">
        <v>36</v>
      </c>
      <c r="G1093" s="7"/>
      <c r="H1093" s="13" t="str">
        <f>IFERROR(IF(ABS($G1093)&gt;0,VLOOKUP($E1093,'Fuel Category and Heat Rate'!$B$1:$G$34,6,FALSE)*($G1093),""),"")</f>
        <v/>
      </c>
      <c r="I1093" t="str">
        <f>IFERROR(VLOOKUP($E1093,'Fuel Category and Heat Rate'!$K$2:$M$36,3,FALSE),"")</f>
        <v>LPG propane or butane</v>
      </c>
    </row>
    <row r="1094" spans="1:9" x14ac:dyDescent="0.15">
      <c r="A1094" s="2">
        <v>115092</v>
      </c>
      <c r="B1094" s="2" t="s">
        <v>71</v>
      </c>
      <c r="C1094" s="2">
        <v>2018</v>
      </c>
      <c r="D1094" s="2" t="s">
        <v>1</v>
      </c>
      <c r="E1094" s="2" t="s">
        <v>8</v>
      </c>
      <c r="F1094" s="2" t="s">
        <v>35</v>
      </c>
      <c r="G1094" s="7"/>
      <c r="H1094" s="13" t="str">
        <f>IFERROR(IF(ABS($G1094)&gt;0,VLOOKUP($E1094,'Fuel Category and Heat Rate'!$B$1:$G$34,6,FALSE)*($G1094),""),"")</f>
        <v/>
      </c>
      <c r="I1094" t="str">
        <f>IFERROR(VLOOKUP($E1094,'Fuel Category and Heat Rate'!$K$2:$M$36,3,FALSE),"")</f>
        <v>coal</v>
      </c>
    </row>
    <row r="1095" spans="1:9" x14ac:dyDescent="0.15">
      <c r="A1095" s="2">
        <v>115127</v>
      </c>
      <c r="B1095" s="2" t="s">
        <v>71</v>
      </c>
      <c r="C1095" s="2">
        <v>2018</v>
      </c>
      <c r="D1095" s="2" t="s">
        <v>1</v>
      </c>
      <c r="E1095" s="2" t="s">
        <v>27</v>
      </c>
      <c r="F1095" s="2" t="s">
        <v>35</v>
      </c>
      <c r="G1095" s="7"/>
      <c r="H1095" s="13" t="str">
        <f>IFERROR(IF(ABS($G1095)&gt;0,VLOOKUP($E1095,'Fuel Category and Heat Rate'!$B$1:$G$34,6,FALSE)*($G1095),""),"")</f>
        <v/>
      </c>
      <c r="I1095" t="str">
        <f>IFERROR(VLOOKUP($E1095,'Fuel Category and Heat Rate'!$K$2:$M$36,3,FALSE),"")</f>
        <v>LPG propane or butane</v>
      </c>
    </row>
    <row r="1096" spans="1:9" x14ac:dyDescent="0.15">
      <c r="A1096" s="2">
        <v>115162</v>
      </c>
      <c r="B1096" s="2" t="s">
        <v>71</v>
      </c>
      <c r="C1096" s="2">
        <v>2018</v>
      </c>
      <c r="D1096" s="2" t="s">
        <v>1</v>
      </c>
      <c r="E1096" s="2" t="s">
        <v>7</v>
      </c>
      <c r="F1096" s="2" t="s">
        <v>35</v>
      </c>
      <c r="G1096" s="7"/>
      <c r="H1096" s="13" t="str">
        <f>IFERROR(IF(ABS($G1096)&gt;0,VLOOKUP($E1096,'Fuel Category and Heat Rate'!$B$1:$G$34,6,FALSE)*($G1096),""),"")</f>
        <v/>
      </c>
      <c r="I1096" t="str">
        <f>IFERROR(VLOOKUP($E1096,'Fuel Category and Heat Rate'!$K$2:$M$36,3,FALSE),"")</f>
        <v>coal</v>
      </c>
    </row>
    <row r="1097" spans="1:9" x14ac:dyDescent="0.15">
      <c r="A1097" s="2">
        <v>115197</v>
      </c>
      <c r="B1097" s="2" t="s">
        <v>71</v>
      </c>
      <c r="C1097" s="2">
        <v>2018</v>
      </c>
      <c r="D1097" s="2" t="s">
        <v>1</v>
      </c>
      <c r="E1097" s="2" t="s">
        <v>2</v>
      </c>
      <c r="F1097" s="2" t="s">
        <v>35</v>
      </c>
      <c r="G1097" s="7">
        <v>-4.03</v>
      </c>
      <c r="H1097" s="13">
        <f>IFERROR(IF(ABS($G1097)&gt;0,VLOOKUP($E1097,'Fuel Category and Heat Rate'!$B$1:$G$34,6,FALSE)*($G1097),""),"")</f>
        <v>0</v>
      </c>
      <c r="I1097" t="str">
        <f>IFERROR(VLOOKUP($E1097,'Fuel Category and Heat Rate'!$K$2:$M$36,3,FALSE),"")</f>
        <v/>
      </c>
    </row>
    <row r="1098" spans="1:9" x14ac:dyDescent="0.15">
      <c r="A1098" s="2">
        <v>115232</v>
      </c>
      <c r="B1098" s="2" t="s">
        <v>71</v>
      </c>
      <c r="C1098" s="2">
        <v>2018</v>
      </c>
      <c r="D1098" s="2" t="s">
        <v>1</v>
      </c>
      <c r="E1098" s="2" t="s">
        <v>17</v>
      </c>
      <c r="F1098" s="2" t="s">
        <v>35</v>
      </c>
      <c r="G1098" s="7"/>
      <c r="H1098" s="13" t="str">
        <f>IFERROR(IF(ABS($G1098)&gt;0,VLOOKUP($E1098,'Fuel Category and Heat Rate'!$B$1:$G$34,6,FALSE)*($G1098),""),"")</f>
        <v/>
      </c>
      <c r="I1098" t="str">
        <f>IFERROR(VLOOKUP($E1098,'Fuel Category and Heat Rate'!$K$2:$M$36,3,FALSE),"")</f>
        <v>petroleum diesel</v>
      </c>
    </row>
    <row r="1099" spans="1:9" x14ac:dyDescent="0.15">
      <c r="A1099" s="2">
        <v>115267</v>
      </c>
      <c r="B1099" s="2" t="s">
        <v>71</v>
      </c>
      <c r="C1099" s="2">
        <v>2018</v>
      </c>
      <c r="D1099" s="2" t="s">
        <v>1</v>
      </c>
      <c r="E1099" s="2" t="s">
        <v>13</v>
      </c>
      <c r="F1099" s="2" t="s">
        <v>35</v>
      </c>
      <c r="G1099" s="7"/>
      <c r="H1099" s="13" t="str">
        <f>IFERROR(IF(ABS($G1099)&gt;0,VLOOKUP($E1099,'Fuel Category and Heat Rate'!$B$1:$G$34,6,FALSE)*($G1099),""),"")</f>
        <v/>
      </c>
      <c r="I1099" t="str">
        <f>IFERROR(VLOOKUP($E1099,'Fuel Category and Heat Rate'!$K$2:$M$36,3,FALSE),"")</f>
        <v>petroleum diesel</v>
      </c>
    </row>
    <row r="1100" spans="1:9" x14ac:dyDescent="0.15">
      <c r="A1100" s="2">
        <v>115302</v>
      </c>
      <c r="B1100" s="2" t="s">
        <v>71</v>
      </c>
      <c r="C1100" s="2">
        <v>2018</v>
      </c>
      <c r="D1100" s="2" t="s">
        <v>1</v>
      </c>
      <c r="E1100" s="2" t="s">
        <v>12</v>
      </c>
      <c r="F1100" s="2" t="s">
        <v>36</v>
      </c>
      <c r="G1100" s="7"/>
      <c r="H1100" s="13" t="str">
        <f>IFERROR(IF(ABS($G1100)&gt;0,VLOOKUP($E1100,'Fuel Category and Heat Rate'!$B$1:$G$34,6,FALSE)*($G1100),""),"")</f>
        <v/>
      </c>
      <c r="I1100" t="str">
        <f>IFERROR(VLOOKUP($E1100,'Fuel Category and Heat Rate'!$K$2:$M$36,3,FALSE),"")</f>
        <v>LPG propane or butane</v>
      </c>
    </row>
    <row r="1101" spans="1:9" x14ac:dyDescent="0.15">
      <c r="A1101" s="2">
        <v>115337</v>
      </c>
      <c r="B1101" s="2" t="s">
        <v>71</v>
      </c>
      <c r="C1101" s="2">
        <v>2018</v>
      </c>
      <c r="D1101" s="2" t="s">
        <v>1</v>
      </c>
      <c r="E1101" s="2" t="s">
        <v>33</v>
      </c>
      <c r="F1101" s="2" t="s">
        <v>38</v>
      </c>
      <c r="G1101" s="7"/>
      <c r="H1101" s="13" t="str">
        <f>IFERROR(IF(ABS($G1101)&gt;0,VLOOKUP($E1101,'Fuel Category and Heat Rate'!$B$1:$G$34,6,FALSE)*($G1101),""),"")</f>
        <v/>
      </c>
      <c r="I1101" t="str">
        <f>IFERROR(VLOOKUP($E1101,'Fuel Category and Heat Rate'!$K$2:$M$36,3,FALSE),"")</f>
        <v>biomass</v>
      </c>
    </row>
    <row r="1102" spans="1:9" x14ac:dyDescent="0.15">
      <c r="A1102" s="2">
        <v>115372</v>
      </c>
      <c r="B1102" s="2" t="s">
        <v>71</v>
      </c>
      <c r="C1102" s="2">
        <v>2018</v>
      </c>
      <c r="D1102" s="2" t="s">
        <v>1</v>
      </c>
      <c r="E1102" s="2" t="s">
        <v>28</v>
      </c>
      <c r="F1102" s="2" t="s">
        <v>35</v>
      </c>
      <c r="G1102" s="7"/>
      <c r="H1102" s="13" t="str">
        <f>IFERROR(IF(ABS($G1102)&gt;0,VLOOKUP($E1102,'Fuel Category and Heat Rate'!$B$1:$G$34,6,FALSE)*($G1102),""),"")</f>
        <v/>
      </c>
      <c r="I1102" t="str">
        <f>IFERROR(VLOOKUP($E1102,'Fuel Category and Heat Rate'!$K$2:$M$36,3,FALSE),"")</f>
        <v>heavy or residual fuel oil</v>
      </c>
    </row>
    <row r="1103" spans="1:9" x14ac:dyDescent="0.15">
      <c r="A1103" s="2">
        <v>115407</v>
      </c>
      <c r="B1103" s="2" t="s">
        <v>71</v>
      </c>
      <c r="C1103" s="2">
        <v>2018</v>
      </c>
      <c r="D1103" s="2" t="s">
        <v>1</v>
      </c>
      <c r="E1103" s="2" t="s">
        <v>5</v>
      </c>
      <c r="F1103" s="2" t="s">
        <v>35</v>
      </c>
      <c r="G1103" s="7"/>
      <c r="H1103" s="13" t="str">
        <f>IFERROR(IF(ABS($G1103)&gt;0,VLOOKUP($E1103,'Fuel Category and Heat Rate'!$B$1:$G$34,6,FALSE)*($G1103),""),"")</f>
        <v/>
      </c>
      <c r="I1103" t="str">
        <f>IFERROR(VLOOKUP($E1103,'Fuel Category and Heat Rate'!$K$2:$M$36,3,FALSE),"")</f>
        <v>coal</v>
      </c>
    </row>
    <row r="1104" spans="1:9" x14ac:dyDescent="0.15">
      <c r="A1104" s="2">
        <v>115442</v>
      </c>
      <c r="B1104" s="2" t="s">
        <v>71</v>
      </c>
      <c r="C1104" s="2">
        <v>2018</v>
      </c>
      <c r="D1104" s="2" t="s">
        <v>1</v>
      </c>
      <c r="E1104" s="2" t="s">
        <v>16</v>
      </c>
      <c r="F1104" s="2" t="s">
        <v>35</v>
      </c>
      <c r="G1104" s="7"/>
      <c r="H1104" s="13" t="str">
        <f>IFERROR(IF(ABS($G1104)&gt;0,VLOOKUP($E1104,'Fuel Category and Heat Rate'!$B$1:$G$34,6,FALSE)*($G1104),""),"")</f>
        <v/>
      </c>
      <c r="I1104" t="str">
        <f>IFERROR(VLOOKUP($E1104,'Fuel Category and Heat Rate'!$K$2:$M$36,3,FALSE),"")</f>
        <v>petroleum diesel</v>
      </c>
    </row>
    <row r="1105" spans="1:9" x14ac:dyDescent="0.15">
      <c r="A1105" s="2">
        <v>115477</v>
      </c>
      <c r="B1105" s="2" t="s">
        <v>71</v>
      </c>
      <c r="C1105" s="2">
        <v>2018</v>
      </c>
      <c r="D1105" s="2" t="s">
        <v>1</v>
      </c>
      <c r="E1105" s="2" t="s">
        <v>19</v>
      </c>
      <c r="F1105" s="2" t="s">
        <v>35</v>
      </c>
      <c r="G1105" s="7"/>
      <c r="H1105" s="13" t="str">
        <f>IFERROR(IF(ABS($G1105)&gt;0,VLOOKUP($E1105,'Fuel Category and Heat Rate'!$B$1:$G$34,6,FALSE)*($G1105),""),"")</f>
        <v/>
      </c>
      <c r="I1105" t="str">
        <f>IFERROR(VLOOKUP($E1105,'Fuel Category and Heat Rate'!$K$2:$M$36,3,FALSE),"")</f>
        <v>heavy or residual fuel oil</v>
      </c>
    </row>
    <row r="1106" spans="1:9" x14ac:dyDescent="0.15">
      <c r="A1106" s="2">
        <v>115512</v>
      </c>
      <c r="B1106" s="2" t="s">
        <v>71</v>
      </c>
      <c r="C1106" s="2">
        <v>2018</v>
      </c>
      <c r="D1106" s="2" t="s">
        <v>1</v>
      </c>
      <c r="E1106" s="2" t="s">
        <v>31</v>
      </c>
      <c r="F1106" s="2" t="s">
        <v>37</v>
      </c>
      <c r="G1106" s="7">
        <v>61.25</v>
      </c>
      <c r="H1106" s="13">
        <f>IFERROR(IF(ABS($G1106)&gt;0,VLOOKUP($E1106,'Fuel Category and Heat Rate'!$B$1:$G$34,6,FALSE)*($G1106),""),"")</f>
        <v>580537987633.54565</v>
      </c>
      <c r="I1106" t="str">
        <f>IFERROR(VLOOKUP($E1106,'Fuel Category and Heat Rate'!$K$2:$M$36,3,FALSE),"")</f>
        <v>heat</v>
      </c>
    </row>
    <row r="1107" spans="1:9" x14ac:dyDescent="0.15">
      <c r="A1107" s="2">
        <v>115547</v>
      </c>
      <c r="B1107" s="2" t="s">
        <v>71</v>
      </c>
      <c r="C1107" s="2">
        <v>2018</v>
      </c>
      <c r="D1107" s="2" t="s">
        <v>1</v>
      </c>
      <c r="E1107" s="2" t="s">
        <v>23</v>
      </c>
      <c r="F1107" s="2" t="s">
        <v>35</v>
      </c>
      <c r="G1107" s="7"/>
      <c r="H1107" s="13" t="str">
        <f>IFERROR(IF(ABS($G1107)&gt;0,VLOOKUP($E1107,'Fuel Category and Heat Rate'!$B$1:$G$34,6,FALSE)*($G1107),""),"")</f>
        <v/>
      </c>
      <c r="I1107" t="str">
        <f>IFERROR(VLOOKUP($E1107,'Fuel Category and Heat Rate'!$K$2:$M$36,3,FALSE),"")</f>
        <v>heavy or residual fuel oil</v>
      </c>
    </row>
    <row r="1108" spans="1:9" x14ac:dyDescent="0.15">
      <c r="A1108" s="2">
        <v>115582</v>
      </c>
      <c r="B1108" s="2" t="s">
        <v>71</v>
      </c>
      <c r="C1108" s="2">
        <v>2018</v>
      </c>
      <c r="D1108" s="2" t="s">
        <v>1</v>
      </c>
      <c r="E1108" s="2" t="s">
        <v>21</v>
      </c>
      <c r="F1108" s="2" t="s">
        <v>35</v>
      </c>
      <c r="G1108" s="7"/>
      <c r="H1108" s="13" t="str">
        <f>IFERROR(IF(ABS($G1108)&gt;0,VLOOKUP($E1108,'Fuel Category and Heat Rate'!$B$1:$G$34,6,FALSE)*($G1108),""),"")</f>
        <v/>
      </c>
      <c r="I1108" t="str">
        <f>IFERROR(VLOOKUP($E1108,'Fuel Category and Heat Rate'!$K$2:$M$36,3,FALSE),"")</f>
        <v>LPG propane or butane</v>
      </c>
    </row>
    <row r="1109" spans="1:9" x14ac:dyDescent="0.15">
      <c r="A1109" s="2">
        <v>115617</v>
      </c>
      <c r="B1109" s="2" t="s">
        <v>71</v>
      </c>
      <c r="C1109" s="2">
        <v>2018</v>
      </c>
      <c r="D1109" s="2" t="s">
        <v>1</v>
      </c>
      <c r="E1109" s="2" t="s">
        <v>22</v>
      </c>
      <c r="F1109" s="2" t="s">
        <v>35</v>
      </c>
      <c r="G1109" s="7"/>
      <c r="H1109" s="13" t="str">
        <f>IFERROR(IF(ABS($G1109)&gt;0,VLOOKUP($E1109,'Fuel Category and Heat Rate'!$B$1:$G$34,6,FALSE)*($G1109),""),"")</f>
        <v/>
      </c>
      <c r="I1109" t="str">
        <f>IFERROR(VLOOKUP($E1109,'Fuel Category and Heat Rate'!$K$2:$M$36,3,FALSE),"")</f>
        <v>heavy fuel oil</v>
      </c>
    </row>
    <row r="1110" spans="1:9" x14ac:dyDescent="0.15">
      <c r="A1110" s="2">
        <v>115652</v>
      </c>
      <c r="B1110" s="2" t="s">
        <v>71</v>
      </c>
      <c r="C1110" s="2">
        <v>2018</v>
      </c>
      <c r="D1110" s="2" t="s">
        <v>1</v>
      </c>
      <c r="E1110" s="2" t="s">
        <v>20</v>
      </c>
      <c r="F1110" s="2" t="s">
        <v>35</v>
      </c>
      <c r="G1110" s="7"/>
      <c r="H1110" s="13" t="str">
        <f>IFERROR(IF(ABS($G1110)&gt;0,VLOOKUP($E1110,'Fuel Category and Heat Rate'!$B$1:$G$34,6,FALSE)*($G1110),""),"")</f>
        <v/>
      </c>
      <c r="I1110" t="str">
        <f>IFERROR(VLOOKUP($E1110,'Fuel Category and Heat Rate'!$K$2:$M$36,3,FALSE),"")</f>
        <v>LPG propane or butane</v>
      </c>
    </row>
    <row r="1111" spans="1:9" x14ac:dyDescent="0.15">
      <c r="A1111" s="2">
        <v>115687</v>
      </c>
      <c r="B1111" s="2" t="s">
        <v>71</v>
      </c>
      <c r="C1111" s="2">
        <v>2018</v>
      </c>
      <c r="D1111" s="2" t="s">
        <v>1</v>
      </c>
      <c r="E1111" s="2" t="s">
        <v>25</v>
      </c>
      <c r="F1111" s="2" t="s">
        <v>35</v>
      </c>
      <c r="G1111" s="7"/>
      <c r="H1111" s="13" t="str">
        <f>IFERROR(IF(ABS($G1111)&gt;0,VLOOKUP($E1111,'Fuel Category and Heat Rate'!$B$1:$G$34,6,FALSE)*($G1111),""),"")</f>
        <v/>
      </c>
      <c r="I1111" t="str">
        <f>IFERROR(VLOOKUP($E1111,'Fuel Category and Heat Rate'!$K$2:$M$36,3,FALSE),"")</f>
        <v>heavy fuel oil</v>
      </c>
    </row>
    <row r="1112" spans="1:9" x14ac:dyDescent="0.15">
      <c r="A1112" s="2">
        <v>115722</v>
      </c>
      <c r="B1112" s="2" t="s">
        <v>71</v>
      </c>
      <c r="C1112" s="2">
        <v>2018</v>
      </c>
      <c r="D1112" s="2" t="s">
        <v>1</v>
      </c>
      <c r="E1112" s="2" t="s">
        <v>24</v>
      </c>
      <c r="F1112" s="2" t="s">
        <v>35</v>
      </c>
      <c r="G1112" s="7"/>
      <c r="H1112" s="13" t="str">
        <f>IFERROR(IF(ABS($G1112)&gt;0,VLOOKUP($E1112,'Fuel Category and Heat Rate'!$B$1:$G$34,6,FALSE)*($G1112),""),"")</f>
        <v/>
      </c>
      <c r="I1112" t="str">
        <f>IFERROR(VLOOKUP($E1112,'Fuel Category and Heat Rate'!$K$2:$M$36,3,FALSE),"")</f>
        <v>heavy fuel oil</v>
      </c>
    </row>
    <row r="1113" spans="1:9" x14ac:dyDescent="0.15">
      <c r="A1113" s="2">
        <v>115757</v>
      </c>
      <c r="B1113" s="2" t="s">
        <v>71</v>
      </c>
      <c r="C1113" s="2">
        <v>2018</v>
      </c>
      <c r="D1113" s="2" t="s">
        <v>1</v>
      </c>
      <c r="E1113" s="2" t="s">
        <v>29</v>
      </c>
      <c r="F1113" s="2" t="s">
        <v>36</v>
      </c>
      <c r="G1113" s="7"/>
      <c r="H1113" s="13" t="str">
        <f>IFERROR(IF(ABS($G1113)&gt;0,VLOOKUP($E1113,'Fuel Category and Heat Rate'!$B$1:$G$34,6,FALSE)*($G1113),""),"")</f>
        <v/>
      </c>
      <c r="I1113" t="str">
        <f>IFERROR(VLOOKUP($E1113,'Fuel Category and Heat Rate'!$K$2:$M$36,3,FALSE),"")</f>
        <v>natural gas</v>
      </c>
    </row>
    <row r="1114" spans="1:9" x14ac:dyDescent="0.15">
      <c r="A1114" s="2">
        <v>115792</v>
      </c>
      <c r="B1114" s="2" t="s">
        <v>71</v>
      </c>
      <c r="C1114" s="2">
        <v>2018</v>
      </c>
      <c r="D1114" s="2" t="s">
        <v>1</v>
      </c>
      <c r="E1114" s="2" t="s">
        <v>4</v>
      </c>
      <c r="F1114" s="2" t="s">
        <v>35</v>
      </c>
      <c r="G1114" s="7"/>
      <c r="H1114" s="13" t="str">
        <f>IFERROR(IF(ABS($G1114)&gt;0,VLOOKUP($E1114,'Fuel Category and Heat Rate'!$B$1:$G$34,6,FALSE)*($G1114),""),"")</f>
        <v/>
      </c>
      <c r="I1114" t="str">
        <f>IFERROR(VLOOKUP($E1114,'Fuel Category and Heat Rate'!$K$2:$M$36,3,FALSE),"")</f>
        <v>coal</v>
      </c>
    </row>
    <row r="1115" spans="1:9" x14ac:dyDescent="0.15">
      <c r="A1115" s="2">
        <v>115827</v>
      </c>
      <c r="B1115" s="2" t="s">
        <v>71</v>
      </c>
      <c r="C1115" s="2">
        <v>2018</v>
      </c>
      <c r="D1115" s="2" t="s">
        <v>1</v>
      </c>
      <c r="E1115" s="2" t="s">
        <v>6</v>
      </c>
      <c r="F1115" s="2" t="s">
        <v>35</v>
      </c>
      <c r="G1115" s="7"/>
      <c r="H1115" s="13" t="str">
        <f>IFERROR(IF(ABS($G1115)&gt;0,VLOOKUP($E1115,'Fuel Category and Heat Rate'!$B$1:$G$34,6,FALSE)*($G1115),""),"")</f>
        <v/>
      </c>
      <c r="I1115" t="str">
        <f>IFERROR(VLOOKUP($E1115,'Fuel Category and Heat Rate'!$K$2:$M$36,3,FALSE),"")</f>
        <v>coal</v>
      </c>
    </row>
    <row r="1116" spans="1:9" x14ac:dyDescent="0.15">
      <c r="A1116" s="2">
        <v>115862</v>
      </c>
      <c r="B1116" s="2" t="s">
        <v>71</v>
      </c>
      <c r="C1116" s="2">
        <v>2018</v>
      </c>
      <c r="D1116" s="2" t="s">
        <v>1</v>
      </c>
      <c r="E1116" s="2" t="s">
        <v>26</v>
      </c>
      <c r="F1116" s="2" t="s">
        <v>35</v>
      </c>
      <c r="G1116" s="7"/>
      <c r="H1116" s="13" t="str">
        <f>IFERROR(IF(ABS($G1116)&gt;0,VLOOKUP($E1116,'Fuel Category and Heat Rate'!$B$1:$G$34,6,FALSE)*($G1116),""),"")</f>
        <v/>
      </c>
      <c r="I1116" t="str">
        <f>IFERROR(VLOOKUP($E1116,'Fuel Category and Heat Rate'!$K$2:$M$36,3,FALSE),"")</f>
        <v>LPG propane or butane</v>
      </c>
    </row>
    <row r="1117" spans="1:9" x14ac:dyDescent="0.15">
      <c r="A1117" s="2">
        <v>115897</v>
      </c>
      <c r="B1117" s="2" t="s">
        <v>71</v>
      </c>
      <c r="C1117" s="2">
        <v>2018</v>
      </c>
      <c r="D1117" s="2" t="s">
        <v>1</v>
      </c>
      <c r="E1117" s="2" t="s">
        <v>30</v>
      </c>
      <c r="F1117" s="2" t="s">
        <v>35</v>
      </c>
      <c r="G1117" s="7"/>
      <c r="H1117" s="13" t="str">
        <f>IFERROR(IF(ABS($G1117)&gt;0,VLOOKUP($E1117,'Fuel Category and Heat Rate'!$B$1:$G$34,6,FALSE)*($G1117),""),"")</f>
        <v/>
      </c>
      <c r="I1117" t="str">
        <f>IFERROR(VLOOKUP($E1117,'Fuel Category and Heat Rate'!$K$2:$M$36,3,FALSE),"")</f>
        <v>natural gas</v>
      </c>
    </row>
    <row r="1118" spans="1:9" x14ac:dyDescent="0.15">
      <c r="A1118" s="2">
        <v>115932</v>
      </c>
      <c r="B1118" s="2" t="s">
        <v>71</v>
      </c>
      <c r="C1118" s="2">
        <v>2018</v>
      </c>
      <c r="D1118" s="2" t="s">
        <v>1</v>
      </c>
      <c r="E1118" s="2" t="s">
        <v>14</v>
      </c>
      <c r="F1118" s="2" t="s">
        <v>35</v>
      </c>
      <c r="G1118" s="7"/>
      <c r="H1118" s="13" t="str">
        <f>IFERROR(IF(ABS($G1118)&gt;0,VLOOKUP($E1118,'Fuel Category and Heat Rate'!$B$1:$G$34,6,FALSE)*($G1118),""),"")</f>
        <v/>
      </c>
      <c r="I1118" t="str">
        <f>IFERROR(VLOOKUP($E1118,'Fuel Category and Heat Rate'!$K$2:$M$36,3,FALSE),"")</f>
        <v/>
      </c>
    </row>
    <row r="1119" spans="1:9" x14ac:dyDescent="0.15">
      <c r="A1119" s="2">
        <v>115967</v>
      </c>
      <c r="B1119" s="2" t="s">
        <v>71</v>
      </c>
      <c r="C1119" s="2">
        <v>2018</v>
      </c>
      <c r="D1119" s="2" t="s">
        <v>1</v>
      </c>
      <c r="E1119" s="2" t="s">
        <v>3</v>
      </c>
      <c r="F1119" s="2" t="s">
        <v>35</v>
      </c>
      <c r="G1119" s="7">
        <v>-4.03</v>
      </c>
      <c r="H1119" s="13">
        <f>IFERROR(IF(ABS($G1119)&gt;0,VLOOKUP($E1119,'Fuel Category and Heat Rate'!$B$1:$G$34,6,FALSE)*($G1119),""),"")</f>
        <v>-798623504149.09326</v>
      </c>
      <c r="I1119" t="str">
        <f>IFERROR(VLOOKUP($E1119,'Fuel Category and Heat Rate'!$K$2:$M$36,3,FALSE),"")</f>
        <v>coal</v>
      </c>
    </row>
    <row r="1120" spans="1:9" x14ac:dyDescent="0.15">
      <c r="A1120" s="2">
        <v>116002</v>
      </c>
      <c r="B1120" s="2" t="s">
        <v>71</v>
      </c>
      <c r="C1120" s="2">
        <v>2018</v>
      </c>
      <c r="D1120" s="2" t="s">
        <v>1</v>
      </c>
      <c r="E1120" s="2" t="s">
        <v>15</v>
      </c>
      <c r="F1120" s="2" t="s">
        <v>35</v>
      </c>
      <c r="G1120" s="7"/>
      <c r="H1120" s="13" t="str">
        <f>IFERROR(IF(ABS($G1120)&gt;0,VLOOKUP($E1120,'Fuel Category and Heat Rate'!$B$1:$G$34,6,FALSE)*($G1120),""),"")</f>
        <v/>
      </c>
      <c r="I1120" t="str">
        <f>IFERROR(VLOOKUP($E1120,'Fuel Category and Heat Rate'!$K$2:$M$36,3,FALSE),"")</f>
        <v>crude oil</v>
      </c>
    </row>
    <row r="1121" spans="1:9" x14ac:dyDescent="0.15">
      <c r="A1121" s="2">
        <v>116037</v>
      </c>
      <c r="B1121" s="2" t="s">
        <v>71</v>
      </c>
      <c r="C1121" s="2">
        <v>2018</v>
      </c>
      <c r="D1121" s="2" t="s">
        <v>1</v>
      </c>
      <c r="E1121" s="2" t="s">
        <v>11</v>
      </c>
      <c r="F1121" s="2" t="s">
        <v>36</v>
      </c>
      <c r="G1121" s="7"/>
      <c r="H1121" s="13" t="str">
        <f>IFERROR(IF(ABS($G1121)&gt;0,VLOOKUP($E1121,'Fuel Category and Heat Rate'!$B$1:$G$34,6,FALSE)*($G1121),""),"")</f>
        <v/>
      </c>
      <c r="I1121" t="str">
        <f>IFERROR(VLOOKUP($E1121,'Fuel Category and Heat Rate'!$K$2:$M$36,3,FALSE),"")</f>
        <v>LPG propane or butane</v>
      </c>
    </row>
    <row r="1122" spans="1:9" x14ac:dyDescent="0.15">
      <c r="A1122" s="2">
        <v>128882</v>
      </c>
      <c r="B1122" s="2" t="s">
        <v>72</v>
      </c>
      <c r="C1122" s="2">
        <v>2022</v>
      </c>
      <c r="D1122" s="2" t="s">
        <v>1</v>
      </c>
      <c r="E1122" s="2" t="s">
        <v>18</v>
      </c>
      <c r="F1122" s="2" t="s">
        <v>35</v>
      </c>
      <c r="G1122" s="7"/>
      <c r="H1122" s="13" t="str">
        <f>IFERROR(IF(ABS($G1122)&gt;0,VLOOKUP($E1122,'Fuel Category and Heat Rate'!$B$1:$G$34,6,FALSE)*($G1122),""),"")</f>
        <v/>
      </c>
      <c r="I1122" t="str">
        <f>IFERROR(VLOOKUP($E1122,'Fuel Category and Heat Rate'!$K$2:$M$36,3,FALSE),"")</f>
        <v>petroleum diesel</v>
      </c>
    </row>
    <row r="1123" spans="1:9" x14ac:dyDescent="0.15">
      <c r="A1123" s="2">
        <v>128917</v>
      </c>
      <c r="B1123" s="2" t="s">
        <v>72</v>
      </c>
      <c r="C1123" s="2">
        <v>2022</v>
      </c>
      <c r="D1123" s="2" t="s">
        <v>1</v>
      </c>
      <c r="E1123" s="2" t="s">
        <v>32</v>
      </c>
      <c r="F1123" s="2" t="s">
        <v>65</v>
      </c>
      <c r="G1123" s="7"/>
      <c r="H1123" s="13" t="str">
        <f>IFERROR(IF(ABS($G1123)&gt;0,VLOOKUP($E1123,'Fuel Category and Heat Rate'!$B$1:$G$34,6,FALSE)*($G1123),""),"")</f>
        <v/>
      </c>
      <c r="I1123" t="str">
        <f>IFERROR(VLOOKUP($E1123,'Fuel Category and Heat Rate'!$K$2:$M$36,3,FALSE),"")</f>
        <v>electricity</v>
      </c>
    </row>
    <row r="1124" spans="1:9" x14ac:dyDescent="0.15">
      <c r="A1124" s="2">
        <v>128952</v>
      </c>
      <c r="B1124" s="2" t="s">
        <v>72</v>
      </c>
      <c r="C1124" s="2">
        <v>2022</v>
      </c>
      <c r="D1124" s="2" t="s">
        <v>1</v>
      </c>
      <c r="E1124" s="2" t="s">
        <v>10</v>
      </c>
      <c r="F1124" s="2" t="s">
        <v>36</v>
      </c>
      <c r="G1124" s="7"/>
      <c r="H1124" s="13" t="str">
        <f>IFERROR(IF(ABS($G1124)&gt;0,VLOOKUP($E1124,'Fuel Category and Heat Rate'!$B$1:$G$34,6,FALSE)*($G1124),""),"")</f>
        <v/>
      </c>
      <c r="I1124" t="str">
        <f>IFERROR(VLOOKUP($E1124,'Fuel Category and Heat Rate'!$K$2:$M$36,3,FALSE),"")</f>
        <v>LPG propane or butane</v>
      </c>
    </row>
    <row r="1125" spans="1:9" x14ac:dyDescent="0.15">
      <c r="A1125" s="2">
        <v>128987</v>
      </c>
      <c r="B1125" s="2" t="s">
        <v>72</v>
      </c>
      <c r="C1125" s="2">
        <v>2022</v>
      </c>
      <c r="D1125" s="2" t="s">
        <v>1</v>
      </c>
      <c r="E1125" s="2" t="s">
        <v>9</v>
      </c>
      <c r="F1125" s="2" t="s">
        <v>36</v>
      </c>
      <c r="G1125" s="7"/>
      <c r="H1125" s="13" t="str">
        <f>IFERROR(IF(ABS($G1125)&gt;0,VLOOKUP($E1125,'Fuel Category and Heat Rate'!$B$1:$G$34,6,FALSE)*($G1125),""),"")</f>
        <v/>
      </c>
      <c r="I1125" t="str">
        <f>IFERROR(VLOOKUP($E1125,'Fuel Category and Heat Rate'!$K$2:$M$36,3,FALSE),"")</f>
        <v>LPG propane or butane</v>
      </c>
    </row>
    <row r="1126" spans="1:9" x14ac:dyDescent="0.15">
      <c r="A1126" s="2">
        <v>129022</v>
      </c>
      <c r="B1126" s="2" t="s">
        <v>72</v>
      </c>
      <c r="C1126" s="2">
        <v>2022</v>
      </c>
      <c r="D1126" s="2" t="s">
        <v>1</v>
      </c>
      <c r="E1126" s="2" t="s">
        <v>8</v>
      </c>
      <c r="F1126" s="2" t="s">
        <v>35</v>
      </c>
      <c r="G1126" s="7"/>
      <c r="H1126" s="13" t="str">
        <f>IFERROR(IF(ABS($G1126)&gt;0,VLOOKUP($E1126,'Fuel Category and Heat Rate'!$B$1:$G$34,6,FALSE)*($G1126),""),"")</f>
        <v/>
      </c>
      <c r="I1126" t="str">
        <f>IFERROR(VLOOKUP($E1126,'Fuel Category and Heat Rate'!$K$2:$M$36,3,FALSE),"")</f>
        <v>coal</v>
      </c>
    </row>
    <row r="1127" spans="1:9" x14ac:dyDescent="0.15">
      <c r="A1127" s="2">
        <v>129057</v>
      </c>
      <c r="B1127" s="2" t="s">
        <v>72</v>
      </c>
      <c r="C1127" s="2">
        <v>2022</v>
      </c>
      <c r="D1127" s="2" t="s">
        <v>1</v>
      </c>
      <c r="E1127" s="2" t="s">
        <v>27</v>
      </c>
      <c r="F1127" s="2" t="s">
        <v>35</v>
      </c>
      <c r="G1127" s="7">
        <v>-0.31</v>
      </c>
      <c r="H1127" s="13">
        <f>IFERROR(IF(ABS($G1127)&gt;0,VLOOKUP($E1127,'Fuel Category and Heat Rate'!$B$1:$G$34,6,FALSE)*($G1127),""),"")</f>
        <v>-135152845226.15556</v>
      </c>
      <c r="I1127" t="str">
        <f>IFERROR(VLOOKUP($E1127,'Fuel Category and Heat Rate'!$K$2:$M$36,3,FALSE),"")</f>
        <v>LPG propane or butane</v>
      </c>
    </row>
    <row r="1128" spans="1:9" x14ac:dyDescent="0.15">
      <c r="A1128" s="2">
        <v>129092</v>
      </c>
      <c r="B1128" s="2" t="s">
        <v>72</v>
      </c>
      <c r="C1128" s="2">
        <v>2022</v>
      </c>
      <c r="D1128" s="2" t="s">
        <v>1</v>
      </c>
      <c r="E1128" s="2" t="s">
        <v>7</v>
      </c>
      <c r="F1128" s="2" t="s">
        <v>35</v>
      </c>
      <c r="G1128" s="7"/>
      <c r="H1128" s="13" t="str">
        <f>IFERROR(IF(ABS($G1128)&gt;0,VLOOKUP($E1128,'Fuel Category and Heat Rate'!$B$1:$G$34,6,FALSE)*($G1128),""),"")</f>
        <v/>
      </c>
      <c r="I1128" t="str">
        <f>IFERROR(VLOOKUP($E1128,'Fuel Category and Heat Rate'!$K$2:$M$36,3,FALSE),"")</f>
        <v>coal</v>
      </c>
    </row>
    <row r="1129" spans="1:9" x14ac:dyDescent="0.15">
      <c r="A1129" s="2">
        <v>129127</v>
      </c>
      <c r="B1129" s="2" t="s">
        <v>72</v>
      </c>
      <c r="C1129" s="2">
        <v>2022</v>
      </c>
      <c r="D1129" s="2" t="s">
        <v>1</v>
      </c>
      <c r="E1129" s="2" t="s">
        <v>2</v>
      </c>
      <c r="F1129" s="2" t="s">
        <v>35</v>
      </c>
      <c r="G1129" s="7">
        <v>-88.26</v>
      </c>
      <c r="H1129" s="13">
        <f>IFERROR(IF(ABS($G1129)&gt;0,VLOOKUP($E1129,'Fuel Category and Heat Rate'!$B$1:$G$34,6,FALSE)*($G1129),""),"")</f>
        <v>0</v>
      </c>
      <c r="I1129" t="str">
        <f>IFERROR(VLOOKUP($E1129,'Fuel Category and Heat Rate'!$K$2:$M$36,3,FALSE),"")</f>
        <v/>
      </c>
    </row>
    <row r="1130" spans="1:9" x14ac:dyDescent="0.15">
      <c r="A1130" s="2">
        <v>129162</v>
      </c>
      <c r="B1130" s="2" t="s">
        <v>72</v>
      </c>
      <c r="C1130" s="2">
        <v>2022</v>
      </c>
      <c r="D1130" s="2" t="s">
        <v>1</v>
      </c>
      <c r="E1130" s="2" t="s">
        <v>17</v>
      </c>
      <c r="F1130" s="2" t="s">
        <v>35</v>
      </c>
      <c r="G1130" s="7"/>
      <c r="H1130" s="13" t="str">
        <f>IFERROR(IF(ABS($G1130)&gt;0,VLOOKUP($E1130,'Fuel Category and Heat Rate'!$B$1:$G$34,6,FALSE)*($G1130),""),"")</f>
        <v/>
      </c>
      <c r="I1130" t="str">
        <f>IFERROR(VLOOKUP($E1130,'Fuel Category and Heat Rate'!$K$2:$M$36,3,FALSE),"")</f>
        <v>petroleum diesel</v>
      </c>
    </row>
    <row r="1131" spans="1:9" x14ac:dyDescent="0.15">
      <c r="A1131" s="2">
        <v>129197</v>
      </c>
      <c r="B1131" s="2" t="s">
        <v>72</v>
      </c>
      <c r="C1131" s="2">
        <v>2022</v>
      </c>
      <c r="D1131" s="2" t="s">
        <v>1</v>
      </c>
      <c r="E1131" s="2" t="s">
        <v>13</v>
      </c>
      <c r="F1131" s="2" t="s">
        <v>35</v>
      </c>
      <c r="G1131" s="7"/>
      <c r="H1131" s="13" t="str">
        <f>IFERROR(IF(ABS($G1131)&gt;0,VLOOKUP($E1131,'Fuel Category and Heat Rate'!$B$1:$G$34,6,FALSE)*($G1131),""),"")</f>
        <v/>
      </c>
      <c r="I1131" t="str">
        <f>IFERROR(VLOOKUP($E1131,'Fuel Category and Heat Rate'!$K$2:$M$36,3,FALSE),"")</f>
        <v>petroleum diesel</v>
      </c>
    </row>
    <row r="1132" spans="1:9" x14ac:dyDescent="0.15">
      <c r="A1132" s="2">
        <v>129232</v>
      </c>
      <c r="B1132" s="2" t="s">
        <v>72</v>
      </c>
      <c r="C1132" s="2">
        <v>2022</v>
      </c>
      <c r="D1132" s="2" t="s">
        <v>1</v>
      </c>
      <c r="E1132" s="2" t="s">
        <v>12</v>
      </c>
      <c r="F1132" s="2" t="s">
        <v>36</v>
      </c>
      <c r="G1132" s="7"/>
      <c r="H1132" s="13" t="str">
        <f>IFERROR(IF(ABS($G1132)&gt;0,VLOOKUP($E1132,'Fuel Category and Heat Rate'!$B$1:$G$34,6,FALSE)*($G1132),""),"")</f>
        <v/>
      </c>
      <c r="I1132" t="str">
        <f>IFERROR(VLOOKUP($E1132,'Fuel Category and Heat Rate'!$K$2:$M$36,3,FALSE),"")</f>
        <v>LPG propane or butane</v>
      </c>
    </row>
    <row r="1133" spans="1:9" x14ac:dyDescent="0.15">
      <c r="A1133" s="2">
        <v>129267</v>
      </c>
      <c r="B1133" s="2" t="s">
        <v>72</v>
      </c>
      <c r="C1133" s="2">
        <v>2022</v>
      </c>
      <c r="D1133" s="2" t="s">
        <v>1</v>
      </c>
      <c r="E1133" s="2" t="s">
        <v>33</v>
      </c>
      <c r="F1133" s="2" t="s">
        <v>38</v>
      </c>
      <c r="G1133" s="7">
        <v>-5.19</v>
      </c>
      <c r="H1133" s="13">
        <f>IFERROR(IF(ABS($G1133)&gt;0,VLOOKUP($E1133,'Fuel Category and Heat Rate'!$B$1:$G$34,6,FALSE)*($G1133),""),"")</f>
        <v>-1439890504374.7209</v>
      </c>
      <c r="I1133" t="str">
        <f>IFERROR(VLOOKUP($E1133,'Fuel Category and Heat Rate'!$K$2:$M$36,3,FALSE),"")</f>
        <v>biomass</v>
      </c>
    </row>
    <row r="1134" spans="1:9" x14ac:dyDescent="0.15">
      <c r="A1134" s="2">
        <v>129302</v>
      </c>
      <c r="B1134" s="2" t="s">
        <v>72</v>
      </c>
      <c r="C1134" s="2">
        <v>2022</v>
      </c>
      <c r="D1134" s="2" t="s">
        <v>1</v>
      </c>
      <c r="E1134" s="2" t="s">
        <v>28</v>
      </c>
      <c r="F1134" s="2" t="s">
        <v>35</v>
      </c>
      <c r="G1134" s="7"/>
      <c r="H1134" s="13" t="str">
        <f>IFERROR(IF(ABS($G1134)&gt;0,VLOOKUP($E1134,'Fuel Category and Heat Rate'!$B$1:$G$34,6,FALSE)*($G1134),""),"")</f>
        <v/>
      </c>
      <c r="I1134" t="str">
        <f>IFERROR(VLOOKUP($E1134,'Fuel Category and Heat Rate'!$K$2:$M$36,3,FALSE),"")</f>
        <v>heavy or residual fuel oil</v>
      </c>
    </row>
    <row r="1135" spans="1:9" x14ac:dyDescent="0.15">
      <c r="A1135" s="2">
        <v>129337</v>
      </c>
      <c r="B1135" s="2" t="s">
        <v>72</v>
      </c>
      <c r="C1135" s="2">
        <v>2022</v>
      </c>
      <c r="D1135" s="2" t="s">
        <v>1</v>
      </c>
      <c r="E1135" s="2" t="s">
        <v>5</v>
      </c>
      <c r="F1135" s="2" t="s">
        <v>35</v>
      </c>
      <c r="G1135" s="7"/>
      <c r="H1135" s="13" t="str">
        <f>IFERROR(IF(ABS($G1135)&gt;0,VLOOKUP($E1135,'Fuel Category and Heat Rate'!$B$1:$G$34,6,FALSE)*($G1135),""),"")</f>
        <v/>
      </c>
      <c r="I1135" t="str">
        <f>IFERROR(VLOOKUP($E1135,'Fuel Category and Heat Rate'!$K$2:$M$36,3,FALSE),"")</f>
        <v>coal</v>
      </c>
    </row>
    <row r="1136" spans="1:9" x14ac:dyDescent="0.15">
      <c r="A1136" s="2">
        <v>129372</v>
      </c>
      <c r="B1136" s="2" t="s">
        <v>72</v>
      </c>
      <c r="C1136" s="2">
        <v>2022</v>
      </c>
      <c r="D1136" s="2" t="s">
        <v>1</v>
      </c>
      <c r="E1136" s="2" t="s">
        <v>16</v>
      </c>
      <c r="F1136" s="2" t="s">
        <v>35</v>
      </c>
      <c r="G1136" s="7"/>
      <c r="H1136" s="13" t="str">
        <f>IFERROR(IF(ABS($G1136)&gt;0,VLOOKUP($E1136,'Fuel Category and Heat Rate'!$B$1:$G$34,6,FALSE)*($G1136),""),"")</f>
        <v/>
      </c>
      <c r="I1136" t="str">
        <f>IFERROR(VLOOKUP($E1136,'Fuel Category and Heat Rate'!$K$2:$M$36,3,FALSE),"")</f>
        <v>petroleum diesel</v>
      </c>
    </row>
    <row r="1137" spans="1:9" x14ac:dyDescent="0.15">
      <c r="A1137" s="2">
        <v>129407</v>
      </c>
      <c r="B1137" s="2" t="s">
        <v>72</v>
      </c>
      <c r="C1137" s="2">
        <v>2022</v>
      </c>
      <c r="D1137" s="2" t="s">
        <v>1</v>
      </c>
      <c r="E1137" s="2" t="s">
        <v>19</v>
      </c>
      <c r="F1137" s="2" t="s">
        <v>35</v>
      </c>
      <c r="G1137" s="7"/>
      <c r="H1137" s="13" t="str">
        <f>IFERROR(IF(ABS($G1137)&gt;0,VLOOKUP($E1137,'Fuel Category and Heat Rate'!$B$1:$G$34,6,FALSE)*($G1137),""),"")</f>
        <v/>
      </c>
      <c r="I1137" t="str">
        <f>IFERROR(VLOOKUP($E1137,'Fuel Category and Heat Rate'!$K$2:$M$36,3,FALSE),"")</f>
        <v>heavy or residual fuel oil</v>
      </c>
    </row>
    <row r="1138" spans="1:9" x14ac:dyDescent="0.15">
      <c r="A1138" s="2">
        <v>129442</v>
      </c>
      <c r="B1138" s="2" t="s">
        <v>72</v>
      </c>
      <c r="C1138" s="2">
        <v>2022</v>
      </c>
      <c r="D1138" s="2" t="s">
        <v>1</v>
      </c>
      <c r="E1138" s="2" t="s">
        <v>31</v>
      </c>
      <c r="F1138" s="2" t="s">
        <v>37</v>
      </c>
      <c r="G1138" s="7">
        <v>3526.86</v>
      </c>
      <c r="H1138" s="13">
        <f>IFERROR(IF(ABS($G1138)&gt;0,VLOOKUP($E1138,'Fuel Category and Heat Rate'!$B$1:$G$34,6,FALSE)*($G1138),""),"")</f>
        <v>33428182972493.828</v>
      </c>
      <c r="I1138" t="str">
        <f>IFERROR(VLOOKUP($E1138,'Fuel Category and Heat Rate'!$K$2:$M$36,3,FALSE),"")</f>
        <v>heat</v>
      </c>
    </row>
    <row r="1139" spans="1:9" x14ac:dyDescent="0.15">
      <c r="A1139" s="2">
        <v>129477</v>
      </c>
      <c r="B1139" s="2" t="s">
        <v>72</v>
      </c>
      <c r="C1139" s="2">
        <v>2022</v>
      </c>
      <c r="D1139" s="2" t="s">
        <v>1</v>
      </c>
      <c r="E1139" s="2" t="s">
        <v>23</v>
      </c>
      <c r="F1139" s="2" t="s">
        <v>35</v>
      </c>
      <c r="G1139" s="7"/>
      <c r="H1139" s="13" t="str">
        <f>IFERROR(IF(ABS($G1139)&gt;0,VLOOKUP($E1139,'Fuel Category and Heat Rate'!$B$1:$G$34,6,FALSE)*($G1139),""),"")</f>
        <v/>
      </c>
      <c r="I1139" t="str">
        <f>IFERROR(VLOOKUP($E1139,'Fuel Category and Heat Rate'!$K$2:$M$36,3,FALSE),"")</f>
        <v>heavy or residual fuel oil</v>
      </c>
    </row>
    <row r="1140" spans="1:9" x14ac:dyDescent="0.15">
      <c r="A1140" s="2">
        <v>129512</v>
      </c>
      <c r="B1140" s="2" t="s">
        <v>72</v>
      </c>
      <c r="C1140" s="2">
        <v>2022</v>
      </c>
      <c r="D1140" s="2" t="s">
        <v>1</v>
      </c>
      <c r="E1140" s="2" t="s">
        <v>21</v>
      </c>
      <c r="F1140" s="2" t="s">
        <v>35</v>
      </c>
      <c r="G1140" s="7"/>
      <c r="H1140" s="13" t="str">
        <f>IFERROR(IF(ABS($G1140)&gt;0,VLOOKUP($E1140,'Fuel Category and Heat Rate'!$B$1:$G$34,6,FALSE)*($G1140),""),"")</f>
        <v/>
      </c>
      <c r="I1140" t="str">
        <f>IFERROR(VLOOKUP($E1140,'Fuel Category and Heat Rate'!$K$2:$M$36,3,FALSE),"")</f>
        <v>LPG propane or butane</v>
      </c>
    </row>
    <row r="1141" spans="1:9" x14ac:dyDescent="0.15">
      <c r="A1141" s="2">
        <v>129547</v>
      </c>
      <c r="B1141" s="2" t="s">
        <v>72</v>
      </c>
      <c r="C1141" s="2">
        <v>2022</v>
      </c>
      <c r="D1141" s="2" t="s">
        <v>1</v>
      </c>
      <c r="E1141" s="2" t="s">
        <v>22</v>
      </c>
      <c r="F1141" s="2" t="s">
        <v>35</v>
      </c>
      <c r="G1141" s="7"/>
      <c r="H1141" s="13" t="str">
        <f>IFERROR(IF(ABS($G1141)&gt;0,VLOOKUP($E1141,'Fuel Category and Heat Rate'!$B$1:$G$34,6,FALSE)*($G1141),""),"")</f>
        <v/>
      </c>
      <c r="I1141" t="str">
        <f>IFERROR(VLOOKUP($E1141,'Fuel Category and Heat Rate'!$K$2:$M$36,3,FALSE),"")</f>
        <v>heavy fuel oil</v>
      </c>
    </row>
    <row r="1142" spans="1:9" x14ac:dyDescent="0.15">
      <c r="A1142" s="2">
        <v>129582</v>
      </c>
      <c r="B1142" s="2" t="s">
        <v>72</v>
      </c>
      <c r="C1142" s="2">
        <v>2022</v>
      </c>
      <c r="D1142" s="2" t="s">
        <v>1</v>
      </c>
      <c r="E1142" s="2" t="s">
        <v>20</v>
      </c>
      <c r="F1142" s="2" t="s">
        <v>35</v>
      </c>
      <c r="G1142" s="7"/>
      <c r="H1142" s="13" t="str">
        <f>IFERROR(IF(ABS($G1142)&gt;0,VLOOKUP($E1142,'Fuel Category and Heat Rate'!$B$1:$G$34,6,FALSE)*($G1142),""),"")</f>
        <v/>
      </c>
      <c r="I1142" t="str">
        <f>IFERROR(VLOOKUP($E1142,'Fuel Category and Heat Rate'!$K$2:$M$36,3,FALSE),"")</f>
        <v>LPG propane or butane</v>
      </c>
    </row>
    <row r="1143" spans="1:9" x14ac:dyDescent="0.15">
      <c r="A1143" s="2">
        <v>129617</v>
      </c>
      <c r="B1143" s="2" t="s">
        <v>72</v>
      </c>
      <c r="C1143" s="2">
        <v>2022</v>
      </c>
      <c r="D1143" s="2" t="s">
        <v>1</v>
      </c>
      <c r="E1143" s="2" t="s">
        <v>25</v>
      </c>
      <c r="F1143" s="2" t="s">
        <v>35</v>
      </c>
      <c r="G1143" s="7"/>
      <c r="H1143" s="13" t="str">
        <f>IFERROR(IF(ABS($G1143)&gt;0,VLOOKUP($E1143,'Fuel Category and Heat Rate'!$B$1:$G$34,6,FALSE)*($G1143),""),"")</f>
        <v/>
      </c>
      <c r="I1143" t="str">
        <f>IFERROR(VLOOKUP($E1143,'Fuel Category and Heat Rate'!$K$2:$M$36,3,FALSE),"")</f>
        <v>heavy fuel oil</v>
      </c>
    </row>
    <row r="1144" spans="1:9" x14ac:dyDescent="0.15">
      <c r="A1144" s="2">
        <v>129652</v>
      </c>
      <c r="B1144" s="2" t="s">
        <v>72</v>
      </c>
      <c r="C1144" s="2">
        <v>2022</v>
      </c>
      <c r="D1144" s="2" t="s">
        <v>1</v>
      </c>
      <c r="E1144" s="2" t="s">
        <v>24</v>
      </c>
      <c r="F1144" s="2" t="s">
        <v>35</v>
      </c>
      <c r="G1144" s="7"/>
      <c r="H1144" s="13" t="str">
        <f>IFERROR(IF(ABS($G1144)&gt;0,VLOOKUP($E1144,'Fuel Category and Heat Rate'!$B$1:$G$34,6,FALSE)*($G1144),""),"")</f>
        <v/>
      </c>
      <c r="I1144" t="str">
        <f>IFERROR(VLOOKUP($E1144,'Fuel Category and Heat Rate'!$K$2:$M$36,3,FALSE),"")</f>
        <v>heavy fuel oil</v>
      </c>
    </row>
    <row r="1145" spans="1:9" x14ac:dyDescent="0.15">
      <c r="A1145" s="2">
        <v>129687</v>
      </c>
      <c r="B1145" s="2" t="s">
        <v>72</v>
      </c>
      <c r="C1145" s="2">
        <v>2022</v>
      </c>
      <c r="D1145" s="2" t="s">
        <v>1</v>
      </c>
      <c r="E1145" s="2" t="s">
        <v>29</v>
      </c>
      <c r="F1145" s="2" t="s">
        <v>36</v>
      </c>
      <c r="G1145" s="7">
        <v>-10.66</v>
      </c>
      <c r="H1145" s="13">
        <f>IFERROR(IF(ABS($G1145)&gt;0,VLOOKUP($E1145,'Fuel Category and Heat Rate'!$B$1:$G$34,6,FALSE)*($G1145),""),"")</f>
        <v>-35953619896046.266</v>
      </c>
      <c r="I1145" t="str">
        <f>IFERROR(VLOOKUP($E1145,'Fuel Category and Heat Rate'!$K$2:$M$36,3,FALSE),"")</f>
        <v>natural gas</v>
      </c>
    </row>
    <row r="1146" spans="1:9" x14ac:dyDescent="0.15">
      <c r="A1146" s="2">
        <v>129722</v>
      </c>
      <c r="B1146" s="2" t="s">
        <v>72</v>
      </c>
      <c r="C1146" s="2">
        <v>2022</v>
      </c>
      <c r="D1146" s="2" t="s">
        <v>1</v>
      </c>
      <c r="E1146" s="2" t="s">
        <v>4</v>
      </c>
      <c r="F1146" s="2" t="s">
        <v>35</v>
      </c>
      <c r="G1146" s="7"/>
      <c r="H1146" s="13" t="str">
        <f>IFERROR(IF(ABS($G1146)&gt;0,VLOOKUP($E1146,'Fuel Category and Heat Rate'!$B$1:$G$34,6,FALSE)*($G1146),""),"")</f>
        <v/>
      </c>
      <c r="I1146" t="str">
        <f>IFERROR(VLOOKUP($E1146,'Fuel Category and Heat Rate'!$K$2:$M$36,3,FALSE),"")</f>
        <v>coal</v>
      </c>
    </row>
    <row r="1147" spans="1:9" x14ac:dyDescent="0.15">
      <c r="A1147" s="2">
        <v>129757</v>
      </c>
      <c r="B1147" s="2" t="s">
        <v>72</v>
      </c>
      <c r="C1147" s="2">
        <v>2022</v>
      </c>
      <c r="D1147" s="2" t="s">
        <v>1</v>
      </c>
      <c r="E1147" s="2" t="s">
        <v>6</v>
      </c>
      <c r="F1147" s="2" t="s">
        <v>35</v>
      </c>
      <c r="G1147" s="7"/>
      <c r="H1147" s="13" t="str">
        <f>IFERROR(IF(ABS($G1147)&gt;0,VLOOKUP($E1147,'Fuel Category and Heat Rate'!$B$1:$G$34,6,FALSE)*($G1147),""),"")</f>
        <v/>
      </c>
      <c r="I1147" t="str">
        <f>IFERROR(VLOOKUP($E1147,'Fuel Category and Heat Rate'!$K$2:$M$36,3,FALSE),"")</f>
        <v>coal</v>
      </c>
    </row>
    <row r="1148" spans="1:9" x14ac:dyDescent="0.15">
      <c r="A1148" s="2">
        <v>129792</v>
      </c>
      <c r="B1148" s="2" t="s">
        <v>72</v>
      </c>
      <c r="C1148" s="2">
        <v>2022</v>
      </c>
      <c r="D1148" s="2" t="s">
        <v>1</v>
      </c>
      <c r="E1148" s="2" t="s">
        <v>26</v>
      </c>
      <c r="F1148" s="2" t="s">
        <v>35</v>
      </c>
      <c r="G1148" s="7">
        <v>-7.83</v>
      </c>
      <c r="H1148" s="13">
        <f>IFERROR(IF(ABS($G1148)&gt;0,VLOOKUP($E1148,'Fuel Category and Heat Rate'!$B$1:$G$34,6,FALSE)*($G1148),""),"")</f>
        <v>-3723988355687.5215</v>
      </c>
      <c r="I1148" t="str">
        <f>IFERROR(VLOOKUP($E1148,'Fuel Category and Heat Rate'!$K$2:$M$36,3,FALSE),"")</f>
        <v>LPG propane or butane</v>
      </c>
    </row>
    <row r="1149" spans="1:9" x14ac:dyDescent="0.15">
      <c r="A1149" s="2">
        <v>129827</v>
      </c>
      <c r="B1149" s="2" t="s">
        <v>72</v>
      </c>
      <c r="C1149" s="2">
        <v>2022</v>
      </c>
      <c r="D1149" s="2" t="s">
        <v>1</v>
      </c>
      <c r="E1149" s="2" t="s">
        <v>30</v>
      </c>
      <c r="F1149" s="2" t="s">
        <v>35</v>
      </c>
      <c r="G1149" s="7"/>
      <c r="H1149" s="13" t="str">
        <f>IFERROR(IF(ABS($G1149)&gt;0,VLOOKUP($E1149,'Fuel Category and Heat Rate'!$B$1:$G$34,6,FALSE)*($G1149),""),"")</f>
        <v/>
      </c>
      <c r="I1149" t="str">
        <f>IFERROR(VLOOKUP($E1149,'Fuel Category and Heat Rate'!$K$2:$M$36,3,FALSE),"")</f>
        <v>natural gas</v>
      </c>
    </row>
    <row r="1150" spans="1:9" x14ac:dyDescent="0.15">
      <c r="A1150" s="2">
        <v>129862</v>
      </c>
      <c r="B1150" s="2" t="s">
        <v>72</v>
      </c>
      <c r="C1150" s="2">
        <v>2022</v>
      </c>
      <c r="D1150" s="2" t="s">
        <v>1</v>
      </c>
      <c r="E1150" s="2" t="s">
        <v>14</v>
      </c>
      <c r="F1150" s="2" t="s">
        <v>35</v>
      </c>
      <c r="G1150" s="7">
        <v>-8.14</v>
      </c>
      <c r="H1150" s="13">
        <f>IFERROR(IF(ABS($G1150)&gt;0,VLOOKUP($E1150,'Fuel Category and Heat Rate'!$B$1:$G$34,6,FALSE)*($G1150),""),"")</f>
        <v>0</v>
      </c>
      <c r="I1150" t="str">
        <f>IFERROR(VLOOKUP($E1150,'Fuel Category and Heat Rate'!$K$2:$M$36,3,FALSE),"")</f>
        <v/>
      </c>
    </row>
    <row r="1151" spans="1:9" x14ac:dyDescent="0.15">
      <c r="A1151" s="2">
        <v>129897</v>
      </c>
      <c r="B1151" s="2" t="s">
        <v>72</v>
      </c>
      <c r="C1151" s="2">
        <v>2022</v>
      </c>
      <c r="D1151" s="2" t="s">
        <v>1</v>
      </c>
      <c r="E1151" s="2" t="s">
        <v>3</v>
      </c>
      <c r="F1151" s="2" t="s">
        <v>35</v>
      </c>
      <c r="G1151" s="7">
        <v>-88.26</v>
      </c>
      <c r="H1151" s="13">
        <f>IFERROR(IF(ABS($G1151)&gt;0,VLOOKUP($E1151,'Fuel Category and Heat Rate'!$B$1:$G$34,6,FALSE)*($G1151),""),"")</f>
        <v>-17490449249677.162</v>
      </c>
      <c r="I1151" t="str">
        <f>IFERROR(VLOOKUP($E1151,'Fuel Category and Heat Rate'!$K$2:$M$36,3,FALSE),"")</f>
        <v>coal</v>
      </c>
    </row>
    <row r="1152" spans="1:9" x14ac:dyDescent="0.15">
      <c r="A1152" s="2">
        <v>129932</v>
      </c>
      <c r="B1152" s="2" t="s">
        <v>72</v>
      </c>
      <c r="C1152" s="2">
        <v>2022</v>
      </c>
      <c r="D1152" s="2" t="s">
        <v>1</v>
      </c>
      <c r="E1152" s="2" t="s">
        <v>15</v>
      </c>
      <c r="F1152" s="2" t="s">
        <v>35</v>
      </c>
      <c r="G1152" s="7"/>
      <c r="H1152" s="13" t="str">
        <f>IFERROR(IF(ABS($G1152)&gt;0,VLOOKUP($E1152,'Fuel Category and Heat Rate'!$B$1:$G$34,6,FALSE)*($G1152),""),"")</f>
        <v/>
      </c>
      <c r="I1152" t="str">
        <f>IFERROR(VLOOKUP($E1152,'Fuel Category and Heat Rate'!$K$2:$M$36,3,FALSE),"")</f>
        <v>crude oil</v>
      </c>
    </row>
    <row r="1153" spans="1:9" x14ac:dyDescent="0.15">
      <c r="A1153" s="2">
        <v>129967</v>
      </c>
      <c r="B1153" s="2" t="s">
        <v>72</v>
      </c>
      <c r="C1153" s="2">
        <v>2022</v>
      </c>
      <c r="D1153" s="2" t="s">
        <v>1</v>
      </c>
      <c r="E1153" s="2" t="s">
        <v>11</v>
      </c>
      <c r="F1153" s="2" t="s">
        <v>36</v>
      </c>
      <c r="G1153" s="7"/>
      <c r="H1153" s="13" t="str">
        <f>IFERROR(IF(ABS($G1153)&gt;0,VLOOKUP($E1153,'Fuel Category and Heat Rate'!$B$1:$G$34,6,FALSE)*($G1153),""),"")</f>
        <v/>
      </c>
      <c r="I1153" t="str">
        <f>IFERROR(VLOOKUP($E1153,'Fuel Category and Heat Rate'!$K$2:$M$36,3,FALSE),"")</f>
        <v>LPG propane or butane</v>
      </c>
    </row>
    <row r="1154" spans="1:9" x14ac:dyDescent="0.15">
      <c r="A1154" s="2">
        <v>130002</v>
      </c>
      <c r="B1154" s="2" t="s">
        <v>72</v>
      </c>
      <c r="C1154" s="2">
        <v>2021</v>
      </c>
      <c r="D1154" s="2" t="s">
        <v>1</v>
      </c>
      <c r="E1154" s="2" t="s">
        <v>18</v>
      </c>
      <c r="F1154" s="2" t="s">
        <v>35</v>
      </c>
      <c r="G1154" s="7"/>
      <c r="H1154" s="13" t="str">
        <f>IFERROR(IF(ABS($G1154)&gt;0,VLOOKUP($E1154,'Fuel Category and Heat Rate'!$B$1:$G$34,6,FALSE)*($G1154),""),"")</f>
        <v/>
      </c>
      <c r="I1154" t="str">
        <f>IFERROR(VLOOKUP($E1154,'Fuel Category and Heat Rate'!$K$2:$M$36,3,FALSE),"")</f>
        <v>petroleum diesel</v>
      </c>
    </row>
    <row r="1155" spans="1:9" x14ac:dyDescent="0.15">
      <c r="A1155" s="2">
        <v>130037</v>
      </c>
      <c r="B1155" s="2" t="s">
        <v>72</v>
      </c>
      <c r="C1155" s="2">
        <v>2021</v>
      </c>
      <c r="D1155" s="2" t="s">
        <v>1</v>
      </c>
      <c r="E1155" s="2" t="s">
        <v>32</v>
      </c>
      <c r="F1155" s="2" t="s">
        <v>65</v>
      </c>
      <c r="G1155" s="7"/>
      <c r="H1155" s="13" t="str">
        <f>IFERROR(IF(ABS($G1155)&gt;0,VLOOKUP($E1155,'Fuel Category and Heat Rate'!$B$1:$G$34,6,FALSE)*($G1155),""),"")</f>
        <v/>
      </c>
      <c r="I1155" t="str">
        <f>IFERROR(VLOOKUP($E1155,'Fuel Category and Heat Rate'!$K$2:$M$36,3,FALSE),"")</f>
        <v>electricity</v>
      </c>
    </row>
    <row r="1156" spans="1:9" x14ac:dyDescent="0.15">
      <c r="A1156" s="2">
        <v>130072</v>
      </c>
      <c r="B1156" s="2" t="s">
        <v>72</v>
      </c>
      <c r="C1156" s="2">
        <v>2021</v>
      </c>
      <c r="D1156" s="2" t="s">
        <v>1</v>
      </c>
      <c r="E1156" s="2" t="s">
        <v>10</v>
      </c>
      <c r="F1156" s="2" t="s">
        <v>36</v>
      </c>
      <c r="G1156" s="7"/>
      <c r="H1156" s="13" t="str">
        <f>IFERROR(IF(ABS($G1156)&gt;0,VLOOKUP($E1156,'Fuel Category and Heat Rate'!$B$1:$G$34,6,FALSE)*($G1156),""),"")</f>
        <v/>
      </c>
      <c r="I1156" t="str">
        <f>IFERROR(VLOOKUP($E1156,'Fuel Category and Heat Rate'!$K$2:$M$36,3,FALSE),"")</f>
        <v>LPG propane or butane</v>
      </c>
    </row>
    <row r="1157" spans="1:9" x14ac:dyDescent="0.15">
      <c r="A1157" s="2">
        <v>130107</v>
      </c>
      <c r="B1157" s="2" t="s">
        <v>72</v>
      </c>
      <c r="C1157" s="2">
        <v>2021</v>
      </c>
      <c r="D1157" s="2" t="s">
        <v>1</v>
      </c>
      <c r="E1157" s="2" t="s">
        <v>9</v>
      </c>
      <c r="F1157" s="2" t="s">
        <v>36</v>
      </c>
      <c r="G1157" s="7"/>
      <c r="H1157" s="13" t="str">
        <f>IFERROR(IF(ABS($G1157)&gt;0,VLOOKUP($E1157,'Fuel Category and Heat Rate'!$B$1:$G$34,6,FALSE)*($G1157),""),"")</f>
        <v/>
      </c>
      <c r="I1157" t="str">
        <f>IFERROR(VLOOKUP($E1157,'Fuel Category and Heat Rate'!$K$2:$M$36,3,FALSE),"")</f>
        <v>LPG propane or butane</v>
      </c>
    </row>
    <row r="1158" spans="1:9" x14ac:dyDescent="0.15">
      <c r="A1158" s="2">
        <v>130142</v>
      </c>
      <c r="B1158" s="2" t="s">
        <v>72</v>
      </c>
      <c r="C1158" s="2">
        <v>2021</v>
      </c>
      <c r="D1158" s="2" t="s">
        <v>1</v>
      </c>
      <c r="E1158" s="2" t="s">
        <v>8</v>
      </c>
      <c r="F1158" s="2" t="s">
        <v>35</v>
      </c>
      <c r="G1158" s="7"/>
      <c r="H1158" s="13" t="str">
        <f>IFERROR(IF(ABS($G1158)&gt;0,VLOOKUP($E1158,'Fuel Category and Heat Rate'!$B$1:$G$34,6,FALSE)*($G1158),""),"")</f>
        <v/>
      </c>
      <c r="I1158" t="str">
        <f>IFERROR(VLOOKUP($E1158,'Fuel Category and Heat Rate'!$K$2:$M$36,3,FALSE),"")</f>
        <v>coal</v>
      </c>
    </row>
    <row r="1159" spans="1:9" x14ac:dyDescent="0.15">
      <c r="A1159" s="2">
        <v>130177</v>
      </c>
      <c r="B1159" s="2" t="s">
        <v>72</v>
      </c>
      <c r="C1159" s="2">
        <v>2021</v>
      </c>
      <c r="D1159" s="2" t="s">
        <v>1</v>
      </c>
      <c r="E1159" s="2" t="s">
        <v>27</v>
      </c>
      <c r="F1159" s="2" t="s">
        <v>35</v>
      </c>
      <c r="G1159" s="7">
        <v>-3.68</v>
      </c>
      <c r="H1159" s="13">
        <f>IFERROR(IF(ABS($G1159)&gt;0,VLOOKUP($E1159,'Fuel Category and Heat Rate'!$B$1:$G$34,6,FALSE)*($G1159),""),"")</f>
        <v>-1604395065910.4919</v>
      </c>
      <c r="I1159" t="str">
        <f>IFERROR(VLOOKUP($E1159,'Fuel Category and Heat Rate'!$K$2:$M$36,3,FALSE),"")</f>
        <v>LPG propane or butane</v>
      </c>
    </row>
    <row r="1160" spans="1:9" x14ac:dyDescent="0.15">
      <c r="A1160" s="2">
        <v>130212</v>
      </c>
      <c r="B1160" s="2" t="s">
        <v>72</v>
      </c>
      <c r="C1160" s="2">
        <v>2021</v>
      </c>
      <c r="D1160" s="2" t="s">
        <v>1</v>
      </c>
      <c r="E1160" s="2" t="s">
        <v>7</v>
      </c>
      <c r="F1160" s="2" t="s">
        <v>35</v>
      </c>
      <c r="G1160" s="7"/>
      <c r="H1160" s="13" t="str">
        <f>IFERROR(IF(ABS($G1160)&gt;0,VLOOKUP($E1160,'Fuel Category and Heat Rate'!$B$1:$G$34,6,FALSE)*($G1160),""),"")</f>
        <v/>
      </c>
      <c r="I1160" t="str">
        <f>IFERROR(VLOOKUP($E1160,'Fuel Category and Heat Rate'!$K$2:$M$36,3,FALSE),"")</f>
        <v>coal</v>
      </c>
    </row>
    <row r="1161" spans="1:9" x14ac:dyDescent="0.15">
      <c r="A1161" s="2">
        <v>130247</v>
      </c>
      <c r="B1161" s="2" t="s">
        <v>72</v>
      </c>
      <c r="C1161" s="2">
        <v>2021</v>
      </c>
      <c r="D1161" s="2" t="s">
        <v>1</v>
      </c>
      <c r="E1161" s="2" t="s">
        <v>2</v>
      </c>
      <c r="F1161" s="2" t="s">
        <v>35</v>
      </c>
      <c r="G1161" s="7">
        <v>-53.67</v>
      </c>
      <c r="H1161" s="13">
        <f>IFERROR(IF(ABS($G1161)&gt;0,VLOOKUP($E1161,'Fuel Category and Heat Rate'!$B$1:$G$34,6,FALSE)*($G1161),""),"")</f>
        <v>0</v>
      </c>
      <c r="I1161" t="str">
        <f>IFERROR(VLOOKUP($E1161,'Fuel Category and Heat Rate'!$K$2:$M$36,3,FALSE),"")</f>
        <v/>
      </c>
    </row>
    <row r="1162" spans="1:9" x14ac:dyDescent="0.15">
      <c r="A1162" s="2">
        <v>130282</v>
      </c>
      <c r="B1162" s="2" t="s">
        <v>72</v>
      </c>
      <c r="C1162" s="2">
        <v>2021</v>
      </c>
      <c r="D1162" s="2" t="s">
        <v>1</v>
      </c>
      <c r="E1162" s="2" t="s">
        <v>17</v>
      </c>
      <c r="F1162" s="2" t="s">
        <v>35</v>
      </c>
      <c r="G1162" s="7"/>
      <c r="H1162" s="13" t="str">
        <f>IFERROR(IF(ABS($G1162)&gt;0,VLOOKUP($E1162,'Fuel Category and Heat Rate'!$B$1:$G$34,6,FALSE)*($G1162),""),"")</f>
        <v/>
      </c>
      <c r="I1162" t="str">
        <f>IFERROR(VLOOKUP($E1162,'Fuel Category and Heat Rate'!$K$2:$M$36,3,FALSE),"")</f>
        <v>petroleum diesel</v>
      </c>
    </row>
    <row r="1163" spans="1:9" x14ac:dyDescent="0.15">
      <c r="A1163" s="2">
        <v>130317</v>
      </c>
      <c r="B1163" s="2" t="s">
        <v>72</v>
      </c>
      <c r="C1163" s="2">
        <v>2021</v>
      </c>
      <c r="D1163" s="2" t="s">
        <v>1</v>
      </c>
      <c r="E1163" s="2" t="s">
        <v>13</v>
      </c>
      <c r="F1163" s="2" t="s">
        <v>35</v>
      </c>
      <c r="G1163" s="7"/>
      <c r="H1163" s="13" t="str">
        <f>IFERROR(IF(ABS($G1163)&gt;0,VLOOKUP($E1163,'Fuel Category and Heat Rate'!$B$1:$G$34,6,FALSE)*($G1163),""),"")</f>
        <v/>
      </c>
      <c r="I1163" t="str">
        <f>IFERROR(VLOOKUP($E1163,'Fuel Category and Heat Rate'!$K$2:$M$36,3,FALSE),"")</f>
        <v>petroleum diesel</v>
      </c>
    </row>
    <row r="1164" spans="1:9" x14ac:dyDescent="0.15">
      <c r="A1164" s="2">
        <v>130352</v>
      </c>
      <c r="B1164" s="2" t="s">
        <v>72</v>
      </c>
      <c r="C1164" s="2">
        <v>2021</v>
      </c>
      <c r="D1164" s="2" t="s">
        <v>1</v>
      </c>
      <c r="E1164" s="2" t="s">
        <v>12</v>
      </c>
      <c r="F1164" s="2" t="s">
        <v>36</v>
      </c>
      <c r="G1164" s="7"/>
      <c r="H1164" s="13" t="str">
        <f>IFERROR(IF(ABS($G1164)&gt;0,VLOOKUP($E1164,'Fuel Category and Heat Rate'!$B$1:$G$34,6,FALSE)*($G1164),""),"")</f>
        <v/>
      </c>
      <c r="I1164" t="str">
        <f>IFERROR(VLOOKUP($E1164,'Fuel Category and Heat Rate'!$K$2:$M$36,3,FALSE),"")</f>
        <v>LPG propane or butane</v>
      </c>
    </row>
    <row r="1165" spans="1:9" x14ac:dyDescent="0.15">
      <c r="A1165" s="2">
        <v>130387</v>
      </c>
      <c r="B1165" s="2" t="s">
        <v>72</v>
      </c>
      <c r="C1165" s="2">
        <v>2021</v>
      </c>
      <c r="D1165" s="2" t="s">
        <v>1</v>
      </c>
      <c r="E1165" s="2" t="s">
        <v>33</v>
      </c>
      <c r="F1165" s="2" t="s">
        <v>38</v>
      </c>
      <c r="G1165" s="7">
        <v>-1.48</v>
      </c>
      <c r="H1165" s="13">
        <f>IFERROR(IF(ABS($G1165)&gt;0,VLOOKUP($E1165,'Fuel Category and Heat Rate'!$B$1:$G$34,6,FALSE)*($G1165),""),"")</f>
        <v>-410604613964.27496</v>
      </c>
      <c r="I1165" t="str">
        <f>IFERROR(VLOOKUP($E1165,'Fuel Category and Heat Rate'!$K$2:$M$36,3,FALSE),"")</f>
        <v>biomass</v>
      </c>
    </row>
    <row r="1166" spans="1:9" x14ac:dyDescent="0.15">
      <c r="A1166" s="2">
        <v>130422</v>
      </c>
      <c r="B1166" s="2" t="s">
        <v>72</v>
      </c>
      <c r="C1166" s="2">
        <v>2021</v>
      </c>
      <c r="D1166" s="2" t="s">
        <v>1</v>
      </c>
      <c r="E1166" s="2" t="s">
        <v>28</v>
      </c>
      <c r="F1166" s="2" t="s">
        <v>35</v>
      </c>
      <c r="G1166" s="7"/>
      <c r="H1166" s="13" t="str">
        <f>IFERROR(IF(ABS($G1166)&gt;0,VLOOKUP($E1166,'Fuel Category and Heat Rate'!$B$1:$G$34,6,FALSE)*($G1166),""),"")</f>
        <v/>
      </c>
      <c r="I1166" t="str">
        <f>IFERROR(VLOOKUP($E1166,'Fuel Category and Heat Rate'!$K$2:$M$36,3,FALSE),"")</f>
        <v>heavy or residual fuel oil</v>
      </c>
    </row>
    <row r="1167" spans="1:9" x14ac:dyDescent="0.15">
      <c r="A1167" s="2">
        <v>130457</v>
      </c>
      <c r="B1167" s="2" t="s">
        <v>72</v>
      </c>
      <c r="C1167" s="2">
        <v>2021</v>
      </c>
      <c r="D1167" s="2" t="s">
        <v>1</v>
      </c>
      <c r="E1167" s="2" t="s">
        <v>5</v>
      </c>
      <c r="F1167" s="2" t="s">
        <v>35</v>
      </c>
      <c r="G1167" s="7"/>
      <c r="H1167" s="13" t="str">
        <f>IFERROR(IF(ABS($G1167)&gt;0,VLOOKUP($E1167,'Fuel Category and Heat Rate'!$B$1:$G$34,6,FALSE)*($G1167),""),"")</f>
        <v/>
      </c>
      <c r="I1167" t="str">
        <f>IFERROR(VLOOKUP($E1167,'Fuel Category and Heat Rate'!$K$2:$M$36,3,FALSE),"")</f>
        <v>coal</v>
      </c>
    </row>
    <row r="1168" spans="1:9" x14ac:dyDescent="0.15">
      <c r="A1168" s="2">
        <v>130492</v>
      </c>
      <c r="B1168" s="2" t="s">
        <v>72</v>
      </c>
      <c r="C1168" s="2">
        <v>2021</v>
      </c>
      <c r="D1168" s="2" t="s">
        <v>1</v>
      </c>
      <c r="E1168" s="2" t="s">
        <v>16</v>
      </c>
      <c r="F1168" s="2" t="s">
        <v>35</v>
      </c>
      <c r="G1168" s="7"/>
      <c r="H1168" s="13" t="str">
        <f>IFERROR(IF(ABS($G1168)&gt;0,VLOOKUP($E1168,'Fuel Category and Heat Rate'!$B$1:$G$34,6,FALSE)*($G1168),""),"")</f>
        <v/>
      </c>
      <c r="I1168" t="str">
        <f>IFERROR(VLOOKUP($E1168,'Fuel Category and Heat Rate'!$K$2:$M$36,3,FALSE),"")</f>
        <v>petroleum diesel</v>
      </c>
    </row>
    <row r="1169" spans="1:9" x14ac:dyDescent="0.15">
      <c r="A1169" s="2">
        <v>130527</v>
      </c>
      <c r="B1169" s="2" t="s">
        <v>72</v>
      </c>
      <c r="C1169" s="2">
        <v>2021</v>
      </c>
      <c r="D1169" s="2" t="s">
        <v>1</v>
      </c>
      <c r="E1169" s="2" t="s">
        <v>19</v>
      </c>
      <c r="F1169" s="2" t="s">
        <v>35</v>
      </c>
      <c r="G1169" s="7"/>
      <c r="H1169" s="13" t="str">
        <f>IFERROR(IF(ABS($G1169)&gt;0,VLOOKUP($E1169,'Fuel Category and Heat Rate'!$B$1:$G$34,6,FALSE)*($G1169),""),"")</f>
        <v/>
      </c>
      <c r="I1169" t="str">
        <f>IFERROR(VLOOKUP($E1169,'Fuel Category and Heat Rate'!$K$2:$M$36,3,FALSE),"")</f>
        <v>heavy or residual fuel oil</v>
      </c>
    </row>
    <row r="1170" spans="1:9" x14ac:dyDescent="0.15">
      <c r="A1170" s="2">
        <v>130562</v>
      </c>
      <c r="B1170" s="2" t="s">
        <v>72</v>
      </c>
      <c r="C1170" s="2">
        <v>2021</v>
      </c>
      <c r="D1170" s="2" t="s">
        <v>1</v>
      </c>
      <c r="E1170" s="2" t="s">
        <v>31</v>
      </c>
      <c r="F1170" s="2" t="s">
        <v>37</v>
      </c>
      <c r="G1170" s="7">
        <v>2992.08</v>
      </c>
      <c r="H1170" s="13">
        <f>IFERROR(IF(ABS($G1170)&gt;0,VLOOKUP($E1170,'Fuel Category and Heat Rate'!$B$1:$G$34,6,FALSE)*($G1170),""),"")</f>
        <v>28359446563895.172</v>
      </c>
      <c r="I1170" t="str">
        <f>IFERROR(VLOOKUP($E1170,'Fuel Category and Heat Rate'!$K$2:$M$36,3,FALSE),"")</f>
        <v>heat</v>
      </c>
    </row>
    <row r="1171" spans="1:9" x14ac:dyDescent="0.15">
      <c r="A1171" s="2">
        <v>130597</v>
      </c>
      <c r="B1171" s="2" t="s">
        <v>72</v>
      </c>
      <c r="C1171" s="2">
        <v>2021</v>
      </c>
      <c r="D1171" s="2" t="s">
        <v>1</v>
      </c>
      <c r="E1171" s="2" t="s">
        <v>23</v>
      </c>
      <c r="F1171" s="2" t="s">
        <v>35</v>
      </c>
      <c r="G1171" s="7"/>
      <c r="H1171" s="13" t="str">
        <f>IFERROR(IF(ABS($G1171)&gt;0,VLOOKUP($E1171,'Fuel Category and Heat Rate'!$B$1:$G$34,6,FALSE)*($G1171),""),"")</f>
        <v/>
      </c>
      <c r="I1171" t="str">
        <f>IFERROR(VLOOKUP($E1171,'Fuel Category and Heat Rate'!$K$2:$M$36,3,FALSE),"")</f>
        <v>heavy or residual fuel oil</v>
      </c>
    </row>
    <row r="1172" spans="1:9" x14ac:dyDescent="0.15">
      <c r="A1172" s="2">
        <v>130632</v>
      </c>
      <c r="B1172" s="2" t="s">
        <v>72</v>
      </c>
      <c r="C1172" s="2">
        <v>2021</v>
      </c>
      <c r="D1172" s="2" t="s">
        <v>1</v>
      </c>
      <c r="E1172" s="2" t="s">
        <v>21</v>
      </c>
      <c r="F1172" s="2" t="s">
        <v>35</v>
      </c>
      <c r="G1172" s="7"/>
      <c r="H1172" s="13" t="str">
        <f>IFERROR(IF(ABS($G1172)&gt;0,VLOOKUP($E1172,'Fuel Category and Heat Rate'!$B$1:$G$34,6,FALSE)*($G1172),""),"")</f>
        <v/>
      </c>
      <c r="I1172" t="str">
        <f>IFERROR(VLOOKUP($E1172,'Fuel Category and Heat Rate'!$K$2:$M$36,3,FALSE),"")</f>
        <v>LPG propane or butane</v>
      </c>
    </row>
    <row r="1173" spans="1:9" x14ac:dyDescent="0.15">
      <c r="A1173" s="2">
        <v>130667</v>
      </c>
      <c r="B1173" s="2" t="s">
        <v>72</v>
      </c>
      <c r="C1173" s="2">
        <v>2021</v>
      </c>
      <c r="D1173" s="2" t="s">
        <v>1</v>
      </c>
      <c r="E1173" s="2" t="s">
        <v>22</v>
      </c>
      <c r="F1173" s="2" t="s">
        <v>35</v>
      </c>
      <c r="G1173" s="7"/>
      <c r="H1173" s="13" t="str">
        <f>IFERROR(IF(ABS($G1173)&gt;0,VLOOKUP($E1173,'Fuel Category and Heat Rate'!$B$1:$G$34,6,FALSE)*($G1173),""),"")</f>
        <v/>
      </c>
      <c r="I1173" t="str">
        <f>IFERROR(VLOOKUP($E1173,'Fuel Category and Heat Rate'!$K$2:$M$36,3,FALSE),"")</f>
        <v>heavy fuel oil</v>
      </c>
    </row>
    <row r="1174" spans="1:9" x14ac:dyDescent="0.15">
      <c r="A1174" s="2">
        <v>130702</v>
      </c>
      <c r="B1174" s="2" t="s">
        <v>72</v>
      </c>
      <c r="C1174" s="2">
        <v>2021</v>
      </c>
      <c r="D1174" s="2" t="s">
        <v>1</v>
      </c>
      <c r="E1174" s="2" t="s">
        <v>20</v>
      </c>
      <c r="F1174" s="2" t="s">
        <v>35</v>
      </c>
      <c r="G1174" s="7"/>
      <c r="H1174" s="13" t="str">
        <f>IFERROR(IF(ABS($G1174)&gt;0,VLOOKUP($E1174,'Fuel Category and Heat Rate'!$B$1:$G$34,6,FALSE)*($G1174),""),"")</f>
        <v/>
      </c>
      <c r="I1174" t="str">
        <f>IFERROR(VLOOKUP($E1174,'Fuel Category and Heat Rate'!$K$2:$M$36,3,FALSE),"")</f>
        <v>LPG propane or butane</v>
      </c>
    </row>
    <row r="1175" spans="1:9" x14ac:dyDescent="0.15">
      <c r="A1175" s="2">
        <v>130737</v>
      </c>
      <c r="B1175" s="2" t="s">
        <v>72</v>
      </c>
      <c r="C1175" s="2">
        <v>2021</v>
      </c>
      <c r="D1175" s="2" t="s">
        <v>1</v>
      </c>
      <c r="E1175" s="2" t="s">
        <v>25</v>
      </c>
      <c r="F1175" s="2" t="s">
        <v>35</v>
      </c>
      <c r="G1175" s="7"/>
      <c r="H1175" s="13" t="str">
        <f>IFERROR(IF(ABS($G1175)&gt;0,VLOOKUP($E1175,'Fuel Category and Heat Rate'!$B$1:$G$34,6,FALSE)*($G1175),""),"")</f>
        <v/>
      </c>
      <c r="I1175" t="str">
        <f>IFERROR(VLOOKUP($E1175,'Fuel Category and Heat Rate'!$K$2:$M$36,3,FALSE),"")</f>
        <v>heavy fuel oil</v>
      </c>
    </row>
    <row r="1176" spans="1:9" x14ac:dyDescent="0.15">
      <c r="A1176" s="2">
        <v>130772</v>
      </c>
      <c r="B1176" s="2" t="s">
        <v>72</v>
      </c>
      <c r="C1176" s="2">
        <v>2021</v>
      </c>
      <c r="D1176" s="2" t="s">
        <v>1</v>
      </c>
      <c r="E1176" s="2" t="s">
        <v>24</v>
      </c>
      <c r="F1176" s="2" t="s">
        <v>35</v>
      </c>
      <c r="G1176" s="7"/>
      <c r="H1176" s="13" t="str">
        <f>IFERROR(IF(ABS($G1176)&gt;0,VLOOKUP($E1176,'Fuel Category and Heat Rate'!$B$1:$G$34,6,FALSE)*($G1176),""),"")</f>
        <v/>
      </c>
      <c r="I1176" t="str">
        <f>IFERROR(VLOOKUP($E1176,'Fuel Category and Heat Rate'!$K$2:$M$36,3,FALSE),"")</f>
        <v>heavy fuel oil</v>
      </c>
    </row>
    <row r="1177" spans="1:9" x14ac:dyDescent="0.15">
      <c r="A1177" s="2">
        <v>130807</v>
      </c>
      <c r="B1177" s="2" t="s">
        <v>72</v>
      </c>
      <c r="C1177" s="2">
        <v>2021</v>
      </c>
      <c r="D1177" s="2" t="s">
        <v>1</v>
      </c>
      <c r="E1177" s="2" t="s">
        <v>29</v>
      </c>
      <c r="F1177" s="2" t="s">
        <v>36</v>
      </c>
      <c r="G1177" s="7">
        <v>-10.28</v>
      </c>
      <c r="H1177" s="13">
        <f>IFERROR(IF(ABS($G1177)&gt;0,VLOOKUP($E1177,'Fuel Category and Heat Rate'!$B$1:$G$34,6,FALSE)*($G1177),""),"")</f>
        <v>-34671971156787.574</v>
      </c>
      <c r="I1177" t="str">
        <f>IFERROR(VLOOKUP($E1177,'Fuel Category and Heat Rate'!$K$2:$M$36,3,FALSE),"")</f>
        <v>natural gas</v>
      </c>
    </row>
    <row r="1178" spans="1:9" x14ac:dyDescent="0.15">
      <c r="A1178" s="2">
        <v>130842</v>
      </c>
      <c r="B1178" s="2" t="s">
        <v>72</v>
      </c>
      <c r="C1178" s="2">
        <v>2021</v>
      </c>
      <c r="D1178" s="2" t="s">
        <v>1</v>
      </c>
      <c r="E1178" s="2" t="s">
        <v>4</v>
      </c>
      <c r="F1178" s="2" t="s">
        <v>35</v>
      </c>
      <c r="G1178" s="7"/>
      <c r="H1178" s="13" t="str">
        <f>IFERROR(IF(ABS($G1178)&gt;0,VLOOKUP($E1178,'Fuel Category and Heat Rate'!$B$1:$G$34,6,FALSE)*($G1178),""),"")</f>
        <v/>
      </c>
      <c r="I1178" t="str">
        <f>IFERROR(VLOOKUP($E1178,'Fuel Category and Heat Rate'!$K$2:$M$36,3,FALSE),"")</f>
        <v>coal</v>
      </c>
    </row>
    <row r="1179" spans="1:9" x14ac:dyDescent="0.15">
      <c r="A1179" s="2">
        <v>130877</v>
      </c>
      <c r="B1179" s="2" t="s">
        <v>72</v>
      </c>
      <c r="C1179" s="2">
        <v>2021</v>
      </c>
      <c r="D1179" s="2" t="s">
        <v>1</v>
      </c>
      <c r="E1179" s="2" t="s">
        <v>6</v>
      </c>
      <c r="F1179" s="2" t="s">
        <v>35</v>
      </c>
      <c r="G1179" s="7"/>
      <c r="H1179" s="13" t="str">
        <f>IFERROR(IF(ABS($G1179)&gt;0,VLOOKUP($E1179,'Fuel Category and Heat Rate'!$B$1:$G$34,6,FALSE)*($G1179),""),"")</f>
        <v/>
      </c>
      <c r="I1179" t="str">
        <f>IFERROR(VLOOKUP($E1179,'Fuel Category and Heat Rate'!$K$2:$M$36,3,FALSE),"")</f>
        <v>coal</v>
      </c>
    </row>
    <row r="1180" spans="1:9" x14ac:dyDescent="0.15">
      <c r="A1180" s="2">
        <v>130912</v>
      </c>
      <c r="B1180" s="2" t="s">
        <v>72</v>
      </c>
      <c r="C1180" s="2">
        <v>2021</v>
      </c>
      <c r="D1180" s="2" t="s">
        <v>1</v>
      </c>
      <c r="E1180" s="2" t="s">
        <v>26</v>
      </c>
      <c r="F1180" s="2" t="s">
        <v>35</v>
      </c>
      <c r="G1180" s="7">
        <v>-4.46</v>
      </c>
      <c r="H1180" s="13">
        <f>IFERROR(IF(ABS($G1180)&gt;0,VLOOKUP($E1180,'Fuel Category and Heat Rate'!$B$1:$G$34,6,FALSE)*($G1180),""),"")</f>
        <v>-2121198986764.5396</v>
      </c>
      <c r="I1180" t="str">
        <f>IFERROR(VLOOKUP($E1180,'Fuel Category and Heat Rate'!$K$2:$M$36,3,FALSE),"")</f>
        <v>LPG propane or butane</v>
      </c>
    </row>
    <row r="1181" spans="1:9" x14ac:dyDescent="0.15">
      <c r="A1181" s="2">
        <v>130947</v>
      </c>
      <c r="B1181" s="2" t="s">
        <v>72</v>
      </c>
      <c r="C1181" s="2">
        <v>2021</v>
      </c>
      <c r="D1181" s="2" t="s">
        <v>1</v>
      </c>
      <c r="E1181" s="2" t="s">
        <v>30</v>
      </c>
      <c r="F1181" s="2" t="s">
        <v>35</v>
      </c>
      <c r="G1181" s="7"/>
      <c r="H1181" s="13" t="str">
        <f>IFERROR(IF(ABS($G1181)&gt;0,VLOOKUP($E1181,'Fuel Category and Heat Rate'!$B$1:$G$34,6,FALSE)*($G1181),""),"")</f>
        <v/>
      </c>
      <c r="I1181" t="str">
        <f>IFERROR(VLOOKUP($E1181,'Fuel Category and Heat Rate'!$K$2:$M$36,3,FALSE),"")</f>
        <v>natural gas</v>
      </c>
    </row>
    <row r="1182" spans="1:9" x14ac:dyDescent="0.15">
      <c r="A1182" s="2">
        <v>130982</v>
      </c>
      <c r="B1182" s="2" t="s">
        <v>72</v>
      </c>
      <c r="C1182" s="2">
        <v>2021</v>
      </c>
      <c r="D1182" s="2" t="s">
        <v>1</v>
      </c>
      <c r="E1182" s="2" t="s">
        <v>14</v>
      </c>
      <c r="F1182" s="2" t="s">
        <v>35</v>
      </c>
      <c r="G1182" s="7">
        <v>-8.14</v>
      </c>
      <c r="H1182" s="13">
        <f>IFERROR(IF(ABS($G1182)&gt;0,VLOOKUP($E1182,'Fuel Category and Heat Rate'!$B$1:$G$34,6,FALSE)*($G1182),""),"")</f>
        <v>0</v>
      </c>
      <c r="I1182" t="str">
        <f>IFERROR(VLOOKUP($E1182,'Fuel Category and Heat Rate'!$K$2:$M$36,3,FALSE),"")</f>
        <v/>
      </c>
    </row>
    <row r="1183" spans="1:9" x14ac:dyDescent="0.15">
      <c r="A1183" s="2">
        <v>131017</v>
      </c>
      <c r="B1183" s="2" t="s">
        <v>72</v>
      </c>
      <c r="C1183" s="2">
        <v>2021</v>
      </c>
      <c r="D1183" s="2" t="s">
        <v>1</v>
      </c>
      <c r="E1183" s="2" t="s">
        <v>3</v>
      </c>
      <c r="F1183" s="2" t="s">
        <v>35</v>
      </c>
      <c r="G1183" s="7">
        <v>-53.67</v>
      </c>
      <c r="H1183" s="13">
        <f>IFERROR(IF(ABS($G1183)&gt;0,VLOOKUP($E1183,'Fuel Category and Heat Rate'!$B$1:$G$34,6,FALSE)*($G1183),""),"")</f>
        <v>-10635762647067.451</v>
      </c>
      <c r="I1183" t="str">
        <f>IFERROR(VLOOKUP($E1183,'Fuel Category and Heat Rate'!$K$2:$M$36,3,FALSE),"")</f>
        <v>coal</v>
      </c>
    </row>
    <row r="1184" spans="1:9" x14ac:dyDescent="0.15">
      <c r="A1184" s="2">
        <v>131052</v>
      </c>
      <c r="B1184" s="2" t="s">
        <v>72</v>
      </c>
      <c r="C1184" s="2">
        <v>2021</v>
      </c>
      <c r="D1184" s="2" t="s">
        <v>1</v>
      </c>
      <c r="E1184" s="2" t="s">
        <v>15</v>
      </c>
      <c r="F1184" s="2" t="s">
        <v>35</v>
      </c>
      <c r="G1184" s="7"/>
      <c r="H1184" s="13" t="str">
        <f>IFERROR(IF(ABS($G1184)&gt;0,VLOOKUP($E1184,'Fuel Category and Heat Rate'!$B$1:$G$34,6,FALSE)*($G1184),""),"")</f>
        <v/>
      </c>
      <c r="I1184" t="str">
        <f>IFERROR(VLOOKUP($E1184,'Fuel Category and Heat Rate'!$K$2:$M$36,3,FALSE),"")</f>
        <v>crude oil</v>
      </c>
    </row>
    <row r="1185" spans="1:9" x14ac:dyDescent="0.15">
      <c r="A1185" s="2">
        <v>131087</v>
      </c>
      <c r="B1185" s="2" t="s">
        <v>72</v>
      </c>
      <c r="C1185" s="2">
        <v>2021</v>
      </c>
      <c r="D1185" s="2" t="s">
        <v>1</v>
      </c>
      <c r="E1185" s="2" t="s">
        <v>11</v>
      </c>
      <c r="F1185" s="2" t="s">
        <v>36</v>
      </c>
      <c r="G1185" s="7"/>
      <c r="H1185" s="13" t="str">
        <f>IFERROR(IF(ABS($G1185)&gt;0,VLOOKUP($E1185,'Fuel Category and Heat Rate'!$B$1:$G$34,6,FALSE)*($G1185),""),"")</f>
        <v/>
      </c>
      <c r="I1185" t="str">
        <f>IFERROR(VLOOKUP($E1185,'Fuel Category and Heat Rate'!$K$2:$M$36,3,FALSE),"")</f>
        <v>LPG propane or butane</v>
      </c>
    </row>
    <row r="1186" spans="1:9" x14ac:dyDescent="0.15">
      <c r="A1186" s="2">
        <v>131122</v>
      </c>
      <c r="B1186" s="2" t="s">
        <v>72</v>
      </c>
      <c r="C1186" s="2">
        <v>2020</v>
      </c>
      <c r="D1186" s="2" t="s">
        <v>1</v>
      </c>
      <c r="E1186" s="2" t="s">
        <v>18</v>
      </c>
      <c r="F1186" s="2" t="s">
        <v>35</v>
      </c>
      <c r="G1186" s="7"/>
      <c r="H1186" s="13" t="str">
        <f>IFERROR(IF(ABS($G1186)&gt;0,VLOOKUP($E1186,'Fuel Category and Heat Rate'!$B$1:$G$34,6,FALSE)*($G1186),""),"")</f>
        <v/>
      </c>
      <c r="I1186" t="str">
        <f>IFERROR(VLOOKUP($E1186,'Fuel Category and Heat Rate'!$K$2:$M$36,3,FALSE),"")</f>
        <v>petroleum diesel</v>
      </c>
    </row>
    <row r="1187" spans="1:9" x14ac:dyDescent="0.15">
      <c r="A1187" s="2">
        <v>131157</v>
      </c>
      <c r="B1187" s="2" t="s">
        <v>72</v>
      </c>
      <c r="C1187" s="2">
        <v>2020</v>
      </c>
      <c r="D1187" s="2" t="s">
        <v>1</v>
      </c>
      <c r="E1187" s="2" t="s">
        <v>32</v>
      </c>
      <c r="F1187" s="2" t="s">
        <v>65</v>
      </c>
      <c r="G1187" s="7"/>
      <c r="H1187" s="13" t="str">
        <f>IFERROR(IF(ABS($G1187)&gt;0,VLOOKUP($E1187,'Fuel Category and Heat Rate'!$B$1:$G$34,6,FALSE)*($G1187),""),"")</f>
        <v/>
      </c>
      <c r="I1187" t="str">
        <f>IFERROR(VLOOKUP($E1187,'Fuel Category and Heat Rate'!$K$2:$M$36,3,FALSE),"")</f>
        <v>electricity</v>
      </c>
    </row>
    <row r="1188" spans="1:9" x14ac:dyDescent="0.15">
      <c r="A1188" s="2">
        <v>131192</v>
      </c>
      <c r="B1188" s="2" t="s">
        <v>72</v>
      </c>
      <c r="C1188" s="2">
        <v>2020</v>
      </c>
      <c r="D1188" s="2" t="s">
        <v>1</v>
      </c>
      <c r="E1188" s="2" t="s">
        <v>10</v>
      </c>
      <c r="F1188" s="2" t="s">
        <v>36</v>
      </c>
      <c r="G1188" s="7"/>
      <c r="H1188" s="13" t="str">
        <f>IFERROR(IF(ABS($G1188)&gt;0,VLOOKUP($E1188,'Fuel Category and Heat Rate'!$B$1:$G$34,6,FALSE)*($G1188),""),"")</f>
        <v/>
      </c>
      <c r="I1188" t="str">
        <f>IFERROR(VLOOKUP($E1188,'Fuel Category and Heat Rate'!$K$2:$M$36,3,FALSE),"")</f>
        <v>LPG propane or butane</v>
      </c>
    </row>
    <row r="1189" spans="1:9" x14ac:dyDescent="0.15">
      <c r="A1189" s="2">
        <v>131227</v>
      </c>
      <c r="B1189" s="2" t="s">
        <v>72</v>
      </c>
      <c r="C1189" s="2">
        <v>2020</v>
      </c>
      <c r="D1189" s="2" t="s">
        <v>1</v>
      </c>
      <c r="E1189" s="2" t="s">
        <v>9</v>
      </c>
      <c r="F1189" s="2" t="s">
        <v>36</v>
      </c>
      <c r="G1189" s="7"/>
      <c r="H1189" s="13" t="str">
        <f>IFERROR(IF(ABS($G1189)&gt;0,VLOOKUP($E1189,'Fuel Category and Heat Rate'!$B$1:$G$34,6,FALSE)*($G1189),""),"")</f>
        <v/>
      </c>
      <c r="I1189" t="str">
        <f>IFERROR(VLOOKUP($E1189,'Fuel Category and Heat Rate'!$K$2:$M$36,3,FALSE),"")</f>
        <v>LPG propane or butane</v>
      </c>
    </row>
    <row r="1190" spans="1:9" x14ac:dyDescent="0.15">
      <c r="A1190" s="2">
        <v>131262</v>
      </c>
      <c r="B1190" s="2" t="s">
        <v>72</v>
      </c>
      <c r="C1190" s="2">
        <v>2020</v>
      </c>
      <c r="D1190" s="2" t="s">
        <v>1</v>
      </c>
      <c r="E1190" s="2" t="s">
        <v>8</v>
      </c>
      <c r="F1190" s="2" t="s">
        <v>35</v>
      </c>
      <c r="G1190" s="7"/>
      <c r="H1190" s="13" t="str">
        <f>IFERROR(IF(ABS($G1190)&gt;0,VLOOKUP($E1190,'Fuel Category and Heat Rate'!$B$1:$G$34,6,FALSE)*($G1190),""),"")</f>
        <v/>
      </c>
      <c r="I1190" t="str">
        <f>IFERROR(VLOOKUP($E1190,'Fuel Category and Heat Rate'!$K$2:$M$36,3,FALSE),"")</f>
        <v>coal</v>
      </c>
    </row>
    <row r="1191" spans="1:9" x14ac:dyDescent="0.15">
      <c r="A1191" s="2">
        <v>131297</v>
      </c>
      <c r="B1191" s="2" t="s">
        <v>72</v>
      </c>
      <c r="C1191" s="2">
        <v>2020</v>
      </c>
      <c r="D1191" s="2" t="s">
        <v>1</v>
      </c>
      <c r="E1191" s="2" t="s">
        <v>27</v>
      </c>
      <c r="F1191" s="2" t="s">
        <v>35</v>
      </c>
      <c r="G1191" s="7">
        <v>-4.78</v>
      </c>
      <c r="H1191" s="13">
        <f>IFERROR(IF(ABS($G1191)&gt;0,VLOOKUP($E1191,'Fuel Category and Heat Rate'!$B$1:$G$34,6,FALSE)*($G1191),""),"")</f>
        <v>-2083969678003.302</v>
      </c>
      <c r="I1191" t="str">
        <f>IFERROR(VLOOKUP($E1191,'Fuel Category and Heat Rate'!$K$2:$M$36,3,FALSE),"")</f>
        <v>LPG propane or butane</v>
      </c>
    </row>
    <row r="1192" spans="1:9" x14ac:dyDescent="0.15">
      <c r="A1192" s="2">
        <v>131332</v>
      </c>
      <c r="B1192" s="2" t="s">
        <v>72</v>
      </c>
      <c r="C1192" s="2">
        <v>2020</v>
      </c>
      <c r="D1192" s="2" t="s">
        <v>1</v>
      </c>
      <c r="E1192" s="2" t="s">
        <v>7</v>
      </c>
      <c r="F1192" s="2" t="s">
        <v>35</v>
      </c>
      <c r="G1192" s="7"/>
      <c r="H1192" s="13" t="str">
        <f>IFERROR(IF(ABS($G1192)&gt;0,VLOOKUP($E1192,'Fuel Category and Heat Rate'!$B$1:$G$34,6,FALSE)*($G1192),""),"")</f>
        <v/>
      </c>
      <c r="I1192" t="str">
        <f>IFERROR(VLOOKUP($E1192,'Fuel Category and Heat Rate'!$K$2:$M$36,3,FALSE),"")</f>
        <v>coal</v>
      </c>
    </row>
    <row r="1193" spans="1:9" x14ac:dyDescent="0.15">
      <c r="A1193" s="2">
        <v>131367</v>
      </c>
      <c r="B1193" s="2" t="s">
        <v>72</v>
      </c>
      <c r="C1193" s="2">
        <v>2020</v>
      </c>
      <c r="D1193" s="2" t="s">
        <v>1</v>
      </c>
      <c r="E1193" s="2" t="s">
        <v>2</v>
      </c>
      <c r="F1193" s="2" t="s">
        <v>35</v>
      </c>
      <c r="G1193" s="7">
        <v>-46.35</v>
      </c>
      <c r="H1193" s="13">
        <f>IFERROR(IF(ABS($G1193)&gt;0,VLOOKUP($E1193,'Fuel Category and Heat Rate'!$B$1:$G$34,6,FALSE)*($G1193),""),"")</f>
        <v>0</v>
      </c>
      <c r="I1193" t="str">
        <f>IFERROR(VLOOKUP($E1193,'Fuel Category and Heat Rate'!$K$2:$M$36,3,FALSE),"")</f>
        <v/>
      </c>
    </row>
    <row r="1194" spans="1:9" x14ac:dyDescent="0.15">
      <c r="A1194" s="2">
        <v>131402</v>
      </c>
      <c r="B1194" s="2" t="s">
        <v>72</v>
      </c>
      <c r="C1194" s="2">
        <v>2020</v>
      </c>
      <c r="D1194" s="2" t="s">
        <v>1</v>
      </c>
      <c r="E1194" s="2" t="s">
        <v>17</v>
      </c>
      <c r="F1194" s="2" t="s">
        <v>35</v>
      </c>
      <c r="G1194" s="7"/>
      <c r="H1194" s="13" t="str">
        <f>IFERROR(IF(ABS($G1194)&gt;0,VLOOKUP($E1194,'Fuel Category and Heat Rate'!$B$1:$G$34,6,FALSE)*($G1194),""),"")</f>
        <v/>
      </c>
      <c r="I1194" t="str">
        <f>IFERROR(VLOOKUP($E1194,'Fuel Category and Heat Rate'!$K$2:$M$36,3,FALSE),"")</f>
        <v>petroleum diesel</v>
      </c>
    </row>
    <row r="1195" spans="1:9" x14ac:dyDescent="0.15">
      <c r="A1195" s="2">
        <v>131437</v>
      </c>
      <c r="B1195" s="2" t="s">
        <v>72</v>
      </c>
      <c r="C1195" s="2">
        <v>2020</v>
      </c>
      <c r="D1195" s="2" t="s">
        <v>1</v>
      </c>
      <c r="E1195" s="2" t="s">
        <v>13</v>
      </c>
      <c r="F1195" s="2" t="s">
        <v>35</v>
      </c>
      <c r="G1195" s="7"/>
      <c r="H1195" s="13" t="str">
        <f>IFERROR(IF(ABS($G1195)&gt;0,VLOOKUP($E1195,'Fuel Category and Heat Rate'!$B$1:$G$34,6,FALSE)*($G1195),""),"")</f>
        <v/>
      </c>
      <c r="I1195" t="str">
        <f>IFERROR(VLOOKUP($E1195,'Fuel Category and Heat Rate'!$K$2:$M$36,3,FALSE),"")</f>
        <v>petroleum diesel</v>
      </c>
    </row>
    <row r="1196" spans="1:9" x14ac:dyDescent="0.15">
      <c r="A1196" s="2">
        <v>131472</v>
      </c>
      <c r="B1196" s="2" t="s">
        <v>72</v>
      </c>
      <c r="C1196" s="2">
        <v>2020</v>
      </c>
      <c r="D1196" s="2" t="s">
        <v>1</v>
      </c>
      <c r="E1196" s="2" t="s">
        <v>12</v>
      </c>
      <c r="F1196" s="2" t="s">
        <v>36</v>
      </c>
      <c r="G1196" s="7"/>
      <c r="H1196" s="13" t="str">
        <f>IFERROR(IF(ABS($G1196)&gt;0,VLOOKUP($E1196,'Fuel Category and Heat Rate'!$B$1:$G$34,6,FALSE)*($G1196),""),"")</f>
        <v/>
      </c>
      <c r="I1196" t="str">
        <f>IFERROR(VLOOKUP($E1196,'Fuel Category and Heat Rate'!$K$2:$M$36,3,FALSE),"")</f>
        <v>LPG propane or butane</v>
      </c>
    </row>
    <row r="1197" spans="1:9" x14ac:dyDescent="0.15">
      <c r="A1197" s="2">
        <v>131507</v>
      </c>
      <c r="B1197" s="2" t="s">
        <v>72</v>
      </c>
      <c r="C1197" s="2">
        <v>2020</v>
      </c>
      <c r="D1197" s="2" t="s">
        <v>1</v>
      </c>
      <c r="E1197" s="2" t="s">
        <v>33</v>
      </c>
      <c r="F1197" s="2" t="s">
        <v>38</v>
      </c>
      <c r="G1197" s="7">
        <v>-1.46</v>
      </c>
      <c r="H1197" s="13">
        <f>IFERROR(IF(ABS($G1197)&gt;0,VLOOKUP($E1197,'Fuel Category and Heat Rate'!$B$1:$G$34,6,FALSE)*($G1197),""),"")</f>
        <v>-405055902964.75769</v>
      </c>
      <c r="I1197" t="str">
        <f>IFERROR(VLOOKUP($E1197,'Fuel Category and Heat Rate'!$K$2:$M$36,3,FALSE),"")</f>
        <v>biomass</v>
      </c>
    </row>
    <row r="1198" spans="1:9" x14ac:dyDescent="0.15">
      <c r="A1198" s="2">
        <v>131542</v>
      </c>
      <c r="B1198" s="2" t="s">
        <v>72</v>
      </c>
      <c r="C1198" s="2">
        <v>2020</v>
      </c>
      <c r="D1198" s="2" t="s">
        <v>1</v>
      </c>
      <c r="E1198" s="2" t="s">
        <v>28</v>
      </c>
      <c r="F1198" s="2" t="s">
        <v>35</v>
      </c>
      <c r="G1198" s="7"/>
      <c r="H1198" s="13" t="str">
        <f>IFERROR(IF(ABS($G1198)&gt;0,VLOOKUP($E1198,'Fuel Category and Heat Rate'!$B$1:$G$34,6,FALSE)*($G1198),""),"")</f>
        <v/>
      </c>
      <c r="I1198" t="str">
        <f>IFERROR(VLOOKUP($E1198,'Fuel Category and Heat Rate'!$K$2:$M$36,3,FALSE),"")</f>
        <v>heavy or residual fuel oil</v>
      </c>
    </row>
    <row r="1199" spans="1:9" x14ac:dyDescent="0.15">
      <c r="A1199" s="2">
        <v>131577</v>
      </c>
      <c r="B1199" s="2" t="s">
        <v>72</v>
      </c>
      <c r="C1199" s="2">
        <v>2020</v>
      </c>
      <c r="D1199" s="2" t="s">
        <v>1</v>
      </c>
      <c r="E1199" s="2" t="s">
        <v>5</v>
      </c>
      <c r="F1199" s="2" t="s">
        <v>35</v>
      </c>
      <c r="G1199" s="7"/>
      <c r="H1199" s="13" t="str">
        <f>IFERROR(IF(ABS($G1199)&gt;0,VLOOKUP($E1199,'Fuel Category and Heat Rate'!$B$1:$G$34,6,FALSE)*($G1199),""),"")</f>
        <v/>
      </c>
      <c r="I1199" t="str">
        <f>IFERROR(VLOOKUP($E1199,'Fuel Category and Heat Rate'!$K$2:$M$36,3,FALSE),"")</f>
        <v>coal</v>
      </c>
    </row>
    <row r="1200" spans="1:9" x14ac:dyDescent="0.15">
      <c r="A1200" s="2">
        <v>131612</v>
      </c>
      <c r="B1200" s="2" t="s">
        <v>72</v>
      </c>
      <c r="C1200" s="2">
        <v>2020</v>
      </c>
      <c r="D1200" s="2" t="s">
        <v>1</v>
      </c>
      <c r="E1200" s="2" t="s">
        <v>16</v>
      </c>
      <c r="F1200" s="2" t="s">
        <v>35</v>
      </c>
      <c r="G1200" s="7"/>
      <c r="H1200" s="13" t="str">
        <f>IFERROR(IF(ABS($G1200)&gt;0,VLOOKUP($E1200,'Fuel Category and Heat Rate'!$B$1:$G$34,6,FALSE)*($G1200),""),"")</f>
        <v/>
      </c>
      <c r="I1200" t="str">
        <f>IFERROR(VLOOKUP($E1200,'Fuel Category and Heat Rate'!$K$2:$M$36,3,FALSE),"")</f>
        <v>petroleum diesel</v>
      </c>
    </row>
    <row r="1201" spans="1:9" x14ac:dyDescent="0.15">
      <c r="A1201" s="2">
        <v>131647</v>
      </c>
      <c r="B1201" s="2" t="s">
        <v>72</v>
      </c>
      <c r="C1201" s="2">
        <v>2020</v>
      </c>
      <c r="D1201" s="2" t="s">
        <v>1</v>
      </c>
      <c r="E1201" s="2" t="s">
        <v>19</v>
      </c>
      <c r="F1201" s="2" t="s">
        <v>35</v>
      </c>
      <c r="G1201" s="7"/>
      <c r="H1201" s="13" t="str">
        <f>IFERROR(IF(ABS($G1201)&gt;0,VLOOKUP($E1201,'Fuel Category and Heat Rate'!$B$1:$G$34,6,FALSE)*($G1201),""),"")</f>
        <v/>
      </c>
      <c r="I1201" t="str">
        <f>IFERROR(VLOOKUP($E1201,'Fuel Category and Heat Rate'!$K$2:$M$36,3,FALSE),"")</f>
        <v>heavy or residual fuel oil</v>
      </c>
    </row>
    <row r="1202" spans="1:9" x14ac:dyDescent="0.15">
      <c r="A1202" s="2">
        <v>131682</v>
      </c>
      <c r="B1202" s="2" t="s">
        <v>72</v>
      </c>
      <c r="C1202" s="2">
        <v>2020</v>
      </c>
      <c r="D1202" s="2" t="s">
        <v>1</v>
      </c>
      <c r="E1202" s="2" t="s">
        <v>31</v>
      </c>
      <c r="F1202" s="2" t="s">
        <v>37</v>
      </c>
      <c r="G1202" s="7">
        <v>2647.04</v>
      </c>
      <c r="H1202" s="13">
        <f>IFERROR(IF(ABS($G1202)&gt;0,VLOOKUP($E1202,'Fuel Category and Heat Rate'!$B$1:$G$34,6,FALSE)*($G1202),""),"")</f>
        <v>25089098363844.91</v>
      </c>
      <c r="I1202" t="str">
        <f>IFERROR(VLOOKUP($E1202,'Fuel Category and Heat Rate'!$K$2:$M$36,3,FALSE),"")</f>
        <v>heat</v>
      </c>
    </row>
    <row r="1203" spans="1:9" x14ac:dyDescent="0.15">
      <c r="A1203" s="2">
        <v>131717</v>
      </c>
      <c r="B1203" s="2" t="s">
        <v>72</v>
      </c>
      <c r="C1203" s="2">
        <v>2020</v>
      </c>
      <c r="D1203" s="2" t="s">
        <v>1</v>
      </c>
      <c r="E1203" s="2" t="s">
        <v>23</v>
      </c>
      <c r="F1203" s="2" t="s">
        <v>35</v>
      </c>
      <c r="G1203" s="7"/>
      <c r="H1203" s="13" t="str">
        <f>IFERROR(IF(ABS($G1203)&gt;0,VLOOKUP($E1203,'Fuel Category and Heat Rate'!$B$1:$G$34,6,FALSE)*($G1203),""),"")</f>
        <v/>
      </c>
      <c r="I1203" t="str">
        <f>IFERROR(VLOOKUP($E1203,'Fuel Category and Heat Rate'!$K$2:$M$36,3,FALSE),"")</f>
        <v>heavy or residual fuel oil</v>
      </c>
    </row>
    <row r="1204" spans="1:9" x14ac:dyDescent="0.15">
      <c r="A1204" s="2">
        <v>131752</v>
      </c>
      <c r="B1204" s="2" t="s">
        <v>72</v>
      </c>
      <c r="C1204" s="2">
        <v>2020</v>
      </c>
      <c r="D1204" s="2" t="s">
        <v>1</v>
      </c>
      <c r="E1204" s="2" t="s">
        <v>21</v>
      </c>
      <c r="F1204" s="2" t="s">
        <v>35</v>
      </c>
      <c r="G1204" s="7"/>
      <c r="H1204" s="13" t="str">
        <f>IFERROR(IF(ABS($G1204)&gt;0,VLOOKUP($E1204,'Fuel Category and Heat Rate'!$B$1:$G$34,6,FALSE)*($G1204),""),"")</f>
        <v/>
      </c>
      <c r="I1204" t="str">
        <f>IFERROR(VLOOKUP($E1204,'Fuel Category and Heat Rate'!$K$2:$M$36,3,FALSE),"")</f>
        <v>LPG propane or butane</v>
      </c>
    </row>
    <row r="1205" spans="1:9" x14ac:dyDescent="0.15">
      <c r="A1205" s="2">
        <v>131787</v>
      </c>
      <c r="B1205" s="2" t="s">
        <v>72</v>
      </c>
      <c r="C1205" s="2">
        <v>2020</v>
      </c>
      <c r="D1205" s="2" t="s">
        <v>1</v>
      </c>
      <c r="E1205" s="2" t="s">
        <v>22</v>
      </c>
      <c r="F1205" s="2" t="s">
        <v>35</v>
      </c>
      <c r="G1205" s="7"/>
      <c r="H1205" s="13" t="str">
        <f>IFERROR(IF(ABS($G1205)&gt;0,VLOOKUP($E1205,'Fuel Category and Heat Rate'!$B$1:$G$34,6,FALSE)*($G1205),""),"")</f>
        <v/>
      </c>
      <c r="I1205" t="str">
        <f>IFERROR(VLOOKUP($E1205,'Fuel Category and Heat Rate'!$K$2:$M$36,3,FALSE),"")</f>
        <v>heavy fuel oil</v>
      </c>
    </row>
    <row r="1206" spans="1:9" x14ac:dyDescent="0.15">
      <c r="A1206" s="2">
        <v>131822</v>
      </c>
      <c r="B1206" s="2" t="s">
        <v>72</v>
      </c>
      <c r="C1206" s="2">
        <v>2020</v>
      </c>
      <c r="D1206" s="2" t="s">
        <v>1</v>
      </c>
      <c r="E1206" s="2" t="s">
        <v>20</v>
      </c>
      <c r="F1206" s="2" t="s">
        <v>35</v>
      </c>
      <c r="G1206" s="7"/>
      <c r="H1206" s="13" t="str">
        <f>IFERROR(IF(ABS($G1206)&gt;0,VLOOKUP($E1206,'Fuel Category and Heat Rate'!$B$1:$G$34,6,FALSE)*($G1206),""),"")</f>
        <v/>
      </c>
      <c r="I1206" t="str">
        <f>IFERROR(VLOOKUP($E1206,'Fuel Category and Heat Rate'!$K$2:$M$36,3,FALSE),"")</f>
        <v>LPG propane or butane</v>
      </c>
    </row>
    <row r="1207" spans="1:9" x14ac:dyDescent="0.15">
      <c r="A1207" s="2">
        <v>131857</v>
      </c>
      <c r="B1207" s="2" t="s">
        <v>72</v>
      </c>
      <c r="C1207" s="2">
        <v>2020</v>
      </c>
      <c r="D1207" s="2" t="s">
        <v>1</v>
      </c>
      <c r="E1207" s="2" t="s">
        <v>25</v>
      </c>
      <c r="F1207" s="2" t="s">
        <v>35</v>
      </c>
      <c r="G1207" s="7"/>
      <c r="H1207" s="13" t="str">
        <f>IFERROR(IF(ABS($G1207)&gt;0,VLOOKUP($E1207,'Fuel Category and Heat Rate'!$B$1:$G$34,6,FALSE)*($G1207),""),"")</f>
        <v/>
      </c>
      <c r="I1207" t="str">
        <f>IFERROR(VLOOKUP($E1207,'Fuel Category and Heat Rate'!$K$2:$M$36,3,FALSE),"")</f>
        <v>heavy fuel oil</v>
      </c>
    </row>
    <row r="1208" spans="1:9" x14ac:dyDescent="0.15">
      <c r="A1208" s="2">
        <v>131892</v>
      </c>
      <c r="B1208" s="2" t="s">
        <v>72</v>
      </c>
      <c r="C1208" s="2">
        <v>2020</v>
      </c>
      <c r="D1208" s="2" t="s">
        <v>1</v>
      </c>
      <c r="E1208" s="2" t="s">
        <v>24</v>
      </c>
      <c r="F1208" s="2" t="s">
        <v>35</v>
      </c>
      <c r="G1208" s="7"/>
      <c r="H1208" s="13" t="str">
        <f>IFERROR(IF(ABS($G1208)&gt;0,VLOOKUP($E1208,'Fuel Category and Heat Rate'!$B$1:$G$34,6,FALSE)*($G1208),""),"")</f>
        <v/>
      </c>
      <c r="I1208" t="str">
        <f>IFERROR(VLOOKUP($E1208,'Fuel Category and Heat Rate'!$K$2:$M$36,3,FALSE),"")</f>
        <v>heavy fuel oil</v>
      </c>
    </row>
    <row r="1209" spans="1:9" x14ac:dyDescent="0.15">
      <c r="A1209" s="2">
        <v>131927</v>
      </c>
      <c r="B1209" s="2" t="s">
        <v>72</v>
      </c>
      <c r="C1209" s="2">
        <v>2020</v>
      </c>
      <c r="D1209" s="2" t="s">
        <v>1</v>
      </c>
      <c r="E1209" s="2" t="s">
        <v>29</v>
      </c>
      <c r="F1209" s="2" t="s">
        <v>36</v>
      </c>
      <c r="G1209" s="7">
        <v>-8.49</v>
      </c>
      <c r="H1209" s="13">
        <f>IFERROR(IF(ABS($G1209)&gt;0,VLOOKUP($E1209,'Fuel Category and Heat Rate'!$B$1:$G$34,6,FALSE)*($G1209),""),"")</f>
        <v>-28634731042911.141</v>
      </c>
      <c r="I1209" t="str">
        <f>IFERROR(VLOOKUP($E1209,'Fuel Category and Heat Rate'!$K$2:$M$36,3,FALSE),"")</f>
        <v>natural gas</v>
      </c>
    </row>
    <row r="1210" spans="1:9" x14ac:dyDescent="0.15">
      <c r="A1210" s="2">
        <v>131962</v>
      </c>
      <c r="B1210" s="2" t="s">
        <v>72</v>
      </c>
      <c r="C1210" s="2">
        <v>2020</v>
      </c>
      <c r="D1210" s="2" t="s">
        <v>1</v>
      </c>
      <c r="E1210" s="2" t="s">
        <v>4</v>
      </c>
      <c r="F1210" s="2" t="s">
        <v>35</v>
      </c>
      <c r="G1210" s="7"/>
      <c r="H1210" s="13" t="str">
        <f>IFERROR(IF(ABS($G1210)&gt;0,VLOOKUP($E1210,'Fuel Category and Heat Rate'!$B$1:$G$34,6,FALSE)*($G1210),""),"")</f>
        <v/>
      </c>
      <c r="I1210" t="str">
        <f>IFERROR(VLOOKUP($E1210,'Fuel Category and Heat Rate'!$K$2:$M$36,3,FALSE),"")</f>
        <v>coal</v>
      </c>
    </row>
    <row r="1211" spans="1:9" x14ac:dyDescent="0.15">
      <c r="A1211" s="2">
        <v>131997</v>
      </c>
      <c r="B1211" s="2" t="s">
        <v>72</v>
      </c>
      <c r="C1211" s="2">
        <v>2020</v>
      </c>
      <c r="D1211" s="2" t="s">
        <v>1</v>
      </c>
      <c r="E1211" s="2" t="s">
        <v>6</v>
      </c>
      <c r="F1211" s="2" t="s">
        <v>35</v>
      </c>
      <c r="G1211" s="7"/>
      <c r="H1211" s="13" t="str">
        <f>IFERROR(IF(ABS($G1211)&gt;0,VLOOKUP($E1211,'Fuel Category and Heat Rate'!$B$1:$G$34,6,FALSE)*($G1211),""),"")</f>
        <v/>
      </c>
      <c r="I1211" t="str">
        <f>IFERROR(VLOOKUP($E1211,'Fuel Category and Heat Rate'!$K$2:$M$36,3,FALSE),"")</f>
        <v>coal</v>
      </c>
    </row>
    <row r="1212" spans="1:9" x14ac:dyDescent="0.15">
      <c r="A1212" s="2">
        <v>132032</v>
      </c>
      <c r="B1212" s="2" t="s">
        <v>72</v>
      </c>
      <c r="C1212" s="2">
        <v>2020</v>
      </c>
      <c r="D1212" s="2" t="s">
        <v>1</v>
      </c>
      <c r="E1212" s="2" t="s">
        <v>26</v>
      </c>
      <c r="F1212" s="2" t="s">
        <v>35</v>
      </c>
      <c r="G1212" s="7">
        <v>-4.38</v>
      </c>
      <c r="H1212" s="13">
        <f>IFERROR(IF(ABS($G1212)&gt;0,VLOOKUP($E1212,'Fuel Category and Heat Rate'!$B$1:$G$34,6,FALSE)*($G1212),""),"")</f>
        <v>-2083150574445.8931</v>
      </c>
      <c r="I1212" t="str">
        <f>IFERROR(VLOOKUP($E1212,'Fuel Category and Heat Rate'!$K$2:$M$36,3,FALSE),"")</f>
        <v>LPG propane or butane</v>
      </c>
    </row>
    <row r="1213" spans="1:9" x14ac:dyDescent="0.15">
      <c r="A1213" s="2">
        <v>132067</v>
      </c>
      <c r="B1213" s="2" t="s">
        <v>72</v>
      </c>
      <c r="C1213" s="2">
        <v>2020</v>
      </c>
      <c r="D1213" s="2" t="s">
        <v>1</v>
      </c>
      <c r="E1213" s="2" t="s">
        <v>30</v>
      </c>
      <c r="F1213" s="2" t="s">
        <v>35</v>
      </c>
      <c r="G1213" s="7"/>
      <c r="H1213" s="13" t="str">
        <f>IFERROR(IF(ABS($G1213)&gt;0,VLOOKUP($E1213,'Fuel Category and Heat Rate'!$B$1:$G$34,6,FALSE)*($G1213),""),"")</f>
        <v/>
      </c>
      <c r="I1213" t="str">
        <f>IFERROR(VLOOKUP($E1213,'Fuel Category and Heat Rate'!$K$2:$M$36,3,FALSE),"")</f>
        <v>natural gas</v>
      </c>
    </row>
    <row r="1214" spans="1:9" x14ac:dyDescent="0.15">
      <c r="A1214" s="2">
        <v>132102</v>
      </c>
      <c r="B1214" s="2" t="s">
        <v>72</v>
      </c>
      <c r="C1214" s="2">
        <v>2020</v>
      </c>
      <c r="D1214" s="2" t="s">
        <v>1</v>
      </c>
      <c r="E1214" s="2" t="s">
        <v>14</v>
      </c>
      <c r="F1214" s="2" t="s">
        <v>35</v>
      </c>
      <c r="G1214" s="7">
        <v>-9.16</v>
      </c>
      <c r="H1214" s="13">
        <f>IFERROR(IF(ABS($G1214)&gt;0,VLOOKUP($E1214,'Fuel Category and Heat Rate'!$B$1:$G$34,6,FALSE)*($G1214),""),"")</f>
        <v>0</v>
      </c>
      <c r="I1214" t="str">
        <f>IFERROR(VLOOKUP($E1214,'Fuel Category and Heat Rate'!$K$2:$M$36,3,FALSE),"")</f>
        <v/>
      </c>
    </row>
    <row r="1215" spans="1:9" x14ac:dyDescent="0.15">
      <c r="A1215" s="2">
        <v>132137</v>
      </c>
      <c r="B1215" s="2" t="s">
        <v>72</v>
      </c>
      <c r="C1215" s="2">
        <v>2020</v>
      </c>
      <c r="D1215" s="2" t="s">
        <v>1</v>
      </c>
      <c r="E1215" s="2" t="s">
        <v>3</v>
      </c>
      <c r="F1215" s="2" t="s">
        <v>35</v>
      </c>
      <c r="G1215" s="7">
        <v>-46.35</v>
      </c>
      <c r="H1215" s="13">
        <f>IFERROR(IF(ABS($G1215)&gt;0,VLOOKUP($E1215,'Fuel Category and Heat Rate'!$B$1:$G$34,6,FALSE)*($G1215),""),"")</f>
        <v>-9185161145734.6074</v>
      </c>
      <c r="I1215" t="str">
        <f>IFERROR(VLOOKUP($E1215,'Fuel Category and Heat Rate'!$K$2:$M$36,3,FALSE),"")</f>
        <v>coal</v>
      </c>
    </row>
    <row r="1216" spans="1:9" x14ac:dyDescent="0.15">
      <c r="A1216" s="2">
        <v>132172</v>
      </c>
      <c r="B1216" s="2" t="s">
        <v>72</v>
      </c>
      <c r="C1216" s="2">
        <v>2020</v>
      </c>
      <c r="D1216" s="2" t="s">
        <v>1</v>
      </c>
      <c r="E1216" s="2" t="s">
        <v>15</v>
      </c>
      <c r="F1216" s="2" t="s">
        <v>35</v>
      </c>
      <c r="G1216" s="7"/>
      <c r="H1216" s="13" t="str">
        <f>IFERROR(IF(ABS($G1216)&gt;0,VLOOKUP($E1216,'Fuel Category and Heat Rate'!$B$1:$G$34,6,FALSE)*($G1216),""),"")</f>
        <v/>
      </c>
      <c r="I1216" t="str">
        <f>IFERROR(VLOOKUP($E1216,'Fuel Category and Heat Rate'!$K$2:$M$36,3,FALSE),"")</f>
        <v>crude oil</v>
      </c>
    </row>
    <row r="1217" spans="1:9" x14ac:dyDescent="0.15">
      <c r="A1217" s="2">
        <v>132207</v>
      </c>
      <c r="B1217" s="2" t="s">
        <v>72</v>
      </c>
      <c r="C1217" s="2">
        <v>2020</v>
      </c>
      <c r="D1217" s="2" t="s">
        <v>1</v>
      </c>
      <c r="E1217" s="2" t="s">
        <v>11</v>
      </c>
      <c r="F1217" s="2" t="s">
        <v>36</v>
      </c>
      <c r="G1217" s="7"/>
      <c r="H1217" s="13" t="str">
        <f>IFERROR(IF(ABS($G1217)&gt;0,VLOOKUP($E1217,'Fuel Category and Heat Rate'!$B$1:$G$34,6,FALSE)*($G1217),""),"")</f>
        <v/>
      </c>
      <c r="I1217" t="str">
        <f>IFERROR(VLOOKUP($E1217,'Fuel Category and Heat Rate'!$K$2:$M$36,3,FALSE),"")</f>
        <v>LPG propane or butane</v>
      </c>
    </row>
    <row r="1218" spans="1:9" x14ac:dyDescent="0.15">
      <c r="A1218" s="2">
        <v>132242</v>
      </c>
      <c r="B1218" s="2" t="s">
        <v>72</v>
      </c>
      <c r="C1218" s="2">
        <v>2019</v>
      </c>
      <c r="D1218" s="2" t="s">
        <v>1</v>
      </c>
      <c r="E1218" s="2" t="s">
        <v>18</v>
      </c>
      <c r="F1218" s="2" t="s">
        <v>35</v>
      </c>
      <c r="G1218" s="7"/>
      <c r="H1218" s="13" t="str">
        <f>IFERROR(IF(ABS($G1218)&gt;0,VLOOKUP($E1218,'Fuel Category and Heat Rate'!$B$1:$G$34,6,FALSE)*($G1218),""),"")</f>
        <v/>
      </c>
      <c r="I1218" t="str">
        <f>IFERROR(VLOOKUP($E1218,'Fuel Category and Heat Rate'!$K$2:$M$36,3,FALSE),"")</f>
        <v>petroleum diesel</v>
      </c>
    </row>
    <row r="1219" spans="1:9" x14ac:dyDescent="0.15">
      <c r="A1219" s="2">
        <v>132277</v>
      </c>
      <c r="B1219" s="2" t="s">
        <v>72</v>
      </c>
      <c r="C1219" s="2">
        <v>2019</v>
      </c>
      <c r="D1219" s="2" t="s">
        <v>1</v>
      </c>
      <c r="E1219" s="2" t="s">
        <v>32</v>
      </c>
      <c r="F1219" s="2" t="s">
        <v>65</v>
      </c>
      <c r="G1219" s="7"/>
      <c r="H1219" s="13" t="str">
        <f>IFERROR(IF(ABS($G1219)&gt;0,VLOOKUP($E1219,'Fuel Category and Heat Rate'!$B$1:$G$34,6,FALSE)*($G1219),""),"")</f>
        <v/>
      </c>
      <c r="I1219" t="str">
        <f>IFERROR(VLOOKUP($E1219,'Fuel Category and Heat Rate'!$K$2:$M$36,3,FALSE),"")</f>
        <v>electricity</v>
      </c>
    </row>
    <row r="1220" spans="1:9" x14ac:dyDescent="0.15">
      <c r="A1220" s="2">
        <v>132312</v>
      </c>
      <c r="B1220" s="2" t="s">
        <v>72</v>
      </c>
      <c r="C1220" s="2">
        <v>2019</v>
      </c>
      <c r="D1220" s="2" t="s">
        <v>1</v>
      </c>
      <c r="E1220" s="2" t="s">
        <v>10</v>
      </c>
      <c r="F1220" s="2" t="s">
        <v>36</v>
      </c>
      <c r="G1220" s="7"/>
      <c r="H1220" s="13" t="str">
        <f>IFERROR(IF(ABS($G1220)&gt;0,VLOOKUP($E1220,'Fuel Category and Heat Rate'!$B$1:$G$34,6,FALSE)*($G1220),""),"")</f>
        <v/>
      </c>
      <c r="I1220" t="str">
        <f>IFERROR(VLOOKUP($E1220,'Fuel Category and Heat Rate'!$K$2:$M$36,3,FALSE),"")</f>
        <v>LPG propane or butane</v>
      </c>
    </row>
    <row r="1221" spans="1:9" x14ac:dyDescent="0.15">
      <c r="A1221" s="2">
        <v>132347</v>
      </c>
      <c r="B1221" s="2" t="s">
        <v>72</v>
      </c>
      <c r="C1221" s="2">
        <v>2019</v>
      </c>
      <c r="D1221" s="2" t="s">
        <v>1</v>
      </c>
      <c r="E1221" s="2" t="s">
        <v>9</v>
      </c>
      <c r="F1221" s="2" t="s">
        <v>36</v>
      </c>
      <c r="G1221" s="7"/>
      <c r="H1221" s="13" t="str">
        <f>IFERROR(IF(ABS($G1221)&gt;0,VLOOKUP($E1221,'Fuel Category and Heat Rate'!$B$1:$G$34,6,FALSE)*($G1221),""),"")</f>
        <v/>
      </c>
      <c r="I1221" t="str">
        <f>IFERROR(VLOOKUP($E1221,'Fuel Category and Heat Rate'!$K$2:$M$36,3,FALSE),"")</f>
        <v>LPG propane or butane</v>
      </c>
    </row>
    <row r="1222" spans="1:9" x14ac:dyDescent="0.15">
      <c r="A1222" s="2">
        <v>132382</v>
      </c>
      <c r="B1222" s="2" t="s">
        <v>72</v>
      </c>
      <c r="C1222" s="2">
        <v>2019</v>
      </c>
      <c r="D1222" s="2" t="s">
        <v>1</v>
      </c>
      <c r="E1222" s="2" t="s">
        <v>8</v>
      </c>
      <c r="F1222" s="2" t="s">
        <v>35</v>
      </c>
      <c r="G1222" s="7"/>
      <c r="H1222" s="13" t="str">
        <f>IFERROR(IF(ABS($G1222)&gt;0,VLOOKUP($E1222,'Fuel Category and Heat Rate'!$B$1:$G$34,6,FALSE)*($G1222),""),"")</f>
        <v/>
      </c>
      <c r="I1222" t="str">
        <f>IFERROR(VLOOKUP($E1222,'Fuel Category and Heat Rate'!$K$2:$M$36,3,FALSE),"")</f>
        <v>coal</v>
      </c>
    </row>
    <row r="1223" spans="1:9" x14ac:dyDescent="0.15">
      <c r="A1223" s="2">
        <v>132417</v>
      </c>
      <c r="B1223" s="2" t="s">
        <v>72</v>
      </c>
      <c r="C1223" s="2">
        <v>2019</v>
      </c>
      <c r="D1223" s="2" t="s">
        <v>1</v>
      </c>
      <c r="E1223" s="2" t="s">
        <v>27</v>
      </c>
      <c r="F1223" s="2" t="s">
        <v>35</v>
      </c>
      <c r="G1223" s="7">
        <v>-8.1199999999999992</v>
      </c>
      <c r="H1223" s="13">
        <f>IFERROR(IF(ABS($G1223)&gt;0,VLOOKUP($E1223,'Fuel Category and Heat Rate'!$B$1:$G$34,6,FALSE)*($G1223),""),"")</f>
        <v>-3540132591085.1069</v>
      </c>
      <c r="I1223" t="str">
        <f>IFERROR(VLOOKUP($E1223,'Fuel Category and Heat Rate'!$K$2:$M$36,3,FALSE),"")</f>
        <v>LPG propane or butane</v>
      </c>
    </row>
    <row r="1224" spans="1:9" x14ac:dyDescent="0.15">
      <c r="A1224" s="2">
        <v>132452</v>
      </c>
      <c r="B1224" s="2" t="s">
        <v>72</v>
      </c>
      <c r="C1224" s="2">
        <v>2019</v>
      </c>
      <c r="D1224" s="2" t="s">
        <v>1</v>
      </c>
      <c r="E1224" s="2" t="s">
        <v>7</v>
      </c>
      <c r="F1224" s="2" t="s">
        <v>35</v>
      </c>
      <c r="G1224" s="7"/>
      <c r="H1224" s="13" t="str">
        <f>IFERROR(IF(ABS($G1224)&gt;0,VLOOKUP($E1224,'Fuel Category and Heat Rate'!$B$1:$G$34,6,FALSE)*($G1224),""),"")</f>
        <v/>
      </c>
      <c r="I1224" t="str">
        <f>IFERROR(VLOOKUP($E1224,'Fuel Category and Heat Rate'!$K$2:$M$36,3,FALSE),"")</f>
        <v>coal</v>
      </c>
    </row>
    <row r="1225" spans="1:9" x14ac:dyDescent="0.15">
      <c r="A1225" s="2">
        <v>132487</v>
      </c>
      <c r="B1225" s="2" t="s">
        <v>72</v>
      </c>
      <c r="C1225" s="2">
        <v>2019</v>
      </c>
      <c r="D1225" s="2" t="s">
        <v>1</v>
      </c>
      <c r="E1225" s="2" t="s">
        <v>2</v>
      </c>
      <c r="F1225" s="2" t="s">
        <v>35</v>
      </c>
      <c r="G1225" s="7">
        <v>-49.91</v>
      </c>
      <c r="H1225" s="13">
        <f>IFERROR(IF(ABS($G1225)&gt;0,VLOOKUP($E1225,'Fuel Category and Heat Rate'!$B$1:$G$34,6,FALSE)*($G1225),""),"")</f>
        <v>0</v>
      </c>
      <c r="I1225" t="str">
        <f>IFERROR(VLOOKUP($E1225,'Fuel Category and Heat Rate'!$K$2:$M$36,3,FALSE),"")</f>
        <v/>
      </c>
    </row>
    <row r="1226" spans="1:9" x14ac:dyDescent="0.15">
      <c r="A1226" s="2">
        <v>132522</v>
      </c>
      <c r="B1226" s="2" t="s">
        <v>72</v>
      </c>
      <c r="C1226" s="2">
        <v>2019</v>
      </c>
      <c r="D1226" s="2" t="s">
        <v>1</v>
      </c>
      <c r="E1226" s="2" t="s">
        <v>17</v>
      </c>
      <c r="F1226" s="2" t="s">
        <v>35</v>
      </c>
      <c r="G1226" s="7"/>
      <c r="H1226" s="13" t="str">
        <f>IFERROR(IF(ABS($G1226)&gt;0,VLOOKUP($E1226,'Fuel Category and Heat Rate'!$B$1:$G$34,6,FALSE)*($G1226),""),"")</f>
        <v/>
      </c>
      <c r="I1226" t="str">
        <f>IFERROR(VLOOKUP($E1226,'Fuel Category and Heat Rate'!$K$2:$M$36,3,FALSE),"")</f>
        <v>petroleum diesel</v>
      </c>
    </row>
    <row r="1227" spans="1:9" x14ac:dyDescent="0.15">
      <c r="A1227" s="2">
        <v>132557</v>
      </c>
      <c r="B1227" s="2" t="s">
        <v>72</v>
      </c>
      <c r="C1227" s="2">
        <v>2019</v>
      </c>
      <c r="D1227" s="2" t="s">
        <v>1</v>
      </c>
      <c r="E1227" s="2" t="s">
        <v>13</v>
      </c>
      <c r="F1227" s="2" t="s">
        <v>35</v>
      </c>
      <c r="G1227" s="7"/>
      <c r="H1227" s="13" t="str">
        <f>IFERROR(IF(ABS($G1227)&gt;0,VLOOKUP($E1227,'Fuel Category and Heat Rate'!$B$1:$G$34,6,FALSE)*($G1227),""),"")</f>
        <v/>
      </c>
      <c r="I1227" t="str">
        <f>IFERROR(VLOOKUP($E1227,'Fuel Category and Heat Rate'!$K$2:$M$36,3,FALSE),"")</f>
        <v>petroleum diesel</v>
      </c>
    </row>
    <row r="1228" spans="1:9" x14ac:dyDescent="0.15">
      <c r="A1228" s="2">
        <v>132592</v>
      </c>
      <c r="B1228" s="2" t="s">
        <v>72</v>
      </c>
      <c r="C1228" s="2">
        <v>2019</v>
      </c>
      <c r="D1228" s="2" t="s">
        <v>1</v>
      </c>
      <c r="E1228" s="2" t="s">
        <v>12</v>
      </c>
      <c r="F1228" s="2" t="s">
        <v>36</v>
      </c>
      <c r="G1228" s="7"/>
      <c r="H1228" s="13" t="str">
        <f>IFERROR(IF(ABS($G1228)&gt;0,VLOOKUP($E1228,'Fuel Category and Heat Rate'!$B$1:$G$34,6,FALSE)*($G1228),""),"")</f>
        <v/>
      </c>
      <c r="I1228" t="str">
        <f>IFERROR(VLOOKUP($E1228,'Fuel Category and Heat Rate'!$K$2:$M$36,3,FALSE),"")</f>
        <v>LPG propane or butane</v>
      </c>
    </row>
    <row r="1229" spans="1:9" x14ac:dyDescent="0.15">
      <c r="A1229" s="2">
        <v>132627</v>
      </c>
      <c r="B1229" s="2" t="s">
        <v>72</v>
      </c>
      <c r="C1229" s="2">
        <v>2019</v>
      </c>
      <c r="D1229" s="2" t="s">
        <v>1</v>
      </c>
      <c r="E1229" s="2" t="s">
        <v>33</v>
      </c>
      <c r="F1229" s="2" t="s">
        <v>38</v>
      </c>
      <c r="G1229" s="7">
        <v>-1.51</v>
      </c>
      <c r="H1229" s="13">
        <f>IFERROR(IF(ABS($G1229)&gt;0,VLOOKUP($E1229,'Fuel Category and Heat Rate'!$B$1:$G$34,6,FALSE)*($G1229),""),"")</f>
        <v>-418927680463.55078</v>
      </c>
      <c r="I1229" t="str">
        <f>IFERROR(VLOOKUP($E1229,'Fuel Category and Heat Rate'!$K$2:$M$36,3,FALSE),"")</f>
        <v>biomass</v>
      </c>
    </row>
    <row r="1230" spans="1:9" x14ac:dyDescent="0.15">
      <c r="A1230" s="2">
        <v>132662</v>
      </c>
      <c r="B1230" s="2" t="s">
        <v>72</v>
      </c>
      <c r="C1230" s="2">
        <v>2019</v>
      </c>
      <c r="D1230" s="2" t="s">
        <v>1</v>
      </c>
      <c r="E1230" s="2" t="s">
        <v>28</v>
      </c>
      <c r="F1230" s="2" t="s">
        <v>35</v>
      </c>
      <c r="G1230" s="7"/>
      <c r="H1230" s="13" t="str">
        <f>IFERROR(IF(ABS($G1230)&gt;0,VLOOKUP($E1230,'Fuel Category and Heat Rate'!$B$1:$G$34,6,FALSE)*($G1230),""),"")</f>
        <v/>
      </c>
      <c r="I1230" t="str">
        <f>IFERROR(VLOOKUP($E1230,'Fuel Category and Heat Rate'!$K$2:$M$36,3,FALSE),"")</f>
        <v>heavy or residual fuel oil</v>
      </c>
    </row>
    <row r="1231" spans="1:9" x14ac:dyDescent="0.15">
      <c r="A1231" s="2">
        <v>132697</v>
      </c>
      <c r="B1231" s="2" t="s">
        <v>72</v>
      </c>
      <c r="C1231" s="2">
        <v>2019</v>
      </c>
      <c r="D1231" s="2" t="s">
        <v>1</v>
      </c>
      <c r="E1231" s="2" t="s">
        <v>5</v>
      </c>
      <c r="F1231" s="2" t="s">
        <v>35</v>
      </c>
      <c r="G1231" s="7"/>
      <c r="H1231" s="13" t="str">
        <f>IFERROR(IF(ABS($G1231)&gt;0,VLOOKUP($E1231,'Fuel Category and Heat Rate'!$B$1:$G$34,6,FALSE)*($G1231),""),"")</f>
        <v/>
      </c>
      <c r="I1231" t="str">
        <f>IFERROR(VLOOKUP($E1231,'Fuel Category and Heat Rate'!$K$2:$M$36,3,FALSE),"")</f>
        <v>coal</v>
      </c>
    </row>
    <row r="1232" spans="1:9" x14ac:dyDescent="0.15">
      <c r="A1232" s="2">
        <v>132732</v>
      </c>
      <c r="B1232" s="2" t="s">
        <v>72</v>
      </c>
      <c r="C1232" s="2">
        <v>2019</v>
      </c>
      <c r="D1232" s="2" t="s">
        <v>1</v>
      </c>
      <c r="E1232" s="2" t="s">
        <v>16</v>
      </c>
      <c r="F1232" s="2" t="s">
        <v>35</v>
      </c>
      <c r="G1232" s="7"/>
      <c r="H1232" s="13" t="str">
        <f>IFERROR(IF(ABS($G1232)&gt;0,VLOOKUP($E1232,'Fuel Category and Heat Rate'!$B$1:$G$34,6,FALSE)*($G1232),""),"")</f>
        <v/>
      </c>
      <c r="I1232" t="str">
        <f>IFERROR(VLOOKUP($E1232,'Fuel Category and Heat Rate'!$K$2:$M$36,3,FALSE),"")</f>
        <v>petroleum diesel</v>
      </c>
    </row>
    <row r="1233" spans="1:9" x14ac:dyDescent="0.15">
      <c r="A1233" s="2">
        <v>132767</v>
      </c>
      <c r="B1233" s="2" t="s">
        <v>72</v>
      </c>
      <c r="C1233" s="2">
        <v>2019</v>
      </c>
      <c r="D1233" s="2" t="s">
        <v>1</v>
      </c>
      <c r="E1233" s="2" t="s">
        <v>19</v>
      </c>
      <c r="F1233" s="2" t="s">
        <v>35</v>
      </c>
      <c r="G1233" s="7"/>
      <c r="H1233" s="13" t="str">
        <f>IFERROR(IF(ABS($G1233)&gt;0,VLOOKUP($E1233,'Fuel Category and Heat Rate'!$B$1:$G$34,6,FALSE)*($G1233),""),"")</f>
        <v/>
      </c>
      <c r="I1233" t="str">
        <f>IFERROR(VLOOKUP($E1233,'Fuel Category and Heat Rate'!$K$2:$M$36,3,FALSE),"")</f>
        <v>heavy or residual fuel oil</v>
      </c>
    </row>
    <row r="1234" spans="1:9" x14ac:dyDescent="0.15">
      <c r="A1234" s="2">
        <v>132802</v>
      </c>
      <c r="B1234" s="2" t="s">
        <v>72</v>
      </c>
      <c r="C1234" s="2">
        <v>2019</v>
      </c>
      <c r="D1234" s="2" t="s">
        <v>1</v>
      </c>
      <c r="E1234" s="2" t="s">
        <v>31</v>
      </c>
      <c r="F1234" s="2" t="s">
        <v>37</v>
      </c>
      <c r="G1234" s="7">
        <v>1484.96</v>
      </c>
      <c r="H1234" s="13">
        <f>IFERROR(IF(ABS($G1234)&gt;0,VLOOKUP($E1234,'Fuel Category and Heat Rate'!$B$1:$G$34,6,FALSE)*($G1234),""),"")</f>
        <v>14074705144756.082</v>
      </c>
      <c r="I1234" t="str">
        <f>IFERROR(VLOOKUP($E1234,'Fuel Category and Heat Rate'!$K$2:$M$36,3,FALSE),"")</f>
        <v>heat</v>
      </c>
    </row>
    <row r="1235" spans="1:9" x14ac:dyDescent="0.15">
      <c r="A1235" s="2">
        <v>132837</v>
      </c>
      <c r="B1235" s="2" t="s">
        <v>72</v>
      </c>
      <c r="C1235" s="2">
        <v>2019</v>
      </c>
      <c r="D1235" s="2" t="s">
        <v>1</v>
      </c>
      <c r="E1235" s="2" t="s">
        <v>23</v>
      </c>
      <c r="F1235" s="2" t="s">
        <v>35</v>
      </c>
      <c r="G1235" s="7"/>
      <c r="H1235" s="13" t="str">
        <f>IFERROR(IF(ABS($G1235)&gt;0,VLOOKUP($E1235,'Fuel Category and Heat Rate'!$B$1:$G$34,6,FALSE)*($G1235),""),"")</f>
        <v/>
      </c>
      <c r="I1235" t="str">
        <f>IFERROR(VLOOKUP($E1235,'Fuel Category and Heat Rate'!$K$2:$M$36,3,FALSE),"")</f>
        <v>heavy or residual fuel oil</v>
      </c>
    </row>
    <row r="1236" spans="1:9" x14ac:dyDescent="0.15">
      <c r="A1236" s="2">
        <v>132872</v>
      </c>
      <c r="B1236" s="2" t="s">
        <v>72</v>
      </c>
      <c r="C1236" s="2">
        <v>2019</v>
      </c>
      <c r="D1236" s="2" t="s">
        <v>1</v>
      </c>
      <c r="E1236" s="2" t="s">
        <v>21</v>
      </c>
      <c r="F1236" s="2" t="s">
        <v>35</v>
      </c>
      <c r="G1236" s="7"/>
      <c r="H1236" s="13" t="str">
        <f>IFERROR(IF(ABS($G1236)&gt;0,VLOOKUP($E1236,'Fuel Category and Heat Rate'!$B$1:$G$34,6,FALSE)*($G1236),""),"")</f>
        <v/>
      </c>
      <c r="I1236" t="str">
        <f>IFERROR(VLOOKUP($E1236,'Fuel Category and Heat Rate'!$K$2:$M$36,3,FALSE),"")</f>
        <v>LPG propane or butane</v>
      </c>
    </row>
    <row r="1237" spans="1:9" x14ac:dyDescent="0.15">
      <c r="A1237" s="2">
        <v>132907</v>
      </c>
      <c r="B1237" s="2" t="s">
        <v>72</v>
      </c>
      <c r="C1237" s="2">
        <v>2019</v>
      </c>
      <c r="D1237" s="2" t="s">
        <v>1</v>
      </c>
      <c r="E1237" s="2" t="s">
        <v>22</v>
      </c>
      <c r="F1237" s="2" t="s">
        <v>35</v>
      </c>
      <c r="G1237" s="7"/>
      <c r="H1237" s="13" t="str">
        <f>IFERROR(IF(ABS($G1237)&gt;0,VLOOKUP($E1237,'Fuel Category and Heat Rate'!$B$1:$G$34,6,FALSE)*($G1237),""),"")</f>
        <v/>
      </c>
      <c r="I1237" t="str">
        <f>IFERROR(VLOOKUP($E1237,'Fuel Category and Heat Rate'!$K$2:$M$36,3,FALSE),"")</f>
        <v>heavy fuel oil</v>
      </c>
    </row>
    <row r="1238" spans="1:9" x14ac:dyDescent="0.15">
      <c r="A1238" s="2">
        <v>132942</v>
      </c>
      <c r="B1238" s="2" t="s">
        <v>72</v>
      </c>
      <c r="C1238" s="2">
        <v>2019</v>
      </c>
      <c r="D1238" s="2" t="s">
        <v>1</v>
      </c>
      <c r="E1238" s="2" t="s">
        <v>20</v>
      </c>
      <c r="F1238" s="2" t="s">
        <v>35</v>
      </c>
      <c r="G1238" s="7"/>
      <c r="H1238" s="13" t="str">
        <f>IFERROR(IF(ABS($G1238)&gt;0,VLOOKUP($E1238,'Fuel Category and Heat Rate'!$B$1:$G$34,6,FALSE)*($G1238),""),"")</f>
        <v/>
      </c>
      <c r="I1238" t="str">
        <f>IFERROR(VLOOKUP($E1238,'Fuel Category and Heat Rate'!$K$2:$M$36,3,FALSE),"")</f>
        <v>LPG propane or butane</v>
      </c>
    </row>
    <row r="1239" spans="1:9" x14ac:dyDescent="0.15">
      <c r="A1239" s="2">
        <v>132977</v>
      </c>
      <c r="B1239" s="2" t="s">
        <v>72</v>
      </c>
      <c r="C1239" s="2">
        <v>2019</v>
      </c>
      <c r="D1239" s="2" t="s">
        <v>1</v>
      </c>
      <c r="E1239" s="2" t="s">
        <v>25</v>
      </c>
      <c r="F1239" s="2" t="s">
        <v>35</v>
      </c>
      <c r="G1239" s="7"/>
      <c r="H1239" s="13" t="str">
        <f>IFERROR(IF(ABS($G1239)&gt;0,VLOOKUP($E1239,'Fuel Category and Heat Rate'!$B$1:$G$34,6,FALSE)*($G1239),""),"")</f>
        <v/>
      </c>
      <c r="I1239" t="str">
        <f>IFERROR(VLOOKUP($E1239,'Fuel Category and Heat Rate'!$K$2:$M$36,3,FALSE),"")</f>
        <v>heavy fuel oil</v>
      </c>
    </row>
    <row r="1240" spans="1:9" x14ac:dyDescent="0.15">
      <c r="A1240" s="2">
        <v>133012</v>
      </c>
      <c r="B1240" s="2" t="s">
        <v>72</v>
      </c>
      <c r="C1240" s="2">
        <v>2019</v>
      </c>
      <c r="D1240" s="2" t="s">
        <v>1</v>
      </c>
      <c r="E1240" s="2" t="s">
        <v>24</v>
      </c>
      <c r="F1240" s="2" t="s">
        <v>35</v>
      </c>
      <c r="G1240" s="7"/>
      <c r="H1240" s="13" t="str">
        <f>IFERROR(IF(ABS($G1240)&gt;0,VLOOKUP($E1240,'Fuel Category and Heat Rate'!$B$1:$G$34,6,FALSE)*($G1240),""),"")</f>
        <v/>
      </c>
      <c r="I1240" t="str">
        <f>IFERROR(VLOOKUP($E1240,'Fuel Category and Heat Rate'!$K$2:$M$36,3,FALSE),"")</f>
        <v>heavy fuel oil</v>
      </c>
    </row>
    <row r="1241" spans="1:9" x14ac:dyDescent="0.15">
      <c r="A1241" s="2">
        <v>133047</v>
      </c>
      <c r="B1241" s="2" t="s">
        <v>72</v>
      </c>
      <c r="C1241" s="2">
        <v>2019</v>
      </c>
      <c r="D1241" s="2" t="s">
        <v>1</v>
      </c>
      <c r="E1241" s="2" t="s">
        <v>29</v>
      </c>
      <c r="F1241" s="2" t="s">
        <v>36</v>
      </c>
      <c r="G1241" s="7">
        <v>-1.73</v>
      </c>
      <c r="H1241" s="13">
        <f>IFERROR(IF(ABS($G1241)&gt;0,VLOOKUP($E1241,'Fuel Category and Heat Rate'!$B$1:$G$34,6,FALSE)*($G1241),""),"")</f>
        <v>-5834874523467.1699</v>
      </c>
      <c r="I1241" t="str">
        <f>IFERROR(VLOOKUP($E1241,'Fuel Category and Heat Rate'!$K$2:$M$36,3,FALSE),"")</f>
        <v>natural gas</v>
      </c>
    </row>
    <row r="1242" spans="1:9" x14ac:dyDescent="0.15">
      <c r="A1242" s="2">
        <v>133082</v>
      </c>
      <c r="B1242" s="2" t="s">
        <v>72</v>
      </c>
      <c r="C1242" s="2">
        <v>2019</v>
      </c>
      <c r="D1242" s="2" t="s">
        <v>1</v>
      </c>
      <c r="E1242" s="2" t="s">
        <v>4</v>
      </c>
      <c r="F1242" s="2" t="s">
        <v>35</v>
      </c>
      <c r="G1242" s="7"/>
      <c r="H1242" s="13" t="str">
        <f>IFERROR(IF(ABS($G1242)&gt;0,VLOOKUP($E1242,'Fuel Category and Heat Rate'!$B$1:$G$34,6,FALSE)*($G1242),""),"")</f>
        <v/>
      </c>
      <c r="I1242" t="str">
        <f>IFERROR(VLOOKUP($E1242,'Fuel Category and Heat Rate'!$K$2:$M$36,3,FALSE),"")</f>
        <v>coal</v>
      </c>
    </row>
    <row r="1243" spans="1:9" x14ac:dyDescent="0.15">
      <c r="A1243" s="2">
        <v>133117</v>
      </c>
      <c r="B1243" s="2" t="s">
        <v>72</v>
      </c>
      <c r="C1243" s="2">
        <v>2019</v>
      </c>
      <c r="D1243" s="2" t="s">
        <v>1</v>
      </c>
      <c r="E1243" s="2" t="s">
        <v>6</v>
      </c>
      <c r="F1243" s="2" t="s">
        <v>35</v>
      </c>
      <c r="G1243" s="7"/>
      <c r="H1243" s="13" t="str">
        <f>IFERROR(IF(ABS($G1243)&gt;0,VLOOKUP($E1243,'Fuel Category and Heat Rate'!$B$1:$G$34,6,FALSE)*($G1243),""),"")</f>
        <v/>
      </c>
      <c r="I1243" t="str">
        <f>IFERROR(VLOOKUP($E1243,'Fuel Category and Heat Rate'!$K$2:$M$36,3,FALSE),"")</f>
        <v>coal</v>
      </c>
    </row>
    <row r="1244" spans="1:9" x14ac:dyDescent="0.15">
      <c r="A1244" s="2">
        <v>133152</v>
      </c>
      <c r="B1244" s="2" t="s">
        <v>72</v>
      </c>
      <c r="C1244" s="2">
        <v>2019</v>
      </c>
      <c r="D1244" s="2" t="s">
        <v>1</v>
      </c>
      <c r="E1244" s="2" t="s">
        <v>26</v>
      </c>
      <c r="F1244" s="2" t="s">
        <v>35</v>
      </c>
      <c r="G1244" s="7">
        <v>-2.41</v>
      </c>
      <c r="H1244" s="13">
        <f>IFERROR(IF(ABS($G1244)&gt;0,VLOOKUP($E1244,'Fuel Category and Heat Rate'!$B$1:$G$34,6,FALSE)*($G1244),""),"")</f>
        <v>-1146208421099.2244</v>
      </c>
      <c r="I1244" t="str">
        <f>IFERROR(VLOOKUP($E1244,'Fuel Category and Heat Rate'!$K$2:$M$36,3,FALSE),"")</f>
        <v>LPG propane or butane</v>
      </c>
    </row>
    <row r="1245" spans="1:9" x14ac:dyDescent="0.15">
      <c r="A1245" s="2">
        <v>133187</v>
      </c>
      <c r="B1245" s="2" t="s">
        <v>72</v>
      </c>
      <c r="C1245" s="2">
        <v>2019</v>
      </c>
      <c r="D1245" s="2" t="s">
        <v>1</v>
      </c>
      <c r="E1245" s="2" t="s">
        <v>30</v>
      </c>
      <c r="F1245" s="2" t="s">
        <v>35</v>
      </c>
      <c r="G1245" s="7"/>
      <c r="H1245" s="13" t="str">
        <f>IFERROR(IF(ABS($G1245)&gt;0,VLOOKUP($E1245,'Fuel Category and Heat Rate'!$B$1:$G$34,6,FALSE)*($G1245),""),"")</f>
        <v/>
      </c>
      <c r="I1245" t="str">
        <f>IFERROR(VLOOKUP($E1245,'Fuel Category and Heat Rate'!$K$2:$M$36,3,FALSE),"")</f>
        <v>natural gas</v>
      </c>
    </row>
    <row r="1246" spans="1:9" x14ac:dyDescent="0.15">
      <c r="A1246" s="2">
        <v>133222</v>
      </c>
      <c r="B1246" s="2" t="s">
        <v>72</v>
      </c>
      <c r="C1246" s="2">
        <v>2019</v>
      </c>
      <c r="D1246" s="2" t="s">
        <v>1</v>
      </c>
      <c r="E1246" s="2" t="s">
        <v>14</v>
      </c>
      <c r="F1246" s="2" t="s">
        <v>35</v>
      </c>
      <c r="G1246" s="7">
        <v>-10.53</v>
      </c>
      <c r="H1246" s="13">
        <f>IFERROR(IF(ABS($G1246)&gt;0,VLOOKUP($E1246,'Fuel Category and Heat Rate'!$B$1:$G$34,6,FALSE)*($G1246),""),"")</f>
        <v>0</v>
      </c>
      <c r="I1246" t="str">
        <f>IFERROR(VLOOKUP($E1246,'Fuel Category and Heat Rate'!$K$2:$M$36,3,FALSE),"")</f>
        <v/>
      </c>
    </row>
    <row r="1247" spans="1:9" x14ac:dyDescent="0.15">
      <c r="A1247" s="2">
        <v>133257</v>
      </c>
      <c r="B1247" s="2" t="s">
        <v>72</v>
      </c>
      <c r="C1247" s="2">
        <v>2019</v>
      </c>
      <c r="D1247" s="2" t="s">
        <v>1</v>
      </c>
      <c r="E1247" s="2" t="s">
        <v>3</v>
      </c>
      <c r="F1247" s="2" t="s">
        <v>35</v>
      </c>
      <c r="G1247" s="7">
        <v>-49.91</v>
      </c>
      <c r="H1247" s="13">
        <f>IFERROR(IF(ABS($G1247)&gt;0,VLOOKUP($E1247,'Fuel Category and Heat Rate'!$B$1:$G$34,6,FALSE)*($G1247),""),"")</f>
        <v>-9890644936000.3066</v>
      </c>
      <c r="I1247" t="str">
        <f>IFERROR(VLOOKUP($E1247,'Fuel Category and Heat Rate'!$K$2:$M$36,3,FALSE),"")</f>
        <v>coal</v>
      </c>
    </row>
    <row r="1248" spans="1:9" x14ac:dyDescent="0.15">
      <c r="A1248" s="2">
        <v>133292</v>
      </c>
      <c r="B1248" s="2" t="s">
        <v>72</v>
      </c>
      <c r="C1248" s="2">
        <v>2019</v>
      </c>
      <c r="D1248" s="2" t="s">
        <v>1</v>
      </c>
      <c r="E1248" s="2" t="s">
        <v>15</v>
      </c>
      <c r="F1248" s="2" t="s">
        <v>35</v>
      </c>
      <c r="G1248" s="7"/>
      <c r="H1248" s="13" t="str">
        <f>IFERROR(IF(ABS($G1248)&gt;0,VLOOKUP($E1248,'Fuel Category and Heat Rate'!$B$1:$G$34,6,FALSE)*($G1248),""),"")</f>
        <v/>
      </c>
      <c r="I1248" t="str">
        <f>IFERROR(VLOOKUP($E1248,'Fuel Category and Heat Rate'!$K$2:$M$36,3,FALSE),"")</f>
        <v>crude oil</v>
      </c>
    </row>
    <row r="1249" spans="1:9" x14ac:dyDescent="0.15">
      <c r="A1249" s="2">
        <v>133327</v>
      </c>
      <c r="B1249" s="2" t="s">
        <v>72</v>
      </c>
      <c r="C1249" s="2">
        <v>2019</v>
      </c>
      <c r="D1249" s="2" t="s">
        <v>1</v>
      </c>
      <c r="E1249" s="2" t="s">
        <v>11</v>
      </c>
      <c r="F1249" s="2" t="s">
        <v>36</v>
      </c>
      <c r="G1249" s="7"/>
      <c r="H1249" s="13" t="str">
        <f>IFERROR(IF(ABS($G1249)&gt;0,VLOOKUP($E1249,'Fuel Category and Heat Rate'!$B$1:$G$34,6,FALSE)*($G1249),""),"")</f>
        <v/>
      </c>
      <c r="I1249" t="str">
        <f>IFERROR(VLOOKUP($E1249,'Fuel Category and Heat Rate'!$K$2:$M$36,3,FALSE),"")</f>
        <v>LPG propane or butane</v>
      </c>
    </row>
    <row r="1250" spans="1:9" x14ac:dyDescent="0.15">
      <c r="A1250" s="2">
        <v>133362</v>
      </c>
      <c r="B1250" s="2" t="s">
        <v>72</v>
      </c>
      <c r="C1250" s="2">
        <v>2018</v>
      </c>
      <c r="D1250" s="2" t="s">
        <v>1</v>
      </c>
      <c r="E1250" s="2" t="s">
        <v>18</v>
      </c>
      <c r="F1250" s="2" t="s">
        <v>35</v>
      </c>
      <c r="G1250" s="7"/>
      <c r="H1250" s="13" t="str">
        <f>IFERROR(IF(ABS($G1250)&gt;0,VLOOKUP($E1250,'Fuel Category and Heat Rate'!$B$1:$G$34,6,FALSE)*($G1250),""),"")</f>
        <v/>
      </c>
      <c r="I1250" t="str">
        <f>IFERROR(VLOOKUP($E1250,'Fuel Category and Heat Rate'!$K$2:$M$36,3,FALSE),"")</f>
        <v>petroleum diesel</v>
      </c>
    </row>
    <row r="1251" spans="1:9" x14ac:dyDescent="0.15">
      <c r="A1251" s="2">
        <v>133397</v>
      </c>
      <c r="B1251" s="2" t="s">
        <v>72</v>
      </c>
      <c r="C1251" s="2">
        <v>2018</v>
      </c>
      <c r="D1251" s="2" t="s">
        <v>1</v>
      </c>
      <c r="E1251" s="2" t="s">
        <v>32</v>
      </c>
      <c r="F1251" s="2" t="s">
        <v>65</v>
      </c>
      <c r="G1251" s="7"/>
      <c r="H1251" s="13" t="str">
        <f>IFERROR(IF(ABS($G1251)&gt;0,VLOOKUP($E1251,'Fuel Category and Heat Rate'!$B$1:$G$34,6,FALSE)*($G1251),""),"")</f>
        <v/>
      </c>
      <c r="I1251" t="str">
        <f>IFERROR(VLOOKUP($E1251,'Fuel Category and Heat Rate'!$K$2:$M$36,3,FALSE),"")</f>
        <v>electricity</v>
      </c>
    </row>
    <row r="1252" spans="1:9" x14ac:dyDescent="0.15">
      <c r="A1252" s="2">
        <v>133432</v>
      </c>
      <c r="B1252" s="2" t="s">
        <v>72</v>
      </c>
      <c r="C1252" s="2">
        <v>2018</v>
      </c>
      <c r="D1252" s="2" t="s">
        <v>1</v>
      </c>
      <c r="E1252" s="2" t="s">
        <v>10</v>
      </c>
      <c r="F1252" s="2" t="s">
        <v>36</v>
      </c>
      <c r="G1252" s="7"/>
      <c r="H1252" s="13" t="str">
        <f>IFERROR(IF(ABS($G1252)&gt;0,VLOOKUP($E1252,'Fuel Category and Heat Rate'!$B$1:$G$34,6,FALSE)*($G1252),""),"")</f>
        <v/>
      </c>
      <c r="I1252" t="str">
        <f>IFERROR(VLOOKUP($E1252,'Fuel Category and Heat Rate'!$K$2:$M$36,3,FALSE),"")</f>
        <v>LPG propane or butane</v>
      </c>
    </row>
    <row r="1253" spans="1:9" x14ac:dyDescent="0.15">
      <c r="A1253" s="2">
        <v>133467</v>
      </c>
      <c r="B1253" s="2" t="s">
        <v>72</v>
      </c>
      <c r="C1253" s="2">
        <v>2018</v>
      </c>
      <c r="D1253" s="2" t="s">
        <v>1</v>
      </c>
      <c r="E1253" s="2" t="s">
        <v>9</v>
      </c>
      <c r="F1253" s="2" t="s">
        <v>36</v>
      </c>
      <c r="G1253" s="7"/>
      <c r="H1253" s="13" t="str">
        <f>IFERROR(IF(ABS($G1253)&gt;0,VLOOKUP($E1253,'Fuel Category and Heat Rate'!$B$1:$G$34,6,FALSE)*($G1253),""),"")</f>
        <v/>
      </c>
      <c r="I1253" t="str">
        <f>IFERROR(VLOOKUP($E1253,'Fuel Category and Heat Rate'!$K$2:$M$36,3,FALSE),"")</f>
        <v>LPG propane or butane</v>
      </c>
    </row>
    <row r="1254" spans="1:9" x14ac:dyDescent="0.15">
      <c r="A1254" s="2">
        <v>133502</v>
      </c>
      <c r="B1254" s="2" t="s">
        <v>72</v>
      </c>
      <c r="C1254" s="2">
        <v>2018</v>
      </c>
      <c r="D1254" s="2" t="s">
        <v>1</v>
      </c>
      <c r="E1254" s="2" t="s">
        <v>8</v>
      </c>
      <c r="F1254" s="2" t="s">
        <v>35</v>
      </c>
      <c r="G1254" s="7"/>
      <c r="H1254" s="13" t="str">
        <f>IFERROR(IF(ABS($G1254)&gt;0,VLOOKUP($E1254,'Fuel Category and Heat Rate'!$B$1:$G$34,6,FALSE)*($G1254),""),"")</f>
        <v/>
      </c>
      <c r="I1254" t="str">
        <f>IFERROR(VLOOKUP($E1254,'Fuel Category and Heat Rate'!$K$2:$M$36,3,FALSE),"")</f>
        <v>coal</v>
      </c>
    </row>
    <row r="1255" spans="1:9" x14ac:dyDescent="0.15">
      <c r="A1255" s="2">
        <v>133537</v>
      </c>
      <c r="B1255" s="2" t="s">
        <v>72</v>
      </c>
      <c r="C1255" s="2">
        <v>2018</v>
      </c>
      <c r="D1255" s="2" t="s">
        <v>1</v>
      </c>
      <c r="E1255" s="2" t="s">
        <v>27</v>
      </c>
      <c r="F1255" s="2" t="s">
        <v>35</v>
      </c>
      <c r="G1255" s="7">
        <v>-9.2799999999999994</v>
      </c>
      <c r="H1255" s="13">
        <f>IFERROR(IF(ABS($G1255)&gt;0,VLOOKUP($E1255,'Fuel Category and Heat Rate'!$B$1:$G$34,6,FALSE)*($G1255),""),"")</f>
        <v>-4045865818382.9795</v>
      </c>
      <c r="I1255" t="str">
        <f>IFERROR(VLOOKUP($E1255,'Fuel Category and Heat Rate'!$K$2:$M$36,3,FALSE),"")</f>
        <v>LPG propane or butane</v>
      </c>
    </row>
    <row r="1256" spans="1:9" x14ac:dyDescent="0.15">
      <c r="A1256" s="2">
        <v>133572</v>
      </c>
      <c r="B1256" s="2" t="s">
        <v>72</v>
      </c>
      <c r="C1256" s="2">
        <v>2018</v>
      </c>
      <c r="D1256" s="2" t="s">
        <v>1</v>
      </c>
      <c r="E1256" s="2" t="s">
        <v>7</v>
      </c>
      <c r="F1256" s="2" t="s">
        <v>35</v>
      </c>
      <c r="G1256" s="7"/>
      <c r="H1256" s="13" t="str">
        <f>IFERROR(IF(ABS($G1256)&gt;0,VLOOKUP($E1256,'Fuel Category and Heat Rate'!$B$1:$G$34,6,FALSE)*($G1256),""),"")</f>
        <v/>
      </c>
      <c r="I1256" t="str">
        <f>IFERROR(VLOOKUP($E1256,'Fuel Category and Heat Rate'!$K$2:$M$36,3,FALSE),"")</f>
        <v>coal</v>
      </c>
    </row>
    <row r="1257" spans="1:9" x14ac:dyDescent="0.15">
      <c r="A1257" s="2">
        <v>133607</v>
      </c>
      <c r="B1257" s="2" t="s">
        <v>72</v>
      </c>
      <c r="C1257" s="2">
        <v>2018</v>
      </c>
      <c r="D1257" s="2" t="s">
        <v>1</v>
      </c>
      <c r="E1257" s="2" t="s">
        <v>2</v>
      </c>
      <c r="F1257" s="2" t="s">
        <v>35</v>
      </c>
      <c r="G1257" s="7">
        <v>-47.53</v>
      </c>
      <c r="H1257" s="13">
        <f>IFERROR(IF(ABS($G1257)&gt;0,VLOOKUP($E1257,'Fuel Category and Heat Rate'!$B$1:$G$34,6,FALSE)*($G1257),""),"")</f>
        <v>0</v>
      </c>
      <c r="I1257" t="str">
        <f>IFERROR(VLOOKUP($E1257,'Fuel Category and Heat Rate'!$K$2:$M$36,3,FALSE),"")</f>
        <v/>
      </c>
    </row>
    <row r="1258" spans="1:9" x14ac:dyDescent="0.15">
      <c r="A1258" s="2">
        <v>133642</v>
      </c>
      <c r="B1258" s="2" t="s">
        <v>72</v>
      </c>
      <c r="C1258" s="2">
        <v>2018</v>
      </c>
      <c r="D1258" s="2" t="s">
        <v>1</v>
      </c>
      <c r="E1258" s="2" t="s">
        <v>17</v>
      </c>
      <c r="F1258" s="2" t="s">
        <v>35</v>
      </c>
      <c r="G1258" s="7"/>
      <c r="H1258" s="13" t="str">
        <f>IFERROR(IF(ABS($G1258)&gt;0,VLOOKUP($E1258,'Fuel Category and Heat Rate'!$B$1:$G$34,6,FALSE)*($G1258),""),"")</f>
        <v/>
      </c>
      <c r="I1258" t="str">
        <f>IFERROR(VLOOKUP($E1258,'Fuel Category and Heat Rate'!$K$2:$M$36,3,FALSE),"")</f>
        <v>petroleum diesel</v>
      </c>
    </row>
    <row r="1259" spans="1:9" x14ac:dyDescent="0.15">
      <c r="A1259" s="2">
        <v>133677</v>
      </c>
      <c r="B1259" s="2" t="s">
        <v>72</v>
      </c>
      <c r="C1259" s="2">
        <v>2018</v>
      </c>
      <c r="D1259" s="2" t="s">
        <v>1</v>
      </c>
      <c r="E1259" s="2" t="s">
        <v>13</v>
      </c>
      <c r="F1259" s="2" t="s">
        <v>35</v>
      </c>
      <c r="G1259" s="7"/>
      <c r="H1259" s="13" t="str">
        <f>IFERROR(IF(ABS($G1259)&gt;0,VLOOKUP($E1259,'Fuel Category and Heat Rate'!$B$1:$G$34,6,FALSE)*($G1259),""),"")</f>
        <v/>
      </c>
      <c r="I1259" t="str">
        <f>IFERROR(VLOOKUP($E1259,'Fuel Category and Heat Rate'!$K$2:$M$36,3,FALSE),"")</f>
        <v>petroleum diesel</v>
      </c>
    </row>
    <row r="1260" spans="1:9" x14ac:dyDescent="0.15">
      <c r="A1260" s="2">
        <v>133712</v>
      </c>
      <c r="B1260" s="2" t="s">
        <v>72</v>
      </c>
      <c r="C1260" s="2">
        <v>2018</v>
      </c>
      <c r="D1260" s="2" t="s">
        <v>1</v>
      </c>
      <c r="E1260" s="2" t="s">
        <v>12</v>
      </c>
      <c r="F1260" s="2" t="s">
        <v>36</v>
      </c>
      <c r="G1260" s="7"/>
      <c r="H1260" s="13" t="str">
        <f>IFERROR(IF(ABS($G1260)&gt;0,VLOOKUP($E1260,'Fuel Category and Heat Rate'!$B$1:$G$34,6,FALSE)*($G1260),""),"")</f>
        <v/>
      </c>
      <c r="I1260" t="str">
        <f>IFERROR(VLOOKUP($E1260,'Fuel Category and Heat Rate'!$K$2:$M$36,3,FALSE),"")</f>
        <v>LPG propane or butane</v>
      </c>
    </row>
    <row r="1261" spans="1:9" x14ac:dyDescent="0.15">
      <c r="A1261" s="2">
        <v>133747</v>
      </c>
      <c r="B1261" s="2" t="s">
        <v>72</v>
      </c>
      <c r="C1261" s="2">
        <v>2018</v>
      </c>
      <c r="D1261" s="2" t="s">
        <v>1</v>
      </c>
      <c r="E1261" s="2" t="s">
        <v>33</v>
      </c>
      <c r="F1261" s="2" t="s">
        <v>38</v>
      </c>
      <c r="G1261" s="7">
        <v>-1.25</v>
      </c>
      <c r="H1261" s="13">
        <f>IFERROR(IF(ABS($G1261)&gt;0,VLOOKUP($E1261,'Fuel Category and Heat Rate'!$B$1:$G$34,6,FALSE)*($G1261),""),"")</f>
        <v>-346794437469.82678</v>
      </c>
      <c r="I1261" t="str">
        <f>IFERROR(VLOOKUP($E1261,'Fuel Category and Heat Rate'!$K$2:$M$36,3,FALSE),"")</f>
        <v>biomass</v>
      </c>
    </row>
    <row r="1262" spans="1:9" x14ac:dyDescent="0.15">
      <c r="A1262" s="2">
        <v>133782</v>
      </c>
      <c r="B1262" s="2" t="s">
        <v>72</v>
      </c>
      <c r="C1262" s="2">
        <v>2018</v>
      </c>
      <c r="D1262" s="2" t="s">
        <v>1</v>
      </c>
      <c r="E1262" s="2" t="s">
        <v>28</v>
      </c>
      <c r="F1262" s="2" t="s">
        <v>35</v>
      </c>
      <c r="G1262" s="7"/>
      <c r="H1262" s="13" t="str">
        <f>IFERROR(IF(ABS($G1262)&gt;0,VLOOKUP($E1262,'Fuel Category and Heat Rate'!$B$1:$G$34,6,FALSE)*($G1262),""),"")</f>
        <v/>
      </c>
      <c r="I1262" t="str">
        <f>IFERROR(VLOOKUP($E1262,'Fuel Category and Heat Rate'!$K$2:$M$36,3,FALSE),"")</f>
        <v>heavy or residual fuel oil</v>
      </c>
    </row>
    <row r="1263" spans="1:9" x14ac:dyDescent="0.15">
      <c r="A1263" s="2">
        <v>133817</v>
      </c>
      <c r="B1263" s="2" t="s">
        <v>72</v>
      </c>
      <c r="C1263" s="2">
        <v>2018</v>
      </c>
      <c r="D1263" s="2" t="s">
        <v>1</v>
      </c>
      <c r="E1263" s="2" t="s">
        <v>5</v>
      </c>
      <c r="F1263" s="2" t="s">
        <v>35</v>
      </c>
      <c r="G1263" s="7"/>
      <c r="H1263" s="13" t="str">
        <f>IFERROR(IF(ABS($G1263)&gt;0,VLOOKUP($E1263,'Fuel Category and Heat Rate'!$B$1:$G$34,6,FALSE)*($G1263),""),"")</f>
        <v/>
      </c>
      <c r="I1263" t="str">
        <f>IFERROR(VLOOKUP($E1263,'Fuel Category and Heat Rate'!$K$2:$M$36,3,FALSE),"")</f>
        <v>coal</v>
      </c>
    </row>
    <row r="1264" spans="1:9" x14ac:dyDescent="0.15">
      <c r="A1264" s="2">
        <v>133852</v>
      </c>
      <c r="B1264" s="2" t="s">
        <v>72</v>
      </c>
      <c r="C1264" s="2">
        <v>2018</v>
      </c>
      <c r="D1264" s="2" t="s">
        <v>1</v>
      </c>
      <c r="E1264" s="2" t="s">
        <v>16</v>
      </c>
      <c r="F1264" s="2" t="s">
        <v>35</v>
      </c>
      <c r="G1264" s="7"/>
      <c r="H1264" s="13" t="str">
        <f>IFERROR(IF(ABS($G1264)&gt;0,VLOOKUP($E1264,'Fuel Category and Heat Rate'!$B$1:$G$34,6,FALSE)*($G1264),""),"")</f>
        <v/>
      </c>
      <c r="I1264" t="str">
        <f>IFERROR(VLOOKUP($E1264,'Fuel Category and Heat Rate'!$K$2:$M$36,3,FALSE),"")</f>
        <v>petroleum diesel</v>
      </c>
    </row>
    <row r="1265" spans="1:9" x14ac:dyDescent="0.15">
      <c r="A1265" s="2">
        <v>133887</v>
      </c>
      <c r="B1265" s="2" t="s">
        <v>72</v>
      </c>
      <c r="C1265" s="2">
        <v>2018</v>
      </c>
      <c r="D1265" s="2" t="s">
        <v>1</v>
      </c>
      <c r="E1265" s="2" t="s">
        <v>19</v>
      </c>
      <c r="F1265" s="2" t="s">
        <v>35</v>
      </c>
      <c r="G1265" s="7"/>
      <c r="H1265" s="13" t="str">
        <f>IFERROR(IF(ABS($G1265)&gt;0,VLOOKUP($E1265,'Fuel Category and Heat Rate'!$B$1:$G$34,6,FALSE)*($G1265),""),"")</f>
        <v/>
      </c>
      <c r="I1265" t="str">
        <f>IFERROR(VLOOKUP($E1265,'Fuel Category and Heat Rate'!$K$2:$M$36,3,FALSE),"")</f>
        <v>heavy or residual fuel oil</v>
      </c>
    </row>
    <row r="1266" spans="1:9" x14ac:dyDescent="0.15">
      <c r="A1266" s="2">
        <v>133922</v>
      </c>
      <c r="B1266" s="2" t="s">
        <v>72</v>
      </c>
      <c r="C1266" s="2">
        <v>2018</v>
      </c>
      <c r="D1266" s="2" t="s">
        <v>1</v>
      </c>
      <c r="E1266" s="2" t="s">
        <v>31</v>
      </c>
      <c r="F1266" s="2" t="s">
        <v>37</v>
      </c>
      <c r="G1266" s="7">
        <v>1094.33</v>
      </c>
      <c r="H1266" s="13">
        <f>IFERROR(IF(ABS($G1266)&gt;0,VLOOKUP($E1266,'Fuel Category and Heat Rate'!$B$1:$G$34,6,FALSE)*($G1266),""),"")</f>
        <v>10372247118481.926</v>
      </c>
      <c r="I1266" t="str">
        <f>IFERROR(VLOOKUP($E1266,'Fuel Category and Heat Rate'!$K$2:$M$36,3,FALSE),"")</f>
        <v>heat</v>
      </c>
    </row>
    <row r="1267" spans="1:9" x14ac:dyDescent="0.15">
      <c r="A1267" s="2">
        <v>133957</v>
      </c>
      <c r="B1267" s="2" t="s">
        <v>72</v>
      </c>
      <c r="C1267" s="2">
        <v>2018</v>
      </c>
      <c r="D1267" s="2" t="s">
        <v>1</v>
      </c>
      <c r="E1267" s="2" t="s">
        <v>23</v>
      </c>
      <c r="F1267" s="2" t="s">
        <v>35</v>
      </c>
      <c r="G1267" s="7"/>
      <c r="H1267" s="13" t="str">
        <f>IFERROR(IF(ABS($G1267)&gt;0,VLOOKUP($E1267,'Fuel Category and Heat Rate'!$B$1:$G$34,6,FALSE)*($G1267),""),"")</f>
        <v/>
      </c>
      <c r="I1267" t="str">
        <f>IFERROR(VLOOKUP($E1267,'Fuel Category and Heat Rate'!$K$2:$M$36,3,FALSE),"")</f>
        <v>heavy or residual fuel oil</v>
      </c>
    </row>
    <row r="1268" spans="1:9" x14ac:dyDescent="0.15">
      <c r="A1268" s="2">
        <v>133992</v>
      </c>
      <c r="B1268" s="2" t="s">
        <v>72</v>
      </c>
      <c r="C1268" s="2">
        <v>2018</v>
      </c>
      <c r="D1268" s="2" t="s">
        <v>1</v>
      </c>
      <c r="E1268" s="2" t="s">
        <v>21</v>
      </c>
      <c r="F1268" s="2" t="s">
        <v>35</v>
      </c>
      <c r="G1268" s="7"/>
      <c r="H1268" s="13" t="str">
        <f>IFERROR(IF(ABS($G1268)&gt;0,VLOOKUP($E1268,'Fuel Category and Heat Rate'!$B$1:$G$34,6,FALSE)*($G1268),""),"")</f>
        <v/>
      </c>
      <c r="I1268" t="str">
        <f>IFERROR(VLOOKUP($E1268,'Fuel Category and Heat Rate'!$K$2:$M$36,3,FALSE),"")</f>
        <v>LPG propane or butane</v>
      </c>
    </row>
    <row r="1269" spans="1:9" x14ac:dyDescent="0.15">
      <c r="A1269" s="2">
        <v>134027</v>
      </c>
      <c r="B1269" s="2" t="s">
        <v>72</v>
      </c>
      <c r="C1269" s="2">
        <v>2018</v>
      </c>
      <c r="D1269" s="2" t="s">
        <v>1</v>
      </c>
      <c r="E1269" s="2" t="s">
        <v>22</v>
      </c>
      <c r="F1269" s="2" t="s">
        <v>35</v>
      </c>
      <c r="G1269" s="7"/>
      <c r="H1269" s="13" t="str">
        <f>IFERROR(IF(ABS($G1269)&gt;0,VLOOKUP($E1269,'Fuel Category and Heat Rate'!$B$1:$G$34,6,FALSE)*($G1269),""),"")</f>
        <v/>
      </c>
      <c r="I1269" t="str">
        <f>IFERROR(VLOOKUP($E1269,'Fuel Category and Heat Rate'!$K$2:$M$36,3,FALSE),"")</f>
        <v>heavy fuel oil</v>
      </c>
    </row>
    <row r="1270" spans="1:9" x14ac:dyDescent="0.15">
      <c r="A1270" s="2">
        <v>134062</v>
      </c>
      <c r="B1270" s="2" t="s">
        <v>72</v>
      </c>
      <c r="C1270" s="2">
        <v>2018</v>
      </c>
      <c r="D1270" s="2" t="s">
        <v>1</v>
      </c>
      <c r="E1270" s="2" t="s">
        <v>20</v>
      </c>
      <c r="F1270" s="2" t="s">
        <v>35</v>
      </c>
      <c r="G1270" s="7"/>
      <c r="H1270" s="13" t="str">
        <f>IFERROR(IF(ABS($G1270)&gt;0,VLOOKUP($E1270,'Fuel Category and Heat Rate'!$B$1:$G$34,6,FALSE)*($G1270),""),"")</f>
        <v/>
      </c>
      <c r="I1270" t="str">
        <f>IFERROR(VLOOKUP($E1270,'Fuel Category and Heat Rate'!$K$2:$M$36,3,FALSE),"")</f>
        <v>LPG propane or butane</v>
      </c>
    </row>
    <row r="1271" spans="1:9" x14ac:dyDescent="0.15">
      <c r="A1271" s="2">
        <v>134097</v>
      </c>
      <c r="B1271" s="2" t="s">
        <v>72</v>
      </c>
      <c r="C1271" s="2">
        <v>2018</v>
      </c>
      <c r="D1271" s="2" t="s">
        <v>1</v>
      </c>
      <c r="E1271" s="2" t="s">
        <v>25</v>
      </c>
      <c r="F1271" s="2" t="s">
        <v>35</v>
      </c>
      <c r="G1271" s="7"/>
      <c r="H1271" s="13" t="str">
        <f>IFERROR(IF(ABS($G1271)&gt;0,VLOOKUP($E1271,'Fuel Category and Heat Rate'!$B$1:$G$34,6,FALSE)*($G1271),""),"")</f>
        <v/>
      </c>
      <c r="I1271" t="str">
        <f>IFERROR(VLOOKUP($E1271,'Fuel Category and Heat Rate'!$K$2:$M$36,3,FALSE),"")</f>
        <v>heavy fuel oil</v>
      </c>
    </row>
    <row r="1272" spans="1:9" x14ac:dyDescent="0.15">
      <c r="A1272" s="2">
        <v>134132</v>
      </c>
      <c r="B1272" s="2" t="s">
        <v>72</v>
      </c>
      <c r="C1272" s="2">
        <v>2018</v>
      </c>
      <c r="D1272" s="2" t="s">
        <v>1</v>
      </c>
      <c r="E1272" s="2" t="s">
        <v>24</v>
      </c>
      <c r="F1272" s="2" t="s">
        <v>35</v>
      </c>
      <c r="G1272" s="7"/>
      <c r="H1272" s="13" t="str">
        <f>IFERROR(IF(ABS($G1272)&gt;0,VLOOKUP($E1272,'Fuel Category and Heat Rate'!$B$1:$G$34,6,FALSE)*($G1272),""),"")</f>
        <v/>
      </c>
      <c r="I1272" t="str">
        <f>IFERROR(VLOOKUP($E1272,'Fuel Category and Heat Rate'!$K$2:$M$36,3,FALSE),"")</f>
        <v>heavy fuel oil</v>
      </c>
    </row>
    <row r="1273" spans="1:9" x14ac:dyDescent="0.15">
      <c r="A1273" s="2">
        <v>134167</v>
      </c>
      <c r="B1273" s="2" t="s">
        <v>72</v>
      </c>
      <c r="C1273" s="2">
        <v>2018</v>
      </c>
      <c r="D1273" s="2" t="s">
        <v>1</v>
      </c>
      <c r="E1273" s="2" t="s">
        <v>29</v>
      </c>
      <c r="F1273" s="2" t="s">
        <v>36</v>
      </c>
      <c r="G1273" s="7"/>
      <c r="H1273" s="13" t="str">
        <f>IFERROR(IF(ABS($G1273)&gt;0,VLOOKUP($E1273,'Fuel Category and Heat Rate'!$B$1:$G$34,6,FALSE)*($G1273),""),"")</f>
        <v/>
      </c>
      <c r="I1273" t="str">
        <f>IFERROR(VLOOKUP($E1273,'Fuel Category and Heat Rate'!$K$2:$M$36,3,FALSE),"")</f>
        <v>natural gas</v>
      </c>
    </row>
    <row r="1274" spans="1:9" x14ac:dyDescent="0.15">
      <c r="A1274" s="2">
        <v>134202</v>
      </c>
      <c r="B1274" s="2" t="s">
        <v>72</v>
      </c>
      <c r="C1274" s="2">
        <v>2018</v>
      </c>
      <c r="D1274" s="2" t="s">
        <v>1</v>
      </c>
      <c r="E1274" s="2" t="s">
        <v>4</v>
      </c>
      <c r="F1274" s="2" t="s">
        <v>35</v>
      </c>
      <c r="G1274" s="7"/>
      <c r="H1274" s="13" t="str">
        <f>IFERROR(IF(ABS($G1274)&gt;0,VLOOKUP($E1274,'Fuel Category and Heat Rate'!$B$1:$G$34,6,FALSE)*($G1274),""),"")</f>
        <v/>
      </c>
      <c r="I1274" t="str">
        <f>IFERROR(VLOOKUP($E1274,'Fuel Category and Heat Rate'!$K$2:$M$36,3,FALSE),"")</f>
        <v>coal</v>
      </c>
    </row>
    <row r="1275" spans="1:9" x14ac:dyDescent="0.15">
      <c r="A1275" s="2">
        <v>134237</v>
      </c>
      <c r="B1275" s="2" t="s">
        <v>72</v>
      </c>
      <c r="C1275" s="2">
        <v>2018</v>
      </c>
      <c r="D1275" s="2" t="s">
        <v>1</v>
      </c>
      <c r="E1275" s="2" t="s">
        <v>6</v>
      </c>
      <c r="F1275" s="2" t="s">
        <v>35</v>
      </c>
      <c r="G1275" s="7"/>
      <c r="H1275" s="13" t="str">
        <f>IFERROR(IF(ABS($G1275)&gt;0,VLOOKUP($E1275,'Fuel Category and Heat Rate'!$B$1:$G$34,6,FALSE)*($G1275),""),"")</f>
        <v/>
      </c>
      <c r="I1275" t="str">
        <f>IFERROR(VLOOKUP($E1275,'Fuel Category and Heat Rate'!$K$2:$M$36,3,FALSE),"")</f>
        <v>coal</v>
      </c>
    </row>
    <row r="1276" spans="1:9" x14ac:dyDescent="0.15">
      <c r="A1276" s="2">
        <v>134272</v>
      </c>
      <c r="B1276" s="2" t="s">
        <v>72</v>
      </c>
      <c r="C1276" s="2">
        <v>2018</v>
      </c>
      <c r="D1276" s="2" t="s">
        <v>1</v>
      </c>
      <c r="E1276" s="2" t="s">
        <v>26</v>
      </c>
      <c r="F1276" s="2" t="s">
        <v>35</v>
      </c>
      <c r="G1276" s="7">
        <v>-1.66</v>
      </c>
      <c r="H1276" s="13">
        <f>IFERROR(IF(ABS($G1276)&gt;0,VLOOKUP($E1276,'Fuel Category and Heat Rate'!$B$1:$G$34,6,FALSE)*($G1276),""),"")</f>
        <v>-789504555611.91382</v>
      </c>
      <c r="I1276" t="str">
        <f>IFERROR(VLOOKUP($E1276,'Fuel Category and Heat Rate'!$K$2:$M$36,3,FALSE),"")</f>
        <v>LPG propane or butane</v>
      </c>
    </row>
    <row r="1277" spans="1:9" x14ac:dyDescent="0.15">
      <c r="A1277" s="2">
        <v>134307</v>
      </c>
      <c r="B1277" s="2" t="s">
        <v>72</v>
      </c>
      <c r="C1277" s="2">
        <v>2018</v>
      </c>
      <c r="D1277" s="2" t="s">
        <v>1</v>
      </c>
      <c r="E1277" s="2" t="s">
        <v>30</v>
      </c>
      <c r="F1277" s="2" t="s">
        <v>35</v>
      </c>
      <c r="G1277" s="7"/>
      <c r="H1277" s="13" t="str">
        <f>IFERROR(IF(ABS($G1277)&gt;0,VLOOKUP($E1277,'Fuel Category and Heat Rate'!$B$1:$G$34,6,FALSE)*($G1277),""),"")</f>
        <v/>
      </c>
      <c r="I1277" t="str">
        <f>IFERROR(VLOOKUP($E1277,'Fuel Category and Heat Rate'!$K$2:$M$36,3,FALSE),"")</f>
        <v>natural gas</v>
      </c>
    </row>
    <row r="1278" spans="1:9" x14ac:dyDescent="0.15">
      <c r="A1278" s="2">
        <v>134342</v>
      </c>
      <c r="B1278" s="2" t="s">
        <v>72</v>
      </c>
      <c r="C1278" s="2">
        <v>2018</v>
      </c>
      <c r="D1278" s="2" t="s">
        <v>1</v>
      </c>
      <c r="E1278" s="2" t="s">
        <v>14</v>
      </c>
      <c r="F1278" s="2" t="s">
        <v>35</v>
      </c>
      <c r="G1278" s="7">
        <v>-10.94</v>
      </c>
      <c r="H1278" s="13">
        <f>IFERROR(IF(ABS($G1278)&gt;0,VLOOKUP($E1278,'Fuel Category and Heat Rate'!$B$1:$G$34,6,FALSE)*($G1278),""),"")</f>
        <v>0</v>
      </c>
      <c r="I1278" t="str">
        <f>IFERROR(VLOOKUP($E1278,'Fuel Category and Heat Rate'!$K$2:$M$36,3,FALSE),"")</f>
        <v/>
      </c>
    </row>
    <row r="1279" spans="1:9" x14ac:dyDescent="0.15">
      <c r="A1279" s="2">
        <v>134377</v>
      </c>
      <c r="B1279" s="2" t="s">
        <v>72</v>
      </c>
      <c r="C1279" s="2">
        <v>2018</v>
      </c>
      <c r="D1279" s="2" t="s">
        <v>1</v>
      </c>
      <c r="E1279" s="2" t="s">
        <v>3</v>
      </c>
      <c r="F1279" s="2" t="s">
        <v>35</v>
      </c>
      <c r="G1279" s="7">
        <v>-47.53</v>
      </c>
      <c r="H1279" s="13">
        <f>IFERROR(IF(ABS($G1279)&gt;0,VLOOKUP($E1279,'Fuel Category and Heat Rate'!$B$1:$G$34,6,FALSE)*($G1279),""),"")</f>
        <v>-9419001278463.127</v>
      </c>
      <c r="I1279" t="str">
        <f>IFERROR(VLOOKUP($E1279,'Fuel Category and Heat Rate'!$K$2:$M$36,3,FALSE),"")</f>
        <v>coal</v>
      </c>
    </row>
    <row r="1280" spans="1:9" x14ac:dyDescent="0.15">
      <c r="A1280" s="2">
        <v>134412</v>
      </c>
      <c r="B1280" s="2" t="s">
        <v>72</v>
      </c>
      <c r="C1280" s="2">
        <v>2018</v>
      </c>
      <c r="D1280" s="2" t="s">
        <v>1</v>
      </c>
      <c r="E1280" s="2" t="s">
        <v>15</v>
      </c>
      <c r="F1280" s="2" t="s">
        <v>35</v>
      </c>
      <c r="G1280" s="7"/>
      <c r="H1280" s="13" t="str">
        <f>IFERROR(IF(ABS($G1280)&gt;0,VLOOKUP($E1280,'Fuel Category and Heat Rate'!$B$1:$G$34,6,FALSE)*($G1280),""),"")</f>
        <v/>
      </c>
      <c r="I1280" t="str">
        <f>IFERROR(VLOOKUP($E1280,'Fuel Category and Heat Rate'!$K$2:$M$36,3,FALSE),"")</f>
        <v>crude oil</v>
      </c>
    </row>
    <row r="1281" spans="1:9" x14ac:dyDescent="0.15">
      <c r="A1281" s="2">
        <v>134447</v>
      </c>
      <c r="B1281" s="2" t="s">
        <v>72</v>
      </c>
      <c r="C1281" s="2">
        <v>2018</v>
      </c>
      <c r="D1281" s="2" t="s">
        <v>1</v>
      </c>
      <c r="E1281" s="2" t="s">
        <v>11</v>
      </c>
      <c r="F1281" s="2" t="s">
        <v>36</v>
      </c>
      <c r="G1281" s="7"/>
      <c r="H1281" s="13" t="str">
        <f>IFERROR(IF(ABS($G1281)&gt;0,VLOOKUP($E1281,'Fuel Category and Heat Rate'!$B$1:$G$34,6,FALSE)*($G1281),""),"")</f>
        <v/>
      </c>
      <c r="I1281" t="str">
        <f>IFERROR(VLOOKUP($E1281,'Fuel Category and Heat Rate'!$K$2:$M$36,3,FALSE),"")</f>
        <v>LPG propane or butane</v>
      </c>
    </row>
    <row r="1282" spans="1:9" x14ac:dyDescent="0.15">
      <c r="A1282" s="2">
        <v>147292</v>
      </c>
      <c r="B1282" s="2" t="s">
        <v>73</v>
      </c>
      <c r="C1282" s="2">
        <v>2022</v>
      </c>
      <c r="D1282" s="2" t="s">
        <v>1</v>
      </c>
      <c r="E1282" s="2" t="s">
        <v>18</v>
      </c>
      <c r="F1282" s="2" t="s">
        <v>35</v>
      </c>
      <c r="G1282" s="7">
        <v>-0.18</v>
      </c>
      <c r="H1282" s="13">
        <f>IFERROR(IF(ABS($G1282)&gt;0,VLOOKUP($E1282,'Fuel Category and Heat Rate'!$B$1:$G$34,6,FALSE)*($G1282),""),"")</f>
        <v>-72767332648.788208</v>
      </c>
      <c r="I1282" t="str">
        <f>IFERROR(VLOOKUP($E1282,'Fuel Category and Heat Rate'!$K$2:$M$36,3,FALSE),"")</f>
        <v>petroleum diesel</v>
      </c>
    </row>
    <row r="1283" spans="1:9" x14ac:dyDescent="0.15">
      <c r="A1283" s="2">
        <v>147327</v>
      </c>
      <c r="B1283" s="2" t="s">
        <v>73</v>
      </c>
      <c r="C1283" s="2">
        <v>2022</v>
      </c>
      <c r="D1283" s="2" t="s">
        <v>1</v>
      </c>
      <c r="E1283" s="2" t="s">
        <v>32</v>
      </c>
      <c r="F1283" s="2" t="s">
        <v>65</v>
      </c>
      <c r="G1283" s="7"/>
      <c r="H1283" s="13" t="str">
        <f>IFERROR(IF(ABS($G1283)&gt;0,VLOOKUP($E1283,'Fuel Category and Heat Rate'!$B$1:$G$34,6,FALSE)*($G1283),""),"")</f>
        <v/>
      </c>
      <c r="I1283" t="str">
        <f>IFERROR(VLOOKUP($E1283,'Fuel Category and Heat Rate'!$K$2:$M$36,3,FALSE),"")</f>
        <v>electricity</v>
      </c>
    </row>
    <row r="1284" spans="1:9" x14ac:dyDescent="0.15">
      <c r="A1284" s="2">
        <v>147362</v>
      </c>
      <c r="B1284" s="2" t="s">
        <v>73</v>
      </c>
      <c r="C1284" s="2">
        <v>2022</v>
      </c>
      <c r="D1284" s="2" t="s">
        <v>1</v>
      </c>
      <c r="E1284" s="2" t="s">
        <v>10</v>
      </c>
      <c r="F1284" s="2" t="s">
        <v>36</v>
      </c>
      <c r="G1284" s="7">
        <v>-89.43</v>
      </c>
      <c r="H1284" s="13">
        <f>IFERROR(IF(ABS($G1284)&gt;0,VLOOKUP($E1284,'Fuel Category and Heat Rate'!$B$1:$G$34,6,FALSE)*($G1284),""),"")</f>
        <v>-31896424250905.773</v>
      </c>
      <c r="I1284" t="str">
        <f>IFERROR(VLOOKUP($E1284,'Fuel Category and Heat Rate'!$K$2:$M$36,3,FALSE),"")</f>
        <v>LPG propane or butane</v>
      </c>
    </row>
    <row r="1285" spans="1:9" x14ac:dyDescent="0.15">
      <c r="A1285" s="2">
        <v>147397</v>
      </c>
      <c r="B1285" s="2" t="s">
        <v>73</v>
      </c>
      <c r="C1285" s="2">
        <v>2022</v>
      </c>
      <c r="D1285" s="2" t="s">
        <v>1</v>
      </c>
      <c r="E1285" s="2" t="s">
        <v>9</v>
      </c>
      <c r="F1285" s="2" t="s">
        <v>36</v>
      </c>
      <c r="G1285" s="7">
        <v>-2.29</v>
      </c>
      <c r="H1285" s="13">
        <f>IFERROR(IF(ABS($G1285)&gt;0,VLOOKUP($E1285,'Fuel Category and Heat Rate'!$B$1:$G$34,6,FALSE)*($G1285),""),"")</f>
        <v>-3766579276348.2617</v>
      </c>
      <c r="I1285" t="str">
        <f>IFERROR(VLOOKUP($E1285,'Fuel Category and Heat Rate'!$K$2:$M$36,3,FALSE),"")</f>
        <v>LPG propane or butane</v>
      </c>
    </row>
    <row r="1286" spans="1:9" x14ac:dyDescent="0.15">
      <c r="A1286" s="2">
        <v>147432</v>
      </c>
      <c r="B1286" s="2" t="s">
        <v>73</v>
      </c>
      <c r="C1286" s="2">
        <v>2022</v>
      </c>
      <c r="D1286" s="2" t="s">
        <v>1</v>
      </c>
      <c r="E1286" s="2" t="s">
        <v>8</v>
      </c>
      <c r="F1286" s="2" t="s">
        <v>35</v>
      </c>
      <c r="G1286" s="7">
        <v>-9.24</v>
      </c>
      <c r="H1286" s="13">
        <f>IFERROR(IF(ABS($G1286)&gt;0,VLOOKUP($E1286,'Fuel Category and Heat Rate'!$B$1:$G$34,6,FALSE)*($G1286),""),"")</f>
        <v>-2490289021192.5747</v>
      </c>
      <c r="I1286" t="str">
        <f>IFERROR(VLOOKUP($E1286,'Fuel Category and Heat Rate'!$K$2:$M$36,3,FALSE),"")</f>
        <v>coal</v>
      </c>
    </row>
    <row r="1287" spans="1:9" x14ac:dyDescent="0.15">
      <c r="A1287" s="2">
        <v>147467</v>
      </c>
      <c r="B1287" s="2" t="s">
        <v>73</v>
      </c>
      <c r="C1287" s="2">
        <v>2022</v>
      </c>
      <c r="D1287" s="2" t="s">
        <v>1</v>
      </c>
      <c r="E1287" s="2" t="s">
        <v>27</v>
      </c>
      <c r="F1287" s="2" t="s">
        <v>35</v>
      </c>
      <c r="G1287" s="7">
        <v>-5.01</v>
      </c>
      <c r="H1287" s="13">
        <f>IFERROR(IF(ABS($G1287)&gt;0,VLOOKUP($E1287,'Fuel Category and Heat Rate'!$B$1:$G$34,6,FALSE)*($G1287),""),"")</f>
        <v>-2184244369622.7078</v>
      </c>
      <c r="I1287" t="str">
        <f>IFERROR(VLOOKUP($E1287,'Fuel Category and Heat Rate'!$K$2:$M$36,3,FALSE),"")</f>
        <v>LPG propane or butane</v>
      </c>
    </row>
    <row r="1288" spans="1:9" x14ac:dyDescent="0.15">
      <c r="A1288" s="2">
        <v>147502</v>
      </c>
      <c r="B1288" s="2" t="s">
        <v>73</v>
      </c>
      <c r="C1288" s="2">
        <v>2022</v>
      </c>
      <c r="D1288" s="2" t="s">
        <v>1</v>
      </c>
      <c r="E1288" s="2" t="s">
        <v>7</v>
      </c>
      <c r="F1288" s="2" t="s">
        <v>35</v>
      </c>
      <c r="G1288" s="7">
        <v>-3.49</v>
      </c>
      <c r="H1288" s="13">
        <f>IFERROR(IF(ABS($G1288)&gt;0,VLOOKUP($E1288,'Fuel Category and Heat Rate'!$B$1:$G$34,6,FALSE)*($G1288),""),"")</f>
        <v>-277002018423.95361</v>
      </c>
      <c r="I1288" t="str">
        <f>IFERROR(VLOOKUP($E1288,'Fuel Category and Heat Rate'!$K$2:$M$36,3,FALSE),"")</f>
        <v>coal</v>
      </c>
    </row>
    <row r="1289" spans="1:9" x14ac:dyDescent="0.15">
      <c r="A1289" s="2">
        <v>147537</v>
      </c>
      <c r="B1289" s="2" t="s">
        <v>73</v>
      </c>
      <c r="C1289" s="2">
        <v>2022</v>
      </c>
      <c r="D1289" s="2" t="s">
        <v>1</v>
      </c>
      <c r="E1289" s="2" t="s">
        <v>2</v>
      </c>
      <c r="F1289" s="2" t="s">
        <v>35</v>
      </c>
      <c r="G1289" s="7">
        <v>-4065.32</v>
      </c>
      <c r="H1289" s="13">
        <f>IFERROR(IF(ABS($G1289)&gt;0,VLOOKUP($E1289,'Fuel Category and Heat Rate'!$B$1:$G$34,6,FALSE)*($G1289),""),"")</f>
        <v>0</v>
      </c>
      <c r="I1289" t="str">
        <f>IFERROR(VLOOKUP($E1289,'Fuel Category and Heat Rate'!$K$2:$M$36,3,FALSE),"")</f>
        <v/>
      </c>
    </row>
    <row r="1290" spans="1:9" x14ac:dyDescent="0.15">
      <c r="A1290" s="2">
        <v>147572</v>
      </c>
      <c r="B1290" s="2" t="s">
        <v>73</v>
      </c>
      <c r="C1290" s="2">
        <v>2022</v>
      </c>
      <c r="D1290" s="2" t="s">
        <v>1</v>
      </c>
      <c r="E1290" s="2" t="s">
        <v>17</v>
      </c>
      <c r="F1290" s="2" t="s">
        <v>35</v>
      </c>
      <c r="G1290" s="7"/>
      <c r="H1290" s="13" t="str">
        <f>IFERROR(IF(ABS($G1290)&gt;0,VLOOKUP($E1290,'Fuel Category and Heat Rate'!$B$1:$G$34,6,FALSE)*($G1290),""),"")</f>
        <v/>
      </c>
      <c r="I1290" t="str">
        <f>IFERROR(VLOOKUP($E1290,'Fuel Category and Heat Rate'!$K$2:$M$36,3,FALSE),"")</f>
        <v>petroleum diesel</v>
      </c>
    </row>
    <row r="1291" spans="1:9" x14ac:dyDescent="0.15">
      <c r="A1291" s="2">
        <v>147607</v>
      </c>
      <c r="B1291" s="2" t="s">
        <v>73</v>
      </c>
      <c r="C1291" s="2">
        <v>2022</v>
      </c>
      <c r="D1291" s="2" t="s">
        <v>1</v>
      </c>
      <c r="E1291" s="2" t="s">
        <v>13</v>
      </c>
      <c r="F1291" s="2" t="s">
        <v>35</v>
      </c>
      <c r="G1291" s="7"/>
      <c r="H1291" s="13" t="str">
        <f>IFERROR(IF(ABS($G1291)&gt;0,VLOOKUP($E1291,'Fuel Category and Heat Rate'!$B$1:$G$34,6,FALSE)*($G1291),""),"")</f>
        <v/>
      </c>
      <c r="I1291" t="str">
        <f>IFERROR(VLOOKUP($E1291,'Fuel Category and Heat Rate'!$K$2:$M$36,3,FALSE),"")</f>
        <v>petroleum diesel</v>
      </c>
    </row>
    <row r="1292" spans="1:9" x14ac:dyDescent="0.15">
      <c r="A1292" s="2">
        <v>147642</v>
      </c>
      <c r="B1292" s="2" t="s">
        <v>73</v>
      </c>
      <c r="C1292" s="2">
        <v>2022</v>
      </c>
      <c r="D1292" s="2" t="s">
        <v>1</v>
      </c>
      <c r="E1292" s="2" t="s">
        <v>12</v>
      </c>
      <c r="F1292" s="2" t="s">
        <v>36</v>
      </c>
      <c r="G1292" s="7"/>
      <c r="H1292" s="13" t="str">
        <f>IFERROR(IF(ABS($G1292)&gt;0,VLOOKUP($E1292,'Fuel Category and Heat Rate'!$B$1:$G$34,6,FALSE)*($G1292),""),"")</f>
        <v/>
      </c>
      <c r="I1292" t="str">
        <f>IFERROR(VLOOKUP($E1292,'Fuel Category and Heat Rate'!$K$2:$M$36,3,FALSE),"")</f>
        <v>LPG propane or butane</v>
      </c>
    </row>
    <row r="1293" spans="1:9" x14ac:dyDescent="0.15">
      <c r="A1293" s="2">
        <v>147677</v>
      </c>
      <c r="B1293" s="2" t="s">
        <v>73</v>
      </c>
      <c r="C1293" s="2">
        <v>2022</v>
      </c>
      <c r="D1293" s="2" t="s">
        <v>1</v>
      </c>
      <c r="E1293" s="2" t="s">
        <v>33</v>
      </c>
      <c r="F1293" s="2" t="s">
        <v>38</v>
      </c>
      <c r="G1293" s="7">
        <v>-60.72</v>
      </c>
      <c r="H1293" s="13">
        <f>IFERROR(IF(ABS($G1293)&gt;0,VLOOKUP($E1293,'Fuel Category and Heat Rate'!$B$1:$G$34,6,FALSE)*($G1293),""),"")</f>
        <v>-16845886594534.307</v>
      </c>
      <c r="I1293" t="str">
        <f>IFERROR(VLOOKUP($E1293,'Fuel Category and Heat Rate'!$K$2:$M$36,3,FALSE),"")</f>
        <v>biomass</v>
      </c>
    </row>
    <row r="1294" spans="1:9" x14ac:dyDescent="0.15">
      <c r="A1294" s="2">
        <v>147712</v>
      </c>
      <c r="B1294" s="2" t="s">
        <v>73</v>
      </c>
      <c r="C1294" s="2">
        <v>2022</v>
      </c>
      <c r="D1294" s="2" t="s">
        <v>1</v>
      </c>
      <c r="E1294" s="2" t="s">
        <v>28</v>
      </c>
      <c r="F1294" s="2" t="s">
        <v>35</v>
      </c>
      <c r="G1294" s="7">
        <v>-1.5</v>
      </c>
      <c r="H1294" s="13">
        <f>IFERROR(IF(ABS($G1294)&gt;0,VLOOKUP($E1294,'Fuel Category and Heat Rate'!$B$1:$G$34,6,FALSE)*($G1294),""),"")</f>
        <v>-582623185303.41309</v>
      </c>
      <c r="I1294" t="str">
        <f>IFERROR(VLOOKUP($E1294,'Fuel Category and Heat Rate'!$K$2:$M$36,3,FALSE),"")</f>
        <v>heavy or residual fuel oil</v>
      </c>
    </row>
    <row r="1295" spans="1:9" x14ac:dyDescent="0.15">
      <c r="A1295" s="2">
        <v>147747</v>
      </c>
      <c r="B1295" s="2" t="s">
        <v>73</v>
      </c>
      <c r="C1295" s="2">
        <v>2022</v>
      </c>
      <c r="D1295" s="2" t="s">
        <v>1</v>
      </c>
      <c r="E1295" s="2" t="s">
        <v>5</v>
      </c>
      <c r="F1295" s="2" t="s">
        <v>35</v>
      </c>
      <c r="G1295" s="7">
        <v>-94.03</v>
      </c>
      <c r="H1295" s="13">
        <f>IFERROR(IF(ABS($G1295)&gt;0,VLOOKUP($E1295,'Fuel Category and Heat Rate'!$B$1:$G$34,6,FALSE)*($G1295),""),"")</f>
        <v>-7453376899431.4375</v>
      </c>
      <c r="I1295" t="str">
        <f>IFERROR(VLOOKUP($E1295,'Fuel Category and Heat Rate'!$K$2:$M$36,3,FALSE),"")</f>
        <v>coal</v>
      </c>
    </row>
    <row r="1296" spans="1:9" x14ac:dyDescent="0.15">
      <c r="A1296" s="2">
        <v>147782</v>
      </c>
      <c r="B1296" s="2" t="s">
        <v>73</v>
      </c>
      <c r="C1296" s="2">
        <v>2022</v>
      </c>
      <c r="D1296" s="2" t="s">
        <v>1</v>
      </c>
      <c r="E1296" s="2" t="s">
        <v>16</v>
      </c>
      <c r="F1296" s="2" t="s">
        <v>35</v>
      </c>
      <c r="G1296" s="7"/>
      <c r="H1296" s="13" t="str">
        <f>IFERROR(IF(ABS($G1296)&gt;0,VLOOKUP($E1296,'Fuel Category and Heat Rate'!$B$1:$G$34,6,FALSE)*($G1296),""),"")</f>
        <v/>
      </c>
      <c r="I1296" t="str">
        <f>IFERROR(VLOOKUP($E1296,'Fuel Category and Heat Rate'!$K$2:$M$36,3,FALSE),"")</f>
        <v>petroleum diesel</v>
      </c>
    </row>
    <row r="1297" spans="1:9" x14ac:dyDescent="0.15">
      <c r="A1297" s="2">
        <v>147817</v>
      </c>
      <c r="B1297" s="2" t="s">
        <v>73</v>
      </c>
      <c r="C1297" s="2">
        <v>2022</v>
      </c>
      <c r="D1297" s="2" t="s">
        <v>1</v>
      </c>
      <c r="E1297" s="2" t="s">
        <v>19</v>
      </c>
      <c r="F1297" s="2" t="s">
        <v>35</v>
      </c>
      <c r="G1297" s="7">
        <v>-2.48</v>
      </c>
      <c r="H1297" s="13">
        <f>IFERROR(IF(ABS($G1297)&gt;0,VLOOKUP($E1297,'Fuel Category and Heat Rate'!$B$1:$G$34,6,FALSE)*($G1297),""),"")</f>
        <v>-982921235875.80701</v>
      </c>
      <c r="I1297" t="str">
        <f>IFERROR(VLOOKUP($E1297,'Fuel Category and Heat Rate'!$K$2:$M$36,3,FALSE),"")</f>
        <v>heavy or residual fuel oil</v>
      </c>
    </row>
    <row r="1298" spans="1:9" x14ac:dyDescent="0.15">
      <c r="A1298" s="2">
        <v>147852</v>
      </c>
      <c r="B1298" s="2" t="s">
        <v>73</v>
      </c>
      <c r="C1298" s="2">
        <v>2022</v>
      </c>
      <c r="D1298" s="2" t="s">
        <v>1</v>
      </c>
      <c r="E1298" s="2" t="s">
        <v>31</v>
      </c>
      <c r="F1298" s="2" t="s">
        <v>37</v>
      </c>
      <c r="G1298" s="7">
        <v>57937.760000000002</v>
      </c>
      <c r="H1298" s="13">
        <f>IFERROR(IF(ABS($G1298)&gt;0,VLOOKUP($E1298,'Fuel Category and Heat Rate'!$B$1:$G$34,6,FALSE)*($G1298),""),"")</f>
        <v>549144009769719.81</v>
      </c>
      <c r="I1298" t="str">
        <f>IFERROR(VLOOKUP($E1298,'Fuel Category and Heat Rate'!$K$2:$M$36,3,FALSE),"")</f>
        <v>heat</v>
      </c>
    </row>
    <row r="1299" spans="1:9" x14ac:dyDescent="0.15">
      <c r="A1299" s="2">
        <v>147887</v>
      </c>
      <c r="B1299" s="2" t="s">
        <v>73</v>
      </c>
      <c r="C1299" s="2">
        <v>2022</v>
      </c>
      <c r="D1299" s="2" t="s">
        <v>1</v>
      </c>
      <c r="E1299" s="2" t="s">
        <v>23</v>
      </c>
      <c r="F1299" s="2" t="s">
        <v>35</v>
      </c>
      <c r="G1299" s="7"/>
      <c r="H1299" s="13" t="str">
        <f>IFERROR(IF(ABS($G1299)&gt;0,VLOOKUP($E1299,'Fuel Category and Heat Rate'!$B$1:$G$34,6,FALSE)*($G1299),""),"")</f>
        <v/>
      </c>
      <c r="I1299" t="str">
        <f>IFERROR(VLOOKUP($E1299,'Fuel Category and Heat Rate'!$K$2:$M$36,3,FALSE),"")</f>
        <v>heavy or residual fuel oil</v>
      </c>
    </row>
    <row r="1300" spans="1:9" x14ac:dyDescent="0.15">
      <c r="A1300" s="2">
        <v>147922</v>
      </c>
      <c r="B1300" s="2" t="s">
        <v>73</v>
      </c>
      <c r="C1300" s="2">
        <v>2022</v>
      </c>
      <c r="D1300" s="2" t="s">
        <v>1</v>
      </c>
      <c r="E1300" s="2" t="s">
        <v>21</v>
      </c>
      <c r="F1300" s="2" t="s">
        <v>35</v>
      </c>
      <c r="G1300" s="7"/>
      <c r="H1300" s="13" t="str">
        <f>IFERROR(IF(ABS($G1300)&gt;0,VLOOKUP($E1300,'Fuel Category and Heat Rate'!$B$1:$G$34,6,FALSE)*($G1300),""),"")</f>
        <v/>
      </c>
      <c r="I1300" t="str">
        <f>IFERROR(VLOOKUP($E1300,'Fuel Category and Heat Rate'!$K$2:$M$36,3,FALSE),"")</f>
        <v>LPG propane or butane</v>
      </c>
    </row>
    <row r="1301" spans="1:9" x14ac:dyDescent="0.15">
      <c r="A1301" s="2">
        <v>147957</v>
      </c>
      <c r="B1301" s="2" t="s">
        <v>73</v>
      </c>
      <c r="C1301" s="2">
        <v>2022</v>
      </c>
      <c r="D1301" s="2" t="s">
        <v>1</v>
      </c>
      <c r="E1301" s="2" t="s">
        <v>22</v>
      </c>
      <c r="F1301" s="2" t="s">
        <v>35</v>
      </c>
      <c r="G1301" s="7"/>
      <c r="H1301" s="13" t="str">
        <f>IFERROR(IF(ABS($G1301)&gt;0,VLOOKUP($E1301,'Fuel Category and Heat Rate'!$B$1:$G$34,6,FALSE)*($G1301),""),"")</f>
        <v/>
      </c>
      <c r="I1301" t="str">
        <f>IFERROR(VLOOKUP($E1301,'Fuel Category and Heat Rate'!$K$2:$M$36,3,FALSE),"")</f>
        <v>heavy fuel oil</v>
      </c>
    </row>
    <row r="1302" spans="1:9" x14ac:dyDescent="0.15">
      <c r="A1302" s="2">
        <v>147992</v>
      </c>
      <c r="B1302" s="2" t="s">
        <v>73</v>
      </c>
      <c r="C1302" s="2">
        <v>2022</v>
      </c>
      <c r="D1302" s="2" t="s">
        <v>1</v>
      </c>
      <c r="E1302" s="2" t="s">
        <v>20</v>
      </c>
      <c r="F1302" s="2" t="s">
        <v>35</v>
      </c>
      <c r="G1302" s="7"/>
      <c r="H1302" s="13" t="str">
        <f>IFERROR(IF(ABS($G1302)&gt;0,VLOOKUP($E1302,'Fuel Category and Heat Rate'!$B$1:$G$34,6,FALSE)*($G1302),""),"")</f>
        <v/>
      </c>
      <c r="I1302" t="str">
        <f>IFERROR(VLOOKUP($E1302,'Fuel Category and Heat Rate'!$K$2:$M$36,3,FALSE),"")</f>
        <v>LPG propane or butane</v>
      </c>
    </row>
    <row r="1303" spans="1:9" x14ac:dyDescent="0.15">
      <c r="A1303" s="2">
        <v>148027</v>
      </c>
      <c r="B1303" s="2" t="s">
        <v>73</v>
      </c>
      <c r="C1303" s="2">
        <v>2022</v>
      </c>
      <c r="D1303" s="2" t="s">
        <v>1</v>
      </c>
      <c r="E1303" s="2" t="s">
        <v>25</v>
      </c>
      <c r="F1303" s="2" t="s">
        <v>35</v>
      </c>
      <c r="G1303" s="7"/>
      <c r="H1303" s="13" t="str">
        <f>IFERROR(IF(ABS($G1303)&gt;0,VLOOKUP($E1303,'Fuel Category and Heat Rate'!$B$1:$G$34,6,FALSE)*($G1303),""),"")</f>
        <v/>
      </c>
      <c r="I1303" t="str">
        <f>IFERROR(VLOOKUP($E1303,'Fuel Category and Heat Rate'!$K$2:$M$36,3,FALSE),"")</f>
        <v>heavy fuel oil</v>
      </c>
    </row>
    <row r="1304" spans="1:9" x14ac:dyDescent="0.15">
      <c r="A1304" s="2">
        <v>148062</v>
      </c>
      <c r="B1304" s="2" t="s">
        <v>73</v>
      </c>
      <c r="C1304" s="2">
        <v>2022</v>
      </c>
      <c r="D1304" s="2" t="s">
        <v>1</v>
      </c>
      <c r="E1304" s="2" t="s">
        <v>24</v>
      </c>
      <c r="F1304" s="2" t="s">
        <v>35</v>
      </c>
      <c r="G1304" s="7"/>
      <c r="H1304" s="13" t="str">
        <f>IFERROR(IF(ABS($G1304)&gt;0,VLOOKUP($E1304,'Fuel Category and Heat Rate'!$B$1:$G$34,6,FALSE)*($G1304),""),"")</f>
        <v/>
      </c>
      <c r="I1304" t="str">
        <f>IFERROR(VLOOKUP($E1304,'Fuel Category and Heat Rate'!$K$2:$M$36,3,FALSE),"")</f>
        <v>heavy fuel oil</v>
      </c>
    </row>
    <row r="1305" spans="1:9" x14ac:dyDescent="0.15">
      <c r="A1305" s="2">
        <v>148097</v>
      </c>
      <c r="B1305" s="2" t="s">
        <v>73</v>
      </c>
      <c r="C1305" s="2">
        <v>2022</v>
      </c>
      <c r="D1305" s="2" t="s">
        <v>1</v>
      </c>
      <c r="E1305" s="2" t="s">
        <v>29</v>
      </c>
      <c r="F1305" s="2" t="s">
        <v>36</v>
      </c>
      <c r="G1305" s="7">
        <v>-5.33</v>
      </c>
      <c r="H1305" s="13">
        <f>IFERROR(IF(ABS($G1305)&gt;0,VLOOKUP($E1305,'Fuel Category and Heat Rate'!$B$1:$G$34,6,FALSE)*($G1305),""),"")</f>
        <v>-17976809948023.133</v>
      </c>
      <c r="I1305" t="str">
        <f>IFERROR(VLOOKUP($E1305,'Fuel Category and Heat Rate'!$K$2:$M$36,3,FALSE),"")</f>
        <v>natural gas</v>
      </c>
    </row>
    <row r="1306" spans="1:9" x14ac:dyDescent="0.15">
      <c r="A1306" s="2">
        <v>148132</v>
      </c>
      <c r="B1306" s="2" t="s">
        <v>73</v>
      </c>
      <c r="C1306" s="2">
        <v>2022</v>
      </c>
      <c r="D1306" s="2" t="s">
        <v>1</v>
      </c>
      <c r="E1306" s="2" t="s">
        <v>4</v>
      </c>
      <c r="F1306" s="2" t="s">
        <v>35</v>
      </c>
      <c r="G1306" s="7"/>
      <c r="H1306" s="13" t="str">
        <f>IFERROR(IF(ABS($G1306)&gt;0,VLOOKUP($E1306,'Fuel Category and Heat Rate'!$B$1:$G$34,6,FALSE)*($G1306),""),"")</f>
        <v/>
      </c>
      <c r="I1306" t="str">
        <f>IFERROR(VLOOKUP($E1306,'Fuel Category and Heat Rate'!$K$2:$M$36,3,FALSE),"")</f>
        <v>coal</v>
      </c>
    </row>
    <row r="1307" spans="1:9" x14ac:dyDescent="0.15">
      <c r="A1307" s="2">
        <v>148167</v>
      </c>
      <c r="B1307" s="2" t="s">
        <v>73</v>
      </c>
      <c r="C1307" s="2">
        <v>2022</v>
      </c>
      <c r="D1307" s="2" t="s">
        <v>1</v>
      </c>
      <c r="E1307" s="2" t="s">
        <v>6</v>
      </c>
      <c r="F1307" s="2" t="s">
        <v>35</v>
      </c>
      <c r="G1307" s="7">
        <v>-0.73</v>
      </c>
      <c r="H1307" s="13">
        <f>IFERROR(IF(ABS($G1307)&gt;0,VLOOKUP($E1307,'Fuel Category and Heat Rate'!$B$1:$G$34,6,FALSE)*($G1307),""),"")</f>
        <v>-107058692674.89488</v>
      </c>
      <c r="I1307" t="str">
        <f>IFERROR(VLOOKUP($E1307,'Fuel Category and Heat Rate'!$K$2:$M$36,3,FALSE),"")</f>
        <v>coal</v>
      </c>
    </row>
    <row r="1308" spans="1:9" x14ac:dyDescent="0.15">
      <c r="A1308" s="2">
        <v>148202</v>
      </c>
      <c r="B1308" s="2" t="s">
        <v>73</v>
      </c>
      <c r="C1308" s="2">
        <v>2022</v>
      </c>
      <c r="D1308" s="2" t="s">
        <v>1</v>
      </c>
      <c r="E1308" s="2" t="s">
        <v>26</v>
      </c>
      <c r="F1308" s="2" t="s">
        <v>35</v>
      </c>
      <c r="G1308" s="7"/>
      <c r="H1308" s="13" t="str">
        <f>IFERROR(IF(ABS($G1308)&gt;0,VLOOKUP($E1308,'Fuel Category and Heat Rate'!$B$1:$G$34,6,FALSE)*($G1308),""),"")</f>
        <v/>
      </c>
      <c r="I1308" t="str">
        <f>IFERROR(VLOOKUP($E1308,'Fuel Category and Heat Rate'!$K$2:$M$36,3,FALSE),"")</f>
        <v>LPG propane or butane</v>
      </c>
    </row>
    <row r="1309" spans="1:9" x14ac:dyDescent="0.15">
      <c r="A1309" s="2">
        <v>148237</v>
      </c>
      <c r="B1309" s="2" t="s">
        <v>73</v>
      </c>
      <c r="C1309" s="2">
        <v>2022</v>
      </c>
      <c r="D1309" s="2" t="s">
        <v>1</v>
      </c>
      <c r="E1309" s="2" t="s">
        <v>30</v>
      </c>
      <c r="F1309" s="2" t="s">
        <v>35</v>
      </c>
      <c r="G1309" s="7">
        <v>-0.17</v>
      </c>
      <c r="H1309" s="13">
        <f>IFERROR(IF(ABS($G1309)&gt;0,VLOOKUP($E1309,'Fuel Category and Heat Rate'!$B$1:$G$34,6,FALSE)*($G1309),""),"")</f>
        <v>-82875044008.333801</v>
      </c>
      <c r="I1309" t="str">
        <f>IFERROR(VLOOKUP($E1309,'Fuel Category and Heat Rate'!$K$2:$M$36,3,FALSE),"")</f>
        <v>natural gas</v>
      </c>
    </row>
    <row r="1310" spans="1:9" x14ac:dyDescent="0.15">
      <c r="A1310" s="2">
        <v>148272</v>
      </c>
      <c r="B1310" s="2" t="s">
        <v>73</v>
      </c>
      <c r="C1310" s="2">
        <v>2022</v>
      </c>
      <c r="D1310" s="2" t="s">
        <v>1</v>
      </c>
      <c r="E1310" s="2" t="s">
        <v>14</v>
      </c>
      <c r="F1310" s="2" t="s">
        <v>35</v>
      </c>
      <c r="G1310" s="7">
        <v>-9.17</v>
      </c>
      <c r="H1310" s="13">
        <f>IFERROR(IF(ABS($G1310)&gt;0,VLOOKUP($E1310,'Fuel Category and Heat Rate'!$B$1:$G$34,6,FALSE)*($G1310),""),"")</f>
        <v>0</v>
      </c>
      <c r="I1310" t="str">
        <f>IFERROR(VLOOKUP($E1310,'Fuel Category and Heat Rate'!$K$2:$M$36,3,FALSE),"")</f>
        <v/>
      </c>
    </row>
    <row r="1311" spans="1:9" x14ac:dyDescent="0.15">
      <c r="A1311" s="2">
        <v>148307</v>
      </c>
      <c r="B1311" s="2" t="s">
        <v>73</v>
      </c>
      <c r="C1311" s="2">
        <v>2022</v>
      </c>
      <c r="D1311" s="2" t="s">
        <v>1</v>
      </c>
      <c r="E1311" s="2" t="s">
        <v>3</v>
      </c>
      <c r="F1311" s="2" t="s">
        <v>35</v>
      </c>
      <c r="G1311" s="7">
        <v>-3970.56</v>
      </c>
      <c r="H1311" s="13">
        <f>IFERROR(IF(ABS($G1311)&gt;0,VLOOKUP($E1311,'Fuel Category and Heat Rate'!$B$1:$G$34,6,FALSE)*($G1311),""),"")</f>
        <v>-786844302886904</v>
      </c>
      <c r="I1311" t="str">
        <f>IFERROR(VLOOKUP($E1311,'Fuel Category and Heat Rate'!$K$2:$M$36,3,FALSE),"")</f>
        <v>coal</v>
      </c>
    </row>
    <row r="1312" spans="1:9" x14ac:dyDescent="0.15">
      <c r="A1312" s="2">
        <v>148342</v>
      </c>
      <c r="B1312" s="2" t="s">
        <v>73</v>
      </c>
      <c r="C1312" s="2">
        <v>2022</v>
      </c>
      <c r="D1312" s="2" t="s">
        <v>1</v>
      </c>
      <c r="E1312" s="2" t="s">
        <v>15</v>
      </c>
      <c r="F1312" s="2" t="s">
        <v>35</v>
      </c>
      <c r="G1312" s="7"/>
      <c r="H1312" s="13" t="str">
        <f>IFERROR(IF(ABS($G1312)&gt;0,VLOOKUP($E1312,'Fuel Category and Heat Rate'!$B$1:$G$34,6,FALSE)*($G1312),""),"")</f>
        <v/>
      </c>
      <c r="I1312" t="str">
        <f>IFERROR(VLOOKUP($E1312,'Fuel Category and Heat Rate'!$K$2:$M$36,3,FALSE),"")</f>
        <v>crude oil</v>
      </c>
    </row>
    <row r="1313" spans="1:9" x14ac:dyDescent="0.15">
      <c r="A1313" s="2">
        <v>148377</v>
      </c>
      <c r="B1313" s="2" t="s">
        <v>73</v>
      </c>
      <c r="C1313" s="2">
        <v>2022</v>
      </c>
      <c r="D1313" s="2" t="s">
        <v>1</v>
      </c>
      <c r="E1313" s="2" t="s">
        <v>11</v>
      </c>
      <c r="F1313" s="2" t="s">
        <v>36</v>
      </c>
      <c r="G1313" s="7">
        <v>-4.43</v>
      </c>
      <c r="H1313" s="13">
        <f>IFERROR(IF(ABS($G1313)&gt;0,VLOOKUP($E1313,'Fuel Category and Heat Rate'!$B$1:$G$34,6,FALSE)*($G1313),""),"")</f>
        <v>-3335970318538.1133</v>
      </c>
      <c r="I1313" t="str">
        <f>IFERROR(VLOOKUP($E1313,'Fuel Category and Heat Rate'!$K$2:$M$36,3,FALSE),"")</f>
        <v>LPG propane or butane</v>
      </c>
    </row>
    <row r="1314" spans="1:9" x14ac:dyDescent="0.15">
      <c r="A1314" s="2">
        <v>148412</v>
      </c>
      <c r="B1314" s="2" t="s">
        <v>73</v>
      </c>
      <c r="C1314" s="2">
        <v>2021</v>
      </c>
      <c r="D1314" s="2" t="s">
        <v>1</v>
      </c>
      <c r="E1314" s="2" t="s">
        <v>18</v>
      </c>
      <c r="F1314" s="2" t="s">
        <v>35</v>
      </c>
      <c r="G1314" s="7">
        <v>-0.21</v>
      </c>
      <c r="H1314" s="13">
        <f>IFERROR(IF(ABS($G1314)&gt;0,VLOOKUP($E1314,'Fuel Category and Heat Rate'!$B$1:$G$34,6,FALSE)*($G1314),""),"")</f>
        <v>-84895221423.586243</v>
      </c>
      <c r="I1314" t="str">
        <f>IFERROR(VLOOKUP($E1314,'Fuel Category and Heat Rate'!$K$2:$M$36,3,FALSE),"")</f>
        <v>petroleum diesel</v>
      </c>
    </row>
    <row r="1315" spans="1:9" x14ac:dyDescent="0.15">
      <c r="A1315" s="2">
        <v>148447</v>
      </c>
      <c r="B1315" s="2" t="s">
        <v>73</v>
      </c>
      <c r="C1315" s="2">
        <v>2021</v>
      </c>
      <c r="D1315" s="2" t="s">
        <v>1</v>
      </c>
      <c r="E1315" s="2" t="s">
        <v>32</v>
      </c>
      <c r="F1315" s="2" t="s">
        <v>65</v>
      </c>
      <c r="G1315" s="7"/>
      <c r="H1315" s="13" t="str">
        <f>IFERROR(IF(ABS($G1315)&gt;0,VLOOKUP($E1315,'Fuel Category and Heat Rate'!$B$1:$G$34,6,FALSE)*($G1315),""),"")</f>
        <v/>
      </c>
      <c r="I1315" t="str">
        <f>IFERROR(VLOOKUP($E1315,'Fuel Category and Heat Rate'!$K$2:$M$36,3,FALSE),"")</f>
        <v>electricity</v>
      </c>
    </row>
    <row r="1316" spans="1:9" x14ac:dyDescent="0.15">
      <c r="A1316" s="2">
        <v>148482</v>
      </c>
      <c r="B1316" s="2" t="s">
        <v>73</v>
      </c>
      <c r="C1316" s="2">
        <v>2021</v>
      </c>
      <c r="D1316" s="2" t="s">
        <v>1</v>
      </c>
      <c r="E1316" s="2" t="s">
        <v>10</v>
      </c>
      <c r="F1316" s="2" t="s">
        <v>36</v>
      </c>
      <c r="G1316" s="7">
        <v>-91.44</v>
      </c>
      <c r="H1316" s="13">
        <f>IFERROR(IF(ABS($G1316)&gt;0,VLOOKUP($E1316,'Fuel Category and Heat Rate'!$B$1:$G$34,6,FALSE)*($G1316),""),"")</f>
        <v>-32613318053257.559</v>
      </c>
      <c r="I1316" t="str">
        <f>IFERROR(VLOOKUP($E1316,'Fuel Category and Heat Rate'!$K$2:$M$36,3,FALSE),"")</f>
        <v>LPG propane or butane</v>
      </c>
    </row>
    <row r="1317" spans="1:9" x14ac:dyDescent="0.15">
      <c r="A1317" s="2">
        <v>148517</v>
      </c>
      <c r="B1317" s="2" t="s">
        <v>73</v>
      </c>
      <c r="C1317" s="2">
        <v>2021</v>
      </c>
      <c r="D1317" s="2" t="s">
        <v>1</v>
      </c>
      <c r="E1317" s="2" t="s">
        <v>9</v>
      </c>
      <c r="F1317" s="2" t="s">
        <v>36</v>
      </c>
      <c r="G1317" s="7">
        <v>-1.92</v>
      </c>
      <c r="H1317" s="13">
        <f>IFERROR(IF(ABS($G1317)&gt;0,VLOOKUP($E1317,'Fuel Category and Heat Rate'!$B$1:$G$34,6,FALSE)*($G1317),""),"")</f>
        <v>-3158005332134.7871</v>
      </c>
      <c r="I1317" t="str">
        <f>IFERROR(VLOOKUP($E1317,'Fuel Category and Heat Rate'!$K$2:$M$36,3,FALSE),"")</f>
        <v>LPG propane or butane</v>
      </c>
    </row>
    <row r="1318" spans="1:9" x14ac:dyDescent="0.15">
      <c r="A1318" s="2">
        <v>148552</v>
      </c>
      <c r="B1318" s="2" t="s">
        <v>73</v>
      </c>
      <c r="C1318" s="2">
        <v>2021</v>
      </c>
      <c r="D1318" s="2" t="s">
        <v>1</v>
      </c>
      <c r="E1318" s="2" t="s">
        <v>8</v>
      </c>
      <c r="F1318" s="2" t="s">
        <v>35</v>
      </c>
      <c r="G1318" s="7">
        <v>-19.55</v>
      </c>
      <c r="H1318" s="13">
        <f>IFERROR(IF(ABS($G1318)&gt;0,VLOOKUP($E1318,'Fuel Category and Heat Rate'!$B$1:$G$34,6,FALSE)*($G1318),""),"")</f>
        <v>-5268955667133.6406</v>
      </c>
      <c r="I1318" t="str">
        <f>IFERROR(VLOOKUP($E1318,'Fuel Category and Heat Rate'!$K$2:$M$36,3,FALSE),"")</f>
        <v>coal</v>
      </c>
    </row>
    <row r="1319" spans="1:9" x14ac:dyDescent="0.15">
      <c r="A1319" s="2">
        <v>148587</v>
      </c>
      <c r="B1319" s="2" t="s">
        <v>73</v>
      </c>
      <c r="C1319" s="2">
        <v>2021</v>
      </c>
      <c r="D1319" s="2" t="s">
        <v>1</v>
      </c>
      <c r="E1319" s="2" t="s">
        <v>27</v>
      </c>
      <c r="F1319" s="2" t="s">
        <v>35</v>
      </c>
      <c r="G1319" s="7">
        <v>-4.87</v>
      </c>
      <c r="H1319" s="13">
        <f>IFERROR(IF(ABS($G1319)&gt;0,VLOOKUP($E1319,'Fuel Category and Heat Rate'!$B$1:$G$34,6,FALSE)*($G1319),""),"")</f>
        <v>-2123207600810.8955</v>
      </c>
      <c r="I1319" t="str">
        <f>IFERROR(VLOOKUP($E1319,'Fuel Category and Heat Rate'!$K$2:$M$36,3,FALSE),"")</f>
        <v>LPG propane or butane</v>
      </c>
    </row>
    <row r="1320" spans="1:9" x14ac:dyDescent="0.15">
      <c r="A1320" s="2">
        <v>148622</v>
      </c>
      <c r="B1320" s="2" t="s">
        <v>73</v>
      </c>
      <c r="C1320" s="2">
        <v>2021</v>
      </c>
      <c r="D1320" s="2" t="s">
        <v>1</v>
      </c>
      <c r="E1320" s="2" t="s">
        <v>7</v>
      </c>
      <c r="F1320" s="2" t="s">
        <v>35</v>
      </c>
      <c r="G1320" s="7">
        <v>-1.46</v>
      </c>
      <c r="H1320" s="13">
        <f>IFERROR(IF(ABS($G1320)&gt;0,VLOOKUP($E1320,'Fuel Category and Heat Rate'!$B$1:$G$34,6,FALSE)*($G1320),""),"")</f>
        <v>-115880500544.11812</v>
      </c>
      <c r="I1320" t="str">
        <f>IFERROR(VLOOKUP($E1320,'Fuel Category and Heat Rate'!$K$2:$M$36,3,FALSE),"")</f>
        <v>coal</v>
      </c>
    </row>
    <row r="1321" spans="1:9" x14ac:dyDescent="0.15">
      <c r="A1321" s="2">
        <v>148657</v>
      </c>
      <c r="B1321" s="2" t="s">
        <v>73</v>
      </c>
      <c r="C1321" s="2">
        <v>2021</v>
      </c>
      <c r="D1321" s="2" t="s">
        <v>1</v>
      </c>
      <c r="E1321" s="2" t="s">
        <v>2</v>
      </c>
      <c r="F1321" s="2" t="s">
        <v>35</v>
      </c>
      <c r="G1321" s="7">
        <v>-4278.25</v>
      </c>
      <c r="H1321" s="13">
        <f>IFERROR(IF(ABS($G1321)&gt;0,VLOOKUP($E1321,'Fuel Category and Heat Rate'!$B$1:$G$34,6,FALSE)*($G1321),""),"")</f>
        <v>0</v>
      </c>
      <c r="I1321" t="str">
        <f>IFERROR(VLOOKUP($E1321,'Fuel Category and Heat Rate'!$K$2:$M$36,3,FALSE),"")</f>
        <v/>
      </c>
    </row>
    <row r="1322" spans="1:9" x14ac:dyDescent="0.15">
      <c r="A1322" s="2">
        <v>148692</v>
      </c>
      <c r="B1322" s="2" t="s">
        <v>73</v>
      </c>
      <c r="C1322" s="2">
        <v>2021</v>
      </c>
      <c r="D1322" s="2" t="s">
        <v>1</v>
      </c>
      <c r="E1322" s="2" t="s">
        <v>17</v>
      </c>
      <c r="F1322" s="2" t="s">
        <v>35</v>
      </c>
      <c r="G1322" s="7"/>
      <c r="H1322" s="13" t="str">
        <f>IFERROR(IF(ABS($G1322)&gt;0,VLOOKUP($E1322,'Fuel Category and Heat Rate'!$B$1:$G$34,6,FALSE)*($G1322),""),"")</f>
        <v/>
      </c>
      <c r="I1322" t="str">
        <f>IFERROR(VLOOKUP($E1322,'Fuel Category and Heat Rate'!$K$2:$M$36,3,FALSE),"")</f>
        <v>petroleum diesel</v>
      </c>
    </row>
    <row r="1323" spans="1:9" x14ac:dyDescent="0.15">
      <c r="A1323" s="2">
        <v>148727</v>
      </c>
      <c r="B1323" s="2" t="s">
        <v>73</v>
      </c>
      <c r="C1323" s="2">
        <v>2021</v>
      </c>
      <c r="D1323" s="2" t="s">
        <v>1</v>
      </c>
      <c r="E1323" s="2" t="s">
        <v>13</v>
      </c>
      <c r="F1323" s="2" t="s">
        <v>35</v>
      </c>
      <c r="G1323" s="7"/>
      <c r="H1323" s="13" t="str">
        <f>IFERROR(IF(ABS($G1323)&gt;0,VLOOKUP($E1323,'Fuel Category and Heat Rate'!$B$1:$G$34,6,FALSE)*($G1323),""),"")</f>
        <v/>
      </c>
      <c r="I1323" t="str">
        <f>IFERROR(VLOOKUP($E1323,'Fuel Category and Heat Rate'!$K$2:$M$36,3,FALSE),"")</f>
        <v>petroleum diesel</v>
      </c>
    </row>
    <row r="1324" spans="1:9" x14ac:dyDescent="0.15">
      <c r="A1324" s="2">
        <v>148762</v>
      </c>
      <c r="B1324" s="2" t="s">
        <v>73</v>
      </c>
      <c r="C1324" s="2">
        <v>2021</v>
      </c>
      <c r="D1324" s="2" t="s">
        <v>1</v>
      </c>
      <c r="E1324" s="2" t="s">
        <v>12</v>
      </c>
      <c r="F1324" s="2" t="s">
        <v>36</v>
      </c>
      <c r="G1324" s="7"/>
      <c r="H1324" s="13" t="str">
        <f>IFERROR(IF(ABS($G1324)&gt;0,VLOOKUP($E1324,'Fuel Category and Heat Rate'!$B$1:$G$34,6,FALSE)*($G1324),""),"")</f>
        <v/>
      </c>
      <c r="I1324" t="str">
        <f>IFERROR(VLOOKUP($E1324,'Fuel Category and Heat Rate'!$K$2:$M$36,3,FALSE),"")</f>
        <v>LPG propane or butane</v>
      </c>
    </row>
    <row r="1325" spans="1:9" x14ac:dyDescent="0.15">
      <c r="A1325" s="2">
        <v>148797</v>
      </c>
      <c r="B1325" s="2" t="s">
        <v>73</v>
      </c>
      <c r="C1325" s="2">
        <v>2021</v>
      </c>
      <c r="D1325" s="2" t="s">
        <v>1</v>
      </c>
      <c r="E1325" s="2" t="s">
        <v>33</v>
      </c>
      <c r="F1325" s="2" t="s">
        <v>38</v>
      </c>
      <c r="G1325" s="7">
        <v>-56.36</v>
      </c>
      <c r="H1325" s="13">
        <f>IFERROR(IF(ABS($G1325)&gt;0,VLOOKUP($E1325,'Fuel Category and Heat Rate'!$B$1:$G$34,6,FALSE)*($G1325),""),"")</f>
        <v>-15636267596639.551</v>
      </c>
      <c r="I1325" t="str">
        <f>IFERROR(VLOOKUP($E1325,'Fuel Category and Heat Rate'!$K$2:$M$36,3,FALSE),"")</f>
        <v>biomass</v>
      </c>
    </row>
    <row r="1326" spans="1:9" x14ac:dyDescent="0.15">
      <c r="A1326" s="2">
        <v>148832</v>
      </c>
      <c r="B1326" s="2" t="s">
        <v>73</v>
      </c>
      <c r="C1326" s="2">
        <v>2021</v>
      </c>
      <c r="D1326" s="2" t="s">
        <v>1</v>
      </c>
      <c r="E1326" s="2" t="s">
        <v>28</v>
      </c>
      <c r="F1326" s="2" t="s">
        <v>35</v>
      </c>
      <c r="G1326" s="7">
        <v>-0.46</v>
      </c>
      <c r="H1326" s="13">
        <f>IFERROR(IF(ABS($G1326)&gt;0,VLOOKUP($E1326,'Fuel Category and Heat Rate'!$B$1:$G$34,6,FALSE)*($G1326),""),"")</f>
        <v>-178671110159.71335</v>
      </c>
      <c r="I1326" t="str">
        <f>IFERROR(VLOOKUP($E1326,'Fuel Category and Heat Rate'!$K$2:$M$36,3,FALSE),"")</f>
        <v>heavy or residual fuel oil</v>
      </c>
    </row>
    <row r="1327" spans="1:9" x14ac:dyDescent="0.15">
      <c r="A1327" s="2">
        <v>148867</v>
      </c>
      <c r="B1327" s="2" t="s">
        <v>73</v>
      </c>
      <c r="C1327" s="2">
        <v>2021</v>
      </c>
      <c r="D1327" s="2" t="s">
        <v>1</v>
      </c>
      <c r="E1327" s="2" t="s">
        <v>5</v>
      </c>
      <c r="F1327" s="2" t="s">
        <v>35</v>
      </c>
      <c r="G1327" s="7">
        <v>-343.53</v>
      </c>
      <c r="H1327" s="13">
        <f>IFERROR(IF(ABS($G1327)&gt;0,VLOOKUP($E1327,'Fuel Category and Heat Rate'!$B$1:$G$34,6,FALSE)*($G1327),""),"")</f>
        <v>-27230230418607.695</v>
      </c>
      <c r="I1327" t="str">
        <f>IFERROR(VLOOKUP($E1327,'Fuel Category and Heat Rate'!$K$2:$M$36,3,FALSE),"")</f>
        <v>coal</v>
      </c>
    </row>
    <row r="1328" spans="1:9" x14ac:dyDescent="0.15">
      <c r="A1328" s="2">
        <v>148902</v>
      </c>
      <c r="B1328" s="2" t="s">
        <v>73</v>
      </c>
      <c r="C1328" s="2">
        <v>2021</v>
      </c>
      <c r="D1328" s="2" t="s">
        <v>1</v>
      </c>
      <c r="E1328" s="2" t="s">
        <v>16</v>
      </c>
      <c r="F1328" s="2" t="s">
        <v>35</v>
      </c>
      <c r="G1328" s="7"/>
      <c r="H1328" s="13" t="str">
        <f>IFERROR(IF(ABS($G1328)&gt;0,VLOOKUP($E1328,'Fuel Category and Heat Rate'!$B$1:$G$34,6,FALSE)*($G1328),""),"")</f>
        <v/>
      </c>
      <c r="I1328" t="str">
        <f>IFERROR(VLOOKUP($E1328,'Fuel Category and Heat Rate'!$K$2:$M$36,3,FALSE),"")</f>
        <v>petroleum diesel</v>
      </c>
    </row>
    <row r="1329" spans="1:9" x14ac:dyDescent="0.15">
      <c r="A1329" s="2">
        <v>148937</v>
      </c>
      <c r="B1329" s="2" t="s">
        <v>73</v>
      </c>
      <c r="C1329" s="2">
        <v>2021</v>
      </c>
      <c r="D1329" s="2" t="s">
        <v>1</v>
      </c>
      <c r="E1329" s="2" t="s">
        <v>19</v>
      </c>
      <c r="F1329" s="2" t="s">
        <v>35</v>
      </c>
      <c r="G1329" s="7">
        <v>-1.97</v>
      </c>
      <c r="H1329" s="13">
        <f>IFERROR(IF(ABS($G1329)&gt;0,VLOOKUP($E1329,'Fuel Category and Heat Rate'!$B$1:$G$34,6,FALSE)*($G1329),""),"")</f>
        <v>-780788239788.44348</v>
      </c>
      <c r="I1329" t="str">
        <f>IFERROR(VLOOKUP($E1329,'Fuel Category and Heat Rate'!$K$2:$M$36,3,FALSE),"")</f>
        <v>heavy or residual fuel oil</v>
      </c>
    </row>
    <row r="1330" spans="1:9" x14ac:dyDescent="0.15">
      <c r="A1330" s="2">
        <v>148972</v>
      </c>
      <c r="B1330" s="2" t="s">
        <v>73</v>
      </c>
      <c r="C1330" s="2">
        <v>2021</v>
      </c>
      <c r="D1330" s="2" t="s">
        <v>1</v>
      </c>
      <c r="E1330" s="2" t="s">
        <v>31</v>
      </c>
      <c r="F1330" s="2" t="s">
        <v>37</v>
      </c>
      <c r="G1330" s="7">
        <v>59721.52</v>
      </c>
      <c r="H1330" s="13">
        <f>IFERROR(IF(ABS($G1330)&gt;0,VLOOKUP($E1330,'Fuel Category and Heat Rate'!$B$1:$G$34,6,FALSE)*($G1330),""),"")</f>
        <v>566050792477004.88</v>
      </c>
      <c r="I1330" t="str">
        <f>IFERROR(VLOOKUP($E1330,'Fuel Category and Heat Rate'!$K$2:$M$36,3,FALSE),"")</f>
        <v>heat</v>
      </c>
    </row>
    <row r="1331" spans="1:9" x14ac:dyDescent="0.15">
      <c r="A1331" s="2">
        <v>149007</v>
      </c>
      <c r="B1331" s="2" t="s">
        <v>73</v>
      </c>
      <c r="C1331" s="2">
        <v>2021</v>
      </c>
      <c r="D1331" s="2" t="s">
        <v>1</v>
      </c>
      <c r="E1331" s="2" t="s">
        <v>23</v>
      </c>
      <c r="F1331" s="2" t="s">
        <v>35</v>
      </c>
      <c r="G1331" s="7"/>
      <c r="H1331" s="13" t="str">
        <f>IFERROR(IF(ABS($G1331)&gt;0,VLOOKUP($E1331,'Fuel Category and Heat Rate'!$B$1:$G$34,6,FALSE)*($G1331),""),"")</f>
        <v/>
      </c>
      <c r="I1331" t="str">
        <f>IFERROR(VLOOKUP($E1331,'Fuel Category and Heat Rate'!$K$2:$M$36,3,FALSE),"")</f>
        <v>heavy or residual fuel oil</v>
      </c>
    </row>
    <row r="1332" spans="1:9" x14ac:dyDescent="0.15">
      <c r="A1332" s="2">
        <v>149042</v>
      </c>
      <c r="B1332" s="2" t="s">
        <v>73</v>
      </c>
      <c r="C1332" s="2">
        <v>2021</v>
      </c>
      <c r="D1332" s="2" t="s">
        <v>1</v>
      </c>
      <c r="E1332" s="2" t="s">
        <v>21</v>
      </c>
      <c r="F1332" s="2" t="s">
        <v>35</v>
      </c>
      <c r="G1332" s="7"/>
      <c r="H1332" s="13" t="str">
        <f>IFERROR(IF(ABS($G1332)&gt;0,VLOOKUP($E1332,'Fuel Category and Heat Rate'!$B$1:$G$34,6,FALSE)*($G1332),""),"")</f>
        <v/>
      </c>
      <c r="I1332" t="str">
        <f>IFERROR(VLOOKUP($E1332,'Fuel Category and Heat Rate'!$K$2:$M$36,3,FALSE),"")</f>
        <v>LPG propane or butane</v>
      </c>
    </row>
    <row r="1333" spans="1:9" x14ac:dyDescent="0.15">
      <c r="A1333" s="2">
        <v>149077</v>
      </c>
      <c r="B1333" s="2" t="s">
        <v>73</v>
      </c>
      <c r="C1333" s="2">
        <v>2021</v>
      </c>
      <c r="D1333" s="2" t="s">
        <v>1</v>
      </c>
      <c r="E1333" s="2" t="s">
        <v>22</v>
      </c>
      <c r="F1333" s="2" t="s">
        <v>35</v>
      </c>
      <c r="G1333" s="7"/>
      <c r="H1333" s="13" t="str">
        <f>IFERROR(IF(ABS($G1333)&gt;0,VLOOKUP($E1333,'Fuel Category and Heat Rate'!$B$1:$G$34,6,FALSE)*($G1333),""),"")</f>
        <v/>
      </c>
      <c r="I1333" t="str">
        <f>IFERROR(VLOOKUP($E1333,'Fuel Category and Heat Rate'!$K$2:$M$36,3,FALSE),"")</f>
        <v>heavy fuel oil</v>
      </c>
    </row>
    <row r="1334" spans="1:9" x14ac:dyDescent="0.15">
      <c r="A1334" s="2">
        <v>149112</v>
      </c>
      <c r="B1334" s="2" t="s">
        <v>73</v>
      </c>
      <c r="C1334" s="2">
        <v>2021</v>
      </c>
      <c r="D1334" s="2" t="s">
        <v>1</v>
      </c>
      <c r="E1334" s="2" t="s">
        <v>20</v>
      </c>
      <c r="F1334" s="2" t="s">
        <v>35</v>
      </c>
      <c r="G1334" s="7"/>
      <c r="H1334" s="13" t="str">
        <f>IFERROR(IF(ABS($G1334)&gt;0,VLOOKUP($E1334,'Fuel Category and Heat Rate'!$B$1:$G$34,6,FALSE)*($G1334),""),"")</f>
        <v/>
      </c>
      <c r="I1334" t="str">
        <f>IFERROR(VLOOKUP($E1334,'Fuel Category and Heat Rate'!$K$2:$M$36,3,FALSE),"")</f>
        <v>LPG propane or butane</v>
      </c>
    </row>
    <row r="1335" spans="1:9" x14ac:dyDescent="0.15">
      <c r="A1335" s="2">
        <v>149147</v>
      </c>
      <c r="B1335" s="2" t="s">
        <v>73</v>
      </c>
      <c r="C1335" s="2">
        <v>2021</v>
      </c>
      <c r="D1335" s="2" t="s">
        <v>1</v>
      </c>
      <c r="E1335" s="2" t="s">
        <v>25</v>
      </c>
      <c r="F1335" s="2" t="s">
        <v>35</v>
      </c>
      <c r="G1335" s="7"/>
      <c r="H1335" s="13" t="str">
        <f>IFERROR(IF(ABS($G1335)&gt;0,VLOOKUP($E1335,'Fuel Category and Heat Rate'!$B$1:$G$34,6,FALSE)*($G1335),""),"")</f>
        <v/>
      </c>
      <c r="I1335" t="str">
        <f>IFERROR(VLOOKUP($E1335,'Fuel Category and Heat Rate'!$K$2:$M$36,3,FALSE),"")</f>
        <v>heavy fuel oil</v>
      </c>
    </row>
    <row r="1336" spans="1:9" x14ac:dyDescent="0.15">
      <c r="A1336" s="2">
        <v>149182</v>
      </c>
      <c r="B1336" s="2" t="s">
        <v>73</v>
      </c>
      <c r="C1336" s="2">
        <v>2021</v>
      </c>
      <c r="D1336" s="2" t="s">
        <v>1</v>
      </c>
      <c r="E1336" s="2" t="s">
        <v>24</v>
      </c>
      <c r="F1336" s="2" t="s">
        <v>35</v>
      </c>
      <c r="G1336" s="7"/>
      <c r="H1336" s="13" t="str">
        <f>IFERROR(IF(ABS($G1336)&gt;0,VLOOKUP($E1336,'Fuel Category and Heat Rate'!$B$1:$G$34,6,FALSE)*($G1336),""),"")</f>
        <v/>
      </c>
      <c r="I1336" t="str">
        <f>IFERROR(VLOOKUP($E1336,'Fuel Category and Heat Rate'!$K$2:$M$36,3,FALSE),"")</f>
        <v>heavy fuel oil</v>
      </c>
    </row>
    <row r="1337" spans="1:9" x14ac:dyDescent="0.15">
      <c r="A1337" s="2">
        <v>149217</v>
      </c>
      <c r="B1337" s="2" t="s">
        <v>73</v>
      </c>
      <c r="C1337" s="2">
        <v>2021</v>
      </c>
      <c r="D1337" s="2" t="s">
        <v>1</v>
      </c>
      <c r="E1337" s="2" t="s">
        <v>29</v>
      </c>
      <c r="F1337" s="2" t="s">
        <v>36</v>
      </c>
      <c r="G1337" s="7">
        <v>-4.21</v>
      </c>
      <c r="H1337" s="13">
        <f>IFERROR(IF(ABS($G1337)&gt;0,VLOOKUP($E1337,'Fuel Category and Heat Rate'!$B$1:$G$34,6,FALSE)*($G1337),""),"")</f>
        <v>-14199318927050.166</v>
      </c>
      <c r="I1337" t="str">
        <f>IFERROR(VLOOKUP($E1337,'Fuel Category and Heat Rate'!$K$2:$M$36,3,FALSE),"")</f>
        <v>natural gas</v>
      </c>
    </row>
    <row r="1338" spans="1:9" x14ac:dyDescent="0.15">
      <c r="A1338" s="2">
        <v>149252</v>
      </c>
      <c r="B1338" s="2" t="s">
        <v>73</v>
      </c>
      <c r="C1338" s="2">
        <v>2021</v>
      </c>
      <c r="D1338" s="2" t="s">
        <v>1</v>
      </c>
      <c r="E1338" s="2" t="s">
        <v>4</v>
      </c>
      <c r="F1338" s="2" t="s">
        <v>35</v>
      </c>
      <c r="G1338" s="7"/>
      <c r="H1338" s="13" t="str">
        <f>IFERROR(IF(ABS($G1338)&gt;0,VLOOKUP($E1338,'Fuel Category and Heat Rate'!$B$1:$G$34,6,FALSE)*($G1338),""),"")</f>
        <v/>
      </c>
      <c r="I1338" t="str">
        <f>IFERROR(VLOOKUP($E1338,'Fuel Category and Heat Rate'!$K$2:$M$36,3,FALSE),"")</f>
        <v>coal</v>
      </c>
    </row>
    <row r="1339" spans="1:9" x14ac:dyDescent="0.15">
      <c r="A1339" s="2">
        <v>149287</v>
      </c>
      <c r="B1339" s="2" t="s">
        <v>73</v>
      </c>
      <c r="C1339" s="2">
        <v>2021</v>
      </c>
      <c r="D1339" s="2" t="s">
        <v>1</v>
      </c>
      <c r="E1339" s="2" t="s">
        <v>6</v>
      </c>
      <c r="F1339" s="2" t="s">
        <v>35</v>
      </c>
      <c r="G1339" s="7">
        <v>-6.98</v>
      </c>
      <c r="H1339" s="13">
        <f>IFERROR(IF(ABS($G1339)&gt;0,VLOOKUP($E1339,'Fuel Category and Heat Rate'!$B$1:$G$34,6,FALSE)*($G1339),""),"")</f>
        <v>-1023657088864.0635</v>
      </c>
      <c r="I1339" t="str">
        <f>IFERROR(VLOOKUP($E1339,'Fuel Category and Heat Rate'!$K$2:$M$36,3,FALSE),"")</f>
        <v>coal</v>
      </c>
    </row>
    <row r="1340" spans="1:9" x14ac:dyDescent="0.15">
      <c r="A1340" s="2">
        <v>149322</v>
      </c>
      <c r="B1340" s="2" t="s">
        <v>73</v>
      </c>
      <c r="C1340" s="2">
        <v>2021</v>
      </c>
      <c r="D1340" s="2" t="s">
        <v>1</v>
      </c>
      <c r="E1340" s="2" t="s">
        <v>26</v>
      </c>
      <c r="F1340" s="2" t="s">
        <v>35</v>
      </c>
      <c r="G1340" s="7"/>
      <c r="H1340" s="13" t="str">
        <f>IFERROR(IF(ABS($G1340)&gt;0,VLOOKUP($E1340,'Fuel Category and Heat Rate'!$B$1:$G$34,6,FALSE)*($G1340),""),"")</f>
        <v/>
      </c>
      <c r="I1340" t="str">
        <f>IFERROR(VLOOKUP($E1340,'Fuel Category and Heat Rate'!$K$2:$M$36,3,FALSE),"")</f>
        <v>LPG propane or butane</v>
      </c>
    </row>
    <row r="1341" spans="1:9" x14ac:dyDescent="0.15">
      <c r="A1341" s="2">
        <v>149357</v>
      </c>
      <c r="B1341" s="2" t="s">
        <v>73</v>
      </c>
      <c r="C1341" s="2">
        <v>2021</v>
      </c>
      <c r="D1341" s="2" t="s">
        <v>1</v>
      </c>
      <c r="E1341" s="2" t="s">
        <v>30</v>
      </c>
      <c r="F1341" s="2" t="s">
        <v>35</v>
      </c>
      <c r="G1341" s="7">
        <v>-0.2</v>
      </c>
      <c r="H1341" s="13">
        <f>IFERROR(IF(ABS($G1341)&gt;0,VLOOKUP($E1341,'Fuel Category and Heat Rate'!$B$1:$G$34,6,FALSE)*($G1341),""),"")</f>
        <v>-97500051774.510345</v>
      </c>
      <c r="I1341" t="str">
        <f>IFERROR(VLOOKUP($E1341,'Fuel Category and Heat Rate'!$K$2:$M$36,3,FALSE),"")</f>
        <v>natural gas</v>
      </c>
    </row>
    <row r="1342" spans="1:9" x14ac:dyDescent="0.15">
      <c r="A1342" s="2">
        <v>149392</v>
      </c>
      <c r="B1342" s="2" t="s">
        <v>73</v>
      </c>
      <c r="C1342" s="2">
        <v>2021</v>
      </c>
      <c r="D1342" s="2" t="s">
        <v>1</v>
      </c>
      <c r="E1342" s="2" t="s">
        <v>14</v>
      </c>
      <c r="F1342" s="2" t="s">
        <v>35</v>
      </c>
      <c r="G1342" s="7">
        <v>-7.51</v>
      </c>
      <c r="H1342" s="13">
        <f>IFERROR(IF(ABS($G1342)&gt;0,VLOOKUP($E1342,'Fuel Category and Heat Rate'!$B$1:$G$34,6,FALSE)*($G1342),""),"")</f>
        <v>0</v>
      </c>
      <c r="I1342" t="str">
        <f>IFERROR(VLOOKUP($E1342,'Fuel Category and Heat Rate'!$K$2:$M$36,3,FALSE),"")</f>
        <v/>
      </c>
    </row>
    <row r="1343" spans="1:9" x14ac:dyDescent="0.15">
      <c r="A1343" s="2">
        <v>149427</v>
      </c>
      <c r="B1343" s="2" t="s">
        <v>73</v>
      </c>
      <c r="C1343" s="2">
        <v>2021</v>
      </c>
      <c r="D1343" s="2" t="s">
        <v>1</v>
      </c>
      <c r="E1343" s="2" t="s">
        <v>3</v>
      </c>
      <c r="F1343" s="2" t="s">
        <v>35</v>
      </c>
      <c r="G1343" s="7">
        <v>-3927.74</v>
      </c>
      <c r="H1343" s="13">
        <f>IFERROR(IF(ABS($G1343)&gt;0,VLOOKUP($E1343,'Fuel Category and Heat Rate'!$B$1:$G$34,6,FALSE)*($G1343),""),"")</f>
        <v>-778358680443314.88</v>
      </c>
      <c r="I1343" t="str">
        <f>IFERROR(VLOOKUP($E1343,'Fuel Category and Heat Rate'!$K$2:$M$36,3,FALSE),"")</f>
        <v>coal</v>
      </c>
    </row>
    <row r="1344" spans="1:9" x14ac:dyDescent="0.15">
      <c r="A1344" s="2">
        <v>149462</v>
      </c>
      <c r="B1344" s="2" t="s">
        <v>73</v>
      </c>
      <c r="C1344" s="2">
        <v>2021</v>
      </c>
      <c r="D1344" s="2" t="s">
        <v>1</v>
      </c>
      <c r="E1344" s="2" t="s">
        <v>15</v>
      </c>
      <c r="F1344" s="2" t="s">
        <v>35</v>
      </c>
      <c r="G1344" s="7"/>
      <c r="H1344" s="13" t="str">
        <f>IFERROR(IF(ABS($G1344)&gt;0,VLOOKUP($E1344,'Fuel Category and Heat Rate'!$B$1:$G$34,6,FALSE)*($G1344),""),"")</f>
        <v/>
      </c>
      <c r="I1344" t="str">
        <f>IFERROR(VLOOKUP($E1344,'Fuel Category and Heat Rate'!$K$2:$M$36,3,FALSE),"")</f>
        <v>crude oil</v>
      </c>
    </row>
    <row r="1345" spans="1:9" x14ac:dyDescent="0.15">
      <c r="A1345" s="2">
        <v>149497</v>
      </c>
      <c r="B1345" s="2" t="s">
        <v>73</v>
      </c>
      <c r="C1345" s="2">
        <v>2021</v>
      </c>
      <c r="D1345" s="2" t="s">
        <v>1</v>
      </c>
      <c r="E1345" s="2" t="s">
        <v>11</v>
      </c>
      <c r="F1345" s="2" t="s">
        <v>36</v>
      </c>
      <c r="G1345" s="7">
        <v>-4.76</v>
      </c>
      <c r="H1345" s="13">
        <f>IFERROR(IF(ABS($G1345)&gt;0,VLOOKUP($E1345,'Fuel Category and Heat Rate'!$B$1:$G$34,6,FALSE)*($G1345),""),"")</f>
        <v>-3584473750844.5645</v>
      </c>
      <c r="I1345" t="str">
        <f>IFERROR(VLOOKUP($E1345,'Fuel Category and Heat Rate'!$K$2:$M$36,3,FALSE),"")</f>
        <v>LPG propane or butane</v>
      </c>
    </row>
    <row r="1346" spans="1:9" x14ac:dyDescent="0.15">
      <c r="A1346" s="2">
        <v>149532</v>
      </c>
      <c r="B1346" s="2" t="s">
        <v>73</v>
      </c>
      <c r="C1346" s="2">
        <v>2020</v>
      </c>
      <c r="D1346" s="2" t="s">
        <v>1</v>
      </c>
      <c r="E1346" s="2" t="s">
        <v>18</v>
      </c>
      <c r="F1346" s="2" t="s">
        <v>35</v>
      </c>
      <c r="G1346" s="7">
        <v>-0.18</v>
      </c>
      <c r="H1346" s="13">
        <f>IFERROR(IF(ABS($G1346)&gt;0,VLOOKUP($E1346,'Fuel Category and Heat Rate'!$B$1:$G$34,6,FALSE)*($G1346),""),"")</f>
        <v>-72767332648.788208</v>
      </c>
      <c r="I1346" t="str">
        <f>IFERROR(VLOOKUP($E1346,'Fuel Category and Heat Rate'!$K$2:$M$36,3,FALSE),"")</f>
        <v>petroleum diesel</v>
      </c>
    </row>
    <row r="1347" spans="1:9" x14ac:dyDescent="0.15">
      <c r="A1347" s="2">
        <v>149567</v>
      </c>
      <c r="B1347" s="2" t="s">
        <v>73</v>
      </c>
      <c r="C1347" s="2">
        <v>2020</v>
      </c>
      <c r="D1347" s="2" t="s">
        <v>1</v>
      </c>
      <c r="E1347" s="2" t="s">
        <v>32</v>
      </c>
      <c r="F1347" s="2" t="s">
        <v>65</v>
      </c>
      <c r="G1347" s="7"/>
      <c r="H1347" s="13" t="str">
        <f>IFERROR(IF(ABS($G1347)&gt;0,VLOOKUP($E1347,'Fuel Category and Heat Rate'!$B$1:$G$34,6,FALSE)*($G1347),""),"")</f>
        <v/>
      </c>
      <c r="I1347" t="str">
        <f>IFERROR(VLOOKUP($E1347,'Fuel Category and Heat Rate'!$K$2:$M$36,3,FALSE),"")</f>
        <v>electricity</v>
      </c>
    </row>
    <row r="1348" spans="1:9" x14ac:dyDescent="0.15">
      <c r="A1348" s="2">
        <v>149602</v>
      </c>
      <c r="B1348" s="2" t="s">
        <v>73</v>
      </c>
      <c r="C1348" s="2">
        <v>2020</v>
      </c>
      <c r="D1348" s="2" t="s">
        <v>1</v>
      </c>
      <c r="E1348" s="2" t="s">
        <v>10</v>
      </c>
      <c r="F1348" s="2" t="s">
        <v>36</v>
      </c>
      <c r="G1348" s="7">
        <v>-102.4</v>
      </c>
      <c r="H1348" s="13">
        <f>IFERROR(IF(ABS($G1348)&gt;0,VLOOKUP($E1348,'Fuel Category and Heat Rate'!$B$1:$G$34,6,FALSE)*($G1348),""),"")</f>
        <v>-36522350925782.742</v>
      </c>
      <c r="I1348" t="str">
        <f>IFERROR(VLOOKUP($E1348,'Fuel Category and Heat Rate'!$K$2:$M$36,3,FALSE),"")</f>
        <v>LPG propane or butane</v>
      </c>
    </row>
    <row r="1349" spans="1:9" x14ac:dyDescent="0.15">
      <c r="A1349" s="2">
        <v>149637</v>
      </c>
      <c r="B1349" s="2" t="s">
        <v>73</v>
      </c>
      <c r="C1349" s="2">
        <v>2020</v>
      </c>
      <c r="D1349" s="2" t="s">
        <v>1</v>
      </c>
      <c r="E1349" s="2" t="s">
        <v>9</v>
      </c>
      <c r="F1349" s="2" t="s">
        <v>36</v>
      </c>
      <c r="G1349" s="7">
        <v>-4.76</v>
      </c>
      <c r="H1349" s="13">
        <f>IFERROR(IF(ABS($G1349)&gt;0,VLOOKUP($E1349,'Fuel Category and Heat Rate'!$B$1:$G$34,6,FALSE)*($G1349),""),"")</f>
        <v>-7829221552584.1592</v>
      </c>
      <c r="I1349" t="str">
        <f>IFERROR(VLOOKUP($E1349,'Fuel Category and Heat Rate'!$K$2:$M$36,3,FALSE),"")</f>
        <v>LPG propane or butane</v>
      </c>
    </row>
    <row r="1350" spans="1:9" x14ac:dyDescent="0.15">
      <c r="A1350" s="2">
        <v>149672</v>
      </c>
      <c r="B1350" s="2" t="s">
        <v>73</v>
      </c>
      <c r="C1350" s="2">
        <v>2020</v>
      </c>
      <c r="D1350" s="2" t="s">
        <v>1</v>
      </c>
      <c r="E1350" s="2" t="s">
        <v>8</v>
      </c>
      <c r="F1350" s="2" t="s">
        <v>35</v>
      </c>
      <c r="G1350" s="7">
        <v>-5.21</v>
      </c>
      <c r="H1350" s="13">
        <f>IFERROR(IF(ABS($G1350)&gt;0,VLOOKUP($E1350,'Fuel Category and Heat Rate'!$B$1:$G$34,6,FALSE)*($G1350),""),"")</f>
        <v>-1404156471906.2029</v>
      </c>
      <c r="I1350" t="str">
        <f>IFERROR(VLOOKUP($E1350,'Fuel Category and Heat Rate'!$K$2:$M$36,3,FALSE),"")</f>
        <v>coal</v>
      </c>
    </row>
    <row r="1351" spans="1:9" x14ac:dyDescent="0.15">
      <c r="A1351" s="2">
        <v>149707</v>
      </c>
      <c r="B1351" s="2" t="s">
        <v>73</v>
      </c>
      <c r="C1351" s="2">
        <v>2020</v>
      </c>
      <c r="D1351" s="2" t="s">
        <v>1</v>
      </c>
      <c r="E1351" s="2" t="s">
        <v>27</v>
      </c>
      <c r="F1351" s="2" t="s">
        <v>35</v>
      </c>
      <c r="G1351" s="7">
        <v>-4.8099999999999996</v>
      </c>
      <c r="H1351" s="13">
        <f>IFERROR(IF(ABS($G1351)&gt;0,VLOOKUP($E1351,'Fuel Category and Heat Rate'!$B$1:$G$34,6,FALSE)*($G1351),""),"")</f>
        <v>-2097048985605.833</v>
      </c>
      <c r="I1351" t="str">
        <f>IFERROR(VLOOKUP($E1351,'Fuel Category and Heat Rate'!$K$2:$M$36,3,FALSE),"")</f>
        <v>LPG propane or butane</v>
      </c>
    </row>
    <row r="1352" spans="1:9" x14ac:dyDescent="0.15">
      <c r="A1352" s="2">
        <v>149742</v>
      </c>
      <c r="B1352" s="2" t="s">
        <v>73</v>
      </c>
      <c r="C1352" s="2">
        <v>2020</v>
      </c>
      <c r="D1352" s="2" t="s">
        <v>1</v>
      </c>
      <c r="E1352" s="2" t="s">
        <v>7</v>
      </c>
      <c r="F1352" s="2" t="s">
        <v>35</v>
      </c>
      <c r="G1352" s="7">
        <v>-3.48</v>
      </c>
      <c r="H1352" s="13">
        <f>IFERROR(IF(ABS($G1352)&gt;0,VLOOKUP($E1352,'Fuel Category and Heat Rate'!$B$1:$G$34,6,FALSE)*($G1352),""),"")</f>
        <v>-276208316365.43225</v>
      </c>
      <c r="I1352" t="str">
        <f>IFERROR(VLOOKUP($E1352,'Fuel Category and Heat Rate'!$K$2:$M$36,3,FALSE),"")</f>
        <v>coal</v>
      </c>
    </row>
    <row r="1353" spans="1:9" x14ac:dyDescent="0.15">
      <c r="A1353" s="2">
        <v>149777</v>
      </c>
      <c r="B1353" s="2" t="s">
        <v>73</v>
      </c>
      <c r="C1353" s="2">
        <v>2020</v>
      </c>
      <c r="D1353" s="2" t="s">
        <v>1</v>
      </c>
      <c r="E1353" s="2" t="s">
        <v>2</v>
      </c>
      <c r="F1353" s="2" t="s">
        <v>35</v>
      </c>
      <c r="G1353" s="7">
        <v>-2931.36</v>
      </c>
      <c r="H1353" s="13">
        <f>IFERROR(IF(ABS($G1353)&gt;0,VLOOKUP($E1353,'Fuel Category and Heat Rate'!$B$1:$G$34,6,FALSE)*($G1353),""),"")</f>
        <v>0</v>
      </c>
      <c r="I1353" t="str">
        <f>IFERROR(VLOOKUP($E1353,'Fuel Category and Heat Rate'!$K$2:$M$36,3,FALSE),"")</f>
        <v/>
      </c>
    </row>
    <row r="1354" spans="1:9" x14ac:dyDescent="0.15">
      <c r="A1354" s="2">
        <v>149812</v>
      </c>
      <c r="B1354" s="2" t="s">
        <v>73</v>
      </c>
      <c r="C1354" s="2">
        <v>2020</v>
      </c>
      <c r="D1354" s="2" t="s">
        <v>1</v>
      </c>
      <c r="E1354" s="2" t="s">
        <v>17</v>
      </c>
      <c r="F1354" s="2" t="s">
        <v>35</v>
      </c>
      <c r="G1354" s="7"/>
      <c r="H1354" s="13" t="str">
        <f>IFERROR(IF(ABS($G1354)&gt;0,VLOOKUP($E1354,'Fuel Category and Heat Rate'!$B$1:$G$34,6,FALSE)*($G1354),""),"")</f>
        <v/>
      </c>
      <c r="I1354" t="str">
        <f>IFERROR(VLOOKUP($E1354,'Fuel Category and Heat Rate'!$K$2:$M$36,3,FALSE),"")</f>
        <v>petroleum diesel</v>
      </c>
    </row>
    <row r="1355" spans="1:9" x14ac:dyDescent="0.15">
      <c r="A1355" s="2">
        <v>149847</v>
      </c>
      <c r="B1355" s="2" t="s">
        <v>73</v>
      </c>
      <c r="C1355" s="2">
        <v>2020</v>
      </c>
      <c r="D1355" s="2" t="s">
        <v>1</v>
      </c>
      <c r="E1355" s="2" t="s">
        <v>13</v>
      </c>
      <c r="F1355" s="2" t="s">
        <v>35</v>
      </c>
      <c r="G1355" s="7"/>
      <c r="H1355" s="13" t="str">
        <f>IFERROR(IF(ABS($G1355)&gt;0,VLOOKUP($E1355,'Fuel Category and Heat Rate'!$B$1:$G$34,6,FALSE)*($G1355),""),"")</f>
        <v/>
      </c>
      <c r="I1355" t="str">
        <f>IFERROR(VLOOKUP($E1355,'Fuel Category and Heat Rate'!$K$2:$M$36,3,FALSE),"")</f>
        <v>petroleum diesel</v>
      </c>
    </row>
    <row r="1356" spans="1:9" x14ac:dyDescent="0.15">
      <c r="A1356" s="2">
        <v>149882</v>
      </c>
      <c r="B1356" s="2" t="s">
        <v>73</v>
      </c>
      <c r="C1356" s="2">
        <v>2020</v>
      </c>
      <c r="D1356" s="2" t="s">
        <v>1</v>
      </c>
      <c r="E1356" s="2" t="s">
        <v>12</v>
      </c>
      <c r="F1356" s="2" t="s">
        <v>36</v>
      </c>
      <c r="G1356" s="7"/>
      <c r="H1356" s="13" t="str">
        <f>IFERROR(IF(ABS($G1356)&gt;0,VLOOKUP($E1356,'Fuel Category and Heat Rate'!$B$1:$G$34,6,FALSE)*($G1356),""),"")</f>
        <v/>
      </c>
      <c r="I1356" t="str">
        <f>IFERROR(VLOOKUP($E1356,'Fuel Category and Heat Rate'!$K$2:$M$36,3,FALSE),"")</f>
        <v>LPG propane or butane</v>
      </c>
    </row>
    <row r="1357" spans="1:9" x14ac:dyDescent="0.15">
      <c r="A1357" s="2">
        <v>149917</v>
      </c>
      <c r="B1357" s="2" t="s">
        <v>73</v>
      </c>
      <c r="C1357" s="2">
        <v>2020</v>
      </c>
      <c r="D1357" s="2" t="s">
        <v>1</v>
      </c>
      <c r="E1357" s="2" t="s">
        <v>33</v>
      </c>
      <c r="F1357" s="2" t="s">
        <v>38</v>
      </c>
      <c r="G1357" s="7">
        <v>-51.9</v>
      </c>
      <c r="H1357" s="13">
        <f>IFERROR(IF(ABS($G1357)&gt;0,VLOOKUP($E1357,'Fuel Category and Heat Rate'!$B$1:$G$34,6,FALSE)*($G1357),""),"")</f>
        <v>-14398905043747.209</v>
      </c>
      <c r="I1357" t="str">
        <f>IFERROR(VLOOKUP($E1357,'Fuel Category and Heat Rate'!$K$2:$M$36,3,FALSE),"")</f>
        <v>biomass</v>
      </c>
    </row>
    <row r="1358" spans="1:9" x14ac:dyDescent="0.15">
      <c r="A1358" s="2">
        <v>149952</v>
      </c>
      <c r="B1358" s="2" t="s">
        <v>73</v>
      </c>
      <c r="C1358" s="2">
        <v>2020</v>
      </c>
      <c r="D1358" s="2" t="s">
        <v>1</v>
      </c>
      <c r="E1358" s="2" t="s">
        <v>28</v>
      </c>
      <c r="F1358" s="2" t="s">
        <v>35</v>
      </c>
      <c r="G1358" s="7">
        <v>-0.64</v>
      </c>
      <c r="H1358" s="13">
        <f>IFERROR(IF(ABS($G1358)&gt;0,VLOOKUP($E1358,'Fuel Category and Heat Rate'!$B$1:$G$34,6,FALSE)*($G1358),""),"")</f>
        <v>-248585892396.12292</v>
      </c>
      <c r="I1358" t="str">
        <f>IFERROR(VLOOKUP($E1358,'Fuel Category and Heat Rate'!$K$2:$M$36,3,FALSE),"")</f>
        <v>heavy or residual fuel oil</v>
      </c>
    </row>
    <row r="1359" spans="1:9" x14ac:dyDescent="0.15">
      <c r="A1359" s="2">
        <v>149987</v>
      </c>
      <c r="B1359" s="2" t="s">
        <v>73</v>
      </c>
      <c r="C1359" s="2">
        <v>2020</v>
      </c>
      <c r="D1359" s="2" t="s">
        <v>1</v>
      </c>
      <c r="E1359" s="2" t="s">
        <v>5</v>
      </c>
      <c r="F1359" s="2" t="s">
        <v>35</v>
      </c>
      <c r="G1359" s="7">
        <v>-80.349999999999994</v>
      </c>
      <c r="H1359" s="13">
        <f>IFERROR(IF(ABS($G1359)&gt;0,VLOOKUP($E1359,'Fuel Category and Heat Rate'!$B$1:$G$34,6,FALSE)*($G1359),""),"")</f>
        <v>-6369018758580.4102</v>
      </c>
      <c r="I1359" t="str">
        <f>IFERROR(VLOOKUP($E1359,'Fuel Category and Heat Rate'!$K$2:$M$36,3,FALSE),"")</f>
        <v>coal</v>
      </c>
    </row>
    <row r="1360" spans="1:9" x14ac:dyDescent="0.15">
      <c r="A1360" s="2">
        <v>150022</v>
      </c>
      <c r="B1360" s="2" t="s">
        <v>73</v>
      </c>
      <c r="C1360" s="2">
        <v>2020</v>
      </c>
      <c r="D1360" s="2" t="s">
        <v>1</v>
      </c>
      <c r="E1360" s="2" t="s">
        <v>16</v>
      </c>
      <c r="F1360" s="2" t="s">
        <v>35</v>
      </c>
      <c r="G1360" s="7"/>
      <c r="H1360" s="13" t="str">
        <f>IFERROR(IF(ABS($G1360)&gt;0,VLOOKUP($E1360,'Fuel Category and Heat Rate'!$B$1:$G$34,6,FALSE)*($G1360),""),"")</f>
        <v/>
      </c>
      <c r="I1360" t="str">
        <f>IFERROR(VLOOKUP($E1360,'Fuel Category and Heat Rate'!$K$2:$M$36,3,FALSE),"")</f>
        <v>petroleum diesel</v>
      </c>
    </row>
    <row r="1361" spans="1:9" x14ac:dyDescent="0.15">
      <c r="A1361" s="2">
        <v>150057</v>
      </c>
      <c r="B1361" s="2" t="s">
        <v>73</v>
      </c>
      <c r="C1361" s="2">
        <v>2020</v>
      </c>
      <c r="D1361" s="2" t="s">
        <v>1</v>
      </c>
      <c r="E1361" s="2" t="s">
        <v>19</v>
      </c>
      <c r="F1361" s="2" t="s">
        <v>35</v>
      </c>
      <c r="G1361" s="7">
        <v>-1.78</v>
      </c>
      <c r="H1361" s="13">
        <f>IFERROR(IF(ABS($G1361)&gt;0,VLOOKUP($E1361,'Fuel Category and Heat Rate'!$B$1:$G$34,6,FALSE)*($G1361),""),"")</f>
        <v>-705483790265.7002</v>
      </c>
      <c r="I1361" t="str">
        <f>IFERROR(VLOOKUP($E1361,'Fuel Category and Heat Rate'!$K$2:$M$36,3,FALSE),"")</f>
        <v>heavy or residual fuel oil</v>
      </c>
    </row>
    <row r="1362" spans="1:9" x14ac:dyDescent="0.15">
      <c r="A1362" s="2">
        <v>150092</v>
      </c>
      <c r="B1362" s="2" t="s">
        <v>73</v>
      </c>
      <c r="C1362" s="2">
        <v>2020</v>
      </c>
      <c r="D1362" s="2" t="s">
        <v>1</v>
      </c>
      <c r="E1362" s="2" t="s">
        <v>31</v>
      </c>
      <c r="F1362" s="2" t="s">
        <v>37</v>
      </c>
      <c r="G1362" s="7">
        <v>53110.78</v>
      </c>
      <c r="H1362" s="13">
        <f>IFERROR(IF(ABS($G1362)&gt;0,VLOOKUP($E1362,'Fuel Category and Heat Rate'!$B$1:$G$34,6,FALSE)*($G1362),""),"")</f>
        <v>503393066822007.56</v>
      </c>
      <c r="I1362" t="str">
        <f>IFERROR(VLOOKUP($E1362,'Fuel Category and Heat Rate'!$K$2:$M$36,3,FALSE),"")</f>
        <v>heat</v>
      </c>
    </row>
    <row r="1363" spans="1:9" x14ac:dyDescent="0.15">
      <c r="A1363" s="2">
        <v>150127</v>
      </c>
      <c r="B1363" s="2" t="s">
        <v>73</v>
      </c>
      <c r="C1363" s="2">
        <v>2020</v>
      </c>
      <c r="D1363" s="2" t="s">
        <v>1</v>
      </c>
      <c r="E1363" s="2" t="s">
        <v>23</v>
      </c>
      <c r="F1363" s="2" t="s">
        <v>35</v>
      </c>
      <c r="G1363" s="7"/>
      <c r="H1363" s="13" t="str">
        <f>IFERROR(IF(ABS($G1363)&gt;0,VLOOKUP($E1363,'Fuel Category and Heat Rate'!$B$1:$G$34,6,FALSE)*($G1363),""),"")</f>
        <v/>
      </c>
      <c r="I1363" t="str">
        <f>IFERROR(VLOOKUP($E1363,'Fuel Category and Heat Rate'!$K$2:$M$36,3,FALSE),"")</f>
        <v>heavy or residual fuel oil</v>
      </c>
    </row>
    <row r="1364" spans="1:9" x14ac:dyDescent="0.15">
      <c r="A1364" s="2">
        <v>150162</v>
      </c>
      <c r="B1364" s="2" t="s">
        <v>73</v>
      </c>
      <c r="C1364" s="2">
        <v>2020</v>
      </c>
      <c r="D1364" s="2" t="s">
        <v>1</v>
      </c>
      <c r="E1364" s="2" t="s">
        <v>21</v>
      </c>
      <c r="F1364" s="2" t="s">
        <v>35</v>
      </c>
      <c r="G1364" s="7"/>
      <c r="H1364" s="13" t="str">
        <f>IFERROR(IF(ABS($G1364)&gt;0,VLOOKUP($E1364,'Fuel Category and Heat Rate'!$B$1:$G$34,6,FALSE)*($G1364),""),"")</f>
        <v/>
      </c>
      <c r="I1364" t="str">
        <f>IFERROR(VLOOKUP($E1364,'Fuel Category and Heat Rate'!$K$2:$M$36,3,FALSE),"")</f>
        <v>LPG propane or butane</v>
      </c>
    </row>
    <row r="1365" spans="1:9" x14ac:dyDescent="0.15">
      <c r="A1365" s="2">
        <v>150197</v>
      </c>
      <c r="B1365" s="2" t="s">
        <v>73</v>
      </c>
      <c r="C1365" s="2">
        <v>2020</v>
      </c>
      <c r="D1365" s="2" t="s">
        <v>1</v>
      </c>
      <c r="E1365" s="2" t="s">
        <v>22</v>
      </c>
      <c r="F1365" s="2" t="s">
        <v>35</v>
      </c>
      <c r="G1365" s="7"/>
      <c r="H1365" s="13" t="str">
        <f>IFERROR(IF(ABS($G1365)&gt;0,VLOOKUP($E1365,'Fuel Category and Heat Rate'!$B$1:$G$34,6,FALSE)*($G1365),""),"")</f>
        <v/>
      </c>
      <c r="I1365" t="str">
        <f>IFERROR(VLOOKUP($E1365,'Fuel Category and Heat Rate'!$K$2:$M$36,3,FALSE),"")</f>
        <v>heavy fuel oil</v>
      </c>
    </row>
    <row r="1366" spans="1:9" x14ac:dyDescent="0.15">
      <c r="A1366" s="2">
        <v>150232</v>
      </c>
      <c r="B1366" s="2" t="s">
        <v>73</v>
      </c>
      <c r="C1366" s="2">
        <v>2020</v>
      </c>
      <c r="D1366" s="2" t="s">
        <v>1</v>
      </c>
      <c r="E1366" s="2" t="s">
        <v>20</v>
      </c>
      <c r="F1366" s="2" t="s">
        <v>35</v>
      </c>
      <c r="G1366" s="7"/>
      <c r="H1366" s="13" t="str">
        <f>IFERROR(IF(ABS($G1366)&gt;0,VLOOKUP($E1366,'Fuel Category and Heat Rate'!$B$1:$G$34,6,FALSE)*($G1366),""),"")</f>
        <v/>
      </c>
      <c r="I1366" t="str">
        <f>IFERROR(VLOOKUP($E1366,'Fuel Category and Heat Rate'!$K$2:$M$36,3,FALSE),"")</f>
        <v>LPG propane or butane</v>
      </c>
    </row>
    <row r="1367" spans="1:9" x14ac:dyDescent="0.15">
      <c r="A1367" s="2">
        <v>150267</v>
      </c>
      <c r="B1367" s="2" t="s">
        <v>73</v>
      </c>
      <c r="C1367" s="2">
        <v>2020</v>
      </c>
      <c r="D1367" s="2" t="s">
        <v>1</v>
      </c>
      <c r="E1367" s="2" t="s">
        <v>25</v>
      </c>
      <c r="F1367" s="2" t="s">
        <v>35</v>
      </c>
      <c r="G1367" s="7"/>
      <c r="H1367" s="13" t="str">
        <f>IFERROR(IF(ABS($G1367)&gt;0,VLOOKUP($E1367,'Fuel Category and Heat Rate'!$B$1:$G$34,6,FALSE)*($G1367),""),"")</f>
        <v/>
      </c>
      <c r="I1367" t="str">
        <f>IFERROR(VLOOKUP($E1367,'Fuel Category and Heat Rate'!$K$2:$M$36,3,FALSE),"")</f>
        <v>heavy fuel oil</v>
      </c>
    </row>
    <row r="1368" spans="1:9" x14ac:dyDescent="0.15">
      <c r="A1368" s="2">
        <v>150302</v>
      </c>
      <c r="B1368" s="2" t="s">
        <v>73</v>
      </c>
      <c r="C1368" s="2">
        <v>2020</v>
      </c>
      <c r="D1368" s="2" t="s">
        <v>1</v>
      </c>
      <c r="E1368" s="2" t="s">
        <v>24</v>
      </c>
      <c r="F1368" s="2" t="s">
        <v>35</v>
      </c>
      <c r="G1368" s="7"/>
      <c r="H1368" s="13" t="str">
        <f>IFERROR(IF(ABS($G1368)&gt;0,VLOOKUP($E1368,'Fuel Category and Heat Rate'!$B$1:$G$34,6,FALSE)*($G1368),""),"")</f>
        <v/>
      </c>
      <c r="I1368" t="str">
        <f>IFERROR(VLOOKUP($E1368,'Fuel Category and Heat Rate'!$K$2:$M$36,3,FALSE),"")</f>
        <v>heavy fuel oil</v>
      </c>
    </row>
    <row r="1369" spans="1:9" x14ac:dyDescent="0.15">
      <c r="A1369" s="2">
        <v>150337</v>
      </c>
      <c r="B1369" s="2" t="s">
        <v>73</v>
      </c>
      <c r="C1369" s="2">
        <v>2020</v>
      </c>
      <c r="D1369" s="2" t="s">
        <v>1</v>
      </c>
      <c r="E1369" s="2" t="s">
        <v>29</v>
      </c>
      <c r="F1369" s="2" t="s">
        <v>36</v>
      </c>
      <c r="G1369" s="7">
        <v>-3.73</v>
      </c>
      <c r="H1369" s="13">
        <f>IFERROR(IF(ABS($G1369)&gt;0,VLOOKUP($E1369,'Fuel Category and Heat Rate'!$B$1:$G$34,6,FALSE)*($G1369),""),"")</f>
        <v>-12580394203776.037</v>
      </c>
      <c r="I1369" t="str">
        <f>IFERROR(VLOOKUP($E1369,'Fuel Category and Heat Rate'!$K$2:$M$36,3,FALSE),"")</f>
        <v>natural gas</v>
      </c>
    </row>
    <row r="1370" spans="1:9" x14ac:dyDescent="0.15">
      <c r="A1370" s="2">
        <v>150372</v>
      </c>
      <c r="B1370" s="2" t="s">
        <v>73</v>
      </c>
      <c r="C1370" s="2">
        <v>2020</v>
      </c>
      <c r="D1370" s="2" t="s">
        <v>1</v>
      </c>
      <c r="E1370" s="2" t="s">
        <v>4</v>
      </c>
      <c r="F1370" s="2" t="s">
        <v>35</v>
      </c>
      <c r="G1370" s="7"/>
      <c r="H1370" s="13" t="str">
        <f>IFERROR(IF(ABS($G1370)&gt;0,VLOOKUP($E1370,'Fuel Category and Heat Rate'!$B$1:$G$34,6,FALSE)*($G1370),""),"")</f>
        <v/>
      </c>
      <c r="I1370" t="str">
        <f>IFERROR(VLOOKUP($E1370,'Fuel Category and Heat Rate'!$K$2:$M$36,3,FALSE),"")</f>
        <v>coal</v>
      </c>
    </row>
    <row r="1371" spans="1:9" x14ac:dyDescent="0.15">
      <c r="A1371" s="2">
        <v>150407</v>
      </c>
      <c r="B1371" s="2" t="s">
        <v>73</v>
      </c>
      <c r="C1371" s="2">
        <v>2020</v>
      </c>
      <c r="D1371" s="2" t="s">
        <v>1</v>
      </c>
      <c r="E1371" s="2" t="s">
        <v>6</v>
      </c>
      <c r="F1371" s="2" t="s">
        <v>35</v>
      </c>
      <c r="G1371" s="7"/>
      <c r="H1371" s="13" t="str">
        <f>IFERROR(IF(ABS($G1371)&gt;0,VLOOKUP($E1371,'Fuel Category and Heat Rate'!$B$1:$G$34,6,FALSE)*($G1371),""),"")</f>
        <v/>
      </c>
      <c r="I1371" t="str">
        <f>IFERROR(VLOOKUP($E1371,'Fuel Category and Heat Rate'!$K$2:$M$36,3,FALSE),"")</f>
        <v>coal</v>
      </c>
    </row>
    <row r="1372" spans="1:9" x14ac:dyDescent="0.15">
      <c r="A1372" s="2">
        <v>150442</v>
      </c>
      <c r="B1372" s="2" t="s">
        <v>73</v>
      </c>
      <c r="C1372" s="2">
        <v>2020</v>
      </c>
      <c r="D1372" s="2" t="s">
        <v>1</v>
      </c>
      <c r="E1372" s="2" t="s">
        <v>26</v>
      </c>
      <c r="F1372" s="2" t="s">
        <v>35</v>
      </c>
      <c r="G1372" s="7"/>
      <c r="H1372" s="13" t="str">
        <f>IFERROR(IF(ABS($G1372)&gt;0,VLOOKUP($E1372,'Fuel Category and Heat Rate'!$B$1:$G$34,6,FALSE)*($G1372),""),"")</f>
        <v/>
      </c>
      <c r="I1372" t="str">
        <f>IFERROR(VLOOKUP($E1372,'Fuel Category and Heat Rate'!$K$2:$M$36,3,FALSE),"")</f>
        <v>LPG propane or butane</v>
      </c>
    </row>
    <row r="1373" spans="1:9" x14ac:dyDescent="0.15">
      <c r="A1373" s="2">
        <v>150477</v>
      </c>
      <c r="B1373" s="2" t="s">
        <v>73</v>
      </c>
      <c r="C1373" s="2">
        <v>2020</v>
      </c>
      <c r="D1373" s="2" t="s">
        <v>1</v>
      </c>
      <c r="E1373" s="2" t="s">
        <v>30</v>
      </c>
      <c r="F1373" s="2" t="s">
        <v>35</v>
      </c>
      <c r="G1373" s="7">
        <v>-0.68</v>
      </c>
      <c r="H1373" s="13">
        <f>IFERROR(IF(ABS($G1373)&gt;0,VLOOKUP($E1373,'Fuel Category and Heat Rate'!$B$1:$G$34,6,FALSE)*($G1373),""),"")</f>
        <v>-331500176033.33521</v>
      </c>
      <c r="I1373" t="str">
        <f>IFERROR(VLOOKUP($E1373,'Fuel Category and Heat Rate'!$K$2:$M$36,3,FALSE),"")</f>
        <v>natural gas</v>
      </c>
    </row>
    <row r="1374" spans="1:9" x14ac:dyDescent="0.15">
      <c r="A1374" s="2">
        <v>150512</v>
      </c>
      <c r="B1374" s="2" t="s">
        <v>73</v>
      </c>
      <c r="C1374" s="2">
        <v>2020</v>
      </c>
      <c r="D1374" s="2" t="s">
        <v>1</v>
      </c>
      <c r="E1374" s="2" t="s">
        <v>14</v>
      </c>
      <c r="F1374" s="2" t="s">
        <v>35</v>
      </c>
      <c r="G1374" s="7">
        <v>-7.41</v>
      </c>
      <c r="H1374" s="13">
        <f>IFERROR(IF(ABS($G1374)&gt;0,VLOOKUP($E1374,'Fuel Category and Heat Rate'!$B$1:$G$34,6,FALSE)*($G1374),""),"")</f>
        <v>0</v>
      </c>
      <c r="I1374" t="str">
        <f>IFERROR(VLOOKUP($E1374,'Fuel Category and Heat Rate'!$K$2:$M$36,3,FALSE),"")</f>
        <v/>
      </c>
    </row>
    <row r="1375" spans="1:9" x14ac:dyDescent="0.15">
      <c r="A1375" s="2">
        <v>150547</v>
      </c>
      <c r="B1375" s="2" t="s">
        <v>73</v>
      </c>
      <c r="C1375" s="2">
        <v>2020</v>
      </c>
      <c r="D1375" s="2" t="s">
        <v>1</v>
      </c>
      <c r="E1375" s="2" t="s">
        <v>3</v>
      </c>
      <c r="F1375" s="2" t="s">
        <v>35</v>
      </c>
      <c r="G1375" s="7">
        <v>-2851.01</v>
      </c>
      <c r="H1375" s="13">
        <f>IFERROR(IF(ABS($G1375)&gt;0,VLOOKUP($E1375,'Fuel Category and Heat Rate'!$B$1:$G$34,6,FALSE)*($G1375),""),"")</f>
        <v>-564983522720621.88</v>
      </c>
      <c r="I1375" t="str">
        <f>IFERROR(VLOOKUP($E1375,'Fuel Category and Heat Rate'!$K$2:$M$36,3,FALSE),"")</f>
        <v>coal</v>
      </c>
    </row>
    <row r="1376" spans="1:9" x14ac:dyDescent="0.15">
      <c r="A1376" s="2">
        <v>150582</v>
      </c>
      <c r="B1376" s="2" t="s">
        <v>73</v>
      </c>
      <c r="C1376" s="2">
        <v>2020</v>
      </c>
      <c r="D1376" s="2" t="s">
        <v>1</v>
      </c>
      <c r="E1376" s="2" t="s">
        <v>15</v>
      </c>
      <c r="F1376" s="2" t="s">
        <v>35</v>
      </c>
      <c r="G1376" s="7"/>
      <c r="H1376" s="13" t="str">
        <f>IFERROR(IF(ABS($G1376)&gt;0,VLOOKUP($E1376,'Fuel Category and Heat Rate'!$B$1:$G$34,6,FALSE)*($G1376),""),"")</f>
        <v/>
      </c>
      <c r="I1376" t="str">
        <f>IFERROR(VLOOKUP($E1376,'Fuel Category and Heat Rate'!$K$2:$M$36,3,FALSE),"")</f>
        <v>crude oil</v>
      </c>
    </row>
    <row r="1377" spans="1:9" x14ac:dyDescent="0.15">
      <c r="A1377" s="2">
        <v>150617</v>
      </c>
      <c r="B1377" s="2" t="s">
        <v>73</v>
      </c>
      <c r="C1377" s="2">
        <v>2020</v>
      </c>
      <c r="D1377" s="2" t="s">
        <v>1</v>
      </c>
      <c r="E1377" s="2" t="s">
        <v>11</v>
      </c>
      <c r="F1377" s="2" t="s">
        <v>36</v>
      </c>
      <c r="G1377" s="7">
        <v>-4.9000000000000004</v>
      </c>
      <c r="H1377" s="13">
        <f>IFERROR(IF(ABS($G1377)&gt;0,VLOOKUP($E1377,'Fuel Category and Heat Rate'!$B$1:$G$34,6,FALSE)*($G1377),""),"")</f>
        <v>-3689899449398.8169</v>
      </c>
      <c r="I1377" t="str">
        <f>IFERROR(VLOOKUP($E1377,'Fuel Category and Heat Rate'!$K$2:$M$36,3,FALSE),"")</f>
        <v>LPG propane or butane</v>
      </c>
    </row>
    <row r="1378" spans="1:9" x14ac:dyDescent="0.15">
      <c r="A1378" s="2">
        <v>150652</v>
      </c>
      <c r="B1378" s="2" t="s">
        <v>73</v>
      </c>
      <c r="C1378" s="2">
        <v>2019</v>
      </c>
      <c r="D1378" s="2" t="s">
        <v>1</v>
      </c>
      <c r="E1378" s="2" t="s">
        <v>18</v>
      </c>
      <c r="F1378" s="2" t="s">
        <v>35</v>
      </c>
      <c r="G1378" s="7">
        <v>-0.12</v>
      </c>
      <c r="H1378" s="13">
        <f>IFERROR(IF(ABS($G1378)&gt;0,VLOOKUP($E1378,'Fuel Category and Heat Rate'!$B$1:$G$34,6,FALSE)*($G1378),""),"")</f>
        <v>-48511555099.192139</v>
      </c>
      <c r="I1378" t="str">
        <f>IFERROR(VLOOKUP($E1378,'Fuel Category and Heat Rate'!$K$2:$M$36,3,FALSE),"")</f>
        <v>petroleum diesel</v>
      </c>
    </row>
    <row r="1379" spans="1:9" x14ac:dyDescent="0.15">
      <c r="A1379" s="2">
        <v>150687</v>
      </c>
      <c r="B1379" s="2" t="s">
        <v>73</v>
      </c>
      <c r="C1379" s="2">
        <v>2019</v>
      </c>
      <c r="D1379" s="2" t="s">
        <v>1</v>
      </c>
      <c r="E1379" s="2" t="s">
        <v>32</v>
      </c>
      <c r="F1379" s="2" t="s">
        <v>65</v>
      </c>
      <c r="G1379" s="7"/>
      <c r="H1379" s="13" t="str">
        <f>IFERROR(IF(ABS($G1379)&gt;0,VLOOKUP($E1379,'Fuel Category and Heat Rate'!$B$1:$G$34,6,FALSE)*($G1379),""),"")</f>
        <v/>
      </c>
      <c r="I1379" t="str">
        <f>IFERROR(VLOOKUP($E1379,'Fuel Category and Heat Rate'!$K$2:$M$36,3,FALSE),"")</f>
        <v>electricity</v>
      </c>
    </row>
    <row r="1380" spans="1:9" x14ac:dyDescent="0.15">
      <c r="A1380" s="2">
        <v>150722</v>
      </c>
      <c r="B1380" s="2" t="s">
        <v>73</v>
      </c>
      <c r="C1380" s="2">
        <v>2019</v>
      </c>
      <c r="D1380" s="2" t="s">
        <v>1</v>
      </c>
      <c r="E1380" s="2" t="s">
        <v>10</v>
      </c>
      <c r="F1380" s="2" t="s">
        <v>36</v>
      </c>
      <c r="G1380" s="7">
        <v>-112.35</v>
      </c>
      <c r="H1380" s="13">
        <f>IFERROR(IF(ABS($G1380)&gt;0,VLOOKUP($E1380,'Fuel Category and Heat Rate'!$B$1:$G$34,6,FALSE)*($G1380),""),"")</f>
        <v>-40071153579215.734</v>
      </c>
      <c r="I1380" t="str">
        <f>IFERROR(VLOOKUP($E1380,'Fuel Category and Heat Rate'!$K$2:$M$36,3,FALSE),"")</f>
        <v>LPG propane or butane</v>
      </c>
    </row>
    <row r="1381" spans="1:9" x14ac:dyDescent="0.15">
      <c r="A1381" s="2">
        <v>150757</v>
      </c>
      <c r="B1381" s="2" t="s">
        <v>73</v>
      </c>
      <c r="C1381" s="2">
        <v>2019</v>
      </c>
      <c r="D1381" s="2" t="s">
        <v>1</v>
      </c>
      <c r="E1381" s="2" t="s">
        <v>9</v>
      </c>
      <c r="F1381" s="2" t="s">
        <v>36</v>
      </c>
      <c r="G1381" s="7">
        <v>-5.39</v>
      </c>
      <c r="H1381" s="13">
        <f>IFERROR(IF(ABS($G1381)&gt;0,VLOOKUP($E1381,'Fuel Category and Heat Rate'!$B$1:$G$34,6,FALSE)*($G1381),""),"")</f>
        <v>-8865442052190.8867</v>
      </c>
      <c r="I1381" t="str">
        <f>IFERROR(VLOOKUP($E1381,'Fuel Category and Heat Rate'!$K$2:$M$36,3,FALSE),"")</f>
        <v>LPG propane or butane</v>
      </c>
    </row>
    <row r="1382" spans="1:9" x14ac:dyDescent="0.15">
      <c r="A1382" s="2">
        <v>150792</v>
      </c>
      <c r="B1382" s="2" t="s">
        <v>73</v>
      </c>
      <c r="C1382" s="2">
        <v>2019</v>
      </c>
      <c r="D1382" s="2" t="s">
        <v>1</v>
      </c>
      <c r="E1382" s="2" t="s">
        <v>8</v>
      </c>
      <c r="F1382" s="2" t="s">
        <v>35</v>
      </c>
      <c r="G1382" s="7"/>
      <c r="H1382" s="13" t="str">
        <f>IFERROR(IF(ABS($G1382)&gt;0,VLOOKUP($E1382,'Fuel Category and Heat Rate'!$B$1:$G$34,6,FALSE)*($G1382),""),"")</f>
        <v/>
      </c>
      <c r="I1382" t="str">
        <f>IFERROR(VLOOKUP($E1382,'Fuel Category and Heat Rate'!$K$2:$M$36,3,FALSE),"")</f>
        <v>coal</v>
      </c>
    </row>
    <row r="1383" spans="1:9" x14ac:dyDescent="0.15">
      <c r="A1383" s="2">
        <v>150827</v>
      </c>
      <c r="B1383" s="2" t="s">
        <v>73</v>
      </c>
      <c r="C1383" s="2">
        <v>2019</v>
      </c>
      <c r="D1383" s="2" t="s">
        <v>1</v>
      </c>
      <c r="E1383" s="2" t="s">
        <v>27</v>
      </c>
      <c r="F1383" s="2" t="s">
        <v>35</v>
      </c>
      <c r="G1383" s="7">
        <v>-4.9000000000000004</v>
      </c>
      <c r="H1383" s="13">
        <f>IFERROR(IF(ABS($G1383)&gt;0,VLOOKUP($E1383,'Fuel Category and Heat Rate'!$B$1:$G$34,6,FALSE)*($G1383),""),"")</f>
        <v>-2136286908413.427</v>
      </c>
      <c r="I1383" t="str">
        <f>IFERROR(VLOOKUP($E1383,'Fuel Category and Heat Rate'!$K$2:$M$36,3,FALSE),"")</f>
        <v>LPG propane or butane</v>
      </c>
    </row>
    <row r="1384" spans="1:9" x14ac:dyDescent="0.15">
      <c r="A1384" s="2">
        <v>150862</v>
      </c>
      <c r="B1384" s="2" t="s">
        <v>73</v>
      </c>
      <c r="C1384" s="2">
        <v>2019</v>
      </c>
      <c r="D1384" s="2" t="s">
        <v>1</v>
      </c>
      <c r="E1384" s="2" t="s">
        <v>7</v>
      </c>
      <c r="F1384" s="2" t="s">
        <v>35</v>
      </c>
      <c r="G1384" s="7">
        <v>-3.8</v>
      </c>
      <c r="H1384" s="13">
        <f>IFERROR(IF(ABS($G1384)&gt;0,VLOOKUP($E1384,'Fuel Category and Heat Rate'!$B$1:$G$34,6,FALSE)*($G1384),""),"")</f>
        <v>-301606782238.11566</v>
      </c>
      <c r="I1384" t="str">
        <f>IFERROR(VLOOKUP($E1384,'Fuel Category and Heat Rate'!$K$2:$M$36,3,FALSE),"")</f>
        <v>coal</v>
      </c>
    </row>
    <row r="1385" spans="1:9" x14ac:dyDescent="0.15">
      <c r="A1385" s="2">
        <v>150897</v>
      </c>
      <c r="B1385" s="2" t="s">
        <v>73</v>
      </c>
      <c r="C1385" s="2">
        <v>2019</v>
      </c>
      <c r="D1385" s="2" t="s">
        <v>1</v>
      </c>
      <c r="E1385" s="2" t="s">
        <v>2</v>
      </c>
      <c r="F1385" s="2" t="s">
        <v>35</v>
      </c>
      <c r="G1385" s="7">
        <v>-2675.38</v>
      </c>
      <c r="H1385" s="13">
        <f>IFERROR(IF(ABS($G1385)&gt;0,VLOOKUP($E1385,'Fuel Category and Heat Rate'!$B$1:$G$34,6,FALSE)*($G1385),""),"")</f>
        <v>0</v>
      </c>
      <c r="I1385" t="str">
        <f>IFERROR(VLOOKUP($E1385,'Fuel Category and Heat Rate'!$K$2:$M$36,3,FALSE),"")</f>
        <v/>
      </c>
    </row>
    <row r="1386" spans="1:9" x14ac:dyDescent="0.15">
      <c r="A1386" s="2">
        <v>150932</v>
      </c>
      <c r="B1386" s="2" t="s">
        <v>73</v>
      </c>
      <c r="C1386" s="2">
        <v>2019</v>
      </c>
      <c r="D1386" s="2" t="s">
        <v>1</v>
      </c>
      <c r="E1386" s="2" t="s">
        <v>17</v>
      </c>
      <c r="F1386" s="2" t="s">
        <v>35</v>
      </c>
      <c r="G1386" s="7"/>
      <c r="H1386" s="13" t="str">
        <f>IFERROR(IF(ABS($G1386)&gt;0,VLOOKUP($E1386,'Fuel Category and Heat Rate'!$B$1:$G$34,6,FALSE)*($G1386),""),"")</f>
        <v/>
      </c>
      <c r="I1386" t="str">
        <f>IFERROR(VLOOKUP($E1386,'Fuel Category and Heat Rate'!$K$2:$M$36,3,FALSE),"")</f>
        <v>petroleum diesel</v>
      </c>
    </row>
    <row r="1387" spans="1:9" x14ac:dyDescent="0.15">
      <c r="A1387" s="2">
        <v>150967</v>
      </c>
      <c r="B1387" s="2" t="s">
        <v>73</v>
      </c>
      <c r="C1387" s="2">
        <v>2019</v>
      </c>
      <c r="D1387" s="2" t="s">
        <v>1</v>
      </c>
      <c r="E1387" s="2" t="s">
        <v>13</v>
      </c>
      <c r="F1387" s="2" t="s">
        <v>35</v>
      </c>
      <c r="G1387" s="7"/>
      <c r="H1387" s="13" t="str">
        <f>IFERROR(IF(ABS($G1387)&gt;0,VLOOKUP($E1387,'Fuel Category and Heat Rate'!$B$1:$G$34,6,FALSE)*($G1387),""),"")</f>
        <v/>
      </c>
      <c r="I1387" t="str">
        <f>IFERROR(VLOOKUP($E1387,'Fuel Category and Heat Rate'!$K$2:$M$36,3,FALSE),"")</f>
        <v>petroleum diesel</v>
      </c>
    </row>
    <row r="1388" spans="1:9" x14ac:dyDescent="0.15">
      <c r="A1388" s="2">
        <v>151002</v>
      </c>
      <c r="B1388" s="2" t="s">
        <v>73</v>
      </c>
      <c r="C1388" s="2">
        <v>2019</v>
      </c>
      <c r="D1388" s="2" t="s">
        <v>1</v>
      </c>
      <c r="E1388" s="2" t="s">
        <v>12</v>
      </c>
      <c r="F1388" s="2" t="s">
        <v>36</v>
      </c>
      <c r="G1388" s="7"/>
      <c r="H1388" s="13" t="str">
        <f>IFERROR(IF(ABS($G1388)&gt;0,VLOOKUP($E1388,'Fuel Category and Heat Rate'!$B$1:$G$34,6,FALSE)*($G1388),""),"")</f>
        <v/>
      </c>
      <c r="I1388" t="str">
        <f>IFERROR(VLOOKUP($E1388,'Fuel Category and Heat Rate'!$K$2:$M$36,3,FALSE),"")</f>
        <v>LPG propane or butane</v>
      </c>
    </row>
    <row r="1389" spans="1:9" x14ac:dyDescent="0.15">
      <c r="A1389" s="2">
        <v>151037</v>
      </c>
      <c r="B1389" s="2" t="s">
        <v>73</v>
      </c>
      <c r="C1389" s="2">
        <v>2019</v>
      </c>
      <c r="D1389" s="2" t="s">
        <v>1</v>
      </c>
      <c r="E1389" s="2" t="s">
        <v>33</v>
      </c>
      <c r="F1389" s="2" t="s">
        <v>38</v>
      </c>
      <c r="G1389" s="7">
        <v>-36.200000000000003</v>
      </c>
      <c r="H1389" s="13">
        <f>IFERROR(IF(ABS($G1389)&gt;0,VLOOKUP($E1389,'Fuel Category and Heat Rate'!$B$1:$G$34,6,FALSE)*($G1389),""),"")</f>
        <v>-10043166909126.186</v>
      </c>
      <c r="I1389" t="str">
        <f>IFERROR(VLOOKUP($E1389,'Fuel Category and Heat Rate'!$K$2:$M$36,3,FALSE),"")</f>
        <v>biomass</v>
      </c>
    </row>
    <row r="1390" spans="1:9" x14ac:dyDescent="0.15">
      <c r="A1390" s="2">
        <v>151072</v>
      </c>
      <c r="B1390" s="2" t="s">
        <v>73</v>
      </c>
      <c r="C1390" s="2">
        <v>2019</v>
      </c>
      <c r="D1390" s="2" t="s">
        <v>1</v>
      </c>
      <c r="E1390" s="2" t="s">
        <v>28</v>
      </c>
      <c r="F1390" s="2" t="s">
        <v>35</v>
      </c>
      <c r="G1390" s="7">
        <v>-0.62</v>
      </c>
      <c r="H1390" s="13">
        <f>IFERROR(IF(ABS($G1390)&gt;0,VLOOKUP($E1390,'Fuel Category and Heat Rate'!$B$1:$G$34,6,FALSE)*($G1390),""),"")</f>
        <v>-240817583258.74408</v>
      </c>
      <c r="I1390" t="str">
        <f>IFERROR(VLOOKUP($E1390,'Fuel Category and Heat Rate'!$K$2:$M$36,3,FALSE),"")</f>
        <v>heavy or residual fuel oil</v>
      </c>
    </row>
    <row r="1391" spans="1:9" x14ac:dyDescent="0.15">
      <c r="A1391" s="2">
        <v>151107</v>
      </c>
      <c r="B1391" s="2" t="s">
        <v>73</v>
      </c>
      <c r="C1391" s="2">
        <v>2019</v>
      </c>
      <c r="D1391" s="2" t="s">
        <v>1</v>
      </c>
      <c r="E1391" s="2" t="s">
        <v>5</v>
      </c>
      <c r="F1391" s="2" t="s">
        <v>35</v>
      </c>
      <c r="G1391" s="7">
        <v>-73.73</v>
      </c>
      <c r="H1391" s="13">
        <f>IFERROR(IF(ABS($G1391)&gt;0,VLOOKUP($E1391,'Fuel Category and Heat Rate'!$B$1:$G$34,6,FALSE)*($G1391),""),"")</f>
        <v>-5844278196267.998</v>
      </c>
      <c r="I1391" t="str">
        <f>IFERROR(VLOOKUP($E1391,'Fuel Category and Heat Rate'!$K$2:$M$36,3,FALSE),"")</f>
        <v>coal</v>
      </c>
    </row>
    <row r="1392" spans="1:9" x14ac:dyDescent="0.15">
      <c r="A1392" s="2">
        <v>151142</v>
      </c>
      <c r="B1392" s="2" t="s">
        <v>73</v>
      </c>
      <c r="C1392" s="2">
        <v>2019</v>
      </c>
      <c r="D1392" s="2" t="s">
        <v>1</v>
      </c>
      <c r="E1392" s="2" t="s">
        <v>16</v>
      </c>
      <c r="F1392" s="2" t="s">
        <v>35</v>
      </c>
      <c r="G1392" s="7"/>
      <c r="H1392" s="13" t="str">
        <f>IFERROR(IF(ABS($G1392)&gt;0,VLOOKUP($E1392,'Fuel Category and Heat Rate'!$B$1:$G$34,6,FALSE)*($G1392),""),"")</f>
        <v/>
      </c>
      <c r="I1392" t="str">
        <f>IFERROR(VLOOKUP($E1392,'Fuel Category and Heat Rate'!$K$2:$M$36,3,FALSE),"")</f>
        <v>petroleum diesel</v>
      </c>
    </row>
    <row r="1393" spans="1:9" x14ac:dyDescent="0.15">
      <c r="A1393" s="2">
        <v>151177</v>
      </c>
      <c r="B1393" s="2" t="s">
        <v>73</v>
      </c>
      <c r="C1393" s="2">
        <v>2019</v>
      </c>
      <c r="D1393" s="2" t="s">
        <v>1</v>
      </c>
      <c r="E1393" s="2" t="s">
        <v>19</v>
      </c>
      <c r="F1393" s="2" t="s">
        <v>35</v>
      </c>
      <c r="G1393" s="7">
        <v>-0.05</v>
      </c>
      <c r="H1393" s="13">
        <f>IFERROR(IF(ABS($G1393)&gt;0,VLOOKUP($E1393,'Fuel Category and Heat Rate'!$B$1:$G$34,6,FALSE)*($G1393),""),"")</f>
        <v>-19816960400.721916</v>
      </c>
      <c r="I1393" t="str">
        <f>IFERROR(VLOOKUP($E1393,'Fuel Category and Heat Rate'!$K$2:$M$36,3,FALSE),"")</f>
        <v>heavy or residual fuel oil</v>
      </c>
    </row>
    <row r="1394" spans="1:9" x14ac:dyDescent="0.15">
      <c r="A1394" s="2">
        <v>151212</v>
      </c>
      <c r="B1394" s="2" t="s">
        <v>73</v>
      </c>
      <c r="C1394" s="2">
        <v>2019</v>
      </c>
      <c r="D1394" s="2" t="s">
        <v>1</v>
      </c>
      <c r="E1394" s="2" t="s">
        <v>31</v>
      </c>
      <c r="F1394" s="2" t="s">
        <v>37</v>
      </c>
      <c r="G1394" s="7">
        <v>48758.28</v>
      </c>
      <c r="H1394" s="13">
        <f>IFERROR(IF(ABS($G1394)&gt;0,VLOOKUP($E1394,'Fuel Category and Heat Rate'!$B$1:$G$34,6,FALSE)*($G1394),""),"")</f>
        <v>462139326557925.81</v>
      </c>
      <c r="I1394" t="str">
        <f>IFERROR(VLOOKUP($E1394,'Fuel Category and Heat Rate'!$K$2:$M$36,3,FALSE),"")</f>
        <v>heat</v>
      </c>
    </row>
    <row r="1395" spans="1:9" x14ac:dyDescent="0.15">
      <c r="A1395" s="2">
        <v>151247</v>
      </c>
      <c r="B1395" s="2" t="s">
        <v>73</v>
      </c>
      <c r="C1395" s="2">
        <v>2019</v>
      </c>
      <c r="D1395" s="2" t="s">
        <v>1</v>
      </c>
      <c r="E1395" s="2" t="s">
        <v>23</v>
      </c>
      <c r="F1395" s="2" t="s">
        <v>35</v>
      </c>
      <c r="G1395" s="7"/>
      <c r="H1395" s="13" t="str">
        <f>IFERROR(IF(ABS($G1395)&gt;0,VLOOKUP($E1395,'Fuel Category and Heat Rate'!$B$1:$G$34,6,FALSE)*($G1395),""),"")</f>
        <v/>
      </c>
      <c r="I1395" t="str">
        <f>IFERROR(VLOOKUP($E1395,'Fuel Category and Heat Rate'!$K$2:$M$36,3,FALSE),"")</f>
        <v>heavy or residual fuel oil</v>
      </c>
    </row>
    <row r="1396" spans="1:9" x14ac:dyDescent="0.15">
      <c r="A1396" s="2">
        <v>151282</v>
      </c>
      <c r="B1396" s="2" t="s">
        <v>73</v>
      </c>
      <c r="C1396" s="2">
        <v>2019</v>
      </c>
      <c r="D1396" s="2" t="s">
        <v>1</v>
      </c>
      <c r="E1396" s="2" t="s">
        <v>21</v>
      </c>
      <c r="F1396" s="2" t="s">
        <v>35</v>
      </c>
      <c r="G1396" s="7"/>
      <c r="H1396" s="13" t="str">
        <f>IFERROR(IF(ABS($G1396)&gt;0,VLOOKUP($E1396,'Fuel Category and Heat Rate'!$B$1:$G$34,6,FALSE)*($G1396),""),"")</f>
        <v/>
      </c>
      <c r="I1396" t="str">
        <f>IFERROR(VLOOKUP($E1396,'Fuel Category and Heat Rate'!$K$2:$M$36,3,FALSE),"")</f>
        <v>LPG propane or butane</v>
      </c>
    </row>
    <row r="1397" spans="1:9" x14ac:dyDescent="0.15">
      <c r="A1397" s="2">
        <v>151317</v>
      </c>
      <c r="B1397" s="2" t="s">
        <v>73</v>
      </c>
      <c r="C1397" s="2">
        <v>2019</v>
      </c>
      <c r="D1397" s="2" t="s">
        <v>1</v>
      </c>
      <c r="E1397" s="2" t="s">
        <v>22</v>
      </c>
      <c r="F1397" s="2" t="s">
        <v>35</v>
      </c>
      <c r="G1397" s="7"/>
      <c r="H1397" s="13" t="str">
        <f>IFERROR(IF(ABS($G1397)&gt;0,VLOOKUP($E1397,'Fuel Category and Heat Rate'!$B$1:$G$34,6,FALSE)*($G1397),""),"")</f>
        <v/>
      </c>
      <c r="I1397" t="str">
        <f>IFERROR(VLOOKUP($E1397,'Fuel Category and Heat Rate'!$K$2:$M$36,3,FALSE),"")</f>
        <v>heavy fuel oil</v>
      </c>
    </row>
    <row r="1398" spans="1:9" x14ac:dyDescent="0.15">
      <c r="A1398" s="2">
        <v>151352</v>
      </c>
      <c r="B1398" s="2" t="s">
        <v>73</v>
      </c>
      <c r="C1398" s="2">
        <v>2019</v>
      </c>
      <c r="D1398" s="2" t="s">
        <v>1</v>
      </c>
      <c r="E1398" s="2" t="s">
        <v>20</v>
      </c>
      <c r="F1398" s="2" t="s">
        <v>35</v>
      </c>
      <c r="G1398" s="7"/>
      <c r="H1398" s="13" t="str">
        <f>IFERROR(IF(ABS($G1398)&gt;0,VLOOKUP($E1398,'Fuel Category and Heat Rate'!$B$1:$G$34,6,FALSE)*($G1398),""),"")</f>
        <v/>
      </c>
      <c r="I1398" t="str">
        <f>IFERROR(VLOOKUP($E1398,'Fuel Category and Heat Rate'!$K$2:$M$36,3,FALSE),"")</f>
        <v>LPG propane or butane</v>
      </c>
    </row>
    <row r="1399" spans="1:9" x14ac:dyDescent="0.15">
      <c r="A1399" s="2">
        <v>151387</v>
      </c>
      <c r="B1399" s="2" t="s">
        <v>73</v>
      </c>
      <c r="C1399" s="2">
        <v>2019</v>
      </c>
      <c r="D1399" s="2" t="s">
        <v>1</v>
      </c>
      <c r="E1399" s="2" t="s">
        <v>25</v>
      </c>
      <c r="F1399" s="2" t="s">
        <v>35</v>
      </c>
      <c r="G1399" s="7"/>
      <c r="H1399" s="13" t="str">
        <f>IFERROR(IF(ABS($G1399)&gt;0,VLOOKUP($E1399,'Fuel Category and Heat Rate'!$B$1:$G$34,6,FALSE)*($G1399),""),"")</f>
        <v/>
      </c>
      <c r="I1399" t="str">
        <f>IFERROR(VLOOKUP($E1399,'Fuel Category and Heat Rate'!$K$2:$M$36,3,FALSE),"")</f>
        <v>heavy fuel oil</v>
      </c>
    </row>
    <row r="1400" spans="1:9" x14ac:dyDescent="0.15">
      <c r="A1400" s="2">
        <v>151422</v>
      </c>
      <c r="B1400" s="2" t="s">
        <v>73</v>
      </c>
      <c r="C1400" s="2">
        <v>2019</v>
      </c>
      <c r="D1400" s="2" t="s">
        <v>1</v>
      </c>
      <c r="E1400" s="2" t="s">
        <v>24</v>
      </c>
      <c r="F1400" s="2" t="s">
        <v>35</v>
      </c>
      <c r="G1400" s="7"/>
      <c r="H1400" s="13" t="str">
        <f>IFERROR(IF(ABS($G1400)&gt;0,VLOOKUP($E1400,'Fuel Category and Heat Rate'!$B$1:$G$34,6,FALSE)*($G1400),""),"")</f>
        <v/>
      </c>
      <c r="I1400" t="str">
        <f>IFERROR(VLOOKUP($E1400,'Fuel Category and Heat Rate'!$K$2:$M$36,3,FALSE),"")</f>
        <v>heavy fuel oil</v>
      </c>
    </row>
    <row r="1401" spans="1:9" x14ac:dyDescent="0.15">
      <c r="A1401" s="2">
        <v>151457</v>
      </c>
      <c r="B1401" s="2" t="s">
        <v>73</v>
      </c>
      <c r="C1401" s="2">
        <v>2019</v>
      </c>
      <c r="D1401" s="2" t="s">
        <v>1</v>
      </c>
      <c r="E1401" s="2" t="s">
        <v>29</v>
      </c>
      <c r="F1401" s="2" t="s">
        <v>36</v>
      </c>
      <c r="G1401" s="7">
        <v>-2.12</v>
      </c>
      <c r="H1401" s="13">
        <f>IFERROR(IF(ABS($G1401)&gt;0,VLOOKUP($E1401,'Fuel Category and Heat Rate'!$B$1:$G$34,6,FALSE)*($G1401),""),"")</f>
        <v>-7150250861127.3994</v>
      </c>
      <c r="I1401" t="str">
        <f>IFERROR(VLOOKUP($E1401,'Fuel Category and Heat Rate'!$K$2:$M$36,3,FALSE),"")</f>
        <v>natural gas</v>
      </c>
    </row>
    <row r="1402" spans="1:9" x14ac:dyDescent="0.15">
      <c r="A1402" s="2">
        <v>151492</v>
      </c>
      <c r="B1402" s="2" t="s">
        <v>73</v>
      </c>
      <c r="C1402" s="2">
        <v>2019</v>
      </c>
      <c r="D1402" s="2" t="s">
        <v>1</v>
      </c>
      <c r="E1402" s="2" t="s">
        <v>4</v>
      </c>
      <c r="F1402" s="2" t="s">
        <v>35</v>
      </c>
      <c r="G1402" s="7"/>
      <c r="H1402" s="13" t="str">
        <f>IFERROR(IF(ABS($G1402)&gt;0,VLOOKUP($E1402,'Fuel Category and Heat Rate'!$B$1:$G$34,6,FALSE)*($G1402),""),"")</f>
        <v/>
      </c>
      <c r="I1402" t="str">
        <f>IFERROR(VLOOKUP($E1402,'Fuel Category and Heat Rate'!$K$2:$M$36,3,FALSE),"")</f>
        <v>coal</v>
      </c>
    </row>
    <row r="1403" spans="1:9" x14ac:dyDescent="0.15">
      <c r="A1403" s="2">
        <v>151527</v>
      </c>
      <c r="B1403" s="2" t="s">
        <v>73</v>
      </c>
      <c r="C1403" s="2">
        <v>2019</v>
      </c>
      <c r="D1403" s="2" t="s">
        <v>1</v>
      </c>
      <c r="E1403" s="2" t="s">
        <v>6</v>
      </c>
      <c r="F1403" s="2" t="s">
        <v>35</v>
      </c>
      <c r="G1403" s="7"/>
      <c r="H1403" s="13" t="str">
        <f>IFERROR(IF(ABS($G1403)&gt;0,VLOOKUP($E1403,'Fuel Category and Heat Rate'!$B$1:$G$34,6,FALSE)*($G1403),""),"")</f>
        <v/>
      </c>
      <c r="I1403" t="str">
        <f>IFERROR(VLOOKUP($E1403,'Fuel Category and Heat Rate'!$K$2:$M$36,3,FALSE),"")</f>
        <v>coal</v>
      </c>
    </row>
    <row r="1404" spans="1:9" x14ac:dyDescent="0.15">
      <c r="A1404" s="2">
        <v>151562</v>
      </c>
      <c r="B1404" s="2" t="s">
        <v>73</v>
      </c>
      <c r="C1404" s="2">
        <v>2019</v>
      </c>
      <c r="D1404" s="2" t="s">
        <v>1</v>
      </c>
      <c r="E1404" s="2" t="s">
        <v>26</v>
      </c>
      <c r="F1404" s="2" t="s">
        <v>35</v>
      </c>
      <c r="G1404" s="7">
        <v>-0.01</v>
      </c>
      <c r="H1404" s="13">
        <f>IFERROR(IF(ABS($G1404)&gt;0,VLOOKUP($E1404,'Fuel Category and Heat Rate'!$B$1:$G$34,6,FALSE)*($G1404),""),"")</f>
        <v>-4756051539.8308067</v>
      </c>
      <c r="I1404" t="str">
        <f>IFERROR(VLOOKUP($E1404,'Fuel Category and Heat Rate'!$K$2:$M$36,3,FALSE),"")</f>
        <v>LPG propane or butane</v>
      </c>
    </row>
    <row r="1405" spans="1:9" x14ac:dyDescent="0.15">
      <c r="A1405" s="2">
        <v>151597</v>
      </c>
      <c r="B1405" s="2" t="s">
        <v>73</v>
      </c>
      <c r="C1405" s="2">
        <v>2019</v>
      </c>
      <c r="D1405" s="2" t="s">
        <v>1</v>
      </c>
      <c r="E1405" s="2" t="s">
        <v>30</v>
      </c>
      <c r="F1405" s="2" t="s">
        <v>35</v>
      </c>
      <c r="G1405" s="7">
        <v>-0.17</v>
      </c>
      <c r="H1405" s="13">
        <f>IFERROR(IF(ABS($G1405)&gt;0,VLOOKUP($E1405,'Fuel Category and Heat Rate'!$B$1:$G$34,6,FALSE)*($G1405),""),"")</f>
        <v>-82875044008.333801</v>
      </c>
      <c r="I1405" t="str">
        <f>IFERROR(VLOOKUP($E1405,'Fuel Category and Heat Rate'!$K$2:$M$36,3,FALSE),"")</f>
        <v>natural gas</v>
      </c>
    </row>
    <row r="1406" spans="1:9" x14ac:dyDescent="0.15">
      <c r="A1406" s="2">
        <v>151632</v>
      </c>
      <c r="B1406" s="2" t="s">
        <v>73</v>
      </c>
      <c r="C1406" s="2">
        <v>2019</v>
      </c>
      <c r="D1406" s="2" t="s">
        <v>1</v>
      </c>
      <c r="E1406" s="2" t="s">
        <v>14</v>
      </c>
      <c r="F1406" s="2" t="s">
        <v>35</v>
      </c>
      <c r="G1406" s="7">
        <v>-5.7</v>
      </c>
      <c r="H1406" s="13">
        <f>IFERROR(IF(ABS($G1406)&gt;0,VLOOKUP($E1406,'Fuel Category and Heat Rate'!$B$1:$G$34,6,FALSE)*($G1406),""),"")</f>
        <v>0</v>
      </c>
      <c r="I1406" t="str">
        <f>IFERROR(VLOOKUP($E1406,'Fuel Category and Heat Rate'!$K$2:$M$36,3,FALSE),"")</f>
        <v/>
      </c>
    </row>
    <row r="1407" spans="1:9" x14ac:dyDescent="0.15">
      <c r="A1407" s="2">
        <v>151667</v>
      </c>
      <c r="B1407" s="2" t="s">
        <v>73</v>
      </c>
      <c r="C1407" s="2">
        <v>2019</v>
      </c>
      <c r="D1407" s="2" t="s">
        <v>1</v>
      </c>
      <c r="E1407" s="2" t="s">
        <v>3</v>
      </c>
      <c r="F1407" s="2" t="s">
        <v>35</v>
      </c>
      <c r="G1407" s="7">
        <v>-2601.65</v>
      </c>
      <c r="H1407" s="13">
        <f>IFERROR(IF(ABS($G1407)&gt;0,VLOOKUP($E1407,'Fuel Category and Heat Rate'!$B$1:$G$34,6,FALSE)*($G1407),""),"")</f>
        <v>-515567950265381.69</v>
      </c>
      <c r="I1407" t="str">
        <f>IFERROR(VLOOKUP($E1407,'Fuel Category and Heat Rate'!$K$2:$M$36,3,FALSE),"")</f>
        <v>coal</v>
      </c>
    </row>
    <row r="1408" spans="1:9" x14ac:dyDescent="0.15">
      <c r="A1408" s="2">
        <v>151702</v>
      </c>
      <c r="B1408" s="2" t="s">
        <v>73</v>
      </c>
      <c r="C1408" s="2">
        <v>2019</v>
      </c>
      <c r="D1408" s="2" t="s">
        <v>1</v>
      </c>
      <c r="E1408" s="2" t="s">
        <v>15</v>
      </c>
      <c r="F1408" s="2" t="s">
        <v>35</v>
      </c>
      <c r="G1408" s="7"/>
      <c r="H1408" s="13" t="str">
        <f>IFERROR(IF(ABS($G1408)&gt;0,VLOOKUP($E1408,'Fuel Category and Heat Rate'!$B$1:$G$34,6,FALSE)*($G1408),""),"")</f>
        <v/>
      </c>
      <c r="I1408" t="str">
        <f>IFERROR(VLOOKUP($E1408,'Fuel Category and Heat Rate'!$K$2:$M$36,3,FALSE),"")</f>
        <v>crude oil</v>
      </c>
    </row>
    <row r="1409" spans="1:9" x14ac:dyDescent="0.15">
      <c r="A1409" s="2">
        <v>151737</v>
      </c>
      <c r="B1409" s="2" t="s">
        <v>73</v>
      </c>
      <c r="C1409" s="2">
        <v>2019</v>
      </c>
      <c r="D1409" s="2" t="s">
        <v>1</v>
      </c>
      <c r="E1409" s="2" t="s">
        <v>11</v>
      </c>
      <c r="F1409" s="2" t="s">
        <v>36</v>
      </c>
      <c r="G1409" s="7">
        <v>-5.82</v>
      </c>
      <c r="H1409" s="13">
        <f>IFERROR(IF(ABS($G1409)&gt;0,VLOOKUP($E1409,'Fuel Category and Heat Rate'!$B$1:$G$34,6,FALSE)*($G1409),""),"")</f>
        <v>-4382696897041.0435</v>
      </c>
      <c r="I1409" t="str">
        <f>IFERROR(VLOOKUP($E1409,'Fuel Category and Heat Rate'!$K$2:$M$36,3,FALSE),"")</f>
        <v>LPG propane or butane</v>
      </c>
    </row>
    <row r="1410" spans="1:9" x14ac:dyDescent="0.15">
      <c r="A1410" s="2">
        <v>151772</v>
      </c>
      <c r="B1410" s="2" t="s">
        <v>73</v>
      </c>
      <c r="C1410" s="2">
        <v>2018</v>
      </c>
      <c r="D1410" s="2" t="s">
        <v>1</v>
      </c>
      <c r="E1410" s="2" t="s">
        <v>18</v>
      </c>
      <c r="F1410" s="2" t="s">
        <v>35</v>
      </c>
      <c r="G1410" s="7">
        <v>-0.17</v>
      </c>
      <c r="H1410" s="13">
        <f>IFERROR(IF(ABS($G1410)&gt;0,VLOOKUP($E1410,'Fuel Category and Heat Rate'!$B$1:$G$34,6,FALSE)*($G1410),""),"")</f>
        <v>-68724703057.188873</v>
      </c>
      <c r="I1410" t="str">
        <f>IFERROR(VLOOKUP($E1410,'Fuel Category and Heat Rate'!$K$2:$M$36,3,FALSE),"")</f>
        <v>petroleum diesel</v>
      </c>
    </row>
    <row r="1411" spans="1:9" x14ac:dyDescent="0.15">
      <c r="A1411" s="2">
        <v>151807</v>
      </c>
      <c r="B1411" s="2" t="s">
        <v>73</v>
      </c>
      <c r="C1411" s="2">
        <v>2018</v>
      </c>
      <c r="D1411" s="2" t="s">
        <v>1</v>
      </c>
      <c r="E1411" s="2" t="s">
        <v>32</v>
      </c>
      <c r="F1411" s="2" t="s">
        <v>65</v>
      </c>
      <c r="G1411" s="7"/>
      <c r="H1411" s="13" t="str">
        <f>IFERROR(IF(ABS($G1411)&gt;0,VLOOKUP($E1411,'Fuel Category and Heat Rate'!$B$1:$G$34,6,FALSE)*($G1411),""),"")</f>
        <v/>
      </c>
      <c r="I1411" t="str">
        <f>IFERROR(VLOOKUP($E1411,'Fuel Category and Heat Rate'!$K$2:$M$36,3,FALSE),"")</f>
        <v>electricity</v>
      </c>
    </row>
    <row r="1412" spans="1:9" x14ac:dyDescent="0.15">
      <c r="A1412" s="2">
        <v>151842</v>
      </c>
      <c r="B1412" s="2" t="s">
        <v>73</v>
      </c>
      <c r="C1412" s="2">
        <v>2018</v>
      </c>
      <c r="D1412" s="2" t="s">
        <v>1</v>
      </c>
      <c r="E1412" s="2" t="s">
        <v>10</v>
      </c>
      <c r="F1412" s="2" t="s">
        <v>36</v>
      </c>
      <c r="G1412" s="7">
        <v>-123.39</v>
      </c>
      <c r="H1412" s="13">
        <f>IFERROR(IF(ABS($G1412)&gt;0,VLOOKUP($E1412,'Fuel Category and Heat Rate'!$B$1:$G$34,6,FALSE)*($G1412),""),"")</f>
        <v>-44008719538401.688</v>
      </c>
      <c r="I1412" t="str">
        <f>IFERROR(VLOOKUP($E1412,'Fuel Category and Heat Rate'!$K$2:$M$36,3,FALSE),"")</f>
        <v>LPG propane or butane</v>
      </c>
    </row>
    <row r="1413" spans="1:9" x14ac:dyDescent="0.15">
      <c r="A1413" s="2">
        <v>151877</v>
      </c>
      <c r="B1413" s="2" t="s">
        <v>73</v>
      </c>
      <c r="C1413" s="2">
        <v>2018</v>
      </c>
      <c r="D1413" s="2" t="s">
        <v>1</v>
      </c>
      <c r="E1413" s="2" t="s">
        <v>9</v>
      </c>
      <c r="F1413" s="2" t="s">
        <v>36</v>
      </c>
      <c r="G1413" s="7">
        <v>-3.93</v>
      </c>
      <c r="H1413" s="13">
        <f>IFERROR(IF(ABS($G1413)&gt;0,VLOOKUP($E1413,'Fuel Category and Heat Rate'!$B$1:$G$34,6,FALSE)*($G1413),""),"")</f>
        <v>-6464042164213.3926</v>
      </c>
      <c r="I1413" t="str">
        <f>IFERROR(VLOOKUP($E1413,'Fuel Category and Heat Rate'!$K$2:$M$36,3,FALSE),"")</f>
        <v>LPG propane or butane</v>
      </c>
    </row>
    <row r="1414" spans="1:9" x14ac:dyDescent="0.15">
      <c r="A1414" s="2">
        <v>151912</v>
      </c>
      <c r="B1414" s="2" t="s">
        <v>73</v>
      </c>
      <c r="C1414" s="2">
        <v>2018</v>
      </c>
      <c r="D1414" s="2" t="s">
        <v>1</v>
      </c>
      <c r="E1414" s="2" t="s">
        <v>8</v>
      </c>
      <c r="F1414" s="2" t="s">
        <v>35</v>
      </c>
      <c r="G1414" s="7"/>
      <c r="H1414" s="13" t="str">
        <f>IFERROR(IF(ABS($G1414)&gt;0,VLOOKUP($E1414,'Fuel Category and Heat Rate'!$B$1:$G$34,6,FALSE)*($G1414),""),"")</f>
        <v/>
      </c>
      <c r="I1414" t="str">
        <f>IFERROR(VLOOKUP($E1414,'Fuel Category and Heat Rate'!$K$2:$M$36,3,FALSE),"")</f>
        <v>coal</v>
      </c>
    </row>
    <row r="1415" spans="1:9" x14ac:dyDescent="0.15">
      <c r="A1415" s="2">
        <v>151947</v>
      </c>
      <c r="B1415" s="2" t="s">
        <v>73</v>
      </c>
      <c r="C1415" s="2">
        <v>2018</v>
      </c>
      <c r="D1415" s="2" t="s">
        <v>1</v>
      </c>
      <c r="E1415" s="2" t="s">
        <v>27</v>
      </c>
      <c r="F1415" s="2" t="s">
        <v>35</v>
      </c>
      <c r="G1415" s="7">
        <v>-2.63</v>
      </c>
      <c r="H1415" s="13">
        <f>IFERROR(IF(ABS($G1415)&gt;0,VLOOKUP($E1415,'Fuel Category and Heat Rate'!$B$1:$G$34,6,FALSE)*($G1415),""),"")</f>
        <v>-1146619299821.9004</v>
      </c>
      <c r="I1415" t="str">
        <f>IFERROR(VLOOKUP($E1415,'Fuel Category and Heat Rate'!$K$2:$M$36,3,FALSE),"")</f>
        <v>LPG propane or butane</v>
      </c>
    </row>
    <row r="1416" spans="1:9" x14ac:dyDescent="0.15">
      <c r="A1416" s="2">
        <v>151982</v>
      </c>
      <c r="B1416" s="2" t="s">
        <v>73</v>
      </c>
      <c r="C1416" s="2">
        <v>2018</v>
      </c>
      <c r="D1416" s="2" t="s">
        <v>1</v>
      </c>
      <c r="E1416" s="2" t="s">
        <v>7</v>
      </c>
      <c r="F1416" s="2" t="s">
        <v>35</v>
      </c>
      <c r="G1416" s="7">
        <v>-73.92</v>
      </c>
      <c r="H1416" s="13">
        <f>IFERROR(IF(ABS($G1416)&gt;0,VLOOKUP($E1416,'Fuel Category and Heat Rate'!$B$1:$G$34,6,FALSE)*($G1416),""),"")</f>
        <v>-5867045616589.8711</v>
      </c>
      <c r="I1416" t="str">
        <f>IFERROR(VLOOKUP($E1416,'Fuel Category and Heat Rate'!$K$2:$M$36,3,FALSE),"")</f>
        <v>coal</v>
      </c>
    </row>
    <row r="1417" spans="1:9" x14ac:dyDescent="0.15">
      <c r="A1417" s="2">
        <v>152017</v>
      </c>
      <c r="B1417" s="2" t="s">
        <v>73</v>
      </c>
      <c r="C1417" s="2">
        <v>2018</v>
      </c>
      <c r="D1417" s="2" t="s">
        <v>1</v>
      </c>
      <c r="E1417" s="2" t="s">
        <v>2</v>
      </c>
      <c r="F1417" s="2" t="s">
        <v>35</v>
      </c>
      <c r="G1417" s="7">
        <v>-2302.5700000000002</v>
      </c>
      <c r="H1417" s="13">
        <f>IFERROR(IF(ABS($G1417)&gt;0,VLOOKUP($E1417,'Fuel Category and Heat Rate'!$B$1:$G$34,6,FALSE)*($G1417),""),"")</f>
        <v>0</v>
      </c>
      <c r="I1417" t="str">
        <f>IFERROR(VLOOKUP($E1417,'Fuel Category and Heat Rate'!$K$2:$M$36,3,FALSE),"")</f>
        <v/>
      </c>
    </row>
    <row r="1418" spans="1:9" x14ac:dyDescent="0.15">
      <c r="A1418" s="2">
        <v>152052</v>
      </c>
      <c r="B1418" s="2" t="s">
        <v>73</v>
      </c>
      <c r="C1418" s="2">
        <v>2018</v>
      </c>
      <c r="D1418" s="2" t="s">
        <v>1</v>
      </c>
      <c r="E1418" s="2" t="s">
        <v>17</v>
      </c>
      <c r="F1418" s="2" t="s">
        <v>35</v>
      </c>
      <c r="G1418" s="7"/>
      <c r="H1418" s="13" t="str">
        <f>IFERROR(IF(ABS($G1418)&gt;0,VLOOKUP($E1418,'Fuel Category and Heat Rate'!$B$1:$G$34,6,FALSE)*($G1418),""),"")</f>
        <v/>
      </c>
      <c r="I1418" t="str">
        <f>IFERROR(VLOOKUP($E1418,'Fuel Category and Heat Rate'!$K$2:$M$36,3,FALSE),"")</f>
        <v>petroleum diesel</v>
      </c>
    </row>
    <row r="1419" spans="1:9" x14ac:dyDescent="0.15">
      <c r="A1419" s="2">
        <v>152087</v>
      </c>
      <c r="B1419" s="2" t="s">
        <v>73</v>
      </c>
      <c r="C1419" s="2">
        <v>2018</v>
      </c>
      <c r="D1419" s="2" t="s">
        <v>1</v>
      </c>
      <c r="E1419" s="2" t="s">
        <v>13</v>
      </c>
      <c r="F1419" s="2" t="s">
        <v>35</v>
      </c>
      <c r="G1419" s="7"/>
      <c r="H1419" s="13" t="str">
        <f>IFERROR(IF(ABS($G1419)&gt;0,VLOOKUP($E1419,'Fuel Category and Heat Rate'!$B$1:$G$34,6,FALSE)*($G1419),""),"")</f>
        <v/>
      </c>
      <c r="I1419" t="str">
        <f>IFERROR(VLOOKUP($E1419,'Fuel Category and Heat Rate'!$K$2:$M$36,3,FALSE),"")</f>
        <v>petroleum diesel</v>
      </c>
    </row>
    <row r="1420" spans="1:9" x14ac:dyDescent="0.15">
      <c r="A1420" s="2">
        <v>152122</v>
      </c>
      <c r="B1420" s="2" t="s">
        <v>73</v>
      </c>
      <c r="C1420" s="2">
        <v>2018</v>
      </c>
      <c r="D1420" s="2" t="s">
        <v>1</v>
      </c>
      <c r="E1420" s="2" t="s">
        <v>12</v>
      </c>
      <c r="F1420" s="2" t="s">
        <v>36</v>
      </c>
      <c r="G1420" s="7"/>
      <c r="H1420" s="13" t="str">
        <f>IFERROR(IF(ABS($G1420)&gt;0,VLOOKUP($E1420,'Fuel Category and Heat Rate'!$B$1:$G$34,6,FALSE)*($G1420),""),"")</f>
        <v/>
      </c>
      <c r="I1420" t="str">
        <f>IFERROR(VLOOKUP($E1420,'Fuel Category and Heat Rate'!$K$2:$M$36,3,FALSE),"")</f>
        <v>LPG propane or butane</v>
      </c>
    </row>
    <row r="1421" spans="1:9" x14ac:dyDescent="0.15">
      <c r="A1421" s="2">
        <v>152157</v>
      </c>
      <c r="B1421" s="2" t="s">
        <v>73</v>
      </c>
      <c r="C1421" s="2">
        <v>2018</v>
      </c>
      <c r="D1421" s="2" t="s">
        <v>1</v>
      </c>
      <c r="E1421" s="2" t="s">
        <v>33</v>
      </c>
      <c r="F1421" s="2" t="s">
        <v>38</v>
      </c>
      <c r="G1421" s="7">
        <v>-0.65</v>
      </c>
      <c r="H1421" s="13">
        <f>IFERROR(IF(ABS($G1421)&gt;0,VLOOKUP($E1421,'Fuel Category and Heat Rate'!$B$1:$G$34,6,FALSE)*($G1421),""),"")</f>
        <v>-180333107484.30994</v>
      </c>
      <c r="I1421" t="str">
        <f>IFERROR(VLOOKUP($E1421,'Fuel Category and Heat Rate'!$K$2:$M$36,3,FALSE),"")</f>
        <v>biomass</v>
      </c>
    </row>
    <row r="1422" spans="1:9" x14ac:dyDescent="0.15">
      <c r="A1422" s="2">
        <v>152192</v>
      </c>
      <c r="B1422" s="2" t="s">
        <v>73</v>
      </c>
      <c r="C1422" s="2">
        <v>2018</v>
      </c>
      <c r="D1422" s="2" t="s">
        <v>1</v>
      </c>
      <c r="E1422" s="2" t="s">
        <v>28</v>
      </c>
      <c r="F1422" s="2" t="s">
        <v>35</v>
      </c>
      <c r="G1422" s="7">
        <v>-1.06</v>
      </c>
      <c r="H1422" s="13">
        <f>IFERROR(IF(ABS($G1422)&gt;0,VLOOKUP($E1422,'Fuel Category and Heat Rate'!$B$1:$G$34,6,FALSE)*($G1422),""),"")</f>
        <v>-411720384281.07861</v>
      </c>
      <c r="I1422" t="str">
        <f>IFERROR(VLOOKUP($E1422,'Fuel Category and Heat Rate'!$K$2:$M$36,3,FALSE),"")</f>
        <v>heavy or residual fuel oil</v>
      </c>
    </row>
    <row r="1423" spans="1:9" x14ac:dyDescent="0.15">
      <c r="A1423" s="2">
        <v>152227</v>
      </c>
      <c r="B1423" s="2" t="s">
        <v>73</v>
      </c>
      <c r="C1423" s="2">
        <v>2018</v>
      </c>
      <c r="D1423" s="2" t="s">
        <v>1</v>
      </c>
      <c r="E1423" s="2" t="s">
        <v>5</v>
      </c>
      <c r="F1423" s="2" t="s">
        <v>35</v>
      </c>
      <c r="G1423" s="7">
        <v>-72.400000000000006</v>
      </c>
      <c r="H1423" s="13">
        <f>IFERROR(IF(ABS($G1423)&gt;0,VLOOKUP($E1423,'Fuel Category and Heat Rate'!$B$1:$G$34,6,FALSE)*($G1423),""),"")</f>
        <v>-5738854488129.7041</v>
      </c>
      <c r="I1423" t="str">
        <f>IFERROR(VLOOKUP($E1423,'Fuel Category and Heat Rate'!$K$2:$M$36,3,FALSE),"")</f>
        <v>coal</v>
      </c>
    </row>
    <row r="1424" spans="1:9" x14ac:dyDescent="0.15">
      <c r="A1424" s="2">
        <v>152262</v>
      </c>
      <c r="B1424" s="2" t="s">
        <v>73</v>
      </c>
      <c r="C1424" s="2">
        <v>2018</v>
      </c>
      <c r="D1424" s="2" t="s">
        <v>1</v>
      </c>
      <c r="E1424" s="2" t="s">
        <v>16</v>
      </c>
      <c r="F1424" s="2" t="s">
        <v>35</v>
      </c>
      <c r="G1424" s="7"/>
      <c r="H1424" s="13" t="str">
        <f>IFERROR(IF(ABS($G1424)&gt;0,VLOOKUP($E1424,'Fuel Category and Heat Rate'!$B$1:$G$34,6,FALSE)*($G1424),""),"")</f>
        <v/>
      </c>
      <c r="I1424" t="str">
        <f>IFERROR(VLOOKUP($E1424,'Fuel Category and Heat Rate'!$K$2:$M$36,3,FALSE),"")</f>
        <v>petroleum diesel</v>
      </c>
    </row>
    <row r="1425" spans="1:9" x14ac:dyDescent="0.15">
      <c r="A1425" s="2">
        <v>152297</v>
      </c>
      <c r="B1425" s="2" t="s">
        <v>73</v>
      </c>
      <c r="C1425" s="2">
        <v>2018</v>
      </c>
      <c r="D1425" s="2" t="s">
        <v>1</v>
      </c>
      <c r="E1425" s="2" t="s">
        <v>19</v>
      </c>
      <c r="F1425" s="2" t="s">
        <v>35</v>
      </c>
      <c r="G1425" s="7">
        <v>-0.09</v>
      </c>
      <c r="H1425" s="13">
        <f>IFERROR(IF(ABS($G1425)&gt;0,VLOOKUP($E1425,'Fuel Category and Heat Rate'!$B$1:$G$34,6,FALSE)*($G1425),""),"")</f>
        <v>-35670528721.299446</v>
      </c>
      <c r="I1425" t="str">
        <f>IFERROR(VLOOKUP($E1425,'Fuel Category and Heat Rate'!$K$2:$M$36,3,FALSE),"")</f>
        <v>heavy or residual fuel oil</v>
      </c>
    </row>
    <row r="1426" spans="1:9" x14ac:dyDescent="0.15">
      <c r="A1426" s="2">
        <v>152332</v>
      </c>
      <c r="B1426" s="2" t="s">
        <v>73</v>
      </c>
      <c r="C1426" s="2">
        <v>2018</v>
      </c>
      <c r="D1426" s="2" t="s">
        <v>1</v>
      </c>
      <c r="E1426" s="2" t="s">
        <v>31</v>
      </c>
      <c r="F1426" s="2" t="s">
        <v>37</v>
      </c>
      <c r="G1426" s="7">
        <v>42229.22</v>
      </c>
      <c r="H1426" s="13">
        <f>IFERROR(IF(ABS($G1426)&gt;0,VLOOKUP($E1426,'Fuel Category and Heat Rate'!$B$1:$G$34,6,FALSE)*($G1426),""),"")</f>
        <v>400255777928722.94</v>
      </c>
      <c r="I1426" t="str">
        <f>IFERROR(VLOOKUP($E1426,'Fuel Category and Heat Rate'!$K$2:$M$36,3,FALSE),"")</f>
        <v>heat</v>
      </c>
    </row>
    <row r="1427" spans="1:9" x14ac:dyDescent="0.15">
      <c r="A1427" s="2">
        <v>152367</v>
      </c>
      <c r="B1427" s="2" t="s">
        <v>73</v>
      </c>
      <c r="C1427" s="2">
        <v>2018</v>
      </c>
      <c r="D1427" s="2" t="s">
        <v>1</v>
      </c>
      <c r="E1427" s="2" t="s">
        <v>23</v>
      </c>
      <c r="F1427" s="2" t="s">
        <v>35</v>
      </c>
      <c r="G1427" s="7"/>
      <c r="H1427" s="13" t="str">
        <f>IFERROR(IF(ABS($G1427)&gt;0,VLOOKUP($E1427,'Fuel Category and Heat Rate'!$B$1:$G$34,6,FALSE)*($G1427),""),"")</f>
        <v/>
      </c>
      <c r="I1427" t="str">
        <f>IFERROR(VLOOKUP($E1427,'Fuel Category and Heat Rate'!$K$2:$M$36,3,FALSE),"")</f>
        <v>heavy or residual fuel oil</v>
      </c>
    </row>
    <row r="1428" spans="1:9" x14ac:dyDescent="0.15">
      <c r="A1428" s="2">
        <v>152402</v>
      </c>
      <c r="B1428" s="2" t="s">
        <v>73</v>
      </c>
      <c r="C1428" s="2">
        <v>2018</v>
      </c>
      <c r="D1428" s="2" t="s">
        <v>1</v>
      </c>
      <c r="E1428" s="2" t="s">
        <v>21</v>
      </c>
      <c r="F1428" s="2" t="s">
        <v>35</v>
      </c>
      <c r="G1428" s="7"/>
      <c r="H1428" s="13" t="str">
        <f>IFERROR(IF(ABS($G1428)&gt;0,VLOOKUP($E1428,'Fuel Category and Heat Rate'!$B$1:$G$34,6,FALSE)*($G1428),""),"")</f>
        <v/>
      </c>
      <c r="I1428" t="str">
        <f>IFERROR(VLOOKUP($E1428,'Fuel Category and Heat Rate'!$K$2:$M$36,3,FALSE),"")</f>
        <v>LPG propane or butane</v>
      </c>
    </row>
    <row r="1429" spans="1:9" x14ac:dyDescent="0.15">
      <c r="A1429" s="2">
        <v>152437</v>
      </c>
      <c r="B1429" s="2" t="s">
        <v>73</v>
      </c>
      <c r="C1429" s="2">
        <v>2018</v>
      </c>
      <c r="D1429" s="2" t="s">
        <v>1</v>
      </c>
      <c r="E1429" s="2" t="s">
        <v>22</v>
      </c>
      <c r="F1429" s="2" t="s">
        <v>35</v>
      </c>
      <c r="G1429" s="7"/>
      <c r="H1429" s="13" t="str">
        <f>IFERROR(IF(ABS($G1429)&gt;0,VLOOKUP($E1429,'Fuel Category and Heat Rate'!$B$1:$G$34,6,FALSE)*($G1429),""),"")</f>
        <v/>
      </c>
      <c r="I1429" t="str">
        <f>IFERROR(VLOOKUP($E1429,'Fuel Category and Heat Rate'!$K$2:$M$36,3,FALSE),"")</f>
        <v>heavy fuel oil</v>
      </c>
    </row>
    <row r="1430" spans="1:9" x14ac:dyDescent="0.15">
      <c r="A1430" s="2">
        <v>152472</v>
      </c>
      <c r="B1430" s="2" t="s">
        <v>73</v>
      </c>
      <c r="C1430" s="2">
        <v>2018</v>
      </c>
      <c r="D1430" s="2" t="s">
        <v>1</v>
      </c>
      <c r="E1430" s="2" t="s">
        <v>20</v>
      </c>
      <c r="F1430" s="2" t="s">
        <v>35</v>
      </c>
      <c r="G1430" s="7"/>
      <c r="H1430" s="13" t="str">
        <f>IFERROR(IF(ABS($G1430)&gt;0,VLOOKUP($E1430,'Fuel Category and Heat Rate'!$B$1:$G$34,6,FALSE)*($G1430),""),"")</f>
        <v/>
      </c>
      <c r="I1430" t="str">
        <f>IFERROR(VLOOKUP($E1430,'Fuel Category and Heat Rate'!$K$2:$M$36,3,FALSE),"")</f>
        <v>LPG propane or butane</v>
      </c>
    </row>
    <row r="1431" spans="1:9" x14ac:dyDescent="0.15">
      <c r="A1431" s="2">
        <v>152507</v>
      </c>
      <c r="B1431" s="2" t="s">
        <v>73</v>
      </c>
      <c r="C1431" s="2">
        <v>2018</v>
      </c>
      <c r="D1431" s="2" t="s">
        <v>1</v>
      </c>
      <c r="E1431" s="2" t="s">
        <v>25</v>
      </c>
      <c r="F1431" s="2" t="s">
        <v>35</v>
      </c>
      <c r="G1431" s="7"/>
      <c r="H1431" s="13" t="str">
        <f>IFERROR(IF(ABS($G1431)&gt;0,VLOOKUP($E1431,'Fuel Category and Heat Rate'!$B$1:$G$34,6,FALSE)*($G1431),""),"")</f>
        <v/>
      </c>
      <c r="I1431" t="str">
        <f>IFERROR(VLOOKUP($E1431,'Fuel Category and Heat Rate'!$K$2:$M$36,3,FALSE),"")</f>
        <v>heavy fuel oil</v>
      </c>
    </row>
    <row r="1432" spans="1:9" x14ac:dyDescent="0.15">
      <c r="A1432" s="2">
        <v>152542</v>
      </c>
      <c r="B1432" s="2" t="s">
        <v>73</v>
      </c>
      <c r="C1432" s="2">
        <v>2018</v>
      </c>
      <c r="D1432" s="2" t="s">
        <v>1</v>
      </c>
      <c r="E1432" s="2" t="s">
        <v>24</v>
      </c>
      <c r="F1432" s="2" t="s">
        <v>35</v>
      </c>
      <c r="G1432" s="7"/>
      <c r="H1432" s="13" t="str">
        <f>IFERROR(IF(ABS($G1432)&gt;0,VLOOKUP($E1432,'Fuel Category and Heat Rate'!$B$1:$G$34,6,FALSE)*($G1432),""),"")</f>
        <v/>
      </c>
      <c r="I1432" t="str">
        <f>IFERROR(VLOOKUP($E1432,'Fuel Category and Heat Rate'!$K$2:$M$36,3,FALSE),"")</f>
        <v>heavy fuel oil</v>
      </c>
    </row>
    <row r="1433" spans="1:9" x14ac:dyDescent="0.15">
      <c r="A1433" s="2">
        <v>152577</v>
      </c>
      <c r="B1433" s="2" t="s">
        <v>73</v>
      </c>
      <c r="C1433" s="2">
        <v>2018</v>
      </c>
      <c r="D1433" s="2" t="s">
        <v>1</v>
      </c>
      <c r="E1433" s="2" t="s">
        <v>29</v>
      </c>
      <c r="F1433" s="2" t="s">
        <v>36</v>
      </c>
      <c r="G1433" s="7">
        <v>-1.97</v>
      </c>
      <c r="H1433" s="13">
        <f>IFERROR(IF(ABS($G1433)&gt;0,VLOOKUP($E1433,'Fuel Category and Heat Rate'!$B$1:$G$34,6,FALSE)*($G1433),""),"")</f>
        <v>-6644336885104.2344</v>
      </c>
      <c r="I1433" t="str">
        <f>IFERROR(VLOOKUP($E1433,'Fuel Category and Heat Rate'!$K$2:$M$36,3,FALSE),"")</f>
        <v>natural gas</v>
      </c>
    </row>
    <row r="1434" spans="1:9" x14ac:dyDescent="0.15">
      <c r="A1434" s="2">
        <v>152612</v>
      </c>
      <c r="B1434" s="2" t="s">
        <v>73</v>
      </c>
      <c r="C1434" s="2">
        <v>2018</v>
      </c>
      <c r="D1434" s="2" t="s">
        <v>1</v>
      </c>
      <c r="E1434" s="2" t="s">
        <v>4</v>
      </c>
      <c r="F1434" s="2" t="s">
        <v>35</v>
      </c>
      <c r="G1434" s="7"/>
      <c r="H1434" s="13" t="str">
        <f>IFERROR(IF(ABS($G1434)&gt;0,VLOOKUP($E1434,'Fuel Category and Heat Rate'!$B$1:$G$34,6,FALSE)*($G1434),""),"")</f>
        <v/>
      </c>
      <c r="I1434" t="str">
        <f>IFERROR(VLOOKUP($E1434,'Fuel Category and Heat Rate'!$K$2:$M$36,3,FALSE),"")</f>
        <v>coal</v>
      </c>
    </row>
    <row r="1435" spans="1:9" x14ac:dyDescent="0.15">
      <c r="A1435" s="2">
        <v>152647</v>
      </c>
      <c r="B1435" s="2" t="s">
        <v>73</v>
      </c>
      <c r="C1435" s="2">
        <v>2018</v>
      </c>
      <c r="D1435" s="2" t="s">
        <v>1</v>
      </c>
      <c r="E1435" s="2" t="s">
        <v>6</v>
      </c>
      <c r="F1435" s="2" t="s">
        <v>35</v>
      </c>
      <c r="G1435" s="7"/>
      <c r="H1435" s="13" t="str">
        <f>IFERROR(IF(ABS($G1435)&gt;0,VLOOKUP($E1435,'Fuel Category and Heat Rate'!$B$1:$G$34,6,FALSE)*($G1435),""),"")</f>
        <v/>
      </c>
      <c r="I1435" t="str">
        <f>IFERROR(VLOOKUP($E1435,'Fuel Category and Heat Rate'!$K$2:$M$36,3,FALSE),"")</f>
        <v>coal</v>
      </c>
    </row>
    <row r="1436" spans="1:9" x14ac:dyDescent="0.15">
      <c r="A1436" s="2">
        <v>152682</v>
      </c>
      <c r="B1436" s="2" t="s">
        <v>73</v>
      </c>
      <c r="C1436" s="2">
        <v>2018</v>
      </c>
      <c r="D1436" s="2" t="s">
        <v>1</v>
      </c>
      <c r="E1436" s="2" t="s">
        <v>26</v>
      </c>
      <c r="F1436" s="2" t="s">
        <v>35</v>
      </c>
      <c r="G1436" s="7"/>
      <c r="H1436" s="13" t="str">
        <f>IFERROR(IF(ABS($G1436)&gt;0,VLOOKUP($E1436,'Fuel Category and Heat Rate'!$B$1:$G$34,6,FALSE)*($G1436),""),"")</f>
        <v/>
      </c>
      <c r="I1436" t="str">
        <f>IFERROR(VLOOKUP($E1436,'Fuel Category and Heat Rate'!$K$2:$M$36,3,FALSE),"")</f>
        <v>LPG propane or butane</v>
      </c>
    </row>
    <row r="1437" spans="1:9" x14ac:dyDescent="0.15">
      <c r="A1437" s="2">
        <v>152717</v>
      </c>
      <c r="B1437" s="2" t="s">
        <v>73</v>
      </c>
      <c r="C1437" s="2">
        <v>2018</v>
      </c>
      <c r="D1437" s="2" t="s">
        <v>1</v>
      </c>
      <c r="E1437" s="2" t="s">
        <v>30</v>
      </c>
      <c r="F1437" s="2" t="s">
        <v>35</v>
      </c>
      <c r="G1437" s="7"/>
      <c r="H1437" s="13" t="str">
        <f>IFERROR(IF(ABS($G1437)&gt;0,VLOOKUP($E1437,'Fuel Category and Heat Rate'!$B$1:$G$34,6,FALSE)*($G1437),""),"")</f>
        <v/>
      </c>
      <c r="I1437" t="str">
        <f>IFERROR(VLOOKUP($E1437,'Fuel Category and Heat Rate'!$K$2:$M$36,3,FALSE),"")</f>
        <v>natural gas</v>
      </c>
    </row>
    <row r="1438" spans="1:9" x14ac:dyDescent="0.15">
      <c r="A1438" s="2">
        <v>152752</v>
      </c>
      <c r="B1438" s="2" t="s">
        <v>73</v>
      </c>
      <c r="C1438" s="2">
        <v>2018</v>
      </c>
      <c r="D1438" s="2" t="s">
        <v>1</v>
      </c>
      <c r="E1438" s="2" t="s">
        <v>14</v>
      </c>
      <c r="F1438" s="2" t="s">
        <v>35</v>
      </c>
      <c r="G1438" s="7">
        <v>-3.95</v>
      </c>
      <c r="H1438" s="13">
        <f>IFERROR(IF(ABS($G1438)&gt;0,VLOOKUP($E1438,'Fuel Category and Heat Rate'!$B$1:$G$34,6,FALSE)*($G1438),""),"")</f>
        <v>0</v>
      </c>
      <c r="I1438" t="str">
        <f>IFERROR(VLOOKUP($E1438,'Fuel Category and Heat Rate'!$K$2:$M$36,3,FALSE),"")</f>
        <v/>
      </c>
    </row>
    <row r="1439" spans="1:9" x14ac:dyDescent="0.15">
      <c r="A1439" s="2">
        <v>152787</v>
      </c>
      <c r="B1439" s="2" t="s">
        <v>73</v>
      </c>
      <c r="C1439" s="2">
        <v>2018</v>
      </c>
      <c r="D1439" s="2" t="s">
        <v>1</v>
      </c>
      <c r="E1439" s="2" t="s">
        <v>3</v>
      </c>
      <c r="F1439" s="2" t="s">
        <v>35</v>
      </c>
      <c r="G1439" s="7">
        <v>-2230.17</v>
      </c>
      <c r="H1439" s="13">
        <f>IFERROR(IF(ABS($G1439)&gt;0,VLOOKUP($E1439,'Fuel Category and Heat Rate'!$B$1:$G$34,6,FALSE)*($G1439),""),"")</f>
        <v>-441951905768779.94</v>
      </c>
      <c r="I1439" t="str">
        <f>IFERROR(VLOOKUP($E1439,'Fuel Category and Heat Rate'!$K$2:$M$36,3,FALSE),"")</f>
        <v>coal</v>
      </c>
    </row>
    <row r="1440" spans="1:9" x14ac:dyDescent="0.15">
      <c r="A1440" s="2">
        <v>152822</v>
      </c>
      <c r="B1440" s="2" t="s">
        <v>73</v>
      </c>
      <c r="C1440" s="2">
        <v>2018</v>
      </c>
      <c r="D1440" s="2" t="s">
        <v>1</v>
      </c>
      <c r="E1440" s="2" t="s">
        <v>15</v>
      </c>
      <c r="F1440" s="2" t="s">
        <v>35</v>
      </c>
      <c r="G1440" s="7"/>
      <c r="H1440" s="13" t="str">
        <f>IFERROR(IF(ABS($G1440)&gt;0,VLOOKUP($E1440,'Fuel Category and Heat Rate'!$B$1:$G$34,6,FALSE)*($G1440),""),"")</f>
        <v/>
      </c>
      <c r="I1440" t="str">
        <f>IFERROR(VLOOKUP($E1440,'Fuel Category and Heat Rate'!$K$2:$M$36,3,FALSE),"")</f>
        <v>crude oil</v>
      </c>
    </row>
    <row r="1441" spans="1:9" x14ac:dyDescent="0.15">
      <c r="A1441" s="2">
        <v>152857</v>
      </c>
      <c r="B1441" s="2" t="s">
        <v>73</v>
      </c>
      <c r="C1441" s="2">
        <v>2018</v>
      </c>
      <c r="D1441" s="2" t="s">
        <v>1</v>
      </c>
      <c r="E1441" s="2" t="s">
        <v>11</v>
      </c>
      <c r="F1441" s="2" t="s">
        <v>36</v>
      </c>
      <c r="G1441" s="7">
        <v>-7.02</v>
      </c>
      <c r="H1441" s="13">
        <f>IFERROR(IF(ABS($G1441)&gt;0,VLOOKUP($E1441,'Fuel Category and Heat Rate'!$B$1:$G$34,6,FALSE)*($G1441),""),"")</f>
        <v>-5286345741791.7734</v>
      </c>
      <c r="I1441" t="str">
        <f>IFERROR(VLOOKUP($E1441,'Fuel Category and Heat Rate'!$K$2:$M$36,3,FALSE),"")</f>
        <v>LPG propane or butane</v>
      </c>
    </row>
    <row r="1442" spans="1:9" x14ac:dyDescent="0.15">
      <c r="A1442" s="2">
        <v>165702</v>
      </c>
      <c r="B1442" s="2" t="s">
        <v>74</v>
      </c>
      <c r="C1442" s="2">
        <v>2022</v>
      </c>
      <c r="D1442" s="2" t="s">
        <v>1</v>
      </c>
      <c r="E1442" s="2" t="s">
        <v>18</v>
      </c>
      <c r="F1442" s="2" t="s">
        <v>35</v>
      </c>
      <c r="G1442" s="7">
        <v>-0.52</v>
      </c>
      <c r="H1442" s="13">
        <f>IFERROR(IF(ABS($G1442)&gt;0,VLOOKUP($E1442,'Fuel Category and Heat Rate'!$B$1:$G$34,6,FALSE)*($G1442),""),"")</f>
        <v>-210216738763.16595</v>
      </c>
      <c r="I1442" t="str">
        <f>IFERROR(VLOOKUP($E1442,'Fuel Category and Heat Rate'!$K$2:$M$36,3,FALSE),"")</f>
        <v>petroleum diesel</v>
      </c>
    </row>
    <row r="1443" spans="1:9" x14ac:dyDescent="0.15">
      <c r="A1443" s="2">
        <v>165737</v>
      </c>
      <c r="B1443" s="2" t="s">
        <v>74</v>
      </c>
      <c r="C1443" s="2">
        <v>2022</v>
      </c>
      <c r="D1443" s="2" t="s">
        <v>1</v>
      </c>
      <c r="E1443" s="2" t="s">
        <v>32</v>
      </c>
      <c r="F1443" s="2" t="s">
        <v>65</v>
      </c>
      <c r="G1443" s="7"/>
      <c r="H1443" s="13" t="str">
        <f>IFERROR(IF(ABS($G1443)&gt;0,VLOOKUP($E1443,'Fuel Category and Heat Rate'!$B$1:$G$34,6,FALSE)*($G1443),""),"")</f>
        <v/>
      </c>
      <c r="I1443" t="str">
        <f>IFERROR(VLOOKUP($E1443,'Fuel Category and Heat Rate'!$K$2:$M$36,3,FALSE),"")</f>
        <v>electricity</v>
      </c>
    </row>
    <row r="1444" spans="1:9" x14ac:dyDescent="0.15">
      <c r="A1444" s="2">
        <v>165772</v>
      </c>
      <c r="B1444" s="2" t="s">
        <v>74</v>
      </c>
      <c r="C1444" s="2">
        <v>2022</v>
      </c>
      <c r="D1444" s="2" t="s">
        <v>1</v>
      </c>
      <c r="E1444" s="2" t="s">
        <v>10</v>
      </c>
      <c r="F1444" s="2" t="s">
        <v>36</v>
      </c>
      <c r="G1444" s="7"/>
      <c r="H1444" s="13" t="str">
        <f>IFERROR(IF(ABS($G1444)&gt;0,VLOOKUP($E1444,'Fuel Category and Heat Rate'!$B$1:$G$34,6,FALSE)*($G1444),""),"")</f>
        <v/>
      </c>
      <c r="I1444" t="str">
        <f>IFERROR(VLOOKUP($E1444,'Fuel Category and Heat Rate'!$K$2:$M$36,3,FALSE),"")</f>
        <v>LPG propane or butane</v>
      </c>
    </row>
    <row r="1445" spans="1:9" x14ac:dyDescent="0.15">
      <c r="A1445" s="2">
        <v>165807</v>
      </c>
      <c r="B1445" s="2" t="s">
        <v>74</v>
      </c>
      <c r="C1445" s="2">
        <v>2022</v>
      </c>
      <c r="D1445" s="2" t="s">
        <v>1</v>
      </c>
      <c r="E1445" s="2" t="s">
        <v>9</v>
      </c>
      <c r="F1445" s="2" t="s">
        <v>36</v>
      </c>
      <c r="G1445" s="7"/>
      <c r="H1445" s="13" t="str">
        <f>IFERROR(IF(ABS($G1445)&gt;0,VLOOKUP($E1445,'Fuel Category and Heat Rate'!$B$1:$G$34,6,FALSE)*($G1445),""),"")</f>
        <v/>
      </c>
      <c r="I1445" t="str">
        <f>IFERROR(VLOOKUP($E1445,'Fuel Category and Heat Rate'!$K$2:$M$36,3,FALSE),"")</f>
        <v>LPG propane or butane</v>
      </c>
    </row>
    <row r="1446" spans="1:9" x14ac:dyDescent="0.15">
      <c r="A1446" s="2">
        <v>165842</v>
      </c>
      <c r="B1446" s="2" t="s">
        <v>74</v>
      </c>
      <c r="C1446" s="2">
        <v>2022</v>
      </c>
      <c r="D1446" s="2" t="s">
        <v>1</v>
      </c>
      <c r="E1446" s="2" t="s">
        <v>8</v>
      </c>
      <c r="F1446" s="2" t="s">
        <v>35</v>
      </c>
      <c r="G1446" s="7"/>
      <c r="H1446" s="13" t="str">
        <f>IFERROR(IF(ABS($G1446)&gt;0,VLOOKUP($E1446,'Fuel Category and Heat Rate'!$B$1:$G$34,6,FALSE)*($G1446),""),"")</f>
        <v/>
      </c>
      <c r="I1446" t="str">
        <f>IFERROR(VLOOKUP($E1446,'Fuel Category and Heat Rate'!$K$2:$M$36,3,FALSE),"")</f>
        <v>coal</v>
      </c>
    </row>
    <row r="1447" spans="1:9" x14ac:dyDescent="0.15">
      <c r="A1447" s="2">
        <v>165877</v>
      </c>
      <c r="B1447" s="2" t="s">
        <v>74</v>
      </c>
      <c r="C1447" s="2">
        <v>2022</v>
      </c>
      <c r="D1447" s="2" t="s">
        <v>1</v>
      </c>
      <c r="E1447" s="2" t="s">
        <v>27</v>
      </c>
      <c r="F1447" s="2" t="s">
        <v>35</v>
      </c>
      <c r="G1447" s="7">
        <v>-0.9</v>
      </c>
      <c r="H1447" s="13">
        <f>IFERROR(IF(ABS($G1447)&gt;0,VLOOKUP($E1447,'Fuel Category and Heat Rate'!$B$1:$G$34,6,FALSE)*($G1447),""),"")</f>
        <v>-392379228075.93555</v>
      </c>
      <c r="I1447" t="str">
        <f>IFERROR(VLOOKUP($E1447,'Fuel Category and Heat Rate'!$K$2:$M$36,3,FALSE),"")</f>
        <v>LPG propane or butane</v>
      </c>
    </row>
    <row r="1448" spans="1:9" x14ac:dyDescent="0.15">
      <c r="A1448" s="2">
        <v>165912</v>
      </c>
      <c r="B1448" s="2" t="s">
        <v>74</v>
      </c>
      <c r="C1448" s="2">
        <v>2022</v>
      </c>
      <c r="D1448" s="2" t="s">
        <v>1</v>
      </c>
      <c r="E1448" s="2" t="s">
        <v>7</v>
      </c>
      <c r="F1448" s="2" t="s">
        <v>35</v>
      </c>
      <c r="G1448" s="7">
        <v>-48.46</v>
      </c>
      <c r="H1448" s="13">
        <f>IFERROR(IF(ABS($G1448)&gt;0,VLOOKUP($E1448,'Fuel Category and Heat Rate'!$B$1:$G$34,6,FALSE)*($G1448),""),"")</f>
        <v>-3846280175594.4961</v>
      </c>
      <c r="I1448" t="str">
        <f>IFERROR(VLOOKUP($E1448,'Fuel Category and Heat Rate'!$K$2:$M$36,3,FALSE),"")</f>
        <v>coal</v>
      </c>
    </row>
    <row r="1449" spans="1:9" x14ac:dyDescent="0.15">
      <c r="A1449" s="2">
        <v>165947</v>
      </c>
      <c r="B1449" s="2" t="s">
        <v>74</v>
      </c>
      <c r="C1449" s="2">
        <v>2022</v>
      </c>
      <c r="D1449" s="2" t="s">
        <v>1</v>
      </c>
      <c r="E1449" s="2" t="s">
        <v>2</v>
      </c>
      <c r="F1449" s="2" t="s">
        <v>35</v>
      </c>
      <c r="G1449" s="7">
        <v>-2680.22</v>
      </c>
      <c r="H1449" s="13">
        <f>IFERROR(IF(ABS($G1449)&gt;0,VLOOKUP($E1449,'Fuel Category and Heat Rate'!$B$1:$G$34,6,FALSE)*($G1449),""),"")</f>
        <v>0</v>
      </c>
      <c r="I1449" t="str">
        <f>IFERROR(VLOOKUP($E1449,'Fuel Category and Heat Rate'!$K$2:$M$36,3,FALSE),"")</f>
        <v/>
      </c>
    </row>
    <row r="1450" spans="1:9" x14ac:dyDescent="0.15">
      <c r="A1450" s="2">
        <v>165982</v>
      </c>
      <c r="B1450" s="2" t="s">
        <v>74</v>
      </c>
      <c r="C1450" s="2">
        <v>2022</v>
      </c>
      <c r="D1450" s="2" t="s">
        <v>1</v>
      </c>
      <c r="E1450" s="2" t="s">
        <v>17</v>
      </c>
      <c r="F1450" s="2" t="s">
        <v>35</v>
      </c>
      <c r="G1450" s="7"/>
      <c r="H1450" s="13" t="str">
        <f>IFERROR(IF(ABS($G1450)&gt;0,VLOOKUP($E1450,'Fuel Category and Heat Rate'!$B$1:$G$34,6,FALSE)*($G1450),""),"")</f>
        <v/>
      </c>
      <c r="I1450" t="str">
        <f>IFERROR(VLOOKUP($E1450,'Fuel Category and Heat Rate'!$K$2:$M$36,3,FALSE),"")</f>
        <v>petroleum diesel</v>
      </c>
    </row>
    <row r="1451" spans="1:9" x14ac:dyDescent="0.15">
      <c r="A1451" s="2">
        <v>166017</v>
      </c>
      <c r="B1451" s="2" t="s">
        <v>74</v>
      </c>
      <c r="C1451" s="2">
        <v>2022</v>
      </c>
      <c r="D1451" s="2" t="s">
        <v>1</v>
      </c>
      <c r="E1451" s="2" t="s">
        <v>13</v>
      </c>
      <c r="F1451" s="2" t="s">
        <v>35</v>
      </c>
      <c r="G1451" s="7"/>
      <c r="H1451" s="13" t="str">
        <f>IFERROR(IF(ABS($G1451)&gt;0,VLOOKUP($E1451,'Fuel Category and Heat Rate'!$B$1:$G$34,6,FALSE)*($G1451),""),"")</f>
        <v/>
      </c>
      <c r="I1451" t="str">
        <f>IFERROR(VLOOKUP($E1451,'Fuel Category and Heat Rate'!$K$2:$M$36,3,FALSE),"")</f>
        <v>petroleum diesel</v>
      </c>
    </row>
    <row r="1452" spans="1:9" x14ac:dyDescent="0.15">
      <c r="A1452" s="2">
        <v>166052</v>
      </c>
      <c r="B1452" s="2" t="s">
        <v>74</v>
      </c>
      <c r="C1452" s="2">
        <v>2022</v>
      </c>
      <c r="D1452" s="2" t="s">
        <v>1</v>
      </c>
      <c r="E1452" s="2" t="s">
        <v>12</v>
      </c>
      <c r="F1452" s="2" t="s">
        <v>36</v>
      </c>
      <c r="G1452" s="7">
        <v>-3.96</v>
      </c>
      <c r="H1452" s="13">
        <f>IFERROR(IF(ABS($G1452)&gt;0,VLOOKUP($E1452,'Fuel Category and Heat Rate'!$B$1:$G$34,6,FALSE)*($G1452),""),"")</f>
        <v>-1961879079671.4697</v>
      </c>
      <c r="I1452" t="str">
        <f>IFERROR(VLOOKUP($E1452,'Fuel Category and Heat Rate'!$K$2:$M$36,3,FALSE),"")</f>
        <v>LPG propane or butane</v>
      </c>
    </row>
    <row r="1453" spans="1:9" x14ac:dyDescent="0.15">
      <c r="A1453" s="2">
        <v>166087</v>
      </c>
      <c r="B1453" s="2" t="s">
        <v>74</v>
      </c>
      <c r="C1453" s="2">
        <v>2022</v>
      </c>
      <c r="D1453" s="2" t="s">
        <v>1</v>
      </c>
      <c r="E1453" s="2" t="s">
        <v>33</v>
      </c>
      <c r="F1453" s="2" t="s">
        <v>38</v>
      </c>
      <c r="G1453" s="7">
        <v>-77.89</v>
      </c>
      <c r="H1453" s="13">
        <f>IFERROR(IF(ABS($G1453)&gt;0,VLOOKUP($E1453,'Fuel Category and Heat Rate'!$B$1:$G$34,6,FALSE)*($G1453),""),"")</f>
        <v>-21609454987619.848</v>
      </c>
      <c r="I1453" t="str">
        <f>IFERROR(VLOOKUP($E1453,'Fuel Category and Heat Rate'!$K$2:$M$36,3,FALSE),"")</f>
        <v>biomass</v>
      </c>
    </row>
    <row r="1454" spans="1:9" x14ac:dyDescent="0.15">
      <c r="A1454" s="2">
        <v>166122</v>
      </c>
      <c r="B1454" s="2" t="s">
        <v>74</v>
      </c>
      <c r="C1454" s="2">
        <v>2022</v>
      </c>
      <c r="D1454" s="2" t="s">
        <v>1</v>
      </c>
      <c r="E1454" s="2" t="s">
        <v>28</v>
      </c>
      <c r="F1454" s="2" t="s">
        <v>35</v>
      </c>
      <c r="G1454" s="7"/>
      <c r="H1454" s="13" t="str">
        <f>IFERROR(IF(ABS($G1454)&gt;0,VLOOKUP($E1454,'Fuel Category and Heat Rate'!$B$1:$G$34,6,FALSE)*($G1454),""),"")</f>
        <v/>
      </c>
      <c r="I1454" t="str">
        <f>IFERROR(VLOOKUP($E1454,'Fuel Category and Heat Rate'!$K$2:$M$36,3,FALSE),"")</f>
        <v>heavy or residual fuel oil</v>
      </c>
    </row>
    <row r="1455" spans="1:9" x14ac:dyDescent="0.15">
      <c r="A1455" s="2">
        <v>166157</v>
      </c>
      <c r="B1455" s="2" t="s">
        <v>74</v>
      </c>
      <c r="C1455" s="2">
        <v>2022</v>
      </c>
      <c r="D1455" s="2" t="s">
        <v>1</v>
      </c>
      <c r="E1455" s="2" t="s">
        <v>5</v>
      </c>
      <c r="F1455" s="2" t="s">
        <v>35</v>
      </c>
      <c r="G1455" s="7">
        <v>-10</v>
      </c>
      <c r="H1455" s="13">
        <f>IFERROR(IF(ABS($G1455)&gt;0,VLOOKUP($E1455,'Fuel Category and Heat Rate'!$B$1:$G$34,6,FALSE)*($G1455),""),"")</f>
        <v>-792659459686.42322</v>
      </c>
      <c r="I1455" t="str">
        <f>IFERROR(VLOOKUP($E1455,'Fuel Category and Heat Rate'!$K$2:$M$36,3,FALSE),"")</f>
        <v>coal</v>
      </c>
    </row>
    <row r="1456" spans="1:9" x14ac:dyDescent="0.15">
      <c r="A1456" s="2">
        <v>166192</v>
      </c>
      <c r="B1456" s="2" t="s">
        <v>74</v>
      </c>
      <c r="C1456" s="2">
        <v>2022</v>
      </c>
      <c r="D1456" s="2" t="s">
        <v>1</v>
      </c>
      <c r="E1456" s="2" t="s">
        <v>16</v>
      </c>
      <c r="F1456" s="2" t="s">
        <v>35</v>
      </c>
      <c r="G1456" s="7"/>
      <c r="H1456" s="13" t="str">
        <f>IFERROR(IF(ABS($G1456)&gt;0,VLOOKUP($E1456,'Fuel Category and Heat Rate'!$B$1:$G$34,6,FALSE)*($G1456),""),"")</f>
        <v/>
      </c>
      <c r="I1456" t="str">
        <f>IFERROR(VLOOKUP($E1456,'Fuel Category and Heat Rate'!$K$2:$M$36,3,FALSE),"")</f>
        <v>petroleum diesel</v>
      </c>
    </row>
    <row r="1457" spans="1:9" x14ac:dyDescent="0.15">
      <c r="A1457" s="2">
        <v>166227</v>
      </c>
      <c r="B1457" s="2" t="s">
        <v>74</v>
      </c>
      <c r="C1457" s="2">
        <v>2022</v>
      </c>
      <c r="D1457" s="2" t="s">
        <v>1</v>
      </c>
      <c r="E1457" s="2" t="s">
        <v>19</v>
      </c>
      <c r="F1457" s="2" t="s">
        <v>35</v>
      </c>
      <c r="G1457" s="7">
        <v>-0.37</v>
      </c>
      <c r="H1457" s="13">
        <f>IFERROR(IF(ABS($G1457)&gt;0,VLOOKUP($E1457,'Fuel Category and Heat Rate'!$B$1:$G$34,6,FALSE)*($G1457),""),"")</f>
        <v>-146645506965.34216</v>
      </c>
      <c r="I1457" t="str">
        <f>IFERROR(VLOOKUP($E1457,'Fuel Category and Heat Rate'!$K$2:$M$36,3,FALSE),"")</f>
        <v>heavy or residual fuel oil</v>
      </c>
    </row>
    <row r="1458" spans="1:9" x14ac:dyDescent="0.15">
      <c r="A1458" s="2">
        <v>166262</v>
      </c>
      <c r="B1458" s="2" t="s">
        <v>74</v>
      </c>
      <c r="C1458" s="2">
        <v>2022</v>
      </c>
      <c r="D1458" s="2" t="s">
        <v>1</v>
      </c>
      <c r="E1458" s="2" t="s">
        <v>31</v>
      </c>
      <c r="F1458" s="2" t="s">
        <v>37</v>
      </c>
      <c r="G1458" s="7">
        <v>46256.2</v>
      </c>
      <c r="H1458" s="13">
        <f>IFERROR(IF(ABS($G1458)&gt;0,VLOOKUP($E1458,'Fuel Category and Heat Rate'!$B$1:$G$34,6,FALSE)*($G1458),""),"")</f>
        <v>438424183895099</v>
      </c>
      <c r="I1458" t="str">
        <f>IFERROR(VLOOKUP($E1458,'Fuel Category and Heat Rate'!$K$2:$M$36,3,FALSE),"")</f>
        <v>heat</v>
      </c>
    </row>
    <row r="1459" spans="1:9" x14ac:dyDescent="0.15">
      <c r="A1459" s="2">
        <v>166297</v>
      </c>
      <c r="B1459" s="2" t="s">
        <v>74</v>
      </c>
      <c r="C1459" s="2">
        <v>2022</v>
      </c>
      <c r="D1459" s="2" t="s">
        <v>1</v>
      </c>
      <c r="E1459" s="2" t="s">
        <v>23</v>
      </c>
      <c r="F1459" s="2" t="s">
        <v>35</v>
      </c>
      <c r="G1459" s="7"/>
      <c r="H1459" s="13" t="str">
        <f>IFERROR(IF(ABS($G1459)&gt;0,VLOOKUP($E1459,'Fuel Category and Heat Rate'!$B$1:$G$34,6,FALSE)*($G1459),""),"")</f>
        <v/>
      </c>
      <c r="I1459" t="str">
        <f>IFERROR(VLOOKUP($E1459,'Fuel Category and Heat Rate'!$K$2:$M$36,3,FALSE),"")</f>
        <v>heavy or residual fuel oil</v>
      </c>
    </row>
    <row r="1460" spans="1:9" x14ac:dyDescent="0.15">
      <c r="A1460" s="2">
        <v>166332</v>
      </c>
      <c r="B1460" s="2" t="s">
        <v>74</v>
      </c>
      <c r="C1460" s="2">
        <v>2022</v>
      </c>
      <c r="D1460" s="2" t="s">
        <v>1</v>
      </c>
      <c r="E1460" s="2" t="s">
        <v>21</v>
      </c>
      <c r="F1460" s="2" t="s">
        <v>35</v>
      </c>
      <c r="G1460" s="7"/>
      <c r="H1460" s="13" t="str">
        <f>IFERROR(IF(ABS($G1460)&gt;0,VLOOKUP($E1460,'Fuel Category and Heat Rate'!$B$1:$G$34,6,FALSE)*($G1460),""),"")</f>
        <v/>
      </c>
      <c r="I1460" t="str">
        <f>IFERROR(VLOOKUP($E1460,'Fuel Category and Heat Rate'!$K$2:$M$36,3,FALSE),"")</f>
        <v>LPG propane or butane</v>
      </c>
    </row>
    <row r="1461" spans="1:9" x14ac:dyDescent="0.15">
      <c r="A1461" s="2">
        <v>166367</v>
      </c>
      <c r="B1461" s="2" t="s">
        <v>74</v>
      </c>
      <c r="C1461" s="2">
        <v>2022</v>
      </c>
      <c r="D1461" s="2" t="s">
        <v>1</v>
      </c>
      <c r="E1461" s="2" t="s">
        <v>22</v>
      </c>
      <c r="F1461" s="2" t="s">
        <v>35</v>
      </c>
      <c r="G1461" s="7"/>
      <c r="H1461" s="13" t="str">
        <f>IFERROR(IF(ABS($G1461)&gt;0,VLOOKUP($E1461,'Fuel Category and Heat Rate'!$B$1:$G$34,6,FALSE)*($G1461),""),"")</f>
        <v/>
      </c>
      <c r="I1461" t="str">
        <f>IFERROR(VLOOKUP($E1461,'Fuel Category and Heat Rate'!$K$2:$M$36,3,FALSE),"")</f>
        <v>heavy fuel oil</v>
      </c>
    </row>
    <row r="1462" spans="1:9" x14ac:dyDescent="0.15">
      <c r="A1462" s="2">
        <v>166402</v>
      </c>
      <c r="B1462" s="2" t="s">
        <v>74</v>
      </c>
      <c r="C1462" s="2">
        <v>2022</v>
      </c>
      <c r="D1462" s="2" t="s">
        <v>1</v>
      </c>
      <c r="E1462" s="2" t="s">
        <v>20</v>
      </c>
      <c r="F1462" s="2" t="s">
        <v>35</v>
      </c>
      <c r="G1462" s="7"/>
      <c r="H1462" s="13" t="str">
        <f>IFERROR(IF(ABS($G1462)&gt;0,VLOOKUP($E1462,'Fuel Category and Heat Rate'!$B$1:$G$34,6,FALSE)*($G1462),""),"")</f>
        <v/>
      </c>
      <c r="I1462" t="str">
        <f>IFERROR(VLOOKUP($E1462,'Fuel Category and Heat Rate'!$K$2:$M$36,3,FALSE),"")</f>
        <v>LPG propane or butane</v>
      </c>
    </row>
    <row r="1463" spans="1:9" x14ac:dyDescent="0.15">
      <c r="A1463" s="2">
        <v>166437</v>
      </c>
      <c r="B1463" s="2" t="s">
        <v>74</v>
      </c>
      <c r="C1463" s="2">
        <v>2022</v>
      </c>
      <c r="D1463" s="2" t="s">
        <v>1</v>
      </c>
      <c r="E1463" s="2" t="s">
        <v>25</v>
      </c>
      <c r="F1463" s="2" t="s">
        <v>35</v>
      </c>
      <c r="G1463" s="7">
        <v>-11.35</v>
      </c>
      <c r="H1463" s="13">
        <f>IFERROR(IF(ABS($G1463)&gt;0,VLOOKUP($E1463,'Fuel Category and Heat Rate'!$B$1:$G$34,6,FALSE)*($G1463),""),"")</f>
        <v>-3436770195625.1885</v>
      </c>
      <c r="I1463" t="str">
        <f>IFERROR(VLOOKUP($E1463,'Fuel Category and Heat Rate'!$K$2:$M$36,3,FALSE),"")</f>
        <v>heavy fuel oil</v>
      </c>
    </row>
    <row r="1464" spans="1:9" x14ac:dyDescent="0.15">
      <c r="A1464" s="2">
        <v>166472</v>
      </c>
      <c r="B1464" s="2" t="s">
        <v>74</v>
      </c>
      <c r="C1464" s="2">
        <v>2022</v>
      </c>
      <c r="D1464" s="2" t="s">
        <v>1</v>
      </c>
      <c r="E1464" s="2" t="s">
        <v>24</v>
      </c>
      <c r="F1464" s="2" t="s">
        <v>35</v>
      </c>
      <c r="G1464" s="7"/>
      <c r="H1464" s="13" t="str">
        <f>IFERROR(IF(ABS($G1464)&gt;0,VLOOKUP($E1464,'Fuel Category and Heat Rate'!$B$1:$G$34,6,FALSE)*($G1464),""),"")</f>
        <v/>
      </c>
      <c r="I1464" t="str">
        <f>IFERROR(VLOOKUP($E1464,'Fuel Category and Heat Rate'!$K$2:$M$36,3,FALSE),"")</f>
        <v>heavy fuel oil</v>
      </c>
    </row>
    <row r="1465" spans="1:9" x14ac:dyDescent="0.15">
      <c r="A1465" s="2">
        <v>166507</v>
      </c>
      <c r="B1465" s="2" t="s">
        <v>74</v>
      </c>
      <c r="C1465" s="2">
        <v>2022</v>
      </c>
      <c r="D1465" s="2" t="s">
        <v>1</v>
      </c>
      <c r="E1465" s="2" t="s">
        <v>29</v>
      </c>
      <c r="F1465" s="2" t="s">
        <v>36</v>
      </c>
      <c r="G1465" s="7">
        <v>-6.43</v>
      </c>
      <c r="H1465" s="13">
        <f>IFERROR(IF(ABS($G1465)&gt;0,VLOOKUP($E1465,'Fuel Category and Heat Rate'!$B$1:$G$34,6,FALSE)*($G1465),""),"")</f>
        <v>-21686845772193.008</v>
      </c>
      <c r="I1465" t="str">
        <f>IFERROR(VLOOKUP($E1465,'Fuel Category and Heat Rate'!$K$2:$M$36,3,FALSE),"")</f>
        <v>natural gas</v>
      </c>
    </row>
    <row r="1466" spans="1:9" x14ac:dyDescent="0.15">
      <c r="A1466" s="2">
        <v>166542</v>
      </c>
      <c r="B1466" s="2" t="s">
        <v>74</v>
      </c>
      <c r="C1466" s="2">
        <v>2022</v>
      </c>
      <c r="D1466" s="2" t="s">
        <v>1</v>
      </c>
      <c r="E1466" s="2" t="s">
        <v>4</v>
      </c>
      <c r="F1466" s="2" t="s">
        <v>35</v>
      </c>
      <c r="G1466" s="7"/>
      <c r="H1466" s="13" t="str">
        <f>IFERROR(IF(ABS($G1466)&gt;0,VLOOKUP($E1466,'Fuel Category and Heat Rate'!$B$1:$G$34,6,FALSE)*($G1466),""),"")</f>
        <v/>
      </c>
      <c r="I1466" t="str">
        <f>IFERROR(VLOOKUP($E1466,'Fuel Category and Heat Rate'!$K$2:$M$36,3,FALSE),"")</f>
        <v>coal</v>
      </c>
    </row>
    <row r="1467" spans="1:9" x14ac:dyDescent="0.15">
      <c r="A1467" s="2">
        <v>166577</v>
      </c>
      <c r="B1467" s="2" t="s">
        <v>74</v>
      </c>
      <c r="C1467" s="2">
        <v>2022</v>
      </c>
      <c r="D1467" s="2" t="s">
        <v>1</v>
      </c>
      <c r="E1467" s="2" t="s">
        <v>6</v>
      </c>
      <c r="F1467" s="2" t="s">
        <v>35</v>
      </c>
      <c r="G1467" s="7"/>
      <c r="H1467" s="13" t="str">
        <f>IFERROR(IF(ABS($G1467)&gt;0,VLOOKUP($E1467,'Fuel Category and Heat Rate'!$B$1:$G$34,6,FALSE)*($G1467),""),"")</f>
        <v/>
      </c>
      <c r="I1467" t="str">
        <f>IFERROR(VLOOKUP($E1467,'Fuel Category and Heat Rate'!$K$2:$M$36,3,FALSE),"")</f>
        <v>coal</v>
      </c>
    </row>
    <row r="1468" spans="1:9" x14ac:dyDescent="0.15">
      <c r="A1468" s="2">
        <v>166612</v>
      </c>
      <c r="B1468" s="2" t="s">
        <v>74</v>
      </c>
      <c r="C1468" s="2">
        <v>2022</v>
      </c>
      <c r="D1468" s="2" t="s">
        <v>1</v>
      </c>
      <c r="E1468" s="2" t="s">
        <v>26</v>
      </c>
      <c r="F1468" s="2" t="s">
        <v>35</v>
      </c>
      <c r="G1468" s="7"/>
      <c r="H1468" s="13" t="str">
        <f>IFERROR(IF(ABS($G1468)&gt;0,VLOOKUP($E1468,'Fuel Category and Heat Rate'!$B$1:$G$34,6,FALSE)*($G1468),""),"")</f>
        <v/>
      </c>
      <c r="I1468" t="str">
        <f>IFERROR(VLOOKUP($E1468,'Fuel Category and Heat Rate'!$K$2:$M$36,3,FALSE),"")</f>
        <v>LPG propane or butane</v>
      </c>
    </row>
    <row r="1469" spans="1:9" x14ac:dyDescent="0.15">
      <c r="A1469" s="2">
        <v>166647</v>
      </c>
      <c r="B1469" s="2" t="s">
        <v>74</v>
      </c>
      <c r="C1469" s="2">
        <v>2022</v>
      </c>
      <c r="D1469" s="2" t="s">
        <v>1</v>
      </c>
      <c r="E1469" s="2" t="s">
        <v>30</v>
      </c>
      <c r="F1469" s="2" t="s">
        <v>35</v>
      </c>
      <c r="G1469" s="7"/>
      <c r="H1469" s="13" t="str">
        <f>IFERROR(IF(ABS($G1469)&gt;0,VLOOKUP($E1469,'Fuel Category and Heat Rate'!$B$1:$G$34,6,FALSE)*($G1469),""),"")</f>
        <v/>
      </c>
      <c r="I1469" t="str">
        <f>IFERROR(VLOOKUP($E1469,'Fuel Category and Heat Rate'!$K$2:$M$36,3,FALSE),"")</f>
        <v>natural gas</v>
      </c>
    </row>
    <row r="1470" spans="1:9" x14ac:dyDescent="0.15">
      <c r="A1470" s="2">
        <v>166682</v>
      </c>
      <c r="B1470" s="2" t="s">
        <v>74</v>
      </c>
      <c r="C1470" s="2">
        <v>2022</v>
      </c>
      <c r="D1470" s="2" t="s">
        <v>1</v>
      </c>
      <c r="E1470" s="2" t="s">
        <v>14</v>
      </c>
      <c r="F1470" s="2" t="s">
        <v>35</v>
      </c>
      <c r="G1470" s="7">
        <v>-13.14</v>
      </c>
      <c r="H1470" s="13">
        <f>IFERROR(IF(ABS($G1470)&gt;0,VLOOKUP($E1470,'Fuel Category and Heat Rate'!$B$1:$G$34,6,FALSE)*($G1470),""),"")</f>
        <v>0</v>
      </c>
      <c r="I1470" t="str">
        <f>IFERROR(VLOOKUP($E1470,'Fuel Category and Heat Rate'!$K$2:$M$36,3,FALSE),"")</f>
        <v/>
      </c>
    </row>
    <row r="1471" spans="1:9" x14ac:dyDescent="0.15">
      <c r="A1471" s="2">
        <v>166717</v>
      </c>
      <c r="B1471" s="2" t="s">
        <v>74</v>
      </c>
      <c r="C1471" s="2">
        <v>2022</v>
      </c>
      <c r="D1471" s="2" t="s">
        <v>1</v>
      </c>
      <c r="E1471" s="2" t="s">
        <v>3</v>
      </c>
      <c r="F1471" s="2" t="s">
        <v>35</v>
      </c>
      <c r="G1471" s="7">
        <v>-2670.21</v>
      </c>
      <c r="H1471" s="13">
        <f>IFERROR(IF(ABS($G1471)&gt;0,VLOOKUP($E1471,'Fuel Category and Heat Rate'!$B$1:$G$34,6,FALSE)*($G1471),""),"")</f>
        <v>-529154458316116.63</v>
      </c>
      <c r="I1471" t="str">
        <f>IFERROR(VLOOKUP($E1471,'Fuel Category and Heat Rate'!$K$2:$M$36,3,FALSE),"")</f>
        <v>coal</v>
      </c>
    </row>
    <row r="1472" spans="1:9" x14ac:dyDescent="0.15">
      <c r="A1472" s="2">
        <v>166752</v>
      </c>
      <c r="B1472" s="2" t="s">
        <v>74</v>
      </c>
      <c r="C1472" s="2">
        <v>2022</v>
      </c>
      <c r="D1472" s="2" t="s">
        <v>1</v>
      </c>
      <c r="E1472" s="2" t="s">
        <v>15</v>
      </c>
      <c r="F1472" s="2" t="s">
        <v>35</v>
      </c>
      <c r="G1472" s="7"/>
      <c r="H1472" s="13" t="str">
        <f>IFERROR(IF(ABS($G1472)&gt;0,VLOOKUP($E1472,'Fuel Category and Heat Rate'!$B$1:$G$34,6,FALSE)*($G1472),""),"")</f>
        <v/>
      </c>
      <c r="I1472" t="str">
        <f>IFERROR(VLOOKUP($E1472,'Fuel Category and Heat Rate'!$K$2:$M$36,3,FALSE),"")</f>
        <v>crude oil</v>
      </c>
    </row>
    <row r="1473" spans="1:9" x14ac:dyDescent="0.15">
      <c r="A1473" s="2">
        <v>166787</v>
      </c>
      <c r="B1473" s="2" t="s">
        <v>74</v>
      </c>
      <c r="C1473" s="2">
        <v>2022</v>
      </c>
      <c r="D1473" s="2" t="s">
        <v>1</v>
      </c>
      <c r="E1473" s="2" t="s">
        <v>11</v>
      </c>
      <c r="F1473" s="2" t="s">
        <v>36</v>
      </c>
      <c r="G1473" s="7"/>
      <c r="H1473" s="13" t="str">
        <f>IFERROR(IF(ABS($G1473)&gt;0,VLOOKUP($E1473,'Fuel Category and Heat Rate'!$B$1:$G$34,6,FALSE)*($G1473),""),"")</f>
        <v/>
      </c>
      <c r="I1473" t="str">
        <f>IFERROR(VLOOKUP($E1473,'Fuel Category and Heat Rate'!$K$2:$M$36,3,FALSE),"")</f>
        <v>LPG propane or butane</v>
      </c>
    </row>
    <row r="1474" spans="1:9" x14ac:dyDescent="0.15">
      <c r="A1474" s="2">
        <v>166822</v>
      </c>
      <c r="B1474" s="2" t="s">
        <v>74</v>
      </c>
      <c r="C1474" s="2">
        <v>2021</v>
      </c>
      <c r="D1474" s="2" t="s">
        <v>1</v>
      </c>
      <c r="E1474" s="2" t="s">
        <v>18</v>
      </c>
      <c r="F1474" s="2" t="s">
        <v>35</v>
      </c>
      <c r="G1474" s="7">
        <v>-0.23</v>
      </c>
      <c r="H1474" s="13">
        <f>IFERROR(IF(ABS($G1474)&gt;0,VLOOKUP($E1474,'Fuel Category and Heat Rate'!$B$1:$G$34,6,FALSE)*($G1474),""),"")</f>
        <v>-92980480606.784943</v>
      </c>
      <c r="I1474" t="str">
        <f>IFERROR(VLOOKUP($E1474,'Fuel Category and Heat Rate'!$K$2:$M$36,3,FALSE),"")</f>
        <v>petroleum diesel</v>
      </c>
    </row>
    <row r="1475" spans="1:9" x14ac:dyDescent="0.15">
      <c r="A1475" s="2">
        <v>166857</v>
      </c>
      <c r="B1475" s="2" t="s">
        <v>74</v>
      </c>
      <c r="C1475" s="2">
        <v>2021</v>
      </c>
      <c r="D1475" s="2" t="s">
        <v>1</v>
      </c>
      <c r="E1475" s="2" t="s">
        <v>32</v>
      </c>
      <c r="F1475" s="2" t="s">
        <v>65</v>
      </c>
      <c r="G1475" s="7">
        <v>-0.01</v>
      </c>
      <c r="H1475" s="13">
        <f>IFERROR(IF(ABS($G1475)&gt;0,VLOOKUP($E1475,'Fuel Category and Heat Rate'!$B$1:$G$34,6,FALSE)*($G1475),""),"")</f>
        <v>-3412141641.6012483</v>
      </c>
      <c r="I1475" t="str">
        <f>IFERROR(VLOOKUP($E1475,'Fuel Category and Heat Rate'!$K$2:$M$36,3,FALSE),"")</f>
        <v>electricity</v>
      </c>
    </row>
    <row r="1476" spans="1:9" x14ac:dyDescent="0.15">
      <c r="A1476" s="2">
        <v>166892</v>
      </c>
      <c r="B1476" s="2" t="s">
        <v>74</v>
      </c>
      <c r="C1476" s="2">
        <v>2021</v>
      </c>
      <c r="D1476" s="2" t="s">
        <v>1</v>
      </c>
      <c r="E1476" s="2" t="s">
        <v>10</v>
      </c>
      <c r="F1476" s="2" t="s">
        <v>36</v>
      </c>
      <c r="G1476" s="7"/>
      <c r="H1476" s="13" t="str">
        <f>IFERROR(IF(ABS($G1476)&gt;0,VLOOKUP($E1476,'Fuel Category and Heat Rate'!$B$1:$G$34,6,FALSE)*($G1476),""),"")</f>
        <v/>
      </c>
      <c r="I1476" t="str">
        <f>IFERROR(VLOOKUP($E1476,'Fuel Category and Heat Rate'!$K$2:$M$36,3,FALSE),"")</f>
        <v>LPG propane or butane</v>
      </c>
    </row>
    <row r="1477" spans="1:9" x14ac:dyDescent="0.15">
      <c r="A1477" s="2">
        <v>166927</v>
      </c>
      <c r="B1477" s="2" t="s">
        <v>74</v>
      </c>
      <c r="C1477" s="2">
        <v>2021</v>
      </c>
      <c r="D1477" s="2" t="s">
        <v>1</v>
      </c>
      <c r="E1477" s="2" t="s">
        <v>9</v>
      </c>
      <c r="F1477" s="2" t="s">
        <v>36</v>
      </c>
      <c r="G1477" s="7"/>
      <c r="H1477" s="13" t="str">
        <f>IFERROR(IF(ABS($G1477)&gt;0,VLOOKUP($E1477,'Fuel Category and Heat Rate'!$B$1:$G$34,6,FALSE)*($G1477),""),"")</f>
        <v/>
      </c>
      <c r="I1477" t="str">
        <f>IFERROR(VLOOKUP($E1477,'Fuel Category and Heat Rate'!$K$2:$M$36,3,FALSE),"")</f>
        <v>LPG propane or butane</v>
      </c>
    </row>
    <row r="1478" spans="1:9" x14ac:dyDescent="0.15">
      <c r="A1478" s="2">
        <v>166962</v>
      </c>
      <c r="B1478" s="2" t="s">
        <v>74</v>
      </c>
      <c r="C1478" s="2">
        <v>2021</v>
      </c>
      <c r="D1478" s="2" t="s">
        <v>1</v>
      </c>
      <c r="E1478" s="2" t="s">
        <v>8</v>
      </c>
      <c r="F1478" s="2" t="s">
        <v>35</v>
      </c>
      <c r="G1478" s="7"/>
      <c r="H1478" s="13" t="str">
        <f>IFERROR(IF(ABS($G1478)&gt;0,VLOOKUP($E1478,'Fuel Category and Heat Rate'!$B$1:$G$34,6,FALSE)*($G1478),""),"")</f>
        <v/>
      </c>
      <c r="I1478" t="str">
        <f>IFERROR(VLOOKUP($E1478,'Fuel Category and Heat Rate'!$K$2:$M$36,3,FALSE),"")</f>
        <v>coal</v>
      </c>
    </row>
    <row r="1479" spans="1:9" x14ac:dyDescent="0.15">
      <c r="A1479" s="2">
        <v>166997</v>
      </c>
      <c r="B1479" s="2" t="s">
        <v>74</v>
      </c>
      <c r="C1479" s="2">
        <v>2021</v>
      </c>
      <c r="D1479" s="2" t="s">
        <v>1</v>
      </c>
      <c r="E1479" s="2" t="s">
        <v>27</v>
      </c>
      <c r="F1479" s="2" t="s">
        <v>35</v>
      </c>
      <c r="G1479" s="7">
        <v>-1.4</v>
      </c>
      <c r="H1479" s="13">
        <f>IFERROR(IF(ABS($G1479)&gt;0,VLOOKUP($E1479,'Fuel Category and Heat Rate'!$B$1:$G$34,6,FALSE)*($G1479),""),"")</f>
        <v>-610367688118.12183</v>
      </c>
      <c r="I1479" t="str">
        <f>IFERROR(VLOOKUP($E1479,'Fuel Category and Heat Rate'!$K$2:$M$36,3,FALSE),"")</f>
        <v>LPG propane or butane</v>
      </c>
    </row>
    <row r="1480" spans="1:9" x14ac:dyDescent="0.15">
      <c r="A1480" s="2">
        <v>167032</v>
      </c>
      <c r="B1480" s="2" t="s">
        <v>74</v>
      </c>
      <c r="C1480" s="2">
        <v>2021</v>
      </c>
      <c r="D1480" s="2" t="s">
        <v>1</v>
      </c>
      <c r="E1480" s="2" t="s">
        <v>7</v>
      </c>
      <c r="F1480" s="2" t="s">
        <v>35</v>
      </c>
      <c r="G1480" s="7">
        <v>-46.53</v>
      </c>
      <c r="H1480" s="13">
        <f>IFERROR(IF(ABS($G1480)&gt;0,VLOOKUP($E1480,'Fuel Category and Heat Rate'!$B$1:$G$34,6,FALSE)*($G1480),""),"")</f>
        <v>-3693095678299.874</v>
      </c>
      <c r="I1480" t="str">
        <f>IFERROR(VLOOKUP($E1480,'Fuel Category and Heat Rate'!$K$2:$M$36,3,FALSE),"")</f>
        <v>coal</v>
      </c>
    </row>
    <row r="1481" spans="1:9" x14ac:dyDescent="0.15">
      <c r="A1481" s="2">
        <v>167067</v>
      </c>
      <c r="B1481" s="2" t="s">
        <v>74</v>
      </c>
      <c r="C1481" s="2">
        <v>2021</v>
      </c>
      <c r="D1481" s="2" t="s">
        <v>1</v>
      </c>
      <c r="E1481" s="2" t="s">
        <v>2</v>
      </c>
      <c r="F1481" s="2" t="s">
        <v>35</v>
      </c>
      <c r="G1481" s="7">
        <v>-2337.6999999999998</v>
      </c>
      <c r="H1481" s="13">
        <f>IFERROR(IF(ABS($G1481)&gt;0,VLOOKUP($E1481,'Fuel Category and Heat Rate'!$B$1:$G$34,6,FALSE)*($G1481),""),"")</f>
        <v>0</v>
      </c>
      <c r="I1481" t="str">
        <f>IFERROR(VLOOKUP($E1481,'Fuel Category and Heat Rate'!$K$2:$M$36,3,FALSE),"")</f>
        <v/>
      </c>
    </row>
    <row r="1482" spans="1:9" x14ac:dyDescent="0.15">
      <c r="A1482" s="2">
        <v>167102</v>
      </c>
      <c r="B1482" s="2" t="s">
        <v>74</v>
      </c>
      <c r="C1482" s="2">
        <v>2021</v>
      </c>
      <c r="D1482" s="2" t="s">
        <v>1</v>
      </c>
      <c r="E1482" s="2" t="s">
        <v>17</v>
      </c>
      <c r="F1482" s="2" t="s">
        <v>35</v>
      </c>
      <c r="G1482" s="7"/>
      <c r="H1482" s="13" t="str">
        <f>IFERROR(IF(ABS($G1482)&gt;0,VLOOKUP($E1482,'Fuel Category and Heat Rate'!$B$1:$G$34,6,FALSE)*($G1482),""),"")</f>
        <v/>
      </c>
      <c r="I1482" t="str">
        <f>IFERROR(VLOOKUP($E1482,'Fuel Category and Heat Rate'!$K$2:$M$36,3,FALSE),"")</f>
        <v>petroleum diesel</v>
      </c>
    </row>
    <row r="1483" spans="1:9" x14ac:dyDescent="0.15">
      <c r="A1483" s="2">
        <v>167137</v>
      </c>
      <c r="B1483" s="2" t="s">
        <v>74</v>
      </c>
      <c r="C1483" s="2">
        <v>2021</v>
      </c>
      <c r="D1483" s="2" t="s">
        <v>1</v>
      </c>
      <c r="E1483" s="2" t="s">
        <v>13</v>
      </c>
      <c r="F1483" s="2" t="s">
        <v>35</v>
      </c>
      <c r="G1483" s="7"/>
      <c r="H1483" s="13" t="str">
        <f>IFERROR(IF(ABS($G1483)&gt;0,VLOOKUP($E1483,'Fuel Category and Heat Rate'!$B$1:$G$34,6,FALSE)*($G1483),""),"")</f>
        <v/>
      </c>
      <c r="I1483" t="str">
        <f>IFERROR(VLOOKUP($E1483,'Fuel Category and Heat Rate'!$K$2:$M$36,3,FALSE),"")</f>
        <v>petroleum diesel</v>
      </c>
    </row>
    <row r="1484" spans="1:9" x14ac:dyDescent="0.15">
      <c r="A1484" s="2">
        <v>167172</v>
      </c>
      <c r="B1484" s="2" t="s">
        <v>74</v>
      </c>
      <c r="C1484" s="2">
        <v>2021</v>
      </c>
      <c r="D1484" s="2" t="s">
        <v>1</v>
      </c>
      <c r="E1484" s="2" t="s">
        <v>12</v>
      </c>
      <c r="F1484" s="2" t="s">
        <v>36</v>
      </c>
      <c r="G1484" s="7">
        <v>-2.68</v>
      </c>
      <c r="H1484" s="13">
        <f>IFERROR(IF(ABS($G1484)&gt;0,VLOOKUP($E1484,'Fuel Category and Heat Rate'!$B$1:$G$34,6,FALSE)*($G1484),""),"")</f>
        <v>-1327736346848.3684</v>
      </c>
      <c r="I1484" t="str">
        <f>IFERROR(VLOOKUP($E1484,'Fuel Category and Heat Rate'!$K$2:$M$36,3,FALSE),"")</f>
        <v>LPG propane or butane</v>
      </c>
    </row>
    <row r="1485" spans="1:9" x14ac:dyDescent="0.15">
      <c r="A1485" s="2">
        <v>167207</v>
      </c>
      <c r="B1485" s="2" t="s">
        <v>74</v>
      </c>
      <c r="C1485" s="2">
        <v>2021</v>
      </c>
      <c r="D1485" s="2" t="s">
        <v>1</v>
      </c>
      <c r="E1485" s="2" t="s">
        <v>33</v>
      </c>
      <c r="F1485" s="2" t="s">
        <v>38</v>
      </c>
      <c r="G1485" s="7">
        <v>-50.88</v>
      </c>
      <c r="H1485" s="13">
        <f>IFERROR(IF(ABS($G1485)&gt;0,VLOOKUP($E1485,'Fuel Category and Heat Rate'!$B$1:$G$34,6,FALSE)*($G1485),""),"")</f>
        <v>-14115920782771.832</v>
      </c>
      <c r="I1485" t="str">
        <f>IFERROR(VLOOKUP($E1485,'Fuel Category and Heat Rate'!$K$2:$M$36,3,FALSE),"")</f>
        <v>biomass</v>
      </c>
    </row>
    <row r="1486" spans="1:9" x14ac:dyDescent="0.15">
      <c r="A1486" s="2">
        <v>167242</v>
      </c>
      <c r="B1486" s="2" t="s">
        <v>74</v>
      </c>
      <c r="C1486" s="2">
        <v>2021</v>
      </c>
      <c r="D1486" s="2" t="s">
        <v>1</v>
      </c>
      <c r="E1486" s="2" t="s">
        <v>28</v>
      </c>
      <c r="F1486" s="2" t="s">
        <v>35</v>
      </c>
      <c r="G1486" s="7"/>
      <c r="H1486" s="13" t="str">
        <f>IFERROR(IF(ABS($G1486)&gt;0,VLOOKUP($E1486,'Fuel Category and Heat Rate'!$B$1:$G$34,6,FALSE)*($G1486),""),"")</f>
        <v/>
      </c>
      <c r="I1486" t="str">
        <f>IFERROR(VLOOKUP($E1486,'Fuel Category and Heat Rate'!$K$2:$M$36,3,FALSE),"")</f>
        <v>heavy or residual fuel oil</v>
      </c>
    </row>
    <row r="1487" spans="1:9" x14ac:dyDescent="0.15">
      <c r="A1487" s="2">
        <v>167277</v>
      </c>
      <c r="B1487" s="2" t="s">
        <v>74</v>
      </c>
      <c r="C1487" s="2">
        <v>2021</v>
      </c>
      <c r="D1487" s="2" t="s">
        <v>1</v>
      </c>
      <c r="E1487" s="2" t="s">
        <v>5</v>
      </c>
      <c r="F1487" s="2" t="s">
        <v>35</v>
      </c>
      <c r="G1487" s="7">
        <v>-47.7</v>
      </c>
      <c r="H1487" s="13">
        <f>IFERROR(IF(ABS($G1487)&gt;0,VLOOKUP($E1487,'Fuel Category and Heat Rate'!$B$1:$G$34,6,FALSE)*($G1487),""),"")</f>
        <v>-3780985622704.2388</v>
      </c>
      <c r="I1487" t="str">
        <f>IFERROR(VLOOKUP($E1487,'Fuel Category and Heat Rate'!$K$2:$M$36,3,FALSE),"")</f>
        <v>coal</v>
      </c>
    </row>
    <row r="1488" spans="1:9" x14ac:dyDescent="0.15">
      <c r="A1488" s="2">
        <v>167312</v>
      </c>
      <c r="B1488" s="2" t="s">
        <v>74</v>
      </c>
      <c r="C1488" s="2">
        <v>2021</v>
      </c>
      <c r="D1488" s="2" t="s">
        <v>1</v>
      </c>
      <c r="E1488" s="2" t="s">
        <v>16</v>
      </c>
      <c r="F1488" s="2" t="s">
        <v>35</v>
      </c>
      <c r="G1488" s="7"/>
      <c r="H1488" s="13" t="str">
        <f>IFERROR(IF(ABS($G1488)&gt;0,VLOOKUP($E1488,'Fuel Category and Heat Rate'!$B$1:$G$34,6,FALSE)*($G1488),""),"")</f>
        <v/>
      </c>
      <c r="I1488" t="str">
        <f>IFERROR(VLOOKUP($E1488,'Fuel Category and Heat Rate'!$K$2:$M$36,3,FALSE),"")</f>
        <v>petroleum diesel</v>
      </c>
    </row>
    <row r="1489" spans="1:9" x14ac:dyDescent="0.15">
      <c r="A1489" s="2">
        <v>167347</v>
      </c>
      <c r="B1489" s="2" t="s">
        <v>74</v>
      </c>
      <c r="C1489" s="2">
        <v>2021</v>
      </c>
      <c r="D1489" s="2" t="s">
        <v>1</v>
      </c>
      <c r="E1489" s="2" t="s">
        <v>19</v>
      </c>
      <c r="F1489" s="2" t="s">
        <v>35</v>
      </c>
      <c r="G1489" s="7"/>
      <c r="H1489" s="13" t="str">
        <f>IFERROR(IF(ABS($G1489)&gt;0,VLOOKUP($E1489,'Fuel Category and Heat Rate'!$B$1:$G$34,6,FALSE)*($G1489),""),"")</f>
        <v/>
      </c>
      <c r="I1489" t="str">
        <f>IFERROR(VLOOKUP($E1489,'Fuel Category and Heat Rate'!$K$2:$M$36,3,FALSE),"")</f>
        <v>heavy or residual fuel oil</v>
      </c>
    </row>
    <row r="1490" spans="1:9" x14ac:dyDescent="0.15">
      <c r="A1490" s="2">
        <v>167382</v>
      </c>
      <c r="B1490" s="2" t="s">
        <v>74</v>
      </c>
      <c r="C1490" s="2">
        <v>2021</v>
      </c>
      <c r="D1490" s="2" t="s">
        <v>1</v>
      </c>
      <c r="E1490" s="2" t="s">
        <v>31</v>
      </c>
      <c r="F1490" s="2" t="s">
        <v>37</v>
      </c>
      <c r="G1490" s="7">
        <v>40048.79</v>
      </c>
      <c r="H1490" s="13">
        <f>IFERROR(IF(ABS($G1490)&gt;0,VLOOKUP($E1490,'Fuel Category and Heat Rate'!$B$1:$G$34,6,FALSE)*($G1490),""),"")</f>
        <v>379589289040954.56</v>
      </c>
      <c r="I1490" t="str">
        <f>IFERROR(VLOOKUP($E1490,'Fuel Category and Heat Rate'!$K$2:$M$36,3,FALSE),"")</f>
        <v>heat</v>
      </c>
    </row>
    <row r="1491" spans="1:9" x14ac:dyDescent="0.15">
      <c r="A1491" s="2">
        <v>167417</v>
      </c>
      <c r="B1491" s="2" t="s">
        <v>74</v>
      </c>
      <c r="C1491" s="2">
        <v>2021</v>
      </c>
      <c r="D1491" s="2" t="s">
        <v>1</v>
      </c>
      <c r="E1491" s="2" t="s">
        <v>23</v>
      </c>
      <c r="F1491" s="2" t="s">
        <v>35</v>
      </c>
      <c r="G1491" s="7"/>
      <c r="H1491" s="13" t="str">
        <f>IFERROR(IF(ABS($G1491)&gt;0,VLOOKUP($E1491,'Fuel Category and Heat Rate'!$B$1:$G$34,6,FALSE)*($G1491),""),"")</f>
        <v/>
      </c>
      <c r="I1491" t="str">
        <f>IFERROR(VLOOKUP($E1491,'Fuel Category and Heat Rate'!$K$2:$M$36,3,FALSE),"")</f>
        <v>heavy or residual fuel oil</v>
      </c>
    </row>
    <row r="1492" spans="1:9" x14ac:dyDescent="0.15">
      <c r="A1492" s="2">
        <v>167452</v>
      </c>
      <c r="B1492" s="2" t="s">
        <v>74</v>
      </c>
      <c r="C1492" s="2">
        <v>2021</v>
      </c>
      <c r="D1492" s="2" t="s">
        <v>1</v>
      </c>
      <c r="E1492" s="2" t="s">
        <v>21</v>
      </c>
      <c r="F1492" s="2" t="s">
        <v>35</v>
      </c>
      <c r="G1492" s="7"/>
      <c r="H1492" s="13" t="str">
        <f>IFERROR(IF(ABS($G1492)&gt;0,VLOOKUP($E1492,'Fuel Category and Heat Rate'!$B$1:$G$34,6,FALSE)*($G1492),""),"")</f>
        <v/>
      </c>
      <c r="I1492" t="str">
        <f>IFERROR(VLOOKUP($E1492,'Fuel Category and Heat Rate'!$K$2:$M$36,3,FALSE),"")</f>
        <v>LPG propane or butane</v>
      </c>
    </row>
    <row r="1493" spans="1:9" x14ac:dyDescent="0.15">
      <c r="A1493" s="2">
        <v>167487</v>
      </c>
      <c r="B1493" s="2" t="s">
        <v>74</v>
      </c>
      <c r="C1493" s="2">
        <v>2021</v>
      </c>
      <c r="D1493" s="2" t="s">
        <v>1</v>
      </c>
      <c r="E1493" s="2" t="s">
        <v>22</v>
      </c>
      <c r="F1493" s="2" t="s">
        <v>35</v>
      </c>
      <c r="G1493" s="7"/>
      <c r="H1493" s="13" t="str">
        <f>IFERROR(IF(ABS($G1493)&gt;0,VLOOKUP($E1493,'Fuel Category and Heat Rate'!$B$1:$G$34,6,FALSE)*($G1493),""),"")</f>
        <v/>
      </c>
      <c r="I1493" t="str">
        <f>IFERROR(VLOOKUP($E1493,'Fuel Category and Heat Rate'!$K$2:$M$36,3,FALSE),"")</f>
        <v>heavy fuel oil</v>
      </c>
    </row>
    <row r="1494" spans="1:9" x14ac:dyDescent="0.15">
      <c r="A1494" s="2">
        <v>167522</v>
      </c>
      <c r="B1494" s="2" t="s">
        <v>74</v>
      </c>
      <c r="C1494" s="2">
        <v>2021</v>
      </c>
      <c r="D1494" s="2" t="s">
        <v>1</v>
      </c>
      <c r="E1494" s="2" t="s">
        <v>20</v>
      </c>
      <c r="F1494" s="2" t="s">
        <v>35</v>
      </c>
      <c r="G1494" s="7"/>
      <c r="H1494" s="13" t="str">
        <f>IFERROR(IF(ABS($G1494)&gt;0,VLOOKUP($E1494,'Fuel Category and Heat Rate'!$B$1:$G$34,6,FALSE)*($G1494),""),"")</f>
        <v/>
      </c>
      <c r="I1494" t="str">
        <f>IFERROR(VLOOKUP($E1494,'Fuel Category and Heat Rate'!$K$2:$M$36,3,FALSE),"")</f>
        <v>LPG propane or butane</v>
      </c>
    </row>
    <row r="1495" spans="1:9" x14ac:dyDescent="0.15">
      <c r="A1495" s="2">
        <v>167557</v>
      </c>
      <c r="B1495" s="2" t="s">
        <v>74</v>
      </c>
      <c r="C1495" s="2">
        <v>2021</v>
      </c>
      <c r="D1495" s="2" t="s">
        <v>1</v>
      </c>
      <c r="E1495" s="2" t="s">
        <v>25</v>
      </c>
      <c r="F1495" s="2" t="s">
        <v>35</v>
      </c>
      <c r="G1495" s="7">
        <v>-12.85</v>
      </c>
      <c r="H1495" s="13">
        <f>IFERROR(IF(ABS($G1495)&gt;0,VLOOKUP($E1495,'Fuel Category and Heat Rate'!$B$1:$G$34,6,FALSE)*($G1495),""),"")</f>
        <v>-3890968899892.8345</v>
      </c>
      <c r="I1495" t="str">
        <f>IFERROR(VLOOKUP($E1495,'Fuel Category and Heat Rate'!$K$2:$M$36,3,FALSE),"")</f>
        <v>heavy fuel oil</v>
      </c>
    </row>
    <row r="1496" spans="1:9" x14ac:dyDescent="0.15">
      <c r="A1496" s="2">
        <v>167592</v>
      </c>
      <c r="B1496" s="2" t="s">
        <v>74</v>
      </c>
      <c r="C1496" s="2">
        <v>2021</v>
      </c>
      <c r="D1496" s="2" t="s">
        <v>1</v>
      </c>
      <c r="E1496" s="2" t="s">
        <v>24</v>
      </c>
      <c r="F1496" s="2" t="s">
        <v>35</v>
      </c>
      <c r="G1496" s="7"/>
      <c r="H1496" s="13" t="str">
        <f>IFERROR(IF(ABS($G1496)&gt;0,VLOOKUP($E1496,'Fuel Category and Heat Rate'!$B$1:$G$34,6,FALSE)*($G1496),""),"")</f>
        <v/>
      </c>
      <c r="I1496" t="str">
        <f>IFERROR(VLOOKUP($E1496,'Fuel Category and Heat Rate'!$K$2:$M$36,3,FALSE),"")</f>
        <v>heavy fuel oil</v>
      </c>
    </row>
    <row r="1497" spans="1:9" x14ac:dyDescent="0.15">
      <c r="A1497" s="2">
        <v>167627</v>
      </c>
      <c r="B1497" s="2" t="s">
        <v>74</v>
      </c>
      <c r="C1497" s="2">
        <v>2021</v>
      </c>
      <c r="D1497" s="2" t="s">
        <v>1</v>
      </c>
      <c r="E1497" s="2" t="s">
        <v>29</v>
      </c>
      <c r="F1497" s="2" t="s">
        <v>36</v>
      </c>
      <c r="G1497" s="7">
        <v>-5.24</v>
      </c>
      <c r="H1497" s="13">
        <f>IFERROR(IF(ABS($G1497)&gt;0,VLOOKUP($E1497,'Fuel Category and Heat Rate'!$B$1:$G$34,6,FALSE)*($G1497),""),"")</f>
        <v>-17673261562409.234</v>
      </c>
      <c r="I1497" t="str">
        <f>IFERROR(VLOOKUP($E1497,'Fuel Category and Heat Rate'!$K$2:$M$36,3,FALSE),"")</f>
        <v>natural gas</v>
      </c>
    </row>
    <row r="1498" spans="1:9" x14ac:dyDescent="0.15">
      <c r="A1498" s="2">
        <v>167662</v>
      </c>
      <c r="B1498" s="2" t="s">
        <v>74</v>
      </c>
      <c r="C1498" s="2">
        <v>2021</v>
      </c>
      <c r="D1498" s="2" t="s">
        <v>1</v>
      </c>
      <c r="E1498" s="2" t="s">
        <v>4</v>
      </c>
      <c r="F1498" s="2" t="s">
        <v>35</v>
      </c>
      <c r="G1498" s="7"/>
      <c r="H1498" s="13" t="str">
        <f>IFERROR(IF(ABS($G1498)&gt;0,VLOOKUP($E1498,'Fuel Category and Heat Rate'!$B$1:$G$34,6,FALSE)*($G1498),""),"")</f>
        <v/>
      </c>
      <c r="I1498" t="str">
        <f>IFERROR(VLOOKUP($E1498,'Fuel Category and Heat Rate'!$K$2:$M$36,3,FALSE),"")</f>
        <v>coal</v>
      </c>
    </row>
    <row r="1499" spans="1:9" x14ac:dyDescent="0.15">
      <c r="A1499" s="2">
        <v>167697</v>
      </c>
      <c r="B1499" s="2" t="s">
        <v>74</v>
      </c>
      <c r="C1499" s="2">
        <v>2021</v>
      </c>
      <c r="D1499" s="2" t="s">
        <v>1</v>
      </c>
      <c r="E1499" s="2" t="s">
        <v>6</v>
      </c>
      <c r="F1499" s="2" t="s">
        <v>35</v>
      </c>
      <c r="G1499" s="7"/>
      <c r="H1499" s="13" t="str">
        <f>IFERROR(IF(ABS($G1499)&gt;0,VLOOKUP($E1499,'Fuel Category and Heat Rate'!$B$1:$G$34,6,FALSE)*($G1499),""),"")</f>
        <v/>
      </c>
      <c r="I1499" t="str">
        <f>IFERROR(VLOOKUP($E1499,'Fuel Category and Heat Rate'!$K$2:$M$36,3,FALSE),"")</f>
        <v>coal</v>
      </c>
    </row>
    <row r="1500" spans="1:9" x14ac:dyDescent="0.15">
      <c r="A1500" s="2">
        <v>167732</v>
      </c>
      <c r="B1500" s="2" t="s">
        <v>74</v>
      </c>
      <c r="C1500" s="2">
        <v>2021</v>
      </c>
      <c r="D1500" s="2" t="s">
        <v>1</v>
      </c>
      <c r="E1500" s="2" t="s">
        <v>26</v>
      </c>
      <c r="F1500" s="2" t="s">
        <v>35</v>
      </c>
      <c r="G1500" s="7"/>
      <c r="H1500" s="13" t="str">
        <f>IFERROR(IF(ABS($G1500)&gt;0,VLOOKUP($E1500,'Fuel Category and Heat Rate'!$B$1:$G$34,6,FALSE)*($G1500),""),"")</f>
        <v/>
      </c>
      <c r="I1500" t="str">
        <f>IFERROR(VLOOKUP($E1500,'Fuel Category and Heat Rate'!$K$2:$M$36,3,FALSE),"")</f>
        <v>LPG propane or butane</v>
      </c>
    </row>
    <row r="1501" spans="1:9" x14ac:dyDescent="0.15">
      <c r="A1501" s="2">
        <v>167767</v>
      </c>
      <c r="B1501" s="2" t="s">
        <v>74</v>
      </c>
      <c r="C1501" s="2">
        <v>2021</v>
      </c>
      <c r="D1501" s="2" t="s">
        <v>1</v>
      </c>
      <c r="E1501" s="2" t="s">
        <v>30</v>
      </c>
      <c r="F1501" s="2" t="s">
        <v>35</v>
      </c>
      <c r="G1501" s="7"/>
      <c r="H1501" s="13" t="str">
        <f>IFERROR(IF(ABS($G1501)&gt;0,VLOOKUP($E1501,'Fuel Category and Heat Rate'!$B$1:$G$34,6,FALSE)*($G1501),""),"")</f>
        <v/>
      </c>
      <c r="I1501" t="str">
        <f>IFERROR(VLOOKUP($E1501,'Fuel Category and Heat Rate'!$K$2:$M$36,3,FALSE),"")</f>
        <v>natural gas</v>
      </c>
    </row>
    <row r="1502" spans="1:9" x14ac:dyDescent="0.15">
      <c r="A1502" s="2">
        <v>167802</v>
      </c>
      <c r="B1502" s="2" t="s">
        <v>74</v>
      </c>
      <c r="C1502" s="2">
        <v>2021</v>
      </c>
      <c r="D1502" s="2" t="s">
        <v>1</v>
      </c>
      <c r="E1502" s="2" t="s">
        <v>14</v>
      </c>
      <c r="F1502" s="2" t="s">
        <v>35</v>
      </c>
      <c r="G1502" s="7">
        <v>-14.48</v>
      </c>
      <c r="H1502" s="13">
        <f>IFERROR(IF(ABS($G1502)&gt;0,VLOOKUP($E1502,'Fuel Category and Heat Rate'!$B$1:$G$34,6,FALSE)*($G1502),""),"")</f>
        <v>0</v>
      </c>
      <c r="I1502" t="str">
        <f>IFERROR(VLOOKUP($E1502,'Fuel Category and Heat Rate'!$K$2:$M$36,3,FALSE),"")</f>
        <v/>
      </c>
    </row>
    <row r="1503" spans="1:9" x14ac:dyDescent="0.15">
      <c r="A1503" s="2">
        <v>167837</v>
      </c>
      <c r="B1503" s="2" t="s">
        <v>74</v>
      </c>
      <c r="C1503" s="2">
        <v>2021</v>
      </c>
      <c r="D1503" s="2" t="s">
        <v>1</v>
      </c>
      <c r="E1503" s="2" t="s">
        <v>3</v>
      </c>
      <c r="F1503" s="2" t="s">
        <v>35</v>
      </c>
      <c r="G1503" s="7">
        <v>-2290</v>
      </c>
      <c r="H1503" s="13">
        <f>IFERROR(IF(ABS($G1503)&gt;0,VLOOKUP($E1503,'Fuel Category and Heat Rate'!$B$1:$G$34,6,FALSE)*($G1503),""),"")</f>
        <v>-453808393176531.88</v>
      </c>
      <c r="I1503" t="str">
        <f>IFERROR(VLOOKUP($E1503,'Fuel Category and Heat Rate'!$K$2:$M$36,3,FALSE),"")</f>
        <v>coal</v>
      </c>
    </row>
    <row r="1504" spans="1:9" x14ac:dyDescent="0.15">
      <c r="A1504" s="2">
        <v>167872</v>
      </c>
      <c r="B1504" s="2" t="s">
        <v>74</v>
      </c>
      <c r="C1504" s="2">
        <v>2021</v>
      </c>
      <c r="D1504" s="2" t="s">
        <v>1</v>
      </c>
      <c r="E1504" s="2" t="s">
        <v>15</v>
      </c>
      <c r="F1504" s="2" t="s">
        <v>35</v>
      </c>
      <c r="G1504" s="7"/>
      <c r="H1504" s="13" t="str">
        <f>IFERROR(IF(ABS($G1504)&gt;0,VLOOKUP($E1504,'Fuel Category and Heat Rate'!$B$1:$G$34,6,FALSE)*($G1504),""),"")</f>
        <v/>
      </c>
      <c r="I1504" t="str">
        <f>IFERROR(VLOOKUP($E1504,'Fuel Category and Heat Rate'!$K$2:$M$36,3,FALSE),"")</f>
        <v>crude oil</v>
      </c>
    </row>
    <row r="1505" spans="1:9" x14ac:dyDescent="0.15">
      <c r="A1505" s="2">
        <v>167907</v>
      </c>
      <c r="B1505" s="2" t="s">
        <v>74</v>
      </c>
      <c r="C1505" s="2">
        <v>2021</v>
      </c>
      <c r="D1505" s="2" t="s">
        <v>1</v>
      </c>
      <c r="E1505" s="2" t="s">
        <v>11</v>
      </c>
      <c r="F1505" s="2" t="s">
        <v>36</v>
      </c>
      <c r="G1505" s="7"/>
      <c r="H1505" s="13" t="str">
        <f>IFERROR(IF(ABS($G1505)&gt;0,VLOOKUP($E1505,'Fuel Category and Heat Rate'!$B$1:$G$34,6,FALSE)*($G1505),""),"")</f>
        <v/>
      </c>
      <c r="I1505" t="str">
        <f>IFERROR(VLOOKUP($E1505,'Fuel Category and Heat Rate'!$K$2:$M$36,3,FALSE),"")</f>
        <v>LPG propane or butane</v>
      </c>
    </row>
    <row r="1506" spans="1:9" x14ac:dyDescent="0.15">
      <c r="A1506" s="2">
        <v>167942</v>
      </c>
      <c r="B1506" s="2" t="s">
        <v>74</v>
      </c>
      <c r="C1506" s="2">
        <v>2020</v>
      </c>
      <c r="D1506" s="2" t="s">
        <v>1</v>
      </c>
      <c r="E1506" s="2" t="s">
        <v>18</v>
      </c>
      <c r="F1506" s="2" t="s">
        <v>35</v>
      </c>
      <c r="G1506" s="7">
        <v>-0.14000000000000001</v>
      </c>
      <c r="H1506" s="13">
        <f>IFERROR(IF(ABS($G1506)&gt;0,VLOOKUP($E1506,'Fuel Category and Heat Rate'!$B$1:$G$34,6,FALSE)*($G1506),""),"")</f>
        <v>-56596814282.390839</v>
      </c>
      <c r="I1506" t="str">
        <f>IFERROR(VLOOKUP($E1506,'Fuel Category and Heat Rate'!$K$2:$M$36,3,FALSE),"")</f>
        <v>petroleum diesel</v>
      </c>
    </row>
    <row r="1507" spans="1:9" x14ac:dyDescent="0.15">
      <c r="A1507" s="2">
        <v>167977</v>
      </c>
      <c r="B1507" s="2" t="s">
        <v>74</v>
      </c>
      <c r="C1507" s="2">
        <v>2020</v>
      </c>
      <c r="D1507" s="2" t="s">
        <v>1</v>
      </c>
      <c r="E1507" s="2" t="s">
        <v>32</v>
      </c>
      <c r="F1507" s="2" t="s">
        <v>65</v>
      </c>
      <c r="G1507" s="7">
        <v>-0.02</v>
      </c>
      <c r="H1507" s="13">
        <f>IFERROR(IF(ABS($G1507)&gt;0,VLOOKUP($E1507,'Fuel Category and Heat Rate'!$B$1:$G$34,6,FALSE)*($G1507),""),"")</f>
        <v>-6824283283.2024965</v>
      </c>
      <c r="I1507" t="str">
        <f>IFERROR(VLOOKUP($E1507,'Fuel Category and Heat Rate'!$K$2:$M$36,3,FALSE),"")</f>
        <v>electricity</v>
      </c>
    </row>
    <row r="1508" spans="1:9" x14ac:dyDescent="0.15">
      <c r="A1508" s="2">
        <v>168012</v>
      </c>
      <c r="B1508" s="2" t="s">
        <v>74</v>
      </c>
      <c r="C1508" s="2">
        <v>2020</v>
      </c>
      <c r="D1508" s="2" t="s">
        <v>1</v>
      </c>
      <c r="E1508" s="2" t="s">
        <v>10</v>
      </c>
      <c r="F1508" s="2" t="s">
        <v>36</v>
      </c>
      <c r="G1508" s="7"/>
      <c r="H1508" s="13" t="str">
        <f>IFERROR(IF(ABS($G1508)&gt;0,VLOOKUP($E1508,'Fuel Category and Heat Rate'!$B$1:$G$34,6,FALSE)*($G1508),""),"")</f>
        <v/>
      </c>
      <c r="I1508" t="str">
        <f>IFERROR(VLOOKUP($E1508,'Fuel Category and Heat Rate'!$K$2:$M$36,3,FALSE),"")</f>
        <v>LPG propane or butane</v>
      </c>
    </row>
    <row r="1509" spans="1:9" x14ac:dyDescent="0.15">
      <c r="A1509" s="2">
        <v>168047</v>
      </c>
      <c r="B1509" s="2" t="s">
        <v>74</v>
      </c>
      <c r="C1509" s="2">
        <v>2020</v>
      </c>
      <c r="D1509" s="2" t="s">
        <v>1</v>
      </c>
      <c r="E1509" s="2" t="s">
        <v>9</v>
      </c>
      <c r="F1509" s="2" t="s">
        <v>36</v>
      </c>
      <c r="G1509" s="7">
        <v>-7.0000000000000007E-2</v>
      </c>
      <c r="H1509" s="13">
        <f>IFERROR(IF(ABS($G1509)&gt;0,VLOOKUP($E1509,'Fuel Category and Heat Rate'!$B$1:$G$34,6,FALSE)*($G1509),""),"")</f>
        <v>-115135611067.41412</v>
      </c>
      <c r="I1509" t="str">
        <f>IFERROR(VLOOKUP($E1509,'Fuel Category and Heat Rate'!$K$2:$M$36,3,FALSE),"")</f>
        <v>LPG propane or butane</v>
      </c>
    </row>
    <row r="1510" spans="1:9" x14ac:dyDescent="0.15">
      <c r="A1510" s="2">
        <v>168082</v>
      </c>
      <c r="B1510" s="2" t="s">
        <v>74</v>
      </c>
      <c r="C1510" s="2">
        <v>2020</v>
      </c>
      <c r="D1510" s="2" t="s">
        <v>1</v>
      </c>
      <c r="E1510" s="2" t="s">
        <v>8</v>
      </c>
      <c r="F1510" s="2" t="s">
        <v>35</v>
      </c>
      <c r="G1510" s="7"/>
      <c r="H1510" s="13" t="str">
        <f>IFERROR(IF(ABS($G1510)&gt;0,VLOOKUP($E1510,'Fuel Category and Heat Rate'!$B$1:$G$34,6,FALSE)*($G1510),""),"")</f>
        <v/>
      </c>
      <c r="I1510" t="str">
        <f>IFERROR(VLOOKUP($E1510,'Fuel Category and Heat Rate'!$K$2:$M$36,3,FALSE),"")</f>
        <v>coal</v>
      </c>
    </row>
    <row r="1511" spans="1:9" x14ac:dyDescent="0.15">
      <c r="A1511" s="2">
        <v>168117</v>
      </c>
      <c r="B1511" s="2" t="s">
        <v>74</v>
      </c>
      <c r="C1511" s="2">
        <v>2020</v>
      </c>
      <c r="D1511" s="2" t="s">
        <v>1</v>
      </c>
      <c r="E1511" s="2" t="s">
        <v>27</v>
      </c>
      <c r="F1511" s="2" t="s">
        <v>35</v>
      </c>
      <c r="G1511" s="7">
        <v>-0.84</v>
      </c>
      <c r="H1511" s="13">
        <f>IFERROR(IF(ABS($G1511)&gt;0,VLOOKUP($E1511,'Fuel Category and Heat Rate'!$B$1:$G$34,6,FALSE)*($G1511),""),"")</f>
        <v>-366220612870.87317</v>
      </c>
      <c r="I1511" t="str">
        <f>IFERROR(VLOOKUP($E1511,'Fuel Category and Heat Rate'!$K$2:$M$36,3,FALSE),"")</f>
        <v>LPG propane or butane</v>
      </c>
    </row>
    <row r="1512" spans="1:9" x14ac:dyDescent="0.15">
      <c r="A1512" s="2">
        <v>168152</v>
      </c>
      <c r="B1512" s="2" t="s">
        <v>74</v>
      </c>
      <c r="C1512" s="2">
        <v>2020</v>
      </c>
      <c r="D1512" s="2" t="s">
        <v>1</v>
      </c>
      <c r="E1512" s="2" t="s">
        <v>7</v>
      </c>
      <c r="F1512" s="2" t="s">
        <v>35</v>
      </c>
      <c r="G1512" s="7">
        <v>-47.31</v>
      </c>
      <c r="H1512" s="13">
        <f>IFERROR(IF(ABS($G1512)&gt;0,VLOOKUP($E1512,'Fuel Category and Heat Rate'!$B$1:$G$34,6,FALSE)*($G1512),""),"")</f>
        <v>-3755004438864.54</v>
      </c>
      <c r="I1512" t="str">
        <f>IFERROR(VLOOKUP($E1512,'Fuel Category and Heat Rate'!$K$2:$M$36,3,FALSE),"")</f>
        <v>coal</v>
      </c>
    </row>
    <row r="1513" spans="1:9" x14ac:dyDescent="0.15">
      <c r="A1513" s="2">
        <v>168187</v>
      </c>
      <c r="B1513" s="2" t="s">
        <v>74</v>
      </c>
      <c r="C1513" s="2">
        <v>2020</v>
      </c>
      <c r="D1513" s="2" t="s">
        <v>1</v>
      </c>
      <c r="E1513" s="2" t="s">
        <v>2</v>
      </c>
      <c r="F1513" s="2" t="s">
        <v>35</v>
      </c>
      <c r="G1513" s="7">
        <v>-2107.44</v>
      </c>
      <c r="H1513" s="13">
        <f>IFERROR(IF(ABS($G1513)&gt;0,VLOOKUP($E1513,'Fuel Category and Heat Rate'!$B$1:$G$34,6,FALSE)*($G1513),""),"")</f>
        <v>0</v>
      </c>
      <c r="I1513" t="str">
        <f>IFERROR(VLOOKUP($E1513,'Fuel Category and Heat Rate'!$K$2:$M$36,3,FALSE),"")</f>
        <v/>
      </c>
    </row>
    <row r="1514" spans="1:9" x14ac:dyDescent="0.15">
      <c r="A1514" s="2">
        <v>168222</v>
      </c>
      <c r="B1514" s="2" t="s">
        <v>74</v>
      </c>
      <c r="C1514" s="2">
        <v>2020</v>
      </c>
      <c r="D1514" s="2" t="s">
        <v>1</v>
      </c>
      <c r="E1514" s="2" t="s">
        <v>17</v>
      </c>
      <c r="F1514" s="2" t="s">
        <v>35</v>
      </c>
      <c r="G1514" s="7"/>
      <c r="H1514" s="13" t="str">
        <f>IFERROR(IF(ABS($G1514)&gt;0,VLOOKUP($E1514,'Fuel Category and Heat Rate'!$B$1:$G$34,6,FALSE)*($G1514),""),"")</f>
        <v/>
      </c>
      <c r="I1514" t="str">
        <f>IFERROR(VLOOKUP($E1514,'Fuel Category and Heat Rate'!$K$2:$M$36,3,FALSE),"")</f>
        <v>petroleum diesel</v>
      </c>
    </row>
    <row r="1515" spans="1:9" x14ac:dyDescent="0.15">
      <c r="A1515" s="2">
        <v>168257</v>
      </c>
      <c r="B1515" s="2" t="s">
        <v>74</v>
      </c>
      <c r="C1515" s="2">
        <v>2020</v>
      </c>
      <c r="D1515" s="2" t="s">
        <v>1</v>
      </c>
      <c r="E1515" s="2" t="s">
        <v>13</v>
      </c>
      <c r="F1515" s="2" t="s">
        <v>35</v>
      </c>
      <c r="G1515" s="7"/>
      <c r="H1515" s="13" t="str">
        <f>IFERROR(IF(ABS($G1515)&gt;0,VLOOKUP($E1515,'Fuel Category and Heat Rate'!$B$1:$G$34,6,FALSE)*($G1515),""),"")</f>
        <v/>
      </c>
      <c r="I1515" t="str">
        <f>IFERROR(VLOOKUP($E1515,'Fuel Category and Heat Rate'!$K$2:$M$36,3,FALSE),"")</f>
        <v>petroleum diesel</v>
      </c>
    </row>
    <row r="1516" spans="1:9" x14ac:dyDescent="0.15">
      <c r="A1516" s="2">
        <v>168292</v>
      </c>
      <c r="B1516" s="2" t="s">
        <v>74</v>
      </c>
      <c r="C1516" s="2">
        <v>2020</v>
      </c>
      <c r="D1516" s="2" t="s">
        <v>1</v>
      </c>
      <c r="E1516" s="2" t="s">
        <v>12</v>
      </c>
      <c r="F1516" s="2" t="s">
        <v>36</v>
      </c>
      <c r="G1516" s="7"/>
      <c r="H1516" s="13" t="str">
        <f>IFERROR(IF(ABS($G1516)&gt;0,VLOOKUP($E1516,'Fuel Category and Heat Rate'!$B$1:$G$34,6,FALSE)*($G1516),""),"")</f>
        <v/>
      </c>
      <c r="I1516" t="str">
        <f>IFERROR(VLOOKUP($E1516,'Fuel Category and Heat Rate'!$K$2:$M$36,3,FALSE),"")</f>
        <v>LPG propane or butane</v>
      </c>
    </row>
    <row r="1517" spans="1:9" x14ac:dyDescent="0.15">
      <c r="A1517" s="2">
        <v>168327</v>
      </c>
      <c r="B1517" s="2" t="s">
        <v>74</v>
      </c>
      <c r="C1517" s="2">
        <v>2020</v>
      </c>
      <c r="D1517" s="2" t="s">
        <v>1</v>
      </c>
      <c r="E1517" s="2" t="s">
        <v>33</v>
      </c>
      <c r="F1517" s="2" t="s">
        <v>38</v>
      </c>
      <c r="G1517" s="7">
        <v>-79.599999999999994</v>
      </c>
      <c r="H1517" s="13">
        <f>IFERROR(IF(ABS($G1517)&gt;0,VLOOKUP($E1517,'Fuel Category and Heat Rate'!$B$1:$G$34,6,FALSE)*($G1517),""),"")</f>
        <v>-22083869778078.57</v>
      </c>
      <c r="I1517" t="str">
        <f>IFERROR(VLOOKUP($E1517,'Fuel Category and Heat Rate'!$K$2:$M$36,3,FALSE),"")</f>
        <v>biomass</v>
      </c>
    </row>
    <row r="1518" spans="1:9" x14ac:dyDescent="0.15">
      <c r="A1518" s="2">
        <v>168362</v>
      </c>
      <c r="B1518" s="2" t="s">
        <v>74</v>
      </c>
      <c r="C1518" s="2">
        <v>2020</v>
      </c>
      <c r="D1518" s="2" t="s">
        <v>1</v>
      </c>
      <c r="E1518" s="2" t="s">
        <v>28</v>
      </c>
      <c r="F1518" s="2" t="s">
        <v>35</v>
      </c>
      <c r="G1518" s="7"/>
      <c r="H1518" s="13" t="str">
        <f>IFERROR(IF(ABS($G1518)&gt;0,VLOOKUP($E1518,'Fuel Category and Heat Rate'!$B$1:$G$34,6,FALSE)*($G1518),""),"")</f>
        <v/>
      </c>
      <c r="I1518" t="str">
        <f>IFERROR(VLOOKUP($E1518,'Fuel Category and Heat Rate'!$K$2:$M$36,3,FALSE),"")</f>
        <v>heavy or residual fuel oil</v>
      </c>
    </row>
    <row r="1519" spans="1:9" x14ac:dyDescent="0.15">
      <c r="A1519" s="2">
        <v>168397</v>
      </c>
      <c r="B1519" s="2" t="s">
        <v>74</v>
      </c>
      <c r="C1519" s="2">
        <v>2020</v>
      </c>
      <c r="D1519" s="2" t="s">
        <v>1</v>
      </c>
      <c r="E1519" s="2" t="s">
        <v>5</v>
      </c>
      <c r="F1519" s="2" t="s">
        <v>35</v>
      </c>
      <c r="G1519" s="7">
        <v>-60.07</v>
      </c>
      <c r="H1519" s="13">
        <f>IFERROR(IF(ABS($G1519)&gt;0,VLOOKUP($E1519,'Fuel Category and Heat Rate'!$B$1:$G$34,6,FALSE)*($G1519),""),"")</f>
        <v>-4761505374336.3438</v>
      </c>
      <c r="I1519" t="str">
        <f>IFERROR(VLOOKUP($E1519,'Fuel Category and Heat Rate'!$K$2:$M$36,3,FALSE),"")</f>
        <v>coal</v>
      </c>
    </row>
    <row r="1520" spans="1:9" x14ac:dyDescent="0.15">
      <c r="A1520" s="2">
        <v>168432</v>
      </c>
      <c r="B1520" s="2" t="s">
        <v>74</v>
      </c>
      <c r="C1520" s="2">
        <v>2020</v>
      </c>
      <c r="D1520" s="2" t="s">
        <v>1</v>
      </c>
      <c r="E1520" s="2" t="s">
        <v>16</v>
      </c>
      <c r="F1520" s="2" t="s">
        <v>35</v>
      </c>
      <c r="G1520" s="7"/>
      <c r="H1520" s="13" t="str">
        <f>IFERROR(IF(ABS($G1520)&gt;0,VLOOKUP($E1520,'Fuel Category and Heat Rate'!$B$1:$G$34,6,FALSE)*($G1520),""),"")</f>
        <v/>
      </c>
      <c r="I1520" t="str">
        <f>IFERROR(VLOOKUP($E1520,'Fuel Category and Heat Rate'!$K$2:$M$36,3,FALSE),"")</f>
        <v>petroleum diesel</v>
      </c>
    </row>
    <row r="1521" spans="1:9" x14ac:dyDescent="0.15">
      <c r="A1521" s="2">
        <v>168467</v>
      </c>
      <c r="B1521" s="2" t="s">
        <v>74</v>
      </c>
      <c r="C1521" s="2">
        <v>2020</v>
      </c>
      <c r="D1521" s="2" t="s">
        <v>1</v>
      </c>
      <c r="E1521" s="2" t="s">
        <v>19</v>
      </c>
      <c r="F1521" s="2" t="s">
        <v>35</v>
      </c>
      <c r="G1521" s="7">
        <v>-0.11</v>
      </c>
      <c r="H1521" s="13">
        <f>IFERROR(IF(ABS($G1521)&gt;0,VLOOKUP($E1521,'Fuel Category and Heat Rate'!$B$1:$G$34,6,FALSE)*($G1521),""),"")</f>
        <v>-43597312881.588211</v>
      </c>
      <c r="I1521" t="str">
        <f>IFERROR(VLOOKUP($E1521,'Fuel Category and Heat Rate'!$K$2:$M$36,3,FALSE),"")</f>
        <v>heavy or residual fuel oil</v>
      </c>
    </row>
    <row r="1522" spans="1:9" x14ac:dyDescent="0.15">
      <c r="A1522" s="2">
        <v>168502</v>
      </c>
      <c r="B1522" s="2" t="s">
        <v>74</v>
      </c>
      <c r="C1522" s="2">
        <v>2020</v>
      </c>
      <c r="D1522" s="2" t="s">
        <v>1</v>
      </c>
      <c r="E1522" s="2" t="s">
        <v>31</v>
      </c>
      <c r="F1522" s="2" t="s">
        <v>37</v>
      </c>
      <c r="G1522" s="7">
        <v>35388.589999999997</v>
      </c>
      <c r="H1522" s="13">
        <f>IFERROR(IF(ABS($G1522)&gt;0,VLOOKUP($E1522,'Fuel Category and Heat Rate'!$B$1:$G$34,6,FALSE)*($G1522),""),"")</f>
        <v>335419115490426.38</v>
      </c>
      <c r="I1522" t="str">
        <f>IFERROR(VLOOKUP($E1522,'Fuel Category and Heat Rate'!$K$2:$M$36,3,FALSE),"")</f>
        <v>heat</v>
      </c>
    </row>
    <row r="1523" spans="1:9" x14ac:dyDescent="0.15">
      <c r="A1523" s="2">
        <v>168537</v>
      </c>
      <c r="B1523" s="2" t="s">
        <v>74</v>
      </c>
      <c r="C1523" s="2">
        <v>2020</v>
      </c>
      <c r="D1523" s="2" t="s">
        <v>1</v>
      </c>
      <c r="E1523" s="2" t="s">
        <v>23</v>
      </c>
      <c r="F1523" s="2" t="s">
        <v>35</v>
      </c>
      <c r="G1523" s="7"/>
      <c r="H1523" s="13" t="str">
        <f>IFERROR(IF(ABS($G1523)&gt;0,VLOOKUP($E1523,'Fuel Category and Heat Rate'!$B$1:$G$34,6,FALSE)*($G1523),""),"")</f>
        <v/>
      </c>
      <c r="I1523" t="str">
        <f>IFERROR(VLOOKUP($E1523,'Fuel Category and Heat Rate'!$K$2:$M$36,3,FALSE),"")</f>
        <v>heavy or residual fuel oil</v>
      </c>
    </row>
    <row r="1524" spans="1:9" x14ac:dyDescent="0.15">
      <c r="A1524" s="2">
        <v>168572</v>
      </c>
      <c r="B1524" s="2" t="s">
        <v>74</v>
      </c>
      <c r="C1524" s="2">
        <v>2020</v>
      </c>
      <c r="D1524" s="2" t="s">
        <v>1</v>
      </c>
      <c r="E1524" s="2" t="s">
        <v>21</v>
      </c>
      <c r="F1524" s="2" t="s">
        <v>35</v>
      </c>
      <c r="G1524" s="7"/>
      <c r="H1524" s="13" t="str">
        <f>IFERROR(IF(ABS($G1524)&gt;0,VLOOKUP($E1524,'Fuel Category and Heat Rate'!$B$1:$G$34,6,FALSE)*($G1524),""),"")</f>
        <v/>
      </c>
      <c r="I1524" t="str">
        <f>IFERROR(VLOOKUP($E1524,'Fuel Category and Heat Rate'!$K$2:$M$36,3,FALSE),"")</f>
        <v>LPG propane or butane</v>
      </c>
    </row>
    <row r="1525" spans="1:9" x14ac:dyDescent="0.15">
      <c r="A1525" s="2">
        <v>168607</v>
      </c>
      <c r="B1525" s="2" t="s">
        <v>74</v>
      </c>
      <c r="C1525" s="2">
        <v>2020</v>
      </c>
      <c r="D1525" s="2" t="s">
        <v>1</v>
      </c>
      <c r="E1525" s="2" t="s">
        <v>22</v>
      </c>
      <c r="F1525" s="2" t="s">
        <v>35</v>
      </c>
      <c r="G1525" s="7"/>
      <c r="H1525" s="13" t="str">
        <f>IFERROR(IF(ABS($G1525)&gt;0,VLOOKUP($E1525,'Fuel Category and Heat Rate'!$B$1:$G$34,6,FALSE)*($G1525),""),"")</f>
        <v/>
      </c>
      <c r="I1525" t="str">
        <f>IFERROR(VLOOKUP($E1525,'Fuel Category and Heat Rate'!$K$2:$M$36,3,FALSE),"")</f>
        <v>heavy fuel oil</v>
      </c>
    </row>
    <row r="1526" spans="1:9" x14ac:dyDescent="0.15">
      <c r="A1526" s="2">
        <v>168642</v>
      </c>
      <c r="B1526" s="2" t="s">
        <v>74</v>
      </c>
      <c r="C1526" s="2">
        <v>2020</v>
      </c>
      <c r="D1526" s="2" t="s">
        <v>1</v>
      </c>
      <c r="E1526" s="2" t="s">
        <v>20</v>
      </c>
      <c r="F1526" s="2" t="s">
        <v>35</v>
      </c>
      <c r="G1526" s="7"/>
      <c r="H1526" s="13" t="str">
        <f>IFERROR(IF(ABS($G1526)&gt;0,VLOOKUP($E1526,'Fuel Category and Heat Rate'!$B$1:$G$34,6,FALSE)*($G1526),""),"")</f>
        <v/>
      </c>
      <c r="I1526" t="str">
        <f>IFERROR(VLOOKUP($E1526,'Fuel Category and Heat Rate'!$K$2:$M$36,3,FALSE),"")</f>
        <v>LPG propane or butane</v>
      </c>
    </row>
    <row r="1527" spans="1:9" x14ac:dyDescent="0.15">
      <c r="A1527" s="2">
        <v>168677</v>
      </c>
      <c r="B1527" s="2" t="s">
        <v>74</v>
      </c>
      <c r="C1527" s="2">
        <v>2020</v>
      </c>
      <c r="D1527" s="2" t="s">
        <v>1</v>
      </c>
      <c r="E1527" s="2" t="s">
        <v>25</v>
      </c>
      <c r="F1527" s="2" t="s">
        <v>35</v>
      </c>
      <c r="G1527" s="7">
        <v>-9.14</v>
      </c>
      <c r="H1527" s="13">
        <f>IFERROR(IF(ABS($G1527)&gt;0,VLOOKUP($E1527,'Fuel Category and Heat Rate'!$B$1:$G$34,6,FALSE)*($G1527),""),"")</f>
        <v>-2767584104670.8569</v>
      </c>
      <c r="I1527" t="str">
        <f>IFERROR(VLOOKUP($E1527,'Fuel Category and Heat Rate'!$K$2:$M$36,3,FALSE),"")</f>
        <v>heavy fuel oil</v>
      </c>
    </row>
    <row r="1528" spans="1:9" x14ac:dyDescent="0.15">
      <c r="A1528" s="2">
        <v>168712</v>
      </c>
      <c r="B1528" s="2" t="s">
        <v>74</v>
      </c>
      <c r="C1528" s="2">
        <v>2020</v>
      </c>
      <c r="D1528" s="2" t="s">
        <v>1</v>
      </c>
      <c r="E1528" s="2" t="s">
        <v>24</v>
      </c>
      <c r="F1528" s="2" t="s">
        <v>35</v>
      </c>
      <c r="G1528" s="7"/>
      <c r="H1528" s="13" t="str">
        <f>IFERROR(IF(ABS($G1528)&gt;0,VLOOKUP($E1528,'Fuel Category and Heat Rate'!$B$1:$G$34,6,FALSE)*($G1528),""),"")</f>
        <v/>
      </c>
      <c r="I1528" t="str">
        <f>IFERROR(VLOOKUP($E1528,'Fuel Category and Heat Rate'!$K$2:$M$36,3,FALSE),"")</f>
        <v>heavy fuel oil</v>
      </c>
    </row>
    <row r="1529" spans="1:9" x14ac:dyDescent="0.15">
      <c r="A1529" s="2">
        <v>168747</v>
      </c>
      <c r="B1529" s="2" t="s">
        <v>74</v>
      </c>
      <c r="C1529" s="2">
        <v>2020</v>
      </c>
      <c r="D1529" s="2" t="s">
        <v>1</v>
      </c>
      <c r="E1529" s="2" t="s">
        <v>29</v>
      </c>
      <c r="F1529" s="2" t="s">
        <v>36</v>
      </c>
      <c r="G1529" s="7">
        <v>-3.93</v>
      </c>
      <c r="H1529" s="13">
        <f>IFERROR(IF(ABS($G1529)&gt;0,VLOOKUP($E1529,'Fuel Category and Heat Rate'!$B$1:$G$34,6,FALSE)*($G1529),""),"")</f>
        <v>-13254946171806.924</v>
      </c>
      <c r="I1529" t="str">
        <f>IFERROR(VLOOKUP($E1529,'Fuel Category and Heat Rate'!$K$2:$M$36,3,FALSE),"")</f>
        <v>natural gas</v>
      </c>
    </row>
    <row r="1530" spans="1:9" x14ac:dyDescent="0.15">
      <c r="A1530" s="2">
        <v>168782</v>
      </c>
      <c r="B1530" s="2" t="s">
        <v>74</v>
      </c>
      <c r="C1530" s="2">
        <v>2020</v>
      </c>
      <c r="D1530" s="2" t="s">
        <v>1</v>
      </c>
      <c r="E1530" s="2" t="s">
        <v>4</v>
      </c>
      <c r="F1530" s="2" t="s">
        <v>35</v>
      </c>
      <c r="G1530" s="7"/>
      <c r="H1530" s="13" t="str">
        <f>IFERROR(IF(ABS($G1530)&gt;0,VLOOKUP($E1530,'Fuel Category and Heat Rate'!$B$1:$G$34,6,FALSE)*($G1530),""),"")</f>
        <v/>
      </c>
      <c r="I1530" t="str">
        <f>IFERROR(VLOOKUP($E1530,'Fuel Category and Heat Rate'!$K$2:$M$36,3,FALSE),"")</f>
        <v>coal</v>
      </c>
    </row>
    <row r="1531" spans="1:9" x14ac:dyDescent="0.15">
      <c r="A1531" s="2">
        <v>168817</v>
      </c>
      <c r="B1531" s="2" t="s">
        <v>74</v>
      </c>
      <c r="C1531" s="2">
        <v>2020</v>
      </c>
      <c r="D1531" s="2" t="s">
        <v>1</v>
      </c>
      <c r="E1531" s="2" t="s">
        <v>6</v>
      </c>
      <c r="F1531" s="2" t="s">
        <v>35</v>
      </c>
      <c r="G1531" s="7"/>
      <c r="H1531" s="13" t="str">
        <f>IFERROR(IF(ABS($G1531)&gt;0,VLOOKUP($E1531,'Fuel Category and Heat Rate'!$B$1:$G$34,6,FALSE)*($G1531),""),"")</f>
        <v/>
      </c>
      <c r="I1531" t="str">
        <f>IFERROR(VLOOKUP($E1531,'Fuel Category and Heat Rate'!$K$2:$M$36,3,FALSE),"")</f>
        <v>coal</v>
      </c>
    </row>
    <row r="1532" spans="1:9" x14ac:dyDescent="0.15">
      <c r="A1532" s="2">
        <v>168852</v>
      </c>
      <c r="B1532" s="2" t="s">
        <v>74</v>
      </c>
      <c r="C1532" s="2">
        <v>2020</v>
      </c>
      <c r="D1532" s="2" t="s">
        <v>1</v>
      </c>
      <c r="E1532" s="2" t="s">
        <v>26</v>
      </c>
      <c r="F1532" s="2" t="s">
        <v>35</v>
      </c>
      <c r="G1532" s="7"/>
      <c r="H1532" s="13" t="str">
        <f>IFERROR(IF(ABS($G1532)&gt;0,VLOOKUP($E1532,'Fuel Category and Heat Rate'!$B$1:$G$34,6,FALSE)*($G1532),""),"")</f>
        <v/>
      </c>
      <c r="I1532" t="str">
        <f>IFERROR(VLOOKUP($E1532,'Fuel Category and Heat Rate'!$K$2:$M$36,3,FALSE),"")</f>
        <v>LPG propane or butane</v>
      </c>
    </row>
    <row r="1533" spans="1:9" x14ac:dyDescent="0.15">
      <c r="A1533" s="2">
        <v>168887</v>
      </c>
      <c r="B1533" s="2" t="s">
        <v>74</v>
      </c>
      <c r="C1533" s="2">
        <v>2020</v>
      </c>
      <c r="D1533" s="2" t="s">
        <v>1</v>
      </c>
      <c r="E1533" s="2" t="s">
        <v>30</v>
      </c>
      <c r="F1533" s="2" t="s">
        <v>35</v>
      </c>
      <c r="G1533" s="7"/>
      <c r="H1533" s="13" t="str">
        <f>IFERROR(IF(ABS($G1533)&gt;0,VLOOKUP($E1533,'Fuel Category and Heat Rate'!$B$1:$G$34,6,FALSE)*($G1533),""),"")</f>
        <v/>
      </c>
      <c r="I1533" t="str">
        <f>IFERROR(VLOOKUP($E1533,'Fuel Category and Heat Rate'!$K$2:$M$36,3,FALSE),"")</f>
        <v>natural gas</v>
      </c>
    </row>
    <row r="1534" spans="1:9" x14ac:dyDescent="0.15">
      <c r="A1534" s="2">
        <v>168922</v>
      </c>
      <c r="B1534" s="2" t="s">
        <v>74</v>
      </c>
      <c r="C1534" s="2">
        <v>2020</v>
      </c>
      <c r="D1534" s="2" t="s">
        <v>1</v>
      </c>
      <c r="E1534" s="2" t="s">
        <v>14</v>
      </c>
      <c r="F1534" s="2" t="s">
        <v>35</v>
      </c>
      <c r="G1534" s="7">
        <v>-10.23</v>
      </c>
      <c r="H1534" s="13">
        <f>IFERROR(IF(ABS($G1534)&gt;0,VLOOKUP($E1534,'Fuel Category and Heat Rate'!$B$1:$G$34,6,FALSE)*($G1534),""),"")</f>
        <v>0</v>
      </c>
      <c r="I1534" t="str">
        <f>IFERROR(VLOOKUP($E1534,'Fuel Category and Heat Rate'!$K$2:$M$36,3,FALSE),"")</f>
        <v/>
      </c>
    </row>
    <row r="1535" spans="1:9" x14ac:dyDescent="0.15">
      <c r="A1535" s="2">
        <v>168957</v>
      </c>
      <c r="B1535" s="2" t="s">
        <v>74</v>
      </c>
      <c r="C1535" s="2">
        <v>2020</v>
      </c>
      <c r="D1535" s="2" t="s">
        <v>1</v>
      </c>
      <c r="E1535" s="2" t="s">
        <v>3</v>
      </c>
      <c r="F1535" s="2" t="s">
        <v>35</v>
      </c>
      <c r="G1535" s="7">
        <v>-2047.37</v>
      </c>
      <c r="H1535" s="13">
        <f>IFERROR(IF(ABS($G1535)&gt;0,VLOOKUP($E1535,'Fuel Category and Heat Rate'!$B$1:$G$34,6,FALSE)*($G1535),""),"")</f>
        <v>-405726502156260.25</v>
      </c>
      <c r="I1535" t="str">
        <f>IFERROR(VLOOKUP($E1535,'Fuel Category and Heat Rate'!$K$2:$M$36,3,FALSE),"")</f>
        <v>coal</v>
      </c>
    </row>
    <row r="1536" spans="1:9" x14ac:dyDescent="0.15">
      <c r="A1536" s="2">
        <v>168992</v>
      </c>
      <c r="B1536" s="2" t="s">
        <v>74</v>
      </c>
      <c r="C1536" s="2">
        <v>2020</v>
      </c>
      <c r="D1536" s="2" t="s">
        <v>1</v>
      </c>
      <c r="E1536" s="2" t="s">
        <v>15</v>
      </c>
      <c r="F1536" s="2" t="s">
        <v>35</v>
      </c>
      <c r="G1536" s="7"/>
      <c r="H1536" s="13" t="str">
        <f>IFERROR(IF(ABS($G1536)&gt;0,VLOOKUP($E1536,'Fuel Category and Heat Rate'!$B$1:$G$34,6,FALSE)*($G1536),""),"")</f>
        <v/>
      </c>
      <c r="I1536" t="str">
        <f>IFERROR(VLOOKUP($E1536,'Fuel Category and Heat Rate'!$K$2:$M$36,3,FALSE),"")</f>
        <v>crude oil</v>
      </c>
    </row>
    <row r="1537" spans="1:9" x14ac:dyDescent="0.15">
      <c r="A1537" s="2">
        <v>169027</v>
      </c>
      <c r="B1537" s="2" t="s">
        <v>74</v>
      </c>
      <c r="C1537" s="2">
        <v>2020</v>
      </c>
      <c r="D1537" s="2" t="s">
        <v>1</v>
      </c>
      <c r="E1537" s="2" t="s">
        <v>11</v>
      </c>
      <c r="F1537" s="2" t="s">
        <v>36</v>
      </c>
      <c r="G1537" s="7"/>
      <c r="H1537" s="13" t="str">
        <f>IFERROR(IF(ABS($G1537)&gt;0,VLOOKUP($E1537,'Fuel Category and Heat Rate'!$B$1:$G$34,6,FALSE)*($G1537),""),"")</f>
        <v/>
      </c>
      <c r="I1537" t="str">
        <f>IFERROR(VLOOKUP($E1537,'Fuel Category and Heat Rate'!$K$2:$M$36,3,FALSE),"")</f>
        <v>LPG propane or butane</v>
      </c>
    </row>
    <row r="1538" spans="1:9" x14ac:dyDescent="0.15">
      <c r="A1538" s="2">
        <v>169062</v>
      </c>
      <c r="B1538" s="2" t="s">
        <v>74</v>
      </c>
      <c r="C1538" s="2">
        <v>2019</v>
      </c>
      <c r="D1538" s="2" t="s">
        <v>1</v>
      </c>
      <c r="E1538" s="2" t="s">
        <v>18</v>
      </c>
      <c r="F1538" s="2" t="s">
        <v>35</v>
      </c>
      <c r="G1538" s="7">
        <v>-0.19</v>
      </c>
      <c r="H1538" s="13">
        <f>IFERROR(IF(ABS($G1538)&gt;0,VLOOKUP($E1538,'Fuel Category and Heat Rate'!$B$1:$G$34,6,FALSE)*($G1538),""),"")</f>
        <v>-76809962240.387558</v>
      </c>
      <c r="I1538" t="str">
        <f>IFERROR(VLOOKUP($E1538,'Fuel Category and Heat Rate'!$K$2:$M$36,3,FALSE),"")</f>
        <v>petroleum diesel</v>
      </c>
    </row>
    <row r="1539" spans="1:9" x14ac:dyDescent="0.15">
      <c r="A1539" s="2">
        <v>169097</v>
      </c>
      <c r="B1539" s="2" t="s">
        <v>74</v>
      </c>
      <c r="C1539" s="2">
        <v>2019</v>
      </c>
      <c r="D1539" s="2" t="s">
        <v>1</v>
      </c>
      <c r="E1539" s="2" t="s">
        <v>32</v>
      </c>
      <c r="F1539" s="2" t="s">
        <v>65</v>
      </c>
      <c r="G1539" s="7"/>
      <c r="H1539" s="13" t="str">
        <f>IFERROR(IF(ABS($G1539)&gt;0,VLOOKUP($E1539,'Fuel Category and Heat Rate'!$B$1:$G$34,6,FALSE)*($G1539),""),"")</f>
        <v/>
      </c>
      <c r="I1539" t="str">
        <f>IFERROR(VLOOKUP($E1539,'Fuel Category and Heat Rate'!$K$2:$M$36,3,FALSE),"")</f>
        <v>electricity</v>
      </c>
    </row>
    <row r="1540" spans="1:9" x14ac:dyDescent="0.15">
      <c r="A1540" s="2">
        <v>169132</v>
      </c>
      <c r="B1540" s="2" t="s">
        <v>74</v>
      </c>
      <c r="C1540" s="2">
        <v>2019</v>
      </c>
      <c r="D1540" s="2" t="s">
        <v>1</v>
      </c>
      <c r="E1540" s="2" t="s">
        <v>10</v>
      </c>
      <c r="F1540" s="2" t="s">
        <v>36</v>
      </c>
      <c r="G1540" s="7"/>
      <c r="H1540" s="13" t="str">
        <f>IFERROR(IF(ABS($G1540)&gt;0,VLOOKUP($E1540,'Fuel Category and Heat Rate'!$B$1:$G$34,6,FALSE)*($G1540),""),"")</f>
        <v/>
      </c>
      <c r="I1540" t="str">
        <f>IFERROR(VLOOKUP($E1540,'Fuel Category and Heat Rate'!$K$2:$M$36,3,FALSE),"")</f>
        <v>LPG propane or butane</v>
      </c>
    </row>
    <row r="1541" spans="1:9" x14ac:dyDescent="0.15">
      <c r="A1541" s="2">
        <v>169167</v>
      </c>
      <c r="B1541" s="2" t="s">
        <v>74</v>
      </c>
      <c r="C1541" s="2">
        <v>2019</v>
      </c>
      <c r="D1541" s="2" t="s">
        <v>1</v>
      </c>
      <c r="E1541" s="2" t="s">
        <v>9</v>
      </c>
      <c r="F1541" s="2" t="s">
        <v>36</v>
      </c>
      <c r="G1541" s="7">
        <v>-0.11</v>
      </c>
      <c r="H1541" s="13">
        <f>IFERROR(IF(ABS($G1541)&gt;0,VLOOKUP($E1541,'Fuel Category and Heat Rate'!$B$1:$G$34,6,FALSE)*($G1541),""),"")</f>
        <v>-180927388820.2222</v>
      </c>
      <c r="I1541" t="str">
        <f>IFERROR(VLOOKUP($E1541,'Fuel Category and Heat Rate'!$K$2:$M$36,3,FALSE),"")</f>
        <v>LPG propane or butane</v>
      </c>
    </row>
    <row r="1542" spans="1:9" x14ac:dyDescent="0.15">
      <c r="A1542" s="2">
        <v>169202</v>
      </c>
      <c r="B1542" s="2" t="s">
        <v>74</v>
      </c>
      <c r="C1542" s="2">
        <v>2019</v>
      </c>
      <c r="D1542" s="2" t="s">
        <v>1</v>
      </c>
      <c r="E1542" s="2" t="s">
        <v>8</v>
      </c>
      <c r="F1542" s="2" t="s">
        <v>35</v>
      </c>
      <c r="G1542" s="7"/>
      <c r="H1542" s="13" t="str">
        <f>IFERROR(IF(ABS($G1542)&gt;0,VLOOKUP($E1542,'Fuel Category and Heat Rate'!$B$1:$G$34,6,FALSE)*($G1542),""),"")</f>
        <v/>
      </c>
      <c r="I1542" t="str">
        <f>IFERROR(VLOOKUP($E1542,'Fuel Category and Heat Rate'!$K$2:$M$36,3,FALSE),"")</f>
        <v>coal</v>
      </c>
    </row>
    <row r="1543" spans="1:9" x14ac:dyDescent="0.15">
      <c r="A1543" s="2">
        <v>169237</v>
      </c>
      <c r="B1543" s="2" t="s">
        <v>74</v>
      </c>
      <c r="C1543" s="2">
        <v>2019</v>
      </c>
      <c r="D1543" s="2" t="s">
        <v>1</v>
      </c>
      <c r="E1543" s="2" t="s">
        <v>27</v>
      </c>
      <c r="F1543" s="2" t="s">
        <v>35</v>
      </c>
      <c r="G1543" s="7">
        <v>-1.48</v>
      </c>
      <c r="H1543" s="13">
        <f>IFERROR(IF(ABS($G1543)&gt;0,VLOOKUP($E1543,'Fuel Category and Heat Rate'!$B$1:$G$34,6,FALSE)*($G1543),""),"")</f>
        <v>-645245841724.8717</v>
      </c>
      <c r="I1543" t="str">
        <f>IFERROR(VLOOKUP($E1543,'Fuel Category and Heat Rate'!$K$2:$M$36,3,FALSE),"")</f>
        <v>LPG propane or butane</v>
      </c>
    </row>
    <row r="1544" spans="1:9" x14ac:dyDescent="0.15">
      <c r="A1544" s="2">
        <v>169272</v>
      </c>
      <c r="B1544" s="2" t="s">
        <v>74</v>
      </c>
      <c r="C1544" s="2">
        <v>2019</v>
      </c>
      <c r="D1544" s="2" t="s">
        <v>1</v>
      </c>
      <c r="E1544" s="2" t="s">
        <v>7</v>
      </c>
      <c r="F1544" s="2" t="s">
        <v>35</v>
      </c>
      <c r="G1544" s="7">
        <v>-69.09</v>
      </c>
      <c r="H1544" s="13">
        <f>IFERROR(IF(ABS($G1544)&gt;0,VLOOKUP($E1544,'Fuel Category and Heat Rate'!$B$1:$G$34,6,FALSE)*($G1544),""),"")</f>
        <v>-5483687522324.0557</v>
      </c>
      <c r="I1544" t="str">
        <f>IFERROR(VLOOKUP($E1544,'Fuel Category and Heat Rate'!$K$2:$M$36,3,FALSE),"")</f>
        <v>coal</v>
      </c>
    </row>
    <row r="1545" spans="1:9" x14ac:dyDescent="0.15">
      <c r="A1545" s="2">
        <v>169307</v>
      </c>
      <c r="B1545" s="2" t="s">
        <v>74</v>
      </c>
      <c r="C1545" s="2">
        <v>2019</v>
      </c>
      <c r="D1545" s="2" t="s">
        <v>1</v>
      </c>
      <c r="E1545" s="2" t="s">
        <v>2</v>
      </c>
      <c r="F1545" s="2" t="s">
        <v>35</v>
      </c>
      <c r="G1545" s="7">
        <v>-1825.84</v>
      </c>
      <c r="H1545" s="13">
        <f>IFERROR(IF(ABS($G1545)&gt;0,VLOOKUP($E1545,'Fuel Category and Heat Rate'!$B$1:$G$34,6,FALSE)*($G1545),""),"")</f>
        <v>0</v>
      </c>
      <c r="I1545" t="str">
        <f>IFERROR(VLOOKUP($E1545,'Fuel Category and Heat Rate'!$K$2:$M$36,3,FALSE),"")</f>
        <v/>
      </c>
    </row>
    <row r="1546" spans="1:9" x14ac:dyDescent="0.15">
      <c r="A1546" s="2">
        <v>169342</v>
      </c>
      <c r="B1546" s="2" t="s">
        <v>74</v>
      </c>
      <c r="C1546" s="2">
        <v>2019</v>
      </c>
      <c r="D1546" s="2" t="s">
        <v>1</v>
      </c>
      <c r="E1546" s="2" t="s">
        <v>17</v>
      </c>
      <c r="F1546" s="2" t="s">
        <v>35</v>
      </c>
      <c r="G1546" s="7"/>
      <c r="H1546" s="13" t="str">
        <f>IFERROR(IF(ABS($G1546)&gt;0,VLOOKUP($E1546,'Fuel Category and Heat Rate'!$B$1:$G$34,6,FALSE)*($G1546),""),"")</f>
        <v/>
      </c>
      <c r="I1546" t="str">
        <f>IFERROR(VLOOKUP($E1546,'Fuel Category and Heat Rate'!$K$2:$M$36,3,FALSE),"")</f>
        <v>petroleum diesel</v>
      </c>
    </row>
    <row r="1547" spans="1:9" x14ac:dyDescent="0.15">
      <c r="A1547" s="2">
        <v>169377</v>
      </c>
      <c r="B1547" s="2" t="s">
        <v>74</v>
      </c>
      <c r="C1547" s="2">
        <v>2019</v>
      </c>
      <c r="D1547" s="2" t="s">
        <v>1</v>
      </c>
      <c r="E1547" s="2" t="s">
        <v>13</v>
      </c>
      <c r="F1547" s="2" t="s">
        <v>35</v>
      </c>
      <c r="G1547" s="7"/>
      <c r="H1547" s="13" t="str">
        <f>IFERROR(IF(ABS($G1547)&gt;0,VLOOKUP($E1547,'Fuel Category and Heat Rate'!$B$1:$G$34,6,FALSE)*($G1547),""),"")</f>
        <v/>
      </c>
      <c r="I1547" t="str">
        <f>IFERROR(VLOOKUP($E1547,'Fuel Category and Heat Rate'!$K$2:$M$36,3,FALSE),"")</f>
        <v>petroleum diesel</v>
      </c>
    </row>
    <row r="1548" spans="1:9" x14ac:dyDescent="0.15">
      <c r="A1548" s="2">
        <v>169412</v>
      </c>
      <c r="B1548" s="2" t="s">
        <v>74</v>
      </c>
      <c r="C1548" s="2">
        <v>2019</v>
      </c>
      <c r="D1548" s="2" t="s">
        <v>1</v>
      </c>
      <c r="E1548" s="2" t="s">
        <v>12</v>
      </c>
      <c r="F1548" s="2" t="s">
        <v>36</v>
      </c>
      <c r="G1548" s="7"/>
      <c r="H1548" s="13" t="str">
        <f>IFERROR(IF(ABS($G1548)&gt;0,VLOOKUP($E1548,'Fuel Category and Heat Rate'!$B$1:$G$34,6,FALSE)*($G1548),""),"")</f>
        <v/>
      </c>
      <c r="I1548" t="str">
        <f>IFERROR(VLOOKUP($E1548,'Fuel Category and Heat Rate'!$K$2:$M$36,3,FALSE),"")</f>
        <v>LPG propane or butane</v>
      </c>
    </row>
    <row r="1549" spans="1:9" x14ac:dyDescent="0.15">
      <c r="A1549" s="2">
        <v>169447</v>
      </c>
      <c r="B1549" s="2" t="s">
        <v>74</v>
      </c>
      <c r="C1549" s="2">
        <v>2019</v>
      </c>
      <c r="D1549" s="2" t="s">
        <v>1</v>
      </c>
      <c r="E1549" s="2" t="s">
        <v>33</v>
      </c>
      <c r="F1549" s="2" t="s">
        <v>38</v>
      </c>
      <c r="G1549" s="7">
        <v>-22.46</v>
      </c>
      <c r="H1549" s="13">
        <f>IFERROR(IF(ABS($G1549)&gt;0,VLOOKUP($E1549,'Fuel Category and Heat Rate'!$B$1:$G$34,6,FALSE)*($G1549),""),"")</f>
        <v>-6231202452457.8486</v>
      </c>
      <c r="I1549" t="str">
        <f>IFERROR(VLOOKUP($E1549,'Fuel Category and Heat Rate'!$K$2:$M$36,3,FALSE),"")</f>
        <v>biomass</v>
      </c>
    </row>
    <row r="1550" spans="1:9" x14ac:dyDescent="0.15">
      <c r="A1550" s="2">
        <v>169482</v>
      </c>
      <c r="B1550" s="2" t="s">
        <v>74</v>
      </c>
      <c r="C1550" s="2">
        <v>2019</v>
      </c>
      <c r="D1550" s="2" t="s">
        <v>1</v>
      </c>
      <c r="E1550" s="2" t="s">
        <v>28</v>
      </c>
      <c r="F1550" s="2" t="s">
        <v>35</v>
      </c>
      <c r="G1550" s="7"/>
      <c r="H1550" s="13" t="str">
        <f>IFERROR(IF(ABS($G1550)&gt;0,VLOOKUP($E1550,'Fuel Category and Heat Rate'!$B$1:$G$34,6,FALSE)*($G1550),""),"")</f>
        <v/>
      </c>
      <c r="I1550" t="str">
        <f>IFERROR(VLOOKUP($E1550,'Fuel Category and Heat Rate'!$K$2:$M$36,3,FALSE),"")</f>
        <v>heavy or residual fuel oil</v>
      </c>
    </row>
    <row r="1551" spans="1:9" x14ac:dyDescent="0.15">
      <c r="A1551" s="2">
        <v>169517</v>
      </c>
      <c r="B1551" s="2" t="s">
        <v>74</v>
      </c>
      <c r="C1551" s="2">
        <v>2019</v>
      </c>
      <c r="D1551" s="2" t="s">
        <v>1</v>
      </c>
      <c r="E1551" s="2" t="s">
        <v>5</v>
      </c>
      <c r="F1551" s="2" t="s">
        <v>35</v>
      </c>
      <c r="G1551" s="7">
        <v>-51.94</v>
      </c>
      <c r="H1551" s="13">
        <f>IFERROR(IF(ABS($G1551)&gt;0,VLOOKUP($E1551,'Fuel Category and Heat Rate'!$B$1:$G$34,6,FALSE)*($G1551),""),"")</f>
        <v>-4117073233611.2817</v>
      </c>
      <c r="I1551" t="str">
        <f>IFERROR(VLOOKUP($E1551,'Fuel Category and Heat Rate'!$K$2:$M$36,3,FALSE),"")</f>
        <v>coal</v>
      </c>
    </row>
    <row r="1552" spans="1:9" x14ac:dyDescent="0.15">
      <c r="A1552" s="2">
        <v>169552</v>
      </c>
      <c r="B1552" s="2" t="s">
        <v>74</v>
      </c>
      <c r="C1552" s="2">
        <v>2019</v>
      </c>
      <c r="D1552" s="2" t="s">
        <v>1</v>
      </c>
      <c r="E1552" s="2" t="s">
        <v>16</v>
      </c>
      <c r="F1552" s="2" t="s">
        <v>35</v>
      </c>
      <c r="G1552" s="7"/>
      <c r="H1552" s="13" t="str">
        <f>IFERROR(IF(ABS($G1552)&gt;0,VLOOKUP($E1552,'Fuel Category and Heat Rate'!$B$1:$G$34,6,FALSE)*($G1552),""),"")</f>
        <v/>
      </c>
      <c r="I1552" t="str">
        <f>IFERROR(VLOOKUP($E1552,'Fuel Category and Heat Rate'!$K$2:$M$36,3,FALSE),"")</f>
        <v>petroleum diesel</v>
      </c>
    </row>
    <row r="1553" spans="1:9" x14ac:dyDescent="0.15">
      <c r="A1553" s="2">
        <v>169587</v>
      </c>
      <c r="B1553" s="2" t="s">
        <v>74</v>
      </c>
      <c r="C1553" s="2">
        <v>2019</v>
      </c>
      <c r="D1553" s="2" t="s">
        <v>1</v>
      </c>
      <c r="E1553" s="2" t="s">
        <v>19</v>
      </c>
      <c r="F1553" s="2" t="s">
        <v>35</v>
      </c>
      <c r="G1553" s="7">
        <v>-5.09</v>
      </c>
      <c r="H1553" s="13">
        <f>IFERROR(IF(ABS($G1553)&gt;0,VLOOKUP($E1553,'Fuel Category and Heat Rate'!$B$1:$G$34,6,FALSE)*($G1553),""),"")</f>
        <v>-2017366568793.491</v>
      </c>
      <c r="I1553" t="str">
        <f>IFERROR(VLOOKUP($E1553,'Fuel Category and Heat Rate'!$K$2:$M$36,3,FALSE),"")</f>
        <v>heavy or residual fuel oil</v>
      </c>
    </row>
    <row r="1554" spans="1:9" x14ac:dyDescent="0.15">
      <c r="A1554" s="2">
        <v>169622</v>
      </c>
      <c r="B1554" s="2" t="s">
        <v>74</v>
      </c>
      <c r="C1554" s="2">
        <v>2019</v>
      </c>
      <c r="D1554" s="2" t="s">
        <v>1</v>
      </c>
      <c r="E1554" s="2" t="s">
        <v>31</v>
      </c>
      <c r="F1554" s="2" t="s">
        <v>37</v>
      </c>
      <c r="G1554" s="7">
        <v>31088.44</v>
      </c>
      <c r="H1554" s="13">
        <f>IFERROR(IF(ABS($G1554)&gt;0,VLOOKUP($E1554,'Fuel Category and Heat Rate'!$B$1:$G$34,6,FALSE)*($G1554),""),"")</f>
        <v>294661557490060.81</v>
      </c>
      <c r="I1554" t="str">
        <f>IFERROR(VLOOKUP($E1554,'Fuel Category and Heat Rate'!$K$2:$M$36,3,FALSE),"")</f>
        <v>heat</v>
      </c>
    </row>
    <row r="1555" spans="1:9" x14ac:dyDescent="0.15">
      <c r="A1555" s="2">
        <v>169657</v>
      </c>
      <c r="B1555" s="2" t="s">
        <v>74</v>
      </c>
      <c r="C1555" s="2">
        <v>2019</v>
      </c>
      <c r="D1555" s="2" t="s">
        <v>1</v>
      </c>
      <c r="E1555" s="2" t="s">
        <v>23</v>
      </c>
      <c r="F1555" s="2" t="s">
        <v>35</v>
      </c>
      <c r="G1555" s="7"/>
      <c r="H1555" s="13" t="str">
        <f>IFERROR(IF(ABS($G1555)&gt;0,VLOOKUP($E1555,'Fuel Category and Heat Rate'!$B$1:$G$34,6,FALSE)*($G1555),""),"")</f>
        <v/>
      </c>
      <c r="I1555" t="str">
        <f>IFERROR(VLOOKUP($E1555,'Fuel Category and Heat Rate'!$K$2:$M$36,3,FALSE),"")</f>
        <v>heavy or residual fuel oil</v>
      </c>
    </row>
    <row r="1556" spans="1:9" x14ac:dyDescent="0.15">
      <c r="A1556" s="2">
        <v>169692</v>
      </c>
      <c r="B1556" s="2" t="s">
        <v>74</v>
      </c>
      <c r="C1556" s="2">
        <v>2019</v>
      </c>
      <c r="D1556" s="2" t="s">
        <v>1</v>
      </c>
      <c r="E1556" s="2" t="s">
        <v>21</v>
      </c>
      <c r="F1556" s="2" t="s">
        <v>35</v>
      </c>
      <c r="G1556" s="7"/>
      <c r="H1556" s="13" t="str">
        <f>IFERROR(IF(ABS($G1556)&gt;0,VLOOKUP($E1556,'Fuel Category and Heat Rate'!$B$1:$G$34,6,FALSE)*($G1556),""),"")</f>
        <v/>
      </c>
      <c r="I1556" t="str">
        <f>IFERROR(VLOOKUP($E1556,'Fuel Category and Heat Rate'!$K$2:$M$36,3,FALSE),"")</f>
        <v>LPG propane or butane</v>
      </c>
    </row>
    <row r="1557" spans="1:9" x14ac:dyDescent="0.15">
      <c r="A1557" s="2">
        <v>169727</v>
      </c>
      <c r="B1557" s="2" t="s">
        <v>74</v>
      </c>
      <c r="C1557" s="2">
        <v>2019</v>
      </c>
      <c r="D1557" s="2" t="s">
        <v>1</v>
      </c>
      <c r="E1557" s="2" t="s">
        <v>22</v>
      </c>
      <c r="F1557" s="2" t="s">
        <v>35</v>
      </c>
      <c r="G1557" s="7"/>
      <c r="H1557" s="13" t="str">
        <f>IFERROR(IF(ABS($G1557)&gt;0,VLOOKUP($E1557,'Fuel Category and Heat Rate'!$B$1:$G$34,6,FALSE)*($G1557),""),"")</f>
        <v/>
      </c>
      <c r="I1557" t="str">
        <f>IFERROR(VLOOKUP($E1557,'Fuel Category and Heat Rate'!$K$2:$M$36,3,FALSE),"")</f>
        <v>heavy fuel oil</v>
      </c>
    </row>
    <row r="1558" spans="1:9" x14ac:dyDescent="0.15">
      <c r="A1558" s="2">
        <v>169762</v>
      </c>
      <c r="B1558" s="2" t="s">
        <v>74</v>
      </c>
      <c r="C1558" s="2">
        <v>2019</v>
      </c>
      <c r="D1558" s="2" t="s">
        <v>1</v>
      </c>
      <c r="E1558" s="2" t="s">
        <v>20</v>
      </c>
      <c r="F1558" s="2" t="s">
        <v>35</v>
      </c>
      <c r="G1558" s="7"/>
      <c r="H1558" s="13" t="str">
        <f>IFERROR(IF(ABS($G1558)&gt;0,VLOOKUP($E1558,'Fuel Category and Heat Rate'!$B$1:$G$34,6,FALSE)*($G1558),""),"")</f>
        <v/>
      </c>
      <c r="I1558" t="str">
        <f>IFERROR(VLOOKUP($E1558,'Fuel Category and Heat Rate'!$K$2:$M$36,3,FALSE),"")</f>
        <v>LPG propane or butane</v>
      </c>
    </row>
    <row r="1559" spans="1:9" x14ac:dyDescent="0.15">
      <c r="A1559" s="2">
        <v>169797</v>
      </c>
      <c r="B1559" s="2" t="s">
        <v>74</v>
      </c>
      <c r="C1559" s="2">
        <v>2019</v>
      </c>
      <c r="D1559" s="2" t="s">
        <v>1</v>
      </c>
      <c r="E1559" s="2" t="s">
        <v>25</v>
      </c>
      <c r="F1559" s="2" t="s">
        <v>35</v>
      </c>
      <c r="G1559" s="7">
        <v>-7.21</v>
      </c>
      <c r="H1559" s="13">
        <f>IFERROR(IF(ABS($G1559)&gt;0,VLOOKUP($E1559,'Fuel Category and Heat Rate'!$B$1:$G$34,6,FALSE)*($G1559),""),"")</f>
        <v>-2183181771846.4856</v>
      </c>
      <c r="I1559" t="str">
        <f>IFERROR(VLOOKUP($E1559,'Fuel Category and Heat Rate'!$K$2:$M$36,3,FALSE),"")</f>
        <v>heavy fuel oil</v>
      </c>
    </row>
    <row r="1560" spans="1:9" x14ac:dyDescent="0.15">
      <c r="A1560" s="2">
        <v>169832</v>
      </c>
      <c r="B1560" s="2" t="s">
        <v>74</v>
      </c>
      <c r="C1560" s="2">
        <v>2019</v>
      </c>
      <c r="D1560" s="2" t="s">
        <v>1</v>
      </c>
      <c r="E1560" s="2" t="s">
        <v>24</v>
      </c>
      <c r="F1560" s="2" t="s">
        <v>35</v>
      </c>
      <c r="G1560" s="7"/>
      <c r="H1560" s="13" t="str">
        <f>IFERROR(IF(ABS($G1560)&gt;0,VLOOKUP($E1560,'Fuel Category and Heat Rate'!$B$1:$G$34,6,FALSE)*($G1560),""),"")</f>
        <v/>
      </c>
      <c r="I1560" t="str">
        <f>IFERROR(VLOOKUP($E1560,'Fuel Category and Heat Rate'!$K$2:$M$36,3,FALSE),"")</f>
        <v>heavy fuel oil</v>
      </c>
    </row>
    <row r="1561" spans="1:9" x14ac:dyDescent="0.15">
      <c r="A1561" s="2">
        <v>169867</v>
      </c>
      <c r="B1561" s="2" t="s">
        <v>74</v>
      </c>
      <c r="C1561" s="2">
        <v>2019</v>
      </c>
      <c r="D1561" s="2" t="s">
        <v>1</v>
      </c>
      <c r="E1561" s="2" t="s">
        <v>29</v>
      </c>
      <c r="F1561" s="2" t="s">
        <v>36</v>
      </c>
      <c r="G1561" s="7">
        <v>-3.16</v>
      </c>
      <c r="H1561" s="13">
        <f>IFERROR(IF(ABS($G1561)&gt;0,VLOOKUP($E1561,'Fuel Category and Heat Rate'!$B$1:$G$34,6,FALSE)*($G1561),""),"")</f>
        <v>-10657921094888.01</v>
      </c>
      <c r="I1561" t="str">
        <f>IFERROR(VLOOKUP($E1561,'Fuel Category and Heat Rate'!$K$2:$M$36,3,FALSE),"")</f>
        <v>natural gas</v>
      </c>
    </row>
    <row r="1562" spans="1:9" x14ac:dyDescent="0.15">
      <c r="A1562" s="2">
        <v>169902</v>
      </c>
      <c r="B1562" s="2" t="s">
        <v>74</v>
      </c>
      <c r="C1562" s="2">
        <v>2019</v>
      </c>
      <c r="D1562" s="2" t="s">
        <v>1</v>
      </c>
      <c r="E1562" s="2" t="s">
        <v>4</v>
      </c>
      <c r="F1562" s="2" t="s">
        <v>35</v>
      </c>
      <c r="G1562" s="7"/>
      <c r="H1562" s="13" t="str">
        <f>IFERROR(IF(ABS($G1562)&gt;0,VLOOKUP($E1562,'Fuel Category and Heat Rate'!$B$1:$G$34,6,FALSE)*($G1562),""),"")</f>
        <v/>
      </c>
      <c r="I1562" t="str">
        <f>IFERROR(VLOOKUP($E1562,'Fuel Category and Heat Rate'!$K$2:$M$36,3,FALSE),"")</f>
        <v>coal</v>
      </c>
    </row>
    <row r="1563" spans="1:9" x14ac:dyDescent="0.15">
      <c r="A1563" s="2">
        <v>169937</v>
      </c>
      <c r="B1563" s="2" t="s">
        <v>74</v>
      </c>
      <c r="C1563" s="2">
        <v>2019</v>
      </c>
      <c r="D1563" s="2" t="s">
        <v>1</v>
      </c>
      <c r="E1563" s="2" t="s">
        <v>6</v>
      </c>
      <c r="F1563" s="2" t="s">
        <v>35</v>
      </c>
      <c r="G1563" s="7"/>
      <c r="H1563" s="13" t="str">
        <f>IFERROR(IF(ABS($G1563)&gt;0,VLOOKUP($E1563,'Fuel Category and Heat Rate'!$B$1:$G$34,6,FALSE)*($G1563),""),"")</f>
        <v/>
      </c>
      <c r="I1563" t="str">
        <f>IFERROR(VLOOKUP($E1563,'Fuel Category and Heat Rate'!$K$2:$M$36,3,FALSE),"")</f>
        <v>coal</v>
      </c>
    </row>
    <row r="1564" spans="1:9" x14ac:dyDescent="0.15">
      <c r="A1564" s="2">
        <v>169972</v>
      </c>
      <c r="B1564" s="2" t="s">
        <v>74</v>
      </c>
      <c r="C1564" s="2">
        <v>2019</v>
      </c>
      <c r="D1564" s="2" t="s">
        <v>1</v>
      </c>
      <c r="E1564" s="2" t="s">
        <v>26</v>
      </c>
      <c r="F1564" s="2" t="s">
        <v>35</v>
      </c>
      <c r="G1564" s="7"/>
      <c r="H1564" s="13" t="str">
        <f>IFERROR(IF(ABS($G1564)&gt;0,VLOOKUP($E1564,'Fuel Category and Heat Rate'!$B$1:$G$34,6,FALSE)*($G1564),""),"")</f>
        <v/>
      </c>
      <c r="I1564" t="str">
        <f>IFERROR(VLOOKUP($E1564,'Fuel Category and Heat Rate'!$K$2:$M$36,3,FALSE),"")</f>
        <v>LPG propane or butane</v>
      </c>
    </row>
    <row r="1565" spans="1:9" x14ac:dyDescent="0.15">
      <c r="A1565" s="2">
        <v>170007</v>
      </c>
      <c r="B1565" s="2" t="s">
        <v>74</v>
      </c>
      <c r="C1565" s="2">
        <v>2019</v>
      </c>
      <c r="D1565" s="2" t="s">
        <v>1</v>
      </c>
      <c r="E1565" s="2" t="s">
        <v>30</v>
      </c>
      <c r="F1565" s="2" t="s">
        <v>35</v>
      </c>
      <c r="G1565" s="7"/>
      <c r="H1565" s="13" t="str">
        <f>IFERROR(IF(ABS($G1565)&gt;0,VLOOKUP($E1565,'Fuel Category and Heat Rate'!$B$1:$G$34,6,FALSE)*($G1565),""),"")</f>
        <v/>
      </c>
      <c r="I1565" t="str">
        <f>IFERROR(VLOOKUP($E1565,'Fuel Category and Heat Rate'!$K$2:$M$36,3,FALSE),"")</f>
        <v>natural gas</v>
      </c>
    </row>
    <row r="1566" spans="1:9" x14ac:dyDescent="0.15">
      <c r="A1566" s="2">
        <v>170042</v>
      </c>
      <c r="B1566" s="2" t="s">
        <v>74</v>
      </c>
      <c r="C1566" s="2">
        <v>2019</v>
      </c>
      <c r="D1566" s="2" t="s">
        <v>1</v>
      </c>
      <c r="E1566" s="2" t="s">
        <v>14</v>
      </c>
      <c r="F1566" s="2" t="s">
        <v>35</v>
      </c>
      <c r="G1566" s="7">
        <v>-13.96</v>
      </c>
      <c r="H1566" s="13">
        <f>IFERROR(IF(ABS($G1566)&gt;0,VLOOKUP($E1566,'Fuel Category and Heat Rate'!$B$1:$G$34,6,FALSE)*($G1566),""),"")</f>
        <v>0</v>
      </c>
      <c r="I1566" t="str">
        <f>IFERROR(VLOOKUP($E1566,'Fuel Category and Heat Rate'!$K$2:$M$36,3,FALSE),"")</f>
        <v/>
      </c>
    </row>
    <row r="1567" spans="1:9" x14ac:dyDescent="0.15">
      <c r="A1567" s="2">
        <v>170077</v>
      </c>
      <c r="B1567" s="2" t="s">
        <v>74</v>
      </c>
      <c r="C1567" s="2">
        <v>2019</v>
      </c>
      <c r="D1567" s="2" t="s">
        <v>1</v>
      </c>
      <c r="E1567" s="2" t="s">
        <v>3</v>
      </c>
      <c r="F1567" s="2" t="s">
        <v>35</v>
      </c>
      <c r="G1567" s="7">
        <v>-1773.91</v>
      </c>
      <c r="H1567" s="13">
        <f>IFERROR(IF(ABS($G1567)&gt;0,VLOOKUP($E1567,'Fuel Category and Heat Rate'!$B$1:$G$34,6,FALSE)*($G1567),""),"")</f>
        <v>-351535042244446.13</v>
      </c>
      <c r="I1567" t="str">
        <f>IFERROR(VLOOKUP($E1567,'Fuel Category and Heat Rate'!$K$2:$M$36,3,FALSE),"")</f>
        <v>coal</v>
      </c>
    </row>
    <row r="1568" spans="1:9" x14ac:dyDescent="0.15">
      <c r="A1568" s="2">
        <v>170112</v>
      </c>
      <c r="B1568" s="2" t="s">
        <v>74</v>
      </c>
      <c r="C1568" s="2">
        <v>2019</v>
      </c>
      <c r="D1568" s="2" t="s">
        <v>1</v>
      </c>
      <c r="E1568" s="2" t="s">
        <v>15</v>
      </c>
      <c r="F1568" s="2" t="s">
        <v>35</v>
      </c>
      <c r="G1568" s="7"/>
      <c r="H1568" s="13" t="str">
        <f>IFERROR(IF(ABS($G1568)&gt;0,VLOOKUP($E1568,'Fuel Category and Heat Rate'!$B$1:$G$34,6,FALSE)*($G1568),""),"")</f>
        <v/>
      </c>
      <c r="I1568" t="str">
        <f>IFERROR(VLOOKUP($E1568,'Fuel Category and Heat Rate'!$K$2:$M$36,3,FALSE),"")</f>
        <v>crude oil</v>
      </c>
    </row>
    <row r="1569" spans="1:9" x14ac:dyDescent="0.15">
      <c r="A1569" s="2">
        <v>170147</v>
      </c>
      <c r="B1569" s="2" t="s">
        <v>74</v>
      </c>
      <c r="C1569" s="2">
        <v>2019</v>
      </c>
      <c r="D1569" s="2" t="s">
        <v>1</v>
      </c>
      <c r="E1569" s="2" t="s">
        <v>11</v>
      </c>
      <c r="F1569" s="2" t="s">
        <v>36</v>
      </c>
      <c r="G1569" s="7"/>
      <c r="H1569" s="13" t="str">
        <f>IFERROR(IF(ABS($G1569)&gt;0,VLOOKUP($E1569,'Fuel Category and Heat Rate'!$B$1:$G$34,6,FALSE)*($G1569),""),"")</f>
        <v/>
      </c>
      <c r="I1569" t="str">
        <f>IFERROR(VLOOKUP($E1569,'Fuel Category and Heat Rate'!$K$2:$M$36,3,FALSE),"")</f>
        <v>LPG propane or butane</v>
      </c>
    </row>
    <row r="1570" spans="1:9" x14ac:dyDescent="0.15">
      <c r="A1570" s="2">
        <v>170182</v>
      </c>
      <c r="B1570" s="2" t="s">
        <v>74</v>
      </c>
      <c r="C1570" s="2">
        <v>2018</v>
      </c>
      <c r="D1570" s="2" t="s">
        <v>1</v>
      </c>
      <c r="E1570" s="2" t="s">
        <v>18</v>
      </c>
      <c r="F1570" s="2" t="s">
        <v>35</v>
      </c>
      <c r="G1570" s="7">
        <v>-0.9</v>
      </c>
      <c r="H1570" s="13">
        <f>IFERROR(IF(ABS($G1570)&gt;0,VLOOKUP($E1570,'Fuel Category and Heat Rate'!$B$1:$G$34,6,FALSE)*($G1570),""),"")</f>
        <v>-363836663243.94104</v>
      </c>
      <c r="I1570" t="str">
        <f>IFERROR(VLOOKUP($E1570,'Fuel Category and Heat Rate'!$K$2:$M$36,3,FALSE),"")</f>
        <v>petroleum diesel</v>
      </c>
    </row>
    <row r="1571" spans="1:9" x14ac:dyDescent="0.15">
      <c r="A1571" s="2">
        <v>170217</v>
      </c>
      <c r="B1571" s="2" t="s">
        <v>74</v>
      </c>
      <c r="C1571" s="2">
        <v>2018</v>
      </c>
      <c r="D1571" s="2" t="s">
        <v>1</v>
      </c>
      <c r="E1571" s="2" t="s">
        <v>32</v>
      </c>
      <c r="F1571" s="2" t="s">
        <v>65</v>
      </c>
      <c r="G1571" s="7"/>
      <c r="H1571" s="13" t="str">
        <f>IFERROR(IF(ABS($G1571)&gt;0,VLOOKUP($E1571,'Fuel Category and Heat Rate'!$B$1:$G$34,6,FALSE)*($G1571),""),"")</f>
        <v/>
      </c>
      <c r="I1571" t="str">
        <f>IFERROR(VLOOKUP($E1571,'Fuel Category and Heat Rate'!$K$2:$M$36,3,FALSE),"")</f>
        <v>electricity</v>
      </c>
    </row>
    <row r="1572" spans="1:9" x14ac:dyDescent="0.15">
      <c r="A1572" s="2">
        <v>170252</v>
      </c>
      <c r="B1572" s="2" t="s">
        <v>74</v>
      </c>
      <c r="C1572" s="2">
        <v>2018</v>
      </c>
      <c r="D1572" s="2" t="s">
        <v>1</v>
      </c>
      <c r="E1572" s="2" t="s">
        <v>10</v>
      </c>
      <c r="F1572" s="2" t="s">
        <v>36</v>
      </c>
      <c r="G1572" s="7"/>
      <c r="H1572" s="13" t="str">
        <f>IFERROR(IF(ABS($G1572)&gt;0,VLOOKUP($E1572,'Fuel Category and Heat Rate'!$B$1:$G$34,6,FALSE)*($G1572),""),"")</f>
        <v/>
      </c>
      <c r="I1572" t="str">
        <f>IFERROR(VLOOKUP($E1572,'Fuel Category and Heat Rate'!$K$2:$M$36,3,FALSE),"")</f>
        <v>LPG propane or butane</v>
      </c>
    </row>
    <row r="1573" spans="1:9" x14ac:dyDescent="0.15">
      <c r="A1573" s="2">
        <v>170287</v>
      </c>
      <c r="B1573" s="2" t="s">
        <v>74</v>
      </c>
      <c r="C1573" s="2">
        <v>2018</v>
      </c>
      <c r="D1573" s="2" t="s">
        <v>1</v>
      </c>
      <c r="E1573" s="2" t="s">
        <v>9</v>
      </c>
      <c r="F1573" s="2" t="s">
        <v>36</v>
      </c>
      <c r="G1573" s="7">
        <v>-0.16</v>
      </c>
      <c r="H1573" s="13">
        <f>IFERROR(IF(ABS($G1573)&gt;0,VLOOKUP($E1573,'Fuel Category and Heat Rate'!$B$1:$G$34,6,FALSE)*($G1573),""),"")</f>
        <v>-263167111011.23227</v>
      </c>
      <c r="I1573" t="str">
        <f>IFERROR(VLOOKUP($E1573,'Fuel Category and Heat Rate'!$K$2:$M$36,3,FALSE),"")</f>
        <v>LPG propane or butane</v>
      </c>
    </row>
    <row r="1574" spans="1:9" x14ac:dyDescent="0.15">
      <c r="A1574" s="2">
        <v>170322</v>
      </c>
      <c r="B1574" s="2" t="s">
        <v>74</v>
      </c>
      <c r="C1574" s="2">
        <v>2018</v>
      </c>
      <c r="D1574" s="2" t="s">
        <v>1</v>
      </c>
      <c r="E1574" s="2" t="s">
        <v>8</v>
      </c>
      <c r="F1574" s="2" t="s">
        <v>35</v>
      </c>
      <c r="G1574" s="7"/>
      <c r="H1574" s="13" t="str">
        <f>IFERROR(IF(ABS($G1574)&gt;0,VLOOKUP($E1574,'Fuel Category and Heat Rate'!$B$1:$G$34,6,FALSE)*($G1574),""),"")</f>
        <v/>
      </c>
      <c r="I1574" t="str">
        <f>IFERROR(VLOOKUP($E1574,'Fuel Category and Heat Rate'!$K$2:$M$36,3,FALSE),"")</f>
        <v>coal</v>
      </c>
    </row>
    <row r="1575" spans="1:9" x14ac:dyDescent="0.15">
      <c r="A1575" s="2">
        <v>170357</v>
      </c>
      <c r="B1575" s="2" t="s">
        <v>74</v>
      </c>
      <c r="C1575" s="2">
        <v>2018</v>
      </c>
      <c r="D1575" s="2" t="s">
        <v>1</v>
      </c>
      <c r="E1575" s="2" t="s">
        <v>27</v>
      </c>
      <c r="F1575" s="2" t="s">
        <v>35</v>
      </c>
      <c r="G1575" s="7">
        <v>-0.71</v>
      </c>
      <c r="H1575" s="13">
        <f>IFERROR(IF(ABS($G1575)&gt;0,VLOOKUP($E1575,'Fuel Category and Heat Rate'!$B$1:$G$34,6,FALSE)*($G1575),""),"")</f>
        <v>-309543613259.90466</v>
      </c>
      <c r="I1575" t="str">
        <f>IFERROR(VLOOKUP($E1575,'Fuel Category and Heat Rate'!$K$2:$M$36,3,FALSE),"")</f>
        <v>LPG propane or butane</v>
      </c>
    </row>
    <row r="1576" spans="1:9" x14ac:dyDescent="0.15">
      <c r="A1576" s="2">
        <v>170392</v>
      </c>
      <c r="B1576" s="2" t="s">
        <v>74</v>
      </c>
      <c r="C1576" s="2">
        <v>2018</v>
      </c>
      <c r="D1576" s="2" t="s">
        <v>1</v>
      </c>
      <c r="E1576" s="2" t="s">
        <v>7</v>
      </c>
      <c r="F1576" s="2" t="s">
        <v>35</v>
      </c>
      <c r="G1576" s="7">
        <v>-61.93</v>
      </c>
      <c r="H1576" s="13">
        <f>IFERROR(IF(ABS($G1576)&gt;0,VLOOKUP($E1576,'Fuel Category and Heat Rate'!$B$1:$G$34,6,FALSE)*($G1576),""),"")</f>
        <v>-4915396848422.7637</v>
      </c>
      <c r="I1576" t="str">
        <f>IFERROR(VLOOKUP($E1576,'Fuel Category and Heat Rate'!$K$2:$M$36,3,FALSE),"")</f>
        <v>coal</v>
      </c>
    </row>
    <row r="1577" spans="1:9" x14ac:dyDescent="0.15">
      <c r="A1577" s="2">
        <v>170427</v>
      </c>
      <c r="B1577" s="2" t="s">
        <v>74</v>
      </c>
      <c r="C1577" s="2">
        <v>2018</v>
      </c>
      <c r="D1577" s="2" t="s">
        <v>1</v>
      </c>
      <c r="E1577" s="2" t="s">
        <v>2</v>
      </c>
      <c r="F1577" s="2" t="s">
        <v>35</v>
      </c>
      <c r="G1577" s="7">
        <v>-1682.72</v>
      </c>
      <c r="H1577" s="13">
        <f>IFERROR(IF(ABS($G1577)&gt;0,VLOOKUP($E1577,'Fuel Category and Heat Rate'!$B$1:$G$34,6,FALSE)*($G1577),""),"")</f>
        <v>0</v>
      </c>
      <c r="I1577" t="str">
        <f>IFERROR(VLOOKUP($E1577,'Fuel Category and Heat Rate'!$K$2:$M$36,3,FALSE),"")</f>
        <v/>
      </c>
    </row>
    <row r="1578" spans="1:9" x14ac:dyDescent="0.15">
      <c r="A1578" s="2">
        <v>170462</v>
      </c>
      <c r="B1578" s="2" t="s">
        <v>74</v>
      </c>
      <c r="C1578" s="2">
        <v>2018</v>
      </c>
      <c r="D1578" s="2" t="s">
        <v>1</v>
      </c>
      <c r="E1578" s="2" t="s">
        <v>17</v>
      </c>
      <c r="F1578" s="2" t="s">
        <v>35</v>
      </c>
      <c r="G1578" s="7"/>
      <c r="H1578" s="13" t="str">
        <f>IFERROR(IF(ABS($G1578)&gt;0,VLOOKUP($E1578,'Fuel Category and Heat Rate'!$B$1:$G$34,6,FALSE)*($G1578),""),"")</f>
        <v/>
      </c>
      <c r="I1578" t="str">
        <f>IFERROR(VLOOKUP($E1578,'Fuel Category and Heat Rate'!$K$2:$M$36,3,FALSE),"")</f>
        <v>petroleum diesel</v>
      </c>
    </row>
    <row r="1579" spans="1:9" x14ac:dyDescent="0.15">
      <c r="A1579" s="2">
        <v>170497</v>
      </c>
      <c r="B1579" s="2" t="s">
        <v>74</v>
      </c>
      <c r="C1579" s="2">
        <v>2018</v>
      </c>
      <c r="D1579" s="2" t="s">
        <v>1</v>
      </c>
      <c r="E1579" s="2" t="s">
        <v>13</v>
      </c>
      <c r="F1579" s="2" t="s">
        <v>35</v>
      </c>
      <c r="G1579" s="7"/>
      <c r="H1579" s="13" t="str">
        <f>IFERROR(IF(ABS($G1579)&gt;0,VLOOKUP($E1579,'Fuel Category and Heat Rate'!$B$1:$G$34,6,FALSE)*($G1579),""),"")</f>
        <v/>
      </c>
      <c r="I1579" t="str">
        <f>IFERROR(VLOOKUP($E1579,'Fuel Category and Heat Rate'!$K$2:$M$36,3,FALSE),"")</f>
        <v>petroleum diesel</v>
      </c>
    </row>
    <row r="1580" spans="1:9" x14ac:dyDescent="0.15">
      <c r="A1580" s="2">
        <v>170532</v>
      </c>
      <c r="B1580" s="2" t="s">
        <v>74</v>
      </c>
      <c r="C1580" s="2">
        <v>2018</v>
      </c>
      <c r="D1580" s="2" t="s">
        <v>1</v>
      </c>
      <c r="E1580" s="2" t="s">
        <v>12</v>
      </c>
      <c r="F1580" s="2" t="s">
        <v>36</v>
      </c>
      <c r="G1580" s="7"/>
      <c r="H1580" s="13" t="str">
        <f>IFERROR(IF(ABS($G1580)&gt;0,VLOOKUP($E1580,'Fuel Category and Heat Rate'!$B$1:$G$34,6,FALSE)*($G1580),""),"")</f>
        <v/>
      </c>
      <c r="I1580" t="str">
        <f>IFERROR(VLOOKUP($E1580,'Fuel Category and Heat Rate'!$K$2:$M$36,3,FALSE),"")</f>
        <v>LPG propane or butane</v>
      </c>
    </row>
    <row r="1581" spans="1:9" x14ac:dyDescent="0.15">
      <c r="A1581" s="2">
        <v>170567</v>
      </c>
      <c r="B1581" s="2" t="s">
        <v>74</v>
      </c>
      <c r="C1581" s="2">
        <v>2018</v>
      </c>
      <c r="D1581" s="2" t="s">
        <v>1</v>
      </c>
      <c r="E1581" s="2" t="s">
        <v>33</v>
      </c>
      <c r="F1581" s="2" t="s">
        <v>38</v>
      </c>
      <c r="G1581" s="7">
        <v>-27.63</v>
      </c>
      <c r="H1581" s="13">
        <f>IFERROR(IF(ABS($G1581)&gt;0,VLOOKUP($E1581,'Fuel Category and Heat Rate'!$B$1:$G$34,6,FALSE)*($G1581),""),"")</f>
        <v>-7665544245833.0518</v>
      </c>
      <c r="I1581" t="str">
        <f>IFERROR(VLOOKUP($E1581,'Fuel Category and Heat Rate'!$K$2:$M$36,3,FALSE),"")</f>
        <v>biomass</v>
      </c>
    </row>
    <row r="1582" spans="1:9" x14ac:dyDescent="0.15">
      <c r="A1582" s="2">
        <v>170602</v>
      </c>
      <c r="B1582" s="2" t="s">
        <v>74</v>
      </c>
      <c r="C1582" s="2">
        <v>2018</v>
      </c>
      <c r="D1582" s="2" t="s">
        <v>1</v>
      </c>
      <c r="E1582" s="2" t="s">
        <v>28</v>
      </c>
      <c r="F1582" s="2" t="s">
        <v>35</v>
      </c>
      <c r="G1582" s="7"/>
      <c r="H1582" s="13" t="str">
        <f>IFERROR(IF(ABS($G1582)&gt;0,VLOOKUP($E1582,'Fuel Category and Heat Rate'!$B$1:$G$34,6,FALSE)*($G1582),""),"")</f>
        <v/>
      </c>
      <c r="I1582" t="str">
        <f>IFERROR(VLOOKUP($E1582,'Fuel Category and Heat Rate'!$K$2:$M$36,3,FALSE),"")</f>
        <v>heavy or residual fuel oil</v>
      </c>
    </row>
    <row r="1583" spans="1:9" x14ac:dyDescent="0.15">
      <c r="A1583" s="2">
        <v>170637</v>
      </c>
      <c r="B1583" s="2" t="s">
        <v>74</v>
      </c>
      <c r="C1583" s="2">
        <v>2018</v>
      </c>
      <c r="D1583" s="2" t="s">
        <v>1</v>
      </c>
      <c r="E1583" s="2" t="s">
        <v>5</v>
      </c>
      <c r="F1583" s="2" t="s">
        <v>35</v>
      </c>
      <c r="G1583" s="7">
        <v>-49.38</v>
      </c>
      <c r="H1583" s="13">
        <f>IFERROR(IF(ABS($G1583)&gt;0,VLOOKUP($E1583,'Fuel Category and Heat Rate'!$B$1:$G$34,6,FALSE)*($G1583),""),"")</f>
        <v>-3914152411931.5581</v>
      </c>
      <c r="I1583" t="str">
        <f>IFERROR(VLOOKUP($E1583,'Fuel Category and Heat Rate'!$K$2:$M$36,3,FALSE),"")</f>
        <v>coal</v>
      </c>
    </row>
    <row r="1584" spans="1:9" x14ac:dyDescent="0.15">
      <c r="A1584" s="2">
        <v>170672</v>
      </c>
      <c r="B1584" s="2" t="s">
        <v>74</v>
      </c>
      <c r="C1584" s="2">
        <v>2018</v>
      </c>
      <c r="D1584" s="2" t="s">
        <v>1</v>
      </c>
      <c r="E1584" s="2" t="s">
        <v>16</v>
      </c>
      <c r="F1584" s="2" t="s">
        <v>35</v>
      </c>
      <c r="G1584" s="7"/>
      <c r="H1584" s="13" t="str">
        <f>IFERROR(IF(ABS($G1584)&gt;0,VLOOKUP($E1584,'Fuel Category and Heat Rate'!$B$1:$G$34,6,FALSE)*($G1584),""),"")</f>
        <v/>
      </c>
      <c r="I1584" t="str">
        <f>IFERROR(VLOOKUP($E1584,'Fuel Category and Heat Rate'!$K$2:$M$36,3,FALSE),"")</f>
        <v>petroleum diesel</v>
      </c>
    </row>
    <row r="1585" spans="1:9" x14ac:dyDescent="0.15">
      <c r="A1585" s="2">
        <v>170707</v>
      </c>
      <c r="B1585" s="2" t="s">
        <v>74</v>
      </c>
      <c r="C1585" s="2">
        <v>2018</v>
      </c>
      <c r="D1585" s="2" t="s">
        <v>1</v>
      </c>
      <c r="E1585" s="2" t="s">
        <v>19</v>
      </c>
      <c r="F1585" s="2" t="s">
        <v>35</v>
      </c>
      <c r="G1585" s="7">
        <v>-7.97</v>
      </c>
      <c r="H1585" s="13">
        <f>IFERROR(IF(ABS($G1585)&gt;0,VLOOKUP($E1585,'Fuel Category and Heat Rate'!$B$1:$G$34,6,FALSE)*($G1585),""),"")</f>
        <v>-3158823487875.0732</v>
      </c>
      <c r="I1585" t="str">
        <f>IFERROR(VLOOKUP($E1585,'Fuel Category and Heat Rate'!$K$2:$M$36,3,FALSE),"")</f>
        <v>heavy or residual fuel oil</v>
      </c>
    </row>
    <row r="1586" spans="1:9" x14ac:dyDescent="0.15">
      <c r="A1586" s="2">
        <v>170742</v>
      </c>
      <c r="B1586" s="2" t="s">
        <v>74</v>
      </c>
      <c r="C1586" s="2">
        <v>2018</v>
      </c>
      <c r="D1586" s="2" t="s">
        <v>1</v>
      </c>
      <c r="E1586" s="2" t="s">
        <v>31</v>
      </c>
      <c r="F1586" s="2" t="s">
        <v>37</v>
      </c>
      <c r="G1586" s="7">
        <v>27581.47</v>
      </c>
      <c r="H1586" s="13">
        <f>IFERROR(IF(ABS($G1586)&gt;0,VLOOKUP($E1586,'Fuel Category and Heat Rate'!$B$1:$G$34,6,FALSE)*($G1586),""),"")</f>
        <v>261421895343265.5</v>
      </c>
      <c r="I1586" t="str">
        <f>IFERROR(VLOOKUP($E1586,'Fuel Category and Heat Rate'!$K$2:$M$36,3,FALSE),"")</f>
        <v>heat</v>
      </c>
    </row>
    <row r="1587" spans="1:9" x14ac:dyDescent="0.15">
      <c r="A1587" s="2">
        <v>170777</v>
      </c>
      <c r="B1587" s="2" t="s">
        <v>74</v>
      </c>
      <c r="C1587" s="2">
        <v>2018</v>
      </c>
      <c r="D1587" s="2" t="s">
        <v>1</v>
      </c>
      <c r="E1587" s="2" t="s">
        <v>23</v>
      </c>
      <c r="F1587" s="2" t="s">
        <v>35</v>
      </c>
      <c r="G1587" s="7"/>
      <c r="H1587" s="13" t="str">
        <f>IFERROR(IF(ABS($G1587)&gt;0,VLOOKUP($E1587,'Fuel Category and Heat Rate'!$B$1:$G$34,6,FALSE)*($G1587),""),"")</f>
        <v/>
      </c>
      <c r="I1587" t="str">
        <f>IFERROR(VLOOKUP($E1587,'Fuel Category and Heat Rate'!$K$2:$M$36,3,FALSE),"")</f>
        <v>heavy or residual fuel oil</v>
      </c>
    </row>
    <row r="1588" spans="1:9" x14ac:dyDescent="0.15">
      <c r="A1588" s="2">
        <v>170812</v>
      </c>
      <c r="B1588" s="2" t="s">
        <v>74</v>
      </c>
      <c r="C1588" s="2">
        <v>2018</v>
      </c>
      <c r="D1588" s="2" t="s">
        <v>1</v>
      </c>
      <c r="E1588" s="2" t="s">
        <v>21</v>
      </c>
      <c r="F1588" s="2" t="s">
        <v>35</v>
      </c>
      <c r="G1588" s="7"/>
      <c r="H1588" s="13" t="str">
        <f>IFERROR(IF(ABS($G1588)&gt;0,VLOOKUP($E1588,'Fuel Category and Heat Rate'!$B$1:$G$34,6,FALSE)*($G1588),""),"")</f>
        <v/>
      </c>
      <c r="I1588" t="str">
        <f>IFERROR(VLOOKUP($E1588,'Fuel Category and Heat Rate'!$K$2:$M$36,3,FALSE),"")</f>
        <v>LPG propane or butane</v>
      </c>
    </row>
    <row r="1589" spans="1:9" x14ac:dyDescent="0.15">
      <c r="A1589" s="2">
        <v>170847</v>
      </c>
      <c r="B1589" s="2" t="s">
        <v>74</v>
      </c>
      <c r="C1589" s="2">
        <v>2018</v>
      </c>
      <c r="D1589" s="2" t="s">
        <v>1</v>
      </c>
      <c r="E1589" s="2" t="s">
        <v>22</v>
      </c>
      <c r="F1589" s="2" t="s">
        <v>35</v>
      </c>
      <c r="G1589" s="7"/>
      <c r="H1589" s="13" t="str">
        <f>IFERROR(IF(ABS($G1589)&gt;0,VLOOKUP($E1589,'Fuel Category and Heat Rate'!$B$1:$G$34,6,FALSE)*($G1589),""),"")</f>
        <v/>
      </c>
      <c r="I1589" t="str">
        <f>IFERROR(VLOOKUP($E1589,'Fuel Category and Heat Rate'!$K$2:$M$36,3,FALSE),"")</f>
        <v>heavy fuel oil</v>
      </c>
    </row>
    <row r="1590" spans="1:9" x14ac:dyDescent="0.15">
      <c r="A1590" s="2">
        <v>170882</v>
      </c>
      <c r="B1590" s="2" t="s">
        <v>74</v>
      </c>
      <c r="C1590" s="2">
        <v>2018</v>
      </c>
      <c r="D1590" s="2" t="s">
        <v>1</v>
      </c>
      <c r="E1590" s="2" t="s">
        <v>20</v>
      </c>
      <c r="F1590" s="2" t="s">
        <v>35</v>
      </c>
      <c r="G1590" s="7"/>
      <c r="H1590" s="13" t="str">
        <f>IFERROR(IF(ABS($G1590)&gt;0,VLOOKUP($E1590,'Fuel Category and Heat Rate'!$B$1:$G$34,6,FALSE)*($G1590),""),"")</f>
        <v/>
      </c>
      <c r="I1590" t="str">
        <f>IFERROR(VLOOKUP($E1590,'Fuel Category and Heat Rate'!$K$2:$M$36,3,FALSE),"")</f>
        <v>LPG propane or butane</v>
      </c>
    </row>
    <row r="1591" spans="1:9" x14ac:dyDescent="0.15">
      <c r="A1591" s="2">
        <v>170917</v>
      </c>
      <c r="B1591" s="2" t="s">
        <v>74</v>
      </c>
      <c r="C1591" s="2">
        <v>2018</v>
      </c>
      <c r="D1591" s="2" t="s">
        <v>1</v>
      </c>
      <c r="E1591" s="2" t="s">
        <v>25</v>
      </c>
      <c r="F1591" s="2" t="s">
        <v>35</v>
      </c>
      <c r="G1591" s="7">
        <v>-6.7</v>
      </c>
      <c r="H1591" s="13">
        <f>IFERROR(IF(ABS($G1591)&gt;0,VLOOKUP($E1591,'Fuel Category and Heat Rate'!$B$1:$G$34,6,FALSE)*($G1591),""),"")</f>
        <v>-2028754212395.4858</v>
      </c>
      <c r="I1591" t="str">
        <f>IFERROR(VLOOKUP($E1591,'Fuel Category and Heat Rate'!$K$2:$M$36,3,FALSE),"")</f>
        <v>heavy fuel oil</v>
      </c>
    </row>
    <row r="1592" spans="1:9" x14ac:dyDescent="0.15">
      <c r="A1592" s="2">
        <v>170952</v>
      </c>
      <c r="B1592" s="2" t="s">
        <v>74</v>
      </c>
      <c r="C1592" s="2">
        <v>2018</v>
      </c>
      <c r="D1592" s="2" t="s">
        <v>1</v>
      </c>
      <c r="E1592" s="2" t="s">
        <v>24</v>
      </c>
      <c r="F1592" s="2" t="s">
        <v>35</v>
      </c>
      <c r="G1592" s="7"/>
      <c r="H1592" s="13" t="str">
        <f>IFERROR(IF(ABS($G1592)&gt;0,VLOOKUP($E1592,'Fuel Category and Heat Rate'!$B$1:$G$34,6,FALSE)*($G1592),""),"")</f>
        <v/>
      </c>
      <c r="I1592" t="str">
        <f>IFERROR(VLOOKUP($E1592,'Fuel Category and Heat Rate'!$K$2:$M$36,3,FALSE),"")</f>
        <v>heavy fuel oil</v>
      </c>
    </row>
    <row r="1593" spans="1:9" x14ac:dyDescent="0.15">
      <c r="A1593" s="2">
        <v>170987</v>
      </c>
      <c r="B1593" s="2" t="s">
        <v>74</v>
      </c>
      <c r="C1593" s="2">
        <v>2018</v>
      </c>
      <c r="D1593" s="2" t="s">
        <v>1</v>
      </c>
      <c r="E1593" s="2" t="s">
        <v>29</v>
      </c>
      <c r="F1593" s="2" t="s">
        <v>36</v>
      </c>
      <c r="G1593" s="7">
        <v>-1.86</v>
      </c>
      <c r="H1593" s="13">
        <f>IFERROR(IF(ABS($G1593)&gt;0,VLOOKUP($E1593,'Fuel Category and Heat Rate'!$B$1:$G$34,6,FALSE)*($G1593),""),"")</f>
        <v>-6273333302687.2471</v>
      </c>
      <c r="I1593" t="str">
        <f>IFERROR(VLOOKUP($E1593,'Fuel Category and Heat Rate'!$K$2:$M$36,3,FALSE),"")</f>
        <v>natural gas</v>
      </c>
    </row>
    <row r="1594" spans="1:9" x14ac:dyDescent="0.15">
      <c r="A1594" s="2">
        <v>171022</v>
      </c>
      <c r="B1594" s="2" t="s">
        <v>74</v>
      </c>
      <c r="C1594" s="2">
        <v>2018</v>
      </c>
      <c r="D1594" s="2" t="s">
        <v>1</v>
      </c>
      <c r="E1594" s="2" t="s">
        <v>4</v>
      </c>
      <c r="F1594" s="2" t="s">
        <v>35</v>
      </c>
      <c r="G1594" s="7"/>
      <c r="H1594" s="13" t="str">
        <f>IFERROR(IF(ABS($G1594)&gt;0,VLOOKUP($E1594,'Fuel Category and Heat Rate'!$B$1:$G$34,6,FALSE)*($G1594),""),"")</f>
        <v/>
      </c>
      <c r="I1594" t="str">
        <f>IFERROR(VLOOKUP($E1594,'Fuel Category and Heat Rate'!$K$2:$M$36,3,FALSE),"")</f>
        <v>coal</v>
      </c>
    </row>
    <row r="1595" spans="1:9" x14ac:dyDescent="0.15">
      <c r="A1595" s="2">
        <v>171057</v>
      </c>
      <c r="B1595" s="2" t="s">
        <v>74</v>
      </c>
      <c r="C1595" s="2">
        <v>2018</v>
      </c>
      <c r="D1595" s="2" t="s">
        <v>1</v>
      </c>
      <c r="E1595" s="2" t="s">
        <v>6</v>
      </c>
      <c r="F1595" s="2" t="s">
        <v>35</v>
      </c>
      <c r="G1595" s="7"/>
      <c r="H1595" s="13" t="str">
        <f>IFERROR(IF(ABS($G1595)&gt;0,VLOOKUP($E1595,'Fuel Category and Heat Rate'!$B$1:$G$34,6,FALSE)*($G1595),""),"")</f>
        <v/>
      </c>
      <c r="I1595" t="str">
        <f>IFERROR(VLOOKUP($E1595,'Fuel Category and Heat Rate'!$K$2:$M$36,3,FALSE),"")</f>
        <v>coal</v>
      </c>
    </row>
    <row r="1596" spans="1:9" x14ac:dyDescent="0.15">
      <c r="A1596" s="2">
        <v>171092</v>
      </c>
      <c r="B1596" s="2" t="s">
        <v>74</v>
      </c>
      <c r="C1596" s="2">
        <v>2018</v>
      </c>
      <c r="D1596" s="2" t="s">
        <v>1</v>
      </c>
      <c r="E1596" s="2" t="s">
        <v>26</v>
      </c>
      <c r="F1596" s="2" t="s">
        <v>35</v>
      </c>
      <c r="G1596" s="7"/>
      <c r="H1596" s="13" t="str">
        <f>IFERROR(IF(ABS($G1596)&gt;0,VLOOKUP($E1596,'Fuel Category and Heat Rate'!$B$1:$G$34,6,FALSE)*($G1596),""),"")</f>
        <v/>
      </c>
      <c r="I1596" t="str">
        <f>IFERROR(VLOOKUP($E1596,'Fuel Category and Heat Rate'!$K$2:$M$36,3,FALSE),"")</f>
        <v>LPG propane or butane</v>
      </c>
    </row>
    <row r="1597" spans="1:9" x14ac:dyDescent="0.15">
      <c r="A1597" s="2">
        <v>171127</v>
      </c>
      <c r="B1597" s="2" t="s">
        <v>74</v>
      </c>
      <c r="C1597" s="2">
        <v>2018</v>
      </c>
      <c r="D1597" s="2" t="s">
        <v>1</v>
      </c>
      <c r="E1597" s="2" t="s">
        <v>30</v>
      </c>
      <c r="F1597" s="2" t="s">
        <v>35</v>
      </c>
      <c r="G1597" s="7"/>
      <c r="H1597" s="13" t="str">
        <f>IFERROR(IF(ABS($G1597)&gt;0,VLOOKUP($E1597,'Fuel Category and Heat Rate'!$B$1:$G$34,6,FALSE)*($G1597),""),"")</f>
        <v/>
      </c>
      <c r="I1597" t="str">
        <f>IFERROR(VLOOKUP($E1597,'Fuel Category and Heat Rate'!$K$2:$M$36,3,FALSE),"")</f>
        <v>natural gas</v>
      </c>
    </row>
    <row r="1598" spans="1:9" x14ac:dyDescent="0.15">
      <c r="A1598" s="2">
        <v>171162</v>
      </c>
      <c r="B1598" s="2" t="s">
        <v>74</v>
      </c>
      <c r="C1598" s="2">
        <v>2018</v>
      </c>
      <c r="D1598" s="2" t="s">
        <v>1</v>
      </c>
      <c r="E1598" s="2" t="s">
        <v>14</v>
      </c>
      <c r="F1598" s="2" t="s">
        <v>35</v>
      </c>
      <c r="G1598" s="7">
        <v>-16.29</v>
      </c>
      <c r="H1598" s="13">
        <f>IFERROR(IF(ABS($G1598)&gt;0,VLOOKUP($E1598,'Fuel Category and Heat Rate'!$B$1:$G$34,6,FALSE)*($G1598),""),"")</f>
        <v>0</v>
      </c>
      <c r="I1598" t="str">
        <f>IFERROR(VLOOKUP($E1598,'Fuel Category and Heat Rate'!$K$2:$M$36,3,FALSE),"")</f>
        <v/>
      </c>
    </row>
    <row r="1599" spans="1:9" x14ac:dyDescent="0.15">
      <c r="A1599" s="2">
        <v>171197</v>
      </c>
      <c r="B1599" s="2" t="s">
        <v>74</v>
      </c>
      <c r="C1599" s="2">
        <v>2018</v>
      </c>
      <c r="D1599" s="2" t="s">
        <v>1</v>
      </c>
      <c r="E1599" s="2" t="s">
        <v>3</v>
      </c>
      <c r="F1599" s="2" t="s">
        <v>35</v>
      </c>
      <c r="G1599" s="7">
        <v>-1633.34</v>
      </c>
      <c r="H1599" s="13">
        <f>IFERROR(IF(ABS($G1599)&gt;0,VLOOKUP($E1599,'Fuel Category and Heat Rate'!$B$1:$G$34,6,FALSE)*($G1599),""),"")</f>
        <v>-323678341009151.31</v>
      </c>
      <c r="I1599" t="str">
        <f>IFERROR(VLOOKUP($E1599,'Fuel Category and Heat Rate'!$K$2:$M$36,3,FALSE),"")</f>
        <v>coal</v>
      </c>
    </row>
    <row r="1600" spans="1:9" x14ac:dyDescent="0.15">
      <c r="A1600" s="2">
        <v>171232</v>
      </c>
      <c r="B1600" s="2" t="s">
        <v>74</v>
      </c>
      <c r="C1600" s="2">
        <v>2018</v>
      </c>
      <c r="D1600" s="2" t="s">
        <v>1</v>
      </c>
      <c r="E1600" s="2" t="s">
        <v>15</v>
      </c>
      <c r="F1600" s="2" t="s">
        <v>35</v>
      </c>
      <c r="G1600" s="7"/>
      <c r="H1600" s="13" t="str">
        <f>IFERROR(IF(ABS($G1600)&gt;0,VLOOKUP($E1600,'Fuel Category and Heat Rate'!$B$1:$G$34,6,FALSE)*($G1600),""),"")</f>
        <v/>
      </c>
      <c r="I1600" t="str">
        <f>IFERROR(VLOOKUP($E1600,'Fuel Category and Heat Rate'!$K$2:$M$36,3,FALSE),"")</f>
        <v>crude oil</v>
      </c>
    </row>
    <row r="1601" spans="1:9" x14ac:dyDescent="0.15">
      <c r="A1601" s="2">
        <v>171267</v>
      </c>
      <c r="B1601" s="2" t="s">
        <v>74</v>
      </c>
      <c r="C1601" s="2">
        <v>2018</v>
      </c>
      <c r="D1601" s="2" t="s">
        <v>1</v>
      </c>
      <c r="E1601" s="2" t="s">
        <v>11</v>
      </c>
      <c r="F1601" s="2" t="s">
        <v>36</v>
      </c>
      <c r="G1601" s="7"/>
      <c r="H1601" s="13" t="str">
        <f>IFERROR(IF(ABS($G1601)&gt;0,VLOOKUP($E1601,'Fuel Category and Heat Rate'!$B$1:$G$34,6,FALSE)*($G1601),""),"")</f>
        <v/>
      </c>
      <c r="I1601" t="str">
        <f>IFERROR(VLOOKUP($E1601,'Fuel Category and Heat Rate'!$K$2:$M$36,3,FALSE),"")</f>
        <v>LPG propane or butane</v>
      </c>
    </row>
    <row r="1602" spans="1:9" x14ac:dyDescent="0.15">
      <c r="A1602" s="2">
        <v>184112</v>
      </c>
      <c r="B1602" s="2" t="s">
        <v>75</v>
      </c>
      <c r="C1602" s="2">
        <v>2022</v>
      </c>
      <c r="D1602" s="2" t="s">
        <v>1</v>
      </c>
      <c r="E1602" s="2" t="s">
        <v>18</v>
      </c>
      <c r="F1602" s="2" t="s">
        <v>35</v>
      </c>
      <c r="G1602" s="7">
        <v>-0.15</v>
      </c>
      <c r="H1602" s="13">
        <f>IFERROR(IF(ABS($G1602)&gt;0,VLOOKUP($E1602,'Fuel Category and Heat Rate'!$B$1:$G$34,6,FALSE)*($G1602),""),"")</f>
        <v>-60639443873.990173</v>
      </c>
      <c r="I1602" t="str">
        <f>IFERROR(VLOOKUP($E1602,'Fuel Category and Heat Rate'!$K$2:$M$36,3,FALSE),"")</f>
        <v>petroleum diesel</v>
      </c>
    </row>
    <row r="1603" spans="1:9" x14ac:dyDescent="0.15">
      <c r="A1603" s="2">
        <v>184147</v>
      </c>
      <c r="B1603" s="2" t="s">
        <v>75</v>
      </c>
      <c r="C1603" s="2">
        <v>2022</v>
      </c>
      <c r="D1603" s="2" t="s">
        <v>1</v>
      </c>
      <c r="E1603" s="2" t="s">
        <v>32</v>
      </c>
      <c r="F1603" s="2" t="s">
        <v>65</v>
      </c>
      <c r="G1603" s="7"/>
      <c r="H1603" s="13" t="str">
        <f>IFERROR(IF(ABS($G1603)&gt;0,VLOOKUP($E1603,'Fuel Category and Heat Rate'!$B$1:$G$34,6,FALSE)*($G1603),""),"")</f>
        <v/>
      </c>
      <c r="I1603" t="str">
        <f>IFERROR(VLOOKUP($E1603,'Fuel Category and Heat Rate'!$K$2:$M$36,3,FALSE),"")</f>
        <v>electricity</v>
      </c>
    </row>
    <row r="1604" spans="1:9" x14ac:dyDescent="0.15">
      <c r="A1604" s="2">
        <v>184182</v>
      </c>
      <c r="B1604" s="2" t="s">
        <v>75</v>
      </c>
      <c r="C1604" s="2">
        <v>2022</v>
      </c>
      <c r="D1604" s="2" t="s">
        <v>1</v>
      </c>
      <c r="E1604" s="2" t="s">
        <v>10</v>
      </c>
      <c r="F1604" s="2" t="s">
        <v>36</v>
      </c>
      <c r="G1604" s="7"/>
      <c r="H1604" s="13" t="str">
        <f>IFERROR(IF(ABS($G1604)&gt;0,VLOOKUP($E1604,'Fuel Category and Heat Rate'!$B$1:$G$34,6,FALSE)*($G1604),""),"")</f>
        <v/>
      </c>
      <c r="I1604" t="str">
        <f>IFERROR(VLOOKUP($E1604,'Fuel Category and Heat Rate'!$K$2:$M$36,3,FALSE),"")</f>
        <v>LPG propane or butane</v>
      </c>
    </row>
    <row r="1605" spans="1:9" x14ac:dyDescent="0.15">
      <c r="A1605" s="2">
        <v>184217</v>
      </c>
      <c r="B1605" s="2" t="s">
        <v>75</v>
      </c>
      <c r="C1605" s="2">
        <v>2022</v>
      </c>
      <c r="D1605" s="2" t="s">
        <v>1</v>
      </c>
      <c r="E1605" s="2" t="s">
        <v>9</v>
      </c>
      <c r="F1605" s="2" t="s">
        <v>36</v>
      </c>
      <c r="G1605" s="7">
        <v>-0.57999999999999996</v>
      </c>
      <c r="H1605" s="13">
        <f>IFERROR(IF(ABS($G1605)&gt;0,VLOOKUP($E1605,'Fuel Category and Heat Rate'!$B$1:$G$34,6,FALSE)*($G1605),""),"")</f>
        <v>-953980777415.71692</v>
      </c>
      <c r="I1605" t="str">
        <f>IFERROR(VLOOKUP($E1605,'Fuel Category and Heat Rate'!$K$2:$M$36,3,FALSE),"")</f>
        <v>LPG propane or butane</v>
      </c>
    </row>
    <row r="1606" spans="1:9" x14ac:dyDescent="0.15">
      <c r="A1606" s="2">
        <v>184252</v>
      </c>
      <c r="B1606" s="2" t="s">
        <v>75</v>
      </c>
      <c r="C1606" s="2">
        <v>2022</v>
      </c>
      <c r="D1606" s="2" t="s">
        <v>1</v>
      </c>
      <c r="E1606" s="2" t="s">
        <v>8</v>
      </c>
      <c r="F1606" s="2" t="s">
        <v>35</v>
      </c>
      <c r="G1606" s="7"/>
      <c r="H1606" s="13" t="str">
        <f>IFERROR(IF(ABS($G1606)&gt;0,VLOOKUP($E1606,'Fuel Category and Heat Rate'!$B$1:$G$34,6,FALSE)*($G1606),""),"")</f>
        <v/>
      </c>
      <c r="I1606" t="str">
        <f>IFERROR(VLOOKUP($E1606,'Fuel Category and Heat Rate'!$K$2:$M$36,3,FALSE),"")</f>
        <v>coal</v>
      </c>
    </row>
    <row r="1607" spans="1:9" x14ac:dyDescent="0.15">
      <c r="A1607" s="2">
        <v>184287</v>
      </c>
      <c r="B1607" s="2" t="s">
        <v>75</v>
      </c>
      <c r="C1607" s="2">
        <v>2022</v>
      </c>
      <c r="D1607" s="2" t="s">
        <v>1</v>
      </c>
      <c r="E1607" s="2" t="s">
        <v>27</v>
      </c>
      <c r="F1607" s="2" t="s">
        <v>35</v>
      </c>
      <c r="G1607" s="7">
        <v>-89.05</v>
      </c>
      <c r="H1607" s="13">
        <f>IFERROR(IF(ABS($G1607)&gt;0,VLOOKUP($E1607,'Fuel Category and Heat Rate'!$B$1:$G$34,6,FALSE)*($G1607),""),"")</f>
        <v>-38823744733513.398</v>
      </c>
      <c r="I1607" t="str">
        <f>IFERROR(VLOOKUP($E1607,'Fuel Category and Heat Rate'!$K$2:$M$36,3,FALSE),"")</f>
        <v>LPG propane or butane</v>
      </c>
    </row>
    <row r="1608" spans="1:9" x14ac:dyDescent="0.15">
      <c r="A1608" s="2">
        <v>184322</v>
      </c>
      <c r="B1608" s="2" t="s">
        <v>75</v>
      </c>
      <c r="C1608" s="2">
        <v>2022</v>
      </c>
      <c r="D1608" s="2" t="s">
        <v>1</v>
      </c>
      <c r="E1608" s="2" t="s">
        <v>7</v>
      </c>
      <c r="F1608" s="2" t="s">
        <v>35</v>
      </c>
      <c r="G1608" s="7">
        <v>-204.35</v>
      </c>
      <c r="H1608" s="13">
        <f>IFERROR(IF(ABS($G1608)&gt;0,VLOOKUP($E1608,'Fuel Category and Heat Rate'!$B$1:$G$34,6,FALSE)*($G1608),""),"")</f>
        <v>-16219301565883.93</v>
      </c>
      <c r="I1608" t="str">
        <f>IFERROR(VLOOKUP($E1608,'Fuel Category and Heat Rate'!$K$2:$M$36,3,FALSE),"")</f>
        <v>coal</v>
      </c>
    </row>
    <row r="1609" spans="1:9" x14ac:dyDescent="0.15">
      <c r="A1609" s="2">
        <v>184357</v>
      </c>
      <c r="B1609" s="2" t="s">
        <v>75</v>
      </c>
      <c r="C1609" s="2">
        <v>2022</v>
      </c>
      <c r="D1609" s="2" t="s">
        <v>1</v>
      </c>
      <c r="E1609" s="2" t="s">
        <v>2</v>
      </c>
      <c r="F1609" s="2" t="s">
        <v>35</v>
      </c>
      <c r="G1609" s="7">
        <v>-4380.97</v>
      </c>
      <c r="H1609" s="13">
        <f>IFERROR(IF(ABS($G1609)&gt;0,VLOOKUP($E1609,'Fuel Category and Heat Rate'!$B$1:$G$34,6,FALSE)*($G1609),""),"")</f>
        <v>0</v>
      </c>
      <c r="I1609" t="str">
        <f>IFERROR(VLOOKUP($E1609,'Fuel Category and Heat Rate'!$K$2:$M$36,3,FALSE),"")</f>
        <v/>
      </c>
    </row>
    <row r="1610" spans="1:9" x14ac:dyDescent="0.15">
      <c r="A1610" s="2">
        <v>184392</v>
      </c>
      <c r="B1610" s="2" t="s">
        <v>75</v>
      </c>
      <c r="C1610" s="2">
        <v>2022</v>
      </c>
      <c r="D1610" s="2" t="s">
        <v>1</v>
      </c>
      <c r="E1610" s="2" t="s">
        <v>17</v>
      </c>
      <c r="F1610" s="2" t="s">
        <v>35</v>
      </c>
      <c r="G1610" s="7"/>
      <c r="H1610" s="13" t="str">
        <f>IFERROR(IF(ABS($G1610)&gt;0,VLOOKUP($E1610,'Fuel Category and Heat Rate'!$B$1:$G$34,6,FALSE)*($G1610),""),"")</f>
        <v/>
      </c>
      <c r="I1610" t="str">
        <f>IFERROR(VLOOKUP($E1610,'Fuel Category and Heat Rate'!$K$2:$M$36,3,FALSE),"")</f>
        <v>petroleum diesel</v>
      </c>
    </row>
    <row r="1611" spans="1:9" x14ac:dyDescent="0.15">
      <c r="A1611" s="2">
        <v>184427</v>
      </c>
      <c r="B1611" s="2" t="s">
        <v>75</v>
      </c>
      <c r="C1611" s="2">
        <v>2022</v>
      </c>
      <c r="D1611" s="2" t="s">
        <v>1</v>
      </c>
      <c r="E1611" s="2" t="s">
        <v>13</v>
      </c>
      <c r="F1611" s="2" t="s">
        <v>35</v>
      </c>
      <c r="G1611" s="7"/>
      <c r="H1611" s="13" t="str">
        <f>IFERROR(IF(ABS($G1611)&gt;0,VLOOKUP($E1611,'Fuel Category and Heat Rate'!$B$1:$G$34,6,FALSE)*($G1611),""),"")</f>
        <v/>
      </c>
      <c r="I1611" t="str">
        <f>IFERROR(VLOOKUP($E1611,'Fuel Category and Heat Rate'!$K$2:$M$36,3,FALSE),"")</f>
        <v>petroleum diesel</v>
      </c>
    </row>
    <row r="1612" spans="1:9" x14ac:dyDescent="0.15">
      <c r="A1612" s="2">
        <v>184462</v>
      </c>
      <c r="B1612" s="2" t="s">
        <v>75</v>
      </c>
      <c r="C1612" s="2">
        <v>2022</v>
      </c>
      <c r="D1612" s="2" t="s">
        <v>1</v>
      </c>
      <c r="E1612" s="2" t="s">
        <v>12</v>
      </c>
      <c r="F1612" s="2" t="s">
        <v>36</v>
      </c>
      <c r="G1612" s="7"/>
      <c r="H1612" s="13" t="str">
        <f>IFERROR(IF(ABS($G1612)&gt;0,VLOOKUP($E1612,'Fuel Category and Heat Rate'!$B$1:$G$34,6,FALSE)*($G1612),""),"")</f>
        <v/>
      </c>
      <c r="I1612" t="str">
        <f>IFERROR(VLOOKUP($E1612,'Fuel Category and Heat Rate'!$K$2:$M$36,3,FALSE),"")</f>
        <v>LPG propane or butane</v>
      </c>
    </row>
    <row r="1613" spans="1:9" x14ac:dyDescent="0.15">
      <c r="A1613" s="2">
        <v>184497</v>
      </c>
      <c r="B1613" s="2" t="s">
        <v>75</v>
      </c>
      <c r="C1613" s="2">
        <v>2022</v>
      </c>
      <c r="D1613" s="2" t="s">
        <v>1</v>
      </c>
      <c r="E1613" s="2" t="s">
        <v>33</v>
      </c>
      <c r="F1613" s="2" t="s">
        <v>38</v>
      </c>
      <c r="G1613" s="7">
        <v>-108.78</v>
      </c>
      <c r="H1613" s="13">
        <f>IFERROR(IF(ABS($G1613)&gt;0,VLOOKUP($E1613,'Fuel Category and Heat Rate'!$B$1:$G$34,6,FALSE)*($G1613),""),"")</f>
        <v>-30179439126374.207</v>
      </c>
      <c r="I1613" t="str">
        <f>IFERROR(VLOOKUP($E1613,'Fuel Category and Heat Rate'!$K$2:$M$36,3,FALSE),"")</f>
        <v>biomass</v>
      </c>
    </row>
    <row r="1614" spans="1:9" x14ac:dyDescent="0.15">
      <c r="A1614" s="2">
        <v>184532</v>
      </c>
      <c r="B1614" s="2" t="s">
        <v>75</v>
      </c>
      <c r="C1614" s="2">
        <v>2022</v>
      </c>
      <c r="D1614" s="2" t="s">
        <v>1</v>
      </c>
      <c r="E1614" s="2" t="s">
        <v>28</v>
      </c>
      <c r="F1614" s="2" t="s">
        <v>35</v>
      </c>
      <c r="G1614" s="7"/>
      <c r="H1614" s="13" t="str">
        <f>IFERROR(IF(ABS($G1614)&gt;0,VLOOKUP($E1614,'Fuel Category and Heat Rate'!$B$1:$G$34,6,FALSE)*($G1614),""),"")</f>
        <v/>
      </c>
      <c r="I1614" t="str">
        <f>IFERROR(VLOOKUP($E1614,'Fuel Category and Heat Rate'!$K$2:$M$36,3,FALSE),"")</f>
        <v>heavy or residual fuel oil</v>
      </c>
    </row>
    <row r="1615" spans="1:9" x14ac:dyDescent="0.15">
      <c r="A1615" s="2">
        <v>184567</v>
      </c>
      <c r="B1615" s="2" t="s">
        <v>75</v>
      </c>
      <c r="C1615" s="2">
        <v>2022</v>
      </c>
      <c r="D1615" s="2" t="s">
        <v>1</v>
      </c>
      <c r="E1615" s="2" t="s">
        <v>5</v>
      </c>
      <c r="F1615" s="2" t="s">
        <v>35</v>
      </c>
      <c r="G1615" s="7">
        <v>-132.41</v>
      </c>
      <c r="H1615" s="13">
        <f>IFERROR(IF(ABS($G1615)&gt;0,VLOOKUP($E1615,'Fuel Category and Heat Rate'!$B$1:$G$34,6,FALSE)*($G1615),""),"")</f>
        <v>-10495603905707.93</v>
      </c>
      <c r="I1615" t="str">
        <f>IFERROR(VLOOKUP($E1615,'Fuel Category and Heat Rate'!$K$2:$M$36,3,FALSE),"")</f>
        <v>coal</v>
      </c>
    </row>
    <row r="1616" spans="1:9" x14ac:dyDescent="0.15">
      <c r="A1616" s="2">
        <v>184602</v>
      </c>
      <c r="B1616" s="2" t="s">
        <v>75</v>
      </c>
      <c r="C1616" s="2">
        <v>2022</v>
      </c>
      <c r="D1616" s="2" t="s">
        <v>1</v>
      </c>
      <c r="E1616" s="2" t="s">
        <v>16</v>
      </c>
      <c r="F1616" s="2" t="s">
        <v>35</v>
      </c>
      <c r="G1616" s="7"/>
      <c r="H1616" s="13" t="str">
        <f>IFERROR(IF(ABS($G1616)&gt;0,VLOOKUP($E1616,'Fuel Category and Heat Rate'!$B$1:$G$34,6,FALSE)*($G1616),""),"")</f>
        <v/>
      </c>
      <c r="I1616" t="str">
        <f>IFERROR(VLOOKUP($E1616,'Fuel Category and Heat Rate'!$K$2:$M$36,3,FALSE),"")</f>
        <v>petroleum diesel</v>
      </c>
    </row>
    <row r="1617" spans="1:9" x14ac:dyDescent="0.15">
      <c r="A1617" s="2">
        <v>184637</v>
      </c>
      <c r="B1617" s="2" t="s">
        <v>75</v>
      </c>
      <c r="C1617" s="2">
        <v>2022</v>
      </c>
      <c r="D1617" s="2" t="s">
        <v>1</v>
      </c>
      <c r="E1617" s="2" t="s">
        <v>19</v>
      </c>
      <c r="F1617" s="2" t="s">
        <v>35</v>
      </c>
      <c r="G1617" s="7">
        <v>-13.63</v>
      </c>
      <c r="H1617" s="13">
        <f>IFERROR(IF(ABS($G1617)&gt;0,VLOOKUP($E1617,'Fuel Category and Heat Rate'!$B$1:$G$34,6,FALSE)*($G1617),""),"")</f>
        <v>-5402103405236.7939</v>
      </c>
      <c r="I1617" t="str">
        <f>IFERROR(VLOOKUP($E1617,'Fuel Category and Heat Rate'!$K$2:$M$36,3,FALSE),"")</f>
        <v>heavy or residual fuel oil</v>
      </c>
    </row>
    <row r="1618" spans="1:9" x14ac:dyDescent="0.15">
      <c r="A1618" s="2">
        <v>184672</v>
      </c>
      <c r="B1618" s="2" t="s">
        <v>75</v>
      </c>
      <c r="C1618" s="2">
        <v>2022</v>
      </c>
      <c r="D1618" s="2" t="s">
        <v>1</v>
      </c>
      <c r="E1618" s="2" t="s">
        <v>31</v>
      </c>
      <c r="F1618" s="2" t="s">
        <v>37</v>
      </c>
      <c r="G1618" s="7">
        <v>62276.46</v>
      </c>
      <c r="H1618" s="13">
        <f>IFERROR(IF(ABS($G1618)&gt;0,VLOOKUP($E1618,'Fuel Category and Heat Rate'!$B$1:$G$34,6,FALSE)*($G1618),""),"")</f>
        <v>590266951270873.5</v>
      </c>
      <c r="I1618" t="str">
        <f>IFERROR(VLOOKUP($E1618,'Fuel Category and Heat Rate'!$K$2:$M$36,3,FALSE),"")</f>
        <v>heat</v>
      </c>
    </row>
    <row r="1619" spans="1:9" x14ac:dyDescent="0.15">
      <c r="A1619" s="2">
        <v>184707</v>
      </c>
      <c r="B1619" s="2" t="s">
        <v>75</v>
      </c>
      <c r="C1619" s="2">
        <v>2022</v>
      </c>
      <c r="D1619" s="2" t="s">
        <v>1</v>
      </c>
      <c r="E1619" s="2" t="s">
        <v>23</v>
      </c>
      <c r="F1619" s="2" t="s">
        <v>35</v>
      </c>
      <c r="G1619" s="7"/>
      <c r="H1619" s="13" t="str">
        <f>IFERROR(IF(ABS($G1619)&gt;0,VLOOKUP($E1619,'Fuel Category and Heat Rate'!$B$1:$G$34,6,FALSE)*($G1619),""),"")</f>
        <v/>
      </c>
      <c r="I1619" t="str">
        <f>IFERROR(VLOOKUP($E1619,'Fuel Category and Heat Rate'!$K$2:$M$36,3,FALSE),"")</f>
        <v>heavy or residual fuel oil</v>
      </c>
    </row>
    <row r="1620" spans="1:9" x14ac:dyDescent="0.15">
      <c r="A1620" s="2">
        <v>184742</v>
      </c>
      <c r="B1620" s="2" t="s">
        <v>75</v>
      </c>
      <c r="C1620" s="2">
        <v>2022</v>
      </c>
      <c r="D1620" s="2" t="s">
        <v>1</v>
      </c>
      <c r="E1620" s="2" t="s">
        <v>21</v>
      </c>
      <c r="F1620" s="2" t="s">
        <v>35</v>
      </c>
      <c r="G1620" s="7"/>
      <c r="H1620" s="13" t="str">
        <f>IFERROR(IF(ABS($G1620)&gt;0,VLOOKUP($E1620,'Fuel Category and Heat Rate'!$B$1:$G$34,6,FALSE)*($G1620),""),"")</f>
        <v/>
      </c>
      <c r="I1620" t="str">
        <f>IFERROR(VLOOKUP($E1620,'Fuel Category and Heat Rate'!$K$2:$M$36,3,FALSE),"")</f>
        <v>LPG propane or butane</v>
      </c>
    </row>
    <row r="1621" spans="1:9" x14ac:dyDescent="0.15">
      <c r="A1621" s="2">
        <v>184777</v>
      </c>
      <c r="B1621" s="2" t="s">
        <v>75</v>
      </c>
      <c r="C1621" s="2">
        <v>2022</v>
      </c>
      <c r="D1621" s="2" t="s">
        <v>1</v>
      </c>
      <c r="E1621" s="2" t="s">
        <v>22</v>
      </c>
      <c r="F1621" s="2" t="s">
        <v>35</v>
      </c>
      <c r="G1621" s="7"/>
      <c r="H1621" s="13" t="str">
        <f>IFERROR(IF(ABS($G1621)&gt;0,VLOOKUP($E1621,'Fuel Category and Heat Rate'!$B$1:$G$34,6,FALSE)*($G1621),""),"")</f>
        <v/>
      </c>
      <c r="I1621" t="str">
        <f>IFERROR(VLOOKUP($E1621,'Fuel Category and Heat Rate'!$K$2:$M$36,3,FALSE),"")</f>
        <v>heavy fuel oil</v>
      </c>
    </row>
    <row r="1622" spans="1:9" x14ac:dyDescent="0.15">
      <c r="A1622" s="2">
        <v>184812</v>
      </c>
      <c r="B1622" s="2" t="s">
        <v>75</v>
      </c>
      <c r="C1622" s="2">
        <v>2022</v>
      </c>
      <c r="D1622" s="2" t="s">
        <v>1</v>
      </c>
      <c r="E1622" s="2" t="s">
        <v>20</v>
      </c>
      <c r="F1622" s="2" t="s">
        <v>35</v>
      </c>
      <c r="G1622" s="7"/>
      <c r="H1622" s="13" t="str">
        <f>IFERROR(IF(ABS($G1622)&gt;0,VLOOKUP($E1622,'Fuel Category and Heat Rate'!$B$1:$G$34,6,FALSE)*($G1622),""),"")</f>
        <v/>
      </c>
      <c r="I1622" t="str">
        <f>IFERROR(VLOOKUP($E1622,'Fuel Category and Heat Rate'!$K$2:$M$36,3,FALSE),"")</f>
        <v>LPG propane or butane</v>
      </c>
    </row>
    <row r="1623" spans="1:9" x14ac:dyDescent="0.15">
      <c r="A1623" s="2">
        <v>184847</v>
      </c>
      <c r="B1623" s="2" t="s">
        <v>75</v>
      </c>
      <c r="C1623" s="2">
        <v>2022</v>
      </c>
      <c r="D1623" s="2" t="s">
        <v>1</v>
      </c>
      <c r="E1623" s="2" t="s">
        <v>25</v>
      </c>
      <c r="F1623" s="2" t="s">
        <v>35</v>
      </c>
      <c r="G1623" s="7"/>
      <c r="H1623" s="13" t="str">
        <f>IFERROR(IF(ABS($G1623)&gt;0,VLOOKUP($E1623,'Fuel Category and Heat Rate'!$B$1:$G$34,6,FALSE)*($G1623),""),"")</f>
        <v/>
      </c>
      <c r="I1623" t="str">
        <f>IFERROR(VLOOKUP($E1623,'Fuel Category and Heat Rate'!$K$2:$M$36,3,FALSE),"")</f>
        <v>heavy fuel oil</v>
      </c>
    </row>
    <row r="1624" spans="1:9" x14ac:dyDescent="0.15">
      <c r="A1624" s="2">
        <v>184882</v>
      </c>
      <c r="B1624" s="2" t="s">
        <v>75</v>
      </c>
      <c r="C1624" s="2">
        <v>2022</v>
      </c>
      <c r="D1624" s="2" t="s">
        <v>1</v>
      </c>
      <c r="E1624" s="2" t="s">
        <v>24</v>
      </c>
      <c r="F1624" s="2" t="s">
        <v>35</v>
      </c>
      <c r="G1624" s="7"/>
      <c r="H1624" s="13" t="str">
        <f>IFERROR(IF(ABS($G1624)&gt;0,VLOOKUP($E1624,'Fuel Category and Heat Rate'!$B$1:$G$34,6,FALSE)*($G1624),""),"")</f>
        <v/>
      </c>
      <c r="I1624" t="str">
        <f>IFERROR(VLOOKUP($E1624,'Fuel Category and Heat Rate'!$K$2:$M$36,3,FALSE),"")</f>
        <v>heavy fuel oil</v>
      </c>
    </row>
    <row r="1625" spans="1:9" x14ac:dyDescent="0.15">
      <c r="A1625" s="2">
        <v>184917</v>
      </c>
      <c r="B1625" s="2" t="s">
        <v>75</v>
      </c>
      <c r="C1625" s="2">
        <v>2022</v>
      </c>
      <c r="D1625" s="2" t="s">
        <v>1</v>
      </c>
      <c r="E1625" s="2" t="s">
        <v>29</v>
      </c>
      <c r="F1625" s="2" t="s">
        <v>36</v>
      </c>
      <c r="G1625" s="7">
        <v>-5.5</v>
      </c>
      <c r="H1625" s="13">
        <f>IFERROR(IF(ABS($G1625)&gt;0,VLOOKUP($E1625,'Fuel Category and Heat Rate'!$B$1:$G$34,6,FALSE)*($G1625),""),"")</f>
        <v>-18550179120849.383</v>
      </c>
      <c r="I1625" t="str">
        <f>IFERROR(VLOOKUP($E1625,'Fuel Category and Heat Rate'!$K$2:$M$36,3,FALSE),"")</f>
        <v>natural gas</v>
      </c>
    </row>
    <row r="1626" spans="1:9" x14ac:dyDescent="0.15">
      <c r="A1626" s="2">
        <v>184952</v>
      </c>
      <c r="B1626" s="2" t="s">
        <v>75</v>
      </c>
      <c r="C1626" s="2">
        <v>2022</v>
      </c>
      <c r="D1626" s="2" t="s">
        <v>1</v>
      </c>
      <c r="E1626" s="2" t="s">
        <v>4</v>
      </c>
      <c r="F1626" s="2" t="s">
        <v>35</v>
      </c>
      <c r="G1626" s="7"/>
      <c r="H1626" s="13" t="str">
        <f>IFERROR(IF(ABS($G1626)&gt;0,VLOOKUP($E1626,'Fuel Category and Heat Rate'!$B$1:$G$34,6,FALSE)*($G1626),""),"")</f>
        <v/>
      </c>
      <c r="I1626" t="str">
        <f>IFERROR(VLOOKUP($E1626,'Fuel Category and Heat Rate'!$K$2:$M$36,3,FALSE),"")</f>
        <v>coal</v>
      </c>
    </row>
    <row r="1627" spans="1:9" x14ac:dyDescent="0.15">
      <c r="A1627" s="2">
        <v>184987</v>
      </c>
      <c r="B1627" s="2" t="s">
        <v>75</v>
      </c>
      <c r="C1627" s="2">
        <v>2022</v>
      </c>
      <c r="D1627" s="2" t="s">
        <v>1</v>
      </c>
      <c r="E1627" s="2" t="s">
        <v>6</v>
      </c>
      <c r="F1627" s="2" t="s">
        <v>35</v>
      </c>
      <c r="G1627" s="7"/>
      <c r="H1627" s="13" t="str">
        <f>IFERROR(IF(ABS($G1627)&gt;0,VLOOKUP($E1627,'Fuel Category and Heat Rate'!$B$1:$G$34,6,FALSE)*($G1627),""),"")</f>
        <v/>
      </c>
      <c r="I1627" t="str">
        <f>IFERROR(VLOOKUP($E1627,'Fuel Category and Heat Rate'!$K$2:$M$36,3,FALSE),"")</f>
        <v>coal</v>
      </c>
    </row>
    <row r="1628" spans="1:9" x14ac:dyDescent="0.15">
      <c r="A1628" s="2">
        <v>185022</v>
      </c>
      <c r="B1628" s="2" t="s">
        <v>75</v>
      </c>
      <c r="C1628" s="2">
        <v>2022</v>
      </c>
      <c r="D1628" s="2" t="s">
        <v>1</v>
      </c>
      <c r="E1628" s="2" t="s">
        <v>26</v>
      </c>
      <c r="F1628" s="2" t="s">
        <v>35</v>
      </c>
      <c r="G1628" s="7"/>
      <c r="H1628" s="13" t="str">
        <f>IFERROR(IF(ABS($G1628)&gt;0,VLOOKUP($E1628,'Fuel Category and Heat Rate'!$B$1:$G$34,6,FALSE)*($G1628),""),"")</f>
        <v/>
      </c>
      <c r="I1628" t="str">
        <f>IFERROR(VLOOKUP($E1628,'Fuel Category and Heat Rate'!$K$2:$M$36,3,FALSE),"")</f>
        <v>LPG propane or butane</v>
      </c>
    </row>
    <row r="1629" spans="1:9" x14ac:dyDescent="0.15">
      <c r="A1629" s="2">
        <v>185057</v>
      </c>
      <c r="B1629" s="2" t="s">
        <v>75</v>
      </c>
      <c r="C1629" s="2">
        <v>2022</v>
      </c>
      <c r="D1629" s="2" t="s">
        <v>1</v>
      </c>
      <c r="E1629" s="2" t="s">
        <v>30</v>
      </c>
      <c r="F1629" s="2" t="s">
        <v>35</v>
      </c>
      <c r="G1629" s="7"/>
      <c r="H1629" s="13" t="str">
        <f>IFERROR(IF(ABS($G1629)&gt;0,VLOOKUP($E1629,'Fuel Category and Heat Rate'!$B$1:$G$34,6,FALSE)*($G1629),""),"")</f>
        <v/>
      </c>
      <c r="I1629" t="str">
        <f>IFERROR(VLOOKUP($E1629,'Fuel Category and Heat Rate'!$K$2:$M$36,3,FALSE),"")</f>
        <v>natural gas</v>
      </c>
    </row>
    <row r="1630" spans="1:9" x14ac:dyDescent="0.15">
      <c r="A1630" s="2">
        <v>185092</v>
      </c>
      <c r="B1630" s="2" t="s">
        <v>75</v>
      </c>
      <c r="C1630" s="2">
        <v>2022</v>
      </c>
      <c r="D1630" s="2" t="s">
        <v>1</v>
      </c>
      <c r="E1630" s="2" t="s">
        <v>14</v>
      </c>
      <c r="F1630" s="2" t="s">
        <v>35</v>
      </c>
      <c r="G1630" s="7">
        <v>-102.83</v>
      </c>
      <c r="H1630" s="13">
        <f>IFERROR(IF(ABS($G1630)&gt;0,VLOOKUP($E1630,'Fuel Category and Heat Rate'!$B$1:$G$34,6,FALSE)*($G1630),""),"")</f>
        <v>0</v>
      </c>
      <c r="I1630" t="str">
        <f>IFERROR(VLOOKUP($E1630,'Fuel Category and Heat Rate'!$K$2:$M$36,3,FALSE),"")</f>
        <v/>
      </c>
    </row>
    <row r="1631" spans="1:9" x14ac:dyDescent="0.15">
      <c r="A1631" s="2">
        <v>185127</v>
      </c>
      <c r="B1631" s="2" t="s">
        <v>75</v>
      </c>
      <c r="C1631" s="2">
        <v>2022</v>
      </c>
      <c r="D1631" s="2" t="s">
        <v>1</v>
      </c>
      <c r="E1631" s="2" t="s">
        <v>3</v>
      </c>
      <c r="F1631" s="2" t="s">
        <v>35</v>
      </c>
      <c r="G1631" s="7">
        <v>-4248.5600000000004</v>
      </c>
      <c r="H1631" s="13">
        <f>IFERROR(IF(ABS($G1631)&gt;0,VLOOKUP($E1631,'Fuel Category and Heat Rate'!$B$1:$G$34,6,FALSE)*($G1631),""),"")</f>
        <v>-841935452800911</v>
      </c>
      <c r="I1631" t="str">
        <f>IFERROR(VLOOKUP($E1631,'Fuel Category and Heat Rate'!$K$2:$M$36,3,FALSE),"")</f>
        <v>coal</v>
      </c>
    </row>
    <row r="1632" spans="1:9" x14ac:dyDescent="0.15">
      <c r="A1632" s="2">
        <v>185162</v>
      </c>
      <c r="B1632" s="2" t="s">
        <v>75</v>
      </c>
      <c r="C1632" s="2">
        <v>2022</v>
      </c>
      <c r="D1632" s="2" t="s">
        <v>1</v>
      </c>
      <c r="E1632" s="2" t="s">
        <v>15</v>
      </c>
      <c r="F1632" s="2" t="s">
        <v>35</v>
      </c>
      <c r="G1632" s="7"/>
      <c r="H1632" s="13" t="str">
        <f>IFERROR(IF(ABS($G1632)&gt;0,VLOOKUP($E1632,'Fuel Category and Heat Rate'!$B$1:$G$34,6,FALSE)*($G1632),""),"")</f>
        <v/>
      </c>
      <c r="I1632" t="str">
        <f>IFERROR(VLOOKUP($E1632,'Fuel Category and Heat Rate'!$K$2:$M$36,3,FALSE),"")</f>
        <v>crude oil</v>
      </c>
    </row>
    <row r="1633" spans="1:9" x14ac:dyDescent="0.15">
      <c r="A1633" s="2">
        <v>185197</v>
      </c>
      <c r="B1633" s="2" t="s">
        <v>75</v>
      </c>
      <c r="C1633" s="2">
        <v>2022</v>
      </c>
      <c r="D1633" s="2" t="s">
        <v>1</v>
      </c>
      <c r="E1633" s="2" t="s">
        <v>11</v>
      </c>
      <c r="F1633" s="2" t="s">
        <v>36</v>
      </c>
      <c r="G1633" s="7"/>
      <c r="H1633" s="13" t="str">
        <f>IFERROR(IF(ABS($G1633)&gt;0,VLOOKUP($E1633,'Fuel Category and Heat Rate'!$B$1:$G$34,6,FALSE)*($G1633),""),"")</f>
        <v/>
      </c>
      <c r="I1633" t="str">
        <f>IFERROR(VLOOKUP($E1633,'Fuel Category and Heat Rate'!$K$2:$M$36,3,FALSE),"")</f>
        <v>LPG propane or butane</v>
      </c>
    </row>
    <row r="1634" spans="1:9" x14ac:dyDescent="0.15">
      <c r="A1634" s="2">
        <v>185232</v>
      </c>
      <c r="B1634" s="2" t="s">
        <v>75</v>
      </c>
      <c r="C1634" s="2">
        <v>2021</v>
      </c>
      <c r="D1634" s="2" t="s">
        <v>1</v>
      </c>
      <c r="E1634" s="2" t="s">
        <v>18</v>
      </c>
      <c r="F1634" s="2" t="s">
        <v>35</v>
      </c>
      <c r="G1634" s="7">
        <v>-0.13</v>
      </c>
      <c r="H1634" s="13">
        <f>IFERROR(IF(ABS($G1634)&gt;0,VLOOKUP($E1634,'Fuel Category and Heat Rate'!$B$1:$G$34,6,FALSE)*($G1634),""),"")</f>
        <v>-52554184690.791489</v>
      </c>
      <c r="I1634" t="str">
        <f>IFERROR(VLOOKUP($E1634,'Fuel Category and Heat Rate'!$K$2:$M$36,3,FALSE),"")</f>
        <v>petroleum diesel</v>
      </c>
    </row>
    <row r="1635" spans="1:9" x14ac:dyDescent="0.15">
      <c r="A1635" s="2">
        <v>185267</v>
      </c>
      <c r="B1635" s="2" t="s">
        <v>75</v>
      </c>
      <c r="C1635" s="2">
        <v>2021</v>
      </c>
      <c r="D1635" s="2" t="s">
        <v>1</v>
      </c>
      <c r="E1635" s="2" t="s">
        <v>32</v>
      </c>
      <c r="F1635" s="2" t="s">
        <v>65</v>
      </c>
      <c r="G1635" s="7"/>
      <c r="H1635" s="13" t="str">
        <f>IFERROR(IF(ABS($G1635)&gt;0,VLOOKUP($E1635,'Fuel Category and Heat Rate'!$B$1:$G$34,6,FALSE)*($G1635),""),"")</f>
        <v/>
      </c>
      <c r="I1635" t="str">
        <f>IFERROR(VLOOKUP($E1635,'Fuel Category and Heat Rate'!$K$2:$M$36,3,FALSE),"")</f>
        <v>electricity</v>
      </c>
    </row>
    <row r="1636" spans="1:9" x14ac:dyDescent="0.15">
      <c r="A1636" s="2">
        <v>185302</v>
      </c>
      <c r="B1636" s="2" t="s">
        <v>75</v>
      </c>
      <c r="C1636" s="2">
        <v>2021</v>
      </c>
      <c r="D1636" s="2" t="s">
        <v>1</v>
      </c>
      <c r="E1636" s="2" t="s">
        <v>10</v>
      </c>
      <c r="F1636" s="2" t="s">
        <v>36</v>
      </c>
      <c r="G1636" s="7"/>
      <c r="H1636" s="13" t="str">
        <f>IFERROR(IF(ABS($G1636)&gt;0,VLOOKUP($E1636,'Fuel Category and Heat Rate'!$B$1:$G$34,6,FALSE)*($G1636),""),"")</f>
        <v/>
      </c>
      <c r="I1636" t="str">
        <f>IFERROR(VLOOKUP($E1636,'Fuel Category and Heat Rate'!$K$2:$M$36,3,FALSE),"")</f>
        <v>LPG propane or butane</v>
      </c>
    </row>
    <row r="1637" spans="1:9" x14ac:dyDescent="0.15">
      <c r="A1637" s="2">
        <v>185337</v>
      </c>
      <c r="B1637" s="2" t="s">
        <v>75</v>
      </c>
      <c r="C1637" s="2">
        <v>2021</v>
      </c>
      <c r="D1637" s="2" t="s">
        <v>1</v>
      </c>
      <c r="E1637" s="2" t="s">
        <v>9</v>
      </c>
      <c r="F1637" s="2" t="s">
        <v>36</v>
      </c>
      <c r="G1637" s="7">
        <v>-0.2</v>
      </c>
      <c r="H1637" s="13">
        <f>IFERROR(IF(ABS($G1637)&gt;0,VLOOKUP($E1637,'Fuel Category and Heat Rate'!$B$1:$G$34,6,FALSE)*($G1637),""),"")</f>
        <v>-328958888764.04034</v>
      </c>
      <c r="I1637" t="str">
        <f>IFERROR(VLOOKUP($E1637,'Fuel Category and Heat Rate'!$K$2:$M$36,3,FALSE),"")</f>
        <v>LPG propane or butane</v>
      </c>
    </row>
    <row r="1638" spans="1:9" x14ac:dyDescent="0.15">
      <c r="A1638" s="2">
        <v>185372</v>
      </c>
      <c r="B1638" s="2" t="s">
        <v>75</v>
      </c>
      <c r="C1638" s="2">
        <v>2021</v>
      </c>
      <c r="D1638" s="2" t="s">
        <v>1</v>
      </c>
      <c r="E1638" s="2" t="s">
        <v>8</v>
      </c>
      <c r="F1638" s="2" t="s">
        <v>35</v>
      </c>
      <c r="G1638" s="7"/>
      <c r="H1638" s="13" t="str">
        <f>IFERROR(IF(ABS($G1638)&gt;0,VLOOKUP($E1638,'Fuel Category and Heat Rate'!$B$1:$G$34,6,FALSE)*($G1638),""),"")</f>
        <v/>
      </c>
      <c r="I1638" t="str">
        <f>IFERROR(VLOOKUP($E1638,'Fuel Category and Heat Rate'!$K$2:$M$36,3,FALSE),"")</f>
        <v>coal</v>
      </c>
    </row>
    <row r="1639" spans="1:9" x14ac:dyDescent="0.15">
      <c r="A1639" s="2">
        <v>185407</v>
      </c>
      <c r="B1639" s="2" t="s">
        <v>75</v>
      </c>
      <c r="C1639" s="2">
        <v>2021</v>
      </c>
      <c r="D1639" s="2" t="s">
        <v>1</v>
      </c>
      <c r="E1639" s="2" t="s">
        <v>27</v>
      </c>
      <c r="F1639" s="2" t="s">
        <v>35</v>
      </c>
      <c r="G1639" s="7">
        <v>-91.43</v>
      </c>
      <c r="H1639" s="13">
        <f>IFERROR(IF(ABS($G1639)&gt;0,VLOOKUP($E1639,'Fuel Category and Heat Rate'!$B$1:$G$34,6,FALSE)*($G1639),""),"")</f>
        <v>-39861369803314.211</v>
      </c>
      <c r="I1639" t="str">
        <f>IFERROR(VLOOKUP($E1639,'Fuel Category and Heat Rate'!$K$2:$M$36,3,FALSE),"")</f>
        <v>LPG propane or butane</v>
      </c>
    </row>
    <row r="1640" spans="1:9" x14ac:dyDescent="0.15">
      <c r="A1640" s="2">
        <v>185442</v>
      </c>
      <c r="B1640" s="2" t="s">
        <v>75</v>
      </c>
      <c r="C1640" s="2">
        <v>2021</v>
      </c>
      <c r="D1640" s="2" t="s">
        <v>1</v>
      </c>
      <c r="E1640" s="2" t="s">
        <v>7</v>
      </c>
      <c r="F1640" s="2" t="s">
        <v>35</v>
      </c>
      <c r="G1640" s="7">
        <v>-214.41</v>
      </c>
      <c r="H1640" s="13">
        <f>IFERROR(IF(ABS($G1640)&gt;0,VLOOKUP($E1640,'Fuel Category and Heat Rate'!$B$1:$G$34,6,FALSE)*($G1640),""),"")</f>
        <v>-17017765836756.414</v>
      </c>
      <c r="I1640" t="str">
        <f>IFERROR(VLOOKUP($E1640,'Fuel Category and Heat Rate'!$K$2:$M$36,3,FALSE),"")</f>
        <v>coal</v>
      </c>
    </row>
    <row r="1641" spans="1:9" x14ac:dyDescent="0.15">
      <c r="A1641" s="2">
        <v>185477</v>
      </c>
      <c r="B1641" s="2" t="s">
        <v>75</v>
      </c>
      <c r="C1641" s="2">
        <v>2021</v>
      </c>
      <c r="D1641" s="2" t="s">
        <v>1</v>
      </c>
      <c r="E1641" s="2" t="s">
        <v>2</v>
      </c>
      <c r="F1641" s="2" t="s">
        <v>35</v>
      </c>
      <c r="G1641" s="7">
        <v>-4256.21</v>
      </c>
      <c r="H1641" s="13">
        <f>IFERROR(IF(ABS($G1641)&gt;0,VLOOKUP($E1641,'Fuel Category and Heat Rate'!$B$1:$G$34,6,FALSE)*($G1641),""),"")</f>
        <v>0</v>
      </c>
      <c r="I1641" t="str">
        <f>IFERROR(VLOOKUP($E1641,'Fuel Category and Heat Rate'!$K$2:$M$36,3,FALSE),"")</f>
        <v/>
      </c>
    </row>
    <row r="1642" spans="1:9" x14ac:dyDescent="0.15">
      <c r="A1642" s="2">
        <v>185512</v>
      </c>
      <c r="B1642" s="2" t="s">
        <v>75</v>
      </c>
      <c r="C1642" s="2">
        <v>2021</v>
      </c>
      <c r="D1642" s="2" t="s">
        <v>1</v>
      </c>
      <c r="E1642" s="2" t="s">
        <v>17</v>
      </c>
      <c r="F1642" s="2" t="s">
        <v>35</v>
      </c>
      <c r="G1642" s="7"/>
      <c r="H1642" s="13" t="str">
        <f>IFERROR(IF(ABS($G1642)&gt;0,VLOOKUP($E1642,'Fuel Category and Heat Rate'!$B$1:$G$34,6,FALSE)*($G1642),""),"")</f>
        <v/>
      </c>
      <c r="I1642" t="str">
        <f>IFERROR(VLOOKUP($E1642,'Fuel Category and Heat Rate'!$K$2:$M$36,3,FALSE),"")</f>
        <v>petroleum diesel</v>
      </c>
    </row>
    <row r="1643" spans="1:9" x14ac:dyDescent="0.15">
      <c r="A1643" s="2">
        <v>185547</v>
      </c>
      <c r="B1643" s="2" t="s">
        <v>75</v>
      </c>
      <c r="C1643" s="2">
        <v>2021</v>
      </c>
      <c r="D1643" s="2" t="s">
        <v>1</v>
      </c>
      <c r="E1643" s="2" t="s">
        <v>13</v>
      </c>
      <c r="F1643" s="2" t="s">
        <v>35</v>
      </c>
      <c r="G1643" s="7"/>
      <c r="H1643" s="13" t="str">
        <f>IFERROR(IF(ABS($G1643)&gt;0,VLOOKUP($E1643,'Fuel Category and Heat Rate'!$B$1:$G$34,6,FALSE)*($G1643),""),"")</f>
        <v/>
      </c>
      <c r="I1643" t="str">
        <f>IFERROR(VLOOKUP($E1643,'Fuel Category and Heat Rate'!$K$2:$M$36,3,FALSE),"")</f>
        <v>petroleum diesel</v>
      </c>
    </row>
    <row r="1644" spans="1:9" x14ac:dyDescent="0.15">
      <c r="A1644" s="2">
        <v>185582</v>
      </c>
      <c r="B1644" s="2" t="s">
        <v>75</v>
      </c>
      <c r="C1644" s="2">
        <v>2021</v>
      </c>
      <c r="D1644" s="2" t="s">
        <v>1</v>
      </c>
      <c r="E1644" s="2" t="s">
        <v>12</v>
      </c>
      <c r="F1644" s="2" t="s">
        <v>36</v>
      </c>
      <c r="G1644" s="7"/>
      <c r="H1644" s="13" t="str">
        <f>IFERROR(IF(ABS($G1644)&gt;0,VLOOKUP($E1644,'Fuel Category and Heat Rate'!$B$1:$G$34,6,FALSE)*($G1644),""),"")</f>
        <v/>
      </c>
      <c r="I1644" t="str">
        <f>IFERROR(VLOOKUP($E1644,'Fuel Category and Heat Rate'!$K$2:$M$36,3,FALSE),"")</f>
        <v>LPG propane or butane</v>
      </c>
    </row>
    <row r="1645" spans="1:9" x14ac:dyDescent="0.15">
      <c r="A1645" s="2">
        <v>185617</v>
      </c>
      <c r="B1645" s="2" t="s">
        <v>75</v>
      </c>
      <c r="C1645" s="2">
        <v>2021</v>
      </c>
      <c r="D1645" s="2" t="s">
        <v>1</v>
      </c>
      <c r="E1645" s="2" t="s">
        <v>33</v>
      </c>
      <c r="F1645" s="2" t="s">
        <v>38</v>
      </c>
      <c r="G1645" s="7">
        <v>-74.64</v>
      </c>
      <c r="H1645" s="13">
        <f>IFERROR(IF(ABS($G1645)&gt;0,VLOOKUP($E1645,'Fuel Category and Heat Rate'!$B$1:$G$34,6,FALSE)*($G1645),""),"")</f>
        <v>-20707789450198.297</v>
      </c>
      <c r="I1645" t="str">
        <f>IFERROR(VLOOKUP($E1645,'Fuel Category and Heat Rate'!$K$2:$M$36,3,FALSE),"")</f>
        <v>biomass</v>
      </c>
    </row>
    <row r="1646" spans="1:9" x14ac:dyDescent="0.15">
      <c r="A1646" s="2">
        <v>185652</v>
      </c>
      <c r="B1646" s="2" t="s">
        <v>75</v>
      </c>
      <c r="C1646" s="2">
        <v>2021</v>
      </c>
      <c r="D1646" s="2" t="s">
        <v>1</v>
      </c>
      <c r="E1646" s="2" t="s">
        <v>28</v>
      </c>
      <c r="F1646" s="2" t="s">
        <v>35</v>
      </c>
      <c r="G1646" s="7"/>
      <c r="H1646" s="13" t="str">
        <f>IFERROR(IF(ABS($G1646)&gt;0,VLOOKUP($E1646,'Fuel Category and Heat Rate'!$B$1:$G$34,6,FALSE)*($G1646),""),"")</f>
        <v/>
      </c>
      <c r="I1646" t="str">
        <f>IFERROR(VLOOKUP($E1646,'Fuel Category and Heat Rate'!$K$2:$M$36,3,FALSE),"")</f>
        <v>heavy or residual fuel oil</v>
      </c>
    </row>
    <row r="1647" spans="1:9" x14ac:dyDescent="0.15">
      <c r="A1647" s="2">
        <v>185687</v>
      </c>
      <c r="B1647" s="2" t="s">
        <v>75</v>
      </c>
      <c r="C1647" s="2">
        <v>2021</v>
      </c>
      <c r="D1647" s="2" t="s">
        <v>1</v>
      </c>
      <c r="E1647" s="2" t="s">
        <v>5</v>
      </c>
      <c r="F1647" s="2" t="s">
        <v>35</v>
      </c>
      <c r="G1647" s="7">
        <v>-141.34</v>
      </c>
      <c r="H1647" s="13">
        <f>IFERROR(IF(ABS($G1647)&gt;0,VLOOKUP($E1647,'Fuel Category and Heat Rate'!$B$1:$G$34,6,FALSE)*($G1647),""),"")</f>
        <v>-11203448803207.906</v>
      </c>
      <c r="I1647" t="str">
        <f>IFERROR(VLOOKUP($E1647,'Fuel Category and Heat Rate'!$K$2:$M$36,3,FALSE),"")</f>
        <v>coal</v>
      </c>
    </row>
    <row r="1648" spans="1:9" x14ac:dyDescent="0.15">
      <c r="A1648" s="2">
        <v>185722</v>
      </c>
      <c r="B1648" s="2" t="s">
        <v>75</v>
      </c>
      <c r="C1648" s="2">
        <v>2021</v>
      </c>
      <c r="D1648" s="2" t="s">
        <v>1</v>
      </c>
      <c r="E1648" s="2" t="s">
        <v>16</v>
      </c>
      <c r="F1648" s="2" t="s">
        <v>35</v>
      </c>
      <c r="G1648" s="7"/>
      <c r="H1648" s="13" t="str">
        <f>IFERROR(IF(ABS($G1648)&gt;0,VLOOKUP($E1648,'Fuel Category and Heat Rate'!$B$1:$G$34,6,FALSE)*($G1648),""),"")</f>
        <v/>
      </c>
      <c r="I1648" t="str">
        <f>IFERROR(VLOOKUP($E1648,'Fuel Category and Heat Rate'!$K$2:$M$36,3,FALSE),"")</f>
        <v>petroleum diesel</v>
      </c>
    </row>
    <row r="1649" spans="1:9" x14ac:dyDescent="0.15">
      <c r="A1649" s="2">
        <v>185757</v>
      </c>
      <c r="B1649" s="2" t="s">
        <v>75</v>
      </c>
      <c r="C1649" s="2">
        <v>2021</v>
      </c>
      <c r="D1649" s="2" t="s">
        <v>1</v>
      </c>
      <c r="E1649" s="2" t="s">
        <v>19</v>
      </c>
      <c r="F1649" s="2" t="s">
        <v>35</v>
      </c>
      <c r="G1649" s="7">
        <v>-17.32</v>
      </c>
      <c r="H1649" s="13">
        <f>IFERROR(IF(ABS($G1649)&gt;0,VLOOKUP($E1649,'Fuel Category and Heat Rate'!$B$1:$G$34,6,FALSE)*($G1649),""),"")</f>
        <v>-6864595082810.0713</v>
      </c>
      <c r="I1649" t="str">
        <f>IFERROR(VLOOKUP($E1649,'Fuel Category and Heat Rate'!$K$2:$M$36,3,FALSE),"")</f>
        <v>heavy or residual fuel oil</v>
      </c>
    </row>
    <row r="1650" spans="1:9" x14ac:dyDescent="0.15">
      <c r="A1650" s="2">
        <v>185792</v>
      </c>
      <c r="B1650" s="2" t="s">
        <v>75</v>
      </c>
      <c r="C1650" s="2">
        <v>2021</v>
      </c>
      <c r="D1650" s="2" t="s">
        <v>1</v>
      </c>
      <c r="E1650" s="2" t="s">
        <v>31</v>
      </c>
      <c r="F1650" s="2" t="s">
        <v>37</v>
      </c>
      <c r="G1650" s="7">
        <v>60022.400000000001</v>
      </c>
      <c r="H1650" s="13">
        <f>IFERROR(IF(ABS($G1650)&gt;0,VLOOKUP($E1650,'Fuel Category and Heat Rate'!$B$1:$G$34,6,FALSE)*($G1650),""),"")</f>
        <v>568902584635685.5</v>
      </c>
      <c r="I1650" t="str">
        <f>IFERROR(VLOOKUP($E1650,'Fuel Category and Heat Rate'!$K$2:$M$36,3,FALSE),"")</f>
        <v>heat</v>
      </c>
    </row>
    <row r="1651" spans="1:9" x14ac:dyDescent="0.15">
      <c r="A1651" s="2">
        <v>185827</v>
      </c>
      <c r="B1651" s="2" t="s">
        <v>75</v>
      </c>
      <c r="C1651" s="2">
        <v>2021</v>
      </c>
      <c r="D1651" s="2" t="s">
        <v>1</v>
      </c>
      <c r="E1651" s="2" t="s">
        <v>23</v>
      </c>
      <c r="F1651" s="2" t="s">
        <v>35</v>
      </c>
      <c r="G1651" s="7"/>
      <c r="H1651" s="13" t="str">
        <f>IFERROR(IF(ABS($G1651)&gt;0,VLOOKUP($E1651,'Fuel Category and Heat Rate'!$B$1:$G$34,6,FALSE)*($G1651),""),"")</f>
        <v/>
      </c>
      <c r="I1651" t="str">
        <f>IFERROR(VLOOKUP($E1651,'Fuel Category and Heat Rate'!$K$2:$M$36,3,FALSE),"")</f>
        <v>heavy or residual fuel oil</v>
      </c>
    </row>
    <row r="1652" spans="1:9" x14ac:dyDescent="0.15">
      <c r="A1652" s="2">
        <v>185862</v>
      </c>
      <c r="B1652" s="2" t="s">
        <v>75</v>
      </c>
      <c r="C1652" s="2">
        <v>2021</v>
      </c>
      <c r="D1652" s="2" t="s">
        <v>1</v>
      </c>
      <c r="E1652" s="2" t="s">
        <v>21</v>
      </c>
      <c r="F1652" s="2" t="s">
        <v>35</v>
      </c>
      <c r="G1652" s="7"/>
      <c r="H1652" s="13" t="str">
        <f>IFERROR(IF(ABS($G1652)&gt;0,VLOOKUP($E1652,'Fuel Category and Heat Rate'!$B$1:$G$34,6,FALSE)*($G1652),""),"")</f>
        <v/>
      </c>
      <c r="I1652" t="str">
        <f>IFERROR(VLOOKUP($E1652,'Fuel Category and Heat Rate'!$K$2:$M$36,3,FALSE),"")</f>
        <v>LPG propane or butane</v>
      </c>
    </row>
    <row r="1653" spans="1:9" x14ac:dyDescent="0.15">
      <c r="A1653" s="2">
        <v>185897</v>
      </c>
      <c r="B1653" s="2" t="s">
        <v>75</v>
      </c>
      <c r="C1653" s="2">
        <v>2021</v>
      </c>
      <c r="D1653" s="2" t="s">
        <v>1</v>
      </c>
      <c r="E1653" s="2" t="s">
        <v>22</v>
      </c>
      <c r="F1653" s="2" t="s">
        <v>35</v>
      </c>
      <c r="G1653" s="7"/>
      <c r="H1653" s="13" t="str">
        <f>IFERROR(IF(ABS($G1653)&gt;0,VLOOKUP($E1653,'Fuel Category and Heat Rate'!$B$1:$G$34,6,FALSE)*($G1653),""),"")</f>
        <v/>
      </c>
      <c r="I1653" t="str">
        <f>IFERROR(VLOOKUP($E1653,'Fuel Category and Heat Rate'!$K$2:$M$36,3,FALSE),"")</f>
        <v>heavy fuel oil</v>
      </c>
    </row>
    <row r="1654" spans="1:9" x14ac:dyDescent="0.15">
      <c r="A1654" s="2">
        <v>185932</v>
      </c>
      <c r="B1654" s="2" t="s">
        <v>75</v>
      </c>
      <c r="C1654" s="2">
        <v>2021</v>
      </c>
      <c r="D1654" s="2" t="s">
        <v>1</v>
      </c>
      <c r="E1654" s="2" t="s">
        <v>20</v>
      </c>
      <c r="F1654" s="2" t="s">
        <v>35</v>
      </c>
      <c r="G1654" s="7"/>
      <c r="H1654" s="13" t="str">
        <f>IFERROR(IF(ABS($G1654)&gt;0,VLOOKUP($E1654,'Fuel Category and Heat Rate'!$B$1:$G$34,6,FALSE)*($G1654),""),"")</f>
        <v/>
      </c>
      <c r="I1654" t="str">
        <f>IFERROR(VLOOKUP($E1654,'Fuel Category and Heat Rate'!$K$2:$M$36,3,FALSE),"")</f>
        <v>LPG propane or butane</v>
      </c>
    </row>
    <row r="1655" spans="1:9" x14ac:dyDescent="0.15">
      <c r="A1655" s="2">
        <v>185967</v>
      </c>
      <c r="B1655" s="2" t="s">
        <v>75</v>
      </c>
      <c r="C1655" s="2">
        <v>2021</v>
      </c>
      <c r="D1655" s="2" t="s">
        <v>1</v>
      </c>
      <c r="E1655" s="2" t="s">
        <v>25</v>
      </c>
      <c r="F1655" s="2" t="s">
        <v>35</v>
      </c>
      <c r="G1655" s="7"/>
      <c r="H1655" s="13" t="str">
        <f>IFERROR(IF(ABS($G1655)&gt;0,VLOOKUP($E1655,'Fuel Category and Heat Rate'!$B$1:$G$34,6,FALSE)*($G1655),""),"")</f>
        <v/>
      </c>
      <c r="I1655" t="str">
        <f>IFERROR(VLOOKUP($E1655,'Fuel Category and Heat Rate'!$K$2:$M$36,3,FALSE),"")</f>
        <v>heavy fuel oil</v>
      </c>
    </row>
    <row r="1656" spans="1:9" x14ac:dyDescent="0.15">
      <c r="A1656" s="2">
        <v>186002</v>
      </c>
      <c r="B1656" s="2" t="s">
        <v>75</v>
      </c>
      <c r="C1656" s="2">
        <v>2021</v>
      </c>
      <c r="D1656" s="2" t="s">
        <v>1</v>
      </c>
      <c r="E1656" s="2" t="s">
        <v>24</v>
      </c>
      <c r="F1656" s="2" t="s">
        <v>35</v>
      </c>
      <c r="G1656" s="7"/>
      <c r="H1656" s="13" t="str">
        <f>IFERROR(IF(ABS($G1656)&gt;0,VLOOKUP($E1656,'Fuel Category and Heat Rate'!$B$1:$G$34,6,FALSE)*($G1656),""),"")</f>
        <v/>
      </c>
      <c r="I1656" t="str">
        <f>IFERROR(VLOOKUP($E1656,'Fuel Category and Heat Rate'!$K$2:$M$36,3,FALSE),"")</f>
        <v>heavy fuel oil</v>
      </c>
    </row>
    <row r="1657" spans="1:9" x14ac:dyDescent="0.15">
      <c r="A1657" s="2">
        <v>186037</v>
      </c>
      <c r="B1657" s="2" t="s">
        <v>75</v>
      </c>
      <c r="C1657" s="2">
        <v>2021</v>
      </c>
      <c r="D1657" s="2" t="s">
        <v>1</v>
      </c>
      <c r="E1657" s="2" t="s">
        <v>29</v>
      </c>
      <c r="F1657" s="2" t="s">
        <v>36</v>
      </c>
      <c r="G1657" s="7">
        <v>-5.35</v>
      </c>
      <c r="H1657" s="13">
        <f>IFERROR(IF(ABS($G1657)&gt;0,VLOOKUP($E1657,'Fuel Category and Heat Rate'!$B$1:$G$34,6,FALSE)*($G1657),""),"")</f>
        <v>-18044265144826.219</v>
      </c>
      <c r="I1657" t="str">
        <f>IFERROR(VLOOKUP($E1657,'Fuel Category and Heat Rate'!$K$2:$M$36,3,FALSE),"")</f>
        <v>natural gas</v>
      </c>
    </row>
    <row r="1658" spans="1:9" x14ac:dyDescent="0.15">
      <c r="A1658" s="2">
        <v>186072</v>
      </c>
      <c r="B1658" s="2" t="s">
        <v>75</v>
      </c>
      <c r="C1658" s="2">
        <v>2021</v>
      </c>
      <c r="D1658" s="2" t="s">
        <v>1</v>
      </c>
      <c r="E1658" s="2" t="s">
        <v>4</v>
      </c>
      <c r="F1658" s="2" t="s">
        <v>35</v>
      </c>
      <c r="G1658" s="7"/>
      <c r="H1658" s="13" t="str">
        <f>IFERROR(IF(ABS($G1658)&gt;0,VLOOKUP($E1658,'Fuel Category and Heat Rate'!$B$1:$G$34,6,FALSE)*($G1658),""),"")</f>
        <v/>
      </c>
      <c r="I1658" t="str">
        <f>IFERROR(VLOOKUP($E1658,'Fuel Category and Heat Rate'!$K$2:$M$36,3,FALSE),"")</f>
        <v>coal</v>
      </c>
    </row>
    <row r="1659" spans="1:9" x14ac:dyDescent="0.15">
      <c r="A1659" s="2">
        <v>186107</v>
      </c>
      <c r="B1659" s="2" t="s">
        <v>75</v>
      </c>
      <c r="C1659" s="2">
        <v>2021</v>
      </c>
      <c r="D1659" s="2" t="s">
        <v>1</v>
      </c>
      <c r="E1659" s="2" t="s">
        <v>6</v>
      </c>
      <c r="F1659" s="2" t="s">
        <v>35</v>
      </c>
      <c r="G1659" s="7"/>
      <c r="H1659" s="13" t="str">
        <f>IFERROR(IF(ABS($G1659)&gt;0,VLOOKUP($E1659,'Fuel Category and Heat Rate'!$B$1:$G$34,6,FALSE)*($G1659),""),"")</f>
        <v/>
      </c>
      <c r="I1659" t="str">
        <f>IFERROR(VLOOKUP($E1659,'Fuel Category and Heat Rate'!$K$2:$M$36,3,FALSE),"")</f>
        <v>coal</v>
      </c>
    </row>
    <row r="1660" spans="1:9" x14ac:dyDescent="0.15">
      <c r="A1660" s="2">
        <v>186142</v>
      </c>
      <c r="B1660" s="2" t="s">
        <v>75</v>
      </c>
      <c r="C1660" s="2">
        <v>2021</v>
      </c>
      <c r="D1660" s="2" t="s">
        <v>1</v>
      </c>
      <c r="E1660" s="2" t="s">
        <v>26</v>
      </c>
      <c r="F1660" s="2" t="s">
        <v>35</v>
      </c>
      <c r="G1660" s="7"/>
      <c r="H1660" s="13" t="str">
        <f>IFERROR(IF(ABS($G1660)&gt;0,VLOOKUP($E1660,'Fuel Category and Heat Rate'!$B$1:$G$34,6,FALSE)*($G1660),""),"")</f>
        <v/>
      </c>
      <c r="I1660" t="str">
        <f>IFERROR(VLOOKUP($E1660,'Fuel Category and Heat Rate'!$K$2:$M$36,3,FALSE),"")</f>
        <v>LPG propane or butane</v>
      </c>
    </row>
    <row r="1661" spans="1:9" x14ac:dyDescent="0.15">
      <c r="A1661" s="2">
        <v>186177</v>
      </c>
      <c r="B1661" s="2" t="s">
        <v>75</v>
      </c>
      <c r="C1661" s="2">
        <v>2021</v>
      </c>
      <c r="D1661" s="2" t="s">
        <v>1</v>
      </c>
      <c r="E1661" s="2" t="s">
        <v>30</v>
      </c>
      <c r="F1661" s="2" t="s">
        <v>35</v>
      </c>
      <c r="G1661" s="7"/>
      <c r="H1661" s="13" t="str">
        <f>IFERROR(IF(ABS($G1661)&gt;0,VLOOKUP($E1661,'Fuel Category and Heat Rate'!$B$1:$G$34,6,FALSE)*($G1661),""),"")</f>
        <v/>
      </c>
      <c r="I1661" t="str">
        <f>IFERROR(VLOOKUP($E1661,'Fuel Category and Heat Rate'!$K$2:$M$36,3,FALSE),"")</f>
        <v>natural gas</v>
      </c>
    </row>
    <row r="1662" spans="1:9" x14ac:dyDescent="0.15">
      <c r="A1662" s="2">
        <v>186212</v>
      </c>
      <c r="B1662" s="2" t="s">
        <v>75</v>
      </c>
      <c r="C1662" s="2">
        <v>2021</v>
      </c>
      <c r="D1662" s="2" t="s">
        <v>1</v>
      </c>
      <c r="E1662" s="2" t="s">
        <v>14</v>
      </c>
      <c r="F1662" s="2" t="s">
        <v>35</v>
      </c>
      <c r="G1662" s="7">
        <v>-108.88</v>
      </c>
      <c r="H1662" s="13">
        <f>IFERROR(IF(ABS($G1662)&gt;0,VLOOKUP($E1662,'Fuel Category and Heat Rate'!$B$1:$G$34,6,FALSE)*($G1662),""),"")</f>
        <v>0</v>
      </c>
      <c r="I1662" t="str">
        <f>IFERROR(VLOOKUP($E1662,'Fuel Category and Heat Rate'!$K$2:$M$36,3,FALSE),"")</f>
        <v/>
      </c>
    </row>
    <row r="1663" spans="1:9" x14ac:dyDescent="0.15">
      <c r="A1663" s="2">
        <v>186247</v>
      </c>
      <c r="B1663" s="2" t="s">
        <v>75</v>
      </c>
      <c r="C1663" s="2">
        <v>2021</v>
      </c>
      <c r="D1663" s="2" t="s">
        <v>1</v>
      </c>
      <c r="E1663" s="2" t="s">
        <v>3</v>
      </c>
      <c r="F1663" s="2" t="s">
        <v>35</v>
      </c>
      <c r="G1663" s="7">
        <v>-4114.87</v>
      </c>
      <c r="H1663" s="13">
        <f>IFERROR(IF(ABS($G1663)&gt;0,VLOOKUP($E1663,'Fuel Category and Heat Rate'!$B$1:$G$34,6,FALSE)*($G1663),""),"")</f>
        <v>-815442158441185.88</v>
      </c>
      <c r="I1663" t="str">
        <f>IFERROR(VLOOKUP($E1663,'Fuel Category and Heat Rate'!$K$2:$M$36,3,FALSE),"")</f>
        <v>coal</v>
      </c>
    </row>
    <row r="1664" spans="1:9" x14ac:dyDescent="0.15">
      <c r="A1664" s="2">
        <v>186282</v>
      </c>
      <c r="B1664" s="2" t="s">
        <v>75</v>
      </c>
      <c r="C1664" s="2">
        <v>2021</v>
      </c>
      <c r="D1664" s="2" t="s">
        <v>1</v>
      </c>
      <c r="E1664" s="2" t="s">
        <v>15</v>
      </c>
      <c r="F1664" s="2" t="s">
        <v>35</v>
      </c>
      <c r="G1664" s="7"/>
      <c r="H1664" s="13" t="str">
        <f>IFERROR(IF(ABS($G1664)&gt;0,VLOOKUP($E1664,'Fuel Category and Heat Rate'!$B$1:$G$34,6,FALSE)*($G1664),""),"")</f>
        <v/>
      </c>
      <c r="I1664" t="str">
        <f>IFERROR(VLOOKUP($E1664,'Fuel Category and Heat Rate'!$K$2:$M$36,3,FALSE),"")</f>
        <v>crude oil</v>
      </c>
    </row>
    <row r="1665" spans="1:9" x14ac:dyDescent="0.15">
      <c r="A1665" s="2">
        <v>186317</v>
      </c>
      <c r="B1665" s="2" t="s">
        <v>75</v>
      </c>
      <c r="C1665" s="2">
        <v>2021</v>
      </c>
      <c r="D1665" s="2" t="s">
        <v>1</v>
      </c>
      <c r="E1665" s="2" t="s">
        <v>11</v>
      </c>
      <c r="F1665" s="2" t="s">
        <v>36</v>
      </c>
      <c r="G1665" s="7"/>
      <c r="H1665" s="13" t="str">
        <f>IFERROR(IF(ABS($G1665)&gt;0,VLOOKUP($E1665,'Fuel Category and Heat Rate'!$B$1:$G$34,6,FALSE)*($G1665),""),"")</f>
        <v/>
      </c>
      <c r="I1665" t="str">
        <f>IFERROR(VLOOKUP($E1665,'Fuel Category and Heat Rate'!$K$2:$M$36,3,FALSE),"")</f>
        <v>LPG propane or butane</v>
      </c>
    </row>
    <row r="1666" spans="1:9" x14ac:dyDescent="0.15">
      <c r="A1666" s="2">
        <v>186352</v>
      </c>
      <c r="B1666" s="2" t="s">
        <v>75</v>
      </c>
      <c r="C1666" s="2">
        <v>2020</v>
      </c>
      <c r="D1666" s="2" t="s">
        <v>1</v>
      </c>
      <c r="E1666" s="2" t="s">
        <v>18</v>
      </c>
      <c r="F1666" s="2" t="s">
        <v>35</v>
      </c>
      <c r="G1666" s="7">
        <v>-0.11</v>
      </c>
      <c r="H1666" s="13">
        <f>IFERROR(IF(ABS($G1666)&gt;0,VLOOKUP($E1666,'Fuel Category and Heat Rate'!$B$1:$G$34,6,FALSE)*($G1666),""),"")</f>
        <v>-44468925507.592796</v>
      </c>
      <c r="I1666" t="str">
        <f>IFERROR(VLOOKUP($E1666,'Fuel Category and Heat Rate'!$K$2:$M$36,3,FALSE),"")</f>
        <v>petroleum diesel</v>
      </c>
    </row>
    <row r="1667" spans="1:9" x14ac:dyDescent="0.15">
      <c r="A1667" s="2">
        <v>186387</v>
      </c>
      <c r="B1667" s="2" t="s">
        <v>75</v>
      </c>
      <c r="C1667" s="2">
        <v>2020</v>
      </c>
      <c r="D1667" s="2" t="s">
        <v>1</v>
      </c>
      <c r="E1667" s="2" t="s">
        <v>32</v>
      </c>
      <c r="F1667" s="2" t="s">
        <v>65</v>
      </c>
      <c r="G1667" s="7"/>
      <c r="H1667" s="13" t="str">
        <f>IFERROR(IF(ABS($G1667)&gt;0,VLOOKUP($E1667,'Fuel Category and Heat Rate'!$B$1:$G$34,6,FALSE)*($G1667),""),"")</f>
        <v/>
      </c>
      <c r="I1667" t="str">
        <f>IFERROR(VLOOKUP($E1667,'Fuel Category and Heat Rate'!$K$2:$M$36,3,FALSE),"")</f>
        <v>electricity</v>
      </c>
    </row>
    <row r="1668" spans="1:9" x14ac:dyDescent="0.15">
      <c r="A1668" s="2">
        <v>186422</v>
      </c>
      <c r="B1668" s="2" t="s">
        <v>75</v>
      </c>
      <c r="C1668" s="2">
        <v>2020</v>
      </c>
      <c r="D1668" s="2" t="s">
        <v>1</v>
      </c>
      <c r="E1668" s="2" t="s">
        <v>10</v>
      </c>
      <c r="F1668" s="2" t="s">
        <v>36</v>
      </c>
      <c r="G1668" s="7"/>
      <c r="H1668" s="13" t="str">
        <f>IFERROR(IF(ABS($G1668)&gt;0,VLOOKUP($E1668,'Fuel Category and Heat Rate'!$B$1:$G$34,6,FALSE)*($G1668),""),"")</f>
        <v/>
      </c>
      <c r="I1668" t="str">
        <f>IFERROR(VLOOKUP($E1668,'Fuel Category and Heat Rate'!$K$2:$M$36,3,FALSE),"")</f>
        <v>LPG propane or butane</v>
      </c>
    </row>
    <row r="1669" spans="1:9" x14ac:dyDescent="0.15">
      <c r="A1669" s="2">
        <v>186457</v>
      </c>
      <c r="B1669" s="2" t="s">
        <v>75</v>
      </c>
      <c r="C1669" s="2">
        <v>2020</v>
      </c>
      <c r="D1669" s="2" t="s">
        <v>1</v>
      </c>
      <c r="E1669" s="2" t="s">
        <v>9</v>
      </c>
      <c r="F1669" s="2" t="s">
        <v>36</v>
      </c>
      <c r="G1669" s="7">
        <v>-0.16</v>
      </c>
      <c r="H1669" s="13">
        <f>IFERROR(IF(ABS($G1669)&gt;0,VLOOKUP($E1669,'Fuel Category and Heat Rate'!$B$1:$G$34,6,FALSE)*($G1669),""),"")</f>
        <v>-263167111011.23227</v>
      </c>
      <c r="I1669" t="str">
        <f>IFERROR(VLOOKUP($E1669,'Fuel Category and Heat Rate'!$K$2:$M$36,3,FALSE),"")</f>
        <v>LPG propane or butane</v>
      </c>
    </row>
    <row r="1670" spans="1:9" x14ac:dyDescent="0.15">
      <c r="A1670" s="2">
        <v>186492</v>
      </c>
      <c r="B1670" s="2" t="s">
        <v>75</v>
      </c>
      <c r="C1670" s="2">
        <v>2020</v>
      </c>
      <c r="D1670" s="2" t="s">
        <v>1</v>
      </c>
      <c r="E1670" s="2" t="s">
        <v>8</v>
      </c>
      <c r="F1670" s="2" t="s">
        <v>35</v>
      </c>
      <c r="G1670" s="7"/>
      <c r="H1670" s="13" t="str">
        <f>IFERROR(IF(ABS($G1670)&gt;0,VLOOKUP($E1670,'Fuel Category and Heat Rate'!$B$1:$G$34,6,FALSE)*($G1670),""),"")</f>
        <v/>
      </c>
      <c r="I1670" t="str">
        <f>IFERROR(VLOOKUP($E1670,'Fuel Category and Heat Rate'!$K$2:$M$36,3,FALSE),"")</f>
        <v>coal</v>
      </c>
    </row>
    <row r="1671" spans="1:9" x14ac:dyDescent="0.15">
      <c r="A1671" s="2">
        <v>186527</v>
      </c>
      <c r="B1671" s="2" t="s">
        <v>75</v>
      </c>
      <c r="C1671" s="2">
        <v>2020</v>
      </c>
      <c r="D1671" s="2" t="s">
        <v>1</v>
      </c>
      <c r="E1671" s="2" t="s">
        <v>27</v>
      </c>
      <c r="F1671" s="2" t="s">
        <v>35</v>
      </c>
      <c r="G1671" s="7">
        <v>-82.4</v>
      </c>
      <c r="H1671" s="13">
        <f>IFERROR(IF(ABS($G1671)&gt;0,VLOOKUP($E1671,'Fuel Category and Heat Rate'!$B$1:$G$34,6,FALSE)*($G1671),""),"")</f>
        <v>-35924498214952.32</v>
      </c>
      <c r="I1671" t="str">
        <f>IFERROR(VLOOKUP($E1671,'Fuel Category and Heat Rate'!$K$2:$M$36,3,FALSE),"")</f>
        <v>LPG propane or butane</v>
      </c>
    </row>
    <row r="1672" spans="1:9" x14ac:dyDescent="0.15">
      <c r="A1672" s="2">
        <v>186562</v>
      </c>
      <c r="B1672" s="2" t="s">
        <v>75</v>
      </c>
      <c r="C1672" s="2">
        <v>2020</v>
      </c>
      <c r="D1672" s="2" t="s">
        <v>1</v>
      </c>
      <c r="E1672" s="2" t="s">
        <v>7</v>
      </c>
      <c r="F1672" s="2" t="s">
        <v>35</v>
      </c>
      <c r="G1672" s="7">
        <v>-201.68</v>
      </c>
      <c r="H1672" s="13">
        <f>IFERROR(IF(ABS($G1672)&gt;0,VLOOKUP($E1672,'Fuel Category and Heat Rate'!$B$1:$G$34,6,FALSE)*($G1672),""),"")</f>
        <v>-16007383116258.729</v>
      </c>
      <c r="I1672" t="str">
        <f>IFERROR(VLOOKUP($E1672,'Fuel Category and Heat Rate'!$K$2:$M$36,3,FALSE),"")</f>
        <v>coal</v>
      </c>
    </row>
    <row r="1673" spans="1:9" x14ac:dyDescent="0.15">
      <c r="A1673" s="2">
        <v>186597</v>
      </c>
      <c r="B1673" s="2" t="s">
        <v>75</v>
      </c>
      <c r="C1673" s="2">
        <v>2020</v>
      </c>
      <c r="D1673" s="2" t="s">
        <v>1</v>
      </c>
      <c r="E1673" s="2" t="s">
        <v>2</v>
      </c>
      <c r="F1673" s="2" t="s">
        <v>35</v>
      </c>
      <c r="G1673" s="7">
        <v>-3918.2</v>
      </c>
      <c r="H1673" s="13">
        <f>IFERROR(IF(ABS($G1673)&gt;0,VLOOKUP($E1673,'Fuel Category and Heat Rate'!$B$1:$G$34,6,FALSE)*($G1673),""),"")</f>
        <v>0</v>
      </c>
      <c r="I1673" t="str">
        <f>IFERROR(VLOOKUP($E1673,'Fuel Category and Heat Rate'!$K$2:$M$36,3,FALSE),"")</f>
        <v/>
      </c>
    </row>
    <row r="1674" spans="1:9" x14ac:dyDescent="0.15">
      <c r="A1674" s="2">
        <v>186632</v>
      </c>
      <c r="B1674" s="2" t="s">
        <v>75</v>
      </c>
      <c r="C1674" s="2">
        <v>2020</v>
      </c>
      <c r="D1674" s="2" t="s">
        <v>1</v>
      </c>
      <c r="E1674" s="2" t="s">
        <v>17</v>
      </c>
      <c r="F1674" s="2" t="s">
        <v>35</v>
      </c>
      <c r="G1674" s="7"/>
      <c r="H1674" s="13" t="str">
        <f>IFERROR(IF(ABS($G1674)&gt;0,VLOOKUP($E1674,'Fuel Category and Heat Rate'!$B$1:$G$34,6,FALSE)*($G1674),""),"")</f>
        <v/>
      </c>
      <c r="I1674" t="str">
        <f>IFERROR(VLOOKUP($E1674,'Fuel Category and Heat Rate'!$K$2:$M$36,3,FALSE),"")</f>
        <v>petroleum diesel</v>
      </c>
    </row>
    <row r="1675" spans="1:9" x14ac:dyDescent="0.15">
      <c r="A1675" s="2">
        <v>186667</v>
      </c>
      <c r="B1675" s="2" t="s">
        <v>75</v>
      </c>
      <c r="C1675" s="2">
        <v>2020</v>
      </c>
      <c r="D1675" s="2" t="s">
        <v>1</v>
      </c>
      <c r="E1675" s="2" t="s">
        <v>13</v>
      </c>
      <c r="F1675" s="2" t="s">
        <v>35</v>
      </c>
      <c r="G1675" s="7"/>
      <c r="H1675" s="13" t="str">
        <f>IFERROR(IF(ABS($G1675)&gt;0,VLOOKUP($E1675,'Fuel Category and Heat Rate'!$B$1:$G$34,6,FALSE)*($G1675),""),"")</f>
        <v/>
      </c>
      <c r="I1675" t="str">
        <f>IFERROR(VLOOKUP($E1675,'Fuel Category and Heat Rate'!$K$2:$M$36,3,FALSE),"")</f>
        <v>petroleum diesel</v>
      </c>
    </row>
    <row r="1676" spans="1:9" x14ac:dyDescent="0.15">
      <c r="A1676" s="2">
        <v>186702</v>
      </c>
      <c r="B1676" s="2" t="s">
        <v>75</v>
      </c>
      <c r="C1676" s="2">
        <v>2020</v>
      </c>
      <c r="D1676" s="2" t="s">
        <v>1</v>
      </c>
      <c r="E1676" s="2" t="s">
        <v>12</v>
      </c>
      <c r="F1676" s="2" t="s">
        <v>36</v>
      </c>
      <c r="G1676" s="7"/>
      <c r="H1676" s="13" t="str">
        <f>IFERROR(IF(ABS($G1676)&gt;0,VLOOKUP($E1676,'Fuel Category and Heat Rate'!$B$1:$G$34,6,FALSE)*($G1676),""),"")</f>
        <v/>
      </c>
      <c r="I1676" t="str">
        <f>IFERROR(VLOOKUP($E1676,'Fuel Category and Heat Rate'!$K$2:$M$36,3,FALSE),"")</f>
        <v>LPG propane or butane</v>
      </c>
    </row>
    <row r="1677" spans="1:9" x14ac:dyDescent="0.15">
      <c r="A1677" s="2">
        <v>186737</v>
      </c>
      <c r="B1677" s="2" t="s">
        <v>75</v>
      </c>
      <c r="C1677" s="2">
        <v>2020</v>
      </c>
      <c r="D1677" s="2" t="s">
        <v>1</v>
      </c>
      <c r="E1677" s="2" t="s">
        <v>33</v>
      </c>
      <c r="F1677" s="2" t="s">
        <v>38</v>
      </c>
      <c r="G1677" s="7">
        <v>-60.84</v>
      </c>
      <c r="H1677" s="13">
        <f>IFERROR(IF(ABS($G1677)&gt;0,VLOOKUP($E1677,'Fuel Category and Heat Rate'!$B$1:$G$34,6,FALSE)*($G1677),""),"")</f>
        <v>-16879178860531.412</v>
      </c>
      <c r="I1677" t="str">
        <f>IFERROR(VLOOKUP($E1677,'Fuel Category and Heat Rate'!$K$2:$M$36,3,FALSE),"")</f>
        <v>biomass</v>
      </c>
    </row>
    <row r="1678" spans="1:9" x14ac:dyDescent="0.15">
      <c r="A1678" s="2">
        <v>186772</v>
      </c>
      <c r="B1678" s="2" t="s">
        <v>75</v>
      </c>
      <c r="C1678" s="2">
        <v>2020</v>
      </c>
      <c r="D1678" s="2" t="s">
        <v>1</v>
      </c>
      <c r="E1678" s="2" t="s">
        <v>28</v>
      </c>
      <c r="F1678" s="2" t="s">
        <v>35</v>
      </c>
      <c r="G1678" s="7"/>
      <c r="H1678" s="13" t="str">
        <f>IFERROR(IF(ABS($G1678)&gt;0,VLOOKUP($E1678,'Fuel Category and Heat Rate'!$B$1:$G$34,6,FALSE)*($G1678),""),"")</f>
        <v/>
      </c>
      <c r="I1678" t="str">
        <f>IFERROR(VLOOKUP($E1678,'Fuel Category and Heat Rate'!$K$2:$M$36,3,FALSE),"")</f>
        <v>heavy or residual fuel oil</v>
      </c>
    </row>
    <row r="1679" spans="1:9" x14ac:dyDescent="0.15">
      <c r="A1679" s="2">
        <v>186807</v>
      </c>
      <c r="B1679" s="2" t="s">
        <v>75</v>
      </c>
      <c r="C1679" s="2">
        <v>2020</v>
      </c>
      <c r="D1679" s="2" t="s">
        <v>1</v>
      </c>
      <c r="E1679" s="2" t="s">
        <v>5</v>
      </c>
      <c r="F1679" s="2" t="s">
        <v>35</v>
      </c>
      <c r="G1679" s="7">
        <v>-121.97</v>
      </c>
      <c r="H1679" s="13">
        <f>IFERROR(IF(ABS($G1679)&gt;0,VLOOKUP($E1679,'Fuel Category and Heat Rate'!$B$1:$G$34,6,FALSE)*($G1679),""),"")</f>
        <v>-9668067429795.3027</v>
      </c>
      <c r="I1679" t="str">
        <f>IFERROR(VLOOKUP($E1679,'Fuel Category and Heat Rate'!$K$2:$M$36,3,FALSE),"")</f>
        <v>coal</v>
      </c>
    </row>
    <row r="1680" spans="1:9" x14ac:dyDescent="0.15">
      <c r="A1680" s="2">
        <v>186842</v>
      </c>
      <c r="B1680" s="2" t="s">
        <v>75</v>
      </c>
      <c r="C1680" s="2">
        <v>2020</v>
      </c>
      <c r="D1680" s="2" t="s">
        <v>1</v>
      </c>
      <c r="E1680" s="2" t="s">
        <v>16</v>
      </c>
      <c r="F1680" s="2" t="s">
        <v>35</v>
      </c>
      <c r="G1680" s="7"/>
      <c r="H1680" s="13" t="str">
        <f>IFERROR(IF(ABS($G1680)&gt;0,VLOOKUP($E1680,'Fuel Category and Heat Rate'!$B$1:$G$34,6,FALSE)*($G1680),""),"")</f>
        <v/>
      </c>
      <c r="I1680" t="str">
        <f>IFERROR(VLOOKUP($E1680,'Fuel Category and Heat Rate'!$K$2:$M$36,3,FALSE),"")</f>
        <v>petroleum diesel</v>
      </c>
    </row>
    <row r="1681" spans="1:9" x14ac:dyDescent="0.15">
      <c r="A1681" s="2">
        <v>186877</v>
      </c>
      <c r="B1681" s="2" t="s">
        <v>75</v>
      </c>
      <c r="C1681" s="2">
        <v>2020</v>
      </c>
      <c r="D1681" s="2" t="s">
        <v>1</v>
      </c>
      <c r="E1681" s="2" t="s">
        <v>19</v>
      </c>
      <c r="F1681" s="2" t="s">
        <v>35</v>
      </c>
      <c r="G1681" s="7">
        <v>-10.95</v>
      </c>
      <c r="H1681" s="13">
        <f>IFERROR(IF(ABS($G1681)&gt;0,VLOOKUP($E1681,'Fuel Category and Heat Rate'!$B$1:$G$34,6,FALSE)*($G1681),""),"")</f>
        <v>-4339914327758.0991</v>
      </c>
      <c r="I1681" t="str">
        <f>IFERROR(VLOOKUP($E1681,'Fuel Category and Heat Rate'!$K$2:$M$36,3,FALSE),"")</f>
        <v>heavy or residual fuel oil</v>
      </c>
    </row>
    <row r="1682" spans="1:9" x14ac:dyDescent="0.15">
      <c r="A1682" s="2">
        <v>186912</v>
      </c>
      <c r="B1682" s="2" t="s">
        <v>75</v>
      </c>
      <c r="C1682" s="2">
        <v>2020</v>
      </c>
      <c r="D1682" s="2" t="s">
        <v>1</v>
      </c>
      <c r="E1682" s="2" t="s">
        <v>31</v>
      </c>
      <c r="F1682" s="2" t="s">
        <v>37</v>
      </c>
      <c r="G1682" s="7">
        <v>55357.99</v>
      </c>
      <c r="H1682" s="13">
        <f>IFERROR(IF(ABS($G1682)&gt;0,VLOOKUP($E1682,'Fuel Category and Heat Rate'!$B$1:$G$34,6,FALSE)*($G1682),""),"")</f>
        <v>524692507984293</v>
      </c>
      <c r="I1682" t="str">
        <f>IFERROR(VLOOKUP($E1682,'Fuel Category and Heat Rate'!$K$2:$M$36,3,FALSE),"")</f>
        <v>heat</v>
      </c>
    </row>
    <row r="1683" spans="1:9" x14ac:dyDescent="0.15">
      <c r="A1683" s="2">
        <v>186947</v>
      </c>
      <c r="B1683" s="2" t="s">
        <v>75</v>
      </c>
      <c r="C1683" s="2">
        <v>2020</v>
      </c>
      <c r="D1683" s="2" t="s">
        <v>1</v>
      </c>
      <c r="E1683" s="2" t="s">
        <v>23</v>
      </c>
      <c r="F1683" s="2" t="s">
        <v>35</v>
      </c>
      <c r="G1683" s="7"/>
      <c r="H1683" s="13" t="str">
        <f>IFERROR(IF(ABS($G1683)&gt;0,VLOOKUP($E1683,'Fuel Category and Heat Rate'!$B$1:$G$34,6,FALSE)*($G1683),""),"")</f>
        <v/>
      </c>
      <c r="I1683" t="str">
        <f>IFERROR(VLOOKUP($E1683,'Fuel Category and Heat Rate'!$K$2:$M$36,3,FALSE),"")</f>
        <v>heavy or residual fuel oil</v>
      </c>
    </row>
    <row r="1684" spans="1:9" x14ac:dyDescent="0.15">
      <c r="A1684" s="2">
        <v>186982</v>
      </c>
      <c r="B1684" s="2" t="s">
        <v>75</v>
      </c>
      <c r="C1684" s="2">
        <v>2020</v>
      </c>
      <c r="D1684" s="2" t="s">
        <v>1</v>
      </c>
      <c r="E1684" s="2" t="s">
        <v>21</v>
      </c>
      <c r="F1684" s="2" t="s">
        <v>35</v>
      </c>
      <c r="G1684" s="7"/>
      <c r="H1684" s="13" t="str">
        <f>IFERROR(IF(ABS($G1684)&gt;0,VLOOKUP($E1684,'Fuel Category and Heat Rate'!$B$1:$G$34,6,FALSE)*($G1684),""),"")</f>
        <v/>
      </c>
      <c r="I1684" t="str">
        <f>IFERROR(VLOOKUP($E1684,'Fuel Category and Heat Rate'!$K$2:$M$36,3,FALSE),"")</f>
        <v>LPG propane or butane</v>
      </c>
    </row>
    <row r="1685" spans="1:9" x14ac:dyDescent="0.15">
      <c r="A1685" s="2">
        <v>187017</v>
      </c>
      <c r="B1685" s="2" t="s">
        <v>75</v>
      </c>
      <c r="C1685" s="2">
        <v>2020</v>
      </c>
      <c r="D1685" s="2" t="s">
        <v>1</v>
      </c>
      <c r="E1685" s="2" t="s">
        <v>22</v>
      </c>
      <c r="F1685" s="2" t="s">
        <v>35</v>
      </c>
      <c r="G1685" s="7"/>
      <c r="H1685" s="13" t="str">
        <f>IFERROR(IF(ABS($G1685)&gt;0,VLOOKUP($E1685,'Fuel Category and Heat Rate'!$B$1:$G$34,6,FALSE)*($G1685),""),"")</f>
        <v/>
      </c>
      <c r="I1685" t="str">
        <f>IFERROR(VLOOKUP($E1685,'Fuel Category and Heat Rate'!$K$2:$M$36,3,FALSE),"")</f>
        <v>heavy fuel oil</v>
      </c>
    </row>
    <row r="1686" spans="1:9" x14ac:dyDescent="0.15">
      <c r="A1686" s="2">
        <v>187052</v>
      </c>
      <c r="B1686" s="2" t="s">
        <v>75</v>
      </c>
      <c r="C1686" s="2">
        <v>2020</v>
      </c>
      <c r="D1686" s="2" t="s">
        <v>1</v>
      </c>
      <c r="E1686" s="2" t="s">
        <v>20</v>
      </c>
      <c r="F1686" s="2" t="s">
        <v>35</v>
      </c>
      <c r="G1686" s="7"/>
      <c r="H1686" s="13" t="str">
        <f>IFERROR(IF(ABS($G1686)&gt;0,VLOOKUP($E1686,'Fuel Category and Heat Rate'!$B$1:$G$34,6,FALSE)*($G1686),""),"")</f>
        <v/>
      </c>
      <c r="I1686" t="str">
        <f>IFERROR(VLOOKUP($E1686,'Fuel Category and Heat Rate'!$K$2:$M$36,3,FALSE),"")</f>
        <v>LPG propane or butane</v>
      </c>
    </row>
    <row r="1687" spans="1:9" x14ac:dyDescent="0.15">
      <c r="A1687" s="2">
        <v>187087</v>
      </c>
      <c r="B1687" s="2" t="s">
        <v>75</v>
      </c>
      <c r="C1687" s="2">
        <v>2020</v>
      </c>
      <c r="D1687" s="2" t="s">
        <v>1</v>
      </c>
      <c r="E1687" s="2" t="s">
        <v>25</v>
      </c>
      <c r="F1687" s="2" t="s">
        <v>35</v>
      </c>
      <c r="G1687" s="7"/>
      <c r="H1687" s="13" t="str">
        <f>IFERROR(IF(ABS($G1687)&gt;0,VLOOKUP($E1687,'Fuel Category and Heat Rate'!$B$1:$G$34,6,FALSE)*($G1687),""),"")</f>
        <v/>
      </c>
      <c r="I1687" t="str">
        <f>IFERROR(VLOOKUP($E1687,'Fuel Category and Heat Rate'!$K$2:$M$36,3,FALSE),"")</f>
        <v>heavy fuel oil</v>
      </c>
    </row>
    <row r="1688" spans="1:9" x14ac:dyDescent="0.15">
      <c r="A1688" s="2">
        <v>187122</v>
      </c>
      <c r="B1688" s="2" t="s">
        <v>75</v>
      </c>
      <c r="C1688" s="2">
        <v>2020</v>
      </c>
      <c r="D1688" s="2" t="s">
        <v>1</v>
      </c>
      <c r="E1688" s="2" t="s">
        <v>24</v>
      </c>
      <c r="F1688" s="2" t="s">
        <v>35</v>
      </c>
      <c r="G1688" s="7"/>
      <c r="H1688" s="13" t="str">
        <f>IFERROR(IF(ABS($G1688)&gt;0,VLOOKUP($E1688,'Fuel Category and Heat Rate'!$B$1:$G$34,6,FALSE)*($G1688),""),"")</f>
        <v/>
      </c>
      <c r="I1688" t="str">
        <f>IFERROR(VLOOKUP($E1688,'Fuel Category and Heat Rate'!$K$2:$M$36,3,FALSE),"")</f>
        <v>heavy fuel oil</v>
      </c>
    </row>
    <row r="1689" spans="1:9" x14ac:dyDescent="0.15">
      <c r="A1689" s="2">
        <v>187157</v>
      </c>
      <c r="B1689" s="2" t="s">
        <v>75</v>
      </c>
      <c r="C1689" s="2">
        <v>2020</v>
      </c>
      <c r="D1689" s="2" t="s">
        <v>1</v>
      </c>
      <c r="E1689" s="2" t="s">
        <v>29</v>
      </c>
      <c r="F1689" s="2" t="s">
        <v>36</v>
      </c>
      <c r="G1689" s="7">
        <v>-5</v>
      </c>
      <c r="H1689" s="13">
        <f>IFERROR(IF(ABS($G1689)&gt;0,VLOOKUP($E1689,'Fuel Category and Heat Rate'!$B$1:$G$34,6,FALSE)*($G1689),""),"")</f>
        <v>-16863799200772.168</v>
      </c>
      <c r="I1689" t="str">
        <f>IFERROR(VLOOKUP($E1689,'Fuel Category and Heat Rate'!$K$2:$M$36,3,FALSE),"")</f>
        <v>natural gas</v>
      </c>
    </row>
    <row r="1690" spans="1:9" x14ac:dyDescent="0.15">
      <c r="A1690" s="2">
        <v>187192</v>
      </c>
      <c r="B1690" s="2" t="s">
        <v>75</v>
      </c>
      <c r="C1690" s="2">
        <v>2020</v>
      </c>
      <c r="D1690" s="2" t="s">
        <v>1</v>
      </c>
      <c r="E1690" s="2" t="s">
        <v>4</v>
      </c>
      <c r="F1690" s="2" t="s">
        <v>35</v>
      </c>
      <c r="G1690" s="7"/>
      <c r="H1690" s="13" t="str">
        <f>IFERROR(IF(ABS($G1690)&gt;0,VLOOKUP($E1690,'Fuel Category and Heat Rate'!$B$1:$G$34,6,FALSE)*($G1690),""),"")</f>
        <v/>
      </c>
      <c r="I1690" t="str">
        <f>IFERROR(VLOOKUP($E1690,'Fuel Category and Heat Rate'!$K$2:$M$36,3,FALSE),"")</f>
        <v>coal</v>
      </c>
    </row>
    <row r="1691" spans="1:9" x14ac:dyDescent="0.15">
      <c r="A1691" s="2">
        <v>187227</v>
      </c>
      <c r="B1691" s="2" t="s">
        <v>75</v>
      </c>
      <c r="C1691" s="2">
        <v>2020</v>
      </c>
      <c r="D1691" s="2" t="s">
        <v>1</v>
      </c>
      <c r="E1691" s="2" t="s">
        <v>6</v>
      </c>
      <c r="F1691" s="2" t="s">
        <v>35</v>
      </c>
      <c r="G1691" s="7">
        <v>-5.23</v>
      </c>
      <c r="H1691" s="13">
        <f>IFERROR(IF(ABS($G1691)&gt;0,VLOOKUP($E1691,'Fuel Category and Heat Rate'!$B$1:$G$34,6,FALSE)*($G1691),""),"")</f>
        <v>-767009537931.09631</v>
      </c>
      <c r="I1691" t="str">
        <f>IFERROR(VLOOKUP($E1691,'Fuel Category and Heat Rate'!$K$2:$M$36,3,FALSE),"")</f>
        <v>coal</v>
      </c>
    </row>
    <row r="1692" spans="1:9" x14ac:dyDescent="0.15">
      <c r="A1692" s="2">
        <v>187262</v>
      </c>
      <c r="B1692" s="2" t="s">
        <v>75</v>
      </c>
      <c r="C1692" s="2">
        <v>2020</v>
      </c>
      <c r="D1692" s="2" t="s">
        <v>1</v>
      </c>
      <c r="E1692" s="2" t="s">
        <v>26</v>
      </c>
      <c r="F1692" s="2" t="s">
        <v>35</v>
      </c>
      <c r="G1692" s="7"/>
      <c r="H1692" s="13" t="str">
        <f>IFERROR(IF(ABS($G1692)&gt;0,VLOOKUP($E1692,'Fuel Category and Heat Rate'!$B$1:$G$34,6,FALSE)*($G1692),""),"")</f>
        <v/>
      </c>
      <c r="I1692" t="str">
        <f>IFERROR(VLOOKUP($E1692,'Fuel Category and Heat Rate'!$K$2:$M$36,3,FALSE),"")</f>
        <v>LPG propane or butane</v>
      </c>
    </row>
    <row r="1693" spans="1:9" x14ac:dyDescent="0.15">
      <c r="A1693" s="2">
        <v>187297</v>
      </c>
      <c r="B1693" s="2" t="s">
        <v>75</v>
      </c>
      <c r="C1693" s="2">
        <v>2020</v>
      </c>
      <c r="D1693" s="2" t="s">
        <v>1</v>
      </c>
      <c r="E1693" s="2" t="s">
        <v>30</v>
      </c>
      <c r="F1693" s="2" t="s">
        <v>35</v>
      </c>
      <c r="G1693" s="7"/>
      <c r="H1693" s="13" t="str">
        <f>IFERROR(IF(ABS($G1693)&gt;0,VLOOKUP($E1693,'Fuel Category and Heat Rate'!$B$1:$G$34,6,FALSE)*($G1693),""),"")</f>
        <v/>
      </c>
      <c r="I1693" t="str">
        <f>IFERROR(VLOOKUP($E1693,'Fuel Category and Heat Rate'!$K$2:$M$36,3,FALSE),"")</f>
        <v>natural gas</v>
      </c>
    </row>
    <row r="1694" spans="1:9" x14ac:dyDescent="0.15">
      <c r="A1694" s="2">
        <v>187332</v>
      </c>
      <c r="B1694" s="2" t="s">
        <v>75</v>
      </c>
      <c r="C1694" s="2">
        <v>2020</v>
      </c>
      <c r="D1694" s="2" t="s">
        <v>1</v>
      </c>
      <c r="E1694" s="2" t="s">
        <v>14</v>
      </c>
      <c r="F1694" s="2" t="s">
        <v>35</v>
      </c>
      <c r="G1694" s="7">
        <v>-93.46</v>
      </c>
      <c r="H1694" s="13">
        <f>IFERROR(IF(ABS($G1694)&gt;0,VLOOKUP($E1694,'Fuel Category and Heat Rate'!$B$1:$G$34,6,FALSE)*($G1694),""),"")</f>
        <v>0</v>
      </c>
      <c r="I1694" t="str">
        <f>IFERROR(VLOOKUP($E1694,'Fuel Category and Heat Rate'!$K$2:$M$36,3,FALSE),"")</f>
        <v/>
      </c>
    </row>
    <row r="1695" spans="1:9" x14ac:dyDescent="0.15">
      <c r="A1695" s="2">
        <v>187367</v>
      </c>
      <c r="B1695" s="2" t="s">
        <v>75</v>
      </c>
      <c r="C1695" s="2">
        <v>2020</v>
      </c>
      <c r="D1695" s="2" t="s">
        <v>1</v>
      </c>
      <c r="E1695" s="2" t="s">
        <v>3</v>
      </c>
      <c r="F1695" s="2" t="s">
        <v>35</v>
      </c>
      <c r="G1695" s="7">
        <v>-3791</v>
      </c>
      <c r="H1695" s="13">
        <f>IFERROR(IF(ABS($G1695)&gt;0,VLOOKUP($E1695,'Fuel Category and Heat Rate'!$B$1:$G$34,6,FALSE)*($G1695),""),"")</f>
        <v>-751260968791367.75</v>
      </c>
      <c r="I1695" t="str">
        <f>IFERROR(VLOOKUP($E1695,'Fuel Category and Heat Rate'!$K$2:$M$36,3,FALSE),"")</f>
        <v>coal</v>
      </c>
    </row>
    <row r="1696" spans="1:9" x14ac:dyDescent="0.15">
      <c r="A1696" s="2">
        <v>187402</v>
      </c>
      <c r="B1696" s="2" t="s">
        <v>75</v>
      </c>
      <c r="C1696" s="2">
        <v>2020</v>
      </c>
      <c r="D1696" s="2" t="s">
        <v>1</v>
      </c>
      <c r="E1696" s="2" t="s">
        <v>15</v>
      </c>
      <c r="F1696" s="2" t="s">
        <v>35</v>
      </c>
      <c r="G1696" s="7"/>
      <c r="H1696" s="13" t="str">
        <f>IFERROR(IF(ABS($G1696)&gt;0,VLOOKUP($E1696,'Fuel Category and Heat Rate'!$B$1:$G$34,6,FALSE)*($G1696),""),"")</f>
        <v/>
      </c>
      <c r="I1696" t="str">
        <f>IFERROR(VLOOKUP($E1696,'Fuel Category and Heat Rate'!$K$2:$M$36,3,FALSE),"")</f>
        <v>crude oil</v>
      </c>
    </row>
    <row r="1697" spans="1:9" x14ac:dyDescent="0.15">
      <c r="A1697" s="2">
        <v>187437</v>
      </c>
      <c r="B1697" s="2" t="s">
        <v>75</v>
      </c>
      <c r="C1697" s="2">
        <v>2020</v>
      </c>
      <c r="D1697" s="2" t="s">
        <v>1</v>
      </c>
      <c r="E1697" s="2" t="s">
        <v>11</v>
      </c>
      <c r="F1697" s="2" t="s">
        <v>36</v>
      </c>
      <c r="G1697" s="7"/>
      <c r="H1697" s="13" t="str">
        <f>IFERROR(IF(ABS($G1697)&gt;0,VLOOKUP($E1697,'Fuel Category and Heat Rate'!$B$1:$G$34,6,FALSE)*($G1697),""),"")</f>
        <v/>
      </c>
      <c r="I1697" t="str">
        <f>IFERROR(VLOOKUP($E1697,'Fuel Category and Heat Rate'!$K$2:$M$36,3,FALSE),"")</f>
        <v>LPG propane or butane</v>
      </c>
    </row>
    <row r="1698" spans="1:9" x14ac:dyDescent="0.15">
      <c r="A1698" s="2">
        <v>187472</v>
      </c>
      <c r="B1698" s="2" t="s">
        <v>75</v>
      </c>
      <c r="C1698" s="2">
        <v>2019</v>
      </c>
      <c r="D1698" s="2" t="s">
        <v>1</v>
      </c>
      <c r="E1698" s="2" t="s">
        <v>18</v>
      </c>
      <c r="F1698" s="2" t="s">
        <v>35</v>
      </c>
      <c r="G1698" s="7">
        <v>-0.12</v>
      </c>
      <c r="H1698" s="13">
        <f>IFERROR(IF(ABS($G1698)&gt;0,VLOOKUP($E1698,'Fuel Category and Heat Rate'!$B$1:$G$34,6,FALSE)*($G1698),""),"")</f>
        <v>-48511555099.192139</v>
      </c>
      <c r="I1698" t="str">
        <f>IFERROR(VLOOKUP($E1698,'Fuel Category and Heat Rate'!$K$2:$M$36,3,FALSE),"")</f>
        <v>petroleum diesel</v>
      </c>
    </row>
    <row r="1699" spans="1:9" x14ac:dyDescent="0.15">
      <c r="A1699" s="2">
        <v>187507</v>
      </c>
      <c r="B1699" s="2" t="s">
        <v>75</v>
      </c>
      <c r="C1699" s="2">
        <v>2019</v>
      </c>
      <c r="D1699" s="2" t="s">
        <v>1</v>
      </c>
      <c r="E1699" s="2" t="s">
        <v>32</v>
      </c>
      <c r="F1699" s="2" t="s">
        <v>65</v>
      </c>
      <c r="G1699" s="7"/>
      <c r="H1699" s="13" t="str">
        <f>IFERROR(IF(ABS($G1699)&gt;0,VLOOKUP($E1699,'Fuel Category and Heat Rate'!$B$1:$G$34,6,FALSE)*($G1699),""),"")</f>
        <v/>
      </c>
      <c r="I1699" t="str">
        <f>IFERROR(VLOOKUP($E1699,'Fuel Category and Heat Rate'!$K$2:$M$36,3,FALSE),"")</f>
        <v>electricity</v>
      </c>
    </row>
    <row r="1700" spans="1:9" x14ac:dyDescent="0.15">
      <c r="A1700" s="2">
        <v>187542</v>
      </c>
      <c r="B1700" s="2" t="s">
        <v>75</v>
      </c>
      <c r="C1700" s="2">
        <v>2019</v>
      </c>
      <c r="D1700" s="2" t="s">
        <v>1</v>
      </c>
      <c r="E1700" s="2" t="s">
        <v>10</v>
      </c>
      <c r="F1700" s="2" t="s">
        <v>36</v>
      </c>
      <c r="G1700" s="7">
        <v>-6.38</v>
      </c>
      <c r="H1700" s="13">
        <f>IFERROR(IF(ABS($G1700)&gt;0,VLOOKUP($E1700,'Fuel Category and Heat Rate'!$B$1:$G$34,6,FALSE)*($G1700),""),"")</f>
        <v>-2275513661196.2295</v>
      </c>
      <c r="I1700" t="str">
        <f>IFERROR(VLOOKUP($E1700,'Fuel Category and Heat Rate'!$K$2:$M$36,3,FALSE),"")</f>
        <v>LPG propane or butane</v>
      </c>
    </row>
    <row r="1701" spans="1:9" x14ac:dyDescent="0.15">
      <c r="A1701" s="2">
        <v>187577</v>
      </c>
      <c r="B1701" s="2" t="s">
        <v>75</v>
      </c>
      <c r="C1701" s="2">
        <v>2019</v>
      </c>
      <c r="D1701" s="2" t="s">
        <v>1</v>
      </c>
      <c r="E1701" s="2" t="s">
        <v>9</v>
      </c>
      <c r="F1701" s="2" t="s">
        <v>36</v>
      </c>
      <c r="G1701" s="7">
        <v>-0.16</v>
      </c>
      <c r="H1701" s="13">
        <f>IFERROR(IF(ABS($G1701)&gt;0,VLOOKUP($E1701,'Fuel Category and Heat Rate'!$B$1:$G$34,6,FALSE)*($G1701),""),"")</f>
        <v>-263167111011.23227</v>
      </c>
      <c r="I1701" t="str">
        <f>IFERROR(VLOOKUP($E1701,'Fuel Category and Heat Rate'!$K$2:$M$36,3,FALSE),"")</f>
        <v>LPG propane or butane</v>
      </c>
    </row>
    <row r="1702" spans="1:9" x14ac:dyDescent="0.15">
      <c r="A1702" s="2">
        <v>187612</v>
      </c>
      <c r="B1702" s="2" t="s">
        <v>75</v>
      </c>
      <c r="C1702" s="2">
        <v>2019</v>
      </c>
      <c r="D1702" s="2" t="s">
        <v>1</v>
      </c>
      <c r="E1702" s="2" t="s">
        <v>8</v>
      </c>
      <c r="F1702" s="2" t="s">
        <v>35</v>
      </c>
      <c r="G1702" s="7"/>
      <c r="H1702" s="13" t="str">
        <f>IFERROR(IF(ABS($G1702)&gt;0,VLOOKUP($E1702,'Fuel Category and Heat Rate'!$B$1:$G$34,6,FALSE)*($G1702),""),"")</f>
        <v/>
      </c>
      <c r="I1702" t="str">
        <f>IFERROR(VLOOKUP($E1702,'Fuel Category and Heat Rate'!$K$2:$M$36,3,FALSE),"")</f>
        <v>coal</v>
      </c>
    </row>
    <row r="1703" spans="1:9" x14ac:dyDescent="0.15">
      <c r="A1703" s="2">
        <v>187647</v>
      </c>
      <c r="B1703" s="2" t="s">
        <v>75</v>
      </c>
      <c r="C1703" s="2">
        <v>2019</v>
      </c>
      <c r="D1703" s="2" t="s">
        <v>1</v>
      </c>
      <c r="E1703" s="2" t="s">
        <v>27</v>
      </c>
      <c r="F1703" s="2" t="s">
        <v>35</v>
      </c>
      <c r="G1703" s="7">
        <v>-78.790000000000006</v>
      </c>
      <c r="H1703" s="13">
        <f>IFERROR(IF(ABS($G1703)&gt;0,VLOOKUP($E1703,'Fuel Category and Heat Rate'!$B$1:$G$34,6,FALSE)*($G1703),""),"")</f>
        <v>-34350621533447.734</v>
      </c>
      <c r="I1703" t="str">
        <f>IFERROR(VLOOKUP($E1703,'Fuel Category and Heat Rate'!$K$2:$M$36,3,FALSE),"")</f>
        <v>LPG propane or butane</v>
      </c>
    </row>
    <row r="1704" spans="1:9" x14ac:dyDescent="0.15">
      <c r="A1704" s="2">
        <v>187682</v>
      </c>
      <c r="B1704" s="2" t="s">
        <v>75</v>
      </c>
      <c r="C1704" s="2">
        <v>2019</v>
      </c>
      <c r="D1704" s="2" t="s">
        <v>1</v>
      </c>
      <c r="E1704" s="2" t="s">
        <v>7</v>
      </c>
      <c r="F1704" s="2" t="s">
        <v>35</v>
      </c>
      <c r="G1704" s="7">
        <v>-197.47</v>
      </c>
      <c r="H1704" s="13">
        <f>IFERROR(IF(ABS($G1704)&gt;0,VLOOKUP($E1704,'Fuel Category and Heat Rate'!$B$1:$G$34,6,FALSE)*($G1704),""),"")</f>
        <v>-15673234549621.236</v>
      </c>
      <c r="I1704" t="str">
        <f>IFERROR(VLOOKUP($E1704,'Fuel Category and Heat Rate'!$K$2:$M$36,3,FALSE),"")</f>
        <v>coal</v>
      </c>
    </row>
    <row r="1705" spans="1:9" x14ac:dyDescent="0.15">
      <c r="A1705" s="2">
        <v>187717</v>
      </c>
      <c r="B1705" s="2" t="s">
        <v>75</v>
      </c>
      <c r="C1705" s="2">
        <v>2019</v>
      </c>
      <c r="D1705" s="2" t="s">
        <v>1</v>
      </c>
      <c r="E1705" s="2" t="s">
        <v>2</v>
      </c>
      <c r="F1705" s="2" t="s">
        <v>35</v>
      </c>
      <c r="G1705" s="7">
        <v>-3392.43</v>
      </c>
      <c r="H1705" s="13">
        <f>IFERROR(IF(ABS($G1705)&gt;0,VLOOKUP($E1705,'Fuel Category and Heat Rate'!$B$1:$G$34,6,FALSE)*($G1705),""),"")</f>
        <v>0</v>
      </c>
      <c r="I1705" t="str">
        <f>IFERROR(VLOOKUP($E1705,'Fuel Category and Heat Rate'!$K$2:$M$36,3,FALSE),"")</f>
        <v/>
      </c>
    </row>
    <row r="1706" spans="1:9" x14ac:dyDescent="0.15">
      <c r="A1706" s="2">
        <v>187752</v>
      </c>
      <c r="B1706" s="2" t="s">
        <v>75</v>
      </c>
      <c r="C1706" s="2">
        <v>2019</v>
      </c>
      <c r="D1706" s="2" t="s">
        <v>1</v>
      </c>
      <c r="E1706" s="2" t="s">
        <v>17</v>
      </c>
      <c r="F1706" s="2" t="s">
        <v>35</v>
      </c>
      <c r="G1706" s="7"/>
      <c r="H1706" s="13" t="str">
        <f>IFERROR(IF(ABS($G1706)&gt;0,VLOOKUP($E1706,'Fuel Category and Heat Rate'!$B$1:$G$34,6,FALSE)*($G1706),""),"")</f>
        <v/>
      </c>
      <c r="I1706" t="str">
        <f>IFERROR(VLOOKUP($E1706,'Fuel Category and Heat Rate'!$K$2:$M$36,3,FALSE),"")</f>
        <v>petroleum diesel</v>
      </c>
    </row>
    <row r="1707" spans="1:9" x14ac:dyDescent="0.15">
      <c r="A1707" s="2">
        <v>187787</v>
      </c>
      <c r="B1707" s="2" t="s">
        <v>75</v>
      </c>
      <c r="C1707" s="2">
        <v>2019</v>
      </c>
      <c r="D1707" s="2" t="s">
        <v>1</v>
      </c>
      <c r="E1707" s="2" t="s">
        <v>13</v>
      </c>
      <c r="F1707" s="2" t="s">
        <v>35</v>
      </c>
      <c r="G1707" s="7"/>
      <c r="H1707" s="13" t="str">
        <f>IFERROR(IF(ABS($G1707)&gt;0,VLOOKUP($E1707,'Fuel Category and Heat Rate'!$B$1:$G$34,6,FALSE)*($G1707),""),"")</f>
        <v/>
      </c>
      <c r="I1707" t="str">
        <f>IFERROR(VLOOKUP($E1707,'Fuel Category and Heat Rate'!$K$2:$M$36,3,FALSE),"")</f>
        <v>petroleum diesel</v>
      </c>
    </row>
    <row r="1708" spans="1:9" x14ac:dyDescent="0.15">
      <c r="A1708" s="2">
        <v>187822</v>
      </c>
      <c r="B1708" s="2" t="s">
        <v>75</v>
      </c>
      <c r="C1708" s="2">
        <v>2019</v>
      </c>
      <c r="D1708" s="2" t="s">
        <v>1</v>
      </c>
      <c r="E1708" s="2" t="s">
        <v>12</v>
      </c>
      <c r="F1708" s="2" t="s">
        <v>36</v>
      </c>
      <c r="G1708" s="7"/>
      <c r="H1708" s="13" t="str">
        <f>IFERROR(IF(ABS($G1708)&gt;0,VLOOKUP($E1708,'Fuel Category and Heat Rate'!$B$1:$G$34,6,FALSE)*($G1708),""),"")</f>
        <v/>
      </c>
      <c r="I1708" t="str">
        <f>IFERROR(VLOOKUP($E1708,'Fuel Category and Heat Rate'!$K$2:$M$36,3,FALSE),"")</f>
        <v>LPG propane or butane</v>
      </c>
    </row>
    <row r="1709" spans="1:9" x14ac:dyDescent="0.15">
      <c r="A1709" s="2">
        <v>187857</v>
      </c>
      <c r="B1709" s="2" t="s">
        <v>75</v>
      </c>
      <c r="C1709" s="2">
        <v>2019</v>
      </c>
      <c r="D1709" s="2" t="s">
        <v>1</v>
      </c>
      <c r="E1709" s="2" t="s">
        <v>33</v>
      </c>
      <c r="F1709" s="2" t="s">
        <v>38</v>
      </c>
      <c r="G1709" s="7">
        <v>-56.93</v>
      </c>
      <c r="H1709" s="13">
        <f>IFERROR(IF(ABS($G1709)&gt;0,VLOOKUP($E1709,'Fuel Category and Heat Rate'!$B$1:$G$34,6,FALSE)*($G1709),""),"")</f>
        <v>-15794405860125.793</v>
      </c>
      <c r="I1709" t="str">
        <f>IFERROR(VLOOKUP($E1709,'Fuel Category and Heat Rate'!$K$2:$M$36,3,FALSE),"")</f>
        <v>biomass</v>
      </c>
    </row>
    <row r="1710" spans="1:9" x14ac:dyDescent="0.15">
      <c r="A1710" s="2">
        <v>187892</v>
      </c>
      <c r="B1710" s="2" t="s">
        <v>75</v>
      </c>
      <c r="C1710" s="2">
        <v>2019</v>
      </c>
      <c r="D1710" s="2" t="s">
        <v>1</v>
      </c>
      <c r="E1710" s="2" t="s">
        <v>28</v>
      </c>
      <c r="F1710" s="2" t="s">
        <v>35</v>
      </c>
      <c r="G1710" s="7"/>
      <c r="H1710" s="13" t="str">
        <f>IFERROR(IF(ABS($G1710)&gt;0,VLOOKUP($E1710,'Fuel Category and Heat Rate'!$B$1:$G$34,6,FALSE)*($G1710),""),"")</f>
        <v/>
      </c>
      <c r="I1710" t="str">
        <f>IFERROR(VLOOKUP($E1710,'Fuel Category and Heat Rate'!$K$2:$M$36,3,FALSE),"")</f>
        <v>heavy or residual fuel oil</v>
      </c>
    </row>
    <row r="1711" spans="1:9" x14ac:dyDescent="0.15">
      <c r="A1711" s="2">
        <v>187927</v>
      </c>
      <c r="B1711" s="2" t="s">
        <v>75</v>
      </c>
      <c r="C1711" s="2">
        <v>2019</v>
      </c>
      <c r="D1711" s="2" t="s">
        <v>1</v>
      </c>
      <c r="E1711" s="2" t="s">
        <v>5</v>
      </c>
      <c r="F1711" s="2" t="s">
        <v>35</v>
      </c>
      <c r="G1711" s="7">
        <v>-122.38</v>
      </c>
      <c r="H1711" s="13">
        <f>IFERROR(IF(ABS($G1711)&gt;0,VLOOKUP($E1711,'Fuel Category and Heat Rate'!$B$1:$G$34,6,FALSE)*($G1711),""),"")</f>
        <v>-9700566467642.4473</v>
      </c>
      <c r="I1711" t="str">
        <f>IFERROR(VLOOKUP($E1711,'Fuel Category and Heat Rate'!$K$2:$M$36,3,FALSE),"")</f>
        <v>coal</v>
      </c>
    </row>
    <row r="1712" spans="1:9" x14ac:dyDescent="0.15">
      <c r="A1712" s="2">
        <v>187962</v>
      </c>
      <c r="B1712" s="2" t="s">
        <v>75</v>
      </c>
      <c r="C1712" s="2">
        <v>2019</v>
      </c>
      <c r="D1712" s="2" t="s">
        <v>1</v>
      </c>
      <c r="E1712" s="2" t="s">
        <v>16</v>
      </c>
      <c r="F1712" s="2" t="s">
        <v>35</v>
      </c>
      <c r="G1712" s="7"/>
      <c r="H1712" s="13" t="str">
        <f>IFERROR(IF(ABS($G1712)&gt;0,VLOOKUP($E1712,'Fuel Category and Heat Rate'!$B$1:$G$34,6,FALSE)*($G1712),""),"")</f>
        <v/>
      </c>
      <c r="I1712" t="str">
        <f>IFERROR(VLOOKUP($E1712,'Fuel Category and Heat Rate'!$K$2:$M$36,3,FALSE),"")</f>
        <v>petroleum diesel</v>
      </c>
    </row>
    <row r="1713" spans="1:9" x14ac:dyDescent="0.15">
      <c r="A1713" s="2">
        <v>187997</v>
      </c>
      <c r="B1713" s="2" t="s">
        <v>75</v>
      </c>
      <c r="C1713" s="2">
        <v>2019</v>
      </c>
      <c r="D1713" s="2" t="s">
        <v>1</v>
      </c>
      <c r="E1713" s="2" t="s">
        <v>19</v>
      </c>
      <c r="F1713" s="2" t="s">
        <v>35</v>
      </c>
      <c r="G1713" s="7">
        <v>-7.54</v>
      </c>
      <c r="H1713" s="13">
        <f>IFERROR(IF(ABS($G1713)&gt;0,VLOOKUP($E1713,'Fuel Category and Heat Rate'!$B$1:$G$34,6,FALSE)*($G1713),""),"")</f>
        <v>-2988397628428.8647</v>
      </c>
      <c r="I1713" t="str">
        <f>IFERROR(VLOOKUP($E1713,'Fuel Category and Heat Rate'!$K$2:$M$36,3,FALSE),"")</f>
        <v>heavy or residual fuel oil</v>
      </c>
    </row>
    <row r="1714" spans="1:9" x14ac:dyDescent="0.15">
      <c r="A1714" s="2">
        <v>188032</v>
      </c>
      <c r="B1714" s="2" t="s">
        <v>75</v>
      </c>
      <c r="C1714" s="2">
        <v>2019</v>
      </c>
      <c r="D1714" s="2" t="s">
        <v>1</v>
      </c>
      <c r="E1714" s="2" t="s">
        <v>31</v>
      </c>
      <c r="F1714" s="2" t="s">
        <v>37</v>
      </c>
      <c r="G1714" s="7">
        <v>49223.85</v>
      </c>
      <c r="H1714" s="13">
        <f>IFERROR(IF(ABS($G1714)&gt;0,VLOOKUP($E1714,'Fuel Category and Heat Rate'!$B$1:$G$34,6,FALSE)*($G1714),""),"")</f>
        <v>466552078735926.63</v>
      </c>
      <c r="I1714" t="str">
        <f>IFERROR(VLOOKUP($E1714,'Fuel Category and Heat Rate'!$K$2:$M$36,3,FALSE),"")</f>
        <v>heat</v>
      </c>
    </row>
    <row r="1715" spans="1:9" x14ac:dyDescent="0.15">
      <c r="A1715" s="2">
        <v>188067</v>
      </c>
      <c r="B1715" s="2" t="s">
        <v>75</v>
      </c>
      <c r="C1715" s="2">
        <v>2019</v>
      </c>
      <c r="D1715" s="2" t="s">
        <v>1</v>
      </c>
      <c r="E1715" s="2" t="s">
        <v>23</v>
      </c>
      <c r="F1715" s="2" t="s">
        <v>35</v>
      </c>
      <c r="G1715" s="7"/>
      <c r="H1715" s="13" t="str">
        <f>IFERROR(IF(ABS($G1715)&gt;0,VLOOKUP($E1715,'Fuel Category and Heat Rate'!$B$1:$G$34,6,FALSE)*($G1715),""),"")</f>
        <v/>
      </c>
      <c r="I1715" t="str">
        <f>IFERROR(VLOOKUP($E1715,'Fuel Category and Heat Rate'!$K$2:$M$36,3,FALSE),"")</f>
        <v>heavy or residual fuel oil</v>
      </c>
    </row>
    <row r="1716" spans="1:9" x14ac:dyDescent="0.15">
      <c r="A1716" s="2">
        <v>188102</v>
      </c>
      <c r="B1716" s="2" t="s">
        <v>75</v>
      </c>
      <c r="C1716" s="2">
        <v>2019</v>
      </c>
      <c r="D1716" s="2" t="s">
        <v>1</v>
      </c>
      <c r="E1716" s="2" t="s">
        <v>21</v>
      </c>
      <c r="F1716" s="2" t="s">
        <v>35</v>
      </c>
      <c r="G1716" s="7"/>
      <c r="H1716" s="13" t="str">
        <f>IFERROR(IF(ABS($G1716)&gt;0,VLOOKUP($E1716,'Fuel Category and Heat Rate'!$B$1:$G$34,6,FALSE)*($G1716),""),"")</f>
        <v/>
      </c>
      <c r="I1716" t="str">
        <f>IFERROR(VLOOKUP($E1716,'Fuel Category and Heat Rate'!$K$2:$M$36,3,FALSE),"")</f>
        <v>LPG propane or butane</v>
      </c>
    </row>
    <row r="1717" spans="1:9" x14ac:dyDescent="0.15">
      <c r="A1717" s="2">
        <v>188137</v>
      </c>
      <c r="B1717" s="2" t="s">
        <v>75</v>
      </c>
      <c r="C1717" s="2">
        <v>2019</v>
      </c>
      <c r="D1717" s="2" t="s">
        <v>1</v>
      </c>
      <c r="E1717" s="2" t="s">
        <v>22</v>
      </c>
      <c r="F1717" s="2" t="s">
        <v>35</v>
      </c>
      <c r="G1717" s="7"/>
      <c r="H1717" s="13" t="str">
        <f>IFERROR(IF(ABS($G1717)&gt;0,VLOOKUP($E1717,'Fuel Category and Heat Rate'!$B$1:$G$34,6,FALSE)*($G1717),""),"")</f>
        <v/>
      </c>
      <c r="I1717" t="str">
        <f>IFERROR(VLOOKUP($E1717,'Fuel Category and Heat Rate'!$K$2:$M$36,3,FALSE),"")</f>
        <v>heavy fuel oil</v>
      </c>
    </row>
    <row r="1718" spans="1:9" x14ac:dyDescent="0.15">
      <c r="A1718" s="2">
        <v>188172</v>
      </c>
      <c r="B1718" s="2" t="s">
        <v>75</v>
      </c>
      <c r="C1718" s="2">
        <v>2019</v>
      </c>
      <c r="D1718" s="2" t="s">
        <v>1</v>
      </c>
      <c r="E1718" s="2" t="s">
        <v>20</v>
      </c>
      <c r="F1718" s="2" t="s">
        <v>35</v>
      </c>
      <c r="G1718" s="7"/>
      <c r="H1718" s="13" t="str">
        <f>IFERROR(IF(ABS($G1718)&gt;0,VLOOKUP($E1718,'Fuel Category and Heat Rate'!$B$1:$G$34,6,FALSE)*($G1718),""),"")</f>
        <v/>
      </c>
      <c r="I1718" t="str">
        <f>IFERROR(VLOOKUP($E1718,'Fuel Category and Heat Rate'!$K$2:$M$36,3,FALSE),"")</f>
        <v>LPG propane or butane</v>
      </c>
    </row>
    <row r="1719" spans="1:9" x14ac:dyDescent="0.15">
      <c r="A1719" s="2">
        <v>188207</v>
      </c>
      <c r="B1719" s="2" t="s">
        <v>75</v>
      </c>
      <c r="C1719" s="2">
        <v>2019</v>
      </c>
      <c r="D1719" s="2" t="s">
        <v>1</v>
      </c>
      <c r="E1719" s="2" t="s">
        <v>25</v>
      </c>
      <c r="F1719" s="2" t="s">
        <v>35</v>
      </c>
      <c r="G1719" s="7"/>
      <c r="H1719" s="13" t="str">
        <f>IFERROR(IF(ABS($G1719)&gt;0,VLOOKUP($E1719,'Fuel Category and Heat Rate'!$B$1:$G$34,6,FALSE)*($G1719),""),"")</f>
        <v/>
      </c>
      <c r="I1719" t="str">
        <f>IFERROR(VLOOKUP($E1719,'Fuel Category and Heat Rate'!$K$2:$M$36,3,FALSE),"")</f>
        <v>heavy fuel oil</v>
      </c>
    </row>
    <row r="1720" spans="1:9" x14ac:dyDescent="0.15">
      <c r="A1720" s="2">
        <v>188242</v>
      </c>
      <c r="B1720" s="2" t="s">
        <v>75</v>
      </c>
      <c r="C1720" s="2">
        <v>2019</v>
      </c>
      <c r="D1720" s="2" t="s">
        <v>1</v>
      </c>
      <c r="E1720" s="2" t="s">
        <v>24</v>
      </c>
      <c r="F1720" s="2" t="s">
        <v>35</v>
      </c>
      <c r="G1720" s="7"/>
      <c r="H1720" s="13" t="str">
        <f>IFERROR(IF(ABS($G1720)&gt;0,VLOOKUP($E1720,'Fuel Category and Heat Rate'!$B$1:$G$34,6,FALSE)*($G1720),""),"")</f>
        <v/>
      </c>
      <c r="I1720" t="str">
        <f>IFERROR(VLOOKUP($E1720,'Fuel Category and Heat Rate'!$K$2:$M$36,3,FALSE),"")</f>
        <v>heavy fuel oil</v>
      </c>
    </row>
    <row r="1721" spans="1:9" x14ac:dyDescent="0.15">
      <c r="A1721" s="2">
        <v>188277</v>
      </c>
      <c r="B1721" s="2" t="s">
        <v>75</v>
      </c>
      <c r="C1721" s="2">
        <v>2019</v>
      </c>
      <c r="D1721" s="2" t="s">
        <v>1</v>
      </c>
      <c r="E1721" s="2" t="s">
        <v>29</v>
      </c>
      <c r="F1721" s="2" t="s">
        <v>36</v>
      </c>
      <c r="G1721" s="7">
        <v>-4.72</v>
      </c>
      <c r="H1721" s="13">
        <f>IFERROR(IF(ABS($G1721)&gt;0,VLOOKUP($E1721,'Fuel Category and Heat Rate'!$B$1:$G$34,6,FALSE)*($G1721),""),"")</f>
        <v>-15919426445528.926</v>
      </c>
      <c r="I1721" t="str">
        <f>IFERROR(VLOOKUP($E1721,'Fuel Category and Heat Rate'!$K$2:$M$36,3,FALSE),"")</f>
        <v>natural gas</v>
      </c>
    </row>
    <row r="1722" spans="1:9" x14ac:dyDescent="0.15">
      <c r="A1722" s="2">
        <v>188312</v>
      </c>
      <c r="B1722" s="2" t="s">
        <v>75</v>
      </c>
      <c r="C1722" s="2">
        <v>2019</v>
      </c>
      <c r="D1722" s="2" t="s">
        <v>1</v>
      </c>
      <c r="E1722" s="2" t="s">
        <v>4</v>
      </c>
      <c r="F1722" s="2" t="s">
        <v>35</v>
      </c>
      <c r="G1722" s="7"/>
      <c r="H1722" s="13" t="str">
        <f>IFERROR(IF(ABS($G1722)&gt;0,VLOOKUP($E1722,'Fuel Category and Heat Rate'!$B$1:$G$34,6,FALSE)*($G1722),""),"")</f>
        <v/>
      </c>
      <c r="I1722" t="str">
        <f>IFERROR(VLOOKUP($E1722,'Fuel Category and Heat Rate'!$K$2:$M$36,3,FALSE),"")</f>
        <v>coal</v>
      </c>
    </row>
    <row r="1723" spans="1:9" x14ac:dyDescent="0.15">
      <c r="A1723" s="2">
        <v>188347</v>
      </c>
      <c r="B1723" s="2" t="s">
        <v>75</v>
      </c>
      <c r="C1723" s="2">
        <v>2019</v>
      </c>
      <c r="D1723" s="2" t="s">
        <v>1</v>
      </c>
      <c r="E1723" s="2" t="s">
        <v>6</v>
      </c>
      <c r="F1723" s="2" t="s">
        <v>35</v>
      </c>
      <c r="G1723" s="7">
        <v>-9.1199999999999992</v>
      </c>
      <c r="H1723" s="13">
        <f>IFERROR(IF(ABS($G1723)&gt;0,VLOOKUP($E1723,'Fuel Category and Heat Rate'!$B$1:$G$34,6,FALSE)*($G1723),""),"")</f>
        <v>-1337500379719.2346</v>
      </c>
      <c r="I1723" t="str">
        <f>IFERROR(VLOOKUP($E1723,'Fuel Category and Heat Rate'!$K$2:$M$36,3,FALSE),"")</f>
        <v>coal</v>
      </c>
    </row>
    <row r="1724" spans="1:9" x14ac:dyDescent="0.15">
      <c r="A1724" s="2">
        <v>188382</v>
      </c>
      <c r="B1724" s="2" t="s">
        <v>75</v>
      </c>
      <c r="C1724" s="2">
        <v>2019</v>
      </c>
      <c r="D1724" s="2" t="s">
        <v>1</v>
      </c>
      <c r="E1724" s="2" t="s">
        <v>26</v>
      </c>
      <c r="F1724" s="2" t="s">
        <v>35</v>
      </c>
      <c r="G1724" s="7"/>
      <c r="H1724" s="13" t="str">
        <f>IFERROR(IF(ABS($G1724)&gt;0,VLOOKUP($E1724,'Fuel Category and Heat Rate'!$B$1:$G$34,6,FALSE)*($G1724),""),"")</f>
        <v/>
      </c>
      <c r="I1724" t="str">
        <f>IFERROR(VLOOKUP($E1724,'Fuel Category and Heat Rate'!$K$2:$M$36,3,FALSE),"")</f>
        <v>LPG propane or butane</v>
      </c>
    </row>
    <row r="1725" spans="1:9" x14ac:dyDescent="0.15">
      <c r="A1725" s="2">
        <v>188417</v>
      </c>
      <c r="B1725" s="2" t="s">
        <v>75</v>
      </c>
      <c r="C1725" s="2">
        <v>2019</v>
      </c>
      <c r="D1725" s="2" t="s">
        <v>1</v>
      </c>
      <c r="E1725" s="2" t="s">
        <v>30</v>
      </c>
      <c r="F1725" s="2" t="s">
        <v>35</v>
      </c>
      <c r="G1725" s="7"/>
      <c r="H1725" s="13" t="str">
        <f>IFERROR(IF(ABS($G1725)&gt;0,VLOOKUP($E1725,'Fuel Category and Heat Rate'!$B$1:$G$34,6,FALSE)*($G1725),""),"")</f>
        <v/>
      </c>
      <c r="I1725" t="str">
        <f>IFERROR(VLOOKUP($E1725,'Fuel Category and Heat Rate'!$K$2:$M$36,3,FALSE),"")</f>
        <v>natural gas</v>
      </c>
    </row>
    <row r="1726" spans="1:9" x14ac:dyDescent="0.15">
      <c r="A1726" s="2">
        <v>188452</v>
      </c>
      <c r="B1726" s="2" t="s">
        <v>75</v>
      </c>
      <c r="C1726" s="2">
        <v>2019</v>
      </c>
      <c r="D1726" s="2" t="s">
        <v>1</v>
      </c>
      <c r="E1726" s="2" t="s">
        <v>14</v>
      </c>
      <c r="F1726" s="2" t="s">
        <v>35</v>
      </c>
      <c r="G1726" s="7">
        <v>-86.45</v>
      </c>
      <c r="H1726" s="13">
        <f>IFERROR(IF(ABS($G1726)&gt;0,VLOOKUP($E1726,'Fuel Category and Heat Rate'!$B$1:$G$34,6,FALSE)*($G1726),""),"")</f>
        <v>0</v>
      </c>
      <c r="I1726" t="str">
        <f>IFERROR(VLOOKUP($E1726,'Fuel Category and Heat Rate'!$K$2:$M$36,3,FALSE),"")</f>
        <v/>
      </c>
    </row>
    <row r="1727" spans="1:9" x14ac:dyDescent="0.15">
      <c r="A1727" s="2">
        <v>188487</v>
      </c>
      <c r="B1727" s="2" t="s">
        <v>75</v>
      </c>
      <c r="C1727" s="2">
        <v>2019</v>
      </c>
      <c r="D1727" s="2" t="s">
        <v>1</v>
      </c>
      <c r="E1727" s="2" t="s">
        <v>3</v>
      </c>
      <c r="F1727" s="2" t="s">
        <v>35</v>
      </c>
      <c r="G1727" s="7">
        <v>-3260.92</v>
      </c>
      <c r="H1727" s="13">
        <f>IFERROR(IF(ABS($G1727)&gt;0,VLOOKUP($E1727,'Fuel Category and Heat Rate'!$B$1:$G$34,6,FALSE)*($G1727),""),"")</f>
        <v>-646215225099221.13</v>
      </c>
      <c r="I1727" t="str">
        <f>IFERROR(VLOOKUP($E1727,'Fuel Category and Heat Rate'!$K$2:$M$36,3,FALSE),"")</f>
        <v>coal</v>
      </c>
    </row>
    <row r="1728" spans="1:9" x14ac:dyDescent="0.15">
      <c r="A1728" s="2">
        <v>188522</v>
      </c>
      <c r="B1728" s="2" t="s">
        <v>75</v>
      </c>
      <c r="C1728" s="2">
        <v>2019</v>
      </c>
      <c r="D1728" s="2" t="s">
        <v>1</v>
      </c>
      <c r="E1728" s="2" t="s">
        <v>15</v>
      </c>
      <c r="F1728" s="2" t="s">
        <v>35</v>
      </c>
      <c r="G1728" s="7"/>
      <c r="H1728" s="13" t="str">
        <f>IFERROR(IF(ABS($G1728)&gt;0,VLOOKUP($E1728,'Fuel Category and Heat Rate'!$B$1:$G$34,6,FALSE)*($G1728),""),"")</f>
        <v/>
      </c>
      <c r="I1728" t="str">
        <f>IFERROR(VLOOKUP($E1728,'Fuel Category and Heat Rate'!$K$2:$M$36,3,FALSE),"")</f>
        <v>crude oil</v>
      </c>
    </row>
    <row r="1729" spans="1:9" x14ac:dyDescent="0.15">
      <c r="A1729" s="2">
        <v>188557</v>
      </c>
      <c r="B1729" s="2" t="s">
        <v>75</v>
      </c>
      <c r="C1729" s="2">
        <v>2019</v>
      </c>
      <c r="D1729" s="2" t="s">
        <v>1</v>
      </c>
      <c r="E1729" s="2" t="s">
        <v>11</v>
      </c>
      <c r="F1729" s="2" t="s">
        <v>36</v>
      </c>
      <c r="G1729" s="7"/>
      <c r="H1729" s="13" t="str">
        <f>IFERROR(IF(ABS($G1729)&gt;0,VLOOKUP($E1729,'Fuel Category and Heat Rate'!$B$1:$G$34,6,FALSE)*($G1729),""),"")</f>
        <v/>
      </c>
      <c r="I1729" t="str">
        <f>IFERROR(VLOOKUP($E1729,'Fuel Category and Heat Rate'!$K$2:$M$36,3,FALSE),"")</f>
        <v>LPG propane or butane</v>
      </c>
    </row>
    <row r="1730" spans="1:9" x14ac:dyDescent="0.15">
      <c r="A1730" s="2">
        <v>188592</v>
      </c>
      <c r="B1730" s="2" t="s">
        <v>75</v>
      </c>
      <c r="C1730" s="2">
        <v>2018</v>
      </c>
      <c r="D1730" s="2" t="s">
        <v>1</v>
      </c>
      <c r="E1730" s="2" t="s">
        <v>18</v>
      </c>
      <c r="F1730" s="2" t="s">
        <v>35</v>
      </c>
      <c r="G1730" s="7">
        <v>-0.06</v>
      </c>
      <c r="H1730" s="13">
        <f>IFERROR(IF(ABS($G1730)&gt;0,VLOOKUP($E1730,'Fuel Category and Heat Rate'!$B$1:$G$34,6,FALSE)*($G1730),""),"")</f>
        <v>-24255777549.596069</v>
      </c>
      <c r="I1730" t="str">
        <f>IFERROR(VLOOKUP($E1730,'Fuel Category and Heat Rate'!$K$2:$M$36,3,FALSE),"")</f>
        <v>petroleum diesel</v>
      </c>
    </row>
    <row r="1731" spans="1:9" x14ac:dyDescent="0.15">
      <c r="A1731" s="2">
        <v>188627</v>
      </c>
      <c r="B1731" s="2" t="s">
        <v>75</v>
      </c>
      <c r="C1731" s="2">
        <v>2018</v>
      </c>
      <c r="D1731" s="2" t="s">
        <v>1</v>
      </c>
      <c r="E1731" s="2" t="s">
        <v>32</v>
      </c>
      <c r="F1731" s="2" t="s">
        <v>65</v>
      </c>
      <c r="G1731" s="7"/>
      <c r="H1731" s="13" t="str">
        <f>IFERROR(IF(ABS($G1731)&gt;0,VLOOKUP($E1731,'Fuel Category and Heat Rate'!$B$1:$G$34,6,FALSE)*($G1731),""),"")</f>
        <v/>
      </c>
      <c r="I1731" t="str">
        <f>IFERROR(VLOOKUP($E1731,'Fuel Category and Heat Rate'!$K$2:$M$36,3,FALSE),"")</f>
        <v>electricity</v>
      </c>
    </row>
    <row r="1732" spans="1:9" x14ac:dyDescent="0.15">
      <c r="A1732" s="2">
        <v>188662</v>
      </c>
      <c r="B1732" s="2" t="s">
        <v>75</v>
      </c>
      <c r="C1732" s="2">
        <v>2018</v>
      </c>
      <c r="D1732" s="2" t="s">
        <v>1</v>
      </c>
      <c r="E1732" s="2" t="s">
        <v>10</v>
      </c>
      <c r="F1732" s="2" t="s">
        <v>36</v>
      </c>
      <c r="G1732" s="7"/>
      <c r="H1732" s="13" t="str">
        <f>IFERROR(IF(ABS($G1732)&gt;0,VLOOKUP($E1732,'Fuel Category and Heat Rate'!$B$1:$G$34,6,FALSE)*($G1732),""),"")</f>
        <v/>
      </c>
      <c r="I1732" t="str">
        <f>IFERROR(VLOOKUP($E1732,'Fuel Category and Heat Rate'!$K$2:$M$36,3,FALSE),"")</f>
        <v>LPG propane or butane</v>
      </c>
    </row>
    <row r="1733" spans="1:9" x14ac:dyDescent="0.15">
      <c r="A1733" s="2">
        <v>188697</v>
      </c>
      <c r="B1733" s="2" t="s">
        <v>75</v>
      </c>
      <c r="C1733" s="2">
        <v>2018</v>
      </c>
      <c r="D1733" s="2" t="s">
        <v>1</v>
      </c>
      <c r="E1733" s="2" t="s">
        <v>9</v>
      </c>
      <c r="F1733" s="2" t="s">
        <v>36</v>
      </c>
      <c r="G1733" s="7">
        <v>-0.05</v>
      </c>
      <c r="H1733" s="13">
        <f>IFERROR(IF(ABS($G1733)&gt;0,VLOOKUP($E1733,'Fuel Category and Heat Rate'!$B$1:$G$34,6,FALSE)*($G1733),""),"")</f>
        <v>-82239722191.010086</v>
      </c>
      <c r="I1733" t="str">
        <f>IFERROR(VLOOKUP($E1733,'Fuel Category and Heat Rate'!$K$2:$M$36,3,FALSE),"")</f>
        <v>LPG propane or butane</v>
      </c>
    </row>
    <row r="1734" spans="1:9" x14ac:dyDescent="0.15">
      <c r="A1734" s="2">
        <v>188732</v>
      </c>
      <c r="B1734" s="2" t="s">
        <v>75</v>
      </c>
      <c r="C1734" s="2">
        <v>2018</v>
      </c>
      <c r="D1734" s="2" t="s">
        <v>1</v>
      </c>
      <c r="E1734" s="2" t="s">
        <v>8</v>
      </c>
      <c r="F1734" s="2" t="s">
        <v>35</v>
      </c>
      <c r="G1734" s="7"/>
      <c r="H1734" s="13" t="str">
        <f>IFERROR(IF(ABS($G1734)&gt;0,VLOOKUP($E1734,'Fuel Category and Heat Rate'!$B$1:$G$34,6,FALSE)*($G1734),""),"")</f>
        <v/>
      </c>
      <c r="I1734" t="str">
        <f>IFERROR(VLOOKUP($E1734,'Fuel Category and Heat Rate'!$K$2:$M$36,3,FALSE),"")</f>
        <v>coal</v>
      </c>
    </row>
    <row r="1735" spans="1:9" x14ac:dyDescent="0.15">
      <c r="A1735" s="2">
        <v>188767</v>
      </c>
      <c r="B1735" s="2" t="s">
        <v>75</v>
      </c>
      <c r="C1735" s="2">
        <v>2018</v>
      </c>
      <c r="D1735" s="2" t="s">
        <v>1</v>
      </c>
      <c r="E1735" s="2" t="s">
        <v>27</v>
      </c>
      <c r="F1735" s="2" t="s">
        <v>35</v>
      </c>
      <c r="G1735" s="7">
        <v>-64</v>
      </c>
      <c r="H1735" s="13">
        <f>IFERROR(IF(ABS($G1735)&gt;0,VLOOKUP($E1735,'Fuel Category and Heat Rate'!$B$1:$G$34,6,FALSE)*($G1735),""),"")</f>
        <v>-27902522885399.859</v>
      </c>
      <c r="I1735" t="str">
        <f>IFERROR(VLOOKUP($E1735,'Fuel Category and Heat Rate'!$K$2:$M$36,3,FALSE),"")</f>
        <v>LPG propane or butane</v>
      </c>
    </row>
    <row r="1736" spans="1:9" x14ac:dyDescent="0.15">
      <c r="A1736" s="2">
        <v>188802</v>
      </c>
      <c r="B1736" s="2" t="s">
        <v>75</v>
      </c>
      <c r="C1736" s="2">
        <v>2018</v>
      </c>
      <c r="D1736" s="2" t="s">
        <v>1</v>
      </c>
      <c r="E1736" s="2" t="s">
        <v>7</v>
      </c>
      <c r="F1736" s="2" t="s">
        <v>35</v>
      </c>
      <c r="G1736" s="7">
        <v>-190.14</v>
      </c>
      <c r="H1736" s="13">
        <f>IFERROR(IF(ABS($G1736)&gt;0,VLOOKUP($E1736,'Fuel Category and Heat Rate'!$B$1:$G$34,6,FALSE)*($G1736),""),"")</f>
        <v>-15091450940725.08</v>
      </c>
      <c r="I1736" t="str">
        <f>IFERROR(VLOOKUP($E1736,'Fuel Category and Heat Rate'!$K$2:$M$36,3,FALSE),"")</f>
        <v>coal</v>
      </c>
    </row>
    <row r="1737" spans="1:9" x14ac:dyDescent="0.15">
      <c r="A1737" s="2">
        <v>188837</v>
      </c>
      <c r="B1737" s="2" t="s">
        <v>75</v>
      </c>
      <c r="C1737" s="2">
        <v>2018</v>
      </c>
      <c r="D1737" s="2" t="s">
        <v>1</v>
      </c>
      <c r="E1737" s="2" t="s">
        <v>2</v>
      </c>
      <c r="F1737" s="2" t="s">
        <v>35</v>
      </c>
      <c r="G1737" s="7">
        <v>-3496.47</v>
      </c>
      <c r="H1737" s="13">
        <f>IFERROR(IF(ABS($G1737)&gt;0,VLOOKUP($E1737,'Fuel Category and Heat Rate'!$B$1:$G$34,6,FALSE)*($G1737),""),"")</f>
        <v>0</v>
      </c>
      <c r="I1737" t="str">
        <f>IFERROR(VLOOKUP($E1737,'Fuel Category and Heat Rate'!$K$2:$M$36,3,FALSE),"")</f>
        <v/>
      </c>
    </row>
    <row r="1738" spans="1:9" x14ac:dyDescent="0.15">
      <c r="A1738" s="2">
        <v>188872</v>
      </c>
      <c r="B1738" s="2" t="s">
        <v>75</v>
      </c>
      <c r="C1738" s="2">
        <v>2018</v>
      </c>
      <c r="D1738" s="2" t="s">
        <v>1</v>
      </c>
      <c r="E1738" s="2" t="s">
        <v>17</v>
      </c>
      <c r="F1738" s="2" t="s">
        <v>35</v>
      </c>
      <c r="G1738" s="7"/>
      <c r="H1738" s="13" t="str">
        <f>IFERROR(IF(ABS($G1738)&gt;0,VLOOKUP($E1738,'Fuel Category and Heat Rate'!$B$1:$G$34,6,FALSE)*($G1738),""),"")</f>
        <v/>
      </c>
      <c r="I1738" t="str">
        <f>IFERROR(VLOOKUP($E1738,'Fuel Category and Heat Rate'!$K$2:$M$36,3,FALSE),"")</f>
        <v>petroleum diesel</v>
      </c>
    </row>
    <row r="1739" spans="1:9" x14ac:dyDescent="0.15">
      <c r="A1739" s="2">
        <v>188907</v>
      </c>
      <c r="B1739" s="2" t="s">
        <v>75</v>
      </c>
      <c r="C1739" s="2">
        <v>2018</v>
      </c>
      <c r="D1739" s="2" t="s">
        <v>1</v>
      </c>
      <c r="E1739" s="2" t="s">
        <v>13</v>
      </c>
      <c r="F1739" s="2" t="s">
        <v>35</v>
      </c>
      <c r="G1739" s="7"/>
      <c r="H1739" s="13" t="str">
        <f>IFERROR(IF(ABS($G1739)&gt;0,VLOOKUP($E1739,'Fuel Category and Heat Rate'!$B$1:$G$34,6,FALSE)*($G1739),""),"")</f>
        <v/>
      </c>
      <c r="I1739" t="str">
        <f>IFERROR(VLOOKUP($E1739,'Fuel Category and Heat Rate'!$K$2:$M$36,3,FALSE),"")</f>
        <v>petroleum diesel</v>
      </c>
    </row>
    <row r="1740" spans="1:9" x14ac:dyDescent="0.15">
      <c r="A1740" s="2">
        <v>188942</v>
      </c>
      <c r="B1740" s="2" t="s">
        <v>75</v>
      </c>
      <c r="C1740" s="2">
        <v>2018</v>
      </c>
      <c r="D1740" s="2" t="s">
        <v>1</v>
      </c>
      <c r="E1740" s="2" t="s">
        <v>12</v>
      </c>
      <c r="F1740" s="2" t="s">
        <v>36</v>
      </c>
      <c r="G1740" s="7"/>
      <c r="H1740" s="13" t="str">
        <f>IFERROR(IF(ABS($G1740)&gt;0,VLOOKUP($E1740,'Fuel Category and Heat Rate'!$B$1:$G$34,6,FALSE)*($G1740),""),"")</f>
        <v/>
      </c>
      <c r="I1740" t="str">
        <f>IFERROR(VLOOKUP($E1740,'Fuel Category and Heat Rate'!$K$2:$M$36,3,FALSE),"")</f>
        <v>LPG propane or butane</v>
      </c>
    </row>
    <row r="1741" spans="1:9" x14ac:dyDescent="0.15">
      <c r="A1741" s="2">
        <v>188977</v>
      </c>
      <c r="B1741" s="2" t="s">
        <v>75</v>
      </c>
      <c r="C1741" s="2">
        <v>2018</v>
      </c>
      <c r="D1741" s="2" t="s">
        <v>1</v>
      </c>
      <c r="E1741" s="2" t="s">
        <v>33</v>
      </c>
      <c r="F1741" s="2" t="s">
        <v>38</v>
      </c>
      <c r="G1741" s="7">
        <v>-49.61</v>
      </c>
      <c r="H1741" s="13">
        <f>IFERROR(IF(ABS($G1741)&gt;0,VLOOKUP($E1741,'Fuel Category and Heat Rate'!$B$1:$G$34,6,FALSE)*($G1741),""),"")</f>
        <v>-13763577634302.486</v>
      </c>
      <c r="I1741" t="str">
        <f>IFERROR(VLOOKUP($E1741,'Fuel Category and Heat Rate'!$K$2:$M$36,3,FALSE),"")</f>
        <v>biomass</v>
      </c>
    </row>
    <row r="1742" spans="1:9" x14ac:dyDescent="0.15">
      <c r="A1742" s="2">
        <v>189012</v>
      </c>
      <c r="B1742" s="2" t="s">
        <v>75</v>
      </c>
      <c r="C1742" s="2">
        <v>2018</v>
      </c>
      <c r="D1742" s="2" t="s">
        <v>1</v>
      </c>
      <c r="E1742" s="2" t="s">
        <v>28</v>
      </c>
      <c r="F1742" s="2" t="s">
        <v>35</v>
      </c>
      <c r="G1742" s="7">
        <v>-63.06</v>
      </c>
      <c r="H1742" s="13">
        <f>IFERROR(IF(ABS($G1742)&gt;0,VLOOKUP($E1742,'Fuel Category and Heat Rate'!$B$1:$G$34,6,FALSE)*($G1742),""),"")</f>
        <v>-24493478710155.488</v>
      </c>
      <c r="I1742" t="str">
        <f>IFERROR(VLOOKUP($E1742,'Fuel Category and Heat Rate'!$K$2:$M$36,3,FALSE),"")</f>
        <v>heavy or residual fuel oil</v>
      </c>
    </row>
    <row r="1743" spans="1:9" x14ac:dyDescent="0.15">
      <c r="A1743" s="2">
        <v>189047</v>
      </c>
      <c r="B1743" s="2" t="s">
        <v>75</v>
      </c>
      <c r="C1743" s="2">
        <v>2018</v>
      </c>
      <c r="D1743" s="2" t="s">
        <v>1</v>
      </c>
      <c r="E1743" s="2" t="s">
        <v>5</v>
      </c>
      <c r="F1743" s="2" t="s">
        <v>35</v>
      </c>
      <c r="G1743" s="7">
        <v>-108.5</v>
      </c>
      <c r="H1743" s="13">
        <f>IFERROR(IF(ABS($G1743)&gt;0,VLOOKUP($E1743,'Fuel Category and Heat Rate'!$B$1:$G$34,6,FALSE)*($G1743),""),"")</f>
        <v>-8600355137597.6914</v>
      </c>
      <c r="I1743" t="str">
        <f>IFERROR(VLOOKUP($E1743,'Fuel Category and Heat Rate'!$K$2:$M$36,3,FALSE),"")</f>
        <v>coal</v>
      </c>
    </row>
    <row r="1744" spans="1:9" x14ac:dyDescent="0.15">
      <c r="A1744" s="2">
        <v>189082</v>
      </c>
      <c r="B1744" s="2" t="s">
        <v>75</v>
      </c>
      <c r="C1744" s="2">
        <v>2018</v>
      </c>
      <c r="D1744" s="2" t="s">
        <v>1</v>
      </c>
      <c r="E1744" s="2" t="s">
        <v>16</v>
      </c>
      <c r="F1744" s="2" t="s">
        <v>35</v>
      </c>
      <c r="G1744" s="7"/>
      <c r="H1744" s="13" t="str">
        <f>IFERROR(IF(ABS($G1744)&gt;0,VLOOKUP($E1744,'Fuel Category and Heat Rate'!$B$1:$G$34,6,FALSE)*($G1744),""),"")</f>
        <v/>
      </c>
      <c r="I1744" t="str">
        <f>IFERROR(VLOOKUP($E1744,'Fuel Category and Heat Rate'!$K$2:$M$36,3,FALSE),"")</f>
        <v>petroleum diesel</v>
      </c>
    </row>
    <row r="1745" spans="1:9" x14ac:dyDescent="0.15">
      <c r="A1745" s="2">
        <v>189117</v>
      </c>
      <c r="B1745" s="2" t="s">
        <v>75</v>
      </c>
      <c r="C1745" s="2">
        <v>2018</v>
      </c>
      <c r="D1745" s="2" t="s">
        <v>1</v>
      </c>
      <c r="E1745" s="2" t="s">
        <v>19</v>
      </c>
      <c r="F1745" s="2" t="s">
        <v>35</v>
      </c>
      <c r="G1745" s="7">
        <v>-7.64</v>
      </c>
      <c r="H1745" s="13">
        <f>IFERROR(IF(ABS($G1745)&gt;0,VLOOKUP($E1745,'Fuel Category and Heat Rate'!$B$1:$G$34,6,FALSE)*($G1745),""),"")</f>
        <v>-3028031549230.3086</v>
      </c>
      <c r="I1745" t="str">
        <f>IFERROR(VLOOKUP($E1745,'Fuel Category and Heat Rate'!$K$2:$M$36,3,FALSE),"")</f>
        <v>heavy or residual fuel oil</v>
      </c>
    </row>
    <row r="1746" spans="1:9" x14ac:dyDescent="0.15">
      <c r="A1746" s="2">
        <v>189152</v>
      </c>
      <c r="B1746" s="2" t="s">
        <v>75</v>
      </c>
      <c r="C1746" s="2">
        <v>2018</v>
      </c>
      <c r="D1746" s="2" t="s">
        <v>1</v>
      </c>
      <c r="E1746" s="2" t="s">
        <v>31</v>
      </c>
      <c r="F1746" s="2" t="s">
        <v>37</v>
      </c>
      <c r="G1746" s="7">
        <v>48640.45</v>
      </c>
      <c r="H1746" s="13">
        <f>IFERROR(IF(ABS($G1746)&gt;0,VLOOKUP($E1746,'Fuel Category and Heat Rate'!$B$1:$G$34,6,FALSE)*($G1746),""),"")</f>
        <v>461022513642287.25</v>
      </c>
      <c r="I1746" t="str">
        <f>IFERROR(VLOOKUP($E1746,'Fuel Category and Heat Rate'!$K$2:$M$36,3,FALSE),"")</f>
        <v>heat</v>
      </c>
    </row>
    <row r="1747" spans="1:9" x14ac:dyDescent="0.15">
      <c r="A1747" s="2">
        <v>189187</v>
      </c>
      <c r="B1747" s="2" t="s">
        <v>75</v>
      </c>
      <c r="C1747" s="2">
        <v>2018</v>
      </c>
      <c r="D1747" s="2" t="s">
        <v>1</v>
      </c>
      <c r="E1747" s="2" t="s">
        <v>23</v>
      </c>
      <c r="F1747" s="2" t="s">
        <v>35</v>
      </c>
      <c r="G1747" s="7"/>
      <c r="H1747" s="13" t="str">
        <f>IFERROR(IF(ABS($G1747)&gt;0,VLOOKUP($E1747,'Fuel Category and Heat Rate'!$B$1:$G$34,6,FALSE)*($G1747),""),"")</f>
        <v/>
      </c>
      <c r="I1747" t="str">
        <f>IFERROR(VLOOKUP($E1747,'Fuel Category and Heat Rate'!$K$2:$M$36,3,FALSE),"")</f>
        <v>heavy or residual fuel oil</v>
      </c>
    </row>
    <row r="1748" spans="1:9" x14ac:dyDescent="0.15">
      <c r="A1748" s="2">
        <v>189222</v>
      </c>
      <c r="B1748" s="2" t="s">
        <v>75</v>
      </c>
      <c r="C1748" s="2">
        <v>2018</v>
      </c>
      <c r="D1748" s="2" t="s">
        <v>1</v>
      </c>
      <c r="E1748" s="2" t="s">
        <v>21</v>
      </c>
      <c r="F1748" s="2" t="s">
        <v>35</v>
      </c>
      <c r="G1748" s="7"/>
      <c r="H1748" s="13" t="str">
        <f>IFERROR(IF(ABS($G1748)&gt;0,VLOOKUP($E1748,'Fuel Category and Heat Rate'!$B$1:$G$34,6,FALSE)*($G1748),""),"")</f>
        <v/>
      </c>
      <c r="I1748" t="str">
        <f>IFERROR(VLOOKUP($E1748,'Fuel Category and Heat Rate'!$K$2:$M$36,3,FALSE),"")</f>
        <v>LPG propane or butane</v>
      </c>
    </row>
    <row r="1749" spans="1:9" x14ac:dyDescent="0.15">
      <c r="A1749" s="2">
        <v>189257</v>
      </c>
      <c r="B1749" s="2" t="s">
        <v>75</v>
      </c>
      <c r="C1749" s="2">
        <v>2018</v>
      </c>
      <c r="D1749" s="2" t="s">
        <v>1</v>
      </c>
      <c r="E1749" s="2" t="s">
        <v>22</v>
      </c>
      <c r="F1749" s="2" t="s">
        <v>35</v>
      </c>
      <c r="G1749" s="7"/>
      <c r="H1749" s="13" t="str">
        <f>IFERROR(IF(ABS($G1749)&gt;0,VLOOKUP($E1749,'Fuel Category and Heat Rate'!$B$1:$G$34,6,FALSE)*($G1749),""),"")</f>
        <v/>
      </c>
      <c r="I1749" t="str">
        <f>IFERROR(VLOOKUP($E1749,'Fuel Category and Heat Rate'!$K$2:$M$36,3,FALSE),"")</f>
        <v>heavy fuel oil</v>
      </c>
    </row>
    <row r="1750" spans="1:9" x14ac:dyDescent="0.15">
      <c r="A1750" s="2">
        <v>189292</v>
      </c>
      <c r="B1750" s="2" t="s">
        <v>75</v>
      </c>
      <c r="C1750" s="2">
        <v>2018</v>
      </c>
      <c r="D1750" s="2" t="s">
        <v>1</v>
      </c>
      <c r="E1750" s="2" t="s">
        <v>20</v>
      </c>
      <c r="F1750" s="2" t="s">
        <v>35</v>
      </c>
      <c r="G1750" s="7"/>
      <c r="H1750" s="13" t="str">
        <f>IFERROR(IF(ABS($G1750)&gt;0,VLOOKUP($E1750,'Fuel Category and Heat Rate'!$B$1:$G$34,6,FALSE)*($G1750),""),"")</f>
        <v/>
      </c>
      <c r="I1750" t="str">
        <f>IFERROR(VLOOKUP($E1750,'Fuel Category and Heat Rate'!$K$2:$M$36,3,FALSE),"")</f>
        <v>LPG propane or butane</v>
      </c>
    </row>
    <row r="1751" spans="1:9" x14ac:dyDescent="0.15">
      <c r="A1751" s="2">
        <v>189327</v>
      </c>
      <c r="B1751" s="2" t="s">
        <v>75</v>
      </c>
      <c r="C1751" s="2">
        <v>2018</v>
      </c>
      <c r="D1751" s="2" t="s">
        <v>1</v>
      </c>
      <c r="E1751" s="2" t="s">
        <v>25</v>
      </c>
      <c r="F1751" s="2" t="s">
        <v>35</v>
      </c>
      <c r="G1751" s="7"/>
      <c r="H1751" s="13" t="str">
        <f>IFERROR(IF(ABS($G1751)&gt;0,VLOOKUP($E1751,'Fuel Category and Heat Rate'!$B$1:$G$34,6,FALSE)*($G1751),""),"")</f>
        <v/>
      </c>
      <c r="I1751" t="str">
        <f>IFERROR(VLOOKUP($E1751,'Fuel Category and Heat Rate'!$K$2:$M$36,3,FALSE),"")</f>
        <v>heavy fuel oil</v>
      </c>
    </row>
    <row r="1752" spans="1:9" x14ac:dyDescent="0.15">
      <c r="A1752" s="2">
        <v>189362</v>
      </c>
      <c r="B1752" s="2" t="s">
        <v>75</v>
      </c>
      <c r="C1752" s="2">
        <v>2018</v>
      </c>
      <c r="D1752" s="2" t="s">
        <v>1</v>
      </c>
      <c r="E1752" s="2" t="s">
        <v>24</v>
      </c>
      <c r="F1752" s="2" t="s">
        <v>35</v>
      </c>
      <c r="G1752" s="7"/>
      <c r="H1752" s="13" t="str">
        <f>IFERROR(IF(ABS($G1752)&gt;0,VLOOKUP($E1752,'Fuel Category and Heat Rate'!$B$1:$G$34,6,FALSE)*($G1752),""),"")</f>
        <v/>
      </c>
      <c r="I1752" t="str">
        <f>IFERROR(VLOOKUP($E1752,'Fuel Category and Heat Rate'!$K$2:$M$36,3,FALSE),"")</f>
        <v>heavy fuel oil</v>
      </c>
    </row>
    <row r="1753" spans="1:9" x14ac:dyDescent="0.15">
      <c r="A1753" s="2">
        <v>189397</v>
      </c>
      <c r="B1753" s="2" t="s">
        <v>75</v>
      </c>
      <c r="C1753" s="2">
        <v>2018</v>
      </c>
      <c r="D1753" s="2" t="s">
        <v>1</v>
      </c>
      <c r="E1753" s="2" t="s">
        <v>29</v>
      </c>
      <c r="F1753" s="2" t="s">
        <v>36</v>
      </c>
      <c r="G1753" s="7">
        <v>-4.3499999999999996</v>
      </c>
      <c r="H1753" s="13">
        <f>IFERROR(IF(ABS($G1753)&gt;0,VLOOKUP($E1753,'Fuel Category and Heat Rate'!$B$1:$G$34,6,FALSE)*($G1753),""),"")</f>
        <v>-14671505304671.785</v>
      </c>
      <c r="I1753" t="str">
        <f>IFERROR(VLOOKUP($E1753,'Fuel Category and Heat Rate'!$K$2:$M$36,3,FALSE),"")</f>
        <v>natural gas</v>
      </c>
    </row>
    <row r="1754" spans="1:9" x14ac:dyDescent="0.15">
      <c r="A1754" s="2">
        <v>189432</v>
      </c>
      <c r="B1754" s="2" t="s">
        <v>75</v>
      </c>
      <c r="C1754" s="2">
        <v>2018</v>
      </c>
      <c r="D1754" s="2" t="s">
        <v>1</v>
      </c>
      <c r="E1754" s="2" t="s">
        <v>4</v>
      </c>
      <c r="F1754" s="2" t="s">
        <v>35</v>
      </c>
      <c r="G1754" s="7"/>
      <c r="H1754" s="13" t="str">
        <f>IFERROR(IF(ABS($G1754)&gt;0,VLOOKUP($E1754,'Fuel Category and Heat Rate'!$B$1:$G$34,6,FALSE)*($G1754),""),"")</f>
        <v/>
      </c>
      <c r="I1754" t="str">
        <f>IFERROR(VLOOKUP($E1754,'Fuel Category and Heat Rate'!$K$2:$M$36,3,FALSE),"")</f>
        <v>coal</v>
      </c>
    </row>
    <row r="1755" spans="1:9" x14ac:dyDescent="0.15">
      <c r="A1755" s="2">
        <v>189467</v>
      </c>
      <c r="B1755" s="2" t="s">
        <v>75</v>
      </c>
      <c r="C1755" s="2">
        <v>2018</v>
      </c>
      <c r="D1755" s="2" t="s">
        <v>1</v>
      </c>
      <c r="E1755" s="2" t="s">
        <v>6</v>
      </c>
      <c r="F1755" s="2" t="s">
        <v>35</v>
      </c>
      <c r="G1755" s="7">
        <v>-10.38</v>
      </c>
      <c r="H1755" s="13">
        <f>IFERROR(IF(ABS($G1755)&gt;0,VLOOKUP($E1755,'Fuel Category and Heat Rate'!$B$1:$G$34,6,FALSE)*($G1755),""),"")</f>
        <v>-1522286616390.9712</v>
      </c>
      <c r="I1755" t="str">
        <f>IFERROR(VLOOKUP($E1755,'Fuel Category and Heat Rate'!$K$2:$M$36,3,FALSE),"")</f>
        <v>coal</v>
      </c>
    </row>
    <row r="1756" spans="1:9" x14ac:dyDescent="0.15">
      <c r="A1756" s="2">
        <v>189502</v>
      </c>
      <c r="B1756" s="2" t="s">
        <v>75</v>
      </c>
      <c r="C1756" s="2">
        <v>2018</v>
      </c>
      <c r="D1756" s="2" t="s">
        <v>1</v>
      </c>
      <c r="E1756" s="2" t="s">
        <v>26</v>
      </c>
      <c r="F1756" s="2" t="s">
        <v>35</v>
      </c>
      <c r="G1756" s="7"/>
      <c r="H1756" s="13" t="str">
        <f>IFERROR(IF(ABS($G1756)&gt;0,VLOOKUP($E1756,'Fuel Category and Heat Rate'!$B$1:$G$34,6,FALSE)*($G1756),""),"")</f>
        <v/>
      </c>
      <c r="I1756" t="str">
        <f>IFERROR(VLOOKUP($E1756,'Fuel Category and Heat Rate'!$K$2:$M$36,3,FALSE),"")</f>
        <v>LPG propane or butane</v>
      </c>
    </row>
    <row r="1757" spans="1:9" x14ac:dyDescent="0.15">
      <c r="A1757" s="2">
        <v>189537</v>
      </c>
      <c r="B1757" s="2" t="s">
        <v>75</v>
      </c>
      <c r="C1757" s="2">
        <v>2018</v>
      </c>
      <c r="D1757" s="2" t="s">
        <v>1</v>
      </c>
      <c r="E1757" s="2" t="s">
        <v>30</v>
      </c>
      <c r="F1757" s="2" t="s">
        <v>35</v>
      </c>
      <c r="G1757" s="7"/>
      <c r="H1757" s="13" t="str">
        <f>IFERROR(IF(ABS($G1757)&gt;0,VLOOKUP($E1757,'Fuel Category and Heat Rate'!$B$1:$G$34,6,FALSE)*($G1757),""),"")</f>
        <v/>
      </c>
      <c r="I1757" t="str">
        <f>IFERROR(VLOOKUP($E1757,'Fuel Category and Heat Rate'!$K$2:$M$36,3,FALSE),"")</f>
        <v>natural gas</v>
      </c>
    </row>
    <row r="1758" spans="1:9" x14ac:dyDescent="0.15">
      <c r="A1758" s="2">
        <v>189572</v>
      </c>
      <c r="B1758" s="2" t="s">
        <v>75</v>
      </c>
      <c r="C1758" s="2">
        <v>2018</v>
      </c>
      <c r="D1758" s="2" t="s">
        <v>1</v>
      </c>
      <c r="E1758" s="2" t="s">
        <v>14</v>
      </c>
      <c r="F1758" s="2" t="s">
        <v>35</v>
      </c>
      <c r="G1758" s="7">
        <v>-134.76</v>
      </c>
      <c r="H1758" s="13">
        <f>IFERROR(IF(ABS($G1758)&gt;0,VLOOKUP($E1758,'Fuel Category and Heat Rate'!$B$1:$G$34,6,FALSE)*($G1758),""),"")</f>
        <v>0</v>
      </c>
      <c r="I1758" t="str">
        <f>IFERROR(VLOOKUP($E1758,'Fuel Category and Heat Rate'!$K$2:$M$36,3,FALSE),"")</f>
        <v/>
      </c>
    </row>
    <row r="1759" spans="1:9" x14ac:dyDescent="0.15">
      <c r="A1759" s="2">
        <v>189607</v>
      </c>
      <c r="B1759" s="2" t="s">
        <v>75</v>
      </c>
      <c r="C1759" s="2">
        <v>2018</v>
      </c>
      <c r="D1759" s="2" t="s">
        <v>1</v>
      </c>
      <c r="E1759" s="2" t="s">
        <v>3</v>
      </c>
      <c r="F1759" s="2" t="s">
        <v>35</v>
      </c>
      <c r="G1759" s="7">
        <v>-3377.59</v>
      </c>
      <c r="H1759" s="13">
        <f>IFERROR(IF(ABS($G1759)&gt;0,VLOOKUP($E1759,'Fuel Category and Heat Rate'!$B$1:$G$34,6,FALSE)*($G1759),""),"")</f>
        <v>-669335672798743.38</v>
      </c>
      <c r="I1759" t="str">
        <f>IFERROR(VLOOKUP($E1759,'Fuel Category and Heat Rate'!$K$2:$M$36,3,FALSE),"")</f>
        <v>coal</v>
      </c>
    </row>
    <row r="1760" spans="1:9" x14ac:dyDescent="0.15">
      <c r="A1760" s="2">
        <v>189642</v>
      </c>
      <c r="B1760" s="2" t="s">
        <v>75</v>
      </c>
      <c r="C1760" s="2">
        <v>2018</v>
      </c>
      <c r="D1760" s="2" t="s">
        <v>1</v>
      </c>
      <c r="E1760" s="2" t="s">
        <v>15</v>
      </c>
      <c r="F1760" s="2" t="s">
        <v>35</v>
      </c>
      <c r="G1760" s="7"/>
      <c r="H1760" s="13" t="str">
        <f>IFERROR(IF(ABS($G1760)&gt;0,VLOOKUP($E1760,'Fuel Category and Heat Rate'!$B$1:$G$34,6,FALSE)*($G1760),""),"")</f>
        <v/>
      </c>
      <c r="I1760" t="str">
        <f>IFERROR(VLOOKUP($E1760,'Fuel Category and Heat Rate'!$K$2:$M$36,3,FALSE),"")</f>
        <v>crude oil</v>
      </c>
    </row>
    <row r="1761" spans="1:9" x14ac:dyDescent="0.15">
      <c r="A1761" s="2">
        <v>189677</v>
      </c>
      <c r="B1761" s="2" t="s">
        <v>75</v>
      </c>
      <c r="C1761" s="2">
        <v>2018</v>
      </c>
      <c r="D1761" s="2" t="s">
        <v>1</v>
      </c>
      <c r="E1761" s="2" t="s">
        <v>11</v>
      </c>
      <c r="F1761" s="2" t="s">
        <v>36</v>
      </c>
      <c r="G1761" s="7"/>
      <c r="H1761" s="13" t="str">
        <f>IFERROR(IF(ABS($G1761)&gt;0,VLOOKUP($E1761,'Fuel Category and Heat Rate'!$B$1:$G$34,6,FALSE)*($G1761),""),"")</f>
        <v/>
      </c>
      <c r="I1761" t="str">
        <f>IFERROR(VLOOKUP($E1761,'Fuel Category and Heat Rate'!$K$2:$M$36,3,FALSE),"")</f>
        <v>LPG propane or butane</v>
      </c>
    </row>
    <row r="1762" spans="1:9" x14ac:dyDescent="0.15">
      <c r="A1762" s="2">
        <v>202522</v>
      </c>
      <c r="B1762" s="2" t="s">
        <v>76</v>
      </c>
      <c r="C1762" s="2">
        <v>2022</v>
      </c>
      <c r="D1762" s="2" t="s">
        <v>1</v>
      </c>
      <c r="E1762" s="2" t="s">
        <v>18</v>
      </c>
      <c r="F1762" s="2" t="s">
        <v>35</v>
      </c>
      <c r="G1762" s="7">
        <v>-0.03</v>
      </c>
      <c r="H1762" s="13">
        <f>IFERROR(IF(ABS($G1762)&gt;0,VLOOKUP($E1762,'Fuel Category and Heat Rate'!$B$1:$G$34,6,FALSE)*($G1762),""),"")</f>
        <v>-12127888774.798035</v>
      </c>
      <c r="I1762" t="str">
        <f>IFERROR(VLOOKUP($E1762,'Fuel Category and Heat Rate'!$K$2:$M$36,3,FALSE),"")</f>
        <v>petroleum diesel</v>
      </c>
    </row>
    <row r="1763" spans="1:9" x14ac:dyDescent="0.15">
      <c r="A1763" s="2">
        <v>202557</v>
      </c>
      <c r="B1763" s="2" t="s">
        <v>76</v>
      </c>
      <c r="C1763" s="2">
        <v>2022</v>
      </c>
      <c r="D1763" s="2" t="s">
        <v>1</v>
      </c>
      <c r="E1763" s="2" t="s">
        <v>32</v>
      </c>
      <c r="F1763" s="2" t="s">
        <v>65</v>
      </c>
      <c r="G1763" s="7"/>
      <c r="H1763" s="13" t="str">
        <f>IFERROR(IF(ABS($G1763)&gt;0,VLOOKUP($E1763,'Fuel Category and Heat Rate'!$B$1:$G$34,6,FALSE)*($G1763),""),"")</f>
        <v/>
      </c>
      <c r="I1763" t="str">
        <f>IFERROR(VLOOKUP($E1763,'Fuel Category and Heat Rate'!$K$2:$M$36,3,FALSE),"")</f>
        <v>electricity</v>
      </c>
    </row>
    <row r="1764" spans="1:9" x14ac:dyDescent="0.15">
      <c r="A1764" s="2">
        <v>202592</v>
      </c>
      <c r="B1764" s="2" t="s">
        <v>76</v>
      </c>
      <c r="C1764" s="2">
        <v>2022</v>
      </c>
      <c r="D1764" s="2" t="s">
        <v>1</v>
      </c>
      <c r="E1764" s="2" t="s">
        <v>10</v>
      </c>
      <c r="F1764" s="2" t="s">
        <v>36</v>
      </c>
      <c r="G1764" s="7"/>
      <c r="H1764" s="13" t="str">
        <f>IFERROR(IF(ABS($G1764)&gt;0,VLOOKUP($E1764,'Fuel Category and Heat Rate'!$B$1:$G$34,6,FALSE)*($G1764),""),"")</f>
        <v/>
      </c>
      <c r="I1764" t="str">
        <f>IFERROR(VLOOKUP($E1764,'Fuel Category and Heat Rate'!$K$2:$M$36,3,FALSE),"")</f>
        <v>LPG propane or butane</v>
      </c>
    </row>
    <row r="1765" spans="1:9" x14ac:dyDescent="0.15">
      <c r="A1765" s="2">
        <v>202627</v>
      </c>
      <c r="B1765" s="2" t="s">
        <v>76</v>
      </c>
      <c r="C1765" s="2">
        <v>2022</v>
      </c>
      <c r="D1765" s="2" t="s">
        <v>1</v>
      </c>
      <c r="E1765" s="2" t="s">
        <v>9</v>
      </c>
      <c r="F1765" s="2" t="s">
        <v>36</v>
      </c>
      <c r="G1765" s="7">
        <v>-8.66</v>
      </c>
      <c r="H1765" s="13">
        <f>IFERROR(IF(ABS($G1765)&gt;0,VLOOKUP($E1765,'Fuel Category and Heat Rate'!$B$1:$G$34,6,FALSE)*($G1765),""),"")</f>
        <v>-14243919883482.947</v>
      </c>
      <c r="I1765" t="str">
        <f>IFERROR(VLOOKUP($E1765,'Fuel Category and Heat Rate'!$K$2:$M$36,3,FALSE),"")</f>
        <v>LPG propane or butane</v>
      </c>
    </row>
    <row r="1766" spans="1:9" x14ac:dyDescent="0.15">
      <c r="A1766" s="2">
        <v>202662</v>
      </c>
      <c r="B1766" s="2" t="s">
        <v>76</v>
      </c>
      <c r="C1766" s="2">
        <v>2022</v>
      </c>
      <c r="D1766" s="2" t="s">
        <v>1</v>
      </c>
      <c r="E1766" s="2" t="s">
        <v>8</v>
      </c>
      <c r="F1766" s="2" t="s">
        <v>35</v>
      </c>
      <c r="G1766" s="7"/>
      <c r="H1766" s="13" t="str">
        <f>IFERROR(IF(ABS($G1766)&gt;0,VLOOKUP($E1766,'Fuel Category and Heat Rate'!$B$1:$G$34,6,FALSE)*($G1766),""),"")</f>
        <v/>
      </c>
      <c r="I1766" t="str">
        <f>IFERROR(VLOOKUP($E1766,'Fuel Category and Heat Rate'!$K$2:$M$36,3,FALSE),"")</f>
        <v>coal</v>
      </c>
    </row>
    <row r="1767" spans="1:9" x14ac:dyDescent="0.15">
      <c r="A1767" s="2">
        <v>202697</v>
      </c>
      <c r="B1767" s="2" t="s">
        <v>76</v>
      </c>
      <c r="C1767" s="2">
        <v>2022</v>
      </c>
      <c r="D1767" s="2" t="s">
        <v>1</v>
      </c>
      <c r="E1767" s="2" t="s">
        <v>27</v>
      </c>
      <c r="F1767" s="2" t="s">
        <v>35</v>
      </c>
      <c r="G1767" s="7">
        <v>-7.56</v>
      </c>
      <c r="H1767" s="13">
        <f>IFERROR(IF(ABS($G1767)&gt;0,VLOOKUP($E1767,'Fuel Category and Heat Rate'!$B$1:$G$34,6,FALSE)*($G1767),""),"")</f>
        <v>-3295985515837.8584</v>
      </c>
      <c r="I1767" t="str">
        <f>IFERROR(VLOOKUP($E1767,'Fuel Category and Heat Rate'!$K$2:$M$36,3,FALSE),"")</f>
        <v>LPG propane or butane</v>
      </c>
    </row>
    <row r="1768" spans="1:9" x14ac:dyDescent="0.15">
      <c r="A1768" s="2">
        <v>202732</v>
      </c>
      <c r="B1768" s="2" t="s">
        <v>76</v>
      </c>
      <c r="C1768" s="2">
        <v>2022</v>
      </c>
      <c r="D1768" s="2" t="s">
        <v>1</v>
      </c>
      <c r="E1768" s="2" t="s">
        <v>7</v>
      </c>
      <c r="F1768" s="2" t="s">
        <v>35</v>
      </c>
      <c r="G1768" s="7">
        <v>-14.45</v>
      </c>
      <c r="H1768" s="13">
        <f>IFERROR(IF(ABS($G1768)&gt;0,VLOOKUP($E1768,'Fuel Category and Heat Rate'!$B$1:$G$34,6,FALSE)*($G1768),""),"")</f>
        <v>-1146899474563.3608</v>
      </c>
      <c r="I1768" t="str">
        <f>IFERROR(VLOOKUP($E1768,'Fuel Category and Heat Rate'!$K$2:$M$36,3,FALSE),"")</f>
        <v>coal</v>
      </c>
    </row>
    <row r="1769" spans="1:9" x14ac:dyDescent="0.15">
      <c r="A1769" s="2">
        <v>202767</v>
      </c>
      <c r="B1769" s="2" t="s">
        <v>76</v>
      </c>
      <c r="C1769" s="2">
        <v>2022</v>
      </c>
      <c r="D1769" s="2" t="s">
        <v>1</v>
      </c>
      <c r="E1769" s="2" t="s">
        <v>2</v>
      </c>
      <c r="F1769" s="2" t="s">
        <v>35</v>
      </c>
      <c r="G1769" s="7">
        <v>-707.3</v>
      </c>
      <c r="H1769" s="13">
        <f>IFERROR(IF(ABS($G1769)&gt;0,VLOOKUP($E1769,'Fuel Category and Heat Rate'!$B$1:$G$34,6,FALSE)*($G1769),""),"")</f>
        <v>0</v>
      </c>
      <c r="I1769" t="str">
        <f>IFERROR(VLOOKUP($E1769,'Fuel Category and Heat Rate'!$K$2:$M$36,3,FALSE),"")</f>
        <v/>
      </c>
    </row>
    <row r="1770" spans="1:9" x14ac:dyDescent="0.15">
      <c r="A1770" s="2">
        <v>202802</v>
      </c>
      <c r="B1770" s="2" t="s">
        <v>76</v>
      </c>
      <c r="C1770" s="2">
        <v>2022</v>
      </c>
      <c r="D1770" s="2" t="s">
        <v>1</v>
      </c>
      <c r="E1770" s="2" t="s">
        <v>17</v>
      </c>
      <c r="F1770" s="2" t="s">
        <v>35</v>
      </c>
      <c r="G1770" s="7"/>
      <c r="H1770" s="13" t="str">
        <f>IFERROR(IF(ABS($G1770)&gt;0,VLOOKUP($E1770,'Fuel Category and Heat Rate'!$B$1:$G$34,6,FALSE)*($G1770),""),"")</f>
        <v/>
      </c>
      <c r="I1770" t="str">
        <f>IFERROR(VLOOKUP($E1770,'Fuel Category and Heat Rate'!$K$2:$M$36,3,FALSE),"")</f>
        <v>petroleum diesel</v>
      </c>
    </row>
    <row r="1771" spans="1:9" x14ac:dyDescent="0.15">
      <c r="A1771" s="2">
        <v>202837</v>
      </c>
      <c r="B1771" s="2" t="s">
        <v>76</v>
      </c>
      <c r="C1771" s="2">
        <v>2022</v>
      </c>
      <c r="D1771" s="2" t="s">
        <v>1</v>
      </c>
      <c r="E1771" s="2" t="s">
        <v>13</v>
      </c>
      <c r="F1771" s="2" t="s">
        <v>35</v>
      </c>
      <c r="G1771" s="7"/>
      <c r="H1771" s="13" t="str">
        <f>IFERROR(IF(ABS($G1771)&gt;0,VLOOKUP($E1771,'Fuel Category and Heat Rate'!$B$1:$G$34,6,FALSE)*($G1771),""),"")</f>
        <v/>
      </c>
      <c r="I1771" t="str">
        <f>IFERROR(VLOOKUP($E1771,'Fuel Category and Heat Rate'!$K$2:$M$36,3,FALSE),"")</f>
        <v>petroleum diesel</v>
      </c>
    </row>
    <row r="1772" spans="1:9" x14ac:dyDescent="0.15">
      <c r="A1772" s="2">
        <v>202872</v>
      </c>
      <c r="B1772" s="2" t="s">
        <v>76</v>
      </c>
      <c r="C1772" s="2">
        <v>2022</v>
      </c>
      <c r="D1772" s="2" t="s">
        <v>1</v>
      </c>
      <c r="E1772" s="2" t="s">
        <v>12</v>
      </c>
      <c r="F1772" s="2" t="s">
        <v>36</v>
      </c>
      <c r="G1772" s="7"/>
      <c r="H1772" s="13" t="str">
        <f>IFERROR(IF(ABS($G1772)&gt;0,VLOOKUP($E1772,'Fuel Category and Heat Rate'!$B$1:$G$34,6,FALSE)*($G1772),""),"")</f>
        <v/>
      </c>
      <c r="I1772" t="str">
        <f>IFERROR(VLOOKUP($E1772,'Fuel Category and Heat Rate'!$K$2:$M$36,3,FALSE),"")</f>
        <v>LPG propane or butane</v>
      </c>
    </row>
    <row r="1773" spans="1:9" x14ac:dyDescent="0.15">
      <c r="A1773" s="2">
        <v>202907</v>
      </c>
      <c r="B1773" s="2" t="s">
        <v>76</v>
      </c>
      <c r="C1773" s="2">
        <v>2022</v>
      </c>
      <c r="D1773" s="2" t="s">
        <v>1</v>
      </c>
      <c r="E1773" s="2" t="s">
        <v>33</v>
      </c>
      <c r="F1773" s="2" t="s">
        <v>38</v>
      </c>
      <c r="G1773" s="7">
        <v>-22.42</v>
      </c>
      <c r="H1773" s="13">
        <f>IFERROR(IF(ABS($G1773)&gt;0,VLOOKUP($E1773,'Fuel Category and Heat Rate'!$B$1:$G$34,6,FALSE)*($G1773),""),"")</f>
        <v>-6220105030458.8145</v>
      </c>
      <c r="I1773" t="str">
        <f>IFERROR(VLOOKUP($E1773,'Fuel Category and Heat Rate'!$K$2:$M$36,3,FALSE),"")</f>
        <v>biomass</v>
      </c>
    </row>
    <row r="1774" spans="1:9" x14ac:dyDescent="0.15">
      <c r="A1774" s="2">
        <v>202942</v>
      </c>
      <c r="B1774" s="2" t="s">
        <v>76</v>
      </c>
      <c r="C1774" s="2">
        <v>2022</v>
      </c>
      <c r="D1774" s="2" t="s">
        <v>1</v>
      </c>
      <c r="E1774" s="2" t="s">
        <v>28</v>
      </c>
      <c r="F1774" s="2" t="s">
        <v>35</v>
      </c>
      <c r="G1774" s="7"/>
      <c r="H1774" s="13" t="str">
        <f>IFERROR(IF(ABS($G1774)&gt;0,VLOOKUP($E1774,'Fuel Category and Heat Rate'!$B$1:$G$34,6,FALSE)*($G1774),""),"")</f>
        <v/>
      </c>
      <c r="I1774" t="str">
        <f>IFERROR(VLOOKUP($E1774,'Fuel Category and Heat Rate'!$K$2:$M$36,3,FALSE),"")</f>
        <v>heavy or residual fuel oil</v>
      </c>
    </row>
    <row r="1775" spans="1:9" x14ac:dyDescent="0.15">
      <c r="A1775" s="2">
        <v>202977</v>
      </c>
      <c r="B1775" s="2" t="s">
        <v>76</v>
      </c>
      <c r="C1775" s="2">
        <v>2022</v>
      </c>
      <c r="D1775" s="2" t="s">
        <v>1</v>
      </c>
      <c r="E1775" s="2" t="s">
        <v>5</v>
      </c>
      <c r="F1775" s="2" t="s">
        <v>35</v>
      </c>
      <c r="G1775" s="7"/>
      <c r="H1775" s="13" t="str">
        <f>IFERROR(IF(ABS($G1775)&gt;0,VLOOKUP($E1775,'Fuel Category and Heat Rate'!$B$1:$G$34,6,FALSE)*($G1775),""),"")</f>
        <v/>
      </c>
      <c r="I1775" t="str">
        <f>IFERROR(VLOOKUP($E1775,'Fuel Category and Heat Rate'!$K$2:$M$36,3,FALSE),"")</f>
        <v>coal</v>
      </c>
    </row>
    <row r="1776" spans="1:9" x14ac:dyDescent="0.15">
      <c r="A1776" s="2">
        <v>203012</v>
      </c>
      <c r="B1776" s="2" t="s">
        <v>76</v>
      </c>
      <c r="C1776" s="2">
        <v>2022</v>
      </c>
      <c r="D1776" s="2" t="s">
        <v>1</v>
      </c>
      <c r="E1776" s="2" t="s">
        <v>16</v>
      </c>
      <c r="F1776" s="2" t="s">
        <v>35</v>
      </c>
      <c r="G1776" s="7"/>
      <c r="H1776" s="13" t="str">
        <f>IFERROR(IF(ABS($G1776)&gt;0,VLOOKUP($E1776,'Fuel Category and Heat Rate'!$B$1:$G$34,6,FALSE)*($G1776),""),"")</f>
        <v/>
      </c>
      <c r="I1776" t="str">
        <f>IFERROR(VLOOKUP($E1776,'Fuel Category and Heat Rate'!$K$2:$M$36,3,FALSE),"")</f>
        <v>petroleum diesel</v>
      </c>
    </row>
    <row r="1777" spans="1:9" x14ac:dyDescent="0.15">
      <c r="A1777" s="2">
        <v>203047</v>
      </c>
      <c r="B1777" s="2" t="s">
        <v>76</v>
      </c>
      <c r="C1777" s="2">
        <v>2022</v>
      </c>
      <c r="D1777" s="2" t="s">
        <v>1</v>
      </c>
      <c r="E1777" s="2" t="s">
        <v>19</v>
      </c>
      <c r="F1777" s="2" t="s">
        <v>35</v>
      </c>
      <c r="G1777" s="7">
        <v>-0.09</v>
      </c>
      <c r="H1777" s="13">
        <f>IFERROR(IF(ABS($G1777)&gt;0,VLOOKUP($E1777,'Fuel Category and Heat Rate'!$B$1:$G$34,6,FALSE)*($G1777),""),"")</f>
        <v>-35670528721.299446</v>
      </c>
      <c r="I1777" t="str">
        <f>IFERROR(VLOOKUP($E1777,'Fuel Category and Heat Rate'!$K$2:$M$36,3,FALSE),"")</f>
        <v>heavy or residual fuel oil</v>
      </c>
    </row>
    <row r="1778" spans="1:9" x14ac:dyDescent="0.15">
      <c r="A1778" s="2">
        <v>203082</v>
      </c>
      <c r="B1778" s="2" t="s">
        <v>76</v>
      </c>
      <c r="C1778" s="2">
        <v>2022</v>
      </c>
      <c r="D1778" s="2" t="s">
        <v>1</v>
      </c>
      <c r="E1778" s="2" t="s">
        <v>31</v>
      </c>
      <c r="F1778" s="2" t="s">
        <v>37</v>
      </c>
      <c r="G1778" s="7">
        <v>13422.5</v>
      </c>
      <c r="H1778" s="13">
        <f>IFERROR(IF(ABS($G1778)&gt;0,VLOOKUP($E1778,'Fuel Category and Heat Rate'!$B$1:$G$34,6,FALSE)*($G1778),""),"")</f>
        <v>127220753289979.88</v>
      </c>
      <c r="I1778" t="str">
        <f>IFERROR(VLOOKUP($E1778,'Fuel Category and Heat Rate'!$K$2:$M$36,3,FALSE),"")</f>
        <v>heat</v>
      </c>
    </row>
    <row r="1779" spans="1:9" x14ac:dyDescent="0.15">
      <c r="A1779" s="2">
        <v>203117</v>
      </c>
      <c r="B1779" s="2" t="s">
        <v>76</v>
      </c>
      <c r="C1779" s="2">
        <v>2022</v>
      </c>
      <c r="D1779" s="2" t="s">
        <v>1</v>
      </c>
      <c r="E1779" s="2" t="s">
        <v>23</v>
      </c>
      <c r="F1779" s="2" t="s">
        <v>35</v>
      </c>
      <c r="G1779" s="7"/>
      <c r="H1779" s="13" t="str">
        <f>IFERROR(IF(ABS($G1779)&gt;0,VLOOKUP($E1779,'Fuel Category and Heat Rate'!$B$1:$G$34,6,FALSE)*($G1779),""),"")</f>
        <v/>
      </c>
      <c r="I1779" t="str">
        <f>IFERROR(VLOOKUP($E1779,'Fuel Category and Heat Rate'!$K$2:$M$36,3,FALSE),"")</f>
        <v>heavy or residual fuel oil</v>
      </c>
    </row>
    <row r="1780" spans="1:9" x14ac:dyDescent="0.15">
      <c r="A1780" s="2">
        <v>203152</v>
      </c>
      <c r="B1780" s="2" t="s">
        <v>76</v>
      </c>
      <c r="C1780" s="2">
        <v>2022</v>
      </c>
      <c r="D1780" s="2" t="s">
        <v>1</v>
      </c>
      <c r="E1780" s="2" t="s">
        <v>21</v>
      </c>
      <c r="F1780" s="2" t="s">
        <v>35</v>
      </c>
      <c r="G1780" s="7"/>
      <c r="H1780" s="13" t="str">
        <f>IFERROR(IF(ABS($G1780)&gt;0,VLOOKUP($E1780,'Fuel Category and Heat Rate'!$B$1:$G$34,6,FALSE)*($G1780),""),"")</f>
        <v/>
      </c>
      <c r="I1780" t="str">
        <f>IFERROR(VLOOKUP($E1780,'Fuel Category and Heat Rate'!$K$2:$M$36,3,FALSE),"")</f>
        <v>LPG propane or butane</v>
      </c>
    </row>
    <row r="1781" spans="1:9" x14ac:dyDescent="0.15">
      <c r="A1781" s="2">
        <v>203187</v>
      </c>
      <c r="B1781" s="2" t="s">
        <v>76</v>
      </c>
      <c r="C1781" s="2">
        <v>2022</v>
      </c>
      <c r="D1781" s="2" t="s">
        <v>1</v>
      </c>
      <c r="E1781" s="2" t="s">
        <v>22</v>
      </c>
      <c r="F1781" s="2" t="s">
        <v>35</v>
      </c>
      <c r="G1781" s="7"/>
      <c r="H1781" s="13" t="str">
        <f>IFERROR(IF(ABS($G1781)&gt;0,VLOOKUP($E1781,'Fuel Category and Heat Rate'!$B$1:$G$34,6,FALSE)*($G1781),""),"")</f>
        <v/>
      </c>
      <c r="I1781" t="str">
        <f>IFERROR(VLOOKUP($E1781,'Fuel Category and Heat Rate'!$K$2:$M$36,3,FALSE),"")</f>
        <v>heavy fuel oil</v>
      </c>
    </row>
    <row r="1782" spans="1:9" x14ac:dyDescent="0.15">
      <c r="A1782" s="2">
        <v>203222</v>
      </c>
      <c r="B1782" s="2" t="s">
        <v>76</v>
      </c>
      <c r="C1782" s="2">
        <v>2022</v>
      </c>
      <c r="D1782" s="2" t="s">
        <v>1</v>
      </c>
      <c r="E1782" s="2" t="s">
        <v>20</v>
      </c>
      <c r="F1782" s="2" t="s">
        <v>35</v>
      </c>
      <c r="G1782" s="7"/>
      <c r="H1782" s="13" t="str">
        <f>IFERROR(IF(ABS($G1782)&gt;0,VLOOKUP($E1782,'Fuel Category and Heat Rate'!$B$1:$G$34,6,FALSE)*($G1782),""),"")</f>
        <v/>
      </c>
      <c r="I1782" t="str">
        <f>IFERROR(VLOOKUP($E1782,'Fuel Category and Heat Rate'!$K$2:$M$36,3,FALSE),"")</f>
        <v>LPG propane or butane</v>
      </c>
    </row>
    <row r="1783" spans="1:9" x14ac:dyDescent="0.15">
      <c r="A1783" s="2">
        <v>203257</v>
      </c>
      <c r="B1783" s="2" t="s">
        <v>76</v>
      </c>
      <c r="C1783" s="2">
        <v>2022</v>
      </c>
      <c r="D1783" s="2" t="s">
        <v>1</v>
      </c>
      <c r="E1783" s="2" t="s">
        <v>25</v>
      </c>
      <c r="F1783" s="2" t="s">
        <v>35</v>
      </c>
      <c r="G1783" s="7"/>
      <c r="H1783" s="13" t="str">
        <f>IFERROR(IF(ABS($G1783)&gt;0,VLOOKUP($E1783,'Fuel Category and Heat Rate'!$B$1:$G$34,6,FALSE)*($G1783),""),"")</f>
        <v/>
      </c>
      <c r="I1783" t="str">
        <f>IFERROR(VLOOKUP($E1783,'Fuel Category and Heat Rate'!$K$2:$M$36,3,FALSE),"")</f>
        <v>heavy fuel oil</v>
      </c>
    </row>
    <row r="1784" spans="1:9" x14ac:dyDescent="0.15">
      <c r="A1784" s="2">
        <v>203292</v>
      </c>
      <c r="B1784" s="2" t="s">
        <v>76</v>
      </c>
      <c r="C1784" s="2">
        <v>2022</v>
      </c>
      <c r="D1784" s="2" t="s">
        <v>1</v>
      </c>
      <c r="E1784" s="2" t="s">
        <v>24</v>
      </c>
      <c r="F1784" s="2" t="s">
        <v>35</v>
      </c>
      <c r="G1784" s="7"/>
      <c r="H1784" s="13" t="str">
        <f>IFERROR(IF(ABS($G1784)&gt;0,VLOOKUP($E1784,'Fuel Category and Heat Rate'!$B$1:$G$34,6,FALSE)*($G1784),""),"")</f>
        <v/>
      </c>
      <c r="I1784" t="str">
        <f>IFERROR(VLOOKUP($E1784,'Fuel Category and Heat Rate'!$K$2:$M$36,3,FALSE),"")</f>
        <v>heavy fuel oil</v>
      </c>
    </row>
    <row r="1785" spans="1:9" x14ac:dyDescent="0.15">
      <c r="A1785" s="2">
        <v>203327</v>
      </c>
      <c r="B1785" s="2" t="s">
        <v>76</v>
      </c>
      <c r="C1785" s="2">
        <v>2022</v>
      </c>
      <c r="D1785" s="2" t="s">
        <v>1</v>
      </c>
      <c r="E1785" s="2" t="s">
        <v>29</v>
      </c>
      <c r="F1785" s="2" t="s">
        <v>36</v>
      </c>
      <c r="G1785" s="7">
        <v>-1.9</v>
      </c>
      <c r="H1785" s="13">
        <f>IFERROR(IF(ABS($G1785)&gt;0,VLOOKUP($E1785,'Fuel Category and Heat Rate'!$B$1:$G$34,6,FALSE)*($G1785),""),"")</f>
        <v>-6408243696293.4238</v>
      </c>
      <c r="I1785" t="str">
        <f>IFERROR(VLOOKUP($E1785,'Fuel Category and Heat Rate'!$K$2:$M$36,3,FALSE),"")</f>
        <v>natural gas</v>
      </c>
    </row>
    <row r="1786" spans="1:9" x14ac:dyDescent="0.15">
      <c r="A1786" s="2">
        <v>203362</v>
      </c>
      <c r="B1786" s="2" t="s">
        <v>76</v>
      </c>
      <c r="C1786" s="2">
        <v>2022</v>
      </c>
      <c r="D1786" s="2" t="s">
        <v>1</v>
      </c>
      <c r="E1786" s="2" t="s">
        <v>4</v>
      </c>
      <c r="F1786" s="2" t="s">
        <v>35</v>
      </c>
      <c r="G1786" s="7"/>
      <c r="H1786" s="13" t="str">
        <f>IFERROR(IF(ABS($G1786)&gt;0,VLOOKUP($E1786,'Fuel Category and Heat Rate'!$B$1:$G$34,6,FALSE)*($G1786),""),"")</f>
        <v/>
      </c>
      <c r="I1786" t="str">
        <f>IFERROR(VLOOKUP($E1786,'Fuel Category and Heat Rate'!$K$2:$M$36,3,FALSE),"")</f>
        <v>coal</v>
      </c>
    </row>
    <row r="1787" spans="1:9" x14ac:dyDescent="0.15">
      <c r="A1787" s="2">
        <v>203397</v>
      </c>
      <c r="B1787" s="2" t="s">
        <v>76</v>
      </c>
      <c r="C1787" s="2">
        <v>2022</v>
      </c>
      <c r="D1787" s="2" t="s">
        <v>1</v>
      </c>
      <c r="E1787" s="2" t="s">
        <v>6</v>
      </c>
      <c r="F1787" s="2" t="s">
        <v>35</v>
      </c>
      <c r="G1787" s="7">
        <v>-5.6</v>
      </c>
      <c r="H1787" s="13">
        <f>IFERROR(IF(ABS($G1787)&gt;0,VLOOKUP($E1787,'Fuel Category and Heat Rate'!$B$1:$G$34,6,FALSE)*($G1787),""),"")</f>
        <v>-821272162985.495</v>
      </c>
      <c r="I1787" t="str">
        <f>IFERROR(VLOOKUP($E1787,'Fuel Category and Heat Rate'!$K$2:$M$36,3,FALSE),"")</f>
        <v>coal</v>
      </c>
    </row>
    <row r="1788" spans="1:9" x14ac:dyDescent="0.15">
      <c r="A1788" s="2">
        <v>203432</v>
      </c>
      <c r="B1788" s="2" t="s">
        <v>76</v>
      </c>
      <c r="C1788" s="2">
        <v>2022</v>
      </c>
      <c r="D1788" s="2" t="s">
        <v>1</v>
      </c>
      <c r="E1788" s="2" t="s">
        <v>26</v>
      </c>
      <c r="F1788" s="2" t="s">
        <v>35</v>
      </c>
      <c r="G1788" s="7"/>
      <c r="H1788" s="13" t="str">
        <f>IFERROR(IF(ABS($G1788)&gt;0,VLOOKUP($E1788,'Fuel Category and Heat Rate'!$B$1:$G$34,6,FALSE)*($G1788),""),"")</f>
        <v/>
      </c>
      <c r="I1788" t="str">
        <f>IFERROR(VLOOKUP($E1788,'Fuel Category and Heat Rate'!$K$2:$M$36,3,FALSE),"")</f>
        <v>LPG propane or butane</v>
      </c>
    </row>
    <row r="1789" spans="1:9" x14ac:dyDescent="0.15">
      <c r="A1789" s="2">
        <v>203467</v>
      </c>
      <c r="B1789" s="2" t="s">
        <v>76</v>
      </c>
      <c r="C1789" s="2">
        <v>2022</v>
      </c>
      <c r="D1789" s="2" t="s">
        <v>1</v>
      </c>
      <c r="E1789" s="2" t="s">
        <v>30</v>
      </c>
      <c r="F1789" s="2" t="s">
        <v>35</v>
      </c>
      <c r="G1789" s="7"/>
      <c r="H1789" s="13" t="str">
        <f>IFERROR(IF(ABS($G1789)&gt;0,VLOOKUP($E1789,'Fuel Category and Heat Rate'!$B$1:$G$34,6,FALSE)*($G1789),""),"")</f>
        <v/>
      </c>
      <c r="I1789" t="str">
        <f>IFERROR(VLOOKUP($E1789,'Fuel Category and Heat Rate'!$K$2:$M$36,3,FALSE),"")</f>
        <v>natural gas</v>
      </c>
    </row>
    <row r="1790" spans="1:9" x14ac:dyDescent="0.15">
      <c r="A1790" s="2">
        <v>203502</v>
      </c>
      <c r="B1790" s="2" t="s">
        <v>76</v>
      </c>
      <c r="C1790" s="2">
        <v>2022</v>
      </c>
      <c r="D1790" s="2" t="s">
        <v>1</v>
      </c>
      <c r="E1790" s="2" t="s">
        <v>14</v>
      </c>
      <c r="F1790" s="2" t="s">
        <v>35</v>
      </c>
      <c r="G1790" s="7">
        <v>-7.68</v>
      </c>
      <c r="H1790" s="13">
        <f>IFERROR(IF(ABS($G1790)&gt;0,VLOOKUP($E1790,'Fuel Category and Heat Rate'!$B$1:$G$34,6,FALSE)*($G1790),""),"")</f>
        <v>0</v>
      </c>
      <c r="I1790" t="str">
        <f>IFERROR(VLOOKUP($E1790,'Fuel Category and Heat Rate'!$K$2:$M$36,3,FALSE),"")</f>
        <v/>
      </c>
    </row>
    <row r="1791" spans="1:9" x14ac:dyDescent="0.15">
      <c r="A1791" s="2">
        <v>203537</v>
      </c>
      <c r="B1791" s="2" t="s">
        <v>76</v>
      </c>
      <c r="C1791" s="2">
        <v>2022</v>
      </c>
      <c r="D1791" s="2" t="s">
        <v>1</v>
      </c>
      <c r="E1791" s="2" t="s">
        <v>3</v>
      </c>
      <c r="F1791" s="2" t="s">
        <v>35</v>
      </c>
      <c r="G1791" s="7">
        <v>-701.7</v>
      </c>
      <c r="H1791" s="13">
        <f>IFERROR(IF(ABS($G1791)&gt;0,VLOOKUP($E1791,'Fuel Category and Heat Rate'!$B$1:$G$34,6,FALSE)*($G1791),""),"")</f>
        <v>-139055611131865.69</v>
      </c>
      <c r="I1791" t="str">
        <f>IFERROR(VLOOKUP($E1791,'Fuel Category and Heat Rate'!$K$2:$M$36,3,FALSE),"")</f>
        <v>coal</v>
      </c>
    </row>
    <row r="1792" spans="1:9" x14ac:dyDescent="0.15">
      <c r="A1792" s="2">
        <v>203572</v>
      </c>
      <c r="B1792" s="2" t="s">
        <v>76</v>
      </c>
      <c r="C1792" s="2">
        <v>2022</v>
      </c>
      <c r="D1792" s="2" t="s">
        <v>1</v>
      </c>
      <c r="E1792" s="2" t="s">
        <v>15</v>
      </c>
      <c r="F1792" s="2" t="s">
        <v>35</v>
      </c>
      <c r="G1792" s="7"/>
      <c r="H1792" s="13" t="str">
        <f>IFERROR(IF(ABS($G1792)&gt;0,VLOOKUP($E1792,'Fuel Category and Heat Rate'!$B$1:$G$34,6,FALSE)*($G1792),""),"")</f>
        <v/>
      </c>
      <c r="I1792" t="str">
        <f>IFERROR(VLOOKUP($E1792,'Fuel Category and Heat Rate'!$K$2:$M$36,3,FALSE),"")</f>
        <v>crude oil</v>
      </c>
    </row>
    <row r="1793" spans="1:9" x14ac:dyDescent="0.15">
      <c r="A1793" s="2">
        <v>203607</v>
      </c>
      <c r="B1793" s="2" t="s">
        <v>76</v>
      </c>
      <c r="C1793" s="2">
        <v>2022</v>
      </c>
      <c r="D1793" s="2" t="s">
        <v>1</v>
      </c>
      <c r="E1793" s="2" t="s">
        <v>11</v>
      </c>
      <c r="F1793" s="2" t="s">
        <v>36</v>
      </c>
      <c r="G1793" s="7">
        <v>-9.7200000000000006</v>
      </c>
      <c r="H1793" s="13">
        <f>IFERROR(IF(ABS($G1793)&gt;0,VLOOKUP($E1793,'Fuel Category and Heat Rate'!$B$1:$G$34,6,FALSE)*($G1793),""),"")</f>
        <v>-7319555642480.918</v>
      </c>
      <c r="I1793" t="str">
        <f>IFERROR(VLOOKUP($E1793,'Fuel Category and Heat Rate'!$K$2:$M$36,3,FALSE),"")</f>
        <v>LPG propane or butane</v>
      </c>
    </row>
    <row r="1794" spans="1:9" x14ac:dyDescent="0.15">
      <c r="A1794" s="2">
        <v>203642</v>
      </c>
      <c r="B1794" s="2" t="s">
        <v>76</v>
      </c>
      <c r="C1794" s="2">
        <v>2021</v>
      </c>
      <c r="D1794" s="2" t="s">
        <v>1</v>
      </c>
      <c r="E1794" s="2" t="s">
        <v>18</v>
      </c>
      <c r="F1794" s="2" t="s">
        <v>35</v>
      </c>
      <c r="G1794" s="7">
        <v>-0.11</v>
      </c>
      <c r="H1794" s="13">
        <f>IFERROR(IF(ABS($G1794)&gt;0,VLOOKUP($E1794,'Fuel Category and Heat Rate'!$B$1:$G$34,6,FALSE)*($G1794),""),"")</f>
        <v>-44468925507.592796</v>
      </c>
      <c r="I1794" t="str">
        <f>IFERROR(VLOOKUP($E1794,'Fuel Category and Heat Rate'!$K$2:$M$36,3,FALSE),"")</f>
        <v>petroleum diesel</v>
      </c>
    </row>
    <row r="1795" spans="1:9" x14ac:dyDescent="0.15">
      <c r="A1795" s="2">
        <v>203677</v>
      </c>
      <c r="B1795" s="2" t="s">
        <v>76</v>
      </c>
      <c r="C1795" s="2">
        <v>2021</v>
      </c>
      <c r="D1795" s="2" t="s">
        <v>1</v>
      </c>
      <c r="E1795" s="2" t="s">
        <v>32</v>
      </c>
      <c r="F1795" s="2" t="s">
        <v>65</v>
      </c>
      <c r="G1795" s="7"/>
      <c r="H1795" s="13" t="str">
        <f>IFERROR(IF(ABS($G1795)&gt;0,VLOOKUP($E1795,'Fuel Category and Heat Rate'!$B$1:$G$34,6,FALSE)*($G1795),""),"")</f>
        <v/>
      </c>
      <c r="I1795" t="str">
        <f>IFERROR(VLOOKUP($E1795,'Fuel Category and Heat Rate'!$K$2:$M$36,3,FALSE),"")</f>
        <v>electricity</v>
      </c>
    </row>
    <row r="1796" spans="1:9" x14ac:dyDescent="0.15">
      <c r="A1796" s="2">
        <v>203712</v>
      </c>
      <c r="B1796" s="2" t="s">
        <v>76</v>
      </c>
      <c r="C1796" s="2">
        <v>2021</v>
      </c>
      <c r="D1796" s="2" t="s">
        <v>1</v>
      </c>
      <c r="E1796" s="2" t="s">
        <v>10</v>
      </c>
      <c r="F1796" s="2" t="s">
        <v>36</v>
      </c>
      <c r="G1796" s="7"/>
      <c r="H1796" s="13" t="str">
        <f>IFERROR(IF(ABS($G1796)&gt;0,VLOOKUP($E1796,'Fuel Category and Heat Rate'!$B$1:$G$34,6,FALSE)*($G1796),""),"")</f>
        <v/>
      </c>
      <c r="I1796" t="str">
        <f>IFERROR(VLOOKUP($E1796,'Fuel Category and Heat Rate'!$K$2:$M$36,3,FALSE),"")</f>
        <v>LPG propane or butane</v>
      </c>
    </row>
    <row r="1797" spans="1:9" x14ac:dyDescent="0.15">
      <c r="A1797" s="2">
        <v>203747</v>
      </c>
      <c r="B1797" s="2" t="s">
        <v>76</v>
      </c>
      <c r="C1797" s="2">
        <v>2021</v>
      </c>
      <c r="D1797" s="2" t="s">
        <v>1</v>
      </c>
      <c r="E1797" s="2" t="s">
        <v>9</v>
      </c>
      <c r="F1797" s="2" t="s">
        <v>36</v>
      </c>
      <c r="G1797" s="7">
        <v>-8.51</v>
      </c>
      <c r="H1797" s="13">
        <f>IFERROR(IF(ABS($G1797)&gt;0,VLOOKUP($E1797,'Fuel Category and Heat Rate'!$B$1:$G$34,6,FALSE)*($G1797),""),"")</f>
        <v>-13997200716909.916</v>
      </c>
      <c r="I1797" t="str">
        <f>IFERROR(VLOOKUP($E1797,'Fuel Category and Heat Rate'!$K$2:$M$36,3,FALSE),"")</f>
        <v>LPG propane or butane</v>
      </c>
    </row>
    <row r="1798" spans="1:9" x14ac:dyDescent="0.15">
      <c r="A1798" s="2">
        <v>203782</v>
      </c>
      <c r="B1798" s="2" t="s">
        <v>76</v>
      </c>
      <c r="C1798" s="2">
        <v>2021</v>
      </c>
      <c r="D1798" s="2" t="s">
        <v>1</v>
      </c>
      <c r="E1798" s="2" t="s">
        <v>8</v>
      </c>
      <c r="F1798" s="2" t="s">
        <v>35</v>
      </c>
      <c r="G1798" s="7"/>
      <c r="H1798" s="13" t="str">
        <f>IFERROR(IF(ABS($G1798)&gt;0,VLOOKUP($E1798,'Fuel Category and Heat Rate'!$B$1:$G$34,6,FALSE)*($G1798),""),"")</f>
        <v/>
      </c>
      <c r="I1798" t="str">
        <f>IFERROR(VLOOKUP($E1798,'Fuel Category and Heat Rate'!$K$2:$M$36,3,FALSE),"")</f>
        <v>coal</v>
      </c>
    </row>
    <row r="1799" spans="1:9" x14ac:dyDescent="0.15">
      <c r="A1799" s="2">
        <v>203817</v>
      </c>
      <c r="B1799" s="2" t="s">
        <v>76</v>
      </c>
      <c r="C1799" s="2">
        <v>2021</v>
      </c>
      <c r="D1799" s="2" t="s">
        <v>1</v>
      </c>
      <c r="E1799" s="2" t="s">
        <v>27</v>
      </c>
      <c r="F1799" s="2" t="s">
        <v>35</v>
      </c>
      <c r="G1799" s="7">
        <v>-5.76</v>
      </c>
      <c r="H1799" s="13">
        <f>IFERROR(IF(ABS($G1799)&gt;0,VLOOKUP($E1799,'Fuel Category and Heat Rate'!$B$1:$G$34,6,FALSE)*($G1799),""),"")</f>
        <v>-2511227059685.9873</v>
      </c>
      <c r="I1799" t="str">
        <f>IFERROR(VLOOKUP($E1799,'Fuel Category and Heat Rate'!$K$2:$M$36,3,FALSE),"")</f>
        <v>LPG propane or butane</v>
      </c>
    </row>
    <row r="1800" spans="1:9" x14ac:dyDescent="0.15">
      <c r="A1800" s="2">
        <v>203852</v>
      </c>
      <c r="B1800" s="2" t="s">
        <v>76</v>
      </c>
      <c r="C1800" s="2">
        <v>2021</v>
      </c>
      <c r="D1800" s="2" t="s">
        <v>1</v>
      </c>
      <c r="E1800" s="2" t="s">
        <v>7</v>
      </c>
      <c r="F1800" s="2" t="s">
        <v>35</v>
      </c>
      <c r="G1800" s="7">
        <v>-18.68</v>
      </c>
      <c r="H1800" s="13">
        <f>IFERROR(IF(ABS($G1800)&gt;0,VLOOKUP($E1800,'Fuel Category and Heat Rate'!$B$1:$G$34,6,FALSE)*($G1800),""),"")</f>
        <v>-1482635445317.8948</v>
      </c>
      <c r="I1800" t="str">
        <f>IFERROR(VLOOKUP($E1800,'Fuel Category and Heat Rate'!$K$2:$M$36,3,FALSE),"")</f>
        <v>coal</v>
      </c>
    </row>
    <row r="1801" spans="1:9" x14ac:dyDescent="0.15">
      <c r="A1801" s="2">
        <v>203887</v>
      </c>
      <c r="B1801" s="2" t="s">
        <v>76</v>
      </c>
      <c r="C1801" s="2">
        <v>2021</v>
      </c>
      <c r="D1801" s="2" t="s">
        <v>1</v>
      </c>
      <c r="E1801" s="2" t="s">
        <v>2</v>
      </c>
      <c r="F1801" s="2" t="s">
        <v>35</v>
      </c>
      <c r="G1801" s="7">
        <v>-754.08</v>
      </c>
      <c r="H1801" s="13">
        <f>IFERROR(IF(ABS($G1801)&gt;0,VLOOKUP($E1801,'Fuel Category and Heat Rate'!$B$1:$G$34,6,FALSE)*($G1801),""),"")</f>
        <v>0</v>
      </c>
      <c r="I1801" t="str">
        <f>IFERROR(VLOOKUP($E1801,'Fuel Category and Heat Rate'!$K$2:$M$36,3,FALSE),"")</f>
        <v/>
      </c>
    </row>
    <row r="1802" spans="1:9" x14ac:dyDescent="0.15">
      <c r="A1802" s="2">
        <v>203922</v>
      </c>
      <c r="B1802" s="2" t="s">
        <v>76</v>
      </c>
      <c r="C1802" s="2">
        <v>2021</v>
      </c>
      <c r="D1802" s="2" t="s">
        <v>1</v>
      </c>
      <c r="E1802" s="2" t="s">
        <v>17</v>
      </c>
      <c r="F1802" s="2" t="s">
        <v>35</v>
      </c>
      <c r="G1802" s="7"/>
      <c r="H1802" s="13" t="str">
        <f>IFERROR(IF(ABS($G1802)&gt;0,VLOOKUP($E1802,'Fuel Category and Heat Rate'!$B$1:$G$34,6,FALSE)*($G1802),""),"")</f>
        <v/>
      </c>
      <c r="I1802" t="str">
        <f>IFERROR(VLOOKUP($E1802,'Fuel Category and Heat Rate'!$K$2:$M$36,3,FALSE),"")</f>
        <v>petroleum diesel</v>
      </c>
    </row>
    <row r="1803" spans="1:9" x14ac:dyDescent="0.15">
      <c r="A1803" s="2">
        <v>203957</v>
      </c>
      <c r="B1803" s="2" t="s">
        <v>76</v>
      </c>
      <c r="C1803" s="2">
        <v>2021</v>
      </c>
      <c r="D1803" s="2" t="s">
        <v>1</v>
      </c>
      <c r="E1803" s="2" t="s">
        <v>13</v>
      </c>
      <c r="F1803" s="2" t="s">
        <v>35</v>
      </c>
      <c r="G1803" s="7"/>
      <c r="H1803" s="13" t="str">
        <f>IFERROR(IF(ABS($G1803)&gt;0,VLOOKUP($E1803,'Fuel Category and Heat Rate'!$B$1:$G$34,6,FALSE)*($G1803),""),"")</f>
        <v/>
      </c>
      <c r="I1803" t="str">
        <f>IFERROR(VLOOKUP($E1803,'Fuel Category and Heat Rate'!$K$2:$M$36,3,FALSE),"")</f>
        <v>petroleum diesel</v>
      </c>
    </row>
    <row r="1804" spans="1:9" x14ac:dyDescent="0.15">
      <c r="A1804" s="2">
        <v>203992</v>
      </c>
      <c r="B1804" s="2" t="s">
        <v>76</v>
      </c>
      <c r="C1804" s="2">
        <v>2021</v>
      </c>
      <c r="D1804" s="2" t="s">
        <v>1</v>
      </c>
      <c r="E1804" s="2" t="s">
        <v>12</v>
      </c>
      <c r="F1804" s="2" t="s">
        <v>36</v>
      </c>
      <c r="G1804" s="7"/>
      <c r="H1804" s="13" t="str">
        <f>IFERROR(IF(ABS($G1804)&gt;0,VLOOKUP($E1804,'Fuel Category and Heat Rate'!$B$1:$G$34,6,FALSE)*($G1804),""),"")</f>
        <v/>
      </c>
      <c r="I1804" t="str">
        <f>IFERROR(VLOOKUP($E1804,'Fuel Category and Heat Rate'!$K$2:$M$36,3,FALSE),"")</f>
        <v>LPG propane or butane</v>
      </c>
    </row>
    <row r="1805" spans="1:9" x14ac:dyDescent="0.15">
      <c r="A1805" s="2">
        <v>204027</v>
      </c>
      <c r="B1805" s="2" t="s">
        <v>76</v>
      </c>
      <c r="C1805" s="2">
        <v>2021</v>
      </c>
      <c r="D1805" s="2" t="s">
        <v>1</v>
      </c>
      <c r="E1805" s="2" t="s">
        <v>33</v>
      </c>
      <c r="F1805" s="2" t="s">
        <v>38</v>
      </c>
      <c r="G1805" s="7">
        <v>-15.23</v>
      </c>
      <c r="H1805" s="13">
        <f>IFERROR(IF(ABS($G1805)&gt;0,VLOOKUP($E1805,'Fuel Category and Heat Rate'!$B$1:$G$34,6,FALSE)*($G1805),""),"")</f>
        <v>-4225343426132.3701</v>
      </c>
      <c r="I1805" t="str">
        <f>IFERROR(VLOOKUP($E1805,'Fuel Category and Heat Rate'!$K$2:$M$36,3,FALSE),"")</f>
        <v>biomass</v>
      </c>
    </row>
    <row r="1806" spans="1:9" x14ac:dyDescent="0.15">
      <c r="A1806" s="2">
        <v>204062</v>
      </c>
      <c r="B1806" s="2" t="s">
        <v>76</v>
      </c>
      <c r="C1806" s="2">
        <v>2021</v>
      </c>
      <c r="D1806" s="2" t="s">
        <v>1</v>
      </c>
      <c r="E1806" s="2" t="s">
        <v>28</v>
      </c>
      <c r="F1806" s="2" t="s">
        <v>35</v>
      </c>
      <c r="G1806" s="7"/>
      <c r="H1806" s="13" t="str">
        <f>IFERROR(IF(ABS($G1806)&gt;0,VLOOKUP($E1806,'Fuel Category and Heat Rate'!$B$1:$G$34,6,FALSE)*($G1806),""),"")</f>
        <v/>
      </c>
      <c r="I1806" t="str">
        <f>IFERROR(VLOOKUP($E1806,'Fuel Category and Heat Rate'!$K$2:$M$36,3,FALSE),"")</f>
        <v>heavy or residual fuel oil</v>
      </c>
    </row>
    <row r="1807" spans="1:9" x14ac:dyDescent="0.15">
      <c r="A1807" s="2">
        <v>204097</v>
      </c>
      <c r="B1807" s="2" t="s">
        <v>76</v>
      </c>
      <c r="C1807" s="2">
        <v>2021</v>
      </c>
      <c r="D1807" s="2" t="s">
        <v>1</v>
      </c>
      <c r="E1807" s="2" t="s">
        <v>5</v>
      </c>
      <c r="F1807" s="2" t="s">
        <v>35</v>
      </c>
      <c r="G1807" s="7"/>
      <c r="H1807" s="13" t="str">
        <f>IFERROR(IF(ABS($G1807)&gt;0,VLOOKUP($E1807,'Fuel Category and Heat Rate'!$B$1:$G$34,6,FALSE)*($G1807),""),"")</f>
        <v/>
      </c>
      <c r="I1807" t="str">
        <f>IFERROR(VLOOKUP($E1807,'Fuel Category and Heat Rate'!$K$2:$M$36,3,FALSE),"")</f>
        <v>coal</v>
      </c>
    </row>
    <row r="1808" spans="1:9" x14ac:dyDescent="0.15">
      <c r="A1808" s="2">
        <v>204132</v>
      </c>
      <c r="B1808" s="2" t="s">
        <v>76</v>
      </c>
      <c r="C1808" s="2">
        <v>2021</v>
      </c>
      <c r="D1808" s="2" t="s">
        <v>1</v>
      </c>
      <c r="E1808" s="2" t="s">
        <v>16</v>
      </c>
      <c r="F1808" s="2" t="s">
        <v>35</v>
      </c>
      <c r="G1808" s="7"/>
      <c r="H1808" s="13" t="str">
        <f>IFERROR(IF(ABS($G1808)&gt;0,VLOOKUP($E1808,'Fuel Category and Heat Rate'!$B$1:$G$34,6,FALSE)*($G1808),""),"")</f>
        <v/>
      </c>
      <c r="I1808" t="str">
        <f>IFERROR(VLOOKUP($E1808,'Fuel Category and Heat Rate'!$K$2:$M$36,3,FALSE),"")</f>
        <v>petroleum diesel</v>
      </c>
    </row>
    <row r="1809" spans="1:9" x14ac:dyDescent="0.15">
      <c r="A1809" s="2">
        <v>204167</v>
      </c>
      <c r="B1809" s="2" t="s">
        <v>76</v>
      </c>
      <c r="C1809" s="2">
        <v>2021</v>
      </c>
      <c r="D1809" s="2" t="s">
        <v>1</v>
      </c>
      <c r="E1809" s="2" t="s">
        <v>19</v>
      </c>
      <c r="F1809" s="2" t="s">
        <v>35</v>
      </c>
      <c r="G1809" s="7">
        <v>-0.02</v>
      </c>
      <c r="H1809" s="13">
        <f>IFERROR(IF(ABS($G1809)&gt;0,VLOOKUP($E1809,'Fuel Category and Heat Rate'!$B$1:$G$34,6,FALSE)*($G1809),""),"")</f>
        <v>-7926784160.2887659</v>
      </c>
      <c r="I1809" t="str">
        <f>IFERROR(VLOOKUP($E1809,'Fuel Category and Heat Rate'!$K$2:$M$36,3,FALSE),"")</f>
        <v>heavy or residual fuel oil</v>
      </c>
    </row>
    <row r="1810" spans="1:9" x14ac:dyDescent="0.15">
      <c r="A1810" s="2">
        <v>204202</v>
      </c>
      <c r="B1810" s="2" t="s">
        <v>76</v>
      </c>
      <c r="C1810" s="2">
        <v>2021</v>
      </c>
      <c r="D1810" s="2" t="s">
        <v>1</v>
      </c>
      <c r="E1810" s="2" t="s">
        <v>31</v>
      </c>
      <c r="F1810" s="2" t="s">
        <v>37</v>
      </c>
      <c r="G1810" s="7">
        <v>11809.16</v>
      </c>
      <c r="H1810" s="13">
        <f>IFERROR(IF(ABS($G1810)&gt;0,VLOOKUP($E1810,'Fuel Category and Heat Rate'!$B$1:$G$34,6,FALSE)*($G1810),""),"")</f>
        <v>111929240523143.88</v>
      </c>
      <c r="I1810" t="str">
        <f>IFERROR(VLOOKUP($E1810,'Fuel Category and Heat Rate'!$K$2:$M$36,3,FALSE),"")</f>
        <v>heat</v>
      </c>
    </row>
    <row r="1811" spans="1:9" x14ac:dyDescent="0.15">
      <c r="A1811" s="2">
        <v>204237</v>
      </c>
      <c r="B1811" s="2" t="s">
        <v>76</v>
      </c>
      <c r="C1811" s="2">
        <v>2021</v>
      </c>
      <c r="D1811" s="2" t="s">
        <v>1</v>
      </c>
      <c r="E1811" s="2" t="s">
        <v>23</v>
      </c>
      <c r="F1811" s="2" t="s">
        <v>35</v>
      </c>
      <c r="G1811" s="7"/>
      <c r="H1811" s="13" t="str">
        <f>IFERROR(IF(ABS($G1811)&gt;0,VLOOKUP($E1811,'Fuel Category and Heat Rate'!$B$1:$G$34,6,FALSE)*($G1811),""),"")</f>
        <v/>
      </c>
      <c r="I1811" t="str">
        <f>IFERROR(VLOOKUP($E1811,'Fuel Category and Heat Rate'!$K$2:$M$36,3,FALSE),"")</f>
        <v>heavy or residual fuel oil</v>
      </c>
    </row>
    <row r="1812" spans="1:9" x14ac:dyDescent="0.15">
      <c r="A1812" s="2">
        <v>204272</v>
      </c>
      <c r="B1812" s="2" t="s">
        <v>76</v>
      </c>
      <c r="C1812" s="2">
        <v>2021</v>
      </c>
      <c r="D1812" s="2" t="s">
        <v>1</v>
      </c>
      <c r="E1812" s="2" t="s">
        <v>21</v>
      </c>
      <c r="F1812" s="2" t="s">
        <v>35</v>
      </c>
      <c r="G1812" s="7"/>
      <c r="H1812" s="13" t="str">
        <f>IFERROR(IF(ABS($G1812)&gt;0,VLOOKUP($E1812,'Fuel Category and Heat Rate'!$B$1:$G$34,6,FALSE)*($G1812),""),"")</f>
        <v/>
      </c>
      <c r="I1812" t="str">
        <f>IFERROR(VLOOKUP($E1812,'Fuel Category and Heat Rate'!$K$2:$M$36,3,FALSE),"")</f>
        <v>LPG propane or butane</v>
      </c>
    </row>
    <row r="1813" spans="1:9" x14ac:dyDescent="0.15">
      <c r="A1813" s="2">
        <v>204307</v>
      </c>
      <c r="B1813" s="2" t="s">
        <v>76</v>
      </c>
      <c r="C1813" s="2">
        <v>2021</v>
      </c>
      <c r="D1813" s="2" t="s">
        <v>1</v>
      </c>
      <c r="E1813" s="2" t="s">
        <v>22</v>
      </c>
      <c r="F1813" s="2" t="s">
        <v>35</v>
      </c>
      <c r="G1813" s="7"/>
      <c r="H1813" s="13" t="str">
        <f>IFERROR(IF(ABS($G1813)&gt;0,VLOOKUP($E1813,'Fuel Category and Heat Rate'!$B$1:$G$34,6,FALSE)*($G1813),""),"")</f>
        <v/>
      </c>
      <c r="I1813" t="str">
        <f>IFERROR(VLOOKUP($E1813,'Fuel Category and Heat Rate'!$K$2:$M$36,3,FALSE),"")</f>
        <v>heavy fuel oil</v>
      </c>
    </row>
    <row r="1814" spans="1:9" x14ac:dyDescent="0.15">
      <c r="A1814" s="2">
        <v>204342</v>
      </c>
      <c r="B1814" s="2" t="s">
        <v>76</v>
      </c>
      <c r="C1814" s="2">
        <v>2021</v>
      </c>
      <c r="D1814" s="2" t="s">
        <v>1</v>
      </c>
      <c r="E1814" s="2" t="s">
        <v>20</v>
      </c>
      <c r="F1814" s="2" t="s">
        <v>35</v>
      </c>
      <c r="G1814" s="7"/>
      <c r="H1814" s="13" t="str">
        <f>IFERROR(IF(ABS($G1814)&gt;0,VLOOKUP($E1814,'Fuel Category and Heat Rate'!$B$1:$G$34,6,FALSE)*($G1814),""),"")</f>
        <v/>
      </c>
      <c r="I1814" t="str">
        <f>IFERROR(VLOOKUP($E1814,'Fuel Category and Heat Rate'!$K$2:$M$36,3,FALSE),"")</f>
        <v>LPG propane or butane</v>
      </c>
    </row>
    <row r="1815" spans="1:9" x14ac:dyDescent="0.15">
      <c r="A1815" s="2">
        <v>204377</v>
      </c>
      <c r="B1815" s="2" t="s">
        <v>76</v>
      </c>
      <c r="C1815" s="2">
        <v>2021</v>
      </c>
      <c r="D1815" s="2" t="s">
        <v>1</v>
      </c>
      <c r="E1815" s="2" t="s">
        <v>25</v>
      </c>
      <c r="F1815" s="2" t="s">
        <v>35</v>
      </c>
      <c r="G1815" s="7"/>
      <c r="H1815" s="13" t="str">
        <f>IFERROR(IF(ABS($G1815)&gt;0,VLOOKUP($E1815,'Fuel Category and Heat Rate'!$B$1:$G$34,6,FALSE)*($G1815),""),"")</f>
        <v/>
      </c>
      <c r="I1815" t="str">
        <f>IFERROR(VLOOKUP($E1815,'Fuel Category and Heat Rate'!$K$2:$M$36,3,FALSE),"")</f>
        <v>heavy fuel oil</v>
      </c>
    </row>
    <row r="1816" spans="1:9" x14ac:dyDescent="0.15">
      <c r="A1816" s="2">
        <v>204412</v>
      </c>
      <c r="B1816" s="2" t="s">
        <v>76</v>
      </c>
      <c r="C1816" s="2">
        <v>2021</v>
      </c>
      <c r="D1816" s="2" t="s">
        <v>1</v>
      </c>
      <c r="E1816" s="2" t="s">
        <v>24</v>
      </c>
      <c r="F1816" s="2" t="s">
        <v>35</v>
      </c>
      <c r="G1816" s="7"/>
      <c r="H1816" s="13" t="str">
        <f>IFERROR(IF(ABS($G1816)&gt;0,VLOOKUP($E1816,'Fuel Category and Heat Rate'!$B$1:$G$34,6,FALSE)*($G1816),""),"")</f>
        <v/>
      </c>
      <c r="I1816" t="str">
        <f>IFERROR(VLOOKUP($E1816,'Fuel Category and Heat Rate'!$K$2:$M$36,3,FALSE),"")</f>
        <v>heavy fuel oil</v>
      </c>
    </row>
    <row r="1817" spans="1:9" x14ac:dyDescent="0.15">
      <c r="A1817" s="2">
        <v>204447</v>
      </c>
      <c r="B1817" s="2" t="s">
        <v>76</v>
      </c>
      <c r="C1817" s="2">
        <v>2021</v>
      </c>
      <c r="D1817" s="2" t="s">
        <v>1</v>
      </c>
      <c r="E1817" s="2" t="s">
        <v>29</v>
      </c>
      <c r="F1817" s="2" t="s">
        <v>36</v>
      </c>
      <c r="G1817" s="7">
        <v>-2.0699999999999998</v>
      </c>
      <c r="H1817" s="13">
        <f>IFERROR(IF(ABS($G1817)&gt;0,VLOOKUP($E1817,'Fuel Category and Heat Rate'!$B$1:$G$34,6,FALSE)*($G1817),""),"")</f>
        <v>-6981612869119.6768</v>
      </c>
      <c r="I1817" t="str">
        <f>IFERROR(VLOOKUP($E1817,'Fuel Category and Heat Rate'!$K$2:$M$36,3,FALSE),"")</f>
        <v>natural gas</v>
      </c>
    </row>
    <row r="1818" spans="1:9" x14ac:dyDescent="0.15">
      <c r="A1818" s="2">
        <v>204482</v>
      </c>
      <c r="B1818" s="2" t="s">
        <v>76</v>
      </c>
      <c r="C1818" s="2">
        <v>2021</v>
      </c>
      <c r="D1818" s="2" t="s">
        <v>1</v>
      </c>
      <c r="E1818" s="2" t="s">
        <v>4</v>
      </c>
      <c r="F1818" s="2" t="s">
        <v>35</v>
      </c>
      <c r="G1818" s="7"/>
      <c r="H1818" s="13" t="str">
        <f>IFERROR(IF(ABS($G1818)&gt;0,VLOOKUP($E1818,'Fuel Category and Heat Rate'!$B$1:$G$34,6,FALSE)*($G1818),""),"")</f>
        <v/>
      </c>
      <c r="I1818" t="str">
        <f>IFERROR(VLOOKUP($E1818,'Fuel Category and Heat Rate'!$K$2:$M$36,3,FALSE),"")</f>
        <v>coal</v>
      </c>
    </row>
    <row r="1819" spans="1:9" x14ac:dyDescent="0.15">
      <c r="A1819" s="2">
        <v>204517</v>
      </c>
      <c r="B1819" s="2" t="s">
        <v>76</v>
      </c>
      <c r="C1819" s="2">
        <v>2021</v>
      </c>
      <c r="D1819" s="2" t="s">
        <v>1</v>
      </c>
      <c r="E1819" s="2" t="s">
        <v>6</v>
      </c>
      <c r="F1819" s="2" t="s">
        <v>35</v>
      </c>
      <c r="G1819" s="7">
        <v>-3.85</v>
      </c>
      <c r="H1819" s="13">
        <f>IFERROR(IF(ABS($G1819)&gt;0,VLOOKUP($E1819,'Fuel Category and Heat Rate'!$B$1:$G$34,6,FALSE)*($G1819),""),"")</f>
        <v>-564624612052.52783</v>
      </c>
      <c r="I1819" t="str">
        <f>IFERROR(VLOOKUP($E1819,'Fuel Category and Heat Rate'!$K$2:$M$36,3,FALSE),"")</f>
        <v>coal</v>
      </c>
    </row>
    <row r="1820" spans="1:9" x14ac:dyDescent="0.15">
      <c r="A1820" s="2">
        <v>204552</v>
      </c>
      <c r="B1820" s="2" t="s">
        <v>76</v>
      </c>
      <c r="C1820" s="2">
        <v>2021</v>
      </c>
      <c r="D1820" s="2" t="s">
        <v>1</v>
      </c>
      <c r="E1820" s="2" t="s">
        <v>26</v>
      </c>
      <c r="F1820" s="2" t="s">
        <v>35</v>
      </c>
      <c r="G1820" s="7"/>
      <c r="H1820" s="13" t="str">
        <f>IFERROR(IF(ABS($G1820)&gt;0,VLOOKUP($E1820,'Fuel Category and Heat Rate'!$B$1:$G$34,6,FALSE)*($G1820),""),"")</f>
        <v/>
      </c>
      <c r="I1820" t="str">
        <f>IFERROR(VLOOKUP($E1820,'Fuel Category and Heat Rate'!$K$2:$M$36,3,FALSE),"")</f>
        <v>LPG propane or butane</v>
      </c>
    </row>
    <row r="1821" spans="1:9" x14ac:dyDescent="0.15">
      <c r="A1821" s="2">
        <v>204587</v>
      </c>
      <c r="B1821" s="2" t="s">
        <v>76</v>
      </c>
      <c r="C1821" s="2">
        <v>2021</v>
      </c>
      <c r="D1821" s="2" t="s">
        <v>1</v>
      </c>
      <c r="E1821" s="2" t="s">
        <v>30</v>
      </c>
      <c r="F1821" s="2" t="s">
        <v>35</v>
      </c>
      <c r="G1821" s="7"/>
      <c r="H1821" s="13" t="str">
        <f>IFERROR(IF(ABS($G1821)&gt;0,VLOOKUP($E1821,'Fuel Category and Heat Rate'!$B$1:$G$34,6,FALSE)*($G1821),""),"")</f>
        <v/>
      </c>
      <c r="I1821" t="str">
        <f>IFERROR(VLOOKUP($E1821,'Fuel Category and Heat Rate'!$K$2:$M$36,3,FALSE),"")</f>
        <v>natural gas</v>
      </c>
    </row>
    <row r="1822" spans="1:9" x14ac:dyDescent="0.15">
      <c r="A1822" s="2">
        <v>204622</v>
      </c>
      <c r="B1822" s="2" t="s">
        <v>76</v>
      </c>
      <c r="C1822" s="2">
        <v>2021</v>
      </c>
      <c r="D1822" s="2" t="s">
        <v>1</v>
      </c>
      <c r="E1822" s="2" t="s">
        <v>14</v>
      </c>
      <c r="F1822" s="2" t="s">
        <v>35</v>
      </c>
      <c r="G1822" s="7">
        <v>-5.89</v>
      </c>
      <c r="H1822" s="13">
        <f>IFERROR(IF(ABS($G1822)&gt;0,VLOOKUP($E1822,'Fuel Category and Heat Rate'!$B$1:$G$34,6,FALSE)*($G1822),""),"")</f>
        <v>0</v>
      </c>
      <c r="I1822" t="str">
        <f>IFERROR(VLOOKUP($E1822,'Fuel Category and Heat Rate'!$K$2:$M$36,3,FALSE),"")</f>
        <v/>
      </c>
    </row>
    <row r="1823" spans="1:9" x14ac:dyDescent="0.15">
      <c r="A1823" s="2">
        <v>204657</v>
      </c>
      <c r="B1823" s="2" t="s">
        <v>76</v>
      </c>
      <c r="C1823" s="2">
        <v>2021</v>
      </c>
      <c r="D1823" s="2" t="s">
        <v>1</v>
      </c>
      <c r="E1823" s="2" t="s">
        <v>3</v>
      </c>
      <c r="F1823" s="2" t="s">
        <v>35</v>
      </c>
      <c r="G1823" s="7">
        <v>-750.23</v>
      </c>
      <c r="H1823" s="13">
        <f>IFERROR(IF(ABS($G1823)&gt;0,VLOOKUP($E1823,'Fuel Category and Heat Rate'!$B$1:$G$34,6,FALSE)*($G1823),""),"")</f>
        <v>-148672782014336.03</v>
      </c>
      <c r="I1823" t="str">
        <f>IFERROR(VLOOKUP($E1823,'Fuel Category and Heat Rate'!$K$2:$M$36,3,FALSE),"")</f>
        <v>coal</v>
      </c>
    </row>
    <row r="1824" spans="1:9" x14ac:dyDescent="0.15">
      <c r="A1824" s="2">
        <v>204692</v>
      </c>
      <c r="B1824" s="2" t="s">
        <v>76</v>
      </c>
      <c r="C1824" s="2">
        <v>2021</v>
      </c>
      <c r="D1824" s="2" t="s">
        <v>1</v>
      </c>
      <c r="E1824" s="2" t="s">
        <v>15</v>
      </c>
      <c r="F1824" s="2" t="s">
        <v>35</v>
      </c>
      <c r="G1824" s="7"/>
      <c r="H1824" s="13" t="str">
        <f>IFERROR(IF(ABS($G1824)&gt;0,VLOOKUP($E1824,'Fuel Category and Heat Rate'!$B$1:$G$34,6,FALSE)*($G1824),""),"")</f>
        <v/>
      </c>
      <c r="I1824" t="str">
        <f>IFERROR(VLOOKUP($E1824,'Fuel Category and Heat Rate'!$K$2:$M$36,3,FALSE),"")</f>
        <v>crude oil</v>
      </c>
    </row>
    <row r="1825" spans="1:9" x14ac:dyDescent="0.15">
      <c r="A1825" s="2">
        <v>204727</v>
      </c>
      <c r="B1825" s="2" t="s">
        <v>76</v>
      </c>
      <c r="C1825" s="2">
        <v>2021</v>
      </c>
      <c r="D1825" s="2" t="s">
        <v>1</v>
      </c>
      <c r="E1825" s="2" t="s">
        <v>11</v>
      </c>
      <c r="F1825" s="2" t="s">
        <v>36</v>
      </c>
      <c r="G1825" s="7">
        <v>-8.59</v>
      </c>
      <c r="H1825" s="13">
        <f>IFERROR(IF(ABS($G1825)&gt;0,VLOOKUP($E1825,'Fuel Category and Heat Rate'!$B$1:$G$34,6,FALSE)*($G1825),""),"")</f>
        <v>-6468619647007.3125</v>
      </c>
      <c r="I1825" t="str">
        <f>IFERROR(VLOOKUP($E1825,'Fuel Category and Heat Rate'!$K$2:$M$36,3,FALSE),"")</f>
        <v>LPG propane or butane</v>
      </c>
    </row>
    <row r="1826" spans="1:9" x14ac:dyDescent="0.15">
      <c r="A1826" s="2">
        <v>204762</v>
      </c>
      <c r="B1826" s="2" t="s">
        <v>76</v>
      </c>
      <c r="C1826" s="2">
        <v>2020</v>
      </c>
      <c r="D1826" s="2" t="s">
        <v>1</v>
      </c>
      <c r="E1826" s="2" t="s">
        <v>18</v>
      </c>
      <c r="F1826" s="2" t="s">
        <v>35</v>
      </c>
      <c r="G1826" s="7">
        <v>-0.02</v>
      </c>
      <c r="H1826" s="13">
        <f>IFERROR(IF(ABS($G1826)&gt;0,VLOOKUP($E1826,'Fuel Category and Heat Rate'!$B$1:$G$34,6,FALSE)*($G1826),""),"")</f>
        <v>-8085259183.1986904</v>
      </c>
      <c r="I1826" t="str">
        <f>IFERROR(VLOOKUP($E1826,'Fuel Category and Heat Rate'!$K$2:$M$36,3,FALSE),"")</f>
        <v>petroleum diesel</v>
      </c>
    </row>
    <row r="1827" spans="1:9" x14ac:dyDescent="0.15">
      <c r="A1827" s="2">
        <v>204797</v>
      </c>
      <c r="B1827" s="2" t="s">
        <v>76</v>
      </c>
      <c r="C1827" s="2">
        <v>2020</v>
      </c>
      <c r="D1827" s="2" t="s">
        <v>1</v>
      </c>
      <c r="E1827" s="2" t="s">
        <v>32</v>
      </c>
      <c r="F1827" s="2" t="s">
        <v>65</v>
      </c>
      <c r="G1827" s="7"/>
      <c r="H1827" s="13" t="str">
        <f>IFERROR(IF(ABS($G1827)&gt;0,VLOOKUP($E1827,'Fuel Category and Heat Rate'!$B$1:$G$34,6,FALSE)*($G1827),""),"")</f>
        <v/>
      </c>
      <c r="I1827" t="str">
        <f>IFERROR(VLOOKUP($E1827,'Fuel Category and Heat Rate'!$K$2:$M$36,3,FALSE),"")</f>
        <v>electricity</v>
      </c>
    </row>
    <row r="1828" spans="1:9" x14ac:dyDescent="0.15">
      <c r="A1828" s="2">
        <v>204832</v>
      </c>
      <c r="B1828" s="2" t="s">
        <v>76</v>
      </c>
      <c r="C1828" s="2">
        <v>2020</v>
      </c>
      <c r="D1828" s="2" t="s">
        <v>1</v>
      </c>
      <c r="E1828" s="2" t="s">
        <v>10</v>
      </c>
      <c r="F1828" s="2" t="s">
        <v>36</v>
      </c>
      <c r="G1828" s="7"/>
      <c r="H1828" s="13" t="str">
        <f>IFERROR(IF(ABS($G1828)&gt;0,VLOOKUP($E1828,'Fuel Category and Heat Rate'!$B$1:$G$34,6,FALSE)*($G1828),""),"")</f>
        <v/>
      </c>
      <c r="I1828" t="str">
        <f>IFERROR(VLOOKUP($E1828,'Fuel Category and Heat Rate'!$K$2:$M$36,3,FALSE),"")</f>
        <v>LPG propane or butane</v>
      </c>
    </row>
    <row r="1829" spans="1:9" x14ac:dyDescent="0.15">
      <c r="A1829" s="2">
        <v>204867</v>
      </c>
      <c r="B1829" s="2" t="s">
        <v>76</v>
      </c>
      <c r="C1829" s="2">
        <v>2020</v>
      </c>
      <c r="D1829" s="2" t="s">
        <v>1</v>
      </c>
      <c r="E1829" s="2" t="s">
        <v>9</v>
      </c>
      <c r="F1829" s="2" t="s">
        <v>36</v>
      </c>
      <c r="G1829" s="7">
        <v>-9.1199999999999992</v>
      </c>
      <c r="H1829" s="13">
        <f>IFERROR(IF(ABS($G1829)&gt;0,VLOOKUP($E1829,'Fuel Category and Heat Rate'!$B$1:$G$34,6,FALSE)*($G1829),""),"")</f>
        <v>-15000525327640.238</v>
      </c>
      <c r="I1829" t="str">
        <f>IFERROR(VLOOKUP($E1829,'Fuel Category and Heat Rate'!$K$2:$M$36,3,FALSE),"")</f>
        <v>LPG propane or butane</v>
      </c>
    </row>
    <row r="1830" spans="1:9" x14ac:dyDescent="0.15">
      <c r="A1830" s="2">
        <v>204902</v>
      </c>
      <c r="B1830" s="2" t="s">
        <v>76</v>
      </c>
      <c r="C1830" s="2">
        <v>2020</v>
      </c>
      <c r="D1830" s="2" t="s">
        <v>1</v>
      </c>
      <c r="E1830" s="2" t="s">
        <v>8</v>
      </c>
      <c r="F1830" s="2" t="s">
        <v>35</v>
      </c>
      <c r="G1830" s="7"/>
      <c r="H1830" s="13" t="str">
        <f>IFERROR(IF(ABS($G1830)&gt;0,VLOOKUP($E1830,'Fuel Category and Heat Rate'!$B$1:$G$34,6,FALSE)*($G1830),""),"")</f>
        <v/>
      </c>
      <c r="I1830" t="str">
        <f>IFERROR(VLOOKUP($E1830,'Fuel Category and Heat Rate'!$K$2:$M$36,3,FALSE),"")</f>
        <v>coal</v>
      </c>
    </row>
    <row r="1831" spans="1:9" x14ac:dyDescent="0.15">
      <c r="A1831" s="2">
        <v>204937</v>
      </c>
      <c r="B1831" s="2" t="s">
        <v>76</v>
      </c>
      <c r="C1831" s="2">
        <v>2020</v>
      </c>
      <c r="D1831" s="2" t="s">
        <v>1</v>
      </c>
      <c r="E1831" s="2" t="s">
        <v>27</v>
      </c>
      <c r="F1831" s="2" t="s">
        <v>35</v>
      </c>
      <c r="G1831" s="7">
        <v>-5.83</v>
      </c>
      <c r="H1831" s="13">
        <f>IFERROR(IF(ABS($G1831)&gt;0,VLOOKUP($E1831,'Fuel Category and Heat Rate'!$B$1:$G$34,6,FALSE)*($G1831),""),"")</f>
        <v>-2541745444091.8936</v>
      </c>
      <c r="I1831" t="str">
        <f>IFERROR(VLOOKUP($E1831,'Fuel Category and Heat Rate'!$K$2:$M$36,3,FALSE),"")</f>
        <v>LPG propane or butane</v>
      </c>
    </row>
    <row r="1832" spans="1:9" x14ac:dyDescent="0.15">
      <c r="A1832" s="2">
        <v>204972</v>
      </c>
      <c r="B1832" s="2" t="s">
        <v>76</v>
      </c>
      <c r="C1832" s="2">
        <v>2020</v>
      </c>
      <c r="D1832" s="2" t="s">
        <v>1</v>
      </c>
      <c r="E1832" s="2" t="s">
        <v>7</v>
      </c>
      <c r="F1832" s="2" t="s">
        <v>35</v>
      </c>
      <c r="G1832" s="7">
        <v>-4.29</v>
      </c>
      <c r="H1832" s="13">
        <f>IFERROR(IF(ABS($G1832)&gt;0,VLOOKUP($E1832,'Fuel Category and Heat Rate'!$B$1:$G$34,6,FALSE)*($G1832),""),"")</f>
        <v>-340498183105.66217</v>
      </c>
      <c r="I1832" t="str">
        <f>IFERROR(VLOOKUP($E1832,'Fuel Category and Heat Rate'!$K$2:$M$36,3,FALSE),"")</f>
        <v>coal</v>
      </c>
    </row>
    <row r="1833" spans="1:9" x14ac:dyDescent="0.15">
      <c r="A1833" s="2">
        <v>205007</v>
      </c>
      <c r="B1833" s="2" t="s">
        <v>76</v>
      </c>
      <c r="C1833" s="2">
        <v>2020</v>
      </c>
      <c r="D1833" s="2" t="s">
        <v>1</v>
      </c>
      <c r="E1833" s="2" t="s">
        <v>2</v>
      </c>
      <c r="F1833" s="2" t="s">
        <v>35</v>
      </c>
      <c r="G1833" s="7">
        <v>-574</v>
      </c>
      <c r="H1833" s="13">
        <f>IFERROR(IF(ABS($G1833)&gt;0,VLOOKUP($E1833,'Fuel Category and Heat Rate'!$B$1:$G$34,6,FALSE)*($G1833),""),"")</f>
        <v>0</v>
      </c>
      <c r="I1833" t="str">
        <f>IFERROR(VLOOKUP($E1833,'Fuel Category and Heat Rate'!$K$2:$M$36,3,FALSE),"")</f>
        <v/>
      </c>
    </row>
    <row r="1834" spans="1:9" x14ac:dyDescent="0.15">
      <c r="A1834" s="2">
        <v>205042</v>
      </c>
      <c r="B1834" s="2" t="s">
        <v>76</v>
      </c>
      <c r="C1834" s="2">
        <v>2020</v>
      </c>
      <c r="D1834" s="2" t="s">
        <v>1</v>
      </c>
      <c r="E1834" s="2" t="s">
        <v>17</v>
      </c>
      <c r="F1834" s="2" t="s">
        <v>35</v>
      </c>
      <c r="G1834" s="7"/>
      <c r="H1834" s="13" t="str">
        <f>IFERROR(IF(ABS($G1834)&gt;0,VLOOKUP($E1834,'Fuel Category and Heat Rate'!$B$1:$G$34,6,FALSE)*($G1834),""),"")</f>
        <v/>
      </c>
      <c r="I1834" t="str">
        <f>IFERROR(VLOOKUP($E1834,'Fuel Category and Heat Rate'!$K$2:$M$36,3,FALSE),"")</f>
        <v>petroleum diesel</v>
      </c>
    </row>
    <row r="1835" spans="1:9" x14ac:dyDescent="0.15">
      <c r="A1835" s="2">
        <v>205077</v>
      </c>
      <c r="B1835" s="2" t="s">
        <v>76</v>
      </c>
      <c r="C1835" s="2">
        <v>2020</v>
      </c>
      <c r="D1835" s="2" t="s">
        <v>1</v>
      </c>
      <c r="E1835" s="2" t="s">
        <v>13</v>
      </c>
      <c r="F1835" s="2" t="s">
        <v>35</v>
      </c>
      <c r="G1835" s="7"/>
      <c r="H1835" s="13" t="str">
        <f>IFERROR(IF(ABS($G1835)&gt;0,VLOOKUP($E1835,'Fuel Category and Heat Rate'!$B$1:$G$34,6,FALSE)*($G1835),""),"")</f>
        <v/>
      </c>
      <c r="I1835" t="str">
        <f>IFERROR(VLOOKUP($E1835,'Fuel Category and Heat Rate'!$K$2:$M$36,3,FALSE),"")</f>
        <v>petroleum diesel</v>
      </c>
    </row>
    <row r="1836" spans="1:9" x14ac:dyDescent="0.15">
      <c r="A1836" s="2">
        <v>205112</v>
      </c>
      <c r="B1836" s="2" t="s">
        <v>76</v>
      </c>
      <c r="C1836" s="2">
        <v>2020</v>
      </c>
      <c r="D1836" s="2" t="s">
        <v>1</v>
      </c>
      <c r="E1836" s="2" t="s">
        <v>12</v>
      </c>
      <c r="F1836" s="2" t="s">
        <v>36</v>
      </c>
      <c r="G1836" s="7"/>
      <c r="H1836" s="13" t="str">
        <f>IFERROR(IF(ABS($G1836)&gt;0,VLOOKUP($E1836,'Fuel Category and Heat Rate'!$B$1:$G$34,6,FALSE)*($G1836),""),"")</f>
        <v/>
      </c>
      <c r="I1836" t="str">
        <f>IFERROR(VLOOKUP($E1836,'Fuel Category and Heat Rate'!$K$2:$M$36,3,FALSE),"")</f>
        <v>LPG propane or butane</v>
      </c>
    </row>
    <row r="1837" spans="1:9" x14ac:dyDescent="0.15">
      <c r="A1837" s="2">
        <v>205147</v>
      </c>
      <c r="B1837" s="2" t="s">
        <v>76</v>
      </c>
      <c r="C1837" s="2">
        <v>2020</v>
      </c>
      <c r="D1837" s="2" t="s">
        <v>1</v>
      </c>
      <c r="E1837" s="2" t="s">
        <v>33</v>
      </c>
      <c r="F1837" s="2" t="s">
        <v>38</v>
      </c>
      <c r="G1837" s="7">
        <v>-8.1199999999999992</v>
      </c>
      <c r="H1837" s="13">
        <f>IFERROR(IF(ABS($G1837)&gt;0,VLOOKUP($E1837,'Fuel Category and Heat Rate'!$B$1:$G$34,6,FALSE)*($G1837),""),"")</f>
        <v>-2252776665803.9946</v>
      </c>
      <c r="I1837" t="str">
        <f>IFERROR(VLOOKUP($E1837,'Fuel Category and Heat Rate'!$K$2:$M$36,3,FALSE),"")</f>
        <v>biomass</v>
      </c>
    </row>
    <row r="1838" spans="1:9" x14ac:dyDescent="0.15">
      <c r="A1838" s="2">
        <v>205182</v>
      </c>
      <c r="B1838" s="2" t="s">
        <v>76</v>
      </c>
      <c r="C1838" s="2">
        <v>2020</v>
      </c>
      <c r="D1838" s="2" t="s">
        <v>1</v>
      </c>
      <c r="E1838" s="2" t="s">
        <v>28</v>
      </c>
      <c r="F1838" s="2" t="s">
        <v>35</v>
      </c>
      <c r="G1838" s="7">
        <v>-1.56</v>
      </c>
      <c r="H1838" s="13">
        <f>IFERROR(IF(ABS($G1838)&gt;0,VLOOKUP($E1838,'Fuel Category and Heat Rate'!$B$1:$G$34,6,FALSE)*($G1838),""),"")</f>
        <v>-605928112715.54968</v>
      </c>
      <c r="I1838" t="str">
        <f>IFERROR(VLOOKUP($E1838,'Fuel Category and Heat Rate'!$K$2:$M$36,3,FALSE),"")</f>
        <v>heavy or residual fuel oil</v>
      </c>
    </row>
    <row r="1839" spans="1:9" x14ac:dyDescent="0.15">
      <c r="A1839" s="2">
        <v>205217</v>
      </c>
      <c r="B1839" s="2" t="s">
        <v>76</v>
      </c>
      <c r="C1839" s="2">
        <v>2020</v>
      </c>
      <c r="D1839" s="2" t="s">
        <v>1</v>
      </c>
      <c r="E1839" s="2" t="s">
        <v>5</v>
      </c>
      <c r="F1839" s="2" t="s">
        <v>35</v>
      </c>
      <c r="G1839" s="7"/>
      <c r="H1839" s="13" t="str">
        <f>IFERROR(IF(ABS($G1839)&gt;0,VLOOKUP($E1839,'Fuel Category and Heat Rate'!$B$1:$G$34,6,FALSE)*($G1839),""),"")</f>
        <v/>
      </c>
      <c r="I1839" t="str">
        <f>IFERROR(VLOOKUP($E1839,'Fuel Category and Heat Rate'!$K$2:$M$36,3,FALSE),"")</f>
        <v>coal</v>
      </c>
    </row>
    <row r="1840" spans="1:9" x14ac:dyDescent="0.15">
      <c r="A1840" s="2">
        <v>205252</v>
      </c>
      <c r="B1840" s="2" t="s">
        <v>76</v>
      </c>
      <c r="C1840" s="2">
        <v>2020</v>
      </c>
      <c r="D1840" s="2" t="s">
        <v>1</v>
      </c>
      <c r="E1840" s="2" t="s">
        <v>16</v>
      </c>
      <c r="F1840" s="2" t="s">
        <v>35</v>
      </c>
      <c r="G1840" s="7"/>
      <c r="H1840" s="13" t="str">
        <f>IFERROR(IF(ABS($G1840)&gt;0,VLOOKUP($E1840,'Fuel Category and Heat Rate'!$B$1:$G$34,6,FALSE)*($G1840),""),"")</f>
        <v/>
      </c>
      <c r="I1840" t="str">
        <f>IFERROR(VLOOKUP($E1840,'Fuel Category and Heat Rate'!$K$2:$M$36,3,FALSE),"")</f>
        <v>petroleum diesel</v>
      </c>
    </row>
    <row r="1841" spans="1:9" x14ac:dyDescent="0.15">
      <c r="A1841" s="2">
        <v>205287</v>
      </c>
      <c r="B1841" s="2" t="s">
        <v>76</v>
      </c>
      <c r="C1841" s="2">
        <v>2020</v>
      </c>
      <c r="D1841" s="2" t="s">
        <v>1</v>
      </c>
      <c r="E1841" s="2" t="s">
        <v>19</v>
      </c>
      <c r="F1841" s="2" t="s">
        <v>35</v>
      </c>
      <c r="G1841" s="7">
        <v>-0.01</v>
      </c>
      <c r="H1841" s="13">
        <f>IFERROR(IF(ABS($G1841)&gt;0,VLOOKUP($E1841,'Fuel Category and Heat Rate'!$B$1:$G$34,6,FALSE)*($G1841),""),"")</f>
        <v>-3963392080.144383</v>
      </c>
      <c r="I1841" t="str">
        <f>IFERROR(VLOOKUP($E1841,'Fuel Category and Heat Rate'!$K$2:$M$36,3,FALSE),"")</f>
        <v>heavy or residual fuel oil</v>
      </c>
    </row>
    <row r="1842" spans="1:9" x14ac:dyDescent="0.15">
      <c r="A1842" s="2">
        <v>205322</v>
      </c>
      <c r="B1842" s="2" t="s">
        <v>76</v>
      </c>
      <c r="C1842" s="2">
        <v>2020</v>
      </c>
      <c r="D1842" s="2" t="s">
        <v>1</v>
      </c>
      <c r="E1842" s="2" t="s">
        <v>31</v>
      </c>
      <c r="F1842" s="2" t="s">
        <v>37</v>
      </c>
      <c r="G1842" s="7">
        <v>11809.16</v>
      </c>
      <c r="H1842" s="13">
        <f>IFERROR(IF(ABS($G1842)&gt;0,VLOOKUP($E1842,'Fuel Category and Heat Rate'!$B$1:$G$34,6,FALSE)*($G1842),""),"")</f>
        <v>111929240523143.88</v>
      </c>
      <c r="I1842" t="str">
        <f>IFERROR(VLOOKUP($E1842,'Fuel Category and Heat Rate'!$K$2:$M$36,3,FALSE),"")</f>
        <v>heat</v>
      </c>
    </row>
    <row r="1843" spans="1:9" x14ac:dyDescent="0.15">
      <c r="A1843" s="2">
        <v>205357</v>
      </c>
      <c r="B1843" s="2" t="s">
        <v>76</v>
      </c>
      <c r="C1843" s="2">
        <v>2020</v>
      </c>
      <c r="D1843" s="2" t="s">
        <v>1</v>
      </c>
      <c r="E1843" s="2" t="s">
        <v>23</v>
      </c>
      <c r="F1843" s="2" t="s">
        <v>35</v>
      </c>
      <c r="G1843" s="7"/>
      <c r="H1843" s="13" t="str">
        <f>IFERROR(IF(ABS($G1843)&gt;0,VLOOKUP($E1843,'Fuel Category and Heat Rate'!$B$1:$G$34,6,FALSE)*($G1843),""),"")</f>
        <v/>
      </c>
      <c r="I1843" t="str">
        <f>IFERROR(VLOOKUP($E1843,'Fuel Category and Heat Rate'!$K$2:$M$36,3,FALSE),"")</f>
        <v>heavy or residual fuel oil</v>
      </c>
    </row>
    <row r="1844" spans="1:9" x14ac:dyDescent="0.15">
      <c r="A1844" s="2">
        <v>205392</v>
      </c>
      <c r="B1844" s="2" t="s">
        <v>76</v>
      </c>
      <c r="C1844" s="2">
        <v>2020</v>
      </c>
      <c r="D1844" s="2" t="s">
        <v>1</v>
      </c>
      <c r="E1844" s="2" t="s">
        <v>21</v>
      </c>
      <c r="F1844" s="2" t="s">
        <v>35</v>
      </c>
      <c r="G1844" s="7"/>
      <c r="H1844" s="13" t="str">
        <f>IFERROR(IF(ABS($G1844)&gt;0,VLOOKUP($E1844,'Fuel Category and Heat Rate'!$B$1:$G$34,6,FALSE)*($G1844),""),"")</f>
        <v/>
      </c>
      <c r="I1844" t="str">
        <f>IFERROR(VLOOKUP($E1844,'Fuel Category and Heat Rate'!$K$2:$M$36,3,FALSE),"")</f>
        <v>LPG propane or butane</v>
      </c>
    </row>
    <row r="1845" spans="1:9" x14ac:dyDescent="0.15">
      <c r="A1845" s="2">
        <v>205427</v>
      </c>
      <c r="B1845" s="2" t="s">
        <v>76</v>
      </c>
      <c r="C1845" s="2">
        <v>2020</v>
      </c>
      <c r="D1845" s="2" t="s">
        <v>1</v>
      </c>
      <c r="E1845" s="2" t="s">
        <v>22</v>
      </c>
      <c r="F1845" s="2" t="s">
        <v>35</v>
      </c>
      <c r="G1845" s="7"/>
      <c r="H1845" s="13" t="str">
        <f>IFERROR(IF(ABS($G1845)&gt;0,VLOOKUP($E1845,'Fuel Category and Heat Rate'!$B$1:$G$34,6,FALSE)*($G1845),""),"")</f>
        <v/>
      </c>
      <c r="I1845" t="str">
        <f>IFERROR(VLOOKUP($E1845,'Fuel Category and Heat Rate'!$K$2:$M$36,3,FALSE),"")</f>
        <v>heavy fuel oil</v>
      </c>
    </row>
    <row r="1846" spans="1:9" x14ac:dyDescent="0.15">
      <c r="A1846" s="2">
        <v>205462</v>
      </c>
      <c r="B1846" s="2" t="s">
        <v>76</v>
      </c>
      <c r="C1846" s="2">
        <v>2020</v>
      </c>
      <c r="D1846" s="2" t="s">
        <v>1</v>
      </c>
      <c r="E1846" s="2" t="s">
        <v>20</v>
      </c>
      <c r="F1846" s="2" t="s">
        <v>35</v>
      </c>
      <c r="G1846" s="7"/>
      <c r="H1846" s="13" t="str">
        <f>IFERROR(IF(ABS($G1846)&gt;0,VLOOKUP($E1846,'Fuel Category and Heat Rate'!$B$1:$G$34,6,FALSE)*($G1846),""),"")</f>
        <v/>
      </c>
      <c r="I1846" t="str">
        <f>IFERROR(VLOOKUP($E1846,'Fuel Category and Heat Rate'!$K$2:$M$36,3,FALSE),"")</f>
        <v>LPG propane or butane</v>
      </c>
    </row>
    <row r="1847" spans="1:9" x14ac:dyDescent="0.15">
      <c r="A1847" s="2">
        <v>205497</v>
      </c>
      <c r="B1847" s="2" t="s">
        <v>76</v>
      </c>
      <c r="C1847" s="2">
        <v>2020</v>
      </c>
      <c r="D1847" s="2" t="s">
        <v>1</v>
      </c>
      <c r="E1847" s="2" t="s">
        <v>25</v>
      </c>
      <c r="F1847" s="2" t="s">
        <v>35</v>
      </c>
      <c r="G1847" s="7"/>
      <c r="H1847" s="13" t="str">
        <f>IFERROR(IF(ABS($G1847)&gt;0,VLOOKUP($E1847,'Fuel Category and Heat Rate'!$B$1:$G$34,6,FALSE)*($G1847),""),"")</f>
        <v/>
      </c>
      <c r="I1847" t="str">
        <f>IFERROR(VLOOKUP($E1847,'Fuel Category and Heat Rate'!$K$2:$M$36,3,FALSE),"")</f>
        <v>heavy fuel oil</v>
      </c>
    </row>
    <row r="1848" spans="1:9" x14ac:dyDescent="0.15">
      <c r="A1848" s="2">
        <v>205532</v>
      </c>
      <c r="B1848" s="2" t="s">
        <v>76</v>
      </c>
      <c r="C1848" s="2">
        <v>2020</v>
      </c>
      <c r="D1848" s="2" t="s">
        <v>1</v>
      </c>
      <c r="E1848" s="2" t="s">
        <v>24</v>
      </c>
      <c r="F1848" s="2" t="s">
        <v>35</v>
      </c>
      <c r="G1848" s="7"/>
      <c r="H1848" s="13" t="str">
        <f>IFERROR(IF(ABS($G1848)&gt;0,VLOOKUP($E1848,'Fuel Category and Heat Rate'!$B$1:$G$34,6,FALSE)*($G1848),""),"")</f>
        <v/>
      </c>
      <c r="I1848" t="str">
        <f>IFERROR(VLOOKUP($E1848,'Fuel Category and Heat Rate'!$K$2:$M$36,3,FALSE),"")</f>
        <v>heavy fuel oil</v>
      </c>
    </row>
    <row r="1849" spans="1:9" x14ac:dyDescent="0.15">
      <c r="A1849" s="2">
        <v>205567</v>
      </c>
      <c r="B1849" s="2" t="s">
        <v>76</v>
      </c>
      <c r="C1849" s="2">
        <v>2020</v>
      </c>
      <c r="D1849" s="2" t="s">
        <v>1</v>
      </c>
      <c r="E1849" s="2" t="s">
        <v>29</v>
      </c>
      <c r="F1849" s="2" t="s">
        <v>36</v>
      </c>
      <c r="G1849" s="7">
        <v>-1.41</v>
      </c>
      <c r="H1849" s="13">
        <f>IFERROR(IF(ABS($G1849)&gt;0,VLOOKUP($E1849,'Fuel Category and Heat Rate'!$B$1:$G$34,6,FALSE)*($G1849),""),"")</f>
        <v>-4755591374617.751</v>
      </c>
      <c r="I1849" t="str">
        <f>IFERROR(VLOOKUP($E1849,'Fuel Category and Heat Rate'!$K$2:$M$36,3,FALSE),"")</f>
        <v>natural gas</v>
      </c>
    </row>
    <row r="1850" spans="1:9" x14ac:dyDescent="0.15">
      <c r="A1850" s="2">
        <v>205602</v>
      </c>
      <c r="B1850" s="2" t="s">
        <v>76</v>
      </c>
      <c r="C1850" s="2">
        <v>2020</v>
      </c>
      <c r="D1850" s="2" t="s">
        <v>1</v>
      </c>
      <c r="E1850" s="2" t="s">
        <v>4</v>
      </c>
      <c r="F1850" s="2" t="s">
        <v>35</v>
      </c>
      <c r="G1850" s="7"/>
      <c r="H1850" s="13" t="str">
        <f>IFERROR(IF(ABS($G1850)&gt;0,VLOOKUP($E1850,'Fuel Category and Heat Rate'!$B$1:$G$34,6,FALSE)*($G1850),""),"")</f>
        <v/>
      </c>
      <c r="I1850" t="str">
        <f>IFERROR(VLOOKUP($E1850,'Fuel Category and Heat Rate'!$K$2:$M$36,3,FALSE),"")</f>
        <v>coal</v>
      </c>
    </row>
    <row r="1851" spans="1:9" x14ac:dyDescent="0.15">
      <c r="A1851" s="2">
        <v>205637</v>
      </c>
      <c r="B1851" s="2" t="s">
        <v>76</v>
      </c>
      <c r="C1851" s="2">
        <v>2020</v>
      </c>
      <c r="D1851" s="2" t="s">
        <v>1</v>
      </c>
      <c r="E1851" s="2" t="s">
        <v>6</v>
      </c>
      <c r="F1851" s="2" t="s">
        <v>35</v>
      </c>
      <c r="G1851" s="7"/>
      <c r="H1851" s="13" t="str">
        <f>IFERROR(IF(ABS($G1851)&gt;0,VLOOKUP($E1851,'Fuel Category and Heat Rate'!$B$1:$G$34,6,FALSE)*($G1851),""),"")</f>
        <v/>
      </c>
      <c r="I1851" t="str">
        <f>IFERROR(VLOOKUP($E1851,'Fuel Category and Heat Rate'!$K$2:$M$36,3,FALSE),"")</f>
        <v>coal</v>
      </c>
    </row>
    <row r="1852" spans="1:9" x14ac:dyDescent="0.15">
      <c r="A1852" s="2">
        <v>205672</v>
      </c>
      <c r="B1852" s="2" t="s">
        <v>76</v>
      </c>
      <c r="C1852" s="2">
        <v>2020</v>
      </c>
      <c r="D1852" s="2" t="s">
        <v>1</v>
      </c>
      <c r="E1852" s="2" t="s">
        <v>26</v>
      </c>
      <c r="F1852" s="2" t="s">
        <v>35</v>
      </c>
      <c r="G1852" s="7"/>
      <c r="H1852" s="13" t="str">
        <f>IFERROR(IF(ABS($G1852)&gt;0,VLOOKUP($E1852,'Fuel Category and Heat Rate'!$B$1:$G$34,6,FALSE)*($G1852),""),"")</f>
        <v/>
      </c>
      <c r="I1852" t="str">
        <f>IFERROR(VLOOKUP($E1852,'Fuel Category and Heat Rate'!$K$2:$M$36,3,FALSE),"")</f>
        <v>LPG propane or butane</v>
      </c>
    </row>
    <row r="1853" spans="1:9" x14ac:dyDescent="0.15">
      <c r="A1853" s="2">
        <v>205707</v>
      </c>
      <c r="B1853" s="2" t="s">
        <v>76</v>
      </c>
      <c r="C1853" s="2">
        <v>2020</v>
      </c>
      <c r="D1853" s="2" t="s">
        <v>1</v>
      </c>
      <c r="E1853" s="2" t="s">
        <v>30</v>
      </c>
      <c r="F1853" s="2" t="s">
        <v>35</v>
      </c>
      <c r="G1853" s="7"/>
      <c r="H1853" s="13" t="str">
        <f>IFERROR(IF(ABS($G1853)&gt;0,VLOOKUP($E1853,'Fuel Category and Heat Rate'!$B$1:$G$34,6,FALSE)*($G1853),""),"")</f>
        <v/>
      </c>
      <c r="I1853" t="str">
        <f>IFERROR(VLOOKUP($E1853,'Fuel Category and Heat Rate'!$K$2:$M$36,3,FALSE),"")</f>
        <v>natural gas</v>
      </c>
    </row>
    <row r="1854" spans="1:9" x14ac:dyDescent="0.15">
      <c r="A1854" s="2">
        <v>205742</v>
      </c>
      <c r="B1854" s="2" t="s">
        <v>76</v>
      </c>
      <c r="C1854" s="2">
        <v>2020</v>
      </c>
      <c r="D1854" s="2" t="s">
        <v>1</v>
      </c>
      <c r="E1854" s="2" t="s">
        <v>14</v>
      </c>
      <c r="F1854" s="2" t="s">
        <v>35</v>
      </c>
      <c r="G1854" s="7">
        <v>-7.42</v>
      </c>
      <c r="H1854" s="13">
        <f>IFERROR(IF(ABS($G1854)&gt;0,VLOOKUP($E1854,'Fuel Category and Heat Rate'!$B$1:$G$34,6,FALSE)*($G1854),""),"")</f>
        <v>0</v>
      </c>
      <c r="I1854" t="str">
        <f>IFERROR(VLOOKUP($E1854,'Fuel Category and Heat Rate'!$K$2:$M$36,3,FALSE),"")</f>
        <v/>
      </c>
    </row>
    <row r="1855" spans="1:9" x14ac:dyDescent="0.15">
      <c r="A1855" s="2">
        <v>205777</v>
      </c>
      <c r="B1855" s="2" t="s">
        <v>76</v>
      </c>
      <c r="C1855" s="2">
        <v>2020</v>
      </c>
      <c r="D1855" s="2" t="s">
        <v>1</v>
      </c>
      <c r="E1855" s="2" t="s">
        <v>3</v>
      </c>
      <c r="F1855" s="2" t="s">
        <v>35</v>
      </c>
      <c r="G1855" s="7">
        <v>-574</v>
      </c>
      <c r="H1855" s="13">
        <f>IFERROR(IF(ABS($G1855)&gt;0,VLOOKUP($E1855,'Fuel Category and Heat Rate'!$B$1:$G$34,6,FALSE)*($G1855),""),"")</f>
        <v>-113749352700143.8</v>
      </c>
      <c r="I1855" t="str">
        <f>IFERROR(VLOOKUP($E1855,'Fuel Category and Heat Rate'!$K$2:$M$36,3,FALSE),"")</f>
        <v>coal</v>
      </c>
    </row>
    <row r="1856" spans="1:9" x14ac:dyDescent="0.15">
      <c r="A1856" s="2">
        <v>205812</v>
      </c>
      <c r="B1856" s="2" t="s">
        <v>76</v>
      </c>
      <c r="C1856" s="2">
        <v>2020</v>
      </c>
      <c r="D1856" s="2" t="s">
        <v>1</v>
      </c>
      <c r="E1856" s="2" t="s">
        <v>15</v>
      </c>
      <c r="F1856" s="2" t="s">
        <v>35</v>
      </c>
      <c r="G1856" s="7"/>
      <c r="H1856" s="13" t="str">
        <f>IFERROR(IF(ABS($G1856)&gt;0,VLOOKUP($E1856,'Fuel Category and Heat Rate'!$B$1:$G$34,6,FALSE)*($G1856),""),"")</f>
        <v/>
      </c>
      <c r="I1856" t="str">
        <f>IFERROR(VLOOKUP($E1856,'Fuel Category and Heat Rate'!$K$2:$M$36,3,FALSE),"")</f>
        <v>crude oil</v>
      </c>
    </row>
    <row r="1857" spans="1:9" x14ac:dyDescent="0.15">
      <c r="A1857" s="2">
        <v>205847</v>
      </c>
      <c r="B1857" s="2" t="s">
        <v>76</v>
      </c>
      <c r="C1857" s="2">
        <v>2020</v>
      </c>
      <c r="D1857" s="2" t="s">
        <v>1</v>
      </c>
      <c r="E1857" s="2" t="s">
        <v>11</v>
      </c>
      <c r="F1857" s="2" t="s">
        <v>36</v>
      </c>
      <c r="G1857" s="7">
        <v>-7.55</v>
      </c>
      <c r="H1857" s="13">
        <f>IFERROR(IF(ABS($G1857)&gt;0,VLOOKUP($E1857,'Fuel Category and Heat Rate'!$B$1:$G$34,6,FALSE)*($G1857),""),"")</f>
        <v>-5685457314890.0127</v>
      </c>
      <c r="I1857" t="str">
        <f>IFERROR(VLOOKUP($E1857,'Fuel Category and Heat Rate'!$K$2:$M$36,3,FALSE),"")</f>
        <v>LPG propane or butane</v>
      </c>
    </row>
    <row r="1858" spans="1:9" x14ac:dyDescent="0.15">
      <c r="A1858" s="2">
        <v>205882</v>
      </c>
      <c r="B1858" s="2" t="s">
        <v>76</v>
      </c>
      <c r="C1858" s="2">
        <v>2019</v>
      </c>
      <c r="D1858" s="2" t="s">
        <v>1</v>
      </c>
      <c r="E1858" s="2" t="s">
        <v>18</v>
      </c>
      <c r="F1858" s="2" t="s">
        <v>35</v>
      </c>
      <c r="G1858" s="7">
        <v>-0.01</v>
      </c>
      <c r="H1858" s="13">
        <f>IFERROR(IF(ABS($G1858)&gt;0,VLOOKUP($E1858,'Fuel Category and Heat Rate'!$B$1:$G$34,6,FALSE)*($G1858),""),"")</f>
        <v>-4042629591.5993452</v>
      </c>
      <c r="I1858" t="str">
        <f>IFERROR(VLOOKUP($E1858,'Fuel Category and Heat Rate'!$K$2:$M$36,3,FALSE),"")</f>
        <v>petroleum diesel</v>
      </c>
    </row>
    <row r="1859" spans="1:9" x14ac:dyDescent="0.15">
      <c r="A1859" s="2">
        <v>205917</v>
      </c>
      <c r="B1859" s="2" t="s">
        <v>76</v>
      </c>
      <c r="C1859" s="2">
        <v>2019</v>
      </c>
      <c r="D1859" s="2" t="s">
        <v>1</v>
      </c>
      <c r="E1859" s="2" t="s">
        <v>32</v>
      </c>
      <c r="F1859" s="2" t="s">
        <v>65</v>
      </c>
      <c r="G1859" s="7"/>
      <c r="H1859" s="13" t="str">
        <f>IFERROR(IF(ABS($G1859)&gt;0,VLOOKUP($E1859,'Fuel Category and Heat Rate'!$B$1:$G$34,6,FALSE)*($G1859),""),"")</f>
        <v/>
      </c>
      <c r="I1859" t="str">
        <f>IFERROR(VLOOKUP($E1859,'Fuel Category and Heat Rate'!$K$2:$M$36,3,FALSE),"")</f>
        <v>electricity</v>
      </c>
    </row>
    <row r="1860" spans="1:9" x14ac:dyDescent="0.15">
      <c r="A1860" s="2">
        <v>205952</v>
      </c>
      <c r="B1860" s="2" t="s">
        <v>76</v>
      </c>
      <c r="C1860" s="2">
        <v>2019</v>
      </c>
      <c r="D1860" s="2" t="s">
        <v>1</v>
      </c>
      <c r="E1860" s="2" t="s">
        <v>10</v>
      </c>
      <c r="F1860" s="2" t="s">
        <v>36</v>
      </c>
      <c r="G1860" s="7"/>
      <c r="H1860" s="13" t="str">
        <f>IFERROR(IF(ABS($G1860)&gt;0,VLOOKUP($E1860,'Fuel Category and Heat Rate'!$B$1:$G$34,6,FALSE)*($G1860),""),"")</f>
        <v/>
      </c>
      <c r="I1860" t="str">
        <f>IFERROR(VLOOKUP($E1860,'Fuel Category and Heat Rate'!$K$2:$M$36,3,FALSE),"")</f>
        <v>LPG propane or butane</v>
      </c>
    </row>
    <row r="1861" spans="1:9" x14ac:dyDescent="0.15">
      <c r="A1861" s="2">
        <v>205987</v>
      </c>
      <c r="B1861" s="2" t="s">
        <v>76</v>
      </c>
      <c r="C1861" s="2">
        <v>2019</v>
      </c>
      <c r="D1861" s="2" t="s">
        <v>1</v>
      </c>
      <c r="E1861" s="2" t="s">
        <v>9</v>
      </c>
      <c r="F1861" s="2" t="s">
        <v>36</v>
      </c>
      <c r="G1861" s="7">
        <v>-9.93</v>
      </c>
      <c r="H1861" s="13">
        <f>IFERROR(IF(ABS($G1861)&gt;0,VLOOKUP($E1861,'Fuel Category and Heat Rate'!$B$1:$G$34,6,FALSE)*($G1861),""),"")</f>
        <v>-16332808827134.602</v>
      </c>
      <c r="I1861" t="str">
        <f>IFERROR(VLOOKUP($E1861,'Fuel Category and Heat Rate'!$K$2:$M$36,3,FALSE),"")</f>
        <v>LPG propane or butane</v>
      </c>
    </row>
    <row r="1862" spans="1:9" x14ac:dyDescent="0.15">
      <c r="A1862" s="2">
        <v>206022</v>
      </c>
      <c r="B1862" s="2" t="s">
        <v>76</v>
      </c>
      <c r="C1862" s="2">
        <v>2019</v>
      </c>
      <c r="D1862" s="2" t="s">
        <v>1</v>
      </c>
      <c r="E1862" s="2" t="s">
        <v>8</v>
      </c>
      <c r="F1862" s="2" t="s">
        <v>35</v>
      </c>
      <c r="G1862" s="7"/>
      <c r="H1862" s="13" t="str">
        <f>IFERROR(IF(ABS($G1862)&gt;0,VLOOKUP($E1862,'Fuel Category and Heat Rate'!$B$1:$G$34,6,FALSE)*($G1862),""),"")</f>
        <v/>
      </c>
      <c r="I1862" t="str">
        <f>IFERROR(VLOOKUP($E1862,'Fuel Category and Heat Rate'!$K$2:$M$36,3,FALSE),"")</f>
        <v>coal</v>
      </c>
    </row>
    <row r="1863" spans="1:9" x14ac:dyDescent="0.15">
      <c r="A1863" s="2">
        <v>206057</v>
      </c>
      <c r="B1863" s="2" t="s">
        <v>76</v>
      </c>
      <c r="C1863" s="2">
        <v>2019</v>
      </c>
      <c r="D1863" s="2" t="s">
        <v>1</v>
      </c>
      <c r="E1863" s="2" t="s">
        <v>27</v>
      </c>
      <c r="F1863" s="2" t="s">
        <v>35</v>
      </c>
      <c r="G1863" s="7">
        <v>-1.99</v>
      </c>
      <c r="H1863" s="13">
        <f>IFERROR(IF(ABS($G1863)&gt;0,VLOOKUP($E1863,'Fuel Category and Heat Rate'!$B$1:$G$34,6,FALSE)*($G1863),""),"")</f>
        <v>-867594070967.90186</v>
      </c>
      <c r="I1863" t="str">
        <f>IFERROR(VLOOKUP($E1863,'Fuel Category and Heat Rate'!$K$2:$M$36,3,FALSE),"")</f>
        <v>LPG propane or butane</v>
      </c>
    </row>
    <row r="1864" spans="1:9" x14ac:dyDescent="0.15">
      <c r="A1864" s="2">
        <v>206092</v>
      </c>
      <c r="B1864" s="2" t="s">
        <v>76</v>
      </c>
      <c r="C1864" s="2">
        <v>2019</v>
      </c>
      <c r="D1864" s="2" t="s">
        <v>1</v>
      </c>
      <c r="E1864" s="2" t="s">
        <v>7</v>
      </c>
      <c r="F1864" s="2" t="s">
        <v>35</v>
      </c>
      <c r="G1864" s="7"/>
      <c r="H1864" s="13" t="str">
        <f>IFERROR(IF(ABS($G1864)&gt;0,VLOOKUP($E1864,'Fuel Category and Heat Rate'!$B$1:$G$34,6,FALSE)*($G1864),""),"")</f>
        <v/>
      </c>
      <c r="I1864" t="str">
        <f>IFERROR(VLOOKUP($E1864,'Fuel Category and Heat Rate'!$K$2:$M$36,3,FALSE),"")</f>
        <v>coal</v>
      </c>
    </row>
    <row r="1865" spans="1:9" x14ac:dyDescent="0.15">
      <c r="A1865" s="2">
        <v>206127</v>
      </c>
      <c r="B1865" s="2" t="s">
        <v>76</v>
      </c>
      <c r="C1865" s="2">
        <v>2019</v>
      </c>
      <c r="D1865" s="2" t="s">
        <v>1</v>
      </c>
      <c r="E1865" s="2" t="s">
        <v>2</v>
      </c>
      <c r="F1865" s="2" t="s">
        <v>35</v>
      </c>
      <c r="G1865" s="7">
        <v>-590.5</v>
      </c>
      <c r="H1865" s="13">
        <f>IFERROR(IF(ABS($G1865)&gt;0,VLOOKUP($E1865,'Fuel Category and Heat Rate'!$B$1:$G$34,6,FALSE)*($G1865),""),"")</f>
        <v>0</v>
      </c>
      <c r="I1865" t="str">
        <f>IFERROR(VLOOKUP($E1865,'Fuel Category and Heat Rate'!$K$2:$M$36,3,FALSE),"")</f>
        <v/>
      </c>
    </row>
    <row r="1866" spans="1:9" x14ac:dyDescent="0.15">
      <c r="A1866" s="2">
        <v>206162</v>
      </c>
      <c r="B1866" s="2" t="s">
        <v>76</v>
      </c>
      <c r="C1866" s="2">
        <v>2019</v>
      </c>
      <c r="D1866" s="2" t="s">
        <v>1</v>
      </c>
      <c r="E1866" s="2" t="s">
        <v>17</v>
      </c>
      <c r="F1866" s="2" t="s">
        <v>35</v>
      </c>
      <c r="G1866" s="7"/>
      <c r="H1866" s="13" t="str">
        <f>IFERROR(IF(ABS($G1866)&gt;0,VLOOKUP($E1866,'Fuel Category and Heat Rate'!$B$1:$G$34,6,FALSE)*($G1866),""),"")</f>
        <v/>
      </c>
      <c r="I1866" t="str">
        <f>IFERROR(VLOOKUP($E1866,'Fuel Category and Heat Rate'!$K$2:$M$36,3,FALSE),"")</f>
        <v>petroleum diesel</v>
      </c>
    </row>
    <row r="1867" spans="1:9" x14ac:dyDescent="0.15">
      <c r="A1867" s="2">
        <v>206197</v>
      </c>
      <c r="B1867" s="2" t="s">
        <v>76</v>
      </c>
      <c r="C1867" s="2">
        <v>2019</v>
      </c>
      <c r="D1867" s="2" t="s">
        <v>1</v>
      </c>
      <c r="E1867" s="2" t="s">
        <v>13</v>
      </c>
      <c r="F1867" s="2" t="s">
        <v>35</v>
      </c>
      <c r="G1867" s="7"/>
      <c r="H1867" s="13" t="str">
        <f>IFERROR(IF(ABS($G1867)&gt;0,VLOOKUP($E1867,'Fuel Category and Heat Rate'!$B$1:$G$34,6,FALSE)*($G1867),""),"")</f>
        <v/>
      </c>
      <c r="I1867" t="str">
        <f>IFERROR(VLOOKUP($E1867,'Fuel Category and Heat Rate'!$K$2:$M$36,3,FALSE),"")</f>
        <v>petroleum diesel</v>
      </c>
    </row>
    <row r="1868" spans="1:9" x14ac:dyDescent="0.15">
      <c r="A1868" s="2">
        <v>206232</v>
      </c>
      <c r="B1868" s="2" t="s">
        <v>76</v>
      </c>
      <c r="C1868" s="2">
        <v>2019</v>
      </c>
      <c r="D1868" s="2" t="s">
        <v>1</v>
      </c>
      <c r="E1868" s="2" t="s">
        <v>12</v>
      </c>
      <c r="F1868" s="2" t="s">
        <v>36</v>
      </c>
      <c r="G1868" s="7"/>
      <c r="H1868" s="13" t="str">
        <f>IFERROR(IF(ABS($G1868)&gt;0,VLOOKUP($E1868,'Fuel Category and Heat Rate'!$B$1:$G$34,6,FALSE)*($G1868),""),"")</f>
        <v/>
      </c>
      <c r="I1868" t="str">
        <f>IFERROR(VLOOKUP($E1868,'Fuel Category and Heat Rate'!$K$2:$M$36,3,FALSE),"")</f>
        <v>LPG propane or butane</v>
      </c>
    </row>
    <row r="1869" spans="1:9" x14ac:dyDescent="0.15">
      <c r="A1869" s="2">
        <v>206267</v>
      </c>
      <c r="B1869" s="2" t="s">
        <v>76</v>
      </c>
      <c r="C1869" s="2">
        <v>2019</v>
      </c>
      <c r="D1869" s="2" t="s">
        <v>1</v>
      </c>
      <c r="E1869" s="2" t="s">
        <v>33</v>
      </c>
      <c r="F1869" s="2" t="s">
        <v>38</v>
      </c>
      <c r="G1869" s="7">
        <v>-12.89</v>
      </c>
      <c r="H1869" s="13">
        <f>IFERROR(IF(ABS($G1869)&gt;0,VLOOKUP($E1869,'Fuel Category and Heat Rate'!$B$1:$G$34,6,FALSE)*($G1869),""),"")</f>
        <v>-3576144239188.8545</v>
      </c>
      <c r="I1869" t="str">
        <f>IFERROR(VLOOKUP($E1869,'Fuel Category and Heat Rate'!$K$2:$M$36,3,FALSE),"")</f>
        <v>biomass</v>
      </c>
    </row>
    <row r="1870" spans="1:9" x14ac:dyDescent="0.15">
      <c r="A1870" s="2">
        <v>206302</v>
      </c>
      <c r="B1870" s="2" t="s">
        <v>76</v>
      </c>
      <c r="C1870" s="2">
        <v>2019</v>
      </c>
      <c r="D1870" s="2" t="s">
        <v>1</v>
      </c>
      <c r="E1870" s="2" t="s">
        <v>28</v>
      </c>
      <c r="F1870" s="2" t="s">
        <v>35</v>
      </c>
      <c r="G1870" s="7">
        <v>-2.78</v>
      </c>
      <c r="H1870" s="13">
        <f>IFERROR(IF(ABS($G1870)&gt;0,VLOOKUP($E1870,'Fuel Category and Heat Rate'!$B$1:$G$34,6,FALSE)*($G1870),""),"")</f>
        <v>-1079794970095.6589</v>
      </c>
      <c r="I1870" t="str">
        <f>IFERROR(VLOOKUP($E1870,'Fuel Category and Heat Rate'!$K$2:$M$36,3,FALSE),"")</f>
        <v>heavy or residual fuel oil</v>
      </c>
    </row>
    <row r="1871" spans="1:9" x14ac:dyDescent="0.15">
      <c r="A1871" s="2">
        <v>206337</v>
      </c>
      <c r="B1871" s="2" t="s">
        <v>76</v>
      </c>
      <c r="C1871" s="2">
        <v>2019</v>
      </c>
      <c r="D1871" s="2" t="s">
        <v>1</v>
      </c>
      <c r="E1871" s="2" t="s">
        <v>5</v>
      </c>
      <c r="F1871" s="2" t="s">
        <v>35</v>
      </c>
      <c r="G1871" s="7"/>
      <c r="H1871" s="13" t="str">
        <f>IFERROR(IF(ABS($G1871)&gt;0,VLOOKUP($E1871,'Fuel Category and Heat Rate'!$B$1:$G$34,6,FALSE)*($G1871),""),"")</f>
        <v/>
      </c>
      <c r="I1871" t="str">
        <f>IFERROR(VLOOKUP($E1871,'Fuel Category and Heat Rate'!$K$2:$M$36,3,FALSE),"")</f>
        <v>coal</v>
      </c>
    </row>
    <row r="1872" spans="1:9" x14ac:dyDescent="0.15">
      <c r="A1872" s="2">
        <v>206372</v>
      </c>
      <c r="B1872" s="2" t="s">
        <v>76</v>
      </c>
      <c r="C1872" s="2">
        <v>2019</v>
      </c>
      <c r="D1872" s="2" t="s">
        <v>1</v>
      </c>
      <c r="E1872" s="2" t="s">
        <v>16</v>
      </c>
      <c r="F1872" s="2" t="s">
        <v>35</v>
      </c>
      <c r="G1872" s="7"/>
      <c r="H1872" s="13" t="str">
        <f>IFERROR(IF(ABS($G1872)&gt;0,VLOOKUP($E1872,'Fuel Category and Heat Rate'!$B$1:$G$34,6,FALSE)*($G1872),""),"")</f>
        <v/>
      </c>
      <c r="I1872" t="str">
        <f>IFERROR(VLOOKUP($E1872,'Fuel Category and Heat Rate'!$K$2:$M$36,3,FALSE),"")</f>
        <v>petroleum diesel</v>
      </c>
    </row>
    <row r="1873" spans="1:9" x14ac:dyDescent="0.15">
      <c r="A1873" s="2">
        <v>206407</v>
      </c>
      <c r="B1873" s="2" t="s">
        <v>76</v>
      </c>
      <c r="C1873" s="2">
        <v>2019</v>
      </c>
      <c r="D1873" s="2" t="s">
        <v>1</v>
      </c>
      <c r="E1873" s="2" t="s">
        <v>19</v>
      </c>
      <c r="F1873" s="2" t="s">
        <v>35</v>
      </c>
      <c r="G1873" s="7">
        <v>-0.03</v>
      </c>
      <c r="H1873" s="13">
        <f>IFERROR(IF(ABS($G1873)&gt;0,VLOOKUP($E1873,'Fuel Category and Heat Rate'!$B$1:$G$34,6,FALSE)*($G1873),""),"")</f>
        <v>-11890176240.433147</v>
      </c>
      <c r="I1873" t="str">
        <f>IFERROR(VLOOKUP($E1873,'Fuel Category and Heat Rate'!$K$2:$M$36,3,FALSE),"")</f>
        <v>heavy or residual fuel oil</v>
      </c>
    </row>
    <row r="1874" spans="1:9" x14ac:dyDescent="0.15">
      <c r="A1874" s="2">
        <v>206442</v>
      </c>
      <c r="B1874" s="2" t="s">
        <v>76</v>
      </c>
      <c r="C1874" s="2">
        <v>2019</v>
      </c>
      <c r="D1874" s="2" t="s">
        <v>1</v>
      </c>
      <c r="E1874" s="2" t="s">
        <v>31</v>
      </c>
      <c r="F1874" s="2" t="s">
        <v>37</v>
      </c>
      <c r="G1874" s="7">
        <v>12406.48</v>
      </c>
      <c r="H1874" s="13">
        <f>IFERROR(IF(ABS($G1874)&gt;0,VLOOKUP($E1874,'Fuel Category and Heat Rate'!$B$1:$G$34,6,FALSE)*($G1874),""),"")</f>
        <v>117590741760258.47</v>
      </c>
      <c r="I1874" t="str">
        <f>IFERROR(VLOOKUP($E1874,'Fuel Category and Heat Rate'!$K$2:$M$36,3,FALSE),"")</f>
        <v>heat</v>
      </c>
    </row>
    <row r="1875" spans="1:9" x14ac:dyDescent="0.15">
      <c r="A1875" s="2">
        <v>206477</v>
      </c>
      <c r="B1875" s="2" t="s">
        <v>76</v>
      </c>
      <c r="C1875" s="2">
        <v>2019</v>
      </c>
      <c r="D1875" s="2" t="s">
        <v>1</v>
      </c>
      <c r="E1875" s="2" t="s">
        <v>23</v>
      </c>
      <c r="F1875" s="2" t="s">
        <v>35</v>
      </c>
      <c r="G1875" s="7"/>
      <c r="H1875" s="13" t="str">
        <f>IFERROR(IF(ABS($G1875)&gt;0,VLOOKUP($E1875,'Fuel Category and Heat Rate'!$B$1:$G$34,6,FALSE)*($G1875),""),"")</f>
        <v/>
      </c>
      <c r="I1875" t="str">
        <f>IFERROR(VLOOKUP($E1875,'Fuel Category and Heat Rate'!$K$2:$M$36,3,FALSE),"")</f>
        <v>heavy or residual fuel oil</v>
      </c>
    </row>
    <row r="1876" spans="1:9" x14ac:dyDescent="0.15">
      <c r="A1876" s="2">
        <v>206512</v>
      </c>
      <c r="B1876" s="2" t="s">
        <v>76</v>
      </c>
      <c r="C1876" s="2">
        <v>2019</v>
      </c>
      <c r="D1876" s="2" t="s">
        <v>1</v>
      </c>
      <c r="E1876" s="2" t="s">
        <v>21</v>
      </c>
      <c r="F1876" s="2" t="s">
        <v>35</v>
      </c>
      <c r="G1876" s="7"/>
      <c r="H1876" s="13" t="str">
        <f>IFERROR(IF(ABS($G1876)&gt;0,VLOOKUP($E1876,'Fuel Category and Heat Rate'!$B$1:$G$34,6,FALSE)*($G1876),""),"")</f>
        <v/>
      </c>
      <c r="I1876" t="str">
        <f>IFERROR(VLOOKUP($E1876,'Fuel Category and Heat Rate'!$K$2:$M$36,3,FALSE),"")</f>
        <v>LPG propane or butane</v>
      </c>
    </row>
    <row r="1877" spans="1:9" x14ac:dyDescent="0.15">
      <c r="A1877" s="2">
        <v>206547</v>
      </c>
      <c r="B1877" s="2" t="s">
        <v>76</v>
      </c>
      <c r="C1877" s="2">
        <v>2019</v>
      </c>
      <c r="D1877" s="2" t="s">
        <v>1</v>
      </c>
      <c r="E1877" s="2" t="s">
        <v>22</v>
      </c>
      <c r="F1877" s="2" t="s">
        <v>35</v>
      </c>
      <c r="G1877" s="7"/>
      <c r="H1877" s="13" t="str">
        <f>IFERROR(IF(ABS($G1877)&gt;0,VLOOKUP($E1877,'Fuel Category and Heat Rate'!$B$1:$G$34,6,FALSE)*($G1877),""),"")</f>
        <v/>
      </c>
      <c r="I1877" t="str">
        <f>IFERROR(VLOOKUP($E1877,'Fuel Category and Heat Rate'!$K$2:$M$36,3,FALSE),"")</f>
        <v>heavy fuel oil</v>
      </c>
    </row>
    <row r="1878" spans="1:9" x14ac:dyDescent="0.15">
      <c r="A1878" s="2">
        <v>206582</v>
      </c>
      <c r="B1878" s="2" t="s">
        <v>76</v>
      </c>
      <c r="C1878" s="2">
        <v>2019</v>
      </c>
      <c r="D1878" s="2" t="s">
        <v>1</v>
      </c>
      <c r="E1878" s="2" t="s">
        <v>20</v>
      </c>
      <c r="F1878" s="2" t="s">
        <v>35</v>
      </c>
      <c r="G1878" s="7"/>
      <c r="H1878" s="13" t="str">
        <f>IFERROR(IF(ABS($G1878)&gt;0,VLOOKUP($E1878,'Fuel Category and Heat Rate'!$B$1:$G$34,6,FALSE)*($G1878),""),"")</f>
        <v/>
      </c>
      <c r="I1878" t="str">
        <f>IFERROR(VLOOKUP($E1878,'Fuel Category and Heat Rate'!$K$2:$M$36,3,FALSE),"")</f>
        <v>LPG propane or butane</v>
      </c>
    </row>
    <row r="1879" spans="1:9" x14ac:dyDescent="0.15">
      <c r="A1879" s="2">
        <v>206617</v>
      </c>
      <c r="B1879" s="2" t="s">
        <v>76</v>
      </c>
      <c r="C1879" s="2">
        <v>2019</v>
      </c>
      <c r="D1879" s="2" t="s">
        <v>1</v>
      </c>
      <c r="E1879" s="2" t="s">
        <v>25</v>
      </c>
      <c r="F1879" s="2" t="s">
        <v>35</v>
      </c>
      <c r="G1879" s="7"/>
      <c r="H1879" s="13" t="str">
        <f>IFERROR(IF(ABS($G1879)&gt;0,VLOOKUP($E1879,'Fuel Category and Heat Rate'!$B$1:$G$34,6,FALSE)*($G1879),""),"")</f>
        <v/>
      </c>
      <c r="I1879" t="str">
        <f>IFERROR(VLOOKUP($E1879,'Fuel Category and Heat Rate'!$K$2:$M$36,3,FALSE),"")</f>
        <v>heavy fuel oil</v>
      </c>
    </row>
    <row r="1880" spans="1:9" x14ac:dyDescent="0.15">
      <c r="A1880" s="2">
        <v>206652</v>
      </c>
      <c r="B1880" s="2" t="s">
        <v>76</v>
      </c>
      <c r="C1880" s="2">
        <v>2019</v>
      </c>
      <c r="D1880" s="2" t="s">
        <v>1</v>
      </c>
      <c r="E1880" s="2" t="s">
        <v>24</v>
      </c>
      <c r="F1880" s="2" t="s">
        <v>35</v>
      </c>
      <c r="G1880" s="7"/>
      <c r="H1880" s="13" t="str">
        <f>IFERROR(IF(ABS($G1880)&gt;0,VLOOKUP($E1880,'Fuel Category and Heat Rate'!$B$1:$G$34,6,FALSE)*($G1880),""),"")</f>
        <v/>
      </c>
      <c r="I1880" t="str">
        <f>IFERROR(VLOOKUP($E1880,'Fuel Category and Heat Rate'!$K$2:$M$36,3,FALSE),"")</f>
        <v>heavy fuel oil</v>
      </c>
    </row>
    <row r="1881" spans="1:9" x14ac:dyDescent="0.15">
      <c r="A1881" s="2">
        <v>206687</v>
      </c>
      <c r="B1881" s="2" t="s">
        <v>76</v>
      </c>
      <c r="C1881" s="2">
        <v>2019</v>
      </c>
      <c r="D1881" s="2" t="s">
        <v>1</v>
      </c>
      <c r="E1881" s="2" t="s">
        <v>29</v>
      </c>
      <c r="F1881" s="2" t="s">
        <v>36</v>
      </c>
      <c r="G1881" s="7">
        <v>-1.1599999999999999</v>
      </c>
      <c r="H1881" s="13">
        <f>IFERROR(IF(ABS($G1881)&gt;0,VLOOKUP($E1881,'Fuel Category and Heat Rate'!$B$1:$G$34,6,FALSE)*($G1881),""),"")</f>
        <v>-3912401414579.1426</v>
      </c>
      <c r="I1881" t="str">
        <f>IFERROR(VLOOKUP($E1881,'Fuel Category and Heat Rate'!$K$2:$M$36,3,FALSE),"")</f>
        <v>natural gas</v>
      </c>
    </row>
    <row r="1882" spans="1:9" x14ac:dyDescent="0.15">
      <c r="A1882" s="2">
        <v>206722</v>
      </c>
      <c r="B1882" s="2" t="s">
        <v>76</v>
      </c>
      <c r="C1882" s="2">
        <v>2019</v>
      </c>
      <c r="D1882" s="2" t="s">
        <v>1</v>
      </c>
      <c r="E1882" s="2" t="s">
        <v>4</v>
      </c>
      <c r="F1882" s="2" t="s">
        <v>35</v>
      </c>
      <c r="G1882" s="7"/>
      <c r="H1882" s="13" t="str">
        <f>IFERROR(IF(ABS($G1882)&gt;0,VLOOKUP($E1882,'Fuel Category and Heat Rate'!$B$1:$G$34,6,FALSE)*($G1882),""),"")</f>
        <v/>
      </c>
      <c r="I1882" t="str">
        <f>IFERROR(VLOOKUP($E1882,'Fuel Category and Heat Rate'!$K$2:$M$36,3,FALSE),"")</f>
        <v>coal</v>
      </c>
    </row>
    <row r="1883" spans="1:9" x14ac:dyDescent="0.15">
      <c r="A1883" s="2">
        <v>206757</v>
      </c>
      <c r="B1883" s="2" t="s">
        <v>76</v>
      </c>
      <c r="C1883" s="2">
        <v>2019</v>
      </c>
      <c r="D1883" s="2" t="s">
        <v>1</v>
      </c>
      <c r="E1883" s="2" t="s">
        <v>6</v>
      </c>
      <c r="F1883" s="2" t="s">
        <v>35</v>
      </c>
      <c r="G1883" s="7"/>
      <c r="H1883" s="13" t="str">
        <f>IFERROR(IF(ABS($G1883)&gt;0,VLOOKUP($E1883,'Fuel Category and Heat Rate'!$B$1:$G$34,6,FALSE)*($G1883),""),"")</f>
        <v/>
      </c>
      <c r="I1883" t="str">
        <f>IFERROR(VLOOKUP($E1883,'Fuel Category and Heat Rate'!$K$2:$M$36,3,FALSE),"")</f>
        <v>coal</v>
      </c>
    </row>
    <row r="1884" spans="1:9" x14ac:dyDescent="0.15">
      <c r="A1884" s="2">
        <v>206792</v>
      </c>
      <c r="B1884" s="2" t="s">
        <v>76</v>
      </c>
      <c r="C1884" s="2">
        <v>2019</v>
      </c>
      <c r="D1884" s="2" t="s">
        <v>1</v>
      </c>
      <c r="E1884" s="2" t="s">
        <v>26</v>
      </c>
      <c r="F1884" s="2" t="s">
        <v>35</v>
      </c>
      <c r="G1884" s="7"/>
      <c r="H1884" s="13" t="str">
        <f>IFERROR(IF(ABS($G1884)&gt;0,VLOOKUP($E1884,'Fuel Category and Heat Rate'!$B$1:$G$34,6,FALSE)*($G1884),""),"")</f>
        <v/>
      </c>
      <c r="I1884" t="str">
        <f>IFERROR(VLOOKUP($E1884,'Fuel Category and Heat Rate'!$K$2:$M$36,3,FALSE),"")</f>
        <v>LPG propane or butane</v>
      </c>
    </row>
    <row r="1885" spans="1:9" x14ac:dyDescent="0.15">
      <c r="A1885" s="2">
        <v>206827</v>
      </c>
      <c r="B1885" s="2" t="s">
        <v>76</v>
      </c>
      <c r="C1885" s="2">
        <v>2019</v>
      </c>
      <c r="D1885" s="2" t="s">
        <v>1</v>
      </c>
      <c r="E1885" s="2" t="s">
        <v>30</v>
      </c>
      <c r="F1885" s="2" t="s">
        <v>35</v>
      </c>
      <c r="G1885" s="7"/>
      <c r="H1885" s="13" t="str">
        <f>IFERROR(IF(ABS($G1885)&gt;0,VLOOKUP($E1885,'Fuel Category and Heat Rate'!$B$1:$G$34,6,FALSE)*($G1885),""),"")</f>
        <v/>
      </c>
      <c r="I1885" t="str">
        <f>IFERROR(VLOOKUP($E1885,'Fuel Category and Heat Rate'!$K$2:$M$36,3,FALSE),"")</f>
        <v>natural gas</v>
      </c>
    </row>
    <row r="1886" spans="1:9" x14ac:dyDescent="0.15">
      <c r="A1886" s="2">
        <v>206862</v>
      </c>
      <c r="B1886" s="2" t="s">
        <v>76</v>
      </c>
      <c r="C1886" s="2">
        <v>2019</v>
      </c>
      <c r="D1886" s="2" t="s">
        <v>1</v>
      </c>
      <c r="E1886" s="2" t="s">
        <v>14</v>
      </c>
      <c r="F1886" s="2" t="s">
        <v>35</v>
      </c>
      <c r="G1886" s="7">
        <v>-4.8099999999999996</v>
      </c>
      <c r="H1886" s="13">
        <f>IFERROR(IF(ABS($G1886)&gt;0,VLOOKUP($E1886,'Fuel Category and Heat Rate'!$B$1:$G$34,6,FALSE)*($G1886),""),"")</f>
        <v>0</v>
      </c>
      <c r="I1886" t="str">
        <f>IFERROR(VLOOKUP($E1886,'Fuel Category and Heat Rate'!$K$2:$M$36,3,FALSE),"")</f>
        <v/>
      </c>
    </row>
    <row r="1887" spans="1:9" x14ac:dyDescent="0.15">
      <c r="A1887" s="2">
        <v>206897</v>
      </c>
      <c r="B1887" s="2" t="s">
        <v>76</v>
      </c>
      <c r="C1887" s="2">
        <v>2019</v>
      </c>
      <c r="D1887" s="2" t="s">
        <v>1</v>
      </c>
      <c r="E1887" s="2" t="s">
        <v>3</v>
      </c>
      <c r="F1887" s="2" t="s">
        <v>35</v>
      </c>
      <c r="G1887" s="7">
        <v>-590.5</v>
      </c>
      <c r="H1887" s="13">
        <f>IFERROR(IF(ABS($G1887)&gt;0,VLOOKUP($E1887,'Fuel Category and Heat Rate'!$B$1:$G$34,6,FALSE)*($G1887),""),"")</f>
        <v>-117019151166262.91</v>
      </c>
      <c r="I1887" t="str">
        <f>IFERROR(VLOOKUP($E1887,'Fuel Category and Heat Rate'!$K$2:$M$36,3,FALSE),"")</f>
        <v>coal</v>
      </c>
    </row>
    <row r="1888" spans="1:9" x14ac:dyDescent="0.15">
      <c r="A1888" s="2">
        <v>206932</v>
      </c>
      <c r="B1888" s="2" t="s">
        <v>76</v>
      </c>
      <c r="C1888" s="2">
        <v>2019</v>
      </c>
      <c r="D1888" s="2" t="s">
        <v>1</v>
      </c>
      <c r="E1888" s="2" t="s">
        <v>15</v>
      </c>
      <c r="F1888" s="2" t="s">
        <v>35</v>
      </c>
      <c r="G1888" s="7"/>
      <c r="H1888" s="13" t="str">
        <f>IFERROR(IF(ABS($G1888)&gt;0,VLOOKUP($E1888,'Fuel Category and Heat Rate'!$B$1:$G$34,6,FALSE)*($G1888),""),"")</f>
        <v/>
      </c>
      <c r="I1888" t="str">
        <f>IFERROR(VLOOKUP($E1888,'Fuel Category and Heat Rate'!$K$2:$M$36,3,FALSE),"")</f>
        <v>crude oil</v>
      </c>
    </row>
    <row r="1889" spans="1:9" x14ac:dyDescent="0.15">
      <c r="A1889" s="2">
        <v>206967</v>
      </c>
      <c r="B1889" s="2" t="s">
        <v>76</v>
      </c>
      <c r="C1889" s="2">
        <v>2019</v>
      </c>
      <c r="D1889" s="2" t="s">
        <v>1</v>
      </c>
      <c r="E1889" s="2" t="s">
        <v>11</v>
      </c>
      <c r="F1889" s="2" t="s">
        <v>36</v>
      </c>
      <c r="G1889" s="7">
        <v>-7.93</v>
      </c>
      <c r="H1889" s="13">
        <f>IFERROR(IF(ABS($G1889)&gt;0,VLOOKUP($E1889,'Fuel Category and Heat Rate'!$B$1:$G$34,6,FALSE)*($G1889),""),"")</f>
        <v>-5971612782394.4111</v>
      </c>
      <c r="I1889" t="str">
        <f>IFERROR(VLOOKUP($E1889,'Fuel Category and Heat Rate'!$K$2:$M$36,3,FALSE),"")</f>
        <v>LPG propane or butane</v>
      </c>
    </row>
    <row r="1890" spans="1:9" x14ac:dyDescent="0.15">
      <c r="A1890" s="2">
        <v>207002</v>
      </c>
      <c r="B1890" s="2" t="s">
        <v>76</v>
      </c>
      <c r="C1890" s="2">
        <v>2018</v>
      </c>
      <c r="D1890" s="2" t="s">
        <v>1</v>
      </c>
      <c r="E1890" s="2" t="s">
        <v>18</v>
      </c>
      <c r="F1890" s="2" t="s">
        <v>35</v>
      </c>
      <c r="G1890" s="7">
        <v>-0.13</v>
      </c>
      <c r="H1890" s="13">
        <f>IFERROR(IF(ABS($G1890)&gt;0,VLOOKUP($E1890,'Fuel Category and Heat Rate'!$B$1:$G$34,6,FALSE)*($G1890),""),"")</f>
        <v>-52554184690.791489</v>
      </c>
      <c r="I1890" t="str">
        <f>IFERROR(VLOOKUP($E1890,'Fuel Category and Heat Rate'!$K$2:$M$36,3,FALSE),"")</f>
        <v>petroleum diesel</v>
      </c>
    </row>
    <row r="1891" spans="1:9" x14ac:dyDescent="0.15">
      <c r="A1891" s="2">
        <v>207037</v>
      </c>
      <c r="B1891" s="2" t="s">
        <v>76</v>
      </c>
      <c r="C1891" s="2">
        <v>2018</v>
      </c>
      <c r="D1891" s="2" t="s">
        <v>1</v>
      </c>
      <c r="E1891" s="2" t="s">
        <v>32</v>
      </c>
      <c r="F1891" s="2" t="s">
        <v>65</v>
      </c>
      <c r="G1891" s="7"/>
      <c r="H1891" s="13" t="str">
        <f>IFERROR(IF(ABS($G1891)&gt;0,VLOOKUP($E1891,'Fuel Category and Heat Rate'!$B$1:$G$34,6,FALSE)*($G1891),""),"")</f>
        <v/>
      </c>
      <c r="I1891" t="str">
        <f>IFERROR(VLOOKUP($E1891,'Fuel Category and Heat Rate'!$K$2:$M$36,3,FALSE),"")</f>
        <v>electricity</v>
      </c>
    </row>
    <row r="1892" spans="1:9" x14ac:dyDescent="0.15">
      <c r="A1892" s="2">
        <v>207072</v>
      </c>
      <c r="B1892" s="2" t="s">
        <v>76</v>
      </c>
      <c r="C1892" s="2">
        <v>2018</v>
      </c>
      <c r="D1892" s="2" t="s">
        <v>1</v>
      </c>
      <c r="E1892" s="2" t="s">
        <v>10</v>
      </c>
      <c r="F1892" s="2" t="s">
        <v>36</v>
      </c>
      <c r="G1892" s="7"/>
      <c r="H1892" s="13" t="str">
        <f>IFERROR(IF(ABS($G1892)&gt;0,VLOOKUP($E1892,'Fuel Category and Heat Rate'!$B$1:$G$34,6,FALSE)*($G1892),""),"")</f>
        <v/>
      </c>
      <c r="I1892" t="str">
        <f>IFERROR(VLOOKUP($E1892,'Fuel Category and Heat Rate'!$K$2:$M$36,3,FALSE),"")</f>
        <v>LPG propane or butane</v>
      </c>
    </row>
    <row r="1893" spans="1:9" x14ac:dyDescent="0.15">
      <c r="A1893" s="2">
        <v>207107</v>
      </c>
      <c r="B1893" s="2" t="s">
        <v>76</v>
      </c>
      <c r="C1893" s="2">
        <v>2018</v>
      </c>
      <c r="D1893" s="2" t="s">
        <v>1</v>
      </c>
      <c r="E1893" s="2" t="s">
        <v>9</v>
      </c>
      <c r="F1893" s="2" t="s">
        <v>36</v>
      </c>
      <c r="G1893" s="7">
        <v>-10.69</v>
      </c>
      <c r="H1893" s="13">
        <f>IFERROR(IF(ABS($G1893)&gt;0,VLOOKUP($E1893,'Fuel Category and Heat Rate'!$B$1:$G$34,6,FALSE)*($G1893),""),"")</f>
        <v>-17582852604437.955</v>
      </c>
      <c r="I1893" t="str">
        <f>IFERROR(VLOOKUP($E1893,'Fuel Category and Heat Rate'!$K$2:$M$36,3,FALSE),"")</f>
        <v>LPG propane or butane</v>
      </c>
    </row>
    <row r="1894" spans="1:9" x14ac:dyDescent="0.15">
      <c r="A1894" s="2">
        <v>207142</v>
      </c>
      <c r="B1894" s="2" t="s">
        <v>76</v>
      </c>
      <c r="C1894" s="2">
        <v>2018</v>
      </c>
      <c r="D1894" s="2" t="s">
        <v>1</v>
      </c>
      <c r="E1894" s="2" t="s">
        <v>8</v>
      </c>
      <c r="F1894" s="2" t="s">
        <v>35</v>
      </c>
      <c r="G1894" s="7"/>
      <c r="H1894" s="13" t="str">
        <f>IFERROR(IF(ABS($G1894)&gt;0,VLOOKUP($E1894,'Fuel Category and Heat Rate'!$B$1:$G$34,6,FALSE)*($G1894),""),"")</f>
        <v/>
      </c>
      <c r="I1894" t="str">
        <f>IFERROR(VLOOKUP($E1894,'Fuel Category and Heat Rate'!$K$2:$M$36,3,FALSE),"")</f>
        <v>coal</v>
      </c>
    </row>
    <row r="1895" spans="1:9" x14ac:dyDescent="0.15">
      <c r="A1895" s="2">
        <v>207177</v>
      </c>
      <c r="B1895" s="2" t="s">
        <v>76</v>
      </c>
      <c r="C1895" s="2">
        <v>2018</v>
      </c>
      <c r="D1895" s="2" t="s">
        <v>1</v>
      </c>
      <c r="E1895" s="2" t="s">
        <v>27</v>
      </c>
      <c r="F1895" s="2" t="s">
        <v>35</v>
      </c>
      <c r="G1895" s="7">
        <v>-2.14</v>
      </c>
      <c r="H1895" s="13">
        <f>IFERROR(IF(ABS($G1895)&gt;0,VLOOKUP($E1895,'Fuel Category and Heat Rate'!$B$1:$G$34,6,FALSE)*($G1895),""),"")</f>
        <v>-932990608980.55786</v>
      </c>
      <c r="I1895" t="str">
        <f>IFERROR(VLOOKUP($E1895,'Fuel Category and Heat Rate'!$K$2:$M$36,3,FALSE),"")</f>
        <v>LPG propane or butane</v>
      </c>
    </row>
    <row r="1896" spans="1:9" x14ac:dyDescent="0.15">
      <c r="A1896" s="2">
        <v>207212</v>
      </c>
      <c r="B1896" s="2" t="s">
        <v>76</v>
      </c>
      <c r="C1896" s="2">
        <v>2018</v>
      </c>
      <c r="D1896" s="2" t="s">
        <v>1</v>
      </c>
      <c r="E1896" s="2" t="s">
        <v>7</v>
      </c>
      <c r="F1896" s="2" t="s">
        <v>35</v>
      </c>
      <c r="G1896" s="7"/>
      <c r="H1896" s="13" t="str">
        <f>IFERROR(IF(ABS($G1896)&gt;0,VLOOKUP($E1896,'Fuel Category and Heat Rate'!$B$1:$G$34,6,FALSE)*($G1896),""),"")</f>
        <v/>
      </c>
      <c r="I1896" t="str">
        <f>IFERROR(VLOOKUP($E1896,'Fuel Category and Heat Rate'!$K$2:$M$36,3,FALSE),"")</f>
        <v>coal</v>
      </c>
    </row>
    <row r="1897" spans="1:9" x14ac:dyDescent="0.15">
      <c r="A1897" s="2">
        <v>207247</v>
      </c>
      <c r="B1897" s="2" t="s">
        <v>76</v>
      </c>
      <c r="C1897" s="2">
        <v>2018</v>
      </c>
      <c r="D1897" s="2" t="s">
        <v>1</v>
      </c>
      <c r="E1897" s="2" t="s">
        <v>2</v>
      </c>
      <c r="F1897" s="2" t="s">
        <v>35</v>
      </c>
      <c r="G1897" s="7">
        <v>-537.44000000000005</v>
      </c>
      <c r="H1897" s="13">
        <f>IFERROR(IF(ABS($G1897)&gt;0,VLOOKUP($E1897,'Fuel Category and Heat Rate'!$B$1:$G$34,6,FALSE)*($G1897),""),"")</f>
        <v>0</v>
      </c>
      <c r="I1897" t="str">
        <f>IFERROR(VLOOKUP($E1897,'Fuel Category and Heat Rate'!$K$2:$M$36,3,FALSE),"")</f>
        <v/>
      </c>
    </row>
    <row r="1898" spans="1:9" x14ac:dyDescent="0.15">
      <c r="A1898" s="2">
        <v>207282</v>
      </c>
      <c r="B1898" s="2" t="s">
        <v>76</v>
      </c>
      <c r="C1898" s="2">
        <v>2018</v>
      </c>
      <c r="D1898" s="2" t="s">
        <v>1</v>
      </c>
      <c r="E1898" s="2" t="s">
        <v>17</v>
      </c>
      <c r="F1898" s="2" t="s">
        <v>35</v>
      </c>
      <c r="G1898" s="7"/>
      <c r="H1898" s="13" t="str">
        <f>IFERROR(IF(ABS($G1898)&gt;0,VLOOKUP($E1898,'Fuel Category and Heat Rate'!$B$1:$G$34,6,FALSE)*($G1898),""),"")</f>
        <v/>
      </c>
      <c r="I1898" t="str">
        <f>IFERROR(VLOOKUP($E1898,'Fuel Category and Heat Rate'!$K$2:$M$36,3,FALSE),"")</f>
        <v>petroleum diesel</v>
      </c>
    </row>
    <row r="1899" spans="1:9" x14ac:dyDescent="0.15">
      <c r="A1899" s="2">
        <v>207317</v>
      </c>
      <c r="B1899" s="2" t="s">
        <v>76</v>
      </c>
      <c r="C1899" s="2">
        <v>2018</v>
      </c>
      <c r="D1899" s="2" t="s">
        <v>1</v>
      </c>
      <c r="E1899" s="2" t="s">
        <v>13</v>
      </c>
      <c r="F1899" s="2" t="s">
        <v>35</v>
      </c>
      <c r="G1899" s="7"/>
      <c r="H1899" s="13" t="str">
        <f>IFERROR(IF(ABS($G1899)&gt;0,VLOOKUP($E1899,'Fuel Category and Heat Rate'!$B$1:$G$34,6,FALSE)*($G1899),""),"")</f>
        <v/>
      </c>
      <c r="I1899" t="str">
        <f>IFERROR(VLOOKUP($E1899,'Fuel Category and Heat Rate'!$K$2:$M$36,3,FALSE),"")</f>
        <v>petroleum diesel</v>
      </c>
    </row>
    <row r="1900" spans="1:9" x14ac:dyDescent="0.15">
      <c r="A1900" s="2">
        <v>207352</v>
      </c>
      <c r="B1900" s="2" t="s">
        <v>76</v>
      </c>
      <c r="C1900" s="2">
        <v>2018</v>
      </c>
      <c r="D1900" s="2" t="s">
        <v>1</v>
      </c>
      <c r="E1900" s="2" t="s">
        <v>12</v>
      </c>
      <c r="F1900" s="2" t="s">
        <v>36</v>
      </c>
      <c r="G1900" s="7"/>
      <c r="H1900" s="13" t="str">
        <f>IFERROR(IF(ABS($G1900)&gt;0,VLOOKUP($E1900,'Fuel Category and Heat Rate'!$B$1:$G$34,6,FALSE)*($G1900),""),"")</f>
        <v/>
      </c>
      <c r="I1900" t="str">
        <f>IFERROR(VLOOKUP($E1900,'Fuel Category and Heat Rate'!$K$2:$M$36,3,FALSE),"")</f>
        <v>LPG propane or butane</v>
      </c>
    </row>
    <row r="1901" spans="1:9" x14ac:dyDescent="0.15">
      <c r="A1901" s="2">
        <v>207387</v>
      </c>
      <c r="B1901" s="2" t="s">
        <v>76</v>
      </c>
      <c r="C1901" s="2">
        <v>2018</v>
      </c>
      <c r="D1901" s="2" t="s">
        <v>1</v>
      </c>
      <c r="E1901" s="2" t="s">
        <v>33</v>
      </c>
      <c r="F1901" s="2" t="s">
        <v>38</v>
      </c>
      <c r="G1901" s="7">
        <v>-18.5</v>
      </c>
      <c r="H1901" s="13">
        <f>IFERROR(IF(ABS($G1901)&gt;0,VLOOKUP($E1901,'Fuel Category and Heat Rate'!$B$1:$G$34,6,FALSE)*($G1901),""),"")</f>
        <v>-5132557674553.4365</v>
      </c>
      <c r="I1901" t="str">
        <f>IFERROR(VLOOKUP($E1901,'Fuel Category and Heat Rate'!$K$2:$M$36,3,FALSE),"")</f>
        <v>biomass</v>
      </c>
    </row>
    <row r="1902" spans="1:9" x14ac:dyDescent="0.15">
      <c r="A1902" s="2">
        <v>207422</v>
      </c>
      <c r="B1902" s="2" t="s">
        <v>76</v>
      </c>
      <c r="C1902" s="2">
        <v>2018</v>
      </c>
      <c r="D1902" s="2" t="s">
        <v>1</v>
      </c>
      <c r="E1902" s="2" t="s">
        <v>28</v>
      </c>
      <c r="F1902" s="2" t="s">
        <v>35</v>
      </c>
      <c r="G1902" s="7">
        <v>-1.57</v>
      </c>
      <c r="H1902" s="13">
        <f>IFERROR(IF(ABS($G1902)&gt;0,VLOOKUP($E1902,'Fuel Category and Heat Rate'!$B$1:$G$34,6,FALSE)*($G1902),""),"")</f>
        <v>-609812267284.23914</v>
      </c>
      <c r="I1902" t="str">
        <f>IFERROR(VLOOKUP($E1902,'Fuel Category and Heat Rate'!$K$2:$M$36,3,FALSE),"")</f>
        <v>heavy or residual fuel oil</v>
      </c>
    </row>
    <row r="1903" spans="1:9" x14ac:dyDescent="0.15">
      <c r="A1903" s="2">
        <v>207457</v>
      </c>
      <c r="B1903" s="2" t="s">
        <v>76</v>
      </c>
      <c r="C1903" s="2">
        <v>2018</v>
      </c>
      <c r="D1903" s="2" t="s">
        <v>1</v>
      </c>
      <c r="E1903" s="2" t="s">
        <v>5</v>
      </c>
      <c r="F1903" s="2" t="s">
        <v>35</v>
      </c>
      <c r="G1903" s="7"/>
      <c r="H1903" s="13" t="str">
        <f>IFERROR(IF(ABS($G1903)&gt;0,VLOOKUP($E1903,'Fuel Category and Heat Rate'!$B$1:$G$34,6,FALSE)*($G1903),""),"")</f>
        <v/>
      </c>
      <c r="I1903" t="str">
        <f>IFERROR(VLOOKUP($E1903,'Fuel Category and Heat Rate'!$K$2:$M$36,3,FALSE),"")</f>
        <v>coal</v>
      </c>
    </row>
    <row r="1904" spans="1:9" x14ac:dyDescent="0.15">
      <c r="A1904" s="2">
        <v>207492</v>
      </c>
      <c r="B1904" s="2" t="s">
        <v>76</v>
      </c>
      <c r="C1904" s="2">
        <v>2018</v>
      </c>
      <c r="D1904" s="2" t="s">
        <v>1</v>
      </c>
      <c r="E1904" s="2" t="s">
        <v>16</v>
      </c>
      <c r="F1904" s="2" t="s">
        <v>35</v>
      </c>
      <c r="G1904" s="7"/>
      <c r="H1904" s="13" t="str">
        <f>IFERROR(IF(ABS($G1904)&gt;0,VLOOKUP($E1904,'Fuel Category and Heat Rate'!$B$1:$G$34,6,FALSE)*($G1904),""),"")</f>
        <v/>
      </c>
      <c r="I1904" t="str">
        <f>IFERROR(VLOOKUP($E1904,'Fuel Category and Heat Rate'!$K$2:$M$36,3,FALSE),"")</f>
        <v>petroleum diesel</v>
      </c>
    </row>
    <row r="1905" spans="1:9" x14ac:dyDescent="0.15">
      <c r="A1905" s="2">
        <v>207527</v>
      </c>
      <c r="B1905" s="2" t="s">
        <v>76</v>
      </c>
      <c r="C1905" s="2">
        <v>2018</v>
      </c>
      <c r="D1905" s="2" t="s">
        <v>1</v>
      </c>
      <c r="E1905" s="2" t="s">
        <v>19</v>
      </c>
      <c r="F1905" s="2" t="s">
        <v>35</v>
      </c>
      <c r="G1905" s="7">
        <v>-0.03</v>
      </c>
      <c r="H1905" s="13">
        <f>IFERROR(IF(ABS($G1905)&gt;0,VLOOKUP($E1905,'Fuel Category and Heat Rate'!$B$1:$G$34,6,FALSE)*($G1905),""),"")</f>
        <v>-11890176240.433147</v>
      </c>
      <c r="I1905" t="str">
        <f>IFERROR(VLOOKUP($E1905,'Fuel Category and Heat Rate'!$K$2:$M$36,3,FALSE),"")</f>
        <v>heavy or residual fuel oil</v>
      </c>
    </row>
    <row r="1906" spans="1:9" x14ac:dyDescent="0.15">
      <c r="A1906" s="2">
        <v>207562</v>
      </c>
      <c r="B1906" s="2" t="s">
        <v>76</v>
      </c>
      <c r="C1906" s="2">
        <v>2018</v>
      </c>
      <c r="D1906" s="2" t="s">
        <v>1</v>
      </c>
      <c r="E1906" s="2" t="s">
        <v>31</v>
      </c>
      <c r="F1906" s="2" t="s">
        <v>37</v>
      </c>
      <c r="G1906" s="7">
        <v>10934.9</v>
      </c>
      <c r="H1906" s="13">
        <f>IFERROR(IF(ABS($G1906)&gt;0,VLOOKUP($E1906,'Fuel Category and Heat Rate'!$B$1:$G$34,6,FALSE)*($G1906),""),"")</f>
        <v>103642854546515.23</v>
      </c>
      <c r="I1906" t="str">
        <f>IFERROR(VLOOKUP($E1906,'Fuel Category and Heat Rate'!$K$2:$M$36,3,FALSE),"")</f>
        <v>heat</v>
      </c>
    </row>
    <row r="1907" spans="1:9" x14ac:dyDescent="0.15">
      <c r="A1907" s="2">
        <v>207597</v>
      </c>
      <c r="B1907" s="2" t="s">
        <v>76</v>
      </c>
      <c r="C1907" s="2">
        <v>2018</v>
      </c>
      <c r="D1907" s="2" t="s">
        <v>1</v>
      </c>
      <c r="E1907" s="2" t="s">
        <v>23</v>
      </c>
      <c r="F1907" s="2" t="s">
        <v>35</v>
      </c>
      <c r="G1907" s="7"/>
      <c r="H1907" s="13" t="str">
        <f>IFERROR(IF(ABS($G1907)&gt;0,VLOOKUP($E1907,'Fuel Category and Heat Rate'!$B$1:$G$34,6,FALSE)*($G1907),""),"")</f>
        <v/>
      </c>
      <c r="I1907" t="str">
        <f>IFERROR(VLOOKUP($E1907,'Fuel Category and Heat Rate'!$K$2:$M$36,3,FALSE),"")</f>
        <v>heavy or residual fuel oil</v>
      </c>
    </row>
    <row r="1908" spans="1:9" x14ac:dyDescent="0.15">
      <c r="A1908" s="2">
        <v>207632</v>
      </c>
      <c r="B1908" s="2" t="s">
        <v>76</v>
      </c>
      <c r="C1908" s="2">
        <v>2018</v>
      </c>
      <c r="D1908" s="2" t="s">
        <v>1</v>
      </c>
      <c r="E1908" s="2" t="s">
        <v>21</v>
      </c>
      <c r="F1908" s="2" t="s">
        <v>35</v>
      </c>
      <c r="G1908" s="7"/>
      <c r="H1908" s="13" t="str">
        <f>IFERROR(IF(ABS($G1908)&gt;0,VLOOKUP($E1908,'Fuel Category and Heat Rate'!$B$1:$G$34,6,FALSE)*($G1908),""),"")</f>
        <v/>
      </c>
      <c r="I1908" t="str">
        <f>IFERROR(VLOOKUP($E1908,'Fuel Category and Heat Rate'!$K$2:$M$36,3,FALSE),"")</f>
        <v>LPG propane or butane</v>
      </c>
    </row>
    <row r="1909" spans="1:9" x14ac:dyDescent="0.15">
      <c r="A1909" s="2">
        <v>207667</v>
      </c>
      <c r="B1909" s="2" t="s">
        <v>76</v>
      </c>
      <c r="C1909" s="2">
        <v>2018</v>
      </c>
      <c r="D1909" s="2" t="s">
        <v>1</v>
      </c>
      <c r="E1909" s="2" t="s">
        <v>22</v>
      </c>
      <c r="F1909" s="2" t="s">
        <v>35</v>
      </c>
      <c r="G1909" s="7"/>
      <c r="H1909" s="13" t="str">
        <f>IFERROR(IF(ABS($G1909)&gt;0,VLOOKUP($E1909,'Fuel Category and Heat Rate'!$B$1:$G$34,6,FALSE)*($G1909),""),"")</f>
        <v/>
      </c>
      <c r="I1909" t="str">
        <f>IFERROR(VLOOKUP($E1909,'Fuel Category and Heat Rate'!$K$2:$M$36,3,FALSE),"")</f>
        <v>heavy fuel oil</v>
      </c>
    </row>
    <row r="1910" spans="1:9" x14ac:dyDescent="0.15">
      <c r="A1910" s="2">
        <v>207702</v>
      </c>
      <c r="B1910" s="2" t="s">
        <v>76</v>
      </c>
      <c r="C1910" s="2">
        <v>2018</v>
      </c>
      <c r="D1910" s="2" t="s">
        <v>1</v>
      </c>
      <c r="E1910" s="2" t="s">
        <v>20</v>
      </c>
      <c r="F1910" s="2" t="s">
        <v>35</v>
      </c>
      <c r="G1910" s="7"/>
      <c r="H1910" s="13" t="str">
        <f>IFERROR(IF(ABS($G1910)&gt;0,VLOOKUP($E1910,'Fuel Category and Heat Rate'!$B$1:$G$34,6,FALSE)*($G1910),""),"")</f>
        <v/>
      </c>
      <c r="I1910" t="str">
        <f>IFERROR(VLOOKUP($E1910,'Fuel Category and Heat Rate'!$K$2:$M$36,3,FALSE),"")</f>
        <v>LPG propane or butane</v>
      </c>
    </row>
    <row r="1911" spans="1:9" x14ac:dyDescent="0.15">
      <c r="A1911" s="2">
        <v>207737</v>
      </c>
      <c r="B1911" s="2" t="s">
        <v>76</v>
      </c>
      <c r="C1911" s="2">
        <v>2018</v>
      </c>
      <c r="D1911" s="2" t="s">
        <v>1</v>
      </c>
      <c r="E1911" s="2" t="s">
        <v>25</v>
      </c>
      <c r="F1911" s="2" t="s">
        <v>35</v>
      </c>
      <c r="G1911" s="7"/>
      <c r="H1911" s="13" t="str">
        <f>IFERROR(IF(ABS($G1911)&gt;0,VLOOKUP($E1911,'Fuel Category and Heat Rate'!$B$1:$G$34,6,FALSE)*($G1911),""),"")</f>
        <v/>
      </c>
      <c r="I1911" t="str">
        <f>IFERROR(VLOOKUP($E1911,'Fuel Category and Heat Rate'!$K$2:$M$36,3,FALSE),"")</f>
        <v>heavy fuel oil</v>
      </c>
    </row>
    <row r="1912" spans="1:9" x14ac:dyDescent="0.15">
      <c r="A1912" s="2">
        <v>207772</v>
      </c>
      <c r="B1912" s="2" t="s">
        <v>76</v>
      </c>
      <c r="C1912" s="2">
        <v>2018</v>
      </c>
      <c r="D1912" s="2" t="s">
        <v>1</v>
      </c>
      <c r="E1912" s="2" t="s">
        <v>24</v>
      </c>
      <c r="F1912" s="2" t="s">
        <v>35</v>
      </c>
      <c r="G1912" s="7"/>
      <c r="H1912" s="13" t="str">
        <f>IFERROR(IF(ABS($G1912)&gt;0,VLOOKUP($E1912,'Fuel Category and Heat Rate'!$B$1:$G$34,6,FALSE)*($G1912),""),"")</f>
        <v/>
      </c>
      <c r="I1912" t="str">
        <f>IFERROR(VLOOKUP($E1912,'Fuel Category and Heat Rate'!$K$2:$M$36,3,FALSE),"")</f>
        <v>heavy fuel oil</v>
      </c>
    </row>
    <row r="1913" spans="1:9" x14ac:dyDescent="0.15">
      <c r="A1913" s="2">
        <v>207807</v>
      </c>
      <c r="B1913" s="2" t="s">
        <v>76</v>
      </c>
      <c r="C1913" s="2">
        <v>2018</v>
      </c>
      <c r="D1913" s="2" t="s">
        <v>1</v>
      </c>
      <c r="E1913" s="2" t="s">
        <v>29</v>
      </c>
      <c r="F1913" s="2" t="s">
        <v>36</v>
      </c>
      <c r="G1913" s="7">
        <v>-1.0900000000000001</v>
      </c>
      <c r="H1913" s="13">
        <f>IFERROR(IF(ABS($G1913)&gt;0,VLOOKUP($E1913,'Fuel Category and Heat Rate'!$B$1:$G$34,6,FALSE)*($G1913),""),"")</f>
        <v>-3676308225768.333</v>
      </c>
      <c r="I1913" t="str">
        <f>IFERROR(VLOOKUP($E1913,'Fuel Category and Heat Rate'!$K$2:$M$36,3,FALSE),"")</f>
        <v>natural gas</v>
      </c>
    </row>
    <row r="1914" spans="1:9" x14ac:dyDescent="0.15">
      <c r="A1914" s="2">
        <v>207842</v>
      </c>
      <c r="B1914" s="2" t="s">
        <v>76</v>
      </c>
      <c r="C1914" s="2">
        <v>2018</v>
      </c>
      <c r="D1914" s="2" t="s">
        <v>1</v>
      </c>
      <c r="E1914" s="2" t="s">
        <v>4</v>
      </c>
      <c r="F1914" s="2" t="s">
        <v>35</v>
      </c>
      <c r="G1914" s="7"/>
      <c r="H1914" s="13" t="str">
        <f>IFERROR(IF(ABS($G1914)&gt;0,VLOOKUP($E1914,'Fuel Category and Heat Rate'!$B$1:$G$34,6,FALSE)*($G1914),""),"")</f>
        <v/>
      </c>
      <c r="I1914" t="str">
        <f>IFERROR(VLOOKUP($E1914,'Fuel Category and Heat Rate'!$K$2:$M$36,3,FALSE),"")</f>
        <v>coal</v>
      </c>
    </row>
    <row r="1915" spans="1:9" x14ac:dyDescent="0.15">
      <c r="A1915" s="2">
        <v>207877</v>
      </c>
      <c r="B1915" s="2" t="s">
        <v>76</v>
      </c>
      <c r="C1915" s="2">
        <v>2018</v>
      </c>
      <c r="D1915" s="2" t="s">
        <v>1</v>
      </c>
      <c r="E1915" s="2" t="s">
        <v>6</v>
      </c>
      <c r="F1915" s="2" t="s">
        <v>35</v>
      </c>
      <c r="G1915" s="7"/>
      <c r="H1915" s="13" t="str">
        <f>IFERROR(IF(ABS($G1915)&gt;0,VLOOKUP($E1915,'Fuel Category and Heat Rate'!$B$1:$G$34,6,FALSE)*($G1915),""),"")</f>
        <v/>
      </c>
      <c r="I1915" t="str">
        <f>IFERROR(VLOOKUP($E1915,'Fuel Category and Heat Rate'!$K$2:$M$36,3,FALSE),"")</f>
        <v>coal</v>
      </c>
    </row>
    <row r="1916" spans="1:9" x14ac:dyDescent="0.15">
      <c r="A1916" s="2">
        <v>207912</v>
      </c>
      <c r="B1916" s="2" t="s">
        <v>76</v>
      </c>
      <c r="C1916" s="2">
        <v>2018</v>
      </c>
      <c r="D1916" s="2" t="s">
        <v>1</v>
      </c>
      <c r="E1916" s="2" t="s">
        <v>26</v>
      </c>
      <c r="F1916" s="2" t="s">
        <v>35</v>
      </c>
      <c r="G1916" s="7"/>
      <c r="H1916" s="13" t="str">
        <f>IFERROR(IF(ABS($G1916)&gt;0,VLOOKUP($E1916,'Fuel Category and Heat Rate'!$B$1:$G$34,6,FALSE)*($G1916),""),"")</f>
        <v/>
      </c>
      <c r="I1916" t="str">
        <f>IFERROR(VLOOKUP($E1916,'Fuel Category and Heat Rate'!$K$2:$M$36,3,FALSE),"")</f>
        <v>LPG propane or butane</v>
      </c>
    </row>
    <row r="1917" spans="1:9" x14ac:dyDescent="0.15">
      <c r="A1917" s="2">
        <v>207947</v>
      </c>
      <c r="B1917" s="2" t="s">
        <v>76</v>
      </c>
      <c r="C1917" s="2">
        <v>2018</v>
      </c>
      <c r="D1917" s="2" t="s">
        <v>1</v>
      </c>
      <c r="E1917" s="2" t="s">
        <v>30</v>
      </c>
      <c r="F1917" s="2" t="s">
        <v>35</v>
      </c>
      <c r="G1917" s="7"/>
      <c r="H1917" s="13" t="str">
        <f>IFERROR(IF(ABS($G1917)&gt;0,VLOOKUP($E1917,'Fuel Category and Heat Rate'!$B$1:$G$34,6,FALSE)*($G1917),""),"")</f>
        <v/>
      </c>
      <c r="I1917" t="str">
        <f>IFERROR(VLOOKUP($E1917,'Fuel Category and Heat Rate'!$K$2:$M$36,3,FALSE),"")</f>
        <v>natural gas</v>
      </c>
    </row>
    <row r="1918" spans="1:9" x14ac:dyDescent="0.15">
      <c r="A1918" s="2">
        <v>207982</v>
      </c>
      <c r="B1918" s="2" t="s">
        <v>76</v>
      </c>
      <c r="C1918" s="2">
        <v>2018</v>
      </c>
      <c r="D1918" s="2" t="s">
        <v>1</v>
      </c>
      <c r="E1918" s="2" t="s">
        <v>14</v>
      </c>
      <c r="F1918" s="2" t="s">
        <v>35</v>
      </c>
      <c r="G1918" s="7">
        <v>-3.86</v>
      </c>
      <c r="H1918" s="13">
        <f>IFERROR(IF(ABS($G1918)&gt;0,VLOOKUP($E1918,'Fuel Category and Heat Rate'!$B$1:$G$34,6,FALSE)*($G1918),""),"")</f>
        <v>0</v>
      </c>
      <c r="I1918" t="str">
        <f>IFERROR(VLOOKUP($E1918,'Fuel Category and Heat Rate'!$K$2:$M$36,3,FALSE),"")</f>
        <v/>
      </c>
    </row>
    <row r="1919" spans="1:9" x14ac:dyDescent="0.15">
      <c r="A1919" s="2">
        <v>208017</v>
      </c>
      <c r="B1919" s="2" t="s">
        <v>76</v>
      </c>
      <c r="C1919" s="2">
        <v>2018</v>
      </c>
      <c r="D1919" s="2" t="s">
        <v>1</v>
      </c>
      <c r="E1919" s="2" t="s">
        <v>3</v>
      </c>
      <c r="F1919" s="2" t="s">
        <v>35</v>
      </c>
      <c r="G1919" s="7">
        <v>-537.44000000000005</v>
      </c>
      <c r="H1919" s="13">
        <f>IFERROR(IF(ABS($G1919)&gt;0,VLOOKUP($E1919,'Fuel Category and Heat Rate'!$B$1:$G$34,6,FALSE)*($G1919),""),"")</f>
        <v>-106504271977639.88</v>
      </c>
      <c r="I1919" t="str">
        <f>IFERROR(VLOOKUP($E1919,'Fuel Category and Heat Rate'!$K$2:$M$36,3,FALSE),"")</f>
        <v>coal</v>
      </c>
    </row>
    <row r="1920" spans="1:9" x14ac:dyDescent="0.15">
      <c r="A1920" s="2">
        <v>208052</v>
      </c>
      <c r="B1920" s="2" t="s">
        <v>76</v>
      </c>
      <c r="C1920" s="2">
        <v>2018</v>
      </c>
      <c r="D1920" s="2" t="s">
        <v>1</v>
      </c>
      <c r="E1920" s="2" t="s">
        <v>15</v>
      </c>
      <c r="F1920" s="2" t="s">
        <v>35</v>
      </c>
      <c r="G1920" s="7"/>
      <c r="H1920" s="13" t="str">
        <f>IFERROR(IF(ABS($G1920)&gt;0,VLOOKUP($E1920,'Fuel Category and Heat Rate'!$B$1:$G$34,6,FALSE)*($G1920),""),"")</f>
        <v/>
      </c>
      <c r="I1920" t="str">
        <f>IFERROR(VLOOKUP($E1920,'Fuel Category and Heat Rate'!$K$2:$M$36,3,FALSE),"")</f>
        <v>crude oil</v>
      </c>
    </row>
    <row r="1921" spans="1:9" x14ac:dyDescent="0.15">
      <c r="A1921" s="2">
        <v>208087</v>
      </c>
      <c r="B1921" s="2" t="s">
        <v>76</v>
      </c>
      <c r="C1921" s="2">
        <v>2018</v>
      </c>
      <c r="D1921" s="2" t="s">
        <v>1</v>
      </c>
      <c r="E1921" s="2" t="s">
        <v>11</v>
      </c>
      <c r="F1921" s="2" t="s">
        <v>36</v>
      </c>
      <c r="G1921" s="7">
        <v>-7.51</v>
      </c>
      <c r="H1921" s="13">
        <f>IFERROR(IF(ABS($G1921)&gt;0,VLOOKUP($E1921,'Fuel Category and Heat Rate'!$B$1:$G$34,6,FALSE)*($G1921),""),"")</f>
        <v>-5655335686731.6553</v>
      </c>
      <c r="I1921" t="str">
        <f>IFERROR(VLOOKUP($E1921,'Fuel Category and Heat Rate'!$K$2:$M$36,3,FALSE),"")</f>
        <v>LPG propane or butane</v>
      </c>
    </row>
    <row r="1922" spans="1:9" x14ac:dyDescent="0.15">
      <c r="A1922" s="2">
        <v>220932</v>
      </c>
      <c r="B1922" s="2" t="s">
        <v>77</v>
      </c>
      <c r="C1922" s="2">
        <v>2022</v>
      </c>
      <c r="D1922" s="2" t="s">
        <v>1</v>
      </c>
      <c r="E1922" s="2" t="s">
        <v>18</v>
      </c>
      <c r="F1922" s="2" t="s">
        <v>35</v>
      </c>
      <c r="G1922" s="7"/>
      <c r="H1922" s="13" t="str">
        <f>IFERROR(IF(ABS($G1922)&gt;0,VLOOKUP($E1922,'Fuel Category and Heat Rate'!$B$1:$G$34,6,FALSE)*($G1922),""),"")</f>
        <v/>
      </c>
      <c r="I1922" t="str">
        <f>IFERROR(VLOOKUP($E1922,'Fuel Category and Heat Rate'!$K$2:$M$36,3,FALSE),"")</f>
        <v>petroleum diesel</v>
      </c>
    </row>
    <row r="1923" spans="1:9" x14ac:dyDescent="0.15">
      <c r="A1923" s="2">
        <v>220967</v>
      </c>
      <c r="B1923" s="2" t="s">
        <v>77</v>
      </c>
      <c r="C1923" s="2">
        <v>2022</v>
      </c>
      <c r="D1923" s="2" t="s">
        <v>1</v>
      </c>
      <c r="E1923" s="2" t="s">
        <v>32</v>
      </c>
      <c r="F1923" s="2" t="s">
        <v>65</v>
      </c>
      <c r="G1923" s="7"/>
      <c r="H1923" s="13" t="str">
        <f>IFERROR(IF(ABS($G1923)&gt;0,VLOOKUP($E1923,'Fuel Category and Heat Rate'!$B$1:$G$34,6,FALSE)*($G1923),""),"")</f>
        <v/>
      </c>
      <c r="I1923" t="str">
        <f>IFERROR(VLOOKUP($E1923,'Fuel Category and Heat Rate'!$K$2:$M$36,3,FALSE),"")</f>
        <v>electricity</v>
      </c>
    </row>
    <row r="1924" spans="1:9" x14ac:dyDescent="0.15">
      <c r="A1924" s="2">
        <v>221002</v>
      </c>
      <c r="B1924" s="2" t="s">
        <v>77</v>
      </c>
      <c r="C1924" s="2">
        <v>2022</v>
      </c>
      <c r="D1924" s="2" t="s">
        <v>1</v>
      </c>
      <c r="E1924" s="2" t="s">
        <v>10</v>
      </c>
      <c r="F1924" s="2" t="s">
        <v>36</v>
      </c>
      <c r="G1924" s="7">
        <v>-16.61</v>
      </c>
      <c r="H1924" s="13">
        <f>IFERROR(IF(ABS($G1924)&gt;0,VLOOKUP($E1924,'Fuel Category and Heat Rate'!$B$1:$G$34,6,FALSE)*($G1924),""),"")</f>
        <v>-5924182117941.9082</v>
      </c>
      <c r="I1924" t="str">
        <f>IFERROR(VLOOKUP($E1924,'Fuel Category and Heat Rate'!$K$2:$M$36,3,FALSE),"")</f>
        <v>LPG propane or butane</v>
      </c>
    </row>
    <row r="1925" spans="1:9" x14ac:dyDescent="0.15">
      <c r="A1925" s="2">
        <v>221037</v>
      </c>
      <c r="B1925" s="2" t="s">
        <v>77</v>
      </c>
      <c r="C1925" s="2">
        <v>2022</v>
      </c>
      <c r="D1925" s="2" t="s">
        <v>1</v>
      </c>
      <c r="E1925" s="2" t="s">
        <v>9</v>
      </c>
      <c r="F1925" s="2" t="s">
        <v>36</v>
      </c>
      <c r="G1925" s="7">
        <v>-3.03</v>
      </c>
      <c r="H1925" s="13">
        <f>IFERROR(IF(ABS($G1925)&gt;0,VLOOKUP($E1925,'Fuel Category and Heat Rate'!$B$1:$G$34,6,FALSE)*($G1925),""),"")</f>
        <v>-4983727164775.2109</v>
      </c>
      <c r="I1925" t="str">
        <f>IFERROR(VLOOKUP($E1925,'Fuel Category and Heat Rate'!$K$2:$M$36,3,FALSE),"")</f>
        <v>LPG propane or butane</v>
      </c>
    </row>
    <row r="1926" spans="1:9" x14ac:dyDescent="0.15">
      <c r="A1926" s="2">
        <v>221072</v>
      </c>
      <c r="B1926" s="2" t="s">
        <v>77</v>
      </c>
      <c r="C1926" s="2">
        <v>2022</v>
      </c>
      <c r="D1926" s="2" t="s">
        <v>1</v>
      </c>
      <c r="E1926" s="2" t="s">
        <v>8</v>
      </c>
      <c r="F1926" s="2" t="s">
        <v>35</v>
      </c>
      <c r="G1926" s="7"/>
      <c r="H1926" s="13" t="str">
        <f>IFERROR(IF(ABS($G1926)&gt;0,VLOOKUP($E1926,'Fuel Category and Heat Rate'!$B$1:$G$34,6,FALSE)*($G1926),""),"")</f>
        <v/>
      </c>
      <c r="I1926" t="str">
        <f>IFERROR(VLOOKUP($E1926,'Fuel Category and Heat Rate'!$K$2:$M$36,3,FALSE),"")</f>
        <v>coal</v>
      </c>
    </row>
    <row r="1927" spans="1:9" x14ac:dyDescent="0.15">
      <c r="A1927" s="2">
        <v>221107</v>
      </c>
      <c r="B1927" s="2" t="s">
        <v>77</v>
      </c>
      <c r="C1927" s="2">
        <v>2022</v>
      </c>
      <c r="D1927" s="2" t="s">
        <v>1</v>
      </c>
      <c r="E1927" s="2" t="s">
        <v>27</v>
      </c>
      <c r="F1927" s="2" t="s">
        <v>35</v>
      </c>
      <c r="G1927" s="7">
        <v>-0.77</v>
      </c>
      <c r="H1927" s="13">
        <f>IFERROR(IF(ABS($G1927)&gt;0,VLOOKUP($E1927,'Fuel Category and Heat Rate'!$B$1:$G$34,6,FALSE)*($G1927),""),"")</f>
        <v>-335702228464.96704</v>
      </c>
      <c r="I1927" t="str">
        <f>IFERROR(VLOOKUP($E1927,'Fuel Category and Heat Rate'!$K$2:$M$36,3,FALSE),"")</f>
        <v>LPG propane or butane</v>
      </c>
    </row>
    <row r="1928" spans="1:9" x14ac:dyDescent="0.15">
      <c r="A1928" s="2">
        <v>221142</v>
      </c>
      <c r="B1928" s="2" t="s">
        <v>77</v>
      </c>
      <c r="C1928" s="2">
        <v>2022</v>
      </c>
      <c r="D1928" s="2" t="s">
        <v>1</v>
      </c>
      <c r="E1928" s="2" t="s">
        <v>7</v>
      </c>
      <c r="F1928" s="2" t="s">
        <v>35</v>
      </c>
      <c r="G1928" s="7"/>
      <c r="H1928" s="13" t="str">
        <f>IFERROR(IF(ABS($G1928)&gt;0,VLOOKUP($E1928,'Fuel Category and Heat Rate'!$B$1:$G$34,6,FALSE)*($G1928),""),"")</f>
        <v/>
      </c>
      <c r="I1928" t="str">
        <f>IFERROR(VLOOKUP($E1928,'Fuel Category and Heat Rate'!$K$2:$M$36,3,FALSE),"")</f>
        <v>coal</v>
      </c>
    </row>
    <row r="1929" spans="1:9" x14ac:dyDescent="0.15">
      <c r="A1929" s="2">
        <v>221177</v>
      </c>
      <c r="B1929" s="2" t="s">
        <v>77</v>
      </c>
      <c r="C1929" s="2">
        <v>2022</v>
      </c>
      <c r="D1929" s="2" t="s">
        <v>1</v>
      </c>
      <c r="E1929" s="2" t="s">
        <v>2</v>
      </c>
      <c r="F1929" s="2" t="s">
        <v>35</v>
      </c>
      <c r="G1929" s="7">
        <v>-251.05</v>
      </c>
      <c r="H1929" s="13">
        <f>IFERROR(IF(ABS($G1929)&gt;0,VLOOKUP($E1929,'Fuel Category and Heat Rate'!$B$1:$G$34,6,FALSE)*($G1929),""),"")</f>
        <v>0</v>
      </c>
      <c r="I1929" t="str">
        <f>IFERROR(VLOOKUP($E1929,'Fuel Category and Heat Rate'!$K$2:$M$36,3,FALSE),"")</f>
        <v/>
      </c>
    </row>
    <row r="1930" spans="1:9" x14ac:dyDescent="0.15">
      <c r="A1930" s="2">
        <v>221212</v>
      </c>
      <c r="B1930" s="2" t="s">
        <v>77</v>
      </c>
      <c r="C1930" s="2">
        <v>2022</v>
      </c>
      <c r="D1930" s="2" t="s">
        <v>1</v>
      </c>
      <c r="E1930" s="2" t="s">
        <v>17</v>
      </c>
      <c r="F1930" s="2" t="s">
        <v>35</v>
      </c>
      <c r="G1930" s="7"/>
      <c r="H1930" s="13" t="str">
        <f>IFERROR(IF(ABS($G1930)&gt;0,VLOOKUP($E1930,'Fuel Category and Heat Rate'!$B$1:$G$34,6,FALSE)*($G1930),""),"")</f>
        <v/>
      </c>
      <c r="I1930" t="str">
        <f>IFERROR(VLOOKUP($E1930,'Fuel Category and Heat Rate'!$K$2:$M$36,3,FALSE),"")</f>
        <v>petroleum diesel</v>
      </c>
    </row>
    <row r="1931" spans="1:9" x14ac:dyDescent="0.15">
      <c r="A1931" s="2">
        <v>221247</v>
      </c>
      <c r="B1931" s="2" t="s">
        <v>77</v>
      </c>
      <c r="C1931" s="2">
        <v>2022</v>
      </c>
      <c r="D1931" s="2" t="s">
        <v>1</v>
      </c>
      <c r="E1931" s="2" t="s">
        <v>13</v>
      </c>
      <c r="F1931" s="2" t="s">
        <v>35</v>
      </c>
      <c r="G1931" s="7"/>
      <c r="H1931" s="13" t="str">
        <f>IFERROR(IF(ABS($G1931)&gt;0,VLOOKUP($E1931,'Fuel Category and Heat Rate'!$B$1:$G$34,6,FALSE)*($G1931),""),"")</f>
        <v/>
      </c>
      <c r="I1931" t="str">
        <f>IFERROR(VLOOKUP($E1931,'Fuel Category and Heat Rate'!$K$2:$M$36,3,FALSE),"")</f>
        <v>petroleum diesel</v>
      </c>
    </row>
    <row r="1932" spans="1:9" x14ac:dyDescent="0.15">
      <c r="A1932" s="2">
        <v>221282</v>
      </c>
      <c r="B1932" s="2" t="s">
        <v>77</v>
      </c>
      <c r="C1932" s="2">
        <v>2022</v>
      </c>
      <c r="D1932" s="2" t="s">
        <v>1</v>
      </c>
      <c r="E1932" s="2" t="s">
        <v>12</v>
      </c>
      <c r="F1932" s="2" t="s">
        <v>36</v>
      </c>
      <c r="G1932" s="7"/>
      <c r="H1932" s="13" t="str">
        <f>IFERROR(IF(ABS($G1932)&gt;0,VLOOKUP($E1932,'Fuel Category and Heat Rate'!$B$1:$G$34,6,FALSE)*($G1932),""),"")</f>
        <v/>
      </c>
      <c r="I1932" t="str">
        <f>IFERROR(VLOOKUP($E1932,'Fuel Category and Heat Rate'!$K$2:$M$36,3,FALSE),"")</f>
        <v>LPG propane or butane</v>
      </c>
    </row>
    <row r="1933" spans="1:9" x14ac:dyDescent="0.15">
      <c r="A1933" s="2">
        <v>221317</v>
      </c>
      <c r="B1933" s="2" t="s">
        <v>77</v>
      </c>
      <c r="C1933" s="2">
        <v>2022</v>
      </c>
      <c r="D1933" s="2" t="s">
        <v>1</v>
      </c>
      <c r="E1933" s="2" t="s">
        <v>33</v>
      </c>
      <c r="F1933" s="2" t="s">
        <v>38</v>
      </c>
      <c r="G1933" s="7">
        <v>-1.34</v>
      </c>
      <c r="H1933" s="13">
        <f>IFERROR(IF(ABS($G1933)&gt;0,VLOOKUP($E1933,'Fuel Category and Heat Rate'!$B$1:$G$34,6,FALSE)*($G1933),""),"")</f>
        <v>-371763636967.65436</v>
      </c>
      <c r="I1933" t="str">
        <f>IFERROR(VLOOKUP($E1933,'Fuel Category and Heat Rate'!$K$2:$M$36,3,FALSE),"")</f>
        <v>biomass</v>
      </c>
    </row>
    <row r="1934" spans="1:9" x14ac:dyDescent="0.15">
      <c r="A1934" s="2">
        <v>221352</v>
      </c>
      <c r="B1934" s="2" t="s">
        <v>77</v>
      </c>
      <c r="C1934" s="2">
        <v>2022</v>
      </c>
      <c r="D1934" s="2" t="s">
        <v>1</v>
      </c>
      <c r="E1934" s="2" t="s">
        <v>28</v>
      </c>
      <c r="F1934" s="2" t="s">
        <v>35</v>
      </c>
      <c r="G1934" s="7"/>
      <c r="H1934" s="13" t="str">
        <f>IFERROR(IF(ABS($G1934)&gt;0,VLOOKUP($E1934,'Fuel Category and Heat Rate'!$B$1:$G$34,6,FALSE)*($G1934),""),"")</f>
        <v/>
      </c>
      <c r="I1934" t="str">
        <f>IFERROR(VLOOKUP($E1934,'Fuel Category and Heat Rate'!$K$2:$M$36,3,FALSE),"")</f>
        <v>heavy or residual fuel oil</v>
      </c>
    </row>
    <row r="1935" spans="1:9" x14ac:dyDescent="0.15">
      <c r="A1935" s="2">
        <v>221387</v>
      </c>
      <c r="B1935" s="2" t="s">
        <v>77</v>
      </c>
      <c r="C1935" s="2">
        <v>2022</v>
      </c>
      <c r="D1935" s="2" t="s">
        <v>1</v>
      </c>
      <c r="E1935" s="2" t="s">
        <v>5</v>
      </c>
      <c r="F1935" s="2" t="s">
        <v>35</v>
      </c>
      <c r="G1935" s="7"/>
      <c r="H1935" s="13" t="str">
        <f>IFERROR(IF(ABS($G1935)&gt;0,VLOOKUP($E1935,'Fuel Category and Heat Rate'!$B$1:$G$34,6,FALSE)*($G1935),""),"")</f>
        <v/>
      </c>
      <c r="I1935" t="str">
        <f>IFERROR(VLOOKUP($E1935,'Fuel Category and Heat Rate'!$K$2:$M$36,3,FALSE),"")</f>
        <v>coal</v>
      </c>
    </row>
    <row r="1936" spans="1:9" x14ac:dyDescent="0.15">
      <c r="A1936" s="2">
        <v>221422</v>
      </c>
      <c r="B1936" s="2" t="s">
        <v>77</v>
      </c>
      <c r="C1936" s="2">
        <v>2022</v>
      </c>
      <c r="D1936" s="2" t="s">
        <v>1</v>
      </c>
      <c r="E1936" s="2" t="s">
        <v>16</v>
      </c>
      <c r="F1936" s="2" t="s">
        <v>35</v>
      </c>
      <c r="G1936" s="7"/>
      <c r="H1936" s="13" t="str">
        <f>IFERROR(IF(ABS($G1936)&gt;0,VLOOKUP($E1936,'Fuel Category and Heat Rate'!$B$1:$G$34,6,FALSE)*($G1936),""),"")</f>
        <v/>
      </c>
      <c r="I1936" t="str">
        <f>IFERROR(VLOOKUP($E1936,'Fuel Category and Heat Rate'!$K$2:$M$36,3,FALSE),"")</f>
        <v>petroleum diesel</v>
      </c>
    </row>
    <row r="1937" spans="1:9" x14ac:dyDescent="0.15">
      <c r="A1937" s="2">
        <v>221457</v>
      </c>
      <c r="B1937" s="2" t="s">
        <v>77</v>
      </c>
      <c r="C1937" s="2">
        <v>2022</v>
      </c>
      <c r="D1937" s="2" t="s">
        <v>1</v>
      </c>
      <c r="E1937" s="2" t="s">
        <v>19</v>
      </c>
      <c r="F1937" s="2" t="s">
        <v>35</v>
      </c>
      <c r="G1937" s="7">
        <v>-0.13</v>
      </c>
      <c r="H1937" s="13">
        <f>IFERROR(IF(ABS($G1937)&gt;0,VLOOKUP($E1937,'Fuel Category and Heat Rate'!$B$1:$G$34,6,FALSE)*($G1937),""),"")</f>
        <v>-51524097041.876984</v>
      </c>
      <c r="I1937" t="str">
        <f>IFERROR(VLOOKUP($E1937,'Fuel Category and Heat Rate'!$K$2:$M$36,3,FALSE),"")</f>
        <v>heavy or residual fuel oil</v>
      </c>
    </row>
    <row r="1938" spans="1:9" x14ac:dyDescent="0.15">
      <c r="A1938" s="2">
        <v>221492</v>
      </c>
      <c r="B1938" s="2" t="s">
        <v>77</v>
      </c>
      <c r="C1938" s="2">
        <v>2022</v>
      </c>
      <c r="D1938" s="2" t="s">
        <v>1</v>
      </c>
      <c r="E1938" s="2" t="s">
        <v>31</v>
      </c>
      <c r="F1938" s="2" t="s">
        <v>37</v>
      </c>
      <c r="G1938" s="7">
        <v>5792.41</v>
      </c>
      <c r="H1938" s="13">
        <f>IFERROR(IF(ABS($G1938)&gt;0,VLOOKUP($E1938,'Fuel Category and Heat Rate'!$B$1:$G$34,6,FALSE)*($G1938),""),"")</f>
        <v>54901453795076.344</v>
      </c>
      <c r="I1938" t="str">
        <f>IFERROR(VLOOKUP($E1938,'Fuel Category and Heat Rate'!$K$2:$M$36,3,FALSE),"")</f>
        <v>heat</v>
      </c>
    </row>
    <row r="1939" spans="1:9" x14ac:dyDescent="0.15">
      <c r="A1939" s="2">
        <v>221527</v>
      </c>
      <c r="B1939" s="2" t="s">
        <v>77</v>
      </c>
      <c r="C1939" s="2">
        <v>2022</v>
      </c>
      <c r="D1939" s="2" t="s">
        <v>1</v>
      </c>
      <c r="E1939" s="2" t="s">
        <v>23</v>
      </c>
      <c r="F1939" s="2" t="s">
        <v>35</v>
      </c>
      <c r="G1939" s="7"/>
      <c r="H1939" s="13" t="str">
        <f>IFERROR(IF(ABS($G1939)&gt;0,VLOOKUP($E1939,'Fuel Category and Heat Rate'!$B$1:$G$34,6,FALSE)*($G1939),""),"")</f>
        <v/>
      </c>
      <c r="I1939" t="str">
        <f>IFERROR(VLOOKUP($E1939,'Fuel Category and Heat Rate'!$K$2:$M$36,3,FALSE),"")</f>
        <v>heavy or residual fuel oil</v>
      </c>
    </row>
    <row r="1940" spans="1:9" x14ac:dyDescent="0.15">
      <c r="A1940" s="2">
        <v>221562</v>
      </c>
      <c r="B1940" s="2" t="s">
        <v>77</v>
      </c>
      <c r="C1940" s="2">
        <v>2022</v>
      </c>
      <c r="D1940" s="2" t="s">
        <v>1</v>
      </c>
      <c r="E1940" s="2" t="s">
        <v>21</v>
      </c>
      <c r="F1940" s="2" t="s">
        <v>35</v>
      </c>
      <c r="G1940" s="7"/>
      <c r="H1940" s="13" t="str">
        <f>IFERROR(IF(ABS($G1940)&gt;0,VLOOKUP($E1940,'Fuel Category and Heat Rate'!$B$1:$G$34,6,FALSE)*($G1940),""),"")</f>
        <v/>
      </c>
      <c r="I1940" t="str">
        <f>IFERROR(VLOOKUP($E1940,'Fuel Category and Heat Rate'!$K$2:$M$36,3,FALSE),"")</f>
        <v>LPG propane or butane</v>
      </c>
    </row>
    <row r="1941" spans="1:9" x14ac:dyDescent="0.15">
      <c r="A1941" s="2">
        <v>221597</v>
      </c>
      <c r="B1941" s="2" t="s">
        <v>77</v>
      </c>
      <c r="C1941" s="2">
        <v>2022</v>
      </c>
      <c r="D1941" s="2" t="s">
        <v>1</v>
      </c>
      <c r="E1941" s="2" t="s">
        <v>22</v>
      </c>
      <c r="F1941" s="2" t="s">
        <v>35</v>
      </c>
      <c r="G1941" s="7"/>
      <c r="H1941" s="13" t="str">
        <f>IFERROR(IF(ABS($G1941)&gt;0,VLOOKUP($E1941,'Fuel Category and Heat Rate'!$B$1:$G$34,6,FALSE)*($G1941),""),"")</f>
        <v/>
      </c>
      <c r="I1941" t="str">
        <f>IFERROR(VLOOKUP($E1941,'Fuel Category and Heat Rate'!$K$2:$M$36,3,FALSE),"")</f>
        <v>heavy fuel oil</v>
      </c>
    </row>
    <row r="1942" spans="1:9" x14ac:dyDescent="0.15">
      <c r="A1942" s="2">
        <v>221632</v>
      </c>
      <c r="B1942" s="2" t="s">
        <v>77</v>
      </c>
      <c r="C1942" s="2">
        <v>2022</v>
      </c>
      <c r="D1942" s="2" t="s">
        <v>1</v>
      </c>
      <c r="E1942" s="2" t="s">
        <v>20</v>
      </c>
      <c r="F1942" s="2" t="s">
        <v>35</v>
      </c>
      <c r="G1942" s="7"/>
      <c r="H1942" s="13" t="str">
        <f>IFERROR(IF(ABS($G1942)&gt;0,VLOOKUP($E1942,'Fuel Category and Heat Rate'!$B$1:$G$34,6,FALSE)*($G1942),""),"")</f>
        <v/>
      </c>
      <c r="I1942" t="str">
        <f>IFERROR(VLOOKUP($E1942,'Fuel Category and Heat Rate'!$K$2:$M$36,3,FALSE),"")</f>
        <v>LPG propane or butane</v>
      </c>
    </row>
    <row r="1943" spans="1:9" x14ac:dyDescent="0.15">
      <c r="A1943" s="2">
        <v>221667</v>
      </c>
      <c r="B1943" s="2" t="s">
        <v>77</v>
      </c>
      <c r="C1943" s="2">
        <v>2022</v>
      </c>
      <c r="D1943" s="2" t="s">
        <v>1</v>
      </c>
      <c r="E1943" s="2" t="s">
        <v>25</v>
      </c>
      <c r="F1943" s="2" t="s">
        <v>35</v>
      </c>
      <c r="G1943" s="7">
        <v>-7</v>
      </c>
      <c r="H1943" s="13">
        <f>IFERROR(IF(ABS($G1943)&gt;0,VLOOKUP($E1943,'Fuel Category and Heat Rate'!$B$1:$G$34,6,FALSE)*($G1943),""),"")</f>
        <v>-2119593953249.0151</v>
      </c>
      <c r="I1943" t="str">
        <f>IFERROR(VLOOKUP($E1943,'Fuel Category and Heat Rate'!$K$2:$M$36,3,FALSE),"")</f>
        <v>heavy fuel oil</v>
      </c>
    </row>
    <row r="1944" spans="1:9" x14ac:dyDescent="0.15">
      <c r="A1944" s="2">
        <v>221702</v>
      </c>
      <c r="B1944" s="2" t="s">
        <v>77</v>
      </c>
      <c r="C1944" s="2">
        <v>2022</v>
      </c>
      <c r="D1944" s="2" t="s">
        <v>1</v>
      </c>
      <c r="E1944" s="2" t="s">
        <v>24</v>
      </c>
      <c r="F1944" s="2" t="s">
        <v>35</v>
      </c>
      <c r="G1944" s="7"/>
      <c r="H1944" s="13" t="str">
        <f>IFERROR(IF(ABS($G1944)&gt;0,VLOOKUP($E1944,'Fuel Category and Heat Rate'!$B$1:$G$34,6,FALSE)*($G1944),""),"")</f>
        <v/>
      </c>
      <c r="I1944" t="str">
        <f>IFERROR(VLOOKUP($E1944,'Fuel Category and Heat Rate'!$K$2:$M$36,3,FALSE),"")</f>
        <v>heavy fuel oil</v>
      </c>
    </row>
    <row r="1945" spans="1:9" x14ac:dyDescent="0.15">
      <c r="A1945" s="2">
        <v>221737</v>
      </c>
      <c r="B1945" s="2" t="s">
        <v>77</v>
      </c>
      <c r="C1945" s="2">
        <v>2022</v>
      </c>
      <c r="D1945" s="2" t="s">
        <v>1</v>
      </c>
      <c r="E1945" s="2" t="s">
        <v>29</v>
      </c>
      <c r="F1945" s="2" t="s">
        <v>36</v>
      </c>
      <c r="G1945" s="7">
        <v>-0.44</v>
      </c>
      <c r="H1945" s="13">
        <f>IFERROR(IF(ABS($G1945)&gt;0,VLOOKUP($E1945,'Fuel Category and Heat Rate'!$B$1:$G$34,6,FALSE)*($G1945),""),"")</f>
        <v>-1484014329667.9507</v>
      </c>
      <c r="I1945" t="str">
        <f>IFERROR(VLOOKUP($E1945,'Fuel Category and Heat Rate'!$K$2:$M$36,3,FALSE),"")</f>
        <v>natural gas</v>
      </c>
    </row>
    <row r="1946" spans="1:9" x14ac:dyDescent="0.15">
      <c r="A1946" s="2">
        <v>221772</v>
      </c>
      <c r="B1946" s="2" t="s">
        <v>77</v>
      </c>
      <c r="C1946" s="2">
        <v>2022</v>
      </c>
      <c r="D1946" s="2" t="s">
        <v>1</v>
      </c>
      <c r="E1946" s="2" t="s">
        <v>4</v>
      </c>
      <c r="F1946" s="2" t="s">
        <v>35</v>
      </c>
      <c r="G1946" s="7"/>
      <c r="H1946" s="13" t="str">
        <f>IFERROR(IF(ABS($G1946)&gt;0,VLOOKUP($E1946,'Fuel Category and Heat Rate'!$B$1:$G$34,6,FALSE)*($G1946),""),"")</f>
        <v/>
      </c>
      <c r="I1946" t="str">
        <f>IFERROR(VLOOKUP($E1946,'Fuel Category and Heat Rate'!$K$2:$M$36,3,FALSE),"")</f>
        <v>coal</v>
      </c>
    </row>
    <row r="1947" spans="1:9" x14ac:dyDescent="0.15">
      <c r="A1947" s="2">
        <v>221807</v>
      </c>
      <c r="B1947" s="2" t="s">
        <v>77</v>
      </c>
      <c r="C1947" s="2">
        <v>2022</v>
      </c>
      <c r="D1947" s="2" t="s">
        <v>1</v>
      </c>
      <c r="E1947" s="2" t="s">
        <v>6</v>
      </c>
      <c r="F1947" s="2" t="s">
        <v>35</v>
      </c>
      <c r="G1947" s="7"/>
      <c r="H1947" s="13" t="str">
        <f>IFERROR(IF(ABS($G1947)&gt;0,VLOOKUP($E1947,'Fuel Category and Heat Rate'!$B$1:$G$34,6,FALSE)*($G1947),""),"")</f>
        <v/>
      </c>
      <c r="I1947" t="str">
        <f>IFERROR(VLOOKUP($E1947,'Fuel Category and Heat Rate'!$K$2:$M$36,3,FALSE),"")</f>
        <v>coal</v>
      </c>
    </row>
    <row r="1948" spans="1:9" x14ac:dyDescent="0.15">
      <c r="A1948" s="2">
        <v>221842</v>
      </c>
      <c r="B1948" s="2" t="s">
        <v>77</v>
      </c>
      <c r="C1948" s="2">
        <v>2022</v>
      </c>
      <c r="D1948" s="2" t="s">
        <v>1</v>
      </c>
      <c r="E1948" s="2" t="s">
        <v>26</v>
      </c>
      <c r="F1948" s="2" t="s">
        <v>35</v>
      </c>
      <c r="G1948" s="7"/>
      <c r="H1948" s="13" t="str">
        <f>IFERROR(IF(ABS($G1948)&gt;0,VLOOKUP($E1948,'Fuel Category and Heat Rate'!$B$1:$G$34,6,FALSE)*($G1948),""),"")</f>
        <v/>
      </c>
      <c r="I1948" t="str">
        <f>IFERROR(VLOOKUP($E1948,'Fuel Category and Heat Rate'!$K$2:$M$36,3,FALSE),"")</f>
        <v>LPG propane or butane</v>
      </c>
    </row>
    <row r="1949" spans="1:9" x14ac:dyDescent="0.15">
      <c r="A1949" s="2">
        <v>221877</v>
      </c>
      <c r="B1949" s="2" t="s">
        <v>77</v>
      </c>
      <c r="C1949" s="2">
        <v>2022</v>
      </c>
      <c r="D1949" s="2" t="s">
        <v>1</v>
      </c>
      <c r="E1949" s="2" t="s">
        <v>30</v>
      </c>
      <c r="F1949" s="2" t="s">
        <v>35</v>
      </c>
      <c r="G1949" s="7"/>
      <c r="H1949" s="13" t="str">
        <f>IFERROR(IF(ABS($G1949)&gt;0,VLOOKUP($E1949,'Fuel Category and Heat Rate'!$B$1:$G$34,6,FALSE)*($G1949),""),"")</f>
        <v/>
      </c>
      <c r="I1949" t="str">
        <f>IFERROR(VLOOKUP($E1949,'Fuel Category and Heat Rate'!$K$2:$M$36,3,FALSE),"")</f>
        <v>natural gas</v>
      </c>
    </row>
    <row r="1950" spans="1:9" x14ac:dyDescent="0.15">
      <c r="A1950" s="2">
        <v>221912</v>
      </c>
      <c r="B1950" s="2" t="s">
        <v>77</v>
      </c>
      <c r="C1950" s="2">
        <v>2022</v>
      </c>
      <c r="D1950" s="2" t="s">
        <v>1</v>
      </c>
      <c r="E1950" s="2" t="s">
        <v>14</v>
      </c>
      <c r="F1950" s="2" t="s">
        <v>35</v>
      </c>
      <c r="G1950" s="7">
        <v>-7.9</v>
      </c>
      <c r="H1950" s="13">
        <f>IFERROR(IF(ABS($G1950)&gt;0,VLOOKUP($E1950,'Fuel Category and Heat Rate'!$B$1:$G$34,6,FALSE)*($G1950),""),"")</f>
        <v>0</v>
      </c>
      <c r="I1950" t="str">
        <f>IFERROR(VLOOKUP($E1950,'Fuel Category and Heat Rate'!$K$2:$M$36,3,FALSE),"")</f>
        <v/>
      </c>
    </row>
    <row r="1951" spans="1:9" x14ac:dyDescent="0.15">
      <c r="A1951" s="2">
        <v>221947</v>
      </c>
      <c r="B1951" s="2" t="s">
        <v>77</v>
      </c>
      <c r="C1951" s="2">
        <v>2022</v>
      </c>
      <c r="D1951" s="2" t="s">
        <v>1</v>
      </c>
      <c r="E1951" s="2" t="s">
        <v>3</v>
      </c>
      <c r="F1951" s="2" t="s">
        <v>35</v>
      </c>
      <c r="G1951" s="7">
        <v>-251.05</v>
      </c>
      <c r="H1951" s="13">
        <f>IFERROR(IF(ABS($G1951)&gt;0,VLOOKUP($E1951,'Fuel Category and Heat Rate'!$B$1:$G$34,6,FALSE)*($G1951),""),"")</f>
        <v>-49750479086012.367</v>
      </c>
      <c r="I1951" t="str">
        <f>IFERROR(VLOOKUP($E1951,'Fuel Category and Heat Rate'!$K$2:$M$36,3,FALSE),"")</f>
        <v>coal</v>
      </c>
    </row>
    <row r="1952" spans="1:9" x14ac:dyDescent="0.15">
      <c r="A1952" s="2">
        <v>221982</v>
      </c>
      <c r="B1952" s="2" t="s">
        <v>77</v>
      </c>
      <c r="C1952" s="2">
        <v>2022</v>
      </c>
      <c r="D1952" s="2" t="s">
        <v>1</v>
      </c>
      <c r="E1952" s="2" t="s">
        <v>15</v>
      </c>
      <c r="F1952" s="2" t="s">
        <v>35</v>
      </c>
      <c r="G1952" s="7"/>
      <c r="H1952" s="13" t="str">
        <f>IFERROR(IF(ABS($G1952)&gt;0,VLOOKUP($E1952,'Fuel Category and Heat Rate'!$B$1:$G$34,6,FALSE)*($G1952),""),"")</f>
        <v/>
      </c>
      <c r="I1952" t="str">
        <f>IFERROR(VLOOKUP($E1952,'Fuel Category and Heat Rate'!$K$2:$M$36,3,FALSE),"")</f>
        <v>crude oil</v>
      </c>
    </row>
    <row r="1953" spans="1:9" x14ac:dyDescent="0.15">
      <c r="A1953" s="2">
        <v>222017</v>
      </c>
      <c r="B1953" s="2" t="s">
        <v>77</v>
      </c>
      <c r="C1953" s="2">
        <v>2022</v>
      </c>
      <c r="D1953" s="2" t="s">
        <v>1</v>
      </c>
      <c r="E1953" s="2" t="s">
        <v>11</v>
      </c>
      <c r="F1953" s="2" t="s">
        <v>36</v>
      </c>
      <c r="G1953" s="7">
        <v>-1.75</v>
      </c>
      <c r="H1953" s="13">
        <f>IFERROR(IF(ABS($G1953)&gt;0,VLOOKUP($E1953,'Fuel Category and Heat Rate'!$B$1:$G$34,6,FALSE)*($G1953),""),"")</f>
        <v>-1317821231928.1487</v>
      </c>
      <c r="I1953" t="str">
        <f>IFERROR(VLOOKUP($E1953,'Fuel Category and Heat Rate'!$K$2:$M$36,3,FALSE),"")</f>
        <v>LPG propane or butane</v>
      </c>
    </row>
    <row r="1954" spans="1:9" x14ac:dyDescent="0.15">
      <c r="A1954" s="2">
        <v>222052</v>
      </c>
      <c r="B1954" s="2" t="s">
        <v>77</v>
      </c>
      <c r="C1954" s="2">
        <v>2021</v>
      </c>
      <c r="D1954" s="2" t="s">
        <v>1</v>
      </c>
      <c r="E1954" s="2" t="s">
        <v>18</v>
      </c>
      <c r="F1954" s="2" t="s">
        <v>35</v>
      </c>
      <c r="G1954" s="7"/>
      <c r="H1954" s="13" t="str">
        <f>IFERROR(IF(ABS($G1954)&gt;0,VLOOKUP($E1954,'Fuel Category and Heat Rate'!$B$1:$G$34,6,FALSE)*($G1954),""),"")</f>
        <v/>
      </c>
      <c r="I1954" t="str">
        <f>IFERROR(VLOOKUP($E1954,'Fuel Category and Heat Rate'!$K$2:$M$36,3,FALSE),"")</f>
        <v>petroleum diesel</v>
      </c>
    </row>
    <row r="1955" spans="1:9" x14ac:dyDescent="0.15">
      <c r="A1955" s="2">
        <v>222087</v>
      </c>
      <c r="B1955" s="2" t="s">
        <v>77</v>
      </c>
      <c r="C1955" s="2">
        <v>2021</v>
      </c>
      <c r="D1955" s="2" t="s">
        <v>1</v>
      </c>
      <c r="E1955" s="2" t="s">
        <v>32</v>
      </c>
      <c r="F1955" s="2" t="s">
        <v>65</v>
      </c>
      <c r="G1955" s="7"/>
      <c r="H1955" s="13" t="str">
        <f>IFERROR(IF(ABS($G1955)&gt;0,VLOOKUP($E1955,'Fuel Category and Heat Rate'!$B$1:$G$34,6,FALSE)*($G1955),""),"")</f>
        <v/>
      </c>
      <c r="I1955" t="str">
        <f>IFERROR(VLOOKUP($E1955,'Fuel Category and Heat Rate'!$K$2:$M$36,3,FALSE),"")</f>
        <v>electricity</v>
      </c>
    </row>
    <row r="1956" spans="1:9" x14ac:dyDescent="0.15">
      <c r="A1956" s="2">
        <v>222122</v>
      </c>
      <c r="B1956" s="2" t="s">
        <v>77</v>
      </c>
      <c r="C1956" s="2">
        <v>2021</v>
      </c>
      <c r="D1956" s="2" t="s">
        <v>1</v>
      </c>
      <c r="E1956" s="2" t="s">
        <v>10</v>
      </c>
      <c r="F1956" s="2" t="s">
        <v>36</v>
      </c>
      <c r="G1956" s="7">
        <v>-56.78</v>
      </c>
      <c r="H1956" s="13">
        <f>IFERROR(IF(ABS($G1956)&gt;0,VLOOKUP($E1956,'Fuel Category and Heat Rate'!$B$1:$G$34,6,FALSE)*($G1956),""),"")</f>
        <v>-20251358257479.926</v>
      </c>
      <c r="I1956" t="str">
        <f>IFERROR(VLOOKUP($E1956,'Fuel Category and Heat Rate'!$K$2:$M$36,3,FALSE),"")</f>
        <v>LPG propane or butane</v>
      </c>
    </row>
    <row r="1957" spans="1:9" x14ac:dyDescent="0.15">
      <c r="A1957" s="2">
        <v>222157</v>
      </c>
      <c r="B1957" s="2" t="s">
        <v>77</v>
      </c>
      <c r="C1957" s="2">
        <v>2021</v>
      </c>
      <c r="D1957" s="2" t="s">
        <v>1</v>
      </c>
      <c r="E1957" s="2" t="s">
        <v>9</v>
      </c>
      <c r="F1957" s="2" t="s">
        <v>36</v>
      </c>
      <c r="G1957" s="7"/>
      <c r="H1957" s="13" t="str">
        <f>IFERROR(IF(ABS($G1957)&gt;0,VLOOKUP($E1957,'Fuel Category and Heat Rate'!$B$1:$G$34,6,FALSE)*($G1957),""),"")</f>
        <v/>
      </c>
      <c r="I1957" t="str">
        <f>IFERROR(VLOOKUP($E1957,'Fuel Category and Heat Rate'!$K$2:$M$36,3,FALSE),"")</f>
        <v>LPG propane or butane</v>
      </c>
    </row>
    <row r="1958" spans="1:9" x14ac:dyDescent="0.15">
      <c r="A1958" s="2">
        <v>222192</v>
      </c>
      <c r="B1958" s="2" t="s">
        <v>77</v>
      </c>
      <c r="C1958" s="2">
        <v>2021</v>
      </c>
      <c r="D1958" s="2" t="s">
        <v>1</v>
      </c>
      <c r="E1958" s="2" t="s">
        <v>8</v>
      </c>
      <c r="F1958" s="2" t="s">
        <v>35</v>
      </c>
      <c r="G1958" s="7"/>
      <c r="H1958" s="13" t="str">
        <f>IFERROR(IF(ABS($G1958)&gt;0,VLOOKUP($E1958,'Fuel Category and Heat Rate'!$B$1:$G$34,6,FALSE)*($G1958),""),"")</f>
        <v/>
      </c>
      <c r="I1958" t="str">
        <f>IFERROR(VLOOKUP($E1958,'Fuel Category and Heat Rate'!$K$2:$M$36,3,FALSE),"")</f>
        <v>coal</v>
      </c>
    </row>
    <row r="1959" spans="1:9" x14ac:dyDescent="0.15">
      <c r="A1959" s="2">
        <v>222227</v>
      </c>
      <c r="B1959" s="2" t="s">
        <v>77</v>
      </c>
      <c r="C1959" s="2">
        <v>2021</v>
      </c>
      <c r="D1959" s="2" t="s">
        <v>1</v>
      </c>
      <c r="E1959" s="2" t="s">
        <v>27</v>
      </c>
      <c r="F1959" s="2" t="s">
        <v>35</v>
      </c>
      <c r="G1959" s="7">
        <v>-0.85</v>
      </c>
      <c r="H1959" s="13">
        <f>IFERROR(IF(ABS($G1959)&gt;0,VLOOKUP($E1959,'Fuel Category and Heat Rate'!$B$1:$G$34,6,FALSE)*($G1959),""),"")</f>
        <v>-370580382071.71686</v>
      </c>
      <c r="I1959" t="str">
        <f>IFERROR(VLOOKUP($E1959,'Fuel Category and Heat Rate'!$K$2:$M$36,3,FALSE),"")</f>
        <v>LPG propane or butane</v>
      </c>
    </row>
    <row r="1960" spans="1:9" x14ac:dyDescent="0.15">
      <c r="A1960" s="2">
        <v>222262</v>
      </c>
      <c r="B1960" s="2" t="s">
        <v>77</v>
      </c>
      <c r="C1960" s="2">
        <v>2021</v>
      </c>
      <c r="D1960" s="2" t="s">
        <v>1</v>
      </c>
      <c r="E1960" s="2" t="s">
        <v>7</v>
      </c>
      <c r="F1960" s="2" t="s">
        <v>35</v>
      </c>
      <c r="G1960" s="7"/>
      <c r="H1960" s="13" t="str">
        <f>IFERROR(IF(ABS($G1960)&gt;0,VLOOKUP($E1960,'Fuel Category and Heat Rate'!$B$1:$G$34,6,FALSE)*($G1960),""),"")</f>
        <v/>
      </c>
      <c r="I1960" t="str">
        <f>IFERROR(VLOOKUP($E1960,'Fuel Category and Heat Rate'!$K$2:$M$36,3,FALSE),"")</f>
        <v>coal</v>
      </c>
    </row>
    <row r="1961" spans="1:9" x14ac:dyDescent="0.15">
      <c r="A1961" s="2">
        <v>222297</v>
      </c>
      <c r="B1961" s="2" t="s">
        <v>77</v>
      </c>
      <c r="C1961" s="2">
        <v>2021</v>
      </c>
      <c r="D1961" s="2" t="s">
        <v>1</v>
      </c>
      <c r="E1961" s="2" t="s">
        <v>2</v>
      </c>
      <c r="F1961" s="2" t="s">
        <v>35</v>
      </c>
      <c r="G1961" s="7">
        <v>-353.22</v>
      </c>
      <c r="H1961" s="13">
        <f>IFERROR(IF(ABS($G1961)&gt;0,VLOOKUP($E1961,'Fuel Category and Heat Rate'!$B$1:$G$34,6,FALSE)*($G1961),""),"")</f>
        <v>0</v>
      </c>
      <c r="I1961" t="str">
        <f>IFERROR(VLOOKUP($E1961,'Fuel Category and Heat Rate'!$K$2:$M$36,3,FALSE),"")</f>
        <v/>
      </c>
    </row>
    <row r="1962" spans="1:9" x14ac:dyDescent="0.15">
      <c r="A1962" s="2">
        <v>222332</v>
      </c>
      <c r="B1962" s="2" t="s">
        <v>77</v>
      </c>
      <c r="C1962" s="2">
        <v>2021</v>
      </c>
      <c r="D1962" s="2" t="s">
        <v>1</v>
      </c>
      <c r="E1962" s="2" t="s">
        <v>17</v>
      </c>
      <c r="F1962" s="2" t="s">
        <v>35</v>
      </c>
      <c r="G1962" s="7"/>
      <c r="H1962" s="13" t="str">
        <f>IFERROR(IF(ABS($G1962)&gt;0,VLOOKUP($E1962,'Fuel Category and Heat Rate'!$B$1:$G$34,6,FALSE)*($G1962),""),"")</f>
        <v/>
      </c>
      <c r="I1962" t="str">
        <f>IFERROR(VLOOKUP($E1962,'Fuel Category and Heat Rate'!$K$2:$M$36,3,FALSE),"")</f>
        <v>petroleum diesel</v>
      </c>
    </row>
    <row r="1963" spans="1:9" x14ac:dyDescent="0.15">
      <c r="A1963" s="2">
        <v>222367</v>
      </c>
      <c r="B1963" s="2" t="s">
        <v>77</v>
      </c>
      <c r="C1963" s="2">
        <v>2021</v>
      </c>
      <c r="D1963" s="2" t="s">
        <v>1</v>
      </c>
      <c r="E1963" s="2" t="s">
        <v>13</v>
      </c>
      <c r="F1963" s="2" t="s">
        <v>35</v>
      </c>
      <c r="G1963" s="7"/>
      <c r="H1963" s="13" t="str">
        <f>IFERROR(IF(ABS($G1963)&gt;0,VLOOKUP($E1963,'Fuel Category and Heat Rate'!$B$1:$G$34,6,FALSE)*($G1963),""),"")</f>
        <v/>
      </c>
      <c r="I1963" t="str">
        <f>IFERROR(VLOOKUP($E1963,'Fuel Category and Heat Rate'!$K$2:$M$36,3,FALSE),"")</f>
        <v>petroleum diesel</v>
      </c>
    </row>
    <row r="1964" spans="1:9" x14ac:dyDescent="0.15">
      <c r="A1964" s="2">
        <v>222402</v>
      </c>
      <c r="B1964" s="2" t="s">
        <v>77</v>
      </c>
      <c r="C1964" s="2">
        <v>2021</v>
      </c>
      <c r="D1964" s="2" t="s">
        <v>1</v>
      </c>
      <c r="E1964" s="2" t="s">
        <v>12</v>
      </c>
      <c r="F1964" s="2" t="s">
        <v>36</v>
      </c>
      <c r="G1964" s="7"/>
      <c r="H1964" s="13" t="str">
        <f>IFERROR(IF(ABS($G1964)&gt;0,VLOOKUP($E1964,'Fuel Category and Heat Rate'!$B$1:$G$34,6,FALSE)*($G1964),""),"")</f>
        <v/>
      </c>
      <c r="I1964" t="str">
        <f>IFERROR(VLOOKUP($E1964,'Fuel Category and Heat Rate'!$K$2:$M$36,3,FALSE),"")</f>
        <v>LPG propane or butane</v>
      </c>
    </row>
    <row r="1965" spans="1:9" x14ac:dyDescent="0.15">
      <c r="A1965" s="2">
        <v>222437</v>
      </c>
      <c r="B1965" s="2" t="s">
        <v>77</v>
      </c>
      <c r="C1965" s="2">
        <v>2021</v>
      </c>
      <c r="D1965" s="2" t="s">
        <v>1</v>
      </c>
      <c r="E1965" s="2" t="s">
        <v>33</v>
      </c>
      <c r="F1965" s="2" t="s">
        <v>38</v>
      </c>
      <c r="G1965" s="7">
        <v>-1.32</v>
      </c>
      <c r="H1965" s="13">
        <f>IFERROR(IF(ABS($G1965)&gt;0,VLOOKUP($E1965,'Fuel Category and Heat Rate'!$B$1:$G$34,6,FALSE)*($G1965),""),"")</f>
        <v>-366214925968.13715</v>
      </c>
      <c r="I1965" t="str">
        <f>IFERROR(VLOOKUP($E1965,'Fuel Category and Heat Rate'!$K$2:$M$36,3,FALSE),"")</f>
        <v>biomass</v>
      </c>
    </row>
    <row r="1966" spans="1:9" x14ac:dyDescent="0.15">
      <c r="A1966" s="2">
        <v>222472</v>
      </c>
      <c r="B1966" s="2" t="s">
        <v>77</v>
      </c>
      <c r="C1966" s="2">
        <v>2021</v>
      </c>
      <c r="D1966" s="2" t="s">
        <v>1</v>
      </c>
      <c r="E1966" s="2" t="s">
        <v>28</v>
      </c>
      <c r="F1966" s="2" t="s">
        <v>35</v>
      </c>
      <c r="G1966" s="7"/>
      <c r="H1966" s="13" t="str">
        <f>IFERROR(IF(ABS($G1966)&gt;0,VLOOKUP($E1966,'Fuel Category and Heat Rate'!$B$1:$G$34,6,FALSE)*($G1966),""),"")</f>
        <v/>
      </c>
      <c r="I1966" t="str">
        <f>IFERROR(VLOOKUP($E1966,'Fuel Category and Heat Rate'!$K$2:$M$36,3,FALSE),"")</f>
        <v>heavy or residual fuel oil</v>
      </c>
    </row>
    <row r="1967" spans="1:9" x14ac:dyDescent="0.15">
      <c r="A1967" s="2">
        <v>222507</v>
      </c>
      <c r="B1967" s="2" t="s">
        <v>77</v>
      </c>
      <c r="C1967" s="2">
        <v>2021</v>
      </c>
      <c r="D1967" s="2" t="s">
        <v>1</v>
      </c>
      <c r="E1967" s="2" t="s">
        <v>5</v>
      </c>
      <c r="F1967" s="2" t="s">
        <v>35</v>
      </c>
      <c r="G1967" s="7">
        <v>-135.56</v>
      </c>
      <c r="H1967" s="13">
        <f>IFERROR(IF(ABS($G1967)&gt;0,VLOOKUP($E1967,'Fuel Category and Heat Rate'!$B$1:$G$34,6,FALSE)*($G1967),""),"")</f>
        <v>-10745291635509.152</v>
      </c>
      <c r="I1967" t="str">
        <f>IFERROR(VLOOKUP($E1967,'Fuel Category and Heat Rate'!$K$2:$M$36,3,FALSE),"")</f>
        <v>coal</v>
      </c>
    </row>
    <row r="1968" spans="1:9" x14ac:dyDescent="0.15">
      <c r="A1968" s="2">
        <v>222542</v>
      </c>
      <c r="B1968" s="2" t="s">
        <v>77</v>
      </c>
      <c r="C1968" s="2">
        <v>2021</v>
      </c>
      <c r="D1968" s="2" t="s">
        <v>1</v>
      </c>
      <c r="E1968" s="2" t="s">
        <v>16</v>
      </c>
      <c r="F1968" s="2" t="s">
        <v>35</v>
      </c>
      <c r="G1968" s="7"/>
      <c r="H1968" s="13" t="str">
        <f>IFERROR(IF(ABS($G1968)&gt;0,VLOOKUP($E1968,'Fuel Category and Heat Rate'!$B$1:$G$34,6,FALSE)*($G1968),""),"")</f>
        <v/>
      </c>
      <c r="I1968" t="str">
        <f>IFERROR(VLOOKUP($E1968,'Fuel Category and Heat Rate'!$K$2:$M$36,3,FALSE),"")</f>
        <v>petroleum diesel</v>
      </c>
    </row>
    <row r="1969" spans="1:9" x14ac:dyDescent="0.15">
      <c r="A1969" s="2">
        <v>222577</v>
      </c>
      <c r="B1969" s="2" t="s">
        <v>77</v>
      </c>
      <c r="C1969" s="2">
        <v>2021</v>
      </c>
      <c r="D1969" s="2" t="s">
        <v>1</v>
      </c>
      <c r="E1969" s="2" t="s">
        <v>19</v>
      </c>
      <c r="F1969" s="2" t="s">
        <v>35</v>
      </c>
      <c r="G1969" s="7">
        <v>-0.11</v>
      </c>
      <c r="H1969" s="13">
        <f>IFERROR(IF(ABS($G1969)&gt;0,VLOOKUP($E1969,'Fuel Category and Heat Rate'!$B$1:$G$34,6,FALSE)*($G1969),""),"")</f>
        <v>-43597312881.588211</v>
      </c>
      <c r="I1969" t="str">
        <f>IFERROR(VLOOKUP($E1969,'Fuel Category and Heat Rate'!$K$2:$M$36,3,FALSE),"")</f>
        <v>heavy or residual fuel oil</v>
      </c>
    </row>
    <row r="1970" spans="1:9" x14ac:dyDescent="0.15">
      <c r="A1970" s="2">
        <v>222612</v>
      </c>
      <c r="B1970" s="2" t="s">
        <v>77</v>
      </c>
      <c r="C1970" s="2">
        <v>2021</v>
      </c>
      <c r="D1970" s="2" t="s">
        <v>1</v>
      </c>
      <c r="E1970" s="2" t="s">
        <v>31</v>
      </c>
      <c r="F1970" s="2" t="s">
        <v>37</v>
      </c>
      <c r="G1970" s="7">
        <v>5347.18</v>
      </c>
      <c r="H1970" s="13">
        <f>IFERROR(IF(ABS($G1970)&gt;0,VLOOKUP($E1970,'Fuel Category and Heat Rate'!$B$1:$G$34,6,FALSE)*($G1970),""),"")</f>
        <v>50681487619826.008</v>
      </c>
      <c r="I1970" t="str">
        <f>IFERROR(VLOOKUP($E1970,'Fuel Category and Heat Rate'!$K$2:$M$36,3,FALSE),"")</f>
        <v>heat</v>
      </c>
    </row>
    <row r="1971" spans="1:9" x14ac:dyDescent="0.15">
      <c r="A1971" s="2">
        <v>222647</v>
      </c>
      <c r="B1971" s="2" t="s">
        <v>77</v>
      </c>
      <c r="C1971" s="2">
        <v>2021</v>
      </c>
      <c r="D1971" s="2" t="s">
        <v>1</v>
      </c>
      <c r="E1971" s="2" t="s">
        <v>23</v>
      </c>
      <c r="F1971" s="2" t="s">
        <v>35</v>
      </c>
      <c r="G1971" s="7"/>
      <c r="H1971" s="13" t="str">
        <f>IFERROR(IF(ABS($G1971)&gt;0,VLOOKUP($E1971,'Fuel Category and Heat Rate'!$B$1:$G$34,6,FALSE)*($G1971),""),"")</f>
        <v/>
      </c>
      <c r="I1971" t="str">
        <f>IFERROR(VLOOKUP($E1971,'Fuel Category and Heat Rate'!$K$2:$M$36,3,FALSE),"")</f>
        <v>heavy or residual fuel oil</v>
      </c>
    </row>
    <row r="1972" spans="1:9" x14ac:dyDescent="0.15">
      <c r="A1972" s="2">
        <v>222682</v>
      </c>
      <c r="B1972" s="2" t="s">
        <v>77</v>
      </c>
      <c r="C1972" s="2">
        <v>2021</v>
      </c>
      <c r="D1972" s="2" t="s">
        <v>1</v>
      </c>
      <c r="E1972" s="2" t="s">
        <v>21</v>
      </c>
      <c r="F1972" s="2" t="s">
        <v>35</v>
      </c>
      <c r="G1972" s="7"/>
      <c r="H1972" s="13" t="str">
        <f>IFERROR(IF(ABS($G1972)&gt;0,VLOOKUP($E1972,'Fuel Category and Heat Rate'!$B$1:$G$34,6,FALSE)*($G1972),""),"")</f>
        <v/>
      </c>
      <c r="I1972" t="str">
        <f>IFERROR(VLOOKUP($E1972,'Fuel Category and Heat Rate'!$K$2:$M$36,3,FALSE),"")</f>
        <v>LPG propane or butane</v>
      </c>
    </row>
    <row r="1973" spans="1:9" x14ac:dyDescent="0.15">
      <c r="A1973" s="2">
        <v>222717</v>
      </c>
      <c r="B1973" s="2" t="s">
        <v>77</v>
      </c>
      <c r="C1973" s="2">
        <v>2021</v>
      </c>
      <c r="D1973" s="2" t="s">
        <v>1</v>
      </c>
      <c r="E1973" s="2" t="s">
        <v>22</v>
      </c>
      <c r="F1973" s="2" t="s">
        <v>35</v>
      </c>
      <c r="G1973" s="7"/>
      <c r="H1973" s="13" t="str">
        <f>IFERROR(IF(ABS($G1973)&gt;0,VLOOKUP($E1973,'Fuel Category and Heat Rate'!$B$1:$G$34,6,FALSE)*($G1973),""),"")</f>
        <v/>
      </c>
      <c r="I1973" t="str">
        <f>IFERROR(VLOOKUP($E1973,'Fuel Category and Heat Rate'!$K$2:$M$36,3,FALSE),"")</f>
        <v>heavy fuel oil</v>
      </c>
    </row>
    <row r="1974" spans="1:9" x14ac:dyDescent="0.15">
      <c r="A1974" s="2">
        <v>222752</v>
      </c>
      <c r="B1974" s="2" t="s">
        <v>77</v>
      </c>
      <c r="C1974" s="2">
        <v>2021</v>
      </c>
      <c r="D1974" s="2" t="s">
        <v>1</v>
      </c>
      <c r="E1974" s="2" t="s">
        <v>20</v>
      </c>
      <c r="F1974" s="2" t="s">
        <v>35</v>
      </c>
      <c r="G1974" s="7"/>
      <c r="H1974" s="13" t="str">
        <f>IFERROR(IF(ABS($G1974)&gt;0,VLOOKUP($E1974,'Fuel Category and Heat Rate'!$B$1:$G$34,6,FALSE)*($G1974),""),"")</f>
        <v/>
      </c>
      <c r="I1974" t="str">
        <f>IFERROR(VLOOKUP($E1974,'Fuel Category and Heat Rate'!$K$2:$M$36,3,FALSE),"")</f>
        <v>LPG propane or butane</v>
      </c>
    </row>
    <row r="1975" spans="1:9" x14ac:dyDescent="0.15">
      <c r="A1975" s="2">
        <v>222787</v>
      </c>
      <c r="B1975" s="2" t="s">
        <v>77</v>
      </c>
      <c r="C1975" s="2">
        <v>2021</v>
      </c>
      <c r="D1975" s="2" t="s">
        <v>1</v>
      </c>
      <c r="E1975" s="2" t="s">
        <v>25</v>
      </c>
      <c r="F1975" s="2" t="s">
        <v>35</v>
      </c>
      <c r="G1975" s="7">
        <v>-7.35</v>
      </c>
      <c r="H1975" s="13">
        <f>IFERROR(IF(ABS($G1975)&gt;0,VLOOKUP($E1975,'Fuel Category and Heat Rate'!$B$1:$G$34,6,FALSE)*($G1975),""),"")</f>
        <v>-2225573650911.4658</v>
      </c>
      <c r="I1975" t="str">
        <f>IFERROR(VLOOKUP($E1975,'Fuel Category and Heat Rate'!$K$2:$M$36,3,FALSE),"")</f>
        <v>heavy fuel oil</v>
      </c>
    </row>
    <row r="1976" spans="1:9" x14ac:dyDescent="0.15">
      <c r="A1976" s="2">
        <v>222822</v>
      </c>
      <c r="B1976" s="2" t="s">
        <v>77</v>
      </c>
      <c r="C1976" s="2">
        <v>2021</v>
      </c>
      <c r="D1976" s="2" t="s">
        <v>1</v>
      </c>
      <c r="E1976" s="2" t="s">
        <v>24</v>
      </c>
      <c r="F1976" s="2" t="s">
        <v>35</v>
      </c>
      <c r="G1976" s="7"/>
      <c r="H1976" s="13" t="str">
        <f>IFERROR(IF(ABS($G1976)&gt;0,VLOOKUP($E1976,'Fuel Category and Heat Rate'!$B$1:$G$34,6,FALSE)*($G1976),""),"")</f>
        <v/>
      </c>
      <c r="I1976" t="str">
        <f>IFERROR(VLOOKUP($E1976,'Fuel Category and Heat Rate'!$K$2:$M$36,3,FALSE),"")</f>
        <v>heavy fuel oil</v>
      </c>
    </row>
    <row r="1977" spans="1:9" x14ac:dyDescent="0.15">
      <c r="A1977" s="2">
        <v>222857</v>
      </c>
      <c r="B1977" s="2" t="s">
        <v>77</v>
      </c>
      <c r="C1977" s="2">
        <v>2021</v>
      </c>
      <c r="D1977" s="2" t="s">
        <v>1</v>
      </c>
      <c r="E1977" s="2" t="s">
        <v>29</v>
      </c>
      <c r="F1977" s="2" t="s">
        <v>36</v>
      </c>
      <c r="G1977" s="7">
        <v>-0.02</v>
      </c>
      <c r="H1977" s="13">
        <f>IFERROR(IF(ABS($G1977)&gt;0,VLOOKUP($E1977,'Fuel Category and Heat Rate'!$B$1:$G$34,6,FALSE)*($G1977),""),"")</f>
        <v>-67455196803.088676</v>
      </c>
      <c r="I1977" t="str">
        <f>IFERROR(VLOOKUP($E1977,'Fuel Category and Heat Rate'!$K$2:$M$36,3,FALSE),"")</f>
        <v>natural gas</v>
      </c>
    </row>
    <row r="1978" spans="1:9" x14ac:dyDescent="0.15">
      <c r="A1978" s="2">
        <v>222892</v>
      </c>
      <c r="B1978" s="2" t="s">
        <v>77</v>
      </c>
      <c r="C1978" s="2">
        <v>2021</v>
      </c>
      <c r="D1978" s="2" t="s">
        <v>1</v>
      </c>
      <c r="E1978" s="2" t="s">
        <v>4</v>
      </c>
      <c r="F1978" s="2" t="s">
        <v>35</v>
      </c>
      <c r="G1978" s="7"/>
      <c r="H1978" s="13" t="str">
        <f>IFERROR(IF(ABS($G1978)&gt;0,VLOOKUP($E1978,'Fuel Category and Heat Rate'!$B$1:$G$34,6,FALSE)*($G1978),""),"")</f>
        <v/>
      </c>
      <c r="I1978" t="str">
        <f>IFERROR(VLOOKUP($E1978,'Fuel Category and Heat Rate'!$K$2:$M$36,3,FALSE),"")</f>
        <v>coal</v>
      </c>
    </row>
    <row r="1979" spans="1:9" x14ac:dyDescent="0.15">
      <c r="A1979" s="2">
        <v>222927</v>
      </c>
      <c r="B1979" s="2" t="s">
        <v>77</v>
      </c>
      <c r="C1979" s="2">
        <v>2021</v>
      </c>
      <c r="D1979" s="2" t="s">
        <v>1</v>
      </c>
      <c r="E1979" s="2" t="s">
        <v>6</v>
      </c>
      <c r="F1979" s="2" t="s">
        <v>35</v>
      </c>
      <c r="G1979" s="7"/>
      <c r="H1979" s="13" t="str">
        <f>IFERROR(IF(ABS($G1979)&gt;0,VLOOKUP($E1979,'Fuel Category and Heat Rate'!$B$1:$G$34,6,FALSE)*($G1979),""),"")</f>
        <v/>
      </c>
      <c r="I1979" t="str">
        <f>IFERROR(VLOOKUP($E1979,'Fuel Category and Heat Rate'!$K$2:$M$36,3,FALSE),"")</f>
        <v>coal</v>
      </c>
    </row>
    <row r="1980" spans="1:9" x14ac:dyDescent="0.15">
      <c r="A1980" s="2">
        <v>222962</v>
      </c>
      <c r="B1980" s="2" t="s">
        <v>77</v>
      </c>
      <c r="C1980" s="2">
        <v>2021</v>
      </c>
      <c r="D1980" s="2" t="s">
        <v>1</v>
      </c>
      <c r="E1980" s="2" t="s">
        <v>26</v>
      </c>
      <c r="F1980" s="2" t="s">
        <v>35</v>
      </c>
      <c r="G1980" s="7"/>
      <c r="H1980" s="13" t="str">
        <f>IFERROR(IF(ABS($G1980)&gt;0,VLOOKUP($E1980,'Fuel Category and Heat Rate'!$B$1:$G$34,6,FALSE)*($G1980),""),"")</f>
        <v/>
      </c>
      <c r="I1980" t="str">
        <f>IFERROR(VLOOKUP($E1980,'Fuel Category and Heat Rate'!$K$2:$M$36,3,FALSE),"")</f>
        <v>LPG propane or butane</v>
      </c>
    </row>
    <row r="1981" spans="1:9" x14ac:dyDescent="0.15">
      <c r="A1981" s="2">
        <v>222997</v>
      </c>
      <c r="B1981" s="2" t="s">
        <v>77</v>
      </c>
      <c r="C1981" s="2">
        <v>2021</v>
      </c>
      <c r="D1981" s="2" t="s">
        <v>1</v>
      </c>
      <c r="E1981" s="2" t="s">
        <v>30</v>
      </c>
      <c r="F1981" s="2" t="s">
        <v>35</v>
      </c>
      <c r="G1981" s="7"/>
      <c r="H1981" s="13" t="str">
        <f>IFERROR(IF(ABS($G1981)&gt;0,VLOOKUP($E1981,'Fuel Category and Heat Rate'!$B$1:$G$34,6,FALSE)*($G1981),""),"")</f>
        <v/>
      </c>
      <c r="I1981" t="str">
        <f>IFERROR(VLOOKUP($E1981,'Fuel Category and Heat Rate'!$K$2:$M$36,3,FALSE),"")</f>
        <v>natural gas</v>
      </c>
    </row>
    <row r="1982" spans="1:9" x14ac:dyDescent="0.15">
      <c r="A1982" s="2">
        <v>223032</v>
      </c>
      <c r="B1982" s="2" t="s">
        <v>77</v>
      </c>
      <c r="C1982" s="2">
        <v>2021</v>
      </c>
      <c r="D1982" s="2" t="s">
        <v>1</v>
      </c>
      <c r="E1982" s="2" t="s">
        <v>14</v>
      </c>
      <c r="F1982" s="2" t="s">
        <v>35</v>
      </c>
      <c r="G1982" s="7">
        <v>-8.31</v>
      </c>
      <c r="H1982" s="13">
        <f>IFERROR(IF(ABS($G1982)&gt;0,VLOOKUP($E1982,'Fuel Category and Heat Rate'!$B$1:$G$34,6,FALSE)*($G1982),""),"")</f>
        <v>0</v>
      </c>
      <c r="I1982" t="str">
        <f>IFERROR(VLOOKUP($E1982,'Fuel Category and Heat Rate'!$K$2:$M$36,3,FALSE),"")</f>
        <v/>
      </c>
    </row>
    <row r="1983" spans="1:9" x14ac:dyDescent="0.15">
      <c r="A1983" s="2">
        <v>223067</v>
      </c>
      <c r="B1983" s="2" t="s">
        <v>77</v>
      </c>
      <c r="C1983" s="2">
        <v>2021</v>
      </c>
      <c r="D1983" s="2" t="s">
        <v>1</v>
      </c>
      <c r="E1983" s="2" t="s">
        <v>3</v>
      </c>
      <c r="F1983" s="2" t="s">
        <v>35</v>
      </c>
      <c r="G1983" s="7">
        <v>-217.66</v>
      </c>
      <c r="H1983" s="13">
        <f>IFERROR(IF(ABS($G1983)&gt;0,VLOOKUP($E1983,'Fuel Category and Heat Rate'!$B$1:$G$34,6,FALSE)*($G1983),""),"")</f>
        <v>-43133596008211.32</v>
      </c>
      <c r="I1983" t="str">
        <f>IFERROR(VLOOKUP($E1983,'Fuel Category and Heat Rate'!$K$2:$M$36,3,FALSE),"")</f>
        <v>coal</v>
      </c>
    </row>
    <row r="1984" spans="1:9" x14ac:dyDescent="0.15">
      <c r="A1984" s="2">
        <v>223102</v>
      </c>
      <c r="B1984" s="2" t="s">
        <v>77</v>
      </c>
      <c r="C1984" s="2">
        <v>2021</v>
      </c>
      <c r="D1984" s="2" t="s">
        <v>1</v>
      </c>
      <c r="E1984" s="2" t="s">
        <v>15</v>
      </c>
      <c r="F1984" s="2" t="s">
        <v>35</v>
      </c>
      <c r="G1984" s="7"/>
      <c r="H1984" s="13" t="str">
        <f>IFERROR(IF(ABS($G1984)&gt;0,VLOOKUP($E1984,'Fuel Category and Heat Rate'!$B$1:$G$34,6,FALSE)*($G1984),""),"")</f>
        <v/>
      </c>
      <c r="I1984" t="str">
        <f>IFERROR(VLOOKUP($E1984,'Fuel Category and Heat Rate'!$K$2:$M$36,3,FALSE),"")</f>
        <v>crude oil</v>
      </c>
    </row>
    <row r="1985" spans="1:9" x14ac:dyDescent="0.15">
      <c r="A1985" s="2">
        <v>223137</v>
      </c>
      <c r="B1985" s="2" t="s">
        <v>77</v>
      </c>
      <c r="C1985" s="2">
        <v>2021</v>
      </c>
      <c r="D1985" s="2" t="s">
        <v>1</v>
      </c>
      <c r="E1985" s="2" t="s">
        <v>11</v>
      </c>
      <c r="F1985" s="2" t="s">
        <v>36</v>
      </c>
      <c r="G1985" s="7"/>
      <c r="H1985" s="13" t="str">
        <f>IFERROR(IF(ABS($G1985)&gt;0,VLOOKUP($E1985,'Fuel Category and Heat Rate'!$B$1:$G$34,6,FALSE)*($G1985),""),"")</f>
        <v/>
      </c>
      <c r="I1985" t="str">
        <f>IFERROR(VLOOKUP($E1985,'Fuel Category and Heat Rate'!$K$2:$M$36,3,FALSE),"")</f>
        <v>LPG propane or butane</v>
      </c>
    </row>
    <row r="1986" spans="1:9" x14ac:dyDescent="0.15">
      <c r="A1986" s="2">
        <v>223172</v>
      </c>
      <c r="B1986" s="2" t="s">
        <v>77</v>
      </c>
      <c r="C1986" s="2">
        <v>2020</v>
      </c>
      <c r="D1986" s="2" t="s">
        <v>1</v>
      </c>
      <c r="E1986" s="2" t="s">
        <v>18</v>
      </c>
      <c r="F1986" s="2" t="s">
        <v>35</v>
      </c>
      <c r="G1986" s="7"/>
      <c r="H1986" s="13" t="str">
        <f>IFERROR(IF(ABS($G1986)&gt;0,VLOOKUP($E1986,'Fuel Category and Heat Rate'!$B$1:$G$34,6,FALSE)*($G1986),""),"")</f>
        <v/>
      </c>
      <c r="I1986" t="str">
        <f>IFERROR(VLOOKUP($E1986,'Fuel Category and Heat Rate'!$K$2:$M$36,3,FALSE),"")</f>
        <v>petroleum diesel</v>
      </c>
    </row>
    <row r="1987" spans="1:9" x14ac:dyDescent="0.15">
      <c r="A1987" s="2">
        <v>223207</v>
      </c>
      <c r="B1987" s="2" t="s">
        <v>77</v>
      </c>
      <c r="C1987" s="2">
        <v>2020</v>
      </c>
      <c r="D1987" s="2" t="s">
        <v>1</v>
      </c>
      <c r="E1987" s="2" t="s">
        <v>32</v>
      </c>
      <c r="F1987" s="2" t="s">
        <v>65</v>
      </c>
      <c r="G1987" s="7"/>
      <c r="H1987" s="13" t="str">
        <f>IFERROR(IF(ABS($G1987)&gt;0,VLOOKUP($E1987,'Fuel Category and Heat Rate'!$B$1:$G$34,6,FALSE)*($G1987),""),"")</f>
        <v/>
      </c>
      <c r="I1987" t="str">
        <f>IFERROR(VLOOKUP($E1987,'Fuel Category and Heat Rate'!$K$2:$M$36,3,FALSE),"")</f>
        <v>electricity</v>
      </c>
    </row>
    <row r="1988" spans="1:9" x14ac:dyDescent="0.15">
      <c r="A1988" s="2">
        <v>223242</v>
      </c>
      <c r="B1988" s="2" t="s">
        <v>77</v>
      </c>
      <c r="C1988" s="2">
        <v>2020</v>
      </c>
      <c r="D1988" s="2" t="s">
        <v>1</v>
      </c>
      <c r="E1988" s="2" t="s">
        <v>10</v>
      </c>
      <c r="F1988" s="2" t="s">
        <v>36</v>
      </c>
      <c r="G1988" s="7">
        <v>-60.25</v>
      </c>
      <c r="H1988" s="13">
        <f>IFERROR(IF(ABS($G1988)&gt;0,VLOOKUP($E1988,'Fuel Category and Heat Rate'!$B$1:$G$34,6,FALSE)*($G1988),""),"")</f>
        <v>-21488980891390.727</v>
      </c>
      <c r="I1988" t="str">
        <f>IFERROR(VLOOKUP($E1988,'Fuel Category and Heat Rate'!$K$2:$M$36,3,FALSE),"")</f>
        <v>LPG propane or butane</v>
      </c>
    </row>
    <row r="1989" spans="1:9" x14ac:dyDescent="0.15">
      <c r="A1989" s="2">
        <v>223277</v>
      </c>
      <c r="B1989" s="2" t="s">
        <v>77</v>
      </c>
      <c r="C1989" s="2">
        <v>2020</v>
      </c>
      <c r="D1989" s="2" t="s">
        <v>1</v>
      </c>
      <c r="E1989" s="2" t="s">
        <v>9</v>
      </c>
      <c r="F1989" s="2" t="s">
        <v>36</v>
      </c>
      <c r="G1989" s="7"/>
      <c r="H1989" s="13" t="str">
        <f>IFERROR(IF(ABS($G1989)&gt;0,VLOOKUP($E1989,'Fuel Category and Heat Rate'!$B$1:$G$34,6,FALSE)*($G1989),""),"")</f>
        <v/>
      </c>
      <c r="I1989" t="str">
        <f>IFERROR(VLOOKUP($E1989,'Fuel Category and Heat Rate'!$K$2:$M$36,3,FALSE),"")</f>
        <v>LPG propane or butane</v>
      </c>
    </row>
    <row r="1990" spans="1:9" x14ac:dyDescent="0.15">
      <c r="A1990" s="2">
        <v>223312</v>
      </c>
      <c r="B1990" s="2" t="s">
        <v>77</v>
      </c>
      <c r="C1990" s="2">
        <v>2020</v>
      </c>
      <c r="D1990" s="2" t="s">
        <v>1</v>
      </c>
      <c r="E1990" s="2" t="s">
        <v>8</v>
      </c>
      <c r="F1990" s="2" t="s">
        <v>35</v>
      </c>
      <c r="G1990" s="7"/>
      <c r="H1990" s="13" t="str">
        <f>IFERROR(IF(ABS($G1990)&gt;0,VLOOKUP($E1990,'Fuel Category and Heat Rate'!$B$1:$G$34,6,FALSE)*($G1990),""),"")</f>
        <v/>
      </c>
      <c r="I1990" t="str">
        <f>IFERROR(VLOOKUP($E1990,'Fuel Category and Heat Rate'!$K$2:$M$36,3,FALSE),"")</f>
        <v>coal</v>
      </c>
    </row>
    <row r="1991" spans="1:9" x14ac:dyDescent="0.15">
      <c r="A1991" s="2">
        <v>223347</v>
      </c>
      <c r="B1991" s="2" t="s">
        <v>77</v>
      </c>
      <c r="C1991" s="2">
        <v>2020</v>
      </c>
      <c r="D1991" s="2" t="s">
        <v>1</v>
      </c>
      <c r="E1991" s="2" t="s">
        <v>27</v>
      </c>
      <c r="F1991" s="2" t="s">
        <v>35</v>
      </c>
      <c r="G1991" s="7">
        <v>-1.43</v>
      </c>
      <c r="H1991" s="13">
        <f>IFERROR(IF(ABS($G1991)&gt;0,VLOOKUP($E1991,'Fuel Category and Heat Rate'!$B$1:$G$34,6,FALSE)*($G1991),""),"")</f>
        <v>-623446995720.65308</v>
      </c>
      <c r="I1991" t="str">
        <f>IFERROR(VLOOKUP($E1991,'Fuel Category and Heat Rate'!$K$2:$M$36,3,FALSE),"")</f>
        <v>LPG propane or butane</v>
      </c>
    </row>
    <row r="1992" spans="1:9" x14ac:dyDescent="0.15">
      <c r="A1992" s="2">
        <v>223382</v>
      </c>
      <c r="B1992" s="2" t="s">
        <v>77</v>
      </c>
      <c r="C1992" s="2">
        <v>2020</v>
      </c>
      <c r="D1992" s="2" t="s">
        <v>1</v>
      </c>
      <c r="E1992" s="2" t="s">
        <v>7</v>
      </c>
      <c r="F1992" s="2" t="s">
        <v>35</v>
      </c>
      <c r="G1992" s="7"/>
      <c r="H1992" s="13" t="str">
        <f>IFERROR(IF(ABS($G1992)&gt;0,VLOOKUP($E1992,'Fuel Category and Heat Rate'!$B$1:$G$34,6,FALSE)*($G1992),""),"")</f>
        <v/>
      </c>
      <c r="I1992" t="str">
        <f>IFERROR(VLOOKUP($E1992,'Fuel Category and Heat Rate'!$K$2:$M$36,3,FALSE),"")</f>
        <v>coal</v>
      </c>
    </row>
    <row r="1993" spans="1:9" x14ac:dyDescent="0.15">
      <c r="A1993" s="2">
        <v>223417</v>
      </c>
      <c r="B1993" s="2" t="s">
        <v>77</v>
      </c>
      <c r="C1993" s="2">
        <v>2020</v>
      </c>
      <c r="D1993" s="2" t="s">
        <v>1</v>
      </c>
      <c r="E1993" s="2" t="s">
        <v>2</v>
      </c>
      <c r="F1993" s="2" t="s">
        <v>35</v>
      </c>
      <c r="G1993" s="7">
        <v>-344.19</v>
      </c>
      <c r="H1993" s="13">
        <f>IFERROR(IF(ABS($G1993)&gt;0,VLOOKUP($E1993,'Fuel Category and Heat Rate'!$B$1:$G$34,6,FALSE)*($G1993),""),"")</f>
        <v>0</v>
      </c>
      <c r="I1993" t="str">
        <f>IFERROR(VLOOKUP($E1993,'Fuel Category and Heat Rate'!$K$2:$M$36,3,FALSE),"")</f>
        <v/>
      </c>
    </row>
    <row r="1994" spans="1:9" x14ac:dyDescent="0.15">
      <c r="A1994" s="2">
        <v>223452</v>
      </c>
      <c r="B1994" s="2" t="s">
        <v>77</v>
      </c>
      <c r="C1994" s="2">
        <v>2020</v>
      </c>
      <c r="D1994" s="2" t="s">
        <v>1</v>
      </c>
      <c r="E1994" s="2" t="s">
        <v>17</v>
      </c>
      <c r="F1994" s="2" t="s">
        <v>35</v>
      </c>
      <c r="G1994" s="7"/>
      <c r="H1994" s="13" t="str">
        <f>IFERROR(IF(ABS($G1994)&gt;0,VLOOKUP($E1994,'Fuel Category and Heat Rate'!$B$1:$G$34,6,FALSE)*($G1994),""),"")</f>
        <v/>
      </c>
      <c r="I1994" t="str">
        <f>IFERROR(VLOOKUP($E1994,'Fuel Category and Heat Rate'!$K$2:$M$36,3,FALSE),"")</f>
        <v>petroleum diesel</v>
      </c>
    </row>
    <row r="1995" spans="1:9" x14ac:dyDescent="0.15">
      <c r="A1995" s="2">
        <v>223487</v>
      </c>
      <c r="B1995" s="2" t="s">
        <v>77</v>
      </c>
      <c r="C1995" s="2">
        <v>2020</v>
      </c>
      <c r="D1995" s="2" t="s">
        <v>1</v>
      </c>
      <c r="E1995" s="2" t="s">
        <v>13</v>
      </c>
      <c r="F1995" s="2" t="s">
        <v>35</v>
      </c>
      <c r="G1995" s="7"/>
      <c r="H1995" s="13" t="str">
        <f>IFERROR(IF(ABS($G1995)&gt;0,VLOOKUP($E1995,'Fuel Category and Heat Rate'!$B$1:$G$34,6,FALSE)*($G1995),""),"")</f>
        <v/>
      </c>
      <c r="I1995" t="str">
        <f>IFERROR(VLOOKUP($E1995,'Fuel Category and Heat Rate'!$K$2:$M$36,3,FALSE),"")</f>
        <v>petroleum diesel</v>
      </c>
    </row>
    <row r="1996" spans="1:9" x14ac:dyDescent="0.15">
      <c r="A1996" s="2">
        <v>223522</v>
      </c>
      <c r="B1996" s="2" t="s">
        <v>77</v>
      </c>
      <c r="C1996" s="2">
        <v>2020</v>
      </c>
      <c r="D1996" s="2" t="s">
        <v>1</v>
      </c>
      <c r="E1996" s="2" t="s">
        <v>12</v>
      </c>
      <c r="F1996" s="2" t="s">
        <v>36</v>
      </c>
      <c r="G1996" s="7"/>
      <c r="H1996" s="13" t="str">
        <f>IFERROR(IF(ABS($G1996)&gt;0,VLOOKUP($E1996,'Fuel Category and Heat Rate'!$B$1:$G$34,6,FALSE)*($G1996),""),"")</f>
        <v/>
      </c>
      <c r="I1996" t="str">
        <f>IFERROR(VLOOKUP($E1996,'Fuel Category and Heat Rate'!$K$2:$M$36,3,FALSE),"")</f>
        <v>LPG propane or butane</v>
      </c>
    </row>
    <row r="1997" spans="1:9" x14ac:dyDescent="0.15">
      <c r="A1997" s="2">
        <v>223557</v>
      </c>
      <c r="B1997" s="2" t="s">
        <v>77</v>
      </c>
      <c r="C1997" s="2">
        <v>2020</v>
      </c>
      <c r="D1997" s="2" t="s">
        <v>1</v>
      </c>
      <c r="E1997" s="2" t="s">
        <v>33</v>
      </c>
      <c r="F1997" s="2" t="s">
        <v>38</v>
      </c>
      <c r="G1997" s="7">
        <v>-0.71</v>
      </c>
      <c r="H1997" s="13">
        <f>IFERROR(IF(ABS($G1997)&gt;0,VLOOKUP($E1997,'Fuel Category and Heat Rate'!$B$1:$G$34,6,FALSE)*($G1997),""),"")</f>
        <v>-196979240482.86163</v>
      </c>
      <c r="I1997" t="str">
        <f>IFERROR(VLOOKUP($E1997,'Fuel Category and Heat Rate'!$K$2:$M$36,3,FALSE),"")</f>
        <v>biomass</v>
      </c>
    </row>
    <row r="1998" spans="1:9" x14ac:dyDescent="0.15">
      <c r="A1998" s="2">
        <v>223592</v>
      </c>
      <c r="B1998" s="2" t="s">
        <v>77</v>
      </c>
      <c r="C1998" s="2">
        <v>2020</v>
      </c>
      <c r="D1998" s="2" t="s">
        <v>1</v>
      </c>
      <c r="E1998" s="2" t="s">
        <v>28</v>
      </c>
      <c r="F1998" s="2" t="s">
        <v>35</v>
      </c>
      <c r="G1998" s="7"/>
      <c r="H1998" s="13" t="str">
        <f>IFERROR(IF(ABS($G1998)&gt;0,VLOOKUP($E1998,'Fuel Category and Heat Rate'!$B$1:$G$34,6,FALSE)*($G1998),""),"")</f>
        <v/>
      </c>
      <c r="I1998" t="str">
        <f>IFERROR(VLOOKUP($E1998,'Fuel Category and Heat Rate'!$K$2:$M$36,3,FALSE),"")</f>
        <v>heavy or residual fuel oil</v>
      </c>
    </row>
    <row r="1999" spans="1:9" x14ac:dyDescent="0.15">
      <c r="A1999" s="2">
        <v>223627</v>
      </c>
      <c r="B1999" s="2" t="s">
        <v>77</v>
      </c>
      <c r="C1999" s="2">
        <v>2020</v>
      </c>
      <c r="D1999" s="2" t="s">
        <v>1</v>
      </c>
      <c r="E1999" s="2" t="s">
        <v>5</v>
      </c>
      <c r="F1999" s="2" t="s">
        <v>35</v>
      </c>
      <c r="G1999" s="7">
        <v>-127.33</v>
      </c>
      <c r="H1999" s="13">
        <f>IFERROR(IF(ABS($G1999)&gt;0,VLOOKUP($E1999,'Fuel Category and Heat Rate'!$B$1:$G$34,6,FALSE)*($G1999),""),"")</f>
        <v>-10092932900187.227</v>
      </c>
      <c r="I1999" t="str">
        <f>IFERROR(VLOOKUP($E1999,'Fuel Category and Heat Rate'!$K$2:$M$36,3,FALSE),"")</f>
        <v>coal</v>
      </c>
    </row>
    <row r="2000" spans="1:9" x14ac:dyDescent="0.15">
      <c r="A2000" s="2">
        <v>223662</v>
      </c>
      <c r="B2000" s="2" t="s">
        <v>77</v>
      </c>
      <c r="C2000" s="2">
        <v>2020</v>
      </c>
      <c r="D2000" s="2" t="s">
        <v>1</v>
      </c>
      <c r="E2000" s="2" t="s">
        <v>16</v>
      </c>
      <c r="F2000" s="2" t="s">
        <v>35</v>
      </c>
      <c r="G2000" s="7"/>
      <c r="H2000" s="13" t="str">
        <f>IFERROR(IF(ABS($G2000)&gt;0,VLOOKUP($E2000,'Fuel Category and Heat Rate'!$B$1:$G$34,6,FALSE)*($G2000),""),"")</f>
        <v/>
      </c>
      <c r="I2000" t="str">
        <f>IFERROR(VLOOKUP($E2000,'Fuel Category and Heat Rate'!$K$2:$M$36,3,FALSE),"")</f>
        <v>petroleum diesel</v>
      </c>
    </row>
    <row r="2001" spans="1:9" x14ac:dyDescent="0.15">
      <c r="A2001" s="2">
        <v>223697</v>
      </c>
      <c r="B2001" s="2" t="s">
        <v>77</v>
      </c>
      <c r="C2001" s="2">
        <v>2020</v>
      </c>
      <c r="D2001" s="2" t="s">
        <v>1</v>
      </c>
      <c r="E2001" s="2" t="s">
        <v>19</v>
      </c>
      <c r="F2001" s="2" t="s">
        <v>35</v>
      </c>
      <c r="G2001" s="7">
        <v>-0.13</v>
      </c>
      <c r="H2001" s="13">
        <f>IFERROR(IF(ABS($G2001)&gt;0,VLOOKUP($E2001,'Fuel Category and Heat Rate'!$B$1:$G$34,6,FALSE)*($G2001),""),"")</f>
        <v>-51524097041.876984</v>
      </c>
      <c r="I2001" t="str">
        <f>IFERROR(VLOOKUP($E2001,'Fuel Category and Heat Rate'!$K$2:$M$36,3,FALSE),"")</f>
        <v>heavy or residual fuel oil</v>
      </c>
    </row>
    <row r="2002" spans="1:9" x14ac:dyDescent="0.15">
      <c r="A2002" s="2">
        <v>223732</v>
      </c>
      <c r="B2002" s="2" t="s">
        <v>77</v>
      </c>
      <c r="C2002" s="2">
        <v>2020</v>
      </c>
      <c r="D2002" s="2" t="s">
        <v>1</v>
      </c>
      <c r="E2002" s="2" t="s">
        <v>31</v>
      </c>
      <c r="F2002" s="2" t="s">
        <v>37</v>
      </c>
      <c r="G2002" s="7">
        <v>5029.42</v>
      </c>
      <c r="H2002" s="13">
        <f>IFERROR(IF(ABS($G2002)&gt;0,VLOOKUP($E2002,'Fuel Category and Heat Rate'!$B$1:$G$34,6,FALSE)*($G2002),""),"")</f>
        <v>47669703930839.305</v>
      </c>
      <c r="I2002" t="str">
        <f>IFERROR(VLOOKUP($E2002,'Fuel Category and Heat Rate'!$K$2:$M$36,3,FALSE),"")</f>
        <v>heat</v>
      </c>
    </row>
    <row r="2003" spans="1:9" x14ac:dyDescent="0.15">
      <c r="A2003" s="2">
        <v>223767</v>
      </c>
      <c r="B2003" s="2" t="s">
        <v>77</v>
      </c>
      <c r="C2003" s="2">
        <v>2020</v>
      </c>
      <c r="D2003" s="2" t="s">
        <v>1</v>
      </c>
      <c r="E2003" s="2" t="s">
        <v>23</v>
      </c>
      <c r="F2003" s="2" t="s">
        <v>35</v>
      </c>
      <c r="G2003" s="7"/>
      <c r="H2003" s="13" t="str">
        <f>IFERROR(IF(ABS($G2003)&gt;0,VLOOKUP($E2003,'Fuel Category and Heat Rate'!$B$1:$G$34,6,FALSE)*($G2003),""),"")</f>
        <v/>
      </c>
      <c r="I2003" t="str">
        <f>IFERROR(VLOOKUP($E2003,'Fuel Category and Heat Rate'!$K$2:$M$36,3,FALSE),"")</f>
        <v>heavy or residual fuel oil</v>
      </c>
    </row>
    <row r="2004" spans="1:9" x14ac:dyDescent="0.15">
      <c r="A2004" s="2">
        <v>223802</v>
      </c>
      <c r="B2004" s="2" t="s">
        <v>77</v>
      </c>
      <c r="C2004" s="2">
        <v>2020</v>
      </c>
      <c r="D2004" s="2" t="s">
        <v>1</v>
      </c>
      <c r="E2004" s="2" t="s">
        <v>21</v>
      </c>
      <c r="F2004" s="2" t="s">
        <v>35</v>
      </c>
      <c r="G2004" s="7"/>
      <c r="H2004" s="13" t="str">
        <f>IFERROR(IF(ABS($G2004)&gt;0,VLOOKUP($E2004,'Fuel Category and Heat Rate'!$B$1:$G$34,6,FALSE)*($G2004),""),"")</f>
        <v/>
      </c>
      <c r="I2004" t="str">
        <f>IFERROR(VLOOKUP($E2004,'Fuel Category and Heat Rate'!$K$2:$M$36,3,FALSE),"")</f>
        <v>LPG propane or butane</v>
      </c>
    </row>
    <row r="2005" spans="1:9" x14ac:dyDescent="0.15">
      <c r="A2005" s="2">
        <v>223837</v>
      </c>
      <c r="B2005" s="2" t="s">
        <v>77</v>
      </c>
      <c r="C2005" s="2">
        <v>2020</v>
      </c>
      <c r="D2005" s="2" t="s">
        <v>1</v>
      </c>
      <c r="E2005" s="2" t="s">
        <v>22</v>
      </c>
      <c r="F2005" s="2" t="s">
        <v>35</v>
      </c>
      <c r="G2005" s="7"/>
      <c r="H2005" s="13" t="str">
        <f>IFERROR(IF(ABS($G2005)&gt;0,VLOOKUP($E2005,'Fuel Category and Heat Rate'!$B$1:$G$34,6,FALSE)*($G2005),""),"")</f>
        <v/>
      </c>
      <c r="I2005" t="str">
        <f>IFERROR(VLOOKUP($E2005,'Fuel Category and Heat Rate'!$K$2:$M$36,3,FALSE),"")</f>
        <v>heavy fuel oil</v>
      </c>
    </row>
    <row r="2006" spans="1:9" x14ac:dyDescent="0.15">
      <c r="A2006" s="2">
        <v>223872</v>
      </c>
      <c r="B2006" s="2" t="s">
        <v>77</v>
      </c>
      <c r="C2006" s="2">
        <v>2020</v>
      </c>
      <c r="D2006" s="2" t="s">
        <v>1</v>
      </c>
      <c r="E2006" s="2" t="s">
        <v>20</v>
      </c>
      <c r="F2006" s="2" t="s">
        <v>35</v>
      </c>
      <c r="G2006" s="7"/>
      <c r="H2006" s="13" t="str">
        <f>IFERROR(IF(ABS($G2006)&gt;0,VLOOKUP($E2006,'Fuel Category and Heat Rate'!$B$1:$G$34,6,FALSE)*($G2006),""),"")</f>
        <v/>
      </c>
      <c r="I2006" t="str">
        <f>IFERROR(VLOOKUP($E2006,'Fuel Category and Heat Rate'!$K$2:$M$36,3,FALSE),"")</f>
        <v>LPG propane or butane</v>
      </c>
    </row>
    <row r="2007" spans="1:9" x14ac:dyDescent="0.15">
      <c r="A2007" s="2">
        <v>223907</v>
      </c>
      <c r="B2007" s="2" t="s">
        <v>77</v>
      </c>
      <c r="C2007" s="2">
        <v>2020</v>
      </c>
      <c r="D2007" s="2" t="s">
        <v>1</v>
      </c>
      <c r="E2007" s="2" t="s">
        <v>25</v>
      </c>
      <c r="F2007" s="2" t="s">
        <v>35</v>
      </c>
      <c r="G2007" s="7">
        <v>-6.52</v>
      </c>
      <c r="H2007" s="13">
        <f>IFERROR(IF(ABS($G2007)&gt;0,VLOOKUP($E2007,'Fuel Category and Heat Rate'!$B$1:$G$34,6,FALSE)*($G2007),""),"")</f>
        <v>-1974250367883.3682</v>
      </c>
      <c r="I2007" t="str">
        <f>IFERROR(VLOOKUP($E2007,'Fuel Category and Heat Rate'!$K$2:$M$36,3,FALSE),"")</f>
        <v>heavy fuel oil</v>
      </c>
    </row>
    <row r="2008" spans="1:9" x14ac:dyDescent="0.15">
      <c r="A2008" s="2">
        <v>223942</v>
      </c>
      <c r="B2008" s="2" t="s">
        <v>77</v>
      </c>
      <c r="C2008" s="2">
        <v>2020</v>
      </c>
      <c r="D2008" s="2" t="s">
        <v>1</v>
      </c>
      <c r="E2008" s="2" t="s">
        <v>24</v>
      </c>
      <c r="F2008" s="2" t="s">
        <v>35</v>
      </c>
      <c r="G2008" s="7"/>
      <c r="H2008" s="13" t="str">
        <f>IFERROR(IF(ABS($G2008)&gt;0,VLOOKUP($E2008,'Fuel Category and Heat Rate'!$B$1:$G$34,6,FALSE)*($G2008),""),"")</f>
        <v/>
      </c>
      <c r="I2008" t="str">
        <f>IFERROR(VLOOKUP($E2008,'Fuel Category and Heat Rate'!$K$2:$M$36,3,FALSE),"")</f>
        <v>heavy fuel oil</v>
      </c>
    </row>
    <row r="2009" spans="1:9" x14ac:dyDescent="0.15">
      <c r="A2009" s="2">
        <v>223977</v>
      </c>
      <c r="B2009" s="2" t="s">
        <v>77</v>
      </c>
      <c r="C2009" s="2">
        <v>2020</v>
      </c>
      <c r="D2009" s="2" t="s">
        <v>1</v>
      </c>
      <c r="E2009" s="2" t="s">
        <v>29</v>
      </c>
      <c r="F2009" s="2" t="s">
        <v>36</v>
      </c>
      <c r="G2009" s="7">
        <v>-0.08</v>
      </c>
      <c r="H2009" s="13">
        <f>IFERROR(IF(ABS($G2009)&gt;0,VLOOKUP($E2009,'Fuel Category and Heat Rate'!$B$1:$G$34,6,FALSE)*($G2009),""),"")</f>
        <v>-269820787212.35471</v>
      </c>
      <c r="I2009" t="str">
        <f>IFERROR(VLOOKUP($E2009,'Fuel Category and Heat Rate'!$K$2:$M$36,3,FALSE),"")</f>
        <v>natural gas</v>
      </c>
    </row>
    <row r="2010" spans="1:9" x14ac:dyDescent="0.15">
      <c r="A2010" s="2">
        <v>224012</v>
      </c>
      <c r="B2010" s="2" t="s">
        <v>77</v>
      </c>
      <c r="C2010" s="2">
        <v>2020</v>
      </c>
      <c r="D2010" s="2" t="s">
        <v>1</v>
      </c>
      <c r="E2010" s="2" t="s">
        <v>4</v>
      </c>
      <c r="F2010" s="2" t="s">
        <v>35</v>
      </c>
      <c r="G2010" s="7"/>
      <c r="H2010" s="13" t="str">
        <f>IFERROR(IF(ABS($G2010)&gt;0,VLOOKUP($E2010,'Fuel Category and Heat Rate'!$B$1:$G$34,6,FALSE)*($G2010),""),"")</f>
        <v/>
      </c>
      <c r="I2010" t="str">
        <f>IFERROR(VLOOKUP($E2010,'Fuel Category and Heat Rate'!$K$2:$M$36,3,FALSE),"")</f>
        <v>coal</v>
      </c>
    </row>
    <row r="2011" spans="1:9" x14ac:dyDescent="0.15">
      <c r="A2011" s="2">
        <v>224047</v>
      </c>
      <c r="B2011" s="2" t="s">
        <v>77</v>
      </c>
      <c r="C2011" s="2">
        <v>2020</v>
      </c>
      <c r="D2011" s="2" t="s">
        <v>1</v>
      </c>
      <c r="E2011" s="2" t="s">
        <v>6</v>
      </c>
      <c r="F2011" s="2" t="s">
        <v>35</v>
      </c>
      <c r="G2011" s="7"/>
      <c r="H2011" s="13" t="str">
        <f>IFERROR(IF(ABS($G2011)&gt;0,VLOOKUP($E2011,'Fuel Category and Heat Rate'!$B$1:$G$34,6,FALSE)*($G2011),""),"")</f>
        <v/>
      </c>
      <c r="I2011" t="str">
        <f>IFERROR(VLOOKUP($E2011,'Fuel Category and Heat Rate'!$K$2:$M$36,3,FALSE),"")</f>
        <v>coal</v>
      </c>
    </row>
    <row r="2012" spans="1:9" x14ac:dyDescent="0.15">
      <c r="A2012" s="2">
        <v>224082</v>
      </c>
      <c r="B2012" s="2" t="s">
        <v>77</v>
      </c>
      <c r="C2012" s="2">
        <v>2020</v>
      </c>
      <c r="D2012" s="2" t="s">
        <v>1</v>
      </c>
      <c r="E2012" s="2" t="s">
        <v>26</v>
      </c>
      <c r="F2012" s="2" t="s">
        <v>35</v>
      </c>
      <c r="G2012" s="7"/>
      <c r="H2012" s="13" t="str">
        <f>IFERROR(IF(ABS($G2012)&gt;0,VLOOKUP($E2012,'Fuel Category and Heat Rate'!$B$1:$G$34,6,FALSE)*($G2012),""),"")</f>
        <v/>
      </c>
      <c r="I2012" t="str">
        <f>IFERROR(VLOOKUP($E2012,'Fuel Category and Heat Rate'!$K$2:$M$36,3,FALSE),"")</f>
        <v>LPG propane or butane</v>
      </c>
    </row>
    <row r="2013" spans="1:9" x14ac:dyDescent="0.15">
      <c r="A2013" s="2">
        <v>224117</v>
      </c>
      <c r="B2013" s="2" t="s">
        <v>77</v>
      </c>
      <c r="C2013" s="2">
        <v>2020</v>
      </c>
      <c r="D2013" s="2" t="s">
        <v>1</v>
      </c>
      <c r="E2013" s="2" t="s">
        <v>30</v>
      </c>
      <c r="F2013" s="2" t="s">
        <v>35</v>
      </c>
      <c r="G2013" s="7"/>
      <c r="H2013" s="13" t="str">
        <f>IFERROR(IF(ABS($G2013)&gt;0,VLOOKUP($E2013,'Fuel Category and Heat Rate'!$B$1:$G$34,6,FALSE)*($G2013),""),"")</f>
        <v/>
      </c>
      <c r="I2013" t="str">
        <f>IFERROR(VLOOKUP($E2013,'Fuel Category and Heat Rate'!$K$2:$M$36,3,FALSE),"")</f>
        <v>natural gas</v>
      </c>
    </row>
    <row r="2014" spans="1:9" x14ac:dyDescent="0.15">
      <c r="A2014" s="2">
        <v>224152</v>
      </c>
      <c r="B2014" s="2" t="s">
        <v>77</v>
      </c>
      <c r="C2014" s="2">
        <v>2020</v>
      </c>
      <c r="D2014" s="2" t="s">
        <v>1</v>
      </c>
      <c r="E2014" s="2" t="s">
        <v>14</v>
      </c>
      <c r="F2014" s="2" t="s">
        <v>35</v>
      </c>
      <c r="G2014" s="7">
        <v>-8.08</v>
      </c>
      <c r="H2014" s="13">
        <f>IFERROR(IF(ABS($G2014)&gt;0,VLOOKUP($E2014,'Fuel Category and Heat Rate'!$B$1:$G$34,6,FALSE)*($G2014),""),"")</f>
        <v>0</v>
      </c>
      <c r="I2014" t="str">
        <f>IFERROR(VLOOKUP($E2014,'Fuel Category and Heat Rate'!$K$2:$M$36,3,FALSE),"")</f>
        <v/>
      </c>
    </row>
    <row r="2015" spans="1:9" x14ac:dyDescent="0.15">
      <c r="A2015" s="2">
        <v>224187</v>
      </c>
      <c r="B2015" s="2" t="s">
        <v>77</v>
      </c>
      <c r="C2015" s="2">
        <v>2020</v>
      </c>
      <c r="D2015" s="2" t="s">
        <v>1</v>
      </c>
      <c r="E2015" s="2" t="s">
        <v>3</v>
      </c>
      <c r="F2015" s="2" t="s">
        <v>35</v>
      </c>
      <c r="G2015" s="7">
        <v>-216.86</v>
      </c>
      <c r="H2015" s="13">
        <f>IFERROR(IF(ABS($G2015)&gt;0,VLOOKUP($E2015,'Fuel Category and Heat Rate'!$B$1:$G$34,6,FALSE)*($G2015),""),"")</f>
        <v>-42975060325005.547</v>
      </c>
      <c r="I2015" t="str">
        <f>IFERROR(VLOOKUP($E2015,'Fuel Category and Heat Rate'!$K$2:$M$36,3,FALSE),"")</f>
        <v>coal</v>
      </c>
    </row>
    <row r="2016" spans="1:9" x14ac:dyDescent="0.15">
      <c r="A2016" s="2">
        <v>224222</v>
      </c>
      <c r="B2016" s="2" t="s">
        <v>77</v>
      </c>
      <c r="C2016" s="2">
        <v>2020</v>
      </c>
      <c r="D2016" s="2" t="s">
        <v>1</v>
      </c>
      <c r="E2016" s="2" t="s">
        <v>15</v>
      </c>
      <c r="F2016" s="2" t="s">
        <v>35</v>
      </c>
      <c r="G2016" s="7"/>
      <c r="H2016" s="13" t="str">
        <f>IFERROR(IF(ABS($G2016)&gt;0,VLOOKUP($E2016,'Fuel Category and Heat Rate'!$B$1:$G$34,6,FALSE)*($G2016),""),"")</f>
        <v/>
      </c>
      <c r="I2016" t="str">
        <f>IFERROR(VLOOKUP($E2016,'Fuel Category and Heat Rate'!$K$2:$M$36,3,FALSE),"")</f>
        <v>crude oil</v>
      </c>
    </row>
    <row r="2017" spans="1:9" x14ac:dyDescent="0.15">
      <c r="A2017" s="2">
        <v>224257</v>
      </c>
      <c r="B2017" s="2" t="s">
        <v>77</v>
      </c>
      <c r="C2017" s="2">
        <v>2020</v>
      </c>
      <c r="D2017" s="2" t="s">
        <v>1</v>
      </c>
      <c r="E2017" s="2" t="s">
        <v>11</v>
      </c>
      <c r="F2017" s="2" t="s">
        <v>36</v>
      </c>
      <c r="G2017" s="7"/>
      <c r="H2017" s="13" t="str">
        <f>IFERROR(IF(ABS($G2017)&gt;0,VLOOKUP($E2017,'Fuel Category and Heat Rate'!$B$1:$G$34,6,FALSE)*($G2017),""),"")</f>
        <v/>
      </c>
      <c r="I2017" t="str">
        <f>IFERROR(VLOOKUP($E2017,'Fuel Category and Heat Rate'!$K$2:$M$36,3,FALSE),"")</f>
        <v>LPG propane or butane</v>
      </c>
    </row>
    <row r="2018" spans="1:9" x14ac:dyDescent="0.15">
      <c r="A2018" s="2">
        <v>224292</v>
      </c>
      <c r="B2018" s="2" t="s">
        <v>77</v>
      </c>
      <c r="C2018" s="2">
        <v>2019</v>
      </c>
      <c r="D2018" s="2" t="s">
        <v>1</v>
      </c>
      <c r="E2018" s="2" t="s">
        <v>18</v>
      </c>
      <c r="F2018" s="2" t="s">
        <v>35</v>
      </c>
      <c r="G2018" s="7">
        <v>-0.01</v>
      </c>
      <c r="H2018" s="13">
        <f>IFERROR(IF(ABS($G2018)&gt;0,VLOOKUP($E2018,'Fuel Category and Heat Rate'!$B$1:$G$34,6,FALSE)*($G2018),""),"")</f>
        <v>-4042629591.5993452</v>
      </c>
      <c r="I2018" t="str">
        <f>IFERROR(VLOOKUP($E2018,'Fuel Category and Heat Rate'!$K$2:$M$36,3,FALSE),"")</f>
        <v>petroleum diesel</v>
      </c>
    </row>
    <row r="2019" spans="1:9" x14ac:dyDescent="0.15">
      <c r="A2019" s="2">
        <v>224327</v>
      </c>
      <c r="B2019" s="2" t="s">
        <v>77</v>
      </c>
      <c r="C2019" s="2">
        <v>2019</v>
      </c>
      <c r="D2019" s="2" t="s">
        <v>1</v>
      </c>
      <c r="E2019" s="2" t="s">
        <v>32</v>
      </c>
      <c r="F2019" s="2" t="s">
        <v>65</v>
      </c>
      <c r="G2019" s="7"/>
      <c r="H2019" s="13" t="str">
        <f>IFERROR(IF(ABS($G2019)&gt;0,VLOOKUP($E2019,'Fuel Category and Heat Rate'!$B$1:$G$34,6,FALSE)*($G2019),""),"")</f>
        <v/>
      </c>
      <c r="I2019" t="str">
        <f>IFERROR(VLOOKUP($E2019,'Fuel Category and Heat Rate'!$K$2:$M$36,3,FALSE),"")</f>
        <v>electricity</v>
      </c>
    </row>
    <row r="2020" spans="1:9" x14ac:dyDescent="0.15">
      <c r="A2020" s="2">
        <v>224362</v>
      </c>
      <c r="B2020" s="2" t="s">
        <v>77</v>
      </c>
      <c r="C2020" s="2">
        <v>2019</v>
      </c>
      <c r="D2020" s="2" t="s">
        <v>1</v>
      </c>
      <c r="E2020" s="2" t="s">
        <v>10</v>
      </c>
      <c r="F2020" s="2" t="s">
        <v>36</v>
      </c>
      <c r="G2020" s="7">
        <v>-59.58</v>
      </c>
      <c r="H2020" s="13">
        <f>IFERROR(IF(ABS($G2020)&gt;0,VLOOKUP($E2020,'Fuel Category and Heat Rate'!$B$1:$G$34,6,FALSE)*($G2020),""),"")</f>
        <v>-21250016290606.797</v>
      </c>
      <c r="I2020" t="str">
        <f>IFERROR(VLOOKUP($E2020,'Fuel Category and Heat Rate'!$K$2:$M$36,3,FALSE),"")</f>
        <v>LPG propane or butane</v>
      </c>
    </row>
    <row r="2021" spans="1:9" x14ac:dyDescent="0.15">
      <c r="A2021" s="2">
        <v>224397</v>
      </c>
      <c r="B2021" s="2" t="s">
        <v>77</v>
      </c>
      <c r="C2021" s="2">
        <v>2019</v>
      </c>
      <c r="D2021" s="2" t="s">
        <v>1</v>
      </c>
      <c r="E2021" s="2" t="s">
        <v>9</v>
      </c>
      <c r="F2021" s="2" t="s">
        <v>36</v>
      </c>
      <c r="G2021" s="7"/>
      <c r="H2021" s="13" t="str">
        <f>IFERROR(IF(ABS($G2021)&gt;0,VLOOKUP($E2021,'Fuel Category and Heat Rate'!$B$1:$G$34,6,FALSE)*($G2021),""),"")</f>
        <v/>
      </c>
      <c r="I2021" t="str">
        <f>IFERROR(VLOOKUP($E2021,'Fuel Category and Heat Rate'!$K$2:$M$36,3,FALSE),"")</f>
        <v>LPG propane or butane</v>
      </c>
    </row>
    <row r="2022" spans="1:9" x14ac:dyDescent="0.15">
      <c r="A2022" s="2">
        <v>224432</v>
      </c>
      <c r="B2022" s="2" t="s">
        <v>77</v>
      </c>
      <c r="C2022" s="2">
        <v>2019</v>
      </c>
      <c r="D2022" s="2" t="s">
        <v>1</v>
      </c>
      <c r="E2022" s="2" t="s">
        <v>8</v>
      </c>
      <c r="F2022" s="2" t="s">
        <v>35</v>
      </c>
      <c r="G2022" s="7"/>
      <c r="H2022" s="13" t="str">
        <f>IFERROR(IF(ABS($G2022)&gt;0,VLOOKUP($E2022,'Fuel Category and Heat Rate'!$B$1:$G$34,6,FALSE)*($G2022),""),"")</f>
        <v/>
      </c>
      <c r="I2022" t="str">
        <f>IFERROR(VLOOKUP($E2022,'Fuel Category and Heat Rate'!$K$2:$M$36,3,FALSE),"")</f>
        <v>coal</v>
      </c>
    </row>
    <row r="2023" spans="1:9" x14ac:dyDescent="0.15">
      <c r="A2023" s="2">
        <v>224467</v>
      </c>
      <c r="B2023" s="2" t="s">
        <v>77</v>
      </c>
      <c r="C2023" s="2">
        <v>2019</v>
      </c>
      <c r="D2023" s="2" t="s">
        <v>1</v>
      </c>
      <c r="E2023" s="2" t="s">
        <v>27</v>
      </c>
      <c r="F2023" s="2" t="s">
        <v>35</v>
      </c>
      <c r="G2023" s="7">
        <v>-2.34</v>
      </c>
      <c r="H2023" s="13">
        <f>IFERROR(IF(ABS($G2023)&gt;0,VLOOKUP($E2023,'Fuel Category and Heat Rate'!$B$1:$G$34,6,FALSE)*($G2023),""),"")</f>
        <v>-1020185992997.4323</v>
      </c>
      <c r="I2023" t="str">
        <f>IFERROR(VLOOKUP($E2023,'Fuel Category and Heat Rate'!$K$2:$M$36,3,FALSE),"")</f>
        <v>LPG propane or butane</v>
      </c>
    </row>
    <row r="2024" spans="1:9" x14ac:dyDescent="0.15">
      <c r="A2024" s="2">
        <v>224502</v>
      </c>
      <c r="B2024" s="2" t="s">
        <v>77</v>
      </c>
      <c r="C2024" s="2">
        <v>2019</v>
      </c>
      <c r="D2024" s="2" t="s">
        <v>1</v>
      </c>
      <c r="E2024" s="2" t="s">
        <v>7</v>
      </c>
      <c r="F2024" s="2" t="s">
        <v>35</v>
      </c>
      <c r="G2024" s="7"/>
      <c r="H2024" s="13" t="str">
        <f>IFERROR(IF(ABS($G2024)&gt;0,VLOOKUP($E2024,'Fuel Category and Heat Rate'!$B$1:$G$34,6,FALSE)*($G2024),""),"")</f>
        <v/>
      </c>
      <c r="I2024" t="str">
        <f>IFERROR(VLOOKUP($E2024,'Fuel Category and Heat Rate'!$K$2:$M$36,3,FALSE),"")</f>
        <v>coal</v>
      </c>
    </row>
    <row r="2025" spans="1:9" x14ac:dyDescent="0.15">
      <c r="A2025" s="2">
        <v>224537</v>
      </c>
      <c r="B2025" s="2" t="s">
        <v>77</v>
      </c>
      <c r="C2025" s="2">
        <v>2019</v>
      </c>
      <c r="D2025" s="2" t="s">
        <v>1</v>
      </c>
      <c r="E2025" s="2" t="s">
        <v>2</v>
      </c>
      <c r="F2025" s="2" t="s">
        <v>35</v>
      </c>
      <c r="G2025" s="7">
        <v>-327.84</v>
      </c>
      <c r="H2025" s="13">
        <f>IFERROR(IF(ABS($G2025)&gt;0,VLOOKUP($E2025,'Fuel Category and Heat Rate'!$B$1:$G$34,6,FALSE)*($G2025),""),"")</f>
        <v>0</v>
      </c>
      <c r="I2025" t="str">
        <f>IFERROR(VLOOKUP($E2025,'Fuel Category and Heat Rate'!$K$2:$M$36,3,FALSE),"")</f>
        <v/>
      </c>
    </row>
    <row r="2026" spans="1:9" x14ac:dyDescent="0.15">
      <c r="A2026" s="2">
        <v>224572</v>
      </c>
      <c r="B2026" s="2" t="s">
        <v>77</v>
      </c>
      <c r="C2026" s="2">
        <v>2019</v>
      </c>
      <c r="D2026" s="2" t="s">
        <v>1</v>
      </c>
      <c r="E2026" s="2" t="s">
        <v>17</v>
      </c>
      <c r="F2026" s="2" t="s">
        <v>35</v>
      </c>
      <c r="G2026" s="7"/>
      <c r="H2026" s="13" t="str">
        <f>IFERROR(IF(ABS($G2026)&gt;0,VLOOKUP($E2026,'Fuel Category and Heat Rate'!$B$1:$G$34,6,FALSE)*($G2026),""),"")</f>
        <v/>
      </c>
      <c r="I2026" t="str">
        <f>IFERROR(VLOOKUP($E2026,'Fuel Category and Heat Rate'!$K$2:$M$36,3,FALSE),"")</f>
        <v>petroleum diesel</v>
      </c>
    </row>
    <row r="2027" spans="1:9" x14ac:dyDescent="0.15">
      <c r="A2027" s="2">
        <v>224607</v>
      </c>
      <c r="B2027" s="2" t="s">
        <v>77</v>
      </c>
      <c r="C2027" s="2">
        <v>2019</v>
      </c>
      <c r="D2027" s="2" t="s">
        <v>1</v>
      </c>
      <c r="E2027" s="2" t="s">
        <v>13</v>
      </c>
      <c r="F2027" s="2" t="s">
        <v>35</v>
      </c>
      <c r="G2027" s="7"/>
      <c r="H2027" s="13" t="str">
        <f>IFERROR(IF(ABS($G2027)&gt;0,VLOOKUP($E2027,'Fuel Category and Heat Rate'!$B$1:$G$34,6,FALSE)*($G2027),""),"")</f>
        <v/>
      </c>
      <c r="I2027" t="str">
        <f>IFERROR(VLOOKUP($E2027,'Fuel Category and Heat Rate'!$K$2:$M$36,3,FALSE),"")</f>
        <v>petroleum diesel</v>
      </c>
    </row>
    <row r="2028" spans="1:9" x14ac:dyDescent="0.15">
      <c r="A2028" s="2">
        <v>224642</v>
      </c>
      <c r="B2028" s="2" t="s">
        <v>77</v>
      </c>
      <c r="C2028" s="2">
        <v>2019</v>
      </c>
      <c r="D2028" s="2" t="s">
        <v>1</v>
      </c>
      <c r="E2028" s="2" t="s">
        <v>12</v>
      </c>
      <c r="F2028" s="2" t="s">
        <v>36</v>
      </c>
      <c r="G2028" s="7"/>
      <c r="H2028" s="13" t="str">
        <f>IFERROR(IF(ABS($G2028)&gt;0,VLOOKUP($E2028,'Fuel Category and Heat Rate'!$B$1:$G$34,6,FALSE)*($G2028),""),"")</f>
        <v/>
      </c>
      <c r="I2028" t="str">
        <f>IFERROR(VLOOKUP($E2028,'Fuel Category and Heat Rate'!$K$2:$M$36,3,FALSE),"")</f>
        <v>LPG propane or butane</v>
      </c>
    </row>
    <row r="2029" spans="1:9" x14ac:dyDescent="0.15">
      <c r="A2029" s="2">
        <v>224677</v>
      </c>
      <c r="B2029" s="2" t="s">
        <v>77</v>
      </c>
      <c r="C2029" s="2">
        <v>2019</v>
      </c>
      <c r="D2029" s="2" t="s">
        <v>1</v>
      </c>
      <c r="E2029" s="2" t="s">
        <v>33</v>
      </c>
      <c r="F2029" s="2" t="s">
        <v>38</v>
      </c>
      <c r="G2029" s="7">
        <v>-0.93</v>
      </c>
      <c r="H2029" s="13">
        <f>IFERROR(IF(ABS($G2029)&gt;0,VLOOKUP($E2029,'Fuel Category and Heat Rate'!$B$1:$G$34,6,FALSE)*($G2029),""),"")</f>
        <v>-258015061477.55115</v>
      </c>
      <c r="I2029" t="str">
        <f>IFERROR(VLOOKUP($E2029,'Fuel Category and Heat Rate'!$K$2:$M$36,3,FALSE),"")</f>
        <v>biomass</v>
      </c>
    </row>
    <row r="2030" spans="1:9" x14ac:dyDescent="0.15">
      <c r="A2030" s="2">
        <v>224712</v>
      </c>
      <c r="B2030" s="2" t="s">
        <v>77</v>
      </c>
      <c r="C2030" s="2">
        <v>2019</v>
      </c>
      <c r="D2030" s="2" t="s">
        <v>1</v>
      </c>
      <c r="E2030" s="2" t="s">
        <v>28</v>
      </c>
      <c r="F2030" s="2" t="s">
        <v>35</v>
      </c>
      <c r="G2030" s="7"/>
      <c r="H2030" s="13" t="str">
        <f>IFERROR(IF(ABS($G2030)&gt;0,VLOOKUP($E2030,'Fuel Category and Heat Rate'!$B$1:$G$34,6,FALSE)*($G2030),""),"")</f>
        <v/>
      </c>
      <c r="I2030" t="str">
        <f>IFERROR(VLOOKUP($E2030,'Fuel Category and Heat Rate'!$K$2:$M$36,3,FALSE),"")</f>
        <v>heavy or residual fuel oil</v>
      </c>
    </row>
    <row r="2031" spans="1:9" x14ac:dyDescent="0.15">
      <c r="A2031" s="2">
        <v>224747</v>
      </c>
      <c r="B2031" s="2" t="s">
        <v>77</v>
      </c>
      <c r="C2031" s="2">
        <v>2019</v>
      </c>
      <c r="D2031" s="2" t="s">
        <v>1</v>
      </c>
      <c r="E2031" s="2" t="s">
        <v>5</v>
      </c>
      <c r="F2031" s="2" t="s">
        <v>35</v>
      </c>
      <c r="G2031" s="7">
        <v>-116.03</v>
      </c>
      <c r="H2031" s="13">
        <f>IFERROR(IF(ABS($G2031)&gt;0,VLOOKUP($E2031,'Fuel Category and Heat Rate'!$B$1:$G$34,6,FALSE)*($G2031),""),"")</f>
        <v>-9197227710741.5684</v>
      </c>
      <c r="I2031" t="str">
        <f>IFERROR(VLOOKUP($E2031,'Fuel Category and Heat Rate'!$K$2:$M$36,3,FALSE),"")</f>
        <v>coal</v>
      </c>
    </row>
    <row r="2032" spans="1:9" x14ac:dyDescent="0.15">
      <c r="A2032" s="2">
        <v>224782</v>
      </c>
      <c r="B2032" s="2" t="s">
        <v>77</v>
      </c>
      <c r="C2032" s="2">
        <v>2019</v>
      </c>
      <c r="D2032" s="2" t="s">
        <v>1</v>
      </c>
      <c r="E2032" s="2" t="s">
        <v>16</v>
      </c>
      <c r="F2032" s="2" t="s">
        <v>35</v>
      </c>
      <c r="G2032" s="7"/>
      <c r="H2032" s="13" t="str">
        <f>IFERROR(IF(ABS($G2032)&gt;0,VLOOKUP($E2032,'Fuel Category and Heat Rate'!$B$1:$G$34,6,FALSE)*($G2032),""),"")</f>
        <v/>
      </c>
      <c r="I2032" t="str">
        <f>IFERROR(VLOOKUP($E2032,'Fuel Category and Heat Rate'!$K$2:$M$36,3,FALSE),"")</f>
        <v>petroleum diesel</v>
      </c>
    </row>
    <row r="2033" spans="1:9" x14ac:dyDescent="0.15">
      <c r="A2033" s="2">
        <v>224817</v>
      </c>
      <c r="B2033" s="2" t="s">
        <v>77</v>
      </c>
      <c r="C2033" s="2">
        <v>2019</v>
      </c>
      <c r="D2033" s="2" t="s">
        <v>1</v>
      </c>
      <c r="E2033" s="2" t="s">
        <v>19</v>
      </c>
      <c r="F2033" s="2" t="s">
        <v>35</v>
      </c>
      <c r="G2033" s="7">
        <v>-0.26</v>
      </c>
      <c r="H2033" s="13">
        <f>IFERROR(IF(ABS($G2033)&gt;0,VLOOKUP($E2033,'Fuel Category and Heat Rate'!$B$1:$G$34,6,FALSE)*($G2033),""),"")</f>
        <v>-103048194083.75397</v>
      </c>
      <c r="I2033" t="str">
        <f>IFERROR(VLOOKUP($E2033,'Fuel Category and Heat Rate'!$K$2:$M$36,3,FALSE),"")</f>
        <v>heavy or residual fuel oil</v>
      </c>
    </row>
    <row r="2034" spans="1:9" x14ac:dyDescent="0.15">
      <c r="A2034" s="2">
        <v>224852</v>
      </c>
      <c r="B2034" s="2" t="s">
        <v>77</v>
      </c>
      <c r="C2034" s="2">
        <v>2019</v>
      </c>
      <c r="D2034" s="2" t="s">
        <v>1</v>
      </c>
      <c r="E2034" s="2" t="s">
        <v>31</v>
      </c>
      <c r="F2034" s="2" t="s">
        <v>37</v>
      </c>
      <c r="G2034" s="7">
        <v>5026.82</v>
      </c>
      <c r="H2034" s="13">
        <f>IFERROR(IF(ABS($G2034)&gt;0,VLOOKUP($E2034,'Fuel Category and Heat Rate'!$B$1:$G$34,6,FALSE)*($G2034),""),"")</f>
        <v>47645060685649.961</v>
      </c>
      <c r="I2034" t="str">
        <f>IFERROR(VLOOKUP($E2034,'Fuel Category and Heat Rate'!$K$2:$M$36,3,FALSE),"")</f>
        <v>heat</v>
      </c>
    </row>
    <row r="2035" spans="1:9" x14ac:dyDescent="0.15">
      <c r="A2035" s="2">
        <v>224887</v>
      </c>
      <c r="B2035" s="2" t="s">
        <v>77</v>
      </c>
      <c r="C2035" s="2">
        <v>2019</v>
      </c>
      <c r="D2035" s="2" t="s">
        <v>1</v>
      </c>
      <c r="E2035" s="2" t="s">
        <v>23</v>
      </c>
      <c r="F2035" s="2" t="s">
        <v>35</v>
      </c>
      <c r="G2035" s="7"/>
      <c r="H2035" s="13" t="str">
        <f>IFERROR(IF(ABS($G2035)&gt;0,VLOOKUP($E2035,'Fuel Category and Heat Rate'!$B$1:$G$34,6,FALSE)*($G2035),""),"")</f>
        <v/>
      </c>
      <c r="I2035" t="str">
        <f>IFERROR(VLOOKUP($E2035,'Fuel Category and Heat Rate'!$K$2:$M$36,3,FALSE),"")</f>
        <v>heavy or residual fuel oil</v>
      </c>
    </row>
    <row r="2036" spans="1:9" x14ac:dyDescent="0.15">
      <c r="A2036" s="2">
        <v>224922</v>
      </c>
      <c r="B2036" s="2" t="s">
        <v>77</v>
      </c>
      <c r="C2036" s="2">
        <v>2019</v>
      </c>
      <c r="D2036" s="2" t="s">
        <v>1</v>
      </c>
      <c r="E2036" s="2" t="s">
        <v>21</v>
      </c>
      <c r="F2036" s="2" t="s">
        <v>35</v>
      </c>
      <c r="G2036" s="7"/>
      <c r="H2036" s="13" t="str">
        <f>IFERROR(IF(ABS($G2036)&gt;0,VLOOKUP($E2036,'Fuel Category and Heat Rate'!$B$1:$G$34,6,FALSE)*($G2036),""),"")</f>
        <v/>
      </c>
      <c r="I2036" t="str">
        <f>IFERROR(VLOOKUP($E2036,'Fuel Category and Heat Rate'!$K$2:$M$36,3,FALSE),"")</f>
        <v>LPG propane or butane</v>
      </c>
    </row>
    <row r="2037" spans="1:9" x14ac:dyDescent="0.15">
      <c r="A2037" s="2">
        <v>224957</v>
      </c>
      <c r="B2037" s="2" t="s">
        <v>77</v>
      </c>
      <c r="C2037" s="2">
        <v>2019</v>
      </c>
      <c r="D2037" s="2" t="s">
        <v>1</v>
      </c>
      <c r="E2037" s="2" t="s">
        <v>22</v>
      </c>
      <c r="F2037" s="2" t="s">
        <v>35</v>
      </c>
      <c r="G2037" s="7"/>
      <c r="H2037" s="13" t="str">
        <f>IFERROR(IF(ABS($G2037)&gt;0,VLOOKUP($E2037,'Fuel Category and Heat Rate'!$B$1:$G$34,6,FALSE)*($G2037),""),"")</f>
        <v/>
      </c>
      <c r="I2037" t="str">
        <f>IFERROR(VLOOKUP($E2037,'Fuel Category and Heat Rate'!$K$2:$M$36,3,FALSE),"")</f>
        <v>heavy fuel oil</v>
      </c>
    </row>
    <row r="2038" spans="1:9" x14ac:dyDescent="0.15">
      <c r="A2038" s="2">
        <v>224992</v>
      </c>
      <c r="B2038" s="2" t="s">
        <v>77</v>
      </c>
      <c r="C2038" s="2">
        <v>2019</v>
      </c>
      <c r="D2038" s="2" t="s">
        <v>1</v>
      </c>
      <c r="E2038" s="2" t="s">
        <v>20</v>
      </c>
      <c r="F2038" s="2" t="s">
        <v>35</v>
      </c>
      <c r="G2038" s="7"/>
      <c r="H2038" s="13" t="str">
        <f>IFERROR(IF(ABS($G2038)&gt;0,VLOOKUP($E2038,'Fuel Category and Heat Rate'!$B$1:$G$34,6,FALSE)*($G2038),""),"")</f>
        <v/>
      </c>
      <c r="I2038" t="str">
        <f>IFERROR(VLOOKUP($E2038,'Fuel Category and Heat Rate'!$K$2:$M$36,3,FALSE),"")</f>
        <v>LPG propane or butane</v>
      </c>
    </row>
    <row r="2039" spans="1:9" x14ac:dyDescent="0.15">
      <c r="A2039" s="2">
        <v>225027</v>
      </c>
      <c r="B2039" s="2" t="s">
        <v>77</v>
      </c>
      <c r="C2039" s="2">
        <v>2019</v>
      </c>
      <c r="D2039" s="2" t="s">
        <v>1</v>
      </c>
      <c r="E2039" s="2" t="s">
        <v>25</v>
      </c>
      <c r="F2039" s="2" t="s">
        <v>35</v>
      </c>
      <c r="G2039" s="7">
        <v>-3.77</v>
      </c>
      <c r="H2039" s="13">
        <f>IFERROR(IF(ABS($G2039)&gt;0,VLOOKUP($E2039,'Fuel Category and Heat Rate'!$B$1:$G$34,6,FALSE)*($G2039),""),"")</f>
        <v>-1141552743392.6838</v>
      </c>
      <c r="I2039" t="str">
        <f>IFERROR(VLOOKUP($E2039,'Fuel Category and Heat Rate'!$K$2:$M$36,3,FALSE),"")</f>
        <v>heavy fuel oil</v>
      </c>
    </row>
    <row r="2040" spans="1:9" x14ac:dyDescent="0.15">
      <c r="A2040" s="2">
        <v>225062</v>
      </c>
      <c r="B2040" s="2" t="s">
        <v>77</v>
      </c>
      <c r="C2040" s="2">
        <v>2019</v>
      </c>
      <c r="D2040" s="2" t="s">
        <v>1</v>
      </c>
      <c r="E2040" s="2" t="s">
        <v>24</v>
      </c>
      <c r="F2040" s="2" t="s">
        <v>35</v>
      </c>
      <c r="G2040" s="7"/>
      <c r="H2040" s="13" t="str">
        <f>IFERROR(IF(ABS($G2040)&gt;0,VLOOKUP($E2040,'Fuel Category and Heat Rate'!$B$1:$G$34,6,FALSE)*($G2040),""),"")</f>
        <v/>
      </c>
      <c r="I2040" t="str">
        <f>IFERROR(VLOOKUP($E2040,'Fuel Category and Heat Rate'!$K$2:$M$36,3,FALSE),"")</f>
        <v>heavy fuel oil</v>
      </c>
    </row>
    <row r="2041" spans="1:9" x14ac:dyDescent="0.15">
      <c r="A2041" s="2">
        <v>225097</v>
      </c>
      <c r="B2041" s="2" t="s">
        <v>77</v>
      </c>
      <c r="C2041" s="2">
        <v>2019</v>
      </c>
      <c r="D2041" s="2" t="s">
        <v>1</v>
      </c>
      <c r="E2041" s="2" t="s">
        <v>29</v>
      </c>
      <c r="F2041" s="2" t="s">
        <v>36</v>
      </c>
      <c r="G2041" s="7"/>
      <c r="H2041" s="13" t="str">
        <f>IFERROR(IF(ABS($G2041)&gt;0,VLOOKUP($E2041,'Fuel Category and Heat Rate'!$B$1:$G$34,6,FALSE)*($G2041),""),"")</f>
        <v/>
      </c>
      <c r="I2041" t="str">
        <f>IFERROR(VLOOKUP($E2041,'Fuel Category and Heat Rate'!$K$2:$M$36,3,FALSE),"")</f>
        <v>natural gas</v>
      </c>
    </row>
    <row r="2042" spans="1:9" x14ac:dyDescent="0.15">
      <c r="A2042" s="2">
        <v>225132</v>
      </c>
      <c r="B2042" s="2" t="s">
        <v>77</v>
      </c>
      <c r="C2042" s="2">
        <v>2019</v>
      </c>
      <c r="D2042" s="2" t="s">
        <v>1</v>
      </c>
      <c r="E2042" s="2" t="s">
        <v>4</v>
      </c>
      <c r="F2042" s="2" t="s">
        <v>35</v>
      </c>
      <c r="G2042" s="7"/>
      <c r="H2042" s="13" t="str">
        <f>IFERROR(IF(ABS($G2042)&gt;0,VLOOKUP($E2042,'Fuel Category and Heat Rate'!$B$1:$G$34,6,FALSE)*($G2042),""),"")</f>
        <v/>
      </c>
      <c r="I2042" t="str">
        <f>IFERROR(VLOOKUP($E2042,'Fuel Category and Heat Rate'!$K$2:$M$36,3,FALSE),"")</f>
        <v>coal</v>
      </c>
    </row>
    <row r="2043" spans="1:9" x14ac:dyDescent="0.15">
      <c r="A2043" s="2">
        <v>225167</v>
      </c>
      <c r="B2043" s="2" t="s">
        <v>77</v>
      </c>
      <c r="C2043" s="2">
        <v>2019</v>
      </c>
      <c r="D2043" s="2" t="s">
        <v>1</v>
      </c>
      <c r="E2043" s="2" t="s">
        <v>6</v>
      </c>
      <c r="F2043" s="2" t="s">
        <v>35</v>
      </c>
      <c r="G2043" s="7"/>
      <c r="H2043" s="13" t="str">
        <f>IFERROR(IF(ABS($G2043)&gt;0,VLOOKUP($E2043,'Fuel Category and Heat Rate'!$B$1:$G$34,6,FALSE)*($G2043),""),"")</f>
        <v/>
      </c>
      <c r="I2043" t="str">
        <f>IFERROR(VLOOKUP($E2043,'Fuel Category and Heat Rate'!$K$2:$M$36,3,FALSE),"")</f>
        <v>coal</v>
      </c>
    </row>
    <row r="2044" spans="1:9" x14ac:dyDescent="0.15">
      <c r="A2044" s="2">
        <v>225202</v>
      </c>
      <c r="B2044" s="2" t="s">
        <v>77</v>
      </c>
      <c r="C2044" s="2">
        <v>2019</v>
      </c>
      <c r="D2044" s="2" t="s">
        <v>1</v>
      </c>
      <c r="E2044" s="2" t="s">
        <v>26</v>
      </c>
      <c r="F2044" s="2" t="s">
        <v>35</v>
      </c>
      <c r="G2044" s="7"/>
      <c r="H2044" s="13" t="str">
        <f>IFERROR(IF(ABS($G2044)&gt;0,VLOOKUP($E2044,'Fuel Category and Heat Rate'!$B$1:$G$34,6,FALSE)*($G2044),""),"")</f>
        <v/>
      </c>
      <c r="I2044" t="str">
        <f>IFERROR(VLOOKUP($E2044,'Fuel Category and Heat Rate'!$K$2:$M$36,3,FALSE),"")</f>
        <v>LPG propane or butane</v>
      </c>
    </row>
    <row r="2045" spans="1:9" x14ac:dyDescent="0.15">
      <c r="A2045" s="2">
        <v>225237</v>
      </c>
      <c r="B2045" s="2" t="s">
        <v>77</v>
      </c>
      <c r="C2045" s="2">
        <v>2019</v>
      </c>
      <c r="D2045" s="2" t="s">
        <v>1</v>
      </c>
      <c r="E2045" s="2" t="s">
        <v>30</v>
      </c>
      <c r="F2045" s="2" t="s">
        <v>35</v>
      </c>
      <c r="G2045" s="7"/>
      <c r="H2045" s="13" t="str">
        <f>IFERROR(IF(ABS($G2045)&gt;0,VLOOKUP($E2045,'Fuel Category and Heat Rate'!$B$1:$G$34,6,FALSE)*($G2045),""),"")</f>
        <v/>
      </c>
      <c r="I2045" t="str">
        <f>IFERROR(VLOOKUP($E2045,'Fuel Category and Heat Rate'!$K$2:$M$36,3,FALSE),"")</f>
        <v>natural gas</v>
      </c>
    </row>
    <row r="2046" spans="1:9" x14ac:dyDescent="0.15">
      <c r="A2046" s="2">
        <v>225272</v>
      </c>
      <c r="B2046" s="2" t="s">
        <v>77</v>
      </c>
      <c r="C2046" s="2">
        <v>2019</v>
      </c>
      <c r="D2046" s="2" t="s">
        <v>1</v>
      </c>
      <c r="E2046" s="2" t="s">
        <v>14</v>
      </c>
      <c r="F2046" s="2" t="s">
        <v>35</v>
      </c>
      <c r="G2046" s="7">
        <v>-6.38</v>
      </c>
      <c r="H2046" s="13">
        <f>IFERROR(IF(ABS($G2046)&gt;0,VLOOKUP($E2046,'Fuel Category and Heat Rate'!$B$1:$G$34,6,FALSE)*($G2046),""),"")</f>
        <v>0</v>
      </c>
      <c r="I2046" t="str">
        <f>IFERROR(VLOOKUP($E2046,'Fuel Category and Heat Rate'!$K$2:$M$36,3,FALSE),"")</f>
        <v/>
      </c>
    </row>
    <row r="2047" spans="1:9" x14ac:dyDescent="0.15">
      <c r="A2047" s="2">
        <v>225307</v>
      </c>
      <c r="B2047" s="2" t="s">
        <v>77</v>
      </c>
      <c r="C2047" s="2">
        <v>2019</v>
      </c>
      <c r="D2047" s="2" t="s">
        <v>1</v>
      </c>
      <c r="E2047" s="2" t="s">
        <v>3</v>
      </c>
      <c r="F2047" s="2" t="s">
        <v>35</v>
      </c>
      <c r="G2047" s="7">
        <v>-211.81</v>
      </c>
      <c r="H2047" s="13">
        <f>IFERROR(IF(ABS($G2047)&gt;0,VLOOKUP($E2047,'Fuel Category and Heat Rate'!$B$1:$G$34,6,FALSE)*($G2047),""),"")</f>
        <v>-41974303824769.086</v>
      </c>
      <c r="I2047" t="str">
        <f>IFERROR(VLOOKUP($E2047,'Fuel Category and Heat Rate'!$K$2:$M$36,3,FALSE),"")</f>
        <v>coal</v>
      </c>
    </row>
    <row r="2048" spans="1:9" x14ac:dyDescent="0.15">
      <c r="A2048" s="2">
        <v>225342</v>
      </c>
      <c r="B2048" s="2" t="s">
        <v>77</v>
      </c>
      <c r="C2048" s="2">
        <v>2019</v>
      </c>
      <c r="D2048" s="2" t="s">
        <v>1</v>
      </c>
      <c r="E2048" s="2" t="s">
        <v>15</v>
      </c>
      <c r="F2048" s="2" t="s">
        <v>35</v>
      </c>
      <c r="G2048" s="7"/>
      <c r="H2048" s="13" t="str">
        <f>IFERROR(IF(ABS($G2048)&gt;0,VLOOKUP($E2048,'Fuel Category and Heat Rate'!$B$1:$G$34,6,FALSE)*($G2048),""),"")</f>
        <v/>
      </c>
      <c r="I2048" t="str">
        <f>IFERROR(VLOOKUP($E2048,'Fuel Category and Heat Rate'!$K$2:$M$36,3,FALSE),"")</f>
        <v>crude oil</v>
      </c>
    </row>
    <row r="2049" spans="1:9" x14ac:dyDescent="0.15">
      <c r="A2049" s="2">
        <v>225377</v>
      </c>
      <c r="B2049" s="2" t="s">
        <v>77</v>
      </c>
      <c r="C2049" s="2">
        <v>2019</v>
      </c>
      <c r="D2049" s="2" t="s">
        <v>1</v>
      </c>
      <c r="E2049" s="2" t="s">
        <v>11</v>
      </c>
      <c r="F2049" s="2" t="s">
        <v>36</v>
      </c>
      <c r="G2049" s="7"/>
      <c r="H2049" s="13" t="str">
        <f>IFERROR(IF(ABS($G2049)&gt;0,VLOOKUP($E2049,'Fuel Category and Heat Rate'!$B$1:$G$34,6,FALSE)*($G2049),""),"")</f>
        <v/>
      </c>
      <c r="I2049" t="str">
        <f>IFERROR(VLOOKUP($E2049,'Fuel Category and Heat Rate'!$K$2:$M$36,3,FALSE),"")</f>
        <v>LPG propane or butane</v>
      </c>
    </row>
    <row r="2050" spans="1:9" x14ac:dyDescent="0.15">
      <c r="A2050" s="2">
        <v>225412</v>
      </c>
      <c r="B2050" s="2" t="s">
        <v>77</v>
      </c>
      <c r="C2050" s="2">
        <v>2018</v>
      </c>
      <c r="D2050" s="2" t="s">
        <v>1</v>
      </c>
      <c r="E2050" s="2" t="s">
        <v>18</v>
      </c>
      <c r="F2050" s="2" t="s">
        <v>35</v>
      </c>
      <c r="G2050" s="7">
        <v>-0.01</v>
      </c>
      <c r="H2050" s="13">
        <f>IFERROR(IF(ABS($G2050)&gt;0,VLOOKUP($E2050,'Fuel Category and Heat Rate'!$B$1:$G$34,6,FALSE)*($G2050),""),"")</f>
        <v>-4042629591.5993452</v>
      </c>
      <c r="I2050" t="str">
        <f>IFERROR(VLOOKUP($E2050,'Fuel Category and Heat Rate'!$K$2:$M$36,3,FALSE),"")</f>
        <v>petroleum diesel</v>
      </c>
    </row>
    <row r="2051" spans="1:9" x14ac:dyDescent="0.15">
      <c r="A2051" s="2">
        <v>225447</v>
      </c>
      <c r="B2051" s="2" t="s">
        <v>77</v>
      </c>
      <c r="C2051" s="2">
        <v>2018</v>
      </c>
      <c r="D2051" s="2" t="s">
        <v>1</v>
      </c>
      <c r="E2051" s="2" t="s">
        <v>32</v>
      </c>
      <c r="F2051" s="2" t="s">
        <v>65</v>
      </c>
      <c r="G2051" s="7"/>
      <c r="H2051" s="13" t="str">
        <f>IFERROR(IF(ABS($G2051)&gt;0,VLOOKUP($E2051,'Fuel Category and Heat Rate'!$B$1:$G$34,6,FALSE)*($G2051),""),"")</f>
        <v/>
      </c>
      <c r="I2051" t="str">
        <f>IFERROR(VLOOKUP($E2051,'Fuel Category and Heat Rate'!$K$2:$M$36,3,FALSE),"")</f>
        <v>electricity</v>
      </c>
    </row>
    <row r="2052" spans="1:9" x14ac:dyDescent="0.15">
      <c r="A2052" s="2">
        <v>225482</v>
      </c>
      <c r="B2052" s="2" t="s">
        <v>77</v>
      </c>
      <c r="C2052" s="2">
        <v>2018</v>
      </c>
      <c r="D2052" s="2" t="s">
        <v>1</v>
      </c>
      <c r="E2052" s="2" t="s">
        <v>10</v>
      </c>
      <c r="F2052" s="2" t="s">
        <v>36</v>
      </c>
      <c r="G2052" s="7">
        <v>-59.64</v>
      </c>
      <c r="H2052" s="13">
        <f>IFERROR(IF(ABS($G2052)&gt;0,VLOOKUP($E2052,'Fuel Category and Heat Rate'!$B$1:$G$34,6,FALSE)*($G2052),""),"")</f>
        <v>-21271416105602.371</v>
      </c>
      <c r="I2052" t="str">
        <f>IFERROR(VLOOKUP($E2052,'Fuel Category and Heat Rate'!$K$2:$M$36,3,FALSE),"")</f>
        <v>LPG propane or butane</v>
      </c>
    </row>
    <row r="2053" spans="1:9" x14ac:dyDescent="0.15">
      <c r="A2053" s="2">
        <v>225517</v>
      </c>
      <c r="B2053" s="2" t="s">
        <v>77</v>
      </c>
      <c r="C2053" s="2">
        <v>2018</v>
      </c>
      <c r="D2053" s="2" t="s">
        <v>1</v>
      </c>
      <c r="E2053" s="2" t="s">
        <v>9</v>
      </c>
      <c r="F2053" s="2" t="s">
        <v>36</v>
      </c>
      <c r="G2053" s="7"/>
      <c r="H2053" s="13" t="str">
        <f>IFERROR(IF(ABS($G2053)&gt;0,VLOOKUP($E2053,'Fuel Category and Heat Rate'!$B$1:$G$34,6,FALSE)*($G2053),""),"")</f>
        <v/>
      </c>
      <c r="I2053" t="str">
        <f>IFERROR(VLOOKUP($E2053,'Fuel Category and Heat Rate'!$K$2:$M$36,3,FALSE),"")</f>
        <v>LPG propane or butane</v>
      </c>
    </row>
    <row r="2054" spans="1:9" x14ac:dyDescent="0.15">
      <c r="A2054" s="2">
        <v>225552</v>
      </c>
      <c r="B2054" s="2" t="s">
        <v>77</v>
      </c>
      <c r="C2054" s="2">
        <v>2018</v>
      </c>
      <c r="D2054" s="2" t="s">
        <v>1</v>
      </c>
      <c r="E2054" s="2" t="s">
        <v>8</v>
      </c>
      <c r="F2054" s="2" t="s">
        <v>35</v>
      </c>
      <c r="G2054" s="7"/>
      <c r="H2054" s="13" t="str">
        <f>IFERROR(IF(ABS($G2054)&gt;0,VLOOKUP($E2054,'Fuel Category and Heat Rate'!$B$1:$G$34,6,FALSE)*($G2054),""),"")</f>
        <v/>
      </c>
      <c r="I2054" t="str">
        <f>IFERROR(VLOOKUP($E2054,'Fuel Category and Heat Rate'!$K$2:$M$36,3,FALSE),"")</f>
        <v>coal</v>
      </c>
    </row>
    <row r="2055" spans="1:9" x14ac:dyDescent="0.15">
      <c r="A2055" s="2">
        <v>225587</v>
      </c>
      <c r="B2055" s="2" t="s">
        <v>77</v>
      </c>
      <c r="C2055" s="2">
        <v>2018</v>
      </c>
      <c r="D2055" s="2" t="s">
        <v>1</v>
      </c>
      <c r="E2055" s="2" t="s">
        <v>27</v>
      </c>
      <c r="F2055" s="2" t="s">
        <v>35</v>
      </c>
      <c r="G2055" s="7">
        <v>-2.0099999999999998</v>
      </c>
      <c r="H2055" s="13">
        <f>IFERROR(IF(ABS($G2055)&gt;0,VLOOKUP($E2055,'Fuel Category and Heat Rate'!$B$1:$G$34,6,FALSE)*($G2055),""),"")</f>
        <v>-876313609369.58923</v>
      </c>
      <c r="I2055" t="str">
        <f>IFERROR(VLOOKUP($E2055,'Fuel Category and Heat Rate'!$K$2:$M$36,3,FALSE),"")</f>
        <v>LPG propane or butane</v>
      </c>
    </row>
    <row r="2056" spans="1:9" x14ac:dyDescent="0.15">
      <c r="A2056" s="2">
        <v>225622</v>
      </c>
      <c r="B2056" s="2" t="s">
        <v>77</v>
      </c>
      <c r="C2056" s="2">
        <v>2018</v>
      </c>
      <c r="D2056" s="2" t="s">
        <v>1</v>
      </c>
      <c r="E2056" s="2" t="s">
        <v>7</v>
      </c>
      <c r="F2056" s="2" t="s">
        <v>35</v>
      </c>
      <c r="G2056" s="7"/>
      <c r="H2056" s="13" t="str">
        <f>IFERROR(IF(ABS($G2056)&gt;0,VLOOKUP($E2056,'Fuel Category and Heat Rate'!$B$1:$G$34,6,FALSE)*($G2056),""),"")</f>
        <v/>
      </c>
      <c r="I2056" t="str">
        <f>IFERROR(VLOOKUP($E2056,'Fuel Category and Heat Rate'!$K$2:$M$36,3,FALSE),"")</f>
        <v>coal</v>
      </c>
    </row>
    <row r="2057" spans="1:9" x14ac:dyDescent="0.15">
      <c r="A2057" s="2">
        <v>225657</v>
      </c>
      <c r="B2057" s="2" t="s">
        <v>77</v>
      </c>
      <c r="C2057" s="2">
        <v>2018</v>
      </c>
      <c r="D2057" s="2" t="s">
        <v>1</v>
      </c>
      <c r="E2057" s="2" t="s">
        <v>2</v>
      </c>
      <c r="F2057" s="2" t="s">
        <v>35</v>
      </c>
      <c r="G2057" s="7">
        <v>-322.91000000000003</v>
      </c>
      <c r="H2057" s="13">
        <f>IFERROR(IF(ABS($G2057)&gt;0,VLOOKUP($E2057,'Fuel Category and Heat Rate'!$B$1:$G$34,6,FALSE)*($G2057),""),"")</f>
        <v>0</v>
      </c>
      <c r="I2057" t="str">
        <f>IFERROR(VLOOKUP($E2057,'Fuel Category and Heat Rate'!$K$2:$M$36,3,FALSE),"")</f>
        <v/>
      </c>
    </row>
    <row r="2058" spans="1:9" x14ac:dyDescent="0.15">
      <c r="A2058" s="2">
        <v>225692</v>
      </c>
      <c r="B2058" s="2" t="s">
        <v>77</v>
      </c>
      <c r="C2058" s="2">
        <v>2018</v>
      </c>
      <c r="D2058" s="2" t="s">
        <v>1</v>
      </c>
      <c r="E2058" s="2" t="s">
        <v>17</v>
      </c>
      <c r="F2058" s="2" t="s">
        <v>35</v>
      </c>
      <c r="G2058" s="7"/>
      <c r="H2058" s="13" t="str">
        <f>IFERROR(IF(ABS($G2058)&gt;0,VLOOKUP($E2058,'Fuel Category and Heat Rate'!$B$1:$G$34,6,FALSE)*($G2058),""),"")</f>
        <v/>
      </c>
      <c r="I2058" t="str">
        <f>IFERROR(VLOOKUP($E2058,'Fuel Category and Heat Rate'!$K$2:$M$36,3,FALSE),"")</f>
        <v>petroleum diesel</v>
      </c>
    </row>
    <row r="2059" spans="1:9" x14ac:dyDescent="0.15">
      <c r="A2059" s="2">
        <v>225727</v>
      </c>
      <c r="B2059" s="2" t="s">
        <v>77</v>
      </c>
      <c r="C2059" s="2">
        <v>2018</v>
      </c>
      <c r="D2059" s="2" t="s">
        <v>1</v>
      </c>
      <c r="E2059" s="2" t="s">
        <v>13</v>
      </c>
      <c r="F2059" s="2" t="s">
        <v>35</v>
      </c>
      <c r="G2059" s="7"/>
      <c r="H2059" s="13" t="str">
        <f>IFERROR(IF(ABS($G2059)&gt;0,VLOOKUP($E2059,'Fuel Category and Heat Rate'!$B$1:$G$34,6,FALSE)*($G2059),""),"")</f>
        <v/>
      </c>
      <c r="I2059" t="str">
        <f>IFERROR(VLOOKUP($E2059,'Fuel Category and Heat Rate'!$K$2:$M$36,3,FALSE),"")</f>
        <v>petroleum diesel</v>
      </c>
    </row>
    <row r="2060" spans="1:9" x14ac:dyDescent="0.15">
      <c r="A2060" s="2">
        <v>225762</v>
      </c>
      <c r="B2060" s="2" t="s">
        <v>77</v>
      </c>
      <c r="C2060" s="2">
        <v>2018</v>
      </c>
      <c r="D2060" s="2" t="s">
        <v>1</v>
      </c>
      <c r="E2060" s="2" t="s">
        <v>12</v>
      </c>
      <c r="F2060" s="2" t="s">
        <v>36</v>
      </c>
      <c r="G2060" s="7"/>
      <c r="H2060" s="13" t="str">
        <f>IFERROR(IF(ABS($G2060)&gt;0,VLOOKUP($E2060,'Fuel Category and Heat Rate'!$B$1:$G$34,6,FALSE)*($G2060),""),"")</f>
        <v/>
      </c>
      <c r="I2060" t="str">
        <f>IFERROR(VLOOKUP($E2060,'Fuel Category and Heat Rate'!$K$2:$M$36,3,FALSE),"")</f>
        <v>LPG propane or butane</v>
      </c>
    </row>
    <row r="2061" spans="1:9" x14ac:dyDescent="0.15">
      <c r="A2061" s="2">
        <v>225797</v>
      </c>
      <c r="B2061" s="2" t="s">
        <v>77</v>
      </c>
      <c r="C2061" s="2">
        <v>2018</v>
      </c>
      <c r="D2061" s="2" t="s">
        <v>1</v>
      </c>
      <c r="E2061" s="2" t="s">
        <v>33</v>
      </c>
      <c r="F2061" s="2" t="s">
        <v>38</v>
      </c>
      <c r="G2061" s="7">
        <v>-1.51</v>
      </c>
      <c r="H2061" s="13">
        <f>IFERROR(IF(ABS($G2061)&gt;0,VLOOKUP($E2061,'Fuel Category and Heat Rate'!$B$1:$G$34,6,FALSE)*($G2061),""),"")</f>
        <v>-418927680463.55078</v>
      </c>
      <c r="I2061" t="str">
        <f>IFERROR(VLOOKUP($E2061,'Fuel Category and Heat Rate'!$K$2:$M$36,3,FALSE),"")</f>
        <v>biomass</v>
      </c>
    </row>
    <row r="2062" spans="1:9" x14ac:dyDescent="0.15">
      <c r="A2062" s="2">
        <v>225832</v>
      </c>
      <c r="B2062" s="2" t="s">
        <v>77</v>
      </c>
      <c r="C2062" s="2">
        <v>2018</v>
      </c>
      <c r="D2062" s="2" t="s">
        <v>1</v>
      </c>
      <c r="E2062" s="2" t="s">
        <v>28</v>
      </c>
      <c r="F2062" s="2" t="s">
        <v>35</v>
      </c>
      <c r="G2062" s="7"/>
      <c r="H2062" s="13" t="str">
        <f>IFERROR(IF(ABS($G2062)&gt;0,VLOOKUP($E2062,'Fuel Category and Heat Rate'!$B$1:$G$34,6,FALSE)*($G2062),""),"")</f>
        <v/>
      </c>
      <c r="I2062" t="str">
        <f>IFERROR(VLOOKUP($E2062,'Fuel Category and Heat Rate'!$K$2:$M$36,3,FALSE),"")</f>
        <v>heavy or residual fuel oil</v>
      </c>
    </row>
    <row r="2063" spans="1:9" x14ac:dyDescent="0.15">
      <c r="A2063" s="2">
        <v>225867</v>
      </c>
      <c r="B2063" s="2" t="s">
        <v>77</v>
      </c>
      <c r="C2063" s="2">
        <v>2018</v>
      </c>
      <c r="D2063" s="2" t="s">
        <v>1</v>
      </c>
      <c r="E2063" s="2" t="s">
        <v>5</v>
      </c>
      <c r="F2063" s="2" t="s">
        <v>35</v>
      </c>
      <c r="G2063" s="7">
        <v>-122.59</v>
      </c>
      <c r="H2063" s="13">
        <f>IFERROR(IF(ABS($G2063)&gt;0,VLOOKUP($E2063,'Fuel Category and Heat Rate'!$B$1:$G$34,6,FALSE)*($G2063),""),"")</f>
        <v>-9717212316295.8613</v>
      </c>
      <c r="I2063" t="str">
        <f>IFERROR(VLOOKUP($E2063,'Fuel Category and Heat Rate'!$K$2:$M$36,3,FALSE),"")</f>
        <v>coal</v>
      </c>
    </row>
    <row r="2064" spans="1:9" x14ac:dyDescent="0.15">
      <c r="A2064" s="2">
        <v>225902</v>
      </c>
      <c r="B2064" s="2" t="s">
        <v>77</v>
      </c>
      <c r="C2064" s="2">
        <v>2018</v>
      </c>
      <c r="D2064" s="2" t="s">
        <v>1</v>
      </c>
      <c r="E2064" s="2" t="s">
        <v>16</v>
      </c>
      <c r="F2064" s="2" t="s">
        <v>35</v>
      </c>
      <c r="G2064" s="7"/>
      <c r="H2064" s="13" t="str">
        <f>IFERROR(IF(ABS($G2064)&gt;0,VLOOKUP($E2064,'Fuel Category and Heat Rate'!$B$1:$G$34,6,FALSE)*($G2064),""),"")</f>
        <v/>
      </c>
      <c r="I2064" t="str">
        <f>IFERROR(VLOOKUP($E2064,'Fuel Category and Heat Rate'!$K$2:$M$36,3,FALSE),"")</f>
        <v>petroleum diesel</v>
      </c>
    </row>
    <row r="2065" spans="1:9" x14ac:dyDescent="0.15">
      <c r="A2065" s="2">
        <v>225937</v>
      </c>
      <c r="B2065" s="2" t="s">
        <v>77</v>
      </c>
      <c r="C2065" s="2">
        <v>2018</v>
      </c>
      <c r="D2065" s="2" t="s">
        <v>1</v>
      </c>
      <c r="E2065" s="2" t="s">
        <v>19</v>
      </c>
      <c r="F2065" s="2" t="s">
        <v>35</v>
      </c>
      <c r="G2065" s="7">
        <v>-0.61</v>
      </c>
      <c r="H2065" s="13">
        <f>IFERROR(IF(ABS($G2065)&gt;0,VLOOKUP($E2065,'Fuel Category and Heat Rate'!$B$1:$G$34,6,FALSE)*($G2065),""),"")</f>
        <v>-241766916888.80734</v>
      </c>
      <c r="I2065" t="str">
        <f>IFERROR(VLOOKUP($E2065,'Fuel Category and Heat Rate'!$K$2:$M$36,3,FALSE),"")</f>
        <v>heavy or residual fuel oil</v>
      </c>
    </row>
    <row r="2066" spans="1:9" x14ac:dyDescent="0.15">
      <c r="A2066" s="2">
        <v>225972</v>
      </c>
      <c r="B2066" s="2" t="s">
        <v>77</v>
      </c>
      <c r="C2066" s="2">
        <v>2018</v>
      </c>
      <c r="D2066" s="2" t="s">
        <v>1</v>
      </c>
      <c r="E2066" s="2" t="s">
        <v>31</v>
      </c>
      <c r="F2066" s="2" t="s">
        <v>37</v>
      </c>
      <c r="G2066" s="7">
        <v>4979.79</v>
      </c>
      <c r="H2066" s="13">
        <f>IFERROR(IF(ABS($G2066)&gt;0,VLOOKUP($E2066,'Fuel Category and Heat Rate'!$B$1:$G$34,6,FALSE)*($G2066),""),"")</f>
        <v>47199302292859.664</v>
      </c>
      <c r="I2066" t="str">
        <f>IFERROR(VLOOKUP($E2066,'Fuel Category and Heat Rate'!$K$2:$M$36,3,FALSE),"")</f>
        <v>heat</v>
      </c>
    </row>
    <row r="2067" spans="1:9" x14ac:dyDescent="0.15">
      <c r="A2067" s="2">
        <v>226007</v>
      </c>
      <c r="B2067" s="2" t="s">
        <v>77</v>
      </c>
      <c r="C2067" s="2">
        <v>2018</v>
      </c>
      <c r="D2067" s="2" t="s">
        <v>1</v>
      </c>
      <c r="E2067" s="2" t="s">
        <v>23</v>
      </c>
      <c r="F2067" s="2" t="s">
        <v>35</v>
      </c>
      <c r="G2067" s="7"/>
      <c r="H2067" s="13" t="str">
        <f>IFERROR(IF(ABS($G2067)&gt;0,VLOOKUP($E2067,'Fuel Category and Heat Rate'!$B$1:$G$34,6,FALSE)*($G2067),""),"")</f>
        <v/>
      </c>
      <c r="I2067" t="str">
        <f>IFERROR(VLOOKUP($E2067,'Fuel Category and Heat Rate'!$K$2:$M$36,3,FALSE),"")</f>
        <v>heavy or residual fuel oil</v>
      </c>
    </row>
    <row r="2068" spans="1:9" x14ac:dyDescent="0.15">
      <c r="A2068" s="2">
        <v>226042</v>
      </c>
      <c r="B2068" s="2" t="s">
        <v>77</v>
      </c>
      <c r="C2068" s="2">
        <v>2018</v>
      </c>
      <c r="D2068" s="2" t="s">
        <v>1</v>
      </c>
      <c r="E2068" s="2" t="s">
        <v>21</v>
      </c>
      <c r="F2068" s="2" t="s">
        <v>35</v>
      </c>
      <c r="G2068" s="7"/>
      <c r="H2068" s="13" t="str">
        <f>IFERROR(IF(ABS($G2068)&gt;0,VLOOKUP($E2068,'Fuel Category and Heat Rate'!$B$1:$G$34,6,FALSE)*($G2068),""),"")</f>
        <v/>
      </c>
      <c r="I2068" t="str">
        <f>IFERROR(VLOOKUP($E2068,'Fuel Category and Heat Rate'!$K$2:$M$36,3,FALSE),"")</f>
        <v>LPG propane or butane</v>
      </c>
    </row>
    <row r="2069" spans="1:9" x14ac:dyDescent="0.15">
      <c r="A2069" s="2">
        <v>226077</v>
      </c>
      <c r="B2069" s="2" t="s">
        <v>77</v>
      </c>
      <c r="C2069" s="2">
        <v>2018</v>
      </c>
      <c r="D2069" s="2" t="s">
        <v>1</v>
      </c>
      <c r="E2069" s="2" t="s">
        <v>22</v>
      </c>
      <c r="F2069" s="2" t="s">
        <v>35</v>
      </c>
      <c r="G2069" s="7"/>
      <c r="H2069" s="13" t="str">
        <f>IFERROR(IF(ABS($G2069)&gt;0,VLOOKUP($E2069,'Fuel Category and Heat Rate'!$B$1:$G$34,6,FALSE)*($G2069),""),"")</f>
        <v/>
      </c>
      <c r="I2069" t="str">
        <f>IFERROR(VLOOKUP($E2069,'Fuel Category and Heat Rate'!$K$2:$M$36,3,FALSE),"")</f>
        <v>heavy fuel oil</v>
      </c>
    </row>
    <row r="2070" spans="1:9" x14ac:dyDescent="0.15">
      <c r="A2070" s="2">
        <v>226112</v>
      </c>
      <c r="B2070" s="2" t="s">
        <v>77</v>
      </c>
      <c r="C2070" s="2">
        <v>2018</v>
      </c>
      <c r="D2070" s="2" t="s">
        <v>1</v>
      </c>
      <c r="E2070" s="2" t="s">
        <v>20</v>
      </c>
      <c r="F2070" s="2" t="s">
        <v>35</v>
      </c>
      <c r="G2070" s="7"/>
      <c r="H2070" s="13" t="str">
        <f>IFERROR(IF(ABS($G2070)&gt;0,VLOOKUP($E2070,'Fuel Category and Heat Rate'!$B$1:$G$34,6,FALSE)*($G2070),""),"")</f>
        <v/>
      </c>
      <c r="I2070" t="str">
        <f>IFERROR(VLOOKUP($E2070,'Fuel Category and Heat Rate'!$K$2:$M$36,3,FALSE),"")</f>
        <v>LPG propane or butane</v>
      </c>
    </row>
    <row r="2071" spans="1:9" x14ac:dyDescent="0.15">
      <c r="A2071" s="2">
        <v>226147</v>
      </c>
      <c r="B2071" s="2" t="s">
        <v>77</v>
      </c>
      <c r="C2071" s="2">
        <v>2018</v>
      </c>
      <c r="D2071" s="2" t="s">
        <v>1</v>
      </c>
      <c r="E2071" s="2" t="s">
        <v>25</v>
      </c>
      <c r="F2071" s="2" t="s">
        <v>35</v>
      </c>
      <c r="G2071" s="7">
        <v>-3.74</v>
      </c>
      <c r="H2071" s="13">
        <f>IFERROR(IF(ABS($G2071)&gt;0,VLOOKUP($E2071,'Fuel Category and Heat Rate'!$B$1:$G$34,6,FALSE)*($G2071),""),"")</f>
        <v>-1132468769307.3311</v>
      </c>
      <c r="I2071" t="str">
        <f>IFERROR(VLOOKUP($E2071,'Fuel Category and Heat Rate'!$K$2:$M$36,3,FALSE),"")</f>
        <v>heavy fuel oil</v>
      </c>
    </row>
    <row r="2072" spans="1:9" x14ac:dyDescent="0.15">
      <c r="A2072" s="2">
        <v>226182</v>
      </c>
      <c r="B2072" s="2" t="s">
        <v>77</v>
      </c>
      <c r="C2072" s="2">
        <v>2018</v>
      </c>
      <c r="D2072" s="2" t="s">
        <v>1</v>
      </c>
      <c r="E2072" s="2" t="s">
        <v>24</v>
      </c>
      <c r="F2072" s="2" t="s">
        <v>35</v>
      </c>
      <c r="G2072" s="7"/>
      <c r="H2072" s="13" t="str">
        <f>IFERROR(IF(ABS($G2072)&gt;0,VLOOKUP($E2072,'Fuel Category and Heat Rate'!$B$1:$G$34,6,FALSE)*($G2072),""),"")</f>
        <v/>
      </c>
      <c r="I2072" t="str">
        <f>IFERROR(VLOOKUP($E2072,'Fuel Category and Heat Rate'!$K$2:$M$36,3,FALSE),"")</f>
        <v>heavy fuel oil</v>
      </c>
    </row>
    <row r="2073" spans="1:9" x14ac:dyDescent="0.15">
      <c r="A2073" s="2">
        <v>226217</v>
      </c>
      <c r="B2073" s="2" t="s">
        <v>77</v>
      </c>
      <c r="C2073" s="2">
        <v>2018</v>
      </c>
      <c r="D2073" s="2" t="s">
        <v>1</v>
      </c>
      <c r="E2073" s="2" t="s">
        <v>29</v>
      </c>
      <c r="F2073" s="2" t="s">
        <v>36</v>
      </c>
      <c r="G2073" s="7"/>
      <c r="H2073" s="13" t="str">
        <f>IFERROR(IF(ABS($G2073)&gt;0,VLOOKUP($E2073,'Fuel Category and Heat Rate'!$B$1:$G$34,6,FALSE)*($G2073),""),"")</f>
        <v/>
      </c>
      <c r="I2073" t="str">
        <f>IFERROR(VLOOKUP($E2073,'Fuel Category and Heat Rate'!$K$2:$M$36,3,FALSE),"")</f>
        <v>natural gas</v>
      </c>
    </row>
    <row r="2074" spans="1:9" x14ac:dyDescent="0.15">
      <c r="A2074" s="2">
        <v>226252</v>
      </c>
      <c r="B2074" s="2" t="s">
        <v>77</v>
      </c>
      <c r="C2074" s="2">
        <v>2018</v>
      </c>
      <c r="D2074" s="2" t="s">
        <v>1</v>
      </c>
      <c r="E2074" s="2" t="s">
        <v>4</v>
      </c>
      <c r="F2074" s="2" t="s">
        <v>35</v>
      </c>
      <c r="G2074" s="7"/>
      <c r="H2074" s="13" t="str">
        <f>IFERROR(IF(ABS($G2074)&gt;0,VLOOKUP($E2074,'Fuel Category and Heat Rate'!$B$1:$G$34,6,FALSE)*($G2074),""),"")</f>
        <v/>
      </c>
      <c r="I2074" t="str">
        <f>IFERROR(VLOOKUP($E2074,'Fuel Category and Heat Rate'!$K$2:$M$36,3,FALSE),"")</f>
        <v>coal</v>
      </c>
    </row>
    <row r="2075" spans="1:9" x14ac:dyDescent="0.15">
      <c r="A2075" s="2">
        <v>226287</v>
      </c>
      <c r="B2075" s="2" t="s">
        <v>77</v>
      </c>
      <c r="C2075" s="2">
        <v>2018</v>
      </c>
      <c r="D2075" s="2" t="s">
        <v>1</v>
      </c>
      <c r="E2075" s="2" t="s">
        <v>6</v>
      </c>
      <c r="F2075" s="2" t="s">
        <v>35</v>
      </c>
      <c r="G2075" s="7"/>
      <c r="H2075" s="13" t="str">
        <f>IFERROR(IF(ABS($G2075)&gt;0,VLOOKUP($E2075,'Fuel Category and Heat Rate'!$B$1:$G$34,6,FALSE)*($G2075),""),"")</f>
        <v/>
      </c>
      <c r="I2075" t="str">
        <f>IFERROR(VLOOKUP($E2075,'Fuel Category and Heat Rate'!$K$2:$M$36,3,FALSE),"")</f>
        <v>coal</v>
      </c>
    </row>
    <row r="2076" spans="1:9" x14ac:dyDescent="0.15">
      <c r="A2076" s="2">
        <v>226322</v>
      </c>
      <c r="B2076" s="2" t="s">
        <v>77</v>
      </c>
      <c r="C2076" s="2">
        <v>2018</v>
      </c>
      <c r="D2076" s="2" t="s">
        <v>1</v>
      </c>
      <c r="E2076" s="2" t="s">
        <v>26</v>
      </c>
      <c r="F2076" s="2" t="s">
        <v>35</v>
      </c>
      <c r="G2076" s="7"/>
      <c r="H2076" s="13" t="str">
        <f>IFERROR(IF(ABS($G2076)&gt;0,VLOOKUP($E2076,'Fuel Category and Heat Rate'!$B$1:$G$34,6,FALSE)*($G2076),""),"")</f>
        <v/>
      </c>
      <c r="I2076" t="str">
        <f>IFERROR(VLOOKUP($E2076,'Fuel Category and Heat Rate'!$K$2:$M$36,3,FALSE),"")</f>
        <v>LPG propane or butane</v>
      </c>
    </row>
    <row r="2077" spans="1:9" x14ac:dyDescent="0.15">
      <c r="A2077" s="2">
        <v>226357</v>
      </c>
      <c r="B2077" s="2" t="s">
        <v>77</v>
      </c>
      <c r="C2077" s="2">
        <v>2018</v>
      </c>
      <c r="D2077" s="2" t="s">
        <v>1</v>
      </c>
      <c r="E2077" s="2" t="s">
        <v>30</v>
      </c>
      <c r="F2077" s="2" t="s">
        <v>35</v>
      </c>
      <c r="G2077" s="7"/>
      <c r="H2077" s="13" t="str">
        <f>IFERROR(IF(ABS($G2077)&gt;0,VLOOKUP($E2077,'Fuel Category and Heat Rate'!$B$1:$G$34,6,FALSE)*($G2077),""),"")</f>
        <v/>
      </c>
      <c r="I2077" t="str">
        <f>IFERROR(VLOOKUP($E2077,'Fuel Category and Heat Rate'!$K$2:$M$36,3,FALSE),"")</f>
        <v>natural gas</v>
      </c>
    </row>
    <row r="2078" spans="1:9" x14ac:dyDescent="0.15">
      <c r="A2078" s="2">
        <v>226392</v>
      </c>
      <c r="B2078" s="2" t="s">
        <v>77</v>
      </c>
      <c r="C2078" s="2">
        <v>2018</v>
      </c>
      <c r="D2078" s="2" t="s">
        <v>1</v>
      </c>
      <c r="E2078" s="2" t="s">
        <v>14</v>
      </c>
      <c r="F2078" s="2" t="s">
        <v>35</v>
      </c>
      <c r="G2078" s="7">
        <v>-6.37</v>
      </c>
      <c r="H2078" s="13">
        <f>IFERROR(IF(ABS($G2078)&gt;0,VLOOKUP($E2078,'Fuel Category and Heat Rate'!$B$1:$G$34,6,FALSE)*($G2078),""),"")</f>
        <v>0</v>
      </c>
      <c r="I2078" t="str">
        <f>IFERROR(VLOOKUP($E2078,'Fuel Category and Heat Rate'!$K$2:$M$36,3,FALSE),"")</f>
        <v/>
      </c>
    </row>
    <row r="2079" spans="1:9" x14ac:dyDescent="0.15">
      <c r="A2079" s="2">
        <v>226427</v>
      </c>
      <c r="B2079" s="2" t="s">
        <v>77</v>
      </c>
      <c r="C2079" s="2">
        <v>2018</v>
      </c>
      <c r="D2079" s="2" t="s">
        <v>1</v>
      </c>
      <c r="E2079" s="2" t="s">
        <v>3</v>
      </c>
      <c r="F2079" s="2" t="s">
        <v>35</v>
      </c>
      <c r="G2079" s="7">
        <v>-200.32</v>
      </c>
      <c r="H2079" s="13">
        <f>IFERROR(IF(ABS($G2079)&gt;0,VLOOKUP($E2079,'Fuel Category and Heat Rate'!$B$1:$G$34,6,FALSE)*($G2079),""),"")</f>
        <v>-39697335074726.141</v>
      </c>
      <c r="I2079" t="str">
        <f>IFERROR(VLOOKUP($E2079,'Fuel Category and Heat Rate'!$K$2:$M$36,3,FALSE),"")</f>
        <v>coal</v>
      </c>
    </row>
    <row r="2080" spans="1:9" x14ac:dyDescent="0.15">
      <c r="A2080" s="2">
        <v>226462</v>
      </c>
      <c r="B2080" s="2" t="s">
        <v>77</v>
      </c>
      <c r="C2080" s="2">
        <v>2018</v>
      </c>
      <c r="D2080" s="2" t="s">
        <v>1</v>
      </c>
      <c r="E2080" s="2" t="s">
        <v>15</v>
      </c>
      <c r="F2080" s="2" t="s">
        <v>35</v>
      </c>
      <c r="G2080" s="7"/>
      <c r="H2080" s="13" t="str">
        <f>IFERROR(IF(ABS($G2080)&gt;0,VLOOKUP($E2080,'Fuel Category and Heat Rate'!$B$1:$G$34,6,FALSE)*($G2080),""),"")</f>
        <v/>
      </c>
      <c r="I2080" t="str">
        <f>IFERROR(VLOOKUP($E2080,'Fuel Category and Heat Rate'!$K$2:$M$36,3,FALSE),"")</f>
        <v>crude oil</v>
      </c>
    </row>
    <row r="2081" spans="1:9" x14ac:dyDescent="0.15">
      <c r="A2081" s="2">
        <v>226497</v>
      </c>
      <c r="B2081" s="2" t="s">
        <v>77</v>
      </c>
      <c r="C2081" s="2">
        <v>2018</v>
      </c>
      <c r="D2081" s="2" t="s">
        <v>1</v>
      </c>
      <c r="E2081" s="2" t="s">
        <v>11</v>
      </c>
      <c r="F2081" s="2" t="s">
        <v>36</v>
      </c>
      <c r="G2081" s="7"/>
      <c r="H2081" s="13" t="str">
        <f>IFERROR(IF(ABS($G2081)&gt;0,VLOOKUP($E2081,'Fuel Category and Heat Rate'!$B$1:$G$34,6,FALSE)*($G2081),""),"")</f>
        <v/>
      </c>
      <c r="I2081" t="str">
        <f>IFERROR(VLOOKUP($E2081,'Fuel Category and Heat Rate'!$K$2:$M$36,3,FALSE),"")</f>
        <v>LPG propane or butane</v>
      </c>
    </row>
    <row r="2082" spans="1:9" x14ac:dyDescent="0.15">
      <c r="A2082" s="2">
        <v>239342</v>
      </c>
      <c r="B2082" s="2" t="s">
        <v>78</v>
      </c>
      <c r="C2082" s="2">
        <v>2022</v>
      </c>
      <c r="D2082" s="2" t="s">
        <v>1</v>
      </c>
      <c r="E2082" s="2" t="s">
        <v>18</v>
      </c>
      <c r="F2082" s="2" t="s">
        <v>35</v>
      </c>
      <c r="G2082" s="7">
        <v>-0.06</v>
      </c>
      <c r="H2082" s="13">
        <f>IFERROR(IF(ABS($G2082)&gt;0,VLOOKUP($E2082,'Fuel Category and Heat Rate'!$B$1:$G$34,6,FALSE)*($G2082),""),"")</f>
        <v>-24255777549.596069</v>
      </c>
      <c r="I2082" t="str">
        <f>IFERROR(VLOOKUP($E2082,'Fuel Category and Heat Rate'!$K$2:$M$36,3,FALSE),"")</f>
        <v>petroleum diesel</v>
      </c>
    </row>
    <row r="2083" spans="1:9" x14ac:dyDescent="0.15">
      <c r="A2083" s="2">
        <v>239377</v>
      </c>
      <c r="B2083" s="2" t="s">
        <v>78</v>
      </c>
      <c r="C2083" s="2">
        <v>2022</v>
      </c>
      <c r="D2083" s="2" t="s">
        <v>1</v>
      </c>
      <c r="E2083" s="2" t="s">
        <v>32</v>
      </c>
      <c r="F2083" s="2" t="s">
        <v>65</v>
      </c>
      <c r="G2083" s="7"/>
      <c r="H2083" s="13" t="str">
        <f>IFERROR(IF(ABS($G2083)&gt;0,VLOOKUP($E2083,'Fuel Category and Heat Rate'!$B$1:$G$34,6,FALSE)*($G2083),""),"")</f>
        <v/>
      </c>
      <c r="I2083" t="str">
        <f>IFERROR(VLOOKUP($E2083,'Fuel Category and Heat Rate'!$K$2:$M$36,3,FALSE),"")</f>
        <v>electricity</v>
      </c>
    </row>
    <row r="2084" spans="1:9" x14ac:dyDescent="0.15">
      <c r="A2084" s="2">
        <v>239412</v>
      </c>
      <c r="B2084" s="2" t="s">
        <v>78</v>
      </c>
      <c r="C2084" s="2">
        <v>2022</v>
      </c>
      <c r="D2084" s="2" t="s">
        <v>1</v>
      </c>
      <c r="E2084" s="2" t="s">
        <v>10</v>
      </c>
      <c r="F2084" s="2" t="s">
        <v>36</v>
      </c>
      <c r="G2084" s="7"/>
      <c r="H2084" s="13" t="str">
        <f>IFERROR(IF(ABS($G2084)&gt;0,VLOOKUP($E2084,'Fuel Category and Heat Rate'!$B$1:$G$34,6,FALSE)*($G2084),""),"")</f>
        <v/>
      </c>
      <c r="I2084" t="str">
        <f>IFERROR(VLOOKUP($E2084,'Fuel Category and Heat Rate'!$K$2:$M$36,3,FALSE),"")</f>
        <v>LPG propane or butane</v>
      </c>
    </row>
    <row r="2085" spans="1:9" x14ac:dyDescent="0.15">
      <c r="A2085" s="2">
        <v>239447</v>
      </c>
      <c r="B2085" s="2" t="s">
        <v>78</v>
      </c>
      <c r="C2085" s="2">
        <v>2022</v>
      </c>
      <c r="D2085" s="2" t="s">
        <v>1</v>
      </c>
      <c r="E2085" s="2" t="s">
        <v>9</v>
      </c>
      <c r="F2085" s="2" t="s">
        <v>36</v>
      </c>
      <c r="G2085" s="7"/>
      <c r="H2085" s="13" t="str">
        <f>IFERROR(IF(ABS($G2085)&gt;0,VLOOKUP($E2085,'Fuel Category and Heat Rate'!$B$1:$G$34,6,FALSE)*($G2085),""),"")</f>
        <v/>
      </c>
      <c r="I2085" t="str">
        <f>IFERROR(VLOOKUP($E2085,'Fuel Category and Heat Rate'!$K$2:$M$36,3,FALSE),"")</f>
        <v>LPG propane or butane</v>
      </c>
    </row>
    <row r="2086" spans="1:9" x14ac:dyDescent="0.15">
      <c r="A2086" s="2">
        <v>239482</v>
      </c>
      <c r="B2086" s="2" t="s">
        <v>78</v>
      </c>
      <c r="C2086" s="2">
        <v>2022</v>
      </c>
      <c r="D2086" s="2" t="s">
        <v>1</v>
      </c>
      <c r="E2086" s="2" t="s">
        <v>8</v>
      </c>
      <c r="F2086" s="2" t="s">
        <v>35</v>
      </c>
      <c r="G2086" s="7"/>
      <c r="H2086" s="13" t="str">
        <f>IFERROR(IF(ABS($G2086)&gt;0,VLOOKUP($E2086,'Fuel Category and Heat Rate'!$B$1:$G$34,6,FALSE)*($G2086),""),"")</f>
        <v/>
      </c>
      <c r="I2086" t="str">
        <f>IFERROR(VLOOKUP($E2086,'Fuel Category and Heat Rate'!$K$2:$M$36,3,FALSE),"")</f>
        <v>coal</v>
      </c>
    </row>
    <row r="2087" spans="1:9" x14ac:dyDescent="0.15">
      <c r="A2087" s="2">
        <v>239517</v>
      </c>
      <c r="B2087" s="2" t="s">
        <v>78</v>
      </c>
      <c r="C2087" s="2">
        <v>2022</v>
      </c>
      <c r="D2087" s="2" t="s">
        <v>1</v>
      </c>
      <c r="E2087" s="2" t="s">
        <v>27</v>
      </c>
      <c r="F2087" s="2" t="s">
        <v>35</v>
      </c>
      <c r="G2087" s="7"/>
      <c r="H2087" s="13" t="str">
        <f>IFERROR(IF(ABS($G2087)&gt;0,VLOOKUP($E2087,'Fuel Category and Heat Rate'!$B$1:$G$34,6,FALSE)*($G2087),""),"")</f>
        <v/>
      </c>
      <c r="I2087" t="str">
        <f>IFERROR(VLOOKUP($E2087,'Fuel Category and Heat Rate'!$K$2:$M$36,3,FALSE),"")</f>
        <v>LPG propane or butane</v>
      </c>
    </row>
    <row r="2088" spans="1:9" x14ac:dyDescent="0.15">
      <c r="A2088" s="2">
        <v>239552</v>
      </c>
      <c r="B2088" s="2" t="s">
        <v>78</v>
      </c>
      <c r="C2088" s="2">
        <v>2022</v>
      </c>
      <c r="D2088" s="2" t="s">
        <v>1</v>
      </c>
      <c r="E2088" s="2" t="s">
        <v>7</v>
      </c>
      <c r="F2088" s="2" t="s">
        <v>35</v>
      </c>
      <c r="G2088" s="7"/>
      <c r="H2088" s="13" t="str">
        <f>IFERROR(IF(ABS($G2088)&gt;0,VLOOKUP($E2088,'Fuel Category and Heat Rate'!$B$1:$G$34,6,FALSE)*($G2088),""),"")</f>
        <v/>
      </c>
      <c r="I2088" t="str">
        <f>IFERROR(VLOOKUP($E2088,'Fuel Category and Heat Rate'!$K$2:$M$36,3,FALSE),"")</f>
        <v>coal</v>
      </c>
    </row>
    <row r="2089" spans="1:9" x14ac:dyDescent="0.15">
      <c r="A2089" s="2">
        <v>239587</v>
      </c>
      <c r="B2089" s="2" t="s">
        <v>78</v>
      </c>
      <c r="C2089" s="2">
        <v>2022</v>
      </c>
      <c r="D2089" s="2" t="s">
        <v>1</v>
      </c>
      <c r="E2089" s="2" t="s">
        <v>2</v>
      </c>
      <c r="F2089" s="2" t="s">
        <v>35</v>
      </c>
      <c r="G2089" s="7">
        <v>-2974.83</v>
      </c>
      <c r="H2089" s="13">
        <f>IFERROR(IF(ABS($G2089)&gt;0,VLOOKUP($E2089,'Fuel Category and Heat Rate'!$B$1:$G$34,6,FALSE)*($G2089),""),"")</f>
        <v>0</v>
      </c>
      <c r="I2089" t="str">
        <f>IFERROR(VLOOKUP($E2089,'Fuel Category and Heat Rate'!$K$2:$M$36,3,FALSE),"")</f>
        <v/>
      </c>
    </row>
    <row r="2090" spans="1:9" x14ac:dyDescent="0.15">
      <c r="A2090" s="2">
        <v>239622</v>
      </c>
      <c r="B2090" s="2" t="s">
        <v>78</v>
      </c>
      <c r="C2090" s="2">
        <v>2022</v>
      </c>
      <c r="D2090" s="2" t="s">
        <v>1</v>
      </c>
      <c r="E2090" s="2" t="s">
        <v>17</v>
      </c>
      <c r="F2090" s="2" t="s">
        <v>35</v>
      </c>
      <c r="G2090" s="7"/>
      <c r="H2090" s="13" t="str">
        <f>IFERROR(IF(ABS($G2090)&gt;0,VLOOKUP($E2090,'Fuel Category and Heat Rate'!$B$1:$G$34,6,FALSE)*($G2090),""),"")</f>
        <v/>
      </c>
      <c r="I2090" t="str">
        <f>IFERROR(VLOOKUP($E2090,'Fuel Category and Heat Rate'!$K$2:$M$36,3,FALSE),"")</f>
        <v>petroleum diesel</v>
      </c>
    </row>
    <row r="2091" spans="1:9" x14ac:dyDescent="0.15">
      <c r="A2091" s="2">
        <v>239657</v>
      </c>
      <c r="B2091" s="2" t="s">
        <v>78</v>
      </c>
      <c r="C2091" s="2">
        <v>2022</v>
      </c>
      <c r="D2091" s="2" t="s">
        <v>1</v>
      </c>
      <c r="E2091" s="2" t="s">
        <v>13</v>
      </c>
      <c r="F2091" s="2" t="s">
        <v>35</v>
      </c>
      <c r="G2091" s="7"/>
      <c r="H2091" s="13" t="str">
        <f>IFERROR(IF(ABS($G2091)&gt;0,VLOOKUP($E2091,'Fuel Category and Heat Rate'!$B$1:$G$34,6,FALSE)*($G2091),""),"")</f>
        <v/>
      </c>
      <c r="I2091" t="str">
        <f>IFERROR(VLOOKUP($E2091,'Fuel Category and Heat Rate'!$K$2:$M$36,3,FALSE),"")</f>
        <v>petroleum diesel</v>
      </c>
    </row>
    <row r="2092" spans="1:9" x14ac:dyDescent="0.15">
      <c r="A2092" s="2">
        <v>239692</v>
      </c>
      <c r="B2092" s="2" t="s">
        <v>78</v>
      </c>
      <c r="C2092" s="2">
        <v>2022</v>
      </c>
      <c r="D2092" s="2" t="s">
        <v>1</v>
      </c>
      <c r="E2092" s="2" t="s">
        <v>12</v>
      </c>
      <c r="F2092" s="2" t="s">
        <v>36</v>
      </c>
      <c r="G2092" s="7"/>
      <c r="H2092" s="13" t="str">
        <f>IFERROR(IF(ABS($G2092)&gt;0,VLOOKUP($E2092,'Fuel Category and Heat Rate'!$B$1:$G$34,6,FALSE)*($G2092),""),"")</f>
        <v/>
      </c>
      <c r="I2092" t="str">
        <f>IFERROR(VLOOKUP($E2092,'Fuel Category and Heat Rate'!$K$2:$M$36,3,FALSE),"")</f>
        <v>LPG propane or butane</v>
      </c>
    </row>
    <row r="2093" spans="1:9" x14ac:dyDescent="0.15">
      <c r="A2093" s="2">
        <v>239727</v>
      </c>
      <c r="B2093" s="2" t="s">
        <v>78</v>
      </c>
      <c r="C2093" s="2">
        <v>2022</v>
      </c>
      <c r="D2093" s="2" t="s">
        <v>1</v>
      </c>
      <c r="E2093" s="2" t="s">
        <v>33</v>
      </c>
      <c r="F2093" s="2" t="s">
        <v>38</v>
      </c>
      <c r="G2093" s="7">
        <v>-25.83</v>
      </c>
      <c r="H2093" s="13">
        <f>IFERROR(IF(ABS($G2093)&gt;0,VLOOKUP($E2093,'Fuel Category and Heat Rate'!$B$1:$G$34,6,FALSE)*($G2093),""),"")</f>
        <v>-7166160255876.501</v>
      </c>
      <c r="I2093" t="str">
        <f>IFERROR(VLOOKUP($E2093,'Fuel Category and Heat Rate'!$K$2:$M$36,3,FALSE),"")</f>
        <v>biomass</v>
      </c>
    </row>
    <row r="2094" spans="1:9" x14ac:dyDescent="0.15">
      <c r="A2094" s="2">
        <v>239762</v>
      </c>
      <c r="B2094" s="2" t="s">
        <v>78</v>
      </c>
      <c r="C2094" s="2">
        <v>2022</v>
      </c>
      <c r="D2094" s="2" t="s">
        <v>1</v>
      </c>
      <c r="E2094" s="2" t="s">
        <v>28</v>
      </c>
      <c r="F2094" s="2" t="s">
        <v>35</v>
      </c>
      <c r="G2094" s="7"/>
      <c r="H2094" s="13" t="str">
        <f>IFERROR(IF(ABS($G2094)&gt;0,VLOOKUP($E2094,'Fuel Category and Heat Rate'!$B$1:$G$34,6,FALSE)*($G2094),""),"")</f>
        <v/>
      </c>
      <c r="I2094" t="str">
        <f>IFERROR(VLOOKUP($E2094,'Fuel Category and Heat Rate'!$K$2:$M$36,3,FALSE),"")</f>
        <v>heavy or residual fuel oil</v>
      </c>
    </row>
    <row r="2095" spans="1:9" x14ac:dyDescent="0.15">
      <c r="A2095" s="2">
        <v>239797</v>
      </c>
      <c r="B2095" s="2" t="s">
        <v>78</v>
      </c>
      <c r="C2095" s="2">
        <v>2022</v>
      </c>
      <c r="D2095" s="2" t="s">
        <v>1</v>
      </c>
      <c r="E2095" s="2" t="s">
        <v>5</v>
      </c>
      <c r="F2095" s="2" t="s">
        <v>35</v>
      </c>
      <c r="G2095" s="7">
        <v>-9.9600000000000009</v>
      </c>
      <c r="H2095" s="13">
        <f>IFERROR(IF(ABS($G2095)&gt;0,VLOOKUP($E2095,'Fuel Category and Heat Rate'!$B$1:$G$34,6,FALSE)*($G2095),""),"")</f>
        <v>-789488821847.67761</v>
      </c>
      <c r="I2095" t="str">
        <f>IFERROR(VLOOKUP($E2095,'Fuel Category and Heat Rate'!$K$2:$M$36,3,FALSE),"")</f>
        <v>coal</v>
      </c>
    </row>
    <row r="2096" spans="1:9" x14ac:dyDescent="0.15">
      <c r="A2096" s="2">
        <v>239832</v>
      </c>
      <c r="B2096" s="2" t="s">
        <v>78</v>
      </c>
      <c r="C2096" s="2">
        <v>2022</v>
      </c>
      <c r="D2096" s="2" t="s">
        <v>1</v>
      </c>
      <c r="E2096" s="2" t="s">
        <v>16</v>
      </c>
      <c r="F2096" s="2" t="s">
        <v>35</v>
      </c>
      <c r="G2096" s="7"/>
      <c r="H2096" s="13" t="str">
        <f>IFERROR(IF(ABS($G2096)&gt;0,VLOOKUP($E2096,'Fuel Category and Heat Rate'!$B$1:$G$34,6,FALSE)*($G2096),""),"")</f>
        <v/>
      </c>
      <c r="I2096" t="str">
        <f>IFERROR(VLOOKUP($E2096,'Fuel Category and Heat Rate'!$K$2:$M$36,3,FALSE),"")</f>
        <v>petroleum diesel</v>
      </c>
    </row>
    <row r="2097" spans="1:9" x14ac:dyDescent="0.15">
      <c r="A2097" s="2">
        <v>239867</v>
      </c>
      <c r="B2097" s="2" t="s">
        <v>78</v>
      </c>
      <c r="C2097" s="2">
        <v>2022</v>
      </c>
      <c r="D2097" s="2" t="s">
        <v>1</v>
      </c>
      <c r="E2097" s="2" t="s">
        <v>19</v>
      </c>
      <c r="F2097" s="2" t="s">
        <v>35</v>
      </c>
      <c r="G2097" s="7">
        <v>-0.04</v>
      </c>
      <c r="H2097" s="13">
        <f>IFERROR(IF(ABS($G2097)&gt;0,VLOOKUP($E2097,'Fuel Category and Heat Rate'!$B$1:$G$34,6,FALSE)*($G2097),""),"")</f>
        <v>-15853568320.577532</v>
      </c>
      <c r="I2097" t="str">
        <f>IFERROR(VLOOKUP($E2097,'Fuel Category and Heat Rate'!$K$2:$M$36,3,FALSE),"")</f>
        <v>heavy or residual fuel oil</v>
      </c>
    </row>
    <row r="2098" spans="1:9" x14ac:dyDescent="0.15">
      <c r="A2098" s="2">
        <v>239902</v>
      </c>
      <c r="B2098" s="2" t="s">
        <v>78</v>
      </c>
      <c r="C2098" s="2">
        <v>2022</v>
      </c>
      <c r="D2098" s="2" t="s">
        <v>1</v>
      </c>
      <c r="E2098" s="2" t="s">
        <v>31</v>
      </c>
      <c r="F2098" s="2" t="s">
        <v>37</v>
      </c>
      <c r="G2098" s="7">
        <v>35720.06</v>
      </c>
      <c r="H2098" s="13">
        <f>IFERROR(IF(ABS($G2098)&gt;0,VLOOKUP($E2098,'Fuel Category and Heat Rate'!$B$1:$G$34,6,FALSE)*($G2098),""),"")</f>
        <v>338560844906930.75</v>
      </c>
      <c r="I2098" t="str">
        <f>IFERROR(VLOOKUP($E2098,'Fuel Category and Heat Rate'!$K$2:$M$36,3,FALSE),"")</f>
        <v>heat</v>
      </c>
    </row>
    <row r="2099" spans="1:9" x14ac:dyDescent="0.15">
      <c r="A2099" s="2">
        <v>239937</v>
      </c>
      <c r="B2099" s="2" t="s">
        <v>78</v>
      </c>
      <c r="C2099" s="2">
        <v>2022</v>
      </c>
      <c r="D2099" s="2" t="s">
        <v>1</v>
      </c>
      <c r="E2099" s="2" t="s">
        <v>23</v>
      </c>
      <c r="F2099" s="2" t="s">
        <v>35</v>
      </c>
      <c r="G2099" s="7"/>
      <c r="H2099" s="13" t="str">
        <f>IFERROR(IF(ABS($G2099)&gt;0,VLOOKUP($E2099,'Fuel Category and Heat Rate'!$B$1:$G$34,6,FALSE)*($G2099),""),"")</f>
        <v/>
      </c>
      <c r="I2099" t="str">
        <f>IFERROR(VLOOKUP($E2099,'Fuel Category and Heat Rate'!$K$2:$M$36,3,FALSE),"")</f>
        <v>heavy or residual fuel oil</v>
      </c>
    </row>
    <row r="2100" spans="1:9" x14ac:dyDescent="0.15">
      <c r="A2100" s="2">
        <v>239972</v>
      </c>
      <c r="B2100" s="2" t="s">
        <v>78</v>
      </c>
      <c r="C2100" s="2">
        <v>2022</v>
      </c>
      <c r="D2100" s="2" t="s">
        <v>1</v>
      </c>
      <c r="E2100" s="2" t="s">
        <v>21</v>
      </c>
      <c r="F2100" s="2" t="s">
        <v>35</v>
      </c>
      <c r="G2100" s="7"/>
      <c r="H2100" s="13" t="str">
        <f>IFERROR(IF(ABS($G2100)&gt;0,VLOOKUP($E2100,'Fuel Category and Heat Rate'!$B$1:$G$34,6,FALSE)*($G2100),""),"")</f>
        <v/>
      </c>
      <c r="I2100" t="str">
        <f>IFERROR(VLOOKUP($E2100,'Fuel Category and Heat Rate'!$K$2:$M$36,3,FALSE),"")</f>
        <v>LPG propane or butane</v>
      </c>
    </row>
    <row r="2101" spans="1:9" x14ac:dyDescent="0.15">
      <c r="A2101" s="2">
        <v>240007</v>
      </c>
      <c r="B2101" s="2" t="s">
        <v>78</v>
      </c>
      <c r="C2101" s="2">
        <v>2022</v>
      </c>
      <c r="D2101" s="2" t="s">
        <v>1</v>
      </c>
      <c r="E2101" s="2" t="s">
        <v>22</v>
      </c>
      <c r="F2101" s="2" t="s">
        <v>35</v>
      </c>
      <c r="G2101" s="7"/>
      <c r="H2101" s="13" t="str">
        <f>IFERROR(IF(ABS($G2101)&gt;0,VLOOKUP($E2101,'Fuel Category and Heat Rate'!$B$1:$G$34,6,FALSE)*($G2101),""),"")</f>
        <v/>
      </c>
      <c r="I2101" t="str">
        <f>IFERROR(VLOOKUP($E2101,'Fuel Category and Heat Rate'!$K$2:$M$36,3,FALSE),"")</f>
        <v>heavy fuel oil</v>
      </c>
    </row>
    <row r="2102" spans="1:9" x14ac:dyDescent="0.15">
      <c r="A2102" s="2">
        <v>240042</v>
      </c>
      <c r="B2102" s="2" t="s">
        <v>78</v>
      </c>
      <c r="C2102" s="2">
        <v>2022</v>
      </c>
      <c r="D2102" s="2" t="s">
        <v>1</v>
      </c>
      <c r="E2102" s="2" t="s">
        <v>20</v>
      </c>
      <c r="F2102" s="2" t="s">
        <v>35</v>
      </c>
      <c r="G2102" s="7"/>
      <c r="H2102" s="13" t="str">
        <f>IFERROR(IF(ABS($G2102)&gt;0,VLOOKUP($E2102,'Fuel Category and Heat Rate'!$B$1:$G$34,6,FALSE)*($G2102),""),"")</f>
        <v/>
      </c>
      <c r="I2102" t="str">
        <f>IFERROR(VLOOKUP($E2102,'Fuel Category and Heat Rate'!$K$2:$M$36,3,FALSE),"")</f>
        <v>LPG propane or butane</v>
      </c>
    </row>
    <row r="2103" spans="1:9" x14ac:dyDescent="0.15">
      <c r="A2103" s="2">
        <v>240077</v>
      </c>
      <c r="B2103" s="2" t="s">
        <v>78</v>
      </c>
      <c r="C2103" s="2">
        <v>2022</v>
      </c>
      <c r="D2103" s="2" t="s">
        <v>1</v>
      </c>
      <c r="E2103" s="2" t="s">
        <v>25</v>
      </c>
      <c r="F2103" s="2" t="s">
        <v>35</v>
      </c>
      <c r="G2103" s="7"/>
      <c r="H2103" s="13" t="str">
        <f>IFERROR(IF(ABS($G2103)&gt;0,VLOOKUP($E2103,'Fuel Category and Heat Rate'!$B$1:$G$34,6,FALSE)*($G2103),""),"")</f>
        <v/>
      </c>
      <c r="I2103" t="str">
        <f>IFERROR(VLOOKUP($E2103,'Fuel Category and Heat Rate'!$K$2:$M$36,3,FALSE),"")</f>
        <v>heavy fuel oil</v>
      </c>
    </row>
    <row r="2104" spans="1:9" x14ac:dyDescent="0.15">
      <c r="A2104" s="2">
        <v>240112</v>
      </c>
      <c r="B2104" s="2" t="s">
        <v>78</v>
      </c>
      <c r="C2104" s="2">
        <v>2022</v>
      </c>
      <c r="D2104" s="2" t="s">
        <v>1</v>
      </c>
      <c r="E2104" s="2" t="s">
        <v>24</v>
      </c>
      <c r="F2104" s="2" t="s">
        <v>35</v>
      </c>
      <c r="G2104" s="7"/>
      <c r="H2104" s="13" t="str">
        <f>IFERROR(IF(ABS($G2104)&gt;0,VLOOKUP($E2104,'Fuel Category and Heat Rate'!$B$1:$G$34,6,FALSE)*($G2104),""),"")</f>
        <v/>
      </c>
      <c r="I2104" t="str">
        <f>IFERROR(VLOOKUP($E2104,'Fuel Category and Heat Rate'!$K$2:$M$36,3,FALSE),"")</f>
        <v>heavy fuel oil</v>
      </c>
    </row>
    <row r="2105" spans="1:9" x14ac:dyDescent="0.15">
      <c r="A2105" s="2">
        <v>240147</v>
      </c>
      <c r="B2105" s="2" t="s">
        <v>78</v>
      </c>
      <c r="C2105" s="2">
        <v>2022</v>
      </c>
      <c r="D2105" s="2" t="s">
        <v>1</v>
      </c>
      <c r="E2105" s="2" t="s">
        <v>29</v>
      </c>
      <c r="F2105" s="2" t="s">
        <v>36</v>
      </c>
      <c r="G2105" s="7">
        <v>-0.79</v>
      </c>
      <c r="H2105" s="13">
        <f>IFERROR(IF(ABS($G2105)&gt;0,VLOOKUP($E2105,'Fuel Category and Heat Rate'!$B$1:$G$34,6,FALSE)*($G2105),""),"")</f>
        <v>-2664480273722.0024</v>
      </c>
      <c r="I2105" t="str">
        <f>IFERROR(VLOOKUP($E2105,'Fuel Category and Heat Rate'!$K$2:$M$36,3,FALSE),"")</f>
        <v>natural gas</v>
      </c>
    </row>
    <row r="2106" spans="1:9" x14ac:dyDescent="0.15">
      <c r="A2106" s="2">
        <v>240182</v>
      </c>
      <c r="B2106" s="2" t="s">
        <v>78</v>
      </c>
      <c r="C2106" s="2">
        <v>2022</v>
      </c>
      <c r="D2106" s="2" t="s">
        <v>1</v>
      </c>
      <c r="E2106" s="2" t="s">
        <v>4</v>
      </c>
      <c r="F2106" s="2" t="s">
        <v>35</v>
      </c>
      <c r="G2106" s="7"/>
      <c r="H2106" s="13" t="str">
        <f>IFERROR(IF(ABS($G2106)&gt;0,VLOOKUP($E2106,'Fuel Category and Heat Rate'!$B$1:$G$34,6,FALSE)*($G2106),""),"")</f>
        <v/>
      </c>
      <c r="I2106" t="str">
        <f>IFERROR(VLOOKUP($E2106,'Fuel Category and Heat Rate'!$K$2:$M$36,3,FALSE),"")</f>
        <v>coal</v>
      </c>
    </row>
    <row r="2107" spans="1:9" x14ac:dyDescent="0.15">
      <c r="A2107" s="2">
        <v>240217</v>
      </c>
      <c r="B2107" s="2" t="s">
        <v>78</v>
      </c>
      <c r="C2107" s="2">
        <v>2022</v>
      </c>
      <c r="D2107" s="2" t="s">
        <v>1</v>
      </c>
      <c r="E2107" s="2" t="s">
        <v>6</v>
      </c>
      <c r="F2107" s="2" t="s">
        <v>35</v>
      </c>
      <c r="G2107" s="7"/>
      <c r="H2107" s="13" t="str">
        <f>IFERROR(IF(ABS($G2107)&gt;0,VLOOKUP($E2107,'Fuel Category and Heat Rate'!$B$1:$G$34,6,FALSE)*($G2107),""),"")</f>
        <v/>
      </c>
      <c r="I2107" t="str">
        <f>IFERROR(VLOOKUP($E2107,'Fuel Category and Heat Rate'!$K$2:$M$36,3,FALSE),"")</f>
        <v>coal</v>
      </c>
    </row>
    <row r="2108" spans="1:9" x14ac:dyDescent="0.15">
      <c r="A2108" s="2">
        <v>240252</v>
      </c>
      <c r="B2108" s="2" t="s">
        <v>78</v>
      </c>
      <c r="C2108" s="2">
        <v>2022</v>
      </c>
      <c r="D2108" s="2" t="s">
        <v>1</v>
      </c>
      <c r="E2108" s="2" t="s">
        <v>26</v>
      </c>
      <c r="F2108" s="2" t="s">
        <v>35</v>
      </c>
      <c r="G2108" s="7"/>
      <c r="H2108" s="13" t="str">
        <f>IFERROR(IF(ABS($G2108)&gt;0,VLOOKUP($E2108,'Fuel Category and Heat Rate'!$B$1:$G$34,6,FALSE)*($G2108),""),"")</f>
        <v/>
      </c>
      <c r="I2108" t="str">
        <f>IFERROR(VLOOKUP($E2108,'Fuel Category and Heat Rate'!$K$2:$M$36,3,FALSE),"")</f>
        <v>LPG propane or butane</v>
      </c>
    </row>
    <row r="2109" spans="1:9" x14ac:dyDescent="0.15">
      <c r="A2109" s="2">
        <v>240287</v>
      </c>
      <c r="B2109" s="2" t="s">
        <v>78</v>
      </c>
      <c r="C2109" s="2">
        <v>2022</v>
      </c>
      <c r="D2109" s="2" t="s">
        <v>1</v>
      </c>
      <c r="E2109" s="2" t="s">
        <v>30</v>
      </c>
      <c r="F2109" s="2" t="s">
        <v>35</v>
      </c>
      <c r="G2109" s="7"/>
      <c r="H2109" s="13" t="str">
        <f>IFERROR(IF(ABS($G2109)&gt;0,VLOOKUP($E2109,'Fuel Category and Heat Rate'!$B$1:$G$34,6,FALSE)*($G2109),""),"")</f>
        <v/>
      </c>
      <c r="I2109" t="str">
        <f>IFERROR(VLOOKUP($E2109,'Fuel Category and Heat Rate'!$K$2:$M$36,3,FALSE),"")</f>
        <v>natural gas</v>
      </c>
    </row>
    <row r="2110" spans="1:9" x14ac:dyDescent="0.15">
      <c r="A2110" s="2">
        <v>240322</v>
      </c>
      <c r="B2110" s="2" t="s">
        <v>78</v>
      </c>
      <c r="C2110" s="2">
        <v>2022</v>
      </c>
      <c r="D2110" s="2" t="s">
        <v>1</v>
      </c>
      <c r="E2110" s="2" t="s">
        <v>14</v>
      </c>
      <c r="F2110" s="2" t="s">
        <v>35</v>
      </c>
      <c r="G2110" s="7">
        <v>-0.1</v>
      </c>
      <c r="H2110" s="13">
        <f>IFERROR(IF(ABS($G2110)&gt;0,VLOOKUP($E2110,'Fuel Category and Heat Rate'!$B$1:$G$34,6,FALSE)*($G2110),""),"")</f>
        <v>0</v>
      </c>
      <c r="I2110" t="str">
        <f>IFERROR(VLOOKUP($E2110,'Fuel Category and Heat Rate'!$K$2:$M$36,3,FALSE),"")</f>
        <v/>
      </c>
    </row>
    <row r="2111" spans="1:9" x14ac:dyDescent="0.15">
      <c r="A2111" s="2">
        <v>240357</v>
      </c>
      <c r="B2111" s="2" t="s">
        <v>78</v>
      </c>
      <c r="C2111" s="2">
        <v>2022</v>
      </c>
      <c r="D2111" s="2" t="s">
        <v>1</v>
      </c>
      <c r="E2111" s="2" t="s">
        <v>3</v>
      </c>
      <c r="F2111" s="2" t="s">
        <v>35</v>
      </c>
      <c r="G2111" s="7">
        <v>-2964.87</v>
      </c>
      <c r="H2111" s="13">
        <f>IFERROR(IF(ABS($G2111)&gt;0,VLOOKUP($E2111,'Fuel Category and Heat Rate'!$B$1:$G$34,6,FALSE)*($G2111),""),"")</f>
        <v>-587547113832883.75</v>
      </c>
      <c r="I2111" t="str">
        <f>IFERROR(VLOOKUP($E2111,'Fuel Category and Heat Rate'!$K$2:$M$36,3,FALSE),"")</f>
        <v>coal</v>
      </c>
    </row>
    <row r="2112" spans="1:9" x14ac:dyDescent="0.15">
      <c r="A2112" s="2">
        <v>240392</v>
      </c>
      <c r="B2112" s="2" t="s">
        <v>78</v>
      </c>
      <c r="C2112" s="2">
        <v>2022</v>
      </c>
      <c r="D2112" s="2" t="s">
        <v>1</v>
      </c>
      <c r="E2112" s="2" t="s">
        <v>15</v>
      </c>
      <c r="F2112" s="2" t="s">
        <v>35</v>
      </c>
      <c r="G2112" s="7"/>
      <c r="H2112" s="13" t="str">
        <f>IFERROR(IF(ABS($G2112)&gt;0,VLOOKUP($E2112,'Fuel Category and Heat Rate'!$B$1:$G$34,6,FALSE)*($G2112),""),"")</f>
        <v/>
      </c>
      <c r="I2112" t="str">
        <f>IFERROR(VLOOKUP($E2112,'Fuel Category and Heat Rate'!$K$2:$M$36,3,FALSE),"")</f>
        <v>crude oil</v>
      </c>
    </row>
    <row r="2113" spans="1:9" x14ac:dyDescent="0.15">
      <c r="A2113" s="2">
        <v>240427</v>
      </c>
      <c r="B2113" s="2" t="s">
        <v>78</v>
      </c>
      <c r="C2113" s="2">
        <v>2022</v>
      </c>
      <c r="D2113" s="2" t="s">
        <v>1</v>
      </c>
      <c r="E2113" s="2" t="s">
        <v>11</v>
      </c>
      <c r="F2113" s="2" t="s">
        <v>36</v>
      </c>
      <c r="G2113" s="7"/>
      <c r="H2113" s="13" t="str">
        <f>IFERROR(IF(ABS($G2113)&gt;0,VLOOKUP($E2113,'Fuel Category and Heat Rate'!$B$1:$G$34,6,FALSE)*($G2113),""),"")</f>
        <v/>
      </c>
      <c r="I2113" t="str">
        <f>IFERROR(VLOOKUP($E2113,'Fuel Category and Heat Rate'!$K$2:$M$36,3,FALSE),"")</f>
        <v>LPG propane or butane</v>
      </c>
    </row>
    <row r="2114" spans="1:9" x14ac:dyDescent="0.15">
      <c r="A2114" s="2">
        <v>240462</v>
      </c>
      <c r="B2114" s="2" t="s">
        <v>78</v>
      </c>
      <c r="C2114" s="2">
        <v>2021</v>
      </c>
      <c r="D2114" s="2" t="s">
        <v>1</v>
      </c>
      <c r="E2114" s="2" t="s">
        <v>18</v>
      </c>
      <c r="F2114" s="2" t="s">
        <v>35</v>
      </c>
      <c r="G2114" s="7">
        <v>-0.05</v>
      </c>
      <c r="H2114" s="13">
        <f>IFERROR(IF(ABS($G2114)&gt;0,VLOOKUP($E2114,'Fuel Category and Heat Rate'!$B$1:$G$34,6,FALSE)*($G2114),""),"")</f>
        <v>-20213147957.996727</v>
      </c>
      <c r="I2114" t="str">
        <f>IFERROR(VLOOKUP($E2114,'Fuel Category and Heat Rate'!$K$2:$M$36,3,FALSE),"")</f>
        <v>petroleum diesel</v>
      </c>
    </row>
    <row r="2115" spans="1:9" x14ac:dyDescent="0.15">
      <c r="A2115" s="2">
        <v>240497</v>
      </c>
      <c r="B2115" s="2" t="s">
        <v>78</v>
      </c>
      <c r="C2115" s="2">
        <v>2021</v>
      </c>
      <c r="D2115" s="2" t="s">
        <v>1</v>
      </c>
      <c r="E2115" s="2" t="s">
        <v>32</v>
      </c>
      <c r="F2115" s="2" t="s">
        <v>65</v>
      </c>
      <c r="G2115" s="7"/>
      <c r="H2115" s="13" t="str">
        <f>IFERROR(IF(ABS($G2115)&gt;0,VLOOKUP($E2115,'Fuel Category and Heat Rate'!$B$1:$G$34,6,FALSE)*($G2115),""),"")</f>
        <v/>
      </c>
      <c r="I2115" t="str">
        <f>IFERROR(VLOOKUP($E2115,'Fuel Category and Heat Rate'!$K$2:$M$36,3,FALSE),"")</f>
        <v>electricity</v>
      </c>
    </row>
    <row r="2116" spans="1:9" x14ac:dyDescent="0.15">
      <c r="A2116" s="2">
        <v>240532</v>
      </c>
      <c r="B2116" s="2" t="s">
        <v>78</v>
      </c>
      <c r="C2116" s="2">
        <v>2021</v>
      </c>
      <c r="D2116" s="2" t="s">
        <v>1</v>
      </c>
      <c r="E2116" s="2" t="s">
        <v>10</v>
      </c>
      <c r="F2116" s="2" t="s">
        <v>36</v>
      </c>
      <c r="G2116" s="7"/>
      <c r="H2116" s="13" t="str">
        <f>IFERROR(IF(ABS($G2116)&gt;0,VLOOKUP($E2116,'Fuel Category and Heat Rate'!$B$1:$G$34,6,FALSE)*($G2116),""),"")</f>
        <v/>
      </c>
      <c r="I2116" t="str">
        <f>IFERROR(VLOOKUP($E2116,'Fuel Category and Heat Rate'!$K$2:$M$36,3,FALSE),"")</f>
        <v>LPG propane or butane</v>
      </c>
    </row>
    <row r="2117" spans="1:9" x14ac:dyDescent="0.15">
      <c r="A2117" s="2">
        <v>240567</v>
      </c>
      <c r="B2117" s="2" t="s">
        <v>78</v>
      </c>
      <c r="C2117" s="2">
        <v>2021</v>
      </c>
      <c r="D2117" s="2" t="s">
        <v>1</v>
      </c>
      <c r="E2117" s="2" t="s">
        <v>9</v>
      </c>
      <c r="F2117" s="2" t="s">
        <v>36</v>
      </c>
      <c r="G2117" s="7"/>
      <c r="H2117" s="13" t="str">
        <f>IFERROR(IF(ABS($G2117)&gt;0,VLOOKUP($E2117,'Fuel Category and Heat Rate'!$B$1:$G$34,6,FALSE)*($G2117),""),"")</f>
        <v/>
      </c>
      <c r="I2117" t="str">
        <f>IFERROR(VLOOKUP($E2117,'Fuel Category and Heat Rate'!$K$2:$M$36,3,FALSE),"")</f>
        <v>LPG propane or butane</v>
      </c>
    </row>
    <row r="2118" spans="1:9" x14ac:dyDescent="0.15">
      <c r="A2118" s="2">
        <v>240602</v>
      </c>
      <c r="B2118" s="2" t="s">
        <v>78</v>
      </c>
      <c r="C2118" s="2">
        <v>2021</v>
      </c>
      <c r="D2118" s="2" t="s">
        <v>1</v>
      </c>
      <c r="E2118" s="2" t="s">
        <v>8</v>
      </c>
      <c r="F2118" s="2" t="s">
        <v>35</v>
      </c>
      <c r="G2118" s="7"/>
      <c r="H2118" s="13" t="str">
        <f>IFERROR(IF(ABS($G2118)&gt;0,VLOOKUP($E2118,'Fuel Category and Heat Rate'!$B$1:$G$34,6,FALSE)*($G2118),""),"")</f>
        <v/>
      </c>
      <c r="I2118" t="str">
        <f>IFERROR(VLOOKUP($E2118,'Fuel Category and Heat Rate'!$K$2:$M$36,3,FALSE),"")</f>
        <v>coal</v>
      </c>
    </row>
    <row r="2119" spans="1:9" x14ac:dyDescent="0.15">
      <c r="A2119" s="2">
        <v>240637</v>
      </c>
      <c r="B2119" s="2" t="s">
        <v>78</v>
      </c>
      <c r="C2119" s="2">
        <v>2021</v>
      </c>
      <c r="D2119" s="2" t="s">
        <v>1</v>
      </c>
      <c r="E2119" s="2" t="s">
        <v>27</v>
      </c>
      <c r="F2119" s="2" t="s">
        <v>35</v>
      </c>
      <c r="G2119" s="7"/>
      <c r="H2119" s="13" t="str">
        <f>IFERROR(IF(ABS($G2119)&gt;0,VLOOKUP($E2119,'Fuel Category and Heat Rate'!$B$1:$G$34,6,FALSE)*($G2119),""),"")</f>
        <v/>
      </c>
      <c r="I2119" t="str">
        <f>IFERROR(VLOOKUP($E2119,'Fuel Category and Heat Rate'!$K$2:$M$36,3,FALSE),"")</f>
        <v>LPG propane or butane</v>
      </c>
    </row>
    <row r="2120" spans="1:9" x14ac:dyDescent="0.15">
      <c r="A2120" s="2">
        <v>240672</v>
      </c>
      <c r="B2120" s="2" t="s">
        <v>78</v>
      </c>
      <c r="C2120" s="2">
        <v>2021</v>
      </c>
      <c r="D2120" s="2" t="s">
        <v>1</v>
      </c>
      <c r="E2120" s="2" t="s">
        <v>7</v>
      </c>
      <c r="F2120" s="2" t="s">
        <v>35</v>
      </c>
      <c r="G2120" s="7">
        <v>-3.54</v>
      </c>
      <c r="H2120" s="13">
        <f>IFERROR(IF(ABS($G2120)&gt;0,VLOOKUP($E2120,'Fuel Category and Heat Rate'!$B$1:$G$34,6,FALSE)*($G2120),""),"")</f>
        <v>-280970528716.56036</v>
      </c>
      <c r="I2120" t="str">
        <f>IFERROR(VLOOKUP($E2120,'Fuel Category and Heat Rate'!$K$2:$M$36,3,FALSE),"")</f>
        <v>coal</v>
      </c>
    </row>
    <row r="2121" spans="1:9" x14ac:dyDescent="0.15">
      <c r="A2121" s="2">
        <v>240707</v>
      </c>
      <c r="B2121" s="2" t="s">
        <v>78</v>
      </c>
      <c r="C2121" s="2">
        <v>2021</v>
      </c>
      <c r="D2121" s="2" t="s">
        <v>1</v>
      </c>
      <c r="E2121" s="2" t="s">
        <v>2</v>
      </c>
      <c r="F2121" s="2" t="s">
        <v>35</v>
      </c>
      <c r="G2121" s="7">
        <v>-2907.39</v>
      </c>
      <c r="H2121" s="13">
        <f>IFERROR(IF(ABS($G2121)&gt;0,VLOOKUP($E2121,'Fuel Category and Heat Rate'!$B$1:$G$34,6,FALSE)*($G2121),""),"")</f>
        <v>0</v>
      </c>
      <c r="I2121" t="str">
        <f>IFERROR(VLOOKUP($E2121,'Fuel Category and Heat Rate'!$K$2:$M$36,3,FALSE),"")</f>
        <v/>
      </c>
    </row>
    <row r="2122" spans="1:9" x14ac:dyDescent="0.15">
      <c r="A2122" s="2">
        <v>240742</v>
      </c>
      <c r="B2122" s="2" t="s">
        <v>78</v>
      </c>
      <c r="C2122" s="2">
        <v>2021</v>
      </c>
      <c r="D2122" s="2" t="s">
        <v>1</v>
      </c>
      <c r="E2122" s="2" t="s">
        <v>17</v>
      </c>
      <c r="F2122" s="2" t="s">
        <v>35</v>
      </c>
      <c r="G2122" s="7"/>
      <c r="H2122" s="13" t="str">
        <f>IFERROR(IF(ABS($G2122)&gt;0,VLOOKUP($E2122,'Fuel Category and Heat Rate'!$B$1:$G$34,6,FALSE)*($G2122),""),"")</f>
        <v/>
      </c>
      <c r="I2122" t="str">
        <f>IFERROR(VLOOKUP($E2122,'Fuel Category and Heat Rate'!$K$2:$M$36,3,FALSE),"")</f>
        <v>petroleum diesel</v>
      </c>
    </row>
    <row r="2123" spans="1:9" x14ac:dyDescent="0.15">
      <c r="A2123" s="2">
        <v>240777</v>
      </c>
      <c r="B2123" s="2" t="s">
        <v>78</v>
      </c>
      <c r="C2123" s="2">
        <v>2021</v>
      </c>
      <c r="D2123" s="2" t="s">
        <v>1</v>
      </c>
      <c r="E2123" s="2" t="s">
        <v>13</v>
      </c>
      <c r="F2123" s="2" t="s">
        <v>35</v>
      </c>
      <c r="G2123" s="7"/>
      <c r="H2123" s="13" t="str">
        <f>IFERROR(IF(ABS($G2123)&gt;0,VLOOKUP($E2123,'Fuel Category and Heat Rate'!$B$1:$G$34,6,FALSE)*($G2123),""),"")</f>
        <v/>
      </c>
      <c r="I2123" t="str">
        <f>IFERROR(VLOOKUP($E2123,'Fuel Category and Heat Rate'!$K$2:$M$36,3,FALSE),"")</f>
        <v>petroleum diesel</v>
      </c>
    </row>
    <row r="2124" spans="1:9" x14ac:dyDescent="0.15">
      <c r="A2124" s="2">
        <v>240812</v>
      </c>
      <c r="B2124" s="2" t="s">
        <v>78</v>
      </c>
      <c r="C2124" s="2">
        <v>2021</v>
      </c>
      <c r="D2124" s="2" t="s">
        <v>1</v>
      </c>
      <c r="E2124" s="2" t="s">
        <v>12</v>
      </c>
      <c r="F2124" s="2" t="s">
        <v>36</v>
      </c>
      <c r="G2124" s="7"/>
      <c r="H2124" s="13" t="str">
        <f>IFERROR(IF(ABS($G2124)&gt;0,VLOOKUP($E2124,'Fuel Category and Heat Rate'!$B$1:$G$34,6,FALSE)*($G2124),""),"")</f>
        <v/>
      </c>
      <c r="I2124" t="str">
        <f>IFERROR(VLOOKUP($E2124,'Fuel Category and Heat Rate'!$K$2:$M$36,3,FALSE),"")</f>
        <v>LPG propane or butane</v>
      </c>
    </row>
    <row r="2125" spans="1:9" x14ac:dyDescent="0.15">
      <c r="A2125" s="2">
        <v>240847</v>
      </c>
      <c r="B2125" s="2" t="s">
        <v>78</v>
      </c>
      <c r="C2125" s="2">
        <v>2021</v>
      </c>
      <c r="D2125" s="2" t="s">
        <v>1</v>
      </c>
      <c r="E2125" s="2" t="s">
        <v>33</v>
      </c>
      <c r="F2125" s="2" t="s">
        <v>38</v>
      </c>
      <c r="G2125" s="7">
        <v>-22.38</v>
      </c>
      <c r="H2125" s="13">
        <f>IFERROR(IF(ABS($G2125)&gt;0,VLOOKUP($E2125,'Fuel Category and Heat Rate'!$B$1:$G$34,6,FALSE)*($G2125),""),"")</f>
        <v>-6209007608459.7793</v>
      </c>
      <c r="I2125" t="str">
        <f>IFERROR(VLOOKUP($E2125,'Fuel Category and Heat Rate'!$K$2:$M$36,3,FALSE),"")</f>
        <v>biomass</v>
      </c>
    </row>
    <row r="2126" spans="1:9" x14ac:dyDescent="0.15">
      <c r="A2126" s="2">
        <v>240882</v>
      </c>
      <c r="B2126" s="2" t="s">
        <v>78</v>
      </c>
      <c r="C2126" s="2">
        <v>2021</v>
      </c>
      <c r="D2126" s="2" t="s">
        <v>1</v>
      </c>
      <c r="E2126" s="2" t="s">
        <v>28</v>
      </c>
      <c r="F2126" s="2" t="s">
        <v>35</v>
      </c>
      <c r="G2126" s="7"/>
      <c r="H2126" s="13" t="str">
        <f>IFERROR(IF(ABS($G2126)&gt;0,VLOOKUP($E2126,'Fuel Category and Heat Rate'!$B$1:$G$34,6,FALSE)*($G2126),""),"")</f>
        <v/>
      </c>
      <c r="I2126" t="str">
        <f>IFERROR(VLOOKUP($E2126,'Fuel Category and Heat Rate'!$K$2:$M$36,3,FALSE),"")</f>
        <v>heavy or residual fuel oil</v>
      </c>
    </row>
    <row r="2127" spans="1:9" x14ac:dyDescent="0.15">
      <c r="A2127" s="2">
        <v>240917</v>
      </c>
      <c r="B2127" s="2" t="s">
        <v>78</v>
      </c>
      <c r="C2127" s="2">
        <v>2021</v>
      </c>
      <c r="D2127" s="2" t="s">
        <v>1</v>
      </c>
      <c r="E2127" s="2" t="s">
        <v>5</v>
      </c>
      <c r="F2127" s="2" t="s">
        <v>35</v>
      </c>
      <c r="G2127" s="7">
        <v>-8.99</v>
      </c>
      <c r="H2127" s="13">
        <f>IFERROR(IF(ABS($G2127)&gt;0,VLOOKUP($E2127,'Fuel Category and Heat Rate'!$B$1:$G$34,6,FALSE)*($G2127),""),"")</f>
        <v>-712600854258.09448</v>
      </c>
      <c r="I2127" t="str">
        <f>IFERROR(VLOOKUP($E2127,'Fuel Category and Heat Rate'!$K$2:$M$36,3,FALSE),"")</f>
        <v>coal</v>
      </c>
    </row>
    <row r="2128" spans="1:9" x14ac:dyDescent="0.15">
      <c r="A2128" s="2">
        <v>240952</v>
      </c>
      <c r="B2128" s="2" t="s">
        <v>78</v>
      </c>
      <c r="C2128" s="2">
        <v>2021</v>
      </c>
      <c r="D2128" s="2" t="s">
        <v>1</v>
      </c>
      <c r="E2128" s="2" t="s">
        <v>16</v>
      </c>
      <c r="F2128" s="2" t="s">
        <v>35</v>
      </c>
      <c r="G2128" s="7"/>
      <c r="H2128" s="13" t="str">
        <f>IFERROR(IF(ABS($G2128)&gt;0,VLOOKUP($E2128,'Fuel Category and Heat Rate'!$B$1:$G$34,6,FALSE)*($G2128),""),"")</f>
        <v/>
      </c>
      <c r="I2128" t="str">
        <f>IFERROR(VLOOKUP($E2128,'Fuel Category and Heat Rate'!$K$2:$M$36,3,FALSE),"")</f>
        <v>petroleum diesel</v>
      </c>
    </row>
    <row r="2129" spans="1:9" x14ac:dyDescent="0.15">
      <c r="A2129" s="2">
        <v>240987</v>
      </c>
      <c r="B2129" s="2" t="s">
        <v>78</v>
      </c>
      <c r="C2129" s="2">
        <v>2021</v>
      </c>
      <c r="D2129" s="2" t="s">
        <v>1</v>
      </c>
      <c r="E2129" s="2" t="s">
        <v>19</v>
      </c>
      <c r="F2129" s="2" t="s">
        <v>35</v>
      </c>
      <c r="G2129" s="7">
        <v>-1.41</v>
      </c>
      <c r="H2129" s="13">
        <f>IFERROR(IF(ABS($G2129)&gt;0,VLOOKUP($E2129,'Fuel Category and Heat Rate'!$B$1:$G$34,6,FALSE)*($G2129),""),"")</f>
        <v>-558838283300.35791</v>
      </c>
      <c r="I2129" t="str">
        <f>IFERROR(VLOOKUP($E2129,'Fuel Category and Heat Rate'!$K$2:$M$36,3,FALSE),"")</f>
        <v>heavy or residual fuel oil</v>
      </c>
    </row>
    <row r="2130" spans="1:9" x14ac:dyDescent="0.15">
      <c r="A2130" s="2">
        <v>241022</v>
      </c>
      <c r="B2130" s="2" t="s">
        <v>78</v>
      </c>
      <c r="C2130" s="2">
        <v>2021</v>
      </c>
      <c r="D2130" s="2" t="s">
        <v>1</v>
      </c>
      <c r="E2130" s="2" t="s">
        <v>31</v>
      </c>
      <c r="F2130" s="2" t="s">
        <v>37</v>
      </c>
      <c r="G2130" s="7">
        <v>35537.199999999997</v>
      </c>
      <c r="H2130" s="13">
        <f>IFERROR(IF(ABS($G2130)&gt;0,VLOOKUP($E2130,'Fuel Category and Heat Rate'!$B$1:$G$34,6,FALSE)*($G2130),""),"")</f>
        <v>336827666516421.88</v>
      </c>
      <c r="I2130" t="str">
        <f>IFERROR(VLOOKUP($E2130,'Fuel Category and Heat Rate'!$K$2:$M$36,3,FALSE),"")</f>
        <v>heat</v>
      </c>
    </row>
    <row r="2131" spans="1:9" x14ac:dyDescent="0.15">
      <c r="A2131" s="2">
        <v>241057</v>
      </c>
      <c r="B2131" s="2" t="s">
        <v>78</v>
      </c>
      <c r="C2131" s="2">
        <v>2021</v>
      </c>
      <c r="D2131" s="2" t="s">
        <v>1</v>
      </c>
      <c r="E2131" s="2" t="s">
        <v>23</v>
      </c>
      <c r="F2131" s="2" t="s">
        <v>35</v>
      </c>
      <c r="G2131" s="7"/>
      <c r="H2131" s="13" t="str">
        <f>IFERROR(IF(ABS($G2131)&gt;0,VLOOKUP($E2131,'Fuel Category and Heat Rate'!$B$1:$G$34,6,FALSE)*($G2131),""),"")</f>
        <v/>
      </c>
      <c r="I2131" t="str">
        <f>IFERROR(VLOOKUP($E2131,'Fuel Category and Heat Rate'!$K$2:$M$36,3,FALSE),"")</f>
        <v>heavy or residual fuel oil</v>
      </c>
    </row>
    <row r="2132" spans="1:9" x14ac:dyDescent="0.15">
      <c r="A2132" s="2">
        <v>241092</v>
      </c>
      <c r="B2132" s="2" t="s">
        <v>78</v>
      </c>
      <c r="C2132" s="2">
        <v>2021</v>
      </c>
      <c r="D2132" s="2" t="s">
        <v>1</v>
      </c>
      <c r="E2132" s="2" t="s">
        <v>21</v>
      </c>
      <c r="F2132" s="2" t="s">
        <v>35</v>
      </c>
      <c r="G2132" s="7"/>
      <c r="H2132" s="13" t="str">
        <f>IFERROR(IF(ABS($G2132)&gt;0,VLOOKUP($E2132,'Fuel Category and Heat Rate'!$B$1:$G$34,6,FALSE)*($G2132),""),"")</f>
        <v/>
      </c>
      <c r="I2132" t="str">
        <f>IFERROR(VLOOKUP($E2132,'Fuel Category and Heat Rate'!$K$2:$M$36,3,FALSE),"")</f>
        <v>LPG propane or butane</v>
      </c>
    </row>
    <row r="2133" spans="1:9" x14ac:dyDescent="0.15">
      <c r="A2133" s="2">
        <v>241127</v>
      </c>
      <c r="B2133" s="2" t="s">
        <v>78</v>
      </c>
      <c r="C2133" s="2">
        <v>2021</v>
      </c>
      <c r="D2133" s="2" t="s">
        <v>1</v>
      </c>
      <c r="E2133" s="2" t="s">
        <v>22</v>
      </c>
      <c r="F2133" s="2" t="s">
        <v>35</v>
      </c>
      <c r="G2133" s="7"/>
      <c r="H2133" s="13" t="str">
        <f>IFERROR(IF(ABS($G2133)&gt;0,VLOOKUP($E2133,'Fuel Category and Heat Rate'!$B$1:$G$34,6,FALSE)*($G2133),""),"")</f>
        <v/>
      </c>
      <c r="I2133" t="str">
        <f>IFERROR(VLOOKUP($E2133,'Fuel Category and Heat Rate'!$K$2:$M$36,3,FALSE),"")</f>
        <v>heavy fuel oil</v>
      </c>
    </row>
    <row r="2134" spans="1:9" x14ac:dyDescent="0.15">
      <c r="A2134" s="2">
        <v>241162</v>
      </c>
      <c r="B2134" s="2" t="s">
        <v>78</v>
      </c>
      <c r="C2134" s="2">
        <v>2021</v>
      </c>
      <c r="D2134" s="2" t="s">
        <v>1</v>
      </c>
      <c r="E2134" s="2" t="s">
        <v>20</v>
      </c>
      <c r="F2134" s="2" t="s">
        <v>35</v>
      </c>
      <c r="G2134" s="7"/>
      <c r="H2134" s="13" t="str">
        <f>IFERROR(IF(ABS($G2134)&gt;0,VLOOKUP($E2134,'Fuel Category and Heat Rate'!$B$1:$G$34,6,FALSE)*($G2134),""),"")</f>
        <v/>
      </c>
      <c r="I2134" t="str">
        <f>IFERROR(VLOOKUP($E2134,'Fuel Category and Heat Rate'!$K$2:$M$36,3,FALSE),"")</f>
        <v>LPG propane or butane</v>
      </c>
    </row>
    <row r="2135" spans="1:9" x14ac:dyDescent="0.15">
      <c r="A2135" s="2">
        <v>241197</v>
      </c>
      <c r="B2135" s="2" t="s">
        <v>78</v>
      </c>
      <c r="C2135" s="2">
        <v>2021</v>
      </c>
      <c r="D2135" s="2" t="s">
        <v>1</v>
      </c>
      <c r="E2135" s="2" t="s">
        <v>25</v>
      </c>
      <c r="F2135" s="2" t="s">
        <v>35</v>
      </c>
      <c r="G2135" s="7"/>
      <c r="H2135" s="13" t="str">
        <f>IFERROR(IF(ABS($G2135)&gt;0,VLOOKUP($E2135,'Fuel Category and Heat Rate'!$B$1:$G$34,6,FALSE)*($G2135),""),"")</f>
        <v/>
      </c>
      <c r="I2135" t="str">
        <f>IFERROR(VLOOKUP($E2135,'Fuel Category and Heat Rate'!$K$2:$M$36,3,FALSE),"")</f>
        <v>heavy fuel oil</v>
      </c>
    </row>
    <row r="2136" spans="1:9" x14ac:dyDescent="0.15">
      <c r="A2136" s="2">
        <v>241232</v>
      </c>
      <c r="B2136" s="2" t="s">
        <v>78</v>
      </c>
      <c r="C2136" s="2">
        <v>2021</v>
      </c>
      <c r="D2136" s="2" t="s">
        <v>1</v>
      </c>
      <c r="E2136" s="2" t="s">
        <v>24</v>
      </c>
      <c r="F2136" s="2" t="s">
        <v>35</v>
      </c>
      <c r="G2136" s="7"/>
      <c r="H2136" s="13" t="str">
        <f>IFERROR(IF(ABS($G2136)&gt;0,VLOOKUP($E2136,'Fuel Category and Heat Rate'!$B$1:$G$34,6,FALSE)*($G2136),""),"")</f>
        <v/>
      </c>
      <c r="I2136" t="str">
        <f>IFERROR(VLOOKUP($E2136,'Fuel Category and Heat Rate'!$K$2:$M$36,3,FALSE),"")</f>
        <v>heavy fuel oil</v>
      </c>
    </row>
    <row r="2137" spans="1:9" x14ac:dyDescent="0.15">
      <c r="A2137" s="2">
        <v>241267</v>
      </c>
      <c r="B2137" s="2" t="s">
        <v>78</v>
      </c>
      <c r="C2137" s="2">
        <v>2021</v>
      </c>
      <c r="D2137" s="2" t="s">
        <v>1</v>
      </c>
      <c r="E2137" s="2" t="s">
        <v>29</v>
      </c>
      <c r="F2137" s="2" t="s">
        <v>36</v>
      </c>
      <c r="G2137" s="7">
        <v>-0.63</v>
      </c>
      <c r="H2137" s="13">
        <f>IFERROR(IF(ABS($G2137)&gt;0,VLOOKUP($E2137,'Fuel Category and Heat Rate'!$B$1:$G$34,6,FALSE)*($G2137),""),"")</f>
        <v>-2124838699297.2932</v>
      </c>
      <c r="I2137" t="str">
        <f>IFERROR(VLOOKUP($E2137,'Fuel Category and Heat Rate'!$K$2:$M$36,3,FALSE),"")</f>
        <v>natural gas</v>
      </c>
    </row>
    <row r="2138" spans="1:9" x14ac:dyDescent="0.15">
      <c r="A2138" s="2">
        <v>241302</v>
      </c>
      <c r="B2138" s="2" t="s">
        <v>78</v>
      </c>
      <c r="C2138" s="2">
        <v>2021</v>
      </c>
      <c r="D2138" s="2" t="s">
        <v>1</v>
      </c>
      <c r="E2138" s="2" t="s">
        <v>4</v>
      </c>
      <c r="F2138" s="2" t="s">
        <v>35</v>
      </c>
      <c r="G2138" s="7"/>
      <c r="H2138" s="13" t="str">
        <f>IFERROR(IF(ABS($G2138)&gt;0,VLOOKUP($E2138,'Fuel Category and Heat Rate'!$B$1:$G$34,6,FALSE)*($G2138),""),"")</f>
        <v/>
      </c>
      <c r="I2138" t="str">
        <f>IFERROR(VLOOKUP($E2138,'Fuel Category and Heat Rate'!$K$2:$M$36,3,FALSE),"")</f>
        <v>coal</v>
      </c>
    </row>
    <row r="2139" spans="1:9" x14ac:dyDescent="0.15">
      <c r="A2139" s="2">
        <v>241337</v>
      </c>
      <c r="B2139" s="2" t="s">
        <v>78</v>
      </c>
      <c r="C2139" s="2">
        <v>2021</v>
      </c>
      <c r="D2139" s="2" t="s">
        <v>1</v>
      </c>
      <c r="E2139" s="2" t="s">
        <v>6</v>
      </c>
      <c r="F2139" s="2" t="s">
        <v>35</v>
      </c>
      <c r="G2139" s="7"/>
      <c r="H2139" s="13" t="str">
        <f>IFERROR(IF(ABS($G2139)&gt;0,VLOOKUP($E2139,'Fuel Category and Heat Rate'!$B$1:$G$34,6,FALSE)*($G2139),""),"")</f>
        <v/>
      </c>
      <c r="I2139" t="str">
        <f>IFERROR(VLOOKUP($E2139,'Fuel Category and Heat Rate'!$K$2:$M$36,3,FALSE),"")</f>
        <v>coal</v>
      </c>
    </row>
    <row r="2140" spans="1:9" x14ac:dyDescent="0.15">
      <c r="A2140" s="2">
        <v>241372</v>
      </c>
      <c r="B2140" s="2" t="s">
        <v>78</v>
      </c>
      <c r="C2140" s="2">
        <v>2021</v>
      </c>
      <c r="D2140" s="2" t="s">
        <v>1</v>
      </c>
      <c r="E2140" s="2" t="s">
        <v>26</v>
      </c>
      <c r="F2140" s="2" t="s">
        <v>35</v>
      </c>
      <c r="G2140" s="7"/>
      <c r="H2140" s="13" t="str">
        <f>IFERROR(IF(ABS($G2140)&gt;0,VLOOKUP($E2140,'Fuel Category and Heat Rate'!$B$1:$G$34,6,FALSE)*($G2140),""),"")</f>
        <v/>
      </c>
      <c r="I2140" t="str">
        <f>IFERROR(VLOOKUP($E2140,'Fuel Category and Heat Rate'!$K$2:$M$36,3,FALSE),"")</f>
        <v>LPG propane or butane</v>
      </c>
    </row>
    <row r="2141" spans="1:9" x14ac:dyDescent="0.15">
      <c r="A2141" s="2">
        <v>241407</v>
      </c>
      <c r="B2141" s="2" t="s">
        <v>78</v>
      </c>
      <c r="C2141" s="2">
        <v>2021</v>
      </c>
      <c r="D2141" s="2" t="s">
        <v>1</v>
      </c>
      <c r="E2141" s="2" t="s">
        <v>30</v>
      </c>
      <c r="F2141" s="2" t="s">
        <v>35</v>
      </c>
      <c r="G2141" s="7"/>
      <c r="H2141" s="13" t="str">
        <f>IFERROR(IF(ABS($G2141)&gt;0,VLOOKUP($E2141,'Fuel Category and Heat Rate'!$B$1:$G$34,6,FALSE)*($G2141),""),"")</f>
        <v/>
      </c>
      <c r="I2141" t="str">
        <f>IFERROR(VLOOKUP($E2141,'Fuel Category and Heat Rate'!$K$2:$M$36,3,FALSE),"")</f>
        <v>natural gas</v>
      </c>
    </row>
    <row r="2142" spans="1:9" x14ac:dyDescent="0.15">
      <c r="A2142" s="2">
        <v>241442</v>
      </c>
      <c r="B2142" s="2" t="s">
        <v>78</v>
      </c>
      <c r="C2142" s="2">
        <v>2021</v>
      </c>
      <c r="D2142" s="2" t="s">
        <v>1</v>
      </c>
      <c r="E2142" s="2" t="s">
        <v>14</v>
      </c>
      <c r="F2142" s="2" t="s">
        <v>35</v>
      </c>
      <c r="G2142" s="7">
        <v>-1.46</v>
      </c>
      <c r="H2142" s="13">
        <f>IFERROR(IF(ABS($G2142)&gt;0,VLOOKUP($E2142,'Fuel Category and Heat Rate'!$B$1:$G$34,6,FALSE)*($G2142),""),"")</f>
        <v>0</v>
      </c>
      <c r="I2142" t="str">
        <f>IFERROR(VLOOKUP($E2142,'Fuel Category and Heat Rate'!$K$2:$M$36,3,FALSE),"")</f>
        <v/>
      </c>
    </row>
    <row r="2143" spans="1:9" x14ac:dyDescent="0.15">
      <c r="A2143" s="2">
        <v>241477</v>
      </c>
      <c r="B2143" s="2" t="s">
        <v>78</v>
      </c>
      <c r="C2143" s="2">
        <v>2021</v>
      </c>
      <c r="D2143" s="2" t="s">
        <v>1</v>
      </c>
      <c r="E2143" s="2" t="s">
        <v>3</v>
      </c>
      <c r="F2143" s="2" t="s">
        <v>35</v>
      </c>
      <c r="G2143" s="7">
        <v>-2898.4</v>
      </c>
      <c r="H2143" s="13">
        <f>IFERROR(IF(ABS($G2143)&gt;0,VLOOKUP($E2143,'Fuel Category and Heat Rate'!$B$1:$G$34,6,FALSE)*($G2143),""),"")</f>
        <v>-574374780254524</v>
      </c>
      <c r="I2143" t="str">
        <f>IFERROR(VLOOKUP($E2143,'Fuel Category and Heat Rate'!$K$2:$M$36,3,FALSE),"")</f>
        <v>coal</v>
      </c>
    </row>
    <row r="2144" spans="1:9" x14ac:dyDescent="0.15">
      <c r="A2144" s="2">
        <v>241512</v>
      </c>
      <c r="B2144" s="2" t="s">
        <v>78</v>
      </c>
      <c r="C2144" s="2">
        <v>2021</v>
      </c>
      <c r="D2144" s="2" t="s">
        <v>1</v>
      </c>
      <c r="E2144" s="2" t="s">
        <v>15</v>
      </c>
      <c r="F2144" s="2" t="s">
        <v>35</v>
      </c>
      <c r="G2144" s="7"/>
      <c r="H2144" s="13" t="str">
        <f>IFERROR(IF(ABS($G2144)&gt;0,VLOOKUP($E2144,'Fuel Category and Heat Rate'!$B$1:$G$34,6,FALSE)*($G2144),""),"")</f>
        <v/>
      </c>
      <c r="I2144" t="str">
        <f>IFERROR(VLOOKUP($E2144,'Fuel Category and Heat Rate'!$K$2:$M$36,3,FALSE),"")</f>
        <v>crude oil</v>
      </c>
    </row>
    <row r="2145" spans="1:9" x14ac:dyDescent="0.15">
      <c r="A2145" s="2">
        <v>241547</v>
      </c>
      <c r="B2145" s="2" t="s">
        <v>78</v>
      </c>
      <c r="C2145" s="2">
        <v>2021</v>
      </c>
      <c r="D2145" s="2" t="s">
        <v>1</v>
      </c>
      <c r="E2145" s="2" t="s">
        <v>11</v>
      </c>
      <c r="F2145" s="2" t="s">
        <v>36</v>
      </c>
      <c r="G2145" s="7"/>
      <c r="H2145" s="13" t="str">
        <f>IFERROR(IF(ABS($G2145)&gt;0,VLOOKUP($E2145,'Fuel Category and Heat Rate'!$B$1:$G$34,6,FALSE)*($G2145),""),"")</f>
        <v/>
      </c>
      <c r="I2145" t="str">
        <f>IFERROR(VLOOKUP($E2145,'Fuel Category and Heat Rate'!$K$2:$M$36,3,FALSE),"")</f>
        <v>LPG propane or butane</v>
      </c>
    </row>
    <row r="2146" spans="1:9" x14ac:dyDescent="0.15">
      <c r="A2146" s="2">
        <v>241582</v>
      </c>
      <c r="B2146" s="2" t="s">
        <v>78</v>
      </c>
      <c r="C2146" s="2">
        <v>2020</v>
      </c>
      <c r="D2146" s="2" t="s">
        <v>1</v>
      </c>
      <c r="E2146" s="2" t="s">
        <v>18</v>
      </c>
      <c r="F2146" s="2" t="s">
        <v>35</v>
      </c>
      <c r="G2146" s="7">
        <v>-0.1</v>
      </c>
      <c r="H2146" s="13">
        <f>IFERROR(IF(ABS($G2146)&gt;0,VLOOKUP($E2146,'Fuel Category and Heat Rate'!$B$1:$G$34,6,FALSE)*($G2146),""),"")</f>
        <v>-40426295915.993454</v>
      </c>
      <c r="I2146" t="str">
        <f>IFERROR(VLOOKUP($E2146,'Fuel Category and Heat Rate'!$K$2:$M$36,3,FALSE),"")</f>
        <v>petroleum diesel</v>
      </c>
    </row>
    <row r="2147" spans="1:9" x14ac:dyDescent="0.15">
      <c r="A2147" s="2">
        <v>241617</v>
      </c>
      <c r="B2147" s="2" t="s">
        <v>78</v>
      </c>
      <c r="C2147" s="2">
        <v>2020</v>
      </c>
      <c r="D2147" s="2" t="s">
        <v>1</v>
      </c>
      <c r="E2147" s="2" t="s">
        <v>32</v>
      </c>
      <c r="F2147" s="2" t="s">
        <v>65</v>
      </c>
      <c r="G2147" s="7"/>
      <c r="H2147" s="13" t="str">
        <f>IFERROR(IF(ABS($G2147)&gt;0,VLOOKUP($E2147,'Fuel Category and Heat Rate'!$B$1:$G$34,6,FALSE)*($G2147),""),"")</f>
        <v/>
      </c>
      <c r="I2147" t="str">
        <f>IFERROR(VLOOKUP($E2147,'Fuel Category and Heat Rate'!$K$2:$M$36,3,FALSE),"")</f>
        <v>electricity</v>
      </c>
    </row>
    <row r="2148" spans="1:9" x14ac:dyDescent="0.15">
      <c r="A2148" s="2">
        <v>241652</v>
      </c>
      <c r="B2148" s="2" t="s">
        <v>78</v>
      </c>
      <c r="C2148" s="2">
        <v>2020</v>
      </c>
      <c r="D2148" s="2" t="s">
        <v>1</v>
      </c>
      <c r="E2148" s="2" t="s">
        <v>10</v>
      </c>
      <c r="F2148" s="2" t="s">
        <v>36</v>
      </c>
      <c r="G2148" s="7">
        <v>-0.01</v>
      </c>
      <c r="H2148" s="13">
        <f>IFERROR(IF(ABS($G2148)&gt;0,VLOOKUP($E2148,'Fuel Category and Heat Rate'!$B$1:$G$34,6,FALSE)*($G2148),""),"")</f>
        <v>-3566635832.5959711</v>
      </c>
      <c r="I2148" t="str">
        <f>IFERROR(VLOOKUP($E2148,'Fuel Category and Heat Rate'!$K$2:$M$36,3,FALSE),"")</f>
        <v>LPG propane or butane</v>
      </c>
    </row>
    <row r="2149" spans="1:9" x14ac:dyDescent="0.15">
      <c r="A2149" s="2">
        <v>241687</v>
      </c>
      <c r="B2149" s="2" t="s">
        <v>78</v>
      </c>
      <c r="C2149" s="2">
        <v>2020</v>
      </c>
      <c r="D2149" s="2" t="s">
        <v>1</v>
      </c>
      <c r="E2149" s="2" t="s">
        <v>9</v>
      </c>
      <c r="F2149" s="2" t="s">
        <v>36</v>
      </c>
      <c r="G2149" s="7"/>
      <c r="H2149" s="13" t="str">
        <f>IFERROR(IF(ABS($G2149)&gt;0,VLOOKUP($E2149,'Fuel Category and Heat Rate'!$B$1:$G$34,6,FALSE)*($G2149),""),"")</f>
        <v/>
      </c>
      <c r="I2149" t="str">
        <f>IFERROR(VLOOKUP($E2149,'Fuel Category and Heat Rate'!$K$2:$M$36,3,FALSE),"")</f>
        <v>LPG propane or butane</v>
      </c>
    </row>
    <row r="2150" spans="1:9" x14ac:dyDescent="0.15">
      <c r="A2150" s="2">
        <v>241722</v>
      </c>
      <c r="B2150" s="2" t="s">
        <v>78</v>
      </c>
      <c r="C2150" s="2">
        <v>2020</v>
      </c>
      <c r="D2150" s="2" t="s">
        <v>1</v>
      </c>
      <c r="E2150" s="2" t="s">
        <v>8</v>
      </c>
      <c r="F2150" s="2" t="s">
        <v>35</v>
      </c>
      <c r="G2150" s="7"/>
      <c r="H2150" s="13" t="str">
        <f>IFERROR(IF(ABS($G2150)&gt;0,VLOOKUP($E2150,'Fuel Category and Heat Rate'!$B$1:$G$34,6,FALSE)*($G2150),""),"")</f>
        <v/>
      </c>
      <c r="I2150" t="str">
        <f>IFERROR(VLOOKUP($E2150,'Fuel Category and Heat Rate'!$K$2:$M$36,3,FALSE),"")</f>
        <v>coal</v>
      </c>
    </row>
    <row r="2151" spans="1:9" x14ac:dyDescent="0.15">
      <c r="A2151" s="2">
        <v>241757</v>
      </c>
      <c r="B2151" s="2" t="s">
        <v>78</v>
      </c>
      <c r="C2151" s="2">
        <v>2020</v>
      </c>
      <c r="D2151" s="2" t="s">
        <v>1</v>
      </c>
      <c r="E2151" s="2" t="s">
        <v>27</v>
      </c>
      <c r="F2151" s="2" t="s">
        <v>35</v>
      </c>
      <c r="G2151" s="7"/>
      <c r="H2151" s="13" t="str">
        <f>IFERROR(IF(ABS($G2151)&gt;0,VLOOKUP($E2151,'Fuel Category and Heat Rate'!$B$1:$G$34,6,FALSE)*($G2151),""),"")</f>
        <v/>
      </c>
      <c r="I2151" t="str">
        <f>IFERROR(VLOOKUP($E2151,'Fuel Category and Heat Rate'!$K$2:$M$36,3,FALSE),"")</f>
        <v>LPG propane or butane</v>
      </c>
    </row>
    <row r="2152" spans="1:9" x14ac:dyDescent="0.15">
      <c r="A2152" s="2">
        <v>241792</v>
      </c>
      <c r="B2152" s="2" t="s">
        <v>78</v>
      </c>
      <c r="C2152" s="2">
        <v>2020</v>
      </c>
      <c r="D2152" s="2" t="s">
        <v>1</v>
      </c>
      <c r="E2152" s="2" t="s">
        <v>7</v>
      </c>
      <c r="F2152" s="2" t="s">
        <v>35</v>
      </c>
      <c r="G2152" s="7"/>
      <c r="H2152" s="13" t="str">
        <f>IFERROR(IF(ABS($G2152)&gt;0,VLOOKUP($E2152,'Fuel Category and Heat Rate'!$B$1:$G$34,6,FALSE)*($G2152),""),"")</f>
        <v/>
      </c>
      <c r="I2152" t="str">
        <f>IFERROR(VLOOKUP($E2152,'Fuel Category and Heat Rate'!$K$2:$M$36,3,FALSE),"")</f>
        <v>coal</v>
      </c>
    </row>
    <row r="2153" spans="1:9" x14ac:dyDescent="0.15">
      <c r="A2153" s="2">
        <v>241827</v>
      </c>
      <c r="B2153" s="2" t="s">
        <v>78</v>
      </c>
      <c r="C2153" s="2">
        <v>2020</v>
      </c>
      <c r="D2153" s="2" t="s">
        <v>1</v>
      </c>
      <c r="E2153" s="2" t="s">
        <v>2</v>
      </c>
      <c r="F2153" s="2" t="s">
        <v>35</v>
      </c>
      <c r="G2153" s="7">
        <v>-2617.8000000000002</v>
      </c>
      <c r="H2153" s="13">
        <f>IFERROR(IF(ABS($G2153)&gt;0,VLOOKUP($E2153,'Fuel Category and Heat Rate'!$B$1:$G$34,6,FALSE)*($G2153),""),"")</f>
        <v>0</v>
      </c>
      <c r="I2153" t="str">
        <f>IFERROR(VLOOKUP($E2153,'Fuel Category and Heat Rate'!$K$2:$M$36,3,FALSE),"")</f>
        <v/>
      </c>
    </row>
    <row r="2154" spans="1:9" x14ac:dyDescent="0.15">
      <c r="A2154" s="2">
        <v>241862</v>
      </c>
      <c r="B2154" s="2" t="s">
        <v>78</v>
      </c>
      <c r="C2154" s="2">
        <v>2020</v>
      </c>
      <c r="D2154" s="2" t="s">
        <v>1</v>
      </c>
      <c r="E2154" s="2" t="s">
        <v>17</v>
      </c>
      <c r="F2154" s="2" t="s">
        <v>35</v>
      </c>
      <c r="G2154" s="7"/>
      <c r="H2154" s="13" t="str">
        <f>IFERROR(IF(ABS($G2154)&gt;0,VLOOKUP($E2154,'Fuel Category and Heat Rate'!$B$1:$G$34,6,FALSE)*($G2154),""),"")</f>
        <v/>
      </c>
      <c r="I2154" t="str">
        <f>IFERROR(VLOOKUP($E2154,'Fuel Category and Heat Rate'!$K$2:$M$36,3,FALSE),"")</f>
        <v>petroleum diesel</v>
      </c>
    </row>
    <row r="2155" spans="1:9" x14ac:dyDescent="0.15">
      <c r="A2155" s="2">
        <v>241897</v>
      </c>
      <c r="B2155" s="2" t="s">
        <v>78</v>
      </c>
      <c r="C2155" s="2">
        <v>2020</v>
      </c>
      <c r="D2155" s="2" t="s">
        <v>1</v>
      </c>
      <c r="E2155" s="2" t="s">
        <v>13</v>
      </c>
      <c r="F2155" s="2" t="s">
        <v>35</v>
      </c>
      <c r="G2155" s="7"/>
      <c r="H2155" s="13" t="str">
        <f>IFERROR(IF(ABS($G2155)&gt;0,VLOOKUP($E2155,'Fuel Category and Heat Rate'!$B$1:$G$34,6,FALSE)*($G2155),""),"")</f>
        <v/>
      </c>
      <c r="I2155" t="str">
        <f>IFERROR(VLOOKUP($E2155,'Fuel Category and Heat Rate'!$K$2:$M$36,3,FALSE),"")</f>
        <v>petroleum diesel</v>
      </c>
    </row>
    <row r="2156" spans="1:9" x14ac:dyDescent="0.15">
      <c r="A2156" s="2">
        <v>241932</v>
      </c>
      <c r="B2156" s="2" t="s">
        <v>78</v>
      </c>
      <c r="C2156" s="2">
        <v>2020</v>
      </c>
      <c r="D2156" s="2" t="s">
        <v>1</v>
      </c>
      <c r="E2156" s="2" t="s">
        <v>12</v>
      </c>
      <c r="F2156" s="2" t="s">
        <v>36</v>
      </c>
      <c r="G2156" s="7"/>
      <c r="H2156" s="13" t="str">
        <f>IFERROR(IF(ABS($G2156)&gt;0,VLOOKUP($E2156,'Fuel Category and Heat Rate'!$B$1:$G$34,6,FALSE)*($G2156),""),"")</f>
        <v/>
      </c>
      <c r="I2156" t="str">
        <f>IFERROR(VLOOKUP($E2156,'Fuel Category and Heat Rate'!$K$2:$M$36,3,FALSE),"")</f>
        <v>LPG propane or butane</v>
      </c>
    </row>
    <row r="2157" spans="1:9" x14ac:dyDescent="0.15">
      <c r="A2157" s="2">
        <v>241967</v>
      </c>
      <c r="B2157" s="2" t="s">
        <v>78</v>
      </c>
      <c r="C2157" s="2">
        <v>2020</v>
      </c>
      <c r="D2157" s="2" t="s">
        <v>1</v>
      </c>
      <c r="E2157" s="2" t="s">
        <v>33</v>
      </c>
      <c r="F2157" s="2" t="s">
        <v>38</v>
      </c>
      <c r="G2157" s="7">
        <v>-19.809999999999999</v>
      </c>
      <c r="H2157" s="13">
        <f>IFERROR(IF(ABS($G2157)&gt;0,VLOOKUP($E2157,'Fuel Category and Heat Rate'!$B$1:$G$34,6,FALSE)*($G2157),""),"")</f>
        <v>-5495998245021.8154</v>
      </c>
      <c r="I2157" t="str">
        <f>IFERROR(VLOOKUP($E2157,'Fuel Category and Heat Rate'!$K$2:$M$36,3,FALSE),"")</f>
        <v>biomass</v>
      </c>
    </row>
    <row r="2158" spans="1:9" x14ac:dyDescent="0.15">
      <c r="A2158" s="2">
        <v>242002</v>
      </c>
      <c r="B2158" s="2" t="s">
        <v>78</v>
      </c>
      <c r="C2158" s="2">
        <v>2020</v>
      </c>
      <c r="D2158" s="2" t="s">
        <v>1</v>
      </c>
      <c r="E2158" s="2" t="s">
        <v>28</v>
      </c>
      <c r="F2158" s="2" t="s">
        <v>35</v>
      </c>
      <c r="G2158" s="7"/>
      <c r="H2158" s="13" t="str">
        <f>IFERROR(IF(ABS($G2158)&gt;0,VLOOKUP($E2158,'Fuel Category and Heat Rate'!$B$1:$G$34,6,FALSE)*($G2158),""),"")</f>
        <v/>
      </c>
      <c r="I2158" t="str">
        <f>IFERROR(VLOOKUP($E2158,'Fuel Category and Heat Rate'!$K$2:$M$36,3,FALSE),"")</f>
        <v>heavy or residual fuel oil</v>
      </c>
    </row>
    <row r="2159" spans="1:9" x14ac:dyDescent="0.15">
      <c r="A2159" s="2">
        <v>242037</v>
      </c>
      <c r="B2159" s="2" t="s">
        <v>78</v>
      </c>
      <c r="C2159" s="2">
        <v>2020</v>
      </c>
      <c r="D2159" s="2" t="s">
        <v>1</v>
      </c>
      <c r="E2159" s="2" t="s">
        <v>5</v>
      </c>
      <c r="F2159" s="2" t="s">
        <v>35</v>
      </c>
      <c r="G2159" s="7">
        <v>-10.52</v>
      </c>
      <c r="H2159" s="13">
        <f>IFERROR(IF(ABS($G2159)&gt;0,VLOOKUP($E2159,'Fuel Category and Heat Rate'!$B$1:$G$34,6,FALSE)*($G2159),""),"")</f>
        <v>-833877751590.11719</v>
      </c>
      <c r="I2159" t="str">
        <f>IFERROR(VLOOKUP($E2159,'Fuel Category and Heat Rate'!$K$2:$M$36,3,FALSE),"")</f>
        <v>coal</v>
      </c>
    </row>
    <row r="2160" spans="1:9" x14ac:dyDescent="0.15">
      <c r="A2160" s="2">
        <v>242072</v>
      </c>
      <c r="B2160" s="2" t="s">
        <v>78</v>
      </c>
      <c r="C2160" s="2">
        <v>2020</v>
      </c>
      <c r="D2160" s="2" t="s">
        <v>1</v>
      </c>
      <c r="E2160" s="2" t="s">
        <v>16</v>
      </c>
      <c r="F2160" s="2" t="s">
        <v>35</v>
      </c>
      <c r="G2160" s="7">
        <v>-0.02</v>
      </c>
      <c r="H2160" s="13">
        <f>IFERROR(IF(ABS($G2160)&gt;0,VLOOKUP($E2160,'Fuel Category and Heat Rate'!$B$1:$G$34,6,FALSE)*($G2160),""),"")</f>
        <v>-8164496694.6536541</v>
      </c>
      <c r="I2160" t="str">
        <f>IFERROR(VLOOKUP($E2160,'Fuel Category and Heat Rate'!$K$2:$M$36,3,FALSE),"")</f>
        <v>petroleum diesel</v>
      </c>
    </row>
    <row r="2161" spans="1:9" x14ac:dyDescent="0.15">
      <c r="A2161" s="2">
        <v>242107</v>
      </c>
      <c r="B2161" s="2" t="s">
        <v>78</v>
      </c>
      <c r="C2161" s="2">
        <v>2020</v>
      </c>
      <c r="D2161" s="2" t="s">
        <v>1</v>
      </c>
      <c r="E2161" s="2" t="s">
        <v>19</v>
      </c>
      <c r="F2161" s="2" t="s">
        <v>35</v>
      </c>
      <c r="G2161" s="7">
        <v>-6.04</v>
      </c>
      <c r="H2161" s="13">
        <f>IFERROR(IF(ABS($G2161)&gt;0,VLOOKUP($E2161,'Fuel Category and Heat Rate'!$B$1:$G$34,6,FALSE)*($G2161),""),"")</f>
        <v>-2393888816407.2075</v>
      </c>
      <c r="I2161" t="str">
        <f>IFERROR(VLOOKUP($E2161,'Fuel Category and Heat Rate'!$K$2:$M$36,3,FALSE),"")</f>
        <v>heavy or residual fuel oil</v>
      </c>
    </row>
    <row r="2162" spans="1:9" x14ac:dyDescent="0.15">
      <c r="A2162" s="2">
        <v>242142</v>
      </c>
      <c r="B2162" s="2" t="s">
        <v>78</v>
      </c>
      <c r="C2162" s="2">
        <v>2020</v>
      </c>
      <c r="D2162" s="2" t="s">
        <v>1</v>
      </c>
      <c r="E2162" s="2" t="s">
        <v>31</v>
      </c>
      <c r="F2162" s="2" t="s">
        <v>37</v>
      </c>
      <c r="G2162" s="7">
        <v>32502.44</v>
      </c>
      <c r="H2162" s="13">
        <f>IFERROR(IF(ABS($G2162)&gt;0,VLOOKUP($E2162,'Fuel Category and Heat Rate'!$B$1:$G$34,6,FALSE)*($G2162),""),"")</f>
        <v>308063691604572.38</v>
      </c>
      <c r="I2162" t="str">
        <f>IFERROR(VLOOKUP($E2162,'Fuel Category and Heat Rate'!$K$2:$M$36,3,FALSE),"")</f>
        <v>heat</v>
      </c>
    </row>
    <row r="2163" spans="1:9" x14ac:dyDescent="0.15">
      <c r="A2163" s="2">
        <v>242177</v>
      </c>
      <c r="B2163" s="2" t="s">
        <v>78</v>
      </c>
      <c r="C2163" s="2">
        <v>2020</v>
      </c>
      <c r="D2163" s="2" t="s">
        <v>1</v>
      </c>
      <c r="E2163" s="2" t="s">
        <v>23</v>
      </c>
      <c r="F2163" s="2" t="s">
        <v>35</v>
      </c>
      <c r="G2163" s="7"/>
      <c r="H2163" s="13" t="str">
        <f>IFERROR(IF(ABS($G2163)&gt;0,VLOOKUP($E2163,'Fuel Category and Heat Rate'!$B$1:$G$34,6,FALSE)*($G2163),""),"")</f>
        <v/>
      </c>
      <c r="I2163" t="str">
        <f>IFERROR(VLOOKUP($E2163,'Fuel Category and Heat Rate'!$K$2:$M$36,3,FALSE),"")</f>
        <v>heavy or residual fuel oil</v>
      </c>
    </row>
    <row r="2164" spans="1:9" x14ac:dyDescent="0.15">
      <c r="A2164" s="2">
        <v>242212</v>
      </c>
      <c r="B2164" s="2" t="s">
        <v>78</v>
      </c>
      <c r="C2164" s="2">
        <v>2020</v>
      </c>
      <c r="D2164" s="2" t="s">
        <v>1</v>
      </c>
      <c r="E2164" s="2" t="s">
        <v>21</v>
      </c>
      <c r="F2164" s="2" t="s">
        <v>35</v>
      </c>
      <c r="G2164" s="7"/>
      <c r="H2164" s="13" t="str">
        <f>IFERROR(IF(ABS($G2164)&gt;0,VLOOKUP($E2164,'Fuel Category and Heat Rate'!$B$1:$G$34,6,FALSE)*($G2164),""),"")</f>
        <v/>
      </c>
      <c r="I2164" t="str">
        <f>IFERROR(VLOOKUP($E2164,'Fuel Category and Heat Rate'!$K$2:$M$36,3,FALSE),"")</f>
        <v>LPG propane or butane</v>
      </c>
    </row>
    <row r="2165" spans="1:9" x14ac:dyDescent="0.15">
      <c r="A2165" s="2">
        <v>242247</v>
      </c>
      <c r="B2165" s="2" t="s">
        <v>78</v>
      </c>
      <c r="C2165" s="2">
        <v>2020</v>
      </c>
      <c r="D2165" s="2" t="s">
        <v>1</v>
      </c>
      <c r="E2165" s="2" t="s">
        <v>22</v>
      </c>
      <c r="F2165" s="2" t="s">
        <v>35</v>
      </c>
      <c r="G2165" s="7"/>
      <c r="H2165" s="13" t="str">
        <f>IFERROR(IF(ABS($G2165)&gt;0,VLOOKUP($E2165,'Fuel Category and Heat Rate'!$B$1:$G$34,6,FALSE)*($G2165),""),"")</f>
        <v/>
      </c>
      <c r="I2165" t="str">
        <f>IFERROR(VLOOKUP($E2165,'Fuel Category and Heat Rate'!$K$2:$M$36,3,FALSE),"")</f>
        <v>heavy fuel oil</v>
      </c>
    </row>
    <row r="2166" spans="1:9" x14ac:dyDescent="0.15">
      <c r="A2166" s="2">
        <v>242282</v>
      </c>
      <c r="B2166" s="2" t="s">
        <v>78</v>
      </c>
      <c r="C2166" s="2">
        <v>2020</v>
      </c>
      <c r="D2166" s="2" t="s">
        <v>1</v>
      </c>
      <c r="E2166" s="2" t="s">
        <v>20</v>
      </c>
      <c r="F2166" s="2" t="s">
        <v>35</v>
      </c>
      <c r="G2166" s="7"/>
      <c r="H2166" s="13" t="str">
        <f>IFERROR(IF(ABS($G2166)&gt;0,VLOOKUP($E2166,'Fuel Category and Heat Rate'!$B$1:$G$34,6,FALSE)*($G2166),""),"")</f>
        <v/>
      </c>
      <c r="I2166" t="str">
        <f>IFERROR(VLOOKUP($E2166,'Fuel Category and Heat Rate'!$K$2:$M$36,3,FALSE),"")</f>
        <v>LPG propane or butane</v>
      </c>
    </row>
    <row r="2167" spans="1:9" x14ac:dyDescent="0.15">
      <c r="A2167" s="2">
        <v>242317</v>
      </c>
      <c r="B2167" s="2" t="s">
        <v>78</v>
      </c>
      <c r="C2167" s="2">
        <v>2020</v>
      </c>
      <c r="D2167" s="2" t="s">
        <v>1</v>
      </c>
      <c r="E2167" s="2" t="s">
        <v>25</v>
      </c>
      <c r="F2167" s="2" t="s">
        <v>35</v>
      </c>
      <c r="G2167" s="7"/>
      <c r="H2167" s="13" t="str">
        <f>IFERROR(IF(ABS($G2167)&gt;0,VLOOKUP($E2167,'Fuel Category and Heat Rate'!$B$1:$G$34,6,FALSE)*($G2167),""),"")</f>
        <v/>
      </c>
      <c r="I2167" t="str">
        <f>IFERROR(VLOOKUP($E2167,'Fuel Category and Heat Rate'!$K$2:$M$36,3,FALSE),"")</f>
        <v>heavy fuel oil</v>
      </c>
    </row>
    <row r="2168" spans="1:9" x14ac:dyDescent="0.15">
      <c r="A2168" s="2">
        <v>242352</v>
      </c>
      <c r="B2168" s="2" t="s">
        <v>78</v>
      </c>
      <c r="C2168" s="2">
        <v>2020</v>
      </c>
      <c r="D2168" s="2" t="s">
        <v>1</v>
      </c>
      <c r="E2168" s="2" t="s">
        <v>24</v>
      </c>
      <c r="F2168" s="2" t="s">
        <v>35</v>
      </c>
      <c r="G2168" s="7"/>
      <c r="H2168" s="13" t="str">
        <f>IFERROR(IF(ABS($G2168)&gt;0,VLOOKUP($E2168,'Fuel Category and Heat Rate'!$B$1:$G$34,6,FALSE)*($G2168),""),"")</f>
        <v/>
      </c>
      <c r="I2168" t="str">
        <f>IFERROR(VLOOKUP($E2168,'Fuel Category and Heat Rate'!$K$2:$M$36,3,FALSE),"")</f>
        <v>heavy fuel oil</v>
      </c>
    </row>
    <row r="2169" spans="1:9" x14ac:dyDescent="0.15">
      <c r="A2169" s="2">
        <v>242387</v>
      </c>
      <c r="B2169" s="2" t="s">
        <v>78</v>
      </c>
      <c r="C2169" s="2">
        <v>2020</v>
      </c>
      <c r="D2169" s="2" t="s">
        <v>1</v>
      </c>
      <c r="E2169" s="2" t="s">
        <v>29</v>
      </c>
      <c r="F2169" s="2" t="s">
        <v>36</v>
      </c>
      <c r="G2169" s="7">
        <v>-0.53</v>
      </c>
      <c r="H2169" s="13">
        <f>IFERROR(IF(ABS($G2169)&gt;0,VLOOKUP($E2169,'Fuel Category and Heat Rate'!$B$1:$G$34,6,FALSE)*($G2169),""),"")</f>
        <v>-1787562715281.8499</v>
      </c>
      <c r="I2169" t="str">
        <f>IFERROR(VLOOKUP($E2169,'Fuel Category and Heat Rate'!$K$2:$M$36,3,FALSE),"")</f>
        <v>natural gas</v>
      </c>
    </row>
    <row r="2170" spans="1:9" x14ac:dyDescent="0.15">
      <c r="A2170" s="2">
        <v>242422</v>
      </c>
      <c r="B2170" s="2" t="s">
        <v>78</v>
      </c>
      <c r="C2170" s="2">
        <v>2020</v>
      </c>
      <c r="D2170" s="2" t="s">
        <v>1</v>
      </c>
      <c r="E2170" s="2" t="s">
        <v>4</v>
      </c>
      <c r="F2170" s="2" t="s">
        <v>35</v>
      </c>
      <c r="G2170" s="7"/>
      <c r="H2170" s="13" t="str">
        <f>IFERROR(IF(ABS($G2170)&gt;0,VLOOKUP($E2170,'Fuel Category and Heat Rate'!$B$1:$G$34,6,FALSE)*($G2170),""),"")</f>
        <v/>
      </c>
      <c r="I2170" t="str">
        <f>IFERROR(VLOOKUP($E2170,'Fuel Category and Heat Rate'!$K$2:$M$36,3,FALSE),"")</f>
        <v>coal</v>
      </c>
    </row>
    <row r="2171" spans="1:9" x14ac:dyDescent="0.15">
      <c r="A2171" s="2">
        <v>242457</v>
      </c>
      <c r="B2171" s="2" t="s">
        <v>78</v>
      </c>
      <c r="C2171" s="2">
        <v>2020</v>
      </c>
      <c r="D2171" s="2" t="s">
        <v>1</v>
      </c>
      <c r="E2171" s="2" t="s">
        <v>6</v>
      </c>
      <c r="F2171" s="2" t="s">
        <v>35</v>
      </c>
      <c r="G2171" s="7"/>
      <c r="H2171" s="13" t="str">
        <f>IFERROR(IF(ABS($G2171)&gt;0,VLOOKUP($E2171,'Fuel Category and Heat Rate'!$B$1:$G$34,6,FALSE)*($G2171),""),"")</f>
        <v/>
      </c>
      <c r="I2171" t="str">
        <f>IFERROR(VLOOKUP($E2171,'Fuel Category and Heat Rate'!$K$2:$M$36,3,FALSE),"")</f>
        <v>coal</v>
      </c>
    </row>
    <row r="2172" spans="1:9" x14ac:dyDescent="0.15">
      <c r="A2172" s="2">
        <v>242492</v>
      </c>
      <c r="B2172" s="2" t="s">
        <v>78</v>
      </c>
      <c r="C2172" s="2">
        <v>2020</v>
      </c>
      <c r="D2172" s="2" t="s">
        <v>1</v>
      </c>
      <c r="E2172" s="2" t="s">
        <v>26</v>
      </c>
      <c r="F2172" s="2" t="s">
        <v>35</v>
      </c>
      <c r="G2172" s="7"/>
      <c r="H2172" s="13" t="str">
        <f>IFERROR(IF(ABS($G2172)&gt;0,VLOOKUP($E2172,'Fuel Category and Heat Rate'!$B$1:$G$34,6,FALSE)*($G2172),""),"")</f>
        <v/>
      </c>
      <c r="I2172" t="str">
        <f>IFERROR(VLOOKUP($E2172,'Fuel Category and Heat Rate'!$K$2:$M$36,3,FALSE),"")</f>
        <v>LPG propane or butane</v>
      </c>
    </row>
    <row r="2173" spans="1:9" x14ac:dyDescent="0.15">
      <c r="A2173" s="2">
        <v>242527</v>
      </c>
      <c r="B2173" s="2" t="s">
        <v>78</v>
      </c>
      <c r="C2173" s="2">
        <v>2020</v>
      </c>
      <c r="D2173" s="2" t="s">
        <v>1</v>
      </c>
      <c r="E2173" s="2" t="s">
        <v>30</v>
      </c>
      <c r="F2173" s="2" t="s">
        <v>35</v>
      </c>
      <c r="G2173" s="7"/>
      <c r="H2173" s="13" t="str">
        <f>IFERROR(IF(ABS($G2173)&gt;0,VLOOKUP($E2173,'Fuel Category and Heat Rate'!$B$1:$G$34,6,FALSE)*($G2173),""),"")</f>
        <v/>
      </c>
      <c r="I2173" t="str">
        <f>IFERROR(VLOOKUP($E2173,'Fuel Category and Heat Rate'!$K$2:$M$36,3,FALSE),"")</f>
        <v>natural gas</v>
      </c>
    </row>
    <row r="2174" spans="1:9" x14ac:dyDescent="0.15">
      <c r="A2174" s="2">
        <v>242562</v>
      </c>
      <c r="B2174" s="2" t="s">
        <v>78</v>
      </c>
      <c r="C2174" s="2">
        <v>2020</v>
      </c>
      <c r="D2174" s="2" t="s">
        <v>1</v>
      </c>
      <c r="E2174" s="2" t="s">
        <v>14</v>
      </c>
      <c r="F2174" s="2" t="s">
        <v>35</v>
      </c>
      <c r="G2174" s="7">
        <v>-6.16</v>
      </c>
      <c r="H2174" s="13">
        <f>IFERROR(IF(ABS($G2174)&gt;0,VLOOKUP($E2174,'Fuel Category and Heat Rate'!$B$1:$G$34,6,FALSE)*($G2174),""),"")</f>
        <v>0</v>
      </c>
      <c r="I2174" t="str">
        <f>IFERROR(VLOOKUP($E2174,'Fuel Category and Heat Rate'!$K$2:$M$36,3,FALSE),"")</f>
        <v/>
      </c>
    </row>
    <row r="2175" spans="1:9" x14ac:dyDescent="0.15">
      <c r="A2175" s="2">
        <v>242597</v>
      </c>
      <c r="B2175" s="2" t="s">
        <v>78</v>
      </c>
      <c r="C2175" s="2">
        <v>2020</v>
      </c>
      <c r="D2175" s="2" t="s">
        <v>1</v>
      </c>
      <c r="E2175" s="2" t="s">
        <v>3</v>
      </c>
      <c r="F2175" s="2" t="s">
        <v>35</v>
      </c>
      <c r="G2175" s="7">
        <v>-2607.2800000000002</v>
      </c>
      <c r="H2175" s="13">
        <f>IFERROR(IF(ABS($G2175)&gt;0,VLOOKUP($E2175,'Fuel Category and Heat Rate'!$B$1:$G$34,6,FALSE)*($G2175),""),"")</f>
        <v>-516683645135942.38</v>
      </c>
      <c r="I2175" t="str">
        <f>IFERROR(VLOOKUP($E2175,'Fuel Category and Heat Rate'!$K$2:$M$36,3,FALSE),"")</f>
        <v>coal</v>
      </c>
    </row>
    <row r="2176" spans="1:9" x14ac:dyDescent="0.15">
      <c r="A2176" s="2">
        <v>242632</v>
      </c>
      <c r="B2176" s="2" t="s">
        <v>78</v>
      </c>
      <c r="C2176" s="2">
        <v>2020</v>
      </c>
      <c r="D2176" s="2" t="s">
        <v>1</v>
      </c>
      <c r="E2176" s="2" t="s">
        <v>15</v>
      </c>
      <c r="F2176" s="2" t="s">
        <v>35</v>
      </c>
      <c r="G2176" s="7"/>
      <c r="H2176" s="13" t="str">
        <f>IFERROR(IF(ABS($G2176)&gt;0,VLOOKUP($E2176,'Fuel Category and Heat Rate'!$B$1:$G$34,6,FALSE)*($G2176),""),"")</f>
        <v/>
      </c>
      <c r="I2176" t="str">
        <f>IFERROR(VLOOKUP($E2176,'Fuel Category and Heat Rate'!$K$2:$M$36,3,FALSE),"")</f>
        <v>crude oil</v>
      </c>
    </row>
    <row r="2177" spans="1:9" x14ac:dyDescent="0.15">
      <c r="A2177" s="2">
        <v>242667</v>
      </c>
      <c r="B2177" s="2" t="s">
        <v>78</v>
      </c>
      <c r="C2177" s="2">
        <v>2020</v>
      </c>
      <c r="D2177" s="2" t="s">
        <v>1</v>
      </c>
      <c r="E2177" s="2" t="s">
        <v>11</v>
      </c>
      <c r="F2177" s="2" t="s">
        <v>36</v>
      </c>
      <c r="G2177" s="7"/>
      <c r="H2177" s="13" t="str">
        <f>IFERROR(IF(ABS($G2177)&gt;0,VLOOKUP($E2177,'Fuel Category and Heat Rate'!$B$1:$G$34,6,FALSE)*($G2177),""),"")</f>
        <v/>
      </c>
      <c r="I2177" t="str">
        <f>IFERROR(VLOOKUP($E2177,'Fuel Category and Heat Rate'!$K$2:$M$36,3,FALSE),"")</f>
        <v>LPG propane or butane</v>
      </c>
    </row>
    <row r="2178" spans="1:9" x14ac:dyDescent="0.15">
      <c r="A2178" s="2">
        <v>242702</v>
      </c>
      <c r="B2178" s="2" t="s">
        <v>78</v>
      </c>
      <c r="C2178" s="2">
        <v>2019</v>
      </c>
      <c r="D2178" s="2" t="s">
        <v>1</v>
      </c>
      <c r="E2178" s="2" t="s">
        <v>18</v>
      </c>
      <c r="F2178" s="2" t="s">
        <v>35</v>
      </c>
      <c r="G2178" s="7">
        <v>-0.09</v>
      </c>
      <c r="H2178" s="13">
        <f>IFERROR(IF(ABS($G2178)&gt;0,VLOOKUP($E2178,'Fuel Category and Heat Rate'!$B$1:$G$34,6,FALSE)*($G2178),""),"")</f>
        <v>-36383666324.394104</v>
      </c>
      <c r="I2178" t="str">
        <f>IFERROR(VLOOKUP($E2178,'Fuel Category and Heat Rate'!$K$2:$M$36,3,FALSE),"")</f>
        <v>petroleum diesel</v>
      </c>
    </row>
    <row r="2179" spans="1:9" x14ac:dyDescent="0.15">
      <c r="A2179" s="2">
        <v>242737</v>
      </c>
      <c r="B2179" s="2" t="s">
        <v>78</v>
      </c>
      <c r="C2179" s="2">
        <v>2019</v>
      </c>
      <c r="D2179" s="2" t="s">
        <v>1</v>
      </c>
      <c r="E2179" s="2" t="s">
        <v>32</v>
      </c>
      <c r="F2179" s="2" t="s">
        <v>65</v>
      </c>
      <c r="G2179" s="7"/>
      <c r="H2179" s="13" t="str">
        <f>IFERROR(IF(ABS($G2179)&gt;0,VLOOKUP($E2179,'Fuel Category and Heat Rate'!$B$1:$G$34,6,FALSE)*($G2179),""),"")</f>
        <v/>
      </c>
      <c r="I2179" t="str">
        <f>IFERROR(VLOOKUP($E2179,'Fuel Category and Heat Rate'!$K$2:$M$36,3,FALSE),"")</f>
        <v>electricity</v>
      </c>
    </row>
    <row r="2180" spans="1:9" x14ac:dyDescent="0.15">
      <c r="A2180" s="2">
        <v>242772</v>
      </c>
      <c r="B2180" s="2" t="s">
        <v>78</v>
      </c>
      <c r="C2180" s="2">
        <v>2019</v>
      </c>
      <c r="D2180" s="2" t="s">
        <v>1</v>
      </c>
      <c r="E2180" s="2" t="s">
        <v>10</v>
      </c>
      <c r="F2180" s="2" t="s">
        <v>36</v>
      </c>
      <c r="G2180" s="7">
        <v>-0.01</v>
      </c>
      <c r="H2180" s="13">
        <f>IFERROR(IF(ABS($G2180)&gt;0,VLOOKUP($E2180,'Fuel Category and Heat Rate'!$B$1:$G$34,6,FALSE)*($G2180),""),"")</f>
        <v>-3566635832.5959711</v>
      </c>
      <c r="I2180" t="str">
        <f>IFERROR(VLOOKUP($E2180,'Fuel Category and Heat Rate'!$K$2:$M$36,3,FALSE),"")</f>
        <v>LPG propane or butane</v>
      </c>
    </row>
    <row r="2181" spans="1:9" x14ac:dyDescent="0.15">
      <c r="A2181" s="2">
        <v>242807</v>
      </c>
      <c r="B2181" s="2" t="s">
        <v>78</v>
      </c>
      <c r="C2181" s="2">
        <v>2019</v>
      </c>
      <c r="D2181" s="2" t="s">
        <v>1</v>
      </c>
      <c r="E2181" s="2" t="s">
        <v>9</v>
      </c>
      <c r="F2181" s="2" t="s">
        <v>36</v>
      </c>
      <c r="G2181" s="7"/>
      <c r="H2181" s="13" t="str">
        <f>IFERROR(IF(ABS($G2181)&gt;0,VLOOKUP($E2181,'Fuel Category and Heat Rate'!$B$1:$G$34,6,FALSE)*($G2181),""),"")</f>
        <v/>
      </c>
      <c r="I2181" t="str">
        <f>IFERROR(VLOOKUP($E2181,'Fuel Category and Heat Rate'!$K$2:$M$36,3,FALSE),"")</f>
        <v>LPG propane or butane</v>
      </c>
    </row>
    <row r="2182" spans="1:9" x14ac:dyDescent="0.15">
      <c r="A2182" s="2">
        <v>242842</v>
      </c>
      <c r="B2182" s="2" t="s">
        <v>78</v>
      </c>
      <c r="C2182" s="2">
        <v>2019</v>
      </c>
      <c r="D2182" s="2" t="s">
        <v>1</v>
      </c>
      <c r="E2182" s="2" t="s">
        <v>8</v>
      </c>
      <c r="F2182" s="2" t="s">
        <v>35</v>
      </c>
      <c r="G2182" s="7"/>
      <c r="H2182" s="13" t="str">
        <f>IFERROR(IF(ABS($G2182)&gt;0,VLOOKUP($E2182,'Fuel Category and Heat Rate'!$B$1:$G$34,6,FALSE)*($G2182),""),"")</f>
        <v/>
      </c>
      <c r="I2182" t="str">
        <f>IFERROR(VLOOKUP($E2182,'Fuel Category and Heat Rate'!$K$2:$M$36,3,FALSE),"")</f>
        <v>coal</v>
      </c>
    </row>
    <row r="2183" spans="1:9" x14ac:dyDescent="0.15">
      <c r="A2183" s="2">
        <v>242877</v>
      </c>
      <c r="B2183" s="2" t="s">
        <v>78</v>
      </c>
      <c r="C2183" s="2">
        <v>2019</v>
      </c>
      <c r="D2183" s="2" t="s">
        <v>1</v>
      </c>
      <c r="E2183" s="2" t="s">
        <v>27</v>
      </c>
      <c r="F2183" s="2" t="s">
        <v>35</v>
      </c>
      <c r="G2183" s="7"/>
      <c r="H2183" s="13" t="str">
        <f>IFERROR(IF(ABS($G2183)&gt;0,VLOOKUP($E2183,'Fuel Category and Heat Rate'!$B$1:$G$34,6,FALSE)*($G2183),""),"")</f>
        <v/>
      </c>
      <c r="I2183" t="str">
        <f>IFERROR(VLOOKUP($E2183,'Fuel Category and Heat Rate'!$K$2:$M$36,3,FALSE),"")</f>
        <v>LPG propane or butane</v>
      </c>
    </row>
    <row r="2184" spans="1:9" x14ac:dyDescent="0.15">
      <c r="A2184" s="2">
        <v>242912</v>
      </c>
      <c r="B2184" s="2" t="s">
        <v>78</v>
      </c>
      <c r="C2184" s="2">
        <v>2019</v>
      </c>
      <c r="D2184" s="2" t="s">
        <v>1</v>
      </c>
      <c r="E2184" s="2" t="s">
        <v>7</v>
      </c>
      <c r="F2184" s="2" t="s">
        <v>35</v>
      </c>
      <c r="G2184" s="7"/>
      <c r="H2184" s="13" t="str">
        <f>IFERROR(IF(ABS($G2184)&gt;0,VLOOKUP($E2184,'Fuel Category and Heat Rate'!$B$1:$G$34,6,FALSE)*($G2184),""),"")</f>
        <v/>
      </c>
      <c r="I2184" t="str">
        <f>IFERROR(VLOOKUP($E2184,'Fuel Category and Heat Rate'!$K$2:$M$36,3,FALSE),"")</f>
        <v>coal</v>
      </c>
    </row>
    <row r="2185" spans="1:9" x14ac:dyDescent="0.15">
      <c r="A2185" s="2">
        <v>242947</v>
      </c>
      <c r="B2185" s="2" t="s">
        <v>78</v>
      </c>
      <c r="C2185" s="2">
        <v>2019</v>
      </c>
      <c r="D2185" s="2" t="s">
        <v>1</v>
      </c>
      <c r="E2185" s="2" t="s">
        <v>2</v>
      </c>
      <c r="F2185" s="2" t="s">
        <v>35</v>
      </c>
      <c r="G2185" s="7">
        <v>-2423.91</v>
      </c>
      <c r="H2185" s="13">
        <f>IFERROR(IF(ABS($G2185)&gt;0,VLOOKUP($E2185,'Fuel Category and Heat Rate'!$B$1:$G$34,6,FALSE)*($G2185),""),"")</f>
        <v>0</v>
      </c>
      <c r="I2185" t="str">
        <f>IFERROR(VLOOKUP($E2185,'Fuel Category and Heat Rate'!$K$2:$M$36,3,FALSE),"")</f>
        <v/>
      </c>
    </row>
    <row r="2186" spans="1:9" x14ac:dyDescent="0.15">
      <c r="A2186" s="2">
        <v>242982</v>
      </c>
      <c r="B2186" s="2" t="s">
        <v>78</v>
      </c>
      <c r="C2186" s="2">
        <v>2019</v>
      </c>
      <c r="D2186" s="2" t="s">
        <v>1</v>
      </c>
      <c r="E2186" s="2" t="s">
        <v>17</v>
      </c>
      <c r="F2186" s="2" t="s">
        <v>35</v>
      </c>
      <c r="G2186" s="7"/>
      <c r="H2186" s="13" t="str">
        <f>IFERROR(IF(ABS($G2186)&gt;0,VLOOKUP($E2186,'Fuel Category and Heat Rate'!$B$1:$G$34,6,FALSE)*($G2186),""),"")</f>
        <v/>
      </c>
      <c r="I2186" t="str">
        <f>IFERROR(VLOOKUP($E2186,'Fuel Category and Heat Rate'!$K$2:$M$36,3,FALSE),"")</f>
        <v>petroleum diesel</v>
      </c>
    </row>
    <row r="2187" spans="1:9" x14ac:dyDescent="0.15">
      <c r="A2187" s="2">
        <v>243017</v>
      </c>
      <c r="B2187" s="2" t="s">
        <v>78</v>
      </c>
      <c r="C2187" s="2">
        <v>2019</v>
      </c>
      <c r="D2187" s="2" t="s">
        <v>1</v>
      </c>
      <c r="E2187" s="2" t="s">
        <v>13</v>
      </c>
      <c r="F2187" s="2" t="s">
        <v>35</v>
      </c>
      <c r="G2187" s="7"/>
      <c r="H2187" s="13" t="str">
        <f>IFERROR(IF(ABS($G2187)&gt;0,VLOOKUP($E2187,'Fuel Category and Heat Rate'!$B$1:$G$34,6,FALSE)*($G2187),""),"")</f>
        <v/>
      </c>
      <c r="I2187" t="str">
        <f>IFERROR(VLOOKUP($E2187,'Fuel Category and Heat Rate'!$K$2:$M$36,3,FALSE),"")</f>
        <v>petroleum diesel</v>
      </c>
    </row>
    <row r="2188" spans="1:9" x14ac:dyDescent="0.15">
      <c r="A2188" s="2">
        <v>243052</v>
      </c>
      <c r="B2188" s="2" t="s">
        <v>78</v>
      </c>
      <c r="C2188" s="2">
        <v>2019</v>
      </c>
      <c r="D2188" s="2" t="s">
        <v>1</v>
      </c>
      <c r="E2188" s="2" t="s">
        <v>12</v>
      </c>
      <c r="F2188" s="2" t="s">
        <v>36</v>
      </c>
      <c r="G2188" s="7"/>
      <c r="H2188" s="13" t="str">
        <f>IFERROR(IF(ABS($G2188)&gt;0,VLOOKUP($E2188,'Fuel Category and Heat Rate'!$B$1:$G$34,6,FALSE)*($G2188),""),"")</f>
        <v/>
      </c>
      <c r="I2188" t="str">
        <f>IFERROR(VLOOKUP($E2188,'Fuel Category and Heat Rate'!$K$2:$M$36,3,FALSE),"")</f>
        <v>LPG propane or butane</v>
      </c>
    </row>
    <row r="2189" spans="1:9" x14ac:dyDescent="0.15">
      <c r="A2189" s="2">
        <v>243087</v>
      </c>
      <c r="B2189" s="2" t="s">
        <v>78</v>
      </c>
      <c r="C2189" s="2">
        <v>2019</v>
      </c>
      <c r="D2189" s="2" t="s">
        <v>1</v>
      </c>
      <c r="E2189" s="2" t="s">
        <v>33</v>
      </c>
      <c r="F2189" s="2" t="s">
        <v>38</v>
      </c>
      <c r="G2189" s="7">
        <v>-8.85</v>
      </c>
      <c r="H2189" s="13">
        <f>IFERROR(IF(ABS($G2189)&gt;0,VLOOKUP($E2189,'Fuel Category and Heat Rate'!$B$1:$G$34,6,FALSE)*($G2189),""),"")</f>
        <v>-2455304617286.3735</v>
      </c>
      <c r="I2189" t="str">
        <f>IFERROR(VLOOKUP($E2189,'Fuel Category and Heat Rate'!$K$2:$M$36,3,FALSE),"")</f>
        <v>biomass</v>
      </c>
    </row>
    <row r="2190" spans="1:9" x14ac:dyDescent="0.15">
      <c r="A2190" s="2">
        <v>243122</v>
      </c>
      <c r="B2190" s="2" t="s">
        <v>78</v>
      </c>
      <c r="C2190" s="2">
        <v>2019</v>
      </c>
      <c r="D2190" s="2" t="s">
        <v>1</v>
      </c>
      <c r="E2190" s="2" t="s">
        <v>28</v>
      </c>
      <c r="F2190" s="2" t="s">
        <v>35</v>
      </c>
      <c r="G2190" s="7"/>
      <c r="H2190" s="13" t="str">
        <f>IFERROR(IF(ABS($G2190)&gt;0,VLOOKUP($E2190,'Fuel Category and Heat Rate'!$B$1:$G$34,6,FALSE)*($G2190),""),"")</f>
        <v/>
      </c>
      <c r="I2190" t="str">
        <f>IFERROR(VLOOKUP($E2190,'Fuel Category and Heat Rate'!$K$2:$M$36,3,FALSE),"")</f>
        <v>heavy or residual fuel oil</v>
      </c>
    </row>
    <row r="2191" spans="1:9" x14ac:dyDescent="0.15">
      <c r="A2191" s="2">
        <v>243157</v>
      </c>
      <c r="B2191" s="2" t="s">
        <v>78</v>
      </c>
      <c r="C2191" s="2">
        <v>2019</v>
      </c>
      <c r="D2191" s="2" t="s">
        <v>1</v>
      </c>
      <c r="E2191" s="2" t="s">
        <v>5</v>
      </c>
      <c r="F2191" s="2" t="s">
        <v>35</v>
      </c>
      <c r="G2191" s="7">
        <v>-2.95</v>
      </c>
      <c r="H2191" s="13">
        <f>IFERROR(IF(ABS($G2191)&gt;0,VLOOKUP($E2191,'Fuel Category and Heat Rate'!$B$1:$G$34,6,FALSE)*($G2191),""),"")</f>
        <v>-233834540607.49484</v>
      </c>
      <c r="I2191" t="str">
        <f>IFERROR(VLOOKUP($E2191,'Fuel Category and Heat Rate'!$K$2:$M$36,3,FALSE),"")</f>
        <v>coal</v>
      </c>
    </row>
    <row r="2192" spans="1:9" x14ac:dyDescent="0.15">
      <c r="A2192" s="2">
        <v>243192</v>
      </c>
      <c r="B2192" s="2" t="s">
        <v>78</v>
      </c>
      <c r="C2192" s="2">
        <v>2019</v>
      </c>
      <c r="D2192" s="2" t="s">
        <v>1</v>
      </c>
      <c r="E2192" s="2" t="s">
        <v>16</v>
      </c>
      <c r="F2192" s="2" t="s">
        <v>35</v>
      </c>
      <c r="G2192" s="7">
        <v>-0.03</v>
      </c>
      <c r="H2192" s="13">
        <f>IFERROR(IF(ABS($G2192)&gt;0,VLOOKUP($E2192,'Fuel Category and Heat Rate'!$B$1:$G$34,6,FALSE)*($G2192),""),"")</f>
        <v>-12246745041.98048</v>
      </c>
      <c r="I2192" t="str">
        <f>IFERROR(VLOOKUP($E2192,'Fuel Category and Heat Rate'!$K$2:$M$36,3,FALSE),"")</f>
        <v>petroleum diesel</v>
      </c>
    </row>
    <row r="2193" spans="1:9" x14ac:dyDescent="0.15">
      <c r="A2193" s="2">
        <v>243227</v>
      </c>
      <c r="B2193" s="2" t="s">
        <v>78</v>
      </c>
      <c r="C2193" s="2">
        <v>2019</v>
      </c>
      <c r="D2193" s="2" t="s">
        <v>1</v>
      </c>
      <c r="E2193" s="2" t="s">
        <v>19</v>
      </c>
      <c r="F2193" s="2" t="s">
        <v>35</v>
      </c>
      <c r="G2193" s="7">
        <v>-5.27</v>
      </c>
      <c r="H2193" s="13">
        <f>IFERROR(IF(ABS($G2193)&gt;0,VLOOKUP($E2193,'Fuel Category and Heat Rate'!$B$1:$G$34,6,FALSE)*($G2193),""),"")</f>
        <v>-2088707626236.0896</v>
      </c>
      <c r="I2193" t="str">
        <f>IFERROR(VLOOKUP($E2193,'Fuel Category and Heat Rate'!$K$2:$M$36,3,FALSE),"")</f>
        <v>heavy or residual fuel oil</v>
      </c>
    </row>
    <row r="2194" spans="1:9" x14ac:dyDescent="0.15">
      <c r="A2194" s="2">
        <v>243262</v>
      </c>
      <c r="B2194" s="2" t="s">
        <v>78</v>
      </c>
      <c r="C2194" s="2">
        <v>2019</v>
      </c>
      <c r="D2194" s="2" t="s">
        <v>1</v>
      </c>
      <c r="E2194" s="2" t="s">
        <v>31</v>
      </c>
      <c r="F2194" s="2" t="s">
        <v>37</v>
      </c>
      <c r="G2194" s="7">
        <v>29646.81</v>
      </c>
      <c r="H2194" s="13">
        <f>IFERROR(IF(ABS($G2194)&gt;0,VLOOKUP($E2194,'Fuel Category and Heat Rate'!$B$1:$G$34,6,FALSE)*($G2194),""),"")</f>
        <v>280997541504556.41</v>
      </c>
      <c r="I2194" t="str">
        <f>IFERROR(VLOOKUP($E2194,'Fuel Category and Heat Rate'!$K$2:$M$36,3,FALSE),"")</f>
        <v>heat</v>
      </c>
    </row>
    <row r="2195" spans="1:9" x14ac:dyDescent="0.15">
      <c r="A2195" s="2">
        <v>243297</v>
      </c>
      <c r="B2195" s="2" t="s">
        <v>78</v>
      </c>
      <c r="C2195" s="2">
        <v>2019</v>
      </c>
      <c r="D2195" s="2" t="s">
        <v>1</v>
      </c>
      <c r="E2195" s="2" t="s">
        <v>23</v>
      </c>
      <c r="F2195" s="2" t="s">
        <v>35</v>
      </c>
      <c r="G2195" s="7"/>
      <c r="H2195" s="13" t="str">
        <f>IFERROR(IF(ABS($G2195)&gt;0,VLOOKUP($E2195,'Fuel Category and Heat Rate'!$B$1:$G$34,6,FALSE)*($G2195),""),"")</f>
        <v/>
      </c>
      <c r="I2195" t="str">
        <f>IFERROR(VLOOKUP($E2195,'Fuel Category and Heat Rate'!$K$2:$M$36,3,FALSE),"")</f>
        <v>heavy or residual fuel oil</v>
      </c>
    </row>
    <row r="2196" spans="1:9" x14ac:dyDescent="0.15">
      <c r="A2196" s="2">
        <v>243332</v>
      </c>
      <c r="B2196" s="2" t="s">
        <v>78</v>
      </c>
      <c r="C2196" s="2">
        <v>2019</v>
      </c>
      <c r="D2196" s="2" t="s">
        <v>1</v>
      </c>
      <c r="E2196" s="2" t="s">
        <v>21</v>
      </c>
      <c r="F2196" s="2" t="s">
        <v>35</v>
      </c>
      <c r="G2196" s="7"/>
      <c r="H2196" s="13" t="str">
        <f>IFERROR(IF(ABS($G2196)&gt;0,VLOOKUP($E2196,'Fuel Category and Heat Rate'!$B$1:$G$34,6,FALSE)*($G2196),""),"")</f>
        <v/>
      </c>
      <c r="I2196" t="str">
        <f>IFERROR(VLOOKUP($E2196,'Fuel Category and Heat Rate'!$K$2:$M$36,3,FALSE),"")</f>
        <v>LPG propane or butane</v>
      </c>
    </row>
    <row r="2197" spans="1:9" x14ac:dyDescent="0.15">
      <c r="A2197" s="2">
        <v>243367</v>
      </c>
      <c r="B2197" s="2" t="s">
        <v>78</v>
      </c>
      <c r="C2197" s="2">
        <v>2019</v>
      </c>
      <c r="D2197" s="2" t="s">
        <v>1</v>
      </c>
      <c r="E2197" s="2" t="s">
        <v>22</v>
      </c>
      <c r="F2197" s="2" t="s">
        <v>35</v>
      </c>
      <c r="G2197" s="7"/>
      <c r="H2197" s="13" t="str">
        <f>IFERROR(IF(ABS($G2197)&gt;0,VLOOKUP($E2197,'Fuel Category and Heat Rate'!$B$1:$G$34,6,FALSE)*($G2197),""),"")</f>
        <v/>
      </c>
      <c r="I2197" t="str">
        <f>IFERROR(VLOOKUP($E2197,'Fuel Category and Heat Rate'!$K$2:$M$36,3,FALSE),"")</f>
        <v>heavy fuel oil</v>
      </c>
    </row>
    <row r="2198" spans="1:9" x14ac:dyDescent="0.15">
      <c r="A2198" s="2">
        <v>243402</v>
      </c>
      <c r="B2198" s="2" t="s">
        <v>78</v>
      </c>
      <c r="C2198" s="2">
        <v>2019</v>
      </c>
      <c r="D2198" s="2" t="s">
        <v>1</v>
      </c>
      <c r="E2198" s="2" t="s">
        <v>20</v>
      </c>
      <c r="F2198" s="2" t="s">
        <v>35</v>
      </c>
      <c r="G2198" s="7"/>
      <c r="H2198" s="13" t="str">
        <f>IFERROR(IF(ABS($G2198)&gt;0,VLOOKUP($E2198,'Fuel Category and Heat Rate'!$B$1:$G$34,6,FALSE)*($G2198),""),"")</f>
        <v/>
      </c>
      <c r="I2198" t="str">
        <f>IFERROR(VLOOKUP($E2198,'Fuel Category and Heat Rate'!$K$2:$M$36,3,FALSE),"")</f>
        <v>LPG propane or butane</v>
      </c>
    </row>
    <row r="2199" spans="1:9" x14ac:dyDescent="0.15">
      <c r="A2199" s="2">
        <v>243437</v>
      </c>
      <c r="B2199" s="2" t="s">
        <v>78</v>
      </c>
      <c r="C2199" s="2">
        <v>2019</v>
      </c>
      <c r="D2199" s="2" t="s">
        <v>1</v>
      </c>
      <c r="E2199" s="2" t="s">
        <v>25</v>
      </c>
      <c r="F2199" s="2" t="s">
        <v>35</v>
      </c>
      <c r="G2199" s="7"/>
      <c r="H2199" s="13" t="str">
        <f>IFERROR(IF(ABS($G2199)&gt;0,VLOOKUP($E2199,'Fuel Category and Heat Rate'!$B$1:$G$34,6,FALSE)*($G2199),""),"")</f>
        <v/>
      </c>
      <c r="I2199" t="str">
        <f>IFERROR(VLOOKUP($E2199,'Fuel Category and Heat Rate'!$K$2:$M$36,3,FALSE),"")</f>
        <v>heavy fuel oil</v>
      </c>
    </row>
    <row r="2200" spans="1:9" x14ac:dyDescent="0.15">
      <c r="A2200" s="2">
        <v>243472</v>
      </c>
      <c r="B2200" s="2" t="s">
        <v>78</v>
      </c>
      <c r="C2200" s="2">
        <v>2019</v>
      </c>
      <c r="D2200" s="2" t="s">
        <v>1</v>
      </c>
      <c r="E2200" s="2" t="s">
        <v>24</v>
      </c>
      <c r="F2200" s="2" t="s">
        <v>35</v>
      </c>
      <c r="G2200" s="7"/>
      <c r="H2200" s="13" t="str">
        <f>IFERROR(IF(ABS($G2200)&gt;0,VLOOKUP($E2200,'Fuel Category and Heat Rate'!$B$1:$G$34,6,FALSE)*($G2200),""),"")</f>
        <v/>
      </c>
      <c r="I2200" t="str">
        <f>IFERROR(VLOOKUP($E2200,'Fuel Category and Heat Rate'!$K$2:$M$36,3,FALSE),"")</f>
        <v>heavy fuel oil</v>
      </c>
    </row>
    <row r="2201" spans="1:9" x14ac:dyDescent="0.15">
      <c r="A2201" s="2">
        <v>243507</v>
      </c>
      <c r="B2201" s="2" t="s">
        <v>78</v>
      </c>
      <c r="C2201" s="2">
        <v>2019</v>
      </c>
      <c r="D2201" s="2" t="s">
        <v>1</v>
      </c>
      <c r="E2201" s="2" t="s">
        <v>29</v>
      </c>
      <c r="F2201" s="2" t="s">
        <v>36</v>
      </c>
      <c r="G2201" s="7">
        <v>-0.66</v>
      </c>
      <c r="H2201" s="13">
        <f>IFERROR(IF(ABS($G2201)&gt;0,VLOOKUP($E2201,'Fuel Category and Heat Rate'!$B$1:$G$34,6,FALSE)*($G2201),""),"")</f>
        <v>-2226021494501.9263</v>
      </c>
      <c r="I2201" t="str">
        <f>IFERROR(VLOOKUP($E2201,'Fuel Category and Heat Rate'!$K$2:$M$36,3,FALSE),"")</f>
        <v>natural gas</v>
      </c>
    </row>
    <row r="2202" spans="1:9" x14ac:dyDescent="0.15">
      <c r="A2202" s="2">
        <v>243542</v>
      </c>
      <c r="B2202" s="2" t="s">
        <v>78</v>
      </c>
      <c r="C2202" s="2">
        <v>2019</v>
      </c>
      <c r="D2202" s="2" t="s">
        <v>1</v>
      </c>
      <c r="E2202" s="2" t="s">
        <v>4</v>
      </c>
      <c r="F2202" s="2" t="s">
        <v>35</v>
      </c>
      <c r="G2202" s="7"/>
      <c r="H2202" s="13" t="str">
        <f>IFERROR(IF(ABS($G2202)&gt;0,VLOOKUP($E2202,'Fuel Category and Heat Rate'!$B$1:$G$34,6,FALSE)*($G2202),""),"")</f>
        <v/>
      </c>
      <c r="I2202" t="str">
        <f>IFERROR(VLOOKUP($E2202,'Fuel Category and Heat Rate'!$K$2:$M$36,3,FALSE),"")</f>
        <v>coal</v>
      </c>
    </row>
    <row r="2203" spans="1:9" x14ac:dyDescent="0.15">
      <c r="A2203" s="2">
        <v>243577</v>
      </c>
      <c r="B2203" s="2" t="s">
        <v>78</v>
      </c>
      <c r="C2203" s="2">
        <v>2019</v>
      </c>
      <c r="D2203" s="2" t="s">
        <v>1</v>
      </c>
      <c r="E2203" s="2" t="s">
        <v>6</v>
      </c>
      <c r="F2203" s="2" t="s">
        <v>35</v>
      </c>
      <c r="G2203" s="7"/>
      <c r="H2203" s="13" t="str">
        <f>IFERROR(IF(ABS($G2203)&gt;0,VLOOKUP($E2203,'Fuel Category and Heat Rate'!$B$1:$G$34,6,FALSE)*($G2203),""),"")</f>
        <v/>
      </c>
      <c r="I2203" t="str">
        <f>IFERROR(VLOOKUP($E2203,'Fuel Category and Heat Rate'!$K$2:$M$36,3,FALSE),"")</f>
        <v>coal</v>
      </c>
    </row>
    <row r="2204" spans="1:9" x14ac:dyDescent="0.15">
      <c r="A2204" s="2">
        <v>243612</v>
      </c>
      <c r="B2204" s="2" t="s">
        <v>78</v>
      </c>
      <c r="C2204" s="2">
        <v>2019</v>
      </c>
      <c r="D2204" s="2" t="s">
        <v>1</v>
      </c>
      <c r="E2204" s="2" t="s">
        <v>26</v>
      </c>
      <c r="F2204" s="2" t="s">
        <v>35</v>
      </c>
      <c r="G2204" s="7"/>
      <c r="H2204" s="13" t="str">
        <f>IFERROR(IF(ABS($G2204)&gt;0,VLOOKUP($E2204,'Fuel Category and Heat Rate'!$B$1:$G$34,6,FALSE)*($G2204),""),"")</f>
        <v/>
      </c>
      <c r="I2204" t="str">
        <f>IFERROR(VLOOKUP($E2204,'Fuel Category and Heat Rate'!$K$2:$M$36,3,FALSE),"")</f>
        <v>LPG propane or butane</v>
      </c>
    </row>
    <row r="2205" spans="1:9" x14ac:dyDescent="0.15">
      <c r="A2205" s="2">
        <v>243647</v>
      </c>
      <c r="B2205" s="2" t="s">
        <v>78</v>
      </c>
      <c r="C2205" s="2">
        <v>2019</v>
      </c>
      <c r="D2205" s="2" t="s">
        <v>1</v>
      </c>
      <c r="E2205" s="2" t="s">
        <v>30</v>
      </c>
      <c r="F2205" s="2" t="s">
        <v>35</v>
      </c>
      <c r="G2205" s="7"/>
      <c r="H2205" s="13" t="str">
        <f>IFERROR(IF(ABS($G2205)&gt;0,VLOOKUP($E2205,'Fuel Category and Heat Rate'!$B$1:$G$34,6,FALSE)*($G2205),""),"")</f>
        <v/>
      </c>
      <c r="I2205" t="str">
        <f>IFERROR(VLOOKUP($E2205,'Fuel Category and Heat Rate'!$K$2:$M$36,3,FALSE),"")</f>
        <v>natural gas</v>
      </c>
    </row>
    <row r="2206" spans="1:9" x14ac:dyDescent="0.15">
      <c r="A2206" s="2">
        <v>243682</v>
      </c>
      <c r="B2206" s="2" t="s">
        <v>78</v>
      </c>
      <c r="C2206" s="2">
        <v>2019</v>
      </c>
      <c r="D2206" s="2" t="s">
        <v>1</v>
      </c>
      <c r="E2206" s="2" t="s">
        <v>14</v>
      </c>
      <c r="F2206" s="2" t="s">
        <v>35</v>
      </c>
      <c r="G2206" s="7">
        <v>-5.39</v>
      </c>
      <c r="H2206" s="13">
        <f>IFERROR(IF(ABS($G2206)&gt;0,VLOOKUP($E2206,'Fuel Category and Heat Rate'!$B$1:$G$34,6,FALSE)*($G2206),""),"")</f>
        <v>0</v>
      </c>
      <c r="I2206" t="str">
        <f>IFERROR(VLOOKUP($E2206,'Fuel Category and Heat Rate'!$K$2:$M$36,3,FALSE),"")</f>
        <v/>
      </c>
    </row>
    <row r="2207" spans="1:9" x14ac:dyDescent="0.15">
      <c r="A2207" s="2">
        <v>243717</v>
      </c>
      <c r="B2207" s="2" t="s">
        <v>78</v>
      </c>
      <c r="C2207" s="2">
        <v>2019</v>
      </c>
      <c r="D2207" s="2" t="s">
        <v>1</v>
      </c>
      <c r="E2207" s="2" t="s">
        <v>3</v>
      </c>
      <c r="F2207" s="2" t="s">
        <v>35</v>
      </c>
      <c r="G2207" s="7">
        <v>-2420.96</v>
      </c>
      <c r="H2207" s="13">
        <f>IFERROR(IF(ABS($G2207)&gt;0,VLOOKUP($E2207,'Fuel Category and Heat Rate'!$B$1:$G$34,6,FALSE)*($G2207),""),"")</f>
        <v>-479760684517317.25</v>
      </c>
      <c r="I2207" t="str">
        <f>IFERROR(VLOOKUP($E2207,'Fuel Category and Heat Rate'!$K$2:$M$36,3,FALSE),"")</f>
        <v>coal</v>
      </c>
    </row>
    <row r="2208" spans="1:9" x14ac:dyDescent="0.15">
      <c r="A2208" s="2">
        <v>243752</v>
      </c>
      <c r="B2208" s="2" t="s">
        <v>78</v>
      </c>
      <c r="C2208" s="2">
        <v>2019</v>
      </c>
      <c r="D2208" s="2" t="s">
        <v>1</v>
      </c>
      <c r="E2208" s="2" t="s">
        <v>15</v>
      </c>
      <c r="F2208" s="2" t="s">
        <v>35</v>
      </c>
      <c r="G2208" s="7"/>
      <c r="H2208" s="13" t="str">
        <f>IFERROR(IF(ABS($G2208)&gt;0,VLOOKUP($E2208,'Fuel Category and Heat Rate'!$B$1:$G$34,6,FALSE)*($G2208),""),"")</f>
        <v/>
      </c>
      <c r="I2208" t="str">
        <f>IFERROR(VLOOKUP($E2208,'Fuel Category and Heat Rate'!$K$2:$M$36,3,FALSE),"")</f>
        <v>crude oil</v>
      </c>
    </row>
    <row r="2209" spans="1:9" x14ac:dyDescent="0.15">
      <c r="A2209" s="2">
        <v>243787</v>
      </c>
      <c r="B2209" s="2" t="s">
        <v>78</v>
      </c>
      <c r="C2209" s="2">
        <v>2019</v>
      </c>
      <c r="D2209" s="2" t="s">
        <v>1</v>
      </c>
      <c r="E2209" s="2" t="s">
        <v>11</v>
      </c>
      <c r="F2209" s="2" t="s">
        <v>36</v>
      </c>
      <c r="G2209" s="7"/>
      <c r="H2209" s="13" t="str">
        <f>IFERROR(IF(ABS($G2209)&gt;0,VLOOKUP($E2209,'Fuel Category and Heat Rate'!$B$1:$G$34,6,FALSE)*($G2209),""),"")</f>
        <v/>
      </c>
      <c r="I2209" t="str">
        <f>IFERROR(VLOOKUP($E2209,'Fuel Category and Heat Rate'!$K$2:$M$36,3,FALSE),"")</f>
        <v>LPG propane or butane</v>
      </c>
    </row>
    <row r="2210" spans="1:9" x14ac:dyDescent="0.15">
      <c r="A2210" s="2">
        <v>243822</v>
      </c>
      <c r="B2210" s="2" t="s">
        <v>78</v>
      </c>
      <c r="C2210" s="2">
        <v>2018</v>
      </c>
      <c r="D2210" s="2" t="s">
        <v>1</v>
      </c>
      <c r="E2210" s="2" t="s">
        <v>18</v>
      </c>
      <c r="F2210" s="2" t="s">
        <v>35</v>
      </c>
      <c r="G2210" s="7">
        <v>-7.0000000000000007E-2</v>
      </c>
      <c r="H2210" s="13">
        <f>IFERROR(IF(ABS($G2210)&gt;0,VLOOKUP($E2210,'Fuel Category and Heat Rate'!$B$1:$G$34,6,FALSE)*($G2210),""),"")</f>
        <v>-28298407141.195419</v>
      </c>
      <c r="I2210" t="str">
        <f>IFERROR(VLOOKUP($E2210,'Fuel Category and Heat Rate'!$K$2:$M$36,3,FALSE),"")</f>
        <v>petroleum diesel</v>
      </c>
    </row>
    <row r="2211" spans="1:9" x14ac:dyDescent="0.15">
      <c r="A2211" s="2">
        <v>243857</v>
      </c>
      <c r="B2211" s="2" t="s">
        <v>78</v>
      </c>
      <c r="C2211" s="2">
        <v>2018</v>
      </c>
      <c r="D2211" s="2" t="s">
        <v>1</v>
      </c>
      <c r="E2211" s="2" t="s">
        <v>32</v>
      </c>
      <c r="F2211" s="2" t="s">
        <v>65</v>
      </c>
      <c r="G2211" s="7"/>
      <c r="H2211" s="13" t="str">
        <f>IFERROR(IF(ABS($G2211)&gt;0,VLOOKUP($E2211,'Fuel Category and Heat Rate'!$B$1:$G$34,6,FALSE)*($G2211),""),"")</f>
        <v/>
      </c>
      <c r="I2211" t="str">
        <f>IFERROR(VLOOKUP($E2211,'Fuel Category and Heat Rate'!$K$2:$M$36,3,FALSE),"")</f>
        <v>electricity</v>
      </c>
    </row>
    <row r="2212" spans="1:9" x14ac:dyDescent="0.15">
      <c r="A2212" s="2">
        <v>243892</v>
      </c>
      <c r="B2212" s="2" t="s">
        <v>78</v>
      </c>
      <c r="C2212" s="2">
        <v>2018</v>
      </c>
      <c r="D2212" s="2" t="s">
        <v>1</v>
      </c>
      <c r="E2212" s="2" t="s">
        <v>10</v>
      </c>
      <c r="F2212" s="2" t="s">
        <v>36</v>
      </c>
      <c r="G2212" s="7"/>
      <c r="H2212" s="13" t="str">
        <f>IFERROR(IF(ABS($G2212)&gt;0,VLOOKUP($E2212,'Fuel Category and Heat Rate'!$B$1:$G$34,6,FALSE)*($G2212),""),"")</f>
        <v/>
      </c>
      <c r="I2212" t="str">
        <f>IFERROR(VLOOKUP($E2212,'Fuel Category and Heat Rate'!$K$2:$M$36,3,FALSE),"")</f>
        <v>LPG propane or butane</v>
      </c>
    </row>
    <row r="2213" spans="1:9" x14ac:dyDescent="0.15">
      <c r="A2213" s="2">
        <v>243927</v>
      </c>
      <c r="B2213" s="2" t="s">
        <v>78</v>
      </c>
      <c r="C2213" s="2">
        <v>2018</v>
      </c>
      <c r="D2213" s="2" t="s">
        <v>1</v>
      </c>
      <c r="E2213" s="2" t="s">
        <v>9</v>
      </c>
      <c r="F2213" s="2" t="s">
        <v>36</v>
      </c>
      <c r="G2213" s="7"/>
      <c r="H2213" s="13" t="str">
        <f>IFERROR(IF(ABS($G2213)&gt;0,VLOOKUP($E2213,'Fuel Category and Heat Rate'!$B$1:$G$34,6,FALSE)*($G2213),""),"")</f>
        <v/>
      </c>
      <c r="I2213" t="str">
        <f>IFERROR(VLOOKUP($E2213,'Fuel Category and Heat Rate'!$K$2:$M$36,3,FALSE),"")</f>
        <v>LPG propane or butane</v>
      </c>
    </row>
    <row r="2214" spans="1:9" x14ac:dyDescent="0.15">
      <c r="A2214" s="2">
        <v>243962</v>
      </c>
      <c r="B2214" s="2" t="s">
        <v>78</v>
      </c>
      <c r="C2214" s="2">
        <v>2018</v>
      </c>
      <c r="D2214" s="2" t="s">
        <v>1</v>
      </c>
      <c r="E2214" s="2" t="s">
        <v>8</v>
      </c>
      <c r="F2214" s="2" t="s">
        <v>35</v>
      </c>
      <c r="G2214" s="7"/>
      <c r="H2214" s="13" t="str">
        <f>IFERROR(IF(ABS($G2214)&gt;0,VLOOKUP($E2214,'Fuel Category and Heat Rate'!$B$1:$G$34,6,FALSE)*($G2214),""),"")</f>
        <v/>
      </c>
      <c r="I2214" t="str">
        <f>IFERROR(VLOOKUP($E2214,'Fuel Category and Heat Rate'!$K$2:$M$36,3,FALSE),"")</f>
        <v>coal</v>
      </c>
    </row>
    <row r="2215" spans="1:9" x14ac:dyDescent="0.15">
      <c r="A2215" s="2">
        <v>243997</v>
      </c>
      <c r="B2215" s="2" t="s">
        <v>78</v>
      </c>
      <c r="C2215" s="2">
        <v>2018</v>
      </c>
      <c r="D2215" s="2" t="s">
        <v>1</v>
      </c>
      <c r="E2215" s="2" t="s">
        <v>27</v>
      </c>
      <c r="F2215" s="2" t="s">
        <v>35</v>
      </c>
      <c r="G2215" s="7"/>
      <c r="H2215" s="13" t="str">
        <f>IFERROR(IF(ABS($G2215)&gt;0,VLOOKUP($E2215,'Fuel Category and Heat Rate'!$B$1:$G$34,6,FALSE)*($G2215),""),"")</f>
        <v/>
      </c>
      <c r="I2215" t="str">
        <f>IFERROR(VLOOKUP($E2215,'Fuel Category and Heat Rate'!$K$2:$M$36,3,FALSE),"")</f>
        <v>LPG propane or butane</v>
      </c>
    </row>
    <row r="2216" spans="1:9" x14ac:dyDescent="0.15">
      <c r="A2216" s="2">
        <v>244032</v>
      </c>
      <c r="B2216" s="2" t="s">
        <v>78</v>
      </c>
      <c r="C2216" s="2">
        <v>2018</v>
      </c>
      <c r="D2216" s="2" t="s">
        <v>1</v>
      </c>
      <c r="E2216" s="2" t="s">
        <v>7</v>
      </c>
      <c r="F2216" s="2" t="s">
        <v>35</v>
      </c>
      <c r="G2216" s="7"/>
      <c r="H2216" s="13" t="str">
        <f>IFERROR(IF(ABS($G2216)&gt;0,VLOOKUP($E2216,'Fuel Category and Heat Rate'!$B$1:$G$34,6,FALSE)*($G2216),""),"")</f>
        <v/>
      </c>
      <c r="I2216" t="str">
        <f>IFERROR(VLOOKUP($E2216,'Fuel Category and Heat Rate'!$K$2:$M$36,3,FALSE),"")</f>
        <v>coal</v>
      </c>
    </row>
    <row r="2217" spans="1:9" x14ac:dyDescent="0.15">
      <c r="A2217" s="2">
        <v>244067</v>
      </c>
      <c r="B2217" s="2" t="s">
        <v>78</v>
      </c>
      <c r="C2217" s="2">
        <v>2018</v>
      </c>
      <c r="D2217" s="2" t="s">
        <v>1</v>
      </c>
      <c r="E2217" s="2" t="s">
        <v>2</v>
      </c>
      <c r="F2217" s="2" t="s">
        <v>35</v>
      </c>
      <c r="G2217" s="7">
        <v>-2414.21</v>
      </c>
      <c r="H2217" s="13">
        <f>IFERROR(IF(ABS($G2217)&gt;0,VLOOKUP($E2217,'Fuel Category and Heat Rate'!$B$1:$G$34,6,FALSE)*($G2217),""),"")</f>
        <v>0</v>
      </c>
      <c r="I2217" t="str">
        <f>IFERROR(VLOOKUP($E2217,'Fuel Category and Heat Rate'!$K$2:$M$36,3,FALSE),"")</f>
        <v/>
      </c>
    </row>
    <row r="2218" spans="1:9" x14ac:dyDescent="0.15">
      <c r="A2218" s="2">
        <v>244102</v>
      </c>
      <c r="B2218" s="2" t="s">
        <v>78</v>
      </c>
      <c r="C2218" s="2">
        <v>2018</v>
      </c>
      <c r="D2218" s="2" t="s">
        <v>1</v>
      </c>
      <c r="E2218" s="2" t="s">
        <v>17</v>
      </c>
      <c r="F2218" s="2" t="s">
        <v>35</v>
      </c>
      <c r="G2218" s="7"/>
      <c r="H2218" s="13" t="str">
        <f>IFERROR(IF(ABS($G2218)&gt;0,VLOOKUP($E2218,'Fuel Category and Heat Rate'!$B$1:$G$34,6,FALSE)*($G2218),""),"")</f>
        <v/>
      </c>
      <c r="I2218" t="str">
        <f>IFERROR(VLOOKUP($E2218,'Fuel Category and Heat Rate'!$K$2:$M$36,3,FALSE),"")</f>
        <v>petroleum diesel</v>
      </c>
    </row>
    <row r="2219" spans="1:9" x14ac:dyDescent="0.15">
      <c r="A2219" s="2">
        <v>244137</v>
      </c>
      <c r="B2219" s="2" t="s">
        <v>78</v>
      </c>
      <c r="C2219" s="2">
        <v>2018</v>
      </c>
      <c r="D2219" s="2" t="s">
        <v>1</v>
      </c>
      <c r="E2219" s="2" t="s">
        <v>13</v>
      </c>
      <c r="F2219" s="2" t="s">
        <v>35</v>
      </c>
      <c r="G2219" s="7"/>
      <c r="H2219" s="13" t="str">
        <f>IFERROR(IF(ABS($G2219)&gt;0,VLOOKUP($E2219,'Fuel Category and Heat Rate'!$B$1:$G$34,6,FALSE)*($G2219),""),"")</f>
        <v/>
      </c>
      <c r="I2219" t="str">
        <f>IFERROR(VLOOKUP($E2219,'Fuel Category and Heat Rate'!$K$2:$M$36,3,FALSE),"")</f>
        <v>petroleum diesel</v>
      </c>
    </row>
    <row r="2220" spans="1:9" x14ac:dyDescent="0.15">
      <c r="A2220" s="2">
        <v>244172</v>
      </c>
      <c r="B2220" s="2" t="s">
        <v>78</v>
      </c>
      <c r="C2220" s="2">
        <v>2018</v>
      </c>
      <c r="D2220" s="2" t="s">
        <v>1</v>
      </c>
      <c r="E2220" s="2" t="s">
        <v>12</v>
      </c>
      <c r="F2220" s="2" t="s">
        <v>36</v>
      </c>
      <c r="G2220" s="7"/>
      <c r="H2220" s="13" t="str">
        <f>IFERROR(IF(ABS($G2220)&gt;0,VLOOKUP($E2220,'Fuel Category and Heat Rate'!$B$1:$G$34,6,FALSE)*($G2220),""),"")</f>
        <v/>
      </c>
      <c r="I2220" t="str">
        <f>IFERROR(VLOOKUP($E2220,'Fuel Category and Heat Rate'!$K$2:$M$36,3,FALSE),"")</f>
        <v>LPG propane or butane</v>
      </c>
    </row>
    <row r="2221" spans="1:9" x14ac:dyDescent="0.15">
      <c r="A2221" s="2">
        <v>244207</v>
      </c>
      <c r="B2221" s="2" t="s">
        <v>78</v>
      </c>
      <c r="C2221" s="2">
        <v>2018</v>
      </c>
      <c r="D2221" s="2" t="s">
        <v>1</v>
      </c>
      <c r="E2221" s="2" t="s">
        <v>33</v>
      </c>
      <c r="F2221" s="2" t="s">
        <v>38</v>
      </c>
      <c r="G2221" s="7">
        <v>-15.6</v>
      </c>
      <c r="H2221" s="13">
        <f>IFERROR(IF(ABS($G2221)&gt;0,VLOOKUP($E2221,'Fuel Category and Heat Rate'!$B$1:$G$34,6,FALSE)*($G2221),""),"")</f>
        <v>-4327994579623.4385</v>
      </c>
      <c r="I2221" t="str">
        <f>IFERROR(VLOOKUP($E2221,'Fuel Category and Heat Rate'!$K$2:$M$36,3,FALSE),"")</f>
        <v>biomass</v>
      </c>
    </row>
    <row r="2222" spans="1:9" x14ac:dyDescent="0.15">
      <c r="A2222" s="2">
        <v>244242</v>
      </c>
      <c r="B2222" s="2" t="s">
        <v>78</v>
      </c>
      <c r="C2222" s="2">
        <v>2018</v>
      </c>
      <c r="D2222" s="2" t="s">
        <v>1</v>
      </c>
      <c r="E2222" s="2" t="s">
        <v>28</v>
      </c>
      <c r="F2222" s="2" t="s">
        <v>35</v>
      </c>
      <c r="G2222" s="7"/>
      <c r="H2222" s="13" t="str">
        <f>IFERROR(IF(ABS($G2222)&gt;0,VLOOKUP($E2222,'Fuel Category and Heat Rate'!$B$1:$G$34,6,FALSE)*($G2222),""),"")</f>
        <v/>
      </c>
      <c r="I2222" t="str">
        <f>IFERROR(VLOOKUP($E2222,'Fuel Category and Heat Rate'!$K$2:$M$36,3,FALSE),"")</f>
        <v>heavy or residual fuel oil</v>
      </c>
    </row>
    <row r="2223" spans="1:9" x14ac:dyDescent="0.15">
      <c r="A2223" s="2">
        <v>244277</v>
      </c>
      <c r="B2223" s="2" t="s">
        <v>78</v>
      </c>
      <c r="C2223" s="2">
        <v>2018</v>
      </c>
      <c r="D2223" s="2" t="s">
        <v>1</v>
      </c>
      <c r="E2223" s="2" t="s">
        <v>5</v>
      </c>
      <c r="F2223" s="2" t="s">
        <v>35</v>
      </c>
      <c r="G2223" s="7">
        <v>-2.4300000000000002</v>
      </c>
      <c r="H2223" s="13">
        <f>IFERROR(IF(ABS($G2223)&gt;0,VLOOKUP($E2223,'Fuel Category and Heat Rate'!$B$1:$G$34,6,FALSE)*($G2223),""),"")</f>
        <v>-192616248703.80084</v>
      </c>
      <c r="I2223" t="str">
        <f>IFERROR(VLOOKUP($E2223,'Fuel Category and Heat Rate'!$K$2:$M$36,3,FALSE),"")</f>
        <v>coal</v>
      </c>
    </row>
    <row r="2224" spans="1:9" x14ac:dyDescent="0.15">
      <c r="A2224" s="2">
        <v>244312</v>
      </c>
      <c r="B2224" s="2" t="s">
        <v>78</v>
      </c>
      <c r="C2224" s="2">
        <v>2018</v>
      </c>
      <c r="D2224" s="2" t="s">
        <v>1</v>
      </c>
      <c r="E2224" s="2" t="s">
        <v>16</v>
      </c>
      <c r="F2224" s="2" t="s">
        <v>35</v>
      </c>
      <c r="G2224" s="7">
        <v>-0.04</v>
      </c>
      <c r="H2224" s="13">
        <f>IFERROR(IF(ABS($G2224)&gt;0,VLOOKUP($E2224,'Fuel Category and Heat Rate'!$B$1:$G$34,6,FALSE)*($G2224),""),"")</f>
        <v>-16328993389.307308</v>
      </c>
      <c r="I2224" t="str">
        <f>IFERROR(VLOOKUP($E2224,'Fuel Category and Heat Rate'!$K$2:$M$36,3,FALSE),"")</f>
        <v>petroleum diesel</v>
      </c>
    </row>
    <row r="2225" spans="1:9" x14ac:dyDescent="0.15">
      <c r="A2225" s="2">
        <v>244347</v>
      </c>
      <c r="B2225" s="2" t="s">
        <v>78</v>
      </c>
      <c r="C2225" s="2">
        <v>2018</v>
      </c>
      <c r="D2225" s="2" t="s">
        <v>1</v>
      </c>
      <c r="E2225" s="2" t="s">
        <v>19</v>
      </c>
      <c r="F2225" s="2" t="s">
        <v>35</v>
      </c>
      <c r="G2225" s="7">
        <v>-3.47</v>
      </c>
      <c r="H2225" s="13">
        <f>IFERROR(IF(ABS($G2225)&gt;0,VLOOKUP($E2225,'Fuel Category and Heat Rate'!$B$1:$G$34,6,FALSE)*($G2225),""),"")</f>
        <v>-1375297051810.1011</v>
      </c>
      <c r="I2225" t="str">
        <f>IFERROR(VLOOKUP($E2225,'Fuel Category and Heat Rate'!$K$2:$M$36,3,FALSE),"")</f>
        <v>heavy or residual fuel oil</v>
      </c>
    </row>
    <row r="2226" spans="1:9" x14ac:dyDescent="0.15">
      <c r="A2226" s="2">
        <v>244382</v>
      </c>
      <c r="B2226" s="2" t="s">
        <v>78</v>
      </c>
      <c r="C2226" s="2">
        <v>2018</v>
      </c>
      <c r="D2226" s="2" t="s">
        <v>1</v>
      </c>
      <c r="E2226" s="2" t="s">
        <v>31</v>
      </c>
      <c r="F2226" s="2" t="s">
        <v>37</v>
      </c>
      <c r="G2226" s="7">
        <v>30016.13</v>
      </c>
      <c r="H2226" s="13">
        <f>IFERROR(IF(ABS($G2226)&gt;0,VLOOKUP($E2226,'Fuel Category and Heat Rate'!$B$1:$G$34,6,FALSE)*($G2226),""),"")</f>
        <v>284498019701990.19</v>
      </c>
      <c r="I2226" t="str">
        <f>IFERROR(VLOOKUP($E2226,'Fuel Category and Heat Rate'!$K$2:$M$36,3,FALSE),"")</f>
        <v>heat</v>
      </c>
    </row>
    <row r="2227" spans="1:9" x14ac:dyDescent="0.15">
      <c r="A2227" s="2">
        <v>244417</v>
      </c>
      <c r="B2227" s="2" t="s">
        <v>78</v>
      </c>
      <c r="C2227" s="2">
        <v>2018</v>
      </c>
      <c r="D2227" s="2" t="s">
        <v>1</v>
      </c>
      <c r="E2227" s="2" t="s">
        <v>23</v>
      </c>
      <c r="F2227" s="2" t="s">
        <v>35</v>
      </c>
      <c r="G2227" s="7"/>
      <c r="H2227" s="13" t="str">
        <f>IFERROR(IF(ABS($G2227)&gt;0,VLOOKUP($E2227,'Fuel Category and Heat Rate'!$B$1:$G$34,6,FALSE)*($G2227),""),"")</f>
        <v/>
      </c>
      <c r="I2227" t="str">
        <f>IFERROR(VLOOKUP($E2227,'Fuel Category and Heat Rate'!$K$2:$M$36,3,FALSE),"")</f>
        <v>heavy or residual fuel oil</v>
      </c>
    </row>
    <row r="2228" spans="1:9" x14ac:dyDescent="0.15">
      <c r="A2228" s="2">
        <v>244452</v>
      </c>
      <c r="B2228" s="2" t="s">
        <v>78</v>
      </c>
      <c r="C2228" s="2">
        <v>2018</v>
      </c>
      <c r="D2228" s="2" t="s">
        <v>1</v>
      </c>
      <c r="E2228" s="2" t="s">
        <v>21</v>
      </c>
      <c r="F2228" s="2" t="s">
        <v>35</v>
      </c>
      <c r="G2228" s="7"/>
      <c r="H2228" s="13" t="str">
        <f>IFERROR(IF(ABS($G2228)&gt;0,VLOOKUP($E2228,'Fuel Category and Heat Rate'!$B$1:$G$34,6,FALSE)*($G2228),""),"")</f>
        <v/>
      </c>
      <c r="I2228" t="str">
        <f>IFERROR(VLOOKUP($E2228,'Fuel Category and Heat Rate'!$K$2:$M$36,3,FALSE),"")</f>
        <v>LPG propane or butane</v>
      </c>
    </row>
    <row r="2229" spans="1:9" x14ac:dyDescent="0.15">
      <c r="A2229" s="2">
        <v>244487</v>
      </c>
      <c r="B2229" s="2" t="s">
        <v>78</v>
      </c>
      <c r="C2229" s="2">
        <v>2018</v>
      </c>
      <c r="D2229" s="2" t="s">
        <v>1</v>
      </c>
      <c r="E2229" s="2" t="s">
        <v>22</v>
      </c>
      <c r="F2229" s="2" t="s">
        <v>35</v>
      </c>
      <c r="G2229" s="7"/>
      <c r="H2229" s="13" t="str">
        <f>IFERROR(IF(ABS($G2229)&gt;0,VLOOKUP($E2229,'Fuel Category and Heat Rate'!$B$1:$G$34,6,FALSE)*($G2229),""),"")</f>
        <v/>
      </c>
      <c r="I2229" t="str">
        <f>IFERROR(VLOOKUP($E2229,'Fuel Category and Heat Rate'!$K$2:$M$36,3,FALSE),"")</f>
        <v>heavy fuel oil</v>
      </c>
    </row>
    <row r="2230" spans="1:9" x14ac:dyDescent="0.15">
      <c r="A2230" s="2">
        <v>244522</v>
      </c>
      <c r="B2230" s="2" t="s">
        <v>78</v>
      </c>
      <c r="C2230" s="2">
        <v>2018</v>
      </c>
      <c r="D2230" s="2" t="s">
        <v>1</v>
      </c>
      <c r="E2230" s="2" t="s">
        <v>20</v>
      </c>
      <c r="F2230" s="2" t="s">
        <v>35</v>
      </c>
      <c r="G2230" s="7"/>
      <c r="H2230" s="13" t="str">
        <f>IFERROR(IF(ABS($G2230)&gt;0,VLOOKUP($E2230,'Fuel Category and Heat Rate'!$B$1:$G$34,6,FALSE)*($G2230),""),"")</f>
        <v/>
      </c>
      <c r="I2230" t="str">
        <f>IFERROR(VLOOKUP($E2230,'Fuel Category and Heat Rate'!$K$2:$M$36,3,FALSE),"")</f>
        <v>LPG propane or butane</v>
      </c>
    </row>
    <row r="2231" spans="1:9" x14ac:dyDescent="0.15">
      <c r="A2231" s="2">
        <v>244557</v>
      </c>
      <c r="B2231" s="2" t="s">
        <v>78</v>
      </c>
      <c r="C2231" s="2">
        <v>2018</v>
      </c>
      <c r="D2231" s="2" t="s">
        <v>1</v>
      </c>
      <c r="E2231" s="2" t="s">
        <v>25</v>
      </c>
      <c r="F2231" s="2" t="s">
        <v>35</v>
      </c>
      <c r="G2231" s="7"/>
      <c r="H2231" s="13" t="str">
        <f>IFERROR(IF(ABS($G2231)&gt;0,VLOOKUP($E2231,'Fuel Category and Heat Rate'!$B$1:$G$34,6,FALSE)*($G2231),""),"")</f>
        <v/>
      </c>
      <c r="I2231" t="str">
        <f>IFERROR(VLOOKUP($E2231,'Fuel Category and Heat Rate'!$K$2:$M$36,3,FALSE),"")</f>
        <v>heavy fuel oil</v>
      </c>
    </row>
    <row r="2232" spans="1:9" x14ac:dyDescent="0.15">
      <c r="A2232" s="2">
        <v>244592</v>
      </c>
      <c r="B2232" s="2" t="s">
        <v>78</v>
      </c>
      <c r="C2232" s="2">
        <v>2018</v>
      </c>
      <c r="D2232" s="2" t="s">
        <v>1</v>
      </c>
      <c r="E2232" s="2" t="s">
        <v>24</v>
      </c>
      <c r="F2232" s="2" t="s">
        <v>35</v>
      </c>
      <c r="G2232" s="7"/>
      <c r="H2232" s="13" t="str">
        <f>IFERROR(IF(ABS($G2232)&gt;0,VLOOKUP($E2232,'Fuel Category and Heat Rate'!$B$1:$G$34,6,FALSE)*($G2232),""),"")</f>
        <v/>
      </c>
      <c r="I2232" t="str">
        <f>IFERROR(VLOOKUP($E2232,'Fuel Category and Heat Rate'!$K$2:$M$36,3,FALSE),"")</f>
        <v>heavy fuel oil</v>
      </c>
    </row>
    <row r="2233" spans="1:9" x14ac:dyDescent="0.15">
      <c r="A2233" s="2">
        <v>244627</v>
      </c>
      <c r="B2233" s="2" t="s">
        <v>78</v>
      </c>
      <c r="C2233" s="2">
        <v>2018</v>
      </c>
      <c r="D2233" s="2" t="s">
        <v>1</v>
      </c>
      <c r="E2233" s="2" t="s">
        <v>29</v>
      </c>
      <c r="F2233" s="2" t="s">
        <v>36</v>
      </c>
      <c r="G2233" s="7">
        <v>-0.53</v>
      </c>
      <c r="H2233" s="13">
        <f>IFERROR(IF(ABS($G2233)&gt;0,VLOOKUP($E2233,'Fuel Category and Heat Rate'!$B$1:$G$34,6,FALSE)*($G2233),""),"")</f>
        <v>-1787562715281.8499</v>
      </c>
      <c r="I2233" t="str">
        <f>IFERROR(VLOOKUP($E2233,'Fuel Category and Heat Rate'!$K$2:$M$36,3,FALSE),"")</f>
        <v>natural gas</v>
      </c>
    </row>
    <row r="2234" spans="1:9" x14ac:dyDescent="0.15">
      <c r="A2234" s="2">
        <v>244662</v>
      </c>
      <c r="B2234" s="2" t="s">
        <v>78</v>
      </c>
      <c r="C2234" s="2">
        <v>2018</v>
      </c>
      <c r="D2234" s="2" t="s">
        <v>1</v>
      </c>
      <c r="E2234" s="2" t="s">
        <v>4</v>
      </c>
      <c r="F2234" s="2" t="s">
        <v>35</v>
      </c>
      <c r="G2234" s="7"/>
      <c r="H2234" s="13" t="str">
        <f>IFERROR(IF(ABS($G2234)&gt;0,VLOOKUP($E2234,'Fuel Category and Heat Rate'!$B$1:$G$34,6,FALSE)*($G2234),""),"")</f>
        <v/>
      </c>
      <c r="I2234" t="str">
        <f>IFERROR(VLOOKUP($E2234,'Fuel Category and Heat Rate'!$K$2:$M$36,3,FALSE),"")</f>
        <v>coal</v>
      </c>
    </row>
    <row r="2235" spans="1:9" x14ac:dyDescent="0.15">
      <c r="A2235" s="2">
        <v>244697</v>
      </c>
      <c r="B2235" s="2" t="s">
        <v>78</v>
      </c>
      <c r="C2235" s="2">
        <v>2018</v>
      </c>
      <c r="D2235" s="2" t="s">
        <v>1</v>
      </c>
      <c r="E2235" s="2" t="s">
        <v>6</v>
      </c>
      <c r="F2235" s="2" t="s">
        <v>35</v>
      </c>
      <c r="G2235" s="7"/>
      <c r="H2235" s="13" t="str">
        <f>IFERROR(IF(ABS($G2235)&gt;0,VLOOKUP($E2235,'Fuel Category and Heat Rate'!$B$1:$G$34,6,FALSE)*($G2235),""),"")</f>
        <v/>
      </c>
      <c r="I2235" t="str">
        <f>IFERROR(VLOOKUP($E2235,'Fuel Category and Heat Rate'!$K$2:$M$36,3,FALSE),"")</f>
        <v>coal</v>
      </c>
    </row>
    <row r="2236" spans="1:9" x14ac:dyDescent="0.15">
      <c r="A2236" s="2">
        <v>244732</v>
      </c>
      <c r="B2236" s="2" t="s">
        <v>78</v>
      </c>
      <c r="C2236" s="2">
        <v>2018</v>
      </c>
      <c r="D2236" s="2" t="s">
        <v>1</v>
      </c>
      <c r="E2236" s="2" t="s">
        <v>26</v>
      </c>
      <c r="F2236" s="2" t="s">
        <v>35</v>
      </c>
      <c r="G2236" s="7"/>
      <c r="H2236" s="13" t="str">
        <f>IFERROR(IF(ABS($G2236)&gt;0,VLOOKUP($E2236,'Fuel Category and Heat Rate'!$B$1:$G$34,6,FALSE)*($G2236),""),"")</f>
        <v/>
      </c>
      <c r="I2236" t="str">
        <f>IFERROR(VLOOKUP($E2236,'Fuel Category and Heat Rate'!$K$2:$M$36,3,FALSE),"")</f>
        <v>LPG propane or butane</v>
      </c>
    </row>
    <row r="2237" spans="1:9" x14ac:dyDescent="0.15">
      <c r="A2237" s="2">
        <v>244767</v>
      </c>
      <c r="B2237" s="2" t="s">
        <v>78</v>
      </c>
      <c r="C2237" s="2">
        <v>2018</v>
      </c>
      <c r="D2237" s="2" t="s">
        <v>1</v>
      </c>
      <c r="E2237" s="2" t="s">
        <v>30</v>
      </c>
      <c r="F2237" s="2" t="s">
        <v>35</v>
      </c>
      <c r="G2237" s="7"/>
      <c r="H2237" s="13" t="str">
        <f>IFERROR(IF(ABS($G2237)&gt;0,VLOOKUP($E2237,'Fuel Category and Heat Rate'!$B$1:$G$34,6,FALSE)*($G2237),""),"")</f>
        <v/>
      </c>
      <c r="I2237" t="str">
        <f>IFERROR(VLOOKUP($E2237,'Fuel Category and Heat Rate'!$K$2:$M$36,3,FALSE),"")</f>
        <v>natural gas</v>
      </c>
    </row>
    <row r="2238" spans="1:9" x14ac:dyDescent="0.15">
      <c r="A2238" s="2">
        <v>244802</v>
      </c>
      <c r="B2238" s="2" t="s">
        <v>78</v>
      </c>
      <c r="C2238" s="2">
        <v>2018</v>
      </c>
      <c r="D2238" s="2" t="s">
        <v>1</v>
      </c>
      <c r="E2238" s="2" t="s">
        <v>14</v>
      </c>
      <c r="F2238" s="2" t="s">
        <v>35</v>
      </c>
      <c r="G2238" s="7">
        <v>-3.58</v>
      </c>
      <c r="H2238" s="13">
        <f>IFERROR(IF(ABS($G2238)&gt;0,VLOOKUP($E2238,'Fuel Category and Heat Rate'!$B$1:$G$34,6,FALSE)*($G2238),""),"")</f>
        <v>0</v>
      </c>
      <c r="I2238" t="str">
        <f>IFERROR(VLOOKUP($E2238,'Fuel Category and Heat Rate'!$K$2:$M$36,3,FALSE),"")</f>
        <v/>
      </c>
    </row>
    <row r="2239" spans="1:9" x14ac:dyDescent="0.15">
      <c r="A2239" s="2">
        <v>244837</v>
      </c>
      <c r="B2239" s="2" t="s">
        <v>78</v>
      </c>
      <c r="C2239" s="2">
        <v>2018</v>
      </c>
      <c r="D2239" s="2" t="s">
        <v>1</v>
      </c>
      <c r="E2239" s="2" t="s">
        <v>3</v>
      </c>
      <c r="F2239" s="2" t="s">
        <v>35</v>
      </c>
      <c r="G2239" s="7">
        <v>-2411.7800000000002</v>
      </c>
      <c r="H2239" s="13">
        <f>IFERROR(IF(ABS($G2239)&gt;0,VLOOKUP($E2239,'Fuel Category and Heat Rate'!$B$1:$G$34,6,FALSE)*($G2239),""),"")</f>
        <v>-477941487552531.06</v>
      </c>
      <c r="I2239" t="str">
        <f>IFERROR(VLOOKUP($E2239,'Fuel Category and Heat Rate'!$K$2:$M$36,3,FALSE),"")</f>
        <v>coal</v>
      </c>
    </row>
    <row r="2240" spans="1:9" x14ac:dyDescent="0.15">
      <c r="A2240" s="2">
        <v>244872</v>
      </c>
      <c r="B2240" s="2" t="s">
        <v>78</v>
      </c>
      <c r="C2240" s="2">
        <v>2018</v>
      </c>
      <c r="D2240" s="2" t="s">
        <v>1</v>
      </c>
      <c r="E2240" s="2" t="s">
        <v>15</v>
      </c>
      <c r="F2240" s="2" t="s">
        <v>35</v>
      </c>
      <c r="G2240" s="7"/>
      <c r="H2240" s="13" t="str">
        <f>IFERROR(IF(ABS($G2240)&gt;0,VLOOKUP($E2240,'Fuel Category and Heat Rate'!$B$1:$G$34,6,FALSE)*($G2240),""),"")</f>
        <v/>
      </c>
      <c r="I2240" t="str">
        <f>IFERROR(VLOOKUP($E2240,'Fuel Category and Heat Rate'!$K$2:$M$36,3,FALSE),"")</f>
        <v>crude oil</v>
      </c>
    </row>
    <row r="2241" spans="1:9" x14ac:dyDescent="0.15">
      <c r="A2241" s="2">
        <v>244907</v>
      </c>
      <c r="B2241" s="2" t="s">
        <v>78</v>
      </c>
      <c r="C2241" s="2">
        <v>2018</v>
      </c>
      <c r="D2241" s="2" t="s">
        <v>1</v>
      </c>
      <c r="E2241" s="2" t="s">
        <v>11</v>
      </c>
      <c r="F2241" s="2" t="s">
        <v>36</v>
      </c>
      <c r="G2241" s="7"/>
      <c r="H2241" s="13" t="str">
        <f>IFERROR(IF(ABS($G2241)&gt;0,VLOOKUP($E2241,'Fuel Category and Heat Rate'!$B$1:$G$34,6,FALSE)*($G2241),""),"")</f>
        <v/>
      </c>
      <c r="I2241" t="str">
        <f>IFERROR(VLOOKUP($E2241,'Fuel Category and Heat Rate'!$K$2:$M$36,3,FALSE),"")</f>
        <v>LPG propane or butane</v>
      </c>
    </row>
    <row r="2242" spans="1:9" x14ac:dyDescent="0.15">
      <c r="A2242" s="2">
        <v>257752</v>
      </c>
      <c r="B2242" s="2" t="s">
        <v>79</v>
      </c>
      <c r="C2242" s="2">
        <v>2022</v>
      </c>
      <c r="D2242" s="2" t="s">
        <v>1</v>
      </c>
      <c r="E2242" s="2" t="s">
        <v>18</v>
      </c>
      <c r="F2242" s="2" t="s">
        <v>35</v>
      </c>
      <c r="G2242" s="7"/>
      <c r="H2242" s="13" t="str">
        <f>IFERROR(IF(ABS($G2242)&gt;0,VLOOKUP($E2242,'Fuel Category and Heat Rate'!$B$1:$G$34,6,FALSE)*($G2242),""),"")</f>
        <v/>
      </c>
      <c r="I2242" t="str">
        <f>IFERROR(VLOOKUP($E2242,'Fuel Category and Heat Rate'!$K$2:$M$36,3,FALSE),"")</f>
        <v>petroleum diesel</v>
      </c>
    </row>
    <row r="2243" spans="1:9" x14ac:dyDescent="0.15">
      <c r="A2243" s="2">
        <v>257787</v>
      </c>
      <c r="B2243" s="2" t="s">
        <v>79</v>
      </c>
      <c r="C2243" s="2">
        <v>2022</v>
      </c>
      <c r="D2243" s="2" t="s">
        <v>1</v>
      </c>
      <c r="E2243" s="2" t="s">
        <v>32</v>
      </c>
      <c r="F2243" s="2" t="s">
        <v>65</v>
      </c>
      <c r="G2243" s="7"/>
      <c r="H2243" s="13" t="str">
        <f>IFERROR(IF(ABS($G2243)&gt;0,VLOOKUP($E2243,'Fuel Category and Heat Rate'!$B$1:$G$34,6,FALSE)*($G2243),""),"")</f>
        <v/>
      </c>
      <c r="I2243" t="str">
        <f>IFERROR(VLOOKUP($E2243,'Fuel Category and Heat Rate'!$K$2:$M$36,3,FALSE),"")</f>
        <v>electricity</v>
      </c>
    </row>
    <row r="2244" spans="1:9" x14ac:dyDescent="0.15">
      <c r="A2244" s="2">
        <v>257822</v>
      </c>
      <c r="B2244" s="2" t="s">
        <v>79</v>
      </c>
      <c r="C2244" s="2">
        <v>2022</v>
      </c>
      <c r="D2244" s="2" t="s">
        <v>1</v>
      </c>
      <c r="E2244" s="2" t="s">
        <v>10</v>
      </c>
      <c r="F2244" s="2" t="s">
        <v>36</v>
      </c>
      <c r="G2244" s="7">
        <v>-42.51</v>
      </c>
      <c r="H2244" s="13">
        <f>IFERROR(IF(ABS($G2244)&gt;0,VLOOKUP($E2244,'Fuel Category and Heat Rate'!$B$1:$G$34,6,FALSE)*($G2244),""),"")</f>
        <v>-15161768924365.473</v>
      </c>
      <c r="I2244" t="str">
        <f>IFERROR(VLOOKUP($E2244,'Fuel Category and Heat Rate'!$K$2:$M$36,3,FALSE),"")</f>
        <v>LPG propane or butane</v>
      </c>
    </row>
    <row r="2245" spans="1:9" x14ac:dyDescent="0.15">
      <c r="A2245" s="2">
        <v>257857</v>
      </c>
      <c r="B2245" s="2" t="s">
        <v>79</v>
      </c>
      <c r="C2245" s="2">
        <v>2022</v>
      </c>
      <c r="D2245" s="2" t="s">
        <v>1</v>
      </c>
      <c r="E2245" s="2" t="s">
        <v>9</v>
      </c>
      <c r="F2245" s="2" t="s">
        <v>36</v>
      </c>
      <c r="G2245" s="7">
        <v>-1.39</v>
      </c>
      <c r="H2245" s="13">
        <f>IFERROR(IF(ABS($G2245)&gt;0,VLOOKUP($E2245,'Fuel Category and Heat Rate'!$B$1:$G$34,6,FALSE)*($G2245),""),"")</f>
        <v>-2286264276910.0801</v>
      </c>
      <c r="I2245" t="str">
        <f>IFERROR(VLOOKUP($E2245,'Fuel Category and Heat Rate'!$K$2:$M$36,3,FALSE),"")</f>
        <v>LPG propane or butane</v>
      </c>
    </row>
    <row r="2246" spans="1:9" x14ac:dyDescent="0.15">
      <c r="A2246" s="2">
        <v>257892</v>
      </c>
      <c r="B2246" s="2" t="s">
        <v>79</v>
      </c>
      <c r="C2246" s="2">
        <v>2022</v>
      </c>
      <c r="D2246" s="2" t="s">
        <v>1</v>
      </c>
      <c r="E2246" s="2" t="s">
        <v>8</v>
      </c>
      <c r="F2246" s="2" t="s">
        <v>35</v>
      </c>
      <c r="G2246" s="7"/>
      <c r="H2246" s="13" t="str">
        <f>IFERROR(IF(ABS($G2246)&gt;0,VLOOKUP($E2246,'Fuel Category and Heat Rate'!$B$1:$G$34,6,FALSE)*($G2246),""),"")</f>
        <v/>
      </c>
      <c r="I2246" t="str">
        <f>IFERROR(VLOOKUP($E2246,'Fuel Category and Heat Rate'!$K$2:$M$36,3,FALSE),"")</f>
        <v>coal</v>
      </c>
    </row>
    <row r="2247" spans="1:9" x14ac:dyDescent="0.15">
      <c r="A2247" s="2">
        <v>257927</v>
      </c>
      <c r="B2247" s="2" t="s">
        <v>79</v>
      </c>
      <c r="C2247" s="2">
        <v>2022</v>
      </c>
      <c r="D2247" s="2" t="s">
        <v>1</v>
      </c>
      <c r="E2247" s="2" t="s">
        <v>27</v>
      </c>
      <c r="F2247" s="2" t="s">
        <v>35</v>
      </c>
      <c r="G2247" s="7">
        <v>-2.84</v>
      </c>
      <c r="H2247" s="13">
        <f>IFERROR(IF(ABS($G2247)&gt;0,VLOOKUP($E2247,'Fuel Category and Heat Rate'!$B$1:$G$34,6,FALSE)*($G2247),""),"")</f>
        <v>-1238174453039.6187</v>
      </c>
      <c r="I2247" t="str">
        <f>IFERROR(VLOOKUP($E2247,'Fuel Category and Heat Rate'!$K$2:$M$36,3,FALSE),"")</f>
        <v>LPG propane or butane</v>
      </c>
    </row>
    <row r="2248" spans="1:9" x14ac:dyDescent="0.15">
      <c r="A2248" s="2">
        <v>257962</v>
      </c>
      <c r="B2248" s="2" t="s">
        <v>79</v>
      </c>
      <c r="C2248" s="2">
        <v>2022</v>
      </c>
      <c r="D2248" s="2" t="s">
        <v>1</v>
      </c>
      <c r="E2248" s="2" t="s">
        <v>7</v>
      </c>
      <c r="F2248" s="2" t="s">
        <v>35</v>
      </c>
      <c r="G2248" s="7"/>
      <c r="H2248" s="13" t="str">
        <f>IFERROR(IF(ABS($G2248)&gt;0,VLOOKUP($E2248,'Fuel Category and Heat Rate'!$B$1:$G$34,6,FALSE)*($G2248),""),"")</f>
        <v/>
      </c>
      <c r="I2248" t="str">
        <f>IFERROR(VLOOKUP($E2248,'Fuel Category and Heat Rate'!$K$2:$M$36,3,FALSE),"")</f>
        <v>coal</v>
      </c>
    </row>
    <row r="2249" spans="1:9" x14ac:dyDescent="0.15">
      <c r="A2249" s="2">
        <v>257997</v>
      </c>
      <c r="B2249" s="2" t="s">
        <v>79</v>
      </c>
      <c r="C2249" s="2">
        <v>2022</v>
      </c>
      <c r="D2249" s="2" t="s">
        <v>1</v>
      </c>
      <c r="E2249" s="2" t="s">
        <v>2</v>
      </c>
      <c r="F2249" s="2" t="s">
        <v>35</v>
      </c>
      <c r="G2249" s="7">
        <v>-3950.11</v>
      </c>
      <c r="H2249" s="13">
        <f>IFERROR(IF(ABS($G2249)&gt;0,VLOOKUP($E2249,'Fuel Category and Heat Rate'!$B$1:$G$34,6,FALSE)*($G2249),""),"")</f>
        <v>0</v>
      </c>
      <c r="I2249" t="str">
        <f>IFERROR(VLOOKUP($E2249,'Fuel Category and Heat Rate'!$K$2:$M$36,3,FALSE),"")</f>
        <v/>
      </c>
    </row>
    <row r="2250" spans="1:9" x14ac:dyDescent="0.15">
      <c r="A2250" s="2">
        <v>258032</v>
      </c>
      <c r="B2250" s="2" t="s">
        <v>79</v>
      </c>
      <c r="C2250" s="2">
        <v>2022</v>
      </c>
      <c r="D2250" s="2" t="s">
        <v>1</v>
      </c>
      <c r="E2250" s="2" t="s">
        <v>17</v>
      </c>
      <c r="F2250" s="2" t="s">
        <v>35</v>
      </c>
      <c r="G2250" s="7"/>
      <c r="H2250" s="13" t="str">
        <f>IFERROR(IF(ABS($G2250)&gt;0,VLOOKUP($E2250,'Fuel Category and Heat Rate'!$B$1:$G$34,6,FALSE)*($G2250),""),"")</f>
        <v/>
      </c>
      <c r="I2250" t="str">
        <f>IFERROR(VLOOKUP($E2250,'Fuel Category and Heat Rate'!$K$2:$M$36,3,FALSE),"")</f>
        <v>petroleum diesel</v>
      </c>
    </row>
    <row r="2251" spans="1:9" x14ac:dyDescent="0.15">
      <c r="A2251" s="2">
        <v>258067</v>
      </c>
      <c r="B2251" s="2" t="s">
        <v>79</v>
      </c>
      <c r="C2251" s="2">
        <v>2022</v>
      </c>
      <c r="D2251" s="2" t="s">
        <v>1</v>
      </c>
      <c r="E2251" s="2" t="s">
        <v>13</v>
      </c>
      <c r="F2251" s="2" t="s">
        <v>35</v>
      </c>
      <c r="G2251" s="7"/>
      <c r="H2251" s="13" t="str">
        <f>IFERROR(IF(ABS($G2251)&gt;0,VLOOKUP($E2251,'Fuel Category and Heat Rate'!$B$1:$G$34,6,FALSE)*($G2251),""),"")</f>
        <v/>
      </c>
      <c r="I2251" t="str">
        <f>IFERROR(VLOOKUP($E2251,'Fuel Category and Heat Rate'!$K$2:$M$36,3,FALSE),"")</f>
        <v>petroleum diesel</v>
      </c>
    </row>
    <row r="2252" spans="1:9" x14ac:dyDescent="0.15">
      <c r="A2252" s="2">
        <v>258102</v>
      </c>
      <c r="B2252" s="2" t="s">
        <v>79</v>
      </c>
      <c r="C2252" s="2">
        <v>2022</v>
      </c>
      <c r="D2252" s="2" t="s">
        <v>1</v>
      </c>
      <c r="E2252" s="2" t="s">
        <v>12</v>
      </c>
      <c r="F2252" s="2" t="s">
        <v>36</v>
      </c>
      <c r="G2252" s="7"/>
      <c r="H2252" s="13" t="str">
        <f>IFERROR(IF(ABS($G2252)&gt;0,VLOOKUP($E2252,'Fuel Category and Heat Rate'!$B$1:$G$34,6,FALSE)*($G2252),""),"")</f>
        <v/>
      </c>
      <c r="I2252" t="str">
        <f>IFERROR(VLOOKUP($E2252,'Fuel Category and Heat Rate'!$K$2:$M$36,3,FALSE),"")</f>
        <v>LPG propane or butane</v>
      </c>
    </row>
    <row r="2253" spans="1:9" x14ac:dyDescent="0.15">
      <c r="A2253" s="2">
        <v>258137</v>
      </c>
      <c r="B2253" s="2" t="s">
        <v>79</v>
      </c>
      <c r="C2253" s="2">
        <v>2022</v>
      </c>
      <c r="D2253" s="2" t="s">
        <v>1</v>
      </c>
      <c r="E2253" s="2" t="s">
        <v>33</v>
      </c>
      <c r="F2253" s="2" t="s">
        <v>38</v>
      </c>
      <c r="G2253" s="7">
        <v>-88.85</v>
      </c>
      <c r="H2253" s="13">
        <f>IFERROR(IF(ABS($G2253)&gt;0,VLOOKUP($E2253,'Fuel Category and Heat Rate'!$B$1:$G$34,6,FALSE)*($G2253),""),"")</f>
        <v>-24650148615355.289</v>
      </c>
      <c r="I2253" t="str">
        <f>IFERROR(VLOOKUP($E2253,'Fuel Category and Heat Rate'!$K$2:$M$36,3,FALSE),"")</f>
        <v>biomass</v>
      </c>
    </row>
    <row r="2254" spans="1:9" x14ac:dyDescent="0.15">
      <c r="A2254" s="2">
        <v>258172</v>
      </c>
      <c r="B2254" s="2" t="s">
        <v>79</v>
      </c>
      <c r="C2254" s="2">
        <v>2022</v>
      </c>
      <c r="D2254" s="2" t="s">
        <v>1</v>
      </c>
      <c r="E2254" s="2" t="s">
        <v>28</v>
      </c>
      <c r="F2254" s="2" t="s">
        <v>35</v>
      </c>
      <c r="G2254" s="7"/>
      <c r="H2254" s="13" t="str">
        <f>IFERROR(IF(ABS($G2254)&gt;0,VLOOKUP($E2254,'Fuel Category and Heat Rate'!$B$1:$G$34,6,FALSE)*($G2254),""),"")</f>
        <v/>
      </c>
      <c r="I2254" t="str">
        <f>IFERROR(VLOOKUP($E2254,'Fuel Category and Heat Rate'!$K$2:$M$36,3,FALSE),"")</f>
        <v>heavy or residual fuel oil</v>
      </c>
    </row>
    <row r="2255" spans="1:9" x14ac:dyDescent="0.15">
      <c r="A2255" s="2">
        <v>258207</v>
      </c>
      <c r="B2255" s="2" t="s">
        <v>79</v>
      </c>
      <c r="C2255" s="2">
        <v>2022</v>
      </c>
      <c r="D2255" s="2" t="s">
        <v>1</v>
      </c>
      <c r="E2255" s="2" t="s">
        <v>5</v>
      </c>
      <c r="F2255" s="2" t="s">
        <v>35</v>
      </c>
      <c r="G2255" s="7">
        <v>-99.64</v>
      </c>
      <c r="H2255" s="13">
        <f>IFERROR(IF(ABS($G2255)&gt;0,VLOOKUP($E2255,'Fuel Category and Heat Rate'!$B$1:$G$34,6,FALSE)*($G2255),""),"")</f>
        <v>-7898058856315.5205</v>
      </c>
      <c r="I2255" t="str">
        <f>IFERROR(VLOOKUP($E2255,'Fuel Category and Heat Rate'!$K$2:$M$36,3,FALSE),"")</f>
        <v>coal</v>
      </c>
    </row>
    <row r="2256" spans="1:9" x14ac:dyDescent="0.15">
      <c r="A2256" s="2">
        <v>258242</v>
      </c>
      <c r="B2256" s="2" t="s">
        <v>79</v>
      </c>
      <c r="C2256" s="2">
        <v>2022</v>
      </c>
      <c r="D2256" s="2" t="s">
        <v>1</v>
      </c>
      <c r="E2256" s="2" t="s">
        <v>16</v>
      </c>
      <c r="F2256" s="2" t="s">
        <v>35</v>
      </c>
      <c r="G2256" s="7"/>
      <c r="H2256" s="13" t="str">
        <f>IFERROR(IF(ABS($G2256)&gt;0,VLOOKUP($E2256,'Fuel Category and Heat Rate'!$B$1:$G$34,6,FALSE)*($G2256),""),"")</f>
        <v/>
      </c>
      <c r="I2256" t="str">
        <f>IFERROR(VLOOKUP($E2256,'Fuel Category and Heat Rate'!$K$2:$M$36,3,FALSE),"")</f>
        <v>petroleum diesel</v>
      </c>
    </row>
    <row r="2257" spans="1:9" x14ac:dyDescent="0.15">
      <c r="A2257" s="2">
        <v>258277</v>
      </c>
      <c r="B2257" s="2" t="s">
        <v>79</v>
      </c>
      <c r="C2257" s="2">
        <v>2022</v>
      </c>
      <c r="D2257" s="2" t="s">
        <v>1</v>
      </c>
      <c r="E2257" s="2" t="s">
        <v>19</v>
      </c>
      <c r="F2257" s="2" t="s">
        <v>35</v>
      </c>
      <c r="G2257" s="7"/>
      <c r="H2257" s="13" t="str">
        <f>IFERROR(IF(ABS($G2257)&gt;0,VLOOKUP($E2257,'Fuel Category and Heat Rate'!$B$1:$G$34,6,FALSE)*($G2257),""),"")</f>
        <v/>
      </c>
      <c r="I2257" t="str">
        <f>IFERROR(VLOOKUP($E2257,'Fuel Category and Heat Rate'!$K$2:$M$36,3,FALSE),"")</f>
        <v>heavy or residual fuel oil</v>
      </c>
    </row>
    <row r="2258" spans="1:9" x14ac:dyDescent="0.15">
      <c r="A2258" s="2">
        <v>258312</v>
      </c>
      <c r="B2258" s="2" t="s">
        <v>79</v>
      </c>
      <c r="C2258" s="2">
        <v>2022</v>
      </c>
      <c r="D2258" s="2" t="s">
        <v>1</v>
      </c>
      <c r="E2258" s="2" t="s">
        <v>31</v>
      </c>
      <c r="F2258" s="2" t="s">
        <v>37</v>
      </c>
      <c r="G2258" s="7">
        <v>63522.37</v>
      </c>
      <c r="H2258" s="13">
        <f>IFERROR(IF(ABS($G2258)&gt;0,VLOOKUP($E2258,'Fuel Category and Heat Rate'!$B$1:$G$34,6,FALSE)*($G2258),""),"")</f>
        <v>602075899583894.13</v>
      </c>
      <c r="I2258" t="str">
        <f>IFERROR(VLOOKUP($E2258,'Fuel Category and Heat Rate'!$K$2:$M$36,3,FALSE),"")</f>
        <v>heat</v>
      </c>
    </row>
    <row r="2259" spans="1:9" x14ac:dyDescent="0.15">
      <c r="A2259" s="2">
        <v>258347</v>
      </c>
      <c r="B2259" s="2" t="s">
        <v>79</v>
      </c>
      <c r="C2259" s="2">
        <v>2022</v>
      </c>
      <c r="D2259" s="2" t="s">
        <v>1</v>
      </c>
      <c r="E2259" s="2" t="s">
        <v>23</v>
      </c>
      <c r="F2259" s="2" t="s">
        <v>35</v>
      </c>
      <c r="G2259" s="7"/>
      <c r="H2259" s="13" t="str">
        <f>IFERROR(IF(ABS($G2259)&gt;0,VLOOKUP($E2259,'Fuel Category and Heat Rate'!$B$1:$G$34,6,FALSE)*($G2259),""),"")</f>
        <v/>
      </c>
      <c r="I2259" t="str">
        <f>IFERROR(VLOOKUP($E2259,'Fuel Category and Heat Rate'!$K$2:$M$36,3,FALSE),"")</f>
        <v>heavy or residual fuel oil</v>
      </c>
    </row>
    <row r="2260" spans="1:9" x14ac:dyDescent="0.15">
      <c r="A2260" s="2">
        <v>258382</v>
      </c>
      <c r="B2260" s="2" t="s">
        <v>79</v>
      </c>
      <c r="C2260" s="2">
        <v>2022</v>
      </c>
      <c r="D2260" s="2" t="s">
        <v>1</v>
      </c>
      <c r="E2260" s="2" t="s">
        <v>21</v>
      </c>
      <c r="F2260" s="2" t="s">
        <v>35</v>
      </c>
      <c r="G2260" s="7"/>
      <c r="H2260" s="13" t="str">
        <f>IFERROR(IF(ABS($G2260)&gt;0,VLOOKUP($E2260,'Fuel Category and Heat Rate'!$B$1:$G$34,6,FALSE)*($G2260),""),"")</f>
        <v/>
      </c>
      <c r="I2260" t="str">
        <f>IFERROR(VLOOKUP($E2260,'Fuel Category and Heat Rate'!$K$2:$M$36,3,FALSE),"")</f>
        <v>LPG propane or butane</v>
      </c>
    </row>
    <row r="2261" spans="1:9" x14ac:dyDescent="0.15">
      <c r="A2261" s="2">
        <v>258417</v>
      </c>
      <c r="B2261" s="2" t="s">
        <v>79</v>
      </c>
      <c r="C2261" s="2">
        <v>2022</v>
      </c>
      <c r="D2261" s="2" t="s">
        <v>1</v>
      </c>
      <c r="E2261" s="2" t="s">
        <v>22</v>
      </c>
      <c r="F2261" s="2" t="s">
        <v>35</v>
      </c>
      <c r="G2261" s="7"/>
      <c r="H2261" s="13" t="str">
        <f>IFERROR(IF(ABS($G2261)&gt;0,VLOOKUP($E2261,'Fuel Category and Heat Rate'!$B$1:$G$34,6,FALSE)*($G2261),""),"")</f>
        <v/>
      </c>
      <c r="I2261" t="str">
        <f>IFERROR(VLOOKUP($E2261,'Fuel Category and Heat Rate'!$K$2:$M$36,3,FALSE),"")</f>
        <v>heavy fuel oil</v>
      </c>
    </row>
    <row r="2262" spans="1:9" x14ac:dyDescent="0.15">
      <c r="A2262" s="2">
        <v>258452</v>
      </c>
      <c r="B2262" s="2" t="s">
        <v>79</v>
      </c>
      <c r="C2262" s="2">
        <v>2022</v>
      </c>
      <c r="D2262" s="2" t="s">
        <v>1</v>
      </c>
      <c r="E2262" s="2" t="s">
        <v>20</v>
      </c>
      <c r="F2262" s="2" t="s">
        <v>35</v>
      </c>
      <c r="G2262" s="7"/>
      <c r="H2262" s="13" t="str">
        <f>IFERROR(IF(ABS($G2262)&gt;0,VLOOKUP($E2262,'Fuel Category and Heat Rate'!$B$1:$G$34,6,FALSE)*($G2262),""),"")</f>
        <v/>
      </c>
      <c r="I2262" t="str">
        <f>IFERROR(VLOOKUP($E2262,'Fuel Category and Heat Rate'!$K$2:$M$36,3,FALSE),"")</f>
        <v>LPG propane or butane</v>
      </c>
    </row>
    <row r="2263" spans="1:9" x14ac:dyDescent="0.15">
      <c r="A2263" s="2">
        <v>258487</v>
      </c>
      <c r="B2263" s="2" t="s">
        <v>79</v>
      </c>
      <c r="C2263" s="2">
        <v>2022</v>
      </c>
      <c r="D2263" s="2" t="s">
        <v>1</v>
      </c>
      <c r="E2263" s="2" t="s">
        <v>25</v>
      </c>
      <c r="F2263" s="2" t="s">
        <v>35</v>
      </c>
      <c r="G2263" s="7">
        <v>-0.25</v>
      </c>
      <c r="H2263" s="13">
        <f>IFERROR(IF(ABS($G2263)&gt;0,VLOOKUP($E2263,'Fuel Category and Heat Rate'!$B$1:$G$34,6,FALSE)*($G2263),""),"")</f>
        <v>-75699784044.607681</v>
      </c>
      <c r="I2263" t="str">
        <f>IFERROR(VLOOKUP($E2263,'Fuel Category and Heat Rate'!$K$2:$M$36,3,FALSE),"")</f>
        <v>heavy fuel oil</v>
      </c>
    </row>
    <row r="2264" spans="1:9" x14ac:dyDescent="0.15">
      <c r="A2264" s="2">
        <v>258522</v>
      </c>
      <c r="B2264" s="2" t="s">
        <v>79</v>
      </c>
      <c r="C2264" s="2">
        <v>2022</v>
      </c>
      <c r="D2264" s="2" t="s">
        <v>1</v>
      </c>
      <c r="E2264" s="2" t="s">
        <v>24</v>
      </c>
      <c r="F2264" s="2" t="s">
        <v>35</v>
      </c>
      <c r="G2264" s="7"/>
      <c r="H2264" s="13" t="str">
        <f>IFERROR(IF(ABS($G2264)&gt;0,VLOOKUP($E2264,'Fuel Category and Heat Rate'!$B$1:$G$34,6,FALSE)*($G2264),""),"")</f>
        <v/>
      </c>
      <c r="I2264" t="str">
        <f>IFERROR(VLOOKUP($E2264,'Fuel Category and Heat Rate'!$K$2:$M$36,3,FALSE),"")</f>
        <v>heavy fuel oil</v>
      </c>
    </row>
    <row r="2265" spans="1:9" x14ac:dyDescent="0.15">
      <c r="A2265" s="2">
        <v>258557</v>
      </c>
      <c r="B2265" s="2" t="s">
        <v>79</v>
      </c>
      <c r="C2265" s="2">
        <v>2022</v>
      </c>
      <c r="D2265" s="2" t="s">
        <v>1</v>
      </c>
      <c r="E2265" s="2" t="s">
        <v>29</v>
      </c>
      <c r="F2265" s="2" t="s">
        <v>36</v>
      </c>
      <c r="G2265" s="7">
        <v>-25.33</v>
      </c>
      <c r="H2265" s="13">
        <f>IFERROR(IF(ABS($G2265)&gt;0,VLOOKUP($E2265,'Fuel Category and Heat Rate'!$B$1:$G$34,6,FALSE)*($G2265),""),"")</f>
        <v>-85432006751111.797</v>
      </c>
      <c r="I2265" t="str">
        <f>IFERROR(VLOOKUP($E2265,'Fuel Category and Heat Rate'!$K$2:$M$36,3,FALSE),"")</f>
        <v>natural gas</v>
      </c>
    </row>
    <row r="2266" spans="1:9" x14ac:dyDescent="0.15">
      <c r="A2266" s="2">
        <v>258592</v>
      </c>
      <c r="B2266" s="2" t="s">
        <v>79</v>
      </c>
      <c r="C2266" s="2">
        <v>2022</v>
      </c>
      <c r="D2266" s="2" t="s">
        <v>1</v>
      </c>
      <c r="E2266" s="2" t="s">
        <v>4</v>
      </c>
      <c r="F2266" s="2" t="s">
        <v>35</v>
      </c>
      <c r="G2266" s="7"/>
      <c r="H2266" s="13" t="str">
        <f>IFERROR(IF(ABS($G2266)&gt;0,VLOOKUP($E2266,'Fuel Category and Heat Rate'!$B$1:$G$34,6,FALSE)*($G2266),""),"")</f>
        <v/>
      </c>
      <c r="I2266" t="str">
        <f>IFERROR(VLOOKUP($E2266,'Fuel Category and Heat Rate'!$K$2:$M$36,3,FALSE),"")</f>
        <v>coal</v>
      </c>
    </row>
    <row r="2267" spans="1:9" x14ac:dyDescent="0.15">
      <c r="A2267" s="2">
        <v>258627</v>
      </c>
      <c r="B2267" s="2" t="s">
        <v>79</v>
      </c>
      <c r="C2267" s="2">
        <v>2022</v>
      </c>
      <c r="D2267" s="2" t="s">
        <v>1</v>
      </c>
      <c r="E2267" s="2" t="s">
        <v>6</v>
      </c>
      <c r="F2267" s="2" t="s">
        <v>35</v>
      </c>
      <c r="G2267" s="7">
        <v>-7.35</v>
      </c>
      <c r="H2267" s="13">
        <f>IFERROR(IF(ABS($G2267)&gt;0,VLOOKUP($E2267,'Fuel Category and Heat Rate'!$B$1:$G$34,6,FALSE)*($G2267),""),"")</f>
        <v>-1077919713918.4622</v>
      </c>
      <c r="I2267" t="str">
        <f>IFERROR(VLOOKUP($E2267,'Fuel Category and Heat Rate'!$K$2:$M$36,3,FALSE),"")</f>
        <v>coal</v>
      </c>
    </row>
    <row r="2268" spans="1:9" x14ac:dyDescent="0.15">
      <c r="A2268" s="2">
        <v>258662</v>
      </c>
      <c r="B2268" s="2" t="s">
        <v>79</v>
      </c>
      <c r="C2268" s="2">
        <v>2022</v>
      </c>
      <c r="D2268" s="2" t="s">
        <v>1</v>
      </c>
      <c r="E2268" s="2" t="s">
        <v>26</v>
      </c>
      <c r="F2268" s="2" t="s">
        <v>35</v>
      </c>
      <c r="G2268" s="7"/>
      <c r="H2268" s="13" t="str">
        <f>IFERROR(IF(ABS($G2268)&gt;0,VLOOKUP($E2268,'Fuel Category and Heat Rate'!$B$1:$G$34,6,FALSE)*($G2268),""),"")</f>
        <v/>
      </c>
      <c r="I2268" t="str">
        <f>IFERROR(VLOOKUP($E2268,'Fuel Category and Heat Rate'!$K$2:$M$36,3,FALSE),"")</f>
        <v>LPG propane or butane</v>
      </c>
    </row>
    <row r="2269" spans="1:9" x14ac:dyDescent="0.15">
      <c r="A2269" s="2">
        <v>258697</v>
      </c>
      <c r="B2269" s="2" t="s">
        <v>79</v>
      </c>
      <c r="C2269" s="2">
        <v>2022</v>
      </c>
      <c r="D2269" s="2" t="s">
        <v>1</v>
      </c>
      <c r="E2269" s="2" t="s">
        <v>30</v>
      </c>
      <c r="F2269" s="2" t="s">
        <v>35</v>
      </c>
      <c r="G2269" s="7">
        <v>-0.24</v>
      </c>
      <c r="H2269" s="13">
        <f>IFERROR(IF(ABS($G2269)&gt;0,VLOOKUP($E2269,'Fuel Category and Heat Rate'!$B$1:$G$34,6,FALSE)*($G2269),""),"")</f>
        <v>-117000062129.4124</v>
      </c>
      <c r="I2269" t="str">
        <f>IFERROR(VLOOKUP($E2269,'Fuel Category and Heat Rate'!$K$2:$M$36,3,FALSE),"")</f>
        <v>natural gas</v>
      </c>
    </row>
    <row r="2270" spans="1:9" x14ac:dyDescent="0.15">
      <c r="A2270" s="2">
        <v>258732</v>
      </c>
      <c r="B2270" s="2" t="s">
        <v>79</v>
      </c>
      <c r="C2270" s="2">
        <v>2022</v>
      </c>
      <c r="D2270" s="2" t="s">
        <v>1</v>
      </c>
      <c r="E2270" s="2" t="s">
        <v>14</v>
      </c>
      <c r="F2270" s="2" t="s">
        <v>35</v>
      </c>
      <c r="G2270" s="7">
        <v>-3.09</v>
      </c>
      <c r="H2270" s="13">
        <f>IFERROR(IF(ABS($G2270)&gt;0,VLOOKUP($E2270,'Fuel Category and Heat Rate'!$B$1:$G$34,6,FALSE)*($G2270),""),"")</f>
        <v>0</v>
      </c>
      <c r="I2270" t="str">
        <f>IFERROR(VLOOKUP($E2270,'Fuel Category and Heat Rate'!$K$2:$M$36,3,FALSE),"")</f>
        <v/>
      </c>
    </row>
    <row r="2271" spans="1:9" x14ac:dyDescent="0.15">
      <c r="A2271" s="2">
        <v>258767</v>
      </c>
      <c r="B2271" s="2" t="s">
        <v>79</v>
      </c>
      <c r="C2271" s="2">
        <v>2022</v>
      </c>
      <c r="D2271" s="2" t="s">
        <v>1</v>
      </c>
      <c r="E2271" s="2" t="s">
        <v>3</v>
      </c>
      <c r="F2271" s="2" t="s">
        <v>35</v>
      </c>
      <c r="G2271" s="7">
        <v>-3843.12</v>
      </c>
      <c r="H2271" s="13">
        <f>IFERROR(IF(ABS($G2271)&gt;0,VLOOKUP($E2271,'Fuel Category and Heat Rate'!$B$1:$G$34,6,FALSE)*($G2271),""),"")</f>
        <v>-761589568552224</v>
      </c>
      <c r="I2271" t="str">
        <f>IFERROR(VLOOKUP($E2271,'Fuel Category and Heat Rate'!$K$2:$M$36,3,FALSE),"")</f>
        <v>coal</v>
      </c>
    </row>
    <row r="2272" spans="1:9" x14ac:dyDescent="0.15">
      <c r="A2272" s="2">
        <v>258802</v>
      </c>
      <c r="B2272" s="2" t="s">
        <v>79</v>
      </c>
      <c r="C2272" s="2">
        <v>2022</v>
      </c>
      <c r="D2272" s="2" t="s">
        <v>1</v>
      </c>
      <c r="E2272" s="2" t="s">
        <v>15</v>
      </c>
      <c r="F2272" s="2" t="s">
        <v>35</v>
      </c>
      <c r="G2272" s="7"/>
      <c r="H2272" s="13" t="str">
        <f>IFERROR(IF(ABS($G2272)&gt;0,VLOOKUP($E2272,'Fuel Category and Heat Rate'!$B$1:$G$34,6,FALSE)*($G2272),""),"")</f>
        <v/>
      </c>
      <c r="I2272" t="str">
        <f>IFERROR(VLOOKUP($E2272,'Fuel Category and Heat Rate'!$K$2:$M$36,3,FALSE),"")</f>
        <v>crude oil</v>
      </c>
    </row>
    <row r="2273" spans="1:9" x14ac:dyDescent="0.15">
      <c r="A2273" s="2">
        <v>258837</v>
      </c>
      <c r="B2273" s="2" t="s">
        <v>79</v>
      </c>
      <c r="C2273" s="2">
        <v>2022</v>
      </c>
      <c r="D2273" s="2" t="s">
        <v>1</v>
      </c>
      <c r="E2273" s="2" t="s">
        <v>11</v>
      </c>
      <c r="F2273" s="2" t="s">
        <v>36</v>
      </c>
      <c r="G2273" s="7">
        <v>-3.67</v>
      </c>
      <c r="H2273" s="13">
        <f>IFERROR(IF(ABS($G2273)&gt;0,VLOOKUP($E2273,'Fuel Category and Heat Rate'!$B$1:$G$34,6,FALSE)*($G2273),""),"")</f>
        <v>-2763659383529.3174</v>
      </c>
      <c r="I2273" t="str">
        <f>IFERROR(VLOOKUP($E2273,'Fuel Category and Heat Rate'!$K$2:$M$36,3,FALSE),"")</f>
        <v>LPG propane or butane</v>
      </c>
    </row>
    <row r="2274" spans="1:9" x14ac:dyDescent="0.15">
      <c r="A2274" s="2">
        <v>258872</v>
      </c>
      <c r="B2274" s="2" t="s">
        <v>79</v>
      </c>
      <c r="C2274" s="2">
        <v>2021</v>
      </c>
      <c r="D2274" s="2" t="s">
        <v>1</v>
      </c>
      <c r="E2274" s="2" t="s">
        <v>18</v>
      </c>
      <c r="F2274" s="2" t="s">
        <v>35</v>
      </c>
      <c r="G2274" s="7">
        <v>-0.28000000000000003</v>
      </c>
      <c r="H2274" s="13">
        <f>IFERROR(IF(ABS($G2274)&gt;0,VLOOKUP($E2274,'Fuel Category and Heat Rate'!$B$1:$G$34,6,FALSE)*($G2274),""),"")</f>
        <v>-113193628564.78168</v>
      </c>
      <c r="I2274" t="str">
        <f>IFERROR(VLOOKUP($E2274,'Fuel Category and Heat Rate'!$K$2:$M$36,3,FALSE),"")</f>
        <v>petroleum diesel</v>
      </c>
    </row>
    <row r="2275" spans="1:9" x14ac:dyDescent="0.15">
      <c r="A2275" s="2">
        <v>258907</v>
      </c>
      <c r="B2275" s="2" t="s">
        <v>79</v>
      </c>
      <c r="C2275" s="2">
        <v>2021</v>
      </c>
      <c r="D2275" s="2" t="s">
        <v>1</v>
      </c>
      <c r="E2275" s="2" t="s">
        <v>32</v>
      </c>
      <c r="F2275" s="2" t="s">
        <v>65</v>
      </c>
      <c r="G2275" s="7"/>
      <c r="H2275" s="13" t="str">
        <f>IFERROR(IF(ABS($G2275)&gt;0,VLOOKUP($E2275,'Fuel Category and Heat Rate'!$B$1:$G$34,6,FALSE)*($G2275),""),"")</f>
        <v/>
      </c>
      <c r="I2275" t="str">
        <f>IFERROR(VLOOKUP($E2275,'Fuel Category and Heat Rate'!$K$2:$M$36,3,FALSE),"")</f>
        <v>electricity</v>
      </c>
    </row>
    <row r="2276" spans="1:9" x14ac:dyDescent="0.15">
      <c r="A2276" s="2">
        <v>258942</v>
      </c>
      <c r="B2276" s="2" t="s">
        <v>79</v>
      </c>
      <c r="C2276" s="2">
        <v>2021</v>
      </c>
      <c r="D2276" s="2" t="s">
        <v>1</v>
      </c>
      <c r="E2276" s="2" t="s">
        <v>10</v>
      </c>
      <c r="F2276" s="2" t="s">
        <v>36</v>
      </c>
      <c r="G2276" s="7">
        <v>-37.409999999999997</v>
      </c>
      <c r="H2276" s="13">
        <f>IFERROR(IF(ABS($G2276)&gt;0,VLOOKUP($E2276,'Fuel Category and Heat Rate'!$B$1:$G$34,6,FALSE)*($G2276),""),"")</f>
        <v>-13342784649741.527</v>
      </c>
      <c r="I2276" t="str">
        <f>IFERROR(VLOOKUP($E2276,'Fuel Category and Heat Rate'!$K$2:$M$36,3,FALSE),"")</f>
        <v>LPG propane or butane</v>
      </c>
    </row>
    <row r="2277" spans="1:9" x14ac:dyDescent="0.15">
      <c r="A2277" s="2">
        <v>258977</v>
      </c>
      <c r="B2277" s="2" t="s">
        <v>79</v>
      </c>
      <c r="C2277" s="2">
        <v>2021</v>
      </c>
      <c r="D2277" s="2" t="s">
        <v>1</v>
      </c>
      <c r="E2277" s="2" t="s">
        <v>9</v>
      </c>
      <c r="F2277" s="2" t="s">
        <v>36</v>
      </c>
      <c r="G2277" s="7">
        <v>-1.54</v>
      </c>
      <c r="H2277" s="13">
        <f>IFERROR(IF(ABS($G2277)&gt;0,VLOOKUP($E2277,'Fuel Category and Heat Rate'!$B$1:$G$34,6,FALSE)*($G2277),""),"")</f>
        <v>-2532983443483.1108</v>
      </c>
      <c r="I2277" t="str">
        <f>IFERROR(VLOOKUP($E2277,'Fuel Category and Heat Rate'!$K$2:$M$36,3,FALSE),"")</f>
        <v>LPG propane or butane</v>
      </c>
    </row>
    <row r="2278" spans="1:9" x14ac:dyDescent="0.15">
      <c r="A2278" s="2">
        <v>259012</v>
      </c>
      <c r="B2278" s="2" t="s">
        <v>79</v>
      </c>
      <c r="C2278" s="2">
        <v>2021</v>
      </c>
      <c r="D2278" s="2" t="s">
        <v>1</v>
      </c>
      <c r="E2278" s="2" t="s">
        <v>8</v>
      </c>
      <c r="F2278" s="2" t="s">
        <v>35</v>
      </c>
      <c r="G2278" s="7"/>
      <c r="H2278" s="13" t="str">
        <f>IFERROR(IF(ABS($G2278)&gt;0,VLOOKUP($E2278,'Fuel Category and Heat Rate'!$B$1:$G$34,6,FALSE)*($G2278),""),"")</f>
        <v/>
      </c>
      <c r="I2278" t="str">
        <f>IFERROR(VLOOKUP($E2278,'Fuel Category and Heat Rate'!$K$2:$M$36,3,FALSE),"")</f>
        <v>coal</v>
      </c>
    </row>
    <row r="2279" spans="1:9" x14ac:dyDescent="0.15">
      <c r="A2279" s="2">
        <v>259047</v>
      </c>
      <c r="B2279" s="2" t="s">
        <v>79</v>
      </c>
      <c r="C2279" s="2">
        <v>2021</v>
      </c>
      <c r="D2279" s="2" t="s">
        <v>1</v>
      </c>
      <c r="E2279" s="2" t="s">
        <v>27</v>
      </c>
      <c r="F2279" s="2" t="s">
        <v>35</v>
      </c>
      <c r="G2279" s="7">
        <v>-7.27</v>
      </c>
      <c r="H2279" s="13">
        <f>IFERROR(IF(ABS($G2279)&gt;0,VLOOKUP($E2279,'Fuel Category and Heat Rate'!$B$1:$G$34,6,FALSE)*($G2279),""),"")</f>
        <v>-3169552209013.3901</v>
      </c>
      <c r="I2279" t="str">
        <f>IFERROR(VLOOKUP($E2279,'Fuel Category and Heat Rate'!$K$2:$M$36,3,FALSE),"")</f>
        <v>LPG propane or butane</v>
      </c>
    </row>
    <row r="2280" spans="1:9" x14ac:dyDescent="0.15">
      <c r="A2280" s="2">
        <v>259082</v>
      </c>
      <c r="B2280" s="2" t="s">
        <v>79</v>
      </c>
      <c r="C2280" s="2">
        <v>2021</v>
      </c>
      <c r="D2280" s="2" t="s">
        <v>1</v>
      </c>
      <c r="E2280" s="2" t="s">
        <v>7</v>
      </c>
      <c r="F2280" s="2" t="s">
        <v>35</v>
      </c>
      <c r="G2280" s="7"/>
      <c r="H2280" s="13" t="str">
        <f>IFERROR(IF(ABS($G2280)&gt;0,VLOOKUP($E2280,'Fuel Category and Heat Rate'!$B$1:$G$34,6,FALSE)*($G2280),""),"")</f>
        <v/>
      </c>
      <c r="I2280" t="str">
        <f>IFERROR(VLOOKUP($E2280,'Fuel Category and Heat Rate'!$K$2:$M$36,3,FALSE),"")</f>
        <v>coal</v>
      </c>
    </row>
    <row r="2281" spans="1:9" x14ac:dyDescent="0.15">
      <c r="A2281" s="2">
        <v>259117</v>
      </c>
      <c r="B2281" s="2" t="s">
        <v>79</v>
      </c>
      <c r="C2281" s="2">
        <v>2021</v>
      </c>
      <c r="D2281" s="2" t="s">
        <v>1</v>
      </c>
      <c r="E2281" s="2" t="s">
        <v>2</v>
      </c>
      <c r="F2281" s="2" t="s">
        <v>35</v>
      </c>
      <c r="G2281" s="7">
        <v>-3880.51</v>
      </c>
      <c r="H2281" s="13">
        <f>IFERROR(IF(ABS($G2281)&gt;0,VLOOKUP($E2281,'Fuel Category and Heat Rate'!$B$1:$G$34,6,FALSE)*($G2281),""),"")</f>
        <v>0</v>
      </c>
      <c r="I2281" t="str">
        <f>IFERROR(VLOOKUP($E2281,'Fuel Category and Heat Rate'!$K$2:$M$36,3,FALSE),"")</f>
        <v/>
      </c>
    </row>
    <row r="2282" spans="1:9" x14ac:dyDescent="0.15">
      <c r="A2282" s="2">
        <v>259152</v>
      </c>
      <c r="B2282" s="2" t="s">
        <v>79</v>
      </c>
      <c r="C2282" s="2">
        <v>2021</v>
      </c>
      <c r="D2282" s="2" t="s">
        <v>1</v>
      </c>
      <c r="E2282" s="2" t="s">
        <v>17</v>
      </c>
      <c r="F2282" s="2" t="s">
        <v>35</v>
      </c>
      <c r="G2282" s="7"/>
      <c r="H2282" s="13" t="str">
        <f>IFERROR(IF(ABS($G2282)&gt;0,VLOOKUP($E2282,'Fuel Category and Heat Rate'!$B$1:$G$34,6,FALSE)*($G2282),""),"")</f>
        <v/>
      </c>
      <c r="I2282" t="str">
        <f>IFERROR(VLOOKUP($E2282,'Fuel Category and Heat Rate'!$K$2:$M$36,3,FALSE),"")</f>
        <v>petroleum diesel</v>
      </c>
    </row>
    <row r="2283" spans="1:9" x14ac:dyDescent="0.15">
      <c r="A2283" s="2">
        <v>259187</v>
      </c>
      <c r="B2283" s="2" t="s">
        <v>79</v>
      </c>
      <c r="C2283" s="2">
        <v>2021</v>
      </c>
      <c r="D2283" s="2" t="s">
        <v>1</v>
      </c>
      <c r="E2283" s="2" t="s">
        <v>13</v>
      </c>
      <c r="F2283" s="2" t="s">
        <v>35</v>
      </c>
      <c r="G2283" s="7"/>
      <c r="H2283" s="13" t="str">
        <f>IFERROR(IF(ABS($G2283)&gt;0,VLOOKUP($E2283,'Fuel Category and Heat Rate'!$B$1:$G$34,6,FALSE)*($G2283),""),"")</f>
        <v/>
      </c>
      <c r="I2283" t="str">
        <f>IFERROR(VLOOKUP($E2283,'Fuel Category and Heat Rate'!$K$2:$M$36,3,FALSE),"")</f>
        <v>petroleum diesel</v>
      </c>
    </row>
    <row r="2284" spans="1:9" x14ac:dyDescent="0.15">
      <c r="A2284" s="2">
        <v>259222</v>
      </c>
      <c r="B2284" s="2" t="s">
        <v>79</v>
      </c>
      <c r="C2284" s="2">
        <v>2021</v>
      </c>
      <c r="D2284" s="2" t="s">
        <v>1</v>
      </c>
      <c r="E2284" s="2" t="s">
        <v>12</v>
      </c>
      <c r="F2284" s="2" t="s">
        <v>36</v>
      </c>
      <c r="G2284" s="7"/>
      <c r="H2284" s="13" t="str">
        <f>IFERROR(IF(ABS($G2284)&gt;0,VLOOKUP($E2284,'Fuel Category and Heat Rate'!$B$1:$G$34,6,FALSE)*($G2284),""),"")</f>
        <v/>
      </c>
      <c r="I2284" t="str">
        <f>IFERROR(VLOOKUP($E2284,'Fuel Category and Heat Rate'!$K$2:$M$36,3,FALSE),"")</f>
        <v>LPG propane or butane</v>
      </c>
    </row>
    <row r="2285" spans="1:9" x14ac:dyDescent="0.15">
      <c r="A2285" s="2">
        <v>259257</v>
      </c>
      <c r="B2285" s="2" t="s">
        <v>79</v>
      </c>
      <c r="C2285" s="2">
        <v>2021</v>
      </c>
      <c r="D2285" s="2" t="s">
        <v>1</v>
      </c>
      <c r="E2285" s="2" t="s">
        <v>33</v>
      </c>
      <c r="F2285" s="2" t="s">
        <v>38</v>
      </c>
      <c r="G2285" s="7">
        <v>-80.86</v>
      </c>
      <c r="H2285" s="13">
        <f>IFERROR(IF(ABS($G2285)&gt;0,VLOOKUP($E2285,'Fuel Category and Heat Rate'!$B$1:$G$34,6,FALSE)*($G2285),""),"")</f>
        <v>-22433438571048.156</v>
      </c>
      <c r="I2285" t="str">
        <f>IFERROR(VLOOKUP($E2285,'Fuel Category and Heat Rate'!$K$2:$M$36,3,FALSE),"")</f>
        <v>biomass</v>
      </c>
    </row>
    <row r="2286" spans="1:9" x14ac:dyDescent="0.15">
      <c r="A2286" s="2">
        <v>259292</v>
      </c>
      <c r="B2286" s="2" t="s">
        <v>79</v>
      </c>
      <c r="C2286" s="2">
        <v>2021</v>
      </c>
      <c r="D2286" s="2" t="s">
        <v>1</v>
      </c>
      <c r="E2286" s="2" t="s">
        <v>28</v>
      </c>
      <c r="F2286" s="2" t="s">
        <v>35</v>
      </c>
      <c r="G2286" s="7"/>
      <c r="H2286" s="13" t="str">
        <f>IFERROR(IF(ABS($G2286)&gt;0,VLOOKUP($E2286,'Fuel Category and Heat Rate'!$B$1:$G$34,6,FALSE)*($G2286),""),"")</f>
        <v/>
      </c>
      <c r="I2286" t="str">
        <f>IFERROR(VLOOKUP($E2286,'Fuel Category and Heat Rate'!$K$2:$M$36,3,FALSE),"")</f>
        <v>heavy or residual fuel oil</v>
      </c>
    </row>
    <row r="2287" spans="1:9" x14ac:dyDescent="0.15">
      <c r="A2287" s="2">
        <v>259327</v>
      </c>
      <c r="B2287" s="2" t="s">
        <v>79</v>
      </c>
      <c r="C2287" s="2">
        <v>2021</v>
      </c>
      <c r="D2287" s="2" t="s">
        <v>1</v>
      </c>
      <c r="E2287" s="2" t="s">
        <v>5</v>
      </c>
      <c r="F2287" s="2" t="s">
        <v>35</v>
      </c>
      <c r="G2287" s="7">
        <v>-78.37</v>
      </c>
      <c r="H2287" s="13">
        <f>IFERROR(IF(ABS($G2287)&gt;0,VLOOKUP($E2287,'Fuel Category and Heat Rate'!$B$1:$G$34,6,FALSE)*($G2287),""),"")</f>
        <v>-6212072185562.499</v>
      </c>
      <c r="I2287" t="str">
        <f>IFERROR(VLOOKUP($E2287,'Fuel Category and Heat Rate'!$K$2:$M$36,3,FALSE),"")</f>
        <v>coal</v>
      </c>
    </row>
    <row r="2288" spans="1:9" x14ac:dyDescent="0.15">
      <c r="A2288" s="2">
        <v>259362</v>
      </c>
      <c r="B2288" s="2" t="s">
        <v>79</v>
      </c>
      <c r="C2288" s="2">
        <v>2021</v>
      </c>
      <c r="D2288" s="2" t="s">
        <v>1</v>
      </c>
      <c r="E2288" s="2" t="s">
        <v>16</v>
      </c>
      <c r="F2288" s="2" t="s">
        <v>35</v>
      </c>
      <c r="G2288" s="7"/>
      <c r="H2288" s="13" t="str">
        <f>IFERROR(IF(ABS($G2288)&gt;0,VLOOKUP($E2288,'Fuel Category and Heat Rate'!$B$1:$G$34,6,FALSE)*($G2288),""),"")</f>
        <v/>
      </c>
      <c r="I2288" t="str">
        <f>IFERROR(VLOOKUP($E2288,'Fuel Category and Heat Rate'!$K$2:$M$36,3,FALSE),"")</f>
        <v>petroleum diesel</v>
      </c>
    </row>
    <row r="2289" spans="1:9" x14ac:dyDescent="0.15">
      <c r="A2289" s="2">
        <v>259397</v>
      </c>
      <c r="B2289" s="2" t="s">
        <v>79</v>
      </c>
      <c r="C2289" s="2">
        <v>2021</v>
      </c>
      <c r="D2289" s="2" t="s">
        <v>1</v>
      </c>
      <c r="E2289" s="2" t="s">
        <v>19</v>
      </c>
      <c r="F2289" s="2" t="s">
        <v>35</v>
      </c>
      <c r="G2289" s="7"/>
      <c r="H2289" s="13" t="str">
        <f>IFERROR(IF(ABS($G2289)&gt;0,VLOOKUP($E2289,'Fuel Category and Heat Rate'!$B$1:$G$34,6,FALSE)*($G2289),""),"")</f>
        <v/>
      </c>
      <c r="I2289" t="str">
        <f>IFERROR(VLOOKUP($E2289,'Fuel Category and Heat Rate'!$K$2:$M$36,3,FALSE),"")</f>
        <v>heavy or residual fuel oil</v>
      </c>
    </row>
    <row r="2290" spans="1:9" x14ac:dyDescent="0.15">
      <c r="A2290" s="2">
        <v>259432</v>
      </c>
      <c r="B2290" s="2" t="s">
        <v>79</v>
      </c>
      <c r="C2290" s="2">
        <v>2021</v>
      </c>
      <c r="D2290" s="2" t="s">
        <v>1</v>
      </c>
      <c r="E2290" s="2" t="s">
        <v>31</v>
      </c>
      <c r="F2290" s="2" t="s">
        <v>37</v>
      </c>
      <c r="G2290" s="7">
        <v>62034.62</v>
      </c>
      <c r="H2290" s="13">
        <f>IFERROR(IF(ABS($G2290)&gt;0,VLOOKUP($E2290,'Fuel Category and Heat Rate'!$B$1:$G$34,6,FALSE)*($G2290),""),"")</f>
        <v>587974750341415.63</v>
      </c>
      <c r="I2290" t="str">
        <f>IFERROR(VLOOKUP($E2290,'Fuel Category and Heat Rate'!$K$2:$M$36,3,FALSE),"")</f>
        <v>heat</v>
      </c>
    </row>
    <row r="2291" spans="1:9" x14ac:dyDescent="0.15">
      <c r="A2291" s="2">
        <v>259467</v>
      </c>
      <c r="B2291" s="2" t="s">
        <v>79</v>
      </c>
      <c r="C2291" s="2">
        <v>2021</v>
      </c>
      <c r="D2291" s="2" t="s">
        <v>1</v>
      </c>
      <c r="E2291" s="2" t="s">
        <v>23</v>
      </c>
      <c r="F2291" s="2" t="s">
        <v>35</v>
      </c>
      <c r="G2291" s="7"/>
      <c r="H2291" s="13" t="str">
        <f>IFERROR(IF(ABS($G2291)&gt;0,VLOOKUP($E2291,'Fuel Category and Heat Rate'!$B$1:$G$34,6,FALSE)*($G2291),""),"")</f>
        <v/>
      </c>
      <c r="I2291" t="str">
        <f>IFERROR(VLOOKUP($E2291,'Fuel Category and Heat Rate'!$K$2:$M$36,3,FALSE),"")</f>
        <v>heavy or residual fuel oil</v>
      </c>
    </row>
    <row r="2292" spans="1:9" x14ac:dyDescent="0.15">
      <c r="A2292" s="2">
        <v>259502</v>
      </c>
      <c r="B2292" s="2" t="s">
        <v>79</v>
      </c>
      <c r="C2292" s="2">
        <v>2021</v>
      </c>
      <c r="D2292" s="2" t="s">
        <v>1</v>
      </c>
      <c r="E2292" s="2" t="s">
        <v>21</v>
      </c>
      <c r="F2292" s="2" t="s">
        <v>35</v>
      </c>
      <c r="G2292" s="7"/>
      <c r="H2292" s="13" t="str">
        <f>IFERROR(IF(ABS($G2292)&gt;0,VLOOKUP($E2292,'Fuel Category and Heat Rate'!$B$1:$G$34,6,FALSE)*($G2292),""),"")</f>
        <v/>
      </c>
      <c r="I2292" t="str">
        <f>IFERROR(VLOOKUP($E2292,'Fuel Category and Heat Rate'!$K$2:$M$36,3,FALSE),"")</f>
        <v>LPG propane or butane</v>
      </c>
    </row>
    <row r="2293" spans="1:9" x14ac:dyDescent="0.15">
      <c r="A2293" s="2">
        <v>259537</v>
      </c>
      <c r="B2293" s="2" t="s">
        <v>79</v>
      </c>
      <c r="C2293" s="2">
        <v>2021</v>
      </c>
      <c r="D2293" s="2" t="s">
        <v>1</v>
      </c>
      <c r="E2293" s="2" t="s">
        <v>22</v>
      </c>
      <c r="F2293" s="2" t="s">
        <v>35</v>
      </c>
      <c r="G2293" s="7"/>
      <c r="H2293" s="13" t="str">
        <f>IFERROR(IF(ABS($G2293)&gt;0,VLOOKUP($E2293,'Fuel Category and Heat Rate'!$B$1:$G$34,6,FALSE)*($G2293),""),"")</f>
        <v/>
      </c>
      <c r="I2293" t="str">
        <f>IFERROR(VLOOKUP($E2293,'Fuel Category and Heat Rate'!$K$2:$M$36,3,FALSE),"")</f>
        <v>heavy fuel oil</v>
      </c>
    </row>
    <row r="2294" spans="1:9" x14ac:dyDescent="0.15">
      <c r="A2294" s="2">
        <v>259572</v>
      </c>
      <c r="B2294" s="2" t="s">
        <v>79</v>
      </c>
      <c r="C2294" s="2">
        <v>2021</v>
      </c>
      <c r="D2294" s="2" t="s">
        <v>1</v>
      </c>
      <c r="E2294" s="2" t="s">
        <v>20</v>
      </c>
      <c r="F2294" s="2" t="s">
        <v>35</v>
      </c>
      <c r="G2294" s="7"/>
      <c r="H2294" s="13" t="str">
        <f>IFERROR(IF(ABS($G2294)&gt;0,VLOOKUP($E2294,'Fuel Category and Heat Rate'!$B$1:$G$34,6,FALSE)*($G2294),""),"")</f>
        <v/>
      </c>
      <c r="I2294" t="str">
        <f>IFERROR(VLOOKUP($E2294,'Fuel Category and Heat Rate'!$K$2:$M$36,3,FALSE),"")</f>
        <v>LPG propane or butane</v>
      </c>
    </row>
    <row r="2295" spans="1:9" x14ac:dyDescent="0.15">
      <c r="A2295" s="2">
        <v>259607</v>
      </c>
      <c r="B2295" s="2" t="s">
        <v>79</v>
      </c>
      <c r="C2295" s="2">
        <v>2021</v>
      </c>
      <c r="D2295" s="2" t="s">
        <v>1</v>
      </c>
      <c r="E2295" s="2" t="s">
        <v>25</v>
      </c>
      <c r="F2295" s="2" t="s">
        <v>35</v>
      </c>
      <c r="G2295" s="7">
        <v>-0.33</v>
      </c>
      <c r="H2295" s="13">
        <f>IFERROR(IF(ABS($G2295)&gt;0,VLOOKUP($E2295,'Fuel Category and Heat Rate'!$B$1:$G$34,6,FALSE)*($G2295),""),"")</f>
        <v>-99923714938.882141</v>
      </c>
      <c r="I2295" t="str">
        <f>IFERROR(VLOOKUP($E2295,'Fuel Category and Heat Rate'!$K$2:$M$36,3,FALSE),"")</f>
        <v>heavy fuel oil</v>
      </c>
    </row>
    <row r="2296" spans="1:9" x14ac:dyDescent="0.15">
      <c r="A2296" s="2">
        <v>259642</v>
      </c>
      <c r="B2296" s="2" t="s">
        <v>79</v>
      </c>
      <c r="C2296" s="2">
        <v>2021</v>
      </c>
      <c r="D2296" s="2" t="s">
        <v>1</v>
      </c>
      <c r="E2296" s="2" t="s">
        <v>24</v>
      </c>
      <c r="F2296" s="2" t="s">
        <v>35</v>
      </c>
      <c r="G2296" s="7"/>
      <c r="H2296" s="13" t="str">
        <f>IFERROR(IF(ABS($G2296)&gt;0,VLOOKUP($E2296,'Fuel Category and Heat Rate'!$B$1:$G$34,6,FALSE)*($G2296),""),"")</f>
        <v/>
      </c>
      <c r="I2296" t="str">
        <f>IFERROR(VLOOKUP($E2296,'Fuel Category and Heat Rate'!$K$2:$M$36,3,FALSE),"")</f>
        <v>heavy fuel oil</v>
      </c>
    </row>
    <row r="2297" spans="1:9" x14ac:dyDescent="0.15">
      <c r="A2297" s="2">
        <v>259677</v>
      </c>
      <c r="B2297" s="2" t="s">
        <v>79</v>
      </c>
      <c r="C2297" s="2">
        <v>2021</v>
      </c>
      <c r="D2297" s="2" t="s">
        <v>1</v>
      </c>
      <c r="E2297" s="2" t="s">
        <v>29</v>
      </c>
      <c r="F2297" s="2" t="s">
        <v>36</v>
      </c>
      <c r="G2297" s="7">
        <v>-22.84</v>
      </c>
      <c r="H2297" s="13">
        <f>IFERROR(IF(ABS($G2297)&gt;0,VLOOKUP($E2297,'Fuel Category and Heat Rate'!$B$1:$G$34,6,FALSE)*($G2297),""),"")</f>
        <v>-77033834749127.266</v>
      </c>
      <c r="I2297" t="str">
        <f>IFERROR(VLOOKUP($E2297,'Fuel Category and Heat Rate'!$K$2:$M$36,3,FALSE),"")</f>
        <v>natural gas</v>
      </c>
    </row>
    <row r="2298" spans="1:9" x14ac:dyDescent="0.15">
      <c r="A2298" s="2">
        <v>259712</v>
      </c>
      <c r="B2298" s="2" t="s">
        <v>79</v>
      </c>
      <c r="C2298" s="2">
        <v>2021</v>
      </c>
      <c r="D2298" s="2" t="s">
        <v>1</v>
      </c>
      <c r="E2298" s="2" t="s">
        <v>4</v>
      </c>
      <c r="F2298" s="2" t="s">
        <v>35</v>
      </c>
      <c r="G2298" s="7"/>
      <c r="H2298" s="13" t="str">
        <f>IFERROR(IF(ABS($G2298)&gt;0,VLOOKUP($E2298,'Fuel Category and Heat Rate'!$B$1:$G$34,6,FALSE)*($G2298),""),"")</f>
        <v/>
      </c>
      <c r="I2298" t="str">
        <f>IFERROR(VLOOKUP($E2298,'Fuel Category and Heat Rate'!$K$2:$M$36,3,FALSE),"")</f>
        <v>coal</v>
      </c>
    </row>
    <row r="2299" spans="1:9" x14ac:dyDescent="0.15">
      <c r="A2299" s="2">
        <v>259747</v>
      </c>
      <c r="B2299" s="2" t="s">
        <v>79</v>
      </c>
      <c r="C2299" s="2">
        <v>2021</v>
      </c>
      <c r="D2299" s="2" t="s">
        <v>1</v>
      </c>
      <c r="E2299" s="2" t="s">
        <v>6</v>
      </c>
      <c r="F2299" s="2" t="s">
        <v>35</v>
      </c>
      <c r="G2299" s="7">
        <v>-4.47</v>
      </c>
      <c r="H2299" s="13">
        <f>IFERROR(IF(ABS($G2299)&gt;0,VLOOKUP($E2299,'Fuel Category and Heat Rate'!$B$1:$G$34,6,FALSE)*($G2299),""),"")</f>
        <v>-655551172954.49329</v>
      </c>
      <c r="I2299" t="str">
        <f>IFERROR(VLOOKUP($E2299,'Fuel Category and Heat Rate'!$K$2:$M$36,3,FALSE),"")</f>
        <v>coal</v>
      </c>
    </row>
    <row r="2300" spans="1:9" x14ac:dyDescent="0.15">
      <c r="A2300" s="2">
        <v>259782</v>
      </c>
      <c r="B2300" s="2" t="s">
        <v>79</v>
      </c>
      <c r="C2300" s="2">
        <v>2021</v>
      </c>
      <c r="D2300" s="2" t="s">
        <v>1</v>
      </c>
      <c r="E2300" s="2" t="s">
        <v>26</v>
      </c>
      <c r="F2300" s="2" t="s">
        <v>35</v>
      </c>
      <c r="G2300" s="7"/>
      <c r="H2300" s="13" t="str">
        <f>IFERROR(IF(ABS($G2300)&gt;0,VLOOKUP($E2300,'Fuel Category and Heat Rate'!$B$1:$G$34,6,FALSE)*($G2300),""),"")</f>
        <v/>
      </c>
      <c r="I2300" t="str">
        <f>IFERROR(VLOOKUP($E2300,'Fuel Category and Heat Rate'!$K$2:$M$36,3,FALSE),"")</f>
        <v>LPG propane or butane</v>
      </c>
    </row>
    <row r="2301" spans="1:9" x14ac:dyDescent="0.15">
      <c r="A2301" s="2">
        <v>259817</v>
      </c>
      <c r="B2301" s="2" t="s">
        <v>79</v>
      </c>
      <c r="C2301" s="2">
        <v>2021</v>
      </c>
      <c r="D2301" s="2" t="s">
        <v>1</v>
      </c>
      <c r="E2301" s="2" t="s">
        <v>30</v>
      </c>
      <c r="F2301" s="2" t="s">
        <v>35</v>
      </c>
      <c r="G2301" s="7">
        <v>-0.62</v>
      </c>
      <c r="H2301" s="13">
        <f>IFERROR(IF(ABS($G2301)&gt;0,VLOOKUP($E2301,'Fuel Category and Heat Rate'!$B$1:$G$34,6,FALSE)*($G2301),""),"")</f>
        <v>-302250160500.98206</v>
      </c>
      <c r="I2301" t="str">
        <f>IFERROR(VLOOKUP($E2301,'Fuel Category and Heat Rate'!$K$2:$M$36,3,FALSE),"")</f>
        <v>natural gas</v>
      </c>
    </row>
    <row r="2302" spans="1:9" x14ac:dyDescent="0.15">
      <c r="A2302" s="2">
        <v>259852</v>
      </c>
      <c r="B2302" s="2" t="s">
        <v>79</v>
      </c>
      <c r="C2302" s="2">
        <v>2021</v>
      </c>
      <c r="D2302" s="2" t="s">
        <v>1</v>
      </c>
      <c r="E2302" s="2" t="s">
        <v>14</v>
      </c>
      <c r="F2302" s="2" t="s">
        <v>35</v>
      </c>
      <c r="G2302" s="7">
        <v>-7.88</v>
      </c>
      <c r="H2302" s="13">
        <f>IFERROR(IF(ABS($G2302)&gt;0,VLOOKUP($E2302,'Fuel Category and Heat Rate'!$B$1:$G$34,6,FALSE)*($G2302),""),"")</f>
        <v>0</v>
      </c>
      <c r="I2302" t="str">
        <f>IFERROR(VLOOKUP($E2302,'Fuel Category and Heat Rate'!$K$2:$M$36,3,FALSE),"")</f>
        <v/>
      </c>
    </row>
    <row r="2303" spans="1:9" x14ac:dyDescent="0.15">
      <c r="A2303" s="2">
        <v>259887</v>
      </c>
      <c r="B2303" s="2" t="s">
        <v>79</v>
      </c>
      <c r="C2303" s="2">
        <v>2021</v>
      </c>
      <c r="D2303" s="2" t="s">
        <v>1</v>
      </c>
      <c r="E2303" s="2" t="s">
        <v>3</v>
      </c>
      <c r="F2303" s="2" t="s">
        <v>35</v>
      </c>
      <c r="G2303" s="7">
        <v>-3797.67</v>
      </c>
      <c r="H2303" s="13">
        <f>IFERROR(IF(ABS($G2303)&gt;0,VLOOKUP($E2303,'Fuel Category and Heat Rate'!$B$1:$G$34,6,FALSE)*($G2303),""),"")</f>
        <v>-752582760050096</v>
      </c>
      <c r="I2303" t="str">
        <f>IFERROR(VLOOKUP($E2303,'Fuel Category and Heat Rate'!$K$2:$M$36,3,FALSE),"")</f>
        <v>coal</v>
      </c>
    </row>
    <row r="2304" spans="1:9" x14ac:dyDescent="0.15">
      <c r="A2304" s="2">
        <v>259922</v>
      </c>
      <c r="B2304" s="2" t="s">
        <v>79</v>
      </c>
      <c r="C2304" s="2">
        <v>2021</v>
      </c>
      <c r="D2304" s="2" t="s">
        <v>1</v>
      </c>
      <c r="E2304" s="2" t="s">
        <v>15</v>
      </c>
      <c r="F2304" s="2" t="s">
        <v>35</v>
      </c>
      <c r="G2304" s="7"/>
      <c r="H2304" s="13" t="str">
        <f>IFERROR(IF(ABS($G2304)&gt;0,VLOOKUP($E2304,'Fuel Category and Heat Rate'!$B$1:$G$34,6,FALSE)*($G2304),""),"")</f>
        <v/>
      </c>
      <c r="I2304" t="str">
        <f>IFERROR(VLOOKUP($E2304,'Fuel Category and Heat Rate'!$K$2:$M$36,3,FALSE),"")</f>
        <v>crude oil</v>
      </c>
    </row>
    <row r="2305" spans="1:9" x14ac:dyDescent="0.15">
      <c r="A2305" s="2">
        <v>259957</v>
      </c>
      <c r="B2305" s="2" t="s">
        <v>79</v>
      </c>
      <c r="C2305" s="2">
        <v>2021</v>
      </c>
      <c r="D2305" s="2" t="s">
        <v>1</v>
      </c>
      <c r="E2305" s="2" t="s">
        <v>11</v>
      </c>
      <c r="F2305" s="2" t="s">
        <v>36</v>
      </c>
      <c r="G2305" s="7">
        <v>-3.36</v>
      </c>
      <c r="H2305" s="13">
        <f>IFERROR(IF(ABS($G2305)&gt;0,VLOOKUP($E2305,'Fuel Category and Heat Rate'!$B$1:$G$34,6,FALSE)*($G2305),""),"")</f>
        <v>-2530216765302.0454</v>
      </c>
      <c r="I2305" t="str">
        <f>IFERROR(VLOOKUP($E2305,'Fuel Category and Heat Rate'!$K$2:$M$36,3,FALSE),"")</f>
        <v>LPG propane or butane</v>
      </c>
    </row>
    <row r="2306" spans="1:9" x14ac:dyDescent="0.15">
      <c r="A2306" s="2">
        <v>259992</v>
      </c>
      <c r="B2306" s="2" t="s">
        <v>79</v>
      </c>
      <c r="C2306" s="2">
        <v>2020</v>
      </c>
      <c r="D2306" s="2" t="s">
        <v>1</v>
      </c>
      <c r="E2306" s="2" t="s">
        <v>18</v>
      </c>
      <c r="F2306" s="2" t="s">
        <v>35</v>
      </c>
      <c r="G2306" s="7">
        <v>-0.15</v>
      </c>
      <c r="H2306" s="13">
        <f>IFERROR(IF(ABS($G2306)&gt;0,VLOOKUP($E2306,'Fuel Category and Heat Rate'!$B$1:$G$34,6,FALSE)*($G2306),""),"")</f>
        <v>-60639443873.990173</v>
      </c>
      <c r="I2306" t="str">
        <f>IFERROR(VLOOKUP($E2306,'Fuel Category and Heat Rate'!$K$2:$M$36,3,FALSE),"")</f>
        <v>petroleum diesel</v>
      </c>
    </row>
    <row r="2307" spans="1:9" x14ac:dyDescent="0.15">
      <c r="A2307" s="2">
        <v>260027</v>
      </c>
      <c r="B2307" s="2" t="s">
        <v>79</v>
      </c>
      <c r="C2307" s="2">
        <v>2020</v>
      </c>
      <c r="D2307" s="2" t="s">
        <v>1</v>
      </c>
      <c r="E2307" s="2" t="s">
        <v>32</v>
      </c>
      <c r="F2307" s="2" t="s">
        <v>65</v>
      </c>
      <c r="G2307" s="7"/>
      <c r="H2307" s="13" t="str">
        <f>IFERROR(IF(ABS($G2307)&gt;0,VLOOKUP($E2307,'Fuel Category and Heat Rate'!$B$1:$G$34,6,FALSE)*($G2307),""),"")</f>
        <v/>
      </c>
      <c r="I2307" t="str">
        <f>IFERROR(VLOOKUP($E2307,'Fuel Category and Heat Rate'!$K$2:$M$36,3,FALSE),"")</f>
        <v>electricity</v>
      </c>
    </row>
    <row r="2308" spans="1:9" x14ac:dyDescent="0.15">
      <c r="A2308" s="2">
        <v>260062</v>
      </c>
      <c r="B2308" s="2" t="s">
        <v>79</v>
      </c>
      <c r="C2308" s="2">
        <v>2020</v>
      </c>
      <c r="D2308" s="2" t="s">
        <v>1</v>
      </c>
      <c r="E2308" s="2" t="s">
        <v>10</v>
      </c>
      <c r="F2308" s="2" t="s">
        <v>36</v>
      </c>
      <c r="G2308" s="7">
        <v>-44.42</v>
      </c>
      <c r="H2308" s="13">
        <f>IFERROR(IF(ABS($G2308)&gt;0,VLOOKUP($E2308,'Fuel Category and Heat Rate'!$B$1:$G$34,6,FALSE)*($G2308),""),"")</f>
        <v>-15842996368391.305</v>
      </c>
      <c r="I2308" t="str">
        <f>IFERROR(VLOOKUP($E2308,'Fuel Category and Heat Rate'!$K$2:$M$36,3,FALSE),"")</f>
        <v>LPG propane or butane</v>
      </c>
    </row>
    <row r="2309" spans="1:9" x14ac:dyDescent="0.15">
      <c r="A2309" s="2">
        <v>260097</v>
      </c>
      <c r="B2309" s="2" t="s">
        <v>79</v>
      </c>
      <c r="C2309" s="2">
        <v>2020</v>
      </c>
      <c r="D2309" s="2" t="s">
        <v>1</v>
      </c>
      <c r="E2309" s="2" t="s">
        <v>9</v>
      </c>
      <c r="F2309" s="2" t="s">
        <v>36</v>
      </c>
      <c r="G2309" s="7">
        <v>-1.51</v>
      </c>
      <c r="H2309" s="13">
        <f>IFERROR(IF(ABS($G2309)&gt;0,VLOOKUP($E2309,'Fuel Category and Heat Rate'!$B$1:$G$34,6,FALSE)*($G2309),""),"")</f>
        <v>-2483639610168.5044</v>
      </c>
      <c r="I2309" t="str">
        <f>IFERROR(VLOOKUP($E2309,'Fuel Category and Heat Rate'!$K$2:$M$36,3,FALSE),"")</f>
        <v>LPG propane or butane</v>
      </c>
    </row>
    <row r="2310" spans="1:9" x14ac:dyDescent="0.15">
      <c r="A2310" s="2">
        <v>260132</v>
      </c>
      <c r="B2310" s="2" t="s">
        <v>79</v>
      </c>
      <c r="C2310" s="2">
        <v>2020</v>
      </c>
      <c r="D2310" s="2" t="s">
        <v>1</v>
      </c>
      <c r="E2310" s="2" t="s">
        <v>8</v>
      </c>
      <c r="F2310" s="2" t="s">
        <v>35</v>
      </c>
      <c r="G2310" s="7"/>
      <c r="H2310" s="13" t="str">
        <f>IFERROR(IF(ABS($G2310)&gt;0,VLOOKUP($E2310,'Fuel Category and Heat Rate'!$B$1:$G$34,6,FALSE)*($G2310),""),"")</f>
        <v/>
      </c>
      <c r="I2310" t="str">
        <f>IFERROR(VLOOKUP($E2310,'Fuel Category and Heat Rate'!$K$2:$M$36,3,FALSE),"")</f>
        <v>coal</v>
      </c>
    </row>
    <row r="2311" spans="1:9" x14ac:dyDescent="0.15">
      <c r="A2311" s="2">
        <v>260167</v>
      </c>
      <c r="B2311" s="2" t="s">
        <v>79</v>
      </c>
      <c r="C2311" s="2">
        <v>2020</v>
      </c>
      <c r="D2311" s="2" t="s">
        <v>1</v>
      </c>
      <c r="E2311" s="2" t="s">
        <v>27</v>
      </c>
      <c r="F2311" s="2" t="s">
        <v>35</v>
      </c>
      <c r="G2311" s="7">
        <v>-5.21</v>
      </c>
      <c r="H2311" s="13">
        <f>IFERROR(IF(ABS($G2311)&gt;0,VLOOKUP($E2311,'Fuel Category and Heat Rate'!$B$1:$G$34,6,FALSE)*($G2311),""),"")</f>
        <v>-2271439753639.5825</v>
      </c>
      <c r="I2311" t="str">
        <f>IFERROR(VLOOKUP($E2311,'Fuel Category and Heat Rate'!$K$2:$M$36,3,FALSE),"")</f>
        <v>LPG propane or butane</v>
      </c>
    </row>
    <row r="2312" spans="1:9" x14ac:dyDescent="0.15">
      <c r="A2312" s="2">
        <v>260202</v>
      </c>
      <c r="B2312" s="2" t="s">
        <v>79</v>
      </c>
      <c r="C2312" s="2">
        <v>2020</v>
      </c>
      <c r="D2312" s="2" t="s">
        <v>1</v>
      </c>
      <c r="E2312" s="2" t="s">
        <v>7</v>
      </c>
      <c r="F2312" s="2" t="s">
        <v>35</v>
      </c>
      <c r="G2312" s="7"/>
      <c r="H2312" s="13" t="str">
        <f>IFERROR(IF(ABS($G2312)&gt;0,VLOOKUP($E2312,'Fuel Category and Heat Rate'!$B$1:$G$34,6,FALSE)*($G2312),""),"")</f>
        <v/>
      </c>
      <c r="I2312" t="str">
        <f>IFERROR(VLOOKUP($E2312,'Fuel Category and Heat Rate'!$K$2:$M$36,3,FALSE),"")</f>
        <v>coal</v>
      </c>
    </row>
    <row r="2313" spans="1:9" x14ac:dyDescent="0.15">
      <c r="A2313" s="2">
        <v>260237</v>
      </c>
      <c r="B2313" s="2" t="s">
        <v>79</v>
      </c>
      <c r="C2313" s="2">
        <v>2020</v>
      </c>
      <c r="D2313" s="2" t="s">
        <v>1</v>
      </c>
      <c r="E2313" s="2" t="s">
        <v>2</v>
      </c>
      <c r="F2313" s="2" t="s">
        <v>35</v>
      </c>
      <c r="G2313" s="7">
        <v>-3822.94</v>
      </c>
      <c r="H2313" s="13">
        <f>IFERROR(IF(ABS($G2313)&gt;0,VLOOKUP($E2313,'Fuel Category and Heat Rate'!$B$1:$G$34,6,FALSE)*($G2313),""),"")</f>
        <v>0</v>
      </c>
      <c r="I2313" t="str">
        <f>IFERROR(VLOOKUP($E2313,'Fuel Category and Heat Rate'!$K$2:$M$36,3,FALSE),"")</f>
        <v/>
      </c>
    </row>
    <row r="2314" spans="1:9" x14ac:dyDescent="0.15">
      <c r="A2314" s="2">
        <v>260272</v>
      </c>
      <c r="B2314" s="2" t="s">
        <v>79</v>
      </c>
      <c r="C2314" s="2">
        <v>2020</v>
      </c>
      <c r="D2314" s="2" t="s">
        <v>1</v>
      </c>
      <c r="E2314" s="2" t="s">
        <v>17</v>
      </c>
      <c r="F2314" s="2" t="s">
        <v>35</v>
      </c>
      <c r="G2314" s="7"/>
      <c r="H2314" s="13" t="str">
        <f>IFERROR(IF(ABS($G2314)&gt;0,VLOOKUP($E2314,'Fuel Category and Heat Rate'!$B$1:$G$34,6,FALSE)*($G2314),""),"")</f>
        <v/>
      </c>
      <c r="I2314" t="str">
        <f>IFERROR(VLOOKUP($E2314,'Fuel Category and Heat Rate'!$K$2:$M$36,3,FALSE),"")</f>
        <v>petroleum diesel</v>
      </c>
    </row>
    <row r="2315" spans="1:9" x14ac:dyDescent="0.15">
      <c r="A2315" s="2">
        <v>260307</v>
      </c>
      <c r="B2315" s="2" t="s">
        <v>79</v>
      </c>
      <c r="C2315" s="2">
        <v>2020</v>
      </c>
      <c r="D2315" s="2" t="s">
        <v>1</v>
      </c>
      <c r="E2315" s="2" t="s">
        <v>13</v>
      </c>
      <c r="F2315" s="2" t="s">
        <v>35</v>
      </c>
      <c r="G2315" s="7"/>
      <c r="H2315" s="13" t="str">
        <f>IFERROR(IF(ABS($G2315)&gt;0,VLOOKUP($E2315,'Fuel Category and Heat Rate'!$B$1:$G$34,6,FALSE)*($G2315),""),"")</f>
        <v/>
      </c>
      <c r="I2315" t="str">
        <f>IFERROR(VLOOKUP($E2315,'Fuel Category and Heat Rate'!$K$2:$M$36,3,FALSE),"")</f>
        <v>petroleum diesel</v>
      </c>
    </row>
    <row r="2316" spans="1:9" x14ac:dyDescent="0.15">
      <c r="A2316" s="2">
        <v>260342</v>
      </c>
      <c r="B2316" s="2" t="s">
        <v>79</v>
      </c>
      <c r="C2316" s="2">
        <v>2020</v>
      </c>
      <c r="D2316" s="2" t="s">
        <v>1</v>
      </c>
      <c r="E2316" s="2" t="s">
        <v>12</v>
      </c>
      <c r="F2316" s="2" t="s">
        <v>36</v>
      </c>
      <c r="G2316" s="7"/>
      <c r="H2316" s="13" t="str">
        <f>IFERROR(IF(ABS($G2316)&gt;0,VLOOKUP($E2316,'Fuel Category and Heat Rate'!$B$1:$G$34,6,FALSE)*($G2316),""),"")</f>
        <v/>
      </c>
      <c r="I2316" t="str">
        <f>IFERROR(VLOOKUP($E2316,'Fuel Category and Heat Rate'!$K$2:$M$36,3,FALSE),"")</f>
        <v>LPG propane or butane</v>
      </c>
    </row>
    <row r="2317" spans="1:9" x14ac:dyDescent="0.15">
      <c r="A2317" s="2">
        <v>260377</v>
      </c>
      <c r="B2317" s="2" t="s">
        <v>79</v>
      </c>
      <c r="C2317" s="2">
        <v>2020</v>
      </c>
      <c r="D2317" s="2" t="s">
        <v>1</v>
      </c>
      <c r="E2317" s="2" t="s">
        <v>33</v>
      </c>
      <c r="F2317" s="2" t="s">
        <v>38</v>
      </c>
      <c r="G2317" s="7">
        <v>-62.33</v>
      </c>
      <c r="H2317" s="13">
        <f>IFERROR(IF(ABS($G2317)&gt;0,VLOOKUP($E2317,'Fuel Category and Heat Rate'!$B$1:$G$34,6,FALSE)*($G2317),""),"")</f>
        <v>-17292557829995.443</v>
      </c>
      <c r="I2317" t="str">
        <f>IFERROR(VLOOKUP($E2317,'Fuel Category and Heat Rate'!$K$2:$M$36,3,FALSE),"")</f>
        <v>biomass</v>
      </c>
    </row>
    <row r="2318" spans="1:9" x14ac:dyDescent="0.15">
      <c r="A2318" s="2">
        <v>260412</v>
      </c>
      <c r="B2318" s="2" t="s">
        <v>79</v>
      </c>
      <c r="C2318" s="2">
        <v>2020</v>
      </c>
      <c r="D2318" s="2" t="s">
        <v>1</v>
      </c>
      <c r="E2318" s="2" t="s">
        <v>28</v>
      </c>
      <c r="F2318" s="2" t="s">
        <v>35</v>
      </c>
      <c r="G2318" s="7"/>
      <c r="H2318" s="13" t="str">
        <f>IFERROR(IF(ABS($G2318)&gt;0,VLOOKUP($E2318,'Fuel Category and Heat Rate'!$B$1:$G$34,6,FALSE)*($G2318),""),"")</f>
        <v/>
      </c>
      <c r="I2318" t="str">
        <f>IFERROR(VLOOKUP($E2318,'Fuel Category and Heat Rate'!$K$2:$M$36,3,FALSE),"")</f>
        <v>heavy or residual fuel oil</v>
      </c>
    </row>
    <row r="2319" spans="1:9" x14ac:dyDescent="0.15">
      <c r="A2319" s="2">
        <v>260447</v>
      </c>
      <c r="B2319" s="2" t="s">
        <v>79</v>
      </c>
      <c r="C2319" s="2">
        <v>2020</v>
      </c>
      <c r="D2319" s="2" t="s">
        <v>1</v>
      </c>
      <c r="E2319" s="2" t="s">
        <v>5</v>
      </c>
      <c r="F2319" s="2" t="s">
        <v>35</v>
      </c>
      <c r="G2319" s="7">
        <v>-82.83</v>
      </c>
      <c r="H2319" s="13">
        <f>IFERROR(IF(ABS($G2319)&gt;0,VLOOKUP($E2319,'Fuel Category and Heat Rate'!$B$1:$G$34,6,FALSE)*($G2319),""),"")</f>
        <v>-6565598304582.6436</v>
      </c>
      <c r="I2319" t="str">
        <f>IFERROR(VLOOKUP($E2319,'Fuel Category and Heat Rate'!$K$2:$M$36,3,FALSE),"")</f>
        <v>coal</v>
      </c>
    </row>
    <row r="2320" spans="1:9" x14ac:dyDescent="0.15">
      <c r="A2320" s="2">
        <v>260482</v>
      </c>
      <c r="B2320" s="2" t="s">
        <v>79</v>
      </c>
      <c r="C2320" s="2">
        <v>2020</v>
      </c>
      <c r="D2320" s="2" t="s">
        <v>1</v>
      </c>
      <c r="E2320" s="2" t="s">
        <v>16</v>
      </c>
      <c r="F2320" s="2" t="s">
        <v>35</v>
      </c>
      <c r="G2320" s="7"/>
      <c r="H2320" s="13" t="str">
        <f>IFERROR(IF(ABS($G2320)&gt;0,VLOOKUP($E2320,'Fuel Category and Heat Rate'!$B$1:$G$34,6,FALSE)*($G2320),""),"")</f>
        <v/>
      </c>
      <c r="I2320" t="str">
        <f>IFERROR(VLOOKUP($E2320,'Fuel Category and Heat Rate'!$K$2:$M$36,3,FALSE),"")</f>
        <v>petroleum diesel</v>
      </c>
    </row>
    <row r="2321" spans="1:9" x14ac:dyDescent="0.15">
      <c r="A2321" s="2">
        <v>260517</v>
      </c>
      <c r="B2321" s="2" t="s">
        <v>79</v>
      </c>
      <c r="C2321" s="2">
        <v>2020</v>
      </c>
      <c r="D2321" s="2" t="s">
        <v>1</v>
      </c>
      <c r="E2321" s="2" t="s">
        <v>19</v>
      </c>
      <c r="F2321" s="2" t="s">
        <v>35</v>
      </c>
      <c r="G2321" s="7">
        <v>-0.01</v>
      </c>
      <c r="H2321" s="13">
        <f>IFERROR(IF(ABS($G2321)&gt;0,VLOOKUP($E2321,'Fuel Category and Heat Rate'!$B$1:$G$34,6,FALSE)*($G2321),""),"")</f>
        <v>-3963392080.144383</v>
      </c>
      <c r="I2321" t="str">
        <f>IFERROR(VLOOKUP($E2321,'Fuel Category and Heat Rate'!$K$2:$M$36,3,FALSE),"")</f>
        <v>heavy or residual fuel oil</v>
      </c>
    </row>
    <row r="2322" spans="1:9" x14ac:dyDescent="0.15">
      <c r="A2322" s="2">
        <v>260552</v>
      </c>
      <c r="B2322" s="2" t="s">
        <v>79</v>
      </c>
      <c r="C2322" s="2">
        <v>2020</v>
      </c>
      <c r="D2322" s="2" t="s">
        <v>1</v>
      </c>
      <c r="E2322" s="2" t="s">
        <v>31</v>
      </c>
      <c r="F2322" s="2" t="s">
        <v>37</v>
      </c>
      <c r="G2322" s="7">
        <v>61459.09</v>
      </c>
      <c r="H2322" s="13">
        <f>IFERROR(IF(ABS($G2322)&gt;0,VLOOKUP($E2322,'Fuel Category and Heat Rate'!$B$1:$G$34,6,FALSE)*($G2322),""),"")</f>
        <v>582519778455330.13</v>
      </c>
      <c r="I2322" t="str">
        <f>IFERROR(VLOOKUP($E2322,'Fuel Category and Heat Rate'!$K$2:$M$36,3,FALSE),"")</f>
        <v>heat</v>
      </c>
    </row>
    <row r="2323" spans="1:9" x14ac:dyDescent="0.15">
      <c r="A2323" s="2">
        <v>260587</v>
      </c>
      <c r="B2323" s="2" t="s">
        <v>79</v>
      </c>
      <c r="C2323" s="2">
        <v>2020</v>
      </c>
      <c r="D2323" s="2" t="s">
        <v>1</v>
      </c>
      <c r="E2323" s="2" t="s">
        <v>23</v>
      </c>
      <c r="F2323" s="2" t="s">
        <v>35</v>
      </c>
      <c r="G2323" s="7"/>
      <c r="H2323" s="13" t="str">
        <f>IFERROR(IF(ABS($G2323)&gt;0,VLOOKUP($E2323,'Fuel Category and Heat Rate'!$B$1:$G$34,6,FALSE)*($G2323),""),"")</f>
        <v/>
      </c>
      <c r="I2323" t="str">
        <f>IFERROR(VLOOKUP($E2323,'Fuel Category and Heat Rate'!$K$2:$M$36,3,FALSE),"")</f>
        <v>heavy or residual fuel oil</v>
      </c>
    </row>
    <row r="2324" spans="1:9" x14ac:dyDescent="0.15">
      <c r="A2324" s="2">
        <v>260622</v>
      </c>
      <c r="B2324" s="2" t="s">
        <v>79</v>
      </c>
      <c r="C2324" s="2">
        <v>2020</v>
      </c>
      <c r="D2324" s="2" t="s">
        <v>1</v>
      </c>
      <c r="E2324" s="2" t="s">
        <v>21</v>
      </c>
      <c r="F2324" s="2" t="s">
        <v>35</v>
      </c>
      <c r="G2324" s="7"/>
      <c r="H2324" s="13" t="str">
        <f>IFERROR(IF(ABS($G2324)&gt;0,VLOOKUP($E2324,'Fuel Category and Heat Rate'!$B$1:$G$34,6,FALSE)*($G2324),""),"")</f>
        <v/>
      </c>
      <c r="I2324" t="str">
        <f>IFERROR(VLOOKUP($E2324,'Fuel Category and Heat Rate'!$K$2:$M$36,3,FALSE),"")</f>
        <v>LPG propane or butane</v>
      </c>
    </row>
    <row r="2325" spans="1:9" x14ac:dyDescent="0.15">
      <c r="A2325" s="2">
        <v>260657</v>
      </c>
      <c r="B2325" s="2" t="s">
        <v>79</v>
      </c>
      <c r="C2325" s="2">
        <v>2020</v>
      </c>
      <c r="D2325" s="2" t="s">
        <v>1</v>
      </c>
      <c r="E2325" s="2" t="s">
        <v>22</v>
      </c>
      <c r="F2325" s="2" t="s">
        <v>35</v>
      </c>
      <c r="G2325" s="7"/>
      <c r="H2325" s="13" t="str">
        <f>IFERROR(IF(ABS($G2325)&gt;0,VLOOKUP($E2325,'Fuel Category and Heat Rate'!$B$1:$G$34,6,FALSE)*($G2325),""),"")</f>
        <v/>
      </c>
      <c r="I2325" t="str">
        <f>IFERROR(VLOOKUP($E2325,'Fuel Category and Heat Rate'!$K$2:$M$36,3,FALSE),"")</f>
        <v>heavy fuel oil</v>
      </c>
    </row>
    <row r="2326" spans="1:9" x14ac:dyDescent="0.15">
      <c r="A2326" s="2">
        <v>260692</v>
      </c>
      <c r="B2326" s="2" t="s">
        <v>79</v>
      </c>
      <c r="C2326" s="2">
        <v>2020</v>
      </c>
      <c r="D2326" s="2" t="s">
        <v>1</v>
      </c>
      <c r="E2326" s="2" t="s">
        <v>20</v>
      </c>
      <c r="F2326" s="2" t="s">
        <v>35</v>
      </c>
      <c r="G2326" s="7"/>
      <c r="H2326" s="13" t="str">
        <f>IFERROR(IF(ABS($G2326)&gt;0,VLOOKUP($E2326,'Fuel Category and Heat Rate'!$B$1:$G$34,6,FALSE)*($G2326),""),"")</f>
        <v/>
      </c>
      <c r="I2326" t="str">
        <f>IFERROR(VLOOKUP($E2326,'Fuel Category and Heat Rate'!$K$2:$M$36,3,FALSE),"")</f>
        <v>LPG propane or butane</v>
      </c>
    </row>
    <row r="2327" spans="1:9" x14ac:dyDescent="0.15">
      <c r="A2327" s="2">
        <v>260727</v>
      </c>
      <c r="B2327" s="2" t="s">
        <v>79</v>
      </c>
      <c r="C2327" s="2">
        <v>2020</v>
      </c>
      <c r="D2327" s="2" t="s">
        <v>1</v>
      </c>
      <c r="E2327" s="2" t="s">
        <v>25</v>
      </c>
      <c r="F2327" s="2" t="s">
        <v>35</v>
      </c>
      <c r="G2327" s="7">
        <v>-0.87</v>
      </c>
      <c r="H2327" s="13">
        <f>IFERROR(IF(ABS($G2327)&gt;0,VLOOKUP($E2327,'Fuel Category and Heat Rate'!$B$1:$G$34,6,FALSE)*($G2327),""),"")</f>
        <v>-263435248475.23474</v>
      </c>
      <c r="I2327" t="str">
        <f>IFERROR(VLOOKUP($E2327,'Fuel Category and Heat Rate'!$K$2:$M$36,3,FALSE),"")</f>
        <v>heavy fuel oil</v>
      </c>
    </row>
    <row r="2328" spans="1:9" x14ac:dyDescent="0.15">
      <c r="A2328" s="2">
        <v>260762</v>
      </c>
      <c r="B2328" s="2" t="s">
        <v>79</v>
      </c>
      <c r="C2328" s="2">
        <v>2020</v>
      </c>
      <c r="D2328" s="2" t="s">
        <v>1</v>
      </c>
      <c r="E2328" s="2" t="s">
        <v>24</v>
      </c>
      <c r="F2328" s="2" t="s">
        <v>35</v>
      </c>
      <c r="G2328" s="7"/>
      <c r="H2328" s="13" t="str">
        <f>IFERROR(IF(ABS($G2328)&gt;0,VLOOKUP($E2328,'Fuel Category and Heat Rate'!$B$1:$G$34,6,FALSE)*($G2328),""),"")</f>
        <v/>
      </c>
      <c r="I2328" t="str">
        <f>IFERROR(VLOOKUP($E2328,'Fuel Category and Heat Rate'!$K$2:$M$36,3,FALSE),"")</f>
        <v>heavy fuel oil</v>
      </c>
    </row>
    <row r="2329" spans="1:9" x14ac:dyDescent="0.15">
      <c r="A2329" s="2">
        <v>260797</v>
      </c>
      <c r="B2329" s="2" t="s">
        <v>79</v>
      </c>
      <c r="C2329" s="2">
        <v>2020</v>
      </c>
      <c r="D2329" s="2" t="s">
        <v>1</v>
      </c>
      <c r="E2329" s="2" t="s">
        <v>29</v>
      </c>
      <c r="F2329" s="2" t="s">
        <v>36</v>
      </c>
      <c r="G2329" s="7">
        <v>-18.239999999999998</v>
      </c>
      <c r="H2329" s="13">
        <f>IFERROR(IF(ABS($G2329)&gt;0,VLOOKUP($E2329,'Fuel Category and Heat Rate'!$B$1:$G$34,6,FALSE)*($G2329),""),"")</f>
        <v>-61519139484416.867</v>
      </c>
      <c r="I2329" t="str">
        <f>IFERROR(VLOOKUP($E2329,'Fuel Category and Heat Rate'!$K$2:$M$36,3,FALSE),"")</f>
        <v>natural gas</v>
      </c>
    </row>
    <row r="2330" spans="1:9" x14ac:dyDescent="0.15">
      <c r="A2330" s="2">
        <v>260832</v>
      </c>
      <c r="B2330" s="2" t="s">
        <v>79</v>
      </c>
      <c r="C2330" s="2">
        <v>2020</v>
      </c>
      <c r="D2330" s="2" t="s">
        <v>1</v>
      </c>
      <c r="E2330" s="2" t="s">
        <v>4</v>
      </c>
      <c r="F2330" s="2" t="s">
        <v>35</v>
      </c>
      <c r="G2330" s="7"/>
      <c r="H2330" s="13" t="str">
        <f>IFERROR(IF(ABS($G2330)&gt;0,VLOOKUP($E2330,'Fuel Category and Heat Rate'!$B$1:$G$34,6,FALSE)*($G2330),""),"")</f>
        <v/>
      </c>
      <c r="I2330" t="str">
        <f>IFERROR(VLOOKUP($E2330,'Fuel Category and Heat Rate'!$K$2:$M$36,3,FALSE),"")</f>
        <v>coal</v>
      </c>
    </row>
    <row r="2331" spans="1:9" x14ac:dyDescent="0.15">
      <c r="A2331" s="2">
        <v>260867</v>
      </c>
      <c r="B2331" s="2" t="s">
        <v>79</v>
      </c>
      <c r="C2331" s="2">
        <v>2020</v>
      </c>
      <c r="D2331" s="2" t="s">
        <v>1</v>
      </c>
      <c r="E2331" s="2" t="s">
        <v>6</v>
      </c>
      <c r="F2331" s="2" t="s">
        <v>35</v>
      </c>
      <c r="G2331" s="7">
        <v>-3.18</v>
      </c>
      <c r="H2331" s="13">
        <f>IFERROR(IF(ABS($G2331)&gt;0,VLOOKUP($E2331,'Fuel Category and Heat Rate'!$B$1:$G$34,6,FALSE)*($G2331),""),"")</f>
        <v>-466365263981.04901</v>
      </c>
      <c r="I2331" t="str">
        <f>IFERROR(VLOOKUP($E2331,'Fuel Category and Heat Rate'!$K$2:$M$36,3,FALSE),"")</f>
        <v>coal</v>
      </c>
    </row>
    <row r="2332" spans="1:9" x14ac:dyDescent="0.15">
      <c r="A2332" s="2">
        <v>260902</v>
      </c>
      <c r="B2332" s="2" t="s">
        <v>79</v>
      </c>
      <c r="C2332" s="2">
        <v>2020</v>
      </c>
      <c r="D2332" s="2" t="s">
        <v>1</v>
      </c>
      <c r="E2332" s="2" t="s">
        <v>26</v>
      </c>
      <c r="F2332" s="2" t="s">
        <v>35</v>
      </c>
      <c r="G2332" s="7"/>
      <c r="H2332" s="13" t="str">
        <f>IFERROR(IF(ABS($G2332)&gt;0,VLOOKUP($E2332,'Fuel Category and Heat Rate'!$B$1:$G$34,6,FALSE)*($G2332),""),"")</f>
        <v/>
      </c>
      <c r="I2332" t="str">
        <f>IFERROR(VLOOKUP($E2332,'Fuel Category and Heat Rate'!$K$2:$M$36,3,FALSE),"")</f>
        <v>LPG propane or butane</v>
      </c>
    </row>
    <row r="2333" spans="1:9" x14ac:dyDescent="0.15">
      <c r="A2333" s="2">
        <v>260937</v>
      </c>
      <c r="B2333" s="2" t="s">
        <v>79</v>
      </c>
      <c r="C2333" s="2">
        <v>2020</v>
      </c>
      <c r="D2333" s="2" t="s">
        <v>1</v>
      </c>
      <c r="E2333" s="2" t="s">
        <v>30</v>
      </c>
      <c r="F2333" s="2" t="s">
        <v>35</v>
      </c>
      <c r="G2333" s="7">
        <v>-0.71</v>
      </c>
      <c r="H2333" s="13">
        <f>IFERROR(IF(ABS($G2333)&gt;0,VLOOKUP($E2333,'Fuel Category and Heat Rate'!$B$1:$G$34,6,FALSE)*($G2333),""),"")</f>
        <v>-346125183799.51166</v>
      </c>
      <c r="I2333" t="str">
        <f>IFERROR(VLOOKUP($E2333,'Fuel Category and Heat Rate'!$K$2:$M$36,3,FALSE),"")</f>
        <v>natural gas</v>
      </c>
    </row>
    <row r="2334" spans="1:9" x14ac:dyDescent="0.15">
      <c r="A2334" s="2">
        <v>260972</v>
      </c>
      <c r="B2334" s="2" t="s">
        <v>79</v>
      </c>
      <c r="C2334" s="2">
        <v>2020</v>
      </c>
      <c r="D2334" s="2" t="s">
        <v>1</v>
      </c>
      <c r="E2334" s="2" t="s">
        <v>14</v>
      </c>
      <c r="F2334" s="2" t="s">
        <v>35</v>
      </c>
      <c r="G2334" s="7">
        <v>-6.24</v>
      </c>
      <c r="H2334" s="13">
        <f>IFERROR(IF(ABS($G2334)&gt;0,VLOOKUP($E2334,'Fuel Category and Heat Rate'!$B$1:$G$34,6,FALSE)*($G2334),""),"")</f>
        <v>0</v>
      </c>
      <c r="I2334" t="str">
        <f>IFERROR(VLOOKUP($E2334,'Fuel Category and Heat Rate'!$K$2:$M$36,3,FALSE),"")</f>
        <v/>
      </c>
    </row>
    <row r="2335" spans="1:9" x14ac:dyDescent="0.15">
      <c r="A2335" s="2">
        <v>261007</v>
      </c>
      <c r="B2335" s="2" t="s">
        <v>79</v>
      </c>
      <c r="C2335" s="2">
        <v>2020</v>
      </c>
      <c r="D2335" s="2" t="s">
        <v>1</v>
      </c>
      <c r="E2335" s="2" t="s">
        <v>3</v>
      </c>
      <c r="F2335" s="2" t="s">
        <v>35</v>
      </c>
      <c r="G2335" s="7">
        <v>-3736.93</v>
      </c>
      <c r="H2335" s="13">
        <f>IFERROR(IF(ABS($G2335)&gt;0,VLOOKUP($E2335,'Fuel Category and Heat Rate'!$B$1:$G$34,6,FALSE)*($G2335),""),"")</f>
        <v>-740545938302697.38</v>
      </c>
      <c r="I2335" t="str">
        <f>IFERROR(VLOOKUP($E2335,'Fuel Category and Heat Rate'!$K$2:$M$36,3,FALSE),"")</f>
        <v>coal</v>
      </c>
    </row>
    <row r="2336" spans="1:9" x14ac:dyDescent="0.15">
      <c r="A2336" s="2">
        <v>261042</v>
      </c>
      <c r="B2336" s="2" t="s">
        <v>79</v>
      </c>
      <c r="C2336" s="2">
        <v>2020</v>
      </c>
      <c r="D2336" s="2" t="s">
        <v>1</v>
      </c>
      <c r="E2336" s="2" t="s">
        <v>15</v>
      </c>
      <c r="F2336" s="2" t="s">
        <v>35</v>
      </c>
      <c r="G2336" s="7"/>
      <c r="H2336" s="13" t="str">
        <f>IFERROR(IF(ABS($G2336)&gt;0,VLOOKUP($E2336,'Fuel Category and Heat Rate'!$B$1:$G$34,6,FALSE)*($G2336),""),"")</f>
        <v/>
      </c>
      <c r="I2336" t="str">
        <f>IFERROR(VLOOKUP($E2336,'Fuel Category and Heat Rate'!$K$2:$M$36,3,FALSE),"")</f>
        <v>crude oil</v>
      </c>
    </row>
    <row r="2337" spans="1:9" x14ac:dyDescent="0.15">
      <c r="A2337" s="2">
        <v>261077</v>
      </c>
      <c r="B2337" s="2" t="s">
        <v>79</v>
      </c>
      <c r="C2337" s="2">
        <v>2020</v>
      </c>
      <c r="D2337" s="2" t="s">
        <v>1</v>
      </c>
      <c r="E2337" s="2" t="s">
        <v>11</v>
      </c>
      <c r="F2337" s="2" t="s">
        <v>36</v>
      </c>
      <c r="G2337" s="7">
        <v>-3.24</v>
      </c>
      <c r="H2337" s="13">
        <f>IFERROR(IF(ABS($G2337)&gt;0,VLOOKUP($E2337,'Fuel Category and Heat Rate'!$B$1:$G$34,6,FALSE)*($G2337),""),"")</f>
        <v>-2439851880826.9727</v>
      </c>
      <c r="I2337" t="str">
        <f>IFERROR(VLOOKUP($E2337,'Fuel Category and Heat Rate'!$K$2:$M$36,3,FALSE),"")</f>
        <v>LPG propane or butane</v>
      </c>
    </row>
    <row r="2338" spans="1:9" x14ac:dyDescent="0.15">
      <c r="A2338" s="2">
        <v>261112</v>
      </c>
      <c r="B2338" s="2" t="s">
        <v>79</v>
      </c>
      <c r="C2338" s="2">
        <v>2019</v>
      </c>
      <c r="D2338" s="2" t="s">
        <v>1</v>
      </c>
      <c r="E2338" s="2" t="s">
        <v>18</v>
      </c>
      <c r="F2338" s="2" t="s">
        <v>35</v>
      </c>
      <c r="G2338" s="7">
        <v>-0.23</v>
      </c>
      <c r="H2338" s="13">
        <f>IFERROR(IF(ABS($G2338)&gt;0,VLOOKUP($E2338,'Fuel Category and Heat Rate'!$B$1:$G$34,6,FALSE)*($G2338),""),"")</f>
        <v>-92980480606.784943</v>
      </c>
      <c r="I2338" t="str">
        <f>IFERROR(VLOOKUP($E2338,'Fuel Category and Heat Rate'!$K$2:$M$36,3,FALSE),"")</f>
        <v>petroleum diesel</v>
      </c>
    </row>
    <row r="2339" spans="1:9" x14ac:dyDescent="0.15">
      <c r="A2339" s="2">
        <v>261147</v>
      </c>
      <c r="B2339" s="2" t="s">
        <v>79</v>
      </c>
      <c r="C2339" s="2">
        <v>2019</v>
      </c>
      <c r="D2339" s="2" t="s">
        <v>1</v>
      </c>
      <c r="E2339" s="2" t="s">
        <v>32</v>
      </c>
      <c r="F2339" s="2" t="s">
        <v>65</v>
      </c>
      <c r="G2339" s="7"/>
      <c r="H2339" s="13" t="str">
        <f>IFERROR(IF(ABS($G2339)&gt;0,VLOOKUP($E2339,'Fuel Category and Heat Rate'!$B$1:$G$34,6,FALSE)*($G2339),""),"")</f>
        <v/>
      </c>
      <c r="I2339" t="str">
        <f>IFERROR(VLOOKUP($E2339,'Fuel Category and Heat Rate'!$K$2:$M$36,3,FALSE),"")</f>
        <v>electricity</v>
      </c>
    </row>
    <row r="2340" spans="1:9" x14ac:dyDescent="0.15">
      <c r="A2340" s="2">
        <v>261182</v>
      </c>
      <c r="B2340" s="2" t="s">
        <v>79</v>
      </c>
      <c r="C2340" s="2">
        <v>2019</v>
      </c>
      <c r="D2340" s="2" t="s">
        <v>1</v>
      </c>
      <c r="E2340" s="2" t="s">
        <v>10</v>
      </c>
      <c r="F2340" s="2" t="s">
        <v>36</v>
      </c>
      <c r="G2340" s="7">
        <v>-54.29</v>
      </c>
      <c r="H2340" s="13">
        <f>IFERROR(IF(ABS($G2340)&gt;0,VLOOKUP($E2340,'Fuel Category and Heat Rate'!$B$1:$G$34,6,FALSE)*($G2340),""),"")</f>
        <v>-19363265935163.527</v>
      </c>
      <c r="I2340" t="str">
        <f>IFERROR(VLOOKUP($E2340,'Fuel Category and Heat Rate'!$K$2:$M$36,3,FALSE),"")</f>
        <v>LPG propane or butane</v>
      </c>
    </row>
    <row r="2341" spans="1:9" x14ac:dyDescent="0.15">
      <c r="A2341" s="2">
        <v>261217</v>
      </c>
      <c r="B2341" s="2" t="s">
        <v>79</v>
      </c>
      <c r="C2341" s="2">
        <v>2019</v>
      </c>
      <c r="D2341" s="2" t="s">
        <v>1</v>
      </c>
      <c r="E2341" s="2" t="s">
        <v>9</v>
      </c>
      <c r="F2341" s="2" t="s">
        <v>36</v>
      </c>
      <c r="G2341" s="7">
        <v>-1.58</v>
      </c>
      <c r="H2341" s="13">
        <f>IFERROR(IF(ABS($G2341)&gt;0,VLOOKUP($E2341,'Fuel Category and Heat Rate'!$B$1:$G$34,6,FALSE)*($G2341),""),"")</f>
        <v>-2598775221235.9189</v>
      </c>
      <c r="I2341" t="str">
        <f>IFERROR(VLOOKUP($E2341,'Fuel Category and Heat Rate'!$K$2:$M$36,3,FALSE),"")</f>
        <v>LPG propane or butane</v>
      </c>
    </row>
    <row r="2342" spans="1:9" x14ac:dyDescent="0.15">
      <c r="A2342" s="2">
        <v>261252</v>
      </c>
      <c r="B2342" s="2" t="s">
        <v>79</v>
      </c>
      <c r="C2342" s="2">
        <v>2019</v>
      </c>
      <c r="D2342" s="2" t="s">
        <v>1</v>
      </c>
      <c r="E2342" s="2" t="s">
        <v>8</v>
      </c>
      <c r="F2342" s="2" t="s">
        <v>35</v>
      </c>
      <c r="G2342" s="7"/>
      <c r="H2342" s="13" t="str">
        <f>IFERROR(IF(ABS($G2342)&gt;0,VLOOKUP($E2342,'Fuel Category and Heat Rate'!$B$1:$G$34,6,FALSE)*($G2342),""),"")</f>
        <v/>
      </c>
      <c r="I2342" t="str">
        <f>IFERROR(VLOOKUP($E2342,'Fuel Category and Heat Rate'!$K$2:$M$36,3,FALSE),"")</f>
        <v>coal</v>
      </c>
    </row>
    <row r="2343" spans="1:9" x14ac:dyDescent="0.15">
      <c r="A2343" s="2">
        <v>261287</v>
      </c>
      <c r="B2343" s="2" t="s">
        <v>79</v>
      </c>
      <c r="C2343" s="2">
        <v>2019</v>
      </c>
      <c r="D2343" s="2" t="s">
        <v>1</v>
      </c>
      <c r="E2343" s="2" t="s">
        <v>27</v>
      </c>
      <c r="F2343" s="2" t="s">
        <v>35</v>
      </c>
      <c r="G2343" s="7">
        <v>-7.63</v>
      </c>
      <c r="H2343" s="13">
        <f>IFERROR(IF(ABS($G2343)&gt;0,VLOOKUP($E2343,'Fuel Category and Heat Rate'!$B$1:$G$34,6,FALSE)*($G2343),""),"")</f>
        <v>-3326503900243.7646</v>
      </c>
      <c r="I2343" t="str">
        <f>IFERROR(VLOOKUP($E2343,'Fuel Category and Heat Rate'!$K$2:$M$36,3,FALSE),"")</f>
        <v>LPG propane or butane</v>
      </c>
    </row>
    <row r="2344" spans="1:9" x14ac:dyDescent="0.15">
      <c r="A2344" s="2">
        <v>261322</v>
      </c>
      <c r="B2344" s="2" t="s">
        <v>79</v>
      </c>
      <c r="C2344" s="2">
        <v>2019</v>
      </c>
      <c r="D2344" s="2" t="s">
        <v>1</v>
      </c>
      <c r="E2344" s="2" t="s">
        <v>7</v>
      </c>
      <c r="F2344" s="2" t="s">
        <v>35</v>
      </c>
      <c r="G2344" s="7"/>
      <c r="H2344" s="13" t="str">
        <f>IFERROR(IF(ABS($G2344)&gt;0,VLOOKUP($E2344,'Fuel Category and Heat Rate'!$B$1:$G$34,6,FALSE)*($G2344),""),"")</f>
        <v/>
      </c>
      <c r="I2344" t="str">
        <f>IFERROR(VLOOKUP($E2344,'Fuel Category and Heat Rate'!$K$2:$M$36,3,FALSE),"")</f>
        <v>coal</v>
      </c>
    </row>
    <row r="2345" spans="1:9" x14ac:dyDescent="0.15">
      <c r="A2345" s="2">
        <v>261357</v>
      </c>
      <c r="B2345" s="2" t="s">
        <v>79</v>
      </c>
      <c r="C2345" s="2">
        <v>2019</v>
      </c>
      <c r="D2345" s="2" t="s">
        <v>1</v>
      </c>
      <c r="E2345" s="2" t="s">
        <v>2</v>
      </c>
      <c r="F2345" s="2" t="s">
        <v>35</v>
      </c>
      <c r="G2345" s="7">
        <v>-3758.41</v>
      </c>
      <c r="H2345" s="13">
        <f>IFERROR(IF(ABS($G2345)&gt;0,VLOOKUP($E2345,'Fuel Category and Heat Rate'!$B$1:$G$34,6,FALSE)*($G2345),""),"")</f>
        <v>0</v>
      </c>
      <c r="I2345" t="str">
        <f>IFERROR(VLOOKUP($E2345,'Fuel Category and Heat Rate'!$K$2:$M$36,3,FALSE),"")</f>
        <v/>
      </c>
    </row>
    <row r="2346" spans="1:9" x14ac:dyDescent="0.15">
      <c r="A2346" s="2">
        <v>261392</v>
      </c>
      <c r="B2346" s="2" t="s">
        <v>79</v>
      </c>
      <c r="C2346" s="2">
        <v>2019</v>
      </c>
      <c r="D2346" s="2" t="s">
        <v>1</v>
      </c>
      <c r="E2346" s="2" t="s">
        <v>17</v>
      </c>
      <c r="F2346" s="2" t="s">
        <v>35</v>
      </c>
      <c r="G2346" s="7"/>
      <c r="H2346" s="13" t="str">
        <f>IFERROR(IF(ABS($G2346)&gt;0,VLOOKUP($E2346,'Fuel Category and Heat Rate'!$B$1:$G$34,6,FALSE)*($G2346),""),"")</f>
        <v/>
      </c>
      <c r="I2346" t="str">
        <f>IFERROR(VLOOKUP($E2346,'Fuel Category and Heat Rate'!$K$2:$M$36,3,FALSE),"")</f>
        <v>petroleum diesel</v>
      </c>
    </row>
    <row r="2347" spans="1:9" x14ac:dyDescent="0.15">
      <c r="A2347" s="2">
        <v>261427</v>
      </c>
      <c r="B2347" s="2" t="s">
        <v>79</v>
      </c>
      <c r="C2347" s="2">
        <v>2019</v>
      </c>
      <c r="D2347" s="2" t="s">
        <v>1</v>
      </c>
      <c r="E2347" s="2" t="s">
        <v>13</v>
      </c>
      <c r="F2347" s="2" t="s">
        <v>35</v>
      </c>
      <c r="G2347" s="7"/>
      <c r="H2347" s="13" t="str">
        <f>IFERROR(IF(ABS($G2347)&gt;0,VLOOKUP($E2347,'Fuel Category and Heat Rate'!$B$1:$G$34,6,FALSE)*($G2347),""),"")</f>
        <v/>
      </c>
      <c r="I2347" t="str">
        <f>IFERROR(VLOOKUP($E2347,'Fuel Category and Heat Rate'!$K$2:$M$36,3,FALSE),"")</f>
        <v>petroleum diesel</v>
      </c>
    </row>
    <row r="2348" spans="1:9" x14ac:dyDescent="0.15">
      <c r="A2348" s="2">
        <v>261462</v>
      </c>
      <c r="B2348" s="2" t="s">
        <v>79</v>
      </c>
      <c r="C2348" s="2">
        <v>2019</v>
      </c>
      <c r="D2348" s="2" t="s">
        <v>1</v>
      </c>
      <c r="E2348" s="2" t="s">
        <v>12</v>
      </c>
      <c r="F2348" s="2" t="s">
        <v>36</v>
      </c>
      <c r="G2348" s="7"/>
      <c r="H2348" s="13" t="str">
        <f>IFERROR(IF(ABS($G2348)&gt;0,VLOOKUP($E2348,'Fuel Category and Heat Rate'!$B$1:$G$34,6,FALSE)*($G2348),""),"")</f>
        <v/>
      </c>
      <c r="I2348" t="str">
        <f>IFERROR(VLOOKUP($E2348,'Fuel Category and Heat Rate'!$K$2:$M$36,3,FALSE),"")</f>
        <v>LPG propane or butane</v>
      </c>
    </row>
    <row r="2349" spans="1:9" x14ac:dyDescent="0.15">
      <c r="A2349" s="2">
        <v>261497</v>
      </c>
      <c r="B2349" s="2" t="s">
        <v>79</v>
      </c>
      <c r="C2349" s="2">
        <v>2019</v>
      </c>
      <c r="D2349" s="2" t="s">
        <v>1</v>
      </c>
      <c r="E2349" s="2" t="s">
        <v>33</v>
      </c>
      <c r="F2349" s="2" t="s">
        <v>38</v>
      </c>
      <c r="G2349" s="7">
        <v>-59</v>
      </c>
      <c r="H2349" s="13">
        <f>IFERROR(IF(ABS($G2349)&gt;0,VLOOKUP($E2349,'Fuel Category and Heat Rate'!$B$1:$G$34,6,FALSE)*($G2349),""),"")</f>
        <v>-16368697448575.826</v>
      </c>
      <c r="I2349" t="str">
        <f>IFERROR(VLOOKUP($E2349,'Fuel Category and Heat Rate'!$K$2:$M$36,3,FALSE),"")</f>
        <v>biomass</v>
      </c>
    </row>
    <row r="2350" spans="1:9" x14ac:dyDescent="0.15">
      <c r="A2350" s="2">
        <v>261532</v>
      </c>
      <c r="B2350" s="2" t="s">
        <v>79</v>
      </c>
      <c r="C2350" s="2">
        <v>2019</v>
      </c>
      <c r="D2350" s="2" t="s">
        <v>1</v>
      </c>
      <c r="E2350" s="2" t="s">
        <v>28</v>
      </c>
      <c r="F2350" s="2" t="s">
        <v>35</v>
      </c>
      <c r="G2350" s="7"/>
      <c r="H2350" s="13" t="str">
        <f>IFERROR(IF(ABS($G2350)&gt;0,VLOOKUP($E2350,'Fuel Category and Heat Rate'!$B$1:$G$34,6,FALSE)*($G2350),""),"")</f>
        <v/>
      </c>
      <c r="I2350" t="str">
        <f>IFERROR(VLOOKUP($E2350,'Fuel Category and Heat Rate'!$K$2:$M$36,3,FALSE),"")</f>
        <v>heavy or residual fuel oil</v>
      </c>
    </row>
    <row r="2351" spans="1:9" x14ac:dyDescent="0.15">
      <c r="A2351" s="2">
        <v>261567</v>
      </c>
      <c r="B2351" s="2" t="s">
        <v>79</v>
      </c>
      <c r="C2351" s="2">
        <v>2019</v>
      </c>
      <c r="D2351" s="2" t="s">
        <v>1</v>
      </c>
      <c r="E2351" s="2" t="s">
        <v>5</v>
      </c>
      <c r="F2351" s="2" t="s">
        <v>35</v>
      </c>
      <c r="G2351" s="7">
        <v>-96.51</v>
      </c>
      <c r="H2351" s="13">
        <f>IFERROR(IF(ABS($G2351)&gt;0,VLOOKUP($E2351,'Fuel Category and Heat Rate'!$B$1:$G$34,6,FALSE)*($G2351),""),"")</f>
        <v>-7649956445433.6709</v>
      </c>
      <c r="I2351" t="str">
        <f>IFERROR(VLOOKUP($E2351,'Fuel Category and Heat Rate'!$K$2:$M$36,3,FALSE),"")</f>
        <v>coal</v>
      </c>
    </row>
    <row r="2352" spans="1:9" x14ac:dyDescent="0.15">
      <c r="A2352" s="2">
        <v>261602</v>
      </c>
      <c r="B2352" s="2" t="s">
        <v>79</v>
      </c>
      <c r="C2352" s="2">
        <v>2019</v>
      </c>
      <c r="D2352" s="2" t="s">
        <v>1</v>
      </c>
      <c r="E2352" s="2" t="s">
        <v>16</v>
      </c>
      <c r="F2352" s="2" t="s">
        <v>35</v>
      </c>
      <c r="G2352" s="7"/>
      <c r="H2352" s="13" t="str">
        <f>IFERROR(IF(ABS($G2352)&gt;0,VLOOKUP($E2352,'Fuel Category and Heat Rate'!$B$1:$G$34,6,FALSE)*($G2352),""),"")</f>
        <v/>
      </c>
      <c r="I2352" t="str">
        <f>IFERROR(VLOOKUP($E2352,'Fuel Category and Heat Rate'!$K$2:$M$36,3,FALSE),"")</f>
        <v>petroleum diesel</v>
      </c>
    </row>
    <row r="2353" spans="1:9" x14ac:dyDescent="0.15">
      <c r="A2353" s="2">
        <v>261637</v>
      </c>
      <c r="B2353" s="2" t="s">
        <v>79</v>
      </c>
      <c r="C2353" s="2">
        <v>2019</v>
      </c>
      <c r="D2353" s="2" t="s">
        <v>1</v>
      </c>
      <c r="E2353" s="2" t="s">
        <v>19</v>
      </c>
      <c r="F2353" s="2" t="s">
        <v>35</v>
      </c>
      <c r="G2353" s="7"/>
      <c r="H2353" s="13" t="str">
        <f>IFERROR(IF(ABS($G2353)&gt;0,VLOOKUP($E2353,'Fuel Category and Heat Rate'!$B$1:$G$34,6,FALSE)*($G2353),""),"")</f>
        <v/>
      </c>
      <c r="I2353" t="str">
        <f>IFERROR(VLOOKUP($E2353,'Fuel Category and Heat Rate'!$K$2:$M$36,3,FALSE),"")</f>
        <v>heavy or residual fuel oil</v>
      </c>
    </row>
    <row r="2354" spans="1:9" x14ac:dyDescent="0.15">
      <c r="A2354" s="2">
        <v>261672</v>
      </c>
      <c r="B2354" s="2" t="s">
        <v>79</v>
      </c>
      <c r="C2354" s="2">
        <v>2019</v>
      </c>
      <c r="D2354" s="2" t="s">
        <v>1</v>
      </c>
      <c r="E2354" s="2" t="s">
        <v>31</v>
      </c>
      <c r="F2354" s="2" t="s">
        <v>37</v>
      </c>
      <c r="G2354" s="7">
        <v>61945.05</v>
      </c>
      <c r="H2354" s="13">
        <f>IFERROR(IF(ABS($G2354)&gt;0,VLOOKUP($E2354,'Fuel Category and Heat Rate'!$B$1:$G$34,6,FALSE)*($G2354),""),"")</f>
        <v>587125790544642.75</v>
      </c>
      <c r="I2354" t="str">
        <f>IFERROR(VLOOKUP($E2354,'Fuel Category and Heat Rate'!$K$2:$M$36,3,FALSE),"")</f>
        <v>heat</v>
      </c>
    </row>
    <row r="2355" spans="1:9" x14ac:dyDescent="0.15">
      <c r="A2355" s="2">
        <v>261707</v>
      </c>
      <c r="B2355" s="2" t="s">
        <v>79</v>
      </c>
      <c r="C2355" s="2">
        <v>2019</v>
      </c>
      <c r="D2355" s="2" t="s">
        <v>1</v>
      </c>
      <c r="E2355" s="2" t="s">
        <v>23</v>
      </c>
      <c r="F2355" s="2" t="s">
        <v>35</v>
      </c>
      <c r="G2355" s="7"/>
      <c r="H2355" s="13" t="str">
        <f>IFERROR(IF(ABS($G2355)&gt;0,VLOOKUP($E2355,'Fuel Category and Heat Rate'!$B$1:$G$34,6,FALSE)*($G2355),""),"")</f>
        <v/>
      </c>
      <c r="I2355" t="str">
        <f>IFERROR(VLOOKUP($E2355,'Fuel Category and Heat Rate'!$K$2:$M$36,3,FALSE),"")</f>
        <v>heavy or residual fuel oil</v>
      </c>
    </row>
    <row r="2356" spans="1:9" x14ac:dyDescent="0.15">
      <c r="A2356" s="2">
        <v>261742</v>
      </c>
      <c r="B2356" s="2" t="s">
        <v>79</v>
      </c>
      <c r="C2356" s="2">
        <v>2019</v>
      </c>
      <c r="D2356" s="2" t="s">
        <v>1</v>
      </c>
      <c r="E2356" s="2" t="s">
        <v>21</v>
      </c>
      <c r="F2356" s="2" t="s">
        <v>35</v>
      </c>
      <c r="G2356" s="7"/>
      <c r="H2356" s="13" t="str">
        <f>IFERROR(IF(ABS($G2356)&gt;0,VLOOKUP($E2356,'Fuel Category and Heat Rate'!$B$1:$G$34,6,FALSE)*($G2356),""),"")</f>
        <v/>
      </c>
      <c r="I2356" t="str">
        <f>IFERROR(VLOOKUP($E2356,'Fuel Category and Heat Rate'!$K$2:$M$36,3,FALSE),"")</f>
        <v>LPG propane or butane</v>
      </c>
    </row>
    <row r="2357" spans="1:9" x14ac:dyDescent="0.15">
      <c r="A2357" s="2">
        <v>261777</v>
      </c>
      <c r="B2357" s="2" t="s">
        <v>79</v>
      </c>
      <c r="C2357" s="2">
        <v>2019</v>
      </c>
      <c r="D2357" s="2" t="s">
        <v>1</v>
      </c>
      <c r="E2357" s="2" t="s">
        <v>22</v>
      </c>
      <c r="F2357" s="2" t="s">
        <v>35</v>
      </c>
      <c r="G2357" s="7"/>
      <c r="H2357" s="13" t="str">
        <f>IFERROR(IF(ABS($G2357)&gt;0,VLOOKUP($E2357,'Fuel Category and Heat Rate'!$B$1:$G$34,6,FALSE)*($G2357),""),"")</f>
        <v/>
      </c>
      <c r="I2357" t="str">
        <f>IFERROR(VLOOKUP($E2357,'Fuel Category and Heat Rate'!$K$2:$M$36,3,FALSE),"")</f>
        <v>heavy fuel oil</v>
      </c>
    </row>
    <row r="2358" spans="1:9" x14ac:dyDescent="0.15">
      <c r="A2358" s="2">
        <v>261812</v>
      </c>
      <c r="B2358" s="2" t="s">
        <v>79</v>
      </c>
      <c r="C2358" s="2">
        <v>2019</v>
      </c>
      <c r="D2358" s="2" t="s">
        <v>1</v>
      </c>
      <c r="E2358" s="2" t="s">
        <v>20</v>
      </c>
      <c r="F2358" s="2" t="s">
        <v>35</v>
      </c>
      <c r="G2358" s="7"/>
      <c r="H2358" s="13" t="str">
        <f>IFERROR(IF(ABS($G2358)&gt;0,VLOOKUP($E2358,'Fuel Category and Heat Rate'!$B$1:$G$34,6,FALSE)*($G2358),""),"")</f>
        <v/>
      </c>
      <c r="I2358" t="str">
        <f>IFERROR(VLOOKUP($E2358,'Fuel Category and Heat Rate'!$K$2:$M$36,3,FALSE),"")</f>
        <v>LPG propane or butane</v>
      </c>
    </row>
    <row r="2359" spans="1:9" x14ac:dyDescent="0.15">
      <c r="A2359" s="2">
        <v>261847</v>
      </c>
      <c r="B2359" s="2" t="s">
        <v>79</v>
      </c>
      <c r="C2359" s="2">
        <v>2019</v>
      </c>
      <c r="D2359" s="2" t="s">
        <v>1</v>
      </c>
      <c r="E2359" s="2" t="s">
        <v>25</v>
      </c>
      <c r="F2359" s="2" t="s">
        <v>35</v>
      </c>
      <c r="G2359" s="7"/>
      <c r="H2359" s="13" t="str">
        <f>IFERROR(IF(ABS($G2359)&gt;0,VLOOKUP($E2359,'Fuel Category and Heat Rate'!$B$1:$G$34,6,FALSE)*($G2359),""),"")</f>
        <v/>
      </c>
      <c r="I2359" t="str">
        <f>IFERROR(VLOOKUP($E2359,'Fuel Category and Heat Rate'!$K$2:$M$36,3,FALSE),"")</f>
        <v>heavy fuel oil</v>
      </c>
    </row>
    <row r="2360" spans="1:9" x14ac:dyDescent="0.15">
      <c r="A2360" s="2">
        <v>261882</v>
      </c>
      <c r="B2360" s="2" t="s">
        <v>79</v>
      </c>
      <c r="C2360" s="2">
        <v>2019</v>
      </c>
      <c r="D2360" s="2" t="s">
        <v>1</v>
      </c>
      <c r="E2360" s="2" t="s">
        <v>24</v>
      </c>
      <c r="F2360" s="2" t="s">
        <v>35</v>
      </c>
      <c r="G2360" s="7"/>
      <c r="H2360" s="13" t="str">
        <f>IFERROR(IF(ABS($G2360)&gt;0,VLOOKUP($E2360,'Fuel Category and Heat Rate'!$B$1:$G$34,6,FALSE)*($G2360),""),"")</f>
        <v/>
      </c>
      <c r="I2360" t="str">
        <f>IFERROR(VLOOKUP($E2360,'Fuel Category and Heat Rate'!$K$2:$M$36,3,FALSE),"")</f>
        <v>heavy fuel oil</v>
      </c>
    </row>
    <row r="2361" spans="1:9" x14ac:dyDescent="0.15">
      <c r="A2361" s="2">
        <v>261917</v>
      </c>
      <c r="B2361" s="2" t="s">
        <v>79</v>
      </c>
      <c r="C2361" s="2">
        <v>2019</v>
      </c>
      <c r="D2361" s="2" t="s">
        <v>1</v>
      </c>
      <c r="E2361" s="2" t="s">
        <v>29</v>
      </c>
      <c r="F2361" s="2" t="s">
        <v>36</v>
      </c>
      <c r="G2361" s="7">
        <v>-18.489999999999998</v>
      </c>
      <c r="H2361" s="13">
        <f>IFERROR(IF(ABS($G2361)&gt;0,VLOOKUP($E2361,'Fuel Category and Heat Rate'!$B$1:$G$34,6,FALSE)*($G2361),""),"")</f>
        <v>-62362329444455.469</v>
      </c>
      <c r="I2361" t="str">
        <f>IFERROR(VLOOKUP($E2361,'Fuel Category and Heat Rate'!$K$2:$M$36,3,FALSE),"")</f>
        <v>natural gas</v>
      </c>
    </row>
    <row r="2362" spans="1:9" x14ac:dyDescent="0.15">
      <c r="A2362" s="2">
        <v>261952</v>
      </c>
      <c r="B2362" s="2" t="s">
        <v>79</v>
      </c>
      <c r="C2362" s="2">
        <v>2019</v>
      </c>
      <c r="D2362" s="2" t="s">
        <v>1</v>
      </c>
      <c r="E2362" s="2" t="s">
        <v>4</v>
      </c>
      <c r="F2362" s="2" t="s">
        <v>35</v>
      </c>
      <c r="G2362" s="7"/>
      <c r="H2362" s="13" t="str">
        <f>IFERROR(IF(ABS($G2362)&gt;0,VLOOKUP($E2362,'Fuel Category and Heat Rate'!$B$1:$G$34,6,FALSE)*($G2362),""),"")</f>
        <v/>
      </c>
      <c r="I2362" t="str">
        <f>IFERROR(VLOOKUP($E2362,'Fuel Category and Heat Rate'!$K$2:$M$36,3,FALSE),"")</f>
        <v>coal</v>
      </c>
    </row>
    <row r="2363" spans="1:9" x14ac:dyDescent="0.15">
      <c r="A2363" s="2">
        <v>261987</v>
      </c>
      <c r="B2363" s="2" t="s">
        <v>79</v>
      </c>
      <c r="C2363" s="2">
        <v>2019</v>
      </c>
      <c r="D2363" s="2" t="s">
        <v>1</v>
      </c>
      <c r="E2363" s="2" t="s">
        <v>6</v>
      </c>
      <c r="F2363" s="2" t="s">
        <v>35</v>
      </c>
      <c r="G2363" s="7"/>
      <c r="H2363" s="13" t="str">
        <f>IFERROR(IF(ABS($G2363)&gt;0,VLOOKUP($E2363,'Fuel Category and Heat Rate'!$B$1:$G$34,6,FALSE)*($G2363),""),"")</f>
        <v/>
      </c>
      <c r="I2363" t="str">
        <f>IFERROR(VLOOKUP($E2363,'Fuel Category and Heat Rate'!$K$2:$M$36,3,FALSE),"")</f>
        <v>coal</v>
      </c>
    </row>
    <row r="2364" spans="1:9" x14ac:dyDescent="0.15">
      <c r="A2364" s="2">
        <v>262022</v>
      </c>
      <c r="B2364" s="2" t="s">
        <v>79</v>
      </c>
      <c r="C2364" s="2">
        <v>2019</v>
      </c>
      <c r="D2364" s="2" t="s">
        <v>1</v>
      </c>
      <c r="E2364" s="2" t="s">
        <v>26</v>
      </c>
      <c r="F2364" s="2" t="s">
        <v>35</v>
      </c>
      <c r="G2364" s="7"/>
      <c r="H2364" s="13" t="str">
        <f>IFERROR(IF(ABS($G2364)&gt;0,VLOOKUP($E2364,'Fuel Category and Heat Rate'!$B$1:$G$34,6,FALSE)*($G2364),""),"")</f>
        <v/>
      </c>
      <c r="I2364" t="str">
        <f>IFERROR(VLOOKUP($E2364,'Fuel Category and Heat Rate'!$K$2:$M$36,3,FALSE),"")</f>
        <v>LPG propane or butane</v>
      </c>
    </row>
    <row r="2365" spans="1:9" x14ac:dyDescent="0.15">
      <c r="A2365" s="2">
        <v>262057</v>
      </c>
      <c r="B2365" s="2" t="s">
        <v>79</v>
      </c>
      <c r="C2365" s="2">
        <v>2019</v>
      </c>
      <c r="D2365" s="2" t="s">
        <v>1</v>
      </c>
      <c r="E2365" s="2" t="s">
        <v>30</v>
      </c>
      <c r="F2365" s="2" t="s">
        <v>35</v>
      </c>
      <c r="G2365" s="7">
        <v>-0.73</v>
      </c>
      <c r="H2365" s="13">
        <f>IFERROR(IF(ABS($G2365)&gt;0,VLOOKUP($E2365,'Fuel Category and Heat Rate'!$B$1:$G$34,6,FALSE)*($G2365),""),"")</f>
        <v>-355875188976.96271</v>
      </c>
      <c r="I2365" t="str">
        <f>IFERROR(VLOOKUP($E2365,'Fuel Category and Heat Rate'!$K$2:$M$36,3,FALSE),"")</f>
        <v>natural gas</v>
      </c>
    </row>
    <row r="2366" spans="1:9" x14ac:dyDescent="0.15">
      <c r="A2366" s="2">
        <v>262092</v>
      </c>
      <c r="B2366" s="2" t="s">
        <v>79</v>
      </c>
      <c r="C2366" s="2">
        <v>2019</v>
      </c>
      <c r="D2366" s="2" t="s">
        <v>1</v>
      </c>
      <c r="E2366" s="2" t="s">
        <v>14</v>
      </c>
      <c r="F2366" s="2" t="s">
        <v>35</v>
      </c>
      <c r="G2366" s="7">
        <v>-7.86</v>
      </c>
      <c r="H2366" s="13">
        <f>IFERROR(IF(ABS($G2366)&gt;0,VLOOKUP($E2366,'Fuel Category and Heat Rate'!$B$1:$G$34,6,FALSE)*($G2366),""),"")</f>
        <v>0</v>
      </c>
      <c r="I2366" t="str">
        <f>IFERROR(VLOOKUP($E2366,'Fuel Category and Heat Rate'!$K$2:$M$36,3,FALSE),"")</f>
        <v/>
      </c>
    </row>
    <row r="2367" spans="1:9" x14ac:dyDescent="0.15">
      <c r="A2367" s="2">
        <v>262127</v>
      </c>
      <c r="B2367" s="2" t="s">
        <v>79</v>
      </c>
      <c r="C2367" s="2">
        <v>2019</v>
      </c>
      <c r="D2367" s="2" t="s">
        <v>1</v>
      </c>
      <c r="E2367" s="2" t="s">
        <v>3</v>
      </c>
      <c r="F2367" s="2" t="s">
        <v>35</v>
      </c>
      <c r="G2367" s="7">
        <v>-3661.9</v>
      </c>
      <c r="H2367" s="13">
        <f>IFERROR(IF(ABS($G2367)&gt;0,VLOOKUP($E2367,'Fuel Category and Heat Rate'!$B$1:$G$34,6,FALSE)*($G2367),""),"")</f>
        <v>-725677272914035.75</v>
      </c>
      <c r="I2367" t="str">
        <f>IFERROR(VLOOKUP($E2367,'Fuel Category and Heat Rate'!$K$2:$M$36,3,FALSE),"")</f>
        <v>coal</v>
      </c>
    </row>
    <row r="2368" spans="1:9" x14ac:dyDescent="0.15">
      <c r="A2368" s="2">
        <v>262162</v>
      </c>
      <c r="B2368" s="2" t="s">
        <v>79</v>
      </c>
      <c r="C2368" s="2">
        <v>2019</v>
      </c>
      <c r="D2368" s="2" t="s">
        <v>1</v>
      </c>
      <c r="E2368" s="2" t="s">
        <v>15</v>
      </c>
      <c r="F2368" s="2" t="s">
        <v>35</v>
      </c>
      <c r="G2368" s="7"/>
      <c r="H2368" s="13" t="str">
        <f>IFERROR(IF(ABS($G2368)&gt;0,VLOOKUP($E2368,'Fuel Category and Heat Rate'!$B$1:$G$34,6,FALSE)*($G2368),""),"")</f>
        <v/>
      </c>
      <c r="I2368" t="str">
        <f>IFERROR(VLOOKUP($E2368,'Fuel Category and Heat Rate'!$K$2:$M$36,3,FALSE),"")</f>
        <v>crude oil</v>
      </c>
    </row>
    <row r="2369" spans="1:9" x14ac:dyDescent="0.15">
      <c r="A2369" s="2">
        <v>262197</v>
      </c>
      <c r="B2369" s="2" t="s">
        <v>79</v>
      </c>
      <c r="C2369" s="2">
        <v>2019</v>
      </c>
      <c r="D2369" s="2" t="s">
        <v>1</v>
      </c>
      <c r="E2369" s="2" t="s">
        <v>11</v>
      </c>
      <c r="F2369" s="2" t="s">
        <v>36</v>
      </c>
      <c r="G2369" s="7">
        <v>-2.79</v>
      </c>
      <c r="H2369" s="13">
        <f>IFERROR(IF(ABS($G2369)&gt;0,VLOOKUP($E2369,'Fuel Category and Heat Rate'!$B$1:$G$34,6,FALSE)*($G2369),""),"")</f>
        <v>-2100983564045.4485</v>
      </c>
      <c r="I2369" t="str">
        <f>IFERROR(VLOOKUP($E2369,'Fuel Category and Heat Rate'!$K$2:$M$36,3,FALSE),"")</f>
        <v>LPG propane or butane</v>
      </c>
    </row>
    <row r="2370" spans="1:9" x14ac:dyDescent="0.15">
      <c r="A2370" s="2">
        <v>262232</v>
      </c>
      <c r="B2370" s="2" t="s">
        <v>79</v>
      </c>
      <c r="C2370" s="2">
        <v>2018</v>
      </c>
      <c r="D2370" s="2" t="s">
        <v>1</v>
      </c>
      <c r="E2370" s="2" t="s">
        <v>18</v>
      </c>
      <c r="F2370" s="2" t="s">
        <v>35</v>
      </c>
      <c r="G2370" s="7">
        <v>-0.2</v>
      </c>
      <c r="H2370" s="13">
        <f>IFERROR(IF(ABS($G2370)&gt;0,VLOOKUP($E2370,'Fuel Category and Heat Rate'!$B$1:$G$34,6,FALSE)*($G2370),""),"")</f>
        <v>-80852591831.986908</v>
      </c>
      <c r="I2370" t="str">
        <f>IFERROR(VLOOKUP($E2370,'Fuel Category and Heat Rate'!$K$2:$M$36,3,FALSE),"")</f>
        <v>petroleum diesel</v>
      </c>
    </row>
    <row r="2371" spans="1:9" x14ac:dyDescent="0.15">
      <c r="A2371" s="2">
        <v>262267</v>
      </c>
      <c r="B2371" s="2" t="s">
        <v>79</v>
      </c>
      <c r="C2371" s="2">
        <v>2018</v>
      </c>
      <c r="D2371" s="2" t="s">
        <v>1</v>
      </c>
      <c r="E2371" s="2" t="s">
        <v>32</v>
      </c>
      <c r="F2371" s="2" t="s">
        <v>65</v>
      </c>
      <c r="G2371" s="7"/>
      <c r="H2371" s="13" t="str">
        <f>IFERROR(IF(ABS($G2371)&gt;0,VLOOKUP($E2371,'Fuel Category and Heat Rate'!$B$1:$G$34,6,FALSE)*($G2371),""),"")</f>
        <v/>
      </c>
      <c r="I2371" t="str">
        <f>IFERROR(VLOOKUP($E2371,'Fuel Category and Heat Rate'!$K$2:$M$36,3,FALSE),"")</f>
        <v>electricity</v>
      </c>
    </row>
    <row r="2372" spans="1:9" x14ac:dyDescent="0.15">
      <c r="A2372" s="2">
        <v>262302</v>
      </c>
      <c r="B2372" s="2" t="s">
        <v>79</v>
      </c>
      <c r="C2372" s="2">
        <v>2018</v>
      </c>
      <c r="D2372" s="2" t="s">
        <v>1</v>
      </c>
      <c r="E2372" s="2" t="s">
        <v>10</v>
      </c>
      <c r="F2372" s="2" t="s">
        <v>36</v>
      </c>
      <c r="G2372" s="7">
        <v>-57.95</v>
      </c>
      <c r="H2372" s="13">
        <f>IFERROR(IF(ABS($G2372)&gt;0,VLOOKUP($E2372,'Fuel Category and Heat Rate'!$B$1:$G$34,6,FALSE)*($G2372),""),"")</f>
        <v>-20668654649893.652</v>
      </c>
      <c r="I2372" t="str">
        <f>IFERROR(VLOOKUP($E2372,'Fuel Category and Heat Rate'!$K$2:$M$36,3,FALSE),"")</f>
        <v>LPG propane or butane</v>
      </c>
    </row>
    <row r="2373" spans="1:9" x14ac:dyDescent="0.15">
      <c r="A2373" s="2">
        <v>262337</v>
      </c>
      <c r="B2373" s="2" t="s">
        <v>79</v>
      </c>
      <c r="C2373" s="2">
        <v>2018</v>
      </c>
      <c r="D2373" s="2" t="s">
        <v>1</v>
      </c>
      <c r="E2373" s="2" t="s">
        <v>9</v>
      </c>
      <c r="F2373" s="2" t="s">
        <v>36</v>
      </c>
      <c r="G2373" s="7">
        <v>-1.74</v>
      </c>
      <c r="H2373" s="13">
        <f>IFERROR(IF(ABS($G2373)&gt;0,VLOOKUP($E2373,'Fuel Category and Heat Rate'!$B$1:$G$34,6,FALSE)*($G2373),""),"")</f>
        <v>-2861942332247.1509</v>
      </c>
      <c r="I2373" t="str">
        <f>IFERROR(VLOOKUP($E2373,'Fuel Category and Heat Rate'!$K$2:$M$36,3,FALSE),"")</f>
        <v>LPG propane or butane</v>
      </c>
    </row>
    <row r="2374" spans="1:9" x14ac:dyDescent="0.15">
      <c r="A2374" s="2">
        <v>262372</v>
      </c>
      <c r="B2374" s="2" t="s">
        <v>79</v>
      </c>
      <c r="C2374" s="2">
        <v>2018</v>
      </c>
      <c r="D2374" s="2" t="s">
        <v>1</v>
      </c>
      <c r="E2374" s="2" t="s">
        <v>8</v>
      </c>
      <c r="F2374" s="2" t="s">
        <v>35</v>
      </c>
      <c r="G2374" s="7"/>
      <c r="H2374" s="13" t="str">
        <f>IFERROR(IF(ABS($G2374)&gt;0,VLOOKUP($E2374,'Fuel Category and Heat Rate'!$B$1:$G$34,6,FALSE)*($G2374),""),"")</f>
        <v/>
      </c>
      <c r="I2374" t="str">
        <f>IFERROR(VLOOKUP($E2374,'Fuel Category and Heat Rate'!$K$2:$M$36,3,FALSE),"")</f>
        <v>coal</v>
      </c>
    </row>
    <row r="2375" spans="1:9" x14ac:dyDescent="0.15">
      <c r="A2375" s="2">
        <v>262407</v>
      </c>
      <c r="B2375" s="2" t="s">
        <v>79</v>
      </c>
      <c r="C2375" s="2">
        <v>2018</v>
      </c>
      <c r="D2375" s="2" t="s">
        <v>1</v>
      </c>
      <c r="E2375" s="2" t="s">
        <v>27</v>
      </c>
      <c r="F2375" s="2" t="s">
        <v>35</v>
      </c>
      <c r="G2375" s="7">
        <v>-8.35</v>
      </c>
      <c r="H2375" s="13">
        <f>IFERROR(IF(ABS($G2375)&gt;0,VLOOKUP($E2375,'Fuel Category and Heat Rate'!$B$1:$G$34,6,FALSE)*($G2375),""),"")</f>
        <v>-3640407282704.5127</v>
      </c>
      <c r="I2375" t="str">
        <f>IFERROR(VLOOKUP($E2375,'Fuel Category and Heat Rate'!$K$2:$M$36,3,FALSE),"")</f>
        <v>LPG propane or butane</v>
      </c>
    </row>
    <row r="2376" spans="1:9" x14ac:dyDescent="0.15">
      <c r="A2376" s="2">
        <v>262442</v>
      </c>
      <c r="B2376" s="2" t="s">
        <v>79</v>
      </c>
      <c r="C2376" s="2">
        <v>2018</v>
      </c>
      <c r="D2376" s="2" t="s">
        <v>1</v>
      </c>
      <c r="E2376" s="2" t="s">
        <v>7</v>
      </c>
      <c r="F2376" s="2" t="s">
        <v>35</v>
      </c>
      <c r="G2376" s="7"/>
      <c r="H2376" s="13" t="str">
        <f>IFERROR(IF(ABS($G2376)&gt;0,VLOOKUP($E2376,'Fuel Category and Heat Rate'!$B$1:$G$34,6,FALSE)*($G2376),""),"")</f>
        <v/>
      </c>
      <c r="I2376" t="str">
        <f>IFERROR(VLOOKUP($E2376,'Fuel Category and Heat Rate'!$K$2:$M$36,3,FALSE),"")</f>
        <v>coal</v>
      </c>
    </row>
    <row r="2377" spans="1:9" x14ac:dyDescent="0.15">
      <c r="A2377" s="2">
        <v>262477</v>
      </c>
      <c r="B2377" s="2" t="s">
        <v>79</v>
      </c>
      <c r="C2377" s="2">
        <v>2018</v>
      </c>
      <c r="D2377" s="2" t="s">
        <v>1</v>
      </c>
      <c r="E2377" s="2" t="s">
        <v>2</v>
      </c>
      <c r="F2377" s="2" t="s">
        <v>35</v>
      </c>
      <c r="G2377" s="7">
        <v>-3869.71</v>
      </c>
      <c r="H2377" s="13">
        <f>IFERROR(IF(ABS($G2377)&gt;0,VLOOKUP($E2377,'Fuel Category and Heat Rate'!$B$1:$G$34,6,FALSE)*($G2377),""),"")</f>
        <v>0</v>
      </c>
      <c r="I2377" t="str">
        <f>IFERROR(VLOOKUP($E2377,'Fuel Category and Heat Rate'!$K$2:$M$36,3,FALSE),"")</f>
        <v/>
      </c>
    </row>
    <row r="2378" spans="1:9" x14ac:dyDescent="0.15">
      <c r="A2378" s="2">
        <v>262512</v>
      </c>
      <c r="B2378" s="2" t="s">
        <v>79</v>
      </c>
      <c r="C2378" s="2">
        <v>2018</v>
      </c>
      <c r="D2378" s="2" t="s">
        <v>1</v>
      </c>
      <c r="E2378" s="2" t="s">
        <v>17</v>
      </c>
      <c r="F2378" s="2" t="s">
        <v>35</v>
      </c>
      <c r="G2378" s="7"/>
      <c r="H2378" s="13" t="str">
        <f>IFERROR(IF(ABS($G2378)&gt;0,VLOOKUP($E2378,'Fuel Category and Heat Rate'!$B$1:$G$34,6,FALSE)*($G2378),""),"")</f>
        <v/>
      </c>
      <c r="I2378" t="str">
        <f>IFERROR(VLOOKUP($E2378,'Fuel Category and Heat Rate'!$K$2:$M$36,3,FALSE),"")</f>
        <v>petroleum diesel</v>
      </c>
    </row>
    <row r="2379" spans="1:9" x14ac:dyDescent="0.15">
      <c r="A2379" s="2">
        <v>262547</v>
      </c>
      <c r="B2379" s="2" t="s">
        <v>79</v>
      </c>
      <c r="C2379" s="2">
        <v>2018</v>
      </c>
      <c r="D2379" s="2" t="s">
        <v>1</v>
      </c>
      <c r="E2379" s="2" t="s">
        <v>13</v>
      </c>
      <c r="F2379" s="2" t="s">
        <v>35</v>
      </c>
      <c r="G2379" s="7"/>
      <c r="H2379" s="13" t="str">
        <f>IFERROR(IF(ABS($G2379)&gt;0,VLOOKUP($E2379,'Fuel Category and Heat Rate'!$B$1:$G$34,6,FALSE)*($G2379),""),"")</f>
        <v/>
      </c>
      <c r="I2379" t="str">
        <f>IFERROR(VLOOKUP($E2379,'Fuel Category and Heat Rate'!$K$2:$M$36,3,FALSE),"")</f>
        <v>petroleum diesel</v>
      </c>
    </row>
    <row r="2380" spans="1:9" x14ac:dyDescent="0.15">
      <c r="A2380" s="2">
        <v>262582</v>
      </c>
      <c r="B2380" s="2" t="s">
        <v>79</v>
      </c>
      <c r="C2380" s="2">
        <v>2018</v>
      </c>
      <c r="D2380" s="2" t="s">
        <v>1</v>
      </c>
      <c r="E2380" s="2" t="s">
        <v>12</v>
      </c>
      <c r="F2380" s="2" t="s">
        <v>36</v>
      </c>
      <c r="G2380" s="7"/>
      <c r="H2380" s="13" t="str">
        <f>IFERROR(IF(ABS($G2380)&gt;0,VLOOKUP($E2380,'Fuel Category and Heat Rate'!$B$1:$G$34,6,FALSE)*($G2380),""),"")</f>
        <v/>
      </c>
      <c r="I2380" t="str">
        <f>IFERROR(VLOOKUP($E2380,'Fuel Category and Heat Rate'!$K$2:$M$36,3,FALSE),"")</f>
        <v>LPG propane or butane</v>
      </c>
    </row>
    <row r="2381" spans="1:9" x14ac:dyDescent="0.15">
      <c r="A2381" s="2">
        <v>262617</v>
      </c>
      <c r="B2381" s="2" t="s">
        <v>79</v>
      </c>
      <c r="C2381" s="2">
        <v>2018</v>
      </c>
      <c r="D2381" s="2" t="s">
        <v>1</v>
      </c>
      <c r="E2381" s="2" t="s">
        <v>33</v>
      </c>
      <c r="F2381" s="2" t="s">
        <v>38</v>
      </c>
      <c r="G2381" s="7">
        <v>-49.27</v>
      </c>
      <c r="H2381" s="13">
        <f>IFERROR(IF(ABS($G2381)&gt;0,VLOOKUP($E2381,'Fuel Category and Heat Rate'!$B$1:$G$34,6,FALSE)*($G2381),""),"")</f>
        <v>-13669249547310.695</v>
      </c>
      <c r="I2381" t="str">
        <f>IFERROR(VLOOKUP($E2381,'Fuel Category and Heat Rate'!$K$2:$M$36,3,FALSE),"")</f>
        <v>biomass</v>
      </c>
    </row>
    <row r="2382" spans="1:9" x14ac:dyDescent="0.15">
      <c r="A2382" s="2">
        <v>262652</v>
      </c>
      <c r="B2382" s="2" t="s">
        <v>79</v>
      </c>
      <c r="C2382" s="2">
        <v>2018</v>
      </c>
      <c r="D2382" s="2" t="s">
        <v>1</v>
      </c>
      <c r="E2382" s="2" t="s">
        <v>28</v>
      </c>
      <c r="F2382" s="2" t="s">
        <v>35</v>
      </c>
      <c r="G2382" s="7"/>
      <c r="H2382" s="13" t="str">
        <f>IFERROR(IF(ABS($G2382)&gt;0,VLOOKUP($E2382,'Fuel Category and Heat Rate'!$B$1:$G$34,6,FALSE)*($G2382),""),"")</f>
        <v/>
      </c>
      <c r="I2382" t="str">
        <f>IFERROR(VLOOKUP($E2382,'Fuel Category and Heat Rate'!$K$2:$M$36,3,FALSE),"")</f>
        <v>heavy or residual fuel oil</v>
      </c>
    </row>
    <row r="2383" spans="1:9" x14ac:dyDescent="0.15">
      <c r="A2383" s="2">
        <v>262687</v>
      </c>
      <c r="B2383" s="2" t="s">
        <v>79</v>
      </c>
      <c r="C2383" s="2">
        <v>2018</v>
      </c>
      <c r="D2383" s="2" t="s">
        <v>1</v>
      </c>
      <c r="E2383" s="2" t="s">
        <v>5</v>
      </c>
      <c r="F2383" s="2" t="s">
        <v>35</v>
      </c>
      <c r="G2383" s="7">
        <v>-117.21</v>
      </c>
      <c r="H2383" s="13">
        <f>IFERROR(IF(ABS($G2383)&gt;0,VLOOKUP($E2383,'Fuel Category and Heat Rate'!$B$1:$G$34,6,FALSE)*($G2383),""),"")</f>
        <v>-9290761526984.5664</v>
      </c>
      <c r="I2383" t="str">
        <f>IFERROR(VLOOKUP($E2383,'Fuel Category and Heat Rate'!$K$2:$M$36,3,FALSE),"")</f>
        <v>coal</v>
      </c>
    </row>
    <row r="2384" spans="1:9" x14ac:dyDescent="0.15">
      <c r="A2384" s="2">
        <v>262722</v>
      </c>
      <c r="B2384" s="2" t="s">
        <v>79</v>
      </c>
      <c r="C2384" s="2">
        <v>2018</v>
      </c>
      <c r="D2384" s="2" t="s">
        <v>1</v>
      </c>
      <c r="E2384" s="2" t="s">
        <v>16</v>
      </c>
      <c r="F2384" s="2" t="s">
        <v>35</v>
      </c>
      <c r="G2384" s="7"/>
      <c r="H2384" s="13" t="str">
        <f>IFERROR(IF(ABS($G2384)&gt;0,VLOOKUP($E2384,'Fuel Category and Heat Rate'!$B$1:$G$34,6,FALSE)*($G2384),""),"")</f>
        <v/>
      </c>
      <c r="I2384" t="str">
        <f>IFERROR(VLOOKUP($E2384,'Fuel Category and Heat Rate'!$K$2:$M$36,3,FALSE),"")</f>
        <v>petroleum diesel</v>
      </c>
    </row>
    <row r="2385" spans="1:9" x14ac:dyDescent="0.15">
      <c r="A2385" s="2">
        <v>262757</v>
      </c>
      <c r="B2385" s="2" t="s">
        <v>79</v>
      </c>
      <c r="C2385" s="2">
        <v>2018</v>
      </c>
      <c r="D2385" s="2" t="s">
        <v>1</v>
      </c>
      <c r="E2385" s="2" t="s">
        <v>19</v>
      </c>
      <c r="F2385" s="2" t="s">
        <v>35</v>
      </c>
      <c r="G2385" s="7">
        <v>-0.01</v>
      </c>
      <c r="H2385" s="13">
        <f>IFERROR(IF(ABS($G2385)&gt;0,VLOOKUP($E2385,'Fuel Category and Heat Rate'!$B$1:$G$34,6,FALSE)*($G2385),""),"")</f>
        <v>-3963392080.144383</v>
      </c>
      <c r="I2385" t="str">
        <f>IFERROR(VLOOKUP($E2385,'Fuel Category and Heat Rate'!$K$2:$M$36,3,FALSE),"")</f>
        <v>heavy or residual fuel oil</v>
      </c>
    </row>
    <row r="2386" spans="1:9" x14ac:dyDescent="0.15">
      <c r="A2386" s="2">
        <v>262792</v>
      </c>
      <c r="B2386" s="2" t="s">
        <v>79</v>
      </c>
      <c r="C2386" s="2">
        <v>2018</v>
      </c>
      <c r="D2386" s="2" t="s">
        <v>1</v>
      </c>
      <c r="E2386" s="2" t="s">
        <v>31</v>
      </c>
      <c r="F2386" s="2" t="s">
        <v>37</v>
      </c>
      <c r="G2386" s="7">
        <v>62180.38</v>
      </c>
      <c r="H2386" s="13">
        <f>IFERROR(IF(ABS($G2386)&gt;0,VLOOKUP($E2386,'Fuel Category and Heat Rate'!$B$1:$G$34,6,FALSE)*($G2386),""),"")</f>
        <v>589356288579415</v>
      </c>
      <c r="I2386" t="str">
        <f>IFERROR(VLOOKUP($E2386,'Fuel Category and Heat Rate'!$K$2:$M$36,3,FALSE),"")</f>
        <v>heat</v>
      </c>
    </row>
    <row r="2387" spans="1:9" x14ac:dyDescent="0.15">
      <c r="A2387" s="2">
        <v>262827</v>
      </c>
      <c r="B2387" s="2" t="s">
        <v>79</v>
      </c>
      <c r="C2387" s="2">
        <v>2018</v>
      </c>
      <c r="D2387" s="2" t="s">
        <v>1</v>
      </c>
      <c r="E2387" s="2" t="s">
        <v>23</v>
      </c>
      <c r="F2387" s="2" t="s">
        <v>35</v>
      </c>
      <c r="G2387" s="7"/>
      <c r="H2387" s="13" t="str">
        <f>IFERROR(IF(ABS($G2387)&gt;0,VLOOKUP($E2387,'Fuel Category and Heat Rate'!$B$1:$G$34,6,FALSE)*($G2387),""),"")</f>
        <v/>
      </c>
      <c r="I2387" t="str">
        <f>IFERROR(VLOOKUP($E2387,'Fuel Category and Heat Rate'!$K$2:$M$36,3,FALSE),"")</f>
        <v>heavy or residual fuel oil</v>
      </c>
    </row>
    <row r="2388" spans="1:9" x14ac:dyDescent="0.15">
      <c r="A2388" s="2">
        <v>262862</v>
      </c>
      <c r="B2388" s="2" t="s">
        <v>79</v>
      </c>
      <c r="C2388" s="2">
        <v>2018</v>
      </c>
      <c r="D2388" s="2" t="s">
        <v>1</v>
      </c>
      <c r="E2388" s="2" t="s">
        <v>21</v>
      </c>
      <c r="F2388" s="2" t="s">
        <v>35</v>
      </c>
      <c r="G2388" s="7"/>
      <c r="H2388" s="13" t="str">
        <f>IFERROR(IF(ABS($G2388)&gt;0,VLOOKUP($E2388,'Fuel Category and Heat Rate'!$B$1:$G$34,6,FALSE)*($G2388),""),"")</f>
        <v/>
      </c>
      <c r="I2388" t="str">
        <f>IFERROR(VLOOKUP($E2388,'Fuel Category and Heat Rate'!$K$2:$M$36,3,FALSE),"")</f>
        <v>LPG propane or butane</v>
      </c>
    </row>
    <row r="2389" spans="1:9" x14ac:dyDescent="0.15">
      <c r="A2389" s="2">
        <v>262897</v>
      </c>
      <c r="B2389" s="2" t="s">
        <v>79</v>
      </c>
      <c r="C2389" s="2">
        <v>2018</v>
      </c>
      <c r="D2389" s="2" t="s">
        <v>1</v>
      </c>
      <c r="E2389" s="2" t="s">
        <v>22</v>
      </c>
      <c r="F2389" s="2" t="s">
        <v>35</v>
      </c>
      <c r="G2389" s="7"/>
      <c r="H2389" s="13" t="str">
        <f>IFERROR(IF(ABS($G2389)&gt;0,VLOOKUP($E2389,'Fuel Category and Heat Rate'!$B$1:$G$34,6,FALSE)*($G2389),""),"")</f>
        <v/>
      </c>
      <c r="I2389" t="str">
        <f>IFERROR(VLOOKUP($E2389,'Fuel Category and Heat Rate'!$K$2:$M$36,3,FALSE),"")</f>
        <v>heavy fuel oil</v>
      </c>
    </row>
    <row r="2390" spans="1:9" x14ac:dyDescent="0.15">
      <c r="A2390" s="2">
        <v>262932</v>
      </c>
      <c r="B2390" s="2" t="s">
        <v>79</v>
      </c>
      <c r="C2390" s="2">
        <v>2018</v>
      </c>
      <c r="D2390" s="2" t="s">
        <v>1</v>
      </c>
      <c r="E2390" s="2" t="s">
        <v>20</v>
      </c>
      <c r="F2390" s="2" t="s">
        <v>35</v>
      </c>
      <c r="G2390" s="7"/>
      <c r="H2390" s="13" t="str">
        <f>IFERROR(IF(ABS($G2390)&gt;0,VLOOKUP($E2390,'Fuel Category and Heat Rate'!$B$1:$G$34,6,FALSE)*($G2390),""),"")</f>
        <v/>
      </c>
      <c r="I2390" t="str">
        <f>IFERROR(VLOOKUP($E2390,'Fuel Category and Heat Rate'!$K$2:$M$36,3,FALSE),"")</f>
        <v>LPG propane or butane</v>
      </c>
    </row>
    <row r="2391" spans="1:9" x14ac:dyDescent="0.15">
      <c r="A2391" s="2">
        <v>262967</v>
      </c>
      <c r="B2391" s="2" t="s">
        <v>79</v>
      </c>
      <c r="C2391" s="2">
        <v>2018</v>
      </c>
      <c r="D2391" s="2" t="s">
        <v>1</v>
      </c>
      <c r="E2391" s="2" t="s">
        <v>25</v>
      </c>
      <c r="F2391" s="2" t="s">
        <v>35</v>
      </c>
      <c r="G2391" s="7">
        <v>-0.16</v>
      </c>
      <c r="H2391" s="13">
        <f>IFERROR(IF(ABS($G2391)&gt;0,VLOOKUP($E2391,'Fuel Category and Heat Rate'!$B$1:$G$34,6,FALSE)*($G2391),""),"")</f>
        <v>-48447861788.54892</v>
      </c>
      <c r="I2391" t="str">
        <f>IFERROR(VLOOKUP($E2391,'Fuel Category and Heat Rate'!$K$2:$M$36,3,FALSE),"")</f>
        <v>heavy fuel oil</v>
      </c>
    </row>
    <row r="2392" spans="1:9" x14ac:dyDescent="0.15">
      <c r="A2392" s="2">
        <v>263002</v>
      </c>
      <c r="B2392" s="2" t="s">
        <v>79</v>
      </c>
      <c r="C2392" s="2">
        <v>2018</v>
      </c>
      <c r="D2392" s="2" t="s">
        <v>1</v>
      </c>
      <c r="E2392" s="2" t="s">
        <v>24</v>
      </c>
      <c r="F2392" s="2" t="s">
        <v>35</v>
      </c>
      <c r="G2392" s="7"/>
      <c r="H2392" s="13" t="str">
        <f>IFERROR(IF(ABS($G2392)&gt;0,VLOOKUP($E2392,'Fuel Category and Heat Rate'!$B$1:$G$34,6,FALSE)*($G2392),""),"")</f>
        <v/>
      </c>
      <c r="I2392" t="str">
        <f>IFERROR(VLOOKUP($E2392,'Fuel Category and Heat Rate'!$K$2:$M$36,3,FALSE),"")</f>
        <v>heavy fuel oil</v>
      </c>
    </row>
    <row r="2393" spans="1:9" x14ac:dyDescent="0.15">
      <c r="A2393" s="2">
        <v>263037</v>
      </c>
      <c r="B2393" s="2" t="s">
        <v>79</v>
      </c>
      <c r="C2393" s="2">
        <v>2018</v>
      </c>
      <c r="D2393" s="2" t="s">
        <v>1</v>
      </c>
      <c r="E2393" s="2" t="s">
        <v>29</v>
      </c>
      <c r="F2393" s="2" t="s">
        <v>36</v>
      </c>
      <c r="G2393" s="7">
        <v>-18</v>
      </c>
      <c r="H2393" s="13">
        <f>IFERROR(IF(ABS($G2393)&gt;0,VLOOKUP($E2393,'Fuel Category and Heat Rate'!$B$1:$G$34,6,FALSE)*($G2393),""),"")</f>
        <v>-60709677122779.805</v>
      </c>
      <c r="I2393" t="str">
        <f>IFERROR(VLOOKUP($E2393,'Fuel Category and Heat Rate'!$K$2:$M$36,3,FALSE),"")</f>
        <v>natural gas</v>
      </c>
    </row>
    <row r="2394" spans="1:9" x14ac:dyDescent="0.15">
      <c r="A2394" s="2">
        <v>263072</v>
      </c>
      <c r="B2394" s="2" t="s">
        <v>79</v>
      </c>
      <c r="C2394" s="2">
        <v>2018</v>
      </c>
      <c r="D2394" s="2" t="s">
        <v>1</v>
      </c>
      <c r="E2394" s="2" t="s">
        <v>4</v>
      </c>
      <c r="F2394" s="2" t="s">
        <v>35</v>
      </c>
      <c r="G2394" s="7"/>
      <c r="H2394" s="13" t="str">
        <f>IFERROR(IF(ABS($G2394)&gt;0,VLOOKUP($E2394,'Fuel Category and Heat Rate'!$B$1:$G$34,6,FALSE)*($G2394),""),"")</f>
        <v/>
      </c>
      <c r="I2394" t="str">
        <f>IFERROR(VLOOKUP($E2394,'Fuel Category and Heat Rate'!$K$2:$M$36,3,FALSE),"")</f>
        <v>coal</v>
      </c>
    </row>
    <row r="2395" spans="1:9" x14ac:dyDescent="0.15">
      <c r="A2395" s="2">
        <v>263107</v>
      </c>
      <c r="B2395" s="2" t="s">
        <v>79</v>
      </c>
      <c r="C2395" s="2">
        <v>2018</v>
      </c>
      <c r="D2395" s="2" t="s">
        <v>1</v>
      </c>
      <c r="E2395" s="2" t="s">
        <v>6</v>
      </c>
      <c r="F2395" s="2" t="s">
        <v>35</v>
      </c>
      <c r="G2395" s="7"/>
      <c r="H2395" s="13" t="str">
        <f>IFERROR(IF(ABS($G2395)&gt;0,VLOOKUP($E2395,'Fuel Category and Heat Rate'!$B$1:$G$34,6,FALSE)*($G2395),""),"")</f>
        <v/>
      </c>
      <c r="I2395" t="str">
        <f>IFERROR(VLOOKUP($E2395,'Fuel Category and Heat Rate'!$K$2:$M$36,3,FALSE),"")</f>
        <v>coal</v>
      </c>
    </row>
    <row r="2396" spans="1:9" x14ac:dyDescent="0.15">
      <c r="A2396" s="2">
        <v>263142</v>
      </c>
      <c r="B2396" s="2" t="s">
        <v>79</v>
      </c>
      <c r="C2396" s="2">
        <v>2018</v>
      </c>
      <c r="D2396" s="2" t="s">
        <v>1</v>
      </c>
      <c r="E2396" s="2" t="s">
        <v>26</v>
      </c>
      <c r="F2396" s="2" t="s">
        <v>35</v>
      </c>
      <c r="G2396" s="7"/>
      <c r="H2396" s="13" t="str">
        <f>IFERROR(IF(ABS($G2396)&gt;0,VLOOKUP($E2396,'Fuel Category and Heat Rate'!$B$1:$G$34,6,FALSE)*($G2396),""),"")</f>
        <v/>
      </c>
      <c r="I2396" t="str">
        <f>IFERROR(VLOOKUP($E2396,'Fuel Category and Heat Rate'!$K$2:$M$36,3,FALSE),"")</f>
        <v>LPG propane or butane</v>
      </c>
    </row>
    <row r="2397" spans="1:9" x14ac:dyDescent="0.15">
      <c r="A2397" s="2">
        <v>263177</v>
      </c>
      <c r="B2397" s="2" t="s">
        <v>79</v>
      </c>
      <c r="C2397" s="2">
        <v>2018</v>
      </c>
      <c r="D2397" s="2" t="s">
        <v>1</v>
      </c>
      <c r="E2397" s="2" t="s">
        <v>30</v>
      </c>
      <c r="F2397" s="2" t="s">
        <v>35</v>
      </c>
      <c r="G2397" s="7">
        <v>-1.2</v>
      </c>
      <c r="H2397" s="13">
        <f>IFERROR(IF(ABS($G2397)&gt;0,VLOOKUP($E2397,'Fuel Category and Heat Rate'!$B$1:$G$34,6,FALSE)*($G2397),""),"")</f>
        <v>-585000310647.06201</v>
      </c>
      <c r="I2397" t="str">
        <f>IFERROR(VLOOKUP($E2397,'Fuel Category and Heat Rate'!$K$2:$M$36,3,FALSE),"")</f>
        <v>natural gas</v>
      </c>
    </row>
    <row r="2398" spans="1:9" x14ac:dyDescent="0.15">
      <c r="A2398" s="2">
        <v>263212</v>
      </c>
      <c r="B2398" s="2" t="s">
        <v>79</v>
      </c>
      <c r="C2398" s="2">
        <v>2018</v>
      </c>
      <c r="D2398" s="2" t="s">
        <v>1</v>
      </c>
      <c r="E2398" s="2" t="s">
        <v>14</v>
      </c>
      <c r="F2398" s="2" t="s">
        <v>35</v>
      </c>
      <c r="G2398" s="7">
        <v>-8.7200000000000006</v>
      </c>
      <c r="H2398" s="13">
        <f>IFERROR(IF(ABS($G2398)&gt;0,VLOOKUP($E2398,'Fuel Category and Heat Rate'!$B$1:$G$34,6,FALSE)*($G2398),""),"")</f>
        <v>0</v>
      </c>
      <c r="I2398" t="str">
        <f>IFERROR(VLOOKUP($E2398,'Fuel Category and Heat Rate'!$K$2:$M$36,3,FALSE),"")</f>
        <v/>
      </c>
    </row>
    <row r="2399" spans="1:9" x14ac:dyDescent="0.15">
      <c r="A2399" s="2">
        <v>263247</v>
      </c>
      <c r="B2399" s="2" t="s">
        <v>79</v>
      </c>
      <c r="C2399" s="2">
        <v>2018</v>
      </c>
      <c r="D2399" s="2" t="s">
        <v>1</v>
      </c>
      <c r="E2399" s="2" t="s">
        <v>3</v>
      </c>
      <c r="F2399" s="2" t="s">
        <v>35</v>
      </c>
      <c r="G2399" s="7">
        <v>-3752.5</v>
      </c>
      <c r="H2399" s="13">
        <f>IFERROR(IF(ABS($G2399)&gt;0,VLOOKUP($E2399,'Fuel Category and Heat Rate'!$B$1:$G$34,6,FALSE)*($G2399),""),"")</f>
        <v>-743631439037089.88</v>
      </c>
      <c r="I2399" t="str">
        <f>IFERROR(VLOOKUP($E2399,'Fuel Category and Heat Rate'!$K$2:$M$36,3,FALSE),"")</f>
        <v>coal</v>
      </c>
    </row>
    <row r="2400" spans="1:9" x14ac:dyDescent="0.15">
      <c r="A2400" s="2">
        <v>263282</v>
      </c>
      <c r="B2400" s="2" t="s">
        <v>79</v>
      </c>
      <c r="C2400" s="2">
        <v>2018</v>
      </c>
      <c r="D2400" s="2" t="s">
        <v>1</v>
      </c>
      <c r="E2400" s="2" t="s">
        <v>15</v>
      </c>
      <c r="F2400" s="2" t="s">
        <v>35</v>
      </c>
      <c r="G2400" s="7"/>
      <c r="H2400" s="13" t="str">
        <f>IFERROR(IF(ABS($G2400)&gt;0,VLOOKUP($E2400,'Fuel Category and Heat Rate'!$B$1:$G$34,6,FALSE)*($G2400),""),"")</f>
        <v/>
      </c>
      <c r="I2400" t="str">
        <f>IFERROR(VLOOKUP($E2400,'Fuel Category and Heat Rate'!$K$2:$M$36,3,FALSE),"")</f>
        <v>crude oil</v>
      </c>
    </row>
    <row r="2401" spans="1:9" x14ac:dyDescent="0.15">
      <c r="A2401" s="2">
        <v>263317</v>
      </c>
      <c r="B2401" s="2" t="s">
        <v>79</v>
      </c>
      <c r="C2401" s="2">
        <v>2018</v>
      </c>
      <c r="D2401" s="2" t="s">
        <v>1</v>
      </c>
      <c r="E2401" s="2" t="s">
        <v>11</v>
      </c>
      <c r="F2401" s="2" t="s">
        <v>36</v>
      </c>
      <c r="G2401" s="7">
        <v>-2.75</v>
      </c>
      <c r="H2401" s="13">
        <f>IFERROR(IF(ABS($G2401)&gt;0,VLOOKUP($E2401,'Fuel Category and Heat Rate'!$B$1:$G$34,6,FALSE)*($G2401),""),"")</f>
        <v>-2070861935887.0908</v>
      </c>
      <c r="I2401" t="str">
        <f>IFERROR(VLOOKUP($E2401,'Fuel Category and Heat Rate'!$K$2:$M$36,3,FALSE),"")</f>
        <v>LPG propane or butane</v>
      </c>
    </row>
    <row r="2402" spans="1:9" x14ac:dyDescent="0.15">
      <c r="A2402" s="2">
        <v>276162</v>
      </c>
      <c r="B2402" s="2" t="s">
        <v>80</v>
      </c>
      <c r="C2402" s="2">
        <v>2022</v>
      </c>
      <c r="D2402" s="2" t="s">
        <v>1</v>
      </c>
      <c r="E2402" s="2" t="s">
        <v>18</v>
      </c>
      <c r="F2402" s="2" t="s">
        <v>35</v>
      </c>
      <c r="G2402" s="7"/>
      <c r="H2402" s="13" t="str">
        <f>IFERROR(IF(ABS($G2402)&gt;0,VLOOKUP($E2402,'Fuel Category and Heat Rate'!$B$1:$G$34,6,FALSE)*($G2402),""),"")</f>
        <v/>
      </c>
      <c r="I2402" t="str">
        <f>IFERROR(VLOOKUP($E2402,'Fuel Category and Heat Rate'!$K$2:$M$36,3,FALSE),"")</f>
        <v>petroleum diesel</v>
      </c>
    </row>
    <row r="2403" spans="1:9" x14ac:dyDescent="0.15">
      <c r="A2403" s="2">
        <v>276197</v>
      </c>
      <c r="B2403" s="2" t="s">
        <v>80</v>
      </c>
      <c r="C2403" s="2">
        <v>2022</v>
      </c>
      <c r="D2403" s="2" t="s">
        <v>1</v>
      </c>
      <c r="E2403" s="2" t="s">
        <v>32</v>
      </c>
      <c r="F2403" s="2" t="s">
        <v>65</v>
      </c>
      <c r="G2403" s="7"/>
      <c r="H2403" s="13" t="str">
        <f>IFERROR(IF(ABS($G2403)&gt;0,VLOOKUP($E2403,'Fuel Category and Heat Rate'!$B$1:$G$34,6,FALSE)*($G2403),""),"")</f>
        <v/>
      </c>
      <c r="I2403" t="str">
        <f>IFERROR(VLOOKUP($E2403,'Fuel Category and Heat Rate'!$K$2:$M$36,3,FALSE),"")</f>
        <v>electricity</v>
      </c>
    </row>
    <row r="2404" spans="1:9" x14ac:dyDescent="0.15">
      <c r="A2404" s="2">
        <v>276232</v>
      </c>
      <c r="B2404" s="2" t="s">
        <v>80</v>
      </c>
      <c r="C2404" s="2">
        <v>2022</v>
      </c>
      <c r="D2404" s="2" t="s">
        <v>1</v>
      </c>
      <c r="E2404" s="2" t="s">
        <v>10</v>
      </c>
      <c r="F2404" s="2" t="s">
        <v>36</v>
      </c>
      <c r="G2404" s="7">
        <v>-12.19</v>
      </c>
      <c r="H2404" s="13">
        <f>IFERROR(IF(ABS($G2404)&gt;0,VLOOKUP($E2404,'Fuel Category and Heat Rate'!$B$1:$G$34,6,FALSE)*($G2404),""),"")</f>
        <v>-4347729079934.4888</v>
      </c>
      <c r="I2404" t="str">
        <f>IFERROR(VLOOKUP($E2404,'Fuel Category and Heat Rate'!$K$2:$M$36,3,FALSE),"")</f>
        <v>LPG propane or butane</v>
      </c>
    </row>
    <row r="2405" spans="1:9" x14ac:dyDescent="0.15">
      <c r="A2405" s="2">
        <v>276267</v>
      </c>
      <c r="B2405" s="2" t="s">
        <v>80</v>
      </c>
      <c r="C2405" s="2">
        <v>2022</v>
      </c>
      <c r="D2405" s="2" t="s">
        <v>1</v>
      </c>
      <c r="E2405" s="2" t="s">
        <v>9</v>
      </c>
      <c r="F2405" s="2" t="s">
        <v>36</v>
      </c>
      <c r="G2405" s="7">
        <v>-1.1000000000000001</v>
      </c>
      <c r="H2405" s="13">
        <f>IFERROR(IF(ABS($G2405)&gt;0,VLOOKUP($E2405,'Fuel Category and Heat Rate'!$B$1:$G$34,6,FALSE)*($G2405),""),"")</f>
        <v>-1809273888202.2219</v>
      </c>
      <c r="I2405" t="str">
        <f>IFERROR(VLOOKUP($E2405,'Fuel Category and Heat Rate'!$K$2:$M$36,3,FALSE),"")</f>
        <v>LPG propane or butane</v>
      </c>
    </row>
    <row r="2406" spans="1:9" x14ac:dyDescent="0.15">
      <c r="A2406" s="2">
        <v>276302</v>
      </c>
      <c r="B2406" s="2" t="s">
        <v>80</v>
      </c>
      <c r="C2406" s="2">
        <v>2022</v>
      </c>
      <c r="D2406" s="2" t="s">
        <v>1</v>
      </c>
      <c r="E2406" s="2" t="s">
        <v>8</v>
      </c>
      <c r="F2406" s="2" t="s">
        <v>35</v>
      </c>
      <c r="G2406" s="7"/>
      <c r="H2406" s="13" t="str">
        <f>IFERROR(IF(ABS($G2406)&gt;0,VLOOKUP($E2406,'Fuel Category and Heat Rate'!$B$1:$G$34,6,FALSE)*($G2406),""),"")</f>
        <v/>
      </c>
      <c r="I2406" t="str">
        <f>IFERROR(VLOOKUP($E2406,'Fuel Category and Heat Rate'!$K$2:$M$36,3,FALSE),"")</f>
        <v>coal</v>
      </c>
    </row>
    <row r="2407" spans="1:9" x14ac:dyDescent="0.15">
      <c r="A2407" s="2">
        <v>276337</v>
      </c>
      <c r="B2407" s="2" t="s">
        <v>80</v>
      </c>
      <c r="C2407" s="2">
        <v>2022</v>
      </c>
      <c r="D2407" s="2" t="s">
        <v>1</v>
      </c>
      <c r="E2407" s="2" t="s">
        <v>27</v>
      </c>
      <c r="F2407" s="2" t="s">
        <v>35</v>
      </c>
      <c r="G2407" s="7">
        <v>-2.2000000000000002</v>
      </c>
      <c r="H2407" s="13">
        <f>IFERROR(IF(ABS($G2407)&gt;0,VLOOKUP($E2407,'Fuel Category and Heat Rate'!$B$1:$G$34,6,FALSE)*($G2407),""),"")</f>
        <v>-959149224185.62024</v>
      </c>
      <c r="I2407" t="str">
        <f>IFERROR(VLOOKUP($E2407,'Fuel Category and Heat Rate'!$K$2:$M$36,3,FALSE),"")</f>
        <v>LPG propane or butane</v>
      </c>
    </row>
    <row r="2408" spans="1:9" x14ac:dyDescent="0.15">
      <c r="A2408" s="2">
        <v>276372</v>
      </c>
      <c r="B2408" s="2" t="s">
        <v>80</v>
      </c>
      <c r="C2408" s="2">
        <v>2022</v>
      </c>
      <c r="D2408" s="2" t="s">
        <v>1</v>
      </c>
      <c r="E2408" s="2" t="s">
        <v>7</v>
      </c>
      <c r="F2408" s="2" t="s">
        <v>35</v>
      </c>
      <c r="G2408" s="7">
        <v>-2.34</v>
      </c>
      <c r="H2408" s="13">
        <f>IFERROR(IF(ABS($G2408)&gt;0,VLOOKUP($E2408,'Fuel Category and Heat Rate'!$B$1:$G$34,6,FALSE)*($G2408),""),"")</f>
        <v>-185726281693.99753</v>
      </c>
      <c r="I2408" t="str">
        <f>IFERROR(VLOOKUP($E2408,'Fuel Category and Heat Rate'!$K$2:$M$36,3,FALSE),"")</f>
        <v>coal</v>
      </c>
    </row>
    <row r="2409" spans="1:9" x14ac:dyDescent="0.15">
      <c r="A2409" s="2">
        <v>276407</v>
      </c>
      <c r="B2409" s="2" t="s">
        <v>80</v>
      </c>
      <c r="C2409" s="2">
        <v>2022</v>
      </c>
      <c r="D2409" s="2" t="s">
        <v>1</v>
      </c>
      <c r="E2409" s="2" t="s">
        <v>2</v>
      </c>
      <c r="F2409" s="2" t="s">
        <v>35</v>
      </c>
      <c r="G2409" s="7">
        <v>-459.76</v>
      </c>
      <c r="H2409" s="13">
        <f>IFERROR(IF(ABS($G2409)&gt;0,VLOOKUP($E2409,'Fuel Category and Heat Rate'!$B$1:$G$34,6,FALSE)*($G2409),""),"")</f>
        <v>0</v>
      </c>
      <c r="I2409" t="str">
        <f>IFERROR(VLOOKUP($E2409,'Fuel Category and Heat Rate'!$K$2:$M$36,3,FALSE),"")</f>
        <v/>
      </c>
    </row>
    <row r="2410" spans="1:9" x14ac:dyDescent="0.15">
      <c r="A2410" s="2">
        <v>276442</v>
      </c>
      <c r="B2410" s="2" t="s">
        <v>80</v>
      </c>
      <c r="C2410" s="2">
        <v>2022</v>
      </c>
      <c r="D2410" s="2" t="s">
        <v>1</v>
      </c>
      <c r="E2410" s="2" t="s">
        <v>17</v>
      </c>
      <c r="F2410" s="2" t="s">
        <v>35</v>
      </c>
      <c r="G2410" s="7"/>
      <c r="H2410" s="13" t="str">
        <f>IFERROR(IF(ABS($G2410)&gt;0,VLOOKUP($E2410,'Fuel Category and Heat Rate'!$B$1:$G$34,6,FALSE)*($G2410),""),"")</f>
        <v/>
      </c>
      <c r="I2410" t="str">
        <f>IFERROR(VLOOKUP($E2410,'Fuel Category and Heat Rate'!$K$2:$M$36,3,FALSE),"")</f>
        <v>petroleum diesel</v>
      </c>
    </row>
    <row r="2411" spans="1:9" x14ac:dyDescent="0.15">
      <c r="A2411" s="2">
        <v>276477</v>
      </c>
      <c r="B2411" s="2" t="s">
        <v>80</v>
      </c>
      <c r="C2411" s="2">
        <v>2022</v>
      </c>
      <c r="D2411" s="2" t="s">
        <v>1</v>
      </c>
      <c r="E2411" s="2" t="s">
        <v>13</v>
      </c>
      <c r="F2411" s="2" t="s">
        <v>35</v>
      </c>
      <c r="G2411" s="7"/>
      <c r="H2411" s="13" t="str">
        <f>IFERROR(IF(ABS($G2411)&gt;0,VLOOKUP($E2411,'Fuel Category and Heat Rate'!$B$1:$G$34,6,FALSE)*($G2411),""),"")</f>
        <v/>
      </c>
      <c r="I2411" t="str">
        <f>IFERROR(VLOOKUP($E2411,'Fuel Category and Heat Rate'!$K$2:$M$36,3,FALSE),"")</f>
        <v>petroleum diesel</v>
      </c>
    </row>
    <row r="2412" spans="1:9" x14ac:dyDescent="0.15">
      <c r="A2412" s="2">
        <v>276512</v>
      </c>
      <c r="B2412" s="2" t="s">
        <v>80</v>
      </c>
      <c r="C2412" s="2">
        <v>2022</v>
      </c>
      <c r="D2412" s="2" t="s">
        <v>1</v>
      </c>
      <c r="E2412" s="2" t="s">
        <v>12</v>
      </c>
      <c r="F2412" s="2" t="s">
        <v>36</v>
      </c>
      <c r="G2412" s="7"/>
      <c r="H2412" s="13" t="str">
        <f>IFERROR(IF(ABS($G2412)&gt;0,VLOOKUP($E2412,'Fuel Category and Heat Rate'!$B$1:$G$34,6,FALSE)*($G2412),""),"")</f>
        <v/>
      </c>
      <c r="I2412" t="str">
        <f>IFERROR(VLOOKUP($E2412,'Fuel Category and Heat Rate'!$K$2:$M$36,3,FALSE),"")</f>
        <v>LPG propane or butane</v>
      </c>
    </row>
    <row r="2413" spans="1:9" x14ac:dyDescent="0.15">
      <c r="A2413" s="2">
        <v>276547</v>
      </c>
      <c r="B2413" s="2" t="s">
        <v>80</v>
      </c>
      <c r="C2413" s="2">
        <v>2022</v>
      </c>
      <c r="D2413" s="2" t="s">
        <v>1</v>
      </c>
      <c r="E2413" s="2" t="s">
        <v>33</v>
      </c>
      <c r="F2413" s="2" t="s">
        <v>38</v>
      </c>
      <c r="G2413" s="7">
        <v>-12.21</v>
      </c>
      <c r="H2413" s="13">
        <f>IFERROR(IF(ABS($G2413)&gt;0,VLOOKUP($E2413,'Fuel Category and Heat Rate'!$B$1:$G$34,6,FALSE)*($G2413),""),"")</f>
        <v>-3387488065205.2686</v>
      </c>
      <c r="I2413" t="str">
        <f>IFERROR(VLOOKUP($E2413,'Fuel Category and Heat Rate'!$K$2:$M$36,3,FALSE),"")</f>
        <v>biomass</v>
      </c>
    </row>
    <row r="2414" spans="1:9" x14ac:dyDescent="0.15">
      <c r="A2414" s="2">
        <v>276582</v>
      </c>
      <c r="B2414" s="2" t="s">
        <v>80</v>
      </c>
      <c r="C2414" s="2">
        <v>2022</v>
      </c>
      <c r="D2414" s="2" t="s">
        <v>1</v>
      </c>
      <c r="E2414" s="2" t="s">
        <v>28</v>
      </c>
      <c r="F2414" s="2" t="s">
        <v>35</v>
      </c>
      <c r="G2414" s="7"/>
      <c r="H2414" s="13" t="str">
        <f>IFERROR(IF(ABS($G2414)&gt;0,VLOOKUP($E2414,'Fuel Category and Heat Rate'!$B$1:$G$34,6,FALSE)*($G2414),""),"")</f>
        <v/>
      </c>
      <c r="I2414" t="str">
        <f>IFERROR(VLOOKUP($E2414,'Fuel Category and Heat Rate'!$K$2:$M$36,3,FALSE),"")</f>
        <v>heavy or residual fuel oil</v>
      </c>
    </row>
    <row r="2415" spans="1:9" x14ac:dyDescent="0.15">
      <c r="A2415" s="2">
        <v>276617</v>
      </c>
      <c r="B2415" s="2" t="s">
        <v>80</v>
      </c>
      <c r="C2415" s="2">
        <v>2022</v>
      </c>
      <c r="D2415" s="2" t="s">
        <v>1</v>
      </c>
      <c r="E2415" s="2" t="s">
        <v>5</v>
      </c>
      <c r="F2415" s="2" t="s">
        <v>35</v>
      </c>
      <c r="G2415" s="7">
        <v>-3.94</v>
      </c>
      <c r="H2415" s="13">
        <f>IFERROR(IF(ABS($G2415)&gt;0,VLOOKUP($E2415,'Fuel Category and Heat Rate'!$B$1:$G$34,6,FALSE)*($G2415),""),"")</f>
        <v>-312307827116.45074</v>
      </c>
      <c r="I2415" t="str">
        <f>IFERROR(VLOOKUP($E2415,'Fuel Category and Heat Rate'!$K$2:$M$36,3,FALSE),"")</f>
        <v>coal</v>
      </c>
    </row>
    <row r="2416" spans="1:9" x14ac:dyDescent="0.15">
      <c r="A2416" s="2">
        <v>276652</v>
      </c>
      <c r="B2416" s="2" t="s">
        <v>80</v>
      </c>
      <c r="C2416" s="2">
        <v>2022</v>
      </c>
      <c r="D2416" s="2" t="s">
        <v>1</v>
      </c>
      <c r="E2416" s="2" t="s">
        <v>16</v>
      </c>
      <c r="F2416" s="2" t="s">
        <v>35</v>
      </c>
      <c r="G2416" s="7"/>
      <c r="H2416" s="13" t="str">
        <f>IFERROR(IF(ABS($G2416)&gt;0,VLOOKUP($E2416,'Fuel Category and Heat Rate'!$B$1:$G$34,6,FALSE)*($G2416),""),"")</f>
        <v/>
      </c>
      <c r="I2416" t="str">
        <f>IFERROR(VLOOKUP($E2416,'Fuel Category and Heat Rate'!$K$2:$M$36,3,FALSE),"")</f>
        <v>petroleum diesel</v>
      </c>
    </row>
    <row r="2417" spans="1:9" x14ac:dyDescent="0.15">
      <c r="A2417" s="2">
        <v>276687</v>
      </c>
      <c r="B2417" s="2" t="s">
        <v>80</v>
      </c>
      <c r="C2417" s="2">
        <v>2022</v>
      </c>
      <c r="D2417" s="2" t="s">
        <v>1</v>
      </c>
      <c r="E2417" s="2" t="s">
        <v>19</v>
      </c>
      <c r="F2417" s="2" t="s">
        <v>35</v>
      </c>
      <c r="G2417" s="7"/>
      <c r="H2417" s="13" t="str">
        <f>IFERROR(IF(ABS($G2417)&gt;0,VLOOKUP($E2417,'Fuel Category and Heat Rate'!$B$1:$G$34,6,FALSE)*($G2417),""),"")</f>
        <v/>
      </c>
      <c r="I2417" t="str">
        <f>IFERROR(VLOOKUP($E2417,'Fuel Category and Heat Rate'!$K$2:$M$36,3,FALSE),"")</f>
        <v>heavy or residual fuel oil</v>
      </c>
    </row>
    <row r="2418" spans="1:9" x14ac:dyDescent="0.15">
      <c r="A2418" s="2">
        <v>276722</v>
      </c>
      <c r="B2418" s="2" t="s">
        <v>80</v>
      </c>
      <c r="C2418" s="2">
        <v>2022</v>
      </c>
      <c r="D2418" s="2" t="s">
        <v>1</v>
      </c>
      <c r="E2418" s="2" t="s">
        <v>31</v>
      </c>
      <c r="F2418" s="2" t="s">
        <v>37</v>
      </c>
      <c r="G2418" s="7">
        <v>8678.98</v>
      </c>
      <c r="H2418" s="13">
        <f>IFERROR(IF(ABS($G2418)&gt;0,VLOOKUP($E2418,'Fuel Category and Heat Rate'!$B$1:$G$34,6,FALSE)*($G2418),""),"")</f>
        <v>82260858512845.547</v>
      </c>
      <c r="I2418" t="str">
        <f>IFERROR(VLOOKUP($E2418,'Fuel Category and Heat Rate'!$K$2:$M$36,3,FALSE),"")</f>
        <v>heat</v>
      </c>
    </row>
    <row r="2419" spans="1:9" x14ac:dyDescent="0.15">
      <c r="A2419" s="2">
        <v>276757</v>
      </c>
      <c r="B2419" s="2" t="s">
        <v>80</v>
      </c>
      <c r="C2419" s="2">
        <v>2022</v>
      </c>
      <c r="D2419" s="2" t="s">
        <v>1</v>
      </c>
      <c r="E2419" s="2" t="s">
        <v>23</v>
      </c>
      <c r="F2419" s="2" t="s">
        <v>35</v>
      </c>
      <c r="G2419" s="7"/>
      <c r="H2419" s="13" t="str">
        <f>IFERROR(IF(ABS($G2419)&gt;0,VLOOKUP($E2419,'Fuel Category and Heat Rate'!$B$1:$G$34,6,FALSE)*($G2419),""),"")</f>
        <v/>
      </c>
      <c r="I2419" t="str">
        <f>IFERROR(VLOOKUP($E2419,'Fuel Category and Heat Rate'!$K$2:$M$36,3,FALSE),"")</f>
        <v>heavy or residual fuel oil</v>
      </c>
    </row>
    <row r="2420" spans="1:9" x14ac:dyDescent="0.15">
      <c r="A2420" s="2">
        <v>276792</v>
      </c>
      <c r="B2420" s="2" t="s">
        <v>80</v>
      </c>
      <c r="C2420" s="2">
        <v>2022</v>
      </c>
      <c r="D2420" s="2" t="s">
        <v>1</v>
      </c>
      <c r="E2420" s="2" t="s">
        <v>21</v>
      </c>
      <c r="F2420" s="2" t="s">
        <v>35</v>
      </c>
      <c r="G2420" s="7"/>
      <c r="H2420" s="13" t="str">
        <f>IFERROR(IF(ABS($G2420)&gt;0,VLOOKUP($E2420,'Fuel Category and Heat Rate'!$B$1:$G$34,6,FALSE)*($G2420),""),"")</f>
        <v/>
      </c>
      <c r="I2420" t="str">
        <f>IFERROR(VLOOKUP($E2420,'Fuel Category and Heat Rate'!$K$2:$M$36,3,FALSE),"")</f>
        <v>LPG propane or butane</v>
      </c>
    </row>
    <row r="2421" spans="1:9" x14ac:dyDescent="0.15">
      <c r="A2421" s="2">
        <v>276827</v>
      </c>
      <c r="B2421" s="2" t="s">
        <v>80</v>
      </c>
      <c r="C2421" s="2">
        <v>2022</v>
      </c>
      <c r="D2421" s="2" t="s">
        <v>1</v>
      </c>
      <c r="E2421" s="2" t="s">
        <v>22</v>
      </c>
      <c r="F2421" s="2" t="s">
        <v>35</v>
      </c>
      <c r="G2421" s="7"/>
      <c r="H2421" s="13" t="str">
        <f>IFERROR(IF(ABS($G2421)&gt;0,VLOOKUP($E2421,'Fuel Category and Heat Rate'!$B$1:$G$34,6,FALSE)*($G2421),""),"")</f>
        <v/>
      </c>
      <c r="I2421" t="str">
        <f>IFERROR(VLOOKUP($E2421,'Fuel Category and Heat Rate'!$K$2:$M$36,3,FALSE),"")</f>
        <v>heavy fuel oil</v>
      </c>
    </row>
    <row r="2422" spans="1:9" x14ac:dyDescent="0.15">
      <c r="A2422" s="2">
        <v>276862</v>
      </c>
      <c r="B2422" s="2" t="s">
        <v>80</v>
      </c>
      <c r="C2422" s="2">
        <v>2022</v>
      </c>
      <c r="D2422" s="2" t="s">
        <v>1</v>
      </c>
      <c r="E2422" s="2" t="s">
        <v>20</v>
      </c>
      <c r="F2422" s="2" t="s">
        <v>35</v>
      </c>
      <c r="G2422" s="7"/>
      <c r="H2422" s="13" t="str">
        <f>IFERROR(IF(ABS($G2422)&gt;0,VLOOKUP($E2422,'Fuel Category and Heat Rate'!$B$1:$G$34,6,FALSE)*($G2422),""),"")</f>
        <v/>
      </c>
      <c r="I2422" t="str">
        <f>IFERROR(VLOOKUP($E2422,'Fuel Category and Heat Rate'!$K$2:$M$36,3,FALSE),"")</f>
        <v>LPG propane or butane</v>
      </c>
    </row>
    <row r="2423" spans="1:9" x14ac:dyDescent="0.15">
      <c r="A2423" s="2">
        <v>276897</v>
      </c>
      <c r="B2423" s="2" t="s">
        <v>80</v>
      </c>
      <c r="C2423" s="2">
        <v>2022</v>
      </c>
      <c r="D2423" s="2" t="s">
        <v>1</v>
      </c>
      <c r="E2423" s="2" t="s">
        <v>25</v>
      </c>
      <c r="F2423" s="2" t="s">
        <v>35</v>
      </c>
      <c r="G2423" s="7">
        <v>-0.15</v>
      </c>
      <c r="H2423" s="13">
        <f>IFERROR(IF(ABS($G2423)&gt;0,VLOOKUP($E2423,'Fuel Category and Heat Rate'!$B$1:$G$34,6,FALSE)*($G2423),""),"")</f>
        <v>-45419870426.76461</v>
      </c>
      <c r="I2423" t="str">
        <f>IFERROR(VLOOKUP($E2423,'Fuel Category and Heat Rate'!$K$2:$M$36,3,FALSE),"")</f>
        <v>heavy fuel oil</v>
      </c>
    </row>
    <row r="2424" spans="1:9" x14ac:dyDescent="0.15">
      <c r="A2424" s="2">
        <v>276932</v>
      </c>
      <c r="B2424" s="2" t="s">
        <v>80</v>
      </c>
      <c r="C2424" s="2">
        <v>2022</v>
      </c>
      <c r="D2424" s="2" t="s">
        <v>1</v>
      </c>
      <c r="E2424" s="2" t="s">
        <v>24</v>
      </c>
      <c r="F2424" s="2" t="s">
        <v>35</v>
      </c>
      <c r="G2424" s="7"/>
      <c r="H2424" s="13" t="str">
        <f>IFERROR(IF(ABS($G2424)&gt;0,VLOOKUP($E2424,'Fuel Category and Heat Rate'!$B$1:$G$34,6,FALSE)*($G2424),""),"")</f>
        <v/>
      </c>
      <c r="I2424" t="str">
        <f>IFERROR(VLOOKUP($E2424,'Fuel Category and Heat Rate'!$K$2:$M$36,3,FALSE),"")</f>
        <v>heavy fuel oil</v>
      </c>
    </row>
    <row r="2425" spans="1:9" x14ac:dyDescent="0.15">
      <c r="A2425" s="2">
        <v>276967</v>
      </c>
      <c r="B2425" s="2" t="s">
        <v>80</v>
      </c>
      <c r="C2425" s="2">
        <v>2022</v>
      </c>
      <c r="D2425" s="2" t="s">
        <v>1</v>
      </c>
      <c r="E2425" s="2" t="s">
        <v>29</v>
      </c>
      <c r="F2425" s="2" t="s">
        <v>36</v>
      </c>
      <c r="G2425" s="7">
        <v>-0.24</v>
      </c>
      <c r="H2425" s="13">
        <f>IFERROR(IF(ABS($G2425)&gt;0,VLOOKUP($E2425,'Fuel Category and Heat Rate'!$B$1:$G$34,6,FALSE)*($G2425),""),"")</f>
        <v>-809462361637.06409</v>
      </c>
      <c r="I2425" t="str">
        <f>IFERROR(VLOOKUP($E2425,'Fuel Category and Heat Rate'!$K$2:$M$36,3,FALSE),"")</f>
        <v>natural gas</v>
      </c>
    </row>
    <row r="2426" spans="1:9" x14ac:dyDescent="0.15">
      <c r="A2426" s="2">
        <v>277002</v>
      </c>
      <c r="B2426" s="2" t="s">
        <v>80</v>
      </c>
      <c r="C2426" s="2">
        <v>2022</v>
      </c>
      <c r="D2426" s="2" t="s">
        <v>1</v>
      </c>
      <c r="E2426" s="2" t="s">
        <v>4</v>
      </c>
      <c r="F2426" s="2" t="s">
        <v>35</v>
      </c>
      <c r="G2426" s="7"/>
      <c r="H2426" s="13" t="str">
        <f>IFERROR(IF(ABS($G2426)&gt;0,VLOOKUP($E2426,'Fuel Category and Heat Rate'!$B$1:$G$34,6,FALSE)*($G2426),""),"")</f>
        <v/>
      </c>
      <c r="I2426" t="str">
        <f>IFERROR(VLOOKUP($E2426,'Fuel Category and Heat Rate'!$K$2:$M$36,3,FALSE),"")</f>
        <v>coal</v>
      </c>
    </row>
    <row r="2427" spans="1:9" x14ac:dyDescent="0.15">
      <c r="A2427" s="2">
        <v>277037</v>
      </c>
      <c r="B2427" s="2" t="s">
        <v>80</v>
      </c>
      <c r="C2427" s="2">
        <v>2022</v>
      </c>
      <c r="D2427" s="2" t="s">
        <v>1</v>
      </c>
      <c r="E2427" s="2" t="s">
        <v>6</v>
      </c>
      <c r="F2427" s="2" t="s">
        <v>35</v>
      </c>
      <c r="G2427" s="7"/>
      <c r="H2427" s="13" t="str">
        <f>IFERROR(IF(ABS($G2427)&gt;0,VLOOKUP($E2427,'Fuel Category and Heat Rate'!$B$1:$G$34,6,FALSE)*($G2427),""),"")</f>
        <v/>
      </c>
      <c r="I2427" t="str">
        <f>IFERROR(VLOOKUP($E2427,'Fuel Category and Heat Rate'!$K$2:$M$36,3,FALSE),"")</f>
        <v>coal</v>
      </c>
    </row>
    <row r="2428" spans="1:9" x14ac:dyDescent="0.15">
      <c r="A2428" s="2">
        <v>277072</v>
      </c>
      <c r="B2428" s="2" t="s">
        <v>80</v>
      </c>
      <c r="C2428" s="2">
        <v>2022</v>
      </c>
      <c r="D2428" s="2" t="s">
        <v>1</v>
      </c>
      <c r="E2428" s="2" t="s">
        <v>26</v>
      </c>
      <c r="F2428" s="2" t="s">
        <v>35</v>
      </c>
      <c r="G2428" s="7"/>
      <c r="H2428" s="13" t="str">
        <f>IFERROR(IF(ABS($G2428)&gt;0,VLOOKUP($E2428,'Fuel Category and Heat Rate'!$B$1:$G$34,6,FALSE)*($G2428),""),"")</f>
        <v/>
      </c>
      <c r="I2428" t="str">
        <f>IFERROR(VLOOKUP($E2428,'Fuel Category and Heat Rate'!$K$2:$M$36,3,FALSE),"")</f>
        <v>LPG propane or butane</v>
      </c>
    </row>
    <row r="2429" spans="1:9" x14ac:dyDescent="0.15">
      <c r="A2429" s="2">
        <v>277107</v>
      </c>
      <c r="B2429" s="2" t="s">
        <v>80</v>
      </c>
      <c r="C2429" s="2">
        <v>2022</v>
      </c>
      <c r="D2429" s="2" t="s">
        <v>1</v>
      </c>
      <c r="E2429" s="2" t="s">
        <v>30</v>
      </c>
      <c r="F2429" s="2" t="s">
        <v>35</v>
      </c>
      <c r="G2429" s="7"/>
      <c r="H2429" s="13" t="str">
        <f>IFERROR(IF(ABS($G2429)&gt;0,VLOOKUP($E2429,'Fuel Category and Heat Rate'!$B$1:$G$34,6,FALSE)*($G2429),""),"")</f>
        <v/>
      </c>
      <c r="I2429" t="str">
        <f>IFERROR(VLOOKUP($E2429,'Fuel Category and Heat Rate'!$K$2:$M$36,3,FALSE),"")</f>
        <v>natural gas</v>
      </c>
    </row>
    <row r="2430" spans="1:9" x14ac:dyDescent="0.15">
      <c r="A2430" s="2">
        <v>277142</v>
      </c>
      <c r="B2430" s="2" t="s">
        <v>80</v>
      </c>
      <c r="C2430" s="2">
        <v>2022</v>
      </c>
      <c r="D2430" s="2" t="s">
        <v>1</v>
      </c>
      <c r="E2430" s="2" t="s">
        <v>14</v>
      </c>
      <c r="F2430" s="2" t="s">
        <v>35</v>
      </c>
      <c r="G2430" s="7">
        <v>-2.35</v>
      </c>
      <c r="H2430" s="13">
        <f>IFERROR(IF(ABS($G2430)&gt;0,VLOOKUP($E2430,'Fuel Category and Heat Rate'!$B$1:$G$34,6,FALSE)*($G2430),""),"")</f>
        <v>0</v>
      </c>
      <c r="I2430" t="str">
        <f>IFERROR(VLOOKUP($E2430,'Fuel Category and Heat Rate'!$K$2:$M$36,3,FALSE),"")</f>
        <v/>
      </c>
    </row>
    <row r="2431" spans="1:9" x14ac:dyDescent="0.15">
      <c r="A2431" s="2">
        <v>277177</v>
      </c>
      <c r="B2431" s="2" t="s">
        <v>80</v>
      </c>
      <c r="C2431" s="2">
        <v>2022</v>
      </c>
      <c r="D2431" s="2" t="s">
        <v>1</v>
      </c>
      <c r="E2431" s="2" t="s">
        <v>3</v>
      </c>
      <c r="F2431" s="2" t="s">
        <v>35</v>
      </c>
      <c r="G2431" s="7">
        <v>-455.82</v>
      </c>
      <c r="H2431" s="13">
        <f>IFERROR(IF(ABS($G2431)&gt;0,VLOOKUP($E2431,'Fuel Category and Heat Rate'!$B$1:$G$34,6,FALSE)*($G2431),""),"")</f>
        <v>-90329668898570.625</v>
      </c>
      <c r="I2431" t="str">
        <f>IFERROR(VLOOKUP($E2431,'Fuel Category and Heat Rate'!$K$2:$M$36,3,FALSE),"")</f>
        <v>coal</v>
      </c>
    </row>
    <row r="2432" spans="1:9" x14ac:dyDescent="0.15">
      <c r="A2432" s="2">
        <v>277212</v>
      </c>
      <c r="B2432" s="2" t="s">
        <v>80</v>
      </c>
      <c r="C2432" s="2">
        <v>2022</v>
      </c>
      <c r="D2432" s="2" t="s">
        <v>1</v>
      </c>
      <c r="E2432" s="2" t="s">
        <v>15</v>
      </c>
      <c r="F2432" s="2" t="s">
        <v>35</v>
      </c>
      <c r="G2432" s="7"/>
      <c r="H2432" s="13" t="str">
        <f>IFERROR(IF(ABS($G2432)&gt;0,VLOOKUP($E2432,'Fuel Category and Heat Rate'!$B$1:$G$34,6,FALSE)*($G2432),""),"")</f>
        <v/>
      </c>
      <c r="I2432" t="str">
        <f>IFERROR(VLOOKUP($E2432,'Fuel Category and Heat Rate'!$K$2:$M$36,3,FALSE),"")</f>
        <v>crude oil</v>
      </c>
    </row>
    <row r="2433" spans="1:9" x14ac:dyDescent="0.15">
      <c r="A2433" s="2">
        <v>277247</v>
      </c>
      <c r="B2433" s="2" t="s">
        <v>80</v>
      </c>
      <c r="C2433" s="2">
        <v>2022</v>
      </c>
      <c r="D2433" s="2" t="s">
        <v>1</v>
      </c>
      <c r="E2433" s="2" t="s">
        <v>11</v>
      </c>
      <c r="F2433" s="2" t="s">
        <v>36</v>
      </c>
      <c r="G2433" s="7">
        <v>-0.8</v>
      </c>
      <c r="H2433" s="13">
        <f>IFERROR(IF(ABS($G2433)&gt;0,VLOOKUP($E2433,'Fuel Category and Heat Rate'!$B$1:$G$34,6,FALSE)*($G2433),""),"")</f>
        <v>-602432563167.15369</v>
      </c>
      <c r="I2433" t="str">
        <f>IFERROR(VLOOKUP($E2433,'Fuel Category and Heat Rate'!$K$2:$M$36,3,FALSE),"")</f>
        <v>LPG propane or butane</v>
      </c>
    </row>
    <row r="2434" spans="1:9" x14ac:dyDescent="0.15">
      <c r="A2434" s="2">
        <v>277282</v>
      </c>
      <c r="B2434" s="2" t="s">
        <v>80</v>
      </c>
      <c r="C2434" s="2">
        <v>2021</v>
      </c>
      <c r="D2434" s="2" t="s">
        <v>1</v>
      </c>
      <c r="E2434" s="2" t="s">
        <v>18</v>
      </c>
      <c r="F2434" s="2" t="s">
        <v>35</v>
      </c>
      <c r="G2434" s="7">
        <v>-0.01</v>
      </c>
      <c r="H2434" s="13">
        <f>IFERROR(IF(ABS($G2434)&gt;0,VLOOKUP($E2434,'Fuel Category and Heat Rate'!$B$1:$G$34,6,FALSE)*($G2434),""),"")</f>
        <v>-4042629591.5993452</v>
      </c>
      <c r="I2434" t="str">
        <f>IFERROR(VLOOKUP($E2434,'Fuel Category and Heat Rate'!$K$2:$M$36,3,FALSE),"")</f>
        <v>petroleum diesel</v>
      </c>
    </row>
    <row r="2435" spans="1:9" x14ac:dyDescent="0.15">
      <c r="A2435" s="2">
        <v>277317</v>
      </c>
      <c r="B2435" s="2" t="s">
        <v>80</v>
      </c>
      <c r="C2435" s="2">
        <v>2021</v>
      </c>
      <c r="D2435" s="2" t="s">
        <v>1</v>
      </c>
      <c r="E2435" s="2" t="s">
        <v>32</v>
      </c>
      <c r="F2435" s="2" t="s">
        <v>65</v>
      </c>
      <c r="G2435" s="7"/>
      <c r="H2435" s="13" t="str">
        <f>IFERROR(IF(ABS($G2435)&gt;0,VLOOKUP($E2435,'Fuel Category and Heat Rate'!$B$1:$G$34,6,FALSE)*($G2435),""),"")</f>
        <v/>
      </c>
      <c r="I2435" t="str">
        <f>IFERROR(VLOOKUP($E2435,'Fuel Category and Heat Rate'!$K$2:$M$36,3,FALSE),"")</f>
        <v>electricity</v>
      </c>
    </row>
    <row r="2436" spans="1:9" x14ac:dyDescent="0.15">
      <c r="A2436" s="2">
        <v>277352</v>
      </c>
      <c r="B2436" s="2" t="s">
        <v>80</v>
      </c>
      <c r="C2436" s="2">
        <v>2021</v>
      </c>
      <c r="D2436" s="2" t="s">
        <v>1</v>
      </c>
      <c r="E2436" s="2" t="s">
        <v>10</v>
      </c>
      <c r="F2436" s="2" t="s">
        <v>36</v>
      </c>
      <c r="G2436" s="7">
        <v>-16.309999999999999</v>
      </c>
      <c r="H2436" s="13">
        <f>IFERROR(IF(ABS($G2436)&gt;0,VLOOKUP($E2436,'Fuel Category and Heat Rate'!$B$1:$G$34,6,FALSE)*($G2436),""),"")</f>
        <v>-5817183042964.0283</v>
      </c>
      <c r="I2436" t="str">
        <f>IFERROR(VLOOKUP($E2436,'Fuel Category and Heat Rate'!$K$2:$M$36,3,FALSE),"")</f>
        <v>LPG propane or butane</v>
      </c>
    </row>
    <row r="2437" spans="1:9" x14ac:dyDescent="0.15">
      <c r="A2437" s="2">
        <v>277387</v>
      </c>
      <c r="B2437" s="2" t="s">
        <v>80</v>
      </c>
      <c r="C2437" s="2">
        <v>2021</v>
      </c>
      <c r="D2437" s="2" t="s">
        <v>1</v>
      </c>
      <c r="E2437" s="2" t="s">
        <v>9</v>
      </c>
      <c r="F2437" s="2" t="s">
        <v>36</v>
      </c>
      <c r="G2437" s="7">
        <v>-0.79</v>
      </c>
      <c r="H2437" s="13">
        <f>IFERROR(IF(ABS($G2437)&gt;0,VLOOKUP($E2437,'Fuel Category and Heat Rate'!$B$1:$G$34,6,FALSE)*($G2437),""),"")</f>
        <v>-1299387610617.9595</v>
      </c>
      <c r="I2437" t="str">
        <f>IFERROR(VLOOKUP($E2437,'Fuel Category and Heat Rate'!$K$2:$M$36,3,FALSE),"")</f>
        <v>LPG propane or butane</v>
      </c>
    </row>
    <row r="2438" spans="1:9" x14ac:dyDescent="0.15">
      <c r="A2438" s="2">
        <v>277422</v>
      </c>
      <c r="B2438" s="2" t="s">
        <v>80</v>
      </c>
      <c r="C2438" s="2">
        <v>2021</v>
      </c>
      <c r="D2438" s="2" t="s">
        <v>1</v>
      </c>
      <c r="E2438" s="2" t="s">
        <v>8</v>
      </c>
      <c r="F2438" s="2" t="s">
        <v>35</v>
      </c>
      <c r="G2438" s="7"/>
      <c r="H2438" s="13" t="str">
        <f>IFERROR(IF(ABS($G2438)&gt;0,VLOOKUP($E2438,'Fuel Category and Heat Rate'!$B$1:$G$34,6,FALSE)*($G2438),""),"")</f>
        <v/>
      </c>
      <c r="I2438" t="str">
        <f>IFERROR(VLOOKUP($E2438,'Fuel Category and Heat Rate'!$K$2:$M$36,3,FALSE),"")</f>
        <v>coal</v>
      </c>
    </row>
    <row r="2439" spans="1:9" x14ac:dyDescent="0.15">
      <c r="A2439" s="2">
        <v>277457</v>
      </c>
      <c r="B2439" s="2" t="s">
        <v>80</v>
      </c>
      <c r="C2439" s="2">
        <v>2021</v>
      </c>
      <c r="D2439" s="2" t="s">
        <v>1</v>
      </c>
      <c r="E2439" s="2" t="s">
        <v>27</v>
      </c>
      <c r="F2439" s="2" t="s">
        <v>35</v>
      </c>
      <c r="G2439" s="7">
        <v>-1.91</v>
      </c>
      <c r="H2439" s="13">
        <f>IFERROR(IF(ABS($G2439)&gt;0,VLOOKUP($E2439,'Fuel Category and Heat Rate'!$B$1:$G$34,6,FALSE)*($G2439),""),"")</f>
        <v>-832715917361.15198</v>
      </c>
      <c r="I2439" t="str">
        <f>IFERROR(VLOOKUP($E2439,'Fuel Category and Heat Rate'!$K$2:$M$36,3,FALSE),"")</f>
        <v>LPG propane or butane</v>
      </c>
    </row>
    <row r="2440" spans="1:9" x14ac:dyDescent="0.15">
      <c r="A2440" s="2">
        <v>277492</v>
      </c>
      <c r="B2440" s="2" t="s">
        <v>80</v>
      </c>
      <c r="C2440" s="2">
        <v>2021</v>
      </c>
      <c r="D2440" s="2" t="s">
        <v>1</v>
      </c>
      <c r="E2440" s="2" t="s">
        <v>7</v>
      </c>
      <c r="F2440" s="2" t="s">
        <v>35</v>
      </c>
      <c r="G2440" s="7">
        <v>-1.74</v>
      </c>
      <c r="H2440" s="13">
        <f>IFERROR(IF(ABS($G2440)&gt;0,VLOOKUP($E2440,'Fuel Category and Heat Rate'!$B$1:$G$34,6,FALSE)*($G2440),""),"")</f>
        <v>-138104158182.71613</v>
      </c>
      <c r="I2440" t="str">
        <f>IFERROR(VLOOKUP($E2440,'Fuel Category and Heat Rate'!$K$2:$M$36,3,FALSE),"")</f>
        <v>coal</v>
      </c>
    </row>
    <row r="2441" spans="1:9" x14ac:dyDescent="0.15">
      <c r="A2441" s="2">
        <v>277527</v>
      </c>
      <c r="B2441" s="2" t="s">
        <v>80</v>
      </c>
      <c r="C2441" s="2">
        <v>2021</v>
      </c>
      <c r="D2441" s="2" t="s">
        <v>1</v>
      </c>
      <c r="E2441" s="2" t="s">
        <v>2</v>
      </c>
      <c r="F2441" s="2" t="s">
        <v>35</v>
      </c>
      <c r="G2441" s="7">
        <v>-347.13</v>
      </c>
      <c r="H2441" s="13">
        <f>IFERROR(IF(ABS($G2441)&gt;0,VLOOKUP($E2441,'Fuel Category and Heat Rate'!$B$1:$G$34,6,FALSE)*($G2441),""),"")</f>
        <v>0</v>
      </c>
      <c r="I2441" t="str">
        <f>IFERROR(VLOOKUP($E2441,'Fuel Category and Heat Rate'!$K$2:$M$36,3,FALSE),"")</f>
        <v/>
      </c>
    </row>
    <row r="2442" spans="1:9" x14ac:dyDescent="0.15">
      <c r="A2442" s="2">
        <v>277562</v>
      </c>
      <c r="B2442" s="2" t="s">
        <v>80</v>
      </c>
      <c r="C2442" s="2">
        <v>2021</v>
      </c>
      <c r="D2442" s="2" t="s">
        <v>1</v>
      </c>
      <c r="E2442" s="2" t="s">
        <v>17</v>
      </c>
      <c r="F2442" s="2" t="s">
        <v>35</v>
      </c>
      <c r="G2442" s="7"/>
      <c r="H2442" s="13" t="str">
        <f>IFERROR(IF(ABS($G2442)&gt;0,VLOOKUP($E2442,'Fuel Category and Heat Rate'!$B$1:$G$34,6,FALSE)*($G2442),""),"")</f>
        <v/>
      </c>
      <c r="I2442" t="str">
        <f>IFERROR(VLOOKUP($E2442,'Fuel Category and Heat Rate'!$K$2:$M$36,3,FALSE),"")</f>
        <v>petroleum diesel</v>
      </c>
    </row>
    <row r="2443" spans="1:9" x14ac:dyDescent="0.15">
      <c r="A2443" s="2">
        <v>277597</v>
      </c>
      <c r="B2443" s="2" t="s">
        <v>80</v>
      </c>
      <c r="C2443" s="2">
        <v>2021</v>
      </c>
      <c r="D2443" s="2" t="s">
        <v>1</v>
      </c>
      <c r="E2443" s="2" t="s">
        <v>13</v>
      </c>
      <c r="F2443" s="2" t="s">
        <v>35</v>
      </c>
      <c r="G2443" s="7"/>
      <c r="H2443" s="13" t="str">
        <f>IFERROR(IF(ABS($G2443)&gt;0,VLOOKUP($E2443,'Fuel Category and Heat Rate'!$B$1:$G$34,6,FALSE)*($G2443),""),"")</f>
        <v/>
      </c>
      <c r="I2443" t="str">
        <f>IFERROR(VLOOKUP($E2443,'Fuel Category and Heat Rate'!$K$2:$M$36,3,FALSE),"")</f>
        <v>petroleum diesel</v>
      </c>
    </row>
    <row r="2444" spans="1:9" x14ac:dyDescent="0.15">
      <c r="A2444" s="2">
        <v>277632</v>
      </c>
      <c r="B2444" s="2" t="s">
        <v>80</v>
      </c>
      <c r="C2444" s="2">
        <v>2021</v>
      </c>
      <c r="D2444" s="2" t="s">
        <v>1</v>
      </c>
      <c r="E2444" s="2" t="s">
        <v>12</v>
      </c>
      <c r="F2444" s="2" t="s">
        <v>36</v>
      </c>
      <c r="G2444" s="7"/>
      <c r="H2444" s="13" t="str">
        <f>IFERROR(IF(ABS($G2444)&gt;0,VLOOKUP($E2444,'Fuel Category and Heat Rate'!$B$1:$G$34,6,FALSE)*($G2444),""),"")</f>
        <v/>
      </c>
      <c r="I2444" t="str">
        <f>IFERROR(VLOOKUP($E2444,'Fuel Category and Heat Rate'!$K$2:$M$36,3,FALSE),"")</f>
        <v>LPG propane or butane</v>
      </c>
    </row>
    <row r="2445" spans="1:9" x14ac:dyDescent="0.15">
      <c r="A2445" s="2">
        <v>277667</v>
      </c>
      <c r="B2445" s="2" t="s">
        <v>80</v>
      </c>
      <c r="C2445" s="2">
        <v>2021</v>
      </c>
      <c r="D2445" s="2" t="s">
        <v>1</v>
      </c>
      <c r="E2445" s="2" t="s">
        <v>33</v>
      </c>
      <c r="F2445" s="2" t="s">
        <v>38</v>
      </c>
      <c r="G2445" s="7">
        <v>-7.27</v>
      </c>
      <c r="H2445" s="13">
        <f>IFERROR(IF(ABS($G2445)&gt;0,VLOOKUP($E2445,'Fuel Category and Heat Rate'!$B$1:$G$34,6,FALSE)*($G2445),""),"")</f>
        <v>-2016956448324.5127</v>
      </c>
      <c r="I2445" t="str">
        <f>IFERROR(VLOOKUP($E2445,'Fuel Category and Heat Rate'!$K$2:$M$36,3,FALSE),"")</f>
        <v>biomass</v>
      </c>
    </row>
    <row r="2446" spans="1:9" x14ac:dyDescent="0.15">
      <c r="A2446" s="2">
        <v>277702</v>
      </c>
      <c r="B2446" s="2" t="s">
        <v>80</v>
      </c>
      <c r="C2446" s="2">
        <v>2021</v>
      </c>
      <c r="D2446" s="2" t="s">
        <v>1</v>
      </c>
      <c r="E2446" s="2" t="s">
        <v>28</v>
      </c>
      <c r="F2446" s="2" t="s">
        <v>35</v>
      </c>
      <c r="G2446" s="7"/>
      <c r="H2446" s="13" t="str">
        <f>IFERROR(IF(ABS($G2446)&gt;0,VLOOKUP($E2446,'Fuel Category and Heat Rate'!$B$1:$G$34,6,FALSE)*($G2446),""),"")</f>
        <v/>
      </c>
      <c r="I2446" t="str">
        <f>IFERROR(VLOOKUP($E2446,'Fuel Category and Heat Rate'!$K$2:$M$36,3,FALSE),"")</f>
        <v>heavy or residual fuel oil</v>
      </c>
    </row>
    <row r="2447" spans="1:9" x14ac:dyDescent="0.15">
      <c r="A2447" s="2">
        <v>277737</v>
      </c>
      <c r="B2447" s="2" t="s">
        <v>80</v>
      </c>
      <c r="C2447" s="2">
        <v>2021</v>
      </c>
      <c r="D2447" s="2" t="s">
        <v>1</v>
      </c>
      <c r="E2447" s="2" t="s">
        <v>5</v>
      </c>
      <c r="F2447" s="2" t="s">
        <v>35</v>
      </c>
      <c r="G2447" s="7">
        <v>-4.16</v>
      </c>
      <c r="H2447" s="13">
        <f>IFERROR(IF(ABS($G2447)&gt;0,VLOOKUP($E2447,'Fuel Category and Heat Rate'!$B$1:$G$34,6,FALSE)*($G2447),""),"")</f>
        <v>-329746335229.55206</v>
      </c>
      <c r="I2447" t="str">
        <f>IFERROR(VLOOKUP($E2447,'Fuel Category and Heat Rate'!$K$2:$M$36,3,FALSE),"")</f>
        <v>coal</v>
      </c>
    </row>
    <row r="2448" spans="1:9" x14ac:dyDescent="0.15">
      <c r="A2448" s="2">
        <v>277772</v>
      </c>
      <c r="B2448" s="2" t="s">
        <v>80</v>
      </c>
      <c r="C2448" s="2">
        <v>2021</v>
      </c>
      <c r="D2448" s="2" t="s">
        <v>1</v>
      </c>
      <c r="E2448" s="2" t="s">
        <v>16</v>
      </c>
      <c r="F2448" s="2" t="s">
        <v>35</v>
      </c>
      <c r="G2448" s="7"/>
      <c r="H2448" s="13" t="str">
        <f>IFERROR(IF(ABS($G2448)&gt;0,VLOOKUP($E2448,'Fuel Category and Heat Rate'!$B$1:$G$34,6,FALSE)*($G2448),""),"")</f>
        <v/>
      </c>
      <c r="I2448" t="str">
        <f>IFERROR(VLOOKUP($E2448,'Fuel Category and Heat Rate'!$K$2:$M$36,3,FALSE),"")</f>
        <v>petroleum diesel</v>
      </c>
    </row>
    <row r="2449" spans="1:9" x14ac:dyDescent="0.15">
      <c r="A2449" s="2">
        <v>277807</v>
      </c>
      <c r="B2449" s="2" t="s">
        <v>80</v>
      </c>
      <c r="C2449" s="2">
        <v>2021</v>
      </c>
      <c r="D2449" s="2" t="s">
        <v>1</v>
      </c>
      <c r="E2449" s="2" t="s">
        <v>19</v>
      </c>
      <c r="F2449" s="2" t="s">
        <v>35</v>
      </c>
      <c r="G2449" s="7"/>
      <c r="H2449" s="13" t="str">
        <f>IFERROR(IF(ABS($G2449)&gt;0,VLOOKUP($E2449,'Fuel Category and Heat Rate'!$B$1:$G$34,6,FALSE)*($G2449),""),"")</f>
        <v/>
      </c>
      <c r="I2449" t="str">
        <f>IFERROR(VLOOKUP($E2449,'Fuel Category and Heat Rate'!$K$2:$M$36,3,FALSE),"")</f>
        <v>heavy or residual fuel oil</v>
      </c>
    </row>
    <row r="2450" spans="1:9" x14ac:dyDescent="0.15">
      <c r="A2450" s="2">
        <v>277842</v>
      </c>
      <c r="B2450" s="2" t="s">
        <v>80</v>
      </c>
      <c r="C2450" s="2">
        <v>2021</v>
      </c>
      <c r="D2450" s="2" t="s">
        <v>1</v>
      </c>
      <c r="E2450" s="2" t="s">
        <v>31</v>
      </c>
      <c r="F2450" s="2" t="s">
        <v>37</v>
      </c>
      <c r="G2450" s="7">
        <v>6730.54</v>
      </c>
      <c r="H2450" s="13">
        <f>IFERROR(IF(ABS($G2450)&gt;0,VLOOKUP($E2450,'Fuel Category and Heat Rate'!$B$1:$G$34,6,FALSE)*($G2450),""),"")</f>
        <v>63793210567952.398</v>
      </c>
      <c r="I2450" t="str">
        <f>IFERROR(VLOOKUP($E2450,'Fuel Category and Heat Rate'!$K$2:$M$36,3,FALSE),"")</f>
        <v>heat</v>
      </c>
    </row>
    <row r="2451" spans="1:9" x14ac:dyDescent="0.15">
      <c r="A2451" s="2">
        <v>277877</v>
      </c>
      <c r="B2451" s="2" t="s">
        <v>80</v>
      </c>
      <c r="C2451" s="2">
        <v>2021</v>
      </c>
      <c r="D2451" s="2" t="s">
        <v>1</v>
      </c>
      <c r="E2451" s="2" t="s">
        <v>23</v>
      </c>
      <c r="F2451" s="2" t="s">
        <v>35</v>
      </c>
      <c r="G2451" s="7"/>
      <c r="H2451" s="13" t="str">
        <f>IFERROR(IF(ABS($G2451)&gt;0,VLOOKUP($E2451,'Fuel Category and Heat Rate'!$B$1:$G$34,6,FALSE)*($G2451),""),"")</f>
        <v/>
      </c>
      <c r="I2451" t="str">
        <f>IFERROR(VLOOKUP($E2451,'Fuel Category and Heat Rate'!$K$2:$M$36,3,FALSE),"")</f>
        <v>heavy or residual fuel oil</v>
      </c>
    </row>
    <row r="2452" spans="1:9" x14ac:dyDescent="0.15">
      <c r="A2452" s="2">
        <v>277912</v>
      </c>
      <c r="B2452" s="2" t="s">
        <v>80</v>
      </c>
      <c r="C2452" s="2">
        <v>2021</v>
      </c>
      <c r="D2452" s="2" t="s">
        <v>1</v>
      </c>
      <c r="E2452" s="2" t="s">
        <v>21</v>
      </c>
      <c r="F2452" s="2" t="s">
        <v>35</v>
      </c>
      <c r="G2452" s="7"/>
      <c r="H2452" s="13" t="str">
        <f>IFERROR(IF(ABS($G2452)&gt;0,VLOOKUP($E2452,'Fuel Category and Heat Rate'!$B$1:$G$34,6,FALSE)*($G2452),""),"")</f>
        <v/>
      </c>
      <c r="I2452" t="str">
        <f>IFERROR(VLOOKUP($E2452,'Fuel Category and Heat Rate'!$K$2:$M$36,3,FALSE),"")</f>
        <v>LPG propane or butane</v>
      </c>
    </row>
    <row r="2453" spans="1:9" x14ac:dyDescent="0.15">
      <c r="A2453" s="2">
        <v>277947</v>
      </c>
      <c r="B2453" s="2" t="s">
        <v>80</v>
      </c>
      <c r="C2453" s="2">
        <v>2021</v>
      </c>
      <c r="D2453" s="2" t="s">
        <v>1</v>
      </c>
      <c r="E2453" s="2" t="s">
        <v>22</v>
      </c>
      <c r="F2453" s="2" t="s">
        <v>35</v>
      </c>
      <c r="G2453" s="7"/>
      <c r="H2453" s="13" t="str">
        <f>IFERROR(IF(ABS($G2453)&gt;0,VLOOKUP($E2453,'Fuel Category and Heat Rate'!$B$1:$G$34,6,FALSE)*($G2453),""),"")</f>
        <v/>
      </c>
      <c r="I2453" t="str">
        <f>IFERROR(VLOOKUP($E2453,'Fuel Category and Heat Rate'!$K$2:$M$36,3,FALSE),"")</f>
        <v>heavy fuel oil</v>
      </c>
    </row>
    <row r="2454" spans="1:9" x14ac:dyDescent="0.15">
      <c r="A2454" s="2">
        <v>277982</v>
      </c>
      <c r="B2454" s="2" t="s">
        <v>80</v>
      </c>
      <c r="C2454" s="2">
        <v>2021</v>
      </c>
      <c r="D2454" s="2" t="s">
        <v>1</v>
      </c>
      <c r="E2454" s="2" t="s">
        <v>20</v>
      </c>
      <c r="F2454" s="2" t="s">
        <v>35</v>
      </c>
      <c r="G2454" s="7"/>
      <c r="H2454" s="13" t="str">
        <f>IFERROR(IF(ABS($G2454)&gt;0,VLOOKUP($E2454,'Fuel Category and Heat Rate'!$B$1:$G$34,6,FALSE)*($G2454),""),"")</f>
        <v/>
      </c>
      <c r="I2454" t="str">
        <f>IFERROR(VLOOKUP($E2454,'Fuel Category and Heat Rate'!$K$2:$M$36,3,FALSE),"")</f>
        <v>LPG propane or butane</v>
      </c>
    </row>
    <row r="2455" spans="1:9" x14ac:dyDescent="0.15">
      <c r="A2455" s="2">
        <v>278017</v>
      </c>
      <c r="B2455" s="2" t="s">
        <v>80</v>
      </c>
      <c r="C2455" s="2">
        <v>2021</v>
      </c>
      <c r="D2455" s="2" t="s">
        <v>1</v>
      </c>
      <c r="E2455" s="2" t="s">
        <v>25</v>
      </c>
      <c r="F2455" s="2" t="s">
        <v>35</v>
      </c>
      <c r="G2455" s="7">
        <v>-1.48</v>
      </c>
      <c r="H2455" s="13">
        <f>IFERROR(IF(ABS($G2455)&gt;0,VLOOKUP($E2455,'Fuel Category and Heat Rate'!$B$1:$G$34,6,FALSE)*($G2455),""),"")</f>
        <v>-448142721544.07745</v>
      </c>
      <c r="I2455" t="str">
        <f>IFERROR(VLOOKUP($E2455,'Fuel Category and Heat Rate'!$K$2:$M$36,3,FALSE),"")</f>
        <v>heavy fuel oil</v>
      </c>
    </row>
    <row r="2456" spans="1:9" x14ac:dyDescent="0.15">
      <c r="A2456" s="2">
        <v>278052</v>
      </c>
      <c r="B2456" s="2" t="s">
        <v>80</v>
      </c>
      <c r="C2456" s="2">
        <v>2021</v>
      </c>
      <c r="D2456" s="2" t="s">
        <v>1</v>
      </c>
      <c r="E2456" s="2" t="s">
        <v>24</v>
      </c>
      <c r="F2456" s="2" t="s">
        <v>35</v>
      </c>
      <c r="G2456" s="7"/>
      <c r="H2456" s="13" t="str">
        <f>IFERROR(IF(ABS($G2456)&gt;0,VLOOKUP($E2456,'Fuel Category and Heat Rate'!$B$1:$G$34,6,FALSE)*($G2456),""),"")</f>
        <v/>
      </c>
      <c r="I2456" t="str">
        <f>IFERROR(VLOOKUP($E2456,'Fuel Category and Heat Rate'!$K$2:$M$36,3,FALSE),"")</f>
        <v>heavy fuel oil</v>
      </c>
    </row>
    <row r="2457" spans="1:9" x14ac:dyDescent="0.15">
      <c r="A2457" s="2">
        <v>278087</v>
      </c>
      <c r="B2457" s="2" t="s">
        <v>80</v>
      </c>
      <c r="C2457" s="2">
        <v>2021</v>
      </c>
      <c r="D2457" s="2" t="s">
        <v>1</v>
      </c>
      <c r="E2457" s="2" t="s">
        <v>29</v>
      </c>
      <c r="F2457" s="2" t="s">
        <v>36</v>
      </c>
      <c r="G2457" s="7">
        <v>-0.14000000000000001</v>
      </c>
      <c r="H2457" s="13">
        <f>IFERROR(IF(ABS($G2457)&gt;0,VLOOKUP($E2457,'Fuel Category and Heat Rate'!$B$1:$G$34,6,FALSE)*($G2457),""),"")</f>
        <v>-472186377621.62073</v>
      </c>
      <c r="I2457" t="str">
        <f>IFERROR(VLOOKUP($E2457,'Fuel Category and Heat Rate'!$K$2:$M$36,3,FALSE),"")</f>
        <v>natural gas</v>
      </c>
    </row>
    <row r="2458" spans="1:9" x14ac:dyDescent="0.15">
      <c r="A2458" s="2">
        <v>278122</v>
      </c>
      <c r="B2458" s="2" t="s">
        <v>80</v>
      </c>
      <c r="C2458" s="2">
        <v>2021</v>
      </c>
      <c r="D2458" s="2" t="s">
        <v>1</v>
      </c>
      <c r="E2458" s="2" t="s">
        <v>4</v>
      </c>
      <c r="F2458" s="2" t="s">
        <v>35</v>
      </c>
      <c r="G2458" s="7"/>
      <c r="H2458" s="13" t="str">
        <f>IFERROR(IF(ABS($G2458)&gt;0,VLOOKUP($E2458,'Fuel Category and Heat Rate'!$B$1:$G$34,6,FALSE)*($G2458),""),"")</f>
        <v/>
      </c>
      <c r="I2458" t="str">
        <f>IFERROR(VLOOKUP($E2458,'Fuel Category and Heat Rate'!$K$2:$M$36,3,FALSE),"")</f>
        <v>coal</v>
      </c>
    </row>
    <row r="2459" spans="1:9" x14ac:dyDescent="0.15">
      <c r="A2459" s="2">
        <v>278157</v>
      </c>
      <c r="B2459" s="2" t="s">
        <v>80</v>
      </c>
      <c r="C2459" s="2">
        <v>2021</v>
      </c>
      <c r="D2459" s="2" t="s">
        <v>1</v>
      </c>
      <c r="E2459" s="2" t="s">
        <v>6</v>
      </c>
      <c r="F2459" s="2" t="s">
        <v>35</v>
      </c>
      <c r="G2459" s="7"/>
      <c r="H2459" s="13" t="str">
        <f>IFERROR(IF(ABS($G2459)&gt;0,VLOOKUP($E2459,'Fuel Category and Heat Rate'!$B$1:$G$34,6,FALSE)*($G2459),""),"")</f>
        <v/>
      </c>
      <c r="I2459" t="str">
        <f>IFERROR(VLOOKUP($E2459,'Fuel Category and Heat Rate'!$K$2:$M$36,3,FALSE),"")</f>
        <v>coal</v>
      </c>
    </row>
    <row r="2460" spans="1:9" x14ac:dyDescent="0.15">
      <c r="A2460" s="2">
        <v>278192</v>
      </c>
      <c r="B2460" s="2" t="s">
        <v>80</v>
      </c>
      <c r="C2460" s="2">
        <v>2021</v>
      </c>
      <c r="D2460" s="2" t="s">
        <v>1</v>
      </c>
      <c r="E2460" s="2" t="s">
        <v>26</v>
      </c>
      <c r="F2460" s="2" t="s">
        <v>35</v>
      </c>
      <c r="G2460" s="7"/>
      <c r="H2460" s="13" t="str">
        <f>IFERROR(IF(ABS($G2460)&gt;0,VLOOKUP($E2460,'Fuel Category and Heat Rate'!$B$1:$G$34,6,FALSE)*($G2460),""),"")</f>
        <v/>
      </c>
      <c r="I2460" t="str">
        <f>IFERROR(VLOOKUP($E2460,'Fuel Category and Heat Rate'!$K$2:$M$36,3,FALSE),"")</f>
        <v>LPG propane or butane</v>
      </c>
    </row>
    <row r="2461" spans="1:9" x14ac:dyDescent="0.15">
      <c r="A2461" s="2">
        <v>278227</v>
      </c>
      <c r="B2461" s="2" t="s">
        <v>80</v>
      </c>
      <c r="C2461" s="2">
        <v>2021</v>
      </c>
      <c r="D2461" s="2" t="s">
        <v>1</v>
      </c>
      <c r="E2461" s="2" t="s">
        <v>30</v>
      </c>
      <c r="F2461" s="2" t="s">
        <v>35</v>
      </c>
      <c r="G2461" s="7"/>
      <c r="H2461" s="13" t="str">
        <f>IFERROR(IF(ABS($G2461)&gt;0,VLOOKUP($E2461,'Fuel Category and Heat Rate'!$B$1:$G$34,6,FALSE)*($G2461),""),"")</f>
        <v/>
      </c>
      <c r="I2461" t="str">
        <f>IFERROR(VLOOKUP($E2461,'Fuel Category and Heat Rate'!$K$2:$M$36,3,FALSE),"")</f>
        <v>natural gas</v>
      </c>
    </row>
    <row r="2462" spans="1:9" x14ac:dyDescent="0.15">
      <c r="A2462" s="2">
        <v>278262</v>
      </c>
      <c r="B2462" s="2" t="s">
        <v>80</v>
      </c>
      <c r="C2462" s="2">
        <v>2021</v>
      </c>
      <c r="D2462" s="2" t="s">
        <v>1</v>
      </c>
      <c r="E2462" s="2" t="s">
        <v>14</v>
      </c>
      <c r="F2462" s="2" t="s">
        <v>35</v>
      </c>
      <c r="G2462" s="7">
        <v>-3.4</v>
      </c>
      <c r="H2462" s="13">
        <f>IFERROR(IF(ABS($G2462)&gt;0,VLOOKUP($E2462,'Fuel Category and Heat Rate'!$B$1:$G$34,6,FALSE)*($G2462),""),"")</f>
        <v>0</v>
      </c>
      <c r="I2462" t="str">
        <f>IFERROR(VLOOKUP($E2462,'Fuel Category and Heat Rate'!$K$2:$M$36,3,FALSE),"")</f>
        <v/>
      </c>
    </row>
    <row r="2463" spans="1:9" x14ac:dyDescent="0.15">
      <c r="A2463" s="2">
        <v>278297</v>
      </c>
      <c r="B2463" s="2" t="s">
        <v>80</v>
      </c>
      <c r="C2463" s="2">
        <v>2021</v>
      </c>
      <c r="D2463" s="2" t="s">
        <v>1</v>
      </c>
      <c r="E2463" s="2" t="s">
        <v>3</v>
      </c>
      <c r="F2463" s="2" t="s">
        <v>35</v>
      </c>
      <c r="G2463" s="7">
        <v>-342.97</v>
      </c>
      <c r="H2463" s="13">
        <f>IFERROR(IF(ABS($G2463)&gt;0,VLOOKUP($E2463,'Fuel Category and Heat Rate'!$B$1:$G$34,6,FALSE)*($G2463),""),"")</f>
        <v>-67966229086355.953</v>
      </c>
      <c r="I2463" t="str">
        <f>IFERROR(VLOOKUP($E2463,'Fuel Category and Heat Rate'!$K$2:$M$36,3,FALSE),"")</f>
        <v>coal</v>
      </c>
    </row>
    <row r="2464" spans="1:9" x14ac:dyDescent="0.15">
      <c r="A2464" s="2">
        <v>278332</v>
      </c>
      <c r="B2464" s="2" t="s">
        <v>80</v>
      </c>
      <c r="C2464" s="2">
        <v>2021</v>
      </c>
      <c r="D2464" s="2" t="s">
        <v>1</v>
      </c>
      <c r="E2464" s="2" t="s">
        <v>15</v>
      </c>
      <c r="F2464" s="2" t="s">
        <v>35</v>
      </c>
      <c r="G2464" s="7"/>
      <c r="H2464" s="13" t="str">
        <f>IFERROR(IF(ABS($G2464)&gt;0,VLOOKUP($E2464,'Fuel Category and Heat Rate'!$B$1:$G$34,6,FALSE)*($G2464),""),"")</f>
        <v/>
      </c>
      <c r="I2464" t="str">
        <f>IFERROR(VLOOKUP($E2464,'Fuel Category and Heat Rate'!$K$2:$M$36,3,FALSE),"")</f>
        <v>crude oil</v>
      </c>
    </row>
    <row r="2465" spans="1:9" x14ac:dyDescent="0.15">
      <c r="A2465" s="2">
        <v>278367</v>
      </c>
      <c r="B2465" s="2" t="s">
        <v>80</v>
      </c>
      <c r="C2465" s="2">
        <v>2021</v>
      </c>
      <c r="D2465" s="2" t="s">
        <v>1</v>
      </c>
      <c r="E2465" s="2" t="s">
        <v>11</v>
      </c>
      <c r="F2465" s="2" t="s">
        <v>36</v>
      </c>
      <c r="G2465" s="7">
        <v>-1.1299999999999999</v>
      </c>
      <c r="H2465" s="13">
        <f>IFERROR(IF(ABS($G2465)&gt;0,VLOOKUP($E2465,'Fuel Category and Heat Rate'!$B$1:$G$34,6,FALSE)*($G2465),""),"")</f>
        <v>-850935995473.60449</v>
      </c>
      <c r="I2465" t="str">
        <f>IFERROR(VLOOKUP($E2465,'Fuel Category and Heat Rate'!$K$2:$M$36,3,FALSE),"")</f>
        <v>LPG propane or butane</v>
      </c>
    </row>
    <row r="2466" spans="1:9" x14ac:dyDescent="0.15">
      <c r="A2466" s="2">
        <v>278402</v>
      </c>
      <c r="B2466" s="2" t="s">
        <v>80</v>
      </c>
      <c r="C2466" s="2">
        <v>2020</v>
      </c>
      <c r="D2466" s="2" t="s">
        <v>1</v>
      </c>
      <c r="E2466" s="2" t="s">
        <v>18</v>
      </c>
      <c r="F2466" s="2" t="s">
        <v>35</v>
      </c>
      <c r="G2466" s="7"/>
      <c r="H2466" s="13" t="str">
        <f>IFERROR(IF(ABS($G2466)&gt;0,VLOOKUP($E2466,'Fuel Category and Heat Rate'!$B$1:$G$34,6,FALSE)*($G2466),""),"")</f>
        <v/>
      </c>
      <c r="I2466" t="str">
        <f>IFERROR(VLOOKUP($E2466,'Fuel Category and Heat Rate'!$K$2:$M$36,3,FALSE),"")</f>
        <v>petroleum diesel</v>
      </c>
    </row>
    <row r="2467" spans="1:9" x14ac:dyDescent="0.15">
      <c r="A2467" s="2">
        <v>278437</v>
      </c>
      <c r="B2467" s="2" t="s">
        <v>80</v>
      </c>
      <c r="C2467" s="2">
        <v>2020</v>
      </c>
      <c r="D2467" s="2" t="s">
        <v>1</v>
      </c>
      <c r="E2467" s="2" t="s">
        <v>32</v>
      </c>
      <c r="F2467" s="2" t="s">
        <v>65</v>
      </c>
      <c r="G2467" s="7"/>
      <c r="H2467" s="13" t="str">
        <f>IFERROR(IF(ABS($G2467)&gt;0,VLOOKUP($E2467,'Fuel Category and Heat Rate'!$B$1:$G$34,6,FALSE)*($G2467),""),"")</f>
        <v/>
      </c>
      <c r="I2467" t="str">
        <f>IFERROR(VLOOKUP($E2467,'Fuel Category and Heat Rate'!$K$2:$M$36,3,FALSE),"")</f>
        <v>electricity</v>
      </c>
    </row>
    <row r="2468" spans="1:9" x14ac:dyDescent="0.15">
      <c r="A2468" s="2">
        <v>278472</v>
      </c>
      <c r="B2468" s="2" t="s">
        <v>80</v>
      </c>
      <c r="C2468" s="2">
        <v>2020</v>
      </c>
      <c r="D2468" s="2" t="s">
        <v>1</v>
      </c>
      <c r="E2468" s="2" t="s">
        <v>10</v>
      </c>
      <c r="F2468" s="2" t="s">
        <v>36</v>
      </c>
      <c r="G2468" s="7">
        <v>-14.22</v>
      </c>
      <c r="H2468" s="13">
        <f>IFERROR(IF(ABS($G2468)&gt;0,VLOOKUP($E2468,'Fuel Category and Heat Rate'!$B$1:$G$34,6,FALSE)*($G2468),""),"")</f>
        <v>-5071756153951.4707</v>
      </c>
      <c r="I2468" t="str">
        <f>IFERROR(VLOOKUP($E2468,'Fuel Category and Heat Rate'!$K$2:$M$36,3,FALSE),"")</f>
        <v>LPG propane or butane</v>
      </c>
    </row>
    <row r="2469" spans="1:9" x14ac:dyDescent="0.15">
      <c r="A2469" s="2">
        <v>278507</v>
      </c>
      <c r="B2469" s="2" t="s">
        <v>80</v>
      </c>
      <c r="C2469" s="2">
        <v>2020</v>
      </c>
      <c r="D2469" s="2" t="s">
        <v>1</v>
      </c>
      <c r="E2469" s="2" t="s">
        <v>9</v>
      </c>
      <c r="F2469" s="2" t="s">
        <v>36</v>
      </c>
      <c r="G2469" s="7">
        <v>-0.59</v>
      </c>
      <c r="H2469" s="13">
        <f>IFERROR(IF(ABS($G2469)&gt;0,VLOOKUP($E2469,'Fuel Category and Heat Rate'!$B$1:$G$34,6,FALSE)*($G2469),""),"")</f>
        <v>-970428721853.91895</v>
      </c>
      <c r="I2469" t="str">
        <f>IFERROR(VLOOKUP($E2469,'Fuel Category and Heat Rate'!$K$2:$M$36,3,FALSE),"")</f>
        <v>LPG propane or butane</v>
      </c>
    </row>
    <row r="2470" spans="1:9" x14ac:dyDescent="0.15">
      <c r="A2470" s="2">
        <v>278542</v>
      </c>
      <c r="B2470" s="2" t="s">
        <v>80</v>
      </c>
      <c r="C2470" s="2">
        <v>2020</v>
      </c>
      <c r="D2470" s="2" t="s">
        <v>1</v>
      </c>
      <c r="E2470" s="2" t="s">
        <v>8</v>
      </c>
      <c r="F2470" s="2" t="s">
        <v>35</v>
      </c>
      <c r="G2470" s="7"/>
      <c r="H2470" s="13" t="str">
        <f>IFERROR(IF(ABS($G2470)&gt;0,VLOOKUP($E2470,'Fuel Category and Heat Rate'!$B$1:$G$34,6,FALSE)*($G2470),""),"")</f>
        <v/>
      </c>
      <c r="I2470" t="str">
        <f>IFERROR(VLOOKUP($E2470,'Fuel Category and Heat Rate'!$K$2:$M$36,3,FALSE),"")</f>
        <v>coal</v>
      </c>
    </row>
    <row r="2471" spans="1:9" x14ac:dyDescent="0.15">
      <c r="A2471" s="2">
        <v>278577</v>
      </c>
      <c r="B2471" s="2" t="s">
        <v>80</v>
      </c>
      <c r="C2471" s="2">
        <v>2020</v>
      </c>
      <c r="D2471" s="2" t="s">
        <v>1</v>
      </c>
      <c r="E2471" s="2" t="s">
        <v>27</v>
      </c>
      <c r="F2471" s="2" t="s">
        <v>35</v>
      </c>
      <c r="G2471" s="7">
        <v>-1.89</v>
      </c>
      <c r="H2471" s="13">
        <f>IFERROR(IF(ABS($G2471)&gt;0,VLOOKUP($E2471,'Fuel Category and Heat Rate'!$B$1:$G$34,6,FALSE)*($G2471),""),"")</f>
        <v>-823996378959.4646</v>
      </c>
      <c r="I2471" t="str">
        <f>IFERROR(VLOOKUP($E2471,'Fuel Category and Heat Rate'!$K$2:$M$36,3,FALSE),"")</f>
        <v>LPG propane or butane</v>
      </c>
    </row>
    <row r="2472" spans="1:9" x14ac:dyDescent="0.15">
      <c r="A2472" s="2">
        <v>278612</v>
      </c>
      <c r="B2472" s="2" t="s">
        <v>80</v>
      </c>
      <c r="C2472" s="2">
        <v>2020</v>
      </c>
      <c r="D2472" s="2" t="s">
        <v>1</v>
      </c>
      <c r="E2472" s="2" t="s">
        <v>7</v>
      </c>
      <c r="F2472" s="2" t="s">
        <v>35</v>
      </c>
      <c r="G2472" s="7"/>
      <c r="H2472" s="13" t="str">
        <f>IFERROR(IF(ABS($G2472)&gt;0,VLOOKUP($E2472,'Fuel Category and Heat Rate'!$B$1:$G$34,6,FALSE)*($G2472),""),"")</f>
        <v/>
      </c>
      <c r="I2472" t="str">
        <f>IFERROR(VLOOKUP($E2472,'Fuel Category and Heat Rate'!$K$2:$M$36,3,FALSE),"")</f>
        <v>coal</v>
      </c>
    </row>
    <row r="2473" spans="1:9" x14ac:dyDescent="0.15">
      <c r="A2473" s="2">
        <v>278647</v>
      </c>
      <c r="B2473" s="2" t="s">
        <v>80</v>
      </c>
      <c r="C2473" s="2">
        <v>2020</v>
      </c>
      <c r="D2473" s="2" t="s">
        <v>1</v>
      </c>
      <c r="E2473" s="2" t="s">
        <v>2</v>
      </c>
      <c r="F2473" s="2" t="s">
        <v>35</v>
      </c>
      <c r="G2473" s="7">
        <v>-290.11</v>
      </c>
      <c r="H2473" s="13">
        <f>IFERROR(IF(ABS($G2473)&gt;0,VLOOKUP($E2473,'Fuel Category and Heat Rate'!$B$1:$G$34,6,FALSE)*($G2473),""),"")</f>
        <v>0</v>
      </c>
      <c r="I2473" t="str">
        <f>IFERROR(VLOOKUP($E2473,'Fuel Category and Heat Rate'!$K$2:$M$36,3,FALSE),"")</f>
        <v/>
      </c>
    </row>
    <row r="2474" spans="1:9" x14ac:dyDescent="0.15">
      <c r="A2474" s="2">
        <v>278682</v>
      </c>
      <c r="B2474" s="2" t="s">
        <v>80</v>
      </c>
      <c r="C2474" s="2">
        <v>2020</v>
      </c>
      <c r="D2474" s="2" t="s">
        <v>1</v>
      </c>
      <c r="E2474" s="2" t="s">
        <v>17</v>
      </c>
      <c r="F2474" s="2" t="s">
        <v>35</v>
      </c>
      <c r="G2474" s="7"/>
      <c r="H2474" s="13" t="str">
        <f>IFERROR(IF(ABS($G2474)&gt;0,VLOOKUP($E2474,'Fuel Category and Heat Rate'!$B$1:$G$34,6,FALSE)*($G2474),""),"")</f>
        <v/>
      </c>
      <c r="I2474" t="str">
        <f>IFERROR(VLOOKUP($E2474,'Fuel Category and Heat Rate'!$K$2:$M$36,3,FALSE),"")</f>
        <v>petroleum diesel</v>
      </c>
    </row>
    <row r="2475" spans="1:9" x14ac:dyDescent="0.15">
      <c r="A2475" s="2">
        <v>278717</v>
      </c>
      <c r="B2475" s="2" t="s">
        <v>80</v>
      </c>
      <c r="C2475" s="2">
        <v>2020</v>
      </c>
      <c r="D2475" s="2" t="s">
        <v>1</v>
      </c>
      <c r="E2475" s="2" t="s">
        <v>13</v>
      </c>
      <c r="F2475" s="2" t="s">
        <v>35</v>
      </c>
      <c r="G2475" s="7"/>
      <c r="H2475" s="13" t="str">
        <f>IFERROR(IF(ABS($G2475)&gt;0,VLOOKUP($E2475,'Fuel Category and Heat Rate'!$B$1:$G$34,6,FALSE)*($G2475),""),"")</f>
        <v/>
      </c>
      <c r="I2475" t="str">
        <f>IFERROR(VLOOKUP($E2475,'Fuel Category and Heat Rate'!$K$2:$M$36,3,FALSE),"")</f>
        <v>petroleum diesel</v>
      </c>
    </row>
    <row r="2476" spans="1:9" x14ac:dyDescent="0.15">
      <c r="A2476" s="2">
        <v>278752</v>
      </c>
      <c r="B2476" s="2" t="s">
        <v>80</v>
      </c>
      <c r="C2476" s="2">
        <v>2020</v>
      </c>
      <c r="D2476" s="2" t="s">
        <v>1</v>
      </c>
      <c r="E2476" s="2" t="s">
        <v>12</v>
      </c>
      <c r="F2476" s="2" t="s">
        <v>36</v>
      </c>
      <c r="G2476" s="7"/>
      <c r="H2476" s="13" t="str">
        <f>IFERROR(IF(ABS($G2476)&gt;0,VLOOKUP($E2476,'Fuel Category and Heat Rate'!$B$1:$G$34,6,FALSE)*($G2476),""),"")</f>
        <v/>
      </c>
      <c r="I2476" t="str">
        <f>IFERROR(VLOOKUP($E2476,'Fuel Category and Heat Rate'!$K$2:$M$36,3,FALSE),"")</f>
        <v>LPG propane or butane</v>
      </c>
    </row>
    <row r="2477" spans="1:9" x14ac:dyDescent="0.15">
      <c r="A2477" s="2">
        <v>278787</v>
      </c>
      <c r="B2477" s="2" t="s">
        <v>80</v>
      </c>
      <c r="C2477" s="2">
        <v>2020</v>
      </c>
      <c r="D2477" s="2" t="s">
        <v>1</v>
      </c>
      <c r="E2477" s="2" t="s">
        <v>33</v>
      </c>
      <c r="F2477" s="2" t="s">
        <v>38</v>
      </c>
      <c r="G2477" s="7">
        <v>-3.74</v>
      </c>
      <c r="H2477" s="13">
        <f>IFERROR(IF(ABS($G2477)&gt;0,VLOOKUP($E2477,'Fuel Category and Heat Rate'!$B$1:$G$34,6,FALSE)*($G2477),""),"")</f>
        <v>-1037608956909.7219</v>
      </c>
      <c r="I2477" t="str">
        <f>IFERROR(VLOOKUP($E2477,'Fuel Category and Heat Rate'!$K$2:$M$36,3,FALSE),"")</f>
        <v>biomass</v>
      </c>
    </row>
    <row r="2478" spans="1:9" x14ac:dyDescent="0.15">
      <c r="A2478" s="2">
        <v>278822</v>
      </c>
      <c r="B2478" s="2" t="s">
        <v>80</v>
      </c>
      <c r="C2478" s="2">
        <v>2020</v>
      </c>
      <c r="D2478" s="2" t="s">
        <v>1</v>
      </c>
      <c r="E2478" s="2" t="s">
        <v>28</v>
      </c>
      <c r="F2478" s="2" t="s">
        <v>35</v>
      </c>
      <c r="G2478" s="7"/>
      <c r="H2478" s="13" t="str">
        <f>IFERROR(IF(ABS($G2478)&gt;0,VLOOKUP($E2478,'Fuel Category and Heat Rate'!$B$1:$G$34,6,FALSE)*($G2478),""),"")</f>
        <v/>
      </c>
      <c r="I2478" t="str">
        <f>IFERROR(VLOOKUP($E2478,'Fuel Category and Heat Rate'!$K$2:$M$36,3,FALSE),"")</f>
        <v>heavy or residual fuel oil</v>
      </c>
    </row>
    <row r="2479" spans="1:9" x14ac:dyDescent="0.15">
      <c r="A2479" s="2">
        <v>278857</v>
      </c>
      <c r="B2479" s="2" t="s">
        <v>80</v>
      </c>
      <c r="C2479" s="2">
        <v>2020</v>
      </c>
      <c r="D2479" s="2" t="s">
        <v>1</v>
      </c>
      <c r="E2479" s="2" t="s">
        <v>5</v>
      </c>
      <c r="F2479" s="2" t="s">
        <v>35</v>
      </c>
      <c r="G2479" s="7"/>
      <c r="H2479" s="13" t="str">
        <f>IFERROR(IF(ABS($G2479)&gt;0,VLOOKUP($E2479,'Fuel Category and Heat Rate'!$B$1:$G$34,6,FALSE)*($G2479),""),"")</f>
        <v/>
      </c>
      <c r="I2479" t="str">
        <f>IFERROR(VLOOKUP($E2479,'Fuel Category and Heat Rate'!$K$2:$M$36,3,FALSE),"")</f>
        <v>coal</v>
      </c>
    </row>
    <row r="2480" spans="1:9" x14ac:dyDescent="0.15">
      <c r="A2480" s="2">
        <v>278892</v>
      </c>
      <c r="B2480" s="2" t="s">
        <v>80</v>
      </c>
      <c r="C2480" s="2">
        <v>2020</v>
      </c>
      <c r="D2480" s="2" t="s">
        <v>1</v>
      </c>
      <c r="E2480" s="2" t="s">
        <v>16</v>
      </c>
      <c r="F2480" s="2" t="s">
        <v>35</v>
      </c>
      <c r="G2480" s="7"/>
      <c r="H2480" s="13" t="str">
        <f>IFERROR(IF(ABS($G2480)&gt;0,VLOOKUP($E2480,'Fuel Category and Heat Rate'!$B$1:$G$34,6,FALSE)*($G2480),""),"")</f>
        <v/>
      </c>
      <c r="I2480" t="str">
        <f>IFERROR(VLOOKUP($E2480,'Fuel Category and Heat Rate'!$K$2:$M$36,3,FALSE),"")</f>
        <v>petroleum diesel</v>
      </c>
    </row>
    <row r="2481" spans="1:9" x14ac:dyDescent="0.15">
      <c r="A2481" s="2">
        <v>278927</v>
      </c>
      <c r="B2481" s="2" t="s">
        <v>80</v>
      </c>
      <c r="C2481" s="2">
        <v>2020</v>
      </c>
      <c r="D2481" s="2" t="s">
        <v>1</v>
      </c>
      <c r="E2481" s="2" t="s">
        <v>19</v>
      </c>
      <c r="F2481" s="2" t="s">
        <v>35</v>
      </c>
      <c r="G2481" s="7"/>
      <c r="H2481" s="13" t="str">
        <f>IFERROR(IF(ABS($G2481)&gt;0,VLOOKUP($E2481,'Fuel Category and Heat Rate'!$B$1:$G$34,6,FALSE)*($G2481),""),"")</f>
        <v/>
      </c>
      <c r="I2481" t="str">
        <f>IFERROR(VLOOKUP($E2481,'Fuel Category and Heat Rate'!$K$2:$M$36,3,FALSE),"")</f>
        <v>heavy or residual fuel oil</v>
      </c>
    </row>
    <row r="2482" spans="1:9" x14ac:dyDescent="0.15">
      <c r="A2482" s="2">
        <v>278962</v>
      </c>
      <c r="B2482" s="2" t="s">
        <v>80</v>
      </c>
      <c r="C2482" s="2">
        <v>2020</v>
      </c>
      <c r="D2482" s="2" t="s">
        <v>1</v>
      </c>
      <c r="E2482" s="2" t="s">
        <v>31</v>
      </c>
      <c r="F2482" s="2" t="s">
        <v>37</v>
      </c>
      <c r="G2482" s="7">
        <v>5827.29</v>
      </c>
      <c r="H2482" s="13">
        <f>IFERROR(IF(ABS($G2482)&gt;0,VLOOKUP($E2482,'Fuel Category and Heat Rate'!$B$1:$G$34,6,FALSE)*($G2482),""),"")</f>
        <v>55232052407462.602</v>
      </c>
      <c r="I2482" t="str">
        <f>IFERROR(VLOOKUP($E2482,'Fuel Category and Heat Rate'!$K$2:$M$36,3,FALSE),"")</f>
        <v>heat</v>
      </c>
    </row>
    <row r="2483" spans="1:9" x14ac:dyDescent="0.15">
      <c r="A2483" s="2">
        <v>278997</v>
      </c>
      <c r="B2483" s="2" t="s">
        <v>80</v>
      </c>
      <c r="C2483" s="2">
        <v>2020</v>
      </c>
      <c r="D2483" s="2" t="s">
        <v>1</v>
      </c>
      <c r="E2483" s="2" t="s">
        <v>23</v>
      </c>
      <c r="F2483" s="2" t="s">
        <v>35</v>
      </c>
      <c r="G2483" s="7"/>
      <c r="H2483" s="13" t="str">
        <f>IFERROR(IF(ABS($G2483)&gt;0,VLOOKUP($E2483,'Fuel Category and Heat Rate'!$B$1:$G$34,6,FALSE)*($G2483),""),"")</f>
        <v/>
      </c>
      <c r="I2483" t="str">
        <f>IFERROR(VLOOKUP($E2483,'Fuel Category and Heat Rate'!$K$2:$M$36,3,FALSE),"")</f>
        <v>heavy or residual fuel oil</v>
      </c>
    </row>
    <row r="2484" spans="1:9" x14ac:dyDescent="0.15">
      <c r="A2484" s="2">
        <v>279032</v>
      </c>
      <c r="B2484" s="2" t="s">
        <v>80</v>
      </c>
      <c r="C2484" s="2">
        <v>2020</v>
      </c>
      <c r="D2484" s="2" t="s">
        <v>1</v>
      </c>
      <c r="E2484" s="2" t="s">
        <v>21</v>
      </c>
      <c r="F2484" s="2" t="s">
        <v>35</v>
      </c>
      <c r="G2484" s="7"/>
      <c r="H2484" s="13" t="str">
        <f>IFERROR(IF(ABS($G2484)&gt;0,VLOOKUP($E2484,'Fuel Category and Heat Rate'!$B$1:$G$34,6,FALSE)*($G2484),""),"")</f>
        <v/>
      </c>
      <c r="I2484" t="str">
        <f>IFERROR(VLOOKUP($E2484,'Fuel Category and Heat Rate'!$K$2:$M$36,3,FALSE),"")</f>
        <v>LPG propane or butane</v>
      </c>
    </row>
    <row r="2485" spans="1:9" x14ac:dyDescent="0.15">
      <c r="A2485" s="2">
        <v>279067</v>
      </c>
      <c r="B2485" s="2" t="s">
        <v>80</v>
      </c>
      <c r="C2485" s="2">
        <v>2020</v>
      </c>
      <c r="D2485" s="2" t="s">
        <v>1</v>
      </c>
      <c r="E2485" s="2" t="s">
        <v>22</v>
      </c>
      <c r="F2485" s="2" t="s">
        <v>35</v>
      </c>
      <c r="G2485" s="7"/>
      <c r="H2485" s="13" t="str">
        <f>IFERROR(IF(ABS($G2485)&gt;0,VLOOKUP($E2485,'Fuel Category and Heat Rate'!$B$1:$G$34,6,FALSE)*($G2485),""),"")</f>
        <v/>
      </c>
      <c r="I2485" t="str">
        <f>IFERROR(VLOOKUP($E2485,'Fuel Category and Heat Rate'!$K$2:$M$36,3,FALSE),"")</f>
        <v>heavy fuel oil</v>
      </c>
    </row>
    <row r="2486" spans="1:9" x14ac:dyDescent="0.15">
      <c r="A2486" s="2">
        <v>279102</v>
      </c>
      <c r="B2486" s="2" t="s">
        <v>80</v>
      </c>
      <c r="C2486" s="2">
        <v>2020</v>
      </c>
      <c r="D2486" s="2" t="s">
        <v>1</v>
      </c>
      <c r="E2486" s="2" t="s">
        <v>20</v>
      </c>
      <c r="F2486" s="2" t="s">
        <v>35</v>
      </c>
      <c r="G2486" s="7"/>
      <c r="H2486" s="13" t="str">
        <f>IFERROR(IF(ABS($G2486)&gt;0,VLOOKUP($E2486,'Fuel Category and Heat Rate'!$B$1:$G$34,6,FALSE)*($G2486),""),"")</f>
        <v/>
      </c>
      <c r="I2486" t="str">
        <f>IFERROR(VLOOKUP($E2486,'Fuel Category and Heat Rate'!$K$2:$M$36,3,FALSE),"")</f>
        <v>LPG propane or butane</v>
      </c>
    </row>
    <row r="2487" spans="1:9" x14ac:dyDescent="0.15">
      <c r="A2487" s="2">
        <v>279137</v>
      </c>
      <c r="B2487" s="2" t="s">
        <v>80</v>
      </c>
      <c r="C2487" s="2">
        <v>2020</v>
      </c>
      <c r="D2487" s="2" t="s">
        <v>1</v>
      </c>
      <c r="E2487" s="2" t="s">
        <v>25</v>
      </c>
      <c r="F2487" s="2" t="s">
        <v>35</v>
      </c>
      <c r="G2487" s="7">
        <v>-3.35</v>
      </c>
      <c r="H2487" s="13">
        <f>IFERROR(IF(ABS($G2487)&gt;0,VLOOKUP($E2487,'Fuel Category and Heat Rate'!$B$1:$G$34,6,FALSE)*($G2487),""),"")</f>
        <v>-1014377106197.7429</v>
      </c>
      <c r="I2487" t="str">
        <f>IFERROR(VLOOKUP($E2487,'Fuel Category and Heat Rate'!$K$2:$M$36,3,FALSE),"")</f>
        <v>heavy fuel oil</v>
      </c>
    </row>
    <row r="2488" spans="1:9" x14ac:dyDescent="0.15">
      <c r="A2488" s="2">
        <v>279172</v>
      </c>
      <c r="B2488" s="2" t="s">
        <v>80</v>
      </c>
      <c r="C2488" s="2">
        <v>2020</v>
      </c>
      <c r="D2488" s="2" t="s">
        <v>1</v>
      </c>
      <c r="E2488" s="2" t="s">
        <v>24</v>
      </c>
      <c r="F2488" s="2" t="s">
        <v>35</v>
      </c>
      <c r="G2488" s="7"/>
      <c r="H2488" s="13" t="str">
        <f>IFERROR(IF(ABS($G2488)&gt;0,VLOOKUP($E2488,'Fuel Category and Heat Rate'!$B$1:$G$34,6,FALSE)*($G2488),""),"")</f>
        <v/>
      </c>
      <c r="I2488" t="str">
        <f>IFERROR(VLOOKUP($E2488,'Fuel Category and Heat Rate'!$K$2:$M$36,3,FALSE),"")</f>
        <v>heavy fuel oil</v>
      </c>
    </row>
    <row r="2489" spans="1:9" x14ac:dyDescent="0.15">
      <c r="A2489" s="2">
        <v>279207</v>
      </c>
      <c r="B2489" s="2" t="s">
        <v>80</v>
      </c>
      <c r="C2489" s="2">
        <v>2020</v>
      </c>
      <c r="D2489" s="2" t="s">
        <v>1</v>
      </c>
      <c r="E2489" s="2" t="s">
        <v>29</v>
      </c>
      <c r="F2489" s="2" t="s">
        <v>36</v>
      </c>
      <c r="G2489" s="7">
        <v>-0.18</v>
      </c>
      <c r="H2489" s="13">
        <f>IFERROR(IF(ABS($G2489)&gt;0,VLOOKUP($E2489,'Fuel Category and Heat Rate'!$B$1:$G$34,6,FALSE)*($G2489),""),"")</f>
        <v>-607096771227.79797</v>
      </c>
      <c r="I2489" t="str">
        <f>IFERROR(VLOOKUP($E2489,'Fuel Category and Heat Rate'!$K$2:$M$36,3,FALSE),"")</f>
        <v>natural gas</v>
      </c>
    </row>
    <row r="2490" spans="1:9" x14ac:dyDescent="0.15">
      <c r="A2490" s="2">
        <v>279242</v>
      </c>
      <c r="B2490" s="2" t="s">
        <v>80</v>
      </c>
      <c r="C2490" s="2">
        <v>2020</v>
      </c>
      <c r="D2490" s="2" t="s">
        <v>1</v>
      </c>
      <c r="E2490" s="2" t="s">
        <v>4</v>
      </c>
      <c r="F2490" s="2" t="s">
        <v>35</v>
      </c>
      <c r="G2490" s="7"/>
      <c r="H2490" s="13" t="str">
        <f>IFERROR(IF(ABS($G2490)&gt;0,VLOOKUP($E2490,'Fuel Category and Heat Rate'!$B$1:$G$34,6,FALSE)*($G2490),""),"")</f>
        <v/>
      </c>
      <c r="I2490" t="str">
        <f>IFERROR(VLOOKUP($E2490,'Fuel Category and Heat Rate'!$K$2:$M$36,3,FALSE),"")</f>
        <v>coal</v>
      </c>
    </row>
    <row r="2491" spans="1:9" x14ac:dyDescent="0.15">
      <c r="A2491" s="2">
        <v>279277</v>
      </c>
      <c r="B2491" s="2" t="s">
        <v>80</v>
      </c>
      <c r="C2491" s="2">
        <v>2020</v>
      </c>
      <c r="D2491" s="2" t="s">
        <v>1</v>
      </c>
      <c r="E2491" s="2" t="s">
        <v>6</v>
      </c>
      <c r="F2491" s="2" t="s">
        <v>35</v>
      </c>
      <c r="G2491" s="7"/>
      <c r="H2491" s="13" t="str">
        <f>IFERROR(IF(ABS($G2491)&gt;0,VLOOKUP($E2491,'Fuel Category and Heat Rate'!$B$1:$G$34,6,FALSE)*($G2491),""),"")</f>
        <v/>
      </c>
      <c r="I2491" t="str">
        <f>IFERROR(VLOOKUP($E2491,'Fuel Category and Heat Rate'!$K$2:$M$36,3,FALSE),"")</f>
        <v>coal</v>
      </c>
    </row>
    <row r="2492" spans="1:9" x14ac:dyDescent="0.15">
      <c r="A2492" s="2">
        <v>279312</v>
      </c>
      <c r="B2492" s="2" t="s">
        <v>80</v>
      </c>
      <c r="C2492" s="2">
        <v>2020</v>
      </c>
      <c r="D2492" s="2" t="s">
        <v>1</v>
      </c>
      <c r="E2492" s="2" t="s">
        <v>26</v>
      </c>
      <c r="F2492" s="2" t="s">
        <v>35</v>
      </c>
      <c r="G2492" s="7"/>
      <c r="H2492" s="13" t="str">
        <f>IFERROR(IF(ABS($G2492)&gt;0,VLOOKUP($E2492,'Fuel Category and Heat Rate'!$B$1:$G$34,6,FALSE)*($G2492),""),"")</f>
        <v/>
      </c>
      <c r="I2492" t="str">
        <f>IFERROR(VLOOKUP($E2492,'Fuel Category and Heat Rate'!$K$2:$M$36,3,FALSE),"")</f>
        <v>LPG propane or butane</v>
      </c>
    </row>
    <row r="2493" spans="1:9" x14ac:dyDescent="0.15">
      <c r="A2493" s="2">
        <v>279347</v>
      </c>
      <c r="B2493" s="2" t="s">
        <v>80</v>
      </c>
      <c r="C2493" s="2">
        <v>2020</v>
      </c>
      <c r="D2493" s="2" t="s">
        <v>1</v>
      </c>
      <c r="E2493" s="2" t="s">
        <v>30</v>
      </c>
      <c r="F2493" s="2" t="s">
        <v>35</v>
      </c>
      <c r="G2493" s="7"/>
      <c r="H2493" s="13" t="str">
        <f>IFERROR(IF(ABS($G2493)&gt;0,VLOOKUP($E2493,'Fuel Category and Heat Rate'!$B$1:$G$34,6,FALSE)*($G2493),""),"")</f>
        <v/>
      </c>
      <c r="I2493" t="str">
        <f>IFERROR(VLOOKUP($E2493,'Fuel Category and Heat Rate'!$K$2:$M$36,3,FALSE),"")</f>
        <v>natural gas</v>
      </c>
    </row>
    <row r="2494" spans="1:9" x14ac:dyDescent="0.15">
      <c r="A2494" s="2">
        <v>279382</v>
      </c>
      <c r="B2494" s="2" t="s">
        <v>80</v>
      </c>
      <c r="C2494" s="2">
        <v>2020</v>
      </c>
      <c r="D2494" s="2" t="s">
        <v>1</v>
      </c>
      <c r="E2494" s="2" t="s">
        <v>14</v>
      </c>
      <c r="F2494" s="2" t="s">
        <v>35</v>
      </c>
      <c r="G2494" s="7">
        <v>-5.24</v>
      </c>
      <c r="H2494" s="13">
        <f>IFERROR(IF(ABS($G2494)&gt;0,VLOOKUP($E2494,'Fuel Category and Heat Rate'!$B$1:$G$34,6,FALSE)*($G2494),""),"")</f>
        <v>0</v>
      </c>
      <c r="I2494" t="str">
        <f>IFERROR(VLOOKUP($E2494,'Fuel Category and Heat Rate'!$K$2:$M$36,3,FALSE),"")</f>
        <v/>
      </c>
    </row>
    <row r="2495" spans="1:9" x14ac:dyDescent="0.15">
      <c r="A2495" s="2">
        <v>279417</v>
      </c>
      <c r="B2495" s="2" t="s">
        <v>80</v>
      </c>
      <c r="C2495" s="2">
        <v>2020</v>
      </c>
      <c r="D2495" s="2" t="s">
        <v>1</v>
      </c>
      <c r="E2495" s="2" t="s">
        <v>3</v>
      </c>
      <c r="F2495" s="2" t="s">
        <v>35</v>
      </c>
      <c r="G2495" s="7">
        <v>-290.11</v>
      </c>
      <c r="H2495" s="13">
        <f>IFERROR(IF(ABS($G2495)&gt;0,VLOOKUP($E2495,'Fuel Category and Heat Rate'!$B$1:$G$34,6,FALSE)*($G2495),""),"")</f>
        <v>-57490983818534.352</v>
      </c>
      <c r="I2495" t="str">
        <f>IFERROR(VLOOKUP($E2495,'Fuel Category and Heat Rate'!$K$2:$M$36,3,FALSE),"")</f>
        <v>coal</v>
      </c>
    </row>
    <row r="2496" spans="1:9" x14ac:dyDescent="0.15">
      <c r="A2496" s="2">
        <v>279452</v>
      </c>
      <c r="B2496" s="2" t="s">
        <v>80</v>
      </c>
      <c r="C2496" s="2">
        <v>2020</v>
      </c>
      <c r="D2496" s="2" t="s">
        <v>1</v>
      </c>
      <c r="E2496" s="2" t="s">
        <v>15</v>
      </c>
      <c r="F2496" s="2" t="s">
        <v>35</v>
      </c>
      <c r="G2496" s="7"/>
      <c r="H2496" s="13" t="str">
        <f>IFERROR(IF(ABS($G2496)&gt;0,VLOOKUP($E2496,'Fuel Category and Heat Rate'!$B$1:$G$34,6,FALSE)*($G2496),""),"")</f>
        <v/>
      </c>
      <c r="I2496" t="str">
        <f>IFERROR(VLOOKUP($E2496,'Fuel Category and Heat Rate'!$K$2:$M$36,3,FALSE),"")</f>
        <v>crude oil</v>
      </c>
    </row>
    <row r="2497" spans="1:9" x14ac:dyDescent="0.15">
      <c r="A2497" s="2">
        <v>279487</v>
      </c>
      <c r="B2497" s="2" t="s">
        <v>80</v>
      </c>
      <c r="C2497" s="2">
        <v>2020</v>
      </c>
      <c r="D2497" s="2" t="s">
        <v>1</v>
      </c>
      <c r="E2497" s="2" t="s">
        <v>11</v>
      </c>
      <c r="F2497" s="2" t="s">
        <v>36</v>
      </c>
      <c r="G2497" s="7">
        <v>-1.22</v>
      </c>
      <c r="H2497" s="13">
        <f>IFERROR(IF(ABS($G2497)&gt;0,VLOOKUP($E2497,'Fuel Category and Heat Rate'!$B$1:$G$34,6,FALSE)*($G2497),""),"")</f>
        <v>-918709658829.90942</v>
      </c>
      <c r="I2497" t="str">
        <f>IFERROR(VLOOKUP($E2497,'Fuel Category and Heat Rate'!$K$2:$M$36,3,FALSE),"")</f>
        <v>LPG propane or butane</v>
      </c>
    </row>
    <row r="2498" spans="1:9" x14ac:dyDescent="0.15">
      <c r="A2498" s="2">
        <v>279522</v>
      </c>
      <c r="B2498" s="2" t="s">
        <v>80</v>
      </c>
      <c r="C2498" s="2">
        <v>2019</v>
      </c>
      <c r="D2498" s="2" t="s">
        <v>1</v>
      </c>
      <c r="E2498" s="2" t="s">
        <v>18</v>
      </c>
      <c r="F2498" s="2" t="s">
        <v>35</v>
      </c>
      <c r="G2498" s="7"/>
      <c r="H2498" s="13" t="str">
        <f>IFERROR(IF(ABS($G2498)&gt;0,VLOOKUP($E2498,'Fuel Category and Heat Rate'!$B$1:$G$34,6,FALSE)*($G2498),""),"")</f>
        <v/>
      </c>
      <c r="I2498" t="str">
        <f>IFERROR(VLOOKUP($E2498,'Fuel Category and Heat Rate'!$K$2:$M$36,3,FALSE),"")</f>
        <v>petroleum diesel</v>
      </c>
    </row>
    <row r="2499" spans="1:9" x14ac:dyDescent="0.15">
      <c r="A2499" s="2">
        <v>279557</v>
      </c>
      <c r="B2499" s="2" t="s">
        <v>80</v>
      </c>
      <c r="C2499" s="2">
        <v>2019</v>
      </c>
      <c r="D2499" s="2" t="s">
        <v>1</v>
      </c>
      <c r="E2499" s="2" t="s">
        <v>32</v>
      </c>
      <c r="F2499" s="2" t="s">
        <v>65</v>
      </c>
      <c r="G2499" s="7"/>
      <c r="H2499" s="13" t="str">
        <f>IFERROR(IF(ABS($G2499)&gt;0,VLOOKUP($E2499,'Fuel Category and Heat Rate'!$B$1:$G$34,6,FALSE)*($G2499),""),"")</f>
        <v/>
      </c>
      <c r="I2499" t="str">
        <f>IFERROR(VLOOKUP($E2499,'Fuel Category and Heat Rate'!$K$2:$M$36,3,FALSE),"")</f>
        <v>electricity</v>
      </c>
    </row>
    <row r="2500" spans="1:9" x14ac:dyDescent="0.15">
      <c r="A2500" s="2">
        <v>279592</v>
      </c>
      <c r="B2500" s="2" t="s">
        <v>80</v>
      </c>
      <c r="C2500" s="2">
        <v>2019</v>
      </c>
      <c r="D2500" s="2" t="s">
        <v>1</v>
      </c>
      <c r="E2500" s="2" t="s">
        <v>10</v>
      </c>
      <c r="F2500" s="2" t="s">
        <v>36</v>
      </c>
      <c r="G2500" s="7"/>
      <c r="H2500" s="13" t="str">
        <f>IFERROR(IF(ABS($G2500)&gt;0,VLOOKUP($E2500,'Fuel Category and Heat Rate'!$B$1:$G$34,6,FALSE)*($G2500),""),"")</f>
        <v/>
      </c>
      <c r="I2500" t="str">
        <f>IFERROR(VLOOKUP($E2500,'Fuel Category and Heat Rate'!$K$2:$M$36,3,FALSE),"")</f>
        <v>LPG propane or butane</v>
      </c>
    </row>
    <row r="2501" spans="1:9" x14ac:dyDescent="0.15">
      <c r="A2501" s="2">
        <v>279627</v>
      </c>
      <c r="B2501" s="2" t="s">
        <v>80</v>
      </c>
      <c r="C2501" s="2">
        <v>2019</v>
      </c>
      <c r="D2501" s="2" t="s">
        <v>1</v>
      </c>
      <c r="E2501" s="2" t="s">
        <v>9</v>
      </c>
      <c r="F2501" s="2" t="s">
        <v>36</v>
      </c>
      <c r="G2501" s="7"/>
      <c r="H2501" s="13" t="str">
        <f>IFERROR(IF(ABS($G2501)&gt;0,VLOOKUP($E2501,'Fuel Category and Heat Rate'!$B$1:$G$34,6,FALSE)*($G2501),""),"")</f>
        <v/>
      </c>
      <c r="I2501" t="str">
        <f>IFERROR(VLOOKUP($E2501,'Fuel Category and Heat Rate'!$K$2:$M$36,3,FALSE),"")</f>
        <v>LPG propane or butane</v>
      </c>
    </row>
    <row r="2502" spans="1:9" x14ac:dyDescent="0.15">
      <c r="A2502" s="2">
        <v>279662</v>
      </c>
      <c r="B2502" s="2" t="s">
        <v>80</v>
      </c>
      <c r="C2502" s="2">
        <v>2019</v>
      </c>
      <c r="D2502" s="2" t="s">
        <v>1</v>
      </c>
      <c r="E2502" s="2" t="s">
        <v>8</v>
      </c>
      <c r="F2502" s="2" t="s">
        <v>35</v>
      </c>
      <c r="G2502" s="7"/>
      <c r="H2502" s="13" t="str">
        <f>IFERROR(IF(ABS($G2502)&gt;0,VLOOKUP($E2502,'Fuel Category and Heat Rate'!$B$1:$G$34,6,FALSE)*($G2502),""),"")</f>
        <v/>
      </c>
      <c r="I2502" t="str">
        <f>IFERROR(VLOOKUP($E2502,'Fuel Category and Heat Rate'!$K$2:$M$36,3,FALSE),"")</f>
        <v>coal</v>
      </c>
    </row>
    <row r="2503" spans="1:9" x14ac:dyDescent="0.15">
      <c r="A2503" s="2">
        <v>279697</v>
      </c>
      <c r="B2503" s="2" t="s">
        <v>80</v>
      </c>
      <c r="C2503" s="2">
        <v>2019</v>
      </c>
      <c r="D2503" s="2" t="s">
        <v>1</v>
      </c>
      <c r="E2503" s="2" t="s">
        <v>27</v>
      </c>
      <c r="F2503" s="2" t="s">
        <v>35</v>
      </c>
      <c r="G2503" s="7">
        <v>-3.26</v>
      </c>
      <c r="H2503" s="13">
        <f>IFERROR(IF(ABS($G2503)&gt;0,VLOOKUP($E2503,'Fuel Category and Heat Rate'!$B$1:$G$34,6,FALSE)*($G2503),""),"")</f>
        <v>-1421284759475.0552</v>
      </c>
      <c r="I2503" t="str">
        <f>IFERROR(VLOOKUP($E2503,'Fuel Category and Heat Rate'!$K$2:$M$36,3,FALSE),"")</f>
        <v>LPG propane or butane</v>
      </c>
    </row>
    <row r="2504" spans="1:9" x14ac:dyDescent="0.15">
      <c r="A2504" s="2">
        <v>279732</v>
      </c>
      <c r="B2504" s="2" t="s">
        <v>80</v>
      </c>
      <c r="C2504" s="2">
        <v>2019</v>
      </c>
      <c r="D2504" s="2" t="s">
        <v>1</v>
      </c>
      <c r="E2504" s="2" t="s">
        <v>7</v>
      </c>
      <c r="F2504" s="2" t="s">
        <v>35</v>
      </c>
      <c r="G2504" s="7"/>
      <c r="H2504" s="13" t="str">
        <f>IFERROR(IF(ABS($G2504)&gt;0,VLOOKUP($E2504,'Fuel Category and Heat Rate'!$B$1:$G$34,6,FALSE)*($G2504),""),"")</f>
        <v/>
      </c>
      <c r="I2504" t="str">
        <f>IFERROR(VLOOKUP($E2504,'Fuel Category and Heat Rate'!$K$2:$M$36,3,FALSE),"")</f>
        <v>coal</v>
      </c>
    </row>
    <row r="2505" spans="1:9" x14ac:dyDescent="0.15">
      <c r="A2505" s="2">
        <v>279767</v>
      </c>
      <c r="B2505" s="2" t="s">
        <v>80</v>
      </c>
      <c r="C2505" s="2">
        <v>2019</v>
      </c>
      <c r="D2505" s="2" t="s">
        <v>1</v>
      </c>
      <c r="E2505" s="2" t="s">
        <v>2</v>
      </c>
      <c r="F2505" s="2" t="s">
        <v>35</v>
      </c>
      <c r="G2505" s="7">
        <v>-163.46</v>
      </c>
      <c r="H2505" s="13">
        <f>IFERROR(IF(ABS($G2505)&gt;0,VLOOKUP($E2505,'Fuel Category and Heat Rate'!$B$1:$G$34,6,FALSE)*($G2505),""),"")</f>
        <v>0</v>
      </c>
      <c r="I2505" t="str">
        <f>IFERROR(VLOOKUP($E2505,'Fuel Category and Heat Rate'!$K$2:$M$36,3,FALSE),"")</f>
        <v/>
      </c>
    </row>
    <row r="2506" spans="1:9" x14ac:dyDescent="0.15">
      <c r="A2506" s="2">
        <v>279802</v>
      </c>
      <c r="B2506" s="2" t="s">
        <v>80</v>
      </c>
      <c r="C2506" s="2">
        <v>2019</v>
      </c>
      <c r="D2506" s="2" t="s">
        <v>1</v>
      </c>
      <c r="E2506" s="2" t="s">
        <v>17</v>
      </c>
      <c r="F2506" s="2" t="s">
        <v>35</v>
      </c>
      <c r="G2506" s="7"/>
      <c r="H2506" s="13" t="str">
        <f>IFERROR(IF(ABS($G2506)&gt;0,VLOOKUP($E2506,'Fuel Category and Heat Rate'!$B$1:$G$34,6,FALSE)*($G2506),""),"")</f>
        <v/>
      </c>
      <c r="I2506" t="str">
        <f>IFERROR(VLOOKUP($E2506,'Fuel Category and Heat Rate'!$K$2:$M$36,3,FALSE),"")</f>
        <v>petroleum diesel</v>
      </c>
    </row>
    <row r="2507" spans="1:9" x14ac:dyDescent="0.15">
      <c r="A2507" s="2">
        <v>279837</v>
      </c>
      <c r="B2507" s="2" t="s">
        <v>80</v>
      </c>
      <c r="C2507" s="2">
        <v>2019</v>
      </c>
      <c r="D2507" s="2" t="s">
        <v>1</v>
      </c>
      <c r="E2507" s="2" t="s">
        <v>13</v>
      </c>
      <c r="F2507" s="2" t="s">
        <v>35</v>
      </c>
      <c r="G2507" s="7"/>
      <c r="H2507" s="13" t="str">
        <f>IFERROR(IF(ABS($G2507)&gt;0,VLOOKUP($E2507,'Fuel Category and Heat Rate'!$B$1:$G$34,6,FALSE)*($G2507),""),"")</f>
        <v/>
      </c>
      <c r="I2507" t="str">
        <f>IFERROR(VLOOKUP($E2507,'Fuel Category and Heat Rate'!$K$2:$M$36,3,FALSE),"")</f>
        <v>petroleum diesel</v>
      </c>
    </row>
    <row r="2508" spans="1:9" x14ac:dyDescent="0.15">
      <c r="A2508" s="2">
        <v>279872</v>
      </c>
      <c r="B2508" s="2" t="s">
        <v>80</v>
      </c>
      <c r="C2508" s="2">
        <v>2019</v>
      </c>
      <c r="D2508" s="2" t="s">
        <v>1</v>
      </c>
      <c r="E2508" s="2" t="s">
        <v>12</v>
      </c>
      <c r="F2508" s="2" t="s">
        <v>36</v>
      </c>
      <c r="G2508" s="7"/>
      <c r="H2508" s="13" t="str">
        <f>IFERROR(IF(ABS($G2508)&gt;0,VLOOKUP($E2508,'Fuel Category and Heat Rate'!$B$1:$G$34,6,FALSE)*($G2508),""),"")</f>
        <v/>
      </c>
      <c r="I2508" t="str">
        <f>IFERROR(VLOOKUP($E2508,'Fuel Category and Heat Rate'!$K$2:$M$36,3,FALSE),"")</f>
        <v>LPG propane or butane</v>
      </c>
    </row>
    <row r="2509" spans="1:9" x14ac:dyDescent="0.15">
      <c r="A2509" s="2">
        <v>279907</v>
      </c>
      <c r="B2509" s="2" t="s">
        <v>80</v>
      </c>
      <c r="C2509" s="2">
        <v>2019</v>
      </c>
      <c r="D2509" s="2" t="s">
        <v>1</v>
      </c>
      <c r="E2509" s="2" t="s">
        <v>33</v>
      </c>
      <c r="F2509" s="2" t="s">
        <v>38</v>
      </c>
      <c r="G2509" s="7">
        <v>-4.43</v>
      </c>
      <c r="H2509" s="13">
        <f>IFERROR(IF(ABS($G2509)&gt;0,VLOOKUP($E2509,'Fuel Category and Heat Rate'!$B$1:$G$34,6,FALSE)*($G2509),""),"")</f>
        <v>-1229039486393.0662</v>
      </c>
      <c r="I2509" t="str">
        <f>IFERROR(VLOOKUP($E2509,'Fuel Category and Heat Rate'!$K$2:$M$36,3,FALSE),"")</f>
        <v>biomass</v>
      </c>
    </row>
    <row r="2510" spans="1:9" x14ac:dyDescent="0.15">
      <c r="A2510" s="2">
        <v>279942</v>
      </c>
      <c r="B2510" s="2" t="s">
        <v>80</v>
      </c>
      <c r="C2510" s="2">
        <v>2019</v>
      </c>
      <c r="D2510" s="2" t="s">
        <v>1</v>
      </c>
      <c r="E2510" s="2" t="s">
        <v>28</v>
      </c>
      <c r="F2510" s="2" t="s">
        <v>35</v>
      </c>
      <c r="G2510" s="7"/>
      <c r="H2510" s="13" t="str">
        <f>IFERROR(IF(ABS($G2510)&gt;0,VLOOKUP($E2510,'Fuel Category and Heat Rate'!$B$1:$G$34,6,FALSE)*($G2510),""),"")</f>
        <v/>
      </c>
      <c r="I2510" t="str">
        <f>IFERROR(VLOOKUP($E2510,'Fuel Category and Heat Rate'!$K$2:$M$36,3,FALSE),"")</f>
        <v>heavy or residual fuel oil</v>
      </c>
    </row>
    <row r="2511" spans="1:9" x14ac:dyDescent="0.15">
      <c r="A2511" s="2">
        <v>279977</v>
      </c>
      <c r="B2511" s="2" t="s">
        <v>80</v>
      </c>
      <c r="C2511" s="2">
        <v>2019</v>
      </c>
      <c r="D2511" s="2" t="s">
        <v>1</v>
      </c>
      <c r="E2511" s="2" t="s">
        <v>5</v>
      </c>
      <c r="F2511" s="2" t="s">
        <v>35</v>
      </c>
      <c r="G2511" s="7"/>
      <c r="H2511" s="13" t="str">
        <f>IFERROR(IF(ABS($G2511)&gt;0,VLOOKUP($E2511,'Fuel Category and Heat Rate'!$B$1:$G$34,6,FALSE)*($G2511),""),"")</f>
        <v/>
      </c>
      <c r="I2511" t="str">
        <f>IFERROR(VLOOKUP($E2511,'Fuel Category and Heat Rate'!$K$2:$M$36,3,FALSE),"")</f>
        <v>coal</v>
      </c>
    </row>
    <row r="2512" spans="1:9" x14ac:dyDescent="0.15">
      <c r="A2512" s="2">
        <v>280012</v>
      </c>
      <c r="B2512" s="2" t="s">
        <v>80</v>
      </c>
      <c r="C2512" s="2">
        <v>2019</v>
      </c>
      <c r="D2512" s="2" t="s">
        <v>1</v>
      </c>
      <c r="E2512" s="2" t="s">
        <v>16</v>
      </c>
      <c r="F2512" s="2" t="s">
        <v>35</v>
      </c>
      <c r="G2512" s="7"/>
      <c r="H2512" s="13" t="str">
        <f>IFERROR(IF(ABS($G2512)&gt;0,VLOOKUP($E2512,'Fuel Category and Heat Rate'!$B$1:$G$34,6,FALSE)*($G2512),""),"")</f>
        <v/>
      </c>
      <c r="I2512" t="str">
        <f>IFERROR(VLOOKUP($E2512,'Fuel Category and Heat Rate'!$K$2:$M$36,3,FALSE),"")</f>
        <v>petroleum diesel</v>
      </c>
    </row>
    <row r="2513" spans="1:9" x14ac:dyDescent="0.15">
      <c r="A2513" s="2">
        <v>280047</v>
      </c>
      <c r="B2513" s="2" t="s">
        <v>80</v>
      </c>
      <c r="C2513" s="2">
        <v>2019</v>
      </c>
      <c r="D2513" s="2" t="s">
        <v>1</v>
      </c>
      <c r="E2513" s="2" t="s">
        <v>19</v>
      </c>
      <c r="F2513" s="2" t="s">
        <v>35</v>
      </c>
      <c r="G2513" s="7"/>
      <c r="H2513" s="13" t="str">
        <f>IFERROR(IF(ABS($G2513)&gt;0,VLOOKUP($E2513,'Fuel Category and Heat Rate'!$B$1:$G$34,6,FALSE)*($G2513),""),"")</f>
        <v/>
      </c>
      <c r="I2513" t="str">
        <f>IFERROR(VLOOKUP($E2513,'Fuel Category and Heat Rate'!$K$2:$M$36,3,FALSE),"")</f>
        <v>heavy or residual fuel oil</v>
      </c>
    </row>
    <row r="2514" spans="1:9" x14ac:dyDescent="0.15">
      <c r="A2514" s="2">
        <v>280082</v>
      </c>
      <c r="B2514" s="2" t="s">
        <v>80</v>
      </c>
      <c r="C2514" s="2">
        <v>2019</v>
      </c>
      <c r="D2514" s="2" t="s">
        <v>1</v>
      </c>
      <c r="E2514" s="2" t="s">
        <v>31</v>
      </c>
      <c r="F2514" s="2" t="s">
        <v>37</v>
      </c>
      <c r="G2514" s="7">
        <v>2902.07</v>
      </c>
      <c r="H2514" s="13">
        <f>IFERROR(IF(ABS($G2514)&gt;0,VLOOKUP($E2514,'Fuel Category and Heat Rate'!$B$1:$G$34,6,FALSE)*($G2514),""),"")</f>
        <v>27506316371782.598</v>
      </c>
      <c r="I2514" t="str">
        <f>IFERROR(VLOOKUP($E2514,'Fuel Category and Heat Rate'!$K$2:$M$36,3,FALSE),"")</f>
        <v>heat</v>
      </c>
    </row>
    <row r="2515" spans="1:9" x14ac:dyDescent="0.15">
      <c r="A2515" s="2">
        <v>280117</v>
      </c>
      <c r="B2515" s="2" t="s">
        <v>80</v>
      </c>
      <c r="C2515" s="2">
        <v>2019</v>
      </c>
      <c r="D2515" s="2" t="s">
        <v>1</v>
      </c>
      <c r="E2515" s="2" t="s">
        <v>23</v>
      </c>
      <c r="F2515" s="2" t="s">
        <v>35</v>
      </c>
      <c r="G2515" s="7"/>
      <c r="H2515" s="13" t="str">
        <f>IFERROR(IF(ABS($G2515)&gt;0,VLOOKUP($E2515,'Fuel Category and Heat Rate'!$B$1:$G$34,6,FALSE)*($G2515),""),"")</f>
        <v/>
      </c>
      <c r="I2515" t="str">
        <f>IFERROR(VLOOKUP($E2515,'Fuel Category and Heat Rate'!$K$2:$M$36,3,FALSE),"")</f>
        <v>heavy or residual fuel oil</v>
      </c>
    </row>
    <row r="2516" spans="1:9" x14ac:dyDescent="0.15">
      <c r="A2516" s="2">
        <v>280152</v>
      </c>
      <c r="B2516" s="2" t="s">
        <v>80</v>
      </c>
      <c r="C2516" s="2">
        <v>2019</v>
      </c>
      <c r="D2516" s="2" t="s">
        <v>1</v>
      </c>
      <c r="E2516" s="2" t="s">
        <v>21</v>
      </c>
      <c r="F2516" s="2" t="s">
        <v>35</v>
      </c>
      <c r="G2516" s="7"/>
      <c r="H2516" s="13" t="str">
        <f>IFERROR(IF(ABS($G2516)&gt;0,VLOOKUP($E2516,'Fuel Category and Heat Rate'!$B$1:$G$34,6,FALSE)*($G2516),""),"")</f>
        <v/>
      </c>
      <c r="I2516" t="str">
        <f>IFERROR(VLOOKUP($E2516,'Fuel Category and Heat Rate'!$K$2:$M$36,3,FALSE),"")</f>
        <v>LPG propane or butane</v>
      </c>
    </row>
    <row r="2517" spans="1:9" x14ac:dyDescent="0.15">
      <c r="A2517" s="2">
        <v>280187</v>
      </c>
      <c r="B2517" s="2" t="s">
        <v>80</v>
      </c>
      <c r="C2517" s="2">
        <v>2019</v>
      </c>
      <c r="D2517" s="2" t="s">
        <v>1</v>
      </c>
      <c r="E2517" s="2" t="s">
        <v>22</v>
      </c>
      <c r="F2517" s="2" t="s">
        <v>35</v>
      </c>
      <c r="G2517" s="7"/>
      <c r="H2517" s="13" t="str">
        <f>IFERROR(IF(ABS($G2517)&gt;0,VLOOKUP($E2517,'Fuel Category and Heat Rate'!$B$1:$G$34,6,FALSE)*($G2517),""),"")</f>
        <v/>
      </c>
      <c r="I2517" t="str">
        <f>IFERROR(VLOOKUP($E2517,'Fuel Category and Heat Rate'!$K$2:$M$36,3,FALSE),"")</f>
        <v>heavy fuel oil</v>
      </c>
    </row>
    <row r="2518" spans="1:9" x14ac:dyDescent="0.15">
      <c r="A2518" s="2">
        <v>280222</v>
      </c>
      <c r="B2518" s="2" t="s">
        <v>80</v>
      </c>
      <c r="C2518" s="2">
        <v>2019</v>
      </c>
      <c r="D2518" s="2" t="s">
        <v>1</v>
      </c>
      <c r="E2518" s="2" t="s">
        <v>20</v>
      </c>
      <c r="F2518" s="2" t="s">
        <v>35</v>
      </c>
      <c r="G2518" s="7"/>
      <c r="H2518" s="13" t="str">
        <f>IFERROR(IF(ABS($G2518)&gt;0,VLOOKUP($E2518,'Fuel Category and Heat Rate'!$B$1:$G$34,6,FALSE)*($G2518),""),"")</f>
        <v/>
      </c>
      <c r="I2518" t="str">
        <f>IFERROR(VLOOKUP($E2518,'Fuel Category and Heat Rate'!$K$2:$M$36,3,FALSE),"")</f>
        <v>LPG propane or butane</v>
      </c>
    </row>
    <row r="2519" spans="1:9" x14ac:dyDescent="0.15">
      <c r="A2519" s="2">
        <v>280257</v>
      </c>
      <c r="B2519" s="2" t="s">
        <v>80</v>
      </c>
      <c r="C2519" s="2">
        <v>2019</v>
      </c>
      <c r="D2519" s="2" t="s">
        <v>1</v>
      </c>
      <c r="E2519" s="2" t="s">
        <v>25</v>
      </c>
      <c r="F2519" s="2" t="s">
        <v>35</v>
      </c>
      <c r="G2519" s="7">
        <v>-1.64</v>
      </c>
      <c r="H2519" s="13">
        <f>IFERROR(IF(ABS($G2519)&gt;0,VLOOKUP($E2519,'Fuel Category and Heat Rate'!$B$1:$G$34,6,FALSE)*($G2519),""),"")</f>
        <v>-496590583332.62634</v>
      </c>
      <c r="I2519" t="str">
        <f>IFERROR(VLOOKUP($E2519,'Fuel Category and Heat Rate'!$K$2:$M$36,3,FALSE),"")</f>
        <v>heavy fuel oil</v>
      </c>
    </row>
    <row r="2520" spans="1:9" x14ac:dyDescent="0.15">
      <c r="A2520" s="2">
        <v>280292</v>
      </c>
      <c r="B2520" s="2" t="s">
        <v>80</v>
      </c>
      <c r="C2520" s="2">
        <v>2019</v>
      </c>
      <c r="D2520" s="2" t="s">
        <v>1</v>
      </c>
      <c r="E2520" s="2" t="s">
        <v>24</v>
      </c>
      <c r="F2520" s="2" t="s">
        <v>35</v>
      </c>
      <c r="G2520" s="7"/>
      <c r="H2520" s="13" t="str">
        <f>IFERROR(IF(ABS($G2520)&gt;0,VLOOKUP($E2520,'Fuel Category and Heat Rate'!$B$1:$G$34,6,FALSE)*($G2520),""),"")</f>
        <v/>
      </c>
      <c r="I2520" t="str">
        <f>IFERROR(VLOOKUP($E2520,'Fuel Category and Heat Rate'!$K$2:$M$36,3,FALSE),"")</f>
        <v>heavy fuel oil</v>
      </c>
    </row>
    <row r="2521" spans="1:9" x14ac:dyDescent="0.15">
      <c r="A2521" s="2">
        <v>280327</v>
      </c>
      <c r="B2521" s="2" t="s">
        <v>80</v>
      </c>
      <c r="C2521" s="2">
        <v>2019</v>
      </c>
      <c r="D2521" s="2" t="s">
        <v>1</v>
      </c>
      <c r="E2521" s="2" t="s">
        <v>29</v>
      </c>
      <c r="F2521" s="2" t="s">
        <v>36</v>
      </c>
      <c r="G2521" s="7">
        <v>-0.39</v>
      </c>
      <c r="H2521" s="13">
        <f>IFERROR(IF(ABS($G2521)&gt;0,VLOOKUP($E2521,'Fuel Category and Heat Rate'!$B$1:$G$34,6,FALSE)*($G2521),""),"")</f>
        <v>-1315376337660.2292</v>
      </c>
      <c r="I2521" t="str">
        <f>IFERROR(VLOOKUP($E2521,'Fuel Category and Heat Rate'!$K$2:$M$36,3,FALSE),"")</f>
        <v>natural gas</v>
      </c>
    </row>
    <row r="2522" spans="1:9" x14ac:dyDescent="0.15">
      <c r="A2522" s="2">
        <v>280362</v>
      </c>
      <c r="B2522" s="2" t="s">
        <v>80</v>
      </c>
      <c r="C2522" s="2">
        <v>2019</v>
      </c>
      <c r="D2522" s="2" t="s">
        <v>1</v>
      </c>
      <c r="E2522" s="2" t="s">
        <v>4</v>
      </c>
      <c r="F2522" s="2" t="s">
        <v>35</v>
      </c>
      <c r="G2522" s="7"/>
      <c r="H2522" s="13" t="str">
        <f>IFERROR(IF(ABS($G2522)&gt;0,VLOOKUP($E2522,'Fuel Category and Heat Rate'!$B$1:$G$34,6,FALSE)*($G2522),""),"")</f>
        <v/>
      </c>
      <c r="I2522" t="str">
        <f>IFERROR(VLOOKUP($E2522,'Fuel Category and Heat Rate'!$K$2:$M$36,3,FALSE),"")</f>
        <v>coal</v>
      </c>
    </row>
    <row r="2523" spans="1:9" x14ac:dyDescent="0.15">
      <c r="A2523" s="2">
        <v>280397</v>
      </c>
      <c r="B2523" s="2" t="s">
        <v>80</v>
      </c>
      <c r="C2523" s="2">
        <v>2019</v>
      </c>
      <c r="D2523" s="2" t="s">
        <v>1</v>
      </c>
      <c r="E2523" s="2" t="s">
        <v>6</v>
      </c>
      <c r="F2523" s="2" t="s">
        <v>35</v>
      </c>
      <c r="G2523" s="7"/>
      <c r="H2523" s="13" t="str">
        <f>IFERROR(IF(ABS($G2523)&gt;0,VLOOKUP($E2523,'Fuel Category and Heat Rate'!$B$1:$G$34,6,FALSE)*($G2523),""),"")</f>
        <v/>
      </c>
      <c r="I2523" t="str">
        <f>IFERROR(VLOOKUP($E2523,'Fuel Category and Heat Rate'!$K$2:$M$36,3,FALSE),"")</f>
        <v>coal</v>
      </c>
    </row>
    <row r="2524" spans="1:9" x14ac:dyDescent="0.15">
      <c r="A2524" s="2">
        <v>280432</v>
      </c>
      <c r="B2524" s="2" t="s">
        <v>80</v>
      </c>
      <c r="C2524" s="2">
        <v>2019</v>
      </c>
      <c r="D2524" s="2" t="s">
        <v>1</v>
      </c>
      <c r="E2524" s="2" t="s">
        <v>26</v>
      </c>
      <c r="F2524" s="2" t="s">
        <v>35</v>
      </c>
      <c r="G2524" s="7"/>
      <c r="H2524" s="13" t="str">
        <f>IFERROR(IF(ABS($G2524)&gt;0,VLOOKUP($E2524,'Fuel Category and Heat Rate'!$B$1:$G$34,6,FALSE)*($G2524),""),"")</f>
        <v/>
      </c>
      <c r="I2524" t="str">
        <f>IFERROR(VLOOKUP($E2524,'Fuel Category and Heat Rate'!$K$2:$M$36,3,FALSE),"")</f>
        <v>LPG propane or butane</v>
      </c>
    </row>
    <row r="2525" spans="1:9" x14ac:dyDescent="0.15">
      <c r="A2525" s="2">
        <v>280467</v>
      </c>
      <c r="B2525" s="2" t="s">
        <v>80</v>
      </c>
      <c r="C2525" s="2">
        <v>2019</v>
      </c>
      <c r="D2525" s="2" t="s">
        <v>1</v>
      </c>
      <c r="E2525" s="2" t="s">
        <v>30</v>
      </c>
      <c r="F2525" s="2" t="s">
        <v>35</v>
      </c>
      <c r="G2525" s="7"/>
      <c r="H2525" s="13" t="str">
        <f>IFERROR(IF(ABS($G2525)&gt;0,VLOOKUP($E2525,'Fuel Category and Heat Rate'!$B$1:$G$34,6,FALSE)*($G2525),""),"")</f>
        <v/>
      </c>
      <c r="I2525" t="str">
        <f>IFERROR(VLOOKUP($E2525,'Fuel Category and Heat Rate'!$K$2:$M$36,3,FALSE),"")</f>
        <v>natural gas</v>
      </c>
    </row>
    <row r="2526" spans="1:9" x14ac:dyDescent="0.15">
      <c r="A2526" s="2">
        <v>280502</v>
      </c>
      <c r="B2526" s="2" t="s">
        <v>80</v>
      </c>
      <c r="C2526" s="2">
        <v>2019</v>
      </c>
      <c r="D2526" s="2" t="s">
        <v>1</v>
      </c>
      <c r="E2526" s="2" t="s">
        <v>14</v>
      </c>
      <c r="F2526" s="2" t="s">
        <v>35</v>
      </c>
      <c r="G2526" s="7">
        <v>-4.9000000000000004</v>
      </c>
      <c r="H2526" s="13">
        <f>IFERROR(IF(ABS($G2526)&gt;0,VLOOKUP($E2526,'Fuel Category and Heat Rate'!$B$1:$G$34,6,FALSE)*($G2526),""),"")</f>
        <v>0</v>
      </c>
      <c r="I2526" t="str">
        <f>IFERROR(VLOOKUP($E2526,'Fuel Category and Heat Rate'!$K$2:$M$36,3,FALSE),"")</f>
        <v/>
      </c>
    </row>
    <row r="2527" spans="1:9" x14ac:dyDescent="0.15">
      <c r="A2527" s="2">
        <v>280537</v>
      </c>
      <c r="B2527" s="2" t="s">
        <v>80</v>
      </c>
      <c r="C2527" s="2">
        <v>2019</v>
      </c>
      <c r="D2527" s="2" t="s">
        <v>1</v>
      </c>
      <c r="E2527" s="2" t="s">
        <v>3</v>
      </c>
      <c r="F2527" s="2" t="s">
        <v>35</v>
      </c>
      <c r="G2527" s="7">
        <v>-163.46</v>
      </c>
      <c r="H2527" s="13">
        <f>IFERROR(IF(ABS($G2527)&gt;0,VLOOKUP($E2527,'Fuel Category and Heat Rate'!$B$1:$G$34,6,FALSE)*($G2527),""),"")</f>
        <v>-32392803471020.043</v>
      </c>
      <c r="I2527" t="str">
        <f>IFERROR(VLOOKUP($E2527,'Fuel Category and Heat Rate'!$K$2:$M$36,3,FALSE),"")</f>
        <v>coal</v>
      </c>
    </row>
    <row r="2528" spans="1:9" x14ac:dyDescent="0.15">
      <c r="A2528" s="2">
        <v>280572</v>
      </c>
      <c r="B2528" s="2" t="s">
        <v>80</v>
      </c>
      <c r="C2528" s="2">
        <v>2019</v>
      </c>
      <c r="D2528" s="2" t="s">
        <v>1</v>
      </c>
      <c r="E2528" s="2" t="s">
        <v>15</v>
      </c>
      <c r="F2528" s="2" t="s">
        <v>35</v>
      </c>
      <c r="G2528" s="7"/>
      <c r="H2528" s="13" t="str">
        <f>IFERROR(IF(ABS($G2528)&gt;0,VLOOKUP($E2528,'Fuel Category and Heat Rate'!$B$1:$G$34,6,FALSE)*($G2528),""),"")</f>
        <v/>
      </c>
      <c r="I2528" t="str">
        <f>IFERROR(VLOOKUP($E2528,'Fuel Category and Heat Rate'!$K$2:$M$36,3,FALSE),"")</f>
        <v>crude oil</v>
      </c>
    </row>
    <row r="2529" spans="1:9" x14ac:dyDescent="0.15">
      <c r="A2529" s="2">
        <v>280607</v>
      </c>
      <c r="B2529" s="2" t="s">
        <v>80</v>
      </c>
      <c r="C2529" s="2">
        <v>2019</v>
      </c>
      <c r="D2529" s="2" t="s">
        <v>1</v>
      </c>
      <c r="E2529" s="2" t="s">
        <v>11</v>
      </c>
      <c r="F2529" s="2" t="s">
        <v>36</v>
      </c>
      <c r="G2529" s="7"/>
      <c r="H2529" s="13" t="str">
        <f>IFERROR(IF(ABS($G2529)&gt;0,VLOOKUP($E2529,'Fuel Category and Heat Rate'!$B$1:$G$34,6,FALSE)*($G2529),""),"")</f>
        <v/>
      </c>
      <c r="I2529" t="str">
        <f>IFERROR(VLOOKUP($E2529,'Fuel Category and Heat Rate'!$K$2:$M$36,3,FALSE),"")</f>
        <v>LPG propane or butane</v>
      </c>
    </row>
    <row r="2530" spans="1:9" x14ac:dyDescent="0.15">
      <c r="A2530" s="2">
        <v>280642</v>
      </c>
      <c r="B2530" s="2" t="s">
        <v>80</v>
      </c>
      <c r="C2530" s="2">
        <v>2018</v>
      </c>
      <c r="D2530" s="2" t="s">
        <v>1</v>
      </c>
      <c r="E2530" s="2" t="s">
        <v>18</v>
      </c>
      <c r="F2530" s="2" t="s">
        <v>35</v>
      </c>
      <c r="G2530" s="7"/>
      <c r="H2530" s="13" t="str">
        <f>IFERROR(IF(ABS($G2530)&gt;0,VLOOKUP($E2530,'Fuel Category and Heat Rate'!$B$1:$G$34,6,FALSE)*($G2530),""),"")</f>
        <v/>
      </c>
      <c r="I2530" t="str">
        <f>IFERROR(VLOOKUP($E2530,'Fuel Category and Heat Rate'!$K$2:$M$36,3,FALSE),"")</f>
        <v>petroleum diesel</v>
      </c>
    </row>
    <row r="2531" spans="1:9" x14ac:dyDescent="0.15">
      <c r="A2531" s="2">
        <v>280677</v>
      </c>
      <c r="B2531" s="2" t="s">
        <v>80</v>
      </c>
      <c r="C2531" s="2">
        <v>2018</v>
      </c>
      <c r="D2531" s="2" t="s">
        <v>1</v>
      </c>
      <c r="E2531" s="2" t="s">
        <v>32</v>
      </c>
      <c r="F2531" s="2" t="s">
        <v>65</v>
      </c>
      <c r="G2531" s="7"/>
      <c r="H2531" s="13" t="str">
        <f>IFERROR(IF(ABS($G2531)&gt;0,VLOOKUP($E2531,'Fuel Category and Heat Rate'!$B$1:$G$34,6,FALSE)*($G2531),""),"")</f>
        <v/>
      </c>
      <c r="I2531" t="str">
        <f>IFERROR(VLOOKUP($E2531,'Fuel Category and Heat Rate'!$K$2:$M$36,3,FALSE),"")</f>
        <v>electricity</v>
      </c>
    </row>
    <row r="2532" spans="1:9" x14ac:dyDescent="0.15">
      <c r="A2532" s="2">
        <v>280712</v>
      </c>
      <c r="B2532" s="2" t="s">
        <v>80</v>
      </c>
      <c r="C2532" s="2">
        <v>2018</v>
      </c>
      <c r="D2532" s="2" t="s">
        <v>1</v>
      </c>
      <c r="E2532" s="2" t="s">
        <v>10</v>
      </c>
      <c r="F2532" s="2" t="s">
        <v>36</v>
      </c>
      <c r="G2532" s="7"/>
      <c r="H2532" s="13" t="str">
        <f>IFERROR(IF(ABS($G2532)&gt;0,VLOOKUP($E2532,'Fuel Category and Heat Rate'!$B$1:$G$34,6,FALSE)*($G2532),""),"")</f>
        <v/>
      </c>
      <c r="I2532" t="str">
        <f>IFERROR(VLOOKUP($E2532,'Fuel Category and Heat Rate'!$K$2:$M$36,3,FALSE),"")</f>
        <v>LPG propane or butane</v>
      </c>
    </row>
    <row r="2533" spans="1:9" x14ac:dyDescent="0.15">
      <c r="A2533" s="2">
        <v>280747</v>
      </c>
      <c r="B2533" s="2" t="s">
        <v>80</v>
      </c>
      <c r="C2533" s="2">
        <v>2018</v>
      </c>
      <c r="D2533" s="2" t="s">
        <v>1</v>
      </c>
      <c r="E2533" s="2" t="s">
        <v>9</v>
      </c>
      <c r="F2533" s="2" t="s">
        <v>36</v>
      </c>
      <c r="G2533" s="7"/>
      <c r="H2533" s="13" t="str">
        <f>IFERROR(IF(ABS($G2533)&gt;0,VLOOKUP($E2533,'Fuel Category and Heat Rate'!$B$1:$G$34,6,FALSE)*($G2533),""),"")</f>
        <v/>
      </c>
      <c r="I2533" t="str">
        <f>IFERROR(VLOOKUP($E2533,'Fuel Category and Heat Rate'!$K$2:$M$36,3,FALSE),"")</f>
        <v>LPG propane or butane</v>
      </c>
    </row>
    <row r="2534" spans="1:9" x14ac:dyDescent="0.15">
      <c r="A2534" s="2">
        <v>280782</v>
      </c>
      <c r="B2534" s="2" t="s">
        <v>80</v>
      </c>
      <c r="C2534" s="2">
        <v>2018</v>
      </c>
      <c r="D2534" s="2" t="s">
        <v>1</v>
      </c>
      <c r="E2534" s="2" t="s">
        <v>8</v>
      </c>
      <c r="F2534" s="2" t="s">
        <v>35</v>
      </c>
      <c r="G2534" s="7"/>
      <c r="H2534" s="13" t="str">
        <f>IFERROR(IF(ABS($G2534)&gt;0,VLOOKUP($E2534,'Fuel Category and Heat Rate'!$B$1:$G$34,6,FALSE)*($G2534),""),"")</f>
        <v/>
      </c>
      <c r="I2534" t="str">
        <f>IFERROR(VLOOKUP($E2534,'Fuel Category and Heat Rate'!$K$2:$M$36,3,FALSE),"")</f>
        <v>coal</v>
      </c>
    </row>
    <row r="2535" spans="1:9" x14ac:dyDescent="0.15">
      <c r="A2535" s="2">
        <v>280817</v>
      </c>
      <c r="B2535" s="2" t="s">
        <v>80</v>
      </c>
      <c r="C2535" s="2">
        <v>2018</v>
      </c>
      <c r="D2535" s="2" t="s">
        <v>1</v>
      </c>
      <c r="E2535" s="2" t="s">
        <v>27</v>
      </c>
      <c r="F2535" s="2" t="s">
        <v>35</v>
      </c>
      <c r="G2535" s="7">
        <v>-2.92</v>
      </c>
      <c r="H2535" s="13">
        <f>IFERROR(IF(ABS($G2535)&gt;0,VLOOKUP($E2535,'Fuel Category and Heat Rate'!$B$1:$G$34,6,FALSE)*($G2535),""),"")</f>
        <v>-1273052606646.3687</v>
      </c>
      <c r="I2535" t="str">
        <f>IFERROR(VLOOKUP($E2535,'Fuel Category and Heat Rate'!$K$2:$M$36,3,FALSE),"")</f>
        <v>LPG propane or butane</v>
      </c>
    </row>
    <row r="2536" spans="1:9" x14ac:dyDescent="0.15">
      <c r="A2536" s="2">
        <v>280852</v>
      </c>
      <c r="B2536" s="2" t="s">
        <v>80</v>
      </c>
      <c r="C2536" s="2">
        <v>2018</v>
      </c>
      <c r="D2536" s="2" t="s">
        <v>1</v>
      </c>
      <c r="E2536" s="2" t="s">
        <v>7</v>
      </c>
      <c r="F2536" s="2" t="s">
        <v>35</v>
      </c>
      <c r="G2536" s="7"/>
      <c r="H2536" s="13" t="str">
        <f>IFERROR(IF(ABS($G2536)&gt;0,VLOOKUP($E2536,'Fuel Category and Heat Rate'!$B$1:$G$34,6,FALSE)*($G2536),""),"")</f>
        <v/>
      </c>
      <c r="I2536" t="str">
        <f>IFERROR(VLOOKUP($E2536,'Fuel Category and Heat Rate'!$K$2:$M$36,3,FALSE),"")</f>
        <v>coal</v>
      </c>
    </row>
    <row r="2537" spans="1:9" x14ac:dyDescent="0.15">
      <c r="A2537" s="2">
        <v>280887</v>
      </c>
      <c r="B2537" s="2" t="s">
        <v>80</v>
      </c>
      <c r="C2537" s="2">
        <v>2018</v>
      </c>
      <c r="D2537" s="2" t="s">
        <v>1</v>
      </c>
      <c r="E2537" s="2" t="s">
        <v>2</v>
      </c>
      <c r="F2537" s="2" t="s">
        <v>35</v>
      </c>
      <c r="G2537" s="7">
        <v>-135.38</v>
      </c>
      <c r="H2537" s="13">
        <f>IFERROR(IF(ABS($G2537)&gt;0,VLOOKUP($E2537,'Fuel Category and Heat Rate'!$B$1:$G$34,6,FALSE)*($G2537),""),"")</f>
        <v>0</v>
      </c>
      <c r="I2537" t="str">
        <f>IFERROR(VLOOKUP($E2537,'Fuel Category and Heat Rate'!$K$2:$M$36,3,FALSE),"")</f>
        <v/>
      </c>
    </row>
    <row r="2538" spans="1:9" x14ac:dyDescent="0.15">
      <c r="A2538" s="2">
        <v>280922</v>
      </c>
      <c r="B2538" s="2" t="s">
        <v>80</v>
      </c>
      <c r="C2538" s="2">
        <v>2018</v>
      </c>
      <c r="D2538" s="2" t="s">
        <v>1</v>
      </c>
      <c r="E2538" s="2" t="s">
        <v>17</v>
      </c>
      <c r="F2538" s="2" t="s">
        <v>35</v>
      </c>
      <c r="G2538" s="7"/>
      <c r="H2538" s="13" t="str">
        <f>IFERROR(IF(ABS($G2538)&gt;0,VLOOKUP($E2538,'Fuel Category and Heat Rate'!$B$1:$G$34,6,FALSE)*($G2538),""),"")</f>
        <v/>
      </c>
      <c r="I2538" t="str">
        <f>IFERROR(VLOOKUP($E2538,'Fuel Category and Heat Rate'!$K$2:$M$36,3,FALSE),"")</f>
        <v>petroleum diesel</v>
      </c>
    </row>
    <row r="2539" spans="1:9" x14ac:dyDescent="0.15">
      <c r="A2539" s="2">
        <v>280957</v>
      </c>
      <c r="B2539" s="2" t="s">
        <v>80</v>
      </c>
      <c r="C2539" s="2">
        <v>2018</v>
      </c>
      <c r="D2539" s="2" t="s">
        <v>1</v>
      </c>
      <c r="E2539" s="2" t="s">
        <v>13</v>
      </c>
      <c r="F2539" s="2" t="s">
        <v>35</v>
      </c>
      <c r="G2539" s="7"/>
      <c r="H2539" s="13" t="str">
        <f>IFERROR(IF(ABS($G2539)&gt;0,VLOOKUP($E2539,'Fuel Category and Heat Rate'!$B$1:$G$34,6,FALSE)*($G2539),""),"")</f>
        <v/>
      </c>
      <c r="I2539" t="str">
        <f>IFERROR(VLOOKUP($E2539,'Fuel Category and Heat Rate'!$K$2:$M$36,3,FALSE),"")</f>
        <v>petroleum diesel</v>
      </c>
    </row>
    <row r="2540" spans="1:9" x14ac:dyDescent="0.15">
      <c r="A2540" s="2">
        <v>280992</v>
      </c>
      <c r="B2540" s="2" t="s">
        <v>80</v>
      </c>
      <c r="C2540" s="2">
        <v>2018</v>
      </c>
      <c r="D2540" s="2" t="s">
        <v>1</v>
      </c>
      <c r="E2540" s="2" t="s">
        <v>12</v>
      </c>
      <c r="F2540" s="2" t="s">
        <v>36</v>
      </c>
      <c r="G2540" s="7"/>
      <c r="H2540" s="13" t="str">
        <f>IFERROR(IF(ABS($G2540)&gt;0,VLOOKUP($E2540,'Fuel Category and Heat Rate'!$B$1:$G$34,6,FALSE)*($G2540),""),"")</f>
        <v/>
      </c>
      <c r="I2540" t="str">
        <f>IFERROR(VLOOKUP($E2540,'Fuel Category and Heat Rate'!$K$2:$M$36,3,FALSE),"")</f>
        <v>LPG propane or butane</v>
      </c>
    </row>
    <row r="2541" spans="1:9" x14ac:dyDescent="0.15">
      <c r="A2541" s="2">
        <v>281027</v>
      </c>
      <c r="B2541" s="2" t="s">
        <v>80</v>
      </c>
      <c r="C2541" s="2">
        <v>2018</v>
      </c>
      <c r="D2541" s="2" t="s">
        <v>1</v>
      </c>
      <c r="E2541" s="2" t="s">
        <v>33</v>
      </c>
      <c r="F2541" s="2" t="s">
        <v>38</v>
      </c>
      <c r="G2541" s="7">
        <v>-5.8</v>
      </c>
      <c r="H2541" s="13">
        <f>IFERROR(IF(ABS($G2541)&gt;0,VLOOKUP($E2541,'Fuel Category and Heat Rate'!$B$1:$G$34,6,FALSE)*($G2541),""),"")</f>
        <v>-1609126189859.9963</v>
      </c>
      <c r="I2541" t="str">
        <f>IFERROR(VLOOKUP($E2541,'Fuel Category and Heat Rate'!$K$2:$M$36,3,FALSE),"")</f>
        <v>biomass</v>
      </c>
    </row>
    <row r="2542" spans="1:9" x14ac:dyDescent="0.15">
      <c r="A2542" s="2">
        <v>281062</v>
      </c>
      <c r="B2542" s="2" t="s">
        <v>80</v>
      </c>
      <c r="C2542" s="2">
        <v>2018</v>
      </c>
      <c r="D2542" s="2" t="s">
        <v>1</v>
      </c>
      <c r="E2542" s="2" t="s">
        <v>28</v>
      </c>
      <c r="F2542" s="2" t="s">
        <v>35</v>
      </c>
      <c r="G2542" s="7"/>
      <c r="H2542" s="13" t="str">
        <f>IFERROR(IF(ABS($G2542)&gt;0,VLOOKUP($E2542,'Fuel Category and Heat Rate'!$B$1:$G$34,6,FALSE)*($G2542),""),"")</f>
        <v/>
      </c>
      <c r="I2542" t="str">
        <f>IFERROR(VLOOKUP($E2542,'Fuel Category and Heat Rate'!$K$2:$M$36,3,FALSE),"")</f>
        <v>heavy or residual fuel oil</v>
      </c>
    </row>
    <row r="2543" spans="1:9" x14ac:dyDescent="0.15">
      <c r="A2543" s="2">
        <v>281097</v>
      </c>
      <c r="B2543" s="2" t="s">
        <v>80</v>
      </c>
      <c r="C2543" s="2">
        <v>2018</v>
      </c>
      <c r="D2543" s="2" t="s">
        <v>1</v>
      </c>
      <c r="E2543" s="2" t="s">
        <v>5</v>
      </c>
      <c r="F2543" s="2" t="s">
        <v>35</v>
      </c>
      <c r="G2543" s="7"/>
      <c r="H2543" s="13" t="str">
        <f>IFERROR(IF(ABS($G2543)&gt;0,VLOOKUP($E2543,'Fuel Category and Heat Rate'!$B$1:$G$34,6,FALSE)*($G2543),""),"")</f>
        <v/>
      </c>
      <c r="I2543" t="str">
        <f>IFERROR(VLOOKUP($E2543,'Fuel Category and Heat Rate'!$K$2:$M$36,3,FALSE),"")</f>
        <v>coal</v>
      </c>
    </row>
    <row r="2544" spans="1:9" x14ac:dyDescent="0.15">
      <c r="A2544" s="2">
        <v>281132</v>
      </c>
      <c r="B2544" s="2" t="s">
        <v>80</v>
      </c>
      <c r="C2544" s="2">
        <v>2018</v>
      </c>
      <c r="D2544" s="2" t="s">
        <v>1</v>
      </c>
      <c r="E2544" s="2" t="s">
        <v>16</v>
      </c>
      <c r="F2544" s="2" t="s">
        <v>35</v>
      </c>
      <c r="G2544" s="7"/>
      <c r="H2544" s="13" t="str">
        <f>IFERROR(IF(ABS($G2544)&gt;0,VLOOKUP($E2544,'Fuel Category and Heat Rate'!$B$1:$G$34,6,FALSE)*($G2544),""),"")</f>
        <v/>
      </c>
      <c r="I2544" t="str">
        <f>IFERROR(VLOOKUP($E2544,'Fuel Category and Heat Rate'!$K$2:$M$36,3,FALSE),"")</f>
        <v>petroleum diesel</v>
      </c>
    </row>
    <row r="2545" spans="1:9" x14ac:dyDescent="0.15">
      <c r="A2545" s="2">
        <v>281167</v>
      </c>
      <c r="B2545" s="2" t="s">
        <v>80</v>
      </c>
      <c r="C2545" s="2">
        <v>2018</v>
      </c>
      <c r="D2545" s="2" t="s">
        <v>1</v>
      </c>
      <c r="E2545" s="2" t="s">
        <v>19</v>
      </c>
      <c r="F2545" s="2" t="s">
        <v>35</v>
      </c>
      <c r="G2545" s="7"/>
      <c r="H2545" s="13" t="str">
        <f>IFERROR(IF(ABS($G2545)&gt;0,VLOOKUP($E2545,'Fuel Category and Heat Rate'!$B$1:$G$34,6,FALSE)*($G2545),""),"")</f>
        <v/>
      </c>
      <c r="I2545" t="str">
        <f>IFERROR(VLOOKUP($E2545,'Fuel Category and Heat Rate'!$K$2:$M$36,3,FALSE),"")</f>
        <v>heavy or residual fuel oil</v>
      </c>
    </row>
    <row r="2546" spans="1:9" x14ac:dyDescent="0.15">
      <c r="A2546" s="2">
        <v>281202</v>
      </c>
      <c r="B2546" s="2" t="s">
        <v>80</v>
      </c>
      <c r="C2546" s="2">
        <v>2018</v>
      </c>
      <c r="D2546" s="2" t="s">
        <v>1</v>
      </c>
      <c r="E2546" s="2" t="s">
        <v>31</v>
      </c>
      <c r="F2546" s="2" t="s">
        <v>37</v>
      </c>
      <c r="G2546" s="7">
        <v>2344.1999999999998</v>
      </c>
      <c r="H2546" s="13">
        <f>IFERROR(IF(ABS($G2546)&gt;0,VLOOKUP($E2546,'Fuel Category and Heat Rate'!$B$1:$G$34,6,FALSE)*($G2546),""),"")</f>
        <v>22218728989560.125</v>
      </c>
      <c r="I2546" t="str">
        <f>IFERROR(VLOOKUP($E2546,'Fuel Category and Heat Rate'!$K$2:$M$36,3,FALSE),"")</f>
        <v>heat</v>
      </c>
    </row>
    <row r="2547" spans="1:9" x14ac:dyDescent="0.15">
      <c r="A2547" s="2">
        <v>281237</v>
      </c>
      <c r="B2547" s="2" t="s">
        <v>80</v>
      </c>
      <c r="C2547" s="2">
        <v>2018</v>
      </c>
      <c r="D2547" s="2" t="s">
        <v>1</v>
      </c>
      <c r="E2547" s="2" t="s">
        <v>23</v>
      </c>
      <c r="F2547" s="2" t="s">
        <v>35</v>
      </c>
      <c r="G2547" s="7"/>
      <c r="H2547" s="13" t="str">
        <f>IFERROR(IF(ABS($G2547)&gt;0,VLOOKUP($E2547,'Fuel Category and Heat Rate'!$B$1:$G$34,6,FALSE)*($G2547),""),"")</f>
        <v/>
      </c>
      <c r="I2547" t="str">
        <f>IFERROR(VLOOKUP($E2547,'Fuel Category and Heat Rate'!$K$2:$M$36,3,FALSE),"")</f>
        <v>heavy or residual fuel oil</v>
      </c>
    </row>
    <row r="2548" spans="1:9" x14ac:dyDescent="0.15">
      <c r="A2548" s="2">
        <v>281272</v>
      </c>
      <c r="B2548" s="2" t="s">
        <v>80</v>
      </c>
      <c r="C2548" s="2">
        <v>2018</v>
      </c>
      <c r="D2548" s="2" t="s">
        <v>1</v>
      </c>
      <c r="E2548" s="2" t="s">
        <v>21</v>
      </c>
      <c r="F2548" s="2" t="s">
        <v>35</v>
      </c>
      <c r="G2548" s="7"/>
      <c r="H2548" s="13" t="str">
        <f>IFERROR(IF(ABS($G2548)&gt;0,VLOOKUP($E2548,'Fuel Category and Heat Rate'!$B$1:$G$34,6,FALSE)*($G2548),""),"")</f>
        <v/>
      </c>
      <c r="I2548" t="str">
        <f>IFERROR(VLOOKUP($E2548,'Fuel Category and Heat Rate'!$K$2:$M$36,3,FALSE),"")</f>
        <v>LPG propane or butane</v>
      </c>
    </row>
    <row r="2549" spans="1:9" x14ac:dyDescent="0.15">
      <c r="A2549" s="2">
        <v>281307</v>
      </c>
      <c r="B2549" s="2" t="s">
        <v>80</v>
      </c>
      <c r="C2549" s="2">
        <v>2018</v>
      </c>
      <c r="D2549" s="2" t="s">
        <v>1</v>
      </c>
      <c r="E2549" s="2" t="s">
        <v>22</v>
      </c>
      <c r="F2549" s="2" t="s">
        <v>35</v>
      </c>
      <c r="G2549" s="7"/>
      <c r="H2549" s="13" t="str">
        <f>IFERROR(IF(ABS($G2549)&gt;0,VLOOKUP($E2549,'Fuel Category and Heat Rate'!$B$1:$G$34,6,FALSE)*($G2549),""),"")</f>
        <v/>
      </c>
      <c r="I2549" t="str">
        <f>IFERROR(VLOOKUP($E2549,'Fuel Category and Heat Rate'!$K$2:$M$36,3,FALSE),"")</f>
        <v>heavy fuel oil</v>
      </c>
    </row>
    <row r="2550" spans="1:9" x14ac:dyDescent="0.15">
      <c r="A2550" s="2">
        <v>281342</v>
      </c>
      <c r="B2550" s="2" t="s">
        <v>80</v>
      </c>
      <c r="C2550" s="2">
        <v>2018</v>
      </c>
      <c r="D2550" s="2" t="s">
        <v>1</v>
      </c>
      <c r="E2550" s="2" t="s">
        <v>20</v>
      </c>
      <c r="F2550" s="2" t="s">
        <v>35</v>
      </c>
      <c r="G2550" s="7"/>
      <c r="H2550" s="13" t="str">
        <f>IFERROR(IF(ABS($G2550)&gt;0,VLOOKUP($E2550,'Fuel Category and Heat Rate'!$B$1:$G$34,6,FALSE)*($G2550),""),"")</f>
        <v/>
      </c>
      <c r="I2550" t="str">
        <f>IFERROR(VLOOKUP($E2550,'Fuel Category and Heat Rate'!$K$2:$M$36,3,FALSE),"")</f>
        <v>LPG propane or butane</v>
      </c>
    </row>
    <row r="2551" spans="1:9" x14ac:dyDescent="0.15">
      <c r="A2551" s="2">
        <v>281377</v>
      </c>
      <c r="B2551" s="2" t="s">
        <v>80</v>
      </c>
      <c r="C2551" s="2">
        <v>2018</v>
      </c>
      <c r="D2551" s="2" t="s">
        <v>1</v>
      </c>
      <c r="E2551" s="2" t="s">
        <v>25</v>
      </c>
      <c r="F2551" s="2" t="s">
        <v>35</v>
      </c>
      <c r="G2551" s="7">
        <v>-0.85</v>
      </c>
      <c r="H2551" s="13">
        <f>IFERROR(IF(ABS($G2551)&gt;0,VLOOKUP($E2551,'Fuel Category and Heat Rate'!$B$1:$G$34,6,FALSE)*($G2551),""),"")</f>
        <v>-257379265751.66611</v>
      </c>
      <c r="I2551" t="str">
        <f>IFERROR(VLOOKUP($E2551,'Fuel Category and Heat Rate'!$K$2:$M$36,3,FALSE),"")</f>
        <v>heavy fuel oil</v>
      </c>
    </row>
    <row r="2552" spans="1:9" x14ac:dyDescent="0.15">
      <c r="A2552" s="2">
        <v>281412</v>
      </c>
      <c r="B2552" s="2" t="s">
        <v>80</v>
      </c>
      <c r="C2552" s="2">
        <v>2018</v>
      </c>
      <c r="D2552" s="2" t="s">
        <v>1</v>
      </c>
      <c r="E2552" s="2" t="s">
        <v>24</v>
      </c>
      <c r="F2552" s="2" t="s">
        <v>35</v>
      </c>
      <c r="G2552" s="7"/>
      <c r="H2552" s="13" t="str">
        <f>IFERROR(IF(ABS($G2552)&gt;0,VLOOKUP($E2552,'Fuel Category and Heat Rate'!$B$1:$G$34,6,FALSE)*($G2552),""),"")</f>
        <v/>
      </c>
      <c r="I2552" t="str">
        <f>IFERROR(VLOOKUP($E2552,'Fuel Category and Heat Rate'!$K$2:$M$36,3,FALSE),"")</f>
        <v>heavy fuel oil</v>
      </c>
    </row>
    <row r="2553" spans="1:9" x14ac:dyDescent="0.15">
      <c r="A2553" s="2">
        <v>281447</v>
      </c>
      <c r="B2553" s="2" t="s">
        <v>80</v>
      </c>
      <c r="C2553" s="2">
        <v>2018</v>
      </c>
      <c r="D2553" s="2" t="s">
        <v>1</v>
      </c>
      <c r="E2553" s="2" t="s">
        <v>29</v>
      </c>
      <c r="F2553" s="2" t="s">
        <v>36</v>
      </c>
      <c r="G2553" s="7">
        <v>-0.38</v>
      </c>
      <c r="H2553" s="13">
        <f>IFERROR(IF(ABS($G2553)&gt;0,VLOOKUP($E2553,'Fuel Category and Heat Rate'!$B$1:$G$34,6,FALSE)*($G2553),""),"")</f>
        <v>-1281648739258.6848</v>
      </c>
      <c r="I2553" t="str">
        <f>IFERROR(VLOOKUP($E2553,'Fuel Category and Heat Rate'!$K$2:$M$36,3,FALSE),"")</f>
        <v>natural gas</v>
      </c>
    </row>
    <row r="2554" spans="1:9" x14ac:dyDescent="0.15">
      <c r="A2554" s="2">
        <v>281482</v>
      </c>
      <c r="B2554" s="2" t="s">
        <v>80</v>
      </c>
      <c r="C2554" s="2">
        <v>2018</v>
      </c>
      <c r="D2554" s="2" t="s">
        <v>1</v>
      </c>
      <c r="E2554" s="2" t="s">
        <v>4</v>
      </c>
      <c r="F2554" s="2" t="s">
        <v>35</v>
      </c>
      <c r="G2554" s="7"/>
      <c r="H2554" s="13" t="str">
        <f>IFERROR(IF(ABS($G2554)&gt;0,VLOOKUP($E2554,'Fuel Category and Heat Rate'!$B$1:$G$34,6,FALSE)*($G2554),""),"")</f>
        <v/>
      </c>
      <c r="I2554" t="str">
        <f>IFERROR(VLOOKUP($E2554,'Fuel Category and Heat Rate'!$K$2:$M$36,3,FALSE),"")</f>
        <v>coal</v>
      </c>
    </row>
    <row r="2555" spans="1:9" x14ac:dyDescent="0.15">
      <c r="A2555" s="2">
        <v>281517</v>
      </c>
      <c r="B2555" s="2" t="s">
        <v>80</v>
      </c>
      <c r="C2555" s="2">
        <v>2018</v>
      </c>
      <c r="D2555" s="2" t="s">
        <v>1</v>
      </c>
      <c r="E2555" s="2" t="s">
        <v>6</v>
      </c>
      <c r="F2555" s="2" t="s">
        <v>35</v>
      </c>
      <c r="G2555" s="7"/>
      <c r="H2555" s="13" t="str">
        <f>IFERROR(IF(ABS($G2555)&gt;0,VLOOKUP($E2555,'Fuel Category and Heat Rate'!$B$1:$G$34,6,FALSE)*($G2555),""),"")</f>
        <v/>
      </c>
      <c r="I2555" t="str">
        <f>IFERROR(VLOOKUP($E2555,'Fuel Category and Heat Rate'!$K$2:$M$36,3,FALSE),"")</f>
        <v>coal</v>
      </c>
    </row>
    <row r="2556" spans="1:9" x14ac:dyDescent="0.15">
      <c r="A2556" s="2">
        <v>281552</v>
      </c>
      <c r="B2556" s="2" t="s">
        <v>80</v>
      </c>
      <c r="C2556" s="2">
        <v>2018</v>
      </c>
      <c r="D2556" s="2" t="s">
        <v>1</v>
      </c>
      <c r="E2556" s="2" t="s">
        <v>26</v>
      </c>
      <c r="F2556" s="2" t="s">
        <v>35</v>
      </c>
      <c r="G2556" s="7"/>
      <c r="H2556" s="13" t="str">
        <f>IFERROR(IF(ABS($G2556)&gt;0,VLOOKUP($E2556,'Fuel Category and Heat Rate'!$B$1:$G$34,6,FALSE)*($G2556),""),"")</f>
        <v/>
      </c>
      <c r="I2556" t="str">
        <f>IFERROR(VLOOKUP($E2556,'Fuel Category and Heat Rate'!$K$2:$M$36,3,FALSE),"")</f>
        <v>LPG propane or butane</v>
      </c>
    </row>
    <row r="2557" spans="1:9" x14ac:dyDescent="0.15">
      <c r="A2557" s="2">
        <v>281587</v>
      </c>
      <c r="B2557" s="2" t="s">
        <v>80</v>
      </c>
      <c r="C2557" s="2">
        <v>2018</v>
      </c>
      <c r="D2557" s="2" t="s">
        <v>1</v>
      </c>
      <c r="E2557" s="2" t="s">
        <v>30</v>
      </c>
      <c r="F2557" s="2" t="s">
        <v>35</v>
      </c>
      <c r="G2557" s="7"/>
      <c r="H2557" s="13" t="str">
        <f>IFERROR(IF(ABS($G2557)&gt;0,VLOOKUP($E2557,'Fuel Category and Heat Rate'!$B$1:$G$34,6,FALSE)*($G2557),""),"")</f>
        <v/>
      </c>
      <c r="I2557" t="str">
        <f>IFERROR(VLOOKUP($E2557,'Fuel Category and Heat Rate'!$K$2:$M$36,3,FALSE),"")</f>
        <v>natural gas</v>
      </c>
    </row>
    <row r="2558" spans="1:9" x14ac:dyDescent="0.15">
      <c r="A2558" s="2">
        <v>281622</v>
      </c>
      <c r="B2558" s="2" t="s">
        <v>80</v>
      </c>
      <c r="C2558" s="2">
        <v>2018</v>
      </c>
      <c r="D2558" s="2" t="s">
        <v>1</v>
      </c>
      <c r="E2558" s="2" t="s">
        <v>14</v>
      </c>
      <c r="F2558" s="2" t="s">
        <v>35</v>
      </c>
      <c r="G2558" s="7">
        <v>-3.77</v>
      </c>
      <c r="H2558" s="13">
        <f>IFERROR(IF(ABS($G2558)&gt;0,VLOOKUP($E2558,'Fuel Category and Heat Rate'!$B$1:$G$34,6,FALSE)*($G2558),""),"")</f>
        <v>0</v>
      </c>
      <c r="I2558" t="str">
        <f>IFERROR(VLOOKUP($E2558,'Fuel Category and Heat Rate'!$K$2:$M$36,3,FALSE),"")</f>
        <v/>
      </c>
    </row>
    <row r="2559" spans="1:9" x14ac:dyDescent="0.15">
      <c r="A2559" s="2">
        <v>281657</v>
      </c>
      <c r="B2559" s="2" t="s">
        <v>80</v>
      </c>
      <c r="C2559" s="2">
        <v>2018</v>
      </c>
      <c r="D2559" s="2" t="s">
        <v>1</v>
      </c>
      <c r="E2559" s="2" t="s">
        <v>3</v>
      </c>
      <c r="F2559" s="2" t="s">
        <v>35</v>
      </c>
      <c r="G2559" s="7">
        <v>-135.38</v>
      </c>
      <c r="H2559" s="13">
        <f>IFERROR(IF(ABS($G2559)&gt;0,VLOOKUP($E2559,'Fuel Category and Heat Rate'!$B$1:$G$34,6,FALSE)*($G2559),""),"")</f>
        <v>-26828200990497.328</v>
      </c>
      <c r="I2559" t="str">
        <f>IFERROR(VLOOKUP($E2559,'Fuel Category and Heat Rate'!$K$2:$M$36,3,FALSE),"")</f>
        <v>coal</v>
      </c>
    </row>
    <row r="2560" spans="1:9" x14ac:dyDescent="0.15">
      <c r="A2560" s="2">
        <v>281692</v>
      </c>
      <c r="B2560" s="2" t="s">
        <v>80</v>
      </c>
      <c r="C2560" s="2">
        <v>2018</v>
      </c>
      <c r="D2560" s="2" t="s">
        <v>1</v>
      </c>
      <c r="E2560" s="2" t="s">
        <v>15</v>
      </c>
      <c r="F2560" s="2" t="s">
        <v>35</v>
      </c>
      <c r="G2560" s="7"/>
      <c r="H2560" s="13" t="str">
        <f>IFERROR(IF(ABS($G2560)&gt;0,VLOOKUP($E2560,'Fuel Category and Heat Rate'!$B$1:$G$34,6,FALSE)*($G2560),""),"")</f>
        <v/>
      </c>
      <c r="I2560" t="str">
        <f>IFERROR(VLOOKUP($E2560,'Fuel Category and Heat Rate'!$K$2:$M$36,3,FALSE),"")</f>
        <v>crude oil</v>
      </c>
    </row>
    <row r="2561" spans="1:9" x14ac:dyDescent="0.15">
      <c r="A2561" s="2">
        <v>281727</v>
      </c>
      <c r="B2561" s="2" t="s">
        <v>80</v>
      </c>
      <c r="C2561" s="2">
        <v>2018</v>
      </c>
      <c r="D2561" s="2" t="s">
        <v>1</v>
      </c>
      <c r="E2561" s="2" t="s">
        <v>11</v>
      </c>
      <c r="F2561" s="2" t="s">
        <v>36</v>
      </c>
      <c r="G2561" s="7"/>
      <c r="H2561" s="13" t="str">
        <f>IFERROR(IF(ABS($G2561)&gt;0,VLOOKUP($E2561,'Fuel Category and Heat Rate'!$B$1:$G$34,6,FALSE)*($G2561),""),"")</f>
        <v/>
      </c>
      <c r="I2561" t="str">
        <f>IFERROR(VLOOKUP($E2561,'Fuel Category and Heat Rate'!$K$2:$M$36,3,FALSE),"")</f>
        <v>LPG propane or butane</v>
      </c>
    </row>
    <row r="2562" spans="1:9" x14ac:dyDescent="0.15">
      <c r="A2562" s="2">
        <v>294572</v>
      </c>
      <c r="B2562" s="2" t="s">
        <v>81</v>
      </c>
      <c r="C2562" s="2">
        <v>2022</v>
      </c>
      <c r="D2562" s="2" t="s">
        <v>1</v>
      </c>
      <c r="E2562" s="2" t="s">
        <v>18</v>
      </c>
      <c r="F2562" s="2" t="s">
        <v>35</v>
      </c>
      <c r="G2562" s="7">
        <v>-0.32</v>
      </c>
      <c r="H2562" s="13">
        <f>IFERROR(IF(ABS($G2562)&gt;0,VLOOKUP($E2562,'Fuel Category and Heat Rate'!$B$1:$G$34,6,FALSE)*($G2562),""),"")</f>
        <v>-129364146931.17905</v>
      </c>
      <c r="I2562" t="str">
        <f>IFERROR(VLOOKUP($E2562,'Fuel Category and Heat Rate'!$K$2:$M$36,3,FALSE),"")</f>
        <v>petroleum diesel</v>
      </c>
    </row>
    <row r="2563" spans="1:9" x14ac:dyDescent="0.15">
      <c r="A2563" s="2">
        <v>294607</v>
      </c>
      <c r="B2563" s="2" t="s">
        <v>81</v>
      </c>
      <c r="C2563" s="2">
        <v>2022</v>
      </c>
      <c r="D2563" s="2" t="s">
        <v>1</v>
      </c>
      <c r="E2563" s="2" t="s">
        <v>32</v>
      </c>
      <c r="F2563" s="2" t="s">
        <v>65</v>
      </c>
      <c r="G2563" s="7">
        <v>-9.41</v>
      </c>
      <c r="H2563" s="13">
        <f>IFERROR(IF(ABS($G2563)&gt;0,VLOOKUP($E2563,'Fuel Category and Heat Rate'!$B$1:$G$34,6,FALSE)*($G2563),""),"")</f>
        <v>-3210825284746.7744</v>
      </c>
      <c r="I2563" t="str">
        <f>IFERROR(VLOOKUP($E2563,'Fuel Category and Heat Rate'!$K$2:$M$36,3,FALSE),"")</f>
        <v>electricity</v>
      </c>
    </row>
    <row r="2564" spans="1:9" x14ac:dyDescent="0.15">
      <c r="A2564" s="2">
        <v>294642</v>
      </c>
      <c r="B2564" s="2" t="s">
        <v>81</v>
      </c>
      <c r="C2564" s="2">
        <v>2022</v>
      </c>
      <c r="D2564" s="2" t="s">
        <v>1</v>
      </c>
      <c r="E2564" s="2" t="s">
        <v>10</v>
      </c>
      <c r="F2564" s="2" t="s">
        <v>36</v>
      </c>
      <c r="G2564" s="7">
        <v>-68.33</v>
      </c>
      <c r="H2564" s="13">
        <f>IFERROR(IF(ABS($G2564)&gt;0,VLOOKUP($E2564,'Fuel Category and Heat Rate'!$B$1:$G$34,6,FALSE)*($G2564),""),"")</f>
        <v>-24370822644128.27</v>
      </c>
      <c r="I2564" t="str">
        <f>IFERROR(VLOOKUP($E2564,'Fuel Category and Heat Rate'!$K$2:$M$36,3,FALSE),"")</f>
        <v>LPG propane or butane</v>
      </c>
    </row>
    <row r="2565" spans="1:9" x14ac:dyDescent="0.15">
      <c r="A2565" s="2">
        <v>294677</v>
      </c>
      <c r="B2565" s="2" t="s">
        <v>81</v>
      </c>
      <c r="C2565" s="2">
        <v>2022</v>
      </c>
      <c r="D2565" s="2" t="s">
        <v>1</v>
      </c>
      <c r="E2565" s="2" t="s">
        <v>9</v>
      </c>
      <c r="F2565" s="2" t="s">
        <v>36</v>
      </c>
      <c r="G2565" s="7">
        <v>-7.77</v>
      </c>
      <c r="H2565" s="13">
        <f>IFERROR(IF(ABS($G2565)&gt;0,VLOOKUP($E2565,'Fuel Category and Heat Rate'!$B$1:$G$34,6,FALSE)*($G2565),""),"")</f>
        <v>-12780052828482.967</v>
      </c>
      <c r="I2565" t="str">
        <f>IFERROR(VLOOKUP($E2565,'Fuel Category and Heat Rate'!$K$2:$M$36,3,FALSE),"")</f>
        <v>LPG propane or butane</v>
      </c>
    </row>
    <row r="2566" spans="1:9" x14ac:dyDescent="0.15">
      <c r="A2566" s="2">
        <v>294712</v>
      </c>
      <c r="B2566" s="2" t="s">
        <v>81</v>
      </c>
      <c r="C2566" s="2">
        <v>2022</v>
      </c>
      <c r="D2566" s="2" t="s">
        <v>1</v>
      </c>
      <c r="E2566" s="2" t="s">
        <v>8</v>
      </c>
      <c r="F2566" s="2" t="s">
        <v>35</v>
      </c>
      <c r="G2566" s="7"/>
      <c r="H2566" s="13" t="str">
        <f>IFERROR(IF(ABS($G2566)&gt;0,VLOOKUP($E2566,'Fuel Category and Heat Rate'!$B$1:$G$34,6,FALSE)*($G2566),""),"")</f>
        <v/>
      </c>
      <c r="I2566" t="str">
        <f>IFERROR(VLOOKUP($E2566,'Fuel Category and Heat Rate'!$K$2:$M$36,3,FALSE),"")</f>
        <v>coal</v>
      </c>
    </row>
    <row r="2567" spans="1:9" x14ac:dyDescent="0.15">
      <c r="A2567" s="2">
        <v>294747</v>
      </c>
      <c r="B2567" s="2" t="s">
        <v>81</v>
      </c>
      <c r="C2567" s="2">
        <v>2022</v>
      </c>
      <c r="D2567" s="2" t="s">
        <v>1</v>
      </c>
      <c r="E2567" s="2" t="s">
        <v>27</v>
      </c>
      <c r="F2567" s="2" t="s">
        <v>35</v>
      </c>
      <c r="G2567" s="7">
        <v>-8.93</v>
      </c>
      <c r="H2567" s="13">
        <f>IFERROR(IF(ABS($G2567)&gt;0,VLOOKUP($E2567,'Fuel Category and Heat Rate'!$B$1:$G$34,6,FALSE)*($G2567),""),"")</f>
        <v>-3893273896353.4492</v>
      </c>
      <c r="I2567" t="str">
        <f>IFERROR(VLOOKUP($E2567,'Fuel Category and Heat Rate'!$K$2:$M$36,3,FALSE),"")</f>
        <v>LPG propane or butane</v>
      </c>
    </row>
    <row r="2568" spans="1:9" x14ac:dyDescent="0.15">
      <c r="A2568" s="2">
        <v>294782</v>
      </c>
      <c r="B2568" s="2" t="s">
        <v>81</v>
      </c>
      <c r="C2568" s="2">
        <v>2022</v>
      </c>
      <c r="D2568" s="2" t="s">
        <v>1</v>
      </c>
      <c r="E2568" s="2" t="s">
        <v>7</v>
      </c>
      <c r="F2568" s="2" t="s">
        <v>35</v>
      </c>
      <c r="G2568" s="7">
        <v>-25.54</v>
      </c>
      <c r="H2568" s="13">
        <f>IFERROR(IF(ABS($G2568)&gt;0,VLOOKUP($E2568,'Fuel Category and Heat Rate'!$B$1:$G$34,6,FALSE)*($G2568),""),"")</f>
        <v>-2027115057463.5457</v>
      </c>
      <c r="I2568" t="str">
        <f>IFERROR(VLOOKUP($E2568,'Fuel Category and Heat Rate'!$K$2:$M$36,3,FALSE),"")</f>
        <v>coal</v>
      </c>
    </row>
    <row r="2569" spans="1:9" x14ac:dyDescent="0.15">
      <c r="A2569" s="2">
        <v>294817</v>
      </c>
      <c r="B2569" s="2" t="s">
        <v>81</v>
      </c>
      <c r="C2569" s="2">
        <v>2022</v>
      </c>
      <c r="D2569" s="2" t="s">
        <v>1</v>
      </c>
      <c r="E2569" s="2" t="s">
        <v>2</v>
      </c>
      <c r="F2569" s="2" t="s">
        <v>35</v>
      </c>
      <c r="G2569" s="7">
        <v>-4922.18</v>
      </c>
      <c r="H2569" s="13">
        <f>IFERROR(IF(ABS($G2569)&gt;0,VLOOKUP($E2569,'Fuel Category and Heat Rate'!$B$1:$G$34,6,FALSE)*($G2569),""),"")</f>
        <v>0</v>
      </c>
      <c r="I2569" t="str">
        <f>IFERROR(VLOOKUP($E2569,'Fuel Category and Heat Rate'!$K$2:$M$36,3,FALSE),"")</f>
        <v/>
      </c>
    </row>
    <row r="2570" spans="1:9" x14ac:dyDescent="0.15">
      <c r="A2570" s="2">
        <v>294852</v>
      </c>
      <c r="B2570" s="2" t="s">
        <v>81</v>
      </c>
      <c r="C2570" s="2">
        <v>2022</v>
      </c>
      <c r="D2570" s="2" t="s">
        <v>1</v>
      </c>
      <c r="E2570" s="2" t="s">
        <v>17</v>
      </c>
      <c r="F2570" s="2" t="s">
        <v>35</v>
      </c>
      <c r="G2570" s="7"/>
      <c r="H2570" s="13" t="str">
        <f>IFERROR(IF(ABS($G2570)&gt;0,VLOOKUP($E2570,'Fuel Category and Heat Rate'!$B$1:$G$34,6,FALSE)*($G2570),""),"")</f>
        <v/>
      </c>
      <c r="I2570" t="str">
        <f>IFERROR(VLOOKUP($E2570,'Fuel Category and Heat Rate'!$K$2:$M$36,3,FALSE),"")</f>
        <v>petroleum diesel</v>
      </c>
    </row>
    <row r="2571" spans="1:9" x14ac:dyDescent="0.15">
      <c r="A2571" s="2">
        <v>294887</v>
      </c>
      <c r="B2571" s="2" t="s">
        <v>81</v>
      </c>
      <c r="C2571" s="2">
        <v>2022</v>
      </c>
      <c r="D2571" s="2" t="s">
        <v>1</v>
      </c>
      <c r="E2571" s="2" t="s">
        <v>13</v>
      </c>
      <c r="F2571" s="2" t="s">
        <v>35</v>
      </c>
      <c r="G2571" s="7"/>
      <c r="H2571" s="13" t="str">
        <f>IFERROR(IF(ABS($G2571)&gt;0,VLOOKUP($E2571,'Fuel Category and Heat Rate'!$B$1:$G$34,6,FALSE)*($G2571),""),"")</f>
        <v/>
      </c>
      <c r="I2571" t="str">
        <f>IFERROR(VLOOKUP($E2571,'Fuel Category and Heat Rate'!$K$2:$M$36,3,FALSE),"")</f>
        <v>petroleum diesel</v>
      </c>
    </row>
    <row r="2572" spans="1:9" x14ac:dyDescent="0.15">
      <c r="A2572" s="2">
        <v>294922</v>
      </c>
      <c r="B2572" s="2" t="s">
        <v>81</v>
      </c>
      <c r="C2572" s="2">
        <v>2022</v>
      </c>
      <c r="D2572" s="2" t="s">
        <v>1</v>
      </c>
      <c r="E2572" s="2" t="s">
        <v>12</v>
      </c>
      <c r="F2572" s="2" t="s">
        <v>36</v>
      </c>
      <c r="G2572" s="7"/>
      <c r="H2572" s="13" t="str">
        <f>IFERROR(IF(ABS($G2572)&gt;0,VLOOKUP($E2572,'Fuel Category and Heat Rate'!$B$1:$G$34,6,FALSE)*($G2572),""),"")</f>
        <v/>
      </c>
      <c r="I2572" t="str">
        <f>IFERROR(VLOOKUP($E2572,'Fuel Category and Heat Rate'!$K$2:$M$36,3,FALSE),"")</f>
        <v>LPG propane or butane</v>
      </c>
    </row>
    <row r="2573" spans="1:9" x14ac:dyDescent="0.15">
      <c r="A2573" s="2">
        <v>294957</v>
      </c>
      <c r="B2573" s="2" t="s">
        <v>81</v>
      </c>
      <c r="C2573" s="2">
        <v>2022</v>
      </c>
      <c r="D2573" s="2" t="s">
        <v>1</v>
      </c>
      <c r="E2573" s="2" t="s">
        <v>33</v>
      </c>
      <c r="F2573" s="2" t="s">
        <v>38</v>
      </c>
      <c r="G2573" s="7">
        <v>-22.69</v>
      </c>
      <c r="H2573" s="13">
        <f>IFERROR(IF(ABS($G2573)&gt;0,VLOOKUP($E2573,'Fuel Category and Heat Rate'!$B$1:$G$34,6,FALSE)*($G2573),""),"")</f>
        <v>-6295012628952.2969</v>
      </c>
      <c r="I2573" t="str">
        <f>IFERROR(VLOOKUP($E2573,'Fuel Category and Heat Rate'!$K$2:$M$36,3,FALSE),"")</f>
        <v>biomass</v>
      </c>
    </row>
    <row r="2574" spans="1:9" x14ac:dyDescent="0.15">
      <c r="A2574" s="2">
        <v>294992</v>
      </c>
      <c r="B2574" s="2" t="s">
        <v>81</v>
      </c>
      <c r="C2574" s="2">
        <v>2022</v>
      </c>
      <c r="D2574" s="2" t="s">
        <v>1</v>
      </c>
      <c r="E2574" s="2" t="s">
        <v>28</v>
      </c>
      <c r="F2574" s="2" t="s">
        <v>35</v>
      </c>
      <c r="G2574" s="7">
        <v>-0.02</v>
      </c>
      <c r="H2574" s="13">
        <f>IFERROR(IF(ABS($G2574)&gt;0,VLOOKUP($E2574,'Fuel Category and Heat Rate'!$B$1:$G$34,6,FALSE)*($G2574),""),"")</f>
        <v>-7768309137.3788414</v>
      </c>
      <c r="I2574" t="str">
        <f>IFERROR(VLOOKUP($E2574,'Fuel Category and Heat Rate'!$K$2:$M$36,3,FALSE),"")</f>
        <v>heavy or residual fuel oil</v>
      </c>
    </row>
    <row r="2575" spans="1:9" x14ac:dyDescent="0.15">
      <c r="A2575" s="2">
        <v>295027</v>
      </c>
      <c r="B2575" s="2" t="s">
        <v>81</v>
      </c>
      <c r="C2575" s="2">
        <v>2022</v>
      </c>
      <c r="D2575" s="2" t="s">
        <v>1</v>
      </c>
      <c r="E2575" s="2" t="s">
        <v>5</v>
      </c>
      <c r="F2575" s="2" t="s">
        <v>35</v>
      </c>
      <c r="G2575" s="7">
        <v>-58.02</v>
      </c>
      <c r="H2575" s="13">
        <f>IFERROR(IF(ABS($G2575)&gt;0,VLOOKUP($E2575,'Fuel Category and Heat Rate'!$B$1:$G$34,6,FALSE)*($G2575),""),"")</f>
        <v>-4599010185100.6279</v>
      </c>
      <c r="I2575" t="str">
        <f>IFERROR(VLOOKUP($E2575,'Fuel Category and Heat Rate'!$K$2:$M$36,3,FALSE),"")</f>
        <v>coal</v>
      </c>
    </row>
    <row r="2576" spans="1:9" x14ac:dyDescent="0.15">
      <c r="A2576" s="2">
        <v>295062</v>
      </c>
      <c r="B2576" s="2" t="s">
        <v>81</v>
      </c>
      <c r="C2576" s="2">
        <v>2022</v>
      </c>
      <c r="D2576" s="2" t="s">
        <v>1</v>
      </c>
      <c r="E2576" s="2" t="s">
        <v>16</v>
      </c>
      <c r="F2576" s="2" t="s">
        <v>35</v>
      </c>
      <c r="G2576" s="7"/>
      <c r="H2576" s="13" t="str">
        <f>IFERROR(IF(ABS($G2576)&gt;0,VLOOKUP($E2576,'Fuel Category and Heat Rate'!$B$1:$G$34,6,FALSE)*($G2576),""),"")</f>
        <v/>
      </c>
      <c r="I2576" t="str">
        <f>IFERROR(VLOOKUP($E2576,'Fuel Category and Heat Rate'!$K$2:$M$36,3,FALSE),"")</f>
        <v>petroleum diesel</v>
      </c>
    </row>
    <row r="2577" spans="1:9" x14ac:dyDescent="0.15">
      <c r="A2577" s="2">
        <v>295097</v>
      </c>
      <c r="B2577" s="2" t="s">
        <v>81</v>
      </c>
      <c r="C2577" s="2">
        <v>2022</v>
      </c>
      <c r="D2577" s="2" t="s">
        <v>1</v>
      </c>
      <c r="E2577" s="2" t="s">
        <v>19</v>
      </c>
      <c r="F2577" s="2" t="s">
        <v>35</v>
      </c>
      <c r="G2577" s="7">
        <v>-19.45</v>
      </c>
      <c r="H2577" s="13">
        <f>IFERROR(IF(ABS($G2577)&gt;0,VLOOKUP($E2577,'Fuel Category and Heat Rate'!$B$1:$G$34,6,FALSE)*($G2577),""),"")</f>
        <v>-7708797595880.8242</v>
      </c>
      <c r="I2577" t="str">
        <f>IFERROR(VLOOKUP($E2577,'Fuel Category and Heat Rate'!$K$2:$M$36,3,FALSE),"")</f>
        <v>heavy or residual fuel oil</v>
      </c>
    </row>
    <row r="2578" spans="1:9" x14ac:dyDescent="0.15">
      <c r="A2578" s="2">
        <v>295132</v>
      </c>
      <c r="B2578" s="2" t="s">
        <v>81</v>
      </c>
      <c r="C2578" s="2">
        <v>2022</v>
      </c>
      <c r="D2578" s="2" t="s">
        <v>1</v>
      </c>
      <c r="E2578" s="2" t="s">
        <v>31</v>
      </c>
      <c r="F2578" s="2" t="s">
        <v>37</v>
      </c>
      <c r="G2578" s="7">
        <v>72867.320000000007</v>
      </c>
      <c r="H2578" s="13">
        <f>IFERROR(IF(ABS($G2578)&gt;0,VLOOKUP($E2578,'Fuel Category and Heat Rate'!$B$1:$G$34,6,FALSE)*($G2578),""),"")</f>
        <v>690648935788565.25</v>
      </c>
      <c r="I2578" t="str">
        <f>IFERROR(VLOOKUP($E2578,'Fuel Category and Heat Rate'!$K$2:$M$36,3,FALSE),"")</f>
        <v>heat</v>
      </c>
    </row>
    <row r="2579" spans="1:9" x14ac:dyDescent="0.15">
      <c r="A2579" s="2">
        <v>295167</v>
      </c>
      <c r="B2579" s="2" t="s">
        <v>81</v>
      </c>
      <c r="C2579" s="2">
        <v>2022</v>
      </c>
      <c r="D2579" s="2" t="s">
        <v>1</v>
      </c>
      <c r="E2579" s="2" t="s">
        <v>23</v>
      </c>
      <c r="F2579" s="2" t="s">
        <v>35</v>
      </c>
      <c r="G2579" s="7"/>
      <c r="H2579" s="13" t="str">
        <f>IFERROR(IF(ABS($G2579)&gt;0,VLOOKUP($E2579,'Fuel Category and Heat Rate'!$B$1:$G$34,6,FALSE)*($G2579),""),"")</f>
        <v/>
      </c>
      <c r="I2579" t="str">
        <f>IFERROR(VLOOKUP($E2579,'Fuel Category and Heat Rate'!$K$2:$M$36,3,FALSE),"")</f>
        <v>heavy or residual fuel oil</v>
      </c>
    </row>
    <row r="2580" spans="1:9" x14ac:dyDescent="0.15">
      <c r="A2580" s="2">
        <v>295202</v>
      </c>
      <c r="B2580" s="2" t="s">
        <v>81</v>
      </c>
      <c r="C2580" s="2">
        <v>2022</v>
      </c>
      <c r="D2580" s="2" t="s">
        <v>1</v>
      </c>
      <c r="E2580" s="2" t="s">
        <v>21</v>
      </c>
      <c r="F2580" s="2" t="s">
        <v>35</v>
      </c>
      <c r="G2580" s="7"/>
      <c r="H2580" s="13" t="str">
        <f>IFERROR(IF(ABS($G2580)&gt;0,VLOOKUP($E2580,'Fuel Category and Heat Rate'!$B$1:$G$34,6,FALSE)*($G2580),""),"")</f>
        <v/>
      </c>
      <c r="I2580" t="str">
        <f>IFERROR(VLOOKUP($E2580,'Fuel Category and Heat Rate'!$K$2:$M$36,3,FALSE),"")</f>
        <v>LPG propane or butane</v>
      </c>
    </row>
    <row r="2581" spans="1:9" x14ac:dyDescent="0.15">
      <c r="A2581" s="2">
        <v>295237</v>
      </c>
      <c r="B2581" s="2" t="s">
        <v>81</v>
      </c>
      <c r="C2581" s="2">
        <v>2022</v>
      </c>
      <c r="D2581" s="2" t="s">
        <v>1</v>
      </c>
      <c r="E2581" s="2" t="s">
        <v>22</v>
      </c>
      <c r="F2581" s="2" t="s">
        <v>35</v>
      </c>
      <c r="G2581" s="7"/>
      <c r="H2581" s="13" t="str">
        <f>IFERROR(IF(ABS($G2581)&gt;0,VLOOKUP($E2581,'Fuel Category and Heat Rate'!$B$1:$G$34,6,FALSE)*($G2581),""),"")</f>
        <v/>
      </c>
      <c r="I2581" t="str">
        <f>IFERROR(VLOOKUP($E2581,'Fuel Category and Heat Rate'!$K$2:$M$36,3,FALSE),"")</f>
        <v>heavy fuel oil</v>
      </c>
    </row>
    <row r="2582" spans="1:9" x14ac:dyDescent="0.15">
      <c r="A2582" s="2">
        <v>295272</v>
      </c>
      <c r="B2582" s="2" t="s">
        <v>81</v>
      </c>
      <c r="C2582" s="2">
        <v>2022</v>
      </c>
      <c r="D2582" s="2" t="s">
        <v>1</v>
      </c>
      <c r="E2582" s="2" t="s">
        <v>20</v>
      </c>
      <c r="F2582" s="2" t="s">
        <v>35</v>
      </c>
      <c r="G2582" s="7"/>
      <c r="H2582" s="13" t="str">
        <f>IFERROR(IF(ABS($G2582)&gt;0,VLOOKUP($E2582,'Fuel Category and Heat Rate'!$B$1:$G$34,6,FALSE)*($G2582),""),"")</f>
        <v/>
      </c>
      <c r="I2582" t="str">
        <f>IFERROR(VLOOKUP($E2582,'Fuel Category and Heat Rate'!$K$2:$M$36,3,FALSE),"")</f>
        <v>LPG propane or butane</v>
      </c>
    </row>
    <row r="2583" spans="1:9" x14ac:dyDescent="0.15">
      <c r="A2583" s="2">
        <v>295307</v>
      </c>
      <c r="B2583" s="2" t="s">
        <v>81</v>
      </c>
      <c r="C2583" s="2">
        <v>2022</v>
      </c>
      <c r="D2583" s="2" t="s">
        <v>1</v>
      </c>
      <c r="E2583" s="2" t="s">
        <v>25</v>
      </c>
      <c r="F2583" s="2" t="s">
        <v>35</v>
      </c>
      <c r="G2583" s="7"/>
      <c r="H2583" s="13" t="str">
        <f>IFERROR(IF(ABS($G2583)&gt;0,VLOOKUP($E2583,'Fuel Category and Heat Rate'!$B$1:$G$34,6,FALSE)*($G2583),""),"")</f>
        <v/>
      </c>
      <c r="I2583" t="str">
        <f>IFERROR(VLOOKUP($E2583,'Fuel Category and Heat Rate'!$K$2:$M$36,3,FALSE),"")</f>
        <v>heavy fuel oil</v>
      </c>
    </row>
    <row r="2584" spans="1:9" x14ac:dyDescent="0.15">
      <c r="A2584" s="2">
        <v>295342</v>
      </c>
      <c r="B2584" s="2" t="s">
        <v>81</v>
      </c>
      <c r="C2584" s="2">
        <v>2022</v>
      </c>
      <c r="D2584" s="2" t="s">
        <v>1</v>
      </c>
      <c r="E2584" s="2" t="s">
        <v>24</v>
      </c>
      <c r="F2584" s="2" t="s">
        <v>35</v>
      </c>
      <c r="G2584" s="7"/>
      <c r="H2584" s="13" t="str">
        <f>IFERROR(IF(ABS($G2584)&gt;0,VLOOKUP($E2584,'Fuel Category and Heat Rate'!$B$1:$G$34,6,FALSE)*($G2584),""),"")</f>
        <v/>
      </c>
      <c r="I2584" t="str">
        <f>IFERROR(VLOOKUP($E2584,'Fuel Category and Heat Rate'!$K$2:$M$36,3,FALSE),"")</f>
        <v>heavy fuel oil</v>
      </c>
    </row>
    <row r="2585" spans="1:9" x14ac:dyDescent="0.15">
      <c r="A2585" s="2">
        <v>295377</v>
      </c>
      <c r="B2585" s="2" t="s">
        <v>81</v>
      </c>
      <c r="C2585" s="2">
        <v>2022</v>
      </c>
      <c r="D2585" s="2" t="s">
        <v>1</v>
      </c>
      <c r="E2585" s="2" t="s">
        <v>29</v>
      </c>
      <c r="F2585" s="2" t="s">
        <v>36</v>
      </c>
      <c r="G2585" s="7">
        <v>-1.86</v>
      </c>
      <c r="H2585" s="13">
        <f>IFERROR(IF(ABS($G2585)&gt;0,VLOOKUP($E2585,'Fuel Category and Heat Rate'!$B$1:$G$34,6,FALSE)*($G2585),""),"")</f>
        <v>-6273333302687.2471</v>
      </c>
      <c r="I2585" t="str">
        <f>IFERROR(VLOOKUP($E2585,'Fuel Category and Heat Rate'!$K$2:$M$36,3,FALSE),"")</f>
        <v>natural gas</v>
      </c>
    </row>
    <row r="2586" spans="1:9" x14ac:dyDescent="0.15">
      <c r="A2586" s="2">
        <v>295412</v>
      </c>
      <c r="B2586" s="2" t="s">
        <v>81</v>
      </c>
      <c r="C2586" s="2">
        <v>2022</v>
      </c>
      <c r="D2586" s="2" t="s">
        <v>1</v>
      </c>
      <c r="E2586" s="2" t="s">
        <v>4</v>
      </c>
      <c r="F2586" s="2" t="s">
        <v>35</v>
      </c>
      <c r="G2586" s="7"/>
      <c r="H2586" s="13" t="str">
        <f>IFERROR(IF(ABS($G2586)&gt;0,VLOOKUP($E2586,'Fuel Category and Heat Rate'!$B$1:$G$34,6,FALSE)*($G2586),""),"")</f>
        <v/>
      </c>
      <c r="I2586" t="str">
        <f>IFERROR(VLOOKUP($E2586,'Fuel Category and Heat Rate'!$K$2:$M$36,3,FALSE),"")</f>
        <v>coal</v>
      </c>
    </row>
    <row r="2587" spans="1:9" x14ac:dyDescent="0.15">
      <c r="A2587" s="2">
        <v>295447</v>
      </c>
      <c r="B2587" s="2" t="s">
        <v>81</v>
      </c>
      <c r="C2587" s="2">
        <v>2022</v>
      </c>
      <c r="D2587" s="2" t="s">
        <v>1</v>
      </c>
      <c r="E2587" s="2" t="s">
        <v>6</v>
      </c>
      <c r="F2587" s="2" t="s">
        <v>35</v>
      </c>
      <c r="G2587" s="7">
        <v>-0.37</v>
      </c>
      <c r="H2587" s="13">
        <f>IFERROR(IF(ABS($G2587)&gt;0,VLOOKUP($E2587,'Fuel Category and Heat Rate'!$B$1:$G$34,6,FALSE)*($G2587),""),"")</f>
        <v>-54262625054.398781</v>
      </c>
      <c r="I2587" t="str">
        <f>IFERROR(VLOOKUP($E2587,'Fuel Category and Heat Rate'!$K$2:$M$36,3,FALSE),"")</f>
        <v>coal</v>
      </c>
    </row>
    <row r="2588" spans="1:9" x14ac:dyDescent="0.15">
      <c r="A2588" s="2">
        <v>295482</v>
      </c>
      <c r="B2588" s="2" t="s">
        <v>81</v>
      </c>
      <c r="C2588" s="2">
        <v>2022</v>
      </c>
      <c r="D2588" s="2" t="s">
        <v>1</v>
      </c>
      <c r="E2588" s="2" t="s">
        <v>26</v>
      </c>
      <c r="F2588" s="2" t="s">
        <v>35</v>
      </c>
      <c r="G2588" s="7"/>
      <c r="H2588" s="13" t="str">
        <f>IFERROR(IF(ABS($G2588)&gt;0,VLOOKUP($E2588,'Fuel Category and Heat Rate'!$B$1:$G$34,6,FALSE)*($G2588),""),"")</f>
        <v/>
      </c>
      <c r="I2588" t="str">
        <f>IFERROR(VLOOKUP($E2588,'Fuel Category and Heat Rate'!$K$2:$M$36,3,FALSE),"")</f>
        <v>LPG propane or butane</v>
      </c>
    </row>
    <row r="2589" spans="1:9" x14ac:dyDescent="0.15">
      <c r="A2589" s="2">
        <v>295517</v>
      </c>
      <c r="B2589" s="2" t="s">
        <v>81</v>
      </c>
      <c r="C2589" s="2">
        <v>2022</v>
      </c>
      <c r="D2589" s="2" t="s">
        <v>1</v>
      </c>
      <c r="E2589" s="2" t="s">
        <v>30</v>
      </c>
      <c r="F2589" s="2" t="s">
        <v>35</v>
      </c>
      <c r="G2589" s="7"/>
      <c r="H2589" s="13" t="str">
        <f>IFERROR(IF(ABS($G2589)&gt;0,VLOOKUP($E2589,'Fuel Category and Heat Rate'!$B$1:$G$34,6,FALSE)*($G2589),""),"")</f>
        <v/>
      </c>
      <c r="I2589" t="str">
        <f>IFERROR(VLOOKUP($E2589,'Fuel Category and Heat Rate'!$K$2:$M$36,3,FALSE),"")</f>
        <v>natural gas</v>
      </c>
    </row>
    <row r="2590" spans="1:9" x14ac:dyDescent="0.15">
      <c r="A2590" s="2">
        <v>295552</v>
      </c>
      <c r="B2590" s="2" t="s">
        <v>81</v>
      </c>
      <c r="C2590" s="2">
        <v>2022</v>
      </c>
      <c r="D2590" s="2" t="s">
        <v>1</v>
      </c>
      <c r="E2590" s="2" t="s">
        <v>14</v>
      </c>
      <c r="F2590" s="2" t="s">
        <v>35</v>
      </c>
      <c r="G2590" s="7">
        <v>-28.72</v>
      </c>
      <c r="H2590" s="13">
        <f>IFERROR(IF(ABS($G2590)&gt;0,VLOOKUP($E2590,'Fuel Category and Heat Rate'!$B$1:$G$34,6,FALSE)*($G2590),""),"")</f>
        <v>0</v>
      </c>
      <c r="I2590" t="str">
        <f>IFERROR(VLOOKUP($E2590,'Fuel Category and Heat Rate'!$K$2:$M$36,3,FALSE),"")</f>
        <v/>
      </c>
    </row>
    <row r="2591" spans="1:9" x14ac:dyDescent="0.15">
      <c r="A2591" s="2">
        <v>295587</v>
      </c>
      <c r="B2591" s="2" t="s">
        <v>81</v>
      </c>
      <c r="C2591" s="2">
        <v>2022</v>
      </c>
      <c r="D2591" s="2" t="s">
        <v>1</v>
      </c>
      <c r="E2591" s="2" t="s">
        <v>3</v>
      </c>
      <c r="F2591" s="2" t="s">
        <v>35</v>
      </c>
      <c r="G2591" s="7">
        <v>-4863.79</v>
      </c>
      <c r="H2591" s="13">
        <f>IFERROR(IF(ABS($G2591)&gt;0,VLOOKUP($E2591,'Fuel Category and Heat Rate'!$B$1:$G$34,6,FALSE)*($G2591),""),"")</f>
        <v>-963855338274272.38</v>
      </c>
      <c r="I2591" t="str">
        <f>IFERROR(VLOOKUP($E2591,'Fuel Category and Heat Rate'!$K$2:$M$36,3,FALSE),"")</f>
        <v>coal</v>
      </c>
    </row>
    <row r="2592" spans="1:9" x14ac:dyDescent="0.15">
      <c r="A2592" s="2">
        <v>295622</v>
      </c>
      <c r="B2592" s="2" t="s">
        <v>81</v>
      </c>
      <c r="C2592" s="2">
        <v>2022</v>
      </c>
      <c r="D2592" s="2" t="s">
        <v>1</v>
      </c>
      <c r="E2592" s="2" t="s">
        <v>15</v>
      </c>
      <c r="F2592" s="2" t="s">
        <v>35</v>
      </c>
      <c r="G2592" s="7"/>
      <c r="H2592" s="13" t="str">
        <f>IFERROR(IF(ABS($G2592)&gt;0,VLOOKUP($E2592,'Fuel Category and Heat Rate'!$B$1:$G$34,6,FALSE)*($G2592),""),"")</f>
        <v/>
      </c>
      <c r="I2592" t="str">
        <f>IFERROR(VLOOKUP($E2592,'Fuel Category and Heat Rate'!$K$2:$M$36,3,FALSE),"")</f>
        <v>crude oil</v>
      </c>
    </row>
    <row r="2593" spans="1:9" x14ac:dyDescent="0.15">
      <c r="A2593" s="2">
        <v>295657</v>
      </c>
      <c r="B2593" s="2" t="s">
        <v>81</v>
      </c>
      <c r="C2593" s="2">
        <v>2022</v>
      </c>
      <c r="D2593" s="2" t="s">
        <v>1</v>
      </c>
      <c r="E2593" s="2" t="s">
        <v>11</v>
      </c>
      <c r="F2593" s="2" t="s">
        <v>36</v>
      </c>
      <c r="G2593" s="7">
        <v>-5.56</v>
      </c>
      <c r="H2593" s="13">
        <f>IFERROR(IF(ABS($G2593)&gt;0,VLOOKUP($E2593,'Fuel Category and Heat Rate'!$B$1:$G$34,6,FALSE)*($G2593),""),"")</f>
        <v>-4186906314011.7178</v>
      </c>
      <c r="I2593" t="str">
        <f>IFERROR(VLOOKUP($E2593,'Fuel Category and Heat Rate'!$K$2:$M$36,3,FALSE),"")</f>
        <v>LPG propane or butane</v>
      </c>
    </row>
    <row r="2594" spans="1:9" x14ac:dyDescent="0.15">
      <c r="A2594" s="2">
        <v>295692</v>
      </c>
      <c r="B2594" s="2" t="s">
        <v>81</v>
      </c>
      <c r="C2594" s="2">
        <v>2021</v>
      </c>
      <c r="D2594" s="2" t="s">
        <v>1</v>
      </c>
      <c r="E2594" s="2" t="s">
        <v>18</v>
      </c>
      <c r="F2594" s="2" t="s">
        <v>35</v>
      </c>
      <c r="G2594" s="7">
        <v>-0.28999999999999998</v>
      </c>
      <c r="H2594" s="13">
        <f>IFERROR(IF(ABS($G2594)&gt;0,VLOOKUP($E2594,'Fuel Category and Heat Rate'!$B$1:$G$34,6,FALSE)*($G2594),""),"")</f>
        <v>-117236258156.381</v>
      </c>
      <c r="I2594" t="str">
        <f>IFERROR(VLOOKUP($E2594,'Fuel Category and Heat Rate'!$K$2:$M$36,3,FALSE),"")</f>
        <v>petroleum diesel</v>
      </c>
    </row>
    <row r="2595" spans="1:9" x14ac:dyDescent="0.15">
      <c r="A2595" s="2">
        <v>295727</v>
      </c>
      <c r="B2595" s="2" t="s">
        <v>81</v>
      </c>
      <c r="C2595" s="2">
        <v>2021</v>
      </c>
      <c r="D2595" s="2" t="s">
        <v>1</v>
      </c>
      <c r="E2595" s="2" t="s">
        <v>32</v>
      </c>
      <c r="F2595" s="2" t="s">
        <v>65</v>
      </c>
      <c r="G2595" s="7">
        <v>-5.93</v>
      </c>
      <c r="H2595" s="13">
        <f>IFERROR(IF(ABS($G2595)&gt;0,VLOOKUP($E2595,'Fuel Category and Heat Rate'!$B$1:$G$34,6,FALSE)*($G2595),""),"")</f>
        <v>-2023399993469.54</v>
      </c>
      <c r="I2595" t="str">
        <f>IFERROR(VLOOKUP($E2595,'Fuel Category and Heat Rate'!$K$2:$M$36,3,FALSE),"")</f>
        <v>electricity</v>
      </c>
    </row>
    <row r="2596" spans="1:9" x14ac:dyDescent="0.15">
      <c r="A2596" s="2">
        <v>295762</v>
      </c>
      <c r="B2596" s="2" t="s">
        <v>81</v>
      </c>
      <c r="C2596" s="2">
        <v>2021</v>
      </c>
      <c r="D2596" s="2" t="s">
        <v>1</v>
      </c>
      <c r="E2596" s="2" t="s">
        <v>10</v>
      </c>
      <c r="F2596" s="2" t="s">
        <v>36</v>
      </c>
      <c r="G2596" s="7">
        <v>-71.680000000000007</v>
      </c>
      <c r="H2596" s="13">
        <f>IFERROR(IF(ABS($G2596)&gt;0,VLOOKUP($E2596,'Fuel Category and Heat Rate'!$B$1:$G$34,6,FALSE)*($G2596),""),"")</f>
        <v>-25565645648047.922</v>
      </c>
      <c r="I2596" t="str">
        <f>IFERROR(VLOOKUP($E2596,'Fuel Category and Heat Rate'!$K$2:$M$36,3,FALSE),"")</f>
        <v>LPG propane or butane</v>
      </c>
    </row>
    <row r="2597" spans="1:9" x14ac:dyDescent="0.15">
      <c r="A2597" s="2">
        <v>295797</v>
      </c>
      <c r="B2597" s="2" t="s">
        <v>81</v>
      </c>
      <c r="C2597" s="2">
        <v>2021</v>
      </c>
      <c r="D2597" s="2" t="s">
        <v>1</v>
      </c>
      <c r="E2597" s="2" t="s">
        <v>9</v>
      </c>
      <c r="F2597" s="2" t="s">
        <v>36</v>
      </c>
      <c r="G2597" s="7">
        <v>-7.23</v>
      </c>
      <c r="H2597" s="13">
        <f>IFERROR(IF(ABS($G2597)&gt;0,VLOOKUP($E2597,'Fuel Category and Heat Rate'!$B$1:$G$34,6,FALSE)*($G2597),""),"")</f>
        <v>-11891863828820.059</v>
      </c>
      <c r="I2597" t="str">
        <f>IFERROR(VLOOKUP($E2597,'Fuel Category and Heat Rate'!$K$2:$M$36,3,FALSE),"")</f>
        <v>LPG propane or butane</v>
      </c>
    </row>
    <row r="2598" spans="1:9" x14ac:dyDescent="0.15">
      <c r="A2598" s="2">
        <v>295832</v>
      </c>
      <c r="B2598" s="2" t="s">
        <v>81</v>
      </c>
      <c r="C2598" s="2">
        <v>2021</v>
      </c>
      <c r="D2598" s="2" t="s">
        <v>1</v>
      </c>
      <c r="E2598" s="2" t="s">
        <v>8</v>
      </c>
      <c r="F2598" s="2" t="s">
        <v>35</v>
      </c>
      <c r="G2598" s="7"/>
      <c r="H2598" s="13" t="str">
        <f>IFERROR(IF(ABS($G2598)&gt;0,VLOOKUP($E2598,'Fuel Category and Heat Rate'!$B$1:$G$34,6,FALSE)*($G2598),""),"")</f>
        <v/>
      </c>
      <c r="I2598" t="str">
        <f>IFERROR(VLOOKUP($E2598,'Fuel Category and Heat Rate'!$K$2:$M$36,3,FALSE),"")</f>
        <v>coal</v>
      </c>
    </row>
    <row r="2599" spans="1:9" x14ac:dyDescent="0.15">
      <c r="A2599" s="2">
        <v>295867</v>
      </c>
      <c r="B2599" s="2" t="s">
        <v>81</v>
      </c>
      <c r="C2599" s="2">
        <v>2021</v>
      </c>
      <c r="D2599" s="2" t="s">
        <v>1</v>
      </c>
      <c r="E2599" s="2" t="s">
        <v>27</v>
      </c>
      <c r="F2599" s="2" t="s">
        <v>35</v>
      </c>
      <c r="G2599" s="7">
        <v>-7.25</v>
      </c>
      <c r="H2599" s="13">
        <f>IFERROR(IF(ABS($G2599)&gt;0,VLOOKUP($E2599,'Fuel Category and Heat Rate'!$B$1:$G$34,6,FALSE)*($G2599),""),"")</f>
        <v>-3160832670611.7026</v>
      </c>
      <c r="I2599" t="str">
        <f>IFERROR(VLOOKUP($E2599,'Fuel Category and Heat Rate'!$K$2:$M$36,3,FALSE),"")</f>
        <v>LPG propane or butane</v>
      </c>
    </row>
    <row r="2600" spans="1:9" x14ac:dyDescent="0.15">
      <c r="A2600" s="2">
        <v>295902</v>
      </c>
      <c r="B2600" s="2" t="s">
        <v>81</v>
      </c>
      <c r="C2600" s="2">
        <v>2021</v>
      </c>
      <c r="D2600" s="2" t="s">
        <v>1</v>
      </c>
      <c r="E2600" s="2" t="s">
        <v>7</v>
      </c>
      <c r="F2600" s="2" t="s">
        <v>35</v>
      </c>
      <c r="G2600" s="7">
        <v>-36.08</v>
      </c>
      <c r="H2600" s="13">
        <f>IFERROR(IF(ABS($G2600)&gt;0,VLOOKUP($E2600,'Fuel Category and Heat Rate'!$B$1:$G$34,6,FALSE)*($G2600),""),"")</f>
        <v>-2863677027145.0557</v>
      </c>
      <c r="I2600" t="str">
        <f>IFERROR(VLOOKUP($E2600,'Fuel Category and Heat Rate'!$K$2:$M$36,3,FALSE),"")</f>
        <v>coal</v>
      </c>
    </row>
    <row r="2601" spans="1:9" x14ac:dyDescent="0.15">
      <c r="A2601" s="2">
        <v>295937</v>
      </c>
      <c r="B2601" s="2" t="s">
        <v>81</v>
      </c>
      <c r="C2601" s="2">
        <v>2021</v>
      </c>
      <c r="D2601" s="2" t="s">
        <v>1</v>
      </c>
      <c r="E2601" s="2" t="s">
        <v>2</v>
      </c>
      <c r="F2601" s="2" t="s">
        <v>35</v>
      </c>
      <c r="G2601" s="7">
        <v>-4872.84</v>
      </c>
      <c r="H2601" s="13">
        <f>IFERROR(IF(ABS($G2601)&gt;0,VLOOKUP($E2601,'Fuel Category and Heat Rate'!$B$1:$G$34,6,FALSE)*($G2601),""),"")</f>
        <v>0</v>
      </c>
      <c r="I2601" t="str">
        <f>IFERROR(VLOOKUP($E2601,'Fuel Category and Heat Rate'!$K$2:$M$36,3,FALSE),"")</f>
        <v/>
      </c>
    </row>
    <row r="2602" spans="1:9" x14ac:dyDescent="0.15">
      <c r="A2602" s="2">
        <v>295972</v>
      </c>
      <c r="B2602" s="2" t="s">
        <v>81</v>
      </c>
      <c r="C2602" s="2">
        <v>2021</v>
      </c>
      <c r="D2602" s="2" t="s">
        <v>1</v>
      </c>
      <c r="E2602" s="2" t="s">
        <v>17</v>
      </c>
      <c r="F2602" s="2" t="s">
        <v>35</v>
      </c>
      <c r="G2602" s="7"/>
      <c r="H2602" s="13" t="str">
        <f>IFERROR(IF(ABS($G2602)&gt;0,VLOOKUP($E2602,'Fuel Category and Heat Rate'!$B$1:$G$34,6,FALSE)*($G2602),""),"")</f>
        <v/>
      </c>
      <c r="I2602" t="str">
        <f>IFERROR(VLOOKUP($E2602,'Fuel Category and Heat Rate'!$K$2:$M$36,3,FALSE),"")</f>
        <v>petroleum diesel</v>
      </c>
    </row>
    <row r="2603" spans="1:9" x14ac:dyDescent="0.15">
      <c r="A2603" s="2">
        <v>296007</v>
      </c>
      <c r="B2603" s="2" t="s">
        <v>81</v>
      </c>
      <c r="C2603" s="2">
        <v>2021</v>
      </c>
      <c r="D2603" s="2" t="s">
        <v>1</v>
      </c>
      <c r="E2603" s="2" t="s">
        <v>13</v>
      </c>
      <c r="F2603" s="2" t="s">
        <v>35</v>
      </c>
      <c r="G2603" s="7"/>
      <c r="H2603" s="13" t="str">
        <f>IFERROR(IF(ABS($G2603)&gt;0,VLOOKUP($E2603,'Fuel Category and Heat Rate'!$B$1:$G$34,6,FALSE)*($G2603),""),"")</f>
        <v/>
      </c>
      <c r="I2603" t="str">
        <f>IFERROR(VLOOKUP($E2603,'Fuel Category and Heat Rate'!$K$2:$M$36,3,FALSE),"")</f>
        <v>petroleum diesel</v>
      </c>
    </row>
    <row r="2604" spans="1:9" x14ac:dyDescent="0.15">
      <c r="A2604" s="2">
        <v>296042</v>
      </c>
      <c r="B2604" s="2" t="s">
        <v>81</v>
      </c>
      <c r="C2604" s="2">
        <v>2021</v>
      </c>
      <c r="D2604" s="2" t="s">
        <v>1</v>
      </c>
      <c r="E2604" s="2" t="s">
        <v>12</v>
      </c>
      <c r="F2604" s="2" t="s">
        <v>36</v>
      </c>
      <c r="G2604" s="7"/>
      <c r="H2604" s="13" t="str">
        <f>IFERROR(IF(ABS($G2604)&gt;0,VLOOKUP($E2604,'Fuel Category and Heat Rate'!$B$1:$G$34,6,FALSE)*($G2604),""),"")</f>
        <v/>
      </c>
      <c r="I2604" t="str">
        <f>IFERROR(VLOOKUP($E2604,'Fuel Category and Heat Rate'!$K$2:$M$36,3,FALSE),"")</f>
        <v>LPG propane or butane</v>
      </c>
    </row>
    <row r="2605" spans="1:9" x14ac:dyDescent="0.15">
      <c r="A2605" s="2">
        <v>296077</v>
      </c>
      <c r="B2605" s="2" t="s">
        <v>81</v>
      </c>
      <c r="C2605" s="2">
        <v>2021</v>
      </c>
      <c r="D2605" s="2" t="s">
        <v>1</v>
      </c>
      <c r="E2605" s="2" t="s">
        <v>33</v>
      </c>
      <c r="F2605" s="2" t="s">
        <v>38</v>
      </c>
      <c r="G2605" s="7">
        <v>-8.6999999999999993</v>
      </c>
      <c r="H2605" s="13">
        <f>IFERROR(IF(ABS($G2605)&gt;0,VLOOKUP($E2605,'Fuel Category and Heat Rate'!$B$1:$G$34,6,FALSE)*($G2605),""),"")</f>
        <v>-2413689284789.9946</v>
      </c>
      <c r="I2605" t="str">
        <f>IFERROR(VLOOKUP($E2605,'Fuel Category and Heat Rate'!$K$2:$M$36,3,FALSE),"")</f>
        <v>biomass</v>
      </c>
    </row>
    <row r="2606" spans="1:9" x14ac:dyDescent="0.15">
      <c r="A2606" s="2">
        <v>296112</v>
      </c>
      <c r="B2606" s="2" t="s">
        <v>81</v>
      </c>
      <c r="C2606" s="2">
        <v>2021</v>
      </c>
      <c r="D2606" s="2" t="s">
        <v>1</v>
      </c>
      <c r="E2606" s="2" t="s">
        <v>28</v>
      </c>
      <c r="F2606" s="2" t="s">
        <v>35</v>
      </c>
      <c r="G2606" s="7">
        <v>-0.06</v>
      </c>
      <c r="H2606" s="13">
        <f>IFERROR(IF(ABS($G2606)&gt;0,VLOOKUP($E2606,'Fuel Category and Heat Rate'!$B$1:$G$34,6,FALSE)*($G2606),""),"")</f>
        <v>-23304927412.136524</v>
      </c>
      <c r="I2606" t="str">
        <f>IFERROR(VLOOKUP($E2606,'Fuel Category and Heat Rate'!$K$2:$M$36,3,FALSE),"")</f>
        <v>heavy or residual fuel oil</v>
      </c>
    </row>
    <row r="2607" spans="1:9" x14ac:dyDescent="0.15">
      <c r="A2607" s="2">
        <v>296147</v>
      </c>
      <c r="B2607" s="2" t="s">
        <v>81</v>
      </c>
      <c r="C2607" s="2">
        <v>2021</v>
      </c>
      <c r="D2607" s="2" t="s">
        <v>1</v>
      </c>
      <c r="E2607" s="2" t="s">
        <v>5</v>
      </c>
      <c r="F2607" s="2" t="s">
        <v>35</v>
      </c>
      <c r="G2607" s="7">
        <v>-62.77</v>
      </c>
      <c r="H2607" s="13">
        <f>IFERROR(IF(ABS($G2607)&gt;0,VLOOKUP($E2607,'Fuel Category and Heat Rate'!$B$1:$G$34,6,FALSE)*($G2607),""),"")</f>
        <v>-4975523428451.6787</v>
      </c>
      <c r="I2607" t="str">
        <f>IFERROR(VLOOKUP($E2607,'Fuel Category and Heat Rate'!$K$2:$M$36,3,FALSE),"")</f>
        <v>coal</v>
      </c>
    </row>
    <row r="2608" spans="1:9" x14ac:dyDescent="0.15">
      <c r="A2608" s="2">
        <v>296182</v>
      </c>
      <c r="B2608" s="2" t="s">
        <v>81</v>
      </c>
      <c r="C2608" s="2">
        <v>2021</v>
      </c>
      <c r="D2608" s="2" t="s">
        <v>1</v>
      </c>
      <c r="E2608" s="2" t="s">
        <v>16</v>
      </c>
      <c r="F2608" s="2" t="s">
        <v>35</v>
      </c>
      <c r="G2608" s="7"/>
      <c r="H2608" s="13" t="str">
        <f>IFERROR(IF(ABS($G2608)&gt;0,VLOOKUP($E2608,'Fuel Category and Heat Rate'!$B$1:$G$34,6,FALSE)*($G2608),""),"")</f>
        <v/>
      </c>
      <c r="I2608" t="str">
        <f>IFERROR(VLOOKUP($E2608,'Fuel Category and Heat Rate'!$K$2:$M$36,3,FALSE),"")</f>
        <v>petroleum diesel</v>
      </c>
    </row>
    <row r="2609" spans="1:9" x14ac:dyDescent="0.15">
      <c r="A2609" s="2">
        <v>296217</v>
      </c>
      <c r="B2609" s="2" t="s">
        <v>81</v>
      </c>
      <c r="C2609" s="2">
        <v>2021</v>
      </c>
      <c r="D2609" s="2" t="s">
        <v>1</v>
      </c>
      <c r="E2609" s="2" t="s">
        <v>19</v>
      </c>
      <c r="F2609" s="2" t="s">
        <v>35</v>
      </c>
      <c r="G2609" s="7">
        <v>-18.59</v>
      </c>
      <c r="H2609" s="13">
        <f>IFERROR(IF(ABS($G2609)&gt;0,VLOOKUP($E2609,'Fuel Category and Heat Rate'!$B$1:$G$34,6,FALSE)*($G2609),""),"")</f>
        <v>-7367945876988.4082</v>
      </c>
      <c r="I2609" t="str">
        <f>IFERROR(VLOOKUP($E2609,'Fuel Category and Heat Rate'!$K$2:$M$36,3,FALSE),"")</f>
        <v>heavy or residual fuel oil</v>
      </c>
    </row>
    <row r="2610" spans="1:9" x14ac:dyDescent="0.15">
      <c r="A2610" s="2">
        <v>296252</v>
      </c>
      <c r="B2610" s="2" t="s">
        <v>81</v>
      </c>
      <c r="C2610" s="2">
        <v>2021</v>
      </c>
      <c r="D2610" s="2" t="s">
        <v>1</v>
      </c>
      <c r="E2610" s="2" t="s">
        <v>31</v>
      </c>
      <c r="F2610" s="2" t="s">
        <v>37</v>
      </c>
      <c r="G2610" s="7">
        <v>72972.2</v>
      </c>
      <c r="H2610" s="13">
        <f>IFERROR(IF(ABS($G2610)&gt;0,VLOOKUP($E2610,'Fuel Category and Heat Rate'!$B$1:$G$34,6,FALSE)*($G2610),""),"")</f>
        <v>691643006386818.25</v>
      </c>
      <c r="I2610" t="str">
        <f>IFERROR(VLOOKUP($E2610,'Fuel Category and Heat Rate'!$K$2:$M$36,3,FALSE),"")</f>
        <v>heat</v>
      </c>
    </row>
    <row r="2611" spans="1:9" x14ac:dyDescent="0.15">
      <c r="A2611" s="2">
        <v>296287</v>
      </c>
      <c r="B2611" s="2" t="s">
        <v>81</v>
      </c>
      <c r="C2611" s="2">
        <v>2021</v>
      </c>
      <c r="D2611" s="2" t="s">
        <v>1</v>
      </c>
      <c r="E2611" s="2" t="s">
        <v>23</v>
      </c>
      <c r="F2611" s="2" t="s">
        <v>35</v>
      </c>
      <c r="G2611" s="7"/>
      <c r="H2611" s="13" t="str">
        <f>IFERROR(IF(ABS($G2611)&gt;0,VLOOKUP($E2611,'Fuel Category and Heat Rate'!$B$1:$G$34,6,FALSE)*($G2611),""),"")</f>
        <v/>
      </c>
      <c r="I2611" t="str">
        <f>IFERROR(VLOOKUP($E2611,'Fuel Category and Heat Rate'!$K$2:$M$36,3,FALSE),"")</f>
        <v>heavy or residual fuel oil</v>
      </c>
    </row>
    <row r="2612" spans="1:9" x14ac:dyDescent="0.15">
      <c r="A2612" s="2">
        <v>296322</v>
      </c>
      <c r="B2612" s="2" t="s">
        <v>81</v>
      </c>
      <c r="C2612" s="2">
        <v>2021</v>
      </c>
      <c r="D2612" s="2" t="s">
        <v>1</v>
      </c>
      <c r="E2612" s="2" t="s">
        <v>21</v>
      </c>
      <c r="F2612" s="2" t="s">
        <v>35</v>
      </c>
      <c r="G2612" s="7"/>
      <c r="H2612" s="13" t="str">
        <f>IFERROR(IF(ABS($G2612)&gt;0,VLOOKUP($E2612,'Fuel Category and Heat Rate'!$B$1:$G$34,6,FALSE)*($G2612),""),"")</f>
        <v/>
      </c>
      <c r="I2612" t="str">
        <f>IFERROR(VLOOKUP($E2612,'Fuel Category and Heat Rate'!$K$2:$M$36,3,FALSE),"")</f>
        <v>LPG propane or butane</v>
      </c>
    </row>
    <row r="2613" spans="1:9" x14ac:dyDescent="0.15">
      <c r="A2613" s="2">
        <v>296357</v>
      </c>
      <c r="B2613" s="2" t="s">
        <v>81</v>
      </c>
      <c r="C2613" s="2">
        <v>2021</v>
      </c>
      <c r="D2613" s="2" t="s">
        <v>1</v>
      </c>
      <c r="E2613" s="2" t="s">
        <v>22</v>
      </c>
      <c r="F2613" s="2" t="s">
        <v>35</v>
      </c>
      <c r="G2613" s="7"/>
      <c r="H2613" s="13" t="str">
        <f>IFERROR(IF(ABS($G2613)&gt;0,VLOOKUP($E2613,'Fuel Category and Heat Rate'!$B$1:$G$34,6,FALSE)*($G2613),""),"")</f>
        <v/>
      </c>
      <c r="I2613" t="str">
        <f>IFERROR(VLOOKUP($E2613,'Fuel Category and Heat Rate'!$K$2:$M$36,3,FALSE),"")</f>
        <v>heavy fuel oil</v>
      </c>
    </row>
    <row r="2614" spans="1:9" x14ac:dyDescent="0.15">
      <c r="A2614" s="2">
        <v>296392</v>
      </c>
      <c r="B2614" s="2" t="s">
        <v>81</v>
      </c>
      <c r="C2614" s="2">
        <v>2021</v>
      </c>
      <c r="D2614" s="2" t="s">
        <v>1</v>
      </c>
      <c r="E2614" s="2" t="s">
        <v>20</v>
      </c>
      <c r="F2614" s="2" t="s">
        <v>35</v>
      </c>
      <c r="G2614" s="7"/>
      <c r="H2614" s="13" t="str">
        <f>IFERROR(IF(ABS($G2614)&gt;0,VLOOKUP($E2614,'Fuel Category and Heat Rate'!$B$1:$G$34,6,FALSE)*($G2614),""),"")</f>
        <v/>
      </c>
      <c r="I2614" t="str">
        <f>IFERROR(VLOOKUP($E2614,'Fuel Category and Heat Rate'!$K$2:$M$36,3,FALSE),"")</f>
        <v>LPG propane or butane</v>
      </c>
    </row>
    <row r="2615" spans="1:9" x14ac:dyDescent="0.15">
      <c r="A2615" s="2">
        <v>296427</v>
      </c>
      <c r="B2615" s="2" t="s">
        <v>81</v>
      </c>
      <c r="C2615" s="2">
        <v>2021</v>
      </c>
      <c r="D2615" s="2" t="s">
        <v>1</v>
      </c>
      <c r="E2615" s="2" t="s">
        <v>25</v>
      </c>
      <c r="F2615" s="2" t="s">
        <v>35</v>
      </c>
      <c r="G2615" s="7">
        <v>-0.47</v>
      </c>
      <c r="H2615" s="13">
        <f>IFERROR(IF(ABS($G2615)&gt;0,VLOOKUP($E2615,'Fuel Category and Heat Rate'!$B$1:$G$34,6,FALSE)*($G2615),""),"")</f>
        <v>-142315594003.86243</v>
      </c>
      <c r="I2615" t="str">
        <f>IFERROR(VLOOKUP($E2615,'Fuel Category and Heat Rate'!$K$2:$M$36,3,FALSE),"")</f>
        <v>heavy fuel oil</v>
      </c>
    </row>
    <row r="2616" spans="1:9" x14ac:dyDescent="0.15">
      <c r="A2616" s="2">
        <v>296462</v>
      </c>
      <c r="B2616" s="2" t="s">
        <v>81</v>
      </c>
      <c r="C2616" s="2">
        <v>2021</v>
      </c>
      <c r="D2616" s="2" t="s">
        <v>1</v>
      </c>
      <c r="E2616" s="2" t="s">
        <v>24</v>
      </c>
      <c r="F2616" s="2" t="s">
        <v>35</v>
      </c>
      <c r="G2616" s="7"/>
      <c r="H2616" s="13" t="str">
        <f>IFERROR(IF(ABS($G2616)&gt;0,VLOOKUP($E2616,'Fuel Category and Heat Rate'!$B$1:$G$34,6,FALSE)*($G2616),""),"")</f>
        <v/>
      </c>
      <c r="I2616" t="str">
        <f>IFERROR(VLOOKUP($E2616,'Fuel Category and Heat Rate'!$K$2:$M$36,3,FALSE),"")</f>
        <v>heavy fuel oil</v>
      </c>
    </row>
    <row r="2617" spans="1:9" x14ac:dyDescent="0.15">
      <c r="A2617" s="2">
        <v>296497</v>
      </c>
      <c r="B2617" s="2" t="s">
        <v>81</v>
      </c>
      <c r="C2617" s="2">
        <v>2021</v>
      </c>
      <c r="D2617" s="2" t="s">
        <v>1</v>
      </c>
      <c r="E2617" s="2" t="s">
        <v>29</v>
      </c>
      <c r="F2617" s="2" t="s">
        <v>36</v>
      </c>
      <c r="G2617" s="7">
        <v>-1.31</v>
      </c>
      <c r="H2617" s="13">
        <f>IFERROR(IF(ABS($G2617)&gt;0,VLOOKUP($E2617,'Fuel Category and Heat Rate'!$B$1:$G$34,6,FALSE)*($G2617),""),"")</f>
        <v>-4418315390602.3086</v>
      </c>
      <c r="I2617" t="str">
        <f>IFERROR(VLOOKUP($E2617,'Fuel Category and Heat Rate'!$K$2:$M$36,3,FALSE),"")</f>
        <v>natural gas</v>
      </c>
    </row>
    <row r="2618" spans="1:9" x14ac:dyDescent="0.15">
      <c r="A2618" s="2">
        <v>296532</v>
      </c>
      <c r="B2618" s="2" t="s">
        <v>81</v>
      </c>
      <c r="C2618" s="2">
        <v>2021</v>
      </c>
      <c r="D2618" s="2" t="s">
        <v>1</v>
      </c>
      <c r="E2618" s="2" t="s">
        <v>4</v>
      </c>
      <c r="F2618" s="2" t="s">
        <v>35</v>
      </c>
      <c r="G2618" s="7"/>
      <c r="H2618" s="13" t="str">
        <f>IFERROR(IF(ABS($G2618)&gt;0,VLOOKUP($E2618,'Fuel Category and Heat Rate'!$B$1:$G$34,6,FALSE)*($G2618),""),"")</f>
        <v/>
      </c>
      <c r="I2618" t="str">
        <f>IFERROR(VLOOKUP($E2618,'Fuel Category and Heat Rate'!$K$2:$M$36,3,FALSE),"")</f>
        <v>coal</v>
      </c>
    </row>
    <row r="2619" spans="1:9" x14ac:dyDescent="0.15">
      <c r="A2619" s="2">
        <v>296567</v>
      </c>
      <c r="B2619" s="2" t="s">
        <v>81</v>
      </c>
      <c r="C2619" s="2">
        <v>2021</v>
      </c>
      <c r="D2619" s="2" t="s">
        <v>1</v>
      </c>
      <c r="E2619" s="2" t="s">
        <v>6</v>
      </c>
      <c r="F2619" s="2" t="s">
        <v>35</v>
      </c>
      <c r="G2619" s="7">
        <v>-0.42</v>
      </c>
      <c r="H2619" s="13">
        <f>IFERROR(IF(ABS($G2619)&gt;0,VLOOKUP($E2619,'Fuel Category and Heat Rate'!$B$1:$G$34,6,FALSE)*($G2619),""),"")</f>
        <v>-61595412223.912125</v>
      </c>
      <c r="I2619" t="str">
        <f>IFERROR(VLOOKUP($E2619,'Fuel Category and Heat Rate'!$K$2:$M$36,3,FALSE),"")</f>
        <v>coal</v>
      </c>
    </row>
    <row r="2620" spans="1:9" x14ac:dyDescent="0.15">
      <c r="A2620" s="2">
        <v>296602</v>
      </c>
      <c r="B2620" s="2" t="s">
        <v>81</v>
      </c>
      <c r="C2620" s="2">
        <v>2021</v>
      </c>
      <c r="D2620" s="2" t="s">
        <v>1</v>
      </c>
      <c r="E2620" s="2" t="s">
        <v>26</v>
      </c>
      <c r="F2620" s="2" t="s">
        <v>35</v>
      </c>
      <c r="G2620" s="7">
        <v>-0.08</v>
      </c>
      <c r="H2620" s="13">
        <f>IFERROR(IF(ABS($G2620)&gt;0,VLOOKUP($E2620,'Fuel Category and Heat Rate'!$B$1:$G$34,6,FALSE)*($G2620),""),"")</f>
        <v>-38048412318.646454</v>
      </c>
      <c r="I2620" t="str">
        <f>IFERROR(VLOOKUP($E2620,'Fuel Category and Heat Rate'!$K$2:$M$36,3,FALSE),"")</f>
        <v>LPG propane or butane</v>
      </c>
    </row>
    <row r="2621" spans="1:9" x14ac:dyDescent="0.15">
      <c r="A2621" s="2">
        <v>296637</v>
      </c>
      <c r="B2621" s="2" t="s">
        <v>81</v>
      </c>
      <c r="C2621" s="2">
        <v>2021</v>
      </c>
      <c r="D2621" s="2" t="s">
        <v>1</v>
      </c>
      <c r="E2621" s="2" t="s">
        <v>30</v>
      </c>
      <c r="F2621" s="2" t="s">
        <v>35</v>
      </c>
      <c r="G2621" s="7">
        <v>-0.17</v>
      </c>
      <c r="H2621" s="13">
        <f>IFERROR(IF(ABS($G2621)&gt;0,VLOOKUP($E2621,'Fuel Category and Heat Rate'!$B$1:$G$34,6,FALSE)*($G2621),""),"")</f>
        <v>-82875044008.333801</v>
      </c>
      <c r="I2621" t="str">
        <f>IFERROR(VLOOKUP($E2621,'Fuel Category and Heat Rate'!$K$2:$M$36,3,FALSE),"")</f>
        <v>natural gas</v>
      </c>
    </row>
    <row r="2622" spans="1:9" x14ac:dyDescent="0.15">
      <c r="A2622" s="2">
        <v>296672</v>
      </c>
      <c r="B2622" s="2" t="s">
        <v>81</v>
      </c>
      <c r="C2622" s="2">
        <v>2021</v>
      </c>
      <c r="D2622" s="2" t="s">
        <v>1</v>
      </c>
      <c r="E2622" s="2" t="s">
        <v>14</v>
      </c>
      <c r="F2622" s="2" t="s">
        <v>35</v>
      </c>
      <c r="G2622" s="7">
        <v>-26.74</v>
      </c>
      <c r="H2622" s="13">
        <f>IFERROR(IF(ABS($G2622)&gt;0,VLOOKUP($E2622,'Fuel Category and Heat Rate'!$B$1:$G$34,6,FALSE)*($G2622),""),"")</f>
        <v>0</v>
      </c>
      <c r="I2622" t="str">
        <f>IFERROR(VLOOKUP($E2622,'Fuel Category and Heat Rate'!$K$2:$M$36,3,FALSE),"")</f>
        <v/>
      </c>
    </row>
    <row r="2623" spans="1:9" x14ac:dyDescent="0.15">
      <c r="A2623" s="2">
        <v>296707</v>
      </c>
      <c r="B2623" s="2" t="s">
        <v>81</v>
      </c>
      <c r="C2623" s="2">
        <v>2021</v>
      </c>
      <c r="D2623" s="2" t="s">
        <v>1</v>
      </c>
      <c r="E2623" s="2" t="s">
        <v>3</v>
      </c>
      <c r="F2623" s="2" t="s">
        <v>35</v>
      </c>
      <c r="G2623" s="7">
        <v>-4809.6499999999996</v>
      </c>
      <c r="H2623" s="13">
        <f>IFERROR(IF(ABS($G2623)&gt;0,VLOOKUP($E2623,'Fuel Category and Heat Rate'!$B$1:$G$34,6,FALSE)*($G2623),""),"")</f>
        <v>-953126435913321.5</v>
      </c>
      <c r="I2623" t="str">
        <f>IFERROR(VLOOKUP($E2623,'Fuel Category and Heat Rate'!$K$2:$M$36,3,FALSE),"")</f>
        <v>coal</v>
      </c>
    </row>
    <row r="2624" spans="1:9" x14ac:dyDescent="0.15">
      <c r="A2624" s="2">
        <v>296742</v>
      </c>
      <c r="B2624" s="2" t="s">
        <v>81</v>
      </c>
      <c r="C2624" s="2">
        <v>2021</v>
      </c>
      <c r="D2624" s="2" t="s">
        <v>1</v>
      </c>
      <c r="E2624" s="2" t="s">
        <v>15</v>
      </c>
      <c r="F2624" s="2" t="s">
        <v>35</v>
      </c>
      <c r="G2624" s="7"/>
      <c r="H2624" s="13" t="str">
        <f>IFERROR(IF(ABS($G2624)&gt;0,VLOOKUP($E2624,'Fuel Category and Heat Rate'!$B$1:$G$34,6,FALSE)*($G2624),""),"")</f>
        <v/>
      </c>
      <c r="I2624" t="str">
        <f>IFERROR(VLOOKUP($E2624,'Fuel Category and Heat Rate'!$K$2:$M$36,3,FALSE),"")</f>
        <v>crude oil</v>
      </c>
    </row>
    <row r="2625" spans="1:9" x14ac:dyDescent="0.15">
      <c r="A2625" s="2">
        <v>296777</v>
      </c>
      <c r="B2625" s="2" t="s">
        <v>81</v>
      </c>
      <c r="C2625" s="2">
        <v>2021</v>
      </c>
      <c r="D2625" s="2" t="s">
        <v>1</v>
      </c>
      <c r="E2625" s="2" t="s">
        <v>11</v>
      </c>
      <c r="F2625" s="2" t="s">
        <v>36</v>
      </c>
      <c r="G2625" s="7">
        <v>-5.49</v>
      </c>
      <c r="H2625" s="13">
        <f>IFERROR(IF(ABS($G2625)&gt;0,VLOOKUP($E2625,'Fuel Category and Heat Rate'!$B$1:$G$34,6,FALSE)*($G2625),""),"")</f>
        <v>-4134193464734.5923</v>
      </c>
      <c r="I2625" t="str">
        <f>IFERROR(VLOOKUP($E2625,'Fuel Category and Heat Rate'!$K$2:$M$36,3,FALSE),"")</f>
        <v>LPG propane or butane</v>
      </c>
    </row>
    <row r="2626" spans="1:9" x14ac:dyDescent="0.15">
      <c r="A2626" s="2">
        <v>296812</v>
      </c>
      <c r="B2626" s="2" t="s">
        <v>81</v>
      </c>
      <c r="C2626" s="2">
        <v>2020</v>
      </c>
      <c r="D2626" s="2" t="s">
        <v>1</v>
      </c>
      <c r="E2626" s="2" t="s">
        <v>18</v>
      </c>
      <c r="F2626" s="2" t="s">
        <v>35</v>
      </c>
      <c r="G2626" s="7">
        <v>-0.15</v>
      </c>
      <c r="H2626" s="13">
        <f>IFERROR(IF(ABS($G2626)&gt;0,VLOOKUP($E2626,'Fuel Category and Heat Rate'!$B$1:$G$34,6,FALSE)*($G2626),""),"")</f>
        <v>-60639443873.990173</v>
      </c>
      <c r="I2626" t="str">
        <f>IFERROR(VLOOKUP($E2626,'Fuel Category and Heat Rate'!$K$2:$M$36,3,FALSE),"")</f>
        <v>petroleum diesel</v>
      </c>
    </row>
    <row r="2627" spans="1:9" x14ac:dyDescent="0.15">
      <c r="A2627" s="2">
        <v>296847</v>
      </c>
      <c r="B2627" s="2" t="s">
        <v>81</v>
      </c>
      <c r="C2627" s="2">
        <v>2020</v>
      </c>
      <c r="D2627" s="2" t="s">
        <v>1</v>
      </c>
      <c r="E2627" s="2" t="s">
        <v>32</v>
      </c>
      <c r="F2627" s="2" t="s">
        <v>65</v>
      </c>
      <c r="G2627" s="7">
        <v>-6.85</v>
      </c>
      <c r="H2627" s="13">
        <f>IFERROR(IF(ABS($G2627)&gt;0,VLOOKUP($E2627,'Fuel Category and Heat Rate'!$B$1:$G$34,6,FALSE)*($G2627),""),"")</f>
        <v>-2337317024496.855</v>
      </c>
      <c r="I2627" t="str">
        <f>IFERROR(VLOOKUP($E2627,'Fuel Category and Heat Rate'!$K$2:$M$36,3,FALSE),"")</f>
        <v>electricity</v>
      </c>
    </row>
    <row r="2628" spans="1:9" x14ac:dyDescent="0.15">
      <c r="A2628" s="2">
        <v>296882</v>
      </c>
      <c r="B2628" s="2" t="s">
        <v>81</v>
      </c>
      <c r="C2628" s="2">
        <v>2020</v>
      </c>
      <c r="D2628" s="2" t="s">
        <v>1</v>
      </c>
      <c r="E2628" s="2" t="s">
        <v>10</v>
      </c>
      <c r="F2628" s="2" t="s">
        <v>36</v>
      </c>
      <c r="G2628" s="7">
        <v>-71.06</v>
      </c>
      <c r="H2628" s="13">
        <f>IFERROR(IF(ABS($G2628)&gt;0,VLOOKUP($E2628,'Fuel Category and Heat Rate'!$B$1:$G$34,6,FALSE)*($G2628),""),"")</f>
        <v>-25344514226426.973</v>
      </c>
      <c r="I2628" t="str">
        <f>IFERROR(VLOOKUP($E2628,'Fuel Category and Heat Rate'!$K$2:$M$36,3,FALSE),"")</f>
        <v>LPG propane or butane</v>
      </c>
    </row>
    <row r="2629" spans="1:9" x14ac:dyDescent="0.15">
      <c r="A2629" s="2">
        <v>296917</v>
      </c>
      <c r="B2629" s="2" t="s">
        <v>81</v>
      </c>
      <c r="C2629" s="2">
        <v>2020</v>
      </c>
      <c r="D2629" s="2" t="s">
        <v>1</v>
      </c>
      <c r="E2629" s="2" t="s">
        <v>9</v>
      </c>
      <c r="F2629" s="2" t="s">
        <v>36</v>
      </c>
      <c r="G2629" s="7">
        <v>-7.15</v>
      </c>
      <c r="H2629" s="13">
        <f>IFERROR(IF(ABS($G2629)&gt;0,VLOOKUP($E2629,'Fuel Category and Heat Rate'!$B$1:$G$34,6,FALSE)*($G2629),""),"")</f>
        <v>-11760280273314.443</v>
      </c>
      <c r="I2629" t="str">
        <f>IFERROR(VLOOKUP($E2629,'Fuel Category and Heat Rate'!$K$2:$M$36,3,FALSE),"")</f>
        <v>LPG propane or butane</v>
      </c>
    </row>
    <row r="2630" spans="1:9" x14ac:dyDescent="0.15">
      <c r="A2630" s="2">
        <v>296952</v>
      </c>
      <c r="B2630" s="2" t="s">
        <v>81</v>
      </c>
      <c r="C2630" s="2">
        <v>2020</v>
      </c>
      <c r="D2630" s="2" t="s">
        <v>1</v>
      </c>
      <c r="E2630" s="2" t="s">
        <v>8</v>
      </c>
      <c r="F2630" s="2" t="s">
        <v>35</v>
      </c>
      <c r="G2630" s="7"/>
      <c r="H2630" s="13" t="str">
        <f>IFERROR(IF(ABS($G2630)&gt;0,VLOOKUP($E2630,'Fuel Category and Heat Rate'!$B$1:$G$34,6,FALSE)*($G2630),""),"")</f>
        <v/>
      </c>
      <c r="I2630" t="str">
        <f>IFERROR(VLOOKUP($E2630,'Fuel Category and Heat Rate'!$K$2:$M$36,3,FALSE),"")</f>
        <v>coal</v>
      </c>
    </row>
    <row r="2631" spans="1:9" x14ac:dyDescent="0.15">
      <c r="A2631" s="2">
        <v>296987</v>
      </c>
      <c r="B2631" s="2" t="s">
        <v>81</v>
      </c>
      <c r="C2631" s="2">
        <v>2020</v>
      </c>
      <c r="D2631" s="2" t="s">
        <v>1</v>
      </c>
      <c r="E2631" s="2" t="s">
        <v>27</v>
      </c>
      <c r="F2631" s="2" t="s">
        <v>35</v>
      </c>
      <c r="G2631" s="7">
        <v>-5.63</v>
      </c>
      <c r="H2631" s="13">
        <f>IFERROR(IF(ABS($G2631)&gt;0,VLOOKUP($E2631,'Fuel Category and Heat Rate'!$B$1:$G$34,6,FALSE)*($G2631),""),"")</f>
        <v>-2454550060075.019</v>
      </c>
      <c r="I2631" t="str">
        <f>IFERROR(VLOOKUP($E2631,'Fuel Category and Heat Rate'!$K$2:$M$36,3,FALSE),"")</f>
        <v>LPG propane or butane</v>
      </c>
    </row>
    <row r="2632" spans="1:9" x14ac:dyDescent="0.15">
      <c r="A2632" s="2">
        <v>297022</v>
      </c>
      <c r="B2632" s="2" t="s">
        <v>81</v>
      </c>
      <c r="C2632" s="2">
        <v>2020</v>
      </c>
      <c r="D2632" s="2" t="s">
        <v>1</v>
      </c>
      <c r="E2632" s="2" t="s">
        <v>7</v>
      </c>
      <c r="F2632" s="2" t="s">
        <v>35</v>
      </c>
      <c r="G2632" s="7">
        <v>-28.13</v>
      </c>
      <c r="H2632" s="13">
        <f>IFERROR(IF(ABS($G2632)&gt;0,VLOOKUP($E2632,'Fuel Category and Heat Rate'!$B$1:$G$34,6,FALSE)*($G2632),""),"")</f>
        <v>-2232683890620.5771</v>
      </c>
      <c r="I2632" t="str">
        <f>IFERROR(VLOOKUP($E2632,'Fuel Category and Heat Rate'!$K$2:$M$36,3,FALSE),"")</f>
        <v>coal</v>
      </c>
    </row>
    <row r="2633" spans="1:9" x14ac:dyDescent="0.15">
      <c r="A2633" s="2">
        <v>297057</v>
      </c>
      <c r="B2633" s="2" t="s">
        <v>81</v>
      </c>
      <c r="C2633" s="2">
        <v>2020</v>
      </c>
      <c r="D2633" s="2" t="s">
        <v>1</v>
      </c>
      <c r="E2633" s="2" t="s">
        <v>2</v>
      </c>
      <c r="F2633" s="2" t="s">
        <v>35</v>
      </c>
      <c r="G2633" s="7">
        <v>-4675.32</v>
      </c>
      <c r="H2633" s="13">
        <f>IFERROR(IF(ABS($G2633)&gt;0,VLOOKUP($E2633,'Fuel Category and Heat Rate'!$B$1:$G$34,6,FALSE)*($G2633),""),"")</f>
        <v>0</v>
      </c>
      <c r="I2633" t="str">
        <f>IFERROR(VLOOKUP($E2633,'Fuel Category and Heat Rate'!$K$2:$M$36,3,FALSE),"")</f>
        <v/>
      </c>
    </row>
    <row r="2634" spans="1:9" x14ac:dyDescent="0.15">
      <c r="A2634" s="2">
        <v>297092</v>
      </c>
      <c r="B2634" s="2" t="s">
        <v>81</v>
      </c>
      <c r="C2634" s="2">
        <v>2020</v>
      </c>
      <c r="D2634" s="2" t="s">
        <v>1</v>
      </c>
      <c r="E2634" s="2" t="s">
        <v>17</v>
      </c>
      <c r="F2634" s="2" t="s">
        <v>35</v>
      </c>
      <c r="G2634" s="7"/>
      <c r="H2634" s="13" t="str">
        <f>IFERROR(IF(ABS($G2634)&gt;0,VLOOKUP($E2634,'Fuel Category and Heat Rate'!$B$1:$G$34,6,FALSE)*($G2634),""),"")</f>
        <v/>
      </c>
      <c r="I2634" t="str">
        <f>IFERROR(VLOOKUP($E2634,'Fuel Category and Heat Rate'!$K$2:$M$36,3,FALSE),"")</f>
        <v>petroleum diesel</v>
      </c>
    </row>
    <row r="2635" spans="1:9" x14ac:dyDescent="0.15">
      <c r="A2635" s="2">
        <v>297127</v>
      </c>
      <c r="B2635" s="2" t="s">
        <v>81</v>
      </c>
      <c r="C2635" s="2">
        <v>2020</v>
      </c>
      <c r="D2635" s="2" t="s">
        <v>1</v>
      </c>
      <c r="E2635" s="2" t="s">
        <v>13</v>
      </c>
      <c r="F2635" s="2" t="s">
        <v>35</v>
      </c>
      <c r="G2635" s="7"/>
      <c r="H2635" s="13" t="str">
        <f>IFERROR(IF(ABS($G2635)&gt;0,VLOOKUP($E2635,'Fuel Category and Heat Rate'!$B$1:$G$34,6,FALSE)*($G2635),""),"")</f>
        <v/>
      </c>
      <c r="I2635" t="str">
        <f>IFERROR(VLOOKUP($E2635,'Fuel Category and Heat Rate'!$K$2:$M$36,3,FALSE),"")</f>
        <v>petroleum diesel</v>
      </c>
    </row>
    <row r="2636" spans="1:9" x14ac:dyDescent="0.15">
      <c r="A2636" s="2">
        <v>297162</v>
      </c>
      <c r="B2636" s="2" t="s">
        <v>81</v>
      </c>
      <c r="C2636" s="2">
        <v>2020</v>
      </c>
      <c r="D2636" s="2" t="s">
        <v>1</v>
      </c>
      <c r="E2636" s="2" t="s">
        <v>12</v>
      </c>
      <c r="F2636" s="2" t="s">
        <v>36</v>
      </c>
      <c r="G2636" s="7"/>
      <c r="H2636" s="13" t="str">
        <f>IFERROR(IF(ABS($G2636)&gt;0,VLOOKUP($E2636,'Fuel Category and Heat Rate'!$B$1:$G$34,6,FALSE)*($G2636),""),"")</f>
        <v/>
      </c>
      <c r="I2636" t="str">
        <f>IFERROR(VLOOKUP($E2636,'Fuel Category and Heat Rate'!$K$2:$M$36,3,FALSE),"")</f>
        <v>LPG propane or butane</v>
      </c>
    </row>
    <row r="2637" spans="1:9" x14ac:dyDescent="0.15">
      <c r="A2637" s="2">
        <v>297197</v>
      </c>
      <c r="B2637" s="2" t="s">
        <v>81</v>
      </c>
      <c r="C2637" s="2">
        <v>2020</v>
      </c>
      <c r="D2637" s="2" t="s">
        <v>1</v>
      </c>
      <c r="E2637" s="2" t="s">
        <v>33</v>
      </c>
      <c r="F2637" s="2" t="s">
        <v>38</v>
      </c>
      <c r="G2637" s="7">
        <v>-3.86</v>
      </c>
      <c r="H2637" s="13">
        <f>IFERROR(IF(ABS($G2637)&gt;0,VLOOKUP($E2637,'Fuel Category and Heat Rate'!$B$1:$G$34,6,FALSE)*($G2637),""),"")</f>
        <v>-1070901222906.8252</v>
      </c>
      <c r="I2637" t="str">
        <f>IFERROR(VLOOKUP($E2637,'Fuel Category and Heat Rate'!$K$2:$M$36,3,FALSE),"")</f>
        <v>biomass</v>
      </c>
    </row>
    <row r="2638" spans="1:9" x14ac:dyDescent="0.15">
      <c r="A2638" s="2">
        <v>297232</v>
      </c>
      <c r="B2638" s="2" t="s">
        <v>81</v>
      </c>
      <c r="C2638" s="2">
        <v>2020</v>
      </c>
      <c r="D2638" s="2" t="s">
        <v>1</v>
      </c>
      <c r="E2638" s="2" t="s">
        <v>28</v>
      </c>
      <c r="F2638" s="2" t="s">
        <v>35</v>
      </c>
      <c r="G2638" s="7"/>
      <c r="H2638" s="13" t="str">
        <f>IFERROR(IF(ABS($G2638)&gt;0,VLOOKUP($E2638,'Fuel Category and Heat Rate'!$B$1:$G$34,6,FALSE)*($G2638),""),"")</f>
        <v/>
      </c>
      <c r="I2638" t="str">
        <f>IFERROR(VLOOKUP($E2638,'Fuel Category and Heat Rate'!$K$2:$M$36,3,FALSE),"")</f>
        <v>heavy or residual fuel oil</v>
      </c>
    </row>
    <row r="2639" spans="1:9" x14ac:dyDescent="0.15">
      <c r="A2639" s="2">
        <v>297267</v>
      </c>
      <c r="B2639" s="2" t="s">
        <v>81</v>
      </c>
      <c r="C2639" s="2">
        <v>2020</v>
      </c>
      <c r="D2639" s="2" t="s">
        <v>1</v>
      </c>
      <c r="E2639" s="2" t="s">
        <v>5</v>
      </c>
      <c r="F2639" s="2" t="s">
        <v>35</v>
      </c>
      <c r="G2639" s="7">
        <v>-46.13</v>
      </c>
      <c r="H2639" s="13">
        <f>IFERROR(IF(ABS($G2639)&gt;0,VLOOKUP($E2639,'Fuel Category and Heat Rate'!$B$1:$G$34,6,FALSE)*($G2639),""),"")</f>
        <v>-3656538087533.4702</v>
      </c>
      <c r="I2639" t="str">
        <f>IFERROR(VLOOKUP($E2639,'Fuel Category and Heat Rate'!$K$2:$M$36,3,FALSE),"")</f>
        <v>coal</v>
      </c>
    </row>
    <row r="2640" spans="1:9" x14ac:dyDescent="0.15">
      <c r="A2640" s="2">
        <v>297302</v>
      </c>
      <c r="B2640" s="2" t="s">
        <v>81</v>
      </c>
      <c r="C2640" s="2">
        <v>2020</v>
      </c>
      <c r="D2640" s="2" t="s">
        <v>1</v>
      </c>
      <c r="E2640" s="2" t="s">
        <v>16</v>
      </c>
      <c r="F2640" s="2" t="s">
        <v>35</v>
      </c>
      <c r="G2640" s="7"/>
      <c r="H2640" s="13" t="str">
        <f>IFERROR(IF(ABS($G2640)&gt;0,VLOOKUP($E2640,'Fuel Category and Heat Rate'!$B$1:$G$34,6,FALSE)*($G2640),""),"")</f>
        <v/>
      </c>
      <c r="I2640" t="str">
        <f>IFERROR(VLOOKUP($E2640,'Fuel Category and Heat Rate'!$K$2:$M$36,3,FALSE),"")</f>
        <v>petroleum diesel</v>
      </c>
    </row>
    <row r="2641" spans="1:9" x14ac:dyDescent="0.15">
      <c r="A2641" s="2">
        <v>297337</v>
      </c>
      <c r="B2641" s="2" t="s">
        <v>81</v>
      </c>
      <c r="C2641" s="2">
        <v>2020</v>
      </c>
      <c r="D2641" s="2" t="s">
        <v>1</v>
      </c>
      <c r="E2641" s="2" t="s">
        <v>19</v>
      </c>
      <c r="F2641" s="2" t="s">
        <v>35</v>
      </c>
      <c r="G2641" s="7">
        <v>-18.61</v>
      </c>
      <c r="H2641" s="13">
        <f>IFERROR(IF(ABS($G2641)&gt;0,VLOOKUP($E2641,'Fuel Category and Heat Rate'!$B$1:$G$34,6,FALSE)*($G2641),""),"")</f>
        <v>-7375872661148.6963</v>
      </c>
      <c r="I2641" t="str">
        <f>IFERROR(VLOOKUP($E2641,'Fuel Category and Heat Rate'!$K$2:$M$36,3,FALSE),"")</f>
        <v>heavy or residual fuel oil</v>
      </c>
    </row>
    <row r="2642" spans="1:9" x14ac:dyDescent="0.15">
      <c r="A2642" s="2">
        <v>297372</v>
      </c>
      <c r="B2642" s="2" t="s">
        <v>81</v>
      </c>
      <c r="C2642" s="2">
        <v>2020</v>
      </c>
      <c r="D2642" s="2" t="s">
        <v>1</v>
      </c>
      <c r="E2642" s="2" t="s">
        <v>31</v>
      </c>
      <c r="F2642" s="2" t="s">
        <v>37</v>
      </c>
      <c r="G2642" s="7">
        <v>70493.03</v>
      </c>
      <c r="H2642" s="13">
        <f>IFERROR(IF(ABS($G2642)&gt;0,VLOOKUP($E2642,'Fuel Category and Heat Rate'!$B$1:$G$34,6,FALSE)*($G2642),""),"")</f>
        <v>668145008626794.5</v>
      </c>
      <c r="I2642" t="str">
        <f>IFERROR(VLOOKUP($E2642,'Fuel Category and Heat Rate'!$K$2:$M$36,3,FALSE),"")</f>
        <v>heat</v>
      </c>
    </row>
    <row r="2643" spans="1:9" x14ac:dyDescent="0.15">
      <c r="A2643" s="2">
        <v>297407</v>
      </c>
      <c r="B2643" s="2" t="s">
        <v>81</v>
      </c>
      <c r="C2643" s="2">
        <v>2020</v>
      </c>
      <c r="D2643" s="2" t="s">
        <v>1</v>
      </c>
      <c r="E2643" s="2" t="s">
        <v>23</v>
      </c>
      <c r="F2643" s="2" t="s">
        <v>35</v>
      </c>
      <c r="G2643" s="7"/>
      <c r="H2643" s="13" t="str">
        <f>IFERROR(IF(ABS($G2643)&gt;0,VLOOKUP($E2643,'Fuel Category and Heat Rate'!$B$1:$G$34,6,FALSE)*($G2643),""),"")</f>
        <v/>
      </c>
      <c r="I2643" t="str">
        <f>IFERROR(VLOOKUP($E2643,'Fuel Category and Heat Rate'!$K$2:$M$36,3,FALSE),"")</f>
        <v>heavy or residual fuel oil</v>
      </c>
    </row>
    <row r="2644" spans="1:9" x14ac:dyDescent="0.15">
      <c r="A2644" s="2">
        <v>297442</v>
      </c>
      <c r="B2644" s="2" t="s">
        <v>81</v>
      </c>
      <c r="C2644" s="2">
        <v>2020</v>
      </c>
      <c r="D2644" s="2" t="s">
        <v>1</v>
      </c>
      <c r="E2644" s="2" t="s">
        <v>21</v>
      </c>
      <c r="F2644" s="2" t="s">
        <v>35</v>
      </c>
      <c r="G2644" s="7"/>
      <c r="H2644" s="13" t="str">
        <f>IFERROR(IF(ABS($G2644)&gt;0,VLOOKUP($E2644,'Fuel Category and Heat Rate'!$B$1:$G$34,6,FALSE)*($G2644),""),"")</f>
        <v/>
      </c>
      <c r="I2644" t="str">
        <f>IFERROR(VLOOKUP($E2644,'Fuel Category and Heat Rate'!$K$2:$M$36,3,FALSE),"")</f>
        <v>LPG propane or butane</v>
      </c>
    </row>
    <row r="2645" spans="1:9" x14ac:dyDescent="0.15">
      <c r="A2645" s="2">
        <v>297477</v>
      </c>
      <c r="B2645" s="2" t="s">
        <v>81</v>
      </c>
      <c r="C2645" s="2">
        <v>2020</v>
      </c>
      <c r="D2645" s="2" t="s">
        <v>1</v>
      </c>
      <c r="E2645" s="2" t="s">
        <v>22</v>
      </c>
      <c r="F2645" s="2" t="s">
        <v>35</v>
      </c>
      <c r="G2645" s="7"/>
      <c r="H2645" s="13" t="str">
        <f>IFERROR(IF(ABS($G2645)&gt;0,VLOOKUP($E2645,'Fuel Category and Heat Rate'!$B$1:$G$34,6,FALSE)*($G2645),""),"")</f>
        <v/>
      </c>
      <c r="I2645" t="str">
        <f>IFERROR(VLOOKUP($E2645,'Fuel Category and Heat Rate'!$K$2:$M$36,3,FALSE),"")</f>
        <v>heavy fuel oil</v>
      </c>
    </row>
    <row r="2646" spans="1:9" x14ac:dyDescent="0.15">
      <c r="A2646" s="2">
        <v>297512</v>
      </c>
      <c r="B2646" s="2" t="s">
        <v>81</v>
      </c>
      <c r="C2646" s="2">
        <v>2020</v>
      </c>
      <c r="D2646" s="2" t="s">
        <v>1</v>
      </c>
      <c r="E2646" s="2" t="s">
        <v>20</v>
      </c>
      <c r="F2646" s="2" t="s">
        <v>35</v>
      </c>
      <c r="G2646" s="7"/>
      <c r="H2646" s="13" t="str">
        <f>IFERROR(IF(ABS($G2646)&gt;0,VLOOKUP($E2646,'Fuel Category and Heat Rate'!$B$1:$G$34,6,FALSE)*($G2646),""),"")</f>
        <v/>
      </c>
      <c r="I2646" t="str">
        <f>IFERROR(VLOOKUP($E2646,'Fuel Category and Heat Rate'!$K$2:$M$36,3,FALSE),"")</f>
        <v>LPG propane or butane</v>
      </c>
    </row>
    <row r="2647" spans="1:9" x14ac:dyDescent="0.15">
      <c r="A2647" s="2">
        <v>297547</v>
      </c>
      <c r="B2647" s="2" t="s">
        <v>81</v>
      </c>
      <c r="C2647" s="2">
        <v>2020</v>
      </c>
      <c r="D2647" s="2" t="s">
        <v>1</v>
      </c>
      <c r="E2647" s="2" t="s">
        <v>25</v>
      </c>
      <c r="F2647" s="2" t="s">
        <v>35</v>
      </c>
      <c r="G2647" s="7">
        <v>-0.6</v>
      </c>
      <c r="H2647" s="13">
        <f>IFERROR(IF(ABS($G2647)&gt;0,VLOOKUP($E2647,'Fuel Category and Heat Rate'!$B$1:$G$34,6,FALSE)*($G2647),""),"")</f>
        <v>-181679481707.05844</v>
      </c>
      <c r="I2647" t="str">
        <f>IFERROR(VLOOKUP($E2647,'Fuel Category and Heat Rate'!$K$2:$M$36,3,FALSE),"")</f>
        <v>heavy fuel oil</v>
      </c>
    </row>
    <row r="2648" spans="1:9" x14ac:dyDescent="0.15">
      <c r="A2648" s="2">
        <v>297582</v>
      </c>
      <c r="B2648" s="2" t="s">
        <v>81</v>
      </c>
      <c r="C2648" s="2">
        <v>2020</v>
      </c>
      <c r="D2648" s="2" t="s">
        <v>1</v>
      </c>
      <c r="E2648" s="2" t="s">
        <v>24</v>
      </c>
      <c r="F2648" s="2" t="s">
        <v>35</v>
      </c>
      <c r="G2648" s="7"/>
      <c r="H2648" s="13" t="str">
        <f>IFERROR(IF(ABS($G2648)&gt;0,VLOOKUP($E2648,'Fuel Category and Heat Rate'!$B$1:$G$34,6,FALSE)*($G2648),""),"")</f>
        <v/>
      </c>
      <c r="I2648" t="str">
        <f>IFERROR(VLOOKUP($E2648,'Fuel Category and Heat Rate'!$K$2:$M$36,3,FALSE),"")</f>
        <v>heavy fuel oil</v>
      </c>
    </row>
    <row r="2649" spans="1:9" x14ac:dyDescent="0.15">
      <c r="A2649" s="2">
        <v>297617</v>
      </c>
      <c r="B2649" s="2" t="s">
        <v>81</v>
      </c>
      <c r="C2649" s="2">
        <v>2020</v>
      </c>
      <c r="D2649" s="2" t="s">
        <v>1</v>
      </c>
      <c r="E2649" s="2" t="s">
        <v>29</v>
      </c>
      <c r="F2649" s="2" t="s">
        <v>36</v>
      </c>
      <c r="G2649" s="7">
        <v>-1.29</v>
      </c>
      <c r="H2649" s="13">
        <f>IFERROR(IF(ABS($G2649)&gt;0,VLOOKUP($E2649,'Fuel Category and Heat Rate'!$B$1:$G$34,6,FALSE)*($G2649),""),"")</f>
        <v>-4350860193799.2192</v>
      </c>
      <c r="I2649" t="str">
        <f>IFERROR(VLOOKUP($E2649,'Fuel Category and Heat Rate'!$K$2:$M$36,3,FALSE),"")</f>
        <v>natural gas</v>
      </c>
    </row>
    <row r="2650" spans="1:9" x14ac:dyDescent="0.15">
      <c r="A2650" s="2">
        <v>297652</v>
      </c>
      <c r="B2650" s="2" t="s">
        <v>81</v>
      </c>
      <c r="C2650" s="2">
        <v>2020</v>
      </c>
      <c r="D2650" s="2" t="s">
        <v>1</v>
      </c>
      <c r="E2650" s="2" t="s">
        <v>4</v>
      </c>
      <c r="F2650" s="2" t="s">
        <v>35</v>
      </c>
      <c r="G2650" s="7"/>
      <c r="H2650" s="13" t="str">
        <f>IFERROR(IF(ABS($G2650)&gt;0,VLOOKUP($E2650,'Fuel Category and Heat Rate'!$B$1:$G$34,6,FALSE)*($G2650),""),"")</f>
        <v/>
      </c>
      <c r="I2650" t="str">
        <f>IFERROR(VLOOKUP($E2650,'Fuel Category and Heat Rate'!$K$2:$M$36,3,FALSE),"")</f>
        <v>coal</v>
      </c>
    </row>
    <row r="2651" spans="1:9" x14ac:dyDescent="0.15">
      <c r="A2651" s="2">
        <v>297687</v>
      </c>
      <c r="B2651" s="2" t="s">
        <v>81</v>
      </c>
      <c r="C2651" s="2">
        <v>2020</v>
      </c>
      <c r="D2651" s="2" t="s">
        <v>1</v>
      </c>
      <c r="E2651" s="2" t="s">
        <v>6</v>
      </c>
      <c r="F2651" s="2" t="s">
        <v>35</v>
      </c>
      <c r="G2651" s="7">
        <v>-0.3</v>
      </c>
      <c r="H2651" s="13">
        <f>IFERROR(IF(ABS($G2651)&gt;0,VLOOKUP($E2651,'Fuel Category and Heat Rate'!$B$1:$G$34,6,FALSE)*($G2651),""),"")</f>
        <v>-43996723017.080086</v>
      </c>
      <c r="I2651" t="str">
        <f>IFERROR(VLOOKUP($E2651,'Fuel Category and Heat Rate'!$K$2:$M$36,3,FALSE),"")</f>
        <v>coal</v>
      </c>
    </row>
    <row r="2652" spans="1:9" x14ac:dyDescent="0.15">
      <c r="A2652" s="2">
        <v>297722</v>
      </c>
      <c r="B2652" s="2" t="s">
        <v>81</v>
      </c>
      <c r="C2652" s="2">
        <v>2020</v>
      </c>
      <c r="D2652" s="2" t="s">
        <v>1</v>
      </c>
      <c r="E2652" s="2" t="s">
        <v>26</v>
      </c>
      <c r="F2652" s="2" t="s">
        <v>35</v>
      </c>
      <c r="G2652" s="7">
        <v>-0.05</v>
      </c>
      <c r="H2652" s="13">
        <f>IFERROR(IF(ABS($G2652)&gt;0,VLOOKUP($E2652,'Fuel Category and Heat Rate'!$B$1:$G$34,6,FALSE)*($G2652),""),"")</f>
        <v>-23780257699.154034</v>
      </c>
      <c r="I2652" t="str">
        <f>IFERROR(VLOOKUP($E2652,'Fuel Category and Heat Rate'!$K$2:$M$36,3,FALSE),"")</f>
        <v>LPG propane or butane</v>
      </c>
    </row>
    <row r="2653" spans="1:9" x14ac:dyDescent="0.15">
      <c r="A2653" s="2">
        <v>297757</v>
      </c>
      <c r="B2653" s="2" t="s">
        <v>81</v>
      </c>
      <c r="C2653" s="2">
        <v>2020</v>
      </c>
      <c r="D2653" s="2" t="s">
        <v>1</v>
      </c>
      <c r="E2653" s="2" t="s">
        <v>30</v>
      </c>
      <c r="F2653" s="2" t="s">
        <v>35</v>
      </c>
      <c r="G2653" s="7">
        <v>-0.09</v>
      </c>
      <c r="H2653" s="13">
        <f>IFERROR(IF(ABS($G2653)&gt;0,VLOOKUP($E2653,'Fuel Category and Heat Rate'!$B$1:$G$34,6,FALSE)*($G2653),""),"")</f>
        <v>-43875023298.529648</v>
      </c>
      <c r="I2653" t="str">
        <f>IFERROR(VLOOKUP($E2653,'Fuel Category and Heat Rate'!$K$2:$M$36,3,FALSE),"")</f>
        <v>natural gas</v>
      </c>
    </row>
    <row r="2654" spans="1:9" x14ac:dyDescent="0.15">
      <c r="A2654" s="2">
        <v>297792</v>
      </c>
      <c r="B2654" s="2" t="s">
        <v>81</v>
      </c>
      <c r="C2654" s="2">
        <v>2020</v>
      </c>
      <c r="D2654" s="2" t="s">
        <v>1</v>
      </c>
      <c r="E2654" s="2" t="s">
        <v>14</v>
      </c>
      <c r="F2654" s="2" t="s">
        <v>35</v>
      </c>
      <c r="G2654" s="7">
        <v>-25.04</v>
      </c>
      <c r="H2654" s="13">
        <f>IFERROR(IF(ABS($G2654)&gt;0,VLOOKUP($E2654,'Fuel Category and Heat Rate'!$B$1:$G$34,6,FALSE)*($G2654),""),"")</f>
        <v>0</v>
      </c>
      <c r="I2654" t="str">
        <f>IFERROR(VLOOKUP($E2654,'Fuel Category and Heat Rate'!$K$2:$M$36,3,FALSE),"")</f>
        <v/>
      </c>
    </row>
    <row r="2655" spans="1:9" x14ac:dyDescent="0.15">
      <c r="A2655" s="2">
        <v>297827</v>
      </c>
      <c r="B2655" s="2" t="s">
        <v>81</v>
      </c>
      <c r="C2655" s="2">
        <v>2020</v>
      </c>
      <c r="D2655" s="2" t="s">
        <v>1</v>
      </c>
      <c r="E2655" s="2" t="s">
        <v>3</v>
      </c>
      <c r="F2655" s="2" t="s">
        <v>35</v>
      </c>
      <c r="G2655" s="7">
        <v>-4628.8900000000003</v>
      </c>
      <c r="H2655" s="13">
        <f>IFERROR(IF(ABS($G2655)&gt;0,VLOOKUP($E2655,'Fuel Category and Heat Rate'!$B$1:$G$34,6,FALSE)*($G2655),""),"")</f>
        <v>-917305298292976.75</v>
      </c>
      <c r="I2655" t="str">
        <f>IFERROR(VLOOKUP($E2655,'Fuel Category and Heat Rate'!$K$2:$M$36,3,FALSE),"")</f>
        <v>coal</v>
      </c>
    </row>
    <row r="2656" spans="1:9" x14ac:dyDescent="0.15">
      <c r="A2656" s="2">
        <v>297862</v>
      </c>
      <c r="B2656" s="2" t="s">
        <v>81</v>
      </c>
      <c r="C2656" s="2">
        <v>2020</v>
      </c>
      <c r="D2656" s="2" t="s">
        <v>1</v>
      </c>
      <c r="E2656" s="2" t="s">
        <v>15</v>
      </c>
      <c r="F2656" s="2" t="s">
        <v>35</v>
      </c>
      <c r="G2656" s="7"/>
      <c r="H2656" s="13" t="str">
        <f>IFERROR(IF(ABS($G2656)&gt;0,VLOOKUP($E2656,'Fuel Category and Heat Rate'!$B$1:$G$34,6,FALSE)*($G2656),""),"")</f>
        <v/>
      </c>
      <c r="I2656" t="str">
        <f>IFERROR(VLOOKUP($E2656,'Fuel Category and Heat Rate'!$K$2:$M$36,3,FALSE),"")</f>
        <v>crude oil</v>
      </c>
    </row>
    <row r="2657" spans="1:9" x14ac:dyDescent="0.15">
      <c r="A2657" s="2">
        <v>297897</v>
      </c>
      <c r="B2657" s="2" t="s">
        <v>81</v>
      </c>
      <c r="C2657" s="2">
        <v>2020</v>
      </c>
      <c r="D2657" s="2" t="s">
        <v>1</v>
      </c>
      <c r="E2657" s="2" t="s">
        <v>11</v>
      </c>
      <c r="F2657" s="2" t="s">
        <v>36</v>
      </c>
      <c r="G2657" s="7">
        <v>-5.54</v>
      </c>
      <c r="H2657" s="13">
        <f>IFERROR(IF(ABS($G2657)&gt;0,VLOOKUP($E2657,'Fuel Category and Heat Rate'!$B$1:$G$34,6,FALSE)*($G2657),""),"")</f>
        <v>-4171845499932.5396</v>
      </c>
      <c r="I2657" t="str">
        <f>IFERROR(VLOOKUP($E2657,'Fuel Category and Heat Rate'!$K$2:$M$36,3,FALSE),"")</f>
        <v>LPG propane or butane</v>
      </c>
    </row>
    <row r="2658" spans="1:9" x14ac:dyDescent="0.15">
      <c r="A2658" s="2">
        <v>297932</v>
      </c>
      <c r="B2658" s="2" t="s">
        <v>81</v>
      </c>
      <c r="C2658" s="2">
        <v>2019</v>
      </c>
      <c r="D2658" s="2" t="s">
        <v>1</v>
      </c>
      <c r="E2658" s="2" t="s">
        <v>18</v>
      </c>
      <c r="F2658" s="2" t="s">
        <v>35</v>
      </c>
      <c r="G2658" s="7">
        <v>-0.24</v>
      </c>
      <c r="H2658" s="13">
        <f>IFERROR(IF(ABS($G2658)&gt;0,VLOOKUP($E2658,'Fuel Category and Heat Rate'!$B$1:$G$34,6,FALSE)*($G2658),""),"")</f>
        <v>-97023110198.384277</v>
      </c>
      <c r="I2658" t="str">
        <f>IFERROR(VLOOKUP($E2658,'Fuel Category and Heat Rate'!$K$2:$M$36,3,FALSE),"")</f>
        <v>petroleum diesel</v>
      </c>
    </row>
    <row r="2659" spans="1:9" x14ac:dyDescent="0.15">
      <c r="A2659" s="2">
        <v>297967</v>
      </c>
      <c r="B2659" s="2" t="s">
        <v>81</v>
      </c>
      <c r="C2659" s="2">
        <v>2019</v>
      </c>
      <c r="D2659" s="2" t="s">
        <v>1</v>
      </c>
      <c r="E2659" s="2" t="s">
        <v>32</v>
      </c>
      <c r="F2659" s="2" t="s">
        <v>65</v>
      </c>
      <c r="G2659" s="7">
        <v>-3.75</v>
      </c>
      <c r="H2659" s="13">
        <f>IFERROR(IF(ABS($G2659)&gt;0,VLOOKUP($E2659,'Fuel Category and Heat Rate'!$B$1:$G$34,6,FALSE)*($G2659),""),"")</f>
        <v>-1279553115600.468</v>
      </c>
      <c r="I2659" t="str">
        <f>IFERROR(VLOOKUP($E2659,'Fuel Category and Heat Rate'!$K$2:$M$36,3,FALSE),"")</f>
        <v>electricity</v>
      </c>
    </row>
    <row r="2660" spans="1:9" x14ac:dyDescent="0.15">
      <c r="A2660" s="2">
        <v>298002</v>
      </c>
      <c r="B2660" s="2" t="s">
        <v>81</v>
      </c>
      <c r="C2660" s="2">
        <v>2019</v>
      </c>
      <c r="D2660" s="2" t="s">
        <v>1</v>
      </c>
      <c r="E2660" s="2" t="s">
        <v>10</v>
      </c>
      <c r="F2660" s="2" t="s">
        <v>36</v>
      </c>
      <c r="G2660" s="7">
        <v>-74.73</v>
      </c>
      <c r="H2660" s="13">
        <f>IFERROR(IF(ABS($G2660)&gt;0,VLOOKUP($E2660,'Fuel Category and Heat Rate'!$B$1:$G$34,6,FALSE)*($G2660),""),"")</f>
        <v>-26653469576989.691</v>
      </c>
      <c r="I2660" t="str">
        <f>IFERROR(VLOOKUP($E2660,'Fuel Category and Heat Rate'!$K$2:$M$36,3,FALSE),"")</f>
        <v>LPG propane or butane</v>
      </c>
    </row>
    <row r="2661" spans="1:9" x14ac:dyDescent="0.15">
      <c r="A2661" s="2">
        <v>298037</v>
      </c>
      <c r="B2661" s="2" t="s">
        <v>81</v>
      </c>
      <c r="C2661" s="2">
        <v>2019</v>
      </c>
      <c r="D2661" s="2" t="s">
        <v>1</v>
      </c>
      <c r="E2661" s="2" t="s">
        <v>9</v>
      </c>
      <c r="F2661" s="2" t="s">
        <v>36</v>
      </c>
      <c r="G2661" s="7">
        <v>-6.89</v>
      </c>
      <c r="H2661" s="13">
        <f>IFERROR(IF(ABS($G2661)&gt;0,VLOOKUP($E2661,'Fuel Category and Heat Rate'!$B$1:$G$34,6,FALSE)*($G2661),""),"")</f>
        <v>-11332633717921.189</v>
      </c>
      <c r="I2661" t="str">
        <f>IFERROR(VLOOKUP($E2661,'Fuel Category and Heat Rate'!$K$2:$M$36,3,FALSE),"")</f>
        <v>LPG propane or butane</v>
      </c>
    </row>
    <row r="2662" spans="1:9" x14ac:dyDescent="0.15">
      <c r="A2662" s="2">
        <v>298072</v>
      </c>
      <c r="B2662" s="2" t="s">
        <v>81</v>
      </c>
      <c r="C2662" s="2">
        <v>2019</v>
      </c>
      <c r="D2662" s="2" t="s">
        <v>1</v>
      </c>
      <c r="E2662" s="2" t="s">
        <v>8</v>
      </c>
      <c r="F2662" s="2" t="s">
        <v>35</v>
      </c>
      <c r="G2662" s="7"/>
      <c r="H2662" s="13" t="str">
        <f>IFERROR(IF(ABS($G2662)&gt;0,VLOOKUP($E2662,'Fuel Category and Heat Rate'!$B$1:$G$34,6,FALSE)*($G2662),""),"")</f>
        <v/>
      </c>
      <c r="I2662" t="str">
        <f>IFERROR(VLOOKUP($E2662,'Fuel Category and Heat Rate'!$K$2:$M$36,3,FALSE),"")</f>
        <v>coal</v>
      </c>
    </row>
    <row r="2663" spans="1:9" x14ac:dyDescent="0.15">
      <c r="A2663" s="2">
        <v>298107</v>
      </c>
      <c r="B2663" s="2" t="s">
        <v>81</v>
      </c>
      <c r="C2663" s="2">
        <v>2019</v>
      </c>
      <c r="D2663" s="2" t="s">
        <v>1</v>
      </c>
      <c r="E2663" s="2" t="s">
        <v>27</v>
      </c>
      <c r="F2663" s="2" t="s">
        <v>35</v>
      </c>
      <c r="G2663" s="7">
        <v>-7.22</v>
      </c>
      <c r="H2663" s="13">
        <f>IFERROR(IF(ABS($G2663)&gt;0,VLOOKUP($E2663,'Fuel Category and Heat Rate'!$B$1:$G$34,6,FALSE)*($G2663),""),"")</f>
        <v>-3147753363009.1714</v>
      </c>
      <c r="I2663" t="str">
        <f>IFERROR(VLOOKUP($E2663,'Fuel Category and Heat Rate'!$K$2:$M$36,3,FALSE),"")</f>
        <v>LPG propane or butane</v>
      </c>
    </row>
    <row r="2664" spans="1:9" x14ac:dyDescent="0.15">
      <c r="A2664" s="2">
        <v>298142</v>
      </c>
      <c r="B2664" s="2" t="s">
        <v>81</v>
      </c>
      <c r="C2664" s="2">
        <v>2019</v>
      </c>
      <c r="D2664" s="2" t="s">
        <v>1</v>
      </c>
      <c r="E2664" s="2" t="s">
        <v>7</v>
      </c>
      <c r="F2664" s="2" t="s">
        <v>35</v>
      </c>
      <c r="G2664" s="7">
        <v>-30.86</v>
      </c>
      <c r="H2664" s="13">
        <f>IFERROR(IF(ABS($G2664)&gt;0,VLOOKUP($E2664,'Fuel Category and Heat Rate'!$B$1:$G$34,6,FALSE)*($G2664),""),"")</f>
        <v>-2449364552596.9077</v>
      </c>
      <c r="I2664" t="str">
        <f>IFERROR(VLOOKUP($E2664,'Fuel Category and Heat Rate'!$K$2:$M$36,3,FALSE),"")</f>
        <v>coal</v>
      </c>
    </row>
    <row r="2665" spans="1:9" x14ac:dyDescent="0.15">
      <c r="A2665" s="2">
        <v>298177</v>
      </c>
      <c r="B2665" s="2" t="s">
        <v>81</v>
      </c>
      <c r="C2665" s="2">
        <v>2019</v>
      </c>
      <c r="D2665" s="2" t="s">
        <v>1</v>
      </c>
      <c r="E2665" s="2" t="s">
        <v>2</v>
      </c>
      <c r="F2665" s="2" t="s">
        <v>35</v>
      </c>
      <c r="G2665" s="7">
        <v>-4304.6400000000003</v>
      </c>
      <c r="H2665" s="13">
        <f>IFERROR(IF(ABS($G2665)&gt;0,VLOOKUP($E2665,'Fuel Category and Heat Rate'!$B$1:$G$34,6,FALSE)*($G2665),""),"")</f>
        <v>0</v>
      </c>
      <c r="I2665" t="str">
        <f>IFERROR(VLOOKUP($E2665,'Fuel Category and Heat Rate'!$K$2:$M$36,3,FALSE),"")</f>
        <v/>
      </c>
    </row>
    <row r="2666" spans="1:9" x14ac:dyDescent="0.15">
      <c r="A2666" s="2">
        <v>298212</v>
      </c>
      <c r="B2666" s="2" t="s">
        <v>81</v>
      </c>
      <c r="C2666" s="2">
        <v>2019</v>
      </c>
      <c r="D2666" s="2" t="s">
        <v>1</v>
      </c>
      <c r="E2666" s="2" t="s">
        <v>17</v>
      </c>
      <c r="F2666" s="2" t="s">
        <v>35</v>
      </c>
      <c r="G2666" s="7"/>
      <c r="H2666" s="13" t="str">
        <f>IFERROR(IF(ABS($G2666)&gt;0,VLOOKUP($E2666,'Fuel Category and Heat Rate'!$B$1:$G$34,6,FALSE)*($G2666),""),"")</f>
        <v/>
      </c>
      <c r="I2666" t="str">
        <f>IFERROR(VLOOKUP($E2666,'Fuel Category and Heat Rate'!$K$2:$M$36,3,FALSE),"")</f>
        <v>petroleum diesel</v>
      </c>
    </row>
    <row r="2667" spans="1:9" x14ac:dyDescent="0.15">
      <c r="A2667" s="2">
        <v>298247</v>
      </c>
      <c r="B2667" s="2" t="s">
        <v>81</v>
      </c>
      <c r="C2667" s="2">
        <v>2019</v>
      </c>
      <c r="D2667" s="2" t="s">
        <v>1</v>
      </c>
      <c r="E2667" s="2" t="s">
        <v>13</v>
      </c>
      <c r="F2667" s="2" t="s">
        <v>35</v>
      </c>
      <c r="G2667" s="7"/>
      <c r="H2667" s="13" t="str">
        <f>IFERROR(IF(ABS($G2667)&gt;0,VLOOKUP($E2667,'Fuel Category and Heat Rate'!$B$1:$G$34,6,FALSE)*($G2667),""),"")</f>
        <v/>
      </c>
      <c r="I2667" t="str">
        <f>IFERROR(VLOOKUP($E2667,'Fuel Category and Heat Rate'!$K$2:$M$36,3,FALSE),"")</f>
        <v>petroleum diesel</v>
      </c>
    </row>
    <row r="2668" spans="1:9" x14ac:dyDescent="0.15">
      <c r="A2668" s="2">
        <v>298282</v>
      </c>
      <c r="B2668" s="2" t="s">
        <v>81</v>
      </c>
      <c r="C2668" s="2">
        <v>2019</v>
      </c>
      <c r="D2668" s="2" t="s">
        <v>1</v>
      </c>
      <c r="E2668" s="2" t="s">
        <v>12</v>
      </c>
      <c r="F2668" s="2" t="s">
        <v>36</v>
      </c>
      <c r="G2668" s="7"/>
      <c r="H2668" s="13" t="str">
        <f>IFERROR(IF(ABS($G2668)&gt;0,VLOOKUP($E2668,'Fuel Category and Heat Rate'!$B$1:$G$34,6,FALSE)*($G2668),""),"")</f>
        <v/>
      </c>
      <c r="I2668" t="str">
        <f>IFERROR(VLOOKUP($E2668,'Fuel Category and Heat Rate'!$K$2:$M$36,3,FALSE),"")</f>
        <v>LPG propane or butane</v>
      </c>
    </row>
    <row r="2669" spans="1:9" x14ac:dyDescent="0.15">
      <c r="A2669" s="2">
        <v>298317</v>
      </c>
      <c r="B2669" s="2" t="s">
        <v>81</v>
      </c>
      <c r="C2669" s="2">
        <v>2019</v>
      </c>
      <c r="D2669" s="2" t="s">
        <v>1</v>
      </c>
      <c r="E2669" s="2" t="s">
        <v>33</v>
      </c>
      <c r="F2669" s="2" t="s">
        <v>38</v>
      </c>
      <c r="G2669" s="7">
        <v>-3.75</v>
      </c>
      <c r="H2669" s="13">
        <f>IFERROR(IF(ABS($G2669)&gt;0,VLOOKUP($E2669,'Fuel Category and Heat Rate'!$B$1:$G$34,6,FALSE)*($G2669),""),"")</f>
        <v>-1040383312409.4805</v>
      </c>
      <c r="I2669" t="str">
        <f>IFERROR(VLOOKUP($E2669,'Fuel Category and Heat Rate'!$K$2:$M$36,3,FALSE),"")</f>
        <v>biomass</v>
      </c>
    </row>
    <row r="2670" spans="1:9" x14ac:dyDescent="0.15">
      <c r="A2670" s="2">
        <v>298352</v>
      </c>
      <c r="B2670" s="2" t="s">
        <v>81</v>
      </c>
      <c r="C2670" s="2">
        <v>2019</v>
      </c>
      <c r="D2670" s="2" t="s">
        <v>1</v>
      </c>
      <c r="E2670" s="2" t="s">
        <v>28</v>
      </c>
      <c r="F2670" s="2" t="s">
        <v>35</v>
      </c>
      <c r="G2670" s="7"/>
      <c r="H2670" s="13" t="str">
        <f>IFERROR(IF(ABS($G2670)&gt;0,VLOOKUP($E2670,'Fuel Category and Heat Rate'!$B$1:$G$34,6,FALSE)*($G2670),""),"")</f>
        <v/>
      </c>
      <c r="I2670" t="str">
        <f>IFERROR(VLOOKUP($E2670,'Fuel Category and Heat Rate'!$K$2:$M$36,3,FALSE),"")</f>
        <v>heavy or residual fuel oil</v>
      </c>
    </row>
    <row r="2671" spans="1:9" x14ac:dyDescent="0.15">
      <c r="A2671" s="2">
        <v>298387</v>
      </c>
      <c r="B2671" s="2" t="s">
        <v>81</v>
      </c>
      <c r="C2671" s="2">
        <v>2019</v>
      </c>
      <c r="D2671" s="2" t="s">
        <v>1</v>
      </c>
      <c r="E2671" s="2" t="s">
        <v>5</v>
      </c>
      <c r="F2671" s="2" t="s">
        <v>35</v>
      </c>
      <c r="G2671" s="7">
        <v>-26.78</v>
      </c>
      <c r="H2671" s="13">
        <f>IFERROR(IF(ABS($G2671)&gt;0,VLOOKUP($E2671,'Fuel Category and Heat Rate'!$B$1:$G$34,6,FALSE)*($G2671),""),"")</f>
        <v>-2122742033040.2415</v>
      </c>
      <c r="I2671" t="str">
        <f>IFERROR(VLOOKUP($E2671,'Fuel Category and Heat Rate'!$K$2:$M$36,3,FALSE),"")</f>
        <v>coal</v>
      </c>
    </row>
    <row r="2672" spans="1:9" x14ac:dyDescent="0.15">
      <c r="A2672" s="2">
        <v>298422</v>
      </c>
      <c r="B2672" s="2" t="s">
        <v>81</v>
      </c>
      <c r="C2672" s="2">
        <v>2019</v>
      </c>
      <c r="D2672" s="2" t="s">
        <v>1</v>
      </c>
      <c r="E2672" s="2" t="s">
        <v>16</v>
      </c>
      <c r="F2672" s="2" t="s">
        <v>35</v>
      </c>
      <c r="G2672" s="7">
        <v>-0.01</v>
      </c>
      <c r="H2672" s="13">
        <f>IFERROR(IF(ABS($G2672)&gt;0,VLOOKUP($E2672,'Fuel Category and Heat Rate'!$B$1:$G$34,6,FALSE)*($G2672),""),"")</f>
        <v>-4082248347.326827</v>
      </c>
      <c r="I2672" t="str">
        <f>IFERROR(VLOOKUP($E2672,'Fuel Category and Heat Rate'!$K$2:$M$36,3,FALSE),"")</f>
        <v>petroleum diesel</v>
      </c>
    </row>
    <row r="2673" spans="1:9" x14ac:dyDescent="0.15">
      <c r="A2673" s="2">
        <v>298457</v>
      </c>
      <c r="B2673" s="2" t="s">
        <v>81</v>
      </c>
      <c r="C2673" s="2">
        <v>2019</v>
      </c>
      <c r="D2673" s="2" t="s">
        <v>1</v>
      </c>
      <c r="E2673" s="2" t="s">
        <v>19</v>
      </c>
      <c r="F2673" s="2" t="s">
        <v>35</v>
      </c>
      <c r="G2673" s="7">
        <v>-21.49</v>
      </c>
      <c r="H2673" s="13">
        <f>IFERROR(IF(ABS($G2673)&gt;0,VLOOKUP($E2673,'Fuel Category and Heat Rate'!$B$1:$G$34,6,FALSE)*($G2673),""),"")</f>
        <v>-8517329580230.2783</v>
      </c>
      <c r="I2673" t="str">
        <f>IFERROR(VLOOKUP($E2673,'Fuel Category and Heat Rate'!$K$2:$M$36,3,FALSE),"")</f>
        <v>heavy or residual fuel oil</v>
      </c>
    </row>
    <row r="2674" spans="1:9" x14ac:dyDescent="0.15">
      <c r="A2674" s="2">
        <v>298492</v>
      </c>
      <c r="B2674" s="2" t="s">
        <v>81</v>
      </c>
      <c r="C2674" s="2">
        <v>2019</v>
      </c>
      <c r="D2674" s="2" t="s">
        <v>1</v>
      </c>
      <c r="E2674" s="2" t="s">
        <v>31</v>
      </c>
      <c r="F2674" s="2" t="s">
        <v>37</v>
      </c>
      <c r="G2674" s="7">
        <v>64402.19</v>
      </c>
      <c r="H2674" s="13">
        <f>IFERROR(IF(ABS($G2674)&gt;0,VLOOKUP($E2674,'Fuel Category and Heat Rate'!$B$1:$G$34,6,FALSE)*($G2674),""),"")</f>
        <v>610414984192543</v>
      </c>
      <c r="I2674" t="str">
        <f>IFERROR(VLOOKUP($E2674,'Fuel Category and Heat Rate'!$K$2:$M$36,3,FALSE),"")</f>
        <v>heat</v>
      </c>
    </row>
    <row r="2675" spans="1:9" x14ac:dyDescent="0.15">
      <c r="A2675" s="2">
        <v>298527</v>
      </c>
      <c r="B2675" s="2" t="s">
        <v>81</v>
      </c>
      <c r="C2675" s="2">
        <v>2019</v>
      </c>
      <c r="D2675" s="2" t="s">
        <v>1</v>
      </c>
      <c r="E2675" s="2" t="s">
        <v>23</v>
      </c>
      <c r="F2675" s="2" t="s">
        <v>35</v>
      </c>
      <c r="G2675" s="7"/>
      <c r="H2675" s="13" t="str">
        <f>IFERROR(IF(ABS($G2675)&gt;0,VLOOKUP($E2675,'Fuel Category and Heat Rate'!$B$1:$G$34,6,FALSE)*($G2675),""),"")</f>
        <v/>
      </c>
      <c r="I2675" t="str">
        <f>IFERROR(VLOOKUP($E2675,'Fuel Category and Heat Rate'!$K$2:$M$36,3,FALSE),"")</f>
        <v>heavy or residual fuel oil</v>
      </c>
    </row>
    <row r="2676" spans="1:9" x14ac:dyDescent="0.15">
      <c r="A2676" s="2">
        <v>298562</v>
      </c>
      <c r="B2676" s="2" t="s">
        <v>81</v>
      </c>
      <c r="C2676" s="2">
        <v>2019</v>
      </c>
      <c r="D2676" s="2" t="s">
        <v>1</v>
      </c>
      <c r="E2676" s="2" t="s">
        <v>21</v>
      </c>
      <c r="F2676" s="2" t="s">
        <v>35</v>
      </c>
      <c r="G2676" s="7"/>
      <c r="H2676" s="13" t="str">
        <f>IFERROR(IF(ABS($G2676)&gt;0,VLOOKUP($E2676,'Fuel Category and Heat Rate'!$B$1:$G$34,6,FALSE)*($G2676),""),"")</f>
        <v/>
      </c>
      <c r="I2676" t="str">
        <f>IFERROR(VLOOKUP($E2676,'Fuel Category and Heat Rate'!$K$2:$M$36,3,FALSE),"")</f>
        <v>LPG propane or butane</v>
      </c>
    </row>
    <row r="2677" spans="1:9" x14ac:dyDescent="0.15">
      <c r="A2677" s="2">
        <v>298597</v>
      </c>
      <c r="B2677" s="2" t="s">
        <v>81</v>
      </c>
      <c r="C2677" s="2">
        <v>2019</v>
      </c>
      <c r="D2677" s="2" t="s">
        <v>1</v>
      </c>
      <c r="E2677" s="2" t="s">
        <v>22</v>
      </c>
      <c r="F2677" s="2" t="s">
        <v>35</v>
      </c>
      <c r="G2677" s="7"/>
      <c r="H2677" s="13" t="str">
        <f>IFERROR(IF(ABS($G2677)&gt;0,VLOOKUP($E2677,'Fuel Category and Heat Rate'!$B$1:$G$34,6,FALSE)*($G2677),""),"")</f>
        <v/>
      </c>
      <c r="I2677" t="str">
        <f>IFERROR(VLOOKUP($E2677,'Fuel Category and Heat Rate'!$K$2:$M$36,3,FALSE),"")</f>
        <v>heavy fuel oil</v>
      </c>
    </row>
    <row r="2678" spans="1:9" x14ac:dyDescent="0.15">
      <c r="A2678" s="2">
        <v>298632</v>
      </c>
      <c r="B2678" s="2" t="s">
        <v>81</v>
      </c>
      <c r="C2678" s="2">
        <v>2019</v>
      </c>
      <c r="D2678" s="2" t="s">
        <v>1</v>
      </c>
      <c r="E2678" s="2" t="s">
        <v>20</v>
      </c>
      <c r="F2678" s="2" t="s">
        <v>35</v>
      </c>
      <c r="G2678" s="7"/>
      <c r="H2678" s="13" t="str">
        <f>IFERROR(IF(ABS($G2678)&gt;0,VLOOKUP($E2678,'Fuel Category and Heat Rate'!$B$1:$G$34,6,FALSE)*($G2678),""),"")</f>
        <v/>
      </c>
      <c r="I2678" t="str">
        <f>IFERROR(VLOOKUP($E2678,'Fuel Category and Heat Rate'!$K$2:$M$36,3,FALSE),"")</f>
        <v>LPG propane or butane</v>
      </c>
    </row>
    <row r="2679" spans="1:9" x14ac:dyDescent="0.15">
      <c r="A2679" s="2">
        <v>298667</v>
      </c>
      <c r="B2679" s="2" t="s">
        <v>81</v>
      </c>
      <c r="C2679" s="2">
        <v>2019</v>
      </c>
      <c r="D2679" s="2" t="s">
        <v>1</v>
      </c>
      <c r="E2679" s="2" t="s">
        <v>25</v>
      </c>
      <c r="F2679" s="2" t="s">
        <v>35</v>
      </c>
      <c r="G2679" s="7"/>
      <c r="H2679" s="13" t="str">
        <f>IFERROR(IF(ABS($G2679)&gt;0,VLOOKUP($E2679,'Fuel Category and Heat Rate'!$B$1:$G$34,6,FALSE)*($G2679),""),"")</f>
        <v/>
      </c>
      <c r="I2679" t="str">
        <f>IFERROR(VLOOKUP($E2679,'Fuel Category and Heat Rate'!$K$2:$M$36,3,FALSE),"")</f>
        <v>heavy fuel oil</v>
      </c>
    </row>
    <row r="2680" spans="1:9" x14ac:dyDescent="0.15">
      <c r="A2680" s="2">
        <v>298702</v>
      </c>
      <c r="B2680" s="2" t="s">
        <v>81</v>
      </c>
      <c r="C2680" s="2">
        <v>2019</v>
      </c>
      <c r="D2680" s="2" t="s">
        <v>1</v>
      </c>
      <c r="E2680" s="2" t="s">
        <v>24</v>
      </c>
      <c r="F2680" s="2" t="s">
        <v>35</v>
      </c>
      <c r="G2680" s="7"/>
      <c r="H2680" s="13" t="str">
        <f>IFERROR(IF(ABS($G2680)&gt;0,VLOOKUP($E2680,'Fuel Category and Heat Rate'!$B$1:$G$34,6,FALSE)*($G2680),""),"")</f>
        <v/>
      </c>
      <c r="I2680" t="str">
        <f>IFERROR(VLOOKUP($E2680,'Fuel Category and Heat Rate'!$K$2:$M$36,3,FALSE),"")</f>
        <v>heavy fuel oil</v>
      </c>
    </row>
    <row r="2681" spans="1:9" x14ac:dyDescent="0.15">
      <c r="A2681" s="2">
        <v>298737</v>
      </c>
      <c r="B2681" s="2" t="s">
        <v>81</v>
      </c>
      <c r="C2681" s="2">
        <v>2019</v>
      </c>
      <c r="D2681" s="2" t="s">
        <v>1</v>
      </c>
      <c r="E2681" s="2" t="s">
        <v>29</v>
      </c>
      <c r="F2681" s="2" t="s">
        <v>36</v>
      </c>
      <c r="G2681" s="7">
        <v>-0.3</v>
      </c>
      <c r="H2681" s="13">
        <f>IFERROR(IF(ABS($G2681)&gt;0,VLOOKUP($E2681,'Fuel Category and Heat Rate'!$B$1:$G$34,6,FALSE)*($G2681),""),"")</f>
        <v>-1011827952046.3301</v>
      </c>
      <c r="I2681" t="str">
        <f>IFERROR(VLOOKUP($E2681,'Fuel Category and Heat Rate'!$K$2:$M$36,3,FALSE),"")</f>
        <v>natural gas</v>
      </c>
    </row>
    <row r="2682" spans="1:9" x14ac:dyDescent="0.15">
      <c r="A2682" s="2">
        <v>298772</v>
      </c>
      <c r="B2682" s="2" t="s">
        <v>81</v>
      </c>
      <c r="C2682" s="2">
        <v>2019</v>
      </c>
      <c r="D2682" s="2" t="s">
        <v>1</v>
      </c>
      <c r="E2682" s="2" t="s">
        <v>4</v>
      </c>
      <c r="F2682" s="2" t="s">
        <v>35</v>
      </c>
      <c r="G2682" s="7"/>
      <c r="H2682" s="13" t="str">
        <f>IFERROR(IF(ABS($G2682)&gt;0,VLOOKUP($E2682,'Fuel Category and Heat Rate'!$B$1:$G$34,6,FALSE)*($G2682),""),"")</f>
        <v/>
      </c>
      <c r="I2682" t="str">
        <f>IFERROR(VLOOKUP($E2682,'Fuel Category and Heat Rate'!$K$2:$M$36,3,FALSE),"")</f>
        <v>coal</v>
      </c>
    </row>
    <row r="2683" spans="1:9" x14ac:dyDescent="0.15">
      <c r="A2683" s="2">
        <v>298807</v>
      </c>
      <c r="B2683" s="2" t="s">
        <v>81</v>
      </c>
      <c r="C2683" s="2">
        <v>2019</v>
      </c>
      <c r="D2683" s="2" t="s">
        <v>1</v>
      </c>
      <c r="E2683" s="2" t="s">
        <v>6</v>
      </c>
      <c r="F2683" s="2" t="s">
        <v>35</v>
      </c>
      <c r="G2683" s="7"/>
      <c r="H2683" s="13" t="str">
        <f>IFERROR(IF(ABS($G2683)&gt;0,VLOOKUP($E2683,'Fuel Category and Heat Rate'!$B$1:$G$34,6,FALSE)*($G2683),""),"")</f>
        <v/>
      </c>
      <c r="I2683" t="str">
        <f>IFERROR(VLOOKUP($E2683,'Fuel Category and Heat Rate'!$K$2:$M$36,3,FALSE),"")</f>
        <v>coal</v>
      </c>
    </row>
    <row r="2684" spans="1:9" x14ac:dyDescent="0.15">
      <c r="A2684" s="2">
        <v>298842</v>
      </c>
      <c r="B2684" s="2" t="s">
        <v>81</v>
      </c>
      <c r="C2684" s="2">
        <v>2019</v>
      </c>
      <c r="D2684" s="2" t="s">
        <v>1</v>
      </c>
      <c r="E2684" s="2" t="s">
        <v>26</v>
      </c>
      <c r="F2684" s="2" t="s">
        <v>35</v>
      </c>
      <c r="G2684" s="7"/>
      <c r="H2684" s="13" t="str">
        <f>IFERROR(IF(ABS($G2684)&gt;0,VLOOKUP($E2684,'Fuel Category and Heat Rate'!$B$1:$G$34,6,FALSE)*($G2684),""),"")</f>
        <v/>
      </c>
      <c r="I2684" t="str">
        <f>IFERROR(VLOOKUP($E2684,'Fuel Category and Heat Rate'!$K$2:$M$36,3,FALSE),"")</f>
        <v>LPG propane or butane</v>
      </c>
    </row>
    <row r="2685" spans="1:9" x14ac:dyDescent="0.15">
      <c r="A2685" s="2">
        <v>298877</v>
      </c>
      <c r="B2685" s="2" t="s">
        <v>81</v>
      </c>
      <c r="C2685" s="2">
        <v>2019</v>
      </c>
      <c r="D2685" s="2" t="s">
        <v>1</v>
      </c>
      <c r="E2685" s="2" t="s">
        <v>30</v>
      </c>
      <c r="F2685" s="2" t="s">
        <v>35</v>
      </c>
      <c r="G2685" s="7">
        <v>-0.16</v>
      </c>
      <c r="H2685" s="13">
        <f>IFERROR(IF(ABS($G2685)&gt;0,VLOOKUP($E2685,'Fuel Category and Heat Rate'!$B$1:$G$34,6,FALSE)*($G2685),""),"")</f>
        <v>-78000041419.608276</v>
      </c>
      <c r="I2685" t="str">
        <f>IFERROR(VLOOKUP($E2685,'Fuel Category and Heat Rate'!$K$2:$M$36,3,FALSE),"")</f>
        <v>natural gas</v>
      </c>
    </row>
    <row r="2686" spans="1:9" x14ac:dyDescent="0.15">
      <c r="A2686" s="2">
        <v>298912</v>
      </c>
      <c r="B2686" s="2" t="s">
        <v>81</v>
      </c>
      <c r="C2686" s="2">
        <v>2019</v>
      </c>
      <c r="D2686" s="2" t="s">
        <v>1</v>
      </c>
      <c r="E2686" s="2" t="s">
        <v>14</v>
      </c>
      <c r="F2686" s="2" t="s">
        <v>35</v>
      </c>
      <c r="G2686" s="7">
        <v>-28.96</v>
      </c>
      <c r="H2686" s="13">
        <f>IFERROR(IF(ABS($G2686)&gt;0,VLOOKUP($E2686,'Fuel Category and Heat Rate'!$B$1:$G$34,6,FALSE)*($G2686),""),"")</f>
        <v>0</v>
      </c>
      <c r="I2686" t="str">
        <f>IFERROR(VLOOKUP($E2686,'Fuel Category and Heat Rate'!$K$2:$M$36,3,FALSE),"")</f>
        <v/>
      </c>
    </row>
    <row r="2687" spans="1:9" x14ac:dyDescent="0.15">
      <c r="A2687" s="2">
        <v>298947</v>
      </c>
      <c r="B2687" s="2" t="s">
        <v>81</v>
      </c>
      <c r="C2687" s="2">
        <v>2019</v>
      </c>
      <c r="D2687" s="2" t="s">
        <v>1</v>
      </c>
      <c r="E2687" s="2" t="s">
        <v>3</v>
      </c>
      <c r="F2687" s="2" t="s">
        <v>35</v>
      </c>
      <c r="G2687" s="7">
        <v>-4277.8599999999997</v>
      </c>
      <c r="H2687" s="13">
        <f>IFERROR(IF(ABS($G2687)&gt;0,VLOOKUP($E2687,'Fuel Category and Heat Rate'!$B$1:$G$34,6,FALSE)*($G2687),""),"")</f>
        <v>-847741822198322.38</v>
      </c>
      <c r="I2687" t="str">
        <f>IFERROR(VLOOKUP($E2687,'Fuel Category and Heat Rate'!$K$2:$M$36,3,FALSE),"")</f>
        <v>coal</v>
      </c>
    </row>
    <row r="2688" spans="1:9" x14ac:dyDescent="0.15">
      <c r="A2688" s="2">
        <v>298982</v>
      </c>
      <c r="B2688" s="2" t="s">
        <v>81</v>
      </c>
      <c r="C2688" s="2">
        <v>2019</v>
      </c>
      <c r="D2688" s="2" t="s">
        <v>1</v>
      </c>
      <c r="E2688" s="2" t="s">
        <v>15</v>
      </c>
      <c r="F2688" s="2" t="s">
        <v>35</v>
      </c>
      <c r="G2688" s="7"/>
      <c r="H2688" s="13" t="str">
        <f>IFERROR(IF(ABS($G2688)&gt;0,VLOOKUP($E2688,'Fuel Category and Heat Rate'!$B$1:$G$34,6,FALSE)*($G2688),""),"")</f>
        <v/>
      </c>
      <c r="I2688" t="str">
        <f>IFERROR(VLOOKUP($E2688,'Fuel Category and Heat Rate'!$K$2:$M$36,3,FALSE),"")</f>
        <v>crude oil</v>
      </c>
    </row>
    <row r="2689" spans="1:9" x14ac:dyDescent="0.15">
      <c r="A2689" s="2">
        <v>299017</v>
      </c>
      <c r="B2689" s="2" t="s">
        <v>81</v>
      </c>
      <c r="C2689" s="2">
        <v>2019</v>
      </c>
      <c r="D2689" s="2" t="s">
        <v>1</v>
      </c>
      <c r="E2689" s="2" t="s">
        <v>11</v>
      </c>
      <c r="F2689" s="2" t="s">
        <v>36</v>
      </c>
      <c r="G2689" s="7">
        <v>-5.43</v>
      </c>
      <c r="H2689" s="13">
        <f>IFERROR(IF(ABS($G2689)&gt;0,VLOOKUP($E2689,'Fuel Category and Heat Rate'!$B$1:$G$34,6,FALSE)*($G2689),""),"")</f>
        <v>-4089011022497.0557</v>
      </c>
      <c r="I2689" t="str">
        <f>IFERROR(VLOOKUP($E2689,'Fuel Category and Heat Rate'!$K$2:$M$36,3,FALSE),"")</f>
        <v>LPG propane or butane</v>
      </c>
    </row>
    <row r="2690" spans="1:9" x14ac:dyDescent="0.15">
      <c r="A2690" s="2">
        <v>299052</v>
      </c>
      <c r="B2690" s="2" t="s">
        <v>81</v>
      </c>
      <c r="C2690" s="2">
        <v>2018</v>
      </c>
      <c r="D2690" s="2" t="s">
        <v>1</v>
      </c>
      <c r="E2690" s="2" t="s">
        <v>18</v>
      </c>
      <c r="F2690" s="2" t="s">
        <v>35</v>
      </c>
      <c r="G2690" s="7">
        <v>-0.13</v>
      </c>
      <c r="H2690" s="13">
        <f>IFERROR(IF(ABS($G2690)&gt;0,VLOOKUP($E2690,'Fuel Category and Heat Rate'!$B$1:$G$34,6,FALSE)*($G2690),""),"")</f>
        <v>-52554184690.791489</v>
      </c>
      <c r="I2690" t="str">
        <f>IFERROR(VLOOKUP($E2690,'Fuel Category and Heat Rate'!$K$2:$M$36,3,FALSE),"")</f>
        <v>petroleum diesel</v>
      </c>
    </row>
    <row r="2691" spans="1:9" x14ac:dyDescent="0.15">
      <c r="A2691" s="2">
        <v>299087</v>
      </c>
      <c r="B2691" s="2" t="s">
        <v>81</v>
      </c>
      <c r="C2691" s="2">
        <v>2018</v>
      </c>
      <c r="D2691" s="2" t="s">
        <v>1</v>
      </c>
      <c r="E2691" s="2" t="s">
        <v>32</v>
      </c>
      <c r="F2691" s="2" t="s">
        <v>65</v>
      </c>
      <c r="G2691" s="7"/>
      <c r="H2691" s="13" t="str">
        <f>IFERROR(IF(ABS($G2691)&gt;0,VLOOKUP($E2691,'Fuel Category and Heat Rate'!$B$1:$G$34,6,FALSE)*($G2691),""),"")</f>
        <v/>
      </c>
      <c r="I2691" t="str">
        <f>IFERROR(VLOOKUP($E2691,'Fuel Category and Heat Rate'!$K$2:$M$36,3,FALSE),"")</f>
        <v>electricity</v>
      </c>
    </row>
    <row r="2692" spans="1:9" x14ac:dyDescent="0.15">
      <c r="A2692" s="2">
        <v>299122</v>
      </c>
      <c r="B2692" s="2" t="s">
        <v>81</v>
      </c>
      <c r="C2692" s="2">
        <v>2018</v>
      </c>
      <c r="D2692" s="2" t="s">
        <v>1</v>
      </c>
      <c r="E2692" s="2" t="s">
        <v>10</v>
      </c>
      <c r="F2692" s="2" t="s">
        <v>36</v>
      </c>
      <c r="G2692" s="7">
        <v>-83.99</v>
      </c>
      <c r="H2692" s="13">
        <f>IFERROR(IF(ABS($G2692)&gt;0,VLOOKUP($E2692,'Fuel Category and Heat Rate'!$B$1:$G$34,6,FALSE)*($G2692),""),"")</f>
        <v>-29956174357973.559</v>
      </c>
      <c r="I2692" t="str">
        <f>IFERROR(VLOOKUP($E2692,'Fuel Category and Heat Rate'!$K$2:$M$36,3,FALSE),"")</f>
        <v>LPG propane or butane</v>
      </c>
    </row>
    <row r="2693" spans="1:9" x14ac:dyDescent="0.15">
      <c r="A2693" s="2">
        <v>299157</v>
      </c>
      <c r="B2693" s="2" t="s">
        <v>81</v>
      </c>
      <c r="C2693" s="2">
        <v>2018</v>
      </c>
      <c r="D2693" s="2" t="s">
        <v>1</v>
      </c>
      <c r="E2693" s="2" t="s">
        <v>9</v>
      </c>
      <c r="F2693" s="2" t="s">
        <v>36</v>
      </c>
      <c r="G2693" s="7">
        <v>-8.0500000000000007</v>
      </c>
      <c r="H2693" s="13">
        <f>IFERROR(IF(ABS($G2693)&gt;0,VLOOKUP($E2693,'Fuel Category and Heat Rate'!$B$1:$G$34,6,FALSE)*($G2693),""),"")</f>
        <v>-13240595272752.625</v>
      </c>
      <c r="I2693" t="str">
        <f>IFERROR(VLOOKUP($E2693,'Fuel Category and Heat Rate'!$K$2:$M$36,3,FALSE),"")</f>
        <v>LPG propane or butane</v>
      </c>
    </row>
    <row r="2694" spans="1:9" x14ac:dyDescent="0.15">
      <c r="A2694" s="2">
        <v>299192</v>
      </c>
      <c r="B2694" s="2" t="s">
        <v>81</v>
      </c>
      <c r="C2694" s="2">
        <v>2018</v>
      </c>
      <c r="D2694" s="2" t="s">
        <v>1</v>
      </c>
      <c r="E2694" s="2" t="s">
        <v>8</v>
      </c>
      <c r="F2694" s="2" t="s">
        <v>35</v>
      </c>
      <c r="G2694" s="7"/>
      <c r="H2694" s="13" t="str">
        <f>IFERROR(IF(ABS($G2694)&gt;0,VLOOKUP($E2694,'Fuel Category and Heat Rate'!$B$1:$G$34,6,FALSE)*($G2694),""),"")</f>
        <v/>
      </c>
      <c r="I2694" t="str">
        <f>IFERROR(VLOOKUP($E2694,'Fuel Category and Heat Rate'!$K$2:$M$36,3,FALSE),"")</f>
        <v>coal</v>
      </c>
    </row>
    <row r="2695" spans="1:9" x14ac:dyDescent="0.15">
      <c r="A2695" s="2">
        <v>299227</v>
      </c>
      <c r="B2695" s="2" t="s">
        <v>81</v>
      </c>
      <c r="C2695" s="2">
        <v>2018</v>
      </c>
      <c r="D2695" s="2" t="s">
        <v>1</v>
      </c>
      <c r="E2695" s="2" t="s">
        <v>27</v>
      </c>
      <c r="F2695" s="2" t="s">
        <v>35</v>
      </c>
      <c r="G2695" s="7">
        <v>-12.4</v>
      </c>
      <c r="H2695" s="13">
        <f>IFERROR(IF(ABS($G2695)&gt;0,VLOOKUP($E2695,'Fuel Category and Heat Rate'!$B$1:$G$34,6,FALSE)*($G2695),""),"")</f>
        <v>-5406113809046.2227</v>
      </c>
      <c r="I2695" t="str">
        <f>IFERROR(VLOOKUP($E2695,'Fuel Category and Heat Rate'!$K$2:$M$36,3,FALSE),"")</f>
        <v>LPG propane or butane</v>
      </c>
    </row>
    <row r="2696" spans="1:9" x14ac:dyDescent="0.15">
      <c r="A2696" s="2">
        <v>299262</v>
      </c>
      <c r="B2696" s="2" t="s">
        <v>81</v>
      </c>
      <c r="C2696" s="2">
        <v>2018</v>
      </c>
      <c r="D2696" s="2" t="s">
        <v>1</v>
      </c>
      <c r="E2696" s="2" t="s">
        <v>7</v>
      </c>
      <c r="F2696" s="2" t="s">
        <v>35</v>
      </c>
      <c r="G2696" s="7">
        <v>-26.93</v>
      </c>
      <c r="H2696" s="13">
        <f>IFERROR(IF(ABS($G2696)&gt;0,VLOOKUP($E2696,'Fuel Category and Heat Rate'!$B$1:$G$34,6,FALSE)*($G2696),""),"")</f>
        <v>-2137439643598.0142</v>
      </c>
      <c r="I2696" t="str">
        <f>IFERROR(VLOOKUP($E2696,'Fuel Category and Heat Rate'!$K$2:$M$36,3,FALSE),"")</f>
        <v>coal</v>
      </c>
    </row>
    <row r="2697" spans="1:9" x14ac:dyDescent="0.15">
      <c r="A2697" s="2">
        <v>299297</v>
      </c>
      <c r="B2697" s="2" t="s">
        <v>81</v>
      </c>
      <c r="C2697" s="2">
        <v>2018</v>
      </c>
      <c r="D2697" s="2" t="s">
        <v>1</v>
      </c>
      <c r="E2697" s="2" t="s">
        <v>2</v>
      </c>
      <c r="F2697" s="2" t="s">
        <v>35</v>
      </c>
      <c r="G2697" s="7">
        <v>-4009.78</v>
      </c>
      <c r="H2697" s="13">
        <f>IFERROR(IF(ABS($G2697)&gt;0,VLOOKUP($E2697,'Fuel Category and Heat Rate'!$B$1:$G$34,6,FALSE)*($G2697),""),"")</f>
        <v>0</v>
      </c>
      <c r="I2697" t="str">
        <f>IFERROR(VLOOKUP($E2697,'Fuel Category and Heat Rate'!$K$2:$M$36,3,FALSE),"")</f>
        <v/>
      </c>
    </row>
    <row r="2698" spans="1:9" x14ac:dyDescent="0.15">
      <c r="A2698" s="2">
        <v>299332</v>
      </c>
      <c r="B2698" s="2" t="s">
        <v>81</v>
      </c>
      <c r="C2698" s="2">
        <v>2018</v>
      </c>
      <c r="D2698" s="2" t="s">
        <v>1</v>
      </c>
      <c r="E2698" s="2" t="s">
        <v>17</v>
      </c>
      <c r="F2698" s="2" t="s">
        <v>35</v>
      </c>
      <c r="G2698" s="7"/>
      <c r="H2698" s="13" t="str">
        <f>IFERROR(IF(ABS($G2698)&gt;0,VLOOKUP($E2698,'Fuel Category and Heat Rate'!$B$1:$G$34,6,FALSE)*($G2698),""),"")</f>
        <v/>
      </c>
      <c r="I2698" t="str">
        <f>IFERROR(VLOOKUP($E2698,'Fuel Category and Heat Rate'!$K$2:$M$36,3,FALSE),"")</f>
        <v>petroleum diesel</v>
      </c>
    </row>
    <row r="2699" spans="1:9" x14ac:dyDescent="0.15">
      <c r="A2699" s="2">
        <v>299367</v>
      </c>
      <c r="B2699" s="2" t="s">
        <v>81</v>
      </c>
      <c r="C2699" s="2">
        <v>2018</v>
      </c>
      <c r="D2699" s="2" t="s">
        <v>1</v>
      </c>
      <c r="E2699" s="2" t="s">
        <v>13</v>
      </c>
      <c r="F2699" s="2" t="s">
        <v>35</v>
      </c>
      <c r="G2699" s="7"/>
      <c r="H2699" s="13" t="str">
        <f>IFERROR(IF(ABS($G2699)&gt;0,VLOOKUP($E2699,'Fuel Category and Heat Rate'!$B$1:$G$34,6,FALSE)*($G2699),""),"")</f>
        <v/>
      </c>
      <c r="I2699" t="str">
        <f>IFERROR(VLOOKUP($E2699,'Fuel Category and Heat Rate'!$K$2:$M$36,3,FALSE),"")</f>
        <v>petroleum diesel</v>
      </c>
    </row>
    <row r="2700" spans="1:9" x14ac:dyDescent="0.15">
      <c r="A2700" s="2">
        <v>299402</v>
      </c>
      <c r="B2700" s="2" t="s">
        <v>81</v>
      </c>
      <c r="C2700" s="2">
        <v>2018</v>
      </c>
      <c r="D2700" s="2" t="s">
        <v>1</v>
      </c>
      <c r="E2700" s="2" t="s">
        <v>12</v>
      </c>
      <c r="F2700" s="2" t="s">
        <v>36</v>
      </c>
      <c r="G2700" s="7"/>
      <c r="H2700" s="13" t="str">
        <f>IFERROR(IF(ABS($G2700)&gt;0,VLOOKUP($E2700,'Fuel Category and Heat Rate'!$B$1:$G$34,6,FALSE)*($G2700),""),"")</f>
        <v/>
      </c>
      <c r="I2700" t="str">
        <f>IFERROR(VLOOKUP($E2700,'Fuel Category and Heat Rate'!$K$2:$M$36,3,FALSE),"")</f>
        <v>LPG propane or butane</v>
      </c>
    </row>
    <row r="2701" spans="1:9" x14ac:dyDescent="0.15">
      <c r="A2701" s="2">
        <v>299437</v>
      </c>
      <c r="B2701" s="2" t="s">
        <v>81</v>
      </c>
      <c r="C2701" s="2">
        <v>2018</v>
      </c>
      <c r="D2701" s="2" t="s">
        <v>1</v>
      </c>
      <c r="E2701" s="2" t="s">
        <v>33</v>
      </c>
      <c r="F2701" s="2" t="s">
        <v>38</v>
      </c>
      <c r="G2701" s="7">
        <v>-3.24</v>
      </c>
      <c r="H2701" s="13">
        <f>IFERROR(IF(ABS($G2701)&gt;0,VLOOKUP($E2701,'Fuel Category and Heat Rate'!$B$1:$G$34,6,FALSE)*($G2701),""),"")</f>
        <v>-898891181921.79114</v>
      </c>
      <c r="I2701" t="str">
        <f>IFERROR(VLOOKUP($E2701,'Fuel Category and Heat Rate'!$K$2:$M$36,3,FALSE),"")</f>
        <v>biomass</v>
      </c>
    </row>
    <row r="2702" spans="1:9" x14ac:dyDescent="0.15">
      <c r="A2702" s="2">
        <v>299472</v>
      </c>
      <c r="B2702" s="2" t="s">
        <v>81</v>
      </c>
      <c r="C2702" s="2">
        <v>2018</v>
      </c>
      <c r="D2702" s="2" t="s">
        <v>1</v>
      </c>
      <c r="E2702" s="2" t="s">
        <v>28</v>
      </c>
      <c r="F2702" s="2" t="s">
        <v>35</v>
      </c>
      <c r="G2702" s="7"/>
      <c r="H2702" s="13" t="str">
        <f>IFERROR(IF(ABS($G2702)&gt;0,VLOOKUP($E2702,'Fuel Category and Heat Rate'!$B$1:$G$34,6,FALSE)*($G2702),""),"")</f>
        <v/>
      </c>
      <c r="I2702" t="str">
        <f>IFERROR(VLOOKUP($E2702,'Fuel Category and Heat Rate'!$K$2:$M$36,3,FALSE),"")</f>
        <v>heavy or residual fuel oil</v>
      </c>
    </row>
    <row r="2703" spans="1:9" x14ac:dyDescent="0.15">
      <c r="A2703" s="2">
        <v>299507</v>
      </c>
      <c r="B2703" s="2" t="s">
        <v>81</v>
      </c>
      <c r="C2703" s="2">
        <v>2018</v>
      </c>
      <c r="D2703" s="2" t="s">
        <v>1</v>
      </c>
      <c r="E2703" s="2" t="s">
        <v>5</v>
      </c>
      <c r="F2703" s="2" t="s">
        <v>35</v>
      </c>
      <c r="G2703" s="7">
        <v>-30.56</v>
      </c>
      <c r="H2703" s="13">
        <f>IFERROR(IF(ABS($G2703)&gt;0,VLOOKUP($E2703,'Fuel Category and Heat Rate'!$B$1:$G$34,6,FALSE)*($G2703),""),"")</f>
        <v>-2422367308801.709</v>
      </c>
      <c r="I2703" t="str">
        <f>IFERROR(VLOOKUP($E2703,'Fuel Category and Heat Rate'!$K$2:$M$36,3,FALSE),"")</f>
        <v>coal</v>
      </c>
    </row>
    <row r="2704" spans="1:9" x14ac:dyDescent="0.15">
      <c r="A2704" s="2">
        <v>299542</v>
      </c>
      <c r="B2704" s="2" t="s">
        <v>81</v>
      </c>
      <c r="C2704" s="2">
        <v>2018</v>
      </c>
      <c r="D2704" s="2" t="s">
        <v>1</v>
      </c>
      <c r="E2704" s="2" t="s">
        <v>16</v>
      </c>
      <c r="F2704" s="2" t="s">
        <v>35</v>
      </c>
      <c r="G2704" s="7">
        <v>-0.01</v>
      </c>
      <c r="H2704" s="13">
        <f>IFERROR(IF(ABS($G2704)&gt;0,VLOOKUP($E2704,'Fuel Category and Heat Rate'!$B$1:$G$34,6,FALSE)*($G2704),""),"")</f>
        <v>-4082248347.326827</v>
      </c>
      <c r="I2704" t="str">
        <f>IFERROR(VLOOKUP($E2704,'Fuel Category and Heat Rate'!$K$2:$M$36,3,FALSE),"")</f>
        <v>petroleum diesel</v>
      </c>
    </row>
    <row r="2705" spans="1:9" x14ac:dyDescent="0.15">
      <c r="A2705" s="2">
        <v>299577</v>
      </c>
      <c r="B2705" s="2" t="s">
        <v>81</v>
      </c>
      <c r="C2705" s="2">
        <v>2018</v>
      </c>
      <c r="D2705" s="2" t="s">
        <v>1</v>
      </c>
      <c r="E2705" s="2" t="s">
        <v>19</v>
      </c>
      <c r="F2705" s="2" t="s">
        <v>35</v>
      </c>
      <c r="G2705" s="7">
        <v>-24.24</v>
      </c>
      <c r="H2705" s="13">
        <f>IFERROR(IF(ABS($G2705)&gt;0,VLOOKUP($E2705,'Fuel Category and Heat Rate'!$B$1:$G$34,6,FALSE)*($G2705),""),"")</f>
        <v>-9607262402269.9844</v>
      </c>
      <c r="I2705" t="str">
        <f>IFERROR(VLOOKUP($E2705,'Fuel Category and Heat Rate'!$K$2:$M$36,3,FALSE),"")</f>
        <v>heavy or residual fuel oil</v>
      </c>
    </row>
    <row r="2706" spans="1:9" x14ac:dyDescent="0.15">
      <c r="A2706" s="2">
        <v>299612</v>
      </c>
      <c r="B2706" s="2" t="s">
        <v>81</v>
      </c>
      <c r="C2706" s="2">
        <v>2018</v>
      </c>
      <c r="D2706" s="2" t="s">
        <v>1</v>
      </c>
      <c r="E2706" s="2" t="s">
        <v>31</v>
      </c>
      <c r="F2706" s="2" t="s">
        <v>37</v>
      </c>
      <c r="G2706" s="7">
        <v>58480.4</v>
      </c>
      <c r="H2706" s="13">
        <f>IFERROR(IF(ABS($G2706)&gt;0,VLOOKUP($E2706,'Fuel Category and Heat Rate'!$B$1:$G$34,6,FALSE)*($G2706),""),"")</f>
        <v>554287244604160.13</v>
      </c>
      <c r="I2706" t="str">
        <f>IFERROR(VLOOKUP($E2706,'Fuel Category and Heat Rate'!$K$2:$M$36,3,FALSE),"")</f>
        <v>heat</v>
      </c>
    </row>
    <row r="2707" spans="1:9" x14ac:dyDescent="0.15">
      <c r="A2707" s="2">
        <v>299647</v>
      </c>
      <c r="B2707" s="2" t="s">
        <v>81</v>
      </c>
      <c r="C2707" s="2">
        <v>2018</v>
      </c>
      <c r="D2707" s="2" t="s">
        <v>1</v>
      </c>
      <c r="E2707" s="2" t="s">
        <v>23</v>
      </c>
      <c r="F2707" s="2" t="s">
        <v>35</v>
      </c>
      <c r="G2707" s="7"/>
      <c r="H2707" s="13" t="str">
        <f>IFERROR(IF(ABS($G2707)&gt;0,VLOOKUP($E2707,'Fuel Category and Heat Rate'!$B$1:$G$34,6,FALSE)*($G2707),""),"")</f>
        <v/>
      </c>
      <c r="I2707" t="str">
        <f>IFERROR(VLOOKUP($E2707,'Fuel Category and Heat Rate'!$K$2:$M$36,3,FALSE),"")</f>
        <v>heavy or residual fuel oil</v>
      </c>
    </row>
    <row r="2708" spans="1:9" x14ac:dyDescent="0.15">
      <c r="A2708" s="2">
        <v>299682</v>
      </c>
      <c r="B2708" s="2" t="s">
        <v>81</v>
      </c>
      <c r="C2708" s="2">
        <v>2018</v>
      </c>
      <c r="D2708" s="2" t="s">
        <v>1</v>
      </c>
      <c r="E2708" s="2" t="s">
        <v>21</v>
      </c>
      <c r="F2708" s="2" t="s">
        <v>35</v>
      </c>
      <c r="G2708" s="7"/>
      <c r="H2708" s="13" t="str">
        <f>IFERROR(IF(ABS($G2708)&gt;0,VLOOKUP($E2708,'Fuel Category and Heat Rate'!$B$1:$G$34,6,FALSE)*($G2708),""),"")</f>
        <v/>
      </c>
      <c r="I2708" t="str">
        <f>IFERROR(VLOOKUP($E2708,'Fuel Category and Heat Rate'!$K$2:$M$36,3,FALSE),"")</f>
        <v>LPG propane or butane</v>
      </c>
    </row>
    <row r="2709" spans="1:9" x14ac:dyDescent="0.15">
      <c r="A2709" s="2">
        <v>299717</v>
      </c>
      <c r="B2709" s="2" t="s">
        <v>81</v>
      </c>
      <c r="C2709" s="2">
        <v>2018</v>
      </c>
      <c r="D2709" s="2" t="s">
        <v>1</v>
      </c>
      <c r="E2709" s="2" t="s">
        <v>22</v>
      </c>
      <c r="F2709" s="2" t="s">
        <v>35</v>
      </c>
      <c r="G2709" s="7"/>
      <c r="H2709" s="13" t="str">
        <f>IFERROR(IF(ABS($G2709)&gt;0,VLOOKUP($E2709,'Fuel Category and Heat Rate'!$B$1:$G$34,6,FALSE)*($G2709),""),"")</f>
        <v/>
      </c>
      <c r="I2709" t="str">
        <f>IFERROR(VLOOKUP($E2709,'Fuel Category and Heat Rate'!$K$2:$M$36,3,FALSE),"")</f>
        <v>heavy fuel oil</v>
      </c>
    </row>
    <row r="2710" spans="1:9" x14ac:dyDescent="0.15">
      <c r="A2710" s="2">
        <v>299752</v>
      </c>
      <c r="B2710" s="2" t="s">
        <v>81</v>
      </c>
      <c r="C2710" s="2">
        <v>2018</v>
      </c>
      <c r="D2710" s="2" t="s">
        <v>1</v>
      </c>
      <c r="E2710" s="2" t="s">
        <v>20</v>
      </c>
      <c r="F2710" s="2" t="s">
        <v>35</v>
      </c>
      <c r="G2710" s="7"/>
      <c r="H2710" s="13" t="str">
        <f>IFERROR(IF(ABS($G2710)&gt;0,VLOOKUP($E2710,'Fuel Category and Heat Rate'!$B$1:$G$34,6,FALSE)*($G2710),""),"")</f>
        <v/>
      </c>
      <c r="I2710" t="str">
        <f>IFERROR(VLOOKUP($E2710,'Fuel Category and Heat Rate'!$K$2:$M$36,3,FALSE),"")</f>
        <v>LPG propane or butane</v>
      </c>
    </row>
    <row r="2711" spans="1:9" x14ac:dyDescent="0.15">
      <c r="A2711" s="2">
        <v>299787</v>
      </c>
      <c r="B2711" s="2" t="s">
        <v>81</v>
      </c>
      <c r="C2711" s="2">
        <v>2018</v>
      </c>
      <c r="D2711" s="2" t="s">
        <v>1</v>
      </c>
      <c r="E2711" s="2" t="s">
        <v>25</v>
      </c>
      <c r="F2711" s="2" t="s">
        <v>35</v>
      </c>
      <c r="G2711" s="7"/>
      <c r="H2711" s="13" t="str">
        <f>IFERROR(IF(ABS($G2711)&gt;0,VLOOKUP($E2711,'Fuel Category and Heat Rate'!$B$1:$G$34,6,FALSE)*($G2711),""),"")</f>
        <v/>
      </c>
      <c r="I2711" t="str">
        <f>IFERROR(VLOOKUP($E2711,'Fuel Category and Heat Rate'!$K$2:$M$36,3,FALSE),"")</f>
        <v>heavy fuel oil</v>
      </c>
    </row>
    <row r="2712" spans="1:9" x14ac:dyDescent="0.15">
      <c r="A2712" s="2">
        <v>299822</v>
      </c>
      <c r="B2712" s="2" t="s">
        <v>81</v>
      </c>
      <c r="C2712" s="2">
        <v>2018</v>
      </c>
      <c r="D2712" s="2" t="s">
        <v>1</v>
      </c>
      <c r="E2712" s="2" t="s">
        <v>24</v>
      </c>
      <c r="F2712" s="2" t="s">
        <v>35</v>
      </c>
      <c r="G2712" s="7"/>
      <c r="H2712" s="13" t="str">
        <f>IFERROR(IF(ABS($G2712)&gt;0,VLOOKUP($E2712,'Fuel Category and Heat Rate'!$B$1:$G$34,6,FALSE)*($G2712),""),"")</f>
        <v/>
      </c>
      <c r="I2712" t="str">
        <f>IFERROR(VLOOKUP($E2712,'Fuel Category and Heat Rate'!$K$2:$M$36,3,FALSE),"")</f>
        <v>heavy fuel oil</v>
      </c>
    </row>
    <row r="2713" spans="1:9" x14ac:dyDescent="0.15">
      <c r="A2713" s="2">
        <v>299857</v>
      </c>
      <c r="B2713" s="2" t="s">
        <v>81</v>
      </c>
      <c r="C2713" s="2">
        <v>2018</v>
      </c>
      <c r="D2713" s="2" t="s">
        <v>1</v>
      </c>
      <c r="E2713" s="2" t="s">
        <v>29</v>
      </c>
      <c r="F2713" s="2" t="s">
        <v>36</v>
      </c>
      <c r="G2713" s="7">
        <v>-0.34</v>
      </c>
      <c r="H2713" s="13">
        <f>IFERROR(IF(ABS($G2713)&gt;0,VLOOKUP($E2713,'Fuel Category and Heat Rate'!$B$1:$G$34,6,FALSE)*($G2713),""),"")</f>
        <v>-1146738345652.5076</v>
      </c>
      <c r="I2713" t="str">
        <f>IFERROR(VLOOKUP($E2713,'Fuel Category and Heat Rate'!$K$2:$M$36,3,FALSE),"")</f>
        <v>natural gas</v>
      </c>
    </row>
    <row r="2714" spans="1:9" x14ac:dyDescent="0.15">
      <c r="A2714" s="2">
        <v>299892</v>
      </c>
      <c r="B2714" s="2" t="s">
        <v>81</v>
      </c>
      <c r="C2714" s="2">
        <v>2018</v>
      </c>
      <c r="D2714" s="2" t="s">
        <v>1</v>
      </c>
      <c r="E2714" s="2" t="s">
        <v>4</v>
      </c>
      <c r="F2714" s="2" t="s">
        <v>35</v>
      </c>
      <c r="G2714" s="7"/>
      <c r="H2714" s="13" t="str">
        <f>IFERROR(IF(ABS($G2714)&gt;0,VLOOKUP($E2714,'Fuel Category and Heat Rate'!$B$1:$G$34,6,FALSE)*($G2714),""),"")</f>
        <v/>
      </c>
      <c r="I2714" t="str">
        <f>IFERROR(VLOOKUP($E2714,'Fuel Category and Heat Rate'!$K$2:$M$36,3,FALSE),"")</f>
        <v>coal</v>
      </c>
    </row>
    <row r="2715" spans="1:9" x14ac:dyDescent="0.15">
      <c r="A2715" s="2">
        <v>299927</v>
      </c>
      <c r="B2715" s="2" t="s">
        <v>81</v>
      </c>
      <c r="C2715" s="2">
        <v>2018</v>
      </c>
      <c r="D2715" s="2" t="s">
        <v>1</v>
      </c>
      <c r="E2715" s="2" t="s">
        <v>6</v>
      </c>
      <c r="F2715" s="2" t="s">
        <v>35</v>
      </c>
      <c r="G2715" s="7"/>
      <c r="H2715" s="13" t="str">
        <f>IFERROR(IF(ABS($G2715)&gt;0,VLOOKUP($E2715,'Fuel Category and Heat Rate'!$B$1:$G$34,6,FALSE)*($G2715),""),"")</f>
        <v/>
      </c>
      <c r="I2715" t="str">
        <f>IFERROR(VLOOKUP($E2715,'Fuel Category and Heat Rate'!$K$2:$M$36,3,FALSE),"")</f>
        <v>coal</v>
      </c>
    </row>
    <row r="2716" spans="1:9" x14ac:dyDescent="0.15">
      <c r="A2716" s="2">
        <v>299962</v>
      </c>
      <c r="B2716" s="2" t="s">
        <v>81</v>
      </c>
      <c r="C2716" s="2">
        <v>2018</v>
      </c>
      <c r="D2716" s="2" t="s">
        <v>1</v>
      </c>
      <c r="E2716" s="2" t="s">
        <v>26</v>
      </c>
      <c r="F2716" s="2" t="s">
        <v>35</v>
      </c>
      <c r="G2716" s="7"/>
      <c r="H2716" s="13" t="str">
        <f>IFERROR(IF(ABS($G2716)&gt;0,VLOOKUP($E2716,'Fuel Category and Heat Rate'!$B$1:$G$34,6,FALSE)*($G2716),""),"")</f>
        <v/>
      </c>
      <c r="I2716" t="str">
        <f>IFERROR(VLOOKUP($E2716,'Fuel Category and Heat Rate'!$K$2:$M$36,3,FALSE),"")</f>
        <v>LPG propane or butane</v>
      </c>
    </row>
    <row r="2717" spans="1:9" x14ac:dyDescent="0.15">
      <c r="A2717" s="2">
        <v>299997</v>
      </c>
      <c r="B2717" s="2" t="s">
        <v>81</v>
      </c>
      <c r="C2717" s="2">
        <v>2018</v>
      </c>
      <c r="D2717" s="2" t="s">
        <v>1</v>
      </c>
      <c r="E2717" s="2" t="s">
        <v>30</v>
      </c>
      <c r="F2717" s="2" t="s">
        <v>35</v>
      </c>
      <c r="G2717" s="7"/>
      <c r="H2717" s="13" t="str">
        <f>IFERROR(IF(ABS($G2717)&gt;0,VLOOKUP($E2717,'Fuel Category and Heat Rate'!$B$1:$G$34,6,FALSE)*($G2717),""),"")</f>
        <v/>
      </c>
      <c r="I2717" t="str">
        <f>IFERROR(VLOOKUP($E2717,'Fuel Category and Heat Rate'!$K$2:$M$36,3,FALSE),"")</f>
        <v>natural gas</v>
      </c>
    </row>
    <row r="2718" spans="1:9" x14ac:dyDescent="0.15">
      <c r="A2718" s="2">
        <v>300032</v>
      </c>
      <c r="B2718" s="2" t="s">
        <v>81</v>
      </c>
      <c r="C2718" s="2">
        <v>2018</v>
      </c>
      <c r="D2718" s="2" t="s">
        <v>1</v>
      </c>
      <c r="E2718" s="2" t="s">
        <v>14</v>
      </c>
      <c r="F2718" s="2" t="s">
        <v>35</v>
      </c>
      <c r="G2718" s="7">
        <v>-36.78</v>
      </c>
      <c r="H2718" s="13">
        <f>IFERROR(IF(ABS($G2718)&gt;0,VLOOKUP($E2718,'Fuel Category and Heat Rate'!$B$1:$G$34,6,FALSE)*($G2718),""),"")</f>
        <v>0</v>
      </c>
      <c r="I2718" t="str">
        <f>IFERROR(VLOOKUP($E2718,'Fuel Category and Heat Rate'!$K$2:$M$36,3,FALSE),"")</f>
        <v/>
      </c>
    </row>
    <row r="2719" spans="1:9" x14ac:dyDescent="0.15">
      <c r="A2719" s="2">
        <v>300067</v>
      </c>
      <c r="B2719" s="2" t="s">
        <v>81</v>
      </c>
      <c r="C2719" s="2">
        <v>2018</v>
      </c>
      <c r="D2719" s="2" t="s">
        <v>1</v>
      </c>
      <c r="E2719" s="2" t="s">
        <v>3</v>
      </c>
      <c r="F2719" s="2" t="s">
        <v>35</v>
      </c>
      <c r="G2719" s="7">
        <v>-3979.22</v>
      </c>
      <c r="H2719" s="13">
        <f>IFERROR(IF(ABS($G2719)&gt;0,VLOOKUP($E2719,'Fuel Category and Heat Rate'!$B$1:$G$34,6,FALSE)*($G2719),""),"")</f>
        <v>-788560451657606.5</v>
      </c>
      <c r="I2719" t="str">
        <f>IFERROR(VLOOKUP($E2719,'Fuel Category and Heat Rate'!$K$2:$M$36,3,FALSE),"")</f>
        <v>coal</v>
      </c>
    </row>
    <row r="2720" spans="1:9" x14ac:dyDescent="0.15">
      <c r="A2720" s="2">
        <v>300102</v>
      </c>
      <c r="B2720" s="2" t="s">
        <v>81</v>
      </c>
      <c r="C2720" s="2">
        <v>2018</v>
      </c>
      <c r="D2720" s="2" t="s">
        <v>1</v>
      </c>
      <c r="E2720" s="2" t="s">
        <v>15</v>
      </c>
      <c r="F2720" s="2" t="s">
        <v>35</v>
      </c>
      <c r="G2720" s="7"/>
      <c r="H2720" s="13" t="str">
        <f>IFERROR(IF(ABS($G2720)&gt;0,VLOOKUP($E2720,'Fuel Category and Heat Rate'!$B$1:$G$34,6,FALSE)*($G2720),""),"")</f>
        <v/>
      </c>
      <c r="I2720" t="str">
        <f>IFERROR(VLOOKUP($E2720,'Fuel Category and Heat Rate'!$K$2:$M$36,3,FALSE),"")</f>
        <v>crude oil</v>
      </c>
    </row>
    <row r="2721" spans="1:9" x14ac:dyDescent="0.15">
      <c r="A2721" s="2">
        <v>300137</v>
      </c>
      <c r="B2721" s="2" t="s">
        <v>81</v>
      </c>
      <c r="C2721" s="2">
        <v>2018</v>
      </c>
      <c r="D2721" s="2" t="s">
        <v>1</v>
      </c>
      <c r="E2721" s="2" t="s">
        <v>11</v>
      </c>
      <c r="F2721" s="2" t="s">
        <v>36</v>
      </c>
      <c r="G2721" s="7">
        <v>-5.62</v>
      </c>
      <c r="H2721" s="13">
        <f>IFERROR(IF(ABS($G2721)&gt;0,VLOOKUP($E2721,'Fuel Category and Heat Rate'!$B$1:$G$34,6,FALSE)*($G2721),""),"")</f>
        <v>-4232088756249.2549</v>
      </c>
      <c r="I2721" t="str">
        <f>IFERROR(VLOOKUP($E2721,'Fuel Category and Heat Rate'!$K$2:$M$36,3,FALSE),"")</f>
        <v>LPG propane or butane</v>
      </c>
    </row>
    <row r="2722" spans="1:9" x14ac:dyDescent="0.15">
      <c r="A2722" s="2">
        <v>312982</v>
      </c>
      <c r="B2722" s="2" t="s">
        <v>82</v>
      </c>
      <c r="C2722" s="2">
        <v>2022</v>
      </c>
      <c r="D2722" s="2" t="s">
        <v>1</v>
      </c>
      <c r="E2722" s="2" t="s">
        <v>18</v>
      </c>
      <c r="F2722" s="2" t="s">
        <v>35</v>
      </c>
      <c r="G2722" s="7">
        <v>-0.08</v>
      </c>
      <c r="H2722" s="13">
        <f>IFERROR(IF(ABS($G2722)&gt;0,VLOOKUP($E2722,'Fuel Category and Heat Rate'!$B$1:$G$34,6,FALSE)*($G2722),""),"")</f>
        <v>-32341036732.794762</v>
      </c>
      <c r="I2722" t="str">
        <f>IFERROR(VLOOKUP($E2722,'Fuel Category and Heat Rate'!$K$2:$M$36,3,FALSE),"")</f>
        <v>petroleum diesel</v>
      </c>
    </row>
    <row r="2723" spans="1:9" x14ac:dyDescent="0.15">
      <c r="A2723" s="2">
        <v>313017</v>
      </c>
      <c r="B2723" s="2" t="s">
        <v>82</v>
      </c>
      <c r="C2723" s="2">
        <v>2022</v>
      </c>
      <c r="D2723" s="2" t="s">
        <v>1</v>
      </c>
      <c r="E2723" s="2" t="s">
        <v>32</v>
      </c>
      <c r="F2723" s="2" t="s">
        <v>65</v>
      </c>
      <c r="G2723" s="7">
        <v>-0.83</v>
      </c>
      <c r="H2723" s="13">
        <f>IFERROR(IF(ABS($G2723)&gt;0,VLOOKUP($E2723,'Fuel Category and Heat Rate'!$B$1:$G$34,6,FALSE)*($G2723),""),"")</f>
        <v>-283207756252.90356</v>
      </c>
      <c r="I2723" t="str">
        <f>IFERROR(VLOOKUP($E2723,'Fuel Category and Heat Rate'!$K$2:$M$36,3,FALSE),"")</f>
        <v>electricity</v>
      </c>
    </row>
    <row r="2724" spans="1:9" x14ac:dyDescent="0.15">
      <c r="A2724" s="2">
        <v>313052</v>
      </c>
      <c r="B2724" s="2" t="s">
        <v>82</v>
      </c>
      <c r="C2724" s="2">
        <v>2022</v>
      </c>
      <c r="D2724" s="2" t="s">
        <v>1</v>
      </c>
      <c r="E2724" s="2" t="s">
        <v>10</v>
      </c>
      <c r="F2724" s="2" t="s">
        <v>36</v>
      </c>
      <c r="G2724" s="7">
        <v>-18.600000000000001</v>
      </c>
      <c r="H2724" s="13">
        <f>IFERROR(IF(ABS($G2724)&gt;0,VLOOKUP($E2724,'Fuel Category and Heat Rate'!$B$1:$G$34,6,FALSE)*($G2724),""),"")</f>
        <v>-6633942648628.5068</v>
      </c>
      <c r="I2724" t="str">
        <f>IFERROR(VLOOKUP($E2724,'Fuel Category and Heat Rate'!$K$2:$M$36,3,FALSE),"")</f>
        <v>LPG propane or butane</v>
      </c>
    </row>
    <row r="2725" spans="1:9" x14ac:dyDescent="0.15">
      <c r="A2725" s="2">
        <v>313087</v>
      </c>
      <c r="B2725" s="2" t="s">
        <v>82</v>
      </c>
      <c r="C2725" s="2">
        <v>2022</v>
      </c>
      <c r="D2725" s="2" t="s">
        <v>1</v>
      </c>
      <c r="E2725" s="2" t="s">
        <v>9</v>
      </c>
      <c r="F2725" s="2" t="s">
        <v>36</v>
      </c>
      <c r="G2725" s="7">
        <v>-1.83</v>
      </c>
      <c r="H2725" s="13">
        <f>IFERROR(IF(ABS($G2725)&gt;0,VLOOKUP($E2725,'Fuel Category and Heat Rate'!$B$1:$G$34,6,FALSE)*($G2725),""),"")</f>
        <v>-3009973832190.9692</v>
      </c>
      <c r="I2725" t="str">
        <f>IFERROR(VLOOKUP($E2725,'Fuel Category and Heat Rate'!$K$2:$M$36,3,FALSE),"")</f>
        <v>LPG propane or butane</v>
      </c>
    </row>
    <row r="2726" spans="1:9" x14ac:dyDescent="0.15">
      <c r="A2726" s="2">
        <v>313122</v>
      </c>
      <c r="B2726" s="2" t="s">
        <v>82</v>
      </c>
      <c r="C2726" s="2">
        <v>2022</v>
      </c>
      <c r="D2726" s="2" t="s">
        <v>1</v>
      </c>
      <c r="E2726" s="2" t="s">
        <v>8</v>
      </c>
      <c r="F2726" s="2" t="s">
        <v>35</v>
      </c>
      <c r="G2726" s="7"/>
      <c r="H2726" s="13" t="str">
        <f>IFERROR(IF(ABS($G2726)&gt;0,VLOOKUP($E2726,'Fuel Category and Heat Rate'!$B$1:$G$34,6,FALSE)*($G2726),""),"")</f>
        <v/>
      </c>
      <c r="I2726" t="str">
        <f>IFERROR(VLOOKUP($E2726,'Fuel Category and Heat Rate'!$K$2:$M$36,3,FALSE),"")</f>
        <v>coal</v>
      </c>
    </row>
    <row r="2727" spans="1:9" x14ac:dyDescent="0.15">
      <c r="A2727" s="2">
        <v>313157</v>
      </c>
      <c r="B2727" s="2" t="s">
        <v>82</v>
      </c>
      <c r="C2727" s="2">
        <v>2022</v>
      </c>
      <c r="D2727" s="2" t="s">
        <v>1</v>
      </c>
      <c r="E2727" s="2" t="s">
        <v>27</v>
      </c>
      <c r="F2727" s="2" t="s">
        <v>35</v>
      </c>
      <c r="G2727" s="7"/>
      <c r="H2727" s="13" t="str">
        <f>IFERROR(IF(ABS($G2727)&gt;0,VLOOKUP($E2727,'Fuel Category and Heat Rate'!$B$1:$G$34,6,FALSE)*($G2727),""),"")</f>
        <v/>
      </c>
      <c r="I2727" t="str">
        <f>IFERROR(VLOOKUP($E2727,'Fuel Category and Heat Rate'!$K$2:$M$36,3,FALSE),"")</f>
        <v>LPG propane or butane</v>
      </c>
    </row>
    <row r="2728" spans="1:9" x14ac:dyDescent="0.15">
      <c r="A2728" s="2">
        <v>313192</v>
      </c>
      <c r="B2728" s="2" t="s">
        <v>82</v>
      </c>
      <c r="C2728" s="2">
        <v>2022</v>
      </c>
      <c r="D2728" s="2" t="s">
        <v>1</v>
      </c>
      <c r="E2728" s="2" t="s">
        <v>7</v>
      </c>
      <c r="F2728" s="2" t="s">
        <v>35</v>
      </c>
      <c r="G2728" s="7">
        <v>-56.98</v>
      </c>
      <c r="H2728" s="13">
        <f>IFERROR(IF(ABS($G2728)&gt;0,VLOOKUP($E2728,'Fuel Category and Heat Rate'!$B$1:$G$34,6,FALSE)*($G2728),""),"")</f>
        <v>-4522514329454.6914</v>
      </c>
      <c r="I2728" t="str">
        <f>IFERROR(VLOOKUP($E2728,'Fuel Category and Heat Rate'!$K$2:$M$36,3,FALSE),"")</f>
        <v>coal</v>
      </c>
    </row>
    <row r="2729" spans="1:9" x14ac:dyDescent="0.15">
      <c r="A2729" s="2">
        <v>313227</v>
      </c>
      <c r="B2729" s="2" t="s">
        <v>82</v>
      </c>
      <c r="C2729" s="2">
        <v>2022</v>
      </c>
      <c r="D2729" s="2" t="s">
        <v>1</v>
      </c>
      <c r="E2729" s="2" t="s">
        <v>2</v>
      </c>
      <c r="F2729" s="2" t="s">
        <v>35</v>
      </c>
      <c r="G2729" s="7">
        <v>-5558.12</v>
      </c>
      <c r="H2729" s="13">
        <f>IFERROR(IF(ABS($G2729)&gt;0,VLOOKUP($E2729,'Fuel Category and Heat Rate'!$B$1:$G$34,6,FALSE)*($G2729),""),"")</f>
        <v>0</v>
      </c>
      <c r="I2729" t="str">
        <f>IFERROR(VLOOKUP($E2729,'Fuel Category and Heat Rate'!$K$2:$M$36,3,FALSE),"")</f>
        <v/>
      </c>
    </row>
    <row r="2730" spans="1:9" x14ac:dyDescent="0.15">
      <c r="A2730" s="2">
        <v>313262</v>
      </c>
      <c r="B2730" s="2" t="s">
        <v>82</v>
      </c>
      <c r="C2730" s="2">
        <v>2022</v>
      </c>
      <c r="D2730" s="2" t="s">
        <v>1</v>
      </c>
      <c r="E2730" s="2" t="s">
        <v>17</v>
      </c>
      <c r="F2730" s="2" t="s">
        <v>35</v>
      </c>
      <c r="G2730" s="7"/>
      <c r="H2730" s="13" t="str">
        <f>IFERROR(IF(ABS($G2730)&gt;0,VLOOKUP($E2730,'Fuel Category and Heat Rate'!$B$1:$G$34,6,FALSE)*($G2730),""),"")</f>
        <v/>
      </c>
      <c r="I2730" t="str">
        <f>IFERROR(VLOOKUP($E2730,'Fuel Category and Heat Rate'!$K$2:$M$36,3,FALSE),"")</f>
        <v>petroleum diesel</v>
      </c>
    </row>
    <row r="2731" spans="1:9" x14ac:dyDescent="0.15">
      <c r="A2731" s="2">
        <v>313297</v>
      </c>
      <c r="B2731" s="2" t="s">
        <v>82</v>
      </c>
      <c r="C2731" s="2">
        <v>2022</v>
      </c>
      <c r="D2731" s="2" t="s">
        <v>1</v>
      </c>
      <c r="E2731" s="2" t="s">
        <v>13</v>
      </c>
      <c r="F2731" s="2" t="s">
        <v>35</v>
      </c>
      <c r="G2731" s="7"/>
      <c r="H2731" s="13" t="str">
        <f>IFERROR(IF(ABS($G2731)&gt;0,VLOOKUP($E2731,'Fuel Category and Heat Rate'!$B$1:$G$34,6,FALSE)*($G2731),""),"")</f>
        <v/>
      </c>
      <c r="I2731" t="str">
        <f>IFERROR(VLOOKUP($E2731,'Fuel Category and Heat Rate'!$K$2:$M$36,3,FALSE),"")</f>
        <v>petroleum diesel</v>
      </c>
    </row>
    <row r="2732" spans="1:9" x14ac:dyDescent="0.15">
      <c r="A2732" s="2">
        <v>313332</v>
      </c>
      <c r="B2732" s="2" t="s">
        <v>82</v>
      </c>
      <c r="C2732" s="2">
        <v>2022</v>
      </c>
      <c r="D2732" s="2" t="s">
        <v>1</v>
      </c>
      <c r="E2732" s="2" t="s">
        <v>12</v>
      </c>
      <c r="F2732" s="2" t="s">
        <v>36</v>
      </c>
      <c r="G2732" s="7"/>
      <c r="H2732" s="13" t="str">
        <f>IFERROR(IF(ABS($G2732)&gt;0,VLOOKUP($E2732,'Fuel Category and Heat Rate'!$B$1:$G$34,6,FALSE)*($G2732),""),"")</f>
        <v/>
      </c>
      <c r="I2732" t="str">
        <f>IFERROR(VLOOKUP($E2732,'Fuel Category and Heat Rate'!$K$2:$M$36,3,FALSE),"")</f>
        <v>LPG propane or butane</v>
      </c>
    </row>
    <row r="2733" spans="1:9" x14ac:dyDescent="0.15">
      <c r="A2733" s="2">
        <v>313367</v>
      </c>
      <c r="B2733" s="2" t="s">
        <v>82</v>
      </c>
      <c r="C2733" s="2">
        <v>2022</v>
      </c>
      <c r="D2733" s="2" t="s">
        <v>1</v>
      </c>
      <c r="E2733" s="2" t="s">
        <v>33</v>
      </c>
      <c r="F2733" s="2" t="s">
        <v>38</v>
      </c>
      <c r="G2733" s="7">
        <v>-9.67</v>
      </c>
      <c r="H2733" s="13">
        <f>IFERROR(IF(ABS($G2733)&gt;0,VLOOKUP($E2733,'Fuel Category and Heat Rate'!$B$1:$G$34,6,FALSE)*($G2733),""),"")</f>
        <v>-2682801768266.5801</v>
      </c>
      <c r="I2733" t="str">
        <f>IFERROR(VLOOKUP($E2733,'Fuel Category and Heat Rate'!$K$2:$M$36,3,FALSE),"")</f>
        <v>biomass</v>
      </c>
    </row>
    <row r="2734" spans="1:9" x14ac:dyDescent="0.15">
      <c r="A2734" s="2">
        <v>313402</v>
      </c>
      <c r="B2734" s="2" t="s">
        <v>82</v>
      </c>
      <c r="C2734" s="2">
        <v>2022</v>
      </c>
      <c r="D2734" s="2" t="s">
        <v>1</v>
      </c>
      <c r="E2734" s="2" t="s">
        <v>28</v>
      </c>
      <c r="F2734" s="2" t="s">
        <v>35</v>
      </c>
      <c r="G2734" s="7"/>
      <c r="H2734" s="13" t="str">
        <f>IFERROR(IF(ABS($G2734)&gt;0,VLOOKUP($E2734,'Fuel Category and Heat Rate'!$B$1:$G$34,6,FALSE)*($G2734),""),"")</f>
        <v/>
      </c>
      <c r="I2734" t="str">
        <f>IFERROR(VLOOKUP($E2734,'Fuel Category and Heat Rate'!$K$2:$M$36,3,FALSE),"")</f>
        <v>heavy or residual fuel oil</v>
      </c>
    </row>
    <row r="2735" spans="1:9" x14ac:dyDescent="0.15">
      <c r="A2735" s="2">
        <v>313437</v>
      </c>
      <c r="B2735" s="2" t="s">
        <v>82</v>
      </c>
      <c r="C2735" s="2">
        <v>2022</v>
      </c>
      <c r="D2735" s="2" t="s">
        <v>1</v>
      </c>
      <c r="E2735" s="2" t="s">
        <v>5</v>
      </c>
      <c r="F2735" s="2" t="s">
        <v>35</v>
      </c>
      <c r="G2735" s="7">
        <v>-19.79</v>
      </c>
      <c r="H2735" s="13">
        <f>IFERROR(IF(ABS($G2735)&gt;0,VLOOKUP($E2735,'Fuel Category and Heat Rate'!$B$1:$G$34,6,FALSE)*($G2735),""),"")</f>
        <v>-1568673070719.4314</v>
      </c>
      <c r="I2735" t="str">
        <f>IFERROR(VLOOKUP($E2735,'Fuel Category and Heat Rate'!$K$2:$M$36,3,FALSE),"")</f>
        <v>coal</v>
      </c>
    </row>
    <row r="2736" spans="1:9" x14ac:dyDescent="0.15">
      <c r="A2736" s="2">
        <v>313472</v>
      </c>
      <c r="B2736" s="2" t="s">
        <v>82</v>
      </c>
      <c r="C2736" s="2">
        <v>2022</v>
      </c>
      <c r="D2736" s="2" t="s">
        <v>1</v>
      </c>
      <c r="E2736" s="2" t="s">
        <v>16</v>
      </c>
      <c r="F2736" s="2" t="s">
        <v>35</v>
      </c>
      <c r="G2736" s="7"/>
      <c r="H2736" s="13" t="str">
        <f>IFERROR(IF(ABS($G2736)&gt;0,VLOOKUP($E2736,'Fuel Category and Heat Rate'!$B$1:$G$34,6,FALSE)*($G2736),""),"")</f>
        <v/>
      </c>
      <c r="I2736" t="str">
        <f>IFERROR(VLOOKUP($E2736,'Fuel Category and Heat Rate'!$K$2:$M$36,3,FALSE),"")</f>
        <v>petroleum diesel</v>
      </c>
    </row>
    <row r="2737" spans="1:9" x14ac:dyDescent="0.15">
      <c r="A2737" s="2">
        <v>313507</v>
      </c>
      <c r="B2737" s="2" t="s">
        <v>82</v>
      </c>
      <c r="C2737" s="2">
        <v>2022</v>
      </c>
      <c r="D2737" s="2" t="s">
        <v>1</v>
      </c>
      <c r="E2737" s="2" t="s">
        <v>19</v>
      </c>
      <c r="F2737" s="2" t="s">
        <v>35</v>
      </c>
      <c r="G2737" s="7"/>
      <c r="H2737" s="13" t="str">
        <f>IFERROR(IF(ABS($G2737)&gt;0,VLOOKUP($E2737,'Fuel Category and Heat Rate'!$B$1:$G$34,6,FALSE)*($G2737),""),"")</f>
        <v/>
      </c>
      <c r="I2737" t="str">
        <f>IFERROR(VLOOKUP($E2737,'Fuel Category and Heat Rate'!$K$2:$M$36,3,FALSE),"")</f>
        <v>heavy or residual fuel oil</v>
      </c>
    </row>
    <row r="2738" spans="1:9" x14ac:dyDescent="0.15">
      <c r="A2738" s="2">
        <v>313542</v>
      </c>
      <c r="B2738" s="2" t="s">
        <v>82</v>
      </c>
      <c r="C2738" s="2">
        <v>2022</v>
      </c>
      <c r="D2738" s="2" t="s">
        <v>1</v>
      </c>
      <c r="E2738" s="2" t="s">
        <v>31</v>
      </c>
      <c r="F2738" s="2" t="s">
        <v>37</v>
      </c>
      <c r="G2738" s="7">
        <v>71633.759999999995</v>
      </c>
      <c r="H2738" s="13">
        <f>IFERROR(IF(ABS($G2738)&gt;0,VLOOKUP($E2738,'Fuel Category and Heat Rate'!$B$1:$G$34,6,FALSE)*($G2738),""),"")</f>
        <v>678957042890193.88</v>
      </c>
      <c r="I2738" t="str">
        <f>IFERROR(VLOOKUP($E2738,'Fuel Category and Heat Rate'!$K$2:$M$36,3,FALSE),"")</f>
        <v>heat</v>
      </c>
    </row>
    <row r="2739" spans="1:9" x14ac:dyDescent="0.15">
      <c r="A2739" s="2">
        <v>313577</v>
      </c>
      <c r="B2739" s="2" t="s">
        <v>82</v>
      </c>
      <c r="C2739" s="2">
        <v>2022</v>
      </c>
      <c r="D2739" s="2" t="s">
        <v>1</v>
      </c>
      <c r="E2739" s="2" t="s">
        <v>23</v>
      </c>
      <c r="F2739" s="2" t="s">
        <v>35</v>
      </c>
      <c r="G2739" s="7"/>
      <c r="H2739" s="13" t="str">
        <f>IFERROR(IF(ABS($G2739)&gt;0,VLOOKUP($E2739,'Fuel Category and Heat Rate'!$B$1:$G$34,6,FALSE)*($G2739),""),"")</f>
        <v/>
      </c>
      <c r="I2739" t="str">
        <f>IFERROR(VLOOKUP($E2739,'Fuel Category and Heat Rate'!$K$2:$M$36,3,FALSE),"")</f>
        <v>heavy or residual fuel oil</v>
      </c>
    </row>
    <row r="2740" spans="1:9" x14ac:dyDescent="0.15">
      <c r="A2740" s="2">
        <v>313612</v>
      </c>
      <c r="B2740" s="2" t="s">
        <v>82</v>
      </c>
      <c r="C2740" s="2">
        <v>2022</v>
      </c>
      <c r="D2740" s="2" t="s">
        <v>1</v>
      </c>
      <c r="E2740" s="2" t="s">
        <v>21</v>
      </c>
      <c r="F2740" s="2" t="s">
        <v>35</v>
      </c>
      <c r="G2740" s="7"/>
      <c r="H2740" s="13" t="str">
        <f>IFERROR(IF(ABS($G2740)&gt;0,VLOOKUP($E2740,'Fuel Category and Heat Rate'!$B$1:$G$34,6,FALSE)*($G2740),""),"")</f>
        <v/>
      </c>
      <c r="I2740" t="str">
        <f>IFERROR(VLOOKUP($E2740,'Fuel Category and Heat Rate'!$K$2:$M$36,3,FALSE),"")</f>
        <v>LPG propane or butane</v>
      </c>
    </row>
    <row r="2741" spans="1:9" x14ac:dyDescent="0.15">
      <c r="A2741" s="2">
        <v>313647</v>
      </c>
      <c r="B2741" s="2" t="s">
        <v>82</v>
      </c>
      <c r="C2741" s="2">
        <v>2022</v>
      </c>
      <c r="D2741" s="2" t="s">
        <v>1</v>
      </c>
      <c r="E2741" s="2" t="s">
        <v>22</v>
      </c>
      <c r="F2741" s="2" t="s">
        <v>35</v>
      </c>
      <c r="G2741" s="7"/>
      <c r="H2741" s="13" t="str">
        <f>IFERROR(IF(ABS($G2741)&gt;0,VLOOKUP($E2741,'Fuel Category and Heat Rate'!$B$1:$G$34,6,FALSE)*($G2741),""),"")</f>
        <v/>
      </c>
      <c r="I2741" t="str">
        <f>IFERROR(VLOOKUP($E2741,'Fuel Category and Heat Rate'!$K$2:$M$36,3,FALSE),"")</f>
        <v>heavy fuel oil</v>
      </c>
    </row>
    <row r="2742" spans="1:9" x14ac:dyDescent="0.15">
      <c r="A2742" s="2">
        <v>313682</v>
      </c>
      <c r="B2742" s="2" t="s">
        <v>82</v>
      </c>
      <c r="C2742" s="2">
        <v>2022</v>
      </c>
      <c r="D2742" s="2" t="s">
        <v>1</v>
      </c>
      <c r="E2742" s="2" t="s">
        <v>20</v>
      </c>
      <c r="F2742" s="2" t="s">
        <v>35</v>
      </c>
      <c r="G2742" s="7"/>
      <c r="H2742" s="13" t="str">
        <f>IFERROR(IF(ABS($G2742)&gt;0,VLOOKUP($E2742,'Fuel Category and Heat Rate'!$B$1:$G$34,6,FALSE)*($G2742),""),"")</f>
        <v/>
      </c>
      <c r="I2742" t="str">
        <f>IFERROR(VLOOKUP($E2742,'Fuel Category and Heat Rate'!$K$2:$M$36,3,FALSE),"")</f>
        <v>LPG propane or butane</v>
      </c>
    </row>
    <row r="2743" spans="1:9" x14ac:dyDescent="0.15">
      <c r="A2743" s="2">
        <v>313717</v>
      </c>
      <c r="B2743" s="2" t="s">
        <v>82</v>
      </c>
      <c r="C2743" s="2">
        <v>2022</v>
      </c>
      <c r="D2743" s="2" t="s">
        <v>1</v>
      </c>
      <c r="E2743" s="2" t="s">
        <v>25</v>
      </c>
      <c r="F2743" s="2" t="s">
        <v>35</v>
      </c>
      <c r="G2743" s="7"/>
      <c r="H2743" s="13" t="str">
        <f>IFERROR(IF(ABS($G2743)&gt;0,VLOOKUP($E2743,'Fuel Category and Heat Rate'!$B$1:$G$34,6,FALSE)*($G2743),""),"")</f>
        <v/>
      </c>
      <c r="I2743" t="str">
        <f>IFERROR(VLOOKUP($E2743,'Fuel Category and Heat Rate'!$K$2:$M$36,3,FALSE),"")</f>
        <v>heavy fuel oil</v>
      </c>
    </row>
    <row r="2744" spans="1:9" x14ac:dyDescent="0.15">
      <c r="A2744" s="2">
        <v>313752</v>
      </c>
      <c r="B2744" s="2" t="s">
        <v>82</v>
      </c>
      <c r="C2744" s="2">
        <v>2022</v>
      </c>
      <c r="D2744" s="2" t="s">
        <v>1</v>
      </c>
      <c r="E2744" s="2" t="s">
        <v>24</v>
      </c>
      <c r="F2744" s="2" t="s">
        <v>35</v>
      </c>
      <c r="G2744" s="7"/>
      <c r="H2744" s="13" t="str">
        <f>IFERROR(IF(ABS($G2744)&gt;0,VLOOKUP($E2744,'Fuel Category and Heat Rate'!$B$1:$G$34,6,FALSE)*($G2744),""),"")</f>
        <v/>
      </c>
      <c r="I2744" t="str">
        <f>IFERROR(VLOOKUP($E2744,'Fuel Category and Heat Rate'!$K$2:$M$36,3,FALSE),"")</f>
        <v>heavy fuel oil</v>
      </c>
    </row>
    <row r="2745" spans="1:9" x14ac:dyDescent="0.15">
      <c r="A2745" s="2">
        <v>313787</v>
      </c>
      <c r="B2745" s="2" t="s">
        <v>82</v>
      </c>
      <c r="C2745" s="2">
        <v>2022</v>
      </c>
      <c r="D2745" s="2" t="s">
        <v>1</v>
      </c>
      <c r="E2745" s="2" t="s">
        <v>29</v>
      </c>
      <c r="F2745" s="2" t="s">
        <v>36</v>
      </c>
      <c r="G2745" s="7">
        <v>-2.62</v>
      </c>
      <c r="H2745" s="13">
        <f>IFERROR(IF(ABS($G2745)&gt;0,VLOOKUP($E2745,'Fuel Category and Heat Rate'!$B$1:$G$34,6,FALSE)*($G2745),""),"")</f>
        <v>-8836630781204.6172</v>
      </c>
      <c r="I2745" t="str">
        <f>IFERROR(VLOOKUP($E2745,'Fuel Category and Heat Rate'!$K$2:$M$36,3,FALSE),"")</f>
        <v>natural gas</v>
      </c>
    </row>
    <row r="2746" spans="1:9" x14ac:dyDescent="0.15">
      <c r="A2746" s="2">
        <v>313822</v>
      </c>
      <c r="B2746" s="2" t="s">
        <v>82</v>
      </c>
      <c r="C2746" s="2">
        <v>2022</v>
      </c>
      <c r="D2746" s="2" t="s">
        <v>1</v>
      </c>
      <c r="E2746" s="2" t="s">
        <v>4</v>
      </c>
      <c r="F2746" s="2" t="s">
        <v>35</v>
      </c>
      <c r="G2746" s="7"/>
      <c r="H2746" s="13" t="str">
        <f>IFERROR(IF(ABS($G2746)&gt;0,VLOOKUP($E2746,'Fuel Category and Heat Rate'!$B$1:$G$34,6,FALSE)*($G2746),""),"")</f>
        <v/>
      </c>
      <c r="I2746" t="str">
        <f>IFERROR(VLOOKUP($E2746,'Fuel Category and Heat Rate'!$K$2:$M$36,3,FALSE),"")</f>
        <v>coal</v>
      </c>
    </row>
    <row r="2747" spans="1:9" x14ac:dyDescent="0.15">
      <c r="A2747" s="2">
        <v>313857</v>
      </c>
      <c r="B2747" s="2" t="s">
        <v>82</v>
      </c>
      <c r="C2747" s="2">
        <v>2022</v>
      </c>
      <c r="D2747" s="2" t="s">
        <v>1</v>
      </c>
      <c r="E2747" s="2" t="s">
        <v>6</v>
      </c>
      <c r="F2747" s="2" t="s">
        <v>35</v>
      </c>
      <c r="G2747" s="7"/>
      <c r="H2747" s="13" t="str">
        <f>IFERROR(IF(ABS($G2747)&gt;0,VLOOKUP($E2747,'Fuel Category and Heat Rate'!$B$1:$G$34,6,FALSE)*($G2747),""),"")</f>
        <v/>
      </c>
      <c r="I2747" t="str">
        <f>IFERROR(VLOOKUP($E2747,'Fuel Category and Heat Rate'!$K$2:$M$36,3,FALSE),"")</f>
        <v>coal</v>
      </c>
    </row>
    <row r="2748" spans="1:9" x14ac:dyDescent="0.15">
      <c r="A2748" s="2">
        <v>313892</v>
      </c>
      <c r="B2748" s="2" t="s">
        <v>82</v>
      </c>
      <c r="C2748" s="2">
        <v>2022</v>
      </c>
      <c r="D2748" s="2" t="s">
        <v>1</v>
      </c>
      <c r="E2748" s="2" t="s">
        <v>26</v>
      </c>
      <c r="F2748" s="2" t="s">
        <v>35</v>
      </c>
      <c r="G2748" s="7"/>
      <c r="H2748" s="13" t="str">
        <f>IFERROR(IF(ABS($G2748)&gt;0,VLOOKUP($E2748,'Fuel Category and Heat Rate'!$B$1:$G$34,6,FALSE)*($G2748),""),"")</f>
        <v/>
      </c>
      <c r="I2748" t="str">
        <f>IFERROR(VLOOKUP($E2748,'Fuel Category and Heat Rate'!$K$2:$M$36,3,FALSE),"")</f>
        <v>LPG propane or butane</v>
      </c>
    </row>
    <row r="2749" spans="1:9" x14ac:dyDescent="0.15">
      <c r="A2749" s="2">
        <v>313927</v>
      </c>
      <c r="B2749" s="2" t="s">
        <v>82</v>
      </c>
      <c r="C2749" s="2">
        <v>2022</v>
      </c>
      <c r="D2749" s="2" t="s">
        <v>1</v>
      </c>
      <c r="E2749" s="2" t="s">
        <v>30</v>
      </c>
      <c r="F2749" s="2" t="s">
        <v>35</v>
      </c>
      <c r="G2749" s="7"/>
      <c r="H2749" s="13" t="str">
        <f>IFERROR(IF(ABS($G2749)&gt;0,VLOOKUP($E2749,'Fuel Category and Heat Rate'!$B$1:$G$34,6,FALSE)*($G2749),""),"")</f>
        <v/>
      </c>
      <c r="I2749" t="str">
        <f>IFERROR(VLOOKUP($E2749,'Fuel Category and Heat Rate'!$K$2:$M$36,3,FALSE),"")</f>
        <v>natural gas</v>
      </c>
    </row>
    <row r="2750" spans="1:9" x14ac:dyDescent="0.15">
      <c r="A2750" s="2">
        <v>313962</v>
      </c>
      <c r="B2750" s="2" t="s">
        <v>82</v>
      </c>
      <c r="C2750" s="2">
        <v>2022</v>
      </c>
      <c r="D2750" s="2" t="s">
        <v>1</v>
      </c>
      <c r="E2750" s="2" t="s">
        <v>14</v>
      </c>
      <c r="F2750" s="2" t="s">
        <v>35</v>
      </c>
      <c r="G2750" s="7">
        <v>-0.09</v>
      </c>
      <c r="H2750" s="13">
        <f>IFERROR(IF(ABS($G2750)&gt;0,VLOOKUP($E2750,'Fuel Category and Heat Rate'!$B$1:$G$34,6,FALSE)*($G2750),""),"")</f>
        <v>0</v>
      </c>
      <c r="I2750" t="str">
        <f>IFERROR(VLOOKUP($E2750,'Fuel Category and Heat Rate'!$K$2:$M$36,3,FALSE),"")</f>
        <v/>
      </c>
    </row>
    <row r="2751" spans="1:9" x14ac:dyDescent="0.15">
      <c r="A2751" s="2">
        <v>313997</v>
      </c>
      <c r="B2751" s="2" t="s">
        <v>82</v>
      </c>
      <c r="C2751" s="2">
        <v>2022</v>
      </c>
      <c r="D2751" s="2" t="s">
        <v>1</v>
      </c>
      <c r="E2751" s="2" t="s">
        <v>3</v>
      </c>
      <c r="F2751" s="2" t="s">
        <v>35</v>
      </c>
      <c r="G2751" s="7">
        <v>-5538.33</v>
      </c>
      <c r="H2751" s="13">
        <f>IFERROR(IF(ABS($G2751)&gt;0,VLOOKUP($E2751,'Fuel Category and Heat Rate'!$B$1:$G$34,6,FALSE)*($G2751),""),"")</f>
        <v>-1097528662961302</v>
      </c>
      <c r="I2751" t="str">
        <f>IFERROR(VLOOKUP($E2751,'Fuel Category and Heat Rate'!$K$2:$M$36,3,FALSE),"")</f>
        <v>coal</v>
      </c>
    </row>
    <row r="2752" spans="1:9" x14ac:dyDescent="0.15">
      <c r="A2752" s="2">
        <v>314032</v>
      </c>
      <c r="B2752" s="2" t="s">
        <v>82</v>
      </c>
      <c r="C2752" s="2">
        <v>2022</v>
      </c>
      <c r="D2752" s="2" t="s">
        <v>1</v>
      </c>
      <c r="E2752" s="2" t="s">
        <v>15</v>
      </c>
      <c r="F2752" s="2" t="s">
        <v>35</v>
      </c>
      <c r="G2752" s="7"/>
      <c r="H2752" s="13" t="str">
        <f>IFERROR(IF(ABS($G2752)&gt;0,VLOOKUP($E2752,'Fuel Category and Heat Rate'!$B$1:$G$34,6,FALSE)*($G2752),""),"")</f>
        <v/>
      </c>
      <c r="I2752" t="str">
        <f>IFERROR(VLOOKUP($E2752,'Fuel Category and Heat Rate'!$K$2:$M$36,3,FALSE),"")</f>
        <v>crude oil</v>
      </c>
    </row>
    <row r="2753" spans="1:9" x14ac:dyDescent="0.15">
      <c r="A2753" s="2">
        <v>314067</v>
      </c>
      <c r="B2753" s="2" t="s">
        <v>82</v>
      </c>
      <c r="C2753" s="2">
        <v>2022</v>
      </c>
      <c r="D2753" s="2" t="s">
        <v>1</v>
      </c>
      <c r="E2753" s="2" t="s">
        <v>11</v>
      </c>
      <c r="F2753" s="2" t="s">
        <v>36</v>
      </c>
      <c r="G2753" s="7">
        <v>-2.79</v>
      </c>
      <c r="H2753" s="13">
        <f>IFERROR(IF(ABS($G2753)&gt;0,VLOOKUP($E2753,'Fuel Category and Heat Rate'!$B$1:$G$34,6,FALSE)*($G2753),""),"")</f>
        <v>-2100983564045.4485</v>
      </c>
      <c r="I2753" t="str">
        <f>IFERROR(VLOOKUP($E2753,'Fuel Category and Heat Rate'!$K$2:$M$36,3,FALSE),"")</f>
        <v>LPG propane or butane</v>
      </c>
    </row>
    <row r="2754" spans="1:9" x14ac:dyDescent="0.15">
      <c r="A2754" s="2">
        <v>314102</v>
      </c>
      <c r="B2754" s="2" t="s">
        <v>82</v>
      </c>
      <c r="C2754" s="2">
        <v>2021</v>
      </c>
      <c r="D2754" s="2" t="s">
        <v>1</v>
      </c>
      <c r="E2754" s="2" t="s">
        <v>18</v>
      </c>
      <c r="F2754" s="2" t="s">
        <v>35</v>
      </c>
      <c r="G2754" s="7">
        <v>-0.1</v>
      </c>
      <c r="H2754" s="13">
        <f>IFERROR(IF(ABS($G2754)&gt;0,VLOOKUP($E2754,'Fuel Category and Heat Rate'!$B$1:$G$34,6,FALSE)*($G2754),""),"")</f>
        <v>-40426295915.993454</v>
      </c>
      <c r="I2754" t="str">
        <f>IFERROR(VLOOKUP($E2754,'Fuel Category and Heat Rate'!$K$2:$M$36,3,FALSE),"")</f>
        <v>petroleum diesel</v>
      </c>
    </row>
    <row r="2755" spans="1:9" x14ac:dyDescent="0.15">
      <c r="A2755" s="2">
        <v>314137</v>
      </c>
      <c r="B2755" s="2" t="s">
        <v>82</v>
      </c>
      <c r="C2755" s="2">
        <v>2021</v>
      </c>
      <c r="D2755" s="2" t="s">
        <v>1</v>
      </c>
      <c r="E2755" s="2" t="s">
        <v>32</v>
      </c>
      <c r="F2755" s="2" t="s">
        <v>65</v>
      </c>
      <c r="G2755" s="7">
        <v>-0.65</v>
      </c>
      <c r="H2755" s="13">
        <f>IFERROR(IF(ABS($G2755)&gt;0,VLOOKUP($E2755,'Fuel Category and Heat Rate'!$B$1:$G$34,6,FALSE)*($G2755),""),"")</f>
        <v>-221789206704.08115</v>
      </c>
      <c r="I2755" t="str">
        <f>IFERROR(VLOOKUP($E2755,'Fuel Category and Heat Rate'!$K$2:$M$36,3,FALSE),"")</f>
        <v>electricity</v>
      </c>
    </row>
    <row r="2756" spans="1:9" x14ac:dyDescent="0.15">
      <c r="A2756" s="2">
        <v>314172</v>
      </c>
      <c r="B2756" s="2" t="s">
        <v>82</v>
      </c>
      <c r="C2756" s="2">
        <v>2021</v>
      </c>
      <c r="D2756" s="2" t="s">
        <v>1</v>
      </c>
      <c r="E2756" s="2" t="s">
        <v>10</v>
      </c>
      <c r="F2756" s="2" t="s">
        <v>36</v>
      </c>
      <c r="G2756" s="7">
        <v>-31.75</v>
      </c>
      <c r="H2756" s="13">
        <f>IFERROR(IF(ABS($G2756)&gt;0,VLOOKUP($E2756,'Fuel Category and Heat Rate'!$B$1:$G$34,6,FALSE)*($G2756),""),"")</f>
        <v>-11324068768492.209</v>
      </c>
      <c r="I2756" t="str">
        <f>IFERROR(VLOOKUP($E2756,'Fuel Category and Heat Rate'!$K$2:$M$36,3,FALSE),"")</f>
        <v>LPG propane or butane</v>
      </c>
    </row>
    <row r="2757" spans="1:9" x14ac:dyDescent="0.15">
      <c r="A2757" s="2">
        <v>314207</v>
      </c>
      <c r="B2757" s="2" t="s">
        <v>82</v>
      </c>
      <c r="C2757" s="2">
        <v>2021</v>
      </c>
      <c r="D2757" s="2" t="s">
        <v>1</v>
      </c>
      <c r="E2757" s="2" t="s">
        <v>9</v>
      </c>
      <c r="F2757" s="2" t="s">
        <v>36</v>
      </c>
      <c r="G2757" s="7">
        <v>-1.62</v>
      </c>
      <c r="H2757" s="13">
        <f>IFERROR(IF(ABS($G2757)&gt;0,VLOOKUP($E2757,'Fuel Category and Heat Rate'!$B$1:$G$34,6,FALSE)*($G2757),""),"")</f>
        <v>-2664566998988.7271</v>
      </c>
      <c r="I2757" t="str">
        <f>IFERROR(VLOOKUP($E2757,'Fuel Category and Heat Rate'!$K$2:$M$36,3,FALSE),"")</f>
        <v>LPG propane or butane</v>
      </c>
    </row>
    <row r="2758" spans="1:9" x14ac:dyDescent="0.15">
      <c r="A2758" s="2">
        <v>314242</v>
      </c>
      <c r="B2758" s="2" t="s">
        <v>82</v>
      </c>
      <c r="C2758" s="2">
        <v>2021</v>
      </c>
      <c r="D2758" s="2" t="s">
        <v>1</v>
      </c>
      <c r="E2758" s="2" t="s">
        <v>8</v>
      </c>
      <c r="F2758" s="2" t="s">
        <v>35</v>
      </c>
      <c r="G2758" s="7"/>
      <c r="H2758" s="13" t="str">
        <f>IFERROR(IF(ABS($G2758)&gt;0,VLOOKUP($E2758,'Fuel Category and Heat Rate'!$B$1:$G$34,6,FALSE)*($G2758),""),"")</f>
        <v/>
      </c>
      <c r="I2758" t="str">
        <f>IFERROR(VLOOKUP($E2758,'Fuel Category and Heat Rate'!$K$2:$M$36,3,FALSE),"")</f>
        <v>coal</v>
      </c>
    </row>
    <row r="2759" spans="1:9" x14ac:dyDescent="0.15">
      <c r="A2759" s="2">
        <v>314277</v>
      </c>
      <c r="B2759" s="2" t="s">
        <v>82</v>
      </c>
      <c r="C2759" s="2">
        <v>2021</v>
      </c>
      <c r="D2759" s="2" t="s">
        <v>1</v>
      </c>
      <c r="E2759" s="2" t="s">
        <v>27</v>
      </c>
      <c r="F2759" s="2" t="s">
        <v>35</v>
      </c>
      <c r="G2759" s="7"/>
      <c r="H2759" s="13" t="str">
        <f>IFERROR(IF(ABS($G2759)&gt;0,VLOOKUP($E2759,'Fuel Category and Heat Rate'!$B$1:$G$34,6,FALSE)*($G2759),""),"")</f>
        <v/>
      </c>
      <c r="I2759" t="str">
        <f>IFERROR(VLOOKUP($E2759,'Fuel Category and Heat Rate'!$K$2:$M$36,3,FALSE),"")</f>
        <v>LPG propane or butane</v>
      </c>
    </row>
    <row r="2760" spans="1:9" x14ac:dyDescent="0.15">
      <c r="A2760" s="2">
        <v>314312</v>
      </c>
      <c r="B2760" s="2" t="s">
        <v>82</v>
      </c>
      <c r="C2760" s="2">
        <v>2021</v>
      </c>
      <c r="D2760" s="2" t="s">
        <v>1</v>
      </c>
      <c r="E2760" s="2" t="s">
        <v>7</v>
      </c>
      <c r="F2760" s="2" t="s">
        <v>35</v>
      </c>
      <c r="G2760" s="7">
        <v>-42.41</v>
      </c>
      <c r="H2760" s="13">
        <f>IFERROR(IF(ABS($G2760)&gt;0,VLOOKUP($E2760,'Fuel Category and Heat Rate'!$B$1:$G$34,6,FALSE)*($G2760),""),"")</f>
        <v>-3366090430189.0747</v>
      </c>
      <c r="I2760" t="str">
        <f>IFERROR(VLOOKUP($E2760,'Fuel Category and Heat Rate'!$K$2:$M$36,3,FALSE),"")</f>
        <v>coal</v>
      </c>
    </row>
    <row r="2761" spans="1:9" x14ac:dyDescent="0.15">
      <c r="A2761" s="2">
        <v>314347</v>
      </c>
      <c r="B2761" s="2" t="s">
        <v>82</v>
      </c>
      <c r="C2761" s="2">
        <v>2021</v>
      </c>
      <c r="D2761" s="2" t="s">
        <v>1</v>
      </c>
      <c r="E2761" s="2" t="s">
        <v>2</v>
      </c>
      <c r="F2761" s="2" t="s">
        <v>35</v>
      </c>
      <c r="G2761" s="7">
        <v>-5229.07</v>
      </c>
      <c r="H2761" s="13">
        <f>IFERROR(IF(ABS($G2761)&gt;0,VLOOKUP($E2761,'Fuel Category and Heat Rate'!$B$1:$G$34,6,FALSE)*($G2761),""),"")</f>
        <v>0</v>
      </c>
      <c r="I2761" t="str">
        <f>IFERROR(VLOOKUP($E2761,'Fuel Category and Heat Rate'!$K$2:$M$36,3,FALSE),"")</f>
        <v/>
      </c>
    </row>
    <row r="2762" spans="1:9" x14ac:dyDescent="0.15">
      <c r="A2762" s="2">
        <v>314382</v>
      </c>
      <c r="B2762" s="2" t="s">
        <v>82</v>
      </c>
      <c r="C2762" s="2">
        <v>2021</v>
      </c>
      <c r="D2762" s="2" t="s">
        <v>1</v>
      </c>
      <c r="E2762" s="2" t="s">
        <v>17</v>
      </c>
      <c r="F2762" s="2" t="s">
        <v>35</v>
      </c>
      <c r="G2762" s="7"/>
      <c r="H2762" s="13" t="str">
        <f>IFERROR(IF(ABS($G2762)&gt;0,VLOOKUP($E2762,'Fuel Category and Heat Rate'!$B$1:$G$34,6,FALSE)*($G2762),""),"")</f>
        <v/>
      </c>
      <c r="I2762" t="str">
        <f>IFERROR(VLOOKUP($E2762,'Fuel Category and Heat Rate'!$K$2:$M$36,3,FALSE),"")</f>
        <v>petroleum diesel</v>
      </c>
    </row>
    <row r="2763" spans="1:9" x14ac:dyDescent="0.15">
      <c r="A2763" s="2">
        <v>314417</v>
      </c>
      <c r="B2763" s="2" t="s">
        <v>82</v>
      </c>
      <c r="C2763" s="2">
        <v>2021</v>
      </c>
      <c r="D2763" s="2" t="s">
        <v>1</v>
      </c>
      <c r="E2763" s="2" t="s">
        <v>13</v>
      </c>
      <c r="F2763" s="2" t="s">
        <v>35</v>
      </c>
      <c r="G2763" s="7"/>
      <c r="H2763" s="13" t="str">
        <f>IFERROR(IF(ABS($G2763)&gt;0,VLOOKUP($E2763,'Fuel Category and Heat Rate'!$B$1:$G$34,6,FALSE)*($G2763),""),"")</f>
        <v/>
      </c>
      <c r="I2763" t="str">
        <f>IFERROR(VLOOKUP($E2763,'Fuel Category and Heat Rate'!$K$2:$M$36,3,FALSE),"")</f>
        <v>petroleum diesel</v>
      </c>
    </row>
    <row r="2764" spans="1:9" x14ac:dyDescent="0.15">
      <c r="A2764" s="2">
        <v>314452</v>
      </c>
      <c r="B2764" s="2" t="s">
        <v>82</v>
      </c>
      <c r="C2764" s="2">
        <v>2021</v>
      </c>
      <c r="D2764" s="2" t="s">
        <v>1</v>
      </c>
      <c r="E2764" s="2" t="s">
        <v>12</v>
      </c>
      <c r="F2764" s="2" t="s">
        <v>36</v>
      </c>
      <c r="G2764" s="7">
        <v>-0.08</v>
      </c>
      <c r="H2764" s="13">
        <f>IFERROR(IF(ABS($G2764)&gt;0,VLOOKUP($E2764,'Fuel Category and Heat Rate'!$B$1:$G$34,6,FALSE)*($G2764),""),"")</f>
        <v>-39633920801.443832</v>
      </c>
      <c r="I2764" t="str">
        <f>IFERROR(VLOOKUP($E2764,'Fuel Category and Heat Rate'!$K$2:$M$36,3,FALSE),"")</f>
        <v>LPG propane or butane</v>
      </c>
    </row>
    <row r="2765" spans="1:9" x14ac:dyDescent="0.15">
      <c r="A2765" s="2">
        <v>314487</v>
      </c>
      <c r="B2765" s="2" t="s">
        <v>82</v>
      </c>
      <c r="C2765" s="2">
        <v>2021</v>
      </c>
      <c r="D2765" s="2" t="s">
        <v>1</v>
      </c>
      <c r="E2765" s="2" t="s">
        <v>33</v>
      </c>
      <c r="F2765" s="2" t="s">
        <v>38</v>
      </c>
      <c r="G2765" s="7">
        <v>-3.21</v>
      </c>
      <c r="H2765" s="13">
        <f>IFERROR(IF(ABS($G2765)&gt;0,VLOOKUP($E2765,'Fuel Category and Heat Rate'!$B$1:$G$34,6,FALSE)*($G2765),""),"")</f>
        <v>-890568115422.51526</v>
      </c>
      <c r="I2765" t="str">
        <f>IFERROR(VLOOKUP($E2765,'Fuel Category and Heat Rate'!$K$2:$M$36,3,FALSE),"")</f>
        <v>biomass</v>
      </c>
    </row>
    <row r="2766" spans="1:9" x14ac:dyDescent="0.15">
      <c r="A2766" s="2">
        <v>314522</v>
      </c>
      <c r="B2766" s="2" t="s">
        <v>82</v>
      </c>
      <c r="C2766" s="2">
        <v>2021</v>
      </c>
      <c r="D2766" s="2" t="s">
        <v>1</v>
      </c>
      <c r="E2766" s="2" t="s">
        <v>28</v>
      </c>
      <c r="F2766" s="2" t="s">
        <v>35</v>
      </c>
      <c r="G2766" s="7"/>
      <c r="H2766" s="13" t="str">
        <f>IFERROR(IF(ABS($G2766)&gt;0,VLOOKUP($E2766,'Fuel Category and Heat Rate'!$B$1:$G$34,6,FALSE)*($G2766),""),"")</f>
        <v/>
      </c>
      <c r="I2766" t="str">
        <f>IFERROR(VLOOKUP($E2766,'Fuel Category and Heat Rate'!$K$2:$M$36,3,FALSE),"")</f>
        <v>heavy or residual fuel oil</v>
      </c>
    </row>
    <row r="2767" spans="1:9" x14ac:dyDescent="0.15">
      <c r="A2767" s="2">
        <v>314557</v>
      </c>
      <c r="B2767" s="2" t="s">
        <v>82</v>
      </c>
      <c r="C2767" s="2">
        <v>2021</v>
      </c>
      <c r="D2767" s="2" t="s">
        <v>1</v>
      </c>
      <c r="E2767" s="2" t="s">
        <v>5</v>
      </c>
      <c r="F2767" s="2" t="s">
        <v>35</v>
      </c>
      <c r="G2767" s="7">
        <v>-21.61</v>
      </c>
      <c r="H2767" s="13">
        <f>IFERROR(IF(ABS($G2767)&gt;0,VLOOKUP($E2767,'Fuel Category and Heat Rate'!$B$1:$G$34,6,FALSE)*($G2767),""),"")</f>
        <v>-1712937092382.3604</v>
      </c>
      <c r="I2767" t="str">
        <f>IFERROR(VLOOKUP($E2767,'Fuel Category and Heat Rate'!$K$2:$M$36,3,FALSE),"")</f>
        <v>coal</v>
      </c>
    </row>
    <row r="2768" spans="1:9" x14ac:dyDescent="0.15">
      <c r="A2768" s="2">
        <v>314592</v>
      </c>
      <c r="B2768" s="2" t="s">
        <v>82</v>
      </c>
      <c r="C2768" s="2">
        <v>2021</v>
      </c>
      <c r="D2768" s="2" t="s">
        <v>1</v>
      </c>
      <c r="E2768" s="2" t="s">
        <v>16</v>
      </c>
      <c r="F2768" s="2" t="s">
        <v>35</v>
      </c>
      <c r="G2768" s="7"/>
      <c r="H2768" s="13" t="str">
        <f>IFERROR(IF(ABS($G2768)&gt;0,VLOOKUP($E2768,'Fuel Category and Heat Rate'!$B$1:$G$34,6,FALSE)*($G2768),""),"")</f>
        <v/>
      </c>
      <c r="I2768" t="str">
        <f>IFERROR(VLOOKUP($E2768,'Fuel Category and Heat Rate'!$K$2:$M$36,3,FALSE),"")</f>
        <v>petroleum diesel</v>
      </c>
    </row>
    <row r="2769" spans="1:9" x14ac:dyDescent="0.15">
      <c r="A2769" s="2">
        <v>314627</v>
      </c>
      <c r="B2769" s="2" t="s">
        <v>82</v>
      </c>
      <c r="C2769" s="2">
        <v>2021</v>
      </c>
      <c r="D2769" s="2" t="s">
        <v>1</v>
      </c>
      <c r="E2769" s="2" t="s">
        <v>19</v>
      </c>
      <c r="F2769" s="2" t="s">
        <v>35</v>
      </c>
      <c r="G2769" s="7">
        <v>-0.01</v>
      </c>
      <c r="H2769" s="13">
        <f>IFERROR(IF(ABS($G2769)&gt;0,VLOOKUP($E2769,'Fuel Category and Heat Rate'!$B$1:$G$34,6,FALSE)*($G2769),""),"")</f>
        <v>-3963392080.144383</v>
      </c>
      <c r="I2769" t="str">
        <f>IFERROR(VLOOKUP($E2769,'Fuel Category and Heat Rate'!$K$2:$M$36,3,FALSE),"")</f>
        <v>heavy or residual fuel oil</v>
      </c>
    </row>
    <row r="2770" spans="1:9" x14ac:dyDescent="0.15">
      <c r="A2770" s="2">
        <v>314662</v>
      </c>
      <c r="B2770" s="2" t="s">
        <v>82</v>
      </c>
      <c r="C2770" s="2">
        <v>2021</v>
      </c>
      <c r="D2770" s="2" t="s">
        <v>1</v>
      </c>
      <c r="E2770" s="2" t="s">
        <v>31</v>
      </c>
      <c r="F2770" s="2" t="s">
        <v>37</v>
      </c>
      <c r="G2770" s="7">
        <v>66287.7</v>
      </c>
      <c r="H2770" s="13">
        <f>IFERROR(IF(ABS($G2770)&gt;0,VLOOKUP($E2770,'Fuel Category and Heat Rate'!$B$1:$G$34,6,FALSE)*($G2770),""),"")</f>
        <v>628286170822141.75</v>
      </c>
      <c r="I2770" t="str">
        <f>IFERROR(VLOOKUP($E2770,'Fuel Category and Heat Rate'!$K$2:$M$36,3,FALSE),"")</f>
        <v>heat</v>
      </c>
    </row>
    <row r="2771" spans="1:9" x14ac:dyDescent="0.15">
      <c r="A2771" s="2">
        <v>314697</v>
      </c>
      <c r="B2771" s="2" t="s">
        <v>82</v>
      </c>
      <c r="C2771" s="2">
        <v>2021</v>
      </c>
      <c r="D2771" s="2" t="s">
        <v>1</v>
      </c>
      <c r="E2771" s="2" t="s">
        <v>23</v>
      </c>
      <c r="F2771" s="2" t="s">
        <v>35</v>
      </c>
      <c r="G2771" s="7"/>
      <c r="H2771" s="13" t="str">
        <f>IFERROR(IF(ABS($G2771)&gt;0,VLOOKUP($E2771,'Fuel Category and Heat Rate'!$B$1:$G$34,6,FALSE)*($G2771),""),"")</f>
        <v/>
      </c>
      <c r="I2771" t="str">
        <f>IFERROR(VLOOKUP($E2771,'Fuel Category and Heat Rate'!$K$2:$M$36,3,FALSE),"")</f>
        <v>heavy or residual fuel oil</v>
      </c>
    </row>
    <row r="2772" spans="1:9" x14ac:dyDescent="0.15">
      <c r="A2772" s="2">
        <v>314732</v>
      </c>
      <c r="B2772" s="2" t="s">
        <v>82</v>
      </c>
      <c r="C2772" s="2">
        <v>2021</v>
      </c>
      <c r="D2772" s="2" t="s">
        <v>1</v>
      </c>
      <c r="E2772" s="2" t="s">
        <v>21</v>
      </c>
      <c r="F2772" s="2" t="s">
        <v>35</v>
      </c>
      <c r="G2772" s="7"/>
      <c r="H2772" s="13" t="str">
        <f>IFERROR(IF(ABS($G2772)&gt;0,VLOOKUP($E2772,'Fuel Category and Heat Rate'!$B$1:$G$34,6,FALSE)*($G2772),""),"")</f>
        <v/>
      </c>
      <c r="I2772" t="str">
        <f>IFERROR(VLOOKUP($E2772,'Fuel Category and Heat Rate'!$K$2:$M$36,3,FALSE),"")</f>
        <v>LPG propane or butane</v>
      </c>
    </row>
    <row r="2773" spans="1:9" x14ac:dyDescent="0.15">
      <c r="A2773" s="2">
        <v>314767</v>
      </c>
      <c r="B2773" s="2" t="s">
        <v>82</v>
      </c>
      <c r="C2773" s="2">
        <v>2021</v>
      </c>
      <c r="D2773" s="2" t="s">
        <v>1</v>
      </c>
      <c r="E2773" s="2" t="s">
        <v>22</v>
      </c>
      <c r="F2773" s="2" t="s">
        <v>35</v>
      </c>
      <c r="G2773" s="7"/>
      <c r="H2773" s="13" t="str">
        <f>IFERROR(IF(ABS($G2773)&gt;0,VLOOKUP($E2773,'Fuel Category and Heat Rate'!$B$1:$G$34,6,FALSE)*($G2773),""),"")</f>
        <v/>
      </c>
      <c r="I2773" t="str">
        <f>IFERROR(VLOOKUP($E2773,'Fuel Category and Heat Rate'!$K$2:$M$36,3,FALSE),"")</f>
        <v>heavy fuel oil</v>
      </c>
    </row>
    <row r="2774" spans="1:9" x14ac:dyDescent="0.15">
      <c r="A2774" s="2">
        <v>314802</v>
      </c>
      <c r="B2774" s="2" t="s">
        <v>82</v>
      </c>
      <c r="C2774" s="2">
        <v>2021</v>
      </c>
      <c r="D2774" s="2" t="s">
        <v>1</v>
      </c>
      <c r="E2774" s="2" t="s">
        <v>20</v>
      </c>
      <c r="F2774" s="2" t="s">
        <v>35</v>
      </c>
      <c r="G2774" s="7"/>
      <c r="H2774" s="13" t="str">
        <f>IFERROR(IF(ABS($G2774)&gt;0,VLOOKUP($E2774,'Fuel Category and Heat Rate'!$B$1:$G$34,6,FALSE)*($G2774),""),"")</f>
        <v/>
      </c>
      <c r="I2774" t="str">
        <f>IFERROR(VLOOKUP($E2774,'Fuel Category and Heat Rate'!$K$2:$M$36,3,FALSE),"")</f>
        <v>LPG propane or butane</v>
      </c>
    </row>
    <row r="2775" spans="1:9" x14ac:dyDescent="0.15">
      <c r="A2775" s="2">
        <v>314837</v>
      </c>
      <c r="B2775" s="2" t="s">
        <v>82</v>
      </c>
      <c r="C2775" s="2">
        <v>2021</v>
      </c>
      <c r="D2775" s="2" t="s">
        <v>1</v>
      </c>
      <c r="E2775" s="2" t="s">
        <v>25</v>
      </c>
      <c r="F2775" s="2" t="s">
        <v>35</v>
      </c>
      <c r="G2775" s="7"/>
      <c r="H2775" s="13" t="str">
        <f>IFERROR(IF(ABS($G2775)&gt;0,VLOOKUP($E2775,'Fuel Category and Heat Rate'!$B$1:$G$34,6,FALSE)*($G2775),""),"")</f>
        <v/>
      </c>
      <c r="I2775" t="str">
        <f>IFERROR(VLOOKUP($E2775,'Fuel Category and Heat Rate'!$K$2:$M$36,3,FALSE),"")</f>
        <v>heavy fuel oil</v>
      </c>
    </row>
    <row r="2776" spans="1:9" x14ac:dyDescent="0.15">
      <c r="A2776" s="2">
        <v>314872</v>
      </c>
      <c r="B2776" s="2" t="s">
        <v>82</v>
      </c>
      <c r="C2776" s="2">
        <v>2021</v>
      </c>
      <c r="D2776" s="2" t="s">
        <v>1</v>
      </c>
      <c r="E2776" s="2" t="s">
        <v>24</v>
      </c>
      <c r="F2776" s="2" t="s">
        <v>35</v>
      </c>
      <c r="G2776" s="7"/>
      <c r="H2776" s="13" t="str">
        <f>IFERROR(IF(ABS($G2776)&gt;0,VLOOKUP($E2776,'Fuel Category and Heat Rate'!$B$1:$G$34,6,FALSE)*($G2776),""),"")</f>
        <v/>
      </c>
      <c r="I2776" t="str">
        <f>IFERROR(VLOOKUP($E2776,'Fuel Category and Heat Rate'!$K$2:$M$36,3,FALSE),"")</f>
        <v>heavy fuel oil</v>
      </c>
    </row>
    <row r="2777" spans="1:9" x14ac:dyDescent="0.15">
      <c r="A2777" s="2">
        <v>314907</v>
      </c>
      <c r="B2777" s="2" t="s">
        <v>82</v>
      </c>
      <c r="C2777" s="2">
        <v>2021</v>
      </c>
      <c r="D2777" s="2" t="s">
        <v>1</v>
      </c>
      <c r="E2777" s="2" t="s">
        <v>29</v>
      </c>
      <c r="F2777" s="2" t="s">
        <v>36</v>
      </c>
      <c r="G2777" s="7">
        <v>-2.17</v>
      </c>
      <c r="H2777" s="13">
        <f>IFERROR(IF(ABS($G2777)&gt;0,VLOOKUP($E2777,'Fuel Category and Heat Rate'!$B$1:$G$34,6,FALSE)*($G2777),""),"")</f>
        <v>-7318888853135.1211</v>
      </c>
      <c r="I2777" t="str">
        <f>IFERROR(VLOOKUP($E2777,'Fuel Category and Heat Rate'!$K$2:$M$36,3,FALSE),"")</f>
        <v>natural gas</v>
      </c>
    </row>
    <row r="2778" spans="1:9" x14ac:dyDescent="0.15">
      <c r="A2778" s="2">
        <v>314942</v>
      </c>
      <c r="B2778" s="2" t="s">
        <v>82</v>
      </c>
      <c r="C2778" s="2">
        <v>2021</v>
      </c>
      <c r="D2778" s="2" t="s">
        <v>1</v>
      </c>
      <c r="E2778" s="2" t="s">
        <v>4</v>
      </c>
      <c r="F2778" s="2" t="s">
        <v>35</v>
      </c>
      <c r="G2778" s="7"/>
      <c r="H2778" s="13" t="str">
        <f>IFERROR(IF(ABS($G2778)&gt;0,VLOOKUP($E2778,'Fuel Category and Heat Rate'!$B$1:$G$34,6,FALSE)*($G2778),""),"")</f>
        <v/>
      </c>
      <c r="I2778" t="str">
        <f>IFERROR(VLOOKUP($E2778,'Fuel Category and Heat Rate'!$K$2:$M$36,3,FALSE),"")</f>
        <v>coal</v>
      </c>
    </row>
    <row r="2779" spans="1:9" x14ac:dyDescent="0.15">
      <c r="A2779" s="2">
        <v>314977</v>
      </c>
      <c r="B2779" s="2" t="s">
        <v>82</v>
      </c>
      <c r="C2779" s="2">
        <v>2021</v>
      </c>
      <c r="D2779" s="2" t="s">
        <v>1</v>
      </c>
      <c r="E2779" s="2" t="s">
        <v>6</v>
      </c>
      <c r="F2779" s="2" t="s">
        <v>35</v>
      </c>
      <c r="G2779" s="7"/>
      <c r="H2779" s="13" t="str">
        <f>IFERROR(IF(ABS($G2779)&gt;0,VLOOKUP($E2779,'Fuel Category and Heat Rate'!$B$1:$G$34,6,FALSE)*($G2779),""),"")</f>
        <v/>
      </c>
      <c r="I2779" t="str">
        <f>IFERROR(VLOOKUP($E2779,'Fuel Category and Heat Rate'!$K$2:$M$36,3,FALSE),"")</f>
        <v>coal</v>
      </c>
    </row>
    <row r="2780" spans="1:9" x14ac:dyDescent="0.15">
      <c r="A2780" s="2">
        <v>315012</v>
      </c>
      <c r="B2780" s="2" t="s">
        <v>82</v>
      </c>
      <c r="C2780" s="2">
        <v>2021</v>
      </c>
      <c r="D2780" s="2" t="s">
        <v>1</v>
      </c>
      <c r="E2780" s="2" t="s">
        <v>26</v>
      </c>
      <c r="F2780" s="2" t="s">
        <v>35</v>
      </c>
      <c r="G2780" s="7"/>
      <c r="H2780" s="13" t="str">
        <f>IFERROR(IF(ABS($G2780)&gt;0,VLOOKUP($E2780,'Fuel Category and Heat Rate'!$B$1:$G$34,6,FALSE)*($G2780),""),"")</f>
        <v/>
      </c>
      <c r="I2780" t="str">
        <f>IFERROR(VLOOKUP($E2780,'Fuel Category and Heat Rate'!$K$2:$M$36,3,FALSE),"")</f>
        <v>LPG propane or butane</v>
      </c>
    </row>
    <row r="2781" spans="1:9" x14ac:dyDescent="0.15">
      <c r="A2781" s="2">
        <v>315047</v>
      </c>
      <c r="B2781" s="2" t="s">
        <v>82</v>
      </c>
      <c r="C2781" s="2">
        <v>2021</v>
      </c>
      <c r="D2781" s="2" t="s">
        <v>1</v>
      </c>
      <c r="E2781" s="2" t="s">
        <v>30</v>
      </c>
      <c r="F2781" s="2" t="s">
        <v>35</v>
      </c>
      <c r="G2781" s="7"/>
      <c r="H2781" s="13" t="str">
        <f>IFERROR(IF(ABS($G2781)&gt;0,VLOOKUP($E2781,'Fuel Category and Heat Rate'!$B$1:$G$34,6,FALSE)*($G2781),""),"")</f>
        <v/>
      </c>
      <c r="I2781" t="str">
        <f>IFERROR(VLOOKUP($E2781,'Fuel Category and Heat Rate'!$K$2:$M$36,3,FALSE),"")</f>
        <v>natural gas</v>
      </c>
    </row>
    <row r="2782" spans="1:9" x14ac:dyDescent="0.15">
      <c r="A2782" s="2">
        <v>315082</v>
      </c>
      <c r="B2782" s="2" t="s">
        <v>82</v>
      </c>
      <c r="C2782" s="2">
        <v>2021</v>
      </c>
      <c r="D2782" s="2" t="s">
        <v>1</v>
      </c>
      <c r="E2782" s="2" t="s">
        <v>14</v>
      </c>
      <c r="F2782" s="2" t="s">
        <v>35</v>
      </c>
      <c r="G2782" s="7">
        <v>-0.11</v>
      </c>
      <c r="H2782" s="13">
        <f>IFERROR(IF(ABS($G2782)&gt;0,VLOOKUP($E2782,'Fuel Category and Heat Rate'!$B$1:$G$34,6,FALSE)*($G2782),""),"")</f>
        <v>0</v>
      </c>
      <c r="I2782" t="str">
        <f>IFERROR(VLOOKUP($E2782,'Fuel Category and Heat Rate'!$K$2:$M$36,3,FALSE),"")</f>
        <v/>
      </c>
    </row>
    <row r="2783" spans="1:9" x14ac:dyDescent="0.15">
      <c r="A2783" s="2">
        <v>315117</v>
      </c>
      <c r="B2783" s="2" t="s">
        <v>82</v>
      </c>
      <c r="C2783" s="2">
        <v>2021</v>
      </c>
      <c r="D2783" s="2" t="s">
        <v>1</v>
      </c>
      <c r="E2783" s="2" t="s">
        <v>3</v>
      </c>
      <c r="F2783" s="2" t="s">
        <v>35</v>
      </c>
      <c r="G2783" s="7">
        <v>-5207.46</v>
      </c>
      <c r="H2783" s="13">
        <f>IFERROR(IF(ABS($G2783)&gt;0,VLOOKUP($E2783,'Fuel Category and Heat Rate'!$B$1:$G$34,6,FALSE)*($G2783),""),"")</f>
        <v>-1031960286083433.4</v>
      </c>
      <c r="I2783" t="str">
        <f>IFERROR(VLOOKUP($E2783,'Fuel Category and Heat Rate'!$K$2:$M$36,3,FALSE),"")</f>
        <v>coal</v>
      </c>
    </row>
    <row r="2784" spans="1:9" x14ac:dyDescent="0.15">
      <c r="A2784" s="2">
        <v>315152</v>
      </c>
      <c r="B2784" s="2" t="s">
        <v>82</v>
      </c>
      <c r="C2784" s="2">
        <v>2021</v>
      </c>
      <c r="D2784" s="2" t="s">
        <v>1</v>
      </c>
      <c r="E2784" s="2" t="s">
        <v>15</v>
      </c>
      <c r="F2784" s="2" t="s">
        <v>35</v>
      </c>
      <c r="G2784" s="7"/>
      <c r="H2784" s="13" t="str">
        <f>IFERROR(IF(ABS($G2784)&gt;0,VLOOKUP($E2784,'Fuel Category and Heat Rate'!$B$1:$G$34,6,FALSE)*($G2784),""),"")</f>
        <v/>
      </c>
      <c r="I2784" t="str">
        <f>IFERROR(VLOOKUP($E2784,'Fuel Category and Heat Rate'!$K$2:$M$36,3,FALSE),"")</f>
        <v>crude oil</v>
      </c>
    </row>
    <row r="2785" spans="1:9" x14ac:dyDescent="0.15">
      <c r="A2785" s="2">
        <v>315187</v>
      </c>
      <c r="B2785" s="2" t="s">
        <v>82</v>
      </c>
      <c r="C2785" s="2">
        <v>2021</v>
      </c>
      <c r="D2785" s="2" t="s">
        <v>1</v>
      </c>
      <c r="E2785" s="2" t="s">
        <v>11</v>
      </c>
      <c r="F2785" s="2" t="s">
        <v>36</v>
      </c>
      <c r="G2785" s="7">
        <v>-2.4500000000000002</v>
      </c>
      <c r="H2785" s="13">
        <f>IFERROR(IF(ABS($G2785)&gt;0,VLOOKUP($E2785,'Fuel Category and Heat Rate'!$B$1:$G$34,6,FALSE)*($G2785),""),"")</f>
        <v>-1844949724699.4084</v>
      </c>
      <c r="I2785" t="str">
        <f>IFERROR(VLOOKUP($E2785,'Fuel Category and Heat Rate'!$K$2:$M$36,3,FALSE),"")</f>
        <v>LPG propane or butane</v>
      </c>
    </row>
    <row r="2786" spans="1:9" x14ac:dyDescent="0.15">
      <c r="A2786" s="2">
        <v>315222</v>
      </c>
      <c r="B2786" s="2" t="s">
        <v>82</v>
      </c>
      <c r="C2786" s="2">
        <v>2020</v>
      </c>
      <c r="D2786" s="2" t="s">
        <v>1</v>
      </c>
      <c r="E2786" s="2" t="s">
        <v>18</v>
      </c>
      <c r="F2786" s="2" t="s">
        <v>35</v>
      </c>
      <c r="G2786" s="7">
        <v>-0.11</v>
      </c>
      <c r="H2786" s="13">
        <f>IFERROR(IF(ABS($G2786)&gt;0,VLOOKUP($E2786,'Fuel Category and Heat Rate'!$B$1:$G$34,6,FALSE)*($G2786),""),"")</f>
        <v>-44468925507.592796</v>
      </c>
      <c r="I2786" t="str">
        <f>IFERROR(VLOOKUP($E2786,'Fuel Category and Heat Rate'!$K$2:$M$36,3,FALSE),"")</f>
        <v>petroleum diesel</v>
      </c>
    </row>
    <row r="2787" spans="1:9" x14ac:dyDescent="0.15">
      <c r="A2787" s="2">
        <v>315257</v>
      </c>
      <c r="B2787" s="2" t="s">
        <v>82</v>
      </c>
      <c r="C2787" s="2">
        <v>2020</v>
      </c>
      <c r="D2787" s="2" t="s">
        <v>1</v>
      </c>
      <c r="E2787" s="2" t="s">
        <v>32</v>
      </c>
      <c r="F2787" s="2" t="s">
        <v>65</v>
      </c>
      <c r="G2787" s="7">
        <v>-1.04</v>
      </c>
      <c r="H2787" s="13">
        <f>IFERROR(IF(ABS($G2787)&gt;0,VLOOKUP($E2787,'Fuel Category and Heat Rate'!$B$1:$G$34,6,FALSE)*($G2787),""),"")</f>
        <v>-354862730726.52985</v>
      </c>
      <c r="I2787" t="str">
        <f>IFERROR(VLOOKUP($E2787,'Fuel Category and Heat Rate'!$K$2:$M$36,3,FALSE),"")</f>
        <v>electricity</v>
      </c>
    </row>
    <row r="2788" spans="1:9" x14ac:dyDescent="0.15">
      <c r="A2788" s="2">
        <v>315292</v>
      </c>
      <c r="B2788" s="2" t="s">
        <v>82</v>
      </c>
      <c r="C2788" s="2">
        <v>2020</v>
      </c>
      <c r="D2788" s="2" t="s">
        <v>1</v>
      </c>
      <c r="E2788" s="2" t="s">
        <v>10</v>
      </c>
      <c r="F2788" s="2" t="s">
        <v>36</v>
      </c>
      <c r="G2788" s="7">
        <v>-24.59</v>
      </c>
      <c r="H2788" s="13">
        <f>IFERROR(IF(ABS($G2788)&gt;0,VLOOKUP($E2788,'Fuel Category and Heat Rate'!$B$1:$G$34,6,FALSE)*($G2788),""),"")</f>
        <v>-8770357512353.4932</v>
      </c>
      <c r="I2788" t="str">
        <f>IFERROR(VLOOKUP($E2788,'Fuel Category and Heat Rate'!$K$2:$M$36,3,FALSE),"")</f>
        <v>LPG propane or butane</v>
      </c>
    </row>
    <row r="2789" spans="1:9" x14ac:dyDescent="0.15">
      <c r="A2789" s="2">
        <v>315327</v>
      </c>
      <c r="B2789" s="2" t="s">
        <v>82</v>
      </c>
      <c r="C2789" s="2">
        <v>2020</v>
      </c>
      <c r="D2789" s="2" t="s">
        <v>1</v>
      </c>
      <c r="E2789" s="2" t="s">
        <v>9</v>
      </c>
      <c r="F2789" s="2" t="s">
        <v>36</v>
      </c>
      <c r="G2789" s="7">
        <v>-1.38</v>
      </c>
      <c r="H2789" s="13">
        <f>IFERROR(IF(ABS($G2789)&gt;0,VLOOKUP($E2789,'Fuel Category and Heat Rate'!$B$1:$G$34,6,FALSE)*($G2789),""),"")</f>
        <v>-2269816332471.8779</v>
      </c>
      <c r="I2789" t="str">
        <f>IFERROR(VLOOKUP($E2789,'Fuel Category and Heat Rate'!$K$2:$M$36,3,FALSE),"")</f>
        <v>LPG propane or butane</v>
      </c>
    </row>
    <row r="2790" spans="1:9" x14ac:dyDescent="0.15">
      <c r="A2790" s="2">
        <v>315362</v>
      </c>
      <c r="B2790" s="2" t="s">
        <v>82</v>
      </c>
      <c r="C2790" s="2">
        <v>2020</v>
      </c>
      <c r="D2790" s="2" t="s">
        <v>1</v>
      </c>
      <c r="E2790" s="2" t="s">
        <v>8</v>
      </c>
      <c r="F2790" s="2" t="s">
        <v>35</v>
      </c>
      <c r="G2790" s="7"/>
      <c r="H2790" s="13" t="str">
        <f>IFERROR(IF(ABS($G2790)&gt;0,VLOOKUP($E2790,'Fuel Category and Heat Rate'!$B$1:$G$34,6,FALSE)*($G2790),""),"")</f>
        <v/>
      </c>
      <c r="I2790" t="str">
        <f>IFERROR(VLOOKUP($E2790,'Fuel Category and Heat Rate'!$K$2:$M$36,3,FALSE),"")</f>
        <v>coal</v>
      </c>
    </row>
    <row r="2791" spans="1:9" x14ac:dyDescent="0.15">
      <c r="A2791" s="2">
        <v>315397</v>
      </c>
      <c r="B2791" s="2" t="s">
        <v>82</v>
      </c>
      <c r="C2791" s="2">
        <v>2020</v>
      </c>
      <c r="D2791" s="2" t="s">
        <v>1</v>
      </c>
      <c r="E2791" s="2" t="s">
        <v>27</v>
      </c>
      <c r="F2791" s="2" t="s">
        <v>35</v>
      </c>
      <c r="G2791" s="7"/>
      <c r="H2791" s="13" t="str">
        <f>IFERROR(IF(ABS($G2791)&gt;0,VLOOKUP($E2791,'Fuel Category and Heat Rate'!$B$1:$G$34,6,FALSE)*($G2791),""),"")</f>
        <v/>
      </c>
      <c r="I2791" t="str">
        <f>IFERROR(VLOOKUP($E2791,'Fuel Category and Heat Rate'!$K$2:$M$36,3,FALSE),"")</f>
        <v>LPG propane or butane</v>
      </c>
    </row>
    <row r="2792" spans="1:9" x14ac:dyDescent="0.15">
      <c r="A2792" s="2">
        <v>315432</v>
      </c>
      <c r="B2792" s="2" t="s">
        <v>82</v>
      </c>
      <c r="C2792" s="2">
        <v>2020</v>
      </c>
      <c r="D2792" s="2" t="s">
        <v>1</v>
      </c>
      <c r="E2792" s="2" t="s">
        <v>7</v>
      </c>
      <c r="F2792" s="2" t="s">
        <v>35</v>
      </c>
      <c r="G2792" s="7">
        <v>-45.02</v>
      </c>
      <c r="H2792" s="13">
        <f>IFERROR(IF(ABS($G2792)&gt;0,VLOOKUP($E2792,'Fuel Category and Heat Rate'!$B$1:$G$34,6,FALSE)*($G2792),""),"")</f>
        <v>-3573246667463.1494</v>
      </c>
      <c r="I2792" t="str">
        <f>IFERROR(VLOOKUP($E2792,'Fuel Category and Heat Rate'!$K$2:$M$36,3,FALSE),"")</f>
        <v>coal</v>
      </c>
    </row>
    <row r="2793" spans="1:9" x14ac:dyDescent="0.15">
      <c r="A2793" s="2">
        <v>315467</v>
      </c>
      <c r="B2793" s="2" t="s">
        <v>82</v>
      </c>
      <c r="C2793" s="2">
        <v>2020</v>
      </c>
      <c r="D2793" s="2" t="s">
        <v>1</v>
      </c>
      <c r="E2793" s="2" t="s">
        <v>2</v>
      </c>
      <c r="F2793" s="2" t="s">
        <v>35</v>
      </c>
      <c r="G2793" s="7">
        <v>-4409.4399999999996</v>
      </c>
      <c r="H2793" s="13">
        <f>IFERROR(IF(ABS($G2793)&gt;0,VLOOKUP($E2793,'Fuel Category and Heat Rate'!$B$1:$G$34,6,FALSE)*($G2793),""),"")</f>
        <v>0</v>
      </c>
      <c r="I2793" t="str">
        <f>IFERROR(VLOOKUP($E2793,'Fuel Category and Heat Rate'!$K$2:$M$36,3,FALSE),"")</f>
        <v/>
      </c>
    </row>
    <row r="2794" spans="1:9" x14ac:dyDescent="0.15">
      <c r="A2794" s="2">
        <v>315502</v>
      </c>
      <c r="B2794" s="2" t="s">
        <v>82</v>
      </c>
      <c r="C2794" s="2">
        <v>2020</v>
      </c>
      <c r="D2794" s="2" t="s">
        <v>1</v>
      </c>
      <c r="E2794" s="2" t="s">
        <v>17</v>
      </c>
      <c r="F2794" s="2" t="s">
        <v>35</v>
      </c>
      <c r="G2794" s="7"/>
      <c r="H2794" s="13" t="str">
        <f>IFERROR(IF(ABS($G2794)&gt;0,VLOOKUP($E2794,'Fuel Category and Heat Rate'!$B$1:$G$34,6,FALSE)*($G2794),""),"")</f>
        <v/>
      </c>
      <c r="I2794" t="str">
        <f>IFERROR(VLOOKUP($E2794,'Fuel Category and Heat Rate'!$K$2:$M$36,3,FALSE),"")</f>
        <v>petroleum diesel</v>
      </c>
    </row>
    <row r="2795" spans="1:9" x14ac:dyDescent="0.15">
      <c r="A2795" s="2">
        <v>315537</v>
      </c>
      <c r="B2795" s="2" t="s">
        <v>82</v>
      </c>
      <c r="C2795" s="2">
        <v>2020</v>
      </c>
      <c r="D2795" s="2" t="s">
        <v>1</v>
      </c>
      <c r="E2795" s="2" t="s">
        <v>13</v>
      </c>
      <c r="F2795" s="2" t="s">
        <v>35</v>
      </c>
      <c r="G2795" s="7"/>
      <c r="H2795" s="13" t="str">
        <f>IFERROR(IF(ABS($G2795)&gt;0,VLOOKUP($E2795,'Fuel Category and Heat Rate'!$B$1:$G$34,6,FALSE)*($G2795),""),"")</f>
        <v/>
      </c>
      <c r="I2795" t="str">
        <f>IFERROR(VLOOKUP($E2795,'Fuel Category and Heat Rate'!$K$2:$M$36,3,FALSE),"")</f>
        <v>petroleum diesel</v>
      </c>
    </row>
    <row r="2796" spans="1:9" x14ac:dyDescent="0.15">
      <c r="A2796" s="2">
        <v>315572</v>
      </c>
      <c r="B2796" s="2" t="s">
        <v>82</v>
      </c>
      <c r="C2796" s="2">
        <v>2020</v>
      </c>
      <c r="D2796" s="2" t="s">
        <v>1</v>
      </c>
      <c r="E2796" s="2" t="s">
        <v>12</v>
      </c>
      <c r="F2796" s="2" t="s">
        <v>36</v>
      </c>
      <c r="G2796" s="7"/>
      <c r="H2796" s="13" t="str">
        <f>IFERROR(IF(ABS($G2796)&gt;0,VLOOKUP($E2796,'Fuel Category and Heat Rate'!$B$1:$G$34,6,FALSE)*($G2796),""),"")</f>
        <v/>
      </c>
      <c r="I2796" t="str">
        <f>IFERROR(VLOOKUP($E2796,'Fuel Category and Heat Rate'!$K$2:$M$36,3,FALSE),"")</f>
        <v>LPG propane or butane</v>
      </c>
    </row>
    <row r="2797" spans="1:9" x14ac:dyDescent="0.15">
      <c r="A2797" s="2">
        <v>315607</v>
      </c>
      <c r="B2797" s="2" t="s">
        <v>82</v>
      </c>
      <c r="C2797" s="2">
        <v>2020</v>
      </c>
      <c r="D2797" s="2" t="s">
        <v>1</v>
      </c>
      <c r="E2797" s="2" t="s">
        <v>33</v>
      </c>
      <c r="F2797" s="2" t="s">
        <v>38</v>
      </c>
      <c r="G2797" s="7">
        <v>-0.01</v>
      </c>
      <c r="H2797" s="13">
        <f>IFERROR(IF(ABS($G2797)&gt;0,VLOOKUP($E2797,'Fuel Category and Heat Rate'!$B$1:$G$34,6,FALSE)*($G2797),""),"")</f>
        <v>-2774355499.7586145</v>
      </c>
      <c r="I2797" t="str">
        <f>IFERROR(VLOOKUP($E2797,'Fuel Category and Heat Rate'!$K$2:$M$36,3,FALSE),"")</f>
        <v>biomass</v>
      </c>
    </row>
    <row r="2798" spans="1:9" x14ac:dyDescent="0.15">
      <c r="A2798" s="2">
        <v>315642</v>
      </c>
      <c r="B2798" s="2" t="s">
        <v>82</v>
      </c>
      <c r="C2798" s="2">
        <v>2020</v>
      </c>
      <c r="D2798" s="2" t="s">
        <v>1</v>
      </c>
      <c r="E2798" s="2" t="s">
        <v>28</v>
      </c>
      <c r="F2798" s="2" t="s">
        <v>35</v>
      </c>
      <c r="G2798" s="7"/>
      <c r="H2798" s="13" t="str">
        <f>IFERROR(IF(ABS($G2798)&gt;0,VLOOKUP($E2798,'Fuel Category and Heat Rate'!$B$1:$G$34,6,FALSE)*($G2798),""),"")</f>
        <v/>
      </c>
      <c r="I2798" t="str">
        <f>IFERROR(VLOOKUP($E2798,'Fuel Category and Heat Rate'!$K$2:$M$36,3,FALSE),"")</f>
        <v>heavy or residual fuel oil</v>
      </c>
    </row>
    <row r="2799" spans="1:9" x14ac:dyDescent="0.15">
      <c r="A2799" s="2">
        <v>315677</v>
      </c>
      <c r="B2799" s="2" t="s">
        <v>82</v>
      </c>
      <c r="C2799" s="2">
        <v>2020</v>
      </c>
      <c r="D2799" s="2" t="s">
        <v>1</v>
      </c>
      <c r="E2799" s="2" t="s">
        <v>5</v>
      </c>
      <c r="F2799" s="2" t="s">
        <v>35</v>
      </c>
      <c r="G2799" s="7"/>
      <c r="H2799" s="13" t="str">
        <f>IFERROR(IF(ABS($G2799)&gt;0,VLOOKUP($E2799,'Fuel Category and Heat Rate'!$B$1:$G$34,6,FALSE)*($G2799),""),"")</f>
        <v/>
      </c>
      <c r="I2799" t="str">
        <f>IFERROR(VLOOKUP($E2799,'Fuel Category and Heat Rate'!$K$2:$M$36,3,FALSE),"")</f>
        <v>coal</v>
      </c>
    </row>
    <row r="2800" spans="1:9" x14ac:dyDescent="0.15">
      <c r="A2800" s="2">
        <v>315712</v>
      </c>
      <c r="B2800" s="2" t="s">
        <v>82</v>
      </c>
      <c r="C2800" s="2">
        <v>2020</v>
      </c>
      <c r="D2800" s="2" t="s">
        <v>1</v>
      </c>
      <c r="E2800" s="2" t="s">
        <v>16</v>
      </c>
      <c r="F2800" s="2" t="s">
        <v>35</v>
      </c>
      <c r="G2800" s="7"/>
      <c r="H2800" s="13" t="str">
        <f>IFERROR(IF(ABS($G2800)&gt;0,VLOOKUP($E2800,'Fuel Category and Heat Rate'!$B$1:$G$34,6,FALSE)*($G2800),""),"")</f>
        <v/>
      </c>
      <c r="I2800" t="str">
        <f>IFERROR(VLOOKUP($E2800,'Fuel Category and Heat Rate'!$K$2:$M$36,3,FALSE),"")</f>
        <v>petroleum diesel</v>
      </c>
    </row>
    <row r="2801" spans="1:9" x14ac:dyDescent="0.15">
      <c r="A2801" s="2">
        <v>315747</v>
      </c>
      <c r="B2801" s="2" t="s">
        <v>82</v>
      </c>
      <c r="C2801" s="2">
        <v>2020</v>
      </c>
      <c r="D2801" s="2" t="s">
        <v>1</v>
      </c>
      <c r="E2801" s="2" t="s">
        <v>19</v>
      </c>
      <c r="F2801" s="2" t="s">
        <v>35</v>
      </c>
      <c r="G2801" s="7"/>
      <c r="H2801" s="13" t="str">
        <f>IFERROR(IF(ABS($G2801)&gt;0,VLOOKUP($E2801,'Fuel Category and Heat Rate'!$B$1:$G$34,6,FALSE)*($G2801),""),"")</f>
        <v/>
      </c>
      <c r="I2801" t="str">
        <f>IFERROR(VLOOKUP($E2801,'Fuel Category and Heat Rate'!$K$2:$M$36,3,FALSE),"")</f>
        <v>heavy or residual fuel oil</v>
      </c>
    </row>
    <row r="2802" spans="1:9" x14ac:dyDescent="0.15">
      <c r="A2802" s="2">
        <v>315782</v>
      </c>
      <c r="B2802" s="2" t="s">
        <v>82</v>
      </c>
      <c r="C2802" s="2">
        <v>2020</v>
      </c>
      <c r="D2802" s="2" t="s">
        <v>1</v>
      </c>
      <c r="E2802" s="2" t="s">
        <v>31</v>
      </c>
      <c r="F2802" s="2" t="s">
        <v>37</v>
      </c>
      <c r="G2802" s="7">
        <v>57750.26</v>
      </c>
      <c r="H2802" s="13">
        <f>IFERROR(IF(ABS($G2802)&gt;0,VLOOKUP($E2802,'Fuel Category and Heat Rate'!$B$1:$G$34,6,FALSE)*($G2802),""),"")</f>
        <v>547366852664719.19</v>
      </c>
      <c r="I2802" t="str">
        <f>IFERROR(VLOOKUP($E2802,'Fuel Category and Heat Rate'!$K$2:$M$36,3,FALSE),"")</f>
        <v>heat</v>
      </c>
    </row>
    <row r="2803" spans="1:9" x14ac:dyDescent="0.15">
      <c r="A2803" s="2">
        <v>315817</v>
      </c>
      <c r="B2803" s="2" t="s">
        <v>82</v>
      </c>
      <c r="C2803" s="2">
        <v>2020</v>
      </c>
      <c r="D2803" s="2" t="s">
        <v>1</v>
      </c>
      <c r="E2803" s="2" t="s">
        <v>23</v>
      </c>
      <c r="F2803" s="2" t="s">
        <v>35</v>
      </c>
      <c r="G2803" s="7"/>
      <c r="H2803" s="13" t="str">
        <f>IFERROR(IF(ABS($G2803)&gt;0,VLOOKUP($E2803,'Fuel Category and Heat Rate'!$B$1:$G$34,6,FALSE)*($G2803),""),"")</f>
        <v/>
      </c>
      <c r="I2803" t="str">
        <f>IFERROR(VLOOKUP($E2803,'Fuel Category and Heat Rate'!$K$2:$M$36,3,FALSE),"")</f>
        <v>heavy or residual fuel oil</v>
      </c>
    </row>
    <row r="2804" spans="1:9" x14ac:dyDescent="0.15">
      <c r="A2804" s="2">
        <v>315852</v>
      </c>
      <c r="B2804" s="2" t="s">
        <v>82</v>
      </c>
      <c r="C2804" s="2">
        <v>2020</v>
      </c>
      <c r="D2804" s="2" t="s">
        <v>1</v>
      </c>
      <c r="E2804" s="2" t="s">
        <v>21</v>
      </c>
      <c r="F2804" s="2" t="s">
        <v>35</v>
      </c>
      <c r="G2804" s="7"/>
      <c r="H2804" s="13" t="str">
        <f>IFERROR(IF(ABS($G2804)&gt;0,VLOOKUP($E2804,'Fuel Category and Heat Rate'!$B$1:$G$34,6,FALSE)*($G2804),""),"")</f>
        <v/>
      </c>
      <c r="I2804" t="str">
        <f>IFERROR(VLOOKUP($E2804,'Fuel Category and Heat Rate'!$K$2:$M$36,3,FALSE),"")</f>
        <v>LPG propane or butane</v>
      </c>
    </row>
    <row r="2805" spans="1:9" x14ac:dyDescent="0.15">
      <c r="A2805" s="2">
        <v>315887</v>
      </c>
      <c r="B2805" s="2" t="s">
        <v>82</v>
      </c>
      <c r="C2805" s="2">
        <v>2020</v>
      </c>
      <c r="D2805" s="2" t="s">
        <v>1</v>
      </c>
      <c r="E2805" s="2" t="s">
        <v>22</v>
      </c>
      <c r="F2805" s="2" t="s">
        <v>35</v>
      </c>
      <c r="G2805" s="7"/>
      <c r="H2805" s="13" t="str">
        <f>IFERROR(IF(ABS($G2805)&gt;0,VLOOKUP($E2805,'Fuel Category and Heat Rate'!$B$1:$G$34,6,FALSE)*($G2805),""),"")</f>
        <v/>
      </c>
      <c r="I2805" t="str">
        <f>IFERROR(VLOOKUP($E2805,'Fuel Category and Heat Rate'!$K$2:$M$36,3,FALSE),"")</f>
        <v>heavy fuel oil</v>
      </c>
    </row>
    <row r="2806" spans="1:9" x14ac:dyDescent="0.15">
      <c r="A2806" s="2">
        <v>315922</v>
      </c>
      <c r="B2806" s="2" t="s">
        <v>82</v>
      </c>
      <c r="C2806" s="2">
        <v>2020</v>
      </c>
      <c r="D2806" s="2" t="s">
        <v>1</v>
      </c>
      <c r="E2806" s="2" t="s">
        <v>20</v>
      </c>
      <c r="F2806" s="2" t="s">
        <v>35</v>
      </c>
      <c r="G2806" s="7"/>
      <c r="H2806" s="13" t="str">
        <f>IFERROR(IF(ABS($G2806)&gt;0,VLOOKUP($E2806,'Fuel Category and Heat Rate'!$B$1:$G$34,6,FALSE)*($G2806),""),"")</f>
        <v/>
      </c>
      <c r="I2806" t="str">
        <f>IFERROR(VLOOKUP($E2806,'Fuel Category and Heat Rate'!$K$2:$M$36,3,FALSE),"")</f>
        <v>LPG propane or butane</v>
      </c>
    </row>
    <row r="2807" spans="1:9" x14ac:dyDescent="0.15">
      <c r="A2807" s="2">
        <v>315957</v>
      </c>
      <c r="B2807" s="2" t="s">
        <v>82</v>
      </c>
      <c r="C2807" s="2">
        <v>2020</v>
      </c>
      <c r="D2807" s="2" t="s">
        <v>1</v>
      </c>
      <c r="E2807" s="2" t="s">
        <v>25</v>
      </c>
      <c r="F2807" s="2" t="s">
        <v>35</v>
      </c>
      <c r="G2807" s="7"/>
      <c r="H2807" s="13" t="str">
        <f>IFERROR(IF(ABS($G2807)&gt;0,VLOOKUP($E2807,'Fuel Category and Heat Rate'!$B$1:$G$34,6,FALSE)*($G2807),""),"")</f>
        <v/>
      </c>
      <c r="I2807" t="str">
        <f>IFERROR(VLOOKUP($E2807,'Fuel Category and Heat Rate'!$K$2:$M$36,3,FALSE),"")</f>
        <v>heavy fuel oil</v>
      </c>
    </row>
    <row r="2808" spans="1:9" x14ac:dyDescent="0.15">
      <c r="A2808" s="2">
        <v>315992</v>
      </c>
      <c r="B2808" s="2" t="s">
        <v>82</v>
      </c>
      <c r="C2808" s="2">
        <v>2020</v>
      </c>
      <c r="D2808" s="2" t="s">
        <v>1</v>
      </c>
      <c r="E2808" s="2" t="s">
        <v>24</v>
      </c>
      <c r="F2808" s="2" t="s">
        <v>35</v>
      </c>
      <c r="G2808" s="7"/>
      <c r="H2808" s="13" t="str">
        <f>IFERROR(IF(ABS($G2808)&gt;0,VLOOKUP($E2808,'Fuel Category and Heat Rate'!$B$1:$G$34,6,FALSE)*($G2808),""),"")</f>
        <v/>
      </c>
      <c r="I2808" t="str">
        <f>IFERROR(VLOOKUP($E2808,'Fuel Category and Heat Rate'!$K$2:$M$36,3,FALSE),"")</f>
        <v>heavy fuel oil</v>
      </c>
    </row>
    <row r="2809" spans="1:9" x14ac:dyDescent="0.15">
      <c r="A2809" s="2">
        <v>316027</v>
      </c>
      <c r="B2809" s="2" t="s">
        <v>82</v>
      </c>
      <c r="C2809" s="2">
        <v>2020</v>
      </c>
      <c r="D2809" s="2" t="s">
        <v>1</v>
      </c>
      <c r="E2809" s="2" t="s">
        <v>29</v>
      </c>
      <c r="F2809" s="2" t="s">
        <v>36</v>
      </c>
      <c r="G2809" s="7">
        <v>-1.78</v>
      </c>
      <c r="H2809" s="13">
        <f>IFERROR(IF(ABS($G2809)&gt;0,VLOOKUP($E2809,'Fuel Category and Heat Rate'!$B$1:$G$34,6,FALSE)*($G2809),""),"")</f>
        <v>-6003512515474.8916</v>
      </c>
      <c r="I2809" t="str">
        <f>IFERROR(VLOOKUP($E2809,'Fuel Category and Heat Rate'!$K$2:$M$36,3,FALSE),"")</f>
        <v>natural gas</v>
      </c>
    </row>
    <row r="2810" spans="1:9" x14ac:dyDescent="0.15">
      <c r="A2810" s="2">
        <v>316062</v>
      </c>
      <c r="B2810" s="2" t="s">
        <v>82</v>
      </c>
      <c r="C2810" s="2">
        <v>2020</v>
      </c>
      <c r="D2810" s="2" t="s">
        <v>1</v>
      </c>
      <c r="E2810" s="2" t="s">
        <v>4</v>
      </c>
      <c r="F2810" s="2" t="s">
        <v>35</v>
      </c>
      <c r="G2810" s="7"/>
      <c r="H2810" s="13" t="str">
        <f>IFERROR(IF(ABS($G2810)&gt;0,VLOOKUP($E2810,'Fuel Category and Heat Rate'!$B$1:$G$34,6,FALSE)*($G2810),""),"")</f>
        <v/>
      </c>
      <c r="I2810" t="str">
        <f>IFERROR(VLOOKUP($E2810,'Fuel Category and Heat Rate'!$K$2:$M$36,3,FALSE),"")</f>
        <v>coal</v>
      </c>
    </row>
    <row r="2811" spans="1:9" x14ac:dyDescent="0.15">
      <c r="A2811" s="2">
        <v>316097</v>
      </c>
      <c r="B2811" s="2" t="s">
        <v>82</v>
      </c>
      <c r="C2811" s="2">
        <v>2020</v>
      </c>
      <c r="D2811" s="2" t="s">
        <v>1</v>
      </c>
      <c r="E2811" s="2" t="s">
        <v>6</v>
      </c>
      <c r="F2811" s="2" t="s">
        <v>35</v>
      </c>
      <c r="G2811" s="7"/>
      <c r="H2811" s="13" t="str">
        <f>IFERROR(IF(ABS($G2811)&gt;0,VLOOKUP($E2811,'Fuel Category and Heat Rate'!$B$1:$G$34,6,FALSE)*($G2811),""),"")</f>
        <v/>
      </c>
      <c r="I2811" t="str">
        <f>IFERROR(VLOOKUP($E2811,'Fuel Category and Heat Rate'!$K$2:$M$36,3,FALSE),"")</f>
        <v>coal</v>
      </c>
    </row>
    <row r="2812" spans="1:9" x14ac:dyDescent="0.15">
      <c r="A2812" s="2">
        <v>316132</v>
      </c>
      <c r="B2812" s="2" t="s">
        <v>82</v>
      </c>
      <c r="C2812" s="2">
        <v>2020</v>
      </c>
      <c r="D2812" s="2" t="s">
        <v>1</v>
      </c>
      <c r="E2812" s="2" t="s">
        <v>26</v>
      </c>
      <c r="F2812" s="2" t="s">
        <v>35</v>
      </c>
      <c r="G2812" s="7"/>
      <c r="H2812" s="13" t="str">
        <f>IFERROR(IF(ABS($G2812)&gt;0,VLOOKUP($E2812,'Fuel Category and Heat Rate'!$B$1:$G$34,6,FALSE)*($G2812),""),"")</f>
        <v/>
      </c>
      <c r="I2812" t="str">
        <f>IFERROR(VLOOKUP($E2812,'Fuel Category and Heat Rate'!$K$2:$M$36,3,FALSE),"")</f>
        <v>LPG propane or butane</v>
      </c>
    </row>
    <row r="2813" spans="1:9" x14ac:dyDescent="0.15">
      <c r="A2813" s="2">
        <v>316167</v>
      </c>
      <c r="B2813" s="2" t="s">
        <v>82</v>
      </c>
      <c r="C2813" s="2">
        <v>2020</v>
      </c>
      <c r="D2813" s="2" t="s">
        <v>1</v>
      </c>
      <c r="E2813" s="2" t="s">
        <v>30</v>
      </c>
      <c r="F2813" s="2" t="s">
        <v>35</v>
      </c>
      <c r="G2813" s="7"/>
      <c r="H2813" s="13" t="str">
        <f>IFERROR(IF(ABS($G2813)&gt;0,VLOOKUP($E2813,'Fuel Category and Heat Rate'!$B$1:$G$34,6,FALSE)*($G2813),""),"")</f>
        <v/>
      </c>
      <c r="I2813" t="str">
        <f>IFERROR(VLOOKUP($E2813,'Fuel Category and Heat Rate'!$K$2:$M$36,3,FALSE),"")</f>
        <v>natural gas</v>
      </c>
    </row>
    <row r="2814" spans="1:9" x14ac:dyDescent="0.15">
      <c r="A2814" s="2">
        <v>316202</v>
      </c>
      <c r="B2814" s="2" t="s">
        <v>82</v>
      </c>
      <c r="C2814" s="2">
        <v>2020</v>
      </c>
      <c r="D2814" s="2" t="s">
        <v>1</v>
      </c>
      <c r="E2814" s="2" t="s">
        <v>14</v>
      </c>
      <c r="F2814" s="2" t="s">
        <v>35</v>
      </c>
      <c r="G2814" s="7">
        <v>-0.11</v>
      </c>
      <c r="H2814" s="13">
        <f>IFERROR(IF(ABS($G2814)&gt;0,VLOOKUP($E2814,'Fuel Category and Heat Rate'!$B$1:$G$34,6,FALSE)*($G2814),""),"")</f>
        <v>0</v>
      </c>
      <c r="I2814" t="str">
        <f>IFERROR(VLOOKUP($E2814,'Fuel Category and Heat Rate'!$K$2:$M$36,3,FALSE),"")</f>
        <v/>
      </c>
    </row>
    <row r="2815" spans="1:9" x14ac:dyDescent="0.15">
      <c r="A2815" s="2">
        <v>316237</v>
      </c>
      <c r="B2815" s="2" t="s">
        <v>82</v>
      </c>
      <c r="C2815" s="2">
        <v>2020</v>
      </c>
      <c r="D2815" s="2" t="s">
        <v>1</v>
      </c>
      <c r="E2815" s="2" t="s">
        <v>3</v>
      </c>
      <c r="F2815" s="2" t="s">
        <v>35</v>
      </c>
      <c r="G2815" s="7">
        <v>-4409.4399999999996</v>
      </c>
      <c r="H2815" s="13">
        <f>IFERROR(IF(ABS($G2815)&gt;0,VLOOKUP($E2815,'Fuel Category and Heat Rate'!$B$1:$G$34,6,FALSE)*($G2815),""),"")</f>
        <v>-873816978693592.38</v>
      </c>
      <c r="I2815" t="str">
        <f>IFERROR(VLOOKUP($E2815,'Fuel Category and Heat Rate'!$K$2:$M$36,3,FALSE),"")</f>
        <v>coal</v>
      </c>
    </row>
    <row r="2816" spans="1:9" x14ac:dyDescent="0.15">
      <c r="A2816" s="2">
        <v>316272</v>
      </c>
      <c r="B2816" s="2" t="s">
        <v>82</v>
      </c>
      <c r="C2816" s="2">
        <v>2020</v>
      </c>
      <c r="D2816" s="2" t="s">
        <v>1</v>
      </c>
      <c r="E2816" s="2" t="s">
        <v>15</v>
      </c>
      <c r="F2816" s="2" t="s">
        <v>35</v>
      </c>
      <c r="G2816" s="7"/>
      <c r="H2816" s="13" t="str">
        <f>IFERROR(IF(ABS($G2816)&gt;0,VLOOKUP($E2816,'Fuel Category and Heat Rate'!$B$1:$G$34,6,FALSE)*($G2816),""),"")</f>
        <v/>
      </c>
      <c r="I2816" t="str">
        <f>IFERROR(VLOOKUP($E2816,'Fuel Category and Heat Rate'!$K$2:$M$36,3,FALSE),"")</f>
        <v>crude oil</v>
      </c>
    </row>
    <row r="2817" spans="1:9" x14ac:dyDescent="0.15">
      <c r="A2817" s="2">
        <v>316307</v>
      </c>
      <c r="B2817" s="2" t="s">
        <v>82</v>
      </c>
      <c r="C2817" s="2">
        <v>2020</v>
      </c>
      <c r="D2817" s="2" t="s">
        <v>1</v>
      </c>
      <c r="E2817" s="2" t="s">
        <v>11</v>
      </c>
      <c r="F2817" s="2" t="s">
        <v>36</v>
      </c>
      <c r="G2817" s="7">
        <v>-2.92</v>
      </c>
      <c r="H2817" s="13">
        <f>IFERROR(IF(ABS($G2817)&gt;0,VLOOKUP($E2817,'Fuel Category and Heat Rate'!$B$1:$G$34,6,FALSE)*($G2817),""),"")</f>
        <v>-2198878855560.1111</v>
      </c>
      <c r="I2817" t="str">
        <f>IFERROR(VLOOKUP($E2817,'Fuel Category and Heat Rate'!$K$2:$M$36,3,FALSE),"")</f>
        <v>LPG propane or butane</v>
      </c>
    </row>
    <row r="2818" spans="1:9" x14ac:dyDescent="0.15">
      <c r="A2818" s="2">
        <v>316342</v>
      </c>
      <c r="B2818" s="2" t="s">
        <v>82</v>
      </c>
      <c r="C2818" s="2">
        <v>2019</v>
      </c>
      <c r="D2818" s="2" t="s">
        <v>1</v>
      </c>
      <c r="E2818" s="2" t="s">
        <v>18</v>
      </c>
      <c r="F2818" s="2" t="s">
        <v>35</v>
      </c>
      <c r="G2818" s="7">
        <v>-0.9</v>
      </c>
      <c r="H2818" s="13">
        <f>IFERROR(IF(ABS($G2818)&gt;0,VLOOKUP($E2818,'Fuel Category and Heat Rate'!$B$1:$G$34,6,FALSE)*($G2818),""),"")</f>
        <v>-363836663243.94104</v>
      </c>
      <c r="I2818" t="str">
        <f>IFERROR(VLOOKUP($E2818,'Fuel Category and Heat Rate'!$K$2:$M$36,3,FALSE),"")</f>
        <v>petroleum diesel</v>
      </c>
    </row>
    <row r="2819" spans="1:9" x14ac:dyDescent="0.15">
      <c r="A2819" s="2">
        <v>316377</v>
      </c>
      <c r="B2819" s="2" t="s">
        <v>82</v>
      </c>
      <c r="C2819" s="2">
        <v>2019</v>
      </c>
      <c r="D2819" s="2" t="s">
        <v>1</v>
      </c>
      <c r="E2819" s="2" t="s">
        <v>32</v>
      </c>
      <c r="F2819" s="2" t="s">
        <v>65</v>
      </c>
      <c r="G2819" s="7"/>
      <c r="H2819" s="13" t="str">
        <f>IFERROR(IF(ABS($G2819)&gt;0,VLOOKUP($E2819,'Fuel Category and Heat Rate'!$B$1:$G$34,6,FALSE)*($G2819),""),"")</f>
        <v/>
      </c>
      <c r="I2819" t="str">
        <f>IFERROR(VLOOKUP($E2819,'Fuel Category and Heat Rate'!$K$2:$M$36,3,FALSE),"")</f>
        <v>electricity</v>
      </c>
    </row>
    <row r="2820" spans="1:9" x14ac:dyDescent="0.15">
      <c r="A2820" s="2">
        <v>316412</v>
      </c>
      <c r="B2820" s="2" t="s">
        <v>82</v>
      </c>
      <c r="C2820" s="2">
        <v>2019</v>
      </c>
      <c r="D2820" s="2" t="s">
        <v>1</v>
      </c>
      <c r="E2820" s="2" t="s">
        <v>10</v>
      </c>
      <c r="F2820" s="2" t="s">
        <v>36</v>
      </c>
      <c r="G2820" s="7">
        <v>-16.739999999999998</v>
      </c>
      <c r="H2820" s="13">
        <f>IFERROR(IF(ABS($G2820)&gt;0,VLOOKUP($E2820,'Fuel Category and Heat Rate'!$B$1:$G$34,6,FALSE)*($G2820),""),"")</f>
        <v>-5970548383765.6553</v>
      </c>
      <c r="I2820" t="str">
        <f>IFERROR(VLOOKUP($E2820,'Fuel Category and Heat Rate'!$K$2:$M$36,3,FALSE),"")</f>
        <v>LPG propane or butane</v>
      </c>
    </row>
    <row r="2821" spans="1:9" x14ac:dyDescent="0.15">
      <c r="A2821" s="2">
        <v>316447</v>
      </c>
      <c r="B2821" s="2" t="s">
        <v>82</v>
      </c>
      <c r="C2821" s="2">
        <v>2019</v>
      </c>
      <c r="D2821" s="2" t="s">
        <v>1</v>
      </c>
      <c r="E2821" s="2" t="s">
        <v>9</v>
      </c>
      <c r="F2821" s="2" t="s">
        <v>36</v>
      </c>
      <c r="G2821" s="7">
        <v>-3.96</v>
      </c>
      <c r="H2821" s="13">
        <f>IFERROR(IF(ABS($G2821)&gt;0,VLOOKUP($E2821,'Fuel Category and Heat Rate'!$B$1:$G$34,6,FALSE)*($G2821),""),"")</f>
        <v>-6513385997527.998</v>
      </c>
      <c r="I2821" t="str">
        <f>IFERROR(VLOOKUP($E2821,'Fuel Category and Heat Rate'!$K$2:$M$36,3,FALSE),"")</f>
        <v>LPG propane or butane</v>
      </c>
    </row>
    <row r="2822" spans="1:9" x14ac:dyDescent="0.15">
      <c r="A2822" s="2">
        <v>316482</v>
      </c>
      <c r="B2822" s="2" t="s">
        <v>82</v>
      </c>
      <c r="C2822" s="2">
        <v>2019</v>
      </c>
      <c r="D2822" s="2" t="s">
        <v>1</v>
      </c>
      <c r="E2822" s="2" t="s">
        <v>8</v>
      </c>
      <c r="F2822" s="2" t="s">
        <v>35</v>
      </c>
      <c r="G2822" s="7"/>
      <c r="H2822" s="13" t="str">
        <f>IFERROR(IF(ABS($G2822)&gt;0,VLOOKUP($E2822,'Fuel Category and Heat Rate'!$B$1:$G$34,6,FALSE)*($G2822),""),"")</f>
        <v/>
      </c>
      <c r="I2822" t="str">
        <f>IFERROR(VLOOKUP($E2822,'Fuel Category and Heat Rate'!$K$2:$M$36,3,FALSE),"")</f>
        <v>coal</v>
      </c>
    </row>
    <row r="2823" spans="1:9" x14ac:dyDescent="0.15">
      <c r="A2823" s="2">
        <v>316517</v>
      </c>
      <c r="B2823" s="2" t="s">
        <v>82</v>
      </c>
      <c r="C2823" s="2">
        <v>2019</v>
      </c>
      <c r="D2823" s="2" t="s">
        <v>1</v>
      </c>
      <c r="E2823" s="2" t="s">
        <v>27</v>
      </c>
      <c r="F2823" s="2" t="s">
        <v>35</v>
      </c>
      <c r="G2823" s="7"/>
      <c r="H2823" s="13" t="str">
        <f>IFERROR(IF(ABS($G2823)&gt;0,VLOOKUP($E2823,'Fuel Category and Heat Rate'!$B$1:$G$34,6,FALSE)*($G2823),""),"")</f>
        <v/>
      </c>
      <c r="I2823" t="str">
        <f>IFERROR(VLOOKUP($E2823,'Fuel Category and Heat Rate'!$K$2:$M$36,3,FALSE),"")</f>
        <v>LPG propane or butane</v>
      </c>
    </row>
    <row r="2824" spans="1:9" x14ac:dyDescent="0.15">
      <c r="A2824" s="2">
        <v>316552</v>
      </c>
      <c r="B2824" s="2" t="s">
        <v>82</v>
      </c>
      <c r="C2824" s="2">
        <v>2019</v>
      </c>
      <c r="D2824" s="2" t="s">
        <v>1</v>
      </c>
      <c r="E2824" s="2" t="s">
        <v>7</v>
      </c>
      <c r="F2824" s="2" t="s">
        <v>35</v>
      </c>
      <c r="G2824" s="7">
        <v>-39.67</v>
      </c>
      <c r="H2824" s="13">
        <f>IFERROR(IF(ABS($G2824)&gt;0,VLOOKUP($E2824,'Fuel Category and Heat Rate'!$B$1:$G$34,6,FALSE)*($G2824),""),"")</f>
        <v>-3148616066154.2231</v>
      </c>
      <c r="I2824" t="str">
        <f>IFERROR(VLOOKUP($E2824,'Fuel Category and Heat Rate'!$K$2:$M$36,3,FALSE),"")</f>
        <v>coal</v>
      </c>
    </row>
    <row r="2825" spans="1:9" x14ac:dyDescent="0.15">
      <c r="A2825" s="2">
        <v>316587</v>
      </c>
      <c r="B2825" s="2" t="s">
        <v>82</v>
      </c>
      <c r="C2825" s="2">
        <v>2019</v>
      </c>
      <c r="D2825" s="2" t="s">
        <v>1</v>
      </c>
      <c r="E2825" s="2" t="s">
        <v>2</v>
      </c>
      <c r="F2825" s="2" t="s">
        <v>35</v>
      </c>
      <c r="G2825" s="7">
        <v>-3980.24</v>
      </c>
      <c r="H2825" s="13">
        <f>IFERROR(IF(ABS($G2825)&gt;0,VLOOKUP($E2825,'Fuel Category and Heat Rate'!$B$1:$G$34,6,FALSE)*($G2825),""),"")</f>
        <v>0</v>
      </c>
      <c r="I2825" t="str">
        <f>IFERROR(VLOOKUP($E2825,'Fuel Category and Heat Rate'!$K$2:$M$36,3,FALSE),"")</f>
        <v/>
      </c>
    </row>
    <row r="2826" spans="1:9" x14ac:dyDescent="0.15">
      <c r="A2826" s="2">
        <v>316622</v>
      </c>
      <c r="B2826" s="2" t="s">
        <v>82</v>
      </c>
      <c r="C2826" s="2">
        <v>2019</v>
      </c>
      <c r="D2826" s="2" t="s">
        <v>1</v>
      </c>
      <c r="E2826" s="2" t="s">
        <v>17</v>
      </c>
      <c r="F2826" s="2" t="s">
        <v>35</v>
      </c>
      <c r="G2826" s="7"/>
      <c r="H2826" s="13" t="str">
        <f>IFERROR(IF(ABS($G2826)&gt;0,VLOOKUP($E2826,'Fuel Category and Heat Rate'!$B$1:$G$34,6,FALSE)*($G2826),""),"")</f>
        <v/>
      </c>
      <c r="I2826" t="str">
        <f>IFERROR(VLOOKUP($E2826,'Fuel Category and Heat Rate'!$K$2:$M$36,3,FALSE),"")</f>
        <v>petroleum diesel</v>
      </c>
    </row>
    <row r="2827" spans="1:9" x14ac:dyDescent="0.15">
      <c r="A2827" s="2">
        <v>316657</v>
      </c>
      <c r="B2827" s="2" t="s">
        <v>82</v>
      </c>
      <c r="C2827" s="2">
        <v>2019</v>
      </c>
      <c r="D2827" s="2" t="s">
        <v>1</v>
      </c>
      <c r="E2827" s="2" t="s">
        <v>13</v>
      </c>
      <c r="F2827" s="2" t="s">
        <v>35</v>
      </c>
      <c r="G2827" s="7"/>
      <c r="H2827" s="13" t="str">
        <f>IFERROR(IF(ABS($G2827)&gt;0,VLOOKUP($E2827,'Fuel Category and Heat Rate'!$B$1:$G$34,6,FALSE)*($G2827),""),"")</f>
        <v/>
      </c>
      <c r="I2827" t="str">
        <f>IFERROR(VLOOKUP($E2827,'Fuel Category and Heat Rate'!$K$2:$M$36,3,FALSE),"")</f>
        <v>petroleum diesel</v>
      </c>
    </row>
    <row r="2828" spans="1:9" x14ac:dyDescent="0.15">
      <c r="A2828" s="2">
        <v>316692</v>
      </c>
      <c r="B2828" s="2" t="s">
        <v>82</v>
      </c>
      <c r="C2828" s="2">
        <v>2019</v>
      </c>
      <c r="D2828" s="2" t="s">
        <v>1</v>
      </c>
      <c r="E2828" s="2" t="s">
        <v>12</v>
      </c>
      <c r="F2828" s="2" t="s">
        <v>36</v>
      </c>
      <c r="G2828" s="7"/>
      <c r="H2828" s="13" t="str">
        <f>IFERROR(IF(ABS($G2828)&gt;0,VLOOKUP($E2828,'Fuel Category and Heat Rate'!$B$1:$G$34,6,FALSE)*($G2828),""),"")</f>
        <v/>
      </c>
      <c r="I2828" t="str">
        <f>IFERROR(VLOOKUP($E2828,'Fuel Category and Heat Rate'!$K$2:$M$36,3,FALSE),"")</f>
        <v>LPG propane or butane</v>
      </c>
    </row>
    <row r="2829" spans="1:9" x14ac:dyDescent="0.15">
      <c r="A2829" s="2">
        <v>316727</v>
      </c>
      <c r="B2829" s="2" t="s">
        <v>82</v>
      </c>
      <c r="C2829" s="2">
        <v>2019</v>
      </c>
      <c r="D2829" s="2" t="s">
        <v>1</v>
      </c>
      <c r="E2829" s="2" t="s">
        <v>33</v>
      </c>
      <c r="F2829" s="2" t="s">
        <v>38</v>
      </c>
      <c r="G2829" s="7"/>
      <c r="H2829" s="13" t="str">
        <f>IFERROR(IF(ABS($G2829)&gt;0,VLOOKUP($E2829,'Fuel Category and Heat Rate'!$B$1:$G$34,6,FALSE)*($G2829),""),"")</f>
        <v/>
      </c>
      <c r="I2829" t="str">
        <f>IFERROR(VLOOKUP($E2829,'Fuel Category and Heat Rate'!$K$2:$M$36,3,FALSE),"")</f>
        <v>biomass</v>
      </c>
    </row>
    <row r="2830" spans="1:9" x14ac:dyDescent="0.15">
      <c r="A2830" s="2">
        <v>316762</v>
      </c>
      <c r="B2830" s="2" t="s">
        <v>82</v>
      </c>
      <c r="C2830" s="2">
        <v>2019</v>
      </c>
      <c r="D2830" s="2" t="s">
        <v>1</v>
      </c>
      <c r="E2830" s="2" t="s">
        <v>28</v>
      </c>
      <c r="F2830" s="2" t="s">
        <v>35</v>
      </c>
      <c r="G2830" s="7"/>
      <c r="H2830" s="13" t="str">
        <f>IFERROR(IF(ABS($G2830)&gt;0,VLOOKUP($E2830,'Fuel Category and Heat Rate'!$B$1:$G$34,6,FALSE)*($G2830),""),"")</f>
        <v/>
      </c>
      <c r="I2830" t="str">
        <f>IFERROR(VLOOKUP($E2830,'Fuel Category and Heat Rate'!$K$2:$M$36,3,FALSE),"")</f>
        <v>heavy or residual fuel oil</v>
      </c>
    </row>
    <row r="2831" spans="1:9" x14ac:dyDescent="0.15">
      <c r="A2831" s="2">
        <v>316797</v>
      </c>
      <c r="B2831" s="2" t="s">
        <v>82</v>
      </c>
      <c r="C2831" s="2">
        <v>2019</v>
      </c>
      <c r="D2831" s="2" t="s">
        <v>1</v>
      </c>
      <c r="E2831" s="2" t="s">
        <v>5</v>
      </c>
      <c r="F2831" s="2" t="s">
        <v>35</v>
      </c>
      <c r="G2831" s="7"/>
      <c r="H2831" s="13" t="str">
        <f>IFERROR(IF(ABS($G2831)&gt;0,VLOOKUP($E2831,'Fuel Category and Heat Rate'!$B$1:$G$34,6,FALSE)*($G2831),""),"")</f>
        <v/>
      </c>
      <c r="I2831" t="str">
        <f>IFERROR(VLOOKUP($E2831,'Fuel Category and Heat Rate'!$K$2:$M$36,3,FALSE),"")</f>
        <v>coal</v>
      </c>
    </row>
    <row r="2832" spans="1:9" x14ac:dyDescent="0.15">
      <c r="A2832" s="2">
        <v>316832</v>
      </c>
      <c r="B2832" s="2" t="s">
        <v>82</v>
      </c>
      <c r="C2832" s="2">
        <v>2019</v>
      </c>
      <c r="D2832" s="2" t="s">
        <v>1</v>
      </c>
      <c r="E2832" s="2" t="s">
        <v>16</v>
      </c>
      <c r="F2832" s="2" t="s">
        <v>35</v>
      </c>
      <c r="G2832" s="7"/>
      <c r="H2832" s="13" t="str">
        <f>IFERROR(IF(ABS($G2832)&gt;0,VLOOKUP($E2832,'Fuel Category and Heat Rate'!$B$1:$G$34,6,FALSE)*($G2832),""),"")</f>
        <v/>
      </c>
      <c r="I2832" t="str">
        <f>IFERROR(VLOOKUP($E2832,'Fuel Category and Heat Rate'!$K$2:$M$36,3,FALSE),"")</f>
        <v>petroleum diesel</v>
      </c>
    </row>
    <row r="2833" spans="1:9" x14ac:dyDescent="0.15">
      <c r="A2833" s="2">
        <v>316867</v>
      </c>
      <c r="B2833" s="2" t="s">
        <v>82</v>
      </c>
      <c r="C2833" s="2">
        <v>2019</v>
      </c>
      <c r="D2833" s="2" t="s">
        <v>1</v>
      </c>
      <c r="E2833" s="2" t="s">
        <v>19</v>
      </c>
      <c r="F2833" s="2" t="s">
        <v>35</v>
      </c>
      <c r="G2833" s="7"/>
      <c r="H2833" s="13" t="str">
        <f>IFERROR(IF(ABS($G2833)&gt;0,VLOOKUP($E2833,'Fuel Category and Heat Rate'!$B$1:$G$34,6,FALSE)*($G2833),""),"")</f>
        <v/>
      </c>
      <c r="I2833" t="str">
        <f>IFERROR(VLOOKUP($E2833,'Fuel Category and Heat Rate'!$K$2:$M$36,3,FALSE),"")</f>
        <v>heavy or residual fuel oil</v>
      </c>
    </row>
    <row r="2834" spans="1:9" x14ac:dyDescent="0.15">
      <c r="A2834" s="2">
        <v>316902</v>
      </c>
      <c r="B2834" s="2" t="s">
        <v>82</v>
      </c>
      <c r="C2834" s="2">
        <v>2019</v>
      </c>
      <c r="D2834" s="2" t="s">
        <v>1</v>
      </c>
      <c r="E2834" s="2" t="s">
        <v>31</v>
      </c>
      <c r="F2834" s="2" t="s">
        <v>37</v>
      </c>
      <c r="G2834" s="7">
        <v>51000.08</v>
      </c>
      <c r="H2834" s="13">
        <f>IFERROR(IF(ABS($G2834)&gt;0,VLOOKUP($E2834,'Fuel Category and Heat Rate'!$B$1:$G$34,6,FALSE)*($G2834),""),"")</f>
        <v>483387490813874.94</v>
      </c>
      <c r="I2834" t="str">
        <f>IFERROR(VLOOKUP($E2834,'Fuel Category and Heat Rate'!$K$2:$M$36,3,FALSE),"")</f>
        <v>heat</v>
      </c>
    </row>
    <row r="2835" spans="1:9" x14ac:dyDescent="0.15">
      <c r="A2835" s="2">
        <v>316937</v>
      </c>
      <c r="B2835" s="2" t="s">
        <v>82</v>
      </c>
      <c r="C2835" s="2">
        <v>2019</v>
      </c>
      <c r="D2835" s="2" t="s">
        <v>1</v>
      </c>
      <c r="E2835" s="2" t="s">
        <v>23</v>
      </c>
      <c r="F2835" s="2" t="s">
        <v>35</v>
      </c>
      <c r="G2835" s="7"/>
      <c r="H2835" s="13" t="str">
        <f>IFERROR(IF(ABS($G2835)&gt;0,VLOOKUP($E2835,'Fuel Category and Heat Rate'!$B$1:$G$34,6,FALSE)*($G2835),""),"")</f>
        <v/>
      </c>
      <c r="I2835" t="str">
        <f>IFERROR(VLOOKUP($E2835,'Fuel Category and Heat Rate'!$K$2:$M$36,3,FALSE),"")</f>
        <v>heavy or residual fuel oil</v>
      </c>
    </row>
    <row r="2836" spans="1:9" x14ac:dyDescent="0.15">
      <c r="A2836" s="2">
        <v>316972</v>
      </c>
      <c r="B2836" s="2" t="s">
        <v>82</v>
      </c>
      <c r="C2836" s="2">
        <v>2019</v>
      </c>
      <c r="D2836" s="2" t="s">
        <v>1</v>
      </c>
      <c r="E2836" s="2" t="s">
        <v>21</v>
      </c>
      <c r="F2836" s="2" t="s">
        <v>35</v>
      </c>
      <c r="G2836" s="7"/>
      <c r="H2836" s="13" t="str">
        <f>IFERROR(IF(ABS($G2836)&gt;0,VLOOKUP($E2836,'Fuel Category and Heat Rate'!$B$1:$G$34,6,FALSE)*($G2836),""),"")</f>
        <v/>
      </c>
      <c r="I2836" t="str">
        <f>IFERROR(VLOOKUP($E2836,'Fuel Category and Heat Rate'!$K$2:$M$36,3,FALSE),"")</f>
        <v>LPG propane or butane</v>
      </c>
    </row>
    <row r="2837" spans="1:9" x14ac:dyDescent="0.15">
      <c r="A2837" s="2">
        <v>317007</v>
      </c>
      <c r="B2837" s="2" t="s">
        <v>82</v>
      </c>
      <c r="C2837" s="2">
        <v>2019</v>
      </c>
      <c r="D2837" s="2" t="s">
        <v>1</v>
      </c>
      <c r="E2837" s="2" t="s">
        <v>22</v>
      </c>
      <c r="F2837" s="2" t="s">
        <v>35</v>
      </c>
      <c r="G2837" s="7"/>
      <c r="H2837" s="13" t="str">
        <f>IFERROR(IF(ABS($G2837)&gt;0,VLOOKUP($E2837,'Fuel Category and Heat Rate'!$B$1:$G$34,6,FALSE)*($G2837),""),"")</f>
        <v/>
      </c>
      <c r="I2837" t="str">
        <f>IFERROR(VLOOKUP($E2837,'Fuel Category and Heat Rate'!$K$2:$M$36,3,FALSE),"")</f>
        <v>heavy fuel oil</v>
      </c>
    </row>
    <row r="2838" spans="1:9" x14ac:dyDescent="0.15">
      <c r="A2838" s="2">
        <v>317042</v>
      </c>
      <c r="B2838" s="2" t="s">
        <v>82</v>
      </c>
      <c r="C2838" s="2">
        <v>2019</v>
      </c>
      <c r="D2838" s="2" t="s">
        <v>1</v>
      </c>
      <c r="E2838" s="2" t="s">
        <v>20</v>
      </c>
      <c r="F2838" s="2" t="s">
        <v>35</v>
      </c>
      <c r="G2838" s="7"/>
      <c r="H2838" s="13" t="str">
        <f>IFERROR(IF(ABS($G2838)&gt;0,VLOOKUP($E2838,'Fuel Category and Heat Rate'!$B$1:$G$34,6,FALSE)*($G2838),""),"")</f>
        <v/>
      </c>
      <c r="I2838" t="str">
        <f>IFERROR(VLOOKUP($E2838,'Fuel Category and Heat Rate'!$K$2:$M$36,3,FALSE),"")</f>
        <v>LPG propane or butane</v>
      </c>
    </row>
    <row r="2839" spans="1:9" x14ac:dyDescent="0.15">
      <c r="A2839" s="2">
        <v>317077</v>
      </c>
      <c r="B2839" s="2" t="s">
        <v>82</v>
      </c>
      <c r="C2839" s="2">
        <v>2019</v>
      </c>
      <c r="D2839" s="2" t="s">
        <v>1</v>
      </c>
      <c r="E2839" s="2" t="s">
        <v>25</v>
      </c>
      <c r="F2839" s="2" t="s">
        <v>35</v>
      </c>
      <c r="G2839" s="7"/>
      <c r="H2839" s="13" t="str">
        <f>IFERROR(IF(ABS($G2839)&gt;0,VLOOKUP($E2839,'Fuel Category and Heat Rate'!$B$1:$G$34,6,FALSE)*($G2839),""),"")</f>
        <v/>
      </c>
      <c r="I2839" t="str">
        <f>IFERROR(VLOOKUP($E2839,'Fuel Category and Heat Rate'!$K$2:$M$36,3,FALSE),"")</f>
        <v>heavy fuel oil</v>
      </c>
    </row>
    <row r="2840" spans="1:9" x14ac:dyDescent="0.15">
      <c r="A2840" s="2">
        <v>317112</v>
      </c>
      <c r="B2840" s="2" t="s">
        <v>82</v>
      </c>
      <c r="C2840" s="2">
        <v>2019</v>
      </c>
      <c r="D2840" s="2" t="s">
        <v>1</v>
      </c>
      <c r="E2840" s="2" t="s">
        <v>24</v>
      </c>
      <c r="F2840" s="2" t="s">
        <v>35</v>
      </c>
      <c r="G2840" s="7"/>
      <c r="H2840" s="13" t="str">
        <f>IFERROR(IF(ABS($G2840)&gt;0,VLOOKUP($E2840,'Fuel Category and Heat Rate'!$B$1:$G$34,6,FALSE)*($G2840),""),"")</f>
        <v/>
      </c>
      <c r="I2840" t="str">
        <f>IFERROR(VLOOKUP($E2840,'Fuel Category and Heat Rate'!$K$2:$M$36,3,FALSE),"")</f>
        <v>heavy fuel oil</v>
      </c>
    </row>
    <row r="2841" spans="1:9" x14ac:dyDescent="0.15">
      <c r="A2841" s="2">
        <v>317147</v>
      </c>
      <c r="B2841" s="2" t="s">
        <v>82</v>
      </c>
      <c r="C2841" s="2">
        <v>2019</v>
      </c>
      <c r="D2841" s="2" t="s">
        <v>1</v>
      </c>
      <c r="E2841" s="2" t="s">
        <v>29</v>
      </c>
      <c r="F2841" s="2" t="s">
        <v>36</v>
      </c>
      <c r="G2841" s="7">
        <v>-0.99</v>
      </c>
      <c r="H2841" s="13">
        <f>IFERROR(IF(ABS($G2841)&gt;0,VLOOKUP($E2841,'Fuel Category and Heat Rate'!$B$1:$G$34,6,FALSE)*($G2841),""),"")</f>
        <v>-3339032241752.8892</v>
      </c>
      <c r="I2841" t="str">
        <f>IFERROR(VLOOKUP($E2841,'Fuel Category and Heat Rate'!$K$2:$M$36,3,FALSE),"")</f>
        <v>natural gas</v>
      </c>
    </row>
    <row r="2842" spans="1:9" x14ac:dyDescent="0.15">
      <c r="A2842" s="2">
        <v>317182</v>
      </c>
      <c r="B2842" s="2" t="s">
        <v>82</v>
      </c>
      <c r="C2842" s="2">
        <v>2019</v>
      </c>
      <c r="D2842" s="2" t="s">
        <v>1</v>
      </c>
      <c r="E2842" s="2" t="s">
        <v>4</v>
      </c>
      <c r="F2842" s="2" t="s">
        <v>35</v>
      </c>
      <c r="G2842" s="7"/>
      <c r="H2842" s="13" t="str">
        <f>IFERROR(IF(ABS($G2842)&gt;0,VLOOKUP($E2842,'Fuel Category and Heat Rate'!$B$1:$G$34,6,FALSE)*($G2842),""),"")</f>
        <v/>
      </c>
      <c r="I2842" t="str">
        <f>IFERROR(VLOOKUP($E2842,'Fuel Category and Heat Rate'!$K$2:$M$36,3,FALSE),"")</f>
        <v>coal</v>
      </c>
    </row>
    <row r="2843" spans="1:9" x14ac:dyDescent="0.15">
      <c r="A2843" s="2">
        <v>317217</v>
      </c>
      <c r="B2843" s="2" t="s">
        <v>82</v>
      </c>
      <c r="C2843" s="2">
        <v>2019</v>
      </c>
      <c r="D2843" s="2" t="s">
        <v>1</v>
      </c>
      <c r="E2843" s="2" t="s">
        <v>6</v>
      </c>
      <c r="F2843" s="2" t="s">
        <v>35</v>
      </c>
      <c r="G2843" s="7"/>
      <c r="H2843" s="13" t="str">
        <f>IFERROR(IF(ABS($G2843)&gt;0,VLOOKUP($E2843,'Fuel Category and Heat Rate'!$B$1:$G$34,6,FALSE)*($G2843),""),"")</f>
        <v/>
      </c>
      <c r="I2843" t="str">
        <f>IFERROR(VLOOKUP($E2843,'Fuel Category and Heat Rate'!$K$2:$M$36,3,FALSE),"")</f>
        <v>coal</v>
      </c>
    </row>
    <row r="2844" spans="1:9" x14ac:dyDescent="0.15">
      <c r="A2844" s="2">
        <v>317252</v>
      </c>
      <c r="B2844" s="2" t="s">
        <v>82</v>
      </c>
      <c r="C2844" s="2">
        <v>2019</v>
      </c>
      <c r="D2844" s="2" t="s">
        <v>1</v>
      </c>
      <c r="E2844" s="2" t="s">
        <v>26</v>
      </c>
      <c r="F2844" s="2" t="s">
        <v>35</v>
      </c>
      <c r="G2844" s="7"/>
      <c r="H2844" s="13" t="str">
        <f>IFERROR(IF(ABS($G2844)&gt;0,VLOOKUP($E2844,'Fuel Category and Heat Rate'!$B$1:$G$34,6,FALSE)*($G2844),""),"")</f>
        <v/>
      </c>
      <c r="I2844" t="str">
        <f>IFERROR(VLOOKUP($E2844,'Fuel Category and Heat Rate'!$K$2:$M$36,3,FALSE),"")</f>
        <v>LPG propane or butane</v>
      </c>
    </row>
    <row r="2845" spans="1:9" x14ac:dyDescent="0.15">
      <c r="A2845" s="2">
        <v>317287</v>
      </c>
      <c r="B2845" s="2" t="s">
        <v>82</v>
      </c>
      <c r="C2845" s="2">
        <v>2019</v>
      </c>
      <c r="D2845" s="2" t="s">
        <v>1</v>
      </c>
      <c r="E2845" s="2" t="s">
        <v>30</v>
      </c>
      <c r="F2845" s="2" t="s">
        <v>35</v>
      </c>
      <c r="G2845" s="7"/>
      <c r="H2845" s="13" t="str">
        <f>IFERROR(IF(ABS($G2845)&gt;0,VLOOKUP($E2845,'Fuel Category and Heat Rate'!$B$1:$G$34,6,FALSE)*($G2845),""),"")</f>
        <v/>
      </c>
      <c r="I2845" t="str">
        <f>IFERROR(VLOOKUP($E2845,'Fuel Category and Heat Rate'!$K$2:$M$36,3,FALSE),"")</f>
        <v>natural gas</v>
      </c>
    </row>
    <row r="2846" spans="1:9" x14ac:dyDescent="0.15">
      <c r="A2846" s="2">
        <v>317322</v>
      </c>
      <c r="B2846" s="2" t="s">
        <v>82</v>
      </c>
      <c r="C2846" s="2">
        <v>2019</v>
      </c>
      <c r="D2846" s="2" t="s">
        <v>1</v>
      </c>
      <c r="E2846" s="2" t="s">
        <v>14</v>
      </c>
      <c r="F2846" s="2" t="s">
        <v>35</v>
      </c>
      <c r="G2846" s="7">
        <v>-0.9</v>
      </c>
      <c r="H2846" s="13">
        <f>IFERROR(IF(ABS($G2846)&gt;0,VLOOKUP($E2846,'Fuel Category and Heat Rate'!$B$1:$G$34,6,FALSE)*($G2846),""),"")</f>
        <v>0</v>
      </c>
      <c r="I2846" t="str">
        <f>IFERROR(VLOOKUP($E2846,'Fuel Category and Heat Rate'!$K$2:$M$36,3,FALSE),"")</f>
        <v/>
      </c>
    </row>
    <row r="2847" spans="1:9" x14ac:dyDescent="0.15">
      <c r="A2847" s="2">
        <v>317357</v>
      </c>
      <c r="B2847" s="2" t="s">
        <v>82</v>
      </c>
      <c r="C2847" s="2">
        <v>2019</v>
      </c>
      <c r="D2847" s="2" t="s">
        <v>1</v>
      </c>
      <c r="E2847" s="2" t="s">
        <v>3</v>
      </c>
      <c r="F2847" s="2" t="s">
        <v>35</v>
      </c>
      <c r="G2847" s="7">
        <v>-3980.24</v>
      </c>
      <c r="H2847" s="13">
        <f>IFERROR(IF(ABS($G2847)&gt;0,VLOOKUP($E2847,'Fuel Category and Heat Rate'!$B$1:$G$34,6,FALSE)*($G2847),""),"")</f>
        <v>-788762584653693.88</v>
      </c>
      <c r="I2847" t="str">
        <f>IFERROR(VLOOKUP($E2847,'Fuel Category and Heat Rate'!$K$2:$M$36,3,FALSE),"")</f>
        <v>coal</v>
      </c>
    </row>
    <row r="2848" spans="1:9" x14ac:dyDescent="0.15">
      <c r="A2848" s="2">
        <v>317392</v>
      </c>
      <c r="B2848" s="2" t="s">
        <v>82</v>
      </c>
      <c r="C2848" s="2">
        <v>2019</v>
      </c>
      <c r="D2848" s="2" t="s">
        <v>1</v>
      </c>
      <c r="E2848" s="2" t="s">
        <v>15</v>
      </c>
      <c r="F2848" s="2" t="s">
        <v>35</v>
      </c>
      <c r="G2848" s="7"/>
      <c r="H2848" s="13" t="str">
        <f>IFERROR(IF(ABS($G2848)&gt;0,VLOOKUP($E2848,'Fuel Category and Heat Rate'!$B$1:$G$34,6,FALSE)*($G2848),""),"")</f>
        <v/>
      </c>
      <c r="I2848" t="str">
        <f>IFERROR(VLOOKUP($E2848,'Fuel Category and Heat Rate'!$K$2:$M$36,3,FALSE),"")</f>
        <v>crude oil</v>
      </c>
    </row>
    <row r="2849" spans="1:9" x14ac:dyDescent="0.15">
      <c r="A2849" s="2">
        <v>317427</v>
      </c>
      <c r="B2849" s="2" t="s">
        <v>82</v>
      </c>
      <c r="C2849" s="2">
        <v>2019</v>
      </c>
      <c r="D2849" s="2" t="s">
        <v>1</v>
      </c>
      <c r="E2849" s="2" t="s">
        <v>11</v>
      </c>
      <c r="F2849" s="2" t="s">
        <v>36</v>
      </c>
      <c r="G2849" s="7">
        <v>-2.31</v>
      </c>
      <c r="H2849" s="13">
        <f>IFERROR(IF(ABS($G2849)&gt;0,VLOOKUP($E2849,'Fuel Category and Heat Rate'!$B$1:$G$34,6,FALSE)*($G2849),""),"")</f>
        <v>-1739524026145.1565</v>
      </c>
      <c r="I2849" t="str">
        <f>IFERROR(VLOOKUP($E2849,'Fuel Category and Heat Rate'!$K$2:$M$36,3,FALSE),"")</f>
        <v>LPG propane or butane</v>
      </c>
    </row>
    <row r="2850" spans="1:9" x14ac:dyDescent="0.15">
      <c r="A2850" s="2">
        <v>317462</v>
      </c>
      <c r="B2850" s="2" t="s">
        <v>82</v>
      </c>
      <c r="C2850" s="2">
        <v>2018</v>
      </c>
      <c r="D2850" s="2" t="s">
        <v>1</v>
      </c>
      <c r="E2850" s="2" t="s">
        <v>18</v>
      </c>
      <c r="F2850" s="2" t="s">
        <v>35</v>
      </c>
      <c r="G2850" s="7">
        <v>-7.0000000000000007E-2</v>
      </c>
      <c r="H2850" s="13">
        <f>IFERROR(IF(ABS($G2850)&gt;0,VLOOKUP($E2850,'Fuel Category and Heat Rate'!$B$1:$G$34,6,FALSE)*($G2850),""),"")</f>
        <v>-28298407141.195419</v>
      </c>
      <c r="I2850" t="str">
        <f>IFERROR(VLOOKUP($E2850,'Fuel Category and Heat Rate'!$K$2:$M$36,3,FALSE),"")</f>
        <v>petroleum diesel</v>
      </c>
    </row>
    <row r="2851" spans="1:9" x14ac:dyDescent="0.15">
      <c r="A2851" s="2">
        <v>317497</v>
      </c>
      <c r="B2851" s="2" t="s">
        <v>82</v>
      </c>
      <c r="C2851" s="2">
        <v>2018</v>
      </c>
      <c r="D2851" s="2" t="s">
        <v>1</v>
      </c>
      <c r="E2851" s="2" t="s">
        <v>32</v>
      </c>
      <c r="F2851" s="2" t="s">
        <v>65</v>
      </c>
      <c r="G2851" s="7"/>
      <c r="H2851" s="13" t="str">
        <f>IFERROR(IF(ABS($G2851)&gt;0,VLOOKUP($E2851,'Fuel Category and Heat Rate'!$B$1:$G$34,6,FALSE)*($G2851),""),"")</f>
        <v/>
      </c>
      <c r="I2851" t="str">
        <f>IFERROR(VLOOKUP($E2851,'Fuel Category and Heat Rate'!$K$2:$M$36,3,FALSE),"")</f>
        <v>electricity</v>
      </c>
    </row>
    <row r="2852" spans="1:9" x14ac:dyDescent="0.15">
      <c r="A2852" s="2">
        <v>317532</v>
      </c>
      <c r="B2852" s="2" t="s">
        <v>82</v>
      </c>
      <c r="C2852" s="2">
        <v>2018</v>
      </c>
      <c r="D2852" s="2" t="s">
        <v>1</v>
      </c>
      <c r="E2852" s="2" t="s">
        <v>10</v>
      </c>
      <c r="F2852" s="2" t="s">
        <v>36</v>
      </c>
      <c r="G2852" s="7">
        <v>-17.3</v>
      </c>
      <c r="H2852" s="13">
        <f>IFERROR(IF(ABS($G2852)&gt;0,VLOOKUP($E2852,'Fuel Category and Heat Rate'!$B$1:$G$34,6,FALSE)*($G2852),""),"")</f>
        <v>-6170279990391.0303</v>
      </c>
      <c r="I2852" t="str">
        <f>IFERROR(VLOOKUP($E2852,'Fuel Category and Heat Rate'!$K$2:$M$36,3,FALSE),"")</f>
        <v>LPG propane or butane</v>
      </c>
    </row>
    <row r="2853" spans="1:9" x14ac:dyDescent="0.15">
      <c r="A2853" s="2">
        <v>317567</v>
      </c>
      <c r="B2853" s="2" t="s">
        <v>82</v>
      </c>
      <c r="C2853" s="2">
        <v>2018</v>
      </c>
      <c r="D2853" s="2" t="s">
        <v>1</v>
      </c>
      <c r="E2853" s="2" t="s">
        <v>9</v>
      </c>
      <c r="F2853" s="2" t="s">
        <v>36</v>
      </c>
      <c r="G2853" s="7">
        <v>-2.76</v>
      </c>
      <c r="H2853" s="13">
        <f>IFERROR(IF(ABS($G2853)&gt;0,VLOOKUP($E2853,'Fuel Category and Heat Rate'!$B$1:$G$34,6,FALSE)*($G2853),""),"")</f>
        <v>-4539632664943.7559</v>
      </c>
      <c r="I2853" t="str">
        <f>IFERROR(VLOOKUP($E2853,'Fuel Category and Heat Rate'!$K$2:$M$36,3,FALSE),"")</f>
        <v>LPG propane or butane</v>
      </c>
    </row>
    <row r="2854" spans="1:9" x14ac:dyDescent="0.15">
      <c r="A2854" s="2">
        <v>317602</v>
      </c>
      <c r="B2854" s="2" t="s">
        <v>82</v>
      </c>
      <c r="C2854" s="2">
        <v>2018</v>
      </c>
      <c r="D2854" s="2" t="s">
        <v>1</v>
      </c>
      <c r="E2854" s="2" t="s">
        <v>8</v>
      </c>
      <c r="F2854" s="2" t="s">
        <v>35</v>
      </c>
      <c r="G2854" s="7"/>
      <c r="H2854" s="13" t="str">
        <f>IFERROR(IF(ABS($G2854)&gt;0,VLOOKUP($E2854,'Fuel Category and Heat Rate'!$B$1:$G$34,6,FALSE)*($G2854),""),"")</f>
        <v/>
      </c>
      <c r="I2854" t="str">
        <f>IFERROR(VLOOKUP($E2854,'Fuel Category and Heat Rate'!$K$2:$M$36,3,FALSE),"")</f>
        <v>coal</v>
      </c>
    </row>
    <row r="2855" spans="1:9" x14ac:dyDescent="0.15">
      <c r="A2855" s="2">
        <v>317637</v>
      </c>
      <c r="B2855" s="2" t="s">
        <v>82</v>
      </c>
      <c r="C2855" s="2">
        <v>2018</v>
      </c>
      <c r="D2855" s="2" t="s">
        <v>1</v>
      </c>
      <c r="E2855" s="2" t="s">
        <v>27</v>
      </c>
      <c r="F2855" s="2" t="s">
        <v>35</v>
      </c>
      <c r="G2855" s="7"/>
      <c r="H2855" s="13" t="str">
        <f>IFERROR(IF(ABS($G2855)&gt;0,VLOOKUP($E2855,'Fuel Category and Heat Rate'!$B$1:$G$34,6,FALSE)*($G2855),""),"")</f>
        <v/>
      </c>
      <c r="I2855" t="str">
        <f>IFERROR(VLOOKUP($E2855,'Fuel Category and Heat Rate'!$K$2:$M$36,3,FALSE),"")</f>
        <v>LPG propane or butane</v>
      </c>
    </row>
    <row r="2856" spans="1:9" x14ac:dyDescent="0.15">
      <c r="A2856" s="2">
        <v>317672</v>
      </c>
      <c r="B2856" s="2" t="s">
        <v>82</v>
      </c>
      <c r="C2856" s="2">
        <v>2018</v>
      </c>
      <c r="D2856" s="2" t="s">
        <v>1</v>
      </c>
      <c r="E2856" s="2" t="s">
        <v>7</v>
      </c>
      <c r="F2856" s="2" t="s">
        <v>35</v>
      </c>
      <c r="G2856" s="7">
        <v>-25.59</v>
      </c>
      <c r="H2856" s="13">
        <f>IFERROR(IF(ABS($G2856)&gt;0,VLOOKUP($E2856,'Fuel Category and Heat Rate'!$B$1:$G$34,6,FALSE)*($G2856),""),"")</f>
        <v>-2031083567756.1523</v>
      </c>
      <c r="I2856" t="str">
        <f>IFERROR(VLOOKUP($E2856,'Fuel Category and Heat Rate'!$K$2:$M$36,3,FALSE),"")</f>
        <v>coal</v>
      </c>
    </row>
    <row r="2857" spans="1:9" x14ac:dyDescent="0.15">
      <c r="A2857" s="2">
        <v>317707</v>
      </c>
      <c r="B2857" s="2" t="s">
        <v>82</v>
      </c>
      <c r="C2857" s="2">
        <v>2018</v>
      </c>
      <c r="D2857" s="2" t="s">
        <v>1</v>
      </c>
      <c r="E2857" s="2" t="s">
        <v>2</v>
      </c>
      <c r="F2857" s="2" t="s">
        <v>35</v>
      </c>
      <c r="G2857" s="7">
        <v>-3659.64</v>
      </c>
      <c r="H2857" s="13">
        <f>IFERROR(IF(ABS($G2857)&gt;0,VLOOKUP($E2857,'Fuel Category and Heat Rate'!$B$1:$G$34,6,FALSE)*($G2857),""),"")</f>
        <v>0</v>
      </c>
      <c r="I2857" t="str">
        <f>IFERROR(VLOOKUP($E2857,'Fuel Category and Heat Rate'!$K$2:$M$36,3,FALSE),"")</f>
        <v/>
      </c>
    </row>
    <row r="2858" spans="1:9" x14ac:dyDescent="0.15">
      <c r="A2858" s="2">
        <v>317742</v>
      </c>
      <c r="B2858" s="2" t="s">
        <v>82</v>
      </c>
      <c r="C2858" s="2">
        <v>2018</v>
      </c>
      <c r="D2858" s="2" t="s">
        <v>1</v>
      </c>
      <c r="E2858" s="2" t="s">
        <v>17</v>
      </c>
      <c r="F2858" s="2" t="s">
        <v>35</v>
      </c>
      <c r="G2858" s="7"/>
      <c r="H2858" s="13" t="str">
        <f>IFERROR(IF(ABS($G2858)&gt;0,VLOOKUP($E2858,'Fuel Category and Heat Rate'!$B$1:$G$34,6,FALSE)*($G2858),""),"")</f>
        <v/>
      </c>
      <c r="I2858" t="str">
        <f>IFERROR(VLOOKUP($E2858,'Fuel Category and Heat Rate'!$K$2:$M$36,3,FALSE),"")</f>
        <v>petroleum diesel</v>
      </c>
    </row>
    <row r="2859" spans="1:9" x14ac:dyDescent="0.15">
      <c r="A2859" s="2">
        <v>317777</v>
      </c>
      <c r="B2859" s="2" t="s">
        <v>82</v>
      </c>
      <c r="C2859" s="2">
        <v>2018</v>
      </c>
      <c r="D2859" s="2" t="s">
        <v>1</v>
      </c>
      <c r="E2859" s="2" t="s">
        <v>13</v>
      </c>
      <c r="F2859" s="2" t="s">
        <v>35</v>
      </c>
      <c r="G2859" s="7"/>
      <c r="H2859" s="13" t="str">
        <f>IFERROR(IF(ABS($G2859)&gt;0,VLOOKUP($E2859,'Fuel Category and Heat Rate'!$B$1:$G$34,6,FALSE)*($G2859),""),"")</f>
        <v/>
      </c>
      <c r="I2859" t="str">
        <f>IFERROR(VLOOKUP($E2859,'Fuel Category and Heat Rate'!$K$2:$M$36,3,FALSE),"")</f>
        <v>petroleum diesel</v>
      </c>
    </row>
    <row r="2860" spans="1:9" x14ac:dyDescent="0.15">
      <c r="A2860" s="2">
        <v>317812</v>
      </c>
      <c r="B2860" s="2" t="s">
        <v>82</v>
      </c>
      <c r="C2860" s="2">
        <v>2018</v>
      </c>
      <c r="D2860" s="2" t="s">
        <v>1</v>
      </c>
      <c r="E2860" s="2" t="s">
        <v>12</v>
      </c>
      <c r="F2860" s="2" t="s">
        <v>36</v>
      </c>
      <c r="G2860" s="7"/>
      <c r="H2860" s="13" t="str">
        <f>IFERROR(IF(ABS($G2860)&gt;0,VLOOKUP($E2860,'Fuel Category and Heat Rate'!$B$1:$G$34,6,FALSE)*($G2860),""),"")</f>
        <v/>
      </c>
      <c r="I2860" t="str">
        <f>IFERROR(VLOOKUP($E2860,'Fuel Category and Heat Rate'!$K$2:$M$36,3,FALSE),"")</f>
        <v>LPG propane or butane</v>
      </c>
    </row>
    <row r="2861" spans="1:9" x14ac:dyDescent="0.15">
      <c r="A2861" s="2">
        <v>317847</v>
      </c>
      <c r="B2861" s="2" t="s">
        <v>82</v>
      </c>
      <c r="C2861" s="2">
        <v>2018</v>
      </c>
      <c r="D2861" s="2" t="s">
        <v>1</v>
      </c>
      <c r="E2861" s="2" t="s">
        <v>33</v>
      </c>
      <c r="F2861" s="2" t="s">
        <v>38</v>
      </c>
      <c r="G2861" s="7">
        <v>-0.38</v>
      </c>
      <c r="H2861" s="13">
        <f>IFERROR(IF(ABS($G2861)&gt;0,VLOOKUP($E2861,'Fuel Category and Heat Rate'!$B$1:$G$34,6,FALSE)*($G2861),""),"")</f>
        <v>-105425508990.82735</v>
      </c>
      <c r="I2861" t="str">
        <f>IFERROR(VLOOKUP($E2861,'Fuel Category and Heat Rate'!$K$2:$M$36,3,FALSE),"")</f>
        <v>biomass</v>
      </c>
    </row>
    <row r="2862" spans="1:9" x14ac:dyDescent="0.15">
      <c r="A2862" s="2">
        <v>317882</v>
      </c>
      <c r="B2862" s="2" t="s">
        <v>82</v>
      </c>
      <c r="C2862" s="2">
        <v>2018</v>
      </c>
      <c r="D2862" s="2" t="s">
        <v>1</v>
      </c>
      <c r="E2862" s="2" t="s">
        <v>28</v>
      </c>
      <c r="F2862" s="2" t="s">
        <v>35</v>
      </c>
      <c r="G2862" s="7"/>
      <c r="H2862" s="13" t="str">
        <f>IFERROR(IF(ABS($G2862)&gt;0,VLOOKUP($E2862,'Fuel Category and Heat Rate'!$B$1:$G$34,6,FALSE)*($G2862),""),"")</f>
        <v/>
      </c>
      <c r="I2862" t="str">
        <f>IFERROR(VLOOKUP($E2862,'Fuel Category and Heat Rate'!$K$2:$M$36,3,FALSE),"")</f>
        <v>heavy or residual fuel oil</v>
      </c>
    </row>
    <row r="2863" spans="1:9" x14ac:dyDescent="0.15">
      <c r="A2863" s="2">
        <v>317917</v>
      </c>
      <c r="B2863" s="2" t="s">
        <v>82</v>
      </c>
      <c r="C2863" s="2">
        <v>2018</v>
      </c>
      <c r="D2863" s="2" t="s">
        <v>1</v>
      </c>
      <c r="E2863" s="2" t="s">
        <v>5</v>
      </c>
      <c r="F2863" s="2" t="s">
        <v>35</v>
      </c>
      <c r="G2863" s="7"/>
      <c r="H2863" s="13" t="str">
        <f>IFERROR(IF(ABS($G2863)&gt;0,VLOOKUP($E2863,'Fuel Category and Heat Rate'!$B$1:$G$34,6,FALSE)*($G2863),""),"")</f>
        <v/>
      </c>
      <c r="I2863" t="str">
        <f>IFERROR(VLOOKUP($E2863,'Fuel Category and Heat Rate'!$K$2:$M$36,3,FALSE),"")</f>
        <v>coal</v>
      </c>
    </row>
    <row r="2864" spans="1:9" x14ac:dyDescent="0.15">
      <c r="A2864" s="2">
        <v>317952</v>
      </c>
      <c r="B2864" s="2" t="s">
        <v>82</v>
      </c>
      <c r="C2864" s="2">
        <v>2018</v>
      </c>
      <c r="D2864" s="2" t="s">
        <v>1</v>
      </c>
      <c r="E2864" s="2" t="s">
        <v>16</v>
      </c>
      <c r="F2864" s="2" t="s">
        <v>35</v>
      </c>
      <c r="G2864" s="7"/>
      <c r="H2864" s="13" t="str">
        <f>IFERROR(IF(ABS($G2864)&gt;0,VLOOKUP($E2864,'Fuel Category and Heat Rate'!$B$1:$G$34,6,FALSE)*($G2864),""),"")</f>
        <v/>
      </c>
      <c r="I2864" t="str">
        <f>IFERROR(VLOOKUP($E2864,'Fuel Category and Heat Rate'!$K$2:$M$36,3,FALSE),"")</f>
        <v>petroleum diesel</v>
      </c>
    </row>
    <row r="2865" spans="1:9" x14ac:dyDescent="0.15">
      <c r="A2865" s="2">
        <v>317987</v>
      </c>
      <c r="B2865" s="2" t="s">
        <v>82</v>
      </c>
      <c r="C2865" s="2">
        <v>2018</v>
      </c>
      <c r="D2865" s="2" t="s">
        <v>1</v>
      </c>
      <c r="E2865" s="2" t="s">
        <v>19</v>
      </c>
      <c r="F2865" s="2" t="s">
        <v>35</v>
      </c>
      <c r="G2865" s="7"/>
      <c r="H2865" s="13" t="str">
        <f>IFERROR(IF(ABS($G2865)&gt;0,VLOOKUP($E2865,'Fuel Category and Heat Rate'!$B$1:$G$34,6,FALSE)*($G2865),""),"")</f>
        <v/>
      </c>
      <c r="I2865" t="str">
        <f>IFERROR(VLOOKUP($E2865,'Fuel Category and Heat Rate'!$K$2:$M$36,3,FALSE),"")</f>
        <v>heavy or residual fuel oil</v>
      </c>
    </row>
    <row r="2866" spans="1:9" x14ac:dyDescent="0.15">
      <c r="A2866" s="2">
        <v>318022</v>
      </c>
      <c r="B2866" s="2" t="s">
        <v>82</v>
      </c>
      <c r="C2866" s="2">
        <v>2018</v>
      </c>
      <c r="D2866" s="2" t="s">
        <v>1</v>
      </c>
      <c r="E2866" s="2" t="s">
        <v>31</v>
      </c>
      <c r="F2866" s="2" t="s">
        <v>37</v>
      </c>
      <c r="G2866" s="7">
        <v>46208.75</v>
      </c>
      <c r="H2866" s="13">
        <f>IFERROR(IF(ABS($G2866)&gt;0,VLOOKUP($E2866,'Fuel Category and Heat Rate'!$B$1:$G$34,6,FALSE)*($G2866),""),"")</f>
        <v>437974444670393.56</v>
      </c>
      <c r="I2866" t="str">
        <f>IFERROR(VLOOKUP($E2866,'Fuel Category and Heat Rate'!$K$2:$M$36,3,FALSE),"")</f>
        <v>heat</v>
      </c>
    </row>
    <row r="2867" spans="1:9" x14ac:dyDescent="0.15">
      <c r="A2867" s="2">
        <v>318057</v>
      </c>
      <c r="B2867" s="2" t="s">
        <v>82</v>
      </c>
      <c r="C2867" s="2">
        <v>2018</v>
      </c>
      <c r="D2867" s="2" t="s">
        <v>1</v>
      </c>
      <c r="E2867" s="2" t="s">
        <v>23</v>
      </c>
      <c r="F2867" s="2" t="s">
        <v>35</v>
      </c>
      <c r="G2867" s="7"/>
      <c r="H2867" s="13" t="str">
        <f>IFERROR(IF(ABS($G2867)&gt;0,VLOOKUP($E2867,'Fuel Category and Heat Rate'!$B$1:$G$34,6,FALSE)*($G2867),""),"")</f>
        <v/>
      </c>
      <c r="I2867" t="str">
        <f>IFERROR(VLOOKUP($E2867,'Fuel Category and Heat Rate'!$K$2:$M$36,3,FALSE),"")</f>
        <v>heavy or residual fuel oil</v>
      </c>
    </row>
    <row r="2868" spans="1:9" x14ac:dyDescent="0.15">
      <c r="A2868" s="2">
        <v>318092</v>
      </c>
      <c r="B2868" s="2" t="s">
        <v>82</v>
      </c>
      <c r="C2868" s="2">
        <v>2018</v>
      </c>
      <c r="D2868" s="2" t="s">
        <v>1</v>
      </c>
      <c r="E2868" s="2" t="s">
        <v>21</v>
      </c>
      <c r="F2868" s="2" t="s">
        <v>35</v>
      </c>
      <c r="G2868" s="7"/>
      <c r="H2868" s="13" t="str">
        <f>IFERROR(IF(ABS($G2868)&gt;0,VLOOKUP($E2868,'Fuel Category and Heat Rate'!$B$1:$G$34,6,FALSE)*($G2868),""),"")</f>
        <v/>
      </c>
      <c r="I2868" t="str">
        <f>IFERROR(VLOOKUP($E2868,'Fuel Category and Heat Rate'!$K$2:$M$36,3,FALSE),"")</f>
        <v>LPG propane or butane</v>
      </c>
    </row>
    <row r="2869" spans="1:9" x14ac:dyDescent="0.15">
      <c r="A2869" s="2">
        <v>318127</v>
      </c>
      <c r="B2869" s="2" t="s">
        <v>82</v>
      </c>
      <c r="C2869" s="2">
        <v>2018</v>
      </c>
      <c r="D2869" s="2" t="s">
        <v>1</v>
      </c>
      <c r="E2869" s="2" t="s">
        <v>22</v>
      </c>
      <c r="F2869" s="2" t="s">
        <v>35</v>
      </c>
      <c r="G2869" s="7"/>
      <c r="H2869" s="13" t="str">
        <f>IFERROR(IF(ABS($G2869)&gt;0,VLOOKUP($E2869,'Fuel Category and Heat Rate'!$B$1:$G$34,6,FALSE)*($G2869),""),"")</f>
        <v/>
      </c>
      <c r="I2869" t="str">
        <f>IFERROR(VLOOKUP($E2869,'Fuel Category and Heat Rate'!$K$2:$M$36,3,FALSE),"")</f>
        <v>heavy fuel oil</v>
      </c>
    </row>
    <row r="2870" spans="1:9" x14ac:dyDescent="0.15">
      <c r="A2870" s="2">
        <v>318162</v>
      </c>
      <c r="B2870" s="2" t="s">
        <v>82</v>
      </c>
      <c r="C2870" s="2">
        <v>2018</v>
      </c>
      <c r="D2870" s="2" t="s">
        <v>1</v>
      </c>
      <c r="E2870" s="2" t="s">
        <v>20</v>
      </c>
      <c r="F2870" s="2" t="s">
        <v>35</v>
      </c>
      <c r="G2870" s="7"/>
      <c r="H2870" s="13" t="str">
        <f>IFERROR(IF(ABS($G2870)&gt;0,VLOOKUP($E2870,'Fuel Category and Heat Rate'!$B$1:$G$34,6,FALSE)*($G2870),""),"")</f>
        <v/>
      </c>
      <c r="I2870" t="str">
        <f>IFERROR(VLOOKUP($E2870,'Fuel Category and Heat Rate'!$K$2:$M$36,3,FALSE),"")</f>
        <v>LPG propane or butane</v>
      </c>
    </row>
    <row r="2871" spans="1:9" x14ac:dyDescent="0.15">
      <c r="A2871" s="2">
        <v>318197</v>
      </c>
      <c r="B2871" s="2" t="s">
        <v>82</v>
      </c>
      <c r="C2871" s="2">
        <v>2018</v>
      </c>
      <c r="D2871" s="2" t="s">
        <v>1</v>
      </c>
      <c r="E2871" s="2" t="s">
        <v>25</v>
      </c>
      <c r="F2871" s="2" t="s">
        <v>35</v>
      </c>
      <c r="G2871" s="7"/>
      <c r="H2871" s="13" t="str">
        <f>IFERROR(IF(ABS($G2871)&gt;0,VLOOKUP($E2871,'Fuel Category and Heat Rate'!$B$1:$G$34,6,FALSE)*($G2871),""),"")</f>
        <v/>
      </c>
      <c r="I2871" t="str">
        <f>IFERROR(VLOOKUP($E2871,'Fuel Category and Heat Rate'!$K$2:$M$36,3,FALSE),"")</f>
        <v>heavy fuel oil</v>
      </c>
    </row>
    <row r="2872" spans="1:9" x14ac:dyDescent="0.15">
      <c r="A2872" s="2">
        <v>318232</v>
      </c>
      <c r="B2872" s="2" t="s">
        <v>82</v>
      </c>
      <c r="C2872" s="2">
        <v>2018</v>
      </c>
      <c r="D2872" s="2" t="s">
        <v>1</v>
      </c>
      <c r="E2872" s="2" t="s">
        <v>24</v>
      </c>
      <c r="F2872" s="2" t="s">
        <v>35</v>
      </c>
      <c r="G2872" s="7"/>
      <c r="H2872" s="13" t="str">
        <f>IFERROR(IF(ABS($G2872)&gt;0,VLOOKUP($E2872,'Fuel Category and Heat Rate'!$B$1:$G$34,6,FALSE)*($G2872),""),"")</f>
        <v/>
      </c>
      <c r="I2872" t="str">
        <f>IFERROR(VLOOKUP($E2872,'Fuel Category and Heat Rate'!$K$2:$M$36,3,FALSE),"")</f>
        <v>heavy fuel oil</v>
      </c>
    </row>
    <row r="2873" spans="1:9" x14ac:dyDescent="0.15">
      <c r="A2873" s="2">
        <v>318267</v>
      </c>
      <c r="B2873" s="2" t="s">
        <v>82</v>
      </c>
      <c r="C2873" s="2">
        <v>2018</v>
      </c>
      <c r="D2873" s="2" t="s">
        <v>1</v>
      </c>
      <c r="E2873" s="2" t="s">
        <v>29</v>
      </c>
      <c r="F2873" s="2" t="s">
        <v>36</v>
      </c>
      <c r="G2873" s="7">
        <v>-0.82</v>
      </c>
      <c r="H2873" s="13">
        <f>IFERROR(IF(ABS($G2873)&gt;0,VLOOKUP($E2873,'Fuel Category and Heat Rate'!$B$1:$G$34,6,FALSE)*($G2873),""),"")</f>
        <v>-2765663068926.6353</v>
      </c>
      <c r="I2873" t="str">
        <f>IFERROR(VLOOKUP($E2873,'Fuel Category and Heat Rate'!$K$2:$M$36,3,FALSE),"")</f>
        <v>natural gas</v>
      </c>
    </row>
    <row r="2874" spans="1:9" x14ac:dyDescent="0.15">
      <c r="A2874" s="2">
        <v>318302</v>
      </c>
      <c r="B2874" s="2" t="s">
        <v>82</v>
      </c>
      <c r="C2874" s="2">
        <v>2018</v>
      </c>
      <c r="D2874" s="2" t="s">
        <v>1</v>
      </c>
      <c r="E2874" s="2" t="s">
        <v>4</v>
      </c>
      <c r="F2874" s="2" t="s">
        <v>35</v>
      </c>
      <c r="G2874" s="7"/>
      <c r="H2874" s="13" t="str">
        <f>IFERROR(IF(ABS($G2874)&gt;0,VLOOKUP($E2874,'Fuel Category and Heat Rate'!$B$1:$G$34,6,FALSE)*($G2874),""),"")</f>
        <v/>
      </c>
      <c r="I2874" t="str">
        <f>IFERROR(VLOOKUP($E2874,'Fuel Category and Heat Rate'!$K$2:$M$36,3,FALSE),"")</f>
        <v>coal</v>
      </c>
    </row>
    <row r="2875" spans="1:9" x14ac:dyDescent="0.15">
      <c r="A2875" s="2">
        <v>318337</v>
      </c>
      <c r="B2875" s="2" t="s">
        <v>82</v>
      </c>
      <c r="C2875" s="2">
        <v>2018</v>
      </c>
      <c r="D2875" s="2" t="s">
        <v>1</v>
      </c>
      <c r="E2875" s="2" t="s">
        <v>6</v>
      </c>
      <c r="F2875" s="2" t="s">
        <v>35</v>
      </c>
      <c r="G2875" s="7"/>
      <c r="H2875" s="13" t="str">
        <f>IFERROR(IF(ABS($G2875)&gt;0,VLOOKUP($E2875,'Fuel Category and Heat Rate'!$B$1:$G$34,6,FALSE)*($G2875),""),"")</f>
        <v/>
      </c>
      <c r="I2875" t="str">
        <f>IFERROR(VLOOKUP($E2875,'Fuel Category and Heat Rate'!$K$2:$M$36,3,FALSE),"")</f>
        <v>coal</v>
      </c>
    </row>
    <row r="2876" spans="1:9" x14ac:dyDescent="0.15">
      <c r="A2876" s="2">
        <v>318372</v>
      </c>
      <c r="B2876" s="2" t="s">
        <v>82</v>
      </c>
      <c r="C2876" s="2">
        <v>2018</v>
      </c>
      <c r="D2876" s="2" t="s">
        <v>1</v>
      </c>
      <c r="E2876" s="2" t="s">
        <v>26</v>
      </c>
      <c r="F2876" s="2" t="s">
        <v>35</v>
      </c>
      <c r="G2876" s="7"/>
      <c r="H2876" s="13" t="str">
        <f>IFERROR(IF(ABS($G2876)&gt;0,VLOOKUP($E2876,'Fuel Category and Heat Rate'!$B$1:$G$34,6,FALSE)*($G2876),""),"")</f>
        <v/>
      </c>
      <c r="I2876" t="str">
        <f>IFERROR(VLOOKUP($E2876,'Fuel Category and Heat Rate'!$K$2:$M$36,3,FALSE),"")</f>
        <v>LPG propane or butane</v>
      </c>
    </row>
    <row r="2877" spans="1:9" x14ac:dyDescent="0.15">
      <c r="A2877" s="2">
        <v>318407</v>
      </c>
      <c r="B2877" s="2" t="s">
        <v>82</v>
      </c>
      <c r="C2877" s="2">
        <v>2018</v>
      </c>
      <c r="D2877" s="2" t="s">
        <v>1</v>
      </c>
      <c r="E2877" s="2" t="s">
        <v>30</v>
      </c>
      <c r="F2877" s="2" t="s">
        <v>35</v>
      </c>
      <c r="G2877" s="7"/>
      <c r="H2877" s="13" t="str">
        <f>IFERROR(IF(ABS($G2877)&gt;0,VLOOKUP($E2877,'Fuel Category and Heat Rate'!$B$1:$G$34,6,FALSE)*($G2877),""),"")</f>
        <v/>
      </c>
      <c r="I2877" t="str">
        <f>IFERROR(VLOOKUP($E2877,'Fuel Category and Heat Rate'!$K$2:$M$36,3,FALSE),"")</f>
        <v>natural gas</v>
      </c>
    </row>
    <row r="2878" spans="1:9" x14ac:dyDescent="0.15">
      <c r="A2878" s="2">
        <v>318442</v>
      </c>
      <c r="B2878" s="2" t="s">
        <v>82</v>
      </c>
      <c r="C2878" s="2">
        <v>2018</v>
      </c>
      <c r="D2878" s="2" t="s">
        <v>1</v>
      </c>
      <c r="E2878" s="2" t="s">
        <v>14</v>
      </c>
      <c r="F2878" s="2" t="s">
        <v>35</v>
      </c>
      <c r="G2878" s="7">
        <v>-7.0000000000000007E-2</v>
      </c>
      <c r="H2878" s="13">
        <f>IFERROR(IF(ABS($G2878)&gt;0,VLOOKUP($E2878,'Fuel Category and Heat Rate'!$B$1:$G$34,6,FALSE)*($G2878),""),"")</f>
        <v>0</v>
      </c>
      <c r="I2878" t="str">
        <f>IFERROR(VLOOKUP($E2878,'Fuel Category and Heat Rate'!$K$2:$M$36,3,FALSE),"")</f>
        <v/>
      </c>
    </row>
    <row r="2879" spans="1:9" x14ac:dyDescent="0.15">
      <c r="A2879" s="2">
        <v>318477</v>
      </c>
      <c r="B2879" s="2" t="s">
        <v>82</v>
      </c>
      <c r="C2879" s="2">
        <v>2018</v>
      </c>
      <c r="D2879" s="2" t="s">
        <v>1</v>
      </c>
      <c r="E2879" s="2" t="s">
        <v>3</v>
      </c>
      <c r="F2879" s="2" t="s">
        <v>35</v>
      </c>
      <c r="G2879" s="7">
        <v>-3659.64</v>
      </c>
      <c r="H2879" s="13">
        <f>IFERROR(IF(ABS($G2879)&gt;0,VLOOKUP($E2879,'Fuel Category and Heat Rate'!$B$1:$G$34,6,FALSE)*($G2879),""),"")</f>
        <v>-725229409608979.5</v>
      </c>
      <c r="I2879" t="str">
        <f>IFERROR(VLOOKUP($E2879,'Fuel Category and Heat Rate'!$K$2:$M$36,3,FALSE),"")</f>
        <v>coal</v>
      </c>
    </row>
    <row r="2880" spans="1:9" x14ac:dyDescent="0.15">
      <c r="A2880" s="2">
        <v>318512</v>
      </c>
      <c r="B2880" s="2" t="s">
        <v>82</v>
      </c>
      <c r="C2880" s="2">
        <v>2018</v>
      </c>
      <c r="D2880" s="2" t="s">
        <v>1</v>
      </c>
      <c r="E2880" s="2" t="s">
        <v>15</v>
      </c>
      <c r="F2880" s="2" t="s">
        <v>35</v>
      </c>
      <c r="G2880" s="7"/>
      <c r="H2880" s="13" t="str">
        <f>IFERROR(IF(ABS($G2880)&gt;0,VLOOKUP($E2880,'Fuel Category and Heat Rate'!$B$1:$G$34,6,FALSE)*($G2880),""),"")</f>
        <v/>
      </c>
      <c r="I2880" t="str">
        <f>IFERROR(VLOOKUP($E2880,'Fuel Category and Heat Rate'!$K$2:$M$36,3,FALSE),"")</f>
        <v>crude oil</v>
      </c>
    </row>
    <row r="2881" spans="1:9" x14ac:dyDescent="0.15">
      <c r="A2881" s="2">
        <v>318547</v>
      </c>
      <c r="B2881" s="2" t="s">
        <v>82</v>
      </c>
      <c r="C2881" s="2">
        <v>2018</v>
      </c>
      <c r="D2881" s="2" t="s">
        <v>1</v>
      </c>
      <c r="E2881" s="2" t="s">
        <v>11</v>
      </c>
      <c r="F2881" s="2" t="s">
        <v>36</v>
      </c>
      <c r="G2881" s="7">
        <v>-1.84</v>
      </c>
      <c r="H2881" s="13">
        <f>IFERROR(IF(ABS($G2881)&gt;0,VLOOKUP($E2881,'Fuel Category and Heat Rate'!$B$1:$G$34,6,FALSE)*($G2881),""),"")</f>
        <v>-1385594895284.4536</v>
      </c>
      <c r="I2881" t="str">
        <f>IFERROR(VLOOKUP($E2881,'Fuel Category and Heat Rate'!$K$2:$M$36,3,FALSE),"")</f>
        <v>LPG propane or butane</v>
      </c>
    </row>
    <row r="2882" spans="1:9" x14ac:dyDescent="0.15">
      <c r="A2882" s="2">
        <v>331392</v>
      </c>
      <c r="B2882" s="2" t="s">
        <v>83</v>
      </c>
      <c r="C2882" s="2">
        <v>2022</v>
      </c>
      <c r="D2882" s="2" t="s">
        <v>1</v>
      </c>
      <c r="E2882" s="2" t="s">
        <v>18</v>
      </c>
      <c r="F2882" s="2" t="s">
        <v>35</v>
      </c>
      <c r="G2882" s="7">
        <v>-0.03</v>
      </c>
      <c r="H2882" s="13">
        <f>IFERROR(IF(ABS($G2882)&gt;0,VLOOKUP($E2882,'Fuel Category and Heat Rate'!$B$1:$G$34,6,FALSE)*($G2882),""),"")</f>
        <v>-12127888774.798035</v>
      </c>
      <c r="I2882" t="str">
        <f>IFERROR(VLOOKUP($E2882,'Fuel Category and Heat Rate'!$K$2:$M$36,3,FALSE),"")</f>
        <v>petroleum diesel</v>
      </c>
    </row>
    <row r="2883" spans="1:9" x14ac:dyDescent="0.15">
      <c r="A2883" s="2">
        <v>331427</v>
      </c>
      <c r="B2883" s="2" t="s">
        <v>83</v>
      </c>
      <c r="C2883" s="2">
        <v>2022</v>
      </c>
      <c r="D2883" s="2" t="s">
        <v>1</v>
      </c>
      <c r="E2883" s="2" t="s">
        <v>32</v>
      </c>
      <c r="F2883" s="2" t="s">
        <v>65</v>
      </c>
      <c r="G2883" s="7"/>
      <c r="H2883" s="13" t="str">
        <f>IFERROR(IF(ABS($G2883)&gt;0,VLOOKUP($E2883,'Fuel Category and Heat Rate'!$B$1:$G$34,6,FALSE)*($G2883),""),"")</f>
        <v/>
      </c>
      <c r="I2883" t="str">
        <f>IFERROR(VLOOKUP($E2883,'Fuel Category and Heat Rate'!$K$2:$M$36,3,FALSE),"")</f>
        <v>electricity</v>
      </c>
    </row>
    <row r="2884" spans="1:9" x14ac:dyDescent="0.15">
      <c r="A2884" s="2">
        <v>331462</v>
      </c>
      <c r="B2884" s="2" t="s">
        <v>83</v>
      </c>
      <c r="C2884" s="2">
        <v>2022</v>
      </c>
      <c r="D2884" s="2" t="s">
        <v>1</v>
      </c>
      <c r="E2884" s="2" t="s">
        <v>10</v>
      </c>
      <c r="F2884" s="2" t="s">
        <v>36</v>
      </c>
      <c r="G2884" s="7">
        <v>-1.08</v>
      </c>
      <c r="H2884" s="13">
        <f>IFERROR(IF(ABS($G2884)&gt;0,VLOOKUP($E2884,'Fuel Category and Heat Rate'!$B$1:$G$34,6,FALSE)*($G2884),""),"")</f>
        <v>-385196669920.36493</v>
      </c>
      <c r="I2884" t="str">
        <f>IFERROR(VLOOKUP($E2884,'Fuel Category and Heat Rate'!$K$2:$M$36,3,FALSE),"")</f>
        <v>LPG propane or butane</v>
      </c>
    </row>
    <row r="2885" spans="1:9" x14ac:dyDescent="0.15">
      <c r="A2885" s="2">
        <v>331497</v>
      </c>
      <c r="B2885" s="2" t="s">
        <v>83</v>
      </c>
      <c r="C2885" s="2">
        <v>2022</v>
      </c>
      <c r="D2885" s="2" t="s">
        <v>1</v>
      </c>
      <c r="E2885" s="2" t="s">
        <v>9</v>
      </c>
      <c r="F2885" s="2" t="s">
        <v>36</v>
      </c>
      <c r="G2885" s="7">
        <v>-1.34</v>
      </c>
      <c r="H2885" s="13">
        <f>IFERROR(IF(ABS($G2885)&gt;0,VLOOKUP($E2885,'Fuel Category and Heat Rate'!$B$1:$G$34,6,FALSE)*($G2885),""),"")</f>
        <v>-2204024554719.0703</v>
      </c>
      <c r="I2885" t="str">
        <f>IFERROR(VLOOKUP($E2885,'Fuel Category and Heat Rate'!$K$2:$M$36,3,FALSE),"")</f>
        <v>LPG propane or butane</v>
      </c>
    </row>
    <row r="2886" spans="1:9" x14ac:dyDescent="0.15">
      <c r="A2886" s="2">
        <v>331532</v>
      </c>
      <c r="B2886" s="2" t="s">
        <v>83</v>
      </c>
      <c r="C2886" s="2">
        <v>2022</v>
      </c>
      <c r="D2886" s="2" t="s">
        <v>1</v>
      </c>
      <c r="E2886" s="2" t="s">
        <v>8</v>
      </c>
      <c r="F2886" s="2" t="s">
        <v>35</v>
      </c>
      <c r="G2886" s="7"/>
      <c r="H2886" s="13" t="str">
        <f>IFERROR(IF(ABS($G2886)&gt;0,VLOOKUP($E2886,'Fuel Category and Heat Rate'!$B$1:$G$34,6,FALSE)*($G2886),""),"")</f>
        <v/>
      </c>
      <c r="I2886" t="str">
        <f>IFERROR(VLOOKUP($E2886,'Fuel Category and Heat Rate'!$K$2:$M$36,3,FALSE),"")</f>
        <v>coal</v>
      </c>
    </row>
    <row r="2887" spans="1:9" x14ac:dyDescent="0.15">
      <c r="A2887" s="2">
        <v>331567</v>
      </c>
      <c r="B2887" s="2" t="s">
        <v>83</v>
      </c>
      <c r="C2887" s="2">
        <v>2022</v>
      </c>
      <c r="D2887" s="2" t="s">
        <v>1</v>
      </c>
      <c r="E2887" s="2" t="s">
        <v>27</v>
      </c>
      <c r="F2887" s="2" t="s">
        <v>35</v>
      </c>
      <c r="G2887" s="7"/>
      <c r="H2887" s="13" t="str">
        <f>IFERROR(IF(ABS($G2887)&gt;0,VLOOKUP($E2887,'Fuel Category and Heat Rate'!$B$1:$G$34,6,FALSE)*($G2887),""),"")</f>
        <v/>
      </c>
      <c r="I2887" t="str">
        <f>IFERROR(VLOOKUP($E2887,'Fuel Category and Heat Rate'!$K$2:$M$36,3,FALSE),"")</f>
        <v>LPG propane or butane</v>
      </c>
    </row>
    <row r="2888" spans="1:9" x14ac:dyDescent="0.15">
      <c r="A2888" s="2">
        <v>331602</v>
      </c>
      <c r="B2888" s="2" t="s">
        <v>83</v>
      </c>
      <c r="C2888" s="2">
        <v>2022</v>
      </c>
      <c r="D2888" s="2" t="s">
        <v>1</v>
      </c>
      <c r="E2888" s="2" t="s">
        <v>7</v>
      </c>
      <c r="F2888" s="2" t="s">
        <v>35</v>
      </c>
      <c r="G2888" s="7">
        <v>-1.42</v>
      </c>
      <c r="H2888" s="13">
        <f>IFERROR(IF(ABS($G2888)&gt;0,VLOOKUP($E2888,'Fuel Category and Heat Rate'!$B$1:$G$34,6,FALSE)*($G2888),""),"")</f>
        <v>-112705692310.03268</v>
      </c>
      <c r="I2888" t="str">
        <f>IFERROR(VLOOKUP($E2888,'Fuel Category and Heat Rate'!$K$2:$M$36,3,FALSE),"")</f>
        <v>coal</v>
      </c>
    </row>
    <row r="2889" spans="1:9" x14ac:dyDescent="0.15">
      <c r="A2889" s="2">
        <v>331637</v>
      </c>
      <c r="B2889" s="2" t="s">
        <v>83</v>
      </c>
      <c r="C2889" s="2">
        <v>2022</v>
      </c>
      <c r="D2889" s="2" t="s">
        <v>1</v>
      </c>
      <c r="E2889" s="2" t="s">
        <v>2</v>
      </c>
      <c r="F2889" s="2" t="s">
        <v>35</v>
      </c>
      <c r="G2889" s="7">
        <v>-1175.3599999999999</v>
      </c>
      <c r="H2889" s="13">
        <f>IFERROR(IF(ABS($G2889)&gt;0,VLOOKUP($E2889,'Fuel Category and Heat Rate'!$B$1:$G$34,6,FALSE)*($G2889),""),"")</f>
        <v>0</v>
      </c>
      <c r="I2889" t="str">
        <f>IFERROR(VLOOKUP($E2889,'Fuel Category and Heat Rate'!$K$2:$M$36,3,FALSE),"")</f>
        <v/>
      </c>
    </row>
    <row r="2890" spans="1:9" x14ac:dyDescent="0.15">
      <c r="A2890" s="2">
        <v>331672</v>
      </c>
      <c r="B2890" s="2" t="s">
        <v>83</v>
      </c>
      <c r="C2890" s="2">
        <v>2022</v>
      </c>
      <c r="D2890" s="2" t="s">
        <v>1</v>
      </c>
      <c r="E2890" s="2" t="s">
        <v>17</v>
      </c>
      <c r="F2890" s="2" t="s">
        <v>35</v>
      </c>
      <c r="G2890" s="7"/>
      <c r="H2890" s="13" t="str">
        <f>IFERROR(IF(ABS($G2890)&gt;0,VLOOKUP($E2890,'Fuel Category and Heat Rate'!$B$1:$G$34,6,FALSE)*($G2890),""),"")</f>
        <v/>
      </c>
      <c r="I2890" t="str">
        <f>IFERROR(VLOOKUP($E2890,'Fuel Category and Heat Rate'!$K$2:$M$36,3,FALSE),"")</f>
        <v>petroleum diesel</v>
      </c>
    </row>
    <row r="2891" spans="1:9" x14ac:dyDescent="0.15">
      <c r="A2891" s="2">
        <v>331707</v>
      </c>
      <c r="B2891" s="2" t="s">
        <v>83</v>
      </c>
      <c r="C2891" s="2">
        <v>2022</v>
      </c>
      <c r="D2891" s="2" t="s">
        <v>1</v>
      </c>
      <c r="E2891" s="2" t="s">
        <v>13</v>
      </c>
      <c r="F2891" s="2" t="s">
        <v>35</v>
      </c>
      <c r="G2891" s="7"/>
      <c r="H2891" s="13" t="str">
        <f>IFERROR(IF(ABS($G2891)&gt;0,VLOOKUP($E2891,'Fuel Category and Heat Rate'!$B$1:$G$34,6,FALSE)*($G2891),""),"")</f>
        <v/>
      </c>
      <c r="I2891" t="str">
        <f>IFERROR(VLOOKUP($E2891,'Fuel Category and Heat Rate'!$K$2:$M$36,3,FALSE),"")</f>
        <v>petroleum diesel</v>
      </c>
    </row>
    <row r="2892" spans="1:9" x14ac:dyDescent="0.15">
      <c r="A2892" s="2">
        <v>331742</v>
      </c>
      <c r="B2892" s="2" t="s">
        <v>83</v>
      </c>
      <c r="C2892" s="2">
        <v>2022</v>
      </c>
      <c r="D2892" s="2" t="s">
        <v>1</v>
      </c>
      <c r="E2892" s="2" t="s">
        <v>12</v>
      </c>
      <c r="F2892" s="2" t="s">
        <v>36</v>
      </c>
      <c r="G2892" s="7">
        <v>-0.56000000000000005</v>
      </c>
      <c r="H2892" s="13">
        <f>IFERROR(IF(ABS($G2892)&gt;0,VLOOKUP($E2892,'Fuel Category and Heat Rate'!$B$1:$G$34,6,FALSE)*($G2892),""),"")</f>
        <v>-277437445610.10687</v>
      </c>
      <c r="I2892" t="str">
        <f>IFERROR(VLOOKUP($E2892,'Fuel Category and Heat Rate'!$K$2:$M$36,3,FALSE),"")</f>
        <v>LPG propane or butane</v>
      </c>
    </row>
    <row r="2893" spans="1:9" x14ac:dyDescent="0.15">
      <c r="A2893" s="2">
        <v>331777</v>
      </c>
      <c r="B2893" s="2" t="s">
        <v>83</v>
      </c>
      <c r="C2893" s="2">
        <v>2022</v>
      </c>
      <c r="D2893" s="2" t="s">
        <v>1</v>
      </c>
      <c r="E2893" s="2" t="s">
        <v>33</v>
      </c>
      <c r="F2893" s="2" t="s">
        <v>38</v>
      </c>
      <c r="G2893" s="7">
        <v>-0.63</v>
      </c>
      <c r="H2893" s="13">
        <f>IFERROR(IF(ABS($G2893)&gt;0,VLOOKUP($E2893,'Fuel Category and Heat Rate'!$B$1:$G$34,6,FALSE)*($G2893),""),"")</f>
        <v>-174784396484.79272</v>
      </c>
      <c r="I2893" t="str">
        <f>IFERROR(VLOOKUP($E2893,'Fuel Category and Heat Rate'!$K$2:$M$36,3,FALSE),"")</f>
        <v>biomass</v>
      </c>
    </row>
    <row r="2894" spans="1:9" x14ac:dyDescent="0.15">
      <c r="A2894" s="2">
        <v>331812</v>
      </c>
      <c r="B2894" s="2" t="s">
        <v>83</v>
      </c>
      <c r="C2894" s="2">
        <v>2022</v>
      </c>
      <c r="D2894" s="2" t="s">
        <v>1</v>
      </c>
      <c r="E2894" s="2" t="s">
        <v>28</v>
      </c>
      <c r="F2894" s="2" t="s">
        <v>35</v>
      </c>
      <c r="G2894" s="7"/>
      <c r="H2894" s="13" t="str">
        <f>IFERROR(IF(ABS($G2894)&gt;0,VLOOKUP($E2894,'Fuel Category and Heat Rate'!$B$1:$G$34,6,FALSE)*($G2894),""),"")</f>
        <v/>
      </c>
      <c r="I2894" t="str">
        <f>IFERROR(VLOOKUP($E2894,'Fuel Category and Heat Rate'!$K$2:$M$36,3,FALSE),"")</f>
        <v>heavy or residual fuel oil</v>
      </c>
    </row>
    <row r="2895" spans="1:9" x14ac:dyDescent="0.15">
      <c r="A2895" s="2">
        <v>331847</v>
      </c>
      <c r="B2895" s="2" t="s">
        <v>83</v>
      </c>
      <c r="C2895" s="2">
        <v>2022</v>
      </c>
      <c r="D2895" s="2" t="s">
        <v>1</v>
      </c>
      <c r="E2895" s="2" t="s">
        <v>5</v>
      </c>
      <c r="F2895" s="2" t="s">
        <v>35</v>
      </c>
      <c r="G2895" s="7">
        <v>-35.69</v>
      </c>
      <c r="H2895" s="13">
        <f>IFERROR(IF(ABS($G2895)&gt;0,VLOOKUP($E2895,'Fuel Category and Heat Rate'!$B$1:$G$34,6,FALSE)*($G2895),""),"")</f>
        <v>-2829001611620.8442</v>
      </c>
      <c r="I2895" t="str">
        <f>IFERROR(VLOOKUP($E2895,'Fuel Category and Heat Rate'!$K$2:$M$36,3,FALSE),"")</f>
        <v>coal</v>
      </c>
    </row>
    <row r="2896" spans="1:9" x14ac:dyDescent="0.15">
      <c r="A2896" s="2">
        <v>331882</v>
      </c>
      <c r="B2896" s="2" t="s">
        <v>83</v>
      </c>
      <c r="C2896" s="2">
        <v>2022</v>
      </c>
      <c r="D2896" s="2" t="s">
        <v>1</v>
      </c>
      <c r="E2896" s="2" t="s">
        <v>16</v>
      </c>
      <c r="F2896" s="2" t="s">
        <v>35</v>
      </c>
      <c r="G2896" s="7"/>
      <c r="H2896" s="13" t="str">
        <f>IFERROR(IF(ABS($G2896)&gt;0,VLOOKUP($E2896,'Fuel Category and Heat Rate'!$B$1:$G$34,6,FALSE)*($G2896),""),"")</f>
        <v/>
      </c>
      <c r="I2896" t="str">
        <f>IFERROR(VLOOKUP($E2896,'Fuel Category and Heat Rate'!$K$2:$M$36,3,FALSE),"")</f>
        <v>petroleum diesel</v>
      </c>
    </row>
    <row r="2897" spans="1:9" x14ac:dyDescent="0.15">
      <c r="A2897" s="2">
        <v>331917</v>
      </c>
      <c r="B2897" s="2" t="s">
        <v>83</v>
      </c>
      <c r="C2897" s="2">
        <v>2022</v>
      </c>
      <c r="D2897" s="2" t="s">
        <v>1</v>
      </c>
      <c r="E2897" s="2" t="s">
        <v>19</v>
      </c>
      <c r="F2897" s="2" t="s">
        <v>35</v>
      </c>
      <c r="G2897" s="7">
        <v>-0.01</v>
      </c>
      <c r="H2897" s="13">
        <f>IFERROR(IF(ABS($G2897)&gt;0,VLOOKUP($E2897,'Fuel Category and Heat Rate'!$B$1:$G$34,6,FALSE)*($G2897),""),"")</f>
        <v>-3963392080.144383</v>
      </c>
      <c r="I2897" t="str">
        <f>IFERROR(VLOOKUP($E2897,'Fuel Category and Heat Rate'!$K$2:$M$36,3,FALSE),"")</f>
        <v>heavy or residual fuel oil</v>
      </c>
    </row>
    <row r="2898" spans="1:9" x14ac:dyDescent="0.15">
      <c r="A2898" s="2">
        <v>331952</v>
      </c>
      <c r="B2898" s="2" t="s">
        <v>83</v>
      </c>
      <c r="C2898" s="2">
        <v>2022</v>
      </c>
      <c r="D2898" s="2" t="s">
        <v>1</v>
      </c>
      <c r="E2898" s="2" t="s">
        <v>31</v>
      </c>
      <c r="F2898" s="2" t="s">
        <v>37</v>
      </c>
      <c r="G2898" s="7">
        <v>17880.54</v>
      </c>
      <c r="H2898" s="13">
        <f>IFERROR(IF(ABS($G2898)&gt;0,VLOOKUP($E2898,'Fuel Category and Heat Rate'!$B$1:$G$34,6,FALSE)*($G2898),""),"")</f>
        <v>169474819745324.41</v>
      </c>
      <c r="I2898" t="str">
        <f>IFERROR(VLOOKUP($E2898,'Fuel Category and Heat Rate'!$K$2:$M$36,3,FALSE),"")</f>
        <v>heat</v>
      </c>
    </row>
    <row r="2899" spans="1:9" x14ac:dyDescent="0.15">
      <c r="A2899" s="2">
        <v>331987</v>
      </c>
      <c r="B2899" s="2" t="s">
        <v>83</v>
      </c>
      <c r="C2899" s="2">
        <v>2022</v>
      </c>
      <c r="D2899" s="2" t="s">
        <v>1</v>
      </c>
      <c r="E2899" s="2" t="s">
        <v>23</v>
      </c>
      <c r="F2899" s="2" t="s">
        <v>35</v>
      </c>
      <c r="G2899" s="7"/>
      <c r="H2899" s="13" t="str">
        <f>IFERROR(IF(ABS($G2899)&gt;0,VLOOKUP($E2899,'Fuel Category and Heat Rate'!$B$1:$G$34,6,FALSE)*($G2899),""),"")</f>
        <v/>
      </c>
      <c r="I2899" t="str">
        <f>IFERROR(VLOOKUP($E2899,'Fuel Category and Heat Rate'!$K$2:$M$36,3,FALSE),"")</f>
        <v>heavy or residual fuel oil</v>
      </c>
    </row>
    <row r="2900" spans="1:9" x14ac:dyDescent="0.15">
      <c r="A2900" s="2">
        <v>332022</v>
      </c>
      <c r="B2900" s="2" t="s">
        <v>83</v>
      </c>
      <c r="C2900" s="2">
        <v>2022</v>
      </c>
      <c r="D2900" s="2" t="s">
        <v>1</v>
      </c>
      <c r="E2900" s="2" t="s">
        <v>21</v>
      </c>
      <c r="F2900" s="2" t="s">
        <v>35</v>
      </c>
      <c r="G2900" s="7"/>
      <c r="H2900" s="13" t="str">
        <f>IFERROR(IF(ABS($G2900)&gt;0,VLOOKUP($E2900,'Fuel Category and Heat Rate'!$B$1:$G$34,6,FALSE)*($G2900),""),"")</f>
        <v/>
      </c>
      <c r="I2900" t="str">
        <f>IFERROR(VLOOKUP($E2900,'Fuel Category and Heat Rate'!$K$2:$M$36,3,FALSE),"")</f>
        <v>LPG propane or butane</v>
      </c>
    </row>
    <row r="2901" spans="1:9" x14ac:dyDescent="0.15">
      <c r="A2901" s="2">
        <v>332057</v>
      </c>
      <c r="B2901" s="2" t="s">
        <v>83</v>
      </c>
      <c r="C2901" s="2">
        <v>2022</v>
      </c>
      <c r="D2901" s="2" t="s">
        <v>1</v>
      </c>
      <c r="E2901" s="2" t="s">
        <v>22</v>
      </c>
      <c r="F2901" s="2" t="s">
        <v>35</v>
      </c>
      <c r="G2901" s="7"/>
      <c r="H2901" s="13" t="str">
        <f>IFERROR(IF(ABS($G2901)&gt;0,VLOOKUP($E2901,'Fuel Category and Heat Rate'!$B$1:$G$34,6,FALSE)*($G2901),""),"")</f>
        <v/>
      </c>
      <c r="I2901" t="str">
        <f>IFERROR(VLOOKUP($E2901,'Fuel Category and Heat Rate'!$K$2:$M$36,3,FALSE),"")</f>
        <v>heavy fuel oil</v>
      </c>
    </row>
    <row r="2902" spans="1:9" x14ac:dyDescent="0.15">
      <c r="A2902" s="2">
        <v>332092</v>
      </c>
      <c r="B2902" s="2" t="s">
        <v>83</v>
      </c>
      <c r="C2902" s="2">
        <v>2022</v>
      </c>
      <c r="D2902" s="2" t="s">
        <v>1</v>
      </c>
      <c r="E2902" s="2" t="s">
        <v>20</v>
      </c>
      <c r="F2902" s="2" t="s">
        <v>35</v>
      </c>
      <c r="G2902" s="7"/>
      <c r="H2902" s="13" t="str">
        <f>IFERROR(IF(ABS($G2902)&gt;0,VLOOKUP($E2902,'Fuel Category and Heat Rate'!$B$1:$G$34,6,FALSE)*($G2902),""),"")</f>
        <v/>
      </c>
      <c r="I2902" t="str">
        <f>IFERROR(VLOOKUP($E2902,'Fuel Category and Heat Rate'!$K$2:$M$36,3,FALSE),"")</f>
        <v>LPG propane or butane</v>
      </c>
    </row>
    <row r="2903" spans="1:9" x14ac:dyDescent="0.15">
      <c r="A2903" s="2">
        <v>332127</v>
      </c>
      <c r="B2903" s="2" t="s">
        <v>83</v>
      </c>
      <c r="C2903" s="2">
        <v>2022</v>
      </c>
      <c r="D2903" s="2" t="s">
        <v>1</v>
      </c>
      <c r="E2903" s="2" t="s">
        <v>25</v>
      </c>
      <c r="F2903" s="2" t="s">
        <v>35</v>
      </c>
      <c r="G2903" s="7"/>
      <c r="H2903" s="13" t="str">
        <f>IFERROR(IF(ABS($G2903)&gt;0,VLOOKUP($E2903,'Fuel Category and Heat Rate'!$B$1:$G$34,6,FALSE)*($G2903),""),"")</f>
        <v/>
      </c>
      <c r="I2903" t="str">
        <f>IFERROR(VLOOKUP($E2903,'Fuel Category and Heat Rate'!$K$2:$M$36,3,FALSE),"")</f>
        <v>heavy fuel oil</v>
      </c>
    </row>
    <row r="2904" spans="1:9" x14ac:dyDescent="0.15">
      <c r="A2904" s="2">
        <v>332162</v>
      </c>
      <c r="B2904" s="2" t="s">
        <v>83</v>
      </c>
      <c r="C2904" s="2">
        <v>2022</v>
      </c>
      <c r="D2904" s="2" t="s">
        <v>1</v>
      </c>
      <c r="E2904" s="2" t="s">
        <v>24</v>
      </c>
      <c r="F2904" s="2" t="s">
        <v>35</v>
      </c>
      <c r="G2904" s="7"/>
      <c r="H2904" s="13" t="str">
        <f>IFERROR(IF(ABS($G2904)&gt;0,VLOOKUP($E2904,'Fuel Category and Heat Rate'!$B$1:$G$34,6,FALSE)*($G2904),""),"")</f>
        <v/>
      </c>
      <c r="I2904" t="str">
        <f>IFERROR(VLOOKUP($E2904,'Fuel Category and Heat Rate'!$K$2:$M$36,3,FALSE),"")</f>
        <v>heavy fuel oil</v>
      </c>
    </row>
    <row r="2905" spans="1:9" x14ac:dyDescent="0.15">
      <c r="A2905" s="2">
        <v>332197</v>
      </c>
      <c r="B2905" s="2" t="s">
        <v>83</v>
      </c>
      <c r="C2905" s="2">
        <v>2022</v>
      </c>
      <c r="D2905" s="2" t="s">
        <v>1</v>
      </c>
      <c r="E2905" s="2" t="s">
        <v>29</v>
      </c>
      <c r="F2905" s="2" t="s">
        <v>36</v>
      </c>
      <c r="G2905" s="7">
        <v>-1.68</v>
      </c>
      <c r="H2905" s="13">
        <f>IFERROR(IF(ABS($G2905)&gt;0,VLOOKUP($E2905,'Fuel Category and Heat Rate'!$B$1:$G$34,6,FALSE)*($G2905),""),"")</f>
        <v>-5666236531459.4482</v>
      </c>
      <c r="I2905" t="str">
        <f>IFERROR(VLOOKUP($E2905,'Fuel Category and Heat Rate'!$K$2:$M$36,3,FALSE),"")</f>
        <v>natural gas</v>
      </c>
    </row>
    <row r="2906" spans="1:9" x14ac:dyDescent="0.15">
      <c r="A2906" s="2">
        <v>332232</v>
      </c>
      <c r="B2906" s="2" t="s">
        <v>83</v>
      </c>
      <c r="C2906" s="2">
        <v>2022</v>
      </c>
      <c r="D2906" s="2" t="s">
        <v>1</v>
      </c>
      <c r="E2906" s="2" t="s">
        <v>4</v>
      </c>
      <c r="F2906" s="2" t="s">
        <v>35</v>
      </c>
      <c r="G2906" s="7"/>
      <c r="H2906" s="13" t="str">
        <f>IFERROR(IF(ABS($G2906)&gt;0,VLOOKUP($E2906,'Fuel Category and Heat Rate'!$B$1:$G$34,6,FALSE)*($G2906),""),"")</f>
        <v/>
      </c>
      <c r="I2906" t="str">
        <f>IFERROR(VLOOKUP($E2906,'Fuel Category and Heat Rate'!$K$2:$M$36,3,FALSE),"")</f>
        <v>coal</v>
      </c>
    </row>
    <row r="2907" spans="1:9" x14ac:dyDescent="0.15">
      <c r="A2907" s="2">
        <v>332267</v>
      </c>
      <c r="B2907" s="2" t="s">
        <v>83</v>
      </c>
      <c r="C2907" s="2">
        <v>2022</v>
      </c>
      <c r="D2907" s="2" t="s">
        <v>1</v>
      </c>
      <c r="E2907" s="2" t="s">
        <v>6</v>
      </c>
      <c r="F2907" s="2" t="s">
        <v>35</v>
      </c>
      <c r="G2907" s="7">
        <v>-5.2</v>
      </c>
      <c r="H2907" s="13">
        <f>IFERROR(IF(ABS($G2907)&gt;0,VLOOKUP($E2907,'Fuel Category and Heat Rate'!$B$1:$G$34,6,FALSE)*($G2907),""),"")</f>
        <v>-762609865629.38831</v>
      </c>
      <c r="I2907" t="str">
        <f>IFERROR(VLOOKUP($E2907,'Fuel Category and Heat Rate'!$K$2:$M$36,3,FALSE),"")</f>
        <v>coal</v>
      </c>
    </row>
    <row r="2908" spans="1:9" x14ac:dyDescent="0.15">
      <c r="A2908" s="2">
        <v>332302</v>
      </c>
      <c r="B2908" s="2" t="s">
        <v>83</v>
      </c>
      <c r="C2908" s="2">
        <v>2022</v>
      </c>
      <c r="D2908" s="2" t="s">
        <v>1</v>
      </c>
      <c r="E2908" s="2" t="s">
        <v>26</v>
      </c>
      <c r="F2908" s="2" t="s">
        <v>35</v>
      </c>
      <c r="G2908" s="7"/>
      <c r="H2908" s="13" t="str">
        <f>IFERROR(IF(ABS($G2908)&gt;0,VLOOKUP($E2908,'Fuel Category and Heat Rate'!$B$1:$G$34,6,FALSE)*($G2908),""),"")</f>
        <v/>
      </c>
      <c r="I2908" t="str">
        <f>IFERROR(VLOOKUP($E2908,'Fuel Category and Heat Rate'!$K$2:$M$36,3,FALSE),"")</f>
        <v>LPG propane or butane</v>
      </c>
    </row>
    <row r="2909" spans="1:9" x14ac:dyDescent="0.15">
      <c r="A2909" s="2">
        <v>332337</v>
      </c>
      <c r="B2909" s="2" t="s">
        <v>83</v>
      </c>
      <c r="C2909" s="2">
        <v>2022</v>
      </c>
      <c r="D2909" s="2" t="s">
        <v>1</v>
      </c>
      <c r="E2909" s="2" t="s">
        <v>30</v>
      </c>
      <c r="F2909" s="2" t="s">
        <v>35</v>
      </c>
      <c r="G2909" s="7"/>
      <c r="H2909" s="13" t="str">
        <f>IFERROR(IF(ABS($G2909)&gt;0,VLOOKUP($E2909,'Fuel Category and Heat Rate'!$B$1:$G$34,6,FALSE)*($G2909),""),"")</f>
        <v/>
      </c>
      <c r="I2909" t="str">
        <f>IFERROR(VLOOKUP($E2909,'Fuel Category and Heat Rate'!$K$2:$M$36,3,FALSE),"")</f>
        <v>natural gas</v>
      </c>
    </row>
    <row r="2910" spans="1:9" x14ac:dyDescent="0.15">
      <c r="A2910" s="2">
        <v>332372</v>
      </c>
      <c r="B2910" s="2" t="s">
        <v>83</v>
      </c>
      <c r="C2910" s="2">
        <v>2022</v>
      </c>
      <c r="D2910" s="2" t="s">
        <v>1</v>
      </c>
      <c r="E2910" s="2" t="s">
        <v>14</v>
      </c>
      <c r="F2910" s="2" t="s">
        <v>35</v>
      </c>
      <c r="G2910" s="7">
        <v>-0.04</v>
      </c>
      <c r="H2910" s="13">
        <f>IFERROR(IF(ABS($G2910)&gt;0,VLOOKUP($E2910,'Fuel Category and Heat Rate'!$B$1:$G$34,6,FALSE)*($G2910),""),"")</f>
        <v>0</v>
      </c>
      <c r="I2910" t="str">
        <f>IFERROR(VLOOKUP($E2910,'Fuel Category and Heat Rate'!$K$2:$M$36,3,FALSE),"")</f>
        <v/>
      </c>
    </row>
    <row r="2911" spans="1:9" x14ac:dyDescent="0.15">
      <c r="A2911" s="2">
        <v>332407</v>
      </c>
      <c r="B2911" s="2" t="s">
        <v>83</v>
      </c>
      <c r="C2911" s="2">
        <v>2022</v>
      </c>
      <c r="D2911" s="2" t="s">
        <v>1</v>
      </c>
      <c r="E2911" s="2" t="s">
        <v>3</v>
      </c>
      <c r="F2911" s="2" t="s">
        <v>35</v>
      </c>
      <c r="G2911" s="7">
        <v>-1134.48</v>
      </c>
      <c r="H2911" s="13">
        <f>IFERROR(IF(ABS($G2911)&gt;0,VLOOKUP($E2911,'Fuel Category and Heat Rate'!$B$1:$G$34,6,FALSE)*($G2911),""),"")</f>
        <v>-224819452354109.97</v>
      </c>
      <c r="I2911" t="str">
        <f>IFERROR(VLOOKUP($E2911,'Fuel Category and Heat Rate'!$K$2:$M$36,3,FALSE),"")</f>
        <v>coal</v>
      </c>
    </row>
    <row r="2912" spans="1:9" x14ac:dyDescent="0.15">
      <c r="A2912" s="2">
        <v>332442</v>
      </c>
      <c r="B2912" s="2" t="s">
        <v>83</v>
      </c>
      <c r="C2912" s="2">
        <v>2022</v>
      </c>
      <c r="D2912" s="2" t="s">
        <v>1</v>
      </c>
      <c r="E2912" s="2" t="s">
        <v>15</v>
      </c>
      <c r="F2912" s="2" t="s">
        <v>35</v>
      </c>
      <c r="G2912" s="7"/>
      <c r="H2912" s="13" t="str">
        <f>IFERROR(IF(ABS($G2912)&gt;0,VLOOKUP($E2912,'Fuel Category and Heat Rate'!$B$1:$G$34,6,FALSE)*($G2912),""),"")</f>
        <v/>
      </c>
      <c r="I2912" t="str">
        <f>IFERROR(VLOOKUP($E2912,'Fuel Category and Heat Rate'!$K$2:$M$36,3,FALSE),"")</f>
        <v>crude oil</v>
      </c>
    </row>
    <row r="2913" spans="1:9" x14ac:dyDescent="0.15">
      <c r="A2913" s="2">
        <v>332477</v>
      </c>
      <c r="B2913" s="2" t="s">
        <v>83</v>
      </c>
      <c r="C2913" s="2">
        <v>2022</v>
      </c>
      <c r="D2913" s="2" t="s">
        <v>1</v>
      </c>
      <c r="E2913" s="2" t="s">
        <v>11</v>
      </c>
      <c r="F2913" s="2" t="s">
        <v>36</v>
      </c>
      <c r="G2913" s="7"/>
      <c r="H2913" s="13" t="str">
        <f>IFERROR(IF(ABS($G2913)&gt;0,VLOOKUP($E2913,'Fuel Category and Heat Rate'!$B$1:$G$34,6,FALSE)*($G2913),""),"")</f>
        <v/>
      </c>
      <c r="I2913" t="str">
        <f>IFERROR(VLOOKUP($E2913,'Fuel Category and Heat Rate'!$K$2:$M$36,3,FALSE),"")</f>
        <v>LPG propane or butane</v>
      </c>
    </row>
    <row r="2914" spans="1:9" x14ac:dyDescent="0.15">
      <c r="A2914" s="2">
        <v>332512</v>
      </c>
      <c r="B2914" s="2" t="s">
        <v>83</v>
      </c>
      <c r="C2914" s="2">
        <v>2021</v>
      </c>
      <c r="D2914" s="2" t="s">
        <v>1</v>
      </c>
      <c r="E2914" s="2" t="s">
        <v>18</v>
      </c>
      <c r="F2914" s="2" t="s">
        <v>35</v>
      </c>
      <c r="G2914" s="7">
        <v>-0.04</v>
      </c>
      <c r="H2914" s="13">
        <f>IFERROR(IF(ABS($G2914)&gt;0,VLOOKUP($E2914,'Fuel Category and Heat Rate'!$B$1:$G$34,6,FALSE)*($G2914),""),"")</f>
        <v>-16170518366.397381</v>
      </c>
      <c r="I2914" t="str">
        <f>IFERROR(VLOOKUP($E2914,'Fuel Category and Heat Rate'!$K$2:$M$36,3,FALSE),"")</f>
        <v>petroleum diesel</v>
      </c>
    </row>
    <row r="2915" spans="1:9" x14ac:dyDescent="0.15">
      <c r="A2915" s="2">
        <v>332547</v>
      </c>
      <c r="B2915" s="2" t="s">
        <v>83</v>
      </c>
      <c r="C2915" s="2">
        <v>2021</v>
      </c>
      <c r="D2915" s="2" t="s">
        <v>1</v>
      </c>
      <c r="E2915" s="2" t="s">
        <v>32</v>
      </c>
      <c r="F2915" s="2" t="s">
        <v>65</v>
      </c>
      <c r="G2915" s="7"/>
      <c r="H2915" s="13" t="str">
        <f>IFERROR(IF(ABS($G2915)&gt;0,VLOOKUP($E2915,'Fuel Category and Heat Rate'!$B$1:$G$34,6,FALSE)*($G2915),""),"")</f>
        <v/>
      </c>
      <c r="I2915" t="str">
        <f>IFERROR(VLOOKUP($E2915,'Fuel Category and Heat Rate'!$K$2:$M$36,3,FALSE),"")</f>
        <v>electricity</v>
      </c>
    </row>
    <row r="2916" spans="1:9" x14ac:dyDescent="0.15">
      <c r="A2916" s="2">
        <v>332582</v>
      </c>
      <c r="B2916" s="2" t="s">
        <v>83</v>
      </c>
      <c r="C2916" s="2">
        <v>2021</v>
      </c>
      <c r="D2916" s="2" t="s">
        <v>1</v>
      </c>
      <c r="E2916" s="2" t="s">
        <v>10</v>
      </c>
      <c r="F2916" s="2" t="s">
        <v>36</v>
      </c>
      <c r="G2916" s="7">
        <v>-0.03</v>
      </c>
      <c r="H2916" s="13">
        <f>IFERROR(IF(ABS($G2916)&gt;0,VLOOKUP($E2916,'Fuel Category and Heat Rate'!$B$1:$G$34,6,FALSE)*($G2916),""),"")</f>
        <v>-10699907497.787912</v>
      </c>
      <c r="I2916" t="str">
        <f>IFERROR(VLOOKUP($E2916,'Fuel Category and Heat Rate'!$K$2:$M$36,3,FALSE),"")</f>
        <v>LPG propane or butane</v>
      </c>
    </row>
    <row r="2917" spans="1:9" x14ac:dyDescent="0.15">
      <c r="A2917" s="2">
        <v>332617</v>
      </c>
      <c r="B2917" s="2" t="s">
        <v>83</v>
      </c>
      <c r="C2917" s="2">
        <v>2021</v>
      </c>
      <c r="D2917" s="2" t="s">
        <v>1</v>
      </c>
      <c r="E2917" s="2" t="s">
        <v>9</v>
      </c>
      <c r="F2917" s="2" t="s">
        <v>36</v>
      </c>
      <c r="G2917" s="7">
        <v>-1.49</v>
      </c>
      <c r="H2917" s="13">
        <f>IFERROR(IF(ABS($G2917)&gt;0,VLOOKUP($E2917,'Fuel Category and Heat Rate'!$B$1:$G$34,6,FALSE)*($G2917),""),"")</f>
        <v>-2450743721292.1006</v>
      </c>
      <c r="I2917" t="str">
        <f>IFERROR(VLOOKUP($E2917,'Fuel Category and Heat Rate'!$K$2:$M$36,3,FALSE),"")</f>
        <v>LPG propane or butane</v>
      </c>
    </row>
    <row r="2918" spans="1:9" x14ac:dyDescent="0.15">
      <c r="A2918" s="2">
        <v>332652</v>
      </c>
      <c r="B2918" s="2" t="s">
        <v>83</v>
      </c>
      <c r="C2918" s="2">
        <v>2021</v>
      </c>
      <c r="D2918" s="2" t="s">
        <v>1</v>
      </c>
      <c r="E2918" s="2" t="s">
        <v>8</v>
      </c>
      <c r="F2918" s="2" t="s">
        <v>35</v>
      </c>
      <c r="G2918" s="7"/>
      <c r="H2918" s="13" t="str">
        <f>IFERROR(IF(ABS($G2918)&gt;0,VLOOKUP($E2918,'Fuel Category and Heat Rate'!$B$1:$G$34,6,FALSE)*($G2918),""),"")</f>
        <v/>
      </c>
      <c r="I2918" t="str">
        <f>IFERROR(VLOOKUP($E2918,'Fuel Category and Heat Rate'!$K$2:$M$36,3,FALSE),"")</f>
        <v>coal</v>
      </c>
    </row>
    <row r="2919" spans="1:9" x14ac:dyDescent="0.15">
      <c r="A2919" s="2">
        <v>332687</v>
      </c>
      <c r="B2919" s="2" t="s">
        <v>83</v>
      </c>
      <c r="C2919" s="2">
        <v>2021</v>
      </c>
      <c r="D2919" s="2" t="s">
        <v>1</v>
      </c>
      <c r="E2919" s="2" t="s">
        <v>27</v>
      </c>
      <c r="F2919" s="2" t="s">
        <v>35</v>
      </c>
      <c r="G2919" s="7"/>
      <c r="H2919" s="13" t="str">
        <f>IFERROR(IF(ABS($G2919)&gt;0,VLOOKUP($E2919,'Fuel Category and Heat Rate'!$B$1:$G$34,6,FALSE)*($G2919),""),"")</f>
        <v/>
      </c>
      <c r="I2919" t="str">
        <f>IFERROR(VLOOKUP($E2919,'Fuel Category and Heat Rate'!$K$2:$M$36,3,FALSE),"")</f>
        <v>LPG propane or butane</v>
      </c>
    </row>
    <row r="2920" spans="1:9" x14ac:dyDescent="0.15">
      <c r="A2920" s="2">
        <v>332722</v>
      </c>
      <c r="B2920" s="2" t="s">
        <v>83</v>
      </c>
      <c r="C2920" s="2">
        <v>2021</v>
      </c>
      <c r="D2920" s="2" t="s">
        <v>1</v>
      </c>
      <c r="E2920" s="2" t="s">
        <v>7</v>
      </c>
      <c r="F2920" s="2" t="s">
        <v>35</v>
      </c>
      <c r="G2920" s="7">
        <v>-2.1</v>
      </c>
      <c r="H2920" s="13">
        <f>IFERROR(IF(ABS($G2920)&gt;0,VLOOKUP($E2920,'Fuel Category and Heat Rate'!$B$1:$G$34,6,FALSE)*($G2920),""),"")</f>
        <v>-166677432289.48495</v>
      </c>
      <c r="I2920" t="str">
        <f>IFERROR(VLOOKUP($E2920,'Fuel Category and Heat Rate'!$K$2:$M$36,3,FALSE),"")</f>
        <v>coal</v>
      </c>
    </row>
    <row r="2921" spans="1:9" x14ac:dyDescent="0.15">
      <c r="A2921" s="2">
        <v>332757</v>
      </c>
      <c r="B2921" s="2" t="s">
        <v>83</v>
      </c>
      <c r="C2921" s="2">
        <v>2021</v>
      </c>
      <c r="D2921" s="2" t="s">
        <v>1</v>
      </c>
      <c r="E2921" s="2" t="s">
        <v>2</v>
      </c>
      <c r="F2921" s="2" t="s">
        <v>35</v>
      </c>
      <c r="G2921" s="7">
        <v>-1034.82</v>
      </c>
      <c r="H2921" s="13">
        <f>IFERROR(IF(ABS($G2921)&gt;0,VLOOKUP($E2921,'Fuel Category and Heat Rate'!$B$1:$G$34,6,FALSE)*($G2921),""),"")</f>
        <v>0</v>
      </c>
      <c r="I2921" t="str">
        <f>IFERROR(VLOOKUP($E2921,'Fuel Category and Heat Rate'!$K$2:$M$36,3,FALSE),"")</f>
        <v/>
      </c>
    </row>
    <row r="2922" spans="1:9" x14ac:dyDescent="0.15">
      <c r="A2922" s="2">
        <v>332792</v>
      </c>
      <c r="B2922" s="2" t="s">
        <v>83</v>
      </c>
      <c r="C2922" s="2">
        <v>2021</v>
      </c>
      <c r="D2922" s="2" t="s">
        <v>1</v>
      </c>
      <c r="E2922" s="2" t="s">
        <v>17</v>
      </c>
      <c r="F2922" s="2" t="s">
        <v>35</v>
      </c>
      <c r="G2922" s="7"/>
      <c r="H2922" s="13" t="str">
        <f>IFERROR(IF(ABS($G2922)&gt;0,VLOOKUP($E2922,'Fuel Category and Heat Rate'!$B$1:$G$34,6,FALSE)*($G2922),""),"")</f>
        <v/>
      </c>
      <c r="I2922" t="str">
        <f>IFERROR(VLOOKUP($E2922,'Fuel Category and Heat Rate'!$K$2:$M$36,3,FALSE),"")</f>
        <v>petroleum diesel</v>
      </c>
    </row>
    <row r="2923" spans="1:9" x14ac:dyDescent="0.15">
      <c r="A2923" s="2">
        <v>332827</v>
      </c>
      <c r="B2923" s="2" t="s">
        <v>83</v>
      </c>
      <c r="C2923" s="2">
        <v>2021</v>
      </c>
      <c r="D2923" s="2" t="s">
        <v>1</v>
      </c>
      <c r="E2923" s="2" t="s">
        <v>13</v>
      </c>
      <c r="F2923" s="2" t="s">
        <v>35</v>
      </c>
      <c r="G2923" s="7"/>
      <c r="H2923" s="13" t="str">
        <f>IFERROR(IF(ABS($G2923)&gt;0,VLOOKUP($E2923,'Fuel Category and Heat Rate'!$B$1:$G$34,6,FALSE)*($G2923),""),"")</f>
        <v/>
      </c>
      <c r="I2923" t="str">
        <f>IFERROR(VLOOKUP($E2923,'Fuel Category and Heat Rate'!$K$2:$M$36,3,FALSE),"")</f>
        <v>petroleum diesel</v>
      </c>
    </row>
    <row r="2924" spans="1:9" x14ac:dyDescent="0.15">
      <c r="A2924" s="2">
        <v>332862</v>
      </c>
      <c r="B2924" s="2" t="s">
        <v>83</v>
      </c>
      <c r="C2924" s="2">
        <v>2021</v>
      </c>
      <c r="D2924" s="2" t="s">
        <v>1</v>
      </c>
      <c r="E2924" s="2" t="s">
        <v>12</v>
      </c>
      <c r="F2924" s="2" t="s">
        <v>36</v>
      </c>
      <c r="G2924" s="7">
        <v>-0.28000000000000003</v>
      </c>
      <c r="H2924" s="13">
        <f>IFERROR(IF(ABS($G2924)&gt;0,VLOOKUP($E2924,'Fuel Category and Heat Rate'!$B$1:$G$34,6,FALSE)*($G2924),""),"")</f>
        <v>-138718722805.05344</v>
      </c>
      <c r="I2924" t="str">
        <f>IFERROR(VLOOKUP($E2924,'Fuel Category and Heat Rate'!$K$2:$M$36,3,FALSE),"")</f>
        <v>LPG propane or butane</v>
      </c>
    </row>
    <row r="2925" spans="1:9" x14ac:dyDescent="0.15">
      <c r="A2925" s="2">
        <v>332897</v>
      </c>
      <c r="B2925" s="2" t="s">
        <v>83</v>
      </c>
      <c r="C2925" s="2">
        <v>2021</v>
      </c>
      <c r="D2925" s="2" t="s">
        <v>1</v>
      </c>
      <c r="E2925" s="2" t="s">
        <v>33</v>
      </c>
      <c r="F2925" s="2" t="s">
        <v>38</v>
      </c>
      <c r="G2925" s="7"/>
      <c r="H2925" s="13" t="str">
        <f>IFERROR(IF(ABS($G2925)&gt;0,VLOOKUP($E2925,'Fuel Category and Heat Rate'!$B$1:$G$34,6,FALSE)*($G2925),""),"")</f>
        <v/>
      </c>
      <c r="I2925" t="str">
        <f>IFERROR(VLOOKUP($E2925,'Fuel Category and Heat Rate'!$K$2:$M$36,3,FALSE),"")</f>
        <v>biomass</v>
      </c>
    </row>
    <row r="2926" spans="1:9" x14ac:dyDescent="0.15">
      <c r="A2926" s="2">
        <v>332932</v>
      </c>
      <c r="B2926" s="2" t="s">
        <v>83</v>
      </c>
      <c r="C2926" s="2">
        <v>2021</v>
      </c>
      <c r="D2926" s="2" t="s">
        <v>1</v>
      </c>
      <c r="E2926" s="2" t="s">
        <v>28</v>
      </c>
      <c r="F2926" s="2" t="s">
        <v>35</v>
      </c>
      <c r="G2926" s="7"/>
      <c r="H2926" s="13" t="str">
        <f>IFERROR(IF(ABS($G2926)&gt;0,VLOOKUP($E2926,'Fuel Category and Heat Rate'!$B$1:$G$34,6,FALSE)*($G2926),""),"")</f>
        <v/>
      </c>
      <c r="I2926" t="str">
        <f>IFERROR(VLOOKUP($E2926,'Fuel Category and Heat Rate'!$K$2:$M$36,3,FALSE),"")</f>
        <v>heavy or residual fuel oil</v>
      </c>
    </row>
    <row r="2927" spans="1:9" x14ac:dyDescent="0.15">
      <c r="A2927" s="2">
        <v>332967</v>
      </c>
      <c r="B2927" s="2" t="s">
        <v>83</v>
      </c>
      <c r="C2927" s="2">
        <v>2021</v>
      </c>
      <c r="D2927" s="2" t="s">
        <v>1</v>
      </c>
      <c r="E2927" s="2" t="s">
        <v>5</v>
      </c>
      <c r="F2927" s="2" t="s">
        <v>35</v>
      </c>
      <c r="G2927" s="7">
        <v>-30.71</v>
      </c>
      <c r="H2927" s="13">
        <f>IFERROR(IF(ABS($G2927)&gt;0,VLOOKUP($E2927,'Fuel Category and Heat Rate'!$B$1:$G$34,6,FALSE)*($G2927),""),"")</f>
        <v>-2434257200697.0059</v>
      </c>
      <c r="I2927" t="str">
        <f>IFERROR(VLOOKUP($E2927,'Fuel Category and Heat Rate'!$K$2:$M$36,3,FALSE),"")</f>
        <v>coal</v>
      </c>
    </row>
    <row r="2928" spans="1:9" x14ac:dyDescent="0.15">
      <c r="A2928" s="2">
        <v>333002</v>
      </c>
      <c r="B2928" s="2" t="s">
        <v>83</v>
      </c>
      <c r="C2928" s="2">
        <v>2021</v>
      </c>
      <c r="D2928" s="2" t="s">
        <v>1</v>
      </c>
      <c r="E2928" s="2" t="s">
        <v>16</v>
      </c>
      <c r="F2928" s="2" t="s">
        <v>35</v>
      </c>
      <c r="G2928" s="7"/>
      <c r="H2928" s="13" t="str">
        <f>IFERROR(IF(ABS($G2928)&gt;0,VLOOKUP($E2928,'Fuel Category and Heat Rate'!$B$1:$G$34,6,FALSE)*($G2928),""),"")</f>
        <v/>
      </c>
      <c r="I2928" t="str">
        <f>IFERROR(VLOOKUP($E2928,'Fuel Category and Heat Rate'!$K$2:$M$36,3,FALSE),"")</f>
        <v>petroleum diesel</v>
      </c>
    </row>
    <row r="2929" spans="1:9" x14ac:dyDescent="0.15">
      <c r="A2929" s="2">
        <v>333037</v>
      </c>
      <c r="B2929" s="2" t="s">
        <v>83</v>
      </c>
      <c r="C2929" s="2">
        <v>2021</v>
      </c>
      <c r="D2929" s="2" t="s">
        <v>1</v>
      </c>
      <c r="E2929" s="2" t="s">
        <v>19</v>
      </c>
      <c r="F2929" s="2" t="s">
        <v>35</v>
      </c>
      <c r="G2929" s="7"/>
      <c r="H2929" s="13" t="str">
        <f>IFERROR(IF(ABS($G2929)&gt;0,VLOOKUP($E2929,'Fuel Category and Heat Rate'!$B$1:$G$34,6,FALSE)*($G2929),""),"")</f>
        <v/>
      </c>
      <c r="I2929" t="str">
        <f>IFERROR(VLOOKUP($E2929,'Fuel Category and Heat Rate'!$K$2:$M$36,3,FALSE),"")</f>
        <v>heavy or residual fuel oil</v>
      </c>
    </row>
    <row r="2930" spans="1:9" x14ac:dyDescent="0.15">
      <c r="A2930" s="2">
        <v>333072</v>
      </c>
      <c r="B2930" s="2" t="s">
        <v>83</v>
      </c>
      <c r="C2930" s="2">
        <v>2021</v>
      </c>
      <c r="D2930" s="2" t="s">
        <v>1</v>
      </c>
      <c r="E2930" s="2" t="s">
        <v>31</v>
      </c>
      <c r="F2930" s="2" t="s">
        <v>37</v>
      </c>
      <c r="G2930" s="7">
        <v>16011.02</v>
      </c>
      <c r="H2930" s="13">
        <f>IFERROR(IF(ABS($G2930)&gt;0,VLOOKUP($E2930,'Fuel Category and Heat Rate'!$B$1:$G$34,6,FALSE)*($G2930),""),"")</f>
        <v>151755189073640.03</v>
      </c>
      <c r="I2930" t="str">
        <f>IFERROR(VLOOKUP($E2930,'Fuel Category and Heat Rate'!$K$2:$M$36,3,FALSE),"")</f>
        <v>heat</v>
      </c>
    </row>
    <row r="2931" spans="1:9" x14ac:dyDescent="0.15">
      <c r="A2931" s="2">
        <v>333107</v>
      </c>
      <c r="B2931" s="2" t="s">
        <v>83</v>
      </c>
      <c r="C2931" s="2">
        <v>2021</v>
      </c>
      <c r="D2931" s="2" t="s">
        <v>1</v>
      </c>
      <c r="E2931" s="2" t="s">
        <v>23</v>
      </c>
      <c r="F2931" s="2" t="s">
        <v>35</v>
      </c>
      <c r="G2931" s="7"/>
      <c r="H2931" s="13" t="str">
        <f>IFERROR(IF(ABS($G2931)&gt;0,VLOOKUP($E2931,'Fuel Category and Heat Rate'!$B$1:$G$34,6,FALSE)*($G2931),""),"")</f>
        <v/>
      </c>
      <c r="I2931" t="str">
        <f>IFERROR(VLOOKUP($E2931,'Fuel Category and Heat Rate'!$K$2:$M$36,3,FALSE),"")</f>
        <v>heavy or residual fuel oil</v>
      </c>
    </row>
    <row r="2932" spans="1:9" x14ac:dyDescent="0.15">
      <c r="A2932" s="2">
        <v>333142</v>
      </c>
      <c r="B2932" s="2" t="s">
        <v>83</v>
      </c>
      <c r="C2932" s="2">
        <v>2021</v>
      </c>
      <c r="D2932" s="2" t="s">
        <v>1</v>
      </c>
      <c r="E2932" s="2" t="s">
        <v>21</v>
      </c>
      <c r="F2932" s="2" t="s">
        <v>35</v>
      </c>
      <c r="G2932" s="7"/>
      <c r="H2932" s="13" t="str">
        <f>IFERROR(IF(ABS($G2932)&gt;0,VLOOKUP($E2932,'Fuel Category and Heat Rate'!$B$1:$G$34,6,FALSE)*($G2932),""),"")</f>
        <v/>
      </c>
      <c r="I2932" t="str">
        <f>IFERROR(VLOOKUP($E2932,'Fuel Category and Heat Rate'!$K$2:$M$36,3,FALSE),"")</f>
        <v>LPG propane or butane</v>
      </c>
    </row>
    <row r="2933" spans="1:9" x14ac:dyDescent="0.15">
      <c r="A2933" s="2">
        <v>333177</v>
      </c>
      <c r="B2933" s="2" t="s">
        <v>83</v>
      </c>
      <c r="C2933" s="2">
        <v>2021</v>
      </c>
      <c r="D2933" s="2" t="s">
        <v>1</v>
      </c>
      <c r="E2933" s="2" t="s">
        <v>22</v>
      </c>
      <c r="F2933" s="2" t="s">
        <v>35</v>
      </c>
      <c r="G2933" s="7"/>
      <c r="H2933" s="13" t="str">
        <f>IFERROR(IF(ABS($G2933)&gt;0,VLOOKUP($E2933,'Fuel Category and Heat Rate'!$B$1:$G$34,6,FALSE)*($G2933),""),"")</f>
        <v/>
      </c>
      <c r="I2933" t="str">
        <f>IFERROR(VLOOKUP($E2933,'Fuel Category and Heat Rate'!$K$2:$M$36,3,FALSE),"")</f>
        <v>heavy fuel oil</v>
      </c>
    </row>
    <row r="2934" spans="1:9" x14ac:dyDescent="0.15">
      <c r="A2934" s="2">
        <v>333212</v>
      </c>
      <c r="B2934" s="2" t="s">
        <v>83</v>
      </c>
      <c r="C2934" s="2">
        <v>2021</v>
      </c>
      <c r="D2934" s="2" t="s">
        <v>1</v>
      </c>
      <c r="E2934" s="2" t="s">
        <v>20</v>
      </c>
      <c r="F2934" s="2" t="s">
        <v>35</v>
      </c>
      <c r="G2934" s="7"/>
      <c r="H2934" s="13" t="str">
        <f>IFERROR(IF(ABS($G2934)&gt;0,VLOOKUP($E2934,'Fuel Category and Heat Rate'!$B$1:$G$34,6,FALSE)*($G2934),""),"")</f>
        <v/>
      </c>
      <c r="I2934" t="str">
        <f>IFERROR(VLOOKUP($E2934,'Fuel Category and Heat Rate'!$K$2:$M$36,3,FALSE),"")</f>
        <v>LPG propane or butane</v>
      </c>
    </row>
    <row r="2935" spans="1:9" x14ac:dyDescent="0.15">
      <c r="A2935" s="2">
        <v>333247</v>
      </c>
      <c r="B2935" s="2" t="s">
        <v>83</v>
      </c>
      <c r="C2935" s="2">
        <v>2021</v>
      </c>
      <c r="D2935" s="2" t="s">
        <v>1</v>
      </c>
      <c r="E2935" s="2" t="s">
        <v>25</v>
      </c>
      <c r="F2935" s="2" t="s">
        <v>35</v>
      </c>
      <c r="G2935" s="7"/>
      <c r="H2935" s="13" t="str">
        <f>IFERROR(IF(ABS($G2935)&gt;0,VLOOKUP($E2935,'Fuel Category and Heat Rate'!$B$1:$G$34,6,FALSE)*($G2935),""),"")</f>
        <v/>
      </c>
      <c r="I2935" t="str">
        <f>IFERROR(VLOOKUP($E2935,'Fuel Category and Heat Rate'!$K$2:$M$36,3,FALSE),"")</f>
        <v>heavy fuel oil</v>
      </c>
    </row>
    <row r="2936" spans="1:9" x14ac:dyDescent="0.15">
      <c r="A2936" s="2">
        <v>333282</v>
      </c>
      <c r="B2936" s="2" t="s">
        <v>83</v>
      </c>
      <c r="C2936" s="2">
        <v>2021</v>
      </c>
      <c r="D2936" s="2" t="s">
        <v>1</v>
      </c>
      <c r="E2936" s="2" t="s">
        <v>24</v>
      </c>
      <c r="F2936" s="2" t="s">
        <v>35</v>
      </c>
      <c r="G2936" s="7"/>
      <c r="H2936" s="13" t="str">
        <f>IFERROR(IF(ABS($G2936)&gt;0,VLOOKUP($E2936,'Fuel Category and Heat Rate'!$B$1:$G$34,6,FALSE)*($G2936),""),"")</f>
        <v/>
      </c>
      <c r="I2936" t="str">
        <f>IFERROR(VLOOKUP($E2936,'Fuel Category and Heat Rate'!$K$2:$M$36,3,FALSE),"")</f>
        <v>heavy fuel oil</v>
      </c>
    </row>
    <row r="2937" spans="1:9" x14ac:dyDescent="0.15">
      <c r="A2937" s="2">
        <v>333317</v>
      </c>
      <c r="B2937" s="2" t="s">
        <v>83</v>
      </c>
      <c r="C2937" s="2">
        <v>2021</v>
      </c>
      <c r="D2937" s="2" t="s">
        <v>1</v>
      </c>
      <c r="E2937" s="2" t="s">
        <v>29</v>
      </c>
      <c r="F2937" s="2" t="s">
        <v>36</v>
      </c>
      <c r="G2937" s="7">
        <v>-1.55</v>
      </c>
      <c r="H2937" s="13">
        <f>IFERROR(IF(ABS($G2937)&gt;0,VLOOKUP($E2937,'Fuel Category and Heat Rate'!$B$1:$G$34,6,FALSE)*($G2937),""),"")</f>
        <v>-5227777752239.3721</v>
      </c>
      <c r="I2937" t="str">
        <f>IFERROR(VLOOKUP($E2937,'Fuel Category and Heat Rate'!$K$2:$M$36,3,FALSE),"")</f>
        <v>natural gas</v>
      </c>
    </row>
    <row r="2938" spans="1:9" x14ac:dyDescent="0.15">
      <c r="A2938" s="2">
        <v>333352</v>
      </c>
      <c r="B2938" s="2" t="s">
        <v>83</v>
      </c>
      <c r="C2938" s="2">
        <v>2021</v>
      </c>
      <c r="D2938" s="2" t="s">
        <v>1</v>
      </c>
      <c r="E2938" s="2" t="s">
        <v>4</v>
      </c>
      <c r="F2938" s="2" t="s">
        <v>35</v>
      </c>
      <c r="G2938" s="7"/>
      <c r="H2938" s="13" t="str">
        <f>IFERROR(IF(ABS($G2938)&gt;0,VLOOKUP($E2938,'Fuel Category and Heat Rate'!$B$1:$G$34,6,FALSE)*($G2938),""),"")</f>
        <v/>
      </c>
      <c r="I2938" t="str">
        <f>IFERROR(VLOOKUP($E2938,'Fuel Category and Heat Rate'!$K$2:$M$36,3,FALSE),"")</f>
        <v>coal</v>
      </c>
    </row>
    <row r="2939" spans="1:9" x14ac:dyDescent="0.15">
      <c r="A2939" s="2">
        <v>333387</v>
      </c>
      <c r="B2939" s="2" t="s">
        <v>83</v>
      </c>
      <c r="C2939" s="2">
        <v>2021</v>
      </c>
      <c r="D2939" s="2" t="s">
        <v>1</v>
      </c>
      <c r="E2939" s="2" t="s">
        <v>6</v>
      </c>
      <c r="F2939" s="2" t="s">
        <v>35</v>
      </c>
      <c r="G2939" s="7">
        <v>-4.57</v>
      </c>
      <c r="H2939" s="13">
        <f>IFERROR(IF(ABS($G2939)&gt;0,VLOOKUP($E2939,'Fuel Category and Heat Rate'!$B$1:$G$34,6,FALSE)*($G2939),""),"")</f>
        <v>-670216747293.52014</v>
      </c>
      <c r="I2939" t="str">
        <f>IFERROR(VLOOKUP($E2939,'Fuel Category and Heat Rate'!$K$2:$M$36,3,FALSE),"")</f>
        <v>coal</v>
      </c>
    </row>
    <row r="2940" spans="1:9" x14ac:dyDescent="0.15">
      <c r="A2940" s="2">
        <v>333422</v>
      </c>
      <c r="B2940" s="2" t="s">
        <v>83</v>
      </c>
      <c r="C2940" s="2">
        <v>2021</v>
      </c>
      <c r="D2940" s="2" t="s">
        <v>1</v>
      </c>
      <c r="E2940" s="2" t="s">
        <v>26</v>
      </c>
      <c r="F2940" s="2" t="s">
        <v>35</v>
      </c>
      <c r="G2940" s="7"/>
      <c r="H2940" s="13" t="str">
        <f>IFERROR(IF(ABS($G2940)&gt;0,VLOOKUP($E2940,'Fuel Category and Heat Rate'!$B$1:$G$34,6,FALSE)*($G2940),""),"")</f>
        <v/>
      </c>
      <c r="I2940" t="str">
        <f>IFERROR(VLOOKUP($E2940,'Fuel Category and Heat Rate'!$K$2:$M$36,3,FALSE),"")</f>
        <v>LPG propane or butane</v>
      </c>
    </row>
    <row r="2941" spans="1:9" x14ac:dyDescent="0.15">
      <c r="A2941" s="2">
        <v>333457</v>
      </c>
      <c r="B2941" s="2" t="s">
        <v>83</v>
      </c>
      <c r="C2941" s="2">
        <v>2021</v>
      </c>
      <c r="D2941" s="2" t="s">
        <v>1</v>
      </c>
      <c r="E2941" s="2" t="s">
        <v>30</v>
      </c>
      <c r="F2941" s="2" t="s">
        <v>35</v>
      </c>
      <c r="G2941" s="7"/>
      <c r="H2941" s="13" t="str">
        <f>IFERROR(IF(ABS($G2941)&gt;0,VLOOKUP($E2941,'Fuel Category and Heat Rate'!$B$1:$G$34,6,FALSE)*($G2941),""),"")</f>
        <v/>
      </c>
      <c r="I2941" t="str">
        <f>IFERROR(VLOOKUP($E2941,'Fuel Category and Heat Rate'!$K$2:$M$36,3,FALSE),"")</f>
        <v>natural gas</v>
      </c>
    </row>
    <row r="2942" spans="1:9" x14ac:dyDescent="0.15">
      <c r="A2942" s="2">
        <v>333492</v>
      </c>
      <c r="B2942" s="2" t="s">
        <v>83</v>
      </c>
      <c r="C2942" s="2">
        <v>2021</v>
      </c>
      <c r="D2942" s="2" t="s">
        <v>1</v>
      </c>
      <c r="E2942" s="2" t="s">
        <v>14</v>
      </c>
      <c r="F2942" s="2" t="s">
        <v>35</v>
      </c>
      <c r="G2942" s="7">
        <v>-0.04</v>
      </c>
      <c r="H2942" s="13">
        <f>IFERROR(IF(ABS($G2942)&gt;0,VLOOKUP($E2942,'Fuel Category and Heat Rate'!$B$1:$G$34,6,FALSE)*($G2942),""),"")</f>
        <v>0</v>
      </c>
      <c r="I2942" t="str">
        <f>IFERROR(VLOOKUP($E2942,'Fuel Category and Heat Rate'!$K$2:$M$36,3,FALSE),"")</f>
        <v/>
      </c>
    </row>
    <row r="2943" spans="1:9" x14ac:dyDescent="0.15">
      <c r="A2943" s="2">
        <v>333527</v>
      </c>
      <c r="B2943" s="2" t="s">
        <v>83</v>
      </c>
      <c r="C2943" s="2">
        <v>2021</v>
      </c>
      <c r="D2943" s="2" t="s">
        <v>1</v>
      </c>
      <c r="E2943" s="2" t="s">
        <v>3</v>
      </c>
      <c r="F2943" s="2" t="s">
        <v>35</v>
      </c>
      <c r="G2943" s="7">
        <v>-999.54</v>
      </c>
      <c r="H2943" s="13">
        <f>IFERROR(IF(ABS($G2943)&gt;0,VLOOKUP($E2943,'Fuel Category and Heat Rate'!$B$1:$G$34,6,FALSE)*($G2943),""),"")</f>
        <v>-198078445989375.81</v>
      </c>
      <c r="I2943" t="str">
        <f>IFERROR(VLOOKUP($E2943,'Fuel Category and Heat Rate'!$K$2:$M$36,3,FALSE),"")</f>
        <v>coal</v>
      </c>
    </row>
    <row r="2944" spans="1:9" x14ac:dyDescent="0.15">
      <c r="A2944" s="2">
        <v>333562</v>
      </c>
      <c r="B2944" s="2" t="s">
        <v>83</v>
      </c>
      <c r="C2944" s="2">
        <v>2021</v>
      </c>
      <c r="D2944" s="2" t="s">
        <v>1</v>
      </c>
      <c r="E2944" s="2" t="s">
        <v>15</v>
      </c>
      <c r="F2944" s="2" t="s">
        <v>35</v>
      </c>
      <c r="G2944" s="7"/>
      <c r="H2944" s="13" t="str">
        <f>IFERROR(IF(ABS($G2944)&gt;0,VLOOKUP($E2944,'Fuel Category and Heat Rate'!$B$1:$G$34,6,FALSE)*($G2944),""),"")</f>
        <v/>
      </c>
      <c r="I2944" t="str">
        <f>IFERROR(VLOOKUP($E2944,'Fuel Category and Heat Rate'!$K$2:$M$36,3,FALSE),"")</f>
        <v>crude oil</v>
      </c>
    </row>
    <row r="2945" spans="1:9" x14ac:dyDescent="0.15">
      <c r="A2945" s="2">
        <v>333597</v>
      </c>
      <c r="B2945" s="2" t="s">
        <v>83</v>
      </c>
      <c r="C2945" s="2">
        <v>2021</v>
      </c>
      <c r="D2945" s="2" t="s">
        <v>1</v>
      </c>
      <c r="E2945" s="2" t="s">
        <v>11</v>
      </c>
      <c r="F2945" s="2" t="s">
        <v>36</v>
      </c>
      <c r="G2945" s="7"/>
      <c r="H2945" s="13" t="str">
        <f>IFERROR(IF(ABS($G2945)&gt;0,VLOOKUP($E2945,'Fuel Category and Heat Rate'!$B$1:$G$34,6,FALSE)*($G2945),""),"")</f>
        <v/>
      </c>
      <c r="I2945" t="str">
        <f>IFERROR(VLOOKUP($E2945,'Fuel Category and Heat Rate'!$K$2:$M$36,3,FALSE),"")</f>
        <v>LPG propane or butane</v>
      </c>
    </row>
    <row r="2946" spans="1:9" x14ac:dyDescent="0.15">
      <c r="A2946" s="2">
        <v>333632</v>
      </c>
      <c r="B2946" s="2" t="s">
        <v>83</v>
      </c>
      <c r="C2946" s="2">
        <v>2020</v>
      </c>
      <c r="D2946" s="2" t="s">
        <v>1</v>
      </c>
      <c r="E2946" s="2" t="s">
        <v>18</v>
      </c>
      <c r="F2946" s="2" t="s">
        <v>35</v>
      </c>
      <c r="G2946" s="7">
        <v>-0.05</v>
      </c>
      <c r="H2946" s="13">
        <f>IFERROR(IF(ABS($G2946)&gt;0,VLOOKUP($E2946,'Fuel Category and Heat Rate'!$B$1:$G$34,6,FALSE)*($G2946),""),"")</f>
        <v>-20213147957.996727</v>
      </c>
      <c r="I2946" t="str">
        <f>IFERROR(VLOOKUP($E2946,'Fuel Category and Heat Rate'!$K$2:$M$36,3,FALSE),"")</f>
        <v>petroleum diesel</v>
      </c>
    </row>
    <row r="2947" spans="1:9" x14ac:dyDescent="0.15">
      <c r="A2947" s="2">
        <v>333667</v>
      </c>
      <c r="B2947" s="2" t="s">
        <v>83</v>
      </c>
      <c r="C2947" s="2">
        <v>2020</v>
      </c>
      <c r="D2947" s="2" t="s">
        <v>1</v>
      </c>
      <c r="E2947" s="2" t="s">
        <v>32</v>
      </c>
      <c r="F2947" s="2" t="s">
        <v>65</v>
      </c>
      <c r="G2947" s="7"/>
      <c r="H2947" s="13" t="str">
        <f>IFERROR(IF(ABS($G2947)&gt;0,VLOOKUP($E2947,'Fuel Category and Heat Rate'!$B$1:$G$34,6,FALSE)*($G2947),""),"")</f>
        <v/>
      </c>
      <c r="I2947" t="str">
        <f>IFERROR(VLOOKUP($E2947,'Fuel Category and Heat Rate'!$K$2:$M$36,3,FALSE),"")</f>
        <v>electricity</v>
      </c>
    </row>
    <row r="2948" spans="1:9" x14ac:dyDescent="0.15">
      <c r="A2948" s="2">
        <v>333702</v>
      </c>
      <c r="B2948" s="2" t="s">
        <v>83</v>
      </c>
      <c r="C2948" s="2">
        <v>2020</v>
      </c>
      <c r="D2948" s="2" t="s">
        <v>1</v>
      </c>
      <c r="E2948" s="2" t="s">
        <v>10</v>
      </c>
      <c r="F2948" s="2" t="s">
        <v>36</v>
      </c>
      <c r="G2948" s="7">
        <v>-0.06</v>
      </c>
      <c r="H2948" s="13">
        <f>IFERROR(IF(ABS($G2948)&gt;0,VLOOKUP($E2948,'Fuel Category and Heat Rate'!$B$1:$G$34,6,FALSE)*($G2948),""),"")</f>
        <v>-21399814995.575825</v>
      </c>
      <c r="I2948" t="str">
        <f>IFERROR(VLOOKUP($E2948,'Fuel Category and Heat Rate'!$K$2:$M$36,3,FALSE),"")</f>
        <v>LPG propane or butane</v>
      </c>
    </row>
    <row r="2949" spans="1:9" x14ac:dyDescent="0.15">
      <c r="A2949" s="2">
        <v>333737</v>
      </c>
      <c r="B2949" s="2" t="s">
        <v>83</v>
      </c>
      <c r="C2949" s="2">
        <v>2020</v>
      </c>
      <c r="D2949" s="2" t="s">
        <v>1</v>
      </c>
      <c r="E2949" s="2" t="s">
        <v>9</v>
      </c>
      <c r="F2949" s="2" t="s">
        <v>36</v>
      </c>
      <c r="G2949" s="7">
        <v>-1.57</v>
      </c>
      <c r="H2949" s="13">
        <f>IFERROR(IF(ABS($G2949)&gt;0,VLOOKUP($E2949,'Fuel Category and Heat Rate'!$B$1:$G$34,6,FALSE)*($G2949),""),"")</f>
        <v>-2582327276797.7168</v>
      </c>
      <c r="I2949" t="str">
        <f>IFERROR(VLOOKUP($E2949,'Fuel Category and Heat Rate'!$K$2:$M$36,3,FALSE),"")</f>
        <v>LPG propane or butane</v>
      </c>
    </row>
    <row r="2950" spans="1:9" x14ac:dyDescent="0.15">
      <c r="A2950" s="2">
        <v>333772</v>
      </c>
      <c r="B2950" s="2" t="s">
        <v>83</v>
      </c>
      <c r="C2950" s="2">
        <v>2020</v>
      </c>
      <c r="D2950" s="2" t="s">
        <v>1</v>
      </c>
      <c r="E2950" s="2" t="s">
        <v>8</v>
      </c>
      <c r="F2950" s="2" t="s">
        <v>35</v>
      </c>
      <c r="G2950" s="7"/>
      <c r="H2950" s="13" t="str">
        <f>IFERROR(IF(ABS($G2950)&gt;0,VLOOKUP($E2950,'Fuel Category and Heat Rate'!$B$1:$G$34,6,FALSE)*($G2950),""),"")</f>
        <v/>
      </c>
      <c r="I2950" t="str">
        <f>IFERROR(VLOOKUP($E2950,'Fuel Category and Heat Rate'!$K$2:$M$36,3,FALSE),"")</f>
        <v>coal</v>
      </c>
    </row>
    <row r="2951" spans="1:9" x14ac:dyDescent="0.15">
      <c r="A2951" s="2">
        <v>333807</v>
      </c>
      <c r="B2951" s="2" t="s">
        <v>83</v>
      </c>
      <c r="C2951" s="2">
        <v>2020</v>
      </c>
      <c r="D2951" s="2" t="s">
        <v>1</v>
      </c>
      <c r="E2951" s="2" t="s">
        <v>27</v>
      </c>
      <c r="F2951" s="2" t="s">
        <v>35</v>
      </c>
      <c r="G2951" s="7"/>
      <c r="H2951" s="13" t="str">
        <f>IFERROR(IF(ABS($G2951)&gt;0,VLOOKUP($E2951,'Fuel Category and Heat Rate'!$B$1:$G$34,6,FALSE)*($G2951),""),"")</f>
        <v/>
      </c>
      <c r="I2951" t="str">
        <f>IFERROR(VLOOKUP($E2951,'Fuel Category and Heat Rate'!$K$2:$M$36,3,FALSE),"")</f>
        <v>LPG propane or butane</v>
      </c>
    </row>
    <row r="2952" spans="1:9" x14ac:dyDescent="0.15">
      <c r="A2952" s="2">
        <v>333842</v>
      </c>
      <c r="B2952" s="2" t="s">
        <v>83</v>
      </c>
      <c r="C2952" s="2">
        <v>2020</v>
      </c>
      <c r="D2952" s="2" t="s">
        <v>1</v>
      </c>
      <c r="E2952" s="2" t="s">
        <v>7</v>
      </c>
      <c r="F2952" s="2" t="s">
        <v>35</v>
      </c>
      <c r="G2952" s="7">
        <v>-2.48</v>
      </c>
      <c r="H2952" s="13">
        <f>IFERROR(IF(ABS($G2952)&gt;0,VLOOKUP($E2952,'Fuel Category and Heat Rate'!$B$1:$G$34,6,FALSE)*($G2952),""),"")</f>
        <v>-196838110513.29654</v>
      </c>
      <c r="I2952" t="str">
        <f>IFERROR(VLOOKUP($E2952,'Fuel Category and Heat Rate'!$K$2:$M$36,3,FALSE),"")</f>
        <v>coal</v>
      </c>
    </row>
    <row r="2953" spans="1:9" x14ac:dyDescent="0.15">
      <c r="A2953" s="2">
        <v>333877</v>
      </c>
      <c r="B2953" s="2" t="s">
        <v>83</v>
      </c>
      <c r="C2953" s="2">
        <v>2020</v>
      </c>
      <c r="D2953" s="2" t="s">
        <v>1</v>
      </c>
      <c r="E2953" s="2" t="s">
        <v>2</v>
      </c>
      <c r="F2953" s="2" t="s">
        <v>35</v>
      </c>
      <c r="G2953" s="7">
        <v>-1018.67</v>
      </c>
      <c r="H2953" s="13">
        <f>IFERROR(IF(ABS($G2953)&gt;0,VLOOKUP($E2953,'Fuel Category and Heat Rate'!$B$1:$G$34,6,FALSE)*($G2953),""),"")</f>
        <v>0</v>
      </c>
      <c r="I2953" t="str">
        <f>IFERROR(VLOOKUP($E2953,'Fuel Category and Heat Rate'!$K$2:$M$36,3,FALSE),"")</f>
        <v/>
      </c>
    </row>
    <row r="2954" spans="1:9" x14ac:dyDescent="0.15">
      <c r="A2954" s="2">
        <v>333912</v>
      </c>
      <c r="B2954" s="2" t="s">
        <v>83</v>
      </c>
      <c r="C2954" s="2">
        <v>2020</v>
      </c>
      <c r="D2954" s="2" t="s">
        <v>1</v>
      </c>
      <c r="E2954" s="2" t="s">
        <v>17</v>
      </c>
      <c r="F2954" s="2" t="s">
        <v>35</v>
      </c>
      <c r="G2954" s="7"/>
      <c r="H2954" s="13" t="str">
        <f>IFERROR(IF(ABS($G2954)&gt;0,VLOOKUP($E2954,'Fuel Category and Heat Rate'!$B$1:$G$34,6,FALSE)*($G2954),""),"")</f>
        <v/>
      </c>
      <c r="I2954" t="str">
        <f>IFERROR(VLOOKUP($E2954,'Fuel Category and Heat Rate'!$K$2:$M$36,3,FALSE),"")</f>
        <v>petroleum diesel</v>
      </c>
    </row>
    <row r="2955" spans="1:9" x14ac:dyDescent="0.15">
      <c r="A2955" s="2">
        <v>333947</v>
      </c>
      <c r="B2955" s="2" t="s">
        <v>83</v>
      </c>
      <c r="C2955" s="2">
        <v>2020</v>
      </c>
      <c r="D2955" s="2" t="s">
        <v>1</v>
      </c>
      <c r="E2955" s="2" t="s">
        <v>13</v>
      </c>
      <c r="F2955" s="2" t="s">
        <v>35</v>
      </c>
      <c r="G2955" s="7"/>
      <c r="H2955" s="13" t="str">
        <f>IFERROR(IF(ABS($G2955)&gt;0,VLOOKUP($E2955,'Fuel Category and Heat Rate'!$B$1:$G$34,6,FALSE)*($G2955),""),"")</f>
        <v/>
      </c>
      <c r="I2955" t="str">
        <f>IFERROR(VLOOKUP($E2955,'Fuel Category and Heat Rate'!$K$2:$M$36,3,FALSE),"")</f>
        <v>petroleum diesel</v>
      </c>
    </row>
    <row r="2956" spans="1:9" x14ac:dyDescent="0.15">
      <c r="A2956" s="2">
        <v>333982</v>
      </c>
      <c r="B2956" s="2" t="s">
        <v>83</v>
      </c>
      <c r="C2956" s="2">
        <v>2020</v>
      </c>
      <c r="D2956" s="2" t="s">
        <v>1</v>
      </c>
      <c r="E2956" s="2" t="s">
        <v>12</v>
      </c>
      <c r="F2956" s="2" t="s">
        <v>36</v>
      </c>
      <c r="G2956" s="7"/>
      <c r="H2956" s="13" t="str">
        <f>IFERROR(IF(ABS($G2956)&gt;0,VLOOKUP($E2956,'Fuel Category and Heat Rate'!$B$1:$G$34,6,FALSE)*($G2956),""),"")</f>
        <v/>
      </c>
      <c r="I2956" t="str">
        <f>IFERROR(VLOOKUP($E2956,'Fuel Category and Heat Rate'!$K$2:$M$36,3,FALSE),"")</f>
        <v>LPG propane or butane</v>
      </c>
    </row>
    <row r="2957" spans="1:9" x14ac:dyDescent="0.15">
      <c r="A2957" s="2">
        <v>334017</v>
      </c>
      <c r="B2957" s="2" t="s">
        <v>83</v>
      </c>
      <c r="C2957" s="2">
        <v>2020</v>
      </c>
      <c r="D2957" s="2" t="s">
        <v>1</v>
      </c>
      <c r="E2957" s="2" t="s">
        <v>33</v>
      </c>
      <c r="F2957" s="2" t="s">
        <v>38</v>
      </c>
      <c r="G2957" s="7"/>
      <c r="H2957" s="13" t="str">
        <f>IFERROR(IF(ABS($G2957)&gt;0,VLOOKUP($E2957,'Fuel Category and Heat Rate'!$B$1:$G$34,6,FALSE)*($G2957),""),"")</f>
        <v/>
      </c>
      <c r="I2957" t="str">
        <f>IFERROR(VLOOKUP($E2957,'Fuel Category and Heat Rate'!$K$2:$M$36,3,FALSE),"")</f>
        <v>biomass</v>
      </c>
    </row>
    <row r="2958" spans="1:9" x14ac:dyDescent="0.15">
      <c r="A2958" s="2">
        <v>334052</v>
      </c>
      <c r="B2958" s="2" t="s">
        <v>83</v>
      </c>
      <c r="C2958" s="2">
        <v>2020</v>
      </c>
      <c r="D2958" s="2" t="s">
        <v>1</v>
      </c>
      <c r="E2958" s="2" t="s">
        <v>28</v>
      </c>
      <c r="F2958" s="2" t="s">
        <v>35</v>
      </c>
      <c r="G2958" s="7"/>
      <c r="H2958" s="13" t="str">
        <f>IFERROR(IF(ABS($G2958)&gt;0,VLOOKUP($E2958,'Fuel Category and Heat Rate'!$B$1:$G$34,6,FALSE)*($G2958),""),"")</f>
        <v/>
      </c>
      <c r="I2958" t="str">
        <f>IFERROR(VLOOKUP($E2958,'Fuel Category and Heat Rate'!$K$2:$M$36,3,FALSE),"")</f>
        <v>heavy or residual fuel oil</v>
      </c>
    </row>
    <row r="2959" spans="1:9" x14ac:dyDescent="0.15">
      <c r="A2959" s="2">
        <v>334087</v>
      </c>
      <c r="B2959" s="2" t="s">
        <v>83</v>
      </c>
      <c r="C2959" s="2">
        <v>2020</v>
      </c>
      <c r="D2959" s="2" t="s">
        <v>1</v>
      </c>
      <c r="E2959" s="2" t="s">
        <v>5</v>
      </c>
      <c r="F2959" s="2" t="s">
        <v>35</v>
      </c>
      <c r="G2959" s="7">
        <v>-54.58</v>
      </c>
      <c r="H2959" s="13">
        <f>IFERROR(IF(ABS($G2959)&gt;0,VLOOKUP($E2959,'Fuel Category and Heat Rate'!$B$1:$G$34,6,FALSE)*($G2959),""),"")</f>
        <v>-4326335330968.4976</v>
      </c>
      <c r="I2959" t="str">
        <f>IFERROR(VLOOKUP($E2959,'Fuel Category and Heat Rate'!$K$2:$M$36,3,FALSE),"")</f>
        <v>coal</v>
      </c>
    </row>
    <row r="2960" spans="1:9" x14ac:dyDescent="0.15">
      <c r="A2960" s="2">
        <v>334122</v>
      </c>
      <c r="B2960" s="2" t="s">
        <v>83</v>
      </c>
      <c r="C2960" s="2">
        <v>2020</v>
      </c>
      <c r="D2960" s="2" t="s">
        <v>1</v>
      </c>
      <c r="E2960" s="2" t="s">
        <v>16</v>
      </c>
      <c r="F2960" s="2" t="s">
        <v>35</v>
      </c>
      <c r="G2960" s="7"/>
      <c r="H2960" s="13" t="str">
        <f>IFERROR(IF(ABS($G2960)&gt;0,VLOOKUP($E2960,'Fuel Category and Heat Rate'!$B$1:$G$34,6,FALSE)*($G2960),""),"")</f>
        <v/>
      </c>
      <c r="I2960" t="str">
        <f>IFERROR(VLOOKUP($E2960,'Fuel Category and Heat Rate'!$K$2:$M$36,3,FALSE),"")</f>
        <v>petroleum diesel</v>
      </c>
    </row>
    <row r="2961" spans="1:9" x14ac:dyDescent="0.15">
      <c r="A2961" s="2">
        <v>334157</v>
      </c>
      <c r="B2961" s="2" t="s">
        <v>83</v>
      </c>
      <c r="C2961" s="2">
        <v>2020</v>
      </c>
      <c r="D2961" s="2" t="s">
        <v>1</v>
      </c>
      <c r="E2961" s="2" t="s">
        <v>19</v>
      </c>
      <c r="F2961" s="2" t="s">
        <v>35</v>
      </c>
      <c r="G2961" s="7"/>
      <c r="H2961" s="13" t="str">
        <f>IFERROR(IF(ABS($G2961)&gt;0,VLOOKUP($E2961,'Fuel Category and Heat Rate'!$B$1:$G$34,6,FALSE)*($G2961),""),"")</f>
        <v/>
      </c>
      <c r="I2961" t="str">
        <f>IFERROR(VLOOKUP($E2961,'Fuel Category and Heat Rate'!$K$2:$M$36,3,FALSE),"")</f>
        <v>heavy or residual fuel oil</v>
      </c>
    </row>
    <row r="2962" spans="1:9" x14ac:dyDescent="0.15">
      <c r="A2962" s="2">
        <v>334192</v>
      </c>
      <c r="B2962" s="2" t="s">
        <v>83</v>
      </c>
      <c r="C2962" s="2">
        <v>2020</v>
      </c>
      <c r="D2962" s="2" t="s">
        <v>1</v>
      </c>
      <c r="E2962" s="2" t="s">
        <v>31</v>
      </c>
      <c r="F2962" s="2" t="s">
        <v>37</v>
      </c>
      <c r="G2962" s="7">
        <v>15401.75</v>
      </c>
      <c r="H2962" s="13">
        <f>IFERROR(IF(ABS($G2962)&gt;0,VLOOKUP($E2962,'Fuel Category and Heat Rate'!$B$1:$G$34,6,FALSE)*($G2962),""),"")</f>
        <v>145980423690366.72</v>
      </c>
      <c r="I2962" t="str">
        <f>IFERROR(VLOOKUP($E2962,'Fuel Category and Heat Rate'!$K$2:$M$36,3,FALSE),"")</f>
        <v>heat</v>
      </c>
    </row>
    <row r="2963" spans="1:9" x14ac:dyDescent="0.15">
      <c r="A2963" s="2">
        <v>334227</v>
      </c>
      <c r="B2963" s="2" t="s">
        <v>83</v>
      </c>
      <c r="C2963" s="2">
        <v>2020</v>
      </c>
      <c r="D2963" s="2" t="s">
        <v>1</v>
      </c>
      <c r="E2963" s="2" t="s">
        <v>23</v>
      </c>
      <c r="F2963" s="2" t="s">
        <v>35</v>
      </c>
      <c r="G2963" s="7"/>
      <c r="H2963" s="13" t="str">
        <f>IFERROR(IF(ABS($G2963)&gt;0,VLOOKUP($E2963,'Fuel Category and Heat Rate'!$B$1:$G$34,6,FALSE)*($G2963),""),"")</f>
        <v/>
      </c>
      <c r="I2963" t="str">
        <f>IFERROR(VLOOKUP($E2963,'Fuel Category and Heat Rate'!$K$2:$M$36,3,FALSE),"")</f>
        <v>heavy or residual fuel oil</v>
      </c>
    </row>
    <row r="2964" spans="1:9" x14ac:dyDescent="0.15">
      <c r="A2964" s="2">
        <v>334262</v>
      </c>
      <c r="B2964" s="2" t="s">
        <v>83</v>
      </c>
      <c r="C2964" s="2">
        <v>2020</v>
      </c>
      <c r="D2964" s="2" t="s">
        <v>1</v>
      </c>
      <c r="E2964" s="2" t="s">
        <v>21</v>
      </c>
      <c r="F2964" s="2" t="s">
        <v>35</v>
      </c>
      <c r="G2964" s="7"/>
      <c r="H2964" s="13" t="str">
        <f>IFERROR(IF(ABS($G2964)&gt;0,VLOOKUP($E2964,'Fuel Category and Heat Rate'!$B$1:$G$34,6,FALSE)*($G2964),""),"")</f>
        <v/>
      </c>
      <c r="I2964" t="str">
        <f>IFERROR(VLOOKUP($E2964,'Fuel Category and Heat Rate'!$K$2:$M$36,3,FALSE),"")</f>
        <v>LPG propane or butane</v>
      </c>
    </row>
    <row r="2965" spans="1:9" x14ac:dyDescent="0.15">
      <c r="A2965" s="2">
        <v>334297</v>
      </c>
      <c r="B2965" s="2" t="s">
        <v>83</v>
      </c>
      <c r="C2965" s="2">
        <v>2020</v>
      </c>
      <c r="D2965" s="2" t="s">
        <v>1</v>
      </c>
      <c r="E2965" s="2" t="s">
        <v>22</v>
      </c>
      <c r="F2965" s="2" t="s">
        <v>35</v>
      </c>
      <c r="G2965" s="7"/>
      <c r="H2965" s="13" t="str">
        <f>IFERROR(IF(ABS($G2965)&gt;0,VLOOKUP($E2965,'Fuel Category and Heat Rate'!$B$1:$G$34,6,FALSE)*($G2965),""),"")</f>
        <v/>
      </c>
      <c r="I2965" t="str">
        <f>IFERROR(VLOOKUP($E2965,'Fuel Category and Heat Rate'!$K$2:$M$36,3,FALSE),"")</f>
        <v>heavy fuel oil</v>
      </c>
    </row>
    <row r="2966" spans="1:9" x14ac:dyDescent="0.15">
      <c r="A2966" s="2">
        <v>334332</v>
      </c>
      <c r="B2966" s="2" t="s">
        <v>83</v>
      </c>
      <c r="C2966" s="2">
        <v>2020</v>
      </c>
      <c r="D2966" s="2" t="s">
        <v>1</v>
      </c>
      <c r="E2966" s="2" t="s">
        <v>20</v>
      </c>
      <c r="F2966" s="2" t="s">
        <v>35</v>
      </c>
      <c r="G2966" s="7"/>
      <c r="H2966" s="13" t="str">
        <f>IFERROR(IF(ABS($G2966)&gt;0,VLOOKUP($E2966,'Fuel Category and Heat Rate'!$B$1:$G$34,6,FALSE)*($G2966),""),"")</f>
        <v/>
      </c>
      <c r="I2966" t="str">
        <f>IFERROR(VLOOKUP($E2966,'Fuel Category and Heat Rate'!$K$2:$M$36,3,FALSE),"")</f>
        <v>LPG propane or butane</v>
      </c>
    </row>
    <row r="2967" spans="1:9" x14ac:dyDescent="0.15">
      <c r="A2967" s="2">
        <v>334367</v>
      </c>
      <c r="B2967" s="2" t="s">
        <v>83</v>
      </c>
      <c r="C2967" s="2">
        <v>2020</v>
      </c>
      <c r="D2967" s="2" t="s">
        <v>1</v>
      </c>
      <c r="E2967" s="2" t="s">
        <v>25</v>
      </c>
      <c r="F2967" s="2" t="s">
        <v>35</v>
      </c>
      <c r="G2967" s="7"/>
      <c r="H2967" s="13" t="str">
        <f>IFERROR(IF(ABS($G2967)&gt;0,VLOOKUP($E2967,'Fuel Category and Heat Rate'!$B$1:$G$34,6,FALSE)*($G2967),""),"")</f>
        <v/>
      </c>
      <c r="I2967" t="str">
        <f>IFERROR(VLOOKUP($E2967,'Fuel Category and Heat Rate'!$K$2:$M$36,3,FALSE),"")</f>
        <v>heavy fuel oil</v>
      </c>
    </row>
    <row r="2968" spans="1:9" x14ac:dyDescent="0.15">
      <c r="A2968" s="2">
        <v>334402</v>
      </c>
      <c r="B2968" s="2" t="s">
        <v>83</v>
      </c>
      <c r="C2968" s="2">
        <v>2020</v>
      </c>
      <c r="D2968" s="2" t="s">
        <v>1</v>
      </c>
      <c r="E2968" s="2" t="s">
        <v>24</v>
      </c>
      <c r="F2968" s="2" t="s">
        <v>35</v>
      </c>
      <c r="G2968" s="7"/>
      <c r="H2968" s="13" t="str">
        <f>IFERROR(IF(ABS($G2968)&gt;0,VLOOKUP($E2968,'Fuel Category and Heat Rate'!$B$1:$G$34,6,FALSE)*($G2968),""),"")</f>
        <v/>
      </c>
      <c r="I2968" t="str">
        <f>IFERROR(VLOOKUP($E2968,'Fuel Category and Heat Rate'!$K$2:$M$36,3,FALSE),"")</f>
        <v>heavy fuel oil</v>
      </c>
    </row>
    <row r="2969" spans="1:9" x14ac:dyDescent="0.15">
      <c r="A2969" s="2">
        <v>334437</v>
      </c>
      <c r="B2969" s="2" t="s">
        <v>83</v>
      </c>
      <c r="C2969" s="2">
        <v>2020</v>
      </c>
      <c r="D2969" s="2" t="s">
        <v>1</v>
      </c>
      <c r="E2969" s="2" t="s">
        <v>29</v>
      </c>
      <c r="F2969" s="2" t="s">
        <v>36</v>
      </c>
      <c r="G2969" s="7">
        <v>-1.21</v>
      </c>
      <c r="H2969" s="13">
        <f>IFERROR(IF(ABS($G2969)&gt;0,VLOOKUP($E2969,'Fuel Category and Heat Rate'!$B$1:$G$34,6,FALSE)*($G2969),""),"")</f>
        <v>-4081039406586.8647</v>
      </c>
      <c r="I2969" t="str">
        <f>IFERROR(VLOOKUP($E2969,'Fuel Category and Heat Rate'!$K$2:$M$36,3,FALSE),"")</f>
        <v>natural gas</v>
      </c>
    </row>
    <row r="2970" spans="1:9" x14ac:dyDescent="0.15">
      <c r="A2970" s="2">
        <v>334472</v>
      </c>
      <c r="B2970" s="2" t="s">
        <v>83</v>
      </c>
      <c r="C2970" s="2">
        <v>2020</v>
      </c>
      <c r="D2970" s="2" t="s">
        <v>1</v>
      </c>
      <c r="E2970" s="2" t="s">
        <v>4</v>
      </c>
      <c r="F2970" s="2" t="s">
        <v>35</v>
      </c>
      <c r="G2970" s="7"/>
      <c r="H2970" s="13" t="str">
        <f>IFERROR(IF(ABS($G2970)&gt;0,VLOOKUP($E2970,'Fuel Category and Heat Rate'!$B$1:$G$34,6,FALSE)*($G2970),""),"")</f>
        <v/>
      </c>
      <c r="I2970" t="str">
        <f>IFERROR(VLOOKUP($E2970,'Fuel Category and Heat Rate'!$K$2:$M$36,3,FALSE),"")</f>
        <v>coal</v>
      </c>
    </row>
    <row r="2971" spans="1:9" x14ac:dyDescent="0.15">
      <c r="A2971" s="2">
        <v>334507</v>
      </c>
      <c r="B2971" s="2" t="s">
        <v>83</v>
      </c>
      <c r="C2971" s="2">
        <v>2020</v>
      </c>
      <c r="D2971" s="2" t="s">
        <v>1</v>
      </c>
      <c r="E2971" s="2" t="s">
        <v>6</v>
      </c>
      <c r="F2971" s="2" t="s">
        <v>35</v>
      </c>
      <c r="G2971" s="7">
        <v>-4.3600000000000003</v>
      </c>
      <c r="H2971" s="13">
        <f>IFERROR(IF(ABS($G2971)&gt;0,VLOOKUP($E2971,'Fuel Category and Heat Rate'!$B$1:$G$34,6,FALSE)*($G2971),""),"")</f>
        <v>-639419041181.56409</v>
      </c>
      <c r="I2971" t="str">
        <f>IFERROR(VLOOKUP($E2971,'Fuel Category and Heat Rate'!$K$2:$M$36,3,FALSE),"")</f>
        <v>coal</v>
      </c>
    </row>
    <row r="2972" spans="1:9" x14ac:dyDescent="0.15">
      <c r="A2972" s="2">
        <v>334542</v>
      </c>
      <c r="B2972" s="2" t="s">
        <v>83</v>
      </c>
      <c r="C2972" s="2">
        <v>2020</v>
      </c>
      <c r="D2972" s="2" t="s">
        <v>1</v>
      </c>
      <c r="E2972" s="2" t="s">
        <v>26</v>
      </c>
      <c r="F2972" s="2" t="s">
        <v>35</v>
      </c>
      <c r="G2972" s="7"/>
      <c r="H2972" s="13" t="str">
        <f>IFERROR(IF(ABS($G2972)&gt;0,VLOOKUP($E2972,'Fuel Category and Heat Rate'!$B$1:$G$34,6,FALSE)*($G2972),""),"")</f>
        <v/>
      </c>
      <c r="I2972" t="str">
        <f>IFERROR(VLOOKUP($E2972,'Fuel Category and Heat Rate'!$K$2:$M$36,3,FALSE),"")</f>
        <v>LPG propane or butane</v>
      </c>
    </row>
    <row r="2973" spans="1:9" x14ac:dyDescent="0.15">
      <c r="A2973" s="2">
        <v>334577</v>
      </c>
      <c r="B2973" s="2" t="s">
        <v>83</v>
      </c>
      <c r="C2973" s="2">
        <v>2020</v>
      </c>
      <c r="D2973" s="2" t="s">
        <v>1</v>
      </c>
      <c r="E2973" s="2" t="s">
        <v>30</v>
      </c>
      <c r="F2973" s="2" t="s">
        <v>35</v>
      </c>
      <c r="G2973" s="7"/>
      <c r="H2973" s="13" t="str">
        <f>IFERROR(IF(ABS($G2973)&gt;0,VLOOKUP($E2973,'Fuel Category and Heat Rate'!$B$1:$G$34,6,FALSE)*($G2973),""),"")</f>
        <v/>
      </c>
      <c r="I2973" t="str">
        <f>IFERROR(VLOOKUP($E2973,'Fuel Category and Heat Rate'!$K$2:$M$36,3,FALSE),"")</f>
        <v>natural gas</v>
      </c>
    </row>
    <row r="2974" spans="1:9" x14ac:dyDescent="0.15">
      <c r="A2974" s="2">
        <v>334612</v>
      </c>
      <c r="B2974" s="2" t="s">
        <v>83</v>
      </c>
      <c r="C2974" s="2">
        <v>2020</v>
      </c>
      <c r="D2974" s="2" t="s">
        <v>1</v>
      </c>
      <c r="E2974" s="2" t="s">
        <v>14</v>
      </c>
      <c r="F2974" s="2" t="s">
        <v>35</v>
      </c>
      <c r="G2974" s="7">
        <v>-0.06</v>
      </c>
      <c r="H2974" s="13">
        <f>IFERROR(IF(ABS($G2974)&gt;0,VLOOKUP($E2974,'Fuel Category and Heat Rate'!$B$1:$G$34,6,FALSE)*($G2974),""),"")</f>
        <v>0</v>
      </c>
      <c r="I2974" t="str">
        <f>IFERROR(VLOOKUP($E2974,'Fuel Category and Heat Rate'!$K$2:$M$36,3,FALSE),"")</f>
        <v/>
      </c>
    </row>
    <row r="2975" spans="1:9" x14ac:dyDescent="0.15">
      <c r="A2975" s="2">
        <v>334647</v>
      </c>
      <c r="B2975" s="2" t="s">
        <v>83</v>
      </c>
      <c r="C2975" s="2">
        <v>2020</v>
      </c>
      <c r="D2975" s="2" t="s">
        <v>1</v>
      </c>
      <c r="E2975" s="2" t="s">
        <v>3</v>
      </c>
      <c r="F2975" s="2" t="s">
        <v>35</v>
      </c>
      <c r="G2975" s="7">
        <v>-959.73</v>
      </c>
      <c r="H2975" s="13">
        <f>IFERROR(IF(ABS($G2975)&gt;0,VLOOKUP($E2975,'Fuel Category and Heat Rate'!$B$1:$G$34,6,FALSE)*($G2975),""),"")</f>
        <v>-190189314053848.44</v>
      </c>
      <c r="I2975" t="str">
        <f>IFERROR(VLOOKUP($E2975,'Fuel Category and Heat Rate'!$K$2:$M$36,3,FALSE),"")</f>
        <v>coal</v>
      </c>
    </row>
    <row r="2976" spans="1:9" x14ac:dyDescent="0.15">
      <c r="A2976" s="2">
        <v>334682</v>
      </c>
      <c r="B2976" s="2" t="s">
        <v>83</v>
      </c>
      <c r="C2976" s="2">
        <v>2020</v>
      </c>
      <c r="D2976" s="2" t="s">
        <v>1</v>
      </c>
      <c r="E2976" s="2" t="s">
        <v>15</v>
      </c>
      <c r="F2976" s="2" t="s">
        <v>35</v>
      </c>
      <c r="G2976" s="7"/>
      <c r="H2976" s="13" t="str">
        <f>IFERROR(IF(ABS($G2976)&gt;0,VLOOKUP($E2976,'Fuel Category and Heat Rate'!$B$1:$G$34,6,FALSE)*($G2976),""),"")</f>
        <v/>
      </c>
      <c r="I2976" t="str">
        <f>IFERROR(VLOOKUP($E2976,'Fuel Category and Heat Rate'!$K$2:$M$36,3,FALSE),"")</f>
        <v>crude oil</v>
      </c>
    </row>
    <row r="2977" spans="1:9" x14ac:dyDescent="0.15">
      <c r="A2977" s="2">
        <v>334717</v>
      </c>
      <c r="B2977" s="2" t="s">
        <v>83</v>
      </c>
      <c r="C2977" s="2">
        <v>2020</v>
      </c>
      <c r="D2977" s="2" t="s">
        <v>1</v>
      </c>
      <c r="E2977" s="2" t="s">
        <v>11</v>
      </c>
      <c r="F2977" s="2" t="s">
        <v>36</v>
      </c>
      <c r="G2977" s="7"/>
      <c r="H2977" s="13" t="str">
        <f>IFERROR(IF(ABS($G2977)&gt;0,VLOOKUP($E2977,'Fuel Category and Heat Rate'!$B$1:$G$34,6,FALSE)*($G2977),""),"")</f>
        <v/>
      </c>
      <c r="I2977" t="str">
        <f>IFERROR(VLOOKUP($E2977,'Fuel Category and Heat Rate'!$K$2:$M$36,3,FALSE),"")</f>
        <v>LPG propane or butane</v>
      </c>
    </row>
    <row r="2978" spans="1:9" x14ac:dyDescent="0.15">
      <c r="A2978" s="2">
        <v>334752</v>
      </c>
      <c r="B2978" s="2" t="s">
        <v>83</v>
      </c>
      <c r="C2978" s="2">
        <v>2019</v>
      </c>
      <c r="D2978" s="2" t="s">
        <v>1</v>
      </c>
      <c r="E2978" s="2" t="s">
        <v>18</v>
      </c>
      <c r="F2978" s="2" t="s">
        <v>35</v>
      </c>
      <c r="G2978" s="7">
        <v>-0.03</v>
      </c>
      <c r="H2978" s="13">
        <f>IFERROR(IF(ABS($G2978)&gt;0,VLOOKUP($E2978,'Fuel Category and Heat Rate'!$B$1:$G$34,6,FALSE)*($G2978),""),"")</f>
        <v>-12127888774.798035</v>
      </c>
      <c r="I2978" t="str">
        <f>IFERROR(VLOOKUP($E2978,'Fuel Category and Heat Rate'!$K$2:$M$36,3,FALSE),"")</f>
        <v>petroleum diesel</v>
      </c>
    </row>
    <row r="2979" spans="1:9" x14ac:dyDescent="0.15">
      <c r="A2979" s="2">
        <v>334787</v>
      </c>
      <c r="B2979" s="2" t="s">
        <v>83</v>
      </c>
      <c r="C2979" s="2">
        <v>2019</v>
      </c>
      <c r="D2979" s="2" t="s">
        <v>1</v>
      </c>
      <c r="E2979" s="2" t="s">
        <v>32</v>
      </c>
      <c r="F2979" s="2" t="s">
        <v>65</v>
      </c>
      <c r="G2979" s="7"/>
      <c r="H2979" s="13" t="str">
        <f>IFERROR(IF(ABS($G2979)&gt;0,VLOOKUP($E2979,'Fuel Category and Heat Rate'!$B$1:$G$34,6,FALSE)*($G2979),""),"")</f>
        <v/>
      </c>
      <c r="I2979" t="str">
        <f>IFERROR(VLOOKUP($E2979,'Fuel Category and Heat Rate'!$K$2:$M$36,3,FALSE),"")</f>
        <v>electricity</v>
      </c>
    </row>
    <row r="2980" spans="1:9" x14ac:dyDescent="0.15">
      <c r="A2980" s="2">
        <v>334822</v>
      </c>
      <c r="B2980" s="2" t="s">
        <v>83</v>
      </c>
      <c r="C2980" s="2">
        <v>2019</v>
      </c>
      <c r="D2980" s="2" t="s">
        <v>1</v>
      </c>
      <c r="E2980" s="2" t="s">
        <v>10</v>
      </c>
      <c r="F2980" s="2" t="s">
        <v>36</v>
      </c>
      <c r="G2980" s="7">
        <v>-0.24</v>
      </c>
      <c r="H2980" s="13">
        <f>IFERROR(IF(ABS($G2980)&gt;0,VLOOKUP($E2980,'Fuel Category and Heat Rate'!$B$1:$G$34,6,FALSE)*($G2980),""),"")</f>
        <v>-85599259982.303299</v>
      </c>
      <c r="I2980" t="str">
        <f>IFERROR(VLOOKUP($E2980,'Fuel Category and Heat Rate'!$K$2:$M$36,3,FALSE),"")</f>
        <v>LPG propane or butane</v>
      </c>
    </row>
    <row r="2981" spans="1:9" x14ac:dyDescent="0.15">
      <c r="A2981" s="2">
        <v>334857</v>
      </c>
      <c r="B2981" s="2" t="s">
        <v>83</v>
      </c>
      <c r="C2981" s="2">
        <v>2019</v>
      </c>
      <c r="D2981" s="2" t="s">
        <v>1</v>
      </c>
      <c r="E2981" s="2" t="s">
        <v>9</v>
      </c>
      <c r="F2981" s="2" t="s">
        <v>36</v>
      </c>
      <c r="G2981" s="7">
        <v>-0.93</v>
      </c>
      <c r="H2981" s="13">
        <f>IFERROR(IF(ABS($G2981)&gt;0,VLOOKUP($E2981,'Fuel Category and Heat Rate'!$B$1:$G$34,6,FALSE)*($G2981),""),"")</f>
        <v>-1529658832752.7876</v>
      </c>
      <c r="I2981" t="str">
        <f>IFERROR(VLOOKUP($E2981,'Fuel Category and Heat Rate'!$K$2:$M$36,3,FALSE),"")</f>
        <v>LPG propane or butane</v>
      </c>
    </row>
    <row r="2982" spans="1:9" x14ac:dyDescent="0.15">
      <c r="A2982" s="2">
        <v>334892</v>
      </c>
      <c r="B2982" s="2" t="s">
        <v>83</v>
      </c>
      <c r="C2982" s="2">
        <v>2019</v>
      </c>
      <c r="D2982" s="2" t="s">
        <v>1</v>
      </c>
      <c r="E2982" s="2" t="s">
        <v>8</v>
      </c>
      <c r="F2982" s="2" t="s">
        <v>35</v>
      </c>
      <c r="G2982" s="7"/>
      <c r="H2982" s="13" t="str">
        <f>IFERROR(IF(ABS($G2982)&gt;0,VLOOKUP($E2982,'Fuel Category and Heat Rate'!$B$1:$G$34,6,FALSE)*($G2982),""),"")</f>
        <v/>
      </c>
      <c r="I2982" t="str">
        <f>IFERROR(VLOOKUP($E2982,'Fuel Category and Heat Rate'!$K$2:$M$36,3,FALSE),"")</f>
        <v>coal</v>
      </c>
    </row>
    <row r="2983" spans="1:9" x14ac:dyDescent="0.15">
      <c r="A2983" s="2">
        <v>334927</v>
      </c>
      <c r="B2983" s="2" t="s">
        <v>83</v>
      </c>
      <c r="C2983" s="2">
        <v>2019</v>
      </c>
      <c r="D2983" s="2" t="s">
        <v>1</v>
      </c>
      <c r="E2983" s="2" t="s">
        <v>27</v>
      </c>
      <c r="F2983" s="2" t="s">
        <v>35</v>
      </c>
      <c r="G2983" s="7"/>
      <c r="H2983" s="13" t="str">
        <f>IFERROR(IF(ABS($G2983)&gt;0,VLOOKUP($E2983,'Fuel Category and Heat Rate'!$B$1:$G$34,6,FALSE)*($G2983),""),"")</f>
        <v/>
      </c>
      <c r="I2983" t="str">
        <f>IFERROR(VLOOKUP($E2983,'Fuel Category and Heat Rate'!$K$2:$M$36,3,FALSE),"")</f>
        <v>LPG propane or butane</v>
      </c>
    </row>
    <row r="2984" spans="1:9" x14ac:dyDescent="0.15">
      <c r="A2984" s="2">
        <v>334962</v>
      </c>
      <c r="B2984" s="2" t="s">
        <v>83</v>
      </c>
      <c r="C2984" s="2">
        <v>2019</v>
      </c>
      <c r="D2984" s="2" t="s">
        <v>1</v>
      </c>
      <c r="E2984" s="2" t="s">
        <v>7</v>
      </c>
      <c r="F2984" s="2" t="s">
        <v>35</v>
      </c>
      <c r="G2984" s="7">
        <v>-2.02</v>
      </c>
      <c r="H2984" s="13">
        <f>IFERROR(IF(ABS($G2984)&gt;0,VLOOKUP($E2984,'Fuel Category and Heat Rate'!$B$1:$G$34,6,FALSE)*($G2984),""),"")</f>
        <v>-160327815821.31412</v>
      </c>
      <c r="I2984" t="str">
        <f>IFERROR(VLOOKUP($E2984,'Fuel Category and Heat Rate'!$K$2:$M$36,3,FALSE),"")</f>
        <v>coal</v>
      </c>
    </row>
    <row r="2985" spans="1:9" x14ac:dyDescent="0.15">
      <c r="A2985" s="2">
        <v>334997</v>
      </c>
      <c r="B2985" s="2" t="s">
        <v>83</v>
      </c>
      <c r="C2985" s="2">
        <v>2019</v>
      </c>
      <c r="D2985" s="2" t="s">
        <v>1</v>
      </c>
      <c r="E2985" s="2" t="s">
        <v>2</v>
      </c>
      <c r="F2985" s="2" t="s">
        <v>35</v>
      </c>
      <c r="G2985" s="7">
        <v>-926.46</v>
      </c>
      <c r="H2985" s="13">
        <f>IFERROR(IF(ABS($G2985)&gt;0,VLOOKUP($E2985,'Fuel Category and Heat Rate'!$B$1:$G$34,6,FALSE)*($G2985),""),"")</f>
        <v>0</v>
      </c>
      <c r="I2985" t="str">
        <f>IFERROR(VLOOKUP($E2985,'Fuel Category and Heat Rate'!$K$2:$M$36,3,FALSE),"")</f>
        <v/>
      </c>
    </row>
    <row r="2986" spans="1:9" x14ac:dyDescent="0.15">
      <c r="A2986" s="2">
        <v>335032</v>
      </c>
      <c r="B2986" s="2" t="s">
        <v>83</v>
      </c>
      <c r="C2986" s="2">
        <v>2019</v>
      </c>
      <c r="D2986" s="2" t="s">
        <v>1</v>
      </c>
      <c r="E2986" s="2" t="s">
        <v>17</v>
      </c>
      <c r="F2986" s="2" t="s">
        <v>35</v>
      </c>
      <c r="G2986" s="7"/>
      <c r="H2986" s="13" t="str">
        <f>IFERROR(IF(ABS($G2986)&gt;0,VLOOKUP($E2986,'Fuel Category and Heat Rate'!$B$1:$G$34,6,FALSE)*($G2986),""),"")</f>
        <v/>
      </c>
      <c r="I2986" t="str">
        <f>IFERROR(VLOOKUP($E2986,'Fuel Category and Heat Rate'!$K$2:$M$36,3,FALSE),"")</f>
        <v>petroleum diesel</v>
      </c>
    </row>
    <row r="2987" spans="1:9" x14ac:dyDescent="0.15">
      <c r="A2987" s="2">
        <v>335067</v>
      </c>
      <c r="B2987" s="2" t="s">
        <v>83</v>
      </c>
      <c r="C2987" s="2">
        <v>2019</v>
      </c>
      <c r="D2987" s="2" t="s">
        <v>1</v>
      </c>
      <c r="E2987" s="2" t="s">
        <v>13</v>
      </c>
      <c r="F2987" s="2" t="s">
        <v>35</v>
      </c>
      <c r="G2987" s="7"/>
      <c r="H2987" s="13" t="str">
        <f>IFERROR(IF(ABS($G2987)&gt;0,VLOOKUP($E2987,'Fuel Category and Heat Rate'!$B$1:$G$34,6,FALSE)*($G2987),""),"")</f>
        <v/>
      </c>
      <c r="I2987" t="str">
        <f>IFERROR(VLOOKUP($E2987,'Fuel Category and Heat Rate'!$K$2:$M$36,3,FALSE),"")</f>
        <v>petroleum diesel</v>
      </c>
    </row>
    <row r="2988" spans="1:9" x14ac:dyDescent="0.15">
      <c r="A2988" s="2">
        <v>335102</v>
      </c>
      <c r="B2988" s="2" t="s">
        <v>83</v>
      </c>
      <c r="C2988" s="2">
        <v>2019</v>
      </c>
      <c r="D2988" s="2" t="s">
        <v>1</v>
      </c>
      <c r="E2988" s="2" t="s">
        <v>12</v>
      </c>
      <c r="F2988" s="2" t="s">
        <v>36</v>
      </c>
      <c r="G2988" s="7"/>
      <c r="H2988" s="13" t="str">
        <f>IFERROR(IF(ABS($G2988)&gt;0,VLOOKUP($E2988,'Fuel Category and Heat Rate'!$B$1:$G$34,6,FALSE)*($G2988),""),"")</f>
        <v/>
      </c>
      <c r="I2988" t="str">
        <f>IFERROR(VLOOKUP($E2988,'Fuel Category and Heat Rate'!$K$2:$M$36,3,FALSE),"")</f>
        <v>LPG propane or butane</v>
      </c>
    </row>
    <row r="2989" spans="1:9" x14ac:dyDescent="0.15">
      <c r="A2989" s="2">
        <v>335137</v>
      </c>
      <c r="B2989" s="2" t="s">
        <v>83</v>
      </c>
      <c r="C2989" s="2">
        <v>2019</v>
      </c>
      <c r="D2989" s="2" t="s">
        <v>1</v>
      </c>
      <c r="E2989" s="2" t="s">
        <v>33</v>
      </c>
      <c r="F2989" s="2" t="s">
        <v>38</v>
      </c>
      <c r="G2989" s="7"/>
      <c r="H2989" s="13" t="str">
        <f>IFERROR(IF(ABS($G2989)&gt;0,VLOOKUP($E2989,'Fuel Category and Heat Rate'!$B$1:$G$34,6,FALSE)*($G2989),""),"")</f>
        <v/>
      </c>
      <c r="I2989" t="str">
        <f>IFERROR(VLOOKUP($E2989,'Fuel Category and Heat Rate'!$K$2:$M$36,3,FALSE),"")</f>
        <v>biomass</v>
      </c>
    </row>
    <row r="2990" spans="1:9" x14ac:dyDescent="0.15">
      <c r="A2990" s="2">
        <v>335172</v>
      </c>
      <c r="B2990" s="2" t="s">
        <v>83</v>
      </c>
      <c r="C2990" s="2">
        <v>2019</v>
      </c>
      <c r="D2990" s="2" t="s">
        <v>1</v>
      </c>
      <c r="E2990" s="2" t="s">
        <v>28</v>
      </c>
      <c r="F2990" s="2" t="s">
        <v>35</v>
      </c>
      <c r="G2990" s="7"/>
      <c r="H2990" s="13" t="str">
        <f>IFERROR(IF(ABS($G2990)&gt;0,VLOOKUP($E2990,'Fuel Category and Heat Rate'!$B$1:$G$34,6,FALSE)*($G2990),""),"")</f>
        <v/>
      </c>
      <c r="I2990" t="str">
        <f>IFERROR(VLOOKUP($E2990,'Fuel Category and Heat Rate'!$K$2:$M$36,3,FALSE),"")</f>
        <v>heavy or residual fuel oil</v>
      </c>
    </row>
    <row r="2991" spans="1:9" x14ac:dyDescent="0.15">
      <c r="A2991" s="2">
        <v>335207</v>
      </c>
      <c r="B2991" s="2" t="s">
        <v>83</v>
      </c>
      <c r="C2991" s="2">
        <v>2019</v>
      </c>
      <c r="D2991" s="2" t="s">
        <v>1</v>
      </c>
      <c r="E2991" s="2" t="s">
        <v>5</v>
      </c>
      <c r="F2991" s="2" t="s">
        <v>35</v>
      </c>
      <c r="G2991" s="7">
        <v>-56.11</v>
      </c>
      <c r="H2991" s="13">
        <f>IFERROR(IF(ABS($G2991)&gt;0,VLOOKUP($E2991,'Fuel Category and Heat Rate'!$B$1:$G$34,6,FALSE)*($G2991),""),"")</f>
        <v>-4447612228300.5205</v>
      </c>
      <c r="I2991" t="str">
        <f>IFERROR(VLOOKUP($E2991,'Fuel Category and Heat Rate'!$K$2:$M$36,3,FALSE),"")</f>
        <v>coal</v>
      </c>
    </row>
    <row r="2992" spans="1:9" x14ac:dyDescent="0.15">
      <c r="A2992" s="2">
        <v>335242</v>
      </c>
      <c r="B2992" s="2" t="s">
        <v>83</v>
      </c>
      <c r="C2992" s="2">
        <v>2019</v>
      </c>
      <c r="D2992" s="2" t="s">
        <v>1</v>
      </c>
      <c r="E2992" s="2" t="s">
        <v>16</v>
      </c>
      <c r="F2992" s="2" t="s">
        <v>35</v>
      </c>
      <c r="G2992" s="7"/>
      <c r="H2992" s="13" t="str">
        <f>IFERROR(IF(ABS($G2992)&gt;0,VLOOKUP($E2992,'Fuel Category and Heat Rate'!$B$1:$G$34,6,FALSE)*($G2992),""),"")</f>
        <v/>
      </c>
      <c r="I2992" t="str">
        <f>IFERROR(VLOOKUP($E2992,'Fuel Category and Heat Rate'!$K$2:$M$36,3,FALSE),"")</f>
        <v>petroleum diesel</v>
      </c>
    </row>
    <row r="2993" spans="1:9" x14ac:dyDescent="0.15">
      <c r="A2993" s="2">
        <v>335277</v>
      </c>
      <c r="B2993" s="2" t="s">
        <v>83</v>
      </c>
      <c r="C2993" s="2">
        <v>2019</v>
      </c>
      <c r="D2993" s="2" t="s">
        <v>1</v>
      </c>
      <c r="E2993" s="2" t="s">
        <v>19</v>
      </c>
      <c r="F2993" s="2" t="s">
        <v>35</v>
      </c>
      <c r="G2993" s="7">
        <v>-0.01</v>
      </c>
      <c r="H2993" s="13">
        <f>IFERROR(IF(ABS($G2993)&gt;0,VLOOKUP($E2993,'Fuel Category and Heat Rate'!$B$1:$G$34,6,FALSE)*($G2993),""),"")</f>
        <v>-3963392080.144383</v>
      </c>
      <c r="I2993" t="str">
        <f>IFERROR(VLOOKUP($E2993,'Fuel Category and Heat Rate'!$K$2:$M$36,3,FALSE),"")</f>
        <v>heavy or residual fuel oil</v>
      </c>
    </row>
    <row r="2994" spans="1:9" x14ac:dyDescent="0.15">
      <c r="A2994" s="2">
        <v>335312</v>
      </c>
      <c r="B2994" s="2" t="s">
        <v>83</v>
      </c>
      <c r="C2994" s="2">
        <v>2019</v>
      </c>
      <c r="D2994" s="2" t="s">
        <v>1</v>
      </c>
      <c r="E2994" s="2" t="s">
        <v>31</v>
      </c>
      <c r="F2994" s="2" t="s">
        <v>37</v>
      </c>
      <c r="G2994" s="7">
        <v>10008.43</v>
      </c>
      <c r="H2994" s="13">
        <f>IFERROR(IF(ABS($G2994)&gt;0,VLOOKUP($E2994,'Fuel Category and Heat Rate'!$B$1:$G$34,6,FALSE)*($G2994),""),"")</f>
        <v>94861613250142.172</v>
      </c>
      <c r="I2994" t="str">
        <f>IFERROR(VLOOKUP($E2994,'Fuel Category and Heat Rate'!$K$2:$M$36,3,FALSE),"")</f>
        <v>heat</v>
      </c>
    </row>
    <row r="2995" spans="1:9" x14ac:dyDescent="0.15">
      <c r="A2995" s="2">
        <v>335347</v>
      </c>
      <c r="B2995" s="2" t="s">
        <v>83</v>
      </c>
      <c r="C2995" s="2">
        <v>2019</v>
      </c>
      <c r="D2995" s="2" t="s">
        <v>1</v>
      </c>
      <c r="E2995" s="2" t="s">
        <v>23</v>
      </c>
      <c r="F2995" s="2" t="s">
        <v>35</v>
      </c>
      <c r="G2995" s="7"/>
      <c r="H2995" s="13" t="str">
        <f>IFERROR(IF(ABS($G2995)&gt;0,VLOOKUP($E2995,'Fuel Category and Heat Rate'!$B$1:$G$34,6,FALSE)*($G2995),""),"")</f>
        <v/>
      </c>
      <c r="I2995" t="str">
        <f>IFERROR(VLOOKUP($E2995,'Fuel Category and Heat Rate'!$K$2:$M$36,3,FALSE),"")</f>
        <v>heavy or residual fuel oil</v>
      </c>
    </row>
    <row r="2996" spans="1:9" x14ac:dyDescent="0.15">
      <c r="A2996" s="2">
        <v>335382</v>
      </c>
      <c r="B2996" s="2" t="s">
        <v>83</v>
      </c>
      <c r="C2996" s="2">
        <v>2019</v>
      </c>
      <c r="D2996" s="2" t="s">
        <v>1</v>
      </c>
      <c r="E2996" s="2" t="s">
        <v>21</v>
      </c>
      <c r="F2996" s="2" t="s">
        <v>35</v>
      </c>
      <c r="G2996" s="7"/>
      <c r="H2996" s="13" t="str">
        <f>IFERROR(IF(ABS($G2996)&gt;0,VLOOKUP($E2996,'Fuel Category and Heat Rate'!$B$1:$G$34,6,FALSE)*($G2996),""),"")</f>
        <v/>
      </c>
      <c r="I2996" t="str">
        <f>IFERROR(VLOOKUP($E2996,'Fuel Category and Heat Rate'!$K$2:$M$36,3,FALSE),"")</f>
        <v>LPG propane or butane</v>
      </c>
    </row>
    <row r="2997" spans="1:9" x14ac:dyDescent="0.15">
      <c r="A2997" s="2">
        <v>335417</v>
      </c>
      <c r="B2997" s="2" t="s">
        <v>83</v>
      </c>
      <c r="C2997" s="2">
        <v>2019</v>
      </c>
      <c r="D2997" s="2" t="s">
        <v>1</v>
      </c>
      <c r="E2997" s="2" t="s">
        <v>22</v>
      </c>
      <c r="F2997" s="2" t="s">
        <v>35</v>
      </c>
      <c r="G2997" s="7"/>
      <c r="H2997" s="13" t="str">
        <f>IFERROR(IF(ABS($G2997)&gt;0,VLOOKUP($E2997,'Fuel Category and Heat Rate'!$B$1:$G$34,6,FALSE)*($G2997),""),"")</f>
        <v/>
      </c>
      <c r="I2997" t="str">
        <f>IFERROR(VLOOKUP($E2997,'Fuel Category and Heat Rate'!$K$2:$M$36,3,FALSE),"")</f>
        <v>heavy fuel oil</v>
      </c>
    </row>
    <row r="2998" spans="1:9" x14ac:dyDescent="0.15">
      <c r="A2998" s="2">
        <v>335452</v>
      </c>
      <c r="B2998" s="2" t="s">
        <v>83</v>
      </c>
      <c r="C2998" s="2">
        <v>2019</v>
      </c>
      <c r="D2998" s="2" t="s">
        <v>1</v>
      </c>
      <c r="E2998" s="2" t="s">
        <v>20</v>
      </c>
      <c r="F2998" s="2" t="s">
        <v>35</v>
      </c>
      <c r="G2998" s="7"/>
      <c r="H2998" s="13" t="str">
        <f>IFERROR(IF(ABS($G2998)&gt;0,VLOOKUP($E2998,'Fuel Category and Heat Rate'!$B$1:$G$34,6,FALSE)*($G2998),""),"")</f>
        <v/>
      </c>
      <c r="I2998" t="str">
        <f>IFERROR(VLOOKUP($E2998,'Fuel Category and Heat Rate'!$K$2:$M$36,3,FALSE),"")</f>
        <v>LPG propane or butane</v>
      </c>
    </row>
    <row r="2999" spans="1:9" x14ac:dyDescent="0.15">
      <c r="A2999" s="2">
        <v>335487</v>
      </c>
      <c r="B2999" s="2" t="s">
        <v>83</v>
      </c>
      <c r="C2999" s="2">
        <v>2019</v>
      </c>
      <c r="D2999" s="2" t="s">
        <v>1</v>
      </c>
      <c r="E2999" s="2" t="s">
        <v>25</v>
      </c>
      <c r="F2999" s="2" t="s">
        <v>35</v>
      </c>
      <c r="G2999" s="7"/>
      <c r="H2999" s="13" t="str">
        <f>IFERROR(IF(ABS($G2999)&gt;0,VLOOKUP($E2999,'Fuel Category and Heat Rate'!$B$1:$G$34,6,FALSE)*($G2999),""),"")</f>
        <v/>
      </c>
      <c r="I2999" t="str">
        <f>IFERROR(VLOOKUP($E2999,'Fuel Category and Heat Rate'!$K$2:$M$36,3,FALSE),"")</f>
        <v>heavy fuel oil</v>
      </c>
    </row>
    <row r="3000" spans="1:9" x14ac:dyDescent="0.15">
      <c r="A3000" s="2">
        <v>335522</v>
      </c>
      <c r="B3000" s="2" t="s">
        <v>83</v>
      </c>
      <c r="C3000" s="2">
        <v>2019</v>
      </c>
      <c r="D3000" s="2" t="s">
        <v>1</v>
      </c>
      <c r="E3000" s="2" t="s">
        <v>24</v>
      </c>
      <c r="F3000" s="2" t="s">
        <v>35</v>
      </c>
      <c r="G3000" s="7"/>
      <c r="H3000" s="13" t="str">
        <f>IFERROR(IF(ABS($G3000)&gt;0,VLOOKUP($E3000,'Fuel Category and Heat Rate'!$B$1:$G$34,6,FALSE)*($G3000),""),"")</f>
        <v/>
      </c>
      <c r="I3000" t="str">
        <f>IFERROR(VLOOKUP($E3000,'Fuel Category and Heat Rate'!$K$2:$M$36,3,FALSE),"")</f>
        <v>heavy fuel oil</v>
      </c>
    </row>
    <row r="3001" spans="1:9" x14ac:dyDescent="0.15">
      <c r="A3001" s="2">
        <v>335557</v>
      </c>
      <c r="B3001" s="2" t="s">
        <v>83</v>
      </c>
      <c r="C3001" s="2">
        <v>2019</v>
      </c>
      <c r="D3001" s="2" t="s">
        <v>1</v>
      </c>
      <c r="E3001" s="2" t="s">
        <v>29</v>
      </c>
      <c r="F3001" s="2" t="s">
        <v>36</v>
      </c>
      <c r="G3001" s="7">
        <v>-1.05</v>
      </c>
      <c r="H3001" s="13">
        <f>IFERROR(IF(ABS($G3001)&gt;0,VLOOKUP($E3001,'Fuel Category and Heat Rate'!$B$1:$G$34,6,FALSE)*($G3001),""),"")</f>
        <v>-3541397832162.1553</v>
      </c>
      <c r="I3001" t="str">
        <f>IFERROR(VLOOKUP($E3001,'Fuel Category and Heat Rate'!$K$2:$M$36,3,FALSE),"")</f>
        <v>natural gas</v>
      </c>
    </row>
    <row r="3002" spans="1:9" x14ac:dyDescent="0.15">
      <c r="A3002" s="2">
        <v>335592</v>
      </c>
      <c r="B3002" s="2" t="s">
        <v>83</v>
      </c>
      <c r="C3002" s="2">
        <v>2019</v>
      </c>
      <c r="D3002" s="2" t="s">
        <v>1</v>
      </c>
      <c r="E3002" s="2" t="s">
        <v>4</v>
      </c>
      <c r="F3002" s="2" t="s">
        <v>35</v>
      </c>
      <c r="G3002" s="7"/>
      <c r="H3002" s="13" t="str">
        <f>IFERROR(IF(ABS($G3002)&gt;0,VLOOKUP($E3002,'Fuel Category and Heat Rate'!$B$1:$G$34,6,FALSE)*($G3002),""),"")</f>
        <v/>
      </c>
      <c r="I3002" t="str">
        <f>IFERROR(VLOOKUP($E3002,'Fuel Category and Heat Rate'!$K$2:$M$36,3,FALSE),"")</f>
        <v>coal</v>
      </c>
    </row>
    <row r="3003" spans="1:9" x14ac:dyDescent="0.15">
      <c r="A3003" s="2">
        <v>335627</v>
      </c>
      <c r="B3003" s="2" t="s">
        <v>83</v>
      </c>
      <c r="C3003" s="2">
        <v>2019</v>
      </c>
      <c r="D3003" s="2" t="s">
        <v>1</v>
      </c>
      <c r="E3003" s="2" t="s">
        <v>6</v>
      </c>
      <c r="F3003" s="2" t="s">
        <v>35</v>
      </c>
      <c r="G3003" s="7">
        <v>-4.2699999999999996</v>
      </c>
      <c r="H3003" s="13">
        <f>IFERROR(IF(ABS($G3003)&gt;0,VLOOKUP($E3003,'Fuel Category and Heat Rate'!$B$1:$G$34,6,FALSE)*($G3003),""),"")</f>
        <v>-626220024276.43994</v>
      </c>
      <c r="I3003" t="str">
        <f>IFERROR(VLOOKUP($E3003,'Fuel Category and Heat Rate'!$K$2:$M$36,3,FALSE),"")</f>
        <v>coal</v>
      </c>
    </row>
    <row r="3004" spans="1:9" x14ac:dyDescent="0.15">
      <c r="A3004" s="2">
        <v>335662</v>
      </c>
      <c r="B3004" s="2" t="s">
        <v>83</v>
      </c>
      <c r="C3004" s="2">
        <v>2019</v>
      </c>
      <c r="D3004" s="2" t="s">
        <v>1</v>
      </c>
      <c r="E3004" s="2" t="s">
        <v>26</v>
      </c>
      <c r="F3004" s="2" t="s">
        <v>35</v>
      </c>
      <c r="G3004" s="7"/>
      <c r="H3004" s="13" t="str">
        <f>IFERROR(IF(ABS($G3004)&gt;0,VLOOKUP($E3004,'Fuel Category and Heat Rate'!$B$1:$G$34,6,FALSE)*($G3004),""),"")</f>
        <v/>
      </c>
      <c r="I3004" t="str">
        <f>IFERROR(VLOOKUP($E3004,'Fuel Category and Heat Rate'!$K$2:$M$36,3,FALSE),"")</f>
        <v>LPG propane or butane</v>
      </c>
    </row>
    <row r="3005" spans="1:9" x14ac:dyDescent="0.15">
      <c r="A3005" s="2">
        <v>335697</v>
      </c>
      <c r="B3005" s="2" t="s">
        <v>83</v>
      </c>
      <c r="C3005" s="2">
        <v>2019</v>
      </c>
      <c r="D3005" s="2" t="s">
        <v>1</v>
      </c>
      <c r="E3005" s="2" t="s">
        <v>30</v>
      </c>
      <c r="F3005" s="2" t="s">
        <v>35</v>
      </c>
      <c r="G3005" s="7"/>
      <c r="H3005" s="13" t="str">
        <f>IFERROR(IF(ABS($G3005)&gt;0,VLOOKUP($E3005,'Fuel Category and Heat Rate'!$B$1:$G$34,6,FALSE)*($G3005),""),"")</f>
        <v/>
      </c>
      <c r="I3005" t="str">
        <f>IFERROR(VLOOKUP($E3005,'Fuel Category and Heat Rate'!$K$2:$M$36,3,FALSE),"")</f>
        <v>natural gas</v>
      </c>
    </row>
    <row r="3006" spans="1:9" x14ac:dyDescent="0.15">
      <c r="A3006" s="2">
        <v>335732</v>
      </c>
      <c r="B3006" s="2" t="s">
        <v>83</v>
      </c>
      <c r="C3006" s="2">
        <v>2019</v>
      </c>
      <c r="D3006" s="2" t="s">
        <v>1</v>
      </c>
      <c r="E3006" s="2" t="s">
        <v>14</v>
      </c>
      <c r="F3006" s="2" t="s">
        <v>35</v>
      </c>
      <c r="G3006" s="7">
        <v>-0.03</v>
      </c>
      <c r="H3006" s="13">
        <f>IFERROR(IF(ABS($G3006)&gt;0,VLOOKUP($E3006,'Fuel Category and Heat Rate'!$B$1:$G$34,6,FALSE)*($G3006),""),"")</f>
        <v>0</v>
      </c>
      <c r="I3006" t="str">
        <f>IFERROR(VLOOKUP($E3006,'Fuel Category and Heat Rate'!$K$2:$M$36,3,FALSE),"")</f>
        <v/>
      </c>
    </row>
    <row r="3007" spans="1:9" x14ac:dyDescent="0.15">
      <c r="A3007" s="2">
        <v>335767</v>
      </c>
      <c r="B3007" s="2" t="s">
        <v>83</v>
      </c>
      <c r="C3007" s="2">
        <v>2019</v>
      </c>
      <c r="D3007" s="2" t="s">
        <v>1</v>
      </c>
      <c r="E3007" s="2" t="s">
        <v>3</v>
      </c>
      <c r="F3007" s="2" t="s">
        <v>35</v>
      </c>
      <c r="G3007" s="7">
        <v>-866.08</v>
      </c>
      <c r="H3007" s="13">
        <f>IFERROR(IF(ABS($G3007)&gt;0,VLOOKUP($E3007,'Fuel Category and Heat Rate'!$B$1:$G$34,6,FALSE)*($G3007),""),"")</f>
        <v>-171630730638572.38</v>
      </c>
      <c r="I3007" t="str">
        <f>IFERROR(VLOOKUP($E3007,'Fuel Category and Heat Rate'!$K$2:$M$36,3,FALSE),"")</f>
        <v>coal</v>
      </c>
    </row>
    <row r="3008" spans="1:9" x14ac:dyDescent="0.15">
      <c r="A3008" s="2">
        <v>335802</v>
      </c>
      <c r="B3008" s="2" t="s">
        <v>83</v>
      </c>
      <c r="C3008" s="2">
        <v>2019</v>
      </c>
      <c r="D3008" s="2" t="s">
        <v>1</v>
      </c>
      <c r="E3008" s="2" t="s">
        <v>15</v>
      </c>
      <c r="F3008" s="2" t="s">
        <v>35</v>
      </c>
      <c r="G3008" s="7"/>
      <c r="H3008" s="13" t="str">
        <f>IFERROR(IF(ABS($G3008)&gt;0,VLOOKUP($E3008,'Fuel Category and Heat Rate'!$B$1:$G$34,6,FALSE)*($G3008),""),"")</f>
        <v/>
      </c>
      <c r="I3008" t="str">
        <f>IFERROR(VLOOKUP($E3008,'Fuel Category and Heat Rate'!$K$2:$M$36,3,FALSE),"")</f>
        <v>crude oil</v>
      </c>
    </row>
    <row r="3009" spans="1:9" x14ac:dyDescent="0.15">
      <c r="A3009" s="2">
        <v>335837</v>
      </c>
      <c r="B3009" s="2" t="s">
        <v>83</v>
      </c>
      <c r="C3009" s="2">
        <v>2019</v>
      </c>
      <c r="D3009" s="2" t="s">
        <v>1</v>
      </c>
      <c r="E3009" s="2" t="s">
        <v>11</v>
      </c>
      <c r="F3009" s="2" t="s">
        <v>36</v>
      </c>
      <c r="G3009" s="7"/>
      <c r="H3009" s="13" t="str">
        <f>IFERROR(IF(ABS($G3009)&gt;0,VLOOKUP($E3009,'Fuel Category and Heat Rate'!$B$1:$G$34,6,FALSE)*($G3009),""),"")</f>
        <v/>
      </c>
      <c r="I3009" t="str">
        <f>IFERROR(VLOOKUP($E3009,'Fuel Category and Heat Rate'!$K$2:$M$36,3,FALSE),"")</f>
        <v>LPG propane or butane</v>
      </c>
    </row>
    <row r="3010" spans="1:9" x14ac:dyDescent="0.15">
      <c r="A3010" s="2">
        <v>335872</v>
      </c>
      <c r="B3010" s="2" t="s">
        <v>83</v>
      </c>
      <c r="C3010" s="2">
        <v>2018</v>
      </c>
      <c r="D3010" s="2" t="s">
        <v>1</v>
      </c>
      <c r="E3010" s="2" t="s">
        <v>18</v>
      </c>
      <c r="F3010" s="2" t="s">
        <v>35</v>
      </c>
      <c r="G3010" s="7">
        <v>-0.03</v>
      </c>
      <c r="H3010" s="13">
        <f>IFERROR(IF(ABS($G3010)&gt;0,VLOOKUP($E3010,'Fuel Category and Heat Rate'!$B$1:$G$34,6,FALSE)*($G3010),""),"")</f>
        <v>-12127888774.798035</v>
      </c>
      <c r="I3010" t="str">
        <f>IFERROR(VLOOKUP($E3010,'Fuel Category and Heat Rate'!$K$2:$M$36,3,FALSE),"")</f>
        <v>petroleum diesel</v>
      </c>
    </row>
    <row r="3011" spans="1:9" x14ac:dyDescent="0.15">
      <c r="A3011" s="2">
        <v>335907</v>
      </c>
      <c r="B3011" s="2" t="s">
        <v>83</v>
      </c>
      <c r="C3011" s="2">
        <v>2018</v>
      </c>
      <c r="D3011" s="2" t="s">
        <v>1</v>
      </c>
      <c r="E3011" s="2" t="s">
        <v>32</v>
      </c>
      <c r="F3011" s="2" t="s">
        <v>65</v>
      </c>
      <c r="G3011" s="7"/>
      <c r="H3011" s="13" t="str">
        <f>IFERROR(IF(ABS($G3011)&gt;0,VLOOKUP($E3011,'Fuel Category and Heat Rate'!$B$1:$G$34,6,FALSE)*($G3011),""),"")</f>
        <v/>
      </c>
      <c r="I3011" t="str">
        <f>IFERROR(VLOOKUP($E3011,'Fuel Category and Heat Rate'!$K$2:$M$36,3,FALSE),"")</f>
        <v>electricity</v>
      </c>
    </row>
    <row r="3012" spans="1:9" x14ac:dyDescent="0.15">
      <c r="A3012" s="2">
        <v>335942</v>
      </c>
      <c r="B3012" s="2" t="s">
        <v>83</v>
      </c>
      <c r="C3012" s="2">
        <v>2018</v>
      </c>
      <c r="D3012" s="2" t="s">
        <v>1</v>
      </c>
      <c r="E3012" s="2" t="s">
        <v>10</v>
      </c>
      <c r="F3012" s="2" t="s">
        <v>36</v>
      </c>
      <c r="G3012" s="7">
        <v>-0.33</v>
      </c>
      <c r="H3012" s="13">
        <f>IFERROR(IF(ABS($G3012)&gt;0,VLOOKUP($E3012,'Fuel Category and Heat Rate'!$B$1:$G$34,6,FALSE)*($G3012),""),"")</f>
        <v>-117698982475.66705</v>
      </c>
      <c r="I3012" t="str">
        <f>IFERROR(VLOOKUP($E3012,'Fuel Category and Heat Rate'!$K$2:$M$36,3,FALSE),"")</f>
        <v>LPG propane or butane</v>
      </c>
    </row>
    <row r="3013" spans="1:9" x14ac:dyDescent="0.15">
      <c r="A3013" s="2">
        <v>335977</v>
      </c>
      <c r="B3013" s="2" t="s">
        <v>83</v>
      </c>
      <c r="C3013" s="2">
        <v>2018</v>
      </c>
      <c r="D3013" s="2" t="s">
        <v>1</v>
      </c>
      <c r="E3013" s="2" t="s">
        <v>9</v>
      </c>
      <c r="F3013" s="2" t="s">
        <v>36</v>
      </c>
      <c r="G3013" s="7">
        <v>-0.44</v>
      </c>
      <c r="H3013" s="13">
        <f>IFERROR(IF(ABS($G3013)&gt;0,VLOOKUP($E3013,'Fuel Category and Heat Rate'!$B$1:$G$34,6,FALSE)*($G3013),""),"")</f>
        <v>-723709555280.88879</v>
      </c>
      <c r="I3013" t="str">
        <f>IFERROR(VLOOKUP($E3013,'Fuel Category and Heat Rate'!$K$2:$M$36,3,FALSE),"")</f>
        <v>LPG propane or butane</v>
      </c>
    </row>
    <row r="3014" spans="1:9" x14ac:dyDescent="0.15">
      <c r="A3014" s="2">
        <v>336012</v>
      </c>
      <c r="B3014" s="2" t="s">
        <v>83</v>
      </c>
      <c r="C3014" s="2">
        <v>2018</v>
      </c>
      <c r="D3014" s="2" t="s">
        <v>1</v>
      </c>
      <c r="E3014" s="2" t="s">
        <v>8</v>
      </c>
      <c r="F3014" s="2" t="s">
        <v>35</v>
      </c>
      <c r="G3014" s="7"/>
      <c r="H3014" s="13" t="str">
        <f>IFERROR(IF(ABS($G3014)&gt;0,VLOOKUP($E3014,'Fuel Category and Heat Rate'!$B$1:$G$34,6,FALSE)*($G3014),""),"")</f>
        <v/>
      </c>
      <c r="I3014" t="str">
        <f>IFERROR(VLOOKUP($E3014,'Fuel Category and Heat Rate'!$K$2:$M$36,3,FALSE),"")</f>
        <v>coal</v>
      </c>
    </row>
    <row r="3015" spans="1:9" x14ac:dyDescent="0.15">
      <c r="A3015" s="2">
        <v>336047</v>
      </c>
      <c r="B3015" s="2" t="s">
        <v>83</v>
      </c>
      <c r="C3015" s="2">
        <v>2018</v>
      </c>
      <c r="D3015" s="2" t="s">
        <v>1</v>
      </c>
      <c r="E3015" s="2" t="s">
        <v>27</v>
      </c>
      <c r="F3015" s="2" t="s">
        <v>35</v>
      </c>
      <c r="G3015" s="7"/>
      <c r="H3015" s="13" t="str">
        <f>IFERROR(IF(ABS($G3015)&gt;0,VLOOKUP($E3015,'Fuel Category and Heat Rate'!$B$1:$G$34,6,FALSE)*($G3015),""),"")</f>
        <v/>
      </c>
      <c r="I3015" t="str">
        <f>IFERROR(VLOOKUP($E3015,'Fuel Category and Heat Rate'!$K$2:$M$36,3,FALSE),"")</f>
        <v>LPG propane or butane</v>
      </c>
    </row>
    <row r="3016" spans="1:9" x14ac:dyDescent="0.15">
      <c r="A3016" s="2">
        <v>336082</v>
      </c>
      <c r="B3016" s="2" t="s">
        <v>83</v>
      </c>
      <c r="C3016" s="2">
        <v>2018</v>
      </c>
      <c r="D3016" s="2" t="s">
        <v>1</v>
      </c>
      <c r="E3016" s="2" t="s">
        <v>7</v>
      </c>
      <c r="F3016" s="2" t="s">
        <v>35</v>
      </c>
      <c r="G3016" s="7">
        <v>-0.53</v>
      </c>
      <c r="H3016" s="13">
        <f>IFERROR(IF(ABS($G3016)&gt;0,VLOOKUP($E3016,'Fuel Category and Heat Rate'!$B$1:$G$34,6,FALSE)*($G3016),""),"")</f>
        <v>-42066209101.63192</v>
      </c>
      <c r="I3016" t="str">
        <f>IFERROR(VLOOKUP($E3016,'Fuel Category and Heat Rate'!$K$2:$M$36,3,FALSE),"")</f>
        <v>coal</v>
      </c>
    </row>
    <row r="3017" spans="1:9" x14ac:dyDescent="0.15">
      <c r="A3017" s="2">
        <v>336117</v>
      </c>
      <c r="B3017" s="2" t="s">
        <v>83</v>
      </c>
      <c r="C3017" s="2">
        <v>2018</v>
      </c>
      <c r="D3017" s="2" t="s">
        <v>1</v>
      </c>
      <c r="E3017" s="2" t="s">
        <v>2</v>
      </c>
      <c r="F3017" s="2" t="s">
        <v>35</v>
      </c>
      <c r="G3017" s="7">
        <v>-814.58</v>
      </c>
      <c r="H3017" s="13">
        <f>IFERROR(IF(ABS($G3017)&gt;0,VLOOKUP($E3017,'Fuel Category and Heat Rate'!$B$1:$G$34,6,FALSE)*($G3017),""),"")</f>
        <v>0</v>
      </c>
      <c r="I3017" t="str">
        <f>IFERROR(VLOOKUP($E3017,'Fuel Category and Heat Rate'!$K$2:$M$36,3,FALSE),"")</f>
        <v/>
      </c>
    </row>
    <row r="3018" spans="1:9" x14ac:dyDescent="0.15">
      <c r="A3018" s="2">
        <v>336152</v>
      </c>
      <c r="B3018" s="2" t="s">
        <v>83</v>
      </c>
      <c r="C3018" s="2">
        <v>2018</v>
      </c>
      <c r="D3018" s="2" t="s">
        <v>1</v>
      </c>
      <c r="E3018" s="2" t="s">
        <v>17</v>
      </c>
      <c r="F3018" s="2" t="s">
        <v>35</v>
      </c>
      <c r="G3018" s="7"/>
      <c r="H3018" s="13" t="str">
        <f>IFERROR(IF(ABS($G3018)&gt;0,VLOOKUP($E3018,'Fuel Category and Heat Rate'!$B$1:$G$34,6,FALSE)*($G3018),""),"")</f>
        <v/>
      </c>
      <c r="I3018" t="str">
        <f>IFERROR(VLOOKUP($E3018,'Fuel Category and Heat Rate'!$K$2:$M$36,3,FALSE),"")</f>
        <v>petroleum diesel</v>
      </c>
    </row>
    <row r="3019" spans="1:9" x14ac:dyDescent="0.15">
      <c r="A3019" s="2">
        <v>336187</v>
      </c>
      <c r="B3019" s="2" t="s">
        <v>83</v>
      </c>
      <c r="C3019" s="2">
        <v>2018</v>
      </c>
      <c r="D3019" s="2" t="s">
        <v>1</v>
      </c>
      <c r="E3019" s="2" t="s">
        <v>13</v>
      </c>
      <c r="F3019" s="2" t="s">
        <v>35</v>
      </c>
      <c r="G3019" s="7"/>
      <c r="H3019" s="13" t="str">
        <f>IFERROR(IF(ABS($G3019)&gt;0,VLOOKUP($E3019,'Fuel Category and Heat Rate'!$B$1:$G$34,6,FALSE)*($G3019),""),"")</f>
        <v/>
      </c>
      <c r="I3019" t="str">
        <f>IFERROR(VLOOKUP($E3019,'Fuel Category and Heat Rate'!$K$2:$M$36,3,FALSE),"")</f>
        <v>petroleum diesel</v>
      </c>
    </row>
    <row r="3020" spans="1:9" x14ac:dyDescent="0.15">
      <c r="A3020" s="2">
        <v>336222</v>
      </c>
      <c r="B3020" s="2" t="s">
        <v>83</v>
      </c>
      <c r="C3020" s="2">
        <v>2018</v>
      </c>
      <c r="D3020" s="2" t="s">
        <v>1</v>
      </c>
      <c r="E3020" s="2" t="s">
        <v>12</v>
      </c>
      <c r="F3020" s="2" t="s">
        <v>36</v>
      </c>
      <c r="G3020" s="7"/>
      <c r="H3020" s="13" t="str">
        <f>IFERROR(IF(ABS($G3020)&gt;0,VLOOKUP($E3020,'Fuel Category and Heat Rate'!$B$1:$G$34,6,FALSE)*($G3020),""),"")</f>
        <v/>
      </c>
      <c r="I3020" t="str">
        <f>IFERROR(VLOOKUP($E3020,'Fuel Category and Heat Rate'!$K$2:$M$36,3,FALSE),"")</f>
        <v>LPG propane or butane</v>
      </c>
    </row>
    <row r="3021" spans="1:9" x14ac:dyDescent="0.15">
      <c r="A3021" s="2">
        <v>336257</v>
      </c>
      <c r="B3021" s="2" t="s">
        <v>83</v>
      </c>
      <c r="C3021" s="2">
        <v>2018</v>
      </c>
      <c r="D3021" s="2" t="s">
        <v>1</v>
      </c>
      <c r="E3021" s="2" t="s">
        <v>33</v>
      </c>
      <c r="F3021" s="2" t="s">
        <v>38</v>
      </c>
      <c r="G3021" s="7"/>
      <c r="H3021" s="13" t="str">
        <f>IFERROR(IF(ABS($G3021)&gt;0,VLOOKUP($E3021,'Fuel Category and Heat Rate'!$B$1:$G$34,6,FALSE)*($G3021),""),"")</f>
        <v/>
      </c>
      <c r="I3021" t="str">
        <f>IFERROR(VLOOKUP($E3021,'Fuel Category and Heat Rate'!$K$2:$M$36,3,FALSE),"")</f>
        <v>biomass</v>
      </c>
    </row>
    <row r="3022" spans="1:9" x14ac:dyDescent="0.15">
      <c r="A3022" s="2">
        <v>336292</v>
      </c>
      <c r="B3022" s="2" t="s">
        <v>83</v>
      </c>
      <c r="C3022" s="2">
        <v>2018</v>
      </c>
      <c r="D3022" s="2" t="s">
        <v>1</v>
      </c>
      <c r="E3022" s="2" t="s">
        <v>28</v>
      </c>
      <c r="F3022" s="2" t="s">
        <v>35</v>
      </c>
      <c r="G3022" s="7"/>
      <c r="H3022" s="13" t="str">
        <f>IFERROR(IF(ABS($G3022)&gt;0,VLOOKUP($E3022,'Fuel Category and Heat Rate'!$B$1:$G$34,6,FALSE)*($G3022),""),"")</f>
        <v/>
      </c>
      <c r="I3022" t="str">
        <f>IFERROR(VLOOKUP($E3022,'Fuel Category and Heat Rate'!$K$2:$M$36,3,FALSE),"")</f>
        <v>heavy or residual fuel oil</v>
      </c>
    </row>
    <row r="3023" spans="1:9" x14ac:dyDescent="0.15">
      <c r="A3023" s="2">
        <v>336327</v>
      </c>
      <c r="B3023" s="2" t="s">
        <v>83</v>
      </c>
      <c r="C3023" s="2">
        <v>2018</v>
      </c>
      <c r="D3023" s="2" t="s">
        <v>1</v>
      </c>
      <c r="E3023" s="2" t="s">
        <v>5</v>
      </c>
      <c r="F3023" s="2" t="s">
        <v>35</v>
      </c>
      <c r="G3023" s="7">
        <v>-49.17</v>
      </c>
      <c r="H3023" s="13">
        <f>IFERROR(IF(ABS($G3023)&gt;0,VLOOKUP($E3023,'Fuel Category and Heat Rate'!$B$1:$G$34,6,FALSE)*($G3023),""),"")</f>
        <v>-3897506563278.1431</v>
      </c>
      <c r="I3023" t="str">
        <f>IFERROR(VLOOKUP($E3023,'Fuel Category and Heat Rate'!$K$2:$M$36,3,FALSE),"")</f>
        <v>coal</v>
      </c>
    </row>
    <row r="3024" spans="1:9" x14ac:dyDescent="0.15">
      <c r="A3024" s="2">
        <v>336362</v>
      </c>
      <c r="B3024" s="2" t="s">
        <v>83</v>
      </c>
      <c r="C3024" s="2">
        <v>2018</v>
      </c>
      <c r="D3024" s="2" t="s">
        <v>1</v>
      </c>
      <c r="E3024" s="2" t="s">
        <v>16</v>
      </c>
      <c r="F3024" s="2" t="s">
        <v>35</v>
      </c>
      <c r="G3024" s="7"/>
      <c r="H3024" s="13" t="str">
        <f>IFERROR(IF(ABS($G3024)&gt;0,VLOOKUP($E3024,'Fuel Category and Heat Rate'!$B$1:$G$34,6,FALSE)*($G3024),""),"")</f>
        <v/>
      </c>
      <c r="I3024" t="str">
        <f>IFERROR(VLOOKUP($E3024,'Fuel Category and Heat Rate'!$K$2:$M$36,3,FALSE),"")</f>
        <v>petroleum diesel</v>
      </c>
    </row>
    <row r="3025" spans="1:9" x14ac:dyDescent="0.15">
      <c r="A3025" s="2">
        <v>336397</v>
      </c>
      <c r="B3025" s="2" t="s">
        <v>83</v>
      </c>
      <c r="C3025" s="2">
        <v>2018</v>
      </c>
      <c r="D3025" s="2" t="s">
        <v>1</v>
      </c>
      <c r="E3025" s="2" t="s">
        <v>19</v>
      </c>
      <c r="F3025" s="2" t="s">
        <v>35</v>
      </c>
      <c r="G3025" s="7"/>
      <c r="H3025" s="13" t="str">
        <f>IFERROR(IF(ABS($G3025)&gt;0,VLOOKUP($E3025,'Fuel Category and Heat Rate'!$B$1:$G$34,6,FALSE)*($G3025),""),"")</f>
        <v/>
      </c>
      <c r="I3025" t="str">
        <f>IFERROR(VLOOKUP($E3025,'Fuel Category and Heat Rate'!$K$2:$M$36,3,FALSE),"")</f>
        <v>heavy or residual fuel oil</v>
      </c>
    </row>
    <row r="3026" spans="1:9" x14ac:dyDescent="0.15">
      <c r="A3026" s="2">
        <v>336432</v>
      </c>
      <c r="B3026" s="2" t="s">
        <v>83</v>
      </c>
      <c r="C3026" s="2">
        <v>2018</v>
      </c>
      <c r="D3026" s="2" t="s">
        <v>1</v>
      </c>
      <c r="E3026" s="2" t="s">
        <v>31</v>
      </c>
      <c r="F3026" s="2" t="s">
        <v>37</v>
      </c>
      <c r="G3026" s="7">
        <v>8296.5400000000009</v>
      </c>
      <c r="H3026" s="13">
        <f>IFERROR(IF(ABS($G3026)&gt;0,VLOOKUP($E3026,'Fuel Category and Heat Rate'!$B$1:$G$34,6,FALSE)*($G3026),""),"")</f>
        <v>78636026708917.844</v>
      </c>
      <c r="I3026" t="str">
        <f>IFERROR(VLOOKUP($E3026,'Fuel Category and Heat Rate'!$K$2:$M$36,3,FALSE),"")</f>
        <v>heat</v>
      </c>
    </row>
    <row r="3027" spans="1:9" x14ac:dyDescent="0.15">
      <c r="A3027" s="2">
        <v>336467</v>
      </c>
      <c r="B3027" s="2" t="s">
        <v>83</v>
      </c>
      <c r="C3027" s="2">
        <v>2018</v>
      </c>
      <c r="D3027" s="2" t="s">
        <v>1</v>
      </c>
      <c r="E3027" s="2" t="s">
        <v>23</v>
      </c>
      <c r="F3027" s="2" t="s">
        <v>35</v>
      </c>
      <c r="G3027" s="7"/>
      <c r="H3027" s="13" t="str">
        <f>IFERROR(IF(ABS($G3027)&gt;0,VLOOKUP($E3027,'Fuel Category and Heat Rate'!$B$1:$G$34,6,FALSE)*($G3027),""),"")</f>
        <v/>
      </c>
      <c r="I3027" t="str">
        <f>IFERROR(VLOOKUP($E3027,'Fuel Category and Heat Rate'!$K$2:$M$36,3,FALSE),"")</f>
        <v>heavy or residual fuel oil</v>
      </c>
    </row>
    <row r="3028" spans="1:9" x14ac:dyDescent="0.15">
      <c r="A3028" s="2">
        <v>336502</v>
      </c>
      <c r="B3028" s="2" t="s">
        <v>83</v>
      </c>
      <c r="C3028" s="2">
        <v>2018</v>
      </c>
      <c r="D3028" s="2" t="s">
        <v>1</v>
      </c>
      <c r="E3028" s="2" t="s">
        <v>21</v>
      </c>
      <c r="F3028" s="2" t="s">
        <v>35</v>
      </c>
      <c r="G3028" s="7"/>
      <c r="H3028" s="13" t="str">
        <f>IFERROR(IF(ABS($G3028)&gt;0,VLOOKUP($E3028,'Fuel Category and Heat Rate'!$B$1:$G$34,6,FALSE)*($G3028),""),"")</f>
        <v/>
      </c>
      <c r="I3028" t="str">
        <f>IFERROR(VLOOKUP($E3028,'Fuel Category and Heat Rate'!$K$2:$M$36,3,FALSE),"")</f>
        <v>LPG propane or butane</v>
      </c>
    </row>
    <row r="3029" spans="1:9" x14ac:dyDescent="0.15">
      <c r="A3029" s="2">
        <v>336537</v>
      </c>
      <c r="B3029" s="2" t="s">
        <v>83</v>
      </c>
      <c r="C3029" s="2">
        <v>2018</v>
      </c>
      <c r="D3029" s="2" t="s">
        <v>1</v>
      </c>
      <c r="E3029" s="2" t="s">
        <v>22</v>
      </c>
      <c r="F3029" s="2" t="s">
        <v>35</v>
      </c>
      <c r="G3029" s="7"/>
      <c r="H3029" s="13" t="str">
        <f>IFERROR(IF(ABS($G3029)&gt;0,VLOOKUP($E3029,'Fuel Category and Heat Rate'!$B$1:$G$34,6,FALSE)*($G3029),""),"")</f>
        <v/>
      </c>
      <c r="I3029" t="str">
        <f>IFERROR(VLOOKUP($E3029,'Fuel Category and Heat Rate'!$K$2:$M$36,3,FALSE),"")</f>
        <v>heavy fuel oil</v>
      </c>
    </row>
    <row r="3030" spans="1:9" x14ac:dyDescent="0.15">
      <c r="A3030" s="2">
        <v>336572</v>
      </c>
      <c r="B3030" s="2" t="s">
        <v>83</v>
      </c>
      <c r="C3030" s="2">
        <v>2018</v>
      </c>
      <c r="D3030" s="2" t="s">
        <v>1</v>
      </c>
      <c r="E3030" s="2" t="s">
        <v>20</v>
      </c>
      <c r="F3030" s="2" t="s">
        <v>35</v>
      </c>
      <c r="G3030" s="7"/>
      <c r="H3030" s="13" t="str">
        <f>IFERROR(IF(ABS($G3030)&gt;0,VLOOKUP($E3030,'Fuel Category and Heat Rate'!$B$1:$G$34,6,FALSE)*($G3030),""),"")</f>
        <v/>
      </c>
      <c r="I3030" t="str">
        <f>IFERROR(VLOOKUP($E3030,'Fuel Category and Heat Rate'!$K$2:$M$36,3,FALSE),"")</f>
        <v>LPG propane or butane</v>
      </c>
    </row>
    <row r="3031" spans="1:9" x14ac:dyDescent="0.15">
      <c r="A3031" s="2">
        <v>336607</v>
      </c>
      <c r="B3031" s="2" t="s">
        <v>83</v>
      </c>
      <c r="C3031" s="2">
        <v>2018</v>
      </c>
      <c r="D3031" s="2" t="s">
        <v>1</v>
      </c>
      <c r="E3031" s="2" t="s">
        <v>25</v>
      </c>
      <c r="F3031" s="2" t="s">
        <v>35</v>
      </c>
      <c r="G3031" s="7"/>
      <c r="H3031" s="13" t="str">
        <f>IFERROR(IF(ABS($G3031)&gt;0,VLOOKUP($E3031,'Fuel Category and Heat Rate'!$B$1:$G$34,6,FALSE)*($G3031),""),"")</f>
        <v/>
      </c>
      <c r="I3031" t="str">
        <f>IFERROR(VLOOKUP($E3031,'Fuel Category and Heat Rate'!$K$2:$M$36,3,FALSE),"")</f>
        <v>heavy fuel oil</v>
      </c>
    </row>
    <row r="3032" spans="1:9" x14ac:dyDescent="0.15">
      <c r="A3032" s="2">
        <v>336642</v>
      </c>
      <c r="B3032" s="2" t="s">
        <v>83</v>
      </c>
      <c r="C3032" s="2">
        <v>2018</v>
      </c>
      <c r="D3032" s="2" t="s">
        <v>1</v>
      </c>
      <c r="E3032" s="2" t="s">
        <v>24</v>
      </c>
      <c r="F3032" s="2" t="s">
        <v>35</v>
      </c>
      <c r="G3032" s="7"/>
      <c r="H3032" s="13" t="str">
        <f>IFERROR(IF(ABS($G3032)&gt;0,VLOOKUP($E3032,'Fuel Category and Heat Rate'!$B$1:$G$34,6,FALSE)*($G3032),""),"")</f>
        <v/>
      </c>
      <c r="I3032" t="str">
        <f>IFERROR(VLOOKUP($E3032,'Fuel Category and Heat Rate'!$K$2:$M$36,3,FALSE),"")</f>
        <v>heavy fuel oil</v>
      </c>
    </row>
    <row r="3033" spans="1:9" x14ac:dyDescent="0.15">
      <c r="A3033" s="2">
        <v>336677</v>
      </c>
      <c r="B3033" s="2" t="s">
        <v>83</v>
      </c>
      <c r="C3033" s="2">
        <v>2018</v>
      </c>
      <c r="D3033" s="2" t="s">
        <v>1</v>
      </c>
      <c r="E3033" s="2" t="s">
        <v>29</v>
      </c>
      <c r="F3033" s="2" t="s">
        <v>36</v>
      </c>
      <c r="G3033" s="7">
        <v>-1.05</v>
      </c>
      <c r="H3033" s="13">
        <f>IFERROR(IF(ABS($G3033)&gt;0,VLOOKUP($E3033,'Fuel Category and Heat Rate'!$B$1:$G$34,6,FALSE)*($G3033),""),"")</f>
        <v>-3541397832162.1553</v>
      </c>
      <c r="I3033" t="str">
        <f>IFERROR(VLOOKUP($E3033,'Fuel Category and Heat Rate'!$K$2:$M$36,3,FALSE),"")</f>
        <v>natural gas</v>
      </c>
    </row>
    <row r="3034" spans="1:9" x14ac:dyDescent="0.15">
      <c r="A3034" s="2">
        <v>336712</v>
      </c>
      <c r="B3034" s="2" t="s">
        <v>83</v>
      </c>
      <c r="C3034" s="2">
        <v>2018</v>
      </c>
      <c r="D3034" s="2" t="s">
        <v>1</v>
      </c>
      <c r="E3034" s="2" t="s">
        <v>4</v>
      </c>
      <c r="F3034" s="2" t="s">
        <v>35</v>
      </c>
      <c r="G3034" s="7"/>
      <c r="H3034" s="13" t="str">
        <f>IFERROR(IF(ABS($G3034)&gt;0,VLOOKUP($E3034,'Fuel Category and Heat Rate'!$B$1:$G$34,6,FALSE)*($G3034),""),"")</f>
        <v/>
      </c>
      <c r="I3034" t="str">
        <f>IFERROR(VLOOKUP($E3034,'Fuel Category and Heat Rate'!$K$2:$M$36,3,FALSE),"")</f>
        <v>coal</v>
      </c>
    </row>
    <row r="3035" spans="1:9" x14ac:dyDescent="0.15">
      <c r="A3035" s="2">
        <v>336747</v>
      </c>
      <c r="B3035" s="2" t="s">
        <v>83</v>
      </c>
      <c r="C3035" s="2">
        <v>2018</v>
      </c>
      <c r="D3035" s="2" t="s">
        <v>1</v>
      </c>
      <c r="E3035" s="2" t="s">
        <v>6</v>
      </c>
      <c r="F3035" s="2" t="s">
        <v>35</v>
      </c>
      <c r="G3035" s="7">
        <v>-2.2400000000000002</v>
      </c>
      <c r="H3035" s="13">
        <f>IFERROR(IF(ABS($G3035)&gt;0,VLOOKUP($E3035,'Fuel Category and Heat Rate'!$B$1:$G$34,6,FALSE)*($G3035),""),"")</f>
        <v>-328508865194.19806</v>
      </c>
      <c r="I3035" t="str">
        <f>IFERROR(VLOOKUP($E3035,'Fuel Category and Heat Rate'!$K$2:$M$36,3,FALSE),"")</f>
        <v>coal</v>
      </c>
    </row>
    <row r="3036" spans="1:9" x14ac:dyDescent="0.15">
      <c r="A3036" s="2">
        <v>336782</v>
      </c>
      <c r="B3036" s="2" t="s">
        <v>83</v>
      </c>
      <c r="C3036" s="2">
        <v>2018</v>
      </c>
      <c r="D3036" s="2" t="s">
        <v>1</v>
      </c>
      <c r="E3036" s="2" t="s">
        <v>26</v>
      </c>
      <c r="F3036" s="2" t="s">
        <v>35</v>
      </c>
      <c r="G3036" s="7"/>
      <c r="H3036" s="13" t="str">
        <f>IFERROR(IF(ABS($G3036)&gt;0,VLOOKUP($E3036,'Fuel Category and Heat Rate'!$B$1:$G$34,6,FALSE)*($G3036),""),"")</f>
        <v/>
      </c>
      <c r="I3036" t="str">
        <f>IFERROR(VLOOKUP($E3036,'Fuel Category and Heat Rate'!$K$2:$M$36,3,FALSE),"")</f>
        <v>LPG propane or butane</v>
      </c>
    </row>
    <row r="3037" spans="1:9" x14ac:dyDescent="0.15">
      <c r="A3037" s="2">
        <v>336817</v>
      </c>
      <c r="B3037" s="2" t="s">
        <v>83</v>
      </c>
      <c r="C3037" s="2">
        <v>2018</v>
      </c>
      <c r="D3037" s="2" t="s">
        <v>1</v>
      </c>
      <c r="E3037" s="2" t="s">
        <v>30</v>
      </c>
      <c r="F3037" s="2" t="s">
        <v>35</v>
      </c>
      <c r="G3037" s="7"/>
      <c r="H3037" s="13" t="str">
        <f>IFERROR(IF(ABS($G3037)&gt;0,VLOOKUP($E3037,'Fuel Category and Heat Rate'!$B$1:$G$34,6,FALSE)*($G3037),""),"")</f>
        <v/>
      </c>
      <c r="I3037" t="str">
        <f>IFERROR(VLOOKUP($E3037,'Fuel Category and Heat Rate'!$K$2:$M$36,3,FALSE),"")</f>
        <v>natural gas</v>
      </c>
    </row>
    <row r="3038" spans="1:9" x14ac:dyDescent="0.15">
      <c r="A3038" s="2">
        <v>336852</v>
      </c>
      <c r="B3038" s="2" t="s">
        <v>83</v>
      </c>
      <c r="C3038" s="2">
        <v>2018</v>
      </c>
      <c r="D3038" s="2" t="s">
        <v>1</v>
      </c>
      <c r="E3038" s="2" t="s">
        <v>14</v>
      </c>
      <c r="F3038" s="2" t="s">
        <v>35</v>
      </c>
      <c r="G3038" s="7">
        <v>-0.03</v>
      </c>
      <c r="H3038" s="13">
        <f>IFERROR(IF(ABS($G3038)&gt;0,VLOOKUP($E3038,'Fuel Category and Heat Rate'!$B$1:$G$34,6,FALSE)*($G3038),""),"")</f>
        <v>0</v>
      </c>
      <c r="I3038" t="str">
        <f>IFERROR(VLOOKUP($E3038,'Fuel Category and Heat Rate'!$K$2:$M$36,3,FALSE),"")</f>
        <v/>
      </c>
    </row>
    <row r="3039" spans="1:9" x14ac:dyDescent="0.15">
      <c r="A3039" s="2">
        <v>336887</v>
      </c>
      <c r="B3039" s="2" t="s">
        <v>83</v>
      </c>
      <c r="C3039" s="2">
        <v>2018</v>
      </c>
      <c r="D3039" s="2" t="s">
        <v>1</v>
      </c>
      <c r="E3039" s="2" t="s">
        <v>3</v>
      </c>
      <c r="F3039" s="2" t="s">
        <v>35</v>
      </c>
      <c r="G3039" s="7">
        <v>-763.16</v>
      </c>
      <c r="H3039" s="13">
        <f>IFERROR(IF(ABS($G3039)&gt;0,VLOOKUP($E3039,'Fuel Category and Heat Rate'!$B$1:$G$34,6,FALSE)*($G3039),""),"")</f>
        <v>-151235114994149.34</v>
      </c>
      <c r="I3039" t="str">
        <f>IFERROR(VLOOKUP($E3039,'Fuel Category and Heat Rate'!$K$2:$M$36,3,FALSE),"")</f>
        <v>coal</v>
      </c>
    </row>
    <row r="3040" spans="1:9" x14ac:dyDescent="0.15">
      <c r="A3040" s="2">
        <v>336922</v>
      </c>
      <c r="B3040" s="2" t="s">
        <v>83</v>
      </c>
      <c r="C3040" s="2">
        <v>2018</v>
      </c>
      <c r="D3040" s="2" t="s">
        <v>1</v>
      </c>
      <c r="E3040" s="2" t="s">
        <v>15</v>
      </c>
      <c r="F3040" s="2" t="s">
        <v>35</v>
      </c>
      <c r="G3040" s="7"/>
      <c r="H3040" s="13" t="str">
        <f>IFERROR(IF(ABS($G3040)&gt;0,VLOOKUP($E3040,'Fuel Category and Heat Rate'!$B$1:$G$34,6,FALSE)*($G3040),""),"")</f>
        <v/>
      </c>
      <c r="I3040" t="str">
        <f>IFERROR(VLOOKUP($E3040,'Fuel Category and Heat Rate'!$K$2:$M$36,3,FALSE),"")</f>
        <v>crude oil</v>
      </c>
    </row>
    <row r="3041" spans="1:9" x14ac:dyDescent="0.15">
      <c r="A3041" s="2">
        <v>336957</v>
      </c>
      <c r="B3041" s="2" t="s">
        <v>83</v>
      </c>
      <c r="C3041" s="2">
        <v>2018</v>
      </c>
      <c r="D3041" s="2" t="s">
        <v>1</v>
      </c>
      <c r="E3041" s="2" t="s">
        <v>11</v>
      </c>
      <c r="F3041" s="2" t="s">
        <v>36</v>
      </c>
      <c r="G3041" s="7"/>
      <c r="H3041" s="13" t="str">
        <f>IFERROR(IF(ABS($G3041)&gt;0,VLOOKUP($E3041,'Fuel Category and Heat Rate'!$B$1:$G$34,6,FALSE)*($G3041),""),"")</f>
        <v/>
      </c>
      <c r="I3041" t="str">
        <f>IFERROR(VLOOKUP($E3041,'Fuel Category and Heat Rate'!$K$2:$M$36,3,FALSE),"")</f>
        <v>LPG propane or butane</v>
      </c>
    </row>
    <row r="3042" spans="1:9" x14ac:dyDescent="0.15">
      <c r="A3042" s="2">
        <v>349802</v>
      </c>
      <c r="B3042" s="2" t="s">
        <v>84</v>
      </c>
      <c r="C3042" s="2">
        <v>2022</v>
      </c>
      <c r="D3042" s="2" t="s">
        <v>1</v>
      </c>
      <c r="E3042" s="2" t="s">
        <v>18</v>
      </c>
      <c r="F3042" s="2" t="s">
        <v>35</v>
      </c>
      <c r="G3042" s="7"/>
      <c r="H3042" s="13" t="str">
        <f>IFERROR(IF(ABS($G3042)&gt;0,VLOOKUP($E3042,'Fuel Category and Heat Rate'!$B$1:$G$34,6,FALSE)*($G3042),""),"")</f>
        <v/>
      </c>
      <c r="I3042" t="str">
        <f>IFERROR(VLOOKUP($E3042,'Fuel Category and Heat Rate'!$K$2:$M$36,3,FALSE),"")</f>
        <v>petroleum diesel</v>
      </c>
    </row>
    <row r="3043" spans="1:9" x14ac:dyDescent="0.15">
      <c r="A3043" s="2">
        <v>349837</v>
      </c>
      <c r="B3043" s="2" t="s">
        <v>84</v>
      </c>
      <c r="C3043" s="2">
        <v>2022</v>
      </c>
      <c r="D3043" s="2" t="s">
        <v>1</v>
      </c>
      <c r="E3043" s="2" t="s">
        <v>32</v>
      </c>
      <c r="F3043" s="2" t="s">
        <v>65</v>
      </c>
      <c r="G3043" s="7"/>
      <c r="H3043" s="13" t="str">
        <f>IFERROR(IF(ABS($G3043)&gt;0,VLOOKUP($E3043,'Fuel Category and Heat Rate'!$B$1:$G$34,6,FALSE)*($G3043),""),"")</f>
        <v/>
      </c>
      <c r="I3043" t="str">
        <f>IFERROR(VLOOKUP($E3043,'Fuel Category and Heat Rate'!$K$2:$M$36,3,FALSE),"")</f>
        <v>electricity</v>
      </c>
    </row>
    <row r="3044" spans="1:9" x14ac:dyDescent="0.15">
      <c r="A3044" s="2">
        <v>349872</v>
      </c>
      <c r="B3044" s="2" t="s">
        <v>84</v>
      </c>
      <c r="C3044" s="2">
        <v>2022</v>
      </c>
      <c r="D3044" s="2" t="s">
        <v>1</v>
      </c>
      <c r="E3044" s="2" t="s">
        <v>10</v>
      </c>
      <c r="F3044" s="2" t="s">
        <v>36</v>
      </c>
      <c r="G3044" s="7">
        <v>-3.96</v>
      </c>
      <c r="H3044" s="13">
        <f>IFERROR(IF(ABS($G3044)&gt;0,VLOOKUP($E3044,'Fuel Category and Heat Rate'!$B$1:$G$34,6,FALSE)*($G3044),""),"")</f>
        <v>-1412387789708.0046</v>
      </c>
      <c r="I3044" t="str">
        <f>IFERROR(VLOOKUP($E3044,'Fuel Category and Heat Rate'!$K$2:$M$36,3,FALSE),"")</f>
        <v>LPG propane or butane</v>
      </c>
    </row>
    <row r="3045" spans="1:9" x14ac:dyDescent="0.15">
      <c r="A3045" s="2">
        <v>349907</v>
      </c>
      <c r="B3045" s="2" t="s">
        <v>84</v>
      </c>
      <c r="C3045" s="2">
        <v>2022</v>
      </c>
      <c r="D3045" s="2" t="s">
        <v>1</v>
      </c>
      <c r="E3045" s="2" t="s">
        <v>9</v>
      </c>
      <c r="F3045" s="2" t="s">
        <v>36</v>
      </c>
      <c r="G3045" s="7"/>
      <c r="H3045" s="13" t="str">
        <f>IFERROR(IF(ABS($G3045)&gt;0,VLOOKUP($E3045,'Fuel Category and Heat Rate'!$B$1:$G$34,6,FALSE)*($G3045),""),"")</f>
        <v/>
      </c>
      <c r="I3045" t="str">
        <f>IFERROR(VLOOKUP($E3045,'Fuel Category and Heat Rate'!$K$2:$M$36,3,FALSE),"")</f>
        <v>LPG propane or butane</v>
      </c>
    </row>
    <row r="3046" spans="1:9" x14ac:dyDescent="0.15">
      <c r="A3046" s="2">
        <v>349942</v>
      </c>
      <c r="B3046" s="2" t="s">
        <v>84</v>
      </c>
      <c r="C3046" s="2">
        <v>2022</v>
      </c>
      <c r="D3046" s="2" t="s">
        <v>1</v>
      </c>
      <c r="E3046" s="2" t="s">
        <v>8</v>
      </c>
      <c r="F3046" s="2" t="s">
        <v>35</v>
      </c>
      <c r="G3046" s="7"/>
      <c r="H3046" s="13" t="str">
        <f>IFERROR(IF(ABS($G3046)&gt;0,VLOOKUP($E3046,'Fuel Category and Heat Rate'!$B$1:$G$34,6,FALSE)*($G3046),""),"")</f>
        <v/>
      </c>
      <c r="I3046" t="str">
        <f>IFERROR(VLOOKUP($E3046,'Fuel Category and Heat Rate'!$K$2:$M$36,3,FALSE),"")</f>
        <v>coal</v>
      </c>
    </row>
    <row r="3047" spans="1:9" x14ac:dyDescent="0.15">
      <c r="A3047" s="2">
        <v>349977</v>
      </c>
      <c r="B3047" s="2" t="s">
        <v>84</v>
      </c>
      <c r="C3047" s="2">
        <v>2022</v>
      </c>
      <c r="D3047" s="2" t="s">
        <v>1</v>
      </c>
      <c r="E3047" s="2" t="s">
        <v>27</v>
      </c>
      <c r="F3047" s="2" t="s">
        <v>35</v>
      </c>
      <c r="G3047" s="7"/>
      <c r="H3047" s="13" t="str">
        <f>IFERROR(IF(ABS($G3047)&gt;0,VLOOKUP($E3047,'Fuel Category and Heat Rate'!$B$1:$G$34,6,FALSE)*($G3047),""),"")</f>
        <v/>
      </c>
      <c r="I3047" t="str">
        <f>IFERROR(VLOOKUP($E3047,'Fuel Category and Heat Rate'!$K$2:$M$36,3,FALSE),"")</f>
        <v>LPG propane or butane</v>
      </c>
    </row>
    <row r="3048" spans="1:9" x14ac:dyDescent="0.15">
      <c r="A3048" s="2">
        <v>350012</v>
      </c>
      <c r="B3048" s="2" t="s">
        <v>84</v>
      </c>
      <c r="C3048" s="2">
        <v>2022</v>
      </c>
      <c r="D3048" s="2" t="s">
        <v>1</v>
      </c>
      <c r="E3048" s="2" t="s">
        <v>7</v>
      </c>
      <c r="F3048" s="2" t="s">
        <v>35</v>
      </c>
      <c r="G3048" s="7"/>
      <c r="H3048" s="13" t="str">
        <f>IFERROR(IF(ABS($G3048)&gt;0,VLOOKUP($E3048,'Fuel Category and Heat Rate'!$B$1:$G$34,6,FALSE)*($G3048),""),"")</f>
        <v/>
      </c>
      <c r="I3048" t="str">
        <f>IFERROR(VLOOKUP($E3048,'Fuel Category and Heat Rate'!$K$2:$M$36,3,FALSE),"")</f>
        <v>coal</v>
      </c>
    </row>
    <row r="3049" spans="1:9" x14ac:dyDescent="0.15">
      <c r="A3049" s="2">
        <v>350047</v>
      </c>
      <c r="B3049" s="2" t="s">
        <v>84</v>
      </c>
      <c r="C3049" s="2">
        <v>2022</v>
      </c>
      <c r="D3049" s="2" t="s">
        <v>1</v>
      </c>
      <c r="E3049" s="2" t="s">
        <v>2</v>
      </c>
      <c r="F3049" s="2" t="s">
        <v>35</v>
      </c>
      <c r="G3049" s="7">
        <v>-266.68</v>
      </c>
      <c r="H3049" s="13">
        <f>IFERROR(IF(ABS($G3049)&gt;0,VLOOKUP($E3049,'Fuel Category and Heat Rate'!$B$1:$G$34,6,FALSE)*($G3049),""),"")</f>
        <v>0</v>
      </c>
      <c r="I3049" t="str">
        <f>IFERROR(VLOOKUP($E3049,'Fuel Category and Heat Rate'!$K$2:$M$36,3,FALSE),"")</f>
        <v/>
      </c>
    </row>
    <row r="3050" spans="1:9" x14ac:dyDescent="0.15">
      <c r="A3050" s="2">
        <v>350082</v>
      </c>
      <c r="B3050" s="2" t="s">
        <v>84</v>
      </c>
      <c r="C3050" s="2">
        <v>2022</v>
      </c>
      <c r="D3050" s="2" t="s">
        <v>1</v>
      </c>
      <c r="E3050" s="2" t="s">
        <v>17</v>
      </c>
      <c r="F3050" s="2" t="s">
        <v>35</v>
      </c>
      <c r="G3050" s="7"/>
      <c r="H3050" s="13" t="str">
        <f>IFERROR(IF(ABS($G3050)&gt;0,VLOOKUP($E3050,'Fuel Category and Heat Rate'!$B$1:$G$34,6,FALSE)*($G3050),""),"")</f>
        <v/>
      </c>
      <c r="I3050" t="str">
        <f>IFERROR(VLOOKUP($E3050,'Fuel Category and Heat Rate'!$K$2:$M$36,3,FALSE),"")</f>
        <v>petroleum diesel</v>
      </c>
    </row>
    <row r="3051" spans="1:9" x14ac:dyDescent="0.15">
      <c r="A3051" s="2">
        <v>350117</v>
      </c>
      <c r="B3051" s="2" t="s">
        <v>84</v>
      </c>
      <c r="C3051" s="2">
        <v>2022</v>
      </c>
      <c r="D3051" s="2" t="s">
        <v>1</v>
      </c>
      <c r="E3051" s="2" t="s">
        <v>13</v>
      </c>
      <c r="F3051" s="2" t="s">
        <v>35</v>
      </c>
      <c r="G3051" s="7"/>
      <c r="H3051" s="13" t="str">
        <f>IFERROR(IF(ABS($G3051)&gt;0,VLOOKUP($E3051,'Fuel Category and Heat Rate'!$B$1:$G$34,6,FALSE)*($G3051),""),"")</f>
        <v/>
      </c>
      <c r="I3051" t="str">
        <f>IFERROR(VLOOKUP($E3051,'Fuel Category and Heat Rate'!$K$2:$M$36,3,FALSE),"")</f>
        <v>petroleum diesel</v>
      </c>
    </row>
    <row r="3052" spans="1:9" x14ac:dyDescent="0.15">
      <c r="A3052" s="2">
        <v>350152</v>
      </c>
      <c r="B3052" s="2" t="s">
        <v>84</v>
      </c>
      <c r="C3052" s="2">
        <v>2022</v>
      </c>
      <c r="D3052" s="2" t="s">
        <v>1</v>
      </c>
      <c r="E3052" s="2" t="s">
        <v>12</v>
      </c>
      <c r="F3052" s="2" t="s">
        <v>36</v>
      </c>
      <c r="G3052" s="7"/>
      <c r="H3052" s="13" t="str">
        <f>IFERROR(IF(ABS($G3052)&gt;0,VLOOKUP($E3052,'Fuel Category and Heat Rate'!$B$1:$G$34,6,FALSE)*($G3052),""),"")</f>
        <v/>
      </c>
      <c r="I3052" t="str">
        <f>IFERROR(VLOOKUP($E3052,'Fuel Category and Heat Rate'!$K$2:$M$36,3,FALSE),"")</f>
        <v>LPG propane or butane</v>
      </c>
    </row>
    <row r="3053" spans="1:9" x14ac:dyDescent="0.15">
      <c r="A3053" s="2">
        <v>350187</v>
      </c>
      <c r="B3053" s="2" t="s">
        <v>84</v>
      </c>
      <c r="C3053" s="2">
        <v>2022</v>
      </c>
      <c r="D3053" s="2" t="s">
        <v>1</v>
      </c>
      <c r="E3053" s="2" t="s">
        <v>33</v>
      </c>
      <c r="F3053" s="2" t="s">
        <v>38</v>
      </c>
      <c r="G3053" s="7"/>
      <c r="H3053" s="13" t="str">
        <f>IFERROR(IF(ABS($G3053)&gt;0,VLOOKUP($E3053,'Fuel Category and Heat Rate'!$B$1:$G$34,6,FALSE)*($G3053),""),"")</f>
        <v/>
      </c>
      <c r="I3053" t="str">
        <f>IFERROR(VLOOKUP($E3053,'Fuel Category and Heat Rate'!$K$2:$M$36,3,FALSE),"")</f>
        <v>biomass</v>
      </c>
    </row>
    <row r="3054" spans="1:9" x14ac:dyDescent="0.15">
      <c r="A3054" s="2">
        <v>350222</v>
      </c>
      <c r="B3054" s="2" t="s">
        <v>84</v>
      </c>
      <c r="C3054" s="2">
        <v>2022</v>
      </c>
      <c r="D3054" s="2" t="s">
        <v>1</v>
      </c>
      <c r="E3054" s="2" t="s">
        <v>28</v>
      </c>
      <c r="F3054" s="2" t="s">
        <v>35</v>
      </c>
      <c r="G3054" s="7"/>
      <c r="H3054" s="13" t="str">
        <f>IFERROR(IF(ABS($G3054)&gt;0,VLOOKUP($E3054,'Fuel Category and Heat Rate'!$B$1:$G$34,6,FALSE)*($G3054),""),"")</f>
        <v/>
      </c>
      <c r="I3054" t="str">
        <f>IFERROR(VLOOKUP($E3054,'Fuel Category and Heat Rate'!$K$2:$M$36,3,FALSE),"")</f>
        <v>heavy or residual fuel oil</v>
      </c>
    </row>
    <row r="3055" spans="1:9" x14ac:dyDescent="0.15">
      <c r="A3055" s="2">
        <v>350257</v>
      </c>
      <c r="B3055" s="2" t="s">
        <v>84</v>
      </c>
      <c r="C3055" s="2">
        <v>2022</v>
      </c>
      <c r="D3055" s="2" t="s">
        <v>1</v>
      </c>
      <c r="E3055" s="2" t="s">
        <v>5</v>
      </c>
      <c r="F3055" s="2" t="s">
        <v>35</v>
      </c>
      <c r="G3055" s="7">
        <v>-1.34</v>
      </c>
      <c r="H3055" s="13">
        <f>IFERROR(IF(ABS($G3055)&gt;0,VLOOKUP($E3055,'Fuel Category and Heat Rate'!$B$1:$G$34,6,FALSE)*($G3055),""),"")</f>
        <v>-106216367597.98071</v>
      </c>
      <c r="I3055" t="str">
        <f>IFERROR(VLOOKUP($E3055,'Fuel Category and Heat Rate'!$K$2:$M$36,3,FALSE),"")</f>
        <v>coal</v>
      </c>
    </row>
    <row r="3056" spans="1:9" x14ac:dyDescent="0.15">
      <c r="A3056" s="2">
        <v>350292</v>
      </c>
      <c r="B3056" s="2" t="s">
        <v>84</v>
      </c>
      <c r="C3056" s="2">
        <v>2022</v>
      </c>
      <c r="D3056" s="2" t="s">
        <v>1</v>
      </c>
      <c r="E3056" s="2" t="s">
        <v>16</v>
      </c>
      <c r="F3056" s="2" t="s">
        <v>35</v>
      </c>
      <c r="G3056" s="7"/>
      <c r="H3056" s="13" t="str">
        <f>IFERROR(IF(ABS($G3056)&gt;0,VLOOKUP($E3056,'Fuel Category and Heat Rate'!$B$1:$G$34,6,FALSE)*($G3056),""),"")</f>
        <v/>
      </c>
      <c r="I3056" t="str">
        <f>IFERROR(VLOOKUP($E3056,'Fuel Category and Heat Rate'!$K$2:$M$36,3,FALSE),"")</f>
        <v>petroleum diesel</v>
      </c>
    </row>
    <row r="3057" spans="1:9" x14ac:dyDescent="0.15">
      <c r="A3057" s="2">
        <v>350327</v>
      </c>
      <c r="B3057" s="2" t="s">
        <v>84</v>
      </c>
      <c r="C3057" s="2">
        <v>2022</v>
      </c>
      <c r="D3057" s="2" t="s">
        <v>1</v>
      </c>
      <c r="E3057" s="2" t="s">
        <v>19</v>
      </c>
      <c r="F3057" s="2" t="s">
        <v>35</v>
      </c>
      <c r="G3057" s="7"/>
      <c r="H3057" s="13" t="str">
        <f>IFERROR(IF(ABS($G3057)&gt;0,VLOOKUP($E3057,'Fuel Category and Heat Rate'!$B$1:$G$34,6,FALSE)*($G3057),""),"")</f>
        <v/>
      </c>
      <c r="I3057" t="str">
        <f>IFERROR(VLOOKUP($E3057,'Fuel Category and Heat Rate'!$K$2:$M$36,3,FALSE),"")</f>
        <v>heavy or residual fuel oil</v>
      </c>
    </row>
    <row r="3058" spans="1:9" x14ac:dyDescent="0.15">
      <c r="A3058" s="2">
        <v>350362</v>
      </c>
      <c r="B3058" s="2" t="s">
        <v>84</v>
      </c>
      <c r="C3058" s="2">
        <v>2022</v>
      </c>
      <c r="D3058" s="2" t="s">
        <v>1</v>
      </c>
      <c r="E3058" s="2" t="s">
        <v>31</v>
      </c>
      <c r="F3058" s="2" t="s">
        <v>37</v>
      </c>
      <c r="G3058" s="7">
        <v>4224.13</v>
      </c>
      <c r="H3058" s="13">
        <f>IFERROR(IF(ABS($G3058)&gt;0,VLOOKUP($E3058,'Fuel Category and Heat Rate'!$B$1:$G$34,6,FALSE)*($G3058),""),"")</f>
        <v>40037027423714.109</v>
      </c>
      <c r="I3058" t="str">
        <f>IFERROR(VLOOKUP($E3058,'Fuel Category and Heat Rate'!$K$2:$M$36,3,FALSE),"")</f>
        <v>heat</v>
      </c>
    </row>
    <row r="3059" spans="1:9" x14ac:dyDescent="0.15">
      <c r="A3059" s="2">
        <v>350397</v>
      </c>
      <c r="B3059" s="2" t="s">
        <v>84</v>
      </c>
      <c r="C3059" s="2">
        <v>2022</v>
      </c>
      <c r="D3059" s="2" t="s">
        <v>1</v>
      </c>
      <c r="E3059" s="2" t="s">
        <v>23</v>
      </c>
      <c r="F3059" s="2" t="s">
        <v>35</v>
      </c>
      <c r="G3059" s="7"/>
      <c r="H3059" s="13" t="str">
        <f>IFERROR(IF(ABS($G3059)&gt;0,VLOOKUP($E3059,'Fuel Category and Heat Rate'!$B$1:$G$34,6,FALSE)*($G3059),""),"")</f>
        <v/>
      </c>
      <c r="I3059" t="str">
        <f>IFERROR(VLOOKUP($E3059,'Fuel Category and Heat Rate'!$K$2:$M$36,3,FALSE),"")</f>
        <v>heavy or residual fuel oil</v>
      </c>
    </row>
    <row r="3060" spans="1:9" x14ac:dyDescent="0.15">
      <c r="A3060" s="2">
        <v>350432</v>
      </c>
      <c r="B3060" s="2" t="s">
        <v>84</v>
      </c>
      <c r="C3060" s="2">
        <v>2022</v>
      </c>
      <c r="D3060" s="2" t="s">
        <v>1</v>
      </c>
      <c r="E3060" s="2" t="s">
        <v>21</v>
      </c>
      <c r="F3060" s="2" t="s">
        <v>35</v>
      </c>
      <c r="G3060" s="7"/>
      <c r="H3060" s="13" t="str">
        <f>IFERROR(IF(ABS($G3060)&gt;0,VLOOKUP($E3060,'Fuel Category and Heat Rate'!$B$1:$G$34,6,FALSE)*($G3060),""),"")</f>
        <v/>
      </c>
      <c r="I3060" t="str">
        <f>IFERROR(VLOOKUP($E3060,'Fuel Category and Heat Rate'!$K$2:$M$36,3,FALSE),"")</f>
        <v>LPG propane or butane</v>
      </c>
    </row>
    <row r="3061" spans="1:9" x14ac:dyDescent="0.15">
      <c r="A3061" s="2">
        <v>350467</v>
      </c>
      <c r="B3061" s="2" t="s">
        <v>84</v>
      </c>
      <c r="C3061" s="2">
        <v>2022</v>
      </c>
      <c r="D3061" s="2" t="s">
        <v>1</v>
      </c>
      <c r="E3061" s="2" t="s">
        <v>22</v>
      </c>
      <c r="F3061" s="2" t="s">
        <v>35</v>
      </c>
      <c r="G3061" s="7"/>
      <c r="H3061" s="13" t="str">
        <f>IFERROR(IF(ABS($G3061)&gt;0,VLOOKUP($E3061,'Fuel Category and Heat Rate'!$B$1:$G$34,6,FALSE)*($G3061),""),"")</f>
        <v/>
      </c>
      <c r="I3061" t="str">
        <f>IFERROR(VLOOKUP($E3061,'Fuel Category and Heat Rate'!$K$2:$M$36,3,FALSE),"")</f>
        <v>heavy fuel oil</v>
      </c>
    </row>
    <row r="3062" spans="1:9" x14ac:dyDescent="0.15">
      <c r="A3062" s="2">
        <v>350502</v>
      </c>
      <c r="B3062" s="2" t="s">
        <v>84</v>
      </c>
      <c r="C3062" s="2">
        <v>2022</v>
      </c>
      <c r="D3062" s="2" t="s">
        <v>1</v>
      </c>
      <c r="E3062" s="2" t="s">
        <v>20</v>
      </c>
      <c r="F3062" s="2" t="s">
        <v>35</v>
      </c>
      <c r="G3062" s="7"/>
      <c r="H3062" s="13" t="str">
        <f>IFERROR(IF(ABS($G3062)&gt;0,VLOOKUP($E3062,'Fuel Category and Heat Rate'!$B$1:$G$34,6,FALSE)*($G3062),""),"")</f>
        <v/>
      </c>
      <c r="I3062" t="str">
        <f>IFERROR(VLOOKUP($E3062,'Fuel Category and Heat Rate'!$K$2:$M$36,3,FALSE),"")</f>
        <v>LPG propane or butane</v>
      </c>
    </row>
    <row r="3063" spans="1:9" x14ac:dyDescent="0.15">
      <c r="A3063" s="2">
        <v>350537</v>
      </c>
      <c r="B3063" s="2" t="s">
        <v>84</v>
      </c>
      <c r="C3063" s="2">
        <v>2022</v>
      </c>
      <c r="D3063" s="2" t="s">
        <v>1</v>
      </c>
      <c r="E3063" s="2" t="s">
        <v>25</v>
      </c>
      <c r="F3063" s="2" t="s">
        <v>35</v>
      </c>
      <c r="G3063" s="7"/>
      <c r="H3063" s="13" t="str">
        <f>IFERROR(IF(ABS($G3063)&gt;0,VLOOKUP($E3063,'Fuel Category and Heat Rate'!$B$1:$G$34,6,FALSE)*($G3063),""),"")</f>
        <v/>
      </c>
      <c r="I3063" t="str">
        <f>IFERROR(VLOOKUP($E3063,'Fuel Category and Heat Rate'!$K$2:$M$36,3,FALSE),"")</f>
        <v>heavy fuel oil</v>
      </c>
    </row>
    <row r="3064" spans="1:9" x14ac:dyDescent="0.15">
      <c r="A3064" s="2">
        <v>350572</v>
      </c>
      <c r="B3064" s="2" t="s">
        <v>84</v>
      </c>
      <c r="C3064" s="2">
        <v>2022</v>
      </c>
      <c r="D3064" s="2" t="s">
        <v>1</v>
      </c>
      <c r="E3064" s="2" t="s">
        <v>24</v>
      </c>
      <c r="F3064" s="2" t="s">
        <v>35</v>
      </c>
      <c r="G3064" s="7"/>
      <c r="H3064" s="13" t="str">
        <f>IFERROR(IF(ABS($G3064)&gt;0,VLOOKUP($E3064,'Fuel Category and Heat Rate'!$B$1:$G$34,6,FALSE)*($G3064),""),"")</f>
        <v/>
      </c>
      <c r="I3064" t="str">
        <f>IFERROR(VLOOKUP($E3064,'Fuel Category and Heat Rate'!$K$2:$M$36,3,FALSE),"")</f>
        <v>heavy fuel oil</v>
      </c>
    </row>
    <row r="3065" spans="1:9" x14ac:dyDescent="0.15">
      <c r="A3065" s="2">
        <v>350607</v>
      </c>
      <c r="B3065" s="2" t="s">
        <v>84</v>
      </c>
      <c r="C3065" s="2">
        <v>2022</v>
      </c>
      <c r="D3065" s="2" t="s">
        <v>1</v>
      </c>
      <c r="E3065" s="2" t="s">
        <v>29</v>
      </c>
      <c r="F3065" s="2" t="s">
        <v>36</v>
      </c>
      <c r="G3065" s="7">
        <v>-0.27</v>
      </c>
      <c r="H3065" s="13">
        <f>IFERROR(IF(ABS($G3065)&gt;0,VLOOKUP($E3065,'Fuel Category and Heat Rate'!$B$1:$G$34,6,FALSE)*($G3065),""),"")</f>
        <v>-910645156841.69714</v>
      </c>
      <c r="I3065" t="str">
        <f>IFERROR(VLOOKUP($E3065,'Fuel Category and Heat Rate'!$K$2:$M$36,3,FALSE),"")</f>
        <v>natural gas</v>
      </c>
    </row>
    <row r="3066" spans="1:9" x14ac:dyDescent="0.15">
      <c r="A3066" s="2">
        <v>350642</v>
      </c>
      <c r="B3066" s="2" t="s">
        <v>84</v>
      </c>
      <c r="C3066" s="2">
        <v>2022</v>
      </c>
      <c r="D3066" s="2" t="s">
        <v>1</v>
      </c>
      <c r="E3066" s="2" t="s">
        <v>4</v>
      </c>
      <c r="F3066" s="2" t="s">
        <v>35</v>
      </c>
      <c r="G3066" s="7"/>
      <c r="H3066" s="13" t="str">
        <f>IFERROR(IF(ABS($G3066)&gt;0,VLOOKUP($E3066,'Fuel Category and Heat Rate'!$B$1:$G$34,6,FALSE)*($G3066),""),"")</f>
        <v/>
      </c>
      <c r="I3066" t="str">
        <f>IFERROR(VLOOKUP($E3066,'Fuel Category and Heat Rate'!$K$2:$M$36,3,FALSE),"")</f>
        <v>coal</v>
      </c>
    </row>
    <row r="3067" spans="1:9" x14ac:dyDescent="0.15">
      <c r="A3067" s="2">
        <v>350677</v>
      </c>
      <c r="B3067" s="2" t="s">
        <v>84</v>
      </c>
      <c r="C3067" s="2">
        <v>2022</v>
      </c>
      <c r="D3067" s="2" t="s">
        <v>1</v>
      </c>
      <c r="E3067" s="2" t="s">
        <v>6</v>
      </c>
      <c r="F3067" s="2" t="s">
        <v>35</v>
      </c>
      <c r="G3067" s="7"/>
      <c r="H3067" s="13" t="str">
        <f>IFERROR(IF(ABS($G3067)&gt;0,VLOOKUP($E3067,'Fuel Category and Heat Rate'!$B$1:$G$34,6,FALSE)*($G3067),""),"")</f>
        <v/>
      </c>
      <c r="I3067" t="str">
        <f>IFERROR(VLOOKUP($E3067,'Fuel Category and Heat Rate'!$K$2:$M$36,3,FALSE),"")</f>
        <v>coal</v>
      </c>
    </row>
    <row r="3068" spans="1:9" x14ac:dyDescent="0.15">
      <c r="A3068" s="2">
        <v>350712</v>
      </c>
      <c r="B3068" s="2" t="s">
        <v>84</v>
      </c>
      <c r="C3068" s="2">
        <v>2022</v>
      </c>
      <c r="D3068" s="2" t="s">
        <v>1</v>
      </c>
      <c r="E3068" s="2" t="s">
        <v>26</v>
      </c>
      <c r="F3068" s="2" t="s">
        <v>35</v>
      </c>
      <c r="G3068" s="7"/>
      <c r="H3068" s="13" t="str">
        <f>IFERROR(IF(ABS($G3068)&gt;0,VLOOKUP($E3068,'Fuel Category and Heat Rate'!$B$1:$G$34,6,FALSE)*($G3068),""),"")</f>
        <v/>
      </c>
      <c r="I3068" t="str">
        <f>IFERROR(VLOOKUP($E3068,'Fuel Category and Heat Rate'!$K$2:$M$36,3,FALSE),"")</f>
        <v>LPG propane or butane</v>
      </c>
    </row>
    <row r="3069" spans="1:9" x14ac:dyDescent="0.15">
      <c r="A3069" s="2">
        <v>350747</v>
      </c>
      <c r="B3069" s="2" t="s">
        <v>84</v>
      </c>
      <c r="C3069" s="2">
        <v>2022</v>
      </c>
      <c r="D3069" s="2" t="s">
        <v>1</v>
      </c>
      <c r="E3069" s="2" t="s">
        <v>30</v>
      </c>
      <c r="F3069" s="2" t="s">
        <v>35</v>
      </c>
      <c r="G3069" s="7"/>
      <c r="H3069" s="13" t="str">
        <f>IFERROR(IF(ABS($G3069)&gt;0,VLOOKUP($E3069,'Fuel Category and Heat Rate'!$B$1:$G$34,6,FALSE)*($G3069),""),"")</f>
        <v/>
      </c>
      <c r="I3069" t="str">
        <f>IFERROR(VLOOKUP($E3069,'Fuel Category and Heat Rate'!$K$2:$M$36,3,FALSE),"")</f>
        <v>natural gas</v>
      </c>
    </row>
    <row r="3070" spans="1:9" x14ac:dyDescent="0.15">
      <c r="A3070" s="2">
        <v>350782</v>
      </c>
      <c r="B3070" s="2" t="s">
        <v>84</v>
      </c>
      <c r="C3070" s="2">
        <v>2022</v>
      </c>
      <c r="D3070" s="2" t="s">
        <v>1</v>
      </c>
      <c r="E3070" s="2" t="s">
        <v>14</v>
      </c>
      <c r="F3070" s="2" t="s">
        <v>35</v>
      </c>
      <c r="G3070" s="7"/>
      <c r="H3070" s="13" t="str">
        <f>IFERROR(IF(ABS($G3070)&gt;0,VLOOKUP($E3070,'Fuel Category and Heat Rate'!$B$1:$G$34,6,FALSE)*($G3070),""),"")</f>
        <v/>
      </c>
      <c r="I3070" t="str">
        <f>IFERROR(VLOOKUP($E3070,'Fuel Category and Heat Rate'!$K$2:$M$36,3,FALSE),"")</f>
        <v/>
      </c>
    </row>
    <row r="3071" spans="1:9" x14ac:dyDescent="0.15">
      <c r="A3071" s="2">
        <v>350817</v>
      </c>
      <c r="B3071" s="2" t="s">
        <v>84</v>
      </c>
      <c r="C3071" s="2">
        <v>2022</v>
      </c>
      <c r="D3071" s="2" t="s">
        <v>1</v>
      </c>
      <c r="E3071" s="2" t="s">
        <v>3</v>
      </c>
      <c r="F3071" s="2" t="s">
        <v>35</v>
      </c>
      <c r="G3071" s="7">
        <v>-265.33999999999997</v>
      </c>
      <c r="H3071" s="13">
        <f>IFERROR(IF(ABS($G3071)&gt;0,VLOOKUP($E3071,'Fuel Category and Heat Rate'!$B$1:$G$34,6,FALSE)*($G3071),""),"")</f>
        <v>-52582322727275.523</v>
      </c>
      <c r="I3071" t="str">
        <f>IFERROR(VLOOKUP($E3071,'Fuel Category and Heat Rate'!$K$2:$M$36,3,FALSE),"")</f>
        <v>coal</v>
      </c>
    </row>
    <row r="3072" spans="1:9" x14ac:dyDescent="0.15">
      <c r="A3072" s="2">
        <v>350852</v>
      </c>
      <c r="B3072" s="2" t="s">
        <v>84</v>
      </c>
      <c r="C3072" s="2">
        <v>2022</v>
      </c>
      <c r="D3072" s="2" t="s">
        <v>1</v>
      </c>
      <c r="E3072" s="2" t="s">
        <v>15</v>
      </c>
      <c r="F3072" s="2" t="s">
        <v>35</v>
      </c>
      <c r="G3072" s="7"/>
      <c r="H3072" s="13" t="str">
        <f>IFERROR(IF(ABS($G3072)&gt;0,VLOOKUP($E3072,'Fuel Category and Heat Rate'!$B$1:$G$34,6,FALSE)*($G3072),""),"")</f>
        <v/>
      </c>
      <c r="I3072" t="str">
        <f>IFERROR(VLOOKUP($E3072,'Fuel Category and Heat Rate'!$K$2:$M$36,3,FALSE),"")</f>
        <v>crude oil</v>
      </c>
    </row>
    <row r="3073" spans="1:9" x14ac:dyDescent="0.15">
      <c r="A3073" s="2">
        <v>350887</v>
      </c>
      <c r="B3073" s="2" t="s">
        <v>84</v>
      </c>
      <c r="C3073" s="2">
        <v>2022</v>
      </c>
      <c r="D3073" s="2" t="s">
        <v>1</v>
      </c>
      <c r="E3073" s="2" t="s">
        <v>11</v>
      </c>
      <c r="F3073" s="2" t="s">
        <v>36</v>
      </c>
      <c r="G3073" s="7"/>
      <c r="H3073" s="13" t="str">
        <f>IFERROR(IF(ABS($G3073)&gt;0,VLOOKUP($E3073,'Fuel Category and Heat Rate'!$B$1:$G$34,6,FALSE)*($G3073),""),"")</f>
        <v/>
      </c>
      <c r="I3073" t="str">
        <f>IFERROR(VLOOKUP($E3073,'Fuel Category and Heat Rate'!$K$2:$M$36,3,FALSE),"")</f>
        <v>LPG propane or butane</v>
      </c>
    </row>
    <row r="3074" spans="1:9" x14ac:dyDescent="0.15">
      <c r="A3074" s="2">
        <v>350922</v>
      </c>
      <c r="B3074" s="2" t="s">
        <v>84</v>
      </c>
      <c r="C3074" s="2">
        <v>2021</v>
      </c>
      <c r="D3074" s="2" t="s">
        <v>1</v>
      </c>
      <c r="E3074" s="2" t="s">
        <v>18</v>
      </c>
      <c r="F3074" s="2" t="s">
        <v>35</v>
      </c>
      <c r="G3074" s="7"/>
      <c r="H3074" s="13" t="str">
        <f>IFERROR(IF(ABS($G3074)&gt;0,VLOOKUP($E3074,'Fuel Category and Heat Rate'!$B$1:$G$34,6,FALSE)*($G3074),""),"")</f>
        <v/>
      </c>
      <c r="I3074" t="str">
        <f>IFERROR(VLOOKUP($E3074,'Fuel Category and Heat Rate'!$K$2:$M$36,3,FALSE),"")</f>
        <v>petroleum diesel</v>
      </c>
    </row>
    <row r="3075" spans="1:9" x14ac:dyDescent="0.15">
      <c r="A3075" s="2">
        <v>350957</v>
      </c>
      <c r="B3075" s="2" t="s">
        <v>84</v>
      </c>
      <c r="C3075" s="2">
        <v>2021</v>
      </c>
      <c r="D3075" s="2" t="s">
        <v>1</v>
      </c>
      <c r="E3075" s="2" t="s">
        <v>32</v>
      </c>
      <c r="F3075" s="2" t="s">
        <v>65</v>
      </c>
      <c r="G3075" s="7"/>
      <c r="H3075" s="13" t="str">
        <f>IFERROR(IF(ABS($G3075)&gt;0,VLOOKUP($E3075,'Fuel Category and Heat Rate'!$B$1:$G$34,6,FALSE)*($G3075),""),"")</f>
        <v/>
      </c>
      <c r="I3075" t="str">
        <f>IFERROR(VLOOKUP($E3075,'Fuel Category and Heat Rate'!$K$2:$M$36,3,FALSE),"")</f>
        <v>electricity</v>
      </c>
    </row>
    <row r="3076" spans="1:9" x14ac:dyDescent="0.15">
      <c r="A3076" s="2">
        <v>350992</v>
      </c>
      <c r="B3076" s="2" t="s">
        <v>84</v>
      </c>
      <c r="C3076" s="2">
        <v>2021</v>
      </c>
      <c r="D3076" s="2" t="s">
        <v>1</v>
      </c>
      <c r="E3076" s="2" t="s">
        <v>10</v>
      </c>
      <c r="F3076" s="2" t="s">
        <v>36</v>
      </c>
      <c r="G3076" s="7">
        <v>-4.63</v>
      </c>
      <c r="H3076" s="13">
        <f>IFERROR(IF(ABS($G3076)&gt;0,VLOOKUP($E3076,'Fuel Category and Heat Rate'!$B$1:$G$34,6,FALSE)*($G3076),""),"")</f>
        <v>-1651352390491.9346</v>
      </c>
      <c r="I3076" t="str">
        <f>IFERROR(VLOOKUP($E3076,'Fuel Category and Heat Rate'!$K$2:$M$36,3,FALSE),"")</f>
        <v>LPG propane or butane</v>
      </c>
    </row>
    <row r="3077" spans="1:9" x14ac:dyDescent="0.15">
      <c r="A3077" s="2">
        <v>351027</v>
      </c>
      <c r="B3077" s="2" t="s">
        <v>84</v>
      </c>
      <c r="C3077" s="2">
        <v>2021</v>
      </c>
      <c r="D3077" s="2" t="s">
        <v>1</v>
      </c>
      <c r="E3077" s="2" t="s">
        <v>9</v>
      </c>
      <c r="F3077" s="2" t="s">
        <v>36</v>
      </c>
      <c r="G3077" s="7"/>
      <c r="H3077" s="13" t="str">
        <f>IFERROR(IF(ABS($G3077)&gt;0,VLOOKUP($E3077,'Fuel Category and Heat Rate'!$B$1:$G$34,6,FALSE)*($G3077),""),"")</f>
        <v/>
      </c>
      <c r="I3077" t="str">
        <f>IFERROR(VLOOKUP($E3077,'Fuel Category and Heat Rate'!$K$2:$M$36,3,FALSE),"")</f>
        <v>LPG propane or butane</v>
      </c>
    </row>
    <row r="3078" spans="1:9" x14ac:dyDescent="0.15">
      <c r="A3078" s="2">
        <v>351062</v>
      </c>
      <c r="B3078" s="2" t="s">
        <v>84</v>
      </c>
      <c r="C3078" s="2">
        <v>2021</v>
      </c>
      <c r="D3078" s="2" t="s">
        <v>1</v>
      </c>
      <c r="E3078" s="2" t="s">
        <v>8</v>
      </c>
      <c r="F3078" s="2" t="s">
        <v>35</v>
      </c>
      <c r="G3078" s="7"/>
      <c r="H3078" s="13" t="str">
        <f>IFERROR(IF(ABS($G3078)&gt;0,VLOOKUP($E3078,'Fuel Category and Heat Rate'!$B$1:$G$34,6,FALSE)*($G3078),""),"")</f>
        <v/>
      </c>
      <c r="I3078" t="str">
        <f>IFERROR(VLOOKUP($E3078,'Fuel Category and Heat Rate'!$K$2:$M$36,3,FALSE),"")</f>
        <v>coal</v>
      </c>
    </row>
    <row r="3079" spans="1:9" x14ac:dyDescent="0.15">
      <c r="A3079" s="2">
        <v>351097</v>
      </c>
      <c r="B3079" s="2" t="s">
        <v>84</v>
      </c>
      <c r="C3079" s="2">
        <v>2021</v>
      </c>
      <c r="D3079" s="2" t="s">
        <v>1</v>
      </c>
      <c r="E3079" s="2" t="s">
        <v>27</v>
      </c>
      <c r="F3079" s="2" t="s">
        <v>35</v>
      </c>
      <c r="G3079" s="7"/>
      <c r="H3079" s="13" t="str">
        <f>IFERROR(IF(ABS($G3079)&gt;0,VLOOKUP($E3079,'Fuel Category and Heat Rate'!$B$1:$G$34,6,FALSE)*($G3079),""),"")</f>
        <v/>
      </c>
      <c r="I3079" t="str">
        <f>IFERROR(VLOOKUP($E3079,'Fuel Category and Heat Rate'!$K$2:$M$36,3,FALSE),"")</f>
        <v>LPG propane or butane</v>
      </c>
    </row>
    <row r="3080" spans="1:9" x14ac:dyDescent="0.15">
      <c r="A3080" s="2">
        <v>351132</v>
      </c>
      <c r="B3080" s="2" t="s">
        <v>84</v>
      </c>
      <c r="C3080" s="2">
        <v>2021</v>
      </c>
      <c r="D3080" s="2" t="s">
        <v>1</v>
      </c>
      <c r="E3080" s="2" t="s">
        <v>7</v>
      </c>
      <c r="F3080" s="2" t="s">
        <v>35</v>
      </c>
      <c r="G3080" s="7"/>
      <c r="H3080" s="13" t="str">
        <f>IFERROR(IF(ABS($G3080)&gt;0,VLOOKUP($E3080,'Fuel Category and Heat Rate'!$B$1:$G$34,6,FALSE)*($G3080),""),"")</f>
        <v/>
      </c>
      <c r="I3080" t="str">
        <f>IFERROR(VLOOKUP($E3080,'Fuel Category and Heat Rate'!$K$2:$M$36,3,FALSE),"")</f>
        <v>coal</v>
      </c>
    </row>
    <row r="3081" spans="1:9" x14ac:dyDescent="0.15">
      <c r="A3081" s="2">
        <v>351167</v>
      </c>
      <c r="B3081" s="2" t="s">
        <v>84</v>
      </c>
      <c r="C3081" s="2">
        <v>2021</v>
      </c>
      <c r="D3081" s="2" t="s">
        <v>1</v>
      </c>
      <c r="E3081" s="2" t="s">
        <v>2</v>
      </c>
      <c r="F3081" s="2" t="s">
        <v>35</v>
      </c>
      <c r="G3081" s="7">
        <v>-280.23</v>
      </c>
      <c r="H3081" s="13">
        <f>IFERROR(IF(ABS($G3081)&gt;0,VLOOKUP($E3081,'Fuel Category and Heat Rate'!$B$1:$G$34,6,FALSE)*($G3081),""),"")</f>
        <v>0</v>
      </c>
      <c r="I3081" t="str">
        <f>IFERROR(VLOOKUP($E3081,'Fuel Category and Heat Rate'!$K$2:$M$36,3,FALSE),"")</f>
        <v/>
      </c>
    </row>
    <row r="3082" spans="1:9" x14ac:dyDescent="0.15">
      <c r="A3082" s="2">
        <v>351202</v>
      </c>
      <c r="B3082" s="2" t="s">
        <v>84</v>
      </c>
      <c r="C3082" s="2">
        <v>2021</v>
      </c>
      <c r="D3082" s="2" t="s">
        <v>1</v>
      </c>
      <c r="E3082" s="2" t="s">
        <v>17</v>
      </c>
      <c r="F3082" s="2" t="s">
        <v>35</v>
      </c>
      <c r="G3082" s="7"/>
      <c r="H3082" s="13" t="str">
        <f>IFERROR(IF(ABS($G3082)&gt;0,VLOOKUP($E3082,'Fuel Category and Heat Rate'!$B$1:$G$34,6,FALSE)*($G3082),""),"")</f>
        <v/>
      </c>
      <c r="I3082" t="str">
        <f>IFERROR(VLOOKUP($E3082,'Fuel Category and Heat Rate'!$K$2:$M$36,3,FALSE),"")</f>
        <v>petroleum diesel</v>
      </c>
    </row>
    <row r="3083" spans="1:9" x14ac:dyDescent="0.15">
      <c r="A3083" s="2">
        <v>351237</v>
      </c>
      <c r="B3083" s="2" t="s">
        <v>84</v>
      </c>
      <c r="C3083" s="2">
        <v>2021</v>
      </c>
      <c r="D3083" s="2" t="s">
        <v>1</v>
      </c>
      <c r="E3083" s="2" t="s">
        <v>13</v>
      </c>
      <c r="F3083" s="2" t="s">
        <v>35</v>
      </c>
      <c r="G3083" s="7"/>
      <c r="H3083" s="13" t="str">
        <f>IFERROR(IF(ABS($G3083)&gt;0,VLOOKUP($E3083,'Fuel Category and Heat Rate'!$B$1:$G$34,6,FALSE)*($G3083),""),"")</f>
        <v/>
      </c>
      <c r="I3083" t="str">
        <f>IFERROR(VLOOKUP($E3083,'Fuel Category and Heat Rate'!$K$2:$M$36,3,FALSE),"")</f>
        <v>petroleum diesel</v>
      </c>
    </row>
    <row r="3084" spans="1:9" x14ac:dyDescent="0.15">
      <c r="A3084" s="2">
        <v>351272</v>
      </c>
      <c r="B3084" s="2" t="s">
        <v>84</v>
      </c>
      <c r="C3084" s="2">
        <v>2021</v>
      </c>
      <c r="D3084" s="2" t="s">
        <v>1</v>
      </c>
      <c r="E3084" s="2" t="s">
        <v>12</v>
      </c>
      <c r="F3084" s="2" t="s">
        <v>36</v>
      </c>
      <c r="G3084" s="7"/>
      <c r="H3084" s="13" t="str">
        <f>IFERROR(IF(ABS($G3084)&gt;0,VLOOKUP($E3084,'Fuel Category and Heat Rate'!$B$1:$G$34,6,FALSE)*($G3084),""),"")</f>
        <v/>
      </c>
      <c r="I3084" t="str">
        <f>IFERROR(VLOOKUP($E3084,'Fuel Category and Heat Rate'!$K$2:$M$36,3,FALSE),"")</f>
        <v>LPG propane or butane</v>
      </c>
    </row>
    <row r="3085" spans="1:9" x14ac:dyDescent="0.15">
      <c r="A3085" s="2">
        <v>351307</v>
      </c>
      <c r="B3085" s="2" t="s">
        <v>84</v>
      </c>
      <c r="C3085" s="2">
        <v>2021</v>
      </c>
      <c r="D3085" s="2" t="s">
        <v>1</v>
      </c>
      <c r="E3085" s="2" t="s">
        <v>33</v>
      </c>
      <c r="F3085" s="2" t="s">
        <v>38</v>
      </c>
      <c r="G3085" s="7"/>
      <c r="H3085" s="13" t="str">
        <f>IFERROR(IF(ABS($G3085)&gt;0,VLOOKUP($E3085,'Fuel Category and Heat Rate'!$B$1:$G$34,6,FALSE)*($G3085),""),"")</f>
        <v/>
      </c>
      <c r="I3085" t="str">
        <f>IFERROR(VLOOKUP($E3085,'Fuel Category and Heat Rate'!$K$2:$M$36,3,FALSE),"")</f>
        <v>biomass</v>
      </c>
    </row>
    <row r="3086" spans="1:9" x14ac:dyDescent="0.15">
      <c r="A3086" s="2">
        <v>351342</v>
      </c>
      <c r="B3086" s="2" t="s">
        <v>84</v>
      </c>
      <c r="C3086" s="2">
        <v>2021</v>
      </c>
      <c r="D3086" s="2" t="s">
        <v>1</v>
      </c>
      <c r="E3086" s="2" t="s">
        <v>28</v>
      </c>
      <c r="F3086" s="2" t="s">
        <v>35</v>
      </c>
      <c r="G3086" s="7"/>
      <c r="H3086" s="13" t="str">
        <f>IFERROR(IF(ABS($G3086)&gt;0,VLOOKUP($E3086,'Fuel Category and Heat Rate'!$B$1:$G$34,6,FALSE)*($G3086),""),"")</f>
        <v/>
      </c>
      <c r="I3086" t="str">
        <f>IFERROR(VLOOKUP($E3086,'Fuel Category and Heat Rate'!$K$2:$M$36,3,FALSE),"")</f>
        <v>heavy or residual fuel oil</v>
      </c>
    </row>
    <row r="3087" spans="1:9" x14ac:dyDescent="0.15">
      <c r="A3087" s="2">
        <v>351377</v>
      </c>
      <c r="B3087" s="2" t="s">
        <v>84</v>
      </c>
      <c r="C3087" s="2">
        <v>2021</v>
      </c>
      <c r="D3087" s="2" t="s">
        <v>1</v>
      </c>
      <c r="E3087" s="2" t="s">
        <v>5</v>
      </c>
      <c r="F3087" s="2" t="s">
        <v>35</v>
      </c>
      <c r="G3087" s="7"/>
      <c r="H3087" s="13" t="str">
        <f>IFERROR(IF(ABS($G3087)&gt;0,VLOOKUP($E3087,'Fuel Category and Heat Rate'!$B$1:$G$34,6,FALSE)*($G3087),""),"")</f>
        <v/>
      </c>
      <c r="I3087" t="str">
        <f>IFERROR(VLOOKUP($E3087,'Fuel Category and Heat Rate'!$K$2:$M$36,3,FALSE),"")</f>
        <v>coal</v>
      </c>
    </row>
    <row r="3088" spans="1:9" x14ac:dyDescent="0.15">
      <c r="A3088" s="2">
        <v>351412</v>
      </c>
      <c r="B3088" s="2" t="s">
        <v>84</v>
      </c>
      <c r="C3088" s="2">
        <v>2021</v>
      </c>
      <c r="D3088" s="2" t="s">
        <v>1</v>
      </c>
      <c r="E3088" s="2" t="s">
        <v>16</v>
      </c>
      <c r="F3088" s="2" t="s">
        <v>35</v>
      </c>
      <c r="G3088" s="7"/>
      <c r="H3088" s="13" t="str">
        <f>IFERROR(IF(ABS($G3088)&gt;0,VLOOKUP($E3088,'Fuel Category and Heat Rate'!$B$1:$G$34,6,FALSE)*($G3088),""),"")</f>
        <v/>
      </c>
      <c r="I3088" t="str">
        <f>IFERROR(VLOOKUP($E3088,'Fuel Category and Heat Rate'!$K$2:$M$36,3,FALSE),"")</f>
        <v>petroleum diesel</v>
      </c>
    </row>
    <row r="3089" spans="1:9" x14ac:dyDescent="0.15">
      <c r="A3089" s="2">
        <v>351447</v>
      </c>
      <c r="B3089" s="2" t="s">
        <v>84</v>
      </c>
      <c r="C3089" s="2">
        <v>2021</v>
      </c>
      <c r="D3089" s="2" t="s">
        <v>1</v>
      </c>
      <c r="E3089" s="2" t="s">
        <v>19</v>
      </c>
      <c r="F3089" s="2" t="s">
        <v>35</v>
      </c>
      <c r="G3089" s="7"/>
      <c r="H3089" s="13" t="str">
        <f>IFERROR(IF(ABS($G3089)&gt;0,VLOOKUP($E3089,'Fuel Category and Heat Rate'!$B$1:$G$34,6,FALSE)*($G3089),""),"")</f>
        <v/>
      </c>
      <c r="I3089" t="str">
        <f>IFERROR(VLOOKUP($E3089,'Fuel Category and Heat Rate'!$K$2:$M$36,3,FALSE),"")</f>
        <v>heavy or residual fuel oil</v>
      </c>
    </row>
    <row r="3090" spans="1:9" x14ac:dyDescent="0.15">
      <c r="A3090" s="2">
        <v>351482</v>
      </c>
      <c r="B3090" s="2" t="s">
        <v>84</v>
      </c>
      <c r="C3090" s="2">
        <v>2021</v>
      </c>
      <c r="D3090" s="2" t="s">
        <v>1</v>
      </c>
      <c r="E3090" s="2" t="s">
        <v>31</v>
      </c>
      <c r="F3090" s="2" t="s">
        <v>37</v>
      </c>
      <c r="G3090" s="7">
        <v>4282.5200000000004</v>
      </c>
      <c r="H3090" s="13">
        <f>IFERROR(IF(ABS($G3090)&gt;0,VLOOKUP($E3090,'Fuel Category and Heat Rate'!$B$1:$G$34,6,FALSE)*($G3090),""),"")</f>
        <v>40590457841639.383</v>
      </c>
      <c r="I3090" t="str">
        <f>IFERROR(VLOOKUP($E3090,'Fuel Category and Heat Rate'!$K$2:$M$36,3,FALSE),"")</f>
        <v>heat</v>
      </c>
    </row>
    <row r="3091" spans="1:9" x14ac:dyDescent="0.15">
      <c r="A3091" s="2">
        <v>351517</v>
      </c>
      <c r="B3091" s="2" t="s">
        <v>84</v>
      </c>
      <c r="C3091" s="2">
        <v>2021</v>
      </c>
      <c r="D3091" s="2" t="s">
        <v>1</v>
      </c>
      <c r="E3091" s="2" t="s">
        <v>23</v>
      </c>
      <c r="F3091" s="2" t="s">
        <v>35</v>
      </c>
      <c r="G3091" s="7"/>
      <c r="H3091" s="13" t="str">
        <f>IFERROR(IF(ABS($G3091)&gt;0,VLOOKUP($E3091,'Fuel Category and Heat Rate'!$B$1:$G$34,6,FALSE)*($G3091),""),"")</f>
        <v/>
      </c>
      <c r="I3091" t="str">
        <f>IFERROR(VLOOKUP($E3091,'Fuel Category and Heat Rate'!$K$2:$M$36,3,FALSE),"")</f>
        <v>heavy or residual fuel oil</v>
      </c>
    </row>
    <row r="3092" spans="1:9" x14ac:dyDescent="0.15">
      <c r="A3092" s="2">
        <v>351552</v>
      </c>
      <c r="B3092" s="2" t="s">
        <v>84</v>
      </c>
      <c r="C3092" s="2">
        <v>2021</v>
      </c>
      <c r="D3092" s="2" t="s">
        <v>1</v>
      </c>
      <c r="E3092" s="2" t="s">
        <v>21</v>
      </c>
      <c r="F3092" s="2" t="s">
        <v>35</v>
      </c>
      <c r="G3092" s="7"/>
      <c r="H3092" s="13" t="str">
        <f>IFERROR(IF(ABS($G3092)&gt;0,VLOOKUP($E3092,'Fuel Category and Heat Rate'!$B$1:$G$34,6,FALSE)*($G3092),""),"")</f>
        <v/>
      </c>
      <c r="I3092" t="str">
        <f>IFERROR(VLOOKUP($E3092,'Fuel Category and Heat Rate'!$K$2:$M$36,3,FALSE),"")</f>
        <v>LPG propane or butane</v>
      </c>
    </row>
    <row r="3093" spans="1:9" x14ac:dyDescent="0.15">
      <c r="A3093" s="2">
        <v>351587</v>
      </c>
      <c r="B3093" s="2" t="s">
        <v>84</v>
      </c>
      <c r="C3093" s="2">
        <v>2021</v>
      </c>
      <c r="D3093" s="2" t="s">
        <v>1</v>
      </c>
      <c r="E3093" s="2" t="s">
        <v>22</v>
      </c>
      <c r="F3093" s="2" t="s">
        <v>35</v>
      </c>
      <c r="G3093" s="7"/>
      <c r="H3093" s="13" t="str">
        <f>IFERROR(IF(ABS($G3093)&gt;0,VLOOKUP($E3093,'Fuel Category and Heat Rate'!$B$1:$G$34,6,FALSE)*($G3093),""),"")</f>
        <v/>
      </c>
      <c r="I3093" t="str">
        <f>IFERROR(VLOOKUP($E3093,'Fuel Category and Heat Rate'!$K$2:$M$36,3,FALSE),"")</f>
        <v>heavy fuel oil</v>
      </c>
    </row>
    <row r="3094" spans="1:9" x14ac:dyDescent="0.15">
      <c r="A3094" s="2">
        <v>351622</v>
      </c>
      <c r="B3094" s="2" t="s">
        <v>84</v>
      </c>
      <c r="C3094" s="2">
        <v>2021</v>
      </c>
      <c r="D3094" s="2" t="s">
        <v>1</v>
      </c>
      <c r="E3094" s="2" t="s">
        <v>20</v>
      </c>
      <c r="F3094" s="2" t="s">
        <v>35</v>
      </c>
      <c r="G3094" s="7"/>
      <c r="H3094" s="13" t="str">
        <f>IFERROR(IF(ABS($G3094)&gt;0,VLOOKUP($E3094,'Fuel Category and Heat Rate'!$B$1:$G$34,6,FALSE)*($G3094),""),"")</f>
        <v/>
      </c>
      <c r="I3094" t="str">
        <f>IFERROR(VLOOKUP($E3094,'Fuel Category and Heat Rate'!$K$2:$M$36,3,FALSE),"")</f>
        <v>LPG propane or butane</v>
      </c>
    </row>
    <row r="3095" spans="1:9" x14ac:dyDescent="0.15">
      <c r="A3095" s="2">
        <v>351657</v>
      </c>
      <c r="B3095" s="2" t="s">
        <v>84</v>
      </c>
      <c r="C3095" s="2">
        <v>2021</v>
      </c>
      <c r="D3095" s="2" t="s">
        <v>1</v>
      </c>
      <c r="E3095" s="2" t="s">
        <v>25</v>
      </c>
      <c r="F3095" s="2" t="s">
        <v>35</v>
      </c>
      <c r="G3095" s="7"/>
      <c r="H3095" s="13" t="str">
        <f>IFERROR(IF(ABS($G3095)&gt;0,VLOOKUP($E3095,'Fuel Category and Heat Rate'!$B$1:$G$34,6,FALSE)*($G3095),""),"")</f>
        <v/>
      </c>
      <c r="I3095" t="str">
        <f>IFERROR(VLOOKUP($E3095,'Fuel Category and Heat Rate'!$K$2:$M$36,3,FALSE),"")</f>
        <v>heavy fuel oil</v>
      </c>
    </row>
    <row r="3096" spans="1:9" x14ac:dyDescent="0.15">
      <c r="A3096" s="2">
        <v>351692</v>
      </c>
      <c r="B3096" s="2" t="s">
        <v>84</v>
      </c>
      <c r="C3096" s="2">
        <v>2021</v>
      </c>
      <c r="D3096" s="2" t="s">
        <v>1</v>
      </c>
      <c r="E3096" s="2" t="s">
        <v>24</v>
      </c>
      <c r="F3096" s="2" t="s">
        <v>35</v>
      </c>
      <c r="G3096" s="7"/>
      <c r="H3096" s="13" t="str">
        <f>IFERROR(IF(ABS($G3096)&gt;0,VLOOKUP($E3096,'Fuel Category and Heat Rate'!$B$1:$G$34,6,FALSE)*($G3096),""),"")</f>
        <v/>
      </c>
      <c r="I3096" t="str">
        <f>IFERROR(VLOOKUP($E3096,'Fuel Category and Heat Rate'!$K$2:$M$36,3,FALSE),"")</f>
        <v>heavy fuel oil</v>
      </c>
    </row>
    <row r="3097" spans="1:9" x14ac:dyDescent="0.15">
      <c r="A3097" s="2">
        <v>351727</v>
      </c>
      <c r="B3097" s="2" t="s">
        <v>84</v>
      </c>
      <c r="C3097" s="2">
        <v>2021</v>
      </c>
      <c r="D3097" s="2" t="s">
        <v>1</v>
      </c>
      <c r="E3097" s="2" t="s">
        <v>29</v>
      </c>
      <c r="F3097" s="2" t="s">
        <v>36</v>
      </c>
      <c r="G3097" s="7">
        <v>-0.24</v>
      </c>
      <c r="H3097" s="13">
        <f>IFERROR(IF(ABS($G3097)&gt;0,VLOOKUP($E3097,'Fuel Category and Heat Rate'!$B$1:$G$34,6,FALSE)*($G3097),""),"")</f>
        <v>-809462361637.06409</v>
      </c>
      <c r="I3097" t="str">
        <f>IFERROR(VLOOKUP($E3097,'Fuel Category and Heat Rate'!$K$2:$M$36,3,FALSE),"")</f>
        <v>natural gas</v>
      </c>
    </row>
    <row r="3098" spans="1:9" x14ac:dyDescent="0.15">
      <c r="A3098" s="2">
        <v>351762</v>
      </c>
      <c r="B3098" s="2" t="s">
        <v>84</v>
      </c>
      <c r="C3098" s="2">
        <v>2021</v>
      </c>
      <c r="D3098" s="2" t="s">
        <v>1</v>
      </c>
      <c r="E3098" s="2" t="s">
        <v>4</v>
      </c>
      <c r="F3098" s="2" t="s">
        <v>35</v>
      </c>
      <c r="G3098" s="7"/>
      <c r="H3098" s="13" t="str">
        <f>IFERROR(IF(ABS($G3098)&gt;0,VLOOKUP($E3098,'Fuel Category and Heat Rate'!$B$1:$G$34,6,FALSE)*($G3098),""),"")</f>
        <v/>
      </c>
      <c r="I3098" t="str">
        <f>IFERROR(VLOOKUP($E3098,'Fuel Category and Heat Rate'!$K$2:$M$36,3,FALSE),"")</f>
        <v>coal</v>
      </c>
    </row>
    <row r="3099" spans="1:9" x14ac:dyDescent="0.15">
      <c r="A3099" s="2">
        <v>351797</v>
      </c>
      <c r="B3099" s="2" t="s">
        <v>84</v>
      </c>
      <c r="C3099" s="2">
        <v>2021</v>
      </c>
      <c r="D3099" s="2" t="s">
        <v>1</v>
      </c>
      <c r="E3099" s="2" t="s">
        <v>6</v>
      </c>
      <c r="F3099" s="2" t="s">
        <v>35</v>
      </c>
      <c r="G3099" s="7"/>
      <c r="H3099" s="13" t="str">
        <f>IFERROR(IF(ABS($G3099)&gt;0,VLOOKUP($E3099,'Fuel Category and Heat Rate'!$B$1:$G$34,6,FALSE)*($G3099),""),"")</f>
        <v/>
      </c>
      <c r="I3099" t="str">
        <f>IFERROR(VLOOKUP($E3099,'Fuel Category and Heat Rate'!$K$2:$M$36,3,FALSE),"")</f>
        <v>coal</v>
      </c>
    </row>
    <row r="3100" spans="1:9" x14ac:dyDescent="0.15">
      <c r="A3100" s="2">
        <v>351832</v>
      </c>
      <c r="B3100" s="2" t="s">
        <v>84</v>
      </c>
      <c r="C3100" s="2">
        <v>2021</v>
      </c>
      <c r="D3100" s="2" t="s">
        <v>1</v>
      </c>
      <c r="E3100" s="2" t="s">
        <v>26</v>
      </c>
      <c r="F3100" s="2" t="s">
        <v>35</v>
      </c>
      <c r="G3100" s="7"/>
      <c r="H3100" s="13" t="str">
        <f>IFERROR(IF(ABS($G3100)&gt;0,VLOOKUP($E3100,'Fuel Category and Heat Rate'!$B$1:$G$34,6,FALSE)*($G3100),""),"")</f>
        <v/>
      </c>
      <c r="I3100" t="str">
        <f>IFERROR(VLOOKUP($E3100,'Fuel Category and Heat Rate'!$K$2:$M$36,3,FALSE),"")</f>
        <v>LPG propane or butane</v>
      </c>
    </row>
    <row r="3101" spans="1:9" x14ac:dyDescent="0.15">
      <c r="A3101" s="2">
        <v>351867</v>
      </c>
      <c r="B3101" s="2" t="s">
        <v>84</v>
      </c>
      <c r="C3101" s="2">
        <v>2021</v>
      </c>
      <c r="D3101" s="2" t="s">
        <v>1</v>
      </c>
      <c r="E3101" s="2" t="s">
        <v>30</v>
      </c>
      <c r="F3101" s="2" t="s">
        <v>35</v>
      </c>
      <c r="G3101" s="7"/>
      <c r="H3101" s="13" t="str">
        <f>IFERROR(IF(ABS($G3101)&gt;0,VLOOKUP($E3101,'Fuel Category and Heat Rate'!$B$1:$G$34,6,FALSE)*($G3101),""),"")</f>
        <v/>
      </c>
      <c r="I3101" t="str">
        <f>IFERROR(VLOOKUP($E3101,'Fuel Category and Heat Rate'!$K$2:$M$36,3,FALSE),"")</f>
        <v>natural gas</v>
      </c>
    </row>
    <row r="3102" spans="1:9" x14ac:dyDescent="0.15">
      <c r="A3102" s="2">
        <v>351902</v>
      </c>
      <c r="B3102" s="2" t="s">
        <v>84</v>
      </c>
      <c r="C3102" s="2">
        <v>2021</v>
      </c>
      <c r="D3102" s="2" t="s">
        <v>1</v>
      </c>
      <c r="E3102" s="2" t="s">
        <v>14</v>
      </c>
      <c r="F3102" s="2" t="s">
        <v>35</v>
      </c>
      <c r="G3102" s="7"/>
      <c r="H3102" s="13" t="str">
        <f>IFERROR(IF(ABS($G3102)&gt;0,VLOOKUP($E3102,'Fuel Category and Heat Rate'!$B$1:$G$34,6,FALSE)*($G3102),""),"")</f>
        <v/>
      </c>
      <c r="I3102" t="str">
        <f>IFERROR(VLOOKUP($E3102,'Fuel Category and Heat Rate'!$K$2:$M$36,3,FALSE),"")</f>
        <v/>
      </c>
    </row>
    <row r="3103" spans="1:9" x14ac:dyDescent="0.15">
      <c r="A3103" s="2">
        <v>351937</v>
      </c>
      <c r="B3103" s="2" t="s">
        <v>84</v>
      </c>
      <c r="C3103" s="2">
        <v>2021</v>
      </c>
      <c r="D3103" s="2" t="s">
        <v>1</v>
      </c>
      <c r="E3103" s="2" t="s">
        <v>3</v>
      </c>
      <c r="F3103" s="2" t="s">
        <v>35</v>
      </c>
      <c r="G3103" s="7">
        <v>-280.23</v>
      </c>
      <c r="H3103" s="13">
        <f>IFERROR(IF(ABS($G3103)&gt;0,VLOOKUP($E3103,'Fuel Category and Heat Rate'!$B$1:$G$34,6,FALSE)*($G3103),""),"")</f>
        <v>-55533068130943.023</v>
      </c>
      <c r="I3103" t="str">
        <f>IFERROR(VLOOKUP($E3103,'Fuel Category and Heat Rate'!$K$2:$M$36,3,FALSE),"")</f>
        <v>coal</v>
      </c>
    </row>
    <row r="3104" spans="1:9" x14ac:dyDescent="0.15">
      <c r="A3104" s="2">
        <v>351972</v>
      </c>
      <c r="B3104" s="2" t="s">
        <v>84</v>
      </c>
      <c r="C3104" s="2">
        <v>2021</v>
      </c>
      <c r="D3104" s="2" t="s">
        <v>1</v>
      </c>
      <c r="E3104" s="2" t="s">
        <v>15</v>
      </c>
      <c r="F3104" s="2" t="s">
        <v>35</v>
      </c>
      <c r="G3104" s="7"/>
      <c r="H3104" s="13" t="str">
        <f>IFERROR(IF(ABS($G3104)&gt;0,VLOOKUP($E3104,'Fuel Category and Heat Rate'!$B$1:$G$34,6,FALSE)*($G3104),""),"")</f>
        <v/>
      </c>
      <c r="I3104" t="str">
        <f>IFERROR(VLOOKUP($E3104,'Fuel Category and Heat Rate'!$K$2:$M$36,3,FALSE),"")</f>
        <v>crude oil</v>
      </c>
    </row>
    <row r="3105" spans="1:9" x14ac:dyDescent="0.15">
      <c r="A3105" s="2">
        <v>352007</v>
      </c>
      <c r="B3105" s="2" t="s">
        <v>84</v>
      </c>
      <c r="C3105" s="2">
        <v>2021</v>
      </c>
      <c r="D3105" s="2" t="s">
        <v>1</v>
      </c>
      <c r="E3105" s="2" t="s">
        <v>11</v>
      </c>
      <c r="F3105" s="2" t="s">
        <v>36</v>
      </c>
      <c r="G3105" s="7"/>
      <c r="H3105" s="13" t="str">
        <f>IFERROR(IF(ABS($G3105)&gt;0,VLOOKUP($E3105,'Fuel Category and Heat Rate'!$B$1:$G$34,6,FALSE)*($G3105),""),"")</f>
        <v/>
      </c>
      <c r="I3105" t="str">
        <f>IFERROR(VLOOKUP($E3105,'Fuel Category and Heat Rate'!$K$2:$M$36,3,FALSE),"")</f>
        <v>LPG propane or butane</v>
      </c>
    </row>
    <row r="3106" spans="1:9" x14ac:dyDescent="0.15">
      <c r="A3106" s="2">
        <v>352042</v>
      </c>
      <c r="B3106" s="2" t="s">
        <v>84</v>
      </c>
      <c r="C3106" s="2">
        <v>2020</v>
      </c>
      <c r="D3106" s="2" t="s">
        <v>1</v>
      </c>
      <c r="E3106" s="2" t="s">
        <v>18</v>
      </c>
      <c r="F3106" s="2" t="s">
        <v>35</v>
      </c>
      <c r="G3106" s="7"/>
      <c r="H3106" s="13" t="str">
        <f>IFERROR(IF(ABS($G3106)&gt;0,VLOOKUP($E3106,'Fuel Category and Heat Rate'!$B$1:$G$34,6,FALSE)*($G3106),""),"")</f>
        <v/>
      </c>
      <c r="I3106" t="str">
        <f>IFERROR(VLOOKUP($E3106,'Fuel Category and Heat Rate'!$K$2:$M$36,3,FALSE),"")</f>
        <v>petroleum diesel</v>
      </c>
    </row>
    <row r="3107" spans="1:9" x14ac:dyDescent="0.15">
      <c r="A3107" s="2">
        <v>352077</v>
      </c>
      <c r="B3107" s="2" t="s">
        <v>84</v>
      </c>
      <c r="C3107" s="2">
        <v>2020</v>
      </c>
      <c r="D3107" s="2" t="s">
        <v>1</v>
      </c>
      <c r="E3107" s="2" t="s">
        <v>32</v>
      </c>
      <c r="F3107" s="2" t="s">
        <v>65</v>
      </c>
      <c r="G3107" s="7"/>
      <c r="H3107" s="13" t="str">
        <f>IFERROR(IF(ABS($G3107)&gt;0,VLOOKUP($E3107,'Fuel Category and Heat Rate'!$B$1:$G$34,6,FALSE)*($G3107),""),"")</f>
        <v/>
      </c>
      <c r="I3107" t="str">
        <f>IFERROR(VLOOKUP($E3107,'Fuel Category and Heat Rate'!$K$2:$M$36,3,FALSE),"")</f>
        <v>electricity</v>
      </c>
    </row>
    <row r="3108" spans="1:9" x14ac:dyDescent="0.15">
      <c r="A3108" s="2">
        <v>352112</v>
      </c>
      <c r="B3108" s="2" t="s">
        <v>84</v>
      </c>
      <c r="C3108" s="2">
        <v>2020</v>
      </c>
      <c r="D3108" s="2" t="s">
        <v>1</v>
      </c>
      <c r="E3108" s="2" t="s">
        <v>10</v>
      </c>
      <c r="F3108" s="2" t="s">
        <v>36</v>
      </c>
      <c r="G3108" s="7">
        <v>-5.38</v>
      </c>
      <c r="H3108" s="13">
        <f>IFERROR(IF(ABS($G3108)&gt;0,VLOOKUP($E3108,'Fuel Category and Heat Rate'!$B$1:$G$34,6,FALSE)*($G3108),""),"")</f>
        <v>-1918850077936.6323</v>
      </c>
      <c r="I3108" t="str">
        <f>IFERROR(VLOOKUP($E3108,'Fuel Category and Heat Rate'!$K$2:$M$36,3,FALSE),"")</f>
        <v>LPG propane or butane</v>
      </c>
    </row>
    <row r="3109" spans="1:9" x14ac:dyDescent="0.15">
      <c r="A3109" s="2">
        <v>352147</v>
      </c>
      <c r="B3109" s="2" t="s">
        <v>84</v>
      </c>
      <c r="C3109" s="2">
        <v>2020</v>
      </c>
      <c r="D3109" s="2" t="s">
        <v>1</v>
      </c>
      <c r="E3109" s="2" t="s">
        <v>9</v>
      </c>
      <c r="F3109" s="2" t="s">
        <v>36</v>
      </c>
      <c r="G3109" s="7"/>
      <c r="H3109" s="13" t="str">
        <f>IFERROR(IF(ABS($G3109)&gt;0,VLOOKUP($E3109,'Fuel Category and Heat Rate'!$B$1:$G$34,6,FALSE)*($G3109),""),"")</f>
        <v/>
      </c>
      <c r="I3109" t="str">
        <f>IFERROR(VLOOKUP($E3109,'Fuel Category and Heat Rate'!$K$2:$M$36,3,FALSE),"")</f>
        <v>LPG propane or butane</v>
      </c>
    </row>
    <row r="3110" spans="1:9" x14ac:dyDescent="0.15">
      <c r="A3110" s="2">
        <v>352182</v>
      </c>
      <c r="B3110" s="2" t="s">
        <v>84</v>
      </c>
      <c r="C3110" s="2">
        <v>2020</v>
      </c>
      <c r="D3110" s="2" t="s">
        <v>1</v>
      </c>
      <c r="E3110" s="2" t="s">
        <v>8</v>
      </c>
      <c r="F3110" s="2" t="s">
        <v>35</v>
      </c>
      <c r="G3110" s="7"/>
      <c r="H3110" s="13" t="str">
        <f>IFERROR(IF(ABS($G3110)&gt;0,VLOOKUP($E3110,'Fuel Category and Heat Rate'!$B$1:$G$34,6,FALSE)*($G3110),""),"")</f>
        <v/>
      </c>
      <c r="I3110" t="str">
        <f>IFERROR(VLOOKUP($E3110,'Fuel Category and Heat Rate'!$K$2:$M$36,3,FALSE),"")</f>
        <v>coal</v>
      </c>
    </row>
    <row r="3111" spans="1:9" x14ac:dyDescent="0.15">
      <c r="A3111" s="2">
        <v>352217</v>
      </c>
      <c r="B3111" s="2" t="s">
        <v>84</v>
      </c>
      <c r="C3111" s="2">
        <v>2020</v>
      </c>
      <c r="D3111" s="2" t="s">
        <v>1</v>
      </c>
      <c r="E3111" s="2" t="s">
        <v>27</v>
      </c>
      <c r="F3111" s="2" t="s">
        <v>35</v>
      </c>
      <c r="G3111" s="7"/>
      <c r="H3111" s="13" t="str">
        <f>IFERROR(IF(ABS($G3111)&gt;0,VLOOKUP($E3111,'Fuel Category and Heat Rate'!$B$1:$G$34,6,FALSE)*($G3111),""),"")</f>
        <v/>
      </c>
      <c r="I3111" t="str">
        <f>IFERROR(VLOOKUP($E3111,'Fuel Category and Heat Rate'!$K$2:$M$36,3,FALSE),"")</f>
        <v>LPG propane or butane</v>
      </c>
    </row>
    <row r="3112" spans="1:9" x14ac:dyDescent="0.15">
      <c r="A3112" s="2">
        <v>352252</v>
      </c>
      <c r="B3112" s="2" t="s">
        <v>84</v>
      </c>
      <c r="C3112" s="2">
        <v>2020</v>
      </c>
      <c r="D3112" s="2" t="s">
        <v>1</v>
      </c>
      <c r="E3112" s="2" t="s">
        <v>7</v>
      </c>
      <c r="F3112" s="2" t="s">
        <v>35</v>
      </c>
      <c r="G3112" s="7"/>
      <c r="H3112" s="13" t="str">
        <f>IFERROR(IF(ABS($G3112)&gt;0,VLOOKUP($E3112,'Fuel Category and Heat Rate'!$B$1:$G$34,6,FALSE)*($G3112),""),"")</f>
        <v/>
      </c>
      <c r="I3112" t="str">
        <f>IFERROR(VLOOKUP($E3112,'Fuel Category and Heat Rate'!$K$2:$M$36,3,FALSE),"")</f>
        <v>coal</v>
      </c>
    </row>
    <row r="3113" spans="1:9" x14ac:dyDescent="0.15">
      <c r="A3113" s="2">
        <v>352287</v>
      </c>
      <c r="B3113" s="2" t="s">
        <v>84</v>
      </c>
      <c r="C3113" s="2">
        <v>2020</v>
      </c>
      <c r="D3113" s="2" t="s">
        <v>1</v>
      </c>
      <c r="E3113" s="2" t="s">
        <v>2</v>
      </c>
      <c r="F3113" s="2" t="s">
        <v>35</v>
      </c>
      <c r="G3113" s="7">
        <v>-212.36</v>
      </c>
      <c r="H3113" s="13">
        <f>IFERROR(IF(ABS($G3113)&gt;0,VLOOKUP($E3113,'Fuel Category and Heat Rate'!$B$1:$G$34,6,FALSE)*($G3113),""),"")</f>
        <v>0</v>
      </c>
      <c r="I3113" t="str">
        <f>IFERROR(VLOOKUP($E3113,'Fuel Category and Heat Rate'!$K$2:$M$36,3,FALSE),"")</f>
        <v/>
      </c>
    </row>
    <row r="3114" spans="1:9" x14ac:dyDescent="0.15">
      <c r="A3114" s="2">
        <v>352322</v>
      </c>
      <c r="B3114" s="2" t="s">
        <v>84</v>
      </c>
      <c r="C3114" s="2">
        <v>2020</v>
      </c>
      <c r="D3114" s="2" t="s">
        <v>1</v>
      </c>
      <c r="E3114" s="2" t="s">
        <v>17</v>
      </c>
      <c r="F3114" s="2" t="s">
        <v>35</v>
      </c>
      <c r="G3114" s="7"/>
      <c r="H3114" s="13" t="str">
        <f>IFERROR(IF(ABS($G3114)&gt;0,VLOOKUP($E3114,'Fuel Category and Heat Rate'!$B$1:$G$34,6,FALSE)*($G3114),""),"")</f>
        <v/>
      </c>
      <c r="I3114" t="str">
        <f>IFERROR(VLOOKUP($E3114,'Fuel Category and Heat Rate'!$K$2:$M$36,3,FALSE),"")</f>
        <v>petroleum diesel</v>
      </c>
    </row>
    <row r="3115" spans="1:9" x14ac:dyDescent="0.15">
      <c r="A3115" s="2">
        <v>352357</v>
      </c>
      <c r="B3115" s="2" t="s">
        <v>84</v>
      </c>
      <c r="C3115" s="2">
        <v>2020</v>
      </c>
      <c r="D3115" s="2" t="s">
        <v>1</v>
      </c>
      <c r="E3115" s="2" t="s">
        <v>13</v>
      </c>
      <c r="F3115" s="2" t="s">
        <v>35</v>
      </c>
      <c r="G3115" s="7"/>
      <c r="H3115" s="13" t="str">
        <f>IFERROR(IF(ABS($G3115)&gt;0,VLOOKUP($E3115,'Fuel Category and Heat Rate'!$B$1:$G$34,6,FALSE)*($G3115),""),"")</f>
        <v/>
      </c>
      <c r="I3115" t="str">
        <f>IFERROR(VLOOKUP($E3115,'Fuel Category and Heat Rate'!$K$2:$M$36,3,FALSE),"")</f>
        <v>petroleum diesel</v>
      </c>
    </row>
    <row r="3116" spans="1:9" x14ac:dyDescent="0.15">
      <c r="A3116" s="2">
        <v>352392</v>
      </c>
      <c r="B3116" s="2" t="s">
        <v>84</v>
      </c>
      <c r="C3116" s="2">
        <v>2020</v>
      </c>
      <c r="D3116" s="2" t="s">
        <v>1</v>
      </c>
      <c r="E3116" s="2" t="s">
        <v>12</v>
      </c>
      <c r="F3116" s="2" t="s">
        <v>36</v>
      </c>
      <c r="G3116" s="7"/>
      <c r="H3116" s="13" t="str">
        <f>IFERROR(IF(ABS($G3116)&gt;0,VLOOKUP($E3116,'Fuel Category and Heat Rate'!$B$1:$G$34,6,FALSE)*($G3116),""),"")</f>
        <v/>
      </c>
      <c r="I3116" t="str">
        <f>IFERROR(VLOOKUP($E3116,'Fuel Category and Heat Rate'!$K$2:$M$36,3,FALSE),"")</f>
        <v>LPG propane or butane</v>
      </c>
    </row>
    <row r="3117" spans="1:9" x14ac:dyDescent="0.15">
      <c r="A3117" s="2">
        <v>352427</v>
      </c>
      <c r="B3117" s="2" t="s">
        <v>84</v>
      </c>
      <c r="C3117" s="2">
        <v>2020</v>
      </c>
      <c r="D3117" s="2" t="s">
        <v>1</v>
      </c>
      <c r="E3117" s="2" t="s">
        <v>33</v>
      </c>
      <c r="F3117" s="2" t="s">
        <v>38</v>
      </c>
      <c r="G3117" s="7"/>
      <c r="H3117" s="13" t="str">
        <f>IFERROR(IF(ABS($G3117)&gt;0,VLOOKUP($E3117,'Fuel Category and Heat Rate'!$B$1:$G$34,6,FALSE)*($G3117),""),"")</f>
        <v/>
      </c>
      <c r="I3117" t="str">
        <f>IFERROR(VLOOKUP($E3117,'Fuel Category and Heat Rate'!$K$2:$M$36,3,FALSE),"")</f>
        <v>biomass</v>
      </c>
    </row>
    <row r="3118" spans="1:9" x14ac:dyDescent="0.15">
      <c r="A3118" s="2">
        <v>352462</v>
      </c>
      <c r="B3118" s="2" t="s">
        <v>84</v>
      </c>
      <c r="C3118" s="2">
        <v>2020</v>
      </c>
      <c r="D3118" s="2" t="s">
        <v>1</v>
      </c>
      <c r="E3118" s="2" t="s">
        <v>28</v>
      </c>
      <c r="F3118" s="2" t="s">
        <v>35</v>
      </c>
      <c r="G3118" s="7"/>
      <c r="H3118" s="13" t="str">
        <f>IFERROR(IF(ABS($G3118)&gt;0,VLOOKUP($E3118,'Fuel Category and Heat Rate'!$B$1:$G$34,6,FALSE)*($G3118),""),"")</f>
        <v/>
      </c>
      <c r="I3118" t="str">
        <f>IFERROR(VLOOKUP($E3118,'Fuel Category and Heat Rate'!$K$2:$M$36,3,FALSE),"")</f>
        <v>heavy or residual fuel oil</v>
      </c>
    </row>
    <row r="3119" spans="1:9" x14ac:dyDescent="0.15">
      <c r="A3119" s="2">
        <v>352497</v>
      </c>
      <c r="B3119" s="2" t="s">
        <v>84</v>
      </c>
      <c r="C3119" s="2">
        <v>2020</v>
      </c>
      <c r="D3119" s="2" t="s">
        <v>1</v>
      </c>
      <c r="E3119" s="2" t="s">
        <v>5</v>
      </c>
      <c r="F3119" s="2" t="s">
        <v>35</v>
      </c>
      <c r="G3119" s="7"/>
      <c r="H3119" s="13" t="str">
        <f>IFERROR(IF(ABS($G3119)&gt;0,VLOOKUP($E3119,'Fuel Category and Heat Rate'!$B$1:$G$34,6,FALSE)*($G3119),""),"")</f>
        <v/>
      </c>
      <c r="I3119" t="str">
        <f>IFERROR(VLOOKUP($E3119,'Fuel Category and Heat Rate'!$K$2:$M$36,3,FALSE),"")</f>
        <v>coal</v>
      </c>
    </row>
    <row r="3120" spans="1:9" x14ac:dyDescent="0.15">
      <c r="A3120" s="2">
        <v>352532</v>
      </c>
      <c r="B3120" s="2" t="s">
        <v>84</v>
      </c>
      <c r="C3120" s="2">
        <v>2020</v>
      </c>
      <c r="D3120" s="2" t="s">
        <v>1</v>
      </c>
      <c r="E3120" s="2" t="s">
        <v>16</v>
      </c>
      <c r="F3120" s="2" t="s">
        <v>35</v>
      </c>
      <c r="G3120" s="7"/>
      <c r="H3120" s="13" t="str">
        <f>IFERROR(IF(ABS($G3120)&gt;0,VLOOKUP($E3120,'Fuel Category and Heat Rate'!$B$1:$G$34,6,FALSE)*($G3120),""),"")</f>
        <v/>
      </c>
      <c r="I3120" t="str">
        <f>IFERROR(VLOOKUP($E3120,'Fuel Category and Heat Rate'!$K$2:$M$36,3,FALSE),"")</f>
        <v>petroleum diesel</v>
      </c>
    </row>
    <row r="3121" spans="1:9" x14ac:dyDescent="0.15">
      <c r="A3121" s="2">
        <v>352567</v>
      </c>
      <c r="B3121" s="2" t="s">
        <v>84</v>
      </c>
      <c r="C3121" s="2">
        <v>2020</v>
      </c>
      <c r="D3121" s="2" t="s">
        <v>1</v>
      </c>
      <c r="E3121" s="2" t="s">
        <v>19</v>
      </c>
      <c r="F3121" s="2" t="s">
        <v>35</v>
      </c>
      <c r="G3121" s="7"/>
      <c r="H3121" s="13" t="str">
        <f>IFERROR(IF(ABS($G3121)&gt;0,VLOOKUP($E3121,'Fuel Category and Heat Rate'!$B$1:$G$34,6,FALSE)*($G3121),""),"")</f>
        <v/>
      </c>
      <c r="I3121" t="str">
        <f>IFERROR(VLOOKUP($E3121,'Fuel Category and Heat Rate'!$K$2:$M$36,3,FALSE),"")</f>
        <v>heavy or residual fuel oil</v>
      </c>
    </row>
    <row r="3122" spans="1:9" x14ac:dyDescent="0.15">
      <c r="A3122" s="2">
        <v>352602</v>
      </c>
      <c r="B3122" s="2" t="s">
        <v>84</v>
      </c>
      <c r="C3122" s="2">
        <v>2020</v>
      </c>
      <c r="D3122" s="2" t="s">
        <v>1</v>
      </c>
      <c r="E3122" s="2" t="s">
        <v>31</v>
      </c>
      <c r="F3122" s="2" t="s">
        <v>37</v>
      </c>
      <c r="G3122" s="7">
        <v>3521.84</v>
      </c>
      <c r="H3122" s="13">
        <f>IFERROR(IF(ABS($G3122)&gt;0,VLOOKUP($E3122,'Fuel Category and Heat Rate'!$B$1:$G$34,6,FALSE)*($G3122),""),"")</f>
        <v>33380602552935.945</v>
      </c>
      <c r="I3122" t="str">
        <f>IFERROR(VLOOKUP($E3122,'Fuel Category and Heat Rate'!$K$2:$M$36,3,FALSE),"")</f>
        <v>heat</v>
      </c>
    </row>
    <row r="3123" spans="1:9" x14ac:dyDescent="0.15">
      <c r="A3123" s="2">
        <v>352637</v>
      </c>
      <c r="B3123" s="2" t="s">
        <v>84</v>
      </c>
      <c r="C3123" s="2">
        <v>2020</v>
      </c>
      <c r="D3123" s="2" t="s">
        <v>1</v>
      </c>
      <c r="E3123" s="2" t="s">
        <v>23</v>
      </c>
      <c r="F3123" s="2" t="s">
        <v>35</v>
      </c>
      <c r="G3123" s="7"/>
      <c r="H3123" s="13" t="str">
        <f>IFERROR(IF(ABS($G3123)&gt;0,VLOOKUP($E3123,'Fuel Category and Heat Rate'!$B$1:$G$34,6,FALSE)*($G3123),""),"")</f>
        <v/>
      </c>
      <c r="I3123" t="str">
        <f>IFERROR(VLOOKUP($E3123,'Fuel Category and Heat Rate'!$K$2:$M$36,3,FALSE),"")</f>
        <v>heavy or residual fuel oil</v>
      </c>
    </row>
    <row r="3124" spans="1:9" x14ac:dyDescent="0.15">
      <c r="A3124" s="2">
        <v>352672</v>
      </c>
      <c r="B3124" s="2" t="s">
        <v>84</v>
      </c>
      <c r="C3124" s="2">
        <v>2020</v>
      </c>
      <c r="D3124" s="2" t="s">
        <v>1</v>
      </c>
      <c r="E3124" s="2" t="s">
        <v>21</v>
      </c>
      <c r="F3124" s="2" t="s">
        <v>35</v>
      </c>
      <c r="G3124" s="7"/>
      <c r="H3124" s="13" t="str">
        <f>IFERROR(IF(ABS($G3124)&gt;0,VLOOKUP($E3124,'Fuel Category and Heat Rate'!$B$1:$G$34,6,FALSE)*($G3124),""),"")</f>
        <v/>
      </c>
      <c r="I3124" t="str">
        <f>IFERROR(VLOOKUP($E3124,'Fuel Category and Heat Rate'!$K$2:$M$36,3,FALSE),"")</f>
        <v>LPG propane or butane</v>
      </c>
    </row>
    <row r="3125" spans="1:9" x14ac:dyDescent="0.15">
      <c r="A3125" s="2">
        <v>352707</v>
      </c>
      <c r="B3125" s="2" t="s">
        <v>84</v>
      </c>
      <c r="C3125" s="2">
        <v>2020</v>
      </c>
      <c r="D3125" s="2" t="s">
        <v>1</v>
      </c>
      <c r="E3125" s="2" t="s">
        <v>22</v>
      </c>
      <c r="F3125" s="2" t="s">
        <v>35</v>
      </c>
      <c r="G3125" s="7"/>
      <c r="H3125" s="13" t="str">
        <f>IFERROR(IF(ABS($G3125)&gt;0,VLOOKUP($E3125,'Fuel Category and Heat Rate'!$B$1:$G$34,6,FALSE)*($G3125),""),"")</f>
        <v/>
      </c>
      <c r="I3125" t="str">
        <f>IFERROR(VLOOKUP($E3125,'Fuel Category and Heat Rate'!$K$2:$M$36,3,FALSE),"")</f>
        <v>heavy fuel oil</v>
      </c>
    </row>
    <row r="3126" spans="1:9" x14ac:dyDescent="0.15">
      <c r="A3126" s="2">
        <v>352742</v>
      </c>
      <c r="B3126" s="2" t="s">
        <v>84</v>
      </c>
      <c r="C3126" s="2">
        <v>2020</v>
      </c>
      <c r="D3126" s="2" t="s">
        <v>1</v>
      </c>
      <c r="E3126" s="2" t="s">
        <v>20</v>
      </c>
      <c r="F3126" s="2" t="s">
        <v>35</v>
      </c>
      <c r="G3126" s="7"/>
      <c r="H3126" s="13" t="str">
        <f>IFERROR(IF(ABS($G3126)&gt;0,VLOOKUP($E3126,'Fuel Category and Heat Rate'!$B$1:$G$34,6,FALSE)*($G3126),""),"")</f>
        <v/>
      </c>
      <c r="I3126" t="str">
        <f>IFERROR(VLOOKUP($E3126,'Fuel Category and Heat Rate'!$K$2:$M$36,3,FALSE),"")</f>
        <v>LPG propane or butane</v>
      </c>
    </row>
    <row r="3127" spans="1:9" x14ac:dyDescent="0.15">
      <c r="A3127" s="2">
        <v>352777</v>
      </c>
      <c r="B3127" s="2" t="s">
        <v>84</v>
      </c>
      <c r="C3127" s="2">
        <v>2020</v>
      </c>
      <c r="D3127" s="2" t="s">
        <v>1</v>
      </c>
      <c r="E3127" s="2" t="s">
        <v>25</v>
      </c>
      <c r="F3127" s="2" t="s">
        <v>35</v>
      </c>
      <c r="G3127" s="7"/>
      <c r="H3127" s="13" t="str">
        <f>IFERROR(IF(ABS($G3127)&gt;0,VLOOKUP($E3127,'Fuel Category and Heat Rate'!$B$1:$G$34,6,FALSE)*($G3127),""),"")</f>
        <v/>
      </c>
      <c r="I3127" t="str">
        <f>IFERROR(VLOOKUP($E3127,'Fuel Category and Heat Rate'!$K$2:$M$36,3,FALSE),"")</f>
        <v>heavy fuel oil</v>
      </c>
    </row>
    <row r="3128" spans="1:9" x14ac:dyDescent="0.15">
      <c r="A3128" s="2">
        <v>352812</v>
      </c>
      <c r="B3128" s="2" t="s">
        <v>84</v>
      </c>
      <c r="C3128" s="2">
        <v>2020</v>
      </c>
      <c r="D3128" s="2" t="s">
        <v>1</v>
      </c>
      <c r="E3128" s="2" t="s">
        <v>24</v>
      </c>
      <c r="F3128" s="2" t="s">
        <v>35</v>
      </c>
      <c r="G3128" s="7"/>
      <c r="H3128" s="13" t="str">
        <f>IFERROR(IF(ABS($G3128)&gt;0,VLOOKUP($E3128,'Fuel Category and Heat Rate'!$B$1:$G$34,6,FALSE)*($G3128),""),"")</f>
        <v/>
      </c>
      <c r="I3128" t="str">
        <f>IFERROR(VLOOKUP($E3128,'Fuel Category and Heat Rate'!$K$2:$M$36,3,FALSE),"")</f>
        <v>heavy fuel oil</v>
      </c>
    </row>
    <row r="3129" spans="1:9" x14ac:dyDescent="0.15">
      <c r="A3129" s="2">
        <v>352847</v>
      </c>
      <c r="B3129" s="2" t="s">
        <v>84</v>
      </c>
      <c r="C3129" s="2">
        <v>2020</v>
      </c>
      <c r="D3129" s="2" t="s">
        <v>1</v>
      </c>
      <c r="E3129" s="2" t="s">
        <v>29</v>
      </c>
      <c r="F3129" s="2" t="s">
        <v>36</v>
      </c>
      <c r="G3129" s="7">
        <v>-0.22</v>
      </c>
      <c r="H3129" s="13">
        <f>IFERROR(IF(ABS($G3129)&gt;0,VLOOKUP($E3129,'Fuel Category and Heat Rate'!$B$1:$G$34,6,FALSE)*($G3129),""),"")</f>
        <v>-742007164833.97534</v>
      </c>
      <c r="I3129" t="str">
        <f>IFERROR(VLOOKUP($E3129,'Fuel Category and Heat Rate'!$K$2:$M$36,3,FALSE),"")</f>
        <v>natural gas</v>
      </c>
    </row>
    <row r="3130" spans="1:9" x14ac:dyDescent="0.15">
      <c r="A3130" s="2">
        <v>352882</v>
      </c>
      <c r="B3130" s="2" t="s">
        <v>84</v>
      </c>
      <c r="C3130" s="2">
        <v>2020</v>
      </c>
      <c r="D3130" s="2" t="s">
        <v>1</v>
      </c>
      <c r="E3130" s="2" t="s">
        <v>4</v>
      </c>
      <c r="F3130" s="2" t="s">
        <v>35</v>
      </c>
      <c r="G3130" s="7"/>
      <c r="H3130" s="13" t="str">
        <f>IFERROR(IF(ABS($G3130)&gt;0,VLOOKUP($E3130,'Fuel Category and Heat Rate'!$B$1:$G$34,6,FALSE)*($G3130),""),"")</f>
        <v/>
      </c>
      <c r="I3130" t="str">
        <f>IFERROR(VLOOKUP($E3130,'Fuel Category and Heat Rate'!$K$2:$M$36,3,FALSE),"")</f>
        <v>coal</v>
      </c>
    </row>
    <row r="3131" spans="1:9" x14ac:dyDescent="0.15">
      <c r="A3131" s="2">
        <v>352917</v>
      </c>
      <c r="B3131" s="2" t="s">
        <v>84</v>
      </c>
      <c r="C3131" s="2">
        <v>2020</v>
      </c>
      <c r="D3131" s="2" t="s">
        <v>1</v>
      </c>
      <c r="E3131" s="2" t="s">
        <v>6</v>
      </c>
      <c r="F3131" s="2" t="s">
        <v>35</v>
      </c>
      <c r="G3131" s="7"/>
      <c r="H3131" s="13" t="str">
        <f>IFERROR(IF(ABS($G3131)&gt;0,VLOOKUP($E3131,'Fuel Category and Heat Rate'!$B$1:$G$34,6,FALSE)*($G3131),""),"")</f>
        <v/>
      </c>
      <c r="I3131" t="str">
        <f>IFERROR(VLOOKUP($E3131,'Fuel Category and Heat Rate'!$K$2:$M$36,3,FALSE),"")</f>
        <v>coal</v>
      </c>
    </row>
    <row r="3132" spans="1:9" x14ac:dyDescent="0.15">
      <c r="A3132" s="2">
        <v>352952</v>
      </c>
      <c r="B3132" s="2" t="s">
        <v>84</v>
      </c>
      <c r="C3132" s="2">
        <v>2020</v>
      </c>
      <c r="D3132" s="2" t="s">
        <v>1</v>
      </c>
      <c r="E3132" s="2" t="s">
        <v>26</v>
      </c>
      <c r="F3132" s="2" t="s">
        <v>35</v>
      </c>
      <c r="G3132" s="7"/>
      <c r="H3132" s="13" t="str">
        <f>IFERROR(IF(ABS($G3132)&gt;0,VLOOKUP($E3132,'Fuel Category and Heat Rate'!$B$1:$G$34,6,FALSE)*($G3132),""),"")</f>
        <v/>
      </c>
      <c r="I3132" t="str">
        <f>IFERROR(VLOOKUP($E3132,'Fuel Category and Heat Rate'!$K$2:$M$36,3,FALSE),"")</f>
        <v>LPG propane or butane</v>
      </c>
    </row>
    <row r="3133" spans="1:9" x14ac:dyDescent="0.15">
      <c r="A3133" s="2">
        <v>352987</v>
      </c>
      <c r="B3133" s="2" t="s">
        <v>84</v>
      </c>
      <c r="C3133" s="2">
        <v>2020</v>
      </c>
      <c r="D3133" s="2" t="s">
        <v>1</v>
      </c>
      <c r="E3133" s="2" t="s">
        <v>30</v>
      </c>
      <c r="F3133" s="2" t="s">
        <v>35</v>
      </c>
      <c r="G3133" s="7"/>
      <c r="H3133" s="13" t="str">
        <f>IFERROR(IF(ABS($G3133)&gt;0,VLOOKUP($E3133,'Fuel Category and Heat Rate'!$B$1:$G$34,6,FALSE)*($G3133),""),"")</f>
        <v/>
      </c>
      <c r="I3133" t="str">
        <f>IFERROR(VLOOKUP($E3133,'Fuel Category and Heat Rate'!$K$2:$M$36,3,FALSE),"")</f>
        <v>natural gas</v>
      </c>
    </row>
    <row r="3134" spans="1:9" x14ac:dyDescent="0.15">
      <c r="A3134" s="2">
        <v>353022</v>
      </c>
      <c r="B3134" s="2" t="s">
        <v>84</v>
      </c>
      <c r="C3134" s="2">
        <v>2020</v>
      </c>
      <c r="D3134" s="2" t="s">
        <v>1</v>
      </c>
      <c r="E3134" s="2" t="s">
        <v>14</v>
      </c>
      <c r="F3134" s="2" t="s">
        <v>35</v>
      </c>
      <c r="G3134" s="7"/>
      <c r="H3134" s="13" t="str">
        <f>IFERROR(IF(ABS($G3134)&gt;0,VLOOKUP($E3134,'Fuel Category and Heat Rate'!$B$1:$G$34,6,FALSE)*($G3134),""),"")</f>
        <v/>
      </c>
      <c r="I3134" t="str">
        <f>IFERROR(VLOOKUP($E3134,'Fuel Category and Heat Rate'!$K$2:$M$36,3,FALSE),"")</f>
        <v/>
      </c>
    </row>
    <row r="3135" spans="1:9" x14ac:dyDescent="0.15">
      <c r="A3135" s="2">
        <v>353057</v>
      </c>
      <c r="B3135" s="2" t="s">
        <v>84</v>
      </c>
      <c r="C3135" s="2">
        <v>2020</v>
      </c>
      <c r="D3135" s="2" t="s">
        <v>1</v>
      </c>
      <c r="E3135" s="2" t="s">
        <v>3</v>
      </c>
      <c r="F3135" s="2" t="s">
        <v>35</v>
      </c>
      <c r="G3135" s="7">
        <v>-212.36</v>
      </c>
      <c r="H3135" s="13">
        <f>IFERROR(IF(ABS($G3135)&gt;0,VLOOKUP($E3135,'Fuel Category and Heat Rate'!$B$1:$G$34,6,FALSE)*($G3135),""),"")</f>
        <v>-42083297106973.063</v>
      </c>
      <c r="I3135" t="str">
        <f>IFERROR(VLOOKUP($E3135,'Fuel Category and Heat Rate'!$K$2:$M$36,3,FALSE),"")</f>
        <v>coal</v>
      </c>
    </row>
    <row r="3136" spans="1:9" x14ac:dyDescent="0.15">
      <c r="A3136" s="2">
        <v>353092</v>
      </c>
      <c r="B3136" s="2" t="s">
        <v>84</v>
      </c>
      <c r="C3136" s="2">
        <v>2020</v>
      </c>
      <c r="D3136" s="2" t="s">
        <v>1</v>
      </c>
      <c r="E3136" s="2" t="s">
        <v>15</v>
      </c>
      <c r="F3136" s="2" t="s">
        <v>35</v>
      </c>
      <c r="G3136" s="7"/>
      <c r="H3136" s="13" t="str">
        <f>IFERROR(IF(ABS($G3136)&gt;0,VLOOKUP($E3136,'Fuel Category and Heat Rate'!$B$1:$G$34,6,FALSE)*($G3136),""),"")</f>
        <v/>
      </c>
      <c r="I3136" t="str">
        <f>IFERROR(VLOOKUP($E3136,'Fuel Category and Heat Rate'!$K$2:$M$36,3,FALSE),"")</f>
        <v>crude oil</v>
      </c>
    </row>
    <row r="3137" spans="1:9" x14ac:dyDescent="0.15">
      <c r="A3137" s="2">
        <v>353127</v>
      </c>
      <c r="B3137" s="2" t="s">
        <v>84</v>
      </c>
      <c r="C3137" s="2">
        <v>2020</v>
      </c>
      <c r="D3137" s="2" t="s">
        <v>1</v>
      </c>
      <c r="E3137" s="2" t="s">
        <v>11</v>
      </c>
      <c r="F3137" s="2" t="s">
        <v>36</v>
      </c>
      <c r="G3137" s="7"/>
      <c r="H3137" s="13" t="str">
        <f>IFERROR(IF(ABS($G3137)&gt;0,VLOOKUP($E3137,'Fuel Category and Heat Rate'!$B$1:$G$34,6,FALSE)*($G3137),""),"")</f>
        <v/>
      </c>
      <c r="I3137" t="str">
        <f>IFERROR(VLOOKUP($E3137,'Fuel Category and Heat Rate'!$K$2:$M$36,3,FALSE),"")</f>
        <v>LPG propane or butane</v>
      </c>
    </row>
    <row r="3138" spans="1:9" x14ac:dyDescent="0.15">
      <c r="A3138" s="2">
        <v>353162</v>
      </c>
      <c r="B3138" s="2" t="s">
        <v>84</v>
      </c>
      <c r="C3138" s="2">
        <v>2019</v>
      </c>
      <c r="D3138" s="2" t="s">
        <v>1</v>
      </c>
      <c r="E3138" s="2" t="s">
        <v>18</v>
      </c>
      <c r="F3138" s="2" t="s">
        <v>35</v>
      </c>
      <c r="G3138" s="7"/>
      <c r="H3138" s="13" t="str">
        <f>IFERROR(IF(ABS($G3138)&gt;0,VLOOKUP($E3138,'Fuel Category and Heat Rate'!$B$1:$G$34,6,FALSE)*($G3138),""),"")</f>
        <v/>
      </c>
      <c r="I3138" t="str">
        <f>IFERROR(VLOOKUP($E3138,'Fuel Category and Heat Rate'!$K$2:$M$36,3,FALSE),"")</f>
        <v>petroleum diesel</v>
      </c>
    </row>
    <row r="3139" spans="1:9" x14ac:dyDescent="0.15">
      <c r="A3139" s="2">
        <v>353197</v>
      </c>
      <c r="B3139" s="2" t="s">
        <v>84</v>
      </c>
      <c r="C3139" s="2">
        <v>2019</v>
      </c>
      <c r="D3139" s="2" t="s">
        <v>1</v>
      </c>
      <c r="E3139" s="2" t="s">
        <v>32</v>
      </c>
      <c r="F3139" s="2" t="s">
        <v>65</v>
      </c>
      <c r="G3139" s="7"/>
      <c r="H3139" s="13" t="str">
        <f>IFERROR(IF(ABS($G3139)&gt;0,VLOOKUP($E3139,'Fuel Category and Heat Rate'!$B$1:$G$34,6,FALSE)*($G3139),""),"")</f>
        <v/>
      </c>
      <c r="I3139" t="str">
        <f>IFERROR(VLOOKUP($E3139,'Fuel Category and Heat Rate'!$K$2:$M$36,3,FALSE),"")</f>
        <v>electricity</v>
      </c>
    </row>
    <row r="3140" spans="1:9" x14ac:dyDescent="0.15">
      <c r="A3140" s="2">
        <v>353232</v>
      </c>
      <c r="B3140" s="2" t="s">
        <v>84</v>
      </c>
      <c r="C3140" s="2">
        <v>2019</v>
      </c>
      <c r="D3140" s="2" t="s">
        <v>1</v>
      </c>
      <c r="E3140" s="2" t="s">
        <v>10</v>
      </c>
      <c r="F3140" s="2" t="s">
        <v>36</v>
      </c>
      <c r="G3140" s="7">
        <v>-5.58</v>
      </c>
      <c r="H3140" s="13">
        <f>IFERROR(IF(ABS($G3140)&gt;0,VLOOKUP($E3140,'Fuel Category and Heat Rate'!$B$1:$G$34,6,FALSE)*($G3140),""),"")</f>
        <v>-1990182794588.552</v>
      </c>
      <c r="I3140" t="str">
        <f>IFERROR(VLOOKUP($E3140,'Fuel Category and Heat Rate'!$K$2:$M$36,3,FALSE),"")</f>
        <v>LPG propane or butane</v>
      </c>
    </row>
    <row r="3141" spans="1:9" x14ac:dyDescent="0.15">
      <c r="A3141" s="2">
        <v>353267</v>
      </c>
      <c r="B3141" s="2" t="s">
        <v>84</v>
      </c>
      <c r="C3141" s="2">
        <v>2019</v>
      </c>
      <c r="D3141" s="2" t="s">
        <v>1</v>
      </c>
      <c r="E3141" s="2" t="s">
        <v>9</v>
      </c>
      <c r="F3141" s="2" t="s">
        <v>36</v>
      </c>
      <c r="G3141" s="7"/>
      <c r="H3141" s="13" t="str">
        <f>IFERROR(IF(ABS($G3141)&gt;0,VLOOKUP($E3141,'Fuel Category and Heat Rate'!$B$1:$G$34,6,FALSE)*($G3141),""),"")</f>
        <v/>
      </c>
      <c r="I3141" t="str">
        <f>IFERROR(VLOOKUP($E3141,'Fuel Category and Heat Rate'!$K$2:$M$36,3,FALSE),"")</f>
        <v>LPG propane or butane</v>
      </c>
    </row>
    <row r="3142" spans="1:9" x14ac:dyDescent="0.15">
      <c r="A3142" s="2">
        <v>353302</v>
      </c>
      <c r="B3142" s="2" t="s">
        <v>84</v>
      </c>
      <c r="C3142" s="2">
        <v>2019</v>
      </c>
      <c r="D3142" s="2" t="s">
        <v>1</v>
      </c>
      <c r="E3142" s="2" t="s">
        <v>8</v>
      </c>
      <c r="F3142" s="2" t="s">
        <v>35</v>
      </c>
      <c r="G3142" s="7"/>
      <c r="H3142" s="13" t="str">
        <f>IFERROR(IF(ABS($G3142)&gt;0,VLOOKUP($E3142,'Fuel Category and Heat Rate'!$B$1:$G$34,6,FALSE)*($G3142),""),"")</f>
        <v/>
      </c>
      <c r="I3142" t="str">
        <f>IFERROR(VLOOKUP($E3142,'Fuel Category and Heat Rate'!$K$2:$M$36,3,FALSE),"")</f>
        <v>coal</v>
      </c>
    </row>
    <row r="3143" spans="1:9" x14ac:dyDescent="0.15">
      <c r="A3143" s="2">
        <v>353337</v>
      </c>
      <c r="B3143" s="2" t="s">
        <v>84</v>
      </c>
      <c r="C3143" s="2">
        <v>2019</v>
      </c>
      <c r="D3143" s="2" t="s">
        <v>1</v>
      </c>
      <c r="E3143" s="2" t="s">
        <v>27</v>
      </c>
      <c r="F3143" s="2" t="s">
        <v>35</v>
      </c>
      <c r="G3143" s="7"/>
      <c r="H3143" s="13" t="str">
        <f>IFERROR(IF(ABS($G3143)&gt;0,VLOOKUP($E3143,'Fuel Category and Heat Rate'!$B$1:$G$34,6,FALSE)*($G3143),""),"")</f>
        <v/>
      </c>
      <c r="I3143" t="str">
        <f>IFERROR(VLOOKUP($E3143,'Fuel Category and Heat Rate'!$K$2:$M$36,3,FALSE),"")</f>
        <v>LPG propane or butane</v>
      </c>
    </row>
    <row r="3144" spans="1:9" x14ac:dyDescent="0.15">
      <c r="A3144" s="2">
        <v>353372</v>
      </c>
      <c r="B3144" s="2" t="s">
        <v>84</v>
      </c>
      <c r="C3144" s="2">
        <v>2019</v>
      </c>
      <c r="D3144" s="2" t="s">
        <v>1</v>
      </c>
      <c r="E3144" s="2" t="s">
        <v>7</v>
      </c>
      <c r="F3144" s="2" t="s">
        <v>35</v>
      </c>
      <c r="G3144" s="7"/>
      <c r="H3144" s="13" t="str">
        <f>IFERROR(IF(ABS($G3144)&gt;0,VLOOKUP($E3144,'Fuel Category and Heat Rate'!$B$1:$G$34,6,FALSE)*($G3144),""),"")</f>
        <v/>
      </c>
      <c r="I3144" t="str">
        <f>IFERROR(VLOOKUP($E3144,'Fuel Category and Heat Rate'!$K$2:$M$36,3,FALSE),"")</f>
        <v>coal</v>
      </c>
    </row>
    <row r="3145" spans="1:9" x14ac:dyDescent="0.15">
      <c r="A3145" s="2">
        <v>353407</v>
      </c>
      <c r="B3145" s="2" t="s">
        <v>84</v>
      </c>
      <c r="C3145" s="2">
        <v>2019</v>
      </c>
      <c r="D3145" s="2" t="s">
        <v>1</v>
      </c>
      <c r="E3145" s="2" t="s">
        <v>2</v>
      </c>
      <c r="F3145" s="2" t="s">
        <v>35</v>
      </c>
      <c r="G3145" s="7">
        <v>-252.82</v>
      </c>
      <c r="H3145" s="13">
        <f>IFERROR(IF(ABS($G3145)&gt;0,VLOOKUP($E3145,'Fuel Category and Heat Rate'!$B$1:$G$34,6,FALSE)*($G3145),""),"")</f>
        <v>0</v>
      </c>
      <c r="I3145" t="str">
        <f>IFERROR(VLOOKUP($E3145,'Fuel Category and Heat Rate'!$K$2:$M$36,3,FALSE),"")</f>
        <v/>
      </c>
    </row>
    <row r="3146" spans="1:9" x14ac:dyDescent="0.15">
      <c r="A3146" s="2">
        <v>353442</v>
      </c>
      <c r="B3146" s="2" t="s">
        <v>84</v>
      </c>
      <c r="C3146" s="2">
        <v>2019</v>
      </c>
      <c r="D3146" s="2" t="s">
        <v>1</v>
      </c>
      <c r="E3146" s="2" t="s">
        <v>17</v>
      </c>
      <c r="F3146" s="2" t="s">
        <v>35</v>
      </c>
      <c r="G3146" s="7"/>
      <c r="H3146" s="13" t="str">
        <f>IFERROR(IF(ABS($G3146)&gt;0,VLOOKUP($E3146,'Fuel Category and Heat Rate'!$B$1:$G$34,6,FALSE)*($G3146),""),"")</f>
        <v/>
      </c>
      <c r="I3146" t="str">
        <f>IFERROR(VLOOKUP($E3146,'Fuel Category and Heat Rate'!$K$2:$M$36,3,FALSE),"")</f>
        <v>petroleum diesel</v>
      </c>
    </row>
    <row r="3147" spans="1:9" x14ac:dyDescent="0.15">
      <c r="A3147" s="2">
        <v>353477</v>
      </c>
      <c r="B3147" s="2" t="s">
        <v>84</v>
      </c>
      <c r="C3147" s="2">
        <v>2019</v>
      </c>
      <c r="D3147" s="2" t="s">
        <v>1</v>
      </c>
      <c r="E3147" s="2" t="s">
        <v>13</v>
      </c>
      <c r="F3147" s="2" t="s">
        <v>35</v>
      </c>
      <c r="G3147" s="7"/>
      <c r="H3147" s="13" t="str">
        <f>IFERROR(IF(ABS($G3147)&gt;0,VLOOKUP($E3147,'Fuel Category and Heat Rate'!$B$1:$G$34,6,FALSE)*($G3147),""),"")</f>
        <v/>
      </c>
      <c r="I3147" t="str">
        <f>IFERROR(VLOOKUP($E3147,'Fuel Category and Heat Rate'!$K$2:$M$36,3,FALSE),"")</f>
        <v>petroleum diesel</v>
      </c>
    </row>
    <row r="3148" spans="1:9" x14ac:dyDescent="0.15">
      <c r="A3148" s="2">
        <v>353512</v>
      </c>
      <c r="B3148" s="2" t="s">
        <v>84</v>
      </c>
      <c r="C3148" s="2">
        <v>2019</v>
      </c>
      <c r="D3148" s="2" t="s">
        <v>1</v>
      </c>
      <c r="E3148" s="2" t="s">
        <v>12</v>
      </c>
      <c r="F3148" s="2" t="s">
        <v>36</v>
      </c>
      <c r="G3148" s="7"/>
      <c r="H3148" s="13" t="str">
        <f>IFERROR(IF(ABS($G3148)&gt;0,VLOOKUP($E3148,'Fuel Category and Heat Rate'!$B$1:$G$34,6,FALSE)*($G3148),""),"")</f>
        <v/>
      </c>
      <c r="I3148" t="str">
        <f>IFERROR(VLOOKUP($E3148,'Fuel Category and Heat Rate'!$K$2:$M$36,3,FALSE),"")</f>
        <v>LPG propane or butane</v>
      </c>
    </row>
    <row r="3149" spans="1:9" x14ac:dyDescent="0.15">
      <c r="A3149" s="2">
        <v>353547</v>
      </c>
      <c r="B3149" s="2" t="s">
        <v>84</v>
      </c>
      <c r="C3149" s="2">
        <v>2019</v>
      </c>
      <c r="D3149" s="2" t="s">
        <v>1</v>
      </c>
      <c r="E3149" s="2" t="s">
        <v>33</v>
      </c>
      <c r="F3149" s="2" t="s">
        <v>38</v>
      </c>
      <c r="G3149" s="7"/>
      <c r="H3149" s="13" t="str">
        <f>IFERROR(IF(ABS($G3149)&gt;0,VLOOKUP($E3149,'Fuel Category and Heat Rate'!$B$1:$G$34,6,FALSE)*($G3149),""),"")</f>
        <v/>
      </c>
      <c r="I3149" t="str">
        <f>IFERROR(VLOOKUP($E3149,'Fuel Category and Heat Rate'!$K$2:$M$36,3,FALSE),"")</f>
        <v>biomass</v>
      </c>
    </row>
    <row r="3150" spans="1:9" x14ac:dyDescent="0.15">
      <c r="A3150" s="2">
        <v>353582</v>
      </c>
      <c r="B3150" s="2" t="s">
        <v>84</v>
      </c>
      <c r="C3150" s="2">
        <v>2019</v>
      </c>
      <c r="D3150" s="2" t="s">
        <v>1</v>
      </c>
      <c r="E3150" s="2" t="s">
        <v>28</v>
      </c>
      <c r="F3150" s="2" t="s">
        <v>35</v>
      </c>
      <c r="G3150" s="7"/>
      <c r="H3150" s="13" t="str">
        <f>IFERROR(IF(ABS($G3150)&gt;0,VLOOKUP($E3150,'Fuel Category and Heat Rate'!$B$1:$G$34,6,FALSE)*($G3150),""),"")</f>
        <v/>
      </c>
      <c r="I3150" t="str">
        <f>IFERROR(VLOOKUP($E3150,'Fuel Category and Heat Rate'!$K$2:$M$36,3,FALSE),"")</f>
        <v>heavy or residual fuel oil</v>
      </c>
    </row>
    <row r="3151" spans="1:9" x14ac:dyDescent="0.15">
      <c r="A3151" s="2">
        <v>353617</v>
      </c>
      <c r="B3151" s="2" t="s">
        <v>84</v>
      </c>
      <c r="C3151" s="2">
        <v>2019</v>
      </c>
      <c r="D3151" s="2" t="s">
        <v>1</v>
      </c>
      <c r="E3151" s="2" t="s">
        <v>5</v>
      </c>
      <c r="F3151" s="2" t="s">
        <v>35</v>
      </c>
      <c r="G3151" s="7"/>
      <c r="H3151" s="13" t="str">
        <f>IFERROR(IF(ABS($G3151)&gt;0,VLOOKUP($E3151,'Fuel Category and Heat Rate'!$B$1:$G$34,6,FALSE)*($G3151),""),"")</f>
        <v/>
      </c>
      <c r="I3151" t="str">
        <f>IFERROR(VLOOKUP($E3151,'Fuel Category and Heat Rate'!$K$2:$M$36,3,FALSE),"")</f>
        <v>coal</v>
      </c>
    </row>
    <row r="3152" spans="1:9" x14ac:dyDescent="0.15">
      <c r="A3152" s="2">
        <v>353652</v>
      </c>
      <c r="B3152" s="2" t="s">
        <v>84</v>
      </c>
      <c r="C3152" s="2">
        <v>2019</v>
      </c>
      <c r="D3152" s="2" t="s">
        <v>1</v>
      </c>
      <c r="E3152" s="2" t="s">
        <v>16</v>
      </c>
      <c r="F3152" s="2" t="s">
        <v>35</v>
      </c>
      <c r="G3152" s="7"/>
      <c r="H3152" s="13" t="str">
        <f>IFERROR(IF(ABS($G3152)&gt;0,VLOOKUP($E3152,'Fuel Category and Heat Rate'!$B$1:$G$34,6,FALSE)*($G3152),""),"")</f>
        <v/>
      </c>
      <c r="I3152" t="str">
        <f>IFERROR(VLOOKUP($E3152,'Fuel Category and Heat Rate'!$K$2:$M$36,3,FALSE),"")</f>
        <v>petroleum diesel</v>
      </c>
    </row>
    <row r="3153" spans="1:9" x14ac:dyDescent="0.15">
      <c r="A3153" s="2">
        <v>353687</v>
      </c>
      <c r="B3153" s="2" t="s">
        <v>84</v>
      </c>
      <c r="C3153" s="2">
        <v>2019</v>
      </c>
      <c r="D3153" s="2" t="s">
        <v>1</v>
      </c>
      <c r="E3153" s="2" t="s">
        <v>19</v>
      </c>
      <c r="F3153" s="2" t="s">
        <v>35</v>
      </c>
      <c r="G3153" s="7"/>
      <c r="H3153" s="13" t="str">
        <f>IFERROR(IF(ABS($G3153)&gt;0,VLOOKUP($E3153,'Fuel Category and Heat Rate'!$B$1:$G$34,6,FALSE)*($G3153),""),"")</f>
        <v/>
      </c>
      <c r="I3153" t="str">
        <f>IFERROR(VLOOKUP($E3153,'Fuel Category and Heat Rate'!$K$2:$M$36,3,FALSE),"")</f>
        <v>heavy or residual fuel oil</v>
      </c>
    </row>
    <row r="3154" spans="1:9" x14ac:dyDescent="0.15">
      <c r="A3154" s="2">
        <v>353722</v>
      </c>
      <c r="B3154" s="2" t="s">
        <v>84</v>
      </c>
      <c r="C3154" s="2">
        <v>2019</v>
      </c>
      <c r="D3154" s="2" t="s">
        <v>1</v>
      </c>
      <c r="E3154" s="2" t="s">
        <v>31</v>
      </c>
      <c r="F3154" s="2" t="s">
        <v>37</v>
      </c>
      <c r="G3154" s="7">
        <v>4291.2299999999996</v>
      </c>
      <c r="H3154" s="13">
        <f>IFERROR(IF(ABS($G3154)&gt;0,VLOOKUP($E3154,'Fuel Category and Heat Rate'!$B$1:$G$34,6,FALSE)*($G3154),""),"")</f>
        <v>40673012713023.672</v>
      </c>
      <c r="I3154" t="str">
        <f>IFERROR(VLOOKUP($E3154,'Fuel Category and Heat Rate'!$K$2:$M$36,3,FALSE),"")</f>
        <v>heat</v>
      </c>
    </row>
    <row r="3155" spans="1:9" x14ac:dyDescent="0.15">
      <c r="A3155" s="2">
        <v>353757</v>
      </c>
      <c r="B3155" s="2" t="s">
        <v>84</v>
      </c>
      <c r="C3155" s="2">
        <v>2019</v>
      </c>
      <c r="D3155" s="2" t="s">
        <v>1</v>
      </c>
      <c r="E3155" s="2" t="s">
        <v>23</v>
      </c>
      <c r="F3155" s="2" t="s">
        <v>35</v>
      </c>
      <c r="G3155" s="7"/>
      <c r="H3155" s="13" t="str">
        <f>IFERROR(IF(ABS($G3155)&gt;0,VLOOKUP($E3155,'Fuel Category and Heat Rate'!$B$1:$G$34,6,FALSE)*($G3155),""),"")</f>
        <v/>
      </c>
      <c r="I3155" t="str">
        <f>IFERROR(VLOOKUP($E3155,'Fuel Category and Heat Rate'!$K$2:$M$36,3,FALSE),"")</f>
        <v>heavy or residual fuel oil</v>
      </c>
    </row>
    <row r="3156" spans="1:9" x14ac:dyDescent="0.15">
      <c r="A3156" s="2">
        <v>353792</v>
      </c>
      <c r="B3156" s="2" t="s">
        <v>84</v>
      </c>
      <c r="C3156" s="2">
        <v>2019</v>
      </c>
      <c r="D3156" s="2" t="s">
        <v>1</v>
      </c>
      <c r="E3156" s="2" t="s">
        <v>21</v>
      </c>
      <c r="F3156" s="2" t="s">
        <v>35</v>
      </c>
      <c r="G3156" s="7"/>
      <c r="H3156" s="13" t="str">
        <f>IFERROR(IF(ABS($G3156)&gt;0,VLOOKUP($E3156,'Fuel Category and Heat Rate'!$B$1:$G$34,6,FALSE)*($G3156),""),"")</f>
        <v/>
      </c>
      <c r="I3156" t="str">
        <f>IFERROR(VLOOKUP($E3156,'Fuel Category and Heat Rate'!$K$2:$M$36,3,FALSE),"")</f>
        <v>LPG propane or butane</v>
      </c>
    </row>
    <row r="3157" spans="1:9" x14ac:dyDescent="0.15">
      <c r="A3157" s="2">
        <v>353827</v>
      </c>
      <c r="B3157" s="2" t="s">
        <v>84</v>
      </c>
      <c r="C3157" s="2">
        <v>2019</v>
      </c>
      <c r="D3157" s="2" t="s">
        <v>1</v>
      </c>
      <c r="E3157" s="2" t="s">
        <v>22</v>
      </c>
      <c r="F3157" s="2" t="s">
        <v>35</v>
      </c>
      <c r="G3157" s="7"/>
      <c r="H3157" s="13" t="str">
        <f>IFERROR(IF(ABS($G3157)&gt;0,VLOOKUP($E3157,'Fuel Category and Heat Rate'!$B$1:$G$34,6,FALSE)*($G3157),""),"")</f>
        <v/>
      </c>
      <c r="I3157" t="str">
        <f>IFERROR(VLOOKUP($E3157,'Fuel Category and Heat Rate'!$K$2:$M$36,3,FALSE),"")</f>
        <v>heavy fuel oil</v>
      </c>
    </row>
    <row r="3158" spans="1:9" x14ac:dyDescent="0.15">
      <c r="A3158" s="2">
        <v>353862</v>
      </c>
      <c r="B3158" s="2" t="s">
        <v>84</v>
      </c>
      <c r="C3158" s="2">
        <v>2019</v>
      </c>
      <c r="D3158" s="2" t="s">
        <v>1</v>
      </c>
      <c r="E3158" s="2" t="s">
        <v>20</v>
      </c>
      <c r="F3158" s="2" t="s">
        <v>35</v>
      </c>
      <c r="G3158" s="7"/>
      <c r="H3158" s="13" t="str">
        <f>IFERROR(IF(ABS($G3158)&gt;0,VLOOKUP($E3158,'Fuel Category and Heat Rate'!$B$1:$G$34,6,FALSE)*($G3158),""),"")</f>
        <v/>
      </c>
      <c r="I3158" t="str">
        <f>IFERROR(VLOOKUP($E3158,'Fuel Category and Heat Rate'!$K$2:$M$36,3,FALSE),"")</f>
        <v>LPG propane or butane</v>
      </c>
    </row>
    <row r="3159" spans="1:9" x14ac:dyDescent="0.15">
      <c r="A3159" s="2">
        <v>353897</v>
      </c>
      <c r="B3159" s="2" t="s">
        <v>84</v>
      </c>
      <c r="C3159" s="2">
        <v>2019</v>
      </c>
      <c r="D3159" s="2" t="s">
        <v>1</v>
      </c>
      <c r="E3159" s="2" t="s">
        <v>25</v>
      </c>
      <c r="F3159" s="2" t="s">
        <v>35</v>
      </c>
      <c r="G3159" s="7"/>
      <c r="H3159" s="13" t="str">
        <f>IFERROR(IF(ABS($G3159)&gt;0,VLOOKUP($E3159,'Fuel Category and Heat Rate'!$B$1:$G$34,6,FALSE)*($G3159),""),"")</f>
        <v/>
      </c>
      <c r="I3159" t="str">
        <f>IFERROR(VLOOKUP($E3159,'Fuel Category and Heat Rate'!$K$2:$M$36,3,FALSE),"")</f>
        <v>heavy fuel oil</v>
      </c>
    </row>
    <row r="3160" spans="1:9" x14ac:dyDescent="0.15">
      <c r="A3160" s="2">
        <v>353932</v>
      </c>
      <c r="B3160" s="2" t="s">
        <v>84</v>
      </c>
      <c r="C3160" s="2">
        <v>2019</v>
      </c>
      <c r="D3160" s="2" t="s">
        <v>1</v>
      </c>
      <c r="E3160" s="2" t="s">
        <v>24</v>
      </c>
      <c r="F3160" s="2" t="s">
        <v>35</v>
      </c>
      <c r="G3160" s="7"/>
      <c r="H3160" s="13" t="str">
        <f>IFERROR(IF(ABS($G3160)&gt;0,VLOOKUP($E3160,'Fuel Category and Heat Rate'!$B$1:$G$34,6,FALSE)*($G3160),""),"")</f>
        <v/>
      </c>
      <c r="I3160" t="str">
        <f>IFERROR(VLOOKUP($E3160,'Fuel Category and Heat Rate'!$K$2:$M$36,3,FALSE),"")</f>
        <v>heavy fuel oil</v>
      </c>
    </row>
    <row r="3161" spans="1:9" x14ac:dyDescent="0.15">
      <c r="A3161" s="2">
        <v>353967</v>
      </c>
      <c r="B3161" s="2" t="s">
        <v>84</v>
      </c>
      <c r="C3161" s="2">
        <v>2019</v>
      </c>
      <c r="D3161" s="2" t="s">
        <v>1</v>
      </c>
      <c r="E3161" s="2" t="s">
        <v>29</v>
      </c>
      <c r="F3161" s="2" t="s">
        <v>36</v>
      </c>
      <c r="G3161" s="7">
        <v>-0.42</v>
      </c>
      <c r="H3161" s="13">
        <f>IFERROR(IF(ABS($G3161)&gt;0,VLOOKUP($E3161,'Fuel Category and Heat Rate'!$B$1:$G$34,6,FALSE)*($G3161),""),"")</f>
        <v>-1416559132864.8621</v>
      </c>
      <c r="I3161" t="str">
        <f>IFERROR(VLOOKUP($E3161,'Fuel Category and Heat Rate'!$K$2:$M$36,3,FALSE),"")</f>
        <v>natural gas</v>
      </c>
    </row>
    <row r="3162" spans="1:9" x14ac:dyDescent="0.15">
      <c r="A3162" s="2">
        <v>354002</v>
      </c>
      <c r="B3162" s="2" t="s">
        <v>84</v>
      </c>
      <c r="C3162" s="2">
        <v>2019</v>
      </c>
      <c r="D3162" s="2" t="s">
        <v>1</v>
      </c>
      <c r="E3162" s="2" t="s">
        <v>4</v>
      </c>
      <c r="F3162" s="2" t="s">
        <v>35</v>
      </c>
      <c r="G3162" s="7"/>
      <c r="H3162" s="13" t="str">
        <f>IFERROR(IF(ABS($G3162)&gt;0,VLOOKUP($E3162,'Fuel Category and Heat Rate'!$B$1:$G$34,6,FALSE)*($G3162),""),"")</f>
        <v/>
      </c>
      <c r="I3162" t="str">
        <f>IFERROR(VLOOKUP($E3162,'Fuel Category and Heat Rate'!$K$2:$M$36,3,FALSE),"")</f>
        <v>coal</v>
      </c>
    </row>
    <row r="3163" spans="1:9" x14ac:dyDescent="0.15">
      <c r="A3163" s="2">
        <v>354037</v>
      </c>
      <c r="B3163" s="2" t="s">
        <v>84</v>
      </c>
      <c r="C3163" s="2">
        <v>2019</v>
      </c>
      <c r="D3163" s="2" t="s">
        <v>1</v>
      </c>
      <c r="E3163" s="2" t="s">
        <v>6</v>
      </c>
      <c r="F3163" s="2" t="s">
        <v>35</v>
      </c>
      <c r="G3163" s="7"/>
      <c r="H3163" s="13" t="str">
        <f>IFERROR(IF(ABS($G3163)&gt;0,VLOOKUP($E3163,'Fuel Category and Heat Rate'!$B$1:$G$34,6,FALSE)*($G3163),""),"")</f>
        <v/>
      </c>
      <c r="I3163" t="str">
        <f>IFERROR(VLOOKUP($E3163,'Fuel Category and Heat Rate'!$K$2:$M$36,3,FALSE),"")</f>
        <v>coal</v>
      </c>
    </row>
    <row r="3164" spans="1:9" x14ac:dyDescent="0.15">
      <c r="A3164" s="2">
        <v>354072</v>
      </c>
      <c r="B3164" s="2" t="s">
        <v>84</v>
      </c>
      <c r="C3164" s="2">
        <v>2019</v>
      </c>
      <c r="D3164" s="2" t="s">
        <v>1</v>
      </c>
      <c r="E3164" s="2" t="s">
        <v>26</v>
      </c>
      <c r="F3164" s="2" t="s">
        <v>35</v>
      </c>
      <c r="G3164" s="7"/>
      <c r="H3164" s="13" t="str">
        <f>IFERROR(IF(ABS($G3164)&gt;0,VLOOKUP($E3164,'Fuel Category and Heat Rate'!$B$1:$G$34,6,FALSE)*($G3164),""),"")</f>
        <v/>
      </c>
      <c r="I3164" t="str">
        <f>IFERROR(VLOOKUP($E3164,'Fuel Category and Heat Rate'!$K$2:$M$36,3,FALSE),"")</f>
        <v>LPG propane or butane</v>
      </c>
    </row>
    <row r="3165" spans="1:9" x14ac:dyDescent="0.15">
      <c r="A3165" s="2">
        <v>354107</v>
      </c>
      <c r="B3165" s="2" t="s">
        <v>84</v>
      </c>
      <c r="C3165" s="2">
        <v>2019</v>
      </c>
      <c r="D3165" s="2" t="s">
        <v>1</v>
      </c>
      <c r="E3165" s="2" t="s">
        <v>30</v>
      </c>
      <c r="F3165" s="2" t="s">
        <v>35</v>
      </c>
      <c r="G3165" s="7"/>
      <c r="H3165" s="13" t="str">
        <f>IFERROR(IF(ABS($G3165)&gt;0,VLOOKUP($E3165,'Fuel Category and Heat Rate'!$B$1:$G$34,6,FALSE)*($G3165),""),"")</f>
        <v/>
      </c>
      <c r="I3165" t="str">
        <f>IFERROR(VLOOKUP($E3165,'Fuel Category and Heat Rate'!$K$2:$M$36,3,FALSE),"")</f>
        <v>natural gas</v>
      </c>
    </row>
    <row r="3166" spans="1:9" x14ac:dyDescent="0.15">
      <c r="A3166" s="2">
        <v>354142</v>
      </c>
      <c r="B3166" s="2" t="s">
        <v>84</v>
      </c>
      <c r="C3166" s="2">
        <v>2019</v>
      </c>
      <c r="D3166" s="2" t="s">
        <v>1</v>
      </c>
      <c r="E3166" s="2" t="s">
        <v>14</v>
      </c>
      <c r="F3166" s="2" t="s">
        <v>35</v>
      </c>
      <c r="G3166" s="7"/>
      <c r="H3166" s="13" t="str">
        <f>IFERROR(IF(ABS($G3166)&gt;0,VLOOKUP($E3166,'Fuel Category and Heat Rate'!$B$1:$G$34,6,FALSE)*($G3166),""),"")</f>
        <v/>
      </c>
      <c r="I3166" t="str">
        <f>IFERROR(VLOOKUP($E3166,'Fuel Category and Heat Rate'!$K$2:$M$36,3,FALSE),"")</f>
        <v/>
      </c>
    </row>
    <row r="3167" spans="1:9" x14ac:dyDescent="0.15">
      <c r="A3167" s="2">
        <v>354177</v>
      </c>
      <c r="B3167" s="2" t="s">
        <v>84</v>
      </c>
      <c r="C3167" s="2">
        <v>2019</v>
      </c>
      <c r="D3167" s="2" t="s">
        <v>1</v>
      </c>
      <c r="E3167" s="2" t="s">
        <v>3</v>
      </c>
      <c r="F3167" s="2" t="s">
        <v>35</v>
      </c>
      <c r="G3167" s="7">
        <v>-252.82</v>
      </c>
      <c r="H3167" s="13">
        <f>IFERROR(IF(ABS($G3167)&gt;0,VLOOKUP($E3167,'Fuel Category and Heat Rate'!$B$1:$G$34,6,FALSE)*($G3167),""),"")</f>
        <v>-50101239285105.141</v>
      </c>
      <c r="I3167" t="str">
        <f>IFERROR(VLOOKUP($E3167,'Fuel Category and Heat Rate'!$K$2:$M$36,3,FALSE),"")</f>
        <v>coal</v>
      </c>
    </row>
    <row r="3168" spans="1:9" x14ac:dyDescent="0.15">
      <c r="A3168" s="2">
        <v>354212</v>
      </c>
      <c r="B3168" s="2" t="s">
        <v>84</v>
      </c>
      <c r="C3168" s="2">
        <v>2019</v>
      </c>
      <c r="D3168" s="2" t="s">
        <v>1</v>
      </c>
      <c r="E3168" s="2" t="s">
        <v>15</v>
      </c>
      <c r="F3168" s="2" t="s">
        <v>35</v>
      </c>
      <c r="G3168" s="7"/>
      <c r="H3168" s="13" t="str">
        <f>IFERROR(IF(ABS($G3168)&gt;0,VLOOKUP($E3168,'Fuel Category and Heat Rate'!$B$1:$G$34,6,FALSE)*($G3168),""),"")</f>
        <v/>
      </c>
      <c r="I3168" t="str">
        <f>IFERROR(VLOOKUP($E3168,'Fuel Category and Heat Rate'!$K$2:$M$36,3,FALSE),"")</f>
        <v>crude oil</v>
      </c>
    </row>
    <row r="3169" spans="1:9" x14ac:dyDescent="0.15">
      <c r="A3169" s="2">
        <v>354247</v>
      </c>
      <c r="B3169" s="2" t="s">
        <v>84</v>
      </c>
      <c r="C3169" s="2">
        <v>2019</v>
      </c>
      <c r="D3169" s="2" t="s">
        <v>1</v>
      </c>
      <c r="E3169" s="2" t="s">
        <v>11</v>
      </c>
      <c r="F3169" s="2" t="s">
        <v>36</v>
      </c>
      <c r="G3169" s="7"/>
      <c r="H3169" s="13" t="str">
        <f>IFERROR(IF(ABS($G3169)&gt;0,VLOOKUP($E3169,'Fuel Category and Heat Rate'!$B$1:$G$34,6,FALSE)*($G3169),""),"")</f>
        <v/>
      </c>
      <c r="I3169" t="str">
        <f>IFERROR(VLOOKUP($E3169,'Fuel Category and Heat Rate'!$K$2:$M$36,3,FALSE),"")</f>
        <v>LPG propane or butane</v>
      </c>
    </row>
    <row r="3170" spans="1:9" x14ac:dyDescent="0.15">
      <c r="A3170" s="2">
        <v>354282</v>
      </c>
      <c r="B3170" s="2" t="s">
        <v>84</v>
      </c>
      <c r="C3170" s="2">
        <v>2018</v>
      </c>
      <c r="D3170" s="2" t="s">
        <v>1</v>
      </c>
      <c r="E3170" s="2" t="s">
        <v>18</v>
      </c>
      <c r="F3170" s="2" t="s">
        <v>35</v>
      </c>
      <c r="G3170" s="7"/>
      <c r="H3170" s="13" t="str">
        <f>IFERROR(IF(ABS($G3170)&gt;0,VLOOKUP($E3170,'Fuel Category and Heat Rate'!$B$1:$G$34,6,FALSE)*($G3170),""),"")</f>
        <v/>
      </c>
      <c r="I3170" t="str">
        <f>IFERROR(VLOOKUP($E3170,'Fuel Category and Heat Rate'!$K$2:$M$36,3,FALSE),"")</f>
        <v>petroleum diesel</v>
      </c>
    </row>
    <row r="3171" spans="1:9" x14ac:dyDescent="0.15">
      <c r="A3171" s="2">
        <v>354317</v>
      </c>
      <c r="B3171" s="2" t="s">
        <v>84</v>
      </c>
      <c r="C3171" s="2">
        <v>2018</v>
      </c>
      <c r="D3171" s="2" t="s">
        <v>1</v>
      </c>
      <c r="E3171" s="2" t="s">
        <v>32</v>
      </c>
      <c r="F3171" s="2" t="s">
        <v>65</v>
      </c>
      <c r="G3171" s="7"/>
      <c r="H3171" s="13" t="str">
        <f>IFERROR(IF(ABS($G3171)&gt;0,VLOOKUP($E3171,'Fuel Category and Heat Rate'!$B$1:$G$34,6,FALSE)*($G3171),""),"")</f>
        <v/>
      </c>
      <c r="I3171" t="str">
        <f>IFERROR(VLOOKUP($E3171,'Fuel Category and Heat Rate'!$K$2:$M$36,3,FALSE),"")</f>
        <v>electricity</v>
      </c>
    </row>
    <row r="3172" spans="1:9" x14ac:dyDescent="0.15">
      <c r="A3172" s="2">
        <v>354352</v>
      </c>
      <c r="B3172" s="2" t="s">
        <v>84</v>
      </c>
      <c r="C3172" s="2">
        <v>2018</v>
      </c>
      <c r="D3172" s="2" t="s">
        <v>1</v>
      </c>
      <c r="E3172" s="2" t="s">
        <v>10</v>
      </c>
      <c r="F3172" s="2" t="s">
        <v>36</v>
      </c>
      <c r="G3172" s="7">
        <v>-4.7</v>
      </c>
      <c r="H3172" s="13">
        <f>IFERROR(IF(ABS($G3172)&gt;0,VLOOKUP($E3172,'Fuel Category and Heat Rate'!$B$1:$G$34,6,FALSE)*($G3172),""),"")</f>
        <v>-1676318841320.1064</v>
      </c>
      <c r="I3172" t="str">
        <f>IFERROR(VLOOKUP($E3172,'Fuel Category and Heat Rate'!$K$2:$M$36,3,FALSE),"")</f>
        <v>LPG propane or butane</v>
      </c>
    </row>
    <row r="3173" spans="1:9" x14ac:dyDescent="0.15">
      <c r="A3173" s="2">
        <v>354387</v>
      </c>
      <c r="B3173" s="2" t="s">
        <v>84</v>
      </c>
      <c r="C3173" s="2">
        <v>2018</v>
      </c>
      <c r="D3173" s="2" t="s">
        <v>1</v>
      </c>
      <c r="E3173" s="2" t="s">
        <v>9</v>
      </c>
      <c r="F3173" s="2" t="s">
        <v>36</v>
      </c>
      <c r="G3173" s="7">
        <v>-0.04</v>
      </c>
      <c r="H3173" s="13">
        <f>IFERROR(IF(ABS($G3173)&gt;0,VLOOKUP($E3173,'Fuel Category and Heat Rate'!$B$1:$G$34,6,FALSE)*($G3173),""),"")</f>
        <v>-65791777752.808067</v>
      </c>
      <c r="I3173" t="str">
        <f>IFERROR(VLOOKUP($E3173,'Fuel Category and Heat Rate'!$K$2:$M$36,3,FALSE),"")</f>
        <v>LPG propane or butane</v>
      </c>
    </row>
    <row r="3174" spans="1:9" x14ac:dyDescent="0.15">
      <c r="A3174" s="2">
        <v>354422</v>
      </c>
      <c r="B3174" s="2" t="s">
        <v>84</v>
      </c>
      <c r="C3174" s="2">
        <v>2018</v>
      </c>
      <c r="D3174" s="2" t="s">
        <v>1</v>
      </c>
      <c r="E3174" s="2" t="s">
        <v>8</v>
      </c>
      <c r="F3174" s="2" t="s">
        <v>35</v>
      </c>
      <c r="G3174" s="7"/>
      <c r="H3174" s="13" t="str">
        <f>IFERROR(IF(ABS($G3174)&gt;0,VLOOKUP($E3174,'Fuel Category and Heat Rate'!$B$1:$G$34,6,FALSE)*($G3174),""),"")</f>
        <v/>
      </c>
      <c r="I3174" t="str">
        <f>IFERROR(VLOOKUP($E3174,'Fuel Category and Heat Rate'!$K$2:$M$36,3,FALSE),"")</f>
        <v>coal</v>
      </c>
    </row>
    <row r="3175" spans="1:9" x14ac:dyDescent="0.15">
      <c r="A3175" s="2">
        <v>354457</v>
      </c>
      <c r="B3175" s="2" t="s">
        <v>84</v>
      </c>
      <c r="C3175" s="2">
        <v>2018</v>
      </c>
      <c r="D3175" s="2" t="s">
        <v>1</v>
      </c>
      <c r="E3175" s="2" t="s">
        <v>27</v>
      </c>
      <c r="F3175" s="2" t="s">
        <v>35</v>
      </c>
      <c r="G3175" s="7"/>
      <c r="H3175" s="13" t="str">
        <f>IFERROR(IF(ABS($G3175)&gt;0,VLOOKUP($E3175,'Fuel Category and Heat Rate'!$B$1:$G$34,6,FALSE)*($G3175),""),"")</f>
        <v/>
      </c>
      <c r="I3175" t="str">
        <f>IFERROR(VLOOKUP($E3175,'Fuel Category and Heat Rate'!$K$2:$M$36,3,FALSE),"")</f>
        <v>LPG propane or butane</v>
      </c>
    </row>
    <row r="3176" spans="1:9" x14ac:dyDescent="0.15">
      <c r="A3176" s="2">
        <v>354492</v>
      </c>
      <c r="B3176" s="2" t="s">
        <v>84</v>
      </c>
      <c r="C3176" s="2">
        <v>2018</v>
      </c>
      <c r="D3176" s="2" t="s">
        <v>1</v>
      </c>
      <c r="E3176" s="2" t="s">
        <v>7</v>
      </c>
      <c r="F3176" s="2" t="s">
        <v>35</v>
      </c>
      <c r="G3176" s="7"/>
      <c r="H3176" s="13" t="str">
        <f>IFERROR(IF(ABS($G3176)&gt;0,VLOOKUP($E3176,'Fuel Category and Heat Rate'!$B$1:$G$34,6,FALSE)*($G3176),""),"")</f>
        <v/>
      </c>
      <c r="I3176" t="str">
        <f>IFERROR(VLOOKUP($E3176,'Fuel Category and Heat Rate'!$K$2:$M$36,3,FALSE),"")</f>
        <v>coal</v>
      </c>
    </row>
    <row r="3177" spans="1:9" x14ac:dyDescent="0.15">
      <c r="A3177" s="2">
        <v>354527</v>
      </c>
      <c r="B3177" s="2" t="s">
        <v>84</v>
      </c>
      <c r="C3177" s="2">
        <v>2018</v>
      </c>
      <c r="D3177" s="2" t="s">
        <v>1</v>
      </c>
      <c r="E3177" s="2" t="s">
        <v>2</v>
      </c>
      <c r="F3177" s="2" t="s">
        <v>35</v>
      </c>
      <c r="G3177" s="7">
        <v>-251.11</v>
      </c>
      <c r="H3177" s="13">
        <f>IFERROR(IF(ABS($G3177)&gt;0,VLOOKUP($E3177,'Fuel Category and Heat Rate'!$B$1:$G$34,6,FALSE)*($G3177),""),"")</f>
        <v>0</v>
      </c>
      <c r="I3177" t="str">
        <f>IFERROR(VLOOKUP($E3177,'Fuel Category and Heat Rate'!$K$2:$M$36,3,FALSE),"")</f>
        <v/>
      </c>
    </row>
    <row r="3178" spans="1:9" x14ac:dyDescent="0.15">
      <c r="A3178" s="2">
        <v>354562</v>
      </c>
      <c r="B3178" s="2" t="s">
        <v>84</v>
      </c>
      <c r="C3178" s="2">
        <v>2018</v>
      </c>
      <c r="D3178" s="2" t="s">
        <v>1</v>
      </c>
      <c r="E3178" s="2" t="s">
        <v>17</v>
      </c>
      <c r="F3178" s="2" t="s">
        <v>35</v>
      </c>
      <c r="G3178" s="7"/>
      <c r="H3178" s="13" t="str">
        <f>IFERROR(IF(ABS($G3178)&gt;0,VLOOKUP($E3178,'Fuel Category and Heat Rate'!$B$1:$G$34,6,FALSE)*($G3178),""),"")</f>
        <v/>
      </c>
      <c r="I3178" t="str">
        <f>IFERROR(VLOOKUP($E3178,'Fuel Category and Heat Rate'!$K$2:$M$36,3,FALSE),"")</f>
        <v>petroleum diesel</v>
      </c>
    </row>
    <row r="3179" spans="1:9" x14ac:dyDescent="0.15">
      <c r="A3179" s="2">
        <v>354597</v>
      </c>
      <c r="B3179" s="2" t="s">
        <v>84</v>
      </c>
      <c r="C3179" s="2">
        <v>2018</v>
      </c>
      <c r="D3179" s="2" t="s">
        <v>1</v>
      </c>
      <c r="E3179" s="2" t="s">
        <v>13</v>
      </c>
      <c r="F3179" s="2" t="s">
        <v>35</v>
      </c>
      <c r="G3179" s="7"/>
      <c r="H3179" s="13" t="str">
        <f>IFERROR(IF(ABS($G3179)&gt;0,VLOOKUP($E3179,'Fuel Category and Heat Rate'!$B$1:$G$34,6,FALSE)*($G3179),""),"")</f>
        <v/>
      </c>
      <c r="I3179" t="str">
        <f>IFERROR(VLOOKUP($E3179,'Fuel Category and Heat Rate'!$K$2:$M$36,3,FALSE),"")</f>
        <v>petroleum diesel</v>
      </c>
    </row>
    <row r="3180" spans="1:9" x14ac:dyDescent="0.15">
      <c r="A3180" s="2">
        <v>354632</v>
      </c>
      <c r="B3180" s="2" t="s">
        <v>84</v>
      </c>
      <c r="C3180" s="2">
        <v>2018</v>
      </c>
      <c r="D3180" s="2" t="s">
        <v>1</v>
      </c>
      <c r="E3180" s="2" t="s">
        <v>12</v>
      </c>
      <c r="F3180" s="2" t="s">
        <v>36</v>
      </c>
      <c r="G3180" s="7"/>
      <c r="H3180" s="13" t="str">
        <f>IFERROR(IF(ABS($G3180)&gt;0,VLOOKUP($E3180,'Fuel Category and Heat Rate'!$B$1:$G$34,6,FALSE)*($G3180),""),"")</f>
        <v/>
      </c>
      <c r="I3180" t="str">
        <f>IFERROR(VLOOKUP($E3180,'Fuel Category and Heat Rate'!$K$2:$M$36,3,FALSE),"")</f>
        <v>LPG propane or butane</v>
      </c>
    </row>
    <row r="3181" spans="1:9" x14ac:dyDescent="0.15">
      <c r="A3181" s="2">
        <v>354667</v>
      </c>
      <c r="B3181" s="2" t="s">
        <v>84</v>
      </c>
      <c r="C3181" s="2">
        <v>2018</v>
      </c>
      <c r="D3181" s="2" t="s">
        <v>1</v>
      </c>
      <c r="E3181" s="2" t="s">
        <v>33</v>
      </c>
      <c r="F3181" s="2" t="s">
        <v>38</v>
      </c>
      <c r="G3181" s="7"/>
      <c r="H3181" s="13" t="str">
        <f>IFERROR(IF(ABS($G3181)&gt;0,VLOOKUP($E3181,'Fuel Category and Heat Rate'!$B$1:$G$34,6,FALSE)*($G3181),""),"")</f>
        <v/>
      </c>
      <c r="I3181" t="str">
        <f>IFERROR(VLOOKUP($E3181,'Fuel Category and Heat Rate'!$K$2:$M$36,3,FALSE),"")</f>
        <v>biomass</v>
      </c>
    </row>
    <row r="3182" spans="1:9" x14ac:dyDescent="0.15">
      <c r="A3182" s="2">
        <v>354702</v>
      </c>
      <c r="B3182" s="2" t="s">
        <v>84</v>
      </c>
      <c r="C3182" s="2">
        <v>2018</v>
      </c>
      <c r="D3182" s="2" t="s">
        <v>1</v>
      </c>
      <c r="E3182" s="2" t="s">
        <v>28</v>
      </c>
      <c r="F3182" s="2" t="s">
        <v>35</v>
      </c>
      <c r="G3182" s="7"/>
      <c r="H3182" s="13" t="str">
        <f>IFERROR(IF(ABS($G3182)&gt;0,VLOOKUP($E3182,'Fuel Category and Heat Rate'!$B$1:$G$34,6,FALSE)*($G3182),""),"")</f>
        <v/>
      </c>
      <c r="I3182" t="str">
        <f>IFERROR(VLOOKUP($E3182,'Fuel Category and Heat Rate'!$K$2:$M$36,3,FALSE),"")</f>
        <v>heavy or residual fuel oil</v>
      </c>
    </row>
    <row r="3183" spans="1:9" x14ac:dyDescent="0.15">
      <c r="A3183" s="2">
        <v>354737</v>
      </c>
      <c r="B3183" s="2" t="s">
        <v>84</v>
      </c>
      <c r="C3183" s="2">
        <v>2018</v>
      </c>
      <c r="D3183" s="2" t="s">
        <v>1</v>
      </c>
      <c r="E3183" s="2" t="s">
        <v>5</v>
      </c>
      <c r="F3183" s="2" t="s">
        <v>35</v>
      </c>
      <c r="G3183" s="7"/>
      <c r="H3183" s="13" t="str">
        <f>IFERROR(IF(ABS($G3183)&gt;0,VLOOKUP($E3183,'Fuel Category and Heat Rate'!$B$1:$G$34,6,FALSE)*($G3183),""),"")</f>
        <v/>
      </c>
      <c r="I3183" t="str">
        <f>IFERROR(VLOOKUP($E3183,'Fuel Category and Heat Rate'!$K$2:$M$36,3,FALSE),"")</f>
        <v>coal</v>
      </c>
    </row>
    <row r="3184" spans="1:9" x14ac:dyDescent="0.15">
      <c r="A3184" s="2">
        <v>354772</v>
      </c>
      <c r="B3184" s="2" t="s">
        <v>84</v>
      </c>
      <c r="C3184" s="2">
        <v>2018</v>
      </c>
      <c r="D3184" s="2" t="s">
        <v>1</v>
      </c>
      <c r="E3184" s="2" t="s">
        <v>16</v>
      </c>
      <c r="F3184" s="2" t="s">
        <v>35</v>
      </c>
      <c r="G3184" s="7"/>
      <c r="H3184" s="13" t="str">
        <f>IFERROR(IF(ABS($G3184)&gt;0,VLOOKUP($E3184,'Fuel Category and Heat Rate'!$B$1:$G$34,6,FALSE)*($G3184),""),"")</f>
        <v/>
      </c>
      <c r="I3184" t="str">
        <f>IFERROR(VLOOKUP($E3184,'Fuel Category and Heat Rate'!$K$2:$M$36,3,FALSE),"")</f>
        <v>petroleum diesel</v>
      </c>
    </row>
    <row r="3185" spans="1:9" x14ac:dyDescent="0.15">
      <c r="A3185" s="2">
        <v>354807</v>
      </c>
      <c r="B3185" s="2" t="s">
        <v>84</v>
      </c>
      <c r="C3185" s="2">
        <v>2018</v>
      </c>
      <c r="D3185" s="2" t="s">
        <v>1</v>
      </c>
      <c r="E3185" s="2" t="s">
        <v>19</v>
      </c>
      <c r="F3185" s="2" t="s">
        <v>35</v>
      </c>
      <c r="G3185" s="7"/>
      <c r="H3185" s="13" t="str">
        <f>IFERROR(IF(ABS($G3185)&gt;0,VLOOKUP($E3185,'Fuel Category and Heat Rate'!$B$1:$G$34,6,FALSE)*($G3185),""),"")</f>
        <v/>
      </c>
      <c r="I3185" t="str">
        <f>IFERROR(VLOOKUP($E3185,'Fuel Category and Heat Rate'!$K$2:$M$36,3,FALSE),"")</f>
        <v>heavy or residual fuel oil</v>
      </c>
    </row>
    <row r="3186" spans="1:9" x14ac:dyDescent="0.15">
      <c r="A3186" s="2">
        <v>354842</v>
      </c>
      <c r="B3186" s="2" t="s">
        <v>84</v>
      </c>
      <c r="C3186" s="2">
        <v>2018</v>
      </c>
      <c r="D3186" s="2" t="s">
        <v>1</v>
      </c>
      <c r="E3186" s="2" t="s">
        <v>31</v>
      </c>
      <c r="F3186" s="2" t="s">
        <v>37</v>
      </c>
      <c r="G3186" s="7">
        <v>4539.16</v>
      </c>
      <c r="H3186" s="13">
        <f>IFERROR(IF(ABS($G3186)&gt;0,VLOOKUP($E3186,'Fuel Category and Heat Rate'!$B$1:$G$34,6,FALSE)*($G3186),""),"")</f>
        <v>43022935705252</v>
      </c>
      <c r="I3186" t="str">
        <f>IFERROR(VLOOKUP($E3186,'Fuel Category and Heat Rate'!$K$2:$M$36,3,FALSE),"")</f>
        <v>heat</v>
      </c>
    </row>
    <row r="3187" spans="1:9" x14ac:dyDescent="0.15">
      <c r="A3187" s="2">
        <v>354877</v>
      </c>
      <c r="B3187" s="2" t="s">
        <v>84</v>
      </c>
      <c r="C3187" s="2">
        <v>2018</v>
      </c>
      <c r="D3187" s="2" t="s">
        <v>1</v>
      </c>
      <c r="E3187" s="2" t="s">
        <v>23</v>
      </c>
      <c r="F3187" s="2" t="s">
        <v>35</v>
      </c>
      <c r="G3187" s="7"/>
      <c r="H3187" s="13" t="str">
        <f>IFERROR(IF(ABS($G3187)&gt;0,VLOOKUP($E3187,'Fuel Category and Heat Rate'!$B$1:$G$34,6,FALSE)*($G3187),""),"")</f>
        <v/>
      </c>
      <c r="I3187" t="str">
        <f>IFERROR(VLOOKUP($E3187,'Fuel Category and Heat Rate'!$K$2:$M$36,3,FALSE),"")</f>
        <v>heavy or residual fuel oil</v>
      </c>
    </row>
    <row r="3188" spans="1:9" x14ac:dyDescent="0.15">
      <c r="A3188" s="2">
        <v>354912</v>
      </c>
      <c r="B3188" s="2" t="s">
        <v>84</v>
      </c>
      <c r="C3188" s="2">
        <v>2018</v>
      </c>
      <c r="D3188" s="2" t="s">
        <v>1</v>
      </c>
      <c r="E3188" s="2" t="s">
        <v>21</v>
      </c>
      <c r="F3188" s="2" t="s">
        <v>35</v>
      </c>
      <c r="G3188" s="7"/>
      <c r="H3188" s="13" t="str">
        <f>IFERROR(IF(ABS($G3188)&gt;0,VLOOKUP($E3188,'Fuel Category and Heat Rate'!$B$1:$G$34,6,FALSE)*($G3188),""),"")</f>
        <v/>
      </c>
      <c r="I3188" t="str">
        <f>IFERROR(VLOOKUP($E3188,'Fuel Category and Heat Rate'!$K$2:$M$36,3,FALSE),"")</f>
        <v>LPG propane or butane</v>
      </c>
    </row>
    <row r="3189" spans="1:9" x14ac:dyDescent="0.15">
      <c r="A3189" s="2">
        <v>354947</v>
      </c>
      <c r="B3189" s="2" t="s">
        <v>84</v>
      </c>
      <c r="C3189" s="2">
        <v>2018</v>
      </c>
      <c r="D3189" s="2" t="s">
        <v>1</v>
      </c>
      <c r="E3189" s="2" t="s">
        <v>22</v>
      </c>
      <c r="F3189" s="2" t="s">
        <v>35</v>
      </c>
      <c r="G3189" s="7"/>
      <c r="H3189" s="13" t="str">
        <f>IFERROR(IF(ABS($G3189)&gt;0,VLOOKUP($E3189,'Fuel Category and Heat Rate'!$B$1:$G$34,6,FALSE)*($G3189),""),"")</f>
        <v/>
      </c>
      <c r="I3189" t="str">
        <f>IFERROR(VLOOKUP($E3189,'Fuel Category and Heat Rate'!$K$2:$M$36,3,FALSE),"")</f>
        <v>heavy fuel oil</v>
      </c>
    </row>
    <row r="3190" spans="1:9" x14ac:dyDescent="0.15">
      <c r="A3190" s="2">
        <v>354982</v>
      </c>
      <c r="B3190" s="2" t="s">
        <v>84</v>
      </c>
      <c r="C3190" s="2">
        <v>2018</v>
      </c>
      <c r="D3190" s="2" t="s">
        <v>1</v>
      </c>
      <c r="E3190" s="2" t="s">
        <v>20</v>
      </c>
      <c r="F3190" s="2" t="s">
        <v>35</v>
      </c>
      <c r="G3190" s="7"/>
      <c r="H3190" s="13" t="str">
        <f>IFERROR(IF(ABS($G3190)&gt;0,VLOOKUP($E3190,'Fuel Category and Heat Rate'!$B$1:$G$34,6,FALSE)*($G3190),""),"")</f>
        <v/>
      </c>
      <c r="I3190" t="str">
        <f>IFERROR(VLOOKUP($E3190,'Fuel Category and Heat Rate'!$K$2:$M$36,3,FALSE),"")</f>
        <v>LPG propane or butane</v>
      </c>
    </row>
    <row r="3191" spans="1:9" x14ac:dyDescent="0.15">
      <c r="A3191" s="2">
        <v>355017</v>
      </c>
      <c r="B3191" s="2" t="s">
        <v>84</v>
      </c>
      <c r="C3191" s="2">
        <v>2018</v>
      </c>
      <c r="D3191" s="2" t="s">
        <v>1</v>
      </c>
      <c r="E3191" s="2" t="s">
        <v>25</v>
      </c>
      <c r="F3191" s="2" t="s">
        <v>35</v>
      </c>
      <c r="G3191" s="7"/>
      <c r="H3191" s="13" t="str">
        <f>IFERROR(IF(ABS($G3191)&gt;0,VLOOKUP($E3191,'Fuel Category and Heat Rate'!$B$1:$G$34,6,FALSE)*($G3191),""),"")</f>
        <v/>
      </c>
      <c r="I3191" t="str">
        <f>IFERROR(VLOOKUP($E3191,'Fuel Category and Heat Rate'!$K$2:$M$36,3,FALSE),"")</f>
        <v>heavy fuel oil</v>
      </c>
    </row>
    <row r="3192" spans="1:9" x14ac:dyDescent="0.15">
      <c r="A3192" s="2">
        <v>355052</v>
      </c>
      <c r="B3192" s="2" t="s">
        <v>84</v>
      </c>
      <c r="C3192" s="2">
        <v>2018</v>
      </c>
      <c r="D3192" s="2" t="s">
        <v>1</v>
      </c>
      <c r="E3192" s="2" t="s">
        <v>24</v>
      </c>
      <c r="F3192" s="2" t="s">
        <v>35</v>
      </c>
      <c r="G3192" s="7"/>
      <c r="H3192" s="13" t="str">
        <f>IFERROR(IF(ABS($G3192)&gt;0,VLOOKUP($E3192,'Fuel Category and Heat Rate'!$B$1:$G$34,6,FALSE)*($G3192),""),"")</f>
        <v/>
      </c>
      <c r="I3192" t="str">
        <f>IFERROR(VLOOKUP($E3192,'Fuel Category and Heat Rate'!$K$2:$M$36,3,FALSE),"")</f>
        <v>heavy fuel oil</v>
      </c>
    </row>
    <row r="3193" spans="1:9" x14ac:dyDescent="0.15">
      <c r="A3193" s="2">
        <v>355087</v>
      </c>
      <c r="B3193" s="2" t="s">
        <v>84</v>
      </c>
      <c r="C3193" s="2">
        <v>2018</v>
      </c>
      <c r="D3193" s="2" t="s">
        <v>1</v>
      </c>
      <c r="E3193" s="2" t="s">
        <v>29</v>
      </c>
      <c r="F3193" s="2" t="s">
        <v>36</v>
      </c>
      <c r="G3193" s="7">
        <v>-0.57999999999999996</v>
      </c>
      <c r="H3193" s="13">
        <f>IFERROR(IF(ABS($G3193)&gt;0,VLOOKUP($E3193,'Fuel Category and Heat Rate'!$B$1:$G$34,6,FALSE)*($G3193),""),"")</f>
        <v>-1956200707289.5713</v>
      </c>
      <c r="I3193" t="str">
        <f>IFERROR(VLOOKUP($E3193,'Fuel Category and Heat Rate'!$K$2:$M$36,3,FALSE),"")</f>
        <v>natural gas</v>
      </c>
    </row>
    <row r="3194" spans="1:9" x14ac:dyDescent="0.15">
      <c r="A3194" s="2">
        <v>355122</v>
      </c>
      <c r="B3194" s="2" t="s">
        <v>84</v>
      </c>
      <c r="C3194" s="2">
        <v>2018</v>
      </c>
      <c r="D3194" s="2" t="s">
        <v>1</v>
      </c>
      <c r="E3194" s="2" t="s">
        <v>4</v>
      </c>
      <c r="F3194" s="2" t="s">
        <v>35</v>
      </c>
      <c r="G3194" s="7"/>
      <c r="H3194" s="13" t="str">
        <f>IFERROR(IF(ABS($G3194)&gt;0,VLOOKUP($E3194,'Fuel Category and Heat Rate'!$B$1:$G$34,6,FALSE)*($G3194),""),"")</f>
        <v/>
      </c>
      <c r="I3194" t="str">
        <f>IFERROR(VLOOKUP($E3194,'Fuel Category and Heat Rate'!$K$2:$M$36,3,FALSE),"")</f>
        <v>coal</v>
      </c>
    </row>
    <row r="3195" spans="1:9" x14ac:dyDescent="0.15">
      <c r="A3195" s="2">
        <v>355157</v>
      </c>
      <c r="B3195" s="2" t="s">
        <v>84</v>
      </c>
      <c r="C3195" s="2">
        <v>2018</v>
      </c>
      <c r="D3195" s="2" t="s">
        <v>1</v>
      </c>
      <c r="E3195" s="2" t="s">
        <v>6</v>
      </c>
      <c r="F3195" s="2" t="s">
        <v>35</v>
      </c>
      <c r="G3195" s="7"/>
      <c r="H3195" s="13" t="str">
        <f>IFERROR(IF(ABS($G3195)&gt;0,VLOOKUP($E3195,'Fuel Category and Heat Rate'!$B$1:$G$34,6,FALSE)*($G3195),""),"")</f>
        <v/>
      </c>
      <c r="I3195" t="str">
        <f>IFERROR(VLOOKUP($E3195,'Fuel Category and Heat Rate'!$K$2:$M$36,3,FALSE),"")</f>
        <v>coal</v>
      </c>
    </row>
    <row r="3196" spans="1:9" x14ac:dyDescent="0.15">
      <c r="A3196" s="2">
        <v>355192</v>
      </c>
      <c r="B3196" s="2" t="s">
        <v>84</v>
      </c>
      <c r="C3196" s="2">
        <v>2018</v>
      </c>
      <c r="D3196" s="2" t="s">
        <v>1</v>
      </c>
      <c r="E3196" s="2" t="s">
        <v>26</v>
      </c>
      <c r="F3196" s="2" t="s">
        <v>35</v>
      </c>
      <c r="G3196" s="7"/>
      <c r="H3196" s="13" t="str">
        <f>IFERROR(IF(ABS($G3196)&gt;0,VLOOKUP($E3196,'Fuel Category and Heat Rate'!$B$1:$G$34,6,FALSE)*($G3196),""),"")</f>
        <v/>
      </c>
      <c r="I3196" t="str">
        <f>IFERROR(VLOOKUP($E3196,'Fuel Category and Heat Rate'!$K$2:$M$36,3,FALSE),"")</f>
        <v>LPG propane or butane</v>
      </c>
    </row>
    <row r="3197" spans="1:9" x14ac:dyDescent="0.15">
      <c r="A3197" s="2">
        <v>355227</v>
      </c>
      <c r="B3197" s="2" t="s">
        <v>84</v>
      </c>
      <c r="C3197" s="2">
        <v>2018</v>
      </c>
      <c r="D3197" s="2" t="s">
        <v>1</v>
      </c>
      <c r="E3197" s="2" t="s">
        <v>30</v>
      </c>
      <c r="F3197" s="2" t="s">
        <v>35</v>
      </c>
      <c r="G3197" s="7"/>
      <c r="H3197" s="13" t="str">
        <f>IFERROR(IF(ABS($G3197)&gt;0,VLOOKUP($E3197,'Fuel Category and Heat Rate'!$B$1:$G$34,6,FALSE)*($G3197),""),"")</f>
        <v/>
      </c>
      <c r="I3197" t="str">
        <f>IFERROR(VLOOKUP($E3197,'Fuel Category and Heat Rate'!$K$2:$M$36,3,FALSE),"")</f>
        <v>natural gas</v>
      </c>
    </row>
    <row r="3198" spans="1:9" x14ac:dyDescent="0.15">
      <c r="A3198" s="2">
        <v>355262</v>
      </c>
      <c r="B3198" s="2" t="s">
        <v>84</v>
      </c>
      <c r="C3198" s="2">
        <v>2018</v>
      </c>
      <c r="D3198" s="2" t="s">
        <v>1</v>
      </c>
      <c r="E3198" s="2" t="s">
        <v>14</v>
      </c>
      <c r="F3198" s="2" t="s">
        <v>35</v>
      </c>
      <c r="G3198" s="7"/>
      <c r="H3198" s="13" t="str">
        <f>IFERROR(IF(ABS($G3198)&gt;0,VLOOKUP($E3198,'Fuel Category and Heat Rate'!$B$1:$G$34,6,FALSE)*($G3198),""),"")</f>
        <v/>
      </c>
      <c r="I3198" t="str">
        <f>IFERROR(VLOOKUP($E3198,'Fuel Category and Heat Rate'!$K$2:$M$36,3,FALSE),"")</f>
        <v/>
      </c>
    </row>
    <row r="3199" spans="1:9" x14ac:dyDescent="0.15">
      <c r="A3199" s="2">
        <v>355297</v>
      </c>
      <c r="B3199" s="2" t="s">
        <v>84</v>
      </c>
      <c r="C3199" s="2">
        <v>2018</v>
      </c>
      <c r="D3199" s="2" t="s">
        <v>1</v>
      </c>
      <c r="E3199" s="2" t="s">
        <v>3</v>
      </c>
      <c r="F3199" s="2" t="s">
        <v>35</v>
      </c>
      <c r="G3199" s="7">
        <v>-251.11</v>
      </c>
      <c r="H3199" s="13">
        <f>IFERROR(IF(ABS($G3199)&gt;0,VLOOKUP($E3199,'Fuel Category and Heat Rate'!$B$1:$G$34,6,FALSE)*($G3199),""),"")</f>
        <v>-49762369262252.805</v>
      </c>
      <c r="I3199" t="str">
        <f>IFERROR(VLOOKUP($E3199,'Fuel Category and Heat Rate'!$K$2:$M$36,3,FALSE),"")</f>
        <v>coal</v>
      </c>
    </row>
    <row r="3200" spans="1:9" x14ac:dyDescent="0.15">
      <c r="A3200" s="2">
        <v>355332</v>
      </c>
      <c r="B3200" s="2" t="s">
        <v>84</v>
      </c>
      <c r="C3200" s="2">
        <v>2018</v>
      </c>
      <c r="D3200" s="2" t="s">
        <v>1</v>
      </c>
      <c r="E3200" s="2" t="s">
        <v>15</v>
      </c>
      <c r="F3200" s="2" t="s">
        <v>35</v>
      </c>
      <c r="G3200" s="7"/>
      <c r="H3200" s="13" t="str">
        <f>IFERROR(IF(ABS($G3200)&gt;0,VLOOKUP($E3200,'Fuel Category and Heat Rate'!$B$1:$G$34,6,FALSE)*($G3200),""),"")</f>
        <v/>
      </c>
      <c r="I3200" t="str">
        <f>IFERROR(VLOOKUP($E3200,'Fuel Category and Heat Rate'!$K$2:$M$36,3,FALSE),"")</f>
        <v>crude oil</v>
      </c>
    </row>
    <row r="3201" spans="1:9" x14ac:dyDescent="0.15">
      <c r="A3201" s="2">
        <v>355367</v>
      </c>
      <c r="B3201" s="2" t="s">
        <v>84</v>
      </c>
      <c r="C3201" s="2">
        <v>2018</v>
      </c>
      <c r="D3201" s="2" t="s">
        <v>1</v>
      </c>
      <c r="E3201" s="2" t="s">
        <v>11</v>
      </c>
      <c r="F3201" s="2" t="s">
        <v>36</v>
      </c>
      <c r="G3201" s="7"/>
      <c r="H3201" s="13" t="str">
        <f>IFERROR(IF(ABS($G3201)&gt;0,VLOOKUP($E3201,'Fuel Category and Heat Rate'!$B$1:$G$34,6,FALSE)*($G3201),""),"")</f>
        <v/>
      </c>
      <c r="I3201" t="str">
        <f>IFERROR(VLOOKUP($E3201,'Fuel Category and Heat Rate'!$K$2:$M$36,3,FALSE),"")</f>
        <v>LPG propane or butane</v>
      </c>
    </row>
    <row r="3202" spans="1:9" x14ac:dyDescent="0.15">
      <c r="A3202" s="2">
        <v>368212</v>
      </c>
      <c r="B3202" s="2" t="s">
        <v>85</v>
      </c>
      <c r="C3202" s="2">
        <v>2022</v>
      </c>
      <c r="D3202" s="2" t="s">
        <v>1</v>
      </c>
      <c r="E3202" s="2" t="s">
        <v>18</v>
      </c>
      <c r="F3202" s="2" t="s">
        <v>35</v>
      </c>
      <c r="G3202" s="7">
        <v>-3.34</v>
      </c>
      <c r="H3202" s="13">
        <f>IFERROR(IF(ABS($G3202)&gt;0,VLOOKUP($E3202,'Fuel Category and Heat Rate'!$B$1:$G$34,6,FALSE)*($G3202),""),"")</f>
        <v>-1350238283594.1812</v>
      </c>
      <c r="I3202" t="str">
        <f>IFERROR(VLOOKUP($E3202,'Fuel Category and Heat Rate'!$K$2:$M$36,3,FALSE),"")</f>
        <v>petroleum diesel</v>
      </c>
    </row>
    <row r="3203" spans="1:9" x14ac:dyDescent="0.15">
      <c r="A3203" s="2">
        <v>368247</v>
      </c>
      <c r="B3203" s="2" t="s">
        <v>85</v>
      </c>
      <c r="C3203" s="2">
        <v>2022</v>
      </c>
      <c r="D3203" s="2" t="s">
        <v>1</v>
      </c>
      <c r="E3203" s="2" t="s">
        <v>32</v>
      </c>
      <c r="F3203" s="2" t="s">
        <v>65</v>
      </c>
      <c r="G3203" s="7"/>
      <c r="H3203" s="13" t="str">
        <f>IFERROR(IF(ABS($G3203)&gt;0,VLOOKUP($E3203,'Fuel Category and Heat Rate'!$B$1:$G$34,6,FALSE)*($G3203),""),"")</f>
        <v/>
      </c>
      <c r="I3203" t="str">
        <f>IFERROR(VLOOKUP($E3203,'Fuel Category and Heat Rate'!$K$2:$M$36,3,FALSE),"")</f>
        <v>electricity</v>
      </c>
    </row>
    <row r="3204" spans="1:9" x14ac:dyDescent="0.15">
      <c r="A3204" s="2">
        <v>368282</v>
      </c>
      <c r="B3204" s="2" t="s">
        <v>85</v>
      </c>
      <c r="C3204" s="2">
        <v>2022</v>
      </c>
      <c r="D3204" s="2" t="s">
        <v>1</v>
      </c>
      <c r="E3204" s="2" t="s">
        <v>10</v>
      </c>
      <c r="F3204" s="2" t="s">
        <v>36</v>
      </c>
      <c r="G3204" s="7">
        <v>-381.23</v>
      </c>
      <c r="H3204" s="13">
        <f>IFERROR(IF(ABS($G3204)&gt;0,VLOOKUP($E3204,'Fuel Category and Heat Rate'!$B$1:$G$34,6,FALSE)*($G3204),""),"")</f>
        <v>-135970857846056.22</v>
      </c>
      <c r="I3204" t="str">
        <f>IFERROR(VLOOKUP($E3204,'Fuel Category and Heat Rate'!$K$2:$M$36,3,FALSE),"")</f>
        <v>LPG propane or butane</v>
      </c>
    </row>
    <row r="3205" spans="1:9" x14ac:dyDescent="0.15">
      <c r="A3205" s="2">
        <v>368317</v>
      </c>
      <c r="B3205" s="2" t="s">
        <v>85</v>
      </c>
      <c r="C3205" s="2">
        <v>2022</v>
      </c>
      <c r="D3205" s="2" t="s">
        <v>1</v>
      </c>
      <c r="E3205" s="2" t="s">
        <v>9</v>
      </c>
      <c r="F3205" s="2" t="s">
        <v>36</v>
      </c>
      <c r="G3205" s="7">
        <v>-71.430000000000007</v>
      </c>
      <c r="H3205" s="13">
        <f>IFERROR(IF(ABS($G3205)&gt;0,VLOOKUP($E3205,'Fuel Category and Heat Rate'!$B$1:$G$34,6,FALSE)*($G3205),""),"")</f>
        <v>-117487667122077.02</v>
      </c>
      <c r="I3205" t="str">
        <f>IFERROR(VLOOKUP($E3205,'Fuel Category and Heat Rate'!$K$2:$M$36,3,FALSE),"")</f>
        <v>LPG propane or butane</v>
      </c>
    </row>
    <row r="3206" spans="1:9" x14ac:dyDescent="0.15">
      <c r="A3206" s="2">
        <v>368352</v>
      </c>
      <c r="B3206" s="2" t="s">
        <v>85</v>
      </c>
      <c r="C3206" s="2">
        <v>2022</v>
      </c>
      <c r="D3206" s="2" t="s">
        <v>1</v>
      </c>
      <c r="E3206" s="2" t="s">
        <v>8</v>
      </c>
      <c r="F3206" s="2" t="s">
        <v>35</v>
      </c>
      <c r="G3206" s="7">
        <v>-165.44</v>
      </c>
      <c r="H3206" s="13">
        <f>IFERROR(IF(ABS($G3206)&gt;0,VLOOKUP($E3206,'Fuel Category and Heat Rate'!$B$1:$G$34,6,FALSE)*($G3206),""),"")</f>
        <v>-44588031998495.625</v>
      </c>
      <c r="I3206" t="str">
        <f>IFERROR(VLOOKUP($E3206,'Fuel Category and Heat Rate'!$K$2:$M$36,3,FALSE),"")</f>
        <v>coal</v>
      </c>
    </row>
    <row r="3207" spans="1:9" x14ac:dyDescent="0.15">
      <c r="A3207" s="2">
        <v>368387</v>
      </c>
      <c r="B3207" s="2" t="s">
        <v>85</v>
      </c>
      <c r="C3207" s="2">
        <v>2022</v>
      </c>
      <c r="D3207" s="2" t="s">
        <v>1</v>
      </c>
      <c r="E3207" s="2" t="s">
        <v>27</v>
      </c>
      <c r="F3207" s="2" t="s">
        <v>35</v>
      </c>
      <c r="G3207" s="7">
        <v>-185.43</v>
      </c>
      <c r="H3207" s="13">
        <f>IFERROR(IF(ABS($G3207)&gt;0,VLOOKUP($E3207,'Fuel Category and Heat Rate'!$B$1:$G$34,6,FALSE)*($G3207),""),"")</f>
        <v>-80843200291245.25</v>
      </c>
      <c r="I3207" t="str">
        <f>IFERROR(VLOOKUP($E3207,'Fuel Category and Heat Rate'!$K$2:$M$36,3,FALSE),"")</f>
        <v>LPG propane or butane</v>
      </c>
    </row>
    <row r="3208" spans="1:9" x14ac:dyDescent="0.15">
      <c r="A3208" s="2">
        <v>368422</v>
      </c>
      <c r="B3208" s="2" t="s">
        <v>85</v>
      </c>
      <c r="C3208" s="2">
        <v>2022</v>
      </c>
      <c r="D3208" s="2" t="s">
        <v>1</v>
      </c>
      <c r="E3208" s="2" t="s">
        <v>7</v>
      </c>
      <c r="F3208" s="2" t="s">
        <v>35</v>
      </c>
      <c r="G3208" s="7">
        <v>-776.05</v>
      </c>
      <c r="H3208" s="13">
        <f>IFERROR(IF(ABS($G3208)&gt;0,VLOOKUP($E3208,'Fuel Category and Heat Rate'!$B$1:$G$34,6,FALSE)*($G3208),""),"")</f>
        <v>-61595248251549.906</v>
      </c>
      <c r="I3208" t="str">
        <f>IFERROR(VLOOKUP($E3208,'Fuel Category and Heat Rate'!$K$2:$M$36,3,FALSE),"")</f>
        <v>coal</v>
      </c>
    </row>
    <row r="3209" spans="1:9" x14ac:dyDescent="0.15">
      <c r="A3209" s="2">
        <v>368457</v>
      </c>
      <c r="B3209" s="2" t="s">
        <v>85</v>
      </c>
      <c r="C3209" s="2">
        <v>2022</v>
      </c>
      <c r="D3209" s="2" t="s">
        <v>1</v>
      </c>
      <c r="E3209" s="2" t="s">
        <v>2</v>
      </c>
      <c r="F3209" s="2" t="s">
        <v>35</v>
      </c>
      <c r="G3209" s="7">
        <v>-50491.75</v>
      </c>
      <c r="H3209" s="13">
        <f>IFERROR(IF(ABS($G3209)&gt;0,VLOOKUP($E3209,'Fuel Category and Heat Rate'!$B$1:$G$34,6,FALSE)*($G3209),""),"")</f>
        <v>0</v>
      </c>
      <c r="I3209" t="str">
        <f>IFERROR(VLOOKUP($E3209,'Fuel Category and Heat Rate'!$K$2:$M$36,3,FALSE),"")</f>
        <v/>
      </c>
    </row>
    <row r="3210" spans="1:9" x14ac:dyDescent="0.15">
      <c r="A3210" s="2">
        <v>368492</v>
      </c>
      <c r="B3210" s="2" t="s">
        <v>85</v>
      </c>
      <c r="C3210" s="2">
        <v>2022</v>
      </c>
      <c r="D3210" s="2" t="s">
        <v>1</v>
      </c>
      <c r="E3210" s="2" t="s">
        <v>17</v>
      </c>
      <c r="F3210" s="2" t="s">
        <v>35</v>
      </c>
      <c r="G3210" s="7"/>
      <c r="H3210" s="13" t="str">
        <f>IFERROR(IF(ABS($G3210)&gt;0,VLOOKUP($E3210,'Fuel Category and Heat Rate'!$B$1:$G$34,6,FALSE)*($G3210),""),"")</f>
        <v/>
      </c>
      <c r="I3210" t="str">
        <f>IFERROR(VLOOKUP($E3210,'Fuel Category and Heat Rate'!$K$2:$M$36,3,FALSE),"")</f>
        <v>petroleum diesel</v>
      </c>
    </row>
    <row r="3211" spans="1:9" x14ac:dyDescent="0.15">
      <c r="A3211" s="2">
        <v>368527</v>
      </c>
      <c r="B3211" s="2" t="s">
        <v>85</v>
      </c>
      <c r="C3211" s="2">
        <v>2022</v>
      </c>
      <c r="D3211" s="2" t="s">
        <v>1</v>
      </c>
      <c r="E3211" s="2" t="s">
        <v>13</v>
      </c>
      <c r="F3211" s="2" t="s">
        <v>35</v>
      </c>
      <c r="G3211" s="7"/>
      <c r="H3211" s="13" t="str">
        <f>IFERROR(IF(ABS($G3211)&gt;0,VLOOKUP($E3211,'Fuel Category and Heat Rate'!$B$1:$G$34,6,FALSE)*($G3211),""),"")</f>
        <v/>
      </c>
      <c r="I3211" t="str">
        <f>IFERROR(VLOOKUP($E3211,'Fuel Category and Heat Rate'!$K$2:$M$36,3,FALSE),"")</f>
        <v>petroleum diesel</v>
      </c>
    </row>
    <row r="3212" spans="1:9" x14ac:dyDescent="0.15">
      <c r="A3212" s="2">
        <v>368562</v>
      </c>
      <c r="B3212" s="2" t="s">
        <v>85</v>
      </c>
      <c r="C3212" s="2">
        <v>2022</v>
      </c>
      <c r="D3212" s="2" t="s">
        <v>1</v>
      </c>
      <c r="E3212" s="2" t="s">
        <v>12</v>
      </c>
      <c r="F3212" s="2" t="s">
        <v>36</v>
      </c>
      <c r="G3212" s="7">
        <v>-8.0500000000000007</v>
      </c>
      <c r="H3212" s="13">
        <f>IFERROR(IF(ABS($G3212)&gt;0,VLOOKUP($E3212,'Fuel Category and Heat Rate'!$B$1:$G$34,6,FALSE)*($G3212),""),"")</f>
        <v>-3988163280645.2861</v>
      </c>
      <c r="I3212" t="str">
        <f>IFERROR(VLOOKUP($E3212,'Fuel Category and Heat Rate'!$K$2:$M$36,3,FALSE),"")</f>
        <v>LPG propane or butane</v>
      </c>
    </row>
    <row r="3213" spans="1:9" x14ac:dyDescent="0.15">
      <c r="A3213" s="2">
        <v>368597</v>
      </c>
      <c r="B3213" s="2" t="s">
        <v>85</v>
      </c>
      <c r="C3213" s="2">
        <v>2022</v>
      </c>
      <c r="D3213" s="2" t="s">
        <v>1</v>
      </c>
      <c r="E3213" s="2" t="s">
        <v>33</v>
      </c>
      <c r="F3213" s="2" t="s">
        <v>38</v>
      </c>
      <c r="G3213" s="7">
        <v>-1192.6500000000001</v>
      </c>
      <c r="H3213" s="13">
        <f>IFERROR(IF(ABS($G3213)&gt;0,VLOOKUP($E3213,'Fuel Category and Heat Rate'!$B$1:$G$34,6,FALSE)*($G3213),""),"")</f>
        <v>-330883508678711.19</v>
      </c>
      <c r="I3213" t="str">
        <f>IFERROR(VLOOKUP($E3213,'Fuel Category and Heat Rate'!$K$2:$M$36,3,FALSE),"")</f>
        <v>biomass</v>
      </c>
    </row>
    <row r="3214" spans="1:9" x14ac:dyDescent="0.15">
      <c r="A3214" s="2">
        <v>368632</v>
      </c>
      <c r="B3214" s="2" t="s">
        <v>85</v>
      </c>
      <c r="C3214" s="2">
        <v>2022</v>
      </c>
      <c r="D3214" s="2" t="s">
        <v>1</v>
      </c>
      <c r="E3214" s="2" t="s">
        <v>28</v>
      </c>
      <c r="F3214" s="2" t="s">
        <v>35</v>
      </c>
      <c r="G3214" s="7">
        <v>-16.07</v>
      </c>
      <c r="H3214" s="13">
        <f>IFERROR(IF(ABS($G3214)&gt;0,VLOOKUP($E3214,'Fuel Category and Heat Rate'!$B$1:$G$34,6,FALSE)*($G3214),""),"")</f>
        <v>-6241836391883.8994</v>
      </c>
      <c r="I3214" t="str">
        <f>IFERROR(VLOOKUP($E3214,'Fuel Category and Heat Rate'!$K$2:$M$36,3,FALSE),"")</f>
        <v>heavy or residual fuel oil</v>
      </c>
    </row>
    <row r="3215" spans="1:9" x14ac:dyDescent="0.15">
      <c r="A3215" s="2">
        <v>368667</v>
      </c>
      <c r="B3215" s="2" t="s">
        <v>85</v>
      </c>
      <c r="C3215" s="2">
        <v>2022</v>
      </c>
      <c r="D3215" s="2" t="s">
        <v>1</v>
      </c>
      <c r="E3215" s="2" t="s">
        <v>5</v>
      </c>
      <c r="F3215" s="2" t="s">
        <v>35</v>
      </c>
      <c r="G3215" s="7">
        <v>-1501.49</v>
      </c>
      <c r="H3215" s="13">
        <f>IFERROR(IF(ABS($G3215)&gt;0,VLOOKUP($E3215,'Fuel Category and Heat Rate'!$B$1:$G$34,6,FALSE)*($G3215),""),"")</f>
        <v>-119017025212456.75</v>
      </c>
      <c r="I3215" t="str">
        <f>IFERROR(VLOOKUP($E3215,'Fuel Category and Heat Rate'!$K$2:$M$36,3,FALSE),"")</f>
        <v>coal</v>
      </c>
    </row>
    <row r="3216" spans="1:9" x14ac:dyDescent="0.15">
      <c r="A3216" s="2">
        <v>368702</v>
      </c>
      <c r="B3216" s="2" t="s">
        <v>85</v>
      </c>
      <c r="C3216" s="2">
        <v>2022</v>
      </c>
      <c r="D3216" s="2" t="s">
        <v>1</v>
      </c>
      <c r="E3216" s="2" t="s">
        <v>16</v>
      </c>
      <c r="F3216" s="2" t="s">
        <v>35</v>
      </c>
      <c r="G3216" s="7"/>
      <c r="H3216" s="13" t="str">
        <f>IFERROR(IF(ABS($G3216)&gt;0,VLOOKUP($E3216,'Fuel Category and Heat Rate'!$B$1:$G$34,6,FALSE)*($G3216),""),"")</f>
        <v/>
      </c>
      <c r="I3216" t="str">
        <f>IFERROR(VLOOKUP($E3216,'Fuel Category and Heat Rate'!$K$2:$M$36,3,FALSE),"")</f>
        <v>petroleum diesel</v>
      </c>
    </row>
    <row r="3217" spans="1:9" x14ac:dyDescent="0.15">
      <c r="A3217" s="2">
        <v>368737</v>
      </c>
      <c r="B3217" s="2" t="s">
        <v>85</v>
      </c>
      <c r="C3217" s="2">
        <v>2022</v>
      </c>
      <c r="D3217" s="2" t="s">
        <v>1</v>
      </c>
      <c r="E3217" s="2" t="s">
        <v>19</v>
      </c>
      <c r="F3217" s="2" t="s">
        <v>35</v>
      </c>
      <c r="G3217" s="7">
        <v>-239.39</v>
      </c>
      <c r="H3217" s="13">
        <f>IFERROR(IF(ABS($G3217)&gt;0,VLOOKUP($E3217,'Fuel Category and Heat Rate'!$B$1:$G$34,6,FALSE)*($G3217),""),"")</f>
        <v>-94879643006576.375</v>
      </c>
      <c r="I3217" t="str">
        <f>IFERROR(VLOOKUP($E3217,'Fuel Category and Heat Rate'!$K$2:$M$36,3,FALSE),"")</f>
        <v>heavy or residual fuel oil</v>
      </c>
    </row>
    <row r="3218" spans="1:9" x14ac:dyDescent="0.15">
      <c r="A3218" s="2">
        <v>368772</v>
      </c>
      <c r="B3218" s="2" t="s">
        <v>85</v>
      </c>
      <c r="C3218" s="2">
        <v>2022</v>
      </c>
      <c r="D3218" s="2" t="s">
        <v>1</v>
      </c>
      <c r="E3218" s="2" t="s">
        <v>31</v>
      </c>
      <c r="F3218" s="2" t="s">
        <v>37</v>
      </c>
      <c r="G3218" s="7">
        <v>843053.88</v>
      </c>
      <c r="H3218" s="13">
        <f>IFERROR(IF(ABS($G3218)&gt;0,VLOOKUP($E3218,'Fuel Category and Heat Rate'!$B$1:$G$34,6,FALSE)*($G3218),""),"")</f>
        <v>7990609027948616</v>
      </c>
      <c r="I3218" t="str">
        <f>IFERROR(VLOOKUP($E3218,'Fuel Category and Heat Rate'!$K$2:$M$36,3,FALSE),"")</f>
        <v>heat</v>
      </c>
    </row>
    <row r="3219" spans="1:9" x14ac:dyDescent="0.15">
      <c r="A3219" s="2">
        <v>368807</v>
      </c>
      <c r="B3219" s="2" t="s">
        <v>85</v>
      </c>
      <c r="C3219" s="2">
        <v>2022</v>
      </c>
      <c r="D3219" s="2" t="s">
        <v>1</v>
      </c>
      <c r="E3219" s="2" t="s">
        <v>23</v>
      </c>
      <c r="F3219" s="2" t="s">
        <v>35</v>
      </c>
      <c r="G3219" s="7"/>
      <c r="H3219" s="13" t="str">
        <f>IFERROR(IF(ABS($G3219)&gt;0,VLOOKUP($E3219,'Fuel Category and Heat Rate'!$B$1:$G$34,6,FALSE)*($G3219),""),"")</f>
        <v/>
      </c>
      <c r="I3219" t="str">
        <f>IFERROR(VLOOKUP($E3219,'Fuel Category and Heat Rate'!$K$2:$M$36,3,FALSE),"")</f>
        <v>heavy or residual fuel oil</v>
      </c>
    </row>
    <row r="3220" spans="1:9" x14ac:dyDescent="0.15">
      <c r="A3220" s="2">
        <v>368842</v>
      </c>
      <c r="B3220" s="2" t="s">
        <v>85</v>
      </c>
      <c r="C3220" s="2">
        <v>2022</v>
      </c>
      <c r="D3220" s="2" t="s">
        <v>1</v>
      </c>
      <c r="E3220" s="2" t="s">
        <v>21</v>
      </c>
      <c r="F3220" s="2" t="s">
        <v>35</v>
      </c>
      <c r="G3220" s="7"/>
      <c r="H3220" s="13" t="str">
        <f>IFERROR(IF(ABS($G3220)&gt;0,VLOOKUP($E3220,'Fuel Category and Heat Rate'!$B$1:$G$34,6,FALSE)*($G3220),""),"")</f>
        <v/>
      </c>
      <c r="I3220" t="str">
        <f>IFERROR(VLOOKUP($E3220,'Fuel Category and Heat Rate'!$K$2:$M$36,3,FALSE),"")</f>
        <v>LPG propane or butane</v>
      </c>
    </row>
    <row r="3221" spans="1:9" x14ac:dyDescent="0.15">
      <c r="A3221" s="2">
        <v>368877</v>
      </c>
      <c r="B3221" s="2" t="s">
        <v>85</v>
      </c>
      <c r="C3221" s="2">
        <v>2022</v>
      </c>
      <c r="D3221" s="2" t="s">
        <v>1</v>
      </c>
      <c r="E3221" s="2" t="s">
        <v>22</v>
      </c>
      <c r="F3221" s="2" t="s">
        <v>35</v>
      </c>
      <c r="G3221" s="7"/>
      <c r="H3221" s="13" t="str">
        <f>IFERROR(IF(ABS($G3221)&gt;0,VLOOKUP($E3221,'Fuel Category and Heat Rate'!$B$1:$G$34,6,FALSE)*($G3221),""),"")</f>
        <v/>
      </c>
      <c r="I3221" t="str">
        <f>IFERROR(VLOOKUP($E3221,'Fuel Category and Heat Rate'!$K$2:$M$36,3,FALSE),"")</f>
        <v>heavy fuel oil</v>
      </c>
    </row>
    <row r="3222" spans="1:9" x14ac:dyDescent="0.15">
      <c r="A3222" s="2">
        <v>368912</v>
      </c>
      <c r="B3222" s="2" t="s">
        <v>85</v>
      </c>
      <c r="C3222" s="2">
        <v>2022</v>
      </c>
      <c r="D3222" s="2" t="s">
        <v>1</v>
      </c>
      <c r="E3222" s="2" t="s">
        <v>20</v>
      </c>
      <c r="F3222" s="2" t="s">
        <v>35</v>
      </c>
      <c r="G3222" s="7"/>
      <c r="H3222" s="13" t="str">
        <f>IFERROR(IF(ABS($G3222)&gt;0,VLOOKUP($E3222,'Fuel Category and Heat Rate'!$B$1:$G$34,6,FALSE)*($G3222),""),"")</f>
        <v/>
      </c>
      <c r="I3222" t="str">
        <f>IFERROR(VLOOKUP($E3222,'Fuel Category and Heat Rate'!$K$2:$M$36,3,FALSE),"")</f>
        <v>LPG propane or butane</v>
      </c>
    </row>
    <row r="3223" spans="1:9" x14ac:dyDescent="0.15">
      <c r="A3223" s="2">
        <v>368947</v>
      </c>
      <c r="B3223" s="2" t="s">
        <v>85</v>
      </c>
      <c r="C3223" s="2">
        <v>2022</v>
      </c>
      <c r="D3223" s="2" t="s">
        <v>1</v>
      </c>
      <c r="E3223" s="2" t="s">
        <v>25</v>
      </c>
      <c r="F3223" s="2" t="s">
        <v>35</v>
      </c>
      <c r="G3223" s="7">
        <v>-213.09</v>
      </c>
      <c r="H3223" s="13">
        <f>IFERROR(IF(ABS($G3223)&gt;0,VLOOKUP($E3223,'Fuel Category and Heat Rate'!$B$1:$G$34,6,FALSE)*($G3223),""),"")</f>
        <v>-64523467928261.805</v>
      </c>
      <c r="I3223" t="str">
        <f>IFERROR(VLOOKUP($E3223,'Fuel Category and Heat Rate'!$K$2:$M$36,3,FALSE),"")</f>
        <v>heavy fuel oil</v>
      </c>
    </row>
    <row r="3224" spans="1:9" x14ac:dyDescent="0.15">
      <c r="A3224" s="2">
        <v>368982</v>
      </c>
      <c r="B3224" s="2" t="s">
        <v>85</v>
      </c>
      <c r="C3224" s="2">
        <v>2022</v>
      </c>
      <c r="D3224" s="2" t="s">
        <v>1</v>
      </c>
      <c r="E3224" s="2" t="s">
        <v>24</v>
      </c>
      <c r="F3224" s="2" t="s">
        <v>35</v>
      </c>
      <c r="G3224" s="7"/>
      <c r="H3224" s="13" t="str">
        <f>IFERROR(IF(ABS($G3224)&gt;0,VLOOKUP($E3224,'Fuel Category and Heat Rate'!$B$1:$G$34,6,FALSE)*($G3224),""),"")</f>
        <v/>
      </c>
      <c r="I3224" t="str">
        <f>IFERROR(VLOOKUP($E3224,'Fuel Category and Heat Rate'!$K$2:$M$36,3,FALSE),"")</f>
        <v>heavy fuel oil</v>
      </c>
    </row>
    <row r="3225" spans="1:9" x14ac:dyDescent="0.15">
      <c r="A3225" s="2">
        <v>369017</v>
      </c>
      <c r="B3225" s="2" t="s">
        <v>85</v>
      </c>
      <c r="C3225" s="2">
        <v>2022</v>
      </c>
      <c r="D3225" s="2" t="s">
        <v>1</v>
      </c>
      <c r="E3225" s="2" t="s">
        <v>29</v>
      </c>
      <c r="F3225" s="2" t="s">
        <v>36</v>
      </c>
      <c r="G3225" s="7">
        <v>-224.28</v>
      </c>
      <c r="H3225" s="13">
        <f>IFERROR(IF(ABS($G3225)&gt;0,VLOOKUP($E3225,'Fuel Category and Heat Rate'!$B$1:$G$34,6,FALSE)*($G3225),""),"")</f>
        <v>-756442576949836.38</v>
      </c>
      <c r="I3225" t="str">
        <f>IFERROR(VLOOKUP($E3225,'Fuel Category and Heat Rate'!$K$2:$M$36,3,FALSE),"")</f>
        <v>natural gas</v>
      </c>
    </row>
    <row r="3226" spans="1:9" x14ac:dyDescent="0.15">
      <c r="A3226" s="2">
        <v>369052</v>
      </c>
      <c r="B3226" s="2" t="s">
        <v>85</v>
      </c>
      <c r="C3226" s="2">
        <v>2022</v>
      </c>
      <c r="D3226" s="2" t="s">
        <v>1</v>
      </c>
      <c r="E3226" s="2" t="s">
        <v>4</v>
      </c>
      <c r="F3226" s="2" t="s">
        <v>35</v>
      </c>
      <c r="G3226" s="7"/>
      <c r="H3226" s="13" t="str">
        <f>IFERROR(IF(ABS($G3226)&gt;0,VLOOKUP($E3226,'Fuel Category and Heat Rate'!$B$1:$G$34,6,FALSE)*($G3226),""),"")</f>
        <v/>
      </c>
      <c r="I3226" t="str">
        <f>IFERROR(VLOOKUP($E3226,'Fuel Category and Heat Rate'!$K$2:$M$36,3,FALSE),"")</f>
        <v>coal</v>
      </c>
    </row>
    <row r="3227" spans="1:9" x14ac:dyDescent="0.15">
      <c r="A3227" s="2">
        <v>369087</v>
      </c>
      <c r="B3227" s="2" t="s">
        <v>85</v>
      </c>
      <c r="C3227" s="2">
        <v>2022</v>
      </c>
      <c r="D3227" s="2" t="s">
        <v>1</v>
      </c>
      <c r="E3227" s="2" t="s">
        <v>6</v>
      </c>
      <c r="F3227" s="2" t="s">
        <v>35</v>
      </c>
      <c r="G3227" s="7"/>
      <c r="H3227" s="13" t="str">
        <f>IFERROR(IF(ABS($G3227)&gt;0,VLOOKUP($E3227,'Fuel Category and Heat Rate'!$B$1:$G$34,6,FALSE)*($G3227),""),"")</f>
        <v/>
      </c>
      <c r="I3227" t="str">
        <f>IFERROR(VLOOKUP($E3227,'Fuel Category and Heat Rate'!$K$2:$M$36,3,FALSE),"")</f>
        <v>coal</v>
      </c>
    </row>
    <row r="3228" spans="1:9" x14ac:dyDescent="0.15">
      <c r="A3228" s="2">
        <v>369122</v>
      </c>
      <c r="B3228" s="2" t="s">
        <v>85</v>
      </c>
      <c r="C3228" s="2">
        <v>2022</v>
      </c>
      <c r="D3228" s="2" t="s">
        <v>1</v>
      </c>
      <c r="E3228" s="2" t="s">
        <v>26</v>
      </c>
      <c r="F3228" s="2" t="s">
        <v>35</v>
      </c>
      <c r="G3228" s="7">
        <v>-40.32</v>
      </c>
      <c r="H3228" s="13">
        <f>IFERROR(IF(ABS($G3228)&gt;0,VLOOKUP($E3228,'Fuel Category and Heat Rate'!$B$1:$G$34,6,FALSE)*($G3228),""),"")</f>
        <v>-19176399808597.813</v>
      </c>
      <c r="I3228" t="str">
        <f>IFERROR(VLOOKUP($E3228,'Fuel Category and Heat Rate'!$K$2:$M$36,3,FALSE),"")</f>
        <v>LPG propane or butane</v>
      </c>
    </row>
    <row r="3229" spans="1:9" x14ac:dyDescent="0.15">
      <c r="A3229" s="2">
        <v>369157</v>
      </c>
      <c r="B3229" s="2" t="s">
        <v>85</v>
      </c>
      <c r="C3229" s="2">
        <v>2022</v>
      </c>
      <c r="D3229" s="2" t="s">
        <v>1</v>
      </c>
      <c r="E3229" s="2" t="s">
        <v>30</v>
      </c>
      <c r="F3229" s="2" t="s">
        <v>35</v>
      </c>
      <c r="G3229" s="7">
        <v>-40.909999999999997</v>
      </c>
      <c r="H3229" s="13">
        <f>IFERROR(IF(ABS($G3229)&gt;0,VLOOKUP($E3229,'Fuel Category and Heat Rate'!$B$1:$G$34,6,FALSE)*($G3229),""),"")</f>
        <v>-19943635590476.09</v>
      </c>
      <c r="I3229" t="str">
        <f>IFERROR(VLOOKUP($E3229,'Fuel Category and Heat Rate'!$K$2:$M$36,3,FALSE),"")</f>
        <v>natural gas</v>
      </c>
    </row>
    <row r="3230" spans="1:9" x14ac:dyDescent="0.15">
      <c r="A3230" s="2">
        <v>369192</v>
      </c>
      <c r="B3230" s="2" t="s">
        <v>85</v>
      </c>
      <c r="C3230" s="2">
        <v>2022</v>
      </c>
      <c r="D3230" s="2" t="s">
        <v>1</v>
      </c>
      <c r="E3230" s="2" t="s">
        <v>14</v>
      </c>
      <c r="F3230" s="2" t="s">
        <v>35</v>
      </c>
      <c r="G3230" s="7">
        <v>-697.65</v>
      </c>
      <c r="H3230" s="13">
        <f>IFERROR(IF(ABS($G3230)&gt;0,VLOOKUP($E3230,'Fuel Category and Heat Rate'!$B$1:$G$34,6,FALSE)*($G3230),""),"")</f>
        <v>0</v>
      </c>
      <c r="I3230" t="str">
        <f>IFERROR(VLOOKUP($E3230,'Fuel Category and Heat Rate'!$K$2:$M$36,3,FALSE),"")</f>
        <v/>
      </c>
    </row>
    <row r="3231" spans="1:9" x14ac:dyDescent="0.15">
      <c r="A3231" s="2">
        <v>369227</v>
      </c>
      <c r="B3231" s="2" t="s">
        <v>85</v>
      </c>
      <c r="C3231" s="2">
        <v>2022</v>
      </c>
      <c r="D3231" s="2" t="s">
        <v>1</v>
      </c>
      <c r="E3231" s="2" t="s">
        <v>3</v>
      </c>
      <c r="F3231" s="2" t="s">
        <v>35</v>
      </c>
      <c r="G3231" s="7">
        <v>-48990.26</v>
      </c>
      <c r="H3231" s="13">
        <f>IFERROR(IF(ABS($G3231)&gt;0,VLOOKUP($E3231,'Fuel Category and Heat Rate'!$B$1:$G$34,6,FALSE)*($G3231),""),"")</f>
        <v>-9708380424410708</v>
      </c>
      <c r="I3231" t="str">
        <f>IFERROR(VLOOKUP($E3231,'Fuel Category and Heat Rate'!$K$2:$M$36,3,FALSE),"")</f>
        <v>coal</v>
      </c>
    </row>
    <row r="3232" spans="1:9" x14ac:dyDescent="0.15">
      <c r="A3232" s="2">
        <v>369262</v>
      </c>
      <c r="B3232" s="2" t="s">
        <v>85</v>
      </c>
      <c r="C3232" s="2">
        <v>2022</v>
      </c>
      <c r="D3232" s="2" t="s">
        <v>1</v>
      </c>
      <c r="E3232" s="2" t="s">
        <v>15</v>
      </c>
      <c r="F3232" s="2" t="s">
        <v>35</v>
      </c>
      <c r="G3232" s="7"/>
      <c r="H3232" s="13" t="str">
        <f>IFERROR(IF(ABS($G3232)&gt;0,VLOOKUP($E3232,'Fuel Category and Heat Rate'!$B$1:$G$34,6,FALSE)*($G3232),""),"")</f>
        <v/>
      </c>
      <c r="I3232" t="str">
        <f>IFERROR(VLOOKUP($E3232,'Fuel Category and Heat Rate'!$K$2:$M$36,3,FALSE),"")</f>
        <v>crude oil</v>
      </c>
    </row>
    <row r="3233" spans="1:9" x14ac:dyDescent="0.15">
      <c r="A3233" s="2">
        <v>369297</v>
      </c>
      <c r="B3233" s="2" t="s">
        <v>85</v>
      </c>
      <c r="C3233" s="2">
        <v>2022</v>
      </c>
      <c r="D3233" s="2" t="s">
        <v>1</v>
      </c>
      <c r="E3233" s="2" t="s">
        <v>11</v>
      </c>
      <c r="F3233" s="2" t="s">
        <v>36</v>
      </c>
      <c r="G3233" s="7">
        <v>-47.87</v>
      </c>
      <c r="H3233" s="13">
        <f>IFERROR(IF(ABS($G3233)&gt;0,VLOOKUP($E3233,'Fuel Category and Heat Rate'!$B$1:$G$34,6,FALSE)*($G3233),""),"")</f>
        <v>-36048058498514.555</v>
      </c>
      <c r="I3233" t="str">
        <f>IFERROR(VLOOKUP($E3233,'Fuel Category and Heat Rate'!$K$2:$M$36,3,FALSE),"")</f>
        <v>LPG propane or butane</v>
      </c>
    </row>
    <row r="3234" spans="1:9" x14ac:dyDescent="0.15">
      <c r="A3234" s="2">
        <v>369332</v>
      </c>
      <c r="B3234" s="2" t="s">
        <v>85</v>
      </c>
      <c r="C3234" s="2">
        <v>2021</v>
      </c>
      <c r="D3234" s="2" t="s">
        <v>1</v>
      </c>
      <c r="E3234" s="2" t="s">
        <v>18</v>
      </c>
      <c r="F3234" s="2" t="s">
        <v>35</v>
      </c>
      <c r="G3234" s="7">
        <v>-3.43</v>
      </c>
      <c r="H3234" s="13">
        <f>IFERROR(IF(ABS($G3234)&gt;0,VLOOKUP($E3234,'Fuel Category and Heat Rate'!$B$1:$G$34,6,FALSE)*($G3234),""),"")</f>
        <v>-1386621949918.5754</v>
      </c>
      <c r="I3234" t="str">
        <f>IFERROR(VLOOKUP($E3234,'Fuel Category and Heat Rate'!$K$2:$M$36,3,FALSE),"")</f>
        <v>petroleum diesel</v>
      </c>
    </row>
    <row r="3235" spans="1:9" x14ac:dyDescent="0.15">
      <c r="A3235" s="2">
        <v>369367</v>
      </c>
      <c r="B3235" s="2" t="s">
        <v>85</v>
      </c>
      <c r="C3235" s="2">
        <v>2021</v>
      </c>
      <c r="D3235" s="2" t="s">
        <v>1</v>
      </c>
      <c r="E3235" s="2" t="s">
        <v>32</v>
      </c>
      <c r="F3235" s="2" t="s">
        <v>65</v>
      </c>
      <c r="G3235" s="7"/>
      <c r="H3235" s="13" t="str">
        <f>IFERROR(IF(ABS($G3235)&gt;0,VLOOKUP($E3235,'Fuel Category and Heat Rate'!$B$1:$G$34,6,FALSE)*($G3235),""),"")</f>
        <v/>
      </c>
      <c r="I3235" t="str">
        <f>IFERROR(VLOOKUP($E3235,'Fuel Category and Heat Rate'!$K$2:$M$36,3,FALSE),"")</f>
        <v>electricity</v>
      </c>
    </row>
    <row r="3236" spans="1:9" x14ac:dyDescent="0.15">
      <c r="A3236" s="2">
        <v>369402</v>
      </c>
      <c r="B3236" s="2" t="s">
        <v>85</v>
      </c>
      <c r="C3236" s="2">
        <v>2021</v>
      </c>
      <c r="D3236" s="2" t="s">
        <v>1</v>
      </c>
      <c r="E3236" s="2" t="s">
        <v>10</v>
      </c>
      <c r="F3236" s="2" t="s">
        <v>36</v>
      </c>
      <c r="G3236" s="7">
        <v>-443.47</v>
      </c>
      <c r="H3236" s="13">
        <f>IFERROR(IF(ABS($G3236)&gt;0,VLOOKUP($E3236,'Fuel Category and Heat Rate'!$B$1:$G$34,6,FALSE)*($G3236),""),"")</f>
        <v>-158169599268133.53</v>
      </c>
      <c r="I3236" t="str">
        <f>IFERROR(VLOOKUP($E3236,'Fuel Category and Heat Rate'!$K$2:$M$36,3,FALSE),"")</f>
        <v>LPG propane or butane</v>
      </c>
    </row>
    <row r="3237" spans="1:9" x14ac:dyDescent="0.15">
      <c r="A3237" s="2">
        <v>369437</v>
      </c>
      <c r="B3237" s="2" t="s">
        <v>85</v>
      </c>
      <c r="C3237" s="2">
        <v>2021</v>
      </c>
      <c r="D3237" s="2" t="s">
        <v>1</v>
      </c>
      <c r="E3237" s="2" t="s">
        <v>9</v>
      </c>
      <c r="F3237" s="2" t="s">
        <v>36</v>
      </c>
      <c r="G3237" s="7">
        <v>-50.81</v>
      </c>
      <c r="H3237" s="13">
        <f>IFERROR(IF(ABS($G3237)&gt;0,VLOOKUP($E3237,'Fuel Category and Heat Rate'!$B$1:$G$34,6,FALSE)*($G3237),""),"")</f>
        <v>-83572005690504.453</v>
      </c>
      <c r="I3237" t="str">
        <f>IFERROR(VLOOKUP($E3237,'Fuel Category and Heat Rate'!$K$2:$M$36,3,FALSE),"")</f>
        <v>LPG propane or butane</v>
      </c>
    </row>
    <row r="3238" spans="1:9" x14ac:dyDescent="0.15">
      <c r="A3238" s="2">
        <v>369472</v>
      </c>
      <c r="B3238" s="2" t="s">
        <v>85</v>
      </c>
      <c r="C3238" s="2">
        <v>2021</v>
      </c>
      <c r="D3238" s="2" t="s">
        <v>1</v>
      </c>
      <c r="E3238" s="2" t="s">
        <v>8</v>
      </c>
      <c r="F3238" s="2" t="s">
        <v>35</v>
      </c>
      <c r="G3238" s="7">
        <v>-333.41</v>
      </c>
      <c r="H3238" s="13">
        <f>IFERROR(IF(ABS($G3238)&gt;0,VLOOKUP($E3238,'Fuel Category and Heat Rate'!$B$1:$G$34,6,FALSE)*($G3238),""),"")</f>
        <v>-89857928848032.078</v>
      </c>
      <c r="I3238" t="str">
        <f>IFERROR(VLOOKUP($E3238,'Fuel Category and Heat Rate'!$K$2:$M$36,3,FALSE),"")</f>
        <v>coal</v>
      </c>
    </row>
    <row r="3239" spans="1:9" x14ac:dyDescent="0.15">
      <c r="A3239" s="2">
        <v>369507</v>
      </c>
      <c r="B3239" s="2" t="s">
        <v>85</v>
      </c>
      <c r="C3239" s="2">
        <v>2021</v>
      </c>
      <c r="D3239" s="2" t="s">
        <v>1</v>
      </c>
      <c r="E3239" s="2" t="s">
        <v>27</v>
      </c>
      <c r="F3239" s="2" t="s">
        <v>35</v>
      </c>
      <c r="G3239" s="7">
        <v>-189.63</v>
      </c>
      <c r="H3239" s="13">
        <f>IFERROR(IF(ABS($G3239)&gt;0,VLOOKUP($E3239,'Fuel Category and Heat Rate'!$B$1:$G$34,6,FALSE)*($G3239),""),"")</f>
        <v>-82674303355599.609</v>
      </c>
      <c r="I3239" t="str">
        <f>IFERROR(VLOOKUP($E3239,'Fuel Category and Heat Rate'!$K$2:$M$36,3,FALSE),"")</f>
        <v>LPG propane or butane</v>
      </c>
    </row>
    <row r="3240" spans="1:9" x14ac:dyDescent="0.15">
      <c r="A3240" s="2">
        <v>369542</v>
      </c>
      <c r="B3240" s="2" t="s">
        <v>85</v>
      </c>
      <c r="C3240" s="2">
        <v>2021</v>
      </c>
      <c r="D3240" s="2" t="s">
        <v>1</v>
      </c>
      <c r="E3240" s="2" t="s">
        <v>7</v>
      </c>
      <c r="F3240" s="2" t="s">
        <v>35</v>
      </c>
      <c r="G3240" s="7">
        <v>-815.44</v>
      </c>
      <c r="H3240" s="13">
        <f>IFERROR(IF(ABS($G3240)&gt;0,VLOOKUP($E3240,'Fuel Category and Heat Rate'!$B$1:$G$34,6,FALSE)*($G3240),""),"")</f>
        <v>-64721640660065.539</v>
      </c>
      <c r="I3240" t="str">
        <f>IFERROR(VLOOKUP($E3240,'Fuel Category and Heat Rate'!$K$2:$M$36,3,FALSE),"")</f>
        <v>coal</v>
      </c>
    </row>
    <row r="3241" spans="1:9" x14ac:dyDescent="0.15">
      <c r="A3241" s="2">
        <v>369577</v>
      </c>
      <c r="B3241" s="2" t="s">
        <v>85</v>
      </c>
      <c r="C3241" s="2">
        <v>2021</v>
      </c>
      <c r="D3241" s="2" t="s">
        <v>1</v>
      </c>
      <c r="E3241" s="2" t="s">
        <v>2</v>
      </c>
      <c r="F3241" s="2" t="s">
        <v>35</v>
      </c>
      <c r="G3241" s="7">
        <v>-44184.71</v>
      </c>
      <c r="H3241" s="13">
        <f>IFERROR(IF(ABS($G3241)&gt;0,VLOOKUP($E3241,'Fuel Category and Heat Rate'!$B$1:$G$34,6,FALSE)*($G3241),""),"")</f>
        <v>0</v>
      </c>
      <c r="I3241" t="str">
        <f>IFERROR(VLOOKUP($E3241,'Fuel Category and Heat Rate'!$K$2:$M$36,3,FALSE),"")</f>
        <v/>
      </c>
    </row>
    <row r="3242" spans="1:9" x14ac:dyDescent="0.15">
      <c r="A3242" s="2">
        <v>369612</v>
      </c>
      <c r="B3242" s="2" t="s">
        <v>85</v>
      </c>
      <c r="C3242" s="2">
        <v>2021</v>
      </c>
      <c r="D3242" s="2" t="s">
        <v>1</v>
      </c>
      <c r="E3242" s="2" t="s">
        <v>17</v>
      </c>
      <c r="F3242" s="2" t="s">
        <v>35</v>
      </c>
      <c r="G3242" s="7"/>
      <c r="H3242" s="13" t="str">
        <f>IFERROR(IF(ABS($G3242)&gt;0,VLOOKUP($E3242,'Fuel Category and Heat Rate'!$B$1:$G$34,6,FALSE)*($G3242),""),"")</f>
        <v/>
      </c>
      <c r="I3242" t="str">
        <f>IFERROR(VLOOKUP($E3242,'Fuel Category and Heat Rate'!$K$2:$M$36,3,FALSE),"")</f>
        <v>petroleum diesel</v>
      </c>
    </row>
    <row r="3243" spans="1:9" x14ac:dyDescent="0.15">
      <c r="A3243" s="2">
        <v>369647</v>
      </c>
      <c r="B3243" s="2" t="s">
        <v>85</v>
      </c>
      <c r="C3243" s="2">
        <v>2021</v>
      </c>
      <c r="D3243" s="2" t="s">
        <v>1</v>
      </c>
      <c r="E3243" s="2" t="s">
        <v>13</v>
      </c>
      <c r="F3243" s="2" t="s">
        <v>35</v>
      </c>
      <c r="G3243" s="7"/>
      <c r="H3243" s="13" t="str">
        <f>IFERROR(IF(ABS($G3243)&gt;0,VLOOKUP($E3243,'Fuel Category and Heat Rate'!$B$1:$G$34,6,FALSE)*($G3243),""),"")</f>
        <v/>
      </c>
      <c r="I3243" t="str">
        <f>IFERROR(VLOOKUP($E3243,'Fuel Category and Heat Rate'!$K$2:$M$36,3,FALSE),"")</f>
        <v>petroleum diesel</v>
      </c>
    </row>
    <row r="3244" spans="1:9" x14ac:dyDescent="0.15">
      <c r="A3244" s="2">
        <v>369682</v>
      </c>
      <c r="B3244" s="2" t="s">
        <v>85</v>
      </c>
      <c r="C3244" s="2">
        <v>2021</v>
      </c>
      <c r="D3244" s="2" t="s">
        <v>1</v>
      </c>
      <c r="E3244" s="2" t="s">
        <v>12</v>
      </c>
      <c r="F3244" s="2" t="s">
        <v>36</v>
      </c>
      <c r="G3244" s="7">
        <v>-7.33</v>
      </c>
      <c r="H3244" s="13">
        <f>IFERROR(IF(ABS($G3244)&gt;0,VLOOKUP($E3244,'Fuel Category and Heat Rate'!$B$1:$G$34,6,FALSE)*($G3244),""),"")</f>
        <v>-3631457993432.291</v>
      </c>
      <c r="I3244" t="str">
        <f>IFERROR(VLOOKUP($E3244,'Fuel Category and Heat Rate'!$K$2:$M$36,3,FALSE),"")</f>
        <v>LPG propane or butane</v>
      </c>
    </row>
    <row r="3245" spans="1:9" x14ac:dyDescent="0.15">
      <c r="A3245" s="2">
        <v>369717</v>
      </c>
      <c r="B3245" s="2" t="s">
        <v>85</v>
      </c>
      <c r="C3245" s="2">
        <v>2021</v>
      </c>
      <c r="D3245" s="2" t="s">
        <v>1</v>
      </c>
      <c r="E3245" s="2" t="s">
        <v>33</v>
      </c>
      <c r="F3245" s="2" t="s">
        <v>38</v>
      </c>
      <c r="G3245" s="7">
        <v>-909.45</v>
      </c>
      <c r="H3245" s="13">
        <f>IFERROR(IF(ABS($G3245)&gt;0,VLOOKUP($E3245,'Fuel Category and Heat Rate'!$B$1:$G$34,6,FALSE)*($G3245),""),"")</f>
        <v>-252313760925547.22</v>
      </c>
      <c r="I3245" t="str">
        <f>IFERROR(VLOOKUP($E3245,'Fuel Category and Heat Rate'!$K$2:$M$36,3,FALSE),"")</f>
        <v>biomass</v>
      </c>
    </row>
    <row r="3246" spans="1:9" x14ac:dyDescent="0.15">
      <c r="A3246" s="2">
        <v>369752</v>
      </c>
      <c r="B3246" s="2" t="s">
        <v>85</v>
      </c>
      <c r="C3246" s="2">
        <v>2021</v>
      </c>
      <c r="D3246" s="2" t="s">
        <v>1</v>
      </c>
      <c r="E3246" s="2" t="s">
        <v>28</v>
      </c>
      <c r="F3246" s="2" t="s">
        <v>35</v>
      </c>
      <c r="G3246" s="7">
        <v>-15.41</v>
      </c>
      <c r="H3246" s="13">
        <f>IFERROR(IF(ABS($G3246)&gt;0,VLOOKUP($E3246,'Fuel Category and Heat Rate'!$B$1:$G$34,6,FALSE)*($G3246),""),"")</f>
        <v>-5985482190350.3975</v>
      </c>
      <c r="I3246" t="str">
        <f>IFERROR(VLOOKUP($E3246,'Fuel Category and Heat Rate'!$K$2:$M$36,3,FALSE),"")</f>
        <v>heavy or residual fuel oil</v>
      </c>
    </row>
    <row r="3247" spans="1:9" x14ac:dyDescent="0.15">
      <c r="A3247" s="2">
        <v>369787</v>
      </c>
      <c r="B3247" s="2" t="s">
        <v>85</v>
      </c>
      <c r="C3247" s="2">
        <v>2021</v>
      </c>
      <c r="D3247" s="2" t="s">
        <v>1</v>
      </c>
      <c r="E3247" s="2" t="s">
        <v>5</v>
      </c>
      <c r="F3247" s="2" t="s">
        <v>35</v>
      </c>
      <c r="G3247" s="7">
        <v>-1683.09</v>
      </c>
      <c r="H3247" s="13">
        <f>IFERROR(IF(ABS($G3247)&gt;0,VLOOKUP($E3247,'Fuel Category and Heat Rate'!$B$1:$G$34,6,FALSE)*($G3247),""),"")</f>
        <v>-133411721000362.19</v>
      </c>
      <c r="I3247" t="str">
        <f>IFERROR(VLOOKUP($E3247,'Fuel Category and Heat Rate'!$K$2:$M$36,3,FALSE),"")</f>
        <v>coal</v>
      </c>
    </row>
    <row r="3248" spans="1:9" x14ac:dyDescent="0.15">
      <c r="A3248" s="2">
        <v>369822</v>
      </c>
      <c r="B3248" s="2" t="s">
        <v>85</v>
      </c>
      <c r="C3248" s="2">
        <v>2021</v>
      </c>
      <c r="D3248" s="2" t="s">
        <v>1</v>
      </c>
      <c r="E3248" s="2" t="s">
        <v>16</v>
      </c>
      <c r="F3248" s="2" t="s">
        <v>35</v>
      </c>
      <c r="G3248" s="7"/>
      <c r="H3248" s="13" t="str">
        <f>IFERROR(IF(ABS($G3248)&gt;0,VLOOKUP($E3248,'Fuel Category and Heat Rate'!$B$1:$G$34,6,FALSE)*($G3248),""),"")</f>
        <v/>
      </c>
      <c r="I3248" t="str">
        <f>IFERROR(VLOOKUP($E3248,'Fuel Category and Heat Rate'!$K$2:$M$36,3,FALSE),"")</f>
        <v>petroleum diesel</v>
      </c>
    </row>
    <row r="3249" spans="1:9" x14ac:dyDescent="0.15">
      <c r="A3249" s="2">
        <v>369857</v>
      </c>
      <c r="B3249" s="2" t="s">
        <v>85</v>
      </c>
      <c r="C3249" s="2">
        <v>2021</v>
      </c>
      <c r="D3249" s="2" t="s">
        <v>1</v>
      </c>
      <c r="E3249" s="2" t="s">
        <v>19</v>
      </c>
      <c r="F3249" s="2" t="s">
        <v>35</v>
      </c>
      <c r="G3249" s="7">
        <v>-243.96</v>
      </c>
      <c r="H3249" s="13">
        <f>IFERROR(IF(ABS($G3249)&gt;0,VLOOKUP($E3249,'Fuel Category and Heat Rate'!$B$1:$G$34,6,FALSE)*($G3249),""),"")</f>
        <v>-96690913187202.375</v>
      </c>
      <c r="I3249" t="str">
        <f>IFERROR(VLOOKUP($E3249,'Fuel Category and Heat Rate'!$K$2:$M$36,3,FALSE),"")</f>
        <v>heavy or residual fuel oil</v>
      </c>
    </row>
    <row r="3250" spans="1:9" x14ac:dyDescent="0.15">
      <c r="A3250" s="2">
        <v>369892</v>
      </c>
      <c r="B3250" s="2" t="s">
        <v>85</v>
      </c>
      <c r="C3250" s="2">
        <v>2021</v>
      </c>
      <c r="D3250" s="2" t="s">
        <v>1</v>
      </c>
      <c r="E3250" s="2" t="s">
        <v>31</v>
      </c>
      <c r="F3250" s="2" t="s">
        <v>37</v>
      </c>
      <c r="G3250" s="7">
        <v>726952.12</v>
      </c>
      <c r="H3250" s="13">
        <f>IFERROR(IF(ABS($G3250)&gt;0,VLOOKUP($E3250,'Fuel Category and Heat Rate'!$B$1:$G$34,6,FALSE)*($G3250),""),"")</f>
        <v>6890176666950854</v>
      </c>
      <c r="I3250" t="str">
        <f>IFERROR(VLOOKUP($E3250,'Fuel Category and Heat Rate'!$K$2:$M$36,3,FALSE),"")</f>
        <v>heat</v>
      </c>
    </row>
    <row r="3251" spans="1:9" x14ac:dyDescent="0.15">
      <c r="A3251" s="2">
        <v>369927</v>
      </c>
      <c r="B3251" s="2" t="s">
        <v>85</v>
      </c>
      <c r="C3251" s="2">
        <v>2021</v>
      </c>
      <c r="D3251" s="2" t="s">
        <v>1</v>
      </c>
      <c r="E3251" s="2" t="s">
        <v>23</v>
      </c>
      <c r="F3251" s="2" t="s">
        <v>35</v>
      </c>
      <c r="G3251" s="7"/>
      <c r="H3251" s="13" t="str">
        <f>IFERROR(IF(ABS($G3251)&gt;0,VLOOKUP($E3251,'Fuel Category and Heat Rate'!$B$1:$G$34,6,FALSE)*($G3251),""),"")</f>
        <v/>
      </c>
      <c r="I3251" t="str">
        <f>IFERROR(VLOOKUP($E3251,'Fuel Category and Heat Rate'!$K$2:$M$36,3,FALSE),"")</f>
        <v>heavy or residual fuel oil</v>
      </c>
    </row>
    <row r="3252" spans="1:9" x14ac:dyDescent="0.15">
      <c r="A3252" s="2">
        <v>369962</v>
      </c>
      <c r="B3252" s="2" t="s">
        <v>85</v>
      </c>
      <c r="C3252" s="2">
        <v>2021</v>
      </c>
      <c r="D3252" s="2" t="s">
        <v>1</v>
      </c>
      <c r="E3252" s="2" t="s">
        <v>21</v>
      </c>
      <c r="F3252" s="2" t="s">
        <v>35</v>
      </c>
      <c r="G3252" s="7"/>
      <c r="H3252" s="13" t="str">
        <f>IFERROR(IF(ABS($G3252)&gt;0,VLOOKUP($E3252,'Fuel Category and Heat Rate'!$B$1:$G$34,6,FALSE)*($G3252),""),"")</f>
        <v/>
      </c>
      <c r="I3252" t="str">
        <f>IFERROR(VLOOKUP($E3252,'Fuel Category and Heat Rate'!$K$2:$M$36,3,FALSE),"")</f>
        <v>LPG propane or butane</v>
      </c>
    </row>
    <row r="3253" spans="1:9" x14ac:dyDescent="0.15">
      <c r="A3253" s="2">
        <v>369997</v>
      </c>
      <c r="B3253" s="2" t="s">
        <v>85</v>
      </c>
      <c r="C3253" s="2">
        <v>2021</v>
      </c>
      <c r="D3253" s="2" t="s">
        <v>1</v>
      </c>
      <c r="E3253" s="2" t="s">
        <v>22</v>
      </c>
      <c r="F3253" s="2" t="s">
        <v>35</v>
      </c>
      <c r="G3253" s="7"/>
      <c r="H3253" s="13" t="str">
        <f>IFERROR(IF(ABS($G3253)&gt;0,VLOOKUP($E3253,'Fuel Category and Heat Rate'!$B$1:$G$34,6,FALSE)*($G3253),""),"")</f>
        <v/>
      </c>
      <c r="I3253" t="str">
        <f>IFERROR(VLOOKUP($E3253,'Fuel Category and Heat Rate'!$K$2:$M$36,3,FALSE),"")</f>
        <v>heavy fuel oil</v>
      </c>
    </row>
    <row r="3254" spans="1:9" x14ac:dyDescent="0.15">
      <c r="A3254" s="2">
        <v>370032</v>
      </c>
      <c r="B3254" s="2" t="s">
        <v>85</v>
      </c>
      <c r="C3254" s="2">
        <v>2021</v>
      </c>
      <c r="D3254" s="2" t="s">
        <v>1</v>
      </c>
      <c r="E3254" s="2" t="s">
        <v>20</v>
      </c>
      <c r="F3254" s="2" t="s">
        <v>35</v>
      </c>
      <c r="G3254" s="7"/>
      <c r="H3254" s="13" t="str">
        <f>IFERROR(IF(ABS($G3254)&gt;0,VLOOKUP($E3254,'Fuel Category and Heat Rate'!$B$1:$G$34,6,FALSE)*($G3254),""),"")</f>
        <v/>
      </c>
      <c r="I3254" t="str">
        <f>IFERROR(VLOOKUP($E3254,'Fuel Category and Heat Rate'!$K$2:$M$36,3,FALSE),"")</f>
        <v>LPG propane or butane</v>
      </c>
    </row>
    <row r="3255" spans="1:9" x14ac:dyDescent="0.15">
      <c r="A3255" s="2">
        <v>370067</v>
      </c>
      <c r="B3255" s="2" t="s">
        <v>85</v>
      </c>
      <c r="C3255" s="2">
        <v>2021</v>
      </c>
      <c r="D3255" s="2" t="s">
        <v>1</v>
      </c>
      <c r="E3255" s="2" t="s">
        <v>25</v>
      </c>
      <c r="F3255" s="2" t="s">
        <v>35</v>
      </c>
      <c r="G3255" s="7">
        <v>-216.12</v>
      </c>
      <c r="H3255" s="13">
        <f>IFERROR(IF(ABS($G3255)&gt;0,VLOOKUP($E3255,'Fuel Category and Heat Rate'!$B$1:$G$34,6,FALSE)*($G3255),""),"")</f>
        <v>-65440949310882.453</v>
      </c>
      <c r="I3255" t="str">
        <f>IFERROR(VLOOKUP($E3255,'Fuel Category and Heat Rate'!$K$2:$M$36,3,FALSE),"")</f>
        <v>heavy fuel oil</v>
      </c>
    </row>
    <row r="3256" spans="1:9" x14ac:dyDescent="0.15">
      <c r="A3256" s="2">
        <v>370102</v>
      </c>
      <c r="B3256" s="2" t="s">
        <v>85</v>
      </c>
      <c r="C3256" s="2">
        <v>2021</v>
      </c>
      <c r="D3256" s="2" t="s">
        <v>1</v>
      </c>
      <c r="E3256" s="2" t="s">
        <v>24</v>
      </c>
      <c r="F3256" s="2" t="s">
        <v>35</v>
      </c>
      <c r="G3256" s="7"/>
      <c r="H3256" s="13" t="str">
        <f>IFERROR(IF(ABS($G3256)&gt;0,VLOOKUP($E3256,'Fuel Category and Heat Rate'!$B$1:$G$34,6,FALSE)*($G3256),""),"")</f>
        <v/>
      </c>
      <c r="I3256" t="str">
        <f>IFERROR(VLOOKUP($E3256,'Fuel Category and Heat Rate'!$K$2:$M$36,3,FALSE),"")</f>
        <v>heavy fuel oil</v>
      </c>
    </row>
    <row r="3257" spans="1:9" x14ac:dyDescent="0.15">
      <c r="A3257" s="2">
        <v>370137</v>
      </c>
      <c r="B3257" s="2" t="s">
        <v>85</v>
      </c>
      <c r="C3257" s="2">
        <v>2021</v>
      </c>
      <c r="D3257" s="2" t="s">
        <v>1</v>
      </c>
      <c r="E3257" s="2" t="s">
        <v>29</v>
      </c>
      <c r="F3257" s="2" t="s">
        <v>36</v>
      </c>
      <c r="G3257" s="7">
        <v>-201.15</v>
      </c>
      <c r="H3257" s="13">
        <f>IFERROR(IF(ABS($G3257)&gt;0,VLOOKUP($E3257,'Fuel Category and Heat Rate'!$B$1:$G$34,6,FALSE)*($G3257),""),"")</f>
        <v>-678430641847064.38</v>
      </c>
      <c r="I3257" t="str">
        <f>IFERROR(VLOOKUP($E3257,'Fuel Category and Heat Rate'!$K$2:$M$36,3,FALSE),"")</f>
        <v>natural gas</v>
      </c>
    </row>
    <row r="3258" spans="1:9" x14ac:dyDescent="0.15">
      <c r="A3258" s="2">
        <v>370172</v>
      </c>
      <c r="B3258" s="2" t="s">
        <v>85</v>
      </c>
      <c r="C3258" s="2">
        <v>2021</v>
      </c>
      <c r="D3258" s="2" t="s">
        <v>1</v>
      </c>
      <c r="E3258" s="2" t="s">
        <v>4</v>
      </c>
      <c r="F3258" s="2" t="s">
        <v>35</v>
      </c>
      <c r="G3258" s="7"/>
      <c r="H3258" s="13" t="str">
        <f>IFERROR(IF(ABS($G3258)&gt;0,VLOOKUP($E3258,'Fuel Category and Heat Rate'!$B$1:$G$34,6,FALSE)*($G3258),""),"")</f>
        <v/>
      </c>
      <c r="I3258" t="str">
        <f>IFERROR(VLOOKUP($E3258,'Fuel Category and Heat Rate'!$K$2:$M$36,3,FALSE),"")</f>
        <v>coal</v>
      </c>
    </row>
    <row r="3259" spans="1:9" x14ac:dyDescent="0.15">
      <c r="A3259" s="2">
        <v>370207</v>
      </c>
      <c r="B3259" s="2" t="s">
        <v>85</v>
      </c>
      <c r="C3259" s="2">
        <v>2021</v>
      </c>
      <c r="D3259" s="2" t="s">
        <v>1</v>
      </c>
      <c r="E3259" s="2" t="s">
        <v>6</v>
      </c>
      <c r="F3259" s="2" t="s">
        <v>35</v>
      </c>
      <c r="G3259" s="7"/>
      <c r="H3259" s="13" t="str">
        <f>IFERROR(IF(ABS($G3259)&gt;0,VLOOKUP($E3259,'Fuel Category and Heat Rate'!$B$1:$G$34,6,FALSE)*($G3259),""),"")</f>
        <v/>
      </c>
      <c r="I3259" t="str">
        <f>IFERROR(VLOOKUP($E3259,'Fuel Category and Heat Rate'!$K$2:$M$36,3,FALSE),"")</f>
        <v>coal</v>
      </c>
    </row>
    <row r="3260" spans="1:9" x14ac:dyDescent="0.15">
      <c r="A3260" s="2">
        <v>370242</v>
      </c>
      <c r="B3260" s="2" t="s">
        <v>85</v>
      </c>
      <c r="C3260" s="2">
        <v>2021</v>
      </c>
      <c r="D3260" s="2" t="s">
        <v>1</v>
      </c>
      <c r="E3260" s="2" t="s">
        <v>26</v>
      </c>
      <c r="F3260" s="2" t="s">
        <v>35</v>
      </c>
      <c r="G3260" s="7">
        <v>-9.06</v>
      </c>
      <c r="H3260" s="13">
        <f>IFERROR(IF(ABS($G3260)&gt;0,VLOOKUP($E3260,'Fuel Category and Heat Rate'!$B$1:$G$34,6,FALSE)*($G3260),""),"")</f>
        <v>-4308982695086.7109</v>
      </c>
      <c r="I3260" t="str">
        <f>IFERROR(VLOOKUP($E3260,'Fuel Category and Heat Rate'!$K$2:$M$36,3,FALSE),"")</f>
        <v>LPG propane or butane</v>
      </c>
    </row>
    <row r="3261" spans="1:9" x14ac:dyDescent="0.15">
      <c r="A3261" s="2">
        <v>370277</v>
      </c>
      <c r="B3261" s="2" t="s">
        <v>85</v>
      </c>
      <c r="C3261" s="2">
        <v>2021</v>
      </c>
      <c r="D3261" s="2" t="s">
        <v>1</v>
      </c>
      <c r="E3261" s="2" t="s">
        <v>30</v>
      </c>
      <c r="F3261" s="2" t="s">
        <v>35</v>
      </c>
      <c r="G3261" s="7">
        <v>-52.38</v>
      </c>
      <c r="H3261" s="13">
        <f>IFERROR(IF(ABS($G3261)&gt;0,VLOOKUP($E3261,'Fuel Category and Heat Rate'!$B$1:$G$34,6,FALSE)*($G3261),""),"")</f>
        <v>-25535263559744.258</v>
      </c>
      <c r="I3261" t="str">
        <f>IFERROR(VLOOKUP($E3261,'Fuel Category and Heat Rate'!$K$2:$M$36,3,FALSE),"")</f>
        <v>natural gas</v>
      </c>
    </row>
    <row r="3262" spans="1:9" x14ac:dyDescent="0.15">
      <c r="A3262" s="2">
        <v>370312</v>
      </c>
      <c r="B3262" s="2" t="s">
        <v>85</v>
      </c>
      <c r="C3262" s="2">
        <v>2021</v>
      </c>
      <c r="D3262" s="2" t="s">
        <v>1</v>
      </c>
      <c r="E3262" s="2" t="s">
        <v>14</v>
      </c>
      <c r="F3262" s="2" t="s">
        <v>35</v>
      </c>
      <c r="G3262" s="7">
        <v>-677.61</v>
      </c>
      <c r="H3262" s="13">
        <f>IFERROR(IF(ABS($G3262)&gt;0,VLOOKUP($E3262,'Fuel Category and Heat Rate'!$B$1:$G$34,6,FALSE)*($G3262),""),"")</f>
        <v>0</v>
      </c>
      <c r="I3262" t="str">
        <f>IFERROR(VLOOKUP($E3262,'Fuel Category and Heat Rate'!$K$2:$M$36,3,FALSE),"")</f>
        <v/>
      </c>
    </row>
    <row r="3263" spans="1:9" x14ac:dyDescent="0.15">
      <c r="A3263" s="2">
        <v>370347</v>
      </c>
      <c r="B3263" s="2" t="s">
        <v>85</v>
      </c>
      <c r="C3263" s="2">
        <v>2021</v>
      </c>
      <c r="D3263" s="2" t="s">
        <v>1</v>
      </c>
      <c r="E3263" s="2" t="s">
        <v>3</v>
      </c>
      <c r="F3263" s="2" t="s">
        <v>35</v>
      </c>
      <c r="G3263" s="7">
        <v>-42501.62</v>
      </c>
      <c r="H3263" s="13">
        <f>IFERROR(IF(ABS($G3263)&gt;0,VLOOKUP($E3263,'Fuel Category and Heat Rate'!$B$1:$G$34,6,FALSE)*($G3263),""),"")</f>
        <v>-8422529205065306</v>
      </c>
      <c r="I3263" t="str">
        <f>IFERROR(VLOOKUP($E3263,'Fuel Category and Heat Rate'!$K$2:$M$36,3,FALSE),"")</f>
        <v>coal</v>
      </c>
    </row>
    <row r="3264" spans="1:9" x14ac:dyDescent="0.15">
      <c r="A3264" s="2">
        <v>370382</v>
      </c>
      <c r="B3264" s="2" t="s">
        <v>85</v>
      </c>
      <c r="C3264" s="2">
        <v>2021</v>
      </c>
      <c r="D3264" s="2" t="s">
        <v>1</v>
      </c>
      <c r="E3264" s="2" t="s">
        <v>15</v>
      </c>
      <c r="F3264" s="2" t="s">
        <v>35</v>
      </c>
      <c r="G3264" s="7"/>
      <c r="H3264" s="13" t="str">
        <f>IFERROR(IF(ABS($G3264)&gt;0,VLOOKUP($E3264,'Fuel Category and Heat Rate'!$B$1:$G$34,6,FALSE)*($G3264),""),"")</f>
        <v/>
      </c>
      <c r="I3264" t="str">
        <f>IFERROR(VLOOKUP($E3264,'Fuel Category and Heat Rate'!$K$2:$M$36,3,FALSE),"")</f>
        <v>crude oil</v>
      </c>
    </row>
    <row r="3265" spans="1:9" x14ac:dyDescent="0.15">
      <c r="A3265" s="2">
        <v>370417</v>
      </c>
      <c r="B3265" s="2" t="s">
        <v>85</v>
      </c>
      <c r="C3265" s="2">
        <v>2021</v>
      </c>
      <c r="D3265" s="2" t="s">
        <v>1</v>
      </c>
      <c r="E3265" s="2" t="s">
        <v>11</v>
      </c>
      <c r="F3265" s="2" t="s">
        <v>36</v>
      </c>
      <c r="G3265" s="7">
        <v>-47.83</v>
      </c>
      <c r="H3265" s="13">
        <f>IFERROR(IF(ABS($G3265)&gt;0,VLOOKUP($E3265,'Fuel Category and Heat Rate'!$B$1:$G$34,6,FALSE)*($G3265),""),"")</f>
        <v>-36017936870356.203</v>
      </c>
      <c r="I3265" t="str">
        <f>IFERROR(VLOOKUP($E3265,'Fuel Category and Heat Rate'!$K$2:$M$36,3,FALSE),"")</f>
        <v>LPG propane or butane</v>
      </c>
    </row>
    <row r="3266" spans="1:9" x14ac:dyDescent="0.15">
      <c r="A3266" s="2">
        <v>370452</v>
      </c>
      <c r="B3266" s="2" t="s">
        <v>85</v>
      </c>
      <c r="C3266" s="2">
        <v>2020</v>
      </c>
      <c r="D3266" s="2" t="s">
        <v>1</v>
      </c>
      <c r="E3266" s="2" t="s">
        <v>18</v>
      </c>
      <c r="F3266" s="2" t="s">
        <v>35</v>
      </c>
      <c r="G3266" s="7">
        <v>-2.91</v>
      </c>
      <c r="H3266" s="13">
        <f>IFERROR(IF(ABS($G3266)&gt;0,VLOOKUP($E3266,'Fuel Category and Heat Rate'!$B$1:$G$34,6,FALSE)*($G3266),""),"")</f>
        <v>-1176405211155.4094</v>
      </c>
      <c r="I3266" t="str">
        <f>IFERROR(VLOOKUP($E3266,'Fuel Category and Heat Rate'!$K$2:$M$36,3,FALSE),"")</f>
        <v>petroleum diesel</v>
      </c>
    </row>
    <row r="3267" spans="1:9" x14ac:dyDescent="0.15">
      <c r="A3267" s="2">
        <v>370487</v>
      </c>
      <c r="B3267" s="2" t="s">
        <v>85</v>
      </c>
      <c r="C3267" s="2">
        <v>2020</v>
      </c>
      <c r="D3267" s="2" t="s">
        <v>1</v>
      </c>
      <c r="E3267" s="2" t="s">
        <v>32</v>
      </c>
      <c r="F3267" s="2" t="s">
        <v>65</v>
      </c>
      <c r="G3267" s="7"/>
      <c r="H3267" s="13" t="str">
        <f>IFERROR(IF(ABS($G3267)&gt;0,VLOOKUP($E3267,'Fuel Category and Heat Rate'!$B$1:$G$34,6,FALSE)*($G3267),""),"")</f>
        <v/>
      </c>
      <c r="I3267" t="str">
        <f>IFERROR(VLOOKUP($E3267,'Fuel Category and Heat Rate'!$K$2:$M$36,3,FALSE),"")</f>
        <v>electricity</v>
      </c>
    </row>
    <row r="3268" spans="1:9" x14ac:dyDescent="0.15">
      <c r="A3268" s="2">
        <v>370522</v>
      </c>
      <c r="B3268" s="2" t="s">
        <v>85</v>
      </c>
      <c r="C3268" s="2">
        <v>2020</v>
      </c>
      <c r="D3268" s="2" t="s">
        <v>1</v>
      </c>
      <c r="E3268" s="2" t="s">
        <v>10</v>
      </c>
      <c r="F3268" s="2" t="s">
        <v>36</v>
      </c>
      <c r="G3268" s="7">
        <v>-500.05</v>
      </c>
      <c r="H3268" s="13">
        <f>IFERROR(IF(ABS($G3268)&gt;0,VLOOKUP($E3268,'Fuel Category and Heat Rate'!$B$1:$G$34,6,FALSE)*($G3268),""),"")</f>
        <v>-178349624808961.53</v>
      </c>
      <c r="I3268" t="str">
        <f>IFERROR(VLOOKUP($E3268,'Fuel Category and Heat Rate'!$K$2:$M$36,3,FALSE),"")</f>
        <v>LPG propane or butane</v>
      </c>
    </row>
    <row r="3269" spans="1:9" x14ac:dyDescent="0.15">
      <c r="A3269" s="2">
        <v>370557</v>
      </c>
      <c r="B3269" s="2" t="s">
        <v>85</v>
      </c>
      <c r="C3269" s="2">
        <v>2020</v>
      </c>
      <c r="D3269" s="2" t="s">
        <v>1</v>
      </c>
      <c r="E3269" s="2" t="s">
        <v>9</v>
      </c>
      <c r="F3269" s="2" t="s">
        <v>36</v>
      </c>
      <c r="G3269" s="7">
        <v>-57.17</v>
      </c>
      <c r="H3269" s="13">
        <f>IFERROR(IF(ABS($G3269)&gt;0,VLOOKUP($E3269,'Fuel Category and Heat Rate'!$B$1:$G$34,6,FALSE)*($G3269),""),"")</f>
        <v>-94032898353200.938</v>
      </c>
      <c r="I3269" t="str">
        <f>IFERROR(VLOOKUP($E3269,'Fuel Category and Heat Rate'!$K$2:$M$36,3,FALSE),"")</f>
        <v>LPG propane or butane</v>
      </c>
    </row>
    <row r="3270" spans="1:9" x14ac:dyDescent="0.15">
      <c r="A3270" s="2">
        <v>370592</v>
      </c>
      <c r="B3270" s="2" t="s">
        <v>85</v>
      </c>
      <c r="C3270" s="2">
        <v>2020</v>
      </c>
      <c r="D3270" s="2" t="s">
        <v>1</v>
      </c>
      <c r="E3270" s="2" t="s">
        <v>8</v>
      </c>
      <c r="F3270" s="2" t="s">
        <v>35</v>
      </c>
      <c r="G3270" s="7">
        <v>-280.27999999999997</v>
      </c>
      <c r="H3270" s="13">
        <f>IFERROR(IF(ABS($G3270)&gt;0,VLOOKUP($E3270,'Fuel Category and Heat Rate'!$B$1:$G$34,6,FALSE)*($G3270),""),"")</f>
        <v>-75538766976174.766</v>
      </c>
      <c r="I3270" t="str">
        <f>IFERROR(VLOOKUP($E3270,'Fuel Category and Heat Rate'!$K$2:$M$36,3,FALSE),"")</f>
        <v>coal</v>
      </c>
    </row>
    <row r="3271" spans="1:9" x14ac:dyDescent="0.15">
      <c r="A3271" s="2">
        <v>370627</v>
      </c>
      <c r="B3271" s="2" t="s">
        <v>85</v>
      </c>
      <c r="C3271" s="2">
        <v>2020</v>
      </c>
      <c r="D3271" s="2" t="s">
        <v>1</v>
      </c>
      <c r="E3271" s="2" t="s">
        <v>27</v>
      </c>
      <c r="F3271" s="2" t="s">
        <v>35</v>
      </c>
      <c r="G3271" s="7">
        <v>-165.2</v>
      </c>
      <c r="H3271" s="13">
        <f>IFERROR(IF(ABS($G3271)&gt;0,VLOOKUP($E3271,'Fuel Category and Heat Rate'!$B$1:$G$34,6,FALSE)*($G3271),""),"")</f>
        <v>-72023387197938.375</v>
      </c>
      <c r="I3271" t="str">
        <f>IFERROR(VLOOKUP($E3271,'Fuel Category and Heat Rate'!$K$2:$M$36,3,FALSE),"")</f>
        <v>LPG propane or butane</v>
      </c>
    </row>
    <row r="3272" spans="1:9" x14ac:dyDescent="0.15">
      <c r="A3272" s="2">
        <v>370662</v>
      </c>
      <c r="B3272" s="2" t="s">
        <v>85</v>
      </c>
      <c r="C3272" s="2">
        <v>2020</v>
      </c>
      <c r="D3272" s="2" t="s">
        <v>1</v>
      </c>
      <c r="E3272" s="2" t="s">
        <v>7</v>
      </c>
      <c r="F3272" s="2" t="s">
        <v>35</v>
      </c>
      <c r="G3272" s="7">
        <v>-762.82</v>
      </c>
      <c r="H3272" s="13">
        <f>IFERROR(IF(ABS($G3272)&gt;0,VLOOKUP($E3272,'Fuel Category and Heat Rate'!$B$1:$G$34,6,FALSE)*($G3272),""),"")</f>
        <v>-60545180428126.156</v>
      </c>
      <c r="I3272" t="str">
        <f>IFERROR(VLOOKUP($E3272,'Fuel Category and Heat Rate'!$K$2:$M$36,3,FALSE),"")</f>
        <v>coal</v>
      </c>
    </row>
    <row r="3273" spans="1:9" x14ac:dyDescent="0.15">
      <c r="A3273" s="2">
        <v>370697</v>
      </c>
      <c r="B3273" s="2" t="s">
        <v>85</v>
      </c>
      <c r="C3273" s="2">
        <v>2020</v>
      </c>
      <c r="D3273" s="2" t="s">
        <v>1</v>
      </c>
      <c r="E3273" s="2" t="s">
        <v>2</v>
      </c>
      <c r="F3273" s="2" t="s">
        <v>35</v>
      </c>
      <c r="G3273" s="7">
        <v>-36933.279999999999</v>
      </c>
      <c r="H3273" s="13">
        <f>IFERROR(IF(ABS($G3273)&gt;0,VLOOKUP($E3273,'Fuel Category and Heat Rate'!$B$1:$G$34,6,FALSE)*($G3273),""),"")</f>
        <v>0</v>
      </c>
      <c r="I3273" t="str">
        <f>IFERROR(VLOOKUP($E3273,'Fuel Category and Heat Rate'!$K$2:$M$36,3,FALSE),"")</f>
        <v/>
      </c>
    </row>
    <row r="3274" spans="1:9" x14ac:dyDescent="0.15">
      <c r="A3274" s="2">
        <v>370732</v>
      </c>
      <c r="B3274" s="2" t="s">
        <v>85</v>
      </c>
      <c r="C3274" s="2">
        <v>2020</v>
      </c>
      <c r="D3274" s="2" t="s">
        <v>1</v>
      </c>
      <c r="E3274" s="2" t="s">
        <v>17</v>
      </c>
      <c r="F3274" s="2" t="s">
        <v>35</v>
      </c>
      <c r="G3274" s="7"/>
      <c r="H3274" s="13" t="str">
        <f>IFERROR(IF(ABS($G3274)&gt;0,VLOOKUP($E3274,'Fuel Category and Heat Rate'!$B$1:$G$34,6,FALSE)*($G3274),""),"")</f>
        <v/>
      </c>
      <c r="I3274" t="str">
        <f>IFERROR(VLOOKUP($E3274,'Fuel Category and Heat Rate'!$K$2:$M$36,3,FALSE),"")</f>
        <v>petroleum diesel</v>
      </c>
    </row>
    <row r="3275" spans="1:9" x14ac:dyDescent="0.15">
      <c r="A3275" s="2">
        <v>370767</v>
      </c>
      <c r="B3275" s="2" t="s">
        <v>85</v>
      </c>
      <c r="C3275" s="2">
        <v>2020</v>
      </c>
      <c r="D3275" s="2" t="s">
        <v>1</v>
      </c>
      <c r="E3275" s="2" t="s">
        <v>13</v>
      </c>
      <c r="F3275" s="2" t="s">
        <v>35</v>
      </c>
      <c r="G3275" s="7"/>
      <c r="H3275" s="13" t="str">
        <f>IFERROR(IF(ABS($G3275)&gt;0,VLOOKUP($E3275,'Fuel Category and Heat Rate'!$B$1:$G$34,6,FALSE)*($G3275),""),"")</f>
        <v/>
      </c>
      <c r="I3275" t="str">
        <f>IFERROR(VLOOKUP($E3275,'Fuel Category and Heat Rate'!$K$2:$M$36,3,FALSE),"")</f>
        <v>petroleum diesel</v>
      </c>
    </row>
    <row r="3276" spans="1:9" x14ac:dyDescent="0.15">
      <c r="A3276" s="2">
        <v>370802</v>
      </c>
      <c r="B3276" s="2" t="s">
        <v>85</v>
      </c>
      <c r="C3276" s="2">
        <v>2020</v>
      </c>
      <c r="D3276" s="2" t="s">
        <v>1</v>
      </c>
      <c r="E3276" s="2" t="s">
        <v>12</v>
      </c>
      <c r="F3276" s="2" t="s">
        <v>36</v>
      </c>
      <c r="G3276" s="7">
        <v>-1.6</v>
      </c>
      <c r="H3276" s="13">
        <f>IFERROR(IF(ABS($G3276)&gt;0,VLOOKUP($E3276,'Fuel Category and Heat Rate'!$B$1:$G$34,6,FALSE)*($G3276),""),"")</f>
        <v>-792678416028.87671</v>
      </c>
      <c r="I3276" t="str">
        <f>IFERROR(VLOOKUP($E3276,'Fuel Category and Heat Rate'!$K$2:$M$36,3,FALSE),"")</f>
        <v>LPG propane or butane</v>
      </c>
    </row>
    <row r="3277" spans="1:9" x14ac:dyDescent="0.15">
      <c r="A3277" s="2">
        <v>370837</v>
      </c>
      <c r="B3277" s="2" t="s">
        <v>85</v>
      </c>
      <c r="C3277" s="2">
        <v>2020</v>
      </c>
      <c r="D3277" s="2" t="s">
        <v>1</v>
      </c>
      <c r="E3277" s="2" t="s">
        <v>33</v>
      </c>
      <c r="F3277" s="2" t="s">
        <v>38</v>
      </c>
      <c r="G3277" s="7">
        <v>-689.73</v>
      </c>
      <c r="H3277" s="13">
        <f>IFERROR(IF(ABS($G3277)&gt;0,VLOOKUP($E3277,'Fuel Category and Heat Rate'!$B$1:$G$34,6,FALSE)*($G3277),""),"")</f>
        <v>-191355621884850.94</v>
      </c>
      <c r="I3277" t="str">
        <f>IFERROR(VLOOKUP($E3277,'Fuel Category and Heat Rate'!$K$2:$M$36,3,FALSE),"")</f>
        <v>biomass</v>
      </c>
    </row>
    <row r="3278" spans="1:9" x14ac:dyDescent="0.15">
      <c r="A3278" s="2">
        <v>370872</v>
      </c>
      <c r="B3278" s="2" t="s">
        <v>85</v>
      </c>
      <c r="C3278" s="2">
        <v>2020</v>
      </c>
      <c r="D3278" s="2" t="s">
        <v>1</v>
      </c>
      <c r="E3278" s="2" t="s">
        <v>28</v>
      </c>
      <c r="F3278" s="2" t="s">
        <v>35</v>
      </c>
      <c r="G3278" s="7">
        <v>-13.95</v>
      </c>
      <c r="H3278" s="13">
        <f>IFERROR(IF(ABS($G3278)&gt;0,VLOOKUP($E3278,'Fuel Category and Heat Rate'!$B$1:$G$34,6,FALSE)*($G3278),""),"")</f>
        <v>-5418395623321.7422</v>
      </c>
      <c r="I3278" t="str">
        <f>IFERROR(VLOOKUP($E3278,'Fuel Category and Heat Rate'!$K$2:$M$36,3,FALSE),"")</f>
        <v>heavy or residual fuel oil</v>
      </c>
    </row>
    <row r="3279" spans="1:9" x14ac:dyDescent="0.15">
      <c r="A3279" s="2">
        <v>370907</v>
      </c>
      <c r="B3279" s="2" t="s">
        <v>85</v>
      </c>
      <c r="C3279" s="2">
        <v>2020</v>
      </c>
      <c r="D3279" s="2" t="s">
        <v>1</v>
      </c>
      <c r="E3279" s="2" t="s">
        <v>5</v>
      </c>
      <c r="F3279" s="2" t="s">
        <v>35</v>
      </c>
      <c r="G3279" s="7">
        <v>-1499.1</v>
      </c>
      <c r="H3279" s="13">
        <f>IFERROR(IF(ABS($G3279)&gt;0,VLOOKUP($E3279,'Fuel Category and Heat Rate'!$B$1:$G$34,6,FALSE)*($G3279),""),"")</f>
        <v>-118827579601591.69</v>
      </c>
      <c r="I3279" t="str">
        <f>IFERROR(VLOOKUP($E3279,'Fuel Category and Heat Rate'!$K$2:$M$36,3,FALSE),"")</f>
        <v>coal</v>
      </c>
    </row>
    <row r="3280" spans="1:9" x14ac:dyDescent="0.15">
      <c r="A3280" s="2">
        <v>370942</v>
      </c>
      <c r="B3280" s="2" t="s">
        <v>85</v>
      </c>
      <c r="C3280" s="2">
        <v>2020</v>
      </c>
      <c r="D3280" s="2" t="s">
        <v>1</v>
      </c>
      <c r="E3280" s="2" t="s">
        <v>16</v>
      </c>
      <c r="F3280" s="2" t="s">
        <v>35</v>
      </c>
      <c r="G3280" s="7"/>
      <c r="H3280" s="13" t="str">
        <f>IFERROR(IF(ABS($G3280)&gt;0,VLOOKUP($E3280,'Fuel Category and Heat Rate'!$B$1:$G$34,6,FALSE)*($G3280),""),"")</f>
        <v/>
      </c>
      <c r="I3280" t="str">
        <f>IFERROR(VLOOKUP($E3280,'Fuel Category and Heat Rate'!$K$2:$M$36,3,FALSE),"")</f>
        <v>petroleum diesel</v>
      </c>
    </row>
    <row r="3281" spans="1:9" x14ac:dyDescent="0.15">
      <c r="A3281" s="2">
        <v>370977</v>
      </c>
      <c r="B3281" s="2" t="s">
        <v>85</v>
      </c>
      <c r="C3281" s="2">
        <v>2020</v>
      </c>
      <c r="D3281" s="2" t="s">
        <v>1</v>
      </c>
      <c r="E3281" s="2" t="s">
        <v>19</v>
      </c>
      <c r="F3281" s="2" t="s">
        <v>35</v>
      </c>
      <c r="G3281" s="7">
        <v>-231.38</v>
      </c>
      <c r="H3281" s="13">
        <f>IFERROR(IF(ABS($G3281)&gt;0,VLOOKUP($E3281,'Fuel Category and Heat Rate'!$B$1:$G$34,6,FALSE)*($G3281),""),"")</f>
        <v>-91704965950380.734</v>
      </c>
      <c r="I3281" t="str">
        <f>IFERROR(VLOOKUP($E3281,'Fuel Category and Heat Rate'!$K$2:$M$36,3,FALSE),"")</f>
        <v>heavy or residual fuel oil</v>
      </c>
    </row>
    <row r="3282" spans="1:9" x14ac:dyDescent="0.15">
      <c r="A3282" s="2">
        <v>371012</v>
      </c>
      <c r="B3282" s="2" t="s">
        <v>85</v>
      </c>
      <c r="C3282" s="2">
        <v>2020</v>
      </c>
      <c r="D3282" s="2" t="s">
        <v>1</v>
      </c>
      <c r="E3282" s="2" t="s">
        <v>31</v>
      </c>
      <c r="F3282" s="2" t="s">
        <v>37</v>
      </c>
      <c r="G3282" s="7">
        <v>613906.59</v>
      </c>
      <c r="H3282" s="13">
        <f>IFERROR(IF(ABS($G3282)&gt;0,VLOOKUP($E3282,'Fuel Category and Heat Rate'!$B$1:$G$34,6,FALSE)*($G3282),""),"")</f>
        <v>5818711777201178</v>
      </c>
      <c r="I3282" t="str">
        <f>IFERROR(VLOOKUP($E3282,'Fuel Category and Heat Rate'!$K$2:$M$36,3,FALSE),"")</f>
        <v>heat</v>
      </c>
    </row>
    <row r="3283" spans="1:9" x14ac:dyDescent="0.15">
      <c r="A3283" s="2">
        <v>371047</v>
      </c>
      <c r="B3283" s="2" t="s">
        <v>85</v>
      </c>
      <c r="C3283" s="2">
        <v>2020</v>
      </c>
      <c r="D3283" s="2" t="s">
        <v>1</v>
      </c>
      <c r="E3283" s="2" t="s">
        <v>23</v>
      </c>
      <c r="F3283" s="2" t="s">
        <v>35</v>
      </c>
      <c r="G3283" s="7"/>
      <c r="H3283" s="13" t="str">
        <f>IFERROR(IF(ABS($G3283)&gt;0,VLOOKUP($E3283,'Fuel Category and Heat Rate'!$B$1:$G$34,6,FALSE)*($G3283),""),"")</f>
        <v/>
      </c>
      <c r="I3283" t="str">
        <f>IFERROR(VLOOKUP($E3283,'Fuel Category and Heat Rate'!$K$2:$M$36,3,FALSE),"")</f>
        <v>heavy or residual fuel oil</v>
      </c>
    </row>
    <row r="3284" spans="1:9" x14ac:dyDescent="0.15">
      <c r="A3284" s="2">
        <v>371082</v>
      </c>
      <c r="B3284" s="2" t="s">
        <v>85</v>
      </c>
      <c r="C3284" s="2">
        <v>2020</v>
      </c>
      <c r="D3284" s="2" t="s">
        <v>1</v>
      </c>
      <c r="E3284" s="2" t="s">
        <v>21</v>
      </c>
      <c r="F3284" s="2" t="s">
        <v>35</v>
      </c>
      <c r="G3284" s="7"/>
      <c r="H3284" s="13" t="str">
        <f>IFERROR(IF(ABS($G3284)&gt;0,VLOOKUP($E3284,'Fuel Category and Heat Rate'!$B$1:$G$34,6,FALSE)*($G3284),""),"")</f>
        <v/>
      </c>
      <c r="I3284" t="str">
        <f>IFERROR(VLOOKUP($E3284,'Fuel Category and Heat Rate'!$K$2:$M$36,3,FALSE),"")</f>
        <v>LPG propane or butane</v>
      </c>
    </row>
    <row r="3285" spans="1:9" x14ac:dyDescent="0.15">
      <c r="A3285" s="2">
        <v>371117</v>
      </c>
      <c r="B3285" s="2" t="s">
        <v>85</v>
      </c>
      <c r="C3285" s="2">
        <v>2020</v>
      </c>
      <c r="D3285" s="2" t="s">
        <v>1</v>
      </c>
      <c r="E3285" s="2" t="s">
        <v>22</v>
      </c>
      <c r="F3285" s="2" t="s">
        <v>35</v>
      </c>
      <c r="G3285" s="7"/>
      <c r="H3285" s="13" t="str">
        <f>IFERROR(IF(ABS($G3285)&gt;0,VLOOKUP($E3285,'Fuel Category and Heat Rate'!$B$1:$G$34,6,FALSE)*($G3285),""),"")</f>
        <v/>
      </c>
      <c r="I3285" t="str">
        <f>IFERROR(VLOOKUP($E3285,'Fuel Category and Heat Rate'!$K$2:$M$36,3,FALSE),"")</f>
        <v>heavy fuel oil</v>
      </c>
    </row>
    <row r="3286" spans="1:9" x14ac:dyDescent="0.15">
      <c r="A3286" s="2">
        <v>371152</v>
      </c>
      <c r="B3286" s="2" t="s">
        <v>85</v>
      </c>
      <c r="C3286" s="2">
        <v>2020</v>
      </c>
      <c r="D3286" s="2" t="s">
        <v>1</v>
      </c>
      <c r="E3286" s="2" t="s">
        <v>20</v>
      </c>
      <c r="F3286" s="2" t="s">
        <v>35</v>
      </c>
      <c r="G3286" s="7"/>
      <c r="H3286" s="13" t="str">
        <f>IFERROR(IF(ABS($G3286)&gt;0,VLOOKUP($E3286,'Fuel Category and Heat Rate'!$B$1:$G$34,6,FALSE)*($G3286),""),"")</f>
        <v/>
      </c>
      <c r="I3286" t="str">
        <f>IFERROR(VLOOKUP($E3286,'Fuel Category and Heat Rate'!$K$2:$M$36,3,FALSE),"")</f>
        <v>LPG propane or butane</v>
      </c>
    </row>
    <row r="3287" spans="1:9" x14ac:dyDescent="0.15">
      <c r="A3287" s="2">
        <v>371187</v>
      </c>
      <c r="B3287" s="2" t="s">
        <v>85</v>
      </c>
      <c r="C3287" s="2">
        <v>2020</v>
      </c>
      <c r="D3287" s="2" t="s">
        <v>1</v>
      </c>
      <c r="E3287" s="2" t="s">
        <v>25</v>
      </c>
      <c r="F3287" s="2" t="s">
        <v>35</v>
      </c>
      <c r="G3287" s="7">
        <v>-256.55</v>
      </c>
      <c r="H3287" s="13">
        <f>IFERROR(IF(ABS($G3287)&gt;0,VLOOKUP($E3287,'Fuel Category and Heat Rate'!$B$1:$G$34,6,FALSE)*($G3287),""),"")</f>
        <v>-77683118386576.406</v>
      </c>
      <c r="I3287" t="str">
        <f>IFERROR(VLOOKUP($E3287,'Fuel Category and Heat Rate'!$K$2:$M$36,3,FALSE),"")</f>
        <v>heavy fuel oil</v>
      </c>
    </row>
    <row r="3288" spans="1:9" x14ac:dyDescent="0.15">
      <c r="A3288" s="2">
        <v>371222</v>
      </c>
      <c r="B3288" s="2" t="s">
        <v>85</v>
      </c>
      <c r="C3288" s="2">
        <v>2020</v>
      </c>
      <c r="D3288" s="2" t="s">
        <v>1</v>
      </c>
      <c r="E3288" s="2" t="s">
        <v>24</v>
      </c>
      <c r="F3288" s="2" t="s">
        <v>35</v>
      </c>
      <c r="G3288" s="7"/>
      <c r="H3288" s="13" t="str">
        <f>IFERROR(IF(ABS($G3288)&gt;0,VLOOKUP($E3288,'Fuel Category and Heat Rate'!$B$1:$G$34,6,FALSE)*($G3288),""),"")</f>
        <v/>
      </c>
      <c r="I3288" t="str">
        <f>IFERROR(VLOOKUP($E3288,'Fuel Category and Heat Rate'!$K$2:$M$36,3,FALSE),"")</f>
        <v>heavy fuel oil</v>
      </c>
    </row>
    <row r="3289" spans="1:9" x14ac:dyDescent="0.15">
      <c r="A3289" s="2">
        <v>371257</v>
      </c>
      <c r="B3289" s="2" t="s">
        <v>85</v>
      </c>
      <c r="C3289" s="2">
        <v>2020</v>
      </c>
      <c r="D3289" s="2" t="s">
        <v>1</v>
      </c>
      <c r="E3289" s="2" t="s">
        <v>29</v>
      </c>
      <c r="F3289" s="2" t="s">
        <v>36</v>
      </c>
      <c r="G3289" s="7">
        <v>-169.66</v>
      </c>
      <c r="H3289" s="13">
        <f>IFERROR(IF(ABS($G3289)&gt;0,VLOOKUP($E3289,'Fuel Category and Heat Rate'!$B$1:$G$34,6,FALSE)*($G3289),""),"")</f>
        <v>-572222434480601.25</v>
      </c>
      <c r="I3289" t="str">
        <f>IFERROR(VLOOKUP($E3289,'Fuel Category and Heat Rate'!$K$2:$M$36,3,FALSE),"")</f>
        <v>natural gas</v>
      </c>
    </row>
    <row r="3290" spans="1:9" x14ac:dyDescent="0.15">
      <c r="A3290" s="2">
        <v>371292</v>
      </c>
      <c r="B3290" s="2" t="s">
        <v>85</v>
      </c>
      <c r="C3290" s="2">
        <v>2020</v>
      </c>
      <c r="D3290" s="2" t="s">
        <v>1</v>
      </c>
      <c r="E3290" s="2" t="s">
        <v>4</v>
      </c>
      <c r="F3290" s="2" t="s">
        <v>35</v>
      </c>
      <c r="G3290" s="7"/>
      <c r="H3290" s="13" t="str">
        <f>IFERROR(IF(ABS($G3290)&gt;0,VLOOKUP($E3290,'Fuel Category and Heat Rate'!$B$1:$G$34,6,FALSE)*($G3290),""),"")</f>
        <v/>
      </c>
      <c r="I3290" t="str">
        <f>IFERROR(VLOOKUP($E3290,'Fuel Category and Heat Rate'!$K$2:$M$36,3,FALSE),"")</f>
        <v>coal</v>
      </c>
    </row>
    <row r="3291" spans="1:9" x14ac:dyDescent="0.15">
      <c r="A3291" s="2">
        <v>371327</v>
      </c>
      <c r="B3291" s="2" t="s">
        <v>85</v>
      </c>
      <c r="C3291" s="2">
        <v>2020</v>
      </c>
      <c r="D3291" s="2" t="s">
        <v>1</v>
      </c>
      <c r="E3291" s="2" t="s">
        <v>6</v>
      </c>
      <c r="F3291" s="2" t="s">
        <v>35</v>
      </c>
      <c r="G3291" s="7"/>
      <c r="H3291" s="13" t="str">
        <f>IFERROR(IF(ABS($G3291)&gt;0,VLOOKUP($E3291,'Fuel Category and Heat Rate'!$B$1:$G$34,6,FALSE)*($G3291),""),"")</f>
        <v/>
      </c>
      <c r="I3291" t="str">
        <f>IFERROR(VLOOKUP($E3291,'Fuel Category and Heat Rate'!$K$2:$M$36,3,FALSE),"")</f>
        <v>coal</v>
      </c>
    </row>
    <row r="3292" spans="1:9" x14ac:dyDescent="0.15">
      <c r="A3292" s="2">
        <v>371362</v>
      </c>
      <c r="B3292" s="2" t="s">
        <v>85</v>
      </c>
      <c r="C3292" s="2">
        <v>2020</v>
      </c>
      <c r="D3292" s="2" t="s">
        <v>1</v>
      </c>
      <c r="E3292" s="2" t="s">
        <v>26</v>
      </c>
      <c r="F3292" s="2" t="s">
        <v>35</v>
      </c>
      <c r="G3292" s="7">
        <v>-7.71</v>
      </c>
      <c r="H3292" s="13">
        <f>IFERROR(IF(ABS($G3292)&gt;0,VLOOKUP($E3292,'Fuel Category and Heat Rate'!$B$1:$G$34,6,FALSE)*($G3292),""),"")</f>
        <v>-3666915737209.5518</v>
      </c>
      <c r="I3292" t="str">
        <f>IFERROR(VLOOKUP($E3292,'Fuel Category and Heat Rate'!$K$2:$M$36,3,FALSE),"")</f>
        <v>LPG propane or butane</v>
      </c>
    </row>
    <row r="3293" spans="1:9" x14ac:dyDescent="0.15">
      <c r="A3293" s="2">
        <v>371397</v>
      </c>
      <c r="B3293" s="2" t="s">
        <v>85</v>
      </c>
      <c r="C3293" s="2">
        <v>2020</v>
      </c>
      <c r="D3293" s="2" t="s">
        <v>1</v>
      </c>
      <c r="E3293" s="2" t="s">
        <v>30</v>
      </c>
      <c r="F3293" s="2" t="s">
        <v>35</v>
      </c>
      <c r="G3293" s="7">
        <v>-48.78</v>
      </c>
      <c r="H3293" s="13">
        <f>IFERROR(IF(ABS($G3293)&gt;0,VLOOKUP($E3293,'Fuel Category and Heat Rate'!$B$1:$G$34,6,FALSE)*($G3293),""),"")</f>
        <v>-23780262627803.074</v>
      </c>
      <c r="I3293" t="str">
        <f>IFERROR(VLOOKUP($E3293,'Fuel Category and Heat Rate'!$K$2:$M$36,3,FALSE),"")</f>
        <v>natural gas</v>
      </c>
    </row>
    <row r="3294" spans="1:9" x14ac:dyDescent="0.15">
      <c r="A3294" s="2">
        <v>371432</v>
      </c>
      <c r="B3294" s="2" t="s">
        <v>85</v>
      </c>
      <c r="C3294" s="2">
        <v>2020</v>
      </c>
      <c r="D3294" s="2" t="s">
        <v>1</v>
      </c>
      <c r="E3294" s="2" t="s">
        <v>14</v>
      </c>
      <c r="F3294" s="2" t="s">
        <v>35</v>
      </c>
      <c r="G3294" s="7">
        <v>-677.7</v>
      </c>
      <c r="H3294" s="13">
        <f>IFERROR(IF(ABS($G3294)&gt;0,VLOOKUP($E3294,'Fuel Category and Heat Rate'!$B$1:$G$34,6,FALSE)*($G3294),""),"")</f>
        <v>0</v>
      </c>
      <c r="I3294" t="str">
        <f>IFERROR(VLOOKUP($E3294,'Fuel Category and Heat Rate'!$K$2:$M$36,3,FALSE),"")</f>
        <v/>
      </c>
    </row>
    <row r="3295" spans="1:9" x14ac:dyDescent="0.15">
      <c r="A3295" s="2">
        <v>371467</v>
      </c>
      <c r="B3295" s="2" t="s">
        <v>85</v>
      </c>
      <c r="C3295" s="2">
        <v>2020</v>
      </c>
      <c r="D3295" s="2" t="s">
        <v>1</v>
      </c>
      <c r="E3295" s="2" t="s">
        <v>3</v>
      </c>
      <c r="F3295" s="2" t="s">
        <v>35</v>
      </c>
      <c r="G3295" s="7">
        <v>-35434.18</v>
      </c>
      <c r="H3295" s="13">
        <f>IFERROR(IF(ABS($G3295)&gt;0,VLOOKUP($E3295,'Fuel Category and Heat Rate'!$B$1:$G$34,6,FALSE)*($G3295),""),"")</f>
        <v>-7021977418920525</v>
      </c>
      <c r="I3295" t="str">
        <f>IFERROR(VLOOKUP($E3295,'Fuel Category and Heat Rate'!$K$2:$M$36,3,FALSE),"")</f>
        <v>coal</v>
      </c>
    </row>
    <row r="3296" spans="1:9" x14ac:dyDescent="0.15">
      <c r="A3296" s="2">
        <v>371502</v>
      </c>
      <c r="B3296" s="2" t="s">
        <v>85</v>
      </c>
      <c r="C3296" s="2">
        <v>2020</v>
      </c>
      <c r="D3296" s="2" t="s">
        <v>1</v>
      </c>
      <c r="E3296" s="2" t="s">
        <v>15</v>
      </c>
      <c r="F3296" s="2" t="s">
        <v>35</v>
      </c>
      <c r="G3296" s="7"/>
      <c r="H3296" s="13" t="str">
        <f>IFERROR(IF(ABS($G3296)&gt;0,VLOOKUP($E3296,'Fuel Category and Heat Rate'!$B$1:$G$34,6,FALSE)*($G3296),""),"")</f>
        <v/>
      </c>
      <c r="I3296" t="str">
        <f>IFERROR(VLOOKUP($E3296,'Fuel Category and Heat Rate'!$K$2:$M$36,3,FALSE),"")</f>
        <v>crude oil</v>
      </c>
    </row>
    <row r="3297" spans="1:9" x14ac:dyDescent="0.15">
      <c r="A3297" s="2">
        <v>371537</v>
      </c>
      <c r="B3297" s="2" t="s">
        <v>85</v>
      </c>
      <c r="C3297" s="2">
        <v>2020</v>
      </c>
      <c r="D3297" s="2" t="s">
        <v>1</v>
      </c>
      <c r="E3297" s="2" t="s">
        <v>11</v>
      </c>
      <c r="F3297" s="2" t="s">
        <v>36</v>
      </c>
      <c r="G3297" s="7">
        <v>-49.18</v>
      </c>
      <c r="H3297" s="13">
        <f>IFERROR(IF(ABS($G3297)&gt;0,VLOOKUP($E3297,'Fuel Category and Heat Rate'!$B$1:$G$34,6,FALSE)*($G3297),""),"")</f>
        <v>-37034541820700.773</v>
      </c>
      <c r="I3297" t="str">
        <f>IFERROR(VLOOKUP($E3297,'Fuel Category and Heat Rate'!$K$2:$M$36,3,FALSE),"")</f>
        <v>LPG propane or butane</v>
      </c>
    </row>
    <row r="3298" spans="1:9" x14ac:dyDescent="0.15">
      <c r="A3298" s="2">
        <v>371572</v>
      </c>
      <c r="B3298" s="2" t="s">
        <v>85</v>
      </c>
      <c r="C3298" s="2">
        <v>2019</v>
      </c>
      <c r="D3298" s="2" t="s">
        <v>1</v>
      </c>
      <c r="E3298" s="2" t="s">
        <v>18</v>
      </c>
      <c r="F3298" s="2" t="s">
        <v>35</v>
      </c>
      <c r="G3298" s="7">
        <v>-5.3</v>
      </c>
      <c r="H3298" s="13">
        <f>IFERROR(IF(ABS($G3298)&gt;0,VLOOKUP($E3298,'Fuel Category and Heat Rate'!$B$1:$G$34,6,FALSE)*($G3298),""),"")</f>
        <v>-2142593683547.6528</v>
      </c>
      <c r="I3298" t="str">
        <f>IFERROR(VLOOKUP($E3298,'Fuel Category and Heat Rate'!$K$2:$M$36,3,FALSE),"")</f>
        <v>petroleum diesel</v>
      </c>
    </row>
    <row r="3299" spans="1:9" x14ac:dyDescent="0.15">
      <c r="A3299" s="2">
        <v>371607</v>
      </c>
      <c r="B3299" s="2" t="s">
        <v>85</v>
      </c>
      <c r="C3299" s="2">
        <v>2019</v>
      </c>
      <c r="D3299" s="2" t="s">
        <v>1</v>
      </c>
      <c r="E3299" s="2" t="s">
        <v>32</v>
      </c>
      <c r="F3299" s="2" t="s">
        <v>65</v>
      </c>
      <c r="G3299" s="7"/>
      <c r="H3299" s="13" t="str">
        <f>IFERROR(IF(ABS($G3299)&gt;0,VLOOKUP($E3299,'Fuel Category and Heat Rate'!$B$1:$G$34,6,FALSE)*($G3299),""),"")</f>
        <v/>
      </c>
      <c r="I3299" t="str">
        <f>IFERROR(VLOOKUP($E3299,'Fuel Category and Heat Rate'!$K$2:$M$36,3,FALSE),"")</f>
        <v>electricity</v>
      </c>
    </row>
    <row r="3300" spans="1:9" x14ac:dyDescent="0.15">
      <c r="A3300" s="2">
        <v>371642</v>
      </c>
      <c r="B3300" s="2" t="s">
        <v>85</v>
      </c>
      <c r="C3300" s="2">
        <v>2019</v>
      </c>
      <c r="D3300" s="2" t="s">
        <v>1</v>
      </c>
      <c r="E3300" s="2" t="s">
        <v>10</v>
      </c>
      <c r="F3300" s="2" t="s">
        <v>36</v>
      </c>
      <c r="G3300" s="7">
        <v>-573.41</v>
      </c>
      <c r="H3300" s="13">
        <f>IFERROR(IF(ABS($G3300)&gt;0,VLOOKUP($E3300,'Fuel Category and Heat Rate'!$B$1:$G$34,6,FALSE)*($G3300),""),"")</f>
        <v>-204514465276885.56</v>
      </c>
      <c r="I3300" t="str">
        <f>IFERROR(VLOOKUP($E3300,'Fuel Category and Heat Rate'!$K$2:$M$36,3,FALSE),"")</f>
        <v>LPG propane or butane</v>
      </c>
    </row>
    <row r="3301" spans="1:9" x14ac:dyDescent="0.15">
      <c r="A3301" s="2">
        <v>371677</v>
      </c>
      <c r="B3301" s="2" t="s">
        <v>85</v>
      </c>
      <c r="C3301" s="2">
        <v>2019</v>
      </c>
      <c r="D3301" s="2" t="s">
        <v>1</v>
      </c>
      <c r="E3301" s="2" t="s">
        <v>9</v>
      </c>
      <c r="F3301" s="2" t="s">
        <v>36</v>
      </c>
      <c r="G3301" s="7">
        <v>-62.54</v>
      </c>
      <c r="H3301" s="13">
        <f>IFERROR(IF(ABS($G3301)&gt;0,VLOOKUP($E3301,'Fuel Category and Heat Rate'!$B$1:$G$34,6,FALSE)*($G3301),""),"")</f>
        <v>-102865444516515.41</v>
      </c>
      <c r="I3301" t="str">
        <f>IFERROR(VLOOKUP($E3301,'Fuel Category and Heat Rate'!$K$2:$M$36,3,FALSE),"")</f>
        <v>LPG propane or butane</v>
      </c>
    </row>
    <row r="3302" spans="1:9" x14ac:dyDescent="0.15">
      <c r="A3302" s="2">
        <v>371712</v>
      </c>
      <c r="B3302" s="2" t="s">
        <v>85</v>
      </c>
      <c r="C3302" s="2">
        <v>2019</v>
      </c>
      <c r="D3302" s="2" t="s">
        <v>1</v>
      </c>
      <c r="E3302" s="2" t="s">
        <v>8</v>
      </c>
      <c r="F3302" s="2" t="s">
        <v>35</v>
      </c>
      <c r="G3302" s="7">
        <v>-47.51</v>
      </c>
      <c r="H3302" s="13">
        <f>IFERROR(IF(ABS($G3302)&gt;0,VLOOKUP($E3302,'Fuel Category and Heat Rate'!$B$1:$G$34,6,FALSE)*($G3302),""),"")</f>
        <v>-12804505562430.652</v>
      </c>
      <c r="I3302" t="str">
        <f>IFERROR(VLOOKUP($E3302,'Fuel Category and Heat Rate'!$K$2:$M$36,3,FALSE),"")</f>
        <v>coal</v>
      </c>
    </row>
    <row r="3303" spans="1:9" x14ac:dyDescent="0.15">
      <c r="A3303" s="2">
        <v>371747</v>
      </c>
      <c r="B3303" s="2" t="s">
        <v>85</v>
      </c>
      <c r="C3303" s="2">
        <v>2019</v>
      </c>
      <c r="D3303" s="2" t="s">
        <v>1</v>
      </c>
      <c r="E3303" s="2" t="s">
        <v>27</v>
      </c>
      <c r="F3303" s="2" t="s">
        <v>35</v>
      </c>
      <c r="G3303" s="7">
        <v>-173.99</v>
      </c>
      <c r="H3303" s="13">
        <f>IFERROR(IF(ABS($G3303)&gt;0,VLOOKUP($E3303,'Fuel Category and Heat Rate'!$B$1:$G$34,6,FALSE)*($G3303),""),"")</f>
        <v>-75855624325480.031</v>
      </c>
      <c r="I3303" t="str">
        <f>IFERROR(VLOOKUP($E3303,'Fuel Category and Heat Rate'!$K$2:$M$36,3,FALSE),"")</f>
        <v>LPG propane or butane</v>
      </c>
    </row>
    <row r="3304" spans="1:9" x14ac:dyDescent="0.15">
      <c r="A3304" s="2">
        <v>371782</v>
      </c>
      <c r="B3304" s="2" t="s">
        <v>85</v>
      </c>
      <c r="C3304" s="2">
        <v>2019</v>
      </c>
      <c r="D3304" s="2" t="s">
        <v>1</v>
      </c>
      <c r="E3304" s="2" t="s">
        <v>7</v>
      </c>
      <c r="F3304" s="2" t="s">
        <v>35</v>
      </c>
      <c r="G3304" s="7">
        <v>-646.29</v>
      </c>
      <c r="H3304" s="13">
        <f>IFERROR(IF(ABS($G3304)&gt;0,VLOOKUP($E3304,'Fuel Category and Heat Rate'!$B$1:$G$34,6,FALSE)*($G3304),""),"")</f>
        <v>-51296170340176.773</v>
      </c>
      <c r="I3304" t="str">
        <f>IFERROR(VLOOKUP($E3304,'Fuel Category and Heat Rate'!$K$2:$M$36,3,FALSE),"")</f>
        <v>coal</v>
      </c>
    </row>
    <row r="3305" spans="1:9" x14ac:dyDescent="0.15">
      <c r="A3305" s="2">
        <v>371817</v>
      </c>
      <c r="B3305" s="2" t="s">
        <v>85</v>
      </c>
      <c r="C3305" s="2">
        <v>2019</v>
      </c>
      <c r="D3305" s="2" t="s">
        <v>1</v>
      </c>
      <c r="E3305" s="2" t="s">
        <v>2</v>
      </c>
      <c r="F3305" s="2" t="s">
        <v>35</v>
      </c>
      <c r="G3305" s="7">
        <v>-34441.79</v>
      </c>
      <c r="H3305" s="13">
        <f>IFERROR(IF(ABS($G3305)&gt;0,VLOOKUP($E3305,'Fuel Category and Heat Rate'!$B$1:$G$34,6,FALSE)*($G3305),""),"")</f>
        <v>0</v>
      </c>
      <c r="I3305" t="str">
        <f>IFERROR(VLOOKUP($E3305,'Fuel Category and Heat Rate'!$K$2:$M$36,3,FALSE),"")</f>
        <v/>
      </c>
    </row>
    <row r="3306" spans="1:9" x14ac:dyDescent="0.15">
      <c r="A3306" s="2">
        <v>371852</v>
      </c>
      <c r="B3306" s="2" t="s">
        <v>85</v>
      </c>
      <c r="C3306" s="2">
        <v>2019</v>
      </c>
      <c r="D3306" s="2" t="s">
        <v>1</v>
      </c>
      <c r="E3306" s="2" t="s">
        <v>17</v>
      </c>
      <c r="F3306" s="2" t="s">
        <v>35</v>
      </c>
      <c r="G3306" s="7"/>
      <c r="H3306" s="13" t="str">
        <f>IFERROR(IF(ABS($G3306)&gt;0,VLOOKUP($E3306,'Fuel Category and Heat Rate'!$B$1:$G$34,6,FALSE)*($G3306),""),"")</f>
        <v/>
      </c>
      <c r="I3306" t="str">
        <f>IFERROR(VLOOKUP($E3306,'Fuel Category and Heat Rate'!$K$2:$M$36,3,FALSE),"")</f>
        <v>petroleum diesel</v>
      </c>
    </row>
    <row r="3307" spans="1:9" x14ac:dyDescent="0.15">
      <c r="A3307" s="2">
        <v>371887</v>
      </c>
      <c r="B3307" s="2" t="s">
        <v>85</v>
      </c>
      <c r="C3307" s="2">
        <v>2019</v>
      </c>
      <c r="D3307" s="2" t="s">
        <v>1</v>
      </c>
      <c r="E3307" s="2" t="s">
        <v>13</v>
      </c>
      <c r="F3307" s="2" t="s">
        <v>35</v>
      </c>
      <c r="G3307" s="7"/>
      <c r="H3307" s="13" t="str">
        <f>IFERROR(IF(ABS($G3307)&gt;0,VLOOKUP($E3307,'Fuel Category and Heat Rate'!$B$1:$G$34,6,FALSE)*($G3307),""),"")</f>
        <v/>
      </c>
      <c r="I3307" t="str">
        <f>IFERROR(VLOOKUP($E3307,'Fuel Category and Heat Rate'!$K$2:$M$36,3,FALSE),"")</f>
        <v>petroleum diesel</v>
      </c>
    </row>
    <row r="3308" spans="1:9" x14ac:dyDescent="0.15">
      <c r="A3308" s="2">
        <v>371922</v>
      </c>
      <c r="B3308" s="2" t="s">
        <v>85</v>
      </c>
      <c r="C3308" s="2">
        <v>2019</v>
      </c>
      <c r="D3308" s="2" t="s">
        <v>1</v>
      </c>
      <c r="E3308" s="2" t="s">
        <v>12</v>
      </c>
      <c r="F3308" s="2" t="s">
        <v>36</v>
      </c>
      <c r="G3308" s="7">
        <v>-1.2</v>
      </c>
      <c r="H3308" s="13">
        <f>IFERROR(IF(ABS($G3308)&gt;0,VLOOKUP($E3308,'Fuel Category and Heat Rate'!$B$1:$G$34,6,FALSE)*($G3308),""),"")</f>
        <v>-594508812021.65747</v>
      </c>
      <c r="I3308" t="str">
        <f>IFERROR(VLOOKUP($E3308,'Fuel Category and Heat Rate'!$K$2:$M$36,3,FALSE),"")</f>
        <v>LPG propane or butane</v>
      </c>
    </row>
    <row r="3309" spans="1:9" x14ac:dyDescent="0.15">
      <c r="A3309" s="2">
        <v>371957</v>
      </c>
      <c r="B3309" s="2" t="s">
        <v>85</v>
      </c>
      <c r="C3309" s="2">
        <v>2019</v>
      </c>
      <c r="D3309" s="2" t="s">
        <v>1</v>
      </c>
      <c r="E3309" s="2" t="s">
        <v>33</v>
      </c>
      <c r="F3309" s="2" t="s">
        <v>38</v>
      </c>
      <c r="G3309" s="7">
        <v>-391.96</v>
      </c>
      <c r="H3309" s="13">
        <f>IFERROR(IF(ABS($G3309)&gt;0,VLOOKUP($E3309,'Fuel Category and Heat Rate'!$B$1:$G$34,6,FALSE)*($G3309),""),"")</f>
        <v>-108743638168538.64</v>
      </c>
      <c r="I3309" t="str">
        <f>IFERROR(VLOOKUP($E3309,'Fuel Category and Heat Rate'!$K$2:$M$36,3,FALSE),"")</f>
        <v>biomass</v>
      </c>
    </row>
    <row r="3310" spans="1:9" x14ac:dyDescent="0.15">
      <c r="A3310" s="2">
        <v>371992</v>
      </c>
      <c r="B3310" s="2" t="s">
        <v>85</v>
      </c>
      <c r="C3310" s="2">
        <v>2019</v>
      </c>
      <c r="D3310" s="2" t="s">
        <v>1</v>
      </c>
      <c r="E3310" s="2" t="s">
        <v>28</v>
      </c>
      <c r="F3310" s="2" t="s">
        <v>35</v>
      </c>
      <c r="G3310" s="7">
        <v>-22.9</v>
      </c>
      <c r="H3310" s="13">
        <f>IFERROR(IF(ABS($G3310)&gt;0,VLOOKUP($E3310,'Fuel Category and Heat Rate'!$B$1:$G$34,6,FALSE)*($G3310),""),"")</f>
        <v>-8894713962298.7734</v>
      </c>
      <c r="I3310" t="str">
        <f>IFERROR(VLOOKUP($E3310,'Fuel Category and Heat Rate'!$K$2:$M$36,3,FALSE),"")</f>
        <v>heavy or residual fuel oil</v>
      </c>
    </row>
    <row r="3311" spans="1:9" x14ac:dyDescent="0.15">
      <c r="A3311" s="2">
        <v>372027</v>
      </c>
      <c r="B3311" s="2" t="s">
        <v>85</v>
      </c>
      <c r="C3311" s="2">
        <v>2019</v>
      </c>
      <c r="D3311" s="2" t="s">
        <v>1</v>
      </c>
      <c r="E3311" s="2" t="s">
        <v>5</v>
      </c>
      <c r="F3311" s="2" t="s">
        <v>35</v>
      </c>
      <c r="G3311" s="7">
        <v>-1413.87</v>
      </c>
      <c r="H3311" s="13">
        <f>IFERROR(IF(ABS($G3311)&gt;0,VLOOKUP($E3311,'Fuel Category and Heat Rate'!$B$1:$G$34,6,FALSE)*($G3311),""),"")</f>
        <v>-112071743026684.31</v>
      </c>
      <c r="I3311" t="str">
        <f>IFERROR(VLOOKUP($E3311,'Fuel Category and Heat Rate'!$K$2:$M$36,3,FALSE),"")</f>
        <v>coal</v>
      </c>
    </row>
    <row r="3312" spans="1:9" x14ac:dyDescent="0.15">
      <c r="A3312" s="2">
        <v>372062</v>
      </c>
      <c r="B3312" s="2" t="s">
        <v>85</v>
      </c>
      <c r="C3312" s="2">
        <v>2019</v>
      </c>
      <c r="D3312" s="2" t="s">
        <v>1</v>
      </c>
      <c r="E3312" s="2" t="s">
        <v>16</v>
      </c>
      <c r="F3312" s="2" t="s">
        <v>35</v>
      </c>
      <c r="G3312" s="7">
        <v>-0.05</v>
      </c>
      <c r="H3312" s="13">
        <f>IFERROR(IF(ABS($G3312)&gt;0,VLOOKUP($E3312,'Fuel Category and Heat Rate'!$B$1:$G$34,6,FALSE)*($G3312),""),"")</f>
        <v>-20411241736.634136</v>
      </c>
      <c r="I3312" t="str">
        <f>IFERROR(VLOOKUP($E3312,'Fuel Category and Heat Rate'!$K$2:$M$36,3,FALSE),"")</f>
        <v>petroleum diesel</v>
      </c>
    </row>
    <row r="3313" spans="1:9" x14ac:dyDescent="0.15">
      <c r="A3313" s="2">
        <v>372097</v>
      </c>
      <c r="B3313" s="2" t="s">
        <v>85</v>
      </c>
      <c r="C3313" s="2">
        <v>2019</v>
      </c>
      <c r="D3313" s="2" t="s">
        <v>1</v>
      </c>
      <c r="E3313" s="2" t="s">
        <v>19</v>
      </c>
      <c r="F3313" s="2" t="s">
        <v>35</v>
      </c>
      <c r="G3313" s="7">
        <v>-60.21</v>
      </c>
      <c r="H3313" s="13">
        <f>IFERROR(IF(ABS($G3313)&gt;0,VLOOKUP($E3313,'Fuel Category and Heat Rate'!$B$1:$G$34,6,FALSE)*($G3313),""),"")</f>
        <v>-23863583714549.328</v>
      </c>
      <c r="I3313" t="str">
        <f>IFERROR(VLOOKUP($E3313,'Fuel Category and Heat Rate'!$K$2:$M$36,3,FALSE),"")</f>
        <v>heavy or residual fuel oil</v>
      </c>
    </row>
    <row r="3314" spans="1:9" x14ac:dyDescent="0.15">
      <c r="A3314" s="2">
        <v>372132</v>
      </c>
      <c r="B3314" s="2" t="s">
        <v>85</v>
      </c>
      <c r="C3314" s="2">
        <v>2019</v>
      </c>
      <c r="D3314" s="2" t="s">
        <v>1</v>
      </c>
      <c r="E3314" s="2" t="s">
        <v>31</v>
      </c>
      <c r="F3314" s="2" t="s">
        <v>37</v>
      </c>
      <c r="G3314" s="7">
        <v>565138.68000000005</v>
      </c>
      <c r="H3314" s="13">
        <f>IFERROR(IF(ABS($G3314)&gt;0,VLOOKUP($E3314,'Fuel Category and Heat Rate'!$B$1:$G$34,6,FALSE)*($G3314),""),"")</f>
        <v>5356481175854341</v>
      </c>
      <c r="I3314" t="str">
        <f>IFERROR(VLOOKUP($E3314,'Fuel Category and Heat Rate'!$K$2:$M$36,3,FALSE),"")</f>
        <v>heat</v>
      </c>
    </row>
    <row r="3315" spans="1:9" x14ac:dyDescent="0.15">
      <c r="A3315" s="2">
        <v>372167</v>
      </c>
      <c r="B3315" s="2" t="s">
        <v>85</v>
      </c>
      <c r="C3315" s="2">
        <v>2019</v>
      </c>
      <c r="D3315" s="2" t="s">
        <v>1</v>
      </c>
      <c r="E3315" s="2" t="s">
        <v>23</v>
      </c>
      <c r="F3315" s="2" t="s">
        <v>35</v>
      </c>
      <c r="G3315" s="7"/>
      <c r="H3315" s="13" t="str">
        <f>IFERROR(IF(ABS($G3315)&gt;0,VLOOKUP($E3315,'Fuel Category and Heat Rate'!$B$1:$G$34,6,FALSE)*($G3315),""),"")</f>
        <v/>
      </c>
      <c r="I3315" t="str">
        <f>IFERROR(VLOOKUP($E3315,'Fuel Category and Heat Rate'!$K$2:$M$36,3,FALSE),"")</f>
        <v>heavy or residual fuel oil</v>
      </c>
    </row>
    <row r="3316" spans="1:9" x14ac:dyDescent="0.15">
      <c r="A3316" s="2">
        <v>372202</v>
      </c>
      <c r="B3316" s="2" t="s">
        <v>85</v>
      </c>
      <c r="C3316" s="2">
        <v>2019</v>
      </c>
      <c r="D3316" s="2" t="s">
        <v>1</v>
      </c>
      <c r="E3316" s="2" t="s">
        <v>21</v>
      </c>
      <c r="F3316" s="2" t="s">
        <v>35</v>
      </c>
      <c r="G3316" s="7"/>
      <c r="H3316" s="13" t="str">
        <f>IFERROR(IF(ABS($G3316)&gt;0,VLOOKUP($E3316,'Fuel Category and Heat Rate'!$B$1:$G$34,6,FALSE)*($G3316),""),"")</f>
        <v/>
      </c>
      <c r="I3316" t="str">
        <f>IFERROR(VLOOKUP($E3316,'Fuel Category and Heat Rate'!$K$2:$M$36,3,FALSE),"")</f>
        <v>LPG propane or butane</v>
      </c>
    </row>
    <row r="3317" spans="1:9" x14ac:dyDescent="0.15">
      <c r="A3317" s="2">
        <v>372237</v>
      </c>
      <c r="B3317" s="2" t="s">
        <v>85</v>
      </c>
      <c r="C3317" s="2">
        <v>2019</v>
      </c>
      <c r="D3317" s="2" t="s">
        <v>1</v>
      </c>
      <c r="E3317" s="2" t="s">
        <v>22</v>
      </c>
      <c r="F3317" s="2" t="s">
        <v>35</v>
      </c>
      <c r="G3317" s="7"/>
      <c r="H3317" s="13" t="str">
        <f>IFERROR(IF(ABS($G3317)&gt;0,VLOOKUP($E3317,'Fuel Category and Heat Rate'!$B$1:$G$34,6,FALSE)*($G3317),""),"")</f>
        <v/>
      </c>
      <c r="I3317" t="str">
        <f>IFERROR(VLOOKUP($E3317,'Fuel Category and Heat Rate'!$K$2:$M$36,3,FALSE),"")</f>
        <v>heavy fuel oil</v>
      </c>
    </row>
    <row r="3318" spans="1:9" x14ac:dyDescent="0.15">
      <c r="A3318" s="2">
        <v>372272</v>
      </c>
      <c r="B3318" s="2" t="s">
        <v>85</v>
      </c>
      <c r="C3318" s="2">
        <v>2019</v>
      </c>
      <c r="D3318" s="2" t="s">
        <v>1</v>
      </c>
      <c r="E3318" s="2" t="s">
        <v>20</v>
      </c>
      <c r="F3318" s="2" t="s">
        <v>35</v>
      </c>
      <c r="G3318" s="7">
        <v>-163.1</v>
      </c>
      <c r="H3318" s="13">
        <f>IFERROR(IF(ABS($G3318)&gt;0,VLOOKUP($E3318,'Fuel Category and Heat Rate'!$B$1:$G$34,6,FALSE)*($G3318),""),"")</f>
        <v>-67875380246458.047</v>
      </c>
      <c r="I3318" t="str">
        <f>IFERROR(VLOOKUP($E3318,'Fuel Category and Heat Rate'!$K$2:$M$36,3,FALSE),"")</f>
        <v>LPG propane or butane</v>
      </c>
    </row>
    <row r="3319" spans="1:9" x14ac:dyDescent="0.15">
      <c r="A3319" s="2">
        <v>372307</v>
      </c>
      <c r="B3319" s="2" t="s">
        <v>85</v>
      </c>
      <c r="C3319" s="2">
        <v>2019</v>
      </c>
      <c r="D3319" s="2" t="s">
        <v>1</v>
      </c>
      <c r="E3319" s="2" t="s">
        <v>25</v>
      </c>
      <c r="F3319" s="2" t="s">
        <v>35</v>
      </c>
      <c r="G3319" s="7">
        <v>-224.18</v>
      </c>
      <c r="H3319" s="13">
        <f>IFERROR(IF(ABS($G3319)&gt;0,VLOOKUP($E3319,'Fuel Category and Heat Rate'!$B$1:$G$34,6,FALSE)*($G3319),""),"")</f>
        <v>-67881510348480.602</v>
      </c>
      <c r="I3319" t="str">
        <f>IFERROR(VLOOKUP($E3319,'Fuel Category and Heat Rate'!$K$2:$M$36,3,FALSE),"")</f>
        <v>heavy fuel oil</v>
      </c>
    </row>
    <row r="3320" spans="1:9" x14ac:dyDescent="0.15">
      <c r="A3320" s="2">
        <v>372342</v>
      </c>
      <c r="B3320" s="2" t="s">
        <v>85</v>
      </c>
      <c r="C3320" s="2">
        <v>2019</v>
      </c>
      <c r="D3320" s="2" t="s">
        <v>1</v>
      </c>
      <c r="E3320" s="2" t="s">
        <v>24</v>
      </c>
      <c r="F3320" s="2" t="s">
        <v>35</v>
      </c>
      <c r="G3320" s="7"/>
      <c r="H3320" s="13" t="str">
        <f>IFERROR(IF(ABS($G3320)&gt;0,VLOOKUP($E3320,'Fuel Category and Heat Rate'!$B$1:$G$34,6,FALSE)*($G3320),""),"")</f>
        <v/>
      </c>
      <c r="I3320" t="str">
        <f>IFERROR(VLOOKUP($E3320,'Fuel Category and Heat Rate'!$K$2:$M$36,3,FALSE),"")</f>
        <v>heavy fuel oil</v>
      </c>
    </row>
    <row r="3321" spans="1:9" x14ac:dyDescent="0.15">
      <c r="A3321" s="2">
        <v>372377</v>
      </c>
      <c r="B3321" s="2" t="s">
        <v>85</v>
      </c>
      <c r="C3321" s="2">
        <v>2019</v>
      </c>
      <c r="D3321" s="2" t="s">
        <v>1</v>
      </c>
      <c r="E3321" s="2" t="s">
        <v>29</v>
      </c>
      <c r="F3321" s="2" t="s">
        <v>36</v>
      </c>
      <c r="G3321" s="7">
        <v>-143.19</v>
      </c>
      <c r="H3321" s="13">
        <f>IFERROR(IF(ABS($G3321)&gt;0,VLOOKUP($E3321,'Fuel Category and Heat Rate'!$B$1:$G$34,6,FALSE)*($G3321),""),"")</f>
        <v>-482945481511713.31</v>
      </c>
      <c r="I3321" t="str">
        <f>IFERROR(VLOOKUP($E3321,'Fuel Category and Heat Rate'!$K$2:$M$36,3,FALSE),"")</f>
        <v>natural gas</v>
      </c>
    </row>
    <row r="3322" spans="1:9" x14ac:dyDescent="0.15">
      <c r="A3322" s="2">
        <v>372412</v>
      </c>
      <c r="B3322" s="2" t="s">
        <v>85</v>
      </c>
      <c r="C3322" s="2">
        <v>2019</v>
      </c>
      <c r="D3322" s="2" t="s">
        <v>1</v>
      </c>
      <c r="E3322" s="2" t="s">
        <v>4</v>
      </c>
      <c r="F3322" s="2" t="s">
        <v>35</v>
      </c>
      <c r="G3322" s="7"/>
      <c r="H3322" s="13" t="str">
        <f>IFERROR(IF(ABS($G3322)&gt;0,VLOOKUP($E3322,'Fuel Category and Heat Rate'!$B$1:$G$34,6,FALSE)*($G3322),""),"")</f>
        <v/>
      </c>
      <c r="I3322" t="str">
        <f>IFERROR(VLOOKUP($E3322,'Fuel Category and Heat Rate'!$K$2:$M$36,3,FALSE),"")</f>
        <v>coal</v>
      </c>
    </row>
    <row r="3323" spans="1:9" x14ac:dyDescent="0.15">
      <c r="A3323" s="2">
        <v>372447</v>
      </c>
      <c r="B3323" s="2" t="s">
        <v>85</v>
      </c>
      <c r="C3323" s="2">
        <v>2019</v>
      </c>
      <c r="D3323" s="2" t="s">
        <v>1</v>
      </c>
      <c r="E3323" s="2" t="s">
        <v>6</v>
      </c>
      <c r="F3323" s="2" t="s">
        <v>35</v>
      </c>
      <c r="G3323" s="7"/>
      <c r="H3323" s="13" t="str">
        <f>IFERROR(IF(ABS($G3323)&gt;0,VLOOKUP($E3323,'Fuel Category and Heat Rate'!$B$1:$G$34,6,FALSE)*($G3323),""),"")</f>
        <v/>
      </c>
      <c r="I3323" t="str">
        <f>IFERROR(VLOOKUP($E3323,'Fuel Category and Heat Rate'!$K$2:$M$36,3,FALSE),"")</f>
        <v>coal</v>
      </c>
    </row>
    <row r="3324" spans="1:9" x14ac:dyDescent="0.15">
      <c r="A3324" s="2">
        <v>372482</v>
      </c>
      <c r="B3324" s="2" t="s">
        <v>85</v>
      </c>
      <c r="C3324" s="2">
        <v>2019</v>
      </c>
      <c r="D3324" s="2" t="s">
        <v>1</v>
      </c>
      <c r="E3324" s="2" t="s">
        <v>26</v>
      </c>
      <c r="F3324" s="2" t="s">
        <v>35</v>
      </c>
      <c r="G3324" s="7">
        <v>-4.05</v>
      </c>
      <c r="H3324" s="13">
        <f>IFERROR(IF(ABS($G3324)&gt;0,VLOOKUP($E3324,'Fuel Category and Heat Rate'!$B$1:$G$34,6,FALSE)*($G3324),""),"")</f>
        <v>-1926200873631.4766</v>
      </c>
      <c r="I3324" t="str">
        <f>IFERROR(VLOOKUP($E3324,'Fuel Category and Heat Rate'!$K$2:$M$36,3,FALSE),"")</f>
        <v>LPG propane or butane</v>
      </c>
    </row>
    <row r="3325" spans="1:9" x14ac:dyDescent="0.15">
      <c r="A3325" s="2">
        <v>372517</v>
      </c>
      <c r="B3325" s="2" t="s">
        <v>85</v>
      </c>
      <c r="C3325" s="2">
        <v>2019</v>
      </c>
      <c r="D3325" s="2" t="s">
        <v>1</v>
      </c>
      <c r="E3325" s="2" t="s">
        <v>30</v>
      </c>
      <c r="F3325" s="2" t="s">
        <v>35</v>
      </c>
      <c r="G3325" s="7">
        <v>-33.51</v>
      </c>
      <c r="H3325" s="13">
        <f>IFERROR(IF(ABS($G3325)&gt;0,VLOOKUP($E3325,'Fuel Category and Heat Rate'!$B$1:$G$34,6,FALSE)*($G3325),""),"")</f>
        <v>-16336133674819.207</v>
      </c>
      <c r="I3325" t="str">
        <f>IFERROR(VLOOKUP($E3325,'Fuel Category and Heat Rate'!$K$2:$M$36,3,FALSE),"")</f>
        <v>natural gas</v>
      </c>
    </row>
    <row r="3326" spans="1:9" x14ac:dyDescent="0.15">
      <c r="A3326" s="2">
        <v>372552</v>
      </c>
      <c r="B3326" s="2" t="s">
        <v>85</v>
      </c>
      <c r="C3326" s="2">
        <v>2019</v>
      </c>
      <c r="D3326" s="2" t="s">
        <v>1</v>
      </c>
      <c r="E3326" s="2" t="s">
        <v>14</v>
      </c>
      <c r="F3326" s="2" t="s">
        <v>35</v>
      </c>
      <c r="G3326" s="7">
        <v>-653.79</v>
      </c>
      <c r="H3326" s="13">
        <f>IFERROR(IF(ABS($G3326)&gt;0,VLOOKUP($E3326,'Fuel Category and Heat Rate'!$B$1:$G$34,6,FALSE)*($G3326),""),"")</f>
        <v>0</v>
      </c>
      <c r="I3326" t="str">
        <f>IFERROR(VLOOKUP($E3326,'Fuel Category and Heat Rate'!$K$2:$M$36,3,FALSE),"")</f>
        <v/>
      </c>
    </row>
    <row r="3327" spans="1:9" x14ac:dyDescent="0.15">
      <c r="A3327" s="2">
        <v>372587</v>
      </c>
      <c r="B3327" s="2" t="s">
        <v>85</v>
      </c>
      <c r="C3327" s="2">
        <v>2019</v>
      </c>
      <c r="D3327" s="2" t="s">
        <v>1</v>
      </c>
      <c r="E3327" s="2" t="s">
        <v>3</v>
      </c>
      <c r="F3327" s="2" t="s">
        <v>35</v>
      </c>
      <c r="G3327" s="7">
        <v>-33027.910000000003</v>
      </c>
      <c r="H3327" s="13">
        <f>IFERROR(IF(ABS($G3327)&gt;0,VLOOKUP($E3327,'Fuel Category and Heat Rate'!$B$1:$G$34,6,FALSE)*($G3327),""),"")</f>
        <v>-6545127845886074</v>
      </c>
      <c r="I3327" t="str">
        <f>IFERROR(VLOOKUP($E3327,'Fuel Category and Heat Rate'!$K$2:$M$36,3,FALSE),"")</f>
        <v>coal</v>
      </c>
    </row>
    <row r="3328" spans="1:9" x14ac:dyDescent="0.15">
      <c r="A3328" s="2">
        <v>372622</v>
      </c>
      <c r="B3328" s="2" t="s">
        <v>85</v>
      </c>
      <c r="C3328" s="2">
        <v>2019</v>
      </c>
      <c r="D3328" s="2" t="s">
        <v>1</v>
      </c>
      <c r="E3328" s="2" t="s">
        <v>15</v>
      </c>
      <c r="F3328" s="2" t="s">
        <v>35</v>
      </c>
      <c r="G3328" s="7"/>
      <c r="H3328" s="13" t="str">
        <f>IFERROR(IF(ABS($G3328)&gt;0,VLOOKUP($E3328,'Fuel Category and Heat Rate'!$B$1:$G$34,6,FALSE)*($G3328),""),"")</f>
        <v/>
      </c>
      <c r="I3328" t="str">
        <f>IFERROR(VLOOKUP($E3328,'Fuel Category and Heat Rate'!$K$2:$M$36,3,FALSE),"")</f>
        <v>crude oil</v>
      </c>
    </row>
    <row r="3329" spans="1:9" x14ac:dyDescent="0.15">
      <c r="A3329" s="2">
        <v>372657</v>
      </c>
      <c r="B3329" s="2" t="s">
        <v>85</v>
      </c>
      <c r="C3329" s="2">
        <v>2019</v>
      </c>
      <c r="D3329" s="2" t="s">
        <v>1</v>
      </c>
      <c r="E3329" s="2" t="s">
        <v>11</v>
      </c>
      <c r="F3329" s="2" t="s">
        <v>36</v>
      </c>
      <c r="G3329" s="7">
        <v>-45.52</v>
      </c>
      <c r="H3329" s="13">
        <f>IFERROR(IF(ABS($G3329)&gt;0,VLOOKUP($E3329,'Fuel Category and Heat Rate'!$B$1:$G$34,6,FALSE)*($G3329),""),"")</f>
        <v>-34278412844211.047</v>
      </c>
      <c r="I3329" t="str">
        <f>IFERROR(VLOOKUP($E3329,'Fuel Category and Heat Rate'!$K$2:$M$36,3,FALSE),"")</f>
        <v>LPG propane or butane</v>
      </c>
    </row>
    <row r="3330" spans="1:9" x14ac:dyDescent="0.15">
      <c r="A3330" s="2">
        <v>372692</v>
      </c>
      <c r="B3330" s="2" t="s">
        <v>85</v>
      </c>
      <c r="C3330" s="2">
        <v>2018</v>
      </c>
      <c r="D3330" s="2" t="s">
        <v>1</v>
      </c>
      <c r="E3330" s="2" t="s">
        <v>18</v>
      </c>
      <c r="F3330" s="2" t="s">
        <v>35</v>
      </c>
      <c r="G3330" s="7">
        <v>-5.19</v>
      </c>
      <c r="H3330" s="13">
        <f>IFERROR(IF(ABS($G3330)&gt;0,VLOOKUP($E3330,'Fuel Category and Heat Rate'!$B$1:$G$34,6,FALSE)*($G3330),""),"")</f>
        <v>-2098124758040.0603</v>
      </c>
      <c r="I3330" t="str">
        <f>IFERROR(VLOOKUP($E3330,'Fuel Category and Heat Rate'!$K$2:$M$36,3,FALSE),"")</f>
        <v>petroleum diesel</v>
      </c>
    </row>
    <row r="3331" spans="1:9" x14ac:dyDescent="0.15">
      <c r="A3331" s="2">
        <v>372727</v>
      </c>
      <c r="B3331" s="2" t="s">
        <v>85</v>
      </c>
      <c r="C3331" s="2">
        <v>2018</v>
      </c>
      <c r="D3331" s="2" t="s">
        <v>1</v>
      </c>
      <c r="E3331" s="2" t="s">
        <v>32</v>
      </c>
      <c r="F3331" s="2" t="s">
        <v>65</v>
      </c>
      <c r="G3331" s="7"/>
      <c r="H3331" s="13" t="str">
        <f>IFERROR(IF(ABS($G3331)&gt;0,VLOOKUP($E3331,'Fuel Category and Heat Rate'!$B$1:$G$34,6,FALSE)*($G3331),""),"")</f>
        <v/>
      </c>
      <c r="I3331" t="str">
        <f>IFERROR(VLOOKUP($E3331,'Fuel Category and Heat Rate'!$K$2:$M$36,3,FALSE),"")</f>
        <v>electricity</v>
      </c>
    </row>
    <row r="3332" spans="1:9" x14ac:dyDescent="0.15">
      <c r="A3332" s="2">
        <v>372762</v>
      </c>
      <c r="B3332" s="2" t="s">
        <v>85</v>
      </c>
      <c r="C3332" s="2">
        <v>2018</v>
      </c>
      <c r="D3332" s="2" t="s">
        <v>1</v>
      </c>
      <c r="E3332" s="2" t="s">
        <v>10</v>
      </c>
      <c r="F3332" s="2" t="s">
        <v>36</v>
      </c>
      <c r="G3332" s="7">
        <v>-586.58000000000004</v>
      </c>
      <c r="H3332" s="13">
        <f>IFERROR(IF(ABS($G3332)&gt;0,VLOOKUP($E3332,'Fuel Category and Heat Rate'!$B$1:$G$34,6,FALSE)*($G3332),""),"")</f>
        <v>-209211724668414.5</v>
      </c>
      <c r="I3332" t="str">
        <f>IFERROR(VLOOKUP($E3332,'Fuel Category and Heat Rate'!$K$2:$M$36,3,FALSE),"")</f>
        <v>LPG propane or butane</v>
      </c>
    </row>
    <row r="3333" spans="1:9" x14ac:dyDescent="0.15">
      <c r="A3333" s="2">
        <v>372797</v>
      </c>
      <c r="B3333" s="2" t="s">
        <v>85</v>
      </c>
      <c r="C3333" s="2">
        <v>2018</v>
      </c>
      <c r="D3333" s="2" t="s">
        <v>1</v>
      </c>
      <c r="E3333" s="2" t="s">
        <v>9</v>
      </c>
      <c r="F3333" s="2" t="s">
        <v>36</v>
      </c>
      <c r="G3333" s="7">
        <v>-44.49</v>
      </c>
      <c r="H3333" s="13">
        <f>IFERROR(IF(ABS($G3333)&gt;0,VLOOKUP($E3333,'Fuel Category and Heat Rate'!$B$1:$G$34,6,FALSE)*($G3333),""),"")</f>
        <v>-73176904805560.781</v>
      </c>
      <c r="I3333" t="str">
        <f>IFERROR(VLOOKUP($E3333,'Fuel Category and Heat Rate'!$K$2:$M$36,3,FALSE),"")</f>
        <v>LPG propane or butane</v>
      </c>
    </row>
    <row r="3334" spans="1:9" x14ac:dyDescent="0.15">
      <c r="A3334" s="2">
        <v>372832</v>
      </c>
      <c r="B3334" s="2" t="s">
        <v>85</v>
      </c>
      <c r="C3334" s="2">
        <v>2018</v>
      </c>
      <c r="D3334" s="2" t="s">
        <v>1</v>
      </c>
      <c r="E3334" s="2" t="s">
        <v>8</v>
      </c>
      <c r="F3334" s="2" t="s">
        <v>35</v>
      </c>
      <c r="G3334" s="7">
        <v>-14.95</v>
      </c>
      <c r="H3334" s="13">
        <f>IFERROR(IF(ABS($G3334)&gt;0,VLOOKUP($E3334,'Fuel Category and Heat Rate'!$B$1:$G$34,6,FALSE)*($G3334),""),"")</f>
        <v>-4029201392513.96</v>
      </c>
      <c r="I3334" t="str">
        <f>IFERROR(VLOOKUP($E3334,'Fuel Category and Heat Rate'!$K$2:$M$36,3,FALSE),"")</f>
        <v>coal</v>
      </c>
    </row>
    <row r="3335" spans="1:9" x14ac:dyDescent="0.15">
      <c r="A3335" s="2">
        <v>372867</v>
      </c>
      <c r="B3335" s="2" t="s">
        <v>85</v>
      </c>
      <c r="C3335" s="2">
        <v>2018</v>
      </c>
      <c r="D3335" s="2" t="s">
        <v>1</v>
      </c>
      <c r="E3335" s="2" t="s">
        <v>27</v>
      </c>
      <c r="F3335" s="2" t="s">
        <v>35</v>
      </c>
      <c r="G3335" s="7">
        <v>-170.62</v>
      </c>
      <c r="H3335" s="13">
        <f>IFERROR(IF(ABS($G3335)&gt;0,VLOOKUP($E3335,'Fuel Category and Heat Rate'!$B$1:$G$34,6,FALSE)*($G3335),""),"")</f>
        <v>-74386382104795.688</v>
      </c>
      <c r="I3335" t="str">
        <f>IFERROR(VLOOKUP($E3335,'Fuel Category and Heat Rate'!$K$2:$M$36,3,FALSE),"")</f>
        <v>LPG propane or butane</v>
      </c>
    </row>
    <row r="3336" spans="1:9" x14ac:dyDescent="0.15">
      <c r="A3336" s="2">
        <v>372902</v>
      </c>
      <c r="B3336" s="2" t="s">
        <v>85</v>
      </c>
      <c r="C3336" s="2">
        <v>2018</v>
      </c>
      <c r="D3336" s="2" t="s">
        <v>1</v>
      </c>
      <c r="E3336" s="2" t="s">
        <v>7</v>
      </c>
      <c r="F3336" s="2" t="s">
        <v>35</v>
      </c>
      <c r="G3336" s="7">
        <v>-675.93</v>
      </c>
      <c r="H3336" s="13">
        <f>IFERROR(IF(ABS($G3336)&gt;0,VLOOKUP($E3336,'Fuel Category and Heat Rate'!$B$1:$G$34,6,FALSE)*($G3336),""),"")</f>
        <v>-53648703241634.078</v>
      </c>
      <c r="I3336" t="str">
        <f>IFERROR(VLOOKUP($E3336,'Fuel Category and Heat Rate'!$K$2:$M$36,3,FALSE),"")</f>
        <v>coal</v>
      </c>
    </row>
    <row r="3337" spans="1:9" x14ac:dyDescent="0.15">
      <c r="A3337" s="2">
        <v>372937</v>
      </c>
      <c r="B3337" s="2" t="s">
        <v>85</v>
      </c>
      <c r="C3337" s="2">
        <v>2018</v>
      </c>
      <c r="D3337" s="2" t="s">
        <v>1</v>
      </c>
      <c r="E3337" s="2" t="s">
        <v>2</v>
      </c>
      <c r="F3337" s="2" t="s">
        <v>35</v>
      </c>
      <c r="G3337" s="7">
        <v>-32388.05</v>
      </c>
      <c r="H3337" s="13">
        <f>IFERROR(IF(ABS($G3337)&gt;0,VLOOKUP($E3337,'Fuel Category and Heat Rate'!$B$1:$G$34,6,FALSE)*($G3337),""),"")</f>
        <v>0</v>
      </c>
      <c r="I3337" t="str">
        <f>IFERROR(VLOOKUP($E3337,'Fuel Category and Heat Rate'!$K$2:$M$36,3,FALSE),"")</f>
        <v/>
      </c>
    </row>
    <row r="3338" spans="1:9" x14ac:dyDescent="0.15">
      <c r="A3338" s="2">
        <v>372972</v>
      </c>
      <c r="B3338" s="2" t="s">
        <v>85</v>
      </c>
      <c r="C3338" s="2">
        <v>2018</v>
      </c>
      <c r="D3338" s="2" t="s">
        <v>1</v>
      </c>
      <c r="E3338" s="2" t="s">
        <v>17</v>
      </c>
      <c r="F3338" s="2" t="s">
        <v>35</v>
      </c>
      <c r="G3338" s="7"/>
      <c r="H3338" s="13" t="str">
        <f>IFERROR(IF(ABS($G3338)&gt;0,VLOOKUP($E3338,'Fuel Category and Heat Rate'!$B$1:$G$34,6,FALSE)*($G3338),""),"")</f>
        <v/>
      </c>
      <c r="I3338" t="str">
        <f>IFERROR(VLOOKUP($E3338,'Fuel Category and Heat Rate'!$K$2:$M$36,3,FALSE),"")</f>
        <v>petroleum diesel</v>
      </c>
    </row>
    <row r="3339" spans="1:9" x14ac:dyDescent="0.15">
      <c r="A3339" s="2">
        <v>373007</v>
      </c>
      <c r="B3339" s="2" t="s">
        <v>85</v>
      </c>
      <c r="C3339" s="2">
        <v>2018</v>
      </c>
      <c r="D3339" s="2" t="s">
        <v>1</v>
      </c>
      <c r="E3339" s="2" t="s">
        <v>13</v>
      </c>
      <c r="F3339" s="2" t="s">
        <v>35</v>
      </c>
      <c r="G3339" s="7"/>
      <c r="H3339" s="13" t="str">
        <f>IFERROR(IF(ABS($G3339)&gt;0,VLOOKUP($E3339,'Fuel Category and Heat Rate'!$B$1:$G$34,6,FALSE)*($G3339),""),"")</f>
        <v/>
      </c>
      <c r="I3339" t="str">
        <f>IFERROR(VLOOKUP($E3339,'Fuel Category and Heat Rate'!$K$2:$M$36,3,FALSE),"")</f>
        <v>petroleum diesel</v>
      </c>
    </row>
    <row r="3340" spans="1:9" x14ac:dyDescent="0.15">
      <c r="A3340" s="2">
        <v>373042</v>
      </c>
      <c r="B3340" s="2" t="s">
        <v>85</v>
      </c>
      <c r="C3340" s="2">
        <v>2018</v>
      </c>
      <c r="D3340" s="2" t="s">
        <v>1</v>
      </c>
      <c r="E3340" s="2" t="s">
        <v>12</v>
      </c>
      <c r="F3340" s="2" t="s">
        <v>36</v>
      </c>
      <c r="G3340" s="7">
        <v>-0.02</v>
      </c>
      <c r="H3340" s="13">
        <f>IFERROR(IF(ABS($G3340)&gt;0,VLOOKUP($E3340,'Fuel Category and Heat Rate'!$B$1:$G$34,6,FALSE)*($G3340),""),"")</f>
        <v>-9908480200.3609581</v>
      </c>
      <c r="I3340" t="str">
        <f>IFERROR(VLOOKUP($E3340,'Fuel Category and Heat Rate'!$K$2:$M$36,3,FALSE),"")</f>
        <v>LPG propane or butane</v>
      </c>
    </row>
    <row r="3341" spans="1:9" x14ac:dyDescent="0.15">
      <c r="A3341" s="2">
        <v>373077</v>
      </c>
      <c r="B3341" s="2" t="s">
        <v>85</v>
      </c>
      <c r="C3341" s="2">
        <v>2018</v>
      </c>
      <c r="D3341" s="2" t="s">
        <v>1</v>
      </c>
      <c r="E3341" s="2" t="s">
        <v>33</v>
      </c>
      <c r="F3341" s="2" t="s">
        <v>38</v>
      </c>
      <c r="G3341" s="7">
        <v>-352.75</v>
      </c>
      <c r="H3341" s="13">
        <f>IFERROR(IF(ABS($G3341)&gt;0,VLOOKUP($E3341,'Fuel Category and Heat Rate'!$B$1:$G$34,6,FALSE)*($G3341),""),"")</f>
        <v>-97865390253985.125</v>
      </c>
      <c r="I3341" t="str">
        <f>IFERROR(VLOOKUP($E3341,'Fuel Category and Heat Rate'!$K$2:$M$36,3,FALSE),"")</f>
        <v>biomass</v>
      </c>
    </row>
    <row r="3342" spans="1:9" x14ac:dyDescent="0.15">
      <c r="A3342" s="2">
        <v>373112</v>
      </c>
      <c r="B3342" s="2" t="s">
        <v>85</v>
      </c>
      <c r="C3342" s="2">
        <v>2018</v>
      </c>
      <c r="D3342" s="2" t="s">
        <v>1</v>
      </c>
      <c r="E3342" s="2" t="s">
        <v>28</v>
      </c>
      <c r="F3342" s="2" t="s">
        <v>35</v>
      </c>
      <c r="G3342" s="7">
        <v>-14.43</v>
      </c>
      <c r="H3342" s="13">
        <f>IFERROR(IF(ABS($G3342)&gt;0,VLOOKUP($E3342,'Fuel Category and Heat Rate'!$B$1:$G$34,6,FALSE)*($G3342),""),"")</f>
        <v>-5604835042618.834</v>
      </c>
      <c r="I3342" t="str">
        <f>IFERROR(VLOOKUP($E3342,'Fuel Category and Heat Rate'!$K$2:$M$36,3,FALSE),"")</f>
        <v>heavy or residual fuel oil</v>
      </c>
    </row>
    <row r="3343" spans="1:9" x14ac:dyDescent="0.15">
      <c r="A3343" s="2">
        <v>373147</v>
      </c>
      <c r="B3343" s="2" t="s">
        <v>85</v>
      </c>
      <c r="C3343" s="2">
        <v>2018</v>
      </c>
      <c r="D3343" s="2" t="s">
        <v>1</v>
      </c>
      <c r="E3343" s="2" t="s">
        <v>5</v>
      </c>
      <c r="F3343" s="2" t="s">
        <v>35</v>
      </c>
      <c r="G3343" s="7">
        <v>-1200.6400000000001</v>
      </c>
      <c r="H3343" s="13">
        <f>IFERROR(IF(ABS($G3343)&gt;0,VLOOKUP($E3343,'Fuel Category and Heat Rate'!$B$1:$G$34,6,FALSE)*($G3343),""),"")</f>
        <v>-95169865367790.719</v>
      </c>
      <c r="I3343" t="str">
        <f>IFERROR(VLOOKUP($E3343,'Fuel Category and Heat Rate'!$K$2:$M$36,3,FALSE),"")</f>
        <v>coal</v>
      </c>
    </row>
    <row r="3344" spans="1:9" x14ac:dyDescent="0.15">
      <c r="A3344" s="2">
        <v>373182</v>
      </c>
      <c r="B3344" s="2" t="s">
        <v>85</v>
      </c>
      <c r="C3344" s="2">
        <v>2018</v>
      </c>
      <c r="D3344" s="2" t="s">
        <v>1</v>
      </c>
      <c r="E3344" s="2" t="s">
        <v>16</v>
      </c>
      <c r="F3344" s="2" t="s">
        <v>35</v>
      </c>
      <c r="G3344" s="7">
        <v>-7.0000000000000007E-2</v>
      </c>
      <c r="H3344" s="13">
        <f>IFERROR(IF(ABS($G3344)&gt;0,VLOOKUP($E3344,'Fuel Category and Heat Rate'!$B$1:$G$34,6,FALSE)*($G3344),""),"")</f>
        <v>-28575738431.287788</v>
      </c>
      <c r="I3344" t="str">
        <f>IFERROR(VLOOKUP($E3344,'Fuel Category and Heat Rate'!$K$2:$M$36,3,FALSE),"")</f>
        <v>petroleum diesel</v>
      </c>
    </row>
    <row r="3345" spans="1:9" x14ac:dyDescent="0.15">
      <c r="A3345" s="2">
        <v>373217</v>
      </c>
      <c r="B3345" s="2" t="s">
        <v>85</v>
      </c>
      <c r="C3345" s="2">
        <v>2018</v>
      </c>
      <c r="D3345" s="2" t="s">
        <v>1</v>
      </c>
      <c r="E3345" s="2" t="s">
        <v>19</v>
      </c>
      <c r="F3345" s="2" t="s">
        <v>35</v>
      </c>
      <c r="G3345" s="7">
        <v>-59.53</v>
      </c>
      <c r="H3345" s="13">
        <f>IFERROR(IF(ABS($G3345)&gt;0,VLOOKUP($E3345,'Fuel Category and Heat Rate'!$B$1:$G$34,6,FALSE)*($G3345),""),"")</f>
        <v>-23594073053099.512</v>
      </c>
      <c r="I3345" t="str">
        <f>IFERROR(VLOOKUP($E3345,'Fuel Category and Heat Rate'!$K$2:$M$36,3,FALSE),"")</f>
        <v>heavy or residual fuel oil</v>
      </c>
    </row>
    <row r="3346" spans="1:9" x14ac:dyDescent="0.15">
      <c r="A3346" s="2">
        <v>373252</v>
      </c>
      <c r="B3346" s="2" t="s">
        <v>85</v>
      </c>
      <c r="C3346" s="2">
        <v>2018</v>
      </c>
      <c r="D3346" s="2" t="s">
        <v>1</v>
      </c>
      <c r="E3346" s="2" t="s">
        <v>31</v>
      </c>
      <c r="F3346" s="2" t="s">
        <v>37</v>
      </c>
      <c r="G3346" s="7">
        <v>524417.65</v>
      </c>
      <c r="H3346" s="13">
        <f>IFERROR(IF(ABS($G3346)&gt;0,VLOOKUP($E3346,'Fuel Category and Heat Rate'!$B$1:$G$34,6,FALSE)*($G3346),""),"")</f>
        <v>4970520280987969</v>
      </c>
      <c r="I3346" t="str">
        <f>IFERROR(VLOOKUP($E3346,'Fuel Category and Heat Rate'!$K$2:$M$36,3,FALSE),"")</f>
        <v>heat</v>
      </c>
    </row>
    <row r="3347" spans="1:9" x14ac:dyDescent="0.15">
      <c r="A3347" s="2">
        <v>373287</v>
      </c>
      <c r="B3347" s="2" t="s">
        <v>85</v>
      </c>
      <c r="C3347" s="2">
        <v>2018</v>
      </c>
      <c r="D3347" s="2" t="s">
        <v>1</v>
      </c>
      <c r="E3347" s="2" t="s">
        <v>23</v>
      </c>
      <c r="F3347" s="2" t="s">
        <v>35</v>
      </c>
      <c r="G3347" s="7"/>
      <c r="H3347" s="13" t="str">
        <f>IFERROR(IF(ABS($G3347)&gt;0,VLOOKUP($E3347,'Fuel Category and Heat Rate'!$B$1:$G$34,6,FALSE)*($G3347),""),"")</f>
        <v/>
      </c>
      <c r="I3347" t="str">
        <f>IFERROR(VLOOKUP($E3347,'Fuel Category and Heat Rate'!$K$2:$M$36,3,FALSE),"")</f>
        <v>heavy or residual fuel oil</v>
      </c>
    </row>
    <row r="3348" spans="1:9" x14ac:dyDescent="0.15">
      <c r="A3348" s="2">
        <v>373322</v>
      </c>
      <c r="B3348" s="2" t="s">
        <v>85</v>
      </c>
      <c r="C3348" s="2">
        <v>2018</v>
      </c>
      <c r="D3348" s="2" t="s">
        <v>1</v>
      </c>
      <c r="E3348" s="2" t="s">
        <v>21</v>
      </c>
      <c r="F3348" s="2" t="s">
        <v>35</v>
      </c>
      <c r="G3348" s="7"/>
      <c r="H3348" s="13" t="str">
        <f>IFERROR(IF(ABS($G3348)&gt;0,VLOOKUP($E3348,'Fuel Category and Heat Rate'!$B$1:$G$34,6,FALSE)*($G3348),""),"")</f>
        <v/>
      </c>
      <c r="I3348" t="str">
        <f>IFERROR(VLOOKUP($E3348,'Fuel Category and Heat Rate'!$K$2:$M$36,3,FALSE),"")</f>
        <v>LPG propane or butane</v>
      </c>
    </row>
    <row r="3349" spans="1:9" x14ac:dyDescent="0.15">
      <c r="A3349" s="2">
        <v>373357</v>
      </c>
      <c r="B3349" s="2" t="s">
        <v>85</v>
      </c>
      <c r="C3349" s="2">
        <v>2018</v>
      </c>
      <c r="D3349" s="2" t="s">
        <v>1</v>
      </c>
      <c r="E3349" s="2" t="s">
        <v>22</v>
      </c>
      <c r="F3349" s="2" t="s">
        <v>35</v>
      </c>
      <c r="G3349" s="7"/>
      <c r="H3349" s="13" t="str">
        <f>IFERROR(IF(ABS($G3349)&gt;0,VLOOKUP($E3349,'Fuel Category and Heat Rate'!$B$1:$G$34,6,FALSE)*($G3349),""),"")</f>
        <v/>
      </c>
      <c r="I3349" t="str">
        <f>IFERROR(VLOOKUP($E3349,'Fuel Category and Heat Rate'!$K$2:$M$36,3,FALSE),"")</f>
        <v>heavy fuel oil</v>
      </c>
    </row>
    <row r="3350" spans="1:9" x14ac:dyDescent="0.15">
      <c r="A3350" s="2">
        <v>373392</v>
      </c>
      <c r="B3350" s="2" t="s">
        <v>85</v>
      </c>
      <c r="C3350" s="2">
        <v>2018</v>
      </c>
      <c r="D3350" s="2" t="s">
        <v>1</v>
      </c>
      <c r="E3350" s="2" t="s">
        <v>20</v>
      </c>
      <c r="F3350" s="2" t="s">
        <v>35</v>
      </c>
      <c r="G3350" s="7">
        <v>-137.56</v>
      </c>
      <c r="H3350" s="13">
        <f>IFERROR(IF(ABS($G3350)&gt;0,VLOOKUP($E3350,'Fuel Category and Heat Rate'!$B$1:$G$34,6,FALSE)*($G3350),""),"")</f>
        <v>-57246703290636.234</v>
      </c>
      <c r="I3350" t="str">
        <f>IFERROR(VLOOKUP($E3350,'Fuel Category and Heat Rate'!$K$2:$M$36,3,FALSE),"")</f>
        <v>LPG propane or butane</v>
      </c>
    </row>
    <row r="3351" spans="1:9" x14ac:dyDescent="0.15">
      <c r="A3351" s="2">
        <v>373427</v>
      </c>
      <c r="B3351" s="2" t="s">
        <v>85</v>
      </c>
      <c r="C3351" s="2">
        <v>2018</v>
      </c>
      <c r="D3351" s="2" t="s">
        <v>1</v>
      </c>
      <c r="E3351" s="2" t="s">
        <v>25</v>
      </c>
      <c r="F3351" s="2" t="s">
        <v>35</v>
      </c>
      <c r="G3351" s="7">
        <v>-198.97</v>
      </c>
      <c r="H3351" s="13">
        <f>IFERROR(IF(ABS($G3351)&gt;0,VLOOKUP($E3351,'Fuel Category and Heat Rate'!$B$1:$G$34,6,FALSE)*($G3351),""),"")</f>
        <v>-60247944125422.359</v>
      </c>
      <c r="I3351" t="str">
        <f>IFERROR(VLOOKUP($E3351,'Fuel Category and Heat Rate'!$K$2:$M$36,3,FALSE),"")</f>
        <v>heavy fuel oil</v>
      </c>
    </row>
    <row r="3352" spans="1:9" x14ac:dyDescent="0.15">
      <c r="A3352" s="2">
        <v>373462</v>
      </c>
      <c r="B3352" s="2" t="s">
        <v>85</v>
      </c>
      <c r="C3352" s="2">
        <v>2018</v>
      </c>
      <c r="D3352" s="2" t="s">
        <v>1</v>
      </c>
      <c r="E3352" s="2" t="s">
        <v>24</v>
      </c>
      <c r="F3352" s="2" t="s">
        <v>35</v>
      </c>
      <c r="G3352" s="7"/>
      <c r="H3352" s="13" t="str">
        <f>IFERROR(IF(ABS($G3352)&gt;0,VLOOKUP($E3352,'Fuel Category and Heat Rate'!$B$1:$G$34,6,FALSE)*($G3352),""),"")</f>
        <v/>
      </c>
      <c r="I3352" t="str">
        <f>IFERROR(VLOOKUP($E3352,'Fuel Category and Heat Rate'!$K$2:$M$36,3,FALSE),"")</f>
        <v>heavy fuel oil</v>
      </c>
    </row>
    <row r="3353" spans="1:9" x14ac:dyDescent="0.15">
      <c r="A3353" s="2">
        <v>373497</v>
      </c>
      <c r="B3353" s="2" t="s">
        <v>85</v>
      </c>
      <c r="C3353" s="2">
        <v>2018</v>
      </c>
      <c r="D3353" s="2" t="s">
        <v>1</v>
      </c>
      <c r="E3353" s="2" t="s">
        <v>29</v>
      </c>
      <c r="F3353" s="2" t="s">
        <v>36</v>
      </c>
      <c r="G3353" s="7">
        <v>-128.97</v>
      </c>
      <c r="H3353" s="13">
        <f>IFERROR(IF(ABS($G3353)&gt;0,VLOOKUP($E3353,'Fuel Category and Heat Rate'!$B$1:$G$34,6,FALSE)*($G3353),""),"")</f>
        <v>-434984836584717.31</v>
      </c>
      <c r="I3353" t="str">
        <f>IFERROR(VLOOKUP($E3353,'Fuel Category and Heat Rate'!$K$2:$M$36,3,FALSE),"")</f>
        <v>natural gas</v>
      </c>
    </row>
    <row r="3354" spans="1:9" x14ac:dyDescent="0.15">
      <c r="A3354" s="2">
        <v>373532</v>
      </c>
      <c r="B3354" s="2" t="s">
        <v>85</v>
      </c>
      <c r="C3354" s="2">
        <v>2018</v>
      </c>
      <c r="D3354" s="2" t="s">
        <v>1</v>
      </c>
      <c r="E3354" s="2" t="s">
        <v>4</v>
      </c>
      <c r="F3354" s="2" t="s">
        <v>35</v>
      </c>
      <c r="G3354" s="7"/>
      <c r="H3354" s="13" t="str">
        <f>IFERROR(IF(ABS($G3354)&gt;0,VLOOKUP($E3354,'Fuel Category and Heat Rate'!$B$1:$G$34,6,FALSE)*($G3354),""),"")</f>
        <v/>
      </c>
      <c r="I3354" t="str">
        <f>IFERROR(VLOOKUP($E3354,'Fuel Category and Heat Rate'!$K$2:$M$36,3,FALSE),"")</f>
        <v>coal</v>
      </c>
    </row>
    <row r="3355" spans="1:9" x14ac:dyDescent="0.15">
      <c r="A3355" s="2">
        <v>373567</v>
      </c>
      <c r="B3355" s="2" t="s">
        <v>85</v>
      </c>
      <c r="C3355" s="2">
        <v>2018</v>
      </c>
      <c r="D3355" s="2" t="s">
        <v>1</v>
      </c>
      <c r="E3355" s="2" t="s">
        <v>6</v>
      </c>
      <c r="F3355" s="2" t="s">
        <v>35</v>
      </c>
      <c r="G3355" s="7"/>
      <c r="H3355" s="13" t="str">
        <f>IFERROR(IF(ABS($G3355)&gt;0,VLOOKUP($E3355,'Fuel Category and Heat Rate'!$B$1:$G$34,6,FALSE)*($G3355),""),"")</f>
        <v/>
      </c>
      <c r="I3355" t="str">
        <f>IFERROR(VLOOKUP($E3355,'Fuel Category and Heat Rate'!$K$2:$M$36,3,FALSE),"")</f>
        <v>coal</v>
      </c>
    </row>
    <row r="3356" spans="1:9" x14ac:dyDescent="0.15">
      <c r="A3356" s="2">
        <v>373602</v>
      </c>
      <c r="B3356" s="2" t="s">
        <v>85</v>
      </c>
      <c r="C3356" s="2">
        <v>2018</v>
      </c>
      <c r="D3356" s="2" t="s">
        <v>1</v>
      </c>
      <c r="E3356" s="2" t="s">
        <v>26</v>
      </c>
      <c r="F3356" s="2" t="s">
        <v>35</v>
      </c>
      <c r="G3356" s="7">
        <v>-3.81</v>
      </c>
      <c r="H3356" s="13">
        <f>IFERROR(IF(ABS($G3356)&gt;0,VLOOKUP($E3356,'Fuel Category and Heat Rate'!$B$1:$G$34,6,FALSE)*($G3356),""),"")</f>
        <v>-1812055636675.5371</v>
      </c>
      <c r="I3356" t="str">
        <f>IFERROR(VLOOKUP($E3356,'Fuel Category and Heat Rate'!$K$2:$M$36,3,FALSE),"")</f>
        <v>LPG propane or butane</v>
      </c>
    </row>
    <row r="3357" spans="1:9" x14ac:dyDescent="0.15">
      <c r="A3357" s="2">
        <v>373637</v>
      </c>
      <c r="B3357" s="2" t="s">
        <v>85</v>
      </c>
      <c r="C3357" s="2">
        <v>2018</v>
      </c>
      <c r="D3357" s="2" t="s">
        <v>1</v>
      </c>
      <c r="E3357" s="2" t="s">
        <v>30</v>
      </c>
      <c r="F3357" s="2" t="s">
        <v>35</v>
      </c>
      <c r="G3357" s="7">
        <v>-24.52</v>
      </c>
      <c r="H3357" s="13">
        <f>IFERROR(IF(ABS($G3357)&gt;0,VLOOKUP($E3357,'Fuel Category and Heat Rate'!$B$1:$G$34,6,FALSE)*($G3357),""),"")</f>
        <v>-11953506347554.967</v>
      </c>
      <c r="I3357" t="str">
        <f>IFERROR(VLOOKUP($E3357,'Fuel Category and Heat Rate'!$K$2:$M$36,3,FALSE),"")</f>
        <v>natural gas</v>
      </c>
    </row>
    <row r="3358" spans="1:9" x14ac:dyDescent="0.15">
      <c r="A3358" s="2">
        <v>373672</v>
      </c>
      <c r="B3358" s="2" t="s">
        <v>85</v>
      </c>
      <c r="C3358" s="2">
        <v>2018</v>
      </c>
      <c r="D3358" s="2" t="s">
        <v>1</v>
      </c>
      <c r="E3358" s="2" t="s">
        <v>14</v>
      </c>
      <c r="F3358" s="2" t="s">
        <v>35</v>
      </c>
      <c r="G3358" s="7">
        <v>-590.16999999999996</v>
      </c>
      <c r="H3358" s="13">
        <f>IFERROR(IF(ABS($G3358)&gt;0,VLOOKUP($E3358,'Fuel Category and Heat Rate'!$B$1:$G$34,6,FALSE)*($G3358),""),"")</f>
        <v>0</v>
      </c>
      <c r="I3358" t="str">
        <f>IFERROR(VLOOKUP($E3358,'Fuel Category and Heat Rate'!$K$2:$M$36,3,FALSE),"")</f>
        <v/>
      </c>
    </row>
    <row r="3359" spans="1:9" x14ac:dyDescent="0.15">
      <c r="A3359" s="2">
        <v>373707</v>
      </c>
      <c r="B3359" s="2" t="s">
        <v>85</v>
      </c>
      <c r="C3359" s="2">
        <v>2018</v>
      </c>
      <c r="D3359" s="2" t="s">
        <v>1</v>
      </c>
      <c r="E3359" s="2" t="s">
        <v>3</v>
      </c>
      <c r="F3359" s="2" t="s">
        <v>35</v>
      </c>
      <c r="G3359" s="7">
        <v>-31187.41</v>
      </c>
      <c r="H3359" s="13">
        <f>IFERROR(IF(ABS($G3359)&gt;0,VLOOKUP($E3359,'Fuel Category and Heat Rate'!$B$1:$G$34,6,FALSE)*($G3359),""),"")</f>
        <v>-6180396689710786</v>
      </c>
      <c r="I3359" t="str">
        <f>IFERROR(VLOOKUP($E3359,'Fuel Category and Heat Rate'!$K$2:$M$36,3,FALSE),"")</f>
        <v>coal</v>
      </c>
    </row>
    <row r="3360" spans="1:9" x14ac:dyDescent="0.15">
      <c r="A3360" s="2">
        <v>373742</v>
      </c>
      <c r="B3360" s="2" t="s">
        <v>85</v>
      </c>
      <c r="C3360" s="2">
        <v>2018</v>
      </c>
      <c r="D3360" s="2" t="s">
        <v>1</v>
      </c>
      <c r="E3360" s="2" t="s">
        <v>15</v>
      </c>
      <c r="F3360" s="2" t="s">
        <v>35</v>
      </c>
      <c r="G3360" s="7"/>
      <c r="H3360" s="13" t="str">
        <f>IFERROR(IF(ABS($G3360)&gt;0,VLOOKUP($E3360,'Fuel Category and Heat Rate'!$B$1:$G$34,6,FALSE)*($G3360),""),"")</f>
        <v/>
      </c>
      <c r="I3360" t="str">
        <f>IFERROR(VLOOKUP($E3360,'Fuel Category and Heat Rate'!$K$2:$M$36,3,FALSE),"")</f>
        <v>crude oil</v>
      </c>
    </row>
    <row r="3361" spans="1:9" x14ac:dyDescent="0.15">
      <c r="A3361" s="2">
        <v>373777</v>
      </c>
      <c r="B3361" s="2" t="s">
        <v>85</v>
      </c>
      <c r="C3361" s="2">
        <v>2018</v>
      </c>
      <c r="D3361" s="2" t="s">
        <v>1</v>
      </c>
      <c r="E3361" s="2" t="s">
        <v>11</v>
      </c>
      <c r="F3361" s="2" t="s">
        <v>36</v>
      </c>
      <c r="G3361" s="7">
        <v>-41.41</v>
      </c>
      <c r="H3361" s="13">
        <f>IFERROR(IF(ABS($G3361)&gt;0,VLOOKUP($E3361,'Fuel Category and Heat Rate'!$B$1:$G$34,6,FALSE)*($G3361),""),"")</f>
        <v>-31183415550939.793</v>
      </c>
      <c r="I3361" t="str">
        <f>IFERROR(VLOOKUP($E3361,'Fuel Category and Heat Rate'!$K$2:$M$36,3,FALSE),"")</f>
        <v>LPG propane or butane</v>
      </c>
    </row>
    <row r="3362" spans="1:9" x14ac:dyDescent="0.15">
      <c r="A3362" s="2">
        <v>386622</v>
      </c>
      <c r="B3362" s="2" t="s">
        <v>86</v>
      </c>
      <c r="C3362" s="2">
        <v>2022</v>
      </c>
      <c r="D3362" s="2" t="s">
        <v>1</v>
      </c>
      <c r="E3362" s="2" t="s">
        <v>18</v>
      </c>
      <c r="F3362" s="2" t="s">
        <v>35</v>
      </c>
      <c r="G3362" s="7">
        <v>-0.45</v>
      </c>
      <c r="H3362" s="13">
        <f>IFERROR(IF(ABS($G3362)&gt;0,VLOOKUP($E3362,'Fuel Category and Heat Rate'!$B$1:$G$34,6,FALSE)*($G3362),""),"")</f>
        <v>-181918331621.97052</v>
      </c>
      <c r="I3362" t="str">
        <f>IFERROR(VLOOKUP($E3362,'Fuel Category and Heat Rate'!$K$2:$M$36,3,FALSE),"")</f>
        <v>petroleum diesel</v>
      </c>
    </row>
    <row r="3363" spans="1:9" x14ac:dyDescent="0.15">
      <c r="A3363" s="2">
        <v>386657</v>
      </c>
      <c r="B3363" s="2" t="s">
        <v>86</v>
      </c>
      <c r="C3363" s="2">
        <v>2022</v>
      </c>
      <c r="D3363" s="2" t="s">
        <v>1</v>
      </c>
      <c r="E3363" s="2" t="s">
        <v>32</v>
      </c>
      <c r="F3363" s="2" t="s">
        <v>65</v>
      </c>
      <c r="G3363" s="7"/>
      <c r="H3363" s="13" t="str">
        <f>IFERROR(IF(ABS($G3363)&gt;0,VLOOKUP($E3363,'Fuel Category and Heat Rate'!$B$1:$G$34,6,FALSE)*($G3363),""),"")</f>
        <v/>
      </c>
      <c r="I3363" t="str">
        <f>IFERROR(VLOOKUP($E3363,'Fuel Category and Heat Rate'!$K$2:$M$36,3,FALSE),"")</f>
        <v>electricity</v>
      </c>
    </row>
    <row r="3364" spans="1:9" x14ac:dyDescent="0.15">
      <c r="A3364" s="2">
        <v>386692</v>
      </c>
      <c r="B3364" s="2" t="s">
        <v>86</v>
      </c>
      <c r="C3364" s="2">
        <v>2022</v>
      </c>
      <c r="D3364" s="2" t="s">
        <v>1</v>
      </c>
      <c r="E3364" s="2" t="s">
        <v>10</v>
      </c>
      <c r="F3364" s="2" t="s">
        <v>36</v>
      </c>
      <c r="G3364" s="7">
        <v>-17.88</v>
      </c>
      <c r="H3364" s="13">
        <f>IFERROR(IF(ABS($G3364)&gt;0,VLOOKUP($E3364,'Fuel Category and Heat Rate'!$B$1:$G$34,6,FALSE)*($G3364),""),"")</f>
        <v>-6377144868681.5957</v>
      </c>
      <c r="I3364" t="str">
        <f>IFERROR(VLOOKUP($E3364,'Fuel Category and Heat Rate'!$K$2:$M$36,3,FALSE),"")</f>
        <v>LPG propane or butane</v>
      </c>
    </row>
    <row r="3365" spans="1:9" x14ac:dyDescent="0.15">
      <c r="A3365" s="2">
        <v>386727</v>
      </c>
      <c r="B3365" s="2" t="s">
        <v>86</v>
      </c>
      <c r="C3365" s="2">
        <v>2022</v>
      </c>
      <c r="D3365" s="2" t="s">
        <v>1</v>
      </c>
      <c r="E3365" s="2" t="s">
        <v>9</v>
      </c>
      <c r="F3365" s="2" t="s">
        <v>36</v>
      </c>
      <c r="G3365" s="7">
        <v>-2.6</v>
      </c>
      <c r="H3365" s="13">
        <f>IFERROR(IF(ABS($G3365)&gt;0,VLOOKUP($E3365,'Fuel Category and Heat Rate'!$B$1:$G$34,6,FALSE)*($G3365),""),"")</f>
        <v>-4276465553932.5244</v>
      </c>
      <c r="I3365" t="str">
        <f>IFERROR(VLOOKUP($E3365,'Fuel Category and Heat Rate'!$K$2:$M$36,3,FALSE),"")</f>
        <v>LPG propane or butane</v>
      </c>
    </row>
    <row r="3366" spans="1:9" x14ac:dyDescent="0.15">
      <c r="A3366" s="2">
        <v>386762</v>
      </c>
      <c r="B3366" s="2" t="s">
        <v>86</v>
      </c>
      <c r="C3366" s="2">
        <v>2022</v>
      </c>
      <c r="D3366" s="2" t="s">
        <v>1</v>
      </c>
      <c r="E3366" s="2" t="s">
        <v>8</v>
      </c>
      <c r="F3366" s="2" t="s">
        <v>35</v>
      </c>
      <c r="G3366" s="7">
        <v>-156.19</v>
      </c>
      <c r="H3366" s="13">
        <f>IFERROR(IF(ABS($G3366)&gt;0,VLOOKUP($E3366,'Fuel Category and Heat Rate'!$B$1:$G$34,6,FALSE)*($G3366),""),"")</f>
        <v>-42095047859314.742</v>
      </c>
      <c r="I3366" t="str">
        <f>IFERROR(VLOOKUP($E3366,'Fuel Category and Heat Rate'!$K$2:$M$36,3,FALSE),"")</f>
        <v>coal</v>
      </c>
    </row>
    <row r="3367" spans="1:9" x14ac:dyDescent="0.15">
      <c r="A3367" s="2">
        <v>386797</v>
      </c>
      <c r="B3367" s="2" t="s">
        <v>86</v>
      </c>
      <c r="C3367" s="2">
        <v>2022</v>
      </c>
      <c r="D3367" s="2" t="s">
        <v>1</v>
      </c>
      <c r="E3367" s="2" t="s">
        <v>27</v>
      </c>
      <c r="F3367" s="2" t="s">
        <v>35</v>
      </c>
      <c r="G3367" s="7">
        <v>-8.9</v>
      </c>
      <c r="H3367" s="13">
        <f>IFERROR(IF(ABS($G3367)&gt;0,VLOOKUP($E3367,'Fuel Category and Heat Rate'!$B$1:$G$34,6,FALSE)*($G3367),""),"")</f>
        <v>-3880194588750.918</v>
      </c>
      <c r="I3367" t="str">
        <f>IFERROR(VLOOKUP($E3367,'Fuel Category and Heat Rate'!$K$2:$M$36,3,FALSE),"")</f>
        <v>LPG propane or butane</v>
      </c>
    </row>
    <row r="3368" spans="1:9" x14ac:dyDescent="0.15">
      <c r="A3368" s="2">
        <v>386832</v>
      </c>
      <c r="B3368" s="2" t="s">
        <v>86</v>
      </c>
      <c r="C3368" s="2">
        <v>2022</v>
      </c>
      <c r="D3368" s="2" t="s">
        <v>1</v>
      </c>
      <c r="E3368" s="2" t="s">
        <v>7</v>
      </c>
      <c r="F3368" s="2" t="s">
        <v>35</v>
      </c>
      <c r="G3368" s="7">
        <v>-81.430000000000007</v>
      </c>
      <c r="H3368" s="13">
        <f>IFERROR(IF(ABS($G3368)&gt;0,VLOOKUP($E3368,'Fuel Category and Heat Rate'!$B$1:$G$34,6,FALSE)*($G3368),""),"")</f>
        <v>-6463115862539.4102</v>
      </c>
      <c r="I3368" t="str">
        <f>IFERROR(VLOOKUP($E3368,'Fuel Category and Heat Rate'!$K$2:$M$36,3,FALSE),"")</f>
        <v>coal</v>
      </c>
    </row>
    <row r="3369" spans="1:9" x14ac:dyDescent="0.15">
      <c r="A3369" s="2">
        <v>386867</v>
      </c>
      <c r="B3369" s="2" t="s">
        <v>86</v>
      </c>
      <c r="C3369" s="2">
        <v>2022</v>
      </c>
      <c r="D3369" s="2" t="s">
        <v>1</v>
      </c>
      <c r="E3369" s="2" t="s">
        <v>2</v>
      </c>
      <c r="F3369" s="2" t="s">
        <v>35</v>
      </c>
      <c r="G3369" s="7">
        <v>-9143.2000000000007</v>
      </c>
      <c r="H3369" s="13">
        <f>IFERROR(IF(ABS($G3369)&gt;0,VLOOKUP($E3369,'Fuel Category and Heat Rate'!$B$1:$G$34,6,FALSE)*($G3369),""),"")</f>
        <v>0</v>
      </c>
      <c r="I3369" t="str">
        <f>IFERROR(VLOOKUP($E3369,'Fuel Category and Heat Rate'!$K$2:$M$36,3,FALSE),"")</f>
        <v/>
      </c>
    </row>
    <row r="3370" spans="1:9" x14ac:dyDescent="0.15">
      <c r="A3370" s="2">
        <v>386902</v>
      </c>
      <c r="B3370" s="2" t="s">
        <v>86</v>
      </c>
      <c r="C3370" s="2">
        <v>2022</v>
      </c>
      <c r="D3370" s="2" t="s">
        <v>1</v>
      </c>
      <c r="E3370" s="2" t="s">
        <v>17</v>
      </c>
      <c r="F3370" s="2" t="s">
        <v>35</v>
      </c>
      <c r="G3370" s="7"/>
      <c r="H3370" s="13" t="str">
        <f>IFERROR(IF(ABS($G3370)&gt;0,VLOOKUP($E3370,'Fuel Category and Heat Rate'!$B$1:$G$34,6,FALSE)*($G3370),""),"")</f>
        <v/>
      </c>
      <c r="I3370" t="str">
        <f>IFERROR(VLOOKUP($E3370,'Fuel Category and Heat Rate'!$K$2:$M$36,3,FALSE),"")</f>
        <v>petroleum diesel</v>
      </c>
    </row>
    <row r="3371" spans="1:9" x14ac:dyDescent="0.15">
      <c r="A3371" s="2">
        <v>386937</v>
      </c>
      <c r="B3371" s="2" t="s">
        <v>86</v>
      </c>
      <c r="C3371" s="2">
        <v>2022</v>
      </c>
      <c r="D3371" s="2" t="s">
        <v>1</v>
      </c>
      <c r="E3371" s="2" t="s">
        <v>13</v>
      </c>
      <c r="F3371" s="2" t="s">
        <v>35</v>
      </c>
      <c r="G3371" s="7">
        <v>-35.97</v>
      </c>
      <c r="H3371" s="13">
        <f>IFERROR(IF(ABS($G3371)&gt;0,VLOOKUP($E3371,'Fuel Category and Heat Rate'!$B$1:$G$34,6,FALSE)*($G3371),""),"")</f>
        <v>-11405125235787.281</v>
      </c>
      <c r="I3371" t="str">
        <f>IFERROR(VLOOKUP($E3371,'Fuel Category and Heat Rate'!$K$2:$M$36,3,FALSE),"")</f>
        <v>petroleum diesel</v>
      </c>
    </row>
    <row r="3372" spans="1:9" x14ac:dyDescent="0.15">
      <c r="A3372" s="2">
        <v>386972</v>
      </c>
      <c r="B3372" s="2" t="s">
        <v>86</v>
      </c>
      <c r="C3372" s="2">
        <v>2022</v>
      </c>
      <c r="D3372" s="2" t="s">
        <v>1</v>
      </c>
      <c r="E3372" s="2" t="s">
        <v>12</v>
      </c>
      <c r="F3372" s="2" t="s">
        <v>36</v>
      </c>
      <c r="G3372" s="7">
        <v>-0.15</v>
      </c>
      <c r="H3372" s="13">
        <f>IFERROR(IF(ABS($G3372)&gt;0,VLOOKUP($E3372,'Fuel Category and Heat Rate'!$B$1:$G$34,6,FALSE)*($G3372),""),"")</f>
        <v>-74313601502.707184</v>
      </c>
      <c r="I3372" t="str">
        <f>IFERROR(VLOOKUP($E3372,'Fuel Category and Heat Rate'!$K$2:$M$36,3,FALSE),"")</f>
        <v>LPG propane or butane</v>
      </c>
    </row>
    <row r="3373" spans="1:9" x14ac:dyDescent="0.15">
      <c r="A3373" s="2">
        <v>387007</v>
      </c>
      <c r="B3373" s="2" t="s">
        <v>86</v>
      </c>
      <c r="C3373" s="2">
        <v>2022</v>
      </c>
      <c r="D3373" s="2" t="s">
        <v>1</v>
      </c>
      <c r="E3373" s="2" t="s">
        <v>33</v>
      </c>
      <c r="F3373" s="2" t="s">
        <v>38</v>
      </c>
      <c r="G3373" s="7">
        <v>-252.69</v>
      </c>
      <c r="H3373" s="13">
        <f>IFERROR(IF(ABS($G3373)&gt;0,VLOOKUP($E3373,'Fuel Category and Heat Rate'!$B$1:$G$34,6,FALSE)*($G3373),""),"")</f>
        <v>-70105189123400.43</v>
      </c>
      <c r="I3373" t="str">
        <f>IFERROR(VLOOKUP($E3373,'Fuel Category and Heat Rate'!$K$2:$M$36,3,FALSE),"")</f>
        <v>biomass</v>
      </c>
    </row>
    <row r="3374" spans="1:9" x14ac:dyDescent="0.15">
      <c r="A3374" s="2">
        <v>387042</v>
      </c>
      <c r="B3374" s="2" t="s">
        <v>86</v>
      </c>
      <c r="C3374" s="2">
        <v>2022</v>
      </c>
      <c r="D3374" s="2" t="s">
        <v>1</v>
      </c>
      <c r="E3374" s="2" t="s">
        <v>28</v>
      </c>
      <c r="F3374" s="2" t="s">
        <v>35</v>
      </c>
      <c r="G3374" s="7">
        <v>-0.49</v>
      </c>
      <c r="H3374" s="13">
        <f>IFERROR(IF(ABS($G3374)&gt;0,VLOOKUP($E3374,'Fuel Category and Heat Rate'!$B$1:$G$34,6,FALSE)*($G3374),""),"")</f>
        <v>-190323573865.78162</v>
      </c>
      <c r="I3374" t="str">
        <f>IFERROR(VLOOKUP($E3374,'Fuel Category and Heat Rate'!$K$2:$M$36,3,FALSE),"")</f>
        <v>heavy or residual fuel oil</v>
      </c>
    </row>
    <row r="3375" spans="1:9" x14ac:dyDescent="0.15">
      <c r="A3375" s="2">
        <v>387077</v>
      </c>
      <c r="B3375" s="2" t="s">
        <v>86</v>
      </c>
      <c r="C3375" s="2">
        <v>2022</v>
      </c>
      <c r="D3375" s="2" t="s">
        <v>1</v>
      </c>
      <c r="E3375" s="2" t="s">
        <v>5</v>
      </c>
      <c r="F3375" s="2" t="s">
        <v>35</v>
      </c>
      <c r="G3375" s="7">
        <v>-177.28</v>
      </c>
      <c r="H3375" s="13">
        <f>IFERROR(IF(ABS($G3375)&gt;0,VLOOKUP($E3375,'Fuel Category and Heat Rate'!$B$1:$G$34,6,FALSE)*($G3375),""),"")</f>
        <v>-14052266901320.91</v>
      </c>
      <c r="I3375" t="str">
        <f>IFERROR(VLOOKUP($E3375,'Fuel Category and Heat Rate'!$K$2:$M$36,3,FALSE),"")</f>
        <v>coal</v>
      </c>
    </row>
    <row r="3376" spans="1:9" x14ac:dyDescent="0.15">
      <c r="A3376" s="2">
        <v>387112</v>
      </c>
      <c r="B3376" s="2" t="s">
        <v>86</v>
      </c>
      <c r="C3376" s="2">
        <v>2022</v>
      </c>
      <c r="D3376" s="2" t="s">
        <v>1</v>
      </c>
      <c r="E3376" s="2" t="s">
        <v>16</v>
      </c>
      <c r="F3376" s="2" t="s">
        <v>35</v>
      </c>
      <c r="G3376" s="7"/>
      <c r="H3376" s="13" t="str">
        <f>IFERROR(IF(ABS($G3376)&gt;0,VLOOKUP($E3376,'Fuel Category and Heat Rate'!$B$1:$G$34,6,FALSE)*($G3376),""),"")</f>
        <v/>
      </c>
      <c r="I3376" t="str">
        <f>IFERROR(VLOOKUP($E3376,'Fuel Category and Heat Rate'!$K$2:$M$36,3,FALSE),"")</f>
        <v>petroleum diesel</v>
      </c>
    </row>
    <row r="3377" spans="1:9" x14ac:dyDescent="0.15">
      <c r="A3377" s="2">
        <v>387147</v>
      </c>
      <c r="B3377" s="2" t="s">
        <v>86</v>
      </c>
      <c r="C3377" s="2">
        <v>2022</v>
      </c>
      <c r="D3377" s="2" t="s">
        <v>1</v>
      </c>
      <c r="E3377" s="2" t="s">
        <v>19</v>
      </c>
      <c r="F3377" s="2" t="s">
        <v>35</v>
      </c>
      <c r="G3377" s="7">
        <v>-0.16</v>
      </c>
      <c r="H3377" s="13">
        <f>IFERROR(IF(ABS($G3377)&gt;0,VLOOKUP($E3377,'Fuel Category and Heat Rate'!$B$1:$G$34,6,FALSE)*($G3377),""),"")</f>
        <v>-63414273282.310127</v>
      </c>
      <c r="I3377" t="str">
        <f>IFERROR(VLOOKUP($E3377,'Fuel Category and Heat Rate'!$K$2:$M$36,3,FALSE),"")</f>
        <v>heavy or residual fuel oil</v>
      </c>
    </row>
    <row r="3378" spans="1:9" x14ac:dyDescent="0.15">
      <c r="A3378" s="2">
        <v>387182</v>
      </c>
      <c r="B3378" s="2" t="s">
        <v>86</v>
      </c>
      <c r="C3378" s="2">
        <v>2022</v>
      </c>
      <c r="D3378" s="2" t="s">
        <v>1</v>
      </c>
      <c r="E3378" s="2" t="s">
        <v>31</v>
      </c>
      <c r="F3378" s="2" t="s">
        <v>37</v>
      </c>
      <c r="G3378" s="7">
        <v>176928.23</v>
      </c>
      <c r="H3378" s="13">
        <f>IFERROR(IF(ABS($G3378)&gt;0,VLOOKUP($E3378,'Fuel Category and Heat Rate'!$B$1:$G$34,6,FALSE)*($G3378),""),"")</f>
        <v>1676956058771675.8</v>
      </c>
      <c r="I3378" t="str">
        <f>IFERROR(VLOOKUP($E3378,'Fuel Category and Heat Rate'!$K$2:$M$36,3,FALSE),"")</f>
        <v>heat</v>
      </c>
    </row>
    <row r="3379" spans="1:9" x14ac:dyDescent="0.15">
      <c r="A3379" s="2">
        <v>387217</v>
      </c>
      <c r="B3379" s="2" t="s">
        <v>86</v>
      </c>
      <c r="C3379" s="2">
        <v>2022</v>
      </c>
      <c r="D3379" s="2" t="s">
        <v>1</v>
      </c>
      <c r="E3379" s="2" t="s">
        <v>23</v>
      </c>
      <c r="F3379" s="2" t="s">
        <v>35</v>
      </c>
      <c r="G3379" s="7"/>
      <c r="H3379" s="13" t="str">
        <f>IFERROR(IF(ABS($G3379)&gt;0,VLOOKUP($E3379,'Fuel Category and Heat Rate'!$B$1:$G$34,6,FALSE)*($G3379),""),"")</f>
        <v/>
      </c>
      <c r="I3379" t="str">
        <f>IFERROR(VLOOKUP($E3379,'Fuel Category and Heat Rate'!$K$2:$M$36,3,FALSE),"")</f>
        <v>heavy or residual fuel oil</v>
      </c>
    </row>
    <row r="3380" spans="1:9" x14ac:dyDescent="0.15">
      <c r="A3380" s="2">
        <v>387252</v>
      </c>
      <c r="B3380" s="2" t="s">
        <v>86</v>
      </c>
      <c r="C3380" s="2">
        <v>2022</v>
      </c>
      <c r="D3380" s="2" t="s">
        <v>1</v>
      </c>
      <c r="E3380" s="2" t="s">
        <v>21</v>
      </c>
      <c r="F3380" s="2" t="s">
        <v>35</v>
      </c>
      <c r="G3380" s="7"/>
      <c r="H3380" s="13" t="str">
        <f>IFERROR(IF(ABS($G3380)&gt;0,VLOOKUP($E3380,'Fuel Category and Heat Rate'!$B$1:$G$34,6,FALSE)*($G3380),""),"")</f>
        <v/>
      </c>
      <c r="I3380" t="str">
        <f>IFERROR(VLOOKUP($E3380,'Fuel Category and Heat Rate'!$K$2:$M$36,3,FALSE),"")</f>
        <v>LPG propane or butane</v>
      </c>
    </row>
    <row r="3381" spans="1:9" x14ac:dyDescent="0.15">
      <c r="A3381" s="2">
        <v>387287</v>
      </c>
      <c r="B3381" s="2" t="s">
        <v>86</v>
      </c>
      <c r="C3381" s="2">
        <v>2022</v>
      </c>
      <c r="D3381" s="2" t="s">
        <v>1</v>
      </c>
      <c r="E3381" s="2" t="s">
        <v>22</v>
      </c>
      <c r="F3381" s="2" t="s">
        <v>35</v>
      </c>
      <c r="G3381" s="7"/>
      <c r="H3381" s="13" t="str">
        <f>IFERROR(IF(ABS($G3381)&gt;0,VLOOKUP($E3381,'Fuel Category and Heat Rate'!$B$1:$G$34,6,FALSE)*($G3381),""),"")</f>
        <v/>
      </c>
      <c r="I3381" t="str">
        <f>IFERROR(VLOOKUP($E3381,'Fuel Category and Heat Rate'!$K$2:$M$36,3,FALSE),"")</f>
        <v>heavy fuel oil</v>
      </c>
    </row>
    <row r="3382" spans="1:9" x14ac:dyDescent="0.15">
      <c r="A3382" s="2">
        <v>387322</v>
      </c>
      <c r="B3382" s="2" t="s">
        <v>86</v>
      </c>
      <c r="C3382" s="2">
        <v>2022</v>
      </c>
      <c r="D3382" s="2" t="s">
        <v>1</v>
      </c>
      <c r="E3382" s="2" t="s">
        <v>20</v>
      </c>
      <c r="F3382" s="2" t="s">
        <v>35</v>
      </c>
      <c r="G3382" s="7"/>
      <c r="H3382" s="13" t="str">
        <f>IFERROR(IF(ABS($G3382)&gt;0,VLOOKUP($E3382,'Fuel Category and Heat Rate'!$B$1:$G$34,6,FALSE)*($G3382),""),"")</f>
        <v/>
      </c>
      <c r="I3382" t="str">
        <f>IFERROR(VLOOKUP($E3382,'Fuel Category and Heat Rate'!$K$2:$M$36,3,FALSE),"")</f>
        <v>LPG propane or butane</v>
      </c>
    </row>
    <row r="3383" spans="1:9" x14ac:dyDescent="0.15">
      <c r="A3383" s="2">
        <v>387357</v>
      </c>
      <c r="B3383" s="2" t="s">
        <v>86</v>
      </c>
      <c r="C3383" s="2">
        <v>2022</v>
      </c>
      <c r="D3383" s="2" t="s">
        <v>1</v>
      </c>
      <c r="E3383" s="2" t="s">
        <v>25</v>
      </c>
      <c r="F3383" s="2" t="s">
        <v>35</v>
      </c>
      <c r="G3383" s="7">
        <v>-23.71</v>
      </c>
      <c r="H3383" s="13">
        <f>IFERROR(IF(ABS($G3383)&gt;0,VLOOKUP($E3383,'Fuel Category and Heat Rate'!$B$1:$G$34,6,FALSE)*($G3383),""),"")</f>
        <v>-7179367518790.5928</v>
      </c>
      <c r="I3383" t="str">
        <f>IFERROR(VLOOKUP($E3383,'Fuel Category and Heat Rate'!$K$2:$M$36,3,FALSE),"")</f>
        <v>heavy fuel oil</v>
      </c>
    </row>
    <row r="3384" spans="1:9" x14ac:dyDescent="0.15">
      <c r="A3384" s="2">
        <v>387392</v>
      </c>
      <c r="B3384" s="2" t="s">
        <v>86</v>
      </c>
      <c r="C3384" s="2">
        <v>2022</v>
      </c>
      <c r="D3384" s="2" t="s">
        <v>1</v>
      </c>
      <c r="E3384" s="2" t="s">
        <v>24</v>
      </c>
      <c r="F3384" s="2" t="s">
        <v>35</v>
      </c>
      <c r="G3384" s="7"/>
      <c r="H3384" s="13" t="str">
        <f>IFERROR(IF(ABS($G3384)&gt;0,VLOOKUP($E3384,'Fuel Category and Heat Rate'!$B$1:$G$34,6,FALSE)*($G3384),""),"")</f>
        <v/>
      </c>
      <c r="I3384" t="str">
        <f>IFERROR(VLOOKUP($E3384,'Fuel Category and Heat Rate'!$K$2:$M$36,3,FALSE),"")</f>
        <v>heavy fuel oil</v>
      </c>
    </row>
    <row r="3385" spans="1:9" x14ac:dyDescent="0.15">
      <c r="A3385" s="2">
        <v>387427</v>
      </c>
      <c r="B3385" s="2" t="s">
        <v>86</v>
      </c>
      <c r="C3385" s="2">
        <v>2022</v>
      </c>
      <c r="D3385" s="2" t="s">
        <v>1</v>
      </c>
      <c r="E3385" s="2" t="s">
        <v>29</v>
      </c>
      <c r="F3385" s="2" t="s">
        <v>36</v>
      </c>
      <c r="G3385" s="7">
        <v>-8.3800000000000008</v>
      </c>
      <c r="H3385" s="13">
        <f>IFERROR(IF(ABS($G3385)&gt;0,VLOOKUP($E3385,'Fuel Category and Heat Rate'!$B$1:$G$34,6,FALSE)*($G3385),""),"")</f>
        <v>-28263727460494.156</v>
      </c>
      <c r="I3385" t="str">
        <f>IFERROR(VLOOKUP($E3385,'Fuel Category and Heat Rate'!$K$2:$M$36,3,FALSE),"")</f>
        <v>natural gas</v>
      </c>
    </row>
    <row r="3386" spans="1:9" x14ac:dyDescent="0.15">
      <c r="A3386" s="2">
        <v>387462</v>
      </c>
      <c r="B3386" s="2" t="s">
        <v>86</v>
      </c>
      <c r="C3386" s="2">
        <v>2022</v>
      </c>
      <c r="D3386" s="2" t="s">
        <v>1</v>
      </c>
      <c r="E3386" s="2" t="s">
        <v>4</v>
      </c>
      <c r="F3386" s="2" t="s">
        <v>35</v>
      </c>
      <c r="G3386" s="7"/>
      <c r="H3386" s="13" t="str">
        <f>IFERROR(IF(ABS($G3386)&gt;0,VLOOKUP($E3386,'Fuel Category and Heat Rate'!$B$1:$G$34,6,FALSE)*($G3386),""),"")</f>
        <v/>
      </c>
      <c r="I3386" t="str">
        <f>IFERROR(VLOOKUP($E3386,'Fuel Category and Heat Rate'!$K$2:$M$36,3,FALSE),"")</f>
        <v>coal</v>
      </c>
    </row>
    <row r="3387" spans="1:9" x14ac:dyDescent="0.15">
      <c r="A3387" s="2">
        <v>387497</v>
      </c>
      <c r="B3387" s="2" t="s">
        <v>86</v>
      </c>
      <c r="C3387" s="2">
        <v>2022</v>
      </c>
      <c r="D3387" s="2" t="s">
        <v>1</v>
      </c>
      <c r="E3387" s="2" t="s">
        <v>6</v>
      </c>
      <c r="F3387" s="2" t="s">
        <v>35</v>
      </c>
      <c r="G3387" s="7">
        <v>-78.37</v>
      </c>
      <c r="H3387" s="13">
        <f>IFERROR(IF(ABS($G3387)&gt;0,VLOOKUP($E3387,'Fuel Category and Heat Rate'!$B$1:$G$34,6,FALSE)*($G3387),""),"")</f>
        <v>-11493410609495.223</v>
      </c>
      <c r="I3387" t="str">
        <f>IFERROR(VLOOKUP($E3387,'Fuel Category and Heat Rate'!$K$2:$M$36,3,FALSE),"")</f>
        <v>coal</v>
      </c>
    </row>
    <row r="3388" spans="1:9" x14ac:dyDescent="0.15">
      <c r="A3388" s="2">
        <v>387532</v>
      </c>
      <c r="B3388" s="2" t="s">
        <v>86</v>
      </c>
      <c r="C3388" s="2">
        <v>2022</v>
      </c>
      <c r="D3388" s="2" t="s">
        <v>1</v>
      </c>
      <c r="E3388" s="2" t="s">
        <v>26</v>
      </c>
      <c r="F3388" s="2" t="s">
        <v>35</v>
      </c>
      <c r="G3388" s="7"/>
      <c r="H3388" s="13" t="str">
        <f>IFERROR(IF(ABS($G3388)&gt;0,VLOOKUP($E3388,'Fuel Category and Heat Rate'!$B$1:$G$34,6,FALSE)*($G3388),""),"")</f>
        <v/>
      </c>
      <c r="I3388" t="str">
        <f>IFERROR(VLOOKUP($E3388,'Fuel Category and Heat Rate'!$K$2:$M$36,3,FALSE),"")</f>
        <v>LPG propane or butane</v>
      </c>
    </row>
    <row r="3389" spans="1:9" x14ac:dyDescent="0.15">
      <c r="A3389" s="2">
        <v>387567</v>
      </c>
      <c r="B3389" s="2" t="s">
        <v>86</v>
      </c>
      <c r="C3389" s="2">
        <v>2022</v>
      </c>
      <c r="D3389" s="2" t="s">
        <v>1</v>
      </c>
      <c r="E3389" s="2" t="s">
        <v>30</v>
      </c>
      <c r="F3389" s="2" t="s">
        <v>35</v>
      </c>
      <c r="G3389" s="7">
        <v>-0.11</v>
      </c>
      <c r="H3389" s="13">
        <f>IFERROR(IF(ABS($G3389)&gt;0,VLOOKUP($E3389,'Fuel Category and Heat Rate'!$B$1:$G$34,6,FALSE)*($G3389),""),"")</f>
        <v>-53625028475.98069</v>
      </c>
      <c r="I3389" t="str">
        <f>IFERROR(VLOOKUP($E3389,'Fuel Category and Heat Rate'!$K$2:$M$36,3,FALSE),"")</f>
        <v>natural gas</v>
      </c>
    </row>
    <row r="3390" spans="1:9" x14ac:dyDescent="0.15">
      <c r="A3390" s="2">
        <v>387602</v>
      </c>
      <c r="B3390" s="2" t="s">
        <v>86</v>
      </c>
      <c r="C3390" s="2">
        <v>2022</v>
      </c>
      <c r="D3390" s="2" t="s">
        <v>1</v>
      </c>
      <c r="E3390" s="2" t="s">
        <v>14</v>
      </c>
      <c r="F3390" s="2" t="s">
        <v>35</v>
      </c>
      <c r="G3390" s="7">
        <v>-33.71</v>
      </c>
      <c r="H3390" s="13">
        <f>IFERROR(IF(ABS($G3390)&gt;0,VLOOKUP($E3390,'Fuel Category and Heat Rate'!$B$1:$G$34,6,FALSE)*($G3390),""),"")</f>
        <v>0</v>
      </c>
      <c r="I3390" t="str">
        <f>IFERROR(VLOOKUP($E3390,'Fuel Category and Heat Rate'!$K$2:$M$36,3,FALSE),"")</f>
        <v/>
      </c>
    </row>
    <row r="3391" spans="1:9" x14ac:dyDescent="0.15">
      <c r="A3391" s="2">
        <v>387637</v>
      </c>
      <c r="B3391" s="2" t="s">
        <v>86</v>
      </c>
      <c r="C3391" s="2">
        <v>2022</v>
      </c>
      <c r="D3391" s="2" t="s">
        <v>1</v>
      </c>
      <c r="E3391" s="2" t="s">
        <v>3</v>
      </c>
      <c r="F3391" s="2" t="s">
        <v>35</v>
      </c>
      <c r="G3391" s="7">
        <v>-8887.5499999999993</v>
      </c>
      <c r="H3391" s="13">
        <f>IFERROR(IF(ABS($G3391)&gt;0,VLOOKUP($E3391,'Fuel Category and Heat Rate'!$B$1:$G$34,6,FALSE)*($G3391),""),"")</f>
        <v>-1761242264094360.5</v>
      </c>
      <c r="I3391" t="str">
        <f>IFERROR(VLOOKUP($E3391,'Fuel Category and Heat Rate'!$K$2:$M$36,3,FALSE),"")</f>
        <v>coal</v>
      </c>
    </row>
    <row r="3392" spans="1:9" x14ac:dyDescent="0.15">
      <c r="A3392" s="2">
        <v>387672</v>
      </c>
      <c r="B3392" s="2" t="s">
        <v>86</v>
      </c>
      <c r="C3392" s="2">
        <v>2022</v>
      </c>
      <c r="D3392" s="2" t="s">
        <v>1</v>
      </c>
      <c r="E3392" s="2" t="s">
        <v>15</v>
      </c>
      <c r="F3392" s="2" t="s">
        <v>35</v>
      </c>
      <c r="G3392" s="7"/>
      <c r="H3392" s="13" t="str">
        <f>IFERROR(IF(ABS($G3392)&gt;0,VLOOKUP($E3392,'Fuel Category and Heat Rate'!$B$1:$G$34,6,FALSE)*($G3392),""),"")</f>
        <v/>
      </c>
      <c r="I3392" t="str">
        <f>IFERROR(VLOOKUP($E3392,'Fuel Category and Heat Rate'!$K$2:$M$36,3,FALSE),"")</f>
        <v>crude oil</v>
      </c>
    </row>
    <row r="3393" spans="1:9" x14ac:dyDescent="0.15">
      <c r="A3393" s="2">
        <v>387707</v>
      </c>
      <c r="B3393" s="2" t="s">
        <v>86</v>
      </c>
      <c r="C3393" s="2">
        <v>2022</v>
      </c>
      <c r="D3393" s="2" t="s">
        <v>1</v>
      </c>
      <c r="E3393" s="2" t="s">
        <v>11</v>
      </c>
      <c r="F3393" s="2" t="s">
        <v>36</v>
      </c>
      <c r="G3393" s="7">
        <v>-0.08</v>
      </c>
      <c r="H3393" s="13">
        <f>IFERROR(IF(ABS($G3393)&gt;0,VLOOKUP($E3393,'Fuel Category and Heat Rate'!$B$1:$G$34,6,FALSE)*($G3393),""),"")</f>
        <v>-60243256316.71537</v>
      </c>
      <c r="I3393" t="str">
        <f>IFERROR(VLOOKUP($E3393,'Fuel Category and Heat Rate'!$K$2:$M$36,3,FALSE),"")</f>
        <v>LPG propane or butane</v>
      </c>
    </row>
    <row r="3394" spans="1:9" x14ac:dyDescent="0.15">
      <c r="A3394" s="2">
        <v>387742</v>
      </c>
      <c r="B3394" s="2" t="s">
        <v>86</v>
      </c>
      <c r="C3394" s="2">
        <v>2021</v>
      </c>
      <c r="D3394" s="2" t="s">
        <v>1</v>
      </c>
      <c r="E3394" s="2" t="s">
        <v>18</v>
      </c>
      <c r="F3394" s="2" t="s">
        <v>35</v>
      </c>
      <c r="G3394" s="7">
        <v>-0.38</v>
      </c>
      <c r="H3394" s="13">
        <f>IFERROR(IF(ABS($G3394)&gt;0,VLOOKUP($E3394,'Fuel Category and Heat Rate'!$B$1:$G$34,6,FALSE)*($G3394),""),"")</f>
        <v>-153619924480.77512</v>
      </c>
      <c r="I3394" t="str">
        <f>IFERROR(VLOOKUP($E3394,'Fuel Category and Heat Rate'!$K$2:$M$36,3,FALSE),"")</f>
        <v>petroleum diesel</v>
      </c>
    </row>
    <row r="3395" spans="1:9" x14ac:dyDescent="0.15">
      <c r="A3395" s="2">
        <v>387777</v>
      </c>
      <c r="B3395" s="2" t="s">
        <v>86</v>
      </c>
      <c r="C3395" s="2">
        <v>2021</v>
      </c>
      <c r="D3395" s="2" t="s">
        <v>1</v>
      </c>
      <c r="E3395" s="2" t="s">
        <v>32</v>
      </c>
      <c r="F3395" s="2" t="s">
        <v>65</v>
      </c>
      <c r="G3395" s="7"/>
      <c r="H3395" s="13" t="str">
        <f>IFERROR(IF(ABS($G3395)&gt;0,VLOOKUP($E3395,'Fuel Category and Heat Rate'!$B$1:$G$34,6,FALSE)*($G3395),""),"")</f>
        <v/>
      </c>
      <c r="I3395" t="str">
        <f>IFERROR(VLOOKUP($E3395,'Fuel Category and Heat Rate'!$K$2:$M$36,3,FALSE),"")</f>
        <v>electricity</v>
      </c>
    </row>
    <row r="3396" spans="1:9" x14ac:dyDescent="0.15">
      <c r="A3396" s="2">
        <v>387812</v>
      </c>
      <c r="B3396" s="2" t="s">
        <v>86</v>
      </c>
      <c r="C3396" s="2">
        <v>2021</v>
      </c>
      <c r="D3396" s="2" t="s">
        <v>1</v>
      </c>
      <c r="E3396" s="2" t="s">
        <v>10</v>
      </c>
      <c r="F3396" s="2" t="s">
        <v>36</v>
      </c>
      <c r="G3396" s="7">
        <v>-18.399999999999999</v>
      </c>
      <c r="H3396" s="13">
        <f>IFERROR(IF(ABS($G3396)&gt;0,VLOOKUP($E3396,'Fuel Category and Heat Rate'!$B$1:$G$34,6,FALSE)*($G3396),""),"")</f>
        <v>-6562609931976.5859</v>
      </c>
      <c r="I3396" t="str">
        <f>IFERROR(VLOOKUP($E3396,'Fuel Category and Heat Rate'!$K$2:$M$36,3,FALSE),"")</f>
        <v>LPG propane or butane</v>
      </c>
    </row>
    <row r="3397" spans="1:9" x14ac:dyDescent="0.15">
      <c r="A3397" s="2">
        <v>387847</v>
      </c>
      <c r="B3397" s="2" t="s">
        <v>86</v>
      </c>
      <c r="C3397" s="2">
        <v>2021</v>
      </c>
      <c r="D3397" s="2" t="s">
        <v>1</v>
      </c>
      <c r="E3397" s="2" t="s">
        <v>9</v>
      </c>
      <c r="F3397" s="2" t="s">
        <v>36</v>
      </c>
      <c r="G3397" s="7">
        <v>-2.72</v>
      </c>
      <c r="H3397" s="13">
        <f>IFERROR(IF(ABS($G3397)&gt;0,VLOOKUP($E3397,'Fuel Category and Heat Rate'!$B$1:$G$34,6,FALSE)*($G3397),""),"")</f>
        <v>-4473840887190.9492</v>
      </c>
      <c r="I3397" t="str">
        <f>IFERROR(VLOOKUP($E3397,'Fuel Category and Heat Rate'!$K$2:$M$36,3,FALSE),"")</f>
        <v>LPG propane or butane</v>
      </c>
    </row>
    <row r="3398" spans="1:9" x14ac:dyDescent="0.15">
      <c r="A3398" s="2">
        <v>387882</v>
      </c>
      <c r="B3398" s="2" t="s">
        <v>86</v>
      </c>
      <c r="C3398" s="2">
        <v>2021</v>
      </c>
      <c r="D3398" s="2" t="s">
        <v>1</v>
      </c>
      <c r="E3398" s="2" t="s">
        <v>8</v>
      </c>
      <c r="F3398" s="2" t="s">
        <v>35</v>
      </c>
      <c r="G3398" s="7">
        <v>-313.86</v>
      </c>
      <c r="H3398" s="13">
        <f>IFERROR(IF(ABS($G3398)&gt;0,VLOOKUP($E3398,'Fuel Category and Heat Rate'!$B$1:$G$34,6,FALSE)*($G3398),""),"")</f>
        <v>-84588973180898.438</v>
      </c>
      <c r="I3398" t="str">
        <f>IFERROR(VLOOKUP($E3398,'Fuel Category and Heat Rate'!$K$2:$M$36,3,FALSE),"")</f>
        <v>coal</v>
      </c>
    </row>
    <row r="3399" spans="1:9" x14ac:dyDescent="0.15">
      <c r="A3399" s="2">
        <v>387917</v>
      </c>
      <c r="B3399" s="2" t="s">
        <v>86</v>
      </c>
      <c r="C3399" s="2">
        <v>2021</v>
      </c>
      <c r="D3399" s="2" t="s">
        <v>1</v>
      </c>
      <c r="E3399" s="2" t="s">
        <v>27</v>
      </c>
      <c r="F3399" s="2" t="s">
        <v>35</v>
      </c>
      <c r="G3399" s="7">
        <v>-6.63</v>
      </c>
      <c r="H3399" s="13">
        <f>IFERROR(IF(ABS($G3399)&gt;0,VLOOKUP($E3399,'Fuel Category and Heat Rate'!$B$1:$G$34,6,FALSE)*($G3399),""),"")</f>
        <v>-2890526980159.3916</v>
      </c>
      <c r="I3399" t="str">
        <f>IFERROR(VLOOKUP($E3399,'Fuel Category and Heat Rate'!$K$2:$M$36,3,FALSE),"")</f>
        <v>LPG propane or butane</v>
      </c>
    </row>
    <row r="3400" spans="1:9" x14ac:dyDescent="0.15">
      <c r="A3400" s="2">
        <v>387952</v>
      </c>
      <c r="B3400" s="2" t="s">
        <v>86</v>
      </c>
      <c r="C3400" s="2">
        <v>2021</v>
      </c>
      <c r="D3400" s="2" t="s">
        <v>1</v>
      </c>
      <c r="E3400" s="2" t="s">
        <v>7</v>
      </c>
      <c r="F3400" s="2" t="s">
        <v>35</v>
      </c>
      <c r="G3400" s="7">
        <v>-126.61</v>
      </c>
      <c r="H3400" s="13">
        <f>IFERROR(IF(ABS($G3400)&gt;0,VLOOKUP($E3400,'Fuel Category and Heat Rate'!$B$1:$G$34,6,FALSE)*($G3400),""),"")</f>
        <v>-10049061762938.9</v>
      </c>
      <c r="I3400" t="str">
        <f>IFERROR(VLOOKUP($E3400,'Fuel Category and Heat Rate'!$K$2:$M$36,3,FALSE),"")</f>
        <v>coal</v>
      </c>
    </row>
    <row r="3401" spans="1:9" x14ac:dyDescent="0.15">
      <c r="A3401" s="2">
        <v>387987</v>
      </c>
      <c r="B3401" s="2" t="s">
        <v>86</v>
      </c>
      <c r="C3401" s="2">
        <v>2021</v>
      </c>
      <c r="D3401" s="2" t="s">
        <v>1</v>
      </c>
      <c r="E3401" s="2" t="s">
        <v>2</v>
      </c>
      <c r="F3401" s="2" t="s">
        <v>35</v>
      </c>
      <c r="G3401" s="7">
        <v>-8688.64</v>
      </c>
      <c r="H3401" s="13">
        <f>IFERROR(IF(ABS($G3401)&gt;0,VLOOKUP($E3401,'Fuel Category and Heat Rate'!$B$1:$G$34,6,FALSE)*($G3401),""),"")</f>
        <v>0</v>
      </c>
      <c r="I3401" t="str">
        <f>IFERROR(VLOOKUP($E3401,'Fuel Category and Heat Rate'!$K$2:$M$36,3,FALSE),"")</f>
        <v/>
      </c>
    </row>
    <row r="3402" spans="1:9" x14ac:dyDescent="0.15">
      <c r="A3402" s="2">
        <v>388022</v>
      </c>
      <c r="B3402" s="2" t="s">
        <v>86</v>
      </c>
      <c r="C3402" s="2">
        <v>2021</v>
      </c>
      <c r="D3402" s="2" t="s">
        <v>1</v>
      </c>
      <c r="E3402" s="2" t="s">
        <v>17</v>
      </c>
      <c r="F3402" s="2" t="s">
        <v>35</v>
      </c>
      <c r="G3402" s="7"/>
      <c r="H3402" s="13" t="str">
        <f>IFERROR(IF(ABS($G3402)&gt;0,VLOOKUP($E3402,'Fuel Category and Heat Rate'!$B$1:$G$34,6,FALSE)*($G3402),""),"")</f>
        <v/>
      </c>
      <c r="I3402" t="str">
        <f>IFERROR(VLOOKUP($E3402,'Fuel Category and Heat Rate'!$K$2:$M$36,3,FALSE),"")</f>
        <v>petroleum diesel</v>
      </c>
    </row>
    <row r="3403" spans="1:9" x14ac:dyDescent="0.15">
      <c r="A3403" s="2">
        <v>388057</v>
      </c>
      <c r="B3403" s="2" t="s">
        <v>86</v>
      </c>
      <c r="C3403" s="2">
        <v>2021</v>
      </c>
      <c r="D3403" s="2" t="s">
        <v>1</v>
      </c>
      <c r="E3403" s="2" t="s">
        <v>13</v>
      </c>
      <c r="F3403" s="2" t="s">
        <v>35</v>
      </c>
      <c r="G3403" s="7">
        <v>-45.82</v>
      </c>
      <c r="H3403" s="13">
        <f>IFERROR(IF(ABS($G3403)&gt;0,VLOOKUP($E3403,'Fuel Category and Heat Rate'!$B$1:$G$34,6,FALSE)*($G3403),""),"")</f>
        <v>-14528296866938.371</v>
      </c>
      <c r="I3403" t="str">
        <f>IFERROR(VLOOKUP($E3403,'Fuel Category and Heat Rate'!$K$2:$M$36,3,FALSE),"")</f>
        <v>petroleum diesel</v>
      </c>
    </row>
    <row r="3404" spans="1:9" x14ac:dyDescent="0.15">
      <c r="A3404" s="2">
        <v>388092</v>
      </c>
      <c r="B3404" s="2" t="s">
        <v>86</v>
      </c>
      <c r="C3404" s="2">
        <v>2021</v>
      </c>
      <c r="D3404" s="2" t="s">
        <v>1</v>
      </c>
      <c r="E3404" s="2" t="s">
        <v>12</v>
      </c>
      <c r="F3404" s="2" t="s">
        <v>36</v>
      </c>
      <c r="G3404" s="7">
        <v>-0.86</v>
      </c>
      <c r="H3404" s="13">
        <f>IFERROR(IF(ABS($G3404)&gt;0,VLOOKUP($E3404,'Fuel Category and Heat Rate'!$B$1:$G$34,6,FALSE)*($G3404),""),"")</f>
        <v>-426064648615.52118</v>
      </c>
      <c r="I3404" t="str">
        <f>IFERROR(VLOOKUP($E3404,'Fuel Category and Heat Rate'!$K$2:$M$36,3,FALSE),"")</f>
        <v>LPG propane or butane</v>
      </c>
    </row>
    <row r="3405" spans="1:9" x14ac:dyDescent="0.15">
      <c r="A3405" s="2">
        <v>388127</v>
      </c>
      <c r="B3405" s="2" t="s">
        <v>86</v>
      </c>
      <c r="C3405" s="2">
        <v>2021</v>
      </c>
      <c r="D3405" s="2" t="s">
        <v>1</v>
      </c>
      <c r="E3405" s="2" t="s">
        <v>33</v>
      </c>
      <c r="F3405" s="2" t="s">
        <v>38</v>
      </c>
      <c r="G3405" s="7">
        <v>-272.07</v>
      </c>
      <c r="H3405" s="13">
        <f>IFERROR(IF(ABS($G3405)&gt;0,VLOOKUP($E3405,'Fuel Category and Heat Rate'!$B$1:$G$34,6,FALSE)*($G3405),""),"")</f>
        <v>-75481890081932.625</v>
      </c>
      <c r="I3405" t="str">
        <f>IFERROR(VLOOKUP($E3405,'Fuel Category and Heat Rate'!$K$2:$M$36,3,FALSE),"")</f>
        <v>biomass</v>
      </c>
    </row>
    <row r="3406" spans="1:9" x14ac:dyDescent="0.15">
      <c r="A3406" s="2">
        <v>388162</v>
      </c>
      <c r="B3406" s="2" t="s">
        <v>86</v>
      </c>
      <c r="C3406" s="2">
        <v>2021</v>
      </c>
      <c r="D3406" s="2" t="s">
        <v>1</v>
      </c>
      <c r="E3406" s="2" t="s">
        <v>28</v>
      </c>
      <c r="F3406" s="2" t="s">
        <v>35</v>
      </c>
      <c r="G3406" s="7">
        <v>-0.48</v>
      </c>
      <c r="H3406" s="13">
        <f>IFERROR(IF(ABS($G3406)&gt;0,VLOOKUP($E3406,'Fuel Category and Heat Rate'!$B$1:$G$34,6,FALSE)*($G3406),""),"")</f>
        <v>-186439419297.09219</v>
      </c>
      <c r="I3406" t="str">
        <f>IFERROR(VLOOKUP($E3406,'Fuel Category and Heat Rate'!$K$2:$M$36,3,FALSE),"")</f>
        <v>heavy or residual fuel oil</v>
      </c>
    </row>
    <row r="3407" spans="1:9" x14ac:dyDescent="0.15">
      <c r="A3407" s="2">
        <v>388197</v>
      </c>
      <c r="B3407" s="2" t="s">
        <v>86</v>
      </c>
      <c r="C3407" s="2">
        <v>2021</v>
      </c>
      <c r="D3407" s="2" t="s">
        <v>1</v>
      </c>
      <c r="E3407" s="2" t="s">
        <v>5</v>
      </c>
      <c r="F3407" s="2" t="s">
        <v>35</v>
      </c>
      <c r="G3407" s="7">
        <v>-196.22</v>
      </c>
      <c r="H3407" s="13">
        <f>IFERROR(IF(ABS($G3407)&gt;0,VLOOKUP($E3407,'Fuel Category and Heat Rate'!$B$1:$G$34,6,FALSE)*($G3407),""),"")</f>
        <v>-15553563917966.996</v>
      </c>
      <c r="I3407" t="str">
        <f>IFERROR(VLOOKUP($E3407,'Fuel Category and Heat Rate'!$K$2:$M$36,3,FALSE),"")</f>
        <v>coal</v>
      </c>
    </row>
    <row r="3408" spans="1:9" x14ac:dyDescent="0.15">
      <c r="A3408" s="2">
        <v>388232</v>
      </c>
      <c r="B3408" s="2" t="s">
        <v>86</v>
      </c>
      <c r="C3408" s="2">
        <v>2021</v>
      </c>
      <c r="D3408" s="2" t="s">
        <v>1</v>
      </c>
      <c r="E3408" s="2" t="s">
        <v>16</v>
      </c>
      <c r="F3408" s="2" t="s">
        <v>35</v>
      </c>
      <c r="G3408" s="7"/>
      <c r="H3408" s="13" t="str">
        <f>IFERROR(IF(ABS($G3408)&gt;0,VLOOKUP($E3408,'Fuel Category and Heat Rate'!$B$1:$G$34,6,FALSE)*($G3408),""),"")</f>
        <v/>
      </c>
      <c r="I3408" t="str">
        <f>IFERROR(VLOOKUP($E3408,'Fuel Category and Heat Rate'!$K$2:$M$36,3,FALSE),"")</f>
        <v>petroleum diesel</v>
      </c>
    </row>
    <row r="3409" spans="1:9" x14ac:dyDescent="0.15">
      <c r="A3409" s="2">
        <v>388267</v>
      </c>
      <c r="B3409" s="2" t="s">
        <v>86</v>
      </c>
      <c r="C3409" s="2">
        <v>2021</v>
      </c>
      <c r="D3409" s="2" t="s">
        <v>1</v>
      </c>
      <c r="E3409" s="2" t="s">
        <v>19</v>
      </c>
      <c r="F3409" s="2" t="s">
        <v>35</v>
      </c>
      <c r="G3409" s="7">
        <v>-0.59</v>
      </c>
      <c r="H3409" s="13">
        <f>IFERROR(IF(ABS($G3409)&gt;0,VLOOKUP($E3409,'Fuel Category and Heat Rate'!$B$1:$G$34,6,FALSE)*($G3409),""),"")</f>
        <v>-233840132728.51859</v>
      </c>
      <c r="I3409" t="str">
        <f>IFERROR(VLOOKUP($E3409,'Fuel Category and Heat Rate'!$K$2:$M$36,3,FALSE),"")</f>
        <v>heavy or residual fuel oil</v>
      </c>
    </row>
    <row r="3410" spans="1:9" x14ac:dyDescent="0.15">
      <c r="A3410" s="2">
        <v>388302</v>
      </c>
      <c r="B3410" s="2" t="s">
        <v>86</v>
      </c>
      <c r="C3410" s="2">
        <v>2021</v>
      </c>
      <c r="D3410" s="2" t="s">
        <v>1</v>
      </c>
      <c r="E3410" s="2" t="s">
        <v>31</v>
      </c>
      <c r="F3410" s="2" t="s">
        <v>37</v>
      </c>
      <c r="G3410" s="7">
        <v>172492.35</v>
      </c>
      <c r="H3410" s="13">
        <f>IFERROR(IF(ABS($G3410)&gt;0,VLOOKUP($E3410,'Fuel Category and Heat Rate'!$B$1:$G$34,6,FALSE)*($G3410),""),"")</f>
        <v>1634912028590714</v>
      </c>
      <c r="I3410" t="str">
        <f>IFERROR(VLOOKUP($E3410,'Fuel Category and Heat Rate'!$K$2:$M$36,3,FALSE),"")</f>
        <v>heat</v>
      </c>
    </row>
    <row r="3411" spans="1:9" x14ac:dyDescent="0.15">
      <c r="A3411" s="2">
        <v>388337</v>
      </c>
      <c r="B3411" s="2" t="s">
        <v>86</v>
      </c>
      <c r="C3411" s="2">
        <v>2021</v>
      </c>
      <c r="D3411" s="2" t="s">
        <v>1</v>
      </c>
      <c r="E3411" s="2" t="s">
        <v>23</v>
      </c>
      <c r="F3411" s="2" t="s">
        <v>35</v>
      </c>
      <c r="G3411" s="7"/>
      <c r="H3411" s="13" t="str">
        <f>IFERROR(IF(ABS($G3411)&gt;0,VLOOKUP($E3411,'Fuel Category and Heat Rate'!$B$1:$G$34,6,FALSE)*($G3411),""),"")</f>
        <v/>
      </c>
      <c r="I3411" t="str">
        <f>IFERROR(VLOOKUP($E3411,'Fuel Category and Heat Rate'!$K$2:$M$36,3,FALSE),"")</f>
        <v>heavy or residual fuel oil</v>
      </c>
    </row>
    <row r="3412" spans="1:9" x14ac:dyDescent="0.15">
      <c r="A3412" s="2">
        <v>388372</v>
      </c>
      <c r="B3412" s="2" t="s">
        <v>86</v>
      </c>
      <c r="C3412" s="2">
        <v>2021</v>
      </c>
      <c r="D3412" s="2" t="s">
        <v>1</v>
      </c>
      <c r="E3412" s="2" t="s">
        <v>21</v>
      </c>
      <c r="F3412" s="2" t="s">
        <v>35</v>
      </c>
      <c r="G3412" s="7"/>
      <c r="H3412" s="13" t="str">
        <f>IFERROR(IF(ABS($G3412)&gt;0,VLOOKUP($E3412,'Fuel Category and Heat Rate'!$B$1:$G$34,6,FALSE)*($G3412),""),"")</f>
        <v/>
      </c>
      <c r="I3412" t="str">
        <f>IFERROR(VLOOKUP($E3412,'Fuel Category and Heat Rate'!$K$2:$M$36,3,FALSE),"")</f>
        <v>LPG propane or butane</v>
      </c>
    </row>
    <row r="3413" spans="1:9" x14ac:dyDescent="0.15">
      <c r="A3413" s="2">
        <v>388407</v>
      </c>
      <c r="B3413" s="2" t="s">
        <v>86</v>
      </c>
      <c r="C3413" s="2">
        <v>2021</v>
      </c>
      <c r="D3413" s="2" t="s">
        <v>1</v>
      </c>
      <c r="E3413" s="2" t="s">
        <v>22</v>
      </c>
      <c r="F3413" s="2" t="s">
        <v>35</v>
      </c>
      <c r="G3413" s="7"/>
      <c r="H3413" s="13" t="str">
        <f>IFERROR(IF(ABS($G3413)&gt;0,VLOOKUP($E3413,'Fuel Category and Heat Rate'!$B$1:$G$34,6,FALSE)*($G3413),""),"")</f>
        <v/>
      </c>
      <c r="I3413" t="str">
        <f>IFERROR(VLOOKUP($E3413,'Fuel Category and Heat Rate'!$K$2:$M$36,3,FALSE),"")</f>
        <v>heavy fuel oil</v>
      </c>
    </row>
    <row r="3414" spans="1:9" x14ac:dyDescent="0.15">
      <c r="A3414" s="2">
        <v>388442</v>
      </c>
      <c r="B3414" s="2" t="s">
        <v>86</v>
      </c>
      <c r="C3414" s="2">
        <v>2021</v>
      </c>
      <c r="D3414" s="2" t="s">
        <v>1</v>
      </c>
      <c r="E3414" s="2" t="s">
        <v>20</v>
      </c>
      <c r="F3414" s="2" t="s">
        <v>35</v>
      </c>
      <c r="G3414" s="7"/>
      <c r="H3414" s="13" t="str">
        <f>IFERROR(IF(ABS($G3414)&gt;0,VLOOKUP($E3414,'Fuel Category and Heat Rate'!$B$1:$G$34,6,FALSE)*($G3414),""),"")</f>
        <v/>
      </c>
      <c r="I3414" t="str">
        <f>IFERROR(VLOOKUP($E3414,'Fuel Category and Heat Rate'!$K$2:$M$36,3,FALSE),"")</f>
        <v>LPG propane or butane</v>
      </c>
    </row>
    <row r="3415" spans="1:9" x14ac:dyDescent="0.15">
      <c r="A3415" s="2">
        <v>388477</v>
      </c>
      <c r="B3415" s="2" t="s">
        <v>86</v>
      </c>
      <c r="C3415" s="2">
        <v>2021</v>
      </c>
      <c r="D3415" s="2" t="s">
        <v>1</v>
      </c>
      <c r="E3415" s="2" t="s">
        <v>25</v>
      </c>
      <c r="F3415" s="2" t="s">
        <v>35</v>
      </c>
      <c r="G3415" s="7">
        <v>-28.12</v>
      </c>
      <c r="H3415" s="13">
        <f>IFERROR(IF(ABS($G3415)&gt;0,VLOOKUP($E3415,'Fuel Category and Heat Rate'!$B$1:$G$34,6,FALSE)*($G3415),""),"")</f>
        <v>-8514711709337.4727</v>
      </c>
      <c r="I3415" t="str">
        <f>IFERROR(VLOOKUP($E3415,'Fuel Category and Heat Rate'!$K$2:$M$36,3,FALSE),"")</f>
        <v>heavy fuel oil</v>
      </c>
    </row>
    <row r="3416" spans="1:9" x14ac:dyDescent="0.15">
      <c r="A3416" s="2">
        <v>388512</v>
      </c>
      <c r="B3416" s="2" t="s">
        <v>86</v>
      </c>
      <c r="C3416" s="2">
        <v>2021</v>
      </c>
      <c r="D3416" s="2" t="s">
        <v>1</v>
      </c>
      <c r="E3416" s="2" t="s">
        <v>24</v>
      </c>
      <c r="F3416" s="2" t="s">
        <v>35</v>
      </c>
      <c r="G3416" s="7"/>
      <c r="H3416" s="13" t="str">
        <f>IFERROR(IF(ABS($G3416)&gt;0,VLOOKUP($E3416,'Fuel Category and Heat Rate'!$B$1:$G$34,6,FALSE)*($G3416),""),"")</f>
        <v/>
      </c>
      <c r="I3416" t="str">
        <f>IFERROR(VLOOKUP($E3416,'Fuel Category and Heat Rate'!$K$2:$M$36,3,FALSE),"")</f>
        <v>heavy fuel oil</v>
      </c>
    </row>
    <row r="3417" spans="1:9" x14ac:dyDescent="0.15">
      <c r="A3417" s="2">
        <v>388547</v>
      </c>
      <c r="B3417" s="2" t="s">
        <v>86</v>
      </c>
      <c r="C3417" s="2">
        <v>2021</v>
      </c>
      <c r="D3417" s="2" t="s">
        <v>1</v>
      </c>
      <c r="E3417" s="2" t="s">
        <v>29</v>
      </c>
      <c r="F3417" s="2" t="s">
        <v>36</v>
      </c>
      <c r="G3417" s="7">
        <v>-5.66</v>
      </c>
      <c r="H3417" s="13">
        <f>IFERROR(IF(ABS($G3417)&gt;0,VLOOKUP($E3417,'Fuel Category and Heat Rate'!$B$1:$G$34,6,FALSE)*($G3417),""),"")</f>
        <v>-19089820695274.094</v>
      </c>
      <c r="I3417" t="str">
        <f>IFERROR(VLOOKUP($E3417,'Fuel Category and Heat Rate'!$K$2:$M$36,3,FALSE),"")</f>
        <v>natural gas</v>
      </c>
    </row>
    <row r="3418" spans="1:9" x14ac:dyDescent="0.15">
      <c r="A3418" s="2">
        <v>388582</v>
      </c>
      <c r="B3418" s="2" t="s">
        <v>86</v>
      </c>
      <c r="C3418" s="2">
        <v>2021</v>
      </c>
      <c r="D3418" s="2" t="s">
        <v>1</v>
      </c>
      <c r="E3418" s="2" t="s">
        <v>4</v>
      </c>
      <c r="F3418" s="2" t="s">
        <v>35</v>
      </c>
      <c r="G3418" s="7"/>
      <c r="H3418" s="13" t="str">
        <f>IFERROR(IF(ABS($G3418)&gt;0,VLOOKUP($E3418,'Fuel Category and Heat Rate'!$B$1:$G$34,6,FALSE)*($G3418),""),"")</f>
        <v/>
      </c>
      <c r="I3418" t="str">
        <f>IFERROR(VLOOKUP($E3418,'Fuel Category and Heat Rate'!$K$2:$M$36,3,FALSE),"")</f>
        <v>coal</v>
      </c>
    </row>
    <row r="3419" spans="1:9" x14ac:dyDescent="0.15">
      <c r="A3419" s="2">
        <v>388617</v>
      </c>
      <c r="B3419" s="2" t="s">
        <v>86</v>
      </c>
      <c r="C3419" s="2">
        <v>2021</v>
      </c>
      <c r="D3419" s="2" t="s">
        <v>1</v>
      </c>
      <c r="E3419" s="2" t="s">
        <v>6</v>
      </c>
      <c r="F3419" s="2" t="s">
        <v>35</v>
      </c>
      <c r="G3419" s="7">
        <v>-70.97</v>
      </c>
      <c r="H3419" s="13">
        <f>IFERROR(IF(ABS($G3419)&gt;0,VLOOKUP($E3419,'Fuel Category and Heat Rate'!$B$1:$G$34,6,FALSE)*($G3419),""),"")</f>
        <v>-10408158108407.246</v>
      </c>
      <c r="I3419" t="str">
        <f>IFERROR(VLOOKUP($E3419,'Fuel Category and Heat Rate'!$K$2:$M$36,3,FALSE),"")</f>
        <v>coal</v>
      </c>
    </row>
    <row r="3420" spans="1:9" x14ac:dyDescent="0.15">
      <c r="A3420" s="2">
        <v>388652</v>
      </c>
      <c r="B3420" s="2" t="s">
        <v>86</v>
      </c>
      <c r="C3420" s="2">
        <v>2021</v>
      </c>
      <c r="D3420" s="2" t="s">
        <v>1</v>
      </c>
      <c r="E3420" s="2" t="s">
        <v>26</v>
      </c>
      <c r="F3420" s="2" t="s">
        <v>35</v>
      </c>
      <c r="G3420" s="7"/>
      <c r="H3420" s="13" t="str">
        <f>IFERROR(IF(ABS($G3420)&gt;0,VLOOKUP($E3420,'Fuel Category and Heat Rate'!$B$1:$G$34,6,FALSE)*($G3420),""),"")</f>
        <v/>
      </c>
      <c r="I3420" t="str">
        <f>IFERROR(VLOOKUP($E3420,'Fuel Category and Heat Rate'!$K$2:$M$36,3,FALSE),"")</f>
        <v>LPG propane or butane</v>
      </c>
    </row>
    <row r="3421" spans="1:9" x14ac:dyDescent="0.15">
      <c r="A3421" s="2">
        <v>388687</v>
      </c>
      <c r="B3421" s="2" t="s">
        <v>86</v>
      </c>
      <c r="C3421" s="2">
        <v>2021</v>
      </c>
      <c r="D3421" s="2" t="s">
        <v>1</v>
      </c>
      <c r="E3421" s="2" t="s">
        <v>30</v>
      </c>
      <c r="F3421" s="2" t="s">
        <v>35</v>
      </c>
      <c r="G3421" s="7">
        <v>-0.49</v>
      </c>
      <c r="H3421" s="13">
        <f>IFERROR(IF(ABS($G3421)&gt;0,VLOOKUP($E3421,'Fuel Category and Heat Rate'!$B$1:$G$34,6,FALSE)*($G3421),""),"")</f>
        <v>-238875126847.55032</v>
      </c>
      <c r="I3421" t="str">
        <f>IFERROR(VLOOKUP($E3421,'Fuel Category and Heat Rate'!$K$2:$M$36,3,FALSE),"")</f>
        <v>natural gas</v>
      </c>
    </row>
    <row r="3422" spans="1:9" x14ac:dyDescent="0.15">
      <c r="A3422" s="2">
        <v>388722</v>
      </c>
      <c r="B3422" s="2" t="s">
        <v>86</v>
      </c>
      <c r="C3422" s="2">
        <v>2021</v>
      </c>
      <c r="D3422" s="2" t="s">
        <v>1</v>
      </c>
      <c r="E3422" s="2" t="s">
        <v>14</v>
      </c>
      <c r="F3422" s="2" t="s">
        <v>35</v>
      </c>
      <c r="G3422" s="7">
        <v>-36.200000000000003</v>
      </c>
      <c r="H3422" s="13">
        <f>IFERROR(IF(ABS($G3422)&gt;0,VLOOKUP($E3422,'Fuel Category and Heat Rate'!$B$1:$G$34,6,FALSE)*($G3422),""),"")</f>
        <v>0</v>
      </c>
      <c r="I3422" t="str">
        <f>IFERROR(VLOOKUP($E3422,'Fuel Category and Heat Rate'!$K$2:$M$36,3,FALSE),"")</f>
        <v/>
      </c>
    </row>
    <row r="3423" spans="1:9" x14ac:dyDescent="0.15">
      <c r="A3423" s="2">
        <v>388757</v>
      </c>
      <c r="B3423" s="2" t="s">
        <v>86</v>
      </c>
      <c r="C3423" s="2">
        <v>2021</v>
      </c>
      <c r="D3423" s="2" t="s">
        <v>1</v>
      </c>
      <c r="E3423" s="2" t="s">
        <v>3</v>
      </c>
      <c r="F3423" s="2" t="s">
        <v>35</v>
      </c>
      <c r="G3423" s="7">
        <v>-8421.4500000000007</v>
      </c>
      <c r="H3423" s="13">
        <f>IFERROR(IF(ABS($G3423)&gt;0,VLOOKUP($E3423,'Fuel Category and Heat Rate'!$B$1:$G$34,6,FALSE)*($G3423),""),"")</f>
        <v>-1668875411666595.8</v>
      </c>
      <c r="I3423" t="str">
        <f>IFERROR(VLOOKUP($E3423,'Fuel Category and Heat Rate'!$K$2:$M$36,3,FALSE),"")</f>
        <v>coal</v>
      </c>
    </row>
    <row r="3424" spans="1:9" x14ac:dyDescent="0.15">
      <c r="A3424" s="2">
        <v>388792</v>
      </c>
      <c r="B3424" s="2" t="s">
        <v>86</v>
      </c>
      <c r="C3424" s="2">
        <v>2021</v>
      </c>
      <c r="D3424" s="2" t="s">
        <v>1</v>
      </c>
      <c r="E3424" s="2" t="s">
        <v>15</v>
      </c>
      <c r="F3424" s="2" t="s">
        <v>35</v>
      </c>
      <c r="G3424" s="7"/>
      <c r="H3424" s="13" t="str">
        <f>IFERROR(IF(ABS($G3424)&gt;0,VLOOKUP($E3424,'Fuel Category and Heat Rate'!$B$1:$G$34,6,FALSE)*($G3424),""),"")</f>
        <v/>
      </c>
      <c r="I3424" t="str">
        <f>IFERROR(VLOOKUP($E3424,'Fuel Category and Heat Rate'!$K$2:$M$36,3,FALSE),"")</f>
        <v>crude oil</v>
      </c>
    </row>
    <row r="3425" spans="1:9" x14ac:dyDescent="0.15">
      <c r="A3425" s="2">
        <v>388827</v>
      </c>
      <c r="B3425" s="2" t="s">
        <v>86</v>
      </c>
      <c r="C3425" s="2">
        <v>2021</v>
      </c>
      <c r="D3425" s="2" t="s">
        <v>1</v>
      </c>
      <c r="E3425" s="2" t="s">
        <v>11</v>
      </c>
      <c r="F3425" s="2" t="s">
        <v>36</v>
      </c>
      <c r="G3425" s="7"/>
      <c r="H3425" s="13" t="str">
        <f>IFERROR(IF(ABS($G3425)&gt;0,VLOOKUP($E3425,'Fuel Category and Heat Rate'!$B$1:$G$34,6,FALSE)*($G3425),""),"")</f>
        <v/>
      </c>
      <c r="I3425" t="str">
        <f>IFERROR(VLOOKUP($E3425,'Fuel Category and Heat Rate'!$K$2:$M$36,3,FALSE),"")</f>
        <v>LPG propane or butane</v>
      </c>
    </row>
    <row r="3426" spans="1:9" x14ac:dyDescent="0.15">
      <c r="A3426" s="2">
        <v>388862</v>
      </c>
      <c r="B3426" s="2" t="s">
        <v>86</v>
      </c>
      <c r="C3426" s="2">
        <v>2020</v>
      </c>
      <c r="D3426" s="2" t="s">
        <v>1</v>
      </c>
      <c r="E3426" s="2" t="s">
        <v>18</v>
      </c>
      <c r="F3426" s="2" t="s">
        <v>35</v>
      </c>
      <c r="G3426" s="7">
        <v>-0.35</v>
      </c>
      <c r="H3426" s="13">
        <f>IFERROR(IF(ABS($G3426)&gt;0,VLOOKUP($E3426,'Fuel Category and Heat Rate'!$B$1:$G$34,6,FALSE)*($G3426),""),"")</f>
        <v>-141492035705.97708</v>
      </c>
      <c r="I3426" t="str">
        <f>IFERROR(VLOOKUP($E3426,'Fuel Category and Heat Rate'!$K$2:$M$36,3,FALSE),"")</f>
        <v>petroleum diesel</v>
      </c>
    </row>
    <row r="3427" spans="1:9" x14ac:dyDescent="0.15">
      <c r="A3427" s="2">
        <v>388897</v>
      </c>
      <c r="B3427" s="2" t="s">
        <v>86</v>
      </c>
      <c r="C3427" s="2">
        <v>2020</v>
      </c>
      <c r="D3427" s="2" t="s">
        <v>1</v>
      </c>
      <c r="E3427" s="2" t="s">
        <v>32</v>
      </c>
      <c r="F3427" s="2" t="s">
        <v>65</v>
      </c>
      <c r="G3427" s="7"/>
      <c r="H3427" s="13" t="str">
        <f>IFERROR(IF(ABS($G3427)&gt;0,VLOOKUP($E3427,'Fuel Category and Heat Rate'!$B$1:$G$34,6,FALSE)*($G3427),""),"")</f>
        <v/>
      </c>
      <c r="I3427" t="str">
        <f>IFERROR(VLOOKUP($E3427,'Fuel Category and Heat Rate'!$K$2:$M$36,3,FALSE),"")</f>
        <v>electricity</v>
      </c>
    </row>
    <row r="3428" spans="1:9" x14ac:dyDescent="0.15">
      <c r="A3428" s="2">
        <v>388932</v>
      </c>
      <c r="B3428" s="2" t="s">
        <v>86</v>
      </c>
      <c r="C3428" s="2">
        <v>2020</v>
      </c>
      <c r="D3428" s="2" t="s">
        <v>1</v>
      </c>
      <c r="E3428" s="2" t="s">
        <v>10</v>
      </c>
      <c r="F3428" s="2" t="s">
        <v>36</v>
      </c>
      <c r="G3428" s="7">
        <v>-50.71</v>
      </c>
      <c r="H3428" s="13">
        <f>IFERROR(IF(ABS($G3428)&gt;0,VLOOKUP($E3428,'Fuel Category and Heat Rate'!$B$1:$G$34,6,FALSE)*($G3428),""),"")</f>
        <v>-18086410307094.168</v>
      </c>
      <c r="I3428" t="str">
        <f>IFERROR(VLOOKUP($E3428,'Fuel Category and Heat Rate'!$K$2:$M$36,3,FALSE),"")</f>
        <v>LPG propane or butane</v>
      </c>
    </row>
    <row r="3429" spans="1:9" x14ac:dyDescent="0.15">
      <c r="A3429" s="2">
        <v>388967</v>
      </c>
      <c r="B3429" s="2" t="s">
        <v>86</v>
      </c>
      <c r="C3429" s="2">
        <v>2020</v>
      </c>
      <c r="D3429" s="2" t="s">
        <v>1</v>
      </c>
      <c r="E3429" s="2" t="s">
        <v>9</v>
      </c>
      <c r="F3429" s="2" t="s">
        <v>36</v>
      </c>
      <c r="G3429" s="7">
        <v>-6.57</v>
      </c>
      <c r="H3429" s="13">
        <f>IFERROR(IF(ABS($G3429)&gt;0,VLOOKUP($E3429,'Fuel Category and Heat Rate'!$B$1:$G$34,6,FALSE)*($G3429),""),"")</f>
        <v>-10806299495898.725</v>
      </c>
      <c r="I3429" t="str">
        <f>IFERROR(VLOOKUP($E3429,'Fuel Category and Heat Rate'!$K$2:$M$36,3,FALSE),"")</f>
        <v>LPG propane or butane</v>
      </c>
    </row>
    <row r="3430" spans="1:9" x14ac:dyDescent="0.15">
      <c r="A3430" s="2">
        <v>389002</v>
      </c>
      <c r="B3430" s="2" t="s">
        <v>86</v>
      </c>
      <c r="C3430" s="2">
        <v>2020</v>
      </c>
      <c r="D3430" s="2" t="s">
        <v>1</v>
      </c>
      <c r="E3430" s="2" t="s">
        <v>8</v>
      </c>
      <c r="F3430" s="2" t="s">
        <v>35</v>
      </c>
      <c r="G3430" s="7">
        <v>-275.07</v>
      </c>
      <c r="H3430" s="13">
        <f>IFERROR(IF(ABS($G3430)&gt;0,VLOOKUP($E3430,'Fuel Category and Heat Rate'!$B$1:$G$34,6,FALSE)*($G3430),""),"")</f>
        <v>-74134610504268.563</v>
      </c>
      <c r="I3430" t="str">
        <f>IFERROR(VLOOKUP($E3430,'Fuel Category and Heat Rate'!$K$2:$M$36,3,FALSE),"")</f>
        <v>coal</v>
      </c>
    </row>
    <row r="3431" spans="1:9" x14ac:dyDescent="0.15">
      <c r="A3431" s="2">
        <v>389037</v>
      </c>
      <c r="B3431" s="2" t="s">
        <v>86</v>
      </c>
      <c r="C3431" s="2">
        <v>2020</v>
      </c>
      <c r="D3431" s="2" t="s">
        <v>1</v>
      </c>
      <c r="E3431" s="2" t="s">
        <v>27</v>
      </c>
      <c r="F3431" s="2" t="s">
        <v>35</v>
      </c>
      <c r="G3431" s="7">
        <v>-5.84</v>
      </c>
      <c r="H3431" s="13">
        <f>IFERROR(IF(ABS($G3431)&gt;0,VLOOKUP($E3431,'Fuel Category and Heat Rate'!$B$1:$G$34,6,FALSE)*($G3431),""),"")</f>
        <v>-2546105213292.7373</v>
      </c>
      <c r="I3431" t="str">
        <f>IFERROR(VLOOKUP($E3431,'Fuel Category and Heat Rate'!$K$2:$M$36,3,FALSE),"")</f>
        <v>LPG propane or butane</v>
      </c>
    </row>
    <row r="3432" spans="1:9" x14ac:dyDescent="0.15">
      <c r="A3432" s="2">
        <v>389072</v>
      </c>
      <c r="B3432" s="2" t="s">
        <v>86</v>
      </c>
      <c r="C3432" s="2">
        <v>2020</v>
      </c>
      <c r="D3432" s="2" t="s">
        <v>1</v>
      </c>
      <c r="E3432" s="2" t="s">
        <v>7</v>
      </c>
      <c r="F3432" s="2" t="s">
        <v>35</v>
      </c>
      <c r="G3432" s="7">
        <v>-149.65</v>
      </c>
      <c r="H3432" s="13">
        <f>IFERROR(IF(ABS($G3432)&gt;0,VLOOKUP($E3432,'Fuel Category and Heat Rate'!$B$1:$G$34,6,FALSE)*($G3432),""),"")</f>
        <v>-11877751305772.107</v>
      </c>
      <c r="I3432" t="str">
        <f>IFERROR(VLOOKUP($E3432,'Fuel Category and Heat Rate'!$K$2:$M$36,3,FALSE),"")</f>
        <v>coal</v>
      </c>
    </row>
    <row r="3433" spans="1:9" x14ac:dyDescent="0.15">
      <c r="A3433" s="2">
        <v>389107</v>
      </c>
      <c r="B3433" s="2" t="s">
        <v>86</v>
      </c>
      <c r="C3433" s="2">
        <v>2020</v>
      </c>
      <c r="D3433" s="2" t="s">
        <v>1</v>
      </c>
      <c r="E3433" s="2" t="s">
        <v>2</v>
      </c>
      <c r="F3433" s="2" t="s">
        <v>35</v>
      </c>
      <c r="G3433" s="7">
        <v>-8243.6299999999992</v>
      </c>
      <c r="H3433" s="13">
        <f>IFERROR(IF(ABS($G3433)&gt;0,VLOOKUP($E3433,'Fuel Category and Heat Rate'!$B$1:$G$34,6,FALSE)*($G3433),""),"")</f>
        <v>0</v>
      </c>
      <c r="I3433" t="str">
        <f>IFERROR(VLOOKUP($E3433,'Fuel Category and Heat Rate'!$K$2:$M$36,3,FALSE),"")</f>
        <v/>
      </c>
    </row>
    <row r="3434" spans="1:9" x14ac:dyDescent="0.15">
      <c r="A3434" s="2">
        <v>389142</v>
      </c>
      <c r="B3434" s="2" t="s">
        <v>86</v>
      </c>
      <c r="C3434" s="2">
        <v>2020</v>
      </c>
      <c r="D3434" s="2" t="s">
        <v>1</v>
      </c>
      <c r="E3434" s="2" t="s">
        <v>17</v>
      </c>
      <c r="F3434" s="2" t="s">
        <v>35</v>
      </c>
      <c r="G3434" s="7"/>
      <c r="H3434" s="13" t="str">
        <f>IFERROR(IF(ABS($G3434)&gt;0,VLOOKUP($E3434,'Fuel Category and Heat Rate'!$B$1:$G$34,6,FALSE)*($G3434),""),"")</f>
        <v/>
      </c>
      <c r="I3434" t="str">
        <f>IFERROR(VLOOKUP($E3434,'Fuel Category and Heat Rate'!$K$2:$M$36,3,FALSE),"")</f>
        <v>petroleum diesel</v>
      </c>
    </row>
    <row r="3435" spans="1:9" x14ac:dyDescent="0.15">
      <c r="A3435" s="2">
        <v>389177</v>
      </c>
      <c r="B3435" s="2" t="s">
        <v>86</v>
      </c>
      <c r="C3435" s="2">
        <v>2020</v>
      </c>
      <c r="D3435" s="2" t="s">
        <v>1</v>
      </c>
      <c r="E3435" s="2" t="s">
        <v>13</v>
      </c>
      <c r="F3435" s="2" t="s">
        <v>35</v>
      </c>
      <c r="G3435" s="7">
        <v>-0.14000000000000001</v>
      </c>
      <c r="H3435" s="13">
        <f>IFERROR(IF(ABS($G3435)&gt;0,VLOOKUP($E3435,'Fuel Category and Heat Rate'!$B$1:$G$34,6,FALSE)*($G3435),""),"")</f>
        <v>-44390256686.411438</v>
      </c>
      <c r="I3435" t="str">
        <f>IFERROR(VLOOKUP($E3435,'Fuel Category and Heat Rate'!$K$2:$M$36,3,FALSE),"")</f>
        <v>petroleum diesel</v>
      </c>
    </row>
    <row r="3436" spans="1:9" x14ac:dyDescent="0.15">
      <c r="A3436" s="2">
        <v>389212</v>
      </c>
      <c r="B3436" s="2" t="s">
        <v>86</v>
      </c>
      <c r="C3436" s="2">
        <v>2020</v>
      </c>
      <c r="D3436" s="2" t="s">
        <v>1</v>
      </c>
      <c r="E3436" s="2" t="s">
        <v>12</v>
      </c>
      <c r="F3436" s="2" t="s">
        <v>36</v>
      </c>
      <c r="G3436" s="7">
        <v>-1.59</v>
      </c>
      <c r="H3436" s="13">
        <f>IFERROR(IF(ABS($G3436)&gt;0,VLOOKUP($E3436,'Fuel Category and Heat Rate'!$B$1:$G$34,6,FALSE)*($G3436),""),"")</f>
        <v>-787724175928.69617</v>
      </c>
      <c r="I3436" t="str">
        <f>IFERROR(VLOOKUP($E3436,'Fuel Category and Heat Rate'!$K$2:$M$36,3,FALSE),"")</f>
        <v>LPG propane or butane</v>
      </c>
    </row>
    <row r="3437" spans="1:9" x14ac:dyDescent="0.15">
      <c r="A3437" s="2">
        <v>389247</v>
      </c>
      <c r="B3437" s="2" t="s">
        <v>86</v>
      </c>
      <c r="C3437" s="2">
        <v>2020</v>
      </c>
      <c r="D3437" s="2" t="s">
        <v>1</v>
      </c>
      <c r="E3437" s="2" t="s">
        <v>33</v>
      </c>
      <c r="F3437" s="2" t="s">
        <v>38</v>
      </c>
      <c r="G3437" s="7">
        <v>-106.52</v>
      </c>
      <c r="H3437" s="13">
        <f>IFERROR(IF(ABS($G3437)&gt;0,VLOOKUP($E3437,'Fuel Category and Heat Rate'!$B$1:$G$34,6,FALSE)*($G3437),""),"")</f>
        <v>-29552434783428.762</v>
      </c>
      <c r="I3437" t="str">
        <f>IFERROR(VLOOKUP($E3437,'Fuel Category and Heat Rate'!$K$2:$M$36,3,FALSE),"")</f>
        <v>biomass</v>
      </c>
    </row>
    <row r="3438" spans="1:9" x14ac:dyDescent="0.15">
      <c r="A3438" s="2">
        <v>389282</v>
      </c>
      <c r="B3438" s="2" t="s">
        <v>86</v>
      </c>
      <c r="C3438" s="2">
        <v>2020</v>
      </c>
      <c r="D3438" s="2" t="s">
        <v>1</v>
      </c>
      <c r="E3438" s="2" t="s">
        <v>28</v>
      </c>
      <c r="F3438" s="2" t="s">
        <v>35</v>
      </c>
      <c r="G3438" s="7">
        <v>-0.44</v>
      </c>
      <c r="H3438" s="13">
        <f>IFERROR(IF(ABS($G3438)&gt;0,VLOOKUP($E3438,'Fuel Category and Heat Rate'!$B$1:$G$34,6,FALSE)*($G3438),""),"")</f>
        <v>-170902801022.3345</v>
      </c>
      <c r="I3438" t="str">
        <f>IFERROR(VLOOKUP($E3438,'Fuel Category and Heat Rate'!$K$2:$M$36,3,FALSE),"")</f>
        <v>heavy or residual fuel oil</v>
      </c>
    </row>
    <row r="3439" spans="1:9" x14ac:dyDescent="0.15">
      <c r="A3439" s="2">
        <v>389317</v>
      </c>
      <c r="B3439" s="2" t="s">
        <v>86</v>
      </c>
      <c r="C3439" s="2">
        <v>2020</v>
      </c>
      <c r="D3439" s="2" t="s">
        <v>1</v>
      </c>
      <c r="E3439" s="2" t="s">
        <v>5</v>
      </c>
      <c r="F3439" s="2" t="s">
        <v>35</v>
      </c>
      <c r="G3439" s="7">
        <v>-236.62</v>
      </c>
      <c r="H3439" s="13">
        <f>IFERROR(IF(ABS($G3439)&gt;0,VLOOKUP($E3439,'Fuel Category and Heat Rate'!$B$1:$G$34,6,FALSE)*($G3439),""),"")</f>
        <v>-18755908135100.145</v>
      </c>
      <c r="I3439" t="str">
        <f>IFERROR(VLOOKUP($E3439,'Fuel Category and Heat Rate'!$K$2:$M$36,3,FALSE),"")</f>
        <v>coal</v>
      </c>
    </row>
    <row r="3440" spans="1:9" x14ac:dyDescent="0.15">
      <c r="A3440" s="2">
        <v>389352</v>
      </c>
      <c r="B3440" s="2" t="s">
        <v>86</v>
      </c>
      <c r="C3440" s="2">
        <v>2020</v>
      </c>
      <c r="D3440" s="2" t="s">
        <v>1</v>
      </c>
      <c r="E3440" s="2" t="s">
        <v>16</v>
      </c>
      <c r="F3440" s="2" t="s">
        <v>35</v>
      </c>
      <c r="G3440" s="7"/>
      <c r="H3440" s="13" t="str">
        <f>IFERROR(IF(ABS($G3440)&gt;0,VLOOKUP($E3440,'Fuel Category and Heat Rate'!$B$1:$G$34,6,FALSE)*($G3440),""),"")</f>
        <v/>
      </c>
      <c r="I3440" t="str">
        <f>IFERROR(VLOOKUP($E3440,'Fuel Category and Heat Rate'!$K$2:$M$36,3,FALSE),"")</f>
        <v>petroleum diesel</v>
      </c>
    </row>
    <row r="3441" spans="1:9" x14ac:dyDescent="0.15">
      <c r="A3441" s="2">
        <v>389387</v>
      </c>
      <c r="B3441" s="2" t="s">
        <v>86</v>
      </c>
      <c r="C3441" s="2">
        <v>2020</v>
      </c>
      <c r="D3441" s="2" t="s">
        <v>1</v>
      </c>
      <c r="E3441" s="2" t="s">
        <v>19</v>
      </c>
      <c r="F3441" s="2" t="s">
        <v>35</v>
      </c>
      <c r="G3441" s="7">
        <v>-0.28999999999999998</v>
      </c>
      <c r="H3441" s="13">
        <f>IFERROR(IF(ABS($G3441)&gt;0,VLOOKUP($E3441,'Fuel Category and Heat Rate'!$B$1:$G$34,6,FALSE)*($G3441),""),"")</f>
        <v>-114938370324.1871</v>
      </c>
      <c r="I3441" t="str">
        <f>IFERROR(VLOOKUP($E3441,'Fuel Category and Heat Rate'!$K$2:$M$36,3,FALSE),"")</f>
        <v>heavy or residual fuel oil</v>
      </c>
    </row>
    <row r="3442" spans="1:9" x14ac:dyDescent="0.15">
      <c r="A3442" s="2">
        <v>389422</v>
      </c>
      <c r="B3442" s="2" t="s">
        <v>86</v>
      </c>
      <c r="C3442" s="2">
        <v>2020</v>
      </c>
      <c r="D3442" s="2" t="s">
        <v>1</v>
      </c>
      <c r="E3442" s="2" t="s">
        <v>31</v>
      </c>
      <c r="F3442" s="2" t="s">
        <v>37</v>
      </c>
      <c r="G3442" s="7">
        <v>161494.34</v>
      </c>
      <c r="H3442" s="13">
        <f>IFERROR(IF(ABS($G3442)&gt;0,VLOOKUP($E3442,'Fuel Category and Heat Rate'!$B$1:$G$34,6,FALSE)*($G3442),""),"")</f>
        <v>1530671006658083.5</v>
      </c>
      <c r="I3442" t="str">
        <f>IFERROR(VLOOKUP($E3442,'Fuel Category and Heat Rate'!$K$2:$M$36,3,FALSE),"")</f>
        <v>heat</v>
      </c>
    </row>
    <row r="3443" spans="1:9" x14ac:dyDescent="0.15">
      <c r="A3443" s="2">
        <v>389457</v>
      </c>
      <c r="B3443" s="2" t="s">
        <v>86</v>
      </c>
      <c r="C3443" s="2">
        <v>2020</v>
      </c>
      <c r="D3443" s="2" t="s">
        <v>1</v>
      </c>
      <c r="E3443" s="2" t="s">
        <v>23</v>
      </c>
      <c r="F3443" s="2" t="s">
        <v>35</v>
      </c>
      <c r="G3443" s="7"/>
      <c r="H3443" s="13" t="str">
        <f>IFERROR(IF(ABS($G3443)&gt;0,VLOOKUP($E3443,'Fuel Category and Heat Rate'!$B$1:$G$34,6,FALSE)*($G3443),""),"")</f>
        <v/>
      </c>
      <c r="I3443" t="str">
        <f>IFERROR(VLOOKUP($E3443,'Fuel Category and Heat Rate'!$K$2:$M$36,3,FALSE),"")</f>
        <v>heavy or residual fuel oil</v>
      </c>
    </row>
    <row r="3444" spans="1:9" x14ac:dyDescent="0.15">
      <c r="A3444" s="2">
        <v>389492</v>
      </c>
      <c r="B3444" s="2" t="s">
        <v>86</v>
      </c>
      <c r="C3444" s="2">
        <v>2020</v>
      </c>
      <c r="D3444" s="2" t="s">
        <v>1</v>
      </c>
      <c r="E3444" s="2" t="s">
        <v>21</v>
      </c>
      <c r="F3444" s="2" t="s">
        <v>35</v>
      </c>
      <c r="G3444" s="7"/>
      <c r="H3444" s="13" t="str">
        <f>IFERROR(IF(ABS($G3444)&gt;0,VLOOKUP($E3444,'Fuel Category and Heat Rate'!$B$1:$G$34,6,FALSE)*($G3444),""),"")</f>
        <v/>
      </c>
      <c r="I3444" t="str">
        <f>IFERROR(VLOOKUP($E3444,'Fuel Category and Heat Rate'!$K$2:$M$36,3,FALSE),"")</f>
        <v>LPG propane or butane</v>
      </c>
    </row>
    <row r="3445" spans="1:9" x14ac:dyDescent="0.15">
      <c r="A3445" s="2">
        <v>389527</v>
      </c>
      <c r="B3445" s="2" t="s">
        <v>86</v>
      </c>
      <c r="C3445" s="2">
        <v>2020</v>
      </c>
      <c r="D3445" s="2" t="s">
        <v>1</v>
      </c>
      <c r="E3445" s="2" t="s">
        <v>22</v>
      </c>
      <c r="F3445" s="2" t="s">
        <v>35</v>
      </c>
      <c r="G3445" s="7"/>
      <c r="H3445" s="13" t="str">
        <f>IFERROR(IF(ABS($G3445)&gt;0,VLOOKUP($E3445,'Fuel Category and Heat Rate'!$B$1:$G$34,6,FALSE)*($G3445),""),"")</f>
        <v/>
      </c>
      <c r="I3445" t="str">
        <f>IFERROR(VLOOKUP($E3445,'Fuel Category and Heat Rate'!$K$2:$M$36,3,FALSE),"")</f>
        <v>heavy fuel oil</v>
      </c>
    </row>
    <row r="3446" spans="1:9" x14ac:dyDescent="0.15">
      <c r="A3446" s="2">
        <v>389562</v>
      </c>
      <c r="B3446" s="2" t="s">
        <v>86</v>
      </c>
      <c r="C3446" s="2">
        <v>2020</v>
      </c>
      <c r="D3446" s="2" t="s">
        <v>1</v>
      </c>
      <c r="E3446" s="2" t="s">
        <v>20</v>
      </c>
      <c r="F3446" s="2" t="s">
        <v>35</v>
      </c>
      <c r="G3446" s="7"/>
      <c r="H3446" s="13" t="str">
        <f>IFERROR(IF(ABS($G3446)&gt;0,VLOOKUP($E3446,'Fuel Category and Heat Rate'!$B$1:$G$34,6,FALSE)*($G3446),""),"")</f>
        <v/>
      </c>
      <c r="I3446" t="str">
        <f>IFERROR(VLOOKUP($E3446,'Fuel Category and Heat Rate'!$K$2:$M$36,3,FALSE),"")</f>
        <v>LPG propane or butane</v>
      </c>
    </row>
    <row r="3447" spans="1:9" x14ac:dyDescent="0.15">
      <c r="A3447" s="2">
        <v>389597</v>
      </c>
      <c r="B3447" s="2" t="s">
        <v>86</v>
      </c>
      <c r="C3447" s="2">
        <v>2020</v>
      </c>
      <c r="D3447" s="2" t="s">
        <v>1</v>
      </c>
      <c r="E3447" s="2" t="s">
        <v>25</v>
      </c>
      <c r="F3447" s="2" t="s">
        <v>35</v>
      </c>
      <c r="G3447" s="7">
        <v>-23.29</v>
      </c>
      <c r="H3447" s="13">
        <f>IFERROR(IF(ABS($G3447)&gt;0,VLOOKUP($E3447,'Fuel Category and Heat Rate'!$B$1:$G$34,6,FALSE)*($G3447),""),"")</f>
        <v>-7052191881595.6514</v>
      </c>
      <c r="I3447" t="str">
        <f>IFERROR(VLOOKUP($E3447,'Fuel Category and Heat Rate'!$K$2:$M$36,3,FALSE),"")</f>
        <v>heavy fuel oil</v>
      </c>
    </row>
    <row r="3448" spans="1:9" x14ac:dyDescent="0.15">
      <c r="A3448" s="2">
        <v>389632</v>
      </c>
      <c r="B3448" s="2" t="s">
        <v>86</v>
      </c>
      <c r="C3448" s="2">
        <v>2020</v>
      </c>
      <c r="D3448" s="2" t="s">
        <v>1</v>
      </c>
      <c r="E3448" s="2" t="s">
        <v>24</v>
      </c>
      <c r="F3448" s="2" t="s">
        <v>35</v>
      </c>
      <c r="G3448" s="7"/>
      <c r="H3448" s="13" t="str">
        <f>IFERROR(IF(ABS($G3448)&gt;0,VLOOKUP($E3448,'Fuel Category and Heat Rate'!$B$1:$G$34,6,FALSE)*($G3448),""),"")</f>
        <v/>
      </c>
      <c r="I3448" t="str">
        <f>IFERROR(VLOOKUP($E3448,'Fuel Category and Heat Rate'!$K$2:$M$36,3,FALSE),"")</f>
        <v>heavy fuel oil</v>
      </c>
    </row>
    <row r="3449" spans="1:9" x14ac:dyDescent="0.15">
      <c r="A3449" s="2">
        <v>389667</v>
      </c>
      <c r="B3449" s="2" t="s">
        <v>86</v>
      </c>
      <c r="C3449" s="2">
        <v>2020</v>
      </c>
      <c r="D3449" s="2" t="s">
        <v>1</v>
      </c>
      <c r="E3449" s="2" t="s">
        <v>29</v>
      </c>
      <c r="F3449" s="2" t="s">
        <v>36</v>
      </c>
      <c r="G3449" s="7">
        <v>-2.81</v>
      </c>
      <c r="H3449" s="13">
        <f>IFERROR(IF(ABS($G3449)&gt;0,VLOOKUP($E3449,'Fuel Category and Heat Rate'!$B$1:$G$34,6,FALSE)*($G3449),""),"")</f>
        <v>-9477455150833.959</v>
      </c>
      <c r="I3449" t="str">
        <f>IFERROR(VLOOKUP($E3449,'Fuel Category and Heat Rate'!$K$2:$M$36,3,FALSE),"")</f>
        <v>natural gas</v>
      </c>
    </row>
    <row r="3450" spans="1:9" x14ac:dyDescent="0.15">
      <c r="A3450" s="2">
        <v>389702</v>
      </c>
      <c r="B3450" s="2" t="s">
        <v>86</v>
      </c>
      <c r="C3450" s="2">
        <v>2020</v>
      </c>
      <c r="D3450" s="2" t="s">
        <v>1</v>
      </c>
      <c r="E3450" s="2" t="s">
        <v>4</v>
      </c>
      <c r="F3450" s="2" t="s">
        <v>35</v>
      </c>
      <c r="G3450" s="7"/>
      <c r="H3450" s="13" t="str">
        <f>IFERROR(IF(ABS($G3450)&gt;0,VLOOKUP($E3450,'Fuel Category and Heat Rate'!$B$1:$G$34,6,FALSE)*($G3450),""),"")</f>
        <v/>
      </c>
      <c r="I3450" t="str">
        <f>IFERROR(VLOOKUP($E3450,'Fuel Category and Heat Rate'!$K$2:$M$36,3,FALSE),"")</f>
        <v>coal</v>
      </c>
    </row>
    <row r="3451" spans="1:9" x14ac:dyDescent="0.15">
      <c r="A3451" s="2">
        <v>389737</v>
      </c>
      <c r="B3451" s="2" t="s">
        <v>86</v>
      </c>
      <c r="C3451" s="2">
        <v>2020</v>
      </c>
      <c r="D3451" s="2" t="s">
        <v>1</v>
      </c>
      <c r="E3451" s="2" t="s">
        <v>6</v>
      </c>
      <c r="F3451" s="2" t="s">
        <v>35</v>
      </c>
      <c r="G3451" s="7">
        <v>-55.36</v>
      </c>
      <c r="H3451" s="13">
        <f>IFERROR(IF(ABS($G3451)&gt;0,VLOOKUP($E3451,'Fuel Category and Heat Rate'!$B$1:$G$34,6,FALSE)*($G3451),""),"")</f>
        <v>-8118861954085.1797</v>
      </c>
      <c r="I3451" t="str">
        <f>IFERROR(VLOOKUP($E3451,'Fuel Category and Heat Rate'!$K$2:$M$36,3,FALSE),"")</f>
        <v>coal</v>
      </c>
    </row>
    <row r="3452" spans="1:9" x14ac:dyDescent="0.15">
      <c r="A3452" s="2">
        <v>389772</v>
      </c>
      <c r="B3452" s="2" t="s">
        <v>86</v>
      </c>
      <c r="C3452" s="2">
        <v>2020</v>
      </c>
      <c r="D3452" s="2" t="s">
        <v>1</v>
      </c>
      <c r="E3452" s="2" t="s">
        <v>26</v>
      </c>
      <c r="F3452" s="2" t="s">
        <v>35</v>
      </c>
      <c r="G3452" s="7">
        <v>-2.77</v>
      </c>
      <c r="H3452" s="13">
        <f>IFERROR(IF(ABS($G3452)&gt;0,VLOOKUP($E3452,'Fuel Category and Heat Rate'!$B$1:$G$34,6,FALSE)*($G3452),""),"")</f>
        <v>-1317426276533.1333</v>
      </c>
      <c r="I3452" t="str">
        <f>IFERROR(VLOOKUP($E3452,'Fuel Category and Heat Rate'!$K$2:$M$36,3,FALSE),"")</f>
        <v>LPG propane or butane</v>
      </c>
    </row>
    <row r="3453" spans="1:9" x14ac:dyDescent="0.15">
      <c r="A3453" s="2">
        <v>389807</v>
      </c>
      <c r="B3453" s="2" t="s">
        <v>86</v>
      </c>
      <c r="C3453" s="2">
        <v>2020</v>
      </c>
      <c r="D3453" s="2" t="s">
        <v>1</v>
      </c>
      <c r="E3453" s="2" t="s">
        <v>30</v>
      </c>
      <c r="F3453" s="2" t="s">
        <v>35</v>
      </c>
      <c r="G3453" s="7">
        <v>-0.63</v>
      </c>
      <c r="H3453" s="13">
        <f>IFERROR(IF(ABS($G3453)&gt;0,VLOOKUP($E3453,'Fuel Category and Heat Rate'!$B$1:$G$34,6,FALSE)*($G3453),""),"")</f>
        <v>-307125163089.70758</v>
      </c>
      <c r="I3453" t="str">
        <f>IFERROR(VLOOKUP($E3453,'Fuel Category and Heat Rate'!$K$2:$M$36,3,FALSE),"")</f>
        <v>natural gas</v>
      </c>
    </row>
    <row r="3454" spans="1:9" x14ac:dyDescent="0.15">
      <c r="A3454" s="2">
        <v>389842</v>
      </c>
      <c r="B3454" s="2" t="s">
        <v>86</v>
      </c>
      <c r="C3454" s="2">
        <v>2020</v>
      </c>
      <c r="D3454" s="2" t="s">
        <v>1</v>
      </c>
      <c r="E3454" s="2" t="s">
        <v>14</v>
      </c>
      <c r="F3454" s="2" t="s">
        <v>35</v>
      </c>
      <c r="G3454" s="7">
        <v>-32.97</v>
      </c>
      <c r="H3454" s="13">
        <f>IFERROR(IF(ABS($G3454)&gt;0,VLOOKUP($E3454,'Fuel Category and Heat Rate'!$B$1:$G$34,6,FALSE)*($G3454),""),"")</f>
        <v>0</v>
      </c>
      <c r="I3454" t="str">
        <f>IFERROR(VLOOKUP($E3454,'Fuel Category and Heat Rate'!$K$2:$M$36,3,FALSE),"")</f>
        <v/>
      </c>
    </row>
    <row r="3455" spans="1:9" x14ac:dyDescent="0.15">
      <c r="A3455" s="2">
        <v>389877</v>
      </c>
      <c r="B3455" s="2" t="s">
        <v>86</v>
      </c>
      <c r="C3455" s="2">
        <v>2020</v>
      </c>
      <c r="D3455" s="2" t="s">
        <v>1</v>
      </c>
      <c r="E3455" s="2" t="s">
        <v>3</v>
      </c>
      <c r="F3455" s="2" t="s">
        <v>35</v>
      </c>
      <c r="G3455" s="7">
        <v>-7951.65</v>
      </c>
      <c r="H3455" s="13">
        <f>IFERROR(IF(ABS($G3455)&gt;0,VLOOKUP($E3455,'Fuel Category and Heat Rate'!$B$1:$G$34,6,FALSE)*($G3455),""),"")</f>
        <v>-1575775331704004</v>
      </c>
      <c r="I3455" t="str">
        <f>IFERROR(VLOOKUP($E3455,'Fuel Category and Heat Rate'!$K$2:$M$36,3,FALSE),"")</f>
        <v>coal</v>
      </c>
    </row>
    <row r="3456" spans="1:9" x14ac:dyDescent="0.15">
      <c r="A3456" s="2">
        <v>389912</v>
      </c>
      <c r="B3456" s="2" t="s">
        <v>86</v>
      </c>
      <c r="C3456" s="2">
        <v>2020</v>
      </c>
      <c r="D3456" s="2" t="s">
        <v>1</v>
      </c>
      <c r="E3456" s="2" t="s">
        <v>15</v>
      </c>
      <c r="F3456" s="2" t="s">
        <v>35</v>
      </c>
      <c r="G3456" s="7"/>
      <c r="H3456" s="13" t="str">
        <f>IFERROR(IF(ABS($G3456)&gt;0,VLOOKUP($E3456,'Fuel Category and Heat Rate'!$B$1:$G$34,6,FALSE)*($G3456),""),"")</f>
        <v/>
      </c>
      <c r="I3456" t="str">
        <f>IFERROR(VLOOKUP($E3456,'Fuel Category and Heat Rate'!$K$2:$M$36,3,FALSE),"")</f>
        <v>crude oil</v>
      </c>
    </row>
    <row r="3457" spans="1:9" x14ac:dyDescent="0.15">
      <c r="A3457" s="2">
        <v>389947</v>
      </c>
      <c r="B3457" s="2" t="s">
        <v>86</v>
      </c>
      <c r="C3457" s="2">
        <v>2020</v>
      </c>
      <c r="D3457" s="2" t="s">
        <v>1</v>
      </c>
      <c r="E3457" s="2" t="s">
        <v>11</v>
      </c>
      <c r="F3457" s="2" t="s">
        <v>36</v>
      </c>
      <c r="G3457" s="7">
        <v>-1.59</v>
      </c>
      <c r="H3457" s="13">
        <f>IFERROR(IF(ABS($G3457)&gt;0,VLOOKUP($E3457,'Fuel Category and Heat Rate'!$B$1:$G$34,6,FALSE)*($G3457),""),"")</f>
        <v>-1197334719294.718</v>
      </c>
      <c r="I3457" t="str">
        <f>IFERROR(VLOOKUP($E3457,'Fuel Category and Heat Rate'!$K$2:$M$36,3,FALSE),"")</f>
        <v>LPG propane or butane</v>
      </c>
    </row>
    <row r="3458" spans="1:9" x14ac:dyDescent="0.15">
      <c r="A3458" s="2">
        <v>389982</v>
      </c>
      <c r="B3458" s="2" t="s">
        <v>86</v>
      </c>
      <c r="C3458" s="2">
        <v>2019</v>
      </c>
      <c r="D3458" s="2" t="s">
        <v>1</v>
      </c>
      <c r="E3458" s="2" t="s">
        <v>18</v>
      </c>
      <c r="F3458" s="2" t="s">
        <v>35</v>
      </c>
      <c r="G3458" s="7">
        <v>-0.28000000000000003</v>
      </c>
      <c r="H3458" s="13">
        <f>IFERROR(IF(ABS($G3458)&gt;0,VLOOKUP($E3458,'Fuel Category and Heat Rate'!$B$1:$G$34,6,FALSE)*($G3458),""),"")</f>
        <v>-113193628564.78168</v>
      </c>
      <c r="I3458" t="str">
        <f>IFERROR(VLOOKUP($E3458,'Fuel Category and Heat Rate'!$K$2:$M$36,3,FALSE),"")</f>
        <v>petroleum diesel</v>
      </c>
    </row>
    <row r="3459" spans="1:9" x14ac:dyDescent="0.15">
      <c r="A3459" s="2">
        <v>390017</v>
      </c>
      <c r="B3459" s="2" t="s">
        <v>86</v>
      </c>
      <c r="C3459" s="2">
        <v>2019</v>
      </c>
      <c r="D3459" s="2" t="s">
        <v>1</v>
      </c>
      <c r="E3459" s="2" t="s">
        <v>32</v>
      </c>
      <c r="F3459" s="2" t="s">
        <v>65</v>
      </c>
      <c r="G3459" s="7"/>
      <c r="H3459" s="13" t="str">
        <f>IFERROR(IF(ABS($G3459)&gt;0,VLOOKUP($E3459,'Fuel Category and Heat Rate'!$B$1:$G$34,6,FALSE)*($G3459),""),"")</f>
        <v/>
      </c>
      <c r="I3459" t="str">
        <f>IFERROR(VLOOKUP($E3459,'Fuel Category and Heat Rate'!$K$2:$M$36,3,FALSE),"")</f>
        <v>electricity</v>
      </c>
    </row>
    <row r="3460" spans="1:9" x14ac:dyDescent="0.15">
      <c r="A3460" s="2">
        <v>390052</v>
      </c>
      <c r="B3460" s="2" t="s">
        <v>86</v>
      </c>
      <c r="C3460" s="2">
        <v>2019</v>
      </c>
      <c r="D3460" s="2" t="s">
        <v>1</v>
      </c>
      <c r="E3460" s="2" t="s">
        <v>10</v>
      </c>
      <c r="F3460" s="2" t="s">
        <v>36</v>
      </c>
      <c r="G3460" s="7">
        <v>-125.34</v>
      </c>
      <c r="H3460" s="13">
        <f>IFERROR(IF(ABS($G3460)&gt;0,VLOOKUP($E3460,'Fuel Category and Heat Rate'!$B$1:$G$34,6,FALSE)*($G3460),""),"")</f>
        <v>-44704213525757.906</v>
      </c>
      <c r="I3460" t="str">
        <f>IFERROR(VLOOKUP($E3460,'Fuel Category and Heat Rate'!$K$2:$M$36,3,FALSE),"")</f>
        <v>LPG propane or butane</v>
      </c>
    </row>
    <row r="3461" spans="1:9" x14ac:dyDescent="0.15">
      <c r="A3461" s="2">
        <v>390087</v>
      </c>
      <c r="B3461" s="2" t="s">
        <v>86</v>
      </c>
      <c r="C3461" s="2">
        <v>2019</v>
      </c>
      <c r="D3461" s="2" t="s">
        <v>1</v>
      </c>
      <c r="E3461" s="2" t="s">
        <v>9</v>
      </c>
      <c r="F3461" s="2" t="s">
        <v>36</v>
      </c>
      <c r="G3461" s="7">
        <v>-10.15</v>
      </c>
      <c r="H3461" s="13">
        <f>IFERROR(IF(ABS($G3461)&gt;0,VLOOKUP($E3461,'Fuel Category and Heat Rate'!$B$1:$G$34,6,FALSE)*($G3461),""),"")</f>
        <v>-16694663604775.047</v>
      </c>
      <c r="I3461" t="str">
        <f>IFERROR(VLOOKUP($E3461,'Fuel Category and Heat Rate'!$K$2:$M$36,3,FALSE),"")</f>
        <v>LPG propane or butane</v>
      </c>
    </row>
    <row r="3462" spans="1:9" x14ac:dyDescent="0.15">
      <c r="A3462" s="2">
        <v>390122</v>
      </c>
      <c r="B3462" s="2" t="s">
        <v>86</v>
      </c>
      <c r="C3462" s="2">
        <v>2019</v>
      </c>
      <c r="D3462" s="2" t="s">
        <v>1</v>
      </c>
      <c r="E3462" s="2" t="s">
        <v>8</v>
      </c>
      <c r="F3462" s="2" t="s">
        <v>35</v>
      </c>
      <c r="G3462" s="7">
        <v>-47.51</v>
      </c>
      <c r="H3462" s="13">
        <f>IFERROR(IF(ABS($G3462)&gt;0,VLOOKUP($E3462,'Fuel Category and Heat Rate'!$B$1:$G$34,6,FALSE)*($G3462),""),"")</f>
        <v>-12804505562430.652</v>
      </c>
      <c r="I3462" t="str">
        <f>IFERROR(VLOOKUP($E3462,'Fuel Category and Heat Rate'!$K$2:$M$36,3,FALSE),"")</f>
        <v>coal</v>
      </c>
    </row>
    <row r="3463" spans="1:9" x14ac:dyDescent="0.15">
      <c r="A3463" s="2">
        <v>390157</v>
      </c>
      <c r="B3463" s="2" t="s">
        <v>86</v>
      </c>
      <c r="C3463" s="2">
        <v>2019</v>
      </c>
      <c r="D3463" s="2" t="s">
        <v>1</v>
      </c>
      <c r="E3463" s="2" t="s">
        <v>27</v>
      </c>
      <c r="F3463" s="2" t="s">
        <v>35</v>
      </c>
      <c r="G3463" s="7">
        <v>-9.4</v>
      </c>
      <c r="H3463" s="13">
        <f>IFERROR(IF(ABS($G3463)&gt;0,VLOOKUP($E3463,'Fuel Category and Heat Rate'!$B$1:$G$34,6,FALSE)*($G3463),""),"")</f>
        <v>-4098183048793.1045</v>
      </c>
      <c r="I3463" t="str">
        <f>IFERROR(VLOOKUP($E3463,'Fuel Category and Heat Rate'!$K$2:$M$36,3,FALSE),"")</f>
        <v>LPG propane or butane</v>
      </c>
    </row>
    <row r="3464" spans="1:9" x14ac:dyDescent="0.15">
      <c r="A3464" s="2">
        <v>390192</v>
      </c>
      <c r="B3464" s="2" t="s">
        <v>86</v>
      </c>
      <c r="C3464" s="2">
        <v>2019</v>
      </c>
      <c r="D3464" s="2" t="s">
        <v>1</v>
      </c>
      <c r="E3464" s="2" t="s">
        <v>7</v>
      </c>
      <c r="F3464" s="2" t="s">
        <v>35</v>
      </c>
      <c r="G3464" s="7">
        <v>-74.28</v>
      </c>
      <c r="H3464" s="13">
        <f>IFERROR(IF(ABS($G3464)&gt;0,VLOOKUP($E3464,'Fuel Category and Heat Rate'!$B$1:$G$34,6,FALSE)*($G3464),""),"")</f>
        <v>-5895618890696.6396</v>
      </c>
      <c r="I3464" t="str">
        <f>IFERROR(VLOOKUP($E3464,'Fuel Category and Heat Rate'!$K$2:$M$36,3,FALSE),"")</f>
        <v>coal</v>
      </c>
    </row>
    <row r="3465" spans="1:9" x14ac:dyDescent="0.15">
      <c r="A3465" s="2">
        <v>390227</v>
      </c>
      <c r="B3465" s="2" t="s">
        <v>86</v>
      </c>
      <c r="C3465" s="2">
        <v>2019</v>
      </c>
      <c r="D3465" s="2" t="s">
        <v>1</v>
      </c>
      <c r="E3465" s="2" t="s">
        <v>2</v>
      </c>
      <c r="F3465" s="2" t="s">
        <v>35</v>
      </c>
      <c r="G3465" s="7">
        <v>-8128.28</v>
      </c>
      <c r="H3465" s="13">
        <f>IFERROR(IF(ABS($G3465)&gt;0,VLOOKUP($E3465,'Fuel Category and Heat Rate'!$B$1:$G$34,6,FALSE)*($G3465),""),"")</f>
        <v>0</v>
      </c>
      <c r="I3465" t="str">
        <f>IFERROR(VLOOKUP($E3465,'Fuel Category and Heat Rate'!$K$2:$M$36,3,FALSE),"")</f>
        <v/>
      </c>
    </row>
    <row r="3466" spans="1:9" x14ac:dyDescent="0.15">
      <c r="A3466" s="2">
        <v>390262</v>
      </c>
      <c r="B3466" s="2" t="s">
        <v>86</v>
      </c>
      <c r="C3466" s="2">
        <v>2019</v>
      </c>
      <c r="D3466" s="2" t="s">
        <v>1</v>
      </c>
      <c r="E3466" s="2" t="s">
        <v>17</v>
      </c>
      <c r="F3466" s="2" t="s">
        <v>35</v>
      </c>
      <c r="G3466" s="7"/>
      <c r="H3466" s="13" t="str">
        <f>IFERROR(IF(ABS($G3466)&gt;0,VLOOKUP($E3466,'Fuel Category and Heat Rate'!$B$1:$G$34,6,FALSE)*($G3466),""),"")</f>
        <v/>
      </c>
      <c r="I3466" t="str">
        <f>IFERROR(VLOOKUP($E3466,'Fuel Category and Heat Rate'!$K$2:$M$36,3,FALSE),"")</f>
        <v>petroleum diesel</v>
      </c>
    </row>
    <row r="3467" spans="1:9" x14ac:dyDescent="0.15">
      <c r="A3467" s="2">
        <v>390297</v>
      </c>
      <c r="B3467" s="2" t="s">
        <v>86</v>
      </c>
      <c r="C3467" s="2">
        <v>2019</v>
      </c>
      <c r="D3467" s="2" t="s">
        <v>1</v>
      </c>
      <c r="E3467" s="2" t="s">
        <v>13</v>
      </c>
      <c r="F3467" s="2" t="s">
        <v>35</v>
      </c>
      <c r="G3467" s="7">
        <v>-0.86</v>
      </c>
      <c r="H3467" s="13">
        <f>IFERROR(IF(ABS($G3467)&gt;0,VLOOKUP($E3467,'Fuel Category and Heat Rate'!$B$1:$G$34,6,FALSE)*($G3467),""),"")</f>
        <v>-272683005359.38452</v>
      </c>
      <c r="I3467" t="str">
        <f>IFERROR(VLOOKUP($E3467,'Fuel Category and Heat Rate'!$K$2:$M$36,3,FALSE),"")</f>
        <v>petroleum diesel</v>
      </c>
    </row>
    <row r="3468" spans="1:9" x14ac:dyDescent="0.15">
      <c r="A3468" s="2">
        <v>390332</v>
      </c>
      <c r="B3468" s="2" t="s">
        <v>86</v>
      </c>
      <c r="C3468" s="2">
        <v>2019</v>
      </c>
      <c r="D3468" s="2" t="s">
        <v>1</v>
      </c>
      <c r="E3468" s="2" t="s">
        <v>12</v>
      </c>
      <c r="F3468" s="2" t="s">
        <v>36</v>
      </c>
      <c r="G3468" s="7">
        <v>-1.2</v>
      </c>
      <c r="H3468" s="13">
        <f>IFERROR(IF(ABS($G3468)&gt;0,VLOOKUP($E3468,'Fuel Category and Heat Rate'!$B$1:$G$34,6,FALSE)*($G3468),""),"")</f>
        <v>-594508812021.65747</v>
      </c>
      <c r="I3468" t="str">
        <f>IFERROR(VLOOKUP($E3468,'Fuel Category and Heat Rate'!$K$2:$M$36,3,FALSE),"")</f>
        <v>LPG propane or butane</v>
      </c>
    </row>
    <row r="3469" spans="1:9" x14ac:dyDescent="0.15">
      <c r="A3469" s="2">
        <v>390367</v>
      </c>
      <c r="B3469" s="2" t="s">
        <v>86</v>
      </c>
      <c r="C3469" s="2">
        <v>2019</v>
      </c>
      <c r="D3469" s="2" t="s">
        <v>1</v>
      </c>
      <c r="E3469" s="2" t="s">
        <v>33</v>
      </c>
      <c r="F3469" s="2" t="s">
        <v>38</v>
      </c>
      <c r="G3469" s="7">
        <v>-107.34</v>
      </c>
      <c r="H3469" s="13">
        <f>IFERROR(IF(ABS($G3469)&gt;0,VLOOKUP($E3469,'Fuel Category and Heat Rate'!$B$1:$G$34,6,FALSE)*($G3469),""),"")</f>
        <v>-29779931934408.969</v>
      </c>
      <c r="I3469" t="str">
        <f>IFERROR(VLOOKUP($E3469,'Fuel Category and Heat Rate'!$K$2:$M$36,3,FALSE),"")</f>
        <v>biomass</v>
      </c>
    </row>
    <row r="3470" spans="1:9" x14ac:dyDescent="0.15">
      <c r="A3470" s="2">
        <v>390402</v>
      </c>
      <c r="B3470" s="2" t="s">
        <v>86</v>
      </c>
      <c r="C3470" s="2">
        <v>2019</v>
      </c>
      <c r="D3470" s="2" t="s">
        <v>1</v>
      </c>
      <c r="E3470" s="2" t="s">
        <v>28</v>
      </c>
      <c r="F3470" s="2" t="s">
        <v>35</v>
      </c>
      <c r="G3470" s="7">
        <v>-0.28999999999999998</v>
      </c>
      <c r="H3470" s="13">
        <f>IFERROR(IF(ABS($G3470)&gt;0,VLOOKUP($E3470,'Fuel Category and Heat Rate'!$B$1:$G$34,6,FALSE)*($G3470),""),"")</f>
        <v>-112640482491.99319</v>
      </c>
      <c r="I3470" t="str">
        <f>IFERROR(VLOOKUP($E3470,'Fuel Category and Heat Rate'!$K$2:$M$36,3,FALSE),"")</f>
        <v>heavy or residual fuel oil</v>
      </c>
    </row>
    <row r="3471" spans="1:9" x14ac:dyDescent="0.15">
      <c r="A3471" s="2">
        <v>390437</v>
      </c>
      <c r="B3471" s="2" t="s">
        <v>86</v>
      </c>
      <c r="C3471" s="2">
        <v>2019</v>
      </c>
      <c r="D3471" s="2" t="s">
        <v>1</v>
      </c>
      <c r="E3471" s="2" t="s">
        <v>5</v>
      </c>
      <c r="F3471" s="2" t="s">
        <v>35</v>
      </c>
      <c r="G3471" s="7">
        <v>-250.16</v>
      </c>
      <c r="H3471" s="13">
        <f>IFERROR(IF(ABS($G3471)&gt;0,VLOOKUP($E3471,'Fuel Category and Heat Rate'!$B$1:$G$34,6,FALSE)*($G3471),""),"")</f>
        <v>-19829169043515.563</v>
      </c>
      <c r="I3471" t="str">
        <f>IFERROR(VLOOKUP($E3471,'Fuel Category and Heat Rate'!$K$2:$M$36,3,FALSE),"")</f>
        <v>coal</v>
      </c>
    </row>
    <row r="3472" spans="1:9" x14ac:dyDescent="0.15">
      <c r="A3472" s="2">
        <v>390472</v>
      </c>
      <c r="B3472" s="2" t="s">
        <v>86</v>
      </c>
      <c r="C3472" s="2">
        <v>2019</v>
      </c>
      <c r="D3472" s="2" t="s">
        <v>1</v>
      </c>
      <c r="E3472" s="2" t="s">
        <v>16</v>
      </c>
      <c r="F3472" s="2" t="s">
        <v>35</v>
      </c>
      <c r="G3472" s="7"/>
      <c r="H3472" s="13" t="str">
        <f>IFERROR(IF(ABS($G3472)&gt;0,VLOOKUP($E3472,'Fuel Category and Heat Rate'!$B$1:$G$34,6,FALSE)*($G3472),""),"")</f>
        <v/>
      </c>
      <c r="I3472" t="str">
        <f>IFERROR(VLOOKUP($E3472,'Fuel Category and Heat Rate'!$K$2:$M$36,3,FALSE),"")</f>
        <v>petroleum diesel</v>
      </c>
    </row>
    <row r="3473" spans="1:9" x14ac:dyDescent="0.15">
      <c r="A3473" s="2">
        <v>390507</v>
      </c>
      <c r="B3473" s="2" t="s">
        <v>86</v>
      </c>
      <c r="C3473" s="2">
        <v>2019</v>
      </c>
      <c r="D3473" s="2" t="s">
        <v>1</v>
      </c>
      <c r="E3473" s="2" t="s">
        <v>19</v>
      </c>
      <c r="F3473" s="2" t="s">
        <v>35</v>
      </c>
      <c r="G3473" s="7">
        <v>-0.22</v>
      </c>
      <c r="H3473" s="13">
        <f>IFERROR(IF(ABS($G3473)&gt;0,VLOOKUP($E3473,'Fuel Category and Heat Rate'!$B$1:$G$34,6,FALSE)*($G3473),""),"")</f>
        <v>-87194625763.176422</v>
      </c>
      <c r="I3473" t="str">
        <f>IFERROR(VLOOKUP($E3473,'Fuel Category and Heat Rate'!$K$2:$M$36,3,FALSE),"")</f>
        <v>heavy or residual fuel oil</v>
      </c>
    </row>
    <row r="3474" spans="1:9" x14ac:dyDescent="0.15">
      <c r="A3474" s="2">
        <v>390542</v>
      </c>
      <c r="B3474" s="2" t="s">
        <v>86</v>
      </c>
      <c r="C3474" s="2">
        <v>2019</v>
      </c>
      <c r="D3474" s="2" t="s">
        <v>1</v>
      </c>
      <c r="E3474" s="2" t="s">
        <v>31</v>
      </c>
      <c r="F3474" s="2" t="s">
        <v>37</v>
      </c>
      <c r="G3474" s="7">
        <v>149885.24</v>
      </c>
      <c r="H3474" s="13">
        <f>IFERROR(IF(ABS($G3474)&gt;0,VLOOKUP($E3474,'Fuel Category and Heat Rate'!$B$1:$G$34,6,FALSE)*($G3474),""),"")</f>
        <v>1420637969070547.3</v>
      </c>
      <c r="I3474" t="str">
        <f>IFERROR(VLOOKUP($E3474,'Fuel Category and Heat Rate'!$K$2:$M$36,3,FALSE),"")</f>
        <v>heat</v>
      </c>
    </row>
    <row r="3475" spans="1:9" x14ac:dyDescent="0.15">
      <c r="A3475" s="2">
        <v>390577</v>
      </c>
      <c r="B3475" s="2" t="s">
        <v>86</v>
      </c>
      <c r="C3475" s="2">
        <v>2019</v>
      </c>
      <c r="D3475" s="2" t="s">
        <v>1</v>
      </c>
      <c r="E3475" s="2" t="s">
        <v>23</v>
      </c>
      <c r="F3475" s="2" t="s">
        <v>35</v>
      </c>
      <c r="G3475" s="7"/>
      <c r="H3475" s="13" t="str">
        <f>IFERROR(IF(ABS($G3475)&gt;0,VLOOKUP($E3475,'Fuel Category and Heat Rate'!$B$1:$G$34,6,FALSE)*($G3475),""),"")</f>
        <v/>
      </c>
      <c r="I3475" t="str">
        <f>IFERROR(VLOOKUP($E3475,'Fuel Category and Heat Rate'!$K$2:$M$36,3,FALSE),"")</f>
        <v>heavy or residual fuel oil</v>
      </c>
    </row>
    <row r="3476" spans="1:9" x14ac:dyDescent="0.15">
      <c r="A3476" s="2">
        <v>390612</v>
      </c>
      <c r="B3476" s="2" t="s">
        <v>86</v>
      </c>
      <c r="C3476" s="2">
        <v>2019</v>
      </c>
      <c r="D3476" s="2" t="s">
        <v>1</v>
      </c>
      <c r="E3476" s="2" t="s">
        <v>21</v>
      </c>
      <c r="F3476" s="2" t="s">
        <v>35</v>
      </c>
      <c r="G3476" s="7"/>
      <c r="H3476" s="13" t="str">
        <f>IFERROR(IF(ABS($G3476)&gt;0,VLOOKUP($E3476,'Fuel Category and Heat Rate'!$B$1:$G$34,6,FALSE)*($G3476),""),"")</f>
        <v/>
      </c>
      <c r="I3476" t="str">
        <f>IFERROR(VLOOKUP($E3476,'Fuel Category and Heat Rate'!$K$2:$M$36,3,FALSE),"")</f>
        <v>LPG propane or butane</v>
      </c>
    </row>
    <row r="3477" spans="1:9" x14ac:dyDescent="0.15">
      <c r="A3477" s="2">
        <v>390647</v>
      </c>
      <c r="B3477" s="2" t="s">
        <v>86</v>
      </c>
      <c r="C3477" s="2">
        <v>2019</v>
      </c>
      <c r="D3477" s="2" t="s">
        <v>1</v>
      </c>
      <c r="E3477" s="2" t="s">
        <v>22</v>
      </c>
      <c r="F3477" s="2" t="s">
        <v>35</v>
      </c>
      <c r="G3477" s="7"/>
      <c r="H3477" s="13" t="str">
        <f>IFERROR(IF(ABS($G3477)&gt;0,VLOOKUP($E3477,'Fuel Category and Heat Rate'!$B$1:$G$34,6,FALSE)*($G3477),""),"")</f>
        <v/>
      </c>
      <c r="I3477" t="str">
        <f>IFERROR(VLOOKUP($E3477,'Fuel Category and Heat Rate'!$K$2:$M$36,3,FALSE),"")</f>
        <v>heavy fuel oil</v>
      </c>
    </row>
    <row r="3478" spans="1:9" x14ac:dyDescent="0.15">
      <c r="A3478" s="2">
        <v>390682</v>
      </c>
      <c r="B3478" s="2" t="s">
        <v>86</v>
      </c>
      <c r="C3478" s="2">
        <v>2019</v>
      </c>
      <c r="D3478" s="2" t="s">
        <v>1</v>
      </c>
      <c r="E3478" s="2" t="s">
        <v>20</v>
      </c>
      <c r="F3478" s="2" t="s">
        <v>35</v>
      </c>
      <c r="G3478" s="7"/>
      <c r="H3478" s="13" t="str">
        <f>IFERROR(IF(ABS($G3478)&gt;0,VLOOKUP($E3478,'Fuel Category and Heat Rate'!$B$1:$G$34,6,FALSE)*($G3478),""),"")</f>
        <v/>
      </c>
      <c r="I3478" t="str">
        <f>IFERROR(VLOOKUP($E3478,'Fuel Category and Heat Rate'!$K$2:$M$36,3,FALSE),"")</f>
        <v>LPG propane or butane</v>
      </c>
    </row>
    <row r="3479" spans="1:9" x14ac:dyDescent="0.15">
      <c r="A3479" s="2">
        <v>390717</v>
      </c>
      <c r="B3479" s="2" t="s">
        <v>86</v>
      </c>
      <c r="C3479" s="2">
        <v>2019</v>
      </c>
      <c r="D3479" s="2" t="s">
        <v>1</v>
      </c>
      <c r="E3479" s="2" t="s">
        <v>25</v>
      </c>
      <c r="F3479" s="2" t="s">
        <v>35</v>
      </c>
      <c r="G3479" s="7">
        <v>-26.9</v>
      </c>
      <c r="H3479" s="13">
        <f>IFERROR(IF(ABS($G3479)&gt;0,VLOOKUP($E3479,'Fuel Category and Heat Rate'!$B$1:$G$34,6,FALSE)*($G3479),""),"")</f>
        <v>-8145296763199.7861</v>
      </c>
      <c r="I3479" t="str">
        <f>IFERROR(VLOOKUP($E3479,'Fuel Category and Heat Rate'!$K$2:$M$36,3,FALSE),"")</f>
        <v>heavy fuel oil</v>
      </c>
    </row>
    <row r="3480" spans="1:9" x14ac:dyDescent="0.15">
      <c r="A3480" s="2">
        <v>390752</v>
      </c>
      <c r="B3480" s="2" t="s">
        <v>86</v>
      </c>
      <c r="C3480" s="2">
        <v>2019</v>
      </c>
      <c r="D3480" s="2" t="s">
        <v>1</v>
      </c>
      <c r="E3480" s="2" t="s">
        <v>24</v>
      </c>
      <c r="F3480" s="2" t="s">
        <v>35</v>
      </c>
      <c r="G3480" s="7"/>
      <c r="H3480" s="13" t="str">
        <f>IFERROR(IF(ABS($G3480)&gt;0,VLOOKUP($E3480,'Fuel Category and Heat Rate'!$B$1:$G$34,6,FALSE)*($G3480),""),"")</f>
        <v/>
      </c>
      <c r="I3480" t="str">
        <f>IFERROR(VLOOKUP($E3480,'Fuel Category and Heat Rate'!$K$2:$M$36,3,FALSE),"")</f>
        <v>heavy fuel oil</v>
      </c>
    </row>
    <row r="3481" spans="1:9" x14ac:dyDescent="0.15">
      <c r="A3481" s="2">
        <v>390787</v>
      </c>
      <c r="B3481" s="2" t="s">
        <v>86</v>
      </c>
      <c r="C3481" s="2">
        <v>2019</v>
      </c>
      <c r="D3481" s="2" t="s">
        <v>1</v>
      </c>
      <c r="E3481" s="2" t="s">
        <v>29</v>
      </c>
      <c r="F3481" s="2" t="s">
        <v>36</v>
      </c>
      <c r="G3481" s="7">
        <v>-2.08</v>
      </c>
      <c r="H3481" s="13">
        <f>IFERROR(IF(ABS($G3481)&gt;0,VLOOKUP($E3481,'Fuel Category and Heat Rate'!$B$1:$G$34,6,FALSE)*($G3481),""),"")</f>
        <v>-7015340467521.2217</v>
      </c>
      <c r="I3481" t="str">
        <f>IFERROR(VLOOKUP($E3481,'Fuel Category and Heat Rate'!$K$2:$M$36,3,FALSE),"")</f>
        <v>natural gas</v>
      </c>
    </row>
    <row r="3482" spans="1:9" x14ac:dyDescent="0.15">
      <c r="A3482" s="2">
        <v>390822</v>
      </c>
      <c r="B3482" s="2" t="s">
        <v>86</v>
      </c>
      <c r="C3482" s="2">
        <v>2019</v>
      </c>
      <c r="D3482" s="2" t="s">
        <v>1</v>
      </c>
      <c r="E3482" s="2" t="s">
        <v>4</v>
      </c>
      <c r="F3482" s="2" t="s">
        <v>35</v>
      </c>
      <c r="G3482" s="7"/>
      <c r="H3482" s="13" t="str">
        <f>IFERROR(IF(ABS($G3482)&gt;0,VLOOKUP($E3482,'Fuel Category and Heat Rate'!$B$1:$G$34,6,FALSE)*($G3482),""),"")</f>
        <v/>
      </c>
      <c r="I3482" t="str">
        <f>IFERROR(VLOOKUP($E3482,'Fuel Category and Heat Rate'!$K$2:$M$36,3,FALSE),"")</f>
        <v>coal</v>
      </c>
    </row>
    <row r="3483" spans="1:9" x14ac:dyDescent="0.15">
      <c r="A3483" s="2">
        <v>390857</v>
      </c>
      <c r="B3483" s="2" t="s">
        <v>86</v>
      </c>
      <c r="C3483" s="2">
        <v>2019</v>
      </c>
      <c r="D3483" s="2" t="s">
        <v>1</v>
      </c>
      <c r="E3483" s="2" t="s">
        <v>6</v>
      </c>
      <c r="F3483" s="2" t="s">
        <v>35</v>
      </c>
      <c r="G3483" s="7">
        <v>-47.69</v>
      </c>
      <c r="H3483" s="13">
        <f>IFERROR(IF(ABS($G3483)&gt;0,VLOOKUP($E3483,'Fuel Category and Heat Rate'!$B$1:$G$34,6,FALSE)*($G3483),""),"")</f>
        <v>-6994012402281.8311</v>
      </c>
      <c r="I3483" t="str">
        <f>IFERROR(VLOOKUP($E3483,'Fuel Category and Heat Rate'!$K$2:$M$36,3,FALSE),"")</f>
        <v>coal</v>
      </c>
    </row>
    <row r="3484" spans="1:9" x14ac:dyDescent="0.15">
      <c r="A3484" s="2">
        <v>390892</v>
      </c>
      <c r="B3484" s="2" t="s">
        <v>86</v>
      </c>
      <c r="C3484" s="2">
        <v>2019</v>
      </c>
      <c r="D3484" s="2" t="s">
        <v>1</v>
      </c>
      <c r="E3484" s="2" t="s">
        <v>26</v>
      </c>
      <c r="F3484" s="2" t="s">
        <v>35</v>
      </c>
      <c r="G3484" s="7"/>
      <c r="H3484" s="13" t="str">
        <f>IFERROR(IF(ABS($G3484)&gt;0,VLOOKUP($E3484,'Fuel Category and Heat Rate'!$B$1:$G$34,6,FALSE)*($G3484),""),"")</f>
        <v/>
      </c>
      <c r="I3484" t="str">
        <f>IFERROR(VLOOKUP($E3484,'Fuel Category and Heat Rate'!$K$2:$M$36,3,FALSE),"")</f>
        <v>LPG propane or butane</v>
      </c>
    </row>
    <row r="3485" spans="1:9" x14ac:dyDescent="0.15">
      <c r="A3485" s="2">
        <v>390927</v>
      </c>
      <c r="B3485" s="2" t="s">
        <v>86</v>
      </c>
      <c r="C3485" s="2">
        <v>2019</v>
      </c>
      <c r="D3485" s="2" t="s">
        <v>1</v>
      </c>
      <c r="E3485" s="2" t="s">
        <v>30</v>
      </c>
      <c r="F3485" s="2" t="s">
        <v>35</v>
      </c>
      <c r="G3485" s="7"/>
      <c r="H3485" s="13" t="str">
        <f>IFERROR(IF(ABS($G3485)&gt;0,VLOOKUP($E3485,'Fuel Category and Heat Rate'!$B$1:$G$34,6,FALSE)*($G3485),""),"")</f>
        <v/>
      </c>
      <c r="I3485" t="str">
        <f>IFERROR(VLOOKUP($E3485,'Fuel Category and Heat Rate'!$K$2:$M$36,3,FALSE),"")</f>
        <v>natural gas</v>
      </c>
    </row>
    <row r="3486" spans="1:9" x14ac:dyDescent="0.15">
      <c r="A3486" s="2">
        <v>390962</v>
      </c>
      <c r="B3486" s="2" t="s">
        <v>86</v>
      </c>
      <c r="C3486" s="2">
        <v>2019</v>
      </c>
      <c r="D3486" s="2" t="s">
        <v>1</v>
      </c>
      <c r="E3486" s="2" t="s">
        <v>14</v>
      </c>
      <c r="F3486" s="2" t="s">
        <v>35</v>
      </c>
      <c r="G3486" s="7">
        <v>-37.090000000000003</v>
      </c>
      <c r="H3486" s="13">
        <f>IFERROR(IF(ABS($G3486)&gt;0,VLOOKUP($E3486,'Fuel Category and Heat Rate'!$B$1:$G$34,6,FALSE)*($G3486),""),"")</f>
        <v>0</v>
      </c>
      <c r="I3486" t="str">
        <f>IFERROR(VLOOKUP($E3486,'Fuel Category and Heat Rate'!$K$2:$M$36,3,FALSE),"")</f>
        <v/>
      </c>
    </row>
    <row r="3487" spans="1:9" x14ac:dyDescent="0.15">
      <c r="A3487" s="2">
        <v>390997</v>
      </c>
      <c r="B3487" s="2" t="s">
        <v>86</v>
      </c>
      <c r="C3487" s="2">
        <v>2019</v>
      </c>
      <c r="D3487" s="2" t="s">
        <v>1</v>
      </c>
      <c r="E3487" s="2" t="s">
        <v>3</v>
      </c>
      <c r="F3487" s="2" t="s">
        <v>35</v>
      </c>
      <c r="G3487" s="7">
        <v>-7830.43</v>
      </c>
      <c r="H3487" s="13">
        <f>IFERROR(IF(ABS($G3487)&gt;0,VLOOKUP($E3487,'Fuel Category and Heat Rate'!$B$1:$G$34,6,FALSE)*($G3487),""),"")</f>
        <v>-1551753212306249</v>
      </c>
      <c r="I3487" t="str">
        <f>IFERROR(VLOOKUP($E3487,'Fuel Category and Heat Rate'!$K$2:$M$36,3,FALSE),"")</f>
        <v>coal</v>
      </c>
    </row>
    <row r="3488" spans="1:9" x14ac:dyDescent="0.15">
      <c r="A3488" s="2">
        <v>391032</v>
      </c>
      <c r="B3488" s="2" t="s">
        <v>86</v>
      </c>
      <c r="C3488" s="2">
        <v>2019</v>
      </c>
      <c r="D3488" s="2" t="s">
        <v>1</v>
      </c>
      <c r="E3488" s="2" t="s">
        <v>15</v>
      </c>
      <c r="F3488" s="2" t="s">
        <v>35</v>
      </c>
      <c r="G3488" s="7"/>
      <c r="H3488" s="13" t="str">
        <f>IFERROR(IF(ABS($G3488)&gt;0,VLOOKUP($E3488,'Fuel Category and Heat Rate'!$B$1:$G$34,6,FALSE)*($G3488),""),"")</f>
        <v/>
      </c>
      <c r="I3488" t="str">
        <f>IFERROR(VLOOKUP($E3488,'Fuel Category and Heat Rate'!$K$2:$M$36,3,FALSE),"")</f>
        <v>crude oil</v>
      </c>
    </row>
    <row r="3489" spans="1:9" x14ac:dyDescent="0.15">
      <c r="A3489" s="2">
        <v>391067</v>
      </c>
      <c r="B3489" s="2" t="s">
        <v>86</v>
      </c>
      <c r="C3489" s="2">
        <v>2019</v>
      </c>
      <c r="D3489" s="2" t="s">
        <v>1</v>
      </c>
      <c r="E3489" s="2" t="s">
        <v>11</v>
      </c>
      <c r="F3489" s="2" t="s">
        <v>36</v>
      </c>
      <c r="G3489" s="7">
        <v>-2.74</v>
      </c>
      <c r="H3489" s="13">
        <f>IFERROR(IF(ABS($G3489)&gt;0,VLOOKUP($E3489,'Fuel Category and Heat Rate'!$B$1:$G$34,6,FALSE)*($G3489),""),"")</f>
        <v>-2063331528847.5017</v>
      </c>
      <c r="I3489" t="str">
        <f>IFERROR(VLOOKUP($E3489,'Fuel Category and Heat Rate'!$K$2:$M$36,3,FALSE),"")</f>
        <v>LPG propane or butane</v>
      </c>
    </row>
    <row r="3490" spans="1:9" x14ac:dyDescent="0.15">
      <c r="A3490" s="2">
        <v>391102</v>
      </c>
      <c r="B3490" s="2" t="s">
        <v>86</v>
      </c>
      <c r="C3490" s="2">
        <v>2018</v>
      </c>
      <c r="D3490" s="2" t="s">
        <v>1</v>
      </c>
      <c r="E3490" s="2" t="s">
        <v>18</v>
      </c>
      <c r="F3490" s="2" t="s">
        <v>35</v>
      </c>
      <c r="G3490" s="7">
        <v>-0.31</v>
      </c>
      <c r="H3490" s="13">
        <f>IFERROR(IF(ABS($G3490)&gt;0,VLOOKUP($E3490,'Fuel Category and Heat Rate'!$B$1:$G$34,6,FALSE)*($G3490),""),"")</f>
        <v>-125321517339.5797</v>
      </c>
      <c r="I3490" t="str">
        <f>IFERROR(VLOOKUP($E3490,'Fuel Category and Heat Rate'!$K$2:$M$36,3,FALSE),"")</f>
        <v>petroleum diesel</v>
      </c>
    </row>
    <row r="3491" spans="1:9" x14ac:dyDescent="0.15">
      <c r="A3491" s="2">
        <v>391137</v>
      </c>
      <c r="B3491" s="2" t="s">
        <v>86</v>
      </c>
      <c r="C3491" s="2">
        <v>2018</v>
      </c>
      <c r="D3491" s="2" t="s">
        <v>1</v>
      </c>
      <c r="E3491" s="2" t="s">
        <v>32</v>
      </c>
      <c r="F3491" s="2" t="s">
        <v>65</v>
      </c>
      <c r="G3491" s="7"/>
      <c r="H3491" s="13" t="str">
        <f>IFERROR(IF(ABS($G3491)&gt;0,VLOOKUP($E3491,'Fuel Category and Heat Rate'!$B$1:$G$34,6,FALSE)*($G3491),""),"")</f>
        <v/>
      </c>
      <c r="I3491" t="str">
        <f>IFERROR(VLOOKUP($E3491,'Fuel Category and Heat Rate'!$K$2:$M$36,3,FALSE),"")</f>
        <v>electricity</v>
      </c>
    </row>
    <row r="3492" spans="1:9" x14ac:dyDescent="0.15">
      <c r="A3492" s="2">
        <v>391172</v>
      </c>
      <c r="B3492" s="2" t="s">
        <v>86</v>
      </c>
      <c r="C3492" s="2">
        <v>2018</v>
      </c>
      <c r="D3492" s="2" t="s">
        <v>1</v>
      </c>
      <c r="E3492" s="2" t="s">
        <v>10</v>
      </c>
      <c r="F3492" s="2" t="s">
        <v>36</v>
      </c>
      <c r="G3492" s="7">
        <v>-128.63999999999999</v>
      </c>
      <c r="H3492" s="13">
        <f>IFERROR(IF(ABS($G3492)&gt;0,VLOOKUP($E3492,'Fuel Category and Heat Rate'!$B$1:$G$34,6,FALSE)*($G3492),""),"")</f>
        <v>-45881203350514.57</v>
      </c>
      <c r="I3492" t="str">
        <f>IFERROR(VLOOKUP($E3492,'Fuel Category and Heat Rate'!$K$2:$M$36,3,FALSE),"")</f>
        <v>LPG propane or butane</v>
      </c>
    </row>
    <row r="3493" spans="1:9" x14ac:dyDescent="0.15">
      <c r="A3493" s="2">
        <v>391207</v>
      </c>
      <c r="B3493" s="2" t="s">
        <v>86</v>
      </c>
      <c r="C3493" s="2">
        <v>2018</v>
      </c>
      <c r="D3493" s="2" t="s">
        <v>1</v>
      </c>
      <c r="E3493" s="2" t="s">
        <v>9</v>
      </c>
      <c r="F3493" s="2" t="s">
        <v>36</v>
      </c>
      <c r="G3493" s="7">
        <v>-7.17</v>
      </c>
      <c r="H3493" s="13">
        <f>IFERROR(IF(ABS($G3493)&gt;0,VLOOKUP($E3493,'Fuel Category and Heat Rate'!$B$1:$G$34,6,FALSE)*($G3493),""),"")</f>
        <v>-11793176162190.846</v>
      </c>
      <c r="I3493" t="str">
        <f>IFERROR(VLOOKUP($E3493,'Fuel Category and Heat Rate'!$K$2:$M$36,3,FALSE),"")</f>
        <v>LPG propane or butane</v>
      </c>
    </row>
    <row r="3494" spans="1:9" x14ac:dyDescent="0.15">
      <c r="A3494" s="2">
        <v>391242</v>
      </c>
      <c r="B3494" s="2" t="s">
        <v>86</v>
      </c>
      <c r="C3494" s="2">
        <v>2018</v>
      </c>
      <c r="D3494" s="2" t="s">
        <v>1</v>
      </c>
      <c r="E3494" s="2" t="s">
        <v>8</v>
      </c>
      <c r="F3494" s="2" t="s">
        <v>35</v>
      </c>
      <c r="G3494" s="7">
        <v>-14.95</v>
      </c>
      <c r="H3494" s="13">
        <f>IFERROR(IF(ABS($G3494)&gt;0,VLOOKUP($E3494,'Fuel Category and Heat Rate'!$B$1:$G$34,6,FALSE)*($G3494),""),"")</f>
        <v>-4029201392513.96</v>
      </c>
      <c r="I3494" t="str">
        <f>IFERROR(VLOOKUP($E3494,'Fuel Category and Heat Rate'!$K$2:$M$36,3,FALSE),"")</f>
        <v>coal</v>
      </c>
    </row>
    <row r="3495" spans="1:9" x14ac:dyDescent="0.15">
      <c r="A3495" s="2">
        <v>391277</v>
      </c>
      <c r="B3495" s="2" t="s">
        <v>86</v>
      </c>
      <c r="C3495" s="2">
        <v>2018</v>
      </c>
      <c r="D3495" s="2" t="s">
        <v>1</v>
      </c>
      <c r="E3495" s="2" t="s">
        <v>27</v>
      </c>
      <c r="F3495" s="2" t="s">
        <v>35</v>
      </c>
      <c r="G3495" s="7">
        <v>-13.27</v>
      </c>
      <c r="H3495" s="13">
        <f>IFERROR(IF(ABS($G3495)&gt;0,VLOOKUP($E3495,'Fuel Category and Heat Rate'!$B$1:$G$34,6,FALSE)*($G3495),""),"")</f>
        <v>-5785413729519.627</v>
      </c>
      <c r="I3495" t="str">
        <f>IFERROR(VLOOKUP($E3495,'Fuel Category and Heat Rate'!$K$2:$M$36,3,FALSE),"")</f>
        <v>LPG propane or butane</v>
      </c>
    </row>
    <row r="3496" spans="1:9" x14ac:dyDescent="0.15">
      <c r="A3496" s="2">
        <v>391312</v>
      </c>
      <c r="B3496" s="2" t="s">
        <v>86</v>
      </c>
      <c r="C3496" s="2">
        <v>2018</v>
      </c>
      <c r="D3496" s="2" t="s">
        <v>1</v>
      </c>
      <c r="E3496" s="2" t="s">
        <v>7</v>
      </c>
      <c r="F3496" s="2" t="s">
        <v>35</v>
      </c>
      <c r="G3496" s="7">
        <v>-142.94999999999999</v>
      </c>
      <c r="H3496" s="13">
        <f>IFERROR(IF(ABS($G3496)&gt;0,VLOOKUP($E3496,'Fuel Category and Heat Rate'!$B$1:$G$34,6,FALSE)*($G3496),""),"")</f>
        <v>-11345970926562.797</v>
      </c>
      <c r="I3496" t="str">
        <f>IFERROR(VLOOKUP($E3496,'Fuel Category and Heat Rate'!$K$2:$M$36,3,FALSE),"")</f>
        <v>coal</v>
      </c>
    </row>
    <row r="3497" spans="1:9" x14ac:dyDescent="0.15">
      <c r="A3497" s="2">
        <v>391347</v>
      </c>
      <c r="B3497" s="2" t="s">
        <v>86</v>
      </c>
      <c r="C3497" s="2">
        <v>2018</v>
      </c>
      <c r="D3497" s="2" t="s">
        <v>1</v>
      </c>
      <c r="E3497" s="2" t="s">
        <v>2</v>
      </c>
      <c r="F3497" s="2" t="s">
        <v>35</v>
      </c>
      <c r="G3497" s="7">
        <v>-7119.77</v>
      </c>
      <c r="H3497" s="13">
        <f>IFERROR(IF(ABS($G3497)&gt;0,VLOOKUP($E3497,'Fuel Category and Heat Rate'!$B$1:$G$34,6,FALSE)*($G3497),""),"")</f>
        <v>0</v>
      </c>
      <c r="I3497" t="str">
        <f>IFERROR(VLOOKUP($E3497,'Fuel Category and Heat Rate'!$K$2:$M$36,3,FALSE),"")</f>
        <v/>
      </c>
    </row>
    <row r="3498" spans="1:9" x14ac:dyDescent="0.15">
      <c r="A3498" s="2">
        <v>391382</v>
      </c>
      <c r="B3498" s="2" t="s">
        <v>86</v>
      </c>
      <c r="C3498" s="2">
        <v>2018</v>
      </c>
      <c r="D3498" s="2" t="s">
        <v>1</v>
      </c>
      <c r="E3498" s="2" t="s">
        <v>17</v>
      </c>
      <c r="F3498" s="2" t="s">
        <v>35</v>
      </c>
      <c r="G3498" s="7"/>
      <c r="H3498" s="13" t="str">
        <f>IFERROR(IF(ABS($G3498)&gt;0,VLOOKUP($E3498,'Fuel Category and Heat Rate'!$B$1:$G$34,6,FALSE)*($G3498),""),"")</f>
        <v/>
      </c>
      <c r="I3498" t="str">
        <f>IFERROR(VLOOKUP($E3498,'Fuel Category and Heat Rate'!$K$2:$M$36,3,FALSE),"")</f>
        <v>petroleum diesel</v>
      </c>
    </row>
    <row r="3499" spans="1:9" x14ac:dyDescent="0.15">
      <c r="A3499" s="2">
        <v>391417</v>
      </c>
      <c r="B3499" s="2" t="s">
        <v>86</v>
      </c>
      <c r="C3499" s="2">
        <v>2018</v>
      </c>
      <c r="D3499" s="2" t="s">
        <v>1</v>
      </c>
      <c r="E3499" s="2" t="s">
        <v>13</v>
      </c>
      <c r="F3499" s="2" t="s">
        <v>35</v>
      </c>
      <c r="G3499" s="7"/>
      <c r="H3499" s="13" t="str">
        <f>IFERROR(IF(ABS($G3499)&gt;0,VLOOKUP($E3499,'Fuel Category and Heat Rate'!$B$1:$G$34,6,FALSE)*($G3499),""),"")</f>
        <v/>
      </c>
      <c r="I3499" t="str">
        <f>IFERROR(VLOOKUP($E3499,'Fuel Category and Heat Rate'!$K$2:$M$36,3,FALSE),"")</f>
        <v>petroleum diesel</v>
      </c>
    </row>
    <row r="3500" spans="1:9" x14ac:dyDescent="0.15">
      <c r="A3500" s="2">
        <v>391452</v>
      </c>
      <c r="B3500" s="2" t="s">
        <v>86</v>
      </c>
      <c r="C3500" s="2">
        <v>2018</v>
      </c>
      <c r="D3500" s="2" t="s">
        <v>1</v>
      </c>
      <c r="E3500" s="2" t="s">
        <v>12</v>
      </c>
      <c r="F3500" s="2" t="s">
        <v>36</v>
      </c>
      <c r="G3500" s="7"/>
      <c r="H3500" s="13" t="str">
        <f>IFERROR(IF(ABS($G3500)&gt;0,VLOOKUP($E3500,'Fuel Category and Heat Rate'!$B$1:$G$34,6,FALSE)*($G3500),""),"")</f>
        <v/>
      </c>
      <c r="I3500" t="str">
        <f>IFERROR(VLOOKUP($E3500,'Fuel Category and Heat Rate'!$K$2:$M$36,3,FALSE),"")</f>
        <v>LPG propane or butane</v>
      </c>
    </row>
    <row r="3501" spans="1:9" x14ac:dyDescent="0.15">
      <c r="A3501" s="2">
        <v>391487</v>
      </c>
      <c r="B3501" s="2" t="s">
        <v>86</v>
      </c>
      <c r="C3501" s="2">
        <v>2018</v>
      </c>
      <c r="D3501" s="2" t="s">
        <v>1</v>
      </c>
      <c r="E3501" s="2" t="s">
        <v>33</v>
      </c>
      <c r="F3501" s="2" t="s">
        <v>38</v>
      </c>
      <c r="G3501" s="7">
        <v>-112.78</v>
      </c>
      <c r="H3501" s="13">
        <f>IFERROR(IF(ABS($G3501)&gt;0,VLOOKUP($E3501,'Fuel Category and Heat Rate'!$B$1:$G$34,6,FALSE)*($G3501),""),"")</f>
        <v>-31289181326277.656</v>
      </c>
      <c r="I3501" t="str">
        <f>IFERROR(VLOOKUP($E3501,'Fuel Category and Heat Rate'!$K$2:$M$36,3,FALSE),"")</f>
        <v>biomass</v>
      </c>
    </row>
    <row r="3502" spans="1:9" x14ac:dyDescent="0.15">
      <c r="A3502" s="2">
        <v>391522</v>
      </c>
      <c r="B3502" s="2" t="s">
        <v>86</v>
      </c>
      <c r="C3502" s="2">
        <v>2018</v>
      </c>
      <c r="D3502" s="2" t="s">
        <v>1</v>
      </c>
      <c r="E3502" s="2" t="s">
        <v>28</v>
      </c>
      <c r="F3502" s="2" t="s">
        <v>35</v>
      </c>
      <c r="G3502" s="7">
        <v>-0.41</v>
      </c>
      <c r="H3502" s="13">
        <f>IFERROR(IF(ABS($G3502)&gt;0,VLOOKUP($E3502,'Fuel Category and Heat Rate'!$B$1:$G$34,6,FALSE)*($G3502),""),"")</f>
        <v>-159250337316.26624</v>
      </c>
      <c r="I3502" t="str">
        <f>IFERROR(VLOOKUP($E3502,'Fuel Category and Heat Rate'!$K$2:$M$36,3,FALSE),"")</f>
        <v>heavy or residual fuel oil</v>
      </c>
    </row>
    <row r="3503" spans="1:9" x14ac:dyDescent="0.15">
      <c r="A3503" s="2">
        <v>391557</v>
      </c>
      <c r="B3503" s="2" t="s">
        <v>86</v>
      </c>
      <c r="C3503" s="2">
        <v>2018</v>
      </c>
      <c r="D3503" s="2" t="s">
        <v>1</v>
      </c>
      <c r="E3503" s="2" t="s">
        <v>5</v>
      </c>
      <c r="F3503" s="2" t="s">
        <v>35</v>
      </c>
      <c r="G3503" s="7">
        <v>-182.49</v>
      </c>
      <c r="H3503" s="13">
        <f>IFERROR(IF(ABS($G3503)&gt;0,VLOOKUP($E3503,'Fuel Category and Heat Rate'!$B$1:$G$34,6,FALSE)*($G3503),""),"")</f>
        <v>-14465242479817.537</v>
      </c>
      <c r="I3503" t="str">
        <f>IFERROR(VLOOKUP($E3503,'Fuel Category and Heat Rate'!$K$2:$M$36,3,FALSE),"")</f>
        <v>coal</v>
      </c>
    </row>
    <row r="3504" spans="1:9" x14ac:dyDescent="0.15">
      <c r="A3504" s="2">
        <v>391592</v>
      </c>
      <c r="B3504" s="2" t="s">
        <v>86</v>
      </c>
      <c r="C3504" s="2">
        <v>2018</v>
      </c>
      <c r="D3504" s="2" t="s">
        <v>1</v>
      </c>
      <c r="E3504" s="2" t="s">
        <v>16</v>
      </c>
      <c r="F3504" s="2" t="s">
        <v>35</v>
      </c>
      <c r="G3504" s="7"/>
      <c r="H3504" s="13" t="str">
        <f>IFERROR(IF(ABS($G3504)&gt;0,VLOOKUP($E3504,'Fuel Category and Heat Rate'!$B$1:$G$34,6,FALSE)*($G3504),""),"")</f>
        <v/>
      </c>
      <c r="I3504" t="str">
        <f>IFERROR(VLOOKUP($E3504,'Fuel Category and Heat Rate'!$K$2:$M$36,3,FALSE),"")</f>
        <v>petroleum diesel</v>
      </c>
    </row>
    <row r="3505" spans="1:9" x14ac:dyDescent="0.15">
      <c r="A3505" s="2">
        <v>391627</v>
      </c>
      <c r="B3505" s="2" t="s">
        <v>86</v>
      </c>
      <c r="C3505" s="2">
        <v>2018</v>
      </c>
      <c r="D3505" s="2" t="s">
        <v>1</v>
      </c>
      <c r="E3505" s="2" t="s">
        <v>19</v>
      </c>
      <c r="F3505" s="2" t="s">
        <v>35</v>
      </c>
      <c r="G3505" s="7">
        <v>-2.19</v>
      </c>
      <c r="H3505" s="13">
        <f>IFERROR(IF(ABS($G3505)&gt;0,VLOOKUP($E3505,'Fuel Category and Heat Rate'!$B$1:$G$34,6,FALSE)*($G3505),""),"")</f>
        <v>-867982865551.61987</v>
      </c>
      <c r="I3505" t="str">
        <f>IFERROR(VLOOKUP($E3505,'Fuel Category and Heat Rate'!$K$2:$M$36,3,FALSE),"")</f>
        <v>heavy or residual fuel oil</v>
      </c>
    </row>
    <row r="3506" spans="1:9" x14ac:dyDescent="0.15">
      <c r="A3506" s="2">
        <v>391662</v>
      </c>
      <c r="B3506" s="2" t="s">
        <v>86</v>
      </c>
      <c r="C3506" s="2">
        <v>2018</v>
      </c>
      <c r="D3506" s="2" t="s">
        <v>1</v>
      </c>
      <c r="E3506" s="2" t="s">
        <v>31</v>
      </c>
      <c r="F3506" s="2" t="s">
        <v>37</v>
      </c>
      <c r="G3506" s="7">
        <v>133092.95000000001</v>
      </c>
      <c r="H3506" s="13">
        <f>IFERROR(IF(ABS($G3506)&gt;0,VLOOKUP($E3506,'Fuel Category and Heat Rate'!$B$1:$G$34,6,FALSE)*($G3506),""),"")</f>
        <v>1261477769162646.8</v>
      </c>
      <c r="I3506" t="str">
        <f>IFERROR(VLOOKUP($E3506,'Fuel Category and Heat Rate'!$K$2:$M$36,3,FALSE),"")</f>
        <v>heat</v>
      </c>
    </row>
    <row r="3507" spans="1:9" x14ac:dyDescent="0.15">
      <c r="A3507" s="2">
        <v>391697</v>
      </c>
      <c r="B3507" s="2" t="s">
        <v>86</v>
      </c>
      <c r="C3507" s="2">
        <v>2018</v>
      </c>
      <c r="D3507" s="2" t="s">
        <v>1</v>
      </c>
      <c r="E3507" s="2" t="s">
        <v>23</v>
      </c>
      <c r="F3507" s="2" t="s">
        <v>35</v>
      </c>
      <c r="G3507" s="7"/>
      <c r="H3507" s="13" t="str">
        <f>IFERROR(IF(ABS($G3507)&gt;0,VLOOKUP($E3507,'Fuel Category and Heat Rate'!$B$1:$G$34,6,FALSE)*($G3507),""),"")</f>
        <v/>
      </c>
      <c r="I3507" t="str">
        <f>IFERROR(VLOOKUP($E3507,'Fuel Category and Heat Rate'!$K$2:$M$36,3,FALSE),"")</f>
        <v>heavy or residual fuel oil</v>
      </c>
    </row>
    <row r="3508" spans="1:9" x14ac:dyDescent="0.15">
      <c r="A3508" s="2">
        <v>391732</v>
      </c>
      <c r="B3508" s="2" t="s">
        <v>86</v>
      </c>
      <c r="C3508" s="2">
        <v>2018</v>
      </c>
      <c r="D3508" s="2" t="s">
        <v>1</v>
      </c>
      <c r="E3508" s="2" t="s">
        <v>21</v>
      </c>
      <c r="F3508" s="2" t="s">
        <v>35</v>
      </c>
      <c r="G3508" s="7"/>
      <c r="H3508" s="13" t="str">
        <f>IFERROR(IF(ABS($G3508)&gt;0,VLOOKUP($E3508,'Fuel Category and Heat Rate'!$B$1:$G$34,6,FALSE)*($G3508),""),"")</f>
        <v/>
      </c>
      <c r="I3508" t="str">
        <f>IFERROR(VLOOKUP($E3508,'Fuel Category and Heat Rate'!$K$2:$M$36,3,FALSE),"")</f>
        <v>LPG propane or butane</v>
      </c>
    </row>
    <row r="3509" spans="1:9" x14ac:dyDescent="0.15">
      <c r="A3509" s="2">
        <v>391767</v>
      </c>
      <c r="B3509" s="2" t="s">
        <v>86</v>
      </c>
      <c r="C3509" s="2">
        <v>2018</v>
      </c>
      <c r="D3509" s="2" t="s">
        <v>1</v>
      </c>
      <c r="E3509" s="2" t="s">
        <v>22</v>
      </c>
      <c r="F3509" s="2" t="s">
        <v>35</v>
      </c>
      <c r="G3509" s="7"/>
      <c r="H3509" s="13" t="str">
        <f>IFERROR(IF(ABS($G3509)&gt;0,VLOOKUP($E3509,'Fuel Category and Heat Rate'!$B$1:$G$34,6,FALSE)*($G3509),""),"")</f>
        <v/>
      </c>
      <c r="I3509" t="str">
        <f>IFERROR(VLOOKUP($E3509,'Fuel Category and Heat Rate'!$K$2:$M$36,3,FALSE),"")</f>
        <v>heavy fuel oil</v>
      </c>
    </row>
    <row r="3510" spans="1:9" x14ac:dyDescent="0.15">
      <c r="A3510" s="2">
        <v>391802</v>
      </c>
      <c r="B3510" s="2" t="s">
        <v>86</v>
      </c>
      <c r="C3510" s="2">
        <v>2018</v>
      </c>
      <c r="D3510" s="2" t="s">
        <v>1</v>
      </c>
      <c r="E3510" s="2" t="s">
        <v>20</v>
      </c>
      <c r="F3510" s="2" t="s">
        <v>35</v>
      </c>
      <c r="G3510" s="7"/>
      <c r="H3510" s="13" t="str">
        <f>IFERROR(IF(ABS($G3510)&gt;0,VLOOKUP($E3510,'Fuel Category and Heat Rate'!$B$1:$G$34,6,FALSE)*($G3510),""),"")</f>
        <v/>
      </c>
      <c r="I3510" t="str">
        <f>IFERROR(VLOOKUP($E3510,'Fuel Category and Heat Rate'!$K$2:$M$36,3,FALSE),"")</f>
        <v>LPG propane or butane</v>
      </c>
    </row>
    <row r="3511" spans="1:9" x14ac:dyDescent="0.15">
      <c r="A3511" s="2">
        <v>391837</v>
      </c>
      <c r="B3511" s="2" t="s">
        <v>86</v>
      </c>
      <c r="C3511" s="2">
        <v>2018</v>
      </c>
      <c r="D3511" s="2" t="s">
        <v>1</v>
      </c>
      <c r="E3511" s="2" t="s">
        <v>25</v>
      </c>
      <c r="F3511" s="2" t="s">
        <v>35</v>
      </c>
      <c r="G3511" s="7">
        <v>-30.37</v>
      </c>
      <c r="H3511" s="13">
        <f>IFERROR(IF(ABS($G3511)&gt;0,VLOOKUP($E3511,'Fuel Category and Heat Rate'!$B$1:$G$34,6,FALSE)*($G3511),""),"")</f>
        <v>-9196009765738.9414</v>
      </c>
      <c r="I3511" t="str">
        <f>IFERROR(VLOOKUP($E3511,'Fuel Category and Heat Rate'!$K$2:$M$36,3,FALSE),"")</f>
        <v>heavy fuel oil</v>
      </c>
    </row>
    <row r="3512" spans="1:9" x14ac:dyDescent="0.15">
      <c r="A3512" s="2">
        <v>391872</v>
      </c>
      <c r="B3512" s="2" t="s">
        <v>86</v>
      </c>
      <c r="C3512" s="2">
        <v>2018</v>
      </c>
      <c r="D3512" s="2" t="s">
        <v>1</v>
      </c>
      <c r="E3512" s="2" t="s">
        <v>24</v>
      </c>
      <c r="F3512" s="2" t="s">
        <v>35</v>
      </c>
      <c r="G3512" s="7"/>
      <c r="H3512" s="13" t="str">
        <f>IFERROR(IF(ABS($G3512)&gt;0,VLOOKUP($E3512,'Fuel Category and Heat Rate'!$B$1:$G$34,6,FALSE)*($G3512),""),"")</f>
        <v/>
      </c>
      <c r="I3512" t="str">
        <f>IFERROR(VLOOKUP($E3512,'Fuel Category and Heat Rate'!$K$2:$M$36,3,FALSE),"")</f>
        <v>heavy fuel oil</v>
      </c>
    </row>
    <row r="3513" spans="1:9" x14ac:dyDescent="0.15">
      <c r="A3513" s="2">
        <v>391907</v>
      </c>
      <c r="B3513" s="2" t="s">
        <v>86</v>
      </c>
      <c r="C3513" s="2">
        <v>2018</v>
      </c>
      <c r="D3513" s="2" t="s">
        <v>1</v>
      </c>
      <c r="E3513" s="2" t="s">
        <v>29</v>
      </c>
      <c r="F3513" s="2" t="s">
        <v>36</v>
      </c>
      <c r="G3513" s="7">
        <v>-2.65</v>
      </c>
      <c r="H3513" s="13">
        <f>IFERROR(IF(ABS($G3513)&gt;0,VLOOKUP($E3513,'Fuel Category and Heat Rate'!$B$1:$G$34,6,FALSE)*($G3513),""),"")</f>
        <v>-8937813576409.248</v>
      </c>
      <c r="I3513" t="str">
        <f>IFERROR(VLOOKUP($E3513,'Fuel Category and Heat Rate'!$K$2:$M$36,3,FALSE),"")</f>
        <v>natural gas</v>
      </c>
    </row>
    <row r="3514" spans="1:9" x14ac:dyDescent="0.15">
      <c r="A3514" s="2">
        <v>391942</v>
      </c>
      <c r="B3514" s="2" t="s">
        <v>86</v>
      </c>
      <c r="C3514" s="2">
        <v>2018</v>
      </c>
      <c r="D3514" s="2" t="s">
        <v>1</v>
      </c>
      <c r="E3514" s="2" t="s">
        <v>4</v>
      </c>
      <c r="F3514" s="2" t="s">
        <v>35</v>
      </c>
      <c r="G3514" s="7"/>
      <c r="H3514" s="13" t="str">
        <f>IFERROR(IF(ABS($G3514)&gt;0,VLOOKUP($E3514,'Fuel Category and Heat Rate'!$B$1:$G$34,6,FALSE)*($G3514),""),"")</f>
        <v/>
      </c>
      <c r="I3514" t="str">
        <f>IFERROR(VLOOKUP($E3514,'Fuel Category and Heat Rate'!$K$2:$M$36,3,FALSE),"")</f>
        <v>coal</v>
      </c>
    </row>
    <row r="3515" spans="1:9" x14ac:dyDescent="0.15">
      <c r="A3515" s="2">
        <v>391977</v>
      </c>
      <c r="B3515" s="2" t="s">
        <v>86</v>
      </c>
      <c r="C3515" s="2">
        <v>2018</v>
      </c>
      <c r="D3515" s="2" t="s">
        <v>1</v>
      </c>
      <c r="E3515" s="2" t="s">
        <v>6</v>
      </c>
      <c r="F3515" s="2" t="s">
        <v>35</v>
      </c>
      <c r="G3515" s="7">
        <v>-30.56</v>
      </c>
      <c r="H3515" s="13">
        <f>IFERROR(IF(ABS($G3515)&gt;0,VLOOKUP($E3515,'Fuel Category and Heat Rate'!$B$1:$G$34,6,FALSE)*($G3515),""),"")</f>
        <v>-4481799518006.5586</v>
      </c>
      <c r="I3515" t="str">
        <f>IFERROR(VLOOKUP($E3515,'Fuel Category and Heat Rate'!$K$2:$M$36,3,FALSE),"")</f>
        <v>coal</v>
      </c>
    </row>
    <row r="3516" spans="1:9" x14ac:dyDescent="0.15">
      <c r="A3516" s="2">
        <v>392012</v>
      </c>
      <c r="B3516" s="2" t="s">
        <v>86</v>
      </c>
      <c r="C3516" s="2">
        <v>2018</v>
      </c>
      <c r="D3516" s="2" t="s">
        <v>1</v>
      </c>
      <c r="E3516" s="2" t="s">
        <v>26</v>
      </c>
      <c r="F3516" s="2" t="s">
        <v>35</v>
      </c>
      <c r="G3516" s="7"/>
      <c r="H3516" s="13" t="str">
        <f>IFERROR(IF(ABS($G3516)&gt;0,VLOOKUP($E3516,'Fuel Category and Heat Rate'!$B$1:$G$34,6,FALSE)*($G3516),""),"")</f>
        <v/>
      </c>
      <c r="I3516" t="str">
        <f>IFERROR(VLOOKUP($E3516,'Fuel Category and Heat Rate'!$K$2:$M$36,3,FALSE),"")</f>
        <v>LPG propane or butane</v>
      </c>
    </row>
    <row r="3517" spans="1:9" x14ac:dyDescent="0.15">
      <c r="A3517" s="2">
        <v>392047</v>
      </c>
      <c r="B3517" s="2" t="s">
        <v>86</v>
      </c>
      <c r="C3517" s="2">
        <v>2018</v>
      </c>
      <c r="D3517" s="2" t="s">
        <v>1</v>
      </c>
      <c r="E3517" s="2" t="s">
        <v>30</v>
      </c>
      <c r="F3517" s="2" t="s">
        <v>35</v>
      </c>
      <c r="G3517" s="7"/>
      <c r="H3517" s="13" t="str">
        <f>IFERROR(IF(ABS($G3517)&gt;0,VLOOKUP($E3517,'Fuel Category and Heat Rate'!$B$1:$G$34,6,FALSE)*($G3517),""),"")</f>
        <v/>
      </c>
      <c r="I3517" t="str">
        <f>IFERROR(VLOOKUP($E3517,'Fuel Category and Heat Rate'!$K$2:$M$36,3,FALSE),"")</f>
        <v>natural gas</v>
      </c>
    </row>
    <row r="3518" spans="1:9" x14ac:dyDescent="0.15">
      <c r="A3518" s="2">
        <v>392082</v>
      </c>
      <c r="B3518" s="2" t="s">
        <v>86</v>
      </c>
      <c r="C3518" s="2">
        <v>2018</v>
      </c>
      <c r="D3518" s="2" t="s">
        <v>1</v>
      </c>
      <c r="E3518" s="2" t="s">
        <v>14</v>
      </c>
      <c r="F3518" s="2" t="s">
        <v>35</v>
      </c>
      <c r="G3518" s="7">
        <v>-46.55</v>
      </c>
      <c r="H3518" s="13">
        <f>IFERROR(IF(ABS($G3518)&gt;0,VLOOKUP($E3518,'Fuel Category and Heat Rate'!$B$1:$G$34,6,FALSE)*($G3518),""),"")</f>
        <v>0</v>
      </c>
      <c r="I3518" t="str">
        <f>IFERROR(VLOOKUP($E3518,'Fuel Category and Heat Rate'!$K$2:$M$36,3,FALSE),"")</f>
        <v/>
      </c>
    </row>
    <row r="3519" spans="1:9" x14ac:dyDescent="0.15">
      <c r="A3519" s="2">
        <v>392117</v>
      </c>
      <c r="B3519" s="2" t="s">
        <v>86</v>
      </c>
      <c r="C3519" s="2">
        <v>2018</v>
      </c>
      <c r="D3519" s="2" t="s">
        <v>1</v>
      </c>
      <c r="E3519" s="2" t="s">
        <v>3</v>
      </c>
      <c r="F3519" s="2" t="s">
        <v>35</v>
      </c>
      <c r="G3519" s="7">
        <v>-6906.72</v>
      </c>
      <c r="H3519" s="13">
        <f>IFERROR(IF(ABS($G3519)&gt;0,VLOOKUP($E3519,'Fuel Category and Heat Rate'!$B$1:$G$34,6,FALSE)*($G3519),""),"")</f>
        <v>-1368701967388740.8</v>
      </c>
      <c r="I3519" t="str">
        <f>IFERROR(VLOOKUP($E3519,'Fuel Category and Heat Rate'!$K$2:$M$36,3,FALSE),"")</f>
        <v>coal</v>
      </c>
    </row>
    <row r="3520" spans="1:9" x14ac:dyDescent="0.15">
      <c r="A3520" s="2">
        <v>392152</v>
      </c>
      <c r="B3520" s="2" t="s">
        <v>86</v>
      </c>
      <c r="C3520" s="2">
        <v>2018</v>
      </c>
      <c r="D3520" s="2" t="s">
        <v>1</v>
      </c>
      <c r="E3520" s="2" t="s">
        <v>15</v>
      </c>
      <c r="F3520" s="2" t="s">
        <v>35</v>
      </c>
      <c r="G3520" s="7"/>
      <c r="H3520" s="13" t="str">
        <f>IFERROR(IF(ABS($G3520)&gt;0,VLOOKUP($E3520,'Fuel Category and Heat Rate'!$B$1:$G$34,6,FALSE)*($G3520),""),"")</f>
        <v/>
      </c>
      <c r="I3520" t="str">
        <f>IFERROR(VLOOKUP($E3520,'Fuel Category and Heat Rate'!$K$2:$M$36,3,FALSE),"")</f>
        <v>crude oil</v>
      </c>
    </row>
    <row r="3521" spans="1:9" x14ac:dyDescent="0.15">
      <c r="A3521" s="2">
        <v>392187</v>
      </c>
      <c r="B3521" s="2" t="s">
        <v>86</v>
      </c>
      <c r="C3521" s="2">
        <v>2018</v>
      </c>
      <c r="D3521" s="2" t="s">
        <v>1</v>
      </c>
      <c r="E3521" s="2" t="s">
        <v>11</v>
      </c>
      <c r="F3521" s="2" t="s">
        <v>36</v>
      </c>
      <c r="G3521" s="7">
        <v>-3.28</v>
      </c>
      <c r="H3521" s="13">
        <f>IFERROR(IF(ABS($G3521)&gt;0,VLOOKUP($E3521,'Fuel Category and Heat Rate'!$B$1:$G$34,6,FALSE)*($G3521),""),"")</f>
        <v>-2469973508985.3301</v>
      </c>
      <c r="I3521" t="str">
        <f>IFERROR(VLOOKUP($E3521,'Fuel Category and Heat Rate'!$K$2:$M$36,3,FALSE),"")</f>
        <v>LPG propane or butane</v>
      </c>
    </row>
    <row r="3522" spans="1:9" x14ac:dyDescent="0.15">
      <c r="A3522" s="2">
        <v>405032</v>
      </c>
      <c r="B3522" s="2" t="s">
        <v>87</v>
      </c>
      <c r="C3522" s="2">
        <v>2022</v>
      </c>
      <c r="D3522" s="2" t="s">
        <v>1</v>
      </c>
      <c r="E3522" s="2" t="s">
        <v>18</v>
      </c>
      <c r="F3522" s="2" t="s">
        <v>35</v>
      </c>
      <c r="G3522" s="7">
        <v>-0.11</v>
      </c>
      <c r="H3522" s="13">
        <f>IFERROR(IF(ABS($G3522)&gt;0,VLOOKUP($E3522,'Fuel Category and Heat Rate'!$B$1:$G$34,6,FALSE)*($G3522),""),"")</f>
        <v>-44468925507.592796</v>
      </c>
      <c r="I3522" t="str">
        <f>IFERROR(VLOOKUP($E3522,'Fuel Category and Heat Rate'!$K$2:$M$36,3,FALSE),"")</f>
        <v>petroleum diesel</v>
      </c>
    </row>
    <row r="3523" spans="1:9" x14ac:dyDescent="0.15">
      <c r="A3523" s="2">
        <v>405067</v>
      </c>
      <c r="B3523" s="2" t="s">
        <v>87</v>
      </c>
      <c r="C3523" s="2">
        <v>2022</v>
      </c>
      <c r="D3523" s="2" t="s">
        <v>1</v>
      </c>
      <c r="E3523" s="2" t="s">
        <v>32</v>
      </c>
      <c r="F3523" s="2" t="s">
        <v>65</v>
      </c>
      <c r="G3523" s="7"/>
      <c r="H3523" s="13" t="str">
        <f>IFERROR(IF(ABS($G3523)&gt;0,VLOOKUP($E3523,'Fuel Category and Heat Rate'!$B$1:$G$34,6,FALSE)*($G3523),""),"")</f>
        <v/>
      </c>
      <c r="I3523" t="str">
        <f>IFERROR(VLOOKUP($E3523,'Fuel Category and Heat Rate'!$K$2:$M$36,3,FALSE),"")</f>
        <v>electricity</v>
      </c>
    </row>
    <row r="3524" spans="1:9" x14ac:dyDescent="0.15">
      <c r="A3524" s="2">
        <v>405102</v>
      </c>
      <c r="B3524" s="2" t="s">
        <v>87</v>
      </c>
      <c r="C3524" s="2">
        <v>2022</v>
      </c>
      <c r="D3524" s="2" t="s">
        <v>1</v>
      </c>
      <c r="E3524" s="2" t="s">
        <v>10</v>
      </c>
      <c r="F3524" s="2" t="s">
        <v>36</v>
      </c>
      <c r="G3524" s="7">
        <v>-15.91</v>
      </c>
      <c r="H3524" s="13">
        <f>IFERROR(IF(ABS($G3524)&gt;0,VLOOKUP($E3524,'Fuel Category and Heat Rate'!$B$1:$G$34,6,FALSE)*($G3524),""),"")</f>
        <v>-5674517609660.1904</v>
      </c>
      <c r="I3524" t="str">
        <f>IFERROR(VLOOKUP($E3524,'Fuel Category and Heat Rate'!$K$2:$M$36,3,FALSE),"")</f>
        <v>LPG propane or butane</v>
      </c>
    </row>
    <row r="3525" spans="1:9" x14ac:dyDescent="0.15">
      <c r="A3525" s="2">
        <v>405137</v>
      </c>
      <c r="B3525" s="2" t="s">
        <v>87</v>
      </c>
      <c r="C3525" s="2">
        <v>2022</v>
      </c>
      <c r="D3525" s="2" t="s">
        <v>1</v>
      </c>
      <c r="E3525" s="2" t="s">
        <v>9</v>
      </c>
      <c r="F3525" s="2" t="s">
        <v>36</v>
      </c>
      <c r="G3525" s="7">
        <v>-2.54</v>
      </c>
      <c r="H3525" s="13">
        <f>IFERROR(IF(ABS($G3525)&gt;0,VLOOKUP($E3525,'Fuel Category and Heat Rate'!$B$1:$G$34,6,FALSE)*($G3525),""),"")</f>
        <v>-4177777887303.3125</v>
      </c>
      <c r="I3525" t="str">
        <f>IFERROR(VLOOKUP($E3525,'Fuel Category and Heat Rate'!$K$2:$M$36,3,FALSE),"")</f>
        <v>LPG propane or butane</v>
      </c>
    </row>
    <row r="3526" spans="1:9" x14ac:dyDescent="0.15">
      <c r="A3526" s="2">
        <v>405172</v>
      </c>
      <c r="B3526" s="2" t="s">
        <v>87</v>
      </c>
      <c r="C3526" s="2">
        <v>2022</v>
      </c>
      <c r="D3526" s="2" t="s">
        <v>1</v>
      </c>
      <c r="E3526" s="2" t="s">
        <v>8</v>
      </c>
      <c r="F3526" s="2" t="s">
        <v>35</v>
      </c>
      <c r="G3526" s="7"/>
      <c r="H3526" s="13" t="str">
        <f>IFERROR(IF(ABS($G3526)&gt;0,VLOOKUP($E3526,'Fuel Category and Heat Rate'!$B$1:$G$34,6,FALSE)*($G3526),""),"")</f>
        <v/>
      </c>
      <c r="I3526" t="str">
        <f>IFERROR(VLOOKUP($E3526,'Fuel Category and Heat Rate'!$K$2:$M$36,3,FALSE),"")</f>
        <v>coal</v>
      </c>
    </row>
    <row r="3527" spans="1:9" x14ac:dyDescent="0.15">
      <c r="A3527" s="2">
        <v>405207</v>
      </c>
      <c r="B3527" s="2" t="s">
        <v>87</v>
      </c>
      <c r="C3527" s="2">
        <v>2022</v>
      </c>
      <c r="D3527" s="2" t="s">
        <v>1</v>
      </c>
      <c r="E3527" s="2" t="s">
        <v>27</v>
      </c>
      <c r="F3527" s="2" t="s">
        <v>35</v>
      </c>
      <c r="G3527" s="7"/>
      <c r="H3527" s="13" t="str">
        <f>IFERROR(IF(ABS($G3527)&gt;0,VLOOKUP($E3527,'Fuel Category and Heat Rate'!$B$1:$G$34,6,FALSE)*($G3527),""),"")</f>
        <v/>
      </c>
      <c r="I3527" t="str">
        <f>IFERROR(VLOOKUP($E3527,'Fuel Category and Heat Rate'!$K$2:$M$36,3,FALSE),"")</f>
        <v>LPG propane or butane</v>
      </c>
    </row>
    <row r="3528" spans="1:9" x14ac:dyDescent="0.15">
      <c r="A3528" s="2">
        <v>405242</v>
      </c>
      <c r="B3528" s="2" t="s">
        <v>87</v>
      </c>
      <c r="C3528" s="2">
        <v>2022</v>
      </c>
      <c r="D3528" s="2" t="s">
        <v>1</v>
      </c>
      <c r="E3528" s="2" t="s">
        <v>7</v>
      </c>
      <c r="F3528" s="2" t="s">
        <v>35</v>
      </c>
      <c r="G3528" s="7">
        <v>-249.03</v>
      </c>
      <c r="H3528" s="13">
        <f>IFERROR(IF(ABS($G3528)&gt;0,VLOOKUP($E3528,'Fuel Category and Heat Rate'!$B$1:$G$34,6,FALSE)*($G3528),""),"")</f>
        <v>-19765562363357.352</v>
      </c>
      <c r="I3528" t="str">
        <f>IFERROR(VLOOKUP($E3528,'Fuel Category and Heat Rate'!$K$2:$M$36,3,FALSE),"")</f>
        <v>coal</v>
      </c>
    </row>
    <row r="3529" spans="1:9" x14ac:dyDescent="0.15">
      <c r="A3529" s="2">
        <v>405277</v>
      </c>
      <c r="B3529" s="2" t="s">
        <v>87</v>
      </c>
      <c r="C3529" s="2">
        <v>2022</v>
      </c>
      <c r="D3529" s="2" t="s">
        <v>1</v>
      </c>
      <c r="E3529" s="2" t="s">
        <v>2</v>
      </c>
      <c r="F3529" s="2" t="s">
        <v>35</v>
      </c>
      <c r="G3529" s="7">
        <v>-3603.37</v>
      </c>
      <c r="H3529" s="13">
        <f>IFERROR(IF(ABS($G3529)&gt;0,VLOOKUP($E3529,'Fuel Category and Heat Rate'!$B$1:$G$34,6,FALSE)*($G3529),""),"")</f>
        <v>0</v>
      </c>
      <c r="I3529" t="str">
        <f>IFERROR(VLOOKUP($E3529,'Fuel Category and Heat Rate'!$K$2:$M$36,3,FALSE),"")</f>
        <v/>
      </c>
    </row>
    <row r="3530" spans="1:9" x14ac:dyDescent="0.15">
      <c r="A3530" s="2">
        <v>405312</v>
      </c>
      <c r="B3530" s="2" t="s">
        <v>87</v>
      </c>
      <c r="C3530" s="2">
        <v>2022</v>
      </c>
      <c r="D3530" s="2" t="s">
        <v>1</v>
      </c>
      <c r="E3530" s="2" t="s">
        <v>17</v>
      </c>
      <c r="F3530" s="2" t="s">
        <v>35</v>
      </c>
      <c r="G3530" s="7"/>
      <c r="H3530" s="13" t="str">
        <f>IFERROR(IF(ABS($G3530)&gt;0,VLOOKUP($E3530,'Fuel Category and Heat Rate'!$B$1:$G$34,6,FALSE)*($G3530),""),"")</f>
        <v/>
      </c>
      <c r="I3530" t="str">
        <f>IFERROR(VLOOKUP($E3530,'Fuel Category and Heat Rate'!$K$2:$M$36,3,FALSE),"")</f>
        <v>petroleum diesel</v>
      </c>
    </row>
    <row r="3531" spans="1:9" x14ac:dyDescent="0.15">
      <c r="A3531" s="2">
        <v>405347</v>
      </c>
      <c r="B3531" s="2" t="s">
        <v>87</v>
      </c>
      <c r="C3531" s="2">
        <v>2022</v>
      </c>
      <c r="D3531" s="2" t="s">
        <v>1</v>
      </c>
      <c r="E3531" s="2" t="s">
        <v>13</v>
      </c>
      <c r="F3531" s="2" t="s">
        <v>35</v>
      </c>
      <c r="G3531" s="7"/>
      <c r="H3531" s="13" t="str">
        <f>IFERROR(IF(ABS($G3531)&gt;0,VLOOKUP($E3531,'Fuel Category and Heat Rate'!$B$1:$G$34,6,FALSE)*($G3531),""),"")</f>
        <v/>
      </c>
      <c r="I3531" t="str">
        <f>IFERROR(VLOOKUP($E3531,'Fuel Category and Heat Rate'!$K$2:$M$36,3,FALSE),"")</f>
        <v>petroleum diesel</v>
      </c>
    </row>
    <row r="3532" spans="1:9" x14ac:dyDescent="0.15">
      <c r="A3532" s="2">
        <v>405382</v>
      </c>
      <c r="B3532" s="2" t="s">
        <v>87</v>
      </c>
      <c r="C3532" s="2">
        <v>2022</v>
      </c>
      <c r="D3532" s="2" t="s">
        <v>1</v>
      </c>
      <c r="E3532" s="2" t="s">
        <v>12</v>
      </c>
      <c r="F3532" s="2" t="s">
        <v>36</v>
      </c>
      <c r="G3532" s="7">
        <v>-1.61</v>
      </c>
      <c r="H3532" s="13">
        <f>IFERROR(IF(ABS($G3532)&gt;0,VLOOKUP($E3532,'Fuel Category and Heat Rate'!$B$1:$G$34,6,FALSE)*($G3532),""),"")</f>
        <v>-797632656129.05713</v>
      </c>
      <c r="I3532" t="str">
        <f>IFERROR(VLOOKUP($E3532,'Fuel Category and Heat Rate'!$K$2:$M$36,3,FALSE),"")</f>
        <v>LPG propane or butane</v>
      </c>
    </row>
    <row r="3533" spans="1:9" x14ac:dyDescent="0.15">
      <c r="A3533" s="2">
        <v>405417</v>
      </c>
      <c r="B3533" s="2" t="s">
        <v>87</v>
      </c>
      <c r="C3533" s="2">
        <v>2022</v>
      </c>
      <c r="D3533" s="2" t="s">
        <v>1</v>
      </c>
      <c r="E3533" s="2" t="s">
        <v>33</v>
      </c>
      <c r="F3533" s="2" t="s">
        <v>38</v>
      </c>
      <c r="G3533" s="7">
        <v>-22.33</v>
      </c>
      <c r="H3533" s="13">
        <f>IFERROR(IF(ABS($G3533)&gt;0,VLOOKUP($E3533,'Fuel Category and Heat Rate'!$B$1:$G$34,6,FALSE)*($G3533),""),"")</f>
        <v>-6195135830960.9854</v>
      </c>
      <c r="I3533" t="str">
        <f>IFERROR(VLOOKUP($E3533,'Fuel Category and Heat Rate'!$K$2:$M$36,3,FALSE),"")</f>
        <v>biomass</v>
      </c>
    </row>
    <row r="3534" spans="1:9" x14ac:dyDescent="0.15">
      <c r="A3534" s="2">
        <v>405452</v>
      </c>
      <c r="B3534" s="2" t="s">
        <v>87</v>
      </c>
      <c r="C3534" s="2">
        <v>2022</v>
      </c>
      <c r="D3534" s="2" t="s">
        <v>1</v>
      </c>
      <c r="E3534" s="2" t="s">
        <v>28</v>
      </c>
      <c r="F3534" s="2" t="s">
        <v>35</v>
      </c>
      <c r="G3534" s="7"/>
      <c r="H3534" s="13" t="str">
        <f>IFERROR(IF(ABS($G3534)&gt;0,VLOOKUP($E3534,'Fuel Category and Heat Rate'!$B$1:$G$34,6,FALSE)*($G3534),""),"")</f>
        <v/>
      </c>
      <c r="I3534" t="str">
        <f>IFERROR(VLOOKUP($E3534,'Fuel Category and Heat Rate'!$K$2:$M$36,3,FALSE),"")</f>
        <v>heavy or residual fuel oil</v>
      </c>
    </row>
    <row r="3535" spans="1:9" x14ac:dyDescent="0.15">
      <c r="A3535" s="2">
        <v>405487</v>
      </c>
      <c r="B3535" s="2" t="s">
        <v>87</v>
      </c>
      <c r="C3535" s="2">
        <v>2022</v>
      </c>
      <c r="D3535" s="2" t="s">
        <v>1</v>
      </c>
      <c r="E3535" s="2" t="s">
        <v>5</v>
      </c>
      <c r="F3535" s="2" t="s">
        <v>35</v>
      </c>
      <c r="G3535" s="7">
        <v>-771.6</v>
      </c>
      <c r="H3535" s="13">
        <f>IFERROR(IF(ABS($G3535)&gt;0,VLOOKUP($E3535,'Fuel Category and Heat Rate'!$B$1:$G$34,6,FALSE)*($G3535),""),"")</f>
        <v>-61161603909404.414</v>
      </c>
      <c r="I3535" t="str">
        <f>IFERROR(VLOOKUP($E3535,'Fuel Category and Heat Rate'!$K$2:$M$36,3,FALSE),"")</f>
        <v>coal</v>
      </c>
    </row>
    <row r="3536" spans="1:9" x14ac:dyDescent="0.15">
      <c r="A3536" s="2">
        <v>405522</v>
      </c>
      <c r="B3536" s="2" t="s">
        <v>87</v>
      </c>
      <c r="C3536" s="2">
        <v>2022</v>
      </c>
      <c r="D3536" s="2" t="s">
        <v>1</v>
      </c>
      <c r="E3536" s="2" t="s">
        <v>16</v>
      </c>
      <c r="F3536" s="2" t="s">
        <v>35</v>
      </c>
      <c r="G3536" s="7"/>
      <c r="H3536" s="13" t="str">
        <f>IFERROR(IF(ABS($G3536)&gt;0,VLOOKUP($E3536,'Fuel Category and Heat Rate'!$B$1:$G$34,6,FALSE)*($G3536),""),"")</f>
        <v/>
      </c>
      <c r="I3536" t="str">
        <f>IFERROR(VLOOKUP($E3536,'Fuel Category and Heat Rate'!$K$2:$M$36,3,FALSE),"")</f>
        <v>petroleum diesel</v>
      </c>
    </row>
    <row r="3537" spans="1:9" x14ac:dyDescent="0.15">
      <c r="A3537" s="2">
        <v>405557</v>
      </c>
      <c r="B3537" s="2" t="s">
        <v>87</v>
      </c>
      <c r="C3537" s="2">
        <v>2022</v>
      </c>
      <c r="D3537" s="2" t="s">
        <v>1</v>
      </c>
      <c r="E3537" s="2" t="s">
        <v>19</v>
      </c>
      <c r="F3537" s="2" t="s">
        <v>35</v>
      </c>
      <c r="G3537" s="7">
        <v>-0.01</v>
      </c>
      <c r="H3537" s="13">
        <f>IFERROR(IF(ABS($G3537)&gt;0,VLOOKUP($E3537,'Fuel Category and Heat Rate'!$B$1:$G$34,6,FALSE)*($G3537),""),"")</f>
        <v>-3963392080.144383</v>
      </c>
      <c r="I3537" t="str">
        <f>IFERROR(VLOOKUP($E3537,'Fuel Category and Heat Rate'!$K$2:$M$36,3,FALSE),"")</f>
        <v>heavy or residual fuel oil</v>
      </c>
    </row>
    <row r="3538" spans="1:9" x14ac:dyDescent="0.15">
      <c r="A3538" s="2">
        <v>405592</v>
      </c>
      <c r="B3538" s="2" t="s">
        <v>87</v>
      </c>
      <c r="C3538" s="2">
        <v>2022</v>
      </c>
      <c r="D3538" s="2" t="s">
        <v>1</v>
      </c>
      <c r="E3538" s="2" t="s">
        <v>31</v>
      </c>
      <c r="F3538" s="2" t="s">
        <v>37</v>
      </c>
      <c r="G3538" s="7">
        <v>56651.96</v>
      </c>
      <c r="H3538" s="13">
        <f>IFERROR(IF(ABS($G3538)&gt;0,VLOOKUP($E3538,'Fuel Category and Heat Rate'!$B$1:$G$34,6,FALSE)*($G3538),""),"")</f>
        <v>536956977206467.31</v>
      </c>
      <c r="I3538" t="str">
        <f>IFERROR(VLOOKUP($E3538,'Fuel Category and Heat Rate'!$K$2:$M$36,3,FALSE),"")</f>
        <v>heat</v>
      </c>
    </row>
    <row r="3539" spans="1:9" x14ac:dyDescent="0.15">
      <c r="A3539" s="2">
        <v>405627</v>
      </c>
      <c r="B3539" s="2" t="s">
        <v>87</v>
      </c>
      <c r="C3539" s="2">
        <v>2022</v>
      </c>
      <c r="D3539" s="2" t="s">
        <v>1</v>
      </c>
      <c r="E3539" s="2" t="s">
        <v>23</v>
      </c>
      <c r="F3539" s="2" t="s">
        <v>35</v>
      </c>
      <c r="G3539" s="7"/>
      <c r="H3539" s="13" t="str">
        <f>IFERROR(IF(ABS($G3539)&gt;0,VLOOKUP($E3539,'Fuel Category and Heat Rate'!$B$1:$G$34,6,FALSE)*($G3539),""),"")</f>
        <v/>
      </c>
      <c r="I3539" t="str">
        <f>IFERROR(VLOOKUP($E3539,'Fuel Category and Heat Rate'!$K$2:$M$36,3,FALSE),"")</f>
        <v>heavy or residual fuel oil</v>
      </c>
    </row>
    <row r="3540" spans="1:9" x14ac:dyDescent="0.15">
      <c r="A3540" s="2">
        <v>405662</v>
      </c>
      <c r="B3540" s="2" t="s">
        <v>87</v>
      </c>
      <c r="C3540" s="2">
        <v>2022</v>
      </c>
      <c r="D3540" s="2" t="s">
        <v>1</v>
      </c>
      <c r="E3540" s="2" t="s">
        <v>21</v>
      </c>
      <c r="F3540" s="2" t="s">
        <v>35</v>
      </c>
      <c r="G3540" s="7"/>
      <c r="H3540" s="13" t="str">
        <f>IFERROR(IF(ABS($G3540)&gt;0,VLOOKUP($E3540,'Fuel Category and Heat Rate'!$B$1:$G$34,6,FALSE)*($G3540),""),"")</f>
        <v/>
      </c>
      <c r="I3540" t="str">
        <f>IFERROR(VLOOKUP($E3540,'Fuel Category and Heat Rate'!$K$2:$M$36,3,FALSE),"")</f>
        <v>LPG propane or butane</v>
      </c>
    </row>
    <row r="3541" spans="1:9" x14ac:dyDescent="0.15">
      <c r="A3541" s="2">
        <v>405697</v>
      </c>
      <c r="B3541" s="2" t="s">
        <v>87</v>
      </c>
      <c r="C3541" s="2">
        <v>2022</v>
      </c>
      <c r="D3541" s="2" t="s">
        <v>1</v>
      </c>
      <c r="E3541" s="2" t="s">
        <v>22</v>
      </c>
      <c r="F3541" s="2" t="s">
        <v>35</v>
      </c>
      <c r="G3541" s="7"/>
      <c r="H3541" s="13" t="str">
        <f>IFERROR(IF(ABS($G3541)&gt;0,VLOOKUP($E3541,'Fuel Category and Heat Rate'!$B$1:$G$34,6,FALSE)*($G3541),""),"")</f>
        <v/>
      </c>
      <c r="I3541" t="str">
        <f>IFERROR(VLOOKUP($E3541,'Fuel Category and Heat Rate'!$K$2:$M$36,3,FALSE),"")</f>
        <v>heavy fuel oil</v>
      </c>
    </row>
    <row r="3542" spans="1:9" x14ac:dyDescent="0.15">
      <c r="A3542" s="2">
        <v>405732</v>
      </c>
      <c r="B3542" s="2" t="s">
        <v>87</v>
      </c>
      <c r="C3542" s="2">
        <v>2022</v>
      </c>
      <c r="D3542" s="2" t="s">
        <v>1</v>
      </c>
      <c r="E3542" s="2" t="s">
        <v>20</v>
      </c>
      <c r="F3542" s="2" t="s">
        <v>35</v>
      </c>
      <c r="G3542" s="7"/>
      <c r="H3542" s="13" t="str">
        <f>IFERROR(IF(ABS($G3542)&gt;0,VLOOKUP($E3542,'Fuel Category and Heat Rate'!$B$1:$G$34,6,FALSE)*($G3542),""),"")</f>
        <v/>
      </c>
      <c r="I3542" t="str">
        <f>IFERROR(VLOOKUP($E3542,'Fuel Category and Heat Rate'!$K$2:$M$36,3,FALSE),"")</f>
        <v>LPG propane or butane</v>
      </c>
    </row>
    <row r="3543" spans="1:9" x14ac:dyDescent="0.15">
      <c r="A3543" s="2">
        <v>405767</v>
      </c>
      <c r="B3543" s="2" t="s">
        <v>87</v>
      </c>
      <c r="C3543" s="2">
        <v>2022</v>
      </c>
      <c r="D3543" s="2" t="s">
        <v>1</v>
      </c>
      <c r="E3543" s="2" t="s">
        <v>25</v>
      </c>
      <c r="F3543" s="2" t="s">
        <v>35</v>
      </c>
      <c r="G3543" s="7"/>
      <c r="H3543" s="13" t="str">
        <f>IFERROR(IF(ABS($G3543)&gt;0,VLOOKUP($E3543,'Fuel Category and Heat Rate'!$B$1:$G$34,6,FALSE)*($G3543),""),"")</f>
        <v/>
      </c>
      <c r="I3543" t="str">
        <f>IFERROR(VLOOKUP($E3543,'Fuel Category and Heat Rate'!$K$2:$M$36,3,FALSE),"")</f>
        <v>heavy fuel oil</v>
      </c>
    </row>
    <row r="3544" spans="1:9" x14ac:dyDescent="0.15">
      <c r="A3544" s="2">
        <v>405802</v>
      </c>
      <c r="B3544" s="2" t="s">
        <v>87</v>
      </c>
      <c r="C3544" s="2">
        <v>2022</v>
      </c>
      <c r="D3544" s="2" t="s">
        <v>1</v>
      </c>
      <c r="E3544" s="2" t="s">
        <v>24</v>
      </c>
      <c r="F3544" s="2" t="s">
        <v>35</v>
      </c>
      <c r="G3544" s="7"/>
      <c r="H3544" s="13" t="str">
        <f>IFERROR(IF(ABS($G3544)&gt;0,VLOOKUP($E3544,'Fuel Category and Heat Rate'!$B$1:$G$34,6,FALSE)*($G3544),""),"")</f>
        <v/>
      </c>
      <c r="I3544" t="str">
        <f>IFERROR(VLOOKUP($E3544,'Fuel Category and Heat Rate'!$K$2:$M$36,3,FALSE),"")</f>
        <v>heavy fuel oil</v>
      </c>
    </row>
    <row r="3545" spans="1:9" x14ac:dyDescent="0.15">
      <c r="A3545" s="2">
        <v>405837</v>
      </c>
      <c r="B3545" s="2" t="s">
        <v>87</v>
      </c>
      <c r="C3545" s="2">
        <v>2022</v>
      </c>
      <c r="D3545" s="2" t="s">
        <v>1</v>
      </c>
      <c r="E3545" s="2" t="s">
        <v>29</v>
      </c>
      <c r="F3545" s="2" t="s">
        <v>36</v>
      </c>
      <c r="G3545" s="7">
        <v>-6.6</v>
      </c>
      <c r="H3545" s="13">
        <f>IFERROR(IF(ABS($G3545)&gt;0,VLOOKUP($E3545,'Fuel Category and Heat Rate'!$B$1:$G$34,6,FALSE)*($G3545),""),"")</f>
        <v>-22260214945019.262</v>
      </c>
      <c r="I3545" t="str">
        <f>IFERROR(VLOOKUP($E3545,'Fuel Category and Heat Rate'!$K$2:$M$36,3,FALSE),"")</f>
        <v>natural gas</v>
      </c>
    </row>
    <row r="3546" spans="1:9" x14ac:dyDescent="0.15">
      <c r="A3546" s="2">
        <v>405872</v>
      </c>
      <c r="B3546" s="2" t="s">
        <v>87</v>
      </c>
      <c r="C3546" s="2">
        <v>2022</v>
      </c>
      <c r="D3546" s="2" t="s">
        <v>1</v>
      </c>
      <c r="E3546" s="2" t="s">
        <v>4</v>
      </c>
      <c r="F3546" s="2" t="s">
        <v>35</v>
      </c>
      <c r="G3546" s="7"/>
      <c r="H3546" s="13" t="str">
        <f>IFERROR(IF(ABS($G3546)&gt;0,VLOOKUP($E3546,'Fuel Category and Heat Rate'!$B$1:$G$34,6,FALSE)*($G3546),""),"")</f>
        <v/>
      </c>
      <c r="I3546" t="str">
        <f>IFERROR(VLOOKUP($E3546,'Fuel Category and Heat Rate'!$K$2:$M$36,3,FALSE),"")</f>
        <v>coal</v>
      </c>
    </row>
    <row r="3547" spans="1:9" x14ac:dyDescent="0.15">
      <c r="A3547" s="2">
        <v>405907</v>
      </c>
      <c r="B3547" s="2" t="s">
        <v>87</v>
      </c>
      <c r="C3547" s="2">
        <v>2022</v>
      </c>
      <c r="D3547" s="2" t="s">
        <v>1</v>
      </c>
      <c r="E3547" s="2" t="s">
        <v>6</v>
      </c>
      <c r="F3547" s="2" t="s">
        <v>35</v>
      </c>
      <c r="G3547" s="7"/>
      <c r="H3547" s="13" t="str">
        <f>IFERROR(IF(ABS($G3547)&gt;0,VLOOKUP($E3547,'Fuel Category and Heat Rate'!$B$1:$G$34,6,FALSE)*($G3547),""),"")</f>
        <v/>
      </c>
      <c r="I3547" t="str">
        <f>IFERROR(VLOOKUP($E3547,'Fuel Category and Heat Rate'!$K$2:$M$36,3,FALSE),"")</f>
        <v>coal</v>
      </c>
    </row>
    <row r="3548" spans="1:9" x14ac:dyDescent="0.15">
      <c r="A3548" s="2">
        <v>405942</v>
      </c>
      <c r="B3548" s="2" t="s">
        <v>87</v>
      </c>
      <c r="C3548" s="2">
        <v>2022</v>
      </c>
      <c r="D3548" s="2" t="s">
        <v>1</v>
      </c>
      <c r="E3548" s="2" t="s">
        <v>26</v>
      </c>
      <c r="F3548" s="2" t="s">
        <v>35</v>
      </c>
      <c r="G3548" s="7"/>
      <c r="H3548" s="13" t="str">
        <f>IFERROR(IF(ABS($G3548)&gt;0,VLOOKUP($E3548,'Fuel Category and Heat Rate'!$B$1:$G$34,6,FALSE)*($G3548),""),"")</f>
        <v/>
      </c>
      <c r="I3548" t="str">
        <f>IFERROR(VLOOKUP($E3548,'Fuel Category and Heat Rate'!$K$2:$M$36,3,FALSE),"")</f>
        <v>LPG propane or butane</v>
      </c>
    </row>
    <row r="3549" spans="1:9" x14ac:dyDescent="0.15">
      <c r="A3549" s="2">
        <v>405977</v>
      </c>
      <c r="B3549" s="2" t="s">
        <v>87</v>
      </c>
      <c r="C3549" s="2">
        <v>2022</v>
      </c>
      <c r="D3549" s="2" t="s">
        <v>1</v>
      </c>
      <c r="E3549" s="2" t="s">
        <v>30</v>
      </c>
      <c r="F3549" s="2" t="s">
        <v>35</v>
      </c>
      <c r="G3549" s="7">
        <v>-0.16</v>
      </c>
      <c r="H3549" s="13">
        <f>IFERROR(IF(ABS($G3549)&gt;0,VLOOKUP($E3549,'Fuel Category and Heat Rate'!$B$1:$G$34,6,FALSE)*($G3549),""),"")</f>
        <v>-78000041419.608276</v>
      </c>
      <c r="I3549" t="str">
        <f>IFERROR(VLOOKUP($E3549,'Fuel Category and Heat Rate'!$K$2:$M$36,3,FALSE),"")</f>
        <v>natural gas</v>
      </c>
    </row>
    <row r="3550" spans="1:9" x14ac:dyDescent="0.15">
      <c r="A3550" s="2">
        <v>406012</v>
      </c>
      <c r="B3550" s="2" t="s">
        <v>87</v>
      </c>
      <c r="C3550" s="2">
        <v>2022</v>
      </c>
      <c r="D3550" s="2" t="s">
        <v>1</v>
      </c>
      <c r="E3550" s="2" t="s">
        <v>14</v>
      </c>
      <c r="F3550" s="2" t="s">
        <v>35</v>
      </c>
      <c r="G3550" s="7">
        <v>-0.12</v>
      </c>
      <c r="H3550" s="13">
        <f>IFERROR(IF(ABS($G3550)&gt;0,VLOOKUP($E3550,'Fuel Category and Heat Rate'!$B$1:$G$34,6,FALSE)*($G3550),""),"")</f>
        <v>0</v>
      </c>
      <c r="I3550" t="str">
        <f>IFERROR(VLOOKUP($E3550,'Fuel Category and Heat Rate'!$K$2:$M$36,3,FALSE),"")</f>
        <v/>
      </c>
    </row>
    <row r="3551" spans="1:9" x14ac:dyDescent="0.15">
      <c r="A3551" s="2">
        <v>406047</v>
      </c>
      <c r="B3551" s="2" t="s">
        <v>87</v>
      </c>
      <c r="C3551" s="2">
        <v>2022</v>
      </c>
      <c r="D3551" s="2" t="s">
        <v>1</v>
      </c>
      <c r="E3551" s="2" t="s">
        <v>3</v>
      </c>
      <c r="F3551" s="2" t="s">
        <v>35</v>
      </c>
      <c r="G3551" s="7">
        <v>-2831.77</v>
      </c>
      <c r="H3551" s="13">
        <f>IFERROR(IF(ABS($G3551)&gt;0,VLOOKUP($E3551,'Fuel Category and Heat Rate'!$B$1:$G$34,6,FALSE)*($G3551),""),"")</f>
        <v>-561170739539522.94</v>
      </c>
      <c r="I3551" t="str">
        <f>IFERROR(VLOOKUP($E3551,'Fuel Category and Heat Rate'!$K$2:$M$36,3,FALSE),"")</f>
        <v>coal</v>
      </c>
    </row>
    <row r="3552" spans="1:9" x14ac:dyDescent="0.15">
      <c r="A3552" s="2">
        <v>406082</v>
      </c>
      <c r="B3552" s="2" t="s">
        <v>87</v>
      </c>
      <c r="C3552" s="2">
        <v>2022</v>
      </c>
      <c r="D3552" s="2" t="s">
        <v>1</v>
      </c>
      <c r="E3552" s="2" t="s">
        <v>15</v>
      </c>
      <c r="F3552" s="2" t="s">
        <v>35</v>
      </c>
      <c r="G3552" s="7"/>
      <c r="H3552" s="13" t="str">
        <f>IFERROR(IF(ABS($G3552)&gt;0,VLOOKUP($E3552,'Fuel Category and Heat Rate'!$B$1:$G$34,6,FALSE)*($G3552),""),"")</f>
        <v/>
      </c>
      <c r="I3552" t="str">
        <f>IFERROR(VLOOKUP($E3552,'Fuel Category and Heat Rate'!$K$2:$M$36,3,FALSE),"")</f>
        <v>crude oil</v>
      </c>
    </row>
    <row r="3553" spans="1:9" x14ac:dyDescent="0.15">
      <c r="A3553" s="2">
        <v>406117</v>
      </c>
      <c r="B3553" s="2" t="s">
        <v>87</v>
      </c>
      <c r="C3553" s="2">
        <v>2022</v>
      </c>
      <c r="D3553" s="2" t="s">
        <v>1</v>
      </c>
      <c r="E3553" s="2" t="s">
        <v>11</v>
      </c>
      <c r="F3553" s="2" t="s">
        <v>36</v>
      </c>
      <c r="G3553" s="7">
        <v>-0.15</v>
      </c>
      <c r="H3553" s="13">
        <f>IFERROR(IF(ABS($G3553)&gt;0,VLOOKUP($E3553,'Fuel Category and Heat Rate'!$B$1:$G$34,6,FALSE)*($G3553),""),"")</f>
        <v>-112956105593.84132</v>
      </c>
      <c r="I3553" t="str">
        <f>IFERROR(VLOOKUP($E3553,'Fuel Category and Heat Rate'!$K$2:$M$36,3,FALSE),"")</f>
        <v>LPG propane or butane</v>
      </c>
    </row>
    <row r="3554" spans="1:9" x14ac:dyDescent="0.15">
      <c r="A3554" s="2">
        <v>406152</v>
      </c>
      <c r="B3554" s="2" t="s">
        <v>87</v>
      </c>
      <c r="C3554" s="2">
        <v>2021</v>
      </c>
      <c r="D3554" s="2" t="s">
        <v>1</v>
      </c>
      <c r="E3554" s="2" t="s">
        <v>18</v>
      </c>
      <c r="F3554" s="2" t="s">
        <v>35</v>
      </c>
      <c r="G3554" s="7">
        <v>-0.04</v>
      </c>
      <c r="H3554" s="13">
        <f>IFERROR(IF(ABS($G3554)&gt;0,VLOOKUP($E3554,'Fuel Category and Heat Rate'!$B$1:$G$34,6,FALSE)*($G3554),""),"")</f>
        <v>-16170518366.397381</v>
      </c>
      <c r="I3554" t="str">
        <f>IFERROR(VLOOKUP($E3554,'Fuel Category and Heat Rate'!$K$2:$M$36,3,FALSE),"")</f>
        <v>petroleum diesel</v>
      </c>
    </row>
    <row r="3555" spans="1:9" x14ac:dyDescent="0.15">
      <c r="A3555" s="2">
        <v>406187</v>
      </c>
      <c r="B3555" s="2" t="s">
        <v>87</v>
      </c>
      <c r="C3555" s="2">
        <v>2021</v>
      </c>
      <c r="D3555" s="2" t="s">
        <v>1</v>
      </c>
      <c r="E3555" s="2" t="s">
        <v>32</v>
      </c>
      <c r="F3555" s="2" t="s">
        <v>65</v>
      </c>
      <c r="G3555" s="7"/>
      <c r="H3555" s="13" t="str">
        <f>IFERROR(IF(ABS($G3555)&gt;0,VLOOKUP($E3555,'Fuel Category and Heat Rate'!$B$1:$G$34,6,FALSE)*($G3555),""),"")</f>
        <v/>
      </c>
      <c r="I3555" t="str">
        <f>IFERROR(VLOOKUP($E3555,'Fuel Category and Heat Rate'!$K$2:$M$36,3,FALSE),"")</f>
        <v>electricity</v>
      </c>
    </row>
    <row r="3556" spans="1:9" x14ac:dyDescent="0.15">
      <c r="A3556" s="2">
        <v>406222</v>
      </c>
      <c r="B3556" s="2" t="s">
        <v>87</v>
      </c>
      <c r="C3556" s="2">
        <v>2021</v>
      </c>
      <c r="D3556" s="2" t="s">
        <v>1</v>
      </c>
      <c r="E3556" s="2" t="s">
        <v>10</v>
      </c>
      <c r="F3556" s="2" t="s">
        <v>36</v>
      </c>
      <c r="G3556" s="7">
        <v>-10.15</v>
      </c>
      <c r="H3556" s="13">
        <f>IFERROR(IF(ABS($G3556)&gt;0,VLOOKUP($E3556,'Fuel Category and Heat Rate'!$B$1:$G$34,6,FALSE)*($G3556),""),"")</f>
        <v>-3620135370084.9106</v>
      </c>
      <c r="I3556" t="str">
        <f>IFERROR(VLOOKUP($E3556,'Fuel Category and Heat Rate'!$K$2:$M$36,3,FALSE),"")</f>
        <v>LPG propane or butane</v>
      </c>
    </row>
    <row r="3557" spans="1:9" x14ac:dyDescent="0.15">
      <c r="A3557" s="2">
        <v>406257</v>
      </c>
      <c r="B3557" s="2" t="s">
        <v>87</v>
      </c>
      <c r="C3557" s="2">
        <v>2021</v>
      </c>
      <c r="D3557" s="2" t="s">
        <v>1</v>
      </c>
      <c r="E3557" s="2" t="s">
        <v>9</v>
      </c>
      <c r="F3557" s="2" t="s">
        <v>36</v>
      </c>
      <c r="G3557" s="7">
        <v>-1.41</v>
      </c>
      <c r="H3557" s="13">
        <f>IFERROR(IF(ABS($G3557)&gt;0,VLOOKUP($E3557,'Fuel Category and Heat Rate'!$B$1:$G$34,6,FALSE)*($G3557),""),"")</f>
        <v>-2319160165786.4844</v>
      </c>
      <c r="I3557" t="str">
        <f>IFERROR(VLOOKUP($E3557,'Fuel Category and Heat Rate'!$K$2:$M$36,3,FALSE),"")</f>
        <v>LPG propane or butane</v>
      </c>
    </row>
    <row r="3558" spans="1:9" x14ac:dyDescent="0.15">
      <c r="A3558" s="2">
        <v>406292</v>
      </c>
      <c r="B3558" s="2" t="s">
        <v>87</v>
      </c>
      <c r="C3558" s="2">
        <v>2021</v>
      </c>
      <c r="D3558" s="2" t="s">
        <v>1</v>
      </c>
      <c r="E3558" s="2" t="s">
        <v>8</v>
      </c>
      <c r="F3558" s="2" t="s">
        <v>35</v>
      </c>
      <c r="G3558" s="7"/>
      <c r="H3558" s="13" t="str">
        <f>IFERROR(IF(ABS($G3558)&gt;0,VLOOKUP($E3558,'Fuel Category and Heat Rate'!$B$1:$G$34,6,FALSE)*($G3558),""),"")</f>
        <v/>
      </c>
      <c r="I3558" t="str">
        <f>IFERROR(VLOOKUP($E3558,'Fuel Category and Heat Rate'!$K$2:$M$36,3,FALSE),"")</f>
        <v>coal</v>
      </c>
    </row>
    <row r="3559" spans="1:9" x14ac:dyDescent="0.15">
      <c r="A3559" s="2">
        <v>406327</v>
      </c>
      <c r="B3559" s="2" t="s">
        <v>87</v>
      </c>
      <c r="C3559" s="2">
        <v>2021</v>
      </c>
      <c r="D3559" s="2" t="s">
        <v>1</v>
      </c>
      <c r="E3559" s="2" t="s">
        <v>27</v>
      </c>
      <c r="F3559" s="2" t="s">
        <v>35</v>
      </c>
      <c r="G3559" s="7"/>
      <c r="H3559" s="13" t="str">
        <f>IFERROR(IF(ABS($G3559)&gt;0,VLOOKUP($E3559,'Fuel Category and Heat Rate'!$B$1:$G$34,6,FALSE)*($G3559),""),"")</f>
        <v/>
      </c>
      <c r="I3559" t="str">
        <f>IFERROR(VLOOKUP($E3559,'Fuel Category and Heat Rate'!$K$2:$M$36,3,FALSE),"")</f>
        <v>LPG propane or butane</v>
      </c>
    </row>
    <row r="3560" spans="1:9" x14ac:dyDescent="0.15">
      <c r="A3560" s="2">
        <v>406362</v>
      </c>
      <c r="B3560" s="2" t="s">
        <v>87</v>
      </c>
      <c r="C3560" s="2">
        <v>2021</v>
      </c>
      <c r="D3560" s="2" t="s">
        <v>1</v>
      </c>
      <c r="E3560" s="2" t="s">
        <v>7</v>
      </c>
      <c r="F3560" s="2" t="s">
        <v>35</v>
      </c>
      <c r="G3560" s="7">
        <v>-207.21</v>
      </c>
      <c r="H3560" s="13">
        <f>IFERROR(IF(ABS($G3560)&gt;0,VLOOKUP($E3560,'Fuel Category and Heat Rate'!$B$1:$G$34,6,FALSE)*($G3560),""),"")</f>
        <v>-16446300354621.039</v>
      </c>
      <c r="I3560" t="str">
        <f>IFERROR(VLOOKUP($E3560,'Fuel Category and Heat Rate'!$K$2:$M$36,3,FALSE),"")</f>
        <v>coal</v>
      </c>
    </row>
    <row r="3561" spans="1:9" x14ac:dyDescent="0.15">
      <c r="A3561" s="2">
        <v>406397</v>
      </c>
      <c r="B3561" s="2" t="s">
        <v>87</v>
      </c>
      <c r="C3561" s="2">
        <v>2021</v>
      </c>
      <c r="D3561" s="2" t="s">
        <v>1</v>
      </c>
      <c r="E3561" s="2" t="s">
        <v>2</v>
      </c>
      <c r="F3561" s="2" t="s">
        <v>35</v>
      </c>
      <c r="G3561" s="7">
        <v>-3123.2</v>
      </c>
      <c r="H3561" s="13">
        <f>IFERROR(IF(ABS($G3561)&gt;0,VLOOKUP($E3561,'Fuel Category and Heat Rate'!$B$1:$G$34,6,FALSE)*($G3561),""),"")</f>
        <v>0</v>
      </c>
      <c r="I3561" t="str">
        <f>IFERROR(VLOOKUP($E3561,'Fuel Category and Heat Rate'!$K$2:$M$36,3,FALSE),"")</f>
        <v/>
      </c>
    </row>
    <row r="3562" spans="1:9" x14ac:dyDescent="0.15">
      <c r="A3562" s="2">
        <v>406432</v>
      </c>
      <c r="B3562" s="2" t="s">
        <v>87</v>
      </c>
      <c r="C3562" s="2">
        <v>2021</v>
      </c>
      <c r="D3562" s="2" t="s">
        <v>1</v>
      </c>
      <c r="E3562" s="2" t="s">
        <v>17</v>
      </c>
      <c r="F3562" s="2" t="s">
        <v>35</v>
      </c>
      <c r="G3562" s="7"/>
      <c r="H3562" s="13" t="str">
        <f>IFERROR(IF(ABS($G3562)&gt;0,VLOOKUP($E3562,'Fuel Category and Heat Rate'!$B$1:$G$34,6,FALSE)*($G3562),""),"")</f>
        <v/>
      </c>
      <c r="I3562" t="str">
        <f>IFERROR(VLOOKUP($E3562,'Fuel Category and Heat Rate'!$K$2:$M$36,3,FALSE),"")</f>
        <v>petroleum diesel</v>
      </c>
    </row>
    <row r="3563" spans="1:9" x14ac:dyDescent="0.15">
      <c r="A3563" s="2">
        <v>406467</v>
      </c>
      <c r="B3563" s="2" t="s">
        <v>87</v>
      </c>
      <c r="C3563" s="2">
        <v>2021</v>
      </c>
      <c r="D3563" s="2" t="s">
        <v>1</v>
      </c>
      <c r="E3563" s="2" t="s">
        <v>13</v>
      </c>
      <c r="F3563" s="2" t="s">
        <v>35</v>
      </c>
      <c r="G3563" s="7"/>
      <c r="H3563" s="13" t="str">
        <f>IFERROR(IF(ABS($G3563)&gt;0,VLOOKUP($E3563,'Fuel Category and Heat Rate'!$B$1:$G$34,6,FALSE)*($G3563),""),"")</f>
        <v/>
      </c>
      <c r="I3563" t="str">
        <f>IFERROR(VLOOKUP($E3563,'Fuel Category and Heat Rate'!$K$2:$M$36,3,FALSE),"")</f>
        <v>petroleum diesel</v>
      </c>
    </row>
    <row r="3564" spans="1:9" x14ac:dyDescent="0.15">
      <c r="A3564" s="2">
        <v>406502</v>
      </c>
      <c r="B3564" s="2" t="s">
        <v>87</v>
      </c>
      <c r="C3564" s="2">
        <v>2021</v>
      </c>
      <c r="D3564" s="2" t="s">
        <v>1</v>
      </c>
      <c r="E3564" s="2" t="s">
        <v>12</v>
      </c>
      <c r="F3564" s="2" t="s">
        <v>36</v>
      </c>
      <c r="G3564" s="7">
        <v>-2.29</v>
      </c>
      <c r="H3564" s="13">
        <f>IFERROR(IF(ABS($G3564)&gt;0,VLOOKUP($E3564,'Fuel Category and Heat Rate'!$B$1:$G$34,6,FALSE)*($G3564),""),"")</f>
        <v>-1134520982941.3298</v>
      </c>
      <c r="I3564" t="str">
        <f>IFERROR(VLOOKUP($E3564,'Fuel Category and Heat Rate'!$K$2:$M$36,3,FALSE),"")</f>
        <v>LPG propane or butane</v>
      </c>
    </row>
    <row r="3565" spans="1:9" x14ac:dyDescent="0.15">
      <c r="A3565" s="2">
        <v>406537</v>
      </c>
      <c r="B3565" s="2" t="s">
        <v>87</v>
      </c>
      <c r="C3565" s="2">
        <v>2021</v>
      </c>
      <c r="D3565" s="2" t="s">
        <v>1</v>
      </c>
      <c r="E3565" s="2" t="s">
        <v>33</v>
      </c>
      <c r="F3565" s="2" t="s">
        <v>38</v>
      </c>
      <c r="G3565" s="7">
        <v>-14.57</v>
      </c>
      <c r="H3565" s="13">
        <f>IFERROR(IF(ABS($G3565)&gt;0,VLOOKUP($E3565,'Fuel Category and Heat Rate'!$B$1:$G$34,6,FALSE)*($G3565),""),"")</f>
        <v>-4042235963148.3013</v>
      </c>
      <c r="I3565" t="str">
        <f>IFERROR(VLOOKUP($E3565,'Fuel Category and Heat Rate'!$K$2:$M$36,3,FALSE),"")</f>
        <v>biomass</v>
      </c>
    </row>
    <row r="3566" spans="1:9" x14ac:dyDescent="0.15">
      <c r="A3566" s="2">
        <v>406572</v>
      </c>
      <c r="B3566" s="2" t="s">
        <v>87</v>
      </c>
      <c r="C3566" s="2">
        <v>2021</v>
      </c>
      <c r="D3566" s="2" t="s">
        <v>1</v>
      </c>
      <c r="E3566" s="2" t="s">
        <v>28</v>
      </c>
      <c r="F3566" s="2" t="s">
        <v>35</v>
      </c>
      <c r="G3566" s="7"/>
      <c r="H3566" s="13" t="str">
        <f>IFERROR(IF(ABS($G3566)&gt;0,VLOOKUP($E3566,'Fuel Category and Heat Rate'!$B$1:$G$34,6,FALSE)*($G3566),""),"")</f>
        <v/>
      </c>
      <c r="I3566" t="str">
        <f>IFERROR(VLOOKUP($E3566,'Fuel Category and Heat Rate'!$K$2:$M$36,3,FALSE),"")</f>
        <v>heavy or residual fuel oil</v>
      </c>
    </row>
    <row r="3567" spans="1:9" x14ac:dyDescent="0.15">
      <c r="A3567" s="2">
        <v>406607</v>
      </c>
      <c r="B3567" s="2" t="s">
        <v>87</v>
      </c>
      <c r="C3567" s="2">
        <v>2021</v>
      </c>
      <c r="D3567" s="2" t="s">
        <v>1</v>
      </c>
      <c r="E3567" s="2" t="s">
        <v>5</v>
      </c>
      <c r="F3567" s="2" t="s">
        <v>35</v>
      </c>
      <c r="G3567" s="7">
        <v>-695.79</v>
      </c>
      <c r="H3567" s="13">
        <f>IFERROR(IF(ABS($G3567)&gt;0,VLOOKUP($E3567,'Fuel Category and Heat Rate'!$B$1:$G$34,6,FALSE)*($G3567),""),"")</f>
        <v>-55152452545521.633</v>
      </c>
      <c r="I3567" t="str">
        <f>IFERROR(VLOOKUP($E3567,'Fuel Category and Heat Rate'!$K$2:$M$36,3,FALSE),"")</f>
        <v>coal</v>
      </c>
    </row>
    <row r="3568" spans="1:9" x14ac:dyDescent="0.15">
      <c r="A3568" s="2">
        <v>406642</v>
      </c>
      <c r="B3568" s="2" t="s">
        <v>87</v>
      </c>
      <c r="C3568" s="2">
        <v>2021</v>
      </c>
      <c r="D3568" s="2" t="s">
        <v>1</v>
      </c>
      <c r="E3568" s="2" t="s">
        <v>16</v>
      </c>
      <c r="F3568" s="2" t="s">
        <v>35</v>
      </c>
      <c r="G3568" s="7"/>
      <c r="H3568" s="13" t="str">
        <f>IFERROR(IF(ABS($G3568)&gt;0,VLOOKUP($E3568,'Fuel Category and Heat Rate'!$B$1:$G$34,6,FALSE)*($G3568),""),"")</f>
        <v/>
      </c>
      <c r="I3568" t="str">
        <f>IFERROR(VLOOKUP($E3568,'Fuel Category and Heat Rate'!$K$2:$M$36,3,FALSE),"")</f>
        <v>petroleum diesel</v>
      </c>
    </row>
    <row r="3569" spans="1:9" x14ac:dyDescent="0.15">
      <c r="A3569" s="2">
        <v>406677</v>
      </c>
      <c r="B3569" s="2" t="s">
        <v>87</v>
      </c>
      <c r="C3569" s="2">
        <v>2021</v>
      </c>
      <c r="D3569" s="2" t="s">
        <v>1</v>
      </c>
      <c r="E3569" s="2" t="s">
        <v>19</v>
      </c>
      <c r="F3569" s="2" t="s">
        <v>35</v>
      </c>
      <c r="G3569" s="7">
        <v>-0.01</v>
      </c>
      <c r="H3569" s="13">
        <f>IFERROR(IF(ABS($G3569)&gt;0,VLOOKUP($E3569,'Fuel Category and Heat Rate'!$B$1:$G$34,6,FALSE)*($G3569),""),"")</f>
        <v>-3963392080.144383</v>
      </c>
      <c r="I3569" t="str">
        <f>IFERROR(VLOOKUP($E3569,'Fuel Category and Heat Rate'!$K$2:$M$36,3,FALSE),"")</f>
        <v>heavy or residual fuel oil</v>
      </c>
    </row>
    <row r="3570" spans="1:9" x14ac:dyDescent="0.15">
      <c r="A3570" s="2">
        <v>406712</v>
      </c>
      <c r="B3570" s="2" t="s">
        <v>87</v>
      </c>
      <c r="C3570" s="2">
        <v>2021</v>
      </c>
      <c r="D3570" s="2" t="s">
        <v>1</v>
      </c>
      <c r="E3570" s="2" t="s">
        <v>31</v>
      </c>
      <c r="F3570" s="2" t="s">
        <v>37</v>
      </c>
      <c r="G3570" s="7">
        <v>32785.769999999997</v>
      </c>
      <c r="H3570" s="13">
        <f>IFERROR(IF(ABS($G3570)&gt;0,VLOOKUP($E3570,'Fuel Category and Heat Rate'!$B$1:$G$34,6,FALSE)*($G3570),""),"")</f>
        <v>310749141858224.81</v>
      </c>
      <c r="I3570" t="str">
        <f>IFERROR(VLOOKUP($E3570,'Fuel Category and Heat Rate'!$K$2:$M$36,3,FALSE),"")</f>
        <v>heat</v>
      </c>
    </row>
    <row r="3571" spans="1:9" x14ac:dyDescent="0.15">
      <c r="A3571" s="2">
        <v>406747</v>
      </c>
      <c r="B3571" s="2" t="s">
        <v>87</v>
      </c>
      <c r="C3571" s="2">
        <v>2021</v>
      </c>
      <c r="D3571" s="2" t="s">
        <v>1</v>
      </c>
      <c r="E3571" s="2" t="s">
        <v>23</v>
      </c>
      <c r="F3571" s="2" t="s">
        <v>35</v>
      </c>
      <c r="G3571" s="7"/>
      <c r="H3571" s="13" t="str">
        <f>IFERROR(IF(ABS($G3571)&gt;0,VLOOKUP($E3571,'Fuel Category and Heat Rate'!$B$1:$G$34,6,FALSE)*($G3571),""),"")</f>
        <v/>
      </c>
      <c r="I3571" t="str">
        <f>IFERROR(VLOOKUP($E3571,'Fuel Category and Heat Rate'!$K$2:$M$36,3,FALSE),"")</f>
        <v>heavy or residual fuel oil</v>
      </c>
    </row>
    <row r="3572" spans="1:9" x14ac:dyDescent="0.15">
      <c r="A3572" s="2">
        <v>406782</v>
      </c>
      <c r="B3572" s="2" t="s">
        <v>87</v>
      </c>
      <c r="C3572" s="2">
        <v>2021</v>
      </c>
      <c r="D3572" s="2" t="s">
        <v>1</v>
      </c>
      <c r="E3572" s="2" t="s">
        <v>21</v>
      </c>
      <c r="F3572" s="2" t="s">
        <v>35</v>
      </c>
      <c r="G3572" s="7"/>
      <c r="H3572" s="13" t="str">
        <f>IFERROR(IF(ABS($G3572)&gt;0,VLOOKUP($E3572,'Fuel Category and Heat Rate'!$B$1:$G$34,6,FALSE)*($G3572),""),"")</f>
        <v/>
      </c>
      <c r="I3572" t="str">
        <f>IFERROR(VLOOKUP($E3572,'Fuel Category and Heat Rate'!$K$2:$M$36,3,FALSE),"")</f>
        <v>LPG propane or butane</v>
      </c>
    </row>
    <row r="3573" spans="1:9" x14ac:dyDescent="0.15">
      <c r="A3573" s="2">
        <v>406817</v>
      </c>
      <c r="B3573" s="2" t="s">
        <v>87</v>
      </c>
      <c r="C3573" s="2">
        <v>2021</v>
      </c>
      <c r="D3573" s="2" t="s">
        <v>1</v>
      </c>
      <c r="E3573" s="2" t="s">
        <v>22</v>
      </c>
      <c r="F3573" s="2" t="s">
        <v>35</v>
      </c>
      <c r="G3573" s="7"/>
      <c r="H3573" s="13" t="str">
        <f>IFERROR(IF(ABS($G3573)&gt;0,VLOOKUP($E3573,'Fuel Category and Heat Rate'!$B$1:$G$34,6,FALSE)*($G3573),""),"")</f>
        <v/>
      </c>
      <c r="I3573" t="str">
        <f>IFERROR(VLOOKUP($E3573,'Fuel Category and Heat Rate'!$K$2:$M$36,3,FALSE),"")</f>
        <v>heavy fuel oil</v>
      </c>
    </row>
    <row r="3574" spans="1:9" x14ac:dyDescent="0.15">
      <c r="A3574" s="2">
        <v>406852</v>
      </c>
      <c r="B3574" s="2" t="s">
        <v>87</v>
      </c>
      <c r="C3574" s="2">
        <v>2021</v>
      </c>
      <c r="D3574" s="2" t="s">
        <v>1</v>
      </c>
      <c r="E3574" s="2" t="s">
        <v>20</v>
      </c>
      <c r="F3574" s="2" t="s">
        <v>35</v>
      </c>
      <c r="G3574" s="7"/>
      <c r="H3574" s="13" t="str">
        <f>IFERROR(IF(ABS($G3574)&gt;0,VLOOKUP($E3574,'Fuel Category and Heat Rate'!$B$1:$G$34,6,FALSE)*($G3574),""),"")</f>
        <v/>
      </c>
      <c r="I3574" t="str">
        <f>IFERROR(VLOOKUP($E3574,'Fuel Category and Heat Rate'!$K$2:$M$36,3,FALSE),"")</f>
        <v>LPG propane or butane</v>
      </c>
    </row>
    <row r="3575" spans="1:9" x14ac:dyDescent="0.15">
      <c r="A3575" s="2">
        <v>406887</v>
      </c>
      <c r="B3575" s="2" t="s">
        <v>87</v>
      </c>
      <c r="C3575" s="2">
        <v>2021</v>
      </c>
      <c r="D3575" s="2" t="s">
        <v>1</v>
      </c>
      <c r="E3575" s="2" t="s">
        <v>25</v>
      </c>
      <c r="F3575" s="2" t="s">
        <v>35</v>
      </c>
      <c r="G3575" s="7"/>
      <c r="H3575" s="13" t="str">
        <f>IFERROR(IF(ABS($G3575)&gt;0,VLOOKUP($E3575,'Fuel Category and Heat Rate'!$B$1:$G$34,6,FALSE)*($G3575),""),"")</f>
        <v/>
      </c>
      <c r="I3575" t="str">
        <f>IFERROR(VLOOKUP($E3575,'Fuel Category and Heat Rate'!$K$2:$M$36,3,FALSE),"")</f>
        <v>heavy fuel oil</v>
      </c>
    </row>
    <row r="3576" spans="1:9" x14ac:dyDescent="0.15">
      <c r="A3576" s="2">
        <v>406922</v>
      </c>
      <c r="B3576" s="2" t="s">
        <v>87</v>
      </c>
      <c r="C3576" s="2">
        <v>2021</v>
      </c>
      <c r="D3576" s="2" t="s">
        <v>1</v>
      </c>
      <c r="E3576" s="2" t="s">
        <v>24</v>
      </c>
      <c r="F3576" s="2" t="s">
        <v>35</v>
      </c>
      <c r="G3576" s="7"/>
      <c r="H3576" s="13" t="str">
        <f>IFERROR(IF(ABS($G3576)&gt;0,VLOOKUP($E3576,'Fuel Category and Heat Rate'!$B$1:$G$34,6,FALSE)*($G3576),""),"")</f>
        <v/>
      </c>
      <c r="I3576" t="str">
        <f>IFERROR(VLOOKUP($E3576,'Fuel Category and Heat Rate'!$K$2:$M$36,3,FALSE),"")</f>
        <v>heavy fuel oil</v>
      </c>
    </row>
    <row r="3577" spans="1:9" x14ac:dyDescent="0.15">
      <c r="A3577" s="2">
        <v>406957</v>
      </c>
      <c r="B3577" s="2" t="s">
        <v>87</v>
      </c>
      <c r="C3577" s="2">
        <v>2021</v>
      </c>
      <c r="D3577" s="2" t="s">
        <v>1</v>
      </c>
      <c r="E3577" s="2" t="s">
        <v>29</v>
      </c>
      <c r="F3577" s="2" t="s">
        <v>36</v>
      </c>
      <c r="G3577" s="7">
        <v>-5.19</v>
      </c>
      <c r="H3577" s="13">
        <f>IFERROR(IF(ABS($G3577)&gt;0,VLOOKUP($E3577,'Fuel Category and Heat Rate'!$B$1:$G$34,6,FALSE)*($G3577),""),"")</f>
        <v>-17504623570401.512</v>
      </c>
      <c r="I3577" t="str">
        <f>IFERROR(VLOOKUP($E3577,'Fuel Category and Heat Rate'!$K$2:$M$36,3,FALSE),"")</f>
        <v>natural gas</v>
      </c>
    </row>
    <row r="3578" spans="1:9" x14ac:dyDescent="0.15">
      <c r="A3578" s="2">
        <v>406992</v>
      </c>
      <c r="B3578" s="2" t="s">
        <v>87</v>
      </c>
      <c r="C3578" s="2">
        <v>2021</v>
      </c>
      <c r="D3578" s="2" t="s">
        <v>1</v>
      </c>
      <c r="E3578" s="2" t="s">
        <v>4</v>
      </c>
      <c r="F3578" s="2" t="s">
        <v>35</v>
      </c>
      <c r="G3578" s="7"/>
      <c r="H3578" s="13" t="str">
        <f>IFERROR(IF(ABS($G3578)&gt;0,VLOOKUP($E3578,'Fuel Category and Heat Rate'!$B$1:$G$34,6,FALSE)*($G3578),""),"")</f>
        <v/>
      </c>
      <c r="I3578" t="str">
        <f>IFERROR(VLOOKUP($E3578,'Fuel Category and Heat Rate'!$K$2:$M$36,3,FALSE),"")</f>
        <v>coal</v>
      </c>
    </row>
    <row r="3579" spans="1:9" x14ac:dyDescent="0.15">
      <c r="A3579" s="2">
        <v>407027</v>
      </c>
      <c r="B3579" s="2" t="s">
        <v>87</v>
      </c>
      <c r="C3579" s="2">
        <v>2021</v>
      </c>
      <c r="D3579" s="2" t="s">
        <v>1</v>
      </c>
      <c r="E3579" s="2" t="s">
        <v>6</v>
      </c>
      <c r="F3579" s="2" t="s">
        <v>35</v>
      </c>
      <c r="G3579" s="7"/>
      <c r="H3579" s="13" t="str">
        <f>IFERROR(IF(ABS($G3579)&gt;0,VLOOKUP($E3579,'Fuel Category and Heat Rate'!$B$1:$G$34,6,FALSE)*($G3579),""),"")</f>
        <v/>
      </c>
      <c r="I3579" t="str">
        <f>IFERROR(VLOOKUP($E3579,'Fuel Category and Heat Rate'!$K$2:$M$36,3,FALSE),"")</f>
        <v>coal</v>
      </c>
    </row>
    <row r="3580" spans="1:9" x14ac:dyDescent="0.15">
      <c r="A3580" s="2">
        <v>407062</v>
      </c>
      <c r="B3580" s="2" t="s">
        <v>87</v>
      </c>
      <c r="C3580" s="2">
        <v>2021</v>
      </c>
      <c r="D3580" s="2" t="s">
        <v>1</v>
      </c>
      <c r="E3580" s="2" t="s">
        <v>26</v>
      </c>
      <c r="F3580" s="2" t="s">
        <v>35</v>
      </c>
      <c r="G3580" s="7"/>
      <c r="H3580" s="13" t="str">
        <f>IFERROR(IF(ABS($G3580)&gt;0,VLOOKUP($E3580,'Fuel Category and Heat Rate'!$B$1:$G$34,6,FALSE)*($G3580),""),"")</f>
        <v/>
      </c>
      <c r="I3580" t="str">
        <f>IFERROR(VLOOKUP($E3580,'Fuel Category and Heat Rate'!$K$2:$M$36,3,FALSE),"")</f>
        <v>LPG propane or butane</v>
      </c>
    </row>
    <row r="3581" spans="1:9" x14ac:dyDescent="0.15">
      <c r="A3581" s="2">
        <v>407097</v>
      </c>
      <c r="B3581" s="2" t="s">
        <v>87</v>
      </c>
      <c r="C3581" s="2">
        <v>2021</v>
      </c>
      <c r="D3581" s="2" t="s">
        <v>1</v>
      </c>
      <c r="E3581" s="2" t="s">
        <v>30</v>
      </c>
      <c r="F3581" s="2" t="s">
        <v>35</v>
      </c>
      <c r="G3581" s="7">
        <v>-0.08</v>
      </c>
      <c r="H3581" s="13">
        <f>IFERROR(IF(ABS($G3581)&gt;0,VLOOKUP($E3581,'Fuel Category and Heat Rate'!$B$1:$G$34,6,FALSE)*($G3581),""),"")</f>
        <v>-39000020709.804138</v>
      </c>
      <c r="I3581" t="str">
        <f>IFERROR(VLOOKUP($E3581,'Fuel Category and Heat Rate'!$K$2:$M$36,3,FALSE),"")</f>
        <v>natural gas</v>
      </c>
    </row>
    <row r="3582" spans="1:9" x14ac:dyDescent="0.15">
      <c r="A3582" s="2">
        <v>407132</v>
      </c>
      <c r="B3582" s="2" t="s">
        <v>87</v>
      </c>
      <c r="C3582" s="2">
        <v>2021</v>
      </c>
      <c r="D3582" s="2" t="s">
        <v>1</v>
      </c>
      <c r="E3582" s="2" t="s">
        <v>14</v>
      </c>
      <c r="F3582" s="2" t="s">
        <v>35</v>
      </c>
      <c r="G3582" s="7">
        <v>-0.05</v>
      </c>
      <c r="H3582" s="13">
        <f>IFERROR(IF(ABS($G3582)&gt;0,VLOOKUP($E3582,'Fuel Category and Heat Rate'!$B$1:$G$34,6,FALSE)*($G3582),""),"")</f>
        <v>0</v>
      </c>
      <c r="I3582" t="str">
        <f>IFERROR(VLOOKUP($E3582,'Fuel Category and Heat Rate'!$K$2:$M$36,3,FALSE),"")</f>
        <v/>
      </c>
    </row>
    <row r="3583" spans="1:9" x14ac:dyDescent="0.15">
      <c r="A3583" s="2">
        <v>407167</v>
      </c>
      <c r="B3583" s="2" t="s">
        <v>87</v>
      </c>
      <c r="C3583" s="2">
        <v>2021</v>
      </c>
      <c r="D3583" s="2" t="s">
        <v>1</v>
      </c>
      <c r="E3583" s="2" t="s">
        <v>3</v>
      </c>
      <c r="F3583" s="2" t="s">
        <v>35</v>
      </c>
      <c r="G3583" s="7">
        <v>-2427.41</v>
      </c>
      <c r="H3583" s="13">
        <f>IFERROR(IF(ABS($G3583)&gt;0,VLOOKUP($E3583,'Fuel Category and Heat Rate'!$B$1:$G$34,6,FALSE)*($G3583),""),"")</f>
        <v>-481038878463163.81</v>
      </c>
      <c r="I3583" t="str">
        <f>IFERROR(VLOOKUP($E3583,'Fuel Category and Heat Rate'!$K$2:$M$36,3,FALSE),"")</f>
        <v>coal</v>
      </c>
    </row>
    <row r="3584" spans="1:9" x14ac:dyDescent="0.15">
      <c r="A3584" s="2">
        <v>407202</v>
      </c>
      <c r="B3584" s="2" t="s">
        <v>87</v>
      </c>
      <c r="C3584" s="2">
        <v>2021</v>
      </c>
      <c r="D3584" s="2" t="s">
        <v>1</v>
      </c>
      <c r="E3584" s="2" t="s">
        <v>15</v>
      </c>
      <c r="F3584" s="2" t="s">
        <v>35</v>
      </c>
      <c r="G3584" s="7"/>
      <c r="H3584" s="13" t="str">
        <f>IFERROR(IF(ABS($G3584)&gt;0,VLOOKUP($E3584,'Fuel Category and Heat Rate'!$B$1:$G$34,6,FALSE)*($G3584),""),"")</f>
        <v/>
      </c>
      <c r="I3584" t="str">
        <f>IFERROR(VLOOKUP($E3584,'Fuel Category and Heat Rate'!$K$2:$M$36,3,FALSE),"")</f>
        <v>crude oil</v>
      </c>
    </row>
    <row r="3585" spans="1:9" x14ac:dyDescent="0.15">
      <c r="A3585" s="2">
        <v>407237</v>
      </c>
      <c r="B3585" s="2" t="s">
        <v>87</v>
      </c>
      <c r="C3585" s="2">
        <v>2021</v>
      </c>
      <c r="D3585" s="2" t="s">
        <v>1</v>
      </c>
      <c r="E3585" s="2" t="s">
        <v>11</v>
      </c>
      <c r="F3585" s="2" t="s">
        <v>36</v>
      </c>
      <c r="G3585" s="7">
        <v>-0.69</v>
      </c>
      <c r="H3585" s="13">
        <f>IFERROR(IF(ABS($G3585)&gt;0,VLOOKUP($E3585,'Fuel Category and Heat Rate'!$B$1:$G$34,6,FALSE)*($G3585),""),"")</f>
        <v>-519598085731.67004</v>
      </c>
      <c r="I3585" t="str">
        <f>IFERROR(VLOOKUP($E3585,'Fuel Category and Heat Rate'!$K$2:$M$36,3,FALSE),"")</f>
        <v>LPG propane or butane</v>
      </c>
    </row>
    <row r="3586" spans="1:9" x14ac:dyDescent="0.15">
      <c r="A3586" s="2">
        <v>407272</v>
      </c>
      <c r="B3586" s="2" t="s">
        <v>87</v>
      </c>
      <c r="C3586" s="2">
        <v>2020</v>
      </c>
      <c r="D3586" s="2" t="s">
        <v>1</v>
      </c>
      <c r="E3586" s="2" t="s">
        <v>18</v>
      </c>
      <c r="F3586" s="2" t="s">
        <v>35</v>
      </c>
      <c r="G3586" s="7">
        <v>-0.02</v>
      </c>
      <c r="H3586" s="13">
        <f>IFERROR(IF(ABS($G3586)&gt;0,VLOOKUP($E3586,'Fuel Category and Heat Rate'!$B$1:$G$34,6,FALSE)*($G3586),""),"")</f>
        <v>-8085259183.1986904</v>
      </c>
      <c r="I3586" t="str">
        <f>IFERROR(VLOOKUP($E3586,'Fuel Category and Heat Rate'!$K$2:$M$36,3,FALSE),"")</f>
        <v>petroleum diesel</v>
      </c>
    </row>
    <row r="3587" spans="1:9" x14ac:dyDescent="0.15">
      <c r="A3587" s="2">
        <v>407307</v>
      </c>
      <c r="B3587" s="2" t="s">
        <v>87</v>
      </c>
      <c r="C3587" s="2">
        <v>2020</v>
      </c>
      <c r="D3587" s="2" t="s">
        <v>1</v>
      </c>
      <c r="E3587" s="2" t="s">
        <v>32</v>
      </c>
      <c r="F3587" s="2" t="s">
        <v>65</v>
      </c>
      <c r="G3587" s="7"/>
      <c r="H3587" s="13" t="str">
        <f>IFERROR(IF(ABS($G3587)&gt;0,VLOOKUP($E3587,'Fuel Category and Heat Rate'!$B$1:$G$34,6,FALSE)*($G3587),""),"")</f>
        <v/>
      </c>
      <c r="I3587" t="str">
        <f>IFERROR(VLOOKUP($E3587,'Fuel Category and Heat Rate'!$K$2:$M$36,3,FALSE),"")</f>
        <v>electricity</v>
      </c>
    </row>
    <row r="3588" spans="1:9" x14ac:dyDescent="0.15">
      <c r="A3588" s="2">
        <v>407342</v>
      </c>
      <c r="B3588" s="2" t="s">
        <v>87</v>
      </c>
      <c r="C3588" s="2">
        <v>2020</v>
      </c>
      <c r="D3588" s="2" t="s">
        <v>1</v>
      </c>
      <c r="E3588" s="2" t="s">
        <v>10</v>
      </c>
      <c r="F3588" s="2" t="s">
        <v>36</v>
      </c>
      <c r="G3588" s="7">
        <v>-9.1199999999999992</v>
      </c>
      <c r="H3588" s="13">
        <f>IFERROR(IF(ABS($G3588)&gt;0,VLOOKUP($E3588,'Fuel Category and Heat Rate'!$B$1:$G$34,6,FALSE)*($G3588),""),"")</f>
        <v>-3252771879327.5254</v>
      </c>
      <c r="I3588" t="str">
        <f>IFERROR(VLOOKUP($E3588,'Fuel Category and Heat Rate'!$K$2:$M$36,3,FALSE),"")</f>
        <v>LPG propane or butane</v>
      </c>
    </row>
    <row r="3589" spans="1:9" x14ac:dyDescent="0.15">
      <c r="A3589" s="2">
        <v>407377</v>
      </c>
      <c r="B3589" s="2" t="s">
        <v>87</v>
      </c>
      <c r="C3589" s="2">
        <v>2020</v>
      </c>
      <c r="D3589" s="2" t="s">
        <v>1</v>
      </c>
      <c r="E3589" s="2" t="s">
        <v>9</v>
      </c>
      <c r="F3589" s="2" t="s">
        <v>36</v>
      </c>
      <c r="G3589" s="7">
        <v>-0.98</v>
      </c>
      <c r="H3589" s="13">
        <f>IFERROR(IF(ABS($G3589)&gt;0,VLOOKUP($E3589,'Fuel Category and Heat Rate'!$B$1:$G$34,6,FALSE)*($G3589),""),"")</f>
        <v>-1611898554943.7976</v>
      </c>
      <c r="I3589" t="str">
        <f>IFERROR(VLOOKUP($E3589,'Fuel Category and Heat Rate'!$K$2:$M$36,3,FALSE),"")</f>
        <v>LPG propane or butane</v>
      </c>
    </row>
    <row r="3590" spans="1:9" x14ac:dyDescent="0.15">
      <c r="A3590" s="2">
        <v>407412</v>
      </c>
      <c r="B3590" s="2" t="s">
        <v>87</v>
      </c>
      <c r="C3590" s="2">
        <v>2020</v>
      </c>
      <c r="D3590" s="2" t="s">
        <v>1</v>
      </c>
      <c r="E3590" s="2" t="s">
        <v>8</v>
      </c>
      <c r="F3590" s="2" t="s">
        <v>35</v>
      </c>
      <c r="G3590" s="7"/>
      <c r="H3590" s="13" t="str">
        <f>IFERROR(IF(ABS($G3590)&gt;0,VLOOKUP($E3590,'Fuel Category and Heat Rate'!$B$1:$G$34,6,FALSE)*($G3590),""),"")</f>
        <v/>
      </c>
      <c r="I3590" t="str">
        <f>IFERROR(VLOOKUP($E3590,'Fuel Category and Heat Rate'!$K$2:$M$36,3,FALSE),"")</f>
        <v>coal</v>
      </c>
    </row>
    <row r="3591" spans="1:9" x14ac:dyDescent="0.15">
      <c r="A3591" s="2">
        <v>407447</v>
      </c>
      <c r="B3591" s="2" t="s">
        <v>87</v>
      </c>
      <c r="C3591" s="2">
        <v>2020</v>
      </c>
      <c r="D3591" s="2" t="s">
        <v>1</v>
      </c>
      <c r="E3591" s="2" t="s">
        <v>27</v>
      </c>
      <c r="F3591" s="2" t="s">
        <v>35</v>
      </c>
      <c r="G3591" s="7"/>
      <c r="H3591" s="13" t="str">
        <f>IFERROR(IF(ABS($G3591)&gt;0,VLOOKUP($E3591,'Fuel Category and Heat Rate'!$B$1:$G$34,6,FALSE)*($G3591),""),"")</f>
        <v/>
      </c>
      <c r="I3591" t="str">
        <f>IFERROR(VLOOKUP($E3591,'Fuel Category and Heat Rate'!$K$2:$M$36,3,FALSE),"")</f>
        <v>LPG propane or butane</v>
      </c>
    </row>
    <row r="3592" spans="1:9" x14ac:dyDescent="0.15">
      <c r="A3592" s="2">
        <v>407482</v>
      </c>
      <c r="B3592" s="2" t="s">
        <v>87</v>
      </c>
      <c r="C3592" s="2">
        <v>2020</v>
      </c>
      <c r="D3592" s="2" t="s">
        <v>1</v>
      </c>
      <c r="E3592" s="2" t="s">
        <v>7</v>
      </c>
      <c r="F3592" s="2" t="s">
        <v>35</v>
      </c>
      <c r="G3592" s="7">
        <v>-202.74</v>
      </c>
      <c r="H3592" s="13">
        <f>IFERROR(IF(ABS($G3592)&gt;0,VLOOKUP($E3592,'Fuel Category and Heat Rate'!$B$1:$G$34,6,FALSE)*($G3592),""),"")</f>
        <v>-16091515534461.992</v>
      </c>
      <c r="I3592" t="str">
        <f>IFERROR(VLOOKUP($E3592,'Fuel Category and Heat Rate'!$K$2:$M$36,3,FALSE),"")</f>
        <v>coal</v>
      </c>
    </row>
    <row r="3593" spans="1:9" x14ac:dyDescent="0.15">
      <c r="A3593" s="2">
        <v>407517</v>
      </c>
      <c r="B3593" s="2" t="s">
        <v>87</v>
      </c>
      <c r="C3593" s="2">
        <v>2020</v>
      </c>
      <c r="D3593" s="2" t="s">
        <v>1</v>
      </c>
      <c r="E3593" s="2" t="s">
        <v>2</v>
      </c>
      <c r="F3593" s="2" t="s">
        <v>35</v>
      </c>
      <c r="G3593" s="7">
        <v>-2776.18</v>
      </c>
      <c r="H3593" s="13">
        <f>IFERROR(IF(ABS($G3593)&gt;0,VLOOKUP($E3593,'Fuel Category and Heat Rate'!$B$1:$G$34,6,FALSE)*($G3593),""),"")</f>
        <v>0</v>
      </c>
      <c r="I3593" t="str">
        <f>IFERROR(VLOOKUP($E3593,'Fuel Category and Heat Rate'!$K$2:$M$36,3,FALSE),"")</f>
        <v/>
      </c>
    </row>
    <row r="3594" spans="1:9" x14ac:dyDescent="0.15">
      <c r="A3594" s="2">
        <v>407552</v>
      </c>
      <c r="B3594" s="2" t="s">
        <v>87</v>
      </c>
      <c r="C3594" s="2">
        <v>2020</v>
      </c>
      <c r="D3594" s="2" t="s">
        <v>1</v>
      </c>
      <c r="E3594" s="2" t="s">
        <v>17</v>
      </c>
      <c r="F3594" s="2" t="s">
        <v>35</v>
      </c>
      <c r="G3594" s="7"/>
      <c r="H3594" s="13" t="str">
        <f>IFERROR(IF(ABS($G3594)&gt;0,VLOOKUP($E3594,'Fuel Category and Heat Rate'!$B$1:$G$34,6,FALSE)*($G3594),""),"")</f>
        <v/>
      </c>
      <c r="I3594" t="str">
        <f>IFERROR(VLOOKUP($E3594,'Fuel Category and Heat Rate'!$K$2:$M$36,3,FALSE),"")</f>
        <v>petroleum diesel</v>
      </c>
    </row>
    <row r="3595" spans="1:9" x14ac:dyDescent="0.15">
      <c r="A3595" s="2">
        <v>407587</v>
      </c>
      <c r="B3595" s="2" t="s">
        <v>87</v>
      </c>
      <c r="C3595" s="2">
        <v>2020</v>
      </c>
      <c r="D3595" s="2" t="s">
        <v>1</v>
      </c>
      <c r="E3595" s="2" t="s">
        <v>13</v>
      </c>
      <c r="F3595" s="2" t="s">
        <v>35</v>
      </c>
      <c r="G3595" s="7"/>
      <c r="H3595" s="13" t="str">
        <f>IFERROR(IF(ABS($G3595)&gt;0,VLOOKUP($E3595,'Fuel Category and Heat Rate'!$B$1:$G$34,6,FALSE)*($G3595),""),"")</f>
        <v/>
      </c>
      <c r="I3595" t="str">
        <f>IFERROR(VLOOKUP($E3595,'Fuel Category and Heat Rate'!$K$2:$M$36,3,FALSE),"")</f>
        <v>petroleum diesel</v>
      </c>
    </row>
    <row r="3596" spans="1:9" x14ac:dyDescent="0.15">
      <c r="A3596" s="2">
        <v>407622</v>
      </c>
      <c r="B3596" s="2" t="s">
        <v>87</v>
      </c>
      <c r="C3596" s="2">
        <v>2020</v>
      </c>
      <c r="D3596" s="2" t="s">
        <v>1</v>
      </c>
      <c r="E3596" s="2" t="s">
        <v>12</v>
      </c>
      <c r="F3596" s="2" t="s">
        <v>36</v>
      </c>
      <c r="G3596" s="7"/>
      <c r="H3596" s="13" t="str">
        <f>IFERROR(IF(ABS($G3596)&gt;0,VLOOKUP($E3596,'Fuel Category and Heat Rate'!$B$1:$G$34,6,FALSE)*($G3596),""),"")</f>
        <v/>
      </c>
      <c r="I3596" t="str">
        <f>IFERROR(VLOOKUP($E3596,'Fuel Category and Heat Rate'!$K$2:$M$36,3,FALSE),"")</f>
        <v>LPG propane or butane</v>
      </c>
    </row>
    <row r="3597" spans="1:9" x14ac:dyDescent="0.15">
      <c r="A3597" s="2">
        <v>407657</v>
      </c>
      <c r="B3597" s="2" t="s">
        <v>87</v>
      </c>
      <c r="C3597" s="2">
        <v>2020</v>
      </c>
      <c r="D3597" s="2" t="s">
        <v>1</v>
      </c>
      <c r="E3597" s="2" t="s">
        <v>33</v>
      </c>
      <c r="F3597" s="2" t="s">
        <v>38</v>
      </c>
      <c r="G3597" s="7">
        <v>-10.07</v>
      </c>
      <c r="H3597" s="13">
        <f>IFERROR(IF(ABS($G3597)&gt;0,VLOOKUP($E3597,'Fuel Category and Heat Rate'!$B$1:$G$34,6,FALSE)*($G3597),""),"")</f>
        <v>-2793775988256.9248</v>
      </c>
      <c r="I3597" t="str">
        <f>IFERROR(VLOOKUP($E3597,'Fuel Category and Heat Rate'!$K$2:$M$36,3,FALSE),"")</f>
        <v>biomass</v>
      </c>
    </row>
    <row r="3598" spans="1:9" x14ac:dyDescent="0.15">
      <c r="A3598" s="2">
        <v>407692</v>
      </c>
      <c r="B3598" s="2" t="s">
        <v>87</v>
      </c>
      <c r="C3598" s="2">
        <v>2020</v>
      </c>
      <c r="D3598" s="2" t="s">
        <v>1</v>
      </c>
      <c r="E3598" s="2" t="s">
        <v>28</v>
      </c>
      <c r="F3598" s="2" t="s">
        <v>35</v>
      </c>
      <c r="G3598" s="7"/>
      <c r="H3598" s="13" t="str">
        <f>IFERROR(IF(ABS($G3598)&gt;0,VLOOKUP($E3598,'Fuel Category and Heat Rate'!$B$1:$G$34,6,FALSE)*($G3598),""),"")</f>
        <v/>
      </c>
      <c r="I3598" t="str">
        <f>IFERROR(VLOOKUP($E3598,'Fuel Category and Heat Rate'!$K$2:$M$36,3,FALSE),"")</f>
        <v>heavy or residual fuel oil</v>
      </c>
    </row>
    <row r="3599" spans="1:9" x14ac:dyDescent="0.15">
      <c r="A3599" s="2">
        <v>407727</v>
      </c>
      <c r="B3599" s="2" t="s">
        <v>87</v>
      </c>
      <c r="C3599" s="2">
        <v>2020</v>
      </c>
      <c r="D3599" s="2" t="s">
        <v>1</v>
      </c>
      <c r="E3599" s="2" t="s">
        <v>5</v>
      </c>
      <c r="F3599" s="2" t="s">
        <v>35</v>
      </c>
      <c r="G3599" s="7">
        <v>-565.25</v>
      </c>
      <c r="H3599" s="13">
        <f>IFERROR(IF(ABS($G3599)&gt;0,VLOOKUP($E3599,'Fuel Category and Heat Rate'!$B$1:$G$34,6,FALSE)*($G3599),""),"")</f>
        <v>-44805075958775.07</v>
      </c>
      <c r="I3599" t="str">
        <f>IFERROR(VLOOKUP($E3599,'Fuel Category and Heat Rate'!$K$2:$M$36,3,FALSE),"")</f>
        <v>coal</v>
      </c>
    </row>
    <row r="3600" spans="1:9" x14ac:dyDescent="0.15">
      <c r="A3600" s="2">
        <v>407762</v>
      </c>
      <c r="B3600" s="2" t="s">
        <v>87</v>
      </c>
      <c r="C3600" s="2">
        <v>2020</v>
      </c>
      <c r="D3600" s="2" t="s">
        <v>1</v>
      </c>
      <c r="E3600" s="2" t="s">
        <v>16</v>
      </c>
      <c r="F3600" s="2" t="s">
        <v>35</v>
      </c>
      <c r="G3600" s="7"/>
      <c r="H3600" s="13" t="str">
        <f>IFERROR(IF(ABS($G3600)&gt;0,VLOOKUP($E3600,'Fuel Category and Heat Rate'!$B$1:$G$34,6,FALSE)*($G3600),""),"")</f>
        <v/>
      </c>
      <c r="I3600" t="str">
        <f>IFERROR(VLOOKUP($E3600,'Fuel Category and Heat Rate'!$K$2:$M$36,3,FALSE),"")</f>
        <v>petroleum diesel</v>
      </c>
    </row>
    <row r="3601" spans="1:9" x14ac:dyDescent="0.15">
      <c r="A3601" s="2">
        <v>407797</v>
      </c>
      <c r="B3601" s="2" t="s">
        <v>87</v>
      </c>
      <c r="C3601" s="2">
        <v>2020</v>
      </c>
      <c r="D3601" s="2" t="s">
        <v>1</v>
      </c>
      <c r="E3601" s="2" t="s">
        <v>19</v>
      </c>
      <c r="F3601" s="2" t="s">
        <v>35</v>
      </c>
      <c r="G3601" s="7">
        <v>-0.01</v>
      </c>
      <c r="H3601" s="13">
        <f>IFERROR(IF(ABS($G3601)&gt;0,VLOOKUP($E3601,'Fuel Category and Heat Rate'!$B$1:$G$34,6,FALSE)*($G3601),""),"")</f>
        <v>-3963392080.144383</v>
      </c>
      <c r="I3601" t="str">
        <f>IFERROR(VLOOKUP($E3601,'Fuel Category and Heat Rate'!$K$2:$M$36,3,FALSE),"")</f>
        <v>heavy or residual fuel oil</v>
      </c>
    </row>
    <row r="3602" spans="1:9" x14ac:dyDescent="0.15">
      <c r="A3602" s="2">
        <v>407832</v>
      </c>
      <c r="B3602" s="2" t="s">
        <v>87</v>
      </c>
      <c r="C3602" s="2">
        <v>2020</v>
      </c>
      <c r="D3602" s="2" t="s">
        <v>1</v>
      </c>
      <c r="E3602" s="2" t="s">
        <v>31</v>
      </c>
      <c r="F3602" s="2" t="s">
        <v>37</v>
      </c>
      <c r="G3602" s="7">
        <v>31312.23</v>
      </c>
      <c r="H3602" s="13">
        <f>IFERROR(IF(ABS($G3602)&gt;0,VLOOKUP($E3602,'Fuel Category and Heat Rate'!$B$1:$G$34,6,FALSE)*($G3602),""),"")</f>
        <v>296782677428877.38</v>
      </c>
      <c r="I3602" t="str">
        <f>IFERROR(VLOOKUP($E3602,'Fuel Category and Heat Rate'!$K$2:$M$36,3,FALSE),"")</f>
        <v>heat</v>
      </c>
    </row>
    <row r="3603" spans="1:9" x14ac:dyDescent="0.15">
      <c r="A3603" s="2">
        <v>407867</v>
      </c>
      <c r="B3603" s="2" t="s">
        <v>87</v>
      </c>
      <c r="C3603" s="2">
        <v>2020</v>
      </c>
      <c r="D3603" s="2" t="s">
        <v>1</v>
      </c>
      <c r="E3603" s="2" t="s">
        <v>23</v>
      </c>
      <c r="F3603" s="2" t="s">
        <v>35</v>
      </c>
      <c r="G3603" s="7"/>
      <c r="H3603" s="13" t="str">
        <f>IFERROR(IF(ABS($G3603)&gt;0,VLOOKUP($E3603,'Fuel Category and Heat Rate'!$B$1:$G$34,6,FALSE)*($G3603),""),"")</f>
        <v/>
      </c>
      <c r="I3603" t="str">
        <f>IFERROR(VLOOKUP($E3603,'Fuel Category and Heat Rate'!$K$2:$M$36,3,FALSE),"")</f>
        <v>heavy or residual fuel oil</v>
      </c>
    </row>
    <row r="3604" spans="1:9" x14ac:dyDescent="0.15">
      <c r="A3604" s="2">
        <v>407902</v>
      </c>
      <c r="B3604" s="2" t="s">
        <v>87</v>
      </c>
      <c r="C3604" s="2">
        <v>2020</v>
      </c>
      <c r="D3604" s="2" t="s">
        <v>1</v>
      </c>
      <c r="E3604" s="2" t="s">
        <v>21</v>
      </c>
      <c r="F3604" s="2" t="s">
        <v>35</v>
      </c>
      <c r="G3604" s="7"/>
      <c r="H3604" s="13" t="str">
        <f>IFERROR(IF(ABS($G3604)&gt;0,VLOOKUP($E3604,'Fuel Category and Heat Rate'!$B$1:$G$34,6,FALSE)*($G3604),""),"")</f>
        <v/>
      </c>
      <c r="I3604" t="str">
        <f>IFERROR(VLOOKUP($E3604,'Fuel Category and Heat Rate'!$K$2:$M$36,3,FALSE),"")</f>
        <v>LPG propane or butane</v>
      </c>
    </row>
    <row r="3605" spans="1:9" x14ac:dyDescent="0.15">
      <c r="A3605" s="2">
        <v>407937</v>
      </c>
      <c r="B3605" s="2" t="s">
        <v>87</v>
      </c>
      <c r="C3605" s="2">
        <v>2020</v>
      </c>
      <c r="D3605" s="2" t="s">
        <v>1</v>
      </c>
      <c r="E3605" s="2" t="s">
        <v>22</v>
      </c>
      <c r="F3605" s="2" t="s">
        <v>35</v>
      </c>
      <c r="G3605" s="7"/>
      <c r="H3605" s="13" t="str">
        <f>IFERROR(IF(ABS($G3605)&gt;0,VLOOKUP($E3605,'Fuel Category and Heat Rate'!$B$1:$G$34,6,FALSE)*($G3605),""),"")</f>
        <v/>
      </c>
      <c r="I3605" t="str">
        <f>IFERROR(VLOOKUP($E3605,'Fuel Category and Heat Rate'!$K$2:$M$36,3,FALSE),"")</f>
        <v>heavy fuel oil</v>
      </c>
    </row>
    <row r="3606" spans="1:9" x14ac:dyDescent="0.15">
      <c r="A3606" s="2">
        <v>407972</v>
      </c>
      <c r="B3606" s="2" t="s">
        <v>87</v>
      </c>
      <c r="C3606" s="2">
        <v>2020</v>
      </c>
      <c r="D3606" s="2" t="s">
        <v>1</v>
      </c>
      <c r="E3606" s="2" t="s">
        <v>20</v>
      </c>
      <c r="F3606" s="2" t="s">
        <v>35</v>
      </c>
      <c r="G3606" s="7"/>
      <c r="H3606" s="13" t="str">
        <f>IFERROR(IF(ABS($G3606)&gt;0,VLOOKUP($E3606,'Fuel Category and Heat Rate'!$B$1:$G$34,6,FALSE)*($G3606),""),"")</f>
        <v/>
      </c>
      <c r="I3606" t="str">
        <f>IFERROR(VLOOKUP($E3606,'Fuel Category and Heat Rate'!$K$2:$M$36,3,FALSE),"")</f>
        <v>LPG propane or butane</v>
      </c>
    </row>
    <row r="3607" spans="1:9" x14ac:dyDescent="0.15">
      <c r="A3607" s="2">
        <v>408007</v>
      </c>
      <c r="B3607" s="2" t="s">
        <v>87</v>
      </c>
      <c r="C3607" s="2">
        <v>2020</v>
      </c>
      <c r="D3607" s="2" t="s">
        <v>1</v>
      </c>
      <c r="E3607" s="2" t="s">
        <v>25</v>
      </c>
      <c r="F3607" s="2" t="s">
        <v>35</v>
      </c>
      <c r="G3607" s="7"/>
      <c r="H3607" s="13" t="str">
        <f>IFERROR(IF(ABS($G3607)&gt;0,VLOOKUP($E3607,'Fuel Category and Heat Rate'!$B$1:$G$34,6,FALSE)*($G3607),""),"")</f>
        <v/>
      </c>
      <c r="I3607" t="str">
        <f>IFERROR(VLOOKUP($E3607,'Fuel Category and Heat Rate'!$K$2:$M$36,3,FALSE),"")</f>
        <v>heavy fuel oil</v>
      </c>
    </row>
    <row r="3608" spans="1:9" x14ac:dyDescent="0.15">
      <c r="A3608" s="2">
        <v>408042</v>
      </c>
      <c r="B3608" s="2" t="s">
        <v>87</v>
      </c>
      <c r="C3608" s="2">
        <v>2020</v>
      </c>
      <c r="D3608" s="2" t="s">
        <v>1</v>
      </c>
      <c r="E3608" s="2" t="s">
        <v>24</v>
      </c>
      <c r="F3608" s="2" t="s">
        <v>35</v>
      </c>
      <c r="G3608" s="7"/>
      <c r="H3608" s="13" t="str">
        <f>IFERROR(IF(ABS($G3608)&gt;0,VLOOKUP($E3608,'Fuel Category and Heat Rate'!$B$1:$G$34,6,FALSE)*($G3608),""),"")</f>
        <v/>
      </c>
      <c r="I3608" t="str">
        <f>IFERROR(VLOOKUP($E3608,'Fuel Category and Heat Rate'!$K$2:$M$36,3,FALSE),"")</f>
        <v>heavy fuel oil</v>
      </c>
    </row>
    <row r="3609" spans="1:9" x14ac:dyDescent="0.15">
      <c r="A3609" s="2">
        <v>408077</v>
      </c>
      <c r="B3609" s="2" t="s">
        <v>87</v>
      </c>
      <c r="C3609" s="2">
        <v>2020</v>
      </c>
      <c r="D3609" s="2" t="s">
        <v>1</v>
      </c>
      <c r="E3609" s="2" t="s">
        <v>29</v>
      </c>
      <c r="F3609" s="2" t="s">
        <v>36</v>
      </c>
      <c r="G3609" s="7">
        <v>-5.21</v>
      </c>
      <c r="H3609" s="13">
        <f>IFERROR(IF(ABS($G3609)&gt;0,VLOOKUP($E3609,'Fuel Category and Heat Rate'!$B$1:$G$34,6,FALSE)*($G3609),""),"")</f>
        <v>-17572078767204.6</v>
      </c>
      <c r="I3609" t="str">
        <f>IFERROR(VLOOKUP($E3609,'Fuel Category and Heat Rate'!$K$2:$M$36,3,FALSE),"")</f>
        <v>natural gas</v>
      </c>
    </row>
    <row r="3610" spans="1:9" x14ac:dyDescent="0.15">
      <c r="A3610" s="2">
        <v>408112</v>
      </c>
      <c r="B3610" s="2" t="s">
        <v>87</v>
      </c>
      <c r="C3610" s="2">
        <v>2020</v>
      </c>
      <c r="D3610" s="2" t="s">
        <v>1</v>
      </c>
      <c r="E3610" s="2" t="s">
        <v>4</v>
      </c>
      <c r="F3610" s="2" t="s">
        <v>35</v>
      </c>
      <c r="G3610" s="7"/>
      <c r="H3610" s="13" t="str">
        <f>IFERROR(IF(ABS($G3610)&gt;0,VLOOKUP($E3610,'Fuel Category and Heat Rate'!$B$1:$G$34,6,FALSE)*($G3610),""),"")</f>
        <v/>
      </c>
      <c r="I3610" t="str">
        <f>IFERROR(VLOOKUP($E3610,'Fuel Category and Heat Rate'!$K$2:$M$36,3,FALSE),"")</f>
        <v>coal</v>
      </c>
    </row>
    <row r="3611" spans="1:9" x14ac:dyDescent="0.15">
      <c r="A3611" s="2">
        <v>408147</v>
      </c>
      <c r="B3611" s="2" t="s">
        <v>87</v>
      </c>
      <c r="C3611" s="2">
        <v>2020</v>
      </c>
      <c r="D3611" s="2" t="s">
        <v>1</v>
      </c>
      <c r="E3611" s="2" t="s">
        <v>6</v>
      </c>
      <c r="F3611" s="2" t="s">
        <v>35</v>
      </c>
      <c r="G3611" s="7"/>
      <c r="H3611" s="13" t="str">
        <f>IFERROR(IF(ABS($G3611)&gt;0,VLOOKUP($E3611,'Fuel Category and Heat Rate'!$B$1:$G$34,6,FALSE)*($G3611),""),"")</f>
        <v/>
      </c>
      <c r="I3611" t="str">
        <f>IFERROR(VLOOKUP($E3611,'Fuel Category and Heat Rate'!$K$2:$M$36,3,FALSE),"")</f>
        <v>coal</v>
      </c>
    </row>
    <row r="3612" spans="1:9" x14ac:dyDescent="0.15">
      <c r="A3612" s="2">
        <v>408182</v>
      </c>
      <c r="B3612" s="2" t="s">
        <v>87</v>
      </c>
      <c r="C3612" s="2">
        <v>2020</v>
      </c>
      <c r="D3612" s="2" t="s">
        <v>1</v>
      </c>
      <c r="E3612" s="2" t="s">
        <v>26</v>
      </c>
      <c r="F3612" s="2" t="s">
        <v>35</v>
      </c>
      <c r="G3612" s="7"/>
      <c r="H3612" s="13" t="str">
        <f>IFERROR(IF(ABS($G3612)&gt;0,VLOOKUP($E3612,'Fuel Category and Heat Rate'!$B$1:$G$34,6,FALSE)*($G3612),""),"")</f>
        <v/>
      </c>
      <c r="I3612" t="str">
        <f>IFERROR(VLOOKUP($E3612,'Fuel Category and Heat Rate'!$K$2:$M$36,3,FALSE),"")</f>
        <v>LPG propane or butane</v>
      </c>
    </row>
    <row r="3613" spans="1:9" x14ac:dyDescent="0.15">
      <c r="A3613" s="2">
        <v>408217</v>
      </c>
      <c r="B3613" s="2" t="s">
        <v>87</v>
      </c>
      <c r="C3613" s="2">
        <v>2020</v>
      </c>
      <c r="D3613" s="2" t="s">
        <v>1</v>
      </c>
      <c r="E3613" s="2" t="s">
        <v>30</v>
      </c>
      <c r="F3613" s="2" t="s">
        <v>35</v>
      </c>
      <c r="G3613" s="7">
        <v>-0.08</v>
      </c>
      <c r="H3613" s="13">
        <f>IFERROR(IF(ABS($G3613)&gt;0,VLOOKUP($E3613,'Fuel Category and Heat Rate'!$B$1:$G$34,6,FALSE)*($G3613),""),"")</f>
        <v>-39000020709.804138</v>
      </c>
      <c r="I3613" t="str">
        <f>IFERROR(VLOOKUP($E3613,'Fuel Category and Heat Rate'!$K$2:$M$36,3,FALSE),"")</f>
        <v>natural gas</v>
      </c>
    </row>
    <row r="3614" spans="1:9" x14ac:dyDescent="0.15">
      <c r="A3614" s="2">
        <v>408252</v>
      </c>
      <c r="B3614" s="2" t="s">
        <v>87</v>
      </c>
      <c r="C3614" s="2">
        <v>2020</v>
      </c>
      <c r="D3614" s="2" t="s">
        <v>1</v>
      </c>
      <c r="E3614" s="2" t="s">
        <v>14</v>
      </c>
      <c r="F3614" s="2" t="s">
        <v>35</v>
      </c>
      <c r="G3614" s="7">
        <v>-0.03</v>
      </c>
      <c r="H3614" s="13">
        <f>IFERROR(IF(ABS($G3614)&gt;0,VLOOKUP($E3614,'Fuel Category and Heat Rate'!$B$1:$G$34,6,FALSE)*($G3614),""),"")</f>
        <v>0</v>
      </c>
      <c r="I3614" t="str">
        <f>IFERROR(VLOOKUP($E3614,'Fuel Category and Heat Rate'!$K$2:$M$36,3,FALSE),"")</f>
        <v/>
      </c>
    </row>
    <row r="3615" spans="1:9" x14ac:dyDescent="0.15">
      <c r="A3615" s="2">
        <v>408287</v>
      </c>
      <c r="B3615" s="2" t="s">
        <v>87</v>
      </c>
      <c r="C3615" s="2">
        <v>2020</v>
      </c>
      <c r="D3615" s="2" t="s">
        <v>1</v>
      </c>
      <c r="E3615" s="2" t="s">
        <v>3</v>
      </c>
      <c r="F3615" s="2" t="s">
        <v>35</v>
      </c>
      <c r="G3615" s="7">
        <v>-2210.9299999999998</v>
      </c>
      <c r="H3615" s="13">
        <f>IFERROR(IF(ABS($G3615)&gt;0,VLOOKUP($E3615,'Fuel Category and Heat Rate'!$B$1:$G$34,6,FALSE)*($G3615),""),"")</f>
        <v>-438139122587681</v>
      </c>
      <c r="I3615" t="str">
        <f>IFERROR(VLOOKUP($E3615,'Fuel Category and Heat Rate'!$K$2:$M$36,3,FALSE),"")</f>
        <v>coal</v>
      </c>
    </row>
    <row r="3616" spans="1:9" x14ac:dyDescent="0.15">
      <c r="A3616" s="2">
        <v>408322</v>
      </c>
      <c r="B3616" s="2" t="s">
        <v>87</v>
      </c>
      <c r="C3616" s="2">
        <v>2020</v>
      </c>
      <c r="D3616" s="2" t="s">
        <v>1</v>
      </c>
      <c r="E3616" s="2" t="s">
        <v>15</v>
      </c>
      <c r="F3616" s="2" t="s">
        <v>35</v>
      </c>
      <c r="G3616" s="7"/>
      <c r="H3616" s="13" t="str">
        <f>IFERROR(IF(ABS($G3616)&gt;0,VLOOKUP($E3616,'Fuel Category and Heat Rate'!$B$1:$G$34,6,FALSE)*($G3616),""),"")</f>
        <v/>
      </c>
      <c r="I3616" t="str">
        <f>IFERROR(VLOOKUP($E3616,'Fuel Category and Heat Rate'!$K$2:$M$36,3,FALSE),"")</f>
        <v>crude oil</v>
      </c>
    </row>
    <row r="3617" spans="1:9" x14ac:dyDescent="0.15">
      <c r="A3617" s="2">
        <v>408357</v>
      </c>
      <c r="B3617" s="2" t="s">
        <v>87</v>
      </c>
      <c r="C3617" s="2">
        <v>2020</v>
      </c>
      <c r="D3617" s="2" t="s">
        <v>1</v>
      </c>
      <c r="E3617" s="2" t="s">
        <v>11</v>
      </c>
      <c r="F3617" s="2" t="s">
        <v>36</v>
      </c>
      <c r="G3617" s="7">
        <v>-0.61</v>
      </c>
      <c r="H3617" s="13">
        <f>IFERROR(IF(ABS($G3617)&gt;0,VLOOKUP($E3617,'Fuel Category and Heat Rate'!$B$1:$G$34,6,FALSE)*($G3617),""),"")</f>
        <v>-459354829414.95471</v>
      </c>
      <c r="I3617" t="str">
        <f>IFERROR(VLOOKUP($E3617,'Fuel Category and Heat Rate'!$K$2:$M$36,3,FALSE),"")</f>
        <v>LPG propane or butane</v>
      </c>
    </row>
    <row r="3618" spans="1:9" x14ac:dyDescent="0.15">
      <c r="A3618" s="2">
        <v>408392</v>
      </c>
      <c r="B3618" s="2" t="s">
        <v>87</v>
      </c>
      <c r="C3618" s="2">
        <v>2019</v>
      </c>
      <c r="D3618" s="2" t="s">
        <v>1</v>
      </c>
      <c r="E3618" s="2" t="s">
        <v>18</v>
      </c>
      <c r="F3618" s="2" t="s">
        <v>35</v>
      </c>
      <c r="G3618" s="7">
        <v>-0.05</v>
      </c>
      <c r="H3618" s="13">
        <f>IFERROR(IF(ABS($G3618)&gt;0,VLOOKUP($E3618,'Fuel Category and Heat Rate'!$B$1:$G$34,6,FALSE)*($G3618),""),"")</f>
        <v>-20213147957.996727</v>
      </c>
      <c r="I3618" t="str">
        <f>IFERROR(VLOOKUP($E3618,'Fuel Category and Heat Rate'!$K$2:$M$36,3,FALSE),"")</f>
        <v>petroleum diesel</v>
      </c>
    </row>
    <row r="3619" spans="1:9" x14ac:dyDescent="0.15">
      <c r="A3619" s="2">
        <v>408427</v>
      </c>
      <c r="B3619" s="2" t="s">
        <v>87</v>
      </c>
      <c r="C3619" s="2">
        <v>2019</v>
      </c>
      <c r="D3619" s="2" t="s">
        <v>1</v>
      </c>
      <c r="E3619" s="2" t="s">
        <v>32</v>
      </c>
      <c r="F3619" s="2" t="s">
        <v>65</v>
      </c>
      <c r="G3619" s="7"/>
      <c r="H3619" s="13" t="str">
        <f>IFERROR(IF(ABS($G3619)&gt;0,VLOOKUP($E3619,'Fuel Category and Heat Rate'!$B$1:$G$34,6,FALSE)*($G3619),""),"")</f>
        <v/>
      </c>
      <c r="I3619" t="str">
        <f>IFERROR(VLOOKUP($E3619,'Fuel Category and Heat Rate'!$K$2:$M$36,3,FALSE),"")</f>
        <v>electricity</v>
      </c>
    </row>
    <row r="3620" spans="1:9" x14ac:dyDescent="0.15">
      <c r="A3620" s="2">
        <v>408462</v>
      </c>
      <c r="B3620" s="2" t="s">
        <v>87</v>
      </c>
      <c r="C3620" s="2">
        <v>2019</v>
      </c>
      <c r="D3620" s="2" t="s">
        <v>1</v>
      </c>
      <c r="E3620" s="2" t="s">
        <v>10</v>
      </c>
      <c r="F3620" s="2" t="s">
        <v>36</v>
      </c>
      <c r="G3620" s="7">
        <v>-8.48</v>
      </c>
      <c r="H3620" s="13">
        <f>IFERROR(IF(ABS($G3620)&gt;0,VLOOKUP($E3620,'Fuel Category and Heat Rate'!$B$1:$G$34,6,FALSE)*($G3620),""),"")</f>
        <v>-3024507186041.3838</v>
      </c>
      <c r="I3620" t="str">
        <f>IFERROR(VLOOKUP($E3620,'Fuel Category and Heat Rate'!$K$2:$M$36,3,FALSE),"")</f>
        <v>LPG propane or butane</v>
      </c>
    </row>
    <row r="3621" spans="1:9" x14ac:dyDescent="0.15">
      <c r="A3621" s="2">
        <v>408497</v>
      </c>
      <c r="B3621" s="2" t="s">
        <v>87</v>
      </c>
      <c r="C3621" s="2">
        <v>2019</v>
      </c>
      <c r="D3621" s="2" t="s">
        <v>1</v>
      </c>
      <c r="E3621" s="2" t="s">
        <v>9</v>
      </c>
      <c r="F3621" s="2" t="s">
        <v>36</v>
      </c>
      <c r="G3621" s="7">
        <v>-0.92</v>
      </c>
      <c r="H3621" s="13">
        <f>IFERROR(IF(ABS($G3621)&gt;0,VLOOKUP($E3621,'Fuel Category and Heat Rate'!$B$1:$G$34,6,FALSE)*($G3621),""),"")</f>
        <v>-1513210888314.5857</v>
      </c>
      <c r="I3621" t="str">
        <f>IFERROR(VLOOKUP($E3621,'Fuel Category and Heat Rate'!$K$2:$M$36,3,FALSE),"")</f>
        <v>LPG propane or butane</v>
      </c>
    </row>
    <row r="3622" spans="1:9" x14ac:dyDescent="0.15">
      <c r="A3622" s="2">
        <v>408532</v>
      </c>
      <c r="B3622" s="2" t="s">
        <v>87</v>
      </c>
      <c r="C3622" s="2">
        <v>2019</v>
      </c>
      <c r="D3622" s="2" t="s">
        <v>1</v>
      </c>
      <c r="E3622" s="2" t="s">
        <v>8</v>
      </c>
      <c r="F3622" s="2" t="s">
        <v>35</v>
      </c>
      <c r="G3622" s="7"/>
      <c r="H3622" s="13" t="str">
        <f>IFERROR(IF(ABS($G3622)&gt;0,VLOOKUP($E3622,'Fuel Category and Heat Rate'!$B$1:$G$34,6,FALSE)*($G3622),""),"")</f>
        <v/>
      </c>
      <c r="I3622" t="str">
        <f>IFERROR(VLOOKUP($E3622,'Fuel Category and Heat Rate'!$K$2:$M$36,3,FALSE),"")</f>
        <v>coal</v>
      </c>
    </row>
    <row r="3623" spans="1:9" x14ac:dyDescent="0.15">
      <c r="A3623" s="2">
        <v>408567</v>
      </c>
      <c r="B3623" s="2" t="s">
        <v>87</v>
      </c>
      <c r="C3623" s="2">
        <v>2019</v>
      </c>
      <c r="D3623" s="2" t="s">
        <v>1</v>
      </c>
      <c r="E3623" s="2" t="s">
        <v>27</v>
      </c>
      <c r="F3623" s="2" t="s">
        <v>35</v>
      </c>
      <c r="G3623" s="7"/>
      <c r="H3623" s="13" t="str">
        <f>IFERROR(IF(ABS($G3623)&gt;0,VLOOKUP($E3623,'Fuel Category and Heat Rate'!$B$1:$G$34,6,FALSE)*($G3623),""),"")</f>
        <v/>
      </c>
      <c r="I3623" t="str">
        <f>IFERROR(VLOOKUP($E3623,'Fuel Category and Heat Rate'!$K$2:$M$36,3,FALSE),"")</f>
        <v>LPG propane or butane</v>
      </c>
    </row>
    <row r="3624" spans="1:9" x14ac:dyDescent="0.15">
      <c r="A3624" s="2">
        <v>408602</v>
      </c>
      <c r="B3624" s="2" t="s">
        <v>87</v>
      </c>
      <c r="C3624" s="2">
        <v>2019</v>
      </c>
      <c r="D3624" s="2" t="s">
        <v>1</v>
      </c>
      <c r="E3624" s="2" t="s">
        <v>7</v>
      </c>
      <c r="F3624" s="2" t="s">
        <v>35</v>
      </c>
      <c r="G3624" s="7">
        <v>-173.48</v>
      </c>
      <c r="H3624" s="13">
        <f>IFERROR(IF(ABS($G3624)&gt;0,VLOOKUP($E3624,'Fuel Category and Heat Rate'!$B$1:$G$34,6,FALSE)*($G3624),""),"")</f>
        <v>-13769143311228.5</v>
      </c>
      <c r="I3624" t="str">
        <f>IFERROR(VLOOKUP($E3624,'Fuel Category and Heat Rate'!$K$2:$M$36,3,FALSE),"")</f>
        <v>coal</v>
      </c>
    </row>
    <row r="3625" spans="1:9" x14ac:dyDescent="0.15">
      <c r="A3625" s="2">
        <v>408637</v>
      </c>
      <c r="B3625" s="2" t="s">
        <v>87</v>
      </c>
      <c r="C3625" s="2">
        <v>2019</v>
      </c>
      <c r="D3625" s="2" t="s">
        <v>1</v>
      </c>
      <c r="E3625" s="2" t="s">
        <v>2</v>
      </c>
      <c r="F3625" s="2" t="s">
        <v>35</v>
      </c>
      <c r="G3625" s="7">
        <v>-2580.69</v>
      </c>
      <c r="H3625" s="13">
        <f>IFERROR(IF(ABS($G3625)&gt;0,VLOOKUP($E3625,'Fuel Category and Heat Rate'!$B$1:$G$34,6,FALSE)*($G3625),""),"")</f>
        <v>0</v>
      </c>
      <c r="I3625" t="str">
        <f>IFERROR(VLOOKUP($E3625,'Fuel Category and Heat Rate'!$K$2:$M$36,3,FALSE),"")</f>
        <v/>
      </c>
    </row>
    <row r="3626" spans="1:9" x14ac:dyDescent="0.15">
      <c r="A3626" s="2">
        <v>408672</v>
      </c>
      <c r="B3626" s="2" t="s">
        <v>87</v>
      </c>
      <c r="C3626" s="2">
        <v>2019</v>
      </c>
      <c r="D3626" s="2" t="s">
        <v>1</v>
      </c>
      <c r="E3626" s="2" t="s">
        <v>17</v>
      </c>
      <c r="F3626" s="2" t="s">
        <v>35</v>
      </c>
      <c r="G3626" s="7"/>
      <c r="H3626" s="13" t="str">
        <f>IFERROR(IF(ABS($G3626)&gt;0,VLOOKUP($E3626,'Fuel Category and Heat Rate'!$B$1:$G$34,6,FALSE)*($G3626),""),"")</f>
        <v/>
      </c>
      <c r="I3626" t="str">
        <f>IFERROR(VLOOKUP($E3626,'Fuel Category and Heat Rate'!$K$2:$M$36,3,FALSE),"")</f>
        <v>petroleum diesel</v>
      </c>
    </row>
    <row r="3627" spans="1:9" x14ac:dyDescent="0.15">
      <c r="A3627" s="2">
        <v>408707</v>
      </c>
      <c r="B3627" s="2" t="s">
        <v>87</v>
      </c>
      <c r="C3627" s="2">
        <v>2019</v>
      </c>
      <c r="D3627" s="2" t="s">
        <v>1</v>
      </c>
      <c r="E3627" s="2" t="s">
        <v>13</v>
      </c>
      <c r="F3627" s="2" t="s">
        <v>35</v>
      </c>
      <c r="G3627" s="7"/>
      <c r="H3627" s="13" t="str">
        <f>IFERROR(IF(ABS($G3627)&gt;0,VLOOKUP($E3627,'Fuel Category and Heat Rate'!$B$1:$G$34,6,FALSE)*($G3627),""),"")</f>
        <v/>
      </c>
      <c r="I3627" t="str">
        <f>IFERROR(VLOOKUP($E3627,'Fuel Category and Heat Rate'!$K$2:$M$36,3,FALSE),"")</f>
        <v>petroleum diesel</v>
      </c>
    </row>
    <row r="3628" spans="1:9" x14ac:dyDescent="0.15">
      <c r="A3628" s="2">
        <v>408742</v>
      </c>
      <c r="B3628" s="2" t="s">
        <v>87</v>
      </c>
      <c r="C3628" s="2">
        <v>2019</v>
      </c>
      <c r="D3628" s="2" t="s">
        <v>1</v>
      </c>
      <c r="E3628" s="2" t="s">
        <v>12</v>
      </c>
      <c r="F3628" s="2" t="s">
        <v>36</v>
      </c>
      <c r="G3628" s="7"/>
      <c r="H3628" s="13" t="str">
        <f>IFERROR(IF(ABS($G3628)&gt;0,VLOOKUP($E3628,'Fuel Category and Heat Rate'!$B$1:$G$34,6,FALSE)*($G3628),""),"")</f>
        <v/>
      </c>
      <c r="I3628" t="str">
        <f>IFERROR(VLOOKUP($E3628,'Fuel Category and Heat Rate'!$K$2:$M$36,3,FALSE),"")</f>
        <v>LPG propane or butane</v>
      </c>
    </row>
    <row r="3629" spans="1:9" x14ac:dyDescent="0.15">
      <c r="A3629" s="2">
        <v>408777</v>
      </c>
      <c r="B3629" s="2" t="s">
        <v>87</v>
      </c>
      <c r="C3629" s="2">
        <v>2019</v>
      </c>
      <c r="D3629" s="2" t="s">
        <v>1</v>
      </c>
      <c r="E3629" s="2" t="s">
        <v>33</v>
      </c>
      <c r="F3629" s="2" t="s">
        <v>38</v>
      </c>
      <c r="G3629" s="7">
        <v>-10.119999999999999</v>
      </c>
      <c r="H3629" s="13">
        <f>IFERROR(IF(ABS($G3629)&gt;0,VLOOKUP($E3629,'Fuel Category and Heat Rate'!$B$1:$G$34,6,FALSE)*($G3629),""),"")</f>
        <v>-2807647765755.7178</v>
      </c>
      <c r="I3629" t="str">
        <f>IFERROR(VLOOKUP($E3629,'Fuel Category and Heat Rate'!$K$2:$M$36,3,FALSE),"")</f>
        <v>biomass</v>
      </c>
    </row>
    <row r="3630" spans="1:9" x14ac:dyDescent="0.15">
      <c r="A3630" s="2">
        <v>408812</v>
      </c>
      <c r="B3630" s="2" t="s">
        <v>87</v>
      </c>
      <c r="C3630" s="2">
        <v>2019</v>
      </c>
      <c r="D3630" s="2" t="s">
        <v>1</v>
      </c>
      <c r="E3630" s="2" t="s">
        <v>28</v>
      </c>
      <c r="F3630" s="2" t="s">
        <v>35</v>
      </c>
      <c r="G3630" s="7"/>
      <c r="H3630" s="13" t="str">
        <f>IFERROR(IF(ABS($G3630)&gt;0,VLOOKUP($E3630,'Fuel Category and Heat Rate'!$B$1:$G$34,6,FALSE)*($G3630),""),"")</f>
        <v/>
      </c>
      <c r="I3630" t="str">
        <f>IFERROR(VLOOKUP($E3630,'Fuel Category and Heat Rate'!$K$2:$M$36,3,FALSE),"")</f>
        <v>heavy or residual fuel oil</v>
      </c>
    </row>
    <row r="3631" spans="1:9" x14ac:dyDescent="0.15">
      <c r="A3631" s="2">
        <v>408847</v>
      </c>
      <c r="B3631" s="2" t="s">
        <v>87</v>
      </c>
      <c r="C3631" s="2">
        <v>2019</v>
      </c>
      <c r="D3631" s="2" t="s">
        <v>1</v>
      </c>
      <c r="E3631" s="2" t="s">
        <v>5</v>
      </c>
      <c r="F3631" s="2" t="s">
        <v>35</v>
      </c>
      <c r="G3631" s="7">
        <v>-524.39</v>
      </c>
      <c r="H3631" s="13">
        <f>IFERROR(IF(ABS($G3631)&gt;0,VLOOKUP($E3631,'Fuel Category and Heat Rate'!$B$1:$G$34,6,FALSE)*($G3631),""),"")</f>
        <v>-41566269406496.344</v>
      </c>
      <c r="I3631" t="str">
        <f>IFERROR(VLOOKUP($E3631,'Fuel Category and Heat Rate'!$K$2:$M$36,3,FALSE),"")</f>
        <v>coal</v>
      </c>
    </row>
    <row r="3632" spans="1:9" x14ac:dyDescent="0.15">
      <c r="A3632" s="2">
        <v>408882</v>
      </c>
      <c r="B3632" s="2" t="s">
        <v>87</v>
      </c>
      <c r="C3632" s="2">
        <v>2019</v>
      </c>
      <c r="D3632" s="2" t="s">
        <v>1</v>
      </c>
      <c r="E3632" s="2" t="s">
        <v>16</v>
      </c>
      <c r="F3632" s="2" t="s">
        <v>35</v>
      </c>
      <c r="G3632" s="7"/>
      <c r="H3632" s="13" t="str">
        <f>IFERROR(IF(ABS($G3632)&gt;0,VLOOKUP($E3632,'Fuel Category and Heat Rate'!$B$1:$G$34,6,FALSE)*($G3632),""),"")</f>
        <v/>
      </c>
      <c r="I3632" t="str">
        <f>IFERROR(VLOOKUP($E3632,'Fuel Category and Heat Rate'!$K$2:$M$36,3,FALSE),"")</f>
        <v>petroleum diesel</v>
      </c>
    </row>
    <row r="3633" spans="1:9" x14ac:dyDescent="0.15">
      <c r="A3633" s="2">
        <v>408917</v>
      </c>
      <c r="B3633" s="2" t="s">
        <v>87</v>
      </c>
      <c r="C3633" s="2">
        <v>2019</v>
      </c>
      <c r="D3633" s="2" t="s">
        <v>1</v>
      </c>
      <c r="E3633" s="2" t="s">
        <v>19</v>
      </c>
      <c r="F3633" s="2" t="s">
        <v>35</v>
      </c>
      <c r="G3633" s="7">
        <v>-0.03</v>
      </c>
      <c r="H3633" s="13">
        <f>IFERROR(IF(ABS($G3633)&gt;0,VLOOKUP($E3633,'Fuel Category and Heat Rate'!$B$1:$G$34,6,FALSE)*($G3633),""),"")</f>
        <v>-11890176240.433147</v>
      </c>
      <c r="I3633" t="str">
        <f>IFERROR(VLOOKUP($E3633,'Fuel Category and Heat Rate'!$K$2:$M$36,3,FALSE),"")</f>
        <v>heavy or residual fuel oil</v>
      </c>
    </row>
    <row r="3634" spans="1:9" x14ac:dyDescent="0.15">
      <c r="A3634" s="2">
        <v>408952</v>
      </c>
      <c r="B3634" s="2" t="s">
        <v>87</v>
      </c>
      <c r="C3634" s="2">
        <v>2019</v>
      </c>
      <c r="D3634" s="2" t="s">
        <v>1</v>
      </c>
      <c r="E3634" s="2" t="s">
        <v>31</v>
      </c>
      <c r="F3634" s="2" t="s">
        <v>37</v>
      </c>
      <c r="G3634" s="7">
        <v>30981.34</v>
      </c>
      <c r="H3634" s="13">
        <f>IFERROR(IF(ABS($G3634)&gt;0,VLOOKUP($E3634,'Fuel Category and Heat Rate'!$B$1:$G$34,6,FALSE)*($G3634),""),"")</f>
        <v>293646445351684.5</v>
      </c>
      <c r="I3634" t="str">
        <f>IFERROR(VLOOKUP($E3634,'Fuel Category and Heat Rate'!$K$2:$M$36,3,FALSE),"")</f>
        <v>heat</v>
      </c>
    </row>
    <row r="3635" spans="1:9" x14ac:dyDescent="0.15">
      <c r="A3635" s="2">
        <v>408987</v>
      </c>
      <c r="B3635" s="2" t="s">
        <v>87</v>
      </c>
      <c r="C3635" s="2">
        <v>2019</v>
      </c>
      <c r="D3635" s="2" t="s">
        <v>1</v>
      </c>
      <c r="E3635" s="2" t="s">
        <v>23</v>
      </c>
      <c r="F3635" s="2" t="s">
        <v>35</v>
      </c>
      <c r="G3635" s="7"/>
      <c r="H3635" s="13" t="str">
        <f>IFERROR(IF(ABS($G3635)&gt;0,VLOOKUP($E3635,'Fuel Category and Heat Rate'!$B$1:$G$34,6,FALSE)*($G3635),""),"")</f>
        <v/>
      </c>
      <c r="I3635" t="str">
        <f>IFERROR(VLOOKUP($E3635,'Fuel Category and Heat Rate'!$K$2:$M$36,3,FALSE),"")</f>
        <v>heavy or residual fuel oil</v>
      </c>
    </row>
    <row r="3636" spans="1:9" x14ac:dyDescent="0.15">
      <c r="A3636" s="2">
        <v>409022</v>
      </c>
      <c r="B3636" s="2" t="s">
        <v>87</v>
      </c>
      <c r="C3636" s="2">
        <v>2019</v>
      </c>
      <c r="D3636" s="2" t="s">
        <v>1</v>
      </c>
      <c r="E3636" s="2" t="s">
        <v>21</v>
      </c>
      <c r="F3636" s="2" t="s">
        <v>35</v>
      </c>
      <c r="G3636" s="7"/>
      <c r="H3636" s="13" t="str">
        <f>IFERROR(IF(ABS($G3636)&gt;0,VLOOKUP($E3636,'Fuel Category and Heat Rate'!$B$1:$G$34,6,FALSE)*($G3636),""),"")</f>
        <v/>
      </c>
      <c r="I3636" t="str">
        <f>IFERROR(VLOOKUP($E3636,'Fuel Category and Heat Rate'!$K$2:$M$36,3,FALSE),"")</f>
        <v>LPG propane or butane</v>
      </c>
    </row>
    <row r="3637" spans="1:9" x14ac:dyDescent="0.15">
      <c r="A3637" s="2">
        <v>409057</v>
      </c>
      <c r="B3637" s="2" t="s">
        <v>87</v>
      </c>
      <c r="C3637" s="2">
        <v>2019</v>
      </c>
      <c r="D3637" s="2" t="s">
        <v>1</v>
      </c>
      <c r="E3637" s="2" t="s">
        <v>22</v>
      </c>
      <c r="F3637" s="2" t="s">
        <v>35</v>
      </c>
      <c r="G3637" s="7"/>
      <c r="H3637" s="13" t="str">
        <f>IFERROR(IF(ABS($G3637)&gt;0,VLOOKUP($E3637,'Fuel Category and Heat Rate'!$B$1:$G$34,6,FALSE)*($G3637),""),"")</f>
        <v/>
      </c>
      <c r="I3637" t="str">
        <f>IFERROR(VLOOKUP($E3637,'Fuel Category and Heat Rate'!$K$2:$M$36,3,FALSE),"")</f>
        <v>heavy fuel oil</v>
      </c>
    </row>
    <row r="3638" spans="1:9" x14ac:dyDescent="0.15">
      <c r="A3638" s="2">
        <v>409092</v>
      </c>
      <c r="B3638" s="2" t="s">
        <v>87</v>
      </c>
      <c r="C3638" s="2">
        <v>2019</v>
      </c>
      <c r="D3638" s="2" t="s">
        <v>1</v>
      </c>
      <c r="E3638" s="2" t="s">
        <v>20</v>
      </c>
      <c r="F3638" s="2" t="s">
        <v>35</v>
      </c>
      <c r="G3638" s="7"/>
      <c r="H3638" s="13" t="str">
        <f>IFERROR(IF(ABS($G3638)&gt;0,VLOOKUP($E3638,'Fuel Category and Heat Rate'!$B$1:$G$34,6,FALSE)*($G3638),""),"")</f>
        <v/>
      </c>
      <c r="I3638" t="str">
        <f>IFERROR(VLOOKUP($E3638,'Fuel Category and Heat Rate'!$K$2:$M$36,3,FALSE),"")</f>
        <v>LPG propane or butane</v>
      </c>
    </row>
    <row r="3639" spans="1:9" x14ac:dyDescent="0.15">
      <c r="A3639" s="2">
        <v>409127</v>
      </c>
      <c r="B3639" s="2" t="s">
        <v>87</v>
      </c>
      <c r="C3639" s="2">
        <v>2019</v>
      </c>
      <c r="D3639" s="2" t="s">
        <v>1</v>
      </c>
      <c r="E3639" s="2" t="s">
        <v>25</v>
      </c>
      <c r="F3639" s="2" t="s">
        <v>35</v>
      </c>
      <c r="G3639" s="7"/>
      <c r="H3639" s="13" t="str">
        <f>IFERROR(IF(ABS($G3639)&gt;0,VLOOKUP($E3639,'Fuel Category and Heat Rate'!$B$1:$G$34,6,FALSE)*($G3639),""),"")</f>
        <v/>
      </c>
      <c r="I3639" t="str">
        <f>IFERROR(VLOOKUP($E3639,'Fuel Category and Heat Rate'!$K$2:$M$36,3,FALSE),"")</f>
        <v>heavy fuel oil</v>
      </c>
    </row>
    <row r="3640" spans="1:9" x14ac:dyDescent="0.15">
      <c r="A3640" s="2">
        <v>409162</v>
      </c>
      <c r="B3640" s="2" t="s">
        <v>87</v>
      </c>
      <c r="C3640" s="2">
        <v>2019</v>
      </c>
      <c r="D3640" s="2" t="s">
        <v>1</v>
      </c>
      <c r="E3640" s="2" t="s">
        <v>24</v>
      </c>
      <c r="F3640" s="2" t="s">
        <v>35</v>
      </c>
      <c r="G3640" s="7"/>
      <c r="H3640" s="13" t="str">
        <f>IFERROR(IF(ABS($G3640)&gt;0,VLOOKUP($E3640,'Fuel Category and Heat Rate'!$B$1:$G$34,6,FALSE)*($G3640),""),"")</f>
        <v/>
      </c>
      <c r="I3640" t="str">
        <f>IFERROR(VLOOKUP($E3640,'Fuel Category and Heat Rate'!$K$2:$M$36,3,FALSE),"")</f>
        <v>heavy fuel oil</v>
      </c>
    </row>
    <row r="3641" spans="1:9" x14ac:dyDescent="0.15">
      <c r="A3641" s="2">
        <v>409197</v>
      </c>
      <c r="B3641" s="2" t="s">
        <v>87</v>
      </c>
      <c r="C3641" s="2">
        <v>2019</v>
      </c>
      <c r="D3641" s="2" t="s">
        <v>1</v>
      </c>
      <c r="E3641" s="2" t="s">
        <v>29</v>
      </c>
      <c r="F3641" s="2" t="s">
        <v>36</v>
      </c>
      <c r="G3641" s="7">
        <v>-4.26</v>
      </c>
      <c r="H3641" s="13">
        <f>IFERROR(IF(ABS($G3641)&gt;0,VLOOKUP($E3641,'Fuel Category and Heat Rate'!$B$1:$G$34,6,FALSE)*($G3641),""),"")</f>
        <v>-14367956919057.887</v>
      </c>
      <c r="I3641" t="str">
        <f>IFERROR(VLOOKUP($E3641,'Fuel Category and Heat Rate'!$K$2:$M$36,3,FALSE),"")</f>
        <v>natural gas</v>
      </c>
    </row>
    <row r="3642" spans="1:9" x14ac:dyDescent="0.15">
      <c r="A3642" s="2">
        <v>409232</v>
      </c>
      <c r="B3642" s="2" t="s">
        <v>87</v>
      </c>
      <c r="C3642" s="2">
        <v>2019</v>
      </c>
      <c r="D3642" s="2" t="s">
        <v>1</v>
      </c>
      <c r="E3642" s="2" t="s">
        <v>4</v>
      </c>
      <c r="F3642" s="2" t="s">
        <v>35</v>
      </c>
      <c r="G3642" s="7"/>
      <c r="H3642" s="13" t="str">
        <f>IFERROR(IF(ABS($G3642)&gt;0,VLOOKUP($E3642,'Fuel Category and Heat Rate'!$B$1:$G$34,6,FALSE)*($G3642),""),"")</f>
        <v/>
      </c>
      <c r="I3642" t="str">
        <f>IFERROR(VLOOKUP($E3642,'Fuel Category and Heat Rate'!$K$2:$M$36,3,FALSE),"")</f>
        <v>coal</v>
      </c>
    </row>
    <row r="3643" spans="1:9" x14ac:dyDescent="0.15">
      <c r="A3643" s="2">
        <v>409267</v>
      </c>
      <c r="B3643" s="2" t="s">
        <v>87</v>
      </c>
      <c r="C3643" s="2">
        <v>2019</v>
      </c>
      <c r="D3643" s="2" t="s">
        <v>1</v>
      </c>
      <c r="E3643" s="2" t="s">
        <v>6</v>
      </c>
      <c r="F3643" s="2" t="s">
        <v>35</v>
      </c>
      <c r="G3643" s="7"/>
      <c r="H3643" s="13" t="str">
        <f>IFERROR(IF(ABS($G3643)&gt;0,VLOOKUP($E3643,'Fuel Category and Heat Rate'!$B$1:$G$34,6,FALSE)*($G3643),""),"")</f>
        <v/>
      </c>
      <c r="I3643" t="str">
        <f>IFERROR(VLOOKUP($E3643,'Fuel Category and Heat Rate'!$K$2:$M$36,3,FALSE),"")</f>
        <v>coal</v>
      </c>
    </row>
    <row r="3644" spans="1:9" x14ac:dyDescent="0.15">
      <c r="A3644" s="2">
        <v>409302</v>
      </c>
      <c r="B3644" s="2" t="s">
        <v>87</v>
      </c>
      <c r="C3644" s="2">
        <v>2019</v>
      </c>
      <c r="D3644" s="2" t="s">
        <v>1</v>
      </c>
      <c r="E3644" s="2" t="s">
        <v>26</v>
      </c>
      <c r="F3644" s="2" t="s">
        <v>35</v>
      </c>
      <c r="G3644" s="7"/>
      <c r="H3644" s="13" t="str">
        <f>IFERROR(IF(ABS($G3644)&gt;0,VLOOKUP($E3644,'Fuel Category and Heat Rate'!$B$1:$G$34,6,FALSE)*($G3644),""),"")</f>
        <v/>
      </c>
      <c r="I3644" t="str">
        <f>IFERROR(VLOOKUP($E3644,'Fuel Category and Heat Rate'!$K$2:$M$36,3,FALSE),"")</f>
        <v>LPG propane or butane</v>
      </c>
    </row>
    <row r="3645" spans="1:9" x14ac:dyDescent="0.15">
      <c r="A3645" s="2">
        <v>409337</v>
      </c>
      <c r="B3645" s="2" t="s">
        <v>87</v>
      </c>
      <c r="C3645" s="2">
        <v>2019</v>
      </c>
      <c r="D3645" s="2" t="s">
        <v>1</v>
      </c>
      <c r="E3645" s="2" t="s">
        <v>30</v>
      </c>
      <c r="F3645" s="2" t="s">
        <v>35</v>
      </c>
      <c r="G3645" s="7">
        <v>-7.0000000000000007E-2</v>
      </c>
      <c r="H3645" s="13">
        <f>IFERROR(IF(ABS($G3645)&gt;0,VLOOKUP($E3645,'Fuel Category and Heat Rate'!$B$1:$G$34,6,FALSE)*($G3645),""),"")</f>
        <v>-34125018121.078621</v>
      </c>
      <c r="I3645" t="str">
        <f>IFERROR(VLOOKUP($E3645,'Fuel Category and Heat Rate'!$K$2:$M$36,3,FALSE),"")</f>
        <v>natural gas</v>
      </c>
    </row>
    <row r="3646" spans="1:9" x14ac:dyDescent="0.15">
      <c r="A3646" s="2">
        <v>409372</v>
      </c>
      <c r="B3646" s="2" t="s">
        <v>87</v>
      </c>
      <c r="C3646" s="2">
        <v>2019</v>
      </c>
      <c r="D3646" s="2" t="s">
        <v>1</v>
      </c>
      <c r="E3646" s="2" t="s">
        <v>14</v>
      </c>
      <c r="F3646" s="2" t="s">
        <v>35</v>
      </c>
      <c r="G3646" s="7">
        <v>-0.08</v>
      </c>
      <c r="H3646" s="13">
        <f>IFERROR(IF(ABS($G3646)&gt;0,VLOOKUP($E3646,'Fuel Category and Heat Rate'!$B$1:$G$34,6,FALSE)*($G3646),""),"")</f>
        <v>0</v>
      </c>
      <c r="I3646" t="str">
        <f>IFERROR(VLOOKUP($E3646,'Fuel Category and Heat Rate'!$K$2:$M$36,3,FALSE),"")</f>
        <v/>
      </c>
    </row>
    <row r="3647" spans="1:9" x14ac:dyDescent="0.15">
      <c r="A3647" s="2">
        <v>409407</v>
      </c>
      <c r="B3647" s="2" t="s">
        <v>87</v>
      </c>
      <c r="C3647" s="2">
        <v>2019</v>
      </c>
      <c r="D3647" s="2" t="s">
        <v>1</v>
      </c>
      <c r="E3647" s="2" t="s">
        <v>3</v>
      </c>
      <c r="F3647" s="2" t="s">
        <v>35</v>
      </c>
      <c r="G3647" s="7">
        <v>-2056.3000000000002</v>
      </c>
      <c r="H3647" s="13">
        <f>IFERROR(IF(ABS($G3647)&gt;0,VLOOKUP($E3647,'Fuel Category and Heat Rate'!$B$1:$G$34,6,FALSE)*($G3647),""),"")</f>
        <v>-407496156720044.75</v>
      </c>
      <c r="I3647" t="str">
        <f>IFERROR(VLOOKUP($E3647,'Fuel Category and Heat Rate'!$K$2:$M$36,3,FALSE),"")</f>
        <v>coal</v>
      </c>
    </row>
    <row r="3648" spans="1:9" x14ac:dyDescent="0.15">
      <c r="A3648" s="2">
        <v>409442</v>
      </c>
      <c r="B3648" s="2" t="s">
        <v>87</v>
      </c>
      <c r="C3648" s="2">
        <v>2019</v>
      </c>
      <c r="D3648" s="2" t="s">
        <v>1</v>
      </c>
      <c r="E3648" s="2" t="s">
        <v>15</v>
      </c>
      <c r="F3648" s="2" t="s">
        <v>35</v>
      </c>
      <c r="G3648" s="7"/>
      <c r="H3648" s="13" t="str">
        <f>IFERROR(IF(ABS($G3648)&gt;0,VLOOKUP($E3648,'Fuel Category and Heat Rate'!$B$1:$G$34,6,FALSE)*($G3648),""),"")</f>
        <v/>
      </c>
      <c r="I3648" t="str">
        <f>IFERROR(VLOOKUP($E3648,'Fuel Category and Heat Rate'!$K$2:$M$36,3,FALSE),"")</f>
        <v>crude oil</v>
      </c>
    </row>
    <row r="3649" spans="1:9" x14ac:dyDescent="0.15">
      <c r="A3649" s="2">
        <v>409477</v>
      </c>
      <c r="B3649" s="2" t="s">
        <v>87</v>
      </c>
      <c r="C3649" s="2">
        <v>2019</v>
      </c>
      <c r="D3649" s="2" t="s">
        <v>1</v>
      </c>
      <c r="E3649" s="2" t="s">
        <v>11</v>
      </c>
      <c r="F3649" s="2" t="s">
        <v>36</v>
      </c>
      <c r="G3649" s="7">
        <v>-0.67</v>
      </c>
      <c r="H3649" s="13">
        <f>IFERROR(IF(ABS($G3649)&gt;0,VLOOKUP($E3649,'Fuel Category and Heat Rate'!$B$1:$G$34,6,FALSE)*($G3649),""),"")</f>
        <v>-504537271652.49127</v>
      </c>
      <c r="I3649" t="str">
        <f>IFERROR(VLOOKUP($E3649,'Fuel Category and Heat Rate'!$K$2:$M$36,3,FALSE),"")</f>
        <v>LPG propane or butane</v>
      </c>
    </row>
    <row r="3650" spans="1:9" x14ac:dyDescent="0.15">
      <c r="A3650" s="2">
        <v>409512</v>
      </c>
      <c r="B3650" s="2" t="s">
        <v>87</v>
      </c>
      <c r="C3650" s="2">
        <v>2018</v>
      </c>
      <c r="D3650" s="2" t="s">
        <v>1</v>
      </c>
      <c r="E3650" s="2" t="s">
        <v>18</v>
      </c>
      <c r="F3650" s="2" t="s">
        <v>35</v>
      </c>
      <c r="G3650" s="7">
        <v>-0.04</v>
      </c>
      <c r="H3650" s="13">
        <f>IFERROR(IF(ABS($G3650)&gt;0,VLOOKUP($E3650,'Fuel Category and Heat Rate'!$B$1:$G$34,6,FALSE)*($G3650),""),"")</f>
        <v>-16170518366.397381</v>
      </c>
      <c r="I3650" t="str">
        <f>IFERROR(VLOOKUP($E3650,'Fuel Category and Heat Rate'!$K$2:$M$36,3,FALSE),"")</f>
        <v>petroleum diesel</v>
      </c>
    </row>
    <row r="3651" spans="1:9" x14ac:dyDescent="0.15">
      <c r="A3651" s="2">
        <v>409547</v>
      </c>
      <c r="B3651" s="2" t="s">
        <v>87</v>
      </c>
      <c r="C3651" s="2">
        <v>2018</v>
      </c>
      <c r="D3651" s="2" t="s">
        <v>1</v>
      </c>
      <c r="E3651" s="2" t="s">
        <v>32</v>
      </c>
      <c r="F3651" s="2" t="s">
        <v>65</v>
      </c>
      <c r="G3651" s="7"/>
      <c r="H3651" s="13" t="str">
        <f>IFERROR(IF(ABS($G3651)&gt;0,VLOOKUP($E3651,'Fuel Category and Heat Rate'!$B$1:$G$34,6,FALSE)*($G3651),""),"")</f>
        <v/>
      </c>
      <c r="I3651" t="str">
        <f>IFERROR(VLOOKUP($E3651,'Fuel Category and Heat Rate'!$K$2:$M$36,3,FALSE),"")</f>
        <v>electricity</v>
      </c>
    </row>
    <row r="3652" spans="1:9" x14ac:dyDescent="0.15">
      <c r="A3652" s="2">
        <v>409582</v>
      </c>
      <c r="B3652" s="2" t="s">
        <v>87</v>
      </c>
      <c r="C3652" s="2">
        <v>2018</v>
      </c>
      <c r="D3652" s="2" t="s">
        <v>1</v>
      </c>
      <c r="E3652" s="2" t="s">
        <v>10</v>
      </c>
      <c r="F3652" s="2" t="s">
        <v>36</v>
      </c>
      <c r="G3652" s="7">
        <v>-10.050000000000001</v>
      </c>
      <c r="H3652" s="13">
        <f>IFERROR(IF(ABS($G3652)&gt;0,VLOOKUP($E3652,'Fuel Category and Heat Rate'!$B$1:$G$34,6,FALSE)*($G3652),""),"")</f>
        <v>-3584469011758.9512</v>
      </c>
      <c r="I3652" t="str">
        <f>IFERROR(VLOOKUP($E3652,'Fuel Category and Heat Rate'!$K$2:$M$36,3,FALSE),"")</f>
        <v>LPG propane or butane</v>
      </c>
    </row>
    <row r="3653" spans="1:9" x14ac:dyDescent="0.15">
      <c r="A3653" s="2">
        <v>409617</v>
      </c>
      <c r="B3653" s="2" t="s">
        <v>87</v>
      </c>
      <c r="C3653" s="2">
        <v>2018</v>
      </c>
      <c r="D3653" s="2" t="s">
        <v>1</v>
      </c>
      <c r="E3653" s="2" t="s">
        <v>9</v>
      </c>
      <c r="F3653" s="2" t="s">
        <v>36</v>
      </c>
      <c r="G3653" s="7">
        <v>-1.0900000000000001</v>
      </c>
      <c r="H3653" s="13">
        <f>IFERROR(IF(ABS($G3653)&gt;0,VLOOKUP($E3653,'Fuel Category and Heat Rate'!$B$1:$G$34,6,FALSE)*($G3653),""),"")</f>
        <v>-1792825943764.02</v>
      </c>
      <c r="I3653" t="str">
        <f>IFERROR(VLOOKUP($E3653,'Fuel Category and Heat Rate'!$K$2:$M$36,3,FALSE),"")</f>
        <v>LPG propane or butane</v>
      </c>
    </row>
    <row r="3654" spans="1:9" x14ac:dyDescent="0.15">
      <c r="A3654" s="2">
        <v>409652</v>
      </c>
      <c r="B3654" s="2" t="s">
        <v>87</v>
      </c>
      <c r="C3654" s="2">
        <v>2018</v>
      </c>
      <c r="D3654" s="2" t="s">
        <v>1</v>
      </c>
      <c r="E3654" s="2" t="s">
        <v>8</v>
      </c>
      <c r="F3654" s="2" t="s">
        <v>35</v>
      </c>
      <c r="G3654" s="7"/>
      <c r="H3654" s="13" t="str">
        <f>IFERROR(IF(ABS($G3654)&gt;0,VLOOKUP($E3654,'Fuel Category and Heat Rate'!$B$1:$G$34,6,FALSE)*($G3654),""),"")</f>
        <v/>
      </c>
      <c r="I3654" t="str">
        <f>IFERROR(VLOOKUP($E3654,'Fuel Category and Heat Rate'!$K$2:$M$36,3,FALSE),"")</f>
        <v>coal</v>
      </c>
    </row>
    <row r="3655" spans="1:9" x14ac:dyDescent="0.15">
      <c r="A3655" s="2">
        <v>409687</v>
      </c>
      <c r="B3655" s="2" t="s">
        <v>87</v>
      </c>
      <c r="C3655" s="2">
        <v>2018</v>
      </c>
      <c r="D3655" s="2" t="s">
        <v>1</v>
      </c>
      <c r="E3655" s="2" t="s">
        <v>27</v>
      </c>
      <c r="F3655" s="2" t="s">
        <v>35</v>
      </c>
      <c r="G3655" s="7"/>
      <c r="H3655" s="13" t="str">
        <f>IFERROR(IF(ABS($G3655)&gt;0,VLOOKUP($E3655,'Fuel Category and Heat Rate'!$B$1:$G$34,6,FALSE)*($G3655),""),"")</f>
        <v/>
      </c>
      <c r="I3655" t="str">
        <f>IFERROR(VLOOKUP($E3655,'Fuel Category and Heat Rate'!$K$2:$M$36,3,FALSE),"")</f>
        <v>LPG propane or butane</v>
      </c>
    </row>
    <row r="3656" spans="1:9" x14ac:dyDescent="0.15">
      <c r="A3656" s="2">
        <v>409722</v>
      </c>
      <c r="B3656" s="2" t="s">
        <v>87</v>
      </c>
      <c r="C3656" s="2">
        <v>2018</v>
      </c>
      <c r="D3656" s="2" t="s">
        <v>1</v>
      </c>
      <c r="E3656" s="2" t="s">
        <v>7</v>
      </c>
      <c r="F3656" s="2" t="s">
        <v>35</v>
      </c>
      <c r="G3656" s="7">
        <v>-178.43</v>
      </c>
      <c r="H3656" s="13">
        <f>IFERROR(IF(ABS($G3656)&gt;0,VLOOKUP($E3656,'Fuel Category and Heat Rate'!$B$1:$G$34,6,FALSE)*($G3656),""),"")</f>
        <v>-14162025830196.572</v>
      </c>
      <c r="I3656" t="str">
        <f>IFERROR(VLOOKUP($E3656,'Fuel Category and Heat Rate'!$K$2:$M$36,3,FALSE),"")</f>
        <v>coal</v>
      </c>
    </row>
    <row r="3657" spans="1:9" x14ac:dyDescent="0.15">
      <c r="A3657" s="2">
        <v>409757</v>
      </c>
      <c r="B3657" s="2" t="s">
        <v>87</v>
      </c>
      <c r="C3657" s="2">
        <v>2018</v>
      </c>
      <c r="D3657" s="2" t="s">
        <v>1</v>
      </c>
      <c r="E3657" s="2" t="s">
        <v>2</v>
      </c>
      <c r="F3657" s="2" t="s">
        <v>35</v>
      </c>
      <c r="G3657" s="7">
        <v>-2316.9899999999998</v>
      </c>
      <c r="H3657" s="13">
        <f>IFERROR(IF(ABS($G3657)&gt;0,VLOOKUP($E3657,'Fuel Category and Heat Rate'!$B$1:$G$34,6,FALSE)*($G3657),""),"")</f>
        <v>0</v>
      </c>
      <c r="I3657" t="str">
        <f>IFERROR(VLOOKUP($E3657,'Fuel Category and Heat Rate'!$K$2:$M$36,3,FALSE),"")</f>
        <v/>
      </c>
    </row>
    <row r="3658" spans="1:9" x14ac:dyDescent="0.15">
      <c r="A3658" s="2">
        <v>409792</v>
      </c>
      <c r="B3658" s="2" t="s">
        <v>87</v>
      </c>
      <c r="C3658" s="2">
        <v>2018</v>
      </c>
      <c r="D3658" s="2" t="s">
        <v>1</v>
      </c>
      <c r="E3658" s="2" t="s">
        <v>17</v>
      </c>
      <c r="F3658" s="2" t="s">
        <v>35</v>
      </c>
      <c r="G3658" s="7"/>
      <c r="H3658" s="13" t="str">
        <f>IFERROR(IF(ABS($G3658)&gt;0,VLOOKUP($E3658,'Fuel Category and Heat Rate'!$B$1:$G$34,6,FALSE)*($G3658),""),"")</f>
        <v/>
      </c>
      <c r="I3658" t="str">
        <f>IFERROR(VLOOKUP($E3658,'Fuel Category and Heat Rate'!$K$2:$M$36,3,FALSE),"")</f>
        <v>petroleum diesel</v>
      </c>
    </row>
    <row r="3659" spans="1:9" x14ac:dyDescent="0.15">
      <c r="A3659" s="2">
        <v>409827</v>
      </c>
      <c r="B3659" s="2" t="s">
        <v>87</v>
      </c>
      <c r="C3659" s="2">
        <v>2018</v>
      </c>
      <c r="D3659" s="2" t="s">
        <v>1</v>
      </c>
      <c r="E3659" s="2" t="s">
        <v>13</v>
      </c>
      <c r="F3659" s="2" t="s">
        <v>35</v>
      </c>
      <c r="G3659" s="7"/>
      <c r="H3659" s="13" t="str">
        <f>IFERROR(IF(ABS($G3659)&gt;0,VLOOKUP($E3659,'Fuel Category and Heat Rate'!$B$1:$G$34,6,FALSE)*($G3659),""),"")</f>
        <v/>
      </c>
      <c r="I3659" t="str">
        <f>IFERROR(VLOOKUP($E3659,'Fuel Category and Heat Rate'!$K$2:$M$36,3,FALSE),"")</f>
        <v>petroleum diesel</v>
      </c>
    </row>
    <row r="3660" spans="1:9" x14ac:dyDescent="0.15">
      <c r="A3660" s="2">
        <v>409862</v>
      </c>
      <c r="B3660" s="2" t="s">
        <v>87</v>
      </c>
      <c r="C3660" s="2">
        <v>2018</v>
      </c>
      <c r="D3660" s="2" t="s">
        <v>1</v>
      </c>
      <c r="E3660" s="2" t="s">
        <v>12</v>
      </c>
      <c r="F3660" s="2" t="s">
        <v>36</v>
      </c>
      <c r="G3660" s="7"/>
      <c r="H3660" s="13" t="str">
        <f>IFERROR(IF(ABS($G3660)&gt;0,VLOOKUP($E3660,'Fuel Category and Heat Rate'!$B$1:$G$34,6,FALSE)*($G3660),""),"")</f>
        <v/>
      </c>
      <c r="I3660" t="str">
        <f>IFERROR(VLOOKUP($E3660,'Fuel Category and Heat Rate'!$K$2:$M$36,3,FALSE),"")</f>
        <v>LPG propane or butane</v>
      </c>
    </row>
    <row r="3661" spans="1:9" x14ac:dyDescent="0.15">
      <c r="A3661" s="2">
        <v>409897</v>
      </c>
      <c r="B3661" s="2" t="s">
        <v>87</v>
      </c>
      <c r="C3661" s="2">
        <v>2018</v>
      </c>
      <c r="D3661" s="2" t="s">
        <v>1</v>
      </c>
      <c r="E3661" s="2" t="s">
        <v>33</v>
      </c>
      <c r="F3661" s="2" t="s">
        <v>38</v>
      </c>
      <c r="G3661" s="7">
        <v>-4.0199999999999996</v>
      </c>
      <c r="H3661" s="13">
        <f>IFERROR(IF(ABS($G3661)&gt;0,VLOOKUP($E3661,'Fuel Category and Heat Rate'!$B$1:$G$34,6,FALSE)*($G3661),""),"")</f>
        <v>-1115290910902.9629</v>
      </c>
      <c r="I3661" t="str">
        <f>IFERROR(VLOOKUP($E3661,'Fuel Category and Heat Rate'!$K$2:$M$36,3,FALSE),"")</f>
        <v>biomass</v>
      </c>
    </row>
    <row r="3662" spans="1:9" x14ac:dyDescent="0.15">
      <c r="A3662" s="2">
        <v>409932</v>
      </c>
      <c r="B3662" s="2" t="s">
        <v>87</v>
      </c>
      <c r="C3662" s="2">
        <v>2018</v>
      </c>
      <c r="D3662" s="2" t="s">
        <v>1</v>
      </c>
      <c r="E3662" s="2" t="s">
        <v>28</v>
      </c>
      <c r="F3662" s="2" t="s">
        <v>35</v>
      </c>
      <c r="G3662" s="7"/>
      <c r="H3662" s="13" t="str">
        <f>IFERROR(IF(ABS($G3662)&gt;0,VLOOKUP($E3662,'Fuel Category and Heat Rate'!$B$1:$G$34,6,FALSE)*($G3662),""),"")</f>
        <v/>
      </c>
      <c r="I3662" t="str">
        <f>IFERROR(VLOOKUP($E3662,'Fuel Category and Heat Rate'!$K$2:$M$36,3,FALSE),"")</f>
        <v>heavy or residual fuel oil</v>
      </c>
    </row>
    <row r="3663" spans="1:9" x14ac:dyDescent="0.15">
      <c r="A3663" s="2">
        <v>409967</v>
      </c>
      <c r="B3663" s="2" t="s">
        <v>87</v>
      </c>
      <c r="C3663" s="2">
        <v>2018</v>
      </c>
      <c r="D3663" s="2" t="s">
        <v>1</v>
      </c>
      <c r="E3663" s="2" t="s">
        <v>5</v>
      </c>
      <c r="F3663" s="2" t="s">
        <v>35</v>
      </c>
      <c r="G3663" s="7">
        <v>-425.63</v>
      </c>
      <c r="H3663" s="13">
        <f>IFERROR(IF(ABS($G3663)&gt;0,VLOOKUP($E3663,'Fuel Category and Heat Rate'!$B$1:$G$34,6,FALSE)*($G3663),""),"")</f>
        <v>-33737964582633.23</v>
      </c>
      <c r="I3663" t="str">
        <f>IFERROR(VLOOKUP($E3663,'Fuel Category and Heat Rate'!$K$2:$M$36,3,FALSE),"")</f>
        <v>coal</v>
      </c>
    </row>
    <row r="3664" spans="1:9" x14ac:dyDescent="0.15">
      <c r="A3664" s="2">
        <v>410002</v>
      </c>
      <c r="B3664" s="2" t="s">
        <v>87</v>
      </c>
      <c r="C3664" s="2">
        <v>2018</v>
      </c>
      <c r="D3664" s="2" t="s">
        <v>1</v>
      </c>
      <c r="E3664" s="2" t="s">
        <v>16</v>
      </c>
      <c r="F3664" s="2" t="s">
        <v>35</v>
      </c>
      <c r="G3664" s="7"/>
      <c r="H3664" s="13" t="str">
        <f>IFERROR(IF(ABS($G3664)&gt;0,VLOOKUP($E3664,'Fuel Category and Heat Rate'!$B$1:$G$34,6,FALSE)*($G3664),""),"")</f>
        <v/>
      </c>
      <c r="I3664" t="str">
        <f>IFERROR(VLOOKUP($E3664,'Fuel Category and Heat Rate'!$K$2:$M$36,3,FALSE),"")</f>
        <v>petroleum diesel</v>
      </c>
    </row>
    <row r="3665" spans="1:9" x14ac:dyDescent="0.15">
      <c r="A3665" s="2">
        <v>410037</v>
      </c>
      <c r="B3665" s="2" t="s">
        <v>87</v>
      </c>
      <c r="C3665" s="2">
        <v>2018</v>
      </c>
      <c r="D3665" s="2" t="s">
        <v>1</v>
      </c>
      <c r="E3665" s="2" t="s">
        <v>19</v>
      </c>
      <c r="F3665" s="2" t="s">
        <v>35</v>
      </c>
      <c r="G3665" s="7">
        <v>-0.02</v>
      </c>
      <c r="H3665" s="13">
        <f>IFERROR(IF(ABS($G3665)&gt;0,VLOOKUP($E3665,'Fuel Category and Heat Rate'!$B$1:$G$34,6,FALSE)*($G3665),""),"")</f>
        <v>-7926784160.2887659</v>
      </c>
      <c r="I3665" t="str">
        <f>IFERROR(VLOOKUP($E3665,'Fuel Category and Heat Rate'!$K$2:$M$36,3,FALSE),"")</f>
        <v>heavy or residual fuel oil</v>
      </c>
    </row>
    <row r="3666" spans="1:9" x14ac:dyDescent="0.15">
      <c r="A3666" s="2">
        <v>410072</v>
      </c>
      <c r="B3666" s="2" t="s">
        <v>87</v>
      </c>
      <c r="C3666" s="2">
        <v>2018</v>
      </c>
      <c r="D3666" s="2" t="s">
        <v>1</v>
      </c>
      <c r="E3666" s="2" t="s">
        <v>31</v>
      </c>
      <c r="F3666" s="2" t="s">
        <v>37</v>
      </c>
      <c r="G3666" s="7">
        <v>30699.78</v>
      </c>
      <c r="H3666" s="13">
        <f>IFERROR(IF(ABS($G3666)&gt;0,VLOOKUP($E3666,'Fuel Category and Heat Rate'!$B$1:$G$34,6,FALSE)*($G3666),""),"")</f>
        <v>290977771461103.25</v>
      </c>
      <c r="I3666" t="str">
        <f>IFERROR(VLOOKUP($E3666,'Fuel Category and Heat Rate'!$K$2:$M$36,3,FALSE),"")</f>
        <v>heat</v>
      </c>
    </row>
    <row r="3667" spans="1:9" x14ac:dyDescent="0.15">
      <c r="A3667" s="2">
        <v>410107</v>
      </c>
      <c r="B3667" s="2" t="s">
        <v>87</v>
      </c>
      <c r="C3667" s="2">
        <v>2018</v>
      </c>
      <c r="D3667" s="2" t="s">
        <v>1</v>
      </c>
      <c r="E3667" s="2" t="s">
        <v>23</v>
      </c>
      <c r="F3667" s="2" t="s">
        <v>35</v>
      </c>
      <c r="G3667" s="7"/>
      <c r="H3667" s="13" t="str">
        <f>IFERROR(IF(ABS($G3667)&gt;0,VLOOKUP($E3667,'Fuel Category and Heat Rate'!$B$1:$G$34,6,FALSE)*($G3667),""),"")</f>
        <v/>
      </c>
      <c r="I3667" t="str">
        <f>IFERROR(VLOOKUP($E3667,'Fuel Category and Heat Rate'!$K$2:$M$36,3,FALSE),"")</f>
        <v>heavy or residual fuel oil</v>
      </c>
    </row>
    <row r="3668" spans="1:9" x14ac:dyDescent="0.15">
      <c r="A3668" s="2">
        <v>410142</v>
      </c>
      <c r="B3668" s="2" t="s">
        <v>87</v>
      </c>
      <c r="C3668" s="2">
        <v>2018</v>
      </c>
      <c r="D3668" s="2" t="s">
        <v>1</v>
      </c>
      <c r="E3668" s="2" t="s">
        <v>21</v>
      </c>
      <c r="F3668" s="2" t="s">
        <v>35</v>
      </c>
      <c r="G3668" s="7"/>
      <c r="H3668" s="13" t="str">
        <f>IFERROR(IF(ABS($G3668)&gt;0,VLOOKUP($E3668,'Fuel Category and Heat Rate'!$B$1:$G$34,6,FALSE)*($G3668),""),"")</f>
        <v/>
      </c>
      <c r="I3668" t="str">
        <f>IFERROR(VLOOKUP($E3668,'Fuel Category and Heat Rate'!$K$2:$M$36,3,FALSE),"")</f>
        <v>LPG propane or butane</v>
      </c>
    </row>
    <row r="3669" spans="1:9" x14ac:dyDescent="0.15">
      <c r="A3669" s="2">
        <v>410177</v>
      </c>
      <c r="B3669" s="2" t="s">
        <v>87</v>
      </c>
      <c r="C3669" s="2">
        <v>2018</v>
      </c>
      <c r="D3669" s="2" t="s">
        <v>1</v>
      </c>
      <c r="E3669" s="2" t="s">
        <v>22</v>
      </c>
      <c r="F3669" s="2" t="s">
        <v>35</v>
      </c>
      <c r="G3669" s="7"/>
      <c r="H3669" s="13" t="str">
        <f>IFERROR(IF(ABS($G3669)&gt;0,VLOOKUP($E3669,'Fuel Category and Heat Rate'!$B$1:$G$34,6,FALSE)*($G3669),""),"")</f>
        <v/>
      </c>
      <c r="I3669" t="str">
        <f>IFERROR(VLOOKUP($E3669,'Fuel Category and Heat Rate'!$K$2:$M$36,3,FALSE),"")</f>
        <v>heavy fuel oil</v>
      </c>
    </row>
    <row r="3670" spans="1:9" x14ac:dyDescent="0.15">
      <c r="A3670" s="2">
        <v>410212</v>
      </c>
      <c r="B3670" s="2" t="s">
        <v>87</v>
      </c>
      <c r="C3670" s="2">
        <v>2018</v>
      </c>
      <c r="D3670" s="2" t="s">
        <v>1</v>
      </c>
      <c r="E3670" s="2" t="s">
        <v>20</v>
      </c>
      <c r="F3670" s="2" t="s">
        <v>35</v>
      </c>
      <c r="G3670" s="7"/>
      <c r="H3670" s="13" t="str">
        <f>IFERROR(IF(ABS($G3670)&gt;0,VLOOKUP($E3670,'Fuel Category and Heat Rate'!$B$1:$G$34,6,FALSE)*($G3670),""),"")</f>
        <v/>
      </c>
      <c r="I3670" t="str">
        <f>IFERROR(VLOOKUP($E3670,'Fuel Category and Heat Rate'!$K$2:$M$36,3,FALSE),"")</f>
        <v>LPG propane or butane</v>
      </c>
    </row>
    <row r="3671" spans="1:9" x14ac:dyDescent="0.15">
      <c r="A3671" s="2">
        <v>410247</v>
      </c>
      <c r="B3671" s="2" t="s">
        <v>87</v>
      </c>
      <c r="C3671" s="2">
        <v>2018</v>
      </c>
      <c r="D3671" s="2" t="s">
        <v>1</v>
      </c>
      <c r="E3671" s="2" t="s">
        <v>25</v>
      </c>
      <c r="F3671" s="2" t="s">
        <v>35</v>
      </c>
      <c r="G3671" s="7"/>
      <c r="H3671" s="13" t="str">
        <f>IFERROR(IF(ABS($G3671)&gt;0,VLOOKUP($E3671,'Fuel Category and Heat Rate'!$B$1:$G$34,6,FALSE)*($G3671),""),"")</f>
        <v/>
      </c>
      <c r="I3671" t="str">
        <f>IFERROR(VLOOKUP($E3671,'Fuel Category and Heat Rate'!$K$2:$M$36,3,FALSE),"")</f>
        <v>heavy fuel oil</v>
      </c>
    </row>
    <row r="3672" spans="1:9" x14ac:dyDescent="0.15">
      <c r="A3672" s="2">
        <v>410282</v>
      </c>
      <c r="B3672" s="2" t="s">
        <v>87</v>
      </c>
      <c r="C3672" s="2">
        <v>2018</v>
      </c>
      <c r="D3672" s="2" t="s">
        <v>1</v>
      </c>
      <c r="E3672" s="2" t="s">
        <v>24</v>
      </c>
      <c r="F3672" s="2" t="s">
        <v>35</v>
      </c>
      <c r="G3672" s="7"/>
      <c r="H3672" s="13" t="str">
        <f>IFERROR(IF(ABS($G3672)&gt;0,VLOOKUP($E3672,'Fuel Category and Heat Rate'!$B$1:$G$34,6,FALSE)*($G3672),""),"")</f>
        <v/>
      </c>
      <c r="I3672" t="str">
        <f>IFERROR(VLOOKUP($E3672,'Fuel Category and Heat Rate'!$K$2:$M$36,3,FALSE),"")</f>
        <v>heavy fuel oil</v>
      </c>
    </row>
    <row r="3673" spans="1:9" x14ac:dyDescent="0.15">
      <c r="A3673" s="2">
        <v>410317</v>
      </c>
      <c r="B3673" s="2" t="s">
        <v>87</v>
      </c>
      <c r="C3673" s="2">
        <v>2018</v>
      </c>
      <c r="D3673" s="2" t="s">
        <v>1</v>
      </c>
      <c r="E3673" s="2" t="s">
        <v>29</v>
      </c>
      <c r="F3673" s="2" t="s">
        <v>36</v>
      </c>
      <c r="G3673" s="7">
        <v>-3.87</v>
      </c>
      <c r="H3673" s="13">
        <f>IFERROR(IF(ABS($G3673)&gt;0,VLOOKUP($E3673,'Fuel Category and Heat Rate'!$B$1:$G$34,6,FALSE)*($G3673),""),"")</f>
        <v>-13052580581397.658</v>
      </c>
      <c r="I3673" t="str">
        <f>IFERROR(VLOOKUP($E3673,'Fuel Category and Heat Rate'!$K$2:$M$36,3,FALSE),"")</f>
        <v>natural gas</v>
      </c>
    </row>
    <row r="3674" spans="1:9" x14ac:dyDescent="0.15">
      <c r="A3674" s="2">
        <v>410352</v>
      </c>
      <c r="B3674" s="2" t="s">
        <v>87</v>
      </c>
      <c r="C3674" s="2">
        <v>2018</v>
      </c>
      <c r="D3674" s="2" t="s">
        <v>1</v>
      </c>
      <c r="E3674" s="2" t="s">
        <v>4</v>
      </c>
      <c r="F3674" s="2" t="s">
        <v>35</v>
      </c>
      <c r="G3674" s="7"/>
      <c r="H3674" s="13" t="str">
        <f>IFERROR(IF(ABS($G3674)&gt;0,VLOOKUP($E3674,'Fuel Category and Heat Rate'!$B$1:$G$34,6,FALSE)*($G3674),""),"")</f>
        <v/>
      </c>
      <c r="I3674" t="str">
        <f>IFERROR(VLOOKUP($E3674,'Fuel Category and Heat Rate'!$K$2:$M$36,3,FALSE),"")</f>
        <v>coal</v>
      </c>
    </row>
    <row r="3675" spans="1:9" x14ac:dyDescent="0.15">
      <c r="A3675" s="2">
        <v>410387</v>
      </c>
      <c r="B3675" s="2" t="s">
        <v>87</v>
      </c>
      <c r="C3675" s="2">
        <v>2018</v>
      </c>
      <c r="D3675" s="2" t="s">
        <v>1</v>
      </c>
      <c r="E3675" s="2" t="s">
        <v>6</v>
      </c>
      <c r="F3675" s="2" t="s">
        <v>35</v>
      </c>
      <c r="G3675" s="7"/>
      <c r="H3675" s="13" t="str">
        <f>IFERROR(IF(ABS($G3675)&gt;0,VLOOKUP($E3675,'Fuel Category and Heat Rate'!$B$1:$G$34,6,FALSE)*($G3675),""),"")</f>
        <v/>
      </c>
      <c r="I3675" t="str">
        <f>IFERROR(VLOOKUP($E3675,'Fuel Category and Heat Rate'!$K$2:$M$36,3,FALSE),"")</f>
        <v>coal</v>
      </c>
    </row>
    <row r="3676" spans="1:9" x14ac:dyDescent="0.15">
      <c r="A3676" s="2">
        <v>410422</v>
      </c>
      <c r="B3676" s="2" t="s">
        <v>87</v>
      </c>
      <c r="C3676" s="2">
        <v>2018</v>
      </c>
      <c r="D3676" s="2" t="s">
        <v>1</v>
      </c>
      <c r="E3676" s="2" t="s">
        <v>26</v>
      </c>
      <c r="F3676" s="2" t="s">
        <v>35</v>
      </c>
      <c r="G3676" s="7"/>
      <c r="H3676" s="13" t="str">
        <f>IFERROR(IF(ABS($G3676)&gt;0,VLOOKUP($E3676,'Fuel Category and Heat Rate'!$B$1:$G$34,6,FALSE)*($G3676),""),"")</f>
        <v/>
      </c>
      <c r="I3676" t="str">
        <f>IFERROR(VLOOKUP($E3676,'Fuel Category and Heat Rate'!$K$2:$M$36,3,FALSE),"")</f>
        <v>LPG propane or butane</v>
      </c>
    </row>
    <row r="3677" spans="1:9" x14ac:dyDescent="0.15">
      <c r="A3677" s="2">
        <v>410457</v>
      </c>
      <c r="B3677" s="2" t="s">
        <v>87</v>
      </c>
      <c r="C3677" s="2">
        <v>2018</v>
      </c>
      <c r="D3677" s="2" t="s">
        <v>1</v>
      </c>
      <c r="E3677" s="2" t="s">
        <v>30</v>
      </c>
      <c r="F3677" s="2" t="s">
        <v>35</v>
      </c>
      <c r="G3677" s="7"/>
      <c r="H3677" s="13" t="str">
        <f>IFERROR(IF(ABS($G3677)&gt;0,VLOOKUP($E3677,'Fuel Category and Heat Rate'!$B$1:$G$34,6,FALSE)*($G3677),""),"")</f>
        <v/>
      </c>
      <c r="I3677" t="str">
        <f>IFERROR(VLOOKUP($E3677,'Fuel Category and Heat Rate'!$K$2:$M$36,3,FALSE),"")</f>
        <v>natural gas</v>
      </c>
    </row>
    <row r="3678" spans="1:9" x14ac:dyDescent="0.15">
      <c r="A3678" s="2">
        <v>410492</v>
      </c>
      <c r="B3678" s="2" t="s">
        <v>87</v>
      </c>
      <c r="C3678" s="2">
        <v>2018</v>
      </c>
      <c r="D3678" s="2" t="s">
        <v>1</v>
      </c>
      <c r="E3678" s="2" t="s">
        <v>14</v>
      </c>
      <c r="F3678" s="2" t="s">
        <v>35</v>
      </c>
      <c r="G3678" s="7">
        <v>-0.06</v>
      </c>
      <c r="H3678" s="13">
        <f>IFERROR(IF(ABS($G3678)&gt;0,VLOOKUP($E3678,'Fuel Category and Heat Rate'!$B$1:$G$34,6,FALSE)*($G3678),""),"")</f>
        <v>0</v>
      </c>
      <c r="I3678" t="str">
        <f>IFERROR(VLOOKUP($E3678,'Fuel Category and Heat Rate'!$K$2:$M$36,3,FALSE),"")</f>
        <v/>
      </c>
    </row>
    <row r="3679" spans="1:9" x14ac:dyDescent="0.15">
      <c r="A3679" s="2">
        <v>410527</v>
      </c>
      <c r="B3679" s="2" t="s">
        <v>87</v>
      </c>
      <c r="C3679" s="2">
        <v>2018</v>
      </c>
      <c r="D3679" s="2" t="s">
        <v>1</v>
      </c>
      <c r="E3679" s="2" t="s">
        <v>3</v>
      </c>
      <c r="F3679" s="2" t="s">
        <v>35</v>
      </c>
      <c r="G3679" s="7">
        <v>-1891.36</v>
      </c>
      <c r="H3679" s="13">
        <f>IFERROR(IF(ABS($G3679)&gt;0,VLOOKUP($E3679,'Fuel Category and Heat Rate'!$B$1:$G$34,6,FALSE)*($G3679),""),"")</f>
        <v>-374810062235094</v>
      </c>
      <c r="I3679" t="str">
        <f>IFERROR(VLOOKUP($E3679,'Fuel Category and Heat Rate'!$K$2:$M$36,3,FALSE),"")</f>
        <v>coal</v>
      </c>
    </row>
    <row r="3680" spans="1:9" x14ac:dyDescent="0.15">
      <c r="A3680" s="2">
        <v>410562</v>
      </c>
      <c r="B3680" s="2" t="s">
        <v>87</v>
      </c>
      <c r="C3680" s="2">
        <v>2018</v>
      </c>
      <c r="D3680" s="2" t="s">
        <v>1</v>
      </c>
      <c r="E3680" s="2" t="s">
        <v>15</v>
      </c>
      <c r="F3680" s="2" t="s">
        <v>35</v>
      </c>
      <c r="G3680" s="7"/>
      <c r="H3680" s="13" t="str">
        <f>IFERROR(IF(ABS($G3680)&gt;0,VLOOKUP($E3680,'Fuel Category and Heat Rate'!$B$1:$G$34,6,FALSE)*($G3680),""),"")</f>
        <v/>
      </c>
      <c r="I3680" t="str">
        <f>IFERROR(VLOOKUP($E3680,'Fuel Category and Heat Rate'!$K$2:$M$36,3,FALSE),"")</f>
        <v>crude oil</v>
      </c>
    </row>
    <row r="3681" spans="1:9" x14ac:dyDescent="0.15">
      <c r="A3681" s="2">
        <v>410597</v>
      </c>
      <c r="B3681" s="2" t="s">
        <v>87</v>
      </c>
      <c r="C3681" s="2">
        <v>2018</v>
      </c>
      <c r="D3681" s="2" t="s">
        <v>1</v>
      </c>
      <c r="E3681" s="2" t="s">
        <v>11</v>
      </c>
      <c r="F3681" s="2" t="s">
        <v>36</v>
      </c>
      <c r="G3681" s="7">
        <v>-0.77</v>
      </c>
      <c r="H3681" s="13">
        <f>IFERROR(IF(ABS($G3681)&gt;0,VLOOKUP($E3681,'Fuel Category and Heat Rate'!$B$1:$G$34,6,FALSE)*($G3681),""),"")</f>
        <v>-579841342048.3855</v>
      </c>
      <c r="I3681" t="str">
        <f>IFERROR(VLOOKUP($E3681,'Fuel Category and Heat Rate'!$K$2:$M$36,3,FALSE),"")</f>
        <v>LPG propane or butane</v>
      </c>
    </row>
    <row r="3682" spans="1:9" x14ac:dyDescent="0.15">
      <c r="A3682" s="2">
        <v>423442</v>
      </c>
      <c r="B3682" s="2" t="s">
        <v>88</v>
      </c>
      <c r="C3682" s="2">
        <v>2022</v>
      </c>
      <c r="D3682" s="2" t="s">
        <v>1</v>
      </c>
      <c r="E3682" s="2" t="s">
        <v>18</v>
      </c>
      <c r="F3682" s="2" t="s">
        <v>35</v>
      </c>
      <c r="G3682" s="7">
        <v>-0.08</v>
      </c>
      <c r="H3682" s="13">
        <f>IFERROR(IF(ABS($G3682)&gt;0,VLOOKUP($E3682,'Fuel Category and Heat Rate'!$B$1:$G$34,6,FALSE)*($G3682),""),"")</f>
        <v>-32341036732.794762</v>
      </c>
      <c r="I3682" t="str">
        <f>IFERROR(VLOOKUP($E3682,'Fuel Category and Heat Rate'!$K$2:$M$36,3,FALSE),"")</f>
        <v>petroleum diesel</v>
      </c>
    </row>
    <row r="3683" spans="1:9" x14ac:dyDescent="0.15">
      <c r="A3683" s="2">
        <v>423477</v>
      </c>
      <c r="B3683" s="2" t="s">
        <v>88</v>
      </c>
      <c r="C3683" s="2">
        <v>2022</v>
      </c>
      <c r="D3683" s="2" t="s">
        <v>1</v>
      </c>
      <c r="E3683" s="2" t="s">
        <v>32</v>
      </c>
      <c r="F3683" s="2" t="s">
        <v>65</v>
      </c>
      <c r="G3683" s="7"/>
      <c r="H3683" s="13" t="str">
        <f>IFERROR(IF(ABS($G3683)&gt;0,VLOOKUP($E3683,'Fuel Category and Heat Rate'!$B$1:$G$34,6,FALSE)*($G3683),""),"")</f>
        <v/>
      </c>
      <c r="I3683" t="str">
        <f>IFERROR(VLOOKUP($E3683,'Fuel Category and Heat Rate'!$K$2:$M$36,3,FALSE),"")</f>
        <v>electricity</v>
      </c>
    </row>
    <row r="3684" spans="1:9" x14ac:dyDescent="0.15">
      <c r="A3684" s="2">
        <v>423512</v>
      </c>
      <c r="B3684" s="2" t="s">
        <v>88</v>
      </c>
      <c r="C3684" s="2">
        <v>2022</v>
      </c>
      <c r="D3684" s="2" t="s">
        <v>1</v>
      </c>
      <c r="E3684" s="2" t="s">
        <v>10</v>
      </c>
      <c r="F3684" s="2" t="s">
        <v>36</v>
      </c>
      <c r="G3684" s="7">
        <v>-21.08</v>
      </c>
      <c r="H3684" s="13">
        <f>IFERROR(IF(ABS($G3684)&gt;0,VLOOKUP($E3684,'Fuel Category and Heat Rate'!$B$1:$G$34,6,FALSE)*($G3684),""),"")</f>
        <v>-7518468335112.3066</v>
      </c>
      <c r="I3684" t="str">
        <f>IFERROR(VLOOKUP($E3684,'Fuel Category and Heat Rate'!$K$2:$M$36,3,FALSE),"")</f>
        <v>LPG propane or butane</v>
      </c>
    </row>
    <row r="3685" spans="1:9" x14ac:dyDescent="0.15">
      <c r="A3685" s="2">
        <v>423547</v>
      </c>
      <c r="B3685" s="2" t="s">
        <v>88</v>
      </c>
      <c r="C3685" s="2">
        <v>2022</v>
      </c>
      <c r="D3685" s="2" t="s">
        <v>1</v>
      </c>
      <c r="E3685" s="2" t="s">
        <v>9</v>
      </c>
      <c r="F3685" s="2" t="s">
        <v>36</v>
      </c>
      <c r="G3685" s="7">
        <v>-2.13</v>
      </c>
      <c r="H3685" s="13">
        <f>IFERROR(IF(ABS($G3685)&gt;0,VLOOKUP($E3685,'Fuel Category and Heat Rate'!$B$1:$G$34,6,FALSE)*($G3685),""),"")</f>
        <v>-3503412165337.0293</v>
      </c>
      <c r="I3685" t="str">
        <f>IFERROR(VLOOKUP($E3685,'Fuel Category and Heat Rate'!$K$2:$M$36,3,FALSE),"")</f>
        <v>LPG propane or butane</v>
      </c>
    </row>
    <row r="3686" spans="1:9" x14ac:dyDescent="0.15">
      <c r="A3686" s="2">
        <v>423582</v>
      </c>
      <c r="B3686" s="2" t="s">
        <v>88</v>
      </c>
      <c r="C3686" s="2">
        <v>2022</v>
      </c>
      <c r="D3686" s="2" t="s">
        <v>1</v>
      </c>
      <c r="E3686" s="2" t="s">
        <v>8</v>
      </c>
      <c r="F3686" s="2" t="s">
        <v>35</v>
      </c>
      <c r="G3686" s="7"/>
      <c r="H3686" s="13" t="str">
        <f>IFERROR(IF(ABS($G3686)&gt;0,VLOOKUP($E3686,'Fuel Category and Heat Rate'!$B$1:$G$34,6,FALSE)*($G3686),""),"")</f>
        <v/>
      </c>
      <c r="I3686" t="str">
        <f>IFERROR(VLOOKUP($E3686,'Fuel Category and Heat Rate'!$K$2:$M$36,3,FALSE),"")</f>
        <v>coal</v>
      </c>
    </row>
    <row r="3687" spans="1:9" x14ac:dyDescent="0.15">
      <c r="A3687" s="2">
        <v>423617</v>
      </c>
      <c r="B3687" s="2" t="s">
        <v>88</v>
      </c>
      <c r="C3687" s="2">
        <v>2022</v>
      </c>
      <c r="D3687" s="2" t="s">
        <v>1</v>
      </c>
      <c r="E3687" s="2" t="s">
        <v>27</v>
      </c>
      <c r="F3687" s="2" t="s">
        <v>35</v>
      </c>
      <c r="G3687" s="7">
        <v>-1.96</v>
      </c>
      <c r="H3687" s="13">
        <f>IFERROR(IF(ABS($G3687)&gt;0,VLOOKUP($E3687,'Fuel Category and Heat Rate'!$B$1:$G$34,6,FALSE)*($G3687),""),"")</f>
        <v>-854514763365.37073</v>
      </c>
      <c r="I3687" t="str">
        <f>IFERROR(VLOOKUP($E3687,'Fuel Category and Heat Rate'!$K$2:$M$36,3,FALSE),"")</f>
        <v>LPG propane or butane</v>
      </c>
    </row>
    <row r="3688" spans="1:9" x14ac:dyDescent="0.15">
      <c r="A3688" s="2">
        <v>423652</v>
      </c>
      <c r="B3688" s="2" t="s">
        <v>88</v>
      </c>
      <c r="C3688" s="2">
        <v>2022</v>
      </c>
      <c r="D3688" s="2" t="s">
        <v>1</v>
      </c>
      <c r="E3688" s="2" t="s">
        <v>7</v>
      </c>
      <c r="F3688" s="2" t="s">
        <v>35</v>
      </c>
      <c r="G3688" s="7">
        <v>-16.03</v>
      </c>
      <c r="H3688" s="13">
        <f>IFERROR(IF(ABS($G3688)&gt;0,VLOOKUP($E3688,'Fuel Category and Heat Rate'!$B$1:$G$34,6,FALSE)*($G3688),""),"")</f>
        <v>-1272304399809.7354</v>
      </c>
      <c r="I3688" t="str">
        <f>IFERROR(VLOOKUP($E3688,'Fuel Category and Heat Rate'!$K$2:$M$36,3,FALSE),"")</f>
        <v>coal</v>
      </c>
    </row>
    <row r="3689" spans="1:9" x14ac:dyDescent="0.15">
      <c r="A3689" s="2">
        <v>423687</v>
      </c>
      <c r="B3689" s="2" t="s">
        <v>88</v>
      </c>
      <c r="C3689" s="2">
        <v>2022</v>
      </c>
      <c r="D3689" s="2" t="s">
        <v>1</v>
      </c>
      <c r="E3689" s="2" t="s">
        <v>2</v>
      </c>
      <c r="F3689" s="2" t="s">
        <v>35</v>
      </c>
      <c r="G3689" s="7">
        <v>-1269.18</v>
      </c>
      <c r="H3689" s="13">
        <f>IFERROR(IF(ABS($G3689)&gt;0,VLOOKUP($E3689,'Fuel Category and Heat Rate'!$B$1:$G$34,6,FALSE)*($G3689),""),"")</f>
        <v>0</v>
      </c>
      <c r="I3689" t="str">
        <f>IFERROR(VLOOKUP($E3689,'Fuel Category and Heat Rate'!$K$2:$M$36,3,FALSE),"")</f>
        <v/>
      </c>
    </row>
    <row r="3690" spans="1:9" x14ac:dyDescent="0.15">
      <c r="A3690" s="2">
        <v>423722</v>
      </c>
      <c r="B3690" s="2" t="s">
        <v>88</v>
      </c>
      <c r="C3690" s="2">
        <v>2022</v>
      </c>
      <c r="D3690" s="2" t="s">
        <v>1</v>
      </c>
      <c r="E3690" s="2" t="s">
        <v>17</v>
      </c>
      <c r="F3690" s="2" t="s">
        <v>35</v>
      </c>
      <c r="G3690" s="7"/>
      <c r="H3690" s="13" t="str">
        <f>IFERROR(IF(ABS($G3690)&gt;0,VLOOKUP($E3690,'Fuel Category and Heat Rate'!$B$1:$G$34,6,FALSE)*($G3690),""),"")</f>
        <v/>
      </c>
      <c r="I3690" t="str">
        <f>IFERROR(VLOOKUP($E3690,'Fuel Category and Heat Rate'!$K$2:$M$36,3,FALSE),"")</f>
        <v>petroleum diesel</v>
      </c>
    </row>
    <row r="3691" spans="1:9" x14ac:dyDescent="0.15">
      <c r="A3691" s="2">
        <v>423757</v>
      </c>
      <c r="B3691" s="2" t="s">
        <v>88</v>
      </c>
      <c r="C3691" s="2">
        <v>2022</v>
      </c>
      <c r="D3691" s="2" t="s">
        <v>1</v>
      </c>
      <c r="E3691" s="2" t="s">
        <v>13</v>
      </c>
      <c r="F3691" s="2" t="s">
        <v>35</v>
      </c>
      <c r="G3691" s="7"/>
      <c r="H3691" s="13" t="str">
        <f>IFERROR(IF(ABS($G3691)&gt;0,VLOOKUP($E3691,'Fuel Category and Heat Rate'!$B$1:$G$34,6,FALSE)*($G3691),""),"")</f>
        <v/>
      </c>
      <c r="I3691" t="str">
        <f>IFERROR(VLOOKUP($E3691,'Fuel Category and Heat Rate'!$K$2:$M$36,3,FALSE),"")</f>
        <v>petroleum diesel</v>
      </c>
    </row>
    <row r="3692" spans="1:9" x14ac:dyDescent="0.15">
      <c r="A3692" s="2">
        <v>423792</v>
      </c>
      <c r="B3692" s="2" t="s">
        <v>88</v>
      </c>
      <c r="C3692" s="2">
        <v>2022</v>
      </c>
      <c r="D3692" s="2" t="s">
        <v>1</v>
      </c>
      <c r="E3692" s="2" t="s">
        <v>12</v>
      </c>
      <c r="F3692" s="2" t="s">
        <v>36</v>
      </c>
      <c r="G3692" s="7"/>
      <c r="H3692" s="13" t="str">
        <f>IFERROR(IF(ABS($G3692)&gt;0,VLOOKUP($E3692,'Fuel Category and Heat Rate'!$B$1:$G$34,6,FALSE)*($G3692),""),"")</f>
        <v/>
      </c>
      <c r="I3692" t="str">
        <f>IFERROR(VLOOKUP($E3692,'Fuel Category and Heat Rate'!$K$2:$M$36,3,FALSE),"")</f>
        <v>LPG propane or butane</v>
      </c>
    </row>
    <row r="3693" spans="1:9" x14ac:dyDescent="0.15">
      <c r="A3693" s="2">
        <v>423827</v>
      </c>
      <c r="B3693" s="2" t="s">
        <v>88</v>
      </c>
      <c r="C3693" s="2">
        <v>2022</v>
      </c>
      <c r="D3693" s="2" t="s">
        <v>1</v>
      </c>
      <c r="E3693" s="2" t="s">
        <v>33</v>
      </c>
      <c r="F3693" s="2" t="s">
        <v>38</v>
      </c>
      <c r="G3693" s="7">
        <v>-3.65</v>
      </c>
      <c r="H3693" s="13">
        <f>IFERROR(IF(ABS($G3693)&gt;0,VLOOKUP($E3693,'Fuel Category and Heat Rate'!$B$1:$G$34,6,FALSE)*($G3693),""),"")</f>
        <v>-1012639757411.8943</v>
      </c>
      <c r="I3693" t="str">
        <f>IFERROR(VLOOKUP($E3693,'Fuel Category and Heat Rate'!$K$2:$M$36,3,FALSE),"")</f>
        <v>biomass</v>
      </c>
    </row>
    <row r="3694" spans="1:9" x14ac:dyDescent="0.15">
      <c r="A3694" s="2">
        <v>423862</v>
      </c>
      <c r="B3694" s="2" t="s">
        <v>88</v>
      </c>
      <c r="C3694" s="2">
        <v>2022</v>
      </c>
      <c r="D3694" s="2" t="s">
        <v>1</v>
      </c>
      <c r="E3694" s="2" t="s">
        <v>28</v>
      </c>
      <c r="F3694" s="2" t="s">
        <v>35</v>
      </c>
      <c r="G3694" s="7"/>
      <c r="H3694" s="13" t="str">
        <f>IFERROR(IF(ABS($G3694)&gt;0,VLOOKUP($E3694,'Fuel Category and Heat Rate'!$B$1:$G$34,6,FALSE)*($G3694),""),"")</f>
        <v/>
      </c>
      <c r="I3694" t="str">
        <f>IFERROR(VLOOKUP($E3694,'Fuel Category and Heat Rate'!$K$2:$M$36,3,FALSE),"")</f>
        <v>heavy or residual fuel oil</v>
      </c>
    </row>
    <row r="3695" spans="1:9" x14ac:dyDescent="0.15">
      <c r="A3695" s="2">
        <v>423897</v>
      </c>
      <c r="B3695" s="2" t="s">
        <v>88</v>
      </c>
      <c r="C3695" s="2">
        <v>2022</v>
      </c>
      <c r="D3695" s="2" t="s">
        <v>1</v>
      </c>
      <c r="E3695" s="2" t="s">
        <v>5</v>
      </c>
      <c r="F3695" s="2" t="s">
        <v>35</v>
      </c>
      <c r="G3695" s="7">
        <v>-48.89</v>
      </c>
      <c r="H3695" s="13">
        <f>IFERROR(IF(ABS($G3695)&gt;0,VLOOKUP($E3695,'Fuel Category and Heat Rate'!$B$1:$G$34,6,FALSE)*($G3695),""),"")</f>
        <v>-3875312098406.9229</v>
      </c>
      <c r="I3695" t="str">
        <f>IFERROR(VLOOKUP($E3695,'Fuel Category and Heat Rate'!$K$2:$M$36,3,FALSE),"")</f>
        <v>coal</v>
      </c>
    </row>
    <row r="3696" spans="1:9" x14ac:dyDescent="0.15">
      <c r="A3696" s="2">
        <v>423932</v>
      </c>
      <c r="B3696" s="2" t="s">
        <v>88</v>
      </c>
      <c r="C3696" s="2">
        <v>2022</v>
      </c>
      <c r="D3696" s="2" t="s">
        <v>1</v>
      </c>
      <c r="E3696" s="2" t="s">
        <v>16</v>
      </c>
      <c r="F3696" s="2" t="s">
        <v>35</v>
      </c>
      <c r="G3696" s="7"/>
      <c r="H3696" s="13" t="str">
        <f>IFERROR(IF(ABS($G3696)&gt;0,VLOOKUP($E3696,'Fuel Category and Heat Rate'!$B$1:$G$34,6,FALSE)*($G3696),""),"")</f>
        <v/>
      </c>
      <c r="I3696" t="str">
        <f>IFERROR(VLOOKUP($E3696,'Fuel Category and Heat Rate'!$K$2:$M$36,3,FALSE),"")</f>
        <v>petroleum diesel</v>
      </c>
    </row>
    <row r="3697" spans="1:9" x14ac:dyDescent="0.15">
      <c r="A3697" s="2">
        <v>423967</v>
      </c>
      <c r="B3697" s="2" t="s">
        <v>88</v>
      </c>
      <c r="C3697" s="2">
        <v>2022</v>
      </c>
      <c r="D3697" s="2" t="s">
        <v>1</v>
      </c>
      <c r="E3697" s="2" t="s">
        <v>19</v>
      </c>
      <c r="F3697" s="2" t="s">
        <v>35</v>
      </c>
      <c r="G3697" s="7"/>
      <c r="H3697" s="13" t="str">
        <f>IFERROR(IF(ABS($G3697)&gt;0,VLOOKUP($E3697,'Fuel Category and Heat Rate'!$B$1:$G$34,6,FALSE)*($G3697),""),"")</f>
        <v/>
      </c>
      <c r="I3697" t="str">
        <f>IFERROR(VLOOKUP($E3697,'Fuel Category and Heat Rate'!$K$2:$M$36,3,FALSE),"")</f>
        <v>heavy or residual fuel oil</v>
      </c>
    </row>
    <row r="3698" spans="1:9" x14ac:dyDescent="0.15">
      <c r="A3698" s="2">
        <v>424002</v>
      </c>
      <c r="B3698" s="2" t="s">
        <v>88</v>
      </c>
      <c r="C3698" s="2">
        <v>2022</v>
      </c>
      <c r="D3698" s="2" t="s">
        <v>1</v>
      </c>
      <c r="E3698" s="2" t="s">
        <v>31</v>
      </c>
      <c r="F3698" s="2" t="s">
        <v>37</v>
      </c>
      <c r="G3698" s="7">
        <v>27694.62</v>
      </c>
      <c r="H3698" s="13">
        <f>IFERROR(IF(ABS($G3698)&gt;0,VLOOKUP($E3698,'Fuel Category and Heat Rate'!$B$1:$G$34,6,FALSE)*($G3698),""),"")</f>
        <v>262494350417563.22</v>
      </c>
      <c r="I3698" t="str">
        <f>IFERROR(VLOOKUP($E3698,'Fuel Category and Heat Rate'!$K$2:$M$36,3,FALSE),"")</f>
        <v>heat</v>
      </c>
    </row>
    <row r="3699" spans="1:9" x14ac:dyDescent="0.15">
      <c r="A3699" s="2">
        <v>424037</v>
      </c>
      <c r="B3699" s="2" t="s">
        <v>88</v>
      </c>
      <c r="C3699" s="2">
        <v>2022</v>
      </c>
      <c r="D3699" s="2" t="s">
        <v>1</v>
      </c>
      <c r="E3699" s="2" t="s">
        <v>23</v>
      </c>
      <c r="F3699" s="2" t="s">
        <v>35</v>
      </c>
      <c r="G3699" s="7"/>
      <c r="H3699" s="13" t="str">
        <f>IFERROR(IF(ABS($G3699)&gt;0,VLOOKUP($E3699,'Fuel Category and Heat Rate'!$B$1:$G$34,6,FALSE)*($G3699),""),"")</f>
        <v/>
      </c>
      <c r="I3699" t="str">
        <f>IFERROR(VLOOKUP($E3699,'Fuel Category and Heat Rate'!$K$2:$M$36,3,FALSE),"")</f>
        <v>heavy or residual fuel oil</v>
      </c>
    </row>
    <row r="3700" spans="1:9" x14ac:dyDescent="0.15">
      <c r="A3700" s="2">
        <v>424072</v>
      </c>
      <c r="B3700" s="2" t="s">
        <v>88</v>
      </c>
      <c r="C3700" s="2">
        <v>2022</v>
      </c>
      <c r="D3700" s="2" t="s">
        <v>1</v>
      </c>
      <c r="E3700" s="2" t="s">
        <v>21</v>
      </c>
      <c r="F3700" s="2" t="s">
        <v>35</v>
      </c>
      <c r="G3700" s="7"/>
      <c r="H3700" s="13" t="str">
        <f>IFERROR(IF(ABS($G3700)&gt;0,VLOOKUP($E3700,'Fuel Category and Heat Rate'!$B$1:$G$34,6,FALSE)*($G3700),""),"")</f>
        <v/>
      </c>
      <c r="I3700" t="str">
        <f>IFERROR(VLOOKUP($E3700,'Fuel Category and Heat Rate'!$K$2:$M$36,3,FALSE),"")</f>
        <v>LPG propane or butane</v>
      </c>
    </row>
    <row r="3701" spans="1:9" x14ac:dyDescent="0.15">
      <c r="A3701" s="2">
        <v>424107</v>
      </c>
      <c r="B3701" s="2" t="s">
        <v>88</v>
      </c>
      <c r="C3701" s="2">
        <v>2022</v>
      </c>
      <c r="D3701" s="2" t="s">
        <v>1</v>
      </c>
      <c r="E3701" s="2" t="s">
        <v>22</v>
      </c>
      <c r="F3701" s="2" t="s">
        <v>35</v>
      </c>
      <c r="G3701" s="7"/>
      <c r="H3701" s="13" t="str">
        <f>IFERROR(IF(ABS($G3701)&gt;0,VLOOKUP($E3701,'Fuel Category and Heat Rate'!$B$1:$G$34,6,FALSE)*($G3701),""),"")</f>
        <v/>
      </c>
      <c r="I3701" t="str">
        <f>IFERROR(VLOOKUP($E3701,'Fuel Category and Heat Rate'!$K$2:$M$36,3,FALSE),"")</f>
        <v>heavy fuel oil</v>
      </c>
    </row>
    <row r="3702" spans="1:9" x14ac:dyDescent="0.15">
      <c r="A3702" s="2">
        <v>424142</v>
      </c>
      <c r="B3702" s="2" t="s">
        <v>88</v>
      </c>
      <c r="C3702" s="2">
        <v>2022</v>
      </c>
      <c r="D3702" s="2" t="s">
        <v>1</v>
      </c>
      <c r="E3702" s="2" t="s">
        <v>20</v>
      </c>
      <c r="F3702" s="2" t="s">
        <v>35</v>
      </c>
      <c r="G3702" s="7"/>
      <c r="H3702" s="13" t="str">
        <f>IFERROR(IF(ABS($G3702)&gt;0,VLOOKUP($E3702,'Fuel Category and Heat Rate'!$B$1:$G$34,6,FALSE)*($G3702),""),"")</f>
        <v/>
      </c>
      <c r="I3702" t="str">
        <f>IFERROR(VLOOKUP($E3702,'Fuel Category and Heat Rate'!$K$2:$M$36,3,FALSE),"")</f>
        <v>LPG propane or butane</v>
      </c>
    </row>
    <row r="3703" spans="1:9" x14ac:dyDescent="0.15">
      <c r="A3703" s="2">
        <v>424177</v>
      </c>
      <c r="B3703" s="2" t="s">
        <v>88</v>
      </c>
      <c r="C3703" s="2">
        <v>2022</v>
      </c>
      <c r="D3703" s="2" t="s">
        <v>1</v>
      </c>
      <c r="E3703" s="2" t="s">
        <v>25</v>
      </c>
      <c r="F3703" s="2" t="s">
        <v>35</v>
      </c>
      <c r="G3703" s="7"/>
      <c r="H3703" s="13" t="str">
        <f>IFERROR(IF(ABS($G3703)&gt;0,VLOOKUP($E3703,'Fuel Category and Heat Rate'!$B$1:$G$34,6,FALSE)*($G3703),""),"")</f>
        <v/>
      </c>
      <c r="I3703" t="str">
        <f>IFERROR(VLOOKUP($E3703,'Fuel Category and Heat Rate'!$K$2:$M$36,3,FALSE),"")</f>
        <v>heavy fuel oil</v>
      </c>
    </row>
    <row r="3704" spans="1:9" x14ac:dyDescent="0.15">
      <c r="A3704" s="2">
        <v>424212</v>
      </c>
      <c r="B3704" s="2" t="s">
        <v>88</v>
      </c>
      <c r="C3704" s="2">
        <v>2022</v>
      </c>
      <c r="D3704" s="2" t="s">
        <v>1</v>
      </c>
      <c r="E3704" s="2" t="s">
        <v>24</v>
      </c>
      <c r="F3704" s="2" t="s">
        <v>35</v>
      </c>
      <c r="G3704" s="7"/>
      <c r="H3704" s="13" t="str">
        <f>IFERROR(IF(ABS($G3704)&gt;0,VLOOKUP($E3704,'Fuel Category and Heat Rate'!$B$1:$G$34,6,FALSE)*($G3704),""),"")</f>
        <v/>
      </c>
      <c r="I3704" t="str">
        <f>IFERROR(VLOOKUP($E3704,'Fuel Category and Heat Rate'!$K$2:$M$36,3,FALSE),"")</f>
        <v>heavy fuel oil</v>
      </c>
    </row>
    <row r="3705" spans="1:9" x14ac:dyDescent="0.15">
      <c r="A3705" s="2">
        <v>424247</v>
      </c>
      <c r="B3705" s="2" t="s">
        <v>88</v>
      </c>
      <c r="C3705" s="2">
        <v>2022</v>
      </c>
      <c r="D3705" s="2" t="s">
        <v>1</v>
      </c>
      <c r="E3705" s="2" t="s">
        <v>29</v>
      </c>
      <c r="F3705" s="2" t="s">
        <v>36</v>
      </c>
      <c r="G3705" s="7">
        <v>-13.45</v>
      </c>
      <c r="H3705" s="13">
        <f>IFERROR(IF(ABS($G3705)&gt;0,VLOOKUP($E3705,'Fuel Category and Heat Rate'!$B$1:$G$34,6,FALSE)*($G3705),""),"")</f>
        <v>-45363619850077.133</v>
      </c>
      <c r="I3705" t="str">
        <f>IFERROR(VLOOKUP($E3705,'Fuel Category and Heat Rate'!$K$2:$M$36,3,FALSE),"")</f>
        <v>natural gas</v>
      </c>
    </row>
    <row r="3706" spans="1:9" x14ac:dyDescent="0.15">
      <c r="A3706" s="2">
        <v>424282</v>
      </c>
      <c r="B3706" s="2" t="s">
        <v>88</v>
      </c>
      <c r="C3706" s="2">
        <v>2022</v>
      </c>
      <c r="D3706" s="2" t="s">
        <v>1</v>
      </c>
      <c r="E3706" s="2" t="s">
        <v>4</v>
      </c>
      <c r="F3706" s="2" t="s">
        <v>35</v>
      </c>
      <c r="G3706" s="7"/>
      <c r="H3706" s="13" t="str">
        <f>IFERROR(IF(ABS($G3706)&gt;0,VLOOKUP($E3706,'Fuel Category and Heat Rate'!$B$1:$G$34,6,FALSE)*($G3706),""),"")</f>
        <v/>
      </c>
      <c r="I3706" t="str">
        <f>IFERROR(VLOOKUP($E3706,'Fuel Category and Heat Rate'!$K$2:$M$36,3,FALSE),"")</f>
        <v>coal</v>
      </c>
    </row>
    <row r="3707" spans="1:9" x14ac:dyDescent="0.15">
      <c r="A3707" s="2">
        <v>424317</v>
      </c>
      <c r="B3707" s="2" t="s">
        <v>88</v>
      </c>
      <c r="C3707" s="2">
        <v>2022</v>
      </c>
      <c r="D3707" s="2" t="s">
        <v>1</v>
      </c>
      <c r="E3707" s="2" t="s">
        <v>6</v>
      </c>
      <c r="F3707" s="2" t="s">
        <v>35</v>
      </c>
      <c r="G3707" s="7"/>
      <c r="H3707" s="13" t="str">
        <f>IFERROR(IF(ABS($G3707)&gt;0,VLOOKUP($E3707,'Fuel Category and Heat Rate'!$B$1:$G$34,6,FALSE)*($G3707),""),"")</f>
        <v/>
      </c>
      <c r="I3707" t="str">
        <f>IFERROR(VLOOKUP($E3707,'Fuel Category and Heat Rate'!$K$2:$M$36,3,FALSE),"")</f>
        <v>coal</v>
      </c>
    </row>
    <row r="3708" spans="1:9" x14ac:dyDescent="0.15">
      <c r="A3708" s="2">
        <v>424352</v>
      </c>
      <c r="B3708" s="2" t="s">
        <v>88</v>
      </c>
      <c r="C3708" s="2">
        <v>2022</v>
      </c>
      <c r="D3708" s="2" t="s">
        <v>1</v>
      </c>
      <c r="E3708" s="2" t="s">
        <v>26</v>
      </c>
      <c r="F3708" s="2" t="s">
        <v>35</v>
      </c>
      <c r="G3708" s="7"/>
      <c r="H3708" s="13" t="str">
        <f>IFERROR(IF(ABS($G3708)&gt;0,VLOOKUP($E3708,'Fuel Category and Heat Rate'!$B$1:$G$34,6,FALSE)*($G3708),""),"")</f>
        <v/>
      </c>
      <c r="I3708" t="str">
        <f>IFERROR(VLOOKUP($E3708,'Fuel Category and Heat Rate'!$K$2:$M$36,3,FALSE),"")</f>
        <v>LPG propane or butane</v>
      </c>
    </row>
    <row r="3709" spans="1:9" x14ac:dyDescent="0.15">
      <c r="A3709" s="2">
        <v>424387</v>
      </c>
      <c r="B3709" s="2" t="s">
        <v>88</v>
      </c>
      <c r="C3709" s="2">
        <v>2022</v>
      </c>
      <c r="D3709" s="2" t="s">
        <v>1</v>
      </c>
      <c r="E3709" s="2" t="s">
        <v>30</v>
      </c>
      <c r="F3709" s="2" t="s">
        <v>35</v>
      </c>
      <c r="G3709" s="7"/>
      <c r="H3709" s="13" t="str">
        <f>IFERROR(IF(ABS($G3709)&gt;0,VLOOKUP($E3709,'Fuel Category and Heat Rate'!$B$1:$G$34,6,FALSE)*($G3709),""),"")</f>
        <v/>
      </c>
      <c r="I3709" t="str">
        <f>IFERROR(VLOOKUP($E3709,'Fuel Category and Heat Rate'!$K$2:$M$36,3,FALSE),"")</f>
        <v>natural gas</v>
      </c>
    </row>
    <row r="3710" spans="1:9" x14ac:dyDescent="0.15">
      <c r="A3710" s="2">
        <v>424422</v>
      </c>
      <c r="B3710" s="2" t="s">
        <v>88</v>
      </c>
      <c r="C3710" s="2">
        <v>2022</v>
      </c>
      <c r="D3710" s="2" t="s">
        <v>1</v>
      </c>
      <c r="E3710" s="2" t="s">
        <v>14</v>
      </c>
      <c r="F3710" s="2" t="s">
        <v>35</v>
      </c>
      <c r="G3710" s="7">
        <v>-2.04</v>
      </c>
      <c r="H3710" s="13">
        <f>IFERROR(IF(ABS($G3710)&gt;0,VLOOKUP($E3710,'Fuel Category and Heat Rate'!$B$1:$G$34,6,FALSE)*($G3710),""),"")</f>
        <v>0</v>
      </c>
      <c r="I3710" t="str">
        <f>IFERROR(VLOOKUP($E3710,'Fuel Category and Heat Rate'!$K$2:$M$36,3,FALSE),"")</f>
        <v/>
      </c>
    </row>
    <row r="3711" spans="1:9" x14ac:dyDescent="0.15">
      <c r="A3711" s="2">
        <v>424457</v>
      </c>
      <c r="B3711" s="2" t="s">
        <v>88</v>
      </c>
      <c r="C3711" s="2">
        <v>2022</v>
      </c>
      <c r="D3711" s="2" t="s">
        <v>1</v>
      </c>
      <c r="E3711" s="2" t="s">
        <v>3</v>
      </c>
      <c r="F3711" s="2" t="s">
        <v>35</v>
      </c>
      <c r="G3711" s="7">
        <v>-1220.29</v>
      </c>
      <c r="H3711" s="13">
        <f>IFERROR(IF(ABS($G3711)&gt;0,VLOOKUP($E3711,'Fuel Category and Heat Rate'!$B$1:$G$34,6,FALSE)*($G3711),""),"")</f>
        <v>-241824386073969.44</v>
      </c>
      <c r="I3711" t="str">
        <f>IFERROR(VLOOKUP($E3711,'Fuel Category and Heat Rate'!$K$2:$M$36,3,FALSE),"")</f>
        <v>coal</v>
      </c>
    </row>
    <row r="3712" spans="1:9" x14ac:dyDescent="0.15">
      <c r="A3712" s="2">
        <v>424492</v>
      </c>
      <c r="B3712" s="2" t="s">
        <v>88</v>
      </c>
      <c r="C3712" s="2">
        <v>2022</v>
      </c>
      <c r="D3712" s="2" t="s">
        <v>1</v>
      </c>
      <c r="E3712" s="2" t="s">
        <v>15</v>
      </c>
      <c r="F3712" s="2" t="s">
        <v>35</v>
      </c>
      <c r="G3712" s="7"/>
      <c r="H3712" s="13" t="str">
        <f>IFERROR(IF(ABS($G3712)&gt;0,VLOOKUP($E3712,'Fuel Category and Heat Rate'!$B$1:$G$34,6,FALSE)*($G3712),""),"")</f>
        <v/>
      </c>
      <c r="I3712" t="str">
        <f>IFERROR(VLOOKUP($E3712,'Fuel Category and Heat Rate'!$K$2:$M$36,3,FALSE),"")</f>
        <v>crude oil</v>
      </c>
    </row>
    <row r="3713" spans="1:9" x14ac:dyDescent="0.15">
      <c r="A3713" s="2">
        <v>424527</v>
      </c>
      <c r="B3713" s="2" t="s">
        <v>88</v>
      </c>
      <c r="C3713" s="2">
        <v>2022</v>
      </c>
      <c r="D3713" s="2" t="s">
        <v>1</v>
      </c>
      <c r="E3713" s="2" t="s">
        <v>11</v>
      </c>
      <c r="F3713" s="2" t="s">
        <v>36</v>
      </c>
      <c r="G3713" s="7"/>
      <c r="H3713" s="13" t="str">
        <f>IFERROR(IF(ABS($G3713)&gt;0,VLOOKUP($E3713,'Fuel Category and Heat Rate'!$B$1:$G$34,6,FALSE)*($G3713),""),"")</f>
        <v/>
      </c>
      <c r="I3713" t="str">
        <f>IFERROR(VLOOKUP($E3713,'Fuel Category and Heat Rate'!$K$2:$M$36,3,FALSE),"")</f>
        <v>LPG propane or butane</v>
      </c>
    </row>
    <row r="3714" spans="1:9" x14ac:dyDescent="0.15">
      <c r="A3714" s="2">
        <v>424562</v>
      </c>
      <c r="B3714" s="2" t="s">
        <v>88</v>
      </c>
      <c r="C3714" s="2">
        <v>2021</v>
      </c>
      <c r="D3714" s="2" t="s">
        <v>1</v>
      </c>
      <c r="E3714" s="2" t="s">
        <v>18</v>
      </c>
      <c r="F3714" s="2" t="s">
        <v>35</v>
      </c>
      <c r="G3714" s="7">
        <v>-0.05</v>
      </c>
      <c r="H3714" s="13">
        <f>IFERROR(IF(ABS($G3714)&gt;0,VLOOKUP($E3714,'Fuel Category and Heat Rate'!$B$1:$G$34,6,FALSE)*($G3714),""),"")</f>
        <v>-20213147957.996727</v>
      </c>
      <c r="I3714" t="str">
        <f>IFERROR(VLOOKUP($E3714,'Fuel Category and Heat Rate'!$K$2:$M$36,3,FALSE),"")</f>
        <v>petroleum diesel</v>
      </c>
    </row>
    <row r="3715" spans="1:9" x14ac:dyDescent="0.15">
      <c r="A3715" s="2">
        <v>424597</v>
      </c>
      <c r="B3715" s="2" t="s">
        <v>88</v>
      </c>
      <c r="C3715" s="2">
        <v>2021</v>
      </c>
      <c r="D3715" s="2" t="s">
        <v>1</v>
      </c>
      <c r="E3715" s="2" t="s">
        <v>32</v>
      </c>
      <c r="F3715" s="2" t="s">
        <v>65</v>
      </c>
      <c r="G3715" s="7"/>
      <c r="H3715" s="13" t="str">
        <f>IFERROR(IF(ABS($G3715)&gt;0,VLOOKUP($E3715,'Fuel Category and Heat Rate'!$B$1:$G$34,6,FALSE)*($G3715),""),"")</f>
        <v/>
      </c>
      <c r="I3715" t="str">
        <f>IFERROR(VLOOKUP($E3715,'Fuel Category and Heat Rate'!$K$2:$M$36,3,FALSE),"")</f>
        <v>electricity</v>
      </c>
    </row>
    <row r="3716" spans="1:9" x14ac:dyDescent="0.15">
      <c r="A3716" s="2">
        <v>424632</v>
      </c>
      <c r="B3716" s="2" t="s">
        <v>88</v>
      </c>
      <c r="C3716" s="2">
        <v>2021</v>
      </c>
      <c r="D3716" s="2" t="s">
        <v>1</v>
      </c>
      <c r="E3716" s="2" t="s">
        <v>10</v>
      </c>
      <c r="F3716" s="2" t="s">
        <v>36</v>
      </c>
      <c r="G3716" s="7">
        <v>-22.69</v>
      </c>
      <c r="H3716" s="13">
        <f>IFERROR(IF(ABS($G3716)&gt;0,VLOOKUP($E3716,'Fuel Category and Heat Rate'!$B$1:$G$34,6,FALSE)*($G3716),""),"")</f>
        <v>-8092696704160.2588</v>
      </c>
      <c r="I3716" t="str">
        <f>IFERROR(VLOOKUP($E3716,'Fuel Category and Heat Rate'!$K$2:$M$36,3,FALSE),"")</f>
        <v>LPG propane or butane</v>
      </c>
    </row>
    <row r="3717" spans="1:9" x14ac:dyDescent="0.15">
      <c r="A3717" s="2">
        <v>424667</v>
      </c>
      <c r="B3717" s="2" t="s">
        <v>88</v>
      </c>
      <c r="C3717" s="2">
        <v>2021</v>
      </c>
      <c r="D3717" s="2" t="s">
        <v>1</v>
      </c>
      <c r="E3717" s="2" t="s">
        <v>9</v>
      </c>
      <c r="F3717" s="2" t="s">
        <v>36</v>
      </c>
      <c r="G3717" s="7">
        <v>-0.06</v>
      </c>
      <c r="H3717" s="13">
        <f>IFERROR(IF(ABS($G3717)&gt;0,VLOOKUP($E3717,'Fuel Category and Heat Rate'!$B$1:$G$34,6,FALSE)*($G3717),""),"")</f>
        <v>-98687666629.212097</v>
      </c>
      <c r="I3717" t="str">
        <f>IFERROR(VLOOKUP($E3717,'Fuel Category and Heat Rate'!$K$2:$M$36,3,FALSE),"")</f>
        <v>LPG propane or butane</v>
      </c>
    </row>
    <row r="3718" spans="1:9" x14ac:dyDescent="0.15">
      <c r="A3718" s="2">
        <v>424702</v>
      </c>
      <c r="B3718" s="2" t="s">
        <v>88</v>
      </c>
      <c r="C3718" s="2">
        <v>2021</v>
      </c>
      <c r="D3718" s="2" t="s">
        <v>1</v>
      </c>
      <c r="E3718" s="2" t="s">
        <v>8</v>
      </c>
      <c r="F3718" s="2" t="s">
        <v>35</v>
      </c>
      <c r="G3718" s="7"/>
      <c r="H3718" s="13" t="str">
        <f>IFERROR(IF(ABS($G3718)&gt;0,VLOOKUP($E3718,'Fuel Category and Heat Rate'!$B$1:$G$34,6,FALSE)*($G3718),""),"")</f>
        <v/>
      </c>
      <c r="I3718" t="str">
        <f>IFERROR(VLOOKUP($E3718,'Fuel Category and Heat Rate'!$K$2:$M$36,3,FALSE),"")</f>
        <v>coal</v>
      </c>
    </row>
    <row r="3719" spans="1:9" x14ac:dyDescent="0.15">
      <c r="A3719" s="2">
        <v>424737</v>
      </c>
      <c r="B3719" s="2" t="s">
        <v>88</v>
      </c>
      <c r="C3719" s="2">
        <v>2021</v>
      </c>
      <c r="D3719" s="2" t="s">
        <v>1</v>
      </c>
      <c r="E3719" s="2" t="s">
        <v>27</v>
      </c>
      <c r="F3719" s="2" t="s">
        <v>35</v>
      </c>
      <c r="G3719" s="7">
        <v>-2.34</v>
      </c>
      <c r="H3719" s="13">
        <f>IFERROR(IF(ABS($G3719)&gt;0,VLOOKUP($E3719,'Fuel Category and Heat Rate'!$B$1:$G$34,6,FALSE)*($G3719),""),"")</f>
        <v>-1020185992997.4323</v>
      </c>
      <c r="I3719" t="str">
        <f>IFERROR(VLOOKUP($E3719,'Fuel Category and Heat Rate'!$K$2:$M$36,3,FALSE),"")</f>
        <v>LPG propane or butane</v>
      </c>
    </row>
    <row r="3720" spans="1:9" x14ac:dyDescent="0.15">
      <c r="A3720" s="2">
        <v>424772</v>
      </c>
      <c r="B3720" s="2" t="s">
        <v>88</v>
      </c>
      <c r="C3720" s="2">
        <v>2021</v>
      </c>
      <c r="D3720" s="2" t="s">
        <v>1</v>
      </c>
      <c r="E3720" s="2" t="s">
        <v>7</v>
      </c>
      <c r="F3720" s="2" t="s">
        <v>35</v>
      </c>
      <c r="G3720" s="7">
        <v>-12.03</v>
      </c>
      <c r="H3720" s="13">
        <f>IFERROR(IF(ABS($G3720)&gt;0,VLOOKUP($E3720,'Fuel Category and Heat Rate'!$B$1:$G$34,6,FALSE)*($G3720),""),"")</f>
        <v>-954823576401.19238</v>
      </c>
      <c r="I3720" t="str">
        <f>IFERROR(VLOOKUP($E3720,'Fuel Category and Heat Rate'!$K$2:$M$36,3,FALSE),"")</f>
        <v>coal</v>
      </c>
    </row>
    <row r="3721" spans="1:9" x14ac:dyDescent="0.15">
      <c r="A3721" s="2">
        <v>424807</v>
      </c>
      <c r="B3721" s="2" t="s">
        <v>88</v>
      </c>
      <c r="C3721" s="2">
        <v>2021</v>
      </c>
      <c r="D3721" s="2" t="s">
        <v>1</v>
      </c>
      <c r="E3721" s="2" t="s">
        <v>2</v>
      </c>
      <c r="F3721" s="2" t="s">
        <v>35</v>
      </c>
      <c r="G3721" s="7">
        <v>-987.87</v>
      </c>
      <c r="H3721" s="13">
        <f>IFERROR(IF(ABS($G3721)&gt;0,VLOOKUP($E3721,'Fuel Category and Heat Rate'!$B$1:$G$34,6,FALSE)*($G3721),""),"")</f>
        <v>0</v>
      </c>
      <c r="I3721" t="str">
        <f>IFERROR(VLOOKUP($E3721,'Fuel Category and Heat Rate'!$K$2:$M$36,3,FALSE),"")</f>
        <v/>
      </c>
    </row>
    <row r="3722" spans="1:9" x14ac:dyDescent="0.15">
      <c r="A3722" s="2">
        <v>424842</v>
      </c>
      <c r="B3722" s="2" t="s">
        <v>88</v>
      </c>
      <c r="C3722" s="2">
        <v>2021</v>
      </c>
      <c r="D3722" s="2" t="s">
        <v>1</v>
      </c>
      <c r="E3722" s="2" t="s">
        <v>17</v>
      </c>
      <c r="F3722" s="2" t="s">
        <v>35</v>
      </c>
      <c r="G3722" s="7"/>
      <c r="H3722" s="13" t="str">
        <f>IFERROR(IF(ABS($G3722)&gt;0,VLOOKUP($E3722,'Fuel Category and Heat Rate'!$B$1:$G$34,6,FALSE)*($G3722),""),"")</f>
        <v/>
      </c>
      <c r="I3722" t="str">
        <f>IFERROR(VLOOKUP($E3722,'Fuel Category and Heat Rate'!$K$2:$M$36,3,FALSE),"")</f>
        <v>petroleum diesel</v>
      </c>
    </row>
    <row r="3723" spans="1:9" x14ac:dyDescent="0.15">
      <c r="A3723" s="2">
        <v>424877</v>
      </c>
      <c r="B3723" s="2" t="s">
        <v>88</v>
      </c>
      <c r="C3723" s="2">
        <v>2021</v>
      </c>
      <c r="D3723" s="2" t="s">
        <v>1</v>
      </c>
      <c r="E3723" s="2" t="s">
        <v>13</v>
      </c>
      <c r="F3723" s="2" t="s">
        <v>35</v>
      </c>
      <c r="G3723" s="7"/>
      <c r="H3723" s="13" t="str">
        <f>IFERROR(IF(ABS($G3723)&gt;0,VLOOKUP($E3723,'Fuel Category and Heat Rate'!$B$1:$G$34,6,FALSE)*($G3723),""),"")</f>
        <v/>
      </c>
      <c r="I3723" t="str">
        <f>IFERROR(VLOOKUP($E3723,'Fuel Category and Heat Rate'!$K$2:$M$36,3,FALSE),"")</f>
        <v>petroleum diesel</v>
      </c>
    </row>
    <row r="3724" spans="1:9" x14ac:dyDescent="0.15">
      <c r="A3724" s="2">
        <v>424912</v>
      </c>
      <c r="B3724" s="2" t="s">
        <v>88</v>
      </c>
      <c r="C3724" s="2">
        <v>2021</v>
      </c>
      <c r="D3724" s="2" t="s">
        <v>1</v>
      </c>
      <c r="E3724" s="2" t="s">
        <v>12</v>
      </c>
      <c r="F3724" s="2" t="s">
        <v>36</v>
      </c>
      <c r="G3724" s="7"/>
      <c r="H3724" s="13" t="str">
        <f>IFERROR(IF(ABS($G3724)&gt;0,VLOOKUP($E3724,'Fuel Category and Heat Rate'!$B$1:$G$34,6,FALSE)*($G3724),""),"")</f>
        <v/>
      </c>
      <c r="I3724" t="str">
        <f>IFERROR(VLOOKUP($E3724,'Fuel Category and Heat Rate'!$K$2:$M$36,3,FALSE),"")</f>
        <v>LPG propane or butane</v>
      </c>
    </row>
    <row r="3725" spans="1:9" x14ac:dyDescent="0.15">
      <c r="A3725" s="2">
        <v>424947</v>
      </c>
      <c r="B3725" s="2" t="s">
        <v>88</v>
      </c>
      <c r="C3725" s="2">
        <v>2021</v>
      </c>
      <c r="D3725" s="2" t="s">
        <v>1</v>
      </c>
      <c r="E3725" s="2" t="s">
        <v>33</v>
      </c>
      <c r="F3725" s="2" t="s">
        <v>38</v>
      </c>
      <c r="G3725" s="7">
        <v>-4.4000000000000004</v>
      </c>
      <c r="H3725" s="13">
        <f>IFERROR(IF(ABS($G3725)&gt;0,VLOOKUP($E3725,'Fuel Category and Heat Rate'!$B$1:$G$34,6,FALSE)*($G3725),""),"")</f>
        <v>-1220716419893.7905</v>
      </c>
      <c r="I3725" t="str">
        <f>IFERROR(VLOOKUP($E3725,'Fuel Category and Heat Rate'!$K$2:$M$36,3,FALSE),"")</f>
        <v>biomass</v>
      </c>
    </row>
    <row r="3726" spans="1:9" x14ac:dyDescent="0.15">
      <c r="A3726" s="2">
        <v>424982</v>
      </c>
      <c r="B3726" s="2" t="s">
        <v>88</v>
      </c>
      <c r="C3726" s="2">
        <v>2021</v>
      </c>
      <c r="D3726" s="2" t="s">
        <v>1</v>
      </c>
      <c r="E3726" s="2" t="s">
        <v>28</v>
      </c>
      <c r="F3726" s="2" t="s">
        <v>35</v>
      </c>
      <c r="G3726" s="7"/>
      <c r="H3726" s="13" t="str">
        <f>IFERROR(IF(ABS($G3726)&gt;0,VLOOKUP($E3726,'Fuel Category and Heat Rate'!$B$1:$G$34,6,FALSE)*($G3726),""),"")</f>
        <v/>
      </c>
      <c r="I3726" t="str">
        <f>IFERROR(VLOOKUP($E3726,'Fuel Category and Heat Rate'!$K$2:$M$36,3,FALSE),"")</f>
        <v>heavy or residual fuel oil</v>
      </c>
    </row>
    <row r="3727" spans="1:9" x14ac:dyDescent="0.15">
      <c r="A3727" s="2">
        <v>425017</v>
      </c>
      <c r="B3727" s="2" t="s">
        <v>88</v>
      </c>
      <c r="C3727" s="2">
        <v>2021</v>
      </c>
      <c r="D3727" s="2" t="s">
        <v>1</v>
      </c>
      <c r="E3727" s="2" t="s">
        <v>5</v>
      </c>
      <c r="F3727" s="2" t="s">
        <v>35</v>
      </c>
      <c r="G3727" s="7">
        <v>-49.92</v>
      </c>
      <c r="H3727" s="13">
        <f>IFERROR(IF(ABS($G3727)&gt;0,VLOOKUP($E3727,'Fuel Category and Heat Rate'!$B$1:$G$34,6,FALSE)*($G3727),""),"")</f>
        <v>-3956956022754.6245</v>
      </c>
      <c r="I3727" t="str">
        <f>IFERROR(VLOOKUP($E3727,'Fuel Category and Heat Rate'!$K$2:$M$36,3,FALSE),"")</f>
        <v>coal</v>
      </c>
    </row>
    <row r="3728" spans="1:9" x14ac:dyDescent="0.15">
      <c r="A3728" s="2">
        <v>425052</v>
      </c>
      <c r="B3728" s="2" t="s">
        <v>88</v>
      </c>
      <c r="C3728" s="2">
        <v>2021</v>
      </c>
      <c r="D3728" s="2" t="s">
        <v>1</v>
      </c>
      <c r="E3728" s="2" t="s">
        <v>16</v>
      </c>
      <c r="F3728" s="2" t="s">
        <v>35</v>
      </c>
      <c r="G3728" s="7"/>
      <c r="H3728" s="13" t="str">
        <f>IFERROR(IF(ABS($G3728)&gt;0,VLOOKUP($E3728,'Fuel Category and Heat Rate'!$B$1:$G$34,6,FALSE)*($G3728),""),"")</f>
        <v/>
      </c>
      <c r="I3728" t="str">
        <f>IFERROR(VLOOKUP($E3728,'Fuel Category and Heat Rate'!$K$2:$M$36,3,FALSE),"")</f>
        <v>petroleum diesel</v>
      </c>
    </row>
    <row r="3729" spans="1:9" x14ac:dyDescent="0.15">
      <c r="A3729" s="2">
        <v>425087</v>
      </c>
      <c r="B3729" s="2" t="s">
        <v>88</v>
      </c>
      <c r="C3729" s="2">
        <v>2021</v>
      </c>
      <c r="D3729" s="2" t="s">
        <v>1</v>
      </c>
      <c r="E3729" s="2" t="s">
        <v>19</v>
      </c>
      <c r="F3729" s="2" t="s">
        <v>35</v>
      </c>
      <c r="G3729" s="7"/>
      <c r="H3729" s="13" t="str">
        <f>IFERROR(IF(ABS($G3729)&gt;0,VLOOKUP($E3729,'Fuel Category and Heat Rate'!$B$1:$G$34,6,FALSE)*($G3729),""),"")</f>
        <v/>
      </c>
      <c r="I3729" t="str">
        <f>IFERROR(VLOOKUP($E3729,'Fuel Category and Heat Rate'!$K$2:$M$36,3,FALSE),"")</f>
        <v>heavy or residual fuel oil</v>
      </c>
    </row>
    <row r="3730" spans="1:9" x14ac:dyDescent="0.15">
      <c r="A3730" s="2">
        <v>425122</v>
      </c>
      <c r="B3730" s="2" t="s">
        <v>88</v>
      </c>
      <c r="C3730" s="2">
        <v>2021</v>
      </c>
      <c r="D3730" s="2" t="s">
        <v>1</v>
      </c>
      <c r="E3730" s="2" t="s">
        <v>31</v>
      </c>
      <c r="F3730" s="2" t="s">
        <v>37</v>
      </c>
      <c r="G3730" s="7">
        <v>21476.05</v>
      </c>
      <c r="H3730" s="13">
        <f>IFERROR(IF(ABS($G3730)&gt;0,VLOOKUP($E3730,'Fuel Category and Heat Rate'!$B$1:$G$34,6,FALSE)*($G3730),""),"")</f>
        <v>203553679172529.13</v>
      </c>
      <c r="I3730" t="str">
        <f>IFERROR(VLOOKUP($E3730,'Fuel Category and Heat Rate'!$K$2:$M$36,3,FALSE),"")</f>
        <v>heat</v>
      </c>
    </row>
    <row r="3731" spans="1:9" x14ac:dyDescent="0.15">
      <c r="A3731" s="2">
        <v>425157</v>
      </c>
      <c r="B3731" s="2" t="s">
        <v>88</v>
      </c>
      <c r="C3731" s="2">
        <v>2021</v>
      </c>
      <c r="D3731" s="2" t="s">
        <v>1</v>
      </c>
      <c r="E3731" s="2" t="s">
        <v>23</v>
      </c>
      <c r="F3731" s="2" t="s">
        <v>35</v>
      </c>
      <c r="G3731" s="7"/>
      <c r="H3731" s="13" t="str">
        <f>IFERROR(IF(ABS($G3731)&gt;0,VLOOKUP($E3731,'Fuel Category and Heat Rate'!$B$1:$G$34,6,FALSE)*($G3731),""),"")</f>
        <v/>
      </c>
      <c r="I3731" t="str">
        <f>IFERROR(VLOOKUP($E3731,'Fuel Category and Heat Rate'!$K$2:$M$36,3,FALSE),"")</f>
        <v>heavy or residual fuel oil</v>
      </c>
    </row>
    <row r="3732" spans="1:9" x14ac:dyDescent="0.15">
      <c r="A3732" s="2">
        <v>425192</v>
      </c>
      <c r="B3732" s="2" t="s">
        <v>88</v>
      </c>
      <c r="C3732" s="2">
        <v>2021</v>
      </c>
      <c r="D3732" s="2" t="s">
        <v>1</v>
      </c>
      <c r="E3732" s="2" t="s">
        <v>21</v>
      </c>
      <c r="F3732" s="2" t="s">
        <v>35</v>
      </c>
      <c r="G3732" s="7"/>
      <c r="H3732" s="13" t="str">
        <f>IFERROR(IF(ABS($G3732)&gt;0,VLOOKUP($E3732,'Fuel Category and Heat Rate'!$B$1:$G$34,6,FALSE)*($G3732),""),"")</f>
        <v/>
      </c>
      <c r="I3732" t="str">
        <f>IFERROR(VLOOKUP($E3732,'Fuel Category and Heat Rate'!$K$2:$M$36,3,FALSE),"")</f>
        <v>LPG propane or butane</v>
      </c>
    </row>
    <row r="3733" spans="1:9" x14ac:dyDescent="0.15">
      <c r="A3733" s="2">
        <v>425227</v>
      </c>
      <c r="B3733" s="2" t="s">
        <v>88</v>
      </c>
      <c r="C3733" s="2">
        <v>2021</v>
      </c>
      <c r="D3733" s="2" t="s">
        <v>1</v>
      </c>
      <c r="E3733" s="2" t="s">
        <v>22</v>
      </c>
      <c r="F3733" s="2" t="s">
        <v>35</v>
      </c>
      <c r="G3733" s="7"/>
      <c r="H3733" s="13" t="str">
        <f>IFERROR(IF(ABS($G3733)&gt;0,VLOOKUP($E3733,'Fuel Category and Heat Rate'!$B$1:$G$34,6,FALSE)*($G3733),""),"")</f>
        <v/>
      </c>
      <c r="I3733" t="str">
        <f>IFERROR(VLOOKUP($E3733,'Fuel Category and Heat Rate'!$K$2:$M$36,3,FALSE),"")</f>
        <v>heavy fuel oil</v>
      </c>
    </row>
    <row r="3734" spans="1:9" x14ac:dyDescent="0.15">
      <c r="A3734" s="2">
        <v>425262</v>
      </c>
      <c r="B3734" s="2" t="s">
        <v>88</v>
      </c>
      <c r="C3734" s="2">
        <v>2021</v>
      </c>
      <c r="D3734" s="2" t="s">
        <v>1</v>
      </c>
      <c r="E3734" s="2" t="s">
        <v>20</v>
      </c>
      <c r="F3734" s="2" t="s">
        <v>35</v>
      </c>
      <c r="G3734" s="7"/>
      <c r="H3734" s="13" t="str">
        <f>IFERROR(IF(ABS($G3734)&gt;0,VLOOKUP($E3734,'Fuel Category and Heat Rate'!$B$1:$G$34,6,FALSE)*($G3734),""),"")</f>
        <v/>
      </c>
      <c r="I3734" t="str">
        <f>IFERROR(VLOOKUP($E3734,'Fuel Category and Heat Rate'!$K$2:$M$36,3,FALSE),"")</f>
        <v>LPG propane or butane</v>
      </c>
    </row>
    <row r="3735" spans="1:9" x14ac:dyDescent="0.15">
      <c r="A3735" s="2">
        <v>425297</v>
      </c>
      <c r="B3735" s="2" t="s">
        <v>88</v>
      </c>
      <c r="C3735" s="2">
        <v>2021</v>
      </c>
      <c r="D3735" s="2" t="s">
        <v>1</v>
      </c>
      <c r="E3735" s="2" t="s">
        <v>25</v>
      </c>
      <c r="F3735" s="2" t="s">
        <v>35</v>
      </c>
      <c r="G3735" s="7"/>
      <c r="H3735" s="13" t="str">
        <f>IFERROR(IF(ABS($G3735)&gt;0,VLOOKUP($E3735,'Fuel Category and Heat Rate'!$B$1:$G$34,6,FALSE)*($G3735),""),"")</f>
        <v/>
      </c>
      <c r="I3735" t="str">
        <f>IFERROR(VLOOKUP($E3735,'Fuel Category and Heat Rate'!$K$2:$M$36,3,FALSE),"")</f>
        <v>heavy fuel oil</v>
      </c>
    </row>
    <row r="3736" spans="1:9" x14ac:dyDescent="0.15">
      <c r="A3736" s="2">
        <v>425332</v>
      </c>
      <c r="B3736" s="2" t="s">
        <v>88</v>
      </c>
      <c r="C3736" s="2">
        <v>2021</v>
      </c>
      <c r="D3736" s="2" t="s">
        <v>1</v>
      </c>
      <c r="E3736" s="2" t="s">
        <v>24</v>
      </c>
      <c r="F3736" s="2" t="s">
        <v>35</v>
      </c>
      <c r="G3736" s="7"/>
      <c r="H3736" s="13" t="str">
        <f>IFERROR(IF(ABS($G3736)&gt;0,VLOOKUP($E3736,'Fuel Category and Heat Rate'!$B$1:$G$34,6,FALSE)*($G3736),""),"")</f>
        <v/>
      </c>
      <c r="I3736" t="str">
        <f>IFERROR(VLOOKUP($E3736,'Fuel Category and Heat Rate'!$K$2:$M$36,3,FALSE),"")</f>
        <v>heavy fuel oil</v>
      </c>
    </row>
    <row r="3737" spans="1:9" x14ac:dyDescent="0.15">
      <c r="A3737" s="2">
        <v>425367</v>
      </c>
      <c r="B3737" s="2" t="s">
        <v>88</v>
      </c>
      <c r="C3737" s="2">
        <v>2021</v>
      </c>
      <c r="D3737" s="2" t="s">
        <v>1</v>
      </c>
      <c r="E3737" s="2" t="s">
        <v>29</v>
      </c>
      <c r="F3737" s="2" t="s">
        <v>36</v>
      </c>
      <c r="G3737" s="7">
        <v>-11.94</v>
      </c>
      <c r="H3737" s="13">
        <f>IFERROR(IF(ABS($G3737)&gt;0,VLOOKUP($E3737,'Fuel Category and Heat Rate'!$B$1:$G$34,6,FALSE)*($G3737),""),"")</f>
        <v>-40270752491443.938</v>
      </c>
      <c r="I3737" t="str">
        <f>IFERROR(VLOOKUP($E3737,'Fuel Category and Heat Rate'!$K$2:$M$36,3,FALSE),"")</f>
        <v>natural gas</v>
      </c>
    </row>
    <row r="3738" spans="1:9" x14ac:dyDescent="0.15">
      <c r="A3738" s="2">
        <v>425402</v>
      </c>
      <c r="B3738" s="2" t="s">
        <v>88</v>
      </c>
      <c r="C3738" s="2">
        <v>2021</v>
      </c>
      <c r="D3738" s="2" t="s">
        <v>1</v>
      </c>
      <c r="E3738" s="2" t="s">
        <v>4</v>
      </c>
      <c r="F3738" s="2" t="s">
        <v>35</v>
      </c>
      <c r="G3738" s="7"/>
      <c r="H3738" s="13" t="str">
        <f>IFERROR(IF(ABS($G3738)&gt;0,VLOOKUP($E3738,'Fuel Category and Heat Rate'!$B$1:$G$34,6,FALSE)*($G3738),""),"")</f>
        <v/>
      </c>
      <c r="I3738" t="str">
        <f>IFERROR(VLOOKUP($E3738,'Fuel Category and Heat Rate'!$K$2:$M$36,3,FALSE),"")</f>
        <v>coal</v>
      </c>
    </row>
    <row r="3739" spans="1:9" x14ac:dyDescent="0.15">
      <c r="A3739" s="2">
        <v>425437</v>
      </c>
      <c r="B3739" s="2" t="s">
        <v>88</v>
      </c>
      <c r="C3739" s="2">
        <v>2021</v>
      </c>
      <c r="D3739" s="2" t="s">
        <v>1</v>
      </c>
      <c r="E3739" s="2" t="s">
        <v>6</v>
      </c>
      <c r="F3739" s="2" t="s">
        <v>35</v>
      </c>
      <c r="G3739" s="7"/>
      <c r="H3739" s="13" t="str">
        <f>IFERROR(IF(ABS($G3739)&gt;0,VLOOKUP($E3739,'Fuel Category and Heat Rate'!$B$1:$G$34,6,FALSE)*($G3739),""),"")</f>
        <v/>
      </c>
      <c r="I3739" t="str">
        <f>IFERROR(VLOOKUP($E3739,'Fuel Category and Heat Rate'!$K$2:$M$36,3,FALSE),"")</f>
        <v>coal</v>
      </c>
    </row>
    <row r="3740" spans="1:9" x14ac:dyDescent="0.15">
      <c r="A3740" s="2">
        <v>425472</v>
      </c>
      <c r="B3740" s="2" t="s">
        <v>88</v>
      </c>
      <c r="C3740" s="2">
        <v>2021</v>
      </c>
      <c r="D3740" s="2" t="s">
        <v>1</v>
      </c>
      <c r="E3740" s="2" t="s">
        <v>26</v>
      </c>
      <c r="F3740" s="2" t="s">
        <v>35</v>
      </c>
      <c r="G3740" s="7"/>
      <c r="H3740" s="13" t="str">
        <f>IFERROR(IF(ABS($G3740)&gt;0,VLOOKUP($E3740,'Fuel Category and Heat Rate'!$B$1:$G$34,6,FALSE)*($G3740),""),"")</f>
        <v/>
      </c>
      <c r="I3740" t="str">
        <f>IFERROR(VLOOKUP($E3740,'Fuel Category and Heat Rate'!$K$2:$M$36,3,FALSE),"")</f>
        <v>LPG propane or butane</v>
      </c>
    </row>
    <row r="3741" spans="1:9" x14ac:dyDescent="0.15">
      <c r="A3741" s="2">
        <v>425507</v>
      </c>
      <c r="B3741" s="2" t="s">
        <v>88</v>
      </c>
      <c r="C3741" s="2">
        <v>2021</v>
      </c>
      <c r="D3741" s="2" t="s">
        <v>1</v>
      </c>
      <c r="E3741" s="2" t="s">
        <v>30</v>
      </c>
      <c r="F3741" s="2" t="s">
        <v>35</v>
      </c>
      <c r="G3741" s="7"/>
      <c r="H3741" s="13" t="str">
        <f>IFERROR(IF(ABS($G3741)&gt;0,VLOOKUP($E3741,'Fuel Category and Heat Rate'!$B$1:$G$34,6,FALSE)*($G3741),""),"")</f>
        <v/>
      </c>
      <c r="I3741" t="str">
        <f>IFERROR(VLOOKUP($E3741,'Fuel Category and Heat Rate'!$K$2:$M$36,3,FALSE),"")</f>
        <v>natural gas</v>
      </c>
    </row>
    <row r="3742" spans="1:9" x14ac:dyDescent="0.15">
      <c r="A3742" s="2">
        <v>425542</v>
      </c>
      <c r="B3742" s="2" t="s">
        <v>88</v>
      </c>
      <c r="C3742" s="2">
        <v>2021</v>
      </c>
      <c r="D3742" s="2" t="s">
        <v>1</v>
      </c>
      <c r="E3742" s="2" t="s">
        <v>14</v>
      </c>
      <c r="F3742" s="2" t="s">
        <v>35</v>
      </c>
      <c r="G3742" s="7">
        <v>-2.39</v>
      </c>
      <c r="H3742" s="13">
        <f>IFERROR(IF(ABS($G3742)&gt;0,VLOOKUP($E3742,'Fuel Category and Heat Rate'!$B$1:$G$34,6,FALSE)*($G3742),""),"")</f>
        <v>0</v>
      </c>
      <c r="I3742" t="str">
        <f>IFERROR(VLOOKUP($E3742,'Fuel Category and Heat Rate'!$K$2:$M$36,3,FALSE),"")</f>
        <v/>
      </c>
    </row>
    <row r="3743" spans="1:9" x14ac:dyDescent="0.15">
      <c r="A3743" s="2">
        <v>425577</v>
      </c>
      <c r="B3743" s="2" t="s">
        <v>88</v>
      </c>
      <c r="C3743" s="2">
        <v>2021</v>
      </c>
      <c r="D3743" s="2" t="s">
        <v>1</v>
      </c>
      <c r="E3743" s="2" t="s">
        <v>3</v>
      </c>
      <c r="F3743" s="2" t="s">
        <v>35</v>
      </c>
      <c r="G3743" s="7">
        <v>-937.95</v>
      </c>
      <c r="H3743" s="13">
        <f>IFERROR(IF(ABS($G3743)&gt;0,VLOOKUP($E3743,'Fuel Category and Heat Rate'!$B$1:$G$34,6,FALSE)*($G3743),""),"")</f>
        <v>-185873180078571.22</v>
      </c>
      <c r="I3743" t="str">
        <f>IFERROR(VLOOKUP($E3743,'Fuel Category and Heat Rate'!$K$2:$M$36,3,FALSE),"")</f>
        <v>coal</v>
      </c>
    </row>
    <row r="3744" spans="1:9" x14ac:dyDescent="0.15">
      <c r="A3744" s="2">
        <v>425612</v>
      </c>
      <c r="B3744" s="2" t="s">
        <v>88</v>
      </c>
      <c r="C3744" s="2">
        <v>2021</v>
      </c>
      <c r="D3744" s="2" t="s">
        <v>1</v>
      </c>
      <c r="E3744" s="2" t="s">
        <v>15</v>
      </c>
      <c r="F3744" s="2" t="s">
        <v>35</v>
      </c>
      <c r="G3744" s="7"/>
      <c r="H3744" s="13" t="str">
        <f>IFERROR(IF(ABS($G3744)&gt;0,VLOOKUP($E3744,'Fuel Category and Heat Rate'!$B$1:$G$34,6,FALSE)*($G3744),""),"")</f>
        <v/>
      </c>
      <c r="I3744" t="str">
        <f>IFERROR(VLOOKUP($E3744,'Fuel Category and Heat Rate'!$K$2:$M$36,3,FALSE),"")</f>
        <v>crude oil</v>
      </c>
    </row>
    <row r="3745" spans="1:9" x14ac:dyDescent="0.15">
      <c r="A3745" s="2">
        <v>425647</v>
      </c>
      <c r="B3745" s="2" t="s">
        <v>88</v>
      </c>
      <c r="C3745" s="2">
        <v>2021</v>
      </c>
      <c r="D3745" s="2" t="s">
        <v>1</v>
      </c>
      <c r="E3745" s="2" t="s">
        <v>11</v>
      </c>
      <c r="F3745" s="2" t="s">
        <v>36</v>
      </c>
      <c r="G3745" s="7">
        <v>-2.37</v>
      </c>
      <c r="H3745" s="13">
        <f>IFERROR(IF(ABS($G3745)&gt;0,VLOOKUP($E3745,'Fuel Category and Heat Rate'!$B$1:$G$34,6,FALSE)*($G3745),""),"")</f>
        <v>-1784706468382.6929</v>
      </c>
      <c r="I3745" t="str">
        <f>IFERROR(VLOOKUP($E3745,'Fuel Category and Heat Rate'!$K$2:$M$36,3,FALSE),"")</f>
        <v>LPG propane or butane</v>
      </c>
    </row>
    <row r="3746" spans="1:9" x14ac:dyDescent="0.15">
      <c r="A3746" s="2">
        <v>425682</v>
      </c>
      <c r="B3746" s="2" t="s">
        <v>88</v>
      </c>
      <c r="C3746" s="2">
        <v>2020</v>
      </c>
      <c r="D3746" s="2" t="s">
        <v>1</v>
      </c>
      <c r="E3746" s="2" t="s">
        <v>18</v>
      </c>
      <c r="F3746" s="2" t="s">
        <v>35</v>
      </c>
      <c r="G3746" s="7">
        <v>-0.06</v>
      </c>
      <c r="H3746" s="13">
        <f>IFERROR(IF(ABS($G3746)&gt;0,VLOOKUP($E3746,'Fuel Category and Heat Rate'!$B$1:$G$34,6,FALSE)*($G3746),""),"")</f>
        <v>-24255777549.596069</v>
      </c>
      <c r="I3746" t="str">
        <f>IFERROR(VLOOKUP($E3746,'Fuel Category and Heat Rate'!$K$2:$M$36,3,FALSE),"")</f>
        <v>petroleum diesel</v>
      </c>
    </row>
    <row r="3747" spans="1:9" x14ac:dyDescent="0.15">
      <c r="A3747" s="2">
        <v>425717</v>
      </c>
      <c r="B3747" s="2" t="s">
        <v>88</v>
      </c>
      <c r="C3747" s="2">
        <v>2020</v>
      </c>
      <c r="D3747" s="2" t="s">
        <v>1</v>
      </c>
      <c r="E3747" s="2" t="s">
        <v>32</v>
      </c>
      <c r="F3747" s="2" t="s">
        <v>65</v>
      </c>
      <c r="G3747" s="7"/>
      <c r="H3747" s="13" t="str">
        <f>IFERROR(IF(ABS($G3747)&gt;0,VLOOKUP($E3747,'Fuel Category and Heat Rate'!$B$1:$G$34,6,FALSE)*($G3747),""),"")</f>
        <v/>
      </c>
      <c r="I3747" t="str">
        <f>IFERROR(VLOOKUP($E3747,'Fuel Category and Heat Rate'!$K$2:$M$36,3,FALSE),"")</f>
        <v>electricity</v>
      </c>
    </row>
    <row r="3748" spans="1:9" x14ac:dyDescent="0.15">
      <c r="A3748" s="2">
        <v>425752</v>
      </c>
      <c r="B3748" s="2" t="s">
        <v>88</v>
      </c>
      <c r="C3748" s="2">
        <v>2020</v>
      </c>
      <c r="D3748" s="2" t="s">
        <v>1</v>
      </c>
      <c r="E3748" s="2" t="s">
        <v>10</v>
      </c>
      <c r="F3748" s="2" t="s">
        <v>36</v>
      </c>
      <c r="G3748" s="7">
        <v>-37.200000000000003</v>
      </c>
      <c r="H3748" s="13">
        <f>IFERROR(IF(ABS($G3748)&gt;0,VLOOKUP($E3748,'Fuel Category and Heat Rate'!$B$1:$G$34,6,FALSE)*($G3748),""),"")</f>
        <v>-13267885297257.014</v>
      </c>
      <c r="I3748" t="str">
        <f>IFERROR(VLOOKUP($E3748,'Fuel Category and Heat Rate'!$K$2:$M$36,3,FALSE),"")</f>
        <v>LPG propane or butane</v>
      </c>
    </row>
    <row r="3749" spans="1:9" x14ac:dyDescent="0.15">
      <c r="A3749" s="2">
        <v>425787</v>
      </c>
      <c r="B3749" s="2" t="s">
        <v>88</v>
      </c>
      <c r="C3749" s="2">
        <v>2020</v>
      </c>
      <c r="D3749" s="2" t="s">
        <v>1</v>
      </c>
      <c r="E3749" s="2" t="s">
        <v>9</v>
      </c>
      <c r="F3749" s="2" t="s">
        <v>36</v>
      </c>
      <c r="G3749" s="7"/>
      <c r="H3749" s="13" t="str">
        <f>IFERROR(IF(ABS($G3749)&gt;0,VLOOKUP($E3749,'Fuel Category and Heat Rate'!$B$1:$G$34,6,FALSE)*($G3749),""),"")</f>
        <v/>
      </c>
      <c r="I3749" t="str">
        <f>IFERROR(VLOOKUP($E3749,'Fuel Category and Heat Rate'!$K$2:$M$36,3,FALSE),"")</f>
        <v>LPG propane or butane</v>
      </c>
    </row>
    <row r="3750" spans="1:9" x14ac:dyDescent="0.15">
      <c r="A3750" s="2">
        <v>425822</v>
      </c>
      <c r="B3750" s="2" t="s">
        <v>88</v>
      </c>
      <c r="C3750" s="2">
        <v>2020</v>
      </c>
      <c r="D3750" s="2" t="s">
        <v>1</v>
      </c>
      <c r="E3750" s="2" t="s">
        <v>8</v>
      </c>
      <c r="F3750" s="2" t="s">
        <v>35</v>
      </c>
      <c r="G3750" s="7"/>
      <c r="H3750" s="13" t="str">
        <f>IFERROR(IF(ABS($G3750)&gt;0,VLOOKUP($E3750,'Fuel Category and Heat Rate'!$B$1:$G$34,6,FALSE)*($G3750),""),"")</f>
        <v/>
      </c>
      <c r="I3750" t="str">
        <f>IFERROR(VLOOKUP($E3750,'Fuel Category and Heat Rate'!$K$2:$M$36,3,FALSE),"")</f>
        <v>coal</v>
      </c>
    </row>
    <row r="3751" spans="1:9" x14ac:dyDescent="0.15">
      <c r="A3751" s="2">
        <v>425857</v>
      </c>
      <c r="B3751" s="2" t="s">
        <v>88</v>
      </c>
      <c r="C3751" s="2">
        <v>2020</v>
      </c>
      <c r="D3751" s="2" t="s">
        <v>1</v>
      </c>
      <c r="E3751" s="2" t="s">
        <v>27</v>
      </c>
      <c r="F3751" s="2" t="s">
        <v>35</v>
      </c>
      <c r="G3751" s="7">
        <v>-1.51</v>
      </c>
      <c r="H3751" s="13">
        <f>IFERROR(IF(ABS($G3751)&gt;0,VLOOKUP($E3751,'Fuel Category and Heat Rate'!$B$1:$G$34,6,FALSE)*($G3751),""),"")</f>
        <v>-658325149327.40295</v>
      </c>
      <c r="I3751" t="str">
        <f>IFERROR(VLOOKUP($E3751,'Fuel Category and Heat Rate'!$K$2:$M$36,3,FALSE),"")</f>
        <v>LPG propane or butane</v>
      </c>
    </row>
    <row r="3752" spans="1:9" x14ac:dyDescent="0.15">
      <c r="A3752" s="2">
        <v>425892</v>
      </c>
      <c r="B3752" s="2" t="s">
        <v>88</v>
      </c>
      <c r="C3752" s="2">
        <v>2020</v>
      </c>
      <c r="D3752" s="2" t="s">
        <v>1</v>
      </c>
      <c r="E3752" s="2" t="s">
        <v>7</v>
      </c>
      <c r="F3752" s="2" t="s">
        <v>35</v>
      </c>
      <c r="G3752" s="7">
        <v>-6.27</v>
      </c>
      <c r="H3752" s="13">
        <f>IFERROR(IF(ABS($G3752)&gt;0,VLOOKUP($E3752,'Fuel Category and Heat Rate'!$B$1:$G$34,6,FALSE)*($G3752),""),"")</f>
        <v>-497651190692.89081</v>
      </c>
      <c r="I3752" t="str">
        <f>IFERROR(VLOOKUP($E3752,'Fuel Category and Heat Rate'!$K$2:$M$36,3,FALSE),"")</f>
        <v>coal</v>
      </c>
    </row>
    <row r="3753" spans="1:9" x14ac:dyDescent="0.15">
      <c r="A3753" s="2">
        <v>425927</v>
      </c>
      <c r="B3753" s="2" t="s">
        <v>88</v>
      </c>
      <c r="C3753" s="2">
        <v>2020</v>
      </c>
      <c r="D3753" s="2" t="s">
        <v>1</v>
      </c>
      <c r="E3753" s="2" t="s">
        <v>2</v>
      </c>
      <c r="F3753" s="2" t="s">
        <v>35</v>
      </c>
      <c r="G3753" s="7">
        <v>-840.45</v>
      </c>
      <c r="H3753" s="13">
        <f>IFERROR(IF(ABS($G3753)&gt;0,VLOOKUP($E3753,'Fuel Category and Heat Rate'!$B$1:$G$34,6,FALSE)*($G3753),""),"")</f>
        <v>0</v>
      </c>
      <c r="I3753" t="str">
        <f>IFERROR(VLOOKUP($E3753,'Fuel Category and Heat Rate'!$K$2:$M$36,3,FALSE),"")</f>
        <v/>
      </c>
    </row>
    <row r="3754" spans="1:9" x14ac:dyDescent="0.15">
      <c r="A3754" s="2">
        <v>425962</v>
      </c>
      <c r="B3754" s="2" t="s">
        <v>88</v>
      </c>
      <c r="C3754" s="2">
        <v>2020</v>
      </c>
      <c r="D3754" s="2" t="s">
        <v>1</v>
      </c>
      <c r="E3754" s="2" t="s">
        <v>17</v>
      </c>
      <c r="F3754" s="2" t="s">
        <v>35</v>
      </c>
      <c r="G3754" s="7"/>
      <c r="H3754" s="13" t="str">
        <f>IFERROR(IF(ABS($G3754)&gt;0,VLOOKUP($E3754,'Fuel Category and Heat Rate'!$B$1:$G$34,6,FALSE)*($G3754),""),"")</f>
        <v/>
      </c>
      <c r="I3754" t="str">
        <f>IFERROR(VLOOKUP($E3754,'Fuel Category and Heat Rate'!$K$2:$M$36,3,FALSE),"")</f>
        <v>petroleum diesel</v>
      </c>
    </row>
    <row r="3755" spans="1:9" x14ac:dyDescent="0.15">
      <c r="A3755" s="2">
        <v>425997</v>
      </c>
      <c r="B3755" s="2" t="s">
        <v>88</v>
      </c>
      <c r="C3755" s="2">
        <v>2020</v>
      </c>
      <c r="D3755" s="2" t="s">
        <v>1</v>
      </c>
      <c r="E3755" s="2" t="s">
        <v>13</v>
      </c>
      <c r="F3755" s="2" t="s">
        <v>35</v>
      </c>
      <c r="G3755" s="7"/>
      <c r="H3755" s="13" t="str">
        <f>IFERROR(IF(ABS($G3755)&gt;0,VLOOKUP($E3755,'Fuel Category and Heat Rate'!$B$1:$G$34,6,FALSE)*($G3755),""),"")</f>
        <v/>
      </c>
      <c r="I3755" t="str">
        <f>IFERROR(VLOOKUP($E3755,'Fuel Category and Heat Rate'!$K$2:$M$36,3,FALSE),"")</f>
        <v>petroleum diesel</v>
      </c>
    </row>
    <row r="3756" spans="1:9" x14ac:dyDescent="0.15">
      <c r="A3756" s="2">
        <v>426032</v>
      </c>
      <c r="B3756" s="2" t="s">
        <v>88</v>
      </c>
      <c r="C3756" s="2">
        <v>2020</v>
      </c>
      <c r="D3756" s="2" t="s">
        <v>1</v>
      </c>
      <c r="E3756" s="2" t="s">
        <v>12</v>
      </c>
      <c r="F3756" s="2" t="s">
        <v>36</v>
      </c>
      <c r="G3756" s="7"/>
      <c r="H3756" s="13" t="str">
        <f>IFERROR(IF(ABS($G3756)&gt;0,VLOOKUP($E3756,'Fuel Category and Heat Rate'!$B$1:$G$34,6,FALSE)*($G3756),""),"")</f>
        <v/>
      </c>
      <c r="I3756" t="str">
        <f>IFERROR(VLOOKUP($E3756,'Fuel Category and Heat Rate'!$K$2:$M$36,3,FALSE),"")</f>
        <v>LPG propane or butane</v>
      </c>
    </row>
    <row r="3757" spans="1:9" x14ac:dyDescent="0.15">
      <c r="A3757" s="2">
        <v>426067</v>
      </c>
      <c r="B3757" s="2" t="s">
        <v>88</v>
      </c>
      <c r="C3757" s="2">
        <v>2020</v>
      </c>
      <c r="D3757" s="2" t="s">
        <v>1</v>
      </c>
      <c r="E3757" s="2" t="s">
        <v>33</v>
      </c>
      <c r="F3757" s="2" t="s">
        <v>38</v>
      </c>
      <c r="G3757" s="7"/>
      <c r="H3757" s="13" t="str">
        <f>IFERROR(IF(ABS($G3757)&gt;0,VLOOKUP($E3757,'Fuel Category and Heat Rate'!$B$1:$G$34,6,FALSE)*($G3757),""),"")</f>
        <v/>
      </c>
      <c r="I3757" t="str">
        <f>IFERROR(VLOOKUP($E3757,'Fuel Category and Heat Rate'!$K$2:$M$36,3,FALSE),"")</f>
        <v>biomass</v>
      </c>
    </row>
    <row r="3758" spans="1:9" x14ac:dyDescent="0.15">
      <c r="A3758" s="2">
        <v>426102</v>
      </c>
      <c r="B3758" s="2" t="s">
        <v>88</v>
      </c>
      <c r="C3758" s="2">
        <v>2020</v>
      </c>
      <c r="D3758" s="2" t="s">
        <v>1</v>
      </c>
      <c r="E3758" s="2" t="s">
        <v>28</v>
      </c>
      <c r="F3758" s="2" t="s">
        <v>35</v>
      </c>
      <c r="G3758" s="7"/>
      <c r="H3758" s="13" t="str">
        <f>IFERROR(IF(ABS($G3758)&gt;0,VLOOKUP($E3758,'Fuel Category and Heat Rate'!$B$1:$G$34,6,FALSE)*($G3758),""),"")</f>
        <v/>
      </c>
      <c r="I3758" t="str">
        <f>IFERROR(VLOOKUP($E3758,'Fuel Category and Heat Rate'!$K$2:$M$36,3,FALSE),"")</f>
        <v>heavy or residual fuel oil</v>
      </c>
    </row>
    <row r="3759" spans="1:9" x14ac:dyDescent="0.15">
      <c r="A3759" s="2">
        <v>426137</v>
      </c>
      <c r="B3759" s="2" t="s">
        <v>88</v>
      </c>
      <c r="C3759" s="2">
        <v>2020</v>
      </c>
      <c r="D3759" s="2" t="s">
        <v>1</v>
      </c>
      <c r="E3759" s="2" t="s">
        <v>5</v>
      </c>
      <c r="F3759" s="2" t="s">
        <v>35</v>
      </c>
      <c r="G3759" s="7">
        <v>-48.33</v>
      </c>
      <c r="H3759" s="13">
        <f>IFERROR(IF(ABS($G3759)&gt;0,VLOOKUP($E3759,'Fuel Category and Heat Rate'!$B$1:$G$34,6,FALSE)*($G3759),""),"")</f>
        <v>-3830923168664.4829</v>
      </c>
      <c r="I3759" t="str">
        <f>IFERROR(VLOOKUP($E3759,'Fuel Category and Heat Rate'!$K$2:$M$36,3,FALSE),"")</f>
        <v>coal</v>
      </c>
    </row>
    <row r="3760" spans="1:9" x14ac:dyDescent="0.15">
      <c r="A3760" s="2">
        <v>426172</v>
      </c>
      <c r="B3760" s="2" t="s">
        <v>88</v>
      </c>
      <c r="C3760" s="2">
        <v>2020</v>
      </c>
      <c r="D3760" s="2" t="s">
        <v>1</v>
      </c>
      <c r="E3760" s="2" t="s">
        <v>16</v>
      </c>
      <c r="F3760" s="2" t="s">
        <v>35</v>
      </c>
      <c r="G3760" s="7"/>
      <c r="H3760" s="13" t="str">
        <f>IFERROR(IF(ABS($G3760)&gt;0,VLOOKUP($E3760,'Fuel Category and Heat Rate'!$B$1:$G$34,6,FALSE)*($G3760),""),"")</f>
        <v/>
      </c>
      <c r="I3760" t="str">
        <f>IFERROR(VLOOKUP($E3760,'Fuel Category and Heat Rate'!$K$2:$M$36,3,FALSE),"")</f>
        <v>petroleum diesel</v>
      </c>
    </row>
    <row r="3761" spans="1:9" x14ac:dyDescent="0.15">
      <c r="A3761" s="2">
        <v>426207</v>
      </c>
      <c r="B3761" s="2" t="s">
        <v>88</v>
      </c>
      <c r="C3761" s="2">
        <v>2020</v>
      </c>
      <c r="D3761" s="2" t="s">
        <v>1</v>
      </c>
      <c r="E3761" s="2" t="s">
        <v>19</v>
      </c>
      <c r="F3761" s="2" t="s">
        <v>35</v>
      </c>
      <c r="G3761" s="7"/>
      <c r="H3761" s="13" t="str">
        <f>IFERROR(IF(ABS($G3761)&gt;0,VLOOKUP($E3761,'Fuel Category and Heat Rate'!$B$1:$G$34,6,FALSE)*($G3761),""),"")</f>
        <v/>
      </c>
      <c r="I3761" t="str">
        <f>IFERROR(VLOOKUP($E3761,'Fuel Category and Heat Rate'!$K$2:$M$36,3,FALSE),"")</f>
        <v>heavy or residual fuel oil</v>
      </c>
    </row>
    <row r="3762" spans="1:9" x14ac:dyDescent="0.15">
      <c r="A3762" s="2">
        <v>426242</v>
      </c>
      <c r="B3762" s="2" t="s">
        <v>88</v>
      </c>
      <c r="C3762" s="2">
        <v>2020</v>
      </c>
      <c r="D3762" s="2" t="s">
        <v>1</v>
      </c>
      <c r="E3762" s="2" t="s">
        <v>31</v>
      </c>
      <c r="F3762" s="2" t="s">
        <v>37</v>
      </c>
      <c r="G3762" s="7">
        <v>17767.46</v>
      </c>
      <c r="H3762" s="13">
        <f>IFERROR(IF(ABS($G3762)&gt;0,VLOOKUP($E3762,'Fuel Category and Heat Rate'!$B$1:$G$34,6,FALSE)*($G3762),""),"")</f>
        <v>168403028143012.53</v>
      </c>
      <c r="I3762" t="str">
        <f>IFERROR(VLOOKUP($E3762,'Fuel Category and Heat Rate'!$K$2:$M$36,3,FALSE),"")</f>
        <v>heat</v>
      </c>
    </row>
    <row r="3763" spans="1:9" x14ac:dyDescent="0.15">
      <c r="A3763" s="2">
        <v>426277</v>
      </c>
      <c r="B3763" s="2" t="s">
        <v>88</v>
      </c>
      <c r="C3763" s="2">
        <v>2020</v>
      </c>
      <c r="D3763" s="2" t="s">
        <v>1</v>
      </c>
      <c r="E3763" s="2" t="s">
        <v>23</v>
      </c>
      <c r="F3763" s="2" t="s">
        <v>35</v>
      </c>
      <c r="G3763" s="7"/>
      <c r="H3763" s="13" t="str">
        <f>IFERROR(IF(ABS($G3763)&gt;0,VLOOKUP($E3763,'Fuel Category and Heat Rate'!$B$1:$G$34,6,FALSE)*($G3763),""),"")</f>
        <v/>
      </c>
      <c r="I3763" t="str">
        <f>IFERROR(VLOOKUP($E3763,'Fuel Category and Heat Rate'!$K$2:$M$36,3,FALSE),"")</f>
        <v>heavy or residual fuel oil</v>
      </c>
    </row>
    <row r="3764" spans="1:9" x14ac:dyDescent="0.15">
      <c r="A3764" s="2">
        <v>426312</v>
      </c>
      <c r="B3764" s="2" t="s">
        <v>88</v>
      </c>
      <c r="C3764" s="2">
        <v>2020</v>
      </c>
      <c r="D3764" s="2" t="s">
        <v>1</v>
      </c>
      <c r="E3764" s="2" t="s">
        <v>21</v>
      </c>
      <c r="F3764" s="2" t="s">
        <v>35</v>
      </c>
      <c r="G3764" s="7"/>
      <c r="H3764" s="13" t="str">
        <f>IFERROR(IF(ABS($G3764)&gt;0,VLOOKUP($E3764,'Fuel Category and Heat Rate'!$B$1:$G$34,6,FALSE)*($G3764),""),"")</f>
        <v/>
      </c>
      <c r="I3764" t="str">
        <f>IFERROR(VLOOKUP($E3764,'Fuel Category and Heat Rate'!$K$2:$M$36,3,FALSE),"")</f>
        <v>LPG propane or butane</v>
      </c>
    </row>
    <row r="3765" spans="1:9" x14ac:dyDescent="0.15">
      <c r="A3765" s="2">
        <v>426347</v>
      </c>
      <c r="B3765" s="2" t="s">
        <v>88</v>
      </c>
      <c r="C3765" s="2">
        <v>2020</v>
      </c>
      <c r="D3765" s="2" t="s">
        <v>1</v>
      </c>
      <c r="E3765" s="2" t="s">
        <v>22</v>
      </c>
      <c r="F3765" s="2" t="s">
        <v>35</v>
      </c>
      <c r="G3765" s="7"/>
      <c r="H3765" s="13" t="str">
        <f>IFERROR(IF(ABS($G3765)&gt;0,VLOOKUP($E3765,'Fuel Category and Heat Rate'!$B$1:$G$34,6,FALSE)*($G3765),""),"")</f>
        <v/>
      </c>
      <c r="I3765" t="str">
        <f>IFERROR(VLOOKUP($E3765,'Fuel Category and Heat Rate'!$K$2:$M$36,3,FALSE),"")</f>
        <v>heavy fuel oil</v>
      </c>
    </row>
    <row r="3766" spans="1:9" x14ac:dyDescent="0.15">
      <c r="A3766" s="2">
        <v>426382</v>
      </c>
      <c r="B3766" s="2" t="s">
        <v>88</v>
      </c>
      <c r="C3766" s="2">
        <v>2020</v>
      </c>
      <c r="D3766" s="2" t="s">
        <v>1</v>
      </c>
      <c r="E3766" s="2" t="s">
        <v>20</v>
      </c>
      <c r="F3766" s="2" t="s">
        <v>35</v>
      </c>
      <c r="G3766" s="7"/>
      <c r="H3766" s="13" t="str">
        <f>IFERROR(IF(ABS($G3766)&gt;0,VLOOKUP($E3766,'Fuel Category and Heat Rate'!$B$1:$G$34,6,FALSE)*($G3766),""),"")</f>
        <v/>
      </c>
      <c r="I3766" t="str">
        <f>IFERROR(VLOOKUP($E3766,'Fuel Category and Heat Rate'!$K$2:$M$36,3,FALSE),"")</f>
        <v>LPG propane or butane</v>
      </c>
    </row>
    <row r="3767" spans="1:9" x14ac:dyDescent="0.15">
      <c r="A3767" s="2">
        <v>426417</v>
      </c>
      <c r="B3767" s="2" t="s">
        <v>88</v>
      </c>
      <c r="C3767" s="2">
        <v>2020</v>
      </c>
      <c r="D3767" s="2" t="s">
        <v>1</v>
      </c>
      <c r="E3767" s="2" t="s">
        <v>25</v>
      </c>
      <c r="F3767" s="2" t="s">
        <v>35</v>
      </c>
      <c r="G3767" s="7"/>
      <c r="H3767" s="13" t="str">
        <f>IFERROR(IF(ABS($G3767)&gt;0,VLOOKUP($E3767,'Fuel Category and Heat Rate'!$B$1:$G$34,6,FALSE)*($G3767),""),"")</f>
        <v/>
      </c>
      <c r="I3767" t="str">
        <f>IFERROR(VLOOKUP($E3767,'Fuel Category and Heat Rate'!$K$2:$M$36,3,FALSE),"")</f>
        <v>heavy fuel oil</v>
      </c>
    </row>
    <row r="3768" spans="1:9" x14ac:dyDescent="0.15">
      <c r="A3768" s="2">
        <v>426452</v>
      </c>
      <c r="B3768" s="2" t="s">
        <v>88</v>
      </c>
      <c r="C3768" s="2">
        <v>2020</v>
      </c>
      <c r="D3768" s="2" t="s">
        <v>1</v>
      </c>
      <c r="E3768" s="2" t="s">
        <v>24</v>
      </c>
      <c r="F3768" s="2" t="s">
        <v>35</v>
      </c>
      <c r="G3768" s="7"/>
      <c r="H3768" s="13" t="str">
        <f>IFERROR(IF(ABS($G3768)&gt;0,VLOOKUP($E3768,'Fuel Category and Heat Rate'!$B$1:$G$34,6,FALSE)*($G3768),""),"")</f>
        <v/>
      </c>
      <c r="I3768" t="str">
        <f>IFERROR(VLOOKUP($E3768,'Fuel Category and Heat Rate'!$K$2:$M$36,3,FALSE),"")</f>
        <v>heavy fuel oil</v>
      </c>
    </row>
    <row r="3769" spans="1:9" x14ac:dyDescent="0.15">
      <c r="A3769" s="2">
        <v>426487</v>
      </c>
      <c r="B3769" s="2" t="s">
        <v>88</v>
      </c>
      <c r="C3769" s="2">
        <v>2020</v>
      </c>
      <c r="D3769" s="2" t="s">
        <v>1</v>
      </c>
      <c r="E3769" s="2" t="s">
        <v>29</v>
      </c>
      <c r="F3769" s="2" t="s">
        <v>36</v>
      </c>
      <c r="G3769" s="7">
        <v>-9.01</v>
      </c>
      <c r="H3769" s="13">
        <f>IFERROR(IF(ABS($G3769)&gt;0,VLOOKUP($E3769,'Fuel Category and Heat Rate'!$B$1:$G$34,6,FALSE)*($G3769),""),"")</f>
        <v>-30388566159791.445</v>
      </c>
      <c r="I3769" t="str">
        <f>IFERROR(VLOOKUP($E3769,'Fuel Category and Heat Rate'!$K$2:$M$36,3,FALSE),"")</f>
        <v>natural gas</v>
      </c>
    </row>
    <row r="3770" spans="1:9" x14ac:dyDescent="0.15">
      <c r="A3770" s="2">
        <v>426522</v>
      </c>
      <c r="B3770" s="2" t="s">
        <v>88</v>
      </c>
      <c r="C3770" s="2">
        <v>2020</v>
      </c>
      <c r="D3770" s="2" t="s">
        <v>1</v>
      </c>
      <c r="E3770" s="2" t="s">
        <v>4</v>
      </c>
      <c r="F3770" s="2" t="s">
        <v>35</v>
      </c>
      <c r="G3770" s="7"/>
      <c r="H3770" s="13" t="str">
        <f>IFERROR(IF(ABS($G3770)&gt;0,VLOOKUP($E3770,'Fuel Category and Heat Rate'!$B$1:$G$34,6,FALSE)*($G3770),""),"")</f>
        <v/>
      </c>
      <c r="I3770" t="str">
        <f>IFERROR(VLOOKUP($E3770,'Fuel Category and Heat Rate'!$K$2:$M$36,3,FALSE),"")</f>
        <v>coal</v>
      </c>
    </row>
    <row r="3771" spans="1:9" x14ac:dyDescent="0.15">
      <c r="A3771" s="2">
        <v>426557</v>
      </c>
      <c r="B3771" s="2" t="s">
        <v>88</v>
      </c>
      <c r="C3771" s="2">
        <v>2020</v>
      </c>
      <c r="D3771" s="2" t="s">
        <v>1</v>
      </c>
      <c r="E3771" s="2" t="s">
        <v>6</v>
      </c>
      <c r="F3771" s="2" t="s">
        <v>35</v>
      </c>
      <c r="G3771" s="7"/>
      <c r="H3771" s="13" t="str">
        <f>IFERROR(IF(ABS($G3771)&gt;0,VLOOKUP($E3771,'Fuel Category and Heat Rate'!$B$1:$G$34,6,FALSE)*($G3771),""),"")</f>
        <v/>
      </c>
      <c r="I3771" t="str">
        <f>IFERROR(VLOOKUP($E3771,'Fuel Category and Heat Rate'!$K$2:$M$36,3,FALSE),"")</f>
        <v>coal</v>
      </c>
    </row>
    <row r="3772" spans="1:9" x14ac:dyDescent="0.15">
      <c r="A3772" s="2">
        <v>426592</v>
      </c>
      <c r="B3772" s="2" t="s">
        <v>88</v>
      </c>
      <c r="C3772" s="2">
        <v>2020</v>
      </c>
      <c r="D3772" s="2" t="s">
        <v>1</v>
      </c>
      <c r="E3772" s="2" t="s">
        <v>26</v>
      </c>
      <c r="F3772" s="2" t="s">
        <v>35</v>
      </c>
      <c r="G3772" s="7"/>
      <c r="H3772" s="13" t="str">
        <f>IFERROR(IF(ABS($G3772)&gt;0,VLOOKUP($E3772,'Fuel Category and Heat Rate'!$B$1:$G$34,6,FALSE)*($G3772),""),"")</f>
        <v/>
      </c>
      <c r="I3772" t="str">
        <f>IFERROR(VLOOKUP($E3772,'Fuel Category and Heat Rate'!$K$2:$M$36,3,FALSE),"")</f>
        <v>LPG propane or butane</v>
      </c>
    </row>
    <row r="3773" spans="1:9" x14ac:dyDescent="0.15">
      <c r="A3773" s="2">
        <v>426627</v>
      </c>
      <c r="B3773" s="2" t="s">
        <v>88</v>
      </c>
      <c r="C3773" s="2">
        <v>2020</v>
      </c>
      <c r="D3773" s="2" t="s">
        <v>1</v>
      </c>
      <c r="E3773" s="2" t="s">
        <v>30</v>
      </c>
      <c r="F3773" s="2" t="s">
        <v>35</v>
      </c>
      <c r="G3773" s="7"/>
      <c r="H3773" s="13" t="str">
        <f>IFERROR(IF(ABS($G3773)&gt;0,VLOOKUP($E3773,'Fuel Category and Heat Rate'!$B$1:$G$34,6,FALSE)*($G3773),""),"")</f>
        <v/>
      </c>
      <c r="I3773" t="str">
        <f>IFERROR(VLOOKUP($E3773,'Fuel Category and Heat Rate'!$K$2:$M$36,3,FALSE),"")</f>
        <v>natural gas</v>
      </c>
    </row>
    <row r="3774" spans="1:9" x14ac:dyDescent="0.15">
      <c r="A3774" s="2">
        <v>426662</v>
      </c>
      <c r="B3774" s="2" t="s">
        <v>88</v>
      </c>
      <c r="C3774" s="2">
        <v>2020</v>
      </c>
      <c r="D3774" s="2" t="s">
        <v>1</v>
      </c>
      <c r="E3774" s="2" t="s">
        <v>14</v>
      </c>
      <c r="F3774" s="2" t="s">
        <v>35</v>
      </c>
      <c r="G3774" s="7">
        <v>-1.58</v>
      </c>
      <c r="H3774" s="13">
        <f>IFERROR(IF(ABS($G3774)&gt;0,VLOOKUP($E3774,'Fuel Category and Heat Rate'!$B$1:$G$34,6,FALSE)*($G3774),""),"")</f>
        <v>0</v>
      </c>
      <c r="I3774" t="str">
        <f>IFERROR(VLOOKUP($E3774,'Fuel Category and Heat Rate'!$K$2:$M$36,3,FALSE),"")</f>
        <v/>
      </c>
    </row>
    <row r="3775" spans="1:9" x14ac:dyDescent="0.15">
      <c r="A3775" s="2">
        <v>426697</v>
      </c>
      <c r="B3775" s="2" t="s">
        <v>88</v>
      </c>
      <c r="C3775" s="2">
        <v>2020</v>
      </c>
      <c r="D3775" s="2" t="s">
        <v>1</v>
      </c>
      <c r="E3775" s="2" t="s">
        <v>3</v>
      </c>
      <c r="F3775" s="2" t="s">
        <v>35</v>
      </c>
      <c r="G3775" s="7">
        <v>-792.12</v>
      </c>
      <c r="H3775" s="13">
        <f>IFERROR(IF(ABS($G3775)&gt;0,VLOOKUP($E3775,'Fuel Category and Heat Rate'!$B$1:$G$34,6,FALSE)*($G3775),""),"")</f>
        <v>-156974106726198.44</v>
      </c>
      <c r="I3775" t="str">
        <f>IFERROR(VLOOKUP($E3775,'Fuel Category and Heat Rate'!$K$2:$M$36,3,FALSE),"")</f>
        <v>coal</v>
      </c>
    </row>
    <row r="3776" spans="1:9" x14ac:dyDescent="0.15">
      <c r="A3776" s="2">
        <v>426732</v>
      </c>
      <c r="B3776" s="2" t="s">
        <v>88</v>
      </c>
      <c r="C3776" s="2">
        <v>2020</v>
      </c>
      <c r="D3776" s="2" t="s">
        <v>1</v>
      </c>
      <c r="E3776" s="2" t="s">
        <v>15</v>
      </c>
      <c r="F3776" s="2" t="s">
        <v>35</v>
      </c>
      <c r="G3776" s="7"/>
      <c r="H3776" s="13" t="str">
        <f>IFERROR(IF(ABS($G3776)&gt;0,VLOOKUP($E3776,'Fuel Category and Heat Rate'!$B$1:$G$34,6,FALSE)*($G3776),""),"")</f>
        <v/>
      </c>
      <c r="I3776" t="str">
        <f>IFERROR(VLOOKUP($E3776,'Fuel Category and Heat Rate'!$K$2:$M$36,3,FALSE),"")</f>
        <v>crude oil</v>
      </c>
    </row>
    <row r="3777" spans="1:9" x14ac:dyDescent="0.15">
      <c r="A3777" s="2">
        <v>426767</v>
      </c>
      <c r="B3777" s="2" t="s">
        <v>88</v>
      </c>
      <c r="C3777" s="2">
        <v>2020</v>
      </c>
      <c r="D3777" s="2" t="s">
        <v>1</v>
      </c>
      <c r="E3777" s="2" t="s">
        <v>11</v>
      </c>
      <c r="F3777" s="2" t="s">
        <v>36</v>
      </c>
      <c r="G3777" s="7"/>
      <c r="H3777" s="13" t="str">
        <f>IFERROR(IF(ABS($G3777)&gt;0,VLOOKUP($E3777,'Fuel Category and Heat Rate'!$B$1:$G$34,6,FALSE)*($G3777),""),"")</f>
        <v/>
      </c>
      <c r="I3777" t="str">
        <f>IFERROR(VLOOKUP($E3777,'Fuel Category and Heat Rate'!$K$2:$M$36,3,FALSE),"")</f>
        <v>LPG propane or butane</v>
      </c>
    </row>
    <row r="3778" spans="1:9" x14ac:dyDescent="0.15">
      <c r="A3778" s="2">
        <v>426802</v>
      </c>
      <c r="B3778" s="2" t="s">
        <v>88</v>
      </c>
      <c r="C3778" s="2">
        <v>2019</v>
      </c>
      <c r="D3778" s="2" t="s">
        <v>1</v>
      </c>
      <c r="E3778" s="2" t="s">
        <v>18</v>
      </c>
      <c r="F3778" s="2" t="s">
        <v>35</v>
      </c>
      <c r="G3778" s="7">
        <v>-0.1</v>
      </c>
      <c r="H3778" s="13">
        <f>IFERROR(IF(ABS($G3778)&gt;0,VLOOKUP($E3778,'Fuel Category and Heat Rate'!$B$1:$G$34,6,FALSE)*($G3778),""),"")</f>
        <v>-40426295915.993454</v>
      </c>
      <c r="I3778" t="str">
        <f>IFERROR(VLOOKUP($E3778,'Fuel Category and Heat Rate'!$K$2:$M$36,3,FALSE),"")</f>
        <v>petroleum diesel</v>
      </c>
    </row>
    <row r="3779" spans="1:9" x14ac:dyDescent="0.15">
      <c r="A3779" s="2">
        <v>426837</v>
      </c>
      <c r="B3779" s="2" t="s">
        <v>88</v>
      </c>
      <c r="C3779" s="2">
        <v>2019</v>
      </c>
      <c r="D3779" s="2" t="s">
        <v>1</v>
      </c>
      <c r="E3779" s="2" t="s">
        <v>32</v>
      </c>
      <c r="F3779" s="2" t="s">
        <v>65</v>
      </c>
      <c r="G3779" s="7"/>
      <c r="H3779" s="13" t="str">
        <f>IFERROR(IF(ABS($G3779)&gt;0,VLOOKUP($E3779,'Fuel Category and Heat Rate'!$B$1:$G$34,6,FALSE)*($G3779),""),"")</f>
        <v/>
      </c>
      <c r="I3779" t="str">
        <f>IFERROR(VLOOKUP($E3779,'Fuel Category and Heat Rate'!$K$2:$M$36,3,FALSE),"")</f>
        <v>electricity</v>
      </c>
    </row>
    <row r="3780" spans="1:9" x14ac:dyDescent="0.15">
      <c r="A3780" s="2">
        <v>426872</v>
      </c>
      <c r="B3780" s="2" t="s">
        <v>88</v>
      </c>
      <c r="C3780" s="2">
        <v>2019</v>
      </c>
      <c r="D3780" s="2" t="s">
        <v>1</v>
      </c>
      <c r="E3780" s="2" t="s">
        <v>10</v>
      </c>
      <c r="F3780" s="2" t="s">
        <v>36</v>
      </c>
      <c r="G3780" s="7">
        <v>-33.64</v>
      </c>
      <c r="H3780" s="13">
        <f>IFERROR(IF(ABS($G3780)&gt;0,VLOOKUP($E3780,'Fuel Category and Heat Rate'!$B$1:$G$34,6,FALSE)*($G3780),""),"")</f>
        <v>-11998162940852.848</v>
      </c>
      <c r="I3780" t="str">
        <f>IFERROR(VLOOKUP($E3780,'Fuel Category and Heat Rate'!$K$2:$M$36,3,FALSE),"")</f>
        <v>LPG propane or butane</v>
      </c>
    </row>
    <row r="3781" spans="1:9" x14ac:dyDescent="0.15">
      <c r="A3781" s="2">
        <v>426907</v>
      </c>
      <c r="B3781" s="2" t="s">
        <v>88</v>
      </c>
      <c r="C3781" s="2">
        <v>2019</v>
      </c>
      <c r="D3781" s="2" t="s">
        <v>1</v>
      </c>
      <c r="E3781" s="2" t="s">
        <v>9</v>
      </c>
      <c r="F3781" s="2" t="s">
        <v>36</v>
      </c>
      <c r="G3781" s="7"/>
      <c r="H3781" s="13" t="str">
        <f>IFERROR(IF(ABS($G3781)&gt;0,VLOOKUP($E3781,'Fuel Category and Heat Rate'!$B$1:$G$34,6,FALSE)*($G3781),""),"")</f>
        <v/>
      </c>
      <c r="I3781" t="str">
        <f>IFERROR(VLOOKUP($E3781,'Fuel Category and Heat Rate'!$K$2:$M$36,3,FALSE),"")</f>
        <v>LPG propane or butane</v>
      </c>
    </row>
    <row r="3782" spans="1:9" x14ac:dyDescent="0.15">
      <c r="A3782" s="2">
        <v>426942</v>
      </c>
      <c r="B3782" s="2" t="s">
        <v>88</v>
      </c>
      <c r="C3782" s="2">
        <v>2019</v>
      </c>
      <c r="D3782" s="2" t="s">
        <v>1</v>
      </c>
      <c r="E3782" s="2" t="s">
        <v>8</v>
      </c>
      <c r="F3782" s="2" t="s">
        <v>35</v>
      </c>
      <c r="G3782" s="7"/>
      <c r="H3782" s="13" t="str">
        <f>IFERROR(IF(ABS($G3782)&gt;0,VLOOKUP($E3782,'Fuel Category and Heat Rate'!$B$1:$G$34,6,FALSE)*($G3782),""),"")</f>
        <v/>
      </c>
      <c r="I3782" t="str">
        <f>IFERROR(VLOOKUP($E3782,'Fuel Category and Heat Rate'!$K$2:$M$36,3,FALSE),"")</f>
        <v>coal</v>
      </c>
    </row>
    <row r="3783" spans="1:9" x14ac:dyDescent="0.15">
      <c r="A3783" s="2">
        <v>426977</v>
      </c>
      <c r="B3783" s="2" t="s">
        <v>88</v>
      </c>
      <c r="C3783" s="2">
        <v>2019</v>
      </c>
      <c r="D3783" s="2" t="s">
        <v>1</v>
      </c>
      <c r="E3783" s="2" t="s">
        <v>27</v>
      </c>
      <c r="F3783" s="2" t="s">
        <v>35</v>
      </c>
      <c r="G3783" s="7">
        <v>-1.8</v>
      </c>
      <c r="H3783" s="13">
        <f>IFERROR(IF(ABS($G3783)&gt;0,VLOOKUP($E3783,'Fuel Category and Heat Rate'!$B$1:$G$34,6,FALSE)*($G3783),""),"")</f>
        <v>-784758456151.87109</v>
      </c>
      <c r="I3783" t="str">
        <f>IFERROR(VLOOKUP($E3783,'Fuel Category and Heat Rate'!$K$2:$M$36,3,FALSE),"")</f>
        <v>LPG propane or butane</v>
      </c>
    </row>
    <row r="3784" spans="1:9" x14ac:dyDescent="0.15">
      <c r="A3784" s="2">
        <v>427012</v>
      </c>
      <c r="B3784" s="2" t="s">
        <v>88</v>
      </c>
      <c r="C3784" s="2">
        <v>2019</v>
      </c>
      <c r="D3784" s="2" t="s">
        <v>1</v>
      </c>
      <c r="E3784" s="2" t="s">
        <v>7</v>
      </c>
      <c r="F3784" s="2" t="s">
        <v>35</v>
      </c>
      <c r="G3784" s="7">
        <v>-0.91</v>
      </c>
      <c r="H3784" s="13">
        <f>IFERROR(IF(ABS($G3784)&gt;0,VLOOKUP($E3784,'Fuel Category and Heat Rate'!$B$1:$G$34,6,FALSE)*($G3784),""),"")</f>
        <v>-72226887325.443481</v>
      </c>
      <c r="I3784" t="str">
        <f>IFERROR(VLOOKUP($E3784,'Fuel Category and Heat Rate'!$K$2:$M$36,3,FALSE),"")</f>
        <v>coal</v>
      </c>
    </row>
    <row r="3785" spans="1:9" x14ac:dyDescent="0.15">
      <c r="A3785" s="2">
        <v>427047</v>
      </c>
      <c r="B3785" s="2" t="s">
        <v>88</v>
      </c>
      <c r="C3785" s="2">
        <v>2019</v>
      </c>
      <c r="D3785" s="2" t="s">
        <v>1</v>
      </c>
      <c r="E3785" s="2" t="s">
        <v>2</v>
      </c>
      <c r="F3785" s="2" t="s">
        <v>35</v>
      </c>
      <c r="G3785" s="7">
        <v>-776.83</v>
      </c>
      <c r="H3785" s="13">
        <f>IFERROR(IF(ABS($G3785)&gt;0,VLOOKUP($E3785,'Fuel Category and Heat Rate'!$B$1:$G$34,6,FALSE)*($G3785),""),"")</f>
        <v>0</v>
      </c>
      <c r="I3785" t="str">
        <f>IFERROR(VLOOKUP($E3785,'Fuel Category and Heat Rate'!$K$2:$M$36,3,FALSE),"")</f>
        <v/>
      </c>
    </row>
    <row r="3786" spans="1:9" x14ac:dyDescent="0.15">
      <c r="A3786" s="2">
        <v>427082</v>
      </c>
      <c r="B3786" s="2" t="s">
        <v>88</v>
      </c>
      <c r="C3786" s="2">
        <v>2019</v>
      </c>
      <c r="D3786" s="2" t="s">
        <v>1</v>
      </c>
      <c r="E3786" s="2" t="s">
        <v>17</v>
      </c>
      <c r="F3786" s="2" t="s">
        <v>35</v>
      </c>
      <c r="G3786" s="7"/>
      <c r="H3786" s="13" t="str">
        <f>IFERROR(IF(ABS($G3786)&gt;0,VLOOKUP($E3786,'Fuel Category and Heat Rate'!$B$1:$G$34,6,FALSE)*($G3786),""),"")</f>
        <v/>
      </c>
      <c r="I3786" t="str">
        <f>IFERROR(VLOOKUP($E3786,'Fuel Category and Heat Rate'!$K$2:$M$36,3,FALSE),"")</f>
        <v>petroleum diesel</v>
      </c>
    </row>
    <row r="3787" spans="1:9" x14ac:dyDescent="0.15">
      <c r="A3787" s="2">
        <v>427117</v>
      </c>
      <c r="B3787" s="2" t="s">
        <v>88</v>
      </c>
      <c r="C3787" s="2">
        <v>2019</v>
      </c>
      <c r="D3787" s="2" t="s">
        <v>1</v>
      </c>
      <c r="E3787" s="2" t="s">
        <v>13</v>
      </c>
      <c r="F3787" s="2" t="s">
        <v>35</v>
      </c>
      <c r="G3787" s="7"/>
      <c r="H3787" s="13" t="str">
        <f>IFERROR(IF(ABS($G3787)&gt;0,VLOOKUP($E3787,'Fuel Category and Heat Rate'!$B$1:$G$34,6,FALSE)*($G3787),""),"")</f>
        <v/>
      </c>
      <c r="I3787" t="str">
        <f>IFERROR(VLOOKUP($E3787,'Fuel Category and Heat Rate'!$K$2:$M$36,3,FALSE),"")</f>
        <v>petroleum diesel</v>
      </c>
    </row>
    <row r="3788" spans="1:9" x14ac:dyDescent="0.15">
      <c r="A3788" s="2">
        <v>427152</v>
      </c>
      <c r="B3788" s="2" t="s">
        <v>88</v>
      </c>
      <c r="C3788" s="2">
        <v>2019</v>
      </c>
      <c r="D3788" s="2" t="s">
        <v>1</v>
      </c>
      <c r="E3788" s="2" t="s">
        <v>12</v>
      </c>
      <c r="F3788" s="2" t="s">
        <v>36</v>
      </c>
      <c r="G3788" s="7"/>
      <c r="H3788" s="13" t="str">
        <f>IFERROR(IF(ABS($G3788)&gt;0,VLOOKUP($E3788,'Fuel Category and Heat Rate'!$B$1:$G$34,6,FALSE)*($G3788),""),"")</f>
        <v/>
      </c>
      <c r="I3788" t="str">
        <f>IFERROR(VLOOKUP($E3788,'Fuel Category and Heat Rate'!$K$2:$M$36,3,FALSE),"")</f>
        <v>LPG propane or butane</v>
      </c>
    </row>
    <row r="3789" spans="1:9" x14ac:dyDescent="0.15">
      <c r="A3789" s="2">
        <v>427187</v>
      </c>
      <c r="B3789" s="2" t="s">
        <v>88</v>
      </c>
      <c r="C3789" s="2">
        <v>2019</v>
      </c>
      <c r="D3789" s="2" t="s">
        <v>1</v>
      </c>
      <c r="E3789" s="2" t="s">
        <v>33</v>
      </c>
      <c r="F3789" s="2" t="s">
        <v>38</v>
      </c>
      <c r="G3789" s="7"/>
      <c r="H3789" s="13" t="str">
        <f>IFERROR(IF(ABS($G3789)&gt;0,VLOOKUP($E3789,'Fuel Category and Heat Rate'!$B$1:$G$34,6,FALSE)*($G3789),""),"")</f>
        <v/>
      </c>
      <c r="I3789" t="str">
        <f>IFERROR(VLOOKUP($E3789,'Fuel Category and Heat Rate'!$K$2:$M$36,3,FALSE),"")</f>
        <v>biomass</v>
      </c>
    </row>
    <row r="3790" spans="1:9" x14ac:dyDescent="0.15">
      <c r="A3790" s="2">
        <v>427222</v>
      </c>
      <c r="B3790" s="2" t="s">
        <v>88</v>
      </c>
      <c r="C3790" s="2">
        <v>2019</v>
      </c>
      <c r="D3790" s="2" t="s">
        <v>1</v>
      </c>
      <c r="E3790" s="2" t="s">
        <v>28</v>
      </c>
      <c r="F3790" s="2" t="s">
        <v>35</v>
      </c>
      <c r="G3790" s="7"/>
      <c r="H3790" s="13" t="str">
        <f>IFERROR(IF(ABS($G3790)&gt;0,VLOOKUP($E3790,'Fuel Category and Heat Rate'!$B$1:$G$34,6,FALSE)*($G3790),""),"")</f>
        <v/>
      </c>
      <c r="I3790" t="str">
        <f>IFERROR(VLOOKUP($E3790,'Fuel Category and Heat Rate'!$K$2:$M$36,3,FALSE),"")</f>
        <v>heavy or residual fuel oil</v>
      </c>
    </row>
    <row r="3791" spans="1:9" x14ac:dyDescent="0.15">
      <c r="A3791" s="2">
        <v>427257</v>
      </c>
      <c r="B3791" s="2" t="s">
        <v>88</v>
      </c>
      <c r="C3791" s="2">
        <v>2019</v>
      </c>
      <c r="D3791" s="2" t="s">
        <v>1</v>
      </c>
      <c r="E3791" s="2" t="s">
        <v>5</v>
      </c>
      <c r="F3791" s="2" t="s">
        <v>35</v>
      </c>
      <c r="G3791" s="7">
        <v>-45.01</v>
      </c>
      <c r="H3791" s="13">
        <f>IFERROR(IF(ABS($G3791)&gt;0,VLOOKUP($E3791,'Fuel Category and Heat Rate'!$B$1:$G$34,6,FALSE)*($G3791),""),"")</f>
        <v>-3567760228048.5908</v>
      </c>
      <c r="I3791" t="str">
        <f>IFERROR(VLOOKUP($E3791,'Fuel Category and Heat Rate'!$K$2:$M$36,3,FALSE),"")</f>
        <v>coal</v>
      </c>
    </row>
    <row r="3792" spans="1:9" x14ac:dyDescent="0.15">
      <c r="A3792" s="2">
        <v>427292</v>
      </c>
      <c r="B3792" s="2" t="s">
        <v>88</v>
      </c>
      <c r="C3792" s="2">
        <v>2019</v>
      </c>
      <c r="D3792" s="2" t="s">
        <v>1</v>
      </c>
      <c r="E3792" s="2" t="s">
        <v>16</v>
      </c>
      <c r="F3792" s="2" t="s">
        <v>35</v>
      </c>
      <c r="G3792" s="7"/>
      <c r="H3792" s="13" t="str">
        <f>IFERROR(IF(ABS($G3792)&gt;0,VLOOKUP($E3792,'Fuel Category and Heat Rate'!$B$1:$G$34,6,FALSE)*($G3792),""),"")</f>
        <v/>
      </c>
      <c r="I3792" t="str">
        <f>IFERROR(VLOOKUP($E3792,'Fuel Category and Heat Rate'!$K$2:$M$36,3,FALSE),"")</f>
        <v>petroleum diesel</v>
      </c>
    </row>
    <row r="3793" spans="1:9" x14ac:dyDescent="0.15">
      <c r="A3793" s="2">
        <v>427327</v>
      </c>
      <c r="B3793" s="2" t="s">
        <v>88</v>
      </c>
      <c r="C3793" s="2">
        <v>2019</v>
      </c>
      <c r="D3793" s="2" t="s">
        <v>1</v>
      </c>
      <c r="E3793" s="2" t="s">
        <v>19</v>
      </c>
      <c r="F3793" s="2" t="s">
        <v>35</v>
      </c>
      <c r="G3793" s="7"/>
      <c r="H3793" s="13" t="str">
        <f>IFERROR(IF(ABS($G3793)&gt;0,VLOOKUP($E3793,'Fuel Category and Heat Rate'!$B$1:$G$34,6,FALSE)*($G3793),""),"")</f>
        <v/>
      </c>
      <c r="I3793" t="str">
        <f>IFERROR(VLOOKUP($E3793,'Fuel Category and Heat Rate'!$K$2:$M$36,3,FALSE),"")</f>
        <v>heavy or residual fuel oil</v>
      </c>
    </row>
    <row r="3794" spans="1:9" x14ac:dyDescent="0.15">
      <c r="A3794" s="2">
        <v>427362</v>
      </c>
      <c r="B3794" s="2" t="s">
        <v>88</v>
      </c>
      <c r="C3794" s="2">
        <v>2019</v>
      </c>
      <c r="D3794" s="2" t="s">
        <v>1</v>
      </c>
      <c r="E3794" s="2" t="s">
        <v>31</v>
      </c>
      <c r="F3794" s="2" t="s">
        <v>37</v>
      </c>
      <c r="G3794" s="7">
        <v>15869.36</v>
      </c>
      <c r="H3794" s="13">
        <f>IFERROR(IF(ABS($G3794)&gt;0,VLOOKUP($E3794,'Fuel Category and Heat Rate'!$B$1:$G$34,6,FALSE)*($G3794),""),"")</f>
        <v>150412511337669.97</v>
      </c>
      <c r="I3794" t="str">
        <f>IFERROR(VLOOKUP($E3794,'Fuel Category and Heat Rate'!$K$2:$M$36,3,FALSE),"")</f>
        <v>heat</v>
      </c>
    </row>
    <row r="3795" spans="1:9" x14ac:dyDescent="0.15">
      <c r="A3795" s="2">
        <v>427397</v>
      </c>
      <c r="B3795" s="2" t="s">
        <v>88</v>
      </c>
      <c r="C3795" s="2">
        <v>2019</v>
      </c>
      <c r="D3795" s="2" t="s">
        <v>1</v>
      </c>
      <c r="E3795" s="2" t="s">
        <v>23</v>
      </c>
      <c r="F3795" s="2" t="s">
        <v>35</v>
      </c>
      <c r="G3795" s="7"/>
      <c r="H3795" s="13" t="str">
        <f>IFERROR(IF(ABS($G3795)&gt;0,VLOOKUP($E3795,'Fuel Category and Heat Rate'!$B$1:$G$34,6,FALSE)*($G3795),""),"")</f>
        <v/>
      </c>
      <c r="I3795" t="str">
        <f>IFERROR(VLOOKUP($E3795,'Fuel Category and Heat Rate'!$K$2:$M$36,3,FALSE),"")</f>
        <v>heavy or residual fuel oil</v>
      </c>
    </row>
    <row r="3796" spans="1:9" x14ac:dyDescent="0.15">
      <c r="A3796" s="2">
        <v>427432</v>
      </c>
      <c r="B3796" s="2" t="s">
        <v>88</v>
      </c>
      <c r="C3796" s="2">
        <v>2019</v>
      </c>
      <c r="D3796" s="2" t="s">
        <v>1</v>
      </c>
      <c r="E3796" s="2" t="s">
        <v>21</v>
      </c>
      <c r="F3796" s="2" t="s">
        <v>35</v>
      </c>
      <c r="G3796" s="7"/>
      <c r="H3796" s="13" t="str">
        <f>IFERROR(IF(ABS($G3796)&gt;0,VLOOKUP($E3796,'Fuel Category and Heat Rate'!$B$1:$G$34,6,FALSE)*($G3796),""),"")</f>
        <v/>
      </c>
      <c r="I3796" t="str">
        <f>IFERROR(VLOOKUP($E3796,'Fuel Category and Heat Rate'!$K$2:$M$36,3,FALSE),"")</f>
        <v>LPG propane or butane</v>
      </c>
    </row>
    <row r="3797" spans="1:9" x14ac:dyDescent="0.15">
      <c r="A3797" s="2">
        <v>427467</v>
      </c>
      <c r="B3797" s="2" t="s">
        <v>88</v>
      </c>
      <c r="C3797" s="2">
        <v>2019</v>
      </c>
      <c r="D3797" s="2" t="s">
        <v>1</v>
      </c>
      <c r="E3797" s="2" t="s">
        <v>22</v>
      </c>
      <c r="F3797" s="2" t="s">
        <v>35</v>
      </c>
      <c r="G3797" s="7"/>
      <c r="H3797" s="13" t="str">
        <f>IFERROR(IF(ABS($G3797)&gt;0,VLOOKUP($E3797,'Fuel Category and Heat Rate'!$B$1:$G$34,6,FALSE)*($G3797),""),"")</f>
        <v/>
      </c>
      <c r="I3797" t="str">
        <f>IFERROR(VLOOKUP($E3797,'Fuel Category and Heat Rate'!$K$2:$M$36,3,FALSE),"")</f>
        <v>heavy fuel oil</v>
      </c>
    </row>
    <row r="3798" spans="1:9" x14ac:dyDescent="0.15">
      <c r="A3798" s="2">
        <v>427502</v>
      </c>
      <c r="B3798" s="2" t="s">
        <v>88</v>
      </c>
      <c r="C3798" s="2">
        <v>2019</v>
      </c>
      <c r="D3798" s="2" t="s">
        <v>1</v>
      </c>
      <c r="E3798" s="2" t="s">
        <v>20</v>
      </c>
      <c r="F3798" s="2" t="s">
        <v>35</v>
      </c>
      <c r="G3798" s="7"/>
      <c r="H3798" s="13" t="str">
        <f>IFERROR(IF(ABS($G3798)&gt;0,VLOOKUP($E3798,'Fuel Category and Heat Rate'!$B$1:$G$34,6,FALSE)*($G3798),""),"")</f>
        <v/>
      </c>
      <c r="I3798" t="str">
        <f>IFERROR(VLOOKUP($E3798,'Fuel Category and Heat Rate'!$K$2:$M$36,3,FALSE),"")</f>
        <v>LPG propane or butane</v>
      </c>
    </row>
    <row r="3799" spans="1:9" x14ac:dyDescent="0.15">
      <c r="A3799" s="2">
        <v>427537</v>
      </c>
      <c r="B3799" s="2" t="s">
        <v>88</v>
      </c>
      <c r="C3799" s="2">
        <v>2019</v>
      </c>
      <c r="D3799" s="2" t="s">
        <v>1</v>
      </c>
      <c r="E3799" s="2" t="s">
        <v>25</v>
      </c>
      <c r="F3799" s="2" t="s">
        <v>35</v>
      </c>
      <c r="G3799" s="7"/>
      <c r="H3799" s="13" t="str">
        <f>IFERROR(IF(ABS($G3799)&gt;0,VLOOKUP($E3799,'Fuel Category and Heat Rate'!$B$1:$G$34,6,FALSE)*($G3799),""),"")</f>
        <v/>
      </c>
      <c r="I3799" t="str">
        <f>IFERROR(VLOOKUP($E3799,'Fuel Category and Heat Rate'!$K$2:$M$36,3,FALSE),"")</f>
        <v>heavy fuel oil</v>
      </c>
    </row>
    <row r="3800" spans="1:9" x14ac:dyDescent="0.15">
      <c r="A3800" s="2">
        <v>427572</v>
      </c>
      <c r="B3800" s="2" t="s">
        <v>88</v>
      </c>
      <c r="C3800" s="2">
        <v>2019</v>
      </c>
      <c r="D3800" s="2" t="s">
        <v>1</v>
      </c>
      <c r="E3800" s="2" t="s">
        <v>24</v>
      </c>
      <c r="F3800" s="2" t="s">
        <v>35</v>
      </c>
      <c r="G3800" s="7"/>
      <c r="H3800" s="13" t="str">
        <f>IFERROR(IF(ABS($G3800)&gt;0,VLOOKUP($E3800,'Fuel Category and Heat Rate'!$B$1:$G$34,6,FALSE)*($G3800),""),"")</f>
        <v/>
      </c>
      <c r="I3800" t="str">
        <f>IFERROR(VLOOKUP($E3800,'Fuel Category and Heat Rate'!$K$2:$M$36,3,FALSE),"")</f>
        <v>heavy fuel oil</v>
      </c>
    </row>
    <row r="3801" spans="1:9" x14ac:dyDescent="0.15">
      <c r="A3801" s="2">
        <v>427607</v>
      </c>
      <c r="B3801" s="2" t="s">
        <v>88</v>
      </c>
      <c r="C3801" s="2">
        <v>2019</v>
      </c>
      <c r="D3801" s="2" t="s">
        <v>1</v>
      </c>
      <c r="E3801" s="2" t="s">
        <v>29</v>
      </c>
      <c r="F3801" s="2" t="s">
        <v>36</v>
      </c>
      <c r="G3801" s="7">
        <v>-5.12</v>
      </c>
      <c r="H3801" s="13">
        <f>IFERROR(IF(ABS($G3801)&gt;0,VLOOKUP($E3801,'Fuel Category and Heat Rate'!$B$1:$G$34,6,FALSE)*($G3801),""),"")</f>
        <v>-17268530381590.701</v>
      </c>
      <c r="I3801" t="str">
        <f>IFERROR(VLOOKUP($E3801,'Fuel Category and Heat Rate'!$K$2:$M$36,3,FALSE),"")</f>
        <v>natural gas</v>
      </c>
    </row>
    <row r="3802" spans="1:9" x14ac:dyDescent="0.15">
      <c r="A3802" s="2">
        <v>427642</v>
      </c>
      <c r="B3802" s="2" t="s">
        <v>88</v>
      </c>
      <c r="C3802" s="2">
        <v>2019</v>
      </c>
      <c r="D3802" s="2" t="s">
        <v>1</v>
      </c>
      <c r="E3802" s="2" t="s">
        <v>4</v>
      </c>
      <c r="F3802" s="2" t="s">
        <v>35</v>
      </c>
      <c r="G3802" s="7"/>
      <c r="H3802" s="13" t="str">
        <f>IFERROR(IF(ABS($G3802)&gt;0,VLOOKUP($E3802,'Fuel Category and Heat Rate'!$B$1:$G$34,6,FALSE)*($G3802),""),"")</f>
        <v/>
      </c>
      <c r="I3802" t="str">
        <f>IFERROR(VLOOKUP($E3802,'Fuel Category and Heat Rate'!$K$2:$M$36,3,FALSE),"")</f>
        <v>coal</v>
      </c>
    </row>
    <row r="3803" spans="1:9" x14ac:dyDescent="0.15">
      <c r="A3803" s="2">
        <v>427677</v>
      </c>
      <c r="B3803" s="2" t="s">
        <v>88</v>
      </c>
      <c r="C3803" s="2">
        <v>2019</v>
      </c>
      <c r="D3803" s="2" t="s">
        <v>1</v>
      </c>
      <c r="E3803" s="2" t="s">
        <v>6</v>
      </c>
      <c r="F3803" s="2" t="s">
        <v>35</v>
      </c>
      <c r="G3803" s="7"/>
      <c r="H3803" s="13" t="str">
        <f>IFERROR(IF(ABS($G3803)&gt;0,VLOOKUP($E3803,'Fuel Category and Heat Rate'!$B$1:$G$34,6,FALSE)*($G3803),""),"")</f>
        <v/>
      </c>
      <c r="I3803" t="str">
        <f>IFERROR(VLOOKUP($E3803,'Fuel Category and Heat Rate'!$K$2:$M$36,3,FALSE),"")</f>
        <v>coal</v>
      </c>
    </row>
    <row r="3804" spans="1:9" x14ac:dyDescent="0.15">
      <c r="A3804" s="2">
        <v>427712</v>
      </c>
      <c r="B3804" s="2" t="s">
        <v>88</v>
      </c>
      <c r="C3804" s="2">
        <v>2019</v>
      </c>
      <c r="D3804" s="2" t="s">
        <v>1</v>
      </c>
      <c r="E3804" s="2" t="s">
        <v>26</v>
      </c>
      <c r="F3804" s="2" t="s">
        <v>35</v>
      </c>
      <c r="G3804" s="7"/>
      <c r="H3804" s="13" t="str">
        <f>IFERROR(IF(ABS($G3804)&gt;0,VLOOKUP($E3804,'Fuel Category and Heat Rate'!$B$1:$G$34,6,FALSE)*($G3804),""),"")</f>
        <v/>
      </c>
      <c r="I3804" t="str">
        <f>IFERROR(VLOOKUP($E3804,'Fuel Category and Heat Rate'!$K$2:$M$36,3,FALSE),"")</f>
        <v>LPG propane or butane</v>
      </c>
    </row>
    <row r="3805" spans="1:9" x14ac:dyDescent="0.15">
      <c r="A3805" s="2">
        <v>427747</v>
      </c>
      <c r="B3805" s="2" t="s">
        <v>88</v>
      </c>
      <c r="C3805" s="2">
        <v>2019</v>
      </c>
      <c r="D3805" s="2" t="s">
        <v>1</v>
      </c>
      <c r="E3805" s="2" t="s">
        <v>30</v>
      </c>
      <c r="F3805" s="2" t="s">
        <v>35</v>
      </c>
      <c r="G3805" s="7"/>
      <c r="H3805" s="13" t="str">
        <f>IFERROR(IF(ABS($G3805)&gt;0,VLOOKUP($E3805,'Fuel Category and Heat Rate'!$B$1:$G$34,6,FALSE)*($G3805),""),"")</f>
        <v/>
      </c>
      <c r="I3805" t="str">
        <f>IFERROR(VLOOKUP($E3805,'Fuel Category and Heat Rate'!$K$2:$M$36,3,FALSE),"")</f>
        <v>natural gas</v>
      </c>
    </row>
    <row r="3806" spans="1:9" x14ac:dyDescent="0.15">
      <c r="A3806" s="2">
        <v>427782</v>
      </c>
      <c r="B3806" s="2" t="s">
        <v>88</v>
      </c>
      <c r="C3806" s="2">
        <v>2019</v>
      </c>
      <c r="D3806" s="2" t="s">
        <v>1</v>
      </c>
      <c r="E3806" s="2" t="s">
        <v>14</v>
      </c>
      <c r="F3806" s="2" t="s">
        <v>35</v>
      </c>
      <c r="G3806" s="7">
        <v>-1.9</v>
      </c>
      <c r="H3806" s="13">
        <f>IFERROR(IF(ABS($G3806)&gt;0,VLOOKUP($E3806,'Fuel Category and Heat Rate'!$B$1:$G$34,6,FALSE)*($G3806),""),"")</f>
        <v>0</v>
      </c>
      <c r="I3806" t="str">
        <f>IFERROR(VLOOKUP($E3806,'Fuel Category and Heat Rate'!$K$2:$M$36,3,FALSE),"")</f>
        <v/>
      </c>
    </row>
    <row r="3807" spans="1:9" x14ac:dyDescent="0.15">
      <c r="A3807" s="2">
        <v>427817</v>
      </c>
      <c r="B3807" s="2" t="s">
        <v>88</v>
      </c>
      <c r="C3807" s="2">
        <v>2019</v>
      </c>
      <c r="D3807" s="2" t="s">
        <v>1</v>
      </c>
      <c r="E3807" s="2" t="s">
        <v>3</v>
      </c>
      <c r="F3807" s="2" t="s">
        <v>35</v>
      </c>
      <c r="G3807" s="7">
        <v>-731.81</v>
      </c>
      <c r="H3807" s="13">
        <f>IFERROR(IF(ABS($G3807)&gt;0,VLOOKUP($E3807,'Fuel Category and Heat Rate'!$B$1:$G$34,6,FALSE)*($G3807),""),"")</f>
        <v>-145022497908523.03</v>
      </c>
      <c r="I3807" t="str">
        <f>IFERROR(VLOOKUP($E3807,'Fuel Category and Heat Rate'!$K$2:$M$36,3,FALSE),"")</f>
        <v>coal</v>
      </c>
    </row>
    <row r="3808" spans="1:9" x14ac:dyDescent="0.15">
      <c r="A3808" s="2">
        <v>427852</v>
      </c>
      <c r="B3808" s="2" t="s">
        <v>88</v>
      </c>
      <c r="C3808" s="2">
        <v>2019</v>
      </c>
      <c r="D3808" s="2" t="s">
        <v>1</v>
      </c>
      <c r="E3808" s="2" t="s">
        <v>15</v>
      </c>
      <c r="F3808" s="2" t="s">
        <v>35</v>
      </c>
      <c r="G3808" s="7"/>
      <c r="H3808" s="13" t="str">
        <f>IFERROR(IF(ABS($G3808)&gt;0,VLOOKUP($E3808,'Fuel Category and Heat Rate'!$B$1:$G$34,6,FALSE)*($G3808),""),"")</f>
        <v/>
      </c>
      <c r="I3808" t="str">
        <f>IFERROR(VLOOKUP($E3808,'Fuel Category and Heat Rate'!$K$2:$M$36,3,FALSE),"")</f>
        <v>crude oil</v>
      </c>
    </row>
    <row r="3809" spans="1:9" x14ac:dyDescent="0.15">
      <c r="A3809" s="2">
        <v>427887</v>
      </c>
      <c r="B3809" s="2" t="s">
        <v>88</v>
      </c>
      <c r="C3809" s="2">
        <v>2019</v>
      </c>
      <c r="D3809" s="2" t="s">
        <v>1</v>
      </c>
      <c r="E3809" s="2" t="s">
        <v>11</v>
      </c>
      <c r="F3809" s="2" t="s">
        <v>36</v>
      </c>
      <c r="G3809" s="7"/>
      <c r="H3809" s="13" t="str">
        <f>IFERROR(IF(ABS($G3809)&gt;0,VLOOKUP($E3809,'Fuel Category and Heat Rate'!$B$1:$G$34,6,FALSE)*($G3809),""),"")</f>
        <v/>
      </c>
      <c r="I3809" t="str">
        <f>IFERROR(VLOOKUP($E3809,'Fuel Category and Heat Rate'!$K$2:$M$36,3,FALSE),"")</f>
        <v>LPG propane or butane</v>
      </c>
    </row>
    <row r="3810" spans="1:9" x14ac:dyDescent="0.15">
      <c r="A3810" s="2">
        <v>427922</v>
      </c>
      <c r="B3810" s="2" t="s">
        <v>88</v>
      </c>
      <c r="C3810" s="2">
        <v>2018</v>
      </c>
      <c r="D3810" s="2" t="s">
        <v>1</v>
      </c>
      <c r="E3810" s="2" t="s">
        <v>18</v>
      </c>
      <c r="F3810" s="2" t="s">
        <v>35</v>
      </c>
      <c r="G3810" s="7">
        <v>-0.01</v>
      </c>
      <c r="H3810" s="13">
        <f>IFERROR(IF(ABS($G3810)&gt;0,VLOOKUP($E3810,'Fuel Category and Heat Rate'!$B$1:$G$34,6,FALSE)*($G3810),""),"")</f>
        <v>-4042629591.5993452</v>
      </c>
      <c r="I3810" t="str">
        <f>IFERROR(VLOOKUP($E3810,'Fuel Category and Heat Rate'!$K$2:$M$36,3,FALSE),"")</f>
        <v>petroleum diesel</v>
      </c>
    </row>
    <row r="3811" spans="1:9" x14ac:dyDescent="0.15">
      <c r="A3811" s="2">
        <v>427957</v>
      </c>
      <c r="B3811" s="2" t="s">
        <v>88</v>
      </c>
      <c r="C3811" s="2">
        <v>2018</v>
      </c>
      <c r="D3811" s="2" t="s">
        <v>1</v>
      </c>
      <c r="E3811" s="2" t="s">
        <v>32</v>
      </c>
      <c r="F3811" s="2" t="s">
        <v>65</v>
      </c>
      <c r="G3811" s="7"/>
      <c r="H3811" s="13" t="str">
        <f>IFERROR(IF(ABS($G3811)&gt;0,VLOOKUP($E3811,'Fuel Category and Heat Rate'!$B$1:$G$34,6,FALSE)*($G3811),""),"")</f>
        <v/>
      </c>
      <c r="I3811" t="str">
        <f>IFERROR(VLOOKUP($E3811,'Fuel Category and Heat Rate'!$K$2:$M$36,3,FALSE),"")</f>
        <v>electricity</v>
      </c>
    </row>
    <row r="3812" spans="1:9" x14ac:dyDescent="0.15">
      <c r="A3812" s="2">
        <v>427992</v>
      </c>
      <c r="B3812" s="2" t="s">
        <v>88</v>
      </c>
      <c r="C3812" s="2">
        <v>2018</v>
      </c>
      <c r="D3812" s="2" t="s">
        <v>1</v>
      </c>
      <c r="E3812" s="2" t="s">
        <v>10</v>
      </c>
      <c r="F3812" s="2" t="s">
        <v>36</v>
      </c>
      <c r="G3812" s="7">
        <v>-26.29</v>
      </c>
      <c r="H3812" s="13">
        <f>IFERROR(IF(ABS($G3812)&gt;0,VLOOKUP($E3812,'Fuel Category and Heat Rate'!$B$1:$G$34,6,FALSE)*($G3812),""),"")</f>
        <v>-9376685603894.8086</v>
      </c>
      <c r="I3812" t="str">
        <f>IFERROR(VLOOKUP($E3812,'Fuel Category and Heat Rate'!$K$2:$M$36,3,FALSE),"")</f>
        <v>LPG propane or butane</v>
      </c>
    </row>
    <row r="3813" spans="1:9" x14ac:dyDescent="0.15">
      <c r="A3813" s="2">
        <v>428027</v>
      </c>
      <c r="B3813" s="2" t="s">
        <v>88</v>
      </c>
      <c r="C3813" s="2">
        <v>2018</v>
      </c>
      <c r="D3813" s="2" t="s">
        <v>1</v>
      </c>
      <c r="E3813" s="2" t="s">
        <v>9</v>
      </c>
      <c r="F3813" s="2" t="s">
        <v>36</v>
      </c>
      <c r="G3813" s="7"/>
      <c r="H3813" s="13" t="str">
        <f>IFERROR(IF(ABS($G3813)&gt;0,VLOOKUP($E3813,'Fuel Category and Heat Rate'!$B$1:$G$34,6,FALSE)*($G3813),""),"")</f>
        <v/>
      </c>
      <c r="I3813" t="str">
        <f>IFERROR(VLOOKUP($E3813,'Fuel Category and Heat Rate'!$K$2:$M$36,3,FALSE),"")</f>
        <v>LPG propane or butane</v>
      </c>
    </row>
    <row r="3814" spans="1:9" x14ac:dyDescent="0.15">
      <c r="A3814" s="2">
        <v>428062</v>
      </c>
      <c r="B3814" s="2" t="s">
        <v>88</v>
      </c>
      <c r="C3814" s="2">
        <v>2018</v>
      </c>
      <c r="D3814" s="2" t="s">
        <v>1</v>
      </c>
      <c r="E3814" s="2" t="s">
        <v>8</v>
      </c>
      <c r="F3814" s="2" t="s">
        <v>35</v>
      </c>
      <c r="G3814" s="7"/>
      <c r="H3814" s="13" t="str">
        <f>IFERROR(IF(ABS($G3814)&gt;0,VLOOKUP($E3814,'Fuel Category and Heat Rate'!$B$1:$G$34,6,FALSE)*($G3814),""),"")</f>
        <v/>
      </c>
      <c r="I3814" t="str">
        <f>IFERROR(VLOOKUP($E3814,'Fuel Category and Heat Rate'!$K$2:$M$36,3,FALSE),"")</f>
        <v>coal</v>
      </c>
    </row>
    <row r="3815" spans="1:9" x14ac:dyDescent="0.15">
      <c r="A3815" s="2">
        <v>428097</v>
      </c>
      <c r="B3815" s="2" t="s">
        <v>88</v>
      </c>
      <c r="C3815" s="2">
        <v>2018</v>
      </c>
      <c r="D3815" s="2" t="s">
        <v>1</v>
      </c>
      <c r="E3815" s="2" t="s">
        <v>27</v>
      </c>
      <c r="F3815" s="2" t="s">
        <v>35</v>
      </c>
      <c r="G3815" s="7">
        <v>-1.89</v>
      </c>
      <c r="H3815" s="13">
        <f>IFERROR(IF(ABS($G3815)&gt;0,VLOOKUP($E3815,'Fuel Category and Heat Rate'!$B$1:$G$34,6,FALSE)*($G3815),""),"")</f>
        <v>-823996378959.4646</v>
      </c>
      <c r="I3815" t="str">
        <f>IFERROR(VLOOKUP($E3815,'Fuel Category and Heat Rate'!$K$2:$M$36,3,FALSE),"")</f>
        <v>LPG propane or butane</v>
      </c>
    </row>
    <row r="3816" spans="1:9" x14ac:dyDescent="0.15">
      <c r="A3816" s="2">
        <v>428132</v>
      </c>
      <c r="B3816" s="2" t="s">
        <v>88</v>
      </c>
      <c r="C3816" s="2">
        <v>2018</v>
      </c>
      <c r="D3816" s="2" t="s">
        <v>1</v>
      </c>
      <c r="E3816" s="2" t="s">
        <v>7</v>
      </c>
      <c r="F3816" s="2" t="s">
        <v>35</v>
      </c>
      <c r="G3816" s="7">
        <v>-0.72</v>
      </c>
      <c r="H3816" s="13">
        <f>IFERROR(IF(ABS($G3816)&gt;0,VLOOKUP($E3816,'Fuel Category and Heat Rate'!$B$1:$G$34,6,FALSE)*($G3816),""),"")</f>
        <v>-57146548213.537697</v>
      </c>
      <c r="I3816" t="str">
        <f>IFERROR(VLOOKUP($E3816,'Fuel Category and Heat Rate'!$K$2:$M$36,3,FALSE),"")</f>
        <v>coal</v>
      </c>
    </row>
    <row r="3817" spans="1:9" x14ac:dyDescent="0.15">
      <c r="A3817" s="2">
        <v>428167</v>
      </c>
      <c r="B3817" s="2" t="s">
        <v>88</v>
      </c>
      <c r="C3817" s="2">
        <v>2018</v>
      </c>
      <c r="D3817" s="2" t="s">
        <v>1</v>
      </c>
      <c r="E3817" s="2" t="s">
        <v>2</v>
      </c>
      <c r="F3817" s="2" t="s">
        <v>35</v>
      </c>
      <c r="G3817" s="7">
        <v>-781</v>
      </c>
      <c r="H3817" s="13">
        <f>IFERROR(IF(ABS($G3817)&gt;0,VLOOKUP($E3817,'Fuel Category and Heat Rate'!$B$1:$G$34,6,FALSE)*($G3817),""),"")</f>
        <v>0</v>
      </c>
      <c r="I3817" t="str">
        <f>IFERROR(VLOOKUP($E3817,'Fuel Category and Heat Rate'!$K$2:$M$36,3,FALSE),"")</f>
        <v/>
      </c>
    </row>
    <row r="3818" spans="1:9" x14ac:dyDescent="0.15">
      <c r="A3818" s="2">
        <v>428202</v>
      </c>
      <c r="B3818" s="2" t="s">
        <v>88</v>
      </c>
      <c r="C3818" s="2">
        <v>2018</v>
      </c>
      <c r="D3818" s="2" t="s">
        <v>1</v>
      </c>
      <c r="E3818" s="2" t="s">
        <v>17</v>
      </c>
      <c r="F3818" s="2" t="s">
        <v>35</v>
      </c>
      <c r="G3818" s="7"/>
      <c r="H3818" s="13" t="str">
        <f>IFERROR(IF(ABS($G3818)&gt;0,VLOOKUP($E3818,'Fuel Category and Heat Rate'!$B$1:$G$34,6,FALSE)*($G3818),""),"")</f>
        <v/>
      </c>
      <c r="I3818" t="str">
        <f>IFERROR(VLOOKUP($E3818,'Fuel Category and Heat Rate'!$K$2:$M$36,3,FALSE),"")</f>
        <v>petroleum diesel</v>
      </c>
    </row>
    <row r="3819" spans="1:9" x14ac:dyDescent="0.15">
      <c r="A3819" s="2">
        <v>428237</v>
      </c>
      <c r="B3819" s="2" t="s">
        <v>88</v>
      </c>
      <c r="C3819" s="2">
        <v>2018</v>
      </c>
      <c r="D3819" s="2" t="s">
        <v>1</v>
      </c>
      <c r="E3819" s="2" t="s">
        <v>13</v>
      </c>
      <c r="F3819" s="2" t="s">
        <v>35</v>
      </c>
      <c r="G3819" s="7"/>
      <c r="H3819" s="13" t="str">
        <f>IFERROR(IF(ABS($G3819)&gt;0,VLOOKUP($E3819,'Fuel Category and Heat Rate'!$B$1:$G$34,6,FALSE)*($G3819),""),"")</f>
        <v/>
      </c>
      <c r="I3819" t="str">
        <f>IFERROR(VLOOKUP($E3819,'Fuel Category and Heat Rate'!$K$2:$M$36,3,FALSE),"")</f>
        <v>petroleum diesel</v>
      </c>
    </row>
    <row r="3820" spans="1:9" x14ac:dyDescent="0.15">
      <c r="A3820" s="2">
        <v>428272</v>
      </c>
      <c r="B3820" s="2" t="s">
        <v>88</v>
      </c>
      <c r="C3820" s="2">
        <v>2018</v>
      </c>
      <c r="D3820" s="2" t="s">
        <v>1</v>
      </c>
      <c r="E3820" s="2" t="s">
        <v>12</v>
      </c>
      <c r="F3820" s="2" t="s">
        <v>36</v>
      </c>
      <c r="G3820" s="7"/>
      <c r="H3820" s="13" t="str">
        <f>IFERROR(IF(ABS($G3820)&gt;0,VLOOKUP($E3820,'Fuel Category and Heat Rate'!$B$1:$G$34,6,FALSE)*($G3820),""),"")</f>
        <v/>
      </c>
      <c r="I3820" t="str">
        <f>IFERROR(VLOOKUP($E3820,'Fuel Category and Heat Rate'!$K$2:$M$36,3,FALSE),"")</f>
        <v>LPG propane or butane</v>
      </c>
    </row>
    <row r="3821" spans="1:9" x14ac:dyDescent="0.15">
      <c r="A3821" s="2">
        <v>428307</v>
      </c>
      <c r="B3821" s="2" t="s">
        <v>88</v>
      </c>
      <c r="C3821" s="2">
        <v>2018</v>
      </c>
      <c r="D3821" s="2" t="s">
        <v>1</v>
      </c>
      <c r="E3821" s="2" t="s">
        <v>33</v>
      </c>
      <c r="F3821" s="2" t="s">
        <v>38</v>
      </c>
      <c r="G3821" s="7"/>
      <c r="H3821" s="13" t="str">
        <f>IFERROR(IF(ABS($G3821)&gt;0,VLOOKUP($E3821,'Fuel Category and Heat Rate'!$B$1:$G$34,6,FALSE)*($G3821),""),"")</f>
        <v/>
      </c>
      <c r="I3821" t="str">
        <f>IFERROR(VLOOKUP($E3821,'Fuel Category and Heat Rate'!$K$2:$M$36,3,FALSE),"")</f>
        <v>biomass</v>
      </c>
    </row>
    <row r="3822" spans="1:9" x14ac:dyDescent="0.15">
      <c r="A3822" s="2">
        <v>428342</v>
      </c>
      <c r="B3822" s="2" t="s">
        <v>88</v>
      </c>
      <c r="C3822" s="2">
        <v>2018</v>
      </c>
      <c r="D3822" s="2" t="s">
        <v>1</v>
      </c>
      <c r="E3822" s="2" t="s">
        <v>28</v>
      </c>
      <c r="F3822" s="2" t="s">
        <v>35</v>
      </c>
      <c r="G3822" s="7"/>
      <c r="H3822" s="13" t="str">
        <f>IFERROR(IF(ABS($G3822)&gt;0,VLOOKUP($E3822,'Fuel Category and Heat Rate'!$B$1:$G$34,6,FALSE)*($G3822),""),"")</f>
        <v/>
      </c>
      <c r="I3822" t="str">
        <f>IFERROR(VLOOKUP($E3822,'Fuel Category and Heat Rate'!$K$2:$M$36,3,FALSE),"")</f>
        <v>heavy or residual fuel oil</v>
      </c>
    </row>
    <row r="3823" spans="1:9" x14ac:dyDescent="0.15">
      <c r="A3823" s="2">
        <v>428377</v>
      </c>
      <c r="B3823" s="2" t="s">
        <v>88</v>
      </c>
      <c r="C3823" s="2">
        <v>2018</v>
      </c>
      <c r="D3823" s="2" t="s">
        <v>1</v>
      </c>
      <c r="E3823" s="2" t="s">
        <v>5</v>
      </c>
      <c r="F3823" s="2" t="s">
        <v>35</v>
      </c>
      <c r="G3823" s="7">
        <v>-14.48</v>
      </c>
      <c r="H3823" s="13">
        <f>IFERROR(IF(ABS($G3823)&gt;0,VLOOKUP($E3823,'Fuel Category and Heat Rate'!$B$1:$G$34,6,FALSE)*($G3823),""),"")</f>
        <v>-1147770897625.9409</v>
      </c>
      <c r="I3823" t="str">
        <f>IFERROR(VLOOKUP($E3823,'Fuel Category and Heat Rate'!$K$2:$M$36,3,FALSE),"")</f>
        <v>coal</v>
      </c>
    </row>
    <row r="3824" spans="1:9" x14ac:dyDescent="0.15">
      <c r="A3824" s="2">
        <v>428412</v>
      </c>
      <c r="B3824" s="2" t="s">
        <v>88</v>
      </c>
      <c r="C3824" s="2">
        <v>2018</v>
      </c>
      <c r="D3824" s="2" t="s">
        <v>1</v>
      </c>
      <c r="E3824" s="2" t="s">
        <v>16</v>
      </c>
      <c r="F3824" s="2" t="s">
        <v>35</v>
      </c>
      <c r="G3824" s="7"/>
      <c r="H3824" s="13" t="str">
        <f>IFERROR(IF(ABS($G3824)&gt;0,VLOOKUP($E3824,'Fuel Category and Heat Rate'!$B$1:$G$34,6,FALSE)*($G3824),""),"")</f>
        <v/>
      </c>
      <c r="I3824" t="str">
        <f>IFERROR(VLOOKUP($E3824,'Fuel Category and Heat Rate'!$K$2:$M$36,3,FALSE),"")</f>
        <v>petroleum diesel</v>
      </c>
    </row>
    <row r="3825" spans="1:9" x14ac:dyDescent="0.15">
      <c r="A3825" s="2">
        <v>428447</v>
      </c>
      <c r="B3825" s="2" t="s">
        <v>88</v>
      </c>
      <c r="C3825" s="2">
        <v>2018</v>
      </c>
      <c r="D3825" s="2" t="s">
        <v>1</v>
      </c>
      <c r="E3825" s="2" t="s">
        <v>19</v>
      </c>
      <c r="F3825" s="2" t="s">
        <v>35</v>
      </c>
      <c r="G3825" s="7"/>
      <c r="H3825" s="13" t="str">
        <f>IFERROR(IF(ABS($G3825)&gt;0,VLOOKUP($E3825,'Fuel Category and Heat Rate'!$B$1:$G$34,6,FALSE)*($G3825),""),"")</f>
        <v/>
      </c>
      <c r="I3825" t="str">
        <f>IFERROR(VLOOKUP($E3825,'Fuel Category and Heat Rate'!$K$2:$M$36,3,FALSE),"")</f>
        <v>heavy or residual fuel oil</v>
      </c>
    </row>
    <row r="3826" spans="1:9" x14ac:dyDescent="0.15">
      <c r="A3826" s="2">
        <v>428482</v>
      </c>
      <c r="B3826" s="2" t="s">
        <v>88</v>
      </c>
      <c r="C3826" s="2">
        <v>2018</v>
      </c>
      <c r="D3826" s="2" t="s">
        <v>1</v>
      </c>
      <c r="E3826" s="2" t="s">
        <v>31</v>
      </c>
      <c r="F3826" s="2" t="s">
        <v>37</v>
      </c>
      <c r="G3826" s="7">
        <v>14510.64</v>
      </c>
      <c r="H3826" s="13">
        <f>IFERROR(IF(ABS($G3826)&gt;0,VLOOKUP($E3826,'Fuel Category and Heat Rate'!$B$1:$G$34,6,FALSE)*($G3826),""),"")</f>
        <v>137534330528568.7</v>
      </c>
      <c r="I3826" t="str">
        <f>IFERROR(VLOOKUP($E3826,'Fuel Category and Heat Rate'!$K$2:$M$36,3,FALSE),"")</f>
        <v>heat</v>
      </c>
    </row>
    <row r="3827" spans="1:9" x14ac:dyDescent="0.15">
      <c r="A3827" s="2">
        <v>428517</v>
      </c>
      <c r="B3827" s="2" t="s">
        <v>88</v>
      </c>
      <c r="C3827" s="2">
        <v>2018</v>
      </c>
      <c r="D3827" s="2" t="s">
        <v>1</v>
      </c>
      <c r="E3827" s="2" t="s">
        <v>23</v>
      </c>
      <c r="F3827" s="2" t="s">
        <v>35</v>
      </c>
      <c r="G3827" s="7"/>
      <c r="H3827" s="13" t="str">
        <f>IFERROR(IF(ABS($G3827)&gt;0,VLOOKUP($E3827,'Fuel Category and Heat Rate'!$B$1:$G$34,6,FALSE)*($G3827),""),"")</f>
        <v/>
      </c>
      <c r="I3827" t="str">
        <f>IFERROR(VLOOKUP($E3827,'Fuel Category and Heat Rate'!$K$2:$M$36,3,FALSE),"")</f>
        <v>heavy or residual fuel oil</v>
      </c>
    </row>
    <row r="3828" spans="1:9" x14ac:dyDescent="0.15">
      <c r="A3828" s="2">
        <v>428552</v>
      </c>
      <c r="B3828" s="2" t="s">
        <v>88</v>
      </c>
      <c r="C3828" s="2">
        <v>2018</v>
      </c>
      <c r="D3828" s="2" t="s">
        <v>1</v>
      </c>
      <c r="E3828" s="2" t="s">
        <v>21</v>
      </c>
      <c r="F3828" s="2" t="s">
        <v>35</v>
      </c>
      <c r="G3828" s="7"/>
      <c r="H3828" s="13" t="str">
        <f>IFERROR(IF(ABS($G3828)&gt;0,VLOOKUP($E3828,'Fuel Category and Heat Rate'!$B$1:$G$34,6,FALSE)*($G3828),""),"")</f>
        <v/>
      </c>
      <c r="I3828" t="str">
        <f>IFERROR(VLOOKUP($E3828,'Fuel Category and Heat Rate'!$K$2:$M$36,3,FALSE),"")</f>
        <v>LPG propane or butane</v>
      </c>
    </row>
    <row r="3829" spans="1:9" x14ac:dyDescent="0.15">
      <c r="A3829" s="2">
        <v>428587</v>
      </c>
      <c r="B3829" s="2" t="s">
        <v>88</v>
      </c>
      <c r="C3829" s="2">
        <v>2018</v>
      </c>
      <c r="D3829" s="2" t="s">
        <v>1</v>
      </c>
      <c r="E3829" s="2" t="s">
        <v>22</v>
      </c>
      <c r="F3829" s="2" t="s">
        <v>35</v>
      </c>
      <c r="G3829" s="7"/>
      <c r="H3829" s="13" t="str">
        <f>IFERROR(IF(ABS($G3829)&gt;0,VLOOKUP($E3829,'Fuel Category and Heat Rate'!$B$1:$G$34,6,FALSE)*($G3829),""),"")</f>
        <v/>
      </c>
      <c r="I3829" t="str">
        <f>IFERROR(VLOOKUP($E3829,'Fuel Category and Heat Rate'!$K$2:$M$36,3,FALSE),"")</f>
        <v>heavy fuel oil</v>
      </c>
    </row>
    <row r="3830" spans="1:9" x14ac:dyDescent="0.15">
      <c r="A3830" s="2">
        <v>428622</v>
      </c>
      <c r="B3830" s="2" t="s">
        <v>88</v>
      </c>
      <c r="C3830" s="2">
        <v>2018</v>
      </c>
      <c r="D3830" s="2" t="s">
        <v>1</v>
      </c>
      <c r="E3830" s="2" t="s">
        <v>20</v>
      </c>
      <c r="F3830" s="2" t="s">
        <v>35</v>
      </c>
      <c r="G3830" s="7"/>
      <c r="H3830" s="13" t="str">
        <f>IFERROR(IF(ABS($G3830)&gt;0,VLOOKUP($E3830,'Fuel Category and Heat Rate'!$B$1:$G$34,6,FALSE)*($G3830),""),"")</f>
        <v/>
      </c>
      <c r="I3830" t="str">
        <f>IFERROR(VLOOKUP($E3830,'Fuel Category and Heat Rate'!$K$2:$M$36,3,FALSE),"")</f>
        <v>LPG propane or butane</v>
      </c>
    </row>
    <row r="3831" spans="1:9" x14ac:dyDescent="0.15">
      <c r="A3831" s="2">
        <v>428657</v>
      </c>
      <c r="B3831" s="2" t="s">
        <v>88</v>
      </c>
      <c r="C3831" s="2">
        <v>2018</v>
      </c>
      <c r="D3831" s="2" t="s">
        <v>1</v>
      </c>
      <c r="E3831" s="2" t="s">
        <v>25</v>
      </c>
      <c r="F3831" s="2" t="s">
        <v>35</v>
      </c>
      <c r="G3831" s="7"/>
      <c r="H3831" s="13" t="str">
        <f>IFERROR(IF(ABS($G3831)&gt;0,VLOOKUP($E3831,'Fuel Category and Heat Rate'!$B$1:$G$34,6,FALSE)*($G3831),""),"")</f>
        <v/>
      </c>
      <c r="I3831" t="str">
        <f>IFERROR(VLOOKUP($E3831,'Fuel Category and Heat Rate'!$K$2:$M$36,3,FALSE),"")</f>
        <v>heavy fuel oil</v>
      </c>
    </row>
    <row r="3832" spans="1:9" x14ac:dyDescent="0.15">
      <c r="A3832" s="2">
        <v>428692</v>
      </c>
      <c r="B3832" s="2" t="s">
        <v>88</v>
      </c>
      <c r="C3832" s="2">
        <v>2018</v>
      </c>
      <c r="D3832" s="2" t="s">
        <v>1</v>
      </c>
      <c r="E3832" s="2" t="s">
        <v>24</v>
      </c>
      <c r="F3832" s="2" t="s">
        <v>35</v>
      </c>
      <c r="G3832" s="7"/>
      <c r="H3832" s="13" t="str">
        <f>IFERROR(IF(ABS($G3832)&gt;0,VLOOKUP($E3832,'Fuel Category and Heat Rate'!$B$1:$G$34,6,FALSE)*($G3832),""),"")</f>
        <v/>
      </c>
      <c r="I3832" t="str">
        <f>IFERROR(VLOOKUP($E3832,'Fuel Category and Heat Rate'!$K$2:$M$36,3,FALSE),"")</f>
        <v>heavy fuel oil</v>
      </c>
    </row>
    <row r="3833" spans="1:9" x14ac:dyDescent="0.15">
      <c r="A3833" s="2">
        <v>428727</v>
      </c>
      <c r="B3833" s="2" t="s">
        <v>88</v>
      </c>
      <c r="C3833" s="2">
        <v>2018</v>
      </c>
      <c r="D3833" s="2" t="s">
        <v>1</v>
      </c>
      <c r="E3833" s="2" t="s">
        <v>29</v>
      </c>
      <c r="F3833" s="2" t="s">
        <v>36</v>
      </c>
      <c r="G3833" s="7">
        <v>-3.06</v>
      </c>
      <c r="H3833" s="13">
        <f>IFERROR(IF(ABS($G3833)&gt;0,VLOOKUP($E3833,'Fuel Category and Heat Rate'!$B$1:$G$34,6,FALSE)*($G3833),""),"")</f>
        <v>-10320645110872.566</v>
      </c>
      <c r="I3833" t="str">
        <f>IFERROR(VLOOKUP($E3833,'Fuel Category and Heat Rate'!$K$2:$M$36,3,FALSE),"")</f>
        <v>natural gas</v>
      </c>
    </row>
    <row r="3834" spans="1:9" x14ac:dyDescent="0.15">
      <c r="A3834" s="2">
        <v>428762</v>
      </c>
      <c r="B3834" s="2" t="s">
        <v>88</v>
      </c>
      <c r="C3834" s="2">
        <v>2018</v>
      </c>
      <c r="D3834" s="2" t="s">
        <v>1</v>
      </c>
      <c r="E3834" s="2" t="s">
        <v>4</v>
      </c>
      <c r="F3834" s="2" t="s">
        <v>35</v>
      </c>
      <c r="G3834" s="7"/>
      <c r="H3834" s="13" t="str">
        <f>IFERROR(IF(ABS($G3834)&gt;0,VLOOKUP($E3834,'Fuel Category and Heat Rate'!$B$1:$G$34,6,FALSE)*($G3834),""),"")</f>
        <v/>
      </c>
      <c r="I3834" t="str">
        <f>IFERROR(VLOOKUP($E3834,'Fuel Category and Heat Rate'!$K$2:$M$36,3,FALSE),"")</f>
        <v>coal</v>
      </c>
    </row>
    <row r="3835" spans="1:9" x14ac:dyDescent="0.15">
      <c r="A3835" s="2">
        <v>428797</v>
      </c>
      <c r="B3835" s="2" t="s">
        <v>88</v>
      </c>
      <c r="C3835" s="2">
        <v>2018</v>
      </c>
      <c r="D3835" s="2" t="s">
        <v>1</v>
      </c>
      <c r="E3835" s="2" t="s">
        <v>6</v>
      </c>
      <c r="F3835" s="2" t="s">
        <v>35</v>
      </c>
      <c r="G3835" s="7"/>
      <c r="H3835" s="13" t="str">
        <f>IFERROR(IF(ABS($G3835)&gt;0,VLOOKUP($E3835,'Fuel Category and Heat Rate'!$B$1:$G$34,6,FALSE)*($G3835),""),"")</f>
        <v/>
      </c>
      <c r="I3835" t="str">
        <f>IFERROR(VLOOKUP($E3835,'Fuel Category and Heat Rate'!$K$2:$M$36,3,FALSE),"")</f>
        <v>coal</v>
      </c>
    </row>
    <row r="3836" spans="1:9" x14ac:dyDescent="0.15">
      <c r="A3836" s="2">
        <v>428832</v>
      </c>
      <c r="B3836" s="2" t="s">
        <v>88</v>
      </c>
      <c r="C3836" s="2">
        <v>2018</v>
      </c>
      <c r="D3836" s="2" t="s">
        <v>1</v>
      </c>
      <c r="E3836" s="2" t="s">
        <v>26</v>
      </c>
      <c r="F3836" s="2" t="s">
        <v>35</v>
      </c>
      <c r="G3836" s="7"/>
      <c r="H3836" s="13" t="str">
        <f>IFERROR(IF(ABS($G3836)&gt;0,VLOOKUP($E3836,'Fuel Category and Heat Rate'!$B$1:$G$34,6,FALSE)*($G3836),""),"")</f>
        <v/>
      </c>
      <c r="I3836" t="str">
        <f>IFERROR(VLOOKUP($E3836,'Fuel Category and Heat Rate'!$K$2:$M$36,3,FALSE),"")</f>
        <v>LPG propane or butane</v>
      </c>
    </row>
    <row r="3837" spans="1:9" x14ac:dyDescent="0.15">
      <c r="A3837" s="2">
        <v>428867</v>
      </c>
      <c r="B3837" s="2" t="s">
        <v>88</v>
      </c>
      <c r="C3837" s="2">
        <v>2018</v>
      </c>
      <c r="D3837" s="2" t="s">
        <v>1</v>
      </c>
      <c r="E3837" s="2" t="s">
        <v>30</v>
      </c>
      <c r="F3837" s="2" t="s">
        <v>35</v>
      </c>
      <c r="G3837" s="7"/>
      <c r="H3837" s="13" t="str">
        <f>IFERROR(IF(ABS($G3837)&gt;0,VLOOKUP($E3837,'Fuel Category and Heat Rate'!$B$1:$G$34,6,FALSE)*($G3837),""),"")</f>
        <v/>
      </c>
      <c r="I3837" t="str">
        <f>IFERROR(VLOOKUP($E3837,'Fuel Category and Heat Rate'!$K$2:$M$36,3,FALSE),"")</f>
        <v>natural gas</v>
      </c>
    </row>
    <row r="3838" spans="1:9" x14ac:dyDescent="0.15">
      <c r="A3838" s="2">
        <v>428902</v>
      </c>
      <c r="B3838" s="2" t="s">
        <v>88</v>
      </c>
      <c r="C3838" s="2">
        <v>2018</v>
      </c>
      <c r="D3838" s="2" t="s">
        <v>1</v>
      </c>
      <c r="E3838" s="2" t="s">
        <v>14</v>
      </c>
      <c r="F3838" s="2" t="s">
        <v>35</v>
      </c>
      <c r="G3838" s="7">
        <v>-1.91</v>
      </c>
      <c r="H3838" s="13">
        <f>IFERROR(IF(ABS($G3838)&gt;0,VLOOKUP($E3838,'Fuel Category and Heat Rate'!$B$1:$G$34,6,FALSE)*($G3838),""),"")</f>
        <v>0</v>
      </c>
      <c r="I3838" t="str">
        <f>IFERROR(VLOOKUP($E3838,'Fuel Category and Heat Rate'!$K$2:$M$36,3,FALSE),"")</f>
        <v/>
      </c>
    </row>
    <row r="3839" spans="1:9" x14ac:dyDescent="0.15">
      <c r="A3839" s="2">
        <v>428937</v>
      </c>
      <c r="B3839" s="2" t="s">
        <v>88</v>
      </c>
      <c r="C3839" s="2">
        <v>2018</v>
      </c>
      <c r="D3839" s="2" t="s">
        <v>1</v>
      </c>
      <c r="E3839" s="2" t="s">
        <v>3</v>
      </c>
      <c r="F3839" s="2" t="s">
        <v>35</v>
      </c>
      <c r="G3839" s="7">
        <v>-766.51</v>
      </c>
      <c r="H3839" s="13">
        <f>IFERROR(IF(ABS($G3839)&gt;0,VLOOKUP($E3839,'Fuel Category and Heat Rate'!$B$1:$G$34,6,FALSE)*($G3839),""),"")</f>
        <v>-151898983167573.53</v>
      </c>
      <c r="I3839" t="str">
        <f>IFERROR(VLOOKUP($E3839,'Fuel Category and Heat Rate'!$K$2:$M$36,3,FALSE),"")</f>
        <v>coal</v>
      </c>
    </row>
    <row r="3840" spans="1:9" x14ac:dyDescent="0.15">
      <c r="A3840" s="2">
        <v>428972</v>
      </c>
      <c r="B3840" s="2" t="s">
        <v>88</v>
      </c>
      <c r="C3840" s="2">
        <v>2018</v>
      </c>
      <c r="D3840" s="2" t="s">
        <v>1</v>
      </c>
      <c r="E3840" s="2" t="s">
        <v>15</v>
      </c>
      <c r="F3840" s="2" t="s">
        <v>35</v>
      </c>
      <c r="G3840" s="7"/>
      <c r="H3840" s="13" t="str">
        <f>IFERROR(IF(ABS($G3840)&gt;0,VLOOKUP($E3840,'Fuel Category and Heat Rate'!$B$1:$G$34,6,FALSE)*($G3840),""),"")</f>
        <v/>
      </c>
      <c r="I3840" t="str">
        <f>IFERROR(VLOOKUP($E3840,'Fuel Category and Heat Rate'!$K$2:$M$36,3,FALSE),"")</f>
        <v>crude oil</v>
      </c>
    </row>
    <row r="3841" spans="1:9" x14ac:dyDescent="0.15">
      <c r="A3841" s="2">
        <v>429007</v>
      </c>
      <c r="B3841" s="2" t="s">
        <v>88</v>
      </c>
      <c r="C3841" s="2">
        <v>2018</v>
      </c>
      <c r="D3841" s="2" t="s">
        <v>1</v>
      </c>
      <c r="E3841" s="2" t="s">
        <v>11</v>
      </c>
      <c r="F3841" s="2" t="s">
        <v>36</v>
      </c>
      <c r="G3841" s="7"/>
      <c r="H3841" s="13" t="str">
        <f>IFERROR(IF(ABS($G3841)&gt;0,VLOOKUP($E3841,'Fuel Category and Heat Rate'!$B$1:$G$34,6,FALSE)*($G3841),""),"")</f>
        <v/>
      </c>
      <c r="I3841" t="str">
        <f>IFERROR(VLOOKUP($E3841,'Fuel Category and Heat Rate'!$K$2:$M$36,3,FALSE),"")</f>
        <v>LPG propane or butane</v>
      </c>
    </row>
    <row r="3842" spans="1:9" x14ac:dyDescent="0.15">
      <c r="A3842" s="2">
        <v>441852</v>
      </c>
      <c r="B3842" s="2" t="s">
        <v>89</v>
      </c>
      <c r="C3842" s="2">
        <v>2022</v>
      </c>
      <c r="D3842" s="2" t="s">
        <v>1</v>
      </c>
      <c r="E3842" s="2" t="s">
        <v>18</v>
      </c>
      <c r="F3842" s="2" t="s">
        <v>35</v>
      </c>
      <c r="G3842" s="7">
        <v>-0.12</v>
      </c>
      <c r="H3842" s="13">
        <f>IFERROR(IF(ABS($G3842)&gt;0,VLOOKUP($E3842,'Fuel Category and Heat Rate'!$B$1:$G$34,6,FALSE)*($G3842),""),"")</f>
        <v>-48511555099.192139</v>
      </c>
      <c r="I3842" t="str">
        <f>IFERROR(VLOOKUP($E3842,'Fuel Category and Heat Rate'!$K$2:$M$36,3,FALSE),"")</f>
        <v>petroleum diesel</v>
      </c>
    </row>
    <row r="3843" spans="1:9" x14ac:dyDescent="0.15">
      <c r="A3843" s="2">
        <v>441887</v>
      </c>
      <c r="B3843" s="2" t="s">
        <v>89</v>
      </c>
      <c r="C3843" s="2">
        <v>2022</v>
      </c>
      <c r="D3843" s="2" t="s">
        <v>1</v>
      </c>
      <c r="E3843" s="2" t="s">
        <v>32</v>
      </c>
      <c r="F3843" s="2" t="s">
        <v>65</v>
      </c>
      <c r="G3843" s="7"/>
      <c r="H3843" s="13" t="str">
        <f>IFERROR(IF(ABS($G3843)&gt;0,VLOOKUP($E3843,'Fuel Category and Heat Rate'!$B$1:$G$34,6,FALSE)*($G3843),""),"")</f>
        <v/>
      </c>
      <c r="I3843" t="str">
        <f>IFERROR(VLOOKUP($E3843,'Fuel Category and Heat Rate'!$K$2:$M$36,3,FALSE),"")</f>
        <v>electricity</v>
      </c>
    </row>
    <row r="3844" spans="1:9" x14ac:dyDescent="0.15">
      <c r="A3844" s="2">
        <v>441922</v>
      </c>
      <c r="B3844" s="2" t="s">
        <v>89</v>
      </c>
      <c r="C3844" s="2">
        <v>2022</v>
      </c>
      <c r="D3844" s="2" t="s">
        <v>1</v>
      </c>
      <c r="E3844" s="2" t="s">
        <v>10</v>
      </c>
      <c r="F3844" s="2" t="s">
        <v>36</v>
      </c>
      <c r="G3844" s="7"/>
      <c r="H3844" s="13" t="str">
        <f>IFERROR(IF(ABS($G3844)&gt;0,VLOOKUP($E3844,'Fuel Category and Heat Rate'!$B$1:$G$34,6,FALSE)*($G3844),""),"")</f>
        <v/>
      </c>
      <c r="I3844" t="str">
        <f>IFERROR(VLOOKUP($E3844,'Fuel Category and Heat Rate'!$K$2:$M$36,3,FALSE),"")</f>
        <v>LPG propane or butane</v>
      </c>
    </row>
    <row r="3845" spans="1:9" x14ac:dyDescent="0.15">
      <c r="A3845" s="2">
        <v>441957</v>
      </c>
      <c r="B3845" s="2" t="s">
        <v>89</v>
      </c>
      <c r="C3845" s="2">
        <v>2022</v>
      </c>
      <c r="D3845" s="2" t="s">
        <v>1</v>
      </c>
      <c r="E3845" s="2" t="s">
        <v>9</v>
      </c>
      <c r="F3845" s="2" t="s">
        <v>36</v>
      </c>
      <c r="G3845" s="7"/>
      <c r="H3845" s="13" t="str">
        <f>IFERROR(IF(ABS($G3845)&gt;0,VLOOKUP($E3845,'Fuel Category and Heat Rate'!$B$1:$G$34,6,FALSE)*($G3845),""),"")</f>
        <v/>
      </c>
      <c r="I3845" t="str">
        <f>IFERROR(VLOOKUP($E3845,'Fuel Category and Heat Rate'!$K$2:$M$36,3,FALSE),"")</f>
        <v>LPG propane or butane</v>
      </c>
    </row>
    <row r="3846" spans="1:9" x14ac:dyDescent="0.15">
      <c r="A3846" s="2">
        <v>441992</v>
      </c>
      <c r="B3846" s="2" t="s">
        <v>89</v>
      </c>
      <c r="C3846" s="2">
        <v>2022</v>
      </c>
      <c r="D3846" s="2" t="s">
        <v>1</v>
      </c>
      <c r="E3846" s="2" t="s">
        <v>8</v>
      </c>
      <c r="F3846" s="2" t="s">
        <v>35</v>
      </c>
      <c r="G3846" s="7"/>
      <c r="H3846" s="13" t="str">
        <f>IFERROR(IF(ABS($G3846)&gt;0,VLOOKUP($E3846,'Fuel Category and Heat Rate'!$B$1:$G$34,6,FALSE)*($G3846),""),"")</f>
        <v/>
      </c>
      <c r="I3846" t="str">
        <f>IFERROR(VLOOKUP($E3846,'Fuel Category and Heat Rate'!$K$2:$M$36,3,FALSE),"")</f>
        <v>coal</v>
      </c>
    </row>
    <row r="3847" spans="1:9" x14ac:dyDescent="0.15">
      <c r="A3847" s="2">
        <v>442027</v>
      </c>
      <c r="B3847" s="2" t="s">
        <v>89</v>
      </c>
      <c r="C3847" s="2">
        <v>2022</v>
      </c>
      <c r="D3847" s="2" t="s">
        <v>1</v>
      </c>
      <c r="E3847" s="2" t="s">
        <v>27</v>
      </c>
      <c r="F3847" s="2" t="s">
        <v>35</v>
      </c>
      <c r="G3847" s="7">
        <v>-0.28999999999999998</v>
      </c>
      <c r="H3847" s="13">
        <f>IFERROR(IF(ABS($G3847)&gt;0,VLOOKUP($E3847,'Fuel Category and Heat Rate'!$B$1:$G$34,6,FALSE)*($G3847),""),"")</f>
        <v>-126433306824.46811</v>
      </c>
      <c r="I3847" t="str">
        <f>IFERROR(VLOOKUP($E3847,'Fuel Category and Heat Rate'!$K$2:$M$36,3,FALSE),"")</f>
        <v>LPG propane or butane</v>
      </c>
    </row>
    <row r="3848" spans="1:9" x14ac:dyDescent="0.15">
      <c r="A3848" s="2">
        <v>442062</v>
      </c>
      <c r="B3848" s="2" t="s">
        <v>89</v>
      </c>
      <c r="C3848" s="2">
        <v>2022</v>
      </c>
      <c r="D3848" s="2" t="s">
        <v>1</v>
      </c>
      <c r="E3848" s="2" t="s">
        <v>7</v>
      </c>
      <c r="F3848" s="2" t="s">
        <v>35</v>
      </c>
      <c r="G3848" s="7"/>
      <c r="H3848" s="13" t="str">
        <f>IFERROR(IF(ABS($G3848)&gt;0,VLOOKUP($E3848,'Fuel Category and Heat Rate'!$B$1:$G$34,6,FALSE)*($G3848),""),"")</f>
        <v/>
      </c>
      <c r="I3848" t="str">
        <f>IFERROR(VLOOKUP($E3848,'Fuel Category and Heat Rate'!$K$2:$M$36,3,FALSE),"")</f>
        <v>coal</v>
      </c>
    </row>
    <row r="3849" spans="1:9" x14ac:dyDescent="0.15">
      <c r="A3849" s="2">
        <v>442097</v>
      </c>
      <c r="B3849" s="2" t="s">
        <v>89</v>
      </c>
      <c r="C3849" s="2">
        <v>2022</v>
      </c>
      <c r="D3849" s="2" t="s">
        <v>1</v>
      </c>
      <c r="E3849" s="2" t="s">
        <v>2</v>
      </c>
      <c r="F3849" s="2" t="s">
        <v>35</v>
      </c>
      <c r="G3849" s="7">
        <v>-189.7</v>
      </c>
      <c r="H3849" s="13">
        <f>IFERROR(IF(ABS($G3849)&gt;0,VLOOKUP($E3849,'Fuel Category and Heat Rate'!$B$1:$G$34,6,FALSE)*($G3849),""),"")</f>
        <v>0</v>
      </c>
      <c r="I3849" t="str">
        <f>IFERROR(VLOOKUP($E3849,'Fuel Category and Heat Rate'!$K$2:$M$36,3,FALSE),"")</f>
        <v/>
      </c>
    </row>
    <row r="3850" spans="1:9" x14ac:dyDescent="0.15">
      <c r="A3850" s="2">
        <v>442132</v>
      </c>
      <c r="B3850" s="2" t="s">
        <v>89</v>
      </c>
      <c r="C3850" s="2">
        <v>2022</v>
      </c>
      <c r="D3850" s="2" t="s">
        <v>1</v>
      </c>
      <c r="E3850" s="2" t="s">
        <v>17</v>
      </c>
      <c r="F3850" s="2" t="s">
        <v>35</v>
      </c>
      <c r="G3850" s="7"/>
      <c r="H3850" s="13" t="str">
        <f>IFERROR(IF(ABS($G3850)&gt;0,VLOOKUP($E3850,'Fuel Category and Heat Rate'!$B$1:$G$34,6,FALSE)*($G3850),""),"")</f>
        <v/>
      </c>
      <c r="I3850" t="str">
        <f>IFERROR(VLOOKUP($E3850,'Fuel Category and Heat Rate'!$K$2:$M$36,3,FALSE),"")</f>
        <v>petroleum diesel</v>
      </c>
    </row>
    <row r="3851" spans="1:9" x14ac:dyDescent="0.15">
      <c r="A3851" s="2">
        <v>442167</v>
      </c>
      <c r="B3851" s="2" t="s">
        <v>89</v>
      </c>
      <c r="C3851" s="2">
        <v>2022</v>
      </c>
      <c r="D3851" s="2" t="s">
        <v>1</v>
      </c>
      <c r="E3851" s="2" t="s">
        <v>13</v>
      </c>
      <c r="F3851" s="2" t="s">
        <v>35</v>
      </c>
      <c r="G3851" s="7"/>
      <c r="H3851" s="13" t="str">
        <f>IFERROR(IF(ABS($G3851)&gt;0,VLOOKUP($E3851,'Fuel Category and Heat Rate'!$B$1:$G$34,6,FALSE)*($G3851),""),"")</f>
        <v/>
      </c>
      <c r="I3851" t="str">
        <f>IFERROR(VLOOKUP($E3851,'Fuel Category and Heat Rate'!$K$2:$M$36,3,FALSE),"")</f>
        <v>petroleum diesel</v>
      </c>
    </row>
    <row r="3852" spans="1:9" x14ac:dyDescent="0.15">
      <c r="A3852" s="2">
        <v>442202</v>
      </c>
      <c r="B3852" s="2" t="s">
        <v>89</v>
      </c>
      <c r="C3852" s="2">
        <v>2022</v>
      </c>
      <c r="D3852" s="2" t="s">
        <v>1</v>
      </c>
      <c r="E3852" s="2" t="s">
        <v>12</v>
      </c>
      <c r="F3852" s="2" t="s">
        <v>36</v>
      </c>
      <c r="G3852" s="7"/>
      <c r="H3852" s="13" t="str">
        <f>IFERROR(IF(ABS($G3852)&gt;0,VLOOKUP($E3852,'Fuel Category and Heat Rate'!$B$1:$G$34,6,FALSE)*($G3852),""),"")</f>
        <v/>
      </c>
      <c r="I3852" t="str">
        <f>IFERROR(VLOOKUP($E3852,'Fuel Category and Heat Rate'!$K$2:$M$36,3,FALSE),"")</f>
        <v>LPG propane or butane</v>
      </c>
    </row>
    <row r="3853" spans="1:9" x14ac:dyDescent="0.15">
      <c r="A3853" s="2">
        <v>442237</v>
      </c>
      <c r="B3853" s="2" t="s">
        <v>89</v>
      </c>
      <c r="C3853" s="2">
        <v>2022</v>
      </c>
      <c r="D3853" s="2" t="s">
        <v>1</v>
      </c>
      <c r="E3853" s="2" t="s">
        <v>33</v>
      </c>
      <c r="F3853" s="2" t="s">
        <v>38</v>
      </c>
      <c r="G3853" s="7">
        <v>-11.43</v>
      </c>
      <c r="H3853" s="13">
        <f>IFERROR(IF(ABS($G3853)&gt;0,VLOOKUP($E3853,'Fuel Category and Heat Rate'!$B$1:$G$34,6,FALSE)*($G3853),""),"")</f>
        <v>-3171088336224.0962</v>
      </c>
      <c r="I3853" t="str">
        <f>IFERROR(VLOOKUP($E3853,'Fuel Category and Heat Rate'!$K$2:$M$36,3,FALSE),"")</f>
        <v>biomass</v>
      </c>
    </row>
    <row r="3854" spans="1:9" x14ac:dyDescent="0.15">
      <c r="A3854" s="2">
        <v>442272</v>
      </c>
      <c r="B3854" s="2" t="s">
        <v>89</v>
      </c>
      <c r="C3854" s="2">
        <v>2022</v>
      </c>
      <c r="D3854" s="2" t="s">
        <v>1</v>
      </c>
      <c r="E3854" s="2" t="s">
        <v>28</v>
      </c>
      <c r="F3854" s="2" t="s">
        <v>35</v>
      </c>
      <c r="G3854" s="7"/>
      <c r="H3854" s="13" t="str">
        <f>IFERROR(IF(ABS($G3854)&gt;0,VLOOKUP($E3854,'Fuel Category and Heat Rate'!$B$1:$G$34,6,FALSE)*($G3854),""),"")</f>
        <v/>
      </c>
      <c r="I3854" t="str">
        <f>IFERROR(VLOOKUP($E3854,'Fuel Category and Heat Rate'!$K$2:$M$36,3,FALSE),"")</f>
        <v>heavy or residual fuel oil</v>
      </c>
    </row>
    <row r="3855" spans="1:9" x14ac:dyDescent="0.15">
      <c r="A3855" s="2">
        <v>442307</v>
      </c>
      <c r="B3855" s="2" t="s">
        <v>89</v>
      </c>
      <c r="C3855" s="2">
        <v>2022</v>
      </c>
      <c r="D3855" s="2" t="s">
        <v>1</v>
      </c>
      <c r="E3855" s="2" t="s">
        <v>5</v>
      </c>
      <c r="F3855" s="2" t="s">
        <v>35</v>
      </c>
      <c r="G3855" s="7"/>
      <c r="H3855" s="13" t="str">
        <f>IFERROR(IF(ABS($G3855)&gt;0,VLOOKUP($E3855,'Fuel Category and Heat Rate'!$B$1:$G$34,6,FALSE)*($G3855),""),"")</f>
        <v/>
      </c>
      <c r="I3855" t="str">
        <f>IFERROR(VLOOKUP($E3855,'Fuel Category and Heat Rate'!$K$2:$M$36,3,FALSE),"")</f>
        <v>coal</v>
      </c>
    </row>
    <row r="3856" spans="1:9" x14ac:dyDescent="0.15">
      <c r="A3856" s="2">
        <v>442342</v>
      </c>
      <c r="B3856" s="2" t="s">
        <v>89</v>
      </c>
      <c r="C3856" s="2">
        <v>2022</v>
      </c>
      <c r="D3856" s="2" t="s">
        <v>1</v>
      </c>
      <c r="E3856" s="2" t="s">
        <v>16</v>
      </c>
      <c r="F3856" s="2" t="s">
        <v>35</v>
      </c>
      <c r="G3856" s="7"/>
      <c r="H3856" s="13" t="str">
        <f>IFERROR(IF(ABS($G3856)&gt;0,VLOOKUP($E3856,'Fuel Category and Heat Rate'!$B$1:$G$34,6,FALSE)*($G3856),""),"")</f>
        <v/>
      </c>
      <c r="I3856" t="str">
        <f>IFERROR(VLOOKUP($E3856,'Fuel Category and Heat Rate'!$K$2:$M$36,3,FALSE),"")</f>
        <v>petroleum diesel</v>
      </c>
    </row>
    <row r="3857" spans="1:9" x14ac:dyDescent="0.15">
      <c r="A3857" s="2">
        <v>442377</v>
      </c>
      <c r="B3857" s="2" t="s">
        <v>89</v>
      </c>
      <c r="C3857" s="2">
        <v>2022</v>
      </c>
      <c r="D3857" s="2" t="s">
        <v>1</v>
      </c>
      <c r="E3857" s="2" t="s">
        <v>19</v>
      </c>
      <c r="F3857" s="2" t="s">
        <v>35</v>
      </c>
      <c r="G3857" s="7"/>
      <c r="H3857" s="13" t="str">
        <f>IFERROR(IF(ABS($G3857)&gt;0,VLOOKUP($E3857,'Fuel Category and Heat Rate'!$B$1:$G$34,6,FALSE)*($G3857),""),"")</f>
        <v/>
      </c>
      <c r="I3857" t="str">
        <f>IFERROR(VLOOKUP($E3857,'Fuel Category and Heat Rate'!$K$2:$M$36,3,FALSE),"")</f>
        <v>heavy or residual fuel oil</v>
      </c>
    </row>
    <row r="3858" spans="1:9" x14ac:dyDescent="0.15">
      <c r="A3858" s="2">
        <v>442412</v>
      </c>
      <c r="B3858" s="2" t="s">
        <v>89</v>
      </c>
      <c r="C3858" s="2">
        <v>2022</v>
      </c>
      <c r="D3858" s="2" t="s">
        <v>1</v>
      </c>
      <c r="E3858" s="2" t="s">
        <v>31</v>
      </c>
      <c r="F3858" s="2" t="s">
        <v>37</v>
      </c>
      <c r="G3858" s="7">
        <v>5874.12</v>
      </c>
      <c r="H3858" s="13">
        <f>IFERROR(IF(ABS($G3858)&gt;0,VLOOKUP($E3858,'Fuel Category and Heat Rate'!$B$1:$G$34,6,FALSE)*($G3858),""),"")</f>
        <v>55675915166007.563</v>
      </c>
      <c r="I3858" t="str">
        <f>IFERROR(VLOOKUP($E3858,'Fuel Category and Heat Rate'!$K$2:$M$36,3,FALSE),"")</f>
        <v>heat</v>
      </c>
    </row>
    <row r="3859" spans="1:9" x14ac:dyDescent="0.15">
      <c r="A3859" s="2">
        <v>442447</v>
      </c>
      <c r="B3859" s="2" t="s">
        <v>89</v>
      </c>
      <c r="C3859" s="2">
        <v>2022</v>
      </c>
      <c r="D3859" s="2" t="s">
        <v>1</v>
      </c>
      <c r="E3859" s="2" t="s">
        <v>23</v>
      </c>
      <c r="F3859" s="2" t="s">
        <v>35</v>
      </c>
      <c r="G3859" s="7"/>
      <c r="H3859" s="13" t="str">
        <f>IFERROR(IF(ABS($G3859)&gt;0,VLOOKUP($E3859,'Fuel Category and Heat Rate'!$B$1:$G$34,6,FALSE)*($G3859),""),"")</f>
        <v/>
      </c>
      <c r="I3859" t="str">
        <f>IFERROR(VLOOKUP($E3859,'Fuel Category and Heat Rate'!$K$2:$M$36,3,FALSE),"")</f>
        <v>heavy or residual fuel oil</v>
      </c>
    </row>
    <row r="3860" spans="1:9" x14ac:dyDescent="0.15">
      <c r="A3860" s="2">
        <v>442482</v>
      </c>
      <c r="B3860" s="2" t="s">
        <v>89</v>
      </c>
      <c r="C3860" s="2">
        <v>2022</v>
      </c>
      <c r="D3860" s="2" t="s">
        <v>1</v>
      </c>
      <c r="E3860" s="2" t="s">
        <v>21</v>
      </c>
      <c r="F3860" s="2" t="s">
        <v>35</v>
      </c>
      <c r="G3860" s="7"/>
      <c r="H3860" s="13" t="str">
        <f>IFERROR(IF(ABS($G3860)&gt;0,VLOOKUP($E3860,'Fuel Category and Heat Rate'!$B$1:$G$34,6,FALSE)*($G3860),""),"")</f>
        <v/>
      </c>
      <c r="I3860" t="str">
        <f>IFERROR(VLOOKUP($E3860,'Fuel Category and Heat Rate'!$K$2:$M$36,3,FALSE),"")</f>
        <v>LPG propane or butane</v>
      </c>
    </row>
    <row r="3861" spans="1:9" x14ac:dyDescent="0.15">
      <c r="A3861" s="2">
        <v>442517</v>
      </c>
      <c r="B3861" s="2" t="s">
        <v>89</v>
      </c>
      <c r="C3861" s="2">
        <v>2022</v>
      </c>
      <c r="D3861" s="2" t="s">
        <v>1</v>
      </c>
      <c r="E3861" s="2" t="s">
        <v>22</v>
      </c>
      <c r="F3861" s="2" t="s">
        <v>35</v>
      </c>
      <c r="G3861" s="7"/>
      <c r="H3861" s="13" t="str">
        <f>IFERROR(IF(ABS($G3861)&gt;0,VLOOKUP($E3861,'Fuel Category and Heat Rate'!$B$1:$G$34,6,FALSE)*($G3861),""),"")</f>
        <v/>
      </c>
      <c r="I3861" t="str">
        <f>IFERROR(VLOOKUP($E3861,'Fuel Category and Heat Rate'!$K$2:$M$36,3,FALSE),"")</f>
        <v>heavy fuel oil</v>
      </c>
    </row>
    <row r="3862" spans="1:9" x14ac:dyDescent="0.15">
      <c r="A3862" s="2">
        <v>442552</v>
      </c>
      <c r="B3862" s="2" t="s">
        <v>89</v>
      </c>
      <c r="C3862" s="2">
        <v>2022</v>
      </c>
      <c r="D3862" s="2" t="s">
        <v>1</v>
      </c>
      <c r="E3862" s="2" t="s">
        <v>20</v>
      </c>
      <c r="F3862" s="2" t="s">
        <v>35</v>
      </c>
      <c r="G3862" s="7"/>
      <c r="H3862" s="13" t="str">
        <f>IFERROR(IF(ABS($G3862)&gt;0,VLOOKUP($E3862,'Fuel Category and Heat Rate'!$B$1:$G$34,6,FALSE)*($G3862),""),"")</f>
        <v/>
      </c>
      <c r="I3862" t="str">
        <f>IFERROR(VLOOKUP($E3862,'Fuel Category and Heat Rate'!$K$2:$M$36,3,FALSE),"")</f>
        <v>LPG propane or butane</v>
      </c>
    </row>
    <row r="3863" spans="1:9" x14ac:dyDescent="0.15">
      <c r="A3863" s="2">
        <v>442587</v>
      </c>
      <c r="B3863" s="2" t="s">
        <v>89</v>
      </c>
      <c r="C3863" s="2">
        <v>2022</v>
      </c>
      <c r="D3863" s="2" t="s">
        <v>1</v>
      </c>
      <c r="E3863" s="2" t="s">
        <v>25</v>
      </c>
      <c r="F3863" s="2" t="s">
        <v>35</v>
      </c>
      <c r="G3863" s="7">
        <v>-11.33</v>
      </c>
      <c r="H3863" s="13">
        <f>IFERROR(IF(ABS($G3863)&gt;0,VLOOKUP($E3863,'Fuel Category and Heat Rate'!$B$1:$G$34,6,FALSE)*($G3863),""),"")</f>
        <v>-3430714212901.6201</v>
      </c>
      <c r="I3863" t="str">
        <f>IFERROR(VLOOKUP($E3863,'Fuel Category and Heat Rate'!$K$2:$M$36,3,FALSE),"")</f>
        <v>heavy fuel oil</v>
      </c>
    </row>
    <row r="3864" spans="1:9" x14ac:dyDescent="0.15">
      <c r="A3864" s="2">
        <v>442622</v>
      </c>
      <c r="B3864" s="2" t="s">
        <v>89</v>
      </c>
      <c r="C3864" s="2">
        <v>2022</v>
      </c>
      <c r="D3864" s="2" t="s">
        <v>1</v>
      </c>
      <c r="E3864" s="2" t="s">
        <v>24</v>
      </c>
      <c r="F3864" s="2" t="s">
        <v>35</v>
      </c>
      <c r="G3864" s="7"/>
      <c r="H3864" s="13" t="str">
        <f>IFERROR(IF(ABS($G3864)&gt;0,VLOOKUP($E3864,'Fuel Category and Heat Rate'!$B$1:$G$34,6,FALSE)*($G3864),""),"")</f>
        <v/>
      </c>
      <c r="I3864" t="str">
        <f>IFERROR(VLOOKUP($E3864,'Fuel Category and Heat Rate'!$K$2:$M$36,3,FALSE),"")</f>
        <v>heavy fuel oil</v>
      </c>
    </row>
    <row r="3865" spans="1:9" x14ac:dyDescent="0.15">
      <c r="A3865" s="2">
        <v>442657</v>
      </c>
      <c r="B3865" s="2" t="s">
        <v>89</v>
      </c>
      <c r="C3865" s="2">
        <v>2022</v>
      </c>
      <c r="D3865" s="2" t="s">
        <v>1</v>
      </c>
      <c r="E3865" s="2" t="s">
        <v>29</v>
      </c>
      <c r="F3865" s="2" t="s">
        <v>36</v>
      </c>
      <c r="G3865" s="7">
        <v>-7.1</v>
      </c>
      <c r="H3865" s="13">
        <f>IFERROR(IF(ABS($G3865)&gt;0,VLOOKUP($E3865,'Fuel Category and Heat Rate'!$B$1:$G$34,6,FALSE)*($G3865),""),"")</f>
        <v>-23946594865096.477</v>
      </c>
      <c r="I3865" t="str">
        <f>IFERROR(VLOOKUP($E3865,'Fuel Category and Heat Rate'!$K$2:$M$36,3,FALSE),"")</f>
        <v>natural gas</v>
      </c>
    </row>
    <row r="3866" spans="1:9" x14ac:dyDescent="0.15">
      <c r="A3866" s="2">
        <v>442692</v>
      </c>
      <c r="B3866" s="2" t="s">
        <v>89</v>
      </c>
      <c r="C3866" s="2">
        <v>2022</v>
      </c>
      <c r="D3866" s="2" t="s">
        <v>1</v>
      </c>
      <c r="E3866" s="2" t="s">
        <v>4</v>
      </c>
      <c r="F3866" s="2" t="s">
        <v>35</v>
      </c>
      <c r="G3866" s="7"/>
      <c r="H3866" s="13" t="str">
        <f>IFERROR(IF(ABS($G3866)&gt;0,VLOOKUP($E3866,'Fuel Category and Heat Rate'!$B$1:$G$34,6,FALSE)*($G3866),""),"")</f>
        <v/>
      </c>
      <c r="I3866" t="str">
        <f>IFERROR(VLOOKUP($E3866,'Fuel Category and Heat Rate'!$K$2:$M$36,3,FALSE),"")</f>
        <v>coal</v>
      </c>
    </row>
    <row r="3867" spans="1:9" x14ac:dyDescent="0.15">
      <c r="A3867" s="2">
        <v>442727</v>
      </c>
      <c r="B3867" s="2" t="s">
        <v>89</v>
      </c>
      <c r="C3867" s="2">
        <v>2022</v>
      </c>
      <c r="D3867" s="2" t="s">
        <v>1</v>
      </c>
      <c r="E3867" s="2" t="s">
        <v>6</v>
      </c>
      <c r="F3867" s="2" t="s">
        <v>35</v>
      </c>
      <c r="G3867" s="7"/>
      <c r="H3867" s="13" t="str">
        <f>IFERROR(IF(ABS($G3867)&gt;0,VLOOKUP($E3867,'Fuel Category and Heat Rate'!$B$1:$G$34,6,FALSE)*($G3867),""),"")</f>
        <v/>
      </c>
      <c r="I3867" t="str">
        <f>IFERROR(VLOOKUP($E3867,'Fuel Category and Heat Rate'!$K$2:$M$36,3,FALSE),"")</f>
        <v>coal</v>
      </c>
    </row>
    <row r="3868" spans="1:9" x14ac:dyDescent="0.15">
      <c r="A3868" s="2">
        <v>442762</v>
      </c>
      <c r="B3868" s="2" t="s">
        <v>89</v>
      </c>
      <c r="C3868" s="2">
        <v>2022</v>
      </c>
      <c r="D3868" s="2" t="s">
        <v>1</v>
      </c>
      <c r="E3868" s="2" t="s">
        <v>26</v>
      </c>
      <c r="F3868" s="2" t="s">
        <v>35</v>
      </c>
      <c r="G3868" s="7"/>
      <c r="H3868" s="13" t="str">
        <f>IFERROR(IF(ABS($G3868)&gt;0,VLOOKUP($E3868,'Fuel Category and Heat Rate'!$B$1:$G$34,6,FALSE)*($G3868),""),"")</f>
        <v/>
      </c>
      <c r="I3868" t="str">
        <f>IFERROR(VLOOKUP($E3868,'Fuel Category and Heat Rate'!$K$2:$M$36,3,FALSE),"")</f>
        <v>LPG propane or butane</v>
      </c>
    </row>
    <row r="3869" spans="1:9" x14ac:dyDescent="0.15">
      <c r="A3869" s="2">
        <v>442797</v>
      </c>
      <c r="B3869" s="2" t="s">
        <v>89</v>
      </c>
      <c r="C3869" s="2">
        <v>2022</v>
      </c>
      <c r="D3869" s="2" t="s">
        <v>1</v>
      </c>
      <c r="E3869" s="2" t="s">
        <v>30</v>
      </c>
      <c r="F3869" s="2" t="s">
        <v>35</v>
      </c>
      <c r="G3869" s="7"/>
      <c r="H3869" s="13" t="str">
        <f>IFERROR(IF(ABS($G3869)&gt;0,VLOOKUP($E3869,'Fuel Category and Heat Rate'!$B$1:$G$34,6,FALSE)*($G3869),""),"")</f>
        <v/>
      </c>
      <c r="I3869" t="str">
        <f>IFERROR(VLOOKUP($E3869,'Fuel Category and Heat Rate'!$K$2:$M$36,3,FALSE),"")</f>
        <v>natural gas</v>
      </c>
    </row>
    <row r="3870" spans="1:9" x14ac:dyDescent="0.15">
      <c r="A3870" s="2">
        <v>442832</v>
      </c>
      <c r="B3870" s="2" t="s">
        <v>89</v>
      </c>
      <c r="C3870" s="2">
        <v>2022</v>
      </c>
      <c r="D3870" s="2" t="s">
        <v>1</v>
      </c>
      <c r="E3870" s="2" t="s">
        <v>14</v>
      </c>
      <c r="F3870" s="2" t="s">
        <v>35</v>
      </c>
      <c r="G3870" s="7">
        <v>-11.74</v>
      </c>
      <c r="H3870" s="13">
        <f>IFERROR(IF(ABS($G3870)&gt;0,VLOOKUP($E3870,'Fuel Category and Heat Rate'!$B$1:$G$34,6,FALSE)*($G3870),""),"")</f>
        <v>0</v>
      </c>
      <c r="I3870" t="str">
        <f>IFERROR(VLOOKUP($E3870,'Fuel Category and Heat Rate'!$K$2:$M$36,3,FALSE),"")</f>
        <v/>
      </c>
    </row>
    <row r="3871" spans="1:9" x14ac:dyDescent="0.15">
      <c r="A3871" s="2">
        <v>442867</v>
      </c>
      <c r="B3871" s="2" t="s">
        <v>89</v>
      </c>
      <c r="C3871" s="2">
        <v>2022</v>
      </c>
      <c r="D3871" s="2" t="s">
        <v>1</v>
      </c>
      <c r="E3871" s="2" t="s">
        <v>3</v>
      </c>
      <c r="F3871" s="2" t="s">
        <v>35</v>
      </c>
      <c r="G3871" s="7">
        <v>-189.7</v>
      </c>
      <c r="H3871" s="13">
        <f>IFERROR(IF(ABS($G3871)&gt;0,VLOOKUP($E3871,'Fuel Category and Heat Rate'!$B$1:$G$34,6,FALSE)*($G3871),""),"")</f>
        <v>-37592773880169.469</v>
      </c>
      <c r="I3871" t="str">
        <f>IFERROR(VLOOKUP($E3871,'Fuel Category and Heat Rate'!$K$2:$M$36,3,FALSE),"")</f>
        <v>coal</v>
      </c>
    </row>
    <row r="3872" spans="1:9" x14ac:dyDescent="0.15">
      <c r="A3872" s="2">
        <v>442902</v>
      </c>
      <c r="B3872" s="2" t="s">
        <v>89</v>
      </c>
      <c r="C3872" s="2">
        <v>2022</v>
      </c>
      <c r="D3872" s="2" t="s">
        <v>1</v>
      </c>
      <c r="E3872" s="2" t="s">
        <v>15</v>
      </c>
      <c r="F3872" s="2" t="s">
        <v>35</v>
      </c>
      <c r="G3872" s="7"/>
      <c r="H3872" s="13" t="str">
        <f>IFERROR(IF(ABS($G3872)&gt;0,VLOOKUP($E3872,'Fuel Category and Heat Rate'!$B$1:$G$34,6,FALSE)*($G3872),""),"")</f>
        <v/>
      </c>
      <c r="I3872" t="str">
        <f>IFERROR(VLOOKUP($E3872,'Fuel Category and Heat Rate'!$K$2:$M$36,3,FALSE),"")</f>
        <v>crude oil</v>
      </c>
    </row>
    <row r="3873" spans="1:9" x14ac:dyDescent="0.15">
      <c r="A3873" s="2">
        <v>442937</v>
      </c>
      <c r="B3873" s="2" t="s">
        <v>89</v>
      </c>
      <c r="C3873" s="2">
        <v>2022</v>
      </c>
      <c r="D3873" s="2" t="s">
        <v>1</v>
      </c>
      <c r="E3873" s="2" t="s">
        <v>11</v>
      </c>
      <c r="F3873" s="2" t="s">
        <v>36</v>
      </c>
      <c r="G3873" s="7"/>
      <c r="H3873" s="13" t="str">
        <f>IFERROR(IF(ABS($G3873)&gt;0,VLOOKUP($E3873,'Fuel Category and Heat Rate'!$B$1:$G$34,6,FALSE)*($G3873),""),"")</f>
        <v/>
      </c>
      <c r="I3873" t="str">
        <f>IFERROR(VLOOKUP($E3873,'Fuel Category and Heat Rate'!$K$2:$M$36,3,FALSE),"")</f>
        <v>LPG propane or butane</v>
      </c>
    </row>
    <row r="3874" spans="1:9" x14ac:dyDescent="0.15">
      <c r="A3874" s="2">
        <v>442972</v>
      </c>
      <c r="B3874" s="2" t="s">
        <v>89</v>
      </c>
      <c r="C3874" s="2">
        <v>2021</v>
      </c>
      <c r="D3874" s="2" t="s">
        <v>1</v>
      </c>
      <c r="E3874" s="2" t="s">
        <v>18</v>
      </c>
      <c r="F3874" s="2" t="s">
        <v>35</v>
      </c>
      <c r="G3874" s="7">
        <v>-0.12</v>
      </c>
      <c r="H3874" s="13">
        <f>IFERROR(IF(ABS($G3874)&gt;0,VLOOKUP($E3874,'Fuel Category and Heat Rate'!$B$1:$G$34,6,FALSE)*($G3874),""),"")</f>
        <v>-48511555099.192139</v>
      </c>
      <c r="I3874" t="str">
        <f>IFERROR(VLOOKUP($E3874,'Fuel Category and Heat Rate'!$K$2:$M$36,3,FALSE),"")</f>
        <v>petroleum diesel</v>
      </c>
    </row>
    <row r="3875" spans="1:9" x14ac:dyDescent="0.15">
      <c r="A3875" s="2">
        <v>443007</v>
      </c>
      <c r="B3875" s="2" t="s">
        <v>89</v>
      </c>
      <c r="C3875" s="2">
        <v>2021</v>
      </c>
      <c r="D3875" s="2" t="s">
        <v>1</v>
      </c>
      <c r="E3875" s="2" t="s">
        <v>32</v>
      </c>
      <c r="F3875" s="2" t="s">
        <v>65</v>
      </c>
      <c r="G3875" s="7"/>
      <c r="H3875" s="13" t="str">
        <f>IFERROR(IF(ABS($G3875)&gt;0,VLOOKUP($E3875,'Fuel Category and Heat Rate'!$B$1:$G$34,6,FALSE)*($G3875),""),"")</f>
        <v/>
      </c>
      <c r="I3875" t="str">
        <f>IFERROR(VLOOKUP($E3875,'Fuel Category and Heat Rate'!$K$2:$M$36,3,FALSE),"")</f>
        <v>electricity</v>
      </c>
    </row>
    <row r="3876" spans="1:9" x14ac:dyDescent="0.15">
      <c r="A3876" s="2">
        <v>443042</v>
      </c>
      <c r="B3876" s="2" t="s">
        <v>89</v>
      </c>
      <c r="C3876" s="2">
        <v>2021</v>
      </c>
      <c r="D3876" s="2" t="s">
        <v>1</v>
      </c>
      <c r="E3876" s="2" t="s">
        <v>10</v>
      </c>
      <c r="F3876" s="2" t="s">
        <v>36</v>
      </c>
      <c r="G3876" s="7"/>
      <c r="H3876" s="13" t="str">
        <f>IFERROR(IF(ABS($G3876)&gt;0,VLOOKUP($E3876,'Fuel Category and Heat Rate'!$B$1:$G$34,6,FALSE)*($G3876),""),"")</f>
        <v/>
      </c>
      <c r="I3876" t="str">
        <f>IFERROR(VLOOKUP($E3876,'Fuel Category and Heat Rate'!$K$2:$M$36,3,FALSE),"")</f>
        <v>LPG propane or butane</v>
      </c>
    </row>
    <row r="3877" spans="1:9" x14ac:dyDescent="0.15">
      <c r="A3877" s="2">
        <v>443077</v>
      </c>
      <c r="B3877" s="2" t="s">
        <v>89</v>
      </c>
      <c r="C3877" s="2">
        <v>2021</v>
      </c>
      <c r="D3877" s="2" t="s">
        <v>1</v>
      </c>
      <c r="E3877" s="2" t="s">
        <v>9</v>
      </c>
      <c r="F3877" s="2" t="s">
        <v>36</v>
      </c>
      <c r="G3877" s="7"/>
      <c r="H3877" s="13" t="str">
        <f>IFERROR(IF(ABS($G3877)&gt;0,VLOOKUP($E3877,'Fuel Category and Heat Rate'!$B$1:$G$34,6,FALSE)*($G3877),""),"")</f>
        <v/>
      </c>
      <c r="I3877" t="str">
        <f>IFERROR(VLOOKUP($E3877,'Fuel Category and Heat Rate'!$K$2:$M$36,3,FALSE),"")</f>
        <v>LPG propane or butane</v>
      </c>
    </row>
    <row r="3878" spans="1:9" x14ac:dyDescent="0.15">
      <c r="A3878" s="2">
        <v>443112</v>
      </c>
      <c r="B3878" s="2" t="s">
        <v>89</v>
      </c>
      <c r="C3878" s="2">
        <v>2021</v>
      </c>
      <c r="D3878" s="2" t="s">
        <v>1</v>
      </c>
      <c r="E3878" s="2" t="s">
        <v>8</v>
      </c>
      <c r="F3878" s="2" t="s">
        <v>35</v>
      </c>
      <c r="G3878" s="7"/>
      <c r="H3878" s="13" t="str">
        <f>IFERROR(IF(ABS($G3878)&gt;0,VLOOKUP($E3878,'Fuel Category and Heat Rate'!$B$1:$G$34,6,FALSE)*($G3878),""),"")</f>
        <v/>
      </c>
      <c r="I3878" t="str">
        <f>IFERROR(VLOOKUP($E3878,'Fuel Category and Heat Rate'!$K$2:$M$36,3,FALSE),"")</f>
        <v>coal</v>
      </c>
    </row>
    <row r="3879" spans="1:9" x14ac:dyDescent="0.15">
      <c r="A3879" s="2">
        <v>443147</v>
      </c>
      <c r="B3879" s="2" t="s">
        <v>89</v>
      </c>
      <c r="C3879" s="2">
        <v>2021</v>
      </c>
      <c r="D3879" s="2" t="s">
        <v>1</v>
      </c>
      <c r="E3879" s="2" t="s">
        <v>27</v>
      </c>
      <c r="F3879" s="2" t="s">
        <v>35</v>
      </c>
      <c r="G3879" s="7">
        <v>-0.33</v>
      </c>
      <c r="H3879" s="13">
        <f>IFERROR(IF(ABS($G3879)&gt;0,VLOOKUP($E3879,'Fuel Category and Heat Rate'!$B$1:$G$34,6,FALSE)*($G3879),""),"")</f>
        <v>-143872383627.84302</v>
      </c>
      <c r="I3879" t="str">
        <f>IFERROR(VLOOKUP($E3879,'Fuel Category and Heat Rate'!$K$2:$M$36,3,FALSE),"")</f>
        <v>LPG propane or butane</v>
      </c>
    </row>
    <row r="3880" spans="1:9" x14ac:dyDescent="0.15">
      <c r="A3880" s="2">
        <v>443182</v>
      </c>
      <c r="B3880" s="2" t="s">
        <v>89</v>
      </c>
      <c r="C3880" s="2">
        <v>2021</v>
      </c>
      <c r="D3880" s="2" t="s">
        <v>1</v>
      </c>
      <c r="E3880" s="2" t="s">
        <v>7</v>
      </c>
      <c r="F3880" s="2" t="s">
        <v>35</v>
      </c>
      <c r="G3880" s="7"/>
      <c r="H3880" s="13" t="str">
        <f>IFERROR(IF(ABS($G3880)&gt;0,VLOOKUP($E3880,'Fuel Category and Heat Rate'!$B$1:$G$34,6,FALSE)*($G3880),""),"")</f>
        <v/>
      </c>
      <c r="I3880" t="str">
        <f>IFERROR(VLOOKUP($E3880,'Fuel Category and Heat Rate'!$K$2:$M$36,3,FALSE),"")</f>
        <v>coal</v>
      </c>
    </row>
    <row r="3881" spans="1:9" x14ac:dyDescent="0.15">
      <c r="A3881" s="2">
        <v>443217</v>
      </c>
      <c r="B3881" s="2" t="s">
        <v>89</v>
      </c>
      <c r="C3881" s="2">
        <v>2021</v>
      </c>
      <c r="D3881" s="2" t="s">
        <v>1</v>
      </c>
      <c r="E3881" s="2" t="s">
        <v>2</v>
      </c>
      <c r="F3881" s="2" t="s">
        <v>35</v>
      </c>
      <c r="G3881" s="7">
        <v>-199.67</v>
      </c>
      <c r="H3881" s="13">
        <f>IFERROR(IF(ABS($G3881)&gt;0,VLOOKUP($E3881,'Fuel Category and Heat Rate'!$B$1:$G$34,6,FALSE)*($G3881),""),"")</f>
        <v>0</v>
      </c>
      <c r="I3881" t="str">
        <f>IFERROR(VLOOKUP($E3881,'Fuel Category and Heat Rate'!$K$2:$M$36,3,FALSE),"")</f>
        <v/>
      </c>
    </row>
    <row r="3882" spans="1:9" x14ac:dyDescent="0.15">
      <c r="A3882" s="2">
        <v>443252</v>
      </c>
      <c r="B3882" s="2" t="s">
        <v>89</v>
      </c>
      <c r="C3882" s="2">
        <v>2021</v>
      </c>
      <c r="D3882" s="2" t="s">
        <v>1</v>
      </c>
      <c r="E3882" s="2" t="s">
        <v>17</v>
      </c>
      <c r="F3882" s="2" t="s">
        <v>35</v>
      </c>
      <c r="G3882" s="7"/>
      <c r="H3882" s="13" t="str">
        <f>IFERROR(IF(ABS($G3882)&gt;0,VLOOKUP($E3882,'Fuel Category and Heat Rate'!$B$1:$G$34,6,FALSE)*($G3882),""),"")</f>
        <v/>
      </c>
      <c r="I3882" t="str">
        <f>IFERROR(VLOOKUP($E3882,'Fuel Category and Heat Rate'!$K$2:$M$36,3,FALSE),"")</f>
        <v>petroleum diesel</v>
      </c>
    </row>
    <row r="3883" spans="1:9" x14ac:dyDescent="0.15">
      <c r="A3883" s="2">
        <v>443287</v>
      </c>
      <c r="B3883" s="2" t="s">
        <v>89</v>
      </c>
      <c r="C3883" s="2">
        <v>2021</v>
      </c>
      <c r="D3883" s="2" t="s">
        <v>1</v>
      </c>
      <c r="E3883" s="2" t="s">
        <v>13</v>
      </c>
      <c r="F3883" s="2" t="s">
        <v>35</v>
      </c>
      <c r="G3883" s="7"/>
      <c r="H3883" s="13" t="str">
        <f>IFERROR(IF(ABS($G3883)&gt;0,VLOOKUP($E3883,'Fuel Category and Heat Rate'!$B$1:$G$34,6,FALSE)*($G3883),""),"")</f>
        <v/>
      </c>
      <c r="I3883" t="str">
        <f>IFERROR(VLOOKUP($E3883,'Fuel Category and Heat Rate'!$K$2:$M$36,3,FALSE),"")</f>
        <v>petroleum diesel</v>
      </c>
    </row>
    <row r="3884" spans="1:9" x14ac:dyDescent="0.15">
      <c r="A3884" s="2">
        <v>443322</v>
      </c>
      <c r="B3884" s="2" t="s">
        <v>89</v>
      </c>
      <c r="C3884" s="2">
        <v>2021</v>
      </c>
      <c r="D3884" s="2" t="s">
        <v>1</v>
      </c>
      <c r="E3884" s="2" t="s">
        <v>12</v>
      </c>
      <c r="F3884" s="2" t="s">
        <v>36</v>
      </c>
      <c r="G3884" s="7"/>
      <c r="H3884" s="13" t="str">
        <f>IFERROR(IF(ABS($G3884)&gt;0,VLOOKUP($E3884,'Fuel Category and Heat Rate'!$B$1:$G$34,6,FALSE)*($G3884),""),"")</f>
        <v/>
      </c>
      <c r="I3884" t="str">
        <f>IFERROR(VLOOKUP($E3884,'Fuel Category and Heat Rate'!$K$2:$M$36,3,FALSE),"")</f>
        <v>LPG propane or butane</v>
      </c>
    </row>
    <row r="3885" spans="1:9" x14ac:dyDescent="0.15">
      <c r="A3885" s="2">
        <v>443357</v>
      </c>
      <c r="B3885" s="2" t="s">
        <v>89</v>
      </c>
      <c r="C3885" s="2">
        <v>2021</v>
      </c>
      <c r="D3885" s="2" t="s">
        <v>1</v>
      </c>
      <c r="E3885" s="2" t="s">
        <v>33</v>
      </c>
      <c r="F3885" s="2" t="s">
        <v>38</v>
      </c>
      <c r="G3885" s="7">
        <v>-11.94</v>
      </c>
      <c r="H3885" s="13">
        <f>IFERROR(IF(ABS($G3885)&gt;0,VLOOKUP($E3885,'Fuel Category and Heat Rate'!$B$1:$G$34,6,FALSE)*($G3885),""),"")</f>
        <v>-3312580466711.7856</v>
      </c>
      <c r="I3885" t="str">
        <f>IFERROR(VLOOKUP($E3885,'Fuel Category and Heat Rate'!$K$2:$M$36,3,FALSE),"")</f>
        <v>biomass</v>
      </c>
    </row>
    <row r="3886" spans="1:9" x14ac:dyDescent="0.15">
      <c r="A3886" s="2">
        <v>443392</v>
      </c>
      <c r="B3886" s="2" t="s">
        <v>89</v>
      </c>
      <c r="C3886" s="2">
        <v>2021</v>
      </c>
      <c r="D3886" s="2" t="s">
        <v>1</v>
      </c>
      <c r="E3886" s="2" t="s">
        <v>28</v>
      </c>
      <c r="F3886" s="2" t="s">
        <v>35</v>
      </c>
      <c r="G3886" s="7"/>
      <c r="H3886" s="13" t="str">
        <f>IFERROR(IF(ABS($G3886)&gt;0,VLOOKUP($E3886,'Fuel Category and Heat Rate'!$B$1:$G$34,6,FALSE)*($G3886),""),"")</f>
        <v/>
      </c>
      <c r="I3886" t="str">
        <f>IFERROR(VLOOKUP($E3886,'Fuel Category and Heat Rate'!$K$2:$M$36,3,FALSE),"")</f>
        <v>heavy or residual fuel oil</v>
      </c>
    </row>
    <row r="3887" spans="1:9" x14ac:dyDescent="0.15">
      <c r="A3887" s="2">
        <v>443427</v>
      </c>
      <c r="B3887" s="2" t="s">
        <v>89</v>
      </c>
      <c r="C3887" s="2">
        <v>2021</v>
      </c>
      <c r="D3887" s="2" t="s">
        <v>1</v>
      </c>
      <c r="E3887" s="2" t="s">
        <v>5</v>
      </c>
      <c r="F3887" s="2" t="s">
        <v>35</v>
      </c>
      <c r="G3887" s="7"/>
      <c r="H3887" s="13" t="str">
        <f>IFERROR(IF(ABS($G3887)&gt;0,VLOOKUP($E3887,'Fuel Category and Heat Rate'!$B$1:$G$34,6,FALSE)*($G3887),""),"")</f>
        <v/>
      </c>
      <c r="I3887" t="str">
        <f>IFERROR(VLOOKUP($E3887,'Fuel Category and Heat Rate'!$K$2:$M$36,3,FALSE),"")</f>
        <v>coal</v>
      </c>
    </row>
    <row r="3888" spans="1:9" x14ac:dyDescent="0.15">
      <c r="A3888" s="2">
        <v>443462</v>
      </c>
      <c r="B3888" s="2" t="s">
        <v>89</v>
      </c>
      <c r="C3888" s="2">
        <v>2021</v>
      </c>
      <c r="D3888" s="2" t="s">
        <v>1</v>
      </c>
      <c r="E3888" s="2" t="s">
        <v>16</v>
      </c>
      <c r="F3888" s="2" t="s">
        <v>35</v>
      </c>
      <c r="G3888" s="7"/>
      <c r="H3888" s="13" t="str">
        <f>IFERROR(IF(ABS($G3888)&gt;0,VLOOKUP($E3888,'Fuel Category and Heat Rate'!$B$1:$G$34,6,FALSE)*($G3888),""),"")</f>
        <v/>
      </c>
      <c r="I3888" t="str">
        <f>IFERROR(VLOOKUP($E3888,'Fuel Category and Heat Rate'!$K$2:$M$36,3,FALSE),"")</f>
        <v>petroleum diesel</v>
      </c>
    </row>
    <row r="3889" spans="1:9" x14ac:dyDescent="0.15">
      <c r="A3889" s="2">
        <v>443497</v>
      </c>
      <c r="B3889" s="2" t="s">
        <v>89</v>
      </c>
      <c r="C3889" s="2">
        <v>2021</v>
      </c>
      <c r="D3889" s="2" t="s">
        <v>1</v>
      </c>
      <c r="E3889" s="2" t="s">
        <v>19</v>
      </c>
      <c r="F3889" s="2" t="s">
        <v>35</v>
      </c>
      <c r="G3889" s="7"/>
      <c r="H3889" s="13" t="str">
        <f>IFERROR(IF(ABS($G3889)&gt;0,VLOOKUP($E3889,'Fuel Category and Heat Rate'!$B$1:$G$34,6,FALSE)*($G3889),""),"")</f>
        <v/>
      </c>
      <c r="I3889" t="str">
        <f>IFERROR(VLOOKUP($E3889,'Fuel Category and Heat Rate'!$K$2:$M$36,3,FALSE),"")</f>
        <v>heavy or residual fuel oil</v>
      </c>
    </row>
    <row r="3890" spans="1:9" x14ac:dyDescent="0.15">
      <c r="A3890" s="2">
        <v>443532</v>
      </c>
      <c r="B3890" s="2" t="s">
        <v>89</v>
      </c>
      <c r="C3890" s="2">
        <v>2021</v>
      </c>
      <c r="D3890" s="2" t="s">
        <v>1</v>
      </c>
      <c r="E3890" s="2" t="s">
        <v>31</v>
      </c>
      <c r="F3890" s="2" t="s">
        <v>37</v>
      </c>
      <c r="G3890" s="7">
        <v>6535.28</v>
      </c>
      <c r="H3890" s="13">
        <f>IFERROR(IF(ABS($G3890)&gt;0,VLOOKUP($E3890,'Fuel Category and Heat Rate'!$B$1:$G$34,6,FALSE)*($G3890),""),"")</f>
        <v>61942502854232.789</v>
      </c>
      <c r="I3890" t="str">
        <f>IFERROR(VLOOKUP($E3890,'Fuel Category and Heat Rate'!$K$2:$M$36,3,FALSE),"")</f>
        <v>heat</v>
      </c>
    </row>
    <row r="3891" spans="1:9" x14ac:dyDescent="0.15">
      <c r="A3891" s="2">
        <v>443567</v>
      </c>
      <c r="B3891" s="2" t="s">
        <v>89</v>
      </c>
      <c r="C3891" s="2">
        <v>2021</v>
      </c>
      <c r="D3891" s="2" t="s">
        <v>1</v>
      </c>
      <c r="E3891" s="2" t="s">
        <v>23</v>
      </c>
      <c r="F3891" s="2" t="s">
        <v>35</v>
      </c>
      <c r="G3891" s="7"/>
      <c r="H3891" s="13" t="str">
        <f>IFERROR(IF(ABS($G3891)&gt;0,VLOOKUP($E3891,'Fuel Category and Heat Rate'!$B$1:$G$34,6,FALSE)*($G3891),""),"")</f>
        <v/>
      </c>
      <c r="I3891" t="str">
        <f>IFERROR(VLOOKUP($E3891,'Fuel Category and Heat Rate'!$K$2:$M$36,3,FALSE),"")</f>
        <v>heavy or residual fuel oil</v>
      </c>
    </row>
    <row r="3892" spans="1:9" x14ac:dyDescent="0.15">
      <c r="A3892" s="2">
        <v>443602</v>
      </c>
      <c r="B3892" s="2" t="s">
        <v>89</v>
      </c>
      <c r="C3892" s="2">
        <v>2021</v>
      </c>
      <c r="D3892" s="2" t="s">
        <v>1</v>
      </c>
      <c r="E3892" s="2" t="s">
        <v>21</v>
      </c>
      <c r="F3892" s="2" t="s">
        <v>35</v>
      </c>
      <c r="G3892" s="7"/>
      <c r="H3892" s="13" t="str">
        <f>IFERROR(IF(ABS($G3892)&gt;0,VLOOKUP($E3892,'Fuel Category and Heat Rate'!$B$1:$G$34,6,FALSE)*($G3892),""),"")</f>
        <v/>
      </c>
      <c r="I3892" t="str">
        <f>IFERROR(VLOOKUP($E3892,'Fuel Category and Heat Rate'!$K$2:$M$36,3,FALSE),"")</f>
        <v>LPG propane or butane</v>
      </c>
    </row>
    <row r="3893" spans="1:9" x14ac:dyDescent="0.15">
      <c r="A3893" s="2">
        <v>443637</v>
      </c>
      <c r="B3893" s="2" t="s">
        <v>89</v>
      </c>
      <c r="C3893" s="2">
        <v>2021</v>
      </c>
      <c r="D3893" s="2" t="s">
        <v>1</v>
      </c>
      <c r="E3893" s="2" t="s">
        <v>22</v>
      </c>
      <c r="F3893" s="2" t="s">
        <v>35</v>
      </c>
      <c r="G3893" s="7"/>
      <c r="H3893" s="13" t="str">
        <f>IFERROR(IF(ABS($G3893)&gt;0,VLOOKUP($E3893,'Fuel Category and Heat Rate'!$B$1:$G$34,6,FALSE)*($G3893),""),"")</f>
        <v/>
      </c>
      <c r="I3893" t="str">
        <f>IFERROR(VLOOKUP($E3893,'Fuel Category and Heat Rate'!$K$2:$M$36,3,FALSE),"")</f>
        <v>heavy fuel oil</v>
      </c>
    </row>
    <row r="3894" spans="1:9" x14ac:dyDescent="0.15">
      <c r="A3894" s="2">
        <v>443672</v>
      </c>
      <c r="B3894" s="2" t="s">
        <v>89</v>
      </c>
      <c r="C3894" s="2">
        <v>2021</v>
      </c>
      <c r="D3894" s="2" t="s">
        <v>1</v>
      </c>
      <c r="E3894" s="2" t="s">
        <v>20</v>
      </c>
      <c r="F3894" s="2" t="s">
        <v>35</v>
      </c>
      <c r="G3894" s="7"/>
      <c r="H3894" s="13" t="str">
        <f>IFERROR(IF(ABS($G3894)&gt;0,VLOOKUP($E3894,'Fuel Category and Heat Rate'!$B$1:$G$34,6,FALSE)*($G3894),""),"")</f>
        <v/>
      </c>
      <c r="I3894" t="str">
        <f>IFERROR(VLOOKUP($E3894,'Fuel Category and Heat Rate'!$K$2:$M$36,3,FALSE),"")</f>
        <v>LPG propane or butane</v>
      </c>
    </row>
    <row r="3895" spans="1:9" x14ac:dyDescent="0.15">
      <c r="A3895" s="2">
        <v>443707</v>
      </c>
      <c r="B3895" s="2" t="s">
        <v>89</v>
      </c>
      <c r="C3895" s="2">
        <v>2021</v>
      </c>
      <c r="D3895" s="2" t="s">
        <v>1</v>
      </c>
      <c r="E3895" s="2" t="s">
        <v>25</v>
      </c>
      <c r="F3895" s="2" t="s">
        <v>35</v>
      </c>
      <c r="G3895" s="7">
        <v>-14.48</v>
      </c>
      <c r="H3895" s="13">
        <f>IFERROR(IF(ABS($G3895)&gt;0,VLOOKUP($E3895,'Fuel Category and Heat Rate'!$B$1:$G$34,6,FALSE)*($G3895),""),"")</f>
        <v>-4384531491863.6772</v>
      </c>
      <c r="I3895" t="str">
        <f>IFERROR(VLOOKUP($E3895,'Fuel Category and Heat Rate'!$K$2:$M$36,3,FALSE),"")</f>
        <v>heavy fuel oil</v>
      </c>
    </row>
    <row r="3896" spans="1:9" x14ac:dyDescent="0.15">
      <c r="A3896" s="2">
        <v>443742</v>
      </c>
      <c r="B3896" s="2" t="s">
        <v>89</v>
      </c>
      <c r="C3896" s="2">
        <v>2021</v>
      </c>
      <c r="D3896" s="2" t="s">
        <v>1</v>
      </c>
      <c r="E3896" s="2" t="s">
        <v>24</v>
      </c>
      <c r="F3896" s="2" t="s">
        <v>35</v>
      </c>
      <c r="G3896" s="7"/>
      <c r="H3896" s="13" t="str">
        <f>IFERROR(IF(ABS($G3896)&gt;0,VLOOKUP($E3896,'Fuel Category and Heat Rate'!$B$1:$G$34,6,FALSE)*($G3896),""),"")</f>
        <v/>
      </c>
      <c r="I3896" t="str">
        <f>IFERROR(VLOOKUP($E3896,'Fuel Category and Heat Rate'!$K$2:$M$36,3,FALSE),"")</f>
        <v>heavy fuel oil</v>
      </c>
    </row>
    <row r="3897" spans="1:9" x14ac:dyDescent="0.15">
      <c r="A3897" s="2">
        <v>443777</v>
      </c>
      <c r="B3897" s="2" t="s">
        <v>89</v>
      </c>
      <c r="C3897" s="2">
        <v>2021</v>
      </c>
      <c r="D3897" s="2" t="s">
        <v>1</v>
      </c>
      <c r="E3897" s="2" t="s">
        <v>29</v>
      </c>
      <c r="F3897" s="2" t="s">
        <v>36</v>
      </c>
      <c r="G3897" s="7">
        <v>-7.85</v>
      </c>
      <c r="H3897" s="13">
        <f>IFERROR(IF(ABS($G3897)&gt;0,VLOOKUP($E3897,'Fuel Category and Heat Rate'!$B$1:$G$34,6,FALSE)*($G3897),""),"")</f>
        <v>-26476164745212.301</v>
      </c>
      <c r="I3897" t="str">
        <f>IFERROR(VLOOKUP($E3897,'Fuel Category and Heat Rate'!$K$2:$M$36,3,FALSE),"")</f>
        <v>natural gas</v>
      </c>
    </row>
    <row r="3898" spans="1:9" x14ac:dyDescent="0.15">
      <c r="A3898" s="2">
        <v>443812</v>
      </c>
      <c r="B3898" s="2" t="s">
        <v>89</v>
      </c>
      <c r="C3898" s="2">
        <v>2021</v>
      </c>
      <c r="D3898" s="2" t="s">
        <v>1</v>
      </c>
      <c r="E3898" s="2" t="s">
        <v>4</v>
      </c>
      <c r="F3898" s="2" t="s">
        <v>35</v>
      </c>
      <c r="G3898" s="7"/>
      <c r="H3898" s="13" t="str">
        <f>IFERROR(IF(ABS($G3898)&gt;0,VLOOKUP($E3898,'Fuel Category and Heat Rate'!$B$1:$G$34,6,FALSE)*($G3898),""),"")</f>
        <v/>
      </c>
      <c r="I3898" t="str">
        <f>IFERROR(VLOOKUP($E3898,'Fuel Category and Heat Rate'!$K$2:$M$36,3,FALSE),"")</f>
        <v>coal</v>
      </c>
    </row>
    <row r="3899" spans="1:9" x14ac:dyDescent="0.15">
      <c r="A3899" s="2">
        <v>443847</v>
      </c>
      <c r="B3899" s="2" t="s">
        <v>89</v>
      </c>
      <c r="C3899" s="2">
        <v>2021</v>
      </c>
      <c r="D3899" s="2" t="s">
        <v>1</v>
      </c>
      <c r="E3899" s="2" t="s">
        <v>6</v>
      </c>
      <c r="F3899" s="2" t="s">
        <v>35</v>
      </c>
      <c r="G3899" s="7"/>
      <c r="H3899" s="13" t="str">
        <f>IFERROR(IF(ABS($G3899)&gt;0,VLOOKUP($E3899,'Fuel Category and Heat Rate'!$B$1:$G$34,6,FALSE)*($G3899),""),"")</f>
        <v/>
      </c>
      <c r="I3899" t="str">
        <f>IFERROR(VLOOKUP($E3899,'Fuel Category and Heat Rate'!$K$2:$M$36,3,FALSE),"")</f>
        <v>coal</v>
      </c>
    </row>
    <row r="3900" spans="1:9" x14ac:dyDescent="0.15">
      <c r="A3900" s="2">
        <v>443882</v>
      </c>
      <c r="B3900" s="2" t="s">
        <v>89</v>
      </c>
      <c r="C3900" s="2">
        <v>2021</v>
      </c>
      <c r="D3900" s="2" t="s">
        <v>1</v>
      </c>
      <c r="E3900" s="2" t="s">
        <v>26</v>
      </c>
      <c r="F3900" s="2" t="s">
        <v>35</v>
      </c>
      <c r="G3900" s="7"/>
      <c r="H3900" s="13" t="str">
        <f>IFERROR(IF(ABS($G3900)&gt;0,VLOOKUP($E3900,'Fuel Category and Heat Rate'!$B$1:$G$34,6,FALSE)*($G3900),""),"")</f>
        <v/>
      </c>
      <c r="I3900" t="str">
        <f>IFERROR(VLOOKUP($E3900,'Fuel Category and Heat Rate'!$K$2:$M$36,3,FALSE),"")</f>
        <v>LPG propane or butane</v>
      </c>
    </row>
    <row r="3901" spans="1:9" x14ac:dyDescent="0.15">
      <c r="A3901" s="2">
        <v>443917</v>
      </c>
      <c r="B3901" s="2" t="s">
        <v>89</v>
      </c>
      <c r="C3901" s="2">
        <v>2021</v>
      </c>
      <c r="D3901" s="2" t="s">
        <v>1</v>
      </c>
      <c r="E3901" s="2" t="s">
        <v>30</v>
      </c>
      <c r="F3901" s="2" t="s">
        <v>35</v>
      </c>
      <c r="G3901" s="7">
        <v>-0.13</v>
      </c>
      <c r="H3901" s="13">
        <f>IFERROR(IF(ABS($G3901)&gt;0,VLOOKUP($E3901,'Fuel Category and Heat Rate'!$B$1:$G$34,6,FALSE)*($G3901),""),"")</f>
        <v>-63375033653.431725</v>
      </c>
      <c r="I3901" t="str">
        <f>IFERROR(VLOOKUP($E3901,'Fuel Category and Heat Rate'!$K$2:$M$36,3,FALSE),"")</f>
        <v>natural gas</v>
      </c>
    </row>
    <row r="3902" spans="1:9" x14ac:dyDescent="0.15">
      <c r="A3902" s="2">
        <v>443952</v>
      </c>
      <c r="B3902" s="2" t="s">
        <v>89</v>
      </c>
      <c r="C3902" s="2">
        <v>2021</v>
      </c>
      <c r="D3902" s="2" t="s">
        <v>1</v>
      </c>
      <c r="E3902" s="2" t="s">
        <v>14</v>
      </c>
      <c r="F3902" s="2" t="s">
        <v>35</v>
      </c>
      <c r="G3902" s="7">
        <v>-14.93</v>
      </c>
      <c r="H3902" s="13">
        <f>IFERROR(IF(ABS($G3902)&gt;0,VLOOKUP($E3902,'Fuel Category and Heat Rate'!$B$1:$G$34,6,FALSE)*($G3902),""),"")</f>
        <v>0</v>
      </c>
      <c r="I3902" t="str">
        <f>IFERROR(VLOOKUP($E3902,'Fuel Category and Heat Rate'!$K$2:$M$36,3,FALSE),"")</f>
        <v/>
      </c>
    </row>
    <row r="3903" spans="1:9" x14ac:dyDescent="0.15">
      <c r="A3903" s="2">
        <v>443987</v>
      </c>
      <c r="B3903" s="2" t="s">
        <v>89</v>
      </c>
      <c r="C3903" s="2">
        <v>2021</v>
      </c>
      <c r="D3903" s="2" t="s">
        <v>1</v>
      </c>
      <c r="E3903" s="2" t="s">
        <v>3</v>
      </c>
      <c r="F3903" s="2" t="s">
        <v>35</v>
      </c>
      <c r="G3903" s="7">
        <v>-199.67</v>
      </c>
      <c r="H3903" s="13">
        <f>IFERROR(IF(ABS($G3903)&gt;0,VLOOKUP($E3903,'Fuel Category and Heat Rate'!$B$1:$G$34,6,FALSE)*($G3903),""),"")</f>
        <v>-39568524832121.445</v>
      </c>
      <c r="I3903" t="str">
        <f>IFERROR(VLOOKUP($E3903,'Fuel Category and Heat Rate'!$K$2:$M$36,3,FALSE),"")</f>
        <v>coal</v>
      </c>
    </row>
    <row r="3904" spans="1:9" x14ac:dyDescent="0.15">
      <c r="A3904" s="2">
        <v>444022</v>
      </c>
      <c r="B3904" s="2" t="s">
        <v>89</v>
      </c>
      <c r="C3904" s="2">
        <v>2021</v>
      </c>
      <c r="D3904" s="2" t="s">
        <v>1</v>
      </c>
      <c r="E3904" s="2" t="s">
        <v>15</v>
      </c>
      <c r="F3904" s="2" t="s">
        <v>35</v>
      </c>
      <c r="G3904" s="7"/>
      <c r="H3904" s="13" t="str">
        <f>IFERROR(IF(ABS($G3904)&gt;0,VLOOKUP($E3904,'Fuel Category and Heat Rate'!$B$1:$G$34,6,FALSE)*($G3904),""),"")</f>
        <v/>
      </c>
      <c r="I3904" t="str">
        <f>IFERROR(VLOOKUP($E3904,'Fuel Category and Heat Rate'!$K$2:$M$36,3,FALSE),"")</f>
        <v>crude oil</v>
      </c>
    </row>
    <row r="3905" spans="1:9" x14ac:dyDescent="0.15">
      <c r="A3905" s="2">
        <v>444057</v>
      </c>
      <c r="B3905" s="2" t="s">
        <v>89</v>
      </c>
      <c r="C3905" s="2">
        <v>2021</v>
      </c>
      <c r="D3905" s="2" t="s">
        <v>1</v>
      </c>
      <c r="E3905" s="2" t="s">
        <v>11</v>
      </c>
      <c r="F3905" s="2" t="s">
        <v>36</v>
      </c>
      <c r="G3905" s="7"/>
      <c r="H3905" s="13" t="str">
        <f>IFERROR(IF(ABS($G3905)&gt;0,VLOOKUP($E3905,'Fuel Category and Heat Rate'!$B$1:$G$34,6,FALSE)*($G3905),""),"")</f>
        <v/>
      </c>
      <c r="I3905" t="str">
        <f>IFERROR(VLOOKUP($E3905,'Fuel Category and Heat Rate'!$K$2:$M$36,3,FALSE),"")</f>
        <v>LPG propane or butane</v>
      </c>
    </row>
    <row r="3906" spans="1:9" x14ac:dyDescent="0.15">
      <c r="A3906" s="2">
        <v>444092</v>
      </c>
      <c r="B3906" s="2" t="s">
        <v>89</v>
      </c>
      <c r="C3906" s="2">
        <v>2020</v>
      </c>
      <c r="D3906" s="2" t="s">
        <v>1</v>
      </c>
      <c r="E3906" s="2" t="s">
        <v>18</v>
      </c>
      <c r="F3906" s="2" t="s">
        <v>35</v>
      </c>
      <c r="G3906" s="7">
        <v>-0.09</v>
      </c>
      <c r="H3906" s="13">
        <f>IFERROR(IF(ABS($G3906)&gt;0,VLOOKUP($E3906,'Fuel Category and Heat Rate'!$B$1:$G$34,6,FALSE)*($G3906),""),"")</f>
        <v>-36383666324.394104</v>
      </c>
      <c r="I3906" t="str">
        <f>IFERROR(VLOOKUP($E3906,'Fuel Category and Heat Rate'!$K$2:$M$36,3,FALSE),"")</f>
        <v>petroleum diesel</v>
      </c>
    </row>
    <row r="3907" spans="1:9" x14ac:dyDescent="0.15">
      <c r="A3907" s="2">
        <v>444127</v>
      </c>
      <c r="B3907" s="2" t="s">
        <v>89</v>
      </c>
      <c r="C3907" s="2">
        <v>2020</v>
      </c>
      <c r="D3907" s="2" t="s">
        <v>1</v>
      </c>
      <c r="E3907" s="2" t="s">
        <v>32</v>
      </c>
      <c r="F3907" s="2" t="s">
        <v>65</v>
      </c>
      <c r="G3907" s="7"/>
      <c r="H3907" s="13" t="str">
        <f>IFERROR(IF(ABS($G3907)&gt;0,VLOOKUP($E3907,'Fuel Category and Heat Rate'!$B$1:$G$34,6,FALSE)*($G3907),""),"")</f>
        <v/>
      </c>
      <c r="I3907" t="str">
        <f>IFERROR(VLOOKUP($E3907,'Fuel Category and Heat Rate'!$K$2:$M$36,3,FALSE),"")</f>
        <v>electricity</v>
      </c>
    </row>
    <row r="3908" spans="1:9" x14ac:dyDescent="0.15">
      <c r="A3908" s="2">
        <v>444162</v>
      </c>
      <c r="B3908" s="2" t="s">
        <v>89</v>
      </c>
      <c r="C3908" s="2">
        <v>2020</v>
      </c>
      <c r="D3908" s="2" t="s">
        <v>1</v>
      </c>
      <c r="E3908" s="2" t="s">
        <v>10</v>
      </c>
      <c r="F3908" s="2" t="s">
        <v>36</v>
      </c>
      <c r="G3908" s="7"/>
      <c r="H3908" s="13" t="str">
        <f>IFERROR(IF(ABS($G3908)&gt;0,VLOOKUP($E3908,'Fuel Category and Heat Rate'!$B$1:$G$34,6,FALSE)*($G3908),""),"")</f>
        <v/>
      </c>
      <c r="I3908" t="str">
        <f>IFERROR(VLOOKUP($E3908,'Fuel Category and Heat Rate'!$K$2:$M$36,3,FALSE),"")</f>
        <v>LPG propane or butane</v>
      </c>
    </row>
    <row r="3909" spans="1:9" x14ac:dyDescent="0.15">
      <c r="A3909" s="2">
        <v>444197</v>
      </c>
      <c r="B3909" s="2" t="s">
        <v>89</v>
      </c>
      <c r="C3909" s="2">
        <v>2020</v>
      </c>
      <c r="D3909" s="2" t="s">
        <v>1</v>
      </c>
      <c r="E3909" s="2" t="s">
        <v>9</v>
      </c>
      <c r="F3909" s="2" t="s">
        <v>36</v>
      </c>
      <c r="G3909" s="7"/>
      <c r="H3909" s="13" t="str">
        <f>IFERROR(IF(ABS($G3909)&gt;0,VLOOKUP($E3909,'Fuel Category and Heat Rate'!$B$1:$G$34,6,FALSE)*($G3909),""),"")</f>
        <v/>
      </c>
      <c r="I3909" t="str">
        <f>IFERROR(VLOOKUP($E3909,'Fuel Category and Heat Rate'!$K$2:$M$36,3,FALSE),"")</f>
        <v>LPG propane or butane</v>
      </c>
    </row>
    <row r="3910" spans="1:9" x14ac:dyDescent="0.15">
      <c r="A3910" s="2">
        <v>444232</v>
      </c>
      <c r="B3910" s="2" t="s">
        <v>89</v>
      </c>
      <c r="C3910" s="2">
        <v>2020</v>
      </c>
      <c r="D3910" s="2" t="s">
        <v>1</v>
      </c>
      <c r="E3910" s="2" t="s">
        <v>8</v>
      </c>
      <c r="F3910" s="2" t="s">
        <v>35</v>
      </c>
      <c r="G3910" s="7"/>
      <c r="H3910" s="13" t="str">
        <f>IFERROR(IF(ABS($G3910)&gt;0,VLOOKUP($E3910,'Fuel Category and Heat Rate'!$B$1:$G$34,6,FALSE)*($G3910),""),"")</f>
        <v/>
      </c>
      <c r="I3910" t="str">
        <f>IFERROR(VLOOKUP($E3910,'Fuel Category and Heat Rate'!$K$2:$M$36,3,FALSE),"")</f>
        <v>coal</v>
      </c>
    </row>
    <row r="3911" spans="1:9" x14ac:dyDescent="0.15">
      <c r="A3911" s="2">
        <v>444267</v>
      </c>
      <c r="B3911" s="2" t="s">
        <v>89</v>
      </c>
      <c r="C3911" s="2">
        <v>2020</v>
      </c>
      <c r="D3911" s="2" t="s">
        <v>1</v>
      </c>
      <c r="E3911" s="2" t="s">
        <v>27</v>
      </c>
      <c r="F3911" s="2" t="s">
        <v>35</v>
      </c>
      <c r="G3911" s="7">
        <v>-0.26</v>
      </c>
      <c r="H3911" s="13">
        <f>IFERROR(IF(ABS($G3911)&gt;0,VLOOKUP($E3911,'Fuel Category and Heat Rate'!$B$1:$G$34,6,FALSE)*($G3911),""),"")</f>
        <v>-113353999221.93694</v>
      </c>
      <c r="I3911" t="str">
        <f>IFERROR(VLOOKUP($E3911,'Fuel Category and Heat Rate'!$K$2:$M$36,3,FALSE),"")</f>
        <v>LPG propane or butane</v>
      </c>
    </row>
    <row r="3912" spans="1:9" x14ac:dyDescent="0.15">
      <c r="A3912" s="2">
        <v>444302</v>
      </c>
      <c r="B3912" s="2" t="s">
        <v>89</v>
      </c>
      <c r="C3912" s="2">
        <v>2020</v>
      </c>
      <c r="D3912" s="2" t="s">
        <v>1</v>
      </c>
      <c r="E3912" s="2" t="s">
        <v>7</v>
      </c>
      <c r="F3912" s="2" t="s">
        <v>35</v>
      </c>
      <c r="G3912" s="7"/>
      <c r="H3912" s="13" t="str">
        <f>IFERROR(IF(ABS($G3912)&gt;0,VLOOKUP($E3912,'Fuel Category and Heat Rate'!$B$1:$G$34,6,FALSE)*($G3912),""),"")</f>
        <v/>
      </c>
      <c r="I3912" t="str">
        <f>IFERROR(VLOOKUP($E3912,'Fuel Category and Heat Rate'!$K$2:$M$36,3,FALSE),"")</f>
        <v>coal</v>
      </c>
    </row>
    <row r="3913" spans="1:9" x14ac:dyDescent="0.15">
      <c r="A3913" s="2">
        <v>444337</v>
      </c>
      <c r="B3913" s="2" t="s">
        <v>89</v>
      </c>
      <c r="C3913" s="2">
        <v>2020</v>
      </c>
      <c r="D3913" s="2" t="s">
        <v>1</v>
      </c>
      <c r="E3913" s="2" t="s">
        <v>2</v>
      </c>
      <c r="F3913" s="2" t="s">
        <v>35</v>
      </c>
      <c r="G3913" s="7">
        <v>-208.56</v>
      </c>
      <c r="H3913" s="13">
        <f>IFERROR(IF(ABS($G3913)&gt;0,VLOOKUP($E3913,'Fuel Category and Heat Rate'!$B$1:$G$34,6,FALSE)*($G3913),""),"")</f>
        <v>0</v>
      </c>
      <c r="I3913" t="str">
        <f>IFERROR(VLOOKUP($E3913,'Fuel Category and Heat Rate'!$K$2:$M$36,3,FALSE),"")</f>
        <v/>
      </c>
    </row>
    <row r="3914" spans="1:9" x14ac:dyDescent="0.15">
      <c r="A3914" s="2">
        <v>444372</v>
      </c>
      <c r="B3914" s="2" t="s">
        <v>89</v>
      </c>
      <c r="C3914" s="2">
        <v>2020</v>
      </c>
      <c r="D3914" s="2" t="s">
        <v>1</v>
      </c>
      <c r="E3914" s="2" t="s">
        <v>17</v>
      </c>
      <c r="F3914" s="2" t="s">
        <v>35</v>
      </c>
      <c r="G3914" s="7"/>
      <c r="H3914" s="13" t="str">
        <f>IFERROR(IF(ABS($G3914)&gt;0,VLOOKUP($E3914,'Fuel Category and Heat Rate'!$B$1:$G$34,6,FALSE)*($G3914),""),"")</f>
        <v/>
      </c>
      <c r="I3914" t="str">
        <f>IFERROR(VLOOKUP($E3914,'Fuel Category and Heat Rate'!$K$2:$M$36,3,FALSE),"")</f>
        <v>petroleum diesel</v>
      </c>
    </row>
    <row r="3915" spans="1:9" x14ac:dyDescent="0.15">
      <c r="A3915" s="2">
        <v>444407</v>
      </c>
      <c r="B3915" s="2" t="s">
        <v>89</v>
      </c>
      <c r="C3915" s="2">
        <v>2020</v>
      </c>
      <c r="D3915" s="2" t="s">
        <v>1</v>
      </c>
      <c r="E3915" s="2" t="s">
        <v>13</v>
      </c>
      <c r="F3915" s="2" t="s">
        <v>35</v>
      </c>
      <c r="G3915" s="7"/>
      <c r="H3915" s="13" t="str">
        <f>IFERROR(IF(ABS($G3915)&gt;0,VLOOKUP($E3915,'Fuel Category and Heat Rate'!$B$1:$G$34,6,FALSE)*($G3915),""),"")</f>
        <v/>
      </c>
      <c r="I3915" t="str">
        <f>IFERROR(VLOOKUP($E3915,'Fuel Category and Heat Rate'!$K$2:$M$36,3,FALSE),"")</f>
        <v>petroleum diesel</v>
      </c>
    </row>
    <row r="3916" spans="1:9" x14ac:dyDescent="0.15">
      <c r="A3916" s="2">
        <v>444442</v>
      </c>
      <c r="B3916" s="2" t="s">
        <v>89</v>
      </c>
      <c r="C3916" s="2">
        <v>2020</v>
      </c>
      <c r="D3916" s="2" t="s">
        <v>1</v>
      </c>
      <c r="E3916" s="2" t="s">
        <v>12</v>
      </c>
      <c r="F3916" s="2" t="s">
        <v>36</v>
      </c>
      <c r="G3916" s="7"/>
      <c r="H3916" s="13" t="str">
        <f>IFERROR(IF(ABS($G3916)&gt;0,VLOOKUP($E3916,'Fuel Category and Heat Rate'!$B$1:$G$34,6,FALSE)*($G3916),""),"")</f>
        <v/>
      </c>
      <c r="I3916" t="str">
        <f>IFERROR(VLOOKUP($E3916,'Fuel Category and Heat Rate'!$K$2:$M$36,3,FALSE),"")</f>
        <v>LPG propane or butane</v>
      </c>
    </row>
    <row r="3917" spans="1:9" x14ac:dyDescent="0.15">
      <c r="A3917" s="2">
        <v>444477</v>
      </c>
      <c r="B3917" s="2" t="s">
        <v>89</v>
      </c>
      <c r="C3917" s="2">
        <v>2020</v>
      </c>
      <c r="D3917" s="2" t="s">
        <v>1</v>
      </c>
      <c r="E3917" s="2" t="s">
        <v>33</v>
      </c>
      <c r="F3917" s="2" t="s">
        <v>38</v>
      </c>
      <c r="G3917" s="7">
        <v>-11.94</v>
      </c>
      <c r="H3917" s="13">
        <f>IFERROR(IF(ABS($G3917)&gt;0,VLOOKUP($E3917,'Fuel Category and Heat Rate'!$B$1:$G$34,6,FALSE)*($G3917),""),"")</f>
        <v>-3312580466711.7856</v>
      </c>
      <c r="I3917" t="str">
        <f>IFERROR(VLOOKUP($E3917,'Fuel Category and Heat Rate'!$K$2:$M$36,3,FALSE),"")</f>
        <v>biomass</v>
      </c>
    </row>
    <row r="3918" spans="1:9" x14ac:dyDescent="0.15">
      <c r="A3918" s="2">
        <v>444512</v>
      </c>
      <c r="B3918" s="2" t="s">
        <v>89</v>
      </c>
      <c r="C3918" s="2">
        <v>2020</v>
      </c>
      <c r="D3918" s="2" t="s">
        <v>1</v>
      </c>
      <c r="E3918" s="2" t="s">
        <v>28</v>
      </c>
      <c r="F3918" s="2" t="s">
        <v>35</v>
      </c>
      <c r="G3918" s="7"/>
      <c r="H3918" s="13" t="str">
        <f>IFERROR(IF(ABS($G3918)&gt;0,VLOOKUP($E3918,'Fuel Category and Heat Rate'!$B$1:$G$34,6,FALSE)*($G3918),""),"")</f>
        <v/>
      </c>
      <c r="I3918" t="str">
        <f>IFERROR(VLOOKUP($E3918,'Fuel Category and Heat Rate'!$K$2:$M$36,3,FALSE),"")</f>
        <v>heavy or residual fuel oil</v>
      </c>
    </row>
    <row r="3919" spans="1:9" x14ac:dyDescent="0.15">
      <c r="A3919" s="2">
        <v>444547</v>
      </c>
      <c r="B3919" s="2" t="s">
        <v>89</v>
      </c>
      <c r="C3919" s="2">
        <v>2020</v>
      </c>
      <c r="D3919" s="2" t="s">
        <v>1</v>
      </c>
      <c r="E3919" s="2" t="s">
        <v>5</v>
      </c>
      <c r="F3919" s="2" t="s">
        <v>35</v>
      </c>
      <c r="G3919" s="7"/>
      <c r="H3919" s="13" t="str">
        <f>IFERROR(IF(ABS($G3919)&gt;0,VLOOKUP($E3919,'Fuel Category and Heat Rate'!$B$1:$G$34,6,FALSE)*($G3919),""),"")</f>
        <v/>
      </c>
      <c r="I3919" t="str">
        <f>IFERROR(VLOOKUP($E3919,'Fuel Category and Heat Rate'!$K$2:$M$36,3,FALSE),"")</f>
        <v>coal</v>
      </c>
    </row>
    <row r="3920" spans="1:9" x14ac:dyDescent="0.15">
      <c r="A3920" s="2">
        <v>444582</v>
      </c>
      <c r="B3920" s="2" t="s">
        <v>89</v>
      </c>
      <c r="C3920" s="2">
        <v>2020</v>
      </c>
      <c r="D3920" s="2" t="s">
        <v>1</v>
      </c>
      <c r="E3920" s="2" t="s">
        <v>16</v>
      </c>
      <c r="F3920" s="2" t="s">
        <v>35</v>
      </c>
      <c r="G3920" s="7"/>
      <c r="H3920" s="13" t="str">
        <f>IFERROR(IF(ABS($G3920)&gt;0,VLOOKUP($E3920,'Fuel Category and Heat Rate'!$B$1:$G$34,6,FALSE)*($G3920),""),"")</f>
        <v/>
      </c>
      <c r="I3920" t="str">
        <f>IFERROR(VLOOKUP($E3920,'Fuel Category and Heat Rate'!$K$2:$M$36,3,FALSE),"")</f>
        <v>petroleum diesel</v>
      </c>
    </row>
    <row r="3921" spans="1:9" x14ac:dyDescent="0.15">
      <c r="A3921" s="2">
        <v>444617</v>
      </c>
      <c r="B3921" s="2" t="s">
        <v>89</v>
      </c>
      <c r="C3921" s="2">
        <v>2020</v>
      </c>
      <c r="D3921" s="2" t="s">
        <v>1</v>
      </c>
      <c r="E3921" s="2" t="s">
        <v>19</v>
      </c>
      <c r="F3921" s="2" t="s">
        <v>35</v>
      </c>
      <c r="G3921" s="7"/>
      <c r="H3921" s="13" t="str">
        <f>IFERROR(IF(ABS($G3921)&gt;0,VLOOKUP($E3921,'Fuel Category and Heat Rate'!$B$1:$G$34,6,FALSE)*($G3921),""),"")</f>
        <v/>
      </c>
      <c r="I3921" t="str">
        <f>IFERROR(VLOOKUP($E3921,'Fuel Category and Heat Rate'!$K$2:$M$36,3,FALSE),"")</f>
        <v>heavy or residual fuel oil</v>
      </c>
    </row>
    <row r="3922" spans="1:9" x14ac:dyDescent="0.15">
      <c r="A3922" s="2">
        <v>444652</v>
      </c>
      <c r="B3922" s="2" t="s">
        <v>89</v>
      </c>
      <c r="C3922" s="2">
        <v>2020</v>
      </c>
      <c r="D3922" s="2" t="s">
        <v>1</v>
      </c>
      <c r="E3922" s="2" t="s">
        <v>31</v>
      </c>
      <c r="F3922" s="2" t="s">
        <v>37</v>
      </c>
      <c r="G3922" s="7">
        <v>6683.27</v>
      </c>
      <c r="H3922" s="13">
        <f>IFERROR(IF(ABS($G3922)&gt;0,VLOOKUP($E3922,'Fuel Category and Heat Rate'!$B$1:$G$34,6,FALSE)*($G3922),""),"")</f>
        <v>63345177414067.711</v>
      </c>
      <c r="I3922" t="str">
        <f>IFERROR(VLOOKUP($E3922,'Fuel Category and Heat Rate'!$K$2:$M$36,3,FALSE),"")</f>
        <v>heat</v>
      </c>
    </row>
    <row r="3923" spans="1:9" x14ac:dyDescent="0.15">
      <c r="A3923" s="2">
        <v>444687</v>
      </c>
      <c r="B3923" s="2" t="s">
        <v>89</v>
      </c>
      <c r="C3923" s="2">
        <v>2020</v>
      </c>
      <c r="D3923" s="2" t="s">
        <v>1</v>
      </c>
      <c r="E3923" s="2" t="s">
        <v>23</v>
      </c>
      <c r="F3923" s="2" t="s">
        <v>35</v>
      </c>
      <c r="G3923" s="7"/>
      <c r="H3923" s="13" t="str">
        <f>IFERROR(IF(ABS($G3923)&gt;0,VLOOKUP($E3923,'Fuel Category and Heat Rate'!$B$1:$G$34,6,FALSE)*($G3923),""),"")</f>
        <v/>
      </c>
      <c r="I3923" t="str">
        <f>IFERROR(VLOOKUP($E3923,'Fuel Category and Heat Rate'!$K$2:$M$36,3,FALSE),"")</f>
        <v>heavy or residual fuel oil</v>
      </c>
    </row>
    <row r="3924" spans="1:9" x14ac:dyDescent="0.15">
      <c r="A3924" s="2">
        <v>444722</v>
      </c>
      <c r="B3924" s="2" t="s">
        <v>89</v>
      </c>
      <c r="C3924" s="2">
        <v>2020</v>
      </c>
      <c r="D3924" s="2" t="s">
        <v>1</v>
      </c>
      <c r="E3924" s="2" t="s">
        <v>21</v>
      </c>
      <c r="F3924" s="2" t="s">
        <v>35</v>
      </c>
      <c r="G3924" s="7"/>
      <c r="H3924" s="13" t="str">
        <f>IFERROR(IF(ABS($G3924)&gt;0,VLOOKUP($E3924,'Fuel Category and Heat Rate'!$B$1:$G$34,6,FALSE)*($G3924),""),"")</f>
        <v/>
      </c>
      <c r="I3924" t="str">
        <f>IFERROR(VLOOKUP($E3924,'Fuel Category and Heat Rate'!$K$2:$M$36,3,FALSE),"")</f>
        <v>LPG propane or butane</v>
      </c>
    </row>
    <row r="3925" spans="1:9" x14ac:dyDescent="0.15">
      <c r="A3925" s="2">
        <v>444757</v>
      </c>
      <c r="B3925" s="2" t="s">
        <v>89</v>
      </c>
      <c r="C3925" s="2">
        <v>2020</v>
      </c>
      <c r="D3925" s="2" t="s">
        <v>1</v>
      </c>
      <c r="E3925" s="2" t="s">
        <v>22</v>
      </c>
      <c r="F3925" s="2" t="s">
        <v>35</v>
      </c>
      <c r="G3925" s="7"/>
      <c r="H3925" s="13" t="str">
        <f>IFERROR(IF(ABS($G3925)&gt;0,VLOOKUP($E3925,'Fuel Category and Heat Rate'!$B$1:$G$34,6,FALSE)*($G3925),""),"")</f>
        <v/>
      </c>
      <c r="I3925" t="str">
        <f>IFERROR(VLOOKUP($E3925,'Fuel Category and Heat Rate'!$K$2:$M$36,3,FALSE),"")</f>
        <v>heavy fuel oil</v>
      </c>
    </row>
    <row r="3926" spans="1:9" x14ac:dyDescent="0.15">
      <c r="A3926" s="2">
        <v>444792</v>
      </c>
      <c r="B3926" s="2" t="s">
        <v>89</v>
      </c>
      <c r="C3926" s="2">
        <v>2020</v>
      </c>
      <c r="D3926" s="2" t="s">
        <v>1</v>
      </c>
      <c r="E3926" s="2" t="s">
        <v>20</v>
      </c>
      <c r="F3926" s="2" t="s">
        <v>35</v>
      </c>
      <c r="G3926" s="7"/>
      <c r="H3926" s="13" t="str">
        <f>IFERROR(IF(ABS($G3926)&gt;0,VLOOKUP($E3926,'Fuel Category and Heat Rate'!$B$1:$G$34,6,FALSE)*($G3926),""),"")</f>
        <v/>
      </c>
      <c r="I3926" t="str">
        <f>IFERROR(VLOOKUP($E3926,'Fuel Category and Heat Rate'!$K$2:$M$36,3,FALSE),"")</f>
        <v>LPG propane or butane</v>
      </c>
    </row>
    <row r="3927" spans="1:9" x14ac:dyDescent="0.15">
      <c r="A3927" s="2">
        <v>444827</v>
      </c>
      <c r="B3927" s="2" t="s">
        <v>89</v>
      </c>
      <c r="C3927" s="2">
        <v>2020</v>
      </c>
      <c r="D3927" s="2" t="s">
        <v>1</v>
      </c>
      <c r="E3927" s="2" t="s">
        <v>25</v>
      </c>
      <c r="F3927" s="2" t="s">
        <v>35</v>
      </c>
      <c r="G3927" s="7">
        <v>-17.690000000000001</v>
      </c>
      <c r="H3927" s="13">
        <f>IFERROR(IF(ABS($G3927)&gt;0,VLOOKUP($E3927,'Fuel Category and Heat Rate'!$B$1:$G$34,6,FALSE)*($G3927),""),"")</f>
        <v>-5356516718996.4395</v>
      </c>
      <c r="I3927" t="str">
        <f>IFERROR(VLOOKUP($E3927,'Fuel Category and Heat Rate'!$K$2:$M$36,3,FALSE),"")</f>
        <v>heavy fuel oil</v>
      </c>
    </row>
    <row r="3928" spans="1:9" x14ac:dyDescent="0.15">
      <c r="A3928" s="2">
        <v>444862</v>
      </c>
      <c r="B3928" s="2" t="s">
        <v>89</v>
      </c>
      <c r="C3928" s="2">
        <v>2020</v>
      </c>
      <c r="D3928" s="2" t="s">
        <v>1</v>
      </c>
      <c r="E3928" s="2" t="s">
        <v>24</v>
      </c>
      <c r="F3928" s="2" t="s">
        <v>35</v>
      </c>
      <c r="G3928" s="7"/>
      <c r="H3928" s="13" t="str">
        <f>IFERROR(IF(ABS($G3928)&gt;0,VLOOKUP($E3928,'Fuel Category and Heat Rate'!$B$1:$G$34,6,FALSE)*($G3928),""),"")</f>
        <v/>
      </c>
      <c r="I3928" t="str">
        <f>IFERROR(VLOOKUP($E3928,'Fuel Category and Heat Rate'!$K$2:$M$36,3,FALSE),"")</f>
        <v>heavy fuel oil</v>
      </c>
    </row>
    <row r="3929" spans="1:9" x14ac:dyDescent="0.15">
      <c r="A3929" s="2">
        <v>444897</v>
      </c>
      <c r="B3929" s="2" t="s">
        <v>89</v>
      </c>
      <c r="C3929" s="2">
        <v>2020</v>
      </c>
      <c r="D3929" s="2" t="s">
        <v>1</v>
      </c>
      <c r="E3929" s="2" t="s">
        <v>29</v>
      </c>
      <c r="F3929" s="2" t="s">
        <v>36</v>
      </c>
      <c r="G3929" s="7">
        <v>-7.15</v>
      </c>
      <c r="H3929" s="13">
        <f>IFERROR(IF(ABS($G3929)&gt;0,VLOOKUP($E3929,'Fuel Category and Heat Rate'!$B$1:$G$34,6,FALSE)*($G3929),""),"")</f>
        <v>-24115232857104.203</v>
      </c>
      <c r="I3929" t="str">
        <f>IFERROR(VLOOKUP($E3929,'Fuel Category and Heat Rate'!$K$2:$M$36,3,FALSE),"")</f>
        <v>natural gas</v>
      </c>
    </row>
    <row r="3930" spans="1:9" x14ac:dyDescent="0.15">
      <c r="A3930" s="2">
        <v>444932</v>
      </c>
      <c r="B3930" s="2" t="s">
        <v>89</v>
      </c>
      <c r="C3930" s="2">
        <v>2020</v>
      </c>
      <c r="D3930" s="2" t="s">
        <v>1</v>
      </c>
      <c r="E3930" s="2" t="s">
        <v>4</v>
      </c>
      <c r="F3930" s="2" t="s">
        <v>35</v>
      </c>
      <c r="G3930" s="7"/>
      <c r="H3930" s="13" t="str">
        <f>IFERROR(IF(ABS($G3930)&gt;0,VLOOKUP($E3930,'Fuel Category and Heat Rate'!$B$1:$G$34,6,FALSE)*($G3930),""),"")</f>
        <v/>
      </c>
      <c r="I3930" t="str">
        <f>IFERROR(VLOOKUP($E3930,'Fuel Category and Heat Rate'!$K$2:$M$36,3,FALSE),"")</f>
        <v>coal</v>
      </c>
    </row>
    <row r="3931" spans="1:9" x14ac:dyDescent="0.15">
      <c r="A3931" s="2">
        <v>444967</v>
      </c>
      <c r="B3931" s="2" t="s">
        <v>89</v>
      </c>
      <c r="C3931" s="2">
        <v>2020</v>
      </c>
      <c r="D3931" s="2" t="s">
        <v>1</v>
      </c>
      <c r="E3931" s="2" t="s">
        <v>6</v>
      </c>
      <c r="F3931" s="2" t="s">
        <v>35</v>
      </c>
      <c r="G3931" s="7"/>
      <c r="H3931" s="13" t="str">
        <f>IFERROR(IF(ABS($G3931)&gt;0,VLOOKUP($E3931,'Fuel Category and Heat Rate'!$B$1:$G$34,6,FALSE)*($G3931),""),"")</f>
        <v/>
      </c>
      <c r="I3931" t="str">
        <f>IFERROR(VLOOKUP($E3931,'Fuel Category and Heat Rate'!$K$2:$M$36,3,FALSE),"")</f>
        <v>coal</v>
      </c>
    </row>
    <row r="3932" spans="1:9" x14ac:dyDescent="0.15">
      <c r="A3932" s="2">
        <v>445002</v>
      </c>
      <c r="B3932" s="2" t="s">
        <v>89</v>
      </c>
      <c r="C3932" s="2">
        <v>2020</v>
      </c>
      <c r="D3932" s="2" t="s">
        <v>1</v>
      </c>
      <c r="E3932" s="2" t="s">
        <v>26</v>
      </c>
      <c r="F3932" s="2" t="s">
        <v>35</v>
      </c>
      <c r="G3932" s="7"/>
      <c r="H3932" s="13" t="str">
        <f>IFERROR(IF(ABS($G3932)&gt;0,VLOOKUP($E3932,'Fuel Category and Heat Rate'!$B$1:$G$34,6,FALSE)*($G3932),""),"")</f>
        <v/>
      </c>
      <c r="I3932" t="str">
        <f>IFERROR(VLOOKUP($E3932,'Fuel Category and Heat Rate'!$K$2:$M$36,3,FALSE),"")</f>
        <v>LPG propane or butane</v>
      </c>
    </row>
    <row r="3933" spans="1:9" x14ac:dyDescent="0.15">
      <c r="A3933" s="2">
        <v>445037</v>
      </c>
      <c r="B3933" s="2" t="s">
        <v>89</v>
      </c>
      <c r="C3933" s="2">
        <v>2020</v>
      </c>
      <c r="D3933" s="2" t="s">
        <v>1</v>
      </c>
      <c r="E3933" s="2" t="s">
        <v>30</v>
      </c>
      <c r="F3933" s="2" t="s">
        <v>35</v>
      </c>
      <c r="G3933" s="7">
        <v>-0.36</v>
      </c>
      <c r="H3933" s="13">
        <f>IFERROR(IF(ABS($G3933)&gt;0,VLOOKUP($E3933,'Fuel Category and Heat Rate'!$B$1:$G$34,6,FALSE)*($G3933),""),"")</f>
        <v>-175500093194.11859</v>
      </c>
      <c r="I3933" t="str">
        <f>IFERROR(VLOOKUP($E3933,'Fuel Category and Heat Rate'!$K$2:$M$36,3,FALSE),"")</f>
        <v>natural gas</v>
      </c>
    </row>
    <row r="3934" spans="1:9" x14ac:dyDescent="0.15">
      <c r="A3934" s="2">
        <v>445072</v>
      </c>
      <c r="B3934" s="2" t="s">
        <v>89</v>
      </c>
      <c r="C3934" s="2">
        <v>2020</v>
      </c>
      <c r="D3934" s="2" t="s">
        <v>1</v>
      </c>
      <c r="E3934" s="2" t="s">
        <v>14</v>
      </c>
      <c r="F3934" s="2" t="s">
        <v>35</v>
      </c>
      <c r="G3934" s="7">
        <v>-18.04</v>
      </c>
      <c r="H3934" s="13">
        <f>IFERROR(IF(ABS($G3934)&gt;0,VLOOKUP($E3934,'Fuel Category and Heat Rate'!$B$1:$G$34,6,FALSE)*($G3934),""),"")</f>
        <v>0</v>
      </c>
      <c r="I3934" t="str">
        <f>IFERROR(VLOOKUP($E3934,'Fuel Category and Heat Rate'!$K$2:$M$36,3,FALSE),"")</f>
        <v/>
      </c>
    </row>
    <row r="3935" spans="1:9" x14ac:dyDescent="0.15">
      <c r="A3935" s="2">
        <v>445107</v>
      </c>
      <c r="B3935" s="2" t="s">
        <v>89</v>
      </c>
      <c r="C3935" s="2">
        <v>2020</v>
      </c>
      <c r="D3935" s="2" t="s">
        <v>1</v>
      </c>
      <c r="E3935" s="2" t="s">
        <v>3</v>
      </c>
      <c r="F3935" s="2" t="s">
        <v>35</v>
      </c>
      <c r="G3935" s="7">
        <v>-208.56</v>
      </c>
      <c r="H3935" s="13">
        <f>IFERROR(IF(ABS($G3935)&gt;0,VLOOKUP($E3935,'Fuel Category and Heat Rate'!$B$1:$G$34,6,FALSE)*($G3935),""),"")</f>
        <v>-41330252611745.625</v>
      </c>
      <c r="I3935" t="str">
        <f>IFERROR(VLOOKUP($E3935,'Fuel Category and Heat Rate'!$K$2:$M$36,3,FALSE),"")</f>
        <v>coal</v>
      </c>
    </row>
    <row r="3936" spans="1:9" x14ac:dyDescent="0.15">
      <c r="A3936" s="2">
        <v>445142</v>
      </c>
      <c r="B3936" s="2" t="s">
        <v>89</v>
      </c>
      <c r="C3936" s="2">
        <v>2020</v>
      </c>
      <c r="D3936" s="2" t="s">
        <v>1</v>
      </c>
      <c r="E3936" s="2" t="s">
        <v>15</v>
      </c>
      <c r="F3936" s="2" t="s">
        <v>35</v>
      </c>
      <c r="G3936" s="7"/>
      <c r="H3936" s="13" t="str">
        <f>IFERROR(IF(ABS($G3936)&gt;0,VLOOKUP($E3936,'Fuel Category and Heat Rate'!$B$1:$G$34,6,FALSE)*($G3936),""),"")</f>
        <v/>
      </c>
      <c r="I3936" t="str">
        <f>IFERROR(VLOOKUP($E3936,'Fuel Category and Heat Rate'!$K$2:$M$36,3,FALSE),"")</f>
        <v>crude oil</v>
      </c>
    </row>
    <row r="3937" spans="1:9" x14ac:dyDescent="0.15">
      <c r="A3937" s="2">
        <v>445177</v>
      </c>
      <c r="B3937" s="2" t="s">
        <v>89</v>
      </c>
      <c r="C3937" s="2">
        <v>2020</v>
      </c>
      <c r="D3937" s="2" t="s">
        <v>1</v>
      </c>
      <c r="E3937" s="2" t="s">
        <v>11</v>
      </c>
      <c r="F3937" s="2" t="s">
        <v>36</v>
      </c>
      <c r="G3937" s="7"/>
      <c r="H3937" s="13" t="str">
        <f>IFERROR(IF(ABS($G3937)&gt;0,VLOOKUP($E3937,'Fuel Category and Heat Rate'!$B$1:$G$34,6,FALSE)*($G3937),""),"")</f>
        <v/>
      </c>
      <c r="I3937" t="str">
        <f>IFERROR(VLOOKUP($E3937,'Fuel Category and Heat Rate'!$K$2:$M$36,3,FALSE),"")</f>
        <v>LPG propane or butane</v>
      </c>
    </row>
    <row r="3938" spans="1:9" x14ac:dyDescent="0.15">
      <c r="A3938" s="2">
        <v>445212</v>
      </c>
      <c r="B3938" s="2" t="s">
        <v>89</v>
      </c>
      <c r="C3938" s="2">
        <v>2019</v>
      </c>
      <c r="D3938" s="2" t="s">
        <v>1</v>
      </c>
      <c r="E3938" s="2" t="s">
        <v>18</v>
      </c>
      <c r="F3938" s="2" t="s">
        <v>35</v>
      </c>
      <c r="G3938" s="7">
        <v>-0.13</v>
      </c>
      <c r="H3938" s="13">
        <f>IFERROR(IF(ABS($G3938)&gt;0,VLOOKUP($E3938,'Fuel Category and Heat Rate'!$B$1:$G$34,6,FALSE)*($G3938),""),"")</f>
        <v>-52554184690.791489</v>
      </c>
      <c r="I3938" t="str">
        <f>IFERROR(VLOOKUP($E3938,'Fuel Category and Heat Rate'!$K$2:$M$36,3,FALSE),"")</f>
        <v>petroleum diesel</v>
      </c>
    </row>
    <row r="3939" spans="1:9" x14ac:dyDescent="0.15">
      <c r="A3939" s="2">
        <v>445247</v>
      </c>
      <c r="B3939" s="2" t="s">
        <v>89</v>
      </c>
      <c r="C3939" s="2">
        <v>2019</v>
      </c>
      <c r="D3939" s="2" t="s">
        <v>1</v>
      </c>
      <c r="E3939" s="2" t="s">
        <v>32</v>
      </c>
      <c r="F3939" s="2" t="s">
        <v>65</v>
      </c>
      <c r="G3939" s="7"/>
      <c r="H3939" s="13" t="str">
        <f>IFERROR(IF(ABS($G3939)&gt;0,VLOOKUP($E3939,'Fuel Category and Heat Rate'!$B$1:$G$34,6,FALSE)*($G3939),""),"")</f>
        <v/>
      </c>
      <c r="I3939" t="str">
        <f>IFERROR(VLOOKUP($E3939,'Fuel Category and Heat Rate'!$K$2:$M$36,3,FALSE),"")</f>
        <v>electricity</v>
      </c>
    </row>
    <row r="3940" spans="1:9" x14ac:dyDescent="0.15">
      <c r="A3940" s="2">
        <v>445282</v>
      </c>
      <c r="B3940" s="2" t="s">
        <v>89</v>
      </c>
      <c r="C3940" s="2">
        <v>2019</v>
      </c>
      <c r="D3940" s="2" t="s">
        <v>1</v>
      </c>
      <c r="E3940" s="2" t="s">
        <v>10</v>
      </c>
      <c r="F3940" s="2" t="s">
        <v>36</v>
      </c>
      <c r="G3940" s="7"/>
      <c r="H3940" s="13" t="str">
        <f>IFERROR(IF(ABS($G3940)&gt;0,VLOOKUP($E3940,'Fuel Category and Heat Rate'!$B$1:$G$34,6,FALSE)*($G3940),""),"")</f>
        <v/>
      </c>
      <c r="I3940" t="str">
        <f>IFERROR(VLOOKUP($E3940,'Fuel Category and Heat Rate'!$K$2:$M$36,3,FALSE),"")</f>
        <v>LPG propane or butane</v>
      </c>
    </row>
    <row r="3941" spans="1:9" x14ac:dyDescent="0.15">
      <c r="A3941" s="2">
        <v>445317</v>
      </c>
      <c r="B3941" s="2" t="s">
        <v>89</v>
      </c>
      <c r="C3941" s="2">
        <v>2019</v>
      </c>
      <c r="D3941" s="2" t="s">
        <v>1</v>
      </c>
      <c r="E3941" s="2" t="s">
        <v>9</v>
      </c>
      <c r="F3941" s="2" t="s">
        <v>36</v>
      </c>
      <c r="G3941" s="7"/>
      <c r="H3941" s="13" t="str">
        <f>IFERROR(IF(ABS($G3941)&gt;0,VLOOKUP($E3941,'Fuel Category and Heat Rate'!$B$1:$G$34,6,FALSE)*($G3941),""),"")</f>
        <v/>
      </c>
      <c r="I3941" t="str">
        <f>IFERROR(VLOOKUP($E3941,'Fuel Category and Heat Rate'!$K$2:$M$36,3,FALSE),"")</f>
        <v>LPG propane or butane</v>
      </c>
    </row>
    <row r="3942" spans="1:9" x14ac:dyDescent="0.15">
      <c r="A3942" s="2">
        <v>445352</v>
      </c>
      <c r="B3942" s="2" t="s">
        <v>89</v>
      </c>
      <c r="C3942" s="2">
        <v>2019</v>
      </c>
      <c r="D3942" s="2" t="s">
        <v>1</v>
      </c>
      <c r="E3942" s="2" t="s">
        <v>8</v>
      </c>
      <c r="F3942" s="2" t="s">
        <v>35</v>
      </c>
      <c r="G3942" s="7"/>
      <c r="H3942" s="13" t="str">
        <f>IFERROR(IF(ABS($G3942)&gt;0,VLOOKUP($E3942,'Fuel Category and Heat Rate'!$B$1:$G$34,6,FALSE)*($G3942),""),"")</f>
        <v/>
      </c>
      <c r="I3942" t="str">
        <f>IFERROR(VLOOKUP($E3942,'Fuel Category and Heat Rate'!$K$2:$M$36,3,FALSE),"")</f>
        <v>coal</v>
      </c>
    </row>
    <row r="3943" spans="1:9" x14ac:dyDescent="0.15">
      <c r="A3943" s="2">
        <v>445387</v>
      </c>
      <c r="B3943" s="2" t="s">
        <v>89</v>
      </c>
      <c r="C3943" s="2">
        <v>2019</v>
      </c>
      <c r="D3943" s="2" t="s">
        <v>1</v>
      </c>
      <c r="E3943" s="2" t="s">
        <v>27</v>
      </c>
      <c r="F3943" s="2" t="s">
        <v>35</v>
      </c>
      <c r="G3943" s="7">
        <v>-0.21</v>
      </c>
      <c r="H3943" s="13">
        <f>IFERROR(IF(ABS($G3943)&gt;0,VLOOKUP($E3943,'Fuel Category and Heat Rate'!$B$1:$G$34,6,FALSE)*($G3943),""),"")</f>
        <v>-91555153217.718292</v>
      </c>
      <c r="I3943" t="str">
        <f>IFERROR(VLOOKUP($E3943,'Fuel Category and Heat Rate'!$K$2:$M$36,3,FALSE),"")</f>
        <v>LPG propane or butane</v>
      </c>
    </row>
    <row r="3944" spans="1:9" x14ac:dyDescent="0.15">
      <c r="A3944" s="2">
        <v>445422</v>
      </c>
      <c r="B3944" s="2" t="s">
        <v>89</v>
      </c>
      <c r="C3944" s="2">
        <v>2019</v>
      </c>
      <c r="D3944" s="2" t="s">
        <v>1</v>
      </c>
      <c r="E3944" s="2" t="s">
        <v>7</v>
      </c>
      <c r="F3944" s="2" t="s">
        <v>35</v>
      </c>
      <c r="G3944" s="7"/>
      <c r="H3944" s="13" t="str">
        <f>IFERROR(IF(ABS($G3944)&gt;0,VLOOKUP($E3944,'Fuel Category and Heat Rate'!$B$1:$G$34,6,FALSE)*($G3944),""),"")</f>
        <v/>
      </c>
      <c r="I3944" t="str">
        <f>IFERROR(VLOOKUP($E3944,'Fuel Category and Heat Rate'!$K$2:$M$36,3,FALSE),"")</f>
        <v>coal</v>
      </c>
    </row>
    <row r="3945" spans="1:9" x14ac:dyDescent="0.15">
      <c r="A3945" s="2">
        <v>445457</v>
      </c>
      <c r="B3945" s="2" t="s">
        <v>89</v>
      </c>
      <c r="C3945" s="2">
        <v>2019</v>
      </c>
      <c r="D3945" s="2" t="s">
        <v>1</v>
      </c>
      <c r="E3945" s="2" t="s">
        <v>2</v>
      </c>
      <c r="F3945" s="2" t="s">
        <v>35</v>
      </c>
      <c r="G3945" s="7">
        <v>-211.1</v>
      </c>
      <c r="H3945" s="13">
        <f>IFERROR(IF(ABS($G3945)&gt;0,VLOOKUP($E3945,'Fuel Category and Heat Rate'!$B$1:$G$34,6,FALSE)*($G3945),""),"")</f>
        <v>0</v>
      </c>
      <c r="I3945" t="str">
        <f>IFERROR(VLOOKUP($E3945,'Fuel Category and Heat Rate'!$K$2:$M$36,3,FALSE),"")</f>
        <v/>
      </c>
    </row>
    <row r="3946" spans="1:9" x14ac:dyDescent="0.15">
      <c r="A3946" s="2">
        <v>445492</v>
      </c>
      <c r="B3946" s="2" t="s">
        <v>89</v>
      </c>
      <c r="C3946" s="2">
        <v>2019</v>
      </c>
      <c r="D3946" s="2" t="s">
        <v>1</v>
      </c>
      <c r="E3946" s="2" t="s">
        <v>17</v>
      </c>
      <c r="F3946" s="2" t="s">
        <v>35</v>
      </c>
      <c r="G3946" s="7"/>
      <c r="H3946" s="13" t="str">
        <f>IFERROR(IF(ABS($G3946)&gt;0,VLOOKUP($E3946,'Fuel Category and Heat Rate'!$B$1:$G$34,6,FALSE)*($G3946),""),"")</f>
        <v/>
      </c>
      <c r="I3946" t="str">
        <f>IFERROR(VLOOKUP($E3946,'Fuel Category and Heat Rate'!$K$2:$M$36,3,FALSE),"")</f>
        <v>petroleum diesel</v>
      </c>
    </row>
    <row r="3947" spans="1:9" x14ac:dyDescent="0.15">
      <c r="A3947" s="2">
        <v>445527</v>
      </c>
      <c r="B3947" s="2" t="s">
        <v>89</v>
      </c>
      <c r="C3947" s="2">
        <v>2019</v>
      </c>
      <c r="D3947" s="2" t="s">
        <v>1</v>
      </c>
      <c r="E3947" s="2" t="s">
        <v>13</v>
      </c>
      <c r="F3947" s="2" t="s">
        <v>35</v>
      </c>
      <c r="G3947" s="7"/>
      <c r="H3947" s="13" t="str">
        <f>IFERROR(IF(ABS($G3947)&gt;0,VLOOKUP($E3947,'Fuel Category and Heat Rate'!$B$1:$G$34,6,FALSE)*($G3947),""),"")</f>
        <v/>
      </c>
      <c r="I3947" t="str">
        <f>IFERROR(VLOOKUP($E3947,'Fuel Category and Heat Rate'!$K$2:$M$36,3,FALSE),"")</f>
        <v>petroleum diesel</v>
      </c>
    </row>
    <row r="3948" spans="1:9" x14ac:dyDescent="0.15">
      <c r="A3948" s="2">
        <v>445562</v>
      </c>
      <c r="B3948" s="2" t="s">
        <v>89</v>
      </c>
      <c r="C3948" s="2">
        <v>2019</v>
      </c>
      <c r="D3948" s="2" t="s">
        <v>1</v>
      </c>
      <c r="E3948" s="2" t="s">
        <v>12</v>
      </c>
      <c r="F3948" s="2" t="s">
        <v>36</v>
      </c>
      <c r="G3948" s="7"/>
      <c r="H3948" s="13" t="str">
        <f>IFERROR(IF(ABS($G3948)&gt;0,VLOOKUP($E3948,'Fuel Category and Heat Rate'!$B$1:$G$34,6,FALSE)*($G3948),""),"")</f>
        <v/>
      </c>
      <c r="I3948" t="str">
        <f>IFERROR(VLOOKUP($E3948,'Fuel Category and Heat Rate'!$K$2:$M$36,3,FALSE),"")</f>
        <v>LPG propane or butane</v>
      </c>
    </row>
    <row r="3949" spans="1:9" x14ac:dyDescent="0.15">
      <c r="A3949" s="2">
        <v>445597</v>
      </c>
      <c r="B3949" s="2" t="s">
        <v>89</v>
      </c>
      <c r="C3949" s="2">
        <v>2019</v>
      </c>
      <c r="D3949" s="2" t="s">
        <v>1</v>
      </c>
      <c r="E3949" s="2" t="s">
        <v>33</v>
      </c>
      <c r="F3949" s="2" t="s">
        <v>38</v>
      </c>
      <c r="G3949" s="7">
        <v>-12.72</v>
      </c>
      <c r="H3949" s="13">
        <f>IFERROR(IF(ABS($G3949)&gt;0,VLOOKUP($E3949,'Fuel Category and Heat Rate'!$B$1:$G$34,6,FALSE)*($G3949),""),"")</f>
        <v>-3528980195692.958</v>
      </c>
      <c r="I3949" t="str">
        <f>IFERROR(VLOOKUP($E3949,'Fuel Category and Heat Rate'!$K$2:$M$36,3,FALSE),"")</f>
        <v>biomass</v>
      </c>
    </row>
    <row r="3950" spans="1:9" x14ac:dyDescent="0.15">
      <c r="A3950" s="2">
        <v>445632</v>
      </c>
      <c r="B3950" s="2" t="s">
        <v>89</v>
      </c>
      <c r="C3950" s="2">
        <v>2019</v>
      </c>
      <c r="D3950" s="2" t="s">
        <v>1</v>
      </c>
      <c r="E3950" s="2" t="s">
        <v>28</v>
      </c>
      <c r="F3950" s="2" t="s">
        <v>35</v>
      </c>
      <c r="G3950" s="7"/>
      <c r="H3950" s="13" t="str">
        <f>IFERROR(IF(ABS($G3950)&gt;0,VLOOKUP($E3950,'Fuel Category and Heat Rate'!$B$1:$G$34,6,FALSE)*($G3950),""),"")</f>
        <v/>
      </c>
      <c r="I3950" t="str">
        <f>IFERROR(VLOOKUP($E3950,'Fuel Category and Heat Rate'!$K$2:$M$36,3,FALSE),"")</f>
        <v>heavy or residual fuel oil</v>
      </c>
    </row>
    <row r="3951" spans="1:9" x14ac:dyDescent="0.15">
      <c r="A3951" s="2">
        <v>445667</v>
      </c>
      <c r="B3951" s="2" t="s">
        <v>89</v>
      </c>
      <c r="C3951" s="2">
        <v>2019</v>
      </c>
      <c r="D3951" s="2" t="s">
        <v>1</v>
      </c>
      <c r="E3951" s="2" t="s">
        <v>5</v>
      </c>
      <c r="F3951" s="2" t="s">
        <v>35</v>
      </c>
      <c r="G3951" s="7"/>
      <c r="H3951" s="13" t="str">
        <f>IFERROR(IF(ABS($G3951)&gt;0,VLOOKUP($E3951,'Fuel Category and Heat Rate'!$B$1:$G$34,6,FALSE)*($G3951),""),"")</f>
        <v/>
      </c>
      <c r="I3951" t="str">
        <f>IFERROR(VLOOKUP($E3951,'Fuel Category and Heat Rate'!$K$2:$M$36,3,FALSE),"")</f>
        <v>coal</v>
      </c>
    </row>
    <row r="3952" spans="1:9" x14ac:dyDescent="0.15">
      <c r="A3952" s="2">
        <v>445702</v>
      </c>
      <c r="B3952" s="2" t="s">
        <v>89</v>
      </c>
      <c r="C3952" s="2">
        <v>2019</v>
      </c>
      <c r="D3952" s="2" t="s">
        <v>1</v>
      </c>
      <c r="E3952" s="2" t="s">
        <v>16</v>
      </c>
      <c r="F3952" s="2" t="s">
        <v>35</v>
      </c>
      <c r="G3952" s="7"/>
      <c r="H3952" s="13" t="str">
        <f>IFERROR(IF(ABS($G3952)&gt;0,VLOOKUP($E3952,'Fuel Category and Heat Rate'!$B$1:$G$34,6,FALSE)*($G3952),""),"")</f>
        <v/>
      </c>
      <c r="I3952" t="str">
        <f>IFERROR(VLOOKUP($E3952,'Fuel Category and Heat Rate'!$K$2:$M$36,3,FALSE),"")</f>
        <v>petroleum diesel</v>
      </c>
    </row>
    <row r="3953" spans="1:9" x14ac:dyDescent="0.15">
      <c r="A3953" s="2">
        <v>445737</v>
      </c>
      <c r="B3953" s="2" t="s">
        <v>89</v>
      </c>
      <c r="C3953" s="2">
        <v>2019</v>
      </c>
      <c r="D3953" s="2" t="s">
        <v>1</v>
      </c>
      <c r="E3953" s="2" t="s">
        <v>19</v>
      </c>
      <c r="F3953" s="2" t="s">
        <v>35</v>
      </c>
      <c r="G3953" s="7"/>
      <c r="H3953" s="13" t="str">
        <f>IFERROR(IF(ABS($G3953)&gt;0,VLOOKUP($E3953,'Fuel Category and Heat Rate'!$B$1:$G$34,6,FALSE)*($G3953),""),"")</f>
        <v/>
      </c>
      <c r="I3953" t="str">
        <f>IFERROR(VLOOKUP($E3953,'Fuel Category and Heat Rate'!$K$2:$M$36,3,FALSE),"")</f>
        <v>heavy or residual fuel oil</v>
      </c>
    </row>
    <row r="3954" spans="1:9" x14ac:dyDescent="0.15">
      <c r="A3954" s="2">
        <v>445772</v>
      </c>
      <c r="B3954" s="2" t="s">
        <v>89</v>
      </c>
      <c r="C3954" s="2">
        <v>2019</v>
      </c>
      <c r="D3954" s="2" t="s">
        <v>1</v>
      </c>
      <c r="E3954" s="2" t="s">
        <v>31</v>
      </c>
      <c r="F3954" s="2" t="s">
        <v>37</v>
      </c>
      <c r="G3954" s="7">
        <v>6762.38</v>
      </c>
      <c r="H3954" s="13">
        <f>IFERROR(IF(ABS($G3954)&gt;0,VLOOKUP($E3954,'Fuel Category and Heat Rate'!$B$1:$G$34,6,FALSE)*($G3954),""),"")</f>
        <v>64094995539809.578</v>
      </c>
      <c r="I3954" t="str">
        <f>IFERROR(VLOOKUP($E3954,'Fuel Category and Heat Rate'!$K$2:$M$36,3,FALSE),"")</f>
        <v>heat</v>
      </c>
    </row>
    <row r="3955" spans="1:9" x14ac:dyDescent="0.15">
      <c r="A3955" s="2">
        <v>445807</v>
      </c>
      <c r="B3955" s="2" t="s">
        <v>89</v>
      </c>
      <c r="C3955" s="2">
        <v>2019</v>
      </c>
      <c r="D3955" s="2" t="s">
        <v>1</v>
      </c>
      <c r="E3955" s="2" t="s">
        <v>23</v>
      </c>
      <c r="F3955" s="2" t="s">
        <v>35</v>
      </c>
      <c r="G3955" s="7"/>
      <c r="H3955" s="13" t="str">
        <f>IFERROR(IF(ABS($G3955)&gt;0,VLOOKUP($E3955,'Fuel Category and Heat Rate'!$B$1:$G$34,6,FALSE)*($G3955),""),"")</f>
        <v/>
      </c>
      <c r="I3955" t="str">
        <f>IFERROR(VLOOKUP($E3955,'Fuel Category and Heat Rate'!$K$2:$M$36,3,FALSE),"")</f>
        <v>heavy or residual fuel oil</v>
      </c>
    </row>
    <row r="3956" spans="1:9" x14ac:dyDescent="0.15">
      <c r="A3956" s="2">
        <v>445842</v>
      </c>
      <c r="B3956" s="2" t="s">
        <v>89</v>
      </c>
      <c r="C3956" s="2">
        <v>2019</v>
      </c>
      <c r="D3956" s="2" t="s">
        <v>1</v>
      </c>
      <c r="E3956" s="2" t="s">
        <v>21</v>
      </c>
      <c r="F3956" s="2" t="s">
        <v>35</v>
      </c>
      <c r="G3956" s="7"/>
      <c r="H3956" s="13" t="str">
        <f>IFERROR(IF(ABS($G3956)&gt;0,VLOOKUP($E3956,'Fuel Category and Heat Rate'!$B$1:$G$34,6,FALSE)*($G3956),""),"")</f>
        <v/>
      </c>
      <c r="I3956" t="str">
        <f>IFERROR(VLOOKUP($E3956,'Fuel Category and Heat Rate'!$K$2:$M$36,3,FALSE),"")</f>
        <v>LPG propane or butane</v>
      </c>
    </row>
    <row r="3957" spans="1:9" x14ac:dyDescent="0.15">
      <c r="A3957" s="2">
        <v>445877</v>
      </c>
      <c r="B3957" s="2" t="s">
        <v>89</v>
      </c>
      <c r="C3957" s="2">
        <v>2019</v>
      </c>
      <c r="D3957" s="2" t="s">
        <v>1</v>
      </c>
      <c r="E3957" s="2" t="s">
        <v>22</v>
      </c>
      <c r="F3957" s="2" t="s">
        <v>35</v>
      </c>
      <c r="G3957" s="7"/>
      <c r="H3957" s="13" t="str">
        <f>IFERROR(IF(ABS($G3957)&gt;0,VLOOKUP($E3957,'Fuel Category and Heat Rate'!$B$1:$G$34,6,FALSE)*($G3957),""),"")</f>
        <v/>
      </c>
      <c r="I3957" t="str">
        <f>IFERROR(VLOOKUP($E3957,'Fuel Category and Heat Rate'!$K$2:$M$36,3,FALSE),"")</f>
        <v>heavy fuel oil</v>
      </c>
    </row>
    <row r="3958" spans="1:9" x14ac:dyDescent="0.15">
      <c r="A3958" s="2">
        <v>445912</v>
      </c>
      <c r="B3958" s="2" t="s">
        <v>89</v>
      </c>
      <c r="C3958" s="2">
        <v>2019</v>
      </c>
      <c r="D3958" s="2" t="s">
        <v>1</v>
      </c>
      <c r="E3958" s="2" t="s">
        <v>20</v>
      </c>
      <c r="F3958" s="2" t="s">
        <v>35</v>
      </c>
      <c r="G3958" s="7"/>
      <c r="H3958" s="13" t="str">
        <f>IFERROR(IF(ABS($G3958)&gt;0,VLOOKUP($E3958,'Fuel Category and Heat Rate'!$B$1:$G$34,6,FALSE)*($G3958),""),"")</f>
        <v/>
      </c>
      <c r="I3958" t="str">
        <f>IFERROR(VLOOKUP($E3958,'Fuel Category and Heat Rate'!$K$2:$M$36,3,FALSE),"")</f>
        <v>LPG propane or butane</v>
      </c>
    </row>
    <row r="3959" spans="1:9" x14ac:dyDescent="0.15">
      <c r="A3959" s="2">
        <v>445947</v>
      </c>
      <c r="B3959" s="2" t="s">
        <v>89</v>
      </c>
      <c r="C3959" s="2">
        <v>2019</v>
      </c>
      <c r="D3959" s="2" t="s">
        <v>1</v>
      </c>
      <c r="E3959" s="2" t="s">
        <v>25</v>
      </c>
      <c r="F3959" s="2" t="s">
        <v>35</v>
      </c>
      <c r="G3959" s="7">
        <v>-17.239999999999998</v>
      </c>
      <c r="H3959" s="13">
        <f>IFERROR(IF(ABS($G3959)&gt;0,VLOOKUP($E3959,'Fuel Category and Heat Rate'!$B$1:$G$34,6,FALSE)*($G3959),""),"")</f>
        <v>-5220257107716.1455</v>
      </c>
      <c r="I3959" t="str">
        <f>IFERROR(VLOOKUP($E3959,'Fuel Category and Heat Rate'!$K$2:$M$36,3,FALSE),"")</f>
        <v>heavy fuel oil</v>
      </c>
    </row>
    <row r="3960" spans="1:9" x14ac:dyDescent="0.15">
      <c r="A3960" s="2">
        <v>445982</v>
      </c>
      <c r="B3960" s="2" t="s">
        <v>89</v>
      </c>
      <c r="C3960" s="2">
        <v>2019</v>
      </c>
      <c r="D3960" s="2" t="s">
        <v>1</v>
      </c>
      <c r="E3960" s="2" t="s">
        <v>24</v>
      </c>
      <c r="F3960" s="2" t="s">
        <v>35</v>
      </c>
      <c r="G3960" s="7"/>
      <c r="H3960" s="13" t="str">
        <f>IFERROR(IF(ABS($G3960)&gt;0,VLOOKUP($E3960,'Fuel Category and Heat Rate'!$B$1:$G$34,6,FALSE)*($G3960),""),"")</f>
        <v/>
      </c>
      <c r="I3960" t="str">
        <f>IFERROR(VLOOKUP($E3960,'Fuel Category and Heat Rate'!$K$2:$M$36,3,FALSE),"")</f>
        <v>heavy fuel oil</v>
      </c>
    </row>
    <row r="3961" spans="1:9" x14ac:dyDescent="0.15">
      <c r="A3961" s="2">
        <v>446017</v>
      </c>
      <c r="B3961" s="2" t="s">
        <v>89</v>
      </c>
      <c r="C3961" s="2">
        <v>2019</v>
      </c>
      <c r="D3961" s="2" t="s">
        <v>1</v>
      </c>
      <c r="E3961" s="2" t="s">
        <v>29</v>
      </c>
      <c r="F3961" s="2" t="s">
        <v>36</v>
      </c>
      <c r="G3961" s="7">
        <v>-7.2</v>
      </c>
      <c r="H3961" s="13">
        <f>IFERROR(IF(ABS($G3961)&gt;0,VLOOKUP($E3961,'Fuel Category and Heat Rate'!$B$1:$G$34,6,FALSE)*($G3961),""),"")</f>
        <v>-24283870849111.922</v>
      </c>
      <c r="I3961" t="str">
        <f>IFERROR(VLOOKUP($E3961,'Fuel Category and Heat Rate'!$K$2:$M$36,3,FALSE),"")</f>
        <v>natural gas</v>
      </c>
    </row>
    <row r="3962" spans="1:9" x14ac:dyDescent="0.15">
      <c r="A3962" s="2">
        <v>446052</v>
      </c>
      <c r="B3962" s="2" t="s">
        <v>89</v>
      </c>
      <c r="C3962" s="2">
        <v>2019</v>
      </c>
      <c r="D3962" s="2" t="s">
        <v>1</v>
      </c>
      <c r="E3962" s="2" t="s">
        <v>4</v>
      </c>
      <c r="F3962" s="2" t="s">
        <v>35</v>
      </c>
      <c r="G3962" s="7"/>
      <c r="H3962" s="13" t="str">
        <f>IFERROR(IF(ABS($G3962)&gt;0,VLOOKUP($E3962,'Fuel Category and Heat Rate'!$B$1:$G$34,6,FALSE)*($G3962),""),"")</f>
        <v/>
      </c>
      <c r="I3962" t="str">
        <f>IFERROR(VLOOKUP($E3962,'Fuel Category and Heat Rate'!$K$2:$M$36,3,FALSE),"")</f>
        <v>coal</v>
      </c>
    </row>
    <row r="3963" spans="1:9" x14ac:dyDescent="0.15">
      <c r="A3963" s="2">
        <v>446087</v>
      </c>
      <c r="B3963" s="2" t="s">
        <v>89</v>
      </c>
      <c r="C3963" s="2">
        <v>2019</v>
      </c>
      <c r="D3963" s="2" t="s">
        <v>1</v>
      </c>
      <c r="E3963" s="2" t="s">
        <v>6</v>
      </c>
      <c r="F3963" s="2" t="s">
        <v>35</v>
      </c>
      <c r="G3963" s="7"/>
      <c r="H3963" s="13" t="str">
        <f>IFERROR(IF(ABS($G3963)&gt;0,VLOOKUP($E3963,'Fuel Category and Heat Rate'!$B$1:$G$34,6,FALSE)*($G3963),""),"")</f>
        <v/>
      </c>
      <c r="I3963" t="str">
        <f>IFERROR(VLOOKUP($E3963,'Fuel Category and Heat Rate'!$K$2:$M$36,3,FALSE),"")</f>
        <v>coal</v>
      </c>
    </row>
    <row r="3964" spans="1:9" x14ac:dyDescent="0.15">
      <c r="A3964" s="2">
        <v>446122</v>
      </c>
      <c r="B3964" s="2" t="s">
        <v>89</v>
      </c>
      <c r="C3964" s="2">
        <v>2019</v>
      </c>
      <c r="D3964" s="2" t="s">
        <v>1</v>
      </c>
      <c r="E3964" s="2" t="s">
        <v>26</v>
      </c>
      <c r="F3964" s="2" t="s">
        <v>35</v>
      </c>
      <c r="G3964" s="7"/>
      <c r="H3964" s="13" t="str">
        <f>IFERROR(IF(ABS($G3964)&gt;0,VLOOKUP($E3964,'Fuel Category and Heat Rate'!$B$1:$G$34,6,FALSE)*($G3964),""),"")</f>
        <v/>
      </c>
      <c r="I3964" t="str">
        <f>IFERROR(VLOOKUP($E3964,'Fuel Category and Heat Rate'!$K$2:$M$36,3,FALSE),"")</f>
        <v>LPG propane or butane</v>
      </c>
    </row>
    <row r="3965" spans="1:9" x14ac:dyDescent="0.15">
      <c r="A3965" s="2">
        <v>446157</v>
      </c>
      <c r="B3965" s="2" t="s">
        <v>89</v>
      </c>
      <c r="C3965" s="2">
        <v>2019</v>
      </c>
      <c r="D3965" s="2" t="s">
        <v>1</v>
      </c>
      <c r="E3965" s="2" t="s">
        <v>30</v>
      </c>
      <c r="F3965" s="2" t="s">
        <v>35</v>
      </c>
      <c r="G3965" s="7"/>
      <c r="H3965" s="13" t="str">
        <f>IFERROR(IF(ABS($G3965)&gt;0,VLOOKUP($E3965,'Fuel Category and Heat Rate'!$B$1:$G$34,6,FALSE)*($G3965),""),"")</f>
        <v/>
      </c>
      <c r="I3965" t="str">
        <f>IFERROR(VLOOKUP($E3965,'Fuel Category and Heat Rate'!$K$2:$M$36,3,FALSE),"")</f>
        <v>natural gas</v>
      </c>
    </row>
    <row r="3966" spans="1:9" x14ac:dyDescent="0.15">
      <c r="A3966" s="2">
        <v>446192</v>
      </c>
      <c r="B3966" s="2" t="s">
        <v>89</v>
      </c>
      <c r="C3966" s="2">
        <v>2019</v>
      </c>
      <c r="D3966" s="2" t="s">
        <v>1</v>
      </c>
      <c r="E3966" s="2" t="s">
        <v>14</v>
      </c>
      <c r="F3966" s="2" t="s">
        <v>35</v>
      </c>
      <c r="G3966" s="7">
        <v>-17.579999999999998</v>
      </c>
      <c r="H3966" s="13">
        <f>IFERROR(IF(ABS($G3966)&gt;0,VLOOKUP($E3966,'Fuel Category and Heat Rate'!$B$1:$G$34,6,FALSE)*($G3966),""),"")</f>
        <v>0</v>
      </c>
      <c r="I3966" t="str">
        <f>IFERROR(VLOOKUP($E3966,'Fuel Category and Heat Rate'!$K$2:$M$36,3,FALSE),"")</f>
        <v/>
      </c>
    </row>
    <row r="3967" spans="1:9" x14ac:dyDescent="0.15">
      <c r="A3967" s="2">
        <v>446227</v>
      </c>
      <c r="B3967" s="2" t="s">
        <v>89</v>
      </c>
      <c r="C3967" s="2">
        <v>2019</v>
      </c>
      <c r="D3967" s="2" t="s">
        <v>1</v>
      </c>
      <c r="E3967" s="2" t="s">
        <v>3</v>
      </c>
      <c r="F3967" s="2" t="s">
        <v>35</v>
      </c>
      <c r="G3967" s="7">
        <v>-211.1</v>
      </c>
      <c r="H3967" s="13">
        <f>IFERROR(IF(ABS($G3967)&gt;0,VLOOKUP($E3967,'Fuel Category and Heat Rate'!$B$1:$G$34,6,FALSE)*($G3967),""),"")</f>
        <v>-41833603405923.961</v>
      </c>
      <c r="I3967" t="str">
        <f>IFERROR(VLOOKUP($E3967,'Fuel Category and Heat Rate'!$K$2:$M$36,3,FALSE),"")</f>
        <v>coal</v>
      </c>
    </row>
    <row r="3968" spans="1:9" x14ac:dyDescent="0.15">
      <c r="A3968" s="2">
        <v>446262</v>
      </c>
      <c r="B3968" s="2" t="s">
        <v>89</v>
      </c>
      <c r="C3968" s="2">
        <v>2019</v>
      </c>
      <c r="D3968" s="2" t="s">
        <v>1</v>
      </c>
      <c r="E3968" s="2" t="s">
        <v>15</v>
      </c>
      <c r="F3968" s="2" t="s">
        <v>35</v>
      </c>
      <c r="G3968" s="7"/>
      <c r="H3968" s="13" t="str">
        <f>IFERROR(IF(ABS($G3968)&gt;0,VLOOKUP($E3968,'Fuel Category and Heat Rate'!$B$1:$G$34,6,FALSE)*($G3968),""),"")</f>
        <v/>
      </c>
      <c r="I3968" t="str">
        <f>IFERROR(VLOOKUP($E3968,'Fuel Category and Heat Rate'!$K$2:$M$36,3,FALSE),"")</f>
        <v>crude oil</v>
      </c>
    </row>
    <row r="3969" spans="1:9" x14ac:dyDescent="0.15">
      <c r="A3969" s="2">
        <v>446297</v>
      </c>
      <c r="B3969" s="2" t="s">
        <v>89</v>
      </c>
      <c r="C3969" s="2">
        <v>2019</v>
      </c>
      <c r="D3969" s="2" t="s">
        <v>1</v>
      </c>
      <c r="E3969" s="2" t="s">
        <v>11</v>
      </c>
      <c r="F3969" s="2" t="s">
        <v>36</v>
      </c>
      <c r="G3969" s="7"/>
      <c r="H3969" s="13" t="str">
        <f>IFERROR(IF(ABS($G3969)&gt;0,VLOOKUP($E3969,'Fuel Category and Heat Rate'!$B$1:$G$34,6,FALSE)*($G3969),""),"")</f>
        <v/>
      </c>
      <c r="I3969" t="str">
        <f>IFERROR(VLOOKUP($E3969,'Fuel Category and Heat Rate'!$K$2:$M$36,3,FALSE),"")</f>
        <v>LPG propane or butane</v>
      </c>
    </row>
    <row r="3970" spans="1:9" x14ac:dyDescent="0.15">
      <c r="A3970" s="2">
        <v>446332</v>
      </c>
      <c r="B3970" s="2" t="s">
        <v>89</v>
      </c>
      <c r="C3970" s="2">
        <v>2018</v>
      </c>
      <c r="D3970" s="2" t="s">
        <v>1</v>
      </c>
      <c r="E3970" s="2" t="s">
        <v>18</v>
      </c>
      <c r="F3970" s="2" t="s">
        <v>35</v>
      </c>
      <c r="G3970" s="7">
        <v>-0.16</v>
      </c>
      <c r="H3970" s="13">
        <f>IFERROR(IF(ABS($G3970)&gt;0,VLOOKUP($E3970,'Fuel Category and Heat Rate'!$B$1:$G$34,6,FALSE)*($G3970),""),"")</f>
        <v>-64682073465.589523</v>
      </c>
      <c r="I3970" t="str">
        <f>IFERROR(VLOOKUP($E3970,'Fuel Category and Heat Rate'!$K$2:$M$36,3,FALSE),"")</f>
        <v>petroleum diesel</v>
      </c>
    </row>
    <row r="3971" spans="1:9" x14ac:dyDescent="0.15">
      <c r="A3971" s="2">
        <v>446367</v>
      </c>
      <c r="B3971" s="2" t="s">
        <v>89</v>
      </c>
      <c r="C3971" s="2">
        <v>2018</v>
      </c>
      <c r="D3971" s="2" t="s">
        <v>1</v>
      </c>
      <c r="E3971" s="2" t="s">
        <v>32</v>
      </c>
      <c r="F3971" s="2" t="s">
        <v>65</v>
      </c>
      <c r="G3971" s="7"/>
      <c r="H3971" s="13" t="str">
        <f>IFERROR(IF(ABS($G3971)&gt;0,VLOOKUP($E3971,'Fuel Category and Heat Rate'!$B$1:$G$34,6,FALSE)*($G3971),""),"")</f>
        <v/>
      </c>
      <c r="I3971" t="str">
        <f>IFERROR(VLOOKUP($E3971,'Fuel Category and Heat Rate'!$K$2:$M$36,3,FALSE),"")</f>
        <v>electricity</v>
      </c>
    </row>
    <row r="3972" spans="1:9" x14ac:dyDescent="0.15">
      <c r="A3972" s="2">
        <v>446402</v>
      </c>
      <c r="B3972" s="2" t="s">
        <v>89</v>
      </c>
      <c r="C3972" s="2">
        <v>2018</v>
      </c>
      <c r="D3972" s="2" t="s">
        <v>1</v>
      </c>
      <c r="E3972" s="2" t="s">
        <v>10</v>
      </c>
      <c r="F3972" s="2" t="s">
        <v>36</v>
      </c>
      <c r="G3972" s="7"/>
      <c r="H3972" s="13" t="str">
        <f>IFERROR(IF(ABS($G3972)&gt;0,VLOOKUP($E3972,'Fuel Category and Heat Rate'!$B$1:$G$34,6,FALSE)*($G3972),""),"")</f>
        <v/>
      </c>
      <c r="I3972" t="str">
        <f>IFERROR(VLOOKUP($E3972,'Fuel Category and Heat Rate'!$K$2:$M$36,3,FALSE),"")</f>
        <v>LPG propane or butane</v>
      </c>
    </row>
    <row r="3973" spans="1:9" x14ac:dyDescent="0.15">
      <c r="A3973" s="2">
        <v>446437</v>
      </c>
      <c r="B3973" s="2" t="s">
        <v>89</v>
      </c>
      <c r="C3973" s="2">
        <v>2018</v>
      </c>
      <c r="D3973" s="2" t="s">
        <v>1</v>
      </c>
      <c r="E3973" s="2" t="s">
        <v>9</v>
      </c>
      <c r="F3973" s="2" t="s">
        <v>36</v>
      </c>
      <c r="G3973" s="7"/>
      <c r="H3973" s="13" t="str">
        <f>IFERROR(IF(ABS($G3973)&gt;0,VLOOKUP($E3973,'Fuel Category and Heat Rate'!$B$1:$G$34,6,FALSE)*($G3973),""),"")</f>
        <v/>
      </c>
      <c r="I3973" t="str">
        <f>IFERROR(VLOOKUP($E3973,'Fuel Category and Heat Rate'!$K$2:$M$36,3,FALSE),"")</f>
        <v>LPG propane or butane</v>
      </c>
    </row>
    <row r="3974" spans="1:9" x14ac:dyDescent="0.15">
      <c r="A3974" s="2">
        <v>446472</v>
      </c>
      <c r="B3974" s="2" t="s">
        <v>89</v>
      </c>
      <c r="C3974" s="2">
        <v>2018</v>
      </c>
      <c r="D3974" s="2" t="s">
        <v>1</v>
      </c>
      <c r="E3974" s="2" t="s">
        <v>8</v>
      </c>
      <c r="F3974" s="2" t="s">
        <v>35</v>
      </c>
      <c r="G3974" s="7"/>
      <c r="H3974" s="13" t="str">
        <f>IFERROR(IF(ABS($G3974)&gt;0,VLOOKUP($E3974,'Fuel Category and Heat Rate'!$B$1:$G$34,6,FALSE)*($G3974),""),"")</f>
        <v/>
      </c>
      <c r="I3974" t="str">
        <f>IFERROR(VLOOKUP($E3974,'Fuel Category and Heat Rate'!$K$2:$M$36,3,FALSE),"")</f>
        <v>coal</v>
      </c>
    </row>
    <row r="3975" spans="1:9" x14ac:dyDescent="0.15">
      <c r="A3975" s="2">
        <v>446507</v>
      </c>
      <c r="B3975" s="2" t="s">
        <v>89</v>
      </c>
      <c r="C3975" s="2">
        <v>2018</v>
      </c>
      <c r="D3975" s="2" t="s">
        <v>1</v>
      </c>
      <c r="E3975" s="2" t="s">
        <v>27</v>
      </c>
      <c r="F3975" s="2" t="s">
        <v>35</v>
      </c>
      <c r="G3975" s="7">
        <v>-0.66</v>
      </c>
      <c r="H3975" s="13">
        <f>IFERROR(IF(ABS($G3975)&gt;0,VLOOKUP($E3975,'Fuel Category and Heat Rate'!$B$1:$G$34,6,FALSE)*($G3975),""),"")</f>
        <v>-287744767255.68604</v>
      </c>
      <c r="I3975" t="str">
        <f>IFERROR(VLOOKUP($E3975,'Fuel Category and Heat Rate'!$K$2:$M$36,3,FALSE),"")</f>
        <v>LPG propane or butane</v>
      </c>
    </row>
    <row r="3976" spans="1:9" x14ac:dyDescent="0.15">
      <c r="A3976" s="2">
        <v>446542</v>
      </c>
      <c r="B3976" s="2" t="s">
        <v>89</v>
      </c>
      <c r="C3976" s="2">
        <v>2018</v>
      </c>
      <c r="D3976" s="2" t="s">
        <v>1</v>
      </c>
      <c r="E3976" s="2" t="s">
        <v>7</v>
      </c>
      <c r="F3976" s="2" t="s">
        <v>35</v>
      </c>
      <c r="G3976" s="7"/>
      <c r="H3976" s="13" t="str">
        <f>IFERROR(IF(ABS($G3976)&gt;0,VLOOKUP($E3976,'Fuel Category and Heat Rate'!$B$1:$G$34,6,FALSE)*($G3976),""),"")</f>
        <v/>
      </c>
      <c r="I3976" t="str">
        <f>IFERROR(VLOOKUP($E3976,'Fuel Category and Heat Rate'!$K$2:$M$36,3,FALSE),"")</f>
        <v>coal</v>
      </c>
    </row>
    <row r="3977" spans="1:9" x14ac:dyDescent="0.15">
      <c r="A3977" s="2">
        <v>446577</v>
      </c>
      <c r="B3977" s="2" t="s">
        <v>89</v>
      </c>
      <c r="C3977" s="2">
        <v>2018</v>
      </c>
      <c r="D3977" s="2" t="s">
        <v>1</v>
      </c>
      <c r="E3977" s="2" t="s">
        <v>2</v>
      </c>
      <c r="F3977" s="2" t="s">
        <v>35</v>
      </c>
      <c r="G3977" s="7">
        <v>-215.72</v>
      </c>
      <c r="H3977" s="13">
        <f>IFERROR(IF(ABS($G3977)&gt;0,VLOOKUP($E3977,'Fuel Category and Heat Rate'!$B$1:$G$34,6,FALSE)*($G3977),""),"")</f>
        <v>0</v>
      </c>
      <c r="I3977" t="str">
        <f>IFERROR(VLOOKUP($E3977,'Fuel Category and Heat Rate'!$K$2:$M$36,3,FALSE),"")</f>
        <v/>
      </c>
    </row>
    <row r="3978" spans="1:9" x14ac:dyDescent="0.15">
      <c r="A3978" s="2">
        <v>446612</v>
      </c>
      <c r="B3978" s="2" t="s">
        <v>89</v>
      </c>
      <c r="C3978" s="2">
        <v>2018</v>
      </c>
      <c r="D3978" s="2" t="s">
        <v>1</v>
      </c>
      <c r="E3978" s="2" t="s">
        <v>17</v>
      </c>
      <c r="F3978" s="2" t="s">
        <v>35</v>
      </c>
      <c r="G3978" s="7"/>
      <c r="H3978" s="13" t="str">
        <f>IFERROR(IF(ABS($G3978)&gt;0,VLOOKUP($E3978,'Fuel Category and Heat Rate'!$B$1:$G$34,6,FALSE)*($G3978),""),"")</f>
        <v/>
      </c>
      <c r="I3978" t="str">
        <f>IFERROR(VLOOKUP($E3978,'Fuel Category and Heat Rate'!$K$2:$M$36,3,FALSE),"")</f>
        <v>petroleum diesel</v>
      </c>
    </row>
    <row r="3979" spans="1:9" x14ac:dyDescent="0.15">
      <c r="A3979" s="2">
        <v>446647</v>
      </c>
      <c r="B3979" s="2" t="s">
        <v>89</v>
      </c>
      <c r="C3979" s="2">
        <v>2018</v>
      </c>
      <c r="D3979" s="2" t="s">
        <v>1</v>
      </c>
      <c r="E3979" s="2" t="s">
        <v>13</v>
      </c>
      <c r="F3979" s="2" t="s">
        <v>35</v>
      </c>
      <c r="G3979" s="7"/>
      <c r="H3979" s="13" t="str">
        <f>IFERROR(IF(ABS($G3979)&gt;0,VLOOKUP($E3979,'Fuel Category and Heat Rate'!$B$1:$G$34,6,FALSE)*($G3979),""),"")</f>
        <v/>
      </c>
      <c r="I3979" t="str">
        <f>IFERROR(VLOOKUP($E3979,'Fuel Category and Heat Rate'!$K$2:$M$36,3,FALSE),"")</f>
        <v>petroleum diesel</v>
      </c>
    </row>
    <row r="3980" spans="1:9" x14ac:dyDescent="0.15">
      <c r="A3980" s="2">
        <v>446682</v>
      </c>
      <c r="B3980" s="2" t="s">
        <v>89</v>
      </c>
      <c r="C3980" s="2">
        <v>2018</v>
      </c>
      <c r="D3980" s="2" t="s">
        <v>1</v>
      </c>
      <c r="E3980" s="2" t="s">
        <v>12</v>
      </c>
      <c r="F3980" s="2" t="s">
        <v>36</v>
      </c>
      <c r="G3980" s="7"/>
      <c r="H3980" s="13" t="str">
        <f>IFERROR(IF(ABS($G3980)&gt;0,VLOOKUP($E3980,'Fuel Category and Heat Rate'!$B$1:$G$34,6,FALSE)*($G3980),""),"")</f>
        <v/>
      </c>
      <c r="I3980" t="str">
        <f>IFERROR(VLOOKUP($E3980,'Fuel Category and Heat Rate'!$K$2:$M$36,3,FALSE),"")</f>
        <v>LPG propane or butane</v>
      </c>
    </row>
    <row r="3981" spans="1:9" x14ac:dyDescent="0.15">
      <c r="A3981" s="2">
        <v>446717</v>
      </c>
      <c r="B3981" s="2" t="s">
        <v>89</v>
      </c>
      <c r="C3981" s="2">
        <v>2018</v>
      </c>
      <c r="D3981" s="2" t="s">
        <v>1</v>
      </c>
      <c r="E3981" s="2" t="s">
        <v>33</v>
      </c>
      <c r="F3981" s="2" t="s">
        <v>38</v>
      </c>
      <c r="G3981" s="7">
        <v>-11.66</v>
      </c>
      <c r="H3981" s="13">
        <f>IFERROR(IF(ABS($G3981)&gt;0,VLOOKUP($E3981,'Fuel Category and Heat Rate'!$B$1:$G$34,6,FALSE)*($G3981),""),"")</f>
        <v>-3234898512718.5444</v>
      </c>
      <c r="I3981" t="str">
        <f>IFERROR(VLOOKUP($E3981,'Fuel Category and Heat Rate'!$K$2:$M$36,3,FALSE),"")</f>
        <v>biomass</v>
      </c>
    </row>
    <row r="3982" spans="1:9" x14ac:dyDescent="0.15">
      <c r="A3982" s="2">
        <v>446752</v>
      </c>
      <c r="B3982" s="2" t="s">
        <v>89</v>
      </c>
      <c r="C3982" s="2">
        <v>2018</v>
      </c>
      <c r="D3982" s="2" t="s">
        <v>1</v>
      </c>
      <c r="E3982" s="2" t="s">
        <v>28</v>
      </c>
      <c r="F3982" s="2" t="s">
        <v>35</v>
      </c>
      <c r="G3982" s="7"/>
      <c r="H3982" s="13" t="str">
        <f>IFERROR(IF(ABS($G3982)&gt;0,VLOOKUP($E3982,'Fuel Category and Heat Rate'!$B$1:$G$34,6,FALSE)*($G3982),""),"")</f>
        <v/>
      </c>
      <c r="I3982" t="str">
        <f>IFERROR(VLOOKUP($E3982,'Fuel Category and Heat Rate'!$K$2:$M$36,3,FALSE),"")</f>
        <v>heavy or residual fuel oil</v>
      </c>
    </row>
    <row r="3983" spans="1:9" x14ac:dyDescent="0.15">
      <c r="A3983" s="2">
        <v>446787</v>
      </c>
      <c r="B3983" s="2" t="s">
        <v>89</v>
      </c>
      <c r="C3983" s="2">
        <v>2018</v>
      </c>
      <c r="D3983" s="2" t="s">
        <v>1</v>
      </c>
      <c r="E3983" s="2" t="s">
        <v>5</v>
      </c>
      <c r="F3983" s="2" t="s">
        <v>35</v>
      </c>
      <c r="G3983" s="7"/>
      <c r="H3983" s="13" t="str">
        <f>IFERROR(IF(ABS($G3983)&gt;0,VLOOKUP($E3983,'Fuel Category and Heat Rate'!$B$1:$G$34,6,FALSE)*($G3983),""),"")</f>
        <v/>
      </c>
      <c r="I3983" t="str">
        <f>IFERROR(VLOOKUP($E3983,'Fuel Category and Heat Rate'!$K$2:$M$36,3,FALSE),"")</f>
        <v>coal</v>
      </c>
    </row>
    <row r="3984" spans="1:9" x14ac:dyDescent="0.15">
      <c r="A3984" s="2">
        <v>446822</v>
      </c>
      <c r="B3984" s="2" t="s">
        <v>89</v>
      </c>
      <c r="C3984" s="2">
        <v>2018</v>
      </c>
      <c r="D3984" s="2" t="s">
        <v>1</v>
      </c>
      <c r="E3984" s="2" t="s">
        <v>16</v>
      </c>
      <c r="F3984" s="2" t="s">
        <v>35</v>
      </c>
      <c r="G3984" s="7"/>
      <c r="H3984" s="13" t="str">
        <f>IFERROR(IF(ABS($G3984)&gt;0,VLOOKUP($E3984,'Fuel Category and Heat Rate'!$B$1:$G$34,6,FALSE)*($G3984),""),"")</f>
        <v/>
      </c>
      <c r="I3984" t="str">
        <f>IFERROR(VLOOKUP($E3984,'Fuel Category and Heat Rate'!$K$2:$M$36,3,FALSE),"")</f>
        <v>petroleum diesel</v>
      </c>
    </row>
    <row r="3985" spans="1:9" x14ac:dyDescent="0.15">
      <c r="A3985" s="2">
        <v>446857</v>
      </c>
      <c r="B3985" s="2" t="s">
        <v>89</v>
      </c>
      <c r="C3985" s="2">
        <v>2018</v>
      </c>
      <c r="D3985" s="2" t="s">
        <v>1</v>
      </c>
      <c r="E3985" s="2" t="s">
        <v>19</v>
      </c>
      <c r="F3985" s="2" t="s">
        <v>35</v>
      </c>
      <c r="G3985" s="7"/>
      <c r="H3985" s="13" t="str">
        <f>IFERROR(IF(ABS($G3985)&gt;0,VLOOKUP($E3985,'Fuel Category and Heat Rate'!$B$1:$G$34,6,FALSE)*($G3985),""),"")</f>
        <v/>
      </c>
      <c r="I3985" t="str">
        <f>IFERROR(VLOOKUP($E3985,'Fuel Category and Heat Rate'!$K$2:$M$36,3,FALSE),"")</f>
        <v>heavy or residual fuel oil</v>
      </c>
    </row>
    <row r="3986" spans="1:9" x14ac:dyDescent="0.15">
      <c r="A3986" s="2">
        <v>446892</v>
      </c>
      <c r="B3986" s="2" t="s">
        <v>89</v>
      </c>
      <c r="C3986" s="2">
        <v>2018</v>
      </c>
      <c r="D3986" s="2" t="s">
        <v>1</v>
      </c>
      <c r="E3986" s="2" t="s">
        <v>31</v>
      </c>
      <c r="F3986" s="2" t="s">
        <v>37</v>
      </c>
      <c r="G3986" s="7">
        <v>6303.86</v>
      </c>
      <c r="H3986" s="13">
        <f>IFERROR(IF(ABS($G3986)&gt;0,VLOOKUP($E3986,'Fuel Category and Heat Rate'!$B$1:$G$34,6,FALSE)*($G3986),""),"")</f>
        <v>59749064468956.789</v>
      </c>
      <c r="I3986" t="str">
        <f>IFERROR(VLOOKUP($E3986,'Fuel Category and Heat Rate'!$K$2:$M$36,3,FALSE),"")</f>
        <v>heat</v>
      </c>
    </row>
    <row r="3987" spans="1:9" x14ac:dyDescent="0.15">
      <c r="A3987" s="2">
        <v>446927</v>
      </c>
      <c r="B3987" s="2" t="s">
        <v>89</v>
      </c>
      <c r="C3987" s="2">
        <v>2018</v>
      </c>
      <c r="D3987" s="2" t="s">
        <v>1</v>
      </c>
      <c r="E3987" s="2" t="s">
        <v>23</v>
      </c>
      <c r="F3987" s="2" t="s">
        <v>35</v>
      </c>
      <c r="G3987" s="7"/>
      <c r="H3987" s="13" t="str">
        <f>IFERROR(IF(ABS($G3987)&gt;0,VLOOKUP($E3987,'Fuel Category and Heat Rate'!$B$1:$G$34,6,FALSE)*($G3987),""),"")</f>
        <v/>
      </c>
      <c r="I3987" t="str">
        <f>IFERROR(VLOOKUP($E3987,'Fuel Category and Heat Rate'!$K$2:$M$36,3,FALSE),"")</f>
        <v>heavy or residual fuel oil</v>
      </c>
    </row>
    <row r="3988" spans="1:9" x14ac:dyDescent="0.15">
      <c r="A3988" s="2">
        <v>446962</v>
      </c>
      <c r="B3988" s="2" t="s">
        <v>89</v>
      </c>
      <c r="C3988" s="2">
        <v>2018</v>
      </c>
      <c r="D3988" s="2" t="s">
        <v>1</v>
      </c>
      <c r="E3988" s="2" t="s">
        <v>21</v>
      </c>
      <c r="F3988" s="2" t="s">
        <v>35</v>
      </c>
      <c r="G3988" s="7"/>
      <c r="H3988" s="13" t="str">
        <f>IFERROR(IF(ABS($G3988)&gt;0,VLOOKUP($E3988,'Fuel Category and Heat Rate'!$B$1:$G$34,6,FALSE)*($G3988),""),"")</f>
        <v/>
      </c>
      <c r="I3988" t="str">
        <f>IFERROR(VLOOKUP($E3988,'Fuel Category and Heat Rate'!$K$2:$M$36,3,FALSE),"")</f>
        <v>LPG propane or butane</v>
      </c>
    </row>
    <row r="3989" spans="1:9" x14ac:dyDescent="0.15">
      <c r="A3989" s="2">
        <v>446997</v>
      </c>
      <c r="B3989" s="2" t="s">
        <v>89</v>
      </c>
      <c r="C3989" s="2">
        <v>2018</v>
      </c>
      <c r="D3989" s="2" t="s">
        <v>1</v>
      </c>
      <c r="E3989" s="2" t="s">
        <v>22</v>
      </c>
      <c r="F3989" s="2" t="s">
        <v>35</v>
      </c>
      <c r="G3989" s="7"/>
      <c r="H3989" s="13" t="str">
        <f>IFERROR(IF(ABS($G3989)&gt;0,VLOOKUP($E3989,'Fuel Category and Heat Rate'!$B$1:$G$34,6,FALSE)*($G3989),""),"")</f>
        <v/>
      </c>
      <c r="I3989" t="str">
        <f>IFERROR(VLOOKUP($E3989,'Fuel Category and Heat Rate'!$K$2:$M$36,3,FALSE),"")</f>
        <v>heavy fuel oil</v>
      </c>
    </row>
    <row r="3990" spans="1:9" x14ac:dyDescent="0.15">
      <c r="A3990" s="2">
        <v>447032</v>
      </c>
      <c r="B3990" s="2" t="s">
        <v>89</v>
      </c>
      <c r="C3990" s="2">
        <v>2018</v>
      </c>
      <c r="D3990" s="2" t="s">
        <v>1</v>
      </c>
      <c r="E3990" s="2" t="s">
        <v>20</v>
      </c>
      <c r="F3990" s="2" t="s">
        <v>35</v>
      </c>
      <c r="G3990" s="7"/>
      <c r="H3990" s="13" t="str">
        <f>IFERROR(IF(ABS($G3990)&gt;0,VLOOKUP($E3990,'Fuel Category and Heat Rate'!$B$1:$G$34,6,FALSE)*($G3990),""),"")</f>
        <v/>
      </c>
      <c r="I3990" t="str">
        <f>IFERROR(VLOOKUP($E3990,'Fuel Category and Heat Rate'!$K$2:$M$36,3,FALSE),"")</f>
        <v>LPG propane or butane</v>
      </c>
    </row>
    <row r="3991" spans="1:9" x14ac:dyDescent="0.15">
      <c r="A3991" s="2">
        <v>447067</v>
      </c>
      <c r="B3991" s="2" t="s">
        <v>89</v>
      </c>
      <c r="C3991" s="2">
        <v>2018</v>
      </c>
      <c r="D3991" s="2" t="s">
        <v>1</v>
      </c>
      <c r="E3991" s="2" t="s">
        <v>25</v>
      </c>
      <c r="F3991" s="2" t="s">
        <v>35</v>
      </c>
      <c r="G3991" s="7">
        <v>-14.07</v>
      </c>
      <c r="H3991" s="13">
        <f>IFERROR(IF(ABS($G3991)&gt;0,VLOOKUP($E3991,'Fuel Category and Heat Rate'!$B$1:$G$34,6,FALSE)*($G3991),""),"")</f>
        <v>-4260383846030.5205</v>
      </c>
      <c r="I3991" t="str">
        <f>IFERROR(VLOOKUP($E3991,'Fuel Category and Heat Rate'!$K$2:$M$36,3,FALSE),"")</f>
        <v>heavy fuel oil</v>
      </c>
    </row>
    <row r="3992" spans="1:9" x14ac:dyDescent="0.15">
      <c r="A3992" s="2">
        <v>447102</v>
      </c>
      <c r="B3992" s="2" t="s">
        <v>89</v>
      </c>
      <c r="C3992" s="2">
        <v>2018</v>
      </c>
      <c r="D3992" s="2" t="s">
        <v>1</v>
      </c>
      <c r="E3992" s="2" t="s">
        <v>24</v>
      </c>
      <c r="F3992" s="2" t="s">
        <v>35</v>
      </c>
      <c r="G3992" s="7"/>
      <c r="H3992" s="13" t="str">
        <f>IFERROR(IF(ABS($G3992)&gt;0,VLOOKUP($E3992,'Fuel Category and Heat Rate'!$B$1:$G$34,6,FALSE)*($G3992),""),"")</f>
        <v/>
      </c>
      <c r="I3992" t="str">
        <f>IFERROR(VLOOKUP($E3992,'Fuel Category and Heat Rate'!$K$2:$M$36,3,FALSE),"")</f>
        <v>heavy fuel oil</v>
      </c>
    </row>
    <row r="3993" spans="1:9" x14ac:dyDescent="0.15">
      <c r="A3993" s="2">
        <v>447137</v>
      </c>
      <c r="B3993" s="2" t="s">
        <v>89</v>
      </c>
      <c r="C3993" s="2">
        <v>2018</v>
      </c>
      <c r="D3993" s="2" t="s">
        <v>1</v>
      </c>
      <c r="E3993" s="2" t="s">
        <v>29</v>
      </c>
      <c r="F3993" s="2" t="s">
        <v>36</v>
      </c>
      <c r="G3993" s="7">
        <v>-5.67</v>
      </c>
      <c r="H3993" s="13">
        <f>IFERROR(IF(ABS($G3993)&gt;0,VLOOKUP($E3993,'Fuel Category and Heat Rate'!$B$1:$G$34,6,FALSE)*($G3993),""),"")</f>
        <v>-19123548293675.637</v>
      </c>
      <c r="I3993" t="str">
        <f>IFERROR(VLOOKUP($E3993,'Fuel Category and Heat Rate'!$K$2:$M$36,3,FALSE),"")</f>
        <v>natural gas</v>
      </c>
    </row>
    <row r="3994" spans="1:9" x14ac:dyDescent="0.15">
      <c r="A3994" s="2">
        <v>447172</v>
      </c>
      <c r="B3994" s="2" t="s">
        <v>89</v>
      </c>
      <c r="C3994" s="2">
        <v>2018</v>
      </c>
      <c r="D3994" s="2" t="s">
        <v>1</v>
      </c>
      <c r="E3994" s="2" t="s">
        <v>4</v>
      </c>
      <c r="F3994" s="2" t="s">
        <v>35</v>
      </c>
      <c r="G3994" s="7"/>
      <c r="H3994" s="13" t="str">
        <f>IFERROR(IF(ABS($G3994)&gt;0,VLOOKUP($E3994,'Fuel Category and Heat Rate'!$B$1:$G$34,6,FALSE)*($G3994),""),"")</f>
        <v/>
      </c>
      <c r="I3994" t="str">
        <f>IFERROR(VLOOKUP($E3994,'Fuel Category and Heat Rate'!$K$2:$M$36,3,FALSE),"")</f>
        <v>coal</v>
      </c>
    </row>
    <row r="3995" spans="1:9" x14ac:dyDescent="0.15">
      <c r="A3995" s="2">
        <v>447207</v>
      </c>
      <c r="B3995" s="2" t="s">
        <v>89</v>
      </c>
      <c r="C3995" s="2">
        <v>2018</v>
      </c>
      <c r="D3995" s="2" t="s">
        <v>1</v>
      </c>
      <c r="E3995" s="2" t="s">
        <v>6</v>
      </c>
      <c r="F3995" s="2" t="s">
        <v>35</v>
      </c>
      <c r="G3995" s="7"/>
      <c r="H3995" s="13" t="str">
        <f>IFERROR(IF(ABS($G3995)&gt;0,VLOOKUP($E3995,'Fuel Category and Heat Rate'!$B$1:$G$34,6,FALSE)*($G3995),""),"")</f>
        <v/>
      </c>
      <c r="I3995" t="str">
        <f>IFERROR(VLOOKUP($E3995,'Fuel Category and Heat Rate'!$K$2:$M$36,3,FALSE),"")</f>
        <v>coal</v>
      </c>
    </row>
    <row r="3996" spans="1:9" x14ac:dyDescent="0.15">
      <c r="A3996" s="2">
        <v>447242</v>
      </c>
      <c r="B3996" s="2" t="s">
        <v>89</v>
      </c>
      <c r="C3996" s="2">
        <v>2018</v>
      </c>
      <c r="D3996" s="2" t="s">
        <v>1</v>
      </c>
      <c r="E3996" s="2" t="s">
        <v>26</v>
      </c>
      <c r="F3996" s="2" t="s">
        <v>35</v>
      </c>
      <c r="G3996" s="7"/>
      <c r="H3996" s="13" t="str">
        <f>IFERROR(IF(ABS($G3996)&gt;0,VLOOKUP($E3996,'Fuel Category and Heat Rate'!$B$1:$G$34,6,FALSE)*($G3996),""),"")</f>
        <v/>
      </c>
      <c r="I3996" t="str">
        <f>IFERROR(VLOOKUP($E3996,'Fuel Category and Heat Rate'!$K$2:$M$36,3,FALSE),"")</f>
        <v>LPG propane or butane</v>
      </c>
    </row>
    <row r="3997" spans="1:9" x14ac:dyDescent="0.15">
      <c r="A3997" s="2">
        <v>447277</v>
      </c>
      <c r="B3997" s="2" t="s">
        <v>89</v>
      </c>
      <c r="C3997" s="2">
        <v>2018</v>
      </c>
      <c r="D3997" s="2" t="s">
        <v>1</v>
      </c>
      <c r="E3997" s="2" t="s">
        <v>30</v>
      </c>
      <c r="F3997" s="2" t="s">
        <v>35</v>
      </c>
      <c r="G3997" s="7"/>
      <c r="H3997" s="13" t="str">
        <f>IFERROR(IF(ABS($G3997)&gt;0,VLOOKUP($E3997,'Fuel Category and Heat Rate'!$B$1:$G$34,6,FALSE)*($G3997),""),"")</f>
        <v/>
      </c>
      <c r="I3997" t="str">
        <f>IFERROR(VLOOKUP($E3997,'Fuel Category and Heat Rate'!$K$2:$M$36,3,FALSE),"")</f>
        <v>natural gas</v>
      </c>
    </row>
    <row r="3998" spans="1:9" x14ac:dyDescent="0.15">
      <c r="A3998" s="2">
        <v>447312</v>
      </c>
      <c r="B3998" s="2" t="s">
        <v>89</v>
      </c>
      <c r="C3998" s="2">
        <v>2018</v>
      </c>
      <c r="D3998" s="2" t="s">
        <v>1</v>
      </c>
      <c r="E3998" s="2" t="s">
        <v>14</v>
      </c>
      <c r="F3998" s="2" t="s">
        <v>35</v>
      </c>
      <c r="G3998" s="7">
        <v>-14.89</v>
      </c>
      <c r="H3998" s="13">
        <f>IFERROR(IF(ABS($G3998)&gt;0,VLOOKUP($E3998,'Fuel Category and Heat Rate'!$B$1:$G$34,6,FALSE)*($G3998),""),"")</f>
        <v>0</v>
      </c>
      <c r="I3998" t="str">
        <f>IFERROR(VLOOKUP($E3998,'Fuel Category and Heat Rate'!$K$2:$M$36,3,FALSE),"")</f>
        <v/>
      </c>
    </row>
    <row r="3999" spans="1:9" x14ac:dyDescent="0.15">
      <c r="A3999" s="2">
        <v>447347</v>
      </c>
      <c r="B3999" s="2" t="s">
        <v>89</v>
      </c>
      <c r="C3999" s="2">
        <v>2018</v>
      </c>
      <c r="D3999" s="2" t="s">
        <v>1</v>
      </c>
      <c r="E3999" s="2" t="s">
        <v>3</v>
      </c>
      <c r="F3999" s="2" t="s">
        <v>35</v>
      </c>
      <c r="G3999" s="7">
        <v>-215.72</v>
      </c>
      <c r="H3999" s="13">
        <f>IFERROR(IF(ABS($G3999)&gt;0,VLOOKUP($E3999,'Fuel Category and Heat Rate'!$B$1:$G$34,6,FALSE)*($G3999),""),"")</f>
        <v>-42749146976437.313</v>
      </c>
      <c r="I3999" t="str">
        <f>IFERROR(VLOOKUP($E3999,'Fuel Category and Heat Rate'!$K$2:$M$36,3,FALSE),"")</f>
        <v>coal</v>
      </c>
    </row>
    <row r="4000" spans="1:9" x14ac:dyDescent="0.15">
      <c r="A4000" s="2">
        <v>447382</v>
      </c>
      <c r="B4000" s="2" t="s">
        <v>89</v>
      </c>
      <c r="C4000" s="2">
        <v>2018</v>
      </c>
      <c r="D4000" s="2" t="s">
        <v>1</v>
      </c>
      <c r="E4000" s="2" t="s">
        <v>15</v>
      </c>
      <c r="F4000" s="2" t="s">
        <v>35</v>
      </c>
      <c r="G4000" s="7"/>
      <c r="H4000" s="13" t="str">
        <f>IFERROR(IF(ABS($G4000)&gt;0,VLOOKUP($E4000,'Fuel Category and Heat Rate'!$B$1:$G$34,6,FALSE)*($G4000),""),"")</f>
        <v/>
      </c>
      <c r="I4000" t="str">
        <f>IFERROR(VLOOKUP($E4000,'Fuel Category and Heat Rate'!$K$2:$M$36,3,FALSE),"")</f>
        <v>crude oil</v>
      </c>
    </row>
    <row r="4001" spans="1:9" x14ac:dyDescent="0.15">
      <c r="A4001" s="2">
        <v>447417</v>
      </c>
      <c r="B4001" s="2" t="s">
        <v>89</v>
      </c>
      <c r="C4001" s="2">
        <v>2018</v>
      </c>
      <c r="D4001" s="2" t="s">
        <v>1</v>
      </c>
      <c r="E4001" s="2" t="s">
        <v>11</v>
      </c>
      <c r="F4001" s="2" t="s">
        <v>36</v>
      </c>
      <c r="G4001" s="7"/>
      <c r="H4001" s="13" t="str">
        <f>IFERROR(IF(ABS($G4001)&gt;0,VLOOKUP($E4001,'Fuel Category and Heat Rate'!$B$1:$G$34,6,FALSE)*($G4001),""),"")</f>
        <v/>
      </c>
      <c r="I4001" t="str">
        <f>IFERROR(VLOOKUP($E4001,'Fuel Category and Heat Rate'!$K$2:$M$36,3,FALSE),"")</f>
        <v>LPG propane or butane</v>
      </c>
    </row>
    <row r="4002" spans="1:9" x14ac:dyDescent="0.15">
      <c r="A4002" s="2">
        <v>460262</v>
      </c>
      <c r="B4002" s="2" t="s">
        <v>90</v>
      </c>
      <c r="C4002" s="2">
        <v>2022</v>
      </c>
      <c r="D4002" s="2" t="s">
        <v>1</v>
      </c>
      <c r="E4002" s="2" t="s">
        <v>18</v>
      </c>
      <c r="F4002" s="2" t="s">
        <v>35</v>
      </c>
      <c r="G4002" s="7"/>
      <c r="H4002" s="13" t="str">
        <f>IFERROR(IF(ABS($G4002)&gt;0,VLOOKUP($E4002,'Fuel Category and Heat Rate'!$B$1:$G$34,6,FALSE)*($G4002),""),"")</f>
        <v/>
      </c>
      <c r="I4002" t="str">
        <f>IFERROR(VLOOKUP($E4002,'Fuel Category and Heat Rate'!$K$2:$M$36,3,FALSE),"")</f>
        <v>petroleum diesel</v>
      </c>
    </row>
    <row r="4003" spans="1:9" x14ac:dyDescent="0.15">
      <c r="A4003" s="2">
        <v>460297</v>
      </c>
      <c r="B4003" s="2" t="s">
        <v>90</v>
      </c>
      <c r="C4003" s="2">
        <v>2022</v>
      </c>
      <c r="D4003" s="2" t="s">
        <v>1</v>
      </c>
      <c r="E4003" s="2" t="s">
        <v>32</v>
      </c>
      <c r="F4003" s="2" t="s">
        <v>65</v>
      </c>
      <c r="G4003" s="7"/>
      <c r="H4003" s="13" t="str">
        <f>IFERROR(IF(ABS($G4003)&gt;0,VLOOKUP($E4003,'Fuel Category and Heat Rate'!$B$1:$G$34,6,FALSE)*($G4003),""),"")</f>
        <v/>
      </c>
      <c r="I4003" t="str">
        <f>IFERROR(VLOOKUP($E4003,'Fuel Category and Heat Rate'!$K$2:$M$36,3,FALSE),"")</f>
        <v>electricity</v>
      </c>
    </row>
    <row r="4004" spans="1:9" x14ac:dyDescent="0.15">
      <c r="A4004" s="2">
        <v>460332</v>
      </c>
      <c r="B4004" s="2" t="s">
        <v>90</v>
      </c>
      <c r="C4004" s="2">
        <v>2022</v>
      </c>
      <c r="D4004" s="2" t="s">
        <v>1</v>
      </c>
      <c r="E4004" s="2" t="s">
        <v>10</v>
      </c>
      <c r="F4004" s="2" t="s">
        <v>36</v>
      </c>
      <c r="G4004" s="7">
        <v>-14.85</v>
      </c>
      <c r="H4004" s="13">
        <f>IFERROR(IF(ABS($G4004)&gt;0,VLOOKUP($E4004,'Fuel Category and Heat Rate'!$B$1:$G$34,6,FALSE)*($G4004),""),"")</f>
        <v>-5296454211405.0166</v>
      </c>
      <c r="I4004" t="str">
        <f>IFERROR(VLOOKUP($E4004,'Fuel Category and Heat Rate'!$K$2:$M$36,3,FALSE),"")</f>
        <v>LPG propane or butane</v>
      </c>
    </row>
    <row r="4005" spans="1:9" x14ac:dyDescent="0.15">
      <c r="A4005" s="2">
        <v>460367</v>
      </c>
      <c r="B4005" s="2" t="s">
        <v>90</v>
      </c>
      <c r="C4005" s="2">
        <v>2022</v>
      </c>
      <c r="D4005" s="2" t="s">
        <v>1</v>
      </c>
      <c r="E4005" s="2" t="s">
        <v>9</v>
      </c>
      <c r="F4005" s="2" t="s">
        <v>36</v>
      </c>
      <c r="G4005" s="7">
        <v>-2.57</v>
      </c>
      <c r="H4005" s="13">
        <f>IFERROR(IF(ABS($G4005)&gt;0,VLOOKUP($E4005,'Fuel Category and Heat Rate'!$B$1:$G$34,6,FALSE)*($G4005),""),"")</f>
        <v>-4227121720617.918</v>
      </c>
      <c r="I4005" t="str">
        <f>IFERROR(VLOOKUP($E4005,'Fuel Category and Heat Rate'!$K$2:$M$36,3,FALSE),"")</f>
        <v>LPG propane or butane</v>
      </c>
    </row>
    <row r="4006" spans="1:9" x14ac:dyDescent="0.15">
      <c r="A4006" s="2">
        <v>460402</v>
      </c>
      <c r="B4006" s="2" t="s">
        <v>90</v>
      </c>
      <c r="C4006" s="2">
        <v>2022</v>
      </c>
      <c r="D4006" s="2" t="s">
        <v>1</v>
      </c>
      <c r="E4006" s="2" t="s">
        <v>8</v>
      </c>
      <c r="F4006" s="2" t="s">
        <v>35</v>
      </c>
      <c r="G4006" s="7"/>
      <c r="H4006" s="13" t="str">
        <f>IFERROR(IF(ABS($G4006)&gt;0,VLOOKUP($E4006,'Fuel Category and Heat Rate'!$B$1:$G$34,6,FALSE)*($G4006),""),"")</f>
        <v/>
      </c>
      <c r="I4006" t="str">
        <f>IFERROR(VLOOKUP($E4006,'Fuel Category and Heat Rate'!$K$2:$M$36,3,FALSE),"")</f>
        <v>coal</v>
      </c>
    </row>
    <row r="4007" spans="1:9" x14ac:dyDescent="0.15">
      <c r="A4007" s="2">
        <v>460437</v>
      </c>
      <c r="B4007" s="2" t="s">
        <v>90</v>
      </c>
      <c r="C4007" s="2">
        <v>2022</v>
      </c>
      <c r="D4007" s="2" t="s">
        <v>1</v>
      </c>
      <c r="E4007" s="2" t="s">
        <v>27</v>
      </c>
      <c r="F4007" s="2" t="s">
        <v>35</v>
      </c>
      <c r="G4007" s="7">
        <v>-10.02</v>
      </c>
      <c r="H4007" s="13">
        <f>IFERROR(IF(ABS($G4007)&gt;0,VLOOKUP($E4007,'Fuel Category and Heat Rate'!$B$1:$G$34,6,FALSE)*($G4007),""),"")</f>
        <v>-4368488739245.4155</v>
      </c>
      <c r="I4007" t="str">
        <f>IFERROR(VLOOKUP($E4007,'Fuel Category and Heat Rate'!$K$2:$M$36,3,FALSE),"")</f>
        <v>LPG propane or butane</v>
      </c>
    </row>
    <row r="4008" spans="1:9" x14ac:dyDescent="0.15">
      <c r="A4008" s="2">
        <v>460472</v>
      </c>
      <c r="B4008" s="2" t="s">
        <v>90</v>
      </c>
      <c r="C4008" s="2">
        <v>2022</v>
      </c>
      <c r="D4008" s="2" t="s">
        <v>1</v>
      </c>
      <c r="E4008" s="2" t="s">
        <v>7</v>
      </c>
      <c r="F4008" s="2" t="s">
        <v>35</v>
      </c>
      <c r="G4008" s="7">
        <v>-4.8</v>
      </c>
      <c r="H4008" s="13">
        <f>IFERROR(IF(ABS($G4008)&gt;0,VLOOKUP($E4008,'Fuel Category and Heat Rate'!$B$1:$G$34,6,FALSE)*($G4008),""),"")</f>
        <v>-380976988090.25134</v>
      </c>
      <c r="I4008" t="str">
        <f>IFERROR(VLOOKUP($E4008,'Fuel Category and Heat Rate'!$K$2:$M$36,3,FALSE),"")</f>
        <v>coal</v>
      </c>
    </row>
    <row r="4009" spans="1:9" x14ac:dyDescent="0.15">
      <c r="A4009" s="2">
        <v>460507</v>
      </c>
      <c r="B4009" s="2" t="s">
        <v>90</v>
      </c>
      <c r="C4009" s="2">
        <v>2022</v>
      </c>
      <c r="D4009" s="2" t="s">
        <v>1</v>
      </c>
      <c r="E4009" s="2" t="s">
        <v>2</v>
      </c>
      <c r="F4009" s="2" t="s">
        <v>35</v>
      </c>
      <c r="G4009" s="7">
        <v>-358.78</v>
      </c>
      <c r="H4009" s="13">
        <f>IFERROR(IF(ABS($G4009)&gt;0,VLOOKUP($E4009,'Fuel Category and Heat Rate'!$B$1:$G$34,6,FALSE)*($G4009),""),"")</f>
        <v>0</v>
      </c>
      <c r="I4009" t="str">
        <f>IFERROR(VLOOKUP($E4009,'Fuel Category and Heat Rate'!$K$2:$M$36,3,FALSE),"")</f>
        <v/>
      </c>
    </row>
    <row r="4010" spans="1:9" x14ac:dyDescent="0.15">
      <c r="A4010" s="2">
        <v>460542</v>
      </c>
      <c r="B4010" s="2" t="s">
        <v>90</v>
      </c>
      <c r="C4010" s="2">
        <v>2022</v>
      </c>
      <c r="D4010" s="2" t="s">
        <v>1</v>
      </c>
      <c r="E4010" s="2" t="s">
        <v>17</v>
      </c>
      <c r="F4010" s="2" t="s">
        <v>35</v>
      </c>
      <c r="G4010" s="7"/>
      <c r="H4010" s="13" t="str">
        <f>IFERROR(IF(ABS($G4010)&gt;0,VLOOKUP($E4010,'Fuel Category and Heat Rate'!$B$1:$G$34,6,FALSE)*($G4010),""),"")</f>
        <v/>
      </c>
      <c r="I4010" t="str">
        <f>IFERROR(VLOOKUP($E4010,'Fuel Category and Heat Rate'!$K$2:$M$36,3,FALSE),"")</f>
        <v>petroleum diesel</v>
      </c>
    </row>
    <row r="4011" spans="1:9" x14ac:dyDescent="0.15">
      <c r="A4011" s="2">
        <v>460577</v>
      </c>
      <c r="B4011" s="2" t="s">
        <v>90</v>
      </c>
      <c r="C4011" s="2">
        <v>2022</v>
      </c>
      <c r="D4011" s="2" t="s">
        <v>1</v>
      </c>
      <c r="E4011" s="2" t="s">
        <v>13</v>
      </c>
      <c r="F4011" s="2" t="s">
        <v>35</v>
      </c>
      <c r="G4011" s="7"/>
      <c r="H4011" s="13" t="str">
        <f>IFERROR(IF(ABS($G4011)&gt;0,VLOOKUP($E4011,'Fuel Category and Heat Rate'!$B$1:$G$34,6,FALSE)*($G4011),""),"")</f>
        <v/>
      </c>
      <c r="I4011" t="str">
        <f>IFERROR(VLOOKUP($E4011,'Fuel Category and Heat Rate'!$K$2:$M$36,3,FALSE),"")</f>
        <v>petroleum diesel</v>
      </c>
    </row>
    <row r="4012" spans="1:9" x14ac:dyDescent="0.15">
      <c r="A4012" s="2">
        <v>460612</v>
      </c>
      <c r="B4012" s="2" t="s">
        <v>90</v>
      </c>
      <c r="C4012" s="2">
        <v>2022</v>
      </c>
      <c r="D4012" s="2" t="s">
        <v>1</v>
      </c>
      <c r="E4012" s="2" t="s">
        <v>12</v>
      </c>
      <c r="F4012" s="2" t="s">
        <v>36</v>
      </c>
      <c r="G4012" s="7"/>
      <c r="H4012" s="13" t="str">
        <f>IFERROR(IF(ABS($G4012)&gt;0,VLOOKUP($E4012,'Fuel Category and Heat Rate'!$B$1:$G$34,6,FALSE)*($G4012),""),"")</f>
        <v/>
      </c>
      <c r="I4012" t="str">
        <f>IFERROR(VLOOKUP($E4012,'Fuel Category and Heat Rate'!$K$2:$M$36,3,FALSE),"")</f>
        <v>LPG propane or butane</v>
      </c>
    </row>
    <row r="4013" spans="1:9" x14ac:dyDescent="0.15">
      <c r="A4013" s="2">
        <v>460647</v>
      </c>
      <c r="B4013" s="2" t="s">
        <v>90</v>
      </c>
      <c r="C4013" s="2">
        <v>2022</v>
      </c>
      <c r="D4013" s="2" t="s">
        <v>1</v>
      </c>
      <c r="E4013" s="2" t="s">
        <v>33</v>
      </c>
      <c r="F4013" s="2" t="s">
        <v>38</v>
      </c>
      <c r="G4013" s="7">
        <v>-3.04</v>
      </c>
      <c r="H4013" s="13">
        <f>IFERROR(IF(ABS($G4013)&gt;0,VLOOKUP($E4013,'Fuel Category and Heat Rate'!$B$1:$G$34,6,FALSE)*($G4013),""),"")</f>
        <v>-843404071926.61877</v>
      </c>
      <c r="I4013" t="str">
        <f>IFERROR(VLOOKUP($E4013,'Fuel Category and Heat Rate'!$K$2:$M$36,3,FALSE),"")</f>
        <v>biomass</v>
      </c>
    </row>
    <row r="4014" spans="1:9" x14ac:dyDescent="0.15">
      <c r="A4014" s="2">
        <v>460682</v>
      </c>
      <c r="B4014" s="2" t="s">
        <v>90</v>
      </c>
      <c r="C4014" s="2">
        <v>2022</v>
      </c>
      <c r="D4014" s="2" t="s">
        <v>1</v>
      </c>
      <c r="E4014" s="2" t="s">
        <v>28</v>
      </c>
      <c r="F4014" s="2" t="s">
        <v>35</v>
      </c>
      <c r="G4014" s="7"/>
      <c r="H4014" s="13" t="str">
        <f>IFERROR(IF(ABS($G4014)&gt;0,VLOOKUP($E4014,'Fuel Category and Heat Rate'!$B$1:$G$34,6,FALSE)*($G4014),""),"")</f>
        <v/>
      </c>
      <c r="I4014" t="str">
        <f>IFERROR(VLOOKUP($E4014,'Fuel Category and Heat Rate'!$K$2:$M$36,3,FALSE),"")</f>
        <v>heavy or residual fuel oil</v>
      </c>
    </row>
    <row r="4015" spans="1:9" x14ac:dyDescent="0.15">
      <c r="A4015" s="2">
        <v>460717</v>
      </c>
      <c r="B4015" s="2" t="s">
        <v>90</v>
      </c>
      <c r="C4015" s="2">
        <v>2022</v>
      </c>
      <c r="D4015" s="2" t="s">
        <v>1</v>
      </c>
      <c r="E4015" s="2" t="s">
        <v>5</v>
      </c>
      <c r="F4015" s="2" t="s">
        <v>35</v>
      </c>
      <c r="G4015" s="7"/>
      <c r="H4015" s="13" t="str">
        <f>IFERROR(IF(ABS($G4015)&gt;0,VLOOKUP($E4015,'Fuel Category and Heat Rate'!$B$1:$G$34,6,FALSE)*($G4015),""),"")</f>
        <v/>
      </c>
      <c r="I4015" t="str">
        <f>IFERROR(VLOOKUP($E4015,'Fuel Category and Heat Rate'!$K$2:$M$36,3,FALSE),"")</f>
        <v>coal</v>
      </c>
    </row>
    <row r="4016" spans="1:9" x14ac:dyDescent="0.15">
      <c r="A4016" s="2">
        <v>460752</v>
      </c>
      <c r="B4016" s="2" t="s">
        <v>90</v>
      </c>
      <c r="C4016" s="2">
        <v>2022</v>
      </c>
      <c r="D4016" s="2" t="s">
        <v>1</v>
      </c>
      <c r="E4016" s="2" t="s">
        <v>16</v>
      </c>
      <c r="F4016" s="2" t="s">
        <v>35</v>
      </c>
      <c r="G4016" s="7"/>
      <c r="H4016" s="13" t="str">
        <f>IFERROR(IF(ABS($G4016)&gt;0,VLOOKUP($E4016,'Fuel Category and Heat Rate'!$B$1:$G$34,6,FALSE)*($G4016),""),"")</f>
        <v/>
      </c>
      <c r="I4016" t="str">
        <f>IFERROR(VLOOKUP($E4016,'Fuel Category and Heat Rate'!$K$2:$M$36,3,FALSE),"")</f>
        <v>petroleum diesel</v>
      </c>
    </row>
    <row r="4017" spans="1:9" x14ac:dyDescent="0.15">
      <c r="A4017" s="2">
        <v>460787</v>
      </c>
      <c r="B4017" s="2" t="s">
        <v>90</v>
      </c>
      <c r="C4017" s="2">
        <v>2022</v>
      </c>
      <c r="D4017" s="2" t="s">
        <v>1</v>
      </c>
      <c r="E4017" s="2" t="s">
        <v>19</v>
      </c>
      <c r="F4017" s="2" t="s">
        <v>35</v>
      </c>
      <c r="G4017" s="7">
        <v>-4.53</v>
      </c>
      <c r="H4017" s="13">
        <f>IFERROR(IF(ABS($G4017)&gt;0,VLOOKUP($E4017,'Fuel Category and Heat Rate'!$B$1:$G$34,6,FALSE)*($G4017),""),"")</f>
        <v>-1795416612305.4055</v>
      </c>
      <c r="I4017" t="str">
        <f>IFERROR(VLOOKUP($E4017,'Fuel Category and Heat Rate'!$K$2:$M$36,3,FALSE),"")</f>
        <v>heavy or residual fuel oil</v>
      </c>
    </row>
    <row r="4018" spans="1:9" x14ac:dyDescent="0.15">
      <c r="A4018" s="2">
        <v>460822</v>
      </c>
      <c r="B4018" s="2" t="s">
        <v>90</v>
      </c>
      <c r="C4018" s="2">
        <v>2022</v>
      </c>
      <c r="D4018" s="2" t="s">
        <v>1</v>
      </c>
      <c r="E4018" s="2" t="s">
        <v>31</v>
      </c>
      <c r="F4018" s="2" t="s">
        <v>37</v>
      </c>
      <c r="G4018" s="7">
        <v>7035.67</v>
      </c>
      <c r="H4018" s="13">
        <f>IFERROR(IF(ABS($G4018)&gt;0,VLOOKUP($E4018,'Fuel Category and Heat Rate'!$B$1:$G$34,6,FALSE)*($G4018),""),"")</f>
        <v>66685284954346.258</v>
      </c>
      <c r="I4018" t="str">
        <f>IFERROR(VLOOKUP($E4018,'Fuel Category and Heat Rate'!$K$2:$M$36,3,FALSE),"")</f>
        <v>heat</v>
      </c>
    </row>
    <row r="4019" spans="1:9" x14ac:dyDescent="0.15">
      <c r="A4019" s="2">
        <v>460857</v>
      </c>
      <c r="B4019" s="2" t="s">
        <v>90</v>
      </c>
      <c r="C4019" s="2">
        <v>2022</v>
      </c>
      <c r="D4019" s="2" t="s">
        <v>1</v>
      </c>
      <c r="E4019" s="2" t="s">
        <v>23</v>
      </c>
      <c r="F4019" s="2" t="s">
        <v>35</v>
      </c>
      <c r="G4019" s="7"/>
      <c r="H4019" s="13" t="str">
        <f>IFERROR(IF(ABS($G4019)&gt;0,VLOOKUP($E4019,'Fuel Category and Heat Rate'!$B$1:$G$34,6,FALSE)*($G4019),""),"")</f>
        <v/>
      </c>
      <c r="I4019" t="str">
        <f>IFERROR(VLOOKUP($E4019,'Fuel Category and Heat Rate'!$K$2:$M$36,3,FALSE),"")</f>
        <v>heavy or residual fuel oil</v>
      </c>
    </row>
    <row r="4020" spans="1:9" x14ac:dyDescent="0.15">
      <c r="A4020" s="2">
        <v>460892</v>
      </c>
      <c r="B4020" s="2" t="s">
        <v>90</v>
      </c>
      <c r="C4020" s="2">
        <v>2022</v>
      </c>
      <c r="D4020" s="2" t="s">
        <v>1</v>
      </c>
      <c r="E4020" s="2" t="s">
        <v>21</v>
      </c>
      <c r="F4020" s="2" t="s">
        <v>35</v>
      </c>
      <c r="G4020" s="7"/>
      <c r="H4020" s="13" t="str">
        <f>IFERROR(IF(ABS($G4020)&gt;0,VLOOKUP($E4020,'Fuel Category and Heat Rate'!$B$1:$G$34,6,FALSE)*($G4020),""),"")</f>
        <v/>
      </c>
      <c r="I4020" t="str">
        <f>IFERROR(VLOOKUP($E4020,'Fuel Category and Heat Rate'!$K$2:$M$36,3,FALSE),"")</f>
        <v>LPG propane or butane</v>
      </c>
    </row>
    <row r="4021" spans="1:9" x14ac:dyDescent="0.15">
      <c r="A4021" s="2">
        <v>460927</v>
      </c>
      <c r="B4021" s="2" t="s">
        <v>90</v>
      </c>
      <c r="C4021" s="2">
        <v>2022</v>
      </c>
      <c r="D4021" s="2" t="s">
        <v>1</v>
      </c>
      <c r="E4021" s="2" t="s">
        <v>22</v>
      </c>
      <c r="F4021" s="2" t="s">
        <v>35</v>
      </c>
      <c r="G4021" s="7"/>
      <c r="H4021" s="13" t="str">
        <f>IFERROR(IF(ABS($G4021)&gt;0,VLOOKUP($E4021,'Fuel Category and Heat Rate'!$B$1:$G$34,6,FALSE)*($G4021),""),"")</f>
        <v/>
      </c>
      <c r="I4021" t="str">
        <f>IFERROR(VLOOKUP($E4021,'Fuel Category and Heat Rate'!$K$2:$M$36,3,FALSE),"")</f>
        <v>heavy fuel oil</v>
      </c>
    </row>
    <row r="4022" spans="1:9" x14ac:dyDescent="0.15">
      <c r="A4022" s="2">
        <v>460962</v>
      </c>
      <c r="B4022" s="2" t="s">
        <v>90</v>
      </c>
      <c r="C4022" s="2">
        <v>2022</v>
      </c>
      <c r="D4022" s="2" t="s">
        <v>1</v>
      </c>
      <c r="E4022" s="2" t="s">
        <v>20</v>
      </c>
      <c r="F4022" s="2" t="s">
        <v>35</v>
      </c>
      <c r="G4022" s="7"/>
      <c r="H4022" s="13" t="str">
        <f>IFERROR(IF(ABS($G4022)&gt;0,VLOOKUP($E4022,'Fuel Category and Heat Rate'!$B$1:$G$34,6,FALSE)*($G4022),""),"")</f>
        <v/>
      </c>
      <c r="I4022" t="str">
        <f>IFERROR(VLOOKUP($E4022,'Fuel Category and Heat Rate'!$K$2:$M$36,3,FALSE),"")</f>
        <v>LPG propane or butane</v>
      </c>
    </row>
    <row r="4023" spans="1:9" x14ac:dyDescent="0.15">
      <c r="A4023" s="2">
        <v>460997</v>
      </c>
      <c r="B4023" s="2" t="s">
        <v>90</v>
      </c>
      <c r="C4023" s="2">
        <v>2022</v>
      </c>
      <c r="D4023" s="2" t="s">
        <v>1</v>
      </c>
      <c r="E4023" s="2" t="s">
        <v>25</v>
      </c>
      <c r="F4023" s="2" t="s">
        <v>35</v>
      </c>
      <c r="G4023" s="7"/>
      <c r="H4023" s="13" t="str">
        <f>IFERROR(IF(ABS($G4023)&gt;0,VLOOKUP($E4023,'Fuel Category and Heat Rate'!$B$1:$G$34,6,FALSE)*($G4023),""),"")</f>
        <v/>
      </c>
      <c r="I4023" t="str">
        <f>IFERROR(VLOOKUP($E4023,'Fuel Category and Heat Rate'!$K$2:$M$36,3,FALSE),"")</f>
        <v>heavy fuel oil</v>
      </c>
    </row>
    <row r="4024" spans="1:9" x14ac:dyDescent="0.15">
      <c r="A4024" s="2">
        <v>461032</v>
      </c>
      <c r="B4024" s="2" t="s">
        <v>90</v>
      </c>
      <c r="C4024" s="2">
        <v>2022</v>
      </c>
      <c r="D4024" s="2" t="s">
        <v>1</v>
      </c>
      <c r="E4024" s="2" t="s">
        <v>24</v>
      </c>
      <c r="F4024" s="2" t="s">
        <v>35</v>
      </c>
      <c r="G4024" s="7"/>
      <c r="H4024" s="13" t="str">
        <f>IFERROR(IF(ABS($G4024)&gt;0,VLOOKUP($E4024,'Fuel Category and Heat Rate'!$B$1:$G$34,6,FALSE)*($G4024),""),"")</f>
        <v/>
      </c>
      <c r="I4024" t="str">
        <f>IFERROR(VLOOKUP($E4024,'Fuel Category and Heat Rate'!$K$2:$M$36,3,FALSE),"")</f>
        <v>heavy fuel oil</v>
      </c>
    </row>
    <row r="4025" spans="1:9" x14ac:dyDescent="0.15">
      <c r="A4025" s="2">
        <v>461067</v>
      </c>
      <c r="B4025" s="2" t="s">
        <v>90</v>
      </c>
      <c r="C4025" s="2">
        <v>2022</v>
      </c>
      <c r="D4025" s="2" t="s">
        <v>1</v>
      </c>
      <c r="E4025" s="2" t="s">
        <v>29</v>
      </c>
      <c r="F4025" s="2" t="s">
        <v>36</v>
      </c>
      <c r="G4025" s="7">
        <v>-4.96</v>
      </c>
      <c r="H4025" s="13">
        <f>IFERROR(IF(ABS($G4025)&gt;0,VLOOKUP($E4025,'Fuel Category and Heat Rate'!$B$1:$G$34,6,FALSE)*($G4025),""),"")</f>
        <v>-16728888807165.99</v>
      </c>
      <c r="I4025" t="str">
        <f>IFERROR(VLOOKUP($E4025,'Fuel Category and Heat Rate'!$K$2:$M$36,3,FALSE),"")</f>
        <v>natural gas</v>
      </c>
    </row>
    <row r="4026" spans="1:9" x14ac:dyDescent="0.15">
      <c r="A4026" s="2">
        <v>461102</v>
      </c>
      <c r="B4026" s="2" t="s">
        <v>90</v>
      </c>
      <c r="C4026" s="2">
        <v>2022</v>
      </c>
      <c r="D4026" s="2" t="s">
        <v>1</v>
      </c>
      <c r="E4026" s="2" t="s">
        <v>4</v>
      </c>
      <c r="F4026" s="2" t="s">
        <v>35</v>
      </c>
      <c r="G4026" s="7"/>
      <c r="H4026" s="13" t="str">
        <f>IFERROR(IF(ABS($G4026)&gt;0,VLOOKUP($E4026,'Fuel Category and Heat Rate'!$B$1:$G$34,6,FALSE)*($G4026),""),"")</f>
        <v/>
      </c>
      <c r="I4026" t="str">
        <f>IFERROR(VLOOKUP($E4026,'Fuel Category and Heat Rate'!$K$2:$M$36,3,FALSE),"")</f>
        <v>coal</v>
      </c>
    </row>
    <row r="4027" spans="1:9" x14ac:dyDescent="0.15">
      <c r="A4027" s="2">
        <v>461137</v>
      </c>
      <c r="B4027" s="2" t="s">
        <v>90</v>
      </c>
      <c r="C4027" s="2">
        <v>2022</v>
      </c>
      <c r="D4027" s="2" t="s">
        <v>1</v>
      </c>
      <c r="E4027" s="2" t="s">
        <v>6</v>
      </c>
      <c r="F4027" s="2" t="s">
        <v>35</v>
      </c>
      <c r="G4027" s="7"/>
      <c r="H4027" s="13" t="str">
        <f>IFERROR(IF(ABS($G4027)&gt;0,VLOOKUP($E4027,'Fuel Category and Heat Rate'!$B$1:$G$34,6,FALSE)*($G4027),""),"")</f>
        <v/>
      </c>
      <c r="I4027" t="str">
        <f>IFERROR(VLOOKUP($E4027,'Fuel Category and Heat Rate'!$K$2:$M$36,3,FALSE),"")</f>
        <v>coal</v>
      </c>
    </row>
    <row r="4028" spans="1:9" x14ac:dyDescent="0.15">
      <c r="A4028" s="2">
        <v>461172</v>
      </c>
      <c r="B4028" s="2" t="s">
        <v>90</v>
      </c>
      <c r="C4028" s="2">
        <v>2022</v>
      </c>
      <c r="D4028" s="2" t="s">
        <v>1</v>
      </c>
      <c r="E4028" s="2" t="s">
        <v>26</v>
      </c>
      <c r="F4028" s="2" t="s">
        <v>35</v>
      </c>
      <c r="G4028" s="7"/>
      <c r="H4028" s="13" t="str">
        <f>IFERROR(IF(ABS($G4028)&gt;0,VLOOKUP($E4028,'Fuel Category and Heat Rate'!$B$1:$G$34,6,FALSE)*($G4028),""),"")</f>
        <v/>
      </c>
      <c r="I4028" t="str">
        <f>IFERROR(VLOOKUP($E4028,'Fuel Category and Heat Rate'!$K$2:$M$36,3,FALSE),"")</f>
        <v>LPG propane or butane</v>
      </c>
    </row>
    <row r="4029" spans="1:9" x14ac:dyDescent="0.15">
      <c r="A4029" s="2">
        <v>461207</v>
      </c>
      <c r="B4029" s="2" t="s">
        <v>90</v>
      </c>
      <c r="C4029" s="2">
        <v>2022</v>
      </c>
      <c r="D4029" s="2" t="s">
        <v>1</v>
      </c>
      <c r="E4029" s="2" t="s">
        <v>30</v>
      </c>
      <c r="F4029" s="2" t="s">
        <v>35</v>
      </c>
      <c r="G4029" s="7">
        <v>-0.27</v>
      </c>
      <c r="H4029" s="13">
        <f>IFERROR(IF(ABS($G4029)&gt;0,VLOOKUP($E4029,'Fuel Category and Heat Rate'!$B$1:$G$34,6,FALSE)*($G4029),""),"")</f>
        <v>-131625069895.58897</v>
      </c>
      <c r="I4029" t="str">
        <f>IFERROR(VLOOKUP($E4029,'Fuel Category and Heat Rate'!$K$2:$M$36,3,FALSE),"")</f>
        <v>natural gas</v>
      </c>
    </row>
    <row r="4030" spans="1:9" x14ac:dyDescent="0.15">
      <c r="A4030" s="2">
        <v>461242</v>
      </c>
      <c r="B4030" s="2" t="s">
        <v>90</v>
      </c>
      <c r="C4030" s="2">
        <v>2022</v>
      </c>
      <c r="D4030" s="2" t="s">
        <v>1</v>
      </c>
      <c r="E4030" s="2" t="s">
        <v>14</v>
      </c>
      <c r="F4030" s="2" t="s">
        <v>35</v>
      </c>
      <c r="G4030" s="7">
        <v>-14.55</v>
      </c>
      <c r="H4030" s="13">
        <f>IFERROR(IF(ABS($G4030)&gt;0,VLOOKUP($E4030,'Fuel Category and Heat Rate'!$B$1:$G$34,6,FALSE)*($G4030),""),"")</f>
        <v>0</v>
      </c>
      <c r="I4030" t="str">
        <f>IFERROR(VLOOKUP($E4030,'Fuel Category and Heat Rate'!$K$2:$M$36,3,FALSE),"")</f>
        <v/>
      </c>
    </row>
    <row r="4031" spans="1:9" x14ac:dyDescent="0.15">
      <c r="A4031" s="2">
        <v>461277</v>
      </c>
      <c r="B4031" s="2" t="s">
        <v>90</v>
      </c>
      <c r="C4031" s="2">
        <v>2022</v>
      </c>
      <c r="D4031" s="2" t="s">
        <v>1</v>
      </c>
      <c r="E4031" s="2" t="s">
        <v>3</v>
      </c>
      <c r="F4031" s="2" t="s">
        <v>35</v>
      </c>
      <c r="G4031" s="7">
        <v>-358.78</v>
      </c>
      <c r="H4031" s="13">
        <f>IFERROR(IF(ABS($G4031)&gt;0,VLOOKUP($E4031,'Fuel Category and Heat Rate'!$B$1:$G$34,6,FALSE)*($G4031),""),"")</f>
        <v>-71099290525710.078</v>
      </c>
      <c r="I4031" t="str">
        <f>IFERROR(VLOOKUP($E4031,'Fuel Category and Heat Rate'!$K$2:$M$36,3,FALSE),"")</f>
        <v>coal</v>
      </c>
    </row>
    <row r="4032" spans="1:9" x14ac:dyDescent="0.15">
      <c r="A4032" s="2">
        <v>461312</v>
      </c>
      <c r="B4032" s="2" t="s">
        <v>90</v>
      </c>
      <c r="C4032" s="2">
        <v>2022</v>
      </c>
      <c r="D4032" s="2" t="s">
        <v>1</v>
      </c>
      <c r="E4032" s="2" t="s">
        <v>15</v>
      </c>
      <c r="F4032" s="2" t="s">
        <v>35</v>
      </c>
      <c r="G4032" s="7"/>
      <c r="H4032" s="13" t="str">
        <f>IFERROR(IF(ABS($G4032)&gt;0,VLOOKUP($E4032,'Fuel Category and Heat Rate'!$B$1:$G$34,6,FALSE)*($G4032),""),"")</f>
        <v/>
      </c>
      <c r="I4032" t="str">
        <f>IFERROR(VLOOKUP($E4032,'Fuel Category and Heat Rate'!$K$2:$M$36,3,FALSE),"")</f>
        <v>crude oil</v>
      </c>
    </row>
    <row r="4033" spans="1:9" x14ac:dyDescent="0.15">
      <c r="A4033" s="2">
        <v>461347</v>
      </c>
      <c r="B4033" s="2" t="s">
        <v>90</v>
      </c>
      <c r="C4033" s="2">
        <v>2022</v>
      </c>
      <c r="D4033" s="2" t="s">
        <v>1</v>
      </c>
      <c r="E4033" s="2" t="s">
        <v>11</v>
      </c>
      <c r="F4033" s="2" t="s">
        <v>36</v>
      </c>
      <c r="G4033" s="7"/>
      <c r="H4033" s="13" t="str">
        <f>IFERROR(IF(ABS($G4033)&gt;0,VLOOKUP($E4033,'Fuel Category and Heat Rate'!$B$1:$G$34,6,FALSE)*($G4033),""),"")</f>
        <v/>
      </c>
      <c r="I4033" t="str">
        <f>IFERROR(VLOOKUP($E4033,'Fuel Category and Heat Rate'!$K$2:$M$36,3,FALSE),"")</f>
        <v>LPG propane or butane</v>
      </c>
    </row>
    <row r="4034" spans="1:9" x14ac:dyDescent="0.15">
      <c r="A4034" s="2">
        <v>461382</v>
      </c>
      <c r="B4034" s="2" t="s">
        <v>90</v>
      </c>
      <c r="C4034" s="2">
        <v>2021</v>
      </c>
      <c r="D4034" s="2" t="s">
        <v>1</v>
      </c>
      <c r="E4034" s="2" t="s">
        <v>18</v>
      </c>
      <c r="F4034" s="2" t="s">
        <v>35</v>
      </c>
      <c r="G4034" s="7"/>
      <c r="H4034" s="13" t="str">
        <f>IFERROR(IF(ABS($G4034)&gt;0,VLOOKUP($E4034,'Fuel Category and Heat Rate'!$B$1:$G$34,6,FALSE)*($G4034),""),"")</f>
        <v/>
      </c>
      <c r="I4034" t="str">
        <f>IFERROR(VLOOKUP($E4034,'Fuel Category and Heat Rate'!$K$2:$M$36,3,FALSE),"")</f>
        <v>petroleum diesel</v>
      </c>
    </row>
    <row r="4035" spans="1:9" x14ac:dyDescent="0.15">
      <c r="A4035" s="2">
        <v>461417</v>
      </c>
      <c r="B4035" s="2" t="s">
        <v>90</v>
      </c>
      <c r="C4035" s="2">
        <v>2021</v>
      </c>
      <c r="D4035" s="2" t="s">
        <v>1</v>
      </c>
      <c r="E4035" s="2" t="s">
        <v>32</v>
      </c>
      <c r="F4035" s="2" t="s">
        <v>65</v>
      </c>
      <c r="G4035" s="7"/>
      <c r="H4035" s="13" t="str">
        <f>IFERROR(IF(ABS($G4035)&gt;0,VLOOKUP($E4035,'Fuel Category and Heat Rate'!$B$1:$G$34,6,FALSE)*($G4035),""),"")</f>
        <v/>
      </c>
      <c r="I4035" t="str">
        <f>IFERROR(VLOOKUP($E4035,'Fuel Category and Heat Rate'!$K$2:$M$36,3,FALSE),"")</f>
        <v>electricity</v>
      </c>
    </row>
    <row r="4036" spans="1:9" x14ac:dyDescent="0.15">
      <c r="A4036" s="2">
        <v>461452</v>
      </c>
      <c r="B4036" s="2" t="s">
        <v>90</v>
      </c>
      <c r="C4036" s="2">
        <v>2021</v>
      </c>
      <c r="D4036" s="2" t="s">
        <v>1</v>
      </c>
      <c r="E4036" s="2" t="s">
        <v>10</v>
      </c>
      <c r="F4036" s="2" t="s">
        <v>36</v>
      </c>
      <c r="G4036" s="7">
        <v>-15.76</v>
      </c>
      <c r="H4036" s="13">
        <f>IFERROR(IF(ABS($G4036)&gt;0,VLOOKUP($E4036,'Fuel Category and Heat Rate'!$B$1:$G$34,6,FALSE)*($G4036),""),"")</f>
        <v>-5621018072171.25</v>
      </c>
      <c r="I4036" t="str">
        <f>IFERROR(VLOOKUP($E4036,'Fuel Category and Heat Rate'!$K$2:$M$36,3,FALSE),"")</f>
        <v>LPG propane or butane</v>
      </c>
    </row>
    <row r="4037" spans="1:9" x14ac:dyDescent="0.15">
      <c r="A4037" s="2">
        <v>461487</v>
      </c>
      <c r="B4037" s="2" t="s">
        <v>90</v>
      </c>
      <c r="C4037" s="2">
        <v>2021</v>
      </c>
      <c r="D4037" s="2" t="s">
        <v>1</v>
      </c>
      <c r="E4037" s="2" t="s">
        <v>9</v>
      </c>
      <c r="F4037" s="2" t="s">
        <v>36</v>
      </c>
      <c r="G4037" s="7">
        <v>-2.35</v>
      </c>
      <c r="H4037" s="13">
        <f>IFERROR(IF(ABS($G4037)&gt;0,VLOOKUP($E4037,'Fuel Category and Heat Rate'!$B$1:$G$34,6,FALSE)*($G4037),""),"")</f>
        <v>-3865266942977.4741</v>
      </c>
      <c r="I4037" t="str">
        <f>IFERROR(VLOOKUP($E4037,'Fuel Category and Heat Rate'!$K$2:$M$36,3,FALSE),"")</f>
        <v>LPG propane or butane</v>
      </c>
    </row>
    <row r="4038" spans="1:9" x14ac:dyDescent="0.15">
      <c r="A4038" s="2">
        <v>461522</v>
      </c>
      <c r="B4038" s="2" t="s">
        <v>90</v>
      </c>
      <c r="C4038" s="2">
        <v>2021</v>
      </c>
      <c r="D4038" s="2" t="s">
        <v>1</v>
      </c>
      <c r="E4038" s="2" t="s">
        <v>8</v>
      </c>
      <c r="F4038" s="2" t="s">
        <v>35</v>
      </c>
      <c r="G4038" s="7"/>
      <c r="H4038" s="13" t="str">
        <f>IFERROR(IF(ABS($G4038)&gt;0,VLOOKUP($E4038,'Fuel Category and Heat Rate'!$B$1:$G$34,6,FALSE)*($G4038),""),"")</f>
        <v/>
      </c>
      <c r="I4038" t="str">
        <f>IFERROR(VLOOKUP($E4038,'Fuel Category and Heat Rate'!$K$2:$M$36,3,FALSE),"")</f>
        <v>coal</v>
      </c>
    </row>
    <row r="4039" spans="1:9" x14ac:dyDescent="0.15">
      <c r="A4039" s="2">
        <v>461557</v>
      </c>
      <c r="B4039" s="2" t="s">
        <v>90</v>
      </c>
      <c r="C4039" s="2">
        <v>2021</v>
      </c>
      <c r="D4039" s="2" t="s">
        <v>1</v>
      </c>
      <c r="E4039" s="2" t="s">
        <v>27</v>
      </c>
      <c r="F4039" s="2" t="s">
        <v>35</v>
      </c>
      <c r="G4039" s="7">
        <v>-9.92</v>
      </c>
      <c r="H4039" s="13">
        <f>IFERROR(IF(ABS($G4039)&gt;0,VLOOKUP($E4039,'Fuel Category and Heat Rate'!$B$1:$G$34,6,FALSE)*($G4039),""),"")</f>
        <v>-4324891047236.978</v>
      </c>
      <c r="I4039" t="str">
        <f>IFERROR(VLOOKUP($E4039,'Fuel Category and Heat Rate'!$K$2:$M$36,3,FALSE),"")</f>
        <v>LPG propane or butane</v>
      </c>
    </row>
    <row r="4040" spans="1:9" x14ac:dyDescent="0.15">
      <c r="A4040" s="2">
        <v>461592</v>
      </c>
      <c r="B4040" s="2" t="s">
        <v>90</v>
      </c>
      <c r="C4040" s="2">
        <v>2021</v>
      </c>
      <c r="D4040" s="2" t="s">
        <v>1</v>
      </c>
      <c r="E4040" s="2" t="s">
        <v>7</v>
      </c>
      <c r="F4040" s="2" t="s">
        <v>35</v>
      </c>
      <c r="G4040" s="7">
        <v>-5.78</v>
      </c>
      <c r="H4040" s="13">
        <f>IFERROR(IF(ABS($G4040)&gt;0,VLOOKUP($E4040,'Fuel Category and Heat Rate'!$B$1:$G$34,6,FALSE)*($G4040),""),"")</f>
        <v>-458759789825.34436</v>
      </c>
      <c r="I4040" t="str">
        <f>IFERROR(VLOOKUP($E4040,'Fuel Category and Heat Rate'!$K$2:$M$36,3,FALSE),"")</f>
        <v>coal</v>
      </c>
    </row>
    <row r="4041" spans="1:9" x14ac:dyDescent="0.15">
      <c r="A4041" s="2">
        <v>461627</v>
      </c>
      <c r="B4041" s="2" t="s">
        <v>90</v>
      </c>
      <c r="C4041" s="2">
        <v>2021</v>
      </c>
      <c r="D4041" s="2" t="s">
        <v>1</v>
      </c>
      <c r="E4041" s="2" t="s">
        <v>2</v>
      </c>
      <c r="F4041" s="2" t="s">
        <v>35</v>
      </c>
      <c r="G4041" s="7">
        <v>-336.6</v>
      </c>
      <c r="H4041" s="13">
        <f>IFERROR(IF(ABS($G4041)&gt;0,VLOOKUP($E4041,'Fuel Category and Heat Rate'!$B$1:$G$34,6,FALSE)*($G4041),""),"")</f>
        <v>0</v>
      </c>
      <c r="I4041" t="str">
        <f>IFERROR(VLOOKUP($E4041,'Fuel Category and Heat Rate'!$K$2:$M$36,3,FALSE),"")</f>
        <v/>
      </c>
    </row>
    <row r="4042" spans="1:9" x14ac:dyDescent="0.15">
      <c r="A4042" s="2">
        <v>461662</v>
      </c>
      <c r="B4042" s="2" t="s">
        <v>90</v>
      </c>
      <c r="C4042" s="2">
        <v>2021</v>
      </c>
      <c r="D4042" s="2" t="s">
        <v>1</v>
      </c>
      <c r="E4042" s="2" t="s">
        <v>17</v>
      </c>
      <c r="F4042" s="2" t="s">
        <v>35</v>
      </c>
      <c r="G4042" s="7"/>
      <c r="H4042" s="13" t="str">
        <f>IFERROR(IF(ABS($G4042)&gt;0,VLOOKUP($E4042,'Fuel Category and Heat Rate'!$B$1:$G$34,6,FALSE)*($G4042),""),"")</f>
        <v/>
      </c>
      <c r="I4042" t="str">
        <f>IFERROR(VLOOKUP($E4042,'Fuel Category and Heat Rate'!$K$2:$M$36,3,FALSE),"")</f>
        <v>petroleum diesel</v>
      </c>
    </row>
    <row r="4043" spans="1:9" x14ac:dyDescent="0.15">
      <c r="A4043" s="2">
        <v>461697</v>
      </c>
      <c r="B4043" s="2" t="s">
        <v>90</v>
      </c>
      <c r="C4043" s="2">
        <v>2021</v>
      </c>
      <c r="D4043" s="2" t="s">
        <v>1</v>
      </c>
      <c r="E4043" s="2" t="s">
        <v>13</v>
      </c>
      <c r="F4043" s="2" t="s">
        <v>35</v>
      </c>
      <c r="G4043" s="7"/>
      <c r="H4043" s="13" t="str">
        <f>IFERROR(IF(ABS($G4043)&gt;0,VLOOKUP($E4043,'Fuel Category and Heat Rate'!$B$1:$G$34,6,FALSE)*($G4043),""),"")</f>
        <v/>
      </c>
      <c r="I4043" t="str">
        <f>IFERROR(VLOOKUP($E4043,'Fuel Category and Heat Rate'!$K$2:$M$36,3,FALSE),"")</f>
        <v>petroleum diesel</v>
      </c>
    </row>
    <row r="4044" spans="1:9" x14ac:dyDescent="0.15">
      <c r="A4044" s="2">
        <v>461732</v>
      </c>
      <c r="B4044" s="2" t="s">
        <v>90</v>
      </c>
      <c r="C4044" s="2">
        <v>2021</v>
      </c>
      <c r="D4044" s="2" t="s">
        <v>1</v>
      </c>
      <c r="E4044" s="2" t="s">
        <v>12</v>
      </c>
      <c r="F4044" s="2" t="s">
        <v>36</v>
      </c>
      <c r="G4044" s="7"/>
      <c r="H4044" s="13" t="str">
        <f>IFERROR(IF(ABS($G4044)&gt;0,VLOOKUP($E4044,'Fuel Category and Heat Rate'!$B$1:$G$34,6,FALSE)*($G4044),""),"")</f>
        <v/>
      </c>
      <c r="I4044" t="str">
        <f>IFERROR(VLOOKUP($E4044,'Fuel Category and Heat Rate'!$K$2:$M$36,3,FALSE),"")</f>
        <v>LPG propane or butane</v>
      </c>
    </row>
    <row r="4045" spans="1:9" x14ac:dyDescent="0.15">
      <c r="A4045" s="2">
        <v>461767</v>
      </c>
      <c r="B4045" s="2" t="s">
        <v>90</v>
      </c>
      <c r="C4045" s="2">
        <v>2021</v>
      </c>
      <c r="D4045" s="2" t="s">
        <v>1</v>
      </c>
      <c r="E4045" s="2" t="s">
        <v>33</v>
      </c>
      <c r="F4045" s="2" t="s">
        <v>38</v>
      </c>
      <c r="G4045" s="7">
        <v>-3.24</v>
      </c>
      <c r="H4045" s="13">
        <f>IFERROR(IF(ABS($G4045)&gt;0,VLOOKUP($E4045,'Fuel Category and Heat Rate'!$B$1:$G$34,6,FALSE)*($G4045),""),"")</f>
        <v>-898891181921.79114</v>
      </c>
      <c r="I4045" t="str">
        <f>IFERROR(VLOOKUP($E4045,'Fuel Category and Heat Rate'!$K$2:$M$36,3,FALSE),"")</f>
        <v>biomass</v>
      </c>
    </row>
    <row r="4046" spans="1:9" x14ac:dyDescent="0.15">
      <c r="A4046" s="2">
        <v>461802</v>
      </c>
      <c r="B4046" s="2" t="s">
        <v>90</v>
      </c>
      <c r="C4046" s="2">
        <v>2021</v>
      </c>
      <c r="D4046" s="2" t="s">
        <v>1</v>
      </c>
      <c r="E4046" s="2" t="s">
        <v>28</v>
      </c>
      <c r="F4046" s="2" t="s">
        <v>35</v>
      </c>
      <c r="G4046" s="7"/>
      <c r="H4046" s="13" t="str">
        <f>IFERROR(IF(ABS($G4046)&gt;0,VLOOKUP($E4046,'Fuel Category and Heat Rate'!$B$1:$G$34,6,FALSE)*($G4046),""),"")</f>
        <v/>
      </c>
      <c r="I4046" t="str">
        <f>IFERROR(VLOOKUP($E4046,'Fuel Category and Heat Rate'!$K$2:$M$36,3,FALSE),"")</f>
        <v>heavy or residual fuel oil</v>
      </c>
    </row>
    <row r="4047" spans="1:9" x14ac:dyDescent="0.15">
      <c r="A4047" s="2">
        <v>461837</v>
      </c>
      <c r="B4047" s="2" t="s">
        <v>90</v>
      </c>
      <c r="C4047" s="2">
        <v>2021</v>
      </c>
      <c r="D4047" s="2" t="s">
        <v>1</v>
      </c>
      <c r="E4047" s="2" t="s">
        <v>5</v>
      </c>
      <c r="F4047" s="2" t="s">
        <v>35</v>
      </c>
      <c r="G4047" s="7"/>
      <c r="H4047" s="13" t="str">
        <f>IFERROR(IF(ABS($G4047)&gt;0,VLOOKUP($E4047,'Fuel Category and Heat Rate'!$B$1:$G$34,6,FALSE)*($G4047),""),"")</f>
        <v/>
      </c>
      <c r="I4047" t="str">
        <f>IFERROR(VLOOKUP($E4047,'Fuel Category and Heat Rate'!$K$2:$M$36,3,FALSE),"")</f>
        <v>coal</v>
      </c>
    </row>
    <row r="4048" spans="1:9" x14ac:dyDescent="0.15">
      <c r="A4048" s="2">
        <v>461872</v>
      </c>
      <c r="B4048" s="2" t="s">
        <v>90</v>
      </c>
      <c r="C4048" s="2">
        <v>2021</v>
      </c>
      <c r="D4048" s="2" t="s">
        <v>1</v>
      </c>
      <c r="E4048" s="2" t="s">
        <v>16</v>
      </c>
      <c r="F4048" s="2" t="s">
        <v>35</v>
      </c>
      <c r="G4048" s="7"/>
      <c r="H4048" s="13" t="str">
        <f>IFERROR(IF(ABS($G4048)&gt;0,VLOOKUP($E4048,'Fuel Category and Heat Rate'!$B$1:$G$34,6,FALSE)*($G4048),""),"")</f>
        <v/>
      </c>
      <c r="I4048" t="str">
        <f>IFERROR(VLOOKUP($E4048,'Fuel Category and Heat Rate'!$K$2:$M$36,3,FALSE),"")</f>
        <v>petroleum diesel</v>
      </c>
    </row>
    <row r="4049" spans="1:9" x14ac:dyDescent="0.15">
      <c r="A4049" s="2">
        <v>461907</v>
      </c>
      <c r="B4049" s="2" t="s">
        <v>90</v>
      </c>
      <c r="C4049" s="2">
        <v>2021</v>
      </c>
      <c r="D4049" s="2" t="s">
        <v>1</v>
      </c>
      <c r="E4049" s="2" t="s">
        <v>19</v>
      </c>
      <c r="F4049" s="2" t="s">
        <v>35</v>
      </c>
      <c r="G4049" s="7">
        <v>-6.64</v>
      </c>
      <c r="H4049" s="13">
        <f>IFERROR(IF(ABS($G4049)&gt;0,VLOOKUP($E4049,'Fuel Category and Heat Rate'!$B$1:$G$34,6,FALSE)*($G4049),""),"")</f>
        <v>-2631692341215.8701</v>
      </c>
      <c r="I4049" t="str">
        <f>IFERROR(VLOOKUP($E4049,'Fuel Category and Heat Rate'!$K$2:$M$36,3,FALSE),"")</f>
        <v>heavy or residual fuel oil</v>
      </c>
    </row>
    <row r="4050" spans="1:9" x14ac:dyDescent="0.15">
      <c r="A4050" s="2">
        <v>461942</v>
      </c>
      <c r="B4050" s="2" t="s">
        <v>90</v>
      </c>
      <c r="C4050" s="2">
        <v>2021</v>
      </c>
      <c r="D4050" s="2" t="s">
        <v>1</v>
      </c>
      <c r="E4050" s="2" t="s">
        <v>31</v>
      </c>
      <c r="F4050" s="2" t="s">
        <v>37</v>
      </c>
      <c r="G4050" s="7">
        <v>7546.37</v>
      </c>
      <c r="H4050" s="13">
        <f>IFERROR(IF(ABS($G4050)&gt;0,VLOOKUP($E4050,'Fuel Category and Heat Rate'!$B$1:$G$34,6,FALSE)*($G4050),""),"")</f>
        <v>71525786999806.688</v>
      </c>
      <c r="I4050" t="str">
        <f>IFERROR(VLOOKUP($E4050,'Fuel Category and Heat Rate'!$K$2:$M$36,3,FALSE),"")</f>
        <v>heat</v>
      </c>
    </row>
    <row r="4051" spans="1:9" x14ac:dyDescent="0.15">
      <c r="A4051" s="2">
        <v>461977</v>
      </c>
      <c r="B4051" s="2" t="s">
        <v>90</v>
      </c>
      <c r="C4051" s="2">
        <v>2021</v>
      </c>
      <c r="D4051" s="2" t="s">
        <v>1</v>
      </c>
      <c r="E4051" s="2" t="s">
        <v>23</v>
      </c>
      <c r="F4051" s="2" t="s">
        <v>35</v>
      </c>
      <c r="G4051" s="7"/>
      <c r="H4051" s="13" t="str">
        <f>IFERROR(IF(ABS($G4051)&gt;0,VLOOKUP($E4051,'Fuel Category and Heat Rate'!$B$1:$G$34,6,FALSE)*($G4051),""),"")</f>
        <v/>
      </c>
      <c r="I4051" t="str">
        <f>IFERROR(VLOOKUP($E4051,'Fuel Category and Heat Rate'!$K$2:$M$36,3,FALSE),"")</f>
        <v>heavy or residual fuel oil</v>
      </c>
    </row>
    <row r="4052" spans="1:9" x14ac:dyDescent="0.15">
      <c r="A4052" s="2">
        <v>462012</v>
      </c>
      <c r="B4052" s="2" t="s">
        <v>90</v>
      </c>
      <c r="C4052" s="2">
        <v>2021</v>
      </c>
      <c r="D4052" s="2" t="s">
        <v>1</v>
      </c>
      <c r="E4052" s="2" t="s">
        <v>21</v>
      </c>
      <c r="F4052" s="2" t="s">
        <v>35</v>
      </c>
      <c r="G4052" s="7"/>
      <c r="H4052" s="13" t="str">
        <f>IFERROR(IF(ABS($G4052)&gt;0,VLOOKUP($E4052,'Fuel Category and Heat Rate'!$B$1:$G$34,6,FALSE)*($G4052),""),"")</f>
        <v/>
      </c>
      <c r="I4052" t="str">
        <f>IFERROR(VLOOKUP($E4052,'Fuel Category and Heat Rate'!$K$2:$M$36,3,FALSE),"")</f>
        <v>LPG propane or butane</v>
      </c>
    </row>
    <row r="4053" spans="1:9" x14ac:dyDescent="0.15">
      <c r="A4053" s="2">
        <v>462047</v>
      </c>
      <c r="B4053" s="2" t="s">
        <v>90</v>
      </c>
      <c r="C4053" s="2">
        <v>2021</v>
      </c>
      <c r="D4053" s="2" t="s">
        <v>1</v>
      </c>
      <c r="E4053" s="2" t="s">
        <v>22</v>
      </c>
      <c r="F4053" s="2" t="s">
        <v>35</v>
      </c>
      <c r="G4053" s="7"/>
      <c r="H4053" s="13" t="str">
        <f>IFERROR(IF(ABS($G4053)&gt;0,VLOOKUP($E4053,'Fuel Category and Heat Rate'!$B$1:$G$34,6,FALSE)*($G4053),""),"")</f>
        <v/>
      </c>
      <c r="I4053" t="str">
        <f>IFERROR(VLOOKUP($E4053,'Fuel Category and Heat Rate'!$K$2:$M$36,3,FALSE),"")</f>
        <v>heavy fuel oil</v>
      </c>
    </row>
    <row r="4054" spans="1:9" x14ac:dyDescent="0.15">
      <c r="A4054" s="2">
        <v>462082</v>
      </c>
      <c r="B4054" s="2" t="s">
        <v>90</v>
      </c>
      <c r="C4054" s="2">
        <v>2021</v>
      </c>
      <c r="D4054" s="2" t="s">
        <v>1</v>
      </c>
      <c r="E4054" s="2" t="s">
        <v>20</v>
      </c>
      <c r="F4054" s="2" t="s">
        <v>35</v>
      </c>
      <c r="G4054" s="7"/>
      <c r="H4054" s="13" t="str">
        <f>IFERROR(IF(ABS($G4054)&gt;0,VLOOKUP($E4054,'Fuel Category and Heat Rate'!$B$1:$G$34,6,FALSE)*($G4054),""),"")</f>
        <v/>
      </c>
      <c r="I4054" t="str">
        <f>IFERROR(VLOOKUP($E4054,'Fuel Category and Heat Rate'!$K$2:$M$36,3,FALSE),"")</f>
        <v>LPG propane or butane</v>
      </c>
    </row>
    <row r="4055" spans="1:9" x14ac:dyDescent="0.15">
      <c r="A4055" s="2">
        <v>462117</v>
      </c>
      <c r="B4055" s="2" t="s">
        <v>90</v>
      </c>
      <c r="C4055" s="2">
        <v>2021</v>
      </c>
      <c r="D4055" s="2" t="s">
        <v>1</v>
      </c>
      <c r="E4055" s="2" t="s">
        <v>25</v>
      </c>
      <c r="F4055" s="2" t="s">
        <v>35</v>
      </c>
      <c r="G4055" s="7"/>
      <c r="H4055" s="13" t="str">
        <f>IFERROR(IF(ABS($G4055)&gt;0,VLOOKUP($E4055,'Fuel Category and Heat Rate'!$B$1:$G$34,6,FALSE)*($G4055),""),"")</f>
        <v/>
      </c>
      <c r="I4055" t="str">
        <f>IFERROR(VLOOKUP($E4055,'Fuel Category and Heat Rate'!$K$2:$M$36,3,FALSE),"")</f>
        <v>heavy fuel oil</v>
      </c>
    </row>
    <row r="4056" spans="1:9" x14ac:dyDescent="0.15">
      <c r="A4056" s="2">
        <v>462152</v>
      </c>
      <c r="B4056" s="2" t="s">
        <v>90</v>
      </c>
      <c r="C4056" s="2">
        <v>2021</v>
      </c>
      <c r="D4056" s="2" t="s">
        <v>1</v>
      </c>
      <c r="E4056" s="2" t="s">
        <v>24</v>
      </c>
      <c r="F4056" s="2" t="s">
        <v>35</v>
      </c>
      <c r="G4056" s="7"/>
      <c r="H4056" s="13" t="str">
        <f>IFERROR(IF(ABS($G4056)&gt;0,VLOOKUP($E4056,'Fuel Category and Heat Rate'!$B$1:$G$34,6,FALSE)*($G4056),""),"")</f>
        <v/>
      </c>
      <c r="I4056" t="str">
        <f>IFERROR(VLOOKUP($E4056,'Fuel Category and Heat Rate'!$K$2:$M$36,3,FALSE),"")</f>
        <v>heavy fuel oil</v>
      </c>
    </row>
    <row r="4057" spans="1:9" x14ac:dyDescent="0.15">
      <c r="A4057" s="2">
        <v>462187</v>
      </c>
      <c r="B4057" s="2" t="s">
        <v>90</v>
      </c>
      <c r="C4057" s="2">
        <v>2021</v>
      </c>
      <c r="D4057" s="2" t="s">
        <v>1</v>
      </c>
      <c r="E4057" s="2" t="s">
        <v>29</v>
      </c>
      <c r="F4057" s="2" t="s">
        <v>36</v>
      </c>
      <c r="G4057" s="7">
        <v>-4.7</v>
      </c>
      <c r="H4057" s="13">
        <f>IFERROR(IF(ABS($G4057)&gt;0,VLOOKUP($E4057,'Fuel Category and Heat Rate'!$B$1:$G$34,6,FALSE)*($G4057),""),"")</f>
        <v>-15851971248725.838</v>
      </c>
      <c r="I4057" t="str">
        <f>IFERROR(VLOOKUP($E4057,'Fuel Category and Heat Rate'!$K$2:$M$36,3,FALSE),"")</f>
        <v>natural gas</v>
      </c>
    </row>
    <row r="4058" spans="1:9" x14ac:dyDescent="0.15">
      <c r="A4058" s="2">
        <v>462222</v>
      </c>
      <c r="B4058" s="2" t="s">
        <v>90</v>
      </c>
      <c r="C4058" s="2">
        <v>2021</v>
      </c>
      <c r="D4058" s="2" t="s">
        <v>1</v>
      </c>
      <c r="E4058" s="2" t="s">
        <v>4</v>
      </c>
      <c r="F4058" s="2" t="s">
        <v>35</v>
      </c>
      <c r="G4058" s="7"/>
      <c r="H4058" s="13" t="str">
        <f>IFERROR(IF(ABS($G4058)&gt;0,VLOOKUP($E4058,'Fuel Category and Heat Rate'!$B$1:$G$34,6,FALSE)*($G4058),""),"")</f>
        <v/>
      </c>
      <c r="I4058" t="str">
        <f>IFERROR(VLOOKUP($E4058,'Fuel Category and Heat Rate'!$K$2:$M$36,3,FALSE),"")</f>
        <v>coal</v>
      </c>
    </row>
    <row r="4059" spans="1:9" x14ac:dyDescent="0.15">
      <c r="A4059" s="2">
        <v>462257</v>
      </c>
      <c r="B4059" s="2" t="s">
        <v>90</v>
      </c>
      <c r="C4059" s="2">
        <v>2021</v>
      </c>
      <c r="D4059" s="2" t="s">
        <v>1</v>
      </c>
      <c r="E4059" s="2" t="s">
        <v>6</v>
      </c>
      <c r="F4059" s="2" t="s">
        <v>35</v>
      </c>
      <c r="G4059" s="7"/>
      <c r="H4059" s="13" t="str">
        <f>IFERROR(IF(ABS($G4059)&gt;0,VLOOKUP($E4059,'Fuel Category and Heat Rate'!$B$1:$G$34,6,FALSE)*($G4059),""),"")</f>
        <v/>
      </c>
      <c r="I4059" t="str">
        <f>IFERROR(VLOOKUP($E4059,'Fuel Category and Heat Rate'!$K$2:$M$36,3,FALSE),"")</f>
        <v>coal</v>
      </c>
    </row>
    <row r="4060" spans="1:9" x14ac:dyDescent="0.15">
      <c r="A4060" s="2">
        <v>462292</v>
      </c>
      <c r="B4060" s="2" t="s">
        <v>90</v>
      </c>
      <c r="C4060" s="2">
        <v>2021</v>
      </c>
      <c r="D4060" s="2" t="s">
        <v>1</v>
      </c>
      <c r="E4060" s="2" t="s">
        <v>26</v>
      </c>
      <c r="F4060" s="2" t="s">
        <v>35</v>
      </c>
      <c r="G4060" s="7"/>
      <c r="H4060" s="13" t="str">
        <f>IFERROR(IF(ABS($G4060)&gt;0,VLOOKUP($E4060,'Fuel Category and Heat Rate'!$B$1:$G$34,6,FALSE)*($G4060),""),"")</f>
        <v/>
      </c>
      <c r="I4060" t="str">
        <f>IFERROR(VLOOKUP($E4060,'Fuel Category and Heat Rate'!$K$2:$M$36,3,FALSE),"")</f>
        <v>LPG propane or butane</v>
      </c>
    </row>
    <row r="4061" spans="1:9" x14ac:dyDescent="0.15">
      <c r="A4061" s="2">
        <v>462327</v>
      </c>
      <c r="B4061" s="2" t="s">
        <v>90</v>
      </c>
      <c r="C4061" s="2">
        <v>2021</v>
      </c>
      <c r="D4061" s="2" t="s">
        <v>1</v>
      </c>
      <c r="E4061" s="2" t="s">
        <v>30</v>
      </c>
      <c r="F4061" s="2" t="s">
        <v>35</v>
      </c>
      <c r="G4061" s="7">
        <v>-0.22</v>
      </c>
      <c r="H4061" s="13">
        <f>IFERROR(IF(ABS($G4061)&gt;0,VLOOKUP($E4061,'Fuel Category and Heat Rate'!$B$1:$G$34,6,FALSE)*($G4061),""),"")</f>
        <v>-107250056951.96138</v>
      </c>
      <c r="I4061" t="str">
        <f>IFERROR(VLOOKUP($E4061,'Fuel Category and Heat Rate'!$K$2:$M$36,3,FALSE),"")</f>
        <v>natural gas</v>
      </c>
    </row>
    <row r="4062" spans="1:9" x14ac:dyDescent="0.15">
      <c r="A4062" s="2">
        <v>462362</v>
      </c>
      <c r="B4062" s="2" t="s">
        <v>90</v>
      </c>
      <c r="C4062" s="2">
        <v>2021</v>
      </c>
      <c r="D4062" s="2" t="s">
        <v>1</v>
      </c>
      <c r="E4062" s="2" t="s">
        <v>14</v>
      </c>
      <c r="F4062" s="2" t="s">
        <v>35</v>
      </c>
      <c r="G4062" s="7">
        <v>-16.559999999999999</v>
      </c>
      <c r="H4062" s="13">
        <f>IFERROR(IF(ABS($G4062)&gt;0,VLOOKUP($E4062,'Fuel Category and Heat Rate'!$B$1:$G$34,6,FALSE)*($G4062),""),"")</f>
        <v>0</v>
      </c>
      <c r="I4062" t="str">
        <f>IFERROR(VLOOKUP($E4062,'Fuel Category and Heat Rate'!$K$2:$M$36,3,FALSE),"")</f>
        <v/>
      </c>
    </row>
    <row r="4063" spans="1:9" x14ac:dyDescent="0.15">
      <c r="A4063" s="2">
        <v>462397</v>
      </c>
      <c r="B4063" s="2" t="s">
        <v>90</v>
      </c>
      <c r="C4063" s="2">
        <v>2021</v>
      </c>
      <c r="D4063" s="2" t="s">
        <v>1</v>
      </c>
      <c r="E4063" s="2" t="s">
        <v>3</v>
      </c>
      <c r="F4063" s="2" t="s">
        <v>35</v>
      </c>
      <c r="G4063" s="7">
        <v>-336.6</v>
      </c>
      <c r="H4063" s="13">
        <f>IFERROR(IF(ABS($G4063)&gt;0,VLOOKUP($E4063,'Fuel Category and Heat Rate'!$B$1:$G$34,6,FALSE)*($G4063),""),"")</f>
        <v>-66703888708829.969</v>
      </c>
      <c r="I4063" t="str">
        <f>IFERROR(VLOOKUP($E4063,'Fuel Category and Heat Rate'!$K$2:$M$36,3,FALSE),"")</f>
        <v>coal</v>
      </c>
    </row>
    <row r="4064" spans="1:9" x14ac:dyDescent="0.15">
      <c r="A4064" s="2">
        <v>462432</v>
      </c>
      <c r="B4064" s="2" t="s">
        <v>90</v>
      </c>
      <c r="C4064" s="2">
        <v>2021</v>
      </c>
      <c r="D4064" s="2" t="s">
        <v>1</v>
      </c>
      <c r="E4064" s="2" t="s">
        <v>15</v>
      </c>
      <c r="F4064" s="2" t="s">
        <v>35</v>
      </c>
      <c r="G4064" s="7"/>
      <c r="H4064" s="13" t="str">
        <f>IFERROR(IF(ABS($G4064)&gt;0,VLOOKUP($E4064,'Fuel Category and Heat Rate'!$B$1:$G$34,6,FALSE)*($G4064),""),"")</f>
        <v/>
      </c>
      <c r="I4064" t="str">
        <f>IFERROR(VLOOKUP($E4064,'Fuel Category and Heat Rate'!$K$2:$M$36,3,FALSE),"")</f>
        <v>crude oil</v>
      </c>
    </row>
    <row r="4065" spans="1:9" x14ac:dyDescent="0.15">
      <c r="A4065" s="2">
        <v>462467</v>
      </c>
      <c r="B4065" s="2" t="s">
        <v>90</v>
      </c>
      <c r="C4065" s="2">
        <v>2021</v>
      </c>
      <c r="D4065" s="2" t="s">
        <v>1</v>
      </c>
      <c r="E4065" s="2" t="s">
        <v>11</v>
      </c>
      <c r="F4065" s="2" t="s">
        <v>36</v>
      </c>
      <c r="G4065" s="7"/>
      <c r="H4065" s="13" t="str">
        <f>IFERROR(IF(ABS($G4065)&gt;0,VLOOKUP($E4065,'Fuel Category and Heat Rate'!$B$1:$G$34,6,FALSE)*($G4065),""),"")</f>
        <v/>
      </c>
      <c r="I4065" t="str">
        <f>IFERROR(VLOOKUP($E4065,'Fuel Category and Heat Rate'!$K$2:$M$36,3,FALSE),"")</f>
        <v>LPG propane or butane</v>
      </c>
    </row>
    <row r="4066" spans="1:9" x14ac:dyDescent="0.15">
      <c r="A4066" s="2">
        <v>462502</v>
      </c>
      <c r="B4066" s="2" t="s">
        <v>90</v>
      </c>
      <c r="C4066" s="2">
        <v>2020</v>
      </c>
      <c r="D4066" s="2" t="s">
        <v>1</v>
      </c>
      <c r="E4066" s="2" t="s">
        <v>18</v>
      </c>
      <c r="F4066" s="2" t="s">
        <v>35</v>
      </c>
      <c r="G4066" s="7"/>
      <c r="H4066" s="13" t="str">
        <f>IFERROR(IF(ABS($G4066)&gt;0,VLOOKUP($E4066,'Fuel Category and Heat Rate'!$B$1:$G$34,6,FALSE)*($G4066),""),"")</f>
        <v/>
      </c>
      <c r="I4066" t="str">
        <f>IFERROR(VLOOKUP($E4066,'Fuel Category and Heat Rate'!$K$2:$M$36,3,FALSE),"")</f>
        <v>petroleum diesel</v>
      </c>
    </row>
    <row r="4067" spans="1:9" x14ac:dyDescent="0.15">
      <c r="A4067" s="2">
        <v>462537</v>
      </c>
      <c r="B4067" s="2" t="s">
        <v>90</v>
      </c>
      <c r="C4067" s="2">
        <v>2020</v>
      </c>
      <c r="D4067" s="2" t="s">
        <v>1</v>
      </c>
      <c r="E4067" s="2" t="s">
        <v>32</v>
      </c>
      <c r="F4067" s="2" t="s">
        <v>65</v>
      </c>
      <c r="G4067" s="7"/>
      <c r="H4067" s="13" t="str">
        <f>IFERROR(IF(ABS($G4067)&gt;0,VLOOKUP($E4067,'Fuel Category and Heat Rate'!$B$1:$G$34,6,FALSE)*($G4067),""),"")</f>
        <v/>
      </c>
      <c r="I4067" t="str">
        <f>IFERROR(VLOOKUP($E4067,'Fuel Category and Heat Rate'!$K$2:$M$36,3,FALSE),"")</f>
        <v>electricity</v>
      </c>
    </row>
    <row r="4068" spans="1:9" x14ac:dyDescent="0.15">
      <c r="A4068" s="2">
        <v>462572</v>
      </c>
      <c r="B4068" s="2" t="s">
        <v>90</v>
      </c>
      <c r="C4068" s="2">
        <v>2020</v>
      </c>
      <c r="D4068" s="2" t="s">
        <v>1</v>
      </c>
      <c r="E4068" s="2" t="s">
        <v>10</v>
      </c>
      <c r="F4068" s="2" t="s">
        <v>36</v>
      </c>
      <c r="G4068" s="7">
        <v>-14.4</v>
      </c>
      <c r="H4068" s="13">
        <f>IFERROR(IF(ABS($G4068)&gt;0,VLOOKUP($E4068,'Fuel Category and Heat Rate'!$B$1:$G$34,6,FALSE)*($G4068),""),"")</f>
        <v>-5135955598938.1982</v>
      </c>
      <c r="I4068" t="str">
        <f>IFERROR(VLOOKUP($E4068,'Fuel Category and Heat Rate'!$K$2:$M$36,3,FALSE),"")</f>
        <v>LPG propane or butane</v>
      </c>
    </row>
    <row r="4069" spans="1:9" x14ac:dyDescent="0.15">
      <c r="A4069" s="2">
        <v>462607</v>
      </c>
      <c r="B4069" s="2" t="s">
        <v>90</v>
      </c>
      <c r="C4069" s="2">
        <v>2020</v>
      </c>
      <c r="D4069" s="2" t="s">
        <v>1</v>
      </c>
      <c r="E4069" s="2" t="s">
        <v>9</v>
      </c>
      <c r="F4069" s="2" t="s">
        <v>36</v>
      </c>
      <c r="G4069" s="7">
        <v>-2.6</v>
      </c>
      <c r="H4069" s="13">
        <f>IFERROR(IF(ABS($G4069)&gt;0,VLOOKUP($E4069,'Fuel Category and Heat Rate'!$B$1:$G$34,6,FALSE)*($G4069),""),"")</f>
        <v>-4276465553932.5244</v>
      </c>
      <c r="I4069" t="str">
        <f>IFERROR(VLOOKUP($E4069,'Fuel Category and Heat Rate'!$K$2:$M$36,3,FALSE),"")</f>
        <v>LPG propane or butane</v>
      </c>
    </row>
    <row r="4070" spans="1:9" x14ac:dyDescent="0.15">
      <c r="A4070" s="2">
        <v>462642</v>
      </c>
      <c r="B4070" s="2" t="s">
        <v>90</v>
      </c>
      <c r="C4070" s="2">
        <v>2020</v>
      </c>
      <c r="D4070" s="2" t="s">
        <v>1</v>
      </c>
      <c r="E4070" s="2" t="s">
        <v>8</v>
      </c>
      <c r="F4070" s="2" t="s">
        <v>35</v>
      </c>
      <c r="G4070" s="7"/>
      <c r="H4070" s="13" t="str">
        <f>IFERROR(IF(ABS($G4070)&gt;0,VLOOKUP($E4070,'Fuel Category and Heat Rate'!$B$1:$G$34,6,FALSE)*($G4070),""),"")</f>
        <v/>
      </c>
      <c r="I4070" t="str">
        <f>IFERROR(VLOOKUP($E4070,'Fuel Category and Heat Rate'!$K$2:$M$36,3,FALSE),"")</f>
        <v>coal</v>
      </c>
    </row>
    <row r="4071" spans="1:9" x14ac:dyDescent="0.15">
      <c r="A4071" s="2">
        <v>462677</v>
      </c>
      <c r="B4071" s="2" t="s">
        <v>90</v>
      </c>
      <c r="C4071" s="2">
        <v>2020</v>
      </c>
      <c r="D4071" s="2" t="s">
        <v>1</v>
      </c>
      <c r="E4071" s="2" t="s">
        <v>27</v>
      </c>
      <c r="F4071" s="2" t="s">
        <v>35</v>
      </c>
      <c r="G4071" s="7">
        <v>-9.01</v>
      </c>
      <c r="H4071" s="13">
        <f>IFERROR(IF(ABS($G4071)&gt;0,VLOOKUP($E4071,'Fuel Category and Heat Rate'!$B$1:$G$34,6,FALSE)*($G4071),""),"")</f>
        <v>-3928152049960.1987</v>
      </c>
      <c r="I4071" t="str">
        <f>IFERROR(VLOOKUP($E4071,'Fuel Category and Heat Rate'!$K$2:$M$36,3,FALSE),"")</f>
        <v>LPG propane or butane</v>
      </c>
    </row>
    <row r="4072" spans="1:9" x14ac:dyDescent="0.15">
      <c r="A4072" s="2">
        <v>462712</v>
      </c>
      <c r="B4072" s="2" t="s">
        <v>90</v>
      </c>
      <c r="C4072" s="2">
        <v>2020</v>
      </c>
      <c r="D4072" s="2" t="s">
        <v>1</v>
      </c>
      <c r="E4072" s="2" t="s">
        <v>7</v>
      </c>
      <c r="F4072" s="2" t="s">
        <v>35</v>
      </c>
      <c r="G4072" s="7">
        <v>-6.78</v>
      </c>
      <c r="H4072" s="13">
        <f>IFERROR(IF(ABS($G4072)&gt;0,VLOOKUP($E4072,'Fuel Category and Heat Rate'!$B$1:$G$34,6,FALSE)*($G4072),""),"")</f>
        <v>-538129995677.48004</v>
      </c>
      <c r="I4072" t="str">
        <f>IFERROR(VLOOKUP($E4072,'Fuel Category and Heat Rate'!$K$2:$M$36,3,FALSE),"")</f>
        <v>coal</v>
      </c>
    </row>
    <row r="4073" spans="1:9" x14ac:dyDescent="0.15">
      <c r="A4073" s="2">
        <v>462747</v>
      </c>
      <c r="B4073" s="2" t="s">
        <v>90</v>
      </c>
      <c r="C4073" s="2">
        <v>2020</v>
      </c>
      <c r="D4073" s="2" t="s">
        <v>1</v>
      </c>
      <c r="E4073" s="2" t="s">
        <v>2</v>
      </c>
      <c r="F4073" s="2" t="s">
        <v>35</v>
      </c>
      <c r="G4073" s="7">
        <v>-383.59</v>
      </c>
      <c r="H4073" s="13">
        <f>IFERROR(IF(ABS($G4073)&gt;0,VLOOKUP($E4073,'Fuel Category and Heat Rate'!$B$1:$G$34,6,FALSE)*($G4073),""),"")</f>
        <v>0</v>
      </c>
      <c r="I4073" t="str">
        <f>IFERROR(VLOOKUP($E4073,'Fuel Category and Heat Rate'!$K$2:$M$36,3,FALSE),"")</f>
        <v/>
      </c>
    </row>
    <row r="4074" spans="1:9" x14ac:dyDescent="0.15">
      <c r="A4074" s="2">
        <v>462782</v>
      </c>
      <c r="B4074" s="2" t="s">
        <v>90</v>
      </c>
      <c r="C4074" s="2">
        <v>2020</v>
      </c>
      <c r="D4074" s="2" t="s">
        <v>1</v>
      </c>
      <c r="E4074" s="2" t="s">
        <v>17</v>
      </c>
      <c r="F4074" s="2" t="s">
        <v>35</v>
      </c>
      <c r="G4074" s="7"/>
      <c r="H4074" s="13" t="str">
        <f>IFERROR(IF(ABS($G4074)&gt;0,VLOOKUP($E4074,'Fuel Category and Heat Rate'!$B$1:$G$34,6,FALSE)*($G4074),""),"")</f>
        <v/>
      </c>
      <c r="I4074" t="str">
        <f>IFERROR(VLOOKUP($E4074,'Fuel Category and Heat Rate'!$K$2:$M$36,3,FALSE),"")</f>
        <v>petroleum diesel</v>
      </c>
    </row>
    <row r="4075" spans="1:9" x14ac:dyDescent="0.15">
      <c r="A4075" s="2">
        <v>462817</v>
      </c>
      <c r="B4075" s="2" t="s">
        <v>90</v>
      </c>
      <c r="C4075" s="2">
        <v>2020</v>
      </c>
      <c r="D4075" s="2" t="s">
        <v>1</v>
      </c>
      <c r="E4075" s="2" t="s">
        <v>13</v>
      </c>
      <c r="F4075" s="2" t="s">
        <v>35</v>
      </c>
      <c r="G4075" s="7"/>
      <c r="H4075" s="13" t="str">
        <f>IFERROR(IF(ABS($G4075)&gt;0,VLOOKUP($E4075,'Fuel Category and Heat Rate'!$B$1:$G$34,6,FALSE)*($G4075),""),"")</f>
        <v/>
      </c>
      <c r="I4075" t="str">
        <f>IFERROR(VLOOKUP($E4075,'Fuel Category and Heat Rate'!$K$2:$M$36,3,FALSE),"")</f>
        <v>petroleum diesel</v>
      </c>
    </row>
    <row r="4076" spans="1:9" x14ac:dyDescent="0.15">
      <c r="A4076" s="2">
        <v>462852</v>
      </c>
      <c r="B4076" s="2" t="s">
        <v>90</v>
      </c>
      <c r="C4076" s="2">
        <v>2020</v>
      </c>
      <c r="D4076" s="2" t="s">
        <v>1</v>
      </c>
      <c r="E4076" s="2" t="s">
        <v>12</v>
      </c>
      <c r="F4076" s="2" t="s">
        <v>36</v>
      </c>
      <c r="G4076" s="7"/>
      <c r="H4076" s="13" t="str">
        <f>IFERROR(IF(ABS($G4076)&gt;0,VLOOKUP($E4076,'Fuel Category and Heat Rate'!$B$1:$G$34,6,FALSE)*($G4076),""),"")</f>
        <v/>
      </c>
      <c r="I4076" t="str">
        <f>IFERROR(VLOOKUP($E4076,'Fuel Category and Heat Rate'!$K$2:$M$36,3,FALSE),"")</f>
        <v>LPG propane or butane</v>
      </c>
    </row>
    <row r="4077" spans="1:9" x14ac:dyDescent="0.15">
      <c r="A4077" s="2">
        <v>462887</v>
      </c>
      <c r="B4077" s="2" t="s">
        <v>90</v>
      </c>
      <c r="C4077" s="2">
        <v>2020</v>
      </c>
      <c r="D4077" s="2" t="s">
        <v>1</v>
      </c>
      <c r="E4077" s="2" t="s">
        <v>33</v>
      </c>
      <c r="F4077" s="2" t="s">
        <v>38</v>
      </c>
      <c r="G4077" s="7">
        <v>-0.98</v>
      </c>
      <c r="H4077" s="13">
        <f>IFERROR(IF(ABS($G4077)&gt;0,VLOOKUP($E4077,'Fuel Category and Heat Rate'!$B$1:$G$34,6,FALSE)*($G4077),""),"")</f>
        <v>-271886838976.34421</v>
      </c>
      <c r="I4077" t="str">
        <f>IFERROR(VLOOKUP($E4077,'Fuel Category and Heat Rate'!$K$2:$M$36,3,FALSE),"")</f>
        <v>biomass</v>
      </c>
    </row>
    <row r="4078" spans="1:9" x14ac:dyDescent="0.15">
      <c r="A4078" s="2">
        <v>462922</v>
      </c>
      <c r="B4078" s="2" t="s">
        <v>90</v>
      </c>
      <c r="C4078" s="2">
        <v>2020</v>
      </c>
      <c r="D4078" s="2" t="s">
        <v>1</v>
      </c>
      <c r="E4078" s="2" t="s">
        <v>28</v>
      </c>
      <c r="F4078" s="2" t="s">
        <v>35</v>
      </c>
      <c r="G4078" s="7"/>
      <c r="H4078" s="13" t="str">
        <f>IFERROR(IF(ABS($G4078)&gt;0,VLOOKUP($E4078,'Fuel Category and Heat Rate'!$B$1:$G$34,6,FALSE)*($G4078),""),"")</f>
        <v/>
      </c>
      <c r="I4078" t="str">
        <f>IFERROR(VLOOKUP($E4078,'Fuel Category and Heat Rate'!$K$2:$M$36,3,FALSE),"")</f>
        <v>heavy or residual fuel oil</v>
      </c>
    </row>
    <row r="4079" spans="1:9" x14ac:dyDescent="0.15">
      <c r="A4079" s="2">
        <v>462957</v>
      </c>
      <c r="B4079" s="2" t="s">
        <v>90</v>
      </c>
      <c r="C4079" s="2">
        <v>2020</v>
      </c>
      <c r="D4079" s="2" t="s">
        <v>1</v>
      </c>
      <c r="E4079" s="2" t="s">
        <v>5</v>
      </c>
      <c r="F4079" s="2" t="s">
        <v>35</v>
      </c>
      <c r="G4079" s="7"/>
      <c r="H4079" s="13" t="str">
        <f>IFERROR(IF(ABS($G4079)&gt;0,VLOOKUP($E4079,'Fuel Category and Heat Rate'!$B$1:$G$34,6,FALSE)*($G4079),""),"")</f>
        <v/>
      </c>
      <c r="I4079" t="str">
        <f>IFERROR(VLOOKUP($E4079,'Fuel Category and Heat Rate'!$K$2:$M$36,3,FALSE),"")</f>
        <v>coal</v>
      </c>
    </row>
    <row r="4080" spans="1:9" x14ac:dyDescent="0.15">
      <c r="A4080" s="2">
        <v>462992</v>
      </c>
      <c r="B4080" s="2" t="s">
        <v>90</v>
      </c>
      <c r="C4080" s="2">
        <v>2020</v>
      </c>
      <c r="D4080" s="2" t="s">
        <v>1</v>
      </c>
      <c r="E4080" s="2" t="s">
        <v>16</v>
      </c>
      <c r="F4080" s="2" t="s">
        <v>35</v>
      </c>
      <c r="G4080" s="7"/>
      <c r="H4080" s="13" t="str">
        <f>IFERROR(IF(ABS($G4080)&gt;0,VLOOKUP($E4080,'Fuel Category and Heat Rate'!$B$1:$G$34,6,FALSE)*($G4080),""),"")</f>
        <v/>
      </c>
      <c r="I4080" t="str">
        <f>IFERROR(VLOOKUP($E4080,'Fuel Category and Heat Rate'!$K$2:$M$36,3,FALSE),"")</f>
        <v>petroleum diesel</v>
      </c>
    </row>
    <row r="4081" spans="1:9" x14ac:dyDescent="0.15">
      <c r="A4081" s="2">
        <v>463027</v>
      </c>
      <c r="B4081" s="2" t="s">
        <v>90</v>
      </c>
      <c r="C4081" s="2">
        <v>2020</v>
      </c>
      <c r="D4081" s="2" t="s">
        <v>1</v>
      </c>
      <c r="E4081" s="2" t="s">
        <v>19</v>
      </c>
      <c r="F4081" s="2" t="s">
        <v>35</v>
      </c>
      <c r="G4081" s="7">
        <v>-8.8699999999999992</v>
      </c>
      <c r="H4081" s="13">
        <f>IFERROR(IF(ABS($G4081)&gt;0,VLOOKUP($E4081,'Fuel Category and Heat Rate'!$B$1:$G$34,6,FALSE)*($G4081),""),"")</f>
        <v>-3515528775088.0674</v>
      </c>
      <c r="I4081" t="str">
        <f>IFERROR(VLOOKUP($E4081,'Fuel Category and Heat Rate'!$K$2:$M$36,3,FALSE),"")</f>
        <v>heavy or residual fuel oil</v>
      </c>
    </row>
    <row r="4082" spans="1:9" x14ac:dyDescent="0.15">
      <c r="A4082" s="2">
        <v>463062</v>
      </c>
      <c r="B4082" s="2" t="s">
        <v>90</v>
      </c>
      <c r="C4082" s="2">
        <v>2020</v>
      </c>
      <c r="D4082" s="2" t="s">
        <v>1</v>
      </c>
      <c r="E4082" s="2" t="s">
        <v>31</v>
      </c>
      <c r="F4082" s="2" t="s">
        <v>37</v>
      </c>
      <c r="G4082" s="7">
        <v>7652.13</v>
      </c>
      <c r="H4082" s="13">
        <f>IFERROR(IF(ABS($G4082)&gt;0,VLOOKUP($E4082,'Fuel Category and Heat Rate'!$B$1:$G$34,6,FALSE)*($G4082),""),"")</f>
        <v>72528198388739.328</v>
      </c>
      <c r="I4082" t="str">
        <f>IFERROR(VLOOKUP($E4082,'Fuel Category and Heat Rate'!$K$2:$M$36,3,FALSE),"")</f>
        <v>heat</v>
      </c>
    </row>
    <row r="4083" spans="1:9" x14ac:dyDescent="0.15">
      <c r="A4083" s="2">
        <v>463097</v>
      </c>
      <c r="B4083" s="2" t="s">
        <v>90</v>
      </c>
      <c r="C4083" s="2">
        <v>2020</v>
      </c>
      <c r="D4083" s="2" t="s">
        <v>1</v>
      </c>
      <c r="E4083" s="2" t="s">
        <v>23</v>
      </c>
      <c r="F4083" s="2" t="s">
        <v>35</v>
      </c>
      <c r="G4083" s="7"/>
      <c r="H4083" s="13" t="str">
        <f>IFERROR(IF(ABS($G4083)&gt;0,VLOOKUP($E4083,'Fuel Category and Heat Rate'!$B$1:$G$34,6,FALSE)*($G4083),""),"")</f>
        <v/>
      </c>
      <c r="I4083" t="str">
        <f>IFERROR(VLOOKUP($E4083,'Fuel Category and Heat Rate'!$K$2:$M$36,3,FALSE),"")</f>
        <v>heavy or residual fuel oil</v>
      </c>
    </row>
    <row r="4084" spans="1:9" x14ac:dyDescent="0.15">
      <c r="A4084" s="2">
        <v>463132</v>
      </c>
      <c r="B4084" s="2" t="s">
        <v>90</v>
      </c>
      <c r="C4084" s="2">
        <v>2020</v>
      </c>
      <c r="D4084" s="2" t="s">
        <v>1</v>
      </c>
      <c r="E4084" s="2" t="s">
        <v>21</v>
      </c>
      <c r="F4084" s="2" t="s">
        <v>35</v>
      </c>
      <c r="G4084" s="7"/>
      <c r="H4084" s="13" t="str">
        <f>IFERROR(IF(ABS($G4084)&gt;0,VLOOKUP($E4084,'Fuel Category and Heat Rate'!$B$1:$G$34,6,FALSE)*($G4084),""),"")</f>
        <v/>
      </c>
      <c r="I4084" t="str">
        <f>IFERROR(VLOOKUP($E4084,'Fuel Category and Heat Rate'!$K$2:$M$36,3,FALSE),"")</f>
        <v>LPG propane or butane</v>
      </c>
    </row>
    <row r="4085" spans="1:9" x14ac:dyDescent="0.15">
      <c r="A4085" s="2">
        <v>463167</v>
      </c>
      <c r="B4085" s="2" t="s">
        <v>90</v>
      </c>
      <c r="C4085" s="2">
        <v>2020</v>
      </c>
      <c r="D4085" s="2" t="s">
        <v>1</v>
      </c>
      <c r="E4085" s="2" t="s">
        <v>22</v>
      </c>
      <c r="F4085" s="2" t="s">
        <v>35</v>
      </c>
      <c r="G4085" s="7"/>
      <c r="H4085" s="13" t="str">
        <f>IFERROR(IF(ABS($G4085)&gt;0,VLOOKUP($E4085,'Fuel Category and Heat Rate'!$B$1:$G$34,6,FALSE)*($G4085),""),"")</f>
        <v/>
      </c>
      <c r="I4085" t="str">
        <f>IFERROR(VLOOKUP($E4085,'Fuel Category and Heat Rate'!$K$2:$M$36,3,FALSE),"")</f>
        <v>heavy fuel oil</v>
      </c>
    </row>
    <row r="4086" spans="1:9" x14ac:dyDescent="0.15">
      <c r="A4086" s="2">
        <v>463202</v>
      </c>
      <c r="B4086" s="2" t="s">
        <v>90</v>
      </c>
      <c r="C4086" s="2">
        <v>2020</v>
      </c>
      <c r="D4086" s="2" t="s">
        <v>1</v>
      </c>
      <c r="E4086" s="2" t="s">
        <v>20</v>
      </c>
      <c r="F4086" s="2" t="s">
        <v>35</v>
      </c>
      <c r="G4086" s="7"/>
      <c r="H4086" s="13" t="str">
        <f>IFERROR(IF(ABS($G4086)&gt;0,VLOOKUP($E4086,'Fuel Category and Heat Rate'!$B$1:$G$34,6,FALSE)*($G4086),""),"")</f>
        <v/>
      </c>
      <c r="I4086" t="str">
        <f>IFERROR(VLOOKUP($E4086,'Fuel Category and Heat Rate'!$K$2:$M$36,3,FALSE),"")</f>
        <v>LPG propane or butane</v>
      </c>
    </row>
    <row r="4087" spans="1:9" x14ac:dyDescent="0.15">
      <c r="A4087" s="2">
        <v>463237</v>
      </c>
      <c r="B4087" s="2" t="s">
        <v>90</v>
      </c>
      <c r="C4087" s="2">
        <v>2020</v>
      </c>
      <c r="D4087" s="2" t="s">
        <v>1</v>
      </c>
      <c r="E4087" s="2" t="s">
        <v>25</v>
      </c>
      <c r="F4087" s="2" t="s">
        <v>35</v>
      </c>
      <c r="G4087" s="7"/>
      <c r="H4087" s="13" t="str">
        <f>IFERROR(IF(ABS($G4087)&gt;0,VLOOKUP($E4087,'Fuel Category and Heat Rate'!$B$1:$G$34,6,FALSE)*($G4087),""),"")</f>
        <v/>
      </c>
      <c r="I4087" t="str">
        <f>IFERROR(VLOOKUP($E4087,'Fuel Category and Heat Rate'!$K$2:$M$36,3,FALSE),"")</f>
        <v>heavy fuel oil</v>
      </c>
    </row>
    <row r="4088" spans="1:9" x14ac:dyDescent="0.15">
      <c r="A4088" s="2">
        <v>463272</v>
      </c>
      <c r="B4088" s="2" t="s">
        <v>90</v>
      </c>
      <c r="C4088" s="2">
        <v>2020</v>
      </c>
      <c r="D4088" s="2" t="s">
        <v>1</v>
      </c>
      <c r="E4088" s="2" t="s">
        <v>24</v>
      </c>
      <c r="F4088" s="2" t="s">
        <v>35</v>
      </c>
      <c r="G4088" s="7"/>
      <c r="H4088" s="13" t="str">
        <f>IFERROR(IF(ABS($G4088)&gt;0,VLOOKUP($E4088,'Fuel Category and Heat Rate'!$B$1:$G$34,6,FALSE)*($G4088),""),"")</f>
        <v/>
      </c>
      <c r="I4088" t="str">
        <f>IFERROR(VLOOKUP($E4088,'Fuel Category and Heat Rate'!$K$2:$M$36,3,FALSE),"")</f>
        <v>heavy fuel oil</v>
      </c>
    </row>
    <row r="4089" spans="1:9" x14ac:dyDescent="0.15">
      <c r="A4089" s="2">
        <v>463307</v>
      </c>
      <c r="B4089" s="2" t="s">
        <v>90</v>
      </c>
      <c r="C4089" s="2">
        <v>2020</v>
      </c>
      <c r="D4089" s="2" t="s">
        <v>1</v>
      </c>
      <c r="E4089" s="2" t="s">
        <v>29</v>
      </c>
      <c r="F4089" s="2" t="s">
        <v>36</v>
      </c>
      <c r="G4089" s="7">
        <v>-3.91</v>
      </c>
      <c r="H4089" s="13">
        <f>IFERROR(IF(ABS($G4089)&gt;0,VLOOKUP($E4089,'Fuel Category and Heat Rate'!$B$1:$G$34,6,FALSE)*($G4089),""),"")</f>
        <v>-13187490975003.836</v>
      </c>
      <c r="I4089" t="str">
        <f>IFERROR(VLOOKUP($E4089,'Fuel Category and Heat Rate'!$K$2:$M$36,3,FALSE),"")</f>
        <v>natural gas</v>
      </c>
    </row>
    <row r="4090" spans="1:9" x14ac:dyDescent="0.15">
      <c r="A4090" s="2">
        <v>463342</v>
      </c>
      <c r="B4090" s="2" t="s">
        <v>90</v>
      </c>
      <c r="C4090" s="2">
        <v>2020</v>
      </c>
      <c r="D4090" s="2" t="s">
        <v>1</v>
      </c>
      <c r="E4090" s="2" t="s">
        <v>4</v>
      </c>
      <c r="F4090" s="2" t="s">
        <v>35</v>
      </c>
      <c r="G4090" s="7"/>
      <c r="H4090" s="13" t="str">
        <f>IFERROR(IF(ABS($G4090)&gt;0,VLOOKUP($E4090,'Fuel Category and Heat Rate'!$B$1:$G$34,6,FALSE)*($G4090),""),"")</f>
        <v/>
      </c>
      <c r="I4090" t="str">
        <f>IFERROR(VLOOKUP($E4090,'Fuel Category and Heat Rate'!$K$2:$M$36,3,FALSE),"")</f>
        <v>coal</v>
      </c>
    </row>
    <row r="4091" spans="1:9" x14ac:dyDescent="0.15">
      <c r="A4091" s="2">
        <v>463377</v>
      </c>
      <c r="B4091" s="2" t="s">
        <v>90</v>
      </c>
      <c r="C4091" s="2">
        <v>2020</v>
      </c>
      <c r="D4091" s="2" t="s">
        <v>1</v>
      </c>
      <c r="E4091" s="2" t="s">
        <v>6</v>
      </c>
      <c r="F4091" s="2" t="s">
        <v>35</v>
      </c>
      <c r="G4091" s="7"/>
      <c r="H4091" s="13" t="str">
        <f>IFERROR(IF(ABS($G4091)&gt;0,VLOOKUP($E4091,'Fuel Category and Heat Rate'!$B$1:$G$34,6,FALSE)*($G4091),""),"")</f>
        <v/>
      </c>
      <c r="I4091" t="str">
        <f>IFERROR(VLOOKUP($E4091,'Fuel Category and Heat Rate'!$K$2:$M$36,3,FALSE),"")</f>
        <v>coal</v>
      </c>
    </row>
    <row r="4092" spans="1:9" x14ac:dyDescent="0.15">
      <c r="A4092" s="2">
        <v>463412</v>
      </c>
      <c r="B4092" s="2" t="s">
        <v>90</v>
      </c>
      <c r="C4092" s="2">
        <v>2020</v>
      </c>
      <c r="D4092" s="2" t="s">
        <v>1</v>
      </c>
      <c r="E4092" s="2" t="s">
        <v>26</v>
      </c>
      <c r="F4092" s="2" t="s">
        <v>35</v>
      </c>
      <c r="G4092" s="7"/>
      <c r="H4092" s="13" t="str">
        <f>IFERROR(IF(ABS($G4092)&gt;0,VLOOKUP($E4092,'Fuel Category and Heat Rate'!$B$1:$G$34,6,FALSE)*($G4092),""),"")</f>
        <v/>
      </c>
      <c r="I4092" t="str">
        <f>IFERROR(VLOOKUP($E4092,'Fuel Category and Heat Rate'!$K$2:$M$36,3,FALSE),"")</f>
        <v>LPG propane or butane</v>
      </c>
    </row>
    <row r="4093" spans="1:9" x14ac:dyDescent="0.15">
      <c r="A4093" s="2">
        <v>463447</v>
      </c>
      <c r="B4093" s="2" t="s">
        <v>90</v>
      </c>
      <c r="C4093" s="2">
        <v>2020</v>
      </c>
      <c r="D4093" s="2" t="s">
        <v>1</v>
      </c>
      <c r="E4093" s="2" t="s">
        <v>30</v>
      </c>
      <c r="F4093" s="2" t="s">
        <v>35</v>
      </c>
      <c r="G4093" s="7">
        <v>-0.12</v>
      </c>
      <c r="H4093" s="13">
        <f>IFERROR(IF(ABS($G4093)&gt;0,VLOOKUP($E4093,'Fuel Category and Heat Rate'!$B$1:$G$34,6,FALSE)*($G4093),""),"")</f>
        <v>-58500031064.7062</v>
      </c>
      <c r="I4093" t="str">
        <f>IFERROR(VLOOKUP($E4093,'Fuel Category and Heat Rate'!$K$2:$M$36,3,FALSE),"")</f>
        <v>natural gas</v>
      </c>
    </row>
    <row r="4094" spans="1:9" x14ac:dyDescent="0.15">
      <c r="A4094" s="2">
        <v>463482</v>
      </c>
      <c r="B4094" s="2" t="s">
        <v>90</v>
      </c>
      <c r="C4094" s="2">
        <v>2020</v>
      </c>
      <c r="D4094" s="2" t="s">
        <v>1</v>
      </c>
      <c r="E4094" s="2" t="s">
        <v>14</v>
      </c>
      <c r="F4094" s="2" t="s">
        <v>35</v>
      </c>
      <c r="G4094" s="7">
        <v>-17.88</v>
      </c>
      <c r="H4094" s="13">
        <f>IFERROR(IF(ABS($G4094)&gt;0,VLOOKUP($E4094,'Fuel Category and Heat Rate'!$B$1:$G$34,6,FALSE)*($G4094),""),"")</f>
        <v>0</v>
      </c>
      <c r="I4094" t="str">
        <f>IFERROR(VLOOKUP($E4094,'Fuel Category and Heat Rate'!$K$2:$M$36,3,FALSE),"")</f>
        <v/>
      </c>
    </row>
    <row r="4095" spans="1:9" x14ac:dyDescent="0.15">
      <c r="A4095" s="2">
        <v>463517</v>
      </c>
      <c r="B4095" s="2" t="s">
        <v>90</v>
      </c>
      <c r="C4095" s="2">
        <v>2020</v>
      </c>
      <c r="D4095" s="2" t="s">
        <v>1</v>
      </c>
      <c r="E4095" s="2" t="s">
        <v>3</v>
      </c>
      <c r="F4095" s="2" t="s">
        <v>35</v>
      </c>
      <c r="G4095" s="7">
        <v>-383.59</v>
      </c>
      <c r="H4095" s="13">
        <f>IFERROR(IF(ABS($G4095)&gt;0,VLOOKUP($E4095,'Fuel Category and Heat Rate'!$B$1:$G$34,6,FALSE)*($G4095),""),"")</f>
        <v>-76015878401129.188</v>
      </c>
      <c r="I4095" t="str">
        <f>IFERROR(VLOOKUP($E4095,'Fuel Category and Heat Rate'!$K$2:$M$36,3,FALSE),"")</f>
        <v>coal</v>
      </c>
    </row>
    <row r="4096" spans="1:9" x14ac:dyDescent="0.15">
      <c r="A4096" s="2">
        <v>463552</v>
      </c>
      <c r="B4096" s="2" t="s">
        <v>90</v>
      </c>
      <c r="C4096" s="2">
        <v>2020</v>
      </c>
      <c r="D4096" s="2" t="s">
        <v>1</v>
      </c>
      <c r="E4096" s="2" t="s">
        <v>15</v>
      </c>
      <c r="F4096" s="2" t="s">
        <v>35</v>
      </c>
      <c r="G4096" s="7"/>
      <c r="H4096" s="13" t="str">
        <f>IFERROR(IF(ABS($G4096)&gt;0,VLOOKUP($E4096,'Fuel Category and Heat Rate'!$B$1:$G$34,6,FALSE)*($G4096),""),"")</f>
        <v/>
      </c>
      <c r="I4096" t="str">
        <f>IFERROR(VLOOKUP($E4096,'Fuel Category and Heat Rate'!$K$2:$M$36,3,FALSE),"")</f>
        <v>crude oil</v>
      </c>
    </row>
    <row r="4097" spans="1:9" x14ac:dyDescent="0.15">
      <c r="A4097" s="2">
        <v>463587</v>
      </c>
      <c r="B4097" s="2" t="s">
        <v>90</v>
      </c>
      <c r="C4097" s="2">
        <v>2020</v>
      </c>
      <c r="D4097" s="2" t="s">
        <v>1</v>
      </c>
      <c r="E4097" s="2" t="s">
        <v>11</v>
      </c>
      <c r="F4097" s="2" t="s">
        <v>36</v>
      </c>
      <c r="G4097" s="7"/>
      <c r="H4097" s="13" t="str">
        <f>IFERROR(IF(ABS($G4097)&gt;0,VLOOKUP($E4097,'Fuel Category and Heat Rate'!$B$1:$G$34,6,FALSE)*($G4097),""),"")</f>
        <v/>
      </c>
      <c r="I4097" t="str">
        <f>IFERROR(VLOOKUP($E4097,'Fuel Category and Heat Rate'!$K$2:$M$36,3,FALSE),"")</f>
        <v>LPG propane or butane</v>
      </c>
    </row>
    <row r="4098" spans="1:9" x14ac:dyDescent="0.15">
      <c r="A4098" s="2">
        <v>463622</v>
      </c>
      <c r="B4098" s="2" t="s">
        <v>90</v>
      </c>
      <c r="C4098" s="2">
        <v>2019</v>
      </c>
      <c r="D4098" s="2" t="s">
        <v>1</v>
      </c>
      <c r="E4098" s="2" t="s">
        <v>18</v>
      </c>
      <c r="F4098" s="2" t="s">
        <v>35</v>
      </c>
      <c r="G4098" s="7"/>
      <c r="H4098" s="13" t="str">
        <f>IFERROR(IF(ABS($G4098)&gt;0,VLOOKUP($E4098,'Fuel Category and Heat Rate'!$B$1:$G$34,6,FALSE)*($G4098),""),"")</f>
        <v/>
      </c>
      <c r="I4098" t="str">
        <f>IFERROR(VLOOKUP($E4098,'Fuel Category and Heat Rate'!$K$2:$M$36,3,FALSE),"")</f>
        <v>petroleum diesel</v>
      </c>
    </row>
    <row r="4099" spans="1:9" x14ac:dyDescent="0.15">
      <c r="A4099" s="2">
        <v>463657</v>
      </c>
      <c r="B4099" s="2" t="s">
        <v>90</v>
      </c>
      <c r="C4099" s="2">
        <v>2019</v>
      </c>
      <c r="D4099" s="2" t="s">
        <v>1</v>
      </c>
      <c r="E4099" s="2" t="s">
        <v>32</v>
      </c>
      <c r="F4099" s="2" t="s">
        <v>65</v>
      </c>
      <c r="G4099" s="7"/>
      <c r="H4099" s="13" t="str">
        <f>IFERROR(IF(ABS($G4099)&gt;0,VLOOKUP($E4099,'Fuel Category and Heat Rate'!$B$1:$G$34,6,FALSE)*($G4099),""),"")</f>
        <v/>
      </c>
      <c r="I4099" t="str">
        <f>IFERROR(VLOOKUP($E4099,'Fuel Category and Heat Rate'!$K$2:$M$36,3,FALSE),"")</f>
        <v>electricity</v>
      </c>
    </row>
    <row r="4100" spans="1:9" x14ac:dyDescent="0.15">
      <c r="A4100" s="2">
        <v>463692</v>
      </c>
      <c r="B4100" s="2" t="s">
        <v>90</v>
      </c>
      <c r="C4100" s="2">
        <v>2019</v>
      </c>
      <c r="D4100" s="2" t="s">
        <v>1</v>
      </c>
      <c r="E4100" s="2" t="s">
        <v>10</v>
      </c>
      <c r="F4100" s="2" t="s">
        <v>36</v>
      </c>
      <c r="G4100" s="7">
        <v>-14.1</v>
      </c>
      <c r="H4100" s="13">
        <f>IFERROR(IF(ABS($G4100)&gt;0,VLOOKUP($E4100,'Fuel Category and Heat Rate'!$B$1:$G$34,6,FALSE)*($G4100),""),"")</f>
        <v>-5028956523960.3193</v>
      </c>
      <c r="I4100" t="str">
        <f>IFERROR(VLOOKUP($E4100,'Fuel Category and Heat Rate'!$K$2:$M$36,3,FALSE),"")</f>
        <v>LPG propane or butane</v>
      </c>
    </row>
    <row r="4101" spans="1:9" x14ac:dyDescent="0.15">
      <c r="A4101" s="2">
        <v>463727</v>
      </c>
      <c r="B4101" s="2" t="s">
        <v>90</v>
      </c>
      <c r="C4101" s="2">
        <v>2019</v>
      </c>
      <c r="D4101" s="2" t="s">
        <v>1</v>
      </c>
      <c r="E4101" s="2" t="s">
        <v>9</v>
      </c>
      <c r="F4101" s="2" t="s">
        <v>36</v>
      </c>
      <c r="G4101" s="7">
        <v>-2.15</v>
      </c>
      <c r="H4101" s="13">
        <f>IFERROR(IF(ABS($G4101)&gt;0,VLOOKUP($E4101,'Fuel Category and Heat Rate'!$B$1:$G$34,6,FALSE)*($G4101),""),"")</f>
        <v>-3536308054213.4336</v>
      </c>
      <c r="I4101" t="str">
        <f>IFERROR(VLOOKUP($E4101,'Fuel Category and Heat Rate'!$K$2:$M$36,3,FALSE),"")</f>
        <v>LPG propane or butane</v>
      </c>
    </row>
    <row r="4102" spans="1:9" x14ac:dyDescent="0.15">
      <c r="A4102" s="2">
        <v>463762</v>
      </c>
      <c r="B4102" s="2" t="s">
        <v>90</v>
      </c>
      <c r="C4102" s="2">
        <v>2019</v>
      </c>
      <c r="D4102" s="2" t="s">
        <v>1</v>
      </c>
      <c r="E4102" s="2" t="s">
        <v>8</v>
      </c>
      <c r="F4102" s="2" t="s">
        <v>35</v>
      </c>
      <c r="G4102" s="7"/>
      <c r="H4102" s="13" t="str">
        <f>IFERROR(IF(ABS($G4102)&gt;0,VLOOKUP($E4102,'Fuel Category and Heat Rate'!$B$1:$G$34,6,FALSE)*($G4102),""),"")</f>
        <v/>
      </c>
      <c r="I4102" t="str">
        <f>IFERROR(VLOOKUP($E4102,'Fuel Category and Heat Rate'!$K$2:$M$36,3,FALSE),"")</f>
        <v>coal</v>
      </c>
    </row>
    <row r="4103" spans="1:9" x14ac:dyDescent="0.15">
      <c r="A4103" s="2">
        <v>463797</v>
      </c>
      <c r="B4103" s="2" t="s">
        <v>90</v>
      </c>
      <c r="C4103" s="2">
        <v>2019</v>
      </c>
      <c r="D4103" s="2" t="s">
        <v>1</v>
      </c>
      <c r="E4103" s="2" t="s">
        <v>27</v>
      </c>
      <c r="F4103" s="2" t="s">
        <v>35</v>
      </c>
      <c r="G4103" s="7">
        <v>-10.64</v>
      </c>
      <c r="H4103" s="13">
        <f>IFERROR(IF(ABS($G4103)&gt;0,VLOOKUP($E4103,'Fuel Category and Heat Rate'!$B$1:$G$34,6,FALSE)*($G4103),""),"")</f>
        <v>-4638794429697.7266</v>
      </c>
      <c r="I4103" t="str">
        <f>IFERROR(VLOOKUP($E4103,'Fuel Category and Heat Rate'!$K$2:$M$36,3,FALSE),"")</f>
        <v>LPG propane or butane</v>
      </c>
    </row>
    <row r="4104" spans="1:9" x14ac:dyDescent="0.15">
      <c r="A4104" s="2">
        <v>463832</v>
      </c>
      <c r="B4104" s="2" t="s">
        <v>90</v>
      </c>
      <c r="C4104" s="2">
        <v>2019</v>
      </c>
      <c r="D4104" s="2" t="s">
        <v>1</v>
      </c>
      <c r="E4104" s="2" t="s">
        <v>7</v>
      </c>
      <c r="F4104" s="2" t="s">
        <v>35</v>
      </c>
      <c r="G4104" s="7">
        <v>-7.1</v>
      </c>
      <c r="H4104" s="13">
        <f>IFERROR(IF(ABS($G4104)&gt;0,VLOOKUP($E4104,'Fuel Category and Heat Rate'!$B$1:$G$34,6,FALSE)*($G4104),""),"")</f>
        <v>-563528461550.16345</v>
      </c>
      <c r="I4104" t="str">
        <f>IFERROR(VLOOKUP($E4104,'Fuel Category and Heat Rate'!$K$2:$M$36,3,FALSE),"")</f>
        <v>coal</v>
      </c>
    </row>
    <row r="4105" spans="1:9" x14ac:dyDescent="0.15">
      <c r="A4105" s="2">
        <v>463867</v>
      </c>
      <c r="B4105" s="2" t="s">
        <v>90</v>
      </c>
      <c r="C4105" s="2">
        <v>2019</v>
      </c>
      <c r="D4105" s="2" t="s">
        <v>1</v>
      </c>
      <c r="E4105" s="2" t="s">
        <v>2</v>
      </c>
      <c r="F4105" s="2" t="s">
        <v>35</v>
      </c>
      <c r="G4105" s="7">
        <v>-292.72000000000003</v>
      </c>
      <c r="H4105" s="13">
        <f>IFERROR(IF(ABS($G4105)&gt;0,VLOOKUP($E4105,'Fuel Category and Heat Rate'!$B$1:$G$34,6,FALSE)*($G4105),""),"")</f>
        <v>0</v>
      </c>
      <c r="I4105" t="str">
        <f>IFERROR(VLOOKUP($E4105,'Fuel Category and Heat Rate'!$K$2:$M$36,3,FALSE),"")</f>
        <v/>
      </c>
    </row>
    <row r="4106" spans="1:9" x14ac:dyDescent="0.15">
      <c r="A4106" s="2">
        <v>463902</v>
      </c>
      <c r="B4106" s="2" t="s">
        <v>90</v>
      </c>
      <c r="C4106" s="2">
        <v>2019</v>
      </c>
      <c r="D4106" s="2" t="s">
        <v>1</v>
      </c>
      <c r="E4106" s="2" t="s">
        <v>17</v>
      </c>
      <c r="F4106" s="2" t="s">
        <v>35</v>
      </c>
      <c r="G4106" s="7"/>
      <c r="H4106" s="13" t="str">
        <f>IFERROR(IF(ABS($G4106)&gt;0,VLOOKUP($E4106,'Fuel Category and Heat Rate'!$B$1:$G$34,6,FALSE)*($G4106),""),"")</f>
        <v/>
      </c>
      <c r="I4106" t="str">
        <f>IFERROR(VLOOKUP($E4106,'Fuel Category and Heat Rate'!$K$2:$M$36,3,FALSE),"")</f>
        <v>petroleum diesel</v>
      </c>
    </row>
    <row r="4107" spans="1:9" x14ac:dyDescent="0.15">
      <c r="A4107" s="2">
        <v>463937</v>
      </c>
      <c r="B4107" s="2" t="s">
        <v>90</v>
      </c>
      <c r="C4107" s="2">
        <v>2019</v>
      </c>
      <c r="D4107" s="2" t="s">
        <v>1</v>
      </c>
      <c r="E4107" s="2" t="s">
        <v>13</v>
      </c>
      <c r="F4107" s="2" t="s">
        <v>35</v>
      </c>
      <c r="G4107" s="7"/>
      <c r="H4107" s="13" t="str">
        <f>IFERROR(IF(ABS($G4107)&gt;0,VLOOKUP($E4107,'Fuel Category and Heat Rate'!$B$1:$G$34,6,FALSE)*($G4107),""),"")</f>
        <v/>
      </c>
      <c r="I4107" t="str">
        <f>IFERROR(VLOOKUP($E4107,'Fuel Category and Heat Rate'!$K$2:$M$36,3,FALSE),"")</f>
        <v>petroleum diesel</v>
      </c>
    </row>
    <row r="4108" spans="1:9" x14ac:dyDescent="0.15">
      <c r="A4108" s="2">
        <v>463972</v>
      </c>
      <c r="B4108" s="2" t="s">
        <v>90</v>
      </c>
      <c r="C4108" s="2">
        <v>2019</v>
      </c>
      <c r="D4108" s="2" t="s">
        <v>1</v>
      </c>
      <c r="E4108" s="2" t="s">
        <v>12</v>
      </c>
      <c r="F4108" s="2" t="s">
        <v>36</v>
      </c>
      <c r="G4108" s="7"/>
      <c r="H4108" s="13" t="str">
        <f>IFERROR(IF(ABS($G4108)&gt;0,VLOOKUP($E4108,'Fuel Category and Heat Rate'!$B$1:$G$34,6,FALSE)*($G4108),""),"")</f>
        <v/>
      </c>
      <c r="I4108" t="str">
        <f>IFERROR(VLOOKUP($E4108,'Fuel Category and Heat Rate'!$K$2:$M$36,3,FALSE),"")</f>
        <v>LPG propane or butane</v>
      </c>
    </row>
    <row r="4109" spans="1:9" x14ac:dyDescent="0.15">
      <c r="A4109" s="2">
        <v>464007</v>
      </c>
      <c r="B4109" s="2" t="s">
        <v>90</v>
      </c>
      <c r="C4109" s="2">
        <v>2019</v>
      </c>
      <c r="D4109" s="2" t="s">
        <v>1</v>
      </c>
      <c r="E4109" s="2" t="s">
        <v>33</v>
      </c>
      <c r="F4109" s="2" t="s">
        <v>38</v>
      </c>
      <c r="G4109" s="7">
        <v>-2.4</v>
      </c>
      <c r="H4109" s="13">
        <f>IFERROR(IF(ABS($G4109)&gt;0,VLOOKUP($E4109,'Fuel Category and Heat Rate'!$B$1:$G$34,6,FALSE)*($G4109),""),"")</f>
        <v>-665845319942.0675</v>
      </c>
      <c r="I4109" t="str">
        <f>IFERROR(VLOOKUP($E4109,'Fuel Category and Heat Rate'!$K$2:$M$36,3,FALSE),"")</f>
        <v>biomass</v>
      </c>
    </row>
    <row r="4110" spans="1:9" x14ac:dyDescent="0.15">
      <c r="A4110" s="2">
        <v>464042</v>
      </c>
      <c r="B4110" s="2" t="s">
        <v>90</v>
      </c>
      <c r="C4110" s="2">
        <v>2019</v>
      </c>
      <c r="D4110" s="2" t="s">
        <v>1</v>
      </c>
      <c r="E4110" s="2" t="s">
        <v>28</v>
      </c>
      <c r="F4110" s="2" t="s">
        <v>35</v>
      </c>
      <c r="G4110" s="7"/>
      <c r="H4110" s="13" t="str">
        <f>IFERROR(IF(ABS($G4110)&gt;0,VLOOKUP($E4110,'Fuel Category and Heat Rate'!$B$1:$G$34,6,FALSE)*($G4110),""),"")</f>
        <v/>
      </c>
      <c r="I4110" t="str">
        <f>IFERROR(VLOOKUP($E4110,'Fuel Category and Heat Rate'!$K$2:$M$36,3,FALSE),"")</f>
        <v>heavy or residual fuel oil</v>
      </c>
    </row>
    <row r="4111" spans="1:9" x14ac:dyDescent="0.15">
      <c r="A4111" s="2">
        <v>464077</v>
      </c>
      <c r="B4111" s="2" t="s">
        <v>90</v>
      </c>
      <c r="C4111" s="2">
        <v>2019</v>
      </c>
      <c r="D4111" s="2" t="s">
        <v>1</v>
      </c>
      <c r="E4111" s="2" t="s">
        <v>5</v>
      </c>
      <c r="F4111" s="2" t="s">
        <v>35</v>
      </c>
      <c r="G4111" s="7"/>
      <c r="H4111" s="13" t="str">
        <f>IFERROR(IF(ABS($G4111)&gt;0,VLOOKUP($E4111,'Fuel Category and Heat Rate'!$B$1:$G$34,6,FALSE)*($G4111),""),"")</f>
        <v/>
      </c>
      <c r="I4111" t="str">
        <f>IFERROR(VLOOKUP($E4111,'Fuel Category and Heat Rate'!$K$2:$M$36,3,FALSE),"")</f>
        <v>coal</v>
      </c>
    </row>
    <row r="4112" spans="1:9" x14ac:dyDescent="0.15">
      <c r="A4112" s="2">
        <v>464112</v>
      </c>
      <c r="B4112" s="2" t="s">
        <v>90</v>
      </c>
      <c r="C4112" s="2">
        <v>2019</v>
      </c>
      <c r="D4112" s="2" t="s">
        <v>1</v>
      </c>
      <c r="E4112" s="2" t="s">
        <v>16</v>
      </c>
      <c r="F4112" s="2" t="s">
        <v>35</v>
      </c>
      <c r="G4112" s="7"/>
      <c r="H4112" s="13" t="str">
        <f>IFERROR(IF(ABS($G4112)&gt;0,VLOOKUP($E4112,'Fuel Category and Heat Rate'!$B$1:$G$34,6,FALSE)*($G4112),""),"")</f>
        <v/>
      </c>
      <c r="I4112" t="str">
        <f>IFERROR(VLOOKUP($E4112,'Fuel Category and Heat Rate'!$K$2:$M$36,3,FALSE),"")</f>
        <v>petroleum diesel</v>
      </c>
    </row>
    <row r="4113" spans="1:9" x14ac:dyDescent="0.15">
      <c r="A4113" s="2">
        <v>464147</v>
      </c>
      <c r="B4113" s="2" t="s">
        <v>90</v>
      </c>
      <c r="C4113" s="2">
        <v>2019</v>
      </c>
      <c r="D4113" s="2" t="s">
        <v>1</v>
      </c>
      <c r="E4113" s="2" t="s">
        <v>19</v>
      </c>
      <c r="F4113" s="2" t="s">
        <v>35</v>
      </c>
      <c r="G4113" s="7">
        <v>-10.17</v>
      </c>
      <c r="H4113" s="13">
        <f>IFERROR(IF(ABS($G4113)&gt;0,VLOOKUP($E4113,'Fuel Category and Heat Rate'!$B$1:$G$34,6,FALSE)*($G4113),""),"")</f>
        <v>-4030769745506.8374</v>
      </c>
      <c r="I4113" t="str">
        <f>IFERROR(VLOOKUP($E4113,'Fuel Category and Heat Rate'!$K$2:$M$36,3,FALSE),"")</f>
        <v>heavy or residual fuel oil</v>
      </c>
    </row>
    <row r="4114" spans="1:9" x14ac:dyDescent="0.15">
      <c r="A4114" s="2">
        <v>464182</v>
      </c>
      <c r="B4114" s="2" t="s">
        <v>90</v>
      </c>
      <c r="C4114" s="2">
        <v>2019</v>
      </c>
      <c r="D4114" s="2" t="s">
        <v>1</v>
      </c>
      <c r="E4114" s="2" t="s">
        <v>31</v>
      </c>
      <c r="F4114" s="2" t="s">
        <v>37</v>
      </c>
      <c r="G4114" s="7">
        <v>5744.29</v>
      </c>
      <c r="H4114" s="13">
        <f>IFERROR(IF(ABS($G4114)&gt;0,VLOOKUP($E4114,'Fuel Category and Heat Rate'!$B$1:$G$34,6,FALSE)*($G4114),""),"")</f>
        <v>54445364195648.984</v>
      </c>
      <c r="I4114" t="str">
        <f>IFERROR(VLOOKUP($E4114,'Fuel Category and Heat Rate'!$K$2:$M$36,3,FALSE),"")</f>
        <v>heat</v>
      </c>
    </row>
    <row r="4115" spans="1:9" x14ac:dyDescent="0.15">
      <c r="A4115" s="2">
        <v>464217</v>
      </c>
      <c r="B4115" s="2" t="s">
        <v>90</v>
      </c>
      <c r="C4115" s="2">
        <v>2019</v>
      </c>
      <c r="D4115" s="2" t="s">
        <v>1</v>
      </c>
      <c r="E4115" s="2" t="s">
        <v>23</v>
      </c>
      <c r="F4115" s="2" t="s">
        <v>35</v>
      </c>
      <c r="G4115" s="7"/>
      <c r="H4115" s="13" t="str">
        <f>IFERROR(IF(ABS($G4115)&gt;0,VLOOKUP($E4115,'Fuel Category and Heat Rate'!$B$1:$G$34,6,FALSE)*($G4115),""),"")</f>
        <v/>
      </c>
      <c r="I4115" t="str">
        <f>IFERROR(VLOOKUP($E4115,'Fuel Category and Heat Rate'!$K$2:$M$36,3,FALSE),"")</f>
        <v>heavy or residual fuel oil</v>
      </c>
    </row>
    <row r="4116" spans="1:9" x14ac:dyDescent="0.15">
      <c r="A4116" s="2">
        <v>464252</v>
      </c>
      <c r="B4116" s="2" t="s">
        <v>90</v>
      </c>
      <c r="C4116" s="2">
        <v>2019</v>
      </c>
      <c r="D4116" s="2" t="s">
        <v>1</v>
      </c>
      <c r="E4116" s="2" t="s">
        <v>21</v>
      </c>
      <c r="F4116" s="2" t="s">
        <v>35</v>
      </c>
      <c r="G4116" s="7"/>
      <c r="H4116" s="13" t="str">
        <f>IFERROR(IF(ABS($G4116)&gt;0,VLOOKUP($E4116,'Fuel Category and Heat Rate'!$B$1:$G$34,6,FALSE)*($G4116),""),"")</f>
        <v/>
      </c>
      <c r="I4116" t="str">
        <f>IFERROR(VLOOKUP($E4116,'Fuel Category and Heat Rate'!$K$2:$M$36,3,FALSE),"")</f>
        <v>LPG propane or butane</v>
      </c>
    </row>
    <row r="4117" spans="1:9" x14ac:dyDescent="0.15">
      <c r="A4117" s="2">
        <v>464287</v>
      </c>
      <c r="B4117" s="2" t="s">
        <v>90</v>
      </c>
      <c r="C4117" s="2">
        <v>2019</v>
      </c>
      <c r="D4117" s="2" t="s">
        <v>1</v>
      </c>
      <c r="E4117" s="2" t="s">
        <v>22</v>
      </c>
      <c r="F4117" s="2" t="s">
        <v>35</v>
      </c>
      <c r="G4117" s="7"/>
      <c r="H4117" s="13" t="str">
        <f>IFERROR(IF(ABS($G4117)&gt;0,VLOOKUP($E4117,'Fuel Category and Heat Rate'!$B$1:$G$34,6,FALSE)*($G4117),""),"")</f>
        <v/>
      </c>
      <c r="I4117" t="str">
        <f>IFERROR(VLOOKUP($E4117,'Fuel Category and Heat Rate'!$K$2:$M$36,3,FALSE),"")</f>
        <v>heavy fuel oil</v>
      </c>
    </row>
    <row r="4118" spans="1:9" x14ac:dyDescent="0.15">
      <c r="A4118" s="2">
        <v>464322</v>
      </c>
      <c r="B4118" s="2" t="s">
        <v>90</v>
      </c>
      <c r="C4118" s="2">
        <v>2019</v>
      </c>
      <c r="D4118" s="2" t="s">
        <v>1</v>
      </c>
      <c r="E4118" s="2" t="s">
        <v>20</v>
      </c>
      <c r="F4118" s="2" t="s">
        <v>35</v>
      </c>
      <c r="G4118" s="7"/>
      <c r="H4118" s="13" t="str">
        <f>IFERROR(IF(ABS($G4118)&gt;0,VLOOKUP($E4118,'Fuel Category and Heat Rate'!$B$1:$G$34,6,FALSE)*($G4118),""),"")</f>
        <v/>
      </c>
      <c r="I4118" t="str">
        <f>IFERROR(VLOOKUP($E4118,'Fuel Category and Heat Rate'!$K$2:$M$36,3,FALSE),"")</f>
        <v>LPG propane or butane</v>
      </c>
    </row>
    <row r="4119" spans="1:9" x14ac:dyDescent="0.15">
      <c r="A4119" s="2">
        <v>464357</v>
      </c>
      <c r="B4119" s="2" t="s">
        <v>90</v>
      </c>
      <c r="C4119" s="2">
        <v>2019</v>
      </c>
      <c r="D4119" s="2" t="s">
        <v>1</v>
      </c>
      <c r="E4119" s="2" t="s">
        <v>25</v>
      </c>
      <c r="F4119" s="2" t="s">
        <v>35</v>
      </c>
      <c r="G4119" s="7"/>
      <c r="H4119" s="13" t="str">
        <f>IFERROR(IF(ABS($G4119)&gt;0,VLOOKUP($E4119,'Fuel Category and Heat Rate'!$B$1:$G$34,6,FALSE)*($G4119),""),"")</f>
        <v/>
      </c>
      <c r="I4119" t="str">
        <f>IFERROR(VLOOKUP($E4119,'Fuel Category and Heat Rate'!$K$2:$M$36,3,FALSE),"")</f>
        <v>heavy fuel oil</v>
      </c>
    </row>
    <row r="4120" spans="1:9" x14ac:dyDescent="0.15">
      <c r="A4120" s="2">
        <v>464392</v>
      </c>
      <c r="B4120" s="2" t="s">
        <v>90</v>
      </c>
      <c r="C4120" s="2">
        <v>2019</v>
      </c>
      <c r="D4120" s="2" t="s">
        <v>1</v>
      </c>
      <c r="E4120" s="2" t="s">
        <v>24</v>
      </c>
      <c r="F4120" s="2" t="s">
        <v>35</v>
      </c>
      <c r="G4120" s="7"/>
      <c r="H4120" s="13" t="str">
        <f>IFERROR(IF(ABS($G4120)&gt;0,VLOOKUP($E4120,'Fuel Category and Heat Rate'!$B$1:$G$34,6,FALSE)*($G4120),""),"")</f>
        <v/>
      </c>
      <c r="I4120" t="str">
        <f>IFERROR(VLOOKUP($E4120,'Fuel Category and Heat Rate'!$K$2:$M$36,3,FALSE),"")</f>
        <v>heavy fuel oil</v>
      </c>
    </row>
    <row r="4121" spans="1:9" x14ac:dyDescent="0.15">
      <c r="A4121" s="2">
        <v>464427</v>
      </c>
      <c r="B4121" s="2" t="s">
        <v>90</v>
      </c>
      <c r="C4121" s="2">
        <v>2019</v>
      </c>
      <c r="D4121" s="2" t="s">
        <v>1</v>
      </c>
      <c r="E4121" s="2" t="s">
        <v>29</v>
      </c>
      <c r="F4121" s="2" t="s">
        <v>36</v>
      </c>
      <c r="G4121" s="7">
        <v>-4.05</v>
      </c>
      <c r="H4121" s="13">
        <f>IFERROR(IF(ABS($G4121)&gt;0,VLOOKUP($E4121,'Fuel Category and Heat Rate'!$B$1:$G$34,6,FALSE)*($G4121),""),"")</f>
        <v>-13659677352625.455</v>
      </c>
      <c r="I4121" t="str">
        <f>IFERROR(VLOOKUP($E4121,'Fuel Category and Heat Rate'!$K$2:$M$36,3,FALSE),"")</f>
        <v>natural gas</v>
      </c>
    </row>
    <row r="4122" spans="1:9" x14ac:dyDescent="0.15">
      <c r="A4122" s="2">
        <v>464462</v>
      </c>
      <c r="B4122" s="2" t="s">
        <v>90</v>
      </c>
      <c r="C4122" s="2">
        <v>2019</v>
      </c>
      <c r="D4122" s="2" t="s">
        <v>1</v>
      </c>
      <c r="E4122" s="2" t="s">
        <v>4</v>
      </c>
      <c r="F4122" s="2" t="s">
        <v>35</v>
      </c>
      <c r="G4122" s="7"/>
      <c r="H4122" s="13" t="str">
        <f>IFERROR(IF(ABS($G4122)&gt;0,VLOOKUP($E4122,'Fuel Category and Heat Rate'!$B$1:$G$34,6,FALSE)*($G4122),""),"")</f>
        <v/>
      </c>
      <c r="I4122" t="str">
        <f>IFERROR(VLOOKUP($E4122,'Fuel Category and Heat Rate'!$K$2:$M$36,3,FALSE),"")</f>
        <v>coal</v>
      </c>
    </row>
    <row r="4123" spans="1:9" x14ac:dyDescent="0.15">
      <c r="A4123" s="2">
        <v>464497</v>
      </c>
      <c r="B4123" s="2" t="s">
        <v>90</v>
      </c>
      <c r="C4123" s="2">
        <v>2019</v>
      </c>
      <c r="D4123" s="2" t="s">
        <v>1</v>
      </c>
      <c r="E4123" s="2" t="s">
        <v>6</v>
      </c>
      <c r="F4123" s="2" t="s">
        <v>35</v>
      </c>
      <c r="G4123" s="7"/>
      <c r="H4123" s="13" t="str">
        <f>IFERROR(IF(ABS($G4123)&gt;0,VLOOKUP($E4123,'Fuel Category and Heat Rate'!$B$1:$G$34,6,FALSE)*($G4123),""),"")</f>
        <v/>
      </c>
      <c r="I4123" t="str">
        <f>IFERROR(VLOOKUP($E4123,'Fuel Category and Heat Rate'!$K$2:$M$36,3,FALSE),"")</f>
        <v>coal</v>
      </c>
    </row>
    <row r="4124" spans="1:9" x14ac:dyDescent="0.15">
      <c r="A4124" s="2">
        <v>464532</v>
      </c>
      <c r="B4124" s="2" t="s">
        <v>90</v>
      </c>
      <c r="C4124" s="2">
        <v>2019</v>
      </c>
      <c r="D4124" s="2" t="s">
        <v>1</v>
      </c>
      <c r="E4124" s="2" t="s">
        <v>26</v>
      </c>
      <c r="F4124" s="2" t="s">
        <v>35</v>
      </c>
      <c r="G4124" s="7">
        <v>-0.21</v>
      </c>
      <c r="H4124" s="13">
        <f>IFERROR(IF(ABS($G4124)&gt;0,VLOOKUP($E4124,'Fuel Category and Heat Rate'!$B$1:$G$34,6,FALSE)*($G4124),""),"")</f>
        <v>-99877082336.44693</v>
      </c>
      <c r="I4124" t="str">
        <f>IFERROR(VLOOKUP($E4124,'Fuel Category and Heat Rate'!$K$2:$M$36,3,FALSE),"")</f>
        <v>LPG propane or butane</v>
      </c>
    </row>
    <row r="4125" spans="1:9" x14ac:dyDescent="0.15">
      <c r="A4125" s="2">
        <v>464567</v>
      </c>
      <c r="B4125" s="2" t="s">
        <v>90</v>
      </c>
      <c r="C4125" s="2">
        <v>2019</v>
      </c>
      <c r="D4125" s="2" t="s">
        <v>1</v>
      </c>
      <c r="E4125" s="2" t="s">
        <v>30</v>
      </c>
      <c r="F4125" s="2" t="s">
        <v>35</v>
      </c>
      <c r="G4125" s="7"/>
      <c r="H4125" s="13" t="str">
        <f>IFERROR(IF(ABS($G4125)&gt;0,VLOOKUP($E4125,'Fuel Category and Heat Rate'!$B$1:$G$34,6,FALSE)*($G4125),""),"")</f>
        <v/>
      </c>
      <c r="I4125" t="str">
        <f>IFERROR(VLOOKUP($E4125,'Fuel Category and Heat Rate'!$K$2:$M$36,3,FALSE),"")</f>
        <v>natural gas</v>
      </c>
    </row>
    <row r="4126" spans="1:9" x14ac:dyDescent="0.15">
      <c r="A4126" s="2">
        <v>464602</v>
      </c>
      <c r="B4126" s="2" t="s">
        <v>90</v>
      </c>
      <c r="C4126" s="2">
        <v>2019</v>
      </c>
      <c r="D4126" s="2" t="s">
        <v>1</v>
      </c>
      <c r="E4126" s="2" t="s">
        <v>14</v>
      </c>
      <c r="F4126" s="2" t="s">
        <v>35</v>
      </c>
      <c r="G4126" s="7">
        <v>-21.02</v>
      </c>
      <c r="H4126" s="13">
        <f>IFERROR(IF(ABS($G4126)&gt;0,VLOOKUP($E4126,'Fuel Category and Heat Rate'!$B$1:$G$34,6,FALSE)*($G4126),""),"")</f>
        <v>0</v>
      </c>
      <c r="I4126" t="str">
        <f>IFERROR(VLOOKUP($E4126,'Fuel Category and Heat Rate'!$K$2:$M$36,3,FALSE),"")</f>
        <v/>
      </c>
    </row>
    <row r="4127" spans="1:9" x14ac:dyDescent="0.15">
      <c r="A4127" s="2">
        <v>464637</v>
      </c>
      <c r="B4127" s="2" t="s">
        <v>90</v>
      </c>
      <c r="C4127" s="2">
        <v>2019</v>
      </c>
      <c r="D4127" s="2" t="s">
        <v>1</v>
      </c>
      <c r="E4127" s="2" t="s">
        <v>3</v>
      </c>
      <c r="F4127" s="2" t="s">
        <v>35</v>
      </c>
      <c r="G4127" s="7">
        <v>-292.72000000000003</v>
      </c>
      <c r="H4127" s="13">
        <f>IFERROR(IF(ABS($G4127)&gt;0,VLOOKUP($E4127,'Fuel Category and Heat Rate'!$B$1:$G$34,6,FALSE)*($G4127),""),"")</f>
        <v>-58008206484993.195</v>
      </c>
      <c r="I4127" t="str">
        <f>IFERROR(VLOOKUP($E4127,'Fuel Category and Heat Rate'!$K$2:$M$36,3,FALSE),"")</f>
        <v>coal</v>
      </c>
    </row>
    <row r="4128" spans="1:9" x14ac:dyDescent="0.15">
      <c r="A4128" s="2">
        <v>464672</v>
      </c>
      <c r="B4128" s="2" t="s">
        <v>90</v>
      </c>
      <c r="C4128" s="2">
        <v>2019</v>
      </c>
      <c r="D4128" s="2" t="s">
        <v>1</v>
      </c>
      <c r="E4128" s="2" t="s">
        <v>15</v>
      </c>
      <c r="F4128" s="2" t="s">
        <v>35</v>
      </c>
      <c r="G4128" s="7"/>
      <c r="H4128" s="13" t="str">
        <f>IFERROR(IF(ABS($G4128)&gt;0,VLOOKUP($E4128,'Fuel Category and Heat Rate'!$B$1:$G$34,6,FALSE)*($G4128),""),"")</f>
        <v/>
      </c>
      <c r="I4128" t="str">
        <f>IFERROR(VLOOKUP($E4128,'Fuel Category and Heat Rate'!$K$2:$M$36,3,FALSE),"")</f>
        <v>crude oil</v>
      </c>
    </row>
    <row r="4129" spans="1:9" x14ac:dyDescent="0.15">
      <c r="A4129" s="2">
        <v>464707</v>
      </c>
      <c r="B4129" s="2" t="s">
        <v>90</v>
      </c>
      <c r="C4129" s="2">
        <v>2019</v>
      </c>
      <c r="D4129" s="2" t="s">
        <v>1</v>
      </c>
      <c r="E4129" s="2" t="s">
        <v>11</v>
      </c>
      <c r="F4129" s="2" t="s">
        <v>36</v>
      </c>
      <c r="G4129" s="7"/>
      <c r="H4129" s="13" t="str">
        <f>IFERROR(IF(ABS($G4129)&gt;0,VLOOKUP($E4129,'Fuel Category and Heat Rate'!$B$1:$G$34,6,FALSE)*($G4129),""),"")</f>
        <v/>
      </c>
      <c r="I4129" t="str">
        <f>IFERROR(VLOOKUP($E4129,'Fuel Category and Heat Rate'!$K$2:$M$36,3,FALSE),"")</f>
        <v>LPG propane or butane</v>
      </c>
    </row>
    <row r="4130" spans="1:9" x14ac:dyDescent="0.15">
      <c r="A4130" s="2">
        <v>464742</v>
      </c>
      <c r="B4130" s="2" t="s">
        <v>90</v>
      </c>
      <c r="C4130" s="2">
        <v>2018</v>
      </c>
      <c r="D4130" s="2" t="s">
        <v>1</v>
      </c>
      <c r="E4130" s="2" t="s">
        <v>18</v>
      </c>
      <c r="F4130" s="2" t="s">
        <v>35</v>
      </c>
      <c r="G4130" s="7"/>
      <c r="H4130" s="13" t="str">
        <f>IFERROR(IF(ABS($G4130)&gt;0,VLOOKUP($E4130,'Fuel Category and Heat Rate'!$B$1:$G$34,6,FALSE)*($G4130),""),"")</f>
        <v/>
      </c>
      <c r="I4130" t="str">
        <f>IFERROR(VLOOKUP($E4130,'Fuel Category and Heat Rate'!$K$2:$M$36,3,FALSE),"")</f>
        <v>petroleum diesel</v>
      </c>
    </row>
    <row r="4131" spans="1:9" x14ac:dyDescent="0.15">
      <c r="A4131" s="2">
        <v>464777</v>
      </c>
      <c r="B4131" s="2" t="s">
        <v>90</v>
      </c>
      <c r="C4131" s="2">
        <v>2018</v>
      </c>
      <c r="D4131" s="2" t="s">
        <v>1</v>
      </c>
      <c r="E4131" s="2" t="s">
        <v>32</v>
      </c>
      <c r="F4131" s="2" t="s">
        <v>65</v>
      </c>
      <c r="G4131" s="7"/>
      <c r="H4131" s="13" t="str">
        <f>IFERROR(IF(ABS($G4131)&gt;0,VLOOKUP($E4131,'Fuel Category and Heat Rate'!$B$1:$G$34,6,FALSE)*($G4131),""),"")</f>
        <v/>
      </c>
      <c r="I4131" t="str">
        <f>IFERROR(VLOOKUP($E4131,'Fuel Category and Heat Rate'!$K$2:$M$36,3,FALSE),"")</f>
        <v>electricity</v>
      </c>
    </row>
    <row r="4132" spans="1:9" x14ac:dyDescent="0.15">
      <c r="A4132" s="2">
        <v>464812</v>
      </c>
      <c r="B4132" s="2" t="s">
        <v>90</v>
      </c>
      <c r="C4132" s="2">
        <v>2018</v>
      </c>
      <c r="D4132" s="2" t="s">
        <v>1</v>
      </c>
      <c r="E4132" s="2" t="s">
        <v>10</v>
      </c>
      <c r="F4132" s="2" t="s">
        <v>36</v>
      </c>
      <c r="G4132" s="7">
        <v>-12.06</v>
      </c>
      <c r="H4132" s="13">
        <f>IFERROR(IF(ABS($G4132)&gt;0,VLOOKUP($E4132,'Fuel Category and Heat Rate'!$B$1:$G$34,6,FALSE)*($G4132),""),"")</f>
        <v>-4301362814110.7412</v>
      </c>
      <c r="I4132" t="str">
        <f>IFERROR(VLOOKUP($E4132,'Fuel Category and Heat Rate'!$K$2:$M$36,3,FALSE),"")</f>
        <v>LPG propane or butane</v>
      </c>
    </row>
    <row r="4133" spans="1:9" x14ac:dyDescent="0.15">
      <c r="A4133" s="2">
        <v>464847</v>
      </c>
      <c r="B4133" s="2" t="s">
        <v>90</v>
      </c>
      <c r="C4133" s="2">
        <v>2018</v>
      </c>
      <c r="D4133" s="2" t="s">
        <v>1</v>
      </c>
      <c r="E4133" s="2" t="s">
        <v>9</v>
      </c>
      <c r="F4133" s="2" t="s">
        <v>36</v>
      </c>
      <c r="G4133" s="7">
        <v>-2.4300000000000002</v>
      </c>
      <c r="H4133" s="13">
        <f>IFERROR(IF(ABS($G4133)&gt;0,VLOOKUP($E4133,'Fuel Category and Heat Rate'!$B$1:$G$34,6,FALSE)*($G4133),""),"")</f>
        <v>-3996850498483.0903</v>
      </c>
      <c r="I4133" t="str">
        <f>IFERROR(VLOOKUP($E4133,'Fuel Category and Heat Rate'!$K$2:$M$36,3,FALSE),"")</f>
        <v>LPG propane or butane</v>
      </c>
    </row>
    <row r="4134" spans="1:9" x14ac:dyDescent="0.15">
      <c r="A4134" s="2">
        <v>464882</v>
      </c>
      <c r="B4134" s="2" t="s">
        <v>90</v>
      </c>
      <c r="C4134" s="2">
        <v>2018</v>
      </c>
      <c r="D4134" s="2" t="s">
        <v>1</v>
      </c>
      <c r="E4134" s="2" t="s">
        <v>8</v>
      </c>
      <c r="F4134" s="2" t="s">
        <v>35</v>
      </c>
      <c r="G4134" s="7"/>
      <c r="H4134" s="13" t="str">
        <f>IFERROR(IF(ABS($G4134)&gt;0,VLOOKUP($E4134,'Fuel Category and Heat Rate'!$B$1:$G$34,6,FALSE)*($G4134),""),"")</f>
        <v/>
      </c>
      <c r="I4134" t="str">
        <f>IFERROR(VLOOKUP($E4134,'Fuel Category and Heat Rate'!$K$2:$M$36,3,FALSE),"")</f>
        <v>coal</v>
      </c>
    </row>
    <row r="4135" spans="1:9" x14ac:dyDescent="0.15">
      <c r="A4135" s="2">
        <v>464917</v>
      </c>
      <c r="B4135" s="2" t="s">
        <v>90</v>
      </c>
      <c r="C4135" s="2">
        <v>2018</v>
      </c>
      <c r="D4135" s="2" t="s">
        <v>1</v>
      </c>
      <c r="E4135" s="2" t="s">
        <v>27</v>
      </c>
      <c r="F4135" s="2" t="s">
        <v>35</v>
      </c>
      <c r="G4135" s="7">
        <v>-8.64</v>
      </c>
      <c r="H4135" s="13">
        <f>IFERROR(IF(ABS($G4135)&gt;0,VLOOKUP($E4135,'Fuel Category and Heat Rate'!$B$1:$G$34,6,FALSE)*($G4135),""),"")</f>
        <v>-3766840589528.9814</v>
      </c>
      <c r="I4135" t="str">
        <f>IFERROR(VLOOKUP($E4135,'Fuel Category and Heat Rate'!$K$2:$M$36,3,FALSE),"")</f>
        <v>LPG propane or butane</v>
      </c>
    </row>
    <row r="4136" spans="1:9" x14ac:dyDescent="0.15">
      <c r="A4136" s="2">
        <v>464952</v>
      </c>
      <c r="B4136" s="2" t="s">
        <v>90</v>
      </c>
      <c r="C4136" s="2">
        <v>2018</v>
      </c>
      <c r="D4136" s="2" t="s">
        <v>1</v>
      </c>
      <c r="E4136" s="2" t="s">
        <v>7</v>
      </c>
      <c r="F4136" s="2" t="s">
        <v>35</v>
      </c>
      <c r="G4136" s="7">
        <v>-7.9</v>
      </c>
      <c r="H4136" s="13">
        <f>IFERROR(IF(ABS($G4136)&gt;0,VLOOKUP($E4136,'Fuel Category and Heat Rate'!$B$1:$G$34,6,FALSE)*($G4136),""),"")</f>
        <v>-627024626231.87207</v>
      </c>
      <c r="I4136" t="str">
        <f>IFERROR(VLOOKUP($E4136,'Fuel Category and Heat Rate'!$K$2:$M$36,3,FALSE),"")</f>
        <v>coal</v>
      </c>
    </row>
    <row r="4137" spans="1:9" x14ac:dyDescent="0.15">
      <c r="A4137" s="2">
        <v>464987</v>
      </c>
      <c r="B4137" s="2" t="s">
        <v>90</v>
      </c>
      <c r="C4137" s="2">
        <v>2018</v>
      </c>
      <c r="D4137" s="2" t="s">
        <v>1</v>
      </c>
      <c r="E4137" s="2" t="s">
        <v>2</v>
      </c>
      <c r="F4137" s="2" t="s">
        <v>35</v>
      </c>
      <c r="G4137" s="7">
        <v>-231.28</v>
      </c>
      <c r="H4137" s="13">
        <f>IFERROR(IF(ABS($G4137)&gt;0,VLOOKUP($E4137,'Fuel Category and Heat Rate'!$B$1:$G$34,6,FALSE)*($G4137),""),"")</f>
        <v>0</v>
      </c>
      <c r="I4137" t="str">
        <f>IFERROR(VLOOKUP($E4137,'Fuel Category and Heat Rate'!$K$2:$M$36,3,FALSE),"")</f>
        <v/>
      </c>
    </row>
    <row r="4138" spans="1:9" x14ac:dyDescent="0.15">
      <c r="A4138" s="2">
        <v>465022</v>
      </c>
      <c r="B4138" s="2" t="s">
        <v>90</v>
      </c>
      <c r="C4138" s="2">
        <v>2018</v>
      </c>
      <c r="D4138" s="2" t="s">
        <v>1</v>
      </c>
      <c r="E4138" s="2" t="s">
        <v>17</v>
      </c>
      <c r="F4138" s="2" t="s">
        <v>35</v>
      </c>
      <c r="G4138" s="7"/>
      <c r="H4138" s="13" t="str">
        <f>IFERROR(IF(ABS($G4138)&gt;0,VLOOKUP($E4138,'Fuel Category and Heat Rate'!$B$1:$G$34,6,FALSE)*($G4138),""),"")</f>
        <v/>
      </c>
      <c r="I4138" t="str">
        <f>IFERROR(VLOOKUP($E4138,'Fuel Category and Heat Rate'!$K$2:$M$36,3,FALSE),"")</f>
        <v>petroleum diesel</v>
      </c>
    </row>
    <row r="4139" spans="1:9" x14ac:dyDescent="0.15">
      <c r="A4139" s="2">
        <v>465057</v>
      </c>
      <c r="B4139" s="2" t="s">
        <v>90</v>
      </c>
      <c r="C4139" s="2">
        <v>2018</v>
      </c>
      <c r="D4139" s="2" t="s">
        <v>1</v>
      </c>
      <c r="E4139" s="2" t="s">
        <v>13</v>
      </c>
      <c r="F4139" s="2" t="s">
        <v>35</v>
      </c>
      <c r="G4139" s="7"/>
      <c r="H4139" s="13" t="str">
        <f>IFERROR(IF(ABS($G4139)&gt;0,VLOOKUP($E4139,'Fuel Category and Heat Rate'!$B$1:$G$34,6,FALSE)*($G4139),""),"")</f>
        <v/>
      </c>
      <c r="I4139" t="str">
        <f>IFERROR(VLOOKUP($E4139,'Fuel Category and Heat Rate'!$K$2:$M$36,3,FALSE),"")</f>
        <v>petroleum diesel</v>
      </c>
    </row>
    <row r="4140" spans="1:9" x14ac:dyDescent="0.15">
      <c r="A4140" s="2">
        <v>465092</v>
      </c>
      <c r="B4140" s="2" t="s">
        <v>90</v>
      </c>
      <c r="C4140" s="2">
        <v>2018</v>
      </c>
      <c r="D4140" s="2" t="s">
        <v>1</v>
      </c>
      <c r="E4140" s="2" t="s">
        <v>12</v>
      </c>
      <c r="F4140" s="2" t="s">
        <v>36</v>
      </c>
      <c r="G4140" s="7"/>
      <c r="H4140" s="13" t="str">
        <f>IFERROR(IF(ABS($G4140)&gt;0,VLOOKUP($E4140,'Fuel Category and Heat Rate'!$B$1:$G$34,6,FALSE)*($G4140),""),"")</f>
        <v/>
      </c>
      <c r="I4140" t="str">
        <f>IFERROR(VLOOKUP($E4140,'Fuel Category and Heat Rate'!$K$2:$M$36,3,FALSE),"")</f>
        <v>LPG propane or butane</v>
      </c>
    </row>
    <row r="4141" spans="1:9" x14ac:dyDescent="0.15">
      <c r="A4141" s="2">
        <v>465127</v>
      </c>
      <c r="B4141" s="2" t="s">
        <v>90</v>
      </c>
      <c r="C4141" s="2">
        <v>2018</v>
      </c>
      <c r="D4141" s="2" t="s">
        <v>1</v>
      </c>
      <c r="E4141" s="2" t="s">
        <v>33</v>
      </c>
      <c r="F4141" s="2" t="s">
        <v>38</v>
      </c>
      <c r="G4141" s="7">
        <v>-1.04</v>
      </c>
      <c r="H4141" s="13">
        <f>IFERROR(IF(ABS($G4141)&gt;0,VLOOKUP($E4141,'Fuel Category and Heat Rate'!$B$1:$G$34,6,FALSE)*($G4141),""),"")</f>
        <v>-288532971974.89594</v>
      </c>
      <c r="I4141" t="str">
        <f>IFERROR(VLOOKUP($E4141,'Fuel Category and Heat Rate'!$K$2:$M$36,3,FALSE),"")</f>
        <v>biomass</v>
      </c>
    </row>
    <row r="4142" spans="1:9" x14ac:dyDescent="0.15">
      <c r="A4142" s="2">
        <v>465162</v>
      </c>
      <c r="B4142" s="2" t="s">
        <v>90</v>
      </c>
      <c r="C4142" s="2">
        <v>2018</v>
      </c>
      <c r="D4142" s="2" t="s">
        <v>1</v>
      </c>
      <c r="E4142" s="2" t="s">
        <v>28</v>
      </c>
      <c r="F4142" s="2" t="s">
        <v>35</v>
      </c>
      <c r="G4142" s="7"/>
      <c r="H4142" s="13" t="str">
        <f>IFERROR(IF(ABS($G4142)&gt;0,VLOOKUP($E4142,'Fuel Category and Heat Rate'!$B$1:$G$34,6,FALSE)*($G4142),""),"")</f>
        <v/>
      </c>
      <c r="I4142" t="str">
        <f>IFERROR(VLOOKUP($E4142,'Fuel Category and Heat Rate'!$K$2:$M$36,3,FALSE),"")</f>
        <v>heavy or residual fuel oil</v>
      </c>
    </row>
    <row r="4143" spans="1:9" x14ac:dyDescent="0.15">
      <c r="A4143" s="2">
        <v>465197</v>
      </c>
      <c r="B4143" s="2" t="s">
        <v>90</v>
      </c>
      <c r="C4143" s="2">
        <v>2018</v>
      </c>
      <c r="D4143" s="2" t="s">
        <v>1</v>
      </c>
      <c r="E4143" s="2" t="s">
        <v>5</v>
      </c>
      <c r="F4143" s="2" t="s">
        <v>35</v>
      </c>
      <c r="G4143" s="7"/>
      <c r="H4143" s="13" t="str">
        <f>IFERROR(IF(ABS($G4143)&gt;0,VLOOKUP($E4143,'Fuel Category and Heat Rate'!$B$1:$G$34,6,FALSE)*($G4143),""),"")</f>
        <v/>
      </c>
      <c r="I4143" t="str">
        <f>IFERROR(VLOOKUP($E4143,'Fuel Category and Heat Rate'!$K$2:$M$36,3,FALSE),"")</f>
        <v>coal</v>
      </c>
    </row>
    <row r="4144" spans="1:9" x14ac:dyDescent="0.15">
      <c r="A4144" s="2">
        <v>465232</v>
      </c>
      <c r="B4144" s="2" t="s">
        <v>90</v>
      </c>
      <c r="C4144" s="2">
        <v>2018</v>
      </c>
      <c r="D4144" s="2" t="s">
        <v>1</v>
      </c>
      <c r="E4144" s="2" t="s">
        <v>16</v>
      </c>
      <c r="F4144" s="2" t="s">
        <v>35</v>
      </c>
      <c r="G4144" s="7"/>
      <c r="H4144" s="13" t="str">
        <f>IFERROR(IF(ABS($G4144)&gt;0,VLOOKUP($E4144,'Fuel Category and Heat Rate'!$B$1:$G$34,6,FALSE)*($G4144),""),"")</f>
        <v/>
      </c>
      <c r="I4144" t="str">
        <f>IFERROR(VLOOKUP($E4144,'Fuel Category and Heat Rate'!$K$2:$M$36,3,FALSE),"")</f>
        <v>petroleum diesel</v>
      </c>
    </row>
    <row r="4145" spans="1:9" x14ac:dyDescent="0.15">
      <c r="A4145" s="2">
        <v>465267</v>
      </c>
      <c r="B4145" s="2" t="s">
        <v>90</v>
      </c>
      <c r="C4145" s="2">
        <v>2018</v>
      </c>
      <c r="D4145" s="2" t="s">
        <v>1</v>
      </c>
      <c r="E4145" s="2" t="s">
        <v>19</v>
      </c>
      <c r="F4145" s="2" t="s">
        <v>35</v>
      </c>
      <c r="G4145" s="7">
        <v>-7.96</v>
      </c>
      <c r="H4145" s="13">
        <f>IFERROR(IF(ABS($G4145)&gt;0,VLOOKUP($E4145,'Fuel Category and Heat Rate'!$B$1:$G$34,6,FALSE)*($G4145),""),"")</f>
        <v>-3154860095794.9287</v>
      </c>
      <c r="I4145" t="str">
        <f>IFERROR(VLOOKUP($E4145,'Fuel Category and Heat Rate'!$K$2:$M$36,3,FALSE),"")</f>
        <v>heavy or residual fuel oil</v>
      </c>
    </row>
    <row r="4146" spans="1:9" x14ac:dyDescent="0.15">
      <c r="A4146" s="2">
        <v>465302</v>
      </c>
      <c r="B4146" s="2" t="s">
        <v>90</v>
      </c>
      <c r="C4146" s="2">
        <v>2018</v>
      </c>
      <c r="D4146" s="2" t="s">
        <v>1</v>
      </c>
      <c r="E4146" s="2" t="s">
        <v>31</v>
      </c>
      <c r="F4146" s="2" t="s">
        <v>37</v>
      </c>
      <c r="G4146" s="7">
        <v>4815.8100000000004</v>
      </c>
      <c r="H4146" s="13">
        <f>IFERROR(IF(ABS($G4146)&gt;0,VLOOKUP($E4146,'Fuel Category and Heat Rate'!$B$1:$G$34,6,FALSE)*($G4146),""),"")</f>
        <v>45645071775110.297</v>
      </c>
      <c r="I4146" t="str">
        <f>IFERROR(VLOOKUP($E4146,'Fuel Category and Heat Rate'!$K$2:$M$36,3,FALSE),"")</f>
        <v>heat</v>
      </c>
    </row>
    <row r="4147" spans="1:9" x14ac:dyDescent="0.15">
      <c r="A4147" s="2">
        <v>465337</v>
      </c>
      <c r="B4147" s="2" t="s">
        <v>90</v>
      </c>
      <c r="C4147" s="2">
        <v>2018</v>
      </c>
      <c r="D4147" s="2" t="s">
        <v>1</v>
      </c>
      <c r="E4147" s="2" t="s">
        <v>23</v>
      </c>
      <c r="F4147" s="2" t="s">
        <v>35</v>
      </c>
      <c r="G4147" s="7"/>
      <c r="H4147" s="13" t="str">
        <f>IFERROR(IF(ABS($G4147)&gt;0,VLOOKUP($E4147,'Fuel Category and Heat Rate'!$B$1:$G$34,6,FALSE)*($G4147),""),"")</f>
        <v/>
      </c>
      <c r="I4147" t="str">
        <f>IFERROR(VLOOKUP($E4147,'Fuel Category and Heat Rate'!$K$2:$M$36,3,FALSE),"")</f>
        <v>heavy or residual fuel oil</v>
      </c>
    </row>
    <row r="4148" spans="1:9" x14ac:dyDescent="0.15">
      <c r="A4148" s="2">
        <v>465372</v>
      </c>
      <c r="B4148" s="2" t="s">
        <v>90</v>
      </c>
      <c r="C4148" s="2">
        <v>2018</v>
      </c>
      <c r="D4148" s="2" t="s">
        <v>1</v>
      </c>
      <c r="E4148" s="2" t="s">
        <v>21</v>
      </c>
      <c r="F4148" s="2" t="s">
        <v>35</v>
      </c>
      <c r="G4148" s="7"/>
      <c r="H4148" s="13" t="str">
        <f>IFERROR(IF(ABS($G4148)&gt;0,VLOOKUP($E4148,'Fuel Category and Heat Rate'!$B$1:$G$34,6,FALSE)*($G4148),""),"")</f>
        <v/>
      </c>
      <c r="I4148" t="str">
        <f>IFERROR(VLOOKUP($E4148,'Fuel Category and Heat Rate'!$K$2:$M$36,3,FALSE),"")</f>
        <v>LPG propane or butane</v>
      </c>
    </row>
    <row r="4149" spans="1:9" x14ac:dyDescent="0.15">
      <c r="A4149" s="2">
        <v>465407</v>
      </c>
      <c r="B4149" s="2" t="s">
        <v>90</v>
      </c>
      <c r="C4149" s="2">
        <v>2018</v>
      </c>
      <c r="D4149" s="2" t="s">
        <v>1</v>
      </c>
      <c r="E4149" s="2" t="s">
        <v>22</v>
      </c>
      <c r="F4149" s="2" t="s">
        <v>35</v>
      </c>
      <c r="G4149" s="7"/>
      <c r="H4149" s="13" t="str">
        <f>IFERROR(IF(ABS($G4149)&gt;0,VLOOKUP($E4149,'Fuel Category and Heat Rate'!$B$1:$G$34,6,FALSE)*($G4149),""),"")</f>
        <v/>
      </c>
      <c r="I4149" t="str">
        <f>IFERROR(VLOOKUP($E4149,'Fuel Category and Heat Rate'!$K$2:$M$36,3,FALSE),"")</f>
        <v>heavy fuel oil</v>
      </c>
    </row>
    <row r="4150" spans="1:9" x14ac:dyDescent="0.15">
      <c r="A4150" s="2">
        <v>465442</v>
      </c>
      <c r="B4150" s="2" t="s">
        <v>90</v>
      </c>
      <c r="C4150" s="2">
        <v>2018</v>
      </c>
      <c r="D4150" s="2" t="s">
        <v>1</v>
      </c>
      <c r="E4150" s="2" t="s">
        <v>20</v>
      </c>
      <c r="F4150" s="2" t="s">
        <v>35</v>
      </c>
      <c r="G4150" s="7"/>
      <c r="H4150" s="13" t="str">
        <f>IFERROR(IF(ABS($G4150)&gt;0,VLOOKUP($E4150,'Fuel Category and Heat Rate'!$B$1:$G$34,6,FALSE)*($G4150),""),"")</f>
        <v/>
      </c>
      <c r="I4150" t="str">
        <f>IFERROR(VLOOKUP($E4150,'Fuel Category and Heat Rate'!$K$2:$M$36,3,FALSE),"")</f>
        <v>LPG propane or butane</v>
      </c>
    </row>
    <row r="4151" spans="1:9" x14ac:dyDescent="0.15">
      <c r="A4151" s="2">
        <v>465477</v>
      </c>
      <c r="B4151" s="2" t="s">
        <v>90</v>
      </c>
      <c r="C4151" s="2">
        <v>2018</v>
      </c>
      <c r="D4151" s="2" t="s">
        <v>1</v>
      </c>
      <c r="E4151" s="2" t="s">
        <v>25</v>
      </c>
      <c r="F4151" s="2" t="s">
        <v>35</v>
      </c>
      <c r="G4151" s="7"/>
      <c r="H4151" s="13" t="str">
        <f>IFERROR(IF(ABS($G4151)&gt;0,VLOOKUP($E4151,'Fuel Category and Heat Rate'!$B$1:$G$34,6,FALSE)*($G4151),""),"")</f>
        <v/>
      </c>
      <c r="I4151" t="str">
        <f>IFERROR(VLOOKUP($E4151,'Fuel Category and Heat Rate'!$K$2:$M$36,3,FALSE),"")</f>
        <v>heavy fuel oil</v>
      </c>
    </row>
    <row r="4152" spans="1:9" x14ac:dyDescent="0.15">
      <c r="A4152" s="2">
        <v>465512</v>
      </c>
      <c r="B4152" s="2" t="s">
        <v>90</v>
      </c>
      <c r="C4152" s="2">
        <v>2018</v>
      </c>
      <c r="D4152" s="2" t="s">
        <v>1</v>
      </c>
      <c r="E4152" s="2" t="s">
        <v>24</v>
      </c>
      <c r="F4152" s="2" t="s">
        <v>35</v>
      </c>
      <c r="G4152" s="7"/>
      <c r="H4152" s="13" t="str">
        <f>IFERROR(IF(ABS($G4152)&gt;0,VLOOKUP($E4152,'Fuel Category and Heat Rate'!$B$1:$G$34,6,FALSE)*($G4152),""),"")</f>
        <v/>
      </c>
      <c r="I4152" t="str">
        <f>IFERROR(VLOOKUP($E4152,'Fuel Category and Heat Rate'!$K$2:$M$36,3,FALSE),"")</f>
        <v>heavy fuel oil</v>
      </c>
    </row>
    <row r="4153" spans="1:9" x14ac:dyDescent="0.15">
      <c r="A4153" s="2">
        <v>465547</v>
      </c>
      <c r="B4153" s="2" t="s">
        <v>90</v>
      </c>
      <c r="C4153" s="2">
        <v>2018</v>
      </c>
      <c r="D4153" s="2" t="s">
        <v>1</v>
      </c>
      <c r="E4153" s="2" t="s">
        <v>29</v>
      </c>
      <c r="F4153" s="2" t="s">
        <v>36</v>
      </c>
      <c r="G4153" s="7">
        <v>-3.21</v>
      </c>
      <c r="H4153" s="13">
        <f>IFERROR(IF(ABS($G4153)&gt;0,VLOOKUP($E4153,'Fuel Category and Heat Rate'!$B$1:$G$34,6,FALSE)*($G4153),""),"")</f>
        <v>-10826559086895.732</v>
      </c>
      <c r="I4153" t="str">
        <f>IFERROR(VLOOKUP($E4153,'Fuel Category and Heat Rate'!$K$2:$M$36,3,FALSE),"")</f>
        <v>natural gas</v>
      </c>
    </row>
    <row r="4154" spans="1:9" x14ac:dyDescent="0.15">
      <c r="A4154" s="2">
        <v>465582</v>
      </c>
      <c r="B4154" s="2" t="s">
        <v>90</v>
      </c>
      <c r="C4154" s="2">
        <v>2018</v>
      </c>
      <c r="D4154" s="2" t="s">
        <v>1</v>
      </c>
      <c r="E4154" s="2" t="s">
        <v>4</v>
      </c>
      <c r="F4154" s="2" t="s">
        <v>35</v>
      </c>
      <c r="G4154" s="7"/>
      <c r="H4154" s="13" t="str">
        <f>IFERROR(IF(ABS($G4154)&gt;0,VLOOKUP($E4154,'Fuel Category and Heat Rate'!$B$1:$G$34,6,FALSE)*($G4154),""),"")</f>
        <v/>
      </c>
      <c r="I4154" t="str">
        <f>IFERROR(VLOOKUP($E4154,'Fuel Category and Heat Rate'!$K$2:$M$36,3,FALSE),"")</f>
        <v>coal</v>
      </c>
    </row>
    <row r="4155" spans="1:9" x14ac:dyDescent="0.15">
      <c r="A4155" s="2">
        <v>465617</v>
      </c>
      <c r="B4155" s="2" t="s">
        <v>90</v>
      </c>
      <c r="C4155" s="2">
        <v>2018</v>
      </c>
      <c r="D4155" s="2" t="s">
        <v>1</v>
      </c>
      <c r="E4155" s="2" t="s">
        <v>6</v>
      </c>
      <c r="F4155" s="2" t="s">
        <v>35</v>
      </c>
      <c r="G4155" s="7"/>
      <c r="H4155" s="13" t="str">
        <f>IFERROR(IF(ABS($G4155)&gt;0,VLOOKUP($E4155,'Fuel Category and Heat Rate'!$B$1:$G$34,6,FALSE)*($G4155),""),"")</f>
        <v/>
      </c>
      <c r="I4155" t="str">
        <f>IFERROR(VLOOKUP($E4155,'Fuel Category and Heat Rate'!$K$2:$M$36,3,FALSE),"")</f>
        <v>coal</v>
      </c>
    </row>
    <row r="4156" spans="1:9" x14ac:dyDescent="0.15">
      <c r="A4156" s="2">
        <v>465652</v>
      </c>
      <c r="B4156" s="2" t="s">
        <v>90</v>
      </c>
      <c r="C4156" s="2">
        <v>2018</v>
      </c>
      <c r="D4156" s="2" t="s">
        <v>1</v>
      </c>
      <c r="E4156" s="2" t="s">
        <v>26</v>
      </c>
      <c r="F4156" s="2" t="s">
        <v>35</v>
      </c>
      <c r="G4156" s="7"/>
      <c r="H4156" s="13" t="str">
        <f>IFERROR(IF(ABS($G4156)&gt;0,VLOOKUP($E4156,'Fuel Category and Heat Rate'!$B$1:$G$34,6,FALSE)*($G4156),""),"")</f>
        <v/>
      </c>
      <c r="I4156" t="str">
        <f>IFERROR(VLOOKUP($E4156,'Fuel Category and Heat Rate'!$K$2:$M$36,3,FALSE),"")</f>
        <v>LPG propane or butane</v>
      </c>
    </row>
    <row r="4157" spans="1:9" x14ac:dyDescent="0.15">
      <c r="A4157" s="2">
        <v>465687</v>
      </c>
      <c r="B4157" s="2" t="s">
        <v>90</v>
      </c>
      <c r="C4157" s="2">
        <v>2018</v>
      </c>
      <c r="D4157" s="2" t="s">
        <v>1</v>
      </c>
      <c r="E4157" s="2" t="s">
        <v>30</v>
      </c>
      <c r="F4157" s="2" t="s">
        <v>35</v>
      </c>
      <c r="G4157" s="7"/>
      <c r="H4157" s="13" t="str">
        <f>IFERROR(IF(ABS($G4157)&gt;0,VLOOKUP($E4157,'Fuel Category and Heat Rate'!$B$1:$G$34,6,FALSE)*($G4157),""),"")</f>
        <v/>
      </c>
      <c r="I4157" t="str">
        <f>IFERROR(VLOOKUP($E4157,'Fuel Category and Heat Rate'!$K$2:$M$36,3,FALSE),"")</f>
        <v>natural gas</v>
      </c>
    </row>
    <row r="4158" spans="1:9" x14ac:dyDescent="0.15">
      <c r="A4158" s="2">
        <v>465722</v>
      </c>
      <c r="B4158" s="2" t="s">
        <v>90</v>
      </c>
      <c r="C4158" s="2">
        <v>2018</v>
      </c>
      <c r="D4158" s="2" t="s">
        <v>1</v>
      </c>
      <c r="E4158" s="2" t="s">
        <v>14</v>
      </c>
      <c r="F4158" s="2" t="s">
        <v>35</v>
      </c>
      <c r="G4158" s="7">
        <v>-16.600000000000001</v>
      </c>
      <c r="H4158" s="13">
        <f>IFERROR(IF(ABS($G4158)&gt;0,VLOOKUP($E4158,'Fuel Category and Heat Rate'!$B$1:$G$34,6,FALSE)*($G4158),""),"")</f>
        <v>0</v>
      </c>
      <c r="I4158" t="str">
        <f>IFERROR(VLOOKUP($E4158,'Fuel Category and Heat Rate'!$K$2:$M$36,3,FALSE),"")</f>
        <v/>
      </c>
    </row>
    <row r="4159" spans="1:9" x14ac:dyDescent="0.15">
      <c r="A4159" s="2">
        <v>465757</v>
      </c>
      <c r="B4159" s="2" t="s">
        <v>90</v>
      </c>
      <c r="C4159" s="2">
        <v>2018</v>
      </c>
      <c r="D4159" s="2" t="s">
        <v>1</v>
      </c>
      <c r="E4159" s="2" t="s">
        <v>3</v>
      </c>
      <c r="F4159" s="2" t="s">
        <v>35</v>
      </c>
      <c r="G4159" s="7">
        <v>-231.28</v>
      </c>
      <c r="H4159" s="13">
        <f>IFERROR(IF(ABS($G4159)&gt;0,VLOOKUP($E4159,'Fuel Category and Heat Rate'!$B$1:$G$34,6,FALSE)*($G4159),""),"")</f>
        <v>-45832666014789.641</v>
      </c>
      <c r="I4159" t="str">
        <f>IFERROR(VLOOKUP($E4159,'Fuel Category and Heat Rate'!$K$2:$M$36,3,FALSE),"")</f>
        <v>coal</v>
      </c>
    </row>
    <row r="4160" spans="1:9" x14ac:dyDescent="0.15">
      <c r="A4160" s="2">
        <v>465792</v>
      </c>
      <c r="B4160" s="2" t="s">
        <v>90</v>
      </c>
      <c r="C4160" s="2">
        <v>2018</v>
      </c>
      <c r="D4160" s="2" t="s">
        <v>1</v>
      </c>
      <c r="E4160" s="2" t="s">
        <v>15</v>
      </c>
      <c r="F4160" s="2" t="s">
        <v>35</v>
      </c>
      <c r="G4160" s="7"/>
      <c r="H4160" s="13" t="str">
        <f>IFERROR(IF(ABS($G4160)&gt;0,VLOOKUP($E4160,'Fuel Category and Heat Rate'!$B$1:$G$34,6,FALSE)*($G4160),""),"")</f>
        <v/>
      </c>
      <c r="I4160" t="str">
        <f>IFERROR(VLOOKUP($E4160,'Fuel Category and Heat Rate'!$K$2:$M$36,3,FALSE),"")</f>
        <v>crude oil</v>
      </c>
    </row>
    <row r="4161" spans="1:9" x14ac:dyDescent="0.15">
      <c r="A4161" s="2">
        <v>465827</v>
      </c>
      <c r="B4161" s="2" t="s">
        <v>90</v>
      </c>
      <c r="C4161" s="2">
        <v>2018</v>
      </c>
      <c r="D4161" s="2" t="s">
        <v>1</v>
      </c>
      <c r="E4161" s="2" t="s">
        <v>11</v>
      </c>
      <c r="F4161" s="2" t="s">
        <v>36</v>
      </c>
      <c r="G4161" s="7"/>
      <c r="H4161" s="13" t="str">
        <f>IFERROR(IF(ABS($G4161)&gt;0,VLOOKUP($E4161,'Fuel Category and Heat Rate'!$B$1:$G$34,6,FALSE)*($G4161),""),"")</f>
        <v/>
      </c>
      <c r="I4161" t="str">
        <f>IFERROR(VLOOKUP($E4161,'Fuel Category and Heat Rate'!$K$2:$M$36,3,FALSE),"")</f>
        <v>LPG propane or butane</v>
      </c>
    </row>
    <row r="4162" spans="1:9" x14ac:dyDescent="0.15">
      <c r="A4162" s="2">
        <v>478672</v>
      </c>
      <c r="B4162" s="2" t="s">
        <v>91</v>
      </c>
      <c r="C4162" s="2">
        <v>2022</v>
      </c>
      <c r="D4162" s="2" t="s">
        <v>1</v>
      </c>
      <c r="E4162" s="2" t="s">
        <v>18</v>
      </c>
      <c r="F4162" s="2" t="s">
        <v>35</v>
      </c>
      <c r="G4162" s="7"/>
      <c r="H4162" s="13" t="str">
        <f>IFERROR(IF(ABS($G4162)&gt;0,VLOOKUP($E4162,'Fuel Category and Heat Rate'!$B$1:$G$34,6,FALSE)*($G4162),""),"")</f>
        <v/>
      </c>
      <c r="I4162" t="str">
        <f>IFERROR(VLOOKUP($E4162,'Fuel Category and Heat Rate'!$K$2:$M$36,3,FALSE),"")</f>
        <v>petroleum diesel</v>
      </c>
    </row>
    <row r="4163" spans="1:9" x14ac:dyDescent="0.15">
      <c r="A4163" s="2">
        <v>478707</v>
      </c>
      <c r="B4163" s="2" t="s">
        <v>91</v>
      </c>
      <c r="C4163" s="2">
        <v>2022</v>
      </c>
      <c r="D4163" s="2" t="s">
        <v>1</v>
      </c>
      <c r="E4163" s="2" t="s">
        <v>32</v>
      </c>
      <c r="F4163" s="2" t="s">
        <v>65</v>
      </c>
      <c r="G4163" s="7"/>
      <c r="H4163" s="13" t="str">
        <f>IFERROR(IF(ABS($G4163)&gt;0,VLOOKUP($E4163,'Fuel Category and Heat Rate'!$B$1:$G$34,6,FALSE)*($G4163),""),"")</f>
        <v/>
      </c>
      <c r="I4163" t="str">
        <f>IFERROR(VLOOKUP($E4163,'Fuel Category and Heat Rate'!$K$2:$M$36,3,FALSE),"")</f>
        <v>electricity</v>
      </c>
    </row>
    <row r="4164" spans="1:9" x14ac:dyDescent="0.15">
      <c r="A4164" s="2">
        <v>478742</v>
      </c>
      <c r="B4164" s="2" t="s">
        <v>91</v>
      </c>
      <c r="C4164" s="2">
        <v>2022</v>
      </c>
      <c r="D4164" s="2" t="s">
        <v>1</v>
      </c>
      <c r="E4164" s="2" t="s">
        <v>10</v>
      </c>
      <c r="F4164" s="2" t="s">
        <v>36</v>
      </c>
      <c r="G4164" s="7"/>
      <c r="H4164" s="13" t="str">
        <f>IFERROR(IF(ABS($G4164)&gt;0,VLOOKUP($E4164,'Fuel Category and Heat Rate'!$B$1:$G$34,6,FALSE)*($G4164),""),"")</f>
        <v/>
      </c>
      <c r="I4164" t="str">
        <f>IFERROR(VLOOKUP($E4164,'Fuel Category and Heat Rate'!$K$2:$M$36,3,FALSE),"")</f>
        <v>LPG propane or butane</v>
      </c>
    </row>
    <row r="4165" spans="1:9" x14ac:dyDescent="0.15">
      <c r="A4165" s="2">
        <v>478777</v>
      </c>
      <c r="B4165" s="2" t="s">
        <v>91</v>
      </c>
      <c r="C4165" s="2">
        <v>2022</v>
      </c>
      <c r="D4165" s="2" t="s">
        <v>1</v>
      </c>
      <c r="E4165" s="2" t="s">
        <v>9</v>
      </c>
      <c r="F4165" s="2" t="s">
        <v>36</v>
      </c>
      <c r="G4165" s="7"/>
      <c r="H4165" s="13" t="str">
        <f>IFERROR(IF(ABS($G4165)&gt;0,VLOOKUP($E4165,'Fuel Category and Heat Rate'!$B$1:$G$34,6,FALSE)*($G4165),""),"")</f>
        <v/>
      </c>
      <c r="I4165" t="str">
        <f>IFERROR(VLOOKUP($E4165,'Fuel Category and Heat Rate'!$K$2:$M$36,3,FALSE),"")</f>
        <v>LPG propane or butane</v>
      </c>
    </row>
    <row r="4166" spans="1:9" x14ac:dyDescent="0.15">
      <c r="A4166" s="2">
        <v>478812</v>
      </c>
      <c r="B4166" s="2" t="s">
        <v>91</v>
      </c>
      <c r="C4166" s="2">
        <v>2022</v>
      </c>
      <c r="D4166" s="2" t="s">
        <v>1</v>
      </c>
      <c r="E4166" s="2" t="s">
        <v>8</v>
      </c>
      <c r="F4166" s="2" t="s">
        <v>35</v>
      </c>
      <c r="G4166" s="7"/>
      <c r="H4166" s="13" t="str">
        <f>IFERROR(IF(ABS($G4166)&gt;0,VLOOKUP($E4166,'Fuel Category and Heat Rate'!$B$1:$G$34,6,FALSE)*($G4166),""),"")</f>
        <v/>
      </c>
      <c r="I4166" t="str">
        <f>IFERROR(VLOOKUP($E4166,'Fuel Category and Heat Rate'!$K$2:$M$36,3,FALSE),"")</f>
        <v>coal</v>
      </c>
    </row>
    <row r="4167" spans="1:9" x14ac:dyDescent="0.15">
      <c r="A4167" s="2">
        <v>478847</v>
      </c>
      <c r="B4167" s="2" t="s">
        <v>91</v>
      </c>
      <c r="C4167" s="2">
        <v>2022</v>
      </c>
      <c r="D4167" s="2" t="s">
        <v>1</v>
      </c>
      <c r="E4167" s="2" t="s">
        <v>27</v>
      </c>
      <c r="F4167" s="2" t="s">
        <v>35</v>
      </c>
      <c r="G4167" s="7">
        <v>-0.01</v>
      </c>
      <c r="H4167" s="13">
        <f>IFERROR(IF(ABS($G4167)&gt;0,VLOOKUP($E4167,'Fuel Category and Heat Rate'!$B$1:$G$34,6,FALSE)*($G4167),""),"")</f>
        <v>-4359769200.8437281</v>
      </c>
      <c r="I4167" t="str">
        <f>IFERROR(VLOOKUP($E4167,'Fuel Category and Heat Rate'!$K$2:$M$36,3,FALSE),"")</f>
        <v>LPG propane or butane</v>
      </c>
    </row>
    <row r="4168" spans="1:9" x14ac:dyDescent="0.15">
      <c r="A4168" s="2">
        <v>478882</v>
      </c>
      <c r="B4168" s="2" t="s">
        <v>91</v>
      </c>
      <c r="C4168" s="2">
        <v>2022</v>
      </c>
      <c r="D4168" s="2" t="s">
        <v>1</v>
      </c>
      <c r="E4168" s="2" t="s">
        <v>7</v>
      </c>
      <c r="F4168" s="2" t="s">
        <v>35</v>
      </c>
      <c r="G4168" s="7"/>
      <c r="H4168" s="13" t="str">
        <f>IFERROR(IF(ABS($G4168)&gt;0,VLOOKUP($E4168,'Fuel Category and Heat Rate'!$B$1:$G$34,6,FALSE)*($G4168),""),"")</f>
        <v/>
      </c>
      <c r="I4168" t="str">
        <f>IFERROR(VLOOKUP($E4168,'Fuel Category and Heat Rate'!$K$2:$M$36,3,FALSE),"")</f>
        <v>coal</v>
      </c>
    </row>
    <row r="4169" spans="1:9" x14ac:dyDescent="0.15">
      <c r="A4169" s="2">
        <v>478917</v>
      </c>
      <c r="B4169" s="2" t="s">
        <v>91</v>
      </c>
      <c r="C4169" s="2">
        <v>2022</v>
      </c>
      <c r="D4169" s="2" t="s">
        <v>1</v>
      </c>
      <c r="E4169" s="2" t="s">
        <v>2</v>
      </c>
      <c r="F4169" s="2" t="s">
        <v>35</v>
      </c>
      <c r="G4169" s="7">
        <v>-768.05</v>
      </c>
      <c r="H4169" s="13">
        <f>IFERROR(IF(ABS($G4169)&gt;0,VLOOKUP($E4169,'Fuel Category and Heat Rate'!$B$1:$G$34,6,FALSE)*($G4169),""),"")</f>
        <v>0</v>
      </c>
      <c r="I4169" t="str">
        <f>IFERROR(VLOOKUP($E4169,'Fuel Category and Heat Rate'!$K$2:$M$36,3,FALSE),"")</f>
        <v/>
      </c>
    </row>
    <row r="4170" spans="1:9" x14ac:dyDescent="0.15">
      <c r="A4170" s="2">
        <v>478952</v>
      </c>
      <c r="B4170" s="2" t="s">
        <v>91</v>
      </c>
      <c r="C4170" s="2">
        <v>2022</v>
      </c>
      <c r="D4170" s="2" t="s">
        <v>1</v>
      </c>
      <c r="E4170" s="2" t="s">
        <v>17</v>
      </c>
      <c r="F4170" s="2" t="s">
        <v>35</v>
      </c>
      <c r="G4170" s="7"/>
      <c r="H4170" s="13" t="str">
        <f>IFERROR(IF(ABS($G4170)&gt;0,VLOOKUP($E4170,'Fuel Category and Heat Rate'!$B$1:$G$34,6,FALSE)*($G4170),""),"")</f>
        <v/>
      </c>
      <c r="I4170" t="str">
        <f>IFERROR(VLOOKUP($E4170,'Fuel Category and Heat Rate'!$K$2:$M$36,3,FALSE),"")</f>
        <v>petroleum diesel</v>
      </c>
    </row>
    <row r="4171" spans="1:9" x14ac:dyDescent="0.15">
      <c r="A4171" s="2">
        <v>478987</v>
      </c>
      <c r="B4171" s="2" t="s">
        <v>91</v>
      </c>
      <c r="C4171" s="2">
        <v>2022</v>
      </c>
      <c r="D4171" s="2" t="s">
        <v>1</v>
      </c>
      <c r="E4171" s="2" t="s">
        <v>13</v>
      </c>
      <c r="F4171" s="2" t="s">
        <v>35</v>
      </c>
      <c r="G4171" s="7"/>
      <c r="H4171" s="13" t="str">
        <f>IFERROR(IF(ABS($G4171)&gt;0,VLOOKUP($E4171,'Fuel Category and Heat Rate'!$B$1:$G$34,6,FALSE)*($G4171),""),"")</f>
        <v/>
      </c>
      <c r="I4171" t="str">
        <f>IFERROR(VLOOKUP($E4171,'Fuel Category and Heat Rate'!$K$2:$M$36,3,FALSE),"")</f>
        <v>petroleum diesel</v>
      </c>
    </row>
    <row r="4172" spans="1:9" x14ac:dyDescent="0.15">
      <c r="A4172" s="2">
        <v>479022</v>
      </c>
      <c r="B4172" s="2" t="s">
        <v>91</v>
      </c>
      <c r="C4172" s="2">
        <v>2022</v>
      </c>
      <c r="D4172" s="2" t="s">
        <v>1</v>
      </c>
      <c r="E4172" s="2" t="s">
        <v>12</v>
      </c>
      <c r="F4172" s="2" t="s">
        <v>36</v>
      </c>
      <c r="G4172" s="7"/>
      <c r="H4172" s="13" t="str">
        <f>IFERROR(IF(ABS($G4172)&gt;0,VLOOKUP($E4172,'Fuel Category and Heat Rate'!$B$1:$G$34,6,FALSE)*($G4172),""),"")</f>
        <v/>
      </c>
      <c r="I4172" t="str">
        <f>IFERROR(VLOOKUP($E4172,'Fuel Category and Heat Rate'!$K$2:$M$36,3,FALSE),"")</f>
        <v>LPG propane or butane</v>
      </c>
    </row>
    <row r="4173" spans="1:9" x14ac:dyDescent="0.15">
      <c r="A4173" s="2">
        <v>479057</v>
      </c>
      <c r="B4173" s="2" t="s">
        <v>91</v>
      </c>
      <c r="C4173" s="2">
        <v>2022</v>
      </c>
      <c r="D4173" s="2" t="s">
        <v>1</v>
      </c>
      <c r="E4173" s="2" t="s">
        <v>33</v>
      </c>
      <c r="F4173" s="2" t="s">
        <v>38</v>
      </c>
      <c r="G4173" s="7">
        <v>-16.190000000000001</v>
      </c>
      <c r="H4173" s="13">
        <f>IFERROR(IF(ABS($G4173)&gt;0,VLOOKUP($E4173,'Fuel Category and Heat Rate'!$B$1:$G$34,6,FALSE)*($G4173),""),"")</f>
        <v>-4491681554109.1973</v>
      </c>
      <c r="I4173" t="str">
        <f>IFERROR(VLOOKUP($E4173,'Fuel Category and Heat Rate'!$K$2:$M$36,3,FALSE),"")</f>
        <v>biomass</v>
      </c>
    </row>
    <row r="4174" spans="1:9" x14ac:dyDescent="0.15">
      <c r="A4174" s="2">
        <v>479092</v>
      </c>
      <c r="B4174" s="2" t="s">
        <v>91</v>
      </c>
      <c r="C4174" s="2">
        <v>2022</v>
      </c>
      <c r="D4174" s="2" t="s">
        <v>1</v>
      </c>
      <c r="E4174" s="2" t="s">
        <v>28</v>
      </c>
      <c r="F4174" s="2" t="s">
        <v>35</v>
      </c>
      <c r="G4174" s="7"/>
      <c r="H4174" s="13" t="str">
        <f>IFERROR(IF(ABS($G4174)&gt;0,VLOOKUP($E4174,'Fuel Category and Heat Rate'!$B$1:$G$34,6,FALSE)*($G4174),""),"")</f>
        <v/>
      </c>
      <c r="I4174" t="str">
        <f>IFERROR(VLOOKUP($E4174,'Fuel Category and Heat Rate'!$K$2:$M$36,3,FALSE),"")</f>
        <v>heavy or residual fuel oil</v>
      </c>
    </row>
    <row r="4175" spans="1:9" x14ac:dyDescent="0.15">
      <c r="A4175" s="2">
        <v>479127</v>
      </c>
      <c r="B4175" s="2" t="s">
        <v>91</v>
      </c>
      <c r="C4175" s="2">
        <v>2022</v>
      </c>
      <c r="D4175" s="2" t="s">
        <v>1</v>
      </c>
      <c r="E4175" s="2" t="s">
        <v>5</v>
      </c>
      <c r="F4175" s="2" t="s">
        <v>35</v>
      </c>
      <c r="G4175" s="7">
        <v>-1.48</v>
      </c>
      <c r="H4175" s="13">
        <f>IFERROR(IF(ABS($G4175)&gt;0,VLOOKUP($E4175,'Fuel Category and Heat Rate'!$B$1:$G$34,6,FALSE)*($G4175),""),"")</f>
        <v>-117313600033.59064</v>
      </c>
      <c r="I4175" t="str">
        <f>IFERROR(VLOOKUP($E4175,'Fuel Category and Heat Rate'!$K$2:$M$36,3,FALSE),"")</f>
        <v>coal</v>
      </c>
    </row>
    <row r="4176" spans="1:9" x14ac:dyDescent="0.15">
      <c r="A4176" s="2">
        <v>479162</v>
      </c>
      <c r="B4176" s="2" t="s">
        <v>91</v>
      </c>
      <c r="C4176" s="2">
        <v>2022</v>
      </c>
      <c r="D4176" s="2" t="s">
        <v>1</v>
      </c>
      <c r="E4176" s="2" t="s">
        <v>16</v>
      </c>
      <c r="F4176" s="2" t="s">
        <v>35</v>
      </c>
      <c r="G4176" s="7"/>
      <c r="H4176" s="13" t="str">
        <f>IFERROR(IF(ABS($G4176)&gt;0,VLOOKUP($E4176,'Fuel Category and Heat Rate'!$B$1:$G$34,6,FALSE)*($G4176),""),"")</f>
        <v/>
      </c>
      <c r="I4176" t="str">
        <f>IFERROR(VLOOKUP($E4176,'Fuel Category and Heat Rate'!$K$2:$M$36,3,FALSE),"")</f>
        <v>petroleum diesel</v>
      </c>
    </row>
    <row r="4177" spans="1:9" x14ac:dyDescent="0.15">
      <c r="A4177" s="2">
        <v>479197</v>
      </c>
      <c r="B4177" s="2" t="s">
        <v>91</v>
      </c>
      <c r="C4177" s="2">
        <v>2022</v>
      </c>
      <c r="D4177" s="2" t="s">
        <v>1</v>
      </c>
      <c r="E4177" s="2" t="s">
        <v>19</v>
      </c>
      <c r="F4177" s="2" t="s">
        <v>35</v>
      </c>
      <c r="G4177" s="7">
        <v>-0.06</v>
      </c>
      <c r="H4177" s="13">
        <f>IFERROR(IF(ABS($G4177)&gt;0,VLOOKUP($E4177,'Fuel Category and Heat Rate'!$B$1:$G$34,6,FALSE)*($G4177),""),"")</f>
        <v>-23780352480.866295</v>
      </c>
      <c r="I4177" t="str">
        <f>IFERROR(VLOOKUP($E4177,'Fuel Category and Heat Rate'!$K$2:$M$36,3,FALSE),"")</f>
        <v>heavy or residual fuel oil</v>
      </c>
    </row>
    <row r="4178" spans="1:9" x14ac:dyDescent="0.15">
      <c r="A4178" s="2">
        <v>479232</v>
      </c>
      <c r="B4178" s="2" t="s">
        <v>91</v>
      </c>
      <c r="C4178" s="2">
        <v>2022</v>
      </c>
      <c r="D4178" s="2" t="s">
        <v>1</v>
      </c>
      <c r="E4178" s="2" t="s">
        <v>31</v>
      </c>
      <c r="F4178" s="2" t="s">
        <v>37</v>
      </c>
      <c r="G4178" s="7">
        <v>24939.759999999998</v>
      </c>
      <c r="H4178" s="13">
        <f>IFERROR(IF(ABS($G4178)&gt;0,VLOOKUP($E4178,'Fuel Category and Heat Rate'!$B$1:$G$34,6,FALSE)*($G4178),""),"")</f>
        <v>236383315632058.72</v>
      </c>
      <c r="I4178" t="str">
        <f>IFERROR(VLOOKUP($E4178,'Fuel Category and Heat Rate'!$K$2:$M$36,3,FALSE),"")</f>
        <v>heat</v>
      </c>
    </row>
    <row r="4179" spans="1:9" x14ac:dyDescent="0.15">
      <c r="A4179" s="2">
        <v>479267</v>
      </c>
      <c r="B4179" s="2" t="s">
        <v>91</v>
      </c>
      <c r="C4179" s="2">
        <v>2022</v>
      </c>
      <c r="D4179" s="2" t="s">
        <v>1</v>
      </c>
      <c r="E4179" s="2" t="s">
        <v>23</v>
      </c>
      <c r="F4179" s="2" t="s">
        <v>35</v>
      </c>
      <c r="G4179" s="7"/>
      <c r="H4179" s="13" t="str">
        <f>IFERROR(IF(ABS($G4179)&gt;0,VLOOKUP($E4179,'Fuel Category and Heat Rate'!$B$1:$G$34,6,FALSE)*($G4179),""),"")</f>
        <v/>
      </c>
      <c r="I4179" t="str">
        <f>IFERROR(VLOOKUP($E4179,'Fuel Category and Heat Rate'!$K$2:$M$36,3,FALSE),"")</f>
        <v>heavy or residual fuel oil</v>
      </c>
    </row>
    <row r="4180" spans="1:9" x14ac:dyDescent="0.15">
      <c r="A4180" s="2">
        <v>479302</v>
      </c>
      <c r="B4180" s="2" t="s">
        <v>91</v>
      </c>
      <c r="C4180" s="2">
        <v>2022</v>
      </c>
      <c r="D4180" s="2" t="s">
        <v>1</v>
      </c>
      <c r="E4180" s="2" t="s">
        <v>21</v>
      </c>
      <c r="F4180" s="2" t="s">
        <v>35</v>
      </c>
      <c r="G4180" s="7"/>
      <c r="H4180" s="13" t="str">
        <f>IFERROR(IF(ABS($G4180)&gt;0,VLOOKUP($E4180,'Fuel Category and Heat Rate'!$B$1:$G$34,6,FALSE)*($G4180),""),"")</f>
        <v/>
      </c>
      <c r="I4180" t="str">
        <f>IFERROR(VLOOKUP($E4180,'Fuel Category and Heat Rate'!$K$2:$M$36,3,FALSE),"")</f>
        <v>LPG propane or butane</v>
      </c>
    </row>
    <row r="4181" spans="1:9" x14ac:dyDescent="0.15">
      <c r="A4181" s="2">
        <v>479337</v>
      </c>
      <c r="B4181" s="2" t="s">
        <v>91</v>
      </c>
      <c r="C4181" s="2">
        <v>2022</v>
      </c>
      <c r="D4181" s="2" t="s">
        <v>1</v>
      </c>
      <c r="E4181" s="2" t="s">
        <v>22</v>
      </c>
      <c r="F4181" s="2" t="s">
        <v>35</v>
      </c>
      <c r="G4181" s="7"/>
      <c r="H4181" s="13" t="str">
        <f>IFERROR(IF(ABS($G4181)&gt;0,VLOOKUP($E4181,'Fuel Category and Heat Rate'!$B$1:$G$34,6,FALSE)*($G4181),""),"")</f>
        <v/>
      </c>
      <c r="I4181" t="str">
        <f>IFERROR(VLOOKUP($E4181,'Fuel Category and Heat Rate'!$K$2:$M$36,3,FALSE),"")</f>
        <v>heavy fuel oil</v>
      </c>
    </row>
    <row r="4182" spans="1:9" x14ac:dyDescent="0.15">
      <c r="A4182" s="2">
        <v>479372</v>
      </c>
      <c r="B4182" s="2" t="s">
        <v>91</v>
      </c>
      <c r="C4182" s="2">
        <v>2022</v>
      </c>
      <c r="D4182" s="2" t="s">
        <v>1</v>
      </c>
      <c r="E4182" s="2" t="s">
        <v>20</v>
      </c>
      <c r="F4182" s="2" t="s">
        <v>35</v>
      </c>
      <c r="G4182" s="7"/>
      <c r="H4182" s="13" t="str">
        <f>IFERROR(IF(ABS($G4182)&gt;0,VLOOKUP($E4182,'Fuel Category and Heat Rate'!$B$1:$G$34,6,FALSE)*($G4182),""),"")</f>
        <v/>
      </c>
      <c r="I4182" t="str">
        <f>IFERROR(VLOOKUP($E4182,'Fuel Category and Heat Rate'!$K$2:$M$36,3,FALSE),"")</f>
        <v>LPG propane or butane</v>
      </c>
    </row>
    <row r="4183" spans="1:9" x14ac:dyDescent="0.15">
      <c r="A4183" s="2">
        <v>479407</v>
      </c>
      <c r="B4183" s="2" t="s">
        <v>91</v>
      </c>
      <c r="C4183" s="2">
        <v>2022</v>
      </c>
      <c r="D4183" s="2" t="s">
        <v>1</v>
      </c>
      <c r="E4183" s="2" t="s">
        <v>25</v>
      </c>
      <c r="F4183" s="2" t="s">
        <v>35</v>
      </c>
      <c r="G4183" s="7">
        <v>-37.1</v>
      </c>
      <c r="H4183" s="13">
        <f>IFERROR(IF(ABS($G4183)&gt;0,VLOOKUP($E4183,'Fuel Category and Heat Rate'!$B$1:$G$34,6,FALSE)*($G4183),""),"")</f>
        <v>-11233847952219.781</v>
      </c>
      <c r="I4183" t="str">
        <f>IFERROR(VLOOKUP($E4183,'Fuel Category and Heat Rate'!$K$2:$M$36,3,FALSE),"")</f>
        <v>heavy fuel oil</v>
      </c>
    </row>
    <row r="4184" spans="1:9" x14ac:dyDescent="0.15">
      <c r="A4184" s="2">
        <v>479442</v>
      </c>
      <c r="B4184" s="2" t="s">
        <v>91</v>
      </c>
      <c r="C4184" s="2">
        <v>2022</v>
      </c>
      <c r="D4184" s="2" t="s">
        <v>1</v>
      </c>
      <c r="E4184" s="2" t="s">
        <v>24</v>
      </c>
      <c r="F4184" s="2" t="s">
        <v>35</v>
      </c>
      <c r="G4184" s="7"/>
      <c r="H4184" s="13" t="str">
        <f>IFERROR(IF(ABS($G4184)&gt;0,VLOOKUP($E4184,'Fuel Category and Heat Rate'!$B$1:$G$34,6,FALSE)*($G4184),""),"")</f>
        <v/>
      </c>
      <c r="I4184" t="str">
        <f>IFERROR(VLOOKUP($E4184,'Fuel Category and Heat Rate'!$K$2:$M$36,3,FALSE),"")</f>
        <v>heavy fuel oil</v>
      </c>
    </row>
    <row r="4185" spans="1:9" x14ac:dyDescent="0.15">
      <c r="A4185" s="2">
        <v>479477</v>
      </c>
      <c r="B4185" s="2" t="s">
        <v>91</v>
      </c>
      <c r="C4185" s="2">
        <v>2022</v>
      </c>
      <c r="D4185" s="2" t="s">
        <v>1</v>
      </c>
      <c r="E4185" s="2" t="s">
        <v>29</v>
      </c>
      <c r="F4185" s="2" t="s">
        <v>36</v>
      </c>
      <c r="G4185" s="7">
        <v>-36.659999999999997</v>
      </c>
      <c r="H4185" s="13">
        <f>IFERROR(IF(ABS($G4185)&gt;0,VLOOKUP($E4185,'Fuel Category and Heat Rate'!$B$1:$G$34,6,FALSE)*($G4185),""),"")</f>
        <v>-123645375740061.53</v>
      </c>
      <c r="I4185" t="str">
        <f>IFERROR(VLOOKUP($E4185,'Fuel Category and Heat Rate'!$K$2:$M$36,3,FALSE),"")</f>
        <v>natural gas</v>
      </c>
    </row>
    <row r="4186" spans="1:9" x14ac:dyDescent="0.15">
      <c r="A4186" s="2">
        <v>479512</v>
      </c>
      <c r="B4186" s="2" t="s">
        <v>91</v>
      </c>
      <c r="C4186" s="2">
        <v>2022</v>
      </c>
      <c r="D4186" s="2" t="s">
        <v>1</v>
      </c>
      <c r="E4186" s="2" t="s">
        <v>4</v>
      </c>
      <c r="F4186" s="2" t="s">
        <v>35</v>
      </c>
      <c r="G4186" s="7"/>
      <c r="H4186" s="13" t="str">
        <f>IFERROR(IF(ABS($G4186)&gt;0,VLOOKUP($E4186,'Fuel Category and Heat Rate'!$B$1:$G$34,6,FALSE)*($G4186),""),"")</f>
        <v/>
      </c>
      <c r="I4186" t="str">
        <f>IFERROR(VLOOKUP($E4186,'Fuel Category and Heat Rate'!$K$2:$M$36,3,FALSE),"")</f>
        <v>coal</v>
      </c>
    </row>
    <row r="4187" spans="1:9" x14ac:dyDescent="0.15">
      <c r="A4187" s="2">
        <v>479547</v>
      </c>
      <c r="B4187" s="2" t="s">
        <v>91</v>
      </c>
      <c r="C4187" s="2">
        <v>2022</v>
      </c>
      <c r="D4187" s="2" t="s">
        <v>1</v>
      </c>
      <c r="E4187" s="2" t="s">
        <v>6</v>
      </c>
      <c r="F4187" s="2" t="s">
        <v>35</v>
      </c>
      <c r="G4187" s="7"/>
      <c r="H4187" s="13" t="str">
        <f>IFERROR(IF(ABS($G4187)&gt;0,VLOOKUP($E4187,'Fuel Category and Heat Rate'!$B$1:$G$34,6,FALSE)*($G4187),""),"")</f>
        <v/>
      </c>
      <c r="I4187" t="str">
        <f>IFERROR(VLOOKUP($E4187,'Fuel Category and Heat Rate'!$K$2:$M$36,3,FALSE),"")</f>
        <v>coal</v>
      </c>
    </row>
    <row r="4188" spans="1:9" x14ac:dyDescent="0.15">
      <c r="A4188" s="2">
        <v>479582</v>
      </c>
      <c r="B4188" s="2" t="s">
        <v>91</v>
      </c>
      <c r="C4188" s="2">
        <v>2022</v>
      </c>
      <c r="D4188" s="2" t="s">
        <v>1</v>
      </c>
      <c r="E4188" s="2" t="s">
        <v>26</v>
      </c>
      <c r="F4188" s="2" t="s">
        <v>35</v>
      </c>
      <c r="G4188" s="7"/>
      <c r="H4188" s="13" t="str">
        <f>IFERROR(IF(ABS($G4188)&gt;0,VLOOKUP($E4188,'Fuel Category and Heat Rate'!$B$1:$G$34,6,FALSE)*($G4188),""),"")</f>
        <v/>
      </c>
      <c r="I4188" t="str">
        <f>IFERROR(VLOOKUP($E4188,'Fuel Category and Heat Rate'!$K$2:$M$36,3,FALSE),"")</f>
        <v>LPG propane or butane</v>
      </c>
    </row>
    <row r="4189" spans="1:9" x14ac:dyDescent="0.15">
      <c r="A4189" s="2">
        <v>479617</v>
      </c>
      <c r="B4189" s="2" t="s">
        <v>91</v>
      </c>
      <c r="C4189" s="2">
        <v>2022</v>
      </c>
      <c r="D4189" s="2" t="s">
        <v>1</v>
      </c>
      <c r="E4189" s="2" t="s">
        <v>30</v>
      </c>
      <c r="F4189" s="2" t="s">
        <v>35</v>
      </c>
      <c r="G4189" s="7">
        <v>-8.68</v>
      </c>
      <c r="H4189" s="13">
        <f>IFERROR(IF(ABS($G4189)&gt;0,VLOOKUP($E4189,'Fuel Category and Heat Rate'!$B$1:$G$34,6,FALSE)*($G4189),""),"")</f>
        <v>-4231502247013.7485</v>
      </c>
      <c r="I4189" t="str">
        <f>IFERROR(VLOOKUP($E4189,'Fuel Category and Heat Rate'!$K$2:$M$36,3,FALSE),"")</f>
        <v>natural gas</v>
      </c>
    </row>
    <row r="4190" spans="1:9" x14ac:dyDescent="0.15">
      <c r="A4190" s="2">
        <v>479652</v>
      </c>
      <c r="B4190" s="2" t="s">
        <v>91</v>
      </c>
      <c r="C4190" s="2">
        <v>2022</v>
      </c>
      <c r="D4190" s="2" t="s">
        <v>1</v>
      </c>
      <c r="E4190" s="2" t="s">
        <v>14</v>
      </c>
      <c r="F4190" s="2" t="s">
        <v>35</v>
      </c>
      <c r="G4190" s="7">
        <v>-37.17</v>
      </c>
      <c r="H4190" s="13">
        <f>IFERROR(IF(ABS($G4190)&gt;0,VLOOKUP($E4190,'Fuel Category and Heat Rate'!$B$1:$G$34,6,FALSE)*($G4190),""),"")</f>
        <v>0</v>
      </c>
      <c r="I4190" t="str">
        <f>IFERROR(VLOOKUP($E4190,'Fuel Category and Heat Rate'!$K$2:$M$36,3,FALSE),"")</f>
        <v/>
      </c>
    </row>
    <row r="4191" spans="1:9" x14ac:dyDescent="0.15">
      <c r="A4191" s="2">
        <v>479687</v>
      </c>
      <c r="B4191" s="2" t="s">
        <v>91</v>
      </c>
      <c r="C4191" s="2">
        <v>2022</v>
      </c>
      <c r="D4191" s="2" t="s">
        <v>1</v>
      </c>
      <c r="E4191" s="2" t="s">
        <v>3</v>
      </c>
      <c r="F4191" s="2" t="s">
        <v>35</v>
      </c>
      <c r="G4191" s="7">
        <v>-766.57</v>
      </c>
      <c r="H4191" s="13">
        <f>IFERROR(IF(ABS($G4191)&gt;0,VLOOKUP($E4191,'Fuel Category and Heat Rate'!$B$1:$G$34,6,FALSE)*($G4191),""),"")</f>
        <v>-151910873343814</v>
      </c>
      <c r="I4191" t="str">
        <f>IFERROR(VLOOKUP($E4191,'Fuel Category and Heat Rate'!$K$2:$M$36,3,FALSE),"")</f>
        <v>coal</v>
      </c>
    </row>
    <row r="4192" spans="1:9" x14ac:dyDescent="0.15">
      <c r="A4192" s="2">
        <v>479722</v>
      </c>
      <c r="B4192" s="2" t="s">
        <v>91</v>
      </c>
      <c r="C4192" s="2">
        <v>2022</v>
      </c>
      <c r="D4192" s="2" t="s">
        <v>1</v>
      </c>
      <c r="E4192" s="2" t="s">
        <v>15</v>
      </c>
      <c r="F4192" s="2" t="s">
        <v>35</v>
      </c>
      <c r="G4192" s="7"/>
      <c r="H4192" s="13" t="str">
        <f>IFERROR(IF(ABS($G4192)&gt;0,VLOOKUP($E4192,'Fuel Category and Heat Rate'!$B$1:$G$34,6,FALSE)*($G4192),""),"")</f>
        <v/>
      </c>
      <c r="I4192" t="str">
        <f>IFERROR(VLOOKUP($E4192,'Fuel Category and Heat Rate'!$K$2:$M$36,3,FALSE),"")</f>
        <v>crude oil</v>
      </c>
    </row>
    <row r="4193" spans="1:9" x14ac:dyDescent="0.15">
      <c r="A4193" s="2">
        <v>479757</v>
      </c>
      <c r="B4193" s="2" t="s">
        <v>91</v>
      </c>
      <c r="C4193" s="2">
        <v>2022</v>
      </c>
      <c r="D4193" s="2" t="s">
        <v>1</v>
      </c>
      <c r="E4193" s="2" t="s">
        <v>11</v>
      </c>
      <c r="F4193" s="2" t="s">
        <v>36</v>
      </c>
      <c r="G4193" s="7"/>
      <c r="H4193" s="13" t="str">
        <f>IFERROR(IF(ABS($G4193)&gt;0,VLOOKUP($E4193,'Fuel Category and Heat Rate'!$B$1:$G$34,6,FALSE)*($G4193),""),"")</f>
        <v/>
      </c>
      <c r="I4193" t="str">
        <f>IFERROR(VLOOKUP($E4193,'Fuel Category and Heat Rate'!$K$2:$M$36,3,FALSE),"")</f>
        <v>LPG propane or butane</v>
      </c>
    </row>
    <row r="4194" spans="1:9" x14ac:dyDescent="0.15">
      <c r="A4194" s="2">
        <v>479792</v>
      </c>
      <c r="B4194" s="2" t="s">
        <v>91</v>
      </c>
      <c r="C4194" s="2">
        <v>2021</v>
      </c>
      <c r="D4194" s="2" t="s">
        <v>1</v>
      </c>
      <c r="E4194" s="2" t="s">
        <v>18</v>
      </c>
      <c r="F4194" s="2" t="s">
        <v>35</v>
      </c>
      <c r="G4194" s="7"/>
      <c r="H4194" s="13" t="str">
        <f>IFERROR(IF(ABS($G4194)&gt;0,VLOOKUP($E4194,'Fuel Category and Heat Rate'!$B$1:$G$34,6,FALSE)*($G4194),""),"")</f>
        <v/>
      </c>
      <c r="I4194" t="str">
        <f>IFERROR(VLOOKUP($E4194,'Fuel Category and Heat Rate'!$K$2:$M$36,3,FALSE),"")</f>
        <v>petroleum diesel</v>
      </c>
    </row>
    <row r="4195" spans="1:9" x14ac:dyDescent="0.15">
      <c r="A4195" s="2">
        <v>479827</v>
      </c>
      <c r="B4195" s="2" t="s">
        <v>91</v>
      </c>
      <c r="C4195" s="2">
        <v>2021</v>
      </c>
      <c r="D4195" s="2" t="s">
        <v>1</v>
      </c>
      <c r="E4195" s="2" t="s">
        <v>32</v>
      </c>
      <c r="F4195" s="2" t="s">
        <v>65</v>
      </c>
      <c r="G4195" s="7"/>
      <c r="H4195" s="13" t="str">
        <f>IFERROR(IF(ABS($G4195)&gt;0,VLOOKUP($E4195,'Fuel Category and Heat Rate'!$B$1:$G$34,6,FALSE)*($G4195),""),"")</f>
        <v/>
      </c>
      <c r="I4195" t="str">
        <f>IFERROR(VLOOKUP($E4195,'Fuel Category and Heat Rate'!$K$2:$M$36,3,FALSE),"")</f>
        <v>electricity</v>
      </c>
    </row>
    <row r="4196" spans="1:9" x14ac:dyDescent="0.15">
      <c r="A4196" s="2">
        <v>479862</v>
      </c>
      <c r="B4196" s="2" t="s">
        <v>91</v>
      </c>
      <c r="C4196" s="2">
        <v>2021</v>
      </c>
      <c r="D4196" s="2" t="s">
        <v>1</v>
      </c>
      <c r="E4196" s="2" t="s">
        <v>10</v>
      </c>
      <c r="F4196" s="2" t="s">
        <v>36</v>
      </c>
      <c r="G4196" s="7"/>
      <c r="H4196" s="13" t="str">
        <f>IFERROR(IF(ABS($G4196)&gt;0,VLOOKUP($E4196,'Fuel Category and Heat Rate'!$B$1:$G$34,6,FALSE)*($G4196),""),"")</f>
        <v/>
      </c>
      <c r="I4196" t="str">
        <f>IFERROR(VLOOKUP($E4196,'Fuel Category and Heat Rate'!$K$2:$M$36,3,FALSE),"")</f>
        <v>LPG propane or butane</v>
      </c>
    </row>
    <row r="4197" spans="1:9" x14ac:dyDescent="0.15">
      <c r="A4197" s="2">
        <v>479897</v>
      </c>
      <c r="B4197" s="2" t="s">
        <v>91</v>
      </c>
      <c r="C4197" s="2">
        <v>2021</v>
      </c>
      <c r="D4197" s="2" t="s">
        <v>1</v>
      </c>
      <c r="E4197" s="2" t="s">
        <v>9</v>
      </c>
      <c r="F4197" s="2" t="s">
        <v>36</v>
      </c>
      <c r="G4197" s="7"/>
      <c r="H4197" s="13" t="str">
        <f>IFERROR(IF(ABS($G4197)&gt;0,VLOOKUP($E4197,'Fuel Category and Heat Rate'!$B$1:$G$34,6,FALSE)*($G4197),""),"")</f>
        <v/>
      </c>
      <c r="I4197" t="str">
        <f>IFERROR(VLOOKUP($E4197,'Fuel Category and Heat Rate'!$K$2:$M$36,3,FALSE),"")</f>
        <v>LPG propane or butane</v>
      </c>
    </row>
    <row r="4198" spans="1:9" x14ac:dyDescent="0.15">
      <c r="A4198" s="2">
        <v>479932</v>
      </c>
      <c r="B4198" s="2" t="s">
        <v>91</v>
      </c>
      <c r="C4198" s="2">
        <v>2021</v>
      </c>
      <c r="D4198" s="2" t="s">
        <v>1</v>
      </c>
      <c r="E4198" s="2" t="s">
        <v>8</v>
      </c>
      <c r="F4198" s="2" t="s">
        <v>35</v>
      </c>
      <c r="G4198" s="7"/>
      <c r="H4198" s="13" t="str">
        <f>IFERROR(IF(ABS($G4198)&gt;0,VLOOKUP($E4198,'Fuel Category and Heat Rate'!$B$1:$G$34,6,FALSE)*($G4198),""),"")</f>
        <v/>
      </c>
      <c r="I4198" t="str">
        <f>IFERROR(VLOOKUP($E4198,'Fuel Category and Heat Rate'!$K$2:$M$36,3,FALSE),"")</f>
        <v>coal</v>
      </c>
    </row>
    <row r="4199" spans="1:9" x14ac:dyDescent="0.15">
      <c r="A4199" s="2">
        <v>479967</v>
      </c>
      <c r="B4199" s="2" t="s">
        <v>91</v>
      </c>
      <c r="C4199" s="2">
        <v>2021</v>
      </c>
      <c r="D4199" s="2" t="s">
        <v>1</v>
      </c>
      <c r="E4199" s="2" t="s">
        <v>27</v>
      </c>
      <c r="F4199" s="2" t="s">
        <v>35</v>
      </c>
      <c r="G4199" s="7">
        <v>-0.02</v>
      </c>
      <c r="H4199" s="13">
        <f>IFERROR(IF(ABS($G4199)&gt;0,VLOOKUP($E4199,'Fuel Category and Heat Rate'!$B$1:$G$34,6,FALSE)*($G4199),""),"")</f>
        <v>-8719538401.6874561</v>
      </c>
      <c r="I4199" t="str">
        <f>IFERROR(VLOOKUP($E4199,'Fuel Category and Heat Rate'!$K$2:$M$36,3,FALSE),"")</f>
        <v>LPG propane or butane</v>
      </c>
    </row>
    <row r="4200" spans="1:9" x14ac:dyDescent="0.15">
      <c r="A4200" s="2">
        <v>480002</v>
      </c>
      <c r="B4200" s="2" t="s">
        <v>91</v>
      </c>
      <c r="C4200" s="2">
        <v>2021</v>
      </c>
      <c r="D4200" s="2" t="s">
        <v>1</v>
      </c>
      <c r="E4200" s="2" t="s">
        <v>7</v>
      </c>
      <c r="F4200" s="2" t="s">
        <v>35</v>
      </c>
      <c r="G4200" s="7"/>
      <c r="H4200" s="13" t="str">
        <f>IFERROR(IF(ABS($G4200)&gt;0,VLOOKUP($E4200,'Fuel Category and Heat Rate'!$B$1:$G$34,6,FALSE)*($G4200),""),"")</f>
        <v/>
      </c>
      <c r="I4200" t="str">
        <f>IFERROR(VLOOKUP($E4200,'Fuel Category and Heat Rate'!$K$2:$M$36,3,FALSE),"")</f>
        <v>coal</v>
      </c>
    </row>
    <row r="4201" spans="1:9" x14ac:dyDescent="0.15">
      <c r="A4201" s="2">
        <v>480037</v>
      </c>
      <c r="B4201" s="2" t="s">
        <v>91</v>
      </c>
      <c r="C4201" s="2">
        <v>2021</v>
      </c>
      <c r="D4201" s="2" t="s">
        <v>1</v>
      </c>
      <c r="E4201" s="2" t="s">
        <v>2</v>
      </c>
      <c r="F4201" s="2" t="s">
        <v>35</v>
      </c>
      <c r="G4201" s="7">
        <v>-746.06</v>
      </c>
      <c r="H4201" s="13">
        <f>IFERROR(IF(ABS($G4201)&gt;0,VLOOKUP($E4201,'Fuel Category and Heat Rate'!$B$1:$G$34,6,FALSE)*($G4201),""),"")</f>
        <v>0</v>
      </c>
      <c r="I4201" t="str">
        <f>IFERROR(VLOOKUP($E4201,'Fuel Category and Heat Rate'!$K$2:$M$36,3,FALSE),"")</f>
        <v/>
      </c>
    </row>
    <row r="4202" spans="1:9" x14ac:dyDescent="0.15">
      <c r="A4202" s="2">
        <v>480072</v>
      </c>
      <c r="B4202" s="2" t="s">
        <v>91</v>
      </c>
      <c r="C4202" s="2">
        <v>2021</v>
      </c>
      <c r="D4202" s="2" t="s">
        <v>1</v>
      </c>
      <c r="E4202" s="2" t="s">
        <v>17</v>
      </c>
      <c r="F4202" s="2" t="s">
        <v>35</v>
      </c>
      <c r="G4202" s="7"/>
      <c r="H4202" s="13" t="str">
        <f>IFERROR(IF(ABS($G4202)&gt;0,VLOOKUP($E4202,'Fuel Category and Heat Rate'!$B$1:$G$34,6,FALSE)*($G4202),""),"")</f>
        <v/>
      </c>
      <c r="I4202" t="str">
        <f>IFERROR(VLOOKUP($E4202,'Fuel Category and Heat Rate'!$K$2:$M$36,3,FALSE),"")</f>
        <v>petroleum diesel</v>
      </c>
    </row>
    <row r="4203" spans="1:9" x14ac:dyDescent="0.15">
      <c r="A4203" s="2">
        <v>480107</v>
      </c>
      <c r="B4203" s="2" t="s">
        <v>91</v>
      </c>
      <c r="C4203" s="2">
        <v>2021</v>
      </c>
      <c r="D4203" s="2" t="s">
        <v>1</v>
      </c>
      <c r="E4203" s="2" t="s">
        <v>13</v>
      </c>
      <c r="F4203" s="2" t="s">
        <v>35</v>
      </c>
      <c r="G4203" s="7"/>
      <c r="H4203" s="13" t="str">
        <f>IFERROR(IF(ABS($G4203)&gt;0,VLOOKUP($E4203,'Fuel Category and Heat Rate'!$B$1:$G$34,6,FALSE)*($G4203),""),"")</f>
        <v/>
      </c>
      <c r="I4203" t="str">
        <f>IFERROR(VLOOKUP($E4203,'Fuel Category and Heat Rate'!$K$2:$M$36,3,FALSE),"")</f>
        <v>petroleum diesel</v>
      </c>
    </row>
    <row r="4204" spans="1:9" x14ac:dyDescent="0.15">
      <c r="A4204" s="2">
        <v>480142</v>
      </c>
      <c r="B4204" s="2" t="s">
        <v>91</v>
      </c>
      <c r="C4204" s="2">
        <v>2021</v>
      </c>
      <c r="D4204" s="2" t="s">
        <v>1</v>
      </c>
      <c r="E4204" s="2" t="s">
        <v>12</v>
      </c>
      <c r="F4204" s="2" t="s">
        <v>36</v>
      </c>
      <c r="G4204" s="7"/>
      <c r="H4204" s="13" t="str">
        <f>IFERROR(IF(ABS($G4204)&gt;0,VLOOKUP($E4204,'Fuel Category and Heat Rate'!$B$1:$G$34,6,FALSE)*($G4204),""),"")</f>
        <v/>
      </c>
      <c r="I4204" t="str">
        <f>IFERROR(VLOOKUP($E4204,'Fuel Category and Heat Rate'!$K$2:$M$36,3,FALSE),"")</f>
        <v>LPG propane or butane</v>
      </c>
    </row>
    <row r="4205" spans="1:9" x14ac:dyDescent="0.15">
      <c r="A4205" s="2">
        <v>480177</v>
      </c>
      <c r="B4205" s="2" t="s">
        <v>91</v>
      </c>
      <c r="C4205" s="2">
        <v>2021</v>
      </c>
      <c r="D4205" s="2" t="s">
        <v>1</v>
      </c>
      <c r="E4205" s="2" t="s">
        <v>33</v>
      </c>
      <c r="F4205" s="2" t="s">
        <v>38</v>
      </c>
      <c r="G4205" s="7">
        <v>-14.16</v>
      </c>
      <c r="H4205" s="13">
        <f>IFERROR(IF(ABS($G4205)&gt;0,VLOOKUP($E4205,'Fuel Category and Heat Rate'!$B$1:$G$34,6,FALSE)*($G4205),""),"")</f>
        <v>-3928487387658.1982</v>
      </c>
      <c r="I4205" t="str">
        <f>IFERROR(VLOOKUP($E4205,'Fuel Category and Heat Rate'!$K$2:$M$36,3,FALSE),"")</f>
        <v>biomass</v>
      </c>
    </row>
    <row r="4206" spans="1:9" x14ac:dyDescent="0.15">
      <c r="A4206" s="2">
        <v>480212</v>
      </c>
      <c r="B4206" s="2" t="s">
        <v>91</v>
      </c>
      <c r="C4206" s="2">
        <v>2021</v>
      </c>
      <c r="D4206" s="2" t="s">
        <v>1</v>
      </c>
      <c r="E4206" s="2" t="s">
        <v>28</v>
      </c>
      <c r="F4206" s="2" t="s">
        <v>35</v>
      </c>
      <c r="G4206" s="7"/>
      <c r="H4206" s="13" t="str">
        <f>IFERROR(IF(ABS($G4206)&gt;0,VLOOKUP($E4206,'Fuel Category and Heat Rate'!$B$1:$G$34,6,FALSE)*($G4206),""),"")</f>
        <v/>
      </c>
      <c r="I4206" t="str">
        <f>IFERROR(VLOOKUP($E4206,'Fuel Category and Heat Rate'!$K$2:$M$36,3,FALSE),"")</f>
        <v>heavy or residual fuel oil</v>
      </c>
    </row>
    <row r="4207" spans="1:9" x14ac:dyDescent="0.15">
      <c r="A4207" s="2">
        <v>480247</v>
      </c>
      <c r="B4207" s="2" t="s">
        <v>91</v>
      </c>
      <c r="C4207" s="2">
        <v>2021</v>
      </c>
      <c r="D4207" s="2" t="s">
        <v>1</v>
      </c>
      <c r="E4207" s="2" t="s">
        <v>5</v>
      </c>
      <c r="F4207" s="2" t="s">
        <v>35</v>
      </c>
      <c r="G4207" s="7">
        <v>-2.8</v>
      </c>
      <c r="H4207" s="13">
        <f>IFERROR(IF(ABS($G4207)&gt;0,VLOOKUP($E4207,'Fuel Category and Heat Rate'!$B$1:$G$34,6,FALSE)*($G4207),""),"")</f>
        <v>-221944648712.19849</v>
      </c>
      <c r="I4207" t="str">
        <f>IFERROR(VLOOKUP($E4207,'Fuel Category and Heat Rate'!$K$2:$M$36,3,FALSE),"")</f>
        <v>coal</v>
      </c>
    </row>
    <row r="4208" spans="1:9" x14ac:dyDescent="0.15">
      <c r="A4208" s="2">
        <v>480282</v>
      </c>
      <c r="B4208" s="2" t="s">
        <v>91</v>
      </c>
      <c r="C4208" s="2">
        <v>2021</v>
      </c>
      <c r="D4208" s="2" t="s">
        <v>1</v>
      </c>
      <c r="E4208" s="2" t="s">
        <v>16</v>
      </c>
      <c r="F4208" s="2" t="s">
        <v>35</v>
      </c>
      <c r="G4208" s="7"/>
      <c r="H4208" s="13" t="str">
        <f>IFERROR(IF(ABS($G4208)&gt;0,VLOOKUP($E4208,'Fuel Category and Heat Rate'!$B$1:$G$34,6,FALSE)*($G4208),""),"")</f>
        <v/>
      </c>
      <c r="I4208" t="str">
        <f>IFERROR(VLOOKUP($E4208,'Fuel Category and Heat Rate'!$K$2:$M$36,3,FALSE),"")</f>
        <v>petroleum diesel</v>
      </c>
    </row>
    <row r="4209" spans="1:9" x14ac:dyDescent="0.15">
      <c r="A4209" s="2">
        <v>480317</v>
      </c>
      <c r="B4209" s="2" t="s">
        <v>91</v>
      </c>
      <c r="C4209" s="2">
        <v>2021</v>
      </c>
      <c r="D4209" s="2" t="s">
        <v>1</v>
      </c>
      <c r="E4209" s="2" t="s">
        <v>19</v>
      </c>
      <c r="F4209" s="2" t="s">
        <v>35</v>
      </c>
      <c r="G4209" s="7">
        <v>-0.06</v>
      </c>
      <c r="H4209" s="13">
        <f>IFERROR(IF(ABS($G4209)&gt;0,VLOOKUP($E4209,'Fuel Category and Heat Rate'!$B$1:$G$34,6,FALSE)*($G4209),""),"")</f>
        <v>-23780352480.866295</v>
      </c>
      <c r="I4209" t="str">
        <f>IFERROR(VLOOKUP($E4209,'Fuel Category and Heat Rate'!$K$2:$M$36,3,FALSE),"")</f>
        <v>heavy or residual fuel oil</v>
      </c>
    </row>
    <row r="4210" spans="1:9" x14ac:dyDescent="0.15">
      <c r="A4210" s="2">
        <v>480352</v>
      </c>
      <c r="B4210" s="2" t="s">
        <v>91</v>
      </c>
      <c r="C4210" s="2">
        <v>2021</v>
      </c>
      <c r="D4210" s="2" t="s">
        <v>1</v>
      </c>
      <c r="E4210" s="2" t="s">
        <v>31</v>
      </c>
      <c r="F4210" s="2" t="s">
        <v>37</v>
      </c>
      <c r="G4210" s="7">
        <v>21158.49</v>
      </c>
      <c r="H4210" s="13">
        <f>IFERROR(IF(ABS($G4210)&gt;0,VLOOKUP($E4210,'Fuel Category and Heat Rate'!$B$1:$G$34,6,FALSE)*($G4210),""),"")</f>
        <v>200543791117787.78</v>
      </c>
      <c r="I4210" t="str">
        <f>IFERROR(VLOOKUP($E4210,'Fuel Category and Heat Rate'!$K$2:$M$36,3,FALSE),"")</f>
        <v>heat</v>
      </c>
    </row>
    <row r="4211" spans="1:9" x14ac:dyDescent="0.15">
      <c r="A4211" s="2">
        <v>480387</v>
      </c>
      <c r="B4211" s="2" t="s">
        <v>91</v>
      </c>
      <c r="C4211" s="2">
        <v>2021</v>
      </c>
      <c r="D4211" s="2" t="s">
        <v>1</v>
      </c>
      <c r="E4211" s="2" t="s">
        <v>23</v>
      </c>
      <c r="F4211" s="2" t="s">
        <v>35</v>
      </c>
      <c r="G4211" s="7"/>
      <c r="H4211" s="13" t="str">
        <f>IFERROR(IF(ABS($G4211)&gt;0,VLOOKUP($E4211,'Fuel Category and Heat Rate'!$B$1:$G$34,6,FALSE)*($G4211),""),"")</f>
        <v/>
      </c>
      <c r="I4211" t="str">
        <f>IFERROR(VLOOKUP($E4211,'Fuel Category and Heat Rate'!$K$2:$M$36,3,FALSE),"")</f>
        <v>heavy or residual fuel oil</v>
      </c>
    </row>
    <row r="4212" spans="1:9" x14ac:dyDescent="0.15">
      <c r="A4212" s="2">
        <v>480422</v>
      </c>
      <c r="B4212" s="2" t="s">
        <v>91</v>
      </c>
      <c r="C4212" s="2">
        <v>2021</v>
      </c>
      <c r="D4212" s="2" t="s">
        <v>1</v>
      </c>
      <c r="E4212" s="2" t="s">
        <v>21</v>
      </c>
      <c r="F4212" s="2" t="s">
        <v>35</v>
      </c>
      <c r="G4212" s="7"/>
      <c r="H4212" s="13" t="str">
        <f>IFERROR(IF(ABS($G4212)&gt;0,VLOOKUP($E4212,'Fuel Category and Heat Rate'!$B$1:$G$34,6,FALSE)*($G4212),""),"")</f>
        <v/>
      </c>
      <c r="I4212" t="str">
        <f>IFERROR(VLOOKUP($E4212,'Fuel Category and Heat Rate'!$K$2:$M$36,3,FALSE),"")</f>
        <v>LPG propane or butane</v>
      </c>
    </row>
    <row r="4213" spans="1:9" x14ac:dyDescent="0.15">
      <c r="A4213" s="2">
        <v>480457</v>
      </c>
      <c r="B4213" s="2" t="s">
        <v>91</v>
      </c>
      <c r="C4213" s="2">
        <v>2021</v>
      </c>
      <c r="D4213" s="2" t="s">
        <v>1</v>
      </c>
      <c r="E4213" s="2" t="s">
        <v>22</v>
      </c>
      <c r="F4213" s="2" t="s">
        <v>35</v>
      </c>
      <c r="G4213" s="7"/>
      <c r="H4213" s="13" t="str">
        <f>IFERROR(IF(ABS($G4213)&gt;0,VLOOKUP($E4213,'Fuel Category and Heat Rate'!$B$1:$G$34,6,FALSE)*($G4213),""),"")</f>
        <v/>
      </c>
      <c r="I4213" t="str">
        <f>IFERROR(VLOOKUP($E4213,'Fuel Category and Heat Rate'!$K$2:$M$36,3,FALSE),"")</f>
        <v>heavy fuel oil</v>
      </c>
    </row>
    <row r="4214" spans="1:9" x14ac:dyDescent="0.15">
      <c r="A4214" s="2">
        <v>480492</v>
      </c>
      <c r="B4214" s="2" t="s">
        <v>91</v>
      </c>
      <c r="C4214" s="2">
        <v>2021</v>
      </c>
      <c r="D4214" s="2" t="s">
        <v>1</v>
      </c>
      <c r="E4214" s="2" t="s">
        <v>20</v>
      </c>
      <c r="F4214" s="2" t="s">
        <v>35</v>
      </c>
      <c r="G4214" s="7"/>
      <c r="H4214" s="13" t="str">
        <f>IFERROR(IF(ABS($G4214)&gt;0,VLOOKUP($E4214,'Fuel Category and Heat Rate'!$B$1:$G$34,6,FALSE)*($G4214),""),"")</f>
        <v/>
      </c>
      <c r="I4214" t="str">
        <f>IFERROR(VLOOKUP($E4214,'Fuel Category and Heat Rate'!$K$2:$M$36,3,FALSE),"")</f>
        <v>LPG propane or butane</v>
      </c>
    </row>
    <row r="4215" spans="1:9" x14ac:dyDescent="0.15">
      <c r="A4215" s="2">
        <v>480527</v>
      </c>
      <c r="B4215" s="2" t="s">
        <v>91</v>
      </c>
      <c r="C4215" s="2">
        <v>2021</v>
      </c>
      <c r="D4215" s="2" t="s">
        <v>1</v>
      </c>
      <c r="E4215" s="2" t="s">
        <v>25</v>
      </c>
      <c r="F4215" s="2" t="s">
        <v>35</v>
      </c>
      <c r="G4215" s="7">
        <v>-35.82</v>
      </c>
      <c r="H4215" s="13">
        <f>IFERROR(IF(ABS($G4215)&gt;0,VLOOKUP($E4215,'Fuel Category and Heat Rate'!$B$1:$G$34,6,FALSE)*($G4215),""),"")</f>
        <v>-10846265057911.389</v>
      </c>
      <c r="I4215" t="str">
        <f>IFERROR(VLOOKUP($E4215,'Fuel Category and Heat Rate'!$K$2:$M$36,3,FALSE),"")</f>
        <v>heavy fuel oil</v>
      </c>
    </row>
    <row r="4216" spans="1:9" x14ac:dyDescent="0.15">
      <c r="A4216" s="2">
        <v>480562</v>
      </c>
      <c r="B4216" s="2" t="s">
        <v>91</v>
      </c>
      <c r="C4216" s="2">
        <v>2021</v>
      </c>
      <c r="D4216" s="2" t="s">
        <v>1</v>
      </c>
      <c r="E4216" s="2" t="s">
        <v>24</v>
      </c>
      <c r="F4216" s="2" t="s">
        <v>35</v>
      </c>
      <c r="G4216" s="7"/>
      <c r="H4216" s="13" t="str">
        <f>IFERROR(IF(ABS($G4216)&gt;0,VLOOKUP($E4216,'Fuel Category and Heat Rate'!$B$1:$G$34,6,FALSE)*($G4216),""),"")</f>
        <v/>
      </c>
      <c r="I4216" t="str">
        <f>IFERROR(VLOOKUP($E4216,'Fuel Category and Heat Rate'!$K$2:$M$36,3,FALSE),"")</f>
        <v>heavy fuel oil</v>
      </c>
    </row>
    <row r="4217" spans="1:9" x14ac:dyDescent="0.15">
      <c r="A4217" s="2">
        <v>480597</v>
      </c>
      <c r="B4217" s="2" t="s">
        <v>91</v>
      </c>
      <c r="C4217" s="2">
        <v>2021</v>
      </c>
      <c r="D4217" s="2" t="s">
        <v>1</v>
      </c>
      <c r="E4217" s="2" t="s">
        <v>29</v>
      </c>
      <c r="F4217" s="2" t="s">
        <v>36</v>
      </c>
      <c r="G4217" s="7">
        <v>-24.35</v>
      </c>
      <c r="H4217" s="13">
        <f>IFERROR(IF(ABS($G4217)&gt;0,VLOOKUP($E4217,'Fuel Category and Heat Rate'!$B$1:$G$34,6,FALSE)*($G4217),""),"")</f>
        <v>-82126702107760.469</v>
      </c>
      <c r="I4217" t="str">
        <f>IFERROR(VLOOKUP($E4217,'Fuel Category and Heat Rate'!$K$2:$M$36,3,FALSE),"")</f>
        <v>natural gas</v>
      </c>
    </row>
    <row r="4218" spans="1:9" x14ac:dyDescent="0.15">
      <c r="A4218" s="2">
        <v>480632</v>
      </c>
      <c r="B4218" s="2" t="s">
        <v>91</v>
      </c>
      <c r="C4218" s="2">
        <v>2021</v>
      </c>
      <c r="D4218" s="2" t="s">
        <v>1</v>
      </c>
      <c r="E4218" s="2" t="s">
        <v>4</v>
      </c>
      <c r="F4218" s="2" t="s">
        <v>35</v>
      </c>
      <c r="G4218" s="7"/>
      <c r="H4218" s="13" t="str">
        <f>IFERROR(IF(ABS($G4218)&gt;0,VLOOKUP($E4218,'Fuel Category and Heat Rate'!$B$1:$G$34,6,FALSE)*($G4218),""),"")</f>
        <v/>
      </c>
      <c r="I4218" t="str">
        <f>IFERROR(VLOOKUP($E4218,'Fuel Category and Heat Rate'!$K$2:$M$36,3,FALSE),"")</f>
        <v>coal</v>
      </c>
    </row>
    <row r="4219" spans="1:9" x14ac:dyDescent="0.15">
      <c r="A4219" s="2">
        <v>480667</v>
      </c>
      <c r="B4219" s="2" t="s">
        <v>91</v>
      </c>
      <c r="C4219" s="2">
        <v>2021</v>
      </c>
      <c r="D4219" s="2" t="s">
        <v>1</v>
      </c>
      <c r="E4219" s="2" t="s">
        <v>6</v>
      </c>
      <c r="F4219" s="2" t="s">
        <v>35</v>
      </c>
      <c r="G4219" s="7"/>
      <c r="H4219" s="13" t="str">
        <f>IFERROR(IF(ABS($G4219)&gt;0,VLOOKUP($E4219,'Fuel Category and Heat Rate'!$B$1:$G$34,6,FALSE)*($G4219),""),"")</f>
        <v/>
      </c>
      <c r="I4219" t="str">
        <f>IFERROR(VLOOKUP($E4219,'Fuel Category and Heat Rate'!$K$2:$M$36,3,FALSE),"")</f>
        <v>coal</v>
      </c>
    </row>
    <row r="4220" spans="1:9" x14ac:dyDescent="0.15">
      <c r="A4220" s="2">
        <v>480702</v>
      </c>
      <c r="B4220" s="2" t="s">
        <v>91</v>
      </c>
      <c r="C4220" s="2">
        <v>2021</v>
      </c>
      <c r="D4220" s="2" t="s">
        <v>1</v>
      </c>
      <c r="E4220" s="2" t="s">
        <v>26</v>
      </c>
      <c r="F4220" s="2" t="s">
        <v>35</v>
      </c>
      <c r="G4220" s="7"/>
      <c r="H4220" s="13" t="str">
        <f>IFERROR(IF(ABS($G4220)&gt;0,VLOOKUP($E4220,'Fuel Category and Heat Rate'!$B$1:$G$34,6,FALSE)*($G4220),""),"")</f>
        <v/>
      </c>
      <c r="I4220" t="str">
        <f>IFERROR(VLOOKUP($E4220,'Fuel Category and Heat Rate'!$K$2:$M$36,3,FALSE),"")</f>
        <v>LPG propane or butane</v>
      </c>
    </row>
    <row r="4221" spans="1:9" x14ac:dyDescent="0.15">
      <c r="A4221" s="2">
        <v>480737</v>
      </c>
      <c r="B4221" s="2" t="s">
        <v>91</v>
      </c>
      <c r="C4221" s="2">
        <v>2021</v>
      </c>
      <c r="D4221" s="2" t="s">
        <v>1</v>
      </c>
      <c r="E4221" s="2" t="s">
        <v>30</v>
      </c>
      <c r="F4221" s="2" t="s">
        <v>35</v>
      </c>
      <c r="G4221" s="7">
        <v>-5.89</v>
      </c>
      <c r="H4221" s="13">
        <f>IFERROR(IF(ABS($G4221)&gt;0,VLOOKUP($E4221,'Fuel Category and Heat Rate'!$B$1:$G$34,6,FALSE)*($G4221),""),"")</f>
        <v>-2871376524759.3291</v>
      </c>
      <c r="I4221" t="str">
        <f>IFERROR(VLOOKUP($E4221,'Fuel Category and Heat Rate'!$K$2:$M$36,3,FALSE),"")</f>
        <v>natural gas</v>
      </c>
    </row>
    <row r="4222" spans="1:9" x14ac:dyDescent="0.15">
      <c r="A4222" s="2">
        <v>480772</v>
      </c>
      <c r="B4222" s="2" t="s">
        <v>91</v>
      </c>
      <c r="C4222" s="2">
        <v>2021</v>
      </c>
      <c r="D4222" s="2" t="s">
        <v>1</v>
      </c>
      <c r="E4222" s="2" t="s">
        <v>14</v>
      </c>
      <c r="F4222" s="2" t="s">
        <v>35</v>
      </c>
      <c r="G4222" s="7">
        <v>-35.9</v>
      </c>
      <c r="H4222" s="13">
        <f>IFERROR(IF(ABS($G4222)&gt;0,VLOOKUP($E4222,'Fuel Category and Heat Rate'!$B$1:$G$34,6,FALSE)*($G4222),""),"")</f>
        <v>0</v>
      </c>
      <c r="I4222" t="str">
        <f>IFERROR(VLOOKUP($E4222,'Fuel Category and Heat Rate'!$K$2:$M$36,3,FALSE),"")</f>
        <v/>
      </c>
    </row>
    <row r="4223" spans="1:9" x14ac:dyDescent="0.15">
      <c r="A4223" s="2">
        <v>480807</v>
      </c>
      <c r="B4223" s="2" t="s">
        <v>91</v>
      </c>
      <c r="C4223" s="2">
        <v>2021</v>
      </c>
      <c r="D4223" s="2" t="s">
        <v>1</v>
      </c>
      <c r="E4223" s="2" t="s">
        <v>3</v>
      </c>
      <c r="F4223" s="2" t="s">
        <v>35</v>
      </c>
      <c r="G4223" s="7">
        <v>-743.26</v>
      </c>
      <c r="H4223" s="13">
        <f>IFERROR(IF(ABS($G4223)&gt;0,VLOOKUP($E4223,'Fuel Category and Heat Rate'!$B$1:$G$34,6,FALSE)*($G4223),""),"")</f>
        <v>-147291539874405.69</v>
      </c>
      <c r="I4223" t="str">
        <f>IFERROR(VLOOKUP($E4223,'Fuel Category and Heat Rate'!$K$2:$M$36,3,FALSE),"")</f>
        <v>coal</v>
      </c>
    </row>
    <row r="4224" spans="1:9" x14ac:dyDescent="0.15">
      <c r="A4224" s="2">
        <v>480842</v>
      </c>
      <c r="B4224" s="2" t="s">
        <v>91</v>
      </c>
      <c r="C4224" s="2">
        <v>2021</v>
      </c>
      <c r="D4224" s="2" t="s">
        <v>1</v>
      </c>
      <c r="E4224" s="2" t="s">
        <v>15</v>
      </c>
      <c r="F4224" s="2" t="s">
        <v>35</v>
      </c>
      <c r="G4224" s="7"/>
      <c r="H4224" s="13" t="str">
        <f>IFERROR(IF(ABS($G4224)&gt;0,VLOOKUP($E4224,'Fuel Category and Heat Rate'!$B$1:$G$34,6,FALSE)*($G4224),""),"")</f>
        <v/>
      </c>
      <c r="I4224" t="str">
        <f>IFERROR(VLOOKUP($E4224,'Fuel Category and Heat Rate'!$K$2:$M$36,3,FALSE),"")</f>
        <v>crude oil</v>
      </c>
    </row>
    <row r="4225" spans="1:9" x14ac:dyDescent="0.15">
      <c r="A4225" s="2">
        <v>480877</v>
      </c>
      <c r="B4225" s="2" t="s">
        <v>91</v>
      </c>
      <c r="C4225" s="2">
        <v>2021</v>
      </c>
      <c r="D4225" s="2" t="s">
        <v>1</v>
      </c>
      <c r="E4225" s="2" t="s">
        <v>11</v>
      </c>
      <c r="F4225" s="2" t="s">
        <v>36</v>
      </c>
      <c r="G4225" s="7"/>
      <c r="H4225" s="13" t="str">
        <f>IFERROR(IF(ABS($G4225)&gt;0,VLOOKUP($E4225,'Fuel Category and Heat Rate'!$B$1:$G$34,6,FALSE)*($G4225),""),"")</f>
        <v/>
      </c>
      <c r="I4225" t="str">
        <f>IFERROR(VLOOKUP($E4225,'Fuel Category and Heat Rate'!$K$2:$M$36,3,FALSE),"")</f>
        <v>LPG propane or butane</v>
      </c>
    </row>
    <row r="4226" spans="1:9" x14ac:dyDescent="0.15">
      <c r="A4226" s="2">
        <v>480912</v>
      </c>
      <c r="B4226" s="2" t="s">
        <v>91</v>
      </c>
      <c r="C4226" s="2">
        <v>2020</v>
      </c>
      <c r="D4226" s="2" t="s">
        <v>1</v>
      </c>
      <c r="E4226" s="2" t="s">
        <v>18</v>
      </c>
      <c r="F4226" s="2" t="s">
        <v>35</v>
      </c>
      <c r="G4226" s="7">
        <v>-7.0000000000000007E-2</v>
      </c>
      <c r="H4226" s="13">
        <f>IFERROR(IF(ABS($G4226)&gt;0,VLOOKUP($E4226,'Fuel Category and Heat Rate'!$B$1:$G$34,6,FALSE)*($G4226),""),"")</f>
        <v>-28298407141.195419</v>
      </c>
      <c r="I4226" t="str">
        <f>IFERROR(VLOOKUP($E4226,'Fuel Category and Heat Rate'!$K$2:$M$36,3,FALSE),"")</f>
        <v>petroleum diesel</v>
      </c>
    </row>
    <row r="4227" spans="1:9" x14ac:dyDescent="0.15">
      <c r="A4227" s="2">
        <v>480947</v>
      </c>
      <c r="B4227" s="2" t="s">
        <v>91</v>
      </c>
      <c r="C4227" s="2">
        <v>2020</v>
      </c>
      <c r="D4227" s="2" t="s">
        <v>1</v>
      </c>
      <c r="E4227" s="2" t="s">
        <v>32</v>
      </c>
      <c r="F4227" s="2" t="s">
        <v>65</v>
      </c>
      <c r="G4227" s="7"/>
      <c r="H4227" s="13" t="str">
        <f>IFERROR(IF(ABS($G4227)&gt;0,VLOOKUP($E4227,'Fuel Category and Heat Rate'!$B$1:$G$34,6,FALSE)*($G4227),""),"")</f>
        <v/>
      </c>
      <c r="I4227" t="str">
        <f>IFERROR(VLOOKUP($E4227,'Fuel Category and Heat Rate'!$K$2:$M$36,3,FALSE),"")</f>
        <v>electricity</v>
      </c>
    </row>
    <row r="4228" spans="1:9" x14ac:dyDescent="0.15">
      <c r="A4228" s="2">
        <v>480982</v>
      </c>
      <c r="B4228" s="2" t="s">
        <v>91</v>
      </c>
      <c r="C4228" s="2">
        <v>2020</v>
      </c>
      <c r="D4228" s="2" t="s">
        <v>1</v>
      </c>
      <c r="E4228" s="2" t="s">
        <v>10</v>
      </c>
      <c r="F4228" s="2" t="s">
        <v>36</v>
      </c>
      <c r="G4228" s="7"/>
      <c r="H4228" s="13" t="str">
        <f>IFERROR(IF(ABS($G4228)&gt;0,VLOOKUP($E4228,'Fuel Category and Heat Rate'!$B$1:$G$34,6,FALSE)*($G4228),""),"")</f>
        <v/>
      </c>
      <c r="I4228" t="str">
        <f>IFERROR(VLOOKUP($E4228,'Fuel Category and Heat Rate'!$K$2:$M$36,3,FALSE),"")</f>
        <v>LPG propane or butane</v>
      </c>
    </row>
    <row r="4229" spans="1:9" x14ac:dyDescent="0.15">
      <c r="A4229" s="2">
        <v>481017</v>
      </c>
      <c r="B4229" s="2" t="s">
        <v>91</v>
      </c>
      <c r="C4229" s="2">
        <v>2020</v>
      </c>
      <c r="D4229" s="2" t="s">
        <v>1</v>
      </c>
      <c r="E4229" s="2" t="s">
        <v>9</v>
      </c>
      <c r="F4229" s="2" t="s">
        <v>36</v>
      </c>
      <c r="G4229" s="7">
        <v>-0.23</v>
      </c>
      <c r="H4229" s="13">
        <f>IFERROR(IF(ABS($G4229)&gt;0,VLOOKUP($E4229,'Fuel Category and Heat Rate'!$B$1:$G$34,6,FALSE)*($G4229),""),"")</f>
        <v>-378302722078.64642</v>
      </c>
      <c r="I4229" t="str">
        <f>IFERROR(VLOOKUP($E4229,'Fuel Category and Heat Rate'!$K$2:$M$36,3,FALSE),"")</f>
        <v>LPG propane or butane</v>
      </c>
    </row>
    <row r="4230" spans="1:9" x14ac:dyDescent="0.15">
      <c r="A4230" s="2">
        <v>481052</v>
      </c>
      <c r="B4230" s="2" t="s">
        <v>91</v>
      </c>
      <c r="C4230" s="2">
        <v>2020</v>
      </c>
      <c r="D4230" s="2" t="s">
        <v>1</v>
      </c>
      <c r="E4230" s="2" t="s">
        <v>8</v>
      </c>
      <c r="F4230" s="2" t="s">
        <v>35</v>
      </c>
      <c r="G4230" s="7"/>
      <c r="H4230" s="13" t="str">
        <f>IFERROR(IF(ABS($G4230)&gt;0,VLOOKUP($E4230,'Fuel Category and Heat Rate'!$B$1:$G$34,6,FALSE)*($G4230),""),"")</f>
        <v/>
      </c>
      <c r="I4230" t="str">
        <f>IFERROR(VLOOKUP($E4230,'Fuel Category and Heat Rate'!$K$2:$M$36,3,FALSE),"")</f>
        <v>coal</v>
      </c>
    </row>
    <row r="4231" spans="1:9" x14ac:dyDescent="0.15">
      <c r="A4231" s="2">
        <v>481087</v>
      </c>
      <c r="B4231" s="2" t="s">
        <v>91</v>
      </c>
      <c r="C4231" s="2">
        <v>2020</v>
      </c>
      <c r="D4231" s="2" t="s">
        <v>1</v>
      </c>
      <c r="E4231" s="2" t="s">
        <v>27</v>
      </c>
      <c r="F4231" s="2" t="s">
        <v>35</v>
      </c>
      <c r="G4231" s="7">
        <v>-0.06</v>
      </c>
      <c r="H4231" s="13">
        <f>IFERROR(IF(ABS($G4231)&gt;0,VLOOKUP($E4231,'Fuel Category and Heat Rate'!$B$1:$G$34,6,FALSE)*($G4231),""),"")</f>
        <v>-26158615205.062366</v>
      </c>
      <c r="I4231" t="str">
        <f>IFERROR(VLOOKUP($E4231,'Fuel Category and Heat Rate'!$K$2:$M$36,3,FALSE),"")</f>
        <v>LPG propane or butane</v>
      </c>
    </row>
    <row r="4232" spans="1:9" x14ac:dyDescent="0.15">
      <c r="A4232" s="2">
        <v>481122</v>
      </c>
      <c r="B4232" s="2" t="s">
        <v>91</v>
      </c>
      <c r="C4232" s="2">
        <v>2020</v>
      </c>
      <c r="D4232" s="2" t="s">
        <v>1</v>
      </c>
      <c r="E4232" s="2" t="s">
        <v>7</v>
      </c>
      <c r="F4232" s="2" t="s">
        <v>35</v>
      </c>
      <c r="G4232" s="7"/>
      <c r="H4232" s="13" t="str">
        <f>IFERROR(IF(ABS($G4232)&gt;0,VLOOKUP($E4232,'Fuel Category and Heat Rate'!$B$1:$G$34,6,FALSE)*($G4232),""),"")</f>
        <v/>
      </c>
      <c r="I4232" t="str">
        <f>IFERROR(VLOOKUP($E4232,'Fuel Category and Heat Rate'!$K$2:$M$36,3,FALSE),"")</f>
        <v>coal</v>
      </c>
    </row>
    <row r="4233" spans="1:9" x14ac:dyDescent="0.15">
      <c r="A4233" s="2">
        <v>481157</v>
      </c>
      <c r="B4233" s="2" t="s">
        <v>91</v>
      </c>
      <c r="C4233" s="2">
        <v>2020</v>
      </c>
      <c r="D4233" s="2" t="s">
        <v>1</v>
      </c>
      <c r="E4233" s="2" t="s">
        <v>2</v>
      </c>
      <c r="F4233" s="2" t="s">
        <v>35</v>
      </c>
      <c r="G4233" s="7">
        <v>-832.87</v>
      </c>
      <c r="H4233" s="13">
        <f>IFERROR(IF(ABS($G4233)&gt;0,VLOOKUP($E4233,'Fuel Category and Heat Rate'!$B$1:$G$34,6,FALSE)*($G4233),""),"")</f>
        <v>0</v>
      </c>
      <c r="I4233" t="str">
        <f>IFERROR(VLOOKUP($E4233,'Fuel Category and Heat Rate'!$K$2:$M$36,3,FALSE),"")</f>
        <v/>
      </c>
    </row>
    <row r="4234" spans="1:9" x14ac:dyDescent="0.15">
      <c r="A4234" s="2">
        <v>481192</v>
      </c>
      <c r="B4234" s="2" t="s">
        <v>91</v>
      </c>
      <c r="C4234" s="2">
        <v>2020</v>
      </c>
      <c r="D4234" s="2" t="s">
        <v>1</v>
      </c>
      <c r="E4234" s="2" t="s">
        <v>17</v>
      </c>
      <c r="F4234" s="2" t="s">
        <v>35</v>
      </c>
      <c r="G4234" s="7"/>
      <c r="H4234" s="13" t="str">
        <f>IFERROR(IF(ABS($G4234)&gt;0,VLOOKUP($E4234,'Fuel Category and Heat Rate'!$B$1:$G$34,6,FALSE)*($G4234),""),"")</f>
        <v/>
      </c>
      <c r="I4234" t="str">
        <f>IFERROR(VLOOKUP($E4234,'Fuel Category and Heat Rate'!$K$2:$M$36,3,FALSE),"")</f>
        <v>petroleum diesel</v>
      </c>
    </row>
    <row r="4235" spans="1:9" x14ac:dyDescent="0.15">
      <c r="A4235" s="2">
        <v>481227</v>
      </c>
      <c r="B4235" s="2" t="s">
        <v>91</v>
      </c>
      <c r="C4235" s="2">
        <v>2020</v>
      </c>
      <c r="D4235" s="2" t="s">
        <v>1</v>
      </c>
      <c r="E4235" s="2" t="s">
        <v>13</v>
      </c>
      <c r="F4235" s="2" t="s">
        <v>35</v>
      </c>
      <c r="G4235" s="7"/>
      <c r="H4235" s="13" t="str">
        <f>IFERROR(IF(ABS($G4235)&gt;0,VLOOKUP($E4235,'Fuel Category and Heat Rate'!$B$1:$G$34,6,FALSE)*($G4235),""),"")</f>
        <v/>
      </c>
      <c r="I4235" t="str">
        <f>IFERROR(VLOOKUP($E4235,'Fuel Category and Heat Rate'!$K$2:$M$36,3,FALSE),"")</f>
        <v>petroleum diesel</v>
      </c>
    </row>
    <row r="4236" spans="1:9" x14ac:dyDescent="0.15">
      <c r="A4236" s="2">
        <v>481262</v>
      </c>
      <c r="B4236" s="2" t="s">
        <v>91</v>
      </c>
      <c r="C4236" s="2">
        <v>2020</v>
      </c>
      <c r="D4236" s="2" t="s">
        <v>1</v>
      </c>
      <c r="E4236" s="2" t="s">
        <v>12</v>
      </c>
      <c r="F4236" s="2" t="s">
        <v>36</v>
      </c>
      <c r="G4236" s="7"/>
      <c r="H4236" s="13" t="str">
        <f>IFERROR(IF(ABS($G4236)&gt;0,VLOOKUP($E4236,'Fuel Category and Heat Rate'!$B$1:$G$34,6,FALSE)*($G4236),""),"")</f>
        <v/>
      </c>
      <c r="I4236" t="str">
        <f>IFERROR(VLOOKUP($E4236,'Fuel Category and Heat Rate'!$K$2:$M$36,3,FALSE),"")</f>
        <v>LPG propane or butane</v>
      </c>
    </row>
    <row r="4237" spans="1:9" x14ac:dyDescent="0.15">
      <c r="A4237" s="2">
        <v>481297</v>
      </c>
      <c r="B4237" s="2" t="s">
        <v>91</v>
      </c>
      <c r="C4237" s="2">
        <v>2020</v>
      </c>
      <c r="D4237" s="2" t="s">
        <v>1</v>
      </c>
      <c r="E4237" s="2" t="s">
        <v>33</v>
      </c>
      <c r="F4237" s="2" t="s">
        <v>38</v>
      </c>
      <c r="G4237" s="7">
        <v>-16.87</v>
      </c>
      <c r="H4237" s="13">
        <f>IFERROR(IF(ABS($G4237)&gt;0,VLOOKUP($E4237,'Fuel Category and Heat Rate'!$B$1:$G$34,6,FALSE)*($G4237),""),"")</f>
        <v>-4680337728092.7832</v>
      </c>
      <c r="I4237" t="str">
        <f>IFERROR(VLOOKUP($E4237,'Fuel Category and Heat Rate'!$K$2:$M$36,3,FALSE),"")</f>
        <v>biomass</v>
      </c>
    </row>
    <row r="4238" spans="1:9" x14ac:dyDescent="0.15">
      <c r="A4238" s="2">
        <v>481332</v>
      </c>
      <c r="B4238" s="2" t="s">
        <v>91</v>
      </c>
      <c r="C4238" s="2">
        <v>2020</v>
      </c>
      <c r="D4238" s="2" t="s">
        <v>1</v>
      </c>
      <c r="E4238" s="2" t="s">
        <v>28</v>
      </c>
      <c r="F4238" s="2" t="s">
        <v>35</v>
      </c>
      <c r="G4238" s="7">
        <v>-0.13</v>
      </c>
      <c r="H4238" s="13">
        <f>IFERROR(IF(ABS($G4238)&gt;0,VLOOKUP($E4238,'Fuel Category and Heat Rate'!$B$1:$G$34,6,FALSE)*($G4238),""),"")</f>
        <v>-50494009392.962471</v>
      </c>
      <c r="I4238" t="str">
        <f>IFERROR(VLOOKUP($E4238,'Fuel Category and Heat Rate'!$K$2:$M$36,3,FALSE),"")</f>
        <v>heavy or residual fuel oil</v>
      </c>
    </row>
    <row r="4239" spans="1:9" x14ac:dyDescent="0.15">
      <c r="A4239" s="2">
        <v>481367</v>
      </c>
      <c r="B4239" s="2" t="s">
        <v>91</v>
      </c>
      <c r="C4239" s="2">
        <v>2020</v>
      </c>
      <c r="D4239" s="2" t="s">
        <v>1</v>
      </c>
      <c r="E4239" s="2" t="s">
        <v>5</v>
      </c>
      <c r="F4239" s="2" t="s">
        <v>35</v>
      </c>
      <c r="G4239" s="7">
        <v>-5.61</v>
      </c>
      <c r="H4239" s="13">
        <f>IFERROR(IF(ABS($G4239)&gt;0,VLOOKUP($E4239,'Fuel Category and Heat Rate'!$B$1:$G$34,6,FALSE)*($G4239),""),"")</f>
        <v>-444681956884.08344</v>
      </c>
      <c r="I4239" t="str">
        <f>IFERROR(VLOOKUP($E4239,'Fuel Category and Heat Rate'!$K$2:$M$36,3,FALSE),"")</f>
        <v>coal</v>
      </c>
    </row>
    <row r="4240" spans="1:9" x14ac:dyDescent="0.15">
      <c r="A4240" s="2">
        <v>481402</v>
      </c>
      <c r="B4240" s="2" t="s">
        <v>91</v>
      </c>
      <c r="C4240" s="2">
        <v>2020</v>
      </c>
      <c r="D4240" s="2" t="s">
        <v>1</v>
      </c>
      <c r="E4240" s="2" t="s">
        <v>16</v>
      </c>
      <c r="F4240" s="2" t="s">
        <v>35</v>
      </c>
      <c r="G4240" s="7"/>
      <c r="H4240" s="13" t="str">
        <f>IFERROR(IF(ABS($G4240)&gt;0,VLOOKUP($E4240,'Fuel Category and Heat Rate'!$B$1:$G$34,6,FALSE)*($G4240),""),"")</f>
        <v/>
      </c>
      <c r="I4240" t="str">
        <f>IFERROR(VLOOKUP($E4240,'Fuel Category and Heat Rate'!$K$2:$M$36,3,FALSE),"")</f>
        <v>petroleum diesel</v>
      </c>
    </row>
    <row r="4241" spans="1:9" x14ac:dyDescent="0.15">
      <c r="A4241" s="2">
        <v>481437</v>
      </c>
      <c r="B4241" s="2" t="s">
        <v>91</v>
      </c>
      <c r="C4241" s="2">
        <v>2020</v>
      </c>
      <c r="D4241" s="2" t="s">
        <v>1</v>
      </c>
      <c r="E4241" s="2" t="s">
        <v>19</v>
      </c>
      <c r="F4241" s="2" t="s">
        <v>35</v>
      </c>
      <c r="G4241" s="7">
        <v>-7.0000000000000007E-2</v>
      </c>
      <c r="H4241" s="13">
        <f>IFERROR(IF(ABS($G4241)&gt;0,VLOOKUP($E4241,'Fuel Category and Heat Rate'!$B$1:$G$34,6,FALSE)*($G4241),""),"")</f>
        <v>-27743744561.010685</v>
      </c>
      <c r="I4241" t="str">
        <f>IFERROR(VLOOKUP($E4241,'Fuel Category and Heat Rate'!$K$2:$M$36,3,FALSE),"")</f>
        <v>heavy or residual fuel oil</v>
      </c>
    </row>
    <row r="4242" spans="1:9" x14ac:dyDescent="0.15">
      <c r="A4242" s="2">
        <v>481472</v>
      </c>
      <c r="B4242" s="2" t="s">
        <v>91</v>
      </c>
      <c r="C4242" s="2">
        <v>2020</v>
      </c>
      <c r="D4242" s="2" t="s">
        <v>1</v>
      </c>
      <c r="E4242" s="2" t="s">
        <v>31</v>
      </c>
      <c r="F4242" s="2" t="s">
        <v>37</v>
      </c>
      <c r="G4242" s="7">
        <v>21711.67</v>
      </c>
      <c r="H4242" s="13">
        <f>IFERROR(IF(ABS($G4242)&gt;0,VLOOKUP($E4242,'Fuel Category and Heat Rate'!$B$1:$G$34,6,FALSE)*($G4242),""),"")</f>
        <v>205786925876957.13</v>
      </c>
      <c r="I4242" t="str">
        <f>IFERROR(VLOOKUP($E4242,'Fuel Category and Heat Rate'!$K$2:$M$36,3,FALSE),"")</f>
        <v>heat</v>
      </c>
    </row>
    <row r="4243" spans="1:9" x14ac:dyDescent="0.15">
      <c r="A4243" s="2">
        <v>481507</v>
      </c>
      <c r="B4243" s="2" t="s">
        <v>91</v>
      </c>
      <c r="C4243" s="2">
        <v>2020</v>
      </c>
      <c r="D4243" s="2" t="s">
        <v>1</v>
      </c>
      <c r="E4243" s="2" t="s">
        <v>23</v>
      </c>
      <c r="F4243" s="2" t="s">
        <v>35</v>
      </c>
      <c r="G4243" s="7"/>
      <c r="H4243" s="13" t="str">
        <f>IFERROR(IF(ABS($G4243)&gt;0,VLOOKUP($E4243,'Fuel Category and Heat Rate'!$B$1:$G$34,6,FALSE)*($G4243),""),"")</f>
        <v/>
      </c>
      <c r="I4243" t="str">
        <f>IFERROR(VLOOKUP($E4243,'Fuel Category and Heat Rate'!$K$2:$M$36,3,FALSE),"")</f>
        <v>heavy or residual fuel oil</v>
      </c>
    </row>
    <row r="4244" spans="1:9" x14ac:dyDescent="0.15">
      <c r="A4244" s="2">
        <v>481542</v>
      </c>
      <c r="B4244" s="2" t="s">
        <v>91</v>
      </c>
      <c r="C4244" s="2">
        <v>2020</v>
      </c>
      <c r="D4244" s="2" t="s">
        <v>1</v>
      </c>
      <c r="E4244" s="2" t="s">
        <v>21</v>
      </c>
      <c r="F4244" s="2" t="s">
        <v>35</v>
      </c>
      <c r="G4244" s="7"/>
      <c r="H4244" s="13" t="str">
        <f>IFERROR(IF(ABS($G4244)&gt;0,VLOOKUP($E4244,'Fuel Category and Heat Rate'!$B$1:$G$34,6,FALSE)*($G4244),""),"")</f>
        <v/>
      </c>
      <c r="I4244" t="str">
        <f>IFERROR(VLOOKUP($E4244,'Fuel Category and Heat Rate'!$K$2:$M$36,3,FALSE),"")</f>
        <v>LPG propane or butane</v>
      </c>
    </row>
    <row r="4245" spans="1:9" x14ac:dyDescent="0.15">
      <c r="A4245" s="2">
        <v>481577</v>
      </c>
      <c r="B4245" s="2" t="s">
        <v>91</v>
      </c>
      <c r="C4245" s="2">
        <v>2020</v>
      </c>
      <c r="D4245" s="2" t="s">
        <v>1</v>
      </c>
      <c r="E4245" s="2" t="s">
        <v>22</v>
      </c>
      <c r="F4245" s="2" t="s">
        <v>35</v>
      </c>
      <c r="G4245" s="7"/>
      <c r="H4245" s="13" t="str">
        <f>IFERROR(IF(ABS($G4245)&gt;0,VLOOKUP($E4245,'Fuel Category and Heat Rate'!$B$1:$G$34,6,FALSE)*($G4245),""),"")</f>
        <v/>
      </c>
      <c r="I4245" t="str">
        <f>IFERROR(VLOOKUP($E4245,'Fuel Category and Heat Rate'!$K$2:$M$36,3,FALSE),"")</f>
        <v>heavy fuel oil</v>
      </c>
    </row>
    <row r="4246" spans="1:9" x14ac:dyDescent="0.15">
      <c r="A4246" s="2">
        <v>481612</v>
      </c>
      <c r="B4246" s="2" t="s">
        <v>91</v>
      </c>
      <c r="C4246" s="2">
        <v>2020</v>
      </c>
      <c r="D4246" s="2" t="s">
        <v>1</v>
      </c>
      <c r="E4246" s="2" t="s">
        <v>20</v>
      </c>
      <c r="F4246" s="2" t="s">
        <v>35</v>
      </c>
      <c r="G4246" s="7"/>
      <c r="H4246" s="13" t="str">
        <f>IFERROR(IF(ABS($G4246)&gt;0,VLOOKUP($E4246,'Fuel Category and Heat Rate'!$B$1:$G$34,6,FALSE)*($G4246),""),"")</f>
        <v/>
      </c>
      <c r="I4246" t="str">
        <f>IFERROR(VLOOKUP($E4246,'Fuel Category and Heat Rate'!$K$2:$M$36,3,FALSE),"")</f>
        <v>LPG propane or butane</v>
      </c>
    </row>
    <row r="4247" spans="1:9" x14ac:dyDescent="0.15">
      <c r="A4247" s="2">
        <v>481647</v>
      </c>
      <c r="B4247" s="2" t="s">
        <v>91</v>
      </c>
      <c r="C4247" s="2">
        <v>2020</v>
      </c>
      <c r="D4247" s="2" t="s">
        <v>1</v>
      </c>
      <c r="E4247" s="2" t="s">
        <v>25</v>
      </c>
      <c r="F4247" s="2" t="s">
        <v>35</v>
      </c>
      <c r="G4247" s="7">
        <v>-32.28</v>
      </c>
      <c r="H4247" s="13">
        <f>IFERROR(IF(ABS($G4247)&gt;0,VLOOKUP($E4247,'Fuel Category and Heat Rate'!$B$1:$G$34,6,FALSE)*($G4247),""),"")</f>
        <v>-9774356115839.7441</v>
      </c>
      <c r="I4247" t="str">
        <f>IFERROR(VLOOKUP($E4247,'Fuel Category and Heat Rate'!$K$2:$M$36,3,FALSE),"")</f>
        <v>heavy fuel oil</v>
      </c>
    </row>
    <row r="4248" spans="1:9" x14ac:dyDescent="0.15">
      <c r="A4248" s="2">
        <v>481682</v>
      </c>
      <c r="B4248" s="2" t="s">
        <v>91</v>
      </c>
      <c r="C4248" s="2">
        <v>2020</v>
      </c>
      <c r="D4248" s="2" t="s">
        <v>1</v>
      </c>
      <c r="E4248" s="2" t="s">
        <v>24</v>
      </c>
      <c r="F4248" s="2" t="s">
        <v>35</v>
      </c>
      <c r="G4248" s="7"/>
      <c r="H4248" s="13" t="str">
        <f>IFERROR(IF(ABS($G4248)&gt;0,VLOOKUP($E4248,'Fuel Category and Heat Rate'!$B$1:$G$34,6,FALSE)*($G4248),""),"")</f>
        <v/>
      </c>
      <c r="I4248" t="str">
        <f>IFERROR(VLOOKUP($E4248,'Fuel Category and Heat Rate'!$K$2:$M$36,3,FALSE),"")</f>
        <v>heavy fuel oil</v>
      </c>
    </row>
    <row r="4249" spans="1:9" x14ac:dyDescent="0.15">
      <c r="A4249" s="2">
        <v>481717</v>
      </c>
      <c r="B4249" s="2" t="s">
        <v>91</v>
      </c>
      <c r="C4249" s="2">
        <v>2020</v>
      </c>
      <c r="D4249" s="2" t="s">
        <v>1</v>
      </c>
      <c r="E4249" s="2" t="s">
        <v>29</v>
      </c>
      <c r="F4249" s="2" t="s">
        <v>36</v>
      </c>
      <c r="G4249" s="7">
        <v>-22.83</v>
      </c>
      <c r="H4249" s="13">
        <f>IFERROR(IF(ABS($G4249)&gt;0,VLOOKUP($E4249,'Fuel Category and Heat Rate'!$B$1:$G$34,6,FALSE)*($G4249),""),"")</f>
        <v>-77000107150725.719</v>
      </c>
      <c r="I4249" t="str">
        <f>IFERROR(VLOOKUP($E4249,'Fuel Category and Heat Rate'!$K$2:$M$36,3,FALSE),"")</f>
        <v>natural gas</v>
      </c>
    </row>
    <row r="4250" spans="1:9" x14ac:dyDescent="0.15">
      <c r="A4250" s="2">
        <v>481752</v>
      </c>
      <c r="B4250" s="2" t="s">
        <v>91</v>
      </c>
      <c r="C4250" s="2">
        <v>2020</v>
      </c>
      <c r="D4250" s="2" t="s">
        <v>1</v>
      </c>
      <c r="E4250" s="2" t="s">
        <v>4</v>
      </c>
      <c r="F4250" s="2" t="s">
        <v>35</v>
      </c>
      <c r="G4250" s="7"/>
      <c r="H4250" s="13" t="str">
        <f>IFERROR(IF(ABS($G4250)&gt;0,VLOOKUP($E4250,'Fuel Category and Heat Rate'!$B$1:$G$34,6,FALSE)*($G4250),""),"")</f>
        <v/>
      </c>
      <c r="I4250" t="str">
        <f>IFERROR(VLOOKUP($E4250,'Fuel Category and Heat Rate'!$K$2:$M$36,3,FALSE),"")</f>
        <v>coal</v>
      </c>
    </row>
    <row r="4251" spans="1:9" x14ac:dyDescent="0.15">
      <c r="A4251" s="2">
        <v>481787</v>
      </c>
      <c r="B4251" s="2" t="s">
        <v>91</v>
      </c>
      <c r="C4251" s="2">
        <v>2020</v>
      </c>
      <c r="D4251" s="2" t="s">
        <v>1</v>
      </c>
      <c r="E4251" s="2" t="s">
        <v>6</v>
      </c>
      <c r="F4251" s="2" t="s">
        <v>35</v>
      </c>
      <c r="G4251" s="7"/>
      <c r="H4251" s="13" t="str">
        <f>IFERROR(IF(ABS($G4251)&gt;0,VLOOKUP($E4251,'Fuel Category and Heat Rate'!$B$1:$G$34,6,FALSE)*($G4251),""),"")</f>
        <v/>
      </c>
      <c r="I4251" t="str">
        <f>IFERROR(VLOOKUP($E4251,'Fuel Category and Heat Rate'!$K$2:$M$36,3,FALSE),"")</f>
        <v>coal</v>
      </c>
    </row>
    <row r="4252" spans="1:9" x14ac:dyDescent="0.15">
      <c r="A4252" s="2">
        <v>481822</v>
      </c>
      <c r="B4252" s="2" t="s">
        <v>91</v>
      </c>
      <c r="C4252" s="2">
        <v>2020</v>
      </c>
      <c r="D4252" s="2" t="s">
        <v>1</v>
      </c>
      <c r="E4252" s="2" t="s">
        <v>26</v>
      </c>
      <c r="F4252" s="2" t="s">
        <v>35</v>
      </c>
      <c r="G4252" s="7"/>
      <c r="H4252" s="13" t="str">
        <f>IFERROR(IF(ABS($G4252)&gt;0,VLOOKUP($E4252,'Fuel Category and Heat Rate'!$B$1:$G$34,6,FALSE)*($G4252),""),"")</f>
        <v/>
      </c>
      <c r="I4252" t="str">
        <f>IFERROR(VLOOKUP($E4252,'Fuel Category and Heat Rate'!$K$2:$M$36,3,FALSE),"")</f>
        <v>LPG propane or butane</v>
      </c>
    </row>
    <row r="4253" spans="1:9" x14ac:dyDescent="0.15">
      <c r="A4253" s="2">
        <v>481857</v>
      </c>
      <c r="B4253" s="2" t="s">
        <v>91</v>
      </c>
      <c r="C4253" s="2">
        <v>2020</v>
      </c>
      <c r="D4253" s="2" t="s">
        <v>1</v>
      </c>
      <c r="E4253" s="2" t="s">
        <v>30</v>
      </c>
      <c r="F4253" s="2" t="s">
        <v>35</v>
      </c>
      <c r="G4253" s="7">
        <v>-5.7</v>
      </c>
      <c r="H4253" s="13">
        <f>IFERROR(IF(ABS($G4253)&gt;0,VLOOKUP($E4253,'Fuel Category and Heat Rate'!$B$1:$G$34,6,FALSE)*($G4253),""),"")</f>
        <v>-2778751475573.5449</v>
      </c>
      <c r="I4253" t="str">
        <f>IFERROR(VLOOKUP($E4253,'Fuel Category and Heat Rate'!$K$2:$M$36,3,FALSE),"")</f>
        <v>natural gas</v>
      </c>
    </row>
    <row r="4254" spans="1:9" x14ac:dyDescent="0.15">
      <c r="A4254" s="2">
        <v>481892</v>
      </c>
      <c r="B4254" s="2" t="s">
        <v>91</v>
      </c>
      <c r="C4254" s="2">
        <v>2020</v>
      </c>
      <c r="D4254" s="2" t="s">
        <v>1</v>
      </c>
      <c r="E4254" s="2" t="s">
        <v>14</v>
      </c>
      <c r="F4254" s="2" t="s">
        <v>35</v>
      </c>
      <c r="G4254" s="7">
        <v>-32.61</v>
      </c>
      <c r="H4254" s="13">
        <f>IFERROR(IF(ABS($G4254)&gt;0,VLOOKUP($E4254,'Fuel Category and Heat Rate'!$B$1:$G$34,6,FALSE)*($G4254),""),"")</f>
        <v>0</v>
      </c>
      <c r="I4254" t="str">
        <f>IFERROR(VLOOKUP($E4254,'Fuel Category and Heat Rate'!$K$2:$M$36,3,FALSE),"")</f>
        <v/>
      </c>
    </row>
    <row r="4255" spans="1:9" x14ac:dyDescent="0.15">
      <c r="A4255" s="2">
        <v>481927</v>
      </c>
      <c r="B4255" s="2" t="s">
        <v>91</v>
      </c>
      <c r="C4255" s="2">
        <v>2020</v>
      </c>
      <c r="D4255" s="2" t="s">
        <v>1</v>
      </c>
      <c r="E4255" s="2" t="s">
        <v>3</v>
      </c>
      <c r="F4255" s="2" t="s">
        <v>35</v>
      </c>
      <c r="G4255" s="7">
        <v>-827.26</v>
      </c>
      <c r="H4255" s="13">
        <f>IFERROR(IF(ABS($G4255)&gt;0,VLOOKUP($E4255,'Fuel Category and Heat Rate'!$B$1:$G$34,6,FALSE)*($G4255),""),"")</f>
        <v>-163937786611012.13</v>
      </c>
      <c r="I4255" t="str">
        <f>IFERROR(VLOOKUP($E4255,'Fuel Category and Heat Rate'!$K$2:$M$36,3,FALSE),"")</f>
        <v>coal</v>
      </c>
    </row>
    <row r="4256" spans="1:9" x14ac:dyDescent="0.15">
      <c r="A4256" s="2">
        <v>481962</v>
      </c>
      <c r="B4256" s="2" t="s">
        <v>91</v>
      </c>
      <c r="C4256" s="2">
        <v>2020</v>
      </c>
      <c r="D4256" s="2" t="s">
        <v>1</v>
      </c>
      <c r="E4256" s="2" t="s">
        <v>15</v>
      </c>
      <c r="F4256" s="2" t="s">
        <v>35</v>
      </c>
      <c r="G4256" s="7"/>
      <c r="H4256" s="13" t="str">
        <f>IFERROR(IF(ABS($G4256)&gt;0,VLOOKUP($E4256,'Fuel Category and Heat Rate'!$B$1:$G$34,6,FALSE)*($G4256),""),"")</f>
        <v/>
      </c>
      <c r="I4256" t="str">
        <f>IFERROR(VLOOKUP($E4256,'Fuel Category and Heat Rate'!$K$2:$M$36,3,FALSE),"")</f>
        <v>crude oil</v>
      </c>
    </row>
    <row r="4257" spans="1:9" x14ac:dyDescent="0.15">
      <c r="A4257" s="2">
        <v>481997</v>
      </c>
      <c r="B4257" s="2" t="s">
        <v>91</v>
      </c>
      <c r="C4257" s="2">
        <v>2020</v>
      </c>
      <c r="D4257" s="2" t="s">
        <v>1</v>
      </c>
      <c r="E4257" s="2" t="s">
        <v>11</v>
      </c>
      <c r="F4257" s="2" t="s">
        <v>36</v>
      </c>
      <c r="G4257" s="7"/>
      <c r="H4257" s="13" t="str">
        <f>IFERROR(IF(ABS($G4257)&gt;0,VLOOKUP($E4257,'Fuel Category and Heat Rate'!$B$1:$G$34,6,FALSE)*($G4257),""),"")</f>
        <v/>
      </c>
      <c r="I4257" t="str">
        <f>IFERROR(VLOOKUP($E4257,'Fuel Category and Heat Rate'!$K$2:$M$36,3,FALSE),"")</f>
        <v>LPG propane or butane</v>
      </c>
    </row>
    <row r="4258" spans="1:9" x14ac:dyDescent="0.15">
      <c r="A4258" s="2">
        <v>482032</v>
      </c>
      <c r="B4258" s="2" t="s">
        <v>91</v>
      </c>
      <c r="C4258" s="2">
        <v>2019</v>
      </c>
      <c r="D4258" s="2" t="s">
        <v>1</v>
      </c>
      <c r="E4258" s="2" t="s">
        <v>18</v>
      </c>
      <c r="F4258" s="2" t="s">
        <v>35</v>
      </c>
      <c r="G4258" s="7">
        <v>-0.1</v>
      </c>
      <c r="H4258" s="13">
        <f>IFERROR(IF(ABS($G4258)&gt;0,VLOOKUP($E4258,'Fuel Category and Heat Rate'!$B$1:$G$34,6,FALSE)*($G4258),""),"")</f>
        <v>-40426295915.993454</v>
      </c>
      <c r="I4258" t="str">
        <f>IFERROR(VLOOKUP($E4258,'Fuel Category and Heat Rate'!$K$2:$M$36,3,FALSE),"")</f>
        <v>petroleum diesel</v>
      </c>
    </row>
    <row r="4259" spans="1:9" x14ac:dyDescent="0.15">
      <c r="A4259" s="2">
        <v>482067</v>
      </c>
      <c r="B4259" s="2" t="s">
        <v>91</v>
      </c>
      <c r="C4259" s="2">
        <v>2019</v>
      </c>
      <c r="D4259" s="2" t="s">
        <v>1</v>
      </c>
      <c r="E4259" s="2" t="s">
        <v>32</v>
      </c>
      <c r="F4259" s="2" t="s">
        <v>65</v>
      </c>
      <c r="G4259" s="7"/>
      <c r="H4259" s="13" t="str">
        <f>IFERROR(IF(ABS($G4259)&gt;0,VLOOKUP($E4259,'Fuel Category and Heat Rate'!$B$1:$G$34,6,FALSE)*($G4259),""),"")</f>
        <v/>
      </c>
      <c r="I4259" t="str">
        <f>IFERROR(VLOOKUP($E4259,'Fuel Category and Heat Rate'!$K$2:$M$36,3,FALSE),"")</f>
        <v>electricity</v>
      </c>
    </row>
    <row r="4260" spans="1:9" x14ac:dyDescent="0.15">
      <c r="A4260" s="2">
        <v>482102</v>
      </c>
      <c r="B4260" s="2" t="s">
        <v>91</v>
      </c>
      <c r="C4260" s="2">
        <v>2019</v>
      </c>
      <c r="D4260" s="2" t="s">
        <v>1</v>
      </c>
      <c r="E4260" s="2" t="s">
        <v>10</v>
      </c>
      <c r="F4260" s="2" t="s">
        <v>36</v>
      </c>
      <c r="G4260" s="7"/>
      <c r="H4260" s="13" t="str">
        <f>IFERROR(IF(ABS($G4260)&gt;0,VLOOKUP($E4260,'Fuel Category and Heat Rate'!$B$1:$G$34,6,FALSE)*($G4260),""),"")</f>
        <v/>
      </c>
      <c r="I4260" t="str">
        <f>IFERROR(VLOOKUP($E4260,'Fuel Category and Heat Rate'!$K$2:$M$36,3,FALSE),"")</f>
        <v>LPG propane or butane</v>
      </c>
    </row>
    <row r="4261" spans="1:9" x14ac:dyDescent="0.15">
      <c r="A4261" s="2">
        <v>482137</v>
      </c>
      <c r="B4261" s="2" t="s">
        <v>91</v>
      </c>
      <c r="C4261" s="2">
        <v>2019</v>
      </c>
      <c r="D4261" s="2" t="s">
        <v>1</v>
      </c>
      <c r="E4261" s="2" t="s">
        <v>9</v>
      </c>
      <c r="F4261" s="2" t="s">
        <v>36</v>
      </c>
      <c r="G4261" s="7">
        <v>-0.26</v>
      </c>
      <c r="H4261" s="13">
        <f>IFERROR(IF(ABS($G4261)&gt;0,VLOOKUP($E4261,'Fuel Category and Heat Rate'!$B$1:$G$34,6,FALSE)*($G4261),""),"")</f>
        <v>-427646555393.25244</v>
      </c>
      <c r="I4261" t="str">
        <f>IFERROR(VLOOKUP($E4261,'Fuel Category and Heat Rate'!$K$2:$M$36,3,FALSE),"")</f>
        <v>LPG propane or butane</v>
      </c>
    </row>
    <row r="4262" spans="1:9" x14ac:dyDescent="0.15">
      <c r="A4262" s="2">
        <v>482172</v>
      </c>
      <c r="B4262" s="2" t="s">
        <v>91</v>
      </c>
      <c r="C4262" s="2">
        <v>2019</v>
      </c>
      <c r="D4262" s="2" t="s">
        <v>1</v>
      </c>
      <c r="E4262" s="2" t="s">
        <v>8</v>
      </c>
      <c r="F4262" s="2" t="s">
        <v>35</v>
      </c>
      <c r="G4262" s="7"/>
      <c r="H4262" s="13" t="str">
        <f>IFERROR(IF(ABS($G4262)&gt;0,VLOOKUP($E4262,'Fuel Category and Heat Rate'!$B$1:$G$34,6,FALSE)*($G4262),""),"")</f>
        <v/>
      </c>
      <c r="I4262" t="str">
        <f>IFERROR(VLOOKUP($E4262,'Fuel Category and Heat Rate'!$K$2:$M$36,3,FALSE),"")</f>
        <v>coal</v>
      </c>
    </row>
    <row r="4263" spans="1:9" x14ac:dyDescent="0.15">
      <c r="A4263" s="2">
        <v>482207</v>
      </c>
      <c r="B4263" s="2" t="s">
        <v>91</v>
      </c>
      <c r="C4263" s="2">
        <v>2019</v>
      </c>
      <c r="D4263" s="2" t="s">
        <v>1</v>
      </c>
      <c r="E4263" s="2" t="s">
        <v>27</v>
      </c>
      <c r="F4263" s="2" t="s">
        <v>35</v>
      </c>
      <c r="G4263" s="7">
        <v>-0.05</v>
      </c>
      <c r="H4263" s="13">
        <f>IFERROR(IF(ABS($G4263)&gt;0,VLOOKUP($E4263,'Fuel Category and Heat Rate'!$B$1:$G$34,6,FALSE)*($G4263),""),"")</f>
        <v>-21798846004.218643</v>
      </c>
      <c r="I4263" t="str">
        <f>IFERROR(VLOOKUP($E4263,'Fuel Category and Heat Rate'!$K$2:$M$36,3,FALSE),"")</f>
        <v>LPG propane or butane</v>
      </c>
    </row>
    <row r="4264" spans="1:9" x14ac:dyDescent="0.15">
      <c r="A4264" s="2">
        <v>482242</v>
      </c>
      <c r="B4264" s="2" t="s">
        <v>91</v>
      </c>
      <c r="C4264" s="2">
        <v>2019</v>
      </c>
      <c r="D4264" s="2" t="s">
        <v>1</v>
      </c>
      <c r="E4264" s="2" t="s">
        <v>7</v>
      </c>
      <c r="F4264" s="2" t="s">
        <v>35</v>
      </c>
      <c r="G4264" s="7"/>
      <c r="H4264" s="13" t="str">
        <f>IFERROR(IF(ABS($G4264)&gt;0,VLOOKUP($E4264,'Fuel Category and Heat Rate'!$B$1:$G$34,6,FALSE)*($G4264),""),"")</f>
        <v/>
      </c>
      <c r="I4264" t="str">
        <f>IFERROR(VLOOKUP($E4264,'Fuel Category and Heat Rate'!$K$2:$M$36,3,FALSE),"")</f>
        <v>coal</v>
      </c>
    </row>
    <row r="4265" spans="1:9" x14ac:dyDescent="0.15">
      <c r="A4265" s="2">
        <v>482277</v>
      </c>
      <c r="B4265" s="2" t="s">
        <v>91</v>
      </c>
      <c r="C4265" s="2">
        <v>2019</v>
      </c>
      <c r="D4265" s="2" t="s">
        <v>1</v>
      </c>
      <c r="E4265" s="2" t="s">
        <v>2</v>
      </c>
      <c r="F4265" s="2" t="s">
        <v>35</v>
      </c>
      <c r="G4265" s="7">
        <v>-832.97</v>
      </c>
      <c r="H4265" s="13">
        <f>IFERROR(IF(ABS($G4265)&gt;0,VLOOKUP($E4265,'Fuel Category and Heat Rate'!$B$1:$G$34,6,FALSE)*($G4265),""),"")</f>
        <v>0</v>
      </c>
      <c r="I4265" t="str">
        <f>IFERROR(VLOOKUP($E4265,'Fuel Category and Heat Rate'!$K$2:$M$36,3,FALSE),"")</f>
        <v/>
      </c>
    </row>
    <row r="4266" spans="1:9" x14ac:dyDescent="0.15">
      <c r="A4266" s="2">
        <v>482312</v>
      </c>
      <c r="B4266" s="2" t="s">
        <v>91</v>
      </c>
      <c r="C4266" s="2">
        <v>2019</v>
      </c>
      <c r="D4266" s="2" t="s">
        <v>1</v>
      </c>
      <c r="E4266" s="2" t="s">
        <v>17</v>
      </c>
      <c r="F4266" s="2" t="s">
        <v>35</v>
      </c>
      <c r="G4266" s="7"/>
      <c r="H4266" s="13" t="str">
        <f>IFERROR(IF(ABS($G4266)&gt;0,VLOOKUP($E4266,'Fuel Category and Heat Rate'!$B$1:$G$34,6,FALSE)*($G4266),""),"")</f>
        <v/>
      </c>
      <c r="I4266" t="str">
        <f>IFERROR(VLOOKUP($E4266,'Fuel Category and Heat Rate'!$K$2:$M$36,3,FALSE),"")</f>
        <v>petroleum diesel</v>
      </c>
    </row>
    <row r="4267" spans="1:9" x14ac:dyDescent="0.15">
      <c r="A4267" s="2">
        <v>482347</v>
      </c>
      <c r="B4267" s="2" t="s">
        <v>91</v>
      </c>
      <c r="C4267" s="2">
        <v>2019</v>
      </c>
      <c r="D4267" s="2" t="s">
        <v>1</v>
      </c>
      <c r="E4267" s="2" t="s">
        <v>13</v>
      </c>
      <c r="F4267" s="2" t="s">
        <v>35</v>
      </c>
      <c r="G4267" s="7"/>
      <c r="H4267" s="13" t="str">
        <f>IFERROR(IF(ABS($G4267)&gt;0,VLOOKUP($E4267,'Fuel Category and Heat Rate'!$B$1:$G$34,6,FALSE)*($G4267),""),"")</f>
        <v/>
      </c>
      <c r="I4267" t="str">
        <f>IFERROR(VLOOKUP($E4267,'Fuel Category and Heat Rate'!$K$2:$M$36,3,FALSE),"")</f>
        <v>petroleum diesel</v>
      </c>
    </row>
    <row r="4268" spans="1:9" x14ac:dyDescent="0.15">
      <c r="A4268" s="2">
        <v>482382</v>
      </c>
      <c r="B4268" s="2" t="s">
        <v>91</v>
      </c>
      <c r="C4268" s="2">
        <v>2019</v>
      </c>
      <c r="D4268" s="2" t="s">
        <v>1</v>
      </c>
      <c r="E4268" s="2" t="s">
        <v>12</v>
      </c>
      <c r="F4268" s="2" t="s">
        <v>36</v>
      </c>
      <c r="G4268" s="7"/>
      <c r="H4268" s="13" t="str">
        <f>IFERROR(IF(ABS($G4268)&gt;0,VLOOKUP($E4268,'Fuel Category and Heat Rate'!$B$1:$G$34,6,FALSE)*($G4268),""),"")</f>
        <v/>
      </c>
      <c r="I4268" t="str">
        <f>IFERROR(VLOOKUP($E4268,'Fuel Category and Heat Rate'!$K$2:$M$36,3,FALSE),"")</f>
        <v>LPG propane or butane</v>
      </c>
    </row>
    <row r="4269" spans="1:9" x14ac:dyDescent="0.15">
      <c r="A4269" s="2">
        <v>482417</v>
      </c>
      <c r="B4269" s="2" t="s">
        <v>91</v>
      </c>
      <c r="C4269" s="2">
        <v>2019</v>
      </c>
      <c r="D4269" s="2" t="s">
        <v>1</v>
      </c>
      <c r="E4269" s="2" t="s">
        <v>33</v>
      </c>
      <c r="F4269" s="2" t="s">
        <v>38</v>
      </c>
      <c r="G4269" s="7">
        <v>-14.5</v>
      </c>
      <c r="H4269" s="13">
        <f>IFERROR(IF(ABS($G4269)&gt;0,VLOOKUP($E4269,'Fuel Category and Heat Rate'!$B$1:$G$34,6,FALSE)*($G4269),""),"")</f>
        <v>-4022815474649.9912</v>
      </c>
      <c r="I4269" t="str">
        <f>IFERROR(VLOOKUP($E4269,'Fuel Category and Heat Rate'!$K$2:$M$36,3,FALSE),"")</f>
        <v>biomass</v>
      </c>
    </row>
    <row r="4270" spans="1:9" x14ac:dyDescent="0.15">
      <c r="A4270" s="2">
        <v>482452</v>
      </c>
      <c r="B4270" s="2" t="s">
        <v>91</v>
      </c>
      <c r="C4270" s="2">
        <v>2019</v>
      </c>
      <c r="D4270" s="2" t="s">
        <v>1</v>
      </c>
      <c r="E4270" s="2" t="s">
        <v>28</v>
      </c>
      <c r="F4270" s="2" t="s">
        <v>35</v>
      </c>
      <c r="G4270" s="7">
        <v>-0.01</v>
      </c>
      <c r="H4270" s="13">
        <f>IFERROR(IF(ABS($G4270)&gt;0,VLOOKUP($E4270,'Fuel Category and Heat Rate'!$B$1:$G$34,6,FALSE)*($G4270),""),"")</f>
        <v>-3884154568.6894207</v>
      </c>
      <c r="I4270" t="str">
        <f>IFERROR(VLOOKUP($E4270,'Fuel Category and Heat Rate'!$K$2:$M$36,3,FALSE),"")</f>
        <v>heavy or residual fuel oil</v>
      </c>
    </row>
    <row r="4271" spans="1:9" x14ac:dyDescent="0.15">
      <c r="A4271" s="2">
        <v>482487</v>
      </c>
      <c r="B4271" s="2" t="s">
        <v>91</v>
      </c>
      <c r="C4271" s="2">
        <v>2019</v>
      </c>
      <c r="D4271" s="2" t="s">
        <v>1</v>
      </c>
      <c r="E4271" s="2" t="s">
        <v>5</v>
      </c>
      <c r="F4271" s="2" t="s">
        <v>35</v>
      </c>
      <c r="G4271" s="7">
        <v>-6.18</v>
      </c>
      <c r="H4271" s="13">
        <f>IFERROR(IF(ABS($G4271)&gt;0,VLOOKUP($E4271,'Fuel Category and Heat Rate'!$B$1:$G$34,6,FALSE)*($G4271),""),"")</f>
        <v>-489863546086.20953</v>
      </c>
      <c r="I4271" t="str">
        <f>IFERROR(VLOOKUP($E4271,'Fuel Category and Heat Rate'!$K$2:$M$36,3,FALSE),"")</f>
        <v>coal</v>
      </c>
    </row>
    <row r="4272" spans="1:9" x14ac:dyDescent="0.15">
      <c r="A4272" s="2">
        <v>482522</v>
      </c>
      <c r="B4272" s="2" t="s">
        <v>91</v>
      </c>
      <c r="C4272" s="2">
        <v>2019</v>
      </c>
      <c r="D4272" s="2" t="s">
        <v>1</v>
      </c>
      <c r="E4272" s="2" t="s">
        <v>16</v>
      </c>
      <c r="F4272" s="2" t="s">
        <v>35</v>
      </c>
      <c r="G4272" s="7"/>
      <c r="H4272" s="13" t="str">
        <f>IFERROR(IF(ABS($G4272)&gt;0,VLOOKUP($E4272,'Fuel Category and Heat Rate'!$B$1:$G$34,6,FALSE)*($G4272),""),"")</f>
        <v/>
      </c>
      <c r="I4272" t="str">
        <f>IFERROR(VLOOKUP($E4272,'Fuel Category and Heat Rate'!$K$2:$M$36,3,FALSE),"")</f>
        <v>petroleum diesel</v>
      </c>
    </row>
    <row r="4273" spans="1:9" x14ac:dyDescent="0.15">
      <c r="A4273" s="2">
        <v>482557</v>
      </c>
      <c r="B4273" s="2" t="s">
        <v>91</v>
      </c>
      <c r="C4273" s="2">
        <v>2019</v>
      </c>
      <c r="D4273" s="2" t="s">
        <v>1</v>
      </c>
      <c r="E4273" s="2" t="s">
        <v>19</v>
      </c>
      <c r="F4273" s="2" t="s">
        <v>35</v>
      </c>
      <c r="G4273" s="7">
        <v>-7.0000000000000007E-2</v>
      </c>
      <c r="H4273" s="13">
        <f>IFERROR(IF(ABS($G4273)&gt;0,VLOOKUP($E4273,'Fuel Category and Heat Rate'!$B$1:$G$34,6,FALSE)*($G4273),""),"")</f>
        <v>-27743744561.010685</v>
      </c>
      <c r="I4273" t="str">
        <f>IFERROR(VLOOKUP($E4273,'Fuel Category and Heat Rate'!$K$2:$M$36,3,FALSE),"")</f>
        <v>heavy or residual fuel oil</v>
      </c>
    </row>
    <row r="4274" spans="1:9" x14ac:dyDescent="0.15">
      <c r="A4274" s="2">
        <v>482592</v>
      </c>
      <c r="B4274" s="2" t="s">
        <v>91</v>
      </c>
      <c r="C4274" s="2">
        <v>2019</v>
      </c>
      <c r="D4274" s="2" t="s">
        <v>1</v>
      </c>
      <c r="E4274" s="2" t="s">
        <v>31</v>
      </c>
      <c r="F4274" s="2" t="s">
        <v>37</v>
      </c>
      <c r="G4274" s="7">
        <v>22270.9</v>
      </c>
      <c r="H4274" s="13">
        <f>IFERROR(IF(ABS($G4274)&gt;0,VLOOKUP($E4274,'Fuel Category and Heat Rate'!$B$1:$G$34,6,FALSE)*($G4274),""),"")</f>
        <v>211087403572047.91</v>
      </c>
      <c r="I4274" t="str">
        <f>IFERROR(VLOOKUP($E4274,'Fuel Category and Heat Rate'!$K$2:$M$36,3,FALSE),"")</f>
        <v>heat</v>
      </c>
    </row>
    <row r="4275" spans="1:9" x14ac:dyDescent="0.15">
      <c r="A4275" s="2">
        <v>482627</v>
      </c>
      <c r="B4275" s="2" t="s">
        <v>91</v>
      </c>
      <c r="C4275" s="2">
        <v>2019</v>
      </c>
      <c r="D4275" s="2" t="s">
        <v>1</v>
      </c>
      <c r="E4275" s="2" t="s">
        <v>23</v>
      </c>
      <c r="F4275" s="2" t="s">
        <v>35</v>
      </c>
      <c r="G4275" s="7"/>
      <c r="H4275" s="13" t="str">
        <f>IFERROR(IF(ABS($G4275)&gt;0,VLOOKUP($E4275,'Fuel Category and Heat Rate'!$B$1:$G$34,6,FALSE)*($G4275),""),"")</f>
        <v/>
      </c>
      <c r="I4275" t="str">
        <f>IFERROR(VLOOKUP($E4275,'Fuel Category and Heat Rate'!$K$2:$M$36,3,FALSE),"")</f>
        <v>heavy or residual fuel oil</v>
      </c>
    </row>
    <row r="4276" spans="1:9" x14ac:dyDescent="0.15">
      <c r="A4276" s="2">
        <v>482662</v>
      </c>
      <c r="B4276" s="2" t="s">
        <v>91</v>
      </c>
      <c r="C4276" s="2">
        <v>2019</v>
      </c>
      <c r="D4276" s="2" t="s">
        <v>1</v>
      </c>
      <c r="E4276" s="2" t="s">
        <v>21</v>
      </c>
      <c r="F4276" s="2" t="s">
        <v>35</v>
      </c>
      <c r="G4276" s="7"/>
      <c r="H4276" s="13" t="str">
        <f>IFERROR(IF(ABS($G4276)&gt;0,VLOOKUP($E4276,'Fuel Category and Heat Rate'!$B$1:$G$34,6,FALSE)*($G4276),""),"")</f>
        <v/>
      </c>
      <c r="I4276" t="str">
        <f>IFERROR(VLOOKUP($E4276,'Fuel Category and Heat Rate'!$K$2:$M$36,3,FALSE),"")</f>
        <v>LPG propane or butane</v>
      </c>
    </row>
    <row r="4277" spans="1:9" x14ac:dyDescent="0.15">
      <c r="A4277" s="2">
        <v>482697</v>
      </c>
      <c r="B4277" s="2" t="s">
        <v>91</v>
      </c>
      <c r="C4277" s="2">
        <v>2019</v>
      </c>
      <c r="D4277" s="2" t="s">
        <v>1</v>
      </c>
      <c r="E4277" s="2" t="s">
        <v>22</v>
      </c>
      <c r="F4277" s="2" t="s">
        <v>35</v>
      </c>
      <c r="G4277" s="7"/>
      <c r="H4277" s="13" t="str">
        <f>IFERROR(IF(ABS($G4277)&gt;0,VLOOKUP($E4277,'Fuel Category and Heat Rate'!$B$1:$G$34,6,FALSE)*($G4277),""),"")</f>
        <v/>
      </c>
      <c r="I4277" t="str">
        <f>IFERROR(VLOOKUP($E4277,'Fuel Category and Heat Rate'!$K$2:$M$36,3,FALSE),"")</f>
        <v>heavy fuel oil</v>
      </c>
    </row>
    <row r="4278" spans="1:9" x14ac:dyDescent="0.15">
      <c r="A4278" s="2">
        <v>482732</v>
      </c>
      <c r="B4278" s="2" t="s">
        <v>91</v>
      </c>
      <c r="C4278" s="2">
        <v>2019</v>
      </c>
      <c r="D4278" s="2" t="s">
        <v>1</v>
      </c>
      <c r="E4278" s="2" t="s">
        <v>20</v>
      </c>
      <c r="F4278" s="2" t="s">
        <v>35</v>
      </c>
      <c r="G4278" s="7"/>
      <c r="H4278" s="13" t="str">
        <f>IFERROR(IF(ABS($G4278)&gt;0,VLOOKUP($E4278,'Fuel Category and Heat Rate'!$B$1:$G$34,6,FALSE)*($G4278),""),"")</f>
        <v/>
      </c>
      <c r="I4278" t="str">
        <f>IFERROR(VLOOKUP($E4278,'Fuel Category and Heat Rate'!$K$2:$M$36,3,FALSE),"")</f>
        <v>LPG propane or butane</v>
      </c>
    </row>
    <row r="4279" spans="1:9" x14ac:dyDescent="0.15">
      <c r="A4279" s="2">
        <v>482767</v>
      </c>
      <c r="B4279" s="2" t="s">
        <v>91</v>
      </c>
      <c r="C4279" s="2">
        <v>2019</v>
      </c>
      <c r="D4279" s="2" t="s">
        <v>1</v>
      </c>
      <c r="E4279" s="2" t="s">
        <v>25</v>
      </c>
      <c r="F4279" s="2" t="s">
        <v>35</v>
      </c>
      <c r="G4279" s="7">
        <v>-37.79</v>
      </c>
      <c r="H4279" s="13">
        <f>IFERROR(IF(ABS($G4279)&gt;0,VLOOKUP($E4279,'Fuel Category and Heat Rate'!$B$1:$G$34,6,FALSE)*($G4279),""),"")</f>
        <v>-11442779356182.896</v>
      </c>
      <c r="I4279" t="str">
        <f>IFERROR(VLOOKUP($E4279,'Fuel Category and Heat Rate'!$K$2:$M$36,3,FALSE),"")</f>
        <v>heavy fuel oil</v>
      </c>
    </row>
    <row r="4280" spans="1:9" x14ac:dyDescent="0.15">
      <c r="A4280" s="2">
        <v>482802</v>
      </c>
      <c r="B4280" s="2" t="s">
        <v>91</v>
      </c>
      <c r="C4280" s="2">
        <v>2019</v>
      </c>
      <c r="D4280" s="2" t="s">
        <v>1</v>
      </c>
      <c r="E4280" s="2" t="s">
        <v>24</v>
      </c>
      <c r="F4280" s="2" t="s">
        <v>35</v>
      </c>
      <c r="G4280" s="7"/>
      <c r="H4280" s="13" t="str">
        <f>IFERROR(IF(ABS($G4280)&gt;0,VLOOKUP($E4280,'Fuel Category and Heat Rate'!$B$1:$G$34,6,FALSE)*($G4280),""),"")</f>
        <v/>
      </c>
      <c r="I4280" t="str">
        <f>IFERROR(VLOOKUP($E4280,'Fuel Category and Heat Rate'!$K$2:$M$36,3,FALSE),"")</f>
        <v>heavy fuel oil</v>
      </c>
    </row>
    <row r="4281" spans="1:9" x14ac:dyDescent="0.15">
      <c r="A4281" s="2">
        <v>482837</v>
      </c>
      <c r="B4281" s="2" t="s">
        <v>91</v>
      </c>
      <c r="C4281" s="2">
        <v>2019</v>
      </c>
      <c r="D4281" s="2" t="s">
        <v>1</v>
      </c>
      <c r="E4281" s="2" t="s">
        <v>29</v>
      </c>
      <c r="F4281" s="2" t="s">
        <v>36</v>
      </c>
      <c r="G4281" s="7">
        <v>-21.93</v>
      </c>
      <c r="H4281" s="13">
        <f>IFERROR(IF(ABS($G4281)&gt;0,VLOOKUP($E4281,'Fuel Category and Heat Rate'!$B$1:$G$34,6,FALSE)*($G4281),""),"")</f>
        <v>-73964623294586.734</v>
      </c>
      <c r="I4281" t="str">
        <f>IFERROR(VLOOKUP($E4281,'Fuel Category and Heat Rate'!$K$2:$M$36,3,FALSE),"")</f>
        <v>natural gas</v>
      </c>
    </row>
    <row r="4282" spans="1:9" x14ac:dyDescent="0.15">
      <c r="A4282" s="2">
        <v>482872</v>
      </c>
      <c r="B4282" s="2" t="s">
        <v>91</v>
      </c>
      <c r="C4282" s="2">
        <v>2019</v>
      </c>
      <c r="D4282" s="2" t="s">
        <v>1</v>
      </c>
      <c r="E4282" s="2" t="s">
        <v>4</v>
      </c>
      <c r="F4282" s="2" t="s">
        <v>35</v>
      </c>
      <c r="G4282" s="7"/>
      <c r="H4282" s="13" t="str">
        <f>IFERROR(IF(ABS($G4282)&gt;0,VLOOKUP($E4282,'Fuel Category and Heat Rate'!$B$1:$G$34,6,FALSE)*($G4282),""),"")</f>
        <v/>
      </c>
      <c r="I4282" t="str">
        <f>IFERROR(VLOOKUP($E4282,'Fuel Category and Heat Rate'!$K$2:$M$36,3,FALSE),"")</f>
        <v>coal</v>
      </c>
    </row>
    <row r="4283" spans="1:9" x14ac:dyDescent="0.15">
      <c r="A4283" s="2">
        <v>482907</v>
      </c>
      <c r="B4283" s="2" t="s">
        <v>91</v>
      </c>
      <c r="C4283" s="2">
        <v>2019</v>
      </c>
      <c r="D4283" s="2" t="s">
        <v>1</v>
      </c>
      <c r="E4283" s="2" t="s">
        <v>6</v>
      </c>
      <c r="F4283" s="2" t="s">
        <v>35</v>
      </c>
      <c r="G4283" s="7">
        <v>-1.5</v>
      </c>
      <c r="H4283" s="13">
        <f>IFERROR(IF(ABS($G4283)&gt;0,VLOOKUP($E4283,'Fuel Category and Heat Rate'!$B$1:$G$34,6,FALSE)*($G4283),""),"")</f>
        <v>-219983615085.40045</v>
      </c>
      <c r="I4283" t="str">
        <f>IFERROR(VLOOKUP($E4283,'Fuel Category and Heat Rate'!$K$2:$M$36,3,FALSE),"")</f>
        <v>coal</v>
      </c>
    </row>
    <row r="4284" spans="1:9" x14ac:dyDescent="0.15">
      <c r="A4284" s="2">
        <v>482942</v>
      </c>
      <c r="B4284" s="2" t="s">
        <v>91</v>
      </c>
      <c r="C4284" s="2">
        <v>2019</v>
      </c>
      <c r="D4284" s="2" t="s">
        <v>1</v>
      </c>
      <c r="E4284" s="2" t="s">
        <v>26</v>
      </c>
      <c r="F4284" s="2" t="s">
        <v>35</v>
      </c>
      <c r="G4284" s="7"/>
      <c r="H4284" s="13" t="str">
        <f>IFERROR(IF(ABS($G4284)&gt;0,VLOOKUP($E4284,'Fuel Category and Heat Rate'!$B$1:$G$34,6,FALSE)*($G4284),""),"")</f>
        <v/>
      </c>
      <c r="I4284" t="str">
        <f>IFERROR(VLOOKUP($E4284,'Fuel Category and Heat Rate'!$K$2:$M$36,3,FALSE),"")</f>
        <v>LPG propane or butane</v>
      </c>
    </row>
    <row r="4285" spans="1:9" x14ac:dyDescent="0.15">
      <c r="A4285" s="2">
        <v>482977</v>
      </c>
      <c r="B4285" s="2" t="s">
        <v>91</v>
      </c>
      <c r="C4285" s="2">
        <v>2019</v>
      </c>
      <c r="D4285" s="2" t="s">
        <v>1</v>
      </c>
      <c r="E4285" s="2" t="s">
        <v>30</v>
      </c>
      <c r="F4285" s="2" t="s">
        <v>35</v>
      </c>
      <c r="G4285" s="7">
        <v>-4.8600000000000003</v>
      </c>
      <c r="H4285" s="13">
        <f>IFERROR(IF(ABS($G4285)&gt;0,VLOOKUP($E4285,'Fuel Category and Heat Rate'!$B$1:$G$34,6,FALSE)*($G4285),""),"")</f>
        <v>-2369251258120.6016</v>
      </c>
      <c r="I4285" t="str">
        <f>IFERROR(VLOOKUP($E4285,'Fuel Category and Heat Rate'!$K$2:$M$36,3,FALSE),"")</f>
        <v>natural gas</v>
      </c>
    </row>
    <row r="4286" spans="1:9" x14ac:dyDescent="0.15">
      <c r="A4286" s="2">
        <v>483012</v>
      </c>
      <c r="B4286" s="2" t="s">
        <v>91</v>
      </c>
      <c r="C4286" s="2">
        <v>2019</v>
      </c>
      <c r="D4286" s="2" t="s">
        <v>1</v>
      </c>
      <c r="E4286" s="2" t="s">
        <v>14</v>
      </c>
      <c r="F4286" s="2" t="s">
        <v>35</v>
      </c>
      <c r="G4286" s="7">
        <v>-38.020000000000003</v>
      </c>
      <c r="H4286" s="13">
        <f>IFERROR(IF(ABS($G4286)&gt;0,VLOOKUP($E4286,'Fuel Category and Heat Rate'!$B$1:$G$34,6,FALSE)*($G4286),""),"")</f>
        <v>0</v>
      </c>
      <c r="I4286" t="str">
        <f>IFERROR(VLOOKUP($E4286,'Fuel Category and Heat Rate'!$K$2:$M$36,3,FALSE),"")</f>
        <v/>
      </c>
    </row>
    <row r="4287" spans="1:9" x14ac:dyDescent="0.15">
      <c r="A4287" s="2">
        <v>483047</v>
      </c>
      <c r="B4287" s="2" t="s">
        <v>91</v>
      </c>
      <c r="C4287" s="2">
        <v>2019</v>
      </c>
      <c r="D4287" s="2" t="s">
        <v>1</v>
      </c>
      <c r="E4287" s="2" t="s">
        <v>3</v>
      </c>
      <c r="F4287" s="2" t="s">
        <v>35</v>
      </c>
      <c r="G4287" s="7">
        <v>-825.29</v>
      </c>
      <c r="H4287" s="13">
        <f>IFERROR(IF(ABS($G4287)&gt;0,VLOOKUP($E4287,'Fuel Category and Heat Rate'!$B$1:$G$34,6,FALSE)*($G4287),""),"")</f>
        <v>-163547392491117.88</v>
      </c>
      <c r="I4287" t="str">
        <f>IFERROR(VLOOKUP($E4287,'Fuel Category and Heat Rate'!$K$2:$M$36,3,FALSE),"")</f>
        <v>coal</v>
      </c>
    </row>
    <row r="4288" spans="1:9" x14ac:dyDescent="0.15">
      <c r="A4288" s="2">
        <v>483082</v>
      </c>
      <c r="B4288" s="2" t="s">
        <v>91</v>
      </c>
      <c r="C4288" s="2">
        <v>2019</v>
      </c>
      <c r="D4288" s="2" t="s">
        <v>1</v>
      </c>
      <c r="E4288" s="2" t="s">
        <v>15</v>
      </c>
      <c r="F4288" s="2" t="s">
        <v>35</v>
      </c>
      <c r="G4288" s="7"/>
      <c r="H4288" s="13" t="str">
        <f>IFERROR(IF(ABS($G4288)&gt;0,VLOOKUP($E4288,'Fuel Category and Heat Rate'!$B$1:$G$34,6,FALSE)*($G4288),""),"")</f>
        <v/>
      </c>
      <c r="I4288" t="str">
        <f>IFERROR(VLOOKUP($E4288,'Fuel Category and Heat Rate'!$K$2:$M$36,3,FALSE),"")</f>
        <v>crude oil</v>
      </c>
    </row>
    <row r="4289" spans="1:9" x14ac:dyDescent="0.15">
      <c r="A4289" s="2">
        <v>483117</v>
      </c>
      <c r="B4289" s="2" t="s">
        <v>91</v>
      </c>
      <c r="C4289" s="2">
        <v>2019</v>
      </c>
      <c r="D4289" s="2" t="s">
        <v>1</v>
      </c>
      <c r="E4289" s="2" t="s">
        <v>11</v>
      </c>
      <c r="F4289" s="2" t="s">
        <v>36</v>
      </c>
      <c r="G4289" s="7"/>
      <c r="H4289" s="13" t="str">
        <f>IFERROR(IF(ABS($G4289)&gt;0,VLOOKUP($E4289,'Fuel Category and Heat Rate'!$B$1:$G$34,6,FALSE)*($G4289),""),"")</f>
        <v/>
      </c>
      <c r="I4289" t="str">
        <f>IFERROR(VLOOKUP($E4289,'Fuel Category and Heat Rate'!$K$2:$M$36,3,FALSE),"")</f>
        <v>LPG propane or butane</v>
      </c>
    </row>
    <row r="4290" spans="1:9" x14ac:dyDescent="0.15">
      <c r="A4290" s="2">
        <v>483152</v>
      </c>
      <c r="B4290" s="2" t="s">
        <v>91</v>
      </c>
      <c r="C4290" s="2">
        <v>2018</v>
      </c>
      <c r="D4290" s="2" t="s">
        <v>1</v>
      </c>
      <c r="E4290" s="2" t="s">
        <v>18</v>
      </c>
      <c r="F4290" s="2" t="s">
        <v>35</v>
      </c>
      <c r="G4290" s="7">
        <v>-0.14000000000000001</v>
      </c>
      <c r="H4290" s="13">
        <f>IFERROR(IF(ABS($G4290)&gt;0,VLOOKUP($E4290,'Fuel Category and Heat Rate'!$B$1:$G$34,6,FALSE)*($G4290),""),"")</f>
        <v>-56596814282.390839</v>
      </c>
      <c r="I4290" t="str">
        <f>IFERROR(VLOOKUP($E4290,'Fuel Category and Heat Rate'!$K$2:$M$36,3,FALSE),"")</f>
        <v>petroleum diesel</v>
      </c>
    </row>
    <row r="4291" spans="1:9" x14ac:dyDescent="0.15">
      <c r="A4291" s="2">
        <v>483187</v>
      </c>
      <c r="B4291" s="2" t="s">
        <v>91</v>
      </c>
      <c r="C4291" s="2">
        <v>2018</v>
      </c>
      <c r="D4291" s="2" t="s">
        <v>1</v>
      </c>
      <c r="E4291" s="2" t="s">
        <v>32</v>
      </c>
      <c r="F4291" s="2" t="s">
        <v>65</v>
      </c>
      <c r="G4291" s="7"/>
      <c r="H4291" s="13" t="str">
        <f>IFERROR(IF(ABS($G4291)&gt;0,VLOOKUP($E4291,'Fuel Category and Heat Rate'!$B$1:$G$34,6,FALSE)*($G4291),""),"")</f>
        <v/>
      </c>
      <c r="I4291" t="str">
        <f>IFERROR(VLOOKUP($E4291,'Fuel Category and Heat Rate'!$K$2:$M$36,3,FALSE),"")</f>
        <v>electricity</v>
      </c>
    </row>
    <row r="4292" spans="1:9" x14ac:dyDescent="0.15">
      <c r="A4292" s="2">
        <v>483222</v>
      </c>
      <c r="B4292" s="2" t="s">
        <v>91</v>
      </c>
      <c r="C4292" s="2">
        <v>2018</v>
      </c>
      <c r="D4292" s="2" t="s">
        <v>1</v>
      </c>
      <c r="E4292" s="2" t="s">
        <v>10</v>
      </c>
      <c r="F4292" s="2" t="s">
        <v>36</v>
      </c>
      <c r="G4292" s="7"/>
      <c r="H4292" s="13" t="str">
        <f>IFERROR(IF(ABS($G4292)&gt;0,VLOOKUP($E4292,'Fuel Category and Heat Rate'!$B$1:$G$34,6,FALSE)*($G4292),""),"")</f>
        <v/>
      </c>
      <c r="I4292" t="str">
        <f>IFERROR(VLOOKUP($E4292,'Fuel Category and Heat Rate'!$K$2:$M$36,3,FALSE),"")</f>
        <v>LPG propane or butane</v>
      </c>
    </row>
    <row r="4293" spans="1:9" x14ac:dyDescent="0.15">
      <c r="A4293" s="2">
        <v>483257</v>
      </c>
      <c r="B4293" s="2" t="s">
        <v>91</v>
      </c>
      <c r="C4293" s="2">
        <v>2018</v>
      </c>
      <c r="D4293" s="2" t="s">
        <v>1</v>
      </c>
      <c r="E4293" s="2" t="s">
        <v>9</v>
      </c>
      <c r="F4293" s="2" t="s">
        <v>36</v>
      </c>
      <c r="G4293" s="7"/>
      <c r="H4293" s="13" t="str">
        <f>IFERROR(IF(ABS($G4293)&gt;0,VLOOKUP($E4293,'Fuel Category and Heat Rate'!$B$1:$G$34,6,FALSE)*($G4293),""),"")</f>
        <v/>
      </c>
      <c r="I4293" t="str">
        <f>IFERROR(VLOOKUP($E4293,'Fuel Category and Heat Rate'!$K$2:$M$36,3,FALSE),"")</f>
        <v>LPG propane or butane</v>
      </c>
    </row>
    <row r="4294" spans="1:9" x14ac:dyDescent="0.15">
      <c r="A4294" s="2">
        <v>483292</v>
      </c>
      <c r="B4294" s="2" t="s">
        <v>91</v>
      </c>
      <c r="C4294" s="2">
        <v>2018</v>
      </c>
      <c r="D4294" s="2" t="s">
        <v>1</v>
      </c>
      <c r="E4294" s="2" t="s">
        <v>8</v>
      </c>
      <c r="F4294" s="2" t="s">
        <v>35</v>
      </c>
      <c r="G4294" s="7"/>
      <c r="H4294" s="13" t="str">
        <f>IFERROR(IF(ABS($G4294)&gt;0,VLOOKUP($E4294,'Fuel Category and Heat Rate'!$B$1:$G$34,6,FALSE)*($G4294),""),"")</f>
        <v/>
      </c>
      <c r="I4294" t="str">
        <f>IFERROR(VLOOKUP($E4294,'Fuel Category and Heat Rate'!$K$2:$M$36,3,FALSE),"")</f>
        <v>coal</v>
      </c>
    </row>
    <row r="4295" spans="1:9" x14ac:dyDescent="0.15">
      <c r="A4295" s="2">
        <v>483327</v>
      </c>
      <c r="B4295" s="2" t="s">
        <v>91</v>
      </c>
      <c r="C4295" s="2">
        <v>2018</v>
      </c>
      <c r="D4295" s="2" t="s">
        <v>1</v>
      </c>
      <c r="E4295" s="2" t="s">
        <v>27</v>
      </c>
      <c r="F4295" s="2" t="s">
        <v>35</v>
      </c>
      <c r="G4295" s="7">
        <v>-0.01</v>
      </c>
      <c r="H4295" s="13">
        <f>IFERROR(IF(ABS($G4295)&gt;0,VLOOKUP($E4295,'Fuel Category and Heat Rate'!$B$1:$G$34,6,FALSE)*($G4295),""),"")</f>
        <v>-4359769200.8437281</v>
      </c>
      <c r="I4295" t="str">
        <f>IFERROR(VLOOKUP($E4295,'Fuel Category and Heat Rate'!$K$2:$M$36,3,FALSE),"")</f>
        <v>LPG propane or butane</v>
      </c>
    </row>
    <row r="4296" spans="1:9" x14ac:dyDescent="0.15">
      <c r="A4296" s="2">
        <v>483362</v>
      </c>
      <c r="B4296" s="2" t="s">
        <v>91</v>
      </c>
      <c r="C4296" s="2">
        <v>2018</v>
      </c>
      <c r="D4296" s="2" t="s">
        <v>1</v>
      </c>
      <c r="E4296" s="2" t="s">
        <v>7</v>
      </c>
      <c r="F4296" s="2" t="s">
        <v>35</v>
      </c>
      <c r="G4296" s="7"/>
      <c r="H4296" s="13" t="str">
        <f>IFERROR(IF(ABS($G4296)&gt;0,VLOOKUP($E4296,'Fuel Category and Heat Rate'!$B$1:$G$34,6,FALSE)*($G4296),""),"")</f>
        <v/>
      </c>
      <c r="I4296" t="str">
        <f>IFERROR(VLOOKUP($E4296,'Fuel Category and Heat Rate'!$K$2:$M$36,3,FALSE),"")</f>
        <v>coal</v>
      </c>
    </row>
    <row r="4297" spans="1:9" x14ac:dyDescent="0.15">
      <c r="A4297" s="2">
        <v>483397</v>
      </c>
      <c r="B4297" s="2" t="s">
        <v>91</v>
      </c>
      <c r="C4297" s="2">
        <v>2018</v>
      </c>
      <c r="D4297" s="2" t="s">
        <v>1</v>
      </c>
      <c r="E4297" s="2" t="s">
        <v>2</v>
      </c>
      <c r="F4297" s="2" t="s">
        <v>35</v>
      </c>
      <c r="G4297" s="7">
        <v>-809.57</v>
      </c>
      <c r="H4297" s="13">
        <f>IFERROR(IF(ABS($G4297)&gt;0,VLOOKUP($E4297,'Fuel Category and Heat Rate'!$B$1:$G$34,6,FALSE)*($G4297),""),"")</f>
        <v>0</v>
      </c>
      <c r="I4297" t="str">
        <f>IFERROR(VLOOKUP($E4297,'Fuel Category and Heat Rate'!$K$2:$M$36,3,FALSE),"")</f>
        <v/>
      </c>
    </row>
    <row r="4298" spans="1:9" x14ac:dyDescent="0.15">
      <c r="A4298" s="2">
        <v>483432</v>
      </c>
      <c r="B4298" s="2" t="s">
        <v>91</v>
      </c>
      <c r="C4298" s="2">
        <v>2018</v>
      </c>
      <c r="D4298" s="2" t="s">
        <v>1</v>
      </c>
      <c r="E4298" s="2" t="s">
        <v>17</v>
      </c>
      <c r="F4298" s="2" t="s">
        <v>35</v>
      </c>
      <c r="G4298" s="7"/>
      <c r="H4298" s="13" t="str">
        <f>IFERROR(IF(ABS($G4298)&gt;0,VLOOKUP($E4298,'Fuel Category and Heat Rate'!$B$1:$G$34,6,FALSE)*($G4298),""),"")</f>
        <v/>
      </c>
      <c r="I4298" t="str">
        <f>IFERROR(VLOOKUP($E4298,'Fuel Category and Heat Rate'!$K$2:$M$36,3,FALSE),"")</f>
        <v>petroleum diesel</v>
      </c>
    </row>
    <row r="4299" spans="1:9" x14ac:dyDescent="0.15">
      <c r="A4299" s="2">
        <v>483467</v>
      </c>
      <c r="B4299" s="2" t="s">
        <v>91</v>
      </c>
      <c r="C4299" s="2">
        <v>2018</v>
      </c>
      <c r="D4299" s="2" t="s">
        <v>1</v>
      </c>
      <c r="E4299" s="2" t="s">
        <v>13</v>
      </c>
      <c r="F4299" s="2" t="s">
        <v>35</v>
      </c>
      <c r="G4299" s="7"/>
      <c r="H4299" s="13" t="str">
        <f>IFERROR(IF(ABS($G4299)&gt;0,VLOOKUP($E4299,'Fuel Category and Heat Rate'!$B$1:$G$34,6,FALSE)*($G4299),""),"")</f>
        <v/>
      </c>
      <c r="I4299" t="str">
        <f>IFERROR(VLOOKUP($E4299,'Fuel Category and Heat Rate'!$K$2:$M$36,3,FALSE),"")</f>
        <v>petroleum diesel</v>
      </c>
    </row>
    <row r="4300" spans="1:9" x14ac:dyDescent="0.15">
      <c r="A4300" s="2">
        <v>483502</v>
      </c>
      <c r="B4300" s="2" t="s">
        <v>91</v>
      </c>
      <c r="C4300" s="2">
        <v>2018</v>
      </c>
      <c r="D4300" s="2" t="s">
        <v>1</v>
      </c>
      <c r="E4300" s="2" t="s">
        <v>12</v>
      </c>
      <c r="F4300" s="2" t="s">
        <v>36</v>
      </c>
      <c r="G4300" s="7"/>
      <c r="H4300" s="13" t="str">
        <f>IFERROR(IF(ABS($G4300)&gt;0,VLOOKUP($E4300,'Fuel Category and Heat Rate'!$B$1:$G$34,6,FALSE)*($G4300),""),"")</f>
        <v/>
      </c>
      <c r="I4300" t="str">
        <f>IFERROR(VLOOKUP($E4300,'Fuel Category and Heat Rate'!$K$2:$M$36,3,FALSE),"")</f>
        <v>LPG propane or butane</v>
      </c>
    </row>
    <row r="4301" spans="1:9" x14ac:dyDescent="0.15">
      <c r="A4301" s="2">
        <v>483537</v>
      </c>
      <c r="B4301" s="2" t="s">
        <v>91</v>
      </c>
      <c r="C4301" s="2">
        <v>2018</v>
      </c>
      <c r="D4301" s="2" t="s">
        <v>1</v>
      </c>
      <c r="E4301" s="2" t="s">
        <v>33</v>
      </c>
      <c r="F4301" s="2" t="s">
        <v>38</v>
      </c>
      <c r="G4301" s="7">
        <v>-13.09</v>
      </c>
      <c r="H4301" s="13">
        <f>IFERROR(IF(ABS($G4301)&gt;0,VLOOKUP($E4301,'Fuel Category and Heat Rate'!$B$1:$G$34,6,FALSE)*($G4301),""),"")</f>
        <v>-3631631349184.0264</v>
      </c>
      <c r="I4301" t="str">
        <f>IFERROR(VLOOKUP($E4301,'Fuel Category and Heat Rate'!$K$2:$M$36,3,FALSE),"")</f>
        <v>biomass</v>
      </c>
    </row>
    <row r="4302" spans="1:9" x14ac:dyDescent="0.15">
      <c r="A4302" s="2">
        <v>483572</v>
      </c>
      <c r="B4302" s="2" t="s">
        <v>91</v>
      </c>
      <c r="C4302" s="2">
        <v>2018</v>
      </c>
      <c r="D4302" s="2" t="s">
        <v>1</v>
      </c>
      <c r="E4302" s="2" t="s">
        <v>28</v>
      </c>
      <c r="F4302" s="2" t="s">
        <v>35</v>
      </c>
      <c r="G4302" s="7"/>
      <c r="H4302" s="13" t="str">
        <f>IFERROR(IF(ABS($G4302)&gt;0,VLOOKUP($E4302,'Fuel Category and Heat Rate'!$B$1:$G$34,6,FALSE)*($G4302),""),"")</f>
        <v/>
      </c>
      <c r="I4302" t="str">
        <f>IFERROR(VLOOKUP($E4302,'Fuel Category and Heat Rate'!$K$2:$M$36,3,FALSE),"")</f>
        <v>heavy or residual fuel oil</v>
      </c>
    </row>
    <row r="4303" spans="1:9" x14ac:dyDescent="0.15">
      <c r="A4303" s="2">
        <v>483607</v>
      </c>
      <c r="B4303" s="2" t="s">
        <v>91</v>
      </c>
      <c r="C4303" s="2">
        <v>2018</v>
      </c>
      <c r="D4303" s="2" t="s">
        <v>1</v>
      </c>
      <c r="E4303" s="2" t="s">
        <v>5</v>
      </c>
      <c r="F4303" s="2" t="s">
        <v>35</v>
      </c>
      <c r="G4303" s="7"/>
      <c r="H4303" s="13" t="str">
        <f>IFERROR(IF(ABS($G4303)&gt;0,VLOOKUP($E4303,'Fuel Category and Heat Rate'!$B$1:$G$34,6,FALSE)*($G4303),""),"")</f>
        <v/>
      </c>
      <c r="I4303" t="str">
        <f>IFERROR(VLOOKUP($E4303,'Fuel Category and Heat Rate'!$K$2:$M$36,3,FALSE),"")</f>
        <v>coal</v>
      </c>
    </row>
    <row r="4304" spans="1:9" x14ac:dyDescent="0.15">
      <c r="A4304" s="2">
        <v>483642</v>
      </c>
      <c r="B4304" s="2" t="s">
        <v>91</v>
      </c>
      <c r="C4304" s="2">
        <v>2018</v>
      </c>
      <c r="D4304" s="2" t="s">
        <v>1</v>
      </c>
      <c r="E4304" s="2" t="s">
        <v>16</v>
      </c>
      <c r="F4304" s="2" t="s">
        <v>35</v>
      </c>
      <c r="G4304" s="7"/>
      <c r="H4304" s="13" t="str">
        <f>IFERROR(IF(ABS($G4304)&gt;0,VLOOKUP($E4304,'Fuel Category and Heat Rate'!$B$1:$G$34,6,FALSE)*($G4304),""),"")</f>
        <v/>
      </c>
      <c r="I4304" t="str">
        <f>IFERROR(VLOOKUP($E4304,'Fuel Category and Heat Rate'!$K$2:$M$36,3,FALSE),"")</f>
        <v>petroleum diesel</v>
      </c>
    </row>
    <row r="4305" spans="1:9" x14ac:dyDescent="0.15">
      <c r="A4305" s="2">
        <v>483677</v>
      </c>
      <c r="B4305" s="2" t="s">
        <v>91</v>
      </c>
      <c r="C4305" s="2">
        <v>2018</v>
      </c>
      <c r="D4305" s="2" t="s">
        <v>1</v>
      </c>
      <c r="E4305" s="2" t="s">
        <v>19</v>
      </c>
      <c r="F4305" s="2" t="s">
        <v>35</v>
      </c>
      <c r="G4305" s="7">
        <v>-0.08</v>
      </c>
      <c r="H4305" s="13">
        <f>IFERROR(IF(ABS($G4305)&gt;0,VLOOKUP($E4305,'Fuel Category and Heat Rate'!$B$1:$G$34,6,FALSE)*($G4305),""),"")</f>
        <v>-31707136641.155064</v>
      </c>
      <c r="I4305" t="str">
        <f>IFERROR(VLOOKUP($E4305,'Fuel Category and Heat Rate'!$K$2:$M$36,3,FALSE),"")</f>
        <v>heavy or residual fuel oil</v>
      </c>
    </row>
    <row r="4306" spans="1:9" x14ac:dyDescent="0.15">
      <c r="A4306" s="2">
        <v>483712</v>
      </c>
      <c r="B4306" s="2" t="s">
        <v>91</v>
      </c>
      <c r="C4306" s="2">
        <v>2018</v>
      </c>
      <c r="D4306" s="2" t="s">
        <v>1</v>
      </c>
      <c r="E4306" s="2" t="s">
        <v>31</v>
      </c>
      <c r="F4306" s="2" t="s">
        <v>37</v>
      </c>
      <c r="G4306" s="7">
        <v>21414.33</v>
      </c>
      <c r="H4306" s="13">
        <f>IFERROR(IF(ABS($G4306)&gt;0,VLOOKUP($E4306,'Fuel Category and Heat Rate'!$B$1:$G$34,6,FALSE)*($G4306),""),"")</f>
        <v>202968686444419.06</v>
      </c>
      <c r="I4306" t="str">
        <f>IFERROR(VLOOKUP($E4306,'Fuel Category and Heat Rate'!$K$2:$M$36,3,FALSE),"")</f>
        <v>heat</v>
      </c>
    </row>
    <row r="4307" spans="1:9" x14ac:dyDescent="0.15">
      <c r="A4307" s="2">
        <v>483747</v>
      </c>
      <c r="B4307" s="2" t="s">
        <v>91</v>
      </c>
      <c r="C4307" s="2">
        <v>2018</v>
      </c>
      <c r="D4307" s="2" t="s">
        <v>1</v>
      </c>
      <c r="E4307" s="2" t="s">
        <v>23</v>
      </c>
      <c r="F4307" s="2" t="s">
        <v>35</v>
      </c>
      <c r="G4307" s="7"/>
      <c r="H4307" s="13" t="str">
        <f>IFERROR(IF(ABS($G4307)&gt;0,VLOOKUP($E4307,'Fuel Category and Heat Rate'!$B$1:$G$34,6,FALSE)*($G4307),""),"")</f>
        <v/>
      </c>
      <c r="I4307" t="str">
        <f>IFERROR(VLOOKUP($E4307,'Fuel Category and Heat Rate'!$K$2:$M$36,3,FALSE),"")</f>
        <v>heavy or residual fuel oil</v>
      </c>
    </row>
    <row r="4308" spans="1:9" x14ac:dyDescent="0.15">
      <c r="A4308" s="2">
        <v>483782</v>
      </c>
      <c r="B4308" s="2" t="s">
        <v>91</v>
      </c>
      <c r="C4308" s="2">
        <v>2018</v>
      </c>
      <c r="D4308" s="2" t="s">
        <v>1</v>
      </c>
      <c r="E4308" s="2" t="s">
        <v>21</v>
      </c>
      <c r="F4308" s="2" t="s">
        <v>35</v>
      </c>
      <c r="G4308" s="7"/>
      <c r="H4308" s="13" t="str">
        <f>IFERROR(IF(ABS($G4308)&gt;0,VLOOKUP($E4308,'Fuel Category and Heat Rate'!$B$1:$G$34,6,FALSE)*($G4308),""),"")</f>
        <v/>
      </c>
      <c r="I4308" t="str">
        <f>IFERROR(VLOOKUP($E4308,'Fuel Category and Heat Rate'!$K$2:$M$36,3,FALSE),"")</f>
        <v>LPG propane or butane</v>
      </c>
    </row>
    <row r="4309" spans="1:9" x14ac:dyDescent="0.15">
      <c r="A4309" s="2">
        <v>483817</v>
      </c>
      <c r="B4309" s="2" t="s">
        <v>91</v>
      </c>
      <c r="C4309" s="2">
        <v>2018</v>
      </c>
      <c r="D4309" s="2" t="s">
        <v>1</v>
      </c>
      <c r="E4309" s="2" t="s">
        <v>22</v>
      </c>
      <c r="F4309" s="2" t="s">
        <v>35</v>
      </c>
      <c r="G4309" s="7"/>
      <c r="H4309" s="13" t="str">
        <f>IFERROR(IF(ABS($G4309)&gt;0,VLOOKUP($E4309,'Fuel Category and Heat Rate'!$B$1:$G$34,6,FALSE)*($G4309),""),"")</f>
        <v/>
      </c>
      <c r="I4309" t="str">
        <f>IFERROR(VLOOKUP($E4309,'Fuel Category and Heat Rate'!$K$2:$M$36,3,FALSE),"")</f>
        <v>heavy fuel oil</v>
      </c>
    </row>
    <row r="4310" spans="1:9" x14ac:dyDescent="0.15">
      <c r="A4310" s="2">
        <v>483852</v>
      </c>
      <c r="B4310" s="2" t="s">
        <v>91</v>
      </c>
      <c r="C4310" s="2">
        <v>2018</v>
      </c>
      <c r="D4310" s="2" t="s">
        <v>1</v>
      </c>
      <c r="E4310" s="2" t="s">
        <v>20</v>
      </c>
      <c r="F4310" s="2" t="s">
        <v>35</v>
      </c>
      <c r="G4310" s="7"/>
      <c r="H4310" s="13" t="str">
        <f>IFERROR(IF(ABS($G4310)&gt;0,VLOOKUP($E4310,'Fuel Category and Heat Rate'!$B$1:$G$34,6,FALSE)*($G4310),""),"")</f>
        <v/>
      </c>
      <c r="I4310" t="str">
        <f>IFERROR(VLOOKUP($E4310,'Fuel Category and Heat Rate'!$K$2:$M$36,3,FALSE),"")</f>
        <v>LPG propane or butane</v>
      </c>
    </row>
    <row r="4311" spans="1:9" x14ac:dyDescent="0.15">
      <c r="A4311" s="2">
        <v>483887</v>
      </c>
      <c r="B4311" s="2" t="s">
        <v>91</v>
      </c>
      <c r="C4311" s="2">
        <v>2018</v>
      </c>
      <c r="D4311" s="2" t="s">
        <v>1</v>
      </c>
      <c r="E4311" s="2" t="s">
        <v>25</v>
      </c>
      <c r="F4311" s="2" t="s">
        <v>35</v>
      </c>
      <c r="G4311" s="7">
        <v>-40.04</v>
      </c>
      <c r="H4311" s="13">
        <f>IFERROR(IF(ABS($G4311)&gt;0,VLOOKUP($E4311,'Fuel Category and Heat Rate'!$B$1:$G$34,6,FALSE)*($G4311),""),"")</f>
        <v>-12124077412584.365</v>
      </c>
      <c r="I4311" t="str">
        <f>IFERROR(VLOOKUP($E4311,'Fuel Category and Heat Rate'!$K$2:$M$36,3,FALSE),"")</f>
        <v>heavy fuel oil</v>
      </c>
    </row>
    <row r="4312" spans="1:9" x14ac:dyDescent="0.15">
      <c r="A4312" s="2">
        <v>483922</v>
      </c>
      <c r="B4312" s="2" t="s">
        <v>91</v>
      </c>
      <c r="C4312" s="2">
        <v>2018</v>
      </c>
      <c r="D4312" s="2" t="s">
        <v>1</v>
      </c>
      <c r="E4312" s="2" t="s">
        <v>24</v>
      </c>
      <c r="F4312" s="2" t="s">
        <v>35</v>
      </c>
      <c r="G4312" s="7"/>
      <c r="H4312" s="13" t="str">
        <f>IFERROR(IF(ABS($G4312)&gt;0,VLOOKUP($E4312,'Fuel Category and Heat Rate'!$B$1:$G$34,6,FALSE)*($G4312),""),"")</f>
        <v/>
      </c>
      <c r="I4312" t="str">
        <f>IFERROR(VLOOKUP($E4312,'Fuel Category and Heat Rate'!$K$2:$M$36,3,FALSE),"")</f>
        <v>heavy fuel oil</v>
      </c>
    </row>
    <row r="4313" spans="1:9" x14ac:dyDescent="0.15">
      <c r="A4313" s="2">
        <v>483957</v>
      </c>
      <c r="B4313" s="2" t="s">
        <v>91</v>
      </c>
      <c r="C4313" s="2">
        <v>2018</v>
      </c>
      <c r="D4313" s="2" t="s">
        <v>1</v>
      </c>
      <c r="E4313" s="2" t="s">
        <v>29</v>
      </c>
      <c r="F4313" s="2" t="s">
        <v>36</v>
      </c>
      <c r="G4313" s="7">
        <v>-20.77</v>
      </c>
      <c r="H4313" s="13">
        <f>IFERROR(IF(ABS($G4313)&gt;0,VLOOKUP($E4313,'Fuel Category and Heat Rate'!$B$1:$G$34,6,FALSE)*($G4313),""),"")</f>
        <v>-70052221880007.586</v>
      </c>
      <c r="I4313" t="str">
        <f>IFERROR(VLOOKUP($E4313,'Fuel Category and Heat Rate'!$K$2:$M$36,3,FALSE),"")</f>
        <v>natural gas</v>
      </c>
    </row>
    <row r="4314" spans="1:9" x14ac:dyDescent="0.15">
      <c r="A4314" s="2">
        <v>483992</v>
      </c>
      <c r="B4314" s="2" t="s">
        <v>91</v>
      </c>
      <c r="C4314" s="2">
        <v>2018</v>
      </c>
      <c r="D4314" s="2" t="s">
        <v>1</v>
      </c>
      <c r="E4314" s="2" t="s">
        <v>4</v>
      </c>
      <c r="F4314" s="2" t="s">
        <v>35</v>
      </c>
      <c r="G4314" s="7"/>
      <c r="H4314" s="13" t="str">
        <f>IFERROR(IF(ABS($G4314)&gt;0,VLOOKUP($E4314,'Fuel Category and Heat Rate'!$B$1:$G$34,6,FALSE)*($G4314),""),"")</f>
        <v/>
      </c>
      <c r="I4314" t="str">
        <f>IFERROR(VLOOKUP($E4314,'Fuel Category and Heat Rate'!$K$2:$M$36,3,FALSE),"")</f>
        <v>coal</v>
      </c>
    </row>
    <row r="4315" spans="1:9" x14ac:dyDescent="0.15">
      <c r="A4315" s="2">
        <v>484027</v>
      </c>
      <c r="B4315" s="2" t="s">
        <v>91</v>
      </c>
      <c r="C4315" s="2">
        <v>2018</v>
      </c>
      <c r="D4315" s="2" t="s">
        <v>1</v>
      </c>
      <c r="E4315" s="2" t="s">
        <v>6</v>
      </c>
      <c r="F4315" s="2" t="s">
        <v>35</v>
      </c>
      <c r="G4315" s="7"/>
      <c r="H4315" s="13" t="str">
        <f>IFERROR(IF(ABS($G4315)&gt;0,VLOOKUP($E4315,'Fuel Category and Heat Rate'!$B$1:$G$34,6,FALSE)*($G4315),""),"")</f>
        <v/>
      </c>
      <c r="I4315" t="str">
        <f>IFERROR(VLOOKUP($E4315,'Fuel Category and Heat Rate'!$K$2:$M$36,3,FALSE),"")</f>
        <v>coal</v>
      </c>
    </row>
    <row r="4316" spans="1:9" x14ac:dyDescent="0.15">
      <c r="A4316" s="2">
        <v>484062</v>
      </c>
      <c r="B4316" s="2" t="s">
        <v>91</v>
      </c>
      <c r="C4316" s="2">
        <v>2018</v>
      </c>
      <c r="D4316" s="2" t="s">
        <v>1</v>
      </c>
      <c r="E4316" s="2" t="s">
        <v>26</v>
      </c>
      <c r="F4316" s="2" t="s">
        <v>35</v>
      </c>
      <c r="G4316" s="7"/>
      <c r="H4316" s="13" t="str">
        <f>IFERROR(IF(ABS($G4316)&gt;0,VLOOKUP($E4316,'Fuel Category and Heat Rate'!$B$1:$G$34,6,FALSE)*($G4316),""),"")</f>
        <v/>
      </c>
      <c r="I4316" t="str">
        <f>IFERROR(VLOOKUP($E4316,'Fuel Category and Heat Rate'!$K$2:$M$36,3,FALSE),"")</f>
        <v>LPG propane or butane</v>
      </c>
    </row>
    <row r="4317" spans="1:9" x14ac:dyDescent="0.15">
      <c r="A4317" s="2">
        <v>484097</v>
      </c>
      <c r="B4317" s="2" t="s">
        <v>91</v>
      </c>
      <c r="C4317" s="2">
        <v>2018</v>
      </c>
      <c r="D4317" s="2" t="s">
        <v>1</v>
      </c>
      <c r="E4317" s="2" t="s">
        <v>30</v>
      </c>
      <c r="F4317" s="2" t="s">
        <v>35</v>
      </c>
      <c r="G4317" s="7">
        <v>-5.12</v>
      </c>
      <c r="H4317" s="13">
        <f>IFERROR(IF(ABS($G4317)&gt;0,VLOOKUP($E4317,'Fuel Category and Heat Rate'!$B$1:$G$34,6,FALSE)*($G4317),""),"")</f>
        <v>-2496001325427.4648</v>
      </c>
      <c r="I4317" t="str">
        <f>IFERROR(VLOOKUP($E4317,'Fuel Category and Heat Rate'!$K$2:$M$36,3,FALSE),"")</f>
        <v>natural gas</v>
      </c>
    </row>
    <row r="4318" spans="1:9" x14ac:dyDescent="0.15">
      <c r="A4318" s="2">
        <v>484132</v>
      </c>
      <c r="B4318" s="2" t="s">
        <v>91</v>
      </c>
      <c r="C4318" s="2">
        <v>2018</v>
      </c>
      <c r="D4318" s="2" t="s">
        <v>1</v>
      </c>
      <c r="E4318" s="2" t="s">
        <v>14</v>
      </c>
      <c r="F4318" s="2" t="s">
        <v>35</v>
      </c>
      <c r="G4318" s="7">
        <v>-40.270000000000003</v>
      </c>
      <c r="H4318" s="13">
        <f>IFERROR(IF(ABS($G4318)&gt;0,VLOOKUP($E4318,'Fuel Category and Heat Rate'!$B$1:$G$34,6,FALSE)*($G4318),""),"")</f>
        <v>0</v>
      </c>
      <c r="I4318" t="str">
        <f>IFERROR(VLOOKUP($E4318,'Fuel Category and Heat Rate'!$K$2:$M$36,3,FALSE),"")</f>
        <v/>
      </c>
    </row>
    <row r="4319" spans="1:9" x14ac:dyDescent="0.15">
      <c r="A4319" s="2">
        <v>484167</v>
      </c>
      <c r="B4319" s="2" t="s">
        <v>91</v>
      </c>
      <c r="C4319" s="2">
        <v>2018</v>
      </c>
      <c r="D4319" s="2" t="s">
        <v>1</v>
      </c>
      <c r="E4319" s="2" t="s">
        <v>3</v>
      </c>
      <c r="F4319" s="2" t="s">
        <v>35</v>
      </c>
      <c r="G4319" s="7">
        <v>-809.57</v>
      </c>
      <c r="H4319" s="13">
        <f>IFERROR(IF(ABS($G4319)&gt;0,VLOOKUP($E4319,'Fuel Category and Heat Rate'!$B$1:$G$34,6,FALSE)*($G4319),""),"")</f>
        <v>-160432166316124.41</v>
      </c>
      <c r="I4319" t="str">
        <f>IFERROR(VLOOKUP($E4319,'Fuel Category and Heat Rate'!$K$2:$M$36,3,FALSE),"")</f>
        <v>coal</v>
      </c>
    </row>
    <row r="4320" spans="1:9" x14ac:dyDescent="0.15">
      <c r="A4320" s="2">
        <v>484202</v>
      </c>
      <c r="B4320" s="2" t="s">
        <v>91</v>
      </c>
      <c r="C4320" s="2">
        <v>2018</v>
      </c>
      <c r="D4320" s="2" t="s">
        <v>1</v>
      </c>
      <c r="E4320" s="2" t="s">
        <v>15</v>
      </c>
      <c r="F4320" s="2" t="s">
        <v>35</v>
      </c>
      <c r="G4320" s="7"/>
      <c r="H4320" s="13" t="str">
        <f>IFERROR(IF(ABS($G4320)&gt;0,VLOOKUP($E4320,'Fuel Category and Heat Rate'!$B$1:$G$34,6,FALSE)*($G4320),""),"")</f>
        <v/>
      </c>
      <c r="I4320" t="str">
        <f>IFERROR(VLOOKUP($E4320,'Fuel Category and Heat Rate'!$K$2:$M$36,3,FALSE),"")</f>
        <v>crude oil</v>
      </c>
    </row>
    <row r="4321" spans="1:9" x14ac:dyDescent="0.15">
      <c r="A4321" s="2">
        <v>484237</v>
      </c>
      <c r="B4321" s="2" t="s">
        <v>91</v>
      </c>
      <c r="C4321" s="2">
        <v>2018</v>
      </c>
      <c r="D4321" s="2" t="s">
        <v>1</v>
      </c>
      <c r="E4321" s="2" t="s">
        <v>11</v>
      </c>
      <c r="F4321" s="2" t="s">
        <v>36</v>
      </c>
      <c r="G4321" s="7"/>
      <c r="H4321" s="13" t="str">
        <f>IFERROR(IF(ABS($G4321)&gt;0,VLOOKUP($E4321,'Fuel Category and Heat Rate'!$B$1:$G$34,6,FALSE)*($G4321),""),"")</f>
        <v/>
      </c>
      <c r="I4321" t="str">
        <f>IFERROR(VLOOKUP($E4321,'Fuel Category and Heat Rate'!$K$2:$M$36,3,FALSE),"")</f>
        <v>LPG propane or butane</v>
      </c>
    </row>
    <row r="4322" spans="1:9" x14ac:dyDescent="0.15">
      <c r="A4322" s="2">
        <v>497082</v>
      </c>
      <c r="B4322" s="2" t="s">
        <v>92</v>
      </c>
      <c r="C4322" s="2">
        <v>2022</v>
      </c>
      <c r="D4322" s="2" t="s">
        <v>1</v>
      </c>
      <c r="E4322" s="2" t="s">
        <v>18</v>
      </c>
      <c r="F4322" s="2" t="s">
        <v>35</v>
      </c>
      <c r="G4322" s="7">
        <v>-0.06</v>
      </c>
      <c r="H4322" s="13">
        <f>IFERROR(IF(ABS($G4322)&gt;0,VLOOKUP($E4322,'Fuel Category and Heat Rate'!$B$1:$G$34,6,FALSE)*($G4322),""),"")</f>
        <v>-24255777549.596069</v>
      </c>
      <c r="I4322" t="str">
        <f>IFERROR(VLOOKUP($E4322,'Fuel Category and Heat Rate'!$K$2:$M$36,3,FALSE),"")</f>
        <v>petroleum diesel</v>
      </c>
    </row>
    <row r="4323" spans="1:9" x14ac:dyDescent="0.15">
      <c r="A4323" s="2">
        <v>497117</v>
      </c>
      <c r="B4323" s="2" t="s">
        <v>92</v>
      </c>
      <c r="C4323" s="2">
        <v>2022</v>
      </c>
      <c r="D4323" s="2" t="s">
        <v>1</v>
      </c>
      <c r="E4323" s="2" t="s">
        <v>32</v>
      </c>
      <c r="F4323" s="2" t="s">
        <v>65</v>
      </c>
      <c r="G4323" s="7">
        <v>-3.75</v>
      </c>
      <c r="H4323" s="13">
        <f>IFERROR(IF(ABS($G4323)&gt;0,VLOOKUP($E4323,'Fuel Category and Heat Rate'!$B$1:$G$34,6,FALSE)*($G4323),""),"")</f>
        <v>-1279553115600.468</v>
      </c>
      <c r="I4323" t="str">
        <f>IFERROR(VLOOKUP($E4323,'Fuel Category and Heat Rate'!$K$2:$M$36,3,FALSE),"")</f>
        <v>electricity</v>
      </c>
    </row>
    <row r="4324" spans="1:9" x14ac:dyDescent="0.15">
      <c r="A4324" s="2">
        <v>497152</v>
      </c>
      <c r="B4324" s="2" t="s">
        <v>92</v>
      </c>
      <c r="C4324" s="2">
        <v>2022</v>
      </c>
      <c r="D4324" s="2" t="s">
        <v>1</v>
      </c>
      <c r="E4324" s="2" t="s">
        <v>10</v>
      </c>
      <c r="F4324" s="2" t="s">
        <v>36</v>
      </c>
      <c r="G4324" s="7">
        <v>-12.62</v>
      </c>
      <c r="H4324" s="13">
        <f>IFERROR(IF(ABS($G4324)&gt;0,VLOOKUP($E4324,'Fuel Category and Heat Rate'!$B$1:$G$34,6,FALSE)*($G4324),""),"")</f>
        <v>-4501094420736.1152</v>
      </c>
      <c r="I4324" t="str">
        <f>IFERROR(VLOOKUP($E4324,'Fuel Category and Heat Rate'!$K$2:$M$36,3,FALSE),"")</f>
        <v>LPG propane or butane</v>
      </c>
    </row>
    <row r="4325" spans="1:9" x14ac:dyDescent="0.15">
      <c r="A4325" s="2">
        <v>497187</v>
      </c>
      <c r="B4325" s="2" t="s">
        <v>92</v>
      </c>
      <c r="C4325" s="2">
        <v>2022</v>
      </c>
      <c r="D4325" s="2" t="s">
        <v>1</v>
      </c>
      <c r="E4325" s="2" t="s">
        <v>9</v>
      </c>
      <c r="F4325" s="2" t="s">
        <v>36</v>
      </c>
      <c r="G4325" s="7">
        <v>-31</v>
      </c>
      <c r="H4325" s="13">
        <f>IFERROR(IF(ABS($G4325)&gt;0,VLOOKUP($E4325,'Fuel Category and Heat Rate'!$B$1:$G$34,6,FALSE)*($G4325),""),"")</f>
        <v>-50988627758426.25</v>
      </c>
      <c r="I4325" t="str">
        <f>IFERROR(VLOOKUP($E4325,'Fuel Category and Heat Rate'!$K$2:$M$36,3,FALSE),"")</f>
        <v>LPG propane or butane</v>
      </c>
    </row>
    <row r="4326" spans="1:9" x14ac:dyDescent="0.15">
      <c r="A4326" s="2">
        <v>497222</v>
      </c>
      <c r="B4326" s="2" t="s">
        <v>92</v>
      </c>
      <c r="C4326" s="2">
        <v>2022</v>
      </c>
      <c r="D4326" s="2" t="s">
        <v>1</v>
      </c>
      <c r="E4326" s="2" t="s">
        <v>8</v>
      </c>
      <c r="F4326" s="2" t="s">
        <v>35</v>
      </c>
      <c r="G4326" s="7"/>
      <c r="H4326" s="13" t="str">
        <f>IFERROR(IF(ABS($G4326)&gt;0,VLOOKUP($E4326,'Fuel Category and Heat Rate'!$B$1:$G$34,6,FALSE)*($G4326),""),"")</f>
        <v/>
      </c>
      <c r="I4326" t="str">
        <f>IFERROR(VLOOKUP($E4326,'Fuel Category and Heat Rate'!$K$2:$M$36,3,FALSE),"")</f>
        <v>coal</v>
      </c>
    </row>
    <row r="4327" spans="1:9" x14ac:dyDescent="0.15">
      <c r="A4327" s="2">
        <v>497257</v>
      </c>
      <c r="B4327" s="2" t="s">
        <v>92</v>
      </c>
      <c r="C4327" s="2">
        <v>2022</v>
      </c>
      <c r="D4327" s="2" t="s">
        <v>1</v>
      </c>
      <c r="E4327" s="2" t="s">
        <v>27</v>
      </c>
      <c r="F4327" s="2" t="s">
        <v>35</v>
      </c>
      <c r="G4327" s="7">
        <v>-9.8800000000000008</v>
      </c>
      <c r="H4327" s="13">
        <f>IFERROR(IF(ABS($G4327)&gt;0,VLOOKUP($E4327,'Fuel Category and Heat Rate'!$B$1:$G$34,6,FALSE)*($G4327),""),"")</f>
        <v>-4307451970433.6035</v>
      </c>
      <c r="I4327" t="str">
        <f>IFERROR(VLOOKUP($E4327,'Fuel Category and Heat Rate'!$K$2:$M$36,3,FALSE),"")</f>
        <v>LPG propane or butane</v>
      </c>
    </row>
    <row r="4328" spans="1:9" x14ac:dyDescent="0.15">
      <c r="A4328" s="2">
        <v>497292</v>
      </c>
      <c r="B4328" s="2" t="s">
        <v>92</v>
      </c>
      <c r="C4328" s="2">
        <v>2022</v>
      </c>
      <c r="D4328" s="2" t="s">
        <v>1</v>
      </c>
      <c r="E4328" s="2" t="s">
        <v>7</v>
      </c>
      <c r="F4328" s="2" t="s">
        <v>35</v>
      </c>
      <c r="G4328" s="7">
        <v>-38.97</v>
      </c>
      <c r="H4328" s="13">
        <f>IFERROR(IF(ABS($G4328)&gt;0,VLOOKUP($E4328,'Fuel Category and Heat Rate'!$B$1:$G$34,6,FALSE)*($G4328),""),"")</f>
        <v>-3093056922057.728</v>
      </c>
      <c r="I4328" t="str">
        <f>IFERROR(VLOOKUP($E4328,'Fuel Category and Heat Rate'!$K$2:$M$36,3,FALSE),"")</f>
        <v>coal</v>
      </c>
    </row>
    <row r="4329" spans="1:9" x14ac:dyDescent="0.15">
      <c r="A4329" s="2">
        <v>497327</v>
      </c>
      <c r="B4329" s="2" t="s">
        <v>92</v>
      </c>
      <c r="C4329" s="2">
        <v>2022</v>
      </c>
      <c r="D4329" s="2" t="s">
        <v>1</v>
      </c>
      <c r="E4329" s="2" t="s">
        <v>2</v>
      </c>
      <c r="F4329" s="2" t="s">
        <v>35</v>
      </c>
      <c r="G4329" s="7">
        <v>-3977.17</v>
      </c>
      <c r="H4329" s="13">
        <f>IFERROR(IF(ABS($G4329)&gt;0,VLOOKUP($E4329,'Fuel Category and Heat Rate'!$B$1:$G$34,6,FALSE)*($G4329),""),"")</f>
        <v>0</v>
      </c>
      <c r="I4329" t="str">
        <f>IFERROR(VLOOKUP($E4329,'Fuel Category and Heat Rate'!$K$2:$M$36,3,FALSE),"")</f>
        <v/>
      </c>
    </row>
    <row r="4330" spans="1:9" x14ac:dyDescent="0.15">
      <c r="A4330" s="2">
        <v>497362</v>
      </c>
      <c r="B4330" s="2" t="s">
        <v>92</v>
      </c>
      <c r="C4330" s="2">
        <v>2022</v>
      </c>
      <c r="D4330" s="2" t="s">
        <v>1</v>
      </c>
      <c r="E4330" s="2" t="s">
        <v>17</v>
      </c>
      <c r="F4330" s="2" t="s">
        <v>35</v>
      </c>
      <c r="G4330" s="7"/>
      <c r="H4330" s="13" t="str">
        <f>IFERROR(IF(ABS($G4330)&gt;0,VLOOKUP($E4330,'Fuel Category and Heat Rate'!$B$1:$G$34,6,FALSE)*($G4330),""),"")</f>
        <v/>
      </c>
      <c r="I4330" t="str">
        <f>IFERROR(VLOOKUP($E4330,'Fuel Category and Heat Rate'!$K$2:$M$36,3,FALSE),"")</f>
        <v>petroleum diesel</v>
      </c>
    </row>
    <row r="4331" spans="1:9" x14ac:dyDescent="0.15">
      <c r="A4331" s="2">
        <v>497397</v>
      </c>
      <c r="B4331" s="2" t="s">
        <v>92</v>
      </c>
      <c r="C4331" s="2">
        <v>2022</v>
      </c>
      <c r="D4331" s="2" t="s">
        <v>1</v>
      </c>
      <c r="E4331" s="2" t="s">
        <v>13</v>
      </c>
      <c r="F4331" s="2" t="s">
        <v>35</v>
      </c>
      <c r="G4331" s="7"/>
      <c r="H4331" s="13" t="str">
        <f>IFERROR(IF(ABS($G4331)&gt;0,VLOOKUP($E4331,'Fuel Category and Heat Rate'!$B$1:$G$34,6,FALSE)*($G4331),""),"")</f>
        <v/>
      </c>
      <c r="I4331" t="str">
        <f>IFERROR(VLOOKUP($E4331,'Fuel Category and Heat Rate'!$K$2:$M$36,3,FALSE),"")</f>
        <v>petroleum diesel</v>
      </c>
    </row>
    <row r="4332" spans="1:9" x14ac:dyDescent="0.15">
      <c r="A4332" s="2">
        <v>497432</v>
      </c>
      <c r="B4332" s="2" t="s">
        <v>92</v>
      </c>
      <c r="C4332" s="2">
        <v>2022</v>
      </c>
      <c r="D4332" s="2" t="s">
        <v>1</v>
      </c>
      <c r="E4332" s="2" t="s">
        <v>12</v>
      </c>
      <c r="F4332" s="2" t="s">
        <v>36</v>
      </c>
      <c r="G4332" s="7"/>
      <c r="H4332" s="13" t="str">
        <f>IFERROR(IF(ABS($G4332)&gt;0,VLOOKUP($E4332,'Fuel Category and Heat Rate'!$B$1:$G$34,6,FALSE)*($G4332),""),"")</f>
        <v/>
      </c>
      <c r="I4332" t="str">
        <f>IFERROR(VLOOKUP($E4332,'Fuel Category and Heat Rate'!$K$2:$M$36,3,FALSE),"")</f>
        <v>LPG propane or butane</v>
      </c>
    </row>
    <row r="4333" spans="1:9" x14ac:dyDescent="0.15">
      <c r="A4333" s="2">
        <v>497467</v>
      </c>
      <c r="B4333" s="2" t="s">
        <v>92</v>
      </c>
      <c r="C4333" s="2">
        <v>2022</v>
      </c>
      <c r="D4333" s="2" t="s">
        <v>1</v>
      </c>
      <c r="E4333" s="2" t="s">
        <v>33</v>
      </c>
      <c r="F4333" s="2" t="s">
        <v>38</v>
      </c>
      <c r="G4333" s="7">
        <v>-9.1300000000000008</v>
      </c>
      <c r="H4333" s="13">
        <f>IFERROR(IF(ABS($G4333)&gt;0,VLOOKUP($E4333,'Fuel Category and Heat Rate'!$B$1:$G$34,6,FALSE)*($G4333),""),"")</f>
        <v>-2532986571279.6152</v>
      </c>
      <c r="I4333" t="str">
        <f>IFERROR(VLOOKUP($E4333,'Fuel Category and Heat Rate'!$K$2:$M$36,3,FALSE),"")</f>
        <v>biomass</v>
      </c>
    </row>
    <row r="4334" spans="1:9" x14ac:dyDescent="0.15">
      <c r="A4334" s="2">
        <v>497502</v>
      </c>
      <c r="B4334" s="2" t="s">
        <v>92</v>
      </c>
      <c r="C4334" s="2">
        <v>2022</v>
      </c>
      <c r="D4334" s="2" t="s">
        <v>1</v>
      </c>
      <c r="E4334" s="2" t="s">
        <v>28</v>
      </c>
      <c r="F4334" s="2" t="s">
        <v>35</v>
      </c>
      <c r="G4334" s="7"/>
      <c r="H4334" s="13" t="str">
        <f>IFERROR(IF(ABS($G4334)&gt;0,VLOOKUP($E4334,'Fuel Category and Heat Rate'!$B$1:$G$34,6,FALSE)*($G4334),""),"")</f>
        <v/>
      </c>
      <c r="I4334" t="str">
        <f>IFERROR(VLOOKUP($E4334,'Fuel Category and Heat Rate'!$K$2:$M$36,3,FALSE),"")</f>
        <v>heavy or residual fuel oil</v>
      </c>
    </row>
    <row r="4335" spans="1:9" x14ac:dyDescent="0.15">
      <c r="A4335" s="2">
        <v>497537</v>
      </c>
      <c r="B4335" s="2" t="s">
        <v>92</v>
      </c>
      <c r="C4335" s="2">
        <v>2022</v>
      </c>
      <c r="D4335" s="2" t="s">
        <v>1</v>
      </c>
      <c r="E4335" s="2" t="s">
        <v>5</v>
      </c>
      <c r="F4335" s="2" t="s">
        <v>35</v>
      </c>
      <c r="G4335" s="7">
        <v>-4.25</v>
      </c>
      <c r="H4335" s="13">
        <f>IFERROR(IF(ABS($G4335)&gt;0,VLOOKUP($E4335,'Fuel Category and Heat Rate'!$B$1:$G$34,6,FALSE)*($G4335),""),"")</f>
        <v>-336880270366.72986</v>
      </c>
      <c r="I4335" t="str">
        <f>IFERROR(VLOOKUP($E4335,'Fuel Category and Heat Rate'!$K$2:$M$36,3,FALSE),"")</f>
        <v>coal</v>
      </c>
    </row>
    <row r="4336" spans="1:9" x14ac:dyDescent="0.15">
      <c r="A4336" s="2">
        <v>497572</v>
      </c>
      <c r="B4336" s="2" t="s">
        <v>92</v>
      </c>
      <c r="C4336" s="2">
        <v>2022</v>
      </c>
      <c r="D4336" s="2" t="s">
        <v>1</v>
      </c>
      <c r="E4336" s="2" t="s">
        <v>16</v>
      </c>
      <c r="F4336" s="2" t="s">
        <v>35</v>
      </c>
      <c r="G4336" s="7"/>
      <c r="H4336" s="13" t="str">
        <f>IFERROR(IF(ABS($G4336)&gt;0,VLOOKUP($E4336,'Fuel Category and Heat Rate'!$B$1:$G$34,6,FALSE)*($G4336),""),"")</f>
        <v/>
      </c>
      <c r="I4336" t="str">
        <f>IFERROR(VLOOKUP($E4336,'Fuel Category and Heat Rate'!$K$2:$M$36,3,FALSE),"")</f>
        <v>petroleum diesel</v>
      </c>
    </row>
    <row r="4337" spans="1:9" x14ac:dyDescent="0.15">
      <c r="A4337" s="2">
        <v>497607</v>
      </c>
      <c r="B4337" s="2" t="s">
        <v>92</v>
      </c>
      <c r="C4337" s="2">
        <v>2022</v>
      </c>
      <c r="D4337" s="2" t="s">
        <v>1</v>
      </c>
      <c r="E4337" s="2" t="s">
        <v>19</v>
      </c>
      <c r="F4337" s="2" t="s">
        <v>35</v>
      </c>
      <c r="G4337" s="7"/>
      <c r="H4337" s="13" t="str">
        <f>IFERROR(IF(ABS($G4337)&gt;0,VLOOKUP($E4337,'Fuel Category and Heat Rate'!$B$1:$G$34,6,FALSE)*($G4337),""),"")</f>
        <v/>
      </c>
      <c r="I4337" t="str">
        <f>IFERROR(VLOOKUP($E4337,'Fuel Category and Heat Rate'!$K$2:$M$36,3,FALSE),"")</f>
        <v>heavy or residual fuel oil</v>
      </c>
    </row>
    <row r="4338" spans="1:9" x14ac:dyDescent="0.15">
      <c r="A4338" s="2">
        <v>497642</v>
      </c>
      <c r="B4338" s="2" t="s">
        <v>92</v>
      </c>
      <c r="C4338" s="2">
        <v>2022</v>
      </c>
      <c r="D4338" s="2" t="s">
        <v>1</v>
      </c>
      <c r="E4338" s="2" t="s">
        <v>31</v>
      </c>
      <c r="F4338" s="2" t="s">
        <v>37</v>
      </c>
      <c r="G4338" s="7">
        <v>72266.09</v>
      </c>
      <c r="H4338" s="13">
        <f>IFERROR(IF(ABS($G4338)&gt;0,VLOOKUP($E4338,'Fuel Category and Heat Rate'!$B$1:$G$34,6,FALSE)*($G4338),""),"")</f>
        <v>684950374901954.25</v>
      </c>
      <c r="I4338" t="str">
        <f>IFERROR(VLOOKUP($E4338,'Fuel Category and Heat Rate'!$K$2:$M$36,3,FALSE),"")</f>
        <v>heat</v>
      </c>
    </row>
    <row r="4339" spans="1:9" x14ac:dyDescent="0.15">
      <c r="A4339" s="2">
        <v>497677</v>
      </c>
      <c r="B4339" s="2" t="s">
        <v>92</v>
      </c>
      <c r="C4339" s="2">
        <v>2022</v>
      </c>
      <c r="D4339" s="2" t="s">
        <v>1</v>
      </c>
      <c r="E4339" s="2" t="s">
        <v>23</v>
      </c>
      <c r="F4339" s="2" t="s">
        <v>35</v>
      </c>
      <c r="G4339" s="7"/>
      <c r="H4339" s="13" t="str">
        <f>IFERROR(IF(ABS($G4339)&gt;0,VLOOKUP($E4339,'Fuel Category and Heat Rate'!$B$1:$G$34,6,FALSE)*($G4339),""),"")</f>
        <v/>
      </c>
      <c r="I4339" t="str">
        <f>IFERROR(VLOOKUP($E4339,'Fuel Category and Heat Rate'!$K$2:$M$36,3,FALSE),"")</f>
        <v>heavy or residual fuel oil</v>
      </c>
    </row>
    <row r="4340" spans="1:9" x14ac:dyDescent="0.15">
      <c r="A4340" s="2">
        <v>497712</v>
      </c>
      <c r="B4340" s="2" t="s">
        <v>92</v>
      </c>
      <c r="C4340" s="2">
        <v>2022</v>
      </c>
      <c r="D4340" s="2" t="s">
        <v>1</v>
      </c>
      <c r="E4340" s="2" t="s">
        <v>21</v>
      </c>
      <c r="F4340" s="2" t="s">
        <v>35</v>
      </c>
      <c r="G4340" s="7"/>
      <c r="H4340" s="13" t="str">
        <f>IFERROR(IF(ABS($G4340)&gt;0,VLOOKUP($E4340,'Fuel Category and Heat Rate'!$B$1:$G$34,6,FALSE)*($G4340),""),"")</f>
        <v/>
      </c>
      <c r="I4340" t="str">
        <f>IFERROR(VLOOKUP($E4340,'Fuel Category and Heat Rate'!$K$2:$M$36,3,FALSE),"")</f>
        <v>LPG propane or butane</v>
      </c>
    </row>
    <row r="4341" spans="1:9" x14ac:dyDescent="0.15">
      <c r="A4341" s="2">
        <v>497747</v>
      </c>
      <c r="B4341" s="2" t="s">
        <v>92</v>
      </c>
      <c r="C4341" s="2">
        <v>2022</v>
      </c>
      <c r="D4341" s="2" t="s">
        <v>1</v>
      </c>
      <c r="E4341" s="2" t="s">
        <v>22</v>
      </c>
      <c r="F4341" s="2" t="s">
        <v>35</v>
      </c>
      <c r="G4341" s="7"/>
      <c r="H4341" s="13" t="str">
        <f>IFERROR(IF(ABS($G4341)&gt;0,VLOOKUP($E4341,'Fuel Category and Heat Rate'!$B$1:$G$34,6,FALSE)*($G4341),""),"")</f>
        <v/>
      </c>
      <c r="I4341" t="str">
        <f>IFERROR(VLOOKUP($E4341,'Fuel Category and Heat Rate'!$K$2:$M$36,3,FALSE),"")</f>
        <v>heavy fuel oil</v>
      </c>
    </row>
    <row r="4342" spans="1:9" x14ac:dyDescent="0.15">
      <c r="A4342" s="2">
        <v>497782</v>
      </c>
      <c r="B4342" s="2" t="s">
        <v>92</v>
      </c>
      <c r="C4342" s="2">
        <v>2022</v>
      </c>
      <c r="D4342" s="2" t="s">
        <v>1</v>
      </c>
      <c r="E4342" s="2" t="s">
        <v>20</v>
      </c>
      <c r="F4342" s="2" t="s">
        <v>35</v>
      </c>
      <c r="G4342" s="7"/>
      <c r="H4342" s="13" t="str">
        <f>IFERROR(IF(ABS($G4342)&gt;0,VLOOKUP($E4342,'Fuel Category and Heat Rate'!$B$1:$G$34,6,FALSE)*($G4342),""),"")</f>
        <v/>
      </c>
      <c r="I4342" t="str">
        <f>IFERROR(VLOOKUP($E4342,'Fuel Category and Heat Rate'!$K$2:$M$36,3,FALSE),"")</f>
        <v>LPG propane or butane</v>
      </c>
    </row>
    <row r="4343" spans="1:9" x14ac:dyDescent="0.15">
      <c r="A4343" s="2">
        <v>497817</v>
      </c>
      <c r="B4343" s="2" t="s">
        <v>92</v>
      </c>
      <c r="C4343" s="2">
        <v>2022</v>
      </c>
      <c r="D4343" s="2" t="s">
        <v>1</v>
      </c>
      <c r="E4343" s="2" t="s">
        <v>25</v>
      </c>
      <c r="F4343" s="2" t="s">
        <v>35</v>
      </c>
      <c r="G4343" s="7"/>
      <c r="H4343" s="13" t="str">
        <f>IFERROR(IF(ABS($G4343)&gt;0,VLOOKUP($E4343,'Fuel Category and Heat Rate'!$B$1:$G$34,6,FALSE)*($G4343),""),"")</f>
        <v/>
      </c>
      <c r="I4343" t="str">
        <f>IFERROR(VLOOKUP($E4343,'Fuel Category and Heat Rate'!$K$2:$M$36,3,FALSE),"")</f>
        <v>heavy fuel oil</v>
      </c>
    </row>
    <row r="4344" spans="1:9" x14ac:dyDescent="0.15">
      <c r="A4344" s="2">
        <v>497852</v>
      </c>
      <c r="B4344" s="2" t="s">
        <v>92</v>
      </c>
      <c r="C4344" s="2">
        <v>2022</v>
      </c>
      <c r="D4344" s="2" t="s">
        <v>1</v>
      </c>
      <c r="E4344" s="2" t="s">
        <v>24</v>
      </c>
      <c r="F4344" s="2" t="s">
        <v>35</v>
      </c>
      <c r="G4344" s="7"/>
      <c r="H4344" s="13" t="str">
        <f>IFERROR(IF(ABS($G4344)&gt;0,VLOOKUP($E4344,'Fuel Category and Heat Rate'!$B$1:$G$34,6,FALSE)*($G4344),""),"")</f>
        <v/>
      </c>
      <c r="I4344" t="str">
        <f>IFERROR(VLOOKUP($E4344,'Fuel Category and Heat Rate'!$K$2:$M$36,3,FALSE),"")</f>
        <v>heavy fuel oil</v>
      </c>
    </row>
    <row r="4345" spans="1:9" x14ac:dyDescent="0.15">
      <c r="A4345" s="2">
        <v>497887</v>
      </c>
      <c r="B4345" s="2" t="s">
        <v>92</v>
      </c>
      <c r="C4345" s="2">
        <v>2022</v>
      </c>
      <c r="D4345" s="2" t="s">
        <v>1</v>
      </c>
      <c r="E4345" s="2" t="s">
        <v>29</v>
      </c>
      <c r="F4345" s="2" t="s">
        <v>36</v>
      </c>
      <c r="G4345" s="7">
        <v>-18.09</v>
      </c>
      <c r="H4345" s="13">
        <f>IFERROR(IF(ABS($G4345)&gt;0,VLOOKUP($E4345,'Fuel Category and Heat Rate'!$B$1:$G$34,6,FALSE)*($G4345),""),"")</f>
        <v>-61013225508393.703</v>
      </c>
      <c r="I4345" t="str">
        <f>IFERROR(VLOOKUP($E4345,'Fuel Category and Heat Rate'!$K$2:$M$36,3,FALSE),"")</f>
        <v>natural gas</v>
      </c>
    </row>
    <row r="4346" spans="1:9" x14ac:dyDescent="0.15">
      <c r="A4346" s="2">
        <v>497922</v>
      </c>
      <c r="B4346" s="2" t="s">
        <v>92</v>
      </c>
      <c r="C4346" s="2">
        <v>2022</v>
      </c>
      <c r="D4346" s="2" t="s">
        <v>1</v>
      </c>
      <c r="E4346" s="2" t="s">
        <v>4</v>
      </c>
      <c r="F4346" s="2" t="s">
        <v>35</v>
      </c>
      <c r="G4346" s="7"/>
      <c r="H4346" s="13" t="str">
        <f>IFERROR(IF(ABS($G4346)&gt;0,VLOOKUP($E4346,'Fuel Category and Heat Rate'!$B$1:$G$34,6,FALSE)*($G4346),""),"")</f>
        <v/>
      </c>
      <c r="I4346" t="str">
        <f>IFERROR(VLOOKUP($E4346,'Fuel Category and Heat Rate'!$K$2:$M$36,3,FALSE),"")</f>
        <v>coal</v>
      </c>
    </row>
    <row r="4347" spans="1:9" x14ac:dyDescent="0.15">
      <c r="A4347" s="2">
        <v>497957</v>
      </c>
      <c r="B4347" s="2" t="s">
        <v>92</v>
      </c>
      <c r="C4347" s="2">
        <v>2022</v>
      </c>
      <c r="D4347" s="2" t="s">
        <v>1</v>
      </c>
      <c r="E4347" s="2" t="s">
        <v>6</v>
      </c>
      <c r="F4347" s="2" t="s">
        <v>35</v>
      </c>
      <c r="G4347" s="7"/>
      <c r="H4347" s="13" t="str">
        <f>IFERROR(IF(ABS($G4347)&gt;0,VLOOKUP($E4347,'Fuel Category and Heat Rate'!$B$1:$G$34,6,FALSE)*($G4347),""),"")</f>
        <v/>
      </c>
      <c r="I4347" t="str">
        <f>IFERROR(VLOOKUP($E4347,'Fuel Category and Heat Rate'!$K$2:$M$36,3,FALSE),"")</f>
        <v>coal</v>
      </c>
    </row>
    <row r="4348" spans="1:9" x14ac:dyDescent="0.15">
      <c r="A4348" s="2">
        <v>497992</v>
      </c>
      <c r="B4348" s="2" t="s">
        <v>92</v>
      </c>
      <c r="C4348" s="2">
        <v>2022</v>
      </c>
      <c r="D4348" s="2" t="s">
        <v>1</v>
      </c>
      <c r="E4348" s="2" t="s">
        <v>26</v>
      </c>
      <c r="F4348" s="2" t="s">
        <v>35</v>
      </c>
      <c r="G4348" s="7"/>
      <c r="H4348" s="13" t="str">
        <f>IFERROR(IF(ABS($G4348)&gt;0,VLOOKUP($E4348,'Fuel Category and Heat Rate'!$B$1:$G$34,6,FALSE)*($G4348),""),"")</f>
        <v/>
      </c>
      <c r="I4348" t="str">
        <f>IFERROR(VLOOKUP($E4348,'Fuel Category and Heat Rate'!$K$2:$M$36,3,FALSE),"")</f>
        <v>LPG propane or butane</v>
      </c>
    </row>
    <row r="4349" spans="1:9" x14ac:dyDescent="0.15">
      <c r="A4349" s="2">
        <v>498027</v>
      </c>
      <c r="B4349" s="2" t="s">
        <v>92</v>
      </c>
      <c r="C4349" s="2">
        <v>2022</v>
      </c>
      <c r="D4349" s="2" t="s">
        <v>1</v>
      </c>
      <c r="E4349" s="2" t="s">
        <v>30</v>
      </c>
      <c r="F4349" s="2" t="s">
        <v>35</v>
      </c>
      <c r="G4349" s="7"/>
      <c r="H4349" s="13" t="str">
        <f>IFERROR(IF(ABS($G4349)&gt;0,VLOOKUP($E4349,'Fuel Category and Heat Rate'!$B$1:$G$34,6,FALSE)*($G4349),""),"")</f>
        <v/>
      </c>
      <c r="I4349" t="str">
        <f>IFERROR(VLOOKUP($E4349,'Fuel Category and Heat Rate'!$K$2:$M$36,3,FALSE),"")</f>
        <v>natural gas</v>
      </c>
    </row>
    <row r="4350" spans="1:9" x14ac:dyDescent="0.15">
      <c r="A4350" s="2">
        <v>498062</v>
      </c>
      <c r="B4350" s="2" t="s">
        <v>92</v>
      </c>
      <c r="C4350" s="2">
        <v>2022</v>
      </c>
      <c r="D4350" s="2" t="s">
        <v>1</v>
      </c>
      <c r="E4350" s="2" t="s">
        <v>14</v>
      </c>
      <c r="F4350" s="2" t="s">
        <v>35</v>
      </c>
      <c r="G4350" s="7">
        <v>-9.94</v>
      </c>
      <c r="H4350" s="13">
        <f>IFERROR(IF(ABS($G4350)&gt;0,VLOOKUP($E4350,'Fuel Category and Heat Rate'!$B$1:$G$34,6,FALSE)*($G4350),""),"")</f>
        <v>0</v>
      </c>
      <c r="I4350" t="str">
        <f>IFERROR(VLOOKUP($E4350,'Fuel Category and Heat Rate'!$K$2:$M$36,3,FALSE),"")</f>
        <v/>
      </c>
    </row>
    <row r="4351" spans="1:9" x14ac:dyDescent="0.15">
      <c r="A4351" s="2">
        <v>498097</v>
      </c>
      <c r="B4351" s="2" t="s">
        <v>92</v>
      </c>
      <c r="C4351" s="2">
        <v>2022</v>
      </c>
      <c r="D4351" s="2" t="s">
        <v>1</v>
      </c>
      <c r="E4351" s="2" t="s">
        <v>3</v>
      </c>
      <c r="F4351" s="2" t="s">
        <v>35</v>
      </c>
      <c r="G4351" s="7">
        <v>-3972.92</v>
      </c>
      <c r="H4351" s="13">
        <f>IFERROR(IF(ABS($G4351)&gt;0,VLOOKUP($E4351,'Fuel Category and Heat Rate'!$B$1:$G$34,6,FALSE)*($G4351),""),"")</f>
        <v>-787311983152361.13</v>
      </c>
      <c r="I4351" t="str">
        <f>IFERROR(VLOOKUP($E4351,'Fuel Category and Heat Rate'!$K$2:$M$36,3,FALSE),"")</f>
        <v>coal</v>
      </c>
    </row>
    <row r="4352" spans="1:9" x14ac:dyDescent="0.15">
      <c r="A4352" s="2">
        <v>498132</v>
      </c>
      <c r="B4352" s="2" t="s">
        <v>92</v>
      </c>
      <c r="C4352" s="2">
        <v>2022</v>
      </c>
      <c r="D4352" s="2" t="s">
        <v>1</v>
      </c>
      <c r="E4352" s="2" t="s">
        <v>15</v>
      </c>
      <c r="F4352" s="2" t="s">
        <v>35</v>
      </c>
      <c r="G4352" s="7"/>
      <c r="H4352" s="13" t="str">
        <f>IFERROR(IF(ABS($G4352)&gt;0,VLOOKUP($E4352,'Fuel Category and Heat Rate'!$B$1:$G$34,6,FALSE)*($G4352),""),"")</f>
        <v/>
      </c>
      <c r="I4352" t="str">
        <f>IFERROR(VLOOKUP($E4352,'Fuel Category and Heat Rate'!$K$2:$M$36,3,FALSE),"")</f>
        <v>crude oil</v>
      </c>
    </row>
    <row r="4353" spans="1:9" x14ac:dyDescent="0.15">
      <c r="A4353" s="2">
        <v>498167</v>
      </c>
      <c r="B4353" s="2" t="s">
        <v>92</v>
      </c>
      <c r="C4353" s="2">
        <v>2022</v>
      </c>
      <c r="D4353" s="2" t="s">
        <v>1</v>
      </c>
      <c r="E4353" s="2" t="s">
        <v>11</v>
      </c>
      <c r="F4353" s="2" t="s">
        <v>36</v>
      </c>
      <c r="G4353" s="7">
        <v>-16.27</v>
      </c>
      <c r="H4353" s="13">
        <f>IFERROR(IF(ABS($G4353)&gt;0,VLOOKUP($E4353,'Fuel Category and Heat Rate'!$B$1:$G$34,6,FALSE)*($G4353),""),"")</f>
        <v>-12251972253411.988</v>
      </c>
      <c r="I4353" t="str">
        <f>IFERROR(VLOOKUP($E4353,'Fuel Category and Heat Rate'!$K$2:$M$36,3,FALSE),"")</f>
        <v>LPG propane or butane</v>
      </c>
    </row>
    <row r="4354" spans="1:9" x14ac:dyDescent="0.15">
      <c r="A4354" s="2">
        <v>498202</v>
      </c>
      <c r="B4354" s="2" t="s">
        <v>92</v>
      </c>
      <c r="C4354" s="2">
        <v>2021</v>
      </c>
      <c r="D4354" s="2" t="s">
        <v>1</v>
      </c>
      <c r="E4354" s="2" t="s">
        <v>18</v>
      </c>
      <c r="F4354" s="2" t="s">
        <v>35</v>
      </c>
      <c r="G4354" s="7">
        <v>-0.04</v>
      </c>
      <c r="H4354" s="13">
        <f>IFERROR(IF(ABS($G4354)&gt;0,VLOOKUP($E4354,'Fuel Category and Heat Rate'!$B$1:$G$34,6,FALSE)*($G4354),""),"")</f>
        <v>-16170518366.397381</v>
      </c>
      <c r="I4354" t="str">
        <f>IFERROR(VLOOKUP($E4354,'Fuel Category and Heat Rate'!$K$2:$M$36,3,FALSE),"")</f>
        <v>petroleum diesel</v>
      </c>
    </row>
    <row r="4355" spans="1:9" x14ac:dyDescent="0.15">
      <c r="A4355" s="2">
        <v>498237</v>
      </c>
      <c r="B4355" s="2" t="s">
        <v>92</v>
      </c>
      <c r="C4355" s="2">
        <v>2021</v>
      </c>
      <c r="D4355" s="2" t="s">
        <v>1</v>
      </c>
      <c r="E4355" s="2" t="s">
        <v>32</v>
      </c>
      <c r="F4355" s="2" t="s">
        <v>65</v>
      </c>
      <c r="G4355" s="7">
        <v>-3.1</v>
      </c>
      <c r="H4355" s="13">
        <f>IFERROR(IF(ABS($G4355)&gt;0,VLOOKUP($E4355,'Fuel Category and Heat Rate'!$B$1:$G$34,6,FALSE)*($G4355),""),"")</f>
        <v>-1057763908896.387</v>
      </c>
      <c r="I4355" t="str">
        <f>IFERROR(VLOOKUP($E4355,'Fuel Category and Heat Rate'!$K$2:$M$36,3,FALSE),"")</f>
        <v>electricity</v>
      </c>
    </row>
    <row r="4356" spans="1:9" x14ac:dyDescent="0.15">
      <c r="A4356" s="2">
        <v>498272</v>
      </c>
      <c r="B4356" s="2" t="s">
        <v>92</v>
      </c>
      <c r="C4356" s="2">
        <v>2021</v>
      </c>
      <c r="D4356" s="2" t="s">
        <v>1</v>
      </c>
      <c r="E4356" s="2" t="s">
        <v>10</v>
      </c>
      <c r="F4356" s="2" t="s">
        <v>36</v>
      </c>
      <c r="G4356" s="7">
        <v>-18.89</v>
      </c>
      <c r="H4356" s="13">
        <f>IFERROR(IF(ABS($G4356)&gt;0,VLOOKUP($E4356,'Fuel Category and Heat Rate'!$B$1:$G$34,6,FALSE)*($G4356),""),"")</f>
        <v>-6737375087773.79</v>
      </c>
      <c r="I4356" t="str">
        <f>IFERROR(VLOOKUP($E4356,'Fuel Category and Heat Rate'!$K$2:$M$36,3,FALSE),"")</f>
        <v>LPG propane or butane</v>
      </c>
    </row>
    <row r="4357" spans="1:9" x14ac:dyDescent="0.15">
      <c r="A4357" s="2">
        <v>498307</v>
      </c>
      <c r="B4357" s="2" t="s">
        <v>92</v>
      </c>
      <c r="C4357" s="2">
        <v>2021</v>
      </c>
      <c r="D4357" s="2" t="s">
        <v>1</v>
      </c>
      <c r="E4357" s="2" t="s">
        <v>9</v>
      </c>
      <c r="F4357" s="2" t="s">
        <v>36</v>
      </c>
      <c r="G4357" s="7">
        <v>-19.079999999999998</v>
      </c>
      <c r="H4357" s="13">
        <f>IFERROR(IF(ABS($G4357)&gt;0,VLOOKUP($E4357,'Fuel Category and Heat Rate'!$B$1:$G$34,6,FALSE)*($G4357),""),"")</f>
        <v>-31382677988089.445</v>
      </c>
      <c r="I4357" t="str">
        <f>IFERROR(VLOOKUP($E4357,'Fuel Category and Heat Rate'!$K$2:$M$36,3,FALSE),"")</f>
        <v>LPG propane or butane</v>
      </c>
    </row>
    <row r="4358" spans="1:9" x14ac:dyDescent="0.15">
      <c r="A4358" s="2">
        <v>498342</v>
      </c>
      <c r="B4358" s="2" t="s">
        <v>92</v>
      </c>
      <c r="C4358" s="2">
        <v>2021</v>
      </c>
      <c r="D4358" s="2" t="s">
        <v>1</v>
      </c>
      <c r="E4358" s="2" t="s">
        <v>8</v>
      </c>
      <c r="F4358" s="2" t="s">
        <v>35</v>
      </c>
      <c r="G4358" s="7"/>
      <c r="H4358" s="13" t="str">
        <f>IFERROR(IF(ABS($G4358)&gt;0,VLOOKUP($E4358,'Fuel Category and Heat Rate'!$B$1:$G$34,6,FALSE)*($G4358),""),"")</f>
        <v/>
      </c>
      <c r="I4358" t="str">
        <f>IFERROR(VLOOKUP($E4358,'Fuel Category and Heat Rate'!$K$2:$M$36,3,FALSE),"")</f>
        <v>coal</v>
      </c>
    </row>
    <row r="4359" spans="1:9" x14ac:dyDescent="0.15">
      <c r="A4359" s="2">
        <v>498377</v>
      </c>
      <c r="B4359" s="2" t="s">
        <v>92</v>
      </c>
      <c r="C4359" s="2">
        <v>2021</v>
      </c>
      <c r="D4359" s="2" t="s">
        <v>1</v>
      </c>
      <c r="E4359" s="2" t="s">
        <v>27</v>
      </c>
      <c r="F4359" s="2" t="s">
        <v>35</v>
      </c>
      <c r="G4359" s="7">
        <v>-9.08</v>
      </c>
      <c r="H4359" s="13">
        <f>IFERROR(IF(ABS($G4359)&gt;0,VLOOKUP($E4359,'Fuel Category and Heat Rate'!$B$1:$G$34,6,FALSE)*($G4359),""),"")</f>
        <v>-3958670434366.105</v>
      </c>
      <c r="I4359" t="str">
        <f>IFERROR(VLOOKUP($E4359,'Fuel Category and Heat Rate'!$K$2:$M$36,3,FALSE),"")</f>
        <v>LPG propane or butane</v>
      </c>
    </row>
    <row r="4360" spans="1:9" x14ac:dyDescent="0.15">
      <c r="A4360" s="2">
        <v>498412</v>
      </c>
      <c r="B4360" s="2" t="s">
        <v>92</v>
      </c>
      <c r="C4360" s="2">
        <v>2021</v>
      </c>
      <c r="D4360" s="2" t="s">
        <v>1</v>
      </c>
      <c r="E4360" s="2" t="s">
        <v>7</v>
      </c>
      <c r="F4360" s="2" t="s">
        <v>35</v>
      </c>
      <c r="G4360" s="7">
        <v>-60.03</v>
      </c>
      <c r="H4360" s="13">
        <f>IFERROR(IF(ABS($G4360)&gt;0,VLOOKUP($E4360,'Fuel Category and Heat Rate'!$B$1:$G$34,6,FALSE)*($G4360),""),"")</f>
        <v>-4764593457303.7061</v>
      </c>
      <c r="I4360" t="str">
        <f>IFERROR(VLOOKUP($E4360,'Fuel Category and Heat Rate'!$K$2:$M$36,3,FALSE),"")</f>
        <v>coal</v>
      </c>
    </row>
    <row r="4361" spans="1:9" x14ac:dyDescent="0.15">
      <c r="A4361" s="2">
        <v>498447</v>
      </c>
      <c r="B4361" s="2" t="s">
        <v>92</v>
      </c>
      <c r="C4361" s="2">
        <v>2021</v>
      </c>
      <c r="D4361" s="2" t="s">
        <v>1</v>
      </c>
      <c r="E4361" s="2" t="s">
        <v>2</v>
      </c>
      <c r="F4361" s="2" t="s">
        <v>35</v>
      </c>
      <c r="G4361" s="7">
        <v>-3744.24</v>
      </c>
      <c r="H4361" s="13">
        <f>IFERROR(IF(ABS($G4361)&gt;0,VLOOKUP($E4361,'Fuel Category and Heat Rate'!$B$1:$G$34,6,FALSE)*($G4361),""),"")</f>
        <v>0</v>
      </c>
      <c r="I4361" t="str">
        <f>IFERROR(VLOOKUP($E4361,'Fuel Category and Heat Rate'!$K$2:$M$36,3,FALSE),"")</f>
        <v/>
      </c>
    </row>
    <row r="4362" spans="1:9" x14ac:dyDescent="0.15">
      <c r="A4362" s="2">
        <v>498482</v>
      </c>
      <c r="B4362" s="2" t="s">
        <v>92</v>
      </c>
      <c r="C4362" s="2">
        <v>2021</v>
      </c>
      <c r="D4362" s="2" t="s">
        <v>1</v>
      </c>
      <c r="E4362" s="2" t="s">
        <v>17</v>
      </c>
      <c r="F4362" s="2" t="s">
        <v>35</v>
      </c>
      <c r="G4362" s="7"/>
      <c r="H4362" s="13" t="str">
        <f>IFERROR(IF(ABS($G4362)&gt;0,VLOOKUP($E4362,'Fuel Category and Heat Rate'!$B$1:$G$34,6,FALSE)*($G4362),""),"")</f>
        <v/>
      </c>
      <c r="I4362" t="str">
        <f>IFERROR(VLOOKUP($E4362,'Fuel Category and Heat Rate'!$K$2:$M$36,3,FALSE),"")</f>
        <v>petroleum diesel</v>
      </c>
    </row>
    <row r="4363" spans="1:9" x14ac:dyDescent="0.15">
      <c r="A4363" s="2">
        <v>498517</v>
      </c>
      <c r="B4363" s="2" t="s">
        <v>92</v>
      </c>
      <c r="C4363" s="2">
        <v>2021</v>
      </c>
      <c r="D4363" s="2" t="s">
        <v>1</v>
      </c>
      <c r="E4363" s="2" t="s">
        <v>13</v>
      </c>
      <c r="F4363" s="2" t="s">
        <v>35</v>
      </c>
      <c r="G4363" s="7"/>
      <c r="H4363" s="13" t="str">
        <f>IFERROR(IF(ABS($G4363)&gt;0,VLOOKUP($E4363,'Fuel Category and Heat Rate'!$B$1:$G$34,6,FALSE)*($G4363),""),"")</f>
        <v/>
      </c>
      <c r="I4363" t="str">
        <f>IFERROR(VLOOKUP($E4363,'Fuel Category and Heat Rate'!$K$2:$M$36,3,FALSE),"")</f>
        <v>petroleum diesel</v>
      </c>
    </row>
    <row r="4364" spans="1:9" x14ac:dyDescent="0.15">
      <c r="A4364" s="2">
        <v>498552</v>
      </c>
      <c r="B4364" s="2" t="s">
        <v>92</v>
      </c>
      <c r="C4364" s="2">
        <v>2021</v>
      </c>
      <c r="D4364" s="2" t="s">
        <v>1</v>
      </c>
      <c r="E4364" s="2" t="s">
        <v>12</v>
      </c>
      <c r="F4364" s="2" t="s">
        <v>36</v>
      </c>
      <c r="G4364" s="7">
        <v>-0.11</v>
      </c>
      <c r="H4364" s="13">
        <f>IFERROR(IF(ABS($G4364)&gt;0,VLOOKUP($E4364,'Fuel Category and Heat Rate'!$B$1:$G$34,6,FALSE)*($G4364),""),"")</f>
        <v>-54496641101.985268</v>
      </c>
      <c r="I4364" t="str">
        <f>IFERROR(VLOOKUP($E4364,'Fuel Category and Heat Rate'!$K$2:$M$36,3,FALSE),"")</f>
        <v>LPG propane or butane</v>
      </c>
    </row>
    <row r="4365" spans="1:9" x14ac:dyDescent="0.15">
      <c r="A4365" s="2">
        <v>498587</v>
      </c>
      <c r="B4365" s="2" t="s">
        <v>92</v>
      </c>
      <c r="C4365" s="2">
        <v>2021</v>
      </c>
      <c r="D4365" s="2" t="s">
        <v>1</v>
      </c>
      <c r="E4365" s="2" t="s">
        <v>33</v>
      </c>
      <c r="F4365" s="2" t="s">
        <v>38</v>
      </c>
      <c r="G4365" s="7">
        <v>-10.039999999999999</v>
      </c>
      <c r="H4365" s="13">
        <f>IFERROR(IF(ABS($G4365)&gt;0,VLOOKUP($E4365,'Fuel Category and Heat Rate'!$B$1:$G$34,6,FALSE)*($G4365),""),"")</f>
        <v>-2785452921757.6489</v>
      </c>
      <c r="I4365" t="str">
        <f>IFERROR(VLOOKUP($E4365,'Fuel Category and Heat Rate'!$K$2:$M$36,3,FALSE),"")</f>
        <v>biomass</v>
      </c>
    </row>
    <row r="4366" spans="1:9" x14ac:dyDescent="0.15">
      <c r="A4366" s="2">
        <v>498622</v>
      </c>
      <c r="B4366" s="2" t="s">
        <v>92</v>
      </c>
      <c r="C4366" s="2">
        <v>2021</v>
      </c>
      <c r="D4366" s="2" t="s">
        <v>1</v>
      </c>
      <c r="E4366" s="2" t="s">
        <v>28</v>
      </c>
      <c r="F4366" s="2" t="s">
        <v>35</v>
      </c>
      <c r="G4366" s="7"/>
      <c r="H4366" s="13" t="str">
        <f>IFERROR(IF(ABS($G4366)&gt;0,VLOOKUP($E4366,'Fuel Category and Heat Rate'!$B$1:$G$34,6,FALSE)*($G4366),""),"")</f>
        <v/>
      </c>
      <c r="I4366" t="str">
        <f>IFERROR(VLOOKUP($E4366,'Fuel Category and Heat Rate'!$K$2:$M$36,3,FALSE),"")</f>
        <v>heavy or residual fuel oil</v>
      </c>
    </row>
    <row r="4367" spans="1:9" x14ac:dyDescent="0.15">
      <c r="A4367" s="2">
        <v>498657</v>
      </c>
      <c r="B4367" s="2" t="s">
        <v>92</v>
      </c>
      <c r="C4367" s="2">
        <v>2021</v>
      </c>
      <c r="D4367" s="2" t="s">
        <v>1</v>
      </c>
      <c r="E4367" s="2" t="s">
        <v>5</v>
      </c>
      <c r="F4367" s="2" t="s">
        <v>35</v>
      </c>
      <c r="G4367" s="7">
        <v>-48.84</v>
      </c>
      <c r="H4367" s="13">
        <f>IFERROR(IF(ABS($G4367)&gt;0,VLOOKUP($E4367,'Fuel Category and Heat Rate'!$B$1:$G$34,6,FALSE)*($G4367),""),"")</f>
        <v>-3871348801108.4912</v>
      </c>
      <c r="I4367" t="str">
        <f>IFERROR(VLOOKUP($E4367,'Fuel Category and Heat Rate'!$K$2:$M$36,3,FALSE),"")</f>
        <v>coal</v>
      </c>
    </row>
    <row r="4368" spans="1:9" x14ac:dyDescent="0.15">
      <c r="A4368" s="2">
        <v>498692</v>
      </c>
      <c r="B4368" s="2" t="s">
        <v>92</v>
      </c>
      <c r="C4368" s="2">
        <v>2021</v>
      </c>
      <c r="D4368" s="2" t="s">
        <v>1</v>
      </c>
      <c r="E4368" s="2" t="s">
        <v>16</v>
      </c>
      <c r="F4368" s="2" t="s">
        <v>35</v>
      </c>
      <c r="G4368" s="7">
        <v>-0.01</v>
      </c>
      <c r="H4368" s="13">
        <f>IFERROR(IF(ABS($G4368)&gt;0,VLOOKUP($E4368,'Fuel Category and Heat Rate'!$B$1:$G$34,6,FALSE)*($G4368),""),"")</f>
        <v>-4082248347.326827</v>
      </c>
      <c r="I4368" t="str">
        <f>IFERROR(VLOOKUP($E4368,'Fuel Category and Heat Rate'!$K$2:$M$36,3,FALSE),"")</f>
        <v>petroleum diesel</v>
      </c>
    </row>
    <row r="4369" spans="1:9" x14ac:dyDescent="0.15">
      <c r="A4369" s="2">
        <v>498727</v>
      </c>
      <c r="B4369" s="2" t="s">
        <v>92</v>
      </c>
      <c r="C4369" s="2">
        <v>2021</v>
      </c>
      <c r="D4369" s="2" t="s">
        <v>1</v>
      </c>
      <c r="E4369" s="2" t="s">
        <v>19</v>
      </c>
      <c r="F4369" s="2" t="s">
        <v>35</v>
      </c>
      <c r="G4369" s="7">
        <v>-0.02</v>
      </c>
      <c r="H4369" s="13">
        <f>IFERROR(IF(ABS($G4369)&gt;0,VLOOKUP($E4369,'Fuel Category and Heat Rate'!$B$1:$G$34,6,FALSE)*($G4369),""),"")</f>
        <v>-7926784160.2887659</v>
      </c>
      <c r="I4369" t="str">
        <f>IFERROR(VLOOKUP($E4369,'Fuel Category and Heat Rate'!$K$2:$M$36,3,FALSE),"")</f>
        <v>heavy or residual fuel oil</v>
      </c>
    </row>
    <row r="4370" spans="1:9" x14ac:dyDescent="0.15">
      <c r="A4370" s="2">
        <v>498762</v>
      </c>
      <c r="B4370" s="2" t="s">
        <v>92</v>
      </c>
      <c r="C4370" s="2">
        <v>2021</v>
      </c>
      <c r="D4370" s="2" t="s">
        <v>1</v>
      </c>
      <c r="E4370" s="2" t="s">
        <v>31</v>
      </c>
      <c r="F4370" s="2" t="s">
        <v>37</v>
      </c>
      <c r="G4370" s="7">
        <v>68616.679999999993</v>
      </c>
      <c r="H4370" s="13">
        <f>IFERROR(IF(ABS($G4370)&gt;0,VLOOKUP($E4370,'Fuel Category and Heat Rate'!$B$1:$G$34,6,FALSE)*($G4370),""),"")</f>
        <v>650360642045632</v>
      </c>
      <c r="I4370" t="str">
        <f>IFERROR(VLOOKUP($E4370,'Fuel Category and Heat Rate'!$K$2:$M$36,3,FALSE),"")</f>
        <v>heat</v>
      </c>
    </row>
    <row r="4371" spans="1:9" x14ac:dyDescent="0.15">
      <c r="A4371" s="2">
        <v>498797</v>
      </c>
      <c r="B4371" s="2" t="s">
        <v>92</v>
      </c>
      <c r="C4371" s="2">
        <v>2021</v>
      </c>
      <c r="D4371" s="2" t="s">
        <v>1</v>
      </c>
      <c r="E4371" s="2" t="s">
        <v>23</v>
      </c>
      <c r="F4371" s="2" t="s">
        <v>35</v>
      </c>
      <c r="G4371" s="7"/>
      <c r="H4371" s="13" t="str">
        <f>IFERROR(IF(ABS($G4371)&gt;0,VLOOKUP($E4371,'Fuel Category and Heat Rate'!$B$1:$G$34,6,FALSE)*($G4371),""),"")</f>
        <v/>
      </c>
      <c r="I4371" t="str">
        <f>IFERROR(VLOOKUP($E4371,'Fuel Category and Heat Rate'!$K$2:$M$36,3,FALSE),"")</f>
        <v>heavy or residual fuel oil</v>
      </c>
    </row>
    <row r="4372" spans="1:9" x14ac:dyDescent="0.15">
      <c r="A4372" s="2">
        <v>498832</v>
      </c>
      <c r="B4372" s="2" t="s">
        <v>92</v>
      </c>
      <c r="C4372" s="2">
        <v>2021</v>
      </c>
      <c r="D4372" s="2" t="s">
        <v>1</v>
      </c>
      <c r="E4372" s="2" t="s">
        <v>21</v>
      </c>
      <c r="F4372" s="2" t="s">
        <v>35</v>
      </c>
      <c r="G4372" s="7"/>
      <c r="H4372" s="13" t="str">
        <f>IFERROR(IF(ABS($G4372)&gt;0,VLOOKUP($E4372,'Fuel Category and Heat Rate'!$B$1:$G$34,6,FALSE)*($G4372),""),"")</f>
        <v/>
      </c>
      <c r="I4372" t="str">
        <f>IFERROR(VLOOKUP($E4372,'Fuel Category and Heat Rate'!$K$2:$M$36,3,FALSE),"")</f>
        <v>LPG propane or butane</v>
      </c>
    </row>
    <row r="4373" spans="1:9" x14ac:dyDescent="0.15">
      <c r="A4373" s="2">
        <v>498867</v>
      </c>
      <c r="B4373" s="2" t="s">
        <v>92</v>
      </c>
      <c r="C4373" s="2">
        <v>2021</v>
      </c>
      <c r="D4373" s="2" t="s">
        <v>1</v>
      </c>
      <c r="E4373" s="2" t="s">
        <v>22</v>
      </c>
      <c r="F4373" s="2" t="s">
        <v>35</v>
      </c>
      <c r="G4373" s="7"/>
      <c r="H4373" s="13" t="str">
        <f>IFERROR(IF(ABS($G4373)&gt;0,VLOOKUP($E4373,'Fuel Category and Heat Rate'!$B$1:$G$34,6,FALSE)*($G4373),""),"")</f>
        <v/>
      </c>
      <c r="I4373" t="str">
        <f>IFERROR(VLOOKUP($E4373,'Fuel Category and Heat Rate'!$K$2:$M$36,3,FALSE),"")</f>
        <v>heavy fuel oil</v>
      </c>
    </row>
    <row r="4374" spans="1:9" x14ac:dyDescent="0.15">
      <c r="A4374" s="2">
        <v>498902</v>
      </c>
      <c r="B4374" s="2" t="s">
        <v>92</v>
      </c>
      <c r="C4374" s="2">
        <v>2021</v>
      </c>
      <c r="D4374" s="2" t="s">
        <v>1</v>
      </c>
      <c r="E4374" s="2" t="s">
        <v>20</v>
      </c>
      <c r="F4374" s="2" t="s">
        <v>35</v>
      </c>
      <c r="G4374" s="7"/>
      <c r="H4374" s="13" t="str">
        <f>IFERROR(IF(ABS($G4374)&gt;0,VLOOKUP($E4374,'Fuel Category and Heat Rate'!$B$1:$G$34,6,FALSE)*($G4374),""),"")</f>
        <v/>
      </c>
      <c r="I4374" t="str">
        <f>IFERROR(VLOOKUP($E4374,'Fuel Category and Heat Rate'!$K$2:$M$36,3,FALSE),"")</f>
        <v>LPG propane or butane</v>
      </c>
    </row>
    <row r="4375" spans="1:9" x14ac:dyDescent="0.15">
      <c r="A4375" s="2">
        <v>498937</v>
      </c>
      <c r="B4375" s="2" t="s">
        <v>92</v>
      </c>
      <c r="C4375" s="2">
        <v>2021</v>
      </c>
      <c r="D4375" s="2" t="s">
        <v>1</v>
      </c>
      <c r="E4375" s="2" t="s">
        <v>25</v>
      </c>
      <c r="F4375" s="2" t="s">
        <v>35</v>
      </c>
      <c r="G4375" s="7"/>
      <c r="H4375" s="13" t="str">
        <f>IFERROR(IF(ABS($G4375)&gt;0,VLOOKUP($E4375,'Fuel Category and Heat Rate'!$B$1:$G$34,6,FALSE)*($G4375),""),"")</f>
        <v/>
      </c>
      <c r="I4375" t="str">
        <f>IFERROR(VLOOKUP($E4375,'Fuel Category and Heat Rate'!$K$2:$M$36,3,FALSE),"")</f>
        <v>heavy fuel oil</v>
      </c>
    </row>
    <row r="4376" spans="1:9" x14ac:dyDescent="0.15">
      <c r="A4376" s="2">
        <v>498972</v>
      </c>
      <c r="B4376" s="2" t="s">
        <v>92</v>
      </c>
      <c r="C4376" s="2">
        <v>2021</v>
      </c>
      <c r="D4376" s="2" t="s">
        <v>1</v>
      </c>
      <c r="E4376" s="2" t="s">
        <v>24</v>
      </c>
      <c r="F4376" s="2" t="s">
        <v>35</v>
      </c>
      <c r="G4376" s="7"/>
      <c r="H4376" s="13" t="str">
        <f>IFERROR(IF(ABS($G4376)&gt;0,VLOOKUP($E4376,'Fuel Category and Heat Rate'!$B$1:$G$34,6,FALSE)*($G4376),""),"")</f>
        <v/>
      </c>
      <c r="I4376" t="str">
        <f>IFERROR(VLOOKUP($E4376,'Fuel Category and Heat Rate'!$K$2:$M$36,3,FALSE),"")</f>
        <v>heavy fuel oil</v>
      </c>
    </row>
    <row r="4377" spans="1:9" x14ac:dyDescent="0.15">
      <c r="A4377" s="2">
        <v>499007</v>
      </c>
      <c r="B4377" s="2" t="s">
        <v>92</v>
      </c>
      <c r="C4377" s="2">
        <v>2021</v>
      </c>
      <c r="D4377" s="2" t="s">
        <v>1</v>
      </c>
      <c r="E4377" s="2" t="s">
        <v>29</v>
      </c>
      <c r="F4377" s="2" t="s">
        <v>36</v>
      </c>
      <c r="G4377" s="7">
        <v>-16.64</v>
      </c>
      <c r="H4377" s="13">
        <f>IFERROR(IF(ABS($G4377)&gt;0,VLOOKUP($E4377,'Fuel Category and Heat Rate'!$B$1:$G$34,6,FALSE)*($G4377),""),"")</f>
        <v>-56122723740169.773</v>
      </c>
      <c r="I4377" t="str">
        <f>IFERROR(VLOOKUP($E4377,'Fuel Category and Heat Rate'!$K$2:$M$36,3,FALSE),"")</f>
        <v>natural gas</v>
      </c>
    </row>
    <row r="4378" spans="1:9" x14ac:dyDescent="0.15">
      <c r="A4378" s="2">
        <v>499042</v>
      </c>
      <c r="B4378" s="2" t="s">
        <v>92</v>
      </c>
      <c r="C4378" s="2">
        <v>2021</v>
      </c>
      <c r="D4378" s="2" t="s">
        <v>1</v>
      </c>
      <c r="E4378" s="2" t="s">
        <v>4</v>
      </c>
      <c r="F4378" s="2" t="s">
        <v>35</v>
      </c>
      <c r="G4378" s="7"/>
      <c r="H4378" s="13" t="str">
        <f>IFERROR(IF(ABS($G4378)&gt;0,VLOOKUP($E4378,'Fuel Category and Heat Rate'!$B$1:$G$34,6,FALSE)*($G4378),""),"")</f>
        <v/>
      </c>
      <c r="I4378" t="str">
        <f>IFERROR(VLOOKUP($E4378,'Fuel Category and Heat Rate'!$K$2:$M$36,3,FALSE),"")</f>
        <v>coal</v>
      </c>
    </row>
    <row r="4379" spans="1:9" x14ac:dyDescent="0.15">
      <c r="A4379" s="2">
        <v>499077</v>
      </c>
      <c r="B4379" s="2" t="s">
        <v>92</v>
      </c>
      <c r="C4379" s="2">
        <v>2021</v>
      </c>
      <c r="D4379" s="2" t="s">
        <v>1</v>
      </c>
      <c r="E4379" s="2" t="s">
        <v>6</v>
      </c>
      <c r="F4379" s="2" t="s">
        <v>35</v>
      </c>
      <c r="G4379" s="7"/>
      <c r="H4379" s="13" t="str">
        <f>IFERROR(IF(ABS($G4379)&gt;0,VLOOKUP($E4379,'Fuel Category and Heat Rate'!$B$1:$G$34,6,FALSE)*($G4379),""),"")</f>
        <v/>
      </c>
      <c r="I4379" t="str">
        <f>IFERROR(VLOOKUP($E4379,'Fuel Category and Heat Rate'!$K$2:$M$36,3,FALSE),"")</f>
        <v>coal</v>
      </c>
    </row>
    <row r="4380" spans="1:9" x14ac:dyDescent="0.15">
      <c r="A4380" s="2">
        <v>499112</v>
      </c>
      <c r="B4380" s="2" t="s">
        <v>92</v>
      </c>
      <c r="C4380" s="2">
        <v>2021</v>
      </c>
      <c r="D4380" s="2" t="s">
        <v>1</v>
      </c>
      <c r="E4380" s="2" t="s">
        <v>26</v>
      </c>
      <c r="F4380" s="2" t="s">
        <v>35</v>
      </c>
      <c r="G4380" s="7"/>
      <c r="H4380" s="13" t="str">
        <f>IFERROR(IF(ABS($G4380)&gt;0,VLOOKUP($E4380,'Fuel Category and Heat Rate'!$B$1:$G$34,6,FALSE)*($G4380),""),"")</f>
        <v/>
      </c>
      <c r="I4380" t="str">
        <f>IFERROR(VLOOKUP($E4380,'Fuel Category and Heat Rate'!$K$2:$M$36,3,FALSE),"")</f>
        <v>LPG propane or butane</v>
      </c>
    </row>
    <row r="4381" spans="1:9" x14ac:dyDescent="0.15">
      <c r="A4381" s="2">
        <v>499147</v>
      </c>
      <c r="B4381" s="2" t="s">
        <v>92</v>
      </c>
      <c r="C4381" s="2">
        <v>2021</v>
      </c>
      <c r="D4381" s="2" t="s">
        <v>1</v>
      </c>
      <c r="E4381" s="2" t="s">
        <v>30</v>
      </c>
      <c r="F4381" s="2" t="s">
        <v>35</v>
      </c>
      <c r="G4381" s="7"/>
      <c r="H4381" s="13" t="str">
        <f>IFERROR(IF(ABS($G4381)&gt;0,VLOOKUP($E4381,'Fuel Category and Heat Rate'!$B$1:$G$34,6,FALSE)*($G4381),""),"")</f>
        <v/>
      </c>
      <c r="I4381" t="str">
        <f>IFERROR(VLOOKUP($E4381,'Fuel Category and Heat Rate'!$K$2:$M$36,3,FALSE),"")</f>
        <v>natural gas</v>
      </c>
    </row>
    <row r="4382" spans="1:9" x14ac:dyDescent="0.15">
      <c r="A4382" s="2">
        <v>499182</v>
      </c>
      <c r="B4382" s="2" t="s">
        <v>92</v>
      </c>
      <c r="C4382" s="2">
        <v>2021</v>
      </c>
      <c r="D4382" s="2" t="s">
        <v>1</v>
      </c>
      <c r="E4382" s="2" t="s">
        <v>14</v>
      </c>
      <c r="F4382" s="2" t="s">
        <v>35</v>
      </c>
      <c r="G4382" s="7">
        <v>-9.15</v>
      </c>
      <c r="H4382" s="13">
        <f>IFERROR(IF(ABS($G4382)&gt;0,VLOOKUP($E4382,'Fuel Category and Heat Rate'!$B$1:$G$34,6,FALSE)*($G4382),""),"")</f>
        <v>0</v>
      </c>
      <c r="I4382" t="str">
        <f>IFERROR(VLOOKUP($E4382,'Fuel Category and Heat Rate'!$K$2:$M$36,3,FALSE),"")</f>
        <v/>
      </c>
    </row>
    <row r="4383" spans="1:9" x14ac:dyDescent="0.15">
      <c r="A4383" s="2">
        <v>499217</v>
      </c>
      <c r="B4383" s="2" t="s">
        <v>92</v>
      </c>
      <c r="C4383" s="2">
        <v>2021</v>
      </c>
      <c r="D4383" s="2" t="s">
        <v>1</v>
      </c>
      <c r="E4383" s="2" t="s">
        <v>3</v>
      </c>
      <c r="F4383" s="2" t="s">
        <v>35</v>
      </c>
      <c r="G4383" s="7">
        <v>-3695.4</v>
      </c>
      <c r="H4383" s="13">
        <f>IFERROR(IF(ABS($G4383)&gt;0,VLOOKUP($E4383,'Fuel Category and Heat Rate'!$B$1:$G$34,6,FALSE)*($G4383),""),"")</f>
        <v>-732315954648277.63</v>
      </c>
      <c r="I4383" t="str">
        <f>IFERROR(VLOOKUP($E4383,'Fuel Category and Heat Rate'!$K$2:$M$36,3,FALSE),"")</f>
        <v>coal</v>
      </c>
    </row>
    <row r="4384" spans="1:9" x14ac:dyDescent="0.15">
      <c r="A4384" s="2">
        <v>499252</v>
      </c>
      <c r="B4384" s="2" t="s">
        <v>92</v>
      </c>
      <c r="C4384" s="2">
        <v>2021</v>
      </c>
      <c r="D4384" s="2" t="s">
        <v>1</v>
      </c>
      <c r="E4384" s="2" t="s">
        <v>15</v>
      </c>
      <c r="F4384" s="2" t="s">
        <v>35</v>
      </c>
      <c r="G4384" s="7"/>
      <c r="H4384" s="13" t="str">
        <f>IFERROR(IF(ABS($G4384)&gt;0,VLOOKUP($E4384,'Fuel Category and Heat Rate'!$B$1:$G$34,6,FALSE)*($G4384),""),"")</f>
        <v/>
      </c>
      <c r="I4384" t="str">
        <f>IFERROR(VLOOKUP($E4384,'Fuel Category and Heat Rate'!$K$2:$M$36,3,FALSE),"")</f>
        <v>crude oil</v>
      </c>
    </row>
    <row r="4385" spans="1:9" x14ac:dyDescent="0.15">
      <c r="A4385" s="2">
        <v>499287</v>
      </c>
      <c r="B4385" s="2" t="s">
        <v>92</v>
      </c>
      <c r="C4385" s="2">
        <v>2021</v>
      </c>
      <c r="D4385" s="2" t="s">
        <v>1</v>
      </c>
      <c r="E4385" s="2" t="s">
        <v>11</v>
      </c>
      <c r="F4385" s="2" t="s">
        <v>36</v>
      </c>
      <c r="G4385" s="7">
        <v>-16.440000000000001</v>
      </c>
      <c r="H4385" s="13">
        <f>IFERROR(IF(ABS($G4385)&gt;0,VLOOKUP($E4385,'Fuel Category and Heat Rate'!$B$1:$G$34,6,FALSE)*($G4385),""),"")</f>
        <v>-12379989173085.01</v>
      </c>
      <c r="I4385" t="str">
        <f>IFERROR(VLOOKUP($E4385,'Fuel Category and Heat Rate'!$K$2:$M$36,3,FALSE),"")</f>
        <v>LPG propane or butane</v>
      </c>
    </row>
    <row r="4386" spans="1:9" x14ac:dyDescent="0.15">
      <c r="A4386" s="2">
        <v>499322</v>
      </c>
      <c r="B4386" s="2" t="s">
        <v>92</v>
      </c>
      <c r="C4386" s="2">
        <v>2020</v>
      </c>
      <c r="D4386" s="2" t="s">
        <v>1</v>
      </c>
      <c r="E4386" s="2" t="s">
        <v>18</v>
      </c>
      <c r="F4386" s="2" t="s">
        <v>35</v>
      </c>
      <c r="G4386" s="7">
        <v>-0.02</v>
      </c>
      <c r="H4386" s="13">
        <f>IFERROR(IF(ABS($G4386)&gt;0,VLOOKUP($E4386,'Fuel Category and Heat Rate'!$B$1:$G$34,6,FALSE)*($G4386),""),"")</f>
        <v>-8085259183.1986904</v>
      </c>
      <c r="I4386" t="str">
        <f>IFERROR(VLOOKUP($E4386,'Fuel Category and Heat Rate'!$K$2:$M$36,3,FALSE),"")</f>
        <v>petroleum diesel</v>
      </c>
    </row>
    <row r="4387" spans="1:9" x14ac:dyDescent="0.15">
      <c r="A4387" s="2">
        <v>499357</v>
      </c>
      <c r="B4387" s="2" t="s">
        <v>92</v>
      </c>
      <c r="C4387" s="2">
        <v>2020</v>
      </c>
      <c r="D4387" s="2" t="s">
        <v>1</v>
      </c>
      <c r="E4387" s="2" t="s">
        <v>32</v>
      </c>
      <c r="F4387" s="2" t="s">
        <v>65</v>
      </c>
      <c r="G4387" s="7"/>
      <c r="H4387" s="13" t="str">
        <f>IFERROR(IF(ABS($G4387)&gt;0,VLOOKUP($E4387,'Fuel Category and Heat Rate'!$B$1:$G$34,6,FALSE)*($G4387),""),"")</f>
        <v/>
      </c>
      <c r="I4387" t="str">
        <f>IFERROR(VLOOKUP($E4387,'Fuel Category and Heat Rate'!$K$2:$M$36,3,FALSE),"")</f>
        <v>electricity</v>
      </c>
    </row>
    <row r="4388" spans="1:9" x14ac:dyDescent="0.15">
      <c r="A4388" s="2">
        <v>499392</v>
      </c>
      <c r="B4388" s="2" t="s">
        <v>92</v>
      </c>
      <c r="C4388" s="2">
        <v>2020</v>
      </c>
      <c r="D4388" s="2" t="s">
        <v>1</v>
      </c>
      <c r="E4388" s="2" t="s">
        <v>10</v>
      </c>
      <c r="F4388" s="2" t="s">
        <v>36</v>
      </c>
      <c r="G4388" s="7">
        <v>-15.53</v>
      </c>
      <c r="H4388" s="13">
        <f>IFERROR(IF(ABS($G4388)&gt;0,VLOOKUP($E4388,'Fuel Category and Heat Rate'!$B$1:$G$34,6,FALSE)*($G4388),""),"")</f>
        <v>-5538985448021.543</v>
      </c>
      <c r="I4388" t="str">
        <f>IFERROR(VLOOKUP($E4388,'Fuel Category and Heat Rate'!$K$2:$M$36,3,FALSE),"")</f>
        <v>LPG propane or butane</v>
      </c>
    </row>
    <row r="4389" spans="1:9" x14ac:dyDescent="0.15">
      <c r="A4389" s="2">
        <v>499427</v>
      </c>
      <c r="B4389" s="2" t="s">
        <v>92</v>
      </c>
      <c r="C4389" s="2">
        <v>2020</v>
      </c>
      <c r="D4389" s="2" t="s">
        <v>1</v>
      </c>
      <c r="E4389" s="2" t="s">
        <v>9</v>
      </c>
      <c r="F4389" s="2" t="s">
        <v>36</v>
      </c>
      <c r="G4389" s="7">
        <v>-17.850000000000001</v>
      </c>
      <c r="H4389" s="13">
        <f>IFERROR(IF(ABS($G4389)&gt;0,VLOOKUP($E4389,'Fuel Category and Heat Rate'!$B$1:$G$34,6,FALSE)*($G4389),""),"")</f>
        <v>-29359580822190.602</v>
      </c>
      <c r="I4389" t="str">
        <f>IFERROR(VLOOKUP($E4389,'Fuel Category and Heat Rate'!$K$2:$M$36,3,FALSE),"")</f>
        <v>LPG propane or butane</v>
      </c>
    </row>
    <row r="4390" spans="1:9" x14ac:dyDescent="0.15">
      <c r="A4390" s="2">
        <v>499462</v>
      </c>
      <c r="B4390" s="2" t="s">
        <v>92</v>
      </c>
      <c r="C4390" s="2">
        <v>2020</v>
      </c>
      <c r="D4390" s="2" t="s">
        <v>1</v>
      </c>
      <c r="E4390" s="2" t="s">
        <v>8</v>
      </c>
      <c r="F4390" s="2" t="s">
        <v>35</v>
      </c>
      <c r="G4390" s="7"/>
      <c r="H4390" s="13" t="str">
        <f>IFERROR(IF(ABS($G4390)&gt;0,VLOOKUP($E4390,'Fuel Category and Heat Rate'!$B$1:$G$34,6,FALSE)*($G4390),""),"")</f>
        <v/>
      </c>
      <c r="I4390" t="str">
        <f>IFERROR(VLOOKUP($E4390,'Fuel Category and Heat Rate'!$K$2:$M$36,3,FALSE),"")</f>
        <v>coal</v>
      </c>
    </row>
    <row r="4391" spans="1:9" x14ac:dyDescent="0.15">
      <c r="A4391" s="2">
        <v>499497</v>
      </c>
      <c r="B4391" s="2" t="s">
        <v>92</v>
      </c>
      <c r="C4391" s="2">
        <v>2020</v>
      </c>
      <c r="D4391" s="2" t="s">
        <v>1</v>
      </c>
      <c r="E4391" s="2" t="s">
        <v>27</v>
      </c>
      <c r="F4391" s="2" t="s">
        <v>35</v>
      </c>
      <c r="G4391" s="7">
        <v>-5.9</v>
      </c>
      <c r="H4391" s="13">
        <f>IFERROR(IF(ABS($G4391)&gt;0,VLOOKUP($E4391,'Fuel Category and Heat Rate'!$B$1:$G$34,6,FALSE)*($G4391),""),"")</f>
        <v>-2572263828497.7998</v>
      </c>
      <c r="I4391" t="str">
        <f>IFERROR(VLOOKUP($E4391,'Fuel Category and Heat Rate'!$K$2:$M$36,3,FALSE),"")</f>
        <v>LPG propane or butane</v>
      </c>
    </row>
    <row r="4392" spans="1:9" x14ac:dyDescent="0.15">
      <c r="A4392" s="2">
        <v>499532</v>
      </c>
      <c r="B4392" s="2" t="s">
        <v>92</v>
      </c>
      <c r="C4392" s="2">
        <v>2020</v>
      </c>
      <c r="D4392" s="2" t="s">
        <v>1</v>
      </c>
      <c r="E4392" s="2" t="s">
        <v>7</v>
      </c>
      <c r="F4392" s="2" t="s">
        <v>35</v>
      </c>
      <c r="G4392" s="7">
        <v>-77.569999999999993</v>
      </c>
      <c r="H4392" s="13">
        <f>IFERROR(IF(ABS($G4392)&gt;0,VLOOKUP($E4392,'Fuel Category and Heat Rate'!$B$1:$G$34,6,FALSE)*($G4392),""),"")</f>
        <v>-6156746867950.165</v>
      </c>
      <c r="I4392" t="str">
        <f>IFERROR(VLOOKUP($E4392,'Fuel Category and Heat Rate'!$K$2:$M$36,3,FALSE),"")</f>
        <v>coal</v>
      </c>
    </row>
    <row r="4393" spans="1:9" x14ac:dyDescent="0.15">
      <c r="A4393" s="2">
        <v>499567</v>
      </c>
      <c r="B4393" s="2" t="s">
        <v>92</v>
      </c>
      <c r="C4393" s="2">
        <v>2020</v>
      </c>
      <c r="D4393" s="2" t="s">
        <v>1</v>
      </c>
      <c r="E4393" s="2" t="s">
        <v>2</v>
      </c>
      <c r="F4393" s="2" t="s">
        <v>35</v>
      </c>
      <c r="G4393" s="7">
        <v>-3100.58</v>
      </c>
      <c r="H4393" s="13">
        <f>IFERROR(IF(ABS($G4393)&gt;0,VLOOKUP($E4393,'Fuel Category and Heat Rate'!$B$1:$G$34,6,FALSE)*($G4393),""),"")</f>
        <v>0</v>
      </c>
      <c r="I4393" t="str">
        <f>IFERROR(VLOOKUP($E4393,'Fuel Category and Heat Rate'!$K$2:$M$36,3,FALSE),"")</f>
        <v/>
      </c>
    </row>
    <row r="4394" spans="1:9" x14ac:dyDescent="0.15">
      <c r="A4394" s="2">
        <v>499602</v>
      </c>
      <c r="B4394" s="2" t="s">
        <v>92</v>
      </c>
      <c r="C4394" s="2">
        <v>2020</v>
      </c>
      <c r="D4394" s="2" t="s">
        <v>1</v>
      </c>
      <c r="E4394" s="2" t="s">
        <v>17</v>
      </c>
      <c r="F4394" s="2" t="s">
        <v>35</v>
      </c>
      <c r="G4394" s="7"/>
      <c r="H4394" s="13" t="str">
        <f>IFERROR(IF(ABS($G4394)&gt;0,VLOOKUP($E4394,'Fuel Category and Heat Rate'!$B$1:$G$34,6,FALSE)*($G4394),""),"")</f>
        <v/>
      </c>
      <c r="I4394" t="str">
        <f>IFERROR(VLOOKUP($E4394,'Fuel Category and Heat Rate'!$K$2:$M$36,3,FALSE),"")</f>
        <v>petroleum diesel</v>
      </c>
    </row>
    <row r="4395" spans="1:9" x14ac:dyDescent="0.15">
      <c r="A4395" s="2">
        <v>499637</v>
      </c>
      <c r="B4395" s="2" t="s">
        <v>92</v>
      </c>
      <c r="C4395" s="2">
        <v>2020</v>
      </c>
      <c r="D4395" s="2" t="s">
        <v>1</v>
      </c>
      <c r="E4395" s="2" t="s">
        <v>13</v>
      </c>
      <c r="F4395" s="2" t="s">
        <v>35</v>
      </c>
      <c r="G4395" s="7"/>
      <c r="H4395" s="13" t="str">
        <f>IFERROR(IF(ABS($G4395)&gt;0,VLOOKUP($E4395,'Fuel Category and Heat Rate'!$B$1:$G$34,6,FALSE)*($G4395),""),"")</f>
        <v/>
      </c>
      <c r="I4395" t="str">
        <f>IFERROR(VLOOKUP($E4395,'Fuel Category and Heat Rate'!$K$2:$M$36,3,FALSE),"")</f>
        <v>petroleum diesel</v>
      </c>
    </row>
    <row r="4396" spans="1:9" x14ac:dyDescent="0.15">
      <c r="A4396" s="2">
        <v>499672</v>
      </c>
      <c r="B4396" s="2" t="s">
        <v>92</v>
      </c>
      <c r="C4396" s="2">
        <v>2020</v>
      </c>
      <c r="D4396" s="2" t="s">
        <v>1</v>
      </c>
      <c r="E4396" s="2" t="s">
        <v>12</v>
      </c>
      <c r="F4396" s="2" t="s">
        <v>36</v>
      </c>
      <c r="G4396" s="7"/>
      <c r="H4396" s="13" t="str">
        <f>IFERROR(IF(ABS($G4396)&gt;0,VLOOKUP($E4396,'Fuel Category and Heat Rate'!$B$1:$G$34,6,FALSE)*($G4396),""),"")</f>
        <v/>
      </c>
      <c r="I4396" t="str">
        <f>IFERROR(VLOOKUP($E4396,'Fuel Category and Heat Rate'!$K$2:$M$36,3,FALSE),"")</f>
        <v>LPG propane or butane</v>
      </c>
    </row>
    <row r="4397" spans="1:9" x14ac:dyDescent="0.15">
      <c r="A4397" s="2">
        <v>499707</v>
      </c>
      <c r="B4397" s="2" t="s">
        <v>92</v>
      </c>
      <c r="C4397" s="2">
        <v>2020</v>
      </c>
      <c r="D4397" s="2" t="s">
        <v>1</v>
      </c>
      <c r="E4397" s="2" t="s">
        <v>33</v>
      </c>
      <c r="F4397" s="2" t="s">
        <v>38</v>
      </c>
      <c r="G4397" s="7"/>
      <c r="H4397" s="13" t="str">
        <f>IFERROR(IF(ABS($G4397)&gt;0,VLOOKUP($E4397,'Fuel Category and Heat Rate'!$B$1:$G$34,6,FALSE)*($G4397),""),"")</f>
        <v/>
      </c>
      <c r="I4397" t="str">
        <f>IFERROR(VLOOKUP($E4397,'Fuel Category and Heat Rate'!$K$2:$M$36,3,FALSE),"")</f>
        <v>biomass</v>
      </c>
    </row>
    <row r="4398" spans="1:9" x14ac:dyDescent="0.15">
      <c r="A4398" s="2">
        <v>499742</v>
      </c>
      <c r="B4398" s="2" t="s">
        <v>92</v>
      </c>
      <c r="C4398" s="2">
        <v>2020</v>
      </c>
      <c r="D4398" s="2" t="s">
        <v>1</v>
      </c>
      <c r="E4398" s="2" t="s">
        <v>28</v>
      </c>
      <c r="F4398" s="2" t="s">
        <v>35</v>
      </c>
      <c r="G4398" s="7"/>
      <c r="H4398" s="13" t="str">
        <f>IFERROR(IF(ABS($G4398)&gt;0,VLOOKUP($E4398,'Fuel Category and Heat Rate'!$B$1:$G$34,6,FALSE)*($G4398),""),"")</f>
        <v/>
      </c>
      <c r="I4398" t="str">
        <f>IFERROR(VLOOKUP($E4398,'Fuel Category and Heat Rate'!$K$2:$M$36,3,FALSE),"")</f>
        <v>heavy or residual fuel oil</v>
      </c>
    </row>
    <row r="4399" spans="1:9" x14ac:dyDescent="0.15">
      <c r="A4399" s="2">
        <v>499777</v>
      </c>
      <c r="B4399" s="2" t="s">
        <v>92</v>
      </c>
      <c r="C4399" s="2">
        <v>2020</v>
      </c>
      <c r="D4399" s="2" t="s">
        <v>1</v>
      </c>
      <c r="E4399" s="2" t="s">
        <v>5</v>
      </c>
      <c r="F4399" s="2" t="s">
        <v>35</v>
      </c>
      <c r="G4399" s="7">
        <v>-16.48</v>
      </c>
      <c r="H4399" s="13">
        <f>IFERROR(IF(ABS($G4399)&gt;0,VLOOKUP($E4399,'Fuel Category and Heat Rate'!$B$1:$G$34,6,FALSE)*($G4399),""),"")</f>
        <v>-1306302789563.2253</v>
      </c>
      <c r="I4399" t="str">
        <f>IFERROR(VLOOKUP($E4399,'Fuel Category and Heat Rate'!$K$2:$M$36,3,FALSE),"")</f>
        <v>coal</v>
      </c>
    </row>
    <row r="4400" spans="1:9" x14ac:dyDescent="0.15">
      <c r="A4400" s="2">
        <v>499812</v>
      </c>
      <c r="B4400" s="2" t="s">
        <v>92</v>
      </c>
      <c r="C4400" s="2">
        <v>2020</v>
      </c>
      <c r="D4400" s="2" t="s">
        <v>1</v>
      </c>
      <c r="E4400" s="2" t="s">
        <v>16</v>
      </c>
      <c r="F4400" s="2" t="s">
        <v>35</v>
      </c>
      <c r="G4400" s="7"/>
      <c r="H4400" s="13" t="str">
        <f>IFERROR(IF(ABS($G4400)&gt;0,VLOOKUP($E4400,'Fuel Category and Heat Rate'!$B$1:$G$34,6,FALSE)*($G4400),""),"")</f>
        <v/>
      </c>
      <c r="I4400" t="str">
        <f>IFERROR(VLOOKUP($E4400,'Fuel Category and Heat Rate'!$K$2:$M$36,3,FALSE),"")</f>
        <v>petroleum diesel</v>
      </c>
    </row>
    <row r="4401" spans="1:9" x14ac:dyDescent="0.15">
      <c r="A4401" s="2">
        <v>499847</v>
      </c>
      <c r="B4401" s="2" t="s">
        <v>92</v>
      </c>
      <c r="C4401" s="2">
        <v>2020</v>
      </c>
      <c r="D4401" s="2" t="s">
        <v>1</v>
      </c>
      <c r="E4401" s="2" t="s">
        <v>19</v>
      </c>
      <c r="F4401" s="2" t="s">
        <v>35</v>
      </c>
      <c r="G4401" s="7">
        <v>-0.02</v>
      </c>
      <c r="H4401" s="13">
        <f>IFERROR(IF(ABS($G4401)&gt;0,VLOOKUP($E4401,'Fuel Category and Heat Rate'!$B$1:$G$34,6,FALSE)*($G4401),""),"")</f>
        <v>-7926784160.2887659</v>
      </c>
      <c r="I4401" t="str">
        <f>IFERROR(VLOOKUP($E4401,'Fuel Category and Heat Rate'!$K$2:$M$36,3,FALSE),"")</f>
        <v>heavy or residual fuel oil</v>
      </c>
    </row>
    <row r="4402" spans="1:9" x14ac:dyDescent="0.15">
      <c r="A4402" s="2">
        <v>499882</v>
      </c>
      <c r="B4402" s="2" t="s">
        <v>92</v>
      </c>
      <c r="C4402" s="2">
        <v>2020</v>
      </c>
      <c r="D4402" s="2" t="s">
        <v>1</v>
      </c>
      <c r="E4402" s="2" t="s">
        <v>31</v>
      </c>
      <c r="F4402" s="2" t="s">
        <v>37</v>
      </c>
      <c r="G4402" s="7">
        <v>57507.43</v>
      </c>
      <c r="H4402" s="13">
        <f>IFERROR(IF(ABS($G4402)&gt;0,VLOOKUP($E4402,'Fuel Category and Heat Rate'!$B$1:$G$34,6,FALSE)*($G4402),""),"")</f>
        <v>545065268345746.81</v>
      </c>
      <c r="I4402" t="str">
        <f>IFERROR(VLOOKUP($E4402,'Fuel Category and Heat Rate'!$K$2:$M$36,3,FALSE),"")</f>
        <v>heat</v>
      </c>
    </row>
    <row r="4403" spans="1:9" x14ac:dyDescent="0.15">
      <c r="A4403" s="2">
        <v>499917</v>
      </c>
      <c r="B4403" s="2" t="s">
        <v>92</v>
      </c>
      <c r="C4403" s="2">
        <v>2020</v>
      </c>
      <c r="D4403" s="2" t="s">
        <v>1</v>
      </c>
      <c r="E4403" s="2" t="s">
        <v>23</v>
      </c>
      <c r="F4403" s="2" t="s">
        <v>35</v>
      </c>
      <c r="G4403" s="7"/>
      <c r="H4403" s="13" t="str">
        <f>IFERROR(IF(ABS($G4403)&gt;0,VLOOKUP($E4403,'Fuel Category and Heat Rate'!$B$1:$G$34,6,FALSE)*($G4403),""),"")</f>
        <v/>
      </c>
      <c r="I4403" t="str">
        <f>IFERROR(VLOOKUP($E4403,'Fuel Category and Heat Rate'!$K$2:$M$36,3,FALSE),"")</f>
        <v>heavy or residual fuel oil</v>
      </c>
    </row>
    <row r="4404" spans="1:9" x14ac:dyDescent="0.15">
      <c r="A4404" s="2">
        <v>499952</v>
      </c>
      <c r="B4404" s="2" t="s">
        <v>92</v>
      </c>
      <c r="C4404" s="2">
        <v>2020</v>
      </c>
      <c r="D4404" s="2" t="s">
        <v>1</v>
      </c>
      <c r="E4404" s="2" t="s">
        <v>21</v>
      </c>
      <c r="F4404" s="2" t="s">
        <v>35</v>
      </c>
      <c r="G4404" s="7"/>
      <c r="H4404" s="13" t="str">
        <f>IFERROR(IF(ABS($G4404)&gt;0,VLOOKUP($E4404,'Fuel Category and Heat Rate'!$B$1:$G$34,6,FALSE)*($G4404),""),"")</f>
        <v/>
      </c>
      <c r="I4404" t="str">
        <f>IFERROR(VLOOKUP($E4404,'Fuel Category and Heat Rate'!$K$2:$M$36,3,FALSE),"")</f>
        <v>LPG propane or butane</v>
      </c>
    </row>
    <row r="4405" spans="1:9" x14ac:dyDescent="0.15">
      <c r="A4405" s="2">
        <v>499987</v>
      </c>
      <c r="B4405" s="2" t="s">
        <v>92</v>
      </c>
      <c r="C4405" s="2">
        <v>2020</v>
      </c>
      <c r="D4405" s="2" t="s">
        <v>1</v>
      </c>
      <c r="E4405" s="2" t="s">
        <v>22</v>
      </c>
      <c r="F4405" s="2" t="s">
        <v>35</v>
      </c>
      <c r="G4405" s="7"/>
      <c r="H4405" s="13" t="str">
        <f>IFERROR(IF(ABS($G4405)&gt;0,VLOOKUP($E4405,'Fuel Category and Heat Rate'!$B$1:$G$34,6,FALSE)*($G4405),""),"")</f>
        <v/>
      </c>
      <c r="I4405" t="str">
        <f>IFERROR(VLOOKUP($E4405,'Fuel Category and Heat Rate'!$K$2:$M$36,3,FALSE),"")</f>
        <v>heavy fuel oil</v>
      </c>
    </row>
    <row r="4406" spans="1:9" x14ac:dyDescent="0.15">
      <c r="A4406" s="2">
        <v>500022</v>
      </c>
      <c r="B4406" s="2" t="s">
        <v>92</v>
      </c>
      <c r="C4406" s="2">
        <v>2020</v>
      </c>
      <c r="D4406" s="2" t="s">
        <v>1</v>
      </c>
      <c r="E4406" s="2" t="s">
        <v>20</v>
      </c>
      <c r="F4406" s="2" t="s">
        <v>35</v>
      </c>
      <c r="G4406" s="7"/>
      <c r="H4406" s="13" t="str">
        <f>IFERROR(IF(ABS($G4406)&gt;0,VLOOKUP($E4406,'Fuel Category and Heat Rate'!$B$1:$G$34,6,FALSE)*($G4406),""),"")</f>
        <v/>
      </c>
      <c r="I4406" t="str">
        <f>IFERROR(VLOOKUP($E4406,'Fuel Category and Heat Rate'!$K$2:$M$36,3,FALSE),"")</f>
        <v>LPG propane or butane</v>
      </c>
    </row>
    <row r="4407" spans="1:9" x14ac:dyDescent="0.15">
      <c r="A4407" s="2">
        <v>500057</v>
      </c>
      <c r="B4407" s="2" t="s">
        <v>92</v>
      </c>
      <c r="C4407" s="2">
        <v>2020</v>
      </c>
      <c r="D4407" s="2" t="s">
        <v>1</v>
      </c>
      <c r="E4407" s="2" t="s">
        <v>25</v>
      </c>
      <c r="F4407" s="2" t="s">
        <v>35</v>
      </c>
      <c r="G4407" s="7"/>
      <c r="H4407" s="13" t="str">
        <f>IFERROR(IF(ABS($G4407)&gt;0,VLOOKUP($E4407,'Fuel Category and Heat Rate'!$B$1:$G$34,6,FALSE)*($G4407),""),"")</f>
        <v/>
      </c>
      <c r="I4407" t="str">
        <f>IFERROR(VLOOKUP($E4407,'Fuel Category and Heat Rate'!$K$2:$M$36,3,FALSE),"")</f>
        <v>heavy fuel oil</v>
      </c>
    </row>
    <row r="4408" spans="1:9" x14ac:dyDescent="0.15">
      <c r="A4408" s="2">
        <v>500092</v>
      </c>
      <c r="B4408" s="2" t="s">
        <v>92</v>
      </c>
      <c r="C4408" s="2">
        <v>2020</v>
      </c>
      <c r="D4408" s="2" t="s">
        <v>1</v>
      </c>
      <c r="E4408" s="2" t="s">
        <v>24</v>
      </c>
      <c r="F4408" s="2" t="s">
        <v>35</v>
      </c>
      <c r="G4408" s="7"/>
      <c r="H4408" s="13" t="str">
        <f>IFERROR(IF(ABS($G4408)&gt;0,VLOOKUP($E4408,'Fuel Category and Heat Rate'!$B$1:$G$34,6,FALSE)*($G4408),""),"")</f>
        <v/>
      </c>
      <c r="I4408" t="str">
        <f>IFERROR(VLOOKUP($E4408,'Fuel Category and Heat Rate'!$K$2:$M$36,3,FALSE),"")</f>
        <v>heavy fuel oil</v>
      </c>
    </row>
    <row r="4409" spans="1:9" x14ac:dyDescent="0.15">
      <c r="A4409" s="2">
        <v>500127</v>
      </c>
      <c r="B4409" s="2" t="s">
        <v>92</v>
      </c>
      <c r="C4409" s="2">
        <v>2020</v>
      </c>
      <c r="D4409" s="2" t="s">
        <v>1</v>
      </c>
      <c r="E4409" s="2" t="s">
        <v>29</v>
      </c>
      <c r="F4409" s="2" t="s">
        <v>36</v>
      </c>
      <c r="G4409" s="7">
        <v>-16.239999999999998</v>
      </c>
      <c r="H4409" s="13">
        <f>IFERROR(IF(ABS($G4409)&gt;0,VLOOKUP($E4409,'Fuel Category and Heat Rate'!$B$1:$G$34,6,FALSE)*($G4409),""),"")</f>
        <v>-54773619804108</v>
      </c>
      <c r="I4409" t="str">
        <f>IFERROR(VLOOKUP($E4409,'Fuel Category and Heat Rate'!$K$2:$M$36,3,FALSE),"")</f>
        <v>natural gas</v>
      </c>
    </row>
    <row r="4410" spans="1:9" x14ac:dyDescent="0.15">
      <c r="A4410" s="2">
        <v>500162</v>
      </c>
      <c r="B4410" s="2" t="s">
        <v>92</v>
      </c>
      <c r="C4410" s="2">
        <v>2020</v>
      </c>
      <c r="D4410" s="2" t="s">
        <v>1</v>
      </c>
      <c r="E4410" s="2" t="s">
        <v>4</v>
      </c>
      <c r="F4410" s="2" t="s">
        <v>35</v>
      </c>
      <c r="G4410" s="7"/>
      <c r="H4410" s="13" t="str">
        <f>IFERROR(IF(ABS($G4410)&gt;0,VLOOKUP($E4410,'Fuel Category and Heat Rate'!$B$1:$G$34,6,FALSE)*($G4410),""),"")</f>
        <v/>
      </c>
      <c r="I4410" t="str">
        <f>IFERROR(VLOOKUP($E4410,'Fuel Category and Heat Rate'!$K$2:$M$36,3,FALSE),"")</f>
        <v>coal</v>
      </c>
    </row>
    <row r="4411" spans="1:9" x14ac:dyDescent="0.15">
      <c r="A4411" s="2">
        <v>500197</v>
      </c>
      <c r="B4411" s="2" t="s">
        <v>92</v>
      </c>
      <c r="C4411" s="2">
        <v>2020</v>
      </c>
      <c r="D4411" s="2" t="s">
        <v>1</v>
      </c>
      <c r="E4411" s="2" t="s">
        <v>6</v>
      </c>
      <c r="F4411" s="2" t="s">
        <v>35</v>
      </c>
      <c r="G4411" s="7"/>
      <c r="H4411" s="13" t="str">
        <f>IFERROR(IF(ABS($G4411)&gt;0,VLOOKUP($E4411,'Fuel Category and Heat Rate'!$B$1:$G$34,6,FALSE)*($G4411),""),"")</f>
        <v/>
      </c>
      <c r="I4411" t="str">
        <f>IFERROR(VLOOKUP($E4411,'Fuel Category and Heat Rate'!$K$2:$M$36,3,FALSE),"")</f>
        <v>coal</v>
      </c>
    </row>
    <row r="4412" spans="1:9" x14ac:dyDescent="0.15">
      <c r="A4412" s="2">
        <v>500232</v>
      </c>
      <c r="B4412" s="2" t="s">
        <v>92</v>
      </c>
      <c r="C4412" s="2">
        <v>2020</v>
      </c>
      <c r="D4412" s="2" t="s">
        <v>1</v>
      </c>
      <c r="E4412" s="2" t="s">
        <v>26</v>
      </c>
      <c r="F4412" s="2" t="s">
        <v>35</v>
      </c>
      <c r="G4412" s="7"/>
      <c r="H4412" s="13" t="str">
        <f>IFERROR(IF(ABS($G4412)&gt;0,VLOOKUP($E4412,'Fuel Category and Heat Rate'!$B$1:$G$34,6,FALSE)*($G4412),""),"")</f>
        <v/>
      </c>
      <c r="I4412" t="str">
        <f>IFERROR(VLOOKUP($E4412,'Fuel Category and Heat Rate'!$K$2:$M$36,3,FALSE),"")</f>
        <v>LPG propane or butane</v>
      </c>
    </row>
    <row r="4413" spans="1:9" x14ac:dyDescent="0.15">
      <c r="A4413" s="2">
        <v>500267</v>
      </c>
      <c r="B4413" s="2" t="s">
        <v>92</v>
      </c>
      <c r="C4413" s="2">
        <v>2020</v>
      </c>
      <c r="D4413" s="2" t="s">
        <v>1</v>
      </c>
      <c r="E4413" s="2" t="s">
        <v>30</v>
      </c>
      <c r="F4413" s="2" t="s">
        <v>35</v>
      </c>
      <c r="G4413" s="7"/>
      <c r="H4413" s="13" t="str">
        <f>IFERROR(IF(ABS($G4413)&gt;0,VLOOKUP($E4413,'Fuel Category and Heat Rate'!$B$1:$G$34,6,FALSE)*($G4413),""),"")</f>
        <v/>
      </c>
      <c r="I4413" t="str">
        <f>IFERROR(VLOOKUP($E4413,'Fuel Category and Heat Rate'!$K$2:$M$36,3,FALSE),"")</f>
        <v>natural gas</v>
      </c>
    </row>
    <row r="4414" spans="1:9" x14ac:dyDescent="0.15">
      <c r="A4414" s="2">
        <v>500302</v>
      </c>
      <c r="B4414" s="2" t="s">
        <v>92</v>
      </c>
      <c r="C4414" s="2">
        <v>2020</v>
      </c>
      <c r="D4414" s="2" t="s">
        <v>1</v>
      </c>
      <c r="E4414" s="2" t="s">
        <v>14</v>
      </c>
      <c r="F4414" s="2" t="s">
        <v>35</v>
      </c>
      <c r="G4414" s="7">
        <v>-5.94</v>
      </c>
      <c r="H4414" s="13">
        <f>IFERROR(IF(ABS($G4414)&gt;0,VLOOKUP($E4414,'Fuel Category and Heat Rate'!$B$1:$G$34,6,FALSE)*($G4414),""),"")</f>
        <v>0</v>
      </c>
      <c r="I4414" t="str">
        <f>IFERROR(VLOOKUP($E4414,'Fuel Category and Heat Rate'!$K$2:$M$36,3,FALSE),"")</f>
        <v/>
      </c>
    </row>
    <row r="4415" spans="1:9" x14ac:dyDescent="0.15">
      <c r="A4415" s="2">
        <v>500337</v>
      </c>
      <c r="B4415" s="2" t="s">
        <v>92</v>
      </c>
      <c r="C4415" s="2">
        <v>2020</v>
      </c>
      <c r="D4415" s="2" t="s">
        <v>1</v>
      </c>
      <c r="E4415" s="2" t="s">
        <v>3</v>
      </c>
      <c r="F4415" s="2" t="s">
        <v>35</v>
      </c>
      <c r="G4415" s="7">
        <v>-3084.1</v>
      </c>
      <c r="H4415" s="13">
        <f>IFERROR(IF(ABS($G4415)&gt;0,VLOOKUP($E4415,'Fuel Category and Heat Rate'!$B$1:$G$34,6,FALSE)*($G4415),""),"")</f>
        <v>-611174875718664.5</v>
      </c>
      <c r="I4415" t="str">
        <f>IFERROR(VLOOKUP($E4415,'Fuel Category and Heat Rate'!$K$2:$M$36,3,FALSE),"")</f>
        <v>coal</v>
      </c>
    </row>
    <row r="4416" spans="1:9" x14ac:dyDescent="0.15">
      <c r="A4416" s="2">
        <v>500372</v>
      </c>
      <c r="B4416" s="2" t="s">
        <v>92</v>
      </c>
      <c r="C4416" s="2">
        <v>2020</v>
      </c>
      <c r="D4416" s="2" t="s">
        <v>1</v>
      </c>
      <c r="E4416" s="2" t="s">
        <v>15</v>
      </c>
      <c r="F4416" s="2" t="s">
        <v>35</v>
      </c>
      <c r="G4416" s="7"/>
      <c r="H4416" s="13" t="str">
        <f>IFERROR(IF(ABS($G4416)&gt;0,VLOOKUP($E4416,'Fuel Category and Heat Rate'!$B$1:$G$34,6,FALSE)*($G4416),""),"")</f>
        <v/>
      </c>
      <c r="I4416" t="str">
        <f>IFERROR(VLOOKUP($E4416,'Fuel Category and Heat Rate'!$K$2:$M$36,3,FALSE),"")</f>
        <v>crude oil</v>
      </c>
    </row>
    <row r="4417" spans="1:9" x14ac:dyDescent="0.15">
      <c r="A4417" s="2">
        <v>500407</v>
      </c>
      <c r="B4417" s="2" t="s">
        <v>92</v>
      </c>
      <c r="C4417" s="2">
        <v>2020</v>
      </c>
      <c r="D4417" s="2" t="s">
        <v>1</v>
      </c>
      <c r="E4417" s="2" t="s">
        <v>11</v>
      </c>
      <c r="F4417" s="2" t="s">
        <v>36</v>
      </c>
      <c r="G4417" s="7">
        <v>-17.95</v>
      </c>
      <c r="H4417" s="13">
        <f>IFERROR(IF(ABS($G4417)&gt;0,VLOOKUP($E4417,'Fuel Category and Heat Rate'!$B$1:$G$34,6,FALSE)*($G4417),""),"")</f>
        <v>-13517080636063.012</v>
      </c>
      <c r="I4417" t="str">
        <f>IFERROR(VLOOKUP($E4417,'Fuel Category and Heat Rate'!$K$2:$M$36,3,FALSE),"")</f>
        <v>LPG propane or butane</v>
      </c>
    </row>
    <row r="4418" spans="1:9" x14ac:dyDescent="0.15">
      <c r="A4418" s="2">
        <v>500442</v>
      </c>
      <c r="B4418" s="2" t="s">
        <v>92</v>
      </c>
      <c r="C4418" s="2">
        <v>2019</v>
      </c>
      <c r="D4418" s="2" t="s">
        <v>1</v>
      </c>
      <c r="E4418" s="2" t="s">
        <v>18</v>
      </c>
      <c r="F4418" s="2" t="s">
        <v>35</v>
      </c>
      <c r="G4418" s="7">
        <v>-0.02</v>
      </c>
      <c r="H4418" s="13">
        <f>IFERROR(IF(ABS($G4418)&gt;0,VLOOKUP($E4418,'Fuel Category and Heat Rate'!$B$1:$G$34,6,FALSE)*($G4418),""),"")</f>
        <v>-8085259183.1986904</v>
      </c>
      <c r="I4418" t="str">
        <f>IFERROR(VLOOKUP($E4418,'Fuel Category and Heat Rate'!$K$2:$M$36,3,FALSE),"")</f>
        <v>petroleum diesel</v>
      </c>
    </row>
    <row r="4419" spans="1:9" x14ac:dyDescent="0.15">
      <c r="A4419" s="2">
        <v>500477</v>
      </c>
      <c r="B4419" s="2" t="s">
        <v>92</v>
      </c>
      <c r="C4419" s="2">
        <v>2019</v>
      </c>
      <c r="D4419" s="2" t="s">
        <v>1</v>
      </c>
      <c r="E4419" s="2" t="s">
        <v>32</v>
      </c>
      <c r="F4419" s="2" t="s">
        <v>65</v>
      </c>
      <c r="G4419" s="7"/>
      <c r="H4419" s="13" t="str">
        <f>IFERROR(IF(ABS($G4419)&gt;0,VLOOKUP($E4419,'Fuel Category and Heat Rate'!$B$1:$G$34,6,FALSE)*($G4419),""),"")</f>
        <v/>
      </c>
      <c r="I4419" t="str">
        <f>IFERROR(VLOOKUP($E4419,'Fuel Category and Heat Rate'!$K$2:$M$36,3,FALSE),"")</f>
        <v>electricity</v>
      </c>
    </row>
    <row r="4420" spans="1:9" x14ac:dyDescent="0.15">
      <c r="A4420" s="2">
        <v>500512</v>
      </c>
      <c r="B4420" s="2" t="s">
        <v>92</v>
      </c>
      <c r="C4420" s="2">
        <v>2019</v>
      </c>
      <c r="D4420" s="2" t="s">
        <v>1</v>
      </c>
      <c r="E4420" s="2" t="s">
        <v>10</v>
      </c>
      <c r="F4420" s="2" t="s">
        <v>36</v>
      </c>
      <c r="G4420" s="7">
        <v>-10.07</v>
      </c>
      <c r="H4420" s="13">
        <f>IFERROR(IF(ABS($G4420)&gt;0,VLOOKUP($E4420,'Fuel Category and Heat Rate'!$B$1:$G$34,6,FALSE)*($G4420),""),"")</f>
        <v>-3591602283424.1431</v>
      </c>
      <c r="I4420" t="str">
        <f>IFERROR(VLOOKUP($E4420,'Fuel Category and Heat Rate'!$K$2:$M$36,3,FALSE),"")</f>
        <v>LPG propane or butane</v>
      </c>
    </row>
    <row r="4421" spans="1:9" x14ac:dyDescent="0.15">
      <c r="A4421" s="2">
        <v>500547</v>
      </c>
      <c r="B4421" s="2" t="s">
        <v>92</v>
      </c>
      <c r="C4421" s="2">
        <v>2019</v>
      </c>
      <c r="D4421" s="2" t="s">
        <v>1</v>
      </c>
      <c r="E4421" s="2" t="s">
        <v>9</v>
      </c>
      <c r="F4421" s="2" t="s">
        <v>36</v>
      </c>
      <c r="G4421" s="7">
        <v>-18.12</v>
      </c>
      <c r="H4421" s="13">
        <f>IFERROR(IF(ABS($G4421)&gt;0,VLOOKUP($E4421,'Fuel Category and Heat Rate'!$B$1:$G$34,6,FALSE)*($G4421),""),"")</f>
        <v>-29803675322022.055</v>
      </c>
      <c r="I4421" t="str">
        <f>IFERROR(VLOOKUP($E4421,'Fuel Category and Heat Rate'!$K$2:$M$36,3,FALSE),"")</f>
        <v>LPG propane or butane</v>
      </c>
    </row>
    <row r="4422" spans="1:9" x14ac:dyDescent="0.15">
      <c r="A4422" s="2">
        <v>500582</v>
      </c>
      <c r="B4422" s="2" t="s">
        <v>92</v>
      </c>
      <c r="C4422" s="2">
        <v>2019</v>
      </c>
      <c r="D4422" s="2" t="s">
        <v>1</v>
      </c>
      <c r="E4422" s="2" t="s">
        <v>8</v>
      </c>
      <c r="F4422" s="2" t="s">
        <v>35</v>
      </c>
      <c r="G4422" s="7"/>
      <c r="H4422" s="13" t="str">
        <f>IFERROR(IF(ABS($G4422)&gt;0,VLOOKUP($E4422,'Fuel Category and Heat Rate'!$B$1:$G$34,6,FALSE)*($G4422),""),"")</f>
        <v/>
      </c>
      <c r="I4422" t="str">
        <f>IFERROR(VLOOKUP($E4422,'Fuel Category and Heat Rate'!$K$2:$M$36,3,FALSE),"")</f>
        <v>coal</v>
      </c>
    </row>
    <row r="4423" spans="1:9" x14ac:dyDescent="0.15">
      <c r="A4423" s="2">
        <v>500617</v>
      </c>
      <c r="B4423" s="2" t="s">
        <v>92</v>
      </c>
      <c r="C4423" s="2">
        <v>2019</v>
      </c>
      <c r="D4423" s="2" t="s">
        <v>1</v>
      </c>
      <c r="E4423" s="2" t="s">
        <v>27</v>
      </c>
      <c r="F4423" s="2" t="s">
        <v>35</v>
      </c>
      <c r="G4423" s="7">
        <v>-5.78</v>
      </c>
      <c r="H4423" s="13">
        <f>IFERROR(IF(ABS($G4423)&gt;0,VLOOKUP($E4423,'Fuel Category and Heat Rate'!$B$1:$G$34,6,FALSE)*($G4423),""),"")</f>
        <v>-2519946598087.6748</v>
      </c>
      <c r="I4423" t="str">
        <f>IFERROR(VLOOKUP($E4423,'Fuel Category and Heat Rate'!$K$2:$M$36,3,FALSE),"")</f>
        <v>LPG propane or butane</v>
      </c>
    </row>
    <row r="4424" spans="1:9" x14ac:dyDescent="0.15">
      <c r="A4424" s="2">
        <v>500652</v>
      </c>
      <c r="B4424" s="2" t="s">
        <v>92</v>
      </c>
      <c r="C4424" s="2">
        <v>2019</v>
      </c>
      <c r="D4424" s="2" t="s">
        <v>1</v>
      </c>
      <c r="E4424" s="2" t="s">
        <v>7</v>
      </c>
      <c r="F4424" s="2" t="s">
        <v>35</v>
      </c>
      <c r="G4424" s="7">
        <v>-26.24</v>
      </c>
      <c r="H4424" s="13">
        <f>IFERROR(IF(ABS($G4424)&gt;0,VLOOKUP($E4424,'Fuel Category and Heat Rate'!$B$1:$G$34,6,FALSE)*($G4424),""),"")</f>
        <v>-2082674201560.0405</v>
      </c>
      <c r="I4424" t="str">
        <f>IFERROR(VLOOKUP($E4424,'Fuel Category and Heat Rate'!$K$2:$M$36,3,FALSE),"")</f>
        <v>coal</v>
      </c>
    </row>
    <row r="4425" spans="1:9" x14ac:dyDescent="0.15">
      <c r="A4425" s="2">
        <v>500687</v>
      </c>
      <c r="B4425" s="2" t="s">
        <v>92</v>
      </c>
      <c r="C4425" s="2">
        <v>2019</v>
      </c>
      <c r="D4425" s="2" t="s">
        <v>1</v>
      </c>
      <c r="E4425" s="2" t="s">
        <v>2</v>
      </c>
      <c r="F4425" s="2" t="s">
        <v>35</v>
      </c>
      <c r="G4425" s="7">
        <v>-2921.61</v>
      </c>
      <c r="H4425" s="13">
        <f>IFERROR(IF(ABS($G4425)&gt;0,VLOOKUP($E4425,'Fuel Category and Heat Rate'!$B$1:$G$34,6,FALSE)*($G4425),""),"")</f>
        <v>0</v>
      </c>
      <c r="I4425" t="str">
        <f>IFERROR(VLOOKUP($E4425,'Fuel Category and Heat Rate'!$K$2:$M$36,3,FALSE),"")</f>
        <v/>
      </c>
    </row>
    <row r="4426" spans="1:9" x14ac:dyDescent="0.15">
      <c r="A4426" s="2">
        <v>500722</v>
      </c>
      <c r="B4426" s="2" t="s">
        <v>92</v>
      </c>
      <c r="C4426" s="2">
        <v>2019</v>
      </c>
      <c r="D4426" s="2" t="s">
        <v>1</v>
      </c>
      <c r="E4426" s="2" t="s">
        <v>17</v>
      </c>
      <c r="F4426" s="2" t="s">
        <v>35</v>
      </c>
      <c r="G4426" s="7"/>
      <c r="H4426" s="13" t="str">
        <f>IFERROR(IF(ABS($G4426)&gt;0,VLOOKUP($E4426,'Fuel Category and Heat Rate'!$B$1:$G$34,6,FALSE)*($G4426),""),"")</f>
        <v/>
      </c>
      <c r="I4426" t="str">
        <f>IFERROR(VLOOKUP($E4426,'Fuel Category and Heat Rate'!$K$2:$M$36,3,FALSE),"")</f>
        <v>petroleum diesel</v>
      </c>
    </row>
    <row r="4427" spans="1:9" x14ac:dyDescent="0.15">
      <c r="A4427" s="2">
        <v>500757</v>
      </c>
      <c r="B4427" s="2" t="s">
        <v>92</v>
      </c>
      <c r="C4427" s="2">
        <v>2019</v>
      </c>
      <c r="D4427" s="2" t="s">
        <v>1</v>
      </c>
      <c r="E4427" s="2" t="s">
        <v>13</v>
      </c>
      <c r="F4427" s="2" t="s">
        <v>35</v>
      </c>
      <c r="G4427" s="7"/>
      <c r="H4427" s="13" t="str">
        <f>IFERROR(IF(ABS($G4427)&gt;0,VLOOKUP($E4427,'Fuel Category and Heat Rate'!$B$1:$G$34,6,FALSE)*($G4427),""),"")</f>
        <v/>
      </c>
      <c r="I4427" t="str">
        <f>IFERROR(VLOOKUP($E4427,'Fuel Category and Heat Rate'!$K$2:$M$36,3,FALSE),"")</f>
        <v>petroleum diesel</v>
      </c>
    </row>
    <row r="4428" spans="1:9" x14ac:dyDescent="0.15">
      <c r="A4428" s="2">
        <v>500792</v>
      </c>
      <c r="B4428" s="2" t="s">
        <v>92</v>
      </c>
      <c r="C4428" s="2">
        <v>2019</v>
      </c>
      <c r="D4428" s="2" t="s">
        <v>1</v>
      </c>
      <c r="E4428" s="2" t="s">
        <v>12</v>
      </c>
      <c r="F4428" s="2" t="s">
        <v>36</v>
      </c>
      <c r="G4428" s="7"/>
      <c r="H4428" s="13" t="str">
        <f>IFERROR(IF(ABS($G4428)&gt;0,VLOOKUP($E4428,'Fuel Category and Heat Rate'!$B$1:$G$34,6,FALSE)*($G4428),""),"")</f>
        <v/>
      </c>
      <c r="I4428" t="str">
        <f>IFERROR(VLOOKUP($E4428,'Fuel Category and Heat Rate'!$K$2:$M$36,3,FALSE),"")</f>
        <v>LPG propane or butane</v>
      </c>
    </row>
    <row r="4429" spans="1:9" x14ac:dyDescent="0.15">
      <c r="A4429" s="2">
        <v>500827</v>
      </c>
      <c r="B4429" s="2" t="s">
        <v>92</v>
      </c>
      <c r="C4429" s="2">
        <v>2019</v>
      </c>
      <c r="D4429" s="2" t="s">
        <v>1</v>
      </c>
      <c r="E4429" s="2" t="s">
        <v>33</v>
      </c>
      <c r="F4429" s="2" t="s">
        <v>38</v>
      </c>
      <c r="G4429" s="7"/>
      <c r="H4429" s="13" t="str">
        <f>IFERROR(IF(ABS($G4429)&gt;0,VLOOKUP($E4429,'Fuel Category and Heat Rate'!$B$1:$G$34,6,FALSE)*($G4429),""),"")</f>
        <v/>
      </c>
      <c r="I4429" t="str">
        <f>IFERROR(VLOOKUP($E4429,'Fuel Category and Heat Rate'!$K$2:$M$36,3,FALSE),"")</f>
        <v>biomass</v>
      </c>
    </row>
    <row r="4430" spans="1:9" x14ac:dyDescent="0.15">
      <c r="A4430" s="2">
        <v>500862</v>
      </c>
      <c r="B4430" s="2" t="s">
        <v>92</v>
      </c>
      <c r="C4430" s="2">
        <v>2019</v>
      </c>
      <c r="D4430" s="2" t="s">
        <v>1</v>
      </c>
      <c r="E4430" s="2" t="s">
        <v>28</v>
      </c>
      <c r="F4430" s="2" t="s">
        <v>35</v>
      </c>
      <c r="G4430" s="7"/>
      <c r="H4430" s="13" t="str">
        <f>IFERROR(IF(ABS($G4430)&gt;0,VLOOKUP($E4430,'Fuel Category and Heat Rate'!$B$1:$G$34,6,FALSE)*($G4430),""),"")</f>
        <v/>
      </c>
      <c r="I4430" t="str">
        <f>IFERROR(VLOOKUP($E4430,'Fuel Category and Heat Rate'!$K$2:$M$36,3,FALSE),"")</f>
        <v>heavy or residual fuel oil</v>
      </c>
    </row>
    <row r="4431" spans="1:9" x14ac:dyDescent="0.15">
      <c r="A4431" s="2">
        <v>500897</v>
      </c>
      <c r="B4431" s="2" t="s">
        <v>92</v>
      </c>
      <c r="C4431" s="2">
        <v>2019</v>
      </c>
      <c r="D4431" s="2" t="s">
        <v>1</v>
      </c>
      <c r="E4431" s="2" t="s">
        <v>5</v>
      </c>
      <c r="F4431" s="2" t="s">
        <v>35</v>
      </c>
      <c r="G4431" s="7">
        <v>-3.78</v>
      </c>
      <c r="H4431" s="13">
        <f>IFERROR(IF(ABS($G4431)&gt;0,VLOOKUP($E4431,'Fuel Category and Heat Rate'!$B$1:$G$34,6,FALSE)*($G4431),""),"")</f>
        <v>-299625275761.46796</v>
      </c>
      <c r="I4431" t="str">
        <f>IFERROR(VLOOKUP($E4431,'Fuel Category and Heat Rate'!$K$2:$M$36,3,FALSE),"")</f>
        <v>coal</v>
      </c>
    </row>
    <row r="4432" spans="1:9" x14ac:dyDescent="0.15">
      <c r="A4432" s="2">
        <v>500932</v>
      </c>
      <c r="B4432" s="2" t="s">
        <v>92</v>
      </c>
      <c r="C4432" s="2">
        <v>2019</v>
      </c>
      <c r="D4432" s="2" t="s">
        <v>1</v>
      </c>
      <c r="E4432" s="2" t="s">
        <v>16</v>
      </c>
      <c r="F4432" s="2" t="s">
        <v>35</v>
      </c>
      <c r="G4432" s="7">
        <v>-0.01</v>
      </c>
      <c r="H4432" s="13">
        <f>IFERROR(IF(ABS($G4432)&gt;0,VLOOKUP($E4432,'Fuel Category and Heat Rate'!$B$1:$G$34,6,FALSE)*($G4432),""),"")</f>
        <v>-4082248347.326827</v>
      </c>
      <c r="I4432" t="str">
        <f>IFERROR(VLOOKUP($E4432,'Fuel Category and Heat Rate'!$K$2:$M$36,3,FALSE),"")</f>
        <v>petroleum diesel</v>
      </c>
    </row>
    <row r="4433" spans="1:9" x14ac:dyDescent="0.15">
      <c r="A4433" s="2">
        <v>500967</v>
      </c>
      <c r="B4433" s="2" t="s">
        <v>92</v>
      </c>
      <c r="C4433" s="2">
        <v>2019</v>
      </c>
      <c r="D4433" s="2" t="s">
        <v>1</v>
      </c>
      <c r="E4433" s="2" t="s">
        <v>19</v>
      </c>
      <c r="F4433" s="2" t="s">
        <v>35</v>
      </c>
      <c r="G4433" s="7">
        <v>-0.05</v>
      </c>
      <c r="H4433" s="13">
        <f>IFERROR(IF(ABS($G4433)&gt;0,VLOOKUP($E4433,'Fuel Category and Heat Rate'!$B$1:$G$34,6,FALSE)*($G4433),""),"")</f>
        <v>-19816960400.721916</v>
      </c>
      <c r="I4433" t="str">
        <f>IFERROR(VLOOKUP($E4433,'Fuel Category and Heat Rate'!$K$2:$M$36,3,FALSE),"")</f>
        <v>heavy or residual fuel oil</v>
      </c>
    </row>
    <row r="4434" spans="1:9" x14ac:dyDescent="0.15">
      <c r="A4434" s="2">
        <v>501002</v>
      </c>
      <c r="B4434" s="2" t="s">
        <v>92</v>
      </c>
      <c r="C4434" s="2">
        <v>2019</v>
      </c>
      <c r="D4434" s="2" t="s">
        <v>1</v>
      </c>
      <c r="E4434" s="2" t="s">
        <v>31</v>
      </c>
      <c r="F4434" s="2" t="s">
        <v>37</v>
      </c>
      <c r="G4434" s="7">
        <v>52961.83</v>
      </c>
      <c r="H4434" s="13">
        <f>IFERROR(IF(ABS($G4434)&gt;0,VLOOKUP($E4434,'Fuel Category and Heat Rate'!$B$1:$G$34,6,FALSE)*($G4434),""),"")</f>
        <v>501981293217795.13</v>
      </c>
      <c r="I4434" t="str">
        <f>IFERROR(VLOOKUP($E4434,'Fuel Category and Heat Rate'!$K$2:$M$36,3,FALSE),"")</f>
        <v>heat</v>
      </c>
    </row>
    <row r="4435" spans="1:9" x14ac:dyDescent="0.15">
      <c r="A4435" s="2">
        <v>501037</v>
      </c>
      <c r="B4435" s="2" t="s">
        <v>92</v>
      </c>
      <c r="C4435" s="2">
        <v>2019</v>
      </c>
      <c r="D4435" s="2" t="s">
        <v>1</v>
      </c>
      <c r="E4435" s="2" t="s">
        <v>23</v>
      </c>
      <c r="F4435" s="2" t="s">
        <v>35</v>
      </c>
      <c r="G4435" s="7"/>
      <c r="H4435" s="13" t="str">
        <f>IFERROR(IF(ABS($G4435)&gt;0,VLOOKUP($E4435,'Fuel Category and Heat Rate'!$B$1:$G$34,6,FALSE)*($G4435),""),"")</f>
        <v/>
      </c>
      <c r="I4435" t="str">
        <f>IFERROR(VLOOKUP($E4435,'Fuel Category and Heat Rate'!$K$2:$M$36,3,FALSE),"")</f>
        <v>heavy or residual fuel oil</v>
      </c>
    </row>
    <row r="4436" spans="1:9" x14ac:dyDescent="0.15">
      <c r="A4436" s="2">
        <v>501072</v>
      </c>
      <c r="B4436" s="2" t="s">
        <v>92</v>
      </c>
      <c r="C4436" s="2">
        <v>2019</v>
      </c>
      <c r="D4436" s="2" t="s">
        <v>1</v>
      </c>
      <c r="E4436" s="2" t="s">
        <v>21</v>
      </c>
      <c r="F4436" s="2" t="s">
        <v>35</v>
      </c>
      <c r="G4436" s="7"/>
      <c r="H4436" s="13" t="str">
        <f>IFERROR(IF(ABS($G4436)&gt;0,VLOOKUP($E4436,'Fuel Category and Heat Rate'!$B$1:$G$34,6,FALSE)*($G4436),""),"")</f>
        <v/>
      </c>
      <c r="I4436" t="str">
        <f>IFERROR(VLOOKUP($E4436,'Fuel Category and Heat Rate'!$K$2:$M$36,3,FALSE),"")</f>
        <v>LPG propane or butane</v>
      </c>
    </row>
    <row r="4437" spans="1:9" x14ac:dyDescent="0.15">
      <c r="A4437" s="2">
        <v>501107</v>
      </c>
      <c r="B4437" s="2" t="s">
        <v>92</v>
      </c>
      <c r="C4437" s="2">
        <v>2019</v>
      </c>
      <c r="D4437" s="2" t="s">
        <v>1</v>
      </c>
      <c r="E4437" s="2" t="s">
        <v>22</v>
      </c>
      <c r="F4437" s="2" t="s">
        <v>35</v>
      </c>
      <c r="G4437" s="7"/>
      <c r="H4437" s="13" t="str">
        <f>IFERROR(IF(ABS($G4437)&gt;0,VLOOKUP($E4437,'Fuel Category and Heat Rate'!$B$1:$G$34,6,FALSE)*($G4437),""),"")</f>
        <v/>
      </c>
      <c r="I4437" t="str">
        <f>IFERROR(VLOOKUP($E4437,'Fuel Category and Heat Rate'!$K$2:$M$36,3,FALSE),"")</f>
        <v>heavy fuel oil</v>
      </c>
    </row>
    <row r="4438" spans="1:9" x14ac:dyDescent="0.15">
      <c r="A4438" s="2">
        <v>501142</v>
      </c>
      <c r="B4438" s="2" t="s">
        <v>92</v>
      </c>
      <c r="C4438" s="2">
        <v>2019</v>
      </c>
      <c r="D4438" s="2" t="s">
        <v>1</v>
      </c>
      <c r="E4438" s="2" t="s">
        <v>20</v>
      </c>
      <c r="F4438" s="2" t="s">
        <v>35</v>
      </c>
      <c r="G4438" s="7"/>
      <c r="H4438" s="13" t="str">
        <f>IFERROR(IF(ABS($G4438)&gt;0,VLOOKUP($E4438,'Fuel Category and Heat Rate'!$B$1:$G$34,6,FALSE)*($G4438),""),"")</f>
        <v/>
      </c>
      <c r="I4438" t="str">
        <f>IFERROR(VLOOKUP($E4438,'Fuel Category and Heat Rate'!$K$2:$M$36,3,FALSE),"")</f>
        <v>LPG propane or butane</v>
      </c>
    </row>
    <row r="4439" spans="1:9" x14ac:dyDescent="0.15">
      <c r="A4439" s="2">
        <v>501177</v>
      </c>
      <c r="B4439" s="2" t="s">
        <v>92</v>
      </c>
      <c r="C4439" s="2">
        <v>2019</v>
      </c>
      <c r="D4439" s="2" t="s">
        <v>1</v>
      </c>
      <c r="E4439" s="2" t="s">
        <v>25</v>
      </c>
      <c r="F4439" s="2" t="s">
        <v>35</v>
      </c>
      <c r="G4439" s="7"/>
      <c r="H4439" s="13" t="str">
        <f>IFERROR(IF(ABS($G4439)&gt;0,VLOOKUP($E4439,'Fuel Category and Heat Rate'!$B$1:$G$34,6,FALSE)*($G4439),""),"")</f>
        <v/>
      </c>
      <c r="I4439" t="str">
        <f>IFERROR(VLOOKUP($E4439,'Fuel Category and Heat Rate'!$K$2:$M$36,3,FALSE),"")</f>
        <v>heavy fuel oil</v>
      </c>
    </row>
    <row r="4440" spans="1:9" x14ac:dyDescent="0.15">
      <c r="A4440" s="2">
        <v>501212</v>
      </c>
      <c r="B4440" s="2" t="s">
        <v>92</v>
      </c>
      <c r="C4440" s="2">
        <v>2019</v>
      </c>
      <c r="D4440" s="2" t="s">
        <v>1</v>
      </c>
      <c r="E4440" s="2" t="s">
        <v>24</v>
      </c>
      <c r="F4440" s="2" t="s">
        <v>35</v>
      </c>
      <c r="G4440" s="7"/>
      <c r="H4440" s="13" t="str">
        <f>IFERROR(IF(ABS($G4440)&gt;0,VLOOKUP($E4440,'Fuel Category and Heat Rate'!$B$1:$G$34,6,FALSE)*($G4440),""),"")</f>
        <v/>
      </c>
      <c r="I4440" t="str">
        <f>IFERROR(VLOOKUP($E4440,'Fuel Category and Heat Rate'!$K$2:$M$36,3,FALSE),"")</f>
        <v>heavy fuel oil</v>
      </c>
    </row>
    <row r="4441" spans="1:9" x14ac:dyDescent="0.15">
      <c r="A4441" s="2">
        <v>501247</v>
      </c>
      <c r="B4441" s="2" t="s">
        <v>92</v>
      </c>
      <c r="C4441" s="2">
        <v>2019</v>
      </c>
      <c r="D4441" s="2" t="s">
        <v>1</v>
      </c>
      <c r="E4441" s="2" t="s">
        <v>29</v>
      </c>
      <c r="F4441" s="2" t="s">
        <v>36</v>
      </c>
      <c r="G4441" s="7">
        <v>-15.82</v>
      </c>
      <c r="H4441" s="13">
        <f>IFERROR(IF(ABS($G4441)&gt;0,VLOOKUP($E4441,'Fuel Category and Heat Rate'!$B$1:$G$34,6,FALSE)*($G4441),""),"")</f>
        <v>-53357060671243.141</v>
      </c>
      <c r="I4441" t="str">
        <f>IFERROR(VLOOKUP($E4441,'Fuel Category and Heat Rate'!$K$2:$M$36,3,FALSE),"")</f>
        <v>natural gas</v>
      </c>
    </row>
    <row r="4442" spans="1:9" x14ac:dyDescent="0.15">
      <c r="A4442" s="2">
        <v>501282</v>
      </c>
      <c r="B4442" s="2" t="s">
        <v>92</v>
      </c>
      <c r="C4442" s="2">
        <v>2019</v>
      </c>
      <c r="D4442" s="2" t="s">
        <v>1</v>
      </c>
      <c r="E4442" s="2" t="s">
        <v>4</v>
      </c>
      <c r="F4442" s="2" t="s">
        <v>35</v>
      </c>
      <c r="G4442" s="7"/>
      <c r="H4442" s="13" t="str">
        <f>IFERROR(IF(ABS($G4442)&gt;0,VLOOKUP($E4442,'Fuel Category and Heat Rate'!$B$1:$G$34,6,FALSE)*($G4442),""),"")</f>
        <v/>
      </c>
      <c r="I4442" t="str">
        <f>IFERROR(VLOOKUP($E4442,'Fuel Category and Heat Rate'!$K$2:$M$36,3,FALSE),"")</f>
        <v>coal</v>
      </c>
    </row>
    <row r="4443" spans="1:9" x14ac:dyDescent="0.15">
      <c r="A4443" s="2">
        <v>501317</v>
      </c>
      <c r="B4443" s="2" t="s">
        <v>92</v>
      </c>
      <c r="C4443" s="2">
        <v>2019</v>
      </c>
      <c r="D4443" s="2" t="s">
        <v>1</v>
      </c>
      <c r="E4443" s="2" t="s">
        <v>6</v>
      </c>
      <c r="F4443" s="2" t="s">
        <v>35</v>
      </c>
      <c r="G4443" s="7"/>
      <c r="H4443" s="13" t="str">
        <f>IFERROR(IF(ABS($G4443)&gt;0,VLOOKUP($E4443,'Fuel Category and Heat Rate'!$B$1:$G$34,6,FALSE)*($G4443),""),"")</f>
        <v/>
      </c>
      <c r="I4443" t="str">
        <f>IFERROR(VLOOKUP($E4443,'Fuel Category and Heat Rate'!$K$2:$M$36,3,FALSE),"")</f>
        <v>coal</v>
      </c>
    </row>
    <row r="4444" spans="1:9" x14ac:dyDescent="0.15">
      <c r="A4444" s="2">
        <v>501352</v>
      </c>
      <c r="B4444" s="2" t="s">
        <v>92</v>
      </c>
      <c r="C4444" s="2">
        <v>2019</v>
      </c>
      <c r="D4444" s="2" t="s">
        <v>1</v>
      </c>
      <c r="E4444" s="2" t="s">
        <v>26</v>
      </c>
      <c r="F4444" s="2" t="s">
        <v>35</v>
      </c>
      <c r="G4444" s="7"/>
      <c r="H4444" s="13" t="str">
        <f>IFERROR(IF(ABS($G4444)&gt;0,VLOOKUP($E4444,'Fuel Category and Heat Rate'!$B$1:$G$34,6,FALSE)*($G4444),""),"")</f>
        <v/>
      </c>
      <c r="I4444" t="str">
        <f>IFERROR(VLOOKUP($E4444,'Fuel Category and Heat Rate'!$K$2:$M$36,3,FALSE),"")</f>
        <v>LPG propane or butane</v>
      </c>
    </row>
    <row r="4445" spans="1:9" x14ac:dyDescent="0.15">
      <c r="A4445" s="2">
        <v>501387</v>
      </c>
      <c r="B4445" s="2" t="s">
        <v>92</v>
      </c>
      <c r="C4445" s="2">
        <v>2019</v>
      </c>
      <c r="D4445" s="2" t="s">
        <v>1</v>
      </c>
      <c r="E4445" s="2" t="s">
        <v>30</v>
      </c>
      <c r="F4445" s="2" t="s">
        <v>35</v>
      </c>
      <c r="G4445" s="7"/>
      <c r="H4445" s="13" t="str">
        <f>IFERROR(IF(ABS($G4445)&gt;0,VLOOKUP($E4445,'Fuel Category and Heat Rate'!$B$1:$G$34,6,FALSE)*($G4445),""),"")</f>
        <v/>
      </c>
      <c r="I4445" t="str">
        <f>IFERROR(VLOOKUP($E4445,'Fuel Category and Heat Rate'!$K$2:$M$36,3,FALSE),"")</f>
        <v>natural gas</v>
      </c>
    </row>
    <row r="4446" spans="1:9" x14ac:dyDescent="0.15">
      <c r="A4446" s="2">
        <v>501422</v>
      </c>
      <c r="B4446" s="2" t="s">
        <v>92</v>
      </c>
      <c r="C4446" s="2">
        <v>2019</v>
      </c>
      <c r="D4446" s="2" t="s">
        <v>1</v>
      </c>
      <c r="E4446" s="2" t="s">
        <v>14</v>
      </c>
      <c r="F4446" s="2" t="s">
        <v>35</v>
      </c>
      <c r="G4446" s="7">
        <v>-5.86</v>
      </c>
      <c r="H4446" s="13">
        <f>IFERROR(IF(ABS($G4446)&gt;0,VLOOKUP($E4446,'Fuel Category and Heat Rate'!$B$1:$G$34,6,FALSE)*($G4446),""),"")</f>
        <v>0</v>
      </c>
      <c r="I4446" t="str">
        <f>IFERROR(VLOOKUP($E4446,'Fuel Category and Heat Rate'!$K$2:$M$36,3,FALSE),"")</f>
        <v/>
      </c>
    </row>
    <row r="4447" spans="1:9" x14ac:dyDescent="0.15">
      <c r="A4447" s="2">
        <v>501457</v>
      </c>
      <c r="B4447" s="2" t="s">
        <v>92</v>
      </c>
      <c r="C4447" s="2">
        <v>2019</v>
      </c>
      <c r="D4447" s="2" t="s">
        <v>1</v>
      </c>
      <c r="E4447" s="2" t="s">
        <v>3</v>
      </c>
      <c r="F4447" s="2" t="s">
        <v>35</v>
      </c>
      <c r="G4447" s="7">
        <v>-2917.83</v>
      </c>
      <c r="H4447" s="13">
        <f>IFERROR(IF(ABS($G4447)&gt;0,VLOOKUP($E4447,'Fuel Category and Heat Rate'!$B$1:$G$34,6,FALSE)*($G4447),""),"")</f>
        <v>-578225215660384.25</v>
      </c>
      <c r="I4447" t="str">
        <f>IFERROR(VLOOKUP($E4447,'Fuel Category and Heat Rate'!$K$2:$M$36,3,FALSE),"")</f>
        <v>coal</v>
      </c>
    </row>
    <row r="4448" spans="1:9" x14ac:dyDescent="0.15">
      <c r="A4448" s="2">
        <v>501492</v>
      </c>
      <c r="B4448" s="2" t="s">
        <v>92</v>
      </c>
      <c r="C4448" s="2">
        <v>2019</v>
      </c>
      <c r="D4448" s="2" t="s">
        <v>1</v>
      </c>
      <c r="E4448" s="2" t="s">
        <v>15</v>
      </c>
      <c r="F4448" s="2" t="s">
        <v>35</v>
      </c>
      <c r="G4448" s="7"/>
      <c r="H4448" s="13" t="str">
        <f>IFERROR(IF(ABS($G4448)&gt;0,VLOOKUP($E4448,'Fuel Category and Heat Rate'!$B$1:$G$34,6,FALSE)*($G4448),""),"")</f>
        <v/>
      </c>
      <c r="I4448" t="str">
        <f>IFERROR(VLOOKUP($E4448,'Fuel Category and Heat Rate'!$K$2:$M$36,3,FALSE),"")</f>
        <v>crude oil</v>
      </c>
    </row>
    <row r="4449" spans="1:9" x14ac:dyDescent="0.15">
      <c r="A4449" s="2">
        <v>501527</v>
      </c>
      <c r="B4449" s="2" t="s">
        <v>92</v>
      </c>
      <c r="C4449" s="2">
        <v>2019</v>
      </c>
      <c r="D4449" s="2" t="s">
        <v>1</v>
      </c>
      <c r="E4449" s="2" t="s">
        <v>11</v>
      </c>
      <c r="F4449" s="2" t="s">
        <v>36</v>
      </c>
      <c r="G4449" s="7">
        <v>-14.63</v>
      </c>
      <c r="H4449" s="13">
        <f>IFERROR(IF(ABS($G4449)&gt;0,VLOOKUP($E4449,'Fuel Category and Heat Rate'!$B$1:$G$34,6,FALSE)*($G4449),""),"")</f>
        <v>-11016985498919.324</v>
      </c>
      <c r="I4449" t="str">
        <f>IFERROR(VLOOKUP($E4449,'Fuel Category and Heat Rate'!$K$2:$M$36,3,FALSE),"")</f>
        <v>LPG propane or butane</v>
      </c>
    </row>
    <row r="4450" spans="1:9" x14ac:dyDescent="0.15">
      <c r="A4450" s="2">
        <v>501562</v>
      </c>
      <c r="B4450" s="2" t="s">
        <v>92</v>
      </c>
      <c r="C4450" s="2">
        <v>2018</v>
      </c>
      <c r="D4450" s="2" t="s">
        <v>1</v>
      </c>
      <c r="E4450" s="2" t="s">
        <v>18</v>
      </c>
      <c r="F4450" s="2" t="s">
        <v>35</v>
      </c>
      <c r="G4450" s="7">
        <v>-0.02</v>
      </c>
      <c r="H4450" s="13">
        <f>IFERROR(IF(ABS($G4450)&gt;0,VLOOKUP($E4450,'Fuel Category and Heat Rate'!$B$1:$G$34,6,FALSE)*($G4450),""),"")</f>
        <v>-8085259183.1986904</v>
      </c>
      <c r="I4450" t="str">
        <f>IFERROR(VLOOKUP($E4450,'Fuel Category and Heat Rate'!$K$2:$M$36,3,FALSE),"")</f>
        <v>petroleum diesel</v>
      </c>
    </row>
    <row r="4451" spans="1:9" x14ac:dyDescent="0.15">
      <c r="A4451" s="2">
        <v>501597</v>
      </c>
      <c r="B4451" s="2" t="s">
        <v>92</v>
      </c>
      <c r="C4451" s="2">
        <v>2018</v>
      </c>
      <c r="D4451" s="2" t="s">
        <v>1</v>
      </c>
      <c r="E4451" s="2" t="s">
        <v>32</v>
      </c>
      <c r="F4451" s="2" t="s">
        <v>65</v>
      </c>
      <c r="G4451" s="7"/>
      <c r="H4451" s="13" t="str">
        <f>IFERROR(IF(ABS($G4451)&gt;0,VLOOKUP($E4451,'Fuel Category and Heat Rate'!$B$1:$G$34,6,FALSE)*($G4451),""),"")</f>
        <v/>
      </c>
      <c r="I4451" t="str">
        <f>IFERROR(VLOOKUP($E4451,'Fuel Category and Heat Rate'!$K$2:$M$36,3,FALSE),"")</f>
        <v>electricity</v>
      </c>
    </row>
    <row r="4452" spans="1:9" x14ac:dyDescent="0.15">
      <c r="A4452" s="2">
        <v>501632</v>
      </c>
      <c r="B4452" s="2" t="s">
        <v>92</v>
      </c>
      <c r="C4452" s="2">
        <v>2018</v>
      </c>
      <c r="D4452" s="2" t="s">
        <v>1</v>
      </c>
      <c r="E4452" s="2" t="s">
        <v>10</v>
      </c>
      <c r="F4452" s="2" t="s">
        <v>36</v>
      </c>
      <c r="G4452" s="7">
        <v>-18.739999999999998</v>
      </c>
      <c r="H4452" s="13">
        <f>IFERROR(IF(ABS($G4452)&gt;0,VLOOKUP($E4452,'Fuel Category and Heat Rate'!$B$1:$G$34,6,FALSE)*($G4452),""),"")</f>
        <v>-6683875550284.8496</v>
      </c>
      <c r="I4452" t="str">
        <f>IFERROR(VLOOKUP($E4452,'Fuel Category and Heat Rate'!$K$2:$M$36,3,FALSE),"")</f>
        <v>LPG propane or butane</v>
      </c>
    </row>
    <row r="4453" spans="1:9" x14ac:dyDescent="0.15">
      <c r="A4453" s="2">
        <v>501667</v>
      </c>
      <c r="B4453" s="2" t="s">
        <v>92</v>
      </c>
      <c r="C4453" s="2">
        <v>2018</v>
      </c>
      <c r="D4453" s="2" t="s">
        <v>1</v>
      </c>
      <c r="E4453" s="2" t="s">
        <v>9</v>
      </c>
      <c r="F4453" s="2" t="s">
        <v>36</v>
      </c>
      <c r="G4453" s="7">
        <v>-2.42</v>
      </c>
      <c r="H4453" s="13">
        <f>IFERROR(IF(ABS($G4453)&gt;0,VLOOKUP($E4453,'Fuel Category and Heat Rate'!$B$1:$G$34,6,FALSE)*($G4453),""),"")</f>
        <v>-3980402554044.8877</v>
      </c>
      <c r="I4453" t="str">
        <f>IFERROR(VLOOKUP($E4453,'Fuel Category and Heat Rate'!$K$2:$M$36,3,FALSE),"")</f>
        <v>LPG propane or butane</v>
      </c>
    </row>
    <row r="4454" spans="1:9" x14ac:dyDescent="0.15">
      <c r="A4454" s="2">
        <v>501702</v>
      </c>
      <c r="B4454" s="2" t="s">
        <v>92</v>
      </c>
      <c r="C4454" s="2">
        <v>2018</v>
      </c>
      <c r="D4454" s="2" t="s">
        <v>1</v>
      </c>
      <c r="E4454" s="2" t="s">
        <v>8</v>
      </c>
      <c r="F4454" s="2" t="s">
        <v>35</v>
      </c>
      <c r="G4454" s="7"/>
      <c r="H4454" s="13" t="str">
        <f>IFERROR(IF(ABS($G4454)&gt;0,VLOOKUP($E4454,'Fuel Category and Heat Rate'!$B$1:$G$34,6,FALSE)*($G4454),""),"")</f>
        <v/>
      </c>
      <c r="I4454" t="str">
        <f>IFERROR(VLOOKUP($E4454,'Fuel Category and Heat Rate'!$K$2:$M$36,3,FALSE),"")</f>
        <v>coal</v>
      </c>
    </row>
    <row r="4455" spans="1:9" x14ac:dyDescent="0.15">
      <c r="A4455" s="2">
        <v>501737</v>
      </c>
      <c r="B4455" s="2" t="s">
        <v>92</v>
      </c>
      <c r="C4455" s="2">
        <v>2018</v>
      </c>
      <c r="D4455" s="2" t="s">
        <v>1</v>
      </c>
      <c r="E4455" s="2" t="s">
        <v>27</v>
      </c>
      <c r="F4455" s="2" t="s">
        <v>35</v>
      </c>
      <c r="G4455" s="7">
        <v>-6.83</v>
      </c>
      <c r="H4455" s="13">
        <f>IFERROR(IF(ABS($G4455)&gt;0,VLOOKUP($E4455,'Fuel Category and Heat Rate'!$B$1:$G$34,6,FALSE)*($G4455),""),"")</f>
        <v>-2977722364176.2661</v>
      </c>
      <c r="I4455" t="str">
        <f>IFERROR(VLOOKUP($E4455,'Fuel Category and Heat Rate'!$K$2:$M$36,3,FALSE),"")</f>
        <v>LPG propane or butane</v>
      </c>
    </row>
    <row r="4456" spans="1:9" x14ac:dyDescent="0.15">
      <c r="A4456" s="2">
        <v>501772</v>
      </c>
      <c r="B4456" s="2" t="s">
        <v>92</v>
      </c>
      <c r="C4456" s="2">
        <v>2018</v>
      </c>
      <c r="D4456" s="2" t="s">
        <v>1</v>
      </c>
      <c r="E4456" s="2" t="s">
        <v>7</v>
      </c>
      <c r="F4456" s="2" t="s">
        <v>35</v>
      </c>
      <c r="G4456" s="7">
        <v>-10.96</v>
      </c>
      <c r="H4456" s="13">
        <f>IFERROR(IF(ABS($G4456)&gt;0,VLOOKUP($E4456,'Fuel Category and Heat Rate'!$B$1:$G$34,6,FALSE)*($G4456),""),"")</f>
        <v>-869897456139.40735</v>
      </c>
      <c r="I4456" t="str">
        <f>IFERROR(VLOOKUP($E4456,'Fuel Category and Heat Rate'!$K$2:$M$36,3,FALSE),"")</f>
        <v>coal</v>
      </c>
    </row>
    <row r="4457" spans="1:9" x14ac:dyDescent="0.15">
      <c r="A4457" s="2">
        <v>501807</v>
      </c>
      <c r="B4457" s="2" t="s">
        <v>92</v>
      </c>
      <c r="C4457" s="2">
        <v>2018</v>
      </c>
      <c r="D4457" s="2" t="s">
        <v>1</v>
      </c>
      <c r="E4457" s="2" t="s">
        <v>2</v>
      </c>
      <c r="F4457" s="2" t="s">
        <v>35</v>
      </c>
      <c r="G4457" s="7">
        <v>-2589.33</v>
      </c>
      <c r="H4457" s="13">
        <f>IFERROR(IF(ABS($G4457)&gt;0,VLOOKUP($E4457,'Fuel Category and Heat Rate'!$B$1:$G$34,6,FALSE)*($G4457),""),"")</f>
        <v>0</v>
      </c>
      <c r="I4457" t="str">
        <f>IFERROR(VLOOKUP($E4457,'Fuel Category and Heat Rate'!$K$2:$M$36,3,FALSE),"")</f>
        <v/>
      </c>
    </row>
    <row r="4458" spans="1:9" x14ac:dyDescent="0.15">
      <c r="A4458" s="2">
        <v>501842</v>
      </c>
      <c r="B4458" s="2" t="s">
        <v>92</v>
      </c>
      <c r="C4458" s="2">
        <v>2018</v>
      </c>
      <c r="D4458" s="2" t="s">
        <v>1</v>
      </c>
      <c r="E4458" s="2" t="s">
        <v>17</v>
      </c>
      <c r="F4458" s="2" t="s">
        <v>35</v>
      </c>
      <c r="G4458" s="7"/>
      <c r="H4458" s="13" t="str">
        <f>IFERROR(IF(ABS($G4458)&gt;0,VLOOKUP($E4458,'Fuel Category and Heat Rate'!$B$1:$G$34,6,FALSE)*($G4458),""),"")</f>
        <v/>
      </c>
      <c r="I4458" t="str">
        <f>IFERROR(VLOOKUP($E4458,'Fuel Category and Heat Rate'!$K$2:$M$36,3,FALSE),"")</f>
        <v>petroleum diesel</v>
      </c>
    </row>
    <row r="4459" spans="1:9" x14ac:dyDescent="0.15">
      <c r="A4459" s="2">
        <v>501877</v>
      </c>
      <c r="B4459" s="2" t="s">
        <v>92</v>
      </c>
      <c r="C4459" s="2">
        <v>2018</v>
      </c>
      <c r="D4459" s="2" t="s">
        <v>1</v>
      </c>
      <c r="E4459" s="2" t="s">
        <v>13</v>
      </c>
      <c r="F4459" s="2" t="s">
        <v>35</v>
      </c>
      <c r="G4459" s="7"/>
      <c r="H4459" s="13" t="str">
        <f>IFERROR(IF(ABS($G4459)&gt;0,VLOOKUP($E4459,'Fuel Category and Heat Rate'!$B$1:$G$34,6,FALSE)*($G4459),""),"")</f>
        <v/>
      </c>
      <c r="I4459" t="str">
        <f>IFERROR(VLOOKUP($E4459,'Fuel Category and Heat Rate'!$K$2:$M$36,3,FALSE),"")</f>
        <v>petroleum diesel</v>
      </c>
    </row>
    <row r="4460" spans="1:9" x14ac:dyDescent="0.15">
      <c r="A4460" s="2">
        <v>501912</v>
      </c>
      <c r="B4460" s="2" t="s">
        <v>92</v>
      </c>
      <c r="C4460" s="2">
        <v>2018</v>
      </c>
      <c r="D4460" s="2" t="s">
        <v>1</v>
      </c>
      <c r="E4460" s="2" t="s">
        <v>12</v>
      </c>
      <c r="F4460" s="2" t="s">
        <v>36</v>
      </c>
      <c r="G4460" s="7"/>
      <c r="H4460" s="13" t="str">
        <f>IFERROR(IF(ABS($G4460)&gt;0,VLOOKUP($E4460,'Fuel Category and Heat Rate'!$B$1:$G$34,6,FALSE)*($G4460),""),"")</f>
        <v/>
      </c>
      <c r="I4460" t="str">
        <f>IFERROR(VLOOKUP($E4460,'Fuel Category and Heat Rate'!$K$2:$M$36,3,FALSE),"")</f>
        <v>LPG propane or butane</v>
      </c>
    </row>
    <row r="4461" spans="1:9" x14ac:dyDescent="0.15">
      <c r="A4461" s="2">
        <v>501947</v>
      </c>
      <c r="B4461" s="2" t="s">
        <v>92</v>
      </c>
      <c r="C4461" s="2">
        <v>2018</v>
      </c>
      <c r="D4461" s="2" t="s">
        <v>1</v>
      </c>
      <c r="E4461" s="2" t="s">
        <v>33</v>
      </c>
      <c r="F4461" s="2" t="s">
        <v>38</v>
      </c>
      <c r="G4461" s="7"/>
      <c r="H4461" s="13" t="str">
        <f>IFERROR(IF(ABS($G4461)&gt;0,VLOOKUP($E4461,'Fuel Category and Heat Rate'!$B$1:$G$34,6,FALSE)*($G4461),""),"")</f>
        <v/>
      </c>
      <c r="I4461" t="str">
        <f>IFERROR(VLOOKUP($E4461,'Fuel Category and Heat Rate'!$K$2:$M$36,3,FALSE),"")</f>
        <v>biomass</v>
      </c>
    </row>
    <row r="4462" spans="1:9" x14ac:dyDescent="0.15">
      <c r="A4462" s="2">
        <v>501982</v>
      </c>
      <c r="B4462" s="2" t="s">
        <v>92</v>
      </c>
      <c r="C4462" s="2">
        <v>2018</v>
      </c>
      <c r="D4462" s="2" t="s">
        <v>1</v>
      </c>
      <c r="E4462" s="2" t="s">
        <v>28</v>
      </c>
      <c r="F4462" s="2" t="s">
        <v>35</v>
      </c>
      <c r="G4462" s="7">
        <v>-0.41</v>
      </c>
      <c r="H4462" s="13">
        <f>IFERROR(IF(ABS($G4462)&gt;0,VLOOKUP($E4462,'Fuel Category and Heat Rate'!$B$1:$G$34,6,FALSE)*($G4462),""),"")</f>
        <v>-159250337316.26624</v>
      </c>
      <c r="I4462" t="str">
        <f>IFERROR(VLOOKUP($E4462,'Fuel Category and Heat Rate'!$K$2:$M$36,3,FALSE),"")</f>
        <v>heavy or residual fuel oil</v>
      </c>
    </row>
    <row r="4463" spans="1:9" x14ac:dyDescent="0.15">
      <c r="A4463" s="2">
        <v>502017</v>
      </c>
      <c r="B4463" s="2" t="s">
        <v>92</v>
      </c>
      <c r="C4463" s="2">
        <v>2018</v>
      </c>
      <c r="D4463" s="2" t="s">
        <v>1</v>
      </c>
      <c r="E4463" s="2" t="s">
        <v>5</v>
      </c>
      <c r="F4463" s="2" t="s">
        <v>35</v>
      </c>
      <c r="G4463" s="7">
        <v>-3.7</v>
      </c>
      <c r="H4463" s="13">
        <f>IFERROR(IF(ABS($G4463)&gt;0,VLOOKUP($E4463,'Fuel Category and Heat Rate'!$B$1:$G$34,6,FALSE)*($G4463),""),"")</f>
        <v>-293284000083.97662</v>
      </c>
      <c r="I4463" t="str">
        <f>IFERROR(VLOOKUP($E4463,'Fuel Category and Heat Rate'!$K$2:$M$36,3,FALSE),"")</f>
        <v>coal</v>
      </c>
    </row>
    <row r="4464" spans="1:9" x14ac:dyDescent="0.15">
      <c r="A4464" s="2">
        <v>502052</v>
      </c>
      <c r="B4464" s="2" t="s">
        <v>92</v>
      </c>
      <c r="C4464" s="2">
        <v>2018</v>
      </c>
      <c r="D4464" s="2" t="s">
        <v>1</v>
      </c>
      <c r="E4464" s="2" t="s">
        <v>16</v>
      </c>
      <c r="F4464" s="2" t="s">
        <v>35</v>
      </c>
      <c r="G4464" s="7">
        <v>-0.01</v>
      </c>
      <c r="H4464" s="13">
        <f>IFERROR(IF(ABS($G4464)&gt;0,VLOOKUP($E4464,'Fuel Category and Heat Rate'!$B$1:$G$34,6,FALSE)*($G4464),""),"")</f>
        <v>-4082248347.326827</v>
      </c>
      <c r="I4464" t="str">
        <f>IFERROR(VLOOKUP($E4464,'Fuel Category and Heat Rate'!$K$2:$M$36,3,FALSE),"")</f>
        <v>petroleum diesel</v>
      </c>
    </row>
    <row r="4465" spans="1:9" x14ac:dyDescent="0.15">
      <c r="A4465" s="2">
        <v>502087</v>
      </c>
      <c r="B4465" s="2" t="s">
        <v>92</v>
      </c>
      <c r="C4465" s="2">
        <v>2018</v>
      </c>
      <c r="D4465" s="2" t="s">
        <v>1</v>
      </c>
      <c r="E4465" s="2" t="s">
        <v>19</v>
      </c>
      <c r="F4465" s="2" t="s">
        <v>35</v>
      </c>
      <c r="G4465" s="7">
        <v>-0.04</v>
      </c>
      <c r="H4465" s="13">
        <f>IFERROR(IF(ABS($G4465)&gt;0,VLOOKUP($E4465,'Fuel Category and Heat Rate'!$B$1:$G$34,6,FALSE)*($G4465),""),"")</f>
        <v>-15853568320.577532</v>
      </c>
      <c r="I4465" t="str">
        <f>IFERROR(VLOOKUP($E4465,'Fuel Category and Heat Rate'!$K$2:$M$36,3,FALSE),"")</f>
        <v>heavy or residual fuel oil</v>
      </c>
    </row>
    <row r="4466" spans="1:9" x14ac:dyDescent="0.15">
      <c r="A4466" s="2">
        <v>502122</v>
      </c>
      <c r="B4466" s="2" t="s">
        <v>92</v>
      </c>
      <c r="C4466" s="2">
        <v>2018</v>
      </c>
      <c r="D4466" s="2" t="s">
        <v>1</v>
      </c>
      <c r="E4466" s="2" t="s">
        <v>31</v>
      </c>
      <c r="F4466" s="2" t="s">
        <v>37</v>
      </c>
      <c r="G4466" s="7">
        <v>48728.67</v>
      </c>
      <c r="H4466" s="13">
        <f>IFERROR(IF(ABS($G4466)&gt;0,VLOOKUP($E4466,'Fuel Category and Heat Rate'!$B$1:$G$34,6,FALSE)*($G4466),""),"")</f>
        <v>461858677907904.13</v>
      </c>
      <c r="I4466" t="str">
        <f>IFERROR(VLOOKUP($E4466,'Fuel Category and Heat Rate'!$K$2:$M$36,3,FALSE),"")</f>
        <v>heat</v>
      </c>
    </row>
    <row r="4467" spans="1:9" x14ac:dyDescent="0.15">
      <c r="A4467" s="2">
        <v>502157</v>
      </c>
      <c r="B4467" s="2" t="s">
        <v>92</v>
      </c>
      <c r="C4467" s="2">
        <v>2018</v>
      </c>
      <c r="D4467" s="2" t="s">
        <v>1</v>
      </c>
      <c r="E4467" s="2" t="s">
        <v>23</v>
      </c>
      <c r="F4467" s="2" t="s">
        <v>35</v>
      </c>
      <c r="G4467" s="7"/>
      <c r="H4467" s="13" t="str">
        <f>IFERROR(IF(ABS($G4467)&gt;0,VLOOKUP($E4467,'Fuel Category and Heat Rate'!$B$1:$G$34,6,FALSE)*($G4467),""),"")</f>
        <v/>
      </c>
      <c r="I4467" t="str">
        <f>IFERROR(VLOOKUP($E4467,'Fuel Category and Heat Rate'!$K$2:$M$36,3,FALSE),"")</f>
        <v>heavy or residual fuel oil</v>
      </c>
    </row>
    <row r="4468" spans="1:9" x14ac:dyDescent="0.15">
      <c r="A4468" s="2">
        <v>502192</v>
      </c>
      <c r="B4468" s="2" t="s">
        <v>92</v>
      </c>
      <c r="C4468" s="2">
        <v>2018</v>
      </c>
      <c r="D4468" s="2" t="s">
        <v>1</v>
      </c>
      <c r="E4468" s="2" t="s">
        <v>21</v>
      </c>
      <c r="F4468" s="2" t="s">
        <v>35</v>
      </c>
      <c r="G4468" s="7"/>
      <c r="H4468" s="13" t="str">
        <f>IFERROR(IF(ABS($G4468)&gt;0,VLOOKUP($E4468,'Fuel Category and Heat Rate'!$B$1:$G$34,6,FALSE)*($G4468),""),"")</f>
        <v/>
      </c>
      <c r="I4468" t="str">
        <f>IFERROR(VLOOKUP($E4468,'Fuel Category and Heat Rate'!$K$2:$M$36,3,FALSE),"")</f>
        <v>LPG propane or butane</v>
      </c>
    </row>
    <row r="4469" spans="1:9" x14ac:dyDescent="0.15">
      <c r="A4469" s="2">
        <v>502227</v>
      </c>
      <c r="B4469" s="2" t="s">
        <v>92</v>
      </c>
      <c r="C4469" s="2">
        <v>2018</v>
      </c>
      <c r="D4469" s="2" t="s">
        <v>1</v>
      </c>
      <c r="E4469" s="2" t="s">
        <v>22</v>
      </c>
      <c r="F4469" s="2" t="s">
        <v>35</v>
      </c>
      <c r="G4469" s="7"/>
      <c r="H4469" s="13" t="str">
        <f>IFERROR(IF(ABS($G4469)&gt;0,VLOOKUP($E4469,'Fuel Category and Heat Rate'!$B$1:$G$34,6,FALSE)*($G4469),""),"")</f>
        <v/>
      </c>
      <c r="I4469" t="str">
        <f>IFERROR(VLOOKUP($E4469,'Fuel Category and Heat Rate'!$K$2:$M$36,3,FALSE),"")</f>
        <v>heavy fuel oil</v>
      </c>
    </row>
    <row r="4470" spans="1:9" x14ac:dyDescent="0.15">
      <c r="A4470" s="2">
        <v>502262</v>
      </c>
      <c r="B4470" s="2" t="s">
        <v>92</v>
      </c>
      <c r="C4470" s="2">
        <v>2018</v>
      </c>
      <c r="D4470" s="2" t="s">
        <v>1</v>
      </c>
      <c r="E4470" s="2" t="s">
        <v>20</v>
      </c>
      <c r="F4470" s="2" t="s">
        <v>35</v>
      </c>
      <c r="G4470" s="7"/>
      <c r="H4470" s="13" t="str">
        <f>IFERROR(IF(ABS($G4470)&gt;0,VLOOKUP($E4470,'Fuel Category and Heat Rate'!$B$1:$G$34,6,FALSE)*($G4470),""),"")</f>
        <v/>
      </c>
      <c r="I4470" t="str">
        <f>IFERROR(VLOOKUP($E4470,'Fuel Category and Heat Rate'!$K$2:$M$36,3,FALSE),"")</f>
        <v>LPG propane or butane</v>
      </c>
    </row>
    <row r="4471" spans="1:9" x14ac:dyDescent="0.15">
      <c r="A4471" s="2">
        <v>502297</v>
      </c>
      <c r="B4471" s="2" t="s">
        <v>92</v>
      </c>
      <c r="C4471" s="2">
        <v>2018</v>
      </c>
      <c r="D4471" s="2" t="s">
        <v>1</v>
      </c>
      <c r="E4471" s="2" t="s">
        <v>25</v>
      </c>
      <c r="F4471" s="2" t="s">
        <v>35</v>
      </c>
      <c r="G4471" s="7"/>
      <c r="H4471" s="13" t="str">
        <f>IFERROR(IF(ABS($G4471)&gt;0,VLOOKUP($E4471,'Fuel Category and Heat Rate'!$B$1:$G$34,6,FALSE)*($G4471),""),"")</f>
        <v/>
      </c>
      <c r="I4471" t="str">
        <f>IFERROR(VLOOKUP($E4471,'Fuel Category and Heat Rate'!$K$2:$M$36,3,FALSE),"")</f>
        <v>heavy fuel oil</v>
      </c>
    </row>
    <row r="4472" spans="1:9" x14ac:dyDescent="0.15">
      <c r="A4472" s="2">
        <v>502332</v>
      </c>
      <c r="B4472" s="2" t="s">
        <v>92</v>
      </c>
      <c r="C4472" s="2">
        <v>2018</v>
      </c>
      <c r="D4472" s="2" t="s">
        <v>1</v>
      </c>
      <c r="E4472" s="2" t="s">
        <v>24</v>
      </c>
      <c r="F4472" s="2" t="s">
        <v>35</v>
      </c>
      <c r="G4472" s="7"/>
      <c r="H4472" s="13" t="str">
        <f>IFERROR(IF(ABS($G4472)&gt;0,VLOOKUP($E4472,'Fuel Category and Heat Rate'!$B$1:$G$34,6,FALSE)*($G4472),""),"")</f>
        <v/>
      </c>
      <c r="I4472" t="str">
        <f>IFERROR(VLOOKUP($E4472,'Fuel Category and Heat Rate'!$K$2:$M$36,3,FALSE),"")</f>
        <v>heavy fuel oil</v>
      </c>
    </row>
    <row r="4473" spans="1:9" x14ac:dyDescent="0.15">
      <c r="A4473" s="2">
        <v>502367</v>
      </c>
      <c r="B4473" s="2" t="s">
        <v>92</v>
      </c>
      <c r="C4473" s="2">
        <v>2018</v>
      </c>
      <c r="D4473" s="2" t="s">
        <v>1</v>
      </c>
      <c r="E4473" s="2" t="s">
        <v>29</v>
      </c>
      <c r="F4473" s="2" t="s">
        <v>36</v>
      </c>
      <c r="G4473" s="7">
        <v>-18.010000000000002</v>
      </c>
      <c r="H4473" s="13">
        <f>IFERROR(IF(ABS($G4473)&gt;0,VLOOKUP($E4473,'Fuel Category and Heat Rate'!$B$1:$G$34,6,FALSE)*($G4473),""),"")</f>
        <v>-60743404721181.352</v>
      </c>
      <c r="I4473" t="str">
        <f>IFERROR(VLOOKUP($E4473,'Fuel Category and Heat Rate'!$K$2:$M$36,3,FALSE),"")</f>
        <v>natural gas</v>
      </c>
    </row>
    <row r="4474" spans="1:9" x14ac:dyDescent="0.15">
      <c r="A4474" s="2">
        <v>502402</v>
      </c>
      <c r="B4474" s="2" t="s">
        <v>92</v>
      </c>
      <c r="C4474" s="2">
        <v>2018</v>
      </c>
      <c r="D4474" s="2" t="s">
        <v>1</v>
      </c>
      <c r="E4474" s="2" t="s">
        <v>4</v>
      </c>
      <c r="F4474" s="2" t="s">
        <v>35</v>
      </c>
      <c r="G4474" s="7"/>
      <c r="H4474" s="13" t="str">
        <f>IFERROR(IF(ABS($G4474)&gt;0,VLOOKUP($E4474,'Fuel Category and Heat Rate'!$B$1:$G$34,6,FALSE)*($G4474),""),"")</f>
        <v/>
      </c>
      <c r="I4474" t="str">
        <f>IFERROR(VLOOKUP($E4474,'Fuel Category and Heat Rate'!$K$2:$M$36,3,FALSE),"")</f>
        <v>coal</v>
      </c>
    </row>
    <row r="4475" spans="1:9" x14ac:dyDescent="0.15">
      <c r="A4475" s="2">
        <v>502437</v>
      </c>
      <c r="B4475" s="2" t="s">
        <v>92</v>
      </c>
      <c r="C4475" s="2">
        <v>2018</v>
      </c>
      <c r="D4475" s="2" t="s">
        <v>1</v>
      </c>
      <c r="E4475" s="2" t="s">
        <v>6</v>
      </c>
      <c r="F4475" s="2" t="s">
        <v>35</v>
      </c>
      <c r="G4475" s="7"/>
      <c r="H4475" s="13" t="str">
        <f>IFERROR(IF(ABS($G4475)&gt;0,VLOOKUP($E4475,'Fuel Category and Heat Rate'!$B$1:$G$34,6,FALSE)*($G4475),""),"")</f>
        <v/>
      </c>
      <c r="I4475" t="str">
        <f>IFERROR(VLOOKUP($E4475,'Fuel Category and Heat Rate'!$K$2:$M$36,3,FALSE),"")</f>
        <v>coal</v>
      </c>
    </row>
    <row r="4476" spans="1:9" x14ac:dyDescent="0.15">
      <c r="A4476" s="2">
        <v>502472</v>
      </c>
      <c r="B4476" s="2" t="s">
        <v>92</v>
      </c>
      <c r="C4476" s="2">
        <v>2018</v>
      </c>
      <c r="D4476" s="2" t="s">
        <v>1</v>
      </c>
      <c r="E4476" s="2" t="s">
        <v>26</v>
      </c>
      <c r="F4476" s="2" t="s">
        <v>35</v>
      </c>
      <c r="G4476" s="7"/>
      <c r="H4476" s="13" t="str">
        <f>IFERROR(IF(ABS($G4476)&gt;0,VLOOKUP($E4476,'Fuel Category and Heat Rate'!$B$1:$G$34,6,FALSE)*($G4476),""),"")</f>
        <v/>
      </c>
      <c r="I4476" t="str">
        <f>IFERROR(VLOOKUP($E4476,'Fuel Category and Heat Rate'!$K$2:$M$36,3,FALSE),"")</f>
        <v>LPG propane or butane</v>
      </c>
    </row>
    <row r="4477" spans="1:9" x14ac:dyDescent="0.15">
      <c r="A4477" s="2">
        <v>502507</v>
      </c>
      <c r="B4477" s="2" t="s">
        <v>92</v>
      </c>
      <c r="C4477" s="2">
        <v>2018</v>
      </c>
      <c r="D4477" s="2" t="s">
        <v>1</v>
      </c>
      <c r="E4477" s="2" t="s">
        <v>30</v>
      </c>
      <c r="F4477" s="2" t="s">
        <v>35</v>
      </c>
      <c r="G4477" s="7"/>
      <c r="H4477" s="13" t="str">
        <f>IFERROR(IF(ABS($G4477)&gt;0,VLOOKUP($E4477,'Fuel Category and Heat Rate'!$B$1:$G$34,6,FALSE)*($G4477),""),"")</f>
        <v/>
      </c>
      <c r="I4477" t="str">
        <f>IFERROR(VLOOKUP($E4477,'Fuel Category and Heat Rate'!$K$2:$M$36,3,FALSE),"")</f>
        <v>natural gas</v>
      </c>
    </row>
    <row r="4478" spans="1:9" x14ac:dyDescent="0.15">
      <c r="A4478" s="2">
        <v>502542</v>
      </c>
      <c r="B4478" s="2" t="s">
        <v>92</v>
      </c>
      <c r="C4478" s="2">
        <v>2018</v>
      </c>
      <c r="D4478" s="2" t="s">
        <v>1</v>
      </c>
      <c r="E4478" s="2" t="s">
        <v>14</v>
      </c>
      <c r="F4478" s="2" t="s">
        <v>35</v>
      </c>
      <c r="G4478" s="7">
        <v>-7.31</v>
      </c>
      <c r="H4478" s="13">
        <f>IFERROR(IF(ABS($G4478)&gt;0,VLOOKUP($E4478,'Fuel Category and Heat Rate'!$B$1:$G$34,6,FALSE)*($G4478),""),"")</f>
        <v>0</v>
      </c>
      <c r="I4478" t="str">
        <f>IFERROR(VLOOKUP($E4478,'Fuel Category and Heat Rate'!$K$2:$M$36,3,FALSE),"")</f>
        <v/>
      </c>
    </row>
    <row r="4479" spans="1:9" x14ac:dyDescent="0.15">
      <c r="A4479" s="2">
        <v>502577</v>
      </c>
      <c r="B4479" s="2" t="s">
        <v>92</v>
      </c>
      <c r="C4479" s="2">
        <v>2018</v>
      </c>
      <c r="D4479" s="2" t="s">
        <v>1</v>
      </c>
      <c r="E4479" s="2" t="s">
        <v>3</v>
      </c>
      <c r="F4479" s="2" t="s">
        <v>35</v>
      </c>
      <c r="G4479" s="7">
        <v>-2585.63</v>
      </c>
      <c r="H4479" s="13">
        <f>IFERROR(IF(ABS($G4479)&gt;0,VLOOKUP($E4479,'Fuel Category and Heat Rate'!$B$1:$G$34,6,FALSE)*($G4479),""),"")</f>
        <v>-512393273209186.06</v>
      </c>
      <c r="I4479" t="str">
        <f>IFERROR(VLOOKUP($E4479,'Fuel Category and Heat Rate'!$K$2:$M$36,3,FALSE),"")</f>
        <v>coal</v>
      </c>
    </row>
    <row r="4480" spans="1:9" x14ac:dyDescent="0.15">
      <c r="A4480" s="2">
        <v>502612</v>
      </c>
      <c r="B4480" s="2" t="s">
        <v>92</v>
      </c>
      <c r="C4480" s="2">
        <v>2018</v>
      </c>
      <c r="D4480" s="2" t="s">
        <v>1</v>
      </c>
      <c r="E4480" s="2" t="s">
        <v>15</v>
      </c>
      <c r="F4480" s="2" t="s">
        <v>35</v>
      </c>
      <c r="G4480" s="7"/>
      <c r="H4480" s="13" t="str">
        <f>IFERROR(IF(ABS($G4480)&gt;0,VLOOKUP($E4480,'Fuel Category and Heat Rate'!$B$1:$G$34,6,FALSE)*($G4480),""),"")</f>
        <v/>
      </c>
      <c r="I4480" t="str">
        <f>IFERROR(VLOOKUP($E4480,'Fuel Category and Heat Rate'!$K$2:$M$36,3,FALSE),"")</f>
        <v>crude oil</v>
      </c>
    </row>
    <row r="4481" spans="1:9" x14ac:dyDescent="0.15">
      <c r="A4481" s="2">
        <v>502647</v>
      </c>
      <c r="B4481" s="2" t="s">
        <v>92</v>
      </c>
      <c r="C4481" s="2">
        <v>2018</v>
      </c>
      <c r="D4481" s="2" t="s">
        <v>1</v>
      </c>
      <c r="E4481" s="2" t="s">
        <v>11</v>
      </c>
      <c r="F4481" s="2" t="s">
        <v>36</v>
      </c>
      <c r="G4481" s="7">
        <v>-9.86</v>
      </c>
      <c r="H4481" s="13">
        <f>IFERROR(IF(ABS($G4481)&gt;0,VLOOKUP($E4481,'Fuel Category and Heat Rate'!$B$1:$G$34,6,FALSE)*($G4481),""),"")</f>
        <v>-7424981341035.1689</v>
      </c>
      <c r="I4481" t="str">
        <f>IFERROR(VLOOKUP($E4481,'Fuel Category and Heat Rate'!$K$2:$M$36,3,FALSE),"")</f>
        <v>LPG propane or butane</v>
      </c>
    </row>
    <row r="4482" spans="1:9" x14ac:dyDescent="0.15">
      <c r="A4482" s="2">
        <v>515492</v>
      </c>
      <c r="B4482" s="2" t="s">
        <v>93</v>
      </c>
      <c r="C4482" s="2">
        <v>2022</v>
      </c>
      <c r="D4482" s="2" t="s">
        <v>1</v>
      </c>
      <c r="E4482" s="2" t="s">
        <v>18</v>
      </c>
      <c r="F4482" s="2" t="s">
        <v>35</v>
      </c>
      <c r="G4482" s="7">
        <v>-0.08</v>
      </c>
      <c r="H4482" s="13">
        <f>IFERROR(IF(ABS($G4482)&gt;0,VLOOKUP($E4482,'Fuel Category and Heat Rate'!$B$1:$G$34,6,FALSE)*($G4482),""),"")</f>
        <v>-32341036732.794762</v>
      </c>
      <c r="I4482" t="str">
        <f>IFERROR(VLOOKUP($E4482,'Fuel Category and Heat Rate'!$K$2:$M$36,3,FALSE),"")</f>
        <v>petroleum diesel</v>
      </c>
    </row>
    <row r="4483" spans="1:9" x14ac:dyDescent="0.15">
      <c r="A4483" s="2">
        <v>515527</v>
      </c>
      <c r="B4483" s="2" t="s">
        <v>93</v>
      </c>
      <c r="C4483" s="2">
        <v>2022</v>
      </c>
      <c r="D4483" s="2" t="s">
        <v>1</v>
      </c>
      <c r="E4483" s="2" t="s">
        <v>32</v>
      </c>
      <c r="F4483" s="2" t="s">
        <v>65</v>
      </c>
      <c r="G4483" s="7"/>
      <c r="H4483" s="13" t="str">
        <f>IFERROR(IF(ABS($G4483)&gt;0,VLOOKUP($E4483,'Fuel Category and Heat Rate'!$B$1:$G$34,6,FALSE)*($G4483),""),"")</f>
        <v/>
      </c>
      <c r="I4483" t="str">
        <f>IFERROR(VLOOKUP($E4483,'Fuel Category and Heat Rate'!$K$2:$M$36,3,FALSE),"")</f>
        <v>electricity</v>
      </c>
    </row>
    <row r="4484" spans="1:9" x14ac:dyDescent="0.15">
      <c r="A4484" s="2">
        <v>515562</v>
      </c>
      <c r="B4484" s="2" t="s">
        <v>93</v>
      </c>
      <c r="C4484" s="2">
        <v>2022</v>
      </c>
      <c r="D4484" s="2" t="s">
        <v>1</v>
      </c>
      <c r="E4484" s="2" t="s">
        <v>10</v>
      </c>
      <c r="F4484" s="2" t="s">
        <v>36</v>
      </c>
      <c r="G4484" s="7"/>
      <c r="H4484" s="13" t="str">
        <f>IFERROR(IF(ABS($G4484)&gt;0,VLOOKUP($E4484,'Fuel Category and Heat Rate'!$B$1:$G$34,6,FALSE)*($G4484),""),"")</f>
        <v/>
      </c>
      <c r="I4484" t="str">
        <f>IFERROR(VLOOKUP($E4484,'Fuel Category and Heat Rate'!$K$2:$M$36,3,FALSE),"")</f>
        <v>LPG propane or butane</v>
      </c>
    </row>
    <row r="4485" spans="1:9" x14ac:dyDescent="0.15">
      <c r="A4485" s="2">
        <v>515597</v>
      </c>
      <c r="B4485" s="2" t="s">
        <v>93</v>
      </c>
      <c r="C4485" s="2">
        <v>2022</v>
      </c>
      <c r="D4485" s="2" t="s">
        <v>1</v>
      </c>
      <c r="E4485" s="2" t="s">
        <v>9</v>
      </c>
      <c r="F4485" s="2" t="s">
        <v>36</v>
      </c>
      <c r="G4485" s="7">
        <v>-0.18</v>
      </c>
      <c r="H4485" s="13">
        <f>IFERROR(IF(ABS($G4485)&gt;0,VLOOKUP($E4485,'Fuel Category and Heat Rate'!$B$1:$G$34,6,FALSE)*($G4485),""),"")</f>
        <v>-296062999887.63629</v>
      </c>
      <c r="I4485" t="str">
        <f>IFERROR(VLOOKUP($E4485,'Fuel Category and Heat Rate'!$K$2:$M$36,3,FALSE),"")</f>
        <v>LPG propane or butane</v>
      </c>
    </row>
    <row r="4486" spans="1:9" x14ac:dyDescent="0.15">
      <c r="A4486" s="2">
        <v>515632</v>
      </c>
      <c r="B4486" s="2" t="s">
        <v>93</v>
      </c>
      <c r="C4486" s="2">
        <v>2022</v>
      </c>
      <c r="D4486" s="2" t="s">
        <v>1</v>
      </c>
      <c r="E4486" s="2" t="s">
        <v>8</v>
      </c>
      <c r="F4486" s="2" t="s">
        <v>35</v>
      </c>
      <c r="G4486" s="7"/>
      <c r="H4486" s="13" t="str">
        <f>IFERROR(IF(ABS($G4486)&gt;0,VLOOKUP($E4486,'Fuel Category and Heat Rate'!$B$1:$G$34,6,FALSE)*($G4486),""),"")</f>
        <v/>
      </c>
      <c r="I4486" t="str">
        <f>IFERROR(VLOOKUP($E4486,'Fuel Category and Heat Rate'!$K$2:$M$36,3,FALSE),"")</f>
        <v>coal</v>
      </c>
    </row>
    <row r="4487" spans="1:9" x14ac:dyDescent="0.15">
      <c r="A4487" s="2">
        <v>515667</v>
      </c>
      <c r="B4487" s="2" t="s">
        <v>93</v>
      </c>
      <c r="C4487" s="2">
        <v>2022</v>
      </c>
      <c r="D4487" s="2" t="s">
        <v>1</v>
      </c>
      <c r="E4487" s="2" t="s">
        <v>27</v>
      </c>
      <c r="F4487" s="2" t="s">
        <v>35</v>
      </c>
      <c r="G4487" s="7"/>
      <c r="H4487" s="13" t="str">
        <f>IFERROR(IF(ABS($G4487)&gt;0,VLOOKUP($E4487,'Fuel Category and Heat Rate'!$B$1:$G$34,6,FALSE)*($G4487),""),"")</f>
        <v/>
      </c>
      <c r="I4487" t="str">
        <f>IFERROR(VLOOKUP($E4487,'Fuel Category and Heat Rate'!$K$2:$M$36,3,FALSE),"")</f>
        <v>LPG propane or butane</v>
      </c>
    </row>
    <row r="4488" spans="1:9" x14ac:dyDescent="0.15">
      <c r="A4488" s="2">
        <v>515702</v>
      </c>
      <c r="B4488" s="2" t="s">
        <v>93</v>
      </c>
      <c r="C4488" s="2">
        <v>2022</v>
      </c>
      <c r="D4488" s="2" t="s">
        <v>1</v>
      </c>
      <c r="E4488" s="2" t="s">
        <v>7</v>
      </c>
      <c r="F4488" s="2" t="s">
        <v>35</v>
      </c>
      <c r="G4488" s="7">
        <v>-0.02</v>
      </c>
      <c r="H4488" s="13">
        <f>IFERROR(IF(ABS($G4488)&gt;0,VLOOKUP($E4488,'Fuel Category and Heat Rate'!$B$1:$G$34,6,FALSE)*($G4488),""),"")</f>
        <v>-1587404117.0427139</v>
      </c>
      <c r="I4488" t="str">
        <f>IFERROR(VLOOKUP($E4488,'Fuel Category and Heat Rate'!$K$2:$M$36,3,FALSE),"")</f>
        <v>coal</v>
      </c>
    </row>
    <row r="4489" spans="1:9" x14ac:dyDescent="0.15">
      <c r="A4489" s="2">
        <v>515737</v>
      </c>
      <c r="B4489" s="2" t="s">
        <v>93</v>
      </c>
      <c r="C4489" s="2">
        <v>2022</v>
      </c>
      <c r="D4489" s="2" t="s">
        <v>1</v>
      </c>
      <c r="E4489" s="2" t="s">
        <v>2</v>
      </c>
      <c r="F4489" s="2" t="s">
        <v>35</v>
      </c>
      <c r="G4489" s="7">
        <v>-112.05</v>
      </c>
      <c r="H4489" s="13">
        <f>IFERROR(IF(ABS($G4489)&gt;0,VLOOKUP($E4489,'Fuel Category and Heat Rate'!$B$1:$G$34,6,FALSE)*($G4489),""),"")</f>
        <v>0</v>
      </c>
      <c r="I4489" t="str">
        <f>IFERROR(VLOOKUP($E4489,'Fuel Category and Heat Rate'!$K$2:$M$36,3,FALSE),"")</f>
        <v/>
      </c>
    </row>
    <row r="4490" spans="1:9" x14ac:dyDescent="0.15">
      <c r="A4490" s="2">
        <v>515772</v>
      </c>
      <c r="B4490" s="2" t="s">
        <v>93</v>
      </c>
      <c r="C4490" s="2">
        <v>2022</v>
      </c>
      <c r="D4490" s="2" t="s">
        <v>1</v>
      </c>
      <c r="E4490" s="2" t="s">
        <v>17</v>
      </c>
      <c r="F4490" s="2" t="s">
        <v>35</v>
      </c>
      <c r="G4490" s="7"/>
      <c r="H4490" s="13" t="str">
        <f>IFERROR(IF(ABS($G4490)&gt;0,VLOOKUP($E4490,'Fuel Category and Heat Rate'!$B$1:$G$34,6,FALSE)*($G4490),""),"")</f>
        <v/>
      </c>
      <c r="I4490" t="str">
        <f>IFERROR(VLOOKUP($E4490,'Fuel Category and Heat Rate'!$K$2:$M$36,3,FALSE),"")</f>
        <v>petroleum diesel</v>
      </c>
    </row>
    <row r="4491" spans="1:9" x14ac:dyDescent="0.15">
      <c r="A4491" s="2">
        <v>515807</v>
      </c>
      <c r="B4491" s="2" t="s">
        <v>93</v>
      </c>
      <c r="C4491" s="2">
        <v>2022</v>
      </c>
      <c r="D4491" s="2" t="s">
        <v>1</v>
      </c>
      <c r="E4491" s="2" t="s">
        <v>13</v>
      </c>
      <c r="F4491" s="2" t="s">
        <v>35</v>
      </c>
      <c r="G4491" s="7"/>
      <c r="H4491" s="13" t="str">
        <f>IFERROR(IF(ABS($G4491)&gt;0,VLOOKUP($E4491,'Fuel Category and Heat Rate'!$B$1:$G$34,6,FALSE)*($G4491),""),"")</f>
        <v/>
      </c>
      <c r="I4491" t="str">
        <f>IFERROR(VLOOKUP($E4491,'Fuel Category and Heat Rate'!$K$2:$M$36,3,FALSE),"")</f>
        <v>petroleum diesel</v>
      </c>
    </row>
    <row r="4492" spans="1:9" x14ac:dyDescent="0.15">
      <c r="A4492" s="2">
        <v>515842</v>
      </c>
      <c r="B4492" s="2" t="s">
        <v>93</v>
      </c>
      <c r="C4492" s="2">
        <v>2022</v>
      </c>
      <c r="D4492" s="2" t="s">
        <v>1</v>
      </c>
      <c r="E4492" s="2" t="s">
        <v>12</v>
      </c>
      <c r="F4492" s="2" t="s">
        <v>36</v>
      </c>
      <c r="G4492" s="7">
        <v>-1.74</v>
      </c>
      <c r="H4492" s="13">
        <f>IFERROR(IF(ABS($G4492)&gt;0,VLOOKUP($E4492,'Fuel Category and Heat Rate'!$B$1:$G$34,6,FALSE)*($G4492),""),"")</f>
        <v>-862037777431.40332</v>
      </c>
      <c r="I4492" t="str">
        <f>IFERROR(VLOOKUP($E4492,'Fuel Category and Heat Rate'!$K$2:$M$36,3,FALSE),"")</f>
        <v>LPG propane or butane</v>
      </c>
    </row>
    <row r="4493" spans="1:9" x14ac:dyDescent="0.15">
      <c r="A4493" s="2">
        <v>515877</v>
      </c>
      <c r="B4493" s="2" t="s">
        <v>93</v>
      </c>
      <c r="C4493" s="2">
        <v>2022</v>
      </c>
      <c r="D4493" s="2" t="s">
        <v>1</v>
      </c>
      <c r="E4493" s="2" t="s">
        <v>33</v>
      </c>
      <c r="F4493" s="2" t="s">
        <v>38</v>
      </c>
      <c r="G4493" s="7">
        <v>-4.6900000000000004</v>
      </c>
      <c r="H4493" s="13">
        <f>IFERROR(IF(ABS($G4493)&gt;0,VLOOKUP($E4493,'Fuel Category and Heat Rate'!$B$1:$G$34,6,FALSE)*($G4493),""),"")</f>
        <v>-1301172729386.7903</v>
      </c>
      <c r="I4493" t="str">
        <f>IFERROR(VLOOKUP($E4493,'Fuel Category and Heat Rate'!$K$2:$M$36,3,FALSE),"")</f>
        <v>biomass</v>
      </c>
    </row>
    <row r="4494" spans="1:9" x14ac:dyDescent="0.15">
      <c r="A4494" s="2">
        <v>515912</v>
      </c>
      <c r="B4494" s="2" t="s">
        <v>93</v>
      </c>
      <c r="C4494" s="2">
        <v>2022</v>
      </c>
      <c r="D4494" s="2" t="s">
        <v>1</v>
      </c>
      <c r="E4494" s="2" t="s">
        <v>28</v>
      </c>
      <c r="F4494" s="2" t="s">
        <v>35</v>
      </c>
      <c r="G4494" s="7"/>
      <c r="H4494" s="13" t="str">
        <f>IFERROR(IF(ABS($G4494)&gt;0,VLOOKUP($E4494,'Fuel Category and Heat Rate'!$B$1:$G$34,6,FALSE)*($G4494),""),"")</f>
        <v/>
      </c>
      <c r="I4494" t="str">
        <f>IFERROR(VLOOKUP($E4494,'Fuel Category and Heat Rate'!$K$2:$M$36,3,FALSE),"")</f>
        <v>heavy or residual fuel oil</v>
      </c>
    </row>
    <row r="4495" spans="1:9" x14ac:dyDescent="0.15">
      <c r="A4495" s="2">
        <v>515947</v>
      </c>
      <c r="B4495" s="2" t="s">
        <v>93</v>
      </c>
      <c r="C4495" s="2">
        <v>2022</v>
      </c>
      <c r="D4495" s="2" t="s">
        <v>1</v>
      </c>
      <c r="E4495" s="2" t="s">
        <v>5</v>
      </c>
      <c r="F4495" s="2" t="s">
        <v>35</v>
      </c>
      <c r="G4495" s="7">
        <v>-5.32</v>
      </c>
      <c r="H4495" s="13">
        <f>IFERROR(IF(ABS($G4495)&gt;0,VLOOKUP($E4495,'Fuel Category and Heat Rate'!$B$1:$G$34,6,FALSE)*($G4495),""),"")</f>
        <v>-421694832553.17719</v>
      </c>
      <c r="I4495" t="str">
        <f>IFERROR(VLOOKUP($E4495,'Fuel Category and Heat Rate'!$K$2:$M$36,3,FALSE),"")</f>
        <v>coal</v>
      </c>
    </row>
    <row r="4496" spans="1:9" x14ac:dyDescent="0.15">
      <c r="A4496" s="2">
        <v>515982</v>
      </c>
      <c r="B4496" s="2" t="s">
        <v>93</v>
      </c>
      <c r="C4496" s="2">
        <v>2022</v>
      </c>
      <c r="D4496" s="2" t="s">
        <v>1</v>
      </c>
      <c r="E4496" s="2" t="s">
        <v>16</v>
      </c>
      <c r="F4496" s="2" t="s">
        <v>35</v>
      </c>
      <c r="G4496" s="7"/>
      <c r="H4496" s="13" t="str">
        <f>IFERROR(IF(ABS($G4496)&gt;0,VLOOKUP($E4496,'Fuel Category and Heat Rate'!$B$1:$G$34,6,FALSE)*($G4496),""),"")</f>
        <v/>
      </c>
      <c r="I4496" t="str">
        <f>IFERROR(VLOOKUP($E4496,'Fuel Category and Heat Rate'!$K$2:$M$36,3,FALSE),"")</f>
        <v>petroleum diesel</v>
      </c>
    </row>
    <row r="4497" spans="1:9" x14ac:dyDescent="0.15">
      <c r="A4497" s="2">
        <v>516017</v>
      </c>
      <c r="B4497" s="2" t="s">
        <v>93</v>
      </c>
      <c r="C4497" s="2">
        <v>2022</v>
      </c>
      <c r="D4497" s="2" t="s">
        <v>1</v>
      </c>
      <c r="E4497" s="2" t="s">
        <v>19</v>
      </c>
      <c r="F4497" s="2" t="s">
        <v>35</v>
      </c>
      <c r="G4497" s="7"/>
      <c r="H4497" s="13" t="str">
        <f>IFERROR(IF(ABS($G4497)&gt;0,VLOOKUP($E4497,'Fuel Category and Heat Rate'!$B$1:$G$34,6,FALSE)*($G4497),""),"")</f>
        <v/>
      </c>
      <c r="I4497" t="str">
        <f>IFERROR(VLOOKUP($E4497,'Fuel Category and Heat Rate'!$K$2:$M$36,3,FALSE),"")</f>
        <v>heavy or residual fuel oil</v>
      </c>
    </row>
    <row r="4498" spans="1:9" x14ac:dyDescent="0.15">
      <c r="A4498" s="2">
        <v>516052</v>
      </c>
      <c r="B4498" s="2" t="s">
        <v>93</v>
      </c>
      <c r="C4498" s="2">
        <v>2022</v>
      </c>
      <c r="D4498" s="2" t="s">
        <v>1</v>
      </c>
      <c r="E4498" s="2" t="s">
        <v>31</v>
      </c>
      <c r="F4498" s="2" t="s">
        <v>37</v>
      </c>
      <c r="G4498" s="7">
        <v>1866.76</v>
      </c>
      <c r="H4498" s="13">
        <f>IFERROR(IF(ABS($G4498)&gt;0,VLOOKUP($E4498,'Fuel Category and Heat Rate'!$B$1:$G$34,6,FALSE)*($G4498),""),"")</f>
        <v>17693470919098.738</v>
      </c>
      <c r="I4498" t="str">
        <f>IFERROR(VLOOKUP($E4498,'Fuel Category and Heat Rate'!$K$2:$M$36,3,FALSE),"")</f>
        <v>heat</v>
      </c>
    </row>
    <row r="4499" spans="1:9" x14ac:dyDescent="0.15">
      <c r="A4499" s="2">
        <v>516087</v>
      </c>
      <c r="B4499" s="2" t="s">
        <v>93</v>
      </c>
      <c r="C4499" s="2">
        <v>2022</v>
      </c>
      <c r="D4499" s="2" t="s">
        <v>1</v>
      </c>
      <c r="E4499" s="2" t="s">
        <v>23</v>
      </c>
      <c r="F4499" s="2" t="s">
        <v>35</v>
      </c>
      <c r="G4499" s="7"/>
      <c r="H4499" s="13" t="str">
        <f>IFERROR(IF(ABS($G4499)&gt;0,VLOOKUP($E4499,'Fuel Category and Heat Rate'!$B$1:$G$34,6,FALSE)*($G4499),""),"")</f>
        <v/>
      </c>
      <c r="I4499" t="str">
        <f>IFERROR(VLOOKUP($E4499,'Fuel Category and Heat Rate'!$K$2:$M$36,3,FALSE),"")</f>
        <v>heavy or residual fuel oil</v>
      </c>
    </row>
    <row r="4500" spans="1:9" x14ac:dyDescent="0.15">
      <c r="A4500" s="2">
        <v>516122</v>
      </c>
      <c r="B4500" s="2" t="s">
        <v>93</v>
      </c>
      <c r="C4500" s="2">
        <v>2022</v>
      </c>
      <c r="D4500" s="2" t="s">
        <v>1</v>
      </c>
      <c r="E4500" s="2" t="s">
        <v>21</v>
      </c>
      <c r="F4500" s="2" t="s">
        <v>35</v>
      </c>
      <c r="G4500" s="7"/>
      <c r="H4500" s="13" t="str">
        <f>IFERROR(IF(ABS($G4500)&gt;0,VLOOKUP($E4500,'Fuel Category and Heat Rate'!$B$1:$G$34,6,FALSE)*($G4500),""),"")</f>
        <v/>
      </c>
      <c r="I4500" t="str">
        <f>IFERROR(VLOOKUP($E4500,'Fuel Category and Heat Rate'!$K$2:$M$36,3,FALSE),"")</f>
        <v>LPG propane or butane</v>
      </c>
    </row>
    <row r="4501" spans="1:9" x14ac:dyDescent="0.15">
      <c r="A4501" s="2">
        <v>516157</v>
      </c>
      <c r="B4501" s="2" t="s">
        <v>93</v>
      </c>
      <c r="C4501" s="2">
        <v>2022</v>
      </c>
      <c r="D4501" s="2" t="s">
        <v>1</v>
      </c>
      <c r="E4501" s="2" t="s">
        <v>22</v>
      </c>
      <c r="F4501" s="2" t="s">
        <v>35</v>
      </c>
      <c r="G4501" s="7"/>
      <c r="H4501" s="13" t="str">
        <f>IFERROR(IF(ABS($G4501)&gt;0,VLOOKUP($E4501,'Fuel Category and Heat Rate'!$B$1:$G$34,6,FALSE)*($G4501),""),"")</f>
        <v/>
      </c>
      <c r="I4501" t="str">
        <f>IFERROR(VLOOKUP($E4501,'Fuel Category and Heat Rate'!$K$2:$M$36,3,FALSE),"")</f>
        <v>heavy fuel oil</v>
      </c>
    </row>
    <row r="4502" spans="1:9" x14ac:dyDescent="0.15">
      <c r="A4502" s="2">
        <v>516192</v>
      </c>
      <c r="B4502" s="2" t="s">
        <v>93</v>
      </c>
      <c r="C4502" s="2">
        <v>2022</v>
      </c>
      <c r="D4502" s="2" t="s">
        <v>1</v>
      </c>
      <c r="E4502" s="2" t="s">
        <v>20</v>
      </c>
      <c r="F4502" s="2" t="s">
        <v>35</v>
      </c>
      <c r="G4502" s="7"/>
      <c r="H4502" s="13" t="str">
        <f>IFERROR(IF(ABS($G4502)&gt;0,VLOOKUP($E4502,'Fuel Category and Heat Rate'!$B$1:$G$34,6,FALSE)*($G4502),""),"")</f>
        <v/>
      </c>
      <c r="I4502" t="str">
        <f>IFERROR(VLOOKUP($E4502,'Fuel Category and Heat Rate'!$K$2:$M$36,3,FALSE),"")</f>
        <v>LPG propane or butane</v>
      </c>
    </row>
    <row r="4503" spans="1:9" x14ac:dyDescent="0.15">
      <c r="A4503" s="2">
        <v>516227</v>
      </c>
      <c r="B4503" s="2" t="s">
        <v>93</v>
      </c>
      <c r="C4503" s="2">
        <v>2022</v>
      </c>
      <c r="D4503" s="2" t="s">
        <v>1</v>
      </c>
      <c r="E4503" s="2" t="s">
        <v>25</v>
      </c>
      <c r="F4503" s="2" t="s">
        <v>35</v>
      </c>
      <c r="G4503" s="7">
        <v>-14.41</v>
      </c>
      <c r="H4503" s="13">
        <f>IFERROR(IF(ABS($G4503)&gt;0,VLOOKUP($E4503,'Fuel Category and Heat Rate'!$B$1:$G$34,6,FALSE)*($G4503),""),"")</f>
        <v>-4363335552331.187</v>
      </c>
      <c r="I4503" t="str">
        <f>IFERROR(VLOOKUP($E4503,'Fuel Category and Heat Rate'!$K$2:$M$36,3,FALSE),"")</f>
        <v>heavy fuel oil</v>
      </c>
    </row>
    <row r="4504" spans="1:9" x14ac:dyDescent="0.15">
      <c r="A4504" s="2">
        <v>516262</v>
      </c>
      <c r="B4504" s="2" t="s">
        <v>93</v>
      </c>
      <c r="C4504" s="2">
        <v>2022</v>
      </c>
      <c r="D4504" s="2" t="s">
        <v>1</v>
      </c>
      <c r="E4504" s="2" t="s">
        <v>24</v>
      </c>
      <c r="F4504" s="2" t="s">
        <v>35</v>
      </c>
      <c r="G4504" s="7"/>
      <c r="H4504" s="13" t="str">
        <f>IFERROR(IF(ABS($G4504)&gt;0,VLOOKUP($E4504,'Fuel Category and Heat Rate'!$B$1:$G$34,6,FALSE)*($G4504),""),"")</f>
        <v/>
      </c>
      <c r="I4504" t="str">
        <f>IFERROR(VLOOKUP($E4504,'Fuel Category and Heat Rate'!$K$2:$M$36,3,FALSE),"")</f>
        <v>heavy fuel oil</v>
      </c>
    </row>
    <row r="4505" spans="1:9" x14ac:dyDescent="0.15">
      <c r="A4505" s="2">
        <v>516297</v>
      </c>
      <c r="B4505" s="2" t="s">
        <v>93</v>
      </c>
      <c r="C4505" s="2">
        <v>2022</v>
      </c>
      <c r="D4505" s="2" t="s">
        <v>1</v>
      </c>
      <c r="E4505" s="2" t="s">
        <v>29</v>
      </c>
      <c r="F4505" s="2" t="s">
        <v>36</v>
      </c>
      <c r="G4505" s="7">
        <v>-0.4</v>
      </c>
      <c r="H4505" s="13">
        <f>IFERROR(IF(ABS($G4505)&gt;0,VLOOKUP($E4505,'Fuel Category and Heat Rate'!$B$1:$G$34,6,FALSE)*($G4505),""),"")</f>
        <v>-1349103936061.7734</v>
      </c>
      <c r="I4505" t="str">
        <f>IFERROR(VLOOKUP($E4505,'Fuel Category and Heat Rate'!$K$2:$M$36,3,FALSE),"")</f>
        <v>natural gas</v>
      </c>
    </row>
    <row r="4506" spans="1:9" x14ac:dyDescent="0.15">
      <c r="A4506" s="2">
        <v>516332</v>
      </c>
      <c r="B4506" s="2" t="s">
        <v>93</v>
      </c>
      <c r="C4506" s="2">
        <v>2022</v>
      </c>
      <c r="D4506" s="2" t="s">
        <v>1</v>
      </c>
      <c r="E4506" s="2" t="s">
        <v>4</v>
      </c>
      <c r="F4506" s="2" t="s">
        <v>35</v>
      </c>
      <c r="G4506" s="7"/>
      <c r="H4506" s="13" t="str">
        <f>IFERROR(IF(ABS($G4506)&gt;0,VLOOKUP($E4506,'Fuel Category and Heat Rate'!$B$1:$G$34,6,FALSE)*($G4506),""),"")</f>
        <v/>
      </c>
      <c r="I4506" t="str">
        <f>IFERROR(VLOOKUP($E4506,'Fuel Category and Heat Rate'!$K$2:$M$36,3,FALSE),"")</f>
        <v>coal</v>
      </c>
    </row>
    <row r="4507" spans="1:9" x14ac:dyDescent="0.15">
      <c r="A4507" s="2">
        <v>516367</v>
      </c>
      <c r="B4507" s="2" t="s">
        <v>93</v>
      </c>
      <c r="C4507" s="2">
        <v>2022</v>
      </c>
      <c r="D4507" s="2" t="s">
        <v>1</v>
      </c>
      <c r="E4507" s="2" t="s">
        <v>6</v>
      </c>
      <c r="F4507" s="2" t="s">
        <v>35</v>
      </c>
      <c r="G4507" s="7"/>
      <c r="H4507" s="13" t="str">
        <f>IFERROR(IF(ABS($G4507)&gt;0,VLOOKUP($E4507,'Fuel Category and Heat Rate'!$B$1:$G$34,6,FALSE)*($G4507),""),"")</f>
        <v/>
      </c>
      <c r="I4507" t="str">
        <f>IFERROR(VLOOKUP($E4507,'Fuel Category and Heat Rate'!$K$2:$M$36,3,FALSE),"")</f>
        <v>coal</v>
      </c>
    </row>
    <row r="4508" spans="1:9" x14ac:dyDescent="0.15">
      <c r="A4508" s="2">
        <v>516402</v>
      </c>
      <c r="B4508" s="2" t="s">
        <v>93</v>
      </c>
      <c r="C4508" s="2">
        <v>2022</v>
      </c>
      <c r="D4508" s="2" t="s">
        <v>1</v>
      </c>
      <c r="E4508" s="2" t="s">
        <v>26</v>
      </c>
      <c r="F4508" s="2" t="s">
        <v>35</v>
      </c>
      <c r="G4508" s="7"/>
      <c r="H4508" s="13" t="str">
        <f>IFERROR(IF(ABS($G4508)&gt;0,VLOOKUP($E4508,'Fuel Category and Heat Rate'!$B$1:$G$34,6,FALSE)*($G4508),""),"")</f>
        <v/>
      </c>
      <c r="I4508" t="str">
        <f>IFERROR(VLOOKUP($E4508,'Fuel Category and Heat Rate'!$K$2:$M$36,3,FALSE),"")</f>
        <v>LPG propane or butane</v>
      </c>
    </row>
    <row r="4509" spans="1:9" x14ac:dyDescent="0.15">
      <c r="A4509" s="2">
        <v>516437</v>
      </c>
      <c r="B4509" s="2" t="s">
        <v>93</v>
      </c>
      <c r="C4509" s="2">
        <v>2022</v>
      </c>
      <c r="D4509" s="2" t="s">
        <v>1</v>
      </c>
      <c r="E4509" s="2" t="s">
        <v>30</v>
      </c>
      <c r="F4509" s="2" t="s">
        <v>35</v>
      </c>
      <c r="G4509" s="7">
        <v>-1.2</v>
      </c>
      <c r="H4509" s="13">
        <f>IFERROR(IF(ABS($G4509)&gt;0,VLOOKUP($E4509,'Fuel Category and Heat Rate'!$B$1:$G$34,6,FALSE)*($G4509),""),"")</f>
        <v>-585000310647.06201</v>
      </c>
      <c r="I4509" t="str">
        <f>IFERROR(VLOOKUP($E4509,'Fuel Category and Heat Rate'!$K$2:$M$36,3,FALSE),"")</f>
        <v>natural gas</v>
      </c>
    </row>
    <row r="4510" spans="1:9" x14ac:dyDescent="0.15">
      <c r="A4510" s="2">
        <v>516472</v>
      </c>
      <c r="B4510" s="2" t="s">
        <v>93</v>
      </c>
      <c r="C4510" s="2">
        <v>2022</v>
      </c>
      <c r="D4510" s="2" t="s">
        <v>1</v>
      </c>
      <c r="E4510" s="2" t="s">
        <v>14</v>
      </c>
      <c r="F4510" s="2" t="s">
        <v>35</v>
      </c>
      <c r="G4510" s="7">
        <v>-14.49</v>
      </c>
      <c r="H4510" s="13">
        <f>IFERROR(IF(ABS($G4510)&gt;0,VLOOKUP($E4510,'Fuel Category and Heat Rate'!$B$1:$G$34,6,FALSE)*($G4510),""),"")</f>
        <v>0</v>
      </c>
      <c r="I4510" t="str">
        <f>IFERROR(VLOOKUP($E4510,'Fuel Category and Heat Rate'!$K$2:$M$36,3,FALSE),"")</f>
        <v/>
      </c>
    </row>
    <row r="4511" spans="1:9" x14ac:dyDescent="0.15">
      <c r="A4511" s="2">
        <v>516507</v>
      </c>
      <c r="B4511" s="2" t="s">
        <v>93</v>
      </c>
      <c r="C4511" s="2">
        <v>2022</v>
      </c>
      <c r="D4511" s="2" t="s">
        <v>1</v>
      </c>
      <c r="E4511" s="2" t="s">
        <v>3</v>
      </c>
      <c r="F4511" s="2" t="s">
        <v>35</v>
      </c>
      <c r="G4511" s="7">
        <v>-106.73</v>
      </c>
      <c r="H4511" s="13">
        <f>IFERROR(IF(ABS($G4511)&gt;0,VLOOKUP($E4511,'Fuel Category and Heat Rate'!$B$1:$G$34,6,FALSE)*($G4511),""),"")</f>
        <v>-21150641835690.5</v>
      </c>
      <c r="I4511" t="str">
        <f>IFERROR(VLOOKUP($E4511,'Fuel Category and Heat Rate'!$K$2:$M$36,3,FALSE),"")</f>
        <v>coal</v>
      </c>
    </row>
    <row r="4512" spans="1:9" x14ac:dyDescent="0.15">
      <c r="A4512" s="2">
        <v>516542</v>
      </c>
      <c r="B4512" s="2" t="s">
        <v>93</v>
      </c>
      <c r="C4512" s="2">
        <v>2022</v>
      </c>
      <c r="D4512" s="2" t="s">
        <v>1</v>
      </c>
      <c r="E4512" s="2" t="s">
        <v>15</v>
      </c>
      <c r="F4512" s="2" t="s">
        <v>35</v>
      </c>
      <c r="G4512" s="7"/>
      <c r="H4512" s="13" t="str">
        <f>IFERROR(IF(ABS($G4512)&gt;0,VLOOKUP($E4512,'Fuel Category and Heat Rate'!$B$1:$G$34,6,FALSE)*($G4512),""),"")</f>
        <v/>
      </c>
      <c r="I4512" t="str">
        <f>IFERROR(VLOOKUP($E4512,'Fuel Category and Heat Rate'!$K$2:$M$36,3,FALSE),"")</f>
        <v>crude oil</v>
      </c>
    </row>
    <row r="4513" spans="1:9" x14ac:dyDescent="0.15">
      <c r="A4513" s="2">
        <v>516577</v>
      </c>
      <c r="B4513" s="2" t="s">
        <v>93</v>
      </c>
      <c r="C4513" s="2">
        <v>2022</v>
      </c>
      <c r="D4513" s="2" t="s">
        <v>1</v>
      </c>
      <c r="E4513" s="2" t="s">
        <v>11</v>
      </c>
      <c r="F4513" s="2" t="s">
        <v>36</v>
      </c>
      <c r="G4513" s="7"/>
      <c r="H4513" s="13" t="str">
        <f>IFERROR(IF(ABS($G4513)&gt;0,VLOOKUP($E4513,'Fuel Category and Heat Rate'!$B$1:$G$34,6,FALSE)*($G4513),""),"")</f>
        <v/>
      </c>
      <c r="I4513" t="str">
        <f>IFERROR(VLOOKUP($E4513,'Fuel Category and Heat Rate'!$K$2:$M$36,3,FALSE),"")</f>
        <v>LPG propane or butane</v>
      </c>
    </row>
    <row r="4514" spans="1:9" x14ac:dyDescent="0.15">
      <c r="A4514" s="2">
        <v>516612</v>
      </c>
      <c r="B4514" s="2" t="s">
        <v>93</v>
      </c>
      <c r="C4514" s="2">
        <v>2021</v>
      </c>
      <c r="D4514" s="2" t="s">
        <v>1</v>
      </c>
      <c r="E4514" s="2" t="s">
        <v>18</v>
      </c>
      <c r="F4514" s="2" t="s">
        <v>35</v>
      </c>
      <c r="G4514" s="7">
        <v>-0.05</v>
      </c>
      <c r="H4514" s="13">
        <f>IFERROR(IF(ABS($G4514)&gt;0,VLOOKUP($E4514,'Fuel Category and Heat Rate'!$B$1:$G$34,6,FALSE)*($G4514),""),"")</f>
        <v>-20213147957.996727</v>
      </c>
      <c r="I4514" t="str">
        <f>IFERROR(VLOOKUP($E4514,'Fuel Category and Heat Rate'!$K$2:$M$36,3,FALSE),"")</f>
        <v>petroleum diesel</v>
      </c>
    </row>
    <row r="4515" spans="1:9" x14ac:dyDescent="0.15">
      <c r="A4515" s="2">
        <v>516647</v>
      </c>
      <c r="B4515" s="2" t="s">
        <v>93</v>
      </c>
      <c r="C4515" s="2">
        <v>2021</v>
      </c>
      <c r="D4515" s="2" t="s">
        <v>1</v>
      </c>
      <c r="E4515" s="2" t="s">
        <v>32</v>
      </c>
      <c r="F4515" s="2" t="s">
        <v>65</v>
      </c>
      <c r="G4515" s="7"/>
      <c r="H4515" s="13" t="str">
        <f>IFERROR(IF(ABS($G4515)&gt;0,VLOOKUP($E4515,'Fuel Category and Heat Rate'!$B$1:$G$34,6,FALSE)*($G4515),""),"")</f>
        <v/>
      </c>
      <c r="I4515" t="str">
        <f>IFERROR(VLOOKUP($E4515,'Fuel Category and Heat Rate'!$K$2:$M$36,3,FALSE),"")</f>
        <v>electricity</v>
      </c>
    </row>
    <row r="4516" spans="1:9" x14ac:dyDescent="0.15">
      <c r="A4516" s="2">
        <v>516682</v>
      </c>
      <c r="B4516" s="2" t="s">
        <v>93</v>
      </c>
      <c r="C4516" s="2">
        <v>2021</v>
      </c>
      <c r="D4516" s="2" t="s">
        <v>1</v>
      </c>
      <c r="E4516" s="2" t="s">
        <v>10</v>
      </c>
      <c r="F4516" s="2" t="s">
        <v>36</v>
      </c>
      <c r="G4516" s="7"/>
      <c r="H4516" s="13" t="str">
        <f>IFERROR(IF(ABS($G4516)&gt;0,VLOOKUP($E4516,'Fuel Category and Heat Rate'!$B$1:$G$34,6,FALSE)*($G4516),""),"")</f>
        <v/>
      </c>
      <c r="I4516" t="str">
        <f>IFERROR(VLOOKUP($E4516,'Fuel Category and Heat Rate'!$K$2:$M$36,3,FALSE),"")</f>
        <v>LPG propane or butane</v>
      </c>
    </row>
    <row r="4517" spans="1:9" x14ac:dyDescent="0.15">
      <c r="A4517" s="2">
        <v>516717</v>
      </c>
      <c r="B4517" s="2" t="s">
        <v>93</v>
      </c>
      <c r="C4517" s="2">
        <v>2021</v>
      </c>
      <c r="D4517" s="2" t="s">
        <v>1</v>
      </c>
      <c r="E4517" s="2" t="s">
        <v>9</v>
      </c>
      <c r="F4517" s="2" t="s">
        <v>36</v>
      </c>
      <c r="G4517" s="7"/>
      <c r="H4517" s="13" t="str">
        <f>IFERROR(IF(ABS($G4517)&gt;0,VLOOKUP($E4517,'Fuel Category and Heat Rate'!$B$1:$G$34,6,FALSE)*($G4517),""),"")</f>
        <v/>
      </c>
      <c r="I4517" t="str">
        <f>IFERROR(VLOOKUP($E4517,'Fuel Category and Heat Rate'!$K$2:$M$36,3,FALSE),"")</f>
        <v>LPG propane or butane</v>
      </c>
    </row>
    <row r="4518" spans="1:9" x14ac:dyDescent="0.15">
      <c r="A4518" s="2">
        <v>516752</v>
      </c>
      <c r="B4518" s="2" t="s">
        <v>93</v>
      </c>
      <c r="C4518" s="2">
        <v>2021</v>
      </c>
      <c r="D4518" s="2" t="s">
        <v>1</v>
      </c>
      <c r="E4518" s="2" t="s">
        <v>8</v>
      </c>
      <c r="F4518" s="2" t="s">
        <v>35</v>
      </c>
      <c r="G4518" s="7"/>
      <c r="H4518" s="13" t="str">
        <f>IFERROR(IF(ABS($G4518)&gt;0,VLOOKUP($E4518,'Fuel Category and Heat Rate'!$B$1:$G$34,6,FALSE)*($G4518),""),"")</f>
        <v/>
      </c>
      <c r="I4518" t="str">
        <f>IFERROR(VLOOKUP($E4518,'Fuel Category and Heat Rate'!$K$2:$M$36,3,FALSE),"")</f>
        <v>coal</v>
      </c>
    </row>
    <row r="4519" spans="1:9" x14ac:dyDescent="0.15">
      <c r="A4519" s="2">
        <v>516787</v>
      </c>
      <c r="B4519" s="2" t="s">
        <v>93</v>
      </c>
      <c r="C4519" s="2">
        <v>2021</v>
      </c>
      <c r="D4519" s="2" t="s">
        <v>1</v>
      </c>
      <c r="E4519" s="2" t="s">
        <v>27</v>
      </c>
      <c r="F4519" s="2" t="s">
        <v>35</v>
      </c>
      <c r="G4519" s="7"/>
      <c r="H4519" s="13" t="str">
        <f>IFERROR(IF(ABS($G4519)&gt;0,VLOOKUP($E4519,'Fuel Category and Heat Rate'!$B$1:$G$34,6,FALSE)*($G4519),""),"")</f>
        <v/>
      </c>
      <c r="I4519" t="str">
        <f>IFERROR(VLOOKUP($E4519,'Fuel Category and Heat Rate'!$K$2:$M$36,3,FALSE),"")</f>
        <v>LPG propane or butane</v>
      </c>
    </row>
    <row r="4520" spans="1:9" x14ac:dyDescent="0.15">
      <c r="A4520" s="2">
        <v>516822</v>
      </c>
      <c r="B4520" s="2" t="s">
        <v>93</v>
      </c>
      <c r="C4520" s="2">
        <v>2021</v>
      </c>
      <c r="D4520" s="2" t="s">
        <v>1</v>
      </c>
      <c r="E4520" s="2" t="s">
        <v>7</v>
      </c>
      <c r="F4520" s="2" t="s">
        <v>35</v>
      </c>
      <c r="G4520" s="7"/>
      <c r="H4520" s="13" t="str">
        <f>IFERROR(IF(ABS($G4520)&gt;0,VLOOKUP($E4520,'Fuel Category and Heat Rate'!$B$1:$G$34,6,FALSE)*($G4520),""),"")</f>
        <v/>
      </c>
      <c r="I4520" t="str">
        <f>IFERROR(VLOOKUP($E4520,'Fuel Category and Heat Rate'!$K$2:$M$36,3,FALSE),"")</f>
        <v>coal</v>
      </c>
    </row>
    <row r="4521" spans="1:9" x14ac:dyDescent="0.15">
      <c r="A4521" s="2">
        <v>516857</v>
      </c>
      <c r="B4521" s="2" t="s">
        <v>93</v>
      </c>
      <c r="C4521" s="2">
        <v>2021</v>
      </c>
      <c r="D4521" s="2" t="s">
        <v>1</v>
      </c>
      <c r="E4521" s="2" t="s">
        <v>2</v>
      </c>
      <c r="F4521" s="2" t="s">
        <v>35</v>
      </c>
      <c r="G4521" s="7">
        <v>-129.26</v>
      </c>
      <c r="H4521" s="13">
        <f>IFERROR(IF(ABS($G4521)&gt;0,VLOOKUP($E4521,'Fuel Category and Heat Rate'!$B$1:$G$34,6,FALSE)*($G4521),""),"")</f>
        <v>0</v>
      </c>
      <c r="I4521" t="str">
        <f>IFERROR(VLOOKUP($E4521,'Fuel Category and Heat Rate'!$K$2:$M$36,3,FALSE),"")</f>
        <v/>
      </c>
    </row>
    <row r="4522" spans="1:9" x14ac:dyDescent="0.15">
      <c r="A4522" s="2">
        <v>516892</v>
      </c>
      <c r="B4522" s="2" t="s">
        <v>93</v>
      </c>
      <c r="C4522" s="2">
        <v>2021</v>
      </c>
      <c r="D4522" s="2" t="s">
        <v>1</v>
      </c>
      <c r="E4522" s="2" t="s">
        <v>17</v>
      </c>
      <c r="F4522" s="2" t="s">
        <v>35</v>
      </c>
      <c r="G4522" s="7"/>
      <c r="H4522" s="13" t="str">
        <f>IFERROR(IF(ABS($G4522)&gt;0,VLOOKUP($E4522,'Fuel Category and Heat Rate'!$B$1:$G$34,6,FALSE)*($G4522),""),"")</f>
        <v/>
      </c>
      <c r="I4522" t="str">
        <f>IFERROR(VLOOKUP($E4522,'Fuel Category and Heat Rate'!$K$2:$M$36,3,FALSE),"")</f>
        <v>petroleum diesel</v>
      </c>
    </row>
    <row r="4523" spans="1:9" x14ac:dyDescent="0.15">
      <c r="A4523" s="2">
        <v>516927</v>
      </c>
      <c r="B4523" s="2" t="s">
        <v>93</v>
      </c>
      <c r="C4523" s="2">
        <v>2021</v>
      </c>
      <c r="D4523" s="2" t="s">
        <v>1</v>
      </c>
      <c r="E4523" s="2" t="s">
        <v>13</v>
      </c>
      <c r="F4523" s="2" t="s">
        <v>35</v>
      </c>
      <c r="G4523" s="7"/>
      <c r="H4523" s="13" t="str">
        <f>IFERROR(IF(ABS($G4523)&gt;0,VLOOKUP($E4523,'Fuel Category and Heat Rate'!$B$1:$G$34,6,FALSE)*($G4523),""),"")</f>
        <v/>
      </c>
      <c r="I4523" t="str">
        <f>IFERROR(VLOOKUP($E4523,'Fuel Category and Heat Rate'!$K$2:$M$36,3,FALSE),"")</f>
        <v>petroleum diesel</v>
      </c>
    </row>
    <row r="4524" spans="1:9" x14ac:dyDescent="0.15">
      <c r="A4524" s="2">
        <v>516962</v>
      </c>
      <c r="B4524" s="2" t="s">
        <v>93</v>
      </c>
      <c r="C4524" s="2">
        <v>2021</v>
      </c>
      <c r="D4524" s="2" t="s">
        <v>1</v>
      </c>
      <c r="E4524" s="2" t="s">
        <v>12</v>
      </c>
      <c r="F4524" s="2" t="s">
        <v>36</v>
      </c>
      <c r="G4524" s="7">
        <v>-0.74</v>
      </c>
      <c r="H4524" s="13">
        <f>IFERROR(IF(ABS($G4524)&gt;0,VLOOKUP($E4524,'Fuel Category and Heat Rate'!$B$1:$G$34,6,FALSE)*($G4524),""),"")</f>
        <v>-366613767413.35547</v>
      </c>
      <c r="I4524" t="str">
        <f>IFERROR(VLOOKUP($E4524,'Fuel Category and Heat Rate'!$K$2:$M$36,3,FALSE),"")</f>
        <v>LPG propane or butane</v>
      </c>
    </row>
    <row r="4525" spans="1:9" x14ac:dyDescent="0.15">
      <c r="A4525" s="2">
        <v>516997</v>
      </c>
      <c r="B4525" s="2" t="s">
        <v>93</v>
      </c>
      <c r="C4525" s="2">
        <v>2021</v>
      </c>
      <c r="D4525" s="2" t="s">
        <v>1</v>
      </c>
      <c r="E4525" s="2" t="s">
        <v>33</v>
      </c>
      <c r="F4525" s="2" t="s">
        <v>38</v>
      </c>
      <c r="G4525" s="7">
        <v>-3.52</v>
      </c>
      <c r="H4525" s="13">
        <f>IFERROR(IF(ABS($G4525)&gt;0,VLOOKUP($E4525,'Fuel Category and Heat Rate'!$B$1:$G$34,6,FALSE)*($G4525),""),"")</f>
        <v>-976573135915.03235</v>
      </c>
      <c r="I4525" t="str">
        <f>IFERROR(VLOOKUP($E4525,'Fuel Category and Heat Rate'!$K$2:$M$36,3,FALSE),"")</f>
        <v>biomass</v>
      </c>
    </row>
    <row r="4526" spans="1:9" x14ac:dyDescent="0.15">
      <c r="A4526" s="2">
        <v>517032</v>
      </c>
      <c r="B4526" s="2" t="s">
        <v>93</v>
      </c>
      <c r="C4526" s="2">
        <v>2021</v>
      </c>
      <c r="D4526" s="2" t="s">
        <v>1</v>
      </c>
      <c r="E4526" s="2" t="s">
        <v>28</v>
      </c>
      <c r="F4526" s="2" t="s">
        <v>35</v>
      </c>
      <c r="G4526" s="7"/>
      <c r="H4526" s="13" t="str">
        <f>IFERROR(IF(ABS($G4526)&gt;0,VLOOKUP($E4526,'Fuel Category and Heat Rate'!$B$1:$G$34,6,FALSE)*($G4526),""),"")</f>
        <v/>
      </c>
      <c r="I4526" t="str">
        <f>IFERROR(VLOOKUP($E4526,'Fuel Category and Heat Rate'!$K$2:$M$36,3,FALSE),"")</f>
        <v>heavy or residual fuel oil</v>
      </c>
    </row>
    <row r="4527" spans="1:9" x14ac:dyDescent="0.15">
      <c r="A4527" s="2">
        <v>517067</v>
      </c>
      <c r="B4527" s="2" t="s">
        <v>93</v>
      </c>
      <c r="C4527" s="2">
        <v>2021</v>
      </c>
      <c r="D4527" s="2" t="s">
        <v>1</v>
      </c>
      <c r="E4527" s="2" t="s">
        <v>5</v>
      </c>
      <c r="F4527" s="2" t="s">
        <v>35</v>
      </c>
      <c r="G4527" s="7">
        <v>-7.05</v>
      </c>
      <c r="H4527" s="13">
        <f>IFERROR(IF(ABS($G4527)&gt;0,VLOOKUP($E4527,'Fuel Category and Heat Rate'!$B$1:$G$34,6,FALSE)*($G4527),""),"")</f>
        <v>-558824919078.92834</v>
      </c>
      <c r="I4527" t="str">
        <f>IFERROR(VLOOKUP($E4527,'Fuel Category and Heat Rate'!$K$2:$M$36,3,FALSE),"")</f>
        <v>coal</v>
      </c>
    </row>
    <row r="4528" spans="1:9" x14ac:dyDescent="0.15">
      <c r="A4528" s="2">
        <v>517102</v>
      </c>
      <c r="B4528" s="2" t="s">
        <v>93</v>
      </c>
      <c r="C4528" s="2">
        <v>2021</v>
      </c>
      <c r="D4528" s="2" t="s">
        <v>1</v>
      </c>
      <c r="E4528" s="2" t="s">
        <v>16</v>
      </c>
      <c r="F4528" s="2" t="s">
        <v>35</v>
      </c>
      <c r="G4528" s="7"/>
      <c r="H4528" s="13" t="str">
        <f>IFERROR(IF(ABS($G4528)&gt;0,VLOOKUP($E4528,'Fuel Category and Heat Rate'!$B$1:$G$34,6,FALSE)*($G4528),""),"")</f>
        <v/>
      </c>
      <c r="I4528" t="str">
        <f>IFERROR(VLOOKUP($E4528,'Fuel Category and Heat Rate'!$K$2:$M$36,3,FALSE),"")</f>
        <v>petroleum diesel</v>
      </c>
    </row>
    <row r="4529" spans="1:9" x14ac:dyDescent="0.15">
      <c r="A4529" s="2">
        <v>517137</v>
      </c>
      <c r="B4529" s="2" t="s">
        <v>93</v>
      </c>
      <c r="C4529" s="2">
        <v>2021</v>
      </c>
      <c r="D4529" s="2" t="s">
        <v>1</v>
      </c>
      <c r="E4529" s="2" t="s">
        <v>19</v>
      </c>
      <c r="F4529" s="2" t="s">
        <v>35</v>
      </c>
      <c r="G4529" s="7"/>
      <c r="H4529" s="13" t="str">
        <f>IFERROR(IF(ABS($G4529)&gt;0,VLOOKUP($E4529,'Fuel Category and Heat Rate'!$B$1:$G$34,6,FALSE)*($G4529),""),"")</f>
        <v/>
      </c>
      <c r="I4529" t="str">
        <f>IFERROR(VLOOKUP($E4529,'Fuel Category and Heat Rate'!$K$2:$M$36,3,FALSE),"")</f>
        <v>heavy or residual fuel oil</v>
      </c>
    </row>
    <row r="4530" spans="1:9" x14ac:dyDescent="0.15">
      <c r="A4530" s="2">
        <v>517172</v>
      </c>
      <c r="B4530" s="2" t="s">
        <v>93</v>
      </c>
      <c r="C4530" s="2">
        <v>2021</v>
      </c>
      <c r="D4530" s="2" t="s">
        <v>1</v>
      </c>
      <c r="E4530" s="2" t="s">
        <v>31</v>
      </c>
      <c r="F4530" s="2" t="s">
        <v>37</v>
      </c>
      <c r="G4530" s="7">
        <v>1599.32</v>
      </c>
      <c r="H4530" s="13">
        <f>IFERROR(IF(ABS($G4530)&gt;0,VLOOKUP($E4530,'Fuel Category and Heat Rate'!$B$1:$G$34,6,FALSE)*($G4530),""),"")</f>
        <v>15158628806238.078</v>
      </c>
      <c r="I4530" t="str">
        <f>IFERROR(VLOOKUP($E4530,'Fuel Category and Heat Rate'!$K$2:$M$36,3,FALSE),"")</f>
        <v>heat</v>
      </c>
    </row>
    <row r="4531" spans="1:9" x14ac:dyDescent="0.15">
      <c r="A4531" s="2">
        <v>517207</v>
      </c>
      <c r="B4531" s="2" t="s">
        <v>93</v>
      </c>
      <c r="C4531" s="2">
        <v>2021</v>
      </c>
      <c r="D4531" s="2" t="s">
        <v>1</v>
      </c>
      <c r="E4531" s="2" t="s">
        <v>23</v>
      </c>
      <c r="F4531" s="2" t="s">
        <v>35</v>
      </c>
      <c r="G4531" s="7"/>
      <c r="H4531" s="13" t="str">
        <f>IFERROR(IF(ABS($G4531)&gt;0,VLOOKUP($E4531,'Fuel Category and Heat Rate'!$B$1:$G$34,6,FALSE)*($G4531),""),"")</f>
        <v/>
      </c>
      <c r="I4531" t="str">
        <f>IFERROR(VLOOKUP($E4531,'Fuel Category and Heat Rate'!$K$2:$M$36,3,FALSE),"")</f>
        <v>heavy or residual fuel oil</v>
      </c>
    </row>
    <row r="4532" spans="1:9" x14ac:dyDescent="0.15">
      <c r="A4532" s="2">
        <v>517242</v>
      </c>
      <c r="B4532" s="2" t="s">
        <v>93</v>
      </c>
      <c r="C4532" s="2">
        <v>2021</v>
      </c>
      <c r="D4532" s="2" t="s">
        <v>1</v>
      </c>
      <c r="E4532" s="2" t="s">
        <v>21</v>
      </c>
      <c r="F4532" s="2" t="s">
        <v>35</v>
      </c>
      <c r="G4532" s="7"/>
      <c r="H4532" s="13" t="str">
        <f>IFERROR(IF(ABS($G4532)&gt;0,VLOOKUP($E4532,'Fuel Category and Heat Rate'!$B$1:$G$34,6,FALSE)*($G4532),""),"")</f>
        <v/>
      </c>
      <c r="I4532" t="str">
        <f>IFERROR(VLOOKUP($E4532,'Fuel Category and Heat Rate'!$K$2:$M$36,3,FALSE),"")</f>
        <v>LPG propane or butane</v>
      </c>
    </row>
    <row r="4533" spans="1:9" x14ac:dyDescent="0.15">
      <c r="A4533" s="2">
        <v>517277</v>
      </c>
      <c r="B4533" s="2" t="s">
        <v>93</v>
      </c>
      <c r="C4533" s="2">
        <v>2021</v>
      </c>
      <c r="D4533" s="2" t="s">
        <v>1</v>
      </c>
      <c r="E4533" s="2" t="s">
        <v>22</v>
      </c>
      <c r="F4533" s="2" t="s">
        <v>35</v>
      </c>
      <c r="G4533" s="7"/>
      <c r="H4533" s="13" t="str">
        <f>IFERROR(IF(ABS($G4533)&gt;0,VLOOKUP($E4533,'Fuel Category and Heat Rate'!$B$1:$G$34,6,FALSE)*($G4533),""),"")</f>
        <v/>
      </c>
      <c r="I4533" t="str">
        <f>IFERROR(VLOOKUP($E4533,'Fuel Category and Heat Rate'!$K$2:$M$36,3,FALSE),"")</f>
        <v>heavy fuel oil</v>
      </c>
    </row>
    <row r="4534" spans="1:9" x14ac:dyDescent="0.15">
      <c r="A4534" s="2">
        <v>517312</v>
      </c>
      <c r="B4534" s="2" t="s">
        <v>93</v>
      </c>
      <c r="C4534" s="2">
        <v>2021</v>
      </c>
      <c r="D4534" s="2" t="s">
        <v>1</v>
      </c>
      <c r="E4534" s="2" t="s">
        <v>20</v>
      </c>
      <c r="F4534" s="2" t="s">
        <v>35</v>
      </c>
      <c r="G4534" s="7"/>
      <c r="H4534" s="13" t="str">
        <f>IFERROR(IF(ABS($G4534)&gt;0,VLOOKUP($E4534,'Fuel Category and Heat Rate'!$B$1:$G$34,6,FALSE)*($G4534),""),"")</f>
        <v/>
      </c>
      <c r="I4534" t="str">
        <f>IFERROR(VLOOKUP($E4534,'Fuel Category and Heat Rate'!$K$2:$M$36,3,FALSE),"")</f>
        <v>LPG propane or butane</v>
      </c>
    </row>
    <row r="4535" spans="1:9" x14ac:dyDescent="0.15">
      <c r="A4535" s="2">
        <v>517347</v>
      </c>
      <c r="B4535" s="2" t="s">
        <v>93</v>
      </c>
      <c r="C4535" s="2">
        <v>2021</v>
      </c>
      <c r="D4535" s="2" t="s">
        <v>1</v>
      </c>
      <c r="E4535" s="2" t="s">
        <v>25</v>
      </c>
      <c r="F4535" s="2" t="s">
        <v>35</v>
      </c>
      <c r="G4535" s="7">
        <v>-10.4</v>
      </c>
      <c r="H4535" s="13">
        <f>IFERROR(IF(ABS($G4535)&gt;0,VLOOKUP($E4535,'Fuel Category and Heat Rate'!$B$1:$G$34,6,FALSE)*($G4535),""),"")</f>
        <v>-3149111016255.6797</v>
      </c>
      <c r="I4535" t="str">
        <f>IFERROR(VLOOKUP($E4535,'Fuel Category and Heat Rate'!$K$2:$M$36,3,FALSE),"")</f>
        <v>heavy fuel oil</v>
      </c>
    </row>
    <row r="4536" spans="1:9" x14ac:dyDescent="0.15">
      <c r="A4536" s="2">
        <v>517382</v>
      </c>
      <c r="B4536" s="2" t="s">
        <v>93</v>
      </c>
      <c r="C4536" s="2">
        <v>2021</v>
      </c>
      <c r="D4536" s="2" t="s">
        <v>1</v>
      </c>
      <c r="E4536" s="2" t="s">
        <v>24</v>
      </c>
      <c r="F4536" s="2" t="s">
        <v>35</v>
      </c>
      <c r="G4536" s="7"/>
      <c r="H4536" s="13" t="str">
        <f>IFERROR(IF(ABS($G4536)&gt;0,VLOOKUP($E4536,'Fuel Category and Heat Rate'!$B$1:$G$34,6,FALSE)*($G4536),""),"")</f>
        <v/>
      </c>
      <c r="I4536" t="str">
        <f>IFERROR(VLOOKUP($E4536,'Fuel Category and Heat Rate'!$K$2:$M$36,3,FALSE),"")</f>
        <v>heavy fuel oil</v>
      </c>
    </row>
    <row r="4537" spans="1:9" x14ac:dyDescent="0.15">
      <c r="A4537" s="2">
        <v>517417</v>
      </c>
      <c r="B4537" s="2" t="s">
        <v>93</v>
      </c>
      <c r="C4537" s="2">
        <v>2021</v>
      </c>
      <c r="D4537" s="2" t="s">
        <v>1</v>
      </c>
      <c r="E4537" s="2" t="s">
        <v>29</v>
      </c>
      <c r="F4537" s="2" t="s">
        <v>36</v>
      </c>
      <c r="G4537" s="7">
        <v>-0.34</v>
      </c>
      <c r="H4537" s="13">
        <f>IFERROR(IF(ABS($G4537)&gt;0,VLOOKUP($E4537,'Fuel Category and Heat Rate'!$B$1:$G$34,6,FALSE)*($G4537),""),"")</f>
        <v>-1146738345652.5076</v>
      </c>
      <c r="I4537" t="str">
        <f>IFERROR(VLOOKUP($E4537,'Fuel Category and Heat Rate'!$K$2:$M$36,3,FALSE),"")</f>
        <v>natural gas</v>
      </c>
    </row>
    <row r="4538" spans="1:9" x14ac:dyDescent="0.15">
      <c r="A4538" s="2">
        <v>517452</v>
      </c>
      <c r="B4538" s="2" t="s">
        <v>93</v>
      </c>
      <c r="C4538" s="2">
        <v>2021</v>
      </c>
      <c r="D4538" s="2" t="s">
        <v>1</v>
      </c>
      <c r="E4538" s="2" t="s">
        <v>4</v>
      </c>
      <c r="F4538" s="2" t="s">
        <v>35</v>
      </c>
      <c r="G4538" s="7"/>
      <c r="H4538" s="13" t="str">
        <f>IFERROR(IF(ABS($G4538)&gt;0,VLOOKUP($E4538,'Fuel Category and Heat Rate'!$B$1:$G$34,6,FALSE)*($G4538),""),"")</f>
        <v/>
      </c>
      <c r="I4538" t="str">
        <f>IFERROR(VLOOKUP($E4538,'Fuel Category and Heat Rate'!$K$2:$M$36,3,FALSE),"")</f>
        <v>coal</v>
      </c>
    </row>
    <row r="4539" spans="1:9" x14ac:dyDescent="0.15">
      <c r="A4539" s="2">
        <v>517487</v>
      </c>
      <c r="B4539" s="2" t="s">
        <v>93</v>
      </c>
      <c r="C4539" s="2">
        <v>2021</v>
      </c>
      <c r="D4539" s="2" t="s">
        <v>1</v>
      </c>
      <c r="E4539" s="2" t="s">
        <v>6</v>
      </c>
      <c r="F4539" s="2" t="s">
        <v>35</v>
      </c>
      <c r="G4539" s="7"/>
      <c r="H4539" s="13" t="str">
        <f>IFERROR(IF(ABS($G4539)&gt;0,VLOOKUP($E4539,'Fuel Category and Heat Rate'!$B$1:$G$34,6,FALSE)*($G4539),""),"")</f>
        <v/>
      </c>
      <c r="I4539" t="str">
        <f>IFERROR(VLOOKUP($E4539,'Fuel Category and Heat Rate'!$K$2:$M$36,3,FALSE),"")</f>
        <v>coal</v>
      </c>
    </row>
    <row r="4540" spans="1:9" x14ac:dyDescent="0.15">
      <c r="A4540" s="2">
        <v>517522</v>
      </c>
      <c r="B4540" s="2" t="s">
        <v>93</v>
      </c>
      <c r="C4540" s="2">
        <v>2021</v>
      </c>
      <c r="D4540" s="2" t="s">
        <v>1</v>
      </c>
      <c r="E4540" s="2" t="s">
        <v>26</v>
      </c>
      <c r="F4540" s="2" t="s">
        <v>35</v>
      </c>
      <c r="G4540" s="7"/>
      <c r="H4540" s="13" t="str">
        <f>IFERROR(IF(ABS($G4540)&gt;0,VLOOKUP($E4540,'Fuel Category and Heat Rate'!$B$1:$G$34,6,FALSE)*($G4540),""),"")</f>
        <v/>
      </c>
      <c r="I4540" t="str">
        <f>IFERROR(VLOOKUP($E4540,'Fuel Category and Heat Rate'!$K$2:$M$36,3,FALSE),"")</f>
        <v>LPG propane or butane</v>
      </c>
    </row>
    <row r="4541" spans="1:9" x14ac:dyDescent="0.15">
      <c r="A4541" s="2">
        <v>517557</v>
      </c>
      <c r="B4541" s="2" t="s">
        <v>93</v>
      </c>
      <c r="C4541" s="2">
        <v>2021</v>
      </c>
      <c r="D4541" s="2" t="s">
        <v>1</v>
      </c>
      <c r="E4541" s="2" t="s">
        <v>30</v>
      </c>
      <c r="F4541" s="2" t="s">
        <v>35</v>
      </c>
      <c r="G4541" s="7"/>
      <c r="H4541" s="13" t="str">
        <f>IFERROR(IF(ABS($G4541)&gt;0,VLOOKUP($E4541,'Fuel Category and Heat Rate'!$B$1:$G$34,6,FALSE)*($G4541),""),"")</f>
        <v/>
      </c>
      <c r="I4541" t="str">
        <f>IFERROR(VLOOKUP($E4541,'Fuel Category and Heat Rate'!$K$2:$M$36,3,FALSE),"")</f>
        <v>natural gas</v>
      </c>
    </row>
    <row r="4542" spans="1:9" x14ac:dyDescent="0.15">
      <c r="A4542" s="2">
        <v>517592</v>
      </c>
      <c r="B4542" s="2" t="s">
        <v>93</v>
      </c>
      <c r="C4542" s="2">
        <v>2021</v>
      </c>
      <c r="D4542" s="2" t="s">
        <v>1</v>
      </c>
      <c r="E4542" s="2" t="s">
        <v>14</v>
      </c>
      <c r="F4542" s="2" t="s">
        <v>35</v>
      </c>
      <c r="G4542" s="7">
        <v>-10.45</v>
      </c>
      <c r="H4542" s="13">
        <f>IFERROR(IF(ABS($G4542)&gt;0,VLOOKUP($E4542,'Fuel Category and Heat Rate'!$B$1:$G$34,6,FALSE)*($G4542),""),"")</f>
        <v>0</v>
      </c>
      <c r="I4542" t="str">
        <f>IFERROR(VLOOKUP($E4542,'Fuel Category and Heat Rate'!$K$2:$M$36,3,FALSE),"")</f>
        <v/>
      </c>
    </row>
    <row r="4543" spans="1:9" x14ac:dyDescent="0.15">
      <c r="A4543" s="2">
        <v>517627</v>
      </c>
      <c r="B4543" s="2" t="s">
        <v>93</v>
      </c>
      <c r="C4543" s="2">
        <v>2021</v>
      </c>
      <c r="D4543" s="2" t="s">
        <v>1</v>
      </c>
      <c r="E4543" s="2" t="s">
        <v>3</v>
      </c>
      <c r="F4543" s="2" t="s">
        <v>35</v>
      </c>
      <c r="G4543" s="7">
        <v>-122.21</v>
      </c>
      <c r="H4543" s="13">
        <f>IFERROR(IF(ABS($G4543)&gt;0,VLOOKUP($E4543,'Fuel Category and Heat Rate'!$B$1:$G$34,6,FALSE)*($G4543),""),"")</f>
        <v>-24218307305722.25</v>
      </c>
      <c r="I4543" t="str">
        <f>IFERROR(VLOOKUP($E4543,'Fuel Category and Heat Rate'!$K$2:$M$36,3,FALSE),"")</f>
        <v>coal</v>
      </c>
    </row>
    <row r="4544" spans="1:9" x14ac:dyDescent="0.15">
      <c r="A4544" s="2">
        <v>517662</v>
      </c>
      <c r="B4544" s="2" t="s">
        <v>93</v>
      </c>
      <c r="C4544" s="2">
        <v>2021</v>
      </c>
      <c r="D4544" s="2" t="s">
        <v>1</v>
      </c>
      <c r="E4544" s="2" t="s">
        <v>15</v>
      </c>
      <c r="F4544" s="2" t="s">
        <v>35</v>
      </c>
      <c r="G4544" s="7"/>
      <c r="H4544" s="13" t="str">
        <f>IFERROR(IF(ABS($G4544)&gt;0,VLOOKUP($E4544,'Fuel Category and Heat Rate'!$B$1:$G$34,6,FALSE)*($G4544),""),"")</f>
        <v/>
      </c>
      <c r="I4544" t="str">
        <f>IFERROR(VLOOKUP($E4544,'Fuel Category and Heat Rate'!$K$2:$M$36,3,FALSE),"")</f>
        <v>crude oil</v>
      </c>
    </row>
    <row r="4545" spans="1:9" x14ac:dyDescent="0.15">
      <c r="A4545" s="2">
        <v>517697</v>
      </c>
      <c r="B4545" s="2" t="s">
        <v>93</v>
      </c>
      <c r="C4545" s="2">
        <v>2021</v>
      </c>
      <c r="D4545" s="2" t="s">
        <v>1</v>
      </c>
      <c r="E4545" s="2" t="s">
        <v>11</v>
      </c>
      <c r="F4545" s="2" t="s">
        <v>36</v>
      </c>
      <c r="G4545" s="7"/>
      <c r="H4545" s="13" t="str">
        <f>IFERROR(IF(ABS($G4545)&gt;0,VLOOKUP($E4545,'Fuel Category and Heat Rate'!$B$1:$G$34,6,FALSE)*($G4545),""),"")</f>
        <v/>
      </c>
      <c r="I4545" t="str">
        <f>IFERROR(VLOOKUP($E4545,'Fuel Category and Heat Rate'!$K$2:$M$36,3,FALSE),"")</f>
        <v>LPG propane or butane</v>
      </c>
    </row>
    <row r="4546" spans="1:9" x14ac:dyDescent="0.15">
      <c r="A4546" s="2">
        <v>517732</v>
      </c>
      <c r="B4546" s="2" t="s">
        <v>93</v>
      </c>
      <c r="C4546" s="2">
        <v>2020</v>
      </c>
      <c r="D4546" s="2" t="s">
        <v>1</v>
      </c>
      <c r="E4546" s="2" t="s">
        <v>18</v>
      </c>
      <c r="F4546" s="2" t="s">
        <v>35</v>
      </c>
      <c r="G4546" s="7">
        <v>-0.02</v>
      </c>
      <c r="H4546" s="13">
        <f>IFERROR(IF(ABS($G4546)&gt;0,VLOOKUP($E4546,'Fuel Category and Heat Rate'!$B$1:$G$34,6,FALSE)*($G4546),""),"")</f>
        <v>-8085259183.1986904</v>
      </c>
      <c r="I4546" t="str">
        <f>IFERROR(VLOOKUP($E4546,'Fuel Category and Heat Rate'!$K$2:$M$36,3,FALSE),"")</f>
        <v>petroleum diesel</v>
      </c>
    </row>
    <row r="4547" spans="1:9" x14ac:dyDescent="0.15">
      <c r="A4547" s="2">
        <v>517767</v>
      </c>
      <c r="B4547" s="2" t="s">
        <v>93</v>
      </c>
      <c r="C4547" s="2">
        <v>2020</v>
      </c>
      <c r="D4547" s="2" t="s">
        <v>1</v>
      </c>
      <c r="E4547" s="2" t="s">
        <v>32</v>
      </c>
      <c r="F4547" s="2" t="s">
        <v>65</v>
      </c>
      <c r="G4547" s="7"/>
      <c r="H4547" s="13" t="str">
        <f>IFERROR(IF(ABS($G4547)&gt;0,VLOOKUP($E4547,'Fuel Category and Heat Rate'!$B$1:$G$34,6,FALSE)*($G4547),""),"")</f>
        <v/>
      </c>
      <c r="I4547" t="str">
        <f>IFERROR(VLOOKUP($E4547,'Fuel Category and Heat Rate'!$K$2:$M$36,3,FALSE),"")</f>
        <v>electricity</v>
      </c>
    </row>
    <row r="4548" spans="1:9" x14ac:dyDescent="0.15">
      <c r="A4548" s="2">
        <v>517802</v>
      </c>
      <c r="B4548" s="2" t="s">
        <v>93</v>
      </c>
      <c r="C4548" s="2">
        <v>2020</v>
      </c>
      <c r="D4548" s="2" t="s">
        <v>1</v>
      </c>
      <c r="E4548" s="2" t="s">
        <v>10</v>
      </c>
      <c r="F4548" s="2" t="s">
        <v>36</v>
      </c>
      <c r="G4548" s="7"/>
      <c r="H4548" s="13" t="str">
        <f>IFERROR(IF(ABS($G4548)&gt;0,VLOOKUP($E4548,'Fuel Category and Heat Rate'!$B$1:$G$34,6,FALSE)*($G4548),""),"")</f>
        <v/>
      </c>
      <c r="I4548" t="str">
        <f>IFERROR(VLOOKUP($E4548,'Fuel Category and Heat Rate'!$K$2:$M$36,3,FALSE),"")</f>
        <v>LPG propane or butane</v>
      </c>
    </row>
    <row r="4549" spans="1:9" x14ac:dyDescent="0.15">
      <c r="A4549" s="2">
        <v>517837</v>
      </c>
      <c r="B4549" s="2" t="s">
        <v>93</v>
      </c>
      <c r="C4549" s="2">
        <v>2020</v>
      </c>
      <c r="D4549" s="2" t="s">
        <v>1</v>
      </c>
      <c r="E4549" s="2" t="s">
        <v>9</v>
      </c>
      <c r="F4549" s="2" t="s">
        <v>36</v>
      </c>
      <c r="G4549" s="7"/>
      <c r="H4549" s="13" t="str">
        <f>IFERROR(IF(ABS($G4549)&gt;0,VLOOKUP($E4549,'Fuel Category and Heat Rate'!$B$1:$G$34,6,FALSE)*($G4549),""),"")</f>
        <v/>
      </c>
      <c r="I4549" t="str">
        <f>IFERROR(VLOOKUP($E4549,'Fuel Category and Heat Rate'!$K$2:$M$36,3,FALSE),"")</f>
        <v>LPG propane or butane</v>
      </c>
    </row>
    <row r="4550" spans="1:9" x14ac:dyDescent="0.15">
      <c r="A4550" s="2">
        <v>517872</v>
      </c>
      <c r="B4550" s="2" t="s">
        <v>93</v>
      </c>
      <c r="C4550" s="2">
        <v>2020</v>
      </c>
      <c r="D4550" s="2" t="s">
        <v>1</v>
      </c>
      <c r="E4550" s="2" t="s">
        <v>8</v>
      </c>
      <c r="F4550" s="2" t="s">
        <v>35</v>
      </c>
      <c r="G4550" s="7"/>
      <c r="H4550" s="13" t="str">
        <f>IFERROR(IF(ABS($G4550)&gt;0,VLOOKUP($E4550,'Fuel Category and Heat Rate'!$B$1:$G$34,6,FALSE)*($G4550),""),"")</f>
        <v/>
      </c>
      <c r="I4550" t="str">
        <f>IFERROR(VLOOKUP($E4550,'Fuel Category and Heat Rate'!$K$2:$M$36,3,FALSE),"")</f>
        <v>coal</v>
      </c>
    </row>
    <row r="4551" spans="1:9" x14ac:dyDescent="0.15">
      <c r="A4551" s="2">
        <v>517907</v>
      </c>
      <c r="B4551" s="2" t="s">
        <v>93</v>
      </c>
      <c r="C4551" s="2">
        <v>2020</v>
      </c>
      <c r="D4551" s="2" t="s">
        <v>1</v>
      </c>
      <c r="E4551" s="2" t="s">
        <v>27</v>
      </c>
      <c r="F4551" s="2" t="s">
        <v>35</v>
      </c>
      <c r="G4551" s="7"/>
      <c r="H4551" s="13" t="str">
        <f>IFERROR(IF(ABS($G4551)&gt;0,VLOOKUP($E4551,'Fuel Category and Heat Rate'!$B$1:$G$34,6,FALSE)*($G4551),""),"")</f>
        <v/>
      </c>
      <c r="I4551" t="str">
        <f>IFERROR(VLOOKUP($E4551,'Fuel Category and Heat Rate'!$K$2:$M$36,3,FALSE),"")</f>
        <v>LPG propane or butane</v>
      </c>
    </row>
    <row r="4552" spans="1:9" x14ac:dyDescent="0.15">
      <c r="A4552" s="2">
        <v>517942</v>
      </c>
      <c r="B4552" s="2" t="s">
        <v>93</v>
      </c>
      <c r="C4552" s="2">
        <v>2020</v>
      </c>
      <c r="D4552" s="2" t="s">
        <v>1</v>
      </c>
      <c r="E4552" s="2" t="s">
        <v>7</v>
      </c>
      <c r="F4552" s="2" t="s">
        <v>35</v>
      </c>
      <c r="G4552" s="7"/>
      <c r="H4552" s="13" t="str">
        <f>IFERROR(IF(ABS($G4552)&gt;0,VLOOKUP($E4552,'Fuel Category and Heat Rate'!$B$1:$G$34,6,FALSE)*($G4552),""),"")</f>
        <v/>
      </c>
      <c r="I4552" t="str">
        <f>IFERROR(VLOOKUP($E4552,'Fuel Category and Heat Rate'!$K$2:$M$36,3,FALSE),"")</f>
        <v>coal</v>
      </c>
    </row>
    <row r="4553" spans="1:9" x14ac:dyDescent="0.15">
      <c r="A4553" s="2">
        <v>517977</v>
      </c>
      <c r="B4553" s="2" t="s">
        <v>93</v>
      </c>
      <c r="C4553" s="2">
        <v>2020</v>
      </c>
      <c r="D4553" s="2" t="s">
        <v>1</v>
      </c>
      <c r="E4553" s="2" t="s">
        <v>2</v>
      </c>
      <c r="F4553" s="2" t="s">
        <v>35</v>
      </c>
      <c r="G4553" s="7">
        <v>-105.9</v>
      </c>
      <c r="H4553" s="13">
        <f>IFERROR(IF(ABS($G4553)&gt;0,VLOOKUP($E4553,'Fuel Category and Heat Rate'!$B$1:$G$34,6,FALSE)*($G4553),""),"")</f>
        <v>0</v>
      </c>
      <c r="I4553" t="str">
        <f>IFERROR(VLOOKUP($E4553,'Fuel Category and Heat Rate'!$K$2:$M$36,3,FALSE),"")</f>
        <v/>
      </c>
    </row>
    <row r="4554" spans="1:9" x14ac:dyDescent="0.15">
      <c r="A4554" s="2">
        <v>518012</v>
      </c>
      <c r="B4554" s="2" t="s">
        <v>93</v>
      </c>
      <c r="C4554" s="2">
        <v>2020</v>
      </c>
      <c r="D4554" s="2" t="s">
        <v>1</v>
      </c>
      <c r="E4554" s="2" t="s">
        <v>17</v>
      </c>
      <c r="F4554" s="2" t="s">
        <v>35</v>
      </c>
      <c r="G4554" s="7"/>
      <c r="H4554" s="13" t="str">
        <f>IFERROR(IF(ABS($G4554)&gt;0,VLOOKUP($E4554,'Fuel Category and Heat Rate'!$B$1:$G$34,6,FALSE)*($G4554),""),"")</f>
        <v/>
      </c>
      <c r="I4554" t="str">
        <f>IFERROR(VLOOKUP($E4554,'Fuel Category and Heat Rate'!$K$2:$M$36,3,FALSE),"")</f>
        <v>petroleum diesel</v>
      </c>
    </row>
    <row r="4555" spans="1:9" x14ac:dyDescent="0.15">
      <c r="A4555" s="2">
        <v>518047</v>
      </c>
      <c r="B4555" s="2" t="s">
        <v>93</v>
      </c>
      <c r="C4555" s="2">
        <v>2020</v>
      </c>
      <c r="D4555" s="2" t="s">
        <v>1</v>
      </c>
      <c r="E4555" s="2" t="s">
        <v>13</v>
      </c>
      <c r="F4555" s="2" t="s">
        <v>35</v>
      </c>
      <c r="G4555" s="7"/>
      <c r="H4555" s="13" t="str">
        <f>IFERROR(IF(ABS($G4555)&gt;0,VLOOKUP($E4555,'Fuel Category and Heat Rate'!$B$1:$G$34,6,FALSE)*($G4555),""),"")</f>
        <v/>
      </c>
      <c r="I4555" t="str">
        <f>IFERROR(VLOOKUP($E4555,'Fuel Category and Heat Rate'!$K$2:$M$36,3,FALSE),"")</f>
        <v>petroleum diesel</v>
      </c>
    </row>
    <row r="4556" spans="1:9" x14ac:dyDescent="0.15">
      <c r="A4556" s="2">
        <v>518082</v>
      </c>
      <c r="B4556" s="2" t="s">
        <v>93</v>
      </c>
      <c r="C4556" s="2">
        <v>2020</v>
      </c>
      <c r="D4556" s="2" t="s">
        <v>1</v>
      </c>
      <c r="E4556" s="2" t="s">
        <v>12</v>
      </c>
      <c r="F4556" s="2" t="s">
        <v>36</v>
      </c>
      <c r="G4556" s="7"/>
      <c r="H4556" s="13" t="str">
        <f>IFERROR(IF(ABS($G4556)&gt;0,VLOOKUP($E4556,'Fuel Category and Heat Rate'!$B$1:$G$34,6,FALSE)*($G4556),""),"")</f>
        <v/>
      </c>
      <c r="I4556" t="str">
        <f>IFERROR(VLOOKUP($E4556,'Fuel Category and Heat Rate'!$K$2:$M$36,3,FALSE),"")</f>
        <v>LPG propane or butane</v>
      </c>
    </row>
    <row r="4557" spans="1:9" x14ac:dyDescent="0.15">
      <c r="A4557" s="2">
        <v>518117</v>
      </c>
      <c r="B4557" s="2" t="s">
        <v>93</v>
      </c>
      <c r="C4557" s="2">
        <v>2020</v>
      </c>
      <c r="D4557" s="2" t="s">
        <v>1</v>
      </c>
      <c r="E4557" s="2" t="s">
        <v>33</v>
      </c>
      <c r="F4557" s="2" t="s">
        <v>38</v>
      </c>
      <c r="G4557" s="7">
        <v>-0.45</v>
      </c>
      <c r="H4557" s="13">
        <f>IFERROR(IF(ABS($G4557)&gt;0,VLOOKUP($E4557,'Fuel Category and Heat Rate'!$B$1:$G$34,6,FALSE)*($G4557),""),"")</f>
        <v>-124845997489.13765</v>
      </c>
      <c r="I4557" t="str">
        <f>IFERROR(VLOOKUP($E4557,'Fuel Category and Heat Rate'!$K$2:$M$36,3,FALSE),"")</f>
        <v>biomass</v>
      </c>
    </row>
    <row r="4558" spans="1:9" x14ac:dyDescent="0.15">
      <c r="A4558" s="2">
        <v>518152</v>
      </c>
      <c r="B4558" s="2" t="s">
        <v>93</v>
      </c>
      <c r="C4558" s="2">
        <v>2020</v>
      </c>
      <c r="D4558" s="2" t="s">
        <v>1</v>
      </c>
      <c r="E4558" s="2" t="s">
        <v>28</v>
      </c>
      <c r="F4558" s="2" t="s">
        <v>35</v>
      </c>
      <c r="G4558" s="7"/>
      <c r="H4558" s="13" t="str">
        <f>IFERROR(IF(ABS($G4558)&gt;0,VLOOKUP($E4558,'Fuel Category and Heat Rate'!$B$1:$G$34,6,FALSE)*($G4558),""),"")</f>
        <v/>
      </c>
      <c r="I4558" t="str">
        <f>IFERROR(VLOOKUP($E4558,'Fuel Category and Heat Rate'!$K$2:$M$36,3,FALSE),"")</f>
        <v>heavy or residual fuel oil</v>
      </c>
    </row>
    <row r="4559" spans="1:9" x14ac:dyDescent="0.15">
      <c r="A4559" s="2">
        <v>518187</v>
      </c>
      <c r="B4559" s="2" t="s">
        <v>93</v>
      </c>
      <c r="C4559" s="2">
        <v>2020</v>
      </c>
      <c r="D4559" s="2" t="s">
        <v>1</v>
      </c>
      <c r="E4559" s="2" t="s">
        <v>5</v>
      </c>
      <c r="F4559" s="2" t="s">
        <v>35</v>
      </c>
      <c r="G4559" s="7">
        <v>-9.91</v>
      </c>
      <c r="H4559" s="13">
        <f>IFERROR(IF(ABS($G4559)&gt;0,VLOOKUP($E4559,'Fuel Category and Heat Rate'!$B$1:$G$34,6,FALSE)*($G4559),""),"")</f>
        <v>-785525524549.24536</v>
      </c>
      <c r="I4559" t="str">
        <f>IFERROR(VLOOKUP($E4559,'Fuel Category and Heat Rate'!$K$2:$M$36,3,FALSE),"")</f>
        <v>coal</v>
      </c>
    </row>
    <row r="4560" spans="1:9" x14ac:dyDescent="0.15">
      <c r="A4560" s="2">
        <v>518222</v>
      </c>
      <c r="B4560" s="2" t="s">
        <v>93</v>
      </c>
      <c r="C4560" s="2">
        <v>2020</v>
      </c>
      <c r="D4560" s="2" t="s">
        <v>1</v>
      </c>
      <c r="E4560" s="2" t="s">
        <v>16</v>
      </c>
      <c r="F4560" s="2" t="s">
        <v>35</v>
      </c>
      <c r="G4560" s="7"/>
      <c r="H4560" s="13" t="str">
        <f>IFERROR(IF(ABS($G4560)&gt;0,VLOOKUP($E4560,'Fuel Category and Heat Rate'!$B$1:$G$34,6,FALSE)*($G4560),""),"")</f>
        <v/>
      </c>
      <c r="I4560" t="str">
        <f>IFERROR(VLOOKUP($E4560,'Fuel Category and Heat Rate'!$K$2:$M$36,3,FALSE),"")</f>
        <v>petroleum diesel</v>
      </c>
    </row>
    <row r="4561" spans="1:9" x14ac:dyDescent="0.15">
      <c r="A4561" s="2">
        <v>518257</v>
      </c>
      <c r="B4561" s="2" t="s">
        <v>93</v>
      </c>
      <c r="C4561" s="2">
        <v>2020</v>
      </c>
      <c r="D4561" s="2" t="s">
        <v>1</v>
      </c>
      <c r="E4561" s="2" t="s">
        <v>19</v>
      </c>
      <c r="F4561" s="2" t="s">
        <v>35</v>
      </c>
      <c r="G4561" s="7"/>
      <c r="H4561" s="13" t="str">
        <f>IFERROR(IF(ABS($G4561)&gt;0,VLOOKUP($E4561,'Fuel Category and Heat Rate'!$B$1:$G$34,6,FALSE)*($G4561),""),"")</f>
        <v/>
      </c>
      <c r="I4561" t="str">
        <f>IFERROR(VLOOKUP($E4561,'Fuel Category and Heat Rate'!$K$2:$M$36,3,FALSE),"")</f>
        <v>heavy or residual fuel oil</v>
      </c>
    </row>
    <row r="4562" spans="1:9" x14ac:dyDescent="0.15">
      <c r="A4562" s="2">
        <v>518292</v>
      </c>
      <c r="B4562" s="2" t="s">
        <v>93</v>
      </c>
      <c r="C4562" s="2">
        <v>2020</v>
      </c>
      <c r="D4562" s="2" t="s">
        <v>1</v>
      </c>
      <c r="E4562" s="2" t="s">
        <v>31</v>
      </c>
      <c r="F4562" s="2" t="s">
        <v>37</v>
      </c>
      <c r="G4562" s="7">
        <v>1393.61</v>
      </c>
      <c r="H4562" s="13">
        <f>IFERROR(IF(ABS($G4562)&gt;0,VLOOKUP($E4562,'Fuel Category and Heat Rate'!$B$1:$G$34,6,FALSE)*($G4562),""),"")</f>
        <v>13208874203199.764</v>
      </c>
      <c r="I4562" t="str">
        <f>IFERROR(VLOOKUP($E4562,'Fuel Category and Heat Rate'!$K$2:$M$36,3,FALSE),"")</f>
        <v>heat</v>
      </c>
    </row>
    <row r="4563" spans="1:9" x14ac:dyDescent="0.15">
      <c r="A4563" s="2">
        <v>518327</v>
      </c>
      <c r="B4563" s="2" t="s">
        <v>93</v>
      </c>
      <c r="C4563" s="2">
        <v>2020</v>
      </c>
      <c r="D4563" s="2" t="s">
        <v>1</v>
      </c>
      <c r="E4563" s="2" t="s">
        <v>23</v>
      </c>
      <c r="F4563" s="2" t="s">
        <v>35</v>
      </c>
      <c r="G4563" s="7"/>
      <c r="H4563" s="13" t="str">
        <f>IFERROR(IF(ABS($G4563)&gt;0,VLOOKUP($E4563,'Fuel Category and Heat Rate'!$B$1:$G$34,6,FALSE)*($G4563),""),"")</f>
        <v/>
      </c>
      <c r="I4563" t="str">
        <f>IFERROR(VLOOKUP($E4563,'Fuel Category and Heat Rate'!$K$2:$M$36,3,FALSE),"")</f>
        <v>heavy or residual fuel oil</v>
      </c>
    </row>
    <row r="4564" spans="1:9" x14ac:dyDescent="0.15">
      <c r="A4564" s="2">
        <v>518362</v>
      </c>
      <c r="B4564" s="2" t="s">
        <v>93</v>
      </c>
      <c r="C4564" s="2">
        <v>2020</v>
      </c>
      <c r="D4564" s="2" t="s">
        <v>1</v>
      </c>
      <c r="E4564" s="2" t="s">
        <v>21</v>
      </c>
      <c r="F4564" s="2" t="s">
        <v>35</v>
      </c>
      <c r="G4564" s="7"/>
      <c r="H4564" s="13" t="str">
        <f>IFERROR(IF(ABS($G4564)&gt;0,VLOOKUP($E4564,'Fuel Category and Heat Rate'!$B$1:$G$34,6,FALSE)*($G4564),""),"")</f>
        <v/>
      </c>
      <c r="I4564" t="str">
        <f>IFERROR(VLOOKUP($E4564,'Fuel Category and Heat Rate'!$K$2:$M$36,3,FALSE),"")</f>
        <v>LPG propane or butane</v>
      </c>
    </row>
    <row r="4565" spans="1:9" x14ac:dyDescent="0.15">
      <c r="A4565" s="2">
        <v>518397</v>
      </c>
      <c r="B4565" s="2" t="s">
        <v>93</v>
      </c>
      <c r="C4565" s="2">
        <v>2020</v>
      </c>
      <c r="D4565" s="2" t="s">
        <v>1</v>
      </c>
      <c r="E4565" s="2" t="s">
        <v>22</v>
      </c>
      <c r="F4565" s="2" t="s">
        <v>35</v>
      </c>
      <c r="G4565" s="7"/>
      <c r="H4565" s="13" t="str">
        <f>IFERROR(IF(ABS($G4565)&gt;0,VLOOKUP($E4565,'Fuel Category and Heat Rate'!$B$1:$G$34,6,FALSE)*($G4565),""),"")</f>
        <v/>
      </c>
      <c r="I4565" t="str">
        <f>IFERROR(VLOOKUP($E4565,'Fuel Category and Heat Rate'!$K$2:$M$36,3,FALSE),"")</f>
        <v>heavy fuel oil</v>
      </c>
    </row>
    <row r="4566" spans="1:9" x14ac:dyDescent="0.15">
      <c r="A4566" s="2">
        <v>518432</v>
      </c>
      <c r="B4566" s="2" t="s">
        <v>93</v>
      </c>
      <c r="C4566" s="2">
        <v>2020</v>
      </c>
      <c r="D4566" s="2" t="s">
        <v>1</v>
      </c>
      <c r="E4566" s="2" t="s">
        <v>20</v>
      </c>
      <c r="F4566" s="2" t="s">
        <v>35</v>
      </c>
      <c r="G4566" s="7"/>
      <c r="H4566" s="13" t="str">
        <f>IFERROR(IF(ABS($G4566)&gt;0,VLOOKUP($E4566,'Fuel Category and Heat Rate'!$B$1:$G$34,6,FALSE)*($G4566),""),"")</f>
        <v/>
      </c>
      <c r="I4566" t="str">
        <f>IFERROR(VLOOKUP($E4566,'Fuel Category and Heat Rate'!$K$2:$M$36,3,FALSE),"")</f>
        <v>LPG propane or butane</v>
      </c>
    </row>
    <row r="4567" spans="1:9" x14ac:dyDescent="0.15">
      <c r="A4567" s="2">
        <v>518467</v>
      </c>
      <c r="B4567" s="2" t="s">
        <v>93</v>
      </c>
      <c r="C4567" s="2">
        <v>2020</v>
      </c>
      <c r="D4567" s="2" t="s">
        <v>1</v>
      </c>
      <c r="E4567" s="2" t="s">
        <v>25</v>
      </c>
      <c r="F4567" s="2" t="s">
        <v>35</v>
      </c>
      <c r="G4567" s="7">
        <v>-12.4</v>
      </c>
      <c r="H4567" s="13">
        <f>IFERROR(IF(ABS($G4567)&gt;0,VLOOKUP($E4567,'Fuel Category and Heat Rate'!$B$1:$G$34,6,FALSE)*($G4567),""),"")</f>
        <v>-3754709288612.541</v>
      </c>
      <c r="I4567" t="str">
        <f>IFERROR(VLOOKUP($E4567,'Fuel Category and Heat Rate'!$K$2:$M$36,3,FALSE),"")</f>
        <v>heavy fuel oil</v>
      </c>
    </row>
    <row r="4568" spans="1:9" x14ac:dyDescent="0.15">
      <c r="A4568" s="2">
        <v>518502</v>
      </c>
      <c r="B4568" s="2" t="s">
        <v>93</v>
      </c>
      <c r="C4568" s="2">
        <v>2020</v>
      </c>
      <c r="D4568" s="2" t="s">
        <v>1</v>
      </c>
      <c r="E4568" s="2" t="s">
        <v>24</v>
      </c>
      <c r="F4568" s="2" t="s">
        <v>35</v>
      </c>
      <c r="G4568" s="7"/>
      <c r="H4568" s="13" t="str">
        <f>IFERROR(IF(ABS($G4568)&gt;0,VLOOKUP($E4568,'Fuel Category and Heat Rate'!$B$1:$G$34,6,FALSE)*($G4568),""),"")</f>
        <v/>
      </c>
      <c r="I4568" t="str">
        <f>IFERROR(VLOOKUP($E4568,'Fuel Category and Heat Rate'!$K$2:$M$36,3,FALSE),"")</f>
        <v>heavy fuel oil</v>
      </c>
    </row>
    <row r="4569" spans="1:9" x14ac:dyDescent="0.15">
      <c r="A4569" s="2">
        <v>518537</v>
      </c>
      <c r="B4569" s="2" t="s">
        <v>93</v>
      </c>
      <c r="C4569" s="2">
        <v>2020</v>
      </c>
      <c r="D4569" s="2" t="s">
        <v>1</v>
      </c>
      <c r="E4569" s="2" t="s">
        <v>29</v>
      </c>
      <c r="F4569" s="2" t="s">
        <v>36</v>
      </c>
      <c r="G4569" s="7">
        <v>-0.06</v>
      </c>
      <c r="H4569" s="13">
        <f>IFERROR(IF(ABS($G4569)&gt;0,VLOOKUP($E4569,'Fuel Category and Heat Rate'!$B$1:$G$34,6,FALSE)*($G4569),""),"")</f>
        <v>-202365590409.26602</v>
      </c>
      <c r="I4569" t="str">
        <f>IFERROR(VLOOKUP($E4569,'Fuel Category and Heat Rate'!$K$2:$M$36,3,FALSE),"")</f>
        <v>natural gas</v>
      </c>
    </row>
    <row r="4570" spans="1:9" x14ac:dyDescent="0.15">
      <c r="A4570" s="2">
        <v>518572</v>
      </c>
      <c r="B4570" s="2" t="s">
        <v>93</v>
      </c>
      <c r="C4570" s="2">
        <v>2020</v>
      </c>
      <c r="D4570" s="2" t="s">
        <v>1</v>
      </c>
      <c r="E4570" s="2" t="s">
        <v>4</v>
      </c>
      <c r="F4570" s="2" t="s">
        <v>35</v>
      </c>
      <c r="G4570" s="7"/>
      <c r="H4570" s="13" t="str">
        <f>IFERROR(IF(ABS($G4570)&gt;0,VLOOKUP($E4570,'Fuel Category and Heat Rate'!$B$1:$G$34,6,FALSE)*($G4570),""),"")</f>
        <v/>
      </c>
      <c r="I4570" t="str">
        <f>IFERROR(VLOOKUP($E4570,'Fuel Category and Heat Rate'!$K$2:$M$36,3,FALSE),"")</f>
        <v>coal</v>
      </c>
    </row>
    <row r="4571" spans="1:9" x14ac:dyDescent="0.15">
      <c r="A4571" s="2">
        <v>518607</v>
      </c>
      <c r="B4571" s="2" t="s">
        <v>93</v>
      </c>
      <c r="C4571" s="2">
        <v>2020</v>
      </c>
      <c r="D4571" s="2" t="s">
        <v>1</v>
      </c>
      <c r="E4571" s="2" t="s">
        <v>6</v>
      </c>
      <c r="F4571" s="2" t="s">
        <v>35</v>
      </c>
      <c r="G4571" s="7"/>
      <c r="H4571" s="13" t="str">
        <f>IFERROR(IF(ABS($G4571)&gt;0,VLOOKUP($E4571,'Fuel Category and Heat Rate'!$B$1:$G$34,6,FALSE)*($G4571),""),"")</f>
        <v/>
      </c>
      <c r="I4571" t="str">
        <f>IFERROR(VLOOKUP($E4571,'Fuel Category and Heat Rate'!$K$2:$M$36,3,FALSE),"")</f>
        <v>coal</v>
      </c>
    </row>
    <row r="4572" spans="1:9" x14ac:dyDescent="0.15">
      <c r="A4572" s="2">
        <v>518642</v>
      </c>
      <c r="B4572" s="2" t="s">
        <v>93</v>
      </c>
      <c r="C4572" s="2">
        <v>2020</v>
      </c>
      <c r="D4572" s="2" t="s">
        <v>1</v>
      </c>
      <c r="E4572" s="2" t="s">
        <v>26</v>
      </c>
      <c r="F4572" s="2" t="s">
        <v>35</v>
      </c>
      <c r="G4572" s="7"/>
      <c r="H4572" s="13" t="str">
        <f>IFERROR(IF(ABS($G4572)&gt;0,VLOOKUP($E4572,'Fuel Category and Heat Rate'!$B$1:$G$34,6,FALSE)*($G4572),""),"")</f>
        <v/>
      </c>
      <c r="I4572" t="str">
        <f>IFERROR(VLOOKUP($E4572,'Fuel Category and Heat Rate'!$K$2:$M$36,3,FALSE),"")</f>
        <v>LPG propane or butane</v>
      </c>
    </row>
    <row r="4573" spans="1:9" x14ac:dyDescent="0.15">
      <c r="A4573" s="2">
        <v>518677</v>
      </c>
      <c r="B4573" s="2" t="s">
        <v>93</v>
      </c>
      <c r="C4573" s="2">
        <v>2020</v>
      </c>
      <c r="D4573" s="2" t="s">
        <v>1</v>
      </c>
      <c r="E4573" s="2" t="s">
        <v>30</v>
      </c>
      <c r="F4573" s="2" t="s">
        <v>35</v>
      </c>
      <c r="G4573" s="7"/>
      <c r="H4573" s="13" t="str">
        <f>IFERROR(IF(ABS($G4573)&gt;0,VLOOKUP($E4573,'Fuel Category and Heat Rate'!$B$1:$G$34,6,FALSE)*($G4573),""),"")</f>
        <v/>
      </c>
      <c r="I4573" t="str">
        <f>IFERROR(VLOOKUP($E4573,'Fuel Category and Heat Rate'!$K$2:$M$36,3,FALSE),"")</f>
        <v>natural gas</v>
      </c>
    </row>
    <row r="4574" spans="1:9" x14ac:dyDescent="0.15">
      <c r="A4574" s="2">
        <v>518712</v>
      </c>
      <c r="B4574" s="2" t="s">
        <v>93</v>
      </c>
      <c r="C4574" s="2">
        <v>2020</v>
      </c>
      <c r="D4574" s="2" t="s">
        <v>1</v>
      </c>
      <c r="E4574" s="2" t="s">
        <v>14</v>
      </c>
      <c r="F4574" s="2" t="s">
        <v>35</v>
      </c>
      <c r="G4574" s="7">
        <v>-12.42</v>
      </c>
      <c r="H4574" s="13">
        <f>IFERROR(IF(ABS($G4574)&gt;0,VLOOKUP($E4574,'Fuel Category and Heat Rate'!$B$1:$G$34,6,FALSE)*($G4574),""),"")</f>
        <v>0</v>
      </c>
      <c r="I4574" t="str">
        <f>IFERROR(VLOOKUP($E4574,'Fuel Category and Heat Rate'!$K$2:$M$36,3,FALSE),"")</f>
        <v/>
      </c>
    </row>
    <row r="4575" spans="1:9" x14ac:dyDescent="0.15">
      <c r="A4575" s="2">
        <v>518747</v>
      </c>
      <c r="B4575" s="2" t="s">
        <v>93</v>
      </c>
      <c r="C4575" s="2">
        <v>2020</v>
      </c>
      <c r="D4575" s="2" t="s">
        <v>1</v>
      </c>
      <c r="E4575" s="2" t="s">
        <v>3</v>
      </c>
      <c r="F4575" s="2" t="s">
        <v>35</v>
      </c>
      <c r="G4575" s="7">
        <v>-95.99</v>
      </c>
      <c r="H4575" s="13">
        <f>IFERROR(IF(ABS($G4575)&gt;0,VLOOKUP($E4575,'Fuel Category and Heat Rate'!$B$1:$G$34,6,FALSE)*($G4575),""),"")</f>
        <v>-19022300288652.965</v>
      </c>
      <c r="I4575" t="str">
        <f>IFERROR(VLOOKUP($E4575,'Fuel Category and Heat Rate'!$K$2:$M$36,3,FALSE),"")</f>
        <v>coal</v>
      </c>
    </row>
    <row r="4576" spans="1:9" x14ac:dyDescent="0.15">
      <c r="A4576" s="2">
        <v>518782</v>
      </c>
      <c r="B4576" s="2" t="s">
        <v>93</v>
      </c>
      <c r="C4576" s="2">
        <v>2020</v>
      </c>
      <c r="D4576" s="2" t="s">
        <v>1</v>
      </c>
      <c r="E4576" s="2" t="s">
        <v>15</v>
      </c>
      <c r="F4576" s="2" t="s">
        <v>35</v>
      </c>
      <c r="G4576" s="7"/>
      <c r="H4576" s="13" t="str">
        <f>IFERROR(IF(ABS($G4576)&gt;0,VLOOKUP($E4576,'Fuel Category and Heat Rate'!$B$1:$G$34,6,FALSE)*($G4576),""),"")</f>
        <v/>
      </c>
      <c r="I4576" t="str">
        <f>IFERROR(VLOOKUP($E4576,'Fuel Category and Heat Rate'!$K$2:$M$36,3,FALSE),"")</f>
        <v>crude oil</v>
      </c>
    </row>
    <row r="4577" spans="1:9" x14ac:dyDescent="0.15">
      <c r="A4577" s="2">
        <v>518817</v>
      </c>
      <c r="B4577" s="2" t="s">
        <v>93</v>
      </c>
      <c r="C4577" s="2">
        <v>2020</v>
      </c>
      <c r="D4577" s="2" t="s">
        <v>1</v>
      </c>
      <c r="E4577" s="2" t="s">
        <v>11</v>
      </c>
      <c r="F4577" s="2" t="s">
        <v>36</v>
      </c>
      <c r="G4577" s="7"/>
      <c r="H4577" s="13" t="str">
        <f>IFERROR(IF(ABS($G4577)&gt;0,VLOOKUP($E4577,'Fuel Category and Heat Rate'!$B$1:$G$34,6,FALSE)*($G4577),""),"")</f>
        <v/>
      </c>
      <c r="I4577" t="str">
        <f>IFERROR(VLOOKUP($E4577,'Fuel Category and Heat Rate'!$K$2:$M$36,3,FALSE),"")</f>
        <v>LPG propane or butane</v>
      </c>
    </row>
    <row r="4578" spans="1:9" x14ac:dyDescent="0.15">
      <c r="A4578" s="2">
        <v>518852</v>
      </c>
      <c r="B4578" s="2" t="s">
        <v>93</v>
      </c>
      <c r="C4578" s="2">
        <v>2019</v>
      </c>
      <c r="D4578" s="2" t="s">
        <v>1</v>
      </c>
      <c r="E4578" s="2" t="s">
        <v>18</v>
      </c>
      <c r="F4578" s="2" t="s">
        <v>35</v>
      </c>
      <c r="G4578" s="7">
        <v>-0.01</v>
      </c>
      <c r="H4578" s="13">
        <f>IFERROR(IF(ABS($G4578)&gt;0,VLOOKUP($E4578,'Fuel Category and Heat Rate'!$B$1:$G$34,6,FALSE)*($G4578),""),"")</f>
        <v>-4042629591.5993452</v>
      </c>
      <c r="I4578" t="str">
        <f>IFERROR(VLOOKUP($E4578,'Fuel Category and Heat Rate'!$K$2:$M$36,3,FALSE),"")</f>
        <v>petroleum diesel</v>
      </c>
    </row>
    <row r="4579" spans="1:9" x14ac:dyDescent="0.15">
      <c r="A4579" s="2">
        <v>518887</v>
      </c>
      <c r="B4579" s="2" t="s">
        <v>93</v>
      </c>
      <c r="C4579" s="2">
        <v>2019</v>
      </c>
      <c r="D4579" s="2" t="s">
        <v>1</v>
      </c>
      <c r="E4579" s="2" t="s">
        <v>32</v>
      </c>
      <c r="F4579" s="2" t="s">
        <v>65</v>
      </c>
      <c r="G4579" s="7"/>
      <c r="H4579" s="13" t="str">
        <f>IFERROR(IF(ABS($G4579)&gt;0,VLOOKUP($E4579,'Fuel Category and Heat Rate'!$B$1:$G$34,6,FALSE)*($G4579),""),"")</f>
        <v/>
      </c>
      <c r="I4579" t="str">
        <f>IFERROR(VLOOKUP($E4579,'Fuel Category and Heat Rate'!$K$2:$M$36,3,FALSE),"")</f>
        <v>electricity</v>
      </c>
    </row>
    <row r="4580" spans="1:9" x14ac:dyDescent="0.15">
      <c r="A4580" s="2">
        <v>518922</v>
      </c>
      <c r="B4580" s="2" t="s">
        <v>93</v>
      </c>
      <c r="C4580" s="2">
        <v>2019</v>
      </c>
      <c r="D4580" s="2" t="s">
        <v>1</v>
      </c>
      <c r="E4580" s="2" t="s">
        <v>10</v>
      </c>
      <c r="F4580" s="2" t="s">
        <v>36</v>
      </c>
      <c r="G4580" s="7"/>
      <c r="H4580" s="13" t="str">
        <f>IFERROR(IF(ABS($G4580)&gt;0,VLOOKUP($E4580,'Fuel Category and Heat Rate'!$B$1:$G$34,6,FALSE)*($G4580),""),"")</f>
        <v/>
      </c>
      <c r="I4580" t="str">
        <f>IFERROR(VLOOKUP($E4580,'Fuel Category and Heat Rate'!$K$2:$M$36,3,FALSE),"")</f>
        <v>LPG propane or butane</v>
      </c>
    </row>
    <row r="4581" spans="1:9" x14ac:dyDescent="0.15">
      <c r="A4581" s="2">
        <v>518957</v>
      </c>
      <c r="B4581" s="2" t="s">
        <v>93</v>
      </c>
      <c r="C4581" s="2">
        <v>2019</v>
      </c>
      <c r="D4581" s="2" t="s">
        <v>1</v>
      </c>
      <c r="E4581" s="2" t="s">
        <v>9</v>
      </c>
      <c r="F4581" s="2" t="s">
        <v>36</v>
      </c>
      <c r="G4581" s="7"/>
      <c r="H4581" s="13" t="str">
        <f>IFERROR(IF(ABS($G4581)&gt;0,VLOOKUP($E4581,'Fuel Category and Heat Rate'!$B$1:$G$34,6,FALSE)*($G4581),""),"")</f>
        <v/>
      </c>
      <c r="I4581" t="str">
        <f>IFERROR(VLOOKUP($E4581,'Fuel Category and Heat Rate'!$K$2:$M$36,3,FALSE),"")</f>
        <v>LPG propane or butane</v>
      </c>
    </row>
    <row r="4582" spans="1:9" x14ac:dyDescent="0.15">
      <c r="A4582" s="2">
        <v>518992</v>
      </c>
      <c r="B4582" s="2" t="s">
        <v>93</v>
      </c>
      <c r="C4582" s="2">
        <v>2019</v>
      </c>
      <c r="D4582" s="2" t="s">
        <v>1</v>
      </c>
      <c r="E4582" s="2" t="s">
        <v>8</v>
      </c>
      <c r="F4582" s="2" t="s">
        <v>35</v>
      </c>
      <c r="G4582" s="7"/>
      <c r="H4582" s="13" t="str">
        <f>IFERROR(IF(ABS($G4582)&gt;0,VLOOKUP($E4582,'Fuel Category and Heat Rate'!$B$1:$G$34,6,FALSE)*($G4582),""),"")</f>
        <v/>
      </c>
      <c r="I4582" t="str">
        <f>IFERROR(VLOOKUP($E4582,'Fuel Category and Heat Rate'!$K$2:$M$36,3,FALSE),"")</f>
        <v>coal</v>
      </c>
    </row>
    <row r="4583" spans="1:9" x14ac:dyDescent="0.15">
      <c r="A4583" s="2">
        <v>519027</v>
      </c>
      <c r="B4583" s="2" t="s">
        <v>93</v>
      </c>
      <c r="C4583" s="2">
        <v>2019</v>
      </c>
      <c r="D4583" s="2" t="s">
        <v>1</v>
      </c>
      <c r="E4583" s="2" t="s">
        <v>27</v>
      </c>
      <c r="F4583" s="2" t="s">
        <v>35</v>
      </c>
      <c r="G4583" s="7"/>
      <c r="H4583" s="13" t="str">
        <f>IFERROR(IF(ABS($G4583)&gt;0,VLOOKUP($E4583,'Fuel Category and Heat Rate'!$B$1:$G$34,6,FALSE)*($G4583),""),"")</f>
        <v/>
      </c>
      <c r="I4583" t="str">
        <f>IFERROR(VLOOKUP($E4583,'Fuel Category and Heat Rate'!$K$2:$M$36,3,FALSE),"")</f>
        <v>LPG propane or butane</v>
      </c>
    </row>
    <row r="4584" spans="1:9" x14ac:dyDescent="0.15">
      <c r="A4584" s="2">
        <v>519062</v>
      </c>
      <c r="B4584" s="2" t="s">
        <v>93</v>
      </c>
      <c r="C4584" s="2">
        <v>2019</v>
      </c>
      <c r="D4584" s="2" t="s">
        <v>1</v>
      </c>
      <c r="E4584" s="2" t="s">
        <v>7</v>
      </c>
      <c r="F4584" s="2" t="s">
        <v>35</v>
      </c>
      <c r="G4584" s="7"/>
      <c r="H4584" s="13" t="str">
        <f>IFERROR(IF(ABS($G4584)&gt;0,VLOOKUP($E4584,'Fuel Category and Heat Rate'!$B$1:$G$34,6,FALSE)*($G4584),""),"")</f>
        <v/>
      </c>
      <c r="I4584" t="str">
        <f>IFERROR(VLOOKUP($E4584,'Fuel Category and Heat Rate'!$K$2:$M$36,3,FALSE),"")</f>
        <v>coal</v>
      </c>
    </row>
    <row r="4585" spans="1:9" x14ac:dyDescent="0.15">
      <c r="A4585" s="2">
        <v>519097</v>
      </c>
      <c r="B4585" s="2" t="s">
        <v>93</v>
      </c>
      <c r="C4585" s="2">
        <v>2019</v>
      </c>
      <c r="D4585" s="2" t="s">
        <v>1</v>
      </c>
      <c r="E4585" s="2" t="s">
        <v>2</v>
      </c>
      <c r="F4585" s="2" t="s">
        <v>35</v>
      </c>
      <c r="G4585" s="7">
        <v>-89.92</v>
      </c>
      <c r="H4585" s="13">
        <f>IFERROR(IF(ABS($G4585)&gt;0,VLOOKUP($E4585,'Fuel Category and Heat Rate'!$B$1:$G$34,6,FALSE)*($G4585),""),"")</f>
        <v>0</v>
      </c>
      <c r="I4585" t="str">
        <f>IFERROR(VLOOKUP($E4585,'Fuel Category and Heat Rate'!$K$2:$M$36,3,FALSE),"")</f>
        <v/>
      </c>
    </row>
    <row r="4586" spans="1:9" x14ac:dyDescent="0.15">
      <c r="A4586" s="2">
        <v>519132</v>
      </c>
      <c r="B4586" s="2" t="s">
        <v>93</v>
      </c>
      <c r="C4586" s="2">
        <v>2019</v>
      </c>
      <c r="D4586" s="2" t="s">
        <v>1</v>
      </c>
      <c r="E4586" s="2" t="s">
        <v>17</v>
      </c>
      <c r="F4586" s="2" t="s">
        <v>35</v>
      </c>
      <c r="G4586" s="7"/>
      <c r="H4586" s="13" t="str">
        <f>IFERROR(IF(ABS($G4586)&gt;0,VLOOKUP($E4586,'Fuel Category and Heat Rate'!$B$1:$G$34,6,FALSE)*($G4586),""),"")</f>
        <v/>
      </c>
      <c r="I4586" t="str">
        <f>IFERROR(VLOOKUP($E4586,'Fuel Category and Heat Rate'!$K$2:$M$36,3,FALSE),"")</f>
        <v>petroleum diesel</v>
      </c>
    </row>
    <row r="4587" spans="1:9" x14ac:dyDescent="0.15">
      <c r="A4587" s="2">
        <v>519167</v>
      </c>
      <c r="B4587" s="2" t="s">
        <v>93</v>
      </c>
      <c r="C4587" s="2">
        <v>2019</v>
      </c>
      <c r="D4587" s="2" t="s">
        <v>1</v>
      </c>
      <c r="E4587" s="2" t="s">
        <v>13</v>
      </c>
      <c r="F4587" s="2" t="s">
        <v>35</v>
      </c>
      <c r="G4587" s="7"/>
      <c r="H4587" s="13" t="str">
        <f>IFERROR(IF(ABS($G4587)&gt;0,VLOOKUP($E4587,'Fuel Category and Heat Rate'!$B$1:$G$34,6,FALSE)*($G4587),""),"")</f>
        <v/>
      </c>
      <c r="I4587" t="str">
        <f>IFERROR(VLOOKUP($E4587,'Fuel Category and Heat Rate'!$K$2:$M$36,3,FALSE),"")</f>
        <v>petroleum diesel</v>
      </c>
    </row>
    <row r="4588" spans="1:9" x14ac:dyDescent="0.15">
      <c r="A4588" s="2">
        <v>519202</v>
      </c>
      <c r="B4588" s="2" t="s">
        <v>93</v>
      </c>
      <c r="C4588" s="2">
        <v>2019</v>
      </c>
      <c r="D4588" s="2" t="s">
        <v>1</v>
      </c>
      <c r="E4588" s="2" t="s">
        <v>12</v>
      </c>
      <c r="F4588" s="2" t="s">
        <v>36</v>
      </c>
      <c r="G4588" s="7"/>
      <c r="H4588" s="13" t="str">
        <f>IFERROR(IF(ABS($G4588)&gt;0,VLOOKUP($E4588,'Fuel Category and Heat Rate'!$B$1:$G$34,6,FALSE)*($G4588),""),"")</f>
        <v/>
      </c>
      <c r="I4588" t="str">
        <f>IFERROR(VLOOKUP($E4588,'Fuel Category and Heat Rate'!$K$2:$M$36,3,FALSE),"")</f>
        <v>LPG propane or butane</v>
      </c>
    </row>
    <row r="4589" spans="1:9" x14ac:dyDescent="0.15">
      <c r="A4589" s="2">
        <v>519237</v>
      </c>
      <c r="B4589" s="2" t="s">
        <v>93</v>
      </c>
      <c r="C4589" s="2">
        <v>2019</v>
      </c>
      <c r="D4589" s="2" t="s">
        <v>1</v>
      </c>
      <c r="E4589" s="2" t="s">
        <v>33</v>
      </c>
      <c r="F4589" s="2" t="s">
        <v>38</v>
      </c>
      <c r="G4589" s="7">
        <v>-1.4</v>
      </c>
      <c r="H4589" s="13">
        <f>IFERROR(IF(ABS($G4589)&gt;0,VLOOKUP($E4589,'Fuel Category and Heat Rate'!$B$1:$G$34,6,FALSE)*($G4589),""),"")</f>
        <v>-388409769966.20599</v>
      </c>
      <c r="I4589" t="str">
        <f>IFERROR(VLOOKUP($E4589,'Fuel Category and Heat Rate'!$K$2:$M$36,3,FALSE),"")</f>
        <v>biomass</v>
      </c>
    </row>
    <row r="4590" spans="1:9" x14ac:dyDescent="0.15">
      <c r="A4590" s="2">
        <v>519272</v>
      </c>
      <c r="B4590" s="2" t="s">
        <v>93</v>
      </c>
      <c r="C4590" s="2">
        <v>2019</v>
      </c>
      <c r="D4590" s="2" t="s">
        <v>1</v>
      </c>
      <c r="E4590" s="2" t="s">
        <v>28</v>
      </c>
      <c r="F4590" s="2" t="s">
        <v>35</v>
      </c>
      <c r="G4590" s="7"/>
      <c r="H4590" s="13" t="str">
        <f>IFERROR(IF(ABS($G4590)&gt;0,VLOOKUP($E4590,'Fuel Category and Heat Rate'!$B$1:$G$34,6,FALSE)*($G4590),""),"")</f>
        <v/>
      </c>
      <c r="I4590" t="str">
        <f>IFERROR(VLOOKUP($E4590,'Fuel Category and Heat Rate'!$K$2:$M$36,3,FALSE),"")</f>
        <v>heavy or residual fuel oil</v>
      </c>
    </row>
    <row r="4591" spans="1:9" x14ac:dyDescent="0.15">
      <c r="A4591" s="2">
        <v>519307</v>
      </c>
      <c r="B4591" s="2" t="s">
        <v>93</v>
      </c>
      <c r="C4591" s="2">
        <v>2019</v>
      </c>
      <c r="D4591" s="2" t="s">
        <v>1</v>
      </c>
      <c r="E4591" s="2" t="s">
        <v>5</v>
      </c>
      <c r="F4591" s="2" t="s">
        <v>35</v>
      </c>
      <c r="G4591" s="7">
        <v>-8.31</v>
      </c>
      <c r="H4591" s="13">
        <f>IFERROR(IF(ABS($G4591)&gt;0,VLOOKUP($E4591,'Fuel Category and Heat Rate'!$B$1:$G$34,6,FALSE)*($G4591),""),"")</f>
        <v>-658700010999.41772</v>
      </c>
      <c r="I4591" t="str">
        <f>IFERROR(VLOOKUP($E4591,'Fuel Category and Heat Rate'!$K$2:$M$36,3,FALSE),"")</f>
        <v>coal</v>
      </c>
    </row>
    <row r="4592" spans="1:9" x14ac:dyDescent="0.15">
      <c r="A4592" s="2">
        <v>519342</v>
      </c>
      <c r="B4592" s="2" t="s">
        <v>93</v>
      </c>
      <c r="C4592" s="2">
        <v>2019</v>
      </c>
      <c r="D4592" s="2" t="s">
        <v>1</v>
      </c>
      <c r="E4592" s="2" t="s">
        <v>16</v>
      </c>
      <c r="F4592" s="2" t="s">
        <v>35</v>
      </c>
      <c r="G4592" s="7"/>
      <c r="H4592" s="13" t="str">
        <f>IFERROR(IF(ABS($G4592)&gt;0,VLOOKUP($E4592,'Fuel Category and Heat Rate'!$B$1:$G$34,6,FALSE)*($G4592),""),"")</f>
        <v/>
      </c>
      <c r="I4592" t="str">
        <f>IFERROR(VLOOKUP($E4592,'Fuel Category and Heat Rate'!$K$2:$M$36,3,FALSE),"")</f>
        <v>petroleum diesel</v>
      </c>
    </row>
    <row r="4593" spans="1:9" x14ac:dyDescent="0.15">
      <c r="A4593" s="2">
        <v>519377</v>
      </c>
      <c r="B4593" s="2" t="s">
        <v>93</v>
      </c>
      <c r="C4593" s="2">
        <v>2019</v>
      </c>
      <c r="D4593" s="2" t="s">
        <v>1</v>
      </c>
      <c r="E4593" s="2" t="s">
        <v>19</v>
      </c>
      <c r="F4593" s="2" t="s">
        <v>35</v>
      </c>
      <c r="G4593" s="7"/>
      <c r="H4593" s="13" t="str">
        <f>IFERROR(IF(ABS($G4593)&gt;0,VLOOKUP($E4593,'Fuel Category and Heat Rate'!$B$1:$G$34,6,FALSE)*($G4593),""),"")</f>
        <v/>
      </c>
      <c r="I4593" t="str">
        <f>IFERROR(VLOOKUP($E4593,'Fuel Category and Heat Rate'!$K$2:$M$36,3,FALSE),"")</f>
        <v>heavy or residual fuel oil</v>
      </c>
    </row>
    <row r="4594" spans="1:9" x14ac:dyDescent="0.15">
      <c r="A4594" s="2">
        <v>519412</v>
      </c>
      <c r="B4594" s="2" t="s">
        <v>93</v>
      </c>
      <c r="C4594" s="2">
        <v>2019</v>
      </c>
      <c r="D4594" s="2" t="s">
        <v>1</v>
      </c>
      <c r="E4594" s="2" t="s">
        <v>31</v>
      </c>
      <c r="F4594" s="2" t="s">
        <v>37</v>
      </c>
      <c r="G4594" s="7">
        <v>1264.02</v>
      </c>
      <c r="H4594" s="13">
        <f>IFERROR(IF(ABS($G4594)&gt;0,VLOOKUP($E4594,'Fuel Category and Heat Rate'!$B$1:$G$34,6,FALSE)*($G4594),""),"")</f>
        <v>11980597993935.582</v>
      </c>
      <c r="I4594" t="str">
        <f>IFERROR(VLOOKUP($E4594,'Fuel Category and Heat Rate'!$K$2:$M$36,3,FALSE),"")</f>
        <v>heat</v>
      </c>
    </row>
    <row r="4595" spans="1:9" x14ac:dyDescent="0.15">
      <c r="A4595" s="2">
        <v>519447</v>
      </c>
      <c r="B4595" s="2" t="s">
        <v>93</v>
      </c>
      <c r="C4595" s="2">
        <v>2019</v>
      </c>
      <c r="D4595" s="2" t="s">
        <v>1</v>
      </c>
      <c r="E4595" s="2" t="s">
        <v>23</v>
      </c>
      <c r="F4595" s="2" t="s">
        <v>35</v>
      </c>
      <c r="G4595" s="7"/>
      <c r="H4595" s="13" t="str">
        <f>IFERROR(IF(ABS($G4595)&gt;0,VLOOKUP($E4595,'Fuel Category and Heat Rate'!$B$1:$G$34,6,FALSE)*($G4595),""),"")</f>
        <v/>
      </c>
      <c r="I4595" t="str">
        <f>IFERROR(VLOOKUP($E4595,'Fuel Category and Heat Rate'!$K$2:$M$36,3,FALSE),"")</f>
        <v>heavy or residual fuel oil</v>
      </c>
    </row>
    <row r="4596" spans="1:9" x14ac:dyDescent="0.15">
      <c r="A4596" s="2">
        <v>519482</v>
      </c>
      <c r="B4596" s="2" t="s">
        <v>93</v>
      </c>
      <c r="C4596" s="2">
        <v>2019</v>
      </c>
      <c r="D4596" s="2" t="s">
        <v>1</v>
      </c>
      <c r="E4596" s="2" t="s">
        <v>21</v>
      </c>
      <c r="F4596" s="2" t="s">
        <v>35</v>
      </c>
      <c r="G4596" s="7"/>
      <c r="H4596" s="13" t="str">
        <f>IFERROR(IF(ABS($G4596)&gt;0,VLOOKUP($E4596,'Fuel Category and Heat Rate'!$B$1:$G$34,6,FALSE)*($G4596),""),"")</f>
        <v/>
      </c>
      <c r="I4596" t="str">
        <f>IFERROR(VLOOKUP($E4596,'Fuel Category and Heat Rate'!$K$2:$M$36,3,FALSE),"")</f>
        <v>LPG propane or butane</v>
      </c>
    </row>
    <row r="4597" spans="1:9" x14ac:dyDescent="0.15">
      <c r="A4597" s="2">
        <v>519517</v>
      </c>
      <c r="B4597" s="2" t="s">
        <v>93</v>
      </c>
      <c r="C4597" s="2">
        <v>2019</v>
      </c>
      <c r="D4597" s="2" t="s">
        <v>1</v>
      </c>
      <c r="E4597" s="2" t="s">
        <v>22</v>
      </c>
      <c r="F4597" s="2" t="s">
        <v>35</v>
      </c>
      <c r="G4597" s="7"/>
      <c r="H4597" s="13" t="str">
        <f>IFERROR(IF(ABS($G4597)&gt;0,VLOOKUP($E4597,'Fuel Category and Heat Rate'!$B$1:$G$34,6,FALSE)*($G4597),""),"")</f>
        <v/>
      </c>
      <c r="I4597" t="str">
        <f>IFERROR(VLOOKUP($E4597,'Fuel Category and Heat Rate'!$K$2:$M$36,3,FALSE),"")</f>
        <v>heavy fuel oil</v>
      </c>
    </row>
    <row r="4598" spans="1:9" x14ac:dyDescent="0.15">
      <c r="A4598" s="2">
        <v>519552</v>
      </c>
      <c r="B4598" s="2" t="s">
        <v>93</v>
      </c>
      <c r="C4598" s="2">
        <v>2019</v>
      </c>
      <c r="D4598" s="2" t="s">
        <v>1</v>
      </c>
      <c r="E4598" s="2" t="s">
        <v>20</v>
      </c>
      <c r="F4598" s="2" t="s">
        <v>35</v>
      </c>
      <c r="G4598" s="7"/>
      <c r="H4598" s="13" t="str">
        <f>IFERROR(IF(ABS($G4598)&gt;0,VLOOKUP($E4598,'Fuel Category and Heat Rate'!$B$1:$G$34,6,FALSE)*($G4598),""),"")</f>
        <v/>
      </c>
      <c r="I4598" t="str">
        <f>IFERROR(VLOOKUP($E4598,'Fuel Category and Heat Rate'!$K$2:$M$36,3,FALSE),"")</f>
        <v>LPG propane or butane</v>
      </c>
    </row>
    <row r="4599" spans="1:9" x14ac:dyDescent="0.15">
      <c r="A4599" s="2">
        <v>519587</v>
      </c>
      <c r="B4599" s="2" t="s">
        <v>93</v>
      </c>
      <c r="C4599" s="2">
        <v>2019</v>
      </c>
      <c r="D4599" s="2" t="s">
        <v>1</v>
      </c>
      <c r="E4599" s="2" t="s">
        <v>25</v>
      </c>
      <c r="F4599" s="2" t="s">
        <v>35</v>
      </c>
      <c r="G4599" s="7">
        <v>-15.85</v>
      </c>
      <c r="H4599" s="13">
        <f>IFERROR(IF(ABS($G4599)&gt;0,VLOOKUP($E4599,'Fuel Category and Heat Rate'!$B$1:$G$34,6,FALSE)*($G4599),""),"")</f>
        <v>-4799366308428.127</v>
      </c>
      <c r="I4599" t="str">
        <f>IFERROR(VLOOKUP($E4599,'Fuel Category and Heat Rate'!$K$2:$M$36,3,FALSE),"")</f>
        <v>heavy fuel oil</v>
      </c>
    </row>
    <row r="4600" spans="1:9" x14ac:dyDescent="0.15">
      <c r="A4600" s="2">
        <v>519622</v>
      </c>
      <c r="B4600" s="2" t="s">
        <v>93</v>
      </c>
      <c r="C4600" s="2">
        <v>2019</v>
      </c>
      <c r="D4600" s="2" t="s">
        <v>1</v>
      </c>
      <c r="E4600" s="2" t="s">
        <v>24</v>
      </c>
      <c r="F4600" s="2" t="s">
        <v>35</v>
      </c>
      <c r="G4600" s="7"/>
      <c r="H4600" s="13" t="str">
        <f>IFERROR(IF(ABS($G4600)&gt;0,VLOOKUP($E4600,'Fuel Category and Heat Rate'!$B$1:$G$34,6,FALSE)*($G4600),""),"")</f>
        <v/>
      </c>
      <c r="I4600" t="str">
        <f>IFERROR(VLOOKUP($E4600,'Fuel Category and Heat Rate'!$K$2:$M$36,3,FALSE),"")</f>
        <v>heavy fuel oil</v>
      </c>
    </row>
    <row r="4601" spans="1:9" x14ac:dyDescent="0.15">
      <c r="A4601" s="2">
        <v>519657</v>
      </c>
      <c r="B4601" s="2" t="s">
        <v>93</v>
      </c>
      <c r="C4601" s="2">
        <v>2019</v>
      </c>
      <c r="D4601" s="2" t="s">
        <v>1</v>
      </c>
      <c r="E4601" s="2" t="s">
        <v>29</v>
      </c>
      <c r="F4601" s="2" t="s">
        <v>36</v>
      </c>
      <c r="G4601" s="7">
        <v>-0.03</v>
      </c>
      <c r="H4601" s="13">
        <f>IFERROR(IF(ABS($G4601)&gt;0,VLOOKUP($E4601,'Fuel Category and Heat Rate'!$B$1:$G$34,6,FALSE)*($G4601),""),"")</f>
        <v>-101182795204.63301</v>
      </c>
      <c r="I4601" t="str">
        <f>IFERROR(VLOOKUP($E4601,'Fuel Category and Heat Rate'!$K$2:$M$36,3,FALSE),"")</f>
        <v>natural gas</v>
      </c>
    </row>
    <row r="4602" spans="1:9" x14ac:dyDescent="0.15">
      <c r="A4602" s="2">
        <v>519692</v>
      </c>
      <c r="B4602" s="2" t="s">
        <v>93</v>
      </c>
      <c r="C4602" s="2">
        <v>2019</v>
      </c>
      <c r="D4602" s="2" t="s">
        <v>1</v>
      </c>
      <c r="E4602" s="2" t="s">
        <v>4</v>
      </c>
      <c r="F4602" s="2" t="s">
        <v>35</v>
      </c>
      <c r="G4602" s="7"/>
      <c r="H4602" s="13" t="str">
        <f>IFERROR(IF(ABS($G4602)&gt;0,VLOOKUP($E4602,'Fuel Category and Heat Rate'!$B$1:$G$34,6,FALSE)*($G4602),""),"")</f>
        <v/>
      </c>
      <c r="I4602" t="str">
        <f>IFERROR(VLOOKUP($E4602,'Fuel Category and Heat Rate'!$K$2:$M$36,3,FALSE),"")</f>
        <v>coal</v>
      </c>
    </row>
    <row r="4603" spans="1:9" x14ac:dyDescent="0.15">
      <c r="A4603" s="2">
        <v>519727</v>
      </c>
      <c r="B4603" s="2" t="s">
        <v>93</v>
      </c>
      <c r="C4603" s="2">
        <v>2019</v>
      </c>
      <c r="D4603" s="2" t="s">
        <v>1</v>
      </c>
      <c r="E4603" s="2" t="s">
        <v>6</v>
      </c>
      <c r="F4603" s="2" t="s">
        <v>35</v>
      </c>
      <c r="G4603" s="7"/>
      <c r="H4603" s="13" t="str">
        <f>IFERROR(IF(ABS($G4603)&gt;0,VLOOKUP($E4603,'Fuel Category and Heat Rate'!$B$1:$G$34,6,FALSE)*($G4603),""),"")</f>
        <v/>
      </c>
      <c r="I4603" t="str">
        <f>IFERROR(VLOOKUP($E4603,'Fuel Category and Heat Rate'!$K$2:$M$36,3,FALSE),"")</f>
        <v>coal</v>
      </c>
    </row>
    <row r="4604" spans="1:9" x14ac:dyDescent="0.15">
      <c r="A4604" s="2">
        <v>519762</v>
      </c>
      <c r="B4604" s="2" t="s">
        <v>93</v>
      </c>
      <c r="C4604" s="2">
        <v>2019</v>
      </c>
      <c r="D4604" s="2" t="s">
        <v>1</v>
      </c>
      <c r="E4604" s="2" t="s">
        <v>26</v>
      </c>
      <c r="F4604" s="2" t="s">
        <v>35</v>
      </c>
      <c r="G4604" s="7"/>
      <c r="H4604" s="13" t="str">
        <f>IFERROR(IF(ABS($G4604)&gt;0,VLOOKUP($E4604,'Fuel Category and Heat Rate'!$B$1:$G$34,6,FALSE)*($G4604),""),"")</f>
        <v/>
      </c>
      <c r="I4604" t="str">
        <f>IFERROR(VLOOKUP($E4604,'Fuel Category and Heat Rate'!$K$2:$M$36,3,FALSE),"")</f>
        <v>LPG propane or butane</v>
      </c>
    </row>
    <row r="4605" spans="1:9" x14ac:dyDescent="0.15">
      <c r="A4605" s="2">
        <v>519797</v>
      </c>
      <c r="B4605" s="2" t="s">
        <v>93</v>
      </c>
      <c r="C4605" s="2">
        <v>2019</v>
      </c>
      <c r="D4605" s="2" t="s">
        <v>1</v>
      </c>
      <c r="E4605" s="2" t="s">
        <v>30</v>
      </c>
      <c r="F4605" s="2" t="s">
        <v>35</v>
      </c>
      <c r="G4605" s="7"/>
      <c r="H4605" s="13" t="str">
        <f>IFERROR(IF(ABS($G4605)&gt;0,VLOOKUP($E4605,'Fuel Category and Heat Rate'!$B$1:$G$34,6,FALSE)*($G4605),""),"")</f>
        <v/>
      </c>
      <c r="I4605" t="str">
        <f>IFERROR(VLOOKUP($E4605,'Fuel Category and Heat Rate'!$K$2:$M$36,3,FALSE),"")</f>
        <v>natural gas</v>
      </c>
    </row>
    <row r="4606" spans="1:9" x14ac:dyDescent="0.15">
      <c r="A4606" s="2">
        <v>519832</v>
      </c>
      <c r="B4606" s="2" t="s">
        <v>93</v>
      </c>
      <c r="C4606" s="2">
        <v>2019</v>
      </c>
      <c r="D4606" s="2" t="s">
        <v>1</v>
      </c>
      <c r="E4606" s="2" t="s">
        <v>14</v>
      </c>
      <c r="F4606" s="2" t="s">
        <v>35</v>
      </c>
      <c r="G4606" s="7">
        <v>-15.86</v>
      </c>
      <c r="H4606" s="13">
        <f>IFERROR(IF(ABS($G4606)&gt;0,VLOOKUP($E4606,'Fuel Category and Heat Rate'!$B$1:$G$34,6,FALSE)*($G4606),""),"")</f>
        <v>0</v>
      </c>
      <c r="I4606" t="str">
        <f>IFERROR(VLOOKUP($E4606,'Fuel Category and Heat Rate'!$K$2:$M$36,3,FALSE),"")</f>
        <v/>
      </c>
    </row>
    <row r="4607" spans="1:9" x14ac:dyDescent="0.15">
      <c r="A4607" s="2">
        <v>519867</v>
      </c>
      <c r="B4607" s="2" t="s">
        <v>93</v>
      </c>
      <c r="C4607" s="2">
        <v>2019</v>
      </c>
      <c r="D4607" s="2" t="s">
        <v>1</v>
      </c>
      <c r="E4607" s="2" t="s">
        <v>3</v>
      </c>
      <c r="F4607" s="2" t="s">
        <v>35</v>
      </c>
      <c r="G4607" s="7">
        <v>-81.61</v>
      </c>
      <c r="H4607" s="13">
        <f>IFERROR(IF(ABS($G4607)&gt;0,VLOOKUP($E4607,'Fuel Category and Heat Rate'!$B$1:$G$34,6,FALSE)*($G4607),""),"")</f>
        <v>-16172621383029.154</v>
      </c>
      <c r="I4607" t="str">
        <f>IFERROR(VLOOKUP($E4607,'Fuel Category and Heat Rate'!$K$2:$M$36,3,FALSE),"")</f>
        <v>coal</v>
      </c>
    </row>
    <row r="4608" spans="1:9" x14ac:dyDescent="0.15">
      <c r="A4608" s="2">
        <v>519902</v>
      </c>
      <c r="B4608" s="2" t="s">
        <v>93</v>
      </c>
      <c r="C4608" s="2">
        <v>2019</v>
      </c>
      <c r="D4608" s="2" t="s">
        <v>1</v>
      </c>
      <c r="E4608" s="2" t="s">
        <v>15</v>
      </c>
      <c r="F4608" s="2" t="s">
        <v>35</v>
      </c>
      <c r="G4608" s="7"/>
      <c r="H4608" s="13" t="str">
        <f>IFERROR(IF(ABS($G4608)&gt;0,VLOOKUP($E4608,'Fuel Category and Heat Rate'!$B$1:$G$34,6,FALSE)*($G4608),""),"")</f>
        <v/>
      </c>
      <c r="I4608" t="str">
        <f>IFERROR(VLOOKUP($E4608,'Fuel Category and Heat Rate'!$K$2:$M$36,3,FALSE),"")</f>
        <v>crude oil</v>
      </c>
    </row>
    <row r="4609" spans="1:9" x14ac:dyDescent="0.15">
      <c r="A4609" s="2">
        <v>519937</v>
      </c>
      <c r="B4609" s="2" t="s">
        <v>93</v>
      </c>
      <c r="C4609" s="2">
        <v>2019</v>
      </c>
      <c r="D4609" s="2" t="s">
        <v>1</v>
      </c>
      <c r="E4609" s="2" t="s">
        <v>11</v>
      </c>
      <c r="F4609" s="2" t="s">
        <v>36</v>
      </c>
      <c r="G4609" s="7"/>
      <c r="H4609" s="13" t="str">
        <f>IFERROR(IF(ABS($G4609)&gt;0,VLOOKUP($E4609,'Fuel Category and Heat Rate'!$B$1:$G$34,6,FALSE)*($G4609),""),"")</f>
        <v/>
      </c>
      <c r="I4609" t="str">
        <f>IFERROR(VLOOKUP($E4609,'Fuel Category and Heat Rate'!$K$2:$M$36,3,FALSE),"")</f>
        <v>LPG propane or butane</v>
      </c>
    </row>
    <row r="4610" spans="1:9" x14ac:dyDescent="0.15">
      <c r="A4610" s="2">
        <v>519972</v>
      </c>
      <c r="B4610" s="2" t="s">
        <v>93</v>
      </c>
      <c r="C4610" s="2">
        <v>2018</v>
      </c>
      <c r="D4610" s="2" t="s">
        <v>1</v>
      </c>
      <c r="E4610" s="2" t="s">
        <v>18</v>
      </c>
      <c r="F4610" s="2" t="s">
        <v>35</v>
      </c>
      <c r="G4610" s="7"/>
      <c r="H4610" s="13" t="str">
        <f>IFERROR(IF(ABS($G4610)&gt;0,VLOOKUP($E4610,'Fuel Category and Heat Rate'!$B$1:$G$34,6,FALSE)*($G4610),""),"")</f>
        <v/>
      </c>
      <c r="I4610" t="str">
        <f>IFERROR(VLOOKUP($E4610,'Fuel Category and Heat Rate'!$K$2:$M$36,3,FALSE),"")</f>
        <v>petroleum diesel</v>
      </c>
    </row>
    <row r="4611" spans="1:9" x14ac:dyDescent="0.15">
      <c r="A4611" s="2">
        <v>520007</v>
      </c>
      <c r="B4611" s="2" t="s">
        <v>93</v>
      </c>
      <c r="C4611" s="2">
        <v>2018</v>
      </c>
      <c r="D4611" s="2" t="s">
        <v>1</v>
      </c>
      <c r="E4611" s="2" t="s">
        <v>32</v>
      </c>
      <c r="F4611" s="2" t="s">
        <v>65</v>
      </c>
      <c r="G4611" s="7"/>
      <c r="H4611" s="13" t="str">
        <f>IFERROR(IF(ABS($G4611)&gt;0,VLOOKUP($E4611,'Fuel Category and Heat Rate'!$B$1:$G$34,6,FALSE)*($G4611),""),"")</f>
        <v/>
      </c>
      <c r="I4611" t="str">
        <f>IFERROR(VLOOKUP($E4611,'Fuel Category and Heat Rate'!$K$2:$M$36,3,FALSE),"")</f>
        <v>electricity</v>
      </c>
    </row>
    <row r="4612" spans="1:9" x14ac:dyDescent="0.15">
      <c r="A4612" s="2">
        <v>520042</v>
      </c>
      <c r="B4612" s="2" t="s">
        <v>93</v>
      </c>
      <c r="C4612" s="2">
        <v>2018</v>
      </c>
      <c r="D4612" s="2" t="s">
        <v>1</v>
      </c>
      <c r="E4612" s="2" t="s">
        <v>10</v>
      </c>
      <c r="F4612" s="2" t="s">
        <v>36</v>
      </c>
      <c r="G4612" s="7"/>
      <c r="H4612" s="13" t="str">
        <f>IFERROR(IF(ABS($G4612)&gt;0,VLOOKUP($E4612,'Fuel Category and Heat Rate'!$B$1:$G$34,6,FALSE)*($G4612),""),"")</f>
        <v/>
      </c>
      <c r="I4612" t="str">
        <f>IFERROR(VLOOKUP($E4612,'Fuel Category and Heat Rate'!$K$2:$M$36,3,FALSE),"")</f>
        <v>LPG propane or butane</v>
      </c>
    </row>
    <row r="4613" spans="1:9" x14ac:dyDescent="0.15">
      <c r="A4613" s="2">
        <v>520077</v>
      </c>
      <c r="B4613" s="2" t="s">
        <v>93</v>
      </c>
      <c r="C4613" s="2">
        <v>2018</v>
      </c>
      <c r="D4613" s="2" t="s">
        <v>1</v>
      </c>
      <c r="E4613" s="2" t="s">
        <v>9</v>
      </c>
      <c r="F4613" s="2" t="s">
        <v>36</v>
      </c>
      <c r="G4613" s="7"/>
      <c r="H4613" s="13" t="str">
        <f>IFERROR(IF(ABS($G4613)&gt;0,VLOOKUP($E4613,'Fuel Category and Heat Rate'!$B$1:$G$34,6,FALSE)*($G4613),""),"")</f>
        <v/>
      </c>
      <c r="I4613" t="str">
        <f>IFERROR(VLOOKUP($E4613,'Fuel Category and Heat Rate'!$K$2:$M$36,3,FALSE),"")</f>
        <v>LPG propane or butane</v>
      </c>
    </row>
    <row r="4614" spans="1:9" x14ac:dyDescent="0.15">
      <c r="A4614" s="2">
        <v>520112</v>
      </c>
      <c r="B4614" s="2" t="s">
        <v>93</v>
      </c>
      <c r="C4614" s="2">
        <v>2018</v>
      </c>
      <c r="D4614" s="2" t="s">
        <v>1</v>
      </c>
      <c r="E4614" s="2" t="s">
        <v>8</v>
      </c>
      <c r="F4614" s="2" t="s">
        <v>35</v>
      </c>
      <c r="G4614" s="7"/>
      <c r="H4614" s="13" t="str">
        <f>IFERROR(IF(ABS($G4614)&gt;0,VLOOKUP($E4614,'Fuel Category and Heat Rate'!$B$1:$G$34,6,FALSE)*($G4614),""),"")</f>
        <v/>
      </c>
      <c r="I4614" t="str">
        <f>IFERROR(VLOOKUP($E4614,'Fuel Category and Heat Rate'!$K$2:$M$36,3,FALSE),"")</f>
        <v>coal</v>
      </c>
    </row>
    <row r="4615" spans="1:9" x14ac:dyDescent="0.15">
      <c r="A4615" s="2">
        <v>520147</v>
      </c>
      <c r="B4615" s="2" t="s">
        <v>93</v>
      </c>
      <c r="C4615" s="2">
        <v>2018</v>
      </c>
      <c r="D4615" s="2" t="s">
        <v>1</v>
      </c>
      <c r="E4615" s="2" t="s">
        <v>27</v>
      </c>
      <c r="F4615" s="2" t="s">
        <v>35</v>
      </c>
      <c r="G4615" s="7"/>
      <c r="H4615" s="13" t="str">
        <f>IFERROR(IF(ABS($G4615)&gt;0,VLOOKUP($E4615,'Fuel Category and Heat Rate'!$B$1:$G$34,6,FALSE)*($G4615),""),"")</f>
        <v/>
      </c>
      <c r="I4615" t="str">
        <f>IFERROR(VLOOKUP($E4615,'Fuel Category and Heat Rate'!$K$2:$M$36,3,FALSE),"")</f>
        <v>LPG propane or butane</v>
      </c>
    </row>
    <row r="4616" spans="1:9" x14ac:dyDescent="0.15">
      <c r="A4616" s="2">
        <v>520182</v>
      </c>
      <c r="B4616" s="2" t="s">
        <v>93</v>
      </c>
      <c r="C4616" s="2">
        <v>2018</v>
      </c>
      <c r="D4616" s="2" t="s">
        <v>1</v>
      </c>
      <c r="E4616" s="2" t="s">
        <v>7</v>
      </c>
      <c r="F4616" s="2" t="s">
        <v>35</v>
      </c>
      <c r="G4616" s="7"/>
      <c r="H4616" s="13" t="str">
        <f>IFERROR(IF(ABS($G4616)&gt;0,VLOOKUP($E4616,'Fuel Category and Heat Rate'!$B$1:$G$34,6,FALSE)*($G4616),""),"")</f>
        <v/>
      </c>
      <c r="I4616" t="str">
        <f>IFERROR(VLOOKUP($E4616,'Fuel Category and Heat Rate'!$K$2:$M$36,3,FALSE),"")</f>
        <v>coal</v>
      </c>
    </row>
    <row r="4617" spans="1:9" x14ac:dyDescent="0.15">
      <c r="A4617" s="2">
        <v>520217</v>
      </c>
      <c r="B4617" s="2" t="s">
        <v>93</v>
      </c>
      <c r="C4617" s="2">
        <v>2018</v>
      </c>
      <c r="D4617" s="2" t="s">
        <v>1</v>
      </c>
      <c r="E4617" s="2" t="s">
        <v>2</v>
      </c>
      <c r="F4617" s="2" t="s">
        <v>35</v>
      </c>
      <c r="G4617" s="7">
        <v>-69.959999999999994</v>
      </c>
      <c r="H4617" s="13">
        <f>IFERROR(IF(ABS($G4617)&gt;0,VLOOKUP($E4617,'Fuel Category and Heat Rate'!$B$1:$G$34,6,FALSE)*($G4617),""),"")</f>
        <v>0</v>
      </c>
      <c r="I4617" t="str">
        <f>IFERROR(VLOOKUP($E4617,'Fuel Category and Heat Rate'!$K$2:$M$36,3,FALSE),"")</f>
        <v/>
      </c>
    </row>
    <row r="4618" spans="1:9" x14ac:dyDescent="0.15">
      <c r="A4618" s="2">
        <v>520252</v>
      </c>
      <c r="B4618" s="2" t="s">
        <v>93</v>
      </c>
      <c r="C4618" s="2">
        <v>2018</v>
      </c>
      <c r="D4618" s="2" t="s">
        <v>1</v>
      </c>
      <c r="E4618" s="2" t="s">
        <v>17</v>
      </c>
      <c r="F4618" s="2" t="s">
        <v>35</v>
      </c>
      <c r="G4618" s="7"/>
      <c r="H4618" s="13" t="str">
        <f>IFERROR(IF(ABS($G4618)&gt;0,VLOOKUP($E4618,'Fuel Category and Heat Rate'!$B$1:$G$34,6,FALSE)*($G4618),""),"")</f>
        <v/>
      </c>
      <c r="I4618" t="str">
        <f>IFERROR(VLOOKUP($E4618,'Fuel Category and Heat Rate'!$K$2:$M$36,3,FALSE),"")</f>
        <v>petroleum diesel</v>
      </c>
    </row>
    <row r="4619" spans="1:9" x14ac:dyDescent="0.15">
      <c r="A4619" s="2">
        <v>520287</v>
      </c>
      <c r="B4619" s="2" t="s">
        <v>93</v>
      </c>
      <c r="C4619" s="2">
        <v>2018</v>
      </c>
      <c r="D4619" s="2" t="s">
        <v>1</v>
      </c>
      <c r="E4619" s="2" t="s">
        <v>13</v>
      </c>
      <c r="F4619" s="2" t="s">
        <v>35</v>
      </c>
      <c r="G4619" s="7"/>
      <c r="H4619" s="13" t="str">
        <f>IFERROR(IF(ABS($G4619)&gt;0,VLOOKUP($E4619,'Fuel Category and Heat Rate'!$B$1:$G$34,6,FALSE)*($G4619),""),"")</f>
        <v/>
      </c>
      <c r="I4619" t="str">
        <f>IFERROR(VLOOKUP($E4619,'Fuel Category and Heat Rate'!$K$2:$M$36,3,FALSE),"")</f>
        <v>petroleum diesel</v>
      </c>
    </row>
    <row r="4620" spans="1:9" x14ac:dyDescent="0.15">
      <c r="A4620" s="2">
        <v>520322</v>
      </c>
      <c r="B4620" s="2" t="s">
        <v>93</v>
      </c>
      <c r="C4620" s="2">
        <v>2018</v>
      </c>
      <c r="D4620" s="2" t="s">
        <v>1</v>
      </c>
      <c r="E4620" s="2" t="s">
        <v>12</v>
      </c>
      <c r="F4620" s="2" t="s">
        <v>36</v>
      </c>
      <c r="G4620" s="7"/>
      <c r="H4620" s="13" t="str">
        <f>IFERROR(IF(ABS($G4620)&gt;0,VLOOKUP($E4620,'Fuel Category and Heat Rate'!$B$1:$G$34,6,FALSE)*($G4620),""),"")</f>
        <v/>
      </c>
      <c r="I4620" t="str">
        <f>IFERROR(VLOOKUP($E4620,'Fuel Category and Heat Rate'!$K$2:$M$36,3,FALSE),"")</f>
        <v>LPG propane or butane</v>
      </c>
    </row>
    <row r="4621" spans="1:9" x14ac:dyDescent="0.15">
      <c r="A4621" s="2">
        <v>520357</v>
      </c>
      <c r="B4621" s="2" t="s">
        <v>93</v>
      </c>
      <c r="C4621" s="2">
        <v>2018</v>
      </c>
      <c r="D4621" s="2" t="s">
        <v>1</v>
      </c>
      <c r="E4621" s="2" t="s">
        <v>33</v>
      </c>
      <c r="F4621" s="2" t="s">
        <v>38</v>
      </c>
      <c r="G4621" s="7">
        <v>-1.36</v>
      </c>
      <c r="H4621" s="13">
        <f>IFERROR(IF(ABS($G4621)&gt;0,VLOOKUP($E4621,'Fuel Category and Heat Rate'!$B$1:$G$34,6,FALSE)*($G4621),""),"")</f>
        <v>-377312347967.17157</v>
      </c>
      <c r="I4621" t="str">
        <f>IFERROR(VLOOKUP($E4621,'Fuel Category and Heat Rate'!$K$2:$M$36,3,FALSE),"")</f>
        <v>biomass</v>
      </c>
    </row>
    <row r="4622" spans="1:9" x14ac:dyDescent="0.15">
      <c r="A4622" s="2">
        <v>520392</v>
      </c>
      <c r="B4622" s="2" t="s">
        <v>93</v>
      </c>
      <c r="C4622" s="2">
        <v>2018</v>
      </c>
      <c r="D4622" s="2" t="s">
        <v>1</v>
      </c>
      <c r="E4622" s="2" t="s">
        <v>28</v>
      </c>
      <c r="F4622" s="2" t="s">
        <v>35</v>
      </c>
      <c r="G4622" s="7"/>
      <c r="H4622" s="13" t="str">
        <f>IFERROR(IF(ABS($G4622)&gt;0,VLOOKUP($E4622,'Fuel Category and Heat Rate'!$B$1:$G$34,6,FALSE)*($G4622),""),"")</f>
        <v/>
      </c>
      <c r="I4622" t="str">
        <f>IFERROR(VLOOKUP($E4622,'Fuel Category and Heat Rate'!$K$2:$M$36,3,FALSE),"")</f>
        <v>heavy or residual fuel oil</v>
      </c>
    </row>
    <row r="4623" spans="1:9" x14ac:dyDescent="0.15">
      <c r="A4623" s="2">
        <v>520427</v>
      </c>
      <c r="B4623" s="2" t="s">
        <v>93</v>
      </c>
      <c r="C4623" s="2">
        <v>2018</v>
      </c>
      <c r="D4623" s="2" t="s">
        <v>1</v>
      </c>
      <c r="E4623" s="2" t="s">
        <v>5</v>
      </c>
      <c r="F4623" s="2" t="s">
        <v>35</v>
      </c>
      <c r="G4623" s="7"/>
      <c r="H4623" s="13" t="str">
        <f>IFERROR(IF(ABS($G4623)&gt;0,VLOOKUP($E4623,'Fuel Category and Heat Rate'!$B$1:$G$34,6,FALSE)*($G4623),""),"")</f>
        <v/>
      </c>
      <c r="I4623" t="str">
        <f>IFERROR(VLOOKUP($E4623,'Fuel Category and Heat Rate'!$K$2:$M$36,3,FALSE),"")</f>
        <v>coal</v>
      </c>
    </row>
    <row r="4624" spans="1:9" x14ac:dyDescent="0.15">
      <c r="A4624" s="2">
        <v>520462</v>
      </c>
      <c r="B4624" s="2" t="s">
        <v>93</v>
      </c>
      <c r="C4624" s="2">
        <v>2018</v>
      </c>
      <c r="D4624" s="2" t="s">
        <v>1</v>
      </c>
      <c r="E4624" s="2" t="s">
        <v>16</v>
      </c>
      <c r="F4624" s="2" t="s">
        <v>35</v>
      </c>
      <c r="G4624" s="7"/>
      <c r="H4624" s="13" t="str">
        <f>IFERROR(IF(ABS($G4624)&gt;0,VLOOKUP($E4624,'Fuel Category and Heat Rate'!$B$1:$G$34,6,FALSE)*($G4624),""),"")</f>
        <v/>
      </c>
      <c r="I4624" t="str">
        <f>IFERROR(VLOOKUP($E4624,'Fuel Category and Heat Rate'!$K$2:$M$36,3,FALSE),"")</f>
        <v>petroleum diesel</v>
      </c>
    </row>
    <row r="4625" spans="1:9" x14ac:dyDescent="0.15">
      <c r="A4625" s="2">
        <v>520497</v>
      </c>
      <c r="B4625" s="2" t="s">
        <v>93</v>
      </c>
      <c r="C4625" s="2">
        <v>2018</v>
      </c>
      <c r="D4625" s="2" t="s">
        <v>1</v>
      </c>
      <c r="E4625" s="2" t="s">
        <v>19</v>
      </c>
      <c r="F4625" s="2" t="s">
        <v>35</v>
      </c>
      <c r="G4625" s="7"/>
      <c r="H4625" s="13" t="str">
        <f>IFERROR(IF(ABS($G4625)&gt;0,VLOOKUP($E4625,'Fuel Category and Heat Rate'!$B$1:$G$34,6,FALSE)*($G4625),""),"")</f>
        <v/>
      </c>
      <c r="I4625" t="str">
        <f>IFERROR(VLOOKUP($E4625,'Fuel Category and Heat Rate'!$K$2:$M$36,3,FALSE),"")</f>
        <v>heavy or residual fuel oil</v>
      </c>
    </row>
    <row r="4626" spans="1:9" x14ac:dyDescent="0.15">
      <c r="A4626" s="2">
        <v>520532</v>
      </c>
      <c r="B4626" s="2" t="s">
        <v>93</v>
      </c>
      <c r="C4626" s="2">
        <v>2018</v>
      </c>
      <c r="D4626" s="2" t="s">
        <v>1</v>
      </c>
      <c r="E4626" s="2" t="s">
        <v>31</v>
      </c>
      <c r="F4626" s="2" t="s">
        <v>37</v>
      </c>
      <c r="G4626" s="7">
        <v>1167.8599999999999</v>
      </c>
      <c r="H4626" s="13">
        <f>IFERROR(IF(ABS($G4626)&gt;0,VLOOKUP($E4626,'Fuel Category and Heat Rate'!$B$1:$G$34,6,FALSE)*($G4626),""),"")</f>
        <v>11069177048778.98</v>
      </c>
      <c r="I4626" t="str">
        <f>IFERROR(VLOOKUP($E4626,'Fuel Category and Heat Rate'!$K$2:$M$36,3,FALSE),"")</f>
        <v>heat</v>
      </c>
    </row>
    <row r="4627" spans="1:9" x14ac:dyDescent="0.15">
      <c r="A4627" s="2">
        <v>520567</v>
      </c>
      <c r="B4627" s="2" t="s">
        <v>93</v>
      </c>
      <c r="C4627" s="2">
        <v>2018</v>
      </c>
      <c r="D4627" s="2" t="s">
        <v>1</v>
      </c>
      <c r="E4627" s="2" t="s">
        <v>23</v>
      </c>
      <c r="F4627" s="2" t="s">
        <v>35</v>
      </c>
      <c r="G4627" s="7"/>
      <c r="H4627" s="13" t="str">
        <f>IFERROR(IF(ABS($G4627)&gt;0,VLOOKUP($E4627,'Fuel Category and Heat Rate'!$B$1:$G$34,6,FALSE)*($G4627),""),"")</f>
        <v/>
      </c>
      <c r="I4627" t="str">
        <f>IFERROR(VLOOKUP($E4627,'Fuel Category and Heat Rate'!$K$2:$M$36,3,FALSE),"")</f>
        <v>heavy or residual fuel oil</v>
      </c>
    </row>
    <row r="4628" spans="1:9" x14ac:dyDescent="0.15">
      <c r="A4628" s="2">
        <v>520602</v>
      </c>
      <c r="B4628" s="2" t="s">
        <v>93</v>
      </c>
      <c r="C4628" s="2">
        <v>2018</v>
      </c>
      <c r="D4628" s="2" t="s">
        <v>1</v>
      </c>
      <c r="E4628" s="2" t="s">
        <v>21</v>
      </c>
      <c r="F4628" s="2" t="s">
        <v>35</v>
      </c>
      <c r="G4628" s="7"/>
      <c r="H4628" s="13" t="str">
        <f>IFERROR(IF(ABS($G4628)&gt;0,VLOOKUP($E4628,'Fuel Category and Heat Rate'!$B$1:$G$34,6,FALSE)*($G4628),""),"")</f>
        <v/>
      </c>
      <c r="I4628" t="str">
        <f>IFERROR(VLOOKUP($E4628,'Fuel Category and Heat Rate'!$K$2:$M$36,3,FALSE),"")</f>
        <v>LPG propane or butane</v>
      </c>
    </row>
    <row r="4629" spans="1:9" x14ac:dyDescent="0.15">
      <c r="A4629" s="2">
        <v>520637</v>
      </c>
      <c r="B4629" s="2" t="s">
        <v>93</v>
      </c>
      <c r="C4629" s="2">
        <v>2018</v>
      </c>
      <c r="D4629" s="2" t="s">
        <v>1</v>
      </c>
      <c r="E4629" s="2" t="s">
        <v>22</v>
      </c>
      <c r="F4629" s="2" t="s">
        <v>35</v>
      </c>
      <c r="G4629" s="7"/>
      <c r="H4629" s="13" t="str">
        <f>IFERROR(IF(ABS($G4629)&gt;0,VLOOKUP($E4629,'Fuel Category and Heat Rate'!$B$1:$G$34,6,FALSE)*($G4629),""),"")</f>
        <v/>
      </c>
      <c r="I4629" t="str">
        <f>IFERROR(VLOOKUP($E4629,'Fuel Category and Heat Rate'!$K$2:$M$36,3,FALSE),"")</f>
        <v>heavy fuel oil</v>
      </c>
    </row>
    <row r="4630" spans="1:9" x14ac:dyDescent="0.15">
      <c r="A4630" s="2">
        <v>520672</v>
      </c>
      <c r="B4630" s="2" t="s">
        <v>93</v>
      </c>
      <c r="C4630" s="2">
        <v>2018</v>
      </c>
      <c r="D4630" s="2" t="s">
        <v>1</v>
      </c>
      <c r="E4630" s="2" t="s">
        <v>20</v>
      </c>
      <c r="F4630" s="2" t="s">
        <v>35</v>
      </c>
      <c r="G4630" s="7"/>
      <c r="H4630" s="13" t="str">
        <f>IFERROR(IF(ABS($G4630)&gt;0,VLOOKUP($E4630,'Fuel Category and Heat Rate'!$B$1:$G$34,6,FALSE)*($G4630),""),"")</f>
        <v/>
      </c>
      <c r="I4630" t="str">
        <f>IFERROR(VLOOKUP($E4630,'Fuel Category and Heat Rate'!$K$2:$M$36,3,FALSE),"")</f>
        <v>LPG propane or butane</v>
      </c>
    </row>
    <row r="4631" spans="1:9" x14ac:dyDescent="0.15">
      <c r="A4631" s="2">
        <v>520707</v>
      </c>
      <c r="B4631" s="2" t="s">
        <v>93</v>
      </c>
      <c r="C4631" s="2">
        <v>2018</v>
      </c>
      <c r="D4631" s="2" t="s">
        <v>1</v>
      </c>
      <c r="E4631" s="2" t="s">
        <v>25</v>
      </c>
      <c r="F4631" s="2" t="s">
        <v>35</v>
      </c>
      <c r="G4631" s="7">
        <v>-11.4</v>
      </c>
      <c r="H4631" s="13">
        <f>IFERROR(IF(ABS($G4631)&gt;0,VLOOKUP($E4631,'Fuel Category and Heat Rate'!$B$1:$G$34,6,FALSE)*($G4631),""),"")</f>
        <v>-3451910152434.1104</v>
      </c>
      <c r="I4631" t="str">
        <f>IFERROR(VLOOKUP($E4631,'Fuel Category and Heat Rate'!$K$2:$M$36,3,FALSE),"")</f>
        <v>heavy fuel oil</v>
      </c>
    </row>
    <row r="4632" spans="1:9" x14ac:dyDescent="0.15">
      <c r="A4632" s="2">
        <v>520742</v>
      </c>
      <c r="B4632" s="2" t="s">
        <v>93</v>
      </c>
      <c r="C4632" s="2">
        <v>2018</v>
      </c>
      <c r="D4632" s="2" t="s">
        <v>1</v>
      </c>
      <c r="E4632" s="2" t="s">
        <v>24</v>
      </c>
      <c r="F4632" s="2" t="s">
        <v>35</v>
      </c>
      <c r="G4632" s="7"/>
      <c r="H4632" s="13" t="str">
        <f>IFERROR(IF(ABS($G4632)&gt;0,VLOOKUP($E4632,'Fuel Category and Heat Rate'!$B$1:$G$34,6,FALSE)*($G4632),""),"")</f>
        <v/>
      </c>
      <c r="I4632" t="str">
        <f>IFERROR(VLOOKUP($E4632,'Fuel Category and Heat Rate'!$K$2:$M$36,3,FALSE),"")</f>
        <v>heavy fuel oil</v>
      </c>
    </row>
    <row r="4633" spans="1:9" x14ac:dyDescent="0.15">
      <c r="A4633" s="2">
        <v>520777</v>
      </c>
      <c r="B4633" s="2" t="s">
        <v>93</v>
      </c>
      <c r="C4633" s="2">
        <v>2018</v>
      </c>
      <c r="D4633" s="2" t="s">
        <v>1</v>
      </c>
      <c r="E4633" s="2" t="s">
        <v>29</v>
      </c>
      <c r="F4633" s="2" t="s">
        <v>36</v>
      </c>
      <c r="G4633" s="7"/>
      <c r="H4633" s="13" t="str">
        <f>IFERROR(IF(ABS($G4633)&gt;0,VLOOKUP($E4633,'Fuel Category and Heat Rate'!$B$1:$G$34,6,FALSE)*($G4633),""),"")</f>
        <v/>
      </c>
      <c r="I4633" t="str">
        <f>IFERROR(VLOOKUP($E4633,'Fuel Category and Heat Rate'!$K$2:$M$36,3,FALSE),"")</f>
        <v>natural gas</v>
      </c>
    </row>
    <row r="4634" spans="1:9" x14ac:dyDescent="0.15">
      <c r="A4634" s="2">
        <v>520812</v>
      </c>
      <c r="B4634" s="2" t="s">
        <v>93</v>
      </c>
      <c r="C4634" s="2">
        <v>2018</v>
      </c>
      <c r="D4634" s="2" t="s">
        <v>1</v>
      </c>
      <c r="E4634" s="2" t="s">
        <v>4</v>
      </c>
      <c r="F4634" s="2" t="s">
        <v>35</v>
      </c>
      <c r="G4634" s="7"/>
      <c r="H4634" s="13" t="str">
        <f>IFERROR(IF(ABS($G4634)&gt;0,VLOOKUP($E4634,'Fuel Category and Heat Rate'!$B$1:$G$34,6,FALSE)*($G4634),""),"")</f>
        <v/>
      </c>
      <c r="I4634" t="str">
        <f>IFERROR(VLOOKUP($E4634,'Fuel Category and Heat Rate'!$K$2:$M$36,3,FALSE),"")</f>
        <v>coal</v>
      </c>
    </row>
    <row r="4635" spans="1:9" x14ac:dyDescent="0.15">
      <c r="A4635" s="2">
        <v>520847</v>
      </c>
      <c r="B4635" s="2" t="s">
        <v>93</v>
      </c>
      <c r="C4635" s="2">
        <v>2018</v>
      </c>
      <c r="D4635" s="2" t="s">
        <v>1</v>
      </c>
      <c r="E4635" s="2" t="s">
        <v>6</v>
      </c>
      <c r="F4635" s="2" t="s">
        <v>35</v>
      </c>
      <c r="G4635" s="7"/>
      <c r="H4635" s="13" t="str">
        <f>IFERROR(IF(ABS($G4635)&gt;0,VLOOKUP($E4635,'Fuel Category and Heat Rate'!$B$1:$G$34,6,FALSE)*($G4635),""),"")</f>
        <v/>
      </c>
      <c r="I4635" t="str">
        <f>IFERROR(VLOOKUP($E4635,'Fuel Category and Heat Rate'!$K$2:$M$36,3,FALSE),"")</f>
        <v>coal</v>
      </c>
    </row>
    <row r="4636" spans="1:9" x14ac:dyDescent="0.15">
      <c r="A4636" s="2">
        <v>520882</v>
      </c>
      <c r="B4636" s="2" t="s">
        <v>93</v>
      </c>
      <c r="C4636" s="2">
        <v>2018</v>
      </c>
      <c r="D4636" s="2" t="s">
        <v>1</v>
      </c>
      <c r="E4636" s="2" t="s">
        <v>26</v>
      </c>
      <c r="F4636" s="2" t="s">
        <v>35</v>
      </c>
      <c r="G4636" s="7"/>
      <c r="H4636" s="13" t="str">
        <f>IFERROR(IF(ABS($G4636)&gt;0,VLOOKUP($E4636,'Fuel Category and Heat Rate'!$B$1:$G$34,6,FALSE)*($G4636),""),"")</f>
        <v/>
      </c>
      <c r="I4636" t="str">
        <f>IFERROR(VLOOKUP($E4636,'Fuel Category and Heat Rate'!$K$2:$M$36,3,FALSE),"")</f>
        <v>LPG propane or butane</v>
      </c>
    </row>
    <row r="4637" spans="1:9" x14ac:dyDescent="0.15">
      <c r="A4637" s="2">
        <v>520917</v>
      </c>
      <c r="B4637" s="2" t="s">
        <v>93</v>
      </c>
      <c r="C4637" s="2">
        <v>2018</v>
      </c>
      <c r="D4637" s="2" t="s">
        <v>1</v>
      </c>
      <c r="E4637" s="2" t="s">
        <v>30</v>
      </c>
      <c r="F4637" s="2" t="s">
        <v>35</v>
      </c>
      <c r="G4637" s="7"/>
      <c r="H4637" s="13" t="str">
        <f>IFERROR(IF(ABS($G4637)&gt;0,VLOOKUP($E4637,'Fuel Category and Heat Rate'!$B$1:$G$34,6,FALSE)*($G4637),""),"")</f>
        <v/>
      </c>
      <c r="I4637" t="str">
        <f>IFERROR(VLOOKUP($E4637,'Fuel Category and Heat Rate'!$K$2:$M$36,3,FALSE),"")</f>
        <v>natural gas</v>
      </c>
    </row>
    <row r="4638" spans="1:9" x14ac:dyDescent="0.15">
      <c r="A4638" s="2">
        <v>520952</v>
      </c>
      <c r="B4638" s="2" t="s">
        <v>93</v>
      </c>
      <c r="C4638" s="2">
        <v>2018</v>
      </c>
      <c r="D4638" s="2" t="s">
        <v>1</v>
      </c>
      <c r="E4638" s="2" t="s">
        <v>14</v>
      </c>
      <c r="F4638" s="2" t="s">
        <v>35</v>
      </c>
      <c r="G4638" s="7">
        <v>-11.4</v>
      </c>
      <c r="H4638" s="13">
        <f>IFERROR(IF(ABS($G4638)&gt;0,VLOOKUP($E4638,'Fuel Category and Heat Rate'!$B$1:$G$34,6,FALSE)*($G4638),""),"")</f>
        <v>0</v>
      </c>
      <c r="I4638" t="str">
        <f>IFERROR(VLOOKUP($E4638,'Fuel Category and Heat Rate'!$K$2:$M$36,3,FALSE),"")</f>
        <v/>
      </c>
    </row>
    <row r="4639" spans="1:9" x14ac:dyDescent="0.15">
      <c r="A4639" s="2">
        <v>520987</v>
      </c>
      <c r="B4639" s="2" t="s">
        <v>93</v>
      </c>
      <c r="C4639" s="2">
        <v>2018</v>
      </c>
      <c r="D4639" s="2" t="s">
        <v>1</v>
      </c>
      <c r="E4639" s="2" t="s">
        <v>3</v>
      </c>
      <c r="F4639" s="2" t="s">
        <v>35</v>
      </c>
      <c r="G4639" s="7">
        <v>-69.959999999999994</v>
      </c>
      <c r="H4639" s="13">
        <f>IFERROR(IF(ABS($G4639)&gt;0,VLOOKUP($E4639,'Fuel Category and Heat Rate'!$B$1:$G$34,6,FALSE)*($G4639),""),"")</f>
        <v>-13863945496345.051</v>
      </c>
      <c r="I4639" t="str">
        <f>IFERROR(VLOOKUP($E4639,'Fuel Category and Heat Rate'!$K$2:$M$36,3,FALSE),"")</f>
        <v>coal</v>
      </c>
    </row>
    <row r="4640" spans="1:9" x14ac:dyDescent="0.15">
      <c r="A4640" s="2">
        <v>521022</v>
      </c>
      <c r="B4640" s="2" t="s">
        <v>93</v>
      </c>
      <c r="C4640" s="2">
        <v>2018</v>
      </c>
      <c r="D4640" s="2" t="s">
        <v>1</v>
      </c>
      <c r="E4640" s="2" t="s">
        <v>15</v>
      </c>
      <c r="F4640" s="2" t="s">
        <v>35</v>
      </c>
      <c r="G4640" s="7"/>
      <c r="H4640" s="13" t="str">
        <f>IFERROR(IF(ABS($G4640)&gt;0,VLOOKUP($E4640,'Fuel Category and Heat Rate'!$B$1:$G$34,6,FALSE)*($G4640),""),"")</f>
        <v/>
      </c>
      <c r="I4640" t="str">
        <f>IFERROR(VLOOKUP($E4640,'Fuel Category and Heat Rate'!$K$2:$M$36,3,FALSE),"")</f>
        <v>crude oil</v>
      </c>
    </row>
    <row r="4641" spans="1:9" x14ac:dyDescent="0.15">
      <c r="A4641" s="2">
        <v>521057</v>
      </c>
      <c r="B4641" s="2" t="s">
        <v>93</v>
      </c>
      <c r="C4641" s="2">
        <v>2018</v>
      </c>
      <c r="D4641" s="2" t="s">
        <v>1</v>
      </c>
      <c r="E4641" s="2" t="s">
        <v>11</v>
      </c>
      <c r="F4641" s="2" t="s">
        <v>36</v>
      </c>
      <c r="G4641" s="7"/>
      <c r="H4641" s="13" t="str">
        <f>IFERROR(IF(ABS($G4641)&gt;0,VLOOKUP($E4641,'Fuel Category and Heat Rate'!$B$1:$G$34,6,FALSE)*($G4641),""),"")</f>
        <v/>
      </c>
      <c r="I4641" t="str">
        <f>IFERROR(VLOOKUP($E4641,'Fuel Category and Heat Rate'!$K$2:$M$36,3,FALSE),"")</f>
        <v>LPG propane or butane</v>
      </c>
    </row>
    <row r="4642" spans="1:9" x14ac:dyDescent="0.15">
      <c r="A4642" s="2">
        <v>533902</v>
      </c>
      <c r="B4642" s="2" t="s">
        <v>94</v>
      </c>
      <c r="C4642" s="2">
        <v>2022</v>
      </c>
      <c r="D4642" s="2" t="s">
        <v>1</v>
      </c>
      <c r="E4642" s="2" t="s">
        <v>18</v>
      </c>
      <c r="F4642" s="2" t="s">
        <v>35</v>
      </c>
      <c r="G4642" s="7">
        <v>-0.21</v>
      </c>
      <c r="H4642" s="13">
        <f>IFERROR(IF(ABS($G4642)&gt;0,VLOOKUP($E4642,'Fuel Category and Heat Rate'!$B$1:$G$34,6,FALSE)*($G4642),""),"")</f>
        <v>-84895221423.586243</v>
      </c>
      <c r="I4642" t="str">
        <f>IFERROR(VLOOKUP($E4642,'Fuel Category and Heat Rate'!$K$2:$M$36,3,FALSE),"")</f>
        <v>petroleum diesel</v>
      </c>
    </row>
    <row r="4643" spans="1:9" x14ac:dyDescent="0.15">
      <c r="A4643" s="2">
        <v>533937</v>
      </c>
      <c r="B4643" s="2" t="s">
        <v>94</v>
      </c>
      <c r="C4643" s="2">
        <v>2022</v>
      </c>
      <c r="D4643" s="2" t="s">
        <v>1</v>
      </c>
      <c r="E4643" s="2" t="s">
        <v>32</v>
      </c>
      <c r="F4643" s="2" t="s">
        <v>65</v>
      </c>
      <c r="G4643" s="7"/>
      <c r="H4643" s="13" t="str">
        <f>IFERROR(IF(ABS($G4643)&gt;0,VLOOKUP($E4643,'Fuel Category and Heat Rate'!$B$1:$G$34,6,FALSE)*($G4643),""),"")</f>
        <v/>
      </c>
      <c r="I4643" t="str">
        <f>IFERROR(VLOOKUP($E4643,'Fuel Category and Heat Rate'!$K$2:$M$36,3,FALSE),"")</f>
        <v>electricity</v>
      </c>
    </row>
    <row r="4644" spans="1:9" x14ac:dyDescent="0.15">
      <c r="A4644" s="2">
        <v>533972</v>
      </c>
      <c r="B4644" s="2" t="s">
        <v>94</v>
      </c>
      <c r="C4644" s="2">
        <v>2022</v>
      </c>
      <c r="D4644" s="2" t="s">
        <v>1</v>
      </c>
      <c r="E4644" s="2" t="s">
        <v>10</v>
      </c>
      <c r="F4644" s="2" t="s">
        <v>36</v>
      </c>
      <c r="G4644" s="7"/>
      <c r="H4644" s="13" t="str">
        <f>IFERROR(IF(ABS($G4644)&gt;0,VLOOKUP($E4644,'Fuel Category and Heat Rate'!$B$1:$G$34,6,FALSE)*($G4644),""),"")</f>
        <v/>
      </c>
      <c r="I4644" t="str">
        <f>IFERROR(VLOOKUP($E4644,'Fuel Category and Heat Rate'!$K$2:$M$36,3,FALSE),"")</f>
        <v>LPG propane or butane</v>
      </c>
    </row>
    <row r="4645" spans="1:9" x14ac:dyDescent="0.15">
      <c r="A4645" s="2">
        <v>534007</v>
      </c>
      <c r="B4645" s="2" t="s">
        <v>94</v>
      </c>
      <c r="C4645" s="2">
        <v>2022</v>
      </c>
      <c r="D4645" s="2" t="s">
        <v>1</v>
      </c>
      <c r="E4645" s="2" t="s">
        <v>9</v>
      </c>
      <c r="F4645" s="2" t="s">
        <v>36</v>
      </c>
      <c r="G4645" s="7"/>
      <c r="H4645" s="13" t="str">
        <f>IFERROR(IF(ABS($G4645)&gt;0,VLOOKUP($E4645,'Fuel Category and Heat Rate'!$B$1:$G$34,6,FALSE)*($G4645),""),"")</f>
        <v/>
      </c>
      <c r="I4645" t="str">
        <f>IFERROR(VLOOKUP($E4645,'Fuel Category and Heat Rate'!$K$2:$M$36,3,FALSE),"")</f>
        <v>LPG propane or butane</v>
      </c>
    </row>
    <row r="4646" spans="1:9" x14ac:dyDescent="0.15">
      <c r="A4646" s="2">
        <v>534042</v>
      </c>
      <c r="B4646" s="2" t="s">
        <v>94</v>
      </c>
      <c r="C4646" s="2">
        <v>2022</v>
      </c>
      <c r="D4646" s="2" t="s">
        <v>1</v>
      </c>
      <c r="E4646" s="2" t="s">
        <v>8</v>
      </c>
      <c r="F4646" s="2" t="s">
        <v>35</v>
      </c>
      <c r="G4646" s="7"/>
      <c r="H4646" s="13" t="str">
        <f>IFERROR(IF(ABS($G4646)&gt;0,VLOOKUP($E4646,'Fuel Category and Heat Rate'!$B$1:$G$34,6,FALSE)*($G4646),""),"")</f>
        <v/>
      </c>
      <c r="I4646" t="str">
        <f>IFERROR(VLOOKUP($E4646,'Fuel Category and Heat Rate'!$K$2:$M$36,3,FALSE),"")</f>
        <v>coal</v>
      </c>
    </row>
    <row r="4647" spans="1:9" x14ac:dyDescent="0.15">
      <c r="A4647" s="2">
        <v>534077</v>
      </c>
      <c r="B4647" s="2" t="s">
        <v>94</v>
      </c>
      <c r="C4647" s="2">
        <v>2022</v>
      </c>
      <c r="D4647" s="2" t="s">
        <v>1</v>
      </c>
      <c r="E4647" s="2" t="s">
        <v>27</v>
      </c>
      <c r="F4647" s="2" t="s">
        <v>35</v>
      </c>
      <c r="G4647" s="7">
        <v>-6.67</v>
      </c>
      <c r="H4647" s="13">
        <f>IFERROR(IF(ABS($G4647)&gt;0,VLOOKUP($E4647,'Fuel Category and Heat Rate'!$B$1:$G$34,6,FALSE)*($G4647),""),"")</f>
        <v>-2907966056962.7666</v>
      </c>
      <c r="I4647" t="str">
        <f>IFERROR(VLOOKUP($E4647,'Fuel Category and Heat Rate'!$K$2:$M$36,3,FALSE),"")</f>
        <v>LPG propane or butane</v>
      </c>
    </row>
    <row r="4648" spans="1:9" x14ac:dyDescent="0.15">
      <c r="A4648" s="2">
        <v>534112</v>
      </c>
      <c r="B4648" s="2" t="s">
        <v>94</v>
      </c>
      <c r="C4648" s="2">
        <v>2022</v>
      </c>
      <c r="D4648" s="2" t="s">
        <v>1</v>
      </c>
      <c r="E4648" s="2" t="s">
        <v>7</v>
      </c>
      <c r="F4648" s="2" t="s">
        <v>35</v>
      </c>
      <c r="G4648" s="7"/>
      <c r="H4648" s="13" t="str">
        <f>IFERROR(IF(ABS($G4648)&gt;0,VLOOKUP($E4648,'Fuel Category and Heat Rate'!$B$1:$G$34,6,FALSE)*($G4648),""),"")</f>
        <v/>
      </c>
      <c r="I4648" t="str">
        <f>IFERROR(VLOOKUP($E4648,'Fuel Category and Heat Rate'!$K$2:$M$36,3,FALSE),"")</f>
        <v>coal</v>
      </c>
    </row>
    <row r="4649" spans="1:9" x14ac:dyDescent="0.15">
      <c r="A4649" s="2">
        <v>534147</v>
      </c>
      <c r="B4649" s="2" t="s">
        <v>94</v>
      </c>
      <c r="C4649" s="2">
        <v>2022</v>
      </c>
      <c r="D4649" s="2" t="s">
        <v>1</v>
      </c>
      <c r="E4649" s="2" t="s">
        <v>2</v>
      </c>
      <c r="F4649" s="2" t="s">
        <v>35</v>
      </c>
      <c r="G4649" s="7">
        <v>-3471.74</v>
      </c>
      <c r="H4649" s="13">
        <f>IFERROR(IF(ABS($G4649)&gt;0,VLOOKUP($E4649,'Fuel Category and Heat Rate'!$B$1:$G$34,6,FALSE)*($G4649),""),"")</f>
        <v>0</v>
      </c>
      <c r="I4649" t="str">
        <f>IFERROR(VLOOKUP($E4649,'Fuel Category and Heat Rate'!$K$2:$M$36,3,FALSE),"")</f>
        <v/>
      </c>
    </row>
    <row r="4650" spans="1:9" x14ac:dyDescent="0.15">
      <c r="A4650" s="2">
        <v>534182</v>
      </c>
      <c r="B4650" s="2" t="s">
        <v>94</v>
      </c>
      <c r="C4650" s="2">
        <v>2022</v>
      </c>
      <c r="D4650" s="2" t="s">
        <v>1</v>
      </c>
      <c r="E4650" s="2" t="s">
        <v>17</v>
      </c>
      <c r="F4650" s="2" t="s">
        <v>35</v>
      </c>
      <c r="G4650" s="7"/>
      <c r="H4650" s="13" t="str">
        <f>IFERROR(IF(ABS($G4650)&gt;0,VLOOKUP($E4650,'Fuel Category and Heat Rate'!$B$1:$G$34,6,FALSE)*($G4650),""),"")</f>
        <v/>
      </c>
      <c r="I4650" t="str">
        <f>IFERROR(VLOOKUP($E4650,'Fuel Category and Heat Rate'!$K$2:$M$36,3,FALSE),"")</f>
        <v>petroleum diesel</v>
      </c>
    </row>
    <row r="4651" spans="1:9" x14ac:dyDescent="0.15">
      <c r="A4651" s="2">
        <v>534217</v>
      </c>
      <c r="B4651" s="2" t="s">
        <v>94</v>
      </c>
      <c r="C4651" s="2">
        <v>2022</v>
      </c>
      <c r="D4651" s="2" t="s">
        <v>1</v>
      </c>
      <c r="E4651" s="2" t="s">
        <v>13</v>
      </c>
      <c r="F4651" s="2" t="s">
        <v>35</v>
      </c>
      <c r="G4651" s="7"/>
      <c r="H4651" s="13" t="str">
        <f>IFERROR(IF(ABS($G4651)&gt;0,VLOOKUP($E4651,'Fuel Category and Heat Rate'!$B$1:$G$34,6,FALSE)*($G4651),""),"")</f>
        <v/>
      </c>
      <c r="I4651" t="str">
        <f>IFERROR(VLOOKUP($E4651,'Fuel Category and Heat Rate'!$K$2:$M$36,3,FALSE),"")</f>
        <v>petroleum diesel</v>
      </c>
    </row>
    <row r="4652" spans="1:9" x14ac:dyDescent="0.15">
      <c r="A4652" s="2">
        <v>534252</v>
      </c>
      <c r="B4652" s="2" t="s">
        <v>94</v>
      </c>
      <c r="C4652" s="2">
        <v>2022</v>
      </c>
      <c r="D4652" s="2" t="s">
        <v>1</v>
      </c>
      <c r="E4652" s="2" t="s">
        <v>12</v>
      </c>
      <c r="F4652" s="2" t="s">
        <v>36</v>
      </c>
      <c r="G4652" s="7"/>
      <c r="H4652" s="13" t="str">
        <f>IFERROR(IF(ABS($G4652)&gt;0,VLOOKUP($E4652,'Fuel Category and Heat Rate'!$B$1:$G$34,6,FALSE)*($G4652),""),"")</f>
        <v/>
      </c>
      <c r="I4652" t="str">
        <f>IFERROR(VLOOKUP($E4652,'Fuel Category and Heat Rate'!$K$2:$M$36,3,FALSE),"")</f>
        <v>LPG propane or butane</v>
      </c>
    </row>
    <row r="4653" spans="1:9" x14ac:dyDescent="0.15">
      <c r="A4653" s="2">
        <v>534287</v>
      </c>
      <c r="B4653" s="2" t="s">
        <v>94</v>
      </c>
      <c r="C4653" s="2">
        <v>2022</v>
      </c>
      <c r="D4653" s="2" t="s">
        <v>1</v>
      </c>
      <c r="E4653" s="2" t="s">
        <v>33</v>
      </c>
      <c r="F4653" s="2" t="s">
        <v>38</v>
      </c>
      <c r="G4653" s="7">
        <v>-135.21</v>
      </c>
      <c r="H4653" s="13">
        <f>IFERROR(IF(ABS($G4653)&gt;0,VLOOKUP($E4653,'Fuel Category and Heat Rate'!$B$1:$G$34,6,FALSE)*($G4653),""),"")</f>
        <v>-37512060712236.227</v>
      </c>
      <c r="I4653" t="str">
        <f>IFERROR(VLOOKUP($E4653,'Fuel Category and Heat Rate'!$K$2:$M$36,3,FALSE),"")</f>
        <v>biomass</v>
      </c>
    </row>
    <row r="4654" spans="1:9" x14ac:dyDescent="0.15">
      <c r="A4654" s="2">
        <v>534322</v>
      </c>
      <c r="B4654" s="2" t="s">
        <v>94</v>
      </c>
      <c r="C4654" s="2">
        <v>2022</v>
      </c>
      <c r="D4654" s="2" t="s">
        <v>1</v>
      </c>
      <c r="E4654" s="2" t="s">
        <v>28</v>
      </c>
      <c r="F4654" s="2" t="s">
        <v>35</v>
      </c>
      <c r="G4654" s="7">
        <v>-2.82</v>
      </c>
      <c r="H4654" s="13">
        <f>IFERROR(IF(ABS($G4654)&gt;0,VLOOKUP($E4654,'Fuel Category and Heat Rate'!$B$1:$G$34,6,FALSE)*($G4654),""),"")</f>
        <v>-1095331588370.4166</v>
      </c>
      <c r="I4654" t="str">
        <f>IFERROR(VLOOKUP($E4654,'Fuel Category and Heat Rate'!$K$2:$M$36,3,FALSE),"")</f>
        <v>heavy or residual fuel oil</v>
      </c>
    </row>
    <row r="4655" spans="1:9" x14ac:dyDescent="0.15">
      <c r="A4655" s="2">
        <v>534357</v>
      </c>
      <c r="B4655" s="2" t="s">
        <v>94</v>
      </c>
      <c r="C4655" s="2">
        <v>2022</v>
      </c>
      <c r="D4655" s="2" t="s">
        <v>1</v>
      </c>
      <c r="E4655" s="2" t="s">
        <v>5</v>
      </c>
      <c r="F4655" s="2" t="s">
        <v>35</v>
      </c>
      <c r="G4655" s="7"/>
      <c r="H4655" s="13" t="str">
        <f>IFERROR(IF(ABS($G4655)&gt;0,VLOOKUP($E4655,'Fuel Category and Heat Rate'!$B$1:$G$34,6,FALSE)*($G4655),""),"")</f>
        <v/>
      </c>
      <c r="I4655" t="str">
        <f>IFERROR(VLOOKUP($E4655,'Fuel Category and Heat Rate'!$K$2:$M$36,3,FALSE),"")</f>
        <v>coal</v>
      </c>
    </row>
    <row r="4656" spans="1:9" x14ac:dyDescent="0.15">
      <c r="A4656" s="2">
        <v>534392</v>
      </c>
      <c r="B4656" s="2" t="s">
        <v>94</v>
      </c>
      <c r="C4656" s="2">
        <v>2022</v>
      </c>
      <c r="D4656" s="2" t="s">
        <v>1</v>
      </c>
      <c r="E4656" s="2" t="s">
        <v>16</v>
      </c>
      <c r="F4656" s="2" t="s">
        <v>35</v>
      </c>
      <c r="G4656" s="7"/>
      <c r="H4656" s="13" t="str">
        <f>IFERROR(IF(ABS($G4656)&gt;0,VLOOKUP($E4656,'Fuel Category and Heat Rate'!$B$1:$G$34,6,FALSE)*($G4656),""),"")</f>
        <v/>
      </c>
      <c r="I4656" t="str">
        <f>IFERROR(VLOOKUP($E4656,'Fuel Category and Heat Rate'!$K$2:$M$36,3,FALSE),"")</f>
        <v>petroleum diesel</v>
      </c>
    </row>
    <row r="4657" spans="1:9" x14ac:dyDescent="0.15">
      <c r="A4657" s="2">
        <v>534427</v>
      </c>
      <c r="B4657" s="2" t="s">
        <v>94</v>
      </c>
      <c r="C4657" s="2">
        <v>2022</v>
      </c>
      <c r="D4657" s="2" t="s">
        <v>1</v>
      </c>
      <c r="E4657" s="2" t="s">
        <v>19</v>
      </c>
      <c r="F4657" s="2" t="s">
        <v>35</v>
      </c>
      <c r="G4657" s="7">
        <v>-7.0000000000000007E-2</v>
      </c>
      <c r="H4657" s="13">
        <f>IFERROR(IF(ABS($G4657)&gt;0,VLOOKUP($E4657,'Fuel Category and Heat Rate'!$B$1:$G$34,6,FALSE)*($G4657),""),"")</f>
        <v>-27743744561.010685</v>
      </c>
      <c r="I4657" t="str">
        <f>IFERROR(VLOOKUP($E4657,'Fuel Category and Heat Rate'!$K$2:$M$36,3,FALSE),"")</f>
        <v>heavy or residual fuel oil</v>
      </c>
    </row>
    <row r="4658" spans="1:9" x14ac:dyDescent="0.15">
      <c r="A4658" s="2">
        <v>534462</v>
      </c>
      <c r="B4658" s="2" t="s">
        <v>94</v>
      </c>
      <c r="C4658" s="2">
        <v>2022</v>
      </c>
      <c r="D4658" s="2" t="s">
        <v>1</v>
      </c>
      <c r="E4658" s="2" t="s">
        <v>31</v>
      </c>
      <c r="F4658" s="2" t="s">
        <v>37</v>
      </c>
      <c r="G4658" s="7">
        <v>76305.259999999995</v>
      </c>
      <c r="H4658" s="13">
        <f>IFERROR(IF(ABS($G4658)&gt;0,VLOOKUP($E4658,'Fuel Category and Heat Rate'!$B$1:$G$34,6,FALSE)*($G4658),""),"")</f>
        <v>723234319775583.38</v>
      </c>
      <c r="I4658" t="str">
        <f>IFERROR(VLOOKUP($E4658,'Fuel Category and Heat Rate'!$K$2:$M$36,3,FALSE),"")</f>
        <v>heat</v>
      </c>
    </row>
    <row r="4659" spans="1:9" x14ac:dyDescent="0.15">
      <c r="A4659" s="2">
        <v>534497</v>
      </c>
      <c r="B4659" s="2" t="s">
        <v>94</v>
      </c>
      <c r="C4659" s="2">
        <v>2022</v>
      </c>
      <c r="D4659" s="2" t="s">
        <v>1</v>
      </c>
      <c r="E4659" s="2" t="s">
        <v>23</v>
      </c>
      <c r="F4659" s="2" t="s">
        <v>35</v>
      </c>
      <c r="G4659" s="7"/>
      <c r="H4659" s="13" t="str">
        <f>IFERROR(IF(ABS($G4659)&gt;0,VLOOKUP($E4659,'Fuel Category and Heat Rate'!$B$1:$G$34,6,FALSE)*($G4659),""),"")</f>
        <v/>
      </c>
      <c r="I4659" t="str">
        <f>IFERROR(VLOOKUP($E4659,'Fuel Category and Heat Rate'!$K$2:$M$36,3,FALSE),"")</f>
        <v>heavy or residual fuel oil</v>
      </c>
    </row>
    <row r="4660" spans="1:9" x14ac:dyDescent="0.15">
      <c r="A4660" s="2">
        <v>534532</v>
      </c>
      <c r="B4660" s="2" t="s">
        <v>94</v>
      </c>
      <c r="C4660" s="2">
        <v>2022</v>
      </c>
      <c r="D4660" s="2" t="s">
        <v>1</v>
      </c>
      <c r="E4660" s="2" t="s">
        <v>21</v>
      </c>
      <c r="F4660" s="2" t="s">
        <v>35</v>
      </c>
      <c r="G4660" s="7"/>
      <c r="H4660" s="13" t="str">
        <f>IFERROR(IF(ABS($G4660)&gt;0,VLOOKUP($E4660,'Fuel Category and Heat Rate'!$B$1:$G$34,6,FALSE)*($G4660),""),"")</f>
        <v/>
      </c>
      <c r="I4660" t="str">
        <f>IFERROR(VLOOKUP($E4660,'Fuel Category and Heat Rate'!$K$2:$M$36,3,FALSE),"")</f>
        <v>LPG propane or butane</v>
      </c>
    </row>
    <row r="4661" spans="1:9" x14ac:dyDescent="0.15">
      <c r="A4661" s="2">
        <v>534567</v>
      </c>
      <c r="B4661" s="2" t="s">
        <v>94</v>
      </c>
      <c r="C4661" s="2">
        <v>2022</v>
      </c>
      <c r="D4661" s="2" t="s">
        <v>1</v>
      </c>
      <c r="E4661" s="2" t="s">
        <v>22</v>
      </c>
      <c r="F4661" s="2" t="s">
        <v>35</v>
      </c>
      <c r="G4661" s="7"/>
      <c r="H4661" s="13" t="str">
        <f>IFERROR(IF(ABS($G4661)&gt;0,VLOOKUP($E4661,'Fuel Category and Heat Rate'!$B$1:$G$34,6,FALSE)*($G4661),""),"")</f>
        <v/>
      </c>
      <c r="I4661" t="str">
        <f>IFERROR(VLOOKUP($E4661,'Fuel Category and Heat Rate'!$K$2:$M$36,3,FALSE),"")</f>
        <v>heavy fuel oil</v>
      </c>
    </row>
    <row r="4662" spans="1:9" x14ac:dyDescent="0.15">
      <c r="A4662" s="2">
        <v>534602</v>
      </c>
      <c r="B4662" s="2" t="s">
        <v>94</v>
      </c>
      <c r="C4662" s="2">
        <v>2022</v>
      </c>
      <c r="D4662" s="2" t="s">
        <v>1</v>
      </c>
      <c r="E4662" s="2" t="s">
        <v>20</v>
      </c>
      <c r="F4662" s="2" t="s">
        <v>35</v>
      </c>
      <c r="G4662" s="7"/>
      <c r="H4662" s="13" t="str">
        <f>IFERROR(IF(ABS($G4662)&gt;0,VLOOKUP($E4662,'Fuel Category and Heat Rate'!$B$1:$G$34,6,FALSE)*($G4662),""),"")</f>
        <v/>
      </c>
      <c r="I4662" t="str">
        <f>IFERROR(VLOOKUP($E4662,'Fuel Category and Heat Rate'!$K$2:$M$36,3,FALSE),"")</f>
        <v>LPG propane or butane</v>
      </c>
    </row>
    <row r="4663" spans="1:9" x14ac:dyDescent="0.15">
      <c r="A4663" s="2">
        <v>534637</v>
      </c>
      <c r="B4663" s="2" t="s">
        <v>94</v>
      </c>
      <c r="C4663" s="2">
        <v>2022</v>
      </c>
      <c r="D4663" s="2" t="s">
        <v>1</v>
      </c>
      <c r="E4663" s="2" t="s">
        <v>25</v>
      </c>
      <c r="F4663" s="2" t="s">
        <v>35</v>
      </c>
      <c r="G4663" s="7">
        <v>-46.83</v>
      </c>
      <c r="H4663" s="13">
        <f>IFERROR(IF(ABS($G4663)&gt;0,VLOOKUP($E4663,'Fuel Category and Heat Rate'!$B$1:$G$34,6,FALSE)*($G4663),""),"")</f>
        <v>-14180083547235.91</v>
      </c>
      <c r="I4663" t="str">
        <f>IFERROR(VLOOKUP($E4663,'Fuel Category and Heat Rate'!$K$2:$M$36,3,FALSE),"")</f>
        <v>heavy fuel oil</v>
      </c>
    </row>
    <row r="4664" spans="1:9" x14ac:dyDescent="0.15">
      <c r="A4664" s="2">
        <v>534672</v>
      </c>
      <c r="B4664" s="2" t="s">
        <v>94</v>
      </c>
      <c r="C4664" s="2">
        <v>2022</v>
      </c>
      <c r="D4664" s="2" t="s">
        <v>1</v>
      </c>
      <c r="E4664" s="2" t="s">
        <v>24</v>
      </c>
      <c r="F4664" s="2" t="s">
        <v>35</v>
      </c>
      <c r="G4664" s="7"/>
      <c r="H4664" s="13" t="str">
        <f>IFERROR(IF(ABS($G4664)&gt;0,VLOOKUP($E4664,'Fuel Category and Heat Rate'!$B$1:$G$34,6,FALSE)*($G4664),""),"")</f>
        <v/>
      </c>
      <c r="I4664" t="str">
        <f>IFERROR(VLOOKUP($E4664,'Fuel Category and Heat Rate'!$K$2:$M$36,3,FALSE),"")</f>
        <v>heavy fuel oil</v>
      </c>
    </row>
    <row r="4665" spans="1:9" x14ac:dyDescent="0.15">
      <c r="A4665" s="2">
        <v>534707</v>
      </c>
      <c r="B4665" s="2" t="s">
        <v>94</v>
      </c>
      <c r="C4665" s="2">
        <v>2022</v>
      </c>
      <c r="D4665" s="2" t="s">
        <v>1</v>
      </c>
      <c r="E4665" s="2" t="s">
        <v>29</v>
      </c>
      <c r="F4665" s="2" t="s">
        <v>36</v>
      </c>
      <c r="G4665" s="7">
        <v>-6.13</v>
      </c>
      <c r="H4665" s="13">
        <f>IFERROR(IF(ABS($G4665)&gt;0,VLOOKUP($E4665,'Fuel Category and Heat Rate'!$B$1:$G$34,6,FALSE)*($G4665),""),"")</f>
        <v>-20675017820146.676</v>
      </c>
      <c r="I4665" t="str">
        <f>IFERROR(VLOOKUP($E4665,'Fuel Category and Heat Rate'!$K$2:$M$36,3,FALSE),"")</f>
        <v>natural gas</v>
      </c>
    </row>
    <row r="4666" spans="1:9" x14ac:dyDescent="0.15">
      <c r="A4666" s="2">
        <v>534742</v>
      </c>
      <c r="B4666" s="2" t="s">
        <v>94</v>
      </c>
      <c r="C4666" s="2">
        <v>2022</v>
      </c>
      <c r="D4666" s="2" t="s">
        <v>1</v>
      </c>
      <c r="E4666" s="2" t="s">
        <v>4</v>
      </c>
      <c r="F4666" s="2" t="s">
        <v>35</v>
      </c>
      <c r="G4666" s="7"/>
      <c r="H4666" s="13" t="str">
        <f>IFERROR(IF(ABS($G4666)&gt;0,VLOOKUP($E4666,'Fuel Category and Heat Rate'!$B$1:$G$34,6,FALSE)*($G4666),""),"")</f>
        <v/>
      </c>
      <c r="I4666" t="str">
        <f>IFERROR(VLOOKUP($E4666,'Fuel Category and Heat Rate'!$K$2:$M$36,3,FALSE),"")</f>
        <v>coal</v>
      </c>
    </row>
    <row r="4667" spans="1:9" x14ac:dyDescent="0.15">
      <c r="A4667" s="2">
        <v>534777</v>
      </c>
      <c r="B4667" s="2" t="s">
        <v>94</v>
      </c>
      <c r="C4667" s="2">
        <v>2022</v>
      </c>
      <c r="D4667" s="2" t="s">
        <v>1</v>
      </c>
      <c r="E4667" s="2" t="s">
        <v>6</v>
      </c>
      <c r="F4667" s="2" t="s">
        <v>35</v>
      </c>
      <c r="G4667" s="7"/>
      <c r="H4667" s="13" t="str">
        <f>IFERROR(IF(ABS($G4667)&gt;0,VLOOKUP($E4667,'Fuel Category and Heat Rate'!$B$1:$G$34,6,FALSE)*($G4667),""),"")</f>
        <v/>
      </c>
      <c r="I4667" t="str">
        <f>IFERROR(VLOOKUP($E4667,'Fuel Category and Heat Rate'!$K$2:$M$36,3,FALSE),"")</f>
        <v>coal</v>
      </c>
    </row>
    <row r="4668" spans="1:9" x14ac:dyDescent="0.15">
      <c r="A4668" s="2">
        <v>534812</v>
      </c>
      <c r="B4668" s="2" t="s">
        <v>94</v>
      </c>
      <c r="C4668" s="2">
        <v>2022</v>
      </c>
      <c r="D4668" s="2" t="s">
        <v>1</v>
      </c>
      <c r="E4668" s="2" t="s">
        <v>26</v>
      </c>
      <c r="F4668" s="2" t="s">
        <v>35</v>
      </c>
      <c r="G4668" s="7">
        <v>-28.11</v>
      </c>
      <c r="H4668" s="13">
        <f>IFERROR(IF(ABS($G4668)&gt;0,VLOOKUP($E4668,'Fuel Category and Heat Rate'!$B$1:$G$34,6,FALSE)*($G4668),""),"")</f>
        <v>-13369260878464.396</v>
      </c>
      <c r="I4668" t="str">
        <f>IFERROR(VLOOKUP($E4668,'Fuel Category and Heat Rate'!$K$2:$M$36,3,FALSE),"")</f>
        <v>LPG propane or butane</v>
      </c>
    </row>
    <row r="4669" spans="1:9" x14ac:dyDescent="0.15">
      <c r="A4669" s="2">
        <v>534847</v>
      </c>
      <c r="B4669" s="2" t="s">
        <v>94</v>
      </c>
      <c r="C4669" s="2">
        <v>2022</v>
      </c>
      <c r="D4669" s="2" t="s">
        <v>1</v>
      </c>
      <c r="E4669" s="2" t="s">
        <v>30</v>
      </c>
      <c r="F4669" s="2" t="s">
        <v>35</v>
      </c>
      <c r="G4669" s="7">
        <v>-4.21</v>
      </c>
      <c r="H4669" s="13">
        <f>IFERROR(IF(ABS($G4669)&gt;0,VLOOKUP($E4669,'Fuel Category and Heat Rate'!$B$1:$G$34,6,FALSE)*($G4669),""),"")</f>
        <v>-2052376089853.4426</v>
      </c>
      <c r="I4669" t="str">
        <f>IFERROR(VLOOKUP($E4669,'Fuel Category and Heat Rate'!$K$2:$M$36,3,FALSE),"")</f>
        <v>natural gas</v>
      </c>
    </row>
    <row r="4670" spans="1:9" x14ac:dyDescent="0.15">
      <c r="A4670" s="2">
        <v>534882</v>
      </c>
      <c r="B4670" s="2" t="s">
        <v>94</v>
      </c>
      <c r="C4670" s="2">
        <v>2022</v>
      </c>
      <c r="D4670" s="2" t="s">
        <v>1</v>
      </c>
      <c r="E4670" s="2" t="s">
        <v>14</v>
      </c>
      <c r="F4670" s="2" t="s">
        <v>35</v>
      </c>
      <c r="G4670" s="7">
        <v>-84.71</v>
      </c>
      <c r="H4670" s="13">
        <f>IFERROR(IF(ABS($G4670)&gt;0,VLOOKUP($E4670,'Fuel Category and Heat Rate'!$B$1:$G$34,6,FALSE)*($G4670),""),"")</f>
        <v>0</v>
      </c>
      <c r="I4670" t="str">
        <f>IFERROR(VLOOKUP($E4670,'Fuel Category and Heat Rate'!$K$2:$M$36,3,FALSE),"")</f>
        <v/>
      </c>
    </row>
    <row r="4671" spans="1:9" x14ac:dyDescent="0.15">
      <c r="A4671" s="2">
        <v>534917</v>
      </c>
      <c r="B4671" s="2" t="s">
        <v>94</v>
      </c>
      <c r="C4671" s="2">
        <v>2022</v>
      </c>
      <c r="D4671" s="2" t="s">
        <v>1</v>
      </c>
      <c r="E4671" s="2" t="s">
        <v>3</v>
      </c>
      <c r="F4671" s="2" t="s">
        <v>35</v>
      </c>
      <c r="G4671" s="7">
        <v>-3471.74</v>
      </c>
      <c r="H4671" s="13">
        <f>IFERROR(IF(ABS($G4671)&gt;0,VLOOKUP($E4671,'Fuel Category and Heat Rate'!$B$1:$G$34,6,FALSE)*($G4671),""),"")</f>
        <v>-687993341016023</v>
      </c>
      <c r="I4671" t="str">
        <f>IFERROR(VLOOKUP($E4671,'Fuel Category and Heat Rate'!$K$2:$M$36,3,FALSE),"")</f>
        <v>coal</v>
      </c>
    </row>
    <row r="4672" spans="1:9" x14ac:dyDescent="0.15">
      <c r="A4672" s="2">
        <v>534952</v>
      </c>
      <c r="B4672" s="2" t="s">
        <v>94</v>
      </c>
      <c r="C4672" s="2">
        <v>2022</v>
      </c>
      <c r="D4672" s="2" t="s">
        <v>1</v>
      </c>
      <c r="E4672" s="2" t="s">
        <v>15</v>
      </c>
      <c r="F4672" s="2" t="s">
        <v>35</v>
      </c>
      <c r="G4672" s="7"/>
      <c r="H4672" s="13" t="str">
        <f>IFERROR(IF(ABS($G4672)&gt;0,VLOOKUP($E4672,'Fuel Category and Heat Rate'!$B$1:$G$34,6,FALSE)*($G4672),""),"")</f>
        <v/>
      </c>
      <c r="I4672" t="str">
        <f>IFERROR(VLOOKUP($E4672,'Fuel Category and Heat Rate'!$K$2:$M$36,3,FALSE),"")</f>
        <v>crude oil</v>
      </c>
    </row>
    <row r="4673" spans="1:9" x14ac:dyDescent="0.15">
      <c r="A4673" s="2">
        <v>534987</v>
      </c>
      <c r="B4673" s="2" t="s">
        <v>94</v>
      </c>
      <c r="C4673" s="2">
        <v>2022</v>
      </c>
      <c r="D4673" s="2" t="s">
        <v>1</v>
      </c>
      <c r="E4673" s="2" t="s">
        <v>11</v>
      </c>
      <c r="F4673" s="2" t="s">
        <v>36</v>
      </c>
      <c r="G4673" s="7"/>
      <c r="H4673" s="13" t="str">
        <f>IFERROR(IF(ABS($G4673)&gt;0,VLOOKUP($E4673,'Fuel Category and Heat Rate'!$B$1:$G$34,6,FALSE)*($G4673),""),"")</f>
        <v/>
      </c>
      <c r="I4673" t="str">
        <f>IFERROR(VLOOKUP($E4673,'Fuel Category and Heat Rate'!$K$2:$M$36,3,FALSE),"")</f>
        <v>LPG propane or butane</v>
      </c>
    </row>
    <row r="4674" spans="1:9" x14ac:dyDescent="0.15">
      <c r="A4674" s="2">
        <v>535022</v>
      </c>
      <c r="B4674" s="2" t="s">
        <v>94</v>
      </c>
      <c r="C4674" s="2">
        <v>2021</v>
      </c>
      <c r="D4674" s="2" t="s">
        <v>1</v>
      </c>
      <c r="E4674" s="2" t="s">
        <v>18</v>
      </c>
      <c r="F4674" s="2" t="s">
        <v>35</v>
      </c>
      <c r="G4674" s="7">
        <v>-0.13</v>
      </c>
      <c r="H4674" s="13">
        <f>IFERROR(IF(ABS($G4674)&gt;0,VLOOKUP($E4674,'Fuel Category and Heat Rate'!$B$1:$G$34,6,FALSE)*($G4674),""),"")</f>
        <v>-52554184690.791489</v>
      </c>
      <c r="I4674" t="str">
        <f>IFERROR(VLOOKUP($E4674,'Fuel Category and Heat Rate'!$K$2:$M$36,3,FALSE),"")</f>
        <v>petroleum diesel</v>
      </c>
    </row>
    <row r="4675" spans="1:9" x14ac:dyDescent="0.15">
      <c r="A4675" s="2">
        <v>535057</v>
      </c>
      <c r="B4675" s="2" t="s">
        <v>94</v>
      </c>
      <c r="C4675" s="2">
        <v>2021</v>
      </c>
      <c r="D4675" s="2" t="s">
        <v>1</v>
      </c>
      <c r="E4675" s="2" t="s">
        <v>32</v>
      </c>
      <c r="F4675" s="2" t="s">
        <v>65</v>
      </c>
      <c r="G4675" s="7"/>
      <c r="H4675" s="13" t="str">
        <f>IFERROR(IF(ABS($G4675)&gt;0,VLOOKUP($E4675,'Fuel Category and Heat Rate'!$B$1:$G$34,6,FALSE)*($G4675),""),"")</f>
        <v/>
      </c>
      <c r="I4675" t="str">
        <f>IFERROR(VLOOKUP($E4675,'Fuel Category and Heat Rate'!$K$2:$M$36,3,FALSE),"")</f>
        <v>electricity</v>
      </c>
    </row>
    <row r="4676" spans="1:9" x14ac:dyDescent="0.15">
      <c r="A4676" s="2">
        <v>535092</v>
      </c>
      <c r="B4676" s="2" t="s">
        <v>94</v>
      </c>
      <c r="C4676" s="2">
        <v>2021</v>
      </c>
      <c r="D4676" s="2" t="s">
        <v>1</v>
      </c>
      <c r="E4676" s="2" t="s">
        <v>10</v>
      </c>
      <c r="F4676" s="2" t="s">
        <v>36</v>
      </c>
      <c r="G4676" s="7"/>
      <c r="H4676" s="13" t="str">
        <f>IFERROR(IF(ABS($G4676)&gt;0,VLOOKUP($E4676,'Fuel Category and Heat Rate'!$B$1:$G$34,6,FALSE)*($G4676),""),"")</f>
        <v/>
      </c>
      <c r="I4676" t="str">
        <f>IFERROR(VLOOKUP($E4676,'Fuel Category and Heat Rate'!$K$2:$M$36,3,FALSE),"")</f>
        <v>LPG propane or butane</v>
      </c>
    </row>
    <row r="4677" spans="1:9" x14ac:dyDescent="0.15">
      <c r="A4677" s="2">
        <v>535127</v>
      </c>
      <c r="B4677" s="2" t="s">
        <v>94</v>
      </c>
      <c r="C4677" s="2">
        <v>2021</v>
      </c>
      <c r="D4677" s="2" t="s">
        <v>1</v>
      </c>
      <c r="E4677" s="2" t="s">
        <v>9</v>
      </c>
      <c r="F4677" s="2" t="s">
        <v>36</v>
      </c>
      <c r="G4677" s="7"/>
      <c r="H4677" s="13" t="str">
        <f>IFERROR(IF(ABS($G4677)&gt;0,VLOOKUP($E4677,'Fuel Category and Heat Rate'!$B$1:$G$34,6,FALSE)*($G4677),""),"")</f>
        <v/>
      </c>
      <c r="I4677" t="str">
        <f>IFERROR(VLOOKUP($E4677,'Fuel Category and Heat Rate'!$K$2:$M$36,3,FALSE),"")</f>
        <v>LPG propane or butane</v>
      </c>
    </row>
    <row r="4678" spans="1:9" x14ac:dyDescent="0.15">
      <c r="A4678" s="2">
        <v>535162</v>
      </c>
      <c r="B4678" s="2" t="s">
        <v>94</v>
      </c>
      <c r="C4678" s="2">
        <v>2021</v>
      </c>
      <c r="D4678" s="2" t="s">
        <v>1</v>
      </c>
      <c r="E4678" s="2" t="s">
        <v>8</v>
      </c>
      <c r="F4678" s="2" t="s">
        <v>35</v>
      </c>
      <c r="G4678" s="7"/>
      <c r="H4678" s="13" t="str">
        <f>IFERROR(IF(ABS($G4678)&gt;0,VLOOKUP($E4678,'Fuel Category and Heat Rate'!$B$1:$G$34,6,FALSE)*($G4678),""),"")</f>
        <v/>
      </c>
      <c r="I4678" t="str">
        <f>IFERROR(VLOOKUP($E4678,'Fuel Category and Heat Rate'!$K$2:$M$36,3,FALSE),"")</f>
        <v>coal</v>
      </c>
    </row>
    <row r="4679" spans="1:9" x14ac:dyDescent="0.15">
      <c r="A4679" s="2">
        <v>535197</v>
      </c>
      <c r="B4679" s="2" t="s">
        <v>94</v>
      </c>
      <c r="C4679" s="2">
        <v>2021</v>
      </c>
      <c r="D4679" s="2" t="s">
        <v>1</v>
      </c>
      <c r="E4679" s="2" t="s">
        <v>27</v>
      </c>
      <c r="F4679" s="2" t="s">
        <v>35</v>
      </c>
      <c r="G4679" s="7"/>
      <c r="H4679" s="13" t="str">
        <f>IFERROR(IF(ABS($G4679)&gt;0,VLOOKUP($E4679,'Fuel Category and Heat Rate'!$B$1:$G$34,6,FALSE)*($G4679),""),"")</f>
        <v/>
      </c>
      <c r="I4679" t="str">
        <f>IFERROR(VLOOKUP($E4679,'Fuel Category and Heat Rate'!$K$2:$M$36,3,FALSE),"")</f>
        <v>LPG propane or butane</v>
      </c>
    </row>
    <row r="4680" spans="1:9" x14ac:dyDescent="0.15">
      <c r="A4680" s="2">
        <v>535232</v>
      </c>
      <c r="B4680" s="2" t="s">
        <v>94</v>
      </c>
      <c r="C4680" s="2">
        <v>2021</v>
      </c>
      <c r="D4680" s="2" t="s">
        <v>1</v>
      </c>
      <c r="E4680" s="2" t="s">
        <v>7</v>
      </c>
      <c r="F4680" s="2" t="s">
        <v>35</v>
      </c>
      <c r="G4680" s="7"/>
      <c r="H4680" s="13" t="str">
        <f>IFERROR(IF(ABS($G4680)&gt;0,VLOOKUP($E4680,'Fuel Category and Heat Rate'!$B$1:$G$34,6,FALSE)*($G4680),""),"")</f>
        <v/>
      </c>
      <c r="I4680" t="str">
        <f>IFERROR(VLOOKUP($E4680,'Fuel Category and Heat Rate'!$K$2:$M$36,3,FALSE),"")</f>
        <v>coal</v>
      </c>
    </row>
    <row r="4681" spans="1:9" x14ac:dyDescent="0.15">
      <c r="A4681" s="2">
        <v>535267</v>
      </c>
      <c r="B4681" s="2" t="s">
        <v>94</v>
      </c>
      <c r="C4681" s="2">
        <v>2021</v>
      </c>
      <c r="D4681" s="2" t="s">
        <v>1</v>
      </c>
      <c r="E4681" s="2" t="s">
        <v>2</v>
      </c>
      <c r="F4681" s="2" t="s">
        <v>35</v>
      </c>
      <c r="G4681" s="7">
        <v>-2914.34</v>
      </c>
      <c r="H4681" s="13">
        <f>IFERROR(IF(ABS($G4681)&gt;0,VLOOKUP($E4681,'Fuel Category and Heat Rate'!$B$1:$G$34,6,FALSE)*($G4681),""),"")</f>
        <v>0</v>
      </c>
      <c r="I4681" t="str">
        <f>IFERROR(VLOOKUP($E4681,'Fuel Category and Heat Rate'!$K$2:$M$36,3,FALSE),"")</f>
        <v/>
      </c>
    </row>
    <row r="4682" spans="1:9" x14ac:dyDescent="0.15">
      <c r="A4682" s="2">
        <v>535302</v>
      </c>
      <c r="B4682" s="2" t="s">
        <v>94</v>
      </c>
      <c r="C4682" s="2">
        <v>2021</v>
      </c>
      <c r="D4682" s="2" t="s">
        <v>1</v>
      </c>
      <c r="E4682" s="2" t="s">
        <v>17</v>
      </c>
      <c r="F4682" s="2" t="s">
        <v>35</v>
      </c>
      <c r="G4682" s="7"/>
      <c r="H4682" s="13" t="str">
        <f>IFERROR(IF(ABS($G4682)&gt;0,VLOOKUP($E4682,'Fuel Category and Heat Rate'!$B$1:$G$34,6,FALSE)*($G4682),""),"")</f>
        <v/>
      </c>
      <c r="I4682" t="str">
        <f>IFERROR(VLOOKUP($E4682,'Fuel Category and Heat Rate'!$K$2:$M$36,3,FALSE),"")</f>
        <v>petroleum diesel</v>
      </c>
    </row>
    <row r="4683" spans="1:9" x14ac:dyDescent="0.15">
      <c r="A4683" s="2">
        <v>535337</v>
      </c>
      <c r="B4683" s="2" t="s">
        <v>94</v>
      </c>
      <c r="C4683" s="2">
        <v>2021</v>
      </c>
      <c r="D4683" s="2" t="s">
        <v>1</v>
      </c>
      <c r="E4683" s="2" t="s">
        <v>13</v>
      </c>
      <c r="F4683" s="2" t="s">
        <v>35</v>
      </c>
      <c r="G4683" s="7"/>
      <c r="H4683" s="13" t="str">
        <f>IFERROR(IF(ABS($G4683)&gt;0,VLOOKUP($E4683,'Fuel Category and Heat Rate'!$B$1:$G$34,6,FALSE)*($G4683),""),"")</f>
        <v/>
      </c>
      <c r="I4683" t="str">
        <f>IFERROR(VLOOKUP($E4683,'Fuel Category and Heat Rate'!$K$2:$M$36,3,FALSE),"")</f>
        <v>petroleum diesel</v>
      </c>
    </row>
    <row r="4684" spans="1:9" x14ac:dyDescent="0.15">
      <c r="A4684" s="2">
        <v>535372</v>
      </c>
      <c r="B4684" s="2" t="s">
        <v>94</v>
      </c>
      <c r="C4684" s="2">
        <v>2021</v>
      </c>
      <c r="D4684" s="2" t="s">
        <v>1</v>
      </c>
      <c r="E4684" s="2" t="s">
        <v>12</v>
      </c>
      <c r="F4684" s="2" t="s">
        <v>36</v>
      </c>
      <c r="G4684" s="7"/>
      <c r="H4684" s="13" t="str">
        <f>IFERROR(IF(ABS($G4684)&gt;0,VLOOKUP($E4684,'Fuel Category and Heat Rate'!$B$1:$G$34,6,FALSE)*($G4684),""),"")</f>
        <v/>
      </c>
      <c r="I4684" t="str">
        <f>IFERROR(VLOOKUP($E4684,'Fuel Category and Heat Rate'!$K$2:$M$36,3,FALSE),"")</f>
        <v>LPG propane or butane</v>
      </c>
    </row>
    <row r="4685" spans="1:9" x14ac:dyDescent="0.15">
      <c r="A4685" s="2">
        <v>535407</v>
      </c>
      <c r="B4685" s="2" t="s">
        <v>94</v>
      </c>
      <c r="C4685" s="2">
        <v>2021</v>
      </c>
      <c r="D4685" s="2" t="s">
        <v>1</v>
      </c>
      <c r="E4685" s="2" t="s">
        <v>33</v>
      </c>
      <c r="F4685" s="2" t="s">
        <v>38</v>
      </c>
      <c r="G4685" s="7">
        <v>-77.650000000000006</v>
      </c>
      <c r="H4685" s="13">
        <f>IFERROR(IF(ABS($G4685)&gt;0,VLOOKUP($E4685,'Fuel Category and Heat Rate'!$B$1:$G$34,6,FALSE)*($G4685),""),"")</f>
        <v>-21542870455625.645</v>
      </c>
      <c r="I4685" t="str">
        <f>IFERROR(VLOOKUP($E4685,'Fuel Category and Heat Rate'!$K$2:$M$36,3,FALSE),"")</f>
        <v>biomass</v>
      </c>
    </row>
    <row r="4686" spans="1:9" x14ac:dyDescent="0.15">
      <c r="A4686" s="2">
        <v>535442</v>
      </c>
      <c r="B4686" s="2" t="s">
        <v>94</v>
      </c>
      <c r="C4686" s="2">
        <v>2021</v>
      </c>
      <c r="D4686" s="2" t="s">
        <v>1</v>
      </c>
      <c r="E4686" s="2" t="s">
        <v>28</v>
      </c>
      <c r="F4686" s="2" t="s">
        <v>35</v>
      </c>
      <c r="G4686" s="7">
        <v>-0.01</v>
      </c>
      <c r="H4686" s="13">
        <f>IFERROR(IF(ABS($G4686)&gt;0,VLOOKUP($E4686,'Fuel Category and Heat Rate'!$B$1:$G$34,6,FALSE)*($G4686),""),"")</f>
        <v>-3884154568.6894207</v>
      </c>
      <c r="I4686" t="str">
        <f>IFERROR(VLOOKUP($E4686,'Fuel Category and Heat Rate'!$K$2:$M$36,3,FALSE),"")</f>
        <v>heavy or residual fuel oil</v>
      </c>
    </row>
    <row r="4687" spans="1:9" x14ac:dyDescent="0.15">
      <c r="A4687" s="2">
        <v>535477</v>
      </c>
      <c r="B4687" s="2" t="s">
        <v>94</v>
      </c>
      <c r="C4687" s="2">
        <v>2021</v>
      </c>
      <c r="D4687" s="2" t="s">
        <v>1</v>
      </c>
      <c r="E4687" s="2" t="s">
        <v>5</v>
      </c>
      <c r="F4687" s="2" t="s">
        <v>35</v>
      </c>
      <c r="G4687" s="7"/>
      <c r="H4687" s="13" t="str">
        <f>IFERROR(IF(ABS($G4687)&gt;0,VLOOKUP($E4687,'Fuel Category and Heat Rate'!$B$1:$G$34,6,FALSE)*($G4687),""),"")</f>
        <v/>
      </c>
      <c r="I4687" t="str">
        <f>IFERROR(VLOOKUP($E4687,'Fuel Category and Heat Rate'!$K$2:$M$36,3,FALSE),"")</f>
        <v>coal</v>
      </c>
    </row>
    <row r="4688" spans="1:9" x14ac:dyDescent="0.15">
      <c r="A4688" s="2">
        <v>535512</v>
      </c>
      <c r="B4688" s="2" t="s">
        <v>94</v>
      </c>
      <c r="C4688" s="2">
        <v>2021</v>
      </c>
      <c r="D4688" s="2" t="s">
        <v>1</v>
      </c>
      <c r="E4688" s="2" t="s">
        <v>16</v>
      </c>
      <c r="F4688" s="2" t="s">
        <v>35</v>
      </c>
      <c r="G4688" s="7"/>
      <c r="H4688" s="13" t="str">
        <f>IFERROR(IF(ABS($G4688)&gt;0,VLOOKUP($E4688,'Fuel Category and Heat Rate'!$B$1:$G$34,6,FALSE)*($G4688),""),"")</f>
        <v/>
      </c>
      <c r="I4688" t="str">
        <f>IFERROR(VLOOKUP($E4688,'Fuel Category and Heat Rate'!$K$2:$M$36,3,FALSE),"")</f>
        <v>petroleum diesel</v>
      </c>
    </row>
    <row r="4689" spans="1:9" x14ac:dyDescent="0.15">
      <c r="A4689" s="2">
        <v>535547</v>
      </c>
      <c r="B4689" s="2" t="s">
        <v>94</v>
      </c>
      <c r="C4689" s="2">
        <v>2021</v>
      </c>
      <c r="D4689" s="2" t="s">
        <v>1</v>
      </c>
      <c r="E4689" s="2" t="s">
        <v>19</v>
      </c>
      <c r="F4689" s="2" t="s">
        <v>35</v>
      </c>
      <c r="G4689" s="7">
        <v>-0.18</v>
      </c>
      <c r="H4689" s="13">
        <f>IFERROR(IF(ABS($G4689)&gt;0,VLOOKUP($E4689,'Fuel Category and Heat Rate'!$B$1:$G$34,6,FALSE)*($G4689),""),"")</f>
        <v>-71341057442.598892</v>
      </c>
      <c r="I4689" t="str">
        <f>IFERROR(VLOOKUP($E4689,'Fuel Category and Heat Rate'!$K$2:$M$36,3,FALSE),"")</f>
        <v>heavy or residual fuel oil</v>
      </c>
    </row>
    <row r="4690" spans="1:9" x14ac:dyDescent="0.15">
      <c r="A4690" s="2">
        <v>535582</v>
      </c>
      <c r="B4690" s="2" t="s">
        <v>94</v>
      </c>
      <c r="C4690" s="2">
        <v>2021</v>
      </c>
      <c r="D4690" s="2" t="s">
        <v>1</v>
      </c>
      <c r="E4690" s="2" t="s">
        <v>31</v>
      </c>
      <c r="F4690" s="2" t="s">
        <v>37</v>
      </c>
      <c r="G4690" s="7">
        <v>61189.37</v>
      </c>
      <c r="H4690" s="13">
        <f>IFERROR(IF(ABS($G4690)&gt;0,VLOOKUP($E4690,'Fuel Category and Heat Rate'!$B$1:$G$34,6,FALSE)*($G4690),""),"")</f>
        <v>579963326112072.75</v>
      </c>
      <c r="I4690" t="str">
        <f>IFERROR(VLOOKUP($E4690,'Fuel Category and Heat Rate'!$K$2:$M$36,3,FALSE),"")</f>
        <v>heat</v>
      </c>
    </row>
    <row r="4691" spans="1:9" x14ac:dyDescent="0.15">
      <c r="A4691" s="2">
        <v>535617</v>
      </c>
      <c r="B4691" s="2" t="s">
        <v>94</v>
      </c>
      <c r="C4691" s="2">
        <v>2021</v>
      </c>
      <c r="D4691" s="2" t="s">
        <v>1</v>
      </c>
      <c r="E4691" s="2" t="s">
        <v>23</v>
      </c>
      <c r="F4691" s="2" t="s">
        <v>35</v>
      </c>
      <c r="G4691" s="7"/>
      <c r="H4691" s="13" t="str">
        <f>IFERROR(IF(ABS($G4691)&gt;0,VLOOKUP($E4691,'Fuel Category and Heat Rate'!$B$1:$G$34,6,FALSE)*($G4691),""),"")</f>
        <v/>
      </c>
      <c r="I4691" t="str">
        <f>IFERROR(VLOOKUP($E4691,'Fuel Category and Heat Rate'!$K$2:$M$36,3,FALSE),"")</f>
        <v>heavy or residual fuel oil</v>
      </c>
    </row>
    <row r="4692" spans="1:9" x14ac:dyDescent="0.15">
      <c r="A4692" s="2">
        <v>535652</v>
      </c>
      <c r="B4692" s="2" t="s">
        <v>94</v>
      </c>
      <c r="C4692" s="2">
        <v>2021</v>
      </c>
      <c r="D4692" s="2" t="s">
        <v>1</v>
      </c>
      <c r="E4692" s="2" t="s">
        <v>21</v>
      </c>
      <c r="F4692" s="2" t="s">
        <v>35</v>
      </c>
      <c r="G4692" s="7"/>
      <c r="H4692" s="13" t="str">
        <f>IFERROR(IF(ABS($G4692)&gt;0,VLOOKUP($E4692,'Fuel Category and Heat Rate'!$B$1:$G$34,6,FALSE)*($G4692),""),"")</f>
        <v/>
      </c>
      <c r="I4692" t="str">
        <f>IFERROR(VLOOKUP($E4692,'Fuel Category and Heat Rate'!$K$2:$M$36,3,FALSE),"")</f>
        <v>LPG propane or butane</v>
      </c>
    </row>
    <row r="4693" spans="1:9" x14ac:dyDescent="0.15">
      <c r="A4693" s="2">
        <v>535687</v>
      </c>
      <c r="B4693" s="2" t="s">
        <v>94</v>
      </c>
      <c r="C4693" s="2">
        <v>2021</v>
      </c>
      <c r="D4693" s="2" t="s">
        <v>1</v>
      </c>
      <c r="E4693" s="2" t="s">
        <v>22</v>
      </c>
      <c r="F4693" s="2" t="s">
        <v>35</v>
      </c>
      <c r="G4693" s="7"/>
      <c r="H4693" s="13" t="str">
        <f>IFERROR(IF(ABS($G4693)&gt;0,VLOOKUP($E4693,'Fuel Category and Heat Rate'!$B$1:$G$34,6,FALSE)*($G4693),""),"")</f>
        <v/>
      </c>
      <c r="I4693" t="str">
        <f>IFERROR(VLOOKUP($E4693,'Fuel Category and Heat Rate'!$K$2:$M$36,3,FALSE),"")</f>
        <v>heavy fuel oil</v>
      </c>
    </row>
    <row r="4694" spans="1:9" x14ac:dyDescent="0.15">
      <c r="A4694" s="2">
        <v>535722</v>
      </c>
      <c r="B4694" s="2" t="s">
        <v>94</v>
      </c>
      <c r="C4694" s="2">
        <v>2021</v>
      </c>
      <c r="D4694" s="2" t="s">
        <v>1</v>
      </c>
      <c r="E4694" s="2" t="s">
        <v>20</v>
      </c>
      <c r="F4694" s="2" t="s">
        <v>35</v>
      </c>
      <c r="G4694" s="7"/>
      <c r="H4694" s="13" t="str">
        <f>IFERROR(IF(ABS($G4694)&gt;0,VLOOKUP($E4694,'Fuel Category and Heat Rate'!$B$1:$G$34,6,FALSE)*($G4694),""),"")</f>
        <v/>
      </c>
      <c r="I4694" t="str">
        <f>IFERROR(VLOOKUP($E4694,'Fuel Category and Heat Rate'!$K$2:$M$36,3,FALSE),"")</f>
        <v>LPG propane or butane</v>
      </c>
    </row>
    <row r="4695" spans="1:9" x14ac:dyDescent="0.15">
      <c r="A4695" s="2">
        <v>535757</v>
      </c>
      <c r="B4695" s="2" t="s">
        <v>94</v>
      </c>
      <c r="C4695" s="2">
        <v>2021</v>
      </c>
      <c r="D4695" s="2" t="s">
        <v>1</v>
      </c>
      <c r="E4695" s="2" t="s">
        <v>25</v>
      </c>
      <c r="F4695" s="2" t="s">
        <v>35</v>
      </c>
      <c r="G4695" s="7">
        <v>-46.62</v>
      </c>
      <c r="H4695" s="13">
        <f>IFERROR(IF(ABS($G4695)&gt;0,VLOOKUP($E4695,'Fuel Category and Heat Rate'!$B$1:$G$34,6,FALSE)*($G4695),""),"")</f>
        <v>-14116495728638.439</v>
      </c>
      <c r="I4695" t="str">
        <f>IFERROR(VLOOKUP($E4695,'Fuel Category and Heat Rate'!$K$2:$M$36,3,FALSE),"")</f>
        <v>heavy fuel oil</v>
      </c>
    </row>
    <row r="4696" spans="1:9" x14ac:dyDescent="0.15">
      <c r="A4696" s="2">
        <v>535792</v>
      </c>
      <c r="B4696" s="2" t="s">
        <v>94</v>
      </c>
      <c r="C4696" s="2">
        <v>2021</v>
      </c>
      <c r="D4696" s="2" t="s">
        <v>1</v>
      </c>
      <c r="E4696" s="2" t="s">
        <v>24</v>
      </c>
      <c r="F4696" s="2" t="s">
        <v>35</v>
      </c>
      <c r="G4696" s="7"/>
      <c r="H4696" s="13" t="str">
        <f>IFERROR(IF(ABS($G4696)&gt;0,VLOOKUP($E4696,'Fuel Category and Heat Rate'!$B$1:$G$34,6,FALSE)*($G4696),""),"")</f>
        <v/>
      </c>
      <c r="I4696" t="str">
        <f>IFERROR(VLOOKUP($E4696,'Fuel Category and Heat Rate'!$K$2:$M$36,3,FALSE),"")</f>
        <v>heavy fuel oil</v>
      </c>
    </row>
    <row r="4697" spans="1:9" x14ac:dyDescent="0.15">
      <c r="A4697" s="2">
        <v>535827</v>
      </c>
      <c r="B4697" s="2" t="s">
        <v>94</v>
      </c>
      <c r="C4697" s="2">
        <v>2021</v>
      </c>
      <c r="D4697" s="2" t="s">
        <v>1</v>
      </c>
      <c r="E4697" s="2" t="s">
        <v>29</v>
      </c>
      <c r="F4697" s="2" t="s">
        <v>36</v>
      </c>
      <c r="G4697" s="7">
        <v>-5.68</v>
      </c>
      <c r="H4697" s="13">
        <f>IFERROR(IF(ABS($G4697)&gt;0,VLOOKUP($E4697,'Fuel Category and Heat Rate'!$B$1:$G$34,6,FALSE)*($G4697),""),"")</f>
        <v>-19157275892077.184</v>
      </c>
      <c r="I4697" t="str">
        <f>IFERROR(VLOOKUP($E4697,'Fuel Category and Heat Rate'!$K$2:$M$36,3,FALSE),"")</f>
        <v>natural gas</v>
      </c>
    </row>
    <row r="4698" spans="1:9" x14ac:dyDescent="0.15">
      <c r="A4698" s="2">
        <v>535862</v>
      </c>
      <c r="B4698" s="2" t="s">
        <v>94</v>
      </c>
      <c r="C4698" s="2">
        <v>2021</v>
      </c>
      <c r="D4698" s="2" t="s">
        <v>1</v>
      </c>
      <c r="E4698" s="2" t="s">
        <v>4</v>
      </c>
      <c r="F4698" s="2" t="s">
        <v>35</v>
      </c>
      <c r="G4698" s="7"/>
      <c r="H4698" s="13" t="str">
        <f>IFERROR(IF(ABS($G4698)&gt;0,VLOOKUP($E4698,'Fuel Category and Heat Rate'!$B$1:$G$34,6,FALSE)*($G4698),""),"")</f>
        <v/>
      </c>
      <c r="I4698" t="str">
        <f>IFERROR(VLOOKUP($E4698,'Fuel Category and Heat Rate'!$K$2:$M$36,3,FALSE),"")</f>
        <v>coal</v>
      </c>
    </row>
    <row r="4699" spans="1:9" x14ac:dyDescent="0.15">
      <c r="A4699" s="2">
        <v>535897</v>
      </c>
      <c r="B4699" s="2" t="s">
        <v>94</v>
      </c>
      <c r="C4699" s="2">
        <v>2021</v>
      </c>
      <c r="D4699" s="2" t="s">
        <v>1</v>
      </c>
      <c r="E4699" s="2" t="s">
        <v>6</v>
      </c>
      <c r="F4699" s="2" t="s">
        <v>35</v>
      </c>
      <c r="G4699" s="7">
        <v>-0.8</v>
      </c>
      <c r="H4699" s="13">
        <f>IFERROR(IF(ABS($G4699)&gt;0,VLOOKUP($E4699,'Fuel Category and Heat Rate'!$B$1:$G$34,6,FALSE)*($G4699),""),"")</f>
        <v>-117324594712.21358</v>
      </c>
      <c r="I4699" t="str">
        <f>IFERROR(VLOOKUP($E4699,'Fuel Category and Heat Rate'!$K$2:$M$36,3,FALSE),"")</f>
        <v>coal</v>
      </c>
    </row>
    <row r="4700" spans="1:9" x14ac:dyDescent="0.15">
      <c r="A4700" s="2">
        <v>535932</v>
      </c>
      <c r="B4700" s="2" t="s">
        <v>94</v>
      </c>
      <c r="C4700" s="2">
        <v>2021</v>
      </c>
      <c r="D4700" s="2" t="s">
        <v>1</v>
      </c>
      <c r="E4700" s="2" t="s">
        <v>26</v>
      </c>
      <c r="F4700" s="2" t="s">
        <v>35</v>
      </c>
      <c r="G4700" s="7"/>
      <c r="H4700" s="13" t="str">
        <f>IFERROR(IF(ABS($G4700)&gt;0,VLOOKUP($E4700,'Fuel Category and Heat Rate'!$B$1:$G$34,6,FALSE)*($G4700),""),"")</f>
        <v/>
      </c>
      <c r="I4700" t="str">
        <f>IFERROR(VLOOKUP($E4700,'Fuel Category and Heat Rate'!$K$2:$M$36,3,FALSE),"")</f>
        <v>LPG propane or butane</v>
      </c>
    </row>
    <row r="4701" spans="1:9" x14ac:dyDescent="0.15">
      <c r="A4701" s="2">
        <v>535967</v>
      </c>
      <c r="B4701" s="2" t="s">
        <v>94</v>
      </c>
      <c r="C4701" s="2">
        <v>2021</v>
      </c>
      <c r="D4701" s="2" t="s">
        <v>1</v>
      </c>
      <c r="E4701" s="2" t="s">
        <v>30</v>
      </c>
      <c r="F4701" s="2" t="s">
        <v>35</v>
      </c>
      <c r="G4701" s="7">
        <v>-1.27</v>
      </c>
      <c r="H4701" s="13">
        <f>IFERROR(IF(ABS($G4701)&gt;0,VLOOKUP($E4701,'Fuel Category and Heat Rate'!$B$1:$G$34,6,FALSE)*($G4701),""),"")</f>
        <v>-619125328768.14063</v>
      </c>
      <c r="I4701" t="str">
        <f>IFERROR(VLOOKUP($E4701,'Fuel Category and Heat Rate'!$K$2:$M$36,3,FALSE),"")</f>
        <v>natural gas</v>
      </c>
    </row>
    <row r="4702" spans="1:9" x14ac:dyDescent="0.15">
      <c r="A4702" s="2">
        <v>536002</v>
      </c>
      <c r="B4702" s="2" t="s">
        <v>94</v>
      </c>
      <c r="C4702" s="2">
        <v>2021</v>
      </c>
      <c r="D4702" s="2" t="s">
        <v>1</v>
      </c>
      <c r="E4702" s="2" t="s">
        <v>14</v>
      </c>
      <c r="F4702" s="2" t="s">
        <v>35</v>
      </c>
      <c r="G4702" s="7">
        <v>-46.95</v>
      </c>
      <c r="H4702" s="13">
        <f>IFERROR(IF(ABS($G4702)&gt;0,VLOOKUP($E4702,'Fuel Category and Heat Rate'!$B$1:$G$34,6,FALSE)*($G4702),""),"")</f>
        <v>0</v>
      </c>
      <c r="I4702" t="str">
        <f>IFERROR(VLOOKUP($E4702,'Fuel Category and Heat Rate'!$K$2:$M$36,3,FALSE),"")</f>
        <v/>
      </c>
    </row>
    <row r="4703" spans="1:9" x14ac:dyDescent="0.15">
      <c r="A4703" s="2">
        <v>536037</v>
      </c>
      <c r="B4703" s="2" t="s">
        <v>94</v>
      </c>
      <c r="C4703" s="2">
        <v>2021</v>
      </c>
      <c r="D4703" s="2" t="s">
        <v>1</v>
      </c>
      <c r="E4703" s="2" t="s">
        <v>3</v>
      </c>
      <c r="F4703" s="2" t="s">
        <v>35</v>
      </c>
      <c r="G4703" s="7">
        <v>-2913.54</v>
      </c>
      <c r="H4703" s="13">
        <f>IFERROR(IF(ABS($G4703)&gt;0,VLOOKUP($E4703,'Fuel Category and Heat Rate'!$B$1:$G$34,6,FALSE)*($G4703),""),"")</f>
        <v>-577375068059193.25</v>
      </c>
      <c r="I4703" t="str">
        <f>IFERROR(VLOOKUP($E4703,'Fuel Category and Heat Rate'!$K$2:$M$36,3,FALSE),"")</f>
        <v>coal</v>
      </c>
    </row>
    <row r="4704" spans="1:9" x14ac:dyDescent="0.15">
      <c r="A4704" s="2">
        <v>536072</v>
      </c>
      <c r="B4704" s="2" t="s">
        <v>94</v>
      </c>
      <c r="C4704" s="2">
        <v>2021</v>
      </c>
      <c r="D4704" s="2" t="s">
        <v>1</v>
      </c>
      <c r="E4704" s="2" t="s">
        <v>15</v>
      </c>
      <c r="F4704" s="2" t="s">
        <v>35</v>
      </c>
      <c r="G4704" s="7"/>
      <c r="H4704" s="13" t="str">
        <f>IFERROR(IF(ABS($G4704)&gt;0,VLOOKUP($E4704,'Fuel Category and Heat Rate'!$B$1:$G$34,6,FALSE)*($G4704),""),"")</f>
        <v/>
      </c>
      <c r="I4704" t="str">
        <f>IFERROR(VLOOKUP($E4704,'Fuel Category and Heat Rate'!$K$2:$M$36,3,FALSE),"")</f>
        <v>crude oil</v>
      </c>
    </row>
    <row r="4705" spans="1:9" x14ac:dyDescent="0.15">
      <c r="A4705" s="2">
        <v>536107</v>
      </c>
      <c r="B4705" s="2" t="s">
        <v>94</v>
      </c>
      <c r="C4705" s="2">
        <v>2021</v>
      </c>
      <c r="D4705" s="2" t="s">
        <v>1</v>
      </c>
      <c r="E4705" s="2" t="s">
        <v>11</v>
      </c>
      <c r="F4705" s="2" t="s">
        <v>36</v>
      </c>
      <c r="G4705" s="7"/>
      <c r="H4705" s="13" t="str">
        <f>IFERROR(IF(ABS($G4705)&gt;0,VLOOKUP($E4705,'Fuel Category and Heat Rate'!$B$1:$G$34,6,FALSE)*($G4705),""),"")</f>
        <v/>
      </c>
      <c r="I4705" t="str">
        <f>IFERROR(VLOOKUP($E4705,'Fuel Category and Heat Rate'!$K$2:$M$36,3,FALSE),"")</f>
        <v>LPG propane or butane</v>
      </c>
    </row>
    <row r="4706" spans="1:9" x14ac:dyDescent="0.15">
      <c r="A4706" s="2">
        <v>536142</v>
      </c>
      <c r="B4706" s="2" t="s">
        <v>94</v>
      </c>
      <c r="C4706" s="2">
        <v>2020</v>
      </c>
      <c r="D4706" s="2" t="s">
        <v>1</v>
      </c>
      <c r="E4706" s="2" t="s">
        <v>18</v>
      </c>
      <c r="F4706" s="2" t="s">
        <v>35</v>
      </c>
      <c r="G4706" s="7">
        <v>-7.0000000000000007E-2</v>
      </c>
      <c r="H4706" s="13">
        <f>IFERROR(IF(ABS($G4706)&gt;0,VLOOKUP($E4706,'Fuel Category and Heat Rate'!$B$1:$G$34,6,FALSE)*($G4706),""),"")</f>
        <v>-28298407141.195419</v>
      </c>
      <c r="I4706" t="str">
        <f>IFERROR(VLOOKUP($E4706,'Fuel Category and Heat Rate'!$K$2:$M$36,3,FALSE),"")</f>
        <v>petroleum diesel</v>
      </c>
    </row>
    <row r="4707" spans="1:9" x14ac:dyDescent="0.15">
      <c r="A4707" s="2">
        <v>536177</v>
      </c>
      <c r="B4707" s="2" t="s">
        <v>94</v>
      </c>
      <c r="C4707" s="2">
        <v>2020</v>
      </c>
      <c r="D4707" s="2" t="s">
        <v>1</v>
      </c>
      <c r="E4707" s="2" t="s">
        <v>32</v>
      </c>
      <c r="F4707" s="2" t="s">
        <v>65</v>
      </c>
      <c r="G4707" s="7"/>
      <c r="H4707" s="13" t="str">
        <f>IFERROR(IF(ABS($G4707)&gt;0,VLOOKUP($E4707,'Fuel Category and Heat Rate'!$B$1:$G$34,6,FALSE)*($G4707),""),"")</f>
        <v/>
      </c>
      <c r="I4707" t="str">
        <f>IFERROR(VLOOKUP($E4707,'Fuel Category and Heat Rate'!$K$2:$M$36,3,FALSE),"")</f>
        <v>electricity</v>
      </c>
    </row>
    <row r="4708" spans="1:9" x14ac:dyDescent="0.15">
      <c r="A4708" s="2">
        <v>536212</v>
      </c>
      <c r="B4708" s="2" t="s">
        <v>94</v>
      </c>
      <c r="C4708" s="2">
        <v>2020</v>
      </c>
      <c r="D4708" s="2" t="s">
        <v>1</v>
      </c>
      <c r="E4708" s="2" t="s">
        <v>10</v>
      </c>
      <c r="F4708" s="2" t="s">
        <v>36</v>
      </c>
      <c r="G4708" s="7"/>
      <c r="H4708" s="13" t="str">
        <f>IFERROR(IF(ABS($G4708)&gt;0,VLOOKUP($E4708,'Fuel Category and Heat Rate'!$B$1:$G$34,6,FALSE)*($G4708),""),"")</f>
        <v/>
      </c>
      <c r="I4708" t="str">
        <f>IFERROR(VLOOKUP($E4708,'Fuel Category and Heat Rate'!$K$2:$M$36,3,FALSE),"")</f>
        <v>LPG propane or butane</v>
      </c>
    </row>
    <row r="4709" spans="1:9" x14ac:dyDescent="0.15">
      <c r="A4709" s="2">
        <v>536247</v>
      </c>
      <c r="B4709" s="2" t="s">
        <v>94</v>
      </c>
      <c r="C4709" s="2">
        <v>2020</v>
      </c>
      <c r="D4709" s="2" t="s">
        <v>1</v>
      </c>
      <c r="E4709" s="2" t="s">
        <v>9</v>
      </c>
      <c r="F4709" s="2" t="s">
        <v>36</v>
      </c>
      <c r="G4709" s="7"/>
      <c r="H4709" s="13" t="str">
        <f>IFERROR(IF(ABS($G4709)&gt;0,VLOOKUP($E4709,'Fuel Category and Heat Rate'!$B$1:$G$34,6,FALSE)*($G4709),""),"")</f>
        <v/>
      </c>
      <c r="I4709" t="str">
        <f>IFERROR(VLOOKUP($E4709,'Fuel Category and Heat Rate'!$K$2:$M$36,3,FALSE),"")</f>
        <v>LPG propane or butane</v>
      </c>
    </row>
    <row r="4710" spans="1:9" x14ac:dyDescent="0.15">
      <c r="A4710" s="2">
        <v>536282</v>
      </c>
      <c r="B4710" s="2" t="s">
        <v>94</v>
      </c>
      <c r="C4710" s="2">
        <v>2020</v>
      </c>
      <c r="D4710" s="2" t="s">
        <v>1</v>
      </c>
      <c r="E4710" s="2" t="s">
        <v>8</v>
      </c>
      <c r="F4710" s="2" t="s">
        <v>35</v>
      </c>
      <c r="G4710" s="7"/>
      <c r="H4710" s="13" t="str">
        <f>IFERROR(IF(ABS($G4710)&gt;0,VLOOKUP($E4710,'Fuel Category and Heat Rate'!$B$1:$G$34,6,FALSE)*($G4710),""),"")</f>
        <v/>
      </c>
      <c r="I4710" t="str">
        <f>IFERROR(VLOOKUP($E4710,'Fuel Category and Heat Rate'!$K$2:$M$36,3,FALSE),"")</f>
        <v>coal</v>
      </c>
    </row>
    <row r="4711" spans="1:9" x14ac:dyDescent="0.15">
      <c r="A4711" s="2">
        <v>536317</v>
      </c>
      <c r="B4711" s="2" t="s">
        <v>94</v>
      </c>
      <c r="C4711" s="2">
        <v>2020</v>
      </c>
      <c r="D4711" s="2" t="s">
        <v>1</v>
      </c>
      <c r="E4711" s="2" t="s">
        <v>27</v>
      </c>
      <c r="F4711" s="2" t="s">
        <v>35</v>
      </c>
      <c r="G4711" s="7"/>
      <c r="H4711" s="13" t="str">
        <f>IFERROR(IF(ABS($G4711)&gt;0,VLOOKUP($E4711,'Fuel Category and Heat Rate'!$B$1:$G$34,6,FALSE)*($G4711),""),"")</f>
        <v/>
      </c>
      <c r="I4711" t="str">
        <f>IFERROR(VLOOKUP($E4711,'Fuel Category and Heat Rate'!$K$2:$M$36,3,FALSE),"")</f>
        <v>LPG propane or butane</v>
      </c>
    </row>
    <row r="4712" spans="1:9" x14ac:dyDescent="0.15">
      <c r="A4712" s="2">
        <v>536352</v>
      </c>
      <c r="B4712" s="2" t="s">
        <v>94</v>
      </c>
      <c r="C4712" s="2">
        <v>2020</v>
      </c>
      <c r="D4712" s="2" t="s">
        <v>1</v>
      </c>
      <c r="E4712" s="2" t="s">
        <v>7</v>
      </c>
      <c r="F4712" s="2" t="s">
        <v>35</v>
      </c>
      <c r="G4712" s="7"/>
      <c r="H4712" s="13" t="str">
        <f>IFERROR(IF(ABS($G4712)&gt;0,VLOOKUP($E4712,'Fuel Category and Heat Rate'!$B$1:$G$34,6,FALSE)*($G4712),""),"")</f>
        <v/>
      </c>
      <c r="I4712" t="str">
        <f>IFERROR(VLOOKUP($E4712,'Fuel Category and Heat Rate'!$K$2:$M$36,3,FALSE),"")</f>
        <v>coal</v>
      </c>
    </row>
    <row r="4713" spans="1:9" x14ac:dyDescent="0.15">
      <c r="A4713" s="2">
        <v>536387</v>
      </c>
      <c r="B4713" s="2" t="s">
        <v>94</v>
      </c>
      <c r="C4713" s="2">
        <v>2020</v>
      </c>
      <c r="D4713" s="2" t="s">
        <v>1</v>
      </c>
      <c r="E4713" s="2" t="s">
        <v>2</v>
      </c>
      <c r="F4713" s="2" t="s">
        <v>35</v>
      </c>
      <c r="G4713" s="7">
        <v>-2714.06</v>
      </c>
      <c r="H4713" s="13">
        <f>IFERROR(IF(ABS($G4713)&gt;0,VLOOKUP($E4713,'Fuel Category and Heat Rate'!$B$1:$G$34,6,FALSE)*($G4713),""),"")</f>
        <v>0</v>
      </c>
      <c r="I4713" t="str">
        <f>IFERROR(VLOOKUP($E4713,'Fuel Category and Heat Rate'!$K$2:$M$36,3,FALSE),"")</f>
        <v/>
      </c>
    </row>
    <row r="4714" spans="1:9" x14ac:dyDescent="0.15">
      <c r="A4714" s="2">
        <v>536422</v>
      </c>
      <c r="B4714" s="2" t="s">
        <v>94</v>
      </c>
      <c r="C4714" s="2">
        <v>2020</v>
      </c>
      <c r="D4714" s="2" t="s">
        <v>1</v>
      </c>
      <c r="E4714" s="2" t="s">
        <v>17</v>
      </c>
      <c r="F4714" s="2" t="s">
        <v>35</v>
      </c>
      <c r="G4714" s="7"/>
      <c r="H4714" s="13" t="str">
        <f>IFERROR(IF(ABS($G4714)&gt;0,VLOOKUP($E4714,'Fuel Category and Heat Rate'!$B$1:$G$34,6,FALSE)*($G4714),""),"")</f>
        <v/>
      </c>
      <c r="I4714" t="str">
        <f>IFERROR(VLOOKUP($E4714,'Fuel Category and Heat Rate'!$K$2:$M$36,3,FALSE),"")</f>
        <v>petroleum diesel</v>
      </c>
    </row>
    <row r="4715" spans="1:9" x14ac:dyDescent="0.15">
      <c r="A4715" s="2">
        <v>536457</v>
      </c>
      <c r="B4715" s="2" t="s">
        <v>94</v>
      </c>
      <c r="C4715" s="2">
        <v>2020</v>
      </c>
      <c r="D4715" s="2" t="s">
        <v>1</v>
      </c>
      <c r="E4715" s="2" t="s">
        <v>13</v>
      </c>
      <c r="F4715" s="2" t="s">
        <v>35</v>
      </c>
      <c r="G4715" s="7"/>
      <c r="H4715" s="13" t="str">
        <f>IFERROR(IF(ABS($G4715)&gt;0,VLOOKUP($E4715,'Fuel Category and Heat Rate'!$B$1:$G$34,6,FALSE)*($G4715),""),"")</f>
        <v/>
      </c>
      <c r="I4715" t="str">
        <f>IFERROR(VLOOKUP($E4715,'Fuel Category and Heat Rate'!$K$2:$M$36,3,FALSE),"")</f>
        <v>petroleum diesel</v>
      </c>
    </row>
    <row r="4716" spans="1:9" x14ac:dyDescent="0.15">
      <c r="A4716" s="2">
        <v>536492</v>
      </c>
      <c r="B4716" s="2" t="s">
        <v>94</v>
      </c>
      <c r="C4716" s="2">
        <v>2020</v>
      </c>
      <c r="D4716" s="2" t="s">
        <v>1</v>
      </c>
      <c r="E4716" s="2" t="s">
        <v>12</v>
      </c>
      <c r="F4716" s="2" t="s">
        <v>36</v>
      </c>
      <c r="G4716" s="7"/>
      <c r="H4716" s="13" t="str">
        <f>IFERROR(IF(ABS($G4716)&gt;0,VLOOKUP($E4716,'Fuel Category and Heat Rate'!$B$1:$G$34,6,FALSE)*($G4716),""),"")</f>
        <v/>
      </c>
      <c r="I4716" t="str">
        <f>IFERROR(VLOOKUP($E4716,'Fuel Category and Heat Rate'!$K$2:$M$36,3,FALSE),"")</f>
        <v>LPG propane or butane</v>
      </c>
    </row>
    <row r="4717" spans="1:9" x14ac:dyDescent="0.15">
      <c r="A4717" s="2">
        <v>536527</v>
      </c>
      <c r="B4717" s="2" t="s">
        <v>94</v>
      </c>
      <c r="C4717" s="2">
        <v>2020</v>
      </c>
      <c r="D4717" s="2" t="s">
        <v>1</v>
      </c>
      <c r="E4717" s="2" t="s">
        <v>33</v>
      </c>
      <c r="F4717" s="2" t="s">
        <v>38</v>
      </c>
      <c r="G4717" s="7">
        <v>-52.68</v>
      </c>
      <c r="H4717" s="13">
        <f>IFERROR(IF(ABS($G4717)&gt;0,VLOOKUP($E4717,'Fuel Category and Heat Rate'!$B$1:$G$34,6,FALSE)*($G4717),""),"")</f>
        <v>-14615304772728.381</v>
      </c>
      <c r="I4717" t="str">
        <f>IFERROR(VLOOKUP($E4717,'Fuel Category and Heat Rate'!$K$2:$M$36,3,FALSE),"")</f>
        <v>biomass</v>
      </c>
    </row>
    <row r="4718" spans="1:9" x14ac:dyDescent="0.15">
      <c r="A4718" s="2">
        <v>536562</v>
      </c>
      <c r="B4718" s="2" t="s">
        <v>94</v>
      </c>
      <c r="C4718" s="2">
        <v>2020</v>
      </c>
      <c r="D4718" s="2" t="s">
        <v>1</v>
      </c>
      <c r="E4718" s="2" t="s">
        <v>28</v>
      </c>
      <c r="F4718" s="2" t="s">
        <v>35</v>
      </c>
      <c r="G4718" s="7"/>
      <c r="H4718" s="13" t="str">
        <f>IFERROR(IF(ABS($G4718)&gt;0,VLOOKUP($E4718,'Fuel Category and Heat Rate'!$B$1:$G$34,6,FALSE)*($G4718),""),"")</f>
        <v/>
      </c>
      <c r="I4718" t="str">
        <f>IFERROR(VLOOKUP($E4718,'Fuel Category and Heat Rate'!$K$2:$M$36,3,FALSE),"")</f>
        <v>heavy or residual fuel oil</v>
      </c>
    </row>
    <row r="4719" spans="1:9" x14ac:dyDescent="0.15">
      <c r="A4719" s="2">
        <v>536597</v>
      </c>
      <c r="B4719" s="2" t="s">
        <v>94</v>
      </c>
      <c r="C4719" s="2">
        <v>2020</v>
      </c>
      <c r="D4719" s="2" t="s">
        <v>1</v>
      </c>
      <c r="E4719" s="2" t="s">
        <v>5</v>
      </c>
      <c r="F4719" s="2" t="s">
        <v>35</v>
      </c>
      <c r="G4719" s="7"/>
      <c r="H4719" s="13" t="str">
        <f>IFERROR(IF(ABS($G4719)&gt;0,VLOOKUP($E4719,'Fuel Category and Heat Rate'!$B$1:$G$34,6,FALSE)*($G4719),""),"")</f>
        <v/>
      </c>
      <c r="I4719" t="str">
        <f>IFERROR(VLOOKUP($E4719,'Fuel Category and Heat Rate'!$K$2:$M$36,3,FALSE),"")</f>
        <v>coal</v>
      </c>
    </row>
    <row r="4720" spans="1:9" x14ac:dyDescent="0.15">
      <c r="A4720" s="2">
        <v>536632</v>
      </c>
      <c r="B4720" s="2" t="s">
        <v>94</v>
      </c>
      <c r="C4720" s="2">
        <v>2020</v>
      </c>
      <c r="D4720" s="2" t="s">
        <v>1</v>
      </c>
      <c r="E4720" s="2" t="s">
        <v>16</v>
      </c>
      <c r="F4720" s="2" t="s">
        <v>35</v>
      </c>
      <c r="G4720" s="7"/>
      <c r="H4720" s="13" t="str">
        <f>IFERROR(IF(ABS($G4720)&gt;0,VLOOKUP($E4720,'Fuel Category and Heat Rate'!$B$1:$G$34,6,FALSE)*($G4720),""),"")</f>
        <v/>
      </c>
      <c r="I4720" t="str">
        <f>IFERROR(VLOOKUP($E4720,'Fuel Category and Heat Rate'!$K$2:$M$36,3,FALSE),"")</f>
        <v>petroleum diesel</v>
      </c>
    </row>
    <row r="4721" spans="1:9" x14ac:dyDescent="0.15">
      <c r="A4721" s="2">
        <v>536667</v>
      </c>
      <c r="B4721" s="2" t="s">
        <v>94</v>
      </c>
      <c r="C4721" s="2">
        <v>2020</v>
      </c>
      <c r="D4721" s="2" t="s">
        <v>1</v>
      </c>
      <c r="E4721" s="2" t="s">
        <v>19</v>
      </c>
      <c r="F4721" s="2" t="s">
        <v>35</v>
      </c>
      <c r="G4721" s="7">
        <v>-0.05</v>
      </c>
      <c r="H4721" s="13">
        <f>IFERROR(IF(ABS($G4721)&gt;0,VLOOKUP($E4721,'Fuel Category and Heat Rate'!$B$1:$G$34,6,FALSE)*($G4721),""),"")</f>
        <v>-19816960400.721916</v>
      </c>
      <c r="I4721" t="str">
        <f>IFERROR(VLOOKUP($E4721,'Fuel Category and Heat Rate'!$K$2:$M$36,3,FALSE),"")</f>
        <v>heavy or residual fuel oil</v>
      </c>
    </row>
    <row r="4722" spans="1:9" x14ac:dyDescent="0.15">
      <c r="A4722" s="2">
        <v>536702</v>
      </c>
      <c r="B4722" s="2" t="s">
        <v>94</v>
      </c>
      <c r="C4722" s="2">
        <v>2020</v>
      </c>
      <c r="D4722" s="2" t="s">
        <v>1</v>
      </c>
      <c r="E4722" s="2" t="s">
        <v>31</v>
      </c>
      <c r="F4722" s="2" t="s">
        <v>37</v>
      </c>
      <c r="G4722" s="7">
        <v>56658.85</v>
      </c>
      <c r="H4722" s="13">
        <f>IFERROR(IF(ABS($G4722)&gt;0,VLOOKUP($E4722,'Fuel Category and Heat Rate'!$B$1:$G$34,6,FALSE)*($G4722),""),"")</f>
        <v>537022281806219.06</v>
      </c>
      <c r="I4722" t="str">
        <f>IFERROR(VLOOKUP($E4722,'Fuel Category and Heat Rate'!$K$2:$M$36,3,FALSE),"")</f>
        <v>heat</v>
      </c>
    </row>
    <row r="4723" spans="1:9" x14ac:dyDescent="0.15">
      <c r="A4723" s="2">
        <v>536737</v>
      </c>
      <c r="B4723" s="2" t="s">
        <v>94</v>
      </c>
      <c r="C4723" s="2">
        <v>2020</v>
      </c>
      <c r="D4723" s="2" t="s">
        <v>1</v>
      </c>
      <c r="E4723" s="2" t="s">
        <v>23</v>
      </c>
      <c r="F4723" s="2" t="s">
        <v>35</v>
      </c>
      <c r="G4723" s="7"/>
      <c r="H4723" s="13" t="str">
        <f>IFERROR(IF(ABS($G4723)&gt;0,VLOOKUP($E4723,'Fuel Category and Heat Rate'!$B$1:$G$34,6,FALSE)*($G4723),""),"")</f>
        <v/>
      </c>
      <c r="I4723" t="str">
        <f>IFERROR(VLOOKUP($E4723,'Fuel Category and Heat Rate'!$K$2:$M$36,3,FALSE),"")</f>
        <v>heavy or residual fuel oil</v>
      </c>
    </row>
    <row r="4724" spans="1:9" x14ac:dyDescent="0.15">
      <c r="A4724" s="2">
        <v>536772</v>
      </c>
      <c r="B4724" s="2" t="s">
        <v>94</v>
      </c>
      <c r="C4724" s="2">
        <v>2020</v>
      </c>
      <c r="D4724" s="2" t="s">
        <v>1</v>
      </c>
      <c r="E4724" s="2" t="s">
        <v>21</v>
      </c>
      <c r="F4724" s="2" t="s">
        <v>35</v>
      </c>
      <c r="G4724" s="7"/>
      <c r="H4724" s="13" t="str">
        <f>IFERROR(IF(ABS($G4724)&gt;0,VLOOKUP($E4724,'Fuel Category and Heat Rate'!$B$1:$G$34,6,FALSE)*($G4724),""),"")</f>
        <v/>
      </c>
      <c r="I4724" t="str">
        <f>IFERROR(VLOOKUP($E4724,'Fuel Category and Heat Rate'!$K$2:$M$36,3,FALSE),"")</f>
        <v>LPG propane or butane</v>
      </c>
    </row>
    <row r="4725" spans="1:9" x14ac:dyDescent="0.15">
      <c r="A4725" s="2">
        <v>536807</v>
      </c>
      <c r="B4725" s="2" t="s">
        <v>94</v>
      </c>
      <c r="C4725" s="2">
        <v>2020</v>
      </c>
      <c r="D4725" s="2" t="s">
        <v>1</v>
      </c>
      <c r="E4725" s="2" t="s">
        <v>22</v>
      </c>
      <c r="F4725" s="2" t="s">
        <v>35</v>
      </c>
      <c r="G4725" s="7"/>
      <c r="H4725" s="13" t="str">
        <f>IFERROR(IF(ABS($G4725)&gt;0,VLOOKUP($E4725,'Fuel Category and Heat Rate'!$B$1:$G$34,6,FALSE)*($G4725),""),"")</f>
        <v/>
      </c>
      <c r="I4725" t="str">
        <f>IFERROR(VLOOKUP($E4725,'Fuel Category and Heat Rate'!$K$2:$M$36,3,FALSE),"")</f>
        <v>heavy fuel oil</v>
      </c>
    </row>
    <row r="4726" spans="1:9" x14ac:dyDescent="0.15">
      <c r="A4726" s="2">
        <v>536842</v>
      </c>
      <c r="B4726" s="2" t="s">
        <v>94</v>
      </c>
      <c r="C4726" s="2">
        <v>2020</v>
      </c>
      <c r="D4726" s="2" t="s">
        <v>1</v>
      </c>
      <c r="E4726" s="2" t="s">
        <v>20</v>
      </c>
      <c r="F4726" s="2" t="s">
        <v>35</v>
      </c>
      <c r="G4726" s="7"/>
      <c r="H4726" s="13" t="str">
        <f>IFERROR(IF(ABS($G4726)&gt;0,VLOOKUP($E4726,'Fuel Category and Heat Rate'!$B$1:$G$34,6,FALSE)*($G4726),""),"")</f>
        <v/>
      </c>
      <c r="I4726" t="str">
        <f>IFERROR(VLOOKUP($E4726,'Fuel Category and Heat Rate'!$K$2:$M$36,3,FALSE),"")</f>
        <v>LPG propane or butane</v>
      </c>
    </row>
    <row r="4727" spans="1:9" x14ac:dyDescent="0.15">
      <c r="A4727" s="2">
        <v>536877</v>
      </c>
      <c r="B4727" s="2" t="s">
        <v>94</v>
      </c>
      <c r="C4727" s="2">
        <v>2020</v>
      </c>
      <c r="D4727" s="2" t="s">
        <v>1</v>
      </c>
      <c r="E4727" s="2" t="s">
        <v>25</v>
      </c>
      <c r="F4727" s="2" t="s">
        <v>35</v>
      </c>
      <c r="G4727" s="7">
        <v>-32.75</v>
      </c>
      <c r="H4727" s="13">
        <f>IFERROR(IF(ABS($G4727)&gt;0,VLOOKUP($E4727,'Fuel Category and Heat Rate'!$B$1:$G$34,6,FALSE)*($G4727),""),"")</f>
        <v>-9916671709843.6055</v>
      </c>
      <c r="I4727" t="str">
        <f>IFERROR(VLOOKUP($E4727,'Fuel Category and Heat Rate'!$K$2:$M$36,3,FALSE),"")</f>
        <v>heavy fuel oil</v>
      </c>
    </row>
    <row r="4728" spans="1:9" x14ac:dyDescent="0.15">
      <c r="A4728" s="2">
        <v>536912</v>
      </c>
      <c r="B4728" s="2" t="s">
        <v>94</v>
      </c>
      <c r="C4728" s="2">
        <v>2020</v>
      </c>
      <c r="D4728" s="2" t="s">
        <v>1</v>
      </c>
      <c r="E4728" s="2" t="s">
        <v>24</v>
      </c>
      <c r="F4728" s="2" t="s">
        <v>35</v>
      </c>
      <c r="G4728" s="7"/>
      <c r="H4728" s="13" t="str">
        <f>IFERROR(IF(ABS($G4728)&gt;0,VLOOKUP($E4728,'Fuel Category and Heat Rate'!$B$1:$G$34,6,FALSE)*($G4728),""),"")</f>
        <v/>
      </c>
      <c r="I4728" t="str">
        <f>IFERROR(VLOOKUP($E4728,'Fuel Category and Heat Rate'!$K$2:$M$36,3,FALSE),"")</f>
        <v>heavy fuel oil</v>
      </c>
    </row>
    <row r="4729" spans="1:9" x14ac:dyDescent="0.15">
      <c r="A4729" s="2">
        <v>536947</v>
      </c>
      <c r="B4729" s="2" t="s">
        <v>94</v>
      </c>
      <c r="C4729" s="2">
        <v>2020</v>
      </c>
      <c r="D4729" s="2" t="s">
        <v>1</v>
      </c>
      <c r="E4729" s="2" t="s">
        <v>29</v>
      </c>
      <c r="F4729" s="2" t="s">
        <v>36</v>
      </c>
      <c r="G4729" s="7">
        <v>-3.87</v>
      </c>
      <c r="H4729" s="13">
        <f>IFERROR(IF(ABS($G4729)&gt;0,VLOOKUP($E4729,'Fuel Category and Heat Rate'!$B$1:$G$34,6,FALSE)*($G4729),""),"")</f>
        <v>-13052580581397.658</v>
      </c>
      <c r="I4729" t="str">
        <f>IFERROR(VLOOKUP($E4729,'Fuel Category and Heat Rate'!$K$2:$M$36,3,FALSE),"")</f>
        <v>natural gas</v>
      </c>
    </row>
    <row r="4730" spans="1:9" x14ac:dyDescent="0.15">
      <c r="A4730" s="2">
        <v>536982</v>
      </c>
      <c r="B4730" s="2" t="s">
        <v>94</v>
      </c>
      <c r="C4730" s="2">
        <v>2020</v>
      </c>
      <c r="D4730" s="2" t="s">
        <v>1</v>
      </c>
      <c r="E4730" s="2" t="s">
        <v>4</v>
      </c>
      <c r="F4730" s="2" t="s">
        <v>35</v>
      </c>
      <c r="G4730" s="7"/>
      <c r="H4730" s="13" t="str">
        <f>IFERROR(IF(ABS($G4730)&gt;0,VLOOKUP($E4730,'Fuel Category and Heat Rate'!$B$1:$G$34,6,FALSE)*($G4730),""),"")</f>
        <v/>
      </c>
      <c r="I4730" t="str">
        <f>IFERROR(VLOOKUP($E4730,'Fuel Category and Heat Rate'!$K$2:$M$36,3,FALSE),"")</f>
        <v>coal</v>
      </c>
    </row>
    <row r="4731" spans="1:9" x14ac:dyDescent="0.15">
      <c r="A4731" s="2">
        <v>537017</v>
      </c>
      <c r="B4731" s="2" t="s">
        <v>94</v>
      </c>
      <c r="C4731" s="2">
        <v>2020</v>
      </c>
      <c r="D4731" s="2" t="s">
        <v>1</v>
      </c>
      <c r="E4731" s="2" t="s">
        <v>6</v>
      </c>
      <c r="F4731" s="2" t="s">
        <v>35</v>
      </c>
      <c r="G4731" s="7"/>
      <c r="H4731" s="13" t="str">
        <f>IFERROR(IF(ABS($G4731)&gt;0,VLOOKUP($E4731,'Fuel Category and Heat Rate'!$B$1:$G$34,6,FALSE)*($G4731),""),"")</f>
        <v/>
      </c>
      <c r="I4731" t="str">
        <f>IFERROR(VLOOKUP($E4731,'Fuel Category and Heat Rate'!$K$2:$M$36,3,FALSE),"")</f>
        <v>coal</v>
      </c>
    </row>
    <row r="4732" spans="1:9" x14ac:dyDescent="0.15">
      <c r="A4732" s="2">
        <v>537052</v>
      </c>
      <c r="B4732" s="2" t="s">
        <v>94</v>
      </c>
      <c r="C4732" s="2">
        <v>2020</v>
      </c>
      <c r="D4732" s="2" t="s">
        <v>1</v>
      </c>
      <c r="E4732" s="2" t="s">
        <v>26</v>
      </c>
      <c r="F4732" s="2" t="s">
        <v>35</v>
      </c>
      <c r="G4732" s="7"/>
      <c r="H4732" s="13" t="str">
        <f>IFERROR(IF(ABS($G4732)&gt;0,VLOOKUP($E4732,'Fuel Category and Heat Rate'!$B$1:$G$34,6,FALSE)*($G4732),""),"")</f>
        <v/>
      </c>
      <c r="I4732" t="str">
        <f>IFERROR(VLOOKUP($E4732,'Fuel Category and Heat Rate'!$K$2:$M$36,3,FALSE),"")</f>
        <v>LPG propane or butane</v>
      </c>
    </row>
    <row r="4733" spans="1:9" x14ac:dyDescent="0.15">
      <c r="A4733" s="2">
        <v>537087</v>
      </c>
      <c r="B4733" s="2" t="s">
        <v>94</v>
      </c>
      <c r="C4733" s="2">
        <v>2020</v>
      </c>
      <c r="D4733" s="2" t="s">
        <v>1</v>
      </c>
      <c r="E4733" s="2" t="s">
        <v>30</v>
      </c>
      <c r="F4733" s="2" t="s">
        <v>35</v>
      </c>
      <c r="G4733" s="7">
        <v>-2.44</v>
      </c>
      <c r="H4733" s="13">
        <f>IFERROR(IF(ABS($G4733)&gt;0,VLOOKUP($E4733,'Fuel Category and Heat Rate'!$B$1:$G$34,6,FALSE)*($G4733),""),"")</f>
        <v>-1189500631649.0261</v>
      </c>
      <c r="I4733" t="str">
        <f>IFERROR(VLOOKUP($E4733,'Fuel Category and Heat Rate'!$K$2:$M$36,3,FALSE),"")</f>
        <v>natural gas</v>
      </c>
    </row>
    <row r="4734" spans="1:9" x14ac:dyDescent="0.15">
      <c r="A4734" s="2">
        <v>537122</v>
      </c>
      <c r="B4734" s="2" t="s">
        <v>94</v>
      </c>
      <c r="C4734" s="2">
        <v>2020</v>
      </c>
      <c r="D4734" s="2" t="s">
        <v>1</v>
      </c>
      <c r="E4734" s="2" t="s">
        <v>14</v>
      </c>
      <c r="F4734" s="2" t="s">
        <v>35</v>
      </c>
      <c r="G4734" s="7">
        <v>-32.869999999999997</v>
      </c>
      <c r="H4734" s="13">
        <f>IFERROR(IF(ABS($G4734)&gt;0,VLOOKUP($E4734,'Fuel Category and Heat Rate'!$B$1:$G$34,6,FALSE)*($G4734),""),"")</f>
        <v>0</v>
      </c>
      <c r="I4734" t="str">
        <f>IFERROR(VLOOKUP($E4734,'Fuel Category and Heat Rate'!$K$2:$M$36,3,FALSE),"")</f>
        <v/>
      </c>
    </row>
    <row r="4735" spans="1:9" x14ac:dyDescent="0.15">
      <c r="A4735" s="2">
        <v>537157</v>
      </c>
      <c r="B4735" s="2" t="s">
        <v>94</v>
      </c>
      <c r="C4735" s="2">
        <v>2020</v>
      </c>
      <c r="D4735" s="2" t="s">
        <v>1</v>
      </c>
      <c r="E4735" s="2" t="s">
        <v>3</v>
      </c>
      <c r="F4735" s="2" t="s">
        <v>35</v>
      </c>
      <c r="G4735" s="7">
        <v>-2714.06</v>
      </c>
      <c r="H4735" s="13">
        <f>IFERROR(IF(ABS($G4735)&gt;0,VLOOKUP($E4735,'Fuel Category and Heat Rate'!$B$1:$G$34,6,FALSE)*($G4735),""),"")</f>
        <v>-537844195451833.19</v>
      </c>
      <c r="I4735" t="str">
        <f>IFERROR(VLOOKUP($E4735,'Fuel Category and Heat Rate'!$K$2:$M$36,3,FALSE),"")</f>
        <v>coal</v>
      </c>
    </row>
    <row r="4736" spans="1:9" x14ac:dyDescent="0.15">
      <c r="A4736" s="2">
        <v>537192</v>
      </c>
      <c r="B4736" s="2" t="s">
        <v>94</v>
      </c>
      <c r="C4736" s="2">
        <v>2020</v>
      </c>
      <c r="D4736" s="2" t="s">
        <v>1</v>
      </c>
      <c r="E4736" s="2" t="s">
        <v>15</v>
      </c>
      <c r="F4736" s="2" t="s">
        <v>35</v>
      </c>
      <c r="G4736" s="7"/>
      <c r="H4736" s="13" t="str">
        <f>IFERROR(IF(ABS($G4736)&gt;0,VLOOKUP($E4736,'Fuel Category and Heat Rate'!$B$1:$G$34,6,FALSE)*($G4736),""),"")</f>
        <v/>
      </c>
      <c r="I4736" t="str">
        <f>IFERROR(VLOOKUP($E4736,'Fuel Category and Heat Rate'!$K$2:$M$36,3,FALSE),"")</f>
        <v>crude oil</v>
      </c>
    </row>
    <row r="4737" spans="1:9" x14ac:dyDescent="0.15">
      <c r="A4737" s="2">
        <v>537227</v>
      </c>
      <c r="B4737" s="2" t="s">
        <v>94</v>
      </c>
      <c r="C4737" s="2">
        <v>2020</v>
      </c>
      <c r="D4737" s="2" t="s">
        <v>1</v>
      </c>
      <c r="E4737" s="2" t="s">
        <v>11</v>
      </c>
      <c r="F4737" s="2" t="s">
        <v>36</v>
      </c>
      <c r="G4737" s="7"/>
      <c r="H4737" s="13" t="str">
        <f>IFERROR(IF(ABS($G4737)&gt;0,VLOOKUP($E4737,'Fuel Category and Heat Rate'!$B$1:$G$34,6,FALSE)*($G4737),""),"")</f>
        <v/>
      </c>
      <c r="I4737" t="str">
        <f>IFERROR(VLOOKUP($E4737,'Fuel Category and Heat Rate'!$K$2:$M$36,3,FALSE),"")</f>
        <v>LPG propane or butane</v>
      </c>
    </row>
    <row r="4738" spans="1:9" x14ac:dyDescent="0.15">
      <c r="A4738" s="2">
        <v>537262</v>
      </c>
      <c r="B4738" s="2" t="s">
        <v>94</v>
      </c>
      <c r="C4738" s="2">
        <v>2019</v>
      </c>
      <c r="D4738" s="2" t="s">
        <v>1</v>
      </c>
      <c r="E4738" s="2" t="s">
        <v>18</v>
      </c>
      <c r="F4738" s="2" t="s">
        <v>35</v>
      </c>
      <c r="G4738" s="7">
        <v>-0.09</v>
      </c>
      <c r="H4738" s="13">
        <f>IFERROR(IF(ABS($G4738)&gt;0,VLOOKUP($E4738,'Fuel Category and Heat Rate'!$B$1:$G$34,6,FALSE)*($G4738),""),"")</f>
        <v>-36383666324.394104</v>
      </c>
      <c r="I4738" t="str">
        <f>IFERROR(VLOOKUP($E4738,'Fuel Category and Heat Rate'!$K$2:$M$36,3,FALSE),"")</f>
        <v>petroleum diesel</v>
      </c>
    </row>
    <row r="4739" spans="1:9" x14ac:dyDescent="0.15">
      <c r="A4739" s="2">
        <v>537297</v>
      </c>
      <c r="B4739" s="2" t="s">
        <v>94</v>
      </c>
      <c r="C4739" s="2">
        <v>2019</v>
      </c>
      <c r="D4739" s="2" t="s">
        <v>1</v>
      </c>
      <c r="E4739" s="2" t="s">
        <v>32</v>
      </c>
      <c r="F4739" s="2" t="s">
        <v>65</v>
      </c>
      <c r="G4739" s="7"/>
      <c r="H4739" s="13" t="str">
        <f>IFERROR(IF(ABS($G4739)&gt;0,VLOOKUP($E4739,'Fuel Category and Heat Rate'!$B$1:$G$34,6,FALSE)*($G4739),""),"")</f>
        <v/>
      </c>
      <c r="I4739" t="str">
        <f>IFERROR(VLOOKUP($E4739,'Fuel Category and Heat Rate'!$K$2:$M$36,3,FALSE),"")</f>
        <v>electricity</v>
      </c>
    </row>
    <row r="4740" spans="1:9" x14ac:dyDescent="0.15">
      <c r="A4740" s="2">
        <v>537332</v>
      </c>
      <c r="B4740" s="2" t="s">
        <v>94</v>
      </c>
      <c r="C4740" s="2">
        <v>2019</v>
      </c>
      <c r="D4740" s="2" t="s">
        <v>1</v>
      </c>
      <c r="E4740" s="2" t="s">
        <v>10</v>
      </c>
      <c r="F4740" s="2" t="s">
        <v>36</v>
      </c>
      <c r="G4740" s="7"/>
      <c r="H4740" s="13" t="str">
        <f>IFERROR(IF(ABS($G4740)&gt;0,VLOOKUP($E4740,'Fuel Category and Heat Rate'!$B$1:$G$34,6,FALSE)*($G4740),""),"")</f>
        <v/>
      </c>
      <c r="I4740" t="str">
        <f>IFERROR(VLOOKUP($E4740,'Fuel Category and Heat Rate'!$K$2:$M$36,3,FALSE),"")</f>
        <v>LPG propane or butane</v>
      </c>
    </row>
    <row r="4741" spans="1:9" x14ac:dyDescent="0.15">
      <c r="A4741" s="2">
        <v>537367</v>
      </c>
      <c r="B4741" s="2" t="s">
        <v>94</v>
      </c>
      <c r="C4741" s="2">
        <v>2019</v>
      </c>
      <c r="D4741" s="2" t="s">
        <v>1</v>
      </c>
      <c r="E4741" s="2" t="s">
        <v>9</v>
      </c>
      <c r="F4741" s="2" t="s">
        <v>36</v>
      </c>
      <c r="G4741" s="7"/>
      <c r="H4741" s="13" t="str">
        <f>IFERROR(IF(ABS($G4741)&gt;0,VLOOKUP($E4741,'Fuel Category and Heat Rate'!$B$1:$G$34,6,FALSE)*($G4741),""),"")</f>
        <v/>
      </c>
      <c r="I4741" t="str">
        <f>IFERROR(VLOOKUP($E4741,'Fuel Category and Heat Rate'!$K$2:$M$36,3,FALSE),"")</f>
        <v>LPG propane or butane</v>
      </c>
    </row>
    <row r="4742" spans="1:9" x14ac:dyDescent="0.15">
      <c r="A4742" s="2">
        <v>537402</v>
      </c>
      <c r="B4742" s="2" t="s">
        <v>94</v>
      </c>
      <c r="C4742" s="2">
        <v>2019</v>
      </c>
      <c r="D4742" s="2" t="s">
        <v>1</v>
      </c>
      <c r="E4742" s="2" t="s">
        <v>8</v>
      </c>
      <c r="F4742" s="2" t="s">
        <v>35</v>
      </c>
      <c r="G4742" s="7"/>
      <c r="H4742" s="13" t="str">
        <f>IFERROR(IF(ABS($G4742)&gt;0,VLOOKUP($E4742,'Fuel Category and Heat Rate'!$B$1:$G$34,6,FALSE)*($G4742),""),"")</f>
        <v/>
      </c>
      <c r="I4742" t="str">
        <f>IFERROR(VLOOKUP($E4742,'Fuel Category and Heat Rate'!$K$2:$M$36,3,FALSE),"")</f>
        <v>coal</v>
      </c>
    </row>
    <row r="4743" spans="1:9" x14ac:dyDescent="0.15">
      <c r="A4743" s="2">
        <v>537437</v>
      </c>
      <c r="B4743" s="2" t="s">
        <v>94</v>
      </c>
      <c r="C4743" s="2">
        <v>2019</v>
      </c>
      <c r="D4743" s="2" t="s">
        <v>1</v>
      </c>
      <c r="E4743" s="2" t="s">
        <v>27</v>
      </c>
      <c r="F4743" s="2" t="s">
        <v>35</v>
      </c>
      <c r="G4743" s="7"/>
      <c r="H4743" s="13" t="str">
        <f>IFERROR(IF(ABS($G4743)&gt;0,VLOOKUP($E4743,'Fuel Category and Heat Rate'!$B$1:$G$34,6,FALSE)*($G4743),""),"")</f>
        <v/>
      </c>
      <c r="I4743" t="str">
        <f>IFERROR(VLOOKUP($E4743,'Fuel Category and Heat Rate'!$K$2:$M$36,3,FALSE),"")</f>
        <v>LPG propane or butane</v>
      </c>
    </row>
    <row r="4744" spans="1:9" x14ac:dyDescent="0.15">
      <c r="A4744" s="2">
        <v>537472</v>
      </c>
      <c r="B4744" s="2" t="s">
        <v>94</v>
      </c>
      <c r="C4744" s="2">
        <v>2019</v>
      </c>
      <c r="D4744" s="2" t="s">
        <v>1</v>
      </c>
      <c r="E4744" s="2" t="s">
        <v>7</v>
      </c>
      <c r="F4744" s="2" t="s">
        <v>35</v>
      </c>
      <c r="G4744" s="7"/>
      <c r="H4744" s="13" t="str">
        <f>IFERROR(IF(ABS($G4744)&gt;0,VLOOKUP($E4744,'Fuel Category and Heat Rate'!$B$1:$G$34,6,FALSE)*($G4744),""),"")</f>
        <v/>
      </c>
      <c r="I4744" t="str">
        <f>IFERROR(VLOOKUP($E4744,'Fuel Category and Heat Rate'!$K$2:$M$36,3,FALSE),"")</f>
        <v>coal</v>
      </c>
    </row>
    <row r="4745" spans="1:9" x14ac:dyDescent="0.15">
      <c r="A4745" s="2">
        <v>537507</v>
      </c>
      <c r="B4745" s="2" t="s">
        <v>94</v>
      </c>
      <c r="C4745" s="2">
        <v>2019</v>
      </c>
      <c r="D4745" s="2" t="s">
        <v>1</v>
      </c>
      <c r="E4745" s="2" t="s">
        <v>2</v>
      </c>
      <c r="F4745" s="2" t="s">
        <v>35</v>
      </c>
      <c r="G4745" s="7">
        <v>-2872.71</v>
      </c>
      <c r="H4745" s="13">
        <f>IFERROR(IF(ABS($G4745)&gt;0,VLOOKUP($E4745,'Fuel Category and Heat Rate'!$B$1:$G$34,6,FALSE)*($G4745),""),"")</f>
        <v>0</v>
      </c>
      <c r="I4745" t="str">
        <f>IFERROR(VLOOKUP($E4745,'Fuel Category and Heat Rate'!$K$2:$M$36,3,FALSE),"")</f>
        <v/>
      </c>
    </row>
    <row r="4746" spans="1:9" x14ac:dyDescent="0.15">
      <c r="A4746" s="2">
        <v>537542</v>
      </c>
      <c r="B4746" s="2" t="s">
        <v>94</v>
      </c>
      <c r="C4746" s="2">
        <v>2019</v>
      </c>
      <c r="D4746" s="2" t="s">
        <v>1</v>
      </c>
      <c r="E4746" s="2" t="s">
        <v>17</v>
      </c>
      <c r="F4746" s="2" t="s">
        <v>35</v>
      </c>
      <c r="G4746" s="7"/>
      <c r="H4746" s="13" t="str">
        <f>IFERROR(IF(ABS($G4746)&gt;0,VLOOKUP($E4746,'Fuel Category and Heat Rate'!$B$1:$G$34,6,FALSE)*($G4746),""),"")</f>
        <v/>
      </c>
      <c r="I4746" t="str">
        <f>IFERROR(VLOOKUP($E4746,'Fuel Category and Heat Rate'!$K$2:$M$36,3,FALSE),"")</f>
        <v>petroleum diesel</v>
      </c>
    </row>
    <row r="4747" spans="1:9" x14ac:dyDescent="0.15">
      <c r="A4747" s="2">
        <v>537577</v>
      </c>
      <c r="B4747" s="2" t="s">
        <v>94</v>
      </c>
      <c r="C4747" s="2">
        <v>2019</v>
      </c>
      <c r="D4747" s="2" t="s">
        <v>1</v>
      </c>
      <c r="E4747" s="2" t="s">
        <v>13</v>
      </c>
      <c r="F4747" s="2" t="s">
        <v>35</v>
      </c>
      <c r="G4747" s="7"/>
      <c r="H4747" s="13" t="str">
        <f>IFERROR(IF(ABS($G4747)&gt;0,VLOOKUP($E4747,'Fuel Category and Heat Rate'!$B$1:$G$34,6,FALSE)*($G4747),""),"")</f>
        <v/>
      </c>
      <c r="I4747" t="str">
        <f>IFERROR(VLOOKUP($E4747,'Fuel Category and Heat Rate'!$K$2:$M$36,3,FALSE),"")</f>
        <v>petroleum diesel</v>
      </c>
    </row>
    <row r="4748" spans="1:9" x14ac:dyDescent="0.15">
      <c r="A4748" s="2">
        <v>537612</v>
      </c>
      <c r="B4748" s="2" t="s">
        <v>94</v>
      </c>
      <c r="C4748" s="2">
        <v>2019</v>
      </c>
      <c r="D4748" s="2" t="s">
        <v>1</v>
      </c>
      <c r="E4748" s="2" t="s">
        <v>12</v>
      </c>
      <c r="F4748" s="2" t="s">
        <v>36</v>
      </c>
      <c r="G4748" s="7"/>
      <c r="H4748" s="13" t="str">
        <f>IFERROR(IF(ABS($G4748)&gt;0,VLOOKUP($E4748,'Fuel Category and Heat Rate'!$B$1:$G$34,6,FALSE)*($G4748),""),"")</f>
        <v/>
      </c>
      <c r="I4748" t="str">
        <f>IFERROR(VLOOKUP($E4748,'Fuel Category and Heat Rate'!$K$2:$M$36,3,FALSE),"")</f>
        <v>LPG propane or butane</v>
      </c>
    </row>
    <row r="4749" spans="1:9" x14ac:dyDescent="0.15">
      <c r="A4749" s="2">
        <v>537647</v>
      </c>
      <c r="B4749" s="2" t="s">
        <v>94</v>
      </c>
      <c r="C4749" s="2">
        <v>2019</v>
      </c>
      <c r="D4749" s="2" t="s">
        <v>1</v>
      </c>
      <c r="E4749" s="2" t="s">
        <v>33</v>
      </c>
      <c r="F4749" s="2" t="s">
        <v>38</v>
      </c>
      <c r="G4749" s="7">
        <v>-51.25</v>
      </c>
      <c r="H4749" s="13">
        <f>IFERROR(IF(ABS($G4749)&gt;0,VLOOKUP($E4749,'Fuel Category and Heat Rate'!$B$1:$G$34,6,FALSE)*($G4749),""),"")</f>
        <v>-14218571936262.898</v>
      </c>
      <c r="I4749" t="str">
        <f>IFERROR(VLOOKUP($E4749,'Fuel Category and Heat Rate'!$K$2:$M$36,3,FALSE),"")</f>
        <v>biomass</v>
      </c>
    </row>
    <row r="4750" spans="1:9" x14ac:dyDescent="0.15">
      <c r="A4750" s="2">
        <v>537682</v>
      </c>
      <c r="B4750" s="2" t="s">
        <v>94</v>
      </c>
      <c r="C4750" s="2">
        <v>2019</v>
      </c>
      <c r="D4750" s="2" t="s">
        <v>1</v>
      </c>
      <c r="E4750" s="2" t="s">
        <v>28</v>
      </c>
      <c r="F4750" s="2" t="s">
        <v>35</v>
      </c>
      <c r="G4750" s="7"/>
      <c r="H4750" s="13" t="str">
        <f>IFERROR(IF(ABS($G4750)&gt;0,VLOOKUP($E4750,'Fuel Category and Heat Rate'!$B$1:$G$34,6,FALSE)*($G4750),""),"")</f>
        <v/>
      </c>
      <c r="I4750" t="str">
        <f>IFERROR(VLOOKUP($E4750,'Fuel Category and Heat Rate'!$K$2:$M$36,3,FALSE),"")</f>
        <v>heavy or residual fuel oil</v>
      </c>
    </row>
    <row r="4751" spans="1:9" x14ac:dyDescent="0.15">
      <c r="A4751" s="2">
        <v>537717</v>
      </c>
      <c r="B4751" s="2" t="s">
        <v>94</v>
      </c>
      <c r="C4751" s="2">
        <v>2019</v>
      </c>
      <c r="D4751" s="2" t="s">
        <v>1</v>
      </c>
      <c r="E4751" s="2" t="s">
        <v>5</v>
      </c>
      <c r="F4751" s="2" t="s">
        <v>35</v>
      </c>
      <c r="G4751" s="7">
        <v>-4.29</v>
      </c>
      <c r="H4751" s="13">
        <f>IFERROR(IF(ABS($G4751)&gt;0,VLOOKUP($E4751,'Fuel Category and Heat Rate'!$B$1:$G$34,6,FALSE)*($G4751),""),"")</f>
        <v>-340050908205.47552</v>
      </c>
      <c r="I4751" t="str">
        <f>IFERROR(VLOOKUP($E4751,'Fuel Category and Heat Rate'!$K$2:$M$36,3,FALSE),"")</f>
        <v>coal</v>
      </c>
    </row>
    <row r="4752" spans="1:9" x14ac:dyDescent="0.15">
      <c r="A4752" s="2">
        <v>537752</v>
      </c>
      <c r="B4752" s="2" t="s">
        <v>94</v>
      </c>
      <c r="C4752" s="2">
        <v>2019</v>
      </c>
      <c r="D4752" s="2" t="s">
        <v>1</v>
      </c>
      <c r="E4752" s="2" t="s">
        <v>16</v>
      </c>
      <c r="F4752" s="2" t="s">
        <v>35</v>
      </c>
      <c r="G4752" s="7"/>
      <c r="H4752" s="13" t="str">
        <f>IFERROR(IF(ABS($G4752)&gt;0,VLOOKUP($E4752,'Fuel Category and Heat Rate'!$B$1:$G$34,6,FALSE)*($G4752),""),"")</f>
        <v/>
      </c>
      <c r="I4752" t="str">
        <f>IFERROR(VLOOKUP($E4752,'Fuel Category and Heat Rate'!$K$2:$M$36,3,FALSE),"")</f>
        <v>petroleum diesel</v>
      </c>
    </row>
    <row r="4753" spans="1:9" x14ac:dyDescent="0.15">
      <c r="A4753" s="2">
        <v>537787</v>
      </c>
      <c r="B4753" s="2" t="s">
        <v>94</v>
      </c>
      <c r="C4753" s="2">
        <v>2019</v>
      </c>
      <c r="D4753" s="2" t="s">
        <v>1</v>
      </c>
      <c r="E4753" s="2" t="s">
        <v>19</v>
      </c>
      <c r="F4753" s="2" t="s">
        <v>35</v>
      </c>
      <c r="G4753" s="7">
        <v>-0.04</v>
      </c>
      <c r="H4753" s="13">
        <f>IFERROR(IF(ABS($G4753)&gt;0,VLOOKUP($E4753,'Fuel Category and Heat Rate'!$B$1:$G$34,6,FALSE)*($G4753),""),"")</f>
        <v>-15853568320.577532</v>
      </c>
      <c r="I4753" t="str">
        <f>IFERROR(VLOOKUP($E4753,'Fuel Category and Heat Rate'!$K$2:$M$36,3,FALSE),"")</f>
        <v>heavy or residual fuel oil</v>
      </c>
    </row>
    <row r="4754" spans="1:9" x14ac:dyDescent="0.15">
      <c r="A4754" s="2">
        <v>537822</v>
      </c>
      <c r="B4754" s="2" t="s">
        <v>94</v>
      </c>
      <c r="C4754" s="2">
        <v>2019</v>
      </c>
      <c r="D4754" s="2" t="s">
        <v>1</v>
      </c>
      <c r="E4754" s="2" t="s">
        <v>31</v>
      </c>
      <c r="F4754" s="2" t="s">
        <v>37</v>
      </c>
      <c r="G4754" s="7">
        <v>58537.79</v>
      </c>
      <c r="H4754" s="13">
        <f>IFERROR(IF(ABS($G4754)&gt;0,VLOOKUP($E4754,'Fuel Category and Heat Rate'!$B$1:$G$34,6,FALSE)*($G4754),""),"")</f>
        <v>554831196850858.69</v>
      </c>
      <c r="I4754" t="str">
        <f>IFERROR(VLOOKUP($E4754,'Fuel Category and Heat Rate'!$K$2:$M$36,3,FALSE),"")</f>
        <v>heat</v>
      </c>
    </row>
    <row r="4755" spans="1:9" x14ac:dyDescent="0.15">
      <c r="A4755" s="2">
        <v>537857</v>
      </c>
      <c r="B4755" s="2" t="s">
        <v>94</v>
      </c>
      <c r="C4755" s="2">
        <v>2019</v>
      </c>
      <c r="D4755" s="2" t="s">
        <v>1</v>
      </c>
      <c r="E4755" s="2" t="s">
        <v>23</v>
      </c>
      <c r="F4755" s="2" t="s">
        <v>35</v>
      </c>
      <c r="G4755" s="7"/>
      <c r="H4755" s="13" t="str">
        <f>IFERROR(IF(ABS($G4755)&gt;0,VLOOKUP($E4755,'Fuel Category and Heat Rate'!$B$1:$G$34,6,FALSE)*($G4755),""),"")</f>
        <v/>
      </c>
      <c r="I4755" t="str">
        <f>IFERROR(VLOOKUP($E4755,'Fuel Category and Heat Rate'!$K$2:$M$36,3,FALSE),"")</f>
        <v>heavy or residual fuel oil</v>
      </c>
    </row>
    <row r="4756" spans="1:9" x14ac:dyDescent="0.15">
      <c r="A4756" s="2">
        <v>537892</v>
      </c>
      <c r="B4756" s="2" t="s">
        <v>94</v>
      </c>
      <c r="C4756" s="2">
        <v>2019</v>
      </c>
      <c r="D4756" s="2" t="s">
        <v>1</v>
      </c>
      <c r="E4756" s="2" t="s">
        <v>21</v>
      </c>
      <c r="F4756" s="2" t="s">
        <v>35</v>
      </c>
      <c r="G4756" s="7"/>
      <c r="H4756" s="13" t="str">
        <f>IFERROR(IF(ABS($G4756)&gt;0,VLOOKUP($E4756,'Fuel Category and Heat Rate'!$B$1:$G$34,6,FALSE)*($G4756),""),"")</f>
        <v/>
      </c>
      <c r="I4756" t="str">
        <f>IFERROR(VLOOKUP($E4756,'Fuel Category and Heat Rate'!$K$2:$M$36,3,FALSE),"")</f>
        <v>LPG propane or butane</v>
      </c>
    </row>
    <row r="4757" spans="1:9" x14ac:dyDescent="0.15">
      <c r="A4757" s="2">
        <v>537927</v>
      </c>
      <c r="B4757" s="2" t="s">
        <v>94</v>
      </c>
      <c r="C4757" s="2">
        <v>2019</v>
      </c>
      <c r="D4757" s="2" t="s">
        <v>1</v>
      </c>
      <c r="E4757" s="2" t="s">
        <v>22</v>
      </c>
      <c r="F4757" s="2" t="s">
        <v>35</v>
      </c>
      <c r="G4757" s="7"/>
      <c r="H4757" s="13" t="str">
        <f>IFERROR(IF(ABS($G4757)&gt;0,VLOOKUP($E4757,'Fuel Category and Heat Rate'!$B$1:$G$34,6,FALSE)*($G4757),""),"")</f>
        <v/>
      </c>
      <c r="I4757" t="str">
        <f>IFERROR(VLOOKUP($E4757,'Fuel Category and Heat Rate'!$K$2:$M$36,3,FALSE),"")</f>
        <v>heavy fuel oil</v>
      </c>
    </row>
    <row r="4758" spans="1:9" x14ac:dyDescent="0.15">
      <c r="A4758" s="2">
        <v>537962</v>
      </c>
      <c r="B4758" s="2" t="s">
        <v>94</v>
      </c>
      <c r="C4758" s="2">
        <v>2019</v>
      </c>
      <c r="D4758" s="2" t="s">
        <v>1</v>
      </c>
      <c r="E4758" s="2" t="s">
        <v>20</v>
      </c>
      <c r="F4758" s="2" t="s">
        <v>35</v>
      </c>
      <c r="G4758" s="7"/>
      <c r="H4758" s="13" t="str">
        <f>IFERROR(IF(ABS($G4758)&gt;0,VLOOKUP($E4758,'Fuel Category and Heat Rate'!$B$1:$G$34,6,FALSE)*($G4758),""),"")</f>
        <v/>
      </c>
      <c r="I4758" t="str">
        <f>IFERROR(VLOOKUP($E4758,'Fuel Category and Heat Rate'!$K$2:$M$36,3,FALSE),"")</f>
        <v>LPG propane or butane</v>
      </c>
    </row>
    <row r="4759" spans="1:9" x14ac:dyDescent="0.15">
      <c r="A4759" s="2">
        <v>537997</v>
      </c>
      <c r="B4759" s="2" t="s">
        <v>94</v>
      </c>
      <c r="C4759" s="2">
        <v>2019</v>
      </c>
      <c r="D4759" s="2" t="s">
        <v>1</v>
      </c>
      <c r="E4759" s="2" t="s">
        <v>25</v>
      </c>
      <c r="F4759" s="2" t="s">
        <v>35</v>
      </c>
      <c r="G4759" s="7">
        <v>-36.770000000000003</v>
      </c>
      <c r="H4759" s="13">
        <f>IFERROR(IF(ABS($G4759)&gt;0,VLOOKUP($E4759,'Fuel Category and Heat Rate'!$B$1:$G$34,6,FALSE)*($G4759),""),"")</f>
        <v>-11133924237280.898</v>
      </c>
      <c r="I4759" t="str">
        <f>IFERROR(VLOOKUP($E4759,'Fuel Category and Heat Rate'!$K$2:$M$36,3,FALSE),"")</f>
        <v>heavy fuel oil</v>
      </c>
    </row>
    <row r="4760" spans="1:9" x14ac:dyDescent="0.15">
      <c r="A4760" s="2">
        <v>538032</v>
      </c>
      <c r="B4760" s="2" t="s">
        <v>94</v>
      </c>
      <c r="C4760" s="2">
        <v>2019</v>
      </c>
      <c r="D4760" s="2" t="s">
        <v>1</v>
      </c>
      <c r="E4760" s="2" t="s">
        <v>24</v>
      </c>
      <c r="F4760" s="2" t="s">
        <v>35</v>
      </c>
      <c r="G4760" s="7"/>
      <c r="H4760" s="13" t="str">
        <f>IFERROR(IF(ABS($G4760)&gt;0,VLOOKUP($E4760,'Fuel Category and Heat Rate'!$B$1:$G$34,6,FALSE)*($G4760),""),"")</f>
        <v/>
      </c>
      <c r="I4760" t="str">
        <f>IFERROR(VLOOKUP($E4760,'Fuel Category and Heat Rate'!$K$2:$M$36,3,FALSE),"")</f>
        <v>heavy fuel oil</v>
      </c>
    </row>
    <row r="4761" spans="1:9" x14ac:dyDescent="0.15">
      <c r="A4761" s="2">
        <v>538067</v>
      </c>
      <c r="B4761" s="2" t="s">
        <v>94</v>
      </c>
      <c r="C4761" s="2">
        <v>2019</v>
      </c>
      <c r="D4761" s="2" t="s">
        <v>1</v>
      </c>
      <c r="E4761" s="2" t="s">
        <v>29</v>
      </c>
      <c r="F4761" s="2" t="s">
        <v>36</v>
      </c>
      <c r="G4761" s="7">
        <v>-3.83</v>
      </c>
      <c r="H4761" s="13">
        <f>IFERROR(IF(ABS($G4761)&gt;0,VLOOKUP($E4761,'Fuel Category and Heat Rate'!$B$1:$G$34,6,FALSE)*($G4761),""),"")</f>
        <v>-12917670187791.48</v>
      </c>
      <c r="I4761" t="str">
        <f>IFERROR(VLOOKUP($E4761,'Fuel Category and Heat Rate'!$K$2:$M$36,3,FALSE),"")</f>
        <v>natural gas</v>
      </c>
    </row>
    <row r="4762" spans="1:9" x14ac:dyDescent="0.15">
      <c r="A4762" s="2">
        <v>538102</v>
      </c>
      <c r="B4762" s="2" t="s">
        <v>94</v>
      </c>
      <c r="C4762" s="2">
        <v>2019</v>
      </c>
      <c r="D4762" s="2" t="s">
        <v>1</v>
      </c>
      <c r="E4762" s="2" t="s">
        <v>4</v>
      </c>
      <c r="F4762" s="2" t="s">
        <v>35</v>
      </c>
      <c r="G4762" s="7"/>
      <c r="H4762" s="13" t="str">
        <f>IFERROR(IF(ABS($G4762)&gt;0,VLOOKUP($E4762,'Fuel Category and Heat Rate'!$B$1:$G$34,6,FALSE)*($G4762),""),"")</f>
        <v/>
      </c>
      <c r="I4762" t="str">
        <f>IFERROR(VLOOKUP($E4762,'Fuel Category and Heat Rate'!$K$2:$M$36,3,FALSE),"")</f>
        <v>coal</v>
      </c>
    </row>
    <row r="4763" spans="1:9" x14ac:dyDescent="0.15">
      <c r="A4763" s="2">
        <v>538137</v>
      </c>
      <c r="B4763" s="2" t="s">
        <v>94</v>
      </c>
      <c r="C4763" s="2">
        <v>2019</v>
      </c>
      <c r="D4763" s="2" t="s">
        <v>1</v>
      </c>
      <c r="E4763" s="2" t="s">
        <v>6</v>
      </c>
      <c r="F4763" s="2" t="s">
        <v>35</v>
      </c>
      <c r="G4763" s="7"/>
      <c r="H4763" s="13" t="str">
        <f>IFERROR(IF(ABS($G4763)&gt;0,VLOOKUP($E4763,'Fuel Category and Heat Rate'!$B$1:$G$34,6,FALSE)*($G4763),""),"")</f>
        <v/>
      </c>
      <c r="I4763" t="str">
        <f>IFERROR(VLOOKUP($E4763,'Fuel Category and Heat Rate'!$K$2:$M$36,3,FALSE),"")</f>
        <v>coal</v>
      </c>
    </row>
    <row r="4764" spans="1:9" x14ac:dyDescent="0.15">
      <c r="A4764" s="2">
        <v>538172</v>
      </c>
      <c r="B4764" s="2" t="s">
        <v>94</v>
      </c>
      <c r="C4764" s="2">
        <v>2019</v>
      </c>
      <c r="D4764" s="2" t="s">
        <v>1</v>
      </c>
      <c r="E4764" s="2" t="s">
        <v>26</v>
      </c>
      <c r="F4764" s="2" t="s">
        <v>35</v>
      </c>
      <c r="G4764" s="7"/>
      <c r="H4764" s="13" t="str">
        <f>IFERROR(IF(ABS($G4764)&gt;0,VLOOKUP($E4764,'Fuel Category and Heat Rate'!$B$1:$G$34,6,FALSE)*($G4764),""),"")</f>
        <v/>
      </c>
      <c r="I4764" t="str">
        <f>IFERROR(VLOOKUP($E4764,'Fuel Category and Heat Rate'!$K$2:$M$36,3,FALSE),"")</f>
        <v>LPG propane or butane</v>
      </c>
    </row>
    <row r="4765" spans="1:9" x14ac:dyDescent="0.15">
      <c r="A4765" s="2">
        <v>538207</v>
      </c>
      <c r="B4765" s="2" t="s">
        <v>94</v>
      </c>
      <c r="C4765" s="2">
        <v>2019</v>
      </c>
      <c r="D4765" s="2" t="s">
        <v>1</v>
      </c>
      <c r="E4765" s="2" t="s">
        <v>30</v>
      </c>
      <c r="F4765" s="2" t="s">
        <v>35</v>
      </c>
      <c r="G4765" s="7">
        <v>-2.2400000000000002</v>
      </c>
      <c r="H4765" s="13">
        <f>IFERROR(IF(ABS($G4765)&gt;0,VLOOKUP($E4765,'Fuel Category and Heat Rate'!$B$1:$G$34,6,FALSE)*($G4765),""),"")</f>
        <v>-1092000579874.5159</v>
      </c>
      <c r="I4765" t="str">
        <f>IFERROR(VLOOKUP($E4765,'Fuel Category and Heat Rate'!$K$2:$M$36,3,FALSE),"")</f>
        <v>natural gas</v>
      </c>
    </row>
    <row r="4766" spans="1:9" x14ac:dyDescent="0.15">
      <c r="A4766" s="2">
        <v>538242</v>
      </c>
      <c r="B4766" s="2" t="s">
        <v>94</v>
      </c>
      <c r="C4766" s="2">
        <v>2019</v>
      </c>
      <c r="D4766" s="2" t="s">
        <v>1</v>
      </c>
      <c r="E4766" s="2" t="s">
        <v>14</v>
      </c>
      <c r="F4766" s="2" t="s">
        <v>35</v>
      </c>
      <c r="G4766" s="7">
        <v>-36.909999999999997</v>
      </c>
      <c r="H4766" s="13">
        <f>IFERROR(IF(ABS($G4766)&gt;0,VLOOKUP($E4766,'Fuel Category and Heat Rate'!$B$1:$G$34,6,FALSE)*($G4766),""),"")</f>
        <v>0</v>
      </c>
      <c r="I4766" t="str">
        <f>IFERROR(VLOOKUP($E4766,'Fuel Category and Heat Rate'!$K$2:$M$36,3,FALSE),"")</f>
        <v/>
      </c>
    </row>
    <row r="4767" spans="1:9" x14ac:dyDescent="0.15">
      <c r="A4767" s="2">
        <v>538277</v>
      </c>
      <c r="B4767" s="2" t="s">
        <v>94</v>
      </c>
      <c r="C4767" s="2">
        <v>2019</v>
      </c>
      <c r="D4767" s="2" t="s">
        <v>1</v>
      </c>
      <c r="E4767" s="2" t="s">
        <v>3</v>
      </c>
      <c r="F4767" s="2" t="s">
        <v>35</v>
      </c>
      <c r="G4767" s="7">
        <v>-2868.42</v>
      </c>
      <c r="H4767" s="13">
        <f>IFERROR(IF(ABS($G4767)&gt;0,VLOOKUP($E4767,'Fuel Category and Heat Rate'!$B$1:$G$34,6,FALSE)*($G4767),""),"")</f>
        <v>-568433655526387.5</v>
      </c>
      <c r="I4767" t="str">
        <f>IFERROR(VLOOKUP($E4767,'Fuel Category and Heat Rate'!$K$2:$M$36,3,FALSE),"")</f>
        <v>coal</v>
      </c>
    </row>
    <row r="4768" spans="1:9" x14ac:dyDescent="0.15">
      <c r="A4768" s="2">
        <v>538312</v>
      </c>
      <c r="B4768" s="2" t="s">
        <v>94</v>
      </c>
      <c r="C4768" s="2">
        <v>2019</v>
      </c>
      <c r="D4768" s="2" t="s">
        <v>1</v>
      </c>
      <c r="E4768" s="2" t="s">
        <v>15</v>
      </c>
      <c r="F4768" s="2" t="s">
        <v>35</v>
      </c>
      <c r="G4768" s="7"/>
      <c r="H4768" s="13" t="str">
        <f>IFERROR(IF(ABS($G4768)&gt;0,VLOOKUP($E4768,'Fuel Category and Heat Rate'!$B$1:$G$34,6,FALSE)*($G4768),""),"")</f>
        <v/>
      </c>
      <c r="I4768" t="str">
        <f>IFERROR(VLOOKUP($E4768,'Fuel Category and Heat Rate'!$K$2:$M$36,3,FALSE),"")</f>
        <v>crude oil</v>
      </c>
    </row>
    <row r="4769" spans="1:9" x14ac:dyDescent="0.15">
      <c r="A4769" s="2">
        <v>538347</v>
      </c>
      <c r="B4769" s="2" t="s">
        <v>94</v>
      </c>
      <c r="C4769" s="2">
        <v>2019</v>
      </c>
      <c r="D4769" s="2" t="s">
        <v>1</v>
      </c>
      <c r="E4769" s="2" t="s">
        <v>11</v>
      </c>
      <c r="F4769" s="2" t="s">
        <v>36</v>
      </c>
      <c r="G4769" s="7"/>
      <c r="H4769" s="13" t="str">
        <f>IFERROR(IF(ABS($G4769)&gt;0,VLOOKUP($E4769,'Fuel Category and Heat Rate'!$B$1:$G$34,6,FALSE)*($G4769),""),"")</f>
        <v/>
      </c>
      <c r="I4769" t="str">
        <f>IFERROR(VLOOKUP($E4769,'Fuel Category and Heat Rate'!$K$2:$M$36,3,FALSE),"")</f>
        <v>LPG propane or butane</v>
      </c>
    </row>
    <row r="4770" spans="1:9" x14ac:dyDescent="0.15">
      <c r="A4770" s="2">
        <v>538382</v>
      </c>
      <c r="B4770" s="2" t="s">
        <v>94</v>
      </c>
      <c r="C4770" s="2">
        <v>2018</v>
      </c>
      <c r="D4770" s="2" t="s">
        <v>1</v>
      </c>
      <c r="E4770" s="2" t="s">
        <v>18</v>
      </c>
      <c r="F4770" s="2" t="s">
        <v>35</v>
      </c>
      <c r="G4770" s="7">
        <v>-0.09</v>
      </c>
      <c r="H4770" s="13">
        <f>IFERROR(IF(ABS($G4770)&gt;0,VLOOKUP($E4770,'Fuel Category and Heat Rate'!$B$1:$G$34,6,FALSE)*($G4770),""),"")</f>
        <v>-36383666324.394104</v>
      </c>
      <c r="I4770" t="str">
        <f>IFERROR(VLOOKUP($E4770,'Fuel Category and Heat Rate'!$K$2:$M$36,3,FALSE),"")</f>
        <v>petroleum diesel</v>
      </c>
    </row>
    <row r="4771" spans="1:9" x14ac:dyDescent="0.15">
      <c r="A4771" s="2">
        <v>538417</v>
      </c>
      <c r="B4771" s="2" t="s">
        <v>94</v>
      </c>
      <c r="C4771" s="2">
        <v>2018</v>
      </c>
      <c r="D4771" s="2" t="s">
        <v>1</v>
      </c>
      <c r="E4771" s="2" t="s">
        <v>32</v>
      </c>
      <c r="F4771" s="2" t="s">
        <v>65</v>
      </c>
      <c r="G4771" s="7"/>
      <c r="H4771" s="13" t="str">
        <f>IFERROR(IF(ABS($G4771)&gt;0,VLOOKUP($E4771,'Fuel Category and Heat Rate'!$B$1:$G$34,6,FALSE)*($G4771),""),"")</f>
        <v/>
      </c>
      <c r="I4771" t="str">
        <f>IFERROR(VLOOKUP($E4771,'Fuel Category and Heat Rate'!$K$2:$M$36,3,FALSE),"")</f>
        <v>electricity</v>
      </c>
    </row>
    <row r="4772" spans="1:9" x14ac:dyDescent="0.15">
      <c r="A4772" s="2">
        <v>538452</v>
      </c>
      <c r="B4772" s="2" t="s">
        <v>94</v>
      </c>
      <c r="C4772" s="2">
        <v>2018</v>
      </c>
      <c r="D4772" s="2" t="s">
        <v>1</v>
      </c>
      <c r="E4772" s="2" t="s">
        <v>10</v>
      </c>
      <c r="F4772" s="2" t="s">
        <v>36</v>
      </c>
      <c r="G4772" s="7"/>
      <c r="H4772" s="13" t="str">
        <f>IFERROR(IF(ABS($G4772)&gt;0,VLOOKUP($E4772,'Fuel Category and Heat Rate'!$B$1:$G$34,6,FALSE)*($G4772),""),"")</f>
        <v/>
      </c>
      <c r="I4772" t="str">
        <f>IFERROR(VLOOKUP($E4772,'Fuel Category and Heat Rate'!$K$2:$M$36,3,FALSE),"")</f>
        <v>LPG propane or butane</v>
      </c>
    </row>
    <row r="4773" spans="1:9" x14ac:dyDescent="0.15">
      <c r="A4773" s="2">
        <v>538487</v>
      </c>
      <c r="B4773" s="2" t="s">
        <v>94</v>
      </c>
      <c r="C4773" s="2">
        <v>2018</v>
      </c>
      <c r="D4773" s="2" t="s">
        <v>1</v>
      </c>
      <c r="E4773" s="2" t="s">
        <v>9</v>
      </c>
      <c r="F4773" s="2" t="s">
        <v>36</v>
      </c>
      <c r="G4773" s="7"/>
      <c r="H4773" s="13" t="str">
        <f>IFERROR(IF(ABS($G4773)&gt;0,VLOOKUP($E4773,'Fuel Category and Heat Rate'!$B$1:$G$34,6,FALSE)*($G4773),""),"")</f>
        <v/>
      </c>
      <c r="I4773" t="str">
        <f>IFERROR(VLOOKUP($E4773,'Fuel Category and Heat Rate'!$K$2:$M$36,3,FALSE),"")</f>
        <v>LPG propane or butane</v>
      </c>
    </row>
    <row r="4774" spans="1:9" x14ac:dyDescent="0.15">
      <c r="A4774" s="2">
        <v>538522</v>
      </c>
      <c r="B4774" s="2" t="s">
        <v>94</v>
      </c>
      <c r="C4774" s="2">
        <v>2018</v>
      </c>
      <c r="D4774" s="2" t="s">
        <v>1</v>
      </c>
      <c r="E4774" s="2" t="s">
        <v>8</v>
      </c>
      <c r="F4774" s="2" t="s">
        <v>35</v>
      </c>
      <c r="G4774" s="7"/>
      <c r="H4774" s="13" t="str">
        <f>IFERROR(IF(ABS($G4774)&gt;0,VLOOKUP($E4774,'Fuel Category and Heat Rate'!$B$1:$G$34,6,FALSE)*($G4774),""),"")</f>
        <v/>
      </c>
      <c r="I4774" t="str">
        <f>IFERROR(VLOOKUP($E4774,'Fuel Category and Heat Rate'!$K$2:$M$36,3,FALSE),"")</f>
        <v>coal</v>
      </c>
    </row>
    <row r="4775" spans="1:9" x14ac:dyDescent="0.15">
      <c r="A4775" s="2">
        <v>538557</v>
      </c>
      <c r="B4775" s="2" t="s">
        <v>94</v>
      </c>
      <c r="C4775" s="2">
        <v>2018</v>
      </c>
      <c r="D4775" s="2" t="s">
        <v>1</v>
      </c>
      <c r="E4775" s="2" t="s">
        <v>27</v>
      </c>
      <c r="F4775" s="2" t="s">
        <v>35</v>
      </c>
      <c r="G4775" s="7"/>
      <c r="H4775" s="13" t="str">
        <f>IFERROR(IF(ABS($G4775)&gt;0,VLOOKUP($E4775,'Fuel Category and Heat Rate'!$B$1:$G$34,6,FALSE)*($G4775),""),"")</f>
        <v/>
      </c>
      <c r="I4775" t="str">
        <f>IFERROR(VLOOKUP($E4775,'Fuel Category and Heat Rate'!$K$2:$M$36,3,FALSE),"")</f>
        <v>LPG propane or butane</v>
      </c>
    </row>
    <row r="4776" spans="1:9" x14ac:dyDescent="0.15">
      <c r="A4776" s="2">
        <v>538592</v>
      </c>
      <c r="B4776" s="2" t="s">
        <v>94</v>
      </c>
      <c r="C4776" s="2">
        <v>2018</v>
      </c>
      <c r="D4776" s="2" t="s">
        <v>1</v>
      </c>
      <c r="E4776" s="2" t="s">
        <v>7</v>
      </c>
      <c r="F4776" s="2" t="s">
        <v>35</v>
      </c>
      <c r="G4776" s="7">
        <v>-0.13</v>
      </c>
      <c r="H4776" s="13">
        <f>IFERROR(IF(ABS($G4776)&gt;0,VLOOKUP($E4776,'Fuel Category and Heat Rate'!$B$1:$G$34,6,FALSE)*($G4776),""),"")</f>
        <v>-10318126760.777641</v>
      </c>
      <c r="I4776" t="str">
        <f>IFERROR(VLOOKUP($E4776,'Fuel Category and Heat Rate'!$K$2:$M$36,3,FALSE),"")</f>
        <v>coal</v>
      </c>
    </row>
    <row r="4777" spans="1:9" x14ac:dyDescent="0.15">
      <c r="A4777" s="2">
        <v>538627</v>
      </c>
      <c r="B4777" s="2" t="s">
        <v>94</v>
      </c>
      <c r="C4777" s="2">
        <v>2018</v>
      </c>
      <c r="D4777" s="2" t="s">
        <v>1</v>
      </c>
      <c r="E4777" s="2" t="s">
        <v>2</v>
      </c>
      <c r="F4777" s="2" t="s">
        <v>35</v>
      </c>
      <c r="G4777" s="7">
        <v>-2824.67</v>
      </c>
      <c r="H4777" s="13">
        <f>IFERROR(IF(ABS($G4777)&gt;0,VLOOKUP($E4777,'Fuel Category and Heat Rate'!$B$1:$G$34,6,FALSE)*($G4777),""),"")</f>
        <v>0</v>
      </c>
      <c r="I4777" t="str">
        <f>IFERROR(VLOOKUP($E4777,'Fuel Category and Heat Rate'!$K$2:$M$36,3,FALSE),"")</f>
        <v/>
      </c>
    </row>
    <row r="4778" spans="1:9" x14ac:dyDescent="0.15">
      <c r="A4778" s="2">
        <v>538662</v>
      </c>
      <c r="B4778" s="2" t="s">
        <v>94</v>
      </c>
      <c r="C4778" s="2">
        <v>2018</v>
      </c>
      <c r="D4778" s="2" t="s">
        <v>1</v>
      </c>
      <c r="E4778" s="2" t="s">
        <v>17</v>
      </c>
      <c r="F4778" s="2" t="s">
        <v>35</v>
      </c>
      <c r="G4778" s="7"/>
      <c r="H4778" s="13" t="str">
        <f>IFERROR(IF(ABS($G4778)&gt;0,VLOOKUP($E4778,'Fuel Category and Heat Rate'!$B$1:$G$34,6,FALSE)*($G4778),""),"")</f>
        <v/>
      </c>
      <c r="I4778" t="str">
        <f>IFERROR(VLOOKUP($E4778,'Fuel Category and Heat Rate'!$K$2:$M$36,3,FALSE),"")</f>
        <v>petroleum diesel</v>
      </c>
    </row>
    <row r="4779" spans="1:9" x14ac:dyDescent="0.15">
      <c r="A4779" s="2">
        <v>538697</v>
      </c>
      <c r="B4779" s="2" t="s">
        <v>94</v>
      </c>
      <c r="C4779" s="2">
        <v>2018</v>
      </c>
      <c r="D4779" s="2" t="s">
        <v>1</v>
      </c>
      <c r="E4779" s="2" t="s">
        <v>13</v>
      </c>
      <c r="F4779" s="2" t="s">
        <v>35</v>
      </c>
      <c r="G4779" s="7"/>
      <c r="H4779" s="13" t="str">
        <f>IFERROR(IF(ABS($G4779)&gt;0,VLOOKUP($E4779,'Fuel Category and Heat Rate'!$B$1:$G$34,6,FALSE)*($G4779),""),"")</f>
        <v/>
      </c>
      <c r="I4779" t="str">
        <f>IFERROR(VLOOKUP($E4779,'Fuel Category and Heat Rate'!$K$2:$M$36,3,FALSE),"")</f>
        <v>petroleum diesel</v>
      </c>
    </row>
    <row r="4780" spans="1:9" x14ac:dyDescent="0.15">
      <c r="A4780" s="2">
        <v>538732</v>
      </c>
      <c r="B4780" s="2" t="s">
        <v>94</v>
      </c>
      <c r="C4780" s="2">
        <v>2018</v>
      </c>
      <c r="D4780" s="2" t="s">
        <v>1</v>
      </c>
      <c r="E4780" s="2" t="s">
        <v>12</v>
      </c>
      <c r="F4780" s="2" t="s">
        <v>36</v>
      </c>
      <c r="G4780" s="7"/>
      <c r="H4780" s="13" t="str">
        <f>IFERROR(IF(ABS($G4780)&gt;0,VLOOKUP($E4780,'Fuel Category and Heat Rate'!$B$1:$G$34,6,FALSE)*($G4780),""),"")</f>
        <v/>
      </c>
      <c r="I4780" t="str">
        <f>IFERROR(VLOOKUP($E4780,'Fuel Category and Heat Rate'!$K$2:$M$36,3,FALSE),"")</f>
        <v>LPG propane or butane</v>
      </c>
    </row>
    <row r="4781" spans="1:9" x14ac:dyDescent="0.15">
      <c r="A4781" s="2">
        <v>538767</v>
      </c>
      <c r="B4781" s="2" t="s">
        <v>94</v>
      </c>
      <c r="C4781" s="2">
        <v>2018</v>
      </c>
      <c r="D4781" s="2" t="s">
        <v>1</v>
      </c>
      <c r="E4781" s="2" t="s">
        <v>33</v>
      </c>
      <c r="F4781" s="2" t="s">
        <v>38</v>
      </c>
      <c r="G4781" s="7">
        <v>-23.1</v>
      </c>
      <c r="H4781" s="13">
        <f>IFERROR(IF(ABS($G4781)&gt;0,VLOOKUP($E4781,'Fuel Category and Heat Rate'!$B$1:$G$34,6,FALSE)*($G4781),""),"")</f>
        <v>-6408761204442.3994</v>
      </c>
      <c r="I4781" t="str">
        <f>IFERROR(VLOOKUP($E4781,'Fuel Category and Heat Rate'!$K$2:$M$36,3,FALSE),"")</f>
        <v>biomass</v>
      </c>
    </row>
    <row r="4782" spans="1:9" x14ac:dyDescent="0.15">
      <c r="A4782" s="2">
        <v>538802</v>
      </c>
      <c r="B4782" s="2" t="s">
        <v>94</v>
      </c>
      <c r="C4782" s="2">
        <v>2018</v>
      </c>
      <c r="D4782" s="2" t="s">
        <v>1</v>
      </c>
      <c r="E4782" s="2" t="s">
        <v>28</v>
      </c>
      <c r="F4782" s="2" t="s">
        <v>35</v>
      </c>
      <c r="G4782" s="7"/>
      <c r="H4782" s="13" t="str">
        <f>IFERROR(IF(ABS($G4782)&gt;0,VLOOKUP($E4782,'Fuel Category and Heat Rate'!$B$1:$G$34,6,FALSE)*($G4782),""),"")</f>
        <v/>
      </c>
      <c r="I4782" t="str">
        <f>IFERROR(VLOOKUP($E4782,'Fuel Category and Heat Rate'!$K$2:$M$36,3,FALSE),"")</f>
        <v>heavy or residual fuel oil</v>
      </c>
    </row>
    <row r="4783" spans="1:9" x14ac:dyDescent="0.15">
      <c r="A4783" s="2">
        <v>538837</v>
      </c>
      <c r="B4783" s="2" t="s">
        <v>94</v>
      </c>
      <c r="C4783" s="2">
        <v>2018</v>
      </c>
      <c r="D4783" s="2" t="s">
        <v>1</v>
      </c>
      <c r="E4783" s="2" t="s">
        <v>5</v>
      </c>
      <c r="F4783" s="2" t="s">
        <v>35</v>
      </c>
      <c r="G4783" s="7"/>
      <c r="H4783" s="13" t="str">
        <f>IFERROR(IF(ABS($G4783)&gt;0,VLOOKUP($E4783,'Fuel Category and Heat Rate'!$B$1:$G$34,6,FALSE)*($G4783),""),"")</f>
        <v/>
      </c>
      <c r="I4783" t="str">
        <f>IFERROR(VLOOKUP($E4783,'Fuel Category and Heat Rate'!$K$2:$M$36,3,FALSE),"")</f>
        <v>coal</v>
      </c>
    </row>
    <row r="4784" spans="1:9" x14ac:dyDescent="0.15">
      <c r="A4784" s="2">
        <v>538872</v>
      </c>
      <c r="B4784" s="2" t="s">
        <v>94</v>
      </c>
      <c r="C4784" s="2">
        <v>2018</v>
      </c>
      <c r="D4784" s="2" t="s">
        <v>1</v>
      </c>
      <c r="E4784" s="2" t="s">
        <v>16</v>
      </c>
      <c r="F4784" s="2" t="s">
        <v>35</v>
      </c>
      <c r="G4784" s="7"/>
      <c r="H4784" s="13" t="str">
        <f>IFERROR(IF(ABS($G4784)&gt;0,VLOOKUP($E4784,'Fuel Category and Heat Rate'!$B$1:$G$34,6,FALSE)*($G4784),""),"")</f>
        <v/>
      </c>
      <c r="I4784" t="str">
        <f>IFERROR(VLOOKUP($E4784,'Fuel Category and Heat Rate'!$K$2:$M$36,3,FALSE),"")</f>
        <v>petroleum diesel</v>
      </c>
    </row>
    <row r="4785" spans="1:9" x14ac:dyDescent="0.15">
      <c r="A4785" s="2">
        <v>538907</v>
      </c>
      <c r="B4785" s="2" t="s">
        <v>94</v>
      </c>
      <c r="C4785" s="2">
        <v>2018</v>
      </c>
      <c r="D4785" s="2" t="s">
        <v>1</v>
      </c>
      <c r="E4785" s="2" t="s">
        <v>19</v>
      </c>
      <c r="F4785" s="2" t="s">
        <v>35</v>
      </c>
      <c r="G4785" s="7">
        <v>-0.06</v>
      </c>
      <c r="H4785" s="13">
        <f>IFERROR(IF(ABS($G4785)&gt;0,VLOOKUP($E4785,'Fuel Category and Heat Rate'!$B$1:$G$34,6,FALSE)*($G4785),""),"")</f>
        <v>-23780352480.866295</v>
      </c>
      <c r="I4785" t="str">
        <f>IFERROR(VLOOKUP($E4785,'Fuel Category and Heat Rate'!$K$2:$M$36,3,FALSE),"")</f>
        <v>heavy or residual fuel oil</v>
      </c>
    </row>
    <row r="4786" spans="1:9" x14ac:dyDescent="0.15">
      <c r="A4786" s="2">
        <v>538942</v>
      </c>
      <c r="B4786" s="2" t="s">
        <v>94</v>
      </c>
      <c r="C4786" s="2">
        <v>2018</v>
      </c>
      <c r="D4786" s="2" t="s">
        <v>1</v>
      </c>
      <c r="E4786" s="2" t="s">
        <v>31</v>
      </c>
      <c r="F4786" s="2" t="s">
        <v>37</v>
      </c>
      <c r="G4786" s="7">
        <v>57042.25</v>
      </c>
      <c r="H4786" s="13">
        <f>IFERROR(IF(ABS($G4786)&gt;0,VLOOKUP($E4786,'Fuel Category and Heat Rate'!$B$1:$G$34,6,FALSE)*($G4786),""),"")</f>
        <v>540656212654524.44</v>
      </c>
      <c r="I4786" t="str">
        <f>IFERROR(VLOOKUP($E4786,'Fuel Category and Heat Rate'!$K$2:$M$36,3,FALSE),"")</f>
        <v>heat</v>
      </c>
    </row>
    <row r="4787" spans="1:9" x14ac:dyDescent="0.15">
      <c r="A4787" s="2">
        <v>538977</v>
      </c>
      <c r="B4787" s="2" t="s">
        <v>94</v>
      </c>
      <c r="C4787" s="2">
        <v>2018</v>
      </c>
      <c r="D4787" s="2" t="s">
        <v>1</v>
      </c>
      <c r="E4787" s="2" t="s">
        <v>23</v>
      </c>
      <c r="F4787" s="2" t="s">
        <v>35</v>
      </c>
      <c r="G4787" s="7"/>
      <c r="H4787" s="13" t="str">
        <f>IFERROR(IF(ABS($G4787)&gt;0,VLOOKUP($E4787,'Fuel Category and Heat Rate'!$B$1:$G$34,6,FALSE)*($G4787),""),"")</f>
        <v/>
      </c>
      <c r="I4787" t="str">
        <f>IFERROR(VLOOKUP($E4787,'Fuel Category and Heat Rate'!$K$2:$M$36,3,FALSE),"")</f>
        <v>heavy or residual fuel oil</v>
      </c>
    </row>
    <row r="4788" spans="1:9" x14ac:dyDescent="0.15">
      <c r="A4788" s="2">
        <v>539012</v>
      </c>
      <c r="B4788" s="2" t="s">
        <v>94</v>
      </c>
      <c r="C4788" s="2">
        <v>2018</v>
      </c>
      <c r="D4788" s="2" t="s">
        <v>1</v>
      </c>
      <c r="E4788" s="2" t="s">
        <v>21</v>
      </c>
      <c r="F4788" s="2" t="s">
        <v>35</v>
      </c>
      <c r="G4788" s="7"/>
      <c r="H4788" s="13" t="str">
        <f>IFERROR(IF(ABS($G4788)&gt;0,VLOOKUP($E4788,'Fuel Category and Heat Rate'!$B$1:$G$34,6,FALSE)*($G4788),""),"")</f>
        <v/>
      </c>
      <c r="I4788" t="str">
        <f>IFERROR(VLOOKUP($E4788,'Fuel Category and Heat Rate'!$K$2:$M$36,3,FALSE),"")</f>
        <v>LPG propane or butane</v>
      </c>
    </row>
    <row r="4789" spans="1:9" x14ac:dyDescent="0.15">
      <c r="A4789" s="2">
        <v>539047</v>
      </c>
      <c r="B4789" s="2" t="s">
        <v>94</v>
      </c>
      <c r="C4789" s="2">
        <v>2018</v>
      </c>
      <c r="D4789" s="2" t="s">
        <v>1</v>
      </c>
      <c r="E4789" s="2" t="s">
        <v>22</v>
      </c>
      <c r="F4789" s="2" t="s">
        <v>35</v>
      </c>
      <c r="G4789" s="7"/>
      <c r="H4789" s="13" t="str">
        <f>IFERROR(IF(ABS($G4789)&gt;0,VLOOKUP($E4789,'Fuel Category and Heat Rate'!$B$1:$G$34,6,FALSE)*($G4789),""),"")</f>
        <v/>
      </c>
      <c r="I4789" t="str">
        <f>IFERROR(VLOOKUP($E4789,'Fuel Category and Heat Rate'!$K$2:$M$36,3,FALSE),"")</f>
        <v>heavy fuel oil</v>
      </c>
    </row>
    <row r="4790" spans="1:9" x14ac:dyDescent="0.15">
      <c r="A4790" s="2">
        <v>539082</v>
      </c>
      <c r="B4790" s="2" t="s">
        <v>94</v>
      </c>
      <c r="C4790" s="2">
        <v>2018</v>
      </c>
      <c r="D4790" s="2" t="s">
        <v>1</v>
      </c>
      <c r="E4790" s="2" t="s">
        <v>20</v>
      </c>
      <c r="F4790" s="2" t="s">
        <v>35</v>
      </c>
      <c r="G4790" s="7"/>
      <c r="H4790" s="13" t="str">
        <f>IFERROR(IF(ABS($G4790)&gt;0,VLOOKUP($E4790,'Fuel Category and Heat Rate'!$B$1:$G$34,6,FALSE)*($G4790),""),"")</f>
        <v/>
      </c>
      <c r="I4790" t="str">
        <f>IFERROR(VLOOKUP($E4790,'Fuel Category and Heat Rate'!$K$2:$M$36,3,FALSE),"")</f>
        <v>LPG propane or butane</v>
      </c>
    </row>
    <row r="4791" spans="1:9" x14ac:dyDescent="0.15">
      <c r="A4791" s="2">
        <v>539117</v>
      </c>
      <c r="B4791" s="2" t="s">
        <v>94</v>
      </c>
      <c r="C4791" s="2">
        <v>2018</v>
      </c>
      <c r="D4791" s="2" t="s">
        <v>1</v>
      </c>
      <c r="E4791" s="2" t="s">
        <v>25</v>
      </c>
      <c r="F4791" s="2" t="s">
        <v>35</v>
      </c>
      <c r="G4791" s="7">
        <v>-34.380000000000003</v>
      </c>
      <c r="H4791" s="13">
        <f>IFERROR(IF(ABS($G4791)&gt;0,VLOOKUP($E4791,'Fuel Category and Heat Rate'!$B$1:$G$34,6,FALSE)*($G4791),""),"")</f>
        <v>-10410234301814.449</v>
      </c>
      <c r="I4791" t="str">
        <f>IFERROR(VLOOKUP($E4791,'Fuel Category and Heat Rate'!$K$2:$M$36,3,FALSE),"")</f>
        <v>heavy fuel oil</v>
      </c>
    </row>
    <row r="4792" spans="1:9" x14ac:dyDescent="0.15">
      <c r="A4792" s="2">
        <v>539152</v>
      </c>
      <c r="B4792" s="2" t="s">
        <v>94</v>
      </c>
      <c r="C4792" s="2">
        <v>2018</v>
      </c>
      <c r="D4792" s="2" t="s">
        <v>1</v>
      </c>
      <c r="E4792" s="2" t="s">
        <v>24</v>
      </c>
      <c r="F4792" s="2" t="s">
        <v>35</v>
      </c>
      <c r="G4792" s="7"/>
      <c r="H4792" s="13" t="str">
        <f>IFERROR(IF(ABS($G4792)&gt;0,VLOOKUP($E4792,'Fuel Category and Heat Rate'!$B$1:$G$34,6,FALSE)*($G4792),""),"")</f>
        <v/>
      </c>
      <c r="I4792" t="str">
        <f>IFERROR(VLOOKUP($E4792,'Fuel Category and Heat Rate'!$K$2:$M$36,3,FALSE),"")</f>
        <v>heavy fuel oil</v>
      </c>
    </row>
    <row r="4793" spans="1:9" x14ac:dyDescent="0.15">
      <c r="A4793" s="2">
        <v>539187</v>
      </c>
      <c r="B4793" s="2" t="s">
        <v>94</v>
      </c>
      <c r="C4793" s="2">
        <v>2018</v>
      </c>
      <c r="D4793" s="2" t="s">
        <v>1</v>
      </c>
      <c r="E4793" s="2" t="s">
        <v>29</v>
      </c>
      <c r="F4793" s="2" t="s">
        <v>36</v>
      </c>
      <c r="G4793" s="7">
        <v>-3.6</v>
      </c>
      <c r="H4793" s="13">
        <f>IFERROR(IF(ABS($G4793)&gt;0,VLOOKUP($E4793,'Fuel Category and Heat Rate'!$B$1:$G$34,6,FALSE)*($G4793),""),"")</f>
        <v>-12141935424555.961</v>
      </c>
      <c r="I4793" t="str">
        <f>IFERROR(VLOOKUP($E4793,'Fuel Category and Heat Rate'!$K$2:$M$36,3,FALSE),"")</f>
        <v>natural gas</v>
      </c>
    </row>
    <row r="4794" spans="1:9" x14ac:dyDescent="0.15">
      <c r="A4794" s="2">
        <v>539222</v>
      </c>
      <c r="B4794" s="2" t="s">
        <v>94</v>
      </c>
      <c r="C4794" s="2">
        <v>2018</v>
      </c>
      <c r="D4794" s="2" t="s">
        <v>1</v>
      </c>
      <c r="E4794" s="2" t="s">
        <v>4</v>
      </c>
      <c r="F4794" s="2" t="s">
        <v>35</v>
      </c>
      <c r="G4794" s="7"/>
      <c r="H4794" s="13" t="str">
        <f>IFERROR(IF(ABS($G4794)&gt;0,VLOOKUP($E4794,'Fuel Category and Heat Rate'!$B$1:$G$34,6,FALSE)*($G4794),""),"")</f>
        <v/>
      </c>
      <c r="I4794" t="str">
        <f>IFERROR(VLOOKUP($E4794,'Fuel Category and Heat Rate'!$K$2:$M$36,3,FALSE),"")</f>
        <v>coal</v>
      </c>
    </row>
    <row r="4795" spans="1:9" x14ac:dyDescent="0.15">
      <c r="A4795" s="2">
        <v>539257</v>
      </c>
      <c r="B4795" s="2" t="s">
        <v>94</v>
      </c>
      <c r="C4795" s="2">
        <v>2018</v>
      </c>
      <c r="D4795" s="2" t="s">
        <v>1</v>
      </c>
      <c r="E4795" s="2" t="s">
        <v>6</v>
      </c>
      <c r="F4795" s="2" t="s">
        <v>35</v>
      </c>
      <c r="G4795" s="7">
        <v>-0.04</v>
      </c>
      <c r="H4795" s="13">
        <f>IFERROR(IF(ABS($G4795)&gt;0,VLOOKUP($E4795,'Fuel Category and Heat Rate'!$B$1:$G$34,6,FALSE)*($G4795),""),"")</f>
        <v>-5866229735.6106787</v>
      </c>
      <c r="I4795" t="str">
        <f>IFERROR(VLOOKUP($E4795,'Fuel Category and Heat Rate'!$K$2:$M$36,3,FALSE),"")</f>
        <v>coal</v>
      </c>
    </row>
    <row r="4796" spans="1:9" x14ac:dyDescent="0.15">
      <c r="A4796" s="2">
        <v>539292</v>
      </c>
      <c r="B4796" s="2" t="s">
        <v>94</v>
      </c>
      <c r="C4796" s="2">
        <v>2018</v>
      </c>
      <c r="D4796" s="2" t="s">
        <v>1</v>
      </c>
      <c r="E4796" s="2" t="s">
        <v>26</v>
      </c>
      <c r="F4796" s="2" t="s">
        <v>35</v>
      </c>
      <c r="G4796" s="7"/>
      <c r="H4796" s="13" t="str">
        <f>IFERROR(IF(ABS($G4796)&gt;0,VLOOKUP($E4796,'Fuel Category and Heat Rate'!$B$1:$G$34,6,FALSE)*($G4796),""),"")</f>
        <v/>
      </c>
      <c r="I4796" t="str">
        <f>IFERROR(VLOOKUP($E4796,'Fuel Category and Heat Rate'!$K$2:$M$36,3,FALSE),"")</f>
        <v>LPG propane or butane</v>
      </c>
    </row>
    <row r="4797" spans="1:9" x14ac:dyDescent="0.15">
      <c r="A4797" s="2">
        <v>539327</v>
      </c>
      <c r="B4797" s="2" t="s">
        <v>94</v>
      </c>
      <c r="C4797" s="2">
        <v>2018</v>
      </c>
      <c r="D4797" s="2" t="s">
        <v>1</v>
      </c>
      <c r="E4797" s="2" t="s">
        <v>30</v>
      </c>
      <c r="F4797" s="2" t="s">
        <v>35</v>
      </c>
      <c r="G4797" s="7">
        <v>-1.59</v>
      </c>
      <c r="H4797" s="13">
        <f>IFERROR(IF(ABS($G4797)&gt;0,VLOOKUP($E4797,'Fuel Category and Heat Rate'!$B$1:$G$34,6,FALSE)*($G4797),""),"")</f>
        <v>-775125411607.35718</v>
      </c>
      <c r="I4797" t="str">
        <f>IFERROR(VLOOKUP($E4797,'Fuel Category and Heat Rate'!$K$2:$M$36,3,FALSE),"")</f>
        <v>natural gas</v>
      </c>
    </row>
    <row r="4798" spans="1:9" x14ac:dyDescent="0.15">
      <c r="A4798" s="2">
        <v>539362</v>
      </c>
      <c r="B4798" s="2" t="s">
        <v>94</v>
      </c>
      <c r="C4798" s="2">
        <v>2018</v>
      </c>
      <c r="D4798" s="2" t="s">
        <v>1</v>
      </c>
      <c r="E4798" s="2" t="s">
        <v>14</v>
      </c>
      <c r="F4798" s="2" t="s">
        <v>35</v>
      </c>
      <c r="G4798" s="7">
        <v>-34.54</v>
      </c>
      <c r="H4798" s="13">
        <f>IFERROR(IF(ABS($G4798)&gt;0,VLOOKUP($E4798,'Fuel Category and Heat Rate'!$B$1:$G$34,6,FALSE)*($G4798),""),"")</f>
        <v>0</v>
      </c>
      <c r="I4798" t="str">
        <f>IFERROR(VLOOKUP($E4798,'Fuel Category and Heat Rate'!$K$2:$M$36,3,FALSE),"")</f>
        <v/>
      </c>
    </row>
    <row r="4799" spans="1:9" x14ac:dyDescent="0.15">
      <c r="A4799" s="2">
        <v>539397</v>
      </c>
      <c r="B4799" s="2" t="s">
        <v>94</v>
      </c>
      <c r="C4799" s="2">
        <v>2018</v>
      </c>
      <c r="D4799" s="2" t="s">
        <v>1</v>
      </c>
      <c r="E4799" s="2" t="s">
        <v>3</v>
      </c>
      <c r="F4799" s="2" t="s">
        <v>35</v>
      </c>
      <c r="G4799" s="7">
        <v>-2824.62</v>
      </c>
      <c r="H4799" s="13">
        <f>IFERROR(IF(ABS($G4799)&gt;0,VLOOKUP($E4799,'Fuel Category and Heat Rate'!$B$1:$G$34,6,FALSE)*($G4799),""),"")</f>
        <v>-559753826870871.31</v>
      </c>
      <c r="I4799" t="str">
        <f>IFERROR(VLOOKUP($E4799,'Fuel Category and Heat Rate'!$K$2:$M$36,3,FALSE),"")</f>
        <v>coal</v>
      </c>
    </row>
    <row r="4800" spans="1:9" x14ac:dyDescent="0.15">
      <c r="A4800" s="2">
        <v>539432</v>
      </c>
      <c r="B4800" s="2" t="s">
        <v>94</v>
      </c>
      <c r="C4800" s="2">
        <v>2018</v>
      </c>
      <c r="D4800" s="2" t="s">
        <v>1</v>
      </c>
      <c r="E4800" s="2" t="s">
        <v>15</v>
      </c>
      <c r="F4800" s="2" t="s">
        <v>35</v>
      </c>
      <c r="G4800" s="7"/>
      <c r="H4800" s="13" t="str">
        <f>IFERROR(IF(ABS($G4800)&gt;0,VLOOKUP($E4800,'Fuel Category and Heat Rate'!$B$1:$G$34,6,FALSE)*($G4800),""),"")</f>
        <v/>
      </c>
      <c r="I4800" t="str">
        <f>IFERROR(VLOOKUP($E4800,'Fuel Category and Heat Rate'!$K$2:$M$36,3,FALSE),"")</f>
        <v>crude oil</v>
      </c>
    </row>
    <row r="4801" spans="1:9" x14ac:dyDescent="0.15">
      <c r="A4801" s="2">
        <v>539467</v>
      </c>
      <c r="B4801" s="2" t="s">
        <v>94</v>
      </c>
      <c r="C4801" s="2">
        <v>2018</v>
      </c>
      <c r="D4801" s="2" t="s">
        <v>1</v>
      </c>
      <c r="E4801" s="2" t="s">
        <v>11</v>
      </c>
      <c r="F4801" s="2" t="s">
        <v>36</v>
      </c>
      <c r="G4801" s="7"/>
      <c r="H4801" s="13" t="str">
        <f>IFERROR(IF(ABS($G4801)&gt;0,VLOOKUP($E4801,'Fuel Category and Heat Rate'!$B$1:$G$34,6,FALSE)*($G4801),""),"")</f>
        <v/>
      </c>
      <c r="I4801" t="str">
        <f>IFERROR(VLOOKUP($E4801,'Fuel Category and Heat Rate'!$K$2:$M$36,3,FALSE),"")</f>
        <v>LPG propane or butane</v>
      </c>
    </row>
    <row r="4802" spans="1:9" x14ac:dyDescent="0.15">
      <c r="A4802" s="2">
        <v>552312</v>
      </c>
      <c r="B4802" s="2" t="s">
        <v>95</v>
      </c>
      <c r="C4802" s="2">
        <v>2022</v>
      </c>
      <c r="D4802" s="2" t="s">
        <v>1</v>
      </c>
      <c r="E4802" s="2" t="s">
        <v>18</v>
      </c>
      <c r="F4802" s="2" t="s">
        <v>35</v>
      </c>
      <c r="G4802" s="7"/>
      <c r="H4802" s="13" t="str">
        <f>IFERROR(IF(ABS($G4802)&gt;0,VLOOKUP($E4802,'Fuel Category and Heat Rate'!$B$1:$G$34,6,FALSE)*($G4802),""),"")</f>
        <v/>
      </c>
      <c r="I4802" t="str">
        <f>IFERROR(VLOOKUP($E4802,'Fuel Category and Heat Rate'!$K$2:$M$36,3,FALSE),"")</f>
        <v>petroleum diesel</v>
      </c>
    </row>
    <row r="4803" spans="1:9" x14ac:dyDescent="0.15">
      <c r="A4803" s="2">
        <v>552347</v>
      </c>
      <c r="B4803" s="2" t="s">
        <v>95</v>
      </c>
      <c r="C4803" s="2">
        <v>2022</v>
      </c>
      <c r="D4803" s="2" t="s">
        <v>1</v>
      </c>
      <c r="E4803" s="2" t="s">
        <v>32</v>
      </c>
      <c r="F4803" s="2" t="s">
        <v>65</v>
      </c>
      <c r="G4803" s="7"/>
      <c r="H4803" s="13" t="str">
        <f>IFERROR(IF(ABS($G4803)&gt;0,VLOOKUP($E4803,'Fuel Category and Heat Rate'!$B$1:$G$34,6,FALSE)*($G4803),""),"")</f>
        <v/>
      </c>
      <c r="I4803" t="str">
        <f>IFERROR(VLOOKUP($E4803,'Fuel Category and Heat Rate'!$K$2:$M$36,3,FALSE),"")</f>
        <v>electricity</v>
      </c>
    </row>
    <row r="4804" spans="1:9" x14ac:dyDescent="0.15">
      <c r="A4804" s="2">
        <v>552382</v>
      </c>
      <c r="B4804" s="2" t="s">
        <v>95</v>
      </c>
      <c r="C4804" s="2">
        <v>2022</v>
      </c>
      <c r="D4804" s="2" t="s">
        <v>1</v>
      </c>
      <c r="E4804" s="2" t="s">
        <v>10</v>
      </c>
      <c r="F4804" s="2" t="s">
        <v>36</v>
      </c>
      <c r="G4804" s="7">
        <v>-16.78</v>
      </c>
      <c r="H4804" s="13">
        <f>IFERROR(IF(ABS($G4804)&gt;0,VLOOKUP($E4804,'Fuel Category and Heat Rate'!$B$1:$G$34,6,FALSE)*($G4804),""),"")</f>
        <v>-5984814927096.04</v>
      </c>
      <c r="I4804" t="str">
        <f>IFERROR(VLOOKUP($E4804,'Fuel Category and Heat Rate'!$K$2:$M$36,3,FALSE),"")</f>
        <v>LPG propane or butane</v>
      </c>
    </row>
    <row r="4805" spans="1:9" x14ac:dyDescent="0.15">
      <c r="A4805" s="2">
        <v>552417</v>
      </c>
      <c r="B4805" s="2" t="s">
        <v>95</v>
      </c>
      <c r="C4805" s="2">
        <v>2022</v>
      </c>
      <c r="D4805" s="2" t="s">
        <v>1</v>
      </c>
      <c r="E4805" s="2" t="s">
        <v>9</v>
      </c>
      <c r="F4805" s="2" t="s">
        <v>36</v>
      </c>
      <c r="G4805" s="7"/>
      <c r="H4805" s="13" t="str">
        <f>IFERROR(IF(ABS($G4805)&gt;0,VLOOKUP($E4805,'Fuel Category and Heat Rate'!$B$1:$G$34,6,FALSE)*($G4805),""),"")</f>
        <v/>
      </c>
      <c r="I4805" t="str">
        <f>IFERROR(VLOOKUP($E4805,'Fuel Category and Heat Rate'!$K$2:$M$36,3,FALSE),"")</f>
        <v>LPG propane or butane</v>
      </c>
    </row>
    <row r="4806" spans="1:9" x14ac:dyDescent="0.15">
      <c r="A4806" s="2">
        <v>552452</v>
      </c>
      <c r="B4806" s="2" t="s">
        <v>95</v>
      </c>
      <c r="C4806" s="2">
        <v>2022</v>
      </c>
      <c r="D4806" s="2" t="s">
        <v>1</v>
      </c>
      <c r="E4806" s="2" t="s">
        <v>8</v>
      </c>
      <c r="F4806" s="2" t="s">
        <v>35</v>
      </c>
      <c r="G4806" s="7"/>
      <c r="H4806" s="13" t="str">
        <f>IFERROR(IF(ABS($G4806)&gt;0,VLOOKUP($E4806,'Fuel Category and Heat Rate'!$B$1:$G$34,6,FALSE)*($G4806),""),"")</f>
        <v/>
      </c>
      <c r="I4806" t="str">
        <f>IFERROR(VLOOKUP($E4806,'Fuel Category and Heat Rate'!$K$2:$M$36,3,FALSE),"")</f>
        <v>coal</v>
      </c>
    </row>
    <row r="4807" spans="1:9" x14ac:dyDescent="0.15">
      <c r="A4807" s="2">
        <v>552487</v>
      </c>
      <c r="B4807" s="2" t="s">
        <v>95</v>
      </c>
      <c r="C4807" s="2">
        <v>2022</v>
      </c>
      <c r="D4807" s="2" t="s">
        <v>1</v>
      </c>
      <c r="E4807" s="2" t="s">
        <v>27</v>
      </c>
      <c r="F4807" s="2" t="s">
        <v>35</v>
      </c>
      <c r="G4807" s="7"/>
      <c r="H4807" s="13" t="str">
        <f>IFERROR(IF(ABS($G4807)&gt;0,VLOOKUP($E4807,'Fuel Category and Heat Rate'!$B$1:$G$34,6,FALSE)*($G4807),""),"")</f>
        <v/>
      </c>
      <c r="I4807" t="str">
        <f>IFERROR(VLOOKUP($E4807,'Fuel Category and Heat Rate'!$K$2:$M$36,3,FALSE),"")</f>
        <v>LPG propane or butane</v>
      </c>
    </row>
    <row r="4808" spans="1:9" x14ac:dyDescent="0.15">
      <c r="A4808" s="2">
        <v>552522</v>
      </c>
      <c r="B4808" s="2" t="s">
        <v>95</v>
      </c>
      <c r="C4808" s="2">
        <v>2022</v>
      </c>
      <c r="D4808" s="2" t="s">
        <v>1</v>
      </c>
      <c r="E4808" s="2" t="s">
        <v>7</v>
      </c>
      <c r="F4808" s="2" t="s">
        <v>35</v>
      </c>
      <c r="G4808" s="7"/>
      <c r="H4808" s="13" t="str">
        <f>IFERROR(IF(ABS($G4808)&gt;0,VLOOKUP($E4808,'Fuel Category and Heat Rate'!$B$1:$G$34,6,FALSE)*($G4808),""),"")</f>
        <v/>
      </c>
      <c r="I4808" t="str">
        <f>IFERROR(VLOOKUP($E4808,'Fuel Category and Heat Rate'!$K$2:$M$36,3,FALSE),"")</f>
        <v>coal</v>
      </c>
    </row>
    <row r="4809" spans="1:9" x14ac:dyDescent="0.15">
      <c r="A4809" s="2">
        <v>552557</v>
      </c>
      <c r="B4809" s="2" t="s">
        <v>95</v>
      </c>
      <c r="C4809" s="2">
        <v>2022</v>
      </c>
      <c r="D4809" s="2" t="s">
        <v>1</v>
      </c>
      <c r="E4809" s="2" t="s">
        <v>2</v>
      </c>
      <c r="F4809" s="2" t="s">
        <v>35</v>
      </c>
      <c r="G4809" s="7">
        <v>-443.26</v>
      </c>
      <c r="H4809" s="13">
        <f>IFERROR(IF(ABS($G4809)&gt;0,VLOOKUP($E4809,'Fuel Category and Heat Rate'!$B$1:$G$34,6,FALSE)*($G4809),""),"")</f>
        <v>0</v>
      </c>
      <c r="I4809" t="str">
        <f>IFERROR(VLOOKUP($E4809,'Fuel Category and Heat Rate'!$K$2:$M$36,3,FALSE),"")</f>
        <v/>
      </c>
    </row>
    <row r="4810" spans="1:9" x14ac:dyDescent="0.15">
      <c r="A4810" s="2">
        <v>552592</v>
      </c>
      <c r="B4810" s="2" t="s">
        <v>95</v>
      </c>
      <c r="C4810" s="2">
        <v>2022</v>
      </c>
      <c r="D4810" s="2" t="s">
        <v>1</v>
      </c>
      <c r="E4810" s="2" t="s">
        <v>17</v>
      </c>
      <c r="F4810" s="2" t="s">
        <v>35</v>
      </c>
      <c r="G4810" s="7"/>
      <c r="H4810" s="13" t="str">
        <f>IFERROR(IF(ABS($G4810)&gt;0,VLOOKUP($E4810,'Fuel Category and Heat Rate'!$B$1:$G$34,6,FALSE)*($G4810),""),"")</f>
        <v/>
      </c>
      <c r="I4810" t="str">
        <f>IFERROR(VLOOKUP($E4810,'Fuel Category and Heat Rate'!$K$2:$M$36,3,FALSE),"")</f>
        <v>petroleum diesel</v>
      </c>
    </row>
    <row r="4811" spans="1:9" x14ac:dyDescent="0.15">
      <c r="A4811" s="2">
        <v>552627</v>
      </c>
      <c r="B4811" s="2" t="s">
        <v>95</v>
      </c>
      <c r="C4811" s="2">
        <v>2022</v>
      </c>
      <c r="D4811" s="2" t="s">
        <v>1</v>
      </c>
      <c r="E4811" s="2" t="s">
        <v>13</v>
      </c>
      <c r="F4811" s="2" t="s">
        <v>35</v>
      </c>
      <c r="G4811" s="7"/>
      <c r="H4811" s="13" t="str">
        <f>IFERROR(IF(ABS($G4811)&gt;0,VLOOKUP($E4811,'Fuel Category and Heat Rate'!$B$1:$G$34,6,FALSE)*($G4811),""),"")</f>
        <v/>
      </c>
      <c r="I4811" t="str">
        <f>IFERROR(VLOOKUP($E4811,'Fuel Category and Heat Rate'!$K$2:$M$36,3,FALSE),"")</f>
        <v>petroleum diesel</v>
      </c>
    </row>
    <row r="4812" spans="1:9" x14ac:dyDescent="0.15">
      <c r="A4812" s="2">
        <v>552662</v>
      </c>
      <c r="B4812" s="2" t="s">
        <v>95</v>
      </c>
      <c r="C4812" s="2">
        <v>2022</v>
      </c>
      <c r="D4812" s="2" t="s">
        <v>1</v>
      </c>
      <c r="E4812" s="2" t="s">
        <v>12</v>
      </c>
      <c r="F4812" s="2" t="s">
        <v>36</v>
      </c>
      <c r="G4812" s="7"/>
      <c r="H4812" s="13" t="str">
        <f>IFERROR(IF(ABS($G4812)&gt;0,VLOOKUP($E4812,'Fuel Category and Heat Rate'!$B$1:$G$34,6,FALSE)*($G4812),""),"")</f>
        <v/>
      </c>
      <c r="I4812" t="str">
        <f>IFERROR(VLOOKUP($E4812,'Fuel Category and Heat Rate'!$K$2:$M$36,3,FALSE),"")</f>
        <v>LPG propane or butane</v>
      </c>
    </row>
    <row r="4813" spans="1:9" x14ac:dyDescent="0.15">
      <c r="A4813" s="2">
        <v>552697</v>
      </c>
      <c r="B4813" s="2" t="s">
        <v>95</v>
      </c>
      <c r="C4813" s="2">
        <v>2022</v>
      </c>
      <c r="D4813" s="2" t="s">
        <v>1</v>
      </c>
      <c r="E4813" s="2" t="s">
        <v>33</v>
      </c>
      <c r="F4813" s="2" t="s">
        <v>38</v>
      </c>
      <c r="G4813" s="7">
        <v>-1.38</v>
      </c>
      <c r="H4813" s="13">
        <f>IFERROR(IF(ABS($G4813)&gt;0,VLOOKUP($E4813,'Fuel Category and Heat Rate'!$B$1:$G$34,6,FALSE)*($G4813),""),"")</f>
        <v>-382861058966.68878</v>
      </c>
      <c r="I4813" t="str">
        <f>IFERROR(VLOOKUP($E4813,'Fuel Category and Heat Rate'!$K$2:$M$36,3,FALSE),"")</f>
        <v>biomass</v>
      </c>
    </row>
    <row r="4814" spans="1:9" x14ac:dyDescent="0.15">
      <c r="A4814" s="2">
        <v>552732</v>
      </c>
      <c r="B4814" s="2" t="s">
        <v>95</v>
      </c>
      <c r="C4814" s="2">
        <v>2022</v>
      </c>
      <c r="D4814" s="2" t="s">
        <v>1</v>
      </c>
      <c r="E4814" s="2" t="s">
        <v>28</v>
      </c>
      <c r="F4814" s="2" t="s">
        <v>35</v>
      </c>
      <c r="G4814" s="7"/>
      <c r="H4814" s="13" t="str">
        <f>IFERROR(IF(ABS($G4814)&gt;0,VLOOKUP($E4814,'Fuel Category and Heat Rate'!$B$1:$G$34,6,FALSE)*($G4814),""),"")</f>
        <v/>
      </c>
      <c r="I4814" t="str">
        <f>IFERROR(VLOOKUP($E4814,'Fuel Category and Heat Rate'!$K$2:$M$36,3,FALSE),"")</f>
        <v>heavy or residual fuel oil</v>
      </c>
    </row>
    <row r="4815" spans="1:9" x14ac:dyDescent="0.15">
      <c r="A4815" s="2">
        <v>552767</v>
      </c>
      <c r="B4815" s="2" t="s">
        <v>95</v>
      </c>
      <c r="C4815" s="2">
        <v>2022</v>
      </c>
      <c r="D4815" s="2" t="s">
        <v>1</v>
      </c>
      <c r="E4815" s="2" t="s">
        <v>5</v>
      </c>
      <c r="F4815" s="2" t="s">
        <v>35</v>
      </c>
      <c r="G4815" s="7"/>
      <c r="H4815" s="13" t="str">
        <f>IFERROR(IF(ABS($G4815)&gt;0,VLOOKUP($E4815,'Fuel Category and Heat Rate'!$B$1:$G$34,6,FALSE)*($G4815),""),"")</f>
        <v/>
      </c>
      <c r="I4815" t="str">
        <f>IFERROR(VLOOKUP($E4815,'Fuel Category and Heat Rate'!$K$2:$M$36,3,FALSE),"")</f>
        <v>coal</v>
      </c>
    </row>
    <row r="4816" spans="1:9" x14ac:dyDescent="0.15">
      <c r="A4816" s="2">
        <v>552802</v>
      </c>
      <c r="B4816" s="2" t="s">
        <v>95</v>
      </c>
      <c r="C4816" s="2">
        <v>2022</v>
      </c>
      <c r="D4816" s="2" t="s">
        <v>1</v>
      </c>
      <c r="E4816" s="2" t="s">
        <v>16</v>
      </c>
      <c r="F4816" s="2" t="s">
        <v>35</v>
      </c>
      <c r="G4816" s="7"/>
      <c r="H4816" s="13" t="str">
        <f>IFERROR(IF(ABS($G4816)&gt;0,VLOOKUP($E4816,'Fuel Category and Heat Rate'!$B$1:$G$34,6,FALSE)*($G4816),""),"")</f>
        <v/>
      </c>
      <c r="I4816" t="str">
        <f>IFERROR(VLOOKUP($E4816,'Fuel Category and Heat Rate'!$K$2:$M$36,3,FALSE),"")</f>
        <v>petroleum diesel</v>
      </c>
    </row>
    <row r="4817" spans="1:9" x14ac:dyDescent="0.15">
      <c r="A4817" s="2">
        <v>552837</v>
      </c>
      <c r="B4817" s="2" t="s">
        <v>95</v>
      </c>
      <c r="C4817" s="2">
        <v>2022</v>
      </c>
      <c r="D4817" s="2" t="s">
        <v>1</v>
      </c>
      <c r="E4817" s="2" t="s">
        <v>19</v>
      </c>
      <c r="F4817" s="2" t="s">
        <v>35</v>
      </c>
      <c r="G4817" s="7"/>
      <c r="H4817" s="13" t="str">
        <f>IFERROR(IF(ABS($G4817)&gt;0,VLOOKUP($E4817,'Fuel Category and Heat Rate'!$B$1:$G$34,6,FALSE)*($G4817),""),"")</f>
        <v/>
      </c>
      <c r="I4817" t="str">
        <f>IFERROR(VLOOKUP($E4817,'Fuel Category and Heat Rate'!$K$2:$M$36,3,FALSE),"")</f>
        <v>heavy or residual fuel oil</v>
      </c>
    </row>
    <row r="4818" spans="1:9" x14ac:dyDescent="0.15">
      <c r="A4818" s="2">
        <v>552872</v>
      </c>
      <c r="B4818" s="2" t="s">
        <v>95</v>
      </c>
      <c r="C4818" s="2">
        <v>2022</v>
      </c>
      <c r="D4818" s="2" t="s">
        <v>1</v>
      </c>
      <c r="E4818" s="2" t="s">
        <v>31</v>
      </c>
      <c r="F4818" s="2" t="s">
        <v>37</v>
      </c>
      <c r="G4818" s="7">
        <v>8550.99</v>
      </c>
      <c r="H4818" s="13">
        <f>IFERROR(IF(ABS($G4818)&gt;0,VLOOKUP($E4818,'Fuel Category and Heat Rate'!$B$1:$G$34,6,FALSE)*($G4818),""),"")</f>
        <v>81047747377544.047</v>
      </c>
      <c r="I4818" t="str">
        <f>IFERROR(VLOOKUP($E4818,'Fuel Category and Heat Rate'!$K$2:$M$36,3,FALSE),"")</f>
        <v>heat</v>
      </c>
    </row>
    <row r="4819" spans="1:9" x14ac:dyDescent="0.15">
      <c r="A4819" s="2">
        <v>552907</v>
      </c>
      <c r="B4819" s="2" t="s">
        <v>95</v>
      </c>
      <c r="C4819" s="2">
        <v>2022</v>
      </c>
      <c r="D4819" s="2" t="s">
        <v>1</v>
      </c>
      <c r="E4819" s="2" t="s">
        <v>23</v>
      </c>
      <c r="F4819" s="2" t="s">
        <v>35</v>
      </c>
      <c r="G4819" s="7"/>
      <c r="H4819" s="13" t="str">
        <f>IFERROR(IF(ABS($G4819)&gt;0,VLOOKUP($E4819,'Fuel Category and Heat Rate'!$B$1:$G$34,6,FALSE)*($G4819),""),"")</f>
        <v/>
      </c>
      <c r="I4819" t="str">
        <f>IFERROR(VLOOKUP($E4819,'Fuel Category and Heat Rate'!$K$2:$M$36,3,FALSE),"")</f>
        <v>heavy or residual fuel oil</v>
      </c>
    </row>
    <row r="4820" spans="1:9" x14ac:dyDescent="0.15">
      <c r="A4820" s="2">
        <v>552942</v>
      </c>
      <c r="B4820" s="2" t="s">
        <v>95</v>
      </c>
      <c r="C4820" s="2">
        <v>2022</v>
      </c>
      <c r="D4820" s="2" t="s">
        <v>1</v>
      </c>
      <c r="E4820" s="2" t="s">
        <v>21</v>
      </c>
      <c r="F4820" s="2" t="s">
        <v>35</v>
      </c>
      <c r="G4820" s="7"/>
      <c r="H4820" s="13" t="str">
        <f>IFERROR(IF(ABS($G4820)&gt;0,VLOOKUP($E4820,'Fuel Category and Heat Rate'!$B$1:$G$34,6,FALSE)*($G4820),""),"")</f>
        <v/>
      </c>
      <c r="I4820" t="str">
        <f>IFERROR(VLOOKUP($E4820,'Fuel Category and Heat Rate'!$K$2:$M$36,3,FALSE),"")</f>
        <v>LPG propane or butane</v>
      </c>
    </row>
    <row r="4821" spans="1:9" x14ac:dyDescent="0.15">
      <c r="A4821" s="2">
        <v>552977</v>
      </c>
      <c r="B4821" s="2" t="s">
        <v>95</v>
      </c>
      <c r="C4821" s="2">
        <v>2022</v>
      </c>
      <c r="D4821" s="2" t="s">
        <v>1</v>
      </c>
      <c r="E4821" s="2" t="s">
        <v>22</v>
      </c>
      <c r="F4821" s="2" t="s">
        <v>35</v>
      </c>
      <c r="G4821" s="7"/>
      <c r="H4821" s="13" t="str">
        <f>IFERROR(IF(ABS($G4821)&gt;0,VLOOKUP($E4821,'Fuel Category and Heat Rate'!$B$1:$G$34,6,FALSE)*($G4821),""),"")</f>
        <v/>
      </c>
      <c r="I4821" t="str">
        <f>IFERROR(VLOOKUP($E4821,'Fuel Category and Heat Rate'!$K$2:$M$36,3,FALSE),"")</f>
        <v>heavy fuel oil</v>
      </c>
    </row>
    <row r="4822" spans="1:9" x14ac:dyDescent="0.15">
      <c r="A4822" s="2">
        <v>553012</v>
      </c>
      <c r="B4822" s="2" t="s">
        <v>95</v>
      </c>
      <c r="C4822" s="2">
        <v>2022</v>
      </c>
      <c r="D4822" s="2" t="s">
        <v>1</v>
      </c>
      <c r="E4822" s="2" t="s">
        <v>20</v>
      </c>
      <c r="F4822" s="2" t="s">
        <v>35</v>
      </c>
      <c r="G4822" s="7"/>
      <c r="H4822" s="13" t="str">
        <f>IFERROR(IF(ABS($G4822)&gt;0,VLOOKUP($E4822,'Fuel Category and Heat Rate'!$B$1:$G$34,6,FALSE)*($G4822),""),"")</f>
        <v/>
      </c>
      <c r="I4822" t="str">
        <f>IFERROR(VLOOKUP($E4822,'Fuel Category and Heat Rate'!$K$2:$M$36,3,FALSE),"")</f>
        <v>LPG propane or butane</v>
      </c>
    </row>
    <row r="4823" spans="1:9" x14ac:dyDescent="0.15">
      <c r="A4823" s="2">
        <v>553047</v>
      </c>
      <c r="B4823" s="2" t="s">
        <v>95</v>
      </c>
      <c r="C4823" s="2">
        <v>2022</v>
      </c>
      <c r="D4823" s="2" t="s">
        <v>1</v>
      </c>
      <c r="E4823" s="2" t="s">
        <v>25</v>
      </c>
      <c r="F4823" s="2" t="s">
        <v>35</v>
      </c>
      <c r="G4823" s="7"/>
      <c r="H4823" s="13" t="str">
        <f>IFERROR(IF(ABS($G4823)&gt;0,VLOOKUP($E4823,'Fuel Category and Heat Rate'!$B$1:$G$34,6,FALSE)*($G4823),""),"")</f>
        <v/>
      </c>
      <c r="I4823" t="str">
        <f>IFERROR(VLOOKUP($E4823,'Fuel Category and Heat Rate'!$K$2:$M$36,3,FALSE),"")</f>
        <v>heavy fuel oil</v>
      </c>
    </row>
    <row r="4824" spans="1:9" x14ac:dyDescent="0.15">
      <c r="A4824" s="2">
        <v>553082</v>
      </c>
      <c r="B4824" s="2" t="s">
        <v>95</v>
      </c>
      <c r="C4824" s="2">
        <v>2022</v>
      </c>
      <c r="D4824" s="2" t="s">
        <v>1</v>
      </c>
      <c r="E4824" s="2" t="s">
        <v>24</v>
      </c>
      <c r="F4824" s="2" t="s">
        <v>35</v>
      </c>
      <c r="G4824" s="7"/>
      <c r="H4824" s="13" t="str">
        <f>IFERROR(IF(ABS($G4824)&gt;0,VLOOKUP($E4824,'Fuel Category and Heat Rate'!$B$1:$G$34,6,FALSE)*($G4824),""),"")</f>
        <v/>
      </c>
      <c r="I4824" t="str">
        <f>IFERROR(VLOOKUP($E4824,'Fuel Category and Heat Rate'!$K$2:$M$36,3,FALSE),"")</f>
        <v>heavy fuel oil</v>
      </c>
    </row>
    <row r="4825" spans="1:9" x14ac:dyDescent="0.15">
      <c r="A4825" s="2">
        <v>553117</v>
      </c>
      <c r="B4825" s="2" t="s">
        <v>95</v>
      </c>
      <c r="C4825" s="2">
        <v>2022</v>
      </c>
      <c r="D4825" s="2" t="s">
        <v>1</v>
      </c>
      <c r="E4825" s="2" t="s">
        <v>29</v>
      </c>
      <c r="F4825" s="2" t="s">
        <v>36</v>
      </c>
      <c r="G4825" s="7">
        <v>-0.7</v>
      </c>
      <c r="H4825" s="13">
        <f>IFERROR(IF(ABS($G4825)&gt;0,VLOOKUP($E4825,'Fuel Category and Heat Rate'!$B$1:$G$34,6,FALSE)*($G4825),""),"")</f>
        <v>-2360931888108.1035</v>
      </c>
      <c r="I4825" t="str">
        <f>IFERROR(VLOOKUP($E4825,'Fuel Category and Heat Rate'!$K$2:$M$36,3,FALSE),"")</f>
        <v>natural gas</v>
      </c>
    </row>
    <row r="4826" spans="1:9" x14ac:dyDescent="0.15">
      <c r="A4826" s="2">
        <v>553152</v>
      </c>
      <c r="B4826" s="2" t="s">
        <v>95</v>
      </c>
      <c r="C4826" s="2">
        <v>2022</v>
      </c>
      <c r="D4826" s="2" t="s">
        <v>1</v>
      </c>
      <c r="E4826" s="2" t="s">
        <v>4</v>
      </c>
      <c r="F4826" s="2" t="s">
        <v>35</v>
      </c>
      <c r="G4826" s="7"/>
      <c r="H4826" s="13" t="str">
        <f>IFERROR(IF(ABS($G4826)&gt;0,VLOOKUP($E4826,'Fuel Category and Heat Rate'!$B$1:$G$34,6,FALSE)*($G4826),""),"")</f>
        <v/>
      </c>
      <c r="I4826" t="str">
        <f>IFERROR(VLOOKUP($E4826,'Fuel Category and Heat Rate'!$K$2:$M$36,3,FALSE),"")</f>
        <v>coal</v>
      </c>
    </row>
    <row r="4827" spans="1:9" x14ac:dyDescent="0.15">
      <c r="A4827" s="2">
        <v>553187</v>
      </c>
      <c r="B4827" s="2" t="s">
        <v>95</v>
      </c>
      <c r="C4827" s="2">
        <v>2022</v>
      </c>
      <c r="D4827" s="2" t="s">
        <v>1</v>
      </c>
      <c r="E4827" s="2" t="s">
        <v>6</v>
      </c>
      <c r="F4827" s="2" t="s">
        <v>35</v>
      </c>
      <c r="G4827" s="7"/>
      <c r="H4827" s="13" t="str">
        <f>IFERROR(IF(ABS($G4827)&gt;0,VLOOKUP($E4827,'Fuel Category and Heat Rate'!$B$1:$G$34,6,FALSE)*($G4827),""),"")</f>
        <v/>
      </c>
      <c r="I4827" t="str">
        <f>IFERROR(VLOOKUP($E4827,'Fuel Category and Heat Rate'!$K$2:$M$36,3,FALSE),"")</f>
        <v>coal</v>
      </c>
    </row>
    <row r="4828" spans="1:9" x14ac:dyDescent="0.15">
      <c r="A4828" s="2">
        <v>553222</v>
      </c>
      <c r="B4828" s="2" t="s">
        <v>95</v>
      </c>
      <c r="C4828" s="2">
        <v>2022</v>
      </c>
      <c r="D4828" s="2" t="s">
        <v>1</v>
      </c>
      <c r="E4828" s="2" t="s">
        <v>26</v>
      </c>
      <c r="F4828" s="2" t="s">
        <v>35</v>
      </c>
      <c r="G4828" s="7"/>
      <c r="H4828" s="13" t="str">
        <f>IFERROR(IF(ABS($G4828)&gt;0,VLOOKUP($E4828,'Fuel Category and Heat Rate'!$B$1:$G$34,6,FALSE)*($G4828),""),"")</f>
        <v/>
      </c>
      <c r="I4828" t="str">
        <f>IFERROR(VLOOKUP($E4828,'Fuel Category and Heat Rate'!$K$2:$M$36,3,FALSE),"")</f>
        <v>LPG propane or butane</v>
      </c>
    </row>
    <row r="4829" spans="1:9" x14ac:dyDescent="0.15">
      <c r="A4829" s="2">
        <v>553257</v>
      </c>
      <c r="B4829" s="2" t="s">
        <v>95</v>
      </c>
      <c r="C4829" s="2">
        <v>2022</v>
      </c>
      <c r="D4829" s="2" t="s">
        <v>1</v>
      </c>
      <c r="E4829" s="2" t="s">
        <v>30</v>
      </c>
      <c r="F4829" s="2" t="s">
        <v>35</v>
      </c>
      <c r="G4829" s="7"/>
      <c r="H4829" s="13" t="str">
        <f>IFERROR(IF(ABS($G4829)&gt;0,VLOOKUP($E4829,'Fuel Category and Heat Rate'!$B$1:$G$34,6,FALSE)*($G4829),""),"")</f>
        <v/>
      </c>
      <c r="I4829" t="str">
        <f>IFERROR(VLOOKUP($E4829,'Fuel Category and Heat Rate'!$K$2:$M$36,3,FALSE),"")</f>
        <v>natural gas</v>
      </c>
    </row>
    <row r="4830" spans="1:9" x14ac:dyDescent="0.15">
      <c r="A4830" s="2">
        <v>553292</v>
      </c>
      <c r="B4830" s="2" t="s">
        <v>95</v>
      </c>
      <c r="C4830" s="2">
        <v>2022</v>
      </c>
      <c r="D4830" s="2" t="s">
        <v>1</v>
      </c>
      <c r="E4830" s="2" t="s">
        <v>14</v>
      </c>
      <c r="F4830" s="2" t="s">
        <v>35</v>
      </c>
      <c r="G4830" s="7"/>
      <c r="H4830" s="13" t="str">
        <f>IFERROR(IF(ABS($G4830)&gt;0,VLOOKUP($E4830,'Fuel Category and Heat Rate'!$B$1:$G$34,6,FALSE)*($G4830),""),"")</f>
        <v/>
      </c>
      <c r="I4830" t="str">
        <f>IFERROR(VLOOKUP($E4830,'Fuel Category and Heat Rate'!$K$2:$M$36,3,FALSE),"")</f>
        <v/>
      </c>
    </row>
    <row r="4831" spans="1:9" x14ac:dyDescent="0.15">
      <c r="A4831" s="2">
        <v>553327</v>
      </c>
      <c r="B4831" s="2" t="s">
        <v>95</v>
      </c>
      <c r="C4831" s="2">
        <v>2022</v>
      </c>
      <c r="D4831" s="2" t="s">
        <v>1</v>
      </c>
      <c r="E4831" s="2" t="s">
        <v>3</v>
      </c>
      <c r="F4831" s="2" t="s">
        <v>35</v>
      </c>
      <c r="G4831" s="7">
        <v>-443.26</v>
      </c>
      <c r="H4831" s="13">
        <f>IFERROR(IF(ABS($G4831)&gt;0,VLOOKUP($E4831,'Fuel Category and Heat Rate'!$B$1:$G$34,6,FALSE)*($G4831),""),"")</f>
        <v>-87840658672239.953</v>
      </c>
      <c r="I4831" t="str">
        <f>IFERROR(VLOOKUP($E4831,'Fuel Category and Heat Rate'!$K$2:$M$36,3,FALSE),"")</f>
        <v>coal</v>
      </c>
    </row>
    <row r="4832" spans="1:9" x14ac:dyDescent="0.15">
      <c r="A4832" s="2">
        <v>553362</v>
      </c>
      <c r="B4832" s="2" t="s">
        <v>95</v>
      </c>
      <c r="C4832" s="2">
        <v>2022</v>
      </c>
      <c r="D4832" s="2" t="s">
        <v>1</v>
      </c>
      <c r="E4832" s="2" t="s">
        <v>15</v>
      </c>
      <c r="F4832" s="2" t="s">
        <v>35</v>
      </c>
      <c r="G4832" s="7"/>
      <c r="H4832" s="13" t="str">
        <f>IFERROR(IF(ABS($G4832)&gt;0,VLOOKUP($E4832,'Fuel Category and Heat Rate'!$B$1:$G$34,6,FALSE)*($G4832),""),"")</f>
        <v/>
      </c>
      <c r="I4832" t="str">
        <f>IFERROR(VLOOKUP($E4832,'Fuel Category and Heat Rate'!$K$2:$M$36,3,FALSE),"")</f>
        <v>crude oil</v>
      </c>
    </row>
    <row r="4833" spans="1:9" x14ac:dyDescent="0.15">
      <c r="A4833" s="2">
        <v>553397</v>
      </c>
      <c r="B4833" s="2" t="s">
        <v>95</v>
      </c>
      <c r="C4833" s="2">
        <v>2022</v>
      </c>
      <c r="D4833" s="2" t="s">
        <v>1</v>
      </c>
      <c r="E4833" s="2" t="s">
        <v>11</v>
      </c>
      <c r="F4833" s="2" t="s">
        <v>36</v>
      </c>
      <c r="G4833" s="7"/>
      <c r="H4833" s="13" t="str">
        <f>IFERROR(IF(ABS($G4833)&gt;0,VLOOKUP($E4833,'Fuel Category and Heat Rate'!$B$1:$G$34,6,FALSE)*($G4833),""),"")</f>
        <v/>
      </c>
      <c r="I4833" t="str">
        <f>IFERROR(VLOOKUP($E4833,'Fuel Category and Heat Rate'!$K$2:$M$36,3,FALSE),"")</f>
        <v>LPG propane or butane</v>
      </c>
    </row>
    <row r="4834" spans="1:9" x14ac:dyDescent="0.15">
      <c r="A4834" s="2">
        <v>553432</v>
      </c>
      <c r="B4834" s="2" t="s">
        <v>95</v>
      </c>
      <c r="C4834" s="2">
        <v>2021</v>
      </c>
      <c r="D4834" s="2" t="s">
        <v>1</v>
      </c>
      <c r="E4834" s="2" t="s">
        <v>18</v>
      </c>
      <c r="F4834" s="2" t="s">
        <v>35</v>
      </c>
      <c r="G4834" s="7"/>
      <c r="H4834" s="13" t="str">
        <f>IFERROR(IF(ABS($G4834)&gt;0,VLOOKUP($E4834,'Fuel Category and Heat Rate'!$B$1:$G$34,6,FALSE)*($G4834),""),"")</f>
        <v/>
      </c>
      <c r="I4834" t="str">
        <f>IFERROR(VLOOKUP($E4834,'Fuel Category and Heat Rate'!$K$2:$M$36,3,FALSE),"")</f>
        <v>petroleum diesel</v>
      </c>
    </row>
    <row r="4835" spans="1:9" x14ac:dyDescent="0.15">
      <c r="A4835" s="2">
        <v>553467</v>
      </c>
      <c r="B4835" s="2" t="s">
        <v>95</v>
      </c>
      <c r="C4835" s="2">
        <v>2021</v>
      </c>
      <c r="D4835" s="2" t="s">
        <v>1</v>
      </c>
      <c r="E4835" s="2" t="s">
        <v>32</v>
      </c>
      <c r="F4835" s="2" t="s">
        <v>65</v>
      </c>
      <c r="G4835" s="7"/>
      <c r="H4835" s="13" t="str">
        <f>IFERROR(IF(ABS($G4835)&gt;0,VLOOKUP($E4835,'Fuel Category and Heat Rate'!$B$1:$G$34,6,FALSE)*($G4835),""),"")</f>
        <v/>
      </c>
      <c r="I4835" t="str">
        <f>IFERROR(VLOOKUP($E4835,'Fuel Category and Heat Rate'!$K$2:$M$36,3,FALSE),"")</f>
        <v>electricity</v>
      </c>
    </row>
    <row r="4836" spans="1:9" x14ac:dyDescent="0.15">
      <c r="A4836" s="2">
        <v>553502</v>
      </c>
      <c r="B4836" s="2" t="s">
        <v>95</v>
      </c>
      <c r="C4836" s="2">
        <v>2021</v>
      </c>
      <c r="D4836" s="2" t="s">
        <v>1</v>
      </c>
      <c r="E4836" s="2" t="s">
        <v>10</v>
      </c>
      <c r="F4836" s="2" t="s">
        <v>36</v>
      </c>
      <c r="G4836" s="7">
        <v>-9.7200000000000006</v>
      </c>
      <c r="H4836" s="13">
        <f>IFERROR(IF(ABS($G4836)&gt;0,VLOOKUP($E4836,'Fuel Category and Heat Rate'!$B$1:$G$34,6,FALSE)*($G4836),""),"")</f>
        <v>-3466770029283.2842</v>
      </c>
      <c r="I4836" t="str">
        <f>IFERROR(VLOOKUP($E4836,'Fuel Category and Heat Rate'!$K$2:$M$36,3,FALSE),"")</f>
        <v>LPG propane or butane</v>
      </c>
    </row>
    <row r="4837" spans="1:9" x14ac:dyDescent="0.15">
      <c r="A4837" s="2">
        <v>553537</v>
      </c>
      <c r="B4837" s="2" t="s">
        <v>95</v>
      </c>
      <c r="C4837" s="2">
        <v>2021</v>
      </c>
      <c r="D4837" s="2" t="s">
        <v>1</v>
      </c>
      <c r="E4837" s="2" t="s">
        <v>9</v>
      </c>
      <c r="F4837" s="2" t="s">
        <v>36</v>
      </c>
      <c r="G4837" s="7">
        <v>-0.24</v>
      </c>
      <c r="H4837" s="13">
        <f>IFERROR(IF(ABS($G4837)&gt;0,VLOOKUP($E4837,'Fuel Category and Heat Rate'!$B$1:$G$34,6,FALSE)*($G4837),""),"")</f>
        <v>-394750666516.84839</v>
      </c>
      <c r="I4837" t="str">
        <f>IFERROR(VLOOKUP($E4837,'Fuel Category and Heat Rate'!$K$2:$M$36,3,FALSE),"")</f>
        <v>LPG propane or butane</v>
      </c>
    </row>
    <row r="4838" spans="1:9" x14ac:dyDescent="0.15">
      <c r="A4838" s="2">
        <v>553572</v>
      </c>
      <c r="B4838" s="2" t="s">
        <v>95</v>
      </c>
      <c r="C4838" s="2">
        <v>2021</v>
      </c>
      <c r="D4838" s="2" t="s">
        <v>1</v>
      </c>
      <c r="E4838" s="2" t="s">
        <v>8</v>
      </c>
      <c r="F4838" s="2" t="s">
        <v>35</v>
      </c>
      <c r="G4838" s="7"/>
      <c r="H4838" s="13" t="str">
        <f>IFERROR(IF(ABS($G4838)&gt;0,VLOOKUP($E4838,'Fuel Category and Heat Rate'!$B$1:$G$34,6,FALSE)*($G4838),""),"")</f>
        <v/>
      </c>
      <c r="I4838" t="str">
        <f>IFERROR(VLOOKUP($E4838,'Fuel Category and Heat Rate'!$K$2:$M$36,3,FALSE),"")</f>
        <v>coal</v>
      </c>
    </row>
    <row r="4839" spans="1:9" x14ac:dyDescent="0.15">
      <c r="A4839" s="2">
        <v>553607</v>
      </c>
      <c r="B4839" s="2" t="s">
        <v>95</v>
      </c>
      <c r="C4839" s="2">
        <v>2021</v>
      </c>
      <c r="D4839" s="2" t="s">
        <v>1</v>
      </c>
      <c r="E4839" s="2" t="s">
        <v>27</v>
      </c>
      <c r="F4839" s="2" t="s">
        <v>35</v>
      </c>
      <c r="G4839" s="7"/>
      <c r="H4839" s="13" t="str">
        <f>IFERROR(IF(ABS($G4839)&gt;0,VLOOKUP($E4839,'Fuel Category and Heat Rate'!$B$1:$G$34,6,FALSE)*($G4839),""),"")</f>
        <v/>
      </c>
      <c r="I4839" t="str">
        <f>IFERROR(VLOOKUP($E4839,'Fuel Category and Heat Rate'!$K$2:$M$36,3,FALSE),"")</f>
        <v>LPG propane or butane</v>
      </c>
    </row>
    <row r="4840" spans="1:9" x14ac:dyDescent="0.15">
      <c r="A4840" s="2">
        <v>553642</v>
      </c>
      <c r="B4840" s="2" t="s">
        <v>95</v>
      </c>
      <c r="C4840" s="2">
        <v>2021</v>
      </c>
      <c r="D4840" s="2" t="s">
        <v>1</v>
      </c>
      <c r="E4840" s="2" t="s">
        <v>7</v>
      </c>
      <c r="F4840" s="2" t="s">
        <v>35</v>
      </c>
      <c r="G4840" s="7"/>
      <c r="H4840" s="13" t="str">
        <f>IFERROR(IF(ABS($G4840)&gt;0,VLOOKUP($E4840,'Fuel Category and Heat Rate'!$B$1:$G$34,6,FALSE)*($G4840),""),"")</f>
        <v/>
      </c>
      <c r="I4840" t="str">
        <f>IFERROR(VLOOKUP($E4840,'Fuel Category and Heat Rate'!$K$2:$M$36,3,FALSE),"")</f>
        <v>coal</v>
      </c>
    </row>
    <row r="4841" spans="1:9" x14ac:dyDescent="0.15">
      <c r="A4841" s="2">
        <v>553677</v>
      </c>
      <c r="B4841" s="2" t="s">
        <v>95</v>
      </c>
      <c r="C4841" s="2">
        <v>2021</v>
      </c>
      <c r="D4841" s="2" t="s">
        <v>1</v>
      </c>
      <c r="E4841" s="2" t="s">
        <v>2</v>
      </c>
      <c r="F4841" s="2" t="s">
        <v>35</v>
      </c>
      <c r="G4841" s="7">
        <v>-381.3</v>
      </c>
      <c r="H4841" s="13">
        <f>IFERROR(IF(ABS($G4841)&gt;0,VLOOKUP($E4841,'Fuel Category and Heat Rate'!$B$1:$G$34,6,FALSE)*($G4841),""),"")</f>
        <v>0</v>
      </c>
      <c r="I4841" t="str">
        <f>IFERROR(VLOOKUP($E4841,'Fuel Category and Heat Rate'!$K$2:$M$36,3,FALSE),"")</f>
        <v/>
      </c>
    </row>
    <row r="4842" spans="1:9" x14ac:dyDescent="0.15">
      <c r="A4842" s="2">
        <v>553712</v>
      </c>
      <c r="B4842" s="2" t="s">
        <v>95</v>
      </c>
      <c r="C4842" s="2">
        <v>2021</v>
      </c>
      <c r="D4842" s="2" t="s">
        <v>1</v>
      </c>
      <c r="E4842" s="2" t="s">
        <v>17</v>
      </c>
      <c r="F4842" s="2" t="s">
        <v>35</v>
      </c>
      <c r="G4842" s="7"/>
      <c r="H4842" s="13" t="str">
        <f>IFERROR(IF(ABS($G4842)&gt;0,VLOOKUP($E4842,'Fuel Category and Heat Rate'!$B$1:$G$34,6,FALSE)*($G4842),""),"")</f>
        <v/>
      </c>
      <c r="I4842" t="str">
        <f>IFERROR(VLOOKUP($E4842,'Fuel Category and Heat Rate'!$K$2:$M$36,3,FALSE),"")</f>
        <v>petroleum diesel</v>
      </c>
    </row>
    <row r="4843" spans="1:9" x14ac:dyDescent="0.15">
      <c r="A4843" s="2">
        <v>553747</v>
      </c>
      <c r="B4843" s="2" t="s">
        <v>95</v>
      </c>
      <c r="C4843" s="2">
        <v>2021</v>
      </c>
      <c r="D4843" s="2" t="s">
        <v>1</v>
      </c>
      <c r="E4843" s="2" t="s">
        <v>13</v>
      </c>
      <c r="F4843" s="2" t="s">
        <v>35</v>
      </c>
      <c r="G4843" s="7"/>
      <c r="H4843" s="13" t="str">
        <f>IFERROR(IF(ABS($G4843)&gt;0,VLOOKUP($E4843,'Fuel Category and Heat Rate'!$B$1:$G$34,6,FALSE)*($G4843),""),"")</f>
        <v/>
      </c>
      <c r="I4843" t="str">
        <f>IFERROR(VLOOKUP($E4843,'Fuel Category and Heat Rate'!$K$2:$M$36,3,FALSE),"")</f>
        <v>petroleum diesel</v>
      </c>
    </row>
    <row r="4844" spans="1:9" x14ac:dyDescent="0.15">
      <c r="A4844" s="2">
        <v>553782</v>
      </c>
      <c r="B4844" s="2" t="s">
        <v>95</v>
      </c>
      <c r="C4844" s="2">
        <v>2021</v>
      </c>
      <c r="D4844" s="2" t="s">
        <v>1</v>
      </c>
      <c r="E4844" s="2" t="s">
        <v>12</v>
      </c>
      <c r="F4844" s="2" t="s">
        <v>36</v>
      </c>
      <c r="G4844" s="7"/>
      <c r="H4844" s="13" t="str">
        <f>IFERROR(IF(ABS($G4844)&gt;0,VLOOKUP($E4844,'Fuel Category and Heat Rate'!$B$1:$G$34,6,FALSE)*($G4844),""),"")</f>
        <v/>
      </c>
      <c r="I4844" t="str">
        <f>IFERROR(VLOOKUP($E4844,'Fuel Category and Heat Rate'!$K$2:$M$36,3,FALSE),"")</f>
        <v>LPG propane or butane</v>
      </c>
    </row>
    <row r="4845" spans="1:9" x14ac:dyDescent="0.15">
      <c r="A4845" s="2">
        <v>553817</v>
      </c>
      <c r="B4845" s="2" t="s">
        <v>95</v>
      </c>
      <c r="C4845" s="2">
        <v>2021</v>
      </c>
      <c r="D4845" s="2" t="s">
        <v>1</v>
      </c>
      <c r="E4845" s="2" t="s">
        <v>33</v>
      </c>
      <c r="F4845" s="2" t="s">
        <v>38</v>
      </c>
      <c r="G4845" s="7">
        <v>-1.0900000000000001</v>
      </c>
      <c r="H4845" s="13">
        <f>IFERROR(IF(ABS($G4845)&gt;0,VLOOKUP($E4845,'Fuel Category and Heat Rate'!$B$1:$G$34,6,FALSE)*($G4845),""),"")</f>
        <v>-302404749473.68903</v>
      </c>
      <c r="I4845" t="str">
        <f>IFERROR(VLOOKUP($E4845,'Fuel Category and Heat Rate'!$K$2:$M$36,3,FALSE),"")</f>
        <v>biomass</v>
      </c>
    </row>
    <row r="4846" spans="1:9" x14ac:dyDescent="0.15">
      <c r="A4846" s="2">
        <v>553852</v>
      </c>
      <c r="B4846" s="2" t="s">
        <v>95</v>
      </c>
      <c r="C4846" s="2">
        <v>2021</v>
      </c>
      <c r="D4846" s="2" t="s">
        <v>1</v>
      </c>
      <c r="E4846" s="2" t="s">
        <v>28</v>
      </c>
      <c r="F4846" s="2" t="s">
        <v>35</v>
      </c>
      <c r="G4846" s="7"/>
      <c r="H4846" s="13" t="str">
        <f>IFERROR(IF(ABS($G4846)&gt;0,VLOOKUP($E4846,'Fuel Category and Heat Rate'!$B$1:$G$34,6,FALSE)*($G4846),""),"")</f>
        <v/>
      </c>
      <c r="I4846" t="str">
        <f>IFERROR(VLOOKUP($E4846,'Fuel Category and Heat Rate'!$K$2:$M$36,3,FALSE),"")</f>
        <v>heavy or residual fuel oil</v>
      </c>
    </row>
    <row r="4847" spans="1:9" x14ac:dyDescent="0.15">
      <c r="A4847" s="2">
        <v>553887</v>
      </c>
      <c r="B4847" s="2" t="s">
        <v>95</v>
      </c>
      <c r="C4847" s="2">
        <v>2021</v>
      </c>
      <c r="D4847" s="2" t="s">
        <v>1</v>
      </c>
      <c r="E4847" s="2" t="s">
        <v>5</v>
      </c>
      <c r="F4847" s="2" t="s">
        <v>35</v>
      </c>
      <c r="G4847" s="7"/>
      <c r="H4847" s="13" t="str">
        <f>IFERROR(IF(ABS($G4847)&gt;0,VLOOKUP($E4847,'Fuel Category and Heat Rate'!$B$1:$G$34,6,FALSE)*($G4847),""),"")</f>
        <v/>
      </c>
      <c r="I4847" t="str">
        <f>IFERROR(VLOOKUP($E4847,'Fuel Category and Heat Rate'!$K$2:$M$36,3,FALSE),"")</f>
        <v>coal</v>
      </c>
    </row>
    <row r="4848" spans="1:9" x14ac:dyDescent="0.15">
      <c r="A4848" s="2">
        <v>553922</v>
      </c>
      <c r="B4848" s="2" t="s">
        <v>95</v>
      </c>
      <c r="C4848" s="2">
        <v>2021</v>
      </c>
      <c r="D4848" s="2" t="s">
        <v>1</v>
      </c>
      <c r="E4848" s="2" t="s">
        <v>16</v>
      </c>
      <c r="F4848" s="2" t="s">
        <v>35</v>
      </c>
      <c r="G4848" s="7"/>
      <c r="H4848" s="13" t="str">
        <f>IFERROR(IF(ABS($G4848)&gt;0,VLOOKUP($E4848,'Fuel Category and Heat Rate'!$B$1:$G$34,6,FALSE)*($G4848),""),"")</f>
        <v/>
      </c>
      <c r="I4848" t="str">
        <f>IFERROR(VLOOKUP($E4848,'Fuel Category and Heat Rate'!$K$2:$M$36,3,FALSE),"")</f>
        <v>petroleum diesel</v>
      </c>
    </row>
    <row r="4849" spans="1:9" x14ac:dyDescent="0.15">
      <c r="A4849" s="2">
        <v>553957</v>
      </c>
      <c r="B4849" s="2" t="s">
        <v>95</v>
      </c>
      <c r="C4849" s="2">
        <v>2021</v>
      </c>
      <c r="D4849" s="2" t="s">
        <v>1</v>
      </c>
      <c r="E4849" s="2" t="s">
        <v>19</v>
      </c>
      <c r="F4849" s="2" t="s">
        <v>35</v>
      </c>
      <c r="G4849" s="7"/>
      <c r="H4849" s="13" t="str">
        <f>IFERROR(IF(ABS($G4849)&gt;0,VLOOKUP($E4849,'Fuel Category and Heat Rate'!$B$1:$G$34,6,FALSE)*($G4849),""),"")</f>
        <v/>
      </c>
      <c r="I4849" t="str">
        <f>IFERROR(VLOOKUP($E4849,'Fuel Category and Heat Rate'!$K$2:$M$36,3,FALSE),"")</f>
        <v>heavy or residual fuel oil</v>
      </c>
    </row>
    <row r="4850" spans="1:9" x14ac:dyDescent="0.15">
      <c r="A4850" s="2">
        <v>553992</v>
      </c>
      <c r="B4850" s="2" t="s">
        <v>95</v>
      </c>
      <c r="C4850" s="2">
        <v>2021</v>
      </c>
      <c r="D4850" s="2" t="s">
        <v>1</v>
      </c>
      <c r="E4850" s="2" t="s">
        <v>31</v>
      </c>
      <c r="F4850" s="2" t="s">
        <v>37</v>
      </c>
      <c r="G4850" s="7">
        <v>7549.11</v>
      </c>
      <c r="H4850" s="13">
        <f>IFERROR(IF(ABS($G4850)&gt;0,VLOOKUP($E4850,'Fuel Category and Heat Rate'!$B$1:$G$34,6,FALSE)*($G4850),""),"")</f>
        <v>71551757188967.766</v>
      </c>
      <c r="I4850" t="str">
        <f>IFERROR(VLOOKUP($E4850,'Fuel Category and Heat Rate'!$K$2:$M$36,3,FALSE),"")</f>
        <v>heat</v>
      </c>
    </row>
    <row r="4851" spans="1:9" x14ac:dyDescent="0.15">
      <c r="A4851" s="2">
        <v>554027</v>
      </c>
      <c r="B4851" s="2" t="s">
        <v>95</v>
      </c>
      <c r="C4851" s="2">
        <v>2021</v>
      </c>
      <c r="D4851" s="2" t="s">
        <v>1</v>
      </c>
      <c r="E4851" s="2" t="s">
        <v>23</v>
      </c>
      <c r="F4851" s="2" t="s">
        <v>35</v>
      </c>
      <c r="G4851" s="7"/>
      <c r="H4851" s="13" t="str">
        <f>IFERROR(IF(ABS($G4851)&gt;0,VLOOKUP($E4851,'Fuel Category and Heat Rate'!$B$1:$G$34,6,FALSE)*($G4851),""),"")</f>
        <v/>
      </c>
      <c r="I4851" t="str">
        <f>IFERROR(VLOOKUP($E4851,'Fuel Category and Heat Rate'!$K$2:$M$36,3,FALSE),"")</f>
        <v>heavy or residual fuel oil</v>
      </c>
    </row>
    <row r="4852" spans="1:9" x14ac:dyDescent="0.15">
      <c r="A4852" s="2">
        <v>554062</v>
      </c>
      <c r="B4852" s="2" t="s">
        <v>95</v>
      </c>
      <c r="C4852" s="2">
        <v>2021</v>
      </c>
      <c r="D4852" s="2" t="s">
        <v>1</v>
      </c>
      <c r="E4852" s="2" t="s">
        <v>21</v>
      </c>
      <c r="F4852" s="2" t="s">
        <v>35</v>
      </c>
      <c r="G4852" s="7"/>
      <c r="H4852" s="13" t="str">
        <f>IFERROR(IF(ABS($G4852)&gt;0,VLOOKUP($E4852,'Fuel Category and Heat Rate'!$B$1:$G$34,6,FALSE)*($G4852),""),"")</f>
        <v/>
      </c>
      <c r="I4852" t="str">
        <f>IFERROR(VLOOKUP($E4852,'Fuel Category and Heat Rate'!$K$2:$M$36,3,FALSE),"")</f>
        <v>LPG propane or butane</v>
      </c>
    </row>
    <row r="4853" spans="1:9" x14ac:dyDescent="0.15">
      <c r="A4853" s="2">
        <v>554097</v>
      </c>
      <c r="B4853" s="2" t="s">
        <v>95</v>
      </c>
      <c r="C4853" s="2">
        <v>2021</v>
      </c>
      <c r="D4853" s="2" t="s">
        <v>1</v>
      </c>
      <c r="E4853" s="2" t="s">
        <v>22</v>
      </c>
      <c r="F4853" s="2" t="s">
        <v>35</v>
      </c>
      <c r="G4853" s="7"/>
      <c r="H4853" s="13" t="str">
        <f>IFERROR(IF(ABS($G4853)&gt;0,VLOOKUP($E4853,'Fuel Category and Heat Rate'!$B$1:$G$34,6,FALSE)*($G4853),""),"")</f>
        <v/>
      </c>
      <c r="I4853" t="str">
        <f>IFERROR(VLOOKUP($E4853,'Fuel Category and Heat Rate'!$K$2:$M$36,3,FALSE),"")</f>
        <v>heavy fuel oil</v>
      </c>
    </row>
    <row r="4854" spans="1:9" x14ac:dyDescent="0.15">
      <c r="A4854" s="2">
        <v>554132</v>
      </c>
      <c r="B4854" s="2" t="s">
        <v>95</v>
      </c>
      <c r="C4854" s="2">
        <v>2021</v>
      </c>
      <c r="D4854" s="2" t="s">
        <v>1</v>
      </c>
      <c r="E4854" s="2" t="s">
        <v>20</v>
      </c>
      <c r="F4854" s="2" t="s">
        <v>35</v>
      </c>
      <c r="G4854" s="7"/>
      <c r="H4854" s="13" t="str">
        <f>IFERROR(IF(ABS($G4854)&gt;0,VLOOKUP($E4854,'Fuel Category and Heat Rate'!$B$1:$G$34,6,FALSE)*($G4854),""),"")</f>
        <v/>
      </c>
      <c r="I4854" t="str">
        <f>IFERROR(VLOOKUP($E4854,'Fuel Category and Heat Rate'!$K$2:$M$36,3,FALSE),"")</f>
        <v>LPG propane or butane</v>
      </c>
    </row>
    <row r="4855" spans="1:9" x14ac:dyDescent="0.15">
      <c r="A4855" s="2">
        <v>554167</v>
      </c>
      <c r="B4855" s="2" t="s">
        <v>95</v>
      </c>
      <c r="C4855" s="2">
        <v>2021</v>
      </c>
      <c r="D4855" s="2" t="s">
        <v>1</v>
      </c>
      <c r="E4855" s="2" t="s">
        <v>25</v>
      </c>
      <c r="F4855" s="2" t="s">
        <v>35</v>
      </c>
      <c r="G4855" s="7"/>
      <c r="H4855" s="13" t="str">
        <f>IFERROR(IF(ABS($G4855)&gt;0,VLOOKUP($E4855,'Fuel Category and Heat Rate'!$B$1:$G$34,6,FALSE)*($G4855),""),"")</f>
        <v/>
      </c>
      <c r="I4855" t="str">
        <f>IFERROR(VLOOKUP($E4855,'Fuel Category and Heat Rate'!$K$2:$M$36,3,FALSE),"")</f>
        <v>heavy fuel oil</v>
      </c>
    </row>
    <row r="4856" spans="1:9" x14ac:dyDescent="0.15">
      <c r="A4856" s="2">
        <v>554202</v>
      </c>
      <c r="B4856" s="2" t="s">
        <v>95</v>
      </c>
      <c r="C4856" s="2">
        <v>2021</v>
      </c>
      <c r="D4856" s="2" t="s">
        <v>1</v>
      </c>
      <c r="E4856" s="2" t="s">
        <v>24</v>
      </c>
      <c r="F4856" s="2" t="s">
        <v>35</v>
      </c>
      <c r="G4856" s="7"/>
      <c r="H4856" s="13" t="str">
        <f>IFERROR(IF(ABS($G4856)&gt;0,VLOOKUP($E4856,'Fuel Category and Heat Rate'!$B$1:$G$34,6,FALSE)*($G4856),""),"")</f>
        <v/>
      </c>
      <c r="I4856" t="str">
        <f>IFERROR(VLOOKUP($E4856,'Fuel Category and Heat Rate'!$K$2:$M$36,3,FALSE),"")</f>
        <v>heavy fuel oil</v>
      </c>
    </row>
    <row r="4857" spans="1:9" x14ac:dyDescent="0.15">
      <c r="A4857" s="2">
        <v>554237</v>
      </c>
      <c r="B4857" s="2" t="s">
        <v>95</v>
      </c>
      <c r="C4857" s="2">
        <v>2021</v>
      </c>
      <c r="D4857" s="2" t="s">
        <v>1</v>
      </c>
      <c r="E4857" s="2" t="s">
        <v>29</v>
      </c>
      <c r="F4857" s="2" t="s">
        <v>36</v>
      </c>
      <c r="G4857" s="7">
        <v>-0.67</v>
      </c>
      <c r="H4857" s="13">
        <f>IFERROR(IF(ABS($G4857)&gt;0,VLOOKUP($E4857,'Fuel Category and Heat Rate'!$B$1:$G$34,6,FALSE)*($G4857),""),"")</f>
        <v>-2259749092903.4707</v>
      </c>
      <c r="I4857" t="str">
        <f>IFERROR(VLOOKUP($E4857,'Fuel Category and Heat Rate'!$K$2:$M$36,3,FALSE),"")</f>
        <v>natural gas</v>
      </c>
    </row>
    <row r="4858" spans="1:9" x14ac:dyDescent="0.15">
      <c r="A4858" s="2">
        <v>554272</v>
      </c>
      <c r="B4858" s="2" t="s">
        <v>95</v>
      </c>
      <c r="C4858" s="2">
        <v>2021</v>
      </c>
      <c r="D4858" s="2" t="s">
        <v>1</v>
      </c>
      <c r="E4858" s="2" t="s">
        <v>4</v>
      </c>
      <c r="F4858" s="2" t="s">
        <v>35</v>
      </c>
      <c r="G4858" s="7"/>
      <c r="H4858" s="13" t="str">
        <f>IFERROR(IF(ABS($G4858)&gt;0,VLOOKUP($E4858,'Fuel Category and Heat Rate'!$B$1:$G$34,6,FALSE)*($G4858),""),"")</f>
        <v/>
      </c>
      <c r="I4858" t="str">
        <f>IFERROR(VLOOKUP($E4858,'Fuel Category and Heat Rate'!$K$2:$M$36,3,FALSE),"")</f>
        <v>coal</v>
      </c>
    </row>
    <row r="4859" spans="1:9" x14ac:dyDescent="0.15">
      <c r="A4859" s="2">
        <v>554307</v>
      </c>
      <c r="B4859" s="2" t="s">
        <v>95</v>
      </c>
      <c r="C4859" s="2">
        <v>2021</v>
      </c>
      <c r="D4859" s="2" t="s">
        <v>1</v>
      </c>
      <c r="E4859" s="2" t="s">
        <v>6</v>
      </c>
      <c r="F4859" s="2" t="s">
        <v>35</v>
      </c>
      <c r="G4859" s="7"/>
      <c r="H4859" s="13" t="str">
        <f>IFERROR(IF(ABS($G4859)&gt;0,VLOOKUP($E4859,'Fuel Category and Heat Rate'!$B$1:$G$34,6,FALSE)*($G4859),""),"")</f>
        <v/>
      </c>
      <c r="I4859" t="str">
        <f>IFERROR(VLOOKUP($E4859,'Fuel Category and Heat Rate'!$K$2:$M$36,3,FALSE),"")</f>
        <v>coal</v>
      </c>
    </row>
    <row r="4860" spans="1:9" x14ac:dyDescent="0.15">
      <c r="A4860" s="2">
        <v>554342</v>
      </c>
      <c r="B4860" s="2" t="s">
        <v>95</v>
      </c>
      <c r="C4860" s="2">
        <v>2021</v>
      </c>
      <c r="D4860" s="2" t="s">
        <v>1</v>
      </c>
      <c r="E4860" s="2" t="s">
        <v>26</v>
      </c>
      <c r="F4860" s="2" t="s">
        <v>35</v>
      </c>
      <c r="G4860" s="7"/>
      <c r="H4860" s="13" t="str">
        <f>IFERROR(IF(ABS($G4860)&gt;0,VLOOKUP($E4860,'Fuel Category and Heat Rate'!$B$1:$G$34,6,FALSE)*($G4860),""),"")</f>
        <v/>
      </c>
      <c r="I4860" t="str">
        <f>IFERROR(VLOOKUP($E4860,'Fuel Category and Heat Rate'!$K$2:$M$36,3,FALSE),"")</f>
        <v>LPG propane or butane</v>
      </c>
    </row>
    <row r="4861" spans="1:9" x14ac:dyDescent="0.15">
      <c r="A4861" s="2">
        <v>554377</v>
      </c>
      <c r="B4861" s="2" t="s">
        <v>95</v>
      </c>
      <c r="C4861" s="2">
        <v>2021</v>
      </c>
      <c r="D4861" s="2" t="s">
        <v>1</v>
      </c>
      <c r="E4861" s="2" t="s">
        <v>30</v>
      </c>
      <c r="F4861" s="2" t="s">
        <v>35</v>
      </c>
      <c r="G4861" s="7"/>
      <c r="H4861" s="13" t="str">
        <f>IFERROR(IF(ABS($G4861)&gt;0,VLOOKUP($E4861,'Fuel Category and Heat Rate'!$B$1:$G$34,6,FALSE)*($G4861),""),"")</f>
        <v/>
      </c>
      <c r="I4861" t="str">
        <f>IFERROR(VLOOKUP($E4861,'Fuel Category and Heat Rate'!$K$2:$M$36,3,FALSE),"")</f>
        <v>natural gas</v>
      </c>
    </row>
    <row r="4862" spans="1:9" x14ac:dyDescent="0.15">
      <c r="A4862" s="2">
        <v>554412</v>
      </c>
      <c r="B4862" s="2" t="s">
        <v>95</v>
      </c>
      <c r="C4862" s="2">
        <v>2021</v>
      </c>
      <c r="D4862" s="2" t="s">
        <v>1</v>
      </c>
      <c r="E4862" s="2" t="s">
        <v>14</v>
      </c>
      <c r="F4862" s="2" t="s">
        <v>35</v>
      </c>
      <c r="G4862" s="7"/>
      <c r="H4862" s="13" t="str">
        <f>IFERROR(IF(ABS($G4862)&gt;0,VLOOKUP($E4862,'Fuel Category and Heat Rate'!$B$1:$G$34,6,FALSE)*($G4862),""),"")</f>
        <v/>
      </c>
      <c r="I4862" t="str">
        <f>IFERROR(VLOOKUP($E4862,'Fuel Category and Heat Rate'!$K$2:$M$36,3,FALSE),"")</f>
        <v/>
      </c>
    </row>
    <row r="4863" spans="1:9" x14ac:dyDescent="0.15">
      <c r="A4863" s="2">
        <v>554447</v>
      </c>
      <c r="B4863" s="2" t="s">
        <v>95</v>
      </c>
      <c r="C4863" s="2">
        <v>2021</v>
      </c>
      <c r="D4863" s="2" t="s">
        <v>1</v>
      </c>
      <c r="E4863" s="2" t="s">
        <v>3</v>
      </c>
      <c r="F4863" s="2" t="s">
        <v>35</v>
      </c>
      <c r="G4863" s="7">
        <v>-381.3</v>
      </c>
      <c r="H4863" s="13">
        <f>IFERROR(IF(ABS($G4863)&gt;0,VLOOKUP($E4863,'Fuel Category and Heat Rate'!$B$1:$G$34,6,FALSE)*($G4863),""),"")</f>
        <v>-75562070007952.656</v>
      </c>
      <c r="I4863" t="str">
        <f>IFERROR(VLOOKUP($E4863,'Fuel Category and Heat Rate'!$K$2:$M$36,3,FALSE),"")</f>
        <v>coal</v>
      </c>
    </row>
    <row r="4864" spans="1:9" x14ac:dyDescent="0.15">
      <c r="A4864" s="2">
        <v>554482</v>
      </c>
      <c r="B4864" s="2" t="s">
        <v>95</v>
      </c>
      <c r="C4864" s="2">
        <v>2021</v>
      </c>
      <c r="D4864" s="2" t="s">
        <v>1</v>
      </c>
      <c r="E4864" s="2" t="s">
        <v>15</v>
      </c>
      <c r="F4864" s="2" t="s">
        <v>35</v>
      </c>
      <c r="G4864" s="7"/>
      <c r="H4864" s="13" t="str">
        <f>IFERROR(IF(ABS($G4864)&gt;0,VLOOKUP($E4864,'Fuel Category and Heat Rate'!$B$1:$G$34,6,FALSE)*($G4864),""),"")</f>
        <v/>
      </c>
      <c r="I4864" t="str">
        <f>IFERROR(VLOOKUP($E4864,'Fuel Category and Heat Rate'!$K$2:$M$36,3,FALSE),"")</f>
        <v>crude oil</v>
      </c>
    </row>
    <row r="4865" spans="1:9" x14ac:dyDescent="0.15">
      <c r="A4865" s="2">
        <v>554517</v>
      </c>
      <c r="B4865" s="2" t="s">
        <v>95</v>
      </c>
      <c r="C4865" s="2">
        <v>2021</v>
      </c>
      <c r="D4865" s="2" t="s">
        <v>1</v>
      </c>
      <c r="E4865" s="2" t="s">
        <v>11</v>
      </c>
      <c r="F4865" s="2" t="s">
        <v>36</v>
      </c>
      <c r="G4865" s="7"/>
      <c r="H4865" s="13" t="str">
        <f>IFERROR(IF(ABS($G4865)&gt;0,VLOOKUP($E4865,'Fuel Category and Heat Rate'!$B$1:$G$34,6,FALSE)*($G4865),""),"")</f>
        <v/>
      </c>
      <c r="I4865" t="str">
        <f>IFERROR(VLOOKUP($E4865,'Fuel Category and Heat Rate'!$K$2:$M$36,3,FALSE),"")</f>
        <v>LPG propane or butane</v>
      </c>
    </row>
    <row r="4866" spans="1:9" x14ac:dyDescent="0.15">
      <c r="A4866" s="2">
        <v>554552</v>
      </c>
      <c r="B4866" s="2" t="s">
        <v>95</v>
      </c>
      <c r="C4866" s="2">
        <v>2020</v>
      </c>
      <c r="D4866" s="2" t="s">
        <v>1</v>
      </c>
      <c r="E4866" s="2" t="s">
        <v>18</v>
      </c>
      <c r="F4866" s="2" t="s">
        <v>35</v>
      </c>
      <c r="G4866" s="7"/>
      <c r="H4866" s="13" t="str">
        <f>IFERROR(IF(ABS($G4866)&gt;0,VLOOKUP($E4866,'Fuel Category and Heat Rate'!$B$1:$G$34,6,FALSE)*($G4866),""),"")</f>
        <v/>
      </c>
      <c r="I4866" t="str">
        <f>IFERROR(VLOOKUP($E4866,'Fuel Category and Heat Rate'!$K$2:$M$36,3,FALSE),"")</f>
        <v>petroleum diesel</v>
      </c>
    </row>
    <row r="4867" spans="1:9" x14ac:dyDescent="0.15">
      <c r="A4867" s="2">
        <v>554587</v>
      </c>
      <c r="B4867" s="2" t="s">
        <v>95</v>
      </c>
      <c r="C4867" s="2">
        <v>2020</v>
      </c>
      <c r="D4867" s="2" t="s">
        <v>1</v>
      </c>
      <c r="E4867" s="2" t="s">
        <v>32</v>
      </c>
      <c r="F4867" s="2" t="s">
        <v>65</v>
      </c>
      <c r="G4867" s="7"/>
      <c r="H4867" s="13" t="str">
        <f>IFERROR(IF(ABS($G4867)&gt;0,VLOOKUP($E4867,'Fuel Category and Heat Rate'!$B$1:$G$34,6,FALSE)*($G4867),""),"")</f>
        <v/>
      </c>
      <c r="I4867" t="str">
        <f>IFERROR(VLOOKUP($E4867,'Fuel Category and Heat Rate'!$K$2:$M$36,3,FALSE),"")</f>
        <v>electricity</v>
      </c>
    </row>
    <row r="4868" spans="1:9" x14ac:dyDescent="0.15">
      <c r="A4868" s="2">
        <v>554622</v>
      </c>
      <c r="B4868" s="2" t="s">
        <v>95</v>
      </c>
      <c r="C4868" s="2">
        <v>2020</v>
      </c>
      <c r="D4868" s="2" t="s">
        <v>1</v>
      </c>
      <c r="E4868" s="2" t="s">
        <v>10</v>
      </c>
      <c r="F4868" s="2" t="s">
        <v>36</v>
      </c>
      <c r="G4868" s="7"/>
      <c r="H4868" s="13" t="str">
        <f>IFERROR(IF(ABS($G4868)&gt;0,VLOOKUP($E4868,'Fuel Category and Heat Rate'!$B$1:$G$34,6,FALSE)*($G4868),""),"")</f>
        <v/>
      </c>
      <c r="I4868" t="str">
        <f>IFERROR(VLOOKUP($E4868,'Fuel Category and Heat Rate'!$K$2:$M$36,3,FALSE),"")</f>
        <v>LPG propane or butane</v>
      </c>
    </row>
    <row r="4869" spans="1:9" x14ac:dyDescent="0.15">
      <c r="A4869" s="2">
        <v>554657</v>
      </c>
      <c r="B4869" s="2" t="s">
        <v>95</v>
      </c>
      <c r="C4869" s="2">
        <v>2020</v>
      </c>
      <c r="D4869" s="2" t="s">
        <v>1</v>
      </c>
      <c r="E4869" s="2" t="s">
        <v>9</v>
      </c>
      <c r="F4869" s="2" t="s">
        <v>36</v>
      </c>
      <c r="G4869" s="7">
        <v>-0.55000000000000004</v>
      </c>
      <c r="H4869" s="13">
        <f>IFERROR(IF(ABS($G4869)&gt;0,VLOOKUP($E4869,'Fuel Category and Heat Rate'!$B$1:$G$34,6,FALSE)*($G4869),""),"")</f>
        <v>-904636944101.11096</v>
      </c>
      <c r="I4869" t="str">
        <f>IFERROR(VLOOKUP($E4869,'Fuel Category and Heat Rate'!$K$2:$M$36,3,FALSE),"")</f>
        <v>LPG propane or butane</v>
      </c>
    </row>
    <row r="4870" spans="1:9" x14ac:dyDescent="0.15">
      <c r="A4870" s="2">
        <v>554692</v>
      </c>
      <c r="B4870" s="2" t="s">
        <v>95</v>
      </c>
      <c r="C4870" s="2">
        <v>2020</v>
      </c>
      <c r="D4870" s="2" t="s">
        <v>1</v>
      </c>
      <c r="E4870" s="2" t="s">
        <v>8</v>
      </c>
      <c r="F4870" s="2" t="s">
        <v>35</v>
      </c>
      <c r="G4870" s="7"/>
      <c r="H4870" s="13" t="str">
        <f>IFERROR(IF(ABS($G4870)&gt;0,VLOOKUP($E4870,'Fuel Category and Heat Rate'!$B$1:$G$34,6,FALSE)*($G4870),""),"")</f>
        <v/>
      </c>
      <c r="I4870" t="str">
        <f>IFERROR(VLOOKUP($E4870,'Fuel Category and Heat Rate'!$K$2:$M$36,3,FALSE),"")</f>
        <v>coal</v>
      </c>
    </row>
    <row r="4871" spans="1:9" x14ac:dyDescent="0.15">
      <c r="A4871" s="2">
        <v>554727</v>
      </c>
      <c r="B4871" s="2" t="s">
        <v>95</v>
      </c>
      <c r="C4871" s="2">
        <v>2020</v>
      </c>
      <c r="D4871" s="2" t="s">
        <v>1</v>
      </c>
      <c r="E4871" s="2" t="s">
        <v>27</v>
      </c>
      <c r="F4871" s="2" t="s">
        <v>35</v>
      </c>
      <c r="G4871" s="7"/>
      <c r="H4871" s="13" t="str">
        <f>IFERROR(IF(ABS($G4871)&gt;0,VLOOKUP($E4871,'Fuel Category and Heat Rate'!$B$1:$G$34,6,FALSE)*($G4871),""),"")</f>
        <v/>
      </c>
      <c r="I4871" t="str">
        <f>IFERROR(VLOOKUP($E4871,'Fuel Category and Heat Rate'!$K$2:$M$36,3,FALSE),"")</f>
        <v>LPG propane or butane</v>
      </c>
    </row>
    <row r="4872" spans="1:9" x14ac:dyDescent="0.15">
      <c r="A4872" s="2">
        <v>554762</v>
      </c>
      <c r="B4872" s="2" t="s">
        <v>95</v>
      </c>
      <c r="C4872" s="2">
        <v>2020</v>
      </c>
      <c r="D4872" s="2" t="s">
        <v>1</v>
      </c>
      <c r="E4872" s="2" t="s">
        <v>7</v>
      </c>
      <c r="F4872" s="2" t="s">
        <v>35</v>
      </c>
      <c r="G4872" s="7"/>
      <c r="H4872" s="13" t="str">
        <f>IFERROR(IF(ABS($G4872)&gt;0,VLOOKUP($E4872,'Fuel Category and Heat Rate'!$B$1:$G$34,6,FALSE)*($G4872),""),"")</f>
        <v/>
      </c>
      <c r="I4872" t="str">
        <f>IFERROR(VLOOKUP($E4872,'Fuel Category and Heat Rate'!$K$2:$M$36,3,FALSE),"")</f>
        <v>coal</v>
      </c>
    </row>
    <row r="4873" spans="1:9" x14ac:dyDescent="0.15">
      <c r="A4873" s="2">
        <v>554797</v>
      </c>
      <c r="B4873" s="2" t="s">
        <v>95</v>
      </c>
      <c r="C4873" s="2">
        <v>2020</v>
      </c>
      <c r="D4873" s="2" t="s">
        <v>1</v>
      </c>
      <c r="E4873" s="2" t="s">
        <v>2</v>
      </c>
      <c r="F4873" s="2" t="s">
        <v>35</v>
      </c>
      <c r="G4873" s="7">
        <v>-278.10000000000002</v>
      </c>
      <c r="H4873" s="13">
        <f>IFERROR(IF(ABS($G4873)&gt;0,VLOOKUP($E4873,'Fuel Category and Heat Rate'!$B$1:$G$34,6,FALSE)*($G4873),""),"")</f>
        <v>0</v>
      </c>
      <c r="I4873" t="str">
        <f>IFERROR(VLOOKUP($E4873,'Fuel Category and Heat Rate'!$K$2:$M$36,3,FALSE),"")</f>
        <v/>
      </c>
    </row>
    <row r="4874" spans="1:9" x14ac:dyDescent="0.15">
      <c r="A4874" s="2">
        <v>554832</v>
      </c>
      <c r="B4874" s="2" t="s">
        <v>95</v>
      </c>
      <c r="C4874" s="2">
        <v>2020</v>
      </c>
      <c r="D4874" s="2" t="s">
        <v>1</v>
      </c>
      <c r="E4874" s="2" t="s">
        <v>17</v>
      </c>
      <c r="F4874" s="2" t="s">
        <v>35</v>
      </c>
      <c r="G4874" s="7"/>
      <c r="H4874" s="13" t="str">
        <f>IFERROR(IF(ABS($G4874)&gt;0,VLOOKUP($E4874,'Fuel Category and Heat Rate'!$B$1:$G$34,6,FALSE)*($G4874),""),"")</f>
        <v/>
      </c>
      <c r="I4874" t="str">
        <f>IFERROR(VLOOKUP($E4874,'Fuel Category and Heat Rate'!$K$2:$M$36,3,FALSE),"")</f>
        <v>petroleum diesel</v>
      </c>
    </row>
    <row r="4875" spans="1:9" x14ac:dyDescent="0.15">
      <c r="A4875" s="2">
        <v>554867</v>
      </c>
      <c r="B4875" s="2" t="s">
        <v>95</v>
      </c>
      <c r="C4875" s="2">
        <v>2020</v>
      </c>
      <c r="D4875" s="2" t="s">
        <v>1</v>
      </c>
      <c r="E4875" s="2" t="s">
        <v>13</v>
      </c>
      <c r="F4875" s="2" t="s">
        <v>35</v>
      </c>
      <c r="G4875" s="7"/>
      <c r="H4875" s="13" t="str">
        <f>IFERROR(IF(ABS($G4875)&gt;0,VLOOKUP($E4875,'Fuel Category and Heat Rate'!$B$1:$G$34,6,FALSE)*($G4875),""),"")</f>
        <v/>
      </c>
      <c r="I4875" t="str">
        <f>IFERROR(VLOOKUP($E4875,'Fuel Category and Heat Rate'!$K$2:$M$36,3,FALSE),"")</f>
        <v>petroleum diesel</v>
      </c>
    </row>
    <row r="4876" spans="1:9" x14ac:dyDescent="0.15">
      <c r="A4876" s="2">
        <v>554902</v>
      </c>
      <c r="B4876" s="2" t="s">
        <v>95</v>
      </c>
      <c r="C4876" s="2">
        <v>2020</v>
      </c>
      <c r="D4876" s="2" t="s">
        <v>1</v>
      </c>
      <c r="E4876" s="2" t="s">
        <v>12</v>
      </c>
      <c r="F4876" s="2" t="s">
        <v>36</v>
      </c>
      <c r="G4876" s="7"/>
      <c r="H4876" s="13" t="str">
        <f>IFERROR(IF(ABS($G4876)&gt;0,VLOOKUP($E4876,'Fuel Category and Heat Rate'!$B$1:$G$34,6,FALSE)*($G4876),""),"")</f>
        <v/>
      </c>
      <c r="I4876" t="str">
        <f>IFERROR(VLOOKUP($E4876,'Fuel Category and Heat Rate'!$K$2:$M$36,3,FALSE),"")</f>
        <v>LPG propane or butane</v>
      </c>
    </row>
    <row r="4877" spans="1:9" x14ac:dyDescent="0.15">
      <c r="A4877" s="2">
        <v>554937</v>
      </c>
      <c r="B4877" s="2" t="s">
        <v>95</v>
      </c>
      <c r="C4877" s="2">
        <v>2020</v>
      </c>
      <c r="D4877" s="2" t="s">
        <v>1</v>
      </c>
      <c r="E4877" s="2" t="s">
        <v>33</v>
      </c>
      <c r="F4877" s="2" t="s">
        <v>38</v>
      </c>
      <c r="G4877" s="7">
        <v>-0.19</v>
      </c>
      <c r="H4877" s="13">
        <f>IFERROR(IF(ABS($G4877)&gt;0,VLOOKUP($E4877,'Fuel Category and Heat Rate'!$B$1:$G$34,6,FALSE)*($G4877),""),"")</f>
        <v>-52712754495.413673</v>
      </c>
      <c r="I4877" t="str">
        <f>IFERROR(VLOOKUP($E4877,'Fuel Category and Heat Rate'!$K$2:$M$36,3,FALSE),"")</f>
        <v>biomass</v>
      </c>
    </row>
    <row r="4878" spans="1:9" x14ac:dyDescent="0.15">
      <c r="A4878" s="2">
        <v>554972</v>
      </c>
      <c r="B4878" s="2" t="s">
        <v>95</v>
      </c>
      <c r="C4878" s="2">
        <v>2020</v>
      </c>
      <c r="D4878" s="2" t="s">
        <v>1</v>
      </c>
      <c r="E4878" s="2" t="s">
        <v>28</v>
      </c>
      <c r="F4878" s="2" t="s">
        <v>35</v>
      </c>
      <c r="G4878" s="7"/>
      <c r="H4878" s="13" t="str">
        <f>IFERROR(IF(ABS($G4878)&gt;0,VLOOKUP($E4878,'Fuel Category and Heat Rate'!$B$1:$G$34,6,FALSE)*($G4878),""),"")</f>
        <v/>
      </c>
      <c r="I4878" t="str">
        <f>IFERROR(VLOOKUP($E4878,'Fuel Category and Heat Rate'!$K$2:$M$36,3,FALSE),"")</f>
        <v>heavy or residual fuel oil</v>
      </c>
    </row>
    <row r="4879" spans="1:9" x14ac:dyDescent="0.15">
      <c r="A4879" s="2">
        <v>555007</v>
      </c>
      <c r="B4879" s="2" t="s">
        <v>95</v>
      </c>
      <c r="C4879" s="2">
        <v>2020</v>
      </c>
      <c r="D4879" s="2" t="s">
        <v>1</v>
      </c>
      <c r="E4879" s="2" t="s">
        <v>5</v>
      </c>
      <c r="F4879" s="2" t="s">
        <v>35</v>
      </c>
      <c r="G4879" s="7">
        <v>-7.92</v>
      </c>
      <c r="H4879" s="13">
        <f>IFERROR(IF(ABS($G4879)&gt;0,VLOOKUP($E4879,'Fuel Category and Heat Rate'!$B$1:$G$34,6,FALSE)*($G4879),""),"")</f>
        <v>-627786292071.64722</v>
      </c>
      <c r="I4879" t="str">
        <f>IFERROR(VLOOKUP($E4879,'Fuel Category and Heat Rate'!$K$2:$M$36,3,FALSE),"")</f>
        <v>coal</v>
      </c>
    </row>
    <row r="4880" spans="1:9" x14ac:dyDescent="0.15">
      <c r="A4880" s="2">
        <v>555042</v>
      </c>
      <c r="B4880" s="2" t="s">
        <v>95</v>
      </c>
      <c r="C4880" s="2">
        <v>2020</v>
      </c>
      <c r="D4880" s="2" t="s">
        <v>1</v>
      </c>
      <c r="E4880" s="2" t="s">
        <v>16</v>
      </c>
      <c r="F4880" s="2" t="s">
        <v>35</v>
      </c>
      <c r="G4880" s="7"/>
      <c r="H4880" s="13" t="str">
        <f>IFERROR(IF(ABS($G4880)&gt;0,VLOOKUP($E4880,'Fuel Category and Heat Rate'!$B$1:$G$34,6,FALSE)*($G4880),""),"")</f>
        <v/>
      </c>
      <c r="I4880" t="str">
        <f>IFERROR(VLOOKUP($E4880,'Fuel Category and Heat Rate'!$K$2:$M$36,3,FALSE),"")</f>
        <v>petroleum diesel</v>
      </c>
    </row>
    <row r="4881" spans="1:9" x14ac:dyDescent="0.15">
      <c r="A4881" s="2">
        <v>555077</v>
      </c>
      <c r="B4881" s="2" t="s">
        <v>95</v>
      </c>
      <c r="C4881" s="2">
        <v>2020</v>
      </c>
      <c r="D4881" s="2" t="s">
        <v>1</v>
      </c>
      <c r="E4881" s="2" t="s">
        <v>19</v>
      </c>
      <c r="F4881" s="2" t="s">
        <v>35</v>
      </c>
      <c r="G4881" s="7"/>
      <c r="H4881" s="13" t="str">
        <f>IFERROR(IF(ABS($G4881)&gt;0,VLOOKUP($E4881,'Fuel Category and Heat Rate'!$B$1:$G$34,6,FALSE)*($G4881),""),"")</f>
        <v/>
      </c>
      <c r="I4881" t="str">
        <f>IFERROR(VLOOKUP($E4881,'Fuel Category and Heat Rate'!$K$2:$M$36,3,FALSE),"")</f>
        <v>heavy or residual fuel oil</v>
      </c>
    </row>
    <row r="4882" spans="1:9" x14ac:dyDescent="0.15">
      <c r="A4882" s="2">
        <v>555112</v>
      </c>
      <c r="B4882" s="2" t="s">
        <v>95</v>
      </c>
      <c r="C4882" s="2">
        <v>2020</v>
      </c>
      <c r="D4882" s="2" t="s">
        <v>1</v>
      </c>
      <c r="E4882" s="2" t="s">
        <v>31</v>
      </c>
      <c r="F4882" s="2" t="s">
        <v>37</v>
      </c>
      <c r="G4882" s="7">
        <v>5366.22</v>
      </c>
      <c r="H4882" s="13">
        <f>IFERROR(IF(ABS($G4882)&gt;0,VLOOKUP($E4882,'Fuel Category and Heat Rate'!$B$1:$G$34,6,FALSE)*($G4882),""),"")</f>
        <v>50861951999981.805</v>
      </c>
      <c r="I4882" t="str">
        <f>IFERROR(VLOOKUP($E4882,'Fuel Category and Heat Rate'!$K$2:$M$36,3,FALSE),"")</f>
        <v>heat</v>
      </c>
    </row>
    <row r="4883" spans="1:9" x14ac:dyDescent="0.15">
      <c r="A4883" s="2">
        <v>555147</v>
      </c>
      <c r="B4883" s="2" t="s">
        <v>95</v>
      </c>
      <c r="C4883" s="2">
        <v>2020</v>
      </c>
      <c r="D4883" s="2" t="s">
        <v>1</v>
      </c>
      <c r="E4883" s="2" t="s">
        <v>23</v>
      </c>
      <c r="F4883" s="2" t="s">
        <v>35</v>
      </c>
      <c r="G4883" s="7"/>
      <c r="H4883" s="13" t="str">
        <f>IFERROR(IF(ABS($G4883)&gt;0,VLOOKUP($E4883,'Fuel Category and Heat Rate'!$B$1:$G$34,6,FALSE)*($G4883),""),"")</f>
        <v/>
      </c>
      <c r="I4883" t="str">
        <f>IFERROR(VLOOKUP($E4883,'Fuel Category and Heat Rate'!$K$2:$M$36,3,FALSE),"")</f>
        <v>heavy or residual fuel oil</v>
      </c>
    </row>
    <row r="4884" spans="1:9" x14ac:dyDescent="0.15">
      <c r="A4884" s="2">
        <v>555182</v>
      </c>
      <c r="B4884" s="2" t="s">
        <v>95</v>
      </c>
      <c r="C4884" s="2">
        <v>2020</v>
      </c>
      <c r="D4884" s="2" t="s">
        <v>1</v>
      </c>
      <c r="E4884" s="2" t="s">
        <v>21</v>
      </c>
      <c r="F4884" s="2" t="s">
        <v>35</v>
      </c>
      <c r="G4884" s="7"/>
      <c r="H4884" s="13" t="str">
        <f>IFERROR(IF(ABS($G4884)&gt;0,VLOOKUP($E4884,'Fuel Category and Heat Rate'!$B$1:$G$34,6,FALSE)*($G4884),""),"")</f>
        <v/>
      </c>
      <c r="I4884" t="str">
        <f>IFERROR(VLOOKUP($E4884,'Fuel Category and Heat Rate'!$K$2:$M$36,3,FALSE),"")</f>
        <v>LPG propane or butane</v>
      </c>
    </row>
    <row r="4885" spans="1:9" x14ac:dyDescent="0.15">
      <c r="A4885" s="2">
        <v>555217</v>
      </c>
      <c r="B4885" s="2" t="s">
        <v>95</v>
      </c>
      <c r="C4885" s="2">
        <v>2020</v>
      </c>
      <c r="D4885" s="2" t="s">
        <v>1</v>
      </c>
      <c r="E4885" s="2" t="s">
        <v>22</v>
      </c>
      <c r="F4885" s="2" t="s">
        <v>35</v>
      </c>
      <c r="G4885" s="7"/>
      <c r="H4885" s="13" t="str">
        <f>IFERROR(IF(ABS($G4885)&gt;0,VLOOKUP($E4885,'Fuel Category and Heat Rate'!$B$1:$G$34,6,FALSE)*($G4885),""),"")</f>
        <v/>
      </c>
      <c r="I4885" t="str">
        <f>IFERROR(VLOOKUP($E4885,'Fuel Category and Heat Rate'!$K$2:$M$36,3,FALSE),"")</f>
        <v>heavy fuel oil</v>
      </c>
    </row>
    <row r="4886" spans="1:9" x14ac:dyDescent="0.15">
      <c r="A4886" s="2">
        <v>555252</v>
      </c>
      <c r="B4886" s="2" t="s">
        <v>95</v>
      </c>
      <c r="C4886" s="2">
        <v>2020</v>
      </c>
      <c r="D4886" s="2" t="s">
        <v>1</v>
      </c>
      <c r="E4886" s="2" t="s">
        <v>20</v>
      </c>
      <c r="F4886" s="2" t="s">
        <v>35</v>
      </c>
      <c r="G4886" s="7"/>
      <c r="H4886" s="13" t="str">
        <f>IFERROR(IF(ABS($G4886)&gt;0,VLOOKUP($E4886,'Fuel Category and Heat Rate'!$B$1:$G$34,6,FALSE)*($G4886),""),"")</f>
        <v/>
      </c>
      <c r="I4886" t="str">
        <f>IFERROR(VLOOKUP($E4886,'Fuel Category and Heat Rate'!$K$2:$M$36,3,FALSE),"")</f>
        <v>LPG propane or butane</v>
      </c>
    </row>
    <row r="4887" spans="1:9" x14ac:dyDescent="0.15">
      <c r="A4887" s="2">
        <v>555287</v>
      </c>
      <c r="B4887" s="2" t="s">
        <v>95</v>
      </c>
      <c r="C4887" s="2">
        <v>2020</v>
      </c>
      <c r="D4887" s="2" t="s">
        <v>1</v>
      </c>
      <c r="E4887" s="2" t="s">
        <v>25</v>
      </c>
      <c r="F4887" s="2" t="s">
        <v>35</v>
      </c>
      <c r="G4887" s="7"/>
      <c r="H4887" s="13" t="str">
        <f>IFERROR(IF(ABS($G4887)&gt;0,VLOOKUP($E4887,'Fuel Category and Heat Rate'!$B$1:$G$34,6,FALSE)*($G4887),""),"")</f>
        <v/>
      </c>
      <c r="I4887" t="str">
        <f>IFERROR(VLOOKUP($E4887,'Fuel Category and Heat Rate'!$K$2:$M$36,3,FALSE),"")</f>
        <v>heavy fuel oil</v>
      </c>
    </row>
    <row r="4888" spans="1:9" x14ac:dyDescent="0.15">
      <c r="A4888" s="2">
        <v>555322</v>
      </c>
      <c r="B4888" s="2" t="s">
        <v>95</v>
      </c>
      <c r="C4888" s="2">
        <v>2020</v>
      </c>
      <c r="D4888" s="2" t="s">
        <v>1</v>
      </c>
      <c r="E4888" s="2" t="s">
        <v>24</v>
      </c>
      <c r="F4888" s="2" t="s">
        <v>35</v>
      </c>
      <c r="G4888" s="7"/>
      <c r="H4888" s="13" t="str">
        <f>IFERROR(IF(ABS($G4888)&gt;0,VLOOKUP($E4888,'Fuel Category and Heat Rate'!$B$1:$G$34,6,FALSE)*($G4888),""),"")</f>
        <v/>
      </c>
      <c r="I4888" t="str">
        <f>IFERROR(VLOOKUP($E4888,'Fuel Category and Heat Rate'!$K$2:$M$36,3,FALSE),"")</f>
        <v>heavy fuel oil</v>
      </c>
    </row>
    <row r="4889" spans="1:9" x14ac:dyDescent="0.15">
      <c r="A4889" s="2">
        <v>555357</v>
      </c>
      <c r="B4889" s="2" t="s">
        <v>95</v>
      </c>
      <c r="C4889" s="2">
        <v>2020</v>
      </c>
      <c r="D4889" s="2" t="s">
        <v>1</v>
      </c>
      <c r="E4889" s="2" t="s">
        <v>29</v>
      </c>
      <c r="F4889" s="2" t="s">
        <v>36</v>
      </c>
      <c r="G4889" s="7">
        <v>-0.55000000000000004</v>
      </c>
      <c r="H4889" s="13">
        <f>IFERROR(IF(ABS($G4889)&gt;0,VLOOKUP($E4889,'Fuel Category and Heat Rate'!$B$1:$G$34,6,FALSE)*($G4889),""),"")</f>
        <v>-1855017912084.9387</v>
      </c>
      <c r="I4889" t="str">
        <f>IFERROR(VLOOKUP($E4889,'Fuel Category and Heat Rate'!$K$2:$M$36,3,FALSE),"")</f>
        <v>natural gas</v>
      </c>
    </row>
    <row r="4890" spans="1:9" x14ac:dyDescent="0.15">
      <c r="A4890" s="2">
        <v>555392</v>
      </c>
      <c r="B4890" s="2" t="s">
        <v>95</v>
      </c>
      <c r="C4890" s="2">
        <v>2020</v>
      </c>
      <c r="D4890" s="2" t="s">
        <v>1</v>
      </c>
      <c r="E4890" s="2" t="s">
        <v>4</v>
      </c>
      <c r="F4890" s="2" t="s">
        <v>35</v>
      </c>
      <c r="G4890" s="7"/>
      <c r="H4890" s="13" t="str">
        <f>IFERROR(IF(ABS($G4890)&gt;0,VLOOKUP($E4890,'Fuel Category and Heat Rate'!$B$1:$G$34,6,FALSE)*($G4890),""),"")</f>
        <v/>
      </c>
      <c r="I4890" t="str">
        <f>IFERROR(VLOOKUP($E4890,'Fuel Category and Heat Rate'!$K$2:$M$36,3,FALSE),"")</f>
        <v>coal</v>
      </c>
    </row>
    <row r="4891" spans="1:9" x14ac:dyDescent="0.15">
      <c r="A4891" s="2">
        <v>555427</v>
      </c>
      <c r="B4891" s="2" t="s">
        <v>95</v>
      </c>
      <c r="C4891" s="2">
        <v>2020</v>
      </c>
      <c r="D4891" s="2" t="s">
        <v>1</v>
      </c>
      <c r="E4891" s="2" t="s">
        <v>6</v>
      </c>
      <c r="F4891" s="2" t="s">
        <v>35</v>
      </c>
      <c r="G4891" s="7"/>
      <c r="H4891" s="13" t="str">
        <f>IFERROR(IF(ABS($G4891)&gt;0,VLOOKUP($E4891,'Fuel Category and Heat Rate'!$B$1:$G$34,6,FALSE)*($G4891),""),"")</f>
        <v/>
      </c>
      <c r="I4891" t="str">
        <f>IFERROR(VLOOKUP($E4891,'Fuel Category and Heat Rate'!$K$2:$M$36,3,FALSE),"")</f>
        <v>coal</v>
      </c>
    </row>
    <row r="4892" spans="1:9" x14ac:dyDescent="0.15">
      <c r="A4892" s="2">
        <v>555462</v>
      </c>
      <c r="B4892" s="2" t="s">
        <v>95</v>
      </c>
      <c r="C4892" s="2">
        <v>2020</v>
      </c>
      <c r="D4892" s="2" t="s">
        <v>1</v>
      </c>
      <c r="E4892" s="2" t="s">
        <v>26</v>
      </c>
      <c r="F4892" s="2" t="s">
        <v>35</v>
      </c>
      <c r="G4892" s="7"/>
      <c r="H4892" s="13" t="str">
        <f>IFERROR(IF(ABS($G4892)&gt;0,VLOOKUP($E4892,'Fuel Category and Heat Rate'!$B$1:$G$34,6,FALSE)*($G4892),""),"")</f>
        <v/>
      </c>
      <c r="I4892" t="str">
        <f>IFERROR(VLOOKUP($E4892,'Fuel Category and Heat Rate'!$K$2:$M$36,3,FALSE),"")</f>
        <v>LPG propane or butane</v>
      </c>
    </row>
    <row r="4893" spans="1:9" x14ac:dyDescent="0.15">
      <c r="A4893" s="2">
        <v>555497</v>
      </c>
      <c r="B4893" s="2" t="s">
        <v>95</v>
      </c>
      <c r="C4893" s="2">
        <v>2020</v>
      </c>
      <c r="D4893" s="2" t="s">
        <v>1</v>
      </c>
      <c r="E4893" s="2" t="s">
        <v>30</v>
      </c>
      <c r="F4893" s="2" t="s">
        <v>35</v>
      </c>
      <c r="G4893" s="7"/>
      <c r="H4893" s="13" t="str">
        <f>IFERROR(IF(ABS($G4893)&gt;0,VLOOKUP($E4893,'Fuel Category and Heat Rate'!$B$1:$G$34,6,FALSE)*($G4893),""),"")</f>
        <v/>
      </c>
      <c r="I4893" t="str">
        <f>IFERROR(VLOOKUP($E4893,'Fuel Category and Heat Rate'!$K$2:$M$36,3,FALSE),"")</f>
        <v>natural gas</v>
      </c>
    </row>
    <row r="4894" spans="1:9" x14ac:dyDescent="0.15">
      <c r="A4894" s="2">
        <v>555532</v>
      </c>
      <c r="B4894" s="2" t="s">
        <v>95</v>
      </c>
      <c r="C4894" s="2">
        <v>2020</v>
      </c>
      <c r="D4894" s="2" t="s">
        <v>1</v>
      </c>
      <c r="E4894" s="2" t="s">
        <v>14</v>
      </c>
      <c r="F4894" s="2" t="s">
        <v>35</v>
      </c>
      <c r="G4894" s="7"/>
      <c r="H4894" s="13" t="str">
        <f>IFERROR(IF(ABS($G4894)&gt;0,VLOOKUP($E4894,'Fuel Category and Heat Rate'!$B$1:$G$34,6,FALSE)*($G4894),""),"")</f>
        <v/>
      </c>
      <c r="I4894" t="str">
        <f>IFERROR(VLOOKUP($E4894,'Fuel Category and Heat Rate'!$K$2:$M$36,3,FALSE),"")</f>
        <v/>
      </c>
    </row>
    <row r="4895" spans="1:9" x14ac:dyDescent="0.15">
      <c r="A4895" s="2">
        <v>555567</v>
      </c>
      <c r="B4895" s="2" t="s">
        <v>95</v>
      </c>
      <c r="C4895" s="2">
        <v>2020</v>
      </c>
      <c r="D4895" s="2" t="s">
        <v>1</v>
      </c>
      <c r="E4895" s="2" t="s">
        <v>3</v>
      </c>
      <c r="F4895" s="2" t="s">
        <v>35</v>
      </c>
      <c r="G4895" s="7">
        <v>-270.18</v>
      </c>
      <c r="H4895" s="13">
        <f>IFERROR(IF(ABS($G4895)&gt;0,VLOOKUP($E4895,'Fuel Category and Heat Rate'!$B$1:$G$34,6,FALSE)*($G4895),""),"")</f>
        <v>-53541463610670.469</v>
      </c>
      <c r="I4895" t="str">
        <f>IFERROR(VLOOKUP($E4895,'Fuel Category and Heat Rate'!$K$2:$M$36,3,FALSE),"")</f>
        <v>coal</v>
      </c>
    </row>
    <row r="4896" spans="1:9" x14ac:dyDescent="0.15">
      <c r="A4896" s="2">
        <v>555602</v>
      </c>
      <c r="B4896" s="2" t="s">
        <v>95</v>
      </c>
      <c r="C4896" s="2">
        <v>2020</v>
      </c>
      <c r="D4896" s="2" t="s">
        <v>1</v>
      </c>
      <c r="E4896" s="2" t="s">
        <v>15</v>
      </c>
      <c r="F4896" s="2" t="s">
        <v>35</v>
      </c>
      <c r="G4896" s="7"/>
      <c r="H4896" s="13" t="str">
        <f>IFERROR(IF(ABS($G4896)&gt;0,VLOOKUP($E4896,'Fuel Category and Heat Rate'!$B$1:$G$34,6,FALSE)*($G4896),""),"")</f>
        <v/>
      </c>
      <c r="I4896" t="str">
        <f>IFERROR(VLOOKUP($E4896,'Fuel Category and Heat Rate'!$K$2:$M$36,3,FALSE),"")</f>
        <v>crude oil</v>
      </c>
    </row>
    <row r="4897" spans="1:9" x14ac:dyDescent="0.15">
      <c r="A4897" s="2">
        <v>555637</v>
      </c>
      <c r="B4897" s="2" t="s">
        <v>95</v>
      </c>
      <c r="C4897" s="2">
        <v>2020</v>
      </c>
      <c r="D4897" s="2" t="s">
        <v>1</v>
      </c>
      <c r="E4897" s="2" t="s">
        <v>11</v>
      </c>
      <c r="F4897" s="2" t="s">
        <v>36</v>
      </c>
      <c r="G4897" s="7"/>
      <c r="H4897" s="13" t="str">
        <f>IFERROR(IF(ABS($G4897)&gt;0,VLOOKUP($E4897,'Fuel Category and Heat Rate'!$B$1:$G$34,6,FALSE)*($G4897),""),"")</f>
        <v/>
      </c>
      <c r="I4897" t="str">
        <f>IFERROR(VLOOKUP($E4897,'Fuel Category and Heat Rate'!$K$2:$M$36,3,FALSE),"")</f>
        <v>LPG propane or butane</v>
      </c>
    </row>
    <row r="4898" spans="1:9" x14ac:dyDescent="0.15">
      <c r="A4898" s="2">
        <v>555672</v>
      </c>
      <c r="B4898" s="2" t="s">
        <v>95</v>
      </c>
      <c r="C4898" s="2">
        <v>2019</v>
      </c>
      <c r="D4898" s="2" t="s">
        <v>1</v>
      </c>
      <c r="E4898" s="2" t="s">
        <v>18</v>
      </c>
      <c r="F4898" s="2" t="s">
        <v>35</v>
      </c>
      <c r="G4898" s="7"/>
      <c r="H4898" s="13" t="str">
        <f>IFERROR(IF(ABS($G4898)&gt;0,VLOOKUP($E4898,'Fuel Category and Heat Rate'!$B$1:$G$34,6,FALSE)*($G4898),""),"")</f>
        <v/>
      </c>
      <c r="I4898" t="str">
        <f>IFERROR(VLOOKUP($E4898,'Fuel Category and Heat Rate'!$K$2:$M$36,3,FALSE),"")</f>
        <v>petroleum diesel</v>
      </c>
    </row>
    <row r="4899" spans="1:9" x14ac:dyDescent="0.15">
      <c r="A4899" s="2">
        <v>555707</v>
      </c>
      <c r="B4899" s="2" t="s">
        <v>95</v>
      </c>
      <c r="C4899" s="2">
        <v>2019</v>
      </c>
      <c r="D4899" s="2" t="s">
        <v>1</v>
      </c>
      <c r="E4899" s="2" t="s">
        <v>32</v>
      </c>
      <c r="F4899" s="2" t="s">
        <v>65</v>
      </c>
      <c r="G4899" s="7"/>
      <c r="H4899" s="13" t="str">
        <f>IFERROR(IF(ABS($G4899)&gt;0,VLOOKUP($E4899,'Fuel Category and Heat Rate'!$B$1:$G$34,6,FALSE)*($G4899),""),"")</f>
        <v/>
      </c>
      <c r="I4899" t="str">
        <f>IFERROR(VLOOKUP($E4899,'Fuel Category and Heat Rate'!$K$2:$M$36,3,FALSE),"")</f>
        <v>electricity</v>
      </c>
    </row>
    <row r="4900" spans="1:9" x14ac:dyDescent="0.15">
      <c r="A4900" s="2">
        <v>555742</v>
      </c>
      <c r="B4900" s="2" t="s">
        <v>95</v>
      </c>
      <c r="C4900" s="2">
        <v>2019</v>
      </c>
      <c r="D4900" s="2" t="s">
        <v>1</v>
      </c>
      <c r="E4900" s="2" t="s">
        <v>10</v>
      </c>
      <c r="F4900" s="2" t="s">
        <v>36</v>
      </c>
      <c r="G4900" s="7"/>
      <c r="H4900" s="13" t="str">
        <f>IFERROR(IF(ABS($G4900)&gt;0,VLOOKUP($E4900,'Fuel Category and Heat Rate'!$B$1:$G$34,6,FALSE)*($G4900),""),"")</f>
        <v/>
      </c>
      <c r="I4900" t="str">
        <f>IFERROR(VLOOKUP($E4900,'Fuel Category and Heat Rate'!$K$2:$M$36,3,FALSE),"")</f>
        <v>LPG propane or butane</v>
      </c>
    </row>
    <row r="4901" spans="1:9" x14ac:dyDescent="0.15">
      <c r="A4901" s="2">
        <v>555777</v>
      </c>
      <c r="B4901" s="2" t="s">
        <v>95</v>
      </c>
      <c r="C4901" s="2">
        <v>2019</v>
      </c>
      <c r="D4901" s="2" t="s">
        <v>1</v>
      </c>
      <c r="E4901" s="2" t="s">
        <v>9</v>
      </c>
      <c r="F4901" s="2" t="s">
        <v>36</v>
      </c>
      <c r="G4901" s="7">
        <v>-0.53</v>
      </c>
      <c r="H4901" s="13">
        <f>IFERROR(IF(ABS($G4901)&gt;0,VLOOKUP($E4901,'Fuel Category and Heat Rate'!$B$1:$G$34,6,FALSE)*($G4901),""),"")</f>
        <v>-871741055224.70691</v>
      </c>
      <c r="I4901" t="str">
        <f>IFERROR(VLOOKUP($E4901,'Fuel Category and Heat Rate'!$K$2:$M$36,3,FALSE),"")</f>
        <v>LPG propane or butane</v>
      </c>
    </row>
    <row r="4902" spans="1:9" x14ac:dyDescent="0.15">
      <c r="A4902" s="2">
        <v>555812</v>
      </c>
      <c r="B4902" s="2" t="s">
        <v>95</v>
      </c>
      <c r="C4902" s="2">
        <v>2019</v>
      </c>
      <c r="D4902" s="2" t="s">
        <v>1</v>
      </c>
      <c r="E4902" s="2" t="s">
        <v>8</v>
      </c>
      <c r="F4902" s="2" t="s">
        <v>35</v>
      </c>
      <c r="G4902" s="7"/>
      <c r="H4902" s="13" t="str">
        <f>IFERROR(IF(ABS($G4902)&gt;0,VLOOKUP($E4902,'Fuel Category and Heat Rate'!$B$1:$G$34,6,FALSE)*($G4902),""),"")</f>
        <v/>
      </c>
      <c r="I4902" t="str">
        <f>IFERROR(VLOOKUP($E4902,'Fuel Category and Heat Rate'!$K$2:$M$36,3,FALSE),"")</f>
        <v>coal</v>
      </c>
    </row>
    <row r="4903" spans="1:9" x14ac:dyDescent="0.15">
      <c r="A4903" s="2">
        <v>555847</v>
      </c>
      <c r="B4903" s="2" t="s">
        <v>95</v>
      </c>
      <c r="C4903" s="2">
        <v>2019</v>
      </c>
      <c r="D4903" s="2" t="s">
        <v>1</v>
      </c>
      <c r="E4903" s="2" t="s">
        <v>27</v>
      </c>
      <c r="F4903" s="2" t="s">
        <v>35</v>
      </c>
      <c r="G4903" s="7"/>
      <c r="H4903" s="13" t="str">
        <f>IFERROR(IF(ABS($G4903)&gt;0,VLOOKUP($E4903,'Fuel Category and Heat Rate'!$B$1:$G$34,6,FALSE)*($G4903),""),"")</f>
        <v/>
      </c>
      <c r="I4903" t="str">
        <f>IFERROR(VLOOKUP($E4903,'Fuel Category and Heat Rate'!$K$2:$M$36,3,FALSE),"")</f>
        <v>LPG propane or butane</v>
      </c>
    </row>
    <row r="4904" spans="1:9" x14ac:dyDescent="0.15">
      <c r="A4904" s="2">
        <v>555882</v>
      </c>
      <c r="B4904" s="2" t="s">
        <v>95</v>
      </c>
      <c r="C4904" s="2">
        <v>2019</v>
      </c>
      <c r="D4904" s="2" t="s">
        <v>1</v>
      </c>
      <c r="E4904" s="2" t="s">
        <v>7</v>
      </c>
      <c r="F4904" s="2" t="s">
        <v>35</v>
      </c>
      <c r="G4904" s="7"/>
      <c r="H4904" s="13" t="str">
        <f>IFERROR(IF(ABS($G4904)&gt;0,VLOOKUP($E4904,'Fuel Category and Heat Rate'!$B$1:$G$34,6,FALSE)*($G4904),""),"")</f>
        <v/>
      </c>
      <c r="I4904" t="str">
        <f>IFERROR(VLOOKUP($E4904,'Fuel Category and Heat Rate'!$K$2:$M$36,3,FALSE),"")</f>
        <v>coal</v>
      </c>
    </row>
    <row r="4905" spans="1:9" x14ac:dyDescent="0.15">
      <c r="A4905" s="2">
        <v>555917</v>
      </c>
      <c r="B4905" s="2" t="s">
        <v>95</v>
      </c>
      <c r="C4905" s="2">
        <v>2019</v>
      </c>
      <c r="D4905" s="2" t="s">
        <v>1</v>
      </c>
      <c r="E4905" s="2" t="s">
        <v>2</v>
      </c>
      <c r="F4905" s="2" t="s">
        <v>35</v>
      </c>
      <c r="G4905" s="7">
        <v>-276.51</v>
      </c>
      <c r="H4905" s="13">
        <f>IFERROR(IF(ABS($G4905)&gt;0,VLOOKUP($E4905,'Fuel Category and Heat Rate'!$B$1:$G$34,6,FALSE)*($G4905),""),"")</f>
        <v>0</v>
      </c>
      <c r="I4905" t="str">
        <f>IFERROR(VLOOKUP($E4905,'Fuel Category and Heat Rate'!$K$2:$M$36,3,FALSE),"")</f>
        <v/>
      </c>
    </row>
    <row r="4906" spans="1:9" x14ac:dyDescent="0.15">
      <c r="A4906" s="2">
        <v>555952</v>
      </c>
      <c r="B4906" s="2" t="s">
        <v>95</v>
      </c>
      <c r="C4906" s="2">
        <v>2019</v>
      </c>
      <c r="D4906" s="2" t="s">
        <v>1</v>
      </c>
      <c r="E4906" s="2" t="s">
        <v>17</v>
      </c>
      <c r="F4906" s="2" t="s">
        <v>35</v>
      </c>
      <c r="G4906" s="7"/>
      <c r="H4906" s="13" t="str">
        <f>IFERROR(IF(ABS($G4906)&gt;0,VLOOKUP($E4906,'Fuel Category and Heat Rate'!$B$1:$G$34,6,FALSE)*($G4906),""),"")</f>
        <v/>
      </c>
      <c r="I4906" t="str">
        <f>IFERROR(VLOOKUP($E4906,'Fuel Category and Heat Rate'!$K$2:$M$36,3,FALSE),"")</f>
        <v>petroleum diesel</v>
      </c>
    </row>
    <row r="4907" spans="1:9" x14ac:dyDescent="0.15">
      <c r="A4907" s="2">
        <v>555987</v>
      </c>
      <c r="B4907" s="2" t="s">
        <v>95</v>
      </c>
      <c r="C4907" s="2">
        <v>2019</v>
      </c>
      <c r="D4907" s="2" t="s">
        <v>1</v>
      </c>
      <c r="E4907" s="2" t="s">
        <v>13</v>
      </c>
      <c r="F4907" s="2" t="s">
        <v>35</v>
      </c>
      <c r="G4907" s="7"/>
      <c r="H4907" s="13" t="str">
        <f>IFERROR(IF(ABS($G4907)&gt;0,VLOOKUP($E4907,'Fuel Category and Heat Rate'!$B$1:$G$34,6,FALSE)*($G4907),""),"")</f>
        <v/>
      </c>
      <c r="I4907" t="str">
        <f>IFERROR(VLOOKUP($E4907,'Fuel Category and Heat Rate'!$K$2:$M$36,3,FALSE),"")</f>
        <v>petroleum diesel</v>
      </c>
    </row>
    <row r="4908" spans="1:9" x14ac:dyDescent="0.15">
      <c r="A4908" s="2">
        <v>556022</v>
      </c>
      <c r="B4908" s="2" t="s">
        <v>95</v>
      </c>
      <c r="C4908" s="2">
        <v>2019</v>
      </c>
      <c r="D4908" s="2" t="s">
        <v>1</v>
      </c>
      <c r="E4908" s="2" t="s">
        <v>12</v>
      </c>
      <c r="F4908" s="2" t="s">
        <v>36</v>
      </c>
      <c r="G4908" s="7"/>
      <c r="H4908" s="13" t="str">
        <f>IFERROR(IF(ABS($G4908)&gt;0,VLOOKUP($E4908,'Fuel Category and Heat Rate'!$B$1:$G$34,6,FALSE)*($G4908),""),"")</f>
        <v/>
      </c>
      <c r="I4908" t="str">
        <f>IFERROR(VLOOKUP($E4908,'Fuel Category and Heat Rate'!$K$2:$M$36,3,FALSE),"")</f>
        <v>LPG propane or butane</v>
      </c>
    </row>
    <row r="4909" spans="1:9" x14ac:dyDescent="0.15">
      <c r="A4909" s="2">
        <v>556057</v>
      </c>
      <c r="B4909" s="2" t="s">
        <v>95</v>
      </c>
      <c r="C4909" s="2">
        <v>2019</v>
      </c>
      <c r="D4909" s="2" t="s">
        <v>1</v>
      </c>
      <c r="E4909" s="2" t="s">
        <v>33</v>
      </c>
      <c r="F4909" s="2" t="s">
        <v>38</v>
      </c>
      <c r="G4909" s="7">
        <v>-0.82</v>
      </c>
      <c r="H4909" s="13">
        <f>IFERROR(IF(ABS($G4909)&gt;0,VLOOKUP($E4909,'Fuel Category and Heat Rate'!$B$1:$G$34,6,FALSE)*($G4909),""),"")</f>
        <v>-227497150980.20639</v>
      </c>
      <c r="I4909" t="str">
        <f>IFERROR(VLOOKUP($E4909,'Fuel Category and Heat Rate'!$K$2:$M$36,3,FALSE),"")</f>
        <v>biomass</v>
      </c>
    </row>
    <row r="4910" spans="1:9" x14ac:dyDescent="0.15">
      <c r="A4910" s="2">
        <v>556092</v>
      </c>
      <c r="B4910" s="2" t="s">
        <v>95</v>
      </c>
      <c r="C4910" s="2">
        <v>2019</v>
      </c>
      <c r="D4910" s="2" t="s">
        <v>1</v>
      </c>
      <c r="E4910" s="2" t="s">
        <v>28</v>
      </c>
      <c r="F4910" s="2" t="s">
        <v>35</v>
      </c>
      <c r="G4910" s="7"/>
      <c r="H4910" s="13" t="str">
        <f>IFERROR(IF(ABS($G4910)&gt;0,VLOOKUP($E4910,'Fuel Category and Heat Rate'!$B$1:$G$34,6,FALSE)*($G4910),""),"")</f>
        <v/>
      </c>
      <c r="I4910" t="str">
        <f>IFERROR(VLOOKUP($E4910,'Fuel Category and Heat Rate'!$K$2:$M$36,3,FALSE),"")</f>
        <v>heavy or residual fuel oil</v>
      </c>
    </row>
    <row r="4911" spans="1:9" x14ac:dyDescent="0.15">
      <c r="A4911" s="2">
        <v>556127</v>
      </c>
      <c r="B4911" s="2" t="s">
        <v>95</v>
      </c>
      <c r="C4911" s="2">
        <v>2019</v>
      </c>
      <c r="D4911" s="2" t="s">
        <v>1</v>
      </c>
      <c r="E4911" s="2" t="s">
        <v>5</v>
      </c>
      <c r="F4911" s="2" t="s">
        <v>35</v>
      </c>
      <c r="G4911" s="7">
        <v>-6.44</v>
      </c>
      <c r="H4911" s="13">
        <f>IFERROR(IF(ABS($G4911)&gt;0,VLOOKUP($E4911,'Fuel Category and Heat Rate'!$B$1:$G$34,6,FALSE)*($G4911),""),"")</f>
        <v>-510472692038.05658</v>
      </c>
      <c r="I4911" t="str">
        <f>IFERROR(VLOOKUP($E4911,'Fuel Category and Heat Rate'!$K$2:$M$36,3,FALSE),"")</f>
        <v>coal</v>
      </c>
    </row>
    <row r="4912" spans="1:9" x14ac:dyDescent="0.15">
      <c r="A4912" s="2">
        <v>556162</v>
      </c>
      <c r="B4912" s="2" t="s">
        <v>95</v>
      </c>
      <c r="C4912" s="2">
        <v>2019</v>
      </c>
      <c r="D4912" s="2" t="s">
        <v>1</v>
      </c>
      <c r="E4912" s="2" t="s">
        <v>16</v>
      </c>
      <c r="F4912" s="2" t="s">
        <v>35</v>
      </c>
      <c r="G4912" s="7"/>
      <c r="H4912" s="13" t="str">
        <f>IFERROR(IF(ABS($G4912)&gt;0,VLOOKUP($E4912,'Fuel Category and Heat Rate'!$B$1:$G$34,6,FALSE)*($G4912),""),"")</f>
        <v/>
      </c>
      <c r="I4912" t="str">
        <f>IFERROR(VLOOKUP($E4912,'Fuel Category and Heat Rate'!$K$2:$M$36,3,FALSE),"")</f>
        <v>petroleum diesel</v>
      </c>
    </row>
    <row r="4913" spans="1:9" x14ac:dyDescent="0.15">
      <c r="A4913" s="2">
        <v>556197</v>
      </c>
      <c r="B4913" s="2" t="s">
        <v>95</v>
      </c>
      <c r="C4913" s="2">
        <v>2019</v>
      </c>
      <c r="D4913" s="2" t="s">
        <v>1</v>
      </c>
      <c r="E4913" s="2" t="s">
        <v>19</v>
      </c>
      <c r="F4913" s="2" t="s">
        <v>35</v>
      </c>
      <c r="G4913" s="7"/>
      <c r="H4913" s="13" t="str">
        <f>IFERROR(IF(ABS($G4913)&gt;0,VLOOKUP($E4913,'Fuel Category and Heat Rate'!$B$1:$G$34,6,FALSE)*($G4913),""),"")</f>
        <v/>
      </c>
      <c r="I4913" t="str">
        <f>IFERROR(VLOOKUP($E4913,'Fuel Category and Heat Rate'!$K$2:$M$36,3,FALSE),"")</f>
        <v>heavy or residual fuel oil</v>
      </c>
    </row>
    <row r="4914" spans="1:9" x14ac:dyDescent="0.15">
      <c r="A4914" s="2">
        <v>556232</v>
      </c>
      <c r="B4914" s="2" t="s">
        <v>95</v>
      </c>
      <c r="C4914" s="2">
        <v>2019</v>
      </c>
      <c r="D4914" s="2" t="s">
        <v>1</v>
      </c>
      <c r="E4914" s="2" t="s">
        <v>31</v>
      </c>
      <c r="F4914" s="2" t="s">
        <v>37</v>
      </c>
      <c r="G4914" s="7">
        <v>5255.99</v>
      </c>
      <c r="H4914" s="13">
        <f>IFERROR(IF(ABS($G4914)&gt;0,VLOOKUP($E4914,'Fuel Category and Heat Rate'!$B$1:$G$34,6,FALSE)*($G4914),""),"")</f>
        <v>49817173185665.953</v>
      </c>
      <c r="I4914" t="str">
        <f>IFERROR(VLOOKUP($E4914,'Fuel Category and Heat Rate'!$K$2:$M$36,3,FALSE),"")</f>
        <v>heat</v>
      </c>
    </row>
    <row r="4915" spans="1:9" x14ac:dyDescent="0.15">
      <c r="A4915" s="2">
        <v>556267</v>
      </c>
      <c r="B4915" s="2" t="s">
        <v>95</v>
      </c>
      <c r="C4915" s="2">
        <v>2019</v>
      </c>
      <c r="D4915" s="2" t="s">
        <v>1</v>
      </c>
      <c r="E4915" s="2" t="s">
        <v>23</v>
      </c>
      <c r="F4915" s="2" t="s">
        <v>35</v>
      </c>
      <c r="G4915" s="7"/>
      <c r="H4915" s="13" t="str">
        <f>IFERROR(IF(ABS($G4915)&gt;0,VLOOKUP($E4915,'Fuel Category and Heat Rate'!$B$1:$G$34,6,FALSE)*($G4915),""),"")</f>
        <v/>
      </c>
      <c r="I4915" t="str">
        <f>IFERROR(VLOOKUP($E4915,'Fuel Category and Heat Rate'!$K$2:$M$36,3,FALSE),"")</f>
        <v>heavy or residual fuel oil</v>
      </c>
    </row>
    <row r="4916" spans="1:9" x14ac:dyDescent="0.15">
      <c r="A4916" s="2">
        <v>556302</v>
      </c>
      <c r="B4916" s="2" t="s">
        <v>95</v>
      </c>
      <c r="C4916" s="2">
        <v>2019</v>
      </c>
      <c r="D4916" s="2" t="s">
        <v>1</v>
      </c>
      <c r="E4916" s="2" t="s">
        <v>21</v>
      </c>
      <c r="F4916" s="2" t="s">
        <v>35</v>
      </c>
      <c r="G4916" s="7"/>
      <c r="H4916" s="13" t="str">
        <f>IFERROR(IF(ABS($G4916)&gt;0,VLOOKUP($E4916,'Fuel Category and Heat Rate'!$B$1:$G$34,6,FALSE)*($G4916),""),"")</f>
        <v/>
      </c>
      <c r="I4916" t="str">
        <f>IFERROR(VLOOKUP($E4916,'Fuel Category and Heat Rate'!$K$2:$M$36,3,FALSE),"")</f>
        <v>LPG propane or butane</v>
      </c>
    </row>
    <row r="4917" spans="1:9" x14ac:dyDescent="0.15">
      <c r="A4917" s="2">
        <v>556337</v>
      </c>
      <c r="B4917" s="2" t="s">
        <v>95</v>
      </c>
      <c r="C4917" s="2">
        <v>2019</v>
      </c>
      <c r="D4917" s="2" t="s">
        <v>1</v>
      </c>
      <c r="E4917" s="2" t="s">
        <v>22</v>
      </c>
      <c r="F4917" s="2" t="s">
        <v>35</v>
      </c>
      <c r="G4917" s="7"/>
      <c r="H4917" s="13" t="str">
        <f>IFERROR(IF(ABS($G4917)&gt;0,VLOOKUP($E4917,'Fuel Category and Heat Rate'!$B$1:$G$34,6,FALSE)*($G4917),""),"")</f>
        <v/>
      </c>
      <c r="I4917" t="str">
        <f>IFERROR(VLOOKUP($E4917,'Fuel Category and Heat Rate'!$K$2:$M$36,3,FALSE),"")</f>
        <v>heavy fuel oil</v>
      </c>
    </row>
    <row r="4918" spans="1:9" x14ac:dyDescent="0.15">
      <c r="A4918" s="2">
        <v>556372</v>
      </c>
      <c r="B4918" s="2" t="s">
        <v>95</v>
      </c>
      <c r="C4918" s="2">
        <v>2019</v>
      </c>
      <c r="D4918" s="2" t="s">
        <v>1</v>
      </c>
      <c r="E4918" s="2" t="s">
        <v>20</v>
      </c>
      <c r="F4918" s="2" t="s">
        <v>35</v>
      </c>
      <c r="G4918" s="7"/>
      <c r="H4918" s="13" t="str">
        <f>IFERROR(IF(ABS($G4918)&gt;0,VLOOKUP($E4918,'Fuel Category and Heat Rate'!$B$1:$G$34,6,FALSE)*($G4918),""),"")</f>
        <v/>
      </c>
      <c r="I4918" t="str">
        <f>IFERROR(VLOOKUP($E4918,'Fuel Category and Heat Rate'!$K$2:$M$36,3,FALSE),"")</f>
        <v>LPG propane or butane</v>
      </c>
    </row>
    <row r="4919" spans="1:9" x14ac:dyDescent="0.15">
      <c r="A4919" s="2">
        <v>556407</v>
      </c>
      <c r="B4919" s="2" t="s">
        <v>95</v>
      </c>
      <c r="C4919" s="2">
        <v>2019</v>
      </c>
      <c r="D4919" s="2" t="s">
        <v>1</v>
      </c>
      <c r="E4919" s="2" t="s">
        <v>25</v>
      </c>
      <c r="F4919" s="2" t="s">
        <v>35</v>
      </c>
      <c r="G4919" s="7"/>
      <c r="H4919" s="13" t="str">
        <f>IFERROR(IF(ABS($G4919)&gt;0,VLOOKUP($E4919,'Fuel Category and Heat Rate'!$B$1:$G$34,6,FALSE)*($G4919),""),"")</f>
        <v/>
      </c>
      <c r="I4919" t="str">
        <f>IFERROR(VLOOKUP($E4919,'Fuel Category and Heat Rate'!$K$2:$M$36,3,FALSE),"")</f>
        <v>heavy fuel oil</v>
      </c>
    </row>
    <row r="4920" spans="1:9" x14ac:dyDescent="0.15">
      <c r="A4920" s="2">
        <v>556442</v>
      </c>
      <c r="B4920" s="2" t="s">
        <v>95</v>
      </c>
      <c r="C4920" s="2">
        <v>2019</v>
      </c>
      <c r="D4920" s="2" t="s">
        <v>1</v>
      </c>
      <c r="E4920" s="2" t="s">
        <v>24</v>
      </c>
      <c r="F4920" s="2" t="s">
        <v>35</v>
      </c>
      <c r="G4920" s="7"/>
      <c r="H4920" s="13" t="str">
        <f>IFERROR(IF(ABS($G4920)&gt;0,VLOOKUP($E4920,'Fuel Category and Heat Rate'!$B$1:$G$34,6,FALSE)*($G4920),""),"")</f>
        <v/>
      </c>
      <c r="I4920" t="str">
        <f>IFERROR(VLOOKUP($E4920,'Fuel Category and Heat Rate'!$K$2:$M$36,3,FALSE),"")</f>
        <v>heavy fuel oil</v>
      </c>
    </row>
    <row r="4921" spans="1:9" x14ac:dyDescent="0.15">
      <c r="A4921" s="2">
        <v>556477</v>
      </c>
      <c r="B4921" s="2" t="s">
        <v>95</v>
      </c>
      <c r="C4921" s="2">
        <v>2019</v>
      </c>
      <c r="D4921" s="2" t="s">
        <v>1</v>
      </c>
      <c r="E4921" s="2" t="s">
        <v>29</v>
      </c>
      <c r="F4921" s="2" t="s">
        <v>36</v>
      </c>
      <c r="G4921" s="7">
        <v>-0.22</v>
      </c>
      <c r="H4921" s="13">
        <f>IFERROR(IF(ABS($G4921)&gt;0,VLOOKUP($E4921,'Fuel Category and Heat Rate'!$B$1:$G$34,6,FALSE)*($G4921),""),"")</f>
        <v>-742007164833.97534</v>
      </c>
      <c r="I4921" t="str">
        <f>IFERROR(VLOOKUP($E4921,'Fuel Category and Heat Rate'!$K$2:$M$36,3,FALSE),"")</f>
        <v>natural gas</v>
      </c>
    </row>
    <row r="4922" spans="1:9" x14ac:dyDescent="0.15">
      <c r="A4922" s="2">
        <v>556512</v>
      </c>
      <c r="B4922" s="2" t="s">
        <v>95</v>
      </c>
      <c r="C4922" s="2">
        <v>2019</v>
      </c>
      <c r="D4922" s="2" t="s">
        <v>1</v>
      </c>
      <c r="E4922" s="2" t="s">
        <v>4</v>
      </c>
      <c r="F4922" s="2" t="s">
        <v>35</v>
      </c>
      <c r="G4922" s="7"/>
      <c r="H4922" s="13" t="str">
        <f>IFERROR(IF(ABS($G4922)&gt;0,VLOOKUP($E4922,'Fuel Category and Heat Rate'!$B$1:$G$34,6,FALSE)*($G4922),""),"")</f>
        <v/>
      </c>
      <c r="I4922" t="str">
        <f>IFERROR(VLOOKUP($E4922,'Fuel Category and Heat Rate'!$K$2:$M$36,3,FALSE),"")</f>
        <v>coal</v>
      </c>
    </row>
    <row r="4923" spans="1:9" x14ac:dyDescent="0.15">
      <c r="A4923" s="2">
        <v>556547</v>
      </c>
      <c r="B4923" s="2" t="s">
        <v>95</v>
      </c>
      <c r="C4923" s="2">
        <v>2019</v>
      </c>
      <c r="D4923" s="2" t="s">
        <v>1</v>
      </c>
      <c r="E4923" s="2" t="s">
        <v>6</v>
      </c>
      <c r="F4923" s="2" t="s">
        <v>35</v>
      </c>
      <c r="G4923" s="7"/>
      <c r="H4923" s="13" t="str">
        <f>IFERROR(IF(ABS($G4923)&gt;0,VLOOKUP($E4923,'Fuel Category and Heat Rate'!$B$1:$G$34,6,FALSE)*($G4923),""),"")</f>
        <v/>
      </c>
      <c r="I4923" t="str">
        <f>IFERROR(VLOOKUP($E4923,'Fuel Category and Heat Rate'!$K$2:$M$36,3,FALSE),"")</f>
        <v>coal</v>
      </c>
    </row>
    <row r="4924" spans="1:9" x14ac:dyDescent="0.15">
      <c r="A4924" s="2">
        <v>556582</v>
      </c>
      <c r="B4924" s="2" t="s">
        <v>95</v>
      </c>
      <c r="C4924" s="2">
        <v>2019</v>
      </c>
      <c r="D4924" s="2" t="s">
        <v>1</v>
      </c>
      <c r="E4924" s="2" t="s">
        <v>26</v>
      </c>
      <c r="F4924" s="2" t="s">
        <v>35</v>
      </c>
      <c r="G4924" s="7"/>
      <c r="H4924" s="13" t="str">
        <f>IFERROR(IF(ABS($G4924)&gt;0,VLOOKUP($E4924,'Fuel Category and Heat Rate'!$B$1:$G$34,6,FALSE)*($G4924),""),"")</f>
        <v/>
      </c>
      <c r="I4924" t="str">
        <f>IFERROR(VLOOKUP($E4924,'Fuel Category and Heat Rate'!$K$2:$M$36,3,FALSE),"")</f>
        <v>LPG propane or butane</v>
      </c>
    </row>
    <row r="4925" spans="1:9" x14ac:dyDescent="0.15">
      <c r="A4925" s="2">
        <v>556617</v>
      </c>
      <c r="B4925" s="2" t="s">
        <v>95</v>
      </c>
      <c r="C4925" s="2">
        <v>2019</v>
      </c>
      <c r="D4925" s="2" t="s">
        <v>1</v>
      </c>
      <c r="E4925" s="2" t="s">
        <v>30</v>
      </c>
      <c r="F4925" s="2" t="s">
        <v>35</v>
      </c>
      <c r="G4925" s="7"/>
      <c r="H4925" s="13" t="str">
        <f>IFERROR(IF(ABS($G4925)&gt;0,VLOOKUP($E4925,'Fuel Category and Heat Rate'!$B$1:$G$34,6,FALSE)*($G4925),""),"")</f>
        <v/>
      </c>
      <c r="I4925" t="str">
        <f>IFERROR(VLOOKUP($E4925,'Fuel Category and Heat Rate'!$K$2:$M$36,3,FALSE),"")</f>
        <v>natural gas</v>
      </c>
    </row>
    <row r="4926" spans="1:9" x14ac:dyDescent="0.15">
      <c r="A4926" s="2">
        <v>556652</v>
      </c>
      <c r="B4926" s="2" t="s">
        <v>95</v>
      </c>
      <c r="C4926" s="2">
        <v>2019</v>
      </c>
      <c r="D4926" s="2" t="s">
        <v>1</v>
      </c>
      <c r="E4926" s="2" t="s">
        <v>14</v>
      </c>
      <c r="F4926" s="2" t="s">
        <v>35</v>
      </c>
      <c r="G4926" s="7"/>
      <c r="H4926" s="13" t="str">
        <f>IFERROR(IF(ABS($G4926)&gt;0,VLOOKUP($E4926,'Fuel Category and Heat Rate'!$B$1:$G$34,6,FALSE)*($G4926),""),"")</f>
        <v/>
      </c>
      <c r="I4926" t="str">
        <f>IFERROR(VLOOKUP($E4926,'Fuel Category and Heat Rate'!$K$2:$M$36,3,FALSE),"")</f>
        <v/>
      </c>
    </row>
    <row r="4927" spans="1:9" x14ac:dyDescent="0.15">
      <c r="A4927" s="2">
        <v>556687</v>
      </c>
      <c r="B4927" s="2" t="s">
        <v>95</v>
      </c>
      <c r="C4927" s="2">
        <v>2019</v>
      </c>
      <c r="D4927" s="2" t="s">
        <v>1</v>
      </c>
      <c r="E4927" s="2" t="s">
        <v>3</v>
      </c>
      <c r="F4927" s="2" t="s">
        <v>35</v>
      </c>
      <c r="G4927" s="7">
        <v>-270.07</v>
      </c>
      <c r="H4927" s="13">
        <f>IFERROR(IF(ABS($G4927)&gt;0,VLOOKUP($E4927,'Fuel Category and Heat Rate'!$B$1:$G$34,6,FALSE)*($G4927),""),"")</f>
        <v>-53519664954229.672</v>
      </c>
      <c r="I4927" t="str">
        <f>IFERROR(VLOOKUP($E4927,'Fuel Category and Heat Rate'!$K$2:$M$36,3,FALSE),"")</f>
        <v>coal</v>
      </c>
    </row>
    <row r="4928" spans="1:9" x14ac:dyDescent="0.15">
      <c r="A4928" s="2">
        <v>556722</v>
      </c>
      <c r="B4928" s="2" t="s">
        <v>95</v>
      </c>
      <c r="C4928" s="2">
        <v>2019</v>
      </c>
      <c r="D4928" s="2" t="s">
        <v>1</v>
      </c>
      <c r="E4928" s="2" t="s">
        <v>15</v>
      </c>
      <c r="F4928" s="2" t="s">
        <v>35</v>
      </c>
      <c r="G4928" s="7"/>
      <c r="H4928" s="13" t="str">
        <f>IFERROR(IF(ABS($G4928)&gt;0,VLOOKUP($E4928,'Fuel Category and Heat Rate'!$B$1:$G$34,6,FALSE)*($G4928),""),"")</f>
        <v/>
      </c>
      <c r="I4928" t="str">
        <f>IFERROR(VLOOKUP($E4928,'Fuel Category and Heat Rate'!$K$2:$M$36,3,FALSE),"")</f>
        <v>crude oil</v>
      </c>
    </row>
    <row r="4929" spans="1:9" x14ac:dyDescent="0.15">
      <c r="A4929" s="2">
        <v>556757</v>
      </c>
      <c r="B4929" s="2" t="s">
        <v>95</v>
      </c>
      <c r="C4929" s="2">
        <v>2019</v>
      </c>
      <c r="D4929" s="2" t="s">
        <v>1</v>
      </c>
      <c r="E4929" s="2" t="s">
        <v>11</v>
      </c>
      <c r="F4929" s="2" t="s">
        <v>36</v>
      </c>
      <c r="G4929" s="7"/>
      <c r="H4929" s="13" t="str">
        <f>IFERROR(IF(ABS($G4929)&gt;0,VLOOKUP($E4929,'Fuel Category and Heat Rate'!$B$1:$G$34,6,FALSE)*($G4929),""),"")</f>
        <v/>
      </c>
      <c r="I4929" t="str">
        <f>IFERROR(VLOOKUP($E4929,'Fuel Category and Heat Rate'!$K$2:$M$36,3,FALSE),"")</f>
        <v>LPG propane or butane</v>
      </c>
    </row>
    <row r="4930" spans="1:9" x14ac:dyDescent="0.15">
      <c r="A4930" s="2">
        <v>556792</v>
      </c>
      <c r="B4930" s="2" t="s">
        <v>95</v>
      </c>
      <c r="C4930" s="2">
        <v>2018</v>
      </c>
      <c r="D4930" s="2" t="s">
        <v>1</v>
      </c>
      <c r="E4930" s="2" t="s">
        <v>18</v>
      </c>
      <c r="F4930" s="2" t="s">
        <v>35</v>
      </c>
      <c r="G4930" s="7">
        <v>-0.01</v>
      </c>
      <c r="H4930" s="13">
        <f>IFERROR(IF(ABS($G4930)&gt;0,VLOOKUP($E4930,'Fuel Category and Heat Rate'!$B$1:$G$34,6,FALSE)*($G4930),""),"")</f>
        <v>-4042629591.5993452</v>
      </c>
      <c r="I4930" t="str">
        <f>IFERROR(VLOOKUP($E4930,'Fuel Category and Heat Rate'!$K$2:$M$36,3,FALSE),"")</f>
        <v>petroleum diesel</v>
      </c>
    </row>
    <row r="4931" spans="1:9" x14ac:dyDescent="0.15">
      <c r="A4931" s="2">
        <v>556827</v>
      </c>
      <c r="B4931" s="2" t="s">
        <v>95</v>
      </c>
      <c r="C4931" s="2">
        <v>2018</v>
      </c>
      <c r="D4931" s="2" t="s">
        <v>1</v>
      </c>
      <c r="E4931" s="2" t="s">
        <v>32</v>
      </c>
      <c r="F4931" s="2" t="s">
        <v>65</v>
      </c>
      <c r="G4931" s="7"/>
      <c r="H4931" s="13" t="str">
        <f>IFERROR(IF(ABS($G4931)&gt;0,VLOOKUP($E4931,'Fuel Category and Heat Rate'!$B$1:$G$34,6,FALSE)*($G4931),""),"")</f>
        <v/>
      </c>
      <c r="I4931" t="str">
        <f>IFERROR(VLOOKUP($E4931,'Fuel Category and Heat Rate'!$K$2:$M$36,3,FALSE),"")</f>
        <v>electricity</v>
      </c>
    </row>
    <row r="4932" spans="1:9" x14ac:dyDescent="0.15">
      <c r="A4932" s="2">
        <v>556862</v>
      </c>
      <c r="B4932" s="2" t="s">
        <v>95</v>
      </c>
      <c r="C4932" s="2">
        <v>2018</v>
      </c>
      <c r="D4932" s="2" t="s">
        <v>1</v>
      </c>
      <c r="E4932" s="2" t="s">
        <v>10</v>
      </c>
      <c r="F4932" s="2" t="s">
        <v>36</v>
      </c>
      <c r="G4932" s="7"/>
      <c r="H4932" s="13" t="str">
        <f>IFERROR(IF(ABS($G4932)&gt;0,VLOOKUP($E4932,'Fuel Category and Heat Rate'!$B$1:$G$34,6,FALSE)*($G4932),""),"")</f>
        <v/>
      </c>
      <c r="I4932" t="str">
        <f>IFERROR(VLOOKUP($E4932,'Fuel Category and Heat Rate'!$K$2:$M$36,3,FALSE),"")</f>
        <v>LPG propane or butane</v>
      </c>
    </row>
    <row r="4933" spans="1:9" x14ac:dyDescent="0.15">
      <c r="A4933" s="2">
        <v>556897</v>
      </c>
      <c r="B4933" s="2" t="s">
        <v>95</v>
      </c>
      <c r="C4933" s="2">
        <v>2018</v>
      </c>
      <c r="D4933" s="2" t="s">
        <v>1</v>
      </c>
      <c r="E4933" s="2" t="s">
        <v>9</v>
      </c>
      <c r="F4933" s="2" t="s">
        <v>36</v>
      </c>
      <c r="G4933" s="7">
        <v>-0.48</v>
      </c>
      <c r="H4933" s="13">
        <f>IFERROR(IF(ABS($G4933)&gt;0,VLOOKUP($E4933,'Fuel Category and Heat Rate'!$B$1:$G$34,6,FALSE)*($G4933),""),"")</f>
        <v>-789501333033.69678</v>
      </c>
      <c r="I4933" t="str">
        <f>IFERROR(VLOOKUP($E4933,'Fuel Category and Heat Rate'!$K$2:$M$36,3,FALSE),"")</f>
        <v>LPG propane or butane</v>
      </c>
    </row>
    <row r="4934" spans="1:9" x14ac:dyDescent="0.15">
      <c r="A4934" s="2">
        <v>556932</v>
      </c>
      <c r="B4934" s="2" t="s">
        <v>95</v>
      </c>
      <c r="C4934" s="2">
        <v>2018</v>
      </c>
      <c r="D4934" s="2" t="s">
        <v>1</v>
      </c>
      <c r="E4934" s="2" t="s">
        <v>8</v>
      </c>
      <c r="F4934" s="2" t="s">
        <v>35</v>
      </c>
      <c r="G4934" s="7"/>
      <c r="H4934" s="13" t="str">
        <f>IFERROR(IF(ABS($G4934)&gt;0,VLOOKUP($E4934,'Fuel Category and Heat Rate'!$B$1:$G$34,6,FALSE)*($G4934),""),"")</f>
        <v/>
      </c>
      <c r="I4934" t="str">
        <f>IFERROR(VLOOKUP($E4934,'Fuel Category and Heat Rate'!$K$2:$M$36,3,FALSE),"")</f>
        <v>coal</v>
      </c>
    </row>
    <row r="4935" spans="1:9" x14ac:dyDescent="0.15">
      <c r="A4935" s="2">
        <v>556967</v>
      </c>
      <c r="B4935" s="2" t="s">
        <v>95</v>
      </c>
      <c r="C4935" s="2">
        <v>2018</v>
      </c>
      <c r="D4935" s="2" t="s">
        <v>1</v>
      </c>
      <c r="E4935" s="2" t="s">
        <v>27</v>
      </c>
      <c r="F4935" s="2" t="s">
        <v>35</v>
      </c>
      <c r="G4935" s="7"/>
      <c r="H4935" s="13" t="str">
        <f>IFERROR(IF(ABS($G4935)&gt;0,VLOOKUP($E4935,'Fuel Category and Heat Rate'!$B$1:$G$34,6,FALSE)*($G4935),""),"")</f>
        <v/>
      </c>
      <c r="I4935" t="str">
        <f>IFERROR(VLOOKUP($E4935,'Fuel Category and Heat Rate'!$K$2:$M$36,3,FALSE),"")</f>
        <v>LPG propane or butane</v>
      </c>
    </row>
    <row r="4936" spans="1:9" x14ac:dyDescent="0.15">
      <c r="A4936" s="2">
        <v>557002</v>
      </c>
      <c r="B4936" s="2" t="s">
        <v>95</v>
      </c>
      <c r="C4936" s="2">
        <v>2018</v>
      </c>
      <c r="D4936" s="2" t="s">
        <v>1</v>
      </c>
      <c r="E4936" s="2" t="s">
        <v>7</v>
      </c>
      <c r="F4936" s="2" t="s">
        <v>35</v>
      </c>
      <c r="G4936" s="7"/>
      <c r="H4936" s="13" t="str">
        <f>IFERROR(IF(ABS($G4936)&gt;0,VLOOKUP($E4936,'Fuel Category and Heat Rate'!$B$1:$G$34,6,FALSE)*($G4936),""),"")</f>
        <v/>
      </c>
      <c r="I4936" t="str">
        <f>IFERROR(VLOOKUP($E4936,'Fuel Category and Heat Rate'!$K$2:$M$36,3,FALSE),"")</f>
        <v>coal</v>
      </c>
    </row>
    <row r="4937" spans="1:9" x14ac:dyDescent="0.15">
      <c r="A4937" s="2">
        <v>557037</v>
      </c>
      <c r="B4937" s="2" t="s">
        <v>95</v>
      </c>
      <c r="C4937" s="2">
        <v>2018</v>
      </c>
      <c r="D4937" s="2" t="s">
        <v>1</v>
      </c>
      <c r="E4937" s="2" t="s">
        <v>2</v>
      </c>
      <c r="F4937" s="2" t="s">
        <v>35</v>
      </c>
      <c r="G4937" s="7">
        <v>-276.72000000000003</v>
      </c>
      <c r="H4937" s="13">
        <f>IFERROR(IF(ABS($G4937)&gt;0,VLOOKUP($E4937,'Fuel Category and Heat Rate'!$B$1:$G$34,6,FALSE)*($G4937),""),"")</f>
        <v>0</v>
      </c>
      <c r="I4937" t="str">
        <f>IFERROR(VLOOKUP($E4937,'Fuel Category and Heat Rate'!$K$2:$M$36,3,FALSE),"")</f>
        <v/>
      </c>
    </row>
    <row r="4938" spans="1:9" x14ac:dyDescent="0.15">
      <c r="A4938" s="2">
        <v>557072</v>
      </c>
      <c r="B4938" s="2" t="s">
        <v>95</v>
      </c>
      <c r="C4938" s="2">
        <v>2018</v>
      </c>
      <c r="D4938" s="2" t="s">
        <v>1</v>
      </c>
      <c r="E4938" s="2" t="s">
        <v>17</v>
      </c>
      <c r="F4938" s="2" t="s">
        <v>35</v>
      </c>
      <c r="G4938" s="7"/>
      <c r="H4938" s="13" t="str">
        <f>IFERROR(IF(ABS($G4938)&gt;0,VLOOKUP($E4938,'Fuel Category and Heat Rate'!$B$1:$G$34,6,FALSE)*($G4938),""),"")</f>
        <v/>
      </c>
      <c r="I4938" t="str">
        <f>IFERROR(VLOOKUP($E4938,'Fuel Category and Heat Rate'!$K$2:$M$36,3,FALSE),"")</f>
        <v>petroleum diesel</v>
      </c>
    </row>
    <row r="4939" spans="1:9" x14ac:dyDescent="0.15">
      <c r="A4939" s="2">
        <v>557107</v>
      </c>
      <c r="B4939" s="2" t="s">
        <v>95</v>
      </c>
      <c r="C4939" s="2">
        <v>2018</v>
      </c>
      <c r="D4939" s="2" t="s">
        <v>1</v>
      </c>
      <c r="E4939" s="2" t="s">
        <v>13</v>
      </c>
      <c r="F4939" s="2" t="s">
        <v>35</v>
      </c>
      <c r="G4939" s="7"/>
      <c r="H4939" s="13" t="str">
        <f>IFERROR(IF(ABS($G4939)&gt;0,VLOOKUP($E4939,'Fuel Category and Heat Rate'!$B$1:$G$34,6,FALSE)*($G4939),""),"")</f>
        <v/>
      </c>
      <c r="I4939" t="str">
        <f>IFERROR(VLOOKUP($E4939,'Fuel Category and Heat Rate'!$K$2:$M$36,3,FALSE),"")</f>
        <v>petroleum diesel</v>
      </c>
    </row>
    <row r="4940" spans="1:9" x14ac:dyDescent="0.15">
      <c r="A4940" s="2">
        <v>557142</v>
      </c>
      <c r="B4940" s="2" t="s">
        <v>95</v>
      </c>
      <c r="C4940" s="2">
        <v>2018</v>
      </c>
      <c r="D4940" s="2" t="s">
        <v>1</v>
      </c>
      <c r="E4940" s="2" t="s">
        <v>12</v>
      </c>
      <c r="F4940" s="2" t="s">
        <v>36</v>
      </c>
      <c r="G4940" s="7"/>
      <c r="H4940" s="13" t="str">
        <f>IFERROR(IF(ABS($G4940)&gt;0,VLOOKUP($E4940,'Fuel Category and Heat Rate'!$B$1:$G$34,6,FALSE)*($G4940),""),"")</f>
        <v/>
      </c>
      <c r="I4940" t="str">
        <f>IFERROR(VLOOKUP($E4940,'Fuel Category and Heat Rate'!$K$2:$M$36,3,FALSE),"")</f>
        <v>LPG propane or butane</v>
      </c>
    </row>
    <row r="4941" spans="1:9" x14ac:dyDescent="0.15">
      <c r="A4941" s="2">
        <v>557177</v>
      </c>
      <c r="B4941" s="2" t="s">
        <v>95</v>
      </c>
      <c r="C4941" s="2">
        <v>2018</v>
      </c>
      <c r="D4941" s="2" t="s">
        <v>1</v>
      </c>
      <c r="E4941" s="2" t="s">
        <v>33</v>
      </c>
      <c r="F4941" s="2" t="s">
        <v>38</v>
      </c>
      <c r="G4941" s="7"/>
      <c r="H4941" s="13" t="str">
        <f>IFERROR(IF(ABS($G4941)&gt;0,VLOOKUP($E4941,'Fuel Category and Heat Rate'!$B$1:$G$34,6,FALSE)*($G4941),""),"")</f>
        <v/>
      </c>
      <c r="I4941" t="str">
        <f>IFERROR(VLOOKUP($E4941,'Fuel Category and Heat Rate'!$K$2:$M$36,3,FALSE),"")</f>
        <v>biomass</v>
      </c>
    </row>
    <row r="4942" spans="1:9" x14ac:dyDescent="0.15">
      <c r="A4942" s="2">
        <v>557212</v>
      </c>
      <c r="B4942" s="2" t="s">
        <v>95</v>
      </c>
      <c r="C4942" s="2">
        <v>2018</v>
      </c>
      <c r="D4942" s="2" t="s">
        <v>1</v>
      </c>
      <c r="E4942" s="2" t="s">
        <v>28</v>
      </c>
      <c r="F4942" s="2" t="s">
        <v>35</v>
      </c>
      <c r="G4942" s="7"/>
      <c r="H4942" s="13" t="str">
        <f>IFERROR(IF(ABS($G4942)&gt;0,VLOOKUP($E4942,'Fuel Category and Heat Rate'!$B$1:$G$34,6,FALSE)*($G4942),""),"")</f>
        <v/>
      </c>
      <c r="I4942" t="str">
        <f>IFERROR(VLOOKUP($E4942,'Fuel Category and Heat Rate'!$K$2:$M$36,3,FALSE),"")</f>
        <v>heavy or residual fuel oil</v>
      </c>
    </row>
    <row r="4943" spans="1:9" x14ac:dyDescent="0.15">
      <c r="A4943" s="2">
        <v>557247</v>
      </c>
      <c r="B4943" s="2" t="s">
        <v>95</v>
      </c>
      <c r="C4943" s="2">
        <v>2018</v>
      </c>
      <c r="D4943" s="2" t="s">
        <v>1</v>
      </c>
      <c r="E4943" s="2" t="s">
        <v>5</v>
      </c>
      <c r="F4943" s="2" t="s">
        <v>35</v>
      </c>
      <c r="G4943" s="7">
        <v>-11.27</v>
      </c>
      <c r="H4943" s="13">
        <f>IFERROR(IF(ABS($G4943)&gt;0,VLOOKUP($E4943,'Fuel Category and Heat Rate'!$B$1:$G$34,6,FALSE)*($G4943),""),"")</f>
        <v>-893327211066.59888</v>
      </c>
      <c r="I4943" t="str">
        <f>IFERROR(VLOOKUP($E4943,'Fuel Category and Heat Rate'!$K$2:$M$36,3,FALSE),"")</f>
        <v>coal</v>
      </c>
    </row>
    <row r="4944" spans="1:9" x14ac:dyDescent="0.15">
      <c r="A4944" s="2">
        <v>557282</v>
      </c>
      <c r="B4944" s="2" t="s">
        <v>95</v>
      </c>
      <c r="C4944" s="2">
        <v>2018</v>
      </c>
      <c r="D4944" s="2" t="s">
        <v>1</v>
      </c>
      <c r="E4944" s="2" t="s">
        <v>16</v>
      </c>
      <c r="F4944" s="2" t="s">
        <v>35</v>
      </c>
      <c r="G4944" s="7"/>
      <c r="H4944" s="13" t="str">
        <f>IFERROR(IF(ABS($G4944)&gt;0,VLOOKUP($E4944,'Fuel Category and Heat Rate'!$B$1:$G$34,6,FALSE)*($G4944),""),"")</f>
        <v/>
      </c>
      <c r="I4944" t="str">
        <f>IFERROR(VLOOKUP($E4944,'Fuel Category and Heat Rate'!$K$2:$M$36,3,FALSE),"")</f>
        <v>petroleum diesel</v>
      </c>
    </row>
    <row r="4945" spans="1:9" x14ac:dyDescent="0.15">
      <c r="A4945" s="2">
        <v>557317</v>
      </c>
      <c r="B4945" s="2" t="s">
        <v>95</v>
      </c>
      <c r="C4945" s="2">
        <v>2018</v>
      </c>
      <c r="D4945" s="2" t="s">
        <v>1</v>
      </c>
      <c r="E4945" s="2" t="s">
        <v>19</v>
      </c>
      <c r="F4945" s="2" t="s">
        <v>35</v>
      </c>
      <c r="G4945" s="7"/>
      <c r="H4945" s="13" t="str">
        <f>IFERROR(IF(ABS($G4945)&gt;0,VLOOKUP($E4945,'Fuel Category and Heat Rate'!$B$1:$G$34,6,FALSE)*($G4945),""),"")</f>
        <v/>
      </c>
      <c r="I4945" t="str">
        <f>IFERROR(VLOOKUP($E4945,'Fuel Category and Heat Rate'!$K$2:$M$36,3,FALSE),"")</f>
        <v>heavy or residual fuel oil</v>
      </c>
    </row>
    <row r="4946" spans="1:9" x14ac:dyDescent="0.15">
      <c r="A4946" s="2">
        <v>557352</v>
      </c>
      <c r="B4946" s="2" t="s">
        <v>95</v>
      </c>
      <c r="C4946" s="2">
        <v>2018</v>
      </c>
      <c r="D4946" s="2" t="s">
        <v>1</v>
      </c>
      <c r="E4946" s="2" t="s">
        <v>31</v>
      </c>
      <c r="F4946" s="2" t="s">
        <v>37</v>
      </c>
      <c r="G4946" s="7">
        <v>5109.17</v>
      </c>
      <c r="H4946" s="13">
        <f>IFERROR(IF(ABS($G4946)&gt;0,VLOOKUP($E4946,'Fuel Category and Heat Rate'!$B$1:$G$34,6,FALSE)*($G4946),""),"")</f>
        <v>48425588086166.25</v>
      </c>
      <c r="I4946" t="str">
        <f>IFERROR(VLOOKUP($E4946,'Fuel Category and Heat Rate'!$K$2:$M$36,3,FALSE),"")</f>
        <v>heat</v>
      </c>
    </row>
    <row r="4947" spans="1:9" x14ac:dyDescent="0.15">
      <c r="A4947" s="2">
        <v>557387</v>
      </c>
      <c r="B4947" s="2" t="s">
        <v>95</v>
      </c>
      <c r="C4947" s="2">
        <v>2018</v>
      </c>
      <c r="D4947" s="2" t="s">
        <v>1</v>
      </c>
      <c r="E4947" s="2" t="s">
        <v>23</v>
      </c>
      <c r="F4947" s="2" t="s">
        <v>35</v>
      </c>
      <c r="G4947" s="7"/>
      <c r="H4947" s="13" t="str">
        <f>IFERROR(IF(ABS($G4947)&gt;0,VLOOKUP($E4947,'Fuel Category and Heat Rate'!$B$1:$G$34,6,FALSE)*($G4947),""),"")</f>
        <v/>
      </c>
      <c r="I4947" t="str">
        <f>IFERROR(VLOOKUP($E4947,'Fuel Category and Heat Rate'!$K$2:$M$36,3,FALSE),"")</f>
        <v>heavy or residual fuel oil</v>
      </c>
    </row>
    <row r="4948" spans="1:9" x14ac:dyDescent="0.15">
      <c r="A4948" s="2">
        <v>557422</v>
      </c>
      <c r="B4948" s="2" t="s">
        <v>95</v>
      </c>
      <c r="C4948" s="2">
        <v>2018</v>
      </c>
      <c r="D4948" s="2" t="s">
        <v>1</v>
      </c>
      <c r="E4948" s="2" t="s">
        <v>21</v>
      </c>
      <c r="F4948" s="2" t="s">
        <v>35</v>
      </c>
      <c r="G4948" s="7"/>
      <c r="H4948" s="13" t="str">
        <f>IFERROR(IF(ABS($G4948)&gt;0,VLOOKUP($E4948,'Fuel Category and Heat Rate'!$B$1:$G$34,6,FALSE)*($G4948),""),"")</f>
        <v/>
      </c>
      <c r="I4948" t="str">
        <f>IFERROR(VLOOKUP($E4948,'Fuel Category and Heat Rate'!$K$2:$M$36,3,FALSE),"")</f>
        <v>LPG propane or butane</v>
      </c>
    </row>
    <row r="4949" spans="1:9" x14ac:dyDescent="0.15">
      <c r="A4949" s="2">
        <v>557457</v>
      </c>
      <c r="B4949" s="2" t="s">
        <v>95</v>
      </c>
      <c r="C4949" s="2">
        <v>2018</v>
      </c>
      <c r="D4949" s="2" t="s">
        <v>1</v>
      </c>
      <c r="E4949" s="2" t="s">
        <v>22</v>
      </c>
      <c r="F4949" s="2" t="s">
        <v>35</v>
      </c>
      <c r="G4949" s="7"/>
      <c r="H4949" s="13" t="str">
        <f>IFERROR(IF(ABS($G4949)&gt;0,VLOOKUP($E4949,'Fuel Category and Heat Rate'!$B$1:$G$34,6,FALSE)*($G4949),""),"")</f>
        <v/>
      </c>
      <c r="I4949" t="str">
        <f>IFERROR(VLOOKUP($E4949,'Fuel Category and Heat Rate'!$K$2:$M$36,3,FALSE),"")</f>
        <v>heavy fuel oil</v>
      </c>
    </row>
    <row r="4950" spans="1:9" x14ac:dyDescent="0.15">
      <c r="A4950" s="2">
        <v>557492</v>
      </c>
      <c r="B4950" s="2" t="s">
        <v>95</v>
      </c>
      <c r="C4950" s="2">
        <v>2018</v>
      </c>
      <c r="D4950" s="2" t="s">
        <v>1</v>
      </c>
      <c r="E4950" s="2" t="s">
        <v>20</v>
      </c>
      <c r="F4950" s="2" t="s">
        <v>35</v>
      </c>
      <c r="G4950" s="7"/>
      <c r="H4950" s="13" t="str">
        <f>IFERROR(IF(ABS($G4950)&gt;0,VLOOKUP($E4950,'Fuel Category and Heat Rate'!$B$1:$G$34,6,FALSE)*($G4950),""),"")</f>
        <v/>
      </c>
      <c r="I4950" t="str">
        <f>IFERROR(VLOOKUP($E4950,'Fuel Category and Heat Rate'!$K$2:$M$36,3,FALSE),"")</f>
        <v>LPG propane or butane</v>
      </c>
    </row>
    <row r="4951" spans="1:9" x14ac:dyDescent="0.15">
      <c r="A4951" s="2">
        <v>557527</v>
      </c>
      <c r="B4951" s="2" t="s">
        <v>95</v>
      </c>
      <c r="C4951" s="2">
        <v>2018</v>
      </c>
      <c r="D4951" s="2" t="s">
        <v>1</v>
      </c>
      <c r="E4951" s="2" t="s">
        <v>25</v>
      </c>
      <c r="F4951" s="2" t="s">
        <v>35</v>
      </c>
      <c r="G4951" s="7"/>
      <c r="H4951" s="13" t="str">
        <f>IFERROR(IF(ABS($G4951)&gt;0,VLOOKUP($E4951,'Fuel Category and Heat Rate'!$B$1:$G$34,6,FALSE)*($G4951),""),"")</f>
        <v/>
      </c>
      <c r="I4951" t="str">
        <f>IFERROR(VLOOKUP($E4951,'Fuel Category and Heat Rate'!$K$2:$M$36,3,FALSE),"")</f>
        <v>heavy fuel oil</v>
      </c>
    </row>
    <row r="4952" spans="1:9" x14ac:dyDescent="0.15">
      <c r="A4952" s="2">
        <v>557562</v>
      </c>
      <c r="B4952" s="2" t="s">
        <v>95</v>
      </c>
      <c r="C4952" s="2">
        <v>2018</v>
      </c>
      <c r="D4952" s="2" t="s">
        <v>1</v>
      </c>
      <c r="E4952" s="2" t="s">
        <v>24</v>
      </c>
      <c r="F4952" s="2" t="s">
        <v>35</v>
      </c>
      <c r="G4952" s="7"/>
      <c r="H4952" s="13" t="str">
        <f>IFERROR(IF(ABS($G4952)&gt;0,VLOOKUP($E4952,'Fuel Category and Heat Rate'!$B$1:$G$34,6,FALSE)*($G4952),""),"")</f>
        <v/>
      </c>
      <c r="I4952" t="str">
        <f>IFERROR(VLOOKUP($E4952,'Fuel Category and Heat Rate'!$K$2:$M$36,3,FALSE),"")</f>
        <v>heavy fuel oil</v>
      </c>
    </row>
    <row r="4953" spans="1:9" x14ac:dyDescent="0.15">
      <c r="A4953" s="2">
        <v>557597</v>
      </c>
      <c r="B4953" s="2" t="s">
        <v>95</v>
      </c>
      <c r="C4953" s="2">
        <v>2018</v>
      </c>
      <c r="D4953" s="2" t="s">
        <v>1</v>
      </c>
      <c r="E4953" s="2" t="s">
        <v>29</v>
      </c>
      <c r="F4953" s="2" t="s">
        <v>36</v>
      </c>
      <c r="G4953" s="7">
        <v>-0.24</v>
      </c>
      <c r="H4953" s="13">
        <f>IFERROR(IF(ABS($G4953)&gt;0,VLOOKUP($E4953,'Fuel Category and Heat Rate'!$B$1:$G$34,6,FALSE)*($G4953),""),"")</f>
        <v>-809462361637.06409</v>
      </c>
      <c r="I4953" t="str">
        <f>IFERROR(VLOOKUP($E4953,'Fuel Category and Heat Rate'!$K$2:$M$36,3,FALSE),"")</f>
        <v>natural gas</v>
      </c>
    </row>
    <row r="4954" spans="1:9" x14ac:dyDescent="0.15">
      <c r="A4954" s="2">
        <v>557632</v>
      </c>
      <c r="B4954" s="2" t="s">
        <v>95</v>
      </c>
      <c r="C4954" s="2">
        <v>2018</v>
      </c>
      <c r="D4954" s="2" t="s">
        <v>1</v>
      </c>
      <c r="E4954" s="2" t="s">
        <v>4</v>
      </c>
      <c r="F4954" s="2" t="s">
        <v>35</v>
      </c>
      <c r="G4954" s="7"/>
      <c r="H4954" s="13" t="str">
        <f>IFERROR(IF(ABS($G4954)&gt;0,VLOOKUP($E4954,'Fuel Category and Heat Rate'!$B$1:$G$34,6,FALSE)*($G4954),""),"")</f>
        <v/>
      </c>
      <c r="I4954" t="str">
        <f>IFERROR(VLOOKUP($E4954,'Fuel Category and Heat Rate'!$K$2:$M$36,3,FALSE),"")</f>
        <v>coal</v>
      </c>
    </row>
    <row r="4955" spans="1:9" x14ac:dyDescent="0.15">
      <c r="A4955" s="2">
        <v>557667</v>
      </c>
      <c r="B4955" s="2" t="s">
        <v>95</v>
      </c>
      <c r="C4955" s="2">
        <v>2018</v>
      </c>
      <c r="D4955" s="2" t="s">
        <v>1</v>
      </c>
      <c r="E4955" s="2" t="s">
        <v>6</v>
      </c>
      <c r="F4955" s="2" t="s">
        <v>35</v>
      </c>
      <c r="G4955" s="7"/>
      <c r="H4955" s="13" t="str">
        <f>IFERROR(IF(ABS($G4955)&gt;0,VLOOKUP($E4955,'Fuel Category and Heat Rate'!$B$1:$G$34,6,FALSE)*($G4955),""),"")</f>
        <v/>
      </c>
      <c r="I4955" t="str">
        <f>IFERROR(VLOOKUP($E4955,'Fuel Category and Heat Rate'!$K$2:$M$36,3,FALSE),"")</f>
        <v>coal</v>
      </c>
    </row>
    <row r="4956" spans="1:9" x14ac:dyDescent="0.15">
      <c r="A4956" s="2">
        <v>557702</v>
      </c>
      <c r="B4956" s="2" t="s">
        <v>95</v>
      </c>
      <c r="C4956" s="2">
        <v>2018</v>
      </c>
      <c r="D4956" s="2" t="s">
        <v>1</v>
      </c>
      <c r="E4956" s="2" t="s">
        <v>26</v>
      </c>
      <c r="F4956" s="2" t="s">
        <v>35</v>
      </c>
      <c r="G4956" s="7"/>
      <c r="H4956" s="13" t="str">
        <f>IFERROR(IF(ABS($G4956)&gt;0,VLOOKUP($E4956,'Fuel Category and Heat Rate'!$B$1:$G$34,6,FALSE)*($G4956),""),"")</f>
        <v/>
      </c>
      <c r="I4956" t="str">
        <f>IFERROR(VLOOKUP($E4956,'Fuel Category and Heat Rate'!$K$2:$M$36,3,FALSE),"")</f>
        <v>LPG propane or butane</v>
      </c>
    </row>
    <row r="4957" spans="1:9" x14ac:dyDescent="0.15">
      <c r="A4957" s="2">
        <v>557737</v>
      </c>
      <c r="B4957" s="2" t="s">
        <v>95</v>
      </c>
      <c r="C4957" s="2">
        <v>2018</v>
      </c>
      <c r="D4957" s="2" t="s">
        <v>1</v>
      </c>
      <c r="E4957" s="2" t="s">
        <v>30</v>
      </c>
      <c r="F4957" s="2" t="s">
        <v>35</v>
      </c>
      <c r="G4957" s="7"/>
      <c r="H4957" s="13" t="str">
        <f>IFERROR(IF(ABS($G4957)&gt;0,VLOOKUP($E4957,'Fuel Category and Heat Rate'!$B$1:$G$34,6,FALSE)*($G4957),""),"")</f>
        <v/>
      </c>
      <c r="I4957" t="str">
        <f>IFERROR(VLOOKUP($E4957,'Fuel Category and Heat Rate'!$K$2:$M$36,3,FALSE),"")</f>
        <v>natural gas</v>
      </c>
    </row>
    <row r="4958" spans="1:9" x14ac:dyDescent="0.15">
      <c r="A4958" s="2">
        <v>557772</v>
      </c>
      <c r="B4958" s="2" t="s">
        <v>95</v>
      </c>
      <c r="C4958" s="2">
        <v>2018</v>
      </c>
      <c r="D4958" s="2" t="s">
        <v>1</v>
      </c>
      <c r="E4958" s="2" t="s">
        <v>14</v>
      </c>
      <c r="F4958" s="2" t="s">
        <v>35</v>
      </c>
      <c r="G4958" s="7">
        <v>-0.01</v>
      </c>
      <c r="H4958" s="13">
        <f>IFERROR(IF(ABS($G4958)&gt;0,VLOOKUP($E4958,'Fuel Category and Heat Rate'!$B$1:$G$34,6,FALSE)*($G4958),""),"")</f>
        <v>0</v>
      </c>
      <c r="I4958" t="str">
        <f>IFERROR(VLOOKUP($E4958,'Fuel Category and Heat Rate'!$K$2:$M$36,3,FALSE),"")</f>
        <v/>
      </c>
    </row>
    <row r="4959" spans="1:9" x14ac:dyDescent="0.15">
      <c r="A4959" s="2">
        <v>557807</v>
      </c>
      <c r="B4959" s="2" t="s">
        <v>95</v>
      </c>
      <c r="C4959" s="2">
        <v>2018</v>
      </c>
      <c r="D4959" s="2" t="s">
        <v>1</v>
      </c>
      <c r="E4959" s="2" t="s">
        <v>3</v>
      </c>
      <c r="F4959" s="2" t="s">
        <v>35</v>
      </c>
      <c r="G4959" s="7">
        <v>-265.45</v>
      </c>
      <c r="H4959" s="13">
        <f>IFERROR(IF(ABS($G4959)&gt;0,VLOOKUP($E4959,'Fuel Category and Heat Rate'!$B$1:$G$34,6,FALSE)*($G4959),""),"")</f>
        <v>-52604121383716.32</v>
      </c>
      <c r="I4959" t="str">
        <f>IFERROR(VLOOKUP($E4959,'Fuel Category and Heat Rate'!$K$2:$M$36,3,FALSE),"")</f>
        <v>coal</v>
      </c>
    </row>
    <row r="4960" spans="1:9" x14ac:dyDescent="0.15">
      <c r="A4960" s="2">
        <v>557842</v>
      </c>
      <c r="B4960" s="2" t="s">
        <v>95</v>
      </c>
      <c r="C4960" s="2">
        <v>2018</v>
      </c>
      <c r="D4960" s="2" t="s">
        <v>1</v>
      </c>
      <c r="E4960" s="2" t="s">
        <v>15</v>
      </c>
      <c r="F4960" s="2" t="s">
        <v>35</v>
      </c>
      <c r="G4960" s="7"/>
      <c r="H4960" s="13" t="str">
        <f>IFERROR(IF(ABS($G4960)&gt;0,VLOOKUP($E4960,'Fuel Category and Heat Rate'!$B$1:$G$34,6,FALSE)*($G4960),""),"")</f>
        <v/>
      </c>
      <c r="I4960" t="str">
        <f>IFERROR(VLOOKUP($E4960,'Fuel Category and Heat Rate'!$K$2:$M$36,3,FALSE),"")</f>
        <v>crude oil</v>
      </c>
    </row>
    <row r="4961" spans="1:9" x14ac:dyDescent="0.15">
      <c r="A4961" s="2">
        <v>557877</v>
      </c>
      <c r="B4961" s="2" t="s">
        <v>95</v>
      </c>
      <c r="C4961" s="2">
        <v>2018</v>
      </c>
      <c r="D4961" s="2" t="s">
        <v>1</v>
      </c>
      <c r="E4961" s="2" t="s">
        <v>11</v>
      </c>
      <c r="F4961" s="2" t="s">
        <v>36</v>
      </c>
      <c r="G4961" s="7"/>
      <c r="H4961" s="13" t="str">
        <f>IFERROR(IF(ABS($G4961)&gt;0,VLOOKUP($E4961,'Fuel Category and Heat Rate'!$B$1:$G$34,6,FALSE)*($G4961),""),"")</f>
        <v/>
      </c>
      <c r="I4961" t="str">
        <f>IFERROR(VLOOKUP($E4961,'Fuel Category and Heat Rate'!$K$2:$M$36,3,FALSE),"")</f>
        <v>LPG propane or butane</v>
      </c>
    </row>
    <row r="4962" spans="1:9" x14ac:dyDescent="0.15">
      <c r="A4962" s="2">
        <v>581</v>
      </c>
      <c r="B4962" s="2" t="s">
        <v>64</v>
      </c>
      <c r="C4962" s="2">
        <v>2022</v>
      </c>
      <c r="D4962" s="2" t="s">
        <v>185</v>
      </c>
      <c r="E4962" s="2" t="s">
        <v>31</v>
      </c>
      <c r="F4962" s="2" t="s">
        <v>37</v>
      </c>
      <c r="G4962" s="7">
        <v>10638.13</v>
      </c>
      <c r="H4962" s="13">
        <f>IFERROR(IF(ABS($G4962)&gt;0,VLOOKUP($E4962,'Fuel Category and Heat Rate'!$B$1:$G$34,6,FALSE)*($G4962),""),"")</f>
        <v>100830017671576.34</v>
      </c>
      <c r="I4962" t="str">
        <f>IFERROR(VLOOKUP($E4962,'Fuel Category and Heat Rate'!$K$2:$M$36,3,FALSE),"")</f>
        <v>heat</v>
      </c>
    </row>
    <row r="4963" spans="1:9" x14ac:dyDescent="0.15">
      <c r="A4963" s="2">
        <v>1701</v>
      </c>
      <c r="B4963" s="2" t="s">
        <v>64</v>
      </c>
      <c r="C4963" s="2">
        <v>2021</v>
      </c>
      <c r="D4963" s="2" t="s">
        <v>185</v>
      </c>
      <c r="E4963" s="2" t="s">
        <v>31</v>
      </c>
      <c r="F4963" s="2" t="s">
        <v>37</v>
      </c>
      <c r="G4963" s="7">
        <v>10426.57</v>
      </c>
      <c r="H4963" s="13">
        <f>IFERROR(IF(ABS($G4963)&gt;0,VLOOKUP($E4963,'Fuel Category and Heat Rate'!$B$1:$G$34,6,FALSE)*($G4963),""),"")</f>
        <v>98824815766862.016</v>
      </c>
      <c r="I4963" t="str">
        <f>IFERROR(VLOOKUP($E4963,'Fuel Category and Heat Rate'!$K$2:$M$36,3,FALSE),"")</f>
        <v>heat</v>
      </c>
    </row>
    <row r="4964" spans="1:9" x14ac:dyDescent="0.15">
      <c r="A4964" s="2">
        <v>2821</v>
      </c>
      <c r="B4964" s="2" t="s">
        <v>64</v>
      </c>
      <c r="C4964" s="2">
        <v>2020</v>
      </c>
      <c r="D4964" s="2" t="s">
        <v>185</v>
      </c>
      <c r="E4964" s="2" t="s">
        <v>31</v>
      </c>
      <c r="F4964" s="2" t="s">
        <v>37</v>
      </c>
      <c r="G4964" s="7">
        <v>9305.27</v>
      </c>
      <c r="H4964" s="13">
        <f>IFERROR(IF(ABS($G4964)&gt;0,VLOOKUP($E4964,'Fuel Category and Heat Rate'!$B$1:$G$34,6,FALSE)*($G4964),""),"")</f>
        <v>88196942370396.797</v>
      </c>
      <c r="I4964" t="str">
        <f>IFERROR(VLOOKUP($E4964,'Fuel Category and Heat Rate'!$K$2:$M$36,3,FALSE),"")</f>
        <v>heat</v>
      </c>
    </row>
    <row r="4965" spans="1:9" x14ac:dyDescent="0.15">
      <c r="A4965" s="2">
        <v>3941</v>
      </c>
      <c r="B4965" s="2" t="s">
        <v>64</v>
      </c>
      <c r="C4965" s="2">
        <v>2019</v>
      </c>
      <c r="D4965" s="2" t="s">
        <v>185</v>
      </c>
      <c r="E4965" s="2" t="s">
        <v>31</v>
      </c>
      <c r="F4965" s="2" t="s">
        <v>37</v>
      </c>
      <c r="G4965" s="7">
        <v>8893.7800000000007</v>
      </c>
      <c r="H4965" s="13">
        <f>IFERROR(IF(ABS($G4965)&gt;0,VLOOKUP($E4965,'Fuel Category and Heat Rate'!$B$1:$G$34,6,FALSE)*($G4965),""),"")</f>
        <v>84296769692334.313</v>
      </c>
      <c r="I4965" t="str">
        <f>IFERROR(VLOOKUP($E4965,'Fuel Category and Heat Rate'!$K$2:$M$36,3,FALSE),"")</f>
        <v>heat</v>
      </c>
    </row>
    <row r="4966" spans="1:9" x14ac:dyDescent="0.15">
      <c r="A4966" s="2">
        <v>5061</v>
      </c>
      <c r="B4966" s="2" t="s">
        <v>64</v>
      </c>
      <c r="C4966" s="2">
        <v>2018</v>
      </c>
      <c r="D4966" s="2" t="s">
        <v>185</v>
      </c>
      <c r="E4966" s="2" t="s">
        <v>31</v>
      </c>
      <c r="F4966" s="2" t="s">
        <v>37</v>
      </c>
      <c r="G4966" s="7">
        <v>8493.27</v>
      </c>
      <c r="H4966" s="13">
        <f>IFERROR(IF(ABS($G4966)&gt;0,VLOOKUP($E4966,'Fuel Category and Heat Rate'!$B$1:$G$34,6,FALSE)*($G4966),""),"")</f>
        <v>80500667334340.656</v>
      </c>
      <c r="I4966" t="str">
        <f>IFERROR(VLOOKUP($E4966,'Fuel Category and Heat Rate'!$K$2:$M$36,3,FALSE),"")</f>
        <v>heat</v>
      </c>
    </row>
    <row r="4967" spans="1:9" x14ac:dyDescent="0.15">
      <c r="A4967" s="2">
        <v>18991</v>
      </c>
      <c r="B4967" s="2" t="s">
        <v>66</v>
      </c>
      <c r="C4967" s="2">
        <v>2022</v>
      </c>
      <c r="D4967" s="2" t="s">
        <v>185</v>
      </c>
      <c r="E4967" s="2" t="s">
        <v>31</v>
      </c>
      <c r="F4967" s="2" t="s">
        <v>37</v>
      </c>
      <c r="G4967" s="7">
        <v>372.61</v>
      </c>
      <c r="H4967" s="13">
        <f>IFERROR(IF(ABS($G4967)&gt;0,VLOOKUP($E4967,'Fuel Category and Heat Rate'!$B$1:$G$34,6,FALSE)*($G4967),""),"")</f>
        <v>3531661380769.5586</v>
      </c>
      <c r="I4967" t="str">
        <f>IFERROR(VLOOKUP($E4967,'Fuel Category and Heat Rate'!$K$2:$M$36,3,FALSE),"")</f>
        <v>heat</v>
      </c>
    </row>
    <row r="4968" spans="1:9" x14ac:dyDescent="0.15">
      <c r="A4968" s="2">
        <v>20111</v>
      </c>
      <c r="B4968" s="2" t="s">
        <v>66</v>
      </c>
      <c r="C4968" s="2">
        <v>2021</v>
      </c>
      <c r="D4968" s="2" t="s">
        <v>185</v>
      </c>
      <c r="E4968" s="2" t="s">
        <v>31</v>
      </c>
      <c r="F4968" s="2" t="s">
        <v>37</v>
      </c>
      <c r="G4968" s="7">
        <v>362.66</v>
      </c>
      <c r="H4968" s="13">
        <f>IFERROR(IF(ABS($G4968)&gt;0,VLOOKUP($E4968,'Fuel Category and Heat Rate'!$B$1:$G$34,6,FALSE)*($G4968),""),"")</f>
        <v>3437353577064.1909</v>
      </c>
      <c r="I4968" t="str">
        <f>IFERROR(VLOOKUP($E4968,'Fuel Category and Heat Rate'!$K$2:$M$36,3,FALSE),"")</f>
        <v>heat</v>
      </c>
    </row>
    <row r="4969" spans="1:9" x14ac:dyDescent="0.15">
      <c r="A4969" s="2">
        <v>21231</v>
      </c>
      <c r="B4969" s="2" t="s">
        <v>66</v>
      </c>
      <c r="C4969" s="2">
        <v>2020</v>
      </c>
      <c r="D4969" s="2" t="s">
        <v>185</v>
      </c>
      <c r="E4969" s="2" t="s">
        <v>31</v>
      </c>
      <c r="F4969" s="2" t="s">
        <v>37</v>
      </c>
      <c r="G4969" s="7">
        <v>264.64</v>
      </c>
      <c r="H4969" s="13">
        <f>IFERROR(IF(ABS($G4969)&gt;0,VLOOKUP($E4969,'Fuel Category and Heat Rate'!$B$1:$G$34,6,FALSE)*($G4969),""),"")</f>
        <v>2508303233425.9839</v>
      </c>
      <c r="I4969" t="str">
        <f>IFERROR(VLOOKUP($E4969,'Fuel Category and Heat Rate'!$K$2:$M$36,3,FALSE),"")</f>
        <v>heat</v>
      </c>
    </row>
    <row r="4970" spans="1:9" x14ac:dyDescent="0.15">
      <c r="A4970" s="2">
        <v>37401</v>
      </c>
      <c r="B4970" s="2" t="s">
        <v>67</v>
      </c>
      <c r="C4970" s="2">
        <v>2022</v>
      </c>
      <c r="D4970" s="2" t="s">
        <v>185</v>
      </c>
      <c r="E4970" s="2" t="s">
        <v>31</v>
      </c>
      <c r="F4970" s="2" t="s">
        <v>37</v>
      </c>
      <c r="G4970" s="7">
        <v>5802.59</v>
      </c>
      <c r="H4970" s="13">
        <f>IFERROR(IF(ABS($G4970)&gt;0,VLOOKUP($E4970,'Fuel Category and Heat Rate'!$B$1:$G$34,6,FALSE)*($G4970),""),"")</f>
        <v>54997941578163.852</v>
      </c>
      <c r="I4970" t="str">
        <f>IFERROR(VLOOKUP($E4970,'Fuel Category and Heat Rate'!$K$2:$M$36,3,FALSE),"")</f>
        <v>heat</v>
      </c>
    </row>
    <row r="4971" spans="1:9" x14ac:dyDescent="0.15">
      <c r="A4971" s="2">
        <v>38521</v>
      </c>
      <c r="B4971" s="2" t="s">
        <v>67</v>
      </c>
      <c r="C4971" s="2">
        <v>2021</v>
      </c>
      <c r="D4971" s="2" t="s">
        <v>185</v>
      </c>
      <c r="E4971" s="2" t="s">
        <v>31</v>
      </c>
      <c r="F4971" s="2" t="s">
        <v>37</v>
      </c>
      <c r="G4971" s="7">
        <v>4895.03</v>
      </c>
      <c r="H4971" s="13">
        <f>IFERROR(IF(ABS($G4971)&gt;0,VLOOKUP($E4971,'Fuel Category and Heat Rate'!$B$1:$G$34,6,FALSE)*($G4971),""),"")</f>
        <v>46395932499687.102</v>
      </c>
      <c r="I4971" t="str">
        <f>IFERROR(VLOOKUP($E4971,'Fuel Category and Heat Rate'!$K$2:$M$36,3,FALSE),"")</f>
        <v>heat</v>
      </c>
    </row>
    <row r="4972" spans="1:9" x14ac:dyDescent="0.15">
      <c r="A4972" s="2">
        <v>39641</v>
      </c>
      <c r="B4972" s="2" t="s">
        <v>67</v>
      </c>
      <c r="C4972" s="2">
        <v>2020</v>
      </c>
      <c r="D4972" s="2" t="s">
        <v>185</v>
      </c>
      <c r="E4972" s="2" t="s">
        <v>31</v>
      </c>
      <c r="F4972" s="2" t="s">
        <v>37</v>
      </c>
      <c r="G4972" s="7">
        <v>4013.65</v>
      </c>
      <c r="H4972" s="13">
        <f>IFERROR(IF(ABS($G4972)&gt;0,VLOOKUP($E4972,'Fuel Category and Heat Rate'!$B$1:$G$34,6,FALSE)*($G4972),""),"")</f>
        <v>38042061943924.586</v>
      </c>
      <c r="I4972" t="str">
        <f>IFERROR(VLOOKUP($E4972,'Fuel Category and Heat Rate'!$K$2:$M$36,3,FALSE),"")</f>
        <v>heat</v>
      </c>
    </row>
    <row r="4973" spans="1:9" x14ac:dyDescent="0.15">
      <c r="A4973" s="2">
        <v>40761</v>
      </c>
      <c r="B4973" s="2" t="s">
        <v>67</v>
      </c>
      <c r="C4973" s="2">
        <v>2019</v>
      </c>
      <c r="D4973" s="2" t="s">
        <v>185</v>
      </c>
      <c r="E4973" s="2" t="s">
        <v>31</v>
      </c>
      <c r="F4973" s="2" t="s">
        <v>37</v>
      </c>
      <c r="G4973" s="7">
        <v>3940.58</v>
      </c>
      <c r="H4973" s="13">
        <f>IFERROR(IF(ABS($G4973)&gt;0,VLOOKUP($E4973,'Fuel Category and Heat Rate'!$B$1:$G$34,6,FALSE)*($G4973),""),"")</f>
        <v>37349491972391.797</v>
      </c>
      <c r="I4973" t="str">
        <f>IFERROR(VLOOKUP($E4973,'Fuel Category and Heat Rate'!$K$2:$M$36,3,FALSE),"")</f>
        <v>heat</v>
      </c>
    </row>
    <row r="4974" spans="1:9" x14ac:dyDescent="0.15">
      <c r="A4974" s="2">
        <v>41881</v>
      </c>
      <c r="B4974" s="2" t="s">
        <v>67</v>
      </c>
      <c r="C4974" s="2">
        <v>2018</v>
      </c>
      <c r="D4974" s="2" t="s">
        <v>185</v>
      </c>
      <c r="E4974" s="2" t="s">
        <v>31</v>
      </c>
      <c r="F4974" s="2" t="s">
        <v>37</v>
      </c>
      <c r="G4974" s="7">
        <v>3595.73</v>
      </c>
      <c r="H4974" s="13">
        <f>IFERROR(IF(ABS($G4974)&gt;0,VLOOKUP($E4974,'Fuel Category and Heat Rate'!$B$1:$G$34,6,FALSE)*($G4974),""),"")</f>
        <v>34080944624874.602</v>
      </c>
      <c r="I4974" t="str">
        <f>IFERROR(VLOOKUP($E4974,'Fuel Category and Heat Rate'!$K$2:$M$36,3,FALSE),"")</f>
        <v>heat</v>
      </c>
    </row>
    <row r="4975" spans="1:9" x14ac:dyDescent="0.15">
      <c r="A4975" s="2">
        <v>55811</v>
      </c>
      <c r="B4975" s="2" t="s">
        <v>68</v>
      </c>
      <c r="C4975" s="2">
        <v>2022</v>
      </c>
      <c r="D4975" s="2" t="s">
        <v>185</v>
      </c>
      <c r="E4975" s="2" t="s">
        <v>31</v>
      </c>
      <c r="F4975" s="2" t="s">
        <v>37</v>
      </c>
      <c r="G4975" s="7">
        <v>2990.85</v>
      </c>
      <c r="H4975" s="13">
        <f>IFERROR(IF(ABS($G4975)&gt;0,VLOOKUP($E4975,'Fuel Category and Heat Rate'!$B$1:$G$34,6,FALSE)*($G4975),""),"")</f>
        <v>28347788413286.367</v>
      </c>
      <c r="I4975" t="str">
        <f>IFERROR(VLOOKUP($E4975,'Fuel Category and Heat Rate'!$K$2:$M$36,3,FALSE),"")</f>
        <v>heat</v>
      </c>
    </row>
    <row r="4976" spans="1:9" x14ac:dyDescent="0.15">
      <c r="A4976" s="2">
        <v>56931</v>
      </c>
      <c r="B4976" s="2" t="s">
        <v>68</v>
      </c>
      <c r="C4976" s="2">
        <v>2021</v>
      </c>
      <c r="D4976" s="2" t="s">
        <v>185</v>
      </c>
      <c r="E4976" s="2" t="s">
        <v>31</v>
      </c>
      <c r="F4976" s="2" t="s">
        <v>37</v>
      </c>
      <c r="G4976" s="7">
        <v>3173.45</v>
      </c>
      <c r="H4976" s="13">
        <f>IFERROR(IF(ABS($G4976)&gt;0,VLOOKUP($E4976,'Fuel Category and Heat Rate'!$B$1:$G$34,6,FALSE)*($G4976),""),"")</f>
        <v>30078502479276.332</v>
      </c>
      <c r="I4976" t="str">
        <f>IFERROR(VLOOKUP($E4976,'Fuel Category and Heat Rate'!$K$2:$M$36,3,FALSE),"")</f>
        <v>heat</v>
      </c>
    </row>
    <row r="4977" spans="1:9" x14ac:dyDescent="0.15">
      <c r="A4977" s="2">
        <v>58051</v>
      </c>
      <c r="B4977" s="2" t="s">
        <v>68</v>
      </c>
      <c r="C4977" s="2">
        <v>2020</v>
      </c>
      <c r="D4977" s="2" t="s">
        <v>185</v>
      </c>
      <c r="E4977" s="2" t="s">
        <v>31</v>
      </c>
      <c r="F4977" s="2" t="s">
        <v>37</v>
      </c>
      <c r="G4977" s="7">
        <v>2771.89</v>
      </c>
      <c r="H4977" s="13">
        <f>IFERROR(IF(ABS($G4977)&gt;0,VLOOKUP($E4977,'Fuel Category and Heat Rate'!$B$1:$G$34,6,FALSE)*($G4977),""),"")</f>
        <v>26272448041494.676</v>
      </c>
      <c r="I4977" t="str">
        <f>IFERROR(VLOOKUP($E4977,'Fuel Category and Heat Rate'!$K$2:$M$36,3,FALSE),"")</f>
        <v>heat</v>
      </c>
    </row>
    <row r="4978" spans="1:9" x14ac:dyDescent="0.15">
      <c r="A4978" s="2">
        <v>59171</v>
      </c>
      <c r="B4978" s="2" t="s">
        <v>68</v>
      </c>
      <c r="C4978" s="2">
        <v>2019</v>
      </c>
      <c r="D4978" s="2" t="s">
        <v>185</v>
      </c>
      <c r="E4978" s="2" t="s">
        <v>31</v>
      </c>
      <c r="F4978" s="2" t="s">
        <v>37</v>
      </c>
      <c r="G4978" s="7">
        <v>2319.23</v>
      </c>
      <c r="H4978" s="13">
        <f>IFERROR(IF(ABS($G4978)&gt;0,VLOOKUP($E4978,'Fuel Category and Heat Rate'!$B$1:$G$34,6,FALSE)*($G4978),""),"")</f>
        <v>21982059054030.176</v>
      </c>
      <c r="I4978" t="str">
        <f>IFERROR(VLOOKUP($E4978,'Fuel Category and Heat Rate'!$K$2:$M$36,3,FALSE),"")</f>
        <v>heat</v>
      </c>
    </row>
    <row r="4979" spans="1:9" x14ac:dyDescent="0.15">
      <c r="A4979" s="2">
        <v>60291</v>
      </c>
      <c r="B4979" s="2" t="s">
        <v>68</v>
      </c>
      <c r="C4979" s="2">
        <v>2018</v>
      </c>
      <c r="D4979" s="2" t="s">
        <v>185</v>
      </c>
      <c r="E4979" s="2" t="s">
        <v>31</v>
      </c>
      <c r="F4979" s="2" t="s">
        <v>37</v>
      </c>
      <c r="G4979" s="7">
        <v>2286.2600000000002</v>
      </c>
      <c r="H4979" s="13">
        <f>IFERROR(IF(ABS($G4979)&gt;0,VLOOKUP($E4979,'Fuel Category and Heat Rate'!$B$1:$G$34,6,FALSE)*($G4979),""),"")</f>
        <v>21669563748686.863</v>
      </c>
      <c r="I4979" t="str">
        <f>IFERROR(VLOOKUP($E4979,'Fuel Category and Heat Rate'!$K$2:$M$36,3,FALSE),"")</f>
        <v>heat</v>
      </c>
    </row>
    <row r="4980" spans="1:9" x14ac:dyDescent="0.15">
      <c r="A4980" s="2">
        <v>74221</v>
      </c>
      <c r="B4980" s="2" t="s">
        <v>69</v>
      </c>
      <c r="C4980" s="2">
        <v>2022</v>
      </c>
      <c r="D4980" s="2" t="s">
        <v>185</v>
      </c>
      <c r="E4980" s="2" t="s">
        <v>31</v>
      </c>
      <c r="F4980" s="2" t="s">
        <v>37</v>
      </c>
      <c r="G4980" s="7">
        <v>8934.75</v>
      </c>
      <c r="H4980" s="13">
        <f>IFERROR(IF(ABS($G4980)&gt;0,VLOOKUP($E4980,'Fuel Category and Heat Rate'!$B$1:$G$34,6,FALSE)*($G4980),""),"")</f>
        <v>84685090367490.969</v>
      </c>
      <c r="I4980" t="str">
        <f>IFERROR(VLOOKUP($E4980,'Fuel Category and Heat Rate'!$K$2:$M$36,3,FALSE),"")</f>
        <v>heat</v>
      </c>
    </row>
    <row r="4981" spans="1:9" x14ac:dyDescent="0.15">
      <c r="A4981" s="2">
        <v>75341</v>
      </c>
      <c r="B4981" s="2" t="s">
        <v>69</v>
      </c>
      <c r="C4981" s="2">
        <v>2021</v>
      </c>
      <c r="D4981" s="2" t="s">
        <v>185</v>
      </c>
      <c r="E4981" s="2" t="s">
        <v>31</v>
      </c>
      <c r="F4981" s="2" t="s">
        <v>37</v>
      </c>
      <c r="G4981" s="7">
        <v>7912.9</v>
      </c>
      <c r="H4981" s="13">
        <f>IFERROR(IF(ABS($G4981)&gt;0,VLOOKUP($E4981,'Fuel Category and Heat Rate'!$B$1:$G$34,6,FALSE)*($G4981),""),"")</f>
        <v>74999821099518.094</v>
      </c>
      <c r="I4981" t="str">
        <f>IFERROR(VLOOKUP($E4981,'Fuel Category and Heat Rate'!$K$2:$M$36,3,FALSE),"")</f>
        <v>heat</v>
      </c>
    </row>
    <row r="4982" spans="1:9" x14ac:dyDescent="0.15">
      <c r="A4982" s="2">
        <v>76461</v>
      </c>
      <c r="B4982" s="2" t="s">
        <v>69</v>
      </c>
      <c r="C4982" s="2">
        <v>2020</v>
      </c>
      <c r="D4982" s="2" t="s">
        <v>185</v>
      </c>
      <c r="E4982" s="2" t="s">
        <v>31</v>
      </c>
      <c r="F4982" s="2" t="s">
        <v>37</v>
      </c>
      <c r="G4982" s="7">
        <v>6155.93</v>
      </c>
      <c r="H4982" s="13">
        <f>IFERROR(IF(ABS($G4982)&gt;0,VLOOKUP($E4982,'Fuel Category and Heat Rate'!$B$1:$G$34,6,FALSE)*($G4982),""),"")</f>
        <v>58346958599395.477</v>
      </c>
      <c r="I4982" t="str">
        <f>IFERROR(VLOOKUP($E4982,'Fuel Category and Heat Rate'!$K$2:$M$36,3,FALSE),"")</f>
        <v>heat</v>
      </c>
    </row>
    <row r="4983" spans="1:9" x14ac:dyDescent="0.15">
      <c r="A4983" s="2">
        <v>77581</v>
      </c>
      <c r="B4983" s="2" t="s">
        <v>69</v>
      </c>
      <c r="C4983" s="2">
        <v>2019</v>
      </c>
      <c r="D4983" s="2" t="s">
        <v>185</v>
      </c>
      <c r="E4983" s="2" t="s">
        <v>31</v>
      </c>
      <c r="F4983" s="2" t="s">
        <v>37</v>
      </c>
      <c r="G4983" s="7">
        <v>5234.1400000000003</v>
      </c>
      <c r="H4983" s="13">
        <f>IFERROR(IF(ABS($G4983)&gt;0,VLOOKUP($E4983,'Fuel Category and Heat Rate'!$B$1:$G$34,6,FALSE)*($G4983),""),"")</f>
        <v>49610075144363.219</v>
      </c>
      <c r="I4983" t="str">
        <f>IFERROR(VLOOKUP($E4983,'Fuel Category and Heat Rate'!$K$2:$M$36,3,FALSE),"")</f>
        <v>heat</v>
      </c>
    </row>
    <row r="4984" spans="1:9" x14ac:dyDescent="0.15">
      <c r="A4984" s="2">
        <v>78701</v>
      </c>
      <c r="B4984" s="2" t="s">
        <v>69</v>
      </c>
      <c r="C4984" s="2">
        <v>2018</v>
      </c>
      <c r="D4984" s="2" t="s">
        <v>185</v>
      </c>
      <c r="E4984" s="2" t="s">
        <v>31</v>
      </c>
      <c r="F4984" s="2" t="s">
        <v>37</v>
      </c>
      <c r="G4984" s="7">
        <v>4661.72</v>
      </c>
      <c r="H4984" s="13">
        <f>IFERROR(IF(ABS($G4984)&gt;0,VLOOKUP($E4984,'Fuel Category and Heat Rate'!$B$1:$G$34,6,FALSE)*($G4984),""),"")</f>
        <v>44184580370792.695</v>
      </c>
      <c r="I4984" t="str">
        <f>IFERROR(VLOOKUP($E4984,'Fuel Category and Heat Rate'!$K$2:$M$36,3,FALSE),"")</f>
        <v>heat</v>
      </c>
    </row>
    <row r="4985" spans="1:9" x14ac:dyDescent="0.15">
      <c r="A4985" s="2">
        <v>92631</v>
      </c>
      <c r="B4985" s="2" t="s">
        <v>70</v>
      </c>
      <c r="C4985" s="2">
        <v>2022</v>
      </c>
      <c r="D4985" s="2" t="s">
        <v>185</v>
      </c>
      <c r="E4985" s="2" t="s">
        <v>31</v>
      </c>
      <c r="F4985" s="2" t="s">
        <v>37</v>
      </c>
      <c r="G4985" s="7">
        <v>11138.1</v>
      </c>
      <c r="H4985" s="13">
        <f>IFERROR(IF(ABS($G4985)&gt;0,VLOOKUP($E4985,'Fuel Category and Heat Rate'!$B$1:$G$34,6,FALSE)*($G4985),""),"")</f>
        <v>105568818939774.63</v>
      </c>
      <c r="I4985" t="str">
        <f>IFERROR(VLOOKUP($E4985,'Fuel Category and Heat Rate'!$K$2:$M$36,3,FALSE),"")</f>
        <v>heat</v>
      </c>
    </row>
    <row r="4986" spans="1:9" x14ac:dyDescent="0.15">
      <c r="A4986" s="2">
        <v>93751</v>
      </c>
      <c r="B4986" s="2" t="s">
        <v>70</v>
      </c>
      <c r="C4986" s="2">
        <v>2021</v>
      </c>
      <c r="D4986" s="2" t="s">
        <v>185</v>
      </c>
      <c r="E4986" s="2" t="s">
        <v>31</v>
      </c>
      <c r="F4986" s="2" t="s">
        <v>37</v>
      </c>
      <c r="G4986" s="7">
        <v>8091.18</v>
      </c>
      <c r="H4986" s="13">
        <f>IFERROR(IF(ABS($G4986)&gt;0,VLOOKUP($E4986,'Fuel Category and Heat Rate'!$B$1:$G$34,6,FALSE)*($G4986),""),"")</f>
        <v>76689589465808.859</v>
      </c>
      <c r="I4986" t="str">
        <f>IFERROR(VLOOKUP($E4986,'Fuel Category and Heat Rate'!$K$2:$M$36,3,FALSE),"")</f>
        <v>heat</v>
      </c>
    </row>
    <row r="4987" spans="1:9" x14ac:dyDescent="0.15">
      <c r="A4987" s="2">
        <v>94871</v>
      </c>
      <c r="B4987" s="2" t="s">
        <v>70</v>
      </c>
      <c r="C4987" s="2">
        <v>2020</v>
      </c>
      <c r="D4987" s="2" t="s">
        <v>185</v>
      </c>
      <c r="E4987" s="2" t="s">
        <v>31</v>
      </c>
      <c r="F4987" s="2" t="s">
        <v>37</v>
      </c>
      <c r="G4987" s="7">
        <v>8365.6200000000008</v>
      </c>
      <c r="H4987" s="13">
        <f>IFERROR(IF(ABS($G4987)&gt;0,VLOOKUP($E4987,'Fuel Category and Heat Rate'!$B$1:$G$34,6,FALSE)*($G4987),""),"")</f>
        <v>79290778777256.203</v>
      </c>
      <c r="I4987" t="str">
        <f>IFERROR(VLOOKUP($E4987,'Fuel Category and Heat Rate'!$K$2:$M$36,3,FALSE),"")</f>
        <v>heat</v>
      </c>
    </row>
    <row r="4988" spans="1:9" x14ac:dyDescent="0.15">
      <c r="A4988" s="2">
        <v>95991</v>
      </c>
      <c r="B4988" s="2" t="s">
        <v>70</v>
      </c>
      <c r="C4988" s="2">
        <v>2019</v>
      </c>
      <c r="D4988" s="2" t="s">
        <v>185</v>
      </c>
      <c r="E4988" s="2" t="s">
        <v>31</v>
      </c>
      <c r="F4988" s="2" t="s">
        <v>37</v>
      </c>
      <c r="G4988" s="7">
        <v>6672.1</v>
      </c>
      <c r="H4988" s="13">
        <f>IFERROR(IF(ABS($G4988)&gt;0,VLOOKUP($E4988,'Fuel Category and Heat Rate'!$B$1:$G$34,6,FALSE)*($G4988),""),"")</f>
        <v>63239306241465.805</v>
      </c>
      <c r="I4988" t="str">
        <f>IFERROR(VLOOKUP($E4988,'Fuel Category and Heat Rate'!$K$2:$M$36,3,FALSE),"")</f>
        <v>heat</v>
      </c>
    </row>
    <row r="4989" spans="1:9" x14ac:dyDescent="0.15">
      <c r="A4989" s="2">
        <v>97111</v>
      </c>
      <c r="B4989" s="2" t="s">
        <v>70</v>
      </c>
      <c r="C4989" s="2">
        <v>2018</v>
      </c>
      <c r="D4989" s="2" t="s">
        <v>185</v>
      </c>
      <c r="E4989" s="2" t="s">
        <v>31</v>
      </c>
      <c r="F4989" s="2" t="s">
        <v>37</v>
      </c>
      <c r="G4989" s="7">
        <v>4808.09</v>
      </c>
      <c r="H4989" s="13">
        <f>IFERROR(IF(ABS($G4989)&gt;0,VLOOKUP($E4989,'Fuel Category and Heat Rate'!$B$1:$G$34,6,FALSE)*($G4989),""),"")</f>
        <v>45571900293240.406</v>
      </c>
      <c r="I4989" t="str">
        <f>IFERROR(VLOOKUP($E4989,'Fuel Category and Heat Rate'!$K$2:$M$36,3,FALSE),"")</f>
        <v>heat</v>
      </c>
    </row>
    <row r="4990" spans="1:9" x14ac:dyDescent="0.15">
      <c r="A4990" s="2">
        <v>111041</v>
      </c>
      <c r="B4990" s="2" t="s">
        <v>71</v>
      </c>
      <c r="C4990" s="2">
        <v>2022</v>
      </c>
      <c r="D4990" s="2" t="s">
        <v>185</v>
      </c>
      <c r="E4990" s="2" t="s">
        <v>31</v>
      </c>
      <c r="F4990" s="2" t="s">
        <v>37</v>
      </c>
      <c r="G4990" s="7">
        <v>4056.62</v>
      </c>
      <c r="H4990" s="13">
        <f>IFERROR(IF(ABS($G4990)&gt;0,VLOOKUP($E4990,'Fuel Category and Heat Rate'!$B$1:$G$34,6,FALSE)*($G4990),""),"")</f>
        <v>38449338961534.594</v>
      </c>
      <c r="I4990" t="str">
        <f>IFERROR(VLOOKUP($E4990,'Fuel Category and Heat Rate'!$K$2:$M$36,3,FALSE),"")</f>
        <v>heat</v>
      </c>
    </row>
    <row r="4991" spans="1:9" x14ac:dyDescent="0.15">
      <c r="A4991" s="2">
        <v>112161</v>
      </c>
      <c r="B4991" s="2" t="s">
        <v>71</v>
      </c>
      <c r="C4991" s="2">
        <v>2021</v>
      </c>
      <c r="D4991" s="2" t="s">
        <v>185</v>
      </c>
      <c r="E4991" s="2" t="s">
        <v>31</v>
      </c>
      <c r="F4991" s="2" t="s">
        <v>37</v>
      </c>
      <c r="G4991" s="7">
        <v>5056.1099999999997</v>
      </c>
      <c r="H4991" s="13">
        <f>IFERROR(IF(ABS($G4991)&gt;0,VLOOKUP($E4991,'Fuel Category and Heat Rate'!$B$1:$G$34,6,FALSE)*($G4991),""),"")</f>
        <v>47922676320879.125</v>
      </c>
      <c r="I4991" t="str">
        <f>IFERROR(VLOOKUP($E4991,'Fuel Category and Heat Rate'!$K$2:$M$36,3,FALSE),"")</f>
        <v>heat</v>
      </c>
    </row>
    <row r="4992" spans="1:9" x14ac:dyDescent="0.15">
      <c r="A4992" s="2">
        <v>113281</v>
      </c>
      <c r="B4992" s="2" t="s">
        <v>71</v>
      </c>
      <c r="C4992" s="2">
        <v>2020</v>
      </c>
      <c r="D4992" s="2" t="s">
        <v>185</v>
      </c>
      <c r="E4992" s="2" t="s">
        <v>31</v>
      </c>
      <c r="F4992" s="2" t="s">
        <v>37</v>
      </c>
      <c r="G4992" s="7">
        <v>5337.85</v>
      </c>
      <c r="H4992" s="13">
        <f>IFERROR(IF(ABS($G4992)&gt;0,VLOOKUP($E4992,'Fuel Category and Heat Rate'!$B$1:$G$34,6,FALSE)*($G4992),""),"")</f>
        <v>50593056282281.18</v>
      </c>
      <c r="I4992" t="str">
        <f>IFERROR(VLOOKUP($E4992,'Fuel Category and Heat Rate'!$K$2:$M$36,3,FALSE),"")</f>
        <v>heat</v>
      </c>
    </row>
    <row r="4993" spans="1:9" x14ac:dyDescent="0.15">
      <c r="A4993" s="2">
        <v>114401</v>
      </c>
      <c r="B4993" s="2" t="s">
        <v>71</v>
      </c>
      <c r="C4993" s="2">
        <v>2019</v>
      </c>
      <c r="D4993" s="2" t="s">
        <v>185</v>
      </c>
      <c r="E4993" s="2" t="s">
        <v>31</v>
      </c>
      <c r="F4993" s="2" t="s">
        <v>37</v>
      </c>
      <c r="G4993" s="7">
        <v>5192.46</v>
      </c>
      <c r="H4993" s="13">
        <f>IFERROR(IF(ABS($G4993)&gt;0,VLOOKUP($E4993,'Fuel Category and Heat Rate'!$B$1:$G$34,6,FALSE)*($G4993),""),"")</f>
        <v>49215024967635.602</v>
      </c>
      <c r="I4993" t="str">
        <f>IFERROR(VLOOKUP($E4993,'Fuel Category and Heat Rate'!$K$2:$M$36,3,FALSE),"")</f>
        <v>heat</v>
      </c>
    </row>
    <row r="4994" spans="1:9" x14ac:dyDescent="0.15">
      <c r="A4994" s="2">
        <v>115521</v>
      </c>
      <c r="B4994" s="2" t="s">
        <v>71</v>
      </c>
      <c r="C4994" s="2">
        <v>2018</v>
      </c>
      <c r="D4994" s="2" t="s">
        <v>185</v>
      </c>
      <c r="E4994" s="2" t="s">
        <v>31</v>
      </c>
      <c r="F4994" s="2" t="s">
        <v>37</v>
      </c>
      <c r="G4994" s="7">
        <v>4563.93</v>
      </c>
      <c r="H4994" s="13">
        <f>IFERROR(IF(ABS($G4994)&gt;0,VLOOKUP($E4994,'Fuel Category and Heat Rate'!$B$1:$G$34,6,FALSE)*($G4994),""),"")</f>
        <v>43257710006536.625</v>
      </c>
      <c r="I4994" t="str">
        <f>IFERROR(VLOOKUP($E4994,'Fuel Category and Heat Rate'!$K$2:$M$36,3,FALSE),"")</f>
        <v>heat</v>
      </c>
    </row>
    <row r="4995" spans="1:9" x14ac:dyDescent="0.15">
      <c r="A4995" s="2">
        <v>129451</v>
      </c>
      <c r="B4995" s="2" t="s">
        <v>72</v>
      </c>
      <c r="C4995" s="2">
        <v>2022</v>
      </c>
      <c r="D4995" s="2" t="s">
        <v>185</v>
      </c>
      <c r="E4995" s="2" t="s">
        <v>31</v>
      </c>
      <c r="F4995" s="2" t="s">
        <v>37</v>
      </c>
      <c r="G4995" s="7">
        <v>1079.3699999999999</v>
      </c>
      <c r="H4995" s="13">
        <f>IFERROR(IF(ABS($G4995)&gt;0,VLOOKUP($E4995,'Fuel Category and Heat Rate'!$B$1:$G$34,6,FALSE)*($G4995),""),"")</f>
        <v>10230453676930.941</v>
      </c>
      <c r="I4995" t="str">
        <f>IFERROR(VLOOKUP($E4995,'Fuel Category and Heat Rate'!$K$2:$M$36,3,FALSE),"")</f>
        <v>heat</v>
      </c>
    </row>
    <row r="4996" spans="1:9" x14ac:dyDescent="0.15">
      <c r="A4996" s="2">
        <v>130571</v>
      </c>
      <c r="B4996" s="2" t="s">
        <v>72</v>
      </c>
      <c r="C4996" s="2">
        <v>2021</v>
      </c>
      <c r="D4996" s="2" t="s">
        <v>185</v>
      </c>
      <c r="E4996" s="2" t="s">
        <v>31</v>
      </c>
      <c r="F4996" s="2" t="s">
        <v>37</v>
      </c>
      <c r="G4996" s="7">
        <v>1362.11</v>
      </c>
      <c r="H4996" s="13">
        <f>IFERROR(IF(ABS($G4996)&gt;0,VLOOKUP($E4996,'Fuel Category and Heat Rate'!$B$1:$G$34,6,FALSE)*($G4996),""),"")</f>
        <v>12910311809559.654</v>
      </c>
      <c r="I4996" t="str">
        <f>IFERROR(VLOOKUP($E4996,'Fuel Category and Heat Rate'!$K$2:$M$36,3,FALSE),"")</f>
        <v>heat</v>
      </c>
    </row>
    <row r="4997" spans="1:9" x14ac:dyDescent="0.15">
      <c r="A4997" s="2">
        <v>131691</v>
      </c>
      <c r="B4997" s="2" t="s">
        <v>72</v>
      </c>
      <c r="C4997" s="2">
        <v>2020</v>
      </c>
      <c r="D4997" s="2" t="s">
        <v>185</v>
      </c>
      <c r="E4997" s="2" t="s">
        <v>31</v>
      </c>
      <c r="F4997" s="2" t="s">
        <v>37</v>
      </c>
      <c r="G4997" s="7">
        <v>1080.6600000000001</v>
      </c>
      <c r="H4997" s="13">
        <f>IFERROR(IF(ABS($G4997)&gt;0,VLOOKUP($E4997,'Fuel Category and Heat Rate'!$B$1:$G$34,6,FALSE)*($G4997),""),"")</f>
        <v>10242680517813.348</v>
      </c>
      <c r="I4997" t="str">
        <f>IFERROR(VLOOKUP($E4997,'Fuel Category and Heat Rate'!$K$2:$M$36,3,FALSE),"")</f>
        <v>heat</v>
      </c>
    </row>
    <row r="4998" spans="1:9" x14ac:dyDescent="0.15">
      <c r="A4998" s="2">
        <v>132811</v>
      </c>
      <c r="B4998" s="2" t="s">
        <v>72</v>
      </c>
      <c r="C4998" s="2">
        <v>2019</v>
      </c>
      <c r="D4998" s="2" t="s">
        <v>185</v>
      </c>
      <c r="E4998" s="2" t="s">
        <v>31</v>
      </c>
      <c r="F4998" s="2" t="s">
        <v>37</v>
      </c>
      <c r="G4998" s="7">
        <v>1139.55</v>
      </c>
      <c r="H4998" s="13">
        <f>IFERROR(IF(ABS($G4998)&gt;0,VLOOKUP($E4998,'Fuel Category and Heat Rate'!$B$1:$G$34,6,FALSE)*($G4998),""),"")</f>
        <v>10800850021351.951</v>
      </c>
      <c r="I4998" t="str">
        <f>IFERROR(VLOOKUP($E4998,'Fuel Category and Heat Rate'!$K$2:$M$36,3,FALSE),"")</f>
        <v>heat</v>
      </c>
    </row>
    <row r="4999" spans="1:9" x14ac:dyDescent="0.15">
      <c r="A4999" s="2">
        <v>133931</v>
      </c>
      <c r="B4999" s="2" t="s">
        <v>72</v>
      </c>
      <c r="C4999" s="2">
        <v>2018</v>
      </c>
      <c r="D4999" s="2" t="s">
        <v>185</v>
      </c>
      <c r="E4999" s="2" t="s">
        <v>31</v>
      </c>
      <c r="F4999" s="2" t="s">
        <v>37</v>
      </c>
      <c r="G4999" s="7">
        <v>806.33</v>
      </c>
      <c r="H4999" s="13">
        <f>IFERROR(IF(ABS($G4999)&gt;0,VLOOKUP($E4999,'Fuel Category and Heat Rate'!$B$1:$G$34,6,FALSE)*($G4999),""),"")</f>
        <v>7642533805200.9297</v>
      </c>
      <c r="I4999" t="str">
        <f>IFERROR(VLOOKUP($E4999,'Fuel Category and Heat Rate'!$K$2:$M$36,3,FALSE),"")</f>
        <v>heat</v>
      </c>
    </row>
    <row r="5000" spans="1:9" x14ac:dyDescent="0.15">
      <c r="A5000" s="2">
        <v>147861</v>
      </c>
      <c r="B5000" s="2" t="s">
        <v>73</v>
      </c>
      <c r="C5000" s="2">
        <v>2022</v>
      </c>
      <c r="D5000" s="2" t="s">
        <v>185</v>
      </c>
      <c r="E5000" s="2" t="s">
        <v>31</v>
      </c>
      <c r="F5000" s="2" t="s">
        <v>37</v>
      </c>
      <c r="G5000" s="7">
        <v>24960.22</v>
      </c>
      <c r="H5000" s="13">
        <f>IFERROR(IF(ABS($G5000)&gt;0,VLOOKUP($E5000,'Fuel Category and Heat Rate'!$B$1:$G$34,6,FALSE)*($G5000),""),"")</f>
        <v>236577239015356.41</v>
      </c>
      <c r="I5000" t="str">
        <f>IFERROR(VLOOKUP($E5000,'Fuel Category and Heat Rate'!$K$2:$M$36,3,FALSE),"")</f>
        <v>heat</v>
      </c>
    </row>
    <row r="5001" spans="1:9" x14ac:dyDescent="0.15">
      <c r="A5001" s="2">
        <v>148981</v>
      </c>
      <c r="B5001" s="2" t="s">
        <v>73</v>
      </c>
      <c r="C5001" s="2">
        <v>2021</v>
      </c>
      <c r="D5001" s="2" t="s">
        <v>185</v>
      </c>
      <c r="E5001" s="2" t="s">
        <v>31</v>
      </c>
      <c r="F5001" s="2" t="s">
        <v>37</v>
      </c>
      <c r="G5001" s="7">
        <v>21071.06</v>
      </c>
      <c r="H5001" s="13">
        <f>IFERROR(IF(ABS($G5001)&gt;0,VLOOKUP($E5001,'Fuel Category and Heat Rate'!$B$1:$G$34,6,FALSE)*($G5001),""),"")</f>
        <v>199715114607440</v>
      </c>
      <c r="I5001" t="str">
        <f>IFERROR(VLOOKUP($E5001,'Fuel Category and Heat Rate'!$K$2:$M$36,3,FALSE),"")</f>
        <v>heat</v>
      </c>
    </row>
    <row r="5002" spans="1:9" x14ac:dyDescent="0.15">
      <c r="A5002" s="2">
        <v>150101</v>
      </c>
      <c r="B5002" s="2" t="s">
        <v>73</v>
      </c>
      <c r="C5002" s="2">
        <v>2020</v>
      </c>
      <c r="D5002" s="2" t="s">
        <v>185</v>
      </c>
      <c r="E5002" s="2" t="s">
        <v>31</v>
      </c>
      <c r="F5002" s="2" t="s">
        <v>37</v>
      </c>
      <c r="G5002" s="7">
        <v>22083.53</v>
      </c>
      <c r="H5002" s="13">
        <f>IFERROR(IF(ABS($G5002)&gt;0,VLOOKUP($E5002,'Fuel Category and Heat Rate'!$B$1:$G$34,6,FALSE)*($G5002),""),"")</f>
        <v>209311478629306.69</v>
      </c>
      <c r="I5002" t="str">
        <f>IFERROR(VLOOKUP($E5002,'Fuel Category and Heat Rate'!$K$2:$M$36,3,FALSE),"")</f>
        <v>heat</v>
      </c>
    </row>
    <row r="5003" spans="1:9" x14ac:dyDescent="0.15">
      <c r="A5003" s="2">
        <v>151221</v>
      </c>
      <c r="B5003" s="2" t="s">
        <v>73</v>
      </c>
      <c r="C5003" s="2">
        <v>2019</v>
      </c>
      <c r="D5003" s="2" t="s">
        <v>185</v>
      </c>
      <c r="E5003" s="2" t="s">
        <v>31</v>
      </c>
      <c r="F5003" s="2" t="s">
        <v>37</v>
      </c>
      <c r="G5003" s="7">
        <v>17863.919999999998</v>
      </c>
      <c r="H5003" s="13">
        <f>IFERROR(IF(ABS($G5003)&gt;0,VLOOKUP($E5003,'Fuel Category and Heat Rate'!$B$1:$G$34,6,FALSE)*($G5003),""),"")</f>
        <v>169317292539537.13</v>
      </c>
      <c r="I5003" t="str">
        <f>IFERROR(VLOOKUP($E5003,'Fuel Category and Heat Rate'!$K$2:$M$36,3,FALSE),"")</f>
        <v>heat</v>
      </c>
    </row>
    <row r="5004" spans="1:9" x14ac:dyDescent="0.15">
      <c r="A5004" s="2">
        <v>152341</v>
      </c>
      <c r="B5004" s="2" t="s">
        <v>73</v>
      </c>
      <c r="C5004" s="2">
        <v>2018</v>
      </c>
      <c r="D5004" s="2" t="s">
        <v>185</v>
      </c>
      <c r="E5004" s="2" t="s">
        <v>31</v>
      </c>
      <c r="F5004" s="2" t="s">
        <v>37</v>
      </c>
      <c r="G5004" s="7">
        <v>45834.35</v>
      </c>
      <c r="H5004" s="13">
        <f>IFERROR(IF(ABS($G5004)&gt;0,VLOOKUP($E5004,'Fuel Category and Heat Rate'!$B$1:$G$34,6,FALSE)*($G5004),""),"")</f>
        <v>434425817363128.25</v>
      </c>
      <c r="I5004" t="str">
        <f>IFERROR(VLOOKUP($E5004,'Fuel Category and Heat Rate'!$K$2:$M$36,3,FALSE),"")</f>
        <v>heat</v>
      </c>
    </row>
    <row r="5005" spans="1:9" x14ac:dyDescent="0.15">
      <c r="A5005" s="2">
        <v>166271</v>
      </c>
      <c r="B5005" s="2" t="s">
        <v>74</v>
      </c>
      <c r="C5005" s="2">
        <v>2022</v>
      </c>
      <c r="D5005" s="2" t="s">
        <v>185</v>
      </c>
      <c r="E5005" s="2" t="s">
        <v>31</v>
      </c>
      <c r="F5005" s="2" t="s">
        <v>37</v>
      </c>
      <c r="G5005" s="7">
        <v>7116.89</v>
      </c>
      <c r="H5005" s="13">
        <f>IFERROR(IF(ABS($G5005)&gt;0,VLOOKUP($E5005,'Fuel Category and Heat Rate'!$B$1:$G$34,6,FALSE)*($G5005),""),"")</f>
        <v>67455102021376.406</v>
      </c>
      <c r="I5005" t="str">
        <f>IFERROR(VLOOKUP($E5005,'Fuel Category and Heat Rate'!$K$2:$M$36,3,FALSE),"")</f>
        <v>heat</v>
      </c>
    </row>
    <row r="5006" spans="1:9" x14ac:dyDescent="0.15">
      <c r="A5006" s="2">
        <v>167391</v>
      </c>
      <c r="B5006" s="2" t="s">
        <v>74</v>
      </c>
      <c r="C5006" s="2">
        <v>2021</v>
      </c>
      <c r="D5006" s="2" t="s">
        <v>185</v>
      </c>
      <c r="E5006" s="2" t="s">
        <v>31</v>
      </c>
      <c r="F5006" s="2" t="s">
        <v>37</v>
      </c>
      <c r="G5006" s="7">
        <v>5219.2299999999996</v>
      </c>
      <c r="H5006" s="13">
        <f>IFERROR(IF(ABS($G5006)&gt;0,VLOOKUP($E5006,'Fuel Category and Heat Rate'!$B$1:$G$34,6,FALSE)*($G5006),""),"")</f>
        <v>49468755611373.555</v>
      </c>
      <c r="I5006" t="str">
        <f>IFERROR(VLOOKUP($E5006,'Fuel Category and Heat Rate'!$K$2:$M$36,3,FALSE),"")</f>
        <v>heat</v>
      </c>
    </row>
    <row r="5007" spans="1:9" x14ac:dyDescent="0.15">
      <c r="A5007" s="2">
        <v>168511</v>
      </c>
      <c r="B5007" s="2" t="s">
        <v>74</v>
      </c>
      <c r="C5007" s="2">
        <v>2020</v>
      </c>
      <c r="D5007" s="2" t="s">
        <v>185</v>
      </c>
      <c r="E5007" s="2" t="s">
        <v>31</v>
      </c>
      <c r="F5007" s="2" t="s">
        <v>37</v>
      </c>
      <c r="G5007" s="7">
        <v>5489.92</v>
      </c>
      <c r="H5007" s="13">
        <f>IFERROR(IF(ABS($G5007)&gt;0,VLOOKUP($E5007,'Fuel Category and Heat Rate'!$B$1:$G$34,6,FALSE)*($G5007),""),"")</f>
        <v>52034401780720.898</v>
      </c>
      <c r="I5007" t="str">
        <f>IFERROR(VLOOKUP($E5007,'Fuel Category and Heat Rate'!$K$2:$M$36,3,FALSE),"")</f>
        <v>heat</v>
      </c>
    </row>
    <row r="5008" spans="1:9" x14ac:dyDescent="0.15">
      <c r="A5008" s="2">
        <v>169631</v>
      </c>
      <c r="B5008" s="2" t="s">
        <v>74</v>
      </c>
      <c r="C5008" s="2">
        <v>2019</v>
      </c>
      <c r="D5008" s="2" t="s">
        <v>185</v>
      </c>
      <c r="E5008" s="2" t="s">
        <v>31</v>
      </c>
      <c r="F5008" s="2" t="s">
        <v>37</v>
      </c>
      <c r="G5008" s="7">
        <v>5904.75</v>
      </c>
      <c r="H5008" s="13">
        <f>IFERROR(IF(ABS($G5008)&gt;0,VLOOKUP($E5008,'Fuel Category and Heat Rate'!$B$1:$G$34,6,FALSE)*($G5008),""),"")</f>
        <v>55966231550680.469</v>
      </c>
      <c r="I5008" t="str">
        <f>IFERROR(VLOOKUP($E5008,'Fuel Category and Heat Rate'!$K$2:$M$36,3,FALSE),"")</f>
        <v>heat</v>
      </c>
    </row>
    <row r="5009" spans="1:9" x14ac:dyDescent="0.15">
      <c r="A5009" s="2">
        <v>170751</v>
      </c>
      <c r="B5009" s="2" t="s">
        <v>74</v>
      </c>
      <c r="C5009" s="2">
        <v>2018</v>
      </c>
      <c r="D5009" s="2" t="s">
        <v>185</v>
      </c>
      <c r="E5009" s="2" t="s">
        <v>31</v>
      </c>
      <c r="F5009" s="2" t="s">
        <v>37</v>
      </c>
      <c r="G5009" s="7">
        <v>4369.5600000000004</v>
      </c>
      <c r="H5009" s="13">
        <f>IFERROR(IF(ABS($G5009)&gt;0,VLOOKUP($E5009,'Fuel Category and Heat Rate'!$B$1:$G$34,6,FALSE)*($G5009),""),"")</f>
        <v>41415437865208.75</v>
      </c>
      <c r="I5009" t="str">
        <f>IFERROR(VLOOKUP($E5009,'Fuel Category and Heat Rate'!$K$2:$M$36,3,FALSE),"")</f>
        <v>heat</v>
      </c>
    </row>
    <row r="5010" spans="1:9" x14ac:dyDescent="0.15">
      <c r="A5010" s="2">
        <v>184681</v>
      </c>
      <c r="B5010" s="2" t="s">
        <v>75</v>
      </c>
      <c r="C5010" s="2">
        <v>2022</v>
      </c>
      <c r="D5010" s="2" t="s">
        <v>185</v>
      </c>
      <c r="E5010" s="2" t="s">
        <v>31</v>
      </c>
      <c r="F5010" s="2" t="s">
        <v>37</v>
      </c>
      <c r="G5010" s="7">
        <v>2157.17</v>
      </c>
      <c r="H5010" s="13">
        <f>IFERROR(IF(ABS($G5010)&gt;0,VLOOKUP($E5010,'Fuel Category and Heat Rate'!$B$1:$G$34,6,FALSE)*($G5010),""),"")</f>
        <v>20446026625036.012</v>
      </c>
      <c r="I5010" t="str">
        <f>IFERROR(VLOOKUP($E5010,'Fuel Category and Heat Rate'!$K$2:$M$36,3,FALSE),"")</f>
        <v>heat</v>
      </c>
    </row>
    <row r="5011" spans="1:9" x14ac:dyDescent="0.15">
      <c r="A5011" s="2">
        <v>185801</v>
      </c>
      <c r="B5011" s="2" t="s">
        <v>75</v>
      </c>
      <c r="C5011" s="2">
        <v>2021</v>
      </c>
      <c r="D5011" s="2" t="s">
        <v>185</v>
      </c>
      <c r="E5011" s="2" t="s">
        <v>31</v>
      </c>
      <c r="F5011" s="2" t="s">
        <v>37</v>
      </c>
      <c r="G5011" s="7">
        <v>1531.51</v>
      </c>
      <c r="H5011" s="13">
        <f>IFERROR(IF(ABS($G5011)&gt;0,VLOOKUP($E5011,'Fuel Category and Heat Rate'!$B$1:$G$34,6,FALSE)*($G5011),""),"")</f>
        <v>14515914015357.576</v>
      </c>
      <c r="I5011" t="str">
        <f>IFERROR(VLOOKUP($E5011,'Fuel Category and Heat Rate'!$K$2:$M$36,3,FALSE),"")</f>
        <v>heat</v>
      </c>
    </row>
    <row r="5012" spans="1:9" x14ac:dyDescent="0.15">
      <c r="A5012" s="2">
        <v>186921</v>
      </c>
      <c r="B5012" s="2" t="s">
        <v>75</v>
      </c>
      <c r="C5012" s="2">
        <v>2020</v>
      </c>
      <c r="D5012" s="2" t="s">
        <v>185</v>
      </c>
      <c r="E5012" s="2" t="s">
        <v>31</v>
      </c>
      <c r="F5012" s="2" t="s">
        <v>37</v>
      </c>
      <c r="G5012" s="7">
        <v>55.93</v>
      </c>
      <c r="H5012" s="13">
        <f>IFERROR(IF(ABS($G5012)&gt;0,VLOOKUP($E5012,'Fuel Category and Heat Rate'!$B$1:$G$34,6,FALSE)*($G5012),""),"")</f>
        <v>530114116707.66058</v>
      </c>
      <c r="I5012" t="str">
        <f>IFERROR(VLOOKUP($E5012,'Fuel Category and Heat Rate'!$K$2:$M$36,3,FALSE),"")</f>
        <v>heat</v>
      </c>
    </row>
    <row r="5013" spans="1:9" x14ac:dyDescent="0.15">
      <c r="A5013" s="2">
        <v>189161</v>
      </c>
      <c r="B5013" s="2" t="s">
        <v>75</v>
      </c>
      <c r="C5013" s="2">
        <v>2018</v>
      </c>
      <c r="D5013" s="2" t="s">
        <v>185</v>
      </c>
      <c r="E5013" s="2" t="s">
        <v>31</v>
      </c>
      <c r="F5013" s="2" t="s">
        <v>37</v>
      </c>
      <c r="G5013" s="7">
        <v>455.84</v>
      </c>
      <c r="H5013" s="13">
        <f>IFERROR(IF(ABS($G5013)&gt;0,VLOOKUP($E5013,'Fuel Category and Heat Rate'!$B$1:$G$34,6,FALSE)*($G5013),""),"")</f>
        <v>4320529571965.3135</v>
      </c>
      <c r="I5013" t="str">
        <f>IFERROR(VLOOKUP($E5013,'Fuel Category and Heat Rate'!$K$2:$M$36,3,FALSE),"")</f>
        <v>heat</v>
      </c>
    </row>
    <row r="5014" spans="1:9" x14ac:dyDescent="0.15">
      <c r="A5014" s="2">
        <v>203091</v>
      </c>
      <c r="B5014" s="2" t="s">
        <v>76</v>
      </c>
      <c r="C5014" s="2">
        <v>2022</v>
      </c>
      <c r="D5014" s="2" t="s">
        <v>185</v>
      </c>
      <c r="E5014" s="2" t="s">
        <v>31</v>
      </c>
      <c r="F5014" s="2" t="s">
        <v>37</v>
      </c>
      <c r="G5014" s="7">
        <v>6358.41</v>
      </c>
      <c r="H5014" s="13">
        <f>IFERROR(IF(ABS($G5014)&gt;0,VLOOKUP($E5014,'Fuel Category and Heat Rate'!$B$1:$G$34,6,FALSE)*($G5014),""),"")</f>
        <v>60266098709371.641</v>
      </c>
      <c r="I5014" t="str">
        <f>IFERROR(VLOOKUP($E5014,'Fuel Category and Heat Rate'!$K$2:$M$36,3,FALSE),"")</f>
        <v>heat</v>
      </c>
    </row>
    <row r="5015" spans="1:9" x14ac:dyDescent="0.15">
      <c r="A5015" s="2">
        <v>204211</v>
      </c>
      <c r="B5015" s="2" t="s">
        <v>76</v>
      </c>
      <c r="C5015" s="2">
        <v>2021</v>
      </c>
      <c r="D5015" s="2" t="s">
        <v>185</v>
      </c>
      <c r="E5015" s="2" t="s">
        <v>31</v>
      </c>
      <c r="F5015" s="2" t="s">
        <v>37</v>
      </c>
      <c r="G5015" s="7">
        <v>3739.53</v>
      </c>
      <c r="H5015" s="13">
        <f>IFERROR(IF(ABS($G5015)&gt;0,VLOOKUP($E5015,'Fuel Category and Heat Rate'!$B$1:$G$34,6,FALSE)*($G5015),""),"")</f>
        <v>35443905647269.766</v>
      </c>
      <c r="I5015" t="str">
        <f>IFERROR(VLOOKUP($E5015,'Fuel Category and Heat Rate'!$K$2:$M$36,3,FALSE),"")</f>
        <v>heat</v>
      </c>
    </row>
    <row r="5016" spans="1:9" x14ac:dyDescent="0.15">
      <c r="A5016" s="2">
        <v>205331</v>
      </c>
      <c r="B5016" s="2" t="s">
        <v>76</v>
      </c>
      <c r="C5016" s="2">
        <v>2020</v>
      </c>
      <c r="D5016" s="2" t="s">
        <v>185</v>
      </c>
      <c r="E5016" s="2" t="s">
        <v>31</v>
      </c>
      <c r="F5016" s="2" t="s">
        <v>37</v>
      </c>
      <c r="G5016" s="7">
        <v>3739.53</v>
      </c>
      <c r="H5016" s="13">
        <f>IFERROR(IF(ABS($G5016)&gt;0,VLOOKUP($E5016,'Fuel Category and Heat Rate'!$B$1:$G$34,6,FALSE)*($G5016),""),"")</f>
        <v>35443905647269.766</v>
      </c>
      <c r="I5016" t="str">
        <f>IFERROR(VLOOKUP($E5016,'Fuel Category and Heat Rate'!$K$2:$M$36,3,FALSE),"")</f>
        <v>heat</v>
      </c>
    </row>
    <row r="5017" spans="1:9" x14ac:dyDescent="0.15">
      <c r="A5017" s="2">
        <v>206451</v>
      </c>
      <c r="B5017" s="2" t="s">
        <v>76</v>
      </c>
      <c r="C5017" s="2">
        <v>2019</v>
      </c>
      <c r="D5017" s="2" t="s">
        <v>185</v>
      </c>
      <c r="E5017" s="2" t="s">
        <v>31</v>
      </c>
      <c r="F5017" s="2" t="s">
        <v>37</v>
      </c>
      <c r="G5017" s="7">
        <v>3169.3</v>
      </c>
      <c r="H5017" s="13">
        <f>IFERROR(IF(ABS($G5017)&gt;0,VLOOKUP($E5017,'Fuel Category and Heat Rate'!$B$1:$G$34,6,FALSE)*($G5017),""),"")</f>
        <v>30039168068685.656</v>
      </c>
      <c r="I5017" t="str">
        <f>IFERROR(VLOOKUP($E5017,'Fuel Category and Heat Rate'!$K$2:$M$36,3,FALSE),"")</f>
        <v>heat</v>
      </c>
    </row>
    <row r="5018" spans="1:9" x14ac:dyDescent="0.15">
      <c r="A5018" s="2">
        <v>207571</v>
      </c>
      <c r="B5018" s="2" t="s">
        <v>76</v>
      </c>
      <c r="C5018" s="2">
        <v>2018</v>
      </c>
      <c r="D5018" s="2" t="s">
        <v>185</v>
      </c>
      <c r="E5018" s="2" t="s">
        <v>31</v>
      </c>
      <c r="F5018" s="2" t="s">
        <v>37</v>
      </c>
      <c r="G5018" s="7">
        <v>1559.56</v>
      </c>
      <c r="H5018" s="13">
        <f>IFERROR(IF(ABS($G5018)&gt;0,VLOOKUP($E5018,'Fuel Category and Heat Rate'!$B$1:$G$34,6,FALSE)*($G5018),""),"")</f>
        <v>14781776718265.674</v>
      </c>
      <c r="I5018" t="str">
        <f>IFERROR(VLOOKUP($E5018,'Fuel Category and Heat Rate'!$K$2:$M$36,3,FALSE),"")</f>
        <v>heat</v>
      </c>
    </row>
    <row r="5019" spans="1:9" x14ac:dyDescent="0.15">
      <c r="A5019" s="2">
        <v>221501</v>
      </c>
      <c r="B5019" s="2" t="s">
        <v>77</v>
      </c>
      <c r="C5019" s="2">
        <v>2022</v>
      </c>
      <c r="D5019" s="2" t="s">
        <v>185</v>
      </c>
      <c r="E5019" s="2" t="s">
        <v>31</v>
      </c>
      <c r="F5019" s="2" t="s">
        <v>37</v>
      </c>
      <c r="G5019" s="7">
        <v>4806.74</v>
      </c>
      <c r="H5019" s="13">
        <f>IFERROR(IF(ABS($G5019)&gt;0,VLOOKUP($E5019,'Fuel Category and Heat Rate'!$B$1:$G$34,6,FALSE)*($G5019),""),"")</f>
        <v>45559104762084.398</v>
      </c>
      <c r="I5019" t="str">
        <f>IFERROR(VLOOKUP($E5019,'Fuel Category and Heat Rate'!$K$2:$M$36,3,FALSE),"")</f>
        <v>heat</v>
      </c>
    </row>
    <row r="5020" spans="1:9" x14ac:dyDescent="0.15">
      <c r="A5020" s="2">
        <v>222621</v>
      </c>
      <c r="B5020" s="2" t="s">
        <v>77</v>
      </c>
      <c r="C5020" s="2">
        <v>2021</v>
      </c>
      <c r="D5020" s="2" t="s">
        <v>185</v>
      </c>
      <c r="E5020" s="2" t="s">
        <v>31</v>
      </c>
      <c r="F5020" s="2" t="s">
        <v>37</v>
      </c>
      <c r="G5020" s="7">
        <v>3780.8</v>
      </c>
      <c r="H5020" s="13">
        <f>IFERROR(IF(ABS($G5020)&gt;0,VLOOKUP($E5020,'Fuel Category and Heat Rate'!$B$1:$G$34,6,FALSE)*($G5020),""),"")</f>
        <v>35835069773794.445</v>
      </c>
      <c r="I5020" t="str">
        <f>IFERROR(VLOOKUP($E5020,'Fuel Category and Heat Rate'!$K$2:$M$36,3,FALSE),"")</f>
        <v>heat</v>
      </c>
    </row>
    <row r="5021" spans="1:9" x14ac:dyDescent="0.15">
      <c r="A5021" s="2">
        <v>223741</v>
      </c>
      <c r="B5021" s="2" t="s">
        <v>77</v>
      </c>
      <c r="C5021" s="2">
        <v>2020</v>
      </c>
      <c r="D5021" s="2" t="s">
        <v>185</v>
      </c>
      <c r="E5021" s="2" t="s">
        <v>31</v>
      </c>
      <c r="F5021" s="2" t="s">
        <v>37</v>
      </c>
      <c r="G5021" s="7">
        <v>3784.33</v>
      </c>
      <c r="H5021" s="13">
        <f>IFERROR(IF(ABS($G5021)&gt;0,VLOOKUP($E5021,'Fuel Category and Heat Rate'!$B$1:$G$34,6,FALSE)*($G5021),""),"")</f>
        <v>35868527718224.586</v>
      </c>
      <c r="I5021" t="str">
        <f>IFERROR(VLOOKUP($E5021,'Fuel Category and Heat Rate'!$K$2:$M$36,3,FALSE),"")</f>
        <v>heat</v>
      </c>
    </row>
    <row r="5022" spans="1:9" x14ac:dyDescent="0.15">
      <c r="A5022" s="2">
        <v>224861</v>
      </c>
      <c r="B5022" s="2" t="s">
        <v>77</v>
      </c>
      <c r="C5022" s="2">
        <v>2019</v>
      </c>
      <c r="D5022" s="2" t="s">
        <v>185</v>
      </c>
      <c r="E5022" s="2" t="s">
        <v>31</v>
      </c>
      <c r="F5022" s="2" t="s">
        <v>37</v>
      </c>
      <c r="G5022" s="7">
        <v>3520.36</v>
      </c>
      <c r="H5022" s="13">
        <f>IFERROR(IF(ABS($G5022)&gt;0,VLOOKUP($E5022,'Fuel Category and Heat Rate'!$B$1:$G$34,6,FALSE)*($G5022),""),"")</f>
        <v>33366574859520.473</v>
      </c>
      <c r="I5022" t="str">
        <f>IFERROR(VLOOKUP($E5022,'Fuel Category and Heat Rate'!$K$2:$M$36,3,FALSE),"")</f>
        <v>heat</v>
      </c>
    </row>
    <row r="5023" spans="1:9" x14ac:dyDescent="0.15">
      <c r="A5023" s="2">
        <v>225981</v>
      </c>
      <c r="B5023" s="2" t="s">
        <v>77</v>
      </c>
      <c r="C5023" s="2">
        <v>2018</v>
      </c>
      <c r="D5023" s="2" t="s">
        <v>185</v>
      </c>
      <c r="E5023" s="2" t="s">
        <v>31</v>
      </c>
      <c r="F5023" s="2" t="s">
        <v>37</v>
      </c>
      <c r="G5023" s="7">
        <v>3312.16</v>
      </c>
      <c r="H5023" s="13">
        <f>IFERROR(IF(ABS($G5023)&gt;0,VLOOKUP($E5023,'Fuel Category and Heat Rate'!$B$1:$G$34,6,FALSE)*($G5023),""),"")</f>
        <v>31393219610127.75</v>
      </c>
      <c r="I5023" t="str">
        <f>IFERROR(VLOOKUP($E5023,'Fuel Category and Heat Rate'!$K$2:$M$36,3,FALSE),"")</f>
        <v>heat</v>
      </c>
    </row>
    <row r="5024" spans="1:9" x14ac:dyDescent="0.15">
      <c r="A5024" s="2">
        <v>239911</v>
      </c>
      <c r="B5024" s="2" t="s">
        <v>78</v>
      </c>
      <c r="C5024" s="2">
        <v>2022</v>
      </c>
      <c r="D5024" s="2" t="s">
        <v>185</v>
      </c>
      <c r="E5024" s="2" t="s">
        <v>31</v>
      </c>
      <c r="F5024" s="2" t="s">
        <v>37</v>
      </c>
      <c r="G5024" s="7">
        <v>1224.99</v>
      </c>
      <c r="H5024" s="13">
        <f>IFERROR(IF(ABS($G5024)&gt;0,VLOOKUP($E5024,'Fuel Category and Heat Rate'!$B$1:$G$34,6,FALSE)*($G5024),""),"")</f>
        <v>11610664970958.646</v>
      </c>
      <c r="I5024" t="str">
        <f>IFERROR(VLOOKUP($E5024,'Fuel Category and Heat Rate'!$K$2:$M$36,3,FALSE),"")</f>
        <v>heat</v>
      </c>
    </row>
    <row r="5025" spans="1:9" x14ac:dyDescent="0.15">
      <c r="A5025" s="2">
        <v>241031</v>
      </c>
      <c r="B5025" s="2" t="s">
        <v>78</v>
      </c>
      <c r="C5025" s="2">
        <v>2021</v>
      </c>
      <c r="D5025" s="2" t="s">
        <v>185</v>
      </c>
      <c r="E5025" s="2" t="s">
        <v>31</v>
      </c>
      <c r="F5025" s="2" t="s">
        <v>37</v>
      </c>
      <c r="G5025" s="7">
        <v>1323.23</v>
      </c>
      <c r="H5025" s="13">
        <f>IFERROR(IF(ABS($G5025)&gt;0,VLOOKUP($E5025,'Fuel Category and Heat Rate'!$B$1:$G$34,6,FALSE)*($G5025),""),"")</f>
        <v>12541800512266.721</v>
      </c>
      <c r="I5025" t="str">
        <f>IFERROR(VLOOKUP($E5025,'Fuel Category and Heat Rate'!$K$2:$M$36,3,FALSE),"")</f>
        <v>heat</v>
      </c>
    </row>
    <row r="5026" spans="1:9" x14ac:dyDescent="0.15">
      <c r="A5026" s="2">
        <v>242151</v>
      </c>
      <c r="B5026" s="2" t="s">
        <v>78</v>
      </c>
      <c r="C5026" s="2">
        <v>2020</v>
      </c>
      <c r="D5026" s="2" t="s">
        <v>185</v>
      </c>
      <c r="E5026" s="2" t="s">
        <v>31</v>
      </c>
      <c r="F5026" s="2" t="s">
        <v>37</v>
      </c>
      <c r="G5026" s="7">
        <v>1358.4</v>
      </c>
      <c r="H5026" s="13">
        <f>IFERROR(IF(ABS($G5026)&gt;0,VLOOKUP($E5026,'Fuel Category and Heat Rate'!$B$1:$G$34,6,FALSE)*($G5026),""),"")</f>
        <v>12875147794308.711</v>
      </c>
      <c r="I5026" t="str">
        <f>IFERROR(VLOOKUP($E5026,'Fuel Category and Heat Rate'!$K$2:$M$36,3,FALSE),"")</f>
        <v>heat</v>
      </c>
    </row>
    <row r="5027" spans="1:9" x14ac:dyDescent="0.15">
      <c r="A5027" s="2">
        <v>243271</v>
      </c>
      <c r="B5027" s="2" t="s">
        <v>78</v>
      </c>
      <c r="C5027" s="2">
        <v>2019</v>
      </c>
      <c r="D5027" s="2" t="s">
        <v>185</v>
      </c>
      <c r="E5027" s="2" t="s">
        <v>31</v>
      </c>
      <c r="F5027" s="2" t="s">
        <v>37</v>
      </c>
      <c r="G5027" s="7">
        <v>1323.68</v>
      </c>
      <c r="H5027" s="13">
        <f>IFERROR(IF(ABS($G5027)&gt;0,VLOOKUP($E5027,'Fuel Category and Heat Rate'!$B$1:$G$34,6,FALSE)*($G5027),""),"")</f>
        <v>12546065689318.723</v>
      </c>
      <c r="I5027" t="str">
        <f>IFERROR(VLOOKUP($E5027,'Fuel Category and Heat Rate'!$K$2:$M$36,3,FALSE),"")</f>
        <v>heat</v>
      </c>
    </row>
    <row r="5028" spans="1:9" x14ac:dyDescent="0.15">
      <c r="A5028" s="2">
        <v>244391</v>
      </c>
      <c r="B5028" s="2" t="s">
        <v>78</v>
      </c>
      <c r="C5028" s="2">
        <v>2018</v>
      </c>
      <c r="D5028" s="2" t="s">
        <v>185</v>
      </c>
      <c r="E5028" s="2" t="s">
        <v>31</v>
      </c>
      <c r="F5028" s="2" t="s">
        <v>37</v>
      </c>
      <c r="G5028" s="7">
        <v>1412.1</v>
      </c>
      <c r="H5028" s="13">
        <f>IFERROR(IF(ABS($G5028)&gt;0,VLOOKUP($E5028,'Fuel Category and Heat Rate'!$B$1:$G$34,6,FALSE)*($G5028),""),"")</f>
        <v>13384125589180.895</v>
      </c>
      <c r="I5028" t="str">
        <f>IFERROR(VLOOKUP($E5028,'Fuel Category and Heat Rate'!$K$2:$M$36,3,FALSE),"")</f>
        <v>heat</v>
      </c>
    </row>
    <row r="5029" spans="1:9" x14ac:dyDescent="0.15">
      <c r="A5029" s="2">
        <v>258321</v>
      </c>
      <c r="B5029" s="2" t="s">
        <v>79</v>
      </c>
      <c r="C5029" s="2">
        <v>2022</v>
      </c>
      <c r="D5029" s="2" t="s">
        <v>185</v>
      </c>
      <c r="E5029" s="2" t="s">
        <v>31</v>
      </c>
      <c r="F5029" s="2" t="s">
        <v>37</v>
      </c>
      <c r="G5029" s="7">
        <v>15555.23</v>
      </c>
      <c r="H5029" s="13">
        <f>IFERROR(IF(ABS($G5029)&gt;0,VLOOKUP($E5029,'Fuel Category and Heat Rate'!$B$1:$G$34,6,FALSE)*($G5029),""),"")</f>
        <v>147435133410236.06</v>
      </c>
      <c r="I5029" t="str">
        <f>IFERROR(VLOOKUP($E5029,'Fuel Category and Heat Rate'!$K$2:$M$36,3,FALSE),"")</f>
        <v>heat</v>
      </c>
    </row>
    <row r="5030" spans="1:9" x14ac:dyDescent="0.15">
      <c r="A5030" s="2">
        <v>259441</v>
      </c>
      <c r="B5030" s="2" t="s">
        <v>79</v>
      </c>
      <c r="C5030" s="2">
        <v>2021</v>
      </c>
      <c r="D5030" s="2" t="s">
        <v>185</v>
      </c>
      <c r="E5030" s="2" t="s">
        <v>31</v>
      </c>
      <c r="F5030" s="2" t="s">
        <v>37</v>
      </c>
      <c r="G5030" s="7">
        <v>14638.41</v>
      </c>
      <c r="H5030" s="13">
        <f>IFERROR(IF(ABS($G5030)&gt;0,VLOOKUP($E5030,'Fuel Category and Heat Rate'!$B$1:$G$34,6,FALSE)*($G5030),""),"")</f>
        <v>138745356466200.34</v>
      </c>
      <c r="I5030" t="str">
        <f>IFERROR(VLOOKUP($E5030,'Fuel Category and Heat Rate'!$K$2:$M$36,3,FALSE),"")</f>
        <v>heat</v>
      </c>
    </row>
    <row r="5031" spans="1:9" x14ac:dyDescent="0.15">
      <c r="A5031" s="2">
        <v>260561</v>
      </c>
      <c r="B5031" s="2" t="s">
        <v>79</v>
      </c>
      <c r="C5031" s="2">
        <v>2020</v>
      </c>
      <c r="D5031" s="2" t="s">
        <v>185</v>
      </c>
      <c r="E5031" s="2" t="s">
        <v>31</v>
      </c>
      <c r="F5031" s="2" t="s">
        <v>37</v>
      </c>
      <c r="G5031" s="7">
        <v>13097.6</v>
      </c>
      <c r="H5031" s="13">
        <f>IFERROR(IF(ABS($G5031)&gt;0,VLOOKUP($E5031,'Fuel Category and Heat Rate'!$B$1:$G$34,6,FALSE)*($G5031),""),"")</f>
        <v>124141295458434.75</v>
      </c>
      <c r="I5031" t="str">
        <f>IFERROR(VLOOKUP($E5031,'Fuel Category and Heat Rate'!$K$2:$M$36,3,FALSE),"")</f>
        <v>heat</v>
      </c>
    </row>
    <row r="5032" spans="1:9" x14ac:dyDescent="0.15">
      <c r="A5032" s="2">
        <v>261681</v>
      </c>
      <c r="B5032" s="2" t="s">
        <v>79</v>
      </c>
      <c r="C5032" s="2">
        <v>2019</v>
      </c>
      <c r="D5032" s="2" t="s">
        <v>185</v>
      </c>
      <c r="E5032" s="2" t="s">
        <v>31</v>
      </c>
      <c r="F5032" s="2" t="s">
        <v>37</v>
      </c>
      <c r="G5032" s="7">
        <v>13159.85</v>
      </c>
      <c r="H5032" s="13">
        <f>IFERROR(IF(ABS($G5032)&gt;0,VLOOKUP($E5032,'Fuel Category and Heat Rate'!$B$1:$G$34,6,FALSE)*($G5032),""),"")</f>
        <v>124731311617294.97</v>
      </c>
      <c r="I5032" t="str">
        <f>IFERROR(VLOOKUP($E5032,'Fuel Category and Heat Rate'!$K$2:$M$36,3,FALSE),"")</f>
        <v>heat</v>
      </c>
    </row>
    <row r="5033" spans="1:9" x14ac:dyDescent="0.15">
      <c r="A5033" s="2">
        <v>262801</v>
      </c>
      <c r="B5033" s="2" t="s">
        <v>79</v>
      </c>
      <c r="C5033" s="2">
        <v>2018</v>
      </c>
      <c r="D5033" s="2" t="s">
        <v>185</v>
      </c>
      <c r="E5033" s="2" t="s">
        <v>31</v>
      </c>
      <c r="F5033" s="2" t="s">
        <v>37</v>
      </c>
      <c r="G5033" s="7">
        <v>12501.27</v>
      </c>
      <c r="H5033" s="13">
        <f>IFERROR(IF(ABS($G5033)&gt;0,VLOOKUP($E5033,'Fuel Category and Heat Rate'!$B$1:$G$34,6,FALSE)*($G5033),""),"")</f>
        <v>118489177610834.55</v>
      </c>
      <c r="I5033" t="str">
        <f>IFERROR(VLOOKUP($E5033,'Fuel Category and Heat Rate'!$K$2:$M$36,3,FALSE),"")</f>
        <v>heat</v>
      </c>
    </row>
    <row r="5034" spans="1:9" x14ac:dyDescent="0.15">
      <c r="A5034" s="2">
        <v>276731</v>
      </c>
      <c r="B5034" s="2" t="s">
        <v>80</v>
      </c>
      <c r="C5034" s="2">
        <v>2022</v>
      </c>
      <c r="D5034" s="2" t="s">
        <v>185</v>
      </c>
      <c r="E5034" s="2" t="s">
        <v>31</v>
      </c>
      <c r="F5034" s="2" t="s">
        <v>37</v>
      </c>
      <c r="G5034" s="7">
        <v>4385.3900000000003</v>
      </c>
      <c r="H5034" s="13">
        <f>IFERROR(IF(ABS($G5034)&gt;0,VLOOKUP($E5034,'Fuel Category and Heat Rate'!$B$1:$G$34,6,FALSE)*($G5034),""),"")</f>
        <v>41565477315726.938</v>
      </c>
      <c r="I5034" t="str">
        <f>IFERROR(VLOOKUP($E5034,'Fuel Category and Heat Rate'!$K$2:$M$36,3,FALSE),"")</f>
        <v>heat</v>
      </c>
    </row>
    <row r="5035" spans="1:9" x14ac:dyDescent="0.15">
      <c r="A5035" s="2">
        <v>277851</v>
      </c>
      <c r="B5035" s="2" t="s">
        <v>80</v>
      </c>
      <c r="C5035" s="2">
        <v>2021</v>
      </c>
      <c r="D5035" s="2" t="s">
        <v>185</v>
      </c>
      <c r="E5035" s="2" t="s">
        <v>31</v>
      </c>
      <c r="F5035" s="2" t="s">
        <v>37</v>
      </c>
      <c r="G5035" s="7">
        <v>4536.9799999999996</v>
      </c>
      <c r="H5035" s="13">
        <f>IFERROR(IF(ABS($G5035)&gt;0,VLOOKUP($E5035,'Fuel Category and Heat Rate'!$B$1:$G$34,6,FALSE)*($G5035),""),"")</f>
        <v>43002273291977.859</v>
      </c>
      <c r="I5035" t="str">
        <f>IFERROR(VLOOKUP($E5035,'Fuel Category and Heat Rate'!$K$2:$M$36,3,FALSE),"")</f>
        <v>heat</v>
      </c>
    </row>
    <row r="5036" spans="1:9" x14ac:dyDescent="0.15">
      <c r="A5036" s="2">
        <v>278971</v>
      </c>
      <c r="B5036" s="2" t="s">
        <v>80</v>
      </c>
      <c r="C5036" s="2">
        <v>2020</v>
      </c>
      <c r="D5036" s="2" t="s">
        <v>185</v>
      </c>
      <c r="E5036" s="2" t="s">
        <v>31</v>
      </c>
      <c r="F5036" s="2" t="s">
        <v>37</v>
      </c>
      <c r="G5036" s="7">
        <v>4228.88</v>
      </c>
      <c r="H5036" s="13">
        <f>IFERROR(IF(ABS($G5036)&gt;0,VLOOKUP($E5036,'Fuel Category and Heat Rate'!$B$1:$G$34,6,FALSE)*($G5036),""),"")</f>
        <v>40082048737040.797</v>
      </c>
      <c r="I5036" t="str">
        <f>IFERROR(VLOOKUP($E5036,'Fuel Category and Heat Rate'!$K$2:$M$36,3,FALSE),"")</f>
        <v>heat</v>
      </c>
    </row>
    <row r="5037" spans="1:9" x14ac:dyDescent="0.15">
      <c r="A5037" s="2">
        <v>280091</v>
      </c>
      <c r="B5037" s="2" t="s">
        <v>80</v>
      </c>
      <c r="C5037" s="2">
        <v>2019</v>
      </c>
      <c r="D5037" s="2" t="s">
        <v>185</v>
      </c>
      <c r="E5037" s="2" t="s">
        <v>31</v>
      </c>
      <c r="F5037" s="2" t="s">
        <v>37</v>
      </c>
      <c r="G5037" s="7">
        <v>4218.2</v>
      </c>
      <c r="H5037" s="13">
        <f>IFERROR(IF(ABS($G5037)&gt;0,VLOOKUP($E5037,'Fuel Category and Heat Rate'!$B$1:$G$34,6,FALSE)*($G5037),""),"")</f>
        <v>39980821868339.953</v>
      </c>
      <c r="I5037" t="str">
        <f>IFERROR(VLOOKUP($E5037,'Fuel Category and Heat Rate'!$K$2:$M$36,3,FALSE),"")</f>
        <v>heat</v>
      </c>
    </row>
    <row r="5038" spans="1:9" x14ac:dyDescent="0.15">
      <c r="A5038" s="2">
        <v>281211</v>
      </c>
      <c r="B5038" s="2" t="s">
        <v>80</v>
      </c>
      <c r="C5038" s="2">
        <v>2018</v>
      </c>
      <c r="D5038" s="2" t="s">
        <v>185</v>
      </c>
      <c r="E5038" s="2" t="s">
        <v>31</v>
      </c>
      <c r="F5038" s="2" t="s">
        <v>37</v>
      </c>
      <c r="G5038" s="7">
        <v>3969.09</v>
      </c>
      <c r="H5038" s="13">
        <f>IFERROR(IF(ABS($G5038)&gt;0,VLOOKUP($E5038,'Fuel Category and Heat Rate'!$B$1:$G$34,6,FALSE)*($G5038),""),"")</f>
        <v>37619714634064.164</v>
      </c>
      <c r="I5038" t="str">
        <f>IFERROR(VLOOKUP($E5038,'Fuel Category and Heat Rate'!$K$2:$M$36,3,FALSE),"")</f>
        <v>heat</v>
      </c>
    </row>
    <row r="5039" spans="1:9" x14ac:dyDescent="0.15">
      <c r="A5039" s="2">
        <v>295141</v>
      </c>
      <c r="B5039" s="2" t="s">
        <v>81</v>
      </c>
      <c r="C5039" s="2">
        <v>2022</v>
      </c>
      <c r="D5039" s="2" t="s">
        <v>185</v>
      </c>
      <c r="E5039" s="2" t="s">
        <v>31</v>
      </c>
      <c r="F5039" s="2" t="s">
        <v>37</v>
      </c>
      <c r="G5039" s="7">
        <v>15743.78</v>
      </c>
      <c r="H5039" s="13">
        <f>IFERROR(IF(ABS($G5039)&gt;0,VLOOKUP($E5039,'Fuel Category and Heat Rate'!$B$1:$G$34,6,FALSE)*($G5039),""),"")</f>
        <v>149222242595024.72</v>
      </c>
      <c r="I5039" t="str">
        <f>IFERROR(VLOOKUP($E5039,'Fuel Category and Heat Rate'!$K$2:$M$36,3,FALSE),"")</f>
        <v>heat</v>
      </c>
    </row>
    <row r="5040" spans="1:9" x14ac:dyDescent="0.15">
      <c r="A5040" s="2">
        <v>296261</v>
      </c>
      <c r="B5040" s="2" t="s">
        <v>81</v>
      </c>
      <c r="C5040" s="2">
        <v>2021</v>
      </c>
      <c r="D5040" s="2" t="s">
        <v>185</v>
      </c>
      <c r="E5040" s="2" t="s">
        <v>31</v>
      </c>
      <c r="F5040" s="2" t="s">
        <v>37</v>
      </c>
      <c r="G5040" s="7">
        <v>11838.83</v>
      </c>
      <c r="H5040" s="13">
        <f>IFERROR(IF(ABS($G5040)&gt;0,VLOOKUP($E5040,'Fuel Category and Heat Rate'!$B$1:$G$34,6,FALSE)*($G5040),""),"")</f>
        <v>112210457863439.17</v>
      </c>
      <c r="I5040" t="str">
        <f>IFERROR(VLOOKUP($E5040,'Fuel Category and Heat Rate'!$K$2:$M$36,3,FALSE),"")</f>
        <v>heat</v>
      </c>
    </row>
    <row r="5041" spans="1:9" x14ac:dyDescent="0.15">
      <c r="A5041" s="2">
        <v>297381</v>
      </c>
      <c r="B5041" s="2" t="s">
        <v>81</v>
      </c>
      <c r="C5041" s="2">
        <v>2020</v>
      </c>
      <c r="D5041" s="2" t="s">
        <v>185</v>
      </c>
      <c r="E5041" s="2" t="s">
        <v>31</v>
      </c>
      <c r="F5041" s="2" t="s">
        <v>37</v>
      </c>
      <c r="G5041" s="7">
        <v>11154.06</v>
      </c>
      <c r="H5041" s="13">
        <f>IFERROR(IF(ABS($G5041)&gt;0,VLOOKUP($E5041,'Fuel Category and Heat Rate'!$B$1:$G$34,6,FALSE)*($G5041),""),"")</f>
        <v>105720090552552.27</v>
      </c>
      <c r="I5041" t="str">
        <f>IFERROR(VLOOKUP($E5041,'Fuel Category and Heat Rate'!$K$2:$M$36,3,FALSE),"")</f>
        <v>heat</v>
      </c>
    </row>
    <row r="5042" spans="1:9" x14ac:dyDescent="0.15">
      <c r="A5042" s="2">
        <v>298501</v>
      </c>
      <c r="B5042" s="2" t="s">
        <v>81</v>
      </c>
      <c r="C5042" s="2">
        <v>2019</v>
      </c>
      <c r="D5042" s="2" t="s">
        <v>185</v>
      </c>
      <c r="E5042" s="2" t="s">
        <v>31</v>
      </c>
      <c r="F5042" s="2" t="s">
        <v>37</v>
      </c>
      <c r="G5042" s="7">
        <v>9673.15</v>
      </c>
      <c r="H5042" s="13">
        <f>IFERROR(IF(ABS($G5042)&gt;0,VLOOKUP($E5042,'Fuel Category and Heat Rate'!$B$1:$G$34,6,FALSE)*($G5042),""),"")</f>
        <v>91683772001264.203</v>
      </c>
      <c r="I5042" t="str">
        <f>IFERROR(VLOOKUP($E5042,'Fuel Category and Heat Rate'!$K$2:$M$36,3,FALSE),"")</f>
        <v>heat</v>
      </c>
    </row>
    <row r="5043" spans="1:9" x14ac:dyDescent="0.15">
      <c r="A5043" s="2">
        <v>299621</v>
      </c>
      <c r="B5043" s="2" t="s">
        <v>81</v>
      </c>
      <c r="C5043" s="2">
        <v>2018</v>
      </c>
      <c r="D5043" s="2" t="s">
        <v>185</v>
      </c>
      <c r="E5043" s="2" t="s">
        <v>31</v>
      </c>
      <c r="F5043" s="2" t="s">
        <v>37</v>
      </c>
      <c r="G5043" s="7">
        <v>8556.41</v>
      </c>
      <c r="H5043" s="13">
        <f>IFERROR(IF(ABS($G5043)&gt;0,VLOOKUP($E5043,'Fuel Category and Heat Rate'!$B$1:$G$34,6,FALSE)*($G5043),""),"")</f>
        <v>81099119065592.594</v>
      </c>
      <c r="I5043" t="str">
        <f>IFERROR(VLOOKUP($E5043,'Fuel Category and Heat Rate'!$K$2:$M$36,3,FALSE),"")</f>
        <v>heat</v>
      </c>
    </row>
    <row r="5044" spans="1:9" x14ac:dyDescent="0.15">
      <c r="A5044" s="2">
        <v>313551</v>
      </c>
      <c r="B5044" s="2" t="s">
        <v>82</v>
      </c>
      <c r="C5044" s="2">
        <v>2022</v>
      </c>
      <c r="D5044" s="2" t="s">
        <v>185</v>
      </c>
      <c r="E5044" s="2" t="s">
        <v>31</v>
      </c>
      <c r="F5044" s="2" t="s">
        <v>37</v>
      </c>
      <c r="G5044" s="7">
        <v>12894.21</v>
      </c>
      <c r="H5044" s="13">
        <f>IFERROR(IF(ABS($G5044)&gt;0,VLOOKUP($E5044,'Fuel Category and Heat Rate'!$B$1:$G$34,6,FALSE)*($G5044),""),"")</f>
        <v>122213530212642.3</v>
      </c>
      <c r="I5044" t="str">
        <f>IFERROR(VLOOKUP($E5044,'Fuel Category and Heat Rate'!$K$2:$M$36,3,FALSE),"")</f>
        <v>heat</v>
      </c>
    </row>
    <row r="5045" spans="1:9" x14ac:dyDescent="0.15">
      <c r="A5045" s="2">
        <v>314671</v>
      </c>
      <c r="B5045" s="2" t="s">
        <v>82</v>
      </c>
      <c r="C5045" s="2">
        <v>2021</v>
      </c>
      <c r="D5045" s="2" t="s">
        <v>185</v>
      </c>
      <c r="E5045" s="2" t="s">
        <v>31</v>
      </c>
      <c r="F5045" s="2" t="s">
        <v>37</v>
      </c>
      <c r="G5045" s="7">
        <v>11435.51</v>
      </c>
      <c r="H5045" s="13">
        <f>IFERROR(IF(ABS($G5045)&gt;0,VLOOKUP($E5045,'Fuel Category and Heat Rate'!$B$1:$G$34,6,FALSE)*($G5045),""),"")</f>
        <v>108387721844298.58</v>
      </c>
      <c r="I5045" t="str">
        <f>IFERROR(VLOOKUP($E5045,'Fuel Category and Heat Rate'!$K$2:$M$36,3,FALSE),"")</f>
        <v>heat</v>
      </c>
    </row>
    <row r="5046" spans="1:9" x14ac:dyDescent="0.15">
      <c r="A5046" s="2">
        <v>315791</v>
      </c>
      <c r="B5046" s="2" t="s">
        <v>82</v>
      </c>
      <c r="C5046" s="2">
        <v>2020</v>
      </c>
      <c r="D5046" s="2" t="s">
        <v>185</v>
      </c>
      <c r="E5046" s="2" t="s">
        <v>31</v>
      </c>
      <c r="F5046" s="2" t="s">
        <v>37</v>
      </c>
      <c r="G5046" s="7">
        <v>9520.18</v>
      </c>
      <c r="H5046" s="13">
        <f>IFERROR(IF(ABS($G5046)&gt;0,VLOOKUP($E5046,'Fuel Category and Heat Rate'!$B$1:$G$34,6,FALSE)*($G5046),""),"")</f>
        <v>90233896148720.469</v>
      </c>
      <c r="I5046" t="str">
        <f>IFERROR(VLOOKUP($E5046,'Fuel Category and Heat Rate'!$K$2:$M$36,3,FALSE),"")</f>
        <v>heat</v>
      </c>
    </row>
    <row r="5047" spans="1:9" x14ac:dyDescent="0.15">
      <c r="A5047" s="2">
        <v>316911</v>
      </c>
      <c r="B5047" s="2" t="s">
        <v>82</v>
      </c>
      <c r="C5047" s="2">
        <v>2019</v>
      </c>
      <c r="D5047" s="2" t="s">
        <v>185</v>
      </c>
      <c r="E5047" s="2" t="s">
        <v>31</v>
      </c>
      <c r="F5047" s="2" t="s">
        <v>37</v>
      </c>
      <c r="G5047" s="7">
        <v>7853.82</v>
      </c>
      <c r="H5047" s="13">
        <f>IFERROR(IF(ABS($G5047)&gt;0,VLOOKUP($E5047,'Fuel Category and Heat Rate'!$B$1:$G$34,6,FALSE)*($G5047),""),"")</f>
        <v>74439850743446.422</v>
      </c>
      <c r="I5047" t="str">
        <f>IFERROR(VLOOKUP($E5047,'Fuel Category and Heat Rate'!$K$2:$M$36,3,FALSE),"")</f>
        <v>heat</v>
      </c>
    </row>
    <row r="5048" spans="1:9" x14ac:dyDescent="0.15">
      <c r="A5048" s="2">
        <v>318031</v>
      </c>
      <c r="B5048" s="2" t="s">
        <v>82</v>
      </c>
      <c r="C5048" s="2">
        <v>2018</v>
      </c>
      <c r="D5048" s="2" t="s">
        <v>185</v>
      </c>
      <c r="E5048" s="2" t="s">
        <v>31</v>
      </c>
      <c r="F5048" s="2" t="s">
        <v>37</v>
      </c>
      <c r="G5048" s="7">
        <v>5989.24</v>
      </c>
      <c r="H5048" s="13">
        <f>IFERROR(IF(ABS($G5048)&gt;0,VLOOKUP($E5048,'Fuel Category and Heat Rate'!$B$1:$G$34,6,FALSE)*($G5048),""),"")</f>
        <v>56767042237621.828</v>
      </c>
      <c r="I5048" t="str">
        <f>IFERROR(VLOOKUP($E5048,'Fuel Category and Heat Rate'!$K$2:$M$36,3,FALSE),"")</f>
        <v>heat</v>
      </c>
    </row>
    <row r="5049" spans="1:9" x14ac:dyDescent="0.15">
      <c r="A5049" s="2">
        <v>331961</v>
      </c>
      <c r="B5049" s="2" t="s">
        <v>83</v>
      </c>
      <c r="C5049" s="2">
        <v>2022</v>
      </c>
      <c r="D5049" s="2" t="s">
        <v>185</v>
      </c>
      <c r="E5049" s="2" t="s">
        <v>31</v>
      </c>
      <c r="F5049" s="2" t="s">
        <v>37</v>
      </c>
      <c r="G5049" s="7">
        <v>2489.4699999999998</v>
      </c>
      <c r="H5049" s="13">
        <f>IFERROR(IF(ABS($G5049)&gt;0,VLOOKUP($E5049,'Fuel Category and Heat Rate'!$B$1:$G$34,6,FALSE)*($G5049),""),"")</f>
        <v>23595622923658.496</v>
      </c>
      <c r="I5049" t="str">
        <f>IFERROR(VLOOKUP($E5049,'Fuel Category and Heat Rate'!$K$2:$M$36,3,FALSE),"")</f>
        <v>heat</v>
      </c>
    </row>
    <row r="5050" spans="1:9" x14ac:dyDescent="0.15">
      <c r="A5050" s="2">
        <v>333081</v>
      </c>
      <c r="B5050" s="2" t="s">
        <v>83</v>
      </c>
      <c r="C5050" s="2">
        <v>2021</v>
      </c>
      <c r="D5050" s="2" t="s">
        <v>185</v>
      </c>
      <c r="E5050" s="2" t="s">
        <v>31</v>
      </c>
      <c r="F5050" s="2" t="s">
        <v>37</v>
      </c>
      <c r="G5050" s="7">
        <v>2674.97</v>
      </c>
      <c r="H5050" s="13">
        <f>IFERROR(IF(ABS($G5050)&gt;0,VLOOKUP($E5050,'Fuel Category and Heat Rate'!$B$1:$G$34,6,FALSE)*($G5050),""),"")</f>
        <v>25353823686205.805</v>
      </c>
      <c r="I5050" t="str">
        <f>IFERROR(VLOOKUP($E5050,'Fuel Category and Heat Rate'!$K$2:$M$36,3,FALSE),"")</f>
        <v>heat</v>
      </c>
    </row>
    <row r="5051" spans="1:9" x14ac:dyDescent="0.15">
      <c r="A5051" s="2">
        <v>334201</v>
      </c>
      <c r="B5051" s="2" t="s">
        <v>83</v>
      </c>
      <c r="C5051" s="2">
        <v>2020</v>
      </c>
      <c r="D5051" s="2" t="s">
        <v>185</v>
      </c>
      <c r="E5051" s="2" t="s">
        <v>31</v>
      </c>
      <c r="F5051" s="2" t="s">
        <v>37</v>
      </c>
      <c r="G5051" s="7">
        <v>2207.31</v>
      </c>
      <c r="H5051" s="13">
        <f>IFERROR(IF(ABS($G5051)&gt;0,VLOOKUP($E5051,'Fuel Category and Heat Rate'!$B$1:$G$34,6,FALSE)*($G5051),""),"")</f>
        <v>20921262130341.254</v>
      </c>
      <c r="I5051" t="str">
        <f>IFERROR(VLOOKUP($E5051,'Fuel Category and Heat Rate'!$K$2:$M$36,3,FALSE),"")</f>
        <v>heat</v>
      </c>
    </row>
    <row r="5052" spans="1:9" x14ac:dyDescent="0.15">
      <c r="A5052" s="2">
        <v>335321</v>
      </c>
      <c r="B5052" s="2" t="s">
        <v>83</v>
      </c>
      <c r="C5052" s="2">
        <v>2019</v>
      </c>
      <c r="D5052" s="2" t="s">
        <v>185</v>
      </c>
      <c r="E5052" s="2" t="s">
        <v>31</v>
      </c>
      <c r="F5052" s="2" t="s">
        <v>37</v>
      </c>
      <c r="G5052" s="7">
        <v>2082.98</v>
      </c>
      <c r="H5052" s="13">
        <f>IFERROR(IF(ABS($G5052)&gt;0,VLOOKUP($E5052,'Fuel Category and Heat Rate'!$B$1:$G$34,6,FALSE)*($G5052),""),"")</f>
        <v>19742841101729.355</v>
      </c>
      <c r="I5052" t="str">
        <f>IFERROR(VLOOKUP($E5052,'Fuel Category and Heat Rate'!$K$2:$M$36,3,FALSE),"")</f>
        <v>heat</v>
      </c>
    </row>
    <row r="5053" spans="1:9" x14ac:dyDescent="0.15">
      <c r="A5053" s="2">
        <v>336441</v>
      </c>
      <c r="B5053" s="2" t="s">
        <v>83</v>
      </c>
      <c r="C5053" s="2">
        <v>2018</v>
      </c>
      <c r="D5053" s="2" t="s">
        <v>185</v>
      </c>
      <c r="E5053" s="2" t="s">
        <v>31</v>
      </c>
      <c r="F5053" s="2" t="s">
        <v>37</v>
      </c>
      <c r="G5053" s="7">
        <v>1969.85</v>
      </c>
      <c r="H5053" s="13">
        <f>IFERROR(IF(ABS($G5053)&gt;0,VLOOKUP($E5053,'Fuel Category and Heat Rate'!$B$1:$G$34,6,FALSE)*($G5053),""),"")</f>
        <v>18670575590856.16</v>
      </c>
      <c r="I5053" t="str">
        <f>IFERROR(VLOOKUP($E5053,'Fuel Category and Heat Rate'!$K$2:$M$36,3,FALSE),"")</f>
        <v>heat</v>
      </c>
    </row>
    <row r="5054" spans="1:9" x14ac:dyDescent="0.15">
      <c r="A5054" s="2">
        <v>350371</v>
      </c>
      <c r="B5054" s="2" t="s">
        <v>84</v>
      </c>
      <c r="C5054" s="2">
        <v>2022</v>
      </c>
      <c r="D5054" s="2" t="s">
        <v>185</v>
      </c>
      <c r="E5054" s="2" t="s">
        <v>31</v>
      </c>
      <c r="F5054" s="2" t="s">
        <v>37</v>
      </c>
      <c r="G5054" s="7">
        <v>720.19</v>
      </c>
      <c r="H5054" s="13">
        <f>IFERROR(IF(ABS($G5054)&gt;0,VLOOKUP($E5054,'Fuel Category and Heat Rate'!$B$1:$G$34,6,FALSE)*($G5054),""),"")</f>
        <v>6826084135735.5645</v>
      </c>
      <c r="I5054" t="str">
        <f>IFERROR(VLOOKUP($E5054,'Fuel Category and Heat Rate'!$K$2:$M$36,3,FALSE),"")</f>
        <v>heat</v>
      </c>
    </row>
    <row r="5055" spans="1:9" x14ac:dyDescent="0.15">
      <c r="A5055" s="2">
        <v>351491</v>
      </c>
      <c r="B5055" s="2" t="s">
        <v>84</v>
      </c>
      <c r="C5055" s="2">
        <v>2021</v>
      </c>
      <c r="D5055" s="2" t="s">
        <v>185</v>
      </c>
      <c r="E5055" s="2" t="s">
        <v>31</v>
      </c>
      <c r="F5055" s="2" t="s">
        <v>37</v>
      </c>
      <c r="G5055" s="7">
        <v>696.88</v>
      </c>
      <c r="H5055" s="13">
        <f>IFERROR(IF(ABS($G5055)&gt;0,VLOOKUP($E5055,'Fuel Category and Heat Rate'!$B$1:$G$34,6,FALSE)*($G5055),""),"")</f>
        <v>6605147964441.8828</v>
      </c>
      <c r="I5055" t="str">
        <f>IFERROR(VLOOKUP($E5055,'Fuel Category and Heat Rate'!$K$2:$M$36,3,FALSE),"")</f>
        <v>heat</v>
      </c>
    </row>
    <row r="5056" spans="1:9" x14ac:dyDescent="0.15">
      <c r="A5056" s="2">
        <v>352611</v>
      </c>
      <c r="B5056" s="2" t="s">
        <v>84</v>
      </c>
      <c r="C5056" s="2">
        <v>2020</v>
      </c>
      <c r="D5056" s="2" t="s">
        <v>185</v>
      </c>
      <c r="E5056" s="2" t="s">
        <v>31</v>
      </c>
      <c r="F5056" s="2" t="s">
        <v>37</v>
      </c>
      <c r="G5056" s="7">
        <v>633.66999999999996</v>
      </c>
      <c r="H5056" s="13">
        <f>IFERROR(IF(ABS($G5056)&gt;0,VLOOKUP($E5056,'Fuel Category and Heat Rate'!$B$1:$G$34,6,FALSE)*($G5056),""),"")</f>
        <v>6006032761204.0635</v>
      </c>
      <c r="I5056" t="str">
        <f>IFERROR(VLOOKUP($E5056,'Fuel Category and Heat Rate'!$K$2:$M$36,3,FALSE),"")</f>
        <v>heat</v>
      </c>
    </row>
    <row r="5057" spans="1:9" x14ac:dyDescent="0.15">
      <c r="A5057" s="2">
        <v>353731</v>
      </c>
      <c r="B5057" s="2" t="s">
        <v>84</v>
      </c>
      <c r="C5057" s="2">
        <v>2019</v>
      </c>
      <c r="D5057" s="2" t="s">
        <v>185</v>
      </c>
      <c r="E5057" s="2" t="s">
        <v>31</v>
      </c>
      <c r="F5057" s="2" t="s">
        <v>37</v>
      </c>
      <c r="G5057" s="7">
        <v>758.93</v>
      </c>
      <c r="H5057" s="13">
        <f>IFERROR(IF(ABS($G5057)&gt;0,VLOOKUP($E5057,'Fuel Category and Heat Rate'!$B$1:$G$34,6,FALSE)*($G5057),""),"")</f>
        <v>7193268489056.7637</v>
      </c>
      <c r="I5057" t="str">
        <f>IFERROR(VLOOKUP($E5057,'Fuel Category and Heat Rate'!$K$2:$M$36,3,FALSE),"")</f>
        <v>heat</v>
      </c>
    </row>
    <row r="5058" spans="1:9" x14ac:dyDescent="0.15">
      <c r="A5058" s="2">
        <v>354851</v>
      </c>
      <c r="B5058" s="2" t="s">
        <v>84</v>
      </c>
      <c r="C5058" s="2">
        <v>2018</v>
      </c>
      <c r="D5058" s="2" t="s">
        <v>185</v>
      </c>
      <c r="E5058" s="2" t="s">
        <v>31</v>
      </c>
      <c r="F5058" s="2" t="s">
        <v>37</v>
      </c>
      <c r="G5058" s="7">
        <v>734.12</v>
      </c>
      <c r="H5058" s="13">
        <f>IFERROR(IF(ABS($G5058)&gt;0,VLOOKUP($E5058,'Fuel Category and Heat Rate'!$B$1:$G$34,6,FALSE)*($G5058),""),"")</f>
        <v>6958115060923.0781</v>
      </c>
      <c r="I5058" t="str">
        <f>IFERROR(VLOOKUP($E5058,'Fuel Category and Heat Rate'!$K$2:$M$36,3,FALSE),"")</f>
        <v>heat</v>
      </c>
    </row>
    <row r="5059" spans="1:9" x14ac:dyDescent="0.15">
      <c r="A5059" s="2">
        <v>368781</v>
      </c>
      <c r="B5059" s="2" t="s">
        <v>85</v>
      </c>
      <c r="C5059" s="2">
        <v>2022</v>
      </c>
      <c r="D5059" s="2" t="s">
        <v>185</v>
      </c>
      <c r="E5059" s="2" t="s">
        <v>31</v>
      </c>
      <c r="F5059" s="2" t="s">
        <v>37</v>
      </c>
      <c r="G5059" s="7">
        <v>141281.15</v>
      </c>
      <c r="H5059" s="13">
        <f>IFERROR(IF(ABS($G5059)&gt;0,VLOOKUP($E5059,'Fuel Category and Heat Rate'!$B$1:$G$34,6,FALSE)*($G5059),""),"")</f>
        <v>1339086930800867</v>
      </c>
      <c r="I5059" t="str">
        <f>IFERROR(VLOOKUP($E5059,'Fuel Category and Heat Rate'!$K$2:$M$36,3,FALSE),"")</f>
        <v>heat</v>
      </c>
    </row>
    <row r="5060" spans="1:9" x14ac:dyDescent="0.15">
      <c r="A5060" s="2">
        <v>369901</v>
      </c>
      <c r="B5060" s="2" t="s">
        <v>85</v>
      </c>
      <c r="C5060" s="2">
        <v>2021</v>
      </c>
      <c r="D5060" s="2" t="s">
        <v>185</v>
      </c>
      <c r="E5060" s="2" t="s">
        <v>31</v>
      </c>
      <c r="F5060" s="2" t="s">
        <v>37</v>
      </c>
      <c r="G5060" s="7">
        <v>125426.04</v>
      </c>
      <c r="H5060" s="13">
        <f>IFERROR(IF(ABS($G5060)&gt;0,VLOOKUP($E5060,'Fuel Category and Heat Rate'!$B$1:$G$34,6,FALSE)*($G5060),""),"")</f>
        <v>1188809483403177.3</v>
      </c>
      <c r="I5060" t="str">
        <f>IFERROR(VLOOKUP($E5060,'Fuel Category and Heat Rate'!$K$2:$M$36,3,FALSE),"")</f>
        <v>heat</v>
      </c>
    </row>
    <row r="5061" spans="1:9" x14ac:dyDescent="0.15">
      <c r="A5061" s="2">
        <v>371021</v>
      </c>
      <c r="B5061" s="2" t="s">
        <v>85</v>
      </c>
      <c r="C5061" s="2">
        <v>2020</v>
      </c>
      <c r="D5061" s="2" t="s">
        <v>185</v>
      </c>
      <c r="E5061" s="2" t="s">
        <v>31</v>
      </c>
      <c r="F5061" s="2" t="s">
        <v>37</v>
      </c>
      <c r="G5061" s="7">
        <v>110769.08</v>
      </c>
      <c r="H5061" s="13">
        <f>IFERROR(IF(ABS($G5061)&gt;0,VLOOKUP($E5061,'Fuel Category and Heat Rate'!$B$1:$G$34,6,FALSE)*($G5061),""),"")</f>
        <v>1049888306860722.1</v>
      </c>
      <c r="I5061" t="str">
        <f>IFERROR(VLOOKUP($E5061,'Fuel Category and Heat Rate'!$K$2:$M$36,3,FALSE),"")</f>
        <v>heat</v>
      </c>
    </row>
    <row r="5062" spans="1:9" x14ac:dyDescent="0.15">
      <c r="A5062" s="2">
        <v>372141</v>
      </c>
      <c r="B5062" s="2" t="s">
        <v>85</v>
      </c>
      <c r="C5062" s="2">
        <v>2019</v>
      </c>
      <c r="D5062" s="2" t="s">
        <v>185</v>
      </c>
      <c r="E5062" s="2" t="s">
        <v>31</v>
      </c>
      <c r="F5062" s="2" t="s">
        <v>37</v>
      </c>
      <c r="G5062" s="7">
        <v>96598.13</v>
      </c>
      <c r="H5062" s="13">
        <f>IFERROR(IF(ABS($G5062)&gt;0,VLOOKUP($E5062,'Fuel Category and Heat Rate'!$B$1:$G$34,6,FALSE)*($G5062),""),"")</f>
        <v>915573616316141.13</v>
      </c>
      <c r="I5062" t="str">
        <f>IFERROR(VLOOKUP($E5062,'Fuel Category and Heat Rate'!$K$2:$M$36,3,FALSE),"")</f>
        <v>heat</v>
      </c>
    </row>
    <row r="5063" spans="1:9" x14ac:dyDescent="0.15">
      <c r="A5063" s="2">
        <v>373261</v>
      </c>
      <c r="B5063" s="2" t="s">
        <v>85</v>
      </c>
      <c r="C5063" s="2">
        <v>2018</v>
      </c>
      <c r="D5063" s="2" t="s">
        <v>185</v>
      </c>
      <c r="E5063" s="2" t="s">
        <v>31</v>
      </c>
      <c r="F5063" s="2" t="s">
        <v>37</v>
      </c>
      <c r="G5063" s="7">
        <v>96144.18</v>
      </c>
      <c r="H5063" s="13">
        <f>IFERROR(IF(ABS($G5063)&gt;0,VLOOKUP($E5063,'Fuel Category and Heat Rate'!$B$1:$G$34,6,FALSE)*($G5063),""),"")</f>
        <v>911271000487794</v>
      </c>
      <c r="I5063" t="str">
        <f>IFERROR(VLOOKUP($E5063,'Fuel Category and Heat Rate'!$K$2:$M$36,3,FALSE),"")</f>
        <v>heat</v>
      </c>
    </row>
    <row r="5064" spans="1:9" x14ac:dyDescent="0.15">
      <c r="A5064" s="2">
        <v>387191</v>
      </c>
      <c r="B5064" s="2" t="s">
        <v>86</v>
      </c>
      <c r="C5064" s="2">
        <v>2022</v>
      </c>
      <c r="D5064" s="2" t="s">
        <v>185</v>
      </c>
      <c r="E5064" s="2" t="s">
        <v>31</v>
      </c>
      <c r="F5064" s="2" t="s">
        <v>37</v>
      </c>
      <c r="G5064" s="7">
        <v>20213.34</v>
      </c>
      <c r="H5064" s="13">
        <f>IFERROR(IF(ABS($G5064)&gt;0,VLOOKUP($E5064,'Fuel Category and Heat Rate'!$B$1:$G$34,6,FALSE)*($G5064),""),"")</f>
        <v>191585497582900.47</v>
      </c>
      <c r="I5064" t="str">
        <f>IFERROR(VLOOKUP($E5064,'Fuel Category and Heat Rate'!$K$2:$M$36,3,FALSE),"")</f>
        <v>heat</v>
      </c>
    </row>
    <row r="5065" spans="1:9" x14ac:dyDescent="0.15">
      <c r="A5065" s="2">
        <v>388311</v>
      </c>
      <c r="B5065" s="2" t="s">
        <v>86</v>
      </c>
      <c r="C5065" s="2">
        <v>2021</v>
      </c>
      <c r="D5065" s="2" t="s">
        <v>185</v>
      </c>
      <c r="E5065" s="2" t="s">
        <v>31</v>
      </c>
      <c r="F5065" s="2" t="s">
        <v>37</v>
      </c>
      <c r="G5065" s="7">
        <v>16257.21</v>
      </c>
      <c r="H5065" s="13">
        <f>IFERROR(IF(ABS($G5065)&gt;0,VLOOKUP($E5065,'Fuel Category and Heat Rate'!$B$1:$G$34,6,FALSE)*($G5065),""),"")</f>
        <v>154088620047933.97</v>
      </c>
      <c r="I5065" t="str">
        <f>IFERROR(VLOOKUP($E5065,'Fuel Category and Heat Rate'!$K$2:$M$36,3,FALSE),"")</f>
        <v>heat</v>
      </c>
    </row>
    <row r="5066" spans="1:9" x14ac:dyDescent="0.15">
      <c r="A5066" s="2">
        <v>389431</v>
      </c>
      <c r="B5066" s="2" t="s">
        <v>86</v>
      </c>
      <c r="C5066" s="2">
        <v>2020</v>
      </c>
      <c r="D5066" s="2" t="s">
        <v>185</v>
      </c>
      <c r="E5066" s="2" t="s">
        <v>31</v>
      </c>
      <c r="F5066" s="2" t="s">
        <v>37</v>
      </c>
      <c r="G5066" s="7">
        <v>9419.89</v>
      </c>
      <c r="H5066" s="13">
        <f>IFERROR(IF(ABS($G5066)&gt;0,VLOOKUP($E5066,'Fuel Category and Heat Rate'!$B$1:$G$34,6,FALSE)*($G5066),""),"")</f>
        <v>89283330356397.719</v>
      </c>
      <c r="I5066" t="str">
        <f>IFERROR(VLOOKUP($E5066,'Fuel Category and Heat Rate'!$K$2:$M$36,3,FALSE),"")</f>
        <v>heat</v>
      </c>
    </row>
    <row r="5067" spans="1:9" x14ac:dyDescent="0.15">
      <c r="A5067" s="2">
        <v>390551</v>
      </c>
      <c r="B5067" s="2" t="s">
        <v>86</v>
      </c>
      <c r="C5067" s="2">
        <v>2019</v>
      </c>
      <c r="D5067" s="2" t="s">
        <v>185</v>
      </c>
      <c r="E5067" s="2" t="s">
        <v>31</v>
      </c>
      <c r="F5067" s="2" t="s">
        <v>37</v>
      </c>
      <c r="G5067" s="7">
        <v>13069.37</v>
      </c>
      <c r="H5067" s="13">
        <f>IFERROR(IF(ABS($G5067)&gt;0,VLOOKUP($E5067,'Fuel Category and Heat Rate'!$B$1:$G$34,6,FALSE)*($G5067),""),"")</f>
        <v>123873726684705.84</v>
      </c>
      <c r="I5067" t="str">
        <f>IFERROR(VLOOKUP($E5067,'Fuel Category and Heat Rate'!$K$2:$M$36,3,FALSE),"")</f>
        <v>heat</v>
      </c>
    </row>
    <row r="5068" spans="1:9" x14ac:dyDescent="0.15">
      <c r="A5068" s="2">
        <v>391671</v>
      </c>
      <c r="B5068" s="2" t="s">
        <v>86</v>
      </c>
      <c r="C5068" s="2">
        <v>2018</v>
      </c>
      <c r="D5068" s="2" t="s">
        <v>185</v>
      </c>
      <c r="E5068" s="2" t="s">
        <v>31</v>
      </c>
      <c r="F5068" s="2" t="s">
        <v>37</v>
      </c>
      <c r="G5068" s="7">
        <v>9804.76</v>
      </c>
      <c r="H5068" s="13">
        <f>IFERROR(IF(ABS($G5068)&gt;0,VLOOKUP($E5068,'Fuel Category and Heat Rate'!$B$1:$G$34,6,FALSE)*($G5068),""),"")</f>
        <v>92931194116406.266</v>
      </c>
      <c r="I5068" t="str">
        <f>IFERROR(VLOOKUP($E5068,'Fuel Category and Heat Rate'!$K$2:$M$36,3,FALSE),"")</f>
        <v>heat</v>
      </c>
    </row>
    <row r="5069" spans="1:9" x14ac:dyDescent="0.15">
      <c r="A5069" s="2">
        <v>405601</v>
      </c>
      <c r="B5069" s="2" t="s">
        <v>87</v>
      </c>
      <c r="C5069" s="2">
        <v>2022</v>
      </c>
      <c r="D5069" s="2" t="s">
        <v>185</v>
      </c>
      <c r="E5069" s="2" t="s">
        <v>31</v>
      </c>
      <c r="F5069" s="2" t="s">
        <v>37</v>
      </c>
      <c r="G5069" s="7">
        <v>9736.35</v>
      </c>
      <c r="H5069" s="13">
        <f>IFERROR(IF(ABS($G5069)&gt;0,VLOOKUP($E5069,'Fuel Category and Heat Rate'!$B$1:$G$34,6,FALSE)*($G5069),""),"")</f>
        <v>92282792422789.766</v>
      </c>
      <c r="I5069" t="str">
        <f>IFERROR(VLOOKUP($E5069,'Fuel Category and Heat Rate'!$K$2:$M$36,3,FALSE),"")</f>
        <v>heat</v>
      </c>
    </row>
    <row r="5070" spans="1:9" x14ac:dyDescent="0.15">
      <c r="A5070" s="2">
        <v>406721</v>
      </c>
      <c r="B5070" s="2" t="s">
        <v>87</v>
      </c>
      <c r="C5070" s="2">
        <v>2021</v>
      </c>
      <c r="D5070" s="2" t="s">
        <v>185</v>
      </c>
      <c r="E5070" s="2" t="s">
        <v>31</v>
      </c>
      <c r="F5070" s="2" t="s">
        <v>37</v>
      </c>
      <c r="G5070" s="7">
        <v>8328.3700000000008</v>
      </c>
      <c r="H5070" s="13">
        <f>IFERROR(IF(ABS($G5070)&gt;0,VLOOKUP($E5070,'Fuel Category and Heat Rate'!$B$1:$G$34,6,FALSE)*($G5070),""),"")</f>
        <v>78937716899062.75</v>
      </c>
      <c r="I5070" t="str">
        <f>IFERROR(VLOOKUP($E5070,'Fuel Category and Heat Rate'!$K$2:$M$36,3,FALSE),"")</f>
        <v>heat</v>
      </c>
    </row>
    <row r="5071" spans="1:9" x14ac:dyDescent="0.15">
      <c r="A5071" s="2">
        <v>407841</v>
      </c>
      <c r="B5071" s="2" t="s">
        <v>87</v>
      </c>
      <c r="C5071" s="2">
        <v>2020</v>
      </c>
      <c r="D5071" s="2" t="s">
        <v>185</v>
      </c>
      <c r="E5071" s="2" t="s">
        <v>31</v>
      </c>
      <c r="F5071" s="2" t="s">
        <v>37</v>
      </c>
      <c r="G5071" s="7">
        <v>8194.99</v>
      </c>
      <c r="H5071" s="13">
        <f>IFERROR(IF(ABS($G5071)&gt;0,VLOOKUP($E5071,'Fuel Category and Heat Rate'!$B$1:$G$34,6,FALSE)*($G5071),""),"")</f>
        <v>77673518420849.469</v>
      </c>
      <c r="I5071" t="str">
        <f>IFERROR(VLOOKUP($E5071,'Fuel Category and Heat Rate'!$K$2:$M$36,3,FALSE),"")</f>
        <v>heat</v>
      </c>
    </row>
    <row r="5072" spans="1:9" x14ac:dyDescent="0.15">
      <c r="A5072" s="2">
        <v>408961</v>
      </c>
      <c r="B5072" s="2" t="s">
        <v>87</v>
      </c>
      <c r="C5072" s="2">
        <v>2019</v>
      </c>
      <c r="D5072" s="2" t="s">
        <v>185</v>
      </c>
      <c r="E5072" s="2" t="s">
        <v>31</v>
      </c>
      <c r="F5072" s="2" t="s">
        <v>37</v>
      </c>
      <c r="G5072" s="7">
        <v>7448.29</v>
      </c>
      <c r="H5072" s="13">
        <f>IFERROR(IF(ABS($G5072)&gt;0,VLOOKUP($E5072,'Fuel Category and Heat Rate'!$B$1:$G$34,6,FALSE)*($G5072),""),"")</f>
        <v>70596167965894.891</v>
      </c>
      <c r="I5072" t="str">
        <f>IFERROR(VLOOKUP($E5072,'Fuel Category and Heat Rate'!$K$2:$M$36,3,FALSE),"")</f>
        <v>heat</v>
      </c>
    </row>
    <row r="5073" spans="1:9" x14ac:dyDescent="0.15">
      <c r="A5073" s="2">
        <v>410081</v>
      </c>
      <c r="B5073" s="2" t="s">
        <v>87</v>
      </c>
      <c r="C5073" s="2">
        <v>2018</v>
      </c>
      <c r="D5073" s="2" t="s">
        <v>185</v>
      </c>
      <c r="E5073" s="2" t="s">
        <v>31</v>
      </c>
      <c r="F5073" s="2" t="s">
        <v>37</v>
      </c>
      <c r="G5073" s="7">
        <v>4497.3500000000004</v>
      </c>
      <c r="H5073" s="13">
        <f>IFERROR(IF(ABS($G5073)&gt;0,VLOOKUP($E5073,'Fuel Category and Heat Rate'!$B$1:$G$34,6,FALSE)*($G5073),""),"")</f>
        <v>42626653366264.93</v>
      </c>
      <c r="I5073" t="str">
        <f>IFERROR(VLOOKUP($E5073,'Fuel Category and Heat Rate'!$K$2:$M$36,3,FALSE),"")</f>
        <v>heat</v>
      </c>
    </row>
    <row r="5074" spans="1:9" x14ac:dyDescent="0.15">
      <c r="A5074" s="2">
        <v>424011</v>
      </c>
      <c r="B5074" s="2" t="s">
        <v>88</v>
      </c>
      <c r="C5074" s="2">
        <v>2022</v>
      </c>
      <c r="D5074" s="2" t="s">
        <v>185</v>
      </c>
      <c r="E5074" s="2" t="s">
        <v>31</v>
      </c>
      <c r="F5074" s="2" t="s">
        <v>37</v>
      </c>
      <c r="G5074" s="7">
        <v>9210.9699999999993</v>
      </c>
      <c r="H5074" s="13">
        <f>IFERROR(IF(ABS($G5074)&gt;0,VLOOKUP($E5074,'Fuel Category and Heat Rate'!$B$1:$G$34,6,FALSE)*($G5074),""),"")</f>
        <v>87303150823721.797</v>
      </c>
      <c r="I5074" t="str">
        <f>IFERROR(VLOOKUP($E5074,'Fuel Category and Heat Rate'!$K$2:$M$36,3,FALSE),"")</f>
        <v>heat</v>
      </c>
    </row>
    <row r="5075" spans="1:9" x14ac:dyDescent="0.15">
      <c r="A5075" s="2">
        <v>425131</v>
      </c>
      <c r="B5075" s="2" t="s">
        <v>88</v>
      </c>
      <c r="C5075" s="2">
        <v>2021</v>
      </c>
      <c r="D5075" s="2" t="s">
        <v>185</v>
      </c>
      <c r="E5075" s="2" t="s">
        <v>31</v>
      </c>
      <c r="F5075" s="2" t="s">
        <v>37</v>
      </c>
      <c r="G5075" s="7">
        <v>9532.33</v>
      </c>
      <c r="H5075" s="13">
        <f>IFERROR(IF(ABS($G5075)&gt;0,VLOOKUP($E5075,'Fuel Category and Heat Rate'!$B$1:$G$34,6,FALSE)*($G5075),""),"")</f>
        <v>90349055929124.516</v>
      </c>
      <c r="I5075" t="str">
        <f>IFERROR(VLOOKUP($E5075,'Fuel Category and Heat Rate'!$K$2:$M$36,3,FALSE),"")</f>
        <v>heat</v>
      </c>
    </row>
    <row r="5076" spans="1:9" x14ac:dyDescent="0.15">
      <c r="A5076" s="2">
        <v>426251</v>
      </c>
      <c r="B5076" s="2" t="s">
        <v>88</v>
      </c>
      <c r="C5076" s="2">
        <v>2020</v>
      </c>
      <c r="D5076" s="2" t="s">
        <v>185</v>
      </c>
      <c r="E5076" s="2" t="s">
        <v>31</v>
      </c>
      <c r="F5076" s="2" t="s">
        <v>37</v>
      </c>
      <c r="G5076" s="7">
        <v>9220.31</v>
      </c>
      <c r="H5076" s="13">
        <f>IFERROR(IF(ABS($G5076)&gt;0,VLOOKUP($E5076,'Fuel Category and Heat Rate'!$B$1:$G$34,6,FALSE)*($G5076),""),"")</f>
        <v>87391676942978.891</v>
      </c>
      <c r="I5076" t="str">
        <f>IFERROR(VLOOKUP($E5076,'Fuel Category and Heat Rate'!$K$2:$M$36,3,FALSE),"")</f>
        <v>heat</v>
      </c>
    </row>
    <row r="5077" spans="1:9" x14ac:dyDescent="0.15">
      <c r="A5077" s="2">
        <v>427371</v>
      </c>
      <c r="B5077" s="2" t="s">
        <v>88</v>
      </c>
      <c r="C5077" s="2">
        <v>2019</v>
      </c>
      <c r="D5077" s="2" t="s">
        <v>185</v>
      </c>
      <c r="E5077" s="2" t="s">
        <v>31</v>
      </c>
      <c r="F5077" s="2" t="s">
        <v>37</v>
      </c>
      <c r="G5077" s="7">
        <v>6277.91</v>
      </c>
      <c r="H5077" s="13">
        <f>IFERROR(IF(ABS($G5077)&gt;0,VLOOKUP($E5077,'Fuel Category and Heat Rate'!$B$1:$G$34,6,FALSE)*($G5077),""),"")</f>
        <v>59503105925624.695</v>
      </c>
      <c r="I5077" t="str">
        <f>IFERROR(VLOOKUP($E5077,'Fuel Category and Heat Rate'!$K$2:$M$36,3,FALSE),"")</f>
        <v>heat</v>
      </c>
    </row>
    <row r="5078" spans="1:9" x14ac:dyDescent="0.15">
      <c r="A5078" s="2">
        <v>428491</v>
      </c>
      <c r="B5078" s="2" t="s">
        <v>88</v>
      </c>
      <c r="C5078" s="2">
        <v>2018</v>
      </c>
      <c r="D5078" s="2" t="s">
        <v>185</v>
      </c>
      <c r="E5078" s="2" t="s">
        <v>31</v>
      </c>
      <c r="F5078" s="2" t="s">
        <v>37</v>
      </c>
      <c r="G5078" s="7">
        <v>4314.08</v>
      </c>
      <c r="H5078" s="13">
        <f>IFERROR(IF(ABS($G5078)&gt;0,VLOOKUP($E5078,'Fuel Category and Heat Rate'!$B$1:$G$34,6,FALSE)*($G5078),""),"")</f>
        <v>40889588925553.086</v>
      </c>
      <c r="I5078" t="str">
        <f>IFERROR(VLOOKUP($E5078,'Fuel Category and Heat Rate'!$K$2:$M$36,3,FALSE),"")</f>
        <v>heat</v>
      </c>
    </row>
    <row r="5079" spans="1:9" x14ac:dyDescent="0.15">
      <c r="A5079" s="2">
        <v>442421</v>
      </c>
      <c r="B5079" s="2" t="s">
        <v>89</v>
      </c>
      <c r="C5079" s="2">
        <v>2022</v>
      </c>
      <c r="D5079" s="2" t="s">
        <v>185</v>
      </c>
      <c r="E5079" s="2" t="s">
        <v>31</v>
      </c>
      <c r="F5079" s="2" t="s">
        <v>37</v>
      </c>
      <c r="G5079" s="7">
        <v>4669.6099999999997</v>
      </c>
      <c r="H5079" s="13">
        <f>IFERROR(IF(ABS($G5079)&gt;0,VLOOKUP($E5079,'Fuel Category and Heat Rate'!$B$1:$G$34,6,FALSE)*($G5079),""),"")</f>
        <v>44259363141771.117</v>
      </c>
      <c r="I5079" t="str">
        <f>IFERROR(VLOOKUP($E5079,'Fuel Category and Heat Rate'!$K$2:$M$36,3,FALSE),"")</f>
        <v>heat</v>
      </c>
    </row>
    <row r="5080" spans="1:9" x14ac:dyDescent="0.15">
      <c r="A5080" s="2">
        <v>443541</v>
      </c>
      <c r="B5080" s="2" t="s">
        <v>89</v>
      </c>
      <c r="C5080" s="2">
        <v>2021</v>
      </c>
      <c r="D5080" s="2" t="s">
        <v>185</v>
      </c>
      <c r="E5080" s="2" t="s">
        <v>31</v>
      </c>
      <c r="F5080" s="2" t="s">
        <v>37</v>
      </c>
      <c r="G5080" s="7">
        <v>4467.97</v>
      </c>
      <c r="H5080" s="13">
        <f>IFERROR(IF(ABS($G5080)&gt;0,VLOOKUP($E5080,'Fuel Category and Heat Rate'!$B$1:$G$34,6,FALSE)*($G5080),""),"")</f>
        <v>42348184695625.359</v>
      </c>
      <c r="I5080" t="str">
        <f>IFERROR(VLOOKUP($E5080,'Fuel Category and Heat Rate'!$K$2:$M$36,3,FALSE),"")</f>
        <v>heat</v>
      </c>
    </row>
    <row r="5081" spans="1:9" x14ac:dyDescent="0.15">
      <c r="A5081" s="2">
        <v>444661</v>
      </c>
      <c r="B5081" s="2" t="s">
        <v>89</v>
      </c>
      <c r="C5081" s="2">
        <v>2020</v>
      </c>
      <c r="D5081" s="2" t="s">
        <v>185</v>
      </c>
      <c r="E5081" s="2" t="s">
        <v>31</v>
      </c>
      <c r="F5081" s="2" t="s">
        <v>37</v>
      </c>
      <c r="G5081" s="7">
        <v>4080.87</v>
      </c>
      <c r="H5081" s="13">
        <f>IFERROR(IF(ABS($G5081)&gt;0,VLOOKUP($E5081,'Fuel Category and Heat Rate'!$B$1:$G$34,6,FALSE)*($G5081),""),"")</f>
        <v>38679184613781.344</v>
      </c>
      <c r="I5081" t="str">
        <f>IFERROR(VLOOKUP($E5081,'Fuel Category and Heat Rate'!$K$2:$M$36,3,FALSE),"")</f>
        <v>heat</v>
      </c>
    </row>
    <row r="5082" spans="1:9" x14ac:dyDescent="0.15">
      <c r="A5082" s="2">
        <v>445781</v>
      </c>
      <c r="B5082" s="2" t="s">
        <v>89</v>
      </c>
      <c r="C5082" s="2">
        <v>2019</v>
      </c>
      <c r="D5082" s="2" t="s">
        <v>185</v>
      </c>
      <c r="E5082" s="2" t="s">
        <v>31</v>
      </c>
      <c r="F5082" s="2" t="s">
        <v>37</v>
      </c>
      <c r="G5082" s="7">
        <v>3986.69</v>
      </c>
      <c r="H5082" s="13">
        <f>IFERROR(IF(ABS($G5082)&gt;0,VLOOKUP($E5082,'Fuel Category and Heat Rate'!$B$1:$G$34,6,FALSE)*($G5082),""),"")</f>
        <v>37786530447653.555</v>
      </c>
      <c r="I5082" t="str">
        <f>IFERROR(VLOOKUP($E5082,'Fuel Category and Heat Rate'!$K$2:$M$36,3,FALSE),"")</f>
        <v>heat</v>
      </c>
    </row>
    <row r="5083" spans="1:9" x14ac:dyDescent="0.15">
      <c r="A5083" s="2">
        <v>446901</v>
      </c>
      <c r="B5083" s="2" t="s">
        <v>89</v>
      </c>
      <c r="C5083" s="2">
        <v>2018</v>
      </c>
      <c r="D5083" s="2" t="s">
        <v>185</v>
      </c>
      <c r="E5083" s="2" t="s">
        <v>31</v>
      </c>
      <c r="F5083" s="2" t="s">
        <v>37</v>
      </c>
      <c r="G5083" s="7">
        <v>3986.69</v>
      </c>
      <c r="H5083" s="13">
        <f>IFERROR(IF(ABS($G5083)&gt;0,VLOOKUP($E5083,'Fuel Category and Heat Rate'!$B$1:$G$34,6,FALSE)*($G5083),""),"")</f>
        <v>37786530447653.555</v>
      </c>
      <c r="I5083" t="str">
        <f>IFERROR(VLOOKUP($E5083,'Fuel Category and Heat Rate'!$K$2:$M$36,3,FALSE),"")</f>
        <v>heat</v>
      </c>
    </row>
    <row r="5084" spans="1:9" x14ac:dyDescent="0.15">
      <c r="A5084" s="2">
        <v>460831</v>
      </c>
      <c r="B5084" s="2" t="s">
        <v>90</v>
      </c>
      <c r="C5084" s="2">
        <v>2022</v>
      </c>
      <c r="D5084" s="2" t="s">
        <v>185</v>
      </c>
      <c r="E5084" s="2" t="s">
        <v>31</v>
      </c>
      <c r="F5084" s="2" t="s">
        <v>37</v>
      </c>
      <c r="G5084" s="7">
        <v>7589.29</v>
      </c>
      <c r="H5084" s="13">
        <f>IFERROR(IF(ABS($G5084)&gt;0,VLOOKUP($E5084,'Fuel Category and Heat Rate'!$B$1:$G$34,6,FALSE)*($G5084),""),"")</f>
        <v>71932590108855.375</v>
      </c>
      <c r="I5084" t="str">
        <f>IFERROR(VLOOKUP($E5084,'Fuel Category and Heat Rate'!$K$2:$M$36,3,FALSE),"")</f>
        <v>heat</v>
      </c>
    </row>
    <row r="5085" spans="1:9" x14ac:dyDescent="0.15">
      <c r="A5085" s="2">
        <v>461951</v>
      </c>
      <c r="B5085" s="2" t="s">
        <v>90</v>
      </c>
      <c r="C5085" s="2">
        <v>2021</v>
      </c>
      <c r="D5085" s="2" t="s">
        <v>185</v>
      </c>
      <c r="E5085" s="2" t="s">
        <v>31</v>
      </c>
      <c r="F5085" s="2" t="s">
        <v>37</v>
      </c>
      <c r="G5085" s="7">
        <v>6651.31</v>
      </c>
      <c r="H5085" s="13">
        <f>IFERROR(IF(ABS($G5085)&gt;0,VLOOKUP($E5085,'Fuel Category and Heat Rate'!$B$1:$G$34,6,FALSE)*($G5085),""),"")</f>
        <v>63042255061663.328</v>
      </c>
      <c r="I5085" t="str">
        <f>IFERROR(VLOOKUP($E5085,'Fuel Category and Heat Rate'!$K$2:$M$36,3,FALSE),"")</f>
        <v>heat</v>
      </c>
    </row>
    <row r="5086" spans="1:9" x14ac:dyDescent="0.15">
      <c r="A5086" s="2">
        <v>463071</v>
      </c>
      <c r="B5086" s="2" t="s">
        <v>90</v>
      </c>
      <c r="C5086" s="2">
        <v>2020</v>
      </c>
      <c r="D5086" s="2" t="s">
        <v>185</v>
      </c>
      <c r="E5086" s="2" t="s">
        <v>31</v>
      </c>
      <c r="F5086" s="2" t="s">
        <v>37</v>
      </c>
      <c r="G5086" s="7">
        <v>6522.71</v>
      </c>
      <c r="H5086" s="13">
        <f>IFERROR(IF(ABS($G5086)&gt;0,VLOOKUP($E5086,'Fuel Category and Heat Rate'!$B$1:$G$34,6,FALSE)*($G5086),""),"")</f>
        <v>61823362241913.547</v>
      </c>
      <c r="I5086" t="str">
        <f>IFERROR(VLOOKUP($E5086,'Fuel Category and Heat Rate'!$K$2:$M$36,3,FALSE),"")</f>
        <v>heat</v>
      </c>
    </row>
    <row r="5087" spans="1:9" x14ac:dyDescent="0.15">
      <c r="A5087" s="2">
        <v>464191</v>
      </c>
      <c r="B5087" s="2" t="s">
        <v>90</v>
      </c>
      <c r="C5087" s="2">
        <v>2019</v>
      </c>
      <c r="D5087" s="2" t="s">
        <v>185</v>
      </c>
      <c r="E5087" s="2" t="s">
        <v>31</v>
      </c>
      <c r="F5087" s="2" t="s">
        <v>37</v>
      </c>
      <c r="G5087" s="7">
        <v>6521.76</v>
      </c>
      <c r="H5087" s="13">
        <f>IFERROR(IF(ABS($G5087)&gt;0,VLOOKUP($E5087,'Fuel Category and Heat Rate'!$B$1:$G$34,6,FALSE)*($G5087),""),"")</f>
        <v>61814357979248.211</v>
      </c>
      <c r="I5087" t="str">
        <f>IFERROR(VLOOKUP($E5087,'Fuel Category and Heat Rate'!$K$2:$M$36,3,FALSE),"")</f>
        <v>heat</v>
      </c>
    </row>
    <row r="5088" spans="1:9" x14ac:dyDescent="0.15">
      <c r="A5088" s="2">
        <v>465311</v>
      </c>
      <c r="B5088" s="2" t="s">
        <v>90</v>
      </c>
      <c r="C5088" s="2">
        <v>2018</v>
      </c>
      <c r="D5088" s="2" t="s">
        <v>185</v>
      </c>
      <c r="E5088" s="2" t="s">
        <v>31</v>
      </c>
      <c r="F5088" s="2" t="s">
        <v>37</v>
      </c>
      <c r="G5088" s="7">
        <v>4726.28</v>
      </c>
      <c r="H5088" s="13">
        <f>IFERROR(IF(ABS($G5088)&gt;0,VLOOKUP($E5088,'Fuel Category and Heat Rate'!$B$1:$G$34,6,FALSE)*($G5088),""),"")</f>
        <v>44796491105186.516</v>
      </c>
      <c r="I5088" t="str">
        <f>IFERROR(VLOOKUP($E5088,'Fuel Category and Heat Rate'!$K$2:$M$36,3,FALSE),"")</f>
        <v>heat</v>
      </c>
    </row>
    <row r="5089" spans="1:9" x14ac:dyDescent="0.15">
      <c r="A5089" s="2">
        <v>479241</v>
      </c>
      <c r="B5089" s="2" t="s">
        <v>91</v>
      </c>
      <c r="C5089" s="2">
        <v>2022</v>
      </c>
      <c r="D5089" s="2" t="s">
        <v>185</v>
      </c>
      <c r="E5089" s="2" t="s">
        <v>31</v>
      </c>
      <c r="F5089" s="2" t="s">
        <v>37</v>
      </c>
      <c r="G5089" s="7">
        <v>2161.41</v>
      </c>
      <c r="H5089" s="13">
        <f>IFERROR(IF(ABS($G5089)&gt;0,VLOOKUP($E5089,'Fuel Category and Heat Rate'!$B$1:$G$34,6,FALSE)*($G5089),""),"")</f>
        <v>20486214071037.094</v>
      </c>
      <c r="I5089" t="str">
        <f>IFERROR(VLOOKUP($E5089,'Fuel Category and Heat Rate'!$K$2:$M$36,3,FALSE),"")</f>
        <v>heat</v>
      </c>
    </row>
    <row r="5090" spans="1:9" x14ac:dyDescent="0.15">
      <c r="A5090" s="2">
        <v>480361</v>
      </c>
      <c r="B5090" s="2" t="s">
        <v>91</v>
      </c>
      <c r="C5090" s="2">
        <v>2021</v>
      </c>
      <c r="D5090" s="2" t="s">
        <v>185</v>
      </c>
      <c r="E5090" s="2" t="s">
        <v>31</v>
      </c>
      <c r="F5090" s="2" t="s">
        <v>37</v>
      </c>
      <c r="G5090" s="7">
        <v>2024.22</v>
      </c>
      <c r="H5090" s="13">
        <f>IFERROR(IF(ABS($G5090)&gt;0,VLOOKUP($E5090,'Fuel Category and Heat Rate'!$B$1:$G$34,6,FALSE)*($G5090),""),"")</f>
        <v>19185903760450.219</v>
      </c>
      <c r="I5090" t="str">
        <f>IFERROR(VLOOKUP($E5090,'Fuel Category and Heat Rate'!$K$2:$M$36,3,FALSE),"")</f>
        <v>heat</v>
      </c>
    </row>
    <row r="5091" spans="1:9" x14ac:dyDescent="0.15">
      <c r="A5091" s="2">
        <v>481481</v>
      </c>
      <c r="B5091" s="2" t="s">
        <v>91</v>
      </c>
      <c r="C5091" s="2">
        <v>2020</v>
      </c>
      <c r="D5091" s="2" t="s">
        <v>185</v>
      </c>
      <c r="E5091" s="2" t="s">
        <v>31</v>
      </c>
      <c r="F5091" s="2" t="s">
        <v>37</v>
      </c>
      <c r="G5091" s="7">
        <v>2444.7800000000002</v>
      </c>
      <c r="H5091" s="13">
        <f>IFERROR(IF(ABS($G5091)&gt;0,VLOOKUP($E5091,'Fuel Category and Heat Rate'!$B$1:$G$34,6,FALSE)*($G5091),""),"")</f>
        <v>23172043451538.609</v>
      </c>
      <c r="I5091" t="str">
        <f>IFERROR(VLOOKUP($E5091,'Fuel Category and Heat Rate'!$K$2:$M$36,3,FALSE),"")</f>
        <v>heat</v>
      </c>
    </row>
    <row r="5092" spans="1:9" x14ac:dyDescent="0.15">
      <c r="A5092" s="2">
        <v>482601</v>
      </c>
      <c r="B5092" s="2" t="s">
        <v>91</v>
      </c>
      <c r="C5092" s="2">
        <v>2019</v>
      </c>
      <c r="D5092" s="2" t="s">
        <v>185</v>
      </c>
      <c r="E5092" s="2" t="s">
        <v>31</v>
      </c>
      <c r="F5092" s="2" t="s">
        <v>37</v>
      </c>
      <c r="G5092" s="7">
        <v>1525.68</v>
      </c>
      <c r="H5092" s="13">
        <f>IFERROR(IF(ABS($G5092)&gt;0,VLOOKUP($E5092,'Fuel Category and Heat Rate'!$B$1:$G$34,6,FALSE)*($G5092),""),"")</f>
        <v>14460656277106.09</v>
      </c>
      <c r="I5092" t="str">
        <f>IFERROR(VLOOKUP($E5092,'Fuel Category and Heat Rate'!$K$2:$M$36,3,FALSE),"")</f>
        <v>heat</v>
      </c>
    </row>
    <row r="5093" spans="1:9" x14ac:dyDescent="0.15">
      <c r="A5093" s="2">
        <v>483721</v>
      </c>
      <c r="B5093" s="2" t="s">
        <v>91</v>
      </c>
      <c r="C5093" s="2">
        <v>2018</v>
      </c>
      <c r="D5093" s="2" t="s">
        <v>185</v>
      </c>
      <c r="E5093" s="2" t="s">
        <v>31</v>
      </c>
      <c r="F5093" s="2" t="s">
        <v>37</v>
      </c>
      <c r="G5093" s="7">
        <v>1178.1500000000001</v>
      </c>
      <c r="H5093" s="13">
        <f>IFERROR(IF(ABS($G5093)&gt;0,VLOOKUP($E5093,'Fuel Category and Heat Rate'!$B$1:$G$34,6,FALSE)*($G5093),""),"")</f>
        <v>11166707430701.418</v>
      </c>
      <c r="I5093" t="str">
        <f>IFERROR(VLOOKUP($E5093,'Fuel Category and Heat Rate'!$K$2:$M$36,3,FALSE),"")</f>
        <v>heat</v>
      </c>
    </row>
    <row r="5094" spans="1:9" x14ac:dyDescent="0.15">
      <c r="A5094" s="2">
        <v>497651</v>
      </c>
      <c r="B5094" s="2" t="s">
        <v>92</v>
      </c>
      <c r="C5094" s="2">
        <v>2022</v>
      </c>
      <c r="D5094" s="2" t="s">
        <v>185</v>
      </c>
      <c r="E5094" s="2" t="s">
        <v>31</v>
      </c>
      <c r="F5094" s="2" t="s">
        <v>37</v>
      </c>
      <c r="G5094" s="7">
        <v>7816.87</v>
      </c>
      <c r="H5094" s="13">
        <f>IFERROR(IF(ABS($G5094)&gt;0,VLOOKUP($E5094,'Fuel Category and Heat Rate'!$B$1:$G$34,6,FALSE)*($G5094),""),"")</f>
        <v>74089632316620.969</v>
      </c>
      <c r="I5094" t="str">
        <f>IFERROR(VLOOKUP($E5094,'Fuel Category and Heat Rate'!$K$2:$M$36,3,FALSE),"")</f>
        <v>heat</v>
      </c>
    </row>
    <row r="5095" spans="1:9" x14ac:dyDescent="0.15">
      <c r="A5095" s="2">
        <v>498771</v>
      </c>
      <c r="B5095" s="2" t="s">
        <v>92</v>
      </c>
      <c r="C5095" s="2">
        <v>2021</v>
      </c>
      <c r="D5095" s="2" t="s">
        <v>185</v>
      </c>
      <c r="E5095" s="2" t="s">
        <v>31</v>
      </c>
      <c r="F5095" s="2" t="s">
        <v>37</v>
      </c>
      <c r="G5095" s="7">
        <v>7180.93</v>
      </c>
      <c r="H5095" s="13">
        <f>IFERROR(IF(ABS($G5095)&gt;0,VLOOKUP($E5095,'Fuel Category and Heat Rate'!$B$1:$G$34,6,FALSE)*($G5095),""),"")</f>
        <v>68062084106732.367</v>
      </c>
      <c r="I5095" t="str">
        <f>IFERROR(VLOOKUP($E5095,'Fuel Category and Heat Rate'!$K$2:$M$36,3,FALSE),"")</f>
        <v>heat</v>
      </c>
    </row>
    <row r="5096" spans="1:9" x14ac:dyDescent="0.15">
      <c r="A5096" s="2">
        <v>499891</v>
      </c>
      <c r="B5096" s="2" t="s">
        <v>92</v>
      </c>
      <c r="C5096" s="2">
        <v>2020</v>
      </c>
      <c r="D5096" s="2" t="s">
        <v>185</v>
      </c>
      <c r="E5096" s="2" t="s">
        <v>31</v>
      </c>
      <c r="F5096" s="2" t="s">
        <v>37</v>
      </c>
      <c r="G5096" s="7">
        <v>4732.5</v>
      </c>
      <c r="H5096" s="13">
        <f>IFERROR(IF(ABS($G5096)&gt;0,VLOOKUP($E5096,'Fuel Category and Heat Rate'!$B$1:$G$34,6,FALSE)*($G5096),""),"")</f>
        <v>44855445330216.406</v>
      </c>
      <c r="I5096" t="str">
        <f>IFERROR(VLOOKUP($E5096,'Fuel Category and Heat Rate'!$K$2:$M$36,3,FALSE),"")</f>
        <v>heat</v>
      </c>
    </row>
    <row r="5097" spans="1:9" x14ac:dyDescent="0.15">
      <c r="A5097" s="2">
        <v>501011</v>
      </c>
      <c r="B5097" s="2" t="s">
        <v>92</v>
      </c>
      <c r="C5097" s="2">
        <v>2019</v>
      </c>
      <c r="D5097" s="2" t="s">
        <v>185</v>
      </c>
      <c r="E5097" s="2" t="s">
        <v>31</v>
      </c>
      <c r="F5097" s="2" t="s">
        <v>37</v>
      </c>
      <c r="G5097" s="7">
        <v>4205.91</v>
      </c>
      <c r="H5097" s="13">
        <f>IFERROR(IF(ABS($G5097)&gt;0,VLOOKUP($E5097,'Fuel Category and Heat Rate'!$B$1:$G$34,6,FALSE)*($G5097),""),"")</f>
        <v>39864335143964.18</v>
      </c>
      <c r="I5097" t="str">
        <f>IFERROR(VLOOKUP($E5097,'Fuel Category and Heat Rate'!$K$2:$M$36,3,FALSE),"")</f>
        <v>heat</v>
      </c>
    </row>
    <row r="5098" spans="1:9" x14ac:dyDescent="0.15">
      <c r="A5098" s="2">
        <v>502131</v>
      </c>
      <c r="B5098" s="2" t="s">
        <v>92</v>
      </c>
      <c r="C5098" s="2">
        <v>2018</v>
      </c>
      <c r="D5098" s="2" t="s">
        <v>185</v>
      </c>
      <c r="E5098" s="2" t="s">
        <v>31</v>
      </c>
      <c r="F5098" s="2" t="s">
        <v>37</v>
      </c>
      <c r="G5098" s="7">
        <v>2029.88</v>
      </c>
      <c r="H5098" s="13">
        <f>IFERROR(IF(ABS($G5098)&gt;0,VLOOKUP($E5098,'Fuel Category and Heat Rate'!$B$1:$G$34,6,FALSE)*($G5098),""),"")</f>
        <v>19239550209593.172</v>
      </c>
      <c r="I5098" t="str">
        <f>IFERROR(VLOOKUP($E5098,'Fuel Category and Heat Rate'!$K$2:$M$36,3,FALSE),"")</f>
        <v>heat</v>
      </c>
    </row>
    <row r="5099" spans="1:9" x14ac:dyDescent="0.15">
      <c r="A5099" s="2">
        <v>516061</v>
      </c>
      <c r="B5099" s="2" t="s">
        <v>93</v>
      </c>
      <c r="C5099" s="2">
        <v>2022</v>
      </c>
      <c r="D5099" s="2" t="s">
        <v>185</v>
      </c>
      <c r="E5099" s="2" t="s">
        <v>31</v>
      </c>
      <c r="F5099" s="2" t="s">
        <v>37</v>
      </c>
      <c r="G5099" s="7">
        <v>5634.17</v>
      </c>
      <c r="H5099" s="13">
        <f>IFERROR(IF(ABS($G5099)&gt;0,VLOOKUP($E5099,'Fuel Category and Heat Rate'!$B$1:$G$34,6,FALSE)*($G5099),""),"")</f>
        <v>53401627980168.07</v>
      </c>
      <c r="I5099" t="str">
        <f>IFERROR(VLOOKUP($E5099,'Fuel Category and Heat Rate'!$K$2:$M$36,3,FALSE),"")</f>
        <v>heat</v>
      </c>
    </row>
    <row r="5100" spans="1:9" x14ac:dyDescent="0.15">
      <c r="A5100" s="2">
        <v>517181</v>
      </c>
      <c r="B5100" s="2" t="s">
        <v>93</v>
      </c>
      <c r="C5100" s="2">
        <v>2021</v>
      </c>
      <c r="D5100" s="2" t="s">
        <v>185</v>
      </c>
      <c r="E5100" s="2" t="s">
        <v>31</v>
      </c>
      <c r="F5100" s="2" t="s">
        <v>37</v>
      </c>
      <c r="G5100" s="7">
        <v>6462.48</v>
      </c>
      <c r="H5100" s="13">
        <f>IFERROR(IF(ABS($G5100)&gt;0,VLOOKUP($E5100,'Fuel Category and Heat Rate'!$B$1:$G$34,6,FALSE)*($G5100),""),"")</f>
        <v>61252491988931.203</v>
      </c>
      <c r="I5100" t="str">
        <f>IFERROR(VLOOKUP($E5100,'Fuel Category and Heat Rate'!$K$2:$M$36,3,FALSE),"")</f>
        <v>heat</v>
      </c>
    </row>
    <row r="5101" spans="1:9" x14ac:dyDescent="0.15">
      <c r="A5101" s="2">
        <v>518301</v>
      </c>
      <c r="B5101" s="2" t="s">
        <v>93</v>
      </c>
      <c r="C5101" s="2">
        <v>2020</v>
      </c>
      <c r="D5101" s="2" t="s">
        <v>185</v>
      </c>
      <c r="E5101" s="2" t="s">
        <v>31</v>
      </c>
      <c r="F5101" s="2" t="s">
        <v>37</v>
      </c>
      <c r="G5101" s="7">
        <v>5609.13</v>
      </c>
      <c r="H5101" s="13">
        <f>IFERROR(IF(ABS($G5101)&gt;0,VLOOKUP($E5101,'Fuel Category and Heat Rate'!$B$1:$G$34,6,FALSE)*($G5101),""),"")</f>
        <v>53164294572652.25</v>
      </c>
      <c r="I5101" t="str">
        <f>IFERROR(VLOOKUP($E5101,'Fuel Category and Heat Rate'!$K$2:$M$36,3,FALSE),"")</f>
        <v>heat</v>
      </c>
    </row>
    <row r="5102" spans="1:9" x14ac:dyDescent="0.15">
      <c r="A5102" s="2">
        <v>519421</v>
      </c>
      <c r="B5102" s="2" t="s">
        <v>93</v>
      </c>
      <c r="C5102" s="2">
        <v>2019</v>
      </c>
      <c r="D5102" s="2" t="s">
        <v>185</v>
      </c>
      <c r="E5102" s="2" t="s">
        <v>31</v>
      </c>
      <c r="F5102" s="2" t="s">
        <v>37</v>
      </c>
      <c r="G5102" s="7">
        <v>4961.03</v>
      </c>
      <c r="H5102" s="13">
        <f>IFERROR(IF(ABS($G5102)&gt;0,VLOOKUP($E5102,'Fuel Category and Heat Rate'!$B$1:$G$34,6,FALSE)*($G5102),""),"")</f>
        <v>47021491800647.328</v>
      </c>
      <c r="I5102" t="str">
        <f>IFERROR(VLOOKUP($E5102,'Fuel Category and Heat Rate'!$K$2:$M$36,3,FALSE),"")</f>
        <v>heat</v>
      </c>
    </row>
    <row r="5103" spans="1:9" x14ac:dyDescent="0.15">
      <c r="A5103" s="2">
        <v>520541</v>
      </c>
      <c r="B5103" s="2" t="s">
        <v>93</v>
      </c>
      <c r="C5103" s="2">
        <v>2018</v>
      </c>
      <c r="D5103" s="2" t="s">
        <v>185</v>
      </c>
      <c r="E5103" s="2" t="s">
        <v>31</v>
      </c>
      <c r="F5103" s="2" t="s">
        <v>37</v>
      </c>
      <c r="G5103" s="7">
        <v>4353.88</v>
      </c>
      <c r="H5103" s="13">
        <f>IFERROR(IF(ABS($G5103)&gt;0,VLOOKUP($E5103,'Fuel Category and Heat Rate'!$B$1:$G$34,6,FALSE)*($G5103),""),"")</f>
        <v>41266820140374.563</v>
      </c>
      <c r="I5103" t="str">
        <f>IFERROR(VLOOKUP($E5103,'Fuel Category and Heat Rate'!$K$2:$M$36,3,FALSE),"")</f>
        <v>heat</v>
      </c>
    </row>
    <row r="5104" spans="1:9" x14ac:dyDescent="0.15">
      <c r="A5104" s="2">
        <v>534471</v>
      </c>
      <c r="B5104" s="2" t="s">
        <v>94</v>
      </c>
      <c r="C5104" s="2">
        <v>2022</v>
      </c>
      <c r="D5104" s="2" t="s">
        <v>185</v>
      </c>
      <c r="E5104" s="2" t="s">
        <v>31</v>
      </c>
      <c r="F5104" s="2" t="s">
        <v>37</v>
      </c>
      <c r="G5104" s="7">
        <v>10568.57</v>
      </c>
      <c r="H5104" s="13">
        <f>IFERROR(IF(ABS($G5104)&gt;0,VLOOKUP($E5104,'Fuel Category and Heat Rate'!$B$1:$G$34,6,FALSE)*($G5104),""),"")</f>
        <v>100170716081049.17</v>
      </c>
      <c r="I5104" t="str">
        <f>IFERROR(VLOOKUP($E5104,'Fuel Category and Heat Rate'!$K$2:$M$36,3,FALSE),"")</f>
        <v>heat</v>
      </c>
    </row>
    <row r="5105" spans="1:9" x14ac:dyDescent="0.15">
      <c r="A5105" s="2">
        <v>535591</v>
      </c>
      <c r="B5105" s="2" t="s">
        <v>94</v>
      </c>
      <c r="C5105" s="2">
        <v>2021</v>
      </c>
      <c r="D5105" s="2" t="s">
        <v>185</v>
      </c>
      <c r="E5105" s="2" t="s">
        <v>31</v>
      </c>
      <c r="F5105" s="2" t="s">
        <v>37</v>
      </c>
      <c r="G5105" s="7">
        <v>10538.04</v>
      </c>
      <c r="H5105" s="13">
        <f>IFERROR(IF(ABS($G5105)&gt;0,VLOOKUP($E5105,'Fuel Category and Heat Rate'!$B$1:$G$34,6,FALSE)*($G5105),""),"")</f>
        <v>99881347513498.938</v>
      </c>
      <c r="I5105" t="str">
        <f>IFERROR(VLOOKUP($E5105,'Fuel Category and Heat Rate'!$K$2:$M$36,3,FALSE),"")</f>
        <v>heat</v>
      </c>
    </row>
    <row r="5106" spans="1:9" x14ac:dyDescent="0.15">
      <c r="A5106" s="2">
        <v>536711</v>
      </c>
      <c r="B5106" s="2" t="s">
        <v>94</v>
      </c>
      <c r="C5106" s="2">
        <v>2020</v>
      </c>
      <c r="D5106" s="2" t="s">
        <v>185</v>
      </c>
      <c r="E5106" s="2" t="s">
        <v>31</v>
      </c>
      <c r="F5106" s="2" t="s">
        <v>37</v>
      </c>
      <c r="G5106" s="7">
        <v>8511.99</v>
      </c>
      <c r="H5106" s="13">
        <f>IFERROR(IF(ABS($G5106)&gt;0,VLOOKUP($E5106,'Fuel Category and Heat Rate'!$B$1:$G$34,6,FALSE)*($G5106),""),"")</f>
        <v>80678098699703.906</v>
      </c>
      <c r="I5106" t="str">
        <f>IFERROR(VLOOKUP($E5106,'Fuel Category and Heat Rate'!$K$2:$M$36,3,FALSE),"")</f>
        <v>heat</v>
      </c>
    </row>
    <row r="5107" spans="1:9" x14ac:dyDescent="0.15">
      <c r="A5107" s="2">
        <v>537831</v>
      </c>
      <c r="B5107" s="2" t="s">
        <v>94</v>
      </c>
      <c r="C5107" s="2">
        <v>2019</v>
      </c>
      <c r="D5107" s="2" t="s">
        <v>185</v>
      </c>
      <c r="E5107" s="2" t="s">
        <v>31</v>
      </c>
      <c r="F5107" s="2" t="s">
        <v>37</v>
      </c>
      <c r="G5107" s="7">
        <v>7843.28</v>
      </c>
      <c r="H5107" s="13">
        <f>IFERROR(IF(ABS($G5107)&gt;0,VLOOKUP($E5107,'Fuel Category and Heat Rate'!$B$1:$G$34,6,FALSE)*($G5107),""),"")</f>
        <v>74339950818717.328</v>
      </c>
      <c r="I5107" t="str">
        <f>IFERROR(VLOOKUP($E5107,'Fuel Category and Heat Rate'!$K$2:$M$36,3,FALSE),"")</f>
        <v>heat</v>
      </c>
    </row>
    <row r="5108" spans="1:9" x14ac:dyDescent="0.15">
      <c r="A5108" s="2">
        <v>538951</v>
      </c>
      <c r="B5108" s="2" t="s">
        <v>94</v>
      </c>
      <c r="C5108" s="2">
        <v>2018</v>
      </c>
      <c r="D5108" s="2" t="s">
        <v>185</v>
      </c>
      <c r="E5108" s="2" t="s">
        <v>31</v>
      </c>
      <c r="F5108" s="2" t="s">
        <v>37</v>
      </c>
      <c r="G5108" s="7">
        <v>6470.19</v>
      </c>
      <c r="H5108" s="13">
        <f>IFERROR(IF(ABS($G5108)&gt;0,VLOOKUP($E5108,'Fuel Category and Heat Rate'!$B$1:$G$34,6,FALSE)*($G5108),""),"")</f>
        <v>61325568689088.828</v>
      </c>
      <c r="I5108" t="str">
        <f>IFERROR(VLOOKUP($E5108,'Fuel Category and Heat Rate'!$K$2:$M$36,3,FALSE),"")</f>
        <v>heat</v>
      </c>
    </row>
    <row r="5109" spans="1:9" x14ac:dyDescent="0.15">
      <c r="A5109" s="2">
        <v>552881</v>
      </c>
      <c r="B5109" s="2" t="s">
        <v>95</v>
      </c>
      <c r="C5109" s="2">
        <v>2022</v>
      </c>
      <c r="D5109" s="2" t="s">
        <v>185</v>
      </c>
      <c r="E5109" s="2" t="s">
        <v>31</v>
      </c>
      <c r="F5109" s="2" t="s">
        <v>37</v>
      </c>
      <c r="G5109" s="7">
        <v>3654.48</v>
      </c>
      <c r="H5109" s="13">
        <f>IFERROR(IF(ABS($G5109)&gt;0,VLOOKUP($E5109,'Fuel Category and Heat Rate'!$B$1:$G$34,6,FALSE)*($G5109),""),"")</f>
        <v>34637787184441.469</v>
      </c>
      <c r="I5109" t="str">
        <f>IFERROR(VLOOKUP($E5109,'Fuel Category and Heat Rate'!$K$2:$M$36,3,FALSE),"")</f>
        <v>heat</v>
      </c>
    </row>
    <row r="5110" spans="1:9" x14ac:dyDescent="0.15">
      <c r="A5110" s="2">
        <v>554001</v>
      </c>
      <c r="B5110" s="2" t="s">
        <v>95</v>
      </c>
      <c r="C5110" s="2">
        <v>2021</v>
      </c>
      <c r="D5110" s="2" t="s">
        <v>185</v>
      </c>
      <c r="E5110" s="2" t="s">
        <v>31</v>
      </c>
      <c r="F5110" s="2" t="s">
        <v>37</v>
      </c>
      <c r="G5110" s="7">
        <v>3711.19</v>
      </c>
      <c r="H5110" s="13">
        <f>IFERROR(IF(ABS($G5110)&gt;0,VLOOKUP($E5110,'Fuel Category and Heat Rate'!$B$1:$G$34,6,FALSE)*($G5110),""),"")</f>
        <v>35175294274705.934</v>
      </c>
      <c r="I5110" t="str">
        <f>IFERROR(VLOOKUP($E5110,'Fuel Category and Heat Rate'!$K$2:$M$36,3,FALSE),"")</f>
        <v>heat</v>
      </c>
    </row>
    <row r="5111" spans="1:9" x14ac:dyDescent="0.15">
      <c r="A5111" s="2">
        <v>555121</v>
      </c>
      <c r="B5111" s="2" t="s">
        <v>95</v>
      </c>
      <c r="C5111" s="2">
        <v>2020</v>
      </c>
      <c r="D5111" s="2" t="s">
        <v>185</v>
      </c>
      <c r="E5111" s="2" t="s">
        <v>31</v>
      </c>
      <c r="F5111" s="2" t="s">
        <v>37</v>
      </c>
      <c r="G5111" s="7">
        <v>2708.9</v>
      </c>
      <c r="H5111" s="13">
        <f>IFERROR(IF(ABS($G5111)&gt;0,VLOOKUP($E5111,'Fuel Category and Heat Rate'!$B$1:$G$34,6,FALSE)*($G5111),""),"")</f>
        <v>25675418035926.727</v>
      </c>
      <c r="I5111" t="str">
        <f>IFERROR(VLOOKUP($E5111,'Fuel Category and Heat Rate'!$K$2:$M$36,3,FALSE),"")</f>
        <v>heat</v>
      </c>
    </row>
    <row r="5112" spans="1:9" x14ac:dyDescent="0.15">
      <c r="A5112" s="2">
        <v>556241</v>
      </c>
      <c r="B5112" s="2" t="s">
        <v>95</v>
      </c>
      <c r="C5112" s="2">
        <v>2019</v>
      </c>
      <c r="D5112" s="2" t="s">
        <v>185</v>
      </c>
      <c r="E5112" s="2" t="s">
        <v>31</v>
      </c>
      <c r="F5112" s="2" t="s">
        <v>37</v>
      </c>
      <c r="G5112" s="7">
        <v>2798.64</v>
      </c>
      <c r="H5112" s="13">
        <f>IFERROR(IF(ABS($G5112)&gt;0,VLOOKUP($E5112,'Fuel Category and Heat Rate'!$B$1:$G$34,6,FALSE)*($G5112),""),"")</f>
        <v>26525989121808.102</v>
      </c>
      <c r="I5112" t="str">
        <f>IFERROR(VLOOKUP($E5112,'Fuel Category and Heat Rate'!$K$2:$M$36,3,FALSE),"")</f>
        <v>heat</v>
      </c>
    </row>
    <row r="5113" spans="1:9" x14ac:dyDescent="0.15">
      <c r="A5113" s="2">
        <v>557361</v>
      </c>
      <c r="B5113" s="2" t="s">
        <v>95</v>
      </c>
      <c r="C5113" s="2">
        <v>2018</v>
      </c>
      <c r="D5113" s="2" t="s">
        <v>185</v>
      </c>
      <c r="E5113" s="2" t="s">
        <v>31</v>
      </c>
      <c r="F5113" s="2" t="s">
        <v>37</v>
      </c>
      <c r="G5113" s="7">
        <v>2168.67</v>
      </c>
      <c r="H5113" s="13">
        <f>IFERROR(IF(ABS($G5113)&gt;0,VLOOKUP($E5113,'Fuel Category and Heat Rate'!$B$1:$G$34,6,FALSE)*($G5113),""),"")</f>
        <v>20555025594142.719</v>
      </c>
      <c r="I5113" t="str">
        <f>IFERROR(VLOOKUP($E5113,'Fuel Category and Heat Rate'!$K$2:$M$36,3,FALSE),"")</f>
        <v>heat</v>
      </c>
    </row>
  </sheetData>
  <autoFilter ref="A1:I4961" xr:uid="{FB2539DF-81D4-4F01-B938-C9636459A705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79E7-4356-4C9C-ABE4-C98992816612}">
  <dimension ref="A1:Q38"/>
  <sheetViews>
    <sheetView tabSelected="1" topLeftCell="C13" workbookViewId="0">
      <selection activeCell="K45" sqref="A1:XFD1048576"/>
    </sheetView>
  </sheetViews>
  <sheetFormatPr defaultRowHeight="13.5" x14ac:dyDescent="0.15"/>
  <cols>
    <col min="1" max="1" width="17" customWidth="1"/>
    <col min="2" max="2" width="13" bestFit="1" customWidth="1"/>
    <col min="3" max="3" width="29.375" bestFit="1" customWidth="1"/>
    <col min="4" max="9" width="9.125" customWidth="1"/>
    <col min="11" max="11" width="40.5" bestFit="1" customWidth="1"/>
    <col min="12" max="16" width="9.125" customWidth="1"/>
  </cols>
  <sheetData>
    <row r="1" spans="1:17" x14ac:dyDescent="0.15">
      <c r="A1" s="3" t="s">
        <v>260</v>
      </c>
    </row>
    <row r="2" spans="1:17" x14ac:dyDescent="0.15">
      <c r="A2" s="40" t="str">
        <f>VLOOKUP(About!$B$16,'Region Selector'!B1:E33,2,FALSE)</f>
        <v>全国</v>
      </c>
    </row>
    <row r="4" spans="1:17" x14ac:dyDescent="0.15">
      <c r="A4" s="46" t="s">
        <v>0</v>
      </c>
      <c r="B4" s="46" t="s">
        <v>61</v>
      </c>
      <c r="C4" s="48" t="s">
        <v>294</v>
      </c>
      <c r="D4" s="48">
        <v>2018</v>
      </c>
      <c r="E4" s="48">
        <v>2019</v>
      </c>
      <c r="F4" s="48">
        <v>2020</v>
      </c>
      <c r="G4" s="48">
        <v>2021</v>
      </c>
      <c r="H4" s="48">
        <v>2022</v>
      </c>
      <c r="K4" s="33"/>
      <c r="L4" s="48">
        <v>2018</v>
      </c>
      <c r="M4" s="48">
        <v>2019</v>
      </c>
      <c r="N4" s="48">
        <v>2020</v>
      </c>
      <c r="O4" s="48">
        <v>2021</v>
      </c>
      <c r="P4" s="48">
        <v>2022</v>
      </c>
    </row>
    <row r="5" spans="1:17" x14ac:dyDescent="0.15">
      <c r="A5" s="56" t="s">
        <v>295</v>
      </c>
      <c r="B5" s="57"/>
      <c r="C5" s="57"/>
      <c r="D5" s="57"/>
      <c r="E5" s="57"/>
      <c r="F5" s="57"/>
      <c r="G5" s="57"/>
      <c r="H5" s="58"/>
      <c r="K5" s="45" t="s">
        <v>40</v>
      </c>
      <c r="L5" s="33">
        <f>SUMIFS(D$6:D$34,$C$6:$C$34,$K5)</f>
        <v>0</v>
      </c>
      <c r="M5" s="33">
        <f t="shared" ref="M5:P12" si="0">SUMIFS(E$6:E$34,$C$6:$C$34,$K5)</f>
        <v>0</v>
      </c>
      <c r="N5" s="33">
        <f t="shared" si="0"/>
        <v>0</v>
      </c>
      <c r="O5" s="33">
        <f t="shared" si="0"/>
        <v>0</v>
      </c>
      <c r="P5" s="33">
        <f t="shared" si="0"/>
        <v>0</v>
      </c>
    </row>
    <row r="6" spans="1:17" x14ac:dyDescent="0.15">
      <c r="A6" s="45" t="s">
        <v>1</v>
      </c>
      <c r="B6" s="45" t="s">
        <v>33</v>
      </c>
      <c r="C6" s="33" t="str">
        <f>VLOOKUP(B6,'Fuel Category and Heat Rate'!K$3:M$36,3,FALSE)</f>
        <v>biomass</v>
      </c>
      <c r="D6" s="33">
        <f>-SUMIFS(' Energy Balance'!$H:$H,' Energy Balance'!$B:$B,$A$2,' Energy Balance'!$C:$C,D$4,' Energy Balance'!$D:$D,$A6,' Energy Balance'!$E:$E,$B6)</f>
        <v>97865390253985.125</v>
      </c>
      <c r="E6" s="33">
        <f>-SUMIFS(' Energy Balance'!$H:$H,' Energy Balance'!$B:$B,$A$2,' Energy Balance'!$C:$C,E$4,' Energy Balance'!$D:$D,$A6,' Energy Balance'!$E:$E,$B6)</f>
        <v>108743638168538.64</v>
      </c>
      <c r="F6" s="33">
        <f>-SUMIFS(' Energy Balance'!$H:$H,' Energy Balance'!$B:$B,$A$2,' Energy Balance'!$C:$C,F$4,' Energy Balance'!$D:$D,$A6,' Energy Balance'!$E:$E,$B6)</f>
        <v>191355621884850.94</v>
      </c>
      <c r="G6" s="33">
        <f>-SUMIFS(' Energy Balance'!$H:$H,' Energy Balance'!$B:$B,$A$2,' Energy Balance'!$C:$C,G$4,' Energy Balance'!$D:$D,$A6,' Energy Balance'!$E:$E,$B6)</f>
        <v>252313760925547.22</v>
      </c>
      <c r="H6" s="33">
        <f>-SUMIFS(' Energy Balance'!$H:$H,' Energy Balance'!$B:$B,$A$2,' Energy Balance'!$C:$C,H$4,' Energy Balance'!$D:$D,$A6,' Energy Balance'!$E:$E,$B6)</f>
        <v>330883508678711.19</v>
      </c>
      <c r="K6" s="45" t="s">
        <v>41</v>
      </c>
      <c r="L6" s="33">
        <f t="shared" ref="L6:L12" si="1">SUMIFS(D$6:D$34,$C$6:$C$34,$K6)</f>
        <v>6333244459712725</v>
      </c>
      <c r="M6" s="33">
        <f t="shared" si="0"/>
        <v>6721300264815366</v>
      </c>
      <c r="N6" s="33">
        <f t="shared" si="0"/>
        <v>7276888945926418</v>
      </c>
      <c r="O6" s="33">
        <f t="shared" si="0"/>
        <v>8710520495573766</v>
      </c>
      <c r="P6" s="33">
        <f t="shared" si="0"/>
        <v>9933580729873210</v>
      </c>
    </row>
    <row r="7" spans="1:17" x14ac:dyDescent="0.15">
      <c r="A7" s="45" t="s">
        <v>1</v>
      </c>
      <c r="B7" s="45" t="s">
        <v>8</v>
      </c>
      <c r="C7" s="33" t="str">
        <f>VLOOKUP(B7,'Fuel Category and Heat Rate'!K$3:M$36,3,FALSE)</f>
        <v>coal</v>
      </c>
      <c r="D7" s="33">
        <f>-SUMIFS(' Energy Balance'!$H:$H,' Energy Balance'!$B:$B,$A$2,' Energy Balance'!$C:$C,D$4,' Energy Balance'!$D:$D,$A7,' Energy Balance'!$E:$E,$B7)</f>
        <v>4029201392513.96</v>
      </c>
      <c r="E7" s="33">
        <f>-SUMIFS(' Energy Balance'!$H:$H,' Energy Balance'!$B:$B,$A$2,' Energy Balance'!$C:$C,E$4,' Energy Balance'!$D:$D,$A7,' Energy Balance'!$E:$E,$B7)</f>
        <v>12804505562430.652</v>
      </c>
      <c r="F7" s="33">
        <f>-SUMIFS(' Energy Balance'!$H:$H,' Energy Balance'!$B:$B,$A$2,' Energy Balance'!$C:$C,F$4,' Energy Balance'!$D:$D,$A7,' Energy Balance'!$E:$E,$B7)</f>
        <v>75538766976174.766</v>
      </c>
      <c r="G7" s="33">
        <f>-SUMIFS(' Energy Balance'!$H:$H,' Energy Balance'!$B:$B,$A$2,' Energy Balance'!$C:$C,G$4,' Energy Balance'!$D:$D,$A7,' Energy Balance'!$E:$E,$B7)</f>
        <v>89857928848032.078</v>
      </c>
      <c r="H7" s="33">
        <f>-SUMIFS(' Energy Balance'!$H:$H,' Energy Balance'!$B:$B,$A$2,' Energy Balance'!$C:$C,H$4,' Energy Balance'!$D:$D,$A7,' Energy Balance'!$E:$E,$B7)</f>
        <v>44588031998495.625</v>
      </c>
      <c r="K7" s="45" t="s">
        <v>42</v>
      </c>
      <c r="L7" s="33">
        <f t="shared" si="1"/>
        <v>446938342932272.25</v>
      </c>
      <c r="M7" s="33">
        <f t="shared" si="0"/>
        <v>499281615186532.5</v>
      </c>
      <c r="N7" s="33">
        <f t="shared" si="0"/>
        <v>596002697108404.38</v>
      </c>
      <c r="O7" s="33">
        <f t="shared" si="0"/>
        <v>703965905406808.63</v>
      </c>
      <c r="P7" s="33">
        <f t="shared" si="0"/>
        <v>776386212540312.5</v>
      </c>
    </row>
    <row r="8" spans="1:17" x14ac:dyDescent="0.15">
      <c r="A8" s="45" t="s">
        <v>1</v>
      </c>
      <c r="B8" s="45" t="s">
        <v>7</v>
      </c>
      <c r="C8" s="33" t="str">
        <f>VLOOKUP(B8,'Fuel Category and Heat Rate'!K$3:M$36,3,FALSE)</f>
        <v>coal</v>
      </c>
      <c r="D8" s="33">
        <f>-SUMIFS(' Energy Balance'!$H:$H,' Energy Balance'!$B:$B,$A$2,' Energy Balance'!$C:$C,D$4,' Energy Balance'!$D:$D,$A8,' Energy Balance'!$E:$E,$B8)</f>
        <v>53648703241634.078</v>
      </c>
      <c r="E8" s="33">
        <f>-SUMIFS(' Energy Balance'!$H:$H,' Energy Balance'!$B:$B,$A$2,' Energy Balance'!$C:$C,E$4,' Energy Balance'!$D:$D,$A8,' Energy Balance'!$E:$E,$B8)</f>
        <v>51296170340176.773</v>
      </c>
      <c r="F8" s="33">
        <f>-SUMIFS(' Energy Balance'!$H:$H,' Energy Balance'!$B:$B,$A$2,' Energy Balance'!$C:$C,F$4,' Energy Balance'!$D:$D,$A8,' Energy Balance'!$E:$E,$B8)</f>
        <v>60545180428126.156</v>
      </c>
      <c r="G8" s="33">
        <f>-SUMIFS(' Energy Balance'!$H:$H,' Energy Balance'!$B:$B,$A$2,' Energy Balance'!$C:$C,G$4,' Energy Balance'!$D:$D,$A8,' Energy Balance'!$E:$E,$B8)</f>
        <v>64721640660065.539</v>
      </c>
      <c r="H8" s="33">
        <f>-SUMIFS(' Energy Balance'!$H:$H,' Energy Balance'!$B:$B,$A$2,' Energy Balance'!$C:$C,H$4,' Energy Balance'!$D:$D,$A8,' Energy Balance'!$E:$E,$B8)</f>
        <v>61595248251549.906</v>
      </c>
      <c r="K8" s="45" t="s">
        <v>43</v>
      </c>
      <c r="L8" s="33">
        <f t="shared" si="1"/>
        <v>97865390253985.125</v>
      </c>
      <c r="M8" s="33">
        <f t="shared" si="0"/>
        <v>108743638168538.64</v>
      </c>
      <c r="N8" s="33">
        <f t="shared" si="0"/>
        <v>191355621884850.94</v>
      </c>
      <c r="O8" s="33">
        <f t="shared" si="0"/>
        <v>252313760925547.22</v>
      </c>
      <c r="P8" s="33">
        <f t="shared" si="0"/>
        <v>330883508678711.19</v>
      </c>
    </row>
    <row r="9" spans="1:17" x14ac:dyDescent="0.15">
      <c r="A9" s="45" t="s">
        <v>1</v>
      </c>
      <c r="B9" s="45" t="s">
        <v>5</v>
      </c>
      <c r="C9" s="33" t="str">
        <f>VLOOKUP(B9,'Fuel Category and Heat Rate'!K$3:M$36,3,FALSE)</f>
        <v>coal</v>
      </c>
      <c r="D9" s="33">
        <f>-SUMIFS(' Energy Balance'!$H:$H,' Energy Balance'!$B:$B,$A$2,' Energy Balance'!$C:$C,D$4,' Energy Balance'!$D:$D,$A9,' Energy Balance'!$E:$E,$B9)</f>
        <v>95169865367790.719</v>
      </c>
      <c r="E9" s="33">
        <f>-SUMIFS(' Energy Balance'!$H:$H,' Energy Balance'!$B:$B,$A$2,' Energy Balance'!$C:$C,E$4,' Energy Balance'!$D:$D,$A9,' Energy Balance'!$E:$E,$B9)</f>
        <v>112071743026684.31</v>
      </c>
      <c r="F9" s="33">
        <f>-SUMIFS(' Energy Balance'!$H:$H,' Energy Balance'!$B:$B,$A$2,' Energy Balance'!$C:$C,F$4,' Energy Balance'!$D:$D,$A9,' Energy Balance'!$E:$E,$B9)</f>
        <v>118827579601591.69</v>
      </c>
      <c r="G9" s="33">
        <f>-SUMIFS(' Energy Balance'!$H:$H,' Energy Balance'!$B:$B,$A$2,' Energy Balance'!$C:$C,G$4,' Energy Balance'!$D:$D,$A9,' Energy Balance'!$E:$E,$B9)</f>
        <v>133411721000362.19</v>
      </c>
      <c r="H9" s="33">
        <f>-SUMIFS(' Energy Balance'!$H:$H,' Energy Balance'!$B:$B,$A$2,' Energy Balance'!$C:$C,H$4,' Energy Balance'!$D:$D,$A9,' Energy Balance'!$E:$E,$B9)</f>
        <v>119017025212456.75</v>
      </c>
      <c r="K9" s="45" t="s">
        <v>44</v>
      </c>
      <c r="L9" s="33">
        <f t="shared" si="1"/>
        <v>2126700496471.3481</v>
      </c>
      <c r="M9" s="33">
        <f t="shared" si="0"/>
        <v>2163004925284.2869</v>
      </c>
      <c r="N9" s="33">
        <f t="shared" si="0"/>
        <v>1176405211155.4094</v>
      </c>
      <c r="O9" s="33">
        <f t="shared" si="0"/>
        <v>1386621949918.5754</v>
      </c>
      <c r="P9" s="33">
        <f t="shared" si="0"/>
        <v>1350238283594.1812</v>
      </c>
    </row>
    <row r="10" spans="1:17" x14ac:dyDescent="0.15">
      <c r="A10" s="45" t="s">
        <v>1</v>
      </c>
      <c r="B10" s="45" t="s">
        <v>4</v>
      </c>
      <c r="C10" s="33" t="str">
        <f>VLOOKUP(B10,'Fuel Category and Heat Rate'!K$3:M$36,3,FALSE)</f>
        <v>coal</v>
      </c>
      <c r="D10" s="33">
        <f>-SUMIFS(' Energy Balance'!$H:$H,' Energy Balance'!$B:$B,$A$2,' Energy Balance'!$C:$C,D$4,' Energy Balance'!$D:$D,$A10,' Energy Balance'!$E:$E,$B10)</f>
        <v>0</v>
      </c>
      <c r="E10" s="33">
        <f>-SUMIFS(' Energy Balance'!$H:$H,' Energy Balance'!$B:$B,$A$2,' Energy Balance'!$C:$C,E$4,' Energy Balance'!$D:$D,$A10,' Energy Balance'!$E:$E,$B10)</f>
        <v>0</v>
      </c>
      <c r="F10" s="33">
        <f>-SUMIFS(' Energy Balance'!$H:$H,' Energy Balance'!$B:$B,$A$2,' Energy Balance'!$C:$C,F$4,' Energy Balance'!$D:$D,$A10,' Energy Balance'!$E:$E,$B10)</f>
        <v>0</v>
      </c>
      <c r="G10" s="33">
        <f>-SUMIFS(' Energy Balance'!$H:$H,' Energy Balance'!$B:$B,$A$2,' Energy Balance'!$C:$C,G$4,' Energy Balance'!$D:$D,$A10,' Energy Balance'!$E:$E,$B10)</f>
        <v>0</v>
      </c>
      <c r="H10" s="33">
        <f>-SUMIFS(' Energy Balance'!$H:$H,' Energy Balance'!$B:$B,$A$2,' Energy Balance'!$C:$C,H$4,' Energy Balance'!$D:$D,$A10,' Energy Balance'!$E:$E,$B10)</f>
        <v>0</v>
      </c>
      <c r="K10" s="45" t="s">
        <v>45</v>
      </c>
      <c r="L10" s="33">
        <f t="shared" si="1"/>
        <v>0</v>
      </c>
      <c r="M10" s="33">
        <f t="shared" si="0"/>
        <v>0</v>
      </c>
      <c r="N10" s="33">
        <f t="shared" si="0"/>
        <v>0</v>
      </c>
      <c r="O10" s="33">
        <f t="shared" si="0"/>
        <v>0</v>
      </c>
      <c r="P10" s="33">
        <f t="shared" si="0"/>
        <v>0</v>
      </c>
    </row>
    <row r="11" spans="1:17" x14ac:dyDescent="0.15">
      <c r="A11" s="45" t="s">
        <v>1</v>
      </c>
      <c r="B11" s="45" t="s">
        <v>6</v>
      </c>
      <c r="C11" s="33" t="str">
        <f>VLOOKUP(B11,'Fuel Category and Heat Rate'!K$3:M$36,3,FALSE)</f>
        <v>coal</v>
      </c>
      <c r="D11" s="33">
        <f>-SUMIFS(' Energy Balance'!$H:$H,' Energy Balance'!$B:$B,$A$2,' Energy Balance'!$C:$C,D$4,' Energy Balance'!$D:$D,$A11,' Energy Balance'!$E:$E,$B11)</f>
        <v>0</v>
      </c>
      <c r="E11" s="33">
        <f>-SUMIFS(' Energy Balance'!$H:$H,' Energy Balance'!$B:$B,$A$2,' Energy Balance'!$C:$C,E$4,' Energy Balance'!$D:$D,$A11,' Energy Balance'!$E:$E,$B11)</f>
        <v>0</v>
      </c>
      <c r="F11" s="33">
        <f>-SUMIFS(' Energy Balance'!$H:$H,' Energy Balance'!$B:$B,$A$2,' Energy Balance'!$C:$C,F$4,' Energy Balance'!$D:$D,$A11,' Energy Balance'!$E:$E,$B11)</f>
        <v>0</v>
      </c>
      <c r="G11" s="33">
        <f>-SUMIFS(' Energy Balance'!$H:$H,' Energy Balance'!$B:$B,$A$2,' Energy Balance'!$C:$C,G$4,' Energy Balance'!$D:$D,$A11,' Energy Balance'!$E:$E,$B11)</f>
        <v>0</v>
      </c>
      <c r="H11" s="33">
        <f>-SUMIFS(' Energy Balance'!$H:$H,' Energy Balance'!$B:$B,$A$2,' Energy Balance'!$C:$C,H$4,' Energy Balance'!$D:$D,$A11,' Energy Balance'!$E:$E,$B11)</f>
        <v>0</v>
      </c>
      <c r="K11" s="45" t="s">
        <v>46</v>
      </c>
      <c r="L11" s="33">
        <f t="shared" si="1"/>
        <v>0</v>
      </c>
      <c r="M11" s="33">
        <f t="shared" si="0"/>
        <v>0</v>
      </c>
      <c r="N11" s="33">
        <f t="shared" si="0"/>
        <v>0</v>
      </c>
      <c r="O11" s="33">
        <f t="shared" si="0"/>
        <v>0</v>
      </c>
      <c r="P11" s="33">
        <f t="shared" si="0"/>
        <v>0</v>
      </c>
    </row>
    <row r="12" spans="1:17" x14ac:dyDescent="0.15">
      <c r="A12" s="45" t="s">
        <v>1</v>
      </c>
      <c r="B12" s="45" t="s">
        <v>3</v>
      </c>
      <c r="C12" s="33" t="str">
        <f>VLOOKUP(B12,'Fuel Category and Heat Rate'!K$3:M$36,3,FALSE)</f>
        <v>coal</v>
      </c>
      <c r="D12" s="33">
        <f>-SUMIFS(' Energy Balance'!$H:$H,' Energy Balance'!$B:$B,$A$2,' Energy Balance'!$C:$C,D$4,' Energy Balance'!$D:$D,$A12,' Energy Balance'!$E:$E,$B12)</f>
        <v>6180396689710786</v>
      </c>
      <c r="E12" s="33">
        <f>-SUMIFS(' Energy Balance'!$H:$H,' Energy Balance'!$B:$B,$A$2,' Energy Balance'!$C:$C,E$4,' Energy Balance'!$D:$D,$A12,' Energy Balance'!$E:$E,$B12)</f>
        <v>6545127845886074</v>
      </c>
      <c r="F12" s="33">
        <f>-SUMIFS(' Energy Balance'!$H:$H,' Energy Balance'!$B:$B,$A$2,' Energy Balance'!$C:$C,F$4,' Energy Balance'!$D:$D,$A12,' Energy Balance'!$E:$E,$B12)</f>
        <v>7021977418920525</v>
      </c>
      <c r="G12" s="33">
        <f>-SUMIFS(' Energy Balance'!$H:$H,' Energy Balance'!$B:$B,$A$2,' Energy Balance'!$C:$C,G$4,' Energy Balance'!$D:$D,$A12,' Energy Balance'!$E:$E,$B12)</f>
        <v>8422529205065306</v>
      </c>
      <c r="H12" s="33">
        <f>-SUMIFS(' Energy Balance'!$H:$H,' Energy Balance'!$B:$B,$A$2,' Energy Balance'!$C:$C,H$4,' Energy Balance'!$D:$D,$A12,' Energy Balance'!$E:$E,$B12)</f>
        <v>9708380424410708</v>
      </c>
      <c r="K12" s="45" t="s">
        <v>47</v>
      </c>
      <c r="L12" s="33">
        <f t="shared" si="1"/>
        <v>29198908095718.344</v>
      </c>
      <c r="M12" s="33">
        <f t="shared" si="0"/>
        <v>32758297676848.102</v>
      </c>
      <c r="N12" s="33">
        <f t="shared" si="0"/>
        <v>97123361573702.469</v>
      </c>
      <c r="O12" s="33">
        <f t="shared" si="0"/>
        <v>102676395377552.77</v>
      </c>
      <c r="P12" s="33">
        <f t="shared" si="0"/>
        <v>101121479398460.28</v>
      </c>
    </row>
    <row r="13" spans="1:17" x14ac:dyDescent="0.15">
      <c r="A13" s="45" t="s">
        <v>1</v>
      </c>
      <c r="B13" s="45" t="s">
        <v>15</v>
      </c>
      <c r="C13" s="33" t="str">
        <f>VLOOKUP(B13,'Fuel Category and Heat Rate'!K$3:M$36,3,FALSE)</f>
        <v>crude oil</v>
      </c>
      <c r="D13" s="33">
        <f>-SUMIFS(' Energy Balance'!$H:$H,' Energy Balance'!$B:$B,$A$2,' Energy Balance'!$C:$C,D$4,' Energy Balance'!$D:$D,$A13,' Energy Balance'!$E:$E,$B13)</f>
        <v>0</v>
      </c>
      <c r="E13" s="33">
        <f>-SUMIFS(' Energy Balance'!$H:$H,' Energy Balance'!$B:$B,$A$2,' Energy Balance'!$C:$C,E$4,' Energy Balance'!$D:$D,$A13,' Energy Balance'!$E:$E,$B13)</f>
        <v>0</v>
      </c>
      <c r="F13" s="33">
        <f>-SUMIFS(' Energy Balance'!$H:$H,' Energy Balance'!$B:$B,$A$2,' Energy Balance'!$C:$C,F$4,' Energy Balance'!$D:$D,$A13,' Energy Balance'!$E:$E,$B13)</f>
        <v>0</v>
      </c>
      <c r="G13" s="33">
        <f>-SUMIFS(' Energy Balance'!$H:$H,' Energy Balance'!$B:$B,$A$2,' Energy Balance'!$C:$C,G$4,' Energy Balance'!$D:$D,$A13,' Energy Balance'!$E:$E,$B13)</f>
        <v>0</v>
      </c>
      <c r="H13" s="33">
        <f>-SUMIFS(' Energy Balance'!$H:$H,' Energy Balance'!$B:$B,$A$2,' Energy Balance'!$C:$C,H$4,' Energy Balance'!$D:$D,$A13,' Energy Balance'!$E:$E,$B13)</f>
        <v>0</v>
      </c>
      <c r="K13" s="45" t="s">
        <v>48</v>
      </c>
      <c r="L13" s="33">
        <f>SUMIFS(D$6:D$34,$C$6:$C$34,$K13)</f>
        <v>447027094537222.94</v>
      </c>
      <c r="M13" s="33">
        <f t="shared" ref="M13:M14" si="2">SUMIFS(E$6:E$34,$C$6:$C$34,$K13)</f>
        <v>487910036895203.31</v>
      </c>
      <c r="N13" s="33">
        <f t="shared" ref="N13:N14" si="3">SUMIFS(F$6:F$34,$C$6:$C$34,$K13)</f>
        <v>385900046334040.06</v>
      </c>
      <c r="O13" s="33">
        <f t="shared" ref="O13:O14" si="4">SUMIFS(G$6:G$34,$C$6:$C$34,$K13)</f>
        <v>368374285873112.81</v>
      </c>
      <c r="P13" s="33">
        <f t="shared" ref="P13:P14" si="5">SUMIFS(H$6:H$34,$C$6:$C$34,$K13)</f>
        <v>393514346847136.19</v>
      </c>
    </row>
    <row r="14" spans="1:17" x14ac:dyDescent="0.15">
      <c r="A14" s="45" t="s">
        <v>1</v>
      </c>
      <c r="B14" s="45" t="s">
        <v>32</v>
      </c>
      <c r="C14" s="33" t="str">
        <f>VLOOKUP(B14,'Fuel Category and Heat Rate'!K$3:M$36,3,FALSE)</f>
        <v>electricity</v>
      </c>
      <c r="D14" s="33">
        <f>-SUMIFS(' Energy Balance'!$H:$H,' Energy Balance'!$B:$B,$A$2,' Energy Balance'!$C:$C,D$4,' Energy Balance'!$D:$D,$A14,' Energy Balance'!$E:$E,$B14)</f>
        <v>0</v>
      </c>
      <c r="E14" s="33">
        <f>-SUMIFS(' Energy Balance'!$H:$H,' Energy Balance'!$B:$B,$A$2,' Energy Balance'!$C:$C,E$4,' Energy Balance'!$D:$D,$A14,' Energy Balance'!$E:$E,$B14)</f>
        <v>0</v>
      </c>
      <c r="F14" s="33">
        <f>-SUMIFS(' Energy Balance'!$H:$H,' Energy Balance'!$B:$B,$A$2,' Energy Balance'!$C:$C,F$4,' Energy Balance'!$D:$D,$A14,' Energy Balance'!$E:$E,$B14)</f>
        <v>0</v>
      </c>
      <c r="G14" s="33">
        <f>-SUMIFS(' Energy Balance'!$H:$H,' Energy Balance'!$B:$B,$A$2,' Energy Balance'!$C:$C,G$4,' Energy Balance'!$D:$D,$A14,' Energy Balance'!$E:$E,$B14)</f>
        <v>0</v>
      </c>
      <c r="H14" s="33">
        <f>-SUMIFS(' Energy Balance'!$H:$H,' Energy Balance'!$B:$B,$A$2,' Energy Balance'!$C:$C,H$4,' Energy Balance'!$D:$D,$A14,' Energy Balance'!$E:$E,$B14)</f>
        <v>0</v>
      </c>
      <c r="K14" s="45" t="s">
        <v>49</v>
      </c>
      <c r="L14" s="33">
        <f t="shared" ref="L14" si="6">SUMIFS(D$6:D$34,$C$6:$C$34,$K14)</f>
        <v>0</v>
      </c>
      <c r="M14" s="33">
        <f t="shared" si="2"/>
        <v>0</v>
      </c>
      <c r="N14" s="33">
        <f t="shared" si="3"/>
        <v>0</v>
      </c>
      <c r="O14" s="33">
        <f t="shared" si="4"/>
        <v>0</v>
      </c>
      <c r="P14" s="33">
        <f t="shared" si="5"/>
        <v>0</v>
      </c>
    </row>
    <row r="15" spans="1:17" x14ac:dyDescent="0.15">
      <c r="A15" s="45" t="s">
        <v>1</v>
      </c>
      <c r="B15" s="45" t="s">
        <v>28</v>
      </c>
      <c r="C15" s="33" t="str">
        <f>VLOOKUP(B15,'Fuel Category and Heat Rate'!K$3:M$36,3,FALSE)</f>
        <v>heavy or residual fuel oil</v>
      </c>
      <c r="D15" s="33">
        <f>-SUMIFS(' Energy Balance'!$H:$H,' Energy Balance'!$B:$B,$A$2,' Energy Balance'!$C:$C,D$4,' Energy Balance'!$D:$D,$A15,' Energy Balance'!$E:$E,$B15)</f>
        <v>5604835042618.834</v>
      </c>
      <c r="E15" s="33">
        <f>-SUMIFS(' Energy Balance'!$H:$H,' Energy Balance'!$B:$B,$A$2,' Energy Balance'!$C:$C,E$4,' Energy Balance'!$D:$D,$A15,' Energy Balance'!$E:$E,$B15)</f>
        <v>8894713962298.7734</v>
      </c>
      <c r="F15" s="33">
        <f>-SUMIFS(' Energy Balance'!$H:$H,' Energy Balance'!$B:$B,$A$2,' Energy Balance'!$C:$C,F$4,' Energy Balance'!$D:$D,$A15,' Energy Balance'!$E:$E,$B15)</f>
        <v>5418395623321.7422</v>
      </c>
      <c r="G15" s="33">
        <f>-SUMIFS(' Energy Balance'!$H:$H,' Energy Balance'!$B:$B,$A$2,' Energy Balance'!$C:$C,G$4,' Energy Balance'!$D:$D,$A15,' Energy Balance'!$E:$E,$B15)</f>
        <v>5985482190350.3975</v>
      </c>
      <c r="H15" s="33">
        <f>-SUMIFS(' Energy Balance'!$H:$H,' Energy Balance'!$B:$B,$A$2,' Energy Balance'!$C:$C,H$4,' Energy Balance'!$D:$D,$A15,' Energy Balance'!$E:$E,$B15)</f>
        <v>6241836391883.8994</v>
      </c>
    </row>
    <row r="16" spans="1:17" x14ac:dyDescent="0.15">
      <c r="A16" s="45" t="s">
        <v>1</v>
      </c>
      <c r="B16" s="45" t="s">
        <v>19</v>
      </c>
      <c r="C16" s="33" t="str">
        <f>VLOOKUP(B16,'Fuel Category and Heat Rate'!K$3:M$36,3,FALSE)</f>
        <v>heavy or residual fuel oil</v>
      </c>
      <c r="D16" s="33">
        <f>-SUMIFS(' Energy Balance'!$H:$H,' Energy Balance'!$B:$B,$A$2,' Energy Balance'!$C:$C,D$4,' Energy Balance'!$D:$D,$A16,' Energy Balance'!$E:$E,$B16)</f>
        <v>23594073053099.512</v>
      </c>
      <c r="E16" s="33">
        <f>-SUMIFS(' Energy Balance'!$H:$H,' Energy Balance'!$B:$B,$A$2,' Energy Balance'!$C:$C,E$4,' Energy Balance'!$D:$D,$A16,' Energy Balance'!$E:$E,$B16)</f>
        <v>23863583714549.328</v>
      </c>
      <c r="F16" s="33">
        <f>-SUMIFS(' Energy Balance'!$H:$H,' Energy Balance'!$B:$B,$A$2,' Energy Balance'!$C:$C,F$4,' Energy Balance'!$D:$D,$A16,' Energy Balance'!$E:$E,$B16)</f>
        <v>91704965950380.734</v>
      </c>
      <c r="G16" s="33">
        <f>-SUMIFS(' Energy Balance'!$H:$H,' Energy Balance'!$B:$B,$A$2,' Energy Balance'!$C:$C,G$4,' Energy Balance'!$D:$D,$A16,' Energy Balance'!$E:$E,$B16)</f>
        <v>96690913187202.375</v>
      </c>
      <c r="H16" s="33">
        <f>-SUMIFS(' Energy Balance'!$H:$H,' Energy Balance'!$B:$B,$A$2,' Energy Balance'!$C:$C,H$4,' Energy Balance'!$D:$D,$A16,' Energy Balance'!$E:$E,$B16)</f>
        <v>94879643006576.375</v>
      </c>
      <c r="K16" s="47" t="s">
        <v>298</v>
      </c>
      <c r="L16" s="48">
        <v>2018</v>
      </c>
      <c r="M16" s="48">
        <v>2019</v>
      </c>
      <c r="N16" s="48">
        <v>2020</v>
      </c>
      <c r="O16" s="48">
        <v>2021</v>
      </c>
      <c r="P16" s="48">
        <v>2022</v>
      </c>
      <c r="Q16" s="3"/>
    </row>
    <row r="17" spans="1:16" x14ac:dyDescent="0.15">
      <c r="A17" s="45" t="s">
        <v>1</v>
      </c>
      <c r="B17" s="45" t="s">
        <v>23</v>
      </c>
      <c r="C17" s="33" t="str">
        <f>VLOOKUP(B17,'Fuel Category and Heat Rate'!K$3:M$36,3,FALSE)</f>
        <v>heavy or residual fuel oil</v>
      </c>
      <c r="D17" s="33">
        <f>-SUMIFS(' Energy Balance'!$H:$H,' Energy Balance'!$B:$B,$A$2,' Energy Balance'!$C:$C,D$4,' Energy Balance'!$D:$D,$A17,' Energy Balance'!$E:$E,$B17)</f>
        <v>0</v>
      </c>
      <c r="E17" s="33">
        <f>-SUMIFS(' Energy Balance'!$H:$H,' Energy Balance'!$B:$B,$A$2,' Energy Balance'!$C:$C,E$4,' Energy Balance'!$D:$D,$A17,' Energy Balance'!$E:$E,$B17)</f>
        <v>0</v>
      </c>
      <c r="F17" s="33">
        <f>-SUMIFS(' Energy Balance'!$H:$H,' Energy Balance'!$B:$B,$A$2,' Energy Balance'!$C:$C,F$4,' Energy Balance'!$D:$D,$A17,' Energy Balance'!$E:$E,$B17)</f>
        <v>0</v>
      </c>
      <c r="G17" s="33">
        <f>-SUMIFS(' Energy Balance'!$H:$H,' Energy Balance'!$B:$B,$A$2,' Energy Balance'!$C:$C,G$4,' Energy Balance'!$D:$D,$A17,' Energy Balance'!$E:$E,$B17)</f>
        <v>0</v>
      </c>
      <c r="H17" s="33">
        <f>-SUMIFS(' Energy Balance'!$H:$H,' Energy Balance'!$B:$B,$A$2,' Energy Balance'!$C:$C,H$4,' Energy Balance'!$D:$D,$A17,' Energy Balance'!$E:$E,$B17)</f>
        <v>0</v>
      </c>
      <c r="K17" s="45" t="s">
        <v>40</v>
      </c>
      <c r="L17" s="49">
        <f>L5/SUM(L$5:L$14)</f>
        <v>0</v>
      </c>
      <c r="M17" s="49">
        <f t="shared" ref="M17:P17" si="7">M5/SUM(M$5:M$14)</f>
        <v>0</v>
      </c>
      <c r="N17" s="49">
        <f t="shared" si="7"/>
        <v>0</v>
      </c>
      <c r="O17" s="49">
        <f t="shared" si="7"/>
        <v>0</v>
      </c>
      <c r="P17" s="49">
        <f t="shared" si="7"/>
        <v>0</v>
      </c>
    </row>
    <row r="18" spans="1:16" x14ac:dyDescent="0.15">
      <c r="A18" s="45" t="s">
        <v>1</v>
      </c>
      <c r="B18" s="45" t="s">
        <v>22</v>
      </c>
      <c r="C18" s="33" t="str">
        <f>VLOOKUP(B18,'Fuel Category and Heat Rate'!K$3:M$36,3,FALSE)</f>
        <v>heavy fuel oil</v>
      </c>
      <c r="D18" s="33">
        <f>-SUMIFS(' Energy Balance'!$H:$H,' Energy Balance'!$B:$B,$A$2,' Energy Balance'!$C:$C,D$4,' Energy Balance'!$D:$D,$A18,' Energy Balance'!$E:$E,$B18)</f>
        <v>0</v>
      </c>
      <c r="E18" s="33">
        <f>-SUMIFS(' Energy Balance'!$H:$H,' Energy Balance'!$B:$B,$A$2,' Energy Balance'!$C:$C,E$4,' Energy Balance'!$D:$D,$A18,' Energy Balance'!$E:$E,$B18)</f>
        <v>0</v>
      </c>
      <c r="F18" s="33">
        <f>-SUMIFS(' Energy Balance'!$H:$H,' Energy Balance'!$B:$B,$A$2,' Energy Balance'!$C:$C,F$4,' Energy Balance'!$D:$D,$A18,' Energy Balance'!$E:$E,$B18)</f>
        <v>0</v>
      </c>
      <c r="G18" s="33">
        <f>-SUMIFS(' Energy Balance'!$H:$H,' Energy Balance'!$B:$B,$A$2,' Energy Balance'!$C:$C,G$4,' Energy Balance'!$D:$D,$A18,' Energy Balance'!$E:$E,$B18)</f>
        <v>0</v>
      </c>
      <c r="H18" s="33">
        <f>-SUMIFS(' Energy Balance'!$H:$H,' Energy Balance'!$B:$B,$A$2,' Energy Balance'!$C:$C,H$4,' Energy Balance'!$D:$D,$A18,' Energy Balance'!$E:$E,$B18)</f>
        <v>0</v>
      </c>
      <c r="K18" s="45" t="s">
        <v>41</v>
      </c>
      <c r="L18" s="49">
        <f t="shared" ref="L18:P26" si="8">L6/SUM(L$5:L$14)</f>
        <v>0.86091616664501591</v>
      </c>
      <c r="M18" s="49">
        <f t="shared" si="8"/>
        <v>0.8559814057015297</v>
      </c>
      <c r="N18" s="49">
        <f t="shared" si="8"/>
        <v>0.85125273391715151</v>
      </c>
      <c r="O18" s="49">
        <f t="shared" si="8"/>
        <v>0.85909029407292792</v>
      </c>
      <c r="P18" s="49">
        <f t="shared" si="8"/>
        <v>0.86103159357616543</v>
      </c>
    </row>
    <row r="19" spans="1:16" x14ac:dyDescent="0.15">
      <c r="A19" s="45" t="s">
        <v>1</v>
      </c>
      <c r="B19" s="45" t="s">
        <v>25</v>
      </c>
      <c r="C19" s="33" t="str">
        <f>VLOOKUP(B19,'Fuel Category and Heat Rate'!K$3:M$36,3,FALSE)</f>
        <v>heavy fuel oil</v>
      </c>
      <c r="D19" s="33">
        <f>-SUMIFS(' Energy Balance'!$H:$H,' Energy Balance'!$B:$B,$A$2,' Energy Balance'!$C:$C,D$4,' Energy Balance'!$D:$D,$A19,' Energy Balance'!$E:$E,$B19)</f>
        <v>60247944125422.359</v>
      </c>
      <c r="E19" s="33">
        <f>-SUMIFS(' Energy Balance'!$H:$H,' Energy Balance'!$B:$B,$A$2,' Energy Balance'!$C:$C,E$4,' Energy Balance'!$D:$D,$A19,' Energy Balance'!$E:$E,$B19)</f>
        <v>67881510348480.602</v>
      </c>
      <c r="F19" s="33">
        <f>-SUMIFS(' Energy Balance'!$H:$H,' Energy Balance'!$B:$B,$A$2,' Energy Balance'!$C:$C,F$4,' Energy Balance'!$D:$D,$A19,' Energy Balance'!$E:$E,$B19)</f>
        <v>77683118386576.406</v>
      </c>
      <c r="G19" s="33">
        <f>-SUMIFS(' Energy Balance'!$H:$H,' Energy Balance'!$B:$B,$A$2,' Energy Balance'!$C:$C,G$4,' Energy Balance'!$D:$D,$A19,' Energy Balance'!$E:$E,$B19)</f>
        <v>65440949310882.453</v>
      </c>
      <c r="H19" s="33">
        <f>-SUMIFS(' Energy Balance'!$H:$H,' Energy Balance'!$B:$B,$A$2,' Energy Balance'!$C:$C,H$4,' Energy Balance'!$D:$D,$A19,' Energy Balance'!$E:$E,$B19)</f>
        <v>64523467928261.805</v>
      </c>
      <c r="K19" s="45" t="s">
        <v>42</v>
      </c>
      <c r="L19" s="49">
        <f t="shared" si="8"/>
        <v>6.0755028069985596E-2</v>
      </c>
      <c r="M19" s="49">
        <f t="shared" si="8"/>
        <v>6.3585282902107979E-2</v>
      </c>
      <c r="N19" s="49">
        <f t="shared" si="8"/>
        <v>6.9720581021033401E-2</v>
      </c>
      <c r="O19" s="49">
        <f t="shared" si="8"/>
        <v>6.9429866676803412E-2</v>
      </c>
      <c r="P19" s="49">
        <f t="shared" si="8"/>
        <v>6.7296282779863326E-2</v>
      </c>
    </row>
    <row r="20" spans="1:16" x14ac:dyDescent="0.15">
      <c r="A20" s="45" t="s">
        <v>1</v>
      </c>
      <c r="B20" s="45" t="s">
        <v>24</v>
      </c>
      <c r="C20" s="33" t="str">
        <f>VLOOKUP(B20,'Fuel Category and Heat Rate'!K$3:M$36,3,FALSE)</f>
        <v>heavy fuel oil</v>
      </c>
      <c r="D20" s="33">
        <f>-SUMIFS(' Energy Balance'!$H:$H,' Energy Balance'!$B:$B,$A$2,' Energy Balance'!$C:$C,D$4,' Energy Balance'!$D:$D,$A20,' Energy Balance'!$E:$E,$B20)</f>
        <v>0</v>
      </c>
      <c r="E20" s="33">
        <f>-SUMIFS(' Energy Balance'!$H:$H,' Energy Balance'!$B:$B,$A$2,' Energy Balance'!$C:$C,E$4,' Energy Balance'!$D:$D,$A20,' Energy Balance'!$E:$E,$B20)</f>
        <v>0</v>
      </c>
      <c r="F20" s="33">
        <f>-SUMIFS(' Energy Balance'!$H:$H,' Energy Balance'!$B:$B,$A$2,' Energy Balance'!$C:$C,F$4,' Energy Balance'!$D:$D,$A20,' Energy Balance'!$E:$E,$B20)</f>
        <v>0</v>
      </c>
      <c r="G20" s="33">
        <f>-SUMIFS(' Energy Balance'!$H:$H,' Energy Balance'!$B:$B,$A$2,' Energy Balance'!$C:$C,G$4,' Energy Balance'!$D:$D,$A20,' Energy Balance'!$E:$E,$B20)</f>
        <v>0</v>
      </c>
      <c r="H20" s="33">
        <f>-SUMIFS(' Energy Balance'!$H:$H,' Energy Balance'!$B:$B,$A$2,' Energy Balance'!$C:$C,H$4,' Energy Balance'!$D:$D,$A20,' Energy Balance'!$E:$E,$B20)</f>
        <v>0</v>
      </c>
      <c r="K20" s="45" t="s">
        <v>43</v>
      </c>
      <c r="L20" s="49">
        <f t="shared" si="8"/>
        <v>1.3303433518260421E-2</v>
      </c>
      <c r="M20" s="49">
        <f t="shared" si="8"/>
        <v>1.384888765465103E-2</v>
      </c>
      <c r="N20" s="49">
        <f t="shared" si="8"/>
        <v>2.2384840209920001E-2</v>
      </c>
      <c r="O20" s="49">
        <f t="shared" si="8"/>
        <v>2.4884885258271431E-2</v>
      </c>
      <c r="P20" s="49">
        <f t="shared" si="8"/>
        <v>2.8680609994835172E-2</v>
      </c>
    </row>
    <row r="21" spans="1:16" x14ac:dyDescent="0.15">
      <c r="A21" s="45" t="s">
        <v>1</v>
      </c>
      <c r="B21" s="45" t="s">
        <v>10</v>
      </c>
      <c r="C21" s="33" t="str">
        <f>VLOOKUP(B21,'Fuel Category and Heat Rate'!K$3:M$36,3,FALSE)</f>
        <v>LPG propane or butane</v>
      </c>
      <c r="D21" s="33">
        <f>-SUMIFS(' Energy Balance'!$H:$H,' Energy Balance'!$B:$B,$A$2,' Energy Balance'!$C:$C,D$4,' Energy Balance'!$D:$D,$A21,' Energy Balance'!$E:$E,$B21)</f>
        <v>209211724668414.5</v>
      </c>
      <c r="E21" s="33">
        <f>-SUMIFS(' Energy Balance'!$H:$H,' Energy Balance'!$B:$B,$A$2,' Energy Balance'!$C:$C,E$4,' Energy Balance'!$D:$D,$A21,' Energy Balance'!$E:$E,$B21)</f>
        <v>204514465276885.56</v>
      </c>
      <c r="F21" s="33">
        <f>-SUMIFS(' Energy Balance'!$H:$H,' Energy Balance'!$B:$B,$A$2,' Energy Balance'!$C:$C,F$4,' Energy Balance'!$D:$D,$A21,' Energy Balance'!$E:$E,$B21)</f>
        <v>178349624808961.53</v>
      </c>
      <c r="G21" s="33">
        <f>-SUMIFS(' Energy Balance'!$H:$H,' Energy Balance'!$B:$B,$A$2,' Energy Balance'!$C:$C,G$4,' Energy Balance'!$D:$D,$A21,' Energy Balance'!$E:$E,$B21)</f>
        <v>158169599268133.53</v>
      </c>
      <c r="H21" s="33">
        <f>-SUMIFS(' Energy Balance'!$H:$H,' Energy Balance'!$B:$B,$A$2,' Energy Balance'!$C:$C,H$4,' Energy Balance'!$D:$D,$A21,' Energy Balance'!$E:$E,$B21)</f>
        <v>135970857846056.22</v>
      </c>
      <c r="K21" s="45" t="s">
        <v>44</v>
      </c>
      <c r="L21" s="49">
        <f t="shared" si="8"/>
        <v>2.890952418892125E-4</v>
      </c>
      <c r="M21" s="49">
        <f t="shared" si="8"/>
        <v>2.7546634185893443E-4</v>
      </c>
      <c r="N21" s="49">
        <f t="shared" si="8"/>
        <v>1.3761624777179225E-4</v>
      </c>
      <c r="O21" s="49">
        <f t="shared" si="8"/>
        <v>1.3675801111183292E-4</v>
      </c>
      <c r="P21" s="49">
        <f t="shared" si="8"/>
        <v>1.1703713420623534E-4</v>
      </c>
    </row>
    <row r="22" spans="1:16" x14ac:dyDescent="0.15">
      <c r="A22" s="45" t="s">
        <v>1</v>
      </c>
      <c r="B22" s="45" t="s">
        <v>9</v>
      </c>
      <c r="C22" s="33" t="str">
        <f>VLOOKUP(B22,'Fuel Category and Heat Rate'!K$3:M$36,3,FALSE)</f>
        <v>LPG propane or butane</v>
      </c>
      <c r="D22" s="33">
        <f>-SUMIFS(' Energy Balance'!$H:$H,' Energy Balance'!$B:$B,$A$2,' Energy Balance'!$C:$C,D$4,' Energy Balance'!$D:$D,$A22,' Energy Balance'!$E:$E,$B22)</f>
        <v>73176904805560.781</v>
      </c>
      <c r="E22" s="33">
        <f>-SUMIFS(' Energy Balance'!$H:$H,' Energy Balance'!$B:$B,$A$2,' Energy Balance'!$C:$C,E$4,' Energy Balance'!$D:$D,$A22,' Energy Balance'!$E:$E,$B22)</f>
        <v>102865444516515.41</v>
      </c>
      <c r="F22" s="33">
        <f>-SUMIFS(' Energy Balance'!$H:$H,' Energy Balance'!$B:$B,$A$2,' Energy Balance'!$C:$C,F$4,' Energy Balance'!$D:$D,$A22,' Energy Balance'!$E:$E,$B22)</f>
        <v>94032898353200.938</v>
      </c>
      <c r="G22" s="33">
        <f>-SUMIFS(' Energy Balance'!$H:$H,' Energy Balance'!$B:$B,$A$2,' Energy Balance'!$C:$C,G$4,' Energy Balance'!$D:$D,$A22,' Energy Balance'!$E:$E,$B22)</f>
        <v>83572005690504.453</v>
      </c>
      <c r="H22" s="33">
        <f>-SUMIFS(' Energy Balance'!$H:$H,' Energy Balance'!$B:$B,$A$2,' Energy Balance'!$C:$C,H$4,' Energy Balance'!$D:$D,$A22,' Energy Balance'!$E:$E,$B22)</f>
        <v>117487667122077.02</v>
      </c>
      <c r="K22" s="45" t="s">
        <v>45</v>
      </c>
      <c r="L22" s="49">
        <f t="shared" si="8"/>
        <v>0</v>
      </c>
      <c r="M22" s="49">
        <f t="shared" si="8"/>
        <v>0</v>
      </c>
      <c r="N22" s="49">
        <f t="shared" si="8"/>
        <v>0</v>
      </c>
      <c r="O22" s="49">
        <f t="shared" si="8"/>
        <v>0</v>
      </c>
      <c r="P22" s="49">
        <f t="shared" si="8"/>
        <v>0</v>
      </c>
    </row>
    <row r="23" spans="1:16" x14ac:dyDescent="0.15">
      <c r="A23" s="45" t="s">
        <v>1</v>
      </c>
      <c r="B23" s="45" t="s">
        <v>27</v>
      </c>
      <c r="C23" s="33" t="str">
        <f>VLOOKUP(B23,'Fuel Category and Heat Rate'!K$3:M$36,3,FALSE)</f>
        <v>LPG propane or butane</v>
      </c>
      <c r="D23" s="33">
        <f>-SUMIFS(' Energy Balance'!$H:$H,' Energy Balance'!$B:$B,$A$2,' Energy Balance'!$C:$C,D$4,' Energy Balance'!$D:$D,$A23,' Energy Balance'!$E:$E,$B23)</f>
        <v>74386382104795.688</v>
      </c>
      <c r="E23" s="33">
        <f>-SUMIFS(' Energy Balance'!$H:$H,' Energy Balance'!$B:$B,$A$2,' Energy Balance'!$C:$C,E$4,' Energy Balance'!$D:$D,$A23,' Energy Balance'!$E:$E,$B23)</f>
        <v>75855624325480.031</v>
      </c>
      <c r="F23" s="33">
        <f>-SUMIFS(' Energy Balance'!$H:$H,' Energy Balance'!$B:$B,$A$2,' Energy Balance'!$C:$C,F$4,' Energy Balance'!$D:$D,$A23,' Energy Balance'!$E:$E,$B23)</f>
        <v>72023387197938.375</v>
      </c>
      <c r="G23" s="33">
        <f>-SUMIFS(' Energy Balance'!$H:$H,' Energy Balance'!$B:$B,$A$2,' Energy Balance'!$C:$C,G$4,' Energy Balance'!$D:$D,$A23,' Energy Balance'!$E:$E,$B23)</f>
        <v>82674303355599.609</v>
      </c>
      <c r="H23" s="33">
        <f>-SUMIFS(' Energy Balance'!$H:$H,' Energy Balance'!$B:$B,$A$2,' Energy Balance'!$C:$C,H$4,' Energy Balance'!$D:$D,$A23,' Energy Balance'!$E:$E,$B23)</f>
        <v>80843200291245.25</v>
      </c>
      <c r="K23" s="45" t="s">
        <v>46</v>
      </c>
      <c r="L23" s="49">
        <f t="shared" si="8"/>
        <v>0</v>
      </c>
      <c r="M23" s="49">
        <f t="shared" si="8"/>
        <v>0</v>
      </c>
      <c r="N23" s="49">
        <f t="shared" si="8"/>
        <v>0</v>
      </c>
      <c r="O23" s="49">
        <f t="shared" si="8"/>
        <v>0</v>
      </c>
      <c r="P23" s="49">
        <f t="shared" si="8"/>
        <v>0</v>
      </c>
    </row>
    <row r="24" spans="1:16" x14ac:dyDescent="0.15">
      <c r="A24" s="45" t="s">
        <v>1</v>
      </c>
      <c r="B24" s="45" t="s">
        <v>12</v>
      </c>
      <c r="C24" s="33" t="str">
        <f>VLOOKUP(B24,'Fuel Category and Heat Rate'!K$3:M$36,3,FALSE)</f>
        <v>LPG propane or butane</v>
      </c>
      <c r="D24" s="33">
        <f>-SUMIFS(' Energy Balance'!$H:$H,' Energy Balance'!$B:$B,$A$2,' Energy Balance'!$C:$C,D$4,' Energy Balance'!$D:$D,$A24,' Energy Balance'!$E:$E,$B24)</f>
        <v>9908480200.3609581</v>
      </c>
      <c r="E24" s="33">
        <f>-SUMIFS(' Energy Balance'!$H:$H,' Energy Balance'!$B:$B,$A$2,' Energy Balance'!$C:$C,E$4,' Energy Balance'!$D:$D,$A24,' Energy Balance'!$E:$E,$B24)</f>
        <v>594508812021.65747</v>
      </c>
      <c r="F24" s="33">
        <f>-SUMIFS(' Energy Balance'!$H:$H,' Energy Balance'!$B:$B,$A$2,' Energy Balance'!$C:$C,F$4,' Energy Balance'!$D:$D,$A24,' Energy Balance'!$E:$E,$B24)</f>
        <v>792678416028.87671</v>
      </c>
      <c r="G24" s="33">
        <f>-SUMIFS(' Energy Balance'!$H:$H,' Energy Balance'!$B:$B,$A$2,' Energy Balance'!$C:$C,G$4,' Energy Balance'!$D:$D,$A24,' Energy Balance'!$E:$E,$B24)</f>
        <v>3631457993432.291</v>
      </c>
      <c r="H24" s="33">
        <f>-SUMIFS(' Energy Balance'!$H:$H,' Energy Balance'!$B:$B,$A$2,' Energy Balance'!$C:$C,H$4,' Energy Balance'!$D:$D,$A24,' Energy Balance'!$E:$E,$B24)</f>
        <v>3988163280645.2861</v>
      </c>
      <c r="K24" s="45" t="s">
        <v>47</v>
      </c>
      <c r="L24" s="49">
        <f t="shared" si="8"/>
        <v>3.9691839132207137E-3</v>
      </c>
      <c r="M24" s="49">
        <f t="shared" si="8"/>
        <v>4.171885288417161E-3</v>
      </c>
      <c r="N24" s="49">
        <f t="shared" si="8"/>
        <v>1.1361521067752494E-2</v>
      </c>
      <c r="O24" s="49">
        <f t="shared" si="8"/>
        <v>1.0126638786289853E-2</v>
      </c>
      <c r="P24" s="49">
        <f t="shared" si="8"/>
        <v>8.7650959829011187E-3</v>
      </c>
    </row>
    <row r="25" spans="1:16" x14ac:dyDescent="0.15">
      <c r="A25" s="45" t="s">
        <v>1</v>
      </c>
      <c r="B25" s="45" t="s">
        <v>21</v>
      </c>
      <c r="C25" s="33" t="str">
        <f>VLOOKUP(B25,'Fuel Category and Heat Rate'!K$3:M$36,3,FALSE)</f>
        <v>LPG propane or butane</v>
      </c>
      <c r="D25" s="33">
        <f>-SUMIFS(' Energy Balance'!$H:$H,' Energy Balance'!$B:$B,$A$2,' Energy Balance'!$C:$C,D$4,' Energy Balance'!$D:$D,$A25,' Energy Balance'!$E:$E,$B25)</f>
        <v>0</v>
      </c>
      <c r="E25" s="33">
        <f>-SUMIFS(' Energy Balance'!$H:$H,' Energy Balance'!$B:$B,$A$2,' Energy Balance'!$C:$C,E$4,' Energy Balance'!$D:$D,$A25,' Energy Balance'!$E:$E,$B25)</f>
        <v>0</v>
      </c>
      <c r="F25" s="33">
        <f>-SUMIFS(' Energy Balance'!$H:$H,' Energy Balance'!$B:$B,$A$2,' Energy Balance'!$C:$C,F$4,' Energy Balance'!$D:$D,$A25,' Energy Balance'!$E:$E,$B25)</f>
        <v>0</v>
      </c>
      <c r="G25" s="33">
        <f>-SUMIFS(' Energy Balance'!$H:$H,' Energy Balance'!$B:$B,$A$2,' Energy Balance'!$C:$C,G$4,' Energy Balance'!$D:$D,$A25,' Energy Balance'!$E:$E,$B25)</f>
        <v>0</v>
      </c>
      <c r="H25" s="33">
        <f>-SUMIFS(' Energy Balance'!$H:$H,' Energy Balance'!$B:$B,$A$2,' Energy Balance'!$C:$C,H$4,' Energy Balance'!$D:$D,$A25,' Energy Balance'!$E:$E,$B25)</f>
        <v>0</v>
      </c>
      <c r="K25" s="45" t="s">
        <v>48</v>
      </c>
      <c r="L25" s="49">
        <f t="shared" si="8"/>
        <v>6.0767092611628312E-2</v>
      </c>
      <c r="M25" s="49">
        <f t="shared" si="8"/>
        <v>6.2137072111435272E-2</v>
      </c>
      <c r="N25" s="49">
        <f t="shared" si="8"/>
        <v>4.5142707536370959E-2</v>
      </c>
      <c r="O25" s="49">
        <f t="shared" si="8"/>
        <v>3.6331557194595805E-2</v>
      </c>
      <c r="P25" s="49">
        <f t="shared" si="8"/>
        <v>3.4109380532028784E-2</v>
      </c>
    </row>
    <row r="26" spans="1:16" x14ac:dyDescent="0.15">
      <c r="A26" s="45" t="s">
        <v>1</v>
      </c>
      <c r="B26" s="45" t="s">
        <v>20</v>
      </c>
      <c r="C26" s="33" t="str">
        <f>VLOOKUP(B26,'Fuel Category and Heat Rate'!K$3:M$36,3,FALSE)</f>
        <v>LPG propane or butane</v>
      </c>
      <c r="D26" s="33">
        <f>-SUMIFS(' Energy Balance'!$H:$H,' Energy Balance'!$B:$B,$A$2,' Energy Balance'!$C:$C,D$4,' Energy Balance'!$D:$D,$A26,' Energy Balance'!$E:$E,$B26)</f>
        <v>57246703290636.234</v>
      </c>
      <c r="E26" s="33">
        <f>-SUMIFS(' Energy Balance'!$H:$H,' Energy Balance'!$B:$B,$A$2,' Energy Balance'!$C:$C,E$4,' Energy Balance'!$D:$D,$A26,' Energy Balance'!$E:$E,$B26)</f>
        <v>67875380246458.047</v>
      </c>
      <c r="F26" s="33">
        <f>-SUMIFS(' Energy Balance'!$H:$H,' Energy Balance'!$B:$B,$A$2,' Energy Balance'!$C:$C,F$4,' Energy Balance'!$D:$D,$A26,' Energy Balance'!$E:$E,$B26)</f>
        <v>0</v>
      </c>
      <c r="G26" s="33">
        <f>-SUMIFS(' Energy Balance'!$H:$H,' Energy Balance'!$B:$B,$A$2,' Energy Balance'!$C:$C,G$4,' Energy Balance'!$D:$D,$A26,' Energy Balance'!$E:$E,$B26)</f>
        <v>0</v>
      </c>
      <c r="H26" s="33">
        <f>-SUMIFS(' Energy Balance'!$H:$H,' Energy Balance'!$B:$B,$A$2,' Energy Balance'!$C:$C,H$4,' Energy Balance'!$D:$D,$A26,' Energy Balance'!$E:$E,$B26)</f>
        <v>0</v>
      </c>
      <c r="K26" s="45" t="s">
        <v>49</v>
      </c>
      <c r="L26" s="49">
        <f t="shared" si="8"/>
        <v>0</v>
      </c>
      <c r="M26" s="49">
        <f t="shared" si="8"/>
        <v>0</v>
      </c>
      <c r="N26" s="49">
        <f t="shared" si="8"/>
        <v>0</v>
      </c>
      <c r="O26" s="49">
        <f t="shared" si="8"/>
        <v>0</v>
      </c>
      <c r="P26" s="49">
        <f t="shared" si="8"/>
        <v>0</v>
      </c>
    </row>
    <row r="27" spans="1:16" x14ac:dyDescent="0.15">
      <c r="A27" s="45" t="s">
        <v>1</v>
      </c>
      <c r="B27" s="45" t="s">
        <v>26</v>
      </c>
      <c r="C27" s="33" t="str">
        <f>VLOOKUP(B27,'Fuel Category and Heat Rate'!K$3:M$36,3,FALSE)</f>
        <v>LPG propane or butane</v>
      </c>
      <c r="D27" s="33">
        <f>-SUMIFS(' Energy Balance'!$H:$H,' Energy Balance'!$B:$B,$A$2,' Energy Balance'!$C:$C,D$4,' Energy Balance'!$D:$D,$A27,' Energy Balance'!$E:$E,$B27)</f>
        <v>1812055636675.5371</v>
      </c>
      <c r="E27" s="33">
        <f>-SUMIFS(' Energy Balance'!$H:$H,' Energy Balance'!$B:$B,$A$2,' Energy Balance'!$C:$C,E$4,' Energy Balance'!$D:$D,$A27,' Energy Balance'!$E:$E,$B27)</f>
        <v>1926200873631.4766</v>
      </c>
      <c r="F27" s="33">
        <f>-SUMIFS(' Energy Balance'!$H:$H,' Energy Balance'!$B:$B,$A$2,' Energy Balance'!$C:$C,F$4,' Energy Balance'!$D:$D,$A27,' Energy Balance'!$E:$E,$B27)</f>
        <v>3666915737209.5518</v>
      </c>
      <c r="G27" s="33">
        <f>-SUMIFS(' Energy Balance'!$H:$H,' Energy Balance'!$B:$B,$A$2,' Energy Balance'!$C:$C,G$4,' Energy Balance'!$D:$D,$A27,' Energy Balance'!$E:$E,$B27)</f>
        <v>4308982695086.7109</v>
      </c>
      <c r="H27" s="33">
        <f>-SUMIFS(' Energy Balance'!$H:$H,' Energy Balance'!$B:$B,$A$2,' Energy Balance'!$C:$C,H$4,' Energy Balance'!$D:$D,$A27,' Energy Balance'!$E:$E,$B27)</f>
        <v>19176399808597.813</v>
      </c>
    </row>
    <row r="28" spans="1:16" x14ac:dyDescent="0.15">
      <c r="A28" s="45" t="s">
        <v>1</v>
      </c>
      <c r="B28" s="45" t="s">
        <v>11</v>
      </c>
      <c r="C28" s="33" t="str">
        <f>VLOOKUP(B28,'Fuel Category and Heat Rate'!K$3:M$36,3,FALSE)</f>
        <v>LPG propane or butane</v>
      </c>
      <c r="D28" s="33">
        <f>-SUMIFS(' Energy Balance'!$H:$H,' Energy Balance'!$B:$B,$A$2,' Energy Balance'!$C:$C,D$4,' Energy Balance'!$D:$D,$A28,' Energy Balance'!$E:$E,$B28)</f>
        <v>31183415550939.793</v>
      </c>
      <c r="E28" s="33">
        <f>-SUMIFS(' Energy Balance'!$H:$H,' Energy Balance'!$B:$B,$A$2,' Energy Balance'!$C:$C,E$4,' Energy Balance'!$D:$D,$A28,' Energy Balance'!$E:$E,$B28)</f>
        <v>34278412844211.047</v>
      </c>
      <c r="F28" s="33">
        <f>-SUMIFS(' Energy Balance'!$H:$H,' Energy Balance'!$B:$B,$A$2,' Energy Balance'!$C:$C,F$4,' Energy Balance'!$D:$D,$A28,' Energy Balance'!$E:$E,$B28)</f>
        <v>37034541820700.773</v>
      </c>
      <c r="G28" s="33">
        <f>-SUMIFS(' Energy Balance'!$H:$H,' Energy Balance'!$B:$B,$A$2,' Energy Balance'!$C:$C,G$4,' Energy Balance'!$D:$D,$A28,' Energy Balance'!$E:$E,$B28)</f>
        <v>36017936870356.203</v>
      </c>
      <c r="H28" s="33">
        <f>-SUMIFS(' Energy Balance'!$H:$H,' Energy Balance'!$B:$B,$A$2,' Energy Balance'!$C:$C,H$4,' Energy Balance'!$D:$D,$A28,' Energy Balance'!$E:$E,$B28)</f>
        <v>36048058498514.555</v>
      </c>
      <c r="K28" s="50" t="s">
        <v>297</v>
      </c>
      <c r="L28" s="48">
        <v>2018</v>
      </c>
      <c r="M28" s="48">
        <v>2019</v>
      </c>
      <c r="N28" s="48">
        <v>2020</v>
      </c>
      <c r="O28" s="48">
        <v>2021</v>
      </c>
      <c r="P28" s="48">
        <v>2022</v>
      </c>
    </row>
    <row r="29" spans="1:16" x14ac:dyDescent="0.15">
      <c r="A29" s="45" t="s">
        <v>1</v>
      </c>
      <c r="B29" s="45" t="s">
        <v>29</v>
      </c>
      <c r="C29" s="33" t="str">
        <f>VLOOKUP(B29,'Fuel Category and Heat Rate'!K$3:M$36,3,FALSE)</f>
        <v>natural gas</v>
      </c>
      <c r="D29" s="33">
        <f>-SUMIFS(' Energy Balance'!$H:$H,' Energy Balance'!$B:$B,$A$2,' Energy Balance'!$C:$C,D$4,' Energy Balance'!$D:$D,$A29,' Energy Balance'!$E:$E,$B29)</f>
        <v>434984836584717.31</v>
      </c>
      <c r="E29" s="33">
        <f>-SUMIFS(' Energy Balance'!$H:$H,' Energy Balance'!$B:$B,$A$2,' Energy Balance'!$C:$C,E$4,' Energy Balance'!$D:$D,$A29,' Energy Balance'!$E:$E,$B29)</f>
        <v>482945481511713.31</v>
      </c>
      <c r="F29" s="33">
        <f>-SUMIFS(' Energy Balance'!$H:$H,' Energy Balance'!$B:$B,$A$2,' Energy Balance'!$C:$C,F$4,' Energy Balance'!$D:$D,$A29,' Energy Balance'!$E:$E,$B29)</f>
        <v>572222434480601.25</v>
      </c>
      <c r="G29" s="33">
        <f>-SUMIFS(' Energy Balance'!$H:$H,' Energy Balance'!$B:$B,$A$2,' Energy Balance'!$C:$C,G$4,' Energy Balance'!$D:$D,$A29,' Energy Balance'!$E:$E,$B29)</f>
        <v>678430641847064.38</v>
      </c>
      <c r="H29" s="33">
        <f>-SUMIFS(' Energy Balance'!$H:$H,' Energy Balance'!$B:$B,$A$2,' Energy Balance'!$C:$C,H$4,' Energy Balance'!$D:$D,$A29,' Energy Balance'!$E:$E,$B29)</f>
        <v>756442576949836.38</v>
      </c>
      <c r="K29" s="41" t="s">
        <v>296</v>
      </c>
      <c r="L29" s="49">
        <f>D36/(D36+D38)</f>
        <v>0.15493086321470978</v>
      </c>
      <c r="M29" s="49">
        <f t="shared" ref="M29:P29" si="9">E36/(E36+E38)</f>
        <v>0.14597666102328508</v>
      </c>
      <c r="N29" s="49">
        <f t="shared" si="9"/>
        <v>0.15285331712599101</v>
      </c>
      <c r="O29" s="49">
        <f t="shared" si="9"/>
        <v>0.14714835021113165</v>
      </c>
      <c r="P29" s="49">
        <f t="shared" si="9"/>
        <v>0.14352953587357342</v>
      </c>
    </row>
    <row r="30" spans="1:16" x14ac:dyDescent="0.15">
      <c r="A30" s="45" t="s">
        <v>1</v>
      </c>
      <c r="B30" s="45" t="s">
        <v>30</v>
      </c>
      <c r="C30" s="33" t="str">
        <f>VLOOKUP(B30,'Fuel Category and Heat Rate'!K$3:M$36,3,FALSE)</f>
        <v>natural gas</v>
      </c>
      <c r="D30" s="33">
        <f>-SUMIFS(' Energy Balance'!$H:$H,' Energy Balance'!$B:$B,$A$2,' Energy Balance'!$C:$C,D$4,' Energy Balance'!$D:$D,$A30,' Energy Balance'!$E:$E,$B30)</f>
        <v>11953506347554.967</v>
      </c>
      <c r="E30" s="33">
        <f>-SUMIFS(' Energy Balance'!$H:$H,' Energy Balance'!$B:$B,$A$2,' Energy Balance'!$C:$C,E$4,' Energy Balance'!$D:$D,$A30,' Energy Balance'!$E:$E,$B30)</f>
        <v>16336133674819.207</v>
      </c>
      <c r="F30" s="33">
        <f>-SUMIFS(' Energy Balance'!$H:$H,' Energy Balance'!$B:$B,$A$2,' Energy Balance'!$C:$C,F$4,' Energy Balance'!$D:$D,$A30,' Energy Balance'!$E:$E,$B30)</f>
        <v>23780262627803.074</v>
      </c>
      <c r="G30" s="33">
        <f>-SUMIFS(' Energy Balance'!$H:$H,' Energy Balance'!$B:$B,$A$2,' Energy Balance'!$C:$C,G$4,' Energy Balance'!$D:$D,$A30,' Energy Balance'!$E:$E,$B30)</f>
        <v>25535263559744.258</v>
      </c>
      <c r="H30" s="33">
        <f>-SUMIFS(' Energy Balance'!$H:$H,' Energy Balance'!$B:$B,$A$2,' Energy Balance'!$C:$C,H$4,' Energy Balance'!$D:$D,$A30,' Energy Balance'!$E:$E,$B30)</f>
        <v>19943635590476.09</v>
      </c>
    </row>
    <row r="31" spans="1:16" x14ac:dyDescent="0.15">
      <c r="A31" s="45" t="s">
        <v>1</v>
      </c>
      <c r="B31" s="45" t="s">
        <v>18</v>
      </c>
      <c r="C31" s="33" t="str">
        <f>VLOOKUP(B31,'Fuel Category and Heat Rate'!K$3:M$36,3,FALSE)</f>
        <v>petroleum diesel</v>
      </c>
      <c r="D31" s="33">
        <f>-SUMIFS(' Energy Balance'!$H:$H,' Energy Balance'!$B:$B,$A$2,' Energy Balance'!$C:$C,D$4,' Energy Balance'!$D:$D,$A31,' Energy Balance'!$E:$E,$B31)</f>
        <v>2098124758040.0603</v>
      </c>
      <c r="E31" s="33">
        <f>-SUMIFS(' Energy Balance'!$H:$H,' Energy Balance'!$B:$B,$A$2,' Energy Balance'!$C:$C,E$4,' Energy Balance'!$D:$D,$A31,' Energy Balance'!$E:$E,$B31)</f>
        <v>2142593683547.6528</v>
      </c>
      <c r="F31" s="33">
        <f>-SUMIFS(' Energy Balance'!$H:$H,' Energy Balance'!$B:$B,$A$2,' Energy Balance'!$C:$C,F$4,' Energy Balance'!$D:$D,$A31,' Energy Balance'!$E:$E,$B31)</f>
        <v>1176405211155.4094</v>
      </c>
      <c r="G31" s="33">
        <f>-SUMIFS(' Energy Balance'!$H:$H,' Energy Balance'!$B:$B,$A$2,' Energy Balance'!$C:$C,G$4,' Energy Balance'!$D:$D,$A31,' Energy Balance'!$E:$E,$B31)</f>
        <v>1386621949918.5754</v>
      </c>
      <c r="H31" s="33">
        <f>-SUMIFS(' Energy Balance'!$H:$H,' Energy Balance'!$B:$B,$A$2,' Energy Balance'!$C:$C,H$4,' Energy Balance'!$D:$D,$A31,' Energy Balance'!$E:$E,$B31)</f>
        <v>1350238283594.1812</v>
      </c>
      <c r="K31" s="50" t="s">
        <v>299</v>
      </c>
      <c r="L31" s="48">
        <v>2018</v>
      </c>
      <c r="M31" s="48">
        <v>2019</v>
      </c>
      <c r="N31" s="48">
        <v>2020</v>
      </c>
      <c r="O31" s="48">
        <v>2021</v>
      </c>
      <c r="P31" s="48">
        <v>2022</v>
      </c>
    </row>
    <row r="32" spans="1:16" x14ac:dyDescent="0.15">
      <c r="A32" s="45" t="s">
        <v>1</v>
      </c>
      <c r="B32" s="45" t="s">
        <v>17</v>
      </c>
      <c r="C32" s="33" t="str">
        <f>VLOOKUP(B32,'Fuel Category and Heat Rate'!K$3:M$36,3,FALSE)</f>
        <v>petroleum diesel</v>
      </c>
      <c r="D32" s="33">
        <f>-SUMIFS(' Energy Balance'!$H:$H,' Energy Balance'!$B:$B,$A$2,' Energy Balance'!$C:$C,D$4,' Energy Balance'!$D:$D,$A32,' Energy Balance'!$E:$E,$B32)</f>
        <v>0</v>
      </c>
      <c r="E32" s="33">
        <f>-SUMIFS(' Energy Balance'!$H:$H,' Energy Balance'!$B:$B,$A$2,' Energy Balance'!$C:$C,E$4,' Energy Balance'!$D:$D,$A32,' Energy Balance'!$E:$E,$B32)</f>
        <v>0</v>
      </c>
      <c r="F32" s="33">
        <f>-SUMIFS(' Energy Balance'!$H:$H,' Energy Balance'!$B:$B,$A$2,' Energy Balance'!$C:$C,F$4,' Energy Balance'!$D:$D,$A32,' Energy Balance'!$E:$E,$B32)</f>
        <v>0</v>
      </c>
      <c r="G32" s="33">
        <f>-SUMIFS(' Energy Balance'!$H:$H,' Energy Balance'!$B:$B,$A$2,' Energy Balance'!$C:$C,G$4,' Energy Balance'!$D:$D,$A32,' Energy Balance'!$E:$E,$B32)</f>
        <v>0</v>
      </c>
      <c r="H32" s="33">
        <f>-SUMIFS(' Energy Balance'!$H:$H,' Energy Balance'!$B:$B,$A$2,' Energy Balance'!$C:$C,H$4,' Energy Balance'!$D:$D,$A32,' Energy Balance'!$E:$E,$B32)</f>
        <v>0</v>
      </c>
      <c r="K32" s="41" t="s">
        <v>300</v>
      </c>
      <c r="L32" s="55">
        <f>D38/SUM(L5:L14)</f>
        <v>0.6756728393733239</v>
      </c>
      <c r="M32" s="55">
        <f t="shared" ref="M32:P32" si="10">E38/SUM(M5:M14)</f>
        <v>0.68216685847578817</v>
      </c>
      <c r="N32" s="55">
        <f t="shared" si="10"/>
        <v>0.68067471484379516</v>
      </c>
      <c r="O32" s="55">
        <f t="shared" si="10"/>
        <v>0.67955570531440779</v>
      </c>
      <c r="P32" s="55">
        <f t="shared" si="10"/>
        <v>0.6926169940198903</v>
      </c>
    </row>
    <row r="33" spans="1:11" x14ac:dyDescent="0.15">
      <c r="A33" s="45" t="s">
        <v>1</v>
      </c>
      <c r="B33" s="45" t="s">
        <v>13</v>
      </c>
      <c r="C33" s="33" t="str">
        <f>VLOOKUP(B33,'Fuel Category and Heat Rate'!K$3:M$36,3,FALSE)</f>
        <v>petroleum diesel</v>
      </c>
      <c r="D33" s="33">
        <f>-SUMIFS(' Energy Balance'!$H:$H,' Energy Balance'!$B:$B,$A$2,' Energy Balance'!$C:$C,D$4,' Energy Balance'!$D:$D,$A33,' Energy Balance'!$E:$E,$B33)</f>
        <v>0</v>
      </c>
      <c r="E33" s="33">
        <f>-SUMIFS(' Energy Balance'!$H:$H,' Energy Balance'!$B:$B,$A$2,' Energy Balance'!$C:$C,E$4,' Energy Balance'!$D:$D,$A33,' Energy Balance'!$E:$E,$B33)</f>
        <v>0</v>
      </c>
      <c r="F33" s="33">
        <f>-SUMIFS(' Energy Balance'!$H:$H,' Energy Balance'!$B:$B,$A$2,' Energy Balance'!$C:$C,F$4,' Energy Balance'!$D:$D,$A33,' Energy Balance'!$E:$E,$B33)</f>
        <v>0</v>
      </c>
      <c r="G33" s="33">
        <f>-SUMIFS(' Energy Balance'!$H:$H,' Energy Balance'!$B:$B,$A$2,' Energy Balance'!$C:$C,G$4,' Energy Balance'!$D:$D,$A33,' Energy Balance'!$E:$E,$B33)</f>
        <v>0</v>
      </c>
      <c r="H33" s="33">
        <f>-SUMIFS(' Energy Balance'!$H:$H,' Energy Balance'!$B:$B,$A$2,' Energy Balance'!$C:$C,H$4,' Energy Balance'!$D:$D,$A33,' Energy Balance'!$E:$E,$B33)</f>
        <v>0</v>
      </c>
      <c r="K33" s="3" t="s">
        <v>303</v>
      </c>
    </row>
    <row r="34" spans="1:11" x14ac:dyDescent="0.15">
      <c r="A34" s="45" t="s">
        <v>1</v>
      </c>
      <c r="B34" s="45" t="s">
        <v>16</v>
      </c>
      <c r="C34" s="33" t="str">
        <f>VLOOKUP(B34,'Fuel Category and Heat Rate'!K$3:M$36,3,FALSE)</f>
        <v>petroleum diesel</v>
      </c>
      <c r="D34" s="33">
        <f>-SUMIFS(' Energy Balance'!$H:$H,' Energy Balance'!$B:$B,$A$2,' Energy Balance'!$C:$C,D$4,' Energy Balance'!$D:$D,$A34,' Energy Balance'!$E:$E,$B34)</f>
        <v>28575738431.287788</v>
      </c>
      <c r="E34" s="33">
        <f>-SUMIFS(' Energy Balance'!$H:$H,' Energy Balance'!$B:$B,$A$2,' Energy Balance'!$C:$C,E$4,' Energy Balance'!$D:$D,$A34,' Energy Balance'!$E:$E,$B34)</f>
        <v>20411241736.634136</v>
      </c>
      <c r="F34" s="33">
        <f>-SUMIFS(' Energy Balance'!$H:$H,' Energy Balance'!$B:$B,$A$2,' Energy Balance'!$C:$C,F$4,' Energy Balance'!$D:$D,$A34,' Energy Balance'!$E:$E,$B34)</f>
        <v>0</v>
      </c>
      <c r="G34" s="33">
        <f>-SUMIFS(' Energy Balance'!$H:$H,' Energy Balance'!$B:$B,$A$2,' Energy Balance'!$C:$C,G$4,' Energy Balance'!$D:$D,$A34,' Energy Balance'!$E:$E,$B34)</f>
        <v>0</v>
      </c>
      <c r="H34" s="33">
        <f>-SUMIFS(' Energy Balance'!$H:$H,' Energy Balance'!$B:$B,$A$2,' Energy Balance'!$C:$C,H$4,' Energy Balance'!$D:$D,$A34,' Energy Balance'!$E:$E,$B34)</f>
        <v>0</v>
      </c>
    </row>
    <row r="35" spans="1:11" x14ac:dyDescent="0.15">
      <c r="A35" s="56" t="s">
        <v>296</v>
      </c>
      <c r="B35" s="57"/>
      <c r="C35" s="57"/>
      <c r="D35" s="57"/>
      <c r="E35" s="57"/>
      <c r="F35" s="57"/>
      <c r="G35" s="57"/>
      <c r="H35" s="58"/>
    </row>
    <row r="36" spans="1:11" x14ac:dyDescent="0.15">
      <c r="A36" s="45" t="s">
        <v>185</v>
      </c>
      <c r="B36" s="45" t="s">
        <v>31</v>
      </c>
      <c r="C36" s="33" t="str">
        <f>VLOOKUP(B36,'Fuel Category and Heat Rate'!K$3:M$36,3,FALSE)</f>
        <v>heat</v>
      </c>
      <c r="D36" s="33">
        <f>SUMIFS(' Energy Balance'!$H:$H,' Energy Balance'!$B:$B,$A$2,' Energy Balance'!$C:$C,D$4,' Energy Balance'!$D:$D,$A36,' Energy Balance'!$E:$E,$B36)</f>
        <v>911271000487794</v>
      </c>
      <c r="E36" s="33">
        <f>SUMIFS(' Energy Balance'!$H:$H,' Energy Balance'!$B:$B,$A$2,' Energy Balance'!$C:$C,E$4,' Energy Balance'!$D:$D,$A36,' Energy Balance'!$E:$E,$B36)</f>
        <v>915573616316141.13</v>
      </c>
      <c r="F36" s="33">
        <f>SUMIFS(' Energy Balance'!$H:$H,' Energy Balance'!$B:$B,$A$2,' Energy Balance'!$C:$C,F$4,' Energy Balance'!$D:$D,$A36,' Energy Balance'!$E:$E,$B36)</f>
        <v>1049888306860722.1</v>
      </c>
      <c r="G36" s="33">
        <f>SUMIFS(' Energy Balance'!$H:$H,' Energy Balance'!$B:$B,$A$2,' Energy Balance'!$C:$C,G$4,' Energy Balance'!$D:$D,$A36,' Energy Balance'!$E:$E,$B36)</f>
        <v>1188809483403177.3</v>
      </c>
      <c r="H36" s="33">
        <f>SUMIFS(' Energy Balance'!$H:$H,' Energy Balance'!$B:$B,$A$2,' Energy Balance'!$C:$C,H$4,' Energy Balance'!$D:$D,$A36,' Energy Balance'!$E:$E,$B36)</f>
        <v>1339086930800867</v>
      </c>
    </row>
    <row r="37" spans="1:11" x14ac:dyDescent="0.15">
      <c r="A37" s="56" t="s">
        <v>301</v>
      </c>
      <c r="B37" s="57"/>
      <c r="C37" s="57"/>
      <c r="D37" s="57"/>
      <c r="E37" s="57"/>
      <c r="F37" s="57"/>
      <c r="G37" s="57"/>
      <c r="H37" s="58"/>
    </row>
    <row r="38" spans="1:11" x14ac:dyDescent="0.15">
      <c r="A38" s="45" t="s">
        <v>1</v>
      </c>
      <c r="B38" s="45" t="s">
        <v>31</v>
      </c>
      <c r="C38" s="33" t="str">
        <f>VLOOKUP(B38,'Fuel Category and Heat Rate'!K$3:M$36,3,FALSE)</f>
        <v>heat</v>
      </c>
      <c r="D38" s="33">
        <f>SUMIFS(' Energy Balance'!$H:$H,' Energy Balance'!$B:$B,$A$2,' Energy Balance'!$C:$C,D$4,' Energy Balance'!$D:$D,$A38,' Energy Balance'!$E:$E,$B38)</f>
        <v>4970520280987969</v>
      </c>
      <c r="E38" s="33">
        <f>SUMIFS(' Energy Balance'!$H:$H,' Energy Balance'!$B:$B,$A$2,' Energy Balance'!$C:$C,E$4,' Energy Balance'!$D:$D,$A38,' Energy Balance'!$E:$E,$B38)</f>
        <v>5356481175854341</v>
      </c>
      <c r="F38" s="33">
        <f>SUMIFS(' Energy Balance'!$H:$H,' Energy Balance'!$B:$B,$A$2,' Energy Balance'!$C:$C,F$4,' Energy Balance'!$D:$D,$A38,' Energy Balance'!$E:$E,$B38)</f>
        <v>5818711777201178</v>
      </c>
      <c r="G38" s="33">
        <f>SUMIFS(' Energy Balance'!$H:$H,' Energy Balance'!$B:$B,$A$2,' Energy Balance'!$C:$C,G$4,' Energy Balance'!$D:$D,$A38,' Energy Balance'!$E:$E,$B38)</f>
        <v>6890176666950854</v>
      </c>
      <c r="H38" s="33">
        <f>SUMIFS(' Energy Balance'!$H:$H,' Energy Balance'!$B:$B,$A$2,' Energy Balance'!$C:$C,H$4,' Energy Balance'!$D:$D,$A38,' Energy Balance'!$E:$E,$B38)</f>
        <v>7990609027948616</v>
      </c>
    </row>
  </sheetData>
  <mergeCells count="3">
    <mergeCell ref="A35:H35"/>
    <mergeCell ref="A5:H5"/>
    <mergeCell ref="A37:H37"/>
  </mergeCells>
  <phoneticPr fontId="3" type="noConversion"/>
  <conditionalFormatting sqref="L5:P14">
    <cfRule type="colorScale" priority="4">
      <colorScale>
        <cfvo type="min"/>
        <cfvo type="max"/>
        <color rgb="FFFCFCFF"/>
        <color rgb="FFF8696B"/>
      </colorScale>
    </cfRule>
  </conditionalFormatting>
  <conditionalFormatting sqref="L17:P26">
    <cfRule type="colorScale" priority="3">
      <colorScale>
        <cfvo type="min"/>
        <cfvo type="max"/>
        <color rgb="FFFCFCFF"/>
        <color rgb="FFF8696B"/>
      </colorScale>
    </cfRule>
  </conditionalFormatting>
  <conditionalFormatting sqref="L29:P29">
    <cfRule type="colorScale" priority="2">
      <colorScale>
        <cfvo type="min"/>
        <cfvo type="max"/>
        <color rgb="FFFCFCFF"/>
        <color rgb="FFF8696B"/>
      </colorScale>
    </cfRule>
  </conditionalFormatting>
  <conditionalFormatting sqref="L32:P3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topLeftCell="A3" workbookViewId="0">
      <selection activeCell="L26" sqref="L26"/>
    </sheetView>
  </sheetViews>
  <sheetFormatPr defaultColWidth="9" defaultRowHeight="13.5" x14ac:dyDescent="0.15"/>
  <cols>
    <col min="1" max="1" width="6.5" bestFit="1" customWidth="1"/>
    <col min="2" max="2" width="13" bestFit="1" customWidth="1"/>
    <col min="3" max="3" width="11" bestFit="1" customWidth="1"/>
    <col min="4" max="4" width="21.5" bestFit="1" customWidth="1"/>
    <col min="5" max="7" width="9.75" customWidth="1"/>
    <col min="10" max="10" width="23" bestFit="1" customWidth="1"/>
    <col min="11" max="11" width="21.5" style="3" bestFit="1" customWidth="1"/>
    <col min="12" max="13" width="29.375" bestFit="1" customWidth="1"/>
  </cols>
  <sheetData>
    <row r="1" spans="1:13" x14ac:dyDescent="0.15">
      <c r="A1" s="59" t="s">
        <v>96</v>
      </c>
      <c r="B1" s="59" t="s">
        <v>97</v>
      </c>
      <c r="C1" s="61" t="s">
        <v>98</v>
      </c>
      <c r="D1" s="59" t="s">
        <v>99</v>
      </c>
      <c r="E1" s="63" t="s">
        <v>100</v>
      </c>
      <c r="F1" s="64"/>
      <c r="G1" s="65"/>
    </row>
    <row r="2" spans="1:13" ht="27" x14ac:dyDescent="0.15">
      <c r="A2" s="60"/>
      <c r="B2" s="60"/>
      <c r="C2" s="62"/>
      <c r="D2" s="60"/>
      <c r="E2" s="8" t="s">
        <v>101</v>
      </c>
      <c r="F2" s="8" t="s">
        <v>102</v>
      </c>
      <c r="G2" s="8" t="s">
        <v>103</v>
      </c>
      <c r="J2" s="14" t="s">
        <v>137</v>
      </c>
      <c r="K2" s="25" t="s">
        <v>61</v>
      </c>
      <c r="L2" s="15" t="s">
        <v>138</v>
      </c>
      <c r="M2" s="15" t="s">
        <v>139</v>
      </c>
    </row>
    <row r="3" spans="1:13" ht="15" x14ac:dyDescent="0.25">
      <c r="A3" s="9">
        <v>1</v>
      </c>
      <c r="B3" s="10" t="s">
        <v>2</v>
      </c>
      <c r="C3" s="10" t="s">
        <v>35</v>
      </c>
      <c r="D3" s="11" t="s">
        <v>104</v>
      </c>
      <c r="E3" s="11"/>
      <c r="F3" s="11"/>
      <c r="G3" s="11"/>
      <c r="J3" s="16" t="s">
        <v>140</v>
      </c>
      <c r="K3" s="26" t="s">
        <v>15</v>
      </c>
      <c r="L3" s="17" t="s">
        <v>46</v>
      </c>
      <c r="M3" s="17" t="s">
        <v>46</v>
      </c>
    </row>
    <row r="4" spans="1:13" ht="15" x14ac:dyDescent="0.25">
      <c r="A4" s="9">
        <v>2</v>
      </c>
      <c r="B4" s="10" t="s">
        <v>3</v>
      </c>
      <c r="C4" s="10" t="s">
        <v>35</v>
      </c>
      <c r="D4" s="11" t="s">
        <v>105</v>
      </c>
      <c r="E4" s="23">
        <v>209.08</v>
      </c>
      <c r="F4" s="23">
        <v>0.71341317773910673</v>
      </c>
      <c r="G4" s="24">
        <v>198169604007.21915</v>
      </c>
      <c r="J4" s="16" t="s">
        <v>141</v>
      </c>
      <c r="K4" s="26" t="s">
        <v>18</v>
      </c>
      <c r="L4" s="17" t="s">
        <v>44</v>
      </c>
      <c r="M4" s="17" t="s">
        <v>44</v>
      </c>
    </row>
    <row r="5" spans="1:13" ht="15" x14ac:dyDescent="0.25">
      <c r="A5" s="9">
        <v>3</v>
      </c>
      <c r="B5" s="10" t="s">
        <v>4</v>
      </c>
      <c r="C5" s="10" t="s">
        <v>35</v>
      </c>
      <c r="D5" s="11" t="s">
        <v>106</v>
      </c>
      <c r="E5" s="23">
        <v>263.44</v>
      </c>
      <c r="F5" s="23">
        <v>0.89889787422800016</v>
      </c>
      <c r="G5" s="24">
        <v>249692942795.39801</v>
      </c>
      <c r="J5" s="18" t="s">
        <v>142</v>
      </c>
      <c r="K5" s="26" t="s">
        <v>143</v>
      </c>
      <c r="L5" s="17" t="s">
        <v>142</v>
      </c>
      <c r="M5" s="19" t="s">
        <v>144</v>
      </c>
    </row>
    <row r="6" spans="1:13" ht="15" x14ac:dyDescent="0.25">
      <c r="A6" s="9">
        <v>4</v>
      </c>
      <c r="B6" s="10" t="s">
        <v>5</v>
      </c>
      <c r="C6" s="10" t="s">
        <v>35</v>
      </c>
      <c r="D6" s="11" t="s">
        <v>107</v>
      </c>
      <c r="E6" s="23">
        <v>83.63</v>
      </c>
      <c r="F6" s="23">
        <v>0.28535844678745692</v>
      </c>
      <c r="G6" s="24">
        <v>79265945968.642319</v>
      </c>
      <c r="J6" s="16" t="s">
        <v>145</v>
      </c>
      <c r="K6" s="26" t="s">
        <v>32</v>
      </c>
      <c r="L6" s="17" t="s">
        <v>40</v>
      </c>
      <c r="M6" s="17" t="s">
        <v>40</v>
      </c>
    </row>
    <row r="7" spans="1:13" ht="15" x14ac:dyDescent="0.25">
      <c r="A7" s="9">
        <v>5</v>
      </c>
      <c r="B7" s="10" t="s">
        <v>6</v>
      </c>
      <c r="C7" s="10" t="s">
        <v>35</v>
      </c>
      <c r="D7" s="11" t="s">
        <v>108</v>
      </c>
      <c r="E7" s="23">
        <v>154.72999999999999</v>
      </c>
      <c r="F7" s="23">
        <v>0.52796260279114204</v>
      </c>
      <c r="G7" s="24">
        <v>146655743390.26697</v>
      </c>
      <c r="J7" s="16" t="s">
        <v>146</v>
      </c>
      <c r="K7" s="26" t="s">
        <v>10</v>
      </c>
      <c r="L7" s="17" t="s">
        <v>48</v>
      </c>
      <c r="M7" s="17" t="s">
        <v>48</v>
      </c>
    </row>
    <row r="8" spans="1:13" ht="15" x14ac:dyDescent="0.25">
      <c r="A8" s="9">
        <v>6</v>
      </c>
      <c r="B8" s="10" t="s">
        <v>7</v>
      </c>
      <c r="C8" s="10" t="s">
        <v>35</v>
      </c>
      <c r="D8" s="11" t="s">
        <v>109</v>
      </c>
      <c r="E8" s="23">
        <v>83.74</v>
      </c>
      <c r="F8" s="23">
        <v>0.28573378373767361</v>
      </c>
      <c r="G8" s="24">
        <v>79370205852.135696</v>
      </c>
      <c r="J8" s="16" t="s">
        <v>147</v>
      </c>
      <c r="K8" s="26" t="s">
        <v>9</v>
      </c>
      <c r="L8" s="17" t="s">
        <v>48</v>
      </c>
      <c r="M8" s="17" t="s">
        <v>48</v>
      </c>
    </row>
    <row r="9" spans="1:13" ht="15" x14ac:dyDescent="0.25">
      <c r="A9" s="9">
        <v>7</v>
      </c>
      <c r="B9" s="10" t="s">
        <v>8</v>
      </c>
      <c r="C9" s="10" t="s">
        <v>35</v>
      </c>
      <c r="D9" s="11" t="s">
        <v>110</v>
      </c>
      <c r="E9" s="23">
        <v>284.35000000000002</v>
      </c>
      <c r="F9" s="23">
        <v>0.97024601631009666</v>
      </c>
      <c r="G9" s="24">
        <v>269511798830.36523</v>
      </c>
      <c r="J9" s="16" t="s">
        <v>148</v>
      </c>
      <c r="K9" s="26" t="s">
        <v>8</v>
      </c>
      <c r="L9" s="17" t="s">
        <v>144</v>
      </c>
      <c r="M9" s="20" t="s">
        <v>41</v>
      </c>
    </row>
    <row r="10" spans="1:13" ht="15" x14ac:dyDescent="0.25">
      <c r="A10" s="9">
        <v>8</v>
      </c>
      <c r="B10" s="10" t="s">
        <v>9</v>
      </c>
      <c r="C10" s="10" t="s">
        <v>36</v>
      </c>
      <c r="D10" s="11" t="s">
        <v>111</v>
      </c>
      <c r="E10" s="23">
        <v>1735.35</v>
      </c>
      <c r="F10" s="23">
        <v>5.9212816050772847</v>
      </c>
      <c r="G10" s="24">
        <v>1644794443820.2017</v>
      </c>
      <c r="J10" s="16" t="s">
        <v>149</v>
      </c>
      <c r="K10" s="27" t="s">
        <v>27</v>
      </c>
      <c r="L10" s="17" t="s">
        <v>48</v>
      </c>
      <c r="M10" s="17" t="s">
        <v>48</v>
      </c>
    </row>
    <row r="11" spans="1:13" ht="15" x14ac:dyDescent="0.25">
      <c r="A11" s="9">
        <v>9</v>
      </c>
      <c r="B11" s="10" t="s">
        <v>10</v>
      </c>
      <c r="C11" s="10" t="s">
        <v>36</v>
      </c>
      <c r="D11" s="11" t="s">
        <v>112</v>
      </c>
      <c r="E11" s="23">
        <v>376.3</v>
      </c>
      <c r="F11" s="23">
        <v>1.2839935851503055</v>
      </c>
      <c r="G11" s="24">
        <v>356663583259.59711</v>
      </c>
      <c r="J11" s="16" t="s">
        <v>150</v>
      </c>
      <c r="K11" s="27" t="s">
        <v>7</v>
      </c>
      <c r="L11" s="17" t="s">
        <v>151</v>
      </c>
      <c r="M11" s="20" t="s">
        <v>41</v>
      </c>
    </row>
    <row r="12" spans="1:13" ht="15" x14ac:dyDescent="0.25">
      <c r="A12" s="9">
        <v>10</v>
      </c>
      <c r="B12" s="10" t="s">
        <v>11</v>
      </c>
      <c r="C12" s="10" t="s">
        <v>36</v>
      </c>
      <c r="D12" s="11" t="s">
        <v>113</v>
      </c>
      <c r="E12" s="23">
        <v>794.5</v>
      </c>
      <c r="F12" s="23">
        <v>2.7109564267922339</v>
      </c>
      <c r="G12" s="24">
        <v>753040703958.94214</v>
      </c>
      <c r="J12" s="16" t="s">
        <v>152</v>
      </c>
      <c r="K12" s="27" t="s">
        <v>17</v>
      </c>
      <c r="L12" s="17" t="s">
        <v>153</v>
      </c>
      <c r="M12" s="20" t="s">
        <v>44</v>
      </c>
    </row>
    <row r="13" spans="1:13" ht="15" x14ac:dyDescent="0.25">
      <c r="A13" s="9">
        <v>11</v>
      </c>
      <c r="B13" s="10" t="s">
        <v>12</v>
      </c>
      <c r="C13" s="10" t="s">
        <v>36</v>
      </c>
      <c r="D13" s="11" t="s">
        <v>114</v>
      </c>
      <c r="E13" s="23">
        <v>522.70000000000005</v>
      </c>
      <c r="F13" s="23">
        <v>1.783532944347767</v>
      </c>
      <c r="G13" s="24">
        <v>495424010018.04791</v>
      </c>
      <c r="J13" s="16" t="s">
        <v>154</v>
      </c>
      <c r="K13" s="28" t="s">
        <v>6</v>
      </c>
      <c r="L13" s="17" t="s">
        <v>155</v>
      </c>
      <c r="M13" s="17" t="s">
        <v>41</v>
      </c>
    </row>
    <row r="14" spans="1:13" ht="15" x14ac:dyDescent="0.25">
      <c r="A14" s="9">
        <v>12</v>
      </c>
      <c r="B14" s="10" t="s">
        <v>13</v>
      </c>
      <c r="C14" s="10" t="s">
        <v>35</v>
      </c>
      <c r="D14" s="11" t="s">
        <v>115</v>
      </c>
      <c r="E14" s="23">
        <v>334.53</v>
      </c>
      <c r="F14" s="23">
        <v>1.1414679086907564</v>
      </c>
      <c r="G14" s="24">
        <v>317073262045.79596</v>
      </c>
      <c r="J14" s="16" t="s">
        <v>156</v>
      </c>
      <c r="K14" s="27" t="s">
        <v>13</v>
      </c>
      <c r="L14" s="17" t="s">
        <v>44</v>
      </c>
      <c r="M14" s="17" t="s">
        <v>44</v>
      </c>
    </row>
    <row r="15" spans="1:13" ht="15" x14ac:dyDescent="0.25">
      <c r="A15" s="9">
        <v>13</v>
      </c>
      <c r="B15" s="10" t="s">
        <v>14</v>
      </c>
      <c r="C15" s="10" t="s">
        <v>35</v>
      </c>
      <c r="D15" s="11" t="s">
        <v>116</v>
      </c>
      <c r="E15" s="23"/>
      <c r="F15" s="23"/>
      <c r="G15" s="24"/>
      <c r="J15" s="16" t="s">
        <v>157</v>
      </c>
      <c r="K15" s="27" t="s">
        <v>12</v>
      </c>
      <c r="L15" s="17" t="s">
        <v>48</v>
      </c>
      <c r="M15" s="17" t="s">
        <v>48</v>
      </c>
    </row>
    <row r="16" spans="1:13" ht="15" x14ac:dyDescent="0.15">
      <c r="A16" s="9">
        <v>14</v>
      </c>
      <c r="B16" s="10" t="s">
        <v>15</v>
      </c>
      <c r="C16" s="10" t="s">
        <v>35</v>
      </c>
      <c r="D16" s="11" t="s">
        <v>117</v>
      </c>
      <c r="E16" s="23">
        <v>418.16</v>
      </c>
      <c r="F16" s="23">
        <v>1.4268263554782135</v>
      </c>
      <c r="G16" s="24">
        <v>396339208014.43829</v>
      </c>
      <c r="J16" s="16" t="s">
        <v>158</v>
      </c>
      <c r="K16" s="27" t="s">
        <v>33</v>
      </c>
      <c r="L16" s="21" t="s">
        <v>159</v>
      </c>
      <c r="M16" s="22" t="s">
        <v>43</v>
      </c>
    </row>
    <row r="17" spans="1:13" ht="15" x14ac:dyDescent="0.25">
      <c r="A17" s="9">
        <v>15</v>
      </c>
      <c r="B17" s="10" t="s">
        <v>16</v>
      </c>
      <c r="C17" s="10" t="s">
        <v>35</v>
      </c>
      <c r="D17" s="11" t="s">
        <v>118</v>
      </c>
      <c r="E17" s="23">
        <v>430.7</v>
      </c>
      <c r="F17" s="23">
        <v>1.4696147678029139</v>
      </c>
      <c r="G17" s="24">
        <v>408224834732.68268</v>
      </c>
      <c r="J17" s="16" t="s">
        <v>160</v>
      </c>
      <c r="K17" s="27" t="s">
        <v>28</v>
      </c>
      <c r="L17" s="17" t="s">
        <v>47</v>
      </c>
      <c r="M17" s="17" t="s">
        <v>47</v>
      </c>
    </row>
    <row r="18" spans="1:13" ht="15" x14ac:dyDescent="0.25">
      <c r="A18" s="9">
        <v>16</v>
      </c>
      <c r="B18" s="10" t="s">
        <v>17</v>
      </c>
      <c r="C18" s="10" t="s">
        <v>35</v>
      </c>
      <c r="D18" s="11" t="s">
        <v>119</v>
      </c>
      <c r="E18" s="23">
        <v>430.7</v>
      </c>
      <c r="F18" s="23">
        <v>1.4696147678029139</v>
      </c>
      <c r="G18" s="24">
        <v>408224834732.68268</v>
      </c>
      <c r="J18" s="16" t="s">
        <v>162</v>
      </c>
      <c r="K18" s="27" t="s">
        <v>5</v>
      </c>
      <c r="L18" s="17" t="s">
        <v>151</v>
      </c>
      <c r="M18" s="20" t="s">
        <v>41</v>
      </c>
    </row>
    <row r="19" spans="1:13" ht="15" x14ac:dyDescent="0.25">
      <c r="A19" s="9">
        <v>17</v>
      </c>
      <c r="B19" s="10" t="s">
        <v>18</v>
      </c>
      <c r="C19" s="10" t="s">
        <v>35</v>
      </c>
      <c r="D19" s="11" t="s">
        <v>120</v>
      </c>
      <c r="E19" s="23">
        <v>426.52</v>
      </c>
      <c r="F19" s="23">
        <v>1.4553519636946803</v>
      </c>
      <c r="G19" s="24">
        <v>404262959159.93451</v>
      </c>
      <c r="J19" s="16" t="s">
        <v>163</v>
      </c>
      <c r="K19" s="27" t="s">
        <v>16</v>
      </c>
      <c r="L19" s="17" t="s">
        <v>164</v>
      </c>
      <c r="M19" s="20" t="s">
        <v>44</v>
      </c>
    </row>
    <row r="20" spans="1:13" ht="15" x14ac:dyDescent="0.25">
      <c r="A20" s="9">
        <v>18</v>
      </c>
      <c r="B20" s="10" t="s">
        <v>19</v>
      </c>
      <c r="C20" s="10" t="s">
        <v>35</v>
      </c>
      <c r="D20" s="11" t="s">
        <v>121</v>
      </c>
      <c r="E20" s="23">
        <v>418.16</v>
      </c>
      <c r="F20" s="23">
        <v>1.4268263554782135</v>
      </c>
      <c r="G20" s="24">
        <v>396339208014.43829</v>
      </c>
      <c r="J20" s="16" t="s">
        <v>165</v>
      </c>
      <c r="K20" s="27" t="s">
        <v>19</v>
      </c>
      <c r="L20" s="17" t="s">
        <v>47</v>
      </c>
      <c r="M20" s="17" t="s">
        <v>47</v>
      </c>
    </row>
    <row r="21" spans="1:13" ht="15" x14ac:dyDescent="0.25">
      <c r="A21" s="9">
        <v>19</v>
      </c>
      <c r="B21" s="10" t="s">
        <v>20</v>
      </c>
      <c r="C21" s="10" t="s">
        <v>35</v>
      </c>
      <c r="D21" s="11" t="s">
        <v>122</v>
      </c>
      <c r="E21" s="23">
        <v>439.07</v>
      </c>
      <c r="F21" s="23">
        <v>1.4981744975603097</v>
      </c>
      <c r="G21" s="24">
        <v>416158064049.40558</v>
      </c>
      <c r="J21" s="16" t="s">
        <v>166</v>
      </c>
      <c r="K21" s="27" t="s">
        <v>31</v>
      </c>
      <c r="L21" s="17" t="s">
        <v>45</v>
      </c>
      <c r="M21" s="17" t="s">
        <v>45</v>
      </c>
    </row>
    <row r="22" spans="1:13" ht="15" x14ac:dyDescent="0.25">
      <c r="A22" s="9">
        <v>20</v>
      </c>
      <c r="B22" s="10" t="s">
        <v>21</v>
      </c>
      <c r="C22" s="10" t="s">
        <v>35</v>
      </c>
      <c r="D22" s="11" t="s">
        <v>123</v>
      </c>
      <c r="E22" s="23">
        <v>413.98</v>
      </c>
      <c r="F22" s="23">
        <v>1.4125635513699799</v>
      </c>
      <c r="G22" s="24">
        <v>392377332441.69019</v>
      </c>
      <c r="J22" s="16" t="s">
        <v>167</v>
      </c>
      <c r="K22" s="27" t="s">
        <v>23</v>
      </c>
      <c r="L22" s="17" t="s">
        <v>47</v>
      </c>
      <c r="M22" s="17" t="s">
        <v>47</v>
      </c>
    </row>
    <row r="23" spans="1:13" ht="15" x14ac:dyDescent="0.25">
      <c r="A23" s="9">
        <v>21</v>
      </c>
      <c r="B23" s="10" t="s">
        <v>22</v>
      </c>
      <c r="C23" s="10" t="s">
        <v>35</v>
      </c>
      <c r="D23" s="11" t="s">
        <v>124</v>
      </c>
      <c r="E23" s="23">
        <v>399.25</v>
      </c>
      <c r="F23" s="23">
        <v>1.3623025215818747</v>
      </c>
      <c r="G23" s="24">
        <v>378415986224.80505</v>
      </c>
      <c r="J23" s="16" t="s">
        <v>168</v>
      </c>
      <c r="K23" s="27" t="s">
        <v>21</v>
      </c>
      <c r="L23" s="17" t="s">
        <v>48</v>
      </c>
      <c r="M23" s="17" t="s">
        <v>48</v>
      </c>
    </row>
    <row r="24" spans="1:13" ht="15" x14ac:dyDescent="0.25">
      <c r="A24" s="9">
        <v>22</v>
      </c>
      <c r="B24" s="10" t="s">
        <v>23</v>
      </c>
      <c r="C24" s="10" t="s">
        <v>35</v>
      </c>
      <c r="D24" s="11" t="s">
        <v>125</v>
      </c>
      <c r="E24" s="23">
        <v>429.45</v>
      </c>
      <c r="F24" s="23">
        <v>1.4653495751868155</v>
      </c>
      <c r="G24" s="24">
        <v>407040063329.34888</v>
      </c>
      <c r="J24" s="18" t="s">
        <v>43</v>
      </c>
      <c r="K24" s="26" t="s">
        <v>169</v>
      </c>
      <c r="L24" s="17" t="s">
        <v>43</v>
      </c>
      <c r="M24" s="19" t="s">
        <v>144</v>
      </c>
    </row>
    <row r="25" spans="1:13" ht="15" x14ac:dyDescent="0.25">
      <c r="A25" s="9">
        <v>23</v>
      </c>
      <c r="B25" s="10" t="s">
        <v>24</v>
      </c>
      <c r="C25" s="10" t="s">
        <v>35</v>
      </c>
      <c r="D25" s="11" t="s">
        <v>126</v>
      </c>
      <c r="E25" s="23">
        <v>389.31</v>
      </c>
      <c r="F25" s="23">
        <v>1.3283857098986591</v>
      </c>
      <c r="G25" s="24">
        <v>368994684025.495</v>
      </c>
      <c r="J25" s="18" t="s">
        <v>170</v>
      </c>
      <c r="K25" s="26" t="s">
        <v>171</v>
      </c>
      <c r="L25" s="17" t="s">
        <v>170</v>
      </c>
      <c r="M25" s="19" t="s">
        <v>144</v>
      </c>
    </row>
    <row r="26" spans="1:13" ht="15" x14ac:dyDescent="0.25">
      <c r="A26" s="9">
        <v>24</v>
      </c>
      <c r="B26" s="10" t="s">
        <v>25</v>
      </c>
      <c r="C26" s="10" t="s">
        <v>35</v>
      </c>
      <c r="D26" s="11" t="s">
        <v>127</v>
      </c>
      <c r="E26" s="23">
        <v>319.47000000000003</v>
      </c>
      <c r="F26" s="23">
        <v>1.0900808680520013</v>
      </c>
      <c r="G26" s="24">
        <v>302799136178.43073</v>
      </c>
      <c r="J26" s="18" t="s">
        <v>172</v>
      </c>
      <c r="K26" s="26" t="s">
        <v>173</v>
      </c>
      <c r="L26" s="17" t="s">
        <v>172</v>
      </c>
      <c r="M26" s="19" t="s">
        <v>144</v>
      </c>
    </row>
    <row r="27" spans="1:13" ht="15" x14ac:dyDescent="0.25">
      <c r="A27" s="9">
        <v>25</v>
      </c>
      <c r="B27" s="10" t="s">
        <v>26</v>
      </c>
      <c r="C27" s="10" t="s">
        <v>35</v>
      </c>
      <c r="D27" s="11" t="s">
        <v>128</v>
      </c>
      <c r="E27" s="23">
        <v>501.79</v>
      </c>
      <c r="F27" s="23">
        <v>1.7121848022656705</v>
      </c>
      <c r="G27" s="24">
        <v>475605153983.08063</v>
      </c>
      <c r="J27" s="16" t="s">
        <v>174</v>
      </c>
      <c r="K27" s="27" t="s">
        <v>22</v>
      </c>
      <c r="L27" s="17" t="s">
        <v>48</v>
      </c>
      <c r="M27" s="20" t="s">
        <v>161</v>
      </c>
    </row>
    <row r="28" spans="1:13" ht="15" x14ac:dyDescent="0.25">
      <c r="A28" s="9">
        <v>26</v>
      </c>
      <c r="B28" s="10" t="s">
        <v>27</v>
      </c>
      <c r="C28" s="10" t="s">
        <v>35</v>
      </c>
      <c r="D28" s="11" t="s">
        <v>129</v>
      </c>
      <c r="E28" s="23">
        <v>459.98</v>
      </c>
      <c r="F28" s="23">
        <v>1.5695226396424065</v>
      </c>
      <c r="G28" s="24">
        <v>435976920084.3728</v>
      </c>
      <c r="J28" s="16" t="s">
        <v>175</v>
      </c>
      <c r="K28" s="27" t="s">
        <v>20</v>
      </c>
      <c r="L28" s="17" t="s">
        <v>48</v>
      </c>
      <c r="M28" s="17" t="s">
        <v>48</v>
      </c>
    </row>
    <row r="29" spans="1:13" ht="15" x14ac:dyDescent="0.25">
      <c r="A29" s="9">
        <v>27</v>
      </c>
      <c r="B29" s="10" t="s">
        <v>28</v>
      </c>
      <c r="C29" s="10" t="s">
        <v>35</v>
      </c>
      <c r="D29" s="11" t="s">
        <v>130</v>
      </c>
      <c r="E29" s="23">
        <v>409.8</v>
      </c>
      <c r="F29" s="23">
        <v>1.3983007472617464</v>
      </c>
      <c r="G29" s="24">
        <v>388415456868.94208</v>
      </c>
      <c r="J29" s="16" t="s">
        <v>176</v>
      </c>
      <c r="K29" s="27" t="s">
        <v>25</v>
      </c>
      <c r="L29" s="17" t="s">
        <v>44</v>
      </c>
      <c r="M29" s="20" t="s">
        <v>161</v>
      </c>
    </row>
    <row r="30" spans="1:13" ht="15" x14ac:dyDescent="0.25">
      <c r="A30" s="9">
        <v>28</v>
      </c>
      <c r="B30" s="10" t="s">
        <v>29</v>
      </c>
      <c r="C30" s="10" t="s">
        <v>36</v>
      </c>
      <c r="D30" s="11" t="s">
        <v>131</v>
      </c>
      <c r="E30" s="23">
        <v>3558.45</v>
      </c>
      <c r="F30" s="23">
        <v>12.141979731804687</v>
      </c>
      <c r="G30" s="24">
        <v>3372759840154.4336</v>
      </c>
      <c r="J30" s="16" t="s">
        <v>177</v>
      </c>
      <c r="K30" s="27" t="s">
        <v>24</v>
      </c>
      <c r="L30" s="17" t="s">
        <v>44</v>
      </c>
      <c r="M30" s="20" t="s">
        <v>161</v>
      </c>
    </row>
    <row r="31" spans="1:13" ht="15" x14ac:dyDescent="0.25">
      <c r="A31" s="9">
        <v>29</v>
      </c>
      <c r="B31" s="10" t="s">
        <v>30</v>
      </c>
      <c r="C31" s="10" t="s">
        <v>35</v>
      </c>
      <c r="D31" s="11" t="s">
        <v>132</v>
      </c>
      <c r="E31" s="23">
        <v>514.34</v>
      </c>
      <c r="F31" s="23">
        <v>1.7550073361312999</v>
      </c>
      <c r="G31" s="24">
        <v>487500258872.5517</v>
      </c>
      <c r="J31" s="16" t="s">
        <v>178</v>
      </c>
      <c r="K31" s="27" t="s">
        <v>29</v>
      </c>
      <c r="L31" s="17" t="s">
        <v>42</v>
      </c>
      <c r="M31" s="17" t="s">
        <v>42</v>
      </c>
    </row>
    <row r="32" spans="1:13" ht="15" x14ac:dyDescent="0.25">
      <c r="A32" s="9">
        <v>30</v>
      </c>
      <c r="B32" s="10" t="s">
        <v>31</v>
      </c>
      <c r="C32" s="10" t="s">
        <v>37</v>
      </c>
      <c r="D32" s="11" t="s">
        <v>133</v>
      </c>
      <c r="E32" s="23">
        <v>10</v>
      </c>
      <c r="F32" s="23">
        <v>3.4121540928788344E-2</v>
      </c>
      <c r="G32" s="24">
        <v>9478171226.6701336</v>
      </c>
      <c r="J32" s="16" t="s">
        <v>179</v>
      </c>
      <c r="K32" s="27" t="s">
        <v>4</v>
      </c>
      <c r="L32" s="17" t="s">
        <v>155</v>
      </c>
      <c r="M32" s="17" t="s">
        <v>41</v>
      </c>
    </row>
    <row r="33" spans="1:13" ht="15" x14ac:dyDescent="0.25">
      <c r="A33" s="9">
        <v>31</v>
      </c>
      <c r="B33" s="10" t="s">
        <v>32</v>
      </c>
      <c r="C33" s="10" t="s">
        <v>134</v>
      </c>
      <c r="D33" s="11" t="s">
        <v>135</v>
      </c>
      <c r="E33" s="23">
        <v>360</v>
      </c>
      <c r="F33" s="23">
        <v>1.2283754734363803</v>
      </c>
      <c r="G33" s="24">
        <v>341214164160.12482</v>
      </c>
      <c r="J33" s="16" t="s">
        <v>180</v>
      </c>
      <c r="K33" s="27" t="s">
        <v>26</v>
      </c>
      <c r="L33" s="17" t="s">
        <v>48</v>
      </c>
      <c r="M33" s="17" t="s">
        <v>48</v>
      </c>
    </row>
    <row r="34" spans="1:13" ht="15" x14ac:dyDescent="0.25">
      <c r="A34" s="9">
        <v>32</v>
      </c>
      <c r="B34" s="10" t="s">
        <v>33</v>
      </c>
      <c r="C34" s="10" t="s">
        <v>38</v>
      </c>
      <c r="D34" s="11" t="s">
        <v>136</v>
      </c>
      <c r="E34" s="23">
        <v>292.70999999999998</v>
      </c>
      <c r="F34" s="23">
        <v>0.99877162452656354</v>
      </c>
      <c r="G34" s="24">
        <v>277435549975.86145</v>
      </c>
      <c r="J34" s="16" t="s">
        <v>181</v>
      </c>
      <c r="K34" s="27" t="s">
        <v>30</v>
      </c>
      <c r="L34" s="17" t="s">
        <v>42</v>
      </c>
      <c r="M34" s="17" t="s">
        <v>42</v>
      </c>
    </row>
    <row r="35" spans="1:13" ht="15" x14ac:dyDescent="0.25">
      <c r="J35" s="16" t="s">
        <v>182</v>
      </c>
      <c r="K35" s="27" t="s">
        <v>3</v>
      </c>
      <c r="L35" s="17" t="s">
        <v>155</v>
      </c>
      <c r="M35" s="17" t="s">
        <v>41</v>
      </c>
    </row>
    <row r="36" spans="1:13" ht="15" x14ac:dyDescent="0.25">
      <c r="J36" s="16" t="s">
        <v>183</v>
      </c>
      <c r="K36" s="27" t="s">
        <v>11</v>
      </c>
      <c r="L36" s="17" t="s">
        <v>48</v>
      </c>
      <c r="M36" s="17" t="s">
        <v>48</v>
      </c>
    </row>
  </sheetData>
  <mergeCells count="5">
    <mergeCell ref="A1:A2"/>
    <mergeCell ref="B1:B2"/>
    <mergeCell ref="C1:C2"/>
    <mergeCell ref="D1:D2"/>
    <mergeCell ref="E1:G1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R11"/>
  <sheetViews>
    <sheetView workbookViewId="0">
      <selection activeCell="C8" sqref="C8"/>
    </sheetView>
  </sheetViews>
  <sheetFormatPr defaultColWidth="9" defaultRowHeight="13.5" x14ac:dyDescent="0.15"/>
  <cols>
    <col min="1" max="1" width="29.375" bestFit="1" customWidth="1"/>
    <col min="2" max="44" width="8.375" customWidth="1"/>
  </cols>
  <sheetData>
    <row r="1" spans="1:44" s="4" customFormat="1" ht="27" x14ac:dyDescent="0.15">
      <c r="A1" s="1" t="s">
        <v>39</v>
      </c>
      <c r="B1" s="52">
        <v>2018</v>
      </c>
      <c r="C1" s="53">
        <v>2019</v>
      </c>
      <c r="D1" s="52">
        <v>2020</v>
      </c>
      <c r="E1" s="53">
        <v>2021</v>
      </c>
      <c r="F1" s="52">
        <v>2022</v>
      </c>
      <c r="G1" s="54">
        <v>2023</v>
      </c>
      <c r="H1" s="44">
        <v>2024</v>
      </c>
      <c r="I1" s="54">
        <v>2025</v>
      </c>
      <c r="J1" s="44">
        <v>2026</v>
      </c>
      <c r="K1" s="54">
        <v>2027</v>
      </c>
      <c r="L1" s="44">
        <v>2028</v>
      </c>
      <c r="M1" s="54">
        <v>2029</v>
      </c>
      <c r="N1" s="44">
        <v>2030</v>
      </c>
      <c r="O1" s="54">
        <v>2031</v>
      </c>
      <c r="P1" s="44">
        <v>2032</v>
      </c>
      <c r="Q1" s="54">
        <v>2033</v>
      </c>
      <c r="R1" s="44">
        <v>2034</v>
      </c>
      <c r="S1" s="54">
        <v>2035</v>
      </c>
      <c r="T1" s="44">
        <v>2036</v>
      </c>
      <c r="U1" s="54">
        <v>2037</v>
      </c>
      <c r="V1" s="44">
        <v>2038</v>
      </c>
      <c r="W1" s="54">
        <v>2039</v>
      </c>
      <c r="X1" s="44">
        <v>2040</v>
      </c>
      <c r="Y1" s="54">
        <v>2041</v>
      </c>
      <c r="Z1" s="44">
        <v>2042</v>
      </c>
      <c r="AA1" s="54">
        <v>2043</v>
      </c>
      <c r="AB1" s="44">
        <v>2044</v>
      </c>
      <c r="AC1" s="54">
        <v>2045</v>
      </c>
      <c r="AD1" s="44">
        <v>2046</v>
      </c>
      <c r="AE1" s="54">
        <v>2047</v>
      </c>
      <c r="AF1" s="44">
        <v>2048</v>
      </c>
      <c r="AG1" s="54">
        <v>2049</v>
      </c>
      <c r="AH1" s="44">
        <v>2050</v>
      </c>
      <c r="AI1" s="44">
        <v>2051</v>
      </c>
      <c r="AJ1" s="44">
        <v>2052</v>
      </c>
      <c r="AK1" s="44">
        <v>2053</v>
      </c>
      <c r="AL1" s="44">
        <v>2054</v>
      </c>
      <c r="AM1" s="44">
        <v>2055</v>
      </c>
      <c r="AN1" s="44">
        <v>2056</v>
      </c>
      <c r="AO1" s="44">
        <v>2057</v>
      </c>
      <c r="AP1" s="44">
        <v>2058</v>
      </c>
      <c r="AQ1" s="44">
        <v>2059</v>
      </c>
      <c r="AR1" s="44">
        <v>2060</v>
      </c>
    </row>
    <row r="2" spans="1:44" x14ac:dyDescent="0.15">
      <c r="A2" s="2" t="s">
        <v>40</v>
      </c>
      <c r="B2" s="51">
        <f>VLOOKUP($A2,Calculation!$K$16:$P$26,COLUMN(B$1),FALSE)</f>
        <v>0</v>
      </c>
      <c r="C2" s="51">
        <f>VLOOKUP($A2,Calculation!$K$16:$P$26,COLUMN(C$1),FALSE)</f>
        <v>0</v>
      </c>
      <c r="D2" s="51">
        <f>VLOOKUP($A2,Calculation!$K$16:$P$26,COLUMN(D$1),FALSE)</f>
        <v>0</v>
      </c>
      <c r="E2" s="51">
        <f>VLOOKUP($A2,Calculation!$K$16:$P$26,COLUMN(E$1),FALSE)</f>
        <v>0</v>
      </c>
      <c r="F2" s="51">
        <f>VLOOKUP($A2,Calculation!$K$16:$P$26,COLUMN(F$1),FALSE)</f>
        <v>0</v>
      </c>
      <c r="G2" s="2">
        <f>$F2</f>
        <v>0</v>
      </c>
      <c r="H2" s="2">
        <f t="shared" ref="H2:AR9" si="0">$F2</f>
        <v>0</v>
      </c>
      <c r="I2" s="2">
        <f t="shared" si="0"/>
        <v>0</v>
      </c>
      <c r="J2" s="2">
        <f t="shared" si="0"/>
        <v>0</v>
      </c>
      <c r="K2" s="2">
        <f t="shared" si="0"/>
        <v>0</v>
      </c>
      <c r="L2" s="2">
        <f t="shared" si="0"/>
        <v>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0</v>
      </c>
      <c r="Z2" s="2">
        <f t="shared" si="0"/>
        <v>0</v>
      </c>
      <c r="AA2" s="2">
        <f t="shared" si="0"/>
        <v>0</v>
      </c>
      <c r="AB2" s="2">
        <f t="shared" si="0"/>
        <v>0</v>
      </c>
      <c r="AC2" s="2">
        <f t="shared" si="0"/>
        <v>0</v>
      </c>
      <c r="AD2" s="2">
        <f t="shared" si="0"/>
        <v>0</v>
      </c>
      <c r="AE2" s="2">
        <f t="shared" si="0"/>
        <v>0</v>
      </c>
      <c r="AF2" s="2">
        <f t="shared" si="0"/>
        <v>0</v>
      </c>
      <c r="AG2" s="2">
        <f t="shared" si="0"/>
        <v>0</v>
      </c>
      <c r="AH2" s="2">
        <f t="shared" si="0"/>
        <v>0</v>
      </c>
      <c r="AI2" s="2">
        <f t="shared" si="0"/>
        <v>0</v>
      </c>
      <c r="AJ2" s="2">
        <f t="shared" si="0"/>
        <v>0</v>
      </c>
      <c r="AK2" s="2">
        <f t="shared" si="0"/>
        <v>0</v>
      </c>
      <c r="AL2" s="2">
        <f t="shared" si="0"/>
        <v>0</v>
      </c>
      <c r="AM2" s="2">
        <f t="shared" si="0"/>
        <v>0</v>
      </c>
      <c r="AN2" s="2">
        <f t="shared" si="0"/>
        <v>0</v>
      </c>
      <c r="AO2" s="2">
        <f t="shared" si="0"/>
        <v>0</v>
      </c>
      <c r="AP2" s="2">
        <f t="shared" si="0"/>
        <v>0</v>
      </c>
      <c r="AQ2" s="2">
        <f t="shared" si="0"/>
        <v>0</v>
      </c>
      <c r="AR2" s="2">
        <f t="shared" si="0"/>
        <v>0</v>
      </c>
    </row>
    <row r="3" spans="1:44" x14ac:dyDescent="0.15">
      <c r="A3" s="2" t="s">
        <v>41</v>
      </c>
      <c r="B3" s="51">
        <f>VLOOKUP($A3,Calculation!$K$16:$P$26,COLUMN(B$1),FALSE)</f>
        <v>0.86091616664501591</v>
      </c>
      <c r="C3" s="51">
        <f>VLOOKUP($A3,Calculation!$K$16:$P$26,COLUMN(C$1),FALSE)</f>
        <v>0.8559814057015297</v>
      </c>
      <c r="D3" s="51">
        <f>VLOOKUP($A3,Calculation!$K$16:$P$26,COLUMN(D$1),FALSE)</f>
        <v>0.85125273391715151</v>
      </c>
      <c r="E3" s="51">
        <f>VLOOKUP($A3,Calculation!$K$16:$P$26,COLUMN(E$1),FALSE)</f>
        <v>0.85909029407292792</v>
      </c>
      <c r="F3" s="51">
        <f>VLOOKUP($A3,Calculation!$K$16:$P$26,COLUMN(F$1),FALSE)</f>
        <v>0.86103159357616543</v>
      </c>
      <c r="G3" s="2">
        <f t="shared" ref="G3:V11" si="1">$F3</f>
        <v>0.86103159357616543</v>
      </c>
      <c r="H3" s="2">
        <f t="shared" si="1"/>
        <v>0.86103159357616543</v>
      </c>
      <c r="I3" s="2">
        <f t="shared" si="1"/>
        <v>0.86103159357616543</v>
      </c>
      <c r="J3" s="2">
        <f t="shared" si="1"/>
        <v>0.86103159357616543</v>
      </c>
      <c r="K3" s="2">
        <f t="shared" si="1"/>
        <v>0.86103159357616543</v>
      </c>
      <c r="L3" s="2">
        <f t="shared" si="1"/>
        <v>0.86103159357616543</v>
      </c>
      <c r="M3" s="2">
        <f t="shared" si="1"/>
        <v>0.86103159357616543</v>
      </c>
      <c r="N3" s="2">
        <f t="shared" si="1"/>
        <v>0.86103159357616543</v>
      </c>
      <c r="O3" s="2">
        <f t="shared" si="1"/>
        <v>0.86103159357616543</v>
      </c>
      <c r="P3" s="2">
        <f t="shared" si="1"/>
        <v>0.86103159357616543</v>
      </c>
      <c r="Q3" s="2">
        <f t="shared" si="1"/>
        <v>0.86103159357616543</v>
      </c>
      <c r="R3" s="2">
        <f t="shared" si="1"/>
        <v>0.86103159357616543</v>
      </c>
      <c r="S3" s="2">
        <f t="shared" si="1"/>
        <v>0.86103159357616543</v>
      </c>
      <c r="T3" s="2">
        <f t="shared" si="1"/>
        <v>0.86103159357616543</v>
      </c>
      <c r="U3" s="2">
        <f t="shared" si="1"/>
        <v>0.86103159357616543</v>
      </c>
      <c r="V3" s="2">
        <f t="shared" si="1"/>
        <v>0.86103159357616543</v>
      </c>
      <c r="W3" s="2">
        <f t="shared" si="0"/>
        <v>0.86103159357616543</v>
      </c>
      <c r="X3" s="2">
        <f t="shared" si="0"/>
        <v>0.86103159357616543</v>
      </c>
      <c r="Y3" s="2">
        <f t="shared" si="0"/>
        <v>0.86103159357616543</v>
      </c>
      <c r="Z3" s="2">
        <f t="shared" si="0"/>
        <v>0.86103159357616543</v>
      </c>
      <c r="AA3" s="2">
        <f t="shared" si="0"/>
        <v>0.86103159357616543</v>
      </c>
      <c r="AB3" s="2">
        <f t="shared" si="0"/>
        <v>0.86103159357616543</v>
      </c>
      <c r="AC3" s="2">
        <f t="shared" si="0"/>
        <v>0.86103159357616543</v>
      </c>
      <c r="AD3" s="2">
        <f t="shared" si="0"/>
        <v>0.86103159357616543</v>
      </c>
      <c r="AE3" s="2">
        <f t="shared" si="0"/>
        <v>0.86103159357616543</v>
      </c>
      <c r="AF3" s="2">
        <f t="shared" si="0"/>
        <v>0.86103159357616543</v>
      </c>
      <c r="AG3" s="2">
        <f t="shared" si="0"/>
        <v>0.86103159357616543</v>
      </c>
      <c r="AH3" s="2">
        <f t="shared" si="0"/>
        <v>0.86103159357616543</v>
      </c>
      <c r="AI3" s="2">
        <f t="shared" si="0"/>
        <v>0.86103159357616543</v>
      </c>
      <c r="AJ3" s="2">
        <f t="shared" si="0"/>
        <v>0.86103159357616543</v>
      </c>
      <c r="AK3" s="2">
        <f t="shared" si="0"/>
        <v>0.86103159357616543</v>
      </c>
      <c r="AL3" s="2">
        <f t="shared" si="0"/>
        <v>0.86103159357616543</v>
      </c>
      <c r="AM3" s="2">
        <f t="shared" si="0"/>
        <v>0.86103159357616543</v>
      </c>
      <c r="AN3" s="2">
        <f t="shared" si="0"/>
        <v>0.86103159357616543</v>
      </c>
      <c r="AO3" s="2">
        <f t="shared" si="0"/>
        <v>0.86103159357616543</v>
      </c>
      <c r="AP3" s="2">
        <f t="shared" si="0"/>
        <v>0.86103159357616543</v>
      </c>
      <c r="AQ3" s="2">
        <f t="shared" si="0"/>
        <v>0.86103159357616543</v>
      </c>
      <c r="AR3" s="2">
        <f t="shared" si="0"/>
        <v>0.86103159357616543</v>
      </c>
    </row>
    <row r="4" spans="1:44" x14ac:dyDescent="0.15">
      <c r="A4" s="2" t="s">
        <v>42</v>
      </c>
      <c r="B4" s="51">
        <f>VLOOKUP($A4,Calculation!$K$16:$P$26,COLUMN(B$1),FALSE)</f>
        <v>6.0755028069985596E-2</v>
      </c>
      <c r="C4" s="51">
        <f>VLOOKUP($A4,Calculation!$K$16:$P$26,COLUMN(C$1),FALSE)</f>
        <v>6.3585282902107979E-2</v>
      </c>
      <c r="D4" s="51">
        <f>VLOOKUP($A4,Calculation!$K$16:$P$26,COLUMN(D$1),FALSE)</f>
        <v>6.9720581021033401E-2</v>
      </c>
      <c r="E4" s="51">
        <f>VLOOKUP($A4,Calculation!$K$16:$P$26,COLUMN(E$1),FALSE)</f>
        <v>6.9429866676803412E-2</v>
      </c>
      <c r="F4" s="51">
        <f>VLOOKUP($A4,Calculation!$K$16:$P$26,COLUMN(F$1),FALSE)</f>
        <v>6.7296282779863326E-2</v>
      </c>
      <c r="G4" s="2">
        <f t="shared" si="1"/>
        <v>6.7296282779863326E-2</v>
      </c>
      <c r="H4" s="2">
        <f t="shared" si="0"/>
        <v>6.7296282779863326E-2</v>
      </c>
      <c r="I4" s="2">
        <f t="shared" si="0"/>
        <v>6.7296282779863326E-2</v>
      </c>
      <c r="J4" s="2">
        <f t="shared" si="0"/>
        <v>6.7296282779863326E-2</v>
      </c>
      <c r="K4" s="2">
        <f t="shared" si="0"/>
        <v>6.7296282779863326E-2</v>
      </c>
      <c r="L4" s="2">
        <f t="shared" si="0"/>
        <v>6.7296282779863326E-2</v>
      </c>
      <c r="M4" s="2">
        <f t="shared" si="0"/>
        <v>6.7296282779863326E-2</v>
      </c>
      <c r="N4" s="2">
        <f t="shared" si="0"/>
        <v>6.7296282779863326E-2</v>
      </c>
      <c r="O4" s="2">
        <f t="shared" si="0"/>
        <v>6.7296282779863326E-2</v>
      </c>
      <c r="P4" s="2">
        <f t="shared" si="0"/>
        <v>6.7296282779863326E-2</v>
      </c>
      <c r="Q4" s="2">
        <f t="shared" si="0"/>
        <v>6.7296282779863326E-2</v>
      </c>
      <c r="R4" s="2">
        <f t="shared" si="0"/>
        <v>6.7296282779863326E-2</v>
      </c>
      <c r="S4" s="2">
        <f t="shared" si="0"/>
        <v>6.7296282779863326E-2</v>
      </c>
      <c r="T4" s="2">
        <f t="shared" si="0"/>
        <v>6.7296282779863326E-2</v>
      </c>
      <c r="U4" s="2">
        <f t="shared" si="0"/>
        <v>6.7296282779863326E-2</v>
      </c>
      <c r="V4" s="2">
        <f t="shared" si="0"/>
        <v>6.7296282779863326E-2</v>
      </c>
      <c r="W4" s="2">
        <f t="shared" si="0"/>
        <v>6.7296282779863326E-2</v>
      </c>
      <c r="X4" s="2">
        <f t="shared" si="0"/>
        <v>6.7296282779863326E-2</v>
      </c>
      <c r="Y4" s="2">
        <f t="shared" si="0"/>
        <v>6.7296282779863326E-2</v>
      </c>
      <c r="Z4" s="2">
        <f t="shared" si="0"/>
        <v>6.7296282779863326E-2</v>
      </c>
      <c r="AA4" s="2">
        <f t="shared" si="0"/>
        <v>6.7296282779863326E-2</v>
      </c>
      <c r="AB4" s="2">
        <f t="shared" si="0"/>
        <v>6.7296282779863326E-2</v>
      </c>
      <c r="AC4" s="2">
        <f t="shared" si="0"/>
        <v>6.7296282779863326E-2</v>
      </c>
      <c r="AD4" s="2">
        <f t="shared" si="0"/>
        <v>6.7296282779863326E-2</v>
      </c>
      <c r="AE4" s="2">
        <f t="shared" si="0"/>
        <v>6.7296282779863326E-2</v>
      </c>
      <c r="AF4" s="2">
        <f t="shared" si="0"/>
        <v>6.7296282779863326E-2</v>
      </c>
      <c r="AG4" s="2">
        <f t="shared" si="0"/>
        <v>6.7296282779863326E-2</v>
      </c>
      <c r="AH4" s="2">
        <f t="shared" si="0"/>
        <v>6.7296282779863326E-2</v>
      </c>
      <c r="AI4" s="2">
        <f t="shared" si="0"/>
        <v>6.7296282779863326E-2</v>
      </c>
      <c r="AJ4" s="2">
        <f t="shared" si="0"/>
        <v>6.7296282779863326E-2</v>
      </c>
      <c r="AK4" s="2">
        <f t="shared" si="0"/>
        <v>6.7296282779863326E-2</v>
      </c>
      <c r="AL4" s="2">
        <f t="shared" si="0"/>
        <v>6.7296282779863326E-2</v>
      </c>
      <c r="AM4" s="2">
        <f t="shared" si="0"/>
        <v>6.7296282779863326E-2</v>
      </c>
      <c r="AN4" s="2">
        <f t="shared" si="0"/>
        <v>6.7296282779863326E-2</v>
      </c>
      <c r="AO4" s="2">
        <f t="shared" si="0"/>
        <v>6.7296282779863326E-2</v>
      </c>
      <c r="AP4" s="2">
        <f t="shared" si="0"/>
        <v>6.7296282779863326E-2</v>
      </c>
      <c r="AQ4" s="2">
        <f t="shared" si="0"/>
        <v>6.7296282779863326E-2</v>
      </c>
      <c r="AR4" s="2">
        <f t="shared" si="0"/>
        <v>6.7296282779863326E-2</v>
      </c>
    </row>
    <row r="5" spans="1:44" x14ac:dyDescent="0.15">
      <c r="A5" s="2" t="s">
        <v>43</v>
      </c>
      <c r="B5" s="51">
        <f>VLOOKUP($A5,Calculation!$K$16:$P$26,COLUMN(B$1),FALSE)</f>
        <v>1.3303433518260421E-2</v>
      </c>
      <c r="C5" s="51">
        <f>VLOOKUP($A5,Calculation!$K$16:$P$26,COLUMN(C$1),FALSE)</f>
        <v>1.384888765465103E-2</v>
      </c>
      <c r="D5" s="51">
        <f>VLOOKUP($A5,Calculation!$K$16:$P$26,COLUMN(D$1),FALSE)</f>
        <v>2.2384840209920001E-2</v>
      </c>
      <c r="E5" s="51">
        <f>VLOOKUP($A5,Calculation!$K$16:$P$26,COLUMN(E$1),FALSE)</f>
        <v>2.4884885258271431E-2</v>
      </c>
      <c r="F5" s="51">
        <f>VLOOKUP($A5,Calculation!$K$16:$P$26,COLUMN(F$1),FALSE)</f>
        <v>2.8680609994835172E-2</v>
      </c>
      <c r="G5" s="2">
        <f t="shared" si="1"/>
        <v>2.8680609994835172E-2</v>
      </c>
      <c r="H5" s="2">
        <f t="shared" si="0"/>
        <v>2.8680609994835172E-2</v>
      </c>
      <c r="I5" s="2">
        <f t="shared" si="0"/>
        <v>2.8680609994835172E-2</v>
      </c>
      <c r="J5" s="2">
        <f t="shared" si="0"/>
        <v>2.8680609994835172E-2</v>
      </c>
      <c r="K5" s="2">
        <f t="shared" si="0"/>
        <v>2.8680609994835172E-2</v>
      </c>
      <c r="L5" s="2">
        <f t="shared" si="0"/>
        <v>2.8680609994835172E-2</v>
      </c>
      <c r="M5" s="2">
        <f t="shared" si="0"/>
        <v>2.8680609994835172E-2</v>
      </c>
      <c r="N5" s="2">
        <f t="shared" si="0"/>
        <v>2.8680609994835172E-2</v>
      </c>
      <c r="O5" s="2">
        <f t="shared" si="0"/>
        <v>2.8680609994835172E-2</v>
      </c>
      <c r="P5" s="2">
        <f t="shared" si="0"/>
        <v>2.8680609994835172E-2</v>
      </c>
      <c r="Q5" s="2">
        <f t="shared" si="0"/>
        <v>2.8680609994835172E-2</v>
      </c>
      <c r="R5" s="2">
        <f t="shared" si="0"/>
        <v>2.8680609994835172E-2</v>
      </c>
      <c r="S5" s="2">
        <f t="shared" si="0"/>
        <v>2.8680609994835172E-2</v>
      </c>
      <c r="T5" s="2">
        <f t="shared" si="0"/>
        <v>2.8680609994835172E-2</v>
      </c>
      <c r="U5" s="2">
        <f t="shared" si="0"/>
        <v>2.8680609994835172E-2</v>
      </c>
      <c r="V5" s="2">
        <f t="shared" si="0"/>
        <v>2.8680609994835172E-2</v>
      </c>
      <c r="W5" s="2">
        <f t="shared" si="0"/>
        <v>2.8680609994835172E-2</v>
      </c>
      <c r="X5" s="2">
        <f t="shared" si="0"/>
        <v>2.8680609994835172E-2</v>
      </c>
      <c r="Y5" s="2">
        <f t="shared" si="0"/>
        <v>2.8680609994835172E-2</v>
      </c>
      <c r="Z5" s="2">
        <f t="shared" si="0"/>
        <v>2.8680609994835172E-2</v>
      </c>
      <c r="AA5" s="2">
        <f t="shared" si="0"/>
        <v>2.8680609994835172E-2</v>
      </c>
      <c r="AB5" s="2">
        <f t="shared" si="0"/>
        <v>2.8680609994835172E-2</v>
      </c>
      <c r="AC5" s="2">
        <f t="shared" si="0"/>
        <v>2.8680609994835172E-2</v>
      </c>
      <c r="AD5" s="2">
        <f t="shared" si="0"/>
        <v>2.8680609994835172E-2</v>
      </c>
      <c r="AE5" s="2">
        <f t="shared" si="0"/>
        <v>2.8680609994835172E-2</v>
      </c>
      <c r="AF5" s="2">
        <f t="shared" si="0"/>
        <v>2.8680609994835172E-2</v>
      </c>
      <c r="AG5" s="2">
        <f t="shared" si="0"/>
        <v>2.8680609994835172E-2</v>
      </c>
      <c r="AH5" s="2">
        <f t="shared" si="0"/>
        <v>2.8680609994835172E-2</v>
      </c>
      <c r="AI5" s="2">
        <f t="shared" si="0"/>
        <v>2.8680609994835172E-2</v>
      </c>
      <c r="AJ5" s="2">
        <f t="shared" si="0"/>
        <v>2.8680609994835172E-2</v>
      </c>
      <c r="AK5" s="2">
        <f t="shared" si="0"/>
        <v>2.8680609994835172E-2</v>
      </c>
      <c r="AL5" s="2">
        <f t="shared" si="0"/>
        <v>2.8680609994835172E-2</v>
      </c>
      <c r="AM5" s="2">
        <f t="shared" si="0"/>
        <v>2.8680609994835172E-2</v>
      </c>
      <c r="AN5" s="2">
        <f t="shared" si="0"/>
        <v>2.8680609994835172E-2</v>
      </c>
      <c r="AO5" s="2">
        <f t="shared" si="0"/>
        <v>2.8680609994835172E-2</v>
      </c>
      <c r="AP5" s="2">
        <f t="shared" si="0"/>
        <v>2.8680609994835172E-2</v>
      </c>
      <c r="AQ5" s="2">
        <f t="shared" si="0"/>
        <v>2.8680609994835172E-2</v>
      </c>
      <c r="AR5" s="2">
        <f t="shared" si="0"/>
        <v>2.8680609994835172E-2</v>
      </c>
    </row>
    <row r="6" spans="1:44" x14ac:dyDescent="0.15">
      <c r="A6" s="2" t="s">
        <v>44</v>
      </c>
      <c r="B6" s="51">
        <f>VLOOKUP($A6,Calculation!$K$16:$P$26,COLUMN(B$1),FALSE)</f>
        <v>2.890952418892125E-4</v>
      </c>
      <c r="C6" s="51">
        <f>VLOOKUP($A6,Calculation!$K$16:$P$26,COLUMN(C$1),FALSE)</f>
        <v>2.7546634185893443E-4</v>
      </c>
      <c r="D6" s="51">
        <f>VLOOKUP($A6,Calculation!$K$16:$P$26,COLUMN(D$1),FALSE)</f>
        <v>1.3761624777179225E-4</v>
      </c>
      <c r="E6" s="51">
        <f>VLOOKUP($A6,Calculation!$K$16:$P$26,COLUMN(E$1),FALSE)</f>
        <v>1.3675801111183292E-4</v>
      </c>
      <c r="F6" s="51">
        <f>VLOOKUP($A6,Calculation!$K$16:$P$26,COLUMN(F$1),FALSE)</f>
        <v>1.1703713420623534E-4</v>
      </c>
      <c r="G6" s="2">
        <f t="shared" si="1"/>
        <v>1.1703713420623534E-4</v>
      </c>
      <c r="H6" s="2">
        <f t="shared" si="0"/>
        <v>1.1703713420623534E-4</v>
      </c>
      <c r="I6" s="2">
        <f t="shared" si="0"/>
        <v>1.1703713420623534E-4</v>
      </c>
      <c r="J6" s="2">
        <f t="shared" si="0"/>
        <v>1.1703713420623534E-4</v>
      </c>
      <c r="K6" s="2">
        <f t="shared" si="0"/>
        <v>1.1703713420623534E-4</v>
      </c>
      <c r="L6" s="2">
        <f t="shared" si="0"/>
        <v>1.1703713420623534E-4</v>
      </c>
      <c r="M6" s="2">
        <f t="shared" si="0"/>
        <v>1.1703713420623534E-4</v>
      </c>
      <c r="N6" s="2">
        <f t="shared" si="0"/>
        <v>1.1703713420623534E-4</v>
      </c>
      <c r="O6" s="2">
        <f t="shared" si="0"/>
        <v>1.1703713420623534E-4</v>
      </c>
      <c r="P6" s="2">
        <f t="shared" si="0"/>
        <v>1.1703713420623534E-4</v>
      </c>
      <c r="Q6" s="2">
        <f t="shared" si="0"/>
        <v>1.1703713420623534E-4</v>
      </c>
      <c r="R6" s="2">
        <f t="shared" si="0"/>
        <v>1.1703713420623534E-4</v>
      </c>
      <c r="S6" s="2">
        <f t="shared" si="0"/>
        <v>1.1703713420623534E-4</v>
      </c>
      <c r="T6" s="2">
        <f t="shared" si="0"/>
        <v>1.1703713420623534E-4</v>
      </c>
      <c r="U6" s="2">
        <f t="shared" si="0"/>
        <v>1.1703713420623534E-4</v>
      </c>
      <c r="V6" s="2">
        <f t="shared" si="0"/>
        <v>1.1703713420623534E-4</v>
      </c>
      <c r="W6" s="2">
        <f t="shared" si="0"/>
        <v>1.1703713420623534E-4</v>
      </c>
      <c r="X6" s="2">
        <f t="shared" si="0"/>
        <v>1.1703713420623534E-4</v>
      </c>
      <c r="Y6" s="2">
        <f t="shared" si="0"/>
        <v>1.1703713420623534E-4</v>
      </c>
      <c r="Z6" s="2">
        <f t="shared" si="0"/>
        <v>1.1703713420623534E-4</v>
      </c>
      <c r="AA6" s="2">
        <f t="shared" si="0"/>
        <v>1.1703713420623534E-4</v>
      </c>
      <c r="AB6" s="2">
        <f t="shared" si="0"/>
        <v>1.1703713420623534E-4</v>
      </c>
      <c r="AC6" s="2">
        <f t="shared" si="0"/>
        <v>1.1703713420623534E-4</v>
      </c>
      <c r="AD6" s="2">
        <f t="shared" si="0"/>
        <v>1.1703713420623534E-4</v>
      </c>
      <c r="AE6" s="2">
        <f t="shared" si="0"/>
        <v>1.1703713420623534E-4</v>
      </c>
      <c r="AF6" s="2">
        <f t="shared" si="0"/>
        <v>1.1703713420623534E-4</v>
      </c>
      <c r="AG6" s="2">
        <f t="shared" si="0"/>
        <v>1.1703713420623534E-4</v>
      </c>
      <c r="AH6" s="2">
        <f t="shared" si="0"/>
        <v>1.1703713420623534E-4</v>
      </c>
      <c r="AI6" s="2">
        <f t="shared" si="0"/>
        <v>1.1703713420623534E-4</v>
      </c>
      <c r="AJ6" s="2">
        <f t="shared" si="0"/>
        <v>1.1703713420623534E-4</v>
      </c>
      <c r="AK6" s="2">
        <f t="shared" si="0"/>
        <v>1.1703713420623534E-4</v>
      </c>
      <c r="AL6" s="2">
        <f t="shared" si="0"/>
        <v>1.1703713420623534E-4</v>
      </c>
      <c r="AM6" s="2">
        <f t="shared" si="0"/>
        <v>1.1703713420623534E-4</v>
      </c>
      <c r="AN6" s="2">
        <f t="shared" si="0"/>
        <v>1.1703713420623534E-4</v>
      </c>
      <c r="AO6" s="2">
        <f t="shared" si="0"/>
        <v>1.1703713420623534E-4</v>
      </c>
      <c r="AP6" s="2">
        <f t="shared" si="0"/>
        <v>1.1703713420623534E-4</v>
      </c>
      <c r="AQ6" s="2">
        <f t="shared" si="0"/>
        <v>1.1703713420623534E-4</v>
      </c>
      <c r="AR6" s="2">
        <f t="shared" si="0"/>
        <v>1.1703713420623534E-4</v>
      </c>
    </row>
    <row r="7" spans="1:44" x14ac:dyDescent="0.15">
      <c r="A7" s="2" t="s">
        <v>45</v>
      </c>
      <c r="B7" s="51">
        <f>VLOOKUP($A7,Calculation!$K$16:$P$26,COLUMN(B$1),FALSE)</f>
        <v>0</v>
      </c>
      <c r="C7" s="51">
        <f>VLOOKUP($A7,Calculation!$K$16:$P$26,COLUMN(C$1),FALSE)</f>
        <v>0</v>
      </c>
      <c r="D7" s="51">
        <f>VLOOKUP($A7,Calculation!$K$16:$P$26,COLUMN(D$1),FALSE)</f>
        <v>0</v>
      </c>
      <c r="E7" s="51">
        <f>VLOOKUP($A7,Calculation!$K$16:$P$26,COLUMN(E$1),FALSE)</f>
        <v>0</v>
      </c>
      <c r="F7" s="51">
        <f>VLOOKUP($A7,Calculation!$K$16:$P$26,COLUMN(F$1),FALSE)</f>
        <v>0</v>
      </c>
      <c r="G7" s="2">
        <f t="shared" si="1"/>
        <v>0</v>
      </c>
      <c r="H7" s="2">
        <f t="shared" si="0"/>
        <v>0</v>
      </c>
      <c r="I7" s="2">
        <f t="shared" si="0"/>
        <v>0</v>
      </c>
      <c r="J7" s="2">
        <f t="shared" si="0"/>
        <v>0</v>
      </c>
      <c r="K7" s="2">
        <f t="shared" si="0"/>
        <v>0</v>
      </c>
      <c r="L7" s="2">
        <f t="shared" si="0"/>
        <v>0</v>
      </c>
      <c r="M7" s="2">
        <f t="shared" si="0"/>
        <v>0</v>
      </c>
      <c r="N7" s="2">
        <f t="shared" si="0"/>
        <v>0</v>
      </c>
      <c r="O7" s="2">
        <f t="shared" si="0"/>
        <v>0</v>
      </c>
      <c r="P7" s="2">
        <f t="shared" si="0"/>
        <v>0</v>
      </c>
      <c r="Q7" s="2">
        <f t="shared" si="0"/>
        <v>0</v>
      </c>
      <c r="R7" s="2">
        <f t="shared" si="0"/>
        <v>0</v>
      </c>
      <c r="S7" s="2">
        <f t="shared" si="0"/>
        <v>0</v>
      </c>
      <c r="T7" s="2">
        <f t="shared" si="0"/>
        <v>0</v>
      </c>
      <c r="U7" s="2">
        <f t="shared" si="0"/>
        <v>0</v>
      </c>
      <c r="V7" s="2">
        <f t="shared" si="0"/>
        <v>0</v>
      </c>
      <c r="W7" s="2">
        <f t="shared" si="0"/>
        <v>0</v>
      </c>
      <c r="X7" s="2">
        <f t="shared" si="0"/>
        <v>0</v>
      </c>
      <c r="Y7" s="2">
        <f t="shared" si="0"/>
        <v>0</v>
      </c>
      <c r="Z7" s="2">
        <f t="shared" si="0"/>
        <v>0</v>
      </c>
      <c r="AA7" s="2">
        <f t="shared" si="0"/>
        <v>0</v>
      </c>
      <c r="AB7" s="2">
        <f t="shared" si="0"/>
        <v>0</v>
      </c>
      <c r="AC7" s="2">
        <f t="shared" si="0"/>
        <v>0</v>
      </c>
      <c r="AD7" s="2">
        <f t="shared" si="0"/>
        <v>0</v>
      </c>
      <c r="AE7" s="2">
        <f t="shared" si="0"/>
        <v>0</v>
      </c>
      <c r="AF7" s="2">
        <f t="shared" si="0"/>
        <v>0</v>
      </c>
      <c r="AG7" s="2">
        <f t="shared" si="0"/>
        <v>0</v>
      </c>
      <c r="AH7" s="2">
        <f t="shared" si="0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</row>
    <row r="8" spans="1:44" x14ac:dyDescent="0.15">
      <c r="A8" s="2" t="s">
        <v>46</v>
      </c>
      <c r="B8" s="51">
        <f>VLOOKUP($A8,Calculation!$K$16:$P$26,COLUMN(B$1),FALSE)</f>
        <v>0</v>
      </c>
      <c r="C8" s="51">
        <f>VLOOKUP($A8,Calculation!$K$16:$P$26,COLUMN(C$1),FALSE)</f>
        <v>0</v>
      </c>
      <c r="D8" s="51">
        <f>VLOOKUP($A8,Calculation!$K$16:$P$26,COLUMN(D$1),FALSE)</f>
        <v>0</v>
      </c>
      <c r="E8" s="51">
        <f>VLOOKUP($A8,Calculation!$K$16:$P$26,COLUMN(E$1),FALSE)</f>
        <v>0</v>
      </c>
      <c r="F8" s="51">
        <f>VLOOKUP($A8,Calculation!$K$16:$P$26,COLUMN(F$1),FALSE)</f>
        <v>0</v>
      </c>
      <c r="G8" s="2">
        <f t="shared" si="1"/>
        <v>0</v>
      </c>
      <c r="H8" s="2">
        <f t="shared" si="0"/>
        <v>0</v>
      </c>
      <c r="I8" s="2">
        <f t="shared" si="0"/>
        <v>0</v>
      </c>
      <c r="J8" s="2">
        <f t="shared" si="0"/>
        <v>0</v>
      </c>
      <c r="K8" s="2">
        <f t="shared" si="0"/>
        <v>0</v>
      </c>
      <c r="L8" s="2">
        <f t="shared" si="0"/>
        <v>0</v>
      </c>
      <c r="M8" s="2">
        <f t="shared" si="0"/>
        <v>0</v>
      </c>
      <c r="N8" s="2">
        <f t="shared" si="0"/>
        <v>0</v>
      </c>
      <c r="O8" s="2">
        <f t="shared" si="0"/>
        <v>0</v>
      </c>
      <c r="P8" s="2">
        <f t="shared" si="0"/>
        <v>0</v>
      </c>
      <c r="Q8" s="2">
        <f t="shared" si="0"/>
        <v>0</v>
      </c>
      <c r="R8" s="2">
        <f t="shared" si="0"/>
        <v>0</v>
      </c>
      <c r="S8" s="2">
        <f t="shared" si="0"/>
        <v>0</v>
      </c>
      <c r="T8" s="2">
        <f t="shared" si="0"/>
        <v>0</v>
      </c>
      <c r="U8" s="2">
        <f t="shared" si="0"/>
        <v>0</v>
      </c>
      <c r="V8" s="2">
        <f t="shared" si="0"/>
        <v>0</v>
      </c>
      <c r="W8" s="2">
        <f t="shared" si="0"/>
        <v>0</v>
      </c>
      <c r="X8" s="2">
        <f t="shared" si="0"/>
        <v>0</v>
      </c>
      <c r="Y8" s="2">
        <f t="shared" si="0"/>
        <v>0</v>
      </c>
      <c r="Z8" s="2">
        <f t="shared" si="0"/>
        <v>0</v>
      </c>
      <c r="AA8" s="2">
        <f t="shared" si="0"/>
        <v>0</v>
      </c>
      <c r="AB8" s="2">
        <f t="shared" si="0"/>
        <v>0</v>
      </c>
      <c r="AC8" s="2">
        <f t="shared" si="0"/>
        <v>0</v>
      </c>
      <c r="AD8" s="2">
        <f t="shared" si="0"/>
        <v>0</v>
      </c>
      <c r="AE8" s="2">
        <f t="shared" si="0"/>
        <v>0</v>
      </c>
      <c r="AF8" s="2">
        <f t="shared" si="0"/>
        <v>0</v>
      </c>
      <c r="AG8" s="2">
        <f t="shared" si="0"/>
        <v>0</v>
      </c>
      <c r="AH8" s="2">
        <f t="shared" si="0"/>
        <v>0</v>
      </c>
      <c r="AI8" s="2">
        <f t="shared" si="0"/>
        <v>0</v>
      </c>
      <c r="AJ8" s="2">
        <f t="shared" si="0"/>
        <v>0</v>
      </c>
      <c r="AK8" s="2">
        <f t="shared" si="0"/>
        <v>0</v>
      </c>
      <c r="AL8" s="2">
        <f t="shared" si="0"/>
        <v>0</v>
      </c>
      <c r="AM8" s="2">
        <f t="shared" si="0"/>
        <v>0</v>
      </c>
      <c r="AN8" s="2">
        <f t="shared" si="0"/>
        <v>0</v>
      </c>
      <c r="AO8" s="2">
        <f t="shared" si="0"/>
        <v>0</v>
      </c>
      <c r="AP8" s="2">
        <f t="shared" si="0"/>
        <v>0</v>
      </c>
      <c r="AQ8" s="2">
        <f t="shared" si="0"/>
        <v>0</v>
      </c>
      <c r="AR8" s="2">
        <f t="shared" si="0"/>
        <v>0</v>
      </c>
    </row>
    <row r="9" spans="1:44" x14ac:dyDescent="0.15">
      <c r="A9" s="2" t="s">
        <v>47</v>
      </c>
      <c r="B9" s="51">
        <f>VLOOKUP($A9,Calculation!$K$16:$P$26,COLUMN(B$1),FALSE)</f>
        <v>3.9691839132207137E-3</v>
      </c>
      <c r="C9" s="51">
        <f>VLOOKUP($A9,Calculation!$K$16:$P$26,COLUMN(C$1),FALSE)</f>
        <v>4.171885288417161E-3</v>
      </c>
      <c r="D9" s="51">
        <f>VLOOKUP($A9,Calculation!$K$16:$P$26,COLUMN(D$1),FALSE)</f>
        <v>1.1361521067752494E-2</v>
      </c>
      <c r="E9" s="51">
        <f>VLOOKUP($A9,Calculation!$K$16:$P$26,COLUMN(E$1),FALSE)</f>
        <v>1.0126638786289853E-2</v>
      </c>
      <c r="F9" s="51">
        <f>VLOOKUP($A9,Calculation!$K$16:$P$26,COLUMN(F$1),FALSE)</f>
        <v>8.7650959829011187E-3</v>
      </c>
      <c r="G9" s="2">
        <f t="shared" si="1"/>
        <v>8.7650959829011187E-3</v>
      </c>
      <c r="H9" s="2">
        <f t="shared" si="0"/>
        <v>8.7650959829011187E-3</v>
      </c>
      <c r="I9" s="2">
        <f t="shared" si="0"/>
        <v>8.7650959829011187E-3</v>
      </c>
      <c r="J9" s="2">
        <f t="shared" si="0"/>
        <v>8.7650959829011187E-3</v>
      </c>
      <c r="K9" s="2">
        <f t="shared" si="0"/>
        <v>8.7650959829011187E-3</v>
      </c>
      <c r="L9" s="2">
        <f t="shared" si="0"/>
        <v>8.7650959829011187E-3</v>
      </c>
      <c r="M9" s="2">
        <f t="shared" si="0"/>
        <v>8.7650959829011187E-3</v>
      </c>
      <c r="N9" s="2">
        <f t="shared" si="0"/>
        <v>8.7650959829011187E-3</v>
      </c>
      <c r="O9" s="2">
        <f t="shared" si="0"/>
        <v>8.7650959829011187E-3</v>
      </c>
      <c r="P9" s="2">
        <f t="shared" si="0"/>
        <v>8.7650959829011187E-3</v>
      </c>
      <c r="Q9" s="2">
        <f t="shared" si="0"/>
        <v>8.7650959829011187E-3</v>
      </c>
      <c r="R9" s="2">
        <f t="shared" si="0"/>
        <v>8.7650959829011187E-3</v>
      </c>
      <c r="S9" s="2">
        <f t="shared" ref="H9:AR11" si="2">$F9</f>
        <v>8.7650959829011187E-3</v>
      </c>
      <c r="T9" s="2">
        <f t="shared" si="2"/>
        <v>8.7650959829011187E-3</v>
      </c>
      <c r="U9" s="2">
        <f t="shared" si="2"/>
        <v>8.7650959829011187E-3</v>
      </c>
      <c r="V9" s="2">
        <f t="shared" si="2"/>
        <v>8.7650959829011187E-3</v>
      </c>
      <c r="W9" s="2">
        <f t="shared" si="2"/>
        <v>8.7650959829011187E-3</v>
      </c>
      <c r="X9" s="2">
        <f t="shared" si="2"/>
        <v>8.7650959829011187E-3</v>
      </c>
      <c r="Y9" s="2">
        <f t="shared" si="2"/>
        <v>8.7650959829011187E-3</v>
      </c>
      <c r="Z9" s="2">
        <f t="shared" si="2"/>
        <v>8.7650959829011187E-3</v>
      </c>
      <c r="AA9" s="2">
        <f t="shared" si="2"/>
        <v>8.7650959829011187E-3</v>
      </c>
      <c r="AB9" s="2">
        <f t="shared" si="2"/>
        <v>8.7650959829011187E-3</v>
      </c>
      <c r="AC9" s="2">
        <f t="shared" si="2"/>
        <v>8.7650959829011187E-3</v>
      </c>
      <c r="AD9" s="2">
        <f t="shared" si="2"/>
        <v>8.7650959829011187E-3</v>
      </c>
      <c r="AE9" s="2">
        <f t="shared" si="2"/>
        <v>8.7650959829011187E-3</v>
      </c>
      <c r="AF9" s="2">
        <f t="shared" si="2"/>
        <v>8.7650959829011187E-3</v>
      </c>
      <c r="AG9" s="2">
        <f t="shared" si="2"/>
        <v>8.7650959829011187E-3</v>
      </c>
      <c r="AH9" s="2">
        <f t="shared" si="2"/>
        <v>8.7650959829011187E-3</v>
      </c>
      <c r="AI9" s="2">
        <f t="shared" si="2"/>
        <v>8.7650959829011187E-3</v>
      </c>
      <c r="AJ9" s="2">
        <f t="shared" si="2"/>
        <v>8.7650959829011187E-3</v>
      </c>
      <c r="AK9" s="2">
        <f t="shared" si="2"/>
        <v>8.7650959829011187E-3</v>
      </c>
      <c r="AL9" s="2">
        <f t="shared" si="2"/>
        <v>8.7650959829011187E-3</v>
      </c>
      <c r="AM9" s="2">
        <f t="shared" si="2"/>
        <v>8.7650959829011187E-3</v>
      </c>
      <c r="AN9" s="2">
        <f t="shared" si="2"/>
        <v>8.7650959829011187E-3</v>
      </c>
      <c r="AO9" s="2">
        <f t="shared" si="2"/>
        <v>8.7650959829011187E-3</v>
      </c>
      <c r="AP9" s="2">
        <f t="shared" si="2"/>
        <v>8.7650959829011187E-3</v>
      </c>
      <c r="AQ9" s="2">
        <f t="shared" si="2"/>
        <v>8.7650959829011187E-3</v>
      </c>
      <c r="AR9" s="2">
        <f t="shared" si="2"/>
        <v>8.7650959829011187E-3</v>
      </c>
    </row>
    <row r="10" spans="1:44" x14ac:dyDescent="0.15">
      <c r="A10" s="2" t="s">
        <v>48</v>
      </c>
      <c r="B10" s="51">
        <f>VLOOKUP($A10,Calculation!$K$16:$P$26,COLUMN(B$1),FALSE)</f>
        <v>6.0767092611628312E-2</v>
      </c>
      <c r="C10" s="51">
        <f>VLOOKUP($A10,Calculation!$K$16:$P$26,COLUMN(C$1),FALSE)</f>
        <v>6.2137072111435272E-2</v>
      </c>
      <c r="D10" s="51">
        <f>VLOOKUP($A10,Calculation!$K$16:$P$26,COLUMN(D$1),FALSE)</f>
        <v>4.5142707536370959E-2</v>
      </c>
      <c r="E10" s="51">
        <f>VLOOKUP($A10,Calculation!$K$16:$P$26,COLUMN(E$1),FALSE)</f>
        <v>3.6331557194595805E-2</v>
      </c>
      <c r="F10" s="51">
        <f>VLOOKUP($A10,Calculation!$K$16:$P$26,COLUMN(F$1),FALSE)</f>
        <v>3.4109380532028784E-2</v>
      </c>
      <c r="G10" s="2">
        <f t="shared" si="1"/>
        <v>3.4109380532028784E-2</v>
      </c>
      <c r="H10" s="2">
        <f t="shared" si="2"/>
        <v>3.4109380532028784E-2</v>
      </c>
      <c r="I10" s="2">
        <f t="shared" si="2"/>
        <v>3.4109380532028784E-2</v>
      </c>
      <c r="J10" s="2">
        <f t="shared" si="2"/>
        <v>3.4109380532028784E-2</v>
      </c>
      <c r="K10" s="2">
        <f t="shared" si="2"/>
        <v>3.4109380532028784E-2</v>
      </c>
      <c r="L10" s="2">
        <f t="shared" si="2"/>
        <v>3.4109380532028784E-2</v>
      </c>
      <c r="M10" s="2">
        <f t="shared" si="2"/>
        <v>3.4109380532028784E-2</v>
      </c>
      <c r="N10" s="2">
        <f t="shared" si="2"/>
        <v>3.4109380532028784E-2</v>
      </c>
      <c r="O10" s="2">
        <f t="shared" si="2"/>
        <v>3.4109380532028784E-2</v>
      </c>
      <c r="P10" s="2">
        <f t="shared" si="2"/>
        <v>3.4109380532028784E-2</v>
      </c>
      <c r="Q10" s="2">
        <f t="shared" si="2"/>
        <v>3.4109380532028784E-2</v>
      </c>
      <c r="R10" s="2">
        <f t="shared" si="2"/>
        <v>3.4109380532028784E-2</v>
      </c>
      <c r="S10" s="2">
        <f t="shared" si="2"/>
        <v>3.4109380532028784E-2</v>
      </c>
      <c r="T10" s="2">
        <f t="shared" si="2"/>
        <v>3.4109380532028784E-2</v>
      </c>
      <c r="U10" s="2">
        <f t="shared" si="2"/>
        <v>3.4109380532028784E-2</v>
      </c>
      <c r="V10" s="2">
        <f t="shared" si="2"/>
        <v>3.4109380532028784E-2</v>
      </c>
      <c r="W10" s="2">
        <f t="shared" si="2"/>
        <v>3.4109380532028784E-2</v>
      </c>
      <c r="X10" s="2">
        <f t="shared" si="2"/>
        <v>3.4109380532028784E-2</v>
      </c>
      <c r="Y10" s="2">
        <f t="shared" si="2"/>
        <v>3.4109380532028784E-2</v>
      </c>
      <c r="Z10" s="2">
        <f t="shared" si="2"/>
        <v>3.4109380532028784E-2</v>
      </c>
      <c r="AA10" s="2">
        <f t="shared" si="2"/>
        <v>3.4109380532028784E-2</v>
      </c>
      <c r="AB10" s="2">
        <f t="shared" si="2"/>
        <v>3.4109380532028784E-2</v>
      </c>
      <c r="AC10" s="2">
        <f t="shared" si="2"/>
        <v>3.4109380532028784E-2</v>
      </c>
      <c r="AD10" s="2">
        <f t="shared" si="2"/>
        <v>3.4109380532028784E-2</v>
      </c>
      <c r="AE10" s="2">
        <f t="shared" si="2"/>
        <v>3.4109380532028784E-2</v>
      </c>
      <c r="AF10" s="2">
        <f t="shared" si="2"/>
        <v>3.4109380532028784E-2</v>
      </c>
      <c r="AG10" s="2">
        <f t="shared" si="2"/>
        <v>3.4109380532028784E-2</v>
      </c>
      <c r="AH10" s="2">
        <f t="shared" si="2"/>
        <v>3.4109380532028784E-2</v>
      </c>
      <c r="AI10" s="2">
        <f t="shared" si="2"/>
        <v>3.4109380532028784E-2</v>
      </c>
      <c r="AJ10" s="2">
        <f t="shared" si="2"/>
        <v>3.4109380532028784E-2</v>
      </c>
      <c r="AK10" s="2">
        <f t="shared" si="2"/>
        <v>3.4109380532028784E-2</v>
      </c>
      <c r="AL10" s="2">
        <f t="shared" si="2"/>
        <v>3.4109380532028784E-2</v>
      </c>
      <c r="AM10" s="2">
        <f t="shared" si="2"/>
        <v>3.4109380532028784E-2</v>
      </c>
      <c r="AN10" s="2">
        <f t="shared" si="2"/>
        <v>3.4109380532028784E-2</v>
      </c>
      <c r="AO10" s="2">
        <f t="shared" si="2"/>
        <v>3.4109380532028784E-2</v>
      </c>
      <c r="AP10" s="2">
        <f t="shared" si="2"/>
        <v>3.4109380532028784E-2</v>
      </c>
      <c r="AQ10" s="2">
        <f t="shared" si="2"/>
        <v>3.4109380532028784E-2</v>
      </c>
      <c r="AR10" s="2">
        <f t="shared" si="2"/>
        <v>3.4109380532028784E-2</v>
      </c>
    </row>
    <row r="11" spans="1:44" x14ac:dyDescent="0.15">
      <c r="A11" s="2" t="s">
        <v>49</v>
      </c>
      <c r="B11" s="51">
        <f>VLOOKUP($A11,Calculation!$K$16:$P$26,COLUMN(B$1),FALSE)</f>
        <v>0</v>
      </c>
      <c r="C11" s="51">
        <f>VLOOKUP($A11,Calculation!$K$16:$P$26,COLUMN(C$1),FALSE)</f>
        <v>0</v>
      </c>
      <c r="D11" s="51">
        <f>VLOOKUP($A11,Calculation!$K$16:$P$26,COLUMN(D$1),FALSE)</f>
        <v>0</v>
      </c>
      <c r="E11" s="51">
        <f>VLOOKUP($A11,Calculation!$K$16:$P$26,COLUMN(E$1),FALSE)</f>
        <v>0</v>
      </c>
      <c r="F11" s="51">
        <f>VLOOKUP($A11,Calculation!$K$16:$P$26,COLUMN(F$1),FALSE)</f>
        <v>0</v>
      </c>
      <c r="G11" s="2">
        <f t="shared" si="1"/>
        <v>0</v>
      </c>
      <c r="H11" s="2">
        <f t="shared" si="2"/>
        <v>0</v>
      </c>
      <c r="I11" s="2">
        <f t="shared" si="2"/>
        <v>0</v>
      </c>
      <c r="J11" s="2">
        <f t="shared" si="2"/>
        <v>0</v>
      </c>
      <c r="K11" s="2">
        <f t="shared" si="2"/>
        <v>0</v>
      </c>
      <c r="L11" s="2">
        <f t="shared" si="2"/>
        <v>0</v>
      </c>
      <c r="M11" s="2">
        <f t="shared" si="2"/>
        <v>0</v>
      </c>
      <c r="N11" s="2">
        <f t="shared" si="2"/>
        <v>0</v>
      </c>
      <c r="O11" s="2">
        <f t="shared" si="2"/>
        <v>0</v>
      </c>
      <c r="P11" s="2">
        <f t="shared" si="2"/>
        <v>0</v>
      </c>
      <c r="Q11" s="2">
        <f t="shared" si="2"/>
        <v>0</v>
      </c>
      <c r="R11" s="2">
        <f t="shared" si="2"/>
        <v>0</v>
      </c>
      <c r="S11" s="2">
        <f t="shared" si="2"/>
        <v>0</v>
      </c>
      <c r="T11" s="2">
        <f t="shared" si="2"/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2">
        <f t="shared" si="2"/>
        <v>0</v>
      </c>
      <c r="Y11" s="2">
        <f t="shared" si="2"/>
        <v>0</v>
      </c>
      <c r="Z11" s="2">
        <f t="shared" si="2"/>
        <v>0</v>
      </c>
      <c r="AA11" s="2">
        <f t="shared" si="2"/>
        <v>0</v>
      </c>
      <c r="AB11" s="2">
        <f t="shared" si="2"/>
        <v>0</v>
      </c>
      <c r="AC11" s="2">
        <f t="shared" si="2"/>
        <v>0</v>
      </c>
      <c r="AD11" s="2">
        <f t="shared" si="2"/>
        <v>0</v>
      </c>
      <c r="AE11" s="2">
        <f t="shared" si="2"/>
        <v>0</v>
      </c>
      <c r="AF11" s="2">
        <f t="shared" si="2"/>
        <v>0</v>
      </c>
      <c r="AG11" s="2">
        <f t="shared" si="2"/>
        <v>0</v>
      </c>
      <c r="AH11" s="2">
        <f t="shared" si="2"/>
        <v>0</v>
      </c>
      <c r="AI11" s="2">
        <f t="shared" si="2"/>
        <v>0</v>
      </c>
      <c r="AJ11" s="2">
        <f t="shared" si="2"/>
        <v>0</v>
      </c>
      <c r="AK11" s="2">
        <f t="shared" si="2"/>
        <v>0</v>
      </c>
      <c r="AL11" s="2">
        <f t="shared" si="2"/>
        <v>0</v>
      </c>
      <c r="AM11" s="2">
        <f t="shared" si="2"/>
        <v>0</v>
      </c>
      <c r="AN11" s="2">
        <f t="shared" si="2"/>
        <v>0</v>
      </c>
      <c r="AO11" s="2">
        <f t="shared" si="2"/>
        <v>0</v>
      </c>
      <c r="AP11" s="2">
        <f t="shared" si="2"/>
        <v>0</v>
      </c>
      <c r="AQ11" s="2">
        <f t="shared" si="2"/>
        <v>0</v>
      </c>
      <c r="AR11" s="2">
        <f t="shared" si="2"/>
        <v>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Region Selector</vt:lpstr>
      <vt:lpstr> Energy Balance</vt:lpstr>
      <vt:lpstr>Calculation</vt:lpstr>
      <vt:lpstr>Fuel Category and Heat Rate</vt:lpstr>
      <vt:lpstr>BFoHPbF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</dc:creator>
  <cp:lastModifiedBy>Rui Wang</cp:lastModifiedBy>
  <dcterms:created xsi:type="dcterms:W3CDTF">2022-02-18T03:49:00Z</dcterms:created>
  <dcterms:modified xsi:type="dcterms:W3CDTF">2025-07-10T14:56:10Z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