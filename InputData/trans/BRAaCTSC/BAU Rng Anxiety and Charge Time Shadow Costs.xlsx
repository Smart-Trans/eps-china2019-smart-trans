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zhlxl\Desktop\EPS\eps-china2019-smart-trans\InputData\trans\BRAaCTSC\"/>
    </mc:Choice>
  </mc:AlternateContent>
  <xr:revisionPtr revIDLastSave="0" documentId="13_ncr:1_{5FECC6EA-CA8A-43CA-8C5B-098FF917A8A2}" xr6:coauthVersionLast="47" xr6:coauthVersionMax="47" xr10:uidLastSave="{00000000-0000-0000-0000-000000000000}"/>
  <bookViews>
    <workbookView xWindow="12743" yWindow="217" windowWidth="10691" windowHeight="11928" activeTab="2" xr2:uid="{00000000-000D-0000-FFFF-FFFF00000000}"/>
  </bookViews>
  <sheets>
    <sheet name="About" sheetId="1" r:id="rId1"/>
    <sheet name="Data" sheetId="2" r:id="rId2"/>
    <sheet name="BRAaCTS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3" l="1"/>
  <c r="H2" i="3"/>
  <c r="F2" i="3"/>
  <c r="G2" i="3"/>
  <c r="E2" i="3"/>
  <c r="D2" i="3"/>
  <c r="C2" i="3"/>
  <c r="B2" i="3"/>
  <c r="J2" i="3"/>
  <c r="K2" i="3"/>
  <c r="L2" i="3"/>
  <c r="M2" i="3"/>
  <c r="N2" i="3"/>
  <c r="O2" i="3" l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AJ2" i="3" s="1"/>
  <c r="AK2" i="3" s="1"/>
  <c r="AL2" i="3" s="1"/>
  <c r="AM2" i="3" s="1"/>
  <c r="AN2" i="3" s="1"/>
  <c r="AO2" i="3" s="1"/>
  <c r="AP2" i="3" s="1"/>
  <c r="AQ2" i="3" s="1"/>
  <c r="B22" i="2"/>
  <c r="B8" i="2"/>
  <c r="B4" i="2"/>
  <c r="B5" i="2" s="1"/>
  <c r="B18" i="2" s="1"/>
  <c r="B24" i="2" s="1"/>
  <c r="B25" i="2" s="1"/>
</calcChain>
</file>

<file path=xl/sharedStrings.xml><?xml version="1.0" encoding="utf-8"?>
<sst xmlns="http://schemas.openxmlformats.org/spreadsheetml/2006/main" count="40" uniqueCount="35">
  <si>
    <t>BRAaCTSC BAU Range Anxiety and Charging Time Shadow Cost</t>
  </si>
  <si>
    <t>Source:</t>
  </si>
  <si>
    <t>Xu Hao et al. Range cost-effectiveness of plug-in electric vehicle for heterogeneous consumers: An expanded total ownership cost approach</t>
  </si>
  <si>
    <t>《山东省电动汽车充电基础设施发展白皮书（2020）》</t>
  </si>
  <si>
    <t>Notes</t>
  </si>
  <si>
    <t>中国电动车平均续航为400公里左右，远远大于山东省充电站间平均距离40公里。因为</t>
  </si>
  <si>
    <t>里程造成的焦虑成本可忽略不计。但根据文献调研发现，山东充电站的充电时间普遍偏长，并且</t>
  </si>
  <si>
    <t>群众的满意程度并不是100%。</t>
  </si>
  <si>
    <t>计算充电站好评率：</t>
  </si>
  <si>
    <t>五星充电站</t>
  </si>
  <si>
    <t>座</t>
  </si>
  <si>
    <t>充电站总数</t>
  </si>
  <si>
    <t>满意度</t>
  </si>
  <si>
    <t>不完全满意度</t>
  </si>
  <si>
    <t>充电设施平均完好率</t>
  </si>
  <si>
    <t>充电设施平均非完好率</t>
  </si>
  <si>
    <t>充电时间</t>
  </si>
  <si>
    <t>交流充电桩</t>
  </si>
  <si>
    <t>8-10小时</t>
  </si>
  <si>
    <t>家（可晚上充电）</t>
  </si>
  <si>
    <t>直流充电桩</t>
  </si>
  <si>
    <t>20-90分钟</t>
  </si>
  <si>
    <t>高速公路等等</t>
  </si>
  <si>
    <t>2.75倍</t>
  </si>
  <si>
    <t>充电满意度</t>
  </si>
  <si>
    <t>充电非满意度</t>
  </si>
  <si>
    <t>选择使用燃油汽车比例</t>
  </si>
  <si>
    <t>燃油机车生命周期燃油等花费</t>
  </si>
  <si>
    <t>元</t>
  </si>
  <si>
    <t>燃油机车其他花费（北京）</t>
  </si>
  <si>
    <t>燃油机车其他花费（山东估算）</t>
  </si>
  <si>
    <t>估算：</t>
  </si>
  <si>
    <t>美元</t>
  </si>
  <si>
    <t>Cost ($/vehicle)</t>
  </si>
  <si>
    <t>Shadow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</si>
</sst>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5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u/>
      <sz val="11"/>
      <color rgb="FF800080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" fontId="0" fillId="0" borderId="0" xfId="0" applyNumberFormat="1"/>
    <xf numFmtId="10" fontId="0" fillId="0" borderId="0" xfId="0" applyNumberFormat="1"/>
    <xf numFmtId="0" fontId="0" fillId="2" borderId="0" xfId="0" applyFill="1"/>
    <xf numFmtId="10" fontId="0" fillId="2" borderId="0" xfId="0" applyNumberFormat="1" applyFill="1"/>
    <xf numFmtId="9" fontId="0" fillId="0" borderId="0" xfId="0" applyNumberFormat="1"/>
    <xf numFmtId="0" fontId="0" fillId="0" borderId="0" xfId="0" applyAlignment="1">
      <alignment horizontal="left"/>
    </xf>
    <xf numFmtId="0" fontId="2" fillId="0" borderId="0" xfId="1" applyFont="1"/>
    <xf numFmtId="176" fontId="0" fillId="0" borderId="0" xfId="0" applyNumberForma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A14" sqref="A14"/>
    </sheetView>
  </sheetViews>
  <sheetFormatPr defaultColWidth="9" defaultRowHeight="14.3" x14ac:dyDescent="0.25"/>
  <sheetData>
    <row r="1" spans="1:2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B4" s="8"/>
    </row>
    <row r="5" spans="1:2" x14ac:dyDescent="0.25">
      <c r="B5" t="s">
        <v>3</v>
      </c>
    </row>
    <row r="6" spans="1:2" x14ac:dyDescent="0.25">
      <c r="B6" s="9"/>
    </row>
    <row r="11" spans="1:2" x14ac:dyDescent="0.25">
      <c r="A11" s="1" t="s">
        <v>4</v>
      </c>
    </row>
    <row r="12" spans="1:2" x14ac:dyDescent="0.25">
      <c r="A12" t="s">
        <v>5</v>
      </c>
    </row>
    <row r="13" spans="1:2" x14ac:dyDescent="0.25">
      <c r="A13" t="s">
        <v>6</v>
      </c>
    </row>
    <row r="14" spans="1:2" x14ac:dyDescent="0.25">
      <c r="A14" t="s">
        <v>7</v>
      </c>
    </row>
    <row r="21" spans="1:1" x14ac:dyDescent="0.25">
      <c r="A21" s="10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"/>
  <sheetViews>
    <sheetView workbookViewId="0">
      <selection activeCell="B18" sqref="B18"/>
    </sheetView>
  </sheetViews>
  <sheetFormatPr defaultColWidth="9" defaultRowHeight="14.3" x14ac:dyDescent="0.25"/>
  <cols>
    <col min="1" max="1" width="19.25" customWidth="1"/>
    <col min="2" max="2" width="11.625" customWidth="1"/>
    <col min="3" max="3" width="14.375" customWidth="1"/>
  </cols>
  <sheetData>
    <row r="1" spans="1:4" x14ac:dyDescent="0.25">
      <c r="A1" t="s">
        <v>8</v>
      </c>
    </row>
    <row r="2" spans="1:4" x14ac:dyDescent="0.25">
      <c r="A2" t="s">
        <v>9</v>
      </c>
      <c r="B2">
        <v>286</v>
      </c>
      <c r="C2" t="s">
        <v>10</v>
      </c>
    </row>
    <row r="3" spans="1:4" x14ac:dyDescent="0.25">
      <c r="A3" t="s">
        <v>11</v>
      </c>
      <c r="B3">
        <v>4210</v>
      </c>
      <c r="C3" t="s">
        <v>10</v>
      </c>
    </row>
    <row r="4" spans="1:4" x14ac:dyDescent="0.25">
      <c r="A4" t="s">
        <v>12</v>
      </c>
      <c r="B4" s="4">
        <f>B2/B3</f>
        <v>6.7933491686460803E-2</v>
      </c>
    </row>
    <row r="5" spans="1:4" x14ac:dyDescent="0.25">
      <c r="A5" s="5" t="s">
        <v>13</v>
      </c>
      <c r="B5" s="6">
        <f>1-B4</f>
        <v>0.93206650831353921</v>
      </c>
    </row>
    <row r="6" spans="1:4" x14ac:dyDescent="0.25">
      <c r="B6" s="3"/>
    </row>
    <row r="7" spans="1:4" x14ac:dyDescent="0.25">
      <c r="A7" t="s">
        <v>14</v>
      </c>
      <c r="B7" s="4">
        <v>0.84370000000000001</v>
      </c>
    </row>
    <row r="8" spans="1:4" x14ac:dyDescent="0.25">
      <c r="A8" s="5" t="s">
        <v>15</v>
      </c>
      <c r="B8" s="6">
        <f>1-B7</f>
        <v>0.15629999999999999</v>
      </c>
    </row>
    <row r="10" spans="1:4" x14ac:dyDescent="0.25">
      <c r="A10" t="s">
        <v>16</v>
      </c>
      <c r="B10" s="3"/>
    </row>
    <row r="11" spans="1:4" x14ac:dyDescent="0.25">
      <c r="A11" s="7">
        <v>0.57999999999999996</v>
      </c>
      <c r="B11" s="3" t="s">
        <v>17</v>
      </c>
      <c r="C11" t="s">
        <v>18</v>
      </c>
      <c r="D11" t="s">
        <v>19</v>
      </c>
    </row>
    <row r="12" spans="1:4" x14ac:dyDescent="0.25">
      <c r="A12" s="7">
        <v>0.42</v>
      </c>
      <c r="B12" t="s">
        <v>20</v>
      </c>
      <c r="C12" t="s">
        <v>21</v>
      </c>
      <c r="D12" t="s">
        <v>22</v>
      </c>
    </row>
    <row r="14" spans="1:4" x14ac:dyDescent="0.25">
      <c r="A14" t="s">
        <v>16</v>
      </c>
      <c r="B14" t="s">
        <v>23</v>
      </c>
    </row>
    <row r="15" spans="1:4" x14ac:dyDescent="0.25">
      <c r="A15" t="s">
        <v>24</v>
      </c>
      <c r="B15" s="4">
        <v>0.36399999999999999</v>
      </c>
    </row>
    <row r="16" spans="1:4" x14ac:dyDescent="0.25">
      <c r="A16" s="5" t="s">
        <v>25</v>
      </c>
      <c r="B16" s="6">
        <v>0.63600000000000001</v>
      </c>
    </row>
    <row r="18" spans="1:3" x14ac:dyDescent="0.25">
      <c r="A18" t="s">
        <v>26</v>
      </c>
      <c r="B18" s="6">
        <f>B5*B8*B16</f>
        <v>9.265374897862233E-2</v>
      </c>
    </row>
    <row r="20" spans="1:3" x14ac:dyDescent="0.25">
      <c r="A20" t="s">
        <v>27</v>
      </c>
      <c r="B20">
        <v>23450</v>
      </c>
      <c r="C20" t="s">
        <v>28</v>
      </c>
    </row>
    <row r="21" spans="1:3" x14ac:dyDescent="0.25">
      <c r="A21" t="s">
        <v>29</v>
      </c>
      <c r="B21">
        <v>130000</v>
      </c>
      <c r="C21" t="s">
        <v>28</v>
      </c>
    </row>
    <row r="22" spans="1:3" x14ac:dyDescent="0.25">
      <c r="A22" t="s">
        <v>30</v>
      </c>
      <c r="B22">
        <f>B21/2</f>
        <v>65000</v>
      </c>
      <c r="C22" t="s">
        <v>28</v>
      </c>
    </row>
    <row r="24" spans="1:3" x14ac:dyDescent="0.25">
      <c r="A24" t="s">
        <v>31</v>
      </c>
      <c r="B24">
        <f>(B22+B20)*B18</f>
        <v>8195.2240971591455</v>
      </c>
      <c r="C24" t="s">
        <v>28</v>
      </c>
    </row>
    <row r="25" spans="1:3" x14ac:dyDescent="0.25">
      <c r="B25">
        <f>B24*0.1377</f>
        <v>1128.4823581788141</v>
      </c>
      <c r="C25" t="s">
        <v>32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2"/>
  <sheetViews>
    <sheetView tabSelected="1" workbookViewId="0">
      <selection activeCell="D2" sqref="D2"/>
    </sheetView>
  </sheetViews>
  <sheetFormatPr defaultColWidth="9" defaultRowHeight="14.3" x14ac:dyDescent="0.25"/>
  <cols>
    <col min="1" max="1" width="17.875" customWidth="1"/>
  </cols>
  <sheetData>
    <row r="1" spans="1:43" x14ac:dyDescent="0.25">
      <c r="A1" s="1" t="s">
        <v>33</v>
      </c>
      <c r="B1">
        <v>2019</v>
      </c>
      <c r="C1" s="2">
        <v>2020</v>
      </c>
      <c r="D1">
        <v>2021</v>
      </c>
      <c r="E1" s="2">
        <v>2022</v>
      </c>
      <c r="F1">
        <v>2023</v>
      </c>
      <c r="G1" s="2">
        <v>2024</v>
      </c>
      <c r="H1">
        <v>2025</v>
      </c>
      <c r="I1" s="2">
        <v>2026</v>
      </c>
      <c r="J1">
        <v>2027</v>
      </c>
      <c r="K1" s="2">
        <v>2028</v>
      </c>
      <c r="L1">
        <v>2029</v>
      </c>
      <c r="M1" s="2">
        <v>2030</v>
      </c>
      <c r="N1">
        <v>2031</v>
      </c>
      <c r="O1" s="2">
        <v>2032</v>
      </c>
      <c r="P1">
        <v>2033</v>
      </c>
      <c r="Q1" s="2">
        <v>2034</v>
      </c>
      <c r="R1">
        <v>2035</v>
      </c>
      <c r="S1" s="2">
        <v>2036</v>
      </c>
      <c r="T1">
        <v>2037</v>
      </c>
      <c r="U1" s="2">
        <v>2038</v>
      </c>
      <c r="V1">
        <v>2039</v>
      </c>
      <c r="W1" s="2">
        <v>2040</v>
      </c>
      <c r="X1">
        <v>2041</v>
      </c>
      <c r="Y1" s="2">
        <v>2042</v>
      </c>
      <c r="Z1">
        <v>2043</v>
      </c>
      <c r="AA1" s="2">
        <v>2044</v>
      </c>
      <c r="AB1">
        <v>2045</v>
      </c>
      <c r="AC1" s="2">
        <v>2046</v>
      </c>
      <c r="AD1">
        <v>2047</v>
      </c>
      <c r="AE1" s="2">
        <v>2048</v>
      </c>
      <c r="AF1">
        <v>2049</v>
      </c>
      <c r="AG1" s="2">
        <v>2050</v>
      </c>
      <c r="AH1" s="2">
        <v>2051</v>
      </c>
      <c r="AI1" s="2">
        <v>2052</v>
      </c>
      <c r="AJ1" s="2">
        <v>2053</v>
      </c>
      <c r="AK1" s="2">
        <v>2054</v>
      </c>
      <c r="AL1" s="2">
        <v>2055</v>
      </c>
      <c r="AM1" s="2">
        <v>2056</v>
      </c>
      <c r="AN1" s="2">
        <v>2057</v>
      </c>
      <c r="AO1" s="2">
        <v>2058</v>
      </c>
      <c r="AP1" s="2">
        <v>2059</v>
      </c>
      <c r="AQ1" s="2">
        <v>2060</v>
      </c>
    </row>
    <row r="2" spans="1:43" x14ac:dyDescent="0.25">
      <c r="A2" t="s">
        <v>34</v>
      </c>
      <c r="B2" s="3">
        <f>Data!B25*7</f>
        <v>7899.376507251699</v>
      </c>
      <c r="C2" s="3">
        <f>Data!$B$25*6.5</f>
        <v>7335.1353281622924</v>
      </c>
      <c r="D2" s="3">
        <f>Data!$B$25*1.8</f>
        <v>2031.2682447218656</v>
      </c>
      <c r="E2" s="3">
        <f>Data!$B$25*1.6</f>
        <v>1805.5717730861027</v>
      </c>
      <c r="F2" s="3">
        <f>Data!$B$25*1.5</f>
        <v>1692.7235372682212</v>
      </c>
      <c r="G2" s="3">
        <f>Data!$B$25*1.4</f>
        <v>1579.8753014503397</v>
      </c>
      <c r="H2" s="3">
        <f>Data!$B$25*1.2</f>
        <v>1354.1788298145768</v>
      </c>
      <c r="I2" s="3">
        <f>Data!$B$25*1.1</f>
        <v>1241.3305939966956</v>
      </c>
      <c r="J2" s="3">
        <f>Data!$B$25*1</f>
        <v>1128.4823581788141</v>
      </c>
      <c r="K2" s="3">
        <f>Data!$B$25*1</f>
        <v>1128.4823581788141</v>
      </c>
      <c r="L2" s="3">
        <f>Data!$B$25*1</f>
        <v>1128.4823581788141</v>
      </c>
      <c r="M2" s="3">
        <f>Data!$B$25*1</f>
        <v>1128.4823581788141</v>
      </c>
      <c r="N2" s="3">
        <f>Data!$B$25*1</f>
        <v>1128.4823581788141</v>
      </c>
      <c r="O2" s="3">
        <f t="shared" ref="J2:AG2" si="0">N2</f>
        <v>1128.4823581788141</v>
      </c>
      <c r="P2" s="3">
        <f t="shared" si="0"/>
        <v>1128.4823581788141</v>
      </c>
      <c r="Q2" s="3">
        <f t="shared" si="0"/>
        <v>1128.4823581788141</v>
      </c>
      <c r="R2" s="3">
        <f t="shared" si="0"/>
        <v>1128.4823581788141</v>
      </c>
      <c r="S2" s="3">
        <f t="shared" si="0"/>
        <v>1128.4823581788141</v>
      </c>
      <c r="T2" s="3">
        <f t="shared" si="0"/>
        <v>1128.4823581788141</v>
      </c>
      <c r="U2" s="3">
        <f t="shared" si="0"/>
        <v>1128.4823581788141</v>
      </c>
      <c r="V2" s="3">
        <f t="shared" si="0"/>
        <v>1128.4823581788141</v>
      </c>
      <c r="W2" s="3">
        <f t="shared" si="0"/>
        <v>1128.4823581788141</v>
      </c>
      <c r="X2" s="3">
        <f t="shared" si="0"/>
        <v>1128.4823581788141</v>
      </c>
      <c r="Y2" s="3">
        <f t="shared" si="0"/>
        <v>1128.4823581788141</v>
      </c>
      <c r="Z2" s="3">
        <f t="shared" si="0"/>
        <v>1128.4823581788141</v>
      </c>
      <c r="AA2" s="3">
        <f t="shared" si="0"/>
        <v>1128.4823581788141</v>
      </c>
      <c r="AB2" s="3">
        <f t="shared" si="0"/>
        <v>1128.4823581788141</v>
      </c>
      <c r="AC2" s="3">
        <f t="shared" si="0"/>
        <v>1128.4823581788141</v>
      </c>
      <c r="AD2" s="3">
        <f t="shared" si="0"/>
        <v>1128.4823581788141</v>
      </c>
      <c r="AE2" s="3">
        <f t="shared" si="0"/>
        <v>1128.4823581788141</v>
      </c>
      <c r="AF2" s="3">
        <f t="shared" si="0"/>
        <v>1128.4823581788141</v>
      </c>
      <c r="AG2" s="3">
        <f t="shared" si="0"/>
        <v>1128.4823581788141</v>
      </c>
      <c r="AH2" s="3">
        <f t="shared" ref="AH2:AJ2" si="1">AG2</f>
        <v>1128.4823581788141</v>
      </c>
      <c r="AI2" s="3">
        <f t="shared" si="1"/>
        <v>1128.4823581788141</v>
      </c>
      <c r="AJ2" s="3">
        <f t="shared" si="1"/>
        <v>1128.4823581788141</v>
      </c>
      <c r="AK2" s="3">
        <f t="shared" ref="AK2:AQ2" si="2">AJ2</f>
        <v>1128.4823581788141</v>
      </c>
      <c r="AL2" s="3">
        <f t="shared" si="2"/>
        <v>1128.4823581788141</v>
      </c>
      <c r="AM2" s="3">
        <f t="shared" si="2"/>
        <v>1128.4823581788141</v>
      </c>
      <c r="AN2" s="3">
        <f t="shared" si="2"/>
        <v>1128.4823581788141</v>
      </c>
      <c r="AO2" s="3">
        <f t="shared" si="2"/>
        <v>1128.4823581788141</v>
      </c>
      <c r="AP2" s="3">
        <f t="shared" si="2"/>
        <v>1128.4823581788141</v>
      </c>
      <c r="AQ2" s="3">
        <f t="shared" si="2"/>
        <v>1128.4823581788141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About</vt:lpstr>
      <vt:lpstr>Data</vt:lpstr>
      <vt:lpstr>BRAaCTSC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wcy3015@126.com</cp:lastModifiedBy>
  <dcterms:created xsi:type="dcterms:W3CDTF">2019-06-04T20:20:00Z</dcterms:created>
  <dcterms:modified xsi:type="dcterms:W3CDTF">2026-04-28T06:50:47Z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2052-11.1.0.9914</vt:lpwstr>
  </property>
</Properties>
</file>