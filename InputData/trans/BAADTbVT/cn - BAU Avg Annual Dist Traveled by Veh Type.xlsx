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hlxl\Desktop\EPS\eps-china2019-smart-trans\InputData\trans\BAADTbVT\"/>
    </mc:Choice>
  </mc:AlternateContent>
  <xr:revisionPtr revIDLastSave="0" documentId="13_ncr:1_{F10EA5B1-BC41-4481-8941-BE7116CC67E9}" xr6:coauthVersionLast="47" xr6:coauthVersionMax="47" xr10:uidLastSave="{00000000-0000-0000-0000-000000000000}"/>
  <bookViews>
    <workbookView xWindow="6711" yWindow="910" windowWidth="17660" windowHeight="11289" firstSheet="8" activeTab="9" xr2:uid="{00000000-000D-0000-FFFF-FFFF00000000}"/>
  </bookViews>
  <sheets>
    <sheet name="About " sheetId="32" r:id="rId1"/>
    <sheet name="LDVs HDVs" sheetId="24" r:id="rId2"/>
    <sheet name="rail" sheetId="25" r:id="rId3"/>
    <sheet name="aircraft" sheetId="26" r:id="rId4"/>
    <sheet name="ships" sheetId="33" r:id="rId5"/>
    <sheet name="motorbikes" sheetId="27" r:id="rId6"/>
    <sheet name="China Vehicle Fleet Model Data" sheetId="34" r:id="rId7"/>
    <sheet name="converter" sheetId="29" r:id="rId8"/>
    <sheet name="raw data" sheetId="35" r:id="rId9"/>
    <sheet name="BAADTbVT-passengers" sheetId="30" r:id="rId10"/>
    <sheet name="BAADTbVT-freight" sheetId="31" r:id="rId11"/>
  </sheets>
  <externalReferences>
    <externalReference r:id="rId12"/>
    <externalReference r:id="rId13"/>
  </externalReferences>
  <definedNames>
    <definedName name="ab">'[1]1997  Table 1a Modified'!#REF!</definedName>
    <definedName name="Eno_TM" localSheetId="0">'[1]1997  Table 1a Modified'!#REF!</definedName>
    <definedName name="Eno_TM" localSheetId="3">'[1]1997  Table 1a Modified'!#REF!</definedName>
    <definedName name="Eno_TM" localSheetId="10">'[1]1997  Table 1a Modified'!#REF!</definedName>
    <definedName name="Eno_TM" localSheetId="9">'[1]1997  Table 1a Modified'!#REF!</definedName>
    <definedName name="Eno_TM" localSheetId="7">'[1]1997  Table 1a Modified'!#REF!</definedName>
    <definedName name="Eno_TM" localSheetId="1">'[1]1997  Table 1a Modified'!#REF!</definedName>
    <definedName name="Eno_TM" localSheetId="5">'[1]1997  Table 1a Modified'!#REF!</definedName>
    <definedName name="Eno_TM" localSheetId="2">'[1]1997  Table 1a Modified'!#REF!</definedName>
    <definedName name="Eno_TM" localSheetId="8">'[1]1997  Table 1a Modified'!#REF!</definedName>
    <definedName name="Eno_TM">'[2]1997  Table 1a Modified'!#REF!</definedName>
    <definedName name="Eno_Tons" localSheetId="0">'[1]1997  Table 1a Modified'!#REF!</definedName>
    <definedName name="Eno_Tons" localSheetId="3">'[1]1997  Table 1a Modified'!#REF!</definedName>
    <definedName name="Eno_Tons" localSheetId="10">'[1]1997  Table 1a Modified'!#REF!</definedName>
    <definedName name="Eno_Tons" localSheetId="9">'[1]1997  Table 1a Modified'!#REF!</definedName>
    <definedName name="Eno_Tons" localSheetId="7">'[1]1997  Table 1a Modified'!#REF!</definedName>
    <definedName name="Eno_Tons" localSheetId="1">'[1]1997  Table 1a Modified'!#REF!</definedName>
    <definedName name="Eno_Tons" localSheetId="5">'[1]1997  Table 1a Modified'!#REF!</definedName>
    <definedName name="Eno_Tons" localSheetId="2">'[1]1997  Table 1a Modified'!#REF!</definedName>
    <definedName name="Eno_Tons" localSheetId="8">'[1]1997  Table 1a Modified'!#REF!</definedName>
    <definedName name="Eno_Tons">'[2]1997  Table 1a Modified'!#REF!</definedName>
    <definedName name="sd">#REF!</definedName>
    <definedName name="sss">'[1]1997  Table 1a Modified'!#REF!</definedName>
    <definedName name="Sum_T2" localSheetId="0">'[1]1997  Table 1a Modified'!#REF!</definedName>
    <definedName name="Sum_T2" localSheetId="3">'[1]1997  Table 1a Modified'!#REF!</definedName>
    <definedName name="Sum_T2" localSheetId="10">'[1]1997  Table 1a Modified'!#REF!</definedName>
    <definedName name="Sum_T2" localSheetId="9">'[1]1997  Table 1a Modified'!#REF!</definedName>
    <definedName name="Sum_T2" localSheetId="7">'[1]1997  Table 1a Modified'!#REF!</definedName>
    <definedName name="Sum_T2" localSheetId="1">'[1]1997  Table 1a Modified'!#REF!</definedName>
    <definedName name="Sum_T2" localSheetId="5">'[1]1997  Table 1a Modified'!#REF!</definedName>
    <definedName name="Sum_T2" localSheetId="2">'[1]1997  Table 1a Modified'!#REF!</definedName>
    <definedName name="Sum_T2" localSheetId="8">'[1]1997  Table 1a Modified'!#REF!</definedName>
    <definedName name="Sum_T2">'[2]1997  Table 1a Modified'!#REF!</definedName>
    <definedName name="Sum_TTM" localSheetId="0">'[1]1997  Table 1a Modified'!#REF!</definedName>
    <definedName name="Sum_TTM" localSheetId="3">'[1]1997  Table 1a Modified'!#REF!</definedName>
    <definedName name="Sum_TTM" localSheetId="10">'[1]1997  Table 1a Modified'!#REF!</definedName>
    <definedName name="Sum_TTM" localSheetId="9">'[1]1997  Table 1a Modified'!#REF!</definedName>
    <definedName name="Sum_TTM" localSheetId="7">'[1]1997  Table 1a Modified'!#REF!</definedName>
    <definedName name="Sum_TTM" localSheetId="1">'[1]1997  Table 1a Modified'!#REF!</definedName>
    <definedName name="Sum_TTM" localSheetId="5">'[1]1997  Table 1a Modified'!#REF!</definedName>
    <definedName name="Sum_TTM" localSheetId="2">'[1]1997  Table 1a Modified'!#REF!</definedName>
    <definedName name="Sum_TTM" localSheetId="8">'[1]1997  Table 1a Modified'!#REF!</definedName>
    <definedName name="Sum_TTM">'[2]1997  Table 1a Modified'!#REF!</definedName>
    <definedName name="ti_tbl_50" localSheetId="0">#REF!</definedName>
    <definedName name="ti_tbl_50" localSheetId="3">#REF!</definedName>
    <definedName name="ti_tbl_50" localSheetId="10">#REF!</definedName>
    <definedName name="ti_tbl_50" localSheetId="9">#REF!</definedName>
    <definedName name="ti_tbl_50" localSheetId="7">#REF!</definedName>
    <definedName name="ti_tbl_50" localSheetId="1">#REF!</definedName>
    <definedName name="ti_tbl_50" localSheetId="5">#REF!</definedName>
    <definedName name="ti_tbl_50" localSheetId="2">#REF!</definedName>
    <definedName name="ti_tbl_50" localSheetId="8">#REF!</definedName>
    <definedName name="ti_tbl_50">#REF!</definedName>
    <definedName name="ti_tbl_69" localSheetId="0">#REF!</definedName>
    <definedName name="ti_tbl_69" localSheetId="3">#REF!</definedName>
    <definedName name="ti_tbl_69" localSheetId="10">#REF!</definedName>
    <definedName name="ti_tbl_69" localSheetId="9">#REF!</definedName>
    <definedName name="ti_tbl_69" localSheetId="7">#REF!</definedName>
    <definedName name="ti_tbl_69" localSheetId="1">#REF!</definedName>
    <definedName name="ti_tbl_69" localSheetId="5">#REF!</definedName>
    <definedName name="ti_tbl_69" localSheetId="2">#REF!</definedName>
    <definedName name="ti_tbl_69" localSheetId="8">#REF!</definedName>
    <definedName name="ti_tbl_69">#REF!</definedName>
    <definedName name="tt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0" l="1"/>
  <c r="E2" i="30"/>
  <c r="J2" i="30"/>
  <c r="K2" i="30"/>
  <c r="L2" i="30" s="1"/>
  <c r="M2" i="30" s="1"/>
  <c r="N2" i="30" s="1"/>
  <c r="O2" i="30" s="1"/>
  <c r="P2" i="30" s="1"/>
  <c r="Q2" i="30" s="1"/>
  <c r="R2" i="30" s="1"/>
  <c r="S2" i="30" s="1"/>
  <c r="T2" i="30" s="1"/>
  <c r="U2" i="30" s="1"/>
  <c r="V2" i="30" s="1"/>
  <c r="W2" i="30" s="1"/>
  <c r="X2" i="30" s="1"/>
  <c r="I2" i="30"/>
  <c r="H2" i="30" l="1"/>
  <c r="D2" i="30"/>
  <c r="C2" i="30"/>
  <c r="F2" i="30"/>
  <c r="Y2" i="30" l="1"/>
  <c r="Z2" i="30" s="1"/>
  <c r="AA2" i="30" s="1"/>
  <c r="AB2" i="30" s="1"/>
  <c r="AC2" i="30" s="1"/>
  <c r="AD2" i="30" s="1"/>
  <c r="AE2" i="30" s="1"/>
  <c r="AF2" i="30" s="1"/>
  <c r="AG2" i="30" s="1"/>
  <c r="AH2" i="30" s="1"/>
  <c r="AI2" i="30" s="1"/>
  <c r="AJ2" i="30" s="1"/>
  <c r="AK2" i="30" s="1"/>
  <c r="AL2" i="30" s="1"/>
  <c r="AM2" i="30" s="1"/>
  <c r="AN2" i="30" s="1"/>
  <c r="AO2" i="30" s="1"/>
  <c r="AP2" i="30" s="1"/>
  <c r="AQ2" i="30" s="1"/>
  <c r="G3" i="31"/>
  <c r="F3" i="31"/>
  <c r="E3" i="31"/>
  <c r="C3" i="31"/>
  <c r="D3" i="31"/>
  <c r="C6" i="31"/>
  <c r="F6" i="31"/>
  <c r="B6" i="31"/>
  <c r="I6" i="30"/>
  <c r="J6" i="30"/>
  <c r="K6" i="30"/>
  <c r="L6" i="30"/>
  <c r="M6" i="30"/>
  <c r="N6" i="30"/>
  <c r="O6" i="30"/>
  <c r="P6" i="30"/>
  <c r="Q6" i="30"/>
  <c r="R6" i="30"/>
  <c r="S6" i="30"/>
  <c r="T6" i="30"/>
  <c r="U6" i="30"/>
  <c r="V6" i="30"/>
  <c r="W6" i="30"/>
  <c r="X6" i="30"/>
  <c r="Y6" i="30"/>
  <c r="Z6" i="30"/>
  <c r="AA6" i="30"/>
  <c r="AB6" i="30"/>
  <c r="AC6" i="30"/>
  <c r="AD6" i="30"/>
  <c r="AE6" i="30"/>
  <c r="AF6" i="30"/>
  <c r="AG6" i="30"/>
  <c r="AH6" i="30"/>
  <c r="AI6" i="30"/>
  <c r="AJ6" i="30"/>
  <c r="AK6" i="30"/>
  <c r="AL6" i="30"/>
  <c r="AM6" i="30"/>
  <c r="AN6" i="30"/>
  <c r="AO6" i="30"/>
  <c r="AP6" i="30"/>
  <c r="AQ6" i="30"/>
  <c r="H6" i="30"/>
  <c r="C6" i="30"/>
  <c r="D6" i="30"/>
  <c r="E6" i="30"/>
  <c r="F6" i="30"/>
  <c r="G6" i="30"/>
  <c r="B6" i="30"/>
  <c r="I20" i="33"/>
  <c r="H20" i="33"/>
  <c r="G20" i="33"/>
  <c r="F20" i="33"/>
  <c r="H27" i="33"/>
  <c r="H22" i="33"/>
  <c r="E27" i="33"/>
  <c r="E29" i="33" s="1"/>
  <c r="E30" i="33" s="1"/>
  <c r="E22" i="33"/>
  <c r="E24" i="33" s="1"/>
  <c r="D20" i="33"/>
  <c r="E20" i="33"/>
  <c r="F26" i="25"/>
  <c r="G26" i="25"/>
  <c r="H26" i="25"/>
  <c r="I26" i="25"/>
  <c r="D26" i="25"/>
  <c r="E26" i="25"/>
  <c r="F26" i="33"/>
  <c r="G26" i="33"/>
  <c r="H26" i="33"/>
  <c r="I26" i="33"/>
  <c r="E26" i="33"/>
  <c r="H29" i="33"/>
  <c r="H30" i="33" s="1"/>
  <c r="D29" i="33"/>
  <c r="H24" i="33"/>
  <c r="D24" i="33"/>
  <c r="I31" i="33"/>
  <c r="H31" i="33"/>
  <c r="G31" i="33"/>
  <c r="F31" i="33"/>
  <c r="E31" i="33"/>
  <c r="D31" i="33"/>
  <c r="D30" i="33"/>
  <c r="K29" i="25"/>
  <c r="J24" i="25"/>
  <c r="D30" i="25"/>
  <c r="D25" i="25"/>
  <c r="B5" i="30" s="1"/>
  <c r="E30" i="25"/>
  <c r="C5" i="31" s="1"/>
  <c r="F30" i="25"/>
  <c r="D5" i="31" s="1"/>
  <c r="G30" i="25"/>
  <c r="E5" i="31" s="1"/>
  <c r="H30" i="25"/>
  <c r="F5" i="31" s="1"/>
  <c r="I30" i="25"/>
  <c r="G5" i="31" s="1"/>
  <c r="H5" i="31" s="1"/>
  <c r="I5" i="31" s="1"/>
  <c r="J5" i="31" s="1"/>
  <c r="K5" i="31" s="1"/>
  <c r="L5" i="31" s="1"/>
  <c r="M5" i="31" s="1"/>
  <c r="N5" i="31" s="1"/>
  <c r="O5" i="31" s="1"/>
  <c r="P5" i="31" s="1"/>
  <c r="Q5" i="31" s="1"/>
  <c r="R5" i="31" s="1"/>
  <c r="S5" i="31" s="1"/>
  <c r="T5" i="31" s="1"/>
  <c r="U5" i="31" s="1"/>
  <c r="V5" i="31" s="1"/>
  <c r="W5" i="31" s="1"/>
  <c r="X5" i="31" s="1"/>
  <c r="Y5" i="31" s="1"/>
  <c r="Z5" i="31" s="1"/>
  <c r="AA5" i="31" s="1"/>
  <c r="AB5" i="31" s="1"/>
  <c r="AC5" i="31" s="1"/>
  <c r="AD5" i="31" s="1"/>
  <c r="AE5" i="31" s="1"/>
  <c r="AF5" i="31" s="1"/>
  <c r="AG5" i="31" s="1"/>
  <c r="AH5" i="31" s="1"/>
  <c r="AI5" i="31" s="1"/>
  <c r="AJ5" i="31" s="1"/>
  <c r="AK5" i="31" s="1"/>
  <c r="AL5" i="31" s="1"/>
  <c r="AM5" i="31" s="1"/>
  <c r="AN5" i="31" s="1"/>
  <c r="AO5" i="31" s="1"/>
  <c r="AP5" i="31" s="1"/>
  <c r="AQ5" i="31" s="1"/>
  <c r="B5" i="31"/>
  <c r="E25" i="25"/>
  <c r="C5" i="30" s="1"/>
  <c r="F25" i="25"/>
  <c r="D5" i="30" s="1"/>
  <c r="G25" i="25"/>
  <c r="E5" i="30" s="1"/>
  <c r="H25" i="25"/>
  <c r="F5" i="30" s="1"/>
  <c r="I25" i="25"/>
  <c r="G5" i="30" s="1"/>
  <c r="H5" i="30" s="1"/>
  <c r="I5" i="30" s="1"/>
  <c r="J5" i="30" s="1"/>
  <c r="K5" i="30" s="1"/>
  <c r="L5" i="30" s="1"/>
  <c r="M5" i="30" s="1"/>
  <c r="N5" i="30" s="1"/>
  <c r="O5" i="30" s="1"/>
  <c r="P5" i="30" s="1"/>
  <c r="Q5" i="30" s="1"/>
  <c r="R5" i="30" s="1"/>
  <c r="S5" i="30" s="1"/>
  <c r="T5" i="30" s="1"/>
  <c r="U5" i="30" s="1"/>
  <c r="V5" i="30" s="1"/>
  <c r="W5" i="30" s="1"/>
  <c r="X5" i="30" s="1"/>
  <c r="Y5" i="30" s="1"/>
  <c r="Z5" i="30" s="1"/>
  <c r="AA5" i="30" s="1"/>
  <c r="AB5" i="30" s="1"/>
  <c r="AC5" i="30" s="1"/>
  <c r="AD5" i="30" s="1"/>
  <c r="AE5" i="30" s="1"/>
  <c r="AF5" i="30" s="1"/>
  <c r="AG5" i="30" s="1"/>
  <c r="AH5" i="30" s="1"/>
  <c r="AI5" i="30" s="1"/>
  <c r="AJ5" i="30" s="1"/>
  <c r="AK5" i="30" s="1"/>
  <c r="AL5" i="30" s="1"/>
  <c r="AM5" i="30" s="1"/>
  <c r="AN5" i="30" s="1"/>
  <c r="AO5" i="30" s="1"/>
  <c r="AP5" i="30" s="1"/>
  <c r="AQ5" i="30" s="1"/>
  <c r="I18" i="25"/>
  <c r="I27" i="25" s="1"/>
  <c r="I29" i="25" s="1"/>
  <c r="F27" i="25"/>
  <c r="G27" i="25"/>
  <c r="H27" i="25"/>
  <c r="D27" i="25"/>
  <c r="D29" i="25" s="1"/>
  <c r="F22" i="25"/>
  <c r="G22" i="25"/>
  <c r="H22" i="25"/>
  <c r="I22" i="25"/>
  <c r="I24" i="25" s="1"/>
  <c r="D22" i="25"/>
  <c r="E27" i="25"/>
  <c r="E22" i="25"/>
  <c r="E24" i="25" s="1"/>
  <c r="E31" i="25"/>
  <c r="F31" i="25"/>
  <c r="G31" i="25"/>
  <c r="H31" i="25"/>
  <c r="I31" i="25"/>
  <c r="D31" i="25"/>
  <c r="E29" i="25"/>
  <c r="F29" i="25"/>
  <c r="G29" i="25"/>
  <c r="H29" i="25"/>
  <c r="F24" i="25"/>
  <c r="G24" i="25"/>
  <c r="H24" i="25"/>
  <c r="D24" i="25"/>
  <c r="G4" i="30"/>
  <c r="J32" i="26"/>
  <c r="I32" i="26"/>
  <c r="F4" i="31" s="1"/>
  <c r="H32" i="26"/>
  <c r="G32" i="26"/>
  <c r="F32" i="26"/>
  <c r="C4" i="31" s="1"/>
  <c r="F33" i="26"/>
  <c r="G33" i="26"/>
  <c r="H33" i="26"/>
  <c r="I33" i="26"/>
  <c r="J33" i="26"/>
  <c r="J28" i="26"/>
  <c r="I27" i="26"/>
  <c r="H27" i="26"/>
  <c r="G27" i="26"/>
  <c r="F27" i="26"/>
  <c r="E33" i="26"/>
  <c r="G31" i="26"/>
  <c r="H31" i="26"/>
  <c r="I31" i="26"/>
  <c r="J31" i="26"/>
  <c r="F31" i="26"/>
  <c r="E31" i="26"/>
  <c r="E32" i="26" s="1"/>
  <c r="B4" i="31" s="1"/>
  <c r="B23" i="24"/>
  <c r="B22" i="24"/>
  <c r="C3" i="30"/>
  <c r="E3" i="30"/>
  <c r="F3" i="30"/>
  <c r="G3" i="30" s="1"/>
  <c r="H3" i="30" s="1"/>
  <c r="I3" i="30" s="1"/>
  <c r="J3" i="30" s="1"/>
  <c r="K3" i="30" s="1"/>
  <c r="L3" i="30" s="1"/>
  <c r="M3" i="30" s="1"/>
  <c r="N3" i="30" s="1"/>
  <c r="O3" i="30" s="1"/>
  <c r="P3" i="30" s="1"/>
  <c r="Q3" i="30" s="1"/>
  <c r="R3" i="30" s="1"/>
  <c r="S3" i="30" s="1"/>
  <c r="T3" i="30" s="1"/>
  <c r="U3" i="30" s="1"/>
  <c r="V3" i="30" s="1"/>
  <c r="W3" i="30" s="1"/>
  <c r="X3" i="30" s="1"/>
  <c r="Y3" i="30" s="1"/>
  <c r="Z3" i="30" s="1"/>
  <c r="AA3" i="30" s="1"/>
  <c r="AB3" i="30" s="1"/>
  <c r="AC3" i="30" s="1"/>
  <c r="AD3" i="30" s="1"/>
  <c r="AE3" i="30" s="1"/>
  <c r="AF3" i="30" s="1"/>
  <c r="AG3" i="30" s="1"/>
  <c r="AH3" i="30" s="1"/>
  <c r="AI3" i="30" s="1"/>
  <c r="AJ3" i="30" s="1"/>
  <c r="AK3" i="30" s="1"/>
  <c r="AL3" i="30" s="1"/>
  <c r="AM3" i="30" s="1"/>
  <c r="AN3" i="30" s="1"/>
  <c r="AO3" i="30" s="1"/>
  <c r="AP3" i="30" s="1"/>
  <c r="AQ3" i="30" s="1"/>
  <c r="U22" i="35"/>
  <c r="D3" i="30" s="1"/>
  <c r="V22" i="35"/>
  <c r="W22" i="35"/>
  <c r="T22" i="35"/>
  <c r="S23" i="35" a="1"/>
  <c r="S23" i="35" s="1"/>
  <c r="S21" i="35" a="1"/>
  <c r="S21" i="35" s="1"/>
  <c r="R10" i="35"/>
  <c r="C20" i="24"/>
  <c r="D2" i="31"/>
  <c r="E2" i="31"/>
  <c r="F2" i="31"/>
  <c r="G2" i="31"/>
  <c r="H2" i="31"/>
  <c r="I2" i="31"/>
  <c r="J2" i="31"/>
  <c r="K2" i="31"/>
  <c r="L2" i="31"/>
  <c r="M2" i="31"/>
  <c r="N2" i="31"/>
  <c r="O2" i="31"/>
  <c r="P2" i="31"/>
  <c r="Q2" i="31"/>
  <c r="R2" i="31"/>
  <c r="S2" i="31"/>
  <c r="T2" i="31"/>
  <c r="U2" i="31"/>
  <c r="V2" i="31"/>
  <c r="W2" i="31"/>
  <c r="X2" i="31"/>
  <c r="Y2" i="31"/>
  <c r="Z2" i="31"/>
  <c r="AA2" i="31"/>
  <c r="AB2" i="31"/>
  <c r="AC2" i="31"/>
  <c r="AD2" i="31"/>
  <c r="AE2" i="31"/>
  <c r="AF2" i="31"/>
  <c r="AG2" i="31"/>
  <c r="AH2" i="31"/>
  <c r="AI2" i="31"/>
  <c r="AJ2" i="31"/>
  <c r="AK2" i="31"/>
  <c r="AL2" i="31"/>
  <c r="AM2" i="31"/>
  <c r="AN2" i="31"/>
  <c r="AO2" i="31"/>
  <c r="AP2" i="31"/>
  <c r="AQ2" i="31"/>
  <c r="C2" i="31"/>
  <c r="B3" i="31"/>
  <c r="B2" i="31"/>
  <c r="B3" i="30"/>
  <c r="D23" i="24"/>
  <c r="C21" i="24"/>
  <c r="F23" i="24"/>
  <c r="E23" i="24"/>
  <c r="F22" i="24"/>
  <c r="E22" i="24"/>
  <c r="F20" i="24"/>
  <c r="E21" i="24" s="1"/>
  <c r="B7" i="31"/>
  <c r="B7" i="30"/>
  <c r="S27" i="35" a="1"/>
  <c r="S27" i="35" s="1"/>
  <c r="S10" i="35"/>
  <c r="T10" i="35"/>
  <c r="U10" i="35"/>
  <c r="R11" i="35"/>
  <c r="S11" i="35"/>
  <c r="T11" i="35"/>
  <c r="U11" i="35"/>
  <c r="R12" i="35"/>
  <c r="S12" i="35"/>
  <c r="T12" i="35"/>
  <c r="U12" i="35"/>
  <c r="R14" i="35"/>
  <c r="S14" i="35"/>
  <c r="T14" i="35"/>
  <c r="U14" i="35"/>
  <c r="R15" i="35"/>
  <c r="S15" i="35"/>
  <c r="T15" i="35"/>
  <c r="U15" i="35"/>
  <c r="R16" i="35"/>
  <c r="S16" i="35"/>
  <c r="T16" i="35"/>
  <c r="U16" i="35"/>
  <c r="B36" i="35"/>
  <c r="I36" i="35"/>
  <c r="B37" i="35"/>
  <c r="I37" i="35"/>
  <c r="B38" i="35"/>
  <c r="I38" i="35"/>
  <c r="B39" i="35"/>
  <c r="I39" i="35"/>
  <c r="C48" i="35"/>
  <c r="F48" i="35"/>
  <c r="C49" i="35"/>
  <c r="F49" i="35"/>
  <c r="C52" i="35"/>
  <c r="F52" i="35"/>
  <c r="C53" i="35"/>
  <c r="F53" i="35"/>
  <c r="H3" i="31" l="1"/>
  <c r="I3" i="31" s="1"/>
  <c r="J3" i="31" s="1"/>
  <c r="K3" i="31" s="1"/>
  <c r="L3" i="31" s="1"/>
  <c r="M3" i="31" s="1"/>
  <c r="N3" i="31" s="1"/>
  <c r="O3" i="31" s="1"/>
  <c r="P3" i="31" s="1"/>
  <c r="Q3" i="31" s="1"/>
  <c r="R3" i="31" s="1"/>
  <c r="S3" i="31" s="1"/>
  <c r="T3" i="31" s="1"/>
  <c r="U3" i="31" s="1"/>
  <c r="V3" i="31" s="1"/>
  <c r="W3" i="31" s="1"/>
  <c r="X3" i="31" s="1"/>
  <c r="Y3" i="31" s="1"/>
  <c r="Z3" i="31" s="1"/>
  <c r="AA3" i="31" s="1"/>
  <c r="AB3" i="31" s="1"/>
  <c r="AC3" i="31" s="1"/>
  <c r="AD3" i="31" s="1"/>
  <c r="AE3" i="31" s="1"/>
  <c r="AF3" i="31" s="1"/>
  <c r="AG3" i="31" s="1"/>
  <c r="AH3" i="31" s="1"/>
  <c r="AI3" i="31" s="1"/>
  <c r="AJ3" i="31" s="1"/>
  <c r="AK3" i="31" s="1"/>
  <c r="AL3" i="31" s="1"/>
  <c r="AM3" i="31" s="1"/>
  <c r="AN3" i="31" s="1"/>
  <c r="AO3" i="31" s="1"/>
  <c r="AP3" i="31" s="1"/>
  <c r="AQ3" i="31" s="1"/>
  <c r="I27" i="33"/>
  <c r="I29" i="33" s="1"/>
  <c r="I30" i="33" s="1"/>
  <c r="G6" i="31" s="1"/>
  <c r="I22" i="33"/>
  <c r="I24" i="33" s="1"/>
  <c r="G22" i="33"/>
  <c r="G24" i="33" s="1"/>
  <c r="G27" i="33"/>
  <c r="G29" i="33" s="1"/>
  <c r="G30" i="33" s="1"/>
  <c r="E6" i="31" s="1"/>
  <c r="F27" i="33"/>
  <c r="F29" i="33" s="1"/>
  <c r="F30" i="33" s="1"/>
  <c r="D6" i="31" s="1"/>
  <c r="F22" i="33"/>
  <c r="F24" i="33" s="1"/>
  <c r="F25" i="33" s="1"/>
  <c r="I25" i="33"/>
  <c r="H25" i="33"/>
  <c r="G25" i="33"/>
  <c r="E25" i="33"/>
  <c r="D26" i="33"/>
  <c r="D25" i="33"/>
  <c r="D4" i="31"/>
  <c r="E4" i="31"/>
  <c r="G4" i="31"/>
  <c r="E26" i="26"/>
  <c r="G26" i="26"/>
  <c r="F26" i="26"/>
  <c r="H26" i="26"/>
  <c r="J26" i="26"/>
  <c r="I26" i="26"/>
  <c r="B2" i="30"/>
  <c r="E7" i="30"/>
  <c r="D7" i="30"/>
  <c r="W21" i="35"/>
  <c r="C7" i="30"/>
  <c r="W23" i="35"/>
  <c r="W24" i="35"/>
  <c r="H7" i="31"/>
  <c r="X7" i="31"/>
  <c r="E7" i="31"/>
  <c r="K7" i="31"/>
  <c r="U7" i="31"/>
  <c r="W7" i="31"/>
  <c r="AD7" i="31"/>
  <c r="AJ7" i="31"/>
  <c r="AK7" i="31"/>
  <c r="AM7" i="31"/>
  <c r="G7" i="31"/>
  <c r="AO7" i="31"/>
  <c r="AQ7" i="31"/>
  <c r="V7" i="31"/>
  <c r="AG7" i="31"/>
  <c r="AE7" i="31"/>
  <c r="AB7" i="31"/>
  <c r="Z7" i="31"/>
  <c r="T7" i="31"/>
  <c r="R7" i="31"/>
  <c r="M7" i="31"/>
  <c r="Q7" i="31"/>
  <c r="F7" i="31"/>
  <c r="L7" i="31"/>
  <c r="J7" i="31"/>
  <c r="D7" i="31"/>
  <c r="I7" i="31"/>
  <c r="N7" i="31"/>
  <c r="P7" i="31"/>
  <c r="S7" i="31"/>
  <c r="O7" i="31"/>
  <c r="Y7" i="31"/>
  <c r="AA7" i="31"/>
  <c r="AC7" i="31"/>
  <c r="AF7" i="31"/>
  <c r="AH7" i="31"/>
  <c r="AI7" i="31"/>
  <c r="AL7" i="31"/>
  <c r="AN7" i="31"/>
  <c r="AP7" i="31"/>
  <c r="H15" i="33"/>
  <c r="I15" i="33" s="1"/>
  <c r="J15" i="33" s="1"/>
  <c r="H14" i="33"/>
  <c r="I14" i="33" s="1"/>
  <c r="J14" i="33" s="1"/>
  <c r="H6" i="31" l="1"/>
  <c r="AQ6" i="31"/>
  <c r="AP6" i="31"/>
  <c r="AO6" i="31"/>
  <c r="AN6" i="31"/>
  <c r="AM6" i="31"/>
  <c r="AL6" i="31"/>
  <c r="AK6" i="31"/>
  <c r="AJ6" i="31"/>
  <c r="AI6" i="31"/>
  <c r="AH6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E27" i="26"/>
  <c r="B4" i="30" s="1"/>
  <c r="E28" i="26"/>
  <c r="D4" i="30"/>
  <c r="G28" i="26"/>
  <c r="C4" i="30"/>
  <c r="F28" i="26"/>
  <c r="E4" i="30"/>
  <c r="H28" i="26"/>
  <c r="J27" i="26"/>
  <c r="F4" i="30"/>
  <c r="I28" i="26"/>
  <c r="F7" i="30"/>
  <c r="F6" i="24"/>
  <c r="F5" i="24"/>
  <c r="C6" i="24"/>
  <c r="D3" i="24" l="1"/>
  <c r="G3" i="24"/>
  <c r="C5" i="24" l="1"/>
  <c r="F8" i="25" l="1"/>
  <c r="F9" i="25" s="1"/>
  <c r="H12" i="26"/>
  <c r="H13" i="26" s="1"/>
  <c r="G12" i="26"/>
  <c r="G13" i="26" s="1"/>
  <c r="AM4" i="31" l="1"/>
  <c r="AO4" i="31"/>
  <c r="AN4" i="31"/>
  <c r="J4" i="31"/>
  <c r="AI4" i="31"/>
  <c r="R4" i="31"/>
  <c r="U4" i="31"/>
  <c r="L4" i="31"/>
  <c r="P4" i="31"/>
  <c r="AB4" i="31"/>
  <c r="AE4" i="31"/>
  <c r="S4" i="31"/>
  <c r="AL4" i="31"/>
  <c r="X4" i="31"/>
  <c r="I4" i="31"/>
  <c r="K4" i="31"/>
  <c r="N4" i="31"/>
  <c r="Z4" i="31"/>
  <c r="AA4" i="31"/>
  <c r="AC4" i="31"/>
  <c r="AD4" i="31"/>
  <c r="AF4" i="31"/>
  <c r="AG4" i="31"/>
  <c r="AH4" i="31"/>
  <c r="AK4" i="31"/>
  <c r="AP4" i="31"/>
  <c r="T4" i="31"/>
  <c r="AJ4" i="31"/>
  <c r="AQ4" i="31"/>
  <c r="W4" i="31"/>
  <c r="Y4" i="31"/>
  <c r="H4" i="31"/>
  <c r="M4" i="31"/>
  <c r="O4" i="31"/>
  <c r="V4" i="31"/>
  <c r="Q4" i="31"/>
  <c r="E8" i="25"/>
  <c r="E9" i="25" s="1"/>
  <c r="H4" i="30" l="1"/>
  <c r="I4" i="30"/>
  <c r="J4" i="30"/>
  <c r="K4" i="30"/>
  <c r="L4" i="30"/>
  <c r="M4" i="30"/>
  <c r="N4" i="30"/>
  <c r="O4" i="30"/>
  <c r="P4" i="30"/>
  <c r="Q4" i="30"/>
  <c r="R4" i="30"/>
  <c r="S4" i="30"/>
  <c r="T4" i="30"/>
  <c r="U4" i="30"/>
  <c r="V4" i="30"/>
  <c r="W4" i="30"/>
  <c r="X4" i="30"/>
  <c r="Y4" i="30"/>
  <c r="Z4" i="30"/>
  <c r="AA4" i="30"/>
  <c r="AB4" i="30"/>
  <c r="AC4" i="30"/>
  <c r="AD4" i="30"/>
  <c r="AE4" i="30"/>
  <c r="AF4" i="30"/>
  <c r="AG4" i="30"/>
  <c r="AH4" i="30"/>
  <c r="AI4" i="30"/>
  <c r="AJ4" i="30"/>
  <c r="AK4" i="30"/>
  <c r="AL4" i="30"/>
  <c r="AM4" i="30"/>
  <c r="AN4" i="30"/>
  <c r="AO4" i="30"/>
  <c r="AP4" i="30"/>
  <c r="AQ4" i="30"/>
  <c r="B3" i="27" l="1"/>
  <c r="B3" i="25"/>
  <c r="AJ7" i="30" l="1"/>
  <c r="AL7" i="30"/>
  <c r="AM7" i="30"/>
  <c r="AO7" i="30"/>
  <c r="AN7" i="30"/>
  <c r="AH7" i="30"/>
  <c r="AP7" i="30"/>
  <c r="AK7" i="30"/>
  <c r="AI7" i="30"/>
  <c r="AQ7" i="30"/>
  <c r="AF7" i="30"/>
  <c r="X7" i="30"/>
  <c r="P7" i="30"/>
  <c r="L7" i="30"/>
  <c r="AE7" i="30"/>
  <c r="AA7" i="30"/>
  <c r="W7" i="30"/>
  <c r="S7" i="30"/>
  <c r="O7" i="30"/>
  <c r="K7" i="30"/>
  <c r="G7" i="30"/>
  <c r="AD7" i="30"/>
  <c r="Z7" i="30"/>
  <c r="V7" i="30"/>
  <c r="R7" i="30"/>
  <c r="N7" i="30"/>
  <c r="J7" i="30"/>
  <c r="AB7" i="30"/>
  <c r="T7" i="30"/>
  <c r="H7" i="30"/>
  <c r="AG7" i="30"/>
  <c r="AC7" i="30"/>
  <c r="Y7" i="30"/>
  <c r="U7" i="30"/>
  <c r="Q7" i="30"/>
  <c r="M7" i="30"/>
  <c r="I7" i="30"/>
  <c r="C7" i="3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<sst xmlns="http://schemas.openxmlformats.org/spreadsheetml/2006/main" count="285" uniqueCount="175">
  <si>
    <t>Source:</t>
  </si>
  <si>
    <t>LDVs</t>
  </si>
  <si>
    <t>HDVs</t>
  </si>
  <si>
    <t>aircraft</t>
  </si>
  <si>
    <t>rail</t>
  </si>
  <si>
    <t>ships</t>
  </si>
  <si>
    <t>motorbikes</t>
  </si>
  <si>
    <t>Notes:</t>
  </si>
  <si>
    <t>Annual Distance (miles/vehicle)</t>
  </si>
  <si>
    <t>passenger</t>
  </si>
  <si>
    <t>freight</t>
  </si>
  <si>
    <t>(Unit:km/vehicle/year）</t>
    <phoneticPr fontId="34" type="noConversion"/>
  </si>
  <si>
    <t>mile</t>
  </si>
  <si>
    <t>=</t>
  </si>
  <si>
    <t>km</t>
  </si>
  <si>
    <t>China Average Annual Dist Traveled by Vehicle Type</t>
    <phoneticPr fontId="34" type="noConversion"/>
  </si>
  <si>
    <t>LDVs, HDVs and motorbike: Technical Guidance for Emission Inventory of Vehicles (China, 2015)</t>
    <phoneticPr fontId="34" type="noConversion"/>
  </si>
  <si>
    <t>Ministry of Ecology and Environment of the People's Republic of  China</t>
    <phoneticPr fontId="34" type="noConversion"/>
  </si>
  <si>
    <t>Technical Guidance for Emission Inventory of Vehicles</t>
  </si>
  <si>
    <t>https://wenku.baidu.com/view/586194e3b307e87101f696e3.html</t>
  </si>
  <si>
    <t>Tables 4</t>
    <phoneticPr fontId="34" type="noConversion"/>
  </si>
  <si>
    <t>China_train</t>
    <phoneticPr fontId="34" type="noConversion"/>
  </si>
  <si>
    <t>China Railway</t>
    <phoneticPr fontId="34" type="noConversion"/>
  </si>
  <si>
    <t>China_ship</t>
    <phoneticPr fontId="34" type="noConversion"/>
  </si>
  <si>
    <t>China_aircraft</t>
    <phoneticPr fontId="34" type="noConversion"/>
  </si>
  <si>
    <t>Civil Aviation Administration of China</t>
    <phoneticPr fontId="34" type="noConversion"/>
  </si>
  <si>
    <t>For ship, we use turnover and total passenger seats(weight of cargos) to calculate.</t>
  </si>
  <si>
    <t xml:space="preserve">so we assume that an aircraft can perform two 2000km flights per day within the 9.49 hours, </t>
    <phoneticPr fontId="34" type="noConversion"/>
  </si>
  <si>
    <t>and travel distance per year remains the same for passenger and freight transportation.</t>
  </si>
  <si>
    <t>LDVs, HDVs and motorbike: Technical Guidance for Emission Inventory of Vehicles (China, 2015)</t>
  </si>
  <si>
    <t>China Statistic Report of Civil Aviation 2017</t>
    <phoneticPr fontId="42" type="noConversion"/>
  </si>
  <si>
    <t>Aircraft: In average there is  9.49 utilized hours per day for one aircraft(from China Statistic Report of Civil Aviation 2017) ,</t>
    <phoneticPr fontId="34" type="noConversion"/>
  </si>
  <si>
    <t>For train,the China Railway Yearbook provides the travel distance for locomotives, but does not distinguish between freight and passenger. So we use the same data for both.</t>
    <phoneticPr fontId="42" type="noConversion"/>
  </si>
  <si>
    <t>China Railway Yearbook 2017</t>
    <phoneticPr fontId="42" type="noConversion"/>
  </si>
  <si>
    <t>Tables 13-3-3</t>
    <phoneticPr fontId="34" type="noConversion"/>
  </si>
  <si>
    <t xml:space="preserve"> railway mileage(km)</t>
    <phoneticPr fontId="42" type="noConversion"/>
  </si>
  <si>
    <t>turnover</t>
    <phoneticPr fontId="42" type="noConversion"/>
  </si>
  <si>
    <t>China Statistical Yearbook 2018</t>
    <phoneticPr fontId="42" type="noConversion"/>
  </si>
  <si>
    <t>http://data.stats.gov.cn/easyquery.htm?cn=C01&amp;zb=A0G05&amp;sj=2017</t>
  </si>
  <si>
    <t>National Data</t>
    <phoneticPr fontId="42" type="noConversion"/>
  </si>
  <si>
    <t>https://max.book118.com/html/2018/0524/168430691.shtm</t>
    <phoneticPr fontId="42" type="noConversion"/>
  </si>
  <si>
    <t>km</t>
    <phoneticPr fontId="42" type="noConversion"/>
  </si>
  <si>
    <t>mile</t>
    <phoneticPr fontId="42" type="noConversion"/>
  </si>
  <si>
    <t>Passenger</t>
    <phoneticPr fontId="42" type="noConversion"/>
  </si>
  <si>
    <t>Freight</t>
    <phoneticPr fontId="42" type="noConversion"/>
  </si>
  <si>
    <t>Calibrate with China Statistics Yearbook data</t>
    <phoneticPr fontId="42" type="noConversion"/>
  </si>
  <si>
    <t>AVLo</t>
    <phoneticPr fontId="42" type="noConversion"/>
  </si>
  <si>
    <t>SYVbT</t>
    <phoneticPr fontId="42" type="noConversion"/>
  </si>
  <si>
    <t>Turn-Over</t>
    <phoneticPr fontId="42" type="noConversion"/>
  </si>
  <si>
    <t>Distance per vehicle</t>
    <phoneticPr fontId="42" type="noConversion"/>
  </si>
  <si>
    <t>10^8 person/ton miles</t>
    <phoneticPr fontId="42" type="noConversion"/>
  </si>
  <si>
    <t>miles</t>
    <phoneticPr fontId="42" type="noConversion"/>
  </si>
  <si>
    <t>iCET Report</t>
    <phoneticPr fontId="42" type="noConversion"/>
  </si>
  <si>
    <t>Fleet Average VKT per Vehicle</t>
  </si>
  <si>
    <t>Unit:  1000 km</t>
  </si>
  <si>
    <t xml:space="preserve">
</t>
  </si>
  <si>
    <t>Highway Vehicle</t>
  </si>
  <si>
    <t>Total</t>
  </si>
  <si>
    <t>Light-Duty
Passenger Vehicle</t>
  </si>
  <si>
    <t>Bus</t>
  </si>
  <si>
    <t>Truck</t>
  </si>
  <si>
    <t>Private LDPV</t>
  </si>
  <si>
    <t>Taxi LDPV</t>
  </si>
  <si>
    <t>Business LDPV</t>
  </si>
  <si>
    <t>LDPV Total</t>
  </si>
  <si>
    <t>Urban Bus</t>
  </si>
  <si>
    <t>Intercity Bus</t>
  </si>
  <si>
    <t>Bus Total</t>
  </si>
  <si>
    <t>Mini Truck</t>
  </si>
  <si>
    <t>LD Truck</t>
  </si>
  <si>
    <t>MD Truck</t>
  </si>
  <si>
    <t>HD Truck</t>
  </si>
  <si>
    <t>Truck Total</t>
  </si>
  <si>
    <t>https://q.qcds.com/view/Yrqol5W</t>
    <phoneticPr fontId="42" type="noConversion"/>
  </si>
  <si>
    <t>https://www.mot.gov.cn/tongjishuju/tielu/201805/t20180515_3020550.html</t>
  </si>
  <si>
    <t>https://data.chinabaogao.com/jiaotong/2018/12133W4362018.html</t>
  </si>
  <si>
    <t>https://www.chyxx.com/industry/201808/668940.html</t>
  </si>
  <si>
    <t>number of vehicles</t>
    <phoneticPr fontId="42" type="noConversion"/>
  </si>
  <si>
    <t>average loading per vehicle</t>
    <phoneticPr fontId="42" type="noConversion"/>
  </si>
  <si>
    <t>kilometer</t>
    <phoneticPr fontId="42" type="noConversion"/>
  </si>
  <si>
    <r>
      <t xml:space="preserve">2018
iCET《2018中国乘用车实际道路行驶与油耗分析年度报告》 http://www.icet.org.cn/admin/upload/2019081537990401.pdf   </t>
    </r>
    <r>
      <rPr>
        <b/>
        <sz val="11"/>
        <color theme="1"/>
        <rFont val="宋体"/>
        <family val="3"/>
        <charset val="134"/>
        <scheme val="minor"/>
      </rPr>
      <t>大部分车实际跑不到10000km</t>
    </r>
    <phoneticPr fontId="42" type="noConversion"/>
  </si>
  <si>
    <t>https://baijiahao.baidu.com/s?id=1593250628267819387&amp;wfr=spider&amp;for=pc</t>
    <phoneticPr fontId="42" type="noConversion"/>
  </si>
  <si>
    <t>depend on other indicators</t>
    <phoneticPr fontId="42" type="noConversion"/>
  </si>
  <si>
    <t>HDV</t>
    <phoneticPr fontId="42" type="noConversion"/>
  </si>
  <si>
    <t>LDV</t>
    <phoneticPr fontId="42" type="noConversion"/>
  </si>
  <si>
    <t>freight ratio</t>
    <phoneticPr fontId="42" type="noConversion"/>
  </si>
  <si>
    <t>passenger ratio</t>
    <phoneticPr fontId="42" type="noConversion"/>
  </si>
  <si>
    <t>multiply</t>
    <phoneticPr fontId="42" type="noConversion"/>
  </si>
  <si>
    <t>average loading from AVLo</t>
    <phoneticPr fontId="42" type="noConversion"/>
  </si>
  <si>
    <t>from SVYbT</t>
    <phoneticPr fontId="42" type="noConversion"/>
  </si>
  <si>
    <t>freight</t>
    <phoneticPr fontId="42" type="noConversion"/>
  </si>
  <si>
    <t>passenger</t>
    <phoneticPr fontId="42" type="noConversion"/>
  </si>
  <si>
    <t xml:space="preserve"> </t>
    <phoneticPr fontId="42" type="noConversion"/>
  </si>
  <si>
    <t>2007</t>
    <phoneticPr fontId="50" type="noConversion"/>
  </si>
  <si>
    <t>2006</t>
    <phoneticPr fontId="50" type="noConversion"/>
  </si>
  <si>
    <t>2005</t>
    <phoneticPr fontId="50" type="noConversion"/>
  </si>
  <si>
    <t>2004</t>
    <phoneticPr fontId="50" type="noConversion"/>
  </si>
  <si>
    <t>2003</t>
    <phoneticPr fontId="50" type="noConversion"/>
  </si>
  <si>
    <t>2002</t>
    <phoneticPr fontId="50" type="noConversion"/>
  </si>
  <si>
    <t>2001</t>
    <phoneticPr fontId="50" type="noConversion"/>
  </si>
  <si>
    <t>2000</t>
    <phoneticPr fontId="50" type="noConversion"/>
  </si>
  <si>
    <t>1999</t>
    <phoneticPr fontId="50" type="noConversion"/>
  </si>
  <si>
    <t>1998</t>
    <phoneticPr fontId="50" type="noConversion"/>
  </si>
  <si>
    <t>1997</t>
    <phoneticPr fontId="50" type="noConversion"/>
  </si>
  <si>
    <t>Freight</t>
    <phoneticPr fontId="50" type="noConversion"/>
  </si>
  <si>
    <t>1996</t>
    <phoneticPr fontId="50" type="noConversion"/>
  </si>
  <si>
    <t>1995</t>
    <phoneticPr fontId="50" type="noConversion"/>
  </si>
  <si>
    <t>1994</t>
    <phoneticPr fontId="50" type="noConversion"/>
  </si>
  <si>
    <t>1993</t>
    <phoneticPr fontId="50" type="noConversion"/>
  </si>
  <si>
    <t>Passenger</t>
    <phoneticPr fontId="50" type="noConversion"/>
  </si>
  <si>
    <t>1992</t>
    <phoneticPr fontId="50" type="noConversion"/>
  </si>
  <si>
    <t>1991</t>
    <phoneticPr fontId="50" type="noConversion"/>
  </si>
  <si>
    <t>Civial Aviation</t>
    <phoneticPr fontId="50" type="noConversion"/>
  </si>
  <si>
    <t>Waterways</t>
    <phoneticPr fontId="50" type="noConversion"/>
  </si>
  <si>
    <t>Highways</t>
    <phoneticPr fontId="50" type="noConversion"/>
  </si>
  <si>
    <t>Railways</t>
    <phoneticPr fontId="50" type="noConversion"/>
  </si>
  <si>
    <t>1990</t>
    <phoneticPr fontId="50" type="noConversion"/>
  </si>
  <si>
    <t>1985</t>
    <phoneticPr fontId="50" type="noConversion"/>
  </si>
  <si>
    <t>1980</t>
    <phoneticPr fontId="50" type="noConversion"/>
  </si>
  <si>
    <t>1978</t>
    <phoneticPr fontId="50" type="noConversion"/>
  </si>
  <si>
    <t>Ocean</t>
    <phoneticPr fontId="50" type="noConversion"/>
  </si>
  <si>
    <t>Total</t>
    <phoneticPr fontId="50" type="noConversion"/>
  </si>
  <si>
    <t>Year</t>
  </si>
  <si>
    <t>Year</t>
    <phoneticPr fontId="50" type="noConversion"/>
  </si>
  <si>
    <r>
      <rPr>
        <b/>
        <sz val="15"/>
        <rFont val="宋体"/>
        <family val="3"/>
        <charset val="134"/>
      </rPr>
      <t>货物周转量（</t>
    </r>
    <r>
      <rPr>
        <b/>
        <sz val="15"/>
        <rFont val="Times New Roman"/>
        <family val="1"/>
      </rPr>
      <t>1978-2021</t>
    </r>
    <r>
      <rPr>
        <b/>
        <sz val="15"/>
        <rFont val="宋体"/>
        <family val="3"/>
        <charset val="134"/>
      </rPr>
      <t>年）</t>
    </r>
    <phoneticPr fontId="42" type="noConversion"/>
  </si>
  <si>
    <r>
      <t xml:space="preserve"> </t>
    </r>
    <r>
      <rPr>
        <b/>
        <sz val="15"/>
        <rFont val="宋体"/>
        <family val="3"/>
        <charset val="134"/>
      </rPr>
      <t>旅客周转量（</t>
    </r>
    <r>
      <rPr>
        <b/>
        <sz val="15"/>
        <rFont val="Times New Roman"/>
        <family val="1"/>
      </rPr>
      <t>1978-2021</t>
    </r>
    <r>
      <rPr>
        <b/>
        <sz val="15"/>
        <rFont val="宋体"/>
        <family val="3"/>
        <charset val="134"/>
      </rPr>
      <t>年）</t>
    </r>
    <phoneticPr fontId="42" type="noConversion"/>
  </si>
  <si>
    <t>HDV-psgr</t>
    <phoneticPr fontId="42" type="noConversion"/>
  </si>
  <si>
    <t>LDV-psgr</t>
    <phoneticPr fontId="42" type="noConversion"/>
  </si>
  <si>
    <t>LDV-frgt</t>
    <phoneticPr fontId="42" type="noConversion"/>
  </si>
  <si>
    <t>HDV-frgt</t>
    <phoneticPr fontId="42" type="noConversion"/>
  </si>
  <si>
    <t>私家车</t>
    <phoneticPr fontId="42" type="noConversion"/>
  </si>
  <si>
    <t>营运车</t>
    <phoneticPr fontId="42" type="noConversion"/>
  </si>
  <si>
    <t>计算周转量</t>
    <phoneticPr fontId="42" type="noConversion"/>
  </si>
  <si>
    <t>年报公里</t>
    <phoneticPr fontId="42" type="noConversion"/>
  </si>
  <si>
    <t>年鉴周转量</t>
    <phoneticPr fontId="42" type="noConversion"/>
  </si>
  <si>
    <t>汽油保有量</t>
    <phoneticPr fontId="42" type="noConversion"/>
  </si>
  <si>
    <t>2020新销汽油</t>
  </si>
  <si>
    <t>柴油保有量</t>
    <phoneticPr fontId="42" type="noConversion"/>
  </si>
  <si>
    <t>2020新销柴油</t>
  </si>
  <si>
    <t>天然气保有量</t>
    <phoneticPr fontId="42" type="noConversion"/>
  </si>
  <si>
    <t>2020新销天然气</t>
  </si>
  <si>
    <t>插电保有量</t>
    <phoneticPr fontId="42" type="noConversion"/>
  </si>
  <si>
    <t>2020新销插电</t>
  </si>
  <si>
    <t>纯电保有量</t>
    <phoneticPr fontId="42" type="noConversion"/>
  </si>
  <si>
    <t>2020新销纯电</t>
  </si>
  <si>
    <t>燃料电池保有量</t>
    <phoneticPr fontId="42" type="noConversion"/>
  </si>
  <si>
    <t>2020新销燃料电池</t>
  </si>
  <si>
    <t>甲醇保有量</t>
    <phoneticPr fontId="42" type="noConversion"/>
  </si>
  <si>
    <t>2020新销甲醇</t>
  </si>
  <si>
    <t>LPG保有量</t>
    <phoneticPr fontId="42" type="noConversion"/>
  </si>
  <si>
    <t>2020新销LPG</t>
  </si>
  <si>
    <t>出租车</t>
    <phoneticPr fontId="42" type="noConversion"/>
  </si>
  <si>
    <t>小型公交车</t>
    <phoneticPr fontId="42" type="noConversion"/>
  </si>
  <si>
    <t>中型公交车</t>
    <phoneticPr fontId="42" type="noConversion"/>
  </si>
  <si>
    <t>大型公交车</t>
    <phoneticPr fontId="42" type="noConversion"/>
  </si>
  <si>
    <t>中型客车</t>
    <phoneticPr fontId="42" type="noConversion"/>
  </si>
  <si>
    <t>大型客车</t>
    <phoneticPr fontId="42" type="noConversion"/>
  </si>
  <si>
    <t>微轻型货车</t>
    <phoneticPr fontId="42" type="noConversion"/>
  </si>
  <si>
    <t>中型货车</t>
    <phoneticPr fontId="42" type="noConversion"/>
  </si>
  <si>
    <t>重型货车</t>
    <phoneticPr fontId="42" type="noConversion"/>
  </si>
  <si>
    <t>年报数据</t>
    <phoneticPr fontId="42" type="noConversion"/>
  </si>
  <si>
    <t>飞机架次</t>
    <phoneticPr fontId="42" type="noConversion"/>
  </si>
  <si>
    <t>周转量</t>
    <phoneticPr fontId="42" type="noConversion"/>
  </si>
  <si>
    <t>客运</t>
    <phoneticPr fontId="42" type="noConversion"/>
  </si>
  <si>
    <t>距离</t>
    <phoneticPr fontId="42" type="noConversion"/>
  </si>
  <si>
    <t>货运</t>
    <phoneticPr fontId="42" type="noConversion"/>
  </si>
  <si>
    <t>民航行业发展统计公报</t>
    <phoneticPr fontId="42" type="noConversion"/>
  </si>
  <si>
    <t>BCD</t>
    <phoneticPr fontId="42" type="noConversion"/>
  </si>
  <si>
    <t>客运数量</t>
    <phoneticPr fontId="42" type="noConversion"/>
  </si>
  <si>
    <t>机车</t>
    <phoneticPr fontId="42" type="noConversion"/>
  </si>
  <si>
    <t>客车</t>
    <phoneticPr fontId="42" type="noConversion"/>
  </si>
  <si>
    <t>货车</t>
    <phoneticPr fontId="42" type="noConversion"/>
  </si>
  <si>
    <t>货运数量</t>
    <phoneticPr fontId="42" type="noConversion"/>
  </si>
  <si>
    <t>船舶总数</t>
    <phoneticPr fontId="42" type="noConversion"/>
  </si>
  <si>
    <t>《交通运输行业发展统计公报》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</si>
</sst>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###0.00_)"/>
    <numFmt numFmtId="179" formatCode="#,##0_)"/>
    <numFmt numFmtId="180" formatCode="0_);[Red]\(0\)"/>
    <numFmt numFmtId="181" formatCode="0.0"/>
    <numFmt numFmtId="182" formatCode="0.000_ "/>
    <numFmt numFmtId="183" formatCode="0_ "/>
    <numFmt numFmtId="184" formatCode="0.00_ "/>
  </numFmts>
  <fonts count="58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b/>
      <sz val="15"/>
      <name val="Times New Roman"/>
      <family val="1"/>
    </font>
    <font>
      <b/>
      <sz val="15"/>
      <name val="Times New Roman"/>
      <family val="3"/>
      <charset val="134"/>
    </font>
    <font>
      <b/>
      <sz val="15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name val="宋体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5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0" borderId="3" applyNumberFormat="0" applyFont="0" applyProtection="0">
      <alignment wrapText="1"/>
    </xf>
    <xf numFmtId="0" fontId="9" fillId="0" borderId="3" applyNumberFormat="0" applyFont="0" applyProtection="0">
      <alignment wrapText="1"/>
    </xf>
    <xf numFmtId="0" fontId="10" fillId="22" borderId="4" applyNumberFormat="0" applyAlignment="0" applyProtection="0"/>
    <xf numFmtId="0" fontId="11" fillId="23" borderId="5" applyNumberFormat="0" applyAlignment="0" applyProtection="0"/>
    <xf numFmtId="0" fontId="12" fillId="0" borderId="0">
      <alignment horizontal="center" vertical="center" wrapText="1"/>
    </xf>
    <xf numFmtId="177" fontId="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3" fillId="0" borderId="0">
      <alignment horizontal="left" vertical="center" wrapText="1"/>
    </xf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14" fillId="0" borderId="6" applyNumberFormat="0" applyFill="0">
      <alignment horizontal="right"/>
    </xf>
    <xf numFmtId="178" fontId="15" fillId="0" borderId="6" applyNumberFormat="0" applyFill="0">
      <alignment horizontal="right"/>
    </xf>
    <xf numFmtId="179" fontId="16" fillId="0" borderId="6">
      <alignment horizontal="right" vertical="center"/>
    </xf>
    <xf numFmtId="49" fontId="17" fillId="0" borderId="6">
      <alignment horizontal="left" vertical="center"/>
    </xf>
    <xf numFmtId="178" fontId="14" fillId="0" borderId="6" applyNumberFormat="0" applyFill="0">
      <alignment horizontal="right"/>
    </xf>
    <xf numFmtId="0" fontId="1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7" applyNumberFormat="0" applyProtection="0">
      <alignment wrapText="1"/>
    </xf>
    <xf numFmtId="0" fontId="9" fillId="0" borderId="7" applyNumberFormat="0" applyProtection="0">
      <alignment wrapText="1"/>
    </xf>
    <xf numFmtId="0" fontId="19" fillId="6" borderId="0" applyNumberFormat="0" applyBorder="0" applyAlignment="0" applyProtection="0"/>
    <xf numFmtId="0" fontId="20" fillId="0" borderId="8" applyNumberFormat="0" applyProtection="0">
      <alignment wrapText="1"/>
    </xf>
    <xf numFmtId="0" fontId="20" fillId="0" borderId="8" applyNumberFormat="0" applyProtection="0">
      <alignment wrapText="1"/>
    </xf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6">
      <alignment horizontal="left"/>
    </xf>
    <xf numFmtId="0" fontId="25" fillId="0" borderId="6">
      <alignment horizontal="left"/>
    </xf>
    <xf numFmtId="0" fontId="26" fillId="0" borderId="12">
      <alignment horizontal="right" vertical="center"/>
    </xf>
    <xf numFmtId="0" fontId="27" fillId="0" borderId="6">
      <alignment horizontal="left" vertical="center"/>
    </xf>
    <xf numFmtId="0" fontId="14" fillId="0" borderId="6">
      <alignment horizontal="left" vertical="center"/>
    </xf>
    <xf numFmtId="0" fontId="24" fillId="0" borderId="6">
      <alignment horizontal="left"/>
    </xf>
    <xf numFmtId="0" fontId="24" fillId="24" borderId="0">
      <alignment horizontal="centerContinuous" wrapText="1"/>
    </xf>
    <xf numFmtId="49" fontId="24" fillId="24" borderId="1">
      <alignment horizontal="left" vertical="center"/>
    </xf>
    <xf numFmtId="0" fontId="24" fillId="24" borderId="0">
      <alignment horizontal="centerContinuous" vertical="center" wrapText="1"/>
    </xf>
    <xf numFmtId="0" fontId="28" fillId="0" borderId="0" applyNumberFormat="0" applyFill="0" applyBorder="0" applyAlignment="0" applyProtection="0">
      <alignment vertical="top"/>
      <protection locked="0"/>
    </xf>
    <xf numFmtId="0" fontId="29" fillId="9" borderId="4" applyNumberFormat="0" applyAlignment="0" applyProtection="0"/>
    <xf numFmtId="0" fontId="30" fillId="0" borderId="13" applyNumberFormat="0" applyFill="0" applyAlignment="0" applyProtection="0"/>
    <xf numFmtId="0" fontId="31" fillId="25" borderId="0" applyNumberFormat="0" applyBorder="0" applyAlignment="0" applyProtection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2" applyNumberFormat="0" applyFont="0" applyAlignment="0" applyProtection="0"/>
    <xf numFmtId="0" fontId="3" fillId="26" borderId="14" applyNumberFormat="0" applyFont="0" applyAlignment="0" applyProtection="0"/>
    <xf numFmtId="0" fontId="33" fillId="22" borderId="15" applyNumberFormat="0" applyAlignment="0" applyProtection="0"/>
    <xf numFmtId="0" fontId="20" fillId="0" borderId="16" applyNumberFormat="0" applyProtection="0">
      <alignment wrapText="1"/>
    </xf>
    <xf numFmtId="0" fontId="20" fillId="0" borderId="16" applyNumberFormat="0" applyProtection="0">
      <alignment wrapText="1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6">
      <alignment horizontal="left"/>
    </xf>
    <xf numFmtId="178" fontId="16" fillId="0" borderId="0" applyNumberFormat="0">
      <alignment horizontal="right"/>
    </xf>
    <xf numFmtId="0" fontId="26" fillId="27" borderId="0">
      <alignment horizontal="centerContinuous" vertical="center" wrapText="1"/>
    </xf>
    <xf numFmtId="0" fontId="26" fillId="0" borderId="17">
      <alignment horizontal="left" vertical="center"/>
    </xf>
    <xf numFmtId="0" fontId="37" fillId="0" borderId="0" applyNumberFormat="0" applyProtection="0">
      <alignment horizontal="left"/>
    </xf>
    <xf numFmtId="0" fontId="37" fillId="0" borderId="0" applyNumberFormat="0" applyProtection="0">
      <alignment horizontal="left"/>
    </xf>
    <xf numFmtId="0" fontId="38" fillId="0" borderId="0" applyNumberFormat="0" applyFill="0" applyBorder="0" applyAlignment="0" applyProtection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18" applyNumberFormat="0" applyFill="0" applyAlignment="0" applyProtection="0"/>
    <xf numFmtId="0" fontId="41" fillId="0" borderId="0" applyNumberFormat="0" applyFill="0" applyBorder="0" applyAlignment="0" applyProtection="0"/>
    <xf numFmtId="49" fontId="16" fillId="0" borderId="6">
      <alignment horizontal="left"/>
    </xf>
    <xf numFmtId="0" fontId="26" fillId="0" borderId="12">
      <alignment horizontal="left"/>
    </xf>
    <xf numFmtId="0" fontId="24" fillId="0" borderId="0">
      <alignment horizontal="left" vertical="center"/>
    </xf>
    <xf numFmtId="49" fontId="34" fillId="0" borderId="6">
      <alignment horizontal="left"/>
    </xf>
  </cellStyleXfs>
  <cellXfs count="5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1" fontId="0" fillId="0" borderId="0" xfId="0" applyNumberFormat="1"/>
    <xf numFmtId="0" fontId="1" fillId="0" borderId="0" xfId="0" applyFont="1" applyAlignment="1">
      <alignment wrapText="1"/>
    </xf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28" borderId="0" xfId="0" applyFill="1"/>
    <xf numFmtId="0" fontId="0" fillId="0" borderId="0" xfId="0" applyAlignment="1">
      <alignment horizontal="left" indent="2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1" fillId="29" borderId="0" xfId="0" applyFont="1" applyFill="1"/>
    <xf numFmtId="0" fontId="43" fillId="0" borderId="0" xfId="0" applyFont="1"/>
    <xf numFmtId="0" fontId="0" fillId="0" borderId="0" xfId="0" applyAlignment="1">
      <alignment wrapText="1"/>
    </xf>
    <xf numFmtId="1" fontId="45" fillId="0" borderId="0" xfId="0" applyNumberFormat="1" applyFont="1" applyAlignment="1">
      <alignment horizontal="center"/>
    </xf>
    <xf numFmtId="180" fontId="45" fillId="0" borderId="19" xfId="0" applyNumberFormat="1" applyFont="1" applyBorder="1" applyAlignment="1">
      <alignment horizontal="center" vertical="center"/>
    </xf>
    <xf numFmtId="180" fontId="45" fillId="0" borderId="19" xfId="0" applyNumberFormat="1" applyFont="1" applyBorder="1" applyAlignment="1">
      <alignment horizontal="center" vertical="center" wrapText="1"/>
    </xf>
    <xf numFmtId="180" fontId="46" fillId="0" borderId="19" xfId="0" applyNumberFormat="1" applyFont="1" applyBorder="1" applyAlignment="1">
      <alignment horizontal="center" vertical="center" wrapText="1"/>
    </xf>
    <xf numFmtId="180" fontId="45" fillId="30" borderId="19" xfId="0" applyNumberFormat="1" applyFont="1" applyFill="1" applyBorder="1" applyAlignment="1" applyProtection="1">
      <alignment horizontal="center" vertical="center"/>
      <protection locked="0"/>
    </xf>
    <xf numFmtId="180" fontId="45" fillId="30" borderId="19" xfId="0" applyNumberFormat="1" applyFont="1" applyFill="1" applyBorder="1" applyAlignment="1">
      <alignment horizontal="center" vertical="center"/>
    </xf>
    <xf numFmtId="180" fontId="47" fillId="31" borderId="19" xfId="0" applyNumberFormat="1" applyFont="1" applyFill="1" applyBorder="1" applyAlignment="1">
      <alignment horizontal="center" vertical="center"/>
    </xf>
    <xf numFmtId="180" fontId="47" fillId="0" borderId="19" xfId="0" applyNumberFormat="1" applyFont="1" applyBorder="1" applyAlignment="1">
      <alignment horizontal="center" vertical="center"/>
    </xf>
    <xf numFmtId="180" fontId="48" fillId="0" borderId="19" xfId="0" applyNumberFormat="1" applyFont="1" applyBorder="1" applyAlignment="1">
      <alignment horizontal="center" vertical="center"/>
    </xf>
    <xf numFmtId="180" fontId="49" fillId="0" borderId="19" xfId="0" applyNumberFormat="1" applyFont="1" applyBorder="1" applyAlignment="1">
      <alignment horizontal="center" vertical="center"/>
    </xf>
    <xf numFmtId="180" fontId="45" fillId="32" borderId="19" xfId="0" applyNumberFormat="1" applyFont="1" applyFill="1" applyBorder="1" applyAlignment="1">
      <alignment horizontal="center" vertical="center"/>
    </xf>
    <xf numFmtId="180" fontId="46" fillId="32" borderId="19" xfId="0" applyNumberFormat="1" applyFont="1" applyFill="1" applyBorder="1" applyAlignment="1">
      <alignment horizontal="center" vertical="center"/>
    </xf>
    <xf numFmtId="181" fontId="0" fillId="0" borderId="0" xfId="0" applyNumberFormat="1"/>
    <xf numFmtId="182" fontId="51" fillId="0" borderId="0" xfId="0" applyNumberFormat="1" applyFont="1"/>
    <xf numFmtId="183" fontId="51" fillId="0" borderId="0" xfId="0" applyNumberFormat="1" applyFont="1"/>
    <xf numFmtId="0" fontId="0" fillId="0" borderId="0" xfId="0" applyAlignment="1">
      <alignment vertical="center"/>
    </xf>
    <xf numFmtId="0" fontId="46" fillId="0" borderId="19" xfId="0" applyFont="1" applyBorder="1" applyAlignment="1">
      <alignment horizontal="center" vertical="center" wrapText="1"/>
    </xf>
    <xf numFmtId="0" fontId="0" fillId="0" borderId="19" xfId="0" applyBorder="1"/>
    <xf numFmtId="0" fontId="52" fillId="0" borderId="0" xfId="0" applyFont="1"/>
    <xf numFmtId="1" fontId="0" fillId="33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1" fontId="0" fillId="34" borderId="0" xfId="0" applyNumberFormat="1" applyFill="1"/>
    <xf numFmtId="180" fontId="45" fillId="32" borderId="20" xfId="0" applyNumberFormat="1" applyFont="1" applyFill="1" applyBorder="1" applyAlignment="1">
      <alignment horizontal="center" vertical="center"/>
    </xf>
    <xf numFmtId="0" fontId="0" fillId="35" borderId="0" xfId="0" applyFill="1"/>
    <xf numFmtId="0" fontId="56" fillId="0" borderId="0" xfId="0" applyFont="1"/>
    <xf numFmtId="184" fontId="5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82" fontId="51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center"/>
    </xf>
    <xf numFmtId="182" fontId="51" fillId="0" borderId="0" xfId="0" applyNumberFormat="1" applyFont="1" applyAlignment="1">
      <alignment horizontal="center"/>
    </xf>
    <xf numFmtId="0" fontId="46" fillId="0" borderId="19" xfId="0" applyFont="1" applyBorder="1" applyAlignment="1">
      <alignment horizontal="center" vertical="center" wrapText="1"/>
    </xf>
    <xf numFmtId="0" fontId="53" fillId="0" borderId="19" xfId="0" applyFont="1" applyBorder="1" applyAlignment="1">
      <alignment horizontal="center" vertical="center" wrapText="1"/>
    </xf>
    <xf numFmtId="0" fontId="54" fillId="0" borderId="19" xfId="0" applyFont="1" applyBorder="1" applyAlignment="1">
      <alignment horizontal="center" vertical="center" wrapText="1"/>
    </xf>
  </cellXfs>
  <cellStyles count="15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Body: normal cell" xfId="29" xr:uid="{00000000-0005-0000-0000-000019000000}"/>
    <cellStyle name="Body: normal cell 2" xfId="30" xr:uid="{00000000-0005-0000-0000-00001A000000}"/>
    <cellStyle name="Calculation 2" xfId="31" xr:uid="{00000000-0005-0000-0000-00001B000000}"/>
    <cellStyle name="Check Cell 2" xfId="32" xr:uid="{00000000-0005-0000-0000-00001C000000}"/>
    <cellStyle name="Column heading" xfId="33" xr:uid="{00000000-0005-0000-0000-00001D000000}"/>
    <cellStyle name="Comma 2" xfId="34" xr:uid="{00000000-0005-0000-0000-00001E000000}"/>
    <cellStyle name="Comma 2 2" xfId="35" xr:uid="{00000000-0005-0000-0000-00001F000000}"/>
    <cellStyle name="Comma 3" xfId="36" xr:uid="{00000000-0005-0000-0000-000020000000}"/>
    <cellStyle name="Comma 4" xfId="37" xr:uid="{00000000-0005-0000-0000-000021000000}"/>
    <cellStyle name="Comma 5" xfId="38" xr:uid="{00000000-0005-0000-0000-000022000000}"/>
    <cellStyle name="Comma 6" xfId="39" xr:uid="{00000000-0005-0000-0000-000023000000}"/>
    <cellStyle name="Comma 7" xfId="40" xr:uid="{00000000-0005-0000-0000-000024000000}"/>
    <cellStyle name="Comma 8" xfId="41" xr:uid="{00000000-0005-0000-0000-000025000000}"/>
    <cellStyle name="Corner heading" xfId="42" xr:uid="{00000000-0005-0000-0000-000026000000}"/>
    <cellStyle name="Currency 2" xfId="43" xr:uid="{00000000-0005-0000-0000-000027000000}"/>
    <cellStyle name="Currency 3" xfId="44" xr:uid="{00000000-0005-0000-0000-000028000000}"/>
    <cellStyle name="Currency 3 2" xfId="45" xr:uid="{00000000-0005-0000-0000-000029000000}"/>
    <cellStyle name="Data" xfId="46" xr:uid="{00000000-0005-0000-0000-00002A000000}"/>
    <cellStyle name="Data 2" xfId="47" xr:uid="{00000000-0005-0000-0000-00002B000000}"/>
    <cellStyle name="Data no deci" xfId="48" xr:uid="{00000000-0005-0000-0000-00002C000000}"/>
    <cellStyle name="Data Superscript" xfId="49" xr:uid="{00000000-0005-0000-0000-00002D000000}"/>
    <cellStyle name="Data_1-1A-Regular" xfId="50" xr:uid="{00000000-0005-0000-0000-00002E000000}"/>
    <cellStyle name="Explanatory Text 2" xfId="51" xr:uid="{00000000-0005-0000-0000-00002F000000}"/>
    <cellStyle name="Font: Calibri, 9pt regular" xfId="52" xr:uid="{00000000-0005-0000-0000-000030000000}"/>
    <cellStyle name="Font: Calibri, 9pt regular 2" xfId="53" xr:uid="{00000000-0005-0000-0000-000031000000}"/>
    <cellStyle name="Footnotes: top row" xfId="54" xr:uid="{00000000-0005-0000-0000-000032000000}"/>
    <cellStyle name="Footnotes: top row 2" xfId="55" xr:uid="{00000000-0005-0000-0000-000033000000}"/>
    <cellStyle name="Good 2" xfId="56" xr:uid="{00000000-0005-0000-0000-000034000000}"/>
    <cellStyle name="Header: bottom row" xfId="57" xr:uid="{00000000-0005-0000-0000-000035000000}"/>
    <cellStyle name="Header: bottom row 2" xfId="58" xr:uid="{00000000-0005-0000-0000-000036000000}"/>
    <cellStyle name="Heading 1 2" xfId="59" xr:uid="{00000000-0005-0000-0000-000037000000}"/>
    <cellStyle name="Heading 2 2" xfId="60" xr:uid="{00000000-0005-0000-0000-000038000000}"/>
    <cellStyle name="Heading 3 2" xfId="61" xr:uid="{00000000-0005-0000-0000-000039000000}"/>
    <cellStyle name="Heading 4 2" xfId="62" xr:uid="{00000000-0005-0000-0000-00003A000000}"/>
    <cellStyle name="Hed Side" xfId="63" xr:uid="{00000000-0005-0000-0000-00003B000000}"/>
    <cellStyle name="Hed Side 2" xfId="64" xr:uid="{00000000-0005-0000-0000-00003C000000}"/>
    <cellStyle name="Hed Side bold" xfId="65" xr:uid="{00000000-0005-0000-0000-00003D000000}"/>
    <cellStyle name="Hed Side Indent" xfId="66" xr:uid="{00000000-0005-0000-0000-00003E000000}"/>
    <cellStyle name="Hed Side Regular" xfId="67" xr:uid="{00000000-0005-0000-0000-00003F000000}"/>
    <cellStyle name="Hed Side_1-1A-Regular" xfId="68" xr:uid="{00000000-0005-0000-0000-000040000000}"/>
    <cellStyle name="Hed Top" xfId="69" xr:uid="{00000000-0005-0000-0000-000041000000}"/>
    <cellStyle name="Hed Top - SECTION" xfId="70" xr:uid="{00000000-0005-0000-0000-000042000000}"/>
    <cellStyle name="Hed Top_3-new4" xfId="71" xr:uid="{00000000-0005-0000-0000-000043000000}"/>
    <cellStyle name="Hyperlink 2" xfId="72" xr:uid="{00000000-0005-0000-0000-000045000000}"/>
    <cellStyle name="Input 2" xfId="73" xr:uid="{00000000-0005-0000-0000-000046000000}"/>
    <cellStyle name="Linked Cell 2" xfId="74" xr:uid="{00000000-0005-0000-0000-000047000000}"/>
    <cellStyle name="Neutral 2" xfId="75" xr:uid="{00000000-0005-0000-0000-000048000000}"/>
    <cellStyle name="Normal 10" xfId="76" xr:uid="{00000000-0005-0000-0000-00004A000000}"/>
    <cellStyle name="Normal 11" xfId="77" xr:uid="{00000000-0005-0000-0000-00004B000000}"/>
    <cellStyle name="Normal 2" xfId="2" xr:uid="{00000000-0005-0000-0000-00004C000000}"/>
    <cellStyle name="Normal 2 2" xfId="78" xr:uid="{00000000-0005-0000-0000-00004D000000}"/>
    <cellStyle name="Normal 2 3" xfId="79" xr:uid="{00000000-0005-0000-0000-00004E000000}"/>
    <cellStyle name="Normal 3" xfId="3" xr:uid="{00000000-0005-0000-0000-00004F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tm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1</xdr:row>
      <xdr:rowOff>103038</xdr:rowOff>
    </xdr:from>
    <xdr:to>
      <xdr:col>13</xdr:col>
      <xdr:colOff>359913</xdr:colOff>
      <xdr:row>11</xdr:row>
      <xdr:rowOff>73139</xdr:rowOff>
    </xdr:to>
    <xdr:pic>
      <xdr:nvPicPr>
        <xdr:cNvPr id="3" name="Picture 2" descr="Screen Clipping">
          <a:extLst>
            <a:ext uri="{FF2B5EF4-FFF2-40B4-BE49-F238E27FC236}">
              <a16:creationId xmlns:a16="http://schemas.microsoft.com/office/drawing/2014/main" id="{168AE0FB-42A2-4C1A-BB3C-2C97E8A21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2475" y="274488"/>
          <a:ext cx="3572714" cy="3193361"/>
        </a:xfrm>
        <a:prstGeom prst="rect">
          <a:avLst/>
        </a:prstGeom>
      </xdr:spPr>
    </xdr:pic>
    <xdr:clientData/>
  </xdr:twoCellAnchor>
  <xdr:twoCellAnchor>
    <xdr:from>
      <xdr:col>0</xdr:col>
      <xdr:colOff>879895</xdr:colOff>
      <xdr:row>8</xdr:row>
      <xdr:rowOff>39019</xdr:rowOff>
    </xdr:from>
    <xdr:to>
      <xdr:col>4</xdr:col>
      <xdr:colOff>603849</xdr:colOff>
      <xdr:row>13</xdr:row>
      <xdr:rowOff>68654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5EFF1236-6683-4DEE-A722-8F43C330A308}"/>
            </a:ext>
          </a:extLst>
        </xdr:cNvPr>
        <xdr:cNvGrpSpPr/>
      </xdr:nvGrpSpPr>
      <xdr:grpSpPr>
        <a:xfrm>
          <a:off x="879895" y="2997879"/>
          <a:ext cx="4399471" cy="849145"/>
          <a:chOff x="1932317" y="2208362"/>
          <a:chExt cx="3873260" cy="849145"/>
        </a:xfrm>
      </xdr:grpSpPr>
      <xdr:pic>
        <xdr:nvPicPr>
          <xdr:cNvPr id="4" name="图片 3">
            <a:extLst>
              <a:ext uri="{FF2B5EF4-FFF2-40B4-BE49-F238E27FC236}">
                <a16:creationId xmlns:a16="http://schemas.microsoft.com/office/drawing/2014/main" id="{DE36B97B-5DB9-E366-D0D8-C059D13222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32317" y="2208362"/>
            <a:ext cx="3838755" cy="739676"/>
          </a:xfrm>
          <a:prstGeom prst="rect">
            <a:avLst/>
          </a:prstGeom>
        </xdr:spPr>
      </xdr:pic>
      <xdr:pic>
        <xdr:nvPicPr>
          <xdr:cNvPr id="5" name="图片 4">
            <a:extLst>
              <a:ext uri="{FF2B5EF4-FFF2-40B4-BE49-F238E27FC236}">
                <a16:creationId xmlns:a16="http://schemas.microsoft.com/office/drawing/2014/main" id="{A0749AB2-8696-238D-FB75-FE25752AAE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992703" y="2734574"/>
            <a:ext cx="3812874" cy="32293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646981</xdr:colOff>
      <xdr:row>8</xdr:row>
      <xdr:rowOff>8626</xdr:rowOff>
    </xdr:from>
    <xdr:to>
      <xdr:col>7</xdr:col>
      <xdr:colOff>1114303</xdr:colOff>
      <xdr:row>13</xdr:row>
      <xdr:rowOff>30390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8E6BB617-0290-4A8E-802D-CB1CD8DAA4C6}"/>
            </a:ext>
          </a:extLst>
        </xdr:cNvPr>
        <xdr:cNvGrpSpPr/>
      </xdr:nvGrpSpPr>
      <xdr:grpSpPr>
        <a:xfrm>
          <a:off x="5322498" y="2967486"/>
          <a:ext cx="4978937" cy="841274"/>
          <a:chOff x="5848710" y="2255608"/>
          <a:chExt cx="5177344" cy="841274"/>
        </a:xfrm>
      </xdr:grpSpPr>
      <xdr:pic>
        <xdr:nvPicPr>
          <xdr:cNvPr id="7" name="图片 6">
            <a:extLst>
              <a:ext uri="{FF2B5EF4-FFF2-40B4-BE49-F238E27FC236}">
                <a16:creationId xmlns:a16="http://schemas.microsoft.com/office/drawing/2014/main" id="{4DE96378-4985-C235-00D5-87111F0300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865961" y="2255608"/>
            <a:ext cx="5088903" cy="576432"/>
          </a:xfrm>
          <a:prstGeom prst="rect">
            <a:avLst/>
          </a:prstGeom>
        </xdr:spPr>
      </xdr:pic>
      <xdr:pic>
        <xdr:nvPicPr>
          <xdr:cNvPr id="8" name="图片 7">
            <a:extLst>
              <a:ext uri="{FF2B5EF4-FFF2-40B4-BE49-F238E27FC236}">
                <a16:creationId xmlns:a16="http://schemas.microsoft.com/office/drawing/2014/main" id="{D8AAD678-52FB-16B5-511B-DF44750F30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848710" y="2818335"/>
            <a:ext cx="5177344" cy="278547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1078302</xdr:colOff>
      <xdr:row>9</xdr:row>
      <xdr:rowOff>133909</xdr:rowOff>
    </xdr:from>
    <xdr:to>
      <xdr:col>7</xdr:col>
      <xdr:colOff>129396</xdr:colOff>
      <xdr:row>14</xdr:row>
      <xdr:rowOff>163545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DC33D643-CA62-4480-A294-FA1724EDF57D}"/>
            </a:ext>
          </a:extLst>
        </xdr:cNvPr>
        <xdr:cNvGrpSpPr/>
      </xdr:nvGrpSpPr>
      <xdr:grpSpPr>
        <a:xfrm>
          <a:off x="4641011" y="1609026"/>
          <a:ext cx="3873260" cy="849145"/>
          <a:chOff x="1932317" y="2208362"/>
          <a:chExt cx="3873260" cy="849145"/>
        </a:xfrm>
      </xdr:grpSpPr>
      <xdr:pic>
        <xdr:nvPicPr>
          <xdr:cNvPr id="3" name="图片 2">
            <a:extLst>
              <a:ext uri="{FF2B5EF4-FFF2-40B4-BE49-F238E27FC236}">
                <a16:creationId xmlns:a16="http://schemas.microsoft.com/office/drawing/2014/main" id="{D1256E74-2AA0-CFC5-378D-154DAA29FD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932317" y="2208362"/>
            <a:ext cx="3838755" cy="739676"/>
          </a:xfrm>
          <a:prstGeom prst="rect">
            <a:avLst/>
          </a:prstGeom>
        </xdr:spPr>
      </xdr:pic>
      <xdr:pic>
        <xdr:nvPicPr>
          <xdr:cNvPr id="4" name="图片 3">
            <a:extLst>
              <a:ext uri="{FF2B5EF4-FFF2-40B4-BE49-F238E27FC236}">
                <a16:creationId xmlns:a16="http://schemas.microsoft.com/office/drawing/2014/main" id="{853715B9-D0EC-8BD5-AAA1-7718B893CB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92703" y="2734574"/>
            <a:ext cx="3812874" cy="322933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138024</xdr:colOff>
      <xdr:row>9</xdr:row>
      <xdr:rowOff>69011</xdr:rowOff>
    </xdr:from>
    <xdr:to>
      <xdr:col>15</xdr:col>
      <xdr:colOff>346552</xdr:colOff>
      <xdr:row>14</xdr:row>
      <xdr:rowOff>90776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3EC98A9C-91E5-4BDE-8F7E-F59A9F6FC0C5}"/>
            </a:ext>
          </a:extLst>
        </xdr:cNvPr>
        <xdr:cNvGrpSpPr/>
      </xdr:nvGrpSpPr>
      <xdr:grpSpPr>
        <a:xfrm>
          <a:off x="8522899" y="1544128"/>
          <a:ext cx="5177344" cy="841274"/>
          <a:chOff x="5848710" y="2255608"/>
          <a:chExt cx="5177344" cy="841274"/>
        </a:xfrm>
      </xdr:grpSpPr>
      <xdr:pic>
        <xdr:nvPicPr>
          <xdr:cNvPr id="6" name="图片 5">
            <a:extLst>
              <a:ext uri="{FF2B5EF4-FFF2-40B4-BE49-F238E27FC236}">
                <a16:creationId xmlns:a16="http://schemas.microsoft.com/office/drawing/2014/main" id="{6EB62BEB-72C0-C654-08A2-3F3BFF2343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865961" y="2255608"/>
            <a:ext cx="5088903" cy="576432"/>
          </a:xfrm>
          <a:prstGeom prst="rect">
            <a:avLst/>
          </a:prstGeom>
        </xdr:spPr>
      </xdr:pic>
      <xdr:pic>
        <xdr:nvPicPr>
          <xdr:cNvPr id="7" name="图片 6">
            <a:extLst>
              <a:ext uri="{FF2B5EF4-FFF2-40B4-BE49-F238E27FC236}">
                <a16:creationId xmlns:a16="http://schemas.microsoft.com/office/drawing/2014/main" id="{0D18676A-8449-E9E0-3EF7-034DF5D063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848710" y="2818335"/>
            <a:ext cx="5177344" cy="27854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381000</xdr:colOff>
      <xdr:row>1</xdr:row>
      <xdr:rowOff>127261</xdr:rowOff>
    </xdr:from>
    <xdr:to>
      <xdr:col>19</xdr:col>
      <xdr:colOff>73487</xdr:colOff>
      <xdr:row>13</xdr:row>
      <xdr:rowOff>119568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87D585F-7935-3ABA-86E2-574BA266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5100" y="310141"/>
          <a:ext cx="3959687" cy="21868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640080</xdr:colOff>
      <xdr:row>6</xdr:row>
      <xdr:rowOff>51802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962AFE6-32EF-4AA7-5308-650A30379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029200" cy="1149082"/>
        </a:xfrm>
        <a:prstGeom prst="rect">
          <a:avLst/>
        </a:prstGeom>
      </xdr:spPr>
    </xdr:pic>
    <xdr:clientData/>
  </xdr:twoCellAnchor>
  <xdr:twoCellAnchor>
    <xdr:from>
      <xdr:col>3</xdr:col>
      <xdr:colOff>77637</xdr:colOff>
      <xdr:row>14</xdr:row>
      <xdr:rowOff>8627</xdr:rowOff>
    </xdr:from>
    <xdr:to>
      <xdr:col>7</xdr:col>
      <xdr:colOff>293297</xdr:colOff>
      <xdr:row>19</xdr:row>
      <xdr:rowOff>38262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A91D10CF-93E2-AA7C-988D-228EC8811B7E}"/>
            </a:ext>
          </a:extLst>
        </xdr:cNvPr>
        <xdr:cNvGrpSpPr/>
      </xdr:nvGrpSpPr>
      <xdr:grpSpPr>
        <a:xfrm>
          <a:off x="1940943" y="2303253"/>
          <a:ext cx="3873260" cy="849145"/>
          <a:chOff x="1932317" y="2208362"/>
          <a:chExt cx="3873260" cy="849145"/>
        </a:xfrm>
      </xdr:grpSpPr>
      <xdr:pic>
        <xdr:nvPicPr>
          <xdr:cNvPr id="6" name="图片 5">
            <a:extLst>
              <a:ext uri="{FF2B5EF4-FFF2-40B4-BE49-F238E27FC236}">
                <a16:creationId xmlns:a16="http://schemas.microsoft.com/office/drawing/2014/main" id="{C599BFC7-4973-D702-D772-DF1E14E384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932317" y="2208362"/>
            <a:ext cx="3838755" cy="739676"/>
          </a:xfrm>
          <a:prstGeom prst="rect">
            <a:avLst/>
          </a:prstGeom>
        </xdr:spPr>
      </xdr:pic>
      <xdr:pic>
        <xdr:nvPicPr>
          <xdr:cNvPr id="7" name="图片 6">
            <a:extLst>
              <a:ext uri="{FF2B5EF4-FFF2-40B4-BE49-F238E27FC236}">
                <a16:creationId xmlns:a16="http://schemas.microsoft.com/office/drawing/2014/main" id="{623F5C72-3A75-2D7B-AF9B-EF5F4DF95E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992703" y="2734574"/>
            <a:ext cx="3812874" cy="322933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327804</xdr:colOff>
      <xdr:row>13</xdr:row>
      <xdr:rowOff>124883</xdr:rowOff>
    </xdr:from>
    <xdr:to>
      <xdr:col>13</xdr:col>
      <xdr:colOff>337926</xdr:colOff>
      <xdr:row>18</xdr:row>
      <xdr:rowOff>146648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D566F1BA-E402-A40E-D690-AC55974E2EE6}"/>
            </a:ext>
          </a:extLst>
        </xdr:cNvPr>
        <xdr:cNvGrpSpPr/>
      </xdr:nvGrpSpPr>
      <xdr:grpSpPr>
        <a:xfrm>
          <a:off x="5848710" y="2255608"/>
          <a:ext cx="5177344" cy="841274"/>
          <a:chOff x="5848710" y="2255608"/>
          <a:chExt cx="5177344" cy="841274"/>
        </a:xfrm>
      </xdr:grpSpPr>
      <xdr:pic>
        <xdr:nvPicPr>
          <xdr:cNvPr id="9" name="图片 8">
            <a:extLst>
              <a:ext uri="{FF2B5EF4-FFF2-40B4-BE49-F238E27FC236}">
                <a16:creationId xmlns:a16="http://schemas.microsoft.com/office/drawing/2014/main" id="{BE4C5F02-B2B8-C8B3-FAF3-2844F461AF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865961" y="2255608"/>
            <a:ext cx="5088903" cy="576432"/>
          </a:xfrm>
          <a:prstGeom prst="rect">
            <a:avLst/>
          </a:prstGeom>
        </xdr:spPr>
      </xdr:pic>
      <xdr:pic>
        <xdr:nvPicPr>
          <xdr:cNvPr id="10" name="图片 9">
            <a:extLst>
              <a:ext uri="{FF2B5EF4-FFF2-40B4-BE49-F238E27FC236}">
                <a16:creationId xmlns:a16="http://schemas.microsoft.com/office/drawing/2014/main" id="{B994A889-EE9A-FB02-6532-39E61ECE10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848710" y="2818335"/>
            <a:ext cx="5177344" cy="278547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60385</xdr:colOff>
      <xdr:row>3</xdr:row>
      <xdr:rowOff>90777</xdr:rowOff>
    </xdr:from>
    <xdr:to>
      <xdr:col>5</xdr:col>
      <xdr:colOff>370936</xdr:colOff>
      <xdr:row>8</xdr:row>
      <xdr:rowOff>120413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F47C50DA-968F-4CB4-903E-C564C88B87F8}"/>
            </a:ext>
          </a:extLst>
        </xdr:cNvPr>
        <xdr:cNvGrpSpPr/>
      </xdr:nvGrpSpPr>
      <xdr:grpSpPr>
        <a:xfrm>
          <a:off x="60385" y="582483"/>
          <a:ext cx="3873260" cy="849145"/>
          <a:chOff x="1932317" y="2208362"/>
          <a:chExt cx="3873260" cy="849145"/>
        </a:xfrm>
      </xdr:grpSpPr>
      <xdr:pic>
        <xdr:nvPicPr>
          <xdr:cNvPr id="3" name="图片 2">
            <a:extLst>
              <a:ext uri="{FF2B5EF4-FFF2-40B4-BE49-F238E27FC236}">
                <a16:creationId xmlns:a16="http://schemas.microsoft.com/office/drawing/2014/main" id="{D6982616-25F2-5A14-C7E1-425BCC4F30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932317" y="2208362"/>
            <a:ext cx="3838755" cy="739676"/>
          </a:xfrm>
          <a:prstGeom prst="rect">
            <a:avLst/>
          </a:prstGeom>
        </xdr:spPr>
      </xdr:pic>
      <xdr:pic>
        <xdr:nvPicPr>
          <xdr:cNvPr id="4" name="图片 3">
            <a:extLst>
              <a:ext uri="{FF2B5EF4-FFF2-40B4-BE49-F238E27FC236}">
                <a16:creationId xmlns:a16="http://schemas.microsoft.com/office/drawing/2014/main" id="{013845AE-7D3A-BC8C-EDD6-8FBA41498D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92703" y="2734574"/>
            <a:ext cx="3812874" cy="322933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405443</xdr:colOff>
      <xdr:row>3</xdr:row>
      <xdr:rowOff>43132</xdr:rowOff>
    </xdr:from>
    <xdr:to>
      <xdr:col>12</xdr:col>
      <xdr:colOff>372432</xdr:colOff>
      <xdr:row>8</xdr:row>
      <xdr:rowOff>64897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A05228B0-C5CC-4EB3-AC95-DA0D3C3AA26C}"/>
            </a:ext>
          </a:extLst>
        </xdr:cNvPr>
        <xdr:cNvGrpSpPr/>
      </xdr:nvGrpSpPr>
      <xdr:grpSpPr>
        <a:xfrm>
          <a:off x="3968152" y="534838"/>
          <a:ext cx="5177344" cy="841274"/>
          <a:chOff x="5848710" y="2255608"/>
          <a:chExt cx="5177344" cy="841274"/>
        </a:xfrm>
      </xdr:grpSpPr>
      <xdr:pic>
        <xdr:nvPicPr>
          <xdr:cNvPr id="6" name="图片 5">
            <a:extLst>
              <a:ext uri="{FF2B5EF4-FFF2-40B4-BE49-F238E27FC236}">
                <a16:creationId xmlns:a16="http://schemas.microsoft.com/office/drawing/2014/main" id="{FF48742B-957B-9F4F-E98D-31A920B445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865961" y="2255608"/>
            <a:ext cx="5088903" cy="576432"/>
          </a:xfrm>
          <a:prstGeom prst="rect">
            <a:avLst/>
          </a:prstGeom>
        </xdr:spPr>
      </xdr:pic>
      <xdr:pic>
        <xdr:nvPicPr>
          <xdr:cNvPr id="7" name="图片 6">
            <a:extLst>
              <a:ext uri="{FF2B5EF4-FFF2-40B4-BE49-F238E27FC236}">
                <a16:creationId xmlns:a16="http://schemas.microsoft.com/office/drawing/2014/main" id="{6C6D232C-DCE8-9546-7E73-505AC259EB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848710" y="2818335"/>
            <a:ext cx="5177344" cy="278547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wri.sharepoint.com/WINDOWS/TEMP/USFreight97-9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WINDOWS/TEMP/USFreight97-93.xls" TargetMode="External"/><Relationship Id="rId1" Type="http://schemas.openxmlformats.org/officeDocument/2006/relationships/externalLinkPath" Target="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ax.book118.com/html/2018/0524/168430691.shtm" TargetMode="External"/><Relationship Id="rId1" Type="http://schemas.openxmlformats.org/officeDocument/2006/relationships/hyperlink" Target="https://wenku.baidu.com/view/586194e3b307e87101f696e3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q.qcds.com/view/Yrqol5W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baijiahao.baidu.com/s?id=1593250628267819387&amp;wfr=spider&amp;for=pc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5"/>
  <sheetViews>
    <sheetView workbookViewId="0">
      <selection activeCell="B7" sqref="B7"/>
    </sheetView>
  </sheetViews>
  <sheetFormatPr defaultRowHeight="12.9"/>
  <cols>
    <col min="2" max="2" width="51.5" customWidth="1"/>
  </cols>
  <sheetData>
    <row r="1" spans="1:2">
      <c r="A1" s="1" t="s">
        <v>15</v>
      </c>
    </row>
    <row r="3" spans="1:2">
      <c r="A3" s="1" t="s">
        <v>0</v>
      </c>
      <c r="B3" s="4" t="s">
        <v>16</v>
      </c>
    </row>
    <row r="4" spans="1:2">
      <c r="B4" t="s">
        <v>17</v>
      </c>
    </row>
    <row r="5" spans="1:2">
      <c r="B5" s="2">
        <v>2015</v>
      </c>
    </row>
    <row r="6" spans="1:2">
      <c r="B6" t="s">
        <v>18</v>
      </c>
    </row>
    <row r="7" spans="1:2">
      <c r="B7" s="3" t="s">
        <v>19</v>
      </c>
    </row>
    <row r="8" spans="1:2">
      <c r="B8" t="s">
        <v>20</v>
      </c>
    </row>
    <row r="10" spans="1:2">
      <c r="B10" s="16" t="s">
        <v>21</v>
      </c>
    </row>
    <row r="11" spans="1:2">
      <c r="B11" t="s">
        <v>22</v>
      </c>
    </row>
    <row r="12" spans="1:2">
      <c r="B12" t="s">
        <v>33</v>
      </c>
    </row>
    <row r="13" spans="1:2">
      <c r="B13" t="s">
        <v>34</v>
      </c>
    </row>
    <row r="15" spans="1:2">
      <c r="B15" s="16" t="s">
        <v>23</v>
      </c>
    </row>
    <row r="16" spans="1:2">
      <c r="B16" t="s">
        <v>39</v>
      </c>
    </row>
    <row r="17" spans="1:2">
      <c r="B17" t="s">
        <v>37</v>
      </c>
    </row>
    <row r="18" spans="1:2">
      <c r="B18" s="3" t="s">
        <v>38</v>
      </c>
    </row>
    <row r="21" spans="1:2">
      <c r="B21" s="16" t="s">
        <v>24</v>
      </c>
    </row>
    <row r="22" spans="1:2">
      <c r="B22" t="s">
        <v>25</v>
      </c>
    </row>
    <row r="23" spans="1:2">
      <c r="B23" t="s">
        <v>30</v>
      </c>
    </row>
    <row r="24" spans="1:2">
      <c r="B24" s="3" t="s">
        <v>40</v>
      </c>
    </row>
    <row r="26" spans="1:2">
      <c r="B26" s="13"/>
    </row>
    <row r="27" spans="1:2">
      <c r="B27" s="13"/>
    </row>
    <row r="28" spans="1:2">
      <c r="A28" s="1" t="s">
        <v>7</v>
      </c>
      <c r="B28" s="13"/>
    </row>
    <row r="29" spans="1:2">
      <c r="A29" t="s">
        <v>26</v>
      </c>
      <c r="B29" s="13"/>
    </row>
    <row r="30" spans="1:2">
      <c r="B30" s="13"/>
    </row>
    <row r="31" spans="1:2">
      <c r="A31" t="s">
        <v>32</v>
      </c>
    </row>
    <row r="32" spans="1:2">
      <c r="B32" s="13"/>
    </row>
    <row r="33" spans="1:2">
      <c r="A33" t="s">
        <v>31</v>
      </c>
      <c r="B33" s="14"/>
    </row>
    <row r="34" spans="1:2">
      <c r="A34" t="s">
        <v>27</v>
      </c>
    </row>
    <row r="35" spans="1:2">
      <c r="A35" t="s">
        <v>28</v>
      </c>
      <c r="B35" s="2"/>
    </row>
    <row r="37" spans="1:2">
      <c r="A37" t="s">
        <v>29</v>
      </c>
    </row>
    <row r="39" spans="1:2">
      <c r="B39" s="1"/>
    </row>
    <row r="40" spans="1:2">
      <c r="B40" s="15"/>
    </row>
    <row r="41" spans="1:2">
      <c r="B41" s="15"/>
    </row>
    <row r="42" spans="1:2">
      <c r="B42" s="15"/>
    </row>
    <row r="43" spans="1:2">
      <c r="B43" s="15"/>
    </row>
    <row r="44" spans="1:2">
      <c r="B44" s="15"/>
    </row>
    <row r="45" spans="1:2">
      <c r="B45" s="15"/>
    </row>
  </sheetData>
  <phoneticPr fontId="42" type="noConversion"/>
  <hyperlinks>
    <hyperlink ref="B7" r:id="rId1" xr:uid="{00000000-0004-0000-0000-000000000000}"/>
    <hyperlink ref="B24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26"/>
  <sheetViews>
    <sheetView topLeftCell="A5" workbookViewId="0">
      <selection activeCell="B23" sqref="B23:C23"/>
    </sheetView>
  </sheetViews>
  <sheetFormatPr defaultRowHeight="12.9"/>
  <cols>
    <col min="1" max="1" width="15" bestFit="1" customWidth="1"/>
    <col min="2" max="2" width="15" customWidth="1"/>
    <col min="3" max="3" width="26.25" customWidth="1"/>
    <col min="4" max="4" width="11.5" customWidth="1"/>
    <col min="5" max="5" width="28.25" customWidth="1"/>
    <col min="6" max="6" width="11.5" customWidth="1"/>
    <col min="7" max="7" width="25.625" customWidth="1"/>
    <col min="8" max="8" width="25.375" customWidth="1"/>
    <col min="9" max="9" width="13.625" customWidth="1"/>
  </cols>
  <sheetData>
    <row r="1" spans="1:24">
      <c r="A1" s="9" t="s">
        <v>79</v>
      </c>
      <c r="B1" s="9"/>
      <c r="C1" s="9" t="s">
        <v>9</v>
      </c>
      <c r="D1" s="9"/>
      <c r="F1" s="10" t="s">
        <v>10</v>
      </c>
      <c r="I1" t="s">
        <v>52</v>
      </c>
    </row>
    <row r="2" spans="1:24" ht="90.35">
      <c r="A2" t="s">
        <v>1</v>
      </c>
      <c r="C2">
        <v>10000</v>
      </c>
      <c r="E2" s="18" t="s">
        <v>80</v>
      </c>
      <c r="F2">
        <v>30000</v>
      </c>
      <c r="G2" s="3" t="s">
        <v>73</v>
      </c>
    </row>
    <row r="3" spans="1:24">
      <c r="A3" t="s">
        <v>2</v>
      </c>
      <c r="C3">
        <v>60000</v>
      </c>
      <c r="D3">
        <f>C3*50%</f>
        <v>30000</v>
      </c>
      <c r="E3" s="18"/>
      <c r="F3">
        <v>75000</v>
      </c>
      <c r="G3">
        <f>F3*80%</f>
        <v>60000</v>
      </c>
    </row>
    <row r="4" spans="1:24">
      <c r="A4" s="9" t="s">
        <v>51</v>
      </c>
      <c r="B4" s="9"/>
      <c r="E4" s="18"/>
    </row>
    <row r="5" spans="1:24" ht="65.25" customHeight="1">
      <c r="A5" t="s">
        <v>1</v>
      </c>
      <c r="C5">
        <f>'LDVs HDVs'!C2/converter!D2</f>
        <v>6213.8818119679363</v>
      </c>
      <c r="F5">
        <f>F2/converter!D2</f>
        <v>18641.645435903811</v>
      </c>
      <c r="G5" s="18"/>
    </row>
    <row r="6" spans="1:24">
      <c r="A6" t="s">
        <v>2</v>
      </c>
      <c r="C6">
        <f>C3/converter!D2</f>
        <v>37283.290871807621</v>
      </c>
      <c r="E6" s="18"/>
      <c r="F6">
        <f>F3/converter!D2</f>
        <v>46604.113589759523</v>
      </c>
      <c r="G6" s="18"/>
    </row>
    <row r="15" spans="1:24">
      <c r="B15" s="47" t="s">
        <v>127</v>
      </c>
      <c r="C15" s="47"/>
      <c r="D15" s="48" t="s">
        <v>126</v>
      </c>
      <c r="E15" s="48" t="s">
        <v>128</v>
      </c>
      <c r="F15" s="48" t="s">
        <v>129</v>
      </c>
    </row>
    <row r="16" spans="1:24" ht="25.85">
      <c r="B16" s="39" t="s">
        <v>130</v>
      </c>
      <c r="C16" s="39" t="s">
        <v>131</v>
      </c>
      <c r="D16" s="48"/>
      <c r="E16" s="48"/>
      <c r="F16" s="48"/>
      <c r="H16">
        <v>2019</v>
      </c>
      <c r="I16" s="40" t="s">
        <v>135</v>
      </c>
      <c r="J16" s="41" t="s">
        <v>136</v>
      </c>
      <c r="K16" s="40" t="s">
        <v>137</v>
      </c>
      <c r="L16" s="41" t="s">
        <v>138</v>
      </c>
      <c r="M16" s="40" t="s">
        <v>139</v>
      </c>
      <c r="N16" s="41" t="s">
        <v>140</v>
      </c>
      <c r="O16" s="40" t="s">
        <v>141</v>
      </c>
      <c r="P16" s="41" t="s">
        <v>142</v>
      </c>
      <c r="Q16" s="40" t="s">
        <v>143</v>
      </c>
      <c r="R16" s="41" t="s">
        <v>144</v>
      </c>
      <c r="S16" s="40" t="s">
        <v>145</v>
      </c>
      <c r="T16" s="41" t="s">
        <v>146</v>
      </c>
      <c r="U16" s="40" t="s">
        <v>147</v>
      </c>
      <c r="V16" s="41" t="s">
        <v>148</v>
      </c>
      <c r="W16" s="40" t="s">
        <v>149</v>
      </c>
      <c r="X16" s="41" t="s">
        <v>150</v>
      </c>
    </row>
    <row r="17" spans="1:24">
      <c r="A17" t="s">
        <v>47</v>
      </c>
      <c r="B17">
        <v>2858281</v>
      </c>
      <c r="C17">
        <v>219557919</v>
      </c>
      <c r="D17">
        <v>2310494</v>
      </c>
      <c r="E17">
        <v>18926340</v>
      </c>
      <c r="F17">
        <v>8502856</v>
      </c>
      <c r="H17" t="s">
        <v>151</v>
      </c>
      <c r="I17" s="6">
        <v>1849624.4879981384</v>
      </c>
      <c r="J17" s="42">
        <v>252202.2260543342</v>
      </c>
      <c r="K17" s="6">
        <v>37143.237186500715</v>
      </c>
      <c r="L17" s="42">
        <v>12686.579375605608</v>
      </c>
      <c r="M17" s="6">
        <v>438244.30732902896</v>
      </c>
      <c r="N17" s="42">
        <v>101792.34308760613</v>
      </c>
      <c r="O17" s="6">
        <v>81082.727127729158</v>
      </c>
      <c r="P17" s="42">
        <v>45907.413598834231</v>
      </c>
      <c r="Q17" s="6">
        <v>432005.81981867674</v>
      </c>
      <c r="R17" s="42">
        <v>252409.47100517977</v>
      </c>
      <c r="S17" s="6">
        <v>0</v>
      </c>
      <c r="T17" s="42">
        <v>0</v>
      </c>
      <c r="U17" s="6">
        <v>17170.509876207107</v>
      </c>
      <c r="V17" s="42">
        <v>15441.34302992158</v>
      </c>
      <c r="W17" s="6">
        <v>3009.8343630489308</v>
      </c>
      <c r="X17" s="42">
        <v>214.68451318357486</v>
      </c>
    </row>
    <row r="18" spans="1:24">
      <c r="A18" t="s">
        <v>46</v>
      </c>
      <c r="B18">
        <v>1.67</v>
      </c>
      <c r="C18">
        <v>1.67</v>
      </c>
      <c r="D18">
        <v>21.19613726</v>
      </c>
      <c r="E18">
        <v>1.25</v>
      </c>
      <c r="F18">
        <v>10.82</v>
      </c>
      <c r="H18" t="s">
        <v>130</v>
      </c>
      <c r="I18" s="6">
        <v>215027955.77954271</v>
      </c>
      <c r="J18" s="42">
        <v>21292753.300209127</v>
      </c>
      <c r="K18" s="6">
        <v>2160864.4227178507</v>
      </c>
      <c r="L18" s="42">
        <v>155130.81666752725</v>
      </c>
      <c r="M18" s="6">
        <v>334141.89022303506</v>
      </c>
      <c r="N18" s="42">
        <v>11971.318596533596</v>
      </c>
      <c r="O18" s="6">
        <v>1038136.0203040794</v>
      </c>
      <c r="P18" s="42">
        <v>567728.94393548486</v>
      </c>
      <c r="Q18" s="6">
        <v>994327.85989400966</v>
      </c>
      <c r="R18" s="42">
        <v>403462.34471683868</v>
      </c>
      <c r="S18" s="6">
        <v>0</v>
      </c>
      <c r="T18" s="42">
        <v>0</v>
      </c>
      <c r="U18" s="6">
        <v>257.26006564958482</v>
      </c>
      <c r="V18" s="42">
        <v>0</v>
      </c>
      <c r="W18" s="6">
        <v>534.30936711836864</v>
      </c>
      <c r="X18" s="42">
        <v>0</v>
      </c>
    </row>
    <row r="19" spans="1:24">
      <c r="A19" t="s">
        <v>134</v>
      </c>
      <c r="C19" s="47">
        <v>8857.1</v>
      </c>
      <c r="D19" s="47"/>
      <c r="E19" s="47">
        <v>59636.4</v>
      </c>
      <c r="F19" s="47"/>
      <c r="H19" t="s">
        <v>152</v>
      </c>
      <c r="I19" s="6">
        <v>674.87458352262399</v>
      </c>
      <c r="J19" s="42">
        <v>315.65000205703831</v>
      </c>
      <c r="K19" s="6">
        <v>600.47896014217724</v>
      </c>
      <c r="L19" s="42">
        <v>5.3139730986033378</v>
      </c>
      <c r="M19" s="6">
        <v>365.60134918390975</v>
      </c>
      <c r="N19" s="42">
        <v>179.61229073279281</v>
      </c>
      <c r="O19" s="6">
        <v>0</v>
      </c>
      <c r="P19" s="42">
        <v>0</v>
      </c>
      <c r="Q19" s="6">
        <v>60.579293324078058</v>
      </c>
      <c r="R19" s="42">
        <v>46.762963267709374</v>
      </c>
      <c r="S19" s="6">
        <v>0</v>
      </c>
      <c r="T19" s="42">
        <v>0</v>
      </c>
      <c r="U19" s="6">
        <v>0</v>
      </c>
      <c r="V19" s="42">
        <v>0</v>
      </c>
      <c r="W19" s="6">
        <v>0</v>
      </c>
      <c r="X19" s="42">
        <v>0</v>
      </c>
    </row>
    <row r="20" spans="1:24">
      <c r="A20" t="s">
        <v>133</v>
      </c>
      <c r="C20" s="39">
        <f>(44400*1702+96000*2858281)/(1702+2858281)</f>
        <v>95969.292404884924</v>
      </c>
      <c r="D20" s="39">
        <v>50000</v>
      </c>
      <c r="E20" s="39">
        <v>25000</v>
      </c>
      <c r="F20" s="39">
        <f>(48000*1113343+60000*7389513)/(1113343+7389513)</f>
        <v>58428.749587197526</v>
      </c>
      <c r="H20" t="s">
        <v>153</v>
      </c>
      <c r="I20" s="6">
        <v>5348.972563276594</v>
      </c>
      <c r="J20" s="42">
        <v>159.1577173076825</v>
      </c>
      <c r="K20" s="6">
        <v>24952.351769303768</v>
      </c>
      <c r="L20" s="42">
        <v>951.65338555697065</v>
      </c>
      <c r="M20" s="6">
        <v>6649.6752874807589</v>
      </c>
      <c r="N20" s="42">
        <v>60.370168633948545</v>
      </c>
      <c r="O20" s="6">
        <v>0</v>
      </c>
      <c r="P20" s="42">
        <v>0</v>
      </c>
      <c r="Q20" s="6">
        <v>1280.9452144694174</v>
      </c>
      <c r="R20" s="42">
        <v>1212.8915698275118</v>
      </c>
      <c r="S20" s="6">
        <v>0</v>
      </c>
      <c r="T20" s="42">
        <v>0</v>
      </c>
      <c r="U20" s="6">
        <v>0</v>
      </c>
      <c r="V20" s="42">
        <v>0</v>
      </c>
      <c r="W20" s="6">
        <v>0</v>
      </c>
      <c r="X20" s="42">
        <v>0</v>
      </c>
    </row>
    <row r="21" spans="1:24">
      <c r="A21" t="s">
        <v>132</v>
      </c>
      <c r="C21" s="47">
        <f>(C17*C18*C20+D17*D18*D20)/10^8</f>
        <v>376369.43672413111</v>
      </c>
      <c r="D21" s="47"/>
      <c r="E21" s="47">
        <f>(E17*E18*E20+F17*F18*F20)/10^8</f>
        <v>59669.457850799998</v>
      </c>
      <c r="F21" s="47"/>
      <c r="H21" t="s">
        <v>154</v>
      </c>
      <c r="I21" s="6">
        <v>11756.38396171659</v>
      </c>
      <c r="J21" s="42">
        <v>2.5787396836160377</v>
      </c>
      <c r="K21" s="6">
        <v>221475.25113283962</v>
      </c>
      <c r="L21" s="42">
        <v>1304.8422799097152</v>
      </c>
      <c r="M21" s="6">
        <v>242415.36519831017</v>
      </c>
      <c r="N21" s="42">
        <v>1402.8343878871244</v>
      </c>
      <c r="O21" s="6">
        <v>13266.326302362706</v>
      </c>
      <c r="P21" s="42">
        <v>5540.4222102490567</v>
      </c>
      <c r="Q21" s="6">
        <v>187474.37499888588</v>
      </c>
      <c r="R21" s="42">
        <v>86426.46049639149</v>
      </c>
      <c r="S21" s="6">
        <v>1347.3914846893797</v>
      </c>
      <c r="T21" s="42">
        <v>954.13368293793394</v>
      </c>
      <c r="U21" s="6">
        <v>0</v>
      </c>
      <c r="V21" s="42">
        <v>0</v>
      </c>
      <c r="W21" s="6">
        <v>0</v>
      </c>
      <c r="X21" s="42">
        <v>0</v>
      </c>
    </row>
    <row r="22" spans="1:24">
      <c r="A22" t="s">
        <v>41</v>
      </c>
      <c r="B22" s="47">
        <f>(11800*B17+44400*1702+96000*2858281)/(B17+1702+2858281)</f>
        <v>53897.172393579589</v>
      </c>
      <c r="C22" s="47"/>
      <c r="D22">
        <v>50000</v>
      </c>
      <c r="E22">
        <f>E20</f>
        <v>25000</v>
      </c>
      <c r="F22">
        <f>F20</f>
        <v>58428.749587197526</v>
      </c>
      <c r="H22" t="s">
        <v>155</v>
      </c>
      <c r="I22" s="6">
        <v>262101.48871328257</v>
      </c>
      <c r="J22" s="42">
        <v>11798.526229932957</v>
      </c>
      <c r="K22" s="6">
        <v>407170.21610996046</v>
      </c>
      <c r="L22" s="42">
        <v>28998.536093459767</v>
      </c>
      <c r="M22" s="6">
        <v>6223.9972815333149</v>
      </c>
      <c r="N22" s="42">
        <v>93.299351525193202</v>
      </c>
      <c r="O22" s="6">
        <v>0</v>
      </c>
      <c r="P22" s="42">
        <v>0</v>
      </c>
      <c r="Q22" s="6">
        <v>246.67250903831379</v>
      </c>
      <c r="R22" s="42">
        <v>248.06651111404307</v>
      </c>
      <c r="S22" s="6">
        <v>0</v>
      </c>
      <c r="T22" s="42">
        <v>0</v>
      </c>
      <c r="U22" s="6">
        <v>0</v>
      </c>
      <c r="V22" s="42">
        <v>0</v>
      </c>
      <c r="W22" s="6">
        <v>0</v>
      </c>
      <c r="X22" s="42">
        <v>0</v>
      </c>
    </row>
    <row r="23" spans="1:24">
      <c r="A23" t="s">
        <v>42</v>
      </c>
      <c r="B23" s="47">
        <f>B22/converter!$D$2/2.95</f>
        <v>11352.903703490325</v>
      </c>
      <c r="C23" s="47"/>
      <c r="D23">
        <f>D22/converter!$D$2</f>
        <v>31069.409059839683</v>
      </c>
      <c r="E23">
        <f>E22/converter!$D$2</f>
        <v>15534.704529919842</v>
      </c>
      <c r="F23">
        <f>F22/converter!$D$2</f>
        <v>36306.934435591582</v>
      </c>
      <c r="H23" t="s">
        <v>156</v>
      </c>
      <c r="I23" s="6">
        <v>75554.380396783235</v>
      </c>
      <c r="J23" s="42">
        <v>5684.8316325315554</v>
      </c>
      <c r="K23" s="6">
        <v>758715.48977083596</v>
      </c>
      <c r="L23" s="42">
        <v>53795.088539914148</v>
      </c>
      <c r="M23" s="6">
        <v>70979.911136000985</v>
      </c>
      <c r="N23" s="42">
        <v>1101.1218449040482</v>
      </c>
      <c r="O23" s="6">
        <v>114.8828529050945</v>
      </c>
      <c r="P23" s="42">
        <v>5.1574793672320753</v>
      </c>
      <c r="Q23" s="6">
        <v>12688.172865295992</v>
      </c>
      <c r="R23" s="42">
        <v>5005.3337258987294</v>
      </c>
      <c r="S23" s="6">
        <v>725.03844944548507</v>
      </c>
      <c r="T23" s="42">
        <v>562.16525102829621</v>
      </c>
      <c r="U23" s="6">
        <v>6.3823807169496929</v>
      </c>
      <c r="V23" s="42">
        <v>0</v>
      </c>
      <c r="W23" s="6">
        <v>0</v>
      </c>
      <c r="X23" s="42">
        <v>0</v>
      </c>
    </row>
    <row r="24" spans="1:24">
      <c r="H24" t="s">
        <v>157</v>
      </c>
      <c r="I24" s="6">
        <v>7715647.1048477273</v>
      </c>
      <c r="J24" s="42">
        <v>1163639.2761537712</v>
      </c>
      <c r="K24" s="6">
        <v>11001245.171946557</v>
      </c>
      <c r="L24" s="42">
        <v>1127332.5174063188</v>
      </c>
      <c r="M24" s="6">
        <v>146358.69042895696</v>
      </c>
      <c r="N24" s="42">
        <v>35151.051968430264</v>
      </c>
      <c r="O24" s="6">
        <v>106.03797138383194</v>
      </c>
      <c r="P24" s="42">
        <v>104.96688076379323</v>
      </c>
      <c r="Q24" s="6">
        <v>62983.341730136061</v>
      </c>
      <c r="R24" s="42">
        <v>19423.157303781903</v>
      </c>
      <c r="S24" s="6">
        <v>0</v>
      </c>
      <c r="T24" s="42">
        <v>0</v>
      </c>
      <c r="U24" s="6">
        <v>0</v>
      </c>
      <c r="V24" s="42">
        <v>0</v>
      </c>
      <c r="W24" s="6">
        <v>0</v>
      </c>
      <c r="X24" s="42">
        <v>0</v>
      </c>
    </row>
    <row r="25" spans="1:24">
      <c r="H25" t="s">
        <v>158</v>
      </c>
      <c r="I25" s="6">
        <v>9030.7627098073899</v>
      </c>
      <c r="J25" s="42">
        <v>29.654263802499546</v>
      </c>
      <c r="K25" s="6">
        <v>1098475.4350233979</v>
      </c>
      <c r="L25" s="42">
        <v>83252.36867459731</v>
      </c>
      <c r="M25" s="6">
        <v>1575.6990766550152</v>
      </c>
      <c r="N25" s="42">
        <v>215.48765029816337</v>
      </c>
      <c r="O25" s="6">
        <v>0</v>
      </c>
      <c r="P25" s="42">
        <v>0</v>
      </c>
      <c r="Q25" s="6">
        <v>1871.1840459377215</v>
      </c>
      <c r="R25" s="42">
        <v>887.65096315481969</v>
      </c>
      <c r="S25" s="6">
        <v>2390.1336624814635</v>
      </c>
      <c r="T25" s="42">
        <v>1990.7895766078029</v>
      </c>
      <c r="U25" s="6">
        <v>0</v>
      </c>
      <c r="V25" s="42">
        <v>0</v>
      </c>
      <c r="W25" s="6">
        <v>0</v>
      </c>
      <c r="X25" s="42">
        <v>0</v>
      </c>
    </row>
    <row r="26" spans="1:24">
      <c r="H26" t="s">
        <v>159</v>
      </c>
      <c r="I26" s="6">
        <v>34095.052238180331</v>
      </c>
      <c r="J26" s="42">
        <v>0</v>
      </c>
      <c r="K26" s="6">
        <v>7037095.2327644899</v>
      </c>
      <c r="L26" s="42">
        <v>1211734.8571893964</v>
      </c>
      <c r="M26" s="6">
        <v>311949.39093249157</v>
      </c>
      <c r="N26" s="42">
        <v>132946.23824651662</v>
      </c>
      <c r="O26" s="6">
        <v>2.2237179455635459</v>
      </c>
      <c r="P26" s="42">
        <v>0</v>
      </c>
      <c r="Q26" s="6">
        <v>6356.4977473933941</v>
      </c>
      <c r="R26" s="42">
        <v>5804.5915857390719</v>
      </c>
      <c r="S26" s="6">
        <v>0</v>
      </c>
      <c r="T26" s="42">
        <v>0</v>
      </c>
      <c r="U26" s="6">
        <v>14.454166646163049</v>
      </c>
      <c r="V26" s="42">
        <v>0</v>
      </c>
      <c r="W26" s="6">
        <v>0</v>
      </c>
      <c r="X26" s="42">
        <v>0</v>
      </c>
    </row>
  </sheetData>
  <mergeCells count="10">
    <mergeCell ref="B22:C22"/>
    <mergeCell ref="B23:C23"/>
    <mergeCell ref="C19:D19"/>
    <mergeCell ref="E19:F19"/>
    <mergeCell ref="B15:C15"/>
    <mergeCell ref="D15:D16"/>
    <mergeCell ref="E15:E16"/>
    <mergeCell ref="F15:F16"/>
    <mergeCell ref="C21:D21"/>
    <mergeCell ref="E21:F21"/>
  </mergeCells>
  <phoneticPr fontId="42" type="noConversion"/>
  <hyperlinks>
    <hyperlink ref="G2" r:id="rId1" xr:uid="{B5F31804-759C-4FF2-ABBA-8D0A267F9D99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K31"/>
  <sheetViews>
    <sheetView topLeftCell="A9" workbookViewId="0">
      <selection activeCell="F26" sqref="F26"/>
    </sheetView>
  </sheetViews>
  <sheetFormatPr defaultRowHeight="12.9"/>
  <cols>
    <col min="1" max="1" width="14.625" customWidth="1"/>
    <col min="2" max="2" width="37" customWidth="1"/>
    <col min="3" max="3" width="20.375" customWidth="1"/>
    <col min="4" max="6" width="13.5" customWidth="1"/>
  </cols>
  <sheetData>
    <row r="1" spans="1:9">
      <c r="B1" t="s">
        <v>35</v>
      </c>
    </row>
    <row r="2" spans="1:9">
      <c r="A2">
        <v>2016</v>
      </c>
      <c r="B2">
        <v>123991.9</v>
      </c>
      <c r="D2" t="s">
        <v>45</v>
      </c>
    </row>
    <row r="3" spans="1:9">
      <c r="B3">
        <f>B2/converter!D2</f>
        <v>77047.10122413472</v>
      </c>
      <c r="E3" t="s">
        <v>43</v>
      </c>
      <c r="F3" t="s">
        <v>44</v>
      </c>
    </row>
    <row r="4" spans="1:9">
      <c r="D4" t="s">
        <v>46</v>
      </c>
      <c r="E4" s="8">
        <v>715.54</v>
      </c>
      <c r="F4" s="8">
        <v>4000</v>
      </c>
    </row>
    <row r="5" spans="1:9">
      <c r="D5" t="s">
        <v>47</v>
      </c>
      <c r="E5">
        <v>76754</v>
      </c>
      <c r="F5">
        <v>877046</v>
      </c>
    </row>
    <row r="6" spans="1:9">
      <c r="D6" t="s">
        <v>48</v>
      </c>
      <c r="E6" s="8">
        <v>14706.6</v>
      </c>
      <c r="F6" s="8">
        <v>30182</v>
      </c>
      <c r="I6" t="s">
        <v>74</v>
      </c>
    </row>
    <row r="8" spans="1:9">
      <c r="D8" t="s">
        <v>49</v>
      </c>
      <c r="E8">
        <f>E6/E5/E4*10^8</f>
        <v>26777.951208971313</v>
      </c>
      <c r="F8">
        <f>F6/F5/F4*10^8</f>
        <v>860.33115708868172</v>
      </c>
    </row>
    <row r="9" spans="1:9">
      <c r="D9" t="s">
        <v>42</v>
      </c>
      <c r="E9">
        <f>E8/converter!$D$2</f>
        <v>16639.502397919165</v>
      </c>
      <c r="F9">
        <f>F8/converter!$D$2</f>
        <v>534.5996129302689</v>
      </c>
    </row>
    <row r="18" spans="2:11">
      <c r="C18" t="s">
        <v>169</v>
      </c>
      <c r="D18">
        <v>21700</v>
      </c>
      <c r="E18">
        <v>21800</v>
      </c>
      <c r="F18">
        <v>22000</v>
      </c>
      <c r="G18">
        <v>22100</v>
      </c>
      <c r="H18">
        <v>22400</v>
      </c>
      <c r="I18">
        <f>7800+14700</f>
        <v>22500</v>
      </c>
    </row>
    <row r="19" spans="2:11">
      <c r="C19" t="s">
        <v>170</v>
      </c>
      <c r="D19">
        <v>76000</v>
      </c>
      <c r="E19">
        <v>76000</v>
      </c>
      <c r="F19">
        <v>78000</v>
      </c>
      <c r="G19">
        <v>77000</v>
      </c>
      <c r="H19">
        <v>78000</v>
      </c>
      <c r="I19">
        <v>81000</v>
      </c>
    </row>
    <row r="20" spans="2:11">
      <c r="C20" t="s">
        <v>171</v>
      </c>
      <c r="D20">
        <v>878000</v>
      </c>
      <c r="E20">
        <v>912000</v>
      </c>
      <c r="F20">
        <v>966000</v>
      </c>
      <c r="G20">
        <v>997000</v>
      </c>
      <c r="H20">
        <v>1007000</v>
      </c>
      <c r="I20">
        <v>1019000</v>
      </c>
    </row>
    <row r="21" spans="2:11">
      <c r="D21">
        <v>2019</v>
      </c>
      <c r="E21">
        <v>2020</v>
      </c>
      <c r="F21">
        <v>2021</v>
      </c>
      <c r="G21">
        <v>2022</v>
      </c>
      <c r="H21">
        <v>2023</v>
      </c>
      <c r="I21">
        <v>2024</v>
      </c>
    </row>
    <row r="22" spans="2:11">
      <c r="B22" t="s">
        <v>163</v>
      </c>
      <c r="C22" t="s">
        <v>168</v>
      </c>
      <c r="D22">
        <f>D19+D18*D19/(D19+D20)</f>
        <v>77728.721174004197</v>
      </c>
      <c r="E22">
        <f>E19+E18*E19/(E19+E20)</f>
        <v>77676.923076923078</v>
      </c>
      <c r="F22">
        <f t="shared" ref="F22:I22" si="0">F19+F18*F19/(F19+F20)</f>
        <v>79643.678160919546</v>
      </c>
      <c r="G22">
        <f t="shared" si="0"/>
        <v>78584.45065176909</v>
      </c>
      <c r="H22">
        <f t="shared" si="0"/>
        <v>79610.322580645166</v>
      </c>
      <c r="I22">
        <f t="shared" si="0"/>
        <v>82656.818181818177</v>
      </c>
    </row>
    <row r="23" spans="2:11">
      <c r="C23" t="s">
        <v>162</v>
      </c>
      <c r="D23">
        <v>14706.6</v>
      </c>
      <c r="E23">
        <v>8266.2000000000007</v>
      </c>
      <c r="F23">
        <v>9567.7999999999993</v>
      </c>
      <c r="G23">
        <v>6577.5</v>
      </c>
      <c r="H23">
        <v>14729.4</v>
      </c>
      <c r="I23">
        <v>15799.1</v>
      </c>
    </row>
    <row r="24" spans="2:11">
      <c r="C24" t="s">
        <v>164</v>
      </c>
      <c r="D24">
        <f>D23*10^8/D22/$E$4</f>
        <v>26442.154663683945</v>
      </c>
      <c r="E24">
        <f t="shared" ref="E24:I24" si="1">E23*10^8/E22/$E$4</f>
        <v>14872.363037220844</v>
      </c>
      <c r="F24">
        <f t="shared" si="1"/>
        <v>16789.078631927241</v>
      </c>
      <c r="G24">
        <f t="shared" si="1"/>
        <v>11697.426326362638</v>
      </c>
      <c r="H24">
        <f t="shared" si="1"/>
        <v>25857.215559973622</v>
      </c>
      <c r="I24">
        <f t="shared" si="1"/>
        <v>26712.820627048746</v>
      </c>
      <c r="J24">
        <f>J25*K25</f>
        <v>1.6714855159715003</v>
      </c>
    </row>
    <row r="25" spans="2:11">
      <c r="C25" s="44" t="s">
        <v>42</v>
      </c>
      <c r="D25" s="44">
        <f>D24/converter!$D$2</f>
        <v>16430.842393390882</v>
      </c>
      <c r="E25" s="44">
        <f>E24/converter!$D$2*$J$25</f>
        <v>16430.860300226996</v>
      </c>
      <c r="F25" s="44">
        <f>F24/converter!$D$2*$J$25</f>
        <v>18548.431401273247</v>
      </c>
      <c r="G25" s="44">
        <f>G24/converter!$D$2*$J$25</f>
        <v>12923.217202246135</v>
      </c>
      <c r="H25" s="44">
        <f>H24/converter!$D$2*$J$25</f>
        <v>28566.832019599085</v>
      </c>
      <c r="I25" s="44">
        <f>I24/converter!$D$2*$J$25</f>
        <v>29512.097226889557</v>
      </c>
      <c r="J25">
        <v>1.7779409643900461</v>
      </c>
      <c r="K25">
        <v>0.94012430640234035</v>
      </c>
    </row>
    <row r="26" spans="2:11">
      <c r="C26" s="44" t="s">
        <v>167</v>
      </c>
      <c r="D26" s="44">
        <f>D23/$D$23</f>
        <v>1</v>
      </c>
      <c r="E26" s="44">
        <f>E23/$D$23</f>
        <v>0.56207417078046595</v>
      </c>
      <c r="F26" s="44">
        <f t="shared" ref="F26:I26" si="2">F23/$D$23</f>
        <v>0.65057865176179397</v>
      </c>
      <c r="G26" s="44">
        <f t="shared" si="2"/>
        <v>0.44724817428909469</v>
      </c>
      <c r="H26" s="44">
        <f t="shared" si="2"/>
        <v>1.0015503243441719</v>
      </c>
      <c r="I26" s="44">
        <f t="shared" si="2"/>
        <v>1.0742863748249085</v>
      </c>
    </row>
    <row r="27" spans="2:11">
      <c r="B27" t="s">
        <v>165</v>
      </c>
      <c r="C27" t="s">
        <v>172</v>
      </c>
      <c r="D27">
        <f>D20+D18*D20/(D19+D20)</f>
        <v>897971.27882599586</v>
      </c>
      <c r="E27">
        <f>E20+E18*E20/(E19+E20)</f>
        <v>932123.07692307688</v>
      </c>
      <c r="F27">
        <f t="shared" ref="F27:I27" si="3">F20+F18*F20/(F19+F20)</f>
        <v>986356.32183908042</v>
      </c>
      <c r="G27">
        <f t="shared" si="3"/>
        <v>1017515.5493482309</v>
      </c>
      <c r="H27">
        <f t="shared" si="3"/>
        <v>1027789.6774193548</v>
      </c>
      <c r="I27">
        <f t="shared" si="3"/>
        <v>1039843.1818181818</v>
      </c>
    </row>
    <row r="28" spans="2:11">
      <c r="C28" t="s">
        <v>162</v>
      </c>
      <c r="D28">
        <v>30182</v>
      </c>
      <c r="E28">
        <v>30514.5</v>
      </c>
      <c r="F28">
        <v>33238</v>
      </c>
      <c r="G28">
        <v>35945.699999999997</v>
      </c>
      <c r="H28">
        <v>36460.400000000001</v>
      </c>
      <c r="I28">
        <v>35861.9</v>
      </c>
    </row>
    <row r="29" spans="2:11">
      <c r="C29" t="s">
        <v>164</v>
      </c>
      <c r="D29">
        <f>D28*10^8/D27/$F$4</f>
        <v>840.2829999045133</v>
      </c>
      <c r="E29">
        <f t="shared" ref="E29:I29" si="4">E28*10^8/E27/$F$4</f>
        <v>818.41391859774217</v>
      </c>
      <c r="F29">
        <f t="shared" si="4"/>
        <v>842.44403528602902</v>
      </c>
      <c r="G29">
        <f t="shared" si="4"/>
        <v>883.17323560865952</v>
      </c>
      <c r="H29">
        <f t="shared" si="4"/>
        <v>886.86432645313403</v>
      </c>
      <c r="I29">
        <f t="shared" si="4"/>
        <v>862.19491138305386</v>
      </c>
      <c r="J29">
        <v>0.87166617226265275</v>
      </c>
      <c r="K29">
        <f>J29*J30</f>
        <v>0.89551300438741477</v>
      </c>
    </row>
    <row r="30" spans="2:11">
      <c r="C30" s="44" t="s">
        <v>42</v>
      </c>
      <c r="D30" s="44">
        <f>D29/converter!$D$2</f>
        <v>522.14192500125102</v>
      </c>
      <c r="E30" s="44">
        <f>E29/converter!$D$2*$J$30</f>
        <v>522.46559899225224</v>
      </c>
      <c r="F30" s="44">
        <f>F29/converter!$D$2*$J$30</f>
        <v>537.80613637083309</v>
      </c>
      <c r="G30" s="44">
        <f>G29/converter!$D$2*$J$30</f>
        <v>563.80716782872753</v>
      </c>
      <c r="H30" s="44">
        <f>H29/converter!$D$2*$J$30</f>
        <v>566.16351581496099</v>
      </c>
      <c r="I30" s="44">
        <f>I29/converter!$D$2*$J$30</f>
        <v>550.41485804107867</v>
      </c>
      <c r="J30">
        <v>1.0273577579164979</v>
      </c>
    </row>
    <row r="31" spans="2:11">
      <c r="C31" s="44" t="s">
        <v>167</v>
      </c>
      <c r="D31" s="44">
        <f>D28/$D$28</f>
        <v>1</v>
      </c>
      <c r="E31" s="44">
        <f t="shared" ref="E31:I31" si="5">E28/$D$28</f>
        <v>1.011016499900603</v>
      </c>
      <c r="F31" s="44">
        <f t="shared" si="5"/>
        <v>1.1012524020939634</v>
      </c>
      <c r="G31" s="44">
        <f t="shared" si="5"/>
        <v>1.1909648134649791</v>
      </c>
      <c r="H31" s="44">
        <f t="shared" si="5"/>
        <v>1.2080180239878073</v>
      </c>
      <c r="I31" s="44">
        <f t="shared" si="5"/>
        <v>1.1881883241667219</v>
      </c>
    </row>
  </sheetData>
  <phoneticPr fontId="4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C2:M33"/>
  <sheetViews>
    <sheetView topLeftCell="A19" workbookViewId="0">
      <selection activeCell="F27" sqref="F27"/>
    </sheetView>
  </sheetViews>
  <sheetFormatPr defaultRowHeight="12.9"/>
  <cols>
    <col min="6" max="6" width="19.5" customWidth="1"/>
    <col min="7" max="7" width="15.5" customWidth="1"/>
    <col min="8" max="8" width="29.875" customWidth="1"/>
  </cols>
  <sheetData>
    <row r="2" spans="6:13">
      <c r="I2" s="17"/>
    </row>
    <row r="3" spans="6:13">
      <c r="H3" s="18"/>
      <c r="I3" s="17"/>
    </row>
    <row r="6" spans="6:13">
      <c r="F6" t="s">
        <v>82</v>
      </c>
    </row>
    <row r="7" spans="6:13">
      <c r="G7" t="s">
        <v>43</v>
      </c>
      <c r="H7" t="s">
        <v>44</v>
      </c>
    </row>
    <row r="8" spans="6:13">
      <c r="F8" t="s">
        <v>46</v>
      </c>
      <c r="G8" s="45">
        <v>239.70073166222036</v>
      </c>
      <c r="H8">
        <v>29.511670253269312</v>
      </c>
    </row>
    <row r="9" spans="6:13">
      <c r="F9" t="s">
        <v>47</v>
      </c>
      <c r="G9">
        <v>3645</v>
      </c>
      <c r="H9">
        <v>173</v>
      </c>
    </row>
    <row r="10" spans="6:13">
      <c r="F10" t="s">
        <v>48</v>
      </c>
      <c r="G10" s="8">
        <v>11705.3</v>
      </c>
      <c r="H10" s="8">
        <v>263.2</v>
      </c>
      <c r="I10" t="s">
        <v>50</v>
      </c>
      <c r="M10" s="3" t="s">
        <v>81</v>
      </c>
    </row>
    <row r="12" spans="6:13">
      <c r="F12" t="s">
        <v>49</v>
      </c>
      <c r="G12">
        <f>G10/G9/G8*10^8</f>
        <v>1339724.9843919652</v>
      </c>
      <c r="H12">
        <f>H10/H9/H8*10^8</f>
        <v>5155205.6192700732</v>
      </c>
    </row>
    <row r="13" spans="6:13">
      <c r="F13" t="s">
        <v>42</v>
      </c>
      <c r="G13">
        <f>G12/converter!$D$2</f>
        <v>832489.27135522605</v>
      </c>
      <c r="H13">
        <f>H12/converter!$D$2</f>
        <v>3203383.8434537211</v>
      </c>
    </row>
    <row r="22" spans="3:11">
      <c r="F22">
        <v>1.8912417621455959</v>
      </c>
      <c r="G22">
        <v>1.1780617896301924</v>
      </c>
    </row>
    <row r="23" spans="3:11">
      <c r="E23">
        <v>2019</v>
      </c>
      <c r="F23">
        <v>2020</v>
      </c>
      <c r="G23">
        <v>2021</v>
      </c>
      <c r="H23">
        <v>2022</v>
      </c>
      <c r="I23">
        <v>2023</v>
      </c>
      <c r="J23">
        <v>2024</v>
      </c>
    </row>
    <row r="24" spans="3:11">
      <c r="C24" t="s">
        <v>163</v>
      </c>
      <c r="D24" t="s">
        <v>161</v>
      </c>
      <c r="E24">
        <v>3645</v>
      </c>
      <c r="F24">
        <v>3717</v>
      </c>
      <c r="G24">
        <v>3856</v>
      </c>
      <c r="H24">
        <v>3942</v>
      </c>
      <c r="I24">
        <v>4013</v>
      </c>
      <c r="J24">
        <v>4126</v>
      </c>
      <c r="K24" t="s">
        <v>166</v>
      </c>
    </row>
    <row r="25" spans="3:11">
      <c r="D25" t="s">
        <v>162</v>
      </c>
      <c r="E25">
        <v>11705.3</v>
      </c>
      <c r="F25">
        <v>6311.3</v>
      </c>
      <c r="G25">
        <v>6529.7</v>
      </c>
      <c r="H25">
        <v>3913.9</v>
      </c>
      <c r="I25">
        <v>10309</v>
      </c>
      <c r="J25">
        <v>12914.7</v>
      </c>
    </row>
    <row r="26" spans="3:11">
      <c r="D26" t="s">
        <v>164</v>
      </c>
      <c r="E26">
        <f>E25*10^8/E24/$G$8</f>
        <v>1339724.9843919654</v>
      </c>
      <c r="F26">
        <f>F25*10^8/F24/$G$8</f>
        <v>708364.68814827537</v>
      </c>
      <c r="G26">
        <f t="shared" ref="G26:J26" si="0">G25*10^8/G24/$G$8</f>
        <v>706458.80707901006</v>
      </c>
      <c r="H26">
        <f t="shared" si="0"/>
        <v>414213.01965868712</v>
      </c>
      <c r="I26">
        <f t="shared" si="0"/>
        <v>1071711.8190267321</v>
      </c>
      <c r="J26">
        <f t="shared" si="0"/>
        <v>1305827.2852361202</v>
      </c>
    </row>
    <row r="27" spans="3:11">
      <c r="D27" s="44" t="s">
        <v>42</v>
      </c>
      <c r="E27" s="44">
        <f>E26/converter!$D$2</f>
        <v>832489.27135522617</v>
      </c>
      <c r="F27" s="44">
        <f>(F26/converter!$D$2)*1.8912417621456</f>
        <v>832466.83716849552</v>
      </c>
      <c r="G27" s="44">
        <f>(G26/converter!$D$2)*1.8912417621456</f>
        <v>830227.05473397288</v>
      </c>
      <c r="H27" s="44">
        <f>(H26/converter!$D$2)*1.8912417621456</f>
        <v>486781.18511336844</v>
      </c>
      <c r="I27" s="44">
        <f>(I26/converter!$D$2)*1.8912417621456</f>
        <v>1259470.6699362323</v>
      </c>
      <c r="J27" s="44">
        <f>J26/converter!$D$2</f>
        <v>811425.64173001947</v>
      </c>
    </row>
    <row r="28" spans="3:11">
      <c r="D28" s="44" t="s">
        <v>167</v>
      </c>
      <c r="E28" s="44">
        <f>E26/$E$26</f>
        <v>1</v>
      </c>
      <c r="F28" s="44">
        <f t="shared" ref="F28:J28" si="1">F26/$E$26</f>
        <v>0.52873888029323191</v>
      </c>
      <c r="G28" s="44">
        <f t="shared" si="1"/>
        <v>0.52731628902153871</v>
      </c>
      <c r="H28" s="44">
        <f t="shared" si="1"/>
        <v>0.30917764801309411</v>
      </c>
      <c r="I28" s="44">
        <f t="shared" si="1"/>
        <v>0.79994911755200926</v>
      </c>
      <c r="J28" s="44">
        <f t="shared" si="1"/>
        <v>0.97469801671928236</v>
      </c>
    </row>
    <row r="29" spans="3:11">
      <c r="C29" t="s">
        <v>165</v>
      </c>
      <c r="D29" t="s">
        <v>161</v>
      </c>
      <c r="E29">
        <v>173</v>
      </c>
      <c r="F29">
        <v>186</v>
      </c>
      <c r="G29">
        <v>198</v>
      </c>
      <c r="H29">
        <v>223</v>
      </c>
      <c r="I29">
        <v>257</v>
      </c>
      <c r="J29">
        <v>268</v>
      </c>
    </row>
    <row r="30" spans="3:11">
      <c r="D30" t="s">
        <v>162</v>
      </c>
      <c r="E30">
        <v>263.2</v>
      </c>
      <c r="F30">
        <v>240.2</v>
      </c>
      <c r="G30">
        <v>278.16000000000003</v>
      </c>
      <c r="H30">
        <v>254.1</v>
      </c>
      <c r="I30">
        <v>283.62</v>
      </c>
      <c r="J30">
        <v>353.89</v>
      </c>
    </row>
    <row r="31" spans="3:11">
      <c r="D31" t="s">
        <v>164</v>
      </c>
      <c r="E31">
        <f>E30*10^8/E29/$H$8</f>
        <v>5155205.6192700732</v>
      </c>
      <c r="F31">
        <f>F30*10^8/F29/$H$8</f>
        <v>4375888.7192069525</v>
      </c>
      <c r="G31">
        <f t="shared" ref="G31:J31" si="2">G30*10^8/G29/$H$8</f>
        <v>4760315.0644882778</v>
      </c>
      <c r="H31">
        <f t="shared" si="2"/>
        <v>3861055.2152053872</v>
      </c>
      <c r="I31">
        <f t="shared" si="2"/>
        <v>3739469.0204452593</v>
      </c>
      <c r="J31">
        <f t="shared" si="2"/>
        <v>4474450.4912614422</v>
      </c>
    </row>
    <row r="32" spans="3:11">
      <c r="D32" s="44" t="s">
        <v>42</v>
      </c>
      <c r="E32" s="44">
        <f>E31/converter!$D$2</f>
        <v>3203383.8434537211</v>
      </c>
      <c r="F32" s="44">
        <f>(F31/converter!$D$2)*1.17806178963019</f>
        <v>3203297.8908665339</v>
      </c>
      <c r="G32" s="44">
        <f>(G31/converter!$D$2)*1.17806178963019</f>
        <v>3484710.9203222673</v>
      </c>
      <c r="H32" s="44">
        <f>(H31/converter!$D$2)*1.17806178963019</f>
        <v>2826422.4300539652</v>
      </c>
      <c r="I32" s="44">
        <f>(I31/converter!$D$2)*1.17806178963019</f>
        <v>2737417.24134245</v>
      </c>
      <c r="J32" s="44">
        <f>(J31/converter!$D$2)*1.17806178963019</f>
        <v>3275448.4268608387</v>
      </c>
    </row>
    <row r="33" spans="4:10">
      <c r="D33" s="44" t="s">
        <v>167</v>
      </c>
      <c r="E33" s="44">
        <f>E30/$E$30</f>
        <v>1</v>
      </c>
      <c r="F33" s="44">
        <f t="shared" ref="F33:J33" si="3">F30/$E$30</f>
        <v>0.91261398176291797</v>
      </c>
      <c r="G33" s="44">
        <f t="shared" si="3"/>
        <v>1.0568389057750762</v>
      </c>
      <c r="H33" s="44">
        <f t="shared" si="3"/>
        <v>0.96542553191489366</v>
      </c>
      <c r="I33" s="44">
        <f t="shared" si="3"/>
        <v>1.0775835866261398</v>
      </c>
      <c r="J33" s="44">
        <f t="shared" si="3"/>
        <v>1.3445668693009118</v>
      </c>
    </row>
  </sheetData>
  <phoneticPr fontId="42" type="noConversion"/>
  <hyperlinks>
    <hyperlink ref="M10" r:id="rId1" xr:uid="{F51FF4A7-41F4-46C5-AD96-AACA8A7BD862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2:L31"/>
  <sheetViews>
    <sheetView topLeftCell="A6" workbookViewId="0">
      <selection activeCell="J30" sqref="J30"/>
    </sheetView>
  </sheetViews>
  <sheetFormatPr defaultRowHeight="12.9"/>
  <cols>
    <col min="1" max="2" width="10.5" bestFit="1" customWidth="1"/>
    <col min="4" max="4" width="12.625" bestFit="1" customWidth="1"/>
    <col min="6" max="6" width="21.5" bestFit="1" customWidth="1"/>
  </cols>
  <sheetData>
    <row r="2" spans="1:12">
      <c r="B2" s="8"/>
      <c r="D2" s="6"/>
      <c r="L2" t="s">
        <v>75</v>
      </c>
    </row>
    <row r="3" spans="1:12">
      <c r="B3" s="8"/>
      <c r="F3" s="6"/>
      <c r="L3" t="s">
        <v>76</v>
      </c>
    </row>
    <row r="13" spans="1:12">
      <c r="A13" t="s">
        <v>5</v>
      </c>
      <c r="B13" t="s">
        <v>36</v>
      </c>
      <c r="D13" t="s">
        <v>77</v>
      </c>
      <c r="F13" t="s">
        <v>78</v>
      </c>
      <c r="I13" t="s">
        <v>41</v>
      </c>
      <c r="J13" t="s">
        <v>42</v>
      </c>
    </row>
    <row r="14" spans="1:12">
      <c r="A14" t="s">
        <v>9</v>
      </c>
      <c r="B14" s="8">
        <v>80.2</v>
      </c>
      <c r="D14">
        <v>5853</v>
      </c>
      <c r="F14">
        <v>17.53</v>
      </c>
      <c r="H14">
        <f>B14/D14/F14</f>
        <v>7.8165287224780467E-4</v>
      </c>
      <c r="I14">
        <f>H14*10^8</f>
        <v>78165.287224780463</v>
      </c>
      <c r="J14">
        <f>I14/converter!D2</f>
        <v>48570.985661331302</v>
      </c>
    </row>
    <row r="15" spans="1:12">
      <c r="A15" t="s">
        <v>10</v>
      </c>
      <c r="B15" s="8">
        <v>103963</v>
      </c>
      <c r="D15">
        <v>120998</v>
      </c>
      <c r="F15">
        <v>2258</v>
      </c>
      <c r="H15">
        <f>B15/D15/F15</f>
        <v>3.8051928652247632E-4</v>
      </c>
      <c r="I15">
        <f>H15*10^8</f>
        <v>38051.928652247632</v>
      </c>
      <c r="J15">
        <f>I15/converter!D2</f>
        <v>23645.018736250317</v>
      </c>
    </row>
    <row r="20" spans="1:10">
      <c r="C20" t="s">
        <v>173</v>
      </c>
      <c r="D20">
        <f>D22+D27</f>
        <v>131528</v>
      </c>
      <c r="E20">
        <f>11.5*10^4+10352+1499</f>
        <v>126851</v>
      </c>
      <c r="F20">
        <f>11.36*10^4+10891+1402</f>
        <v>125893</v>
      </c>
      <c r="G20">
        <f>10.95*10^4+10997+1387</f>
        <v>121884</v>
      </c>
      <c r="H20">
        <f>10.66*10^4+10672+972</f>
        <v>118244</v>
      </c>
      <c r="I20">
        <f>9.87*10^4+10245+1217</f>
        <v>110161.99999999999</v>
      </c>
      <c r="J20" t="s">
        <v>174</v>
      </c>
    </row>
    <row r="21" spans="1:10">
      <c r="D21">
        <v>2019</v>
      </c>
      <c r="E21">
        <v>2020</v>
      </c>
      <c r="F21">
        <v>2021</v>
      </c>
      <c r="G21">
        <v>2022</v>
      </c>
      <c r="H21">
        <v>2023</v>
      </c>
      <c r="I21">
        <v>2024</v>
      </c>
    </row>
    <row r="22" spans="1:10">
      <c r="A22" s="46">
        <v>17.533087393027898</v>
      </c>
      <c r="B22" t="s">
        <v>163</v>
      </c>
      <c r="C22" t="s">
        <v>168</v>
      </c>
      <c r="D22">
        <v>5853</v>
      </c>
      <c r="E22">
        <f>E20*$D22/$D$20</f>
        <v>5644.873357764126</v>
      </c>
      <c r="F22">
        <f t="shared" ref="F22:I22" si="0">F20*$D22/$D$20</f>
        <v>5602.2423286296453</v>
      </c>
      <c r="G22">
        <f t="shared" si="0"/>
        <v>5423.8417067088376</v>
      </c>
      <c r="H22">
        <f t="shared" si="0"/>
        <v>5261.8615960099751</v>
      </c>
      <c r="I22">
        <f t="shared" si="0"/>
        <v>4902.2123502220047</v>
      </c>
    </row>
    <row r="23" spans="1:10">
      <c r="C23" t="s">
        <v>162</v>
      </c>
      <c r="D23">
        <v>80.2</v>
      </c>
      <c r="E23">
        <v>33</v>
      </c>
      <c r="F23">
        <v>33.1</v>
      </c>
      <c r="G23">
        <v>22.6</v>
      </c>
      <c r="H23">
        <v>53.8</v>
      </c>
      <c r="I23">
        <v>54.7</v>
      </c>
    </row>
    <row r="24" spans="1:10">
      <c r="C24" t="s">
        <v>164</v>
      </c>
      <c r="D24">
        <f>D23*10^8/D22/$A$22</f>
        <v>78151.523136494594</v>
      </c>
      <c r="E24">
        <f t="shared" ref="E24:I24" si="1">E23*10^8/E22/$A$22</f>
        <v>33342.744102506782</v>
      </c>
      <c r="F24">
        <f t="shared" si="1"/>
        <v>33698.277759219913</v>
      </c>
      <c r="G24">
        <f t="shared" si="1"/>
        <v>23765.285464302418</v>
      </c>
      <c r="H24">
        <f t="shared" si="1"/>
        <v>58315.56095344534</v>
      </c>
      <c r="I24">
        <f t="shared" si="1"/>
        <v>63640.972726790169</v>
      </c>
    </row>
    <row r="25" spans="1:10">
      <c r="C25" s="44" t="s">
        <v>42</v>
      </c>
      <c r="D25" s="44">
        <f>D24/converter!$D$2</f>
        <v>48562.432819545516</v>
      </c>
      <c r="E25" s="44">
        <f>E24/converter!$D$2*$J$25</f>
        <v>20718.787113966806</v>
      </c>
      <c r="F25" s="44">
        <f>F24/converter!$D$2*$J$25</f>
        <v>20939.711526266026</v>
      </c>
      <c r="G25" s="44">
        <f>G24/converter!$D$2*$J$25</f>
        <v>14767.467510285478</v>
      </c>
      <c r="H25" s="44">
        <f>H24/converter!$D$2*$J$25</f>
        <v>36236.600356332157</v>
      </c>
      <c r="I25" s="44">
        <f>I24/converter!$D$2*$J$25</f>
        <v>39545.748292294891</v>
      </c>
      <c r="J25">
        <v>1</v>
      </c>
    </row>
    <row r="26" spans="1:10">
      <c r="C26" s="44" t="s">
        <v>167</v>
      </c>
      <c r="D26" s="44">
        <f>D24/$D$24</f>
        <v>1</v>
      </c>
      <c r="E26" s="44">
        <f>E23/$D$23</f>
        <v>0.41147132169576056</v>
      </c>
      <c r="F26" s="44">
        <f t="shared" ref="F26:I26" si="2">F23/$D$23</f>
        <v>0.41271820448877805</v>
      </c>
      <c r="G26" s="44">
        <f t="shared" si="2"/>
        <v>0.28179551122194513</v>
      </c>
      <c r="H26" s="44">
        <f t="shared" si="2"/>
        <v>0.67082294264339148</v>
      </c>
      <c r="I26" s="44">
        <f t="shared" si="2"/>
        <v>0.68204488778054861</v>
      </c>
    </row>
    <row r="27" spans="1:10">
      <c r="A27">
        <v>2257.5222609676471</v>
      </c>
      <c r="B27" t="s">
        <v>165</v>
      </c>
      <c r="C27" t="s">
        <v>172</v>
      </c>
      <c r="D27">
        <v>125675</v>
      </c>
      <c r="E27">
        <f>E20*$D27/$D$20</f>
        <v>121206.12664223587</v>
      </c>
      <c r="F27">
        <f t="shared" ref="F27:I27" si="3">F20*$D27/$D$20</f>
        <v>120290.75767137036</v>
      </c>
      <c r="G27">
        <f t="shared" si="3"/>
        <v>116460.15829329116</v>
      </c>
      <c r="H27">
        <f t="shared" si="3"/>
        <v>112982.13840399003</v>
      </c>
      <c r="I27">
        <f t="shared" si="3"/>
        <v>105259.78764977798</v>
      </c>
    </row>
    <row r="28" spans="1:10">
      <c r="C28" t="s">
        <v>162</v>
      </c>
      <c r="D28">
        <v>103963</v>
      </c>
      <c r="E28">
        <v>105834.4</v>
      </c>
      <c r="F28">
        <v>115577.5</v>
      </c>
      <c r="G28">
        <v>121003.1</v>
      </c>
      <c r="H28">
        <v>129951.5</v>
      </c>
      <c r="I28">
        <v>141422.9</v>
      </c>
    </row>
    <row r="29" spans="1:10">
      <c r="C29" t="s">
        <v>164</v>
      </c>
      <c r="D29">
        <f>D28*10^8/D27/$A$27</f>
        <v>36643.577559852056</v>
      </c>
      <c r="E29">
        <f t="shared" ref="E29:I29" si="4">E28*10^8/E27/$A$27</f>
        <v>38678.554725277514</v>
      </c>
      <c r="F29">
        <f t="shared" si="4"/>
        <v>42560.722748314729</v>
      </c>
      <c r="G29">
        <f t="shared" si="4"/>
        <v>46024.288054108634</v>
      </c>
      <c r="H29">
        <f t="shared" si="4"/>
        <v>50949.445875406062</v>
      </c>
      <c r="I29">
        <f t="shared" si="4"/>
        <v>59514.831390512096</v>
      </c>
    </row>
    <row r="30" spans="1:10">
      <c r="C30" s="44" t="s">
        <v>42</v>
      </c>
      <c r="D30" s="44">
        <f>D29/converter!$D$2</f>
        <v>22769.886012460112</v>
      </c>
      <c r="E30" s="44">
        <f>E29/converter!$D$2*$J$30</f>
        <v>22769.630777300627</v>
      </c>
      <c r="F30" s="44">
        <f>F29/converter!$D$2*$J$30</f>
        <v>25055.019492774827</v>
      </c>
      <c r="G30" s="44">
        <f>G29/converter!$D$2*$J$30</f>
        <v>27093.981489833517</v>
      </c>
      <c r="H30" s="44">
        <f>H29/converter!$D$2*$J$30</f>
        <v>29993.366585977961</v>
      </c>
      <c r="I30" s="44">
        <f>I29/converter!$D$2*$J$30</f>
        <v>35035.712842952897</v>
      </c>
      <c r="J30">
        <v>0.94737683634188563</v>
      </c>
    </row>
    <row r="31" spans="1:10">
      <c r="C31" s="44" t="s">
        <v>167</v>
      </c>
      <c r="D31" s="44">
        <f>D28/$D$28</f>
        <v>1</v>
      </c>
      <c r="E31" s="44">
        <f t="shared" ref="E31:I31" si="5">E28/$D$28</f>
        <v>1.0180006348412416</v>
      </c>
      <c r="F31" s="44">
        <f t="shared" si="5"/>
        <v>1.1117176303107836</v>
      </c>
      <c r="G31" s="44">
        <f t="shared" si="5"/>
        <v>1.1639054278926158</v>
      </c>
      <c r="H31" s="44">
        <f t="shared" si="5"/>
        <v>1.2499783576849457</v>
      </c>
      <c r="I31" s="44">
        <f t="shared" si="5"/>
        <v>1.3603195367582697</v>
      </c>
    </row>
  </sheetData>
  <phoneticPr fontId="4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B3"/>
  <sheetViews>
    <sheetView workbookViewId="0">
      <selection activeCell="B3" sqref="B3"/>
    </sheetView>
  </sheetViews>
  <sheetFormatPr defaultRowHeight="12.9"/>
  <sheetData>
    <row r="1" spans="1:2">
      <c r="B1" t="s">
        <v>11</v>
      </c>
    </row>
    <row r="2" spans="1:2">
      <c r="A2" t="s">
        <v>6</v>
      </c>
      <c r="B2">
        <v>6000</v>
      </c>
    </row>
    <row r="3" spans="1:2">
      <c r="B3">
        <f>B2/converter!D2</f>
        <v>3728.3290871807621</v>
      </c>
    </row>
  </sheetData>
  <phoneticPr fontId="4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3"/>
  <sheetViews>
    <sheetView topLeftCell="A10" workbookViewId="0">
      <selection activeCell="F13" sqref="F13"/>
    </sheetView>
  </sheetViews>
  <sheetFormatPr defaultRowHeight="12.9"/>
  <sheetData>
    <row r="1" spans="1:15">
      <c r="A1" t="s">
        <v>53</v>
      </c>
    </row>
    <row r="2" spans="1:15">
      <c r="A2" t="s">
        <v>54</v>
      </c>
    </row>
    <row r="4" spans="1:15">
      <c r="C4" t="s">
        <v>56</v>
      </c>
      <c r="O4" t="s">
        <v>57</v>
      </c>
    </row>
    <row r="5" spans="1:15">
      <c r="A5" t="s">
        <v>55</v>
      </c>
      <c r="C5" t="s">
        <v>58</v>
      </c>
      <c r="G5" t="s">
        <v>59</v>
      </c>
      <c r="J5" t="s">
        <v>60</v>
      </c>
    </row>
    <row r="6" spans="1:15"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  <c r="N6" t="s">
        <v>72</v>
      </c>
    </row>
    <row r="8" spans="1:15">
      <c r="B8">
        <v>2005</v>
      </c>
      <c r="C8">
        <v>18.040499999999994</v>
      </c>
      <c r="D8">
        <v>85.327272727272728</v>
      </c>
      <c r="E8">
        <v>23.452649999999998</v>
      </c>
      <c r="F8">
        <v>23.344014617210149</v>
      </c>
      <c r="G8">
        <v>59.7</v>
      </c>
      <c r="H8">
        <v>37.000000000000007</v>
      </c>
      <c r="I8">
        <v>40.274380587041975</v>
      </c>
      <c r="J8">
        <v>30</v>
      </c>
      <c r="K8">
        <v>30</v>
      </c>
      <c r="L8">
        <v>29.999999999999993</v>
      </c>
      <c r="M8">
        <v>30</v>
      </c>
      <c r="N8">
        <v>30.000000000000004</v>
      </c>
      <c r="O8">
        <v>26.575747968687025</v>
      </c>
    </row>
    <row r="9" spans="1:15">
      <c r="B9">
        <v>2006</v>
      </c>
      <c r="C9">
        <v>17.869500000000002</v>
      </c>
      <c r="D9">
        <v>88.781818181818196</v>
      </c>
      <c r="E9">
        <v>23.230349999999991</v>
      </c>
      <c r="F9">
        <v>22.369999151372319</v>
      </c>
      <c r="G9">
        <v>60.499999999999986</v>
      </c>
      <c r="H9">
        <v>37</v>
      </c>
      <c r="I9">
        <v>40.250820989698788</v>
      </c>
      <c r="J9">
        <v>30.899999999999995</v>
      </c>
      <c r="K9">
        <v>30.900000000000002</v>
      </c>
      <c r="L9">
        <v>29.999999999999996</v>
      </c>
      <c r="M9">
        <v>30</v>
      </c>
      <c r="N9">
        <v>30.52641583811484</v>
      </c>
      <c r="O9">
        <v>25.713417307294705</v>
      </c>
    </row>
    <row r="10" spans="1:15">
      <c r="B10">
        <v>2007</v>
      </c>
      <c r="C10">
        <v>17.5275</v>
      </c>
      <c r="D10">
        <v>92.322727272727263</v>
      </c>
      <c r="E10">
        <v>22.78575</v>
      </c>
      <c r="F10">
        <v>21.52216868686186</v>
      </c>
      <c r="G10">
        <v>61.398205077234273</v>
      </c>
      <c r="H10">
        <v>37</v>
      </c>
      <c r="I10">
        <v>40.56144221922947</v>
      </c>
      <c r="J10">
        <v>22.3</v>
      </c>
      <c r="K10">
        <v>22.3</v>
      </c>
      <c r="L10">
        <v>30.000000000000004</v>
      </c>
      <c r="M10">
        <v>30</v>
      </c>
      <c r="N10">
        <v>25.442665197167969</v>
      </c>
      <c r="O10">
        <v>23.544302223187444</v>
      </c>
    </row>
    <row r="11" spans="1:15">
      <c r="B11">
        <v>2008</v>
      </c>
      <c r="C11">
        <v>17.185499999999998</v>
      </c>
      <c r="D11">
        <v>95.000000000000028</v>
      </c>
      <c r="E11">
        <v>22.341149999999999</v>
      </c>
      <c r="F11">
        <v>20.69724393706101</v>
      </c>
      <c r="G11">
        <v>62.177006325020059</v>
      </c>
      <c r="H11">
        <v>37</v>
      </c>
      <c r="I11">
        <v>40.94238087842038</v>
      </c>
      <c r="J11">
        <v>16.999999999999996</v>
      </c>
      <c r="K11">
        <v>17</v>
      </c>
      <c r="L11">
        <v>29.999999999999996</v>
      </c>
      <c r="M11">
        <v>30.000000000000007</v>
      </c>
      <c r="N11">
        <v>22.201619248470067</v>
      </c>
      <c r="O11">
        <v>22.031666691757675</v>
      </c>
    </row>
    <row r="12" spans="1:15">
      <c r="B12">
        <v>2009</v>
      </c>
      <c r="C12">
        <v>16.928999999999998</v>
      </c>
      <c r="D12">
        <v>99.231685523523169</v>
      </c>
      <c r="E12">
        <v>22.007699999999996</v>
      </c>
      <c r="F12">
        <v>19.877828038282846</v>
      </c>
      <c r="G12">
        <v>62.972469045884921</v>
      </c>
      <c r="H12">
        <v>36.999999999999993</v>
      </c>
      <c r="I12">
        <v>41.215987559399053</v>
      </c>
      <c r="J12">
        <v>14.700000000000001</v>
      </c>
      <c r="K12">
        <v>14.7</v>
      </c>
      <c r="L12">
        <v>30</v>
      </c>
      <c r="M12">
        <v>30.000000000000004</v>
      </c>
      <c r="N12">
        <v>21.153736560726838</v>
      </c>
      <c r="O12">
        <v>21.030245297007035</v>
      </c>
    </row>
    <row r="13" spans="1:15">
      <c r="B13">
        <v>2010</v>
      </c>
      <c r="C13">
        <v>16.309999999999999</v>
      </c>
      <c r="D13">
        <v>99.227706962576619</v>
      </c>
      <c r="E13">
        <v>21.202999999999999</v>
      </c>
      <c r="F13">
        <v>18.728313734841066</v>
      </c>
      <c r="G13">
        <v>61.296411304660573</v>
      </c>
      <c r="H13">
        <v>36.999999999999993</v>
      </c>
      <c r="I13">
        <v>40.891813516121957</v>
      </c>
      <c r="J13">
        <v>12</v>
      </c>
      <c r="K13">
        <v>11.999999999999998</v>
      </c>
      <c r="L13">
        <v>29.999999999999996</v>
      </c>
      <c r="M13">
        <v>30</v>
      </c>
      <c r="N13">
        <v>19.487633373450922</v>
      </c>
      <c r="O13">
        <v>19.638908731123362</v>
      </c>
    </row>
    <row r="14" spans="1:15">
      <c r="B14">
        <v>2011</v>
      </c>
      <c r="C14">
        <v>15.428000000000003</v>
      </c>
      <c r="D14">
        <v>98.218899393362918</v>
      </c>
      <c r="E14">
        <v>19.508999999999993</v>
      </c>
      <c r="F14">
        <v>17.397418460792103</v>
      </c>
      <c r="G14">
        <v>59.266165930870748</v>
      </c>
      <c r="H14">
        <v>37</v>
      </c>
      <c r="I14">
        <v>40.684330550034424</v>
      </c>
      <c r="J14">
        <v>13.000000000000002</v>
      </c>
      <c r="K14">
        <v>13</v>
      </c>
      <c r="L14">
        <v>32</v>
      </c>
      <c r="M14">
        <v>32</v>
      </c>
      <c r="N14">
        <v>20.740095083529184</v>
      </c>
      <c r="O14">
        <v>18.730858459436604</v>
      </c>
    </row>
    <row r="15" spans="1:15">
      <c r="B15">
        <v>2012</v>
      </c>
      <c r="C15">
        <v>14.546000000000003</v>
      </c>
      <c r="D15">
        <v>98.396831529730918</v>
      </c>
      <c r="E15">
        <v>17.815000000000001</v>
      </c>
      <c r="F15">
        <v>16.169626537738864</v>
      </c>
      <c r="G15">
        <v>59.028456706456204</v>
      </c>
      <c r="H15">
        <v>37</v>
      </c>
      <c r="I15">
        <v>41.025051486060129</v>
      </c>
      <c r="J15">
        <v>14.000000000000002</v>
      </c>
      <c r="K15">
        <v>13.999999999999996</v>
      </c>
      <c r="L15">
        <v>33.999999999999993</v>
      </c>
      <c r="M15">
        <v>34</v>
      </c>
      <c r="N15">
        <v>21.406817903177394</v>
      </c>
      <c r="O15">
        <v>17.681306015993673</v>
      </c>
    </row>
    <row r="16" spans="1:15">
      <c r="B16">
        <v>2013</v>
      </c>
      <c r="C16">
        <v>13.664</v>
      </c>
      <c r="D16">
        <v>97.06468648029832</v>
      </c>
      <c r="E16">
        <v>16.120999999999999</v>
      </c>
      <c r="F16">
        <v>14.994197573886396</v>
      </c>
      <c r="G16">
        <v>55.272494251972397</v>
      </c>
      <c r="H16">
        <v>37</v>
      </c>
      <c r="I16">
        <v>40.747985192187855</v>
      </c>
      <c r="J16">
        <v>15.000000000000005</v>
      </c>
      <c r="K16">
        <v>15.000000000000004</v>
      </c>
      <c r="L16">
        <v>36</v>
      </c>
      <c r="M16">
        <v>36</v>
      </c>
      <c r="N16">
        <v>22.294217077894672</v>
      </c>
      <c r="O16">
        <v>16.670564715952839</v>
      </c>
    </row>
    <row r="17" spans="2:15">
      <c r="B17">
        <v>2014</v>
      </c>
      <c r="C17">
        <v>12.781999999999996</v>
      </c>
      <c r="D17">
        <v>96.341107711254637</v>
      </c>
      <c r="E17">
        <v>14.427</v>
      </c>
      <c r="F17">
        <v>13.872126924787331</v>
      </c>
      <c r="G17">
        <v>52.431291209655214</v>
      </c>
      <c r="H17">
        <v>36.999999999999993</v>
      </c>
      <c r="I17">
        <v>40.242415369743846</v>
      </c>
      <c r="J17">
        <v>16</v>
      </c>
      <c r="K17">
        <v>16</v>
      </c>
      <c r="L17">
        <v>38.000000000000007</v>
      </c>
      <c r="M17">
        <v>38</v>
      </c>
      <c r="N17">
        <v>23.470771356494417</v>
      </c>
      <c r="O17">
        <v>15.742995234655833</v>
      </c>
    </row>
    <row r="18" spans="2:15">
      <c r="B18">
        <v>2015</v>
      </c>
      <c r="C18">
        <v>11.899999999999999</v>
      </c>
      <c r="D18">
        <v>93.778257356398299</v>
      </c>
      <c r="E18">
        <v>12.732999999999999</v>
      </c>
      <c r="F18">
        <v>12.783955366632078</v>
      </c>
      <c r="G18">
        <v>47.262793940284894</v>
      </c>
      <c r="H18">
        <v>37</v>
      </c>
      <c r="I18">
        <v>39.50961956618724</v>
      </c>
      <c r="J18">
        <v>16.999999999999996</v>
      </c>
      <c r="K18">
        <v>17.000000000000004</v>
      </c>
      <c r="L18">
        <v>40</v>
      </c>
      <c r="M18">
        <v>39.999999999999993</v>
      </c>
      <c r="N18">
        <v>24.559602440291826</v>
      </c>
      <c r="O18">
        <v>14.668929764172329</v>
      </c>
    </row>
    <row r="19" spans="2:15">
      <c r="B19">
        <v>2016</v>
      </c>
      <c r="C19">
        <v>11.631999999999998</v>
      </c>
      <c r="D19">
        <v>90.052612674498533</v>
      </c>
      <c r="E19">
        <v>12.298399999999999</v>
      </c>
      <c r="F19">
        <v>12.361315475719085</v>
      </c>
      <c r="G19">
        <v>40.684655198980344</v>
      </c>
      <c r="H19">
        <v>37</v>
      </c>
      <c r="I19">
        <v>37.975634876770705</v>
      </c>
      <c r="J19">
        <v>17</v>
      </c>
      <c r="K19">
        <v>17</v>
      </c>
      <c r="L19">
        <v>40</v>
      </c>
      <c r="M19">
        <v>39.999999999999993</v>
      </c>
      <c r="N19">
        <v>24.499453495352927</v>
      </c>
      <c r="O19">
        <v>14.109278554429139</v>
      </c>
    </row>
    <row r="20" spans="2:15">
      <c r="B20">
        <v>2017</v>
      </c>
      <c r="C20">
        <v>11.364000000000003</v>
      </c>
      <c r="D20">
        <v>89.980821291347198</v>
      </c>
      <c r="E20">
        <v>11.863800000000003</v>
      </c>
      <c r="F20">
        <v>11.996219833982266</v>
      </c>
      <c r="G20">
        <v>35.410046867210632</v>
      </c>
      <c r="H20">
        <v>37</v>
      </c>
      <c r="I20">
        <v>36.574167051845173</v>
      </c>
      <c r="J20">
        <v>17.000000000000004</v>
      </c>
      <c r="K20">
        <v>16.999999999999996</v>
      </c>
      <c r="L20">
        <v>40</v>
      </c>
      <c r="M20">
        <v>40</v>
      </c>
      <c r="N20">
        <v>24.439304550413997</v>
      </c>
      <c r="O20">
        <v>13.677968984866052</v>
      </c>
    </row>
    <row r="21" spans="2:15">
      <c r="B21">
        <v>2018</v>
      </c>
      <c r="C21">
        <v>11.096</v>
      </c>
      <c r="D21">
        <v>87.924395699170958</v>
      </c>
      <c r="E21">
        <v>11.429200000000007</v>
      </c>
      <c r="F21">
        <v>11.66623100647341</v>
      </c>
      <c r="G21">
        <v>34.379100254645444</v>
      </c>
      <c r="H21">
        <v>37.000000000000007</v>
      </c>
      <c r="I21">
        <v>36.305111855368956</v>
      </c>
      <c r="J21">
        <v>16.999999999999996</v>
      </c>
      <c r="K21">
        <v>17</v>
      </c>
      <c r="L21">
        <v>40</v>
      </c>
      <c r="M21">
        <v>40.000000000000007</v>
      </c>
      <c r="N21">
        <v>24.481667326885567</v>
      </c>
      <c r="O21">
        <v>13.327948148834288</v>
      </c>
    </row>
    <row r="22" spans="2:15">
      <c r="B22">
        <v>2019</v>
      </c>
      <c r="C22">
        <v>10.827999999999999</v>
      </c>
      <c r="D22">
        <v>85.94986663979752</v>
      </c>
      <c r="E22">
        <v>10.994599999999998</v>
      </c>
      <c r="F22">
        <v>11.351652401491551</v>
      </c>
      <c r="G22">
        <v>29.744185828113249</v>
      </c>
      <c r="H22">
        <v>37</v>
      </c>
      <c r="I22">
        <v>35.030545487770738</v>
      </c>
      <c r="J22">
        <v>17</v>
      </c>
      <c r="K22">
        <v>16.999999999999996</v>
      </c>
      <c r="L22">
        <v>39.999999999999993</v>
      </c>
      <c r="M22">
        <v>40</v>
      </c>
      <c r="N22">
        <v>24.461574778547757</v>
      </c>
      <c r="O22">
        <v>13.025083240022823</v>
      </c>
    </row>
    <row r="23" spans="2:15">
      <c r="B23">
        <v>2020</v>
      </c>
      <c r="C23">
        <v>10.559999999999999</v>
      </c>
      <c r="D23">
        <v>83.886821447474446</v>
      </c>
      <c r="E23">
        <v>10.559999999999999</v>
      </c>
      <c r="F23">
        <v>11.026306299316525</v>
      </c>
      <c r="G23">
        <v>26.615134445246557</v>
      </c>
      <c r="H23">
        <v>36.999999999999993</v>
      </c>
      <c r="I23">
        <v>34.11847252194903</v>
      </c>
      <c r="J23">
        <v>17</v>
      </c>
      <c r="K23">
        <v>17.000000000000004</v>
      </c>
      <c r="L23">
        <v>39.999999999999993</v>
      </c>
      <c r="M23">
        <v>40.000000000000007</v>
      </c>
      <c r="N23">
        <v>24.443636363636365</v>
      </c>
      <c r="O23">
        <v>12.675201909476062</v>
      </c>
    </row>
    <row r="24" spans="2:15">
      <c r="B24">
        <v>2021</v>
      </c>
      <c r="C24">
        <v>10.582000000000001</v>
      </c>
      <c r="D24">
        <v>82.578294824850929</v>
      </c>
      <c r="E24">
        <v>10.581999999999999</v>
      </c>
      <c r="F24">
        <v>11.023097562651905</v>
      </c>
      <c r="G24">
        <v>24.423561315440402</v>
      </c>
      <c r="H24">
        <v>37.000000000000007</v>
      </c>
      <c r="I24">
        <v>33.508293527921424</v>
      </c>
      <c r="J24">
        <v>17.000000000000004</v>
      </c>
      <c r="K24">
        <v>16.999999999999996</v>
      </c>
      <c r="L24">
        <v>40</v>
      </c>
      <c r="M24">
        <v>40</v>
      </c>
      <c r="N24">
        <v>24.440172985309129</v>
      </c>
      <c r="O24">
        <v>12.658468200155884</v>
      </c>
    </row>
    <row r="25" spans="2:15">
      <c r="B25">
        <v>2022</v>
      </c>
      <c r="C25">
        <v>10.604000000000001</v>
      </c>
      <c r="D25">
        <v>81.19461645344731</v>
      </c>
      <c r="E25">
        <v>10.603999999999999</v>
      </c>
      <c r="F25">
        <v>11.021940335008866</v>
      </c>
      <c r="G25">
        <v>23.513200361541692</v>
      </c>
      <c r="H25">
        <v>37</v>
      </c>
      <c r="I25">
        <v>33.253418149977129</v>
      </c>
      <c r="J25">
        <v>17</v>
      </c>
      <c r="K25">
        <v>17</v>
      </c>
      <c r="L25">
        <v>40</v>
      </c>
      <c r="M25">
        <v>40</v>
      </c>
      <c r="N25">
        <v>24.43710522845118</v>
      </c>
      <c r="O25">
        <v>12.648055681063854</v>
      </c>
    </row>
    <row r="26" spans="2:15">
      <c r="B26">
        <v>2023</v>
      </c>
      <c r="C26">
        <v>10.626000000000001</v>
      </c>
      <c r="D26">
        <v>79.680628150383541</v>
      </c>
      <c r="E26">
        <v>10.625999999999999</v>
      </c>
      <c r="F26">
        <v>11.022155029453902</v>
      </c>
      <c r="G26">
        <v>23.049792774728438</v>
      </c>
      <c r="H26">
        <v>37</v>
      </c>
      <c r="I26">
        <v>33.122586153769284</v>
      </c>
      <c r="J26">
        <v>17</v>
      </c>
      <c r="K26">
        <v>17</v>
      </c>
      <c r="L26">
        <v>39.999999999999993</v>
      </c>
      <c r="M26">
        <v>40.000000000000007</v>
      </c>
      <c r="N26">
        <v>24.434368967851711</v>
      </c>
      <c r="O26">
        <v>12.640841416610549</v>
      </c>
    </row>
    <row r="27" spans="2:15">
      <c r="B27">
        <v>2024</v>
      </c>
      <c r="C27">
        <v>10.647999999999998</v>
      </c>
      <c r="D27">
        <v>78.303446204809589</v>
      </c>
      <c r="E27">
        <v>10.647999999999998</v>
      </c>
      <c r="F27">
        <v>11.024968580019999</v>
      </c>
      <c r="G27">
        <v>23.053269558274664</v>
      </c>
      <c r="H27">
        <v>37</v>
      </c>
      <c r="I27">
        <v>33.121545277948066</v>
      </c>
      <c r="J27">
        <v>17.000000000000007</v>
      </c>
      <c r="K27">
        <v>17</v>
      </c>
      <c r="L27">
        <v>40</v>
      </c>
      <c r="M27">
        <v>40.000000000000007</v>
      </c>
      <c r="N27">
        <v>24.431913226427099</v>
      </c>
      <c r="O27">
        <v>12.63772504521061</v>
      </c>
    </row>
    <row r="28" spans="2:15">
      <c r="B28">
        <v>2025</v>
      </c>
      <c r="C28">
        <v>10.669999999999996</v>
      </c>
      <c r="D28">
        <v>76.841052473276378</v>
      </c>
      <c r="E28">
        <v>10.670000000000002</v>
      </c>
      <c r="F28">
        <v>11.028847256257979</v>
      </c>
      <c r="G28">
        <v>23.056521663176316</v>
      </c>
      <c r="H28">
        <v>37.000000000000007</v>
      </c>
      <c r="I28">
        <v>33.120528394831126</v>
      </c>
      <c r="J28">
        <v>17</v>
      </c>
      <c r="K28">
        <v>17</v>
      </c>
      <c r="L28">
        <v>39.999999999999993</v>
      </c>
      <c r="M28">
        <v>40</v>
      </c>
      <c r="N28">
        <v>24.429696969696966</v>
      </c>
      <c r="O28">
        <v>12.636096898817463</v>
      </c>
    </row>
    <row r="29" spans="2:15">
      <c r="B29">
        <v>2026</v>
      </c>
      <c r="C29">
        <v>10.823999999999993</v>
      </c>
      <c r="D29">
        <v>75.253370941636078</v>
      </c>
      <c r="E29">
        <v>10.824000000000003</v>
      </c>
      <c r="F29">
        <v>11.165797105160035</v>
      </c>
      <c r="G29">
        <v>23.067244913324604</v>
      </c>
      <c r="H29">
        <v>37</v>
      </c>
      <c r="I29">
        <v>33.13038717110129</v>
      </c>
      <c r="J29">
        <v>16.999999999999996</v>
      </c>
      <c r="K29">
        <v>17</v>
      </c>
      <c r="L29">
        <v>40</v>
      </c>
      <c r="M29">
        <v>40</v>
      </c>
      <c r="N29">
        <v>24.426297009413279</v>
      </c>
      <c r="O29">
        <v>12.780215459791707</v>
      </c>
    </row>
    <row r="30" spans="2:15">
      <c r="B30">
        <v>2027</v>
      </c>
      <c r="C30">
        <v>10.977999999999998</v>
      </c>
      <c r="D30">
        <v>73.370223166136313</v>
      </c>
      <c r="E30">
        <v>10.978000000000002</v>
      </c>
      <c r="F30">
        <v>11.302126546396565</v>
      </c>
      <c r="G30">
        <v>23.119994875065654</v>
      </c>
      <c r="H30">
        <v>37</v>
      </c>
      <c r="I30">
        <v>33.151625127478326</v>
      </c>
      <c r="J30">
        <v>17</v>
      </c>
      <c r="K30">
        <v>17</v>
      </c>
      <c r="L30">
        <v>39.999999999999993</v>
      </c>
      <c r="M30">
        <v>40</v>
      </c>
      <c r="N30">
        <v>24.423250861460726</v>
      </c>
      <c r="O30">
        <v>12.921751664337132</v>
      </c>
    </row>
    <row r="31" spans="2:15">
      <c r="B31">
        <v>2028</v>
      </c>
      <c r="C31">
        <v>11.132000000000001</v>
      </c>
      <c r="D31">
        <v>71.031014429869643</v>
      </c>
      <c r="E31">
        <v>11.132000000000001</v>
      </c>
      <c r="F31">
        <v>11.437018638613781</v>
      </c>
      <c r="G31">
        <v>23.174402863800925</v>
      </c>
      <c r="H31">
        <v>37</v>
      </c>
      <c r="I31">
        <v>33.173025842911017</v>
      </c>
      <c r="J31">
        <v>16.999999999999996</v>
      </c>
      <c r="K31">
        <v>16.999999999999996</v>
      </c>
      <c r="L31">
        <v>40</v>
      </c>
      <c r="M31">
        <v>40</v>
      </c>
      <c r="N31">
        <v>24.420506028841952</v>
      </c>
      <c r="O31">
        <v>13.060118926496619</v>
      </c>
    </row>
    <row r="32" spans="2:15">
      <c r="B32">
        <v>2029</v>
      </c>
      <c r="C32">
        <v>11.285999999999998</v>
      </c>
      <c r="D32">
        <v>68.888497128069275</v>
      </c>
      <c r="E32">
        <v>11.285999999999996</v>
      </c>
      <c r="F32">
        <v>11.573781620345279</v>
      </c>
      <c r="G32">
        <v>23.25943297454841</v>
      </c>
      <c r="H32">
        <v>37</v>
      </c>
      <c r="I32">
        <v>33.202608104829253</v>
      </c>
      <c r="J32">
        <v>17</v>
      </c>
      <c r="K32">
        <v>17</v>
      </c>
      <c r="L32">
        <v>40</v>
      </c>
      <c r="M32">
        <v>39.999999999999993</v>
      </c>
      <c r="N32">
        <v>24.418019910782384</v>
      </c>
      <c r="O32">
        <v>13.198483187828273</v>
      </c>
    </row>
    <row r="33" spans="2:15">
      <c r="B33">
        <v>2030</v>
      </c>
      <c r="C33">
        <v>11.440000000000003</v>
      </c>
      <c r="D33">
        <v>66.390998892892028</v>
      </c>
      <c r="E33">
        <v>11.44</v>
      </c>
      <c r="F33">
        <v>11.709573629133942</v>
      </c>
      <c r="G33">
        <v>23.328271383743267</v>
      </c>
      <c r="H33">
        <v>37</v>
      </c>
      <c r="I33">
        <v>33.227430425312647</v>
      </c>
      <c r="J33">
        <v>17</v>
      </c>
      <c r="K33">
        <v>17</v>
      </c>
      <c r="L33">
        <v>40</v>
      </c>
      <c r="M33">
        <v>40</v>
      </c>
      <c r="N33">
        <v>24.415757575757571</v>
      </c>
      <c r="O33">
        <v>13.334409452005055</v>
      </c>
    </row>
    <row r="34" spans="2:15">
      <c r="B34">
        <v>2031</v>
      </c>
      <c r="C34">
        <v>11.602</v>
      </c>
      <c r="D34">
        <v>64.44036792200265</v>
      </c>
      <c r="E34">
        <v>11.602</v>
      </c>
      <c r="F34">
        <v>11.859233598716445</v>
      </c>
      <c r="G34">
        <v>23.432500832365186</v>
      </c>
      <c r="H34">
        <v>37.000000000000007</v>
      </c>
      <c r="I34">
        <v>33.269972967815193</v>
      </c>
      <c r="J34">
        <v>17</v>
      </c>
      <c r="K34">
        <v>17</v>
      </c>
      <c r="L34">
        <v>40.000000000000007</v>
      </c>
      <c r="M34">
        <v>40</v>
      </c>
      <c r="N34">
        <v>24.412431029581427</v>
      </c>
      <c r="O34">
        <v>13.504554420071491</v>
      </c>
    </row>
    <row r="35" spans="2:15">
      <c r="B35">
        <v>2032</v>
      </c>
      <c r="C35">
        <v>11.763999999999999</v>
      </c>
      <c r="D35">
        <v>62.684722716584744</v>
      </c>
      <c r="E35">
        <v>11.764000000000001</v>
      </c>
      <c r="F35">
        <v>12.0100629805255</v>
      </c>
      <c r="G35">
        <v>23.552515194161135</v>
      </c>
      <c r="H35">
        <v>37</v>
      </c>
      <c r="I35">
        <v>33.316187984122493</v>
      </c>
      <c r="J35">
        <v>17.000000000000004</v>
      </c>
      <c r="K35">
        <v>17</v>
      </c>
      <c r="L35">
        <v>40</v>
      </c>
      <c r="M35">
        <v>40</v>
      </c>
      <c r="N35">
        <v>24.409411048667984</v>
      </c>
      <c r="O35">
        <v>13.673161475123358</v>
      </c>
    </row>
    <row r="36" spans="2:15">
      <c r="B36">
        <v>2033</v>
      </c>
      <c r="C36">
        <v>11.925999999999998</v>
      </c>
      <c r="D36">
        <v>61.121046541862356</v>
      </c>
      <c r="E36">
        <v>11.925999999999995</v>
      </c>
      <c r="F36">
        <v>12.162014774882485</v>
      </c>
      <c r="G36">
        <v>23.649303305262116</v>
      </c>
      <c r="H36">
        <v>37</v>
      </c>
      <c r="I36">
        <v>33.355411734979612</v>
      </c>
      <c r="J36">
        <v>16.999999999999996</v>
      </c>
      <c r="K36">
        <v>16.999999999999996</v>
      </c>
      <c r="L36">
        <v>40.000000000000007</v>
      </c>
      <c r="M36">
        <v>40</v>
      </c>
      <c r="N36">
        <v>24.406657121429383</v>
      </c>
      <c r="O36">
        <v>13.840264296736279</v>
      </c>
    </row>
    <row r="37" spans="2:15">
      <c r="B37">
        <v>2034</v>
      </c>
      <c r="C37">
        <v>12.087999999999996</v>
      </c>
      <c r="D37">
        <v>60.010922349365558</v>
      </c>
      <c r="E37">
        <v>12.087999999999999</v>
      </c>
      <c r="F37">
        <v>12.316305230359859</v>
      </c>
      <c r="G37">
        <v>23.687638551318393</v>
      </c>
      <c r="H37">
        <v>37</v>
      </c>
      <c r="I37">
        <v>33.378154932007767</v>
      </c>
      <c r="J37">
        <v>17</v>
      </c>
      <c r="K37">
        <v>17</v>
      </c>
      <c r="L37">
        <v>40.000000000000007</v>
      </c>
      <c r="M37">
        <v>40.000000000000007</v>
      </c>
      <c r="N37">
        <v>24.404135573087377</v>
      </c>
      <c r="O37">
        <v>14.006988125773159</v>
      </c>
    </row>
    <row r="38" spans="2:15">
      <c r="B38">
        <v>2035</v>
      </c>
      <c r="C38">
        <v>12.250000000000005</v>
      </c>
      <c r="D38">
        <v>59.164000076792711</v>
      </c>
      <c r="E38">
        <v>12.25</v>
      </c>
      <c r="F38">
        <v>12.471980415512999</v>
      </c>
      <c r="G38">
        <v>23.759139025462602</v>
      </c>
      <c r="H38">
        <v>37.000000000000007</v>
      </c>
      <c r="I38">
        <v>33.409445218526649</v>
      </c>
      <c r="J38">
        <v>17</v>
      </c>
      <c r="K38">
        <v>17.000000000000004</v>
      </c>
      <c r="L38">
        <v>40</v>
      </c>
      <c r="M38">
        <v>40</v>
      </c>
      <c r="N38">
        <v>24.401818181818179</v>
      </c>
      <c r="O38">
        <v>14.172815122200918</v>
      </c>
    </row>
    <row r="39" spans="2:15">
      <c r="B39">
        <v>2036</v>
      </c>
      <c r="C39">
        <v>12.397999999999998</v>
      </c>
      <c r="D39">
        <v>58.318800000003421</v>
      </c>
      <c r="E39">
        <v>12.398000000000001</v>
      </c>
      <c r="F39">
        <v>12.614559374914682</v>
      </c>
      <c r="G39">
        <v>23.793744467505395</v>
      </c>
      <c r="H39">
        <v>37</v>
      </c>
      <c r="I39">
        <v>33.435906051578748</v>
      </c>
      <c r="J39">
        <v>17</v>
      </c>
      <c r="K39">
        <v>17</v>
      </c>
      <c r="L39">
        <v>40</v>
      </c>
      <c r="M39">
        <v>40</v>
      </c>
      <c r="N39">
        <v>24.39855561901366</v>
      </c>
      <c r="O39">
        <v>14.33987091903626</v>
      </c>
    </row>
    <row r="40" spans="2:15">
      <c r="B40">
        <v>2037</v>
      </c>
      <c r="C40">
        <v>12.545999999999996</v>
      </c>
      <c r="D40">
        <v>57.473600000000012</v>
      </c>
      <c r="E40">
        <v>12.546000000000001</v>
      </c>
      <c r="F40">
        <v>12.757184138212063</v>
      </c>
      <c r="G40">
        <v>23.813866243206853</v>
      </c>
      <c r="H40">
        <v>37</v>
      </c>
      <c r="I40">
        <v>33.457925878634875</v>
      </c>
      <c r="J40">
        <v>17.000000000000007</v>
      </c>
      <c r="K40">
        <v>17.000000000000004</v>
      </c>
      <c r="L40">
        <v>40</v>
      </c>
      <c r="M40">
        <v>40.000000000000007</v>
      </c>
      <c r="N40">
        <v>24.395559469401327</v>
      </c>
      <c r="O40">
        <v>14.504601957733895</v>
      </c>
    </row>
    <row r="41" spans="2:15">
      <c r="B41">
        <v>2038</v>
      </c>
      <c r="C41">
        <v>12.694000000000001</v>
      </c>
      <c r="D41">
        <v>56.628399999999999</v>
      </c>
      <c r="E41">
        <v>12.693999999999997</v>
      </c>
      <c r="F41">
        <v>12.899853299596804</v>
      </c>
      <c r="G41">
        <v>23.813999993940531</v>
      </c>
      <c r="H41">
        <v>36.999999999999993</v>
      </c>
      <c r="I41">
        <v>33.474108100847268</v>
      </c>
      <c r="J41">
        <v>17</v>
      </c>
      <c r="K41">
        <v>17</v>
      </c>
      <c r="L41">
        <v>40.000000000000007</v>
      </c>
      <c r="M41">
        <v>40.000000000000007</v>
      </c>
      <c r="N41">
        <v>24.392798381033789</v>
      </c>
      <c r="O41">
        <v>14.66709669747425</v>
      </c>
    </row>
    <row r="42" spans="2:15">
      <c r="B42">
        <v>2039</v>
      </c>
      <c r="C42">
        <v>12.842000000000001</v>
      </c>
      <c r="D42">
        <v>55.783200000000008</v>
      </c>
      <c r="E42">
        <v>12.841999999999999</v>
      </c>
      <c r="F42">
        <v>13.042565510541639</v>
      </c>
      <c r="G42">
        <v>23.813999999999726</v>
      </c>
      <c r="H42">
        <v>37</v>
      </c>
      <c r="I42">
        <v>33.489828985144278</v>
      </c>
      <c r="J42">
        <v>17</v>
      </c>
      <c r="K42">
        <v>16.999999999999996</v>
      </c>
      <c r="L42">
        <v>40.000000000000007</v>
      </c>
      <c r="M42">
        <v>40</v>
      </c>
      <c r="N42">
        <v>24.390245735672544</v>
      </c>
      <c r="O42">
        <v>14.827487440030557</v>
      </c>
    </row>
    <row r="43" spans="2:15">
      <c r="B43">
        <v>2040</v>
      </c>
      <c r="C43">
        <v>12.990000000000002</v>
      </c>
      <c r="D43">
        <v>54.938000000000002</v>
      </c>
      <c r="E43">
        <v>12.990000000000004</v>
      </c>
      <c r="F43">
        <v>13.185319476584693</v>
      </c>
      <c r="G43">
        <v>23.813999999999997</v>
      </c>
      <c r="H43">
        <v>37</v>
      </c>
      <c r="I43">
        <v>33.505141050618811</v>
      </c>
      <c r="J43">
        <v>17</v>
      </c>
      <c r="K43">
        <v>17</v>
      </c>
      <c r="L43">
        <v>40.000000000000007</v>
      </c>
      <c r="M43">
        <v>40</v>
      </c>
      <c r="N43">
        <v>24.387878787878787</v>
      </c>
      <c r="O43">
        <v>14.985862374383938</v>
      </c>
    </row>
    <row r="44" spans="2:15">
      <c r="B44">
        <v>2041</v>
      </c>
      <c r="C44">
        <v>13.115999999999996</v>
      </c>
      <c r="D44">
        <v>54.092799999999997</v>
      </c>
      <c r="E44">
        <v>13.116</v>
      </c>
      <c r="F44">
        <v>13.307232220326446</v>
      </c>
      <c r="G44">
        <v>23.813999999999997</v>
      </c>
      <c r="H44">
        <v>37</v>
      </c>
      <c r="I44">
        <v>33.519559873573193</v>
      </c>
      <c r="J44">
        <v>17</v>
      </c>
      <c r="K44">
        <v>17.000000000000004</v>
      </c>
      <c r="L44">
        <v>40</v>
      </c>
      <c r="M44">
        <v>40</v>
      </c>
      <c r="N44">
        <v>24.38466856967975</v>
      </c>
      <c r="O44">
        <v>15.138865761579265</v>
      </c>
    </row>
    <row r="45" spans="2:15">
      <c r="B45">
        <v>2042</v>
      </c>
      <c r="C45">
        <v>13.242000000000001</v>
      </c>
      <c r="D45">
        <v>53.247600000000006</v>
      </c>
      <c r="E45">
        <v>13.241999999999997</v>
      </c>
      <c r="F45">
        <v>13.429121675018779</v>
      </c>
      <c r="G45">
        <v>23.814000000000004</v>
      </c>
      <c r="H45">
        <v>37</v>
      </c>
      <c r="I45">
        <v>33.533652119114272</v>
      </c>
      <c r="J45">
        <v>17</v>
      </c>
      <c r="K45">
        <v>16.999999999999996</v>
      </c>
      <c r="L45">
        <v>40</v>
      </c>
      <c r="M45">
        <v>40.000000000000007</v>
      </c>
      <c r="N45">
        <v>24.381692638451668</v>
      </c>
      <c r="O45">
        <v>15.289913528710763</v>
      </c>
    </row>
    <row r="46" spans="2:15">
      <c r="B46">
        <v>2043</v>
      </c>
      <c r="C46">
        <v>13.368</v>
      </c>
      <c r="D46">
        <v>52.402400000000014</v>
      </c>
      <c r="E46">
        <v>13.368</v>
      </c>
      <c r="F46">
        <v>13.550988060072457</v>
      </c>
      <c r="G46">
        <v>23.814000000000004</v>
      </c>
      <c r="H46">
        <v>37</v>
      </c>
      <c r="I46">
        <v>33.547428758164067</v>
      </c>
      <c r="J46">
        <v>17.000000000000004</v>
      </c>
      <c r="K46">
        <v>17</v>
      </c>
      <c r="L46">
        <v>40</v>
      </c>
      <c r="M46">
        <v>40</v>
      </c>
      <c r="N46">
        <v>24.378926249190854</v>
      </c>
      <c r="O46">
        <v>15.439054697948666</v>
      </c>
    </row>
    <row r="47" spans="2:15">
      <c r="B47">
        <v>2044</v>
      </c>
      <c r="C47">
        <v>13.494000000000002</v>
      </c>
      <c r="D47">
        <v>51.557199999999995</v>
      </c>
      <c r="E47">
        <v>13.494000000000002</v>
      </c>
      <c r="F47">
        <v>13.672831592150755</v>
      </c>
      <c r="G47">
        <v>23.814000000000004</v>
      </c>
      <c r="H47">
        <v>37.000000000000007</v>
      </c>
      <c r="I47">
        <v>33.560900275682201</v>
      </c>
      <c r="J47">
        <v>17</v>
      </c>
      <c r="K47">
        <v>17</v>
      </c>
      <c r="L47">
        <v>39.999999999999993</v>
      </c>
      <c r="M47">
        <v>40</v>
      </c>
      <c r="N47">
        <v>24.376348023085093</v>
      </c>
      <c r="O47">
        <v>15.586336666567378</v>
      </c>
    </row>
    <row r="48" spans="2:15">
      <c r="B48">
        <v>2045</v>
      </c>
      <c r="C48">
        <v>13.619999999999997</v>
      </c>
      <c r="D48">
        <v>50.71200000000001</v>
      </c>
      <c r="E48">
        <v>13.62</v>
      </c>
      <c r="F48">
        <v>13.794652485212268</v>
      </c>
      <c r="G48">
        <v>23.814000000000004</v>
      </c>
      <c r="H48">
        <v>37</v>
      </c>
      <c r="I48">
        <v>33.574076697278578</v>
      </c>
      <c r="J48">
        <v>17</v>
      </c>
      <c r="K48">
        <v>17</v>
      </c>
      <c r="L48">
        <v>40.000000000000007</v>
      </c>
      <c r="M48">
        <v>40</v>
      </c>
      <c r="N48">
        <v>24.373939393939391</v>
      </c>
      <c r="O48">
        <v>15.731805273715933</v>
      </c>
    </row>
    <row r="49" spans="2:15">
      <c r="B49">
        <v>2046</v>
      </c>
      <c r="C49">
        <v>13.699999999999998</v>
      </c>
      <c r="D49">
        <v>49.866800000000012</v>
      </c>
      <c r="E49">
        <v>13.699999999999998</v>
      </c>
      <c r="F49">
        <v>13.871700351588302</v>
      </c>
      <c r="G49">
        <v>23.814</v>
      </c>
      <c r="H49">
        <v>37</v>
      </c>
      <c r="I49">
        <v>33.586180334152765</v>
      </c>
      <c r="J49">
        <v>17</v>
      </c>
      <c r="K49">
        <v>17.000000000000004</v>
      </c>
      <c r="L49">
        <v>39.999999999999993</v>
      </c>
      <c r="M49">
        <v>40</v>
      </c>
      <c r="N49">
        <v>24.370804849176217</v>
      </c>
      <c r="O49">
        <v>15.845759737561966</v>
      </c>
    </row>
    <row r="50" spans="2:15">
      <c r="B50">
        <v>2047</v>
      </c>
      <c r="C50">
        <v>13.780000000000001</v>
      </c>
      <c r="D50">
        <v>49.021600000000007</v>
      </c>
      <c r="E50">
        <v>13.78</v>
      </c>
      <c r="F50">
        <v>13.948682149490512</v>
      </c>
      <c r="G50">
        <v>23.814</v>
      </c>
      <c r="H50">
        <v>37.000000000000007</v>
      </c>
      <c r="I50">
        <v>33.598059579964016</v>
      </c>
      <c r="J50">
        <v>16.999999999999996</v>
      </c>
      <c r="K50">
        <v>17</v>
      </c>
      <c r="L50">
        <v>40</v>
      </c>
      <c r="M50">
        <v>40</v>
      </c>
      <c r="N50">
        <v>24.36785931518013</v>
      </c>
      <c r="O50">
        <v>15.958542831647929</v>
      </c>
    </row>
    <row r="51" spans="2:15">
      <c r="B51">
        <v>2048</v>
      </c>
      <c r="C51">
        <v>13.859999999999998</v>
      </c>
      <c r="D51">
        <v>48.176400000000008</v>
      </c>
      <c r="E51">
        <v>13.860000000000001</v>
      </c>
      <c r="F51">
        <v>14.025597459482887</v>
      </c>
      <c r="G51">
        <v>23.814</v>
      </c>
      <c r="H51">
        <v>37.000000000000007</v>
      </c>
      <c r="I51">
        <v>33.609720617428394</v>
      </c>
      <c r="J51">
        <v>16.999999999999996</v>
      </c>
      <c r="K51">
        <v>17</v>
      </c>
      <c r="L51">
        <v>40</v>
      </c>
      <c r="M51">
        <v>40.000000000000007</v>
      </c>
      <c r="N51">
        <v>24.365086196481034</v>
      </c>
      <c r="O51">
        <v>16.070167656531659</v>
      </c>
    </row>
    <row r="52" spans="2:15">
      <c r="B52">
        <v>2049</v>
      </c>
      <c r="C52">
        <v>13.939999999999998</v>
      </c>
      <c r="D52">
        <v>47.331200000000003</v>
      </c>
      <c r="E52">
        <v>13.939999999999998</v>
      </c>
      <c r="F52">
        <v>14.102445858571505</v>
      </c>
      <c r="G52">
        <v>23.814000000000004</v>
      </c>
      <c r="H52">
        <v>37.000000000000007</v>
      </c>
      <c r="I52">
        <v>33.621169404190162</v>
      </c>
      <c r="J52">
        <v>17</v>
      </c>
      <c r="K52">
        <v>17.000000000000004</v>
      </c>
      <c r="L52">
        <v>40</v>
      </c>
      <c r="M52">
        <v>40</v>
      </c>
      <c r="N52">
        <v>24.36247078517928</v>
      </c>
      <c r="O52">
        <v>16.18064711814166</v>
      </c>
    </row>
    <row r="53" spans="2:15">
      <c r="B53">
        <v>2050</v>
      </c>
      <c r="C53">
        <v>14.02</v>
      </c>
      <c r="D53">
        <v>46.48599999999999</v>
      </c>
      <c r="E53">
        <v>14.019999999999998</v>
      </c>
      <c r="F53">
        <v>14.179226920166723</v>
      </c>
      <c r="G53">
        <v>23.814000000000004</v>
      </c>
      <c r="H53">
        <v>37</v>
      </c>
      <c r="I53">
        <v>33.632411682970982</v>
      </c>
      <c r="J53">
        <v>17</v>
      </c>
      <c r="K53">
        <v>17</v>
      </c>
      <c r="L53">
        <v>40</v>
      </c>
      <c r="M53">
        <v>40.000000000000007</v>
      </c>
      <c r="N53">
        <v>24.36</v>
      </c>
      <c r="O53">
        <v>16.289993931378156</v>
      </c>
    </row>
  </sheetData>
  <phoneticPr fontId="4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2:E2"/>
  <sheetViews>
    <sheetView workbookViewId="0">
      <selection activeCell="K13" sqref="K13"/>
    </sheetView>
  </sheetViews>
  <sheetFormatPr defaultRowHeight="12.9"/>
  <sheetData>
    <row r="2" spans="1:5">
      <c r="A2">
        <v>1</v>
      </c>
      <c r="B2" t="s">
        <v>12</v>
      </c>
      <c r="C2" s="11" t="s">
        <v>13</v>
      </c>
      <c r="D2" s="12">
        <v>1.6093</v>
      </c>
      <c r="E2" t="s">
        <v>14</v>
      </c>
    </row>
  </sheetData>
  <phoneticPr fontId="4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15DE-EDB6-47B2-AFE3-CE3361DF00AD}">
  <dimension ref="A1:W53"/>
  <sheetViews>
    <sheetView workbookViewId="0">
      <pane xSplit="1" ySplit="3" topLeftCell="B39" activePane="bottomRight" state="frozen"/>
      <selection pane="topRight" activeCell="B1" sqref="B1"/>
      <selection pane="bottomLeft" activeCell="A4" sqref="A4"/>
      <selection pane="bottomRight" activeCell="P6" sqref="P6:U6"/>
    </sheetView>
  </sheetViews>
  <sheetFormatPr defaultRowHeight="13.6" customHeight="1"/>
  <cols>
    <col min="1" max="1" width="9" bestFit="1" customWidth="1"/>
    <col min="2" max="2" width="15" bestFit="1" customWidth="1"/>
    <col min="3" max="3" width="11.25" bestFit="1" customWidth="1"/>
    <col min="4" max="4" width="28.125" bestFit="1" customWidth="1"/>
    <col min="5" max="5" width="20.25" bestFit="1" customWidth="1"/>
    <col min="6" max="6" width="11.25" bestFit="1" customWidth="1"/>
    <col min="7" max="7" width="8.125" customWidth="1"/>
    <col min="8" max="8" width="13.625" bestFit="1" customWidth="1"/>
    <col min="9" max="9" width="23.75" bestFit="1" customWidth="1"/>
    <col min="10" max="10" width="20.25" bestFit="1" customWidth="1"/>
    <col min="11" max="11" width="9.75" bestFit="1" customWidth="1"/>
    <col min="12" max="12" width="12.5" customWidth="1"/>
    <col min="13" max="13" width="10.625" customWidth="1"/>
    <col min="16" max="21" width="8.5" customWidth="1"/>
  </cols>
  <sheetData>
    <row r="1" spans="1:21" ht="13.6" customHeight="1">
      <c r="A1" s="53" t="s">
        <v>125</v>
      </c>
      <c r="B1" s="53"/>
      <c r="C1" s="53"/>
      <c r="D1" s="53"/>
      <c r="E1" s="53"/>
      <c r="F1" s="53"/>
      <c r="H1" s="54" t="s">
        <v>124</v>
      </c>
      <c r="I1" s="53"/>
      <c r="J1" s="53"/>
      <c r="K1" s="53"/>
      <c r="L1" s="53"/>
      <c r="M1" s="53"/>
      <c r="N1" s="36"/>
    </row>
    <row r="2" spans="1:21" s="34" customFormat="1" ht="13.6" customHeight="1">
      <c r="A2" s="52" t="s">
        <v>123</v>
      </c>
      <c r="B2" s="52" t="s">
        <v>121</v>
      </c>
      <c r="C2" s="52" t="s">
        <v>115</v>
      </c>
      <c r="D2" s="52" t="s">
        <v>114</v>
      </c>
      <c r="E2" s="52" t="s">
        <v>113</v>
      </c>
      <c r="F2" s="52" t="s">
        <v>112</v>
      </c>
      <c r="G2" s="11"/>
      <c r="H2" s="52" t="s">
        <v>122</v>
      </c>
      <c r="I2" s="52" t="s">
        <v>121</v>
      </c>
      <c r="J2" s="52" t="s">
        <v>115</v>
      </c>
      <c r="K2" s="52" t="s">
        <v>114</v>
      </c>
      <c r="L2" s="52" t="s">
        <v>113</v>
      </c>
      <c r="M2" s="35"/>
      <c r="N2" s="52" t="s">
        <v>112</v>
      </c>
    </row>
    <row r="3" spans="1:21" s="34" customFormat="1" ht="13.6" customHeight="1">
      <c r="A3" s="52"/>
      <c r="B3" s="52"/>
      <c r="C3" s="52"/>
      <c r="D3" s="52"/>
      <c r="E3" s="52"/>
      <c r="F3" s="52"/>
      <c r="G3" s="11"/>
      <c r="H3" s="52"/>
      <c r="I3" s="52"/>
      <c r="J3" s="52"/>
      <c r="K3" s="52"/>
      <c r="L3" s="52"/>
      <c r="M3" s="35" t="s">
        <v>120</v>
      </c>
      <c r="N3" s="52"/>
      <c r="P3" s="34" t="s">
        <v>160</v>
      </c>
    </row>
    <row r="4" spans="1:21" ht="13.6" customHeight="1">
      <c r="A4" s="23" t="s">
        <v>119</v>
      </c>
      <c r="B4" s="30">
        <v>1743.1</v>
      </c>
      <c r="C4" s="29">
        <v>1093.22</v>
      </c>
      <c r="D4" s="29">
        <v>521.29999999999995</v>
      </c>
      <c r="E4" s="29">
        <v>100.63</v>
      </c>
      <c r="F4" s="29">
        <v>27.91</v>
      </c>
      <c r="H4" s="23" t="s">
        <v>119</v>
      </c>
      <c r="I4" s="30">
        <v>9928</v>
      </c>
      <c r="J4" s="29">
        <v>5345.19</v>
      </c>
      <c r="K4" s="29">
        <v>350.3</v>
      </c>
      <c r="L4" s="29">
        <v>3801.8</v>
      </c>
      <c r="M4" s="29">
        <v>2487</v>
      </c>
      <c r="N4" s="29">
        <v>0.97</v>
      </c>
      <c r="P4" s="43">
        <v>2019</v>
      </c>
      <c r="Q4" s="43">
        <v>2020</v>
      </c>
      <c r="R4" s="43">
        <v>2021</v>
      </c>
      <c r="S4" s="43">
        <v>2022</v>
      </c>
      <c r="T4" s="43">
        <v>2023</v>
      </c>
    </row>
    <row r="5" spans="1:21" ht="13.6" customHeight="1">
      <c r="A5" s="23" t="s">
        <v>118</v>
      </c>
      <c r="B5" s="30">
        <v>2281.3000000000002</v>
      </c>
      <c r="C5" s="29">
        <v>1383.16</v>
      </c>
      <c r="D5" s="29">
        <v>729.5</v>
      </c>
      <c r="E5" s="29">
        <v>129.12</v>
      </c>
      <c r="F5" s="29">
        <v>39.56</v>
      </c>
      <c r="H5" s="23" t="s">
        <v>118</v>
      </c>
      <c r="I5" s="30">
        <v>11629</v>
      </c>
      <c r="J5" s="29">
        <v>5717.5</v>
      </c>
      <c r="K5" s="29">
        <v>342.9</v>
      </c>
      <c r="L5" s="29">
        <v>5076.5</v>
      </c>
      <c r="M5" s="29">
        <v>3532</v>
      </c>
      <c r="N5" s="29">
        <v>1.41</v>
      </c>
      <c r="P5">
        <v>13100.62662088282</v>
      </c>
      <c r="Q5">
        <v>11397.276942754101</v>
      </c>
      <c r="R5">
        <v>11800</v>
      </c>
      <c r="S5">
        <v>10327.241725629954</v>
      </c>
      <c r="T5">
        <v>10503.774815011704</v>
      </c>
    </row>
    <row r="6" spans="1:21" ht="13.6" customHeight="1">
      <c r="A6" s="23" t="s">
        <v>117</v>
      </c>
      <c r="B6" s="30">
        <v>4435.3863000000001</v>
      </c>
      <c r="C6" s="29">
        <v>2416.14</v>
      </c>
      <c r="D6" s="29">
        <v>1724.88</v>
      </c>
      <c r="E6" s="29">
        <v>178.65</v>
      </c>
      <c r="F6" s="29">
        <v>115.7163</v>
      </c>
      <c r="H6" s="23" t="s">
        <v>117</v>
      </c>
      <c r="I6" s="30">
        <v>18365</v>
      </c>
      <c r="J6" s="29">
        <v>8125.66</v>
      </c>
      <c r="K6" s="29">
        <v>1903</v>
      </c>
      <c r="L6" s="29">
        <v>7729.3</v>
      </c>
      <c r="M6" s="29">
        <v>5329</v>
      </c>
      <c r="N6" s="29">
        <v>4.1500000000000004</v>
      </c>
      <c r="P6" s="50"/>
      <c r="Q6" s="50"/>
      <c r="R6" s="50"/>
      <c r="S6" s="50"/>
      <c r="T6" s="50"/>
      <c r="U6" s="50"/>
    </row>
    <row r="7" spans="1:21" ht="13.6" customHeight="1">
      <c r="A7" s="23" t="s">
        <v>116</v>
      </c>
      <c r="B7" s="30">
        <v>5628.4</v>
      </c>
      <c r="C7" s="29">
        <v>2612.63</v>
      </c>
      <c r="D7" s="29">
        <v>2620.3200000000002</v>
      </c>
      <c r="E7" s="29">
        <v>164.91</v>
      </c>
      <c r="F7" s="29">
        <v>230.48</v>
      </c>
      <c r="H7" s="23" t="s">
        <v>116</v>
      </c>
      <c r="I7" s="30">
        <v>26208</v>
      </c>
      <c r="J7" s="29">
        <v>10622.38</v>
      </c>
      <c r="K7" s="29">
        <v>3358.1</v>
      </c>
      <c r="L7" s="29">
        <v>11591.9</v>
      </c>
      <c r="M7" s="29">
        <v>8140.86</v>
      </c>
      <c r="N7" s="29">
        <v>8.18</v>
      </c>
      <c r="P7" s="51"/>
      <c r="Q7" s="51"/>
      <c r="R7" s="51" t="s">
        <v>115</v>
      </c>
      <c r="S7" s="51" t="s">
        <v>114</v>
      </c>
      <c r="T7" s="51" t="s">
        <v>113</v>
      </c>
      <c r="U7" s="51" t="s">
        <v>112</v>
      </c>
    </row>
    <row r="8" spans="1:21" ht="13.6" customHeight="1">
      <c r="A8" s="23" t="s">
        <v>111</v>
      </c>
      <c r="B8" s="30">
        <v>6178.3</v>
      </c>
      <c r="C8" s="29">
        <v>2828.1</v>
      </c>
      <c r="D8" s="29">
        <v>2871.74</v>
      </c>
      <c r="E8" s="29">
        <v>177.2</v>
      </c>
      <c r="F8" s="29">
        <v>301.32</v>
      </c>
      <c r="H8" s="23" t="s">
        <v>111</v>
      </c>
      <c r="I8" s="30">
        <v>27987</v>
      </c>
      <c r="J8" s="29">
        <v>10972</v>
      </c>
      <c r="K8" s="29">
        <v>3428</v>
      </c>
      <c r="L8" s="29">
        <v>12955.4</v>
      </c>
      <c r="M8" s="29">
        <v>8990.4</v>
      </c>
      <c r="N8" s="29">
        <v>10.1</v>
      </c>
      <c r="P8" s="51"/>
      <c r="Q8" s="51"/>
      <c r="R8" s="51"/>
      <c r="S8" s="51"/>
      <c r="T8" s="51"/>
      <c r="U8" s="51"/>
    </row>
    <row r="9" spans="1:21" ht="13.6" customHeight="1">
      <c r="A9" s="23" t="s">
        <v>110</v>
      </c>
      <c r="B9" s="30">
        <v>6949.4</v>
      </c>
      <c r="C9" s="29">
        <v>3152.24</v>
      </c>
      <c r="D9" s="29">
        <v>3192.64</v>
      </c>
      <c r="E9" s="29">
        <v>198.35</v>
      </c>
      <c r="F9" s="29">
        <v>406.12</v>
      </c>
      <c r="H9" s="23" t="s">
        <v>110</v>
      </c>
      <c r="I9" s="30">
        <v>29218</v>
      </c>
      <c r="J9" s="29">
        <v>11575.55</v>
      </c>
      <c r="K9" s="29">
        <v>3755.39</v>
      </c>
      <c r="L9" s="29">
        <v>13256.2</v>
      </c>
      <c r="M9" s="29">
        <v>9034</v>
      </c>
      <c r="N9" s="29">
        <v>13.42</v>
      </c>
      <c r="P9" s="49" t="s">
        <v>109</v>
      </c>
      <c r="Q9" s="33">
        <v>2019</v>
      </c>
      <c r="R9" s="32">
        <v>1</v>
      </c>
      <c r="S9" s="32">
        <v>1</v>
      </c>
      <c r="T9" s="32">
        <v>1</v>
      </c>
      <c r="U9" s="32">
        <v>1</v>
      </c>
    </row>
    <row r="10" spans="1:21" ht="13.6" customHeight="1">
      <c r="A10" s="23" t="s">
        <v>108</v>
      </c>
      <c r="B10" s="30">
        <v>7858</v>
      </c>
      <c r="C10" s="29">
        <v>3483.3</v>
      </c>
      <c r="D10" s="29">
        <v>3700.7</v>
      </c>
      <c r="E10" s="29">
        <v>196.4</v>
      </c>
      <c r="F10" s="29">
        <v>477.6</v>
      </c>
      <c r="H10" s="23" t="s">
        <v>108</v>
      </c>
      <c r="I10" s="30">
        <v>30646.81</v>
      </c>
      <c r="J10" s="29">
        <v>12090.9</v>
      </c>
      <c r="K10" s="29">
        <v>4070.5</v>
      </c>
      <c r="L10" s="29">
        <v>13860.8</v>
      </c>
      <c r="M10" s="29">
        <v>9133.9</v>
      </c>
      <c r="N10" s="29">
        <v>16.61</v>
      </c>
      <c r="P10" s="49"/>
      <c r="Q10" s="33">
        <v>2020</v>
      </c>
      <c r="R10" s="32">
        <f t="shared" ref="R10:U12" si="0">C37/C$36</f>
        <v>0.56207349081364832</v>
      </c>
      <c r="S10" s="32">
        <f t="shared" si="0"/>
        <v>0.52398753542355847</v>
      </c>
      <c r="T10" s="32">
        <f t="shared" si="0"/>
        <v>0.41134663341645888</v>
      </c>
      <c r="U10" s="32">
        <f t="shared" si="0"/>
        <v>0.53919060922162132</v>
      </c>
    </row>
    <row r="11" spans="1:21" ht="13.6" customHeight="1">
      <c r="A11" s="23" t="s">
        <v>107</v>
      </c>
      <c r="B11" s="30">
        <v>8591.4</v>
      </c>
      <c r="C11" s="29">
        <v>3636</v>
      </c>
      <c r="D11" s="29">
        <v>4220.3</v>
      </c>
      <c r="E11" s="29">
        <v>183.5</v>
      </c>
      <c r="F11" s="29">
        <v>551.58000000000004</v>
      </c>
      <c r="H11" s="23" t="s">
        <v>107</v>
      </c>
      <c r="I11" s="30">
        <v>33435.480000000003</v>
      </c>
      <c r="J11" s="29">
        <v>12632</v>
      </c>
      <c r="K11" s="29">
        <v>4486.3</v>
      </c>
      <c r="L11" s="29">
        <v>15686.6</v>
      </c>
      <c r="M11" s="29">
        <v>10267.700000000001</v>
      </c>
      <c r="N11" s="29">
        <v>18.579999999999998</v>
      </c>
      <c r="P11" s="49"/>
      <c r="Q11" s="33">
        <v>2021</v>
      </c>
      <c r="R11" s="32">
        <f t="shared" si="0"/>
        <v>0.6505793317286116</v>
      </c>
      <c r="S11" s="32">
        <f t="shared" si="0"/>
        <v>0.4095629494981427</v>
      </c>
      <c r="T11" s="32">
        <f t="shared" si="0"/>
        <v>0.41284289276807978</v>
      </c>
      <c r="U11" s="32">
        <f t="shared" si="0"/>
        <v>0.55784914268139529</v>
      </c>
    </row>
    <row r="12" spans="1:21" ht="13.6" customHeight="1">
      <c r="A12" s="23" t="s">
        <v>106</v>
      </c>
      <c r="B12" s="30">
        <v>9001.9</v>
      </c>
      <c r="C12" s="29">
        <v>3545.7</v>
      </c>
      <c r="D12" s="29">
        <v>4603.1000000000004</v>
      </c>
      <c r="E12" s="29">
        <v>171.8</v>
      </c>
      <c r="F12" s="29">
        <v>681.3</v>
      </c>
      <c r="H12" s="23" t="s">
        <v>106</v>
      </c>
      <c r="I12" s="30">
        <v>35908.9</v>
      </c>
      <c r="J12" s="29">
        <v>13049.48</v>
      </c>
      <c r="K12" s="29">
        <v>4694.8999999999996</v>
      </c>
      <c r="L12" s="29">
        <v>17552.2</v>
      </c>
      <c r="M12" s="29">
        <v>11938</v>
      </c>
      <c r="N12" s="29">
        <v>22.3</v>
      </c>
      <c r="P12" s="49"/>
      <c r="Q12" s="33">
        <v>2022</v>
      </c>
      <c r="R12" s="32">
        <f t="shared" si="0"/>
        <v>0.44725021418954752</v>
      </c>
      <c r="S12" s="32">
        <f t="shared" si="0"/>
        <v>0.271820584615732</v>
      </c>
      <c r="T12" s="32">
        <f t="shared" si="0"/>
        <v>0.28182418952618454</v>
      </c>
      <c r="U12" s="32">
        <f t="shared" si="0"/>
        <v>0.33435852747947475</v>
      </c>
    </row>
    <row r="13" spans="1:21" ht="13.6" customHeight="1">
      <c r="A13" s="23" t="s">
        <v>105</v>
      </c>
      <c r="B13" s="30">
        <v>9164.7999999999993</v>
      </c>
      <c r="C13" s="29">
        <v>3347.6</v>
      </c>
      <c r="D13" s="29">
        <v>4908.79</v>
      </c>
      <c r="E13" s="29">
        <v>160.57</v>
      </c>
      <c r="F13" s="29">
        <v>747.84</v>
      </c>
      <c r="H13" s="23" t="s">
        <v>105</v>
      </c>
      <c r="I13" s="30">
        <v>36589.800000000003</v>
      </c>
      <c r="J13" s="29">
        <v>13106.2</v>
      </c>
      <c r="K13" s="29">
        <v>5011.2</v>
      </c>
      <c r="L13" s="29">
        <v>17862.5</v>
      </c>
      <c r="M13" s="29">
        <v>11254</v>
      </c>
      <c r="N13" s="29">
        <v>24.93</v>
      </c>
      <c r="P13" s="49" t="s">
        <v>104</v>
      </c>
      <c r="Q13" s="33">
        <v>2019</v>
      </c>
      <c r="R13" s="32">
        <v>1</v>
      </c>
      <c r="S13" s="32">
        <v>1</v>
      </c>
      <c r="T13" s="32">
        <v>1</v>
      </c>
      <c r="U13" s="32">
        <v>1</v>
      </c>
    </row>
    <row r="14" spans="1:21" ht="13.6" customHeight="1">
      <c r="A14" s="23" t="s">
        <v>103</v>
      </c>
      <c r="B14" s="30">
        <v>10055.48</v>
      </c>
      <c r="C14" s="29">
        <v>3584.86</v>
      </c>
      <c r="D14" s="29">
        <v>5541.4</v>
      </c>
      <c r="E14" s="29">
        <v>155.69999999999999</v>
      </c>
      <c r="F14" s="29">
        <v>773.52</v>
      </c>
      <c r="H14" s="23" t="s">
        <v>103</v>
      </c>
      <c r="I14" s="30">
        <v>38384.699999999997</v>
      </c>
      <c r="J14" s="29">
        <v>13269.9</v>
      </c>
      <c r="K14" s="29">
        <v>5271.5</v>
      </c>
      <c r="L14" s="29">
        <v>19235</v>
      </c>
      <c r="M14" s="29">
        <v>14874.7</v>
      </c>
      <c r="N14" s="29">
        <v>29.1</v>
      </c>
      <c r="P14" s="49"/>
      <c r="Q14" s="33">
        <v>2020</v>
      </c>
      <c r="R14" s="32">
        <f t="shared" ref="R14:T16" si="1">J37/J$36</f>
        <v>1.0110168494746032</v>
      </c>
      <c r="S14" s="32">
        <f t="shared" si="1"/>
        <v>1.0089787460307373</v>
      </c>
      <c r="T14" s="32">
        <f t="shared" si="1"/>
        <v>1.0180006279154592</v>
      </c>
      <c r="U14" s="32">
        <f>N37/N$36</f>
        <v>0.91261398176291797</v>
      </c>
    </row>
    <row r="15" spans="1:21" ht="13.6" customHeight="1">
      <c r="A15" s="23" t="s">
        <v>102</v>
      </c>
      <c r="B15" s="30">
        <v>10636.7</v>
      </c>
      <c r="C15" s="29">
        <v>3773.42</v>
      </c>
      <c r="D15" s="29">
        <v>5942.81</v>
      </c>
      <c r="E15" s="29">
        <v>120.27</v>
      </c>
      <c r="F15" s="29">
        <v>800.24</v>
      </c>
      <c r="H15" s="23" t="s">
        <v>102</v>
      </c>
      <c r="I15" s="30">
        <v>38088.699999999997</v>
      </c>
      <c r="J15" s="29">
        <v>12560.1</v>
      </c>
      <c r="K15" s="29">
        <v>5483.38</v>
      </c>
      <c r="L15" s="29">
        <v>19405.8</v>
      </c>
      <c r="M15" s="29">
        <v>14920.28</v>
      </c>
      <c r="N15" s="29">
        <v>33.450000000000003</v>
      </c>
      <c r="P15" s="49"/>
      <c r="Q15" s="33">
        <v>2021</v>
      </c>
      <c r="R15" s="32">
        <f t="shared" si="1"/>
        <v>1.1012542264499146</v>
      </c>
      <c r="S15" s="32">
        <f t="shared" si="1"/>
        <v>1.1584814238420533</v>
      </c>
      <c r="T15" s="32">
        <f t="shared" si="1"/>
        <v>1.111717298763099</v>
      </c>
      <c r="U15" s="32">
        <f>N38/N$36</f>
        <v>1.0568389057750762</v>
      </c>
    </row>
    <row r="16" spans="1:21" ht="13.6" customHeight="1">
      <c r="A16" s="23" t="s">
        <v>101</v>
      </c>
      <c r="B16" s="30">
        <v>11299.7</v>
      </c>
      <c r="C16" s="29">
        <v>4135.8999999999996</v>
      </c>
      <c r="D16" s="29">
        <v>6199.24</v>
      </c>
      <c r="E16" s="29">
        <v>107.28</v>
      </c>
      <c r="F16" s="29">
        <v>857.3</v>
      </c>
      <c r="H16" s="23" t="s">
        <v>101</v>
      </c>
      <c r="I16" s="30">
        <v>40567.800000000003</v>
      </c>
      <c r="J16" s="29">
        <v>12910.3</v>
      </c>
      <c r="K16" s="29">
        <v>5724.3</v>
      </c>
      <c r="L16" s="29">
        <v>21262.799999999999</v>
      </c>
      <c r="M16" s="29">
        <v>17014.400000000001</v>
      </c>
      <c r="N16" s="29">
        <v>42.34</v>
      </c>
      <c r="P16" s="49"/>
      <c r="Q16" s="33">
        <v>2022</v>
      </c>
      <c r="R16" s="32">
        <f t="shared" si="1"/>
        <v>1.1909664551163859</v>
      </c>
      <c r="S16" s="32">
        <f t="shared" si="1"/>
        <v>1.1579848729944922</v>
      </c>
      <c r="T16" s="32">
        <f t="shared" si="1"/>
        <v>1.1639053398207673</v>
      </c>
      <c r="U16" s="32">
        <f>N39/N$36</f>
        <v>0.96542553191489366</v>
      </c>
    </row>
    <row r="17" spans="1:23" ht="13.6" customHeight="1">
      <c r="A17" s="23" t="s">
        <v>100</v>
      </c>
      <c r="B17" s="30">
        <v>12261.1</v>
      </c>
      <c r="C17" s="29">
        <v>4532.59</v>
      </c>
      <c r="D17" s="29">
        <v>6657.42</v>
      </c>
      <c r="E17" s="29">
        <v>100.54</v>
      </c>
      <c r="F17" s="29">
        <v>970.54</v>
      </c>
      <c r="H17" s="23" t="s">
        <v>100</v>
      </c>
      <c r="I17" s="30">
        <v>44320.5</v>
      </c>
      <c r="J17" s="29">
        <v>13770.49</v>
      </c>
      <c r="K17" s="29">
        <v>6129.4</v>
      </c>
      <c r="L17" s="29">
        <v>23734.2</v>
      </c>
      <c r="M17" s="29">
        <v>17073</v>
      </c>
      <c r="N17" s="29">
        <v>50.27</v>
      </c>
    </row>
    <row r="18" spans="1:23" ht="13.6" customHeight="1">
      <c r="A18" s="23" t="s">
        <v>99</v>
      </c>
      <c r="B18" s="30">
        <v>13155.13</v>
      </c>
      <c r="C18" s="29">
        <v>4766.82</v>
      </c>
      <c r="D18" s="29">
        <v>7207.08</v>
      </c>
      <c r="E18" s="29">
        <v>89.88</v>
      </c>
      <c r="F18" s="29">
        <v>1091.3499999999999</v>
      </c>
      <c r="H18" s="23" t="s">
        <v>99</v>
      </c>
      <c r="I18" s="30">
        <v>47709.9</v>
      </c>
      <c r="J18" s="29">
        <v>14694.1</v>
      </c>
      <c r="K18" s="29">
        <v>6330.4</v>
      </c>
      <c r="L18" s="29">
        <v>25988.9</v>
      </c>
      <c r="M18" s="29">
        <v>20873</v>
      </c>
      <c r="N18" s="29">
        <v>43.72</v>
      </c>
    </row>
    <row r="19" spans="1:23" ht="13.6" customHeight="1">
      <c r="A19" s="23" t="s">
        <v>98</v>
      </c>
      <c r="B19" s="30">
        <v>14125.6</v>
      </c>
      <c r="C19" s="29">
        <v>4969.3999999999996</v>
      </c>
      <c r="D19" s="29">
        <v>7805.8</v>
      </c>
      <c r="E19" s="29">
        <v>81.8</v>
      </c>
      <c r="F19" s="29">
        <v>1268.7</v>
      </c>
      <c r="H19" s="23" t="s">
        <v>98</v>
      </c>
      <c r="I19" s="30">
        <v>50685.9</v>
      </c>
      <c r="J19" s="29">
        <v>15658.4</v>
      </c>
      <c r="K19" s="29">
        <v>6782.5</v>
      </c>
      <c r="L19" s="29">
        <v>27510.6</v>
      </c>
      <c r="M19" s="29">
        <v>21733</v>
      </c>
      <c r="N19" s="29">
        <v>51.55</v>
      </c>
      <c r="P19" s="37"/>
      <c r="Q19" s="49" t="s">
        <v>109</v>
      </c>
      <c r="R19" s="49"/>
      <c r="S19" s="49"/>
      <c r="T19" s="49"/>
      <c r="U19" s="49"/>
      <c r="V19" s="49"/>
    </row>
    <row r="20" spans="1:23" ht="13.6" customHeight="1">
      <c r="A20" s="23" t="s">
        <v>97</v>
      </c>
      <c r="B20" s="30">
        <v>13810.5</v>
      </c>
      <c r="C20" s="29">
        <v>4788.6099999999997</v>
      </c>
      <c r="D20" s="29">
        <v>7695.6</v>
      </c>
      <c r="E20" s="29">
        <v>63.1</v>
      </c>
      <c r="F20" s="29">
        <v>1263.19</v>
      </c>
      <c r="H20" s="23" t="s">
        <v>97</v>
      </c>
      <c r="I20" s="30">
        <v>53859.199999999997</v>
      </c>
      <c r="J20" s="29">
        <v>17246.7</v>
      </c>
      <c r="K20" s="29">
        <v>7099.4755999999998</v>
      </c>
      <c r="L20" s="29">
        <v>28715.8</v>
      </c>
      <c r="M20" s="29">
        <v>22304.77</v>
      </c>
      <c r="N20" s="29">
        <v>57.9</v>
      </c>
      <c r="P20" s="37"/>
      <c r="Q20" s="32"/>
      <c r="R20" s="32"/>
      <c r="S20" s="33">
        <v>2019</v>
      </c>
      <c r="T20" s="33">
        <v>2020</v>
      </c>
      <c r="U20" s="33">
        <v>2021</v>
      </c>
      <c r="V20" s="33">
        <v>2022</v>
      </c>
      <c r="W20" s="33">
        <v>2023</v>
      </c>
    </row>
    <row r="21" spans="1:23" ht="13.6" customHeight="1">
      <c r="A21" s="23" t="s">
        <v>96</v>
      </c>
      <c r="B21" s="30">
        <v>16309.1</v>
      </c>
      <c r="C21" s="29">
        <v>5712.2</v>
      </c>
      <c r="D21" s="29">
        <v>8748.4</v>
      </c>
      <c r="E21" s="29">
        <v>66.3</v>
      </c>
      <c r="F21" s="29">
        <v>1782.3</v>
      </c>
      <c r="H21" s="23" t="s">
        <v>96</v>
      </c>
      <c r="I21" s="30">
        <v>69445</v>
      </c>
      <c r="J21" s="29">
        <v>19288.8</v>
      </c>
      <c r="K21" s="29">
        <v>7840.9</v>
      </c>
      <c r="L21" s="29">
        <v>41428.699999999997</v>
      </c>
      <c r="M21" s="29">
        <v>32255</v>
      </c>
      <c r="N21" s="29">
        <v>71.8</v>
      </c>
      <c r="P21" s="37"/>
      <c r="Q21" s="51" t="s">
        <v>115</v>
      </c>
      <c r="R21" s="51"/>
      <c r="S21" s="32" cm="1">
        <f t="array" ref="S21:V21">TRANSPOSE(R9:R12)</f>
        <v>1</v>
      </c>
      <c r="T21" s="32">
        <v>0.56207349081364832</v>
      </c>
      <c r="U21" s="32">
        <v>0.6505793317286116</v>
      </c>
      <c r="V21" s="32">
        <v>0.44725021418954752</v>
      </c>
      <c r="W21" s="32">
        <f>(1-V21)*0.85+V21</f>
        <v>0.91708753212843208</v>
      </c>
    </row>
    <row r="22" spans="1:23" ht="13.6" customHeight="1">
      <c r="A22" s="23" t="s">
        <v>95</v>
      </c>
      <c r="B22" s="30">
        <v>17466.740000000002</v>
      </c>
      <c r="C22" s="29">
        <v>6061.96</v>
      </c>
      <c r="D22" s="29">
        <v>9292.08</v>
      </c>
      <c r="E22" s="29">
        <v>67.77</v>
      </c>
      <c r="F22" s="29">
        <v>2044.93</v>
      </c>
      <c r="H22" s="23" t="s">
        <v>95</v>
      </c>
      <c r="I22" s="30">
        <v>80258.100000000006</v>
      </c>
      <c r="J22" s="29">
        <v>20726</v>
      </c>
      <c r="K22" s="29">
        <v>8693.2000000000007</v>
      </c>
      <c r="L22" s="29">
        <v>49672.3</v>
      </c>
      <c r="M22" s="29">
        <v>38552</v>
      </c>
      <c r="N22" s="29">
        <v>78.900000000000006</v>
      </c>
      <c r="P22" s="37"/>
      <c r="Q22" s="51" t="s">
        <v>114</v>
      </c>
      <c r="R22" s="51"/>
      <c r="S22" s="32">
        <v>1</v>
      </c>
      <c r="T22" s="32">
        <f>Q5/$P$5</f>
        <v>0.86997952636757658</v>
      </c>
      <c r="U22" s="32">
        <f t="shared" ref="U22:W22" si="2">R5/$P$5</f>
        <v>0.90072027403562671</v>
      </c>
      <c r="V22" s="32">
        <f t="shared" si="2"/>
        <v>0.78830135568996362</v>
      </c>
      <c r="W22" s="32">
        <f t="shared" si="2"/>
        <v>0.80177651947337769</v>
      </c>
    </row>
    <row r="23" spans="1:23" ht="13.6" customHeight="1">
      <c r="A23" s="23" t="s">
        <v>94</v>
      </c>
      <c r="B23" s="30">
        <v>19197.210515000002</v>
      </c>
      <c r="C23" s="29">
        <v>6622.1222100000005</v>
      </c>
      <c r="D23" s="29">
        <v>10130.845799999999</v>
      </c>
      <c r="E23" s="29">
        <v>73.582499999999996</v>
      </c>
      <c r="F23" s="29">
        <v>2370.6600050000002</v>
      </c>
      <c r="H23" s="23" t="s">
        <v>94</v>
      </c>
      <c r="I23" s="30">
        <v>88839.850695310888</v>
      </c>
      <c r="J23" s="29">
        <v>21954.41</v>
      </c>
      <c r="K23" s="29">
        <v>9754.2476000000006</v>
      </c>
      <c r="L23" s="29">
        <v>55485.749499999998</v>
      </c>
      <c r="M23" s="29">
        <v>42577.299599999998</v>
      </c>
      <c r="N23" s="29">
        <v>94.275260000000003</v>
      </c>
      <c r="P23" s="37"/>
      <c r="Q23" s="51" t="s">
        <v>113</v>
      </c>
      <c r="R23" s="51"/>
      <c r="S23" s="32" cm="1">
        <f t="array" ref="S23:V24">TRANSPOSE(T9:U12)</f>
        <v>1</v>
      </c>
      <c r="T23" s="32">
        <v>0.41134663341645888</v>
      </c>
      <c r="U23" s="32">
        <v>0.41284289276807978</v>
      </c>
      <c r="V23" s="32">
        <v>0.28182418952618454</v>
      </c>
      <c r="W23" s="32">
        <f t="shared" ref="W23:W24" si="3">(1-V23)*0.85+V23</f>
        <v>0.89227362842892766</v>
      </c>
    </row>
    <row r="24" spans="1:23" ht="13.6" customHeight="1">
      <c r="A24" s="23" t="s">
        <v>93</v>
      </c>
      <c r="B24" s="30">
        <v>21592.580858000001</v>
      </c>
      <c r="C24" s="29">
        <v>7216.31</v>
      </c>
      <c r="D24" s="29">
        <v>11506.766799999999</v>
      </c>
      <c r="E24" s="29">
        <v>77.778300000000002</v>
      </c>
      <c r="F24" s="29">
        <v>2791.725758</v>
      </c>
      <c r="H24" s="23" t="s">
        <v>93</v>
      </c>
      <c r="I24" s="30">
        <v>101418.81119221887</v>
      </c>
      <c r="J24" s="29">
        <v>23797</v>
      </c>
      <c r="K24" s="29">
        <v>11354.6872</v>
      </c>
      <c r="L24" s="29">
        <v>64284.845999999998</v>
      </c>
      <c r="M24" s="29">
        <v>48685.894099999998</v>
      </c>
      <c r="N24" s="29">
        <v>116.386674</v>
      </c>
      <c r="P24" s="37"/>
      <c r="Q24" s="51" t="s">
        <v>112</v>
      </c>
      <c r="R24" s="51"/>
      <c r="S24" s="32">
        <v>1</v>
      </c>
      <c r="T24" s="32">
        <v>0.53919060922162132</v>
      </c>
      <c r="U24" s="32">
        <v>0.55784914268139529</v>
      </c>
      <c r="V24" s="32">
        <v>0.33435852747947475</v>
      </c>
      <c r="W24" s="32">
        <f t="shared" si="3"/>
        <v>0.90015377912192118</v>
      </c>
    </row>
    <row r="25" spans="1:23" ht="13.6" customHeight="1">
      <c r="A25" s="23">
        <v>2008</v>
      </c>
      <c r="B25" s="30">
        <v>23196.698389099998</v>
      </c>
      <c r="C25" s="29">
        <v>7778.6045560999992</v>
      </c>
      <c r="D25" s="29">
        <v>12476.1149</v>
      </c>
      <c r="E25" s="29">
        <v>59.179600000000001</v>
      </c>
      <c r="F25" s="29">
        <v>2882.7993329999999</v>
      </c>
      <c r="H25" s="23">
        <v>2008</v>
      </c>
      <c r="I25" s="30">
        <v>110300</v>
      </c>
      <c r="J25" s="29">
        <v>25106.281709408857</v>
      </c>
      <c r="K25" s="29">
        <v>32868.186099999999</v>
      </c>
      <c r="L25" s="29">
        <v>50262.704499999985</v>
      </c>
      <c r="M25" s="29">
        <v>32851</v>
      </c>
      <c r="N25" s="29">
        <v>119.602272</v>
      </c>
      <c r="Q25" s="49" t="s">
        <v>104</v>
      </c>
      <c r="R25" s="49"/>
      <c r="S25" s="49"/>
      <c r="T25" s="49"/>
      <c r="U25" s="49"/>
      <c r="V25" s="49"/>
    </row>
    <row r="26" spans="1:23" ht="13.6" customHeight="1">
      <c r="A26" s="23">
        <v>2009</v>
      </c>
      <c r="B26" s="30">
        <v>24834.941581999999</v>
      </c>
      <c r="C26" s="29">
        <v>7878.8885200000004</v>
      </c>
      <c r="D26" s="29">
        <v>13511.4375</v>
      </c>
      <c r="E26" s="29">
        <v>69.380200000000002</v>
      </c>
      <c r="F26" s="29">
        <v>3375.2353619999999</v>
      </c>
      <c r="H26" s="23">
        <v>2009</v>
      </c>
      <c r="I26" s="30">
        <v>122133.31260377038</v>
      </c>
      <c r="J26" s="29">
        <v>25239.169239999999</v>
      </c>
      <c r="K26" s="29">
        <v>37188.820500000002</v>
      </c>
      <c r="L26" s="29">
        <v>57556.672200000001</v>
      </c>
      <c r="M26" s="29">
        <v>39524</v>
      </c>
      <c r="N26" s="29">
        <v>126.23070199999999</v>
      </c>
      <c r="S26" s="33">
        <v>2019</v>
      </c>
      <c r="T26" s="33">
        <v>2020</v>
      </c>
      <c r="U26" s="33">
        <v>2021</v>
      </c>
      <c r="V26" s="33">
        <v>2022</v>
      </c>
    </row>
    <row r="27" spans="1:23" ht="13.6" customHeight="1">
      <c r="A27" s="23">
        <v>2010</v>
      </c>
      <c r="B27" s="30">
        <v>27894.256617999999</v>
      </c>
      <c r="C27" s="29">
        <v>8762.1782600000006</v>
      </c>
      <c r="D27" s="29">
        <v>15020.8123</v>
      </c>
      <c r="E27" s="29">
        <v>72.270099999999999</v>
      </c>
      <c r="F27" s="29">
        <v>4038.995958</v>
      </c>
      <c r="H27" s="23">
        <v>2010</v>
      </c>
      <c r="I27" s="30">
        <v>141837.42298932042</v>
      </c>
      <c r="J27" s="29">
        <v>27644.133169999997</v>
      </c>
      <c r="K27" s="29">
        <v>43389.672100000003</v>
      </c>
      <c r="L27" s="29">
        <v>68427.526400000002</v>
      </c>
      <c r="M27" s="29">
        <v>45999</v>
      </c>
      <c r="N27" s="29">
        <v>178.89815999999999</v>
      </c>
      <c r="Q27" s="51" t="s">
        <v>115</v>
      </c>
      <c r="R27" s="51"/>
      <c r="S27" s="32" cm="1">
        <f t="array" ref="S27:V30">TRANSPOSE(R13:U16)</f>
        <v>1</v>
      </c>
      <c r="T27" s="32">
        <v>1.0110168494746032</v>
      </c>
      <c r="U27" s="32">
        <v>1.1012542264499146</v>
      </c>
      <c r="V27" s="32">
        <v>1.1909664551163859</v>
      </c>
    </row>
    <row r="28" spans="1:23" ht="13.6" customHeight="1">
      <c r="A28" s="23">
        <v>2011</v>
      </c>
      <c r="B28" s="30">
        <v>30984.03</v>
      </c>
      <c r="C28" s="29">
        <v>9612.2935529999995</v>
      </c>
      <c r="D28" s="29">
        <v>16760.246599999999</v>
      </c>
      <c r="E28" s="29">
        <v>74.528499999999994</v>
      </c>
      <c r="F28" s="29">
        <v>4536.9629000000004</v>
      </c>
      <c r="H28" s="23">
        <v>2011</v>
      </c>
      <c r="I28" s="30">
        <v>159323.6</v>
      </c>
      <c r="J28" s="29">
        <v>29465.785199999998</v>
      </c>
      <c r="K28" s="29">
        <v>51374.740599999997</v>
      </c>
      <c r="L28" s="29">
        <v>75423.835800000001</v>
      </c>
      <c r="M28" s="29">
        <v>49355</v>
      </c>
      <c r="N28" s="29">
        <v>173.91</v>
      </c>
      <c r="Q28" s="51" t="s">
        <v>114</v>
      </c>
      <c r="R28" s="51"/>
      <c r="S28" s="32">
        <v>1</v>
      </c>
      <c r="T28" s="32">
        <v>1.0089787460307373</v>
      </c>
      <c r="U28" s="32">
        <v>1.1584814238420533</v>
      </c>
      <c r="V28" s="32">
        <v>1.1579848729944922</v>
      </c>
    </row>
    <row r="29" spans="1:23" ht="13.6" customHeight="1">
      <c r="A29" s="23">
        <v>2012</v>
      </c>
      <c r="B29" s="30">
        <v>33383.088894</v>
      </c>
      <c r="C29" s="29">
        <v>9812.3271799999984</v>
      </c>
      <c r="D29" s="29">
        <v>18467.545999999998</v>
      </c>
      <c r="E29" s="29">
        <v>77.479100000000003</v>
      </c>
      <c r="F29" s="29">
        <v>5025.7366140000004</v>
      </c>
      <c r="H29" s="23">
        <v>2012</v>
      </c>
      <c r="I29" s="30">
        <v>173804.46088564664</v>
      </c>
      <c r="J29" s="29">
        <v>29187.085950000001</v>
      </c>
      <c r="K29" s="29">
        <v>59534.864699999998</v>
      </c>
      <c r="L29" s="29">
        <v>81707.578899999993</v>
      </c>
      <c r="M29" s="29">
        <v>53412.1005</v>
      </c>
      <c r="N29" s="29">
        <v>163.88936200000001</v>
      </c>
      <c r="Q29" s="51" t="s">
        <v>113</v>
      </c>
      <c r="R29" s="51"/>
      <c r="S29" s="32">
        <v>1</v>
      </c>
      <c r="T29" s="32">
        <v>1.0180006279154592</v>
      </c>
      <c r="U29" s="32">
        <v>1.111717298763099</v>
      </c>
      <c r="V29" s="32">
        <v>1.1639053398207673</v>
      </c>
    </row>
    <row r="30" spans="1:23" ht="13.6" customHeight="1">
      <c r="A30" s="23">
        <v>2013</v>
      </c>
      <c r="B30" s="30">
        <v>27571.653741000002</v>
      </c>
      <c r="C30" s="29">
        <v>10595.61858</v>
      </c>
      <c r="D30" s="29">
        <v>11250.942999999999</v>
      </c>
      <c r="E30" s="29">
        <v>68.332599999999999</v>
      </c>
      <c r="F30" s="29">
        <v>5656.7595609999998</v>
      </c>
      <c r="H30" s="23">
        <v>2013</v>
      </c>
      <c r="I30" s="30">
        <v>168013.80016386535</v>
      </c>
      <c r="J30" s="29">
        <v>29173.890587900001</v>
      </c>
      <c r="K30" s="29">
        <v>55738.077499999999</v>
      </c>
      <c r="L30" s="29">
        <v>79435.650699999998</v>
      </c>
      <c r="M30" s="29">
        <v>48705.3681</v>
      </c>
      <c r="N30" s="29">
        <v>170.29181</v>
      </c>
      <c r="Q30" s="51" t="s">
        <v>112</v>
      </c>
      <c r="R30" s="51"/>
      <c r="S30" s="32">
        <v>1</v>
      </c>
      <c r="T30" s="32">
        <v>0.91261398176291797</v>
      </c>
      <c r="U30" s="32">
        <v>1.0568389057750762</v>
      </c>
      <c r="V30" s="32">
        <v>0.96542553191489366</v>
      </c>
    </row>
    <row r="31" spans="1:23" ht="13.6" customHeight="1">
      <c r="A31" s="23">
        <v>2014</v>
      </c>
      <c r="B31" s="30">
        <v>28647.131570199999</v>
      </c>
      <c r="C31" s="29">
        <v>11241.85</v>
      </c>
      <c r="D31" s="29">
        <v>10996.75</v>
      </c>
      <c r="E31" s="29">
        <v>74.34129320000001</v>
      </c>
      <c r="F31" s="29">
        <v>6334.1902770000006</v>
      </c>
      <c r="H31" s="23">
        <v>2014</v>
      </c>
      <c r="I31" s="30">
        <v>181667.69256484584</v>
      </c>
      <c r="J31" s="29">
        <v>27530.190435086311</v>
      </c>
      <c r="K31" s="29">
        <v>56846.9</v>
      </c>
      <c r="L31" s="29">
        <v>92774.555574499987</v>
      </c>
      <c r="M31" s="29">
        <v>55935.0625</v>
      </c>
      <c r="N31" s="29">
        <v>187.771491</v>
      </c>
    </row>
    <row r="32" spans="1:23" ht="13.6" customHeight="1">
      <c r="A32" s="23">
        <v>2015</v>
      </c>
      <c r="B32" s="30">
        <v>30058.898099999999</v>
      </c>
      <c r="C32" s="29">
        <v>11960.604300000001</v>
      </c>
      <c r="D32" s="29">
        <v>10742.6585</v>
      </c>
      <c r="E32" s="29">
        <v>73.084000000000003</v>
      </c>
      <c r="F32" s="29">
        <v>7282.5513000000001</v>
      </c>
      <c r="H32" s="23">
        <v>2015</v>
      </c>
      <c r="I32" s="30">
        <v>178355.90140000003</v>
      </c>
      <c r="J32" s="29">
        <v>23754.307799999999</v>
      </c>
      <c r="K32" s="29">
        <v>57955.724499999997</v>
      </c>
      <c r="L32" s="29">
        <v>91772.450700000001</v>
      </c>
      <c r="M32" s="29">
        <v>54236.093500000003</v>
      </c>
      <c r="N32" s="29">
        <v>208.06829999999999</v>
      </c>
    </row>
    <row r="33" spans="1:14" ht="13.6" customHeight="1">
      <c r="A33" s="23">
        <v>2016</v>
      </c>
      <c r="B33" s="30">
        <v>31258.462310399998</v>
      </c>
      <c r="C33" s="29">
        <v>12579.29334</v>
      </c>
      <c r="D33" s="29">
        <v>10228.707653489999</v>
      </c>
      <c r="E33" s="29">
        <v>72.326541910000003</v>
      </c>
      <c r="F33" s="29">
        <v>8378.1347750000004</v>
      </c>
      <c r="H33" s="23">
        <v>2016</v>
      </c>
      <c r="I33" s="30">
        <v>186629.47582635999</v>
      </c>
      <c r="J33" s="29">
        <v>23792.26195</v>
      </c>
      <c r="K33" s="29">
        <v>61080.096779</v>
      </c>
      <c r="L33" s="29">
        <v>97338.802260359997</v>
      </c>
      <c r="M33" s="29">
        <v>58074.6</v>
      </c>
      <c r="N33" s="29">
        <v>222.44933700000001</v>
      </c>
    </row>
    <row r="34" spans="1:14" ht="13.6" customHeight="1">
      <c r="A34" s="23">
        <v>2017</v>
      </c>
      <c r="B34" s="30">
        <v>32812.799787310003</v>
      </c>
      <c r="C34" s="29">
        <v>13456.92044</v>
      </c>
      <c r="D34" s="29">
        <v>9765.1794399999999</v>
      </c>
      <c r="E34" s="29">
        <v>77.664137310000001</v>
      </c>
      <c r="F34" s="29">
        <v>9513.0357700000004</v>
      </c>
      <c r="H34" s="23">
        <v>2017</v>
      </c>
      <c r="I34" s="30">
        <v>197372.64934682401</v>
      </c>
      <c r="J34" s="29">
        <v>26962.20392</v>
      </c>
      <c r="K34" s="29">
        <v>66771.515937040007</v>
      </c>
      <c r="L34" s="29">
        <v>98611.245935739993</v>
      </c>
      <c r="M34" s="29">
        <v>55083.857495930002</v>
      </c>
      <c r="N34" s="29">
        <v>243.55229499999999</v>
      </c>
    </row>
    <row r="35" spans="1:14" ht="13.6" customHeight="1">
      <c r="A35" s="23">
        <v>2018</v>
      </c>
      <c r="B35" s="30">
        <v>34218.151906239997</v>
      </c>
      <c r="C35" s="29">
        <v>14146.582490000001</v>
      </c>
      <c r="D35" s="29">
        <v>9279.6786059400001</v>
      </c>
      <c r="E35" s="29">
        <v>79.574191299999995</v>
      </c>
      <c r="F35" s="29">
        <v>10712.316618999999</v>
      </c>
      <c r="G35" s="31"/>
      <c r="H35" s="23">
        <v>2018</v>
      </c>
      <c r="I35" s="30">
        <v>204686.23705353271</v>
      </c>
      <c r="J35" s="29">
        <v>28820.985710000001</v>
      </c>
      <c r="K35" s="29">
        <v>71249.211932699996</v>
      </c>
      <c r="L35" s="29">
        <v>99052.815451589995</v>
      </c>
      <c r="M35" s="29">
        <v>51926.58</v>
      </c>
      <c r="N35" s="29">
        <v>262.49910699999998</v>
      </c>
    </row>
    <row r="36" spans="1:14" ht="13.6" customHeight="1">
      <c r="A36" s="24">
        <v>2019</v>
      </c>
      <c r="B36" s="27">
        <f>SUM(C36:F36)</f>
        <v>35349</v>
      </c>
      <c r="C36" s="28">
        <v>14706.6</v>
      </c>
      <c r="D36" s="28">
        <v>8857.1</v>
      </c>
      <c r="E36" s="28">
        <v>80.2</v>
      </c>
      <c r="F36" s="28">
        <v>11705.1</v>
      </c>
      <c r="G36" s="19"/>
      <c r="H36" s="24">
        <v>2019</v>
      </c>
      <c r="I36" s="27">
        <f>SUM(J36:N36)-M36</f>
        <v>194044.58000000002</v>
      </c>
      <c r="J36" s="28">
        <v>30181.95</v>
      </c>
      <c r="K36" s="28">
        <v>59636.39</v>
      </c>
      <c r="L36" s="28">
        <v>103963.04</v>
      </c>
      <c r="M36" s="28">
        <v>54057</v>
      </c>
      <c r="N36" s="28">
        <v>263.2</v>
      </c>
    </row>
    <row r="37" spans="1:14" ht="13.6" customHeight="1">
      <c r="A37" s="24">
        <v>2020</v>
      </c>
      <c r="B37" s="27">
        <f>SUM(C37:F37)</f>
        <v>19251.47</v>
      </c>
      <c r="C37" s="26">
        <v>8266.19</v>
      </c>
      <c r="D37" s="26">
        <v>4641.01</v>
      </c>
      <c r="E37" s="26">
        <v>32.99</v>
      </c>
      <c r="F37" s="26">
        <v>6311.28</v>
      </c>
      <c r="G37" s="19"/>
      <c r="H37" s="23">
        <v>2020</v>
      </c>
      <c r="I37" s="27">
        <f>SUM(J37:N37)-M37</f>
        <v>196760.95</v>
      </c>
      <c r="J37" s="26">
        <v>30514.46</v>
      </c>
      <c r="K37" s="26">
        <v>60171.85</v>
      </c>
      <c r="L37" s="26">
        <v>105834.44</v>
      </c>
      <c r="M37" s="26">
        <v>89897</v>
      </c>
      <c r="N37" s="26">
        <v>240.2</v>
      </c>
    </row>
    <row r="38" spans="1:14" ht="13.6" customHeight="1">
      <c r="A38" s="24">
        <v>2021</v>
      </c>
      <c r="B38" s="27">
        <f>SUM(C38:F38)</f>
        <v>19758.14</v>
      </c>
      <c r="C38" s="26">
        <v>9567.81</v>
      </c>
      <c r="D38" s="26">
        <v>3627.54</v>
      </c>
      <c r="E38" s="25">
        <v>33.11</v>
      </c>
      <c r="F38" s="26">
        <v>6529.68</v>
      </c>
      <c r="G38" s="19"/>
      <c r="H38" s="23">
        <v>2021</v>
      </c>
      <c r="I38" s="27">
        <f>SUM(J38:N38)-M38</f>
        <v>218181.31999999995</v>
      </c>
      <c r="J38" s="26">
        <v>33238</v>
      </c>
      <c r="K38" s="26">
        <v>69087.649999999994</v>
      </c>
      <c r="L38" s="25">
        <v>115577.51</v>
      </c>
      <c r="M38" s="26">
        <v>97842</v>
      </c>
      <c r="N38" s="25">
        <v>278.16000000000003</v>
      </c>
    </row>
    <row r="39" spans="1:14" ht="13.6" customHeight="1">
      <c r="A39" s="24">
        <v>2022</v>
      </c>
      <c r="B39" s="22">
        <f>C39+D39+E39+F39</f>
        <v>12921.374400000001</v>
      </c>
      <c r="C39" s="21">
        <v>6577.53</v>
      </c>
      <c r="D39" s="21">
        <v>2407.5421000000001</v>
      </c>
      <c r="E39" s="21">
        <v>22.6023</v>
      </c>
      <c r="F39" s="21">
        <v>3913.7</v>
      </c>
      <c r="H39" s="23">
        <v>2022</v>
      </c>
      <c r="I39" s="22">
        <f>SUM(J39:N39)-M39</f>
        <v>226260.96490000002</v>
      </c>
      <c r="J39" s="21">
        <v>35945.69</v>
      </c>
      <c r="K39" s="21">
        <v>69058.037500000006</v>
      </c>
      <c r="L39" s="21">
        <v>121003.13740000001</v>
      </c>
      <c r="M39" s="21"/>
      <c r="N39" s="21">
        <v>254.1</v>
      </c>
    </row>
    <row r="40" spans="1:14" ht="13.6" customHeight="1">
      <c r="A40" s="20"/>
      <c r="B40" s="21"/>
      <c r="C40" s="21"/>
      <c r="D40" s="21"/>
      <c r="E40" s="21"/>
      <c r="F40" s="21"/>
      <c r="H40" s="20"/>
      <c r="I40" s="21"/>
      <c r="J40" s="21"/>
      <c r="K40" s="21"/>
      <c r="L40" s="21"/>
      <c r="M40" s="21"/>
      <c r="N40" s="20"/>
    </row>
    <row r="41" spans="1:14" ht="13.6" customHeight="1">
      <c r="A41" s="19"/>
      <c r="C41" s="19"/>
      <c r="E41" s="19"/>
      <c r="G41" s="19"/>
      <c r="H41" s="19"/>
      <c r="J41" s="19"/>
      <c r="L41" s="19"/>
    </row>
    <row r="42" spans="1:14" ht="13.6" customHeight="1">
      <c r="A42" s="19"/>
      <c r="B42" t="s">
        <v>92</v>
      </c>
      <c r="C42" s="19"/>
      <c r="E42" s="19"/>
      <c r="G42" s="19"/>
      <c r="H42" s="19"/>
      <c r="J42" s="19"/>
      <c r="L42" s="19"/>
    </row>
    <row r="43" spans="1:14" ht="13.6" customHeight="1">
      <c r="A43" s="19"/>
      <c r="B43" t="s">
        <v>91</v>
      </c>
      <c r="C43" s="19" t="s">
        <v>89</v>
      </c>
      <c r="D43" t="s">
        <v>88</v>
      </c>
      <c r="E43" s="19" t="s">
        <v>90</v>
      </c>
      <c r="F43" s="19" t="s">
        <v>89</v>
      </c>
      <c r="G43" s="19" t="s">
        <v>88</v>
      </c>
      <c r="H43" s="19"/>
      <c r="J43" s="19"/>
      <c r="L43" s="19"/>
    </row>
    <row r="44" spans="1:14" ht="13.6" customHeight="1">
      <c r="A44" s="19"/>
      <c r="B44" t="s">
        <v>84</v>
      </c>
      <c r="C44" s="19">
        <v>227300000</v>
      </c>
      <c r="D44">
        <v>1.67</v>
      </c>
      <c r="E44" s="19" t="s">
        <v>84</v>
      </c>
      <c r="F44">
        <v>22118027</v>
      </c>
      <c r="G44" s="19">
        <v>1.1399999999999999</v>
      </c>
      <c r="H44" s="19"/>
      <c r="J44" s="19"/>
      <c r="L44" s="19"/>
    </row>
    <row r="45" spans="1:14" ht="13.6" customHeight="1">
      <c r="A45" s="19"/>
      <c r="B45" t="s">
        <v>83</v>
      </c>
      <c r="C45" s="19">
        <v>2253000</v>
      </c>
      <c r="D45">
        <v>21.196137258578663</v>
      </c>
      <c r="E45" s="19" t="s">
        <v>83</v>
      </c>
      <c r="F45">
        <v>8308373</v>
      </c>
      <c r="G45" s="19">
        <v>10.83</v>
      </c>
      <c r="H45" s="19"/>
      <c r="J45" s="19"/>
      <c r="L45" s="19"/>
    </row>
    <row r="46" spans="1:14" ht="13.6" customHeight="1">
      <c r="A46" s="19"/>
      <c r="C46" s="19"/>
      <c r="E46" s="19"/>
      <c r="G46" s="19"/>
      <c r="H46" s="19"/>
      <c r="J46" s="19"/>
      <c r="L46" s="19" t="s">
        <v>92</v>
      </c>
    </row>
    <row r="47" spans="1:14" ht="13.6" customHeight="1">
      <c r="A47" s="19"/>
      <c r="B47" t="s">
        <v>87</v>
      </c>
      <c r="C47" s="19"/>
      <c r="E47" t="s">
        <v>87</v>
      </c>
      <c r="G47" s="19"/>
      <c r="H47" s="19"/>
      <c r="J47" s="19"/>
      <c r="L47" s="19"/>
    </row>
    <row r="48" spans="1:14" ht="13.6" customHeight="1">
      <c r="A48" s="19"/>
      <c r="B48" t="s">
        <v>84</v>
      </c>
      <c r="C48" s="19">
        <f>C44*D44</f>
        <v>379591000</v>
      </c>
      <c r="E48" t="s">
        <v>84</v>
      </c>
      <c r="F48">
        <f>F44*G44</f>
        <v>25214550.779999997</v>
      </c>
      <c r="G48" s="19"/>
    </row>
    <row r="49" spans="2:6" ht="13.6" customHeight="1">
      <c r="B49" t="s">
        <v>83</v>
      </c>
      <c r="C49" s="19">
        <f>C45*D45</f>
        <v>47754897.243577726</v>
      </c>
      <c r="E49" t="s">
        <v>83</v>
      </c>
      <c r="F49">
        <f>F45*G45</f>
        <v>89979679.590000004</v>
      </c>
    </row>
    <row r="51" spans="2:6" ht="13.6" customHeight="1">
      <c r="B51" t="s">
        <v>86</v>
      </c>
      <c r="E51" t="s">
        <v>85</v>
      </c>
    </row>
    <row r="52" spans="2:6" ht="13.6" customHeight="1">
      <c r="B52" t="s">
        <v>84</v>
      </c>
      <c r="C52">
        <f>C48/(C48+C49)</f>
        <v>0.88825235587471085</v>
      </c>
      <c r="E52" t="s">
        <v>84</v>
      </c>
      <c r="F52">
        <f>F48/(F48+F49)</f>
        <v>0.21888727151535026</v>
      </c>
    </row>
    <row r="53" spans="2:6" ht="13.6" customHeight="1">
      <c r="B53" t="s">
        <v>83</v>
      </c>
      <c r="C53">
        <f>1-C52</f>
        <v>0.11174764412528915</v>
      </c>
      <c r="E53" t="s">
        <v>83</v>
      </c>
      <c r="F53">
        <f>1-F52</f>
        <v>0.78111272848464974</v>
      </c>
    </row>
  </sheetData>
  <mergeCells count="32">
    <mergeCell ref="Q27:R27"/>
    <mergeCell ref="Q28:R28"/>
    <mergeCell ref="Q29:R29"/>
    <mergeCell ref="Q30:R30"/>
    <mergeCell ref="Q25:V25"/>
    <mergeCell ref="Q21:R21"/>
    <mergeCell ref="Q22:R22"/>
    <mergeCell ref="Q23:R23"/>
    <mergeCell ref="Q24:R24"/>
    <mergeCell ref="Q19:V19"/>
    <mergeCell ref="I2:I3"/>
    <mergeCell ref="C2:C3"/>
    <mergeCell ref="N2:N3"/>
    <mergeCell ref="A1:F1"/>
    <mergeCell ref="H1:M1"/>
    <mergeCell ref="J2:J3"/>
    <mergeCell ref="K2:K3"/>
    <mergeCell ref="L2:L3"/>
    <mergeCell ref="D2:D3"/>
    <mergeCell ref="E2:E3"/>
    <mergeCell ref="A2:A3"/>
    <mergeCell ref="B2:B3"/>
    <mergeCell ref="H2:H3"/>
    <mergeCell ref="F2:F3"/>
    <mergeCell ref="P9:P12"/>
    <mergeCell ref="P6:U6"/>
    <mergeCell ref="P7:Q8"/>
    <mergeCell ref="P13:P16"/>
    <mergeCell ref="U7:U8"/>
    <mergeCell ref="R7:R8"/>
    <mergeCell ref="S7:S8"/>
    <mergeCell ref="T7:T8"/>
  </mergeCells>
  <phoneticPr fontId="4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theme="3"/>
  </sheetPr>
  <dimension ref="A1:AQ7"/>
  <sheetViews>
    <sheetView tabSelected="1" workbookViewId="0">
      <selection activeCell="G3" sqref="G3"/>
    </sheetView>
  </sheetViews>
  <sheetFormatPr defaultColWidth="9.375" defaultRowHeight="12.9"/>
  <cols>
    <col min="1" max="1" width="16.5" customWidth="1"/>
  </cols>
  <sheetData>
    <row r="1" spans="1:43" ht="51.65">
      <c r="A1" s="7" t="s">
        <v>8</v>
      </c>
      <c r="B1" s="5">
        <v>2019</v>
      </c>
      <c r="C1" s="5">
        <v>2020</v>
      </c>
      <c r="D1" s="5">
        <v>2021</v>
      </c>
      <c r="E1" s="5">
        <v>2022</v>
      </c>
      <c r="F1" s="5">
        <v>2023</v>
      </c>
      <c r="G1" s="5">
        <v>2024</v>
      </c>
      <c r="H1" s="5">
        <v>2025</v>
      </c>
      <c r="I1" s="5">
        <v>2026</v>
      </c>
      <c r="J1" s="5">
        <v>2027</v>
      </c>
      <c r="K1" s="5">
        <v>2028</v>
      </c>
      <c r="L1" s="5">
        <v>2029</v>
      </c>
      <c r="M1" s="5">
        <v>2030</v>
      </c>
      <c r="N1" s="5">
        <v>2031</v>
      </c>
      <c r="O1" s="5">
        <v>2032</v>
      </c>
      <c r="P1" s="5">
        <v>2033</v>
      </c>
      <c r="Q1" s="5">
        <v>2034</v>
      </c>
      <c r="R1" s="5">
        <v>2035</v>
      </c>
      <c r="S1" s="5">
        <v>2036</v>
      </c>
      <c r="T1" s="5">
        <v>2037</v>
      </c>
      <c r="U1" s="5">
        <v>2038</v>
      </c>
      <c r="V1" s="5">
        <v>2039</v>
      </c>
      <c r="W1" s="5">
        <v>2040</v>
      </c>
      <c r="X1" s="5">
        <v>2041</v>
      </c>
      <c r="Y1" s="5">
        <v>2042</v>
      </c>
      <c r="Z1" s="5">
        <v>2043</v>
      </c>
      <c r="AA1" s="5">
        <v>2044</v>
      </c>
      <c r="AB1" s="5">
        <v>2045</v>
      </c>
      <c r="AC1" s="5">
        <v>2046</v>
      </c>
      <c r="AD1" s="5">
        <v>2047</v>
      </c>
      <c r="AE1" s="5">
        <v>2048</v>
      </c>
      <c r="AF1" s="5">
        <v>2049</v>
      </c>
      <c r="AG1" s="5">
        <v>2050</v>
      </c>
      <c r="AH1" s="5">
        <v>2051</v>
      </c>
      <c r="AI1" s="5">
        <v>2052</v>
      </c>
      <c r="AJ1" s="5">
        <v>2053</v>
      </c>
      <c r="AK1" s="5">
        <v>2054</v>
      </c>
      <c r="AL1" s="5">
        <v>2055</v>
      </c>
      <c r="AM1" s="5">
        <v>2056</v>
      </c>
      <c r="AN1" s="5">
        <v>2057</v>
      </c>
      <c r="AO1" s="5">
        <v>2058</v>
      </c>
      <c r="AP1" s="5">
        <v>2059</v>
      </c>
      <c r="AQ1" s="5">
        <v>2060</v>
      </c>
    </row>
    <row r="2" spans="1:43" s="6" customFormat="1">
      <c r="A2" s="6" t="s">
        <v>1</v>
      </c>
      <c r="B2" s="38">
        <f>'LDVs HDVs'!B23</f>
        <v>11352.903703490325</v>
      </c>
      <c r="C2" s="38">
        <f>$B2*'raw data'!T$22*0.98</f>
        <v>9679.2579111220348</v>
      </c>
      <c r="D2" s="38">
        <f>$B2*'raw data'!U$22*0.98</f>
        <v>10021.274724209728</v>
      </c>
      <c r="E2" s="38">
        <f>$B2*'raw data'!V$22</f>
        <v>8949.5093804790322</v>
      </c>
      <c r="F2" s="38">
        <f>$B2*'raw data'!C52</f>
        <v>10084.243460644011</v>
      </c>
      <c r="G2" s="6">
        <f>F2*0.98</f>
        <v>9882.5585914311305</v>
      </c>
      <c r="H2" s="6">
        <f>F2*0.98</f>
        <v>9882.5585914311305</v>
      </c>
      <c r="I2" s="6">
        <f>H2</f>
        <v>9882.5585914311305</v>
      </c>
      <c r="J2" s="6">
        <f t="shared" ref="J2:X2" si="0">I2</f>
        <v>9882.5585914311305</v>
      </c>
      <c r="K2" s="6">
        <f t="shared" si="0"/>
        <v>9882.5585914311305</v>
      </c>
      <c r="L2" s="6">
        <f t="shared" si="0"/>
        <v>9882.5585914311305</v>
      </c>
      <c r="M2" s="6">
        <f t="shared" si="0"/>
        <v>9882.5585914311305</v>
      </c>
      <c r="N2" s="6">
        <f t="shared" si="0"/>
        <v>9882.5585914311305</v>
      </c>
      <c r="O2" s="6">
        <f t="shared" si="0"/>
        <v>9882.5585914311305</v>
      </c>
      <c r="P2" s="6">
        <f t="shared" si="0"/>
        <v>9882.5585914311305</v>
      </c>
      <c r="Q2" s="6">
        <f t="shared" si="0"/>
        <v>9882.5585914311305</v>
      </c>
      <c r="R2" s="6">
        <f t="shared" si="0"/>
        <v>9882.5585914311305</v>
      </c>
      <c r="S2" s="6">
        <f t="shared" si="0"/>
        <v>9882.5585914311305</v>
      </c>
      <c r="T2" s="6">
        <f t="shared" si="0"/>
        <v>9882.5585914311305</v>
      </c>
      <c r="U2" s="6">
        <f t="shared" si="0"/>
        <v>9882.5585914311305</v>
      </c>
      <c r="V2" s="6">
        <f t="shared" si="0"/>
        <v>9882.5585914311305</v>
      </c>
      <c r="W2" s="6">
        <f t="shared" si="0"/>
        <v>9882.5585914311305</v>
      </c>
      <c r="X2" s="6">
        <f t="shared" si="0"/>
        <v>9882.5585914311305</v>
      </c>
      <c r="Y2" s="6">
        <f t="shared" ref="H2:AQ2" si="1">X2</f>
        <v>9882.5585914311305</v>
      </c>
      <c r="Z2" s="6">
        <f t="shared" si="1"/>
        <v>9882.5585914311305</v>
      </c>
      <c r="AA2" s="6">
        <f t="shared" si="1"/>
        <v>9882.5585914311305</v>
      </c>
      <c r="AB2" s="6">
        <f t="shared" si="1"/>
        <v>9882.5585914311305</v>
      </c>
      <c r="AC2" s="6">
        <f t="shared" si="1"/>
        <v>9882.5585914311305</v>
      </c>
      <c r="AD2" s="6">
        <f t="shared" si="1"/>
        <v>9882.5585914311305</v>
      </c>
      <c r="AE2" s="6">
        <f t="shared" si="1"/>
        <v>9882.5585914311305</v>
      </c>
      <c r="AF2" s="6">
        <f t="shared" si="1"/>
        <v>9882.5585914311305</v>
      </c>
      <c r="AG2" s="6">
        <f t="shared" si="1"/>
        <v>9882.5585914311305</v>
      </c>
      <c r="AH2" s="6">
        <f t="shared" si="1"/>
        <v>9882.5585914311305</v>
      </c>
      <c r="AI2" s="6">
        <f t="shared" si="1"/>
        <v>9882.5585914311305</v>
      </c>
      <c r="AJ2" s="6">
        <f t="shared" si="1"/>
        <v>9882.5585914311305</v>
      </c>
      <c r="AK2" s="6">
        <f t="shared" si="1"/>
        <v>9882.5585914311305</v>
      </c>
      <c r="AL2" s="6">
        <f t="shared" si="1"/>
        <v>9882.5585914311305</v>
      </c>
      <c r="AM2" s="6">
        <f t="shared" si="1"/>
        <v>9882.5585914311305</v>
      </c>
      <c r="AN2" s="6">
        <f t="shared" si="1"/>
        <v>9882.5585914311305</v>
      </c>
      <c r="AO2" s="6">
        <f t="shared" si="1"/>
        <v>9882.5585914311305</v>
      </c>
      <c r="AP2" s="6">
        <f t="shared" si="1"/>
        <v>9882.5585914311305</v>
      </c>
      <c r="AQ2" s="6">
        <f t="shared" si="1"/>
        <v>9882.5585914311305</v>
      </c>
    </row>
    <row r="3" spans="1:43">
      <c r="A3" t="s">
        <v>2</v>
      </c>
      <c r="B3" s="38">
        <f>'LDVs HDVs'!D23</f>
        <v>31069.409059839683</v>
      </c>
      <c r="C3" s="38">
        <f>$B3*'raw data'!T$22</f>
        <v>27029.749778399819</v>
      </c>
      <c r="D3" s="38">
        <f>$B3*'raw data'!U$22</f>
        <v>27984.846642503784</v>
      </c>
      <c r="E3" s="38">
        <f>$B3*'raw data'!V$22</f>
        <v>24492.057282357662</v>
      </c>
      <c r="F3" s="38">
        <f>$B3*'raw data'!W$22</f>
        <v>24910.722658092891</v>
      </c>
      <c r="G3" s="6">
        <f>F3</f>
        <v>24910.722658092891</v>
      </c>
      <c r="H3" s="6">
        <f t="shared" ref="H3:AQ3" si="2">G3</f>
        <v>24910.722658092891</v>
      </c>
      <c r="I3" s="6">
        <f t="shared" si="2"/>
        <v>24910.722658092891</v>
      </c>
      <c r="J3" s="6">
        <f t="shared" si="2"/>
        <v>24910.722658092891</v>
      </c>
      <c r="K3" s="6">
        <f t="shared" si="2"/>
        <v>24910.722658092891</v>
      </c>
      <c r="L3" s="6">
        <f t="shared" si="2"/>
        <v>24910.722658092891</v>
      </c>
      <c r="M3" s="6">
        <f t="shared" si="2"/>
        <v>24910.722658092891</v>
      </c>
      <c r="N3" s="6">
        <f t="shared" si="2"/>
        <v>24910.722658092891</v>
      </c>
      <c r="O3" s="6">
        <f t="shared" si="2"/>
        <v>24910.722658092891</v>
      </c>
      <c r="P3" s="6">
        <f t="shared" si="2"/>
        <v>24910.722658092891</v>
      </c>
      <c r="Q3" s="6">
        <f t="shared" si="2"/>
        <v>24910.722658092891</v>
      </c>
      <c r="R3" s="6">
        <f t="shared" si="2"/>
        <v>24910.722658092891</v>
      </c>
      <c r="S3" s="6">
        <f t="shared" si="2"/>
        <v>24910.722658092891</v>
      </c>
      <c r="T3" s="6">
        <f t="shared" si="2"/>
        <v>24910.722658092891</v>
      </c>
      <c r="U3" s="6">
        <f t="shared" si="2"/>
        <v>24910.722658092891</v>
      </c>
      <c r="V3" s="6">
        <f t="shared" si="2"/>
        <v>24910.722658092891</v>
      </c>
      <c r="W3" s="6">
        <f t="shared" si="2"/>
        <v>24910.722658092891</v>
      </c>
      <c r="X3" s="6">
        <f t="shared" si="2"/>
        <v>24910.722658092891</v>
      </c>
      <c r="Y3" s="6">
        <f t="shared" si="2"/>
        <v>24910.722658092891</v>
      </c>
      <c r="Z3" s="6">
        <f t="shared" si="2"/>
        <v>24910.722658092891</v>
      </c>
      <c r="AA3" s="6">
        <f t="shared" si="2"/>
        <v>24910.722658092891</v>
      </c>
      <c r="AB3" s="6">
        <f t="shared" si="2"/>
        <v>24910.722658092891</v>
      </c>
      <c r="AC3" s="6">
        <f t="shared" si="2"/>
        <v>24910.722658092891</v>
      </c>
      <c r="AD3" s="6">
        <f t="shared" si="2"/>
        <v>24910.722658092891</v>
      </c>
      <c r="AE3" s="6">
        <f t="shared" si="2"/>
        <v>24910.722658092891</v>
      </c>
      <c r="AF3" s="6">
        <f t="shared" si="2"/>
        <v>24910.722658092891</v>
      </c>
      <c r="AG3" s="6">
        <f t="shared" si="2"/>
        <v>24910.722658092891</v>
      </c>
      <c r="AH3" s="6">
        <f t="shared" si="2"/>
        <v>24910.722658092891</v>
      </c>
      <c r="AI3" s="6">
        <f t="shared" si="2"/>
        <v>24910.722658092891</v>
      </c>
      <c r="AJ3" s="6">
        <f t="shared" si="2"/>
        <v>24910.722658092891</v>
      </c>
      <c r="AK3" s="6">
        <f t="shared" si="2"/>
        <v>24910.722658092891</v>
      </c>
      <c r="AL3" s="6">
        <f t="shared" si="2"/>
        <v>24910.722658092891</v>
      </c>
      <c r="AM3" s="6">
        <f t="shared" si="2"/>
        <v>24910.722658092891</v>
      </c>
      <c r="AN3" s="6">
        <f t="shared" si="2"/>
        <v>24910.722658092891</v>
      </c>
      <c r="AO3" s="6">
        <f t="shared" si="2"/>
        <v>24910.722658092891</v>
      </c>
      <c r="AP3" s="6">
        <f t="shared" si="2"/>
        <v>24910.722658092891</v>
      </c>
      <c r="AQ3" s="6">
        <f t="shared" si="2"/>
        <v>24910.722658092891</v>
      </c>
    </row>
    <row r="4" spans="1:43">
      <c r="A4" t="s">
        <v>3</v>
      </c>
      <c r="B4" s="38">
        <f>aircraft!E27</f>
        <v>832489.27135522617</v>
      </c>
      <c r="C4" s="38">
        <f>aircraft!F27</f>
        <v>832466.83716849552</v>
      </c>
      <c r="D4" s="38">
        <f>aircraft!G27</f>
        <v>830227.05473397288</v>
      </c>
      <c r="E4" s="38">
        <f>aircraft!H27</f>
        <v>486781.18511336844</v>
      </c>
      <c r="F4" s="38">
        <f>aircraft!I27</f>
        <v>1259470.6699362323</v>
      </c>
      <c r="G4" s="38">
        <f>B4</f>
        <v>832489.27135522617</v>
      </c>
      <c r="H4" s="6">
        <f t="shared" ref="H4:AQ4" si="3">$B4</f>
        <v>832489.27135522617</v>
      </c>
      <c r="I4" s="6">
        <f t="shared" si="3"/>
        <v>832489.27135522617</v>
      </c>
      <c r="J4" s="6">
        <f t="shared" si="3"/>
        <v>832489.27135522617</v>
      </c>
      <c r="K4" s="6">
        <f t="shared" si="3"/>
        <v>832489.27135522617</v>
      </c>
      <c r="L4" s="6">
        <f t="shared" si="3"/>
        <v>832489.27135522617</v>
      </c>
      <c r="M4" s="6">
        <f t="shared" si="3"/>
        <v>832489.27135522617</v>
      </c>
      <c r="N4" s="6">
        <f t="shared" si="3"/>
        <v>832489.27135522617</v>
      </c>
      <c r="O4" s="6">
        <f t="shared" si="3"/>
        <v>832489.27135522617</v>
      </c>
      <c r="P4" s="6">
        <f t="shared" si="3"/>
        <v>832489.27135522617</v>
      </c>
      <c r="Q4" s="6">
        <f t="shared" si="3"/>
        <v>832489.27135522617</v>
      </c>
      <c r="R4" s="6">
        <f t="shared" si="3"/>
        <v>832489.27135522617</v>
      </c>
      <c r="S4" s="6">
        <f t="shared" si="3"/>
        <v>832489.27135522617</v>
      </c>
      <c r="T4" s="6">
        <f t="shared" si="3"/>
        <v>832489.27135522617</v>
      </c>
      <c r="U4" s="6">
        <f t="shared" si="3"/>
        <v>832489.27135522617</v>
      </c>
      <c r="V4" s="6">
        <f t="shared" si="3"/>
        <v>832489.27135522617</v>
      </c>
      <c r="W4" s="6">
        <f t="shared" si="3"/>
        <v>832489.27135522617</v>
      </c>
      <c r="X4" s="6">
        <f t="shared" si="3"/>
        <v>832489.27135522617</v>
      </c>
      <c r="Y4" s="6">
        <f t="shared" si="3"/>
        <v>832489.27135522617</v>
      </c>
      <c r="Z4" s="6">
        <f t="shared" si="3"/>
        <v>832489.27135522617</v>
      </c>
      <c r="AA4" s="6">
        <f t="shared" si="3"/>
        <v>832489.27135522617</v>
      </c>
      <c r="AB4" s="6">
        <f t="shared" si="3"/>
        <v>832489.27135522617</v>
      </c>
      <c r="AC4" s="6">
        <f t="shared" si="3"/>
        <v>832489.27135522617</v>
      </c>
      <c r="AD4" s="6">
        <f t="shared" si="3"/>
        <v>832489.27135522617</v>
      </c>
      <c r="AE4" s="6">
        <f t="shared" si="3"/>
        <v>832489.27135522617</v>
      </c>
      <c r="AF4" s="6">
        <f t="shared" si="3"/>
        <v>832489.27135522617</v>
      </c>
      <c r="AG4" s="6">
        <f t="shared" si="3"/>
        <v>832489.27135522617</v>
      </c>
      <c r="AH4" s="6">
        <f t="shared" si="3"/>
        <v>832489.27135522617</v>
      </c>
      <c r="AI4" s="6">
        <f t="shared" si="3"/>
        <v>832489.27135522617</v>
      </c>
      <c r="AJ4" s="6">
        <f t="shared" si="3"/>
        <v>832489.27135522617</v>
      </c>
      <c r="AK4" s="6">
        <f t="shared" si="3"/>
        <v>832489.27135522617</v>
      </c>
      <c r="AL4" s="6">
        <f t="shared" si="3"/>
        <v>832489.27135522617</v>
      </c>
      <c r="AM4" s="6">
        <f t="shared" si="3"/>
        <v>832489.27135522617</v>
      </c>
      <c r="AN4" s="6">
        <f t="shared" si="3"/>
        <v>832489.27135522617</v>
      </c>
      <c r="AO4" s="6">
        <f t="shared" si="3"/>
        <v>832489.27135522617</v>
      </c>
      <c r="AP4" s="6">
        <f t="shared" si="3"/>
        <v>832489.27135522617</v>
      </c>
      <c r="AQ4" s="6">
        <f t="shared" si="3"/>
        <v>832489.27135522617</v>
      </c>
    </row>
    <row r="5" spans="1:43">
      <c r="A5" t="s">
        <v>4</v>
      </c>
      <c r="B5" s="38">
        <f>rail!D25</f>
        <v>16430.842393390882</v>
      </c>
      <c r="C5" s="38">
        <f>rail!E25</f>
        <v>16430.860300226996</v>
      </c>
      <c r="D5" s="38">
        <f>rail!F25</f>
        <v>18548.431401273247</v>
      </c>
      <c r="E5" s="38">
        <f>rail!G25</f>
        <v>12923.217202246135</v>
      </c>
      <c r="F5" s="38">
        <f>rail!H25</f>
        <v>28566.832019599085</v>
      </c>
      <c r="G5" s="38">
        <f>rail!I25</f>
        <v>29512.097226889557</v>
      </c>
      <c r="H5" s="6">
        <f>G5</f>
        <v>29512.097226889557</v>
      </c>
      <c r="I5" s="6">
        <f t="shared" ref="I5:AQ5" si="4">H5</f>
        <v>29512.097226889557</v>
      </c>
      <c r="J5" s="6">
        <f t="shared" si="4"/>
        <v>29512.097226889557</v>
      </c>
      <c r="K5" s="6">
        <f t="shared" si="4"/>
        <v>29512.097226889557</v>
      </c>
      <c r="L5" s="6">
        <f t="shared" si="4"/>
        <v>29512.097226889557</v>
      </c>
      <c r="M5" s="6">
        <f t="shared" si="4"/>
        <v>29512.097226889557</v>
      </c>
      <c r="N5" s="6">
        <f t="shared" si="4"/>
        <v>29512.097226889557</v>
      </c>
      <c r="O5" s="6">
        <f t="shared" si="4"/>
        <v>29512.097226889557</v>
      </c>
      <c r="P5" s="6">
        <f t="shared" si="4"/>
        <v>29512.097226889557</v>
      </c>
      <c r="Q5" s="6">
        <f t="shared" si="4"/>
        <v>29512.097226889557</v>
      </c>
      <c r="R5" s="6">
        <f t="shared" si="4"/>
        <v>29512.097226889557</v>
      </c>
      <c r="S5" s="6">
        <f t="shared" si="4"/>
        <v>29512.097226889557</v>
      </c>
      <c r="T5" s="6">
        <f t="shared" si="4"/>
        <v>29512.097226889557</v>
      </c>
      <c r="U5" s="6">
        <f t="shared" si="4"/>
        <v>29512.097226889557</v>
      </c>
      <c r="V5" s="6">
        <f t="shared" si="4"/>
        <v>29512.097226889557</v>
      </c>
      <c r="W5" s="6">
        <f t="shared" si="4"/>
        <v>29512.097226889557</v>
      </c>
      <c r="X5" s="6">
        <f t="shared" si="4"/>
        <v>29512.097226889557</v>
      </c>
      <c r="Y5" s="6">
        <f t="shared" si="4"/>
        <v>29512.097226889557</v>
      </c>
      <c r="Z5" s="6">
        <f t="shared" si="4"/>
        <v>29512.097226889557</v>
      </c>
      <c r="AA5" s="6">
        <f t="shared" si="4"/>
        <v>29512.097226889557</v>
      </c>
      <c r="AB5" s="6">
        <f t="shared" si="4"/>
        <v>29512.097226889557</v>
      </c>
      <c r="AC5" s="6">
        <f t="shared" si="4"/>
        <v>29512.097226889557</v>
      </c>
      <c r="AD5" s="6">
        <f t="shared" si="4"/>
        <v>29512.097226889557</v>
      </c>
      <c r="AE5" s="6">
        <f t="shared" si="4"/>
        <v>29512.097226889557</v>
      </c>
      <c r="AF5" s="6">
        <f t="shared" si="4"/>
        <v>29512.097226889557</v>
      </c>
      <c r="AG5" s="6">
        <f t="shared" si="4"/>
        <v>29512.097226889557</v>
      </c>
      <c r="AH5" s="6">
        <f t="shared" si="4"/>
        <v>29512.097226889557</v>
      </c>
      <c r="AI5" s="6">
        <f t="shared" si="4"/>
        <v>29512.097226889557</v>
      </c>
      <c r="AJ5" s="6">
        <f t="shared" si="4"/>
        <v>29512.097226889557</v>
      </c>
      <c r="AK5" s="6">
        <f t="shared" si="4"/>
        <v>29512.097226889557</v>
      </c>
      <c r="AL5" s="6">
        <f t="shared" si="4"/>
        <v>29512.097226889557</v>
      </c>
      <c r="AM5" s="6">
        <f t="shared" si="4"/>
        <v>29512.097226889557</v>
      </c>
      <c r="AN5" s="6">
        <f t="shared" si="4"/>
        <v>29512.097226889557</v>
      </c>
      <c r="AO5" s="6">
        <f t="shared" si="4"/>
        <v>29512.097226889557</v>
      </c>
      <c r="AP5" s="6">
        <f t="shared" si="4"/>
        <v>29512.097226889557</v>
      </c>
      <c r="AQ5" s="6">
        <f t="shared" si="4"/>
        <v>29512.097226889557</v>
      </c>
    </row>
    <row r="6" spans="1:43">
      <c r="A6" t="s">
        <v>5</v>
      </c>
      <c r="B6" s="38">
        <f>ships!D25</f>
        <v>48562.432819545516</v>
      </c>
      <c r="C6" s="38">
        <f>ships!E25</f>
        <v>20718.787113966806</v>
      </c>
      <c r="D6" s="38">
        <f>ships!F25</f>
        <v>20939.711526266026</v>
      </c>
      <c r="E6" s="38">
        <f>ships!G25</f>
        <v>14767.467510285478</v>
      </c>
      <c r="F6" s="38">
        <f>ships!H25</f>
        <v>36236.600356332157</v>
      </c>
      <c r="G6" s="38">
        <f>ships!I25</f>
        <v>39545.748292294891</v>
      </c>
      <c r="H6" s="6">
        <f>$G6</f>
        <v>39545.748292294891</v>
      </c>
      <c r="I6" s="6">
        <f t="shared" ref="I6:AQ6" si="5">$G6</f>
        <v>39545.748292294891</v>
      </c>
      <c r="J6" s="6">
        <f t="shared" si="5"/>
        <v>39545.748292294891</v>
      </c>
      <c r="K6" s="6">
        <f t="shared" si="5"/>
        <v>39545.748292294891</v>
      </c>
      <c r="L6" s="6">
        <f t="shared" si="5"/>
        <v>39545.748292294891</v>
      </c>
      <c r="M6" s="6">
        <f t="shared" si="5"/>
        <v>39545.748292294891</v>
      </c>
      <c r="N6" s="6">
        <f t="shared" si="5"/>
        <v>39545.748292294891</v>
      </c>
      <c r="O6" s="6">
        <f t="shared" si="5"/>
        <v>39545.748292294891</v>
      </c>
      <c r="P6" s="6">
        <f t="shared" si="5"/>
        <v>39545.748292294891</v>
      </c>
      <c r="Q6" s="6">
        <f t="shared" si="5"/>
        <v>39545.748292294891</v>
      </c>
      <c r="R6" s="6">
        <f t="shared" si="5"/>
        <v>39545.748292294891</v>
      </c>
      <c r="S6" s="6">
        <f t="shared" si="5"/>
        <v>39545.748292294891</v>
      </c>
      <c r="T6" s="6">
        <f t="shared" si="5"/>
        <v>39545.748292294891</v>
      </c>
      <c r="U6" s="6">
        <f t="shared" si="5"/>
        <v>39545.748292294891</v>
      </c>
      <c r="V6" s="6">
        <f t="shared" si="5"/>
        <v>39545.748292294891</v>
      </c>
      <c r="W6" s="6">
        <f t="shared" si="5"/>
        <v>39545.748292294891</v>
      </c>
      <c r="X6" s="6">
        <f t="shared" si="5"/>
        <v>39545.748292294891</v>
      </c>
      <c r="Y6" s="6">
        <f t="shared" si="5"/>
        <v>39545.748292294891</v>
      </c>
      <c r="Z6" s="6">
        <f t="shared" si="5"/>
        <v>39545.748292294891</v>
      </c>
      <c r="AA6" s="6">
        <f t="shared" si="5"/>
        <v>39545.748292294891</v>
      </c>
      <c r="AB6" s="6">
        <f t="shared" si="5"/>
        <v>39545.748292294891</v>
      </c>
      <c r="AC6" s="6">
        <f t="shared" si="5"/>
        <v>39545.748292294891</v>
      </c>
      <c r="AD6" s="6">
        <f t="shared" si="5"/>
        <v>39545.748292294891</v>
      </c>
      <c r="AE6" s="6">
        <f t="shared" si="5"/>
        <v>39545.748292294891</v>
      </c>
      <c r="AF6" s="6">
        <f t="shared" si="5"/>
        <v>39545.748292294891</v>
      </c>
      <c r="AG6" s="6">
        <f t="shared" si="5"/>
        <v>39545.748292294891</v>
      </c>
      <c r="AH6" s="6">
        <f t="shared" si="5"/>
        <v>39545.748292294891</v>
      </c>
      <c r="AI6" s="6">
        <f t="shared" si="5"/>
        <v>39545.748292294891</v>
      </c>
      <c r="AJ6" s="6">
        <f t="shared" si="5"/>
        <v>39545.748292294891</v>
      </c>
      <c r="AK6" s="6">
        <f t="shared" si="5"/>
        <v>39545.748292294891</v>
      </c>
      <c r="AL6" s="6">
        <f t="shared" si="5"/>
        <v>39545.748292294891</v>
      </c>
      <c r="AM6" s="6">
        <f t="shared" si="5"/>
        <v>39545.748292294891</v>
      </c>
      <c r="AN6" s="6">
        <f t="shared" si="5"/>
        <v>39545.748292294891</v>
      </c>
      <c r="AO6" s="6">
        <f t="shared" si="5"/>
        <v>39545.748292294891</v>
      </c>
      <c r="AP6" s="6">
        <f t="shared" si="5"/>
        <v>39545.748292294891</v>
      </c>
      <c r="AQ6" s="6">
        <f t="shared" si="5"/>
        <v>39545.748292294891</v>
      </c>
    </row>
    <row r="7" spans="1:43">
      <c r="A7" t="s">
        <v>6</v>
      </c>
      <c r="B7" s="38">
        <f>motorbikes!$B$3</f>
        <v>3728.3290871807621</v>
      </c>
      <c r="C7" s="38">
        <f>motorbikes!$B$3*'raw data'!T$21</f>
        <v>2095.594944933754</v>
      </c>
      <c r="D7" s="38">
        <f>motorbikes!$B$3*'raw data'!U$21</f>
        <v>2425.5738460024049</v>
      </c>
      <c r="E7" s="38">
        <f>motorbikes!$B$3*'raw data'!V$21</f>
        <v>1667.495982810716</v>
      </c>
      <c r="F7" s="38">
        <f>motorbikes!$B$3*'raw data'!W$21</f>
        <v>3419.2041215252552</v>
      </c>
      <c r="G7" s="6">
        <f>motorbikes!$B$3</f>
        <v>3728.3290871807621</v>
      </c>
      <c r="H7" s="6">
        <f>motorbikes!$B$3</f>
        <v>3728.3290871807621</v>
      </c>
      <c r="I7" s="6">
        <f>motorbikes!$B$3</f>
        <v>3728.3290871807621</v>
      </c>
      <c r="J7" s="6">
        <f>motorbikes!$B$3</f>
        <v>3728.3290871807621</v>
      </c>
      <c r="K7" s="6">
        <f>motorbikes!$B$3</f>
        <v>3728.3290871807621</v>
      </c>
      <c r="L7" s="6">
        <f>motorbikes!$B$3</f>
        <v>3728.3290871807621</v>
      </c>
      <c r="M7" s="6">
        <f>motorbikes!$B$3</f>
        <v>3728.3290871807621</v>
      </c>
      <c r="N7" s="6">
        <f>motorbikes!$B$3</f>
        <v>3728.3290871807621</v>
      </c>
      <c r="O7" s="6">
        <f>motorbikes!$B$3</f>
        <v>3728.3290871807621</v>
      </c>
      <c r="P7" s="6">
        <f>motorbikes!$B$3</f>
        <v>3728.3290871807621</v>
      </c>
      <c r="Q7" s="6">
        <f>motorbikes!$B$3</f>
        <v>3728.3290871807621</v>
      </c>
      <c r="R7" s="6">
        <f>motorbikes!$B$3</f>
        <v>3728.3290871807621</v>
      </c>
      <c r="S7" s="6">
        <f>motorbikes!$B$3</f>
        <v>3728.3290871807621</v>
      </c>
      <c r="T7" s="6">
        <f>motorbikes!$B$3</f>
        <v>3728.3290871807621</v>
      </c>
      <c r="U7" s="6">
        <f>motorbikes!$B$3</f>
        <v>3728.3290871807621</v>
      </c>
      <c r="V7" s="6">
        <f>motorbikes!$B$3</f>
        <v>3728.3290871807621</v>
      </c>
      <c r="W7" s="6">
        <f>motorbikes!$B$3</f>
        <v>3728.3290871807621</v>
      </c>
      <c r="X7" s="6">
        <f>motorbikes!$B$3</f>
        <v>3728.3290871807621</v>
      </c>
      <c r="Y7" s="6">
        <f>motorbikes!$B$3</f>
        <v>3728.3290871807621</v>
      </c>
      <c r="Z7" s="6">
        <f>motorbikes!$B$3</f>
        <v>3728.3290871807621</v>
      </c>
      <c r="AA7" s="6">
        <f>motorbikes!$B$3</f>
        <v>3728.3290871807621</v>
      </c>
      <c r="AB7" s="6">
        <f>motorbikes!$B$3</f>
        <v>3728.3290871807621</v>
      </c>
      <c r="AC7" s="6">
        <f>motorbikes!$B$3</f>
        <v>3728.3290871807621</v>
      </c>
      <c r="AD7" s="6">
        <f>motorbikes!$B$3</f>
        <v>3728.3290871807621</v>
      </c>
      <c r="AE7" s="6">
        <f>motorbikes!$B$3</f>
        <v>3728.3290871807621</v>
      </c>
      <c r="AF7" s="6">
        <f>motorbikes!$B$3</f>
        <v>3728.3290871807621</v>
      </c>
      <c r="AG7" s="6">
        <f>motorbikes!$B$3</f>
        <v>3728.3290871807621</v>
      </c>
      <c r="AH7" s="6">
        <f>motorbikes!$B$3</f>
        <v>3728.3290871807621</v>
      </c>
      <c r="AI7" s="6">
        <f>motorbikes!$B$3</f>
        <v>3728.3290871807621</v>
      </c>
      <c r="AJ7" s="6">
        <f>motorbikes!$B$3</f>
        <v>3728.3290871807621</v>
      </c>
      <c r="AK7" s="6">
        <f>motorbikes!$B$3</f>
        <v>3728.3290871807621</v>
      </c>
      <c r="AL7" s="6">
        <f>motorbikes!$B$3</f>
        <v>3728.3290871807621</v>
      </c>
      <c r="AM7" s="6">
        <f>motorbikes!$B$3</f>
        <v>3728.3290871807621</v>
      </c>
      <c r="AN7" s="6">
        <f>motorbikes!$B$3</f>
        <v>3728.3290871807621</v>
      </c>
      <c r="AO7" s="6">
        <f>motorbikes!$B$3</f>
        <v>3728.3290871807621</v>
      </c>
      <c r="AP7" s="6">
        <f>motorbikes!$B$3</f>
        <v>3728.3290871807621</v>
      </c>
      <c r="AQ7" s="6">
        <f>motorbikes!$B$3</f>
        <v>3728.3290871807621</v>
      </c>
    </row>
  </sheetData>
  <phoneticPr fontId="42" type="noConversion"/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theme="3"/>
  </sheetPr>
  <dimension ref="A1:AQ7"/>
  <sheetViews>
    <sheetView workbookViewId="0">
      <selection activeCell="G3" sqref="G3"/>
    </sheetView>
  </sheetViews>
  <sheetFormatPr defaultColWidth="9.375" defaultRowHeight="12.9"/>
  <cols>
    <col min="1" max="1" width="16.5" customWidth="1"/>
  </cols>
  <sheetData>
    <row r="1" spans="1:43">
      <c r="A1" s="7" t="s">
        <v>92</v>
      </c>
      <c r="B1" s="1">
        <v>2019</v>
      </c>
      <c r="C1" s="5">
        <v>2020</v>
      </c>
      <c r="D1" s="1">
        <v>2021</v>
      </c>
      <c r="E1" s="5">
        <v>2022</v>
      </c>
      <c r="F1" s="1">
        <v>2023</v>
      </c>
      <c r="G1" s="5">
        <v>2024</v>
      </c>
      <c r="H1" s="1">
        <v>2025</v>
      </c>
      <c r="I1" s="5">
        <v>2026</v>
      </c>
      <c r="J1" s="1">
        <v>2027</v>
      </c>
      <c r="K1" s="5">
        <v>2028</v>
      </c>
      <c r="L1" s="1">
        <v>2029</v>
      </c>
      <c r="M1" s="5">
        <v>2030</v>
      </c>
      <c r="N1" s="1">
        <v>2031</v>
      </c>
      <c r="O1" s="5">
        <v>2032</v>
      </c>
      <c r="P1" s="1">
        <v>2033</v>
      </c>
      <c r="Q1" s="5">
        <v>2034</v>
      </c>
      <c r="R1" s="1">
        <v>2035</v>
      </c>
      <c r="S1" s="5">
        <v>2036</v>
      </c>
      <c r="T1" s="1">
        <v>2037</v>
      </c>
      <c r="U1" s="5">
        <v>2038</v>
      </c>
      <c r="V1" s="1">
        <v>2039</v>
      </c>
      <c r="W1" s="5">
        <v>2040</v>
      </c>
      <c r="X1" s="1">
        <v>2041</v>
      </c>
      <c r="Y1" s="5">
        <v>2042</v>
      </c>
      <c r="Z1" s="1">
        <v>2043</v>
      </c>
      <c r="AA1" s="5">
        <v>2044</v>
      </c>
      <c r="AB1" s="1">
        <v>2045</v>
      </c>
      <c r="AC1" s="5">
        <v>2046</v>
      </c>
      <c r="AD1" s="1">
        <v>2047</v>
      </c>
      <c r="AE1" s="5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5">
        <v>2060</v>
      </c>
    </row>
    <row r="2" spans="1:43">
      <c r="A2" t="s">
        <v>1</v>
      </c>
      <c r="B2" s="6">
        <f>'LDVs HDVs'!E23</f>
        <v>15534.704529919842</v>
      </c>
      <c r="C2" s="6">
        <f>B2</f>
        <v>15534.704529919842</v>
      </c>
      <c r="D2" s="6">
        <f t="shared" ref="D2:AQ2" si="0">C2</f>
        <v>15534.704529919842</v>
      </c>
      <c r="E2" s="6">
        <f t="shared" si="0"/>
        <v>15534.704529919842</v>
      </c>
      <c r="F2" s="6">
        <f t="shared" si="0"/>
        <v>15534.704529919842</v>
      </c>
      <c r="G2" s="6">
        <f t="shared" si="0"/>
        <v>15534.704529919842</v>
      </c>
      <c r="H2" s="6">
        <f t="shared" si="0"/>
        <v>15534.704529919842</v>
      </c>
      <c r="I2" s="6">
        <f t="shared" si="0"/>
        <v>15534.704529919842</v>
      </c>
      <c r="J2" s="6">
        <f t="shared" si="0"/>
        <v>15534.704529919842</v>
      </c>
      <c r="K2" s="6">
        <f t="shared" si="0"/>
        <v>15534.704529919842</v>
      </c>
      <c r="L2" s="6">
        <f t="shared" si="0"/>
        <v>15534.704529919842</v>
      </c>
      <c r="M2" s="6">
        <f t="shared" si="0"/>
        <v>15534.704529919842</v>
      </c>
      <c r="N2" s="6">
        <f t="shared" si="0"/>
        <v>15534.704529919842</v>
      </c>
      <c r="O2" s="6">
        <f t="shared" si="0"/>
        <v>15534.704529919842</v>
      </c>
      <c r="P2" s="6">
        <f t="shared" si="0"/>
        <v>15534.704529919842</v>
      </c>
      <c r="Q2" s="6">
        <f t="shared" si="0"/>
        <v>15534.704529919842</v>
      </c>
      <c r="R2" s="6">
        <f t="shared" si="0"/>
        <v>15534.704529919842</v>
      </c>
      <c r="S2" s="6">
        <f t="shared" si="0"/>
        <v>15534.704529919842</v>
      </c>
      <c r="T2" s="6">
        <f t="shared" si="0"/>
        <v>15534.704529919842</v>
      </c>
      <c r="U2" s="6">
        <f t="shared" si="0"/>
        <v>15534.704529919842</v>
      </c>
      <c r="V2" s="6">
        <f t="shared" si="0"/>
        <v>15534.704529919842</v>
      </c>
      <c r="W2" s="6">
        <f t="shared" si="0"/>
        <v>15534.704529919842</v>
      </c>
      <c r="X2" s="6">
        <f t="shared" si="0"/>
        <v>15534.704529919842</v>
      </c>
      <c r="Y2" s="6">
        <f t="shared" si="0"/>
        <v>15534.704529919842</v>
      </c>
      <c r="Z2" s="6">
        <f t="shared" si="0"/>
        <v>15534.704529919842</v>
      </c>
      <c r="AA2" s="6">
        <f t="shared" si="0"/>
        <v>15534.704529919842</v>
      </c>
      <c r="AB2" s="6">
        <f t="shared" si="0"/>
        <v>15534.704529919842</v>
      </c>
      <c r="AC2" s="6">
        <f t="shared" si="0"/>
        <v>15534.704529919842</v>
      </c>
      <c r="AD2" s="6">
        <f t="shared" si="0"/>
        <v>15534.704529919842</v>
      </c>
      <c r="AE2" s="6">
        <f t="shared" si="0"/>
        <v>15534.704529919842</v>
      </c>
      <c r="AF2" s="6">
        <f t="shared" si="0"/>
        <v>15534.704529919842</v>
      </c>
      <c r="AG2" s="6">
        <f t="shared" si="0"/>
        <v>15534.704529919842</v>
      </c>
      <c r="AH2" s="6">
        <f t="shared" si="0"/>
        <v>15534.704529919842</v>
      </c>
      <c r="AI2" s="6">
        <f t="shared" si="0"/>
        <v>15534.704529919842</v>
      </c>
      <c r="AJ2" s="6">
        <f t="shared" si="0"/>
        <v>15534.704529919842</v>
      </c>
      <c r="AK2" s="6">
        <f t="shared" si="0"/>
        <v>15534.704529919842</v>
      </c>
      <c r="AL2" s="6">
        <f t="shared" si="0"/>
        <v>15534.704529919842</v>
      </c>
      <c r="AM2" s="6">
        <f t="shared" si="0"/>
        <v>15534.704529919842</v>
      </c>
      <c r="AN2" s="6">
        <f t="shared" si="0"/>
        <v>15534.704529919842</v>
      </c>
      <c r="AO2" s="6">
        <f t="shared" si="0"/>
        <v>15534.704529919842</v>
      </c>
      <c r="AP2" s="6">
        <f t="shared" si="0"/>
        <v>15534.704529919842</v>
      </c>
      <c r="AQ2" s="6">
        <f t="shared" si="0"/>
        <v>15534.704529919842</v>
      </c>
    </row>
    <row r="3" spans="1:43">
      <c r="A3" t="s">
        <v>2</v>
      </c>
      <c r="B3" s="6">
        <f>'LDVs HDVs'!F23</f>
        <v>36306.934435591582</v>
      </c>
      <c r="C3" s="6">
        <f>B3</f>
        <v>36306.934435591582</v>
      </c>
      <c r="D3" s="6">
        <f>B3</f>
        <v>36306.934435591582</v>
      </c>
      <c r="E3" s="6">
        <f>B3</f>
        <v>36306.934435591582</v>
      </c>
      <c r="F3" s="6">
        <f>B3</f>
        <v>36306.934435591582</v>
      </c>
      <c r="G3" s="6">
        <f>B3</f>
        <v>36306.934435591582</v>
      </c>
      <c r="H3" s="6">
        <f t="shared" ref="H3:AQ3" si="1">G3</f>
        <v>36306.934435591582</v>
      </c>
      <c r="I3" s="6">
        <f t="shared" si="1"/>
        <v>36306.934435591582</v>
      </c>
      <c r="J3" s="6">
        <f t="shared" si="1"/>
        <v>36306.934435591582</v>
      </c>
      <c r="K3" s="6">
        <f t="shared" si="1"/>
        <v>36306.934435591582</v>
      </c>
      <c r="L3" s="6">
        <f t="shared" si="1"/>
        <v>36306.934435591582</v>
      </c>
      <c r="M3" s="6">
        <f t="shared" si="1"/>
        <v>36306.934435591582</v>
      </c>
      <c r="N3" s="6">
        <f t="shared" si="1"/>
        <v>36306.934435591582</v>
      </c>
      <c r="O3" s="6">
        <f t="shared" si="1"/>
        <v>36306.934435591582</v>
      </c>
      <c r="P3" s="6">
        <f t="shared" si="1"/>
        <v>36306.934435591582</v>
      </c>
      <c r="Q3" s="6">
        <f t="shared" si="1"/>
        <v>36306.934435591582</v>
      </c>
      <c r="R3" s="6">
        <f t="shared" si="1"/>
        <v>36306.934435591582</v>
      </c>
      <c r="S3" s="6">
        <f t="shared" si="1"/>
        <v>36306.934435591582</v>
      </c>
      <c r="T3" s="6">
        <f t="shared" si="1"/>
        <v>36306.934435591582</v>
      </c>
      <c r="U3" s="6">
        <f t="shared" si="1"/>
        <v>36306.934435591582</v>
      </c>
      <c r="V3" s="6">
        <f t="shared" si="1"/>
        <v>36306.934435591582</v>
      </c>
      <c r="W3" s="6">
        <f t="shared" si="1"/>
        <v>36306.934435591582</v>
      </c>
      <c r="X3" s="6">
        <f t="shared" si="1"/>
        <v>36306.934435591582</v>
      </c>
      <c r="Y3" s="6">
        <f t="shared" si="1"/>
        <v>36306.934435591582</v>
      </c>
      <c r="Z3" s="6">
        <f t="shared" si="1"/>
        <v>36306.934435591582</v>
      </c>
      <c r="AA3" s="6">
        <f t="shared" si="1"/>
        <v>36306.934435591582</v>
      </c>
      <c r="AB3" s="6">
        <f t="shared" si="1"/>
        <v>36306.934435591582</v>
      </c>
      <c r="AC3" s="6">
        <f t="shared" si="1"/>
        <v>36306.934435591582</v>
      </c>
      <c r="AD3" s="6">
        <f t="shared" si="1"/>
        <v>36306.934435591582</v>
      </c>
      <c r="AE3" s="6">
        <f t="shared" si="1"/>
        <v>36306.934435591582</v>
      </c>
      <c r="AF3" s="6">
        <f t="shared" si="1"/>
        <v>36306.934435591582</v>
      </c>
      <c r="AG3" s="6">
        <f t="shared" si="1"/>
        <v>36306.934435591582</v>
      </c>
      <c r="AH3" s="6">
        <f t="shared" si="1"/>
        <v>36306.934435591582</v>
      </c>
      <c r="AI3" s="6">
        <f t="shared" si="1"/>
        <v>36306.934435591582</v>
      </c>
      <c r="AJ3" s="6">
        <f t="shared" si="1"/>
        <v>36306.934435591582</v>
      </c>
      <c r="AK3" s="6">
        <f t="shared" si="1"/>
        <v>36306.934435591582</v>
      </c>
      <c r="AL3" s="6">
        <f t="shared" si="1"/>
        <v>36306.934435591582</v>
      </c>
      <c r="AM3" s="6">
        <f t="shared" si="1"/>
        <v>36306.934435591582</v>
      </c>
      <c r="AN3" s="6">
        <f t="shared" si="1"/>
        <v>36306.934435591582</v>
      </c>
      <c r="AO3" s="6">
        <f t="shared" si="1"/>
        <v>36306.934435591582</v>
      </c>
      <c r="AP3" s="6">
        <f t="shared" si="1"/>
        <v>36306.934435591582</v>
      </c>
      <c r="AQ3" s="6">
        <f t="shared" si="1"/>
        <v>36306.934435591582</v>
      </c>
    </row>
    <row r="4" spans="1:43">
      <c r="A4" t="s">
        <v>3</v>
      </c>
      <c r="B4" s="44">
        <f>aircraft!E32</f>
        <v>3203383.8434537211</v>
      </c>
      <c r="C4" s="44">
        <f>aircraft!F32</f>
        <v>3203297.8908665339</v>
      </c>
      <c r="D4" s="44">
        <f>aircraft!G32</f>
        <v>3484710.9203222673</v>
      </c>
      <c r="E4" s="44">
        <f>aircraft!H32</f>
        <v>2826422.4300539652</v>
      </c>
      <c r="F4" s="44">
        <f>aircraft!I32</f>
        <v>2737417.24134245</v>
      </c>
      <c r="G4" s="44">
        <f>aircraft!J32</f>
        <v>3275448.4268608387</v>
      </c>
      <c r="H4">
        <f t="shared" ref="D4:AQ7" si="2">$B4</f>
        <v>3203383.8434537211</v>
      </c>
      <c r="I4">
        <f t="shared" si="2"/>
        <v>3203383.8434537211</v>
      </c>
      <c r="J4">
        <f t="shared" si="2"/>
        <v>3203383.8434537211</v>
      </c>
      <c r="K4">
        <f t="shared" si="2"/>
        <v>3203383.8434537211</v>
      </c>
      <c r="L4">
        <f t="shared" si="2"/>
        <v>3203383.8434537211</v>
      </c>
      <c r="M4">
        <f t="shared" si="2"/>
        <v>3203383.8434537211</v>
      </c>
      <c r="N4">
        <f t="shared" si="2"/>
        <v>3203383.8434537211</v>
      </c>
      <c r="O4">
        <f t="shared" si="2"/>
        <v>3203383.8434537211</v>
      </c>
      <c r="P4">
        <f t="shared" si="2"/>
        <v>3203383.8434537211</v>
      </c>
      <c r="Q4">
        <f t="shared" si="2"/>
        <v>3203383.8434537211</v>
      </c>
      <c r="R4">
        <f t="shared" si="2"/>
        <v>3203383.8434537211</v>
      </c>
      <c r="S4">
        <f t="shared" si="2"/>
        <v>3203383.8434537211</v>
      </c>
      <c r="T4">
        <f t="shared" si="2"/>
        <v>3203383.8434537211</v>
      </c>
      <c r="U4">
        <f t="shared" si="2"/>
        <v>3203383.8434537211</v>
      </c>
      <c r="V4">
        <f t="shared" si="2"/>
        <v>3203383.8434537211</v>
      </c>
      <c r="W4">
        <f t="shared" si="2"/>
        <v>3203383.8434537211</v>
      </c>
      <c r="X4">
        <f t="shared" si="2"/>
        <v>3203383.8434537211</v>
      </c>
      <c r="Y4">
        <f t="shared" si="2"/>
        <v>3203383.8434537211</v>
      </c>
      <c r="Z4">
        <f t="shared" si="2"/>
        <v>3203383.8434537211</v>
      </c>
      <c r="AA4">
        <f t="shared" si="2"/>
        <v>3203383.8434537211</v>
      </c>
      <c r="AB4">
        <f t="shared" si="2"/>
        <v>3203383.8434537211</v>
      </c>
      <c r="AC4">
        <f t="shared" si="2"/>
        <v>3203383.8434537211</v>
      </c>
      <c r="AD4">
        <f t="shared" si="2"/>
        <v>3203383.8434537211</v>
      </c>
      <c r="AE4">
        <f t="shared" si="2"/>
        <v>3203383.8434537211</v>
      </c>
      <c r="AF4">
        <f t="shared" si="2"/>
        <v>3203383.8434537211</v>
      </c>
      <c r="AG4">
        <f t="shared" si="2"/>
        <v>3203383.8434537211</v>
      </c>
      <c r="AH4">
        <f t="shared" si="2"/>
        <v>3203383.8434537211</v>
      </c>
      <c r="AI4">
        <f t="shared" si="2"/>
        <v>3203383.8434537211</v>
      </c>
      <c r="AJ4">
        <f t="shared" si="2"/>
        <v>3203383.8434537211</v>
      </c>
      <c r="AK4">
        <f t="shared" si="2"/>
        <v>3203383.8434537211</v>
      </c>
      <c r="AL4">
        <f t="shared" si="2"/>
        <v>3203383.8434537211</v>
      </c>
      <c r="AM4">
        <f t="shared" si="2"/>
        <v>3203383.8434537211</v>
      </c>
      <c r="AN4">
        <f t="shared" si="2"/>
        <v>3203383.8434537211</v>
      </c>
      <c r="AO4">
        <f t="shared" si="2"/>
        <v>3203383.8434537211</v>
      </c>
      <c r="AP4">
        <f t="shared" si="2"/>
        <v>3203383.8434537211</v>
      </c>
      <c r="AQ4">
        <f t="shared" si="2"/>
        <v>3203383.8434537211</v>
      </c>
    </row>
    <row r="5" spans="1:43">
      <c r="A5" t="s">
        <v>4</v>
      </c>
      <c r="B5" s="6">
        <f>rail!D30</f>
        <v>522.14192500125102</v>
      </c>
      <c r="C5" s="6">
        <f>rail!E30</f>
        <v>522.46559899225224</v>
      </c>
      <c r="D5" s="6">
        <f>rail!F30</f>
        <v>537.80613637083309</v>
      </c>
      <c r="E5" s="6">
        <f>rail!G30</f>
        <v>563.80716782872753</v>
      </c>
      <c r="F5" s="6">
        <f>rail!H30</f>
        <v>566.16351581496099</v>
      </c>
      <c r="G5" s="6">
        <f>rail!I30</f>
        <v>550.41485804107867</v>
      </c>
      <c r="H5" s="6">
        <f>G5</f>
        <v>550.41485804107867</v>
      </c>
      <c r="I5" s="6">
        <f t="shared" ref="I5:AQ5" si="3">H5</f>
        <v>550.41485804107867</v>
      </c>
      <c r="J5" s="6">
        <f t="shared" si="3"/>
        <v>550.41485804107867</v>
      </c>
      <c r="K5" s="6">
        <f t="shared" si="3"/>
        <v>550.41485804107867</v>
      </c>
      <c r="L5" s="6">
        <f t="shared" si="3"/>
        <v>550.41485804107867</v>
      </c>
      <c r="M5" s="6">
        <f t="shared" si="3"/>
        <v>550.41485804107867</v>
      </c>
      <c r="N5" s="6">
        <f t="shared" si="3"/>
        <v>550.41485804107867</v>
      </c>
      <c r="O5" s="6">
        <f t="shared" si="3"/>
        <v>550.41485804107867</v>
      </c>
      <c r="P5" s="6">
        <f t="shared" si="3"/>
        <v>550.41485804107867</v>
      </c>
      <c r="Q5" s="6">
        <f t="shared" si="3"/>
        <v>550.41485804107867</v>
      </c>
      <c r="R5" s="6">
        <f t="shared" si="3"/>
        <v>550.41485804107867</v>
      </c>
      <c r="S5" s="6">
        <f t="shared" si="3"/>
        <v>550.41485804107867</v>
      </c>
      <c r="T5" s="6">
        <f t="shared" si="3"/>
        <v>550.41485804107867</v>
      </c>
      <c r="U5" s="6">
        <f t="shared" si="3"/>
        <v>550.41485804107867</v>
      </c>
      <c r="V5" s="6">
        <f t="shared" si="3"/>
        <v>550.41485804107867</v>
      </c>
      <c r="W5" s="6">
        <f t="shared" si="3"/>
        <v>550.41485804107867</v>
      </c>
      <c r="X5" s="6">
        <f t="shared" si="3"/>
        <v>550.41485804107867</v>
      </c>
      <c r="Y5" s="6">
        <f t="shared" si="3"/>
        <v>550.41485804107867</v>
      </c>
      <c r="Z5" s="6">
        <f t="shared" si="3"/>
        <v>550.41485804107867</v>
      </c>
      <c r="AA5" s="6">
        <f t="shared" si="3"/>
        <v>550.41485804107867</v>
      </c>
      <c r="AB5" s="6">
        <f t="shared" si="3"/>
        <v>550.41485804107867</v>
      </c>
      <c r="AC5" s="6">
        <f t="shared" si="3"/>
        <v>550.41485804107867</v>
      </c>
      <c r="AD5" s="6">
        <f t="shared" si="3"/>
        <v>550.41485804107867</v>
      </c>
      <c r="AE5" s="6">
        <f t="shared" si="3"/>
        <v>550.41485804107867</v>
      </c>
      <c r="AF5" s="6">
        <f t="shared" si="3"/>
        <v>550.41485804107867</v>
      </c>
      <c r="AG5" s="6">
        <f t="shared" si="3"/>
        <v>550.41485804107867</v>
      </c>
      <c r="AH5" s="6">
        <f t="shared" si="3"/>
        <v>550.41485804107867</v>
      </c>
      <c r="AI5" s="6">
        <f t="shared" si="3"/>
        <v>550.41485804107867</v>
      </c>
      <c r="AJ5" s="6">
        <f t="shared" si="3"/>
        <v>550.41485804107867</v>
      </c>
      <c r="AK5" s="6">
        <f t="shared" si="3"/>
        <v>550.41485804107867</v>
      </c>
      <c r="AL5" s="6">
        <f t="shared" si="3"/>
        <v>550.41485804107867</v>
      </c>
      <c r="AM5" s="6">
        <f t="shared" si="3"/>
        <v>550.41485804107867</v>
      </c>
      <c r="AN5" s="6">
        <f t="shared" si="3"/>
        <v>550.41485804107867</v>
      </c>
      <c r="AO5" s="6">
        <f t="shared" si="3"/>
        <v>550.41485804107867</v>
      </c>
      <c r="AP5" s="6">
        <f t="shared" si="3"/>
        <v>550.41485804107867</v>
      </c>
      <c r="AQ5" s="6">
        <f t="shared" si="3"/>
        <v>550.41485804107867</v>
      </c>
    </row>
    <row r="6" spans="1:43">
      <c r="A6" t="s">
        <v>5</v>
      </c>
      <c r="B6" s="6">
        <f>ships!D30</f>
        <v>22769.886012460112</v>
      </c>
      <c r="C6" s="6">
        <f>ships!E30</f>
        <v>22769.630777300627</v>
      </c>
      <c r="D6" s="6">
        <f>ships!F30</f>
        <v>25055.019492774827</v>
      </c>
      <c r="E6" s="6">
        <f>ships!G30</f>
        <v>27093.981489833517</v>
      </c>
      <c r="F6" s="6">
        <f>ships!H30</f>
        <v>29993.366585977961</v>
      </c>
      <c r="G6" s="6">
        <f>ships!I30</f>
        <v>35035.712842952897</v>
      </c>
      <c r="H6" s="6">
        <f>$G6</f>
        <v>35035.712842952897</v>
      </c>
      <c r="I6" s="6">
        <f t="shared" ref="I6:AQ6" si="4">$G6</f>
        <v>35035.712842952897</v>
      </c>
      <c r="J6" s="6">
        <f t="shared" si="4"/>
        <v>35035.712842952897</v>
      </c>
      <c r="K6" s="6">
        <f t="shared" si="4"/>
        <v>35035.712842952897</v>
      </c>
      <c r="L6" s="6">
        <f t="shared" si="4"/>
        <v>35035.712842952897</v>
      </c>
      <c r="M6" s="6">
        <f t="shared" si="4"/>
        <v>35035.712842952897</v>
      </c>
      <c r="N6" s="6">
        <f t="shared" si="4"/>
        <v>35035.712842952897</v>
      </c>
      <c r="O6" s="6">
        <f t="shared" si="4"/>
        <v>35035.712842952897</v>
      </c>
      <c r="P6" s="6">
        <f t="shared" si="4"/>
        <v>35035.712842952897</v>
      </c>
      <c r="Q6" s="6">
        <f t="shared" si="4"/>
        <v>35035.712842952897</v>
      </c>
      <c r="R6" s="6">
        <f t="shared" si="4"/>
        <v>35035.712842952897</v>
      </c>
      <c r="S6" s="6">
        <f t="shared" si="4"/>
        <v>35035.712842952897</v>
      </c>
      <c r="T6" s="6">
        <f t="shared" si="4"/>
        <v>35035.712842952897</v>
      </c>
      <c r="U6" s="6">
        <f t="shared" si="4"/>
        <v>35035.712842952897</v>
      </c>
      <c r="V6" s="6">
        <f t="shared" si="4"/>
        <v>35035.712842952897</v>
      </c>
      <c r="W6" s="6">
        <f t="shared" si="4"/>
        <v>35035.712842952897</v>
      </c>
      <c r="X6" s="6">
        <f t="shared" si="4"/>
        <v>35035.712842952897</v>
      </c>
      <c r="Y6" s="6">
        <f t="shared" si="4"/>
        <v>35035.712842952897</v>
      </c>
      <c r="Z6" s="6">
        <f t="shared" si="4"/>
        <v>35035.712842952897</v>
      </c>
      <c r="AA6" s="6">
        <f t="shared" si="4"/>
        <v>35035.712842952897</v>
      </c>
      <c r="AB6" s="6">
        <f t="shared" si="4"/>
        <v>35035.712842952897</v>
      </c>
      <c r="AC6" s="6">
        <f t="shared" si="4"/>
        <v>35035.712842952897</v>
      </c>
      <c r="AD6" s="6">
        <f t="shared" si="4"/>
        <v>35035.712842952897</v>
      </c>
      <c r="AE6" s="6">
        <f t="shared" si="4"/>
        <v>35035.712842952897</v>
      </c>
      <c r="AF6" s="6">
        <f t="shared" si="4"/>
        <v>35035.712842952897</v>
      </c>
      <c r="AG6" s="6">
        <f t="shared" si="4"/>
        <v>35035.712842952897</v>
      </c>
      <c r="AH6" s="6">
        <f t="shared" si="4"/>
        <v>35035.712842952897</v>
      </c>
      <c r="AI6" s="6">
        <f t="shared" si="4"/>
        <v>35035.712842952897</v>
      </c>
      <c r="AJ6" s="6">
        <f t="shared" si="4"/>
        <v>35035.712842952897</v>
      </c>
      <c r="AK6" s="6">
        <f t="shared" si="4"/>
        <v>35035.712842952897</v>
      </c>
      <c r="AL6" s="6">
        <f t="shared" si="4"/>
        <v>35035.712842952897</v>
      </c>
      <c r="AM6" s="6">
        <f t="shared" si="4"/>
        <v>35035.712842952897</v>
      </c>
      <c r="AN6" s="6">
        <f t="shared" si="4"/>
        <v>35035.712842952897</v>
      </c>
      <c r="AO6" s="6">
        <f t="shared" si="4"/>
        <v>35035.712842952897</v>
      </c>
      <c r="AP6" s="6">
        <f t="shared" si="4"/>
        <v>35035.712842952897</v>
      </c>
      <c r="AQ6" s="6">
        <f t="shared" si="4"/>
        <v>35035.712842952897</v>
      </c>
    </row>
    <row r="7" spans="1:43">
      <c r="A7" t="s">
        <v>6</v>
      </c>
      <c r="B7" s="6">
        <f>motorbikes!B3</f>
        <v>3728.3290871807621</v>
      </c>
      <c r="C7" s="6">
        <f t="shared" ref="C7" si="5">$B7</f>
        <v>3728.3290871807621</v>
      </c>
      <c r="D7" s="6">
        <f t="shared" si="2"/>
        <v>3728.3290871807621</v>
      </c>
      <c r="E7" s="6">
        <f t="shared" si="2"/>
        <v>3728.3290871807621</v>
      </c>
      <c r="F7" s="6">
        <f t="shared" si="2"/>
        <v>3728.3290871807621</v>
      </c>
      <c r="G7" s="6">
        <f t="shared" si="2"/>
        <v>3728.3290871807621</v>
      </c>
      <c r="H7" s="6">
        <f t="shared" si="2"/>
        <v>3728.3290871807621</v>
      </c>
      <c r="I7" s="6">
        <f t="shared" si="2"/>
        <v>3728.3290871807621</v>
      </c>
      <c r="J7" s="6">
        <f t="shared" si="2"/>
        <v>3728.3290871807621</v>
      </c>
      <c r="K7" s="6">
        <f t="shared" si="2"/>
        <v>3728.3290871807621</v>
      </c>
      <c r="L7" s="6">
        <f t="shared" si="2"/>
        <v>3728.3290871807621</v>
      </c>
      <c r="M7" s="6">
        <f t="shared" si="2"/>
        <v>3728.3290871807621</v>
      </c>
      <c r="N7" s="6">
        <f t="shared" si="2"/>
        <v>3728.3290871807621</v>
      </c>
      <c r="O7" s="6">
        <f t="shared" si="2"/>
        <v>3728.3290871807621</v>
      </c>
      <c r="P7" s="6">
        <f t="shared" si="2"/>
        <v>3728.3290871807621</v>
      </c>
      <c r="Q7" s="6">
        <f t="shared" si="2"/>
        <v>3728.3290871807621</v>
      </c>
      <c r="R7" s="6">
        <f t="shared" si="2"/>
        <v>3728.3290871807621</v>
      </c>
      <c r="S7" s="6">
        <f t="shared" si="2"/>
        <v>3728.3290871807621</v>
      </c>
      <c r="T7" s="6">
        <f t="shared" si="2"/>
        <v>3728.3290871807621</v>
      </c>
      <c r="U7" s="6">
        <f t="shared" si="2"/>
        <v>3728.3290871807621</v>
      </c>
      <c r="V7" s="6">
        <f t="shared" si="2"/>
        <v>3728.3290871807621</v>
      </c>
      <c r="W7" s="6">
        <f t="shared" si="2"/>
        <v>3728.3290871807621</v>
      </c>
      <c r="X7" s="6">
        <f t="shared" si="2"/>
        <v>3728.3290871807621</v>
      </c>
      <c r="Y7" s="6">
        <f t="shared" si="2"/>
        <v>3728.3290871807621</v>
      </c>
      <c r="Z7" s="6">
        <f t="shared" si="2"/>
        <v>3728.3290871807621</v>
      </c>
      <c r="AA7" s="6">
        <f t="shared" si="2"/>
        <v>3728.3290871807621</v>
      </c>
      <c r="AB7" s="6">
        <f t="shared" si="2"/>
        <v>3728.3290871807621</v>
      </c>
      <c r="AC7" s="6">
        <f t="shared" si="2"/>
        <v>3728.3290871807621</v>
      </c>
      <c r="AD7" s="6">
        <f t="shared" si="2"/>
        <v>3728.3290871807621</v>
      </c>
      <c r="AE7" s="6">
        <f t="shared" si="2"/>
        <v>3728.3290871807621</v>
      </c>
      <c r="AF7" s="6">
        <f t="shared" si="2"/>
        <v>3728.3290871807621</v>
      </c>
      <c r="AG7" s="6">
        <f t="shared" si="2"/>
        <v>3728.3290871807621</v>
      </c>
      <c r="AH7" s="6">
        <f t="shared" si="2"/>
        <v>3728.3290871807621</v>
      </c>
      <c r="AI7" s="6">
        <f t="shared" si="2"/>
        <v>3728.3290871807621</v>
      </c>
      <c r="AJ7" s="6">
        <f t="shared" si="2"/>
        <v>3728.3290871807621</v>
      </c>
      <c r="AK7" s="6">
        <f t="shared" si="2"/>
        <v>3728.3290871807621</v>
      </c>
      <c r="AL7" s="6">
        <f t="shared" si="2"/>
        <v>3728.3290871807621</v>
      </c>
      <c r="AM7" s="6">
        <f t="shared" si="2"/>
        <v>3728.3290871807621</v>
      </c>
      <c r="AN7" s="6">
        <f t="shared" si="2"/>
        <v>3728.3290871807621</v>
      </c>
      <c r="AO7" s="6">
        <f t="shared" si="2"/>
        <v>3728.3290871807621</v>
      </c>
      <c r="AP7" s="6">
        <f t="shared" si="2"/>
        <v>3728.3290871807621</v>
      </c>
      <c r="AQ7" s="6">
        <f t="shared" si="2"/>
        <v>3728.3290871807621</v>
      </c>
    </row>
  </sheetData>
  <phoneticPr fontId="42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BD1DE36A36CC7845A4126EF01914151E" ma:contentTypeVersion="14" ma:contentTypeDescription="新建文档。" ma:contentTypeScope="" ma:versionID="310835f059701aa681930bc3a1715053">
  <xsd:schema xmlns:xsd="http://www.w3.org/2001/XMLSchema" xmlns:xs="http://www.w3.org/2001/XMLSchema" xmlns:p="http://schemas.microsoft.com/office/2006/metadata/properties" xmlns:ns1="http://schemas.microsoft.com/sharepoint/v3" xmlns:ns2="2e2398b5-f60e-4ca0-a4ba-6048b5e4e90c" xmlns:ns3="a06c533b-533a-4f75-b7db-110f073002e4" targetNamespace="http://schemas.microsoft.com/office/2006/metadata/properties" ma:root="true" ma:fieldsID="7ba933288dd05553e9ce0f804d4dc608" ns1:_="" ns2:_="" ns3:_="">
    <xsd:import namespace="http://schemas.microsoft.com/sharepoint/v3"/>
    <xsd:import namespace="2e2398b5-f60e-4ca0-a4ba-6048b5e4e90c"/>
    <xsd:import namespace="a06c533b-533a-4f75-b7db-110f07300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398b5-f60e-4ca0-a4ba-6048b5e4e9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c533b-533a-4f75-b7db-110f07300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52FE69-6D5E-4B98-8743-EF2FB20752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2398b5-f60e-4ca0-a4ba-6048b5e4e90c"/>
    <ds:schemaRef ds:uri="a06c533b-533a-4f75-b7db-110f073002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F56819-4DDA-43FB-95AC-4A54822EFF7A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2e2398b5-f60e-4ca0-a4ba-6048b5e4e90c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  <ds:schemaRef ds:uri="a06c533b-533a-4f75-b7db-110f073002e4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E582446-72E7-41AC-B806-D74F68911B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About </vt:lpstr>
      <vt:lpstr>LDVs HDVs</vt:lpstr>
      <vt:lpstr>rail</vt:lpstr>
      <vt:lpstr>aircraft</vt:lpstr>
      <vt:lpstr>ships</vt:lpstr>
      <vt:lpstr>motorbikes</vt:lpstr>
      <vt:lpstr>China Vehicle Fleet Model Data</vt:lpstr>
      <vt:lpstr>converter</vt:lpstr>
      <vt:lpstr>raw data</vt:lpstr>
      <vt:lpstr>BAADTbVT-passengers</vt:lpstr>
      <vt:lpstr>BAADTbVT-freight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wcy3015@126.com</cp:lastModifiedBy>
  <dcterms:created xsi:type="dcterms:W3CDTF">2015-03-31T22:53:51Z</dcterms:created>
  <dcterms:modified xsi:type="dcterms:W3CDTF">2026-10-20T07:43:57Z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0x010100BD1DE36A36CC7845A4126EF01914151E</vt:lpwstr>
  </property>
</Properties>
</file>