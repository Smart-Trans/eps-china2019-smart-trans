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lxl\Desktop\EPS\eps-china2019-smart-trans\InputData\trans\TTS\"/>
    </mc:Choice>
  </mc:AlternateContent>
  <xr:revisionPtr revIDLastSave="0" documentId="13_ncr:1_{191C84A2-F48B-429A-9C4D-44A21AA5E230}" xr6:coauthVersionLast="47" xr6:coauthVersionMax="47" xr10:uidLastSave="{00000000-0000-0000-0000-000000000000}"/>
  <bookViews>
    <workbookView xWindow="-109" yWindow="-109" windowWidth="26301" windowHeight="14169" tabRatio="895" firstSheet="17" activeTab="26" xr2:uid="{00000000-000D-0000-FFFF-FFFF00000000}"/>
  </bookViews>
  <sheets>
    <sheet name="About" sheetId="1" r:id="rId1"/>
    <sheet name="Vehicle Sales Database" sheetId="22" r:id="rId2"/>
    <sheet name="Pivot Table" sheetId="23" r:id="rId3"/>
    <sheet name="Electric Ratio" sheetId="24" r:id="rId4"/>
    <sheet name="Hydrogen" sheetId="25" r:id="rId5"/>
    <sheet name="AEO 38" sheetId="20" r:id="rId6"/>
    <sheet name="AEO 39" sheetId="4" r:id="rId7"/>
    <sheet name="AEO 44" sheetId="21" r:id="rId8"/>
    <sheet name="AEO 49" sheetId="5" r:id="rId9"/>
    <sheet name="SYVbT-passenger" sheetId="6" r:id="rId10"/>
    <sheet name="SYVbT-freight" sheetId="19" r:id="rId11"/>
    <sheet name="Assumptions" sheetId="7" r:id="rId12"/>
    <sheet name="Historical Shareweights" sheetId="27" r:id="rId13"/>
    <sheet name="TCO" sheetId="28" r:id="rId14"/>
    <sheet name="Sheet1" sheetId="29" r:id="rId15"/>
    <sheet name="Data" sheetId="3" r:id="rId16"/>
    <sheet name="Projection" sheetId="26" r:id="rId17"/>
    <sheet name="TTS-LDVs-psgr" sheetId="2" r:id="rId18"/>
    <sheet name="TTS-LDVs-frgt" sheetId="8" r:id="rId19"/>
    <sheet name="TTS-HDVs-psgr" sheetId="9" r:id="rId20"/>
    <sheet name="TTS-HDVs-frgt" sheetId="10" r:id="rId21"/>
    <sheet name="TTS-aircraft-psgr" sheetId="11" r:id="rId22"/>
    <sheet name="TTS-aircraft-frgt" sheetId="12" r:id="rId23"/>
    <sheet name="TTS-rail-psgr" sheetId="13" r:id="rId24"/>
    <sheet name="TTS-rail-frgt" sheetId="14" r:id="rId25"/>
    <sheet name="TTS-ships-psgr" sheetId="15" r:id="rId26"/>
    <sheet name="TTS-ships-frgt" sheetId="16" r:id="rId27"/>
    <sheet name="TTS-motorbikes-psgr" sheetId="17" r:id="rId28"/>
    <sheet name="TTS-motorbikes-frgt" sheetId="18" r:id="rId29"/>
  </sheets>
  <definedNames>
    <definedName name="_xlnm._FilterDatabase" localSheetId="1" hidden="1">'Vehicle Sales Database'!$P$2:$V$2</definedName>
    <definedName name="solver_adj" localSheetId="12" hidden="1">'Historical Shareweights'!$B$52:$B$58</definedName>
    <definedName name="solver_cvg" localSheetId="12" hidden="1">0.0001</definedName>
    <definedName name="solver_drv" localSheetId="12" hidden="1">1</definedName>
    <definedName name="solver_eng" localSheetId="12" hidden="1">1</definedName>
    <definedName name="solver_est" localSheetId="12" hidden="1">1</definedName>
    <definedName name="solver_itr" localSheetId="12" hidden="1">2147483647</definedName>
    <definedName name="solver_lhs1" localSheetId="12" hidden="1">'Historical Shareweights'!$B$52:$B$58</definedName>
    <definedName name="solver_lhs2" localSheetId="12" hidden="1">'Historical Shareweights'!$E$149</definedName>
    <definedName name="solver_lhs3" localSheetId="12" hidden="1">'Historical Shareweights'!$E$149</definedName>
    <definedName name="solver_lhs4" localSheetId="12" hidden="1">'Historical Shareweights'!$E$54</definedName>
    <definedName name="solver_mip" localSheetId="12" hidden="1">2147483647</definedName>
    <definedName name="solver_mni" localSheetId="12" hidden="1">30</definedName>
    <definedName name="solver_mrt" localSheetId="12" hidden="1">0.075</definedName>
    <definedName name="solver_msl" localSheetId="12" hidden="1">2</definedName>
    <definedName name="solver_neg" localSheetId="12" hidden="1">1</definedName>
    <definedName name="solver_nod" localSheetId="12" hidden="1">2147483647</definedName>
    <definedName name="solver_num" localSheetId="12" hidden="1">1</definedName>
    <definedName name="solver_nwt" localSheetId="12" hidden="1">1</definedName>
    <definedName name="solver_opt" localSheetId="12" hidden="1">'Historical Shareweights'!$G$60</definedName>
    <definedName name="solver_pre" localSheetId="12" hidden="1">0.000001</definedName>
    <definedName name="solver_rbv" localSheetId="12" hidden="1">1</definedName>
    <definedName name="solver_rel1" localSheetId="12" hidden="1">1</definedName>
    <definedName name="solver_rel2" localSheetId="12" hidden="1">2</definedName>
    <definedName name="solver_rel3" localSheetId="12" hidden="1">2</definedName>
    <definedName name="solver_rel4" localSheetId="12" hidden="1">2</definedName>
    <definedName name="solver_rhs1" localSheetId="12" hidden="1">3</definedName>
    <definedName name="solver_rhs2" localSheetId="12" hidden="1">'Historical Shareweights'!$F$149</definedName>
    <definedName name="solver_rhs3" localSheetId="12" hidden="1">'Historical Shareweights'!$F$149</definedName>
    <definedName name="solver_rhs4" localSheetId="12" hidden="1">'Historical Shareweights'!$F$54</definedName>
    <definedName name="solver_rlx" localSheetId="12" hidden="1">2</definedName>
    <definedName name="solver_rsd" localSheetId="12" hidden="1">0</definedName>
    <definedName name="solver_scl" localSheetId="12" hidden="1">1</definedName>
    <definedName name="solver_sho" localSheetId="12" hidden="1">2</definedName>
    <definedName name="solver_ssz" localSheetId="12" hidden="1">100</definedName>
    <definedName name="solver_tim" localSheetId="12" hidden="1">2147483647</definedName>
    <definedName name="solver_tol" localSheetId="12" hidden="1">0.01</definedName>
    <definedName name="solver_typ" localSheetId="12" hidden="1">2</definedName>
    <definedName name="solver_val" localSheetId="12" hidden="1">0.001</definedName>
    <definedName name="solver_ver" localSheetId="12" hidden="1">3</definedName>
  </definedNames>
  <calcPr calcId="191029"/>
  <pivotCaches>
    <pivotCache cacheId="0" r:id="rId3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7" i="3" l="1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B8" i="10" s="1"/>
  <c r="AO37" i="3"/>
  <c r="AP37" i="3"/>
  <c r="AQ37" i="3"/>
  <c r="AR37" i="3"/>
  <c r="AS37" i="3"/>
  <c r="AT37" i="3"/>
  <c r="AU37" i="3"/>
  <c r="AV37" i="3"/>
  <c r="AW37" i="3"/>
  <c r="AX37" i="3"/>
  <c r="AY37" i="3"/>
  <c r="AZ37" i="3"/>
  <c r="BA37" i="3"/>
  <c r="BB37" i="3"/>
  <c r="BC37" i="3"/>
  <c r="Q37" i="3"/>
  <c r="E8" i="10" s="1"/>
  <c r="R37" i="3"/>
  <c r="F8" i="10" s="1"/>
  <c r="P37" i="3"/>
  <c r="D8" i="10" s="1"/>
  <c r="W2" i="10"/>
  <c r="X2" i="10"/>
  <c r="Y2" i="10"/>
  <c r="Z2" i="10"/>
  <c r="AA2" i="10"/>
  <c r="AB2" i="10"/>
  <c r="AC2" i="10"/>
  <c r="AD2" i="10"/>
  <c r="AE2" i="10"/>
  <c r="AF2" i="10"/>
  <c r="AG2" i="10"/>
  <c r="AH2" i="10"/>
  <c r="AI2" i="10"/>
  <c r="AJ2" i="10"/>
  <c r="AK2" i="10"/>
  <c r="AL2" i="10"/>
  <c r="AM2" i="10"/>
  <c r="AN2" i="10"/>
  <c r="AO2" i="10"/>
  <c r="AP2" i="10"/>
  <c r="AQ2" i="10"/>
  <c r="W8" i="10"/>
  <c r="X8" i="10"/>
  <c r="Y8" i="10"/>
  <c r="Z8" i="10"/>
  <c r="AA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D2" i="10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P31" i="3"/>
  <c r="E32" i="3"/>
  <c r="D32" i="3"/>
  <c r="D33" i="3"/>
  <c r="D34" i="3"/>
  <c r="D35" i="3"/>
  <c r="D36" i="3"/>
  <c r="D37" i="3"/>
  <c r="D31" i="3"/>
  <c r="C3" i="10"/>
  <c r="C4" i="10"/>
  <c r="C5" i="10"/>
  <c r="C6" i="10"/>
  <c r="C7" i="10"/>
  <c r="C8" i="10"/>
  <c r="C2" i="10"/>
  <c r="N194" i="27"/>
  <c r="N195" i="27"/>
  <c r="N196" i="27"/>
  <c r="N197" i="27"/>
  <c r="N198" i="27"/>
  <c r="N199" i="27"/>
  <c r="N193" i="27"/>
  <c r="B3" i="10"/>
  <c r="B4" i="10"/>
  <c r="B5" i="10"/>
  <c r="B6" i="10"/>
  <c r="B7" i="10"/>
  <c r="B8" i="10"/>
  <c r="B2" i="10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D8" i="9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P30" i="3"/>
  <c r="O24" i="3"/>
  <c r="D25" i="3"/>
  <c r="D26" i="3"/>
  <c r="D27" i="3"/>
  <c r="D28" i="3"/>
  <c r="D29" i="3"/>
  <c r="D30" i="3"/>
  <c r="D24" i="3"/>
  <c r="C3" i="9"/>
  <c r="C4" i="9"/>
  <c r="C5" i="9"/>
  <c r="C7" i="9"/>
  <c r="C8" i="9"/>
  <c r="B3" i="9"/>
  <c r="B4" i="9"/>
  <c r="B5" i="9"/>
  <c r="B6" i="9"/>
  <c r="B7" i="9"/>
  <c r="B8" i="9"/>
  <c r="B2" i="9"/>
  <c r="K195" i="27" a="1"/>
  <c r="K195" i="27"/>
  <c r="K196" i="27" a="1"/>
  <c r="K196" i="27"/>
  <c r="K197" i="27" a="1"/>
  <c r="K197" i="27"/>
  <c r="K198" i="27" a="1"/>
  <c r="K198" i="27"/>
  <c r="K199" i="27" a="1"/>
  <c r="K199" i="27"/>
  <c r="K194" i="27" a="1"/>
  <c r="K194" i="27" s="1"/>
  <c r="L194" i="27" s="1"/>
  <c r="K193" i="27" a="1"/>
  <c r="K193" i="27" s="1"/>
  <c r="L193" i="27" s="1"/>
  <c r="L199" i="27"/>
  <c r="L198" i="27"/>
  <c r="L197" i="27"/>
  <c r="L196" i="27"/>
  <c r="L195" i="27"/>
  <c r="H128" i="27"/>
  <c r="C168" i="27"/>
  <c r="D168" i="27"/>
  <c r="E168" i="27"/>
  <c r="F168" i="27"/>
  <c r="G168" i="27"/>
  <c r="H168" i="27"/>
  <c r="C169" i="27"/>
  <c r="D169" i="27"/>
  <c r="E169" i="27"/>
  <c r="F169" i="27"/>
  <c r="G169" i="27"/>
  <c r="H169" i="27"/>
  <c r="F194" i="27" s="1"/>
  <c r="C170" i="27"/>
  <c r="D170" i="27"/>
  <c r="E170" i="27"/>
  <c r="F170" i="27"/>
  <c r="G170" i="27"/>
  <c r="H170" i="27"/>
  <c r="F195" i="27" s="1"/>
  <c r="C171" i="27"/>
  <c r="D171" i="27"/>
  <c r="E171" i="27"/>
  <c r="F171" i="27"/>
  <c r="G171" i="27"/>
  <c r="H171" i="27"/>
  <c r="F196" i="27" s="1"/>
  <c r="C172" i="27"/>
  <c r="D172" i="27"/>
  <c r="E172" i="27"/>
  <c r="F172" i="27"/>
  <c r="G172" i="27"/>
  <c r="H172" i="27"/>
  <c r="F197" i="27" s="1"/>
  <c r="C173" i="27"/>
  <c r="D173" i="27"/>
  <c r="E173" i="27"/>
  <c r="F173" i="27"/>
  <c r="G173" i="27"/>
  <c r="H173" i="27"/>
  <c r="F198" i="27" s="1"/>
  <c r="C174" i="27"/>
  <c r="D174" i="27"/>
  <c r="E174" i="27"/>
  <c r="F174" i="27"/>
  <c r="G174" i="27"/>
  <c r="H174" i="27"/>
  <c r="F199" i="27" s="1"/>
  <c r="B169" i="27"/>
  <c r="B170" i="27"/>
  <c r="B171" i="27"/>
  <c r="B172" i="27"/>
  <c r="B173" i="27"/>
  <c r="B174" i="27"/>
  <c r="B168" i="27"/>
  <c r="H121" i="27"/>
  <c r="H122" i="27"/>
  <c r="H123" i="27"/>
  <c r="H124" i="27"/>
  <c r="H125" i="27"/>
  <c r="H126" i="27"/>
  <c r="H127" i="27"/>
  <c r="C121" i="27"/>
  <c r="D121" i="27"/>
  <c r="E121" i="27"/>
  <c r="F121" i="27"/>
  <c r="G121" i="27"/>
  <c r="C122" i="27"/>
  <c r="D122" i="27"/>
  <c r="E122" i="27"/>
  <c r="F122" i="27"/>
  <c r="G122" i="27"/>
  <c r="C123" i="27"/>
  <c r="D123" i="27"/>
  <c r="E123" i="27"/>
  <c r="F123" i="27"/>
  <c r="G123" i="27"/>
  <c r="C124" i="27"/>
  <c r="D124" i="27"/>
  <c r="E124" i="27"/>
  <c r="F124" i="27"/>
  <c r="G124" i="27"/>
  <c r="C125" i="27"/>
  <c r="D125" i="27"/>
  <c r="E125" i="27"/>
  <c r="F125" i="27"/>
  <c r="G125" i="27"/>
  <c r="C126" i="27"/>
  <c r="D126" i="27"/>
  <c r="E126" i="27"/>
  <c r="F126" i="27"/>
  <c r="G126" i="27"/>
  <c r="C127" i="27"/>
  <c r="D127" i="27"/>
  <c r="E127" i="27"/>
  <c r="F127" i="27"/>
  <c r="G127" i="27"/>
  <c r="B122" i="27"/>
  <c r="F147" i="27" s="1"/>
  <c r="B123" i="27"/>
  <c r="F148" i="27" s="1"/>
  <c r="B124" i="27"/>
  <c r="B125" i="27"/>
  <c r="F150" i="27" s="1"/>
  <c r="B126" i="27"/>
  <c r="F151" i="27" s="1"/>
  <c r="B127" i="27"/>
  <c r="F152" i="27" s="1"/>
  <c r="B121" i="27"/>
  <c r="F146" i="27" s="1"/>
  <c r="N147" i="27"/>
  <c r="N148" i="27"/>
  <c r="N149" i="27"/>
  <c r="N150" i="27"/>
  <c r="N151" i="27"/>
  <c r="N152" i="27"/>
  <c r="N146" i="27"/>
  <c r="L146" i="27"/>
  <c r="K147" i="27" a="1"/>
  <c r="K147" i="27"/>
  <c r="K148" i="27" a="1"/>
  <c r="K148" i="27"/>
  <c r="K149" i="27" a="1"/>
  <c r="K149" i="27"/>
  <c r="K150" i="27" a="1"/>
  <c r="K150" i="27"/>
  <c r="K151" i="27" a="1"/>
  <c r="K151" i="27"/>
  <c r="K152" i="27" a="1"/>
  <c r="K152" i="27"/>
  <c r="K146" i="27" a="1"/>
  <c r="K146" i="27"/>
  <c r="L147" i="27"/>
  <c r="L148" i="27"/>
  <c r="L149" i="27"/>
  <c r="L150" i="27"/>
  <c r="L151" i="27"/>
  <c r="L152" i="27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AN2" i="8"/>
  <c r="AO2" i="8"/>
  <c r="AP2" i="8"/>
  <c r="AQ2" i="8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P17" i="3"/>
  <c r="O101" i="27"/>
  <c r="O102" i="27"/>
  <c r="O103" i="27"/>
  <c r="O104" i="27"/>
  <c r="O105" i="27"/>
  <c r="O100" i="27"/>
  <c r="O99" i="27"/>
  <c r="I46" i="27"/>
  <c r="L100" i="27" a="1"/>
  <c r="L100" i="27" s="1"/>
  <c r="M100" i="27" s="1"/>
  <c r="L101" i="27" a="1"/>
  <c r="L101" i="27" s="1"/>
  <c r="M101" i="27" s="1"/>
  <c r="L102" i="27" a="1"/>
  <c r="L102" i="27" s="1"/>
  <c r="M102" i="27" s="1"/>
  <c r="L103" i="27" a="1"/>
  <c r="L103" i="27" s="1"/>
  <c r="M103" i="27" s="1"/>
  <c r="L104" i="27" a="1"/>
  <c r="L104" i="27" s="1"/>
  <c r="M104" i="27" s="1"/>
  <c r="L105" i="27" a="1"/>
  <c r="L105" i="27" s="1"/>
  <c r="M105" i="27" s="1"/>
  <c r="L99" i="27" a="1"/>
  <c r="L99" i="27"/>
  <c r="C99" i="27" a="1"/>
  <c r="C99" i="27"/>
  <c r="M99" i="27"/>
  <c r="H74" i="27"/>
  <c r="H75" i="27"/>
  <c r="H76" i="27"/>
  <c r="H77" i="27"/>
  <c r="H78" i="27"/>
  <c r="H79" i="27"/>
  <c r="H80" i="27"/>
  <c r="D78" i="27"/>
  <c r="D79" i="27"/>
  <c r="D80" i="27"/>
  <c r="D74" i="27"/>
  <c r="D81" i="27" s="1"/>
  <c r="E74" i="27"/>
  <c r="F74" i="27"/>
  <c r="G74" i="27"/>
  <c r="D75" i="27"/>
  <c r="E75" i="27"/>
  <c r="F75" i="27"/>
  <c r="G75" i="27"/>
  <c r="D76" i="27"/>
  <c r="E76" i="27"/>
  <c r="F76" i="27"/>
  <c r="G76" i="27"/>
  <c r="D77" i="27"/>
  <c r="E77" i="27"/>
  <c r="F77" i="27"/>
  <c r="G77" i="27"/>
  <c r="E78" i="27"/>
  <c r="F78" i="27"/>
  <c r="G78" i="27"/>
  <c r="E79" i="27"/>
  <c r="F79" i="27"/>
  <c r="G79" i="27"/>
  <c r="E80" i="27"/>
  <c r="F80" i="27"/>
  <c r="G80" i="27"/>
  <c r="C74" i="27"/>
  <c r="C75" i="27"/>
  <c r="C76" i="27"/>
  <c r="C77" i="27"/>
  <c r="C78" i="27"/>
  <c r="C79" i="27"/>
  <c r="C80" i="27"/>
  <c r="B75" i="27"/>
  <c r="B76" i="27"/>
  <c r="F101" i="27" s="1"/>
  <c r="B77" i="27"/>
  <c r="F102" i="27" s="1"/>
  <c r="B78" i="27"/>
  <c r="F103" i="27" s="1"/>
  <c r="B79" i="27"/>
  <c r="F104" i="27" s="1"/>
  <c r="B80" i="27"/>
  <c r="F105" i="27" s="1"/>
  <c r="B74" i="27"/>
  <c r="U10" i="3"/>
  <c r="I2" i="2" s="1"/>
  <c r="V10" i="3"/>
  <c r="J2" i="2" s="1"/>
  <c r="W10" i="3"/>
  <c r="K2" i="2" s="1"/>
  <c r="X10" i="3"/>
  <c r="L2" i="2" s="1"/>
  <c r="Y10" i="3"/>
  <c r="M2" i="2" s="1"/>
  <c r="Z10" i="3"/>
  <c r="N2" i="2" s="1"/>
  <c r="AA10" i="3"/>
  <c r="O2" i="2" s="1"/>
  <c r="AB10" i="3"/>
  <c r="P2" i="2" s="1"/>
  <c r="AC10" i="3"/>
  <c r="Q2" i="2" s="1"/>
  <c r="AD10" i="3"/>
  <c r="R2" i="2" s="1"/>
  <c r="AE10" i="3"/>
  <c r="S2" i="2" s="1"/>
  <c r="AF10" i="3"/>
  <c r="T2" i="2" s="1"/>
  <c r="AG10" i="3"/>
  <c r="U2" i="2" s="1"/>
  <c r="AH10" i="3"/>
  <c r="V2" i="2" s="1"/>
  <c r="AI10" i="3"/>
  <c r="W2" i="2" s="1"/>
  <c r="AJ10" i="3"/>
  <c r="X2" i="2" s="1"/>
  <c r="AK10" i="3"/>
  <c r="Y2" i="2" s="1"/>
  <c r="AL10" i="3"/>
  <c r="Z2" i="2" s="1"/>
  <c r="AM10" i="3"/>
  <c r="AA2" i="2" s="1"/>
  <c r="AN10" i="3"/>
  <c r="AB2" i="2" s="1"/>
  <c r="AO10" i="3"/>
  <c r="AC2" i="2" s="1"/>
  <c r="AP10" i="3"/>
  <c r="AD2" i="2" s="1"/>
  <c r="AQ10" i="3"/>
  <c r="AE2" i="2" s="1"/>
  <c r="AR10" i="3"/>
  <c r="AF2" i="2" s="1"/>
  <c r="AS10" i="3"/>
  <c r="AG2" i="2" s="1"/>
  <c r="AT10" i="3"/>
  <c r="AH2" i="2" s="1"/>
  <c r="AU10" i="3"/>
  <c r="AI2" i="2" s="1"/>
  <c r="AV10" i="3"/>
  <c r="AJ2" i="2" s="1"/>
  <c r="AW10" i="3"/>
  <c r="AK2" i="2" s="1"/>
  <c r="AX10" i="3"/>
  <c r="AL2" i="2" s="1"/>
  <c r="AY10" i="3"/>
  <c r="AM2" i="2" s="1"/>
  <c r="AZ10" i="3"/>
  <c r="AN2" i="2" s="1"/>
  <c r="BA10" i="3"/>
  <c r="AO2" i="2" s="1"/>
  <c r="BB10" i="3"/>
  <c r="AP2" i="2" s="1"/>
  <c r="BC10" i="3"/>
  <c r="AQ2" i="2" s="1"/>
  <c r="Q10" i="3"/>
  <c r="E2" i="2" s="1"/>
  <c r="R10" i="3"/>
  <c r="F2" i="2" s="1"/>
  <c r="S10" i="3"/>
  <c r="G2" i="2" s="1"/>
  <c r="T10" i="3"/>
  <c r="H2" i="2" s="1"/>
  <c r="O10" i="3"/>
  <c r="P10" i="3"/>
  <c r="D2" i="2" s="1"/>
  <c r="H28" i="27"/>
  <c r="H29" i="27"/>
  <c r="H30" i="27"/>
  <c r="H31" i="27"/>
  <c r="H32" i="27"/>
  <c r="H33" i="27"/>
  <c r="H27" i="27"/>
  <c r="G28" i="27"/>
  <c r="G29" i="27"/>
  <c r="G30" i="27"/>
  <c r="G31" i="27"/>
  <c r="G32" i="27"/>
  <c r="G33" i="27"/>
  <c r="G27" i="27"/>
  <c r="F28" i="27"/>
  <c r="F29" i="27"/>
  <c r="F30" i="27"/>
  <c r="F31" i="27"/>
  <c r="F32" i="27"/>
  <c r="F33" i="27"/>
  <c r="F27" i="27"/>
  <c r="E28" i="27"/>
  <c r="E29" i="27"/>
  <c r="E30" i="27"/>
  <c r="E31" i="27"/>
  <c r="E32" i="27"/>
  <c r="E33" i="27"/>
  <c r="E27" i="27"/>
  <c r="E34" i="27" s="1"/>
  <c r="D28" i="27"/>
  <c r="D34" i="27" s="1"/>
  <c r="D29" i="27"/>
  <c r="D30" i="27"/>
  <c r="D31" i="27"/>
  <c r="D32" i="27"/>
  <c r="D33" i="27"/>
  <c r="D27" i="27"/>
  <c r="C28" i="27"/>
  <c r="F53" i="27" s="1"/>
  <c r="C29" i="27"/>
  <c r="C30" i="27"/>
  <c r="F55" i="27" s="1"/>
  <c r="C31" i="27"/>
  <c r="F56" i="27" s="1"/>
  <c r="C32" i="27"/>
  <c r="F57" i="27" s="1"/>
  <c r="C33" i="27"/>
  <c r="C27" i="27"/>
  <c r="N53" i="27"/>
  <c r="N54" i="27"/>
  <c r="N55" i="27"/>
  <c r="N56" i="27"/>
  <c r="N57" i="27"/>
  <c r="N58" i="27"/>
  <c r="N52" i="27"/>
  <c r="K54" i="27" a="1"/>
  <c r="K54" i="27"/>
  <c r="K55" i="27" a="1"/>
  <c r="K55" i="27"/>
  <c r="K56" i="27" a="1"/>
  <c r="K56" i="27"/>
  <c r="K57" i="27" a="1"/>
  <c r="K57" i="27"/>
  <c r="K58" i="27" a="1"/>
  <c r="K58" i="27" s="1"/>
  <c r="L58" i="27" s="1"/>
  <c r="K53" i="27" a="1"/>
  <c r="K53" i="27"/>
  <c r="K52" i="27" a="1"/>
  <c r="K52" i="27" s="1"/>
  <c r="L52" i="27" s="1"/>
  <c r="L57" i="27"/>
  <c r="L56" i="27"/>
  <c r="L55" i="27"/>
  <c r="L54" i="27"/>
  <c r="L53" i="27"/>
  <c r="B28" i="27"/>
  <c r="B29" i="27"/>
  <c r="B30" i="27"/>
  <c r="B31" i="27"/>
  <c r="B32" i="27"/>
  <c r="B33" i="27"/>
  <c r="B27" i="27"/>
  <c r="B40" i="27"/>
  <c r="C52" i="27" s="1" a="1"/>
  <c r="C52" i="27" s="1"/>
  <c r="F575" i="27"/>
  <c r="F574" i="27"/>
  <c r="F573" i="27"/>
  <c r="F572" i="27"/>
  <c r="F571" i="27"/>
  <c r="F570" i="27"/>
  <c r="F569" i="27"/>
  <c r="AQ563" i="27"/>
  <c r="AP563" i="27"/>
  <c r="AO563" i="27"/>
  <c r="AN563" i="27"/>
  <c r="AM563" i="27"/>
  <c r="AL563" i="27"/>
  <c r="AK563" i="27"/>
  <c r="AJ563" i="27"/>
  <c r="AI563" i="27"/>
  <c r="AH563" i="27"/>
  <c r="AG563" i="27"/>
  <c r="AF563" i="27"/>
  <c r="AE563" i="27"/>
  <c r="AD563" i="27"/>
  <c r="AC563" i="27"/>
  <c r="AB563" i="27"/>
  <c r="AA563" i="27"/>
  <c r="Z563" i="27"/>
  <c r="Y563" i="27"/>
  <c r="X563" i="27"/>
  <c r="W563" i="27"/>
  <c r="V563" i="27"/>
  <c r="U563" i="27"/>
  <c r="T563" i="27"/>
  <c r="S563" i="27"/>
  <c r="R563" i="27"/>
  <c r="Q563" i="27"/>
  <c r="P563" i="27"/>
  <c r="O563" i="27"/>
  <c r="N563" i="27"/>
  <c r="M563" i="27"/>
  <c r="L563" i="27"/>
  <c r="K563" i="27"/>
  <c r="J563" i="27"/>
  <c r="I563" i="27"/>
  <c r="H563" i="27"/>
  <c r="G563" i="27"/>
  <c r="F563" i="27"/>
  <c r="C575" i="27" s="1" a="1"/>
  <c r="C575" i="27" s="1"/>
  <c r="E563" i="27"/>
  <c r="D563" i="27"/>
  <c r="C563" i="27"/>
  <c r="B563" i="27"/>
  <c r="AQ562" i="27"/>
  <c r="AP562" i="27"/>
  <c r="AO562" i="27"/>
  <c r="AN562" i="27"/>
  <c r="AM562" i="27"/>
  <c r="AL562" i="27"/>
  <c r="AK562" i="27"/>
  <c r="AJ562" i="27"/>
  <c r="AI562" i="27"/>
  <c r="AH562" i="27"/>
  <c r="AG562" i="27"/>
  <c r="AF562" i="27"/>
  <c r="AE562" i="27"/>
  <c r="AD562" i="27"/>
  <c r="AC562" i="27"/>
  <c r="AB562" i="27"/>
  <c r="AA562" i="27"/>
  <c r="Z562" i="27"/>
  <c r="Y562" i="27"/>
  <c r="X562" i="27"/>
  <c r="W562" i="27"/>
  <c r="V562" i="27"/>
  <c r="U562" i="27"/>
  <c r="T562" i="27"/>
  <c r="S562" i="27"/>
  <c r="R562" i="27"/>
  <c r="Q562" i="27"/>
  <c r="P562" i="27"/>
  <c r="O562" i="27"/>
  <c r="N562" i="27"/>
  <c r="M562" i="27"/>
  <c r="L562" i="27"/>
  <c r="K562" i="27"/>
  <c r="J562" i="27"/>
  <c r="I562" i="27"/>
  <c r="H562" i="27"/>
  <c r="G562" i="27"/>
  <c r="F562" i="27"/>
  <c r="C574" i="27" s="1" a="1"/>
  <c r="C574" i="27" s="1"/>
  <c r="E562" i="27"/>
  <c r="D562" i="27"/>
  <c r="C562" i="27"/>
  <c r="B562" i="27"/>
  <c r="AQ561" i="27"/>
  <c r="AP561" i="27"/>
  <c r="AO561" i="27"/>
  <c r="AN561" i="27"/>
  <c r="AM561" i="27"/>
  <c r="AL561" i="27"/>
  <c r="AK561" i="27"/>
  <c r="AJ561" i="27"/>
  <c r="AI561" i="27"/>
  <c r="AH561" i="27"/>
  <c r="AG561" i="27"/>
  <c r="AF561" i="27"/>
  <c r="AE561" i="27"/>
  <c r="AD561" i="27"/>
  <c r="AC561" i="27"/>
  <c r="AB561" i="27"/>
  <c r="AA561" i="27"/>
  <c r="Z561" i="27"/>
  <c r="Y561" i="27"/>
  <c r="X561" i="27"/>
  <c r="W561" i="27"/>
  <c r="V561" i="27"/>
  <c r="U561" i="27"/>
  <c r="T561" i="27"/>
  <c r="S561" i="27"/>
  <c r="R561" i="27"/>
  <c r="Q561" i="27"/>
  <c r="P561" i="27"/>
  <c r="O561" i="27"/>
  <c r="N561" i="27"/>
  <c r="M561" i="27"/>
  <c r="L561" i="27"/>
  <c r="K561" i="27"/>
  <c r="J561" i="27"/>
  <c r="I561" i="27"/>
  <c r="H561" i="27"/>
  <c r="G561" i="27"/>
  <c r="F561" i="27"/>
  <c r="C573" i="27" s="1" a="1"/>
  <c r="C573" i="27" s="1"/>
  <c r="E561" i="27"/>
  <c r="D561" i="27"/>
  <c r="C561" i="27"/>
  <c r="B561" i="27"/>
  <c r="AQ560" i="27"/>
  <c r="AP560" i="27"/>
  <c r="AO560" i="27"/>
  <c r="AN560" i="27"/>
  <c r="AM560" i="27"/>
  <c r="AL560" i="27"/>
  <c r="AK560" i="27"/>
  <c r="AJ560" i="27"/>
  <c r="AI560" i="27"/>
  <c r="AH560" i="27"/>
  <c r="AG560" i="27"/>
  <c r="AF560" i="27"/>
  <c r="AE560" i="27"/>
  <c r="AD560" i="27"/>
  <c r="AC560" i="27"/>
  <c r="AB560" i="27"/>
  <c r="AA560" i="27"/>
  <c r="Z560" i="27"/>
  <c r="Y560" i="27"/>
  <c r="X560" i="27"/>
  <c r="W560" i="27"/>
  <c r="V560" i="27"/>
  <c r="U560" i="27"/>
  <c r="T560" i="27"/>
  <c r="S560" i="27"/>
  <c r="R560" i="27"/>
  <c r="Q560" i="27"/>
  <c r="P560" i="27"/>
  <c r="O560" i="27"/>
  <c r="N560" i="27"/>
  <c r="M560" i="27"/>
  <c r="L560" i="27"/>
  <c r="K560" i="27"/>
  <c r="J560" i="27"/>
  <c r="I560" i="27"/>
  <c r="H560" i="27"/>
  <c r="G560" i="27"/>
  <c r="F560" i="27"/>
  <c r="C572" i="27" s="1" a="1"/>
  <c r="C572" i="27" s="1"/>
  <c r="E560" i="27"/>
  <c r="D560" i="27"/>
  <c r="C560" i="27"/>
  <c r="B560" i="27"/>
  <c r="AQ559" i="27"/>
  <c r="AP559" i="27"/>
  <c r="AO559" i="27"/>
  <c r="AN559" i="27"/>
  <c r="AM559" i="27"/>
  <c r="AL559" i="27"/>
  <c r="AK559" i="27"/>
  <c r="AJ559" i="27"/>
  <c r="AI559" i="27"/>
  <c r="AH559" i="27"/>
  <c r="AG559" i="27"/>
  <c r="AF559" i="27"/>
  <c r="AE559" i="27"/>
  <c r="AD559" i="27"/>
  <c r="AC559" i="27"/>
  <c r="AB559" i="27"/>
  <c r="AA559" i="27"/>
  <c r="Z559" i="27"/>
  <c r="Y559" i="27"/>
  <c r="X559" i="27"/>
  <c r="W559" i="27"/>
  <c r="V559" i="27"/>
  <c r="U559" i="27"/>
  <c r="T559" i="27"/>
  <c r="S559" i="27"/>
  <c r="R559" i="27"/>
  <c r="Q559" i="27"/>
  <c r="P559" i="27"/>
  <c r="O559" i="27"/>
  <c r="N559" i="27"/>
  <c r="M559" i="27"/>
  <c r="L559" i="27"/>
  <c r="K559" i="27"/>
  <c r="J559" i="27"/>
  <c r="I559" i="27"/>
  <c r="H559" i="27"/>
  <c r="G559" i="27"/>
  <c r="F559" i="27"/>
  <c r="C571" i="27" s="1" a="1"/>
  <c r="C571" i="27" s="1"/>
  <c r="E559" i="27"/>
  <c r="D559" i="27"/>
  <c r="C559" i="27"/>
  <c r="B559" i="27"/>
  <c r="AQ558" i="27"/>
  <c r="AP558" i="27"/>
  <c r="AO558" i="27"/>
  <c r="AN558" i="27"/>
  <c r="AM558" i="27"/>
  <c r="AL558" i="27"/>
  <c r="AK558" i="27"/>
  <c r="AJ558" i="27"/>
  <c r="AI558" i="27"/>
  <c r="AH558" i="27"/>
  <c r="AG558" i="27"/>
  <c r="AF558" i="27"/>
  <c r="AE558" i="27"/>
  <c r="AD558" i="27"/>
  <c r="AC558" i="27"/>
  <c r="AB558" i="27"/>
  <c r="AA558" i="27"/>
  <c r="Z558" i="27"/>
  <c r="Y558" i="27"/>
  <c r="X558" i="27"/>
  <c r="W558" i="27"/>
  <c r="V558" i="27"/>
  <c r="U558" i="27"/>
  <c r="T558" i="27"/>
  <c r="S558" i="27"/>
  <c r="R558" i="27"/>
  <c r="Q558" i="27"/>
  <c r="P558" i="27"/>
  <c r="O558" i="27"/>
  <c r="N558" i="27"/>
  <c r="M558" i="27"/>
  <c r="L558" i="27"/>
  <c r="K558" i="27"/>
  <c r="J558" i="27"/>
  <c r="I558" i="27"/>
  <c r="H558" i="27"/>
  <c r="G558" i="27"/>
  <c r="F558" i="27"/>
  <c r="C570" i="27" s="1" a="1"/>
  <c r="C570" i="27" s="1"/>
  <c r="E558" i="27"/>
  <c r="D558" i="27"/>
  <c r="C558" i="27"/>
  <c r="B558" i="27"/>
  <c r="AQ557" i="27"/>
  <c r="AP557" i="27"/>
  <c r="AO557" i="27"/>
  <c r="AN557" i="27"/>
  <c r="AM557" i="27"/>
  <c r="AL557" i="27"/>
  <c r="AK557" i="27"/>
  <c r="AJ557" i="27"/>
  <c r="AI557" i="27"/>
  <c r="AH557" i="27"/>
  <c r="AG557" i="27"/>
  <c r="AF557" i="27"/>
  <c r="AE557" i="27"/>
  <c r="AD557" i="27"/>
  <c r="AC557" i="27"/>
  <c r="AB557" i="27"/>
  <c r="AA557" i="27"/>
  <c r="Z557" i="27"/>
  <c r="Y557" i="27"/>
  <c r="X557" i="27"/>
  <c r="W557" i="27"/>
  <c r="V557" i="27"/>
  <c r="U557" i="27"/>
  <c r="T557" i="27"/>
  <c r="S557" i="27"/>
  <c r="R557" i="27"/>
  <c r="Q557" i="27"/>
  <c r="P557" i="27"/>
  <c r="O557" i="27"/>
  <c r="N557" i="27"/>
  <c r="M557" i="27"/>
  <c r="L557" i="27"/>
  <c r="K557" i="27"/>
  <c r="J557" i="27"/>
  <c r="I557" i="27"/>
  <c r="H557" i="27"/>
  <c r="G557" i="27"/>
  <c r="F557" i="27"/>
  <c r="C569" i="27" s="1" a="1"/>
  <c r="C569" i="27" s="1"/>
  <c r="E557" i="27"/>
  <c r="D557" i="27"/>
  <c r="C557" i="27"/>
  <c r="B557" i="27"/>
  <c r="B553" i="27"/>
  <c r="F551" i="27"/>
  <c r="E551" i="27"/>
  <c r="D551" i="27"/>
  <c r="C551" i="27"/>
  <c r="B551" i="27"/>
  <c r="F528" i="27"/>
  <c r="F527" i="27"/>
  <c r="F526" i="27"/>
  <c r="F525" i="27"/>
  <c r="F524" i="27"/>
  <c r="F523" i="27"/>
  <c r="F522" i="27"/>
  <c r="AQ516" i="27"/>
  <c r="AP516" i="27"/>
  <c r="AO516" i="27"/>
  <c r="AN516" i="27"/>
  <c r="AM516" i="27"/>
  <c r="AL516" i="27"/>
  <c r="AK516" i="27"/>
  <c r="AJ516" i="27"/>
  <c r="AI516" i="27"/>
  <c r="AH516" i="27"/>
  <c r="AG516" i="27"/>
  <c r="AF516" i="27"/>
  <c r="AE516" i="27"/>
  <c r="AD516" i="27"/>
  <c r="AC516" i="27"/>
  <c r="AB516" i="27"/>
  <c r="AA516" i="27"/>
  <c r="Z516" i="27"/>
  <c r="Y516" i="27"/>
  <c r="X516" i="27"/>
  <c r="W516" i="27"/>
  <c r="V516" i="27"/>
  <c r="U516" i="27"/>
  <c r="T516" i="27"/>
  <c r="S516" i="27"/>
  <c r="R516" i="27"/>
  <c r="Q516" i="27"/>
  <c r="P516" i="27"/>
  <c r="O516" i="27"/>
  <c r="N516" i="27"/>
  <c r="M516" i="27"/>
  <c r="L516" i="27"/>
  <c r="K516" i="27"/>
  <c r="J516" i="27"/>
  <c r="I516" i="27"/>
  <c r="H516" i="27"/>
  <c r="G516" i="27"/>
  <c r="F516" i="27"/>
  <c r="C528" i="27" s="1" a="1"/>
  <c r="C528" i="27" s="1"/>
  <c r="E516" i="27"/>
  <c r="D516" i="27"/>
  <c r="C516" i="27"/>
  <c r="B516" i="27"/>
  <c r="AQ515" i="27"/>
  <c r="AP515" i="27"/>
  <c r="AO515" i="27"/>
  <c r="AN515" i="27"/>
  <c r="AM515" i="27"/>
  <c r="AL515" i="27"/>
  <c r="AK515" i="27"/>
  <c r="AJ515" i="27"/>
  <c r="AI515" i="27"/>
  <c r="AH515" i="27"/>
  <c r="AG515" i="27"/>
  <c r="AF515" i="27"/>
  <c r="AE515" i="27"/>
  <c r="AD515" i="27"/>
  <c r="AC515" i="27"/>
  <c r="AB515" i="27"/>
  <c r="AA515" i="27"/>
  <c r="Z515" i="27"/>
  <c r="Y515" i="27"/>
  <c r="X515" i="27"/>
  <c r="W515" i="27"/>
  <c r="V515" i="27"/>
  <c r="U515" i="27"/>
  <c r="T515" i="27"/>
  <c r="S515" i="27"/>
  <c r="R515" i="27"/>
  <c r="Q515" i="27"/>
  <c r="P515" i="27"/>
  <c r="O515" i="27"/>
  <c r="N515" i="27"/>
  <c r="M515" i="27"/>
  <c r="L515" i="27"/>
  <c r="K515" i="27"/>
  <c r="J515" i="27"/>
  <c r="I515" i="27"/>
  <c r="H515" i="27"/>
  <c r="G515" i="27"/>
  <c r="F515" i="27"/>
  <c r="C527" i="27" s="1" a="1"/>
  <c r="C527" i="27" s="1"/>
  <c r="E515" i="27"/>
  <c r="D515" i="27"/>
  <c r="C515" i="27"/>
  <c r="B515" i="27"/>
  <c r="AQ514" i="27"/>
  <c r="AP514" i="27"/>
  <c r="AO514" i="27"/>
  <c r="AN514" i="27"/>
  <c r="AM514" i="27"/>
  <c r="AL514" i="27"/>
  <c r="AK514" i="27"/>
  <c r="AJ514" i="27"/>
  <c r="AI514" i="27"/>
  <c r="AH514" i="27"/>
  <c r="AG514" i="27"/>
  <c r="AF514" i="27"/>
  <c r="AE514" i="27"/>
  <c r="AD514" i="27"/>
  <c r="AC514" i="27"/>
  <c r="AB514" i="27"/>
  <c r="AA514" i="27"/>
  <c r="Z514" i="27"/>
  <c r="Y514" i="27"/>
  <c r="X514" i="27"/>
  <c r="W514" i="27"/>
  <c r="V514" i="27"/>
  <c r="U514" i="27"/>
  <c r="T514" i="27"/>
  <c r="S514" i="27"/>
  <c r="R514" i="27"/>
  <c r="Q514" i="27"/>
  <c r="P514" i="27"/>
  <c r="O514" i="27"/>
  <c r="N514" i="27"/>
  <c r="M514" i="27"/>
  <c r="L514" i="27"/>
  <c r="K514" i="27"/>
  <c r="J514" i="27"/>
  <c r="I514" i="27"/>
  <c r="H514" i="27"/>
  <c r="G514" i="27"/>
  <c r="F514" i="27"/>
  <c r="C526" i="27" s="1" a="1"/>
  <c r="C526" i="27" s="1"/>
  <c r="E514" i="27"/>
  <c r="D514" i="27"/>
  <c r="C514" i="27"/>
  <c r="B514" i="27"/>
  <c r="AQ513" i="27"/>
  <c r="AP513" i="27"/>
  <c r="AO513" i="27"/>
  <c r="AN513" i="27"/>
  <c r="AM513" i="27"/>
  <c r="AL513" i="27"/>
  <c r="AK513" i="27"/>
  <c r="AJ513" i="27"/>
  <c r="AI513" i="27"/>
  <c r="AH513" i="27"/>
  <c r="AG513" i="27"/>
  <c r="AF513" i="27"/>
  <c r="AE513" i="27"/>
  <c r="AD513" i="27"/>
  <c r="AC513" i="27"/>
  <c r="AB513" i="27"/>
  <c r="AA513" i="27"/>
  <c r="Z513" i="27"/>
  <c r="Y513" i="27"/>
  <c r="X513" i="27"/>
  <c r="W513" i="27"/>
  <c r="V513" i="27"/>
  <c r="U513" i="27"/>
  <c r="T513" i="27"/>
  <c r="S513" i="27"/>
  <c r="R513" i="27"/>
  <c r="Q513" i="27"/>
  <c r="P513" i="27"/>
  <c r="O513" i="27"/>
  <c r="N513" i="27"/>
  <c r="M513" i="27"/>
  <c r="L513" i="27"/>
  <c r="K513" i="27"/>
  <c r="J513" i="27"/>
  <c r="I513" i="27"/>
  <c r="H513" i="27"/>
  <c r="G513" i="27"/>
  <c r="F513" i="27"/>
  <c r="C525" i="27" s="1" a="1"/>
  <c r="C525" i="27" s="1"/>
  <c r="E513" i="27"/>
  <c r="D513" i="27"/>
  <c r="C513" i="27"/>
  <c r="B513" i="27"/>
  <c r="AQ512" i="27"/>
  <c r="AP512" i="27"/>
  <c r="AO512" i="27"/>
  <c r="AN512" i="27"/>
  <c r="AM512" i="27"/>
  <c r="AL512" i="27"/>
  <c r="AK512" i="27"/>
  <c r="AJ512" i="27"/>
  <c r="AI512" i="27"/>
  <c r="AH512" i="27"/>
  <c r="AG512" i="27"/>
  <c r="AF512" i="27"/>
  <c r="AE512" i="27"/>
  <c r="AD512" i="27"/>
  <c r="AC512" i="27"/>
  <c r="AB512" i="27"/>
  <c r="AA512" i="27"/>
  <c r="Z512" i="27"/>
  <c r="Y512" i="27"/>
  <c r="X512" i="27"/>
  <c r="W512" i="27"/>
  <c r="V512" i="27"/>
  <c r="U512" i="27"/>
  <c r="T512" i="27"/>
  <c r="S512" i="27"/>
  <c r="R512" i="27"/>
  <c r="Q512" i="27"/>
  <c r="P512" i="27"/>
  <c r="O512" i="27"/>
  <c r="N512" i="27"/>
  <c r="M512" i="27"/>
  <c r="L512" i="27"/>
  <c r="K512" i="27"/>
  <c r="J512" i="27"/>
  <c r="I512" i="27"/>
  <c r="H512" i="27"/>
  <c r="G512" i="27"/>
  <c r="F512" i="27"/>
  <c r="C524" i="27" s="1" a="1"/>
  <c r="C524" i="27" s="1"/>
  <c r="E512" i="27"/>
  <c r="D512" i="27"/>
  <c r="C512" i="27"/>
  <c r="B512" i="27"/>
  <c r="AQ511" i="27"/>
  <c r="AP511" i="27"/>
  <c r="AO511" i="27"/>
  <c r="AN511" i="27"/>
  <c r="AM511" i="27"/>
  <c r="AL511" i="27"/>
  <c r="AK511" i="27"/>
  <c r="AJ511" i="27"/>
  <c r="AI511" i="27"/>
  <c r="AH511" i="27"/>
  <c r="AG511" i="27"/>
  <c r="AF511" i="27"/>
  <c r="AE511" i="27"/>
  <c r="AD511" i="27"/>
  <c r="AC511" i="27"/>
  <c r="AB511" i="27"/>
  <c r="AA511" i="27"/>
  <c r="Z511" i="27"/>
  <c r="Y511" i="27"/>
  <c r="X511" i="27"/>
  <c r="W511" i="27"/>
  <c r="V511" i="27"/>
  <c r="U511" i="27"/>
  <c r="T511" i="27"/>
  <c r="S511" i="27"/>
  <c r="R511" i="27"/>
  <c r="Q511" i="27"/>
  <c r="P511" i="27"/>
  <c r="O511" i="27"/>
  <c r="N511" i="27"/>
  <c r="M511" i="27"/>
  <c r="L511" i="27"/>
  <c r="K511" i="27"/>
  <c r="J511" i="27"/>
  <c r="I511" i="27"/>
  <c r="H511" i="27"/>
  <c r="G511" i="27"/>
  <c r="F511" i="27"/>
  <c r="C523" i="27" s="1" a="1"/>
  <c r="C523" i="27" s="1"/>
  <c r="E511" i="27"/>
  <c r="D511" i="27"/>
  <c r="C511" i="27"/>
  <c r="B511" i="27"/>
  <c r="AQ510" i="27"/>
  <c r="AP510" i="27"/>
  <c r="AO510" i="27"/>
  <c r="AN510" i="27"/>
  <c r="AM510" i="27"/>
  <c r="AL510" i="27"/>
  <c r="AK510" i="27"/>
  <c r="AJ510" i="27"/>
  <c r="AI510" i="27"/>
  <c r="AH510" i="27"/>
  <c r="AG510" i="27"/>
  <c r="AF510" i="27"/>
  <c r="AE510" i="27"/>
  <c r="AD510" i="27"/>
  <c r="AC510" i="27"/>
  <c r="AB510" i="27"/>
  <c r="AA510" i="27"/>
  <c r="Z510" i="27"/>
  <c r="Y510" i="27"/>
  <c r="X510" i="27"/>
  <c r="W510" i="27"/>
  <c r="V510" i="27"/>
  <c r="U510" i="27"/>
  <c r="T510" i="27"/>
  <c r="S510" i="27"/>
  <c r="R510" i="27"/>
  <c r="Q510" i="27"/>
  <c r="P510" i="27"/>
  <c r="O510" i="27"/>
  <c r="N510" i="27"/>
  <c r="M510" i="27"/>
  <c r="L510" i="27"/>
  <c r="K510" i="27"/>
  <c r="J510" i="27"/>
  <c r="I510" i="27"/>
  <c r="H510" i="27"/>
  <c r="G510" i="27"/>
  <c r="F510" i="27"/>
  <c r="C522" i="27" s="1" a="1"/>
  <c r="C522" i="27" s="1"/>
  <c r="E510" i="27"/>
  <c r="D510" i="27"/>
  <c r="C510" i="27"/>
  <c r="B510" i="27"/>
  <c r="B506" i="27"/>
  <c r="F504" i="27"/>
  <c r="E504" i="27"/>
  <c r="D504" i="27"/>
  <c r="C504" i="27"/>
  <c r="B504" i="27"/>
  <c r="F481" i="27"/>
  <c r="F480" i="27"/>
  <c r="F479" i="27"/>
  <c r="F478" i="27"/>
  <c r="F477" i="27"/>
  <c r="F476" i="27"/>
  <c r="F475" i="27"/>
  <c r="AQ469" i="27"/>
  <c r="AP469" i="27"/>
  <c r="AO469" i="27"/>
  <c r="AN469" i="27"/>
  <c r="AM469" i="27"/>
  <c r="AL469" i="27"/>
  <c r="AK469" i="27"/>
  <c r="AJ469" i="27"/>
  <c r="AI469" i="27"/>
  <c r="AH469" i="27"/>
  <c r="AG469" i="27"/>
  <c r="AF469" i="27"/>
  <c r="AE469" i="27"/>
  <c r="AD469" i="27"/>
  <c r="AC469" i="27"/>
  <c r="AB469" i="27"/>
  <c r="AA469" i="27"/>
  <c r="Z469" i="27"/>
  <c r="Y469" i="27"/>
  <c r="X469" i="27"/>
  <c r="W469" i="27"/>
  <c r="V469" i="27"/>
  <c r="U469" i="27"/>
  <c r="T469" i="27"/>
  <c r="S469" i="27"/>
  <c r="R469" i="27"/>
  <c r="Q469" i="27"/>
  <c r="P469" i="27"/>
  <c r="O469" i="27"/>
  <c r="N469" i="27"/>
  <c r="M469" i="27"/>
  <c r="L469" i="27"/>
  <c r="K469" i="27"/>
  <c r="J469" i="27"/>
  <c r="I469" i="27"/>
  <c r="H469" i="27"/>
  <c r="G469" i="27"/>
  <c r="F469" i="27"/>
  <c r="C481" i="27" s="1" a="1"/>
  <c r="C481" i="27" s="1"/>
  <c r="E469" i="27"/>
  <c r="D469" i="27"/>
  <c r="C469" i="27"/>
  <c r="B469" i="27"/>
  <c r="AQ468" i="27"/>
  <c r="AP468" i="27"/>
  <c r="AO468" i="27"/>
  <c r="AN468" i="27"/>
  <c r="AM468" i="27"/>
  <c r="AL468" i="27"/>
  <c r="AK468" i="27"/>
  <c r="AJ468" i="27"/>
  <c r="AI468" i="27"/>
  <c r="AH468" i="27"/>
  <c r="AG468" i="27"/>
  <c r="AF468" i="27"/>
  <c r="AE468" i="27"/>
  <c r="AD468" i="27"/>
  <c r="AC468" i="27"/>
  <c r="AB468" i="27"/>
  <c r="AA468" i="27"/>
  <c r="Z468" i="27"/>
  <c r="Y468" i="27"/>
  <c r="X468" i="27"/>
  <c r="W468" i="27"/>
  <c r="V468" i="27"/>
  <c r="U468" i="27"/>
  <c r="T468" i="27"/>
  <c r="S468" i="27"/>
  <c r="R468" i="27"/>
  <c r="Q468" i="27"/>
  <c r="P468" i="27"/>
  <c r="O468" i="27"/>
  <c r="N468" i="27"/>
  <c r="M468" i="27"/>
  <c r="L468" i="27"/>
  <c r="K468" i="27"/>
  <c r="J468" i="27"/>
  <c r="I468" i="27"/>
  <c r="H468" i="27"/>
  <c r="G468" i="27"/>
  <c r="F468" i="27"/>
  <c r="C480" i="27" s="1" a="1"/>
  <c r="C480" i="27" s="1"/>
  <c r="E468" i="27"/>
  <c r="D468" i="27"/>
  <c r="C468" i="27"/>
  <c r="B468" i="27"/>
  <c r="AQ467" i="27"/>
  <c r="AP467" i="27"/>
  <c r="AO467" i="27"/>
  <c r="AN467" i="27"/>
  <c r="AM467" i="27"/>
  <c r="AL467" i="27"/>
  <c r="AK467" i="27"/>
  <c r="AJ467" i="27"/>
  <c r="AI467" i="27"/>
  <c r="AH467" i="27"/>
  <c r="AG467" i="27"/>
  <c r="AF467" i="27"/>
  <c r="AE467" i="27"/>
  <c r="AD467" i="27"/>
  <c r="AC467" i="27"/>
  <c r="AB467" i="27"/>
  <c r="AA467" i="27"/>
  <c r="Z467" i="27"/>
  <c r="Y467" i="27"/>
  <c r="X467" i="27"/>
  <c r="W467" i="27"/>
  <c r="V467" i="27"/>
  <c r="U467" i="27"/>
  <c r="T467" i="27"/>
  <c r="S467" i="27"/>
  <c r="R467" i="27"/>
  <c r="Q467" i="27"/>
  <c r="P467" i="27"/>
  <c r="O467" i="27"/>
  <c r="N467" i="27"/>
  <c r="M467" i="27"/>
  <c r="L467" i="27"/>
  <c r="K467" i="27"/>
  <c r="J467" i="27"/>
  <c r="I467" i="27"/>
  <c r="H467" i="27"/>
  <c r="G467" i="27"/>
  <c r="F467" i="27"/>
  <c r="C479" i="27" s="1" a="1"/>
  <c r="C479" i="27" s="1"/>
  <c r="E467" i="27"/>
  <c r="D467" i="27"/>
  <c r="C467" i="27"/>
  <c r="B467" i="27"/>
  <c r="AQ466" i="27"/>
  <c r="AP466" i="27"/>
  <c r="AO466" i="27"/>
  <c r="AN466" i="27"/>
  <c r="AM466" i="27"/>
  <c r="AL466" i="27"/>
  <c r="AK466" i="27"/>
  <c r="AJ466" i="27"/>
  <c r="AI466" i="27"/>
  <c r="AH466" i="27"/>
  <c r="AG466" i="27"/>
  <c r="AF466" i="27"/>
  <c r="AE466" i="27"/>
  <c r="AD466" i="27"/>
  <c r="AC466" i="27"/>
  <c r="AB466" i="27"/>
  <c r="AA466" i="27"/>
  <c r="Z466" i="27"/>
  <c r="Y466" i="27"/>
  <c r="X466" i="27"/>
  <c r="W466" i="27"/>
  <c r="V466" i="27"/>
  <c r="U466" i="27"/>
  <c r="T466" i="27"/>
  <c r="S466" i="27"/>
  <c r="R466" i="27"/>
  <c r="Q466" i="27"/>
  <c r="P466" i="27"/>
  <c r="O466" i="27"/>
  <c r="N466" i="27"/>
  <c r="M466" i="27"/>
  <c r="L466" i="27"/>
  <c r="K466" i="27"/>
  <c r="J466" i="27"/>
  <c r="I466" i="27"/>
  <c r="H466" i="27"/>
  <c r="G466" i="27"/>
  <c r="F466" i="27"/>
  <c r="C478" i="27" s="1" a="1"/>
  <c r="C478" i="27" s="1"/>
  <c r="E466" i="27"/>
  <c r="D466" i="27"/>
  <c r="C466" i="27"/>
  <c r="B466" i="27"/>
  <c r="AQ465" i="27"/>
  <c r="AP465" i="27"/>
  <c r="AO465" i="27"/>
  <c r="AN465" i="27"/>
  <c r="AM465" i="27"/>
  <c r="AL465" i="27"/>
  <c r="AK465" i="27"/>
  <c r="AJ465" i="27"/>
  <c r="AI465" i="27"/>
  <c r="AH465" i="27"/>
  <c r="AG465" i="27"/>
  <c r="AF465" i="27"/>
  <c r="AE465" i="27"/>
  <c r="AD465" i="27"/>
  <c r="AC465" i="27"/>
  <c r="AB465" i="27"/>
  <c r="AA465" i="27"/>
  <c r="Z465" i="27"/>
  <c r="Y465" i="27"/>
  <c r="X465" i="27"/>
  <c r="W465" i="27"/>
  <c r="V465" i="27"/>
  <c r="U465" i="27"/>
  <c r="T465" i="27"/>
  <c r="S465" i="27"/>
  <c r="R465" i="27"/>
  <c r="Q465" i="27"/>
  <c r="P465" i="27"/>
  <c r="O465" i="27"/>
  <c r="N465" i="27"/>
  <c r="M465" i="27"/>
  <c r="L465" i="27"/>
  <c r="K465" i="27"/>
  <c r="J465" i="27"/>
  <c r="I465" i="27"/>
  <c r="H465" i="27"/>
  <c r="G465" i="27"/>
  <c r="F465" i="27"/>
  <c r="C477" i="27" s="1" a="1"/>
  <c r="C477" i="27" s="1"/>
  <c r="E465" i="27"/>
  <c r="D465" i="27"/>
  <c r="C465" i="27"/>
  <c r="B465" i="27"/>
  <c r="AQ464" i="27"/>
  <c r="AP464" i="27"/>
  <c r="AO464" i="27"/>
  <c r="AN464" i="27"/>
  <c r="AM464" i="27"/>
  <c r="AL464" i="27"/>
  <c r="AK464" i="27"/>
  <c r="AJ464" i="27"/>
  <c r="AI464" i="27"/>
  <c r="AH464" i="27"/>
  <c r="AG464" i="27"/>
  <c r="AF464" i="27"/>
  <c r="AE464" i="27"/>
  <c r="AD464" i="27"/>
  <c r="AC464" i="27"/>
  <c r="AB464" i="27"/>
  <c r="AA464" i="27"/>
  <c r="Z464" i="27"/>
  <c r="Y464" i="27"/>
  <c r="X464" i="27"/>
  <c r="W464" i="27"/>
  <c r="V464" i="27"/>
  <c r="U464" i="27"/>
  <c r="T464" i="27"/>
  <c r="S464" i="27"/>
  <c r="R464" i="27"/>
  <c r="Q464" i="27"/>
  <c r="P464" i="27"/>
  <c r="O464" i="27"/>
  <c r="N464" i="27"/>
  <c r="M464" i="27"/>
  <c r="L464" i="27"/>
  <c r="K464" i="27"/>
  <c r="J464" i="27"/>
  <c r="I464" i="27"/>
  <c r="H464" i="27"/>
  <c r="G464" i="27"/>
  <c r="F464" i="27"/>
  <c r="C476" i="27" s="1" a="1"/>
  <c r="C476" i="27" s="1"/>
  <c r="E464" i="27"/>
  <c r="D464" i="27"/>
  <c r="C464" i="27"/>
  <c r="B464" i="27"/>
  <c r="AQ463" i="27"/>
  <c r="AP463" i="27"/>
  <c r="AO463" i="27"/>
  <c r="AN463" i="27"/>
  <c r="AM463" i="27"/>
  <c r="AL463" i="27"/>
  <c r="AK463" i="27"/>
  <c r="AJ463" i="27"/>
  <c r="AI463" i="27"/>
  <c r="AH463" i="27"/>
  <c r="AG463" i="27"/>
  <c r="AF463" i="27"/>
  <c r="AE463" i="27"/>
  <c r="AD463" i="27"/>
  <c r="AC463" i="27"/>
  <c r="AB463" i="27"/>
  <c r="AA463" i="27"/>
  <c r="Z463" i="27"/>
  <c r="Y463" i="27"/>
  <c r="X463" i="27"/>
  <c r="W463" i="27"/>
  <c r="V463" i="27"/>
  <c r="U463" i="27"/>
  <c r="T463" i="27"/>
  <c r="S463" i="27"/>
  <c r="R463" i="27"/>
  <c r="Q463" i="27"/>
  <c r="P463" i="27"/>
  <c r="O463" i="27"/>
  <c r="N463" i="27"/>
  <c r="M463" i="27"/>
  <c r="L463" i="27"/>
  <c r="K463" i="27"/>
  <c r="J463" i="27"/>
  <c r="I463" i="27"/>
  <c r="H463" i="27"/>
  <c r="G463" i="27"/>
  <c r="F463" i="27"/>
  <c r="C475" i="27" s="1" a="1"/>
  <c r="C475" i="27" s="1"/>
  <c r="E463" i="27"/>
  <c r="D463" i="27"/>
  <c r="C463" i="27"/>
  <c r="B463" i="27"/>
  <c r="B459" i="27"/>
  <c r="F457" i="27"/>
  <c r="E457" i="27"/>
  <c r="D457" i="27"/>
  <c r="C457" i="27"/>
  <c r="B457" i="27"/>
  <c r="F434" i="27"/>
  <c r="F433" i="27"/>
  <c r="F432" i="27"/>
  <c r="F431" i="27"/>
  <c r="F430" i="27"/>
  <c r="F429" i="27"/>
  <c r="F428" i="27"/>
  <c r="AQ422" i="27"/>
  <c r="AP422" i="27"/>
  <c r="AO422" i="27"/>
  <c r="AN422" i="27"/>
  <c r="AM422" i="27"/>
  <c r="AL422" i="27"/>
  <c r="AK422" i="27"/>
  <c r="AJ422" i="27"/>
  <c r="AI422" i="27"/>
  <c r="AH422" i="27"/>
  <c r="AG422" i="27"/>
  <c r="AF422" i="27"/>
  <c r="AE422" i="27"/>
  <c r="AD422" i="27"/>
  <c r="AC422" i="27"/>
  <c r="AB422" i="27"/>
  <c r="AA422" i="27"/>
  <c r="Z422" i="27"/>
  <c r="Y422" i="27"/>
  <c r="X422" i="27"/>
  <c r="W422" i="27"/>
  <c r="V422" i="27"/>
  <c r="U422" i="27"/>
  <c r="T422" i="27"/>
  <c r="S422" i="27"/>
  <c r="R422" i="27"/>
  <c r="Q422" i="27"/>
  <c r="P422" i="27"/>
  <c r="O422" i="27"/>
  <c r="N422" i="27"/>
  <c r="M422" i="27"/>
  <c r="L422" i="27"/>
  <c r="K422" i="27"/>
  <c r="J422" i="27"/>
  <c r="I422" i="27"/>
  <c r="H422" i="27"/>
  <c r="G422" i="27"/>
  <c r="F422" i="27"/>
  <c r="C434" i="27" s="1" a="1"/>
  <c r="C434" i="27" s="1"/>
  <c r="E422" i="27"/>
  <c r="D422" i="27"/>
  <c r="C422" i="27"/>
  <c r="B422" i="27"/>
  <c r="AQ421" i="27"/>
  <c r="AP421" i="27"/>
  <c r="AO421" i="27"/>
  <c r="AN421" i="27"/>
  <c r="AM421" i="27"/>
  <c r="AL421" i="27"/>
  <c r="AK421" i="27"/>
  <c r="AJ421" i="27"/>
  <c r="AI421" i="27"/>
  <c r="AH421" i="27"/>
  <c r="AG421" i="27"/>
  <c r="AF421" i="27"/>
  <c r="AE421" i="27"/>
  <c r="AD421" i="27"/>
  <c r="AC421" i="27"/>
  <c r="AB421" i="27"/>
  <c r="AA421" i="27"/>
  <c r="Z421" i="27"/>
  <c r="Y421" i="27"/>
  <c r="X421" i="27"/>
  <c r="W421" i="27"/>
  <c r="V421" i="27"/>
  <c r="U421" i="27"/>
  <c r="T421" i="27"/>
  <c r="S421" i="27"/>
  <c r="R421" i="27"/>
  <c r="Q421" i="27"/>
  <c r="P421" i="27"/>
  <c r="O421" i="27"/>
  <c r="N421" i="27"/>
  <c r="M421" i="27"/>
  <c r="L421" i="27"/>
  <c r="K421" i="27"/>
  <c r="J421" i="27"/>
  <c r="I421" i="27"/>
  <c r="H421" i="27"/>
  <c r="G421" i="27"/>
  <c r="F421" i="27"/>
  <c r="C433" i="27" s="1" a="1"/>
  <c r="C433" i="27" s="1"/>
  <c r="E421" i="27"/>
  <c r="D421" i="27"/>
  <c r="C421" i="27"/>
  <c r="B421" i="27"/>
  <c r="AQ420" i="27"/>
  <c r="AP420" i="27"/>
  <c r="AO420" i="27"/>
  <c r="AN420" i="27"/>
  <c r="AM420" i="27"/>
  <c r="AL420" i="27"/>
  <c r="AK420" i="27"/>
  <c r="AJ420" i="27"/>
  <c r="AI420" i="27"/>
  <c r="AH420" i="27"/>
  <c r="AG420" i="27"/>
  <c r="AF420" i="27"/>
  <c r="AE420" i="27"/>
  <c r="AD420" i="27"/>
  <c r="AC420" i="27"/>
  <c r="AB420" i="27"/>
  <c r="AA420" i="27"/>
  <c r="Z420" i="27"/>
  <c r="Y420" i="27"/>
  <c r="X420" i="27"/>
  <c r="W420" i="27"/>
  <c r="V420" i="27"/>
  <c r="U420" i="27"/>
  <c r="T420" i="27"/>
  <c r="S420" i="27"/>
  <c r="R420" i="27"/>
  <c r="Q420" i="27"/>
  <c r="P420" i="27"/>
  <c r="O420" i="27"/>
  <c r="N420" i="27"/>
  <c r="M420" i="27"/>
  <c r="L420" i="27"/>
  <c r="K420" i="27"/>
  <c r="J420" i="27"/>
  <c r="I420" i="27"/>
  <c r="H420" i="27"/>
  <c r="G420" i="27"/>
  <c r="F420" i="27"/>
  <c r="C432" i="27" s="1" a="1"/>
  <c r="C432" i="27" s="1"/>
  <c r="E420" i="27"/>
  <c r="D420" i="27"/>
  <c r="C420" i="27"/>
  <c r="B420" i="27"/>
  <c r="AQ419" i="27"/>
  <c r="AP419" i="27"/>
  <c r="AO419" i="27"/>
  <c r="AN419" i="27"/>
  <c r="AM419" i="27"/>
  <c r="AL419" i="27"/>
  <c r="AK419" i="27"/>
  <c r="AJ419" i="27"/>
  <c r="AI419" i="27"/>
  <c r="AH419" i="27"/>
  <c r="AG419" i="27"/>
  <c r="AF419" i="27"/>
  <c r="AE419" i="27"/>
  <c r="AD419" i="27"/>
  <c r="AC419" i="27"/>
  <c r="AB419" i="27"/>
  <c r="AA419" i="27"/>
  <c r="Z419" i="27"/>
  <c r="Y419" i="27"/>
  <c r="X419" i="27"/>
  <c r="W419" i="27"/>
  <c r="V419" i="27"/>
  <c r="U419" i="27"/>
  <c r="T419" i="27"/>
  <c r="S419" i="27"/>
  <c r="R419" i="27"/>
  <c r="Q419" i="27"/>
  <c r="P419" i="27"/>
  <c r="O419" i="27"/>
  <c r="N419" i="27"/>
  <c r="M419" i="27"/>
  <c r="L419" i="27"/>
  <c r="K419" i="27"/>
  <c r="J419" i="27"/>
  <c r="I419" i="27"/>
  <c r="H419" i="27"/>
  <c r="G419" i="27"/>
  <c r="F419" i="27"/>
  <c r="C431" i="27" s="1" a="1"/>
  <c r="C431" i="27" s="1"/>
  <c r="E419" i="27"/>
  <c r="D419" i="27"/>
  <c r="C419" i="27"/>
  <c r="B419" i="27"/>
  <c r="AQ418" i="27"/>
  <c r="AP418" i="27"/>
  <c r="AO418" i="27"/>
  <c r="AN418" i="27"/>
  <c r="AM418" i="27"/>
  <c r="AL418" i="27"/>
  <c r="AK418" i="27"/>
  <c r="AJ418" i="27"/>
  <c r="AI418" i="27"/>
  <c r="AH418" i="27"/>
  <c r="AG418" i="27"/>
  <c r="AF418" i="27"/>
  <c r="AE418" i="27"/>
  <c r="AD418" i="27"/>
  <c r="AC418" i="27"/>
  <c r="AB418" i="27"/>
  <c r="AA418" i="27"/>
  <c r="Z418" i="27"/>
  <c r="Y418" i="27"/>
  <c r="X418" i="27"/>
  <c r="W418" i="27"/>
  <c r="V418" i="27"/>
  <c r="U418" i="27"/>
  <c r="T418" i="27"/>
  <c r="S418" i="27"/>
  <c r="R418" i="27"/>
  <c r="Q418" i="27"/>
  <c r="P418" i="27"/>
  <c r="O418" i="27"/>
  <c r="N418" i="27"/>
  <c r="M418" i="27"/>
  <c r="L418" i="27"/>
  <c r="K418" i="27"/>
  <c r="J418" i="27"/>
  <c r="I418" i="27"/>
  <c r="H418" i="27"/>
  <c r="G418" i="27"/>
  <c r="F418" i="27"/>
  <c r="C430" i="27" s="1" a="1"/>
  <c r="C430" i="27" s="1"/>
  <c r="E418" i="27"/>
  <c r="D418" i="27"/>
  <c r="C418" i="27"/>
  <c r="B418" i="27"/>
  <c r="AQ417" i="27"/>
  <c r="AP417" i="27"/>
  <c r="AO417" i="27"/>
  <c r="AN417" i="27"/>
  <c r="AM417" i="27"/>
  <c r="AL417" i="27"/>
  <c r="AK417" i="27"/>
  <c r="AJ417" i="27"/>
  <c r="AI417" i="27"/>
  <c r="AH417" i="27"/>
  <c r="AG417" i="27"/>
  <c r="AF417" i="27"/>
  <c r="AE417" i="27"/>
  <c r="AD417" i="27"/>
  <c r="AC417" i="27"/>
  <c r="AB417" i="27"/>
  <c r="AA417" i="27"/>
  <c r="Z417" i="27"/>
  <c r="Y417" i="27"/>
  <c r="X417" i="27"/>
  <c r="W417" i="27"/>
  <c r="V417" i="27"/>
  <c r="U417" i="27"/>
  <c r="T417" i="27"/>
  <c r="S417" i="27"/>
  <c r="R417" i="27"/>
  <c r="Q417" i="27"/>
  <c r="P417" i="27"/>
  <c r="O417" i="27"/>
  <c r="N417" i="27"/>
  <c r="M417" i="27"/>
  <c r="L417" i="27"/>
  <c r="K417" i="27"/>
  <c r="J417" i="27"/>
  <c r="I417" i="27"/>
  <c r="H417" i="27"/>
  <c r="G417" i="27"/>
  <c r="F417" i="27"/>
  <c r="C429" i="27" s="1" a="1"/>
  <c r="C429" i="27" s="1"/>
  <c r="E417" i="27"/>
  <c r="D417" i="27"/>
  <c r="C417" i="27"/>
  <c r="B417" i="27"/>
  <c r="AQ416" i="27"/>
  <c r="AP416" i="27"/>
  <c r="AO416" i="27"/>
  <c r="AN416" i="27"/>
  <c r="AM416" i="27"/>
  <c r="AL416" i="27"/>
  <c r="AK416" i="27"/>
  <c r="AJ416" i="27"/>
  <c r="AI416" i="27"/>
  <c r="AH416" i="27"/>
  <c r="AG416" i="27"/>
  <c r="AF416" i="27"/>
  <c r="AE416" i="27"/>
  <c r="AD416" i="27"/>
  <c r="AC416" i="27"/>
  <c r="AB416" i="27"/>
  <c r="AA416" i="27"/>
  <c r="Z416" i="27"/>
  <c r="Y416" i="27"/>
  <c r="X416" i="27"/>
  <c r="W416" i="27"/>
  <c r="V416" i="27"/>
  <c r="U416" i="27"/>
  <c r="T416" i="27"/>
  <c r="S416" i="27"/>
  <c r="R416" i="27"/>
  <c r="Q416" i="27"/>
  <c r="P416" i="27"/>
  <c r="O416" i="27"/>
  <c r="N416" i="27"/>
  <c r="M416" i="27"/>
  <c r="L416" i="27"/>
  <c r="K416" i="27"/>
  <c r="J416" i="27"/>
  <c r="I416" i="27"/>
  <c r="H416" i="27"/>
  <c r="G416" i="27"/>
  <c r="F416" i="27"/>
  <c r="C428" i="27" s="1" a="1"/>
  <c r="C428" i="27" s="1"/>
  <c r="E416" i="27"/>
  <c r="D416" i="27"/>
  <c r="C416" i="27"/>
  <c r="B416" i="27"/>
  <c r="B412" i="27"/>
  <c r="F410" i="27"/>
  <c r="E410" i="27"/>
  <c r="D410" i="27"/>
  <c r="C410" i="27"/>
  <c r="B410" i="27"/>
  <c r="F387" i="27"/>
  <c r="F386" i="27"/>
  <c r="F385" i="27"/>
  <c r="F383" i="27"/>
  <c r="F382" i="27"/>
  <c r="AQ375" i="27"/>
  <c r="AP375" i="27"/>
  <c r="AO375" i="27"/>
  <c r="AN375" i="27"/>
  <c r="AM375" i="27"/>
  <c r="AL375" i="27"/>
  <c r="AK375" i="27"/>
  <c r="AJ375" i="27"/>
  <c r="AI375" i="27"/>
  <c r="AH375" i="27"/>
  <c r="AG375" i="27"/>
  <c r="AF375" i="27"/>
  <c r="AE375" i="27"/>
  <c r="AD375" i="27"/>
  <c r="AC375" i="27"/>
  <c r="AB375" i="27"/>
  <c r="AA375" i="27"/>
  <c r="Z375" i="27"/>
  <c r="Y375" i="27"/>
  <c r="X375" i="27"/>
  <c r="W375" i="27"/>
  <c r="V375" i="27"/>
  <c r="U375" i="27"/>
  <c r="T375" i="27"/>
  <c r="S375" i="27"/>
  <c r="R375" i="27"/>
  <c r="Q375" i="27"/>
  <c r="P375" i="27"/>
  <c r="O375" i="27"/>
  <c r="N375" i="27"/>
  <c r="M375" i="27"/>
  <c r="L375" i="27"/>
  <c r="K375" i="27"/>
  <c r="J375" i="27"/>
  <c r="I375" i="27"/>
  <c r="H375" i="27"/>
  <c r="G375" i="27"/>
  <c r="F375" i="27"/>
  <c r="E375" i="27"/>
  <c r="D375" i="27"/>
  <c r="C375" i="27"/>
  <c r="B375" i="27"/>
  <c r="C387" i="27" s="1" a="1"/>
  <c r="C387" i="27" s="1"/>
  <c r="AQ374" i="27"/>
  <c r="AP374" i="27"/>
  <c r="AO374" i="27"/>
  <c r="AN374" i="27"/>
  <c r="AM374" i="27"/>
  <c r="AL374" i="27"/>
  <c r="AK374" i="27"/>
  <c r="AJ374" i="27"/>
  <c r="AI374" i="27"/>
  <c r="AH374" i="27"/>
  <c r="AG374" i="27"/>
  <c r="AF374" i="27"/>
  <c r="AE374" i="27"/>
  <c r="AD374" i="27"/>
  <c r="AC374" i="27"/>
  <c r="AB374" i="27"/>
  <c r="AA374" i="27"/>
  <c r="Z374" i="27"/>
  <c r="Y374" i="27"/>
  <c r="X374" i="27"/>
  <c r="W374" i="27"/>
  <c r="V374" i="27"/>
  <c r="U374" i="27"/>
  <c r="T374" i="27"/>
  <c r="S374" i="27"/>
  <c r="R374" i="27"/>
  <c r="Q374" i="27"/>
  <c r="P374" i="27"/>
  <c r="O374" i="27"/>
  <c r="N374" i="27"/>
  <c r="M374" i="27"/>
  <c r="L374" i="27"/>
  <c r="K374" i="27"/>
  <c r="J374" i="27"/>
  <c r="I374" i="27"/>
  <c r="H374" i="27"/>
  <c r="G374" i="27"/>
  <c r="F374" i="27"/>
  <c r="E374" i="27"/>
  <c r="D374" i="27"/>
  <c r="C374" i="27"/>
  <c r="B374" i="27"/>
  <c r="C386" i="27" s="1" a="1"/>
  <c r="C386" i="27" s="1"/>
  <c r="AQ373" i="27"/>
  <c r="AP373" i="27"/>
  <c r="AO373" i="27"/>
  <c r="AN373" i="27"/>
  <c r="AM373" i="27"/>
  <c r="AL373" i="27"/>
  <c r="AK373" i="27"/>
  <c r="AJ373" i="27"/>
  <c r="AI373" i="27"/>
  <c r="AH373" i="27"/>
  <c r="AG373" i="27"/>
  <c r="AF373" i="27"/>
  <c r="AE373" i="27"/>
  <c r="AD373" i="27"/>
  <c r="AC373" i="27"/>
  <c r="AB373" i="27"/>
  <c r="AA373" i="27"/>
  <c r="Z373" i="27"/>
  <c r="Y373" i="27"/>
  <c r="X373" i="27"/>
  <c r="W373" i="27"/>
  <c r="V373" i="27"/>
  <c r="U373" i="27"/>
  <c r="T373" i="27"/>
  <c r="S373" i="27"/>
  <c r="R373" i="27"/>
  <c r="Q373" i="27"/>
  <c r="P373" i="27"/>
  <c r="O373" i="27"/>
  <c r="N373" i="27"/>
  <c r="M373" i="27"/>
  <c r="L373" i="27"/>
  <c r="K373" i="27"/>
  <c r="J373" i="27"/>
  <c r="I373" i="27"/>
  <c r="H373" i="27"/>
  <c r="G373" i="27"/>
  <c r="F373" i="27"/>
  <c r="E373" i="27"/>
  <c r="D373" i="27"/>
  <c r="C373" i="27"/>
  <c r="B373" i="27"/>
  <c r="C385" i="27" s="1" a="1"/>
  <c r="C385" i="27" s="1"/>
  <c r="AQ372" i="27"/>
  <c r="AP372" i="27"/>
  <c r="AO372" i="27"/>
  <c r="AN372" i="27"/>
  <c r="AM372" i="27"/>
  <c r="AL372" i="27"/>
  <c r="AK372" i="27"/>
  <c r="AJ372" i="27"/>
  <c r="AI372" i="27"/>
  <c r="AH372" i="27"/>
  <c r="AG372" i="27"/>
  <c r="AF372" i="27"/>
  <c r="AE372" i="27"/>
  <c r="AD372" i="27"/>
  <c r="AC372" i="27"/>
  <c r="AB372" i="27"/>
  <c r="AA372" i="27"/>
  <c r="Z372" i="27"/>
  <c r="Y372" i="27"/>
  <c r="X372" i="27"/>
  <c r="W372" i="27"/>
  <c r="V372" i="27"/>
  <c r="U372" i="27"/>
  <c r="T372" i="27"/>
  <c r="S372" i="27"/>
  <c r="R372" i="27"/>
  <c r="Q372" i="27"/>
  <c r="P372" i="27"/>
  <c r="O372" i="27"/>
  <c r="N372" i="27"/>
  <c r="M372" i="27"/>
  <c r="L372" i="27"/>
  <c r="K372" i="27"/>
  <c r="J372" i="27"/>
  <c r="I372" i="27"/>
  <c r="H372" i="27"/>
  <c r="G372" i="27"/>
  <c r="F372" i="27"/>
  <c r="E372" i="27"/>
  <c r="D372" i="27"/>
  <c r="C372" i="27"/>
  <c r="B372" i="27"/>
  <c r="C384" i="27" s="1" a="1"/>
  <c r="C384" i="27" s="1"/>
  <c r="AQ371" i="27"/>
  <c r="AP371" i="27"/>
  <c r="AO371" i="27"/>
  <c r="AN371" i="27"/>
  <c r="AM371" i="27"/>
  <c r="AL371" i="27"/>
  <c r="AK371" i="27"/>
  <c r="AJ371" i="27"/>
  <c r="AI371" i="27"/>
  <c r="AH371" i="27"/>
  <c r="AG371" i="27"/>
  <c r="AF371" i="27"/>
  <c r="AE371" i="27"/>
  <c r="AD371" i="27"/>
  <c r="AC371" i="27"/>
  <c r="AB371" i="27"/>
  <c r="AA371" i="27"/>
  <c r="Z371" i="27"/>
  <c r="Y371" i="27"/>
  <c r="X371" i="27"/>
  <c r="W371" i="27"/>
  <c r="V371" i="27"/>
  <c r="U371" i="27"/>
  <c r="T371" i="27"/>
  <c r="S371" i="27"/>
  <c r="R371" i="27"/>
  <c r="Q371" i="27"/>
  <c r="P371" i="27"/>
  <c r="O371" i="27"/>
  <c r="N371" i="27"/>
  <c r="M371" i="27"/>
  <c r="L371" i="27"/>
  <c r="K371" i="27"/>
  <c r="J371" i="27"/>
  <c r="I371" i="27"/>
  <c r="H371" i="27"/>
  <c r="G371" i="27"/>
  <c r="F371" i="27"/>
  <c r="E371" i="27"/>
  <c r="D371" i="27"/>
  <c r="C371" i="27"/>
  <c r="B371" i="27"/>
  <c r="C383" i="27" s="1" a="1"/>
  <c r="C383" i="27" s="1"/>
  <c r="AQ370" i="27"/>
  <c r="AP370" i="27"/>
  <c r="AO370" i="27"/>
  <c r="AN370" i="27"/>
  <c r="AM370" i="27"/>
  <c r="AL370" i="27"/>
  <c r="AK370" i="27"/>
  <c r="AJ370" i="27"/>
  <c r="AI370" i="27"/>
  <c r="AH370" i="27"/>
  <c r="AG370" i="27"/>
  <c r="AF370" i="27"/>
  <c r="AE370" i="27"/>
  <c r="AD370" i="27"/>
  <c r="AC370" i="27"/>
  <c r="AB370" i="27"/>
  <c r="AA370" i="27"/>
  <c r="Z370" i="27"/>
  <c r="Y370" i="27"/>
  <c r="X370" i="27"/>
  <c r="W370" i="27"/>
  <c r="V370" i="27"/>
  <c r="U370" i="27"/>
  <c r="T370" i="27"/>
  <c r="S370" i="27"/>
  <c r="R370" i="27"/>
  <c r="Q370" i="27"/>
  <c r="P370" i="27"/>
  <c r="O370" i="27"/>
  <c r="N370" i="27"/>
  <c r="M370" i="27"/>
  <c r="L370" i="27"/>
  <c r="K370" i="27"/>
  <c r="J370" i="27"/>
  <c r="I370" i="27"/>
  <c r="H370" i="27"/>
  <c r="G370" i="27"/>
  <c r="F370" i="27"/>
  <c r="E370" i="27"/>
  <c r="D370" i="27"/>
  <c r="C370" i="27"/>
  <c r="B370" i="27"/>
  <c r="C382" i="27" s="1" a="1"/>
  <c r="C382" i="27" s="1"/>
  <c r="AQ369" i="27"/>
  <c r="AP369" i="27"/>
  <c r="AO369" i="27"/>
  <c r="AN369" i="27"/>
  <c r="AM369" i="27"/>
  <c r="AL369" i="27"/>
  <c r="AK369" i="27"/>
  <c r="AJ369" i="27"/>
  <c r="AI369" i="27"/>
  <c r="AH369" i="27"/>
  <c r="AG369" i="27"/>
  <c r="AF369" i="27"/>
  <c r="AE369" i="27"/>
  <c r="AD369" i="27"/>
  <c r="AC369" i="27"/>
  <c r="AB369" i="27"/>
  <c r="AA369" i="27"/>
  <c r="Z369" i="27"/>
  <c r="Y369" i="27"/>
  <c r="X369" i="27"/>
  <c r="W369" i="27"/>
  <c r="V369" i="27"/>
  <c r="U369" i="27"/>
  <c r="T369" i="27"/>
  <c r="S369" i="27"/>
  <c r="R369" i="27"/>
  <c r="Q369" i="27"/>
  <c r="P369" i="27"/>
  <c r="O369" i="27"/>
  <c r="N369" i="27"/>
  <c r="M369" i="27"/>
  <c r="L369" i="27"/>
  <c r="K369" i="27"/>
  <c r="J369" i="27"/>
  <c r="I369" i="27"/>
  <c r="H369" i="27"/>
  <c r="G369" i="27"/>
  <c r="F369" i="27"/>
  <c r="E369" i="27"/>
  <c r="D369" i="27"/>
  <c r="C369" i="27"/>
  <c r="B369" i="27"/>
  <c r="C381" i="27" s="1" a="1"/>
  <c r="C381" i="27" s="1"/>
  <c r="B365" i="27"/>
  <c r="G356" i="27"/>
  <c r="F356" i="27"/>
  <c r="E356" i="27"/>
  <c r="D356" i="27"/>
  <c r="C356" i="27"/>
  <c r="B356" i="27"/>
  <c r="F340" i="27"/>
  <c r="F339" i="27"/>
  <c r="F338" i="27"/>
  <c r="F336" i="27"/>
  <c r="F335" i="27"/>
  <c r="F334" i="27"/>
  <c r="AQ328" i="27"/>
  <c r="AP328" i="27"/>
  <c r="AO328" i="27"/>
  <c r="AN328" i="27"/>
  <c r="AM328" i="27"/>
  <c r="AL328" i="27"/>
  <c r="AK328" i="27"/>
  <c r="AJ328" i="27"/>
  <c r="AI328" i="27"/>
  <c r="AH328" i="27"/>
  <c r="AG328" i="27"/>
  <c r="AF328" i="27"/>
  <c r="AE328" i="27"/>
  <c r="AD328" i="27"/>
  <c r="AC328" i="27"/>
  <c r="AB328" i="27"/>
  <c r="AA328" i="27"/>
  <c r="Z328" i="27"/>
  <c r="Y328" i="27"/>
  <c r="X328" i="27"/>
  <c r="W328" i="27"/>
  <c r="V328" i="27"/>
  <c r="U328" i="27"/>
  <c r="T328" i="27"/>
  <c r="S328" i="27"/>
  <c r="R328" i="27"/>
  <c r="Q328" i="27"/>
  <c r="P328" i="27"/>
  <c r="O328" i="27"/>
  <c r="N328" i="27"/>
  <c r="M328" i="27"/>
  <c r="L328" i="27"/>
  <c r="K328" i="27"/>
  <c r="J328" i="27"/>
  <c r="I328" i="27"/>
  <c r="H328" i="27"/>
  <c r="G328" i="27"/>
  <c r="F328" i="27"/>
  <c r="E328" i="27"/>
  <c r="D328" i="27"/>
  <c r="C328" i="27"/>
  <c r="C340" i="27" s="1" a="1"/>
  <c r="C340" i="27" s="1"/>
  <c r="B328" i="27"/>
  <c r="AQ327" i="27"/>
  <c r="AP327" i="27"/>
  <c r="AO327" i="27"/>
  <c r="AN327" i="27"/>
  <c r="AM327" i="27"/>
  <c r="AL327" i="27"/>
  <c r="AK327" i="27"/>
  <c r="AJ327" i="27"/>
  <c r="AI327" i="27"/>
  <c r="AH327" i="27"/>
  <c r="AG327" i="27"/>
  <c r="AF327" i="27"/>
  <c r="AE327" i="27"/>
  <c r="AD327" i="27"/>
  <c r="AC327" i="27"/>
  <c r="AB327" i="27"/>
  <c r="AA327" i="27"/>
  <c r="Z327" i="27"/>
  <c r="Y327" i="27"/>
  <c r="X327" i="27"/>
  <c r="W327" i="27"/>
  <c r="V327" i="27"/>
  <c r="U327" i="27"/>
  <c r="T327" i="27"/>
  <c r="S327" i="27"/>
  <c r="R327" i="27"/>
  <c r="Q327" i="27"/>
  <c r="P327" i="27"/>
  <c r="O327" i="27"/>
  <c r="N327" i="27"/>
  <c r="M327" i="27"/>
  <c r="L327" i="27"/>
  <c r="K327" i="27"/>
  <c r="J327" i="27"/>
  <c r="I327" i="27"/>
  <c r="H327" i="27"/>
  <c r="G327" i="27"/>
  <c r="F327" i="27"/>
  <c r="E327" i="27"/>
  <c r="D327" i="27"/>
  <c r="C327" i="27"/>
  <c r="C339" i="27" s="1" a="1"/>
  <c r="C339" i="27" s="1"/>
  <c r="B327" i="27"/>
  <c r="AQ326" i="27"/>
  <c r="AP326" i="27"/>
  <c r="AO326" i="27"/>
  <c r="AN326" i="27"/>
  <c r="AM326" i="27"/>
  <c r="AL326" i="27"/>
  <c r="AK326" i="27"/>
  <c r="AJ326" i="27"/>
  <c r="AI326" i="27"/>
  <c r="AH326" i="27"/>
  <c r="AG326" i="27"/>
  <c r="AF326" i="27"/>
  <c r="AE326" i="27"/>
  <c r="AD326" i="27"/>
  <c r="AC326" i="27"/>
  <c r="AB326" i="27"/>
  <c r="AA326" i="27"/>
  <c r="Z326" i="27"/>
  <c r="Y326" i="27"/>
  <c r="X326" i="27"/>
  <c r="W326" i="27"/>
  <c r="V326" i="27"/>
  <c r="U326" i="27"/>
  <c r="T326" i="27"/>
  <c r="S326" i="27"/>
  <c r="R326" i="27"/>
  <c r="Q326" i="27"/>
  <c r="P326" i="27"/>
  <c r="O326" i="27"/>
  <c r="N326" i="27"/>
  <c r="M326" i="27"/>
  <c r="L326" i="27"/>
  <c r="K326" i="27"/>
  <c r="J326" i="27"/>
  <c r="I326" i="27"/>
  <c r="H326" i="27"/>
  <c r="G326" i="27"/>
  <c r="F326" i="27"/>
  <c r="E326" i="27"/>
  <c r="D326" i="27"/>
  <c r="C326" i="27"/>
  <c r="C338" i="27" s="1" a="1"/>
  <c r="C338" i="27" s="1"/>
  <c r="B326" i="27"/>
  <c r="AQ325" i="27"/>
  <c r="AP325" i="27"/>
  <c r="AO325" i="27"/>
  <c r="AN325" i="27"/>
  <c r="AM325" i="27"/>
  <c r="AL325" i="27"/>
  <c r="AK325" i="27"/>
  <c r="AJ325" i="27"/>
  <c r="AI325" i="27"/>
  <c r="AH325" i="27"/>
  <c r="AG325" i="27"/>
  <c r="AF325" i="27"/>
  <c r="AE325" i="27"/>
  <c r="AD325" i="27"/>
  <c r="AC325" i="27"/>
  <c r="AB325" i="27"/>
  <c r="AA325" i="27"/>
  <c r="Z325" i="27"/>
  <c r="Y325" i="27"/>
  <c r="X325" i="27"/>
  <c r="W325" i="27"/>
  <c r="V325" i="27"/>
  <c r="U325" i="27"/>
  <c r="T325" i="27"/>
  <c r="S325" i="27"/>
  <c r="R325" i="27"/>
  <c r="Q325" i="27"/>
  <c r="P325" i="27"/>
  <c r="O325" i="27"/>
  <c r="N325" i="27"/>
  <c r="M325" i="27"/>
  <c r="L325" i="27"/>
  <c r="K325" i="27"/>
  <c r="J325" i="27"/>
  <c r="I325" i="27"/>
  <c r="H325" i="27"/>
  <c r="G325" i="27"/>
  <c r="F325" i="27"/>
  <c r="E325" i="27"/>
  <c r="D325" i="27"/>
  <c r="C325" i="27"/>
  <c r="C337" i="27" s="1" a="1"/>
  <c r="C337" i="27" s="1"/>
  <c r="B325" i="27"/>
  <c r="AQ324" i="27"/>
  <c r="AP324" i="27"/>
  <c r="AO324" i="27"/>
  <c r="AN324" i="27"/>
  <c r="AM324" i="27"/>
  <c r="AL324" i="27"/>
  <c r="AK324" i="27"/>
  <c r="AJ324" i="27"/>
  <c r="AI324" i="27"/>
  <c r="AH324" i="27"/>
  <c r="AG324" i="27"/>
  <c r="AF324" i="27"/>
  <c r="AE324" i="27"/>
  <c r="AD324" i="27"/>
  <c r="AC324" i="27"/>
  <c r="AB324" i="27"/>
  <c r="AA324" i="27"/>
  <c r="Z324" i="27"/>
  <c r="Y324" i="27"/>
  <c r="X324" i="27"/>
  <c r="W324" i="27"/>
  <c r="V324" i="27"/>
  <c r="U324" i="27"/>
  <c r="T324" i="27"/>
  <c r="S324" i="27"/>
  <c r="R324" i="27"/>
  <c r="Q324" i="27"/>
  <c r="P324" i="27"/>
  <c r="O324" i="27"/>
  <c r="N324" i="27"/>
  <c r="M324" i="27"/>
  <c r="L324" i="27"/>
  <c r="K324" i="27"/>
  <c r="J324" i="27"/>
  <c r="I324" i="27"/>
  <c r="H324" i="27"/>
  <c r="G324" i="27"/>
  <c r="F324" i="27"/>
  <c r="E324" i="27"/>
  <c r="D324" i="27"/>
  <c r="C324" i="27"/>
  <c r="C336" i="27" s="1" a="1"/>
  <c r="C336" i="27" s="1"/>
  <c r="B324" i="27"/>
  <c r="AQ323" i="27"/>
  <c r="AP323" i="27"/>
  <c r="AO323" i="27"/>
  <c r="AN323" i="27"/>
  <c r="AM323" i="27"/>
  <c r="AL323" i="27"/>
  <c r="AK323" i="27"/>
  <c r="AJ323" i="27"/>
  <c r="AI323" i="27"/>
  <c r="AH323" i="27"/>
  <c r="AG323" i="27"/>
  <c r="AF323" i="27"/>
  <c r="AE323" i="27"/>
  <c r="AD323" i="27"/>
  <c r="AC323" i="27"/>
  <c r="AB323" i="27"/>
  <c r="AA323" i="27"/>
  <c r="Z323" i="27"/>
  <c r="Y323" i="27"/>
  <c r="X323" i="27"/>
  <c r="W323" i="27"/>
  <c r="V323" i="27"/>
  <c r="U323" i="27"/>
  <c r="T323" i="27"/>
  <c r="S323" i="27"/>
  <c r="R323" i="27"/>
  <c r="Q323" i="27"/>
  <c r="P323" i="27"/>
  <c r="O323" i="27"/>
  <c r="N323" i="27"/>
  <c r="M323" i="27"/>
  <c r="L323" i="27"/>
  <c r="K323" i="27"/>
  <c r="J323" i="27"/>
  <c r="I323" i="27"/>
  <c r="H323" i="27"/>
  <c r="G323" i="27"/>
  <c r="F323" i="27"/>
  <c r="E323" i="27"/>
  <c r="D323" i="27"/>
  <c r="C323" i="27"/>
  <c r="C335" i="27" s="1" a="1"/>
  <c r="C335" i="27" s="1"/>
  <c r="B323" i="27"/>
  <c r="AQ322" i="27"/>
  <c r="AP322" i="27"/>
  <c r="AO322" i="27"/>
  <c r="AN322" i="27"/>
  <c r="AM322" i="27"/>
  <c r="AL322" i="27"/>
  <c r="AK322" i="27"/>
  <c r="AJ322" i="27"/>
  <c r="AI322" i="27"/>
  <c r="AH322" i="27"/>
  <c r="AG322" i="27"/>
  <c r="AF322" i="27"/>
  <c r="AE322" i="27"/>
  <c r="AD322" i="27"/>
  <c r="AC322" i="27"/>
  <c r="AB322" i="27"/>
  <c r="AA322" i="27"/>
  <c r="Z322" i="27"/>
  <c r="Y322" i="27"/>
  <c r="X322" i="27"/>
  <c r="W322" i="27"/>
  <c r="V322" i="27"/>
  <c r="U322" i="27"/>
  <c r="T322" i="27"/>
  <c r="S322" i="27"/>
  <c r="R322" i="27"/>
  <c r="Q322" i="27"/>
  <c r="P322" i="27"/>
  <c r="O322" i="27"/>
  <c r="N322" i="27"/>
  <c r="M322" i="27"/>
  <c r="L322" i="27"/>
  <c r="K322" i="27"/>
  <c r="J322" i="27"/>
  <c r="I322" i="27"/>
  <c r="H322" i="27"/>
  <c r="G322" i="27"/>
  <c r="F322" i="27"/>
  <c r="E322" i="27"/>
  <c r="D322" i="27"/>
  <c r="C322" i="27"/>
  <c r="C334" i="27" s="1" a="1"/>
  <c r="C334" i="27" s="1"/>
  <c r="B322" i="27"/>
  <c r="B318" i="27"/>
  <c r="R314" i="27"/>
  <c r="Q314" i="27"/>
  <c r="S314" i="27" s="1"/>
  <c r="P314" i="27"/>
  <c r="R313" i="27"/>
  <c r="Q313" i="27"/>
  <c r="S313" i="27" s="1"/>
  <c r="P313" i="27"/>
  <c r="R312" i="27"/>
  <c r="Q312" i="27"/>
  <c r="S312" i="27" s="1"/>
  <c r="P312" i="27"/>
  <c r="G312" i="27"/>
  <c r="G359" i="27" s="1"/>
  <c r="F312" i="27"/>
  <c r="E312" i="27"/>
  <c r="D312" i="27"/>
  <c r="C312" i="27"/>
  <c r="B312" i="27"/>
  <c r="R311" i="27"/>
  <c r="Q311" i="27"/>
  <c r="S311" i="27" s="1"/>
  <c r="P311" i="27"/>
  <c r="R310" i="27"/>
  <c r="Q310" i="27"/>
  <c r="S310" i="27" s="1"/>
  <c r="P310" i="27"/>
  <c r="R309" i="27"/>
  <c r="Q309" i="27"/>
  <c r="S309" i="27" s="1"/>
  <c r="S315" i="27" s="1"/>
  <c r="P309" i="27"/>
  <c r="F293" i="27"/>
  <c r="F292" i="27"/>
  <c r="F291" i="27"/>
  <c r="F290" i="27"/>
  <c r="F289" i="27"/>
  <c r="F288" i="27"/>
  <c r="F287" i="27"/>
  <c r="AQ281" i="27"/>
  <c r="AP281" i="27"/>
  <c r="AO281" i="27"/>
  <c r="AN281" i="27"/>
  <c r="AM281" i="27"/>
  <c r="AL281" i="27"/>
  <c r="AK281" i="27"/>
  <c r="AJ281" i="27"/>
  <c r="AI281" i="27"/>
  <c r="AH281" i="27"/>
  <c r="AG281" i="27"/>
  <c r="AF281" i="27"/>
  <c r="AE281" i="27"/>
  <c r="AD281" i="27"/>
  <c r="AC281" i="27"/>
  <c r="AB281" i="27"/>
  <c r="AA281" i="27"/>
  <c r="Z281" i="27"/>
  <c r="Y281" i="27"/>
  <c r="X281" i="27"/>
  <c r="W281" i="27"/>
  <c r="V281" i="27"/>
  <c r="U281" i="27"/>
  <c r="T281" i="27"/>
  <c r="S281" i="27"/>
  <c r="R281" i="27"/>
  <c r="Q281" i="27"/>
  <c r="P281" i="27"/>
  <c r="O281" i="27"/>
  <c r="N281" i="27"/>
  <c r="M281" i="27"/>
  <c r="L281" i="27"/>
  <c r="K281" i="27"/>
  <c r="J281" i="27"/>
  <c r="I281" i="27"/>
  <c r="H281" i="27"/>
  <c r="G281" i="27"/>
  <c r="F281" i="27"/>
  <c r="C293" i="27" s="1" a="1"/>
  <c r="C293" i="27" s="1"/>
  <c r="E281" i="27"/>
  <c r="D281" i="27"/>
  <c r="C281" i="27"/>
  <c r="B281" i="27"/>
  <c r="AQ280" i="27"/>
  <c r="AP280" i="27"/>
  <c r="AO280" i="27"/>
  <c r="AN280" i="27"/>
  <c r="AM280" i="27"/>
  <c r="AL280" i="27"/>
  <c r="AK280" i="27"/>
  <c r="AJ280" i="27"/>
  <c r="AI280" i="27"/>
  <c r="AH280" i="27"/>
  <c r="AG280" i="27"/>
  <c r="AF280" i="27"/>
  <c r="AE280" i="27"/>
  <c r="AD280" i="27"/>
  <c r="AC280" i="27"/>
  <c r="AB280" i="27"/>
  <c r="AA280" i="27"/>
  <c r="Z280" i="27"/>
  <c r="Y280" i="27"/>
  <c r="X280" i="27"/>
  <c r="W280" i="27"/>
  <c r="V280" i="27"/>
  <c r="U280" i="27"/>
  <c r="T280" i="27"/>
  <c r="S280" i="27"/>
  <c r="R280" i="27"/>
  <c r="Q280" i="27"/>
  <c r="P280" i="27"/>
  <c r="O280" i="27"/>
  <c r="N280" i="27"/>
  <c r="M280" i="27"/>
  <c r="L280" i="27"/>
  <c r="K280" i="27"/>
  <c r="J280" i="27"/>
  <c r="I280" i="27"/>
  <c r="H280" i="27"/>
  <c r="G280" i="27"/>
  <c r="F280" i="27"/>
  <c r="C292" i="27" s="1" a="1"/>
  <c r="C292" i="27" s="1"/>
  <c r="E280" i="27"/>
  <c r="D280" i="27"/>
  <c r="C280" i="27"/>
  <c r="B280" i="27"/>
  <c r="AQ279" i="27"/>
  <c r="AP279" i="27"/>
  <c r="AO279" i="27"/>
  <c r="AN279" i="27"/>
  <c r="AM279" i="27"/>
  <c r="AL279" i="27"/>
  <c r="AK279" i="27"/>
  <c r="AJ279" i="27"/>
  <c r="AI279" i="27"/>
  <c r="AH279" i="27"/>
  <c r="AG279" i="27"/>
  <c r="AF279" i="27"/>
  <c r="AE279" i="27"/>
  <c r="AD279" i="27"/>
  <c r="AC279" i="27"/>
  <c r="AB279" i="27"/>
  <c r="AA279" i="27"/>
  <c r="Z279" i="27"/>
  <c r="Y279" i="27"/>
  <c r="X279" i="27"/>
  <c r="W279" i="27"/>
  <c r="V279" i="27"/>
  <c r="U279" i="27"/>
  <c r="T279" i="27"/>
  <c r="S279" i="27"/>
  <c r="R279" i="27"/>
  <c r="Q279" i="27"/>
  <c r="P279" i="27"/>
  <c r="O279" i="27"/>
  <c r="N279" i="27"/>
  <c r="M279" i="27"/>
  <c r="L279" i="27"/>
  <c r="K279" i="27"/>
  <c r="J279" i="27"/>
  <c r="I279" i="27"/>
  <c r="H279" i="27"/>
  <c r="G279" i="27"/>
  <c r="F279" i="27"/>
  <c r="C291" i="27" s="1" a="1"/>
  <c r="C291" i="27" s="1"/>
  <c r="E279" i="27"/>
  <c r="D279" i="27"/>
  <c r="C279" i="27"/>
  <c r="B279" i="27"/>
  <c r="AQ278" i="27"/>
  <c r="AP278" i="27"/>
  <c r="AO278" i="27"/>
  <c r="AN278" i="27"/>
  <c r="AM278" i="27"/>
  <c r="AL278" i="27"/>
  <c r="AK278" i="27"/>
  <c r="AJ278" i="27"/>
  <c r="AI278" i="27"/>
  <c r="AH278" i="27"/>
  <c r="AG278" i="27"/>
  <c r="AF278" i="27"/>
  <c r="AE278" i="27"/>
  <c r="AD278" i="27"/>
  <c r="AC278" i="27"/>
  <c r="AB278" i="27"/>
  <c r="AA278" i="27"/>
  <c r="Z278" i="27"/>
  <c r="Y278" i="27"/>
  <c r="X278" i="27"/>
  <c r="W278" i="27"/>
  <c r="V278" i="27"/>
  <c r="U278" i="27"/>
  <c r="T278" i="27"/>
  <c r="S278" i="27"/>
  <c r="R278" i="27"/>
  <c r="Q278" i="27"/>
  <c r="P278" i="27"/>
  <c r="O278" i="27"/>
  <c r="N278" i="27"/>
  <c r="M278" i="27"/>
  <c r="L278" i="27"/>
  <c r="K278" i="27"/>
  <c r="J278" i="27"/>
  <c r="I278" i="27"/>
  <c r="H278" i="27"/>
  <c r="G278" i="27"/>
  <c r="F278" i="27"/>
  <c r="C290" i="27" s="1" a="1"/>
  <c r="C290" i="27" s="1"/>
  <c r="E278" i="27"/>
  <c r="D278" i="27"/>
  <c r="C278" i="27"/>
  <c r="B278" i="27"/>
  <c r="AQ277" i="27"/>
  <c r="AP277" i="27"/>
  <c r="AO277" i="27"/>
  <c r="AN277" i="27"/>
  <c r="AM277" i="27"/>
  <c r="AL277" i="27"/>
  <c r="AK277" i="27"/>
  <c r="AJ277" i="27"/>
  <c r="AI277" i="27"/>
  <c r="AH277" i="27"/>
  <c r="AG277" i="27"/>
  <c r="AF277" i="27"/>
  <c r="AE277" i="27"/>
  <c r="AD277" i="27"/>
  <c r="AC277" i="27"/>
  <c r="AB277" i="27"/>
  <c r="AA277" i="27"/>
  <c r="Z277" i="27"/>
  <c r="Y277" i="27"/>
  <c r="X277" i="27"/>
  <c r="W277" i="27"/>
  <c r="V277" i="27"/>
  <c r="U277" i="27"/>
  <c r="T277" i="27"/>
  <c r="S277" i="27"/>
  <c r="R277" i="27"/>
  <c r="Q277" i="27"/>
  <c r="P277" i="27"/>
  <c r="O277" i="27"/>
  <c r="N277" i="27"/>
  <c r="M277" i="27"/>
  <c r="L277" i="27"/>
  <c r="K277" i="27"/>
  <c r="J277" i="27"/>
  <c r="I277" i="27"/>
  <c r="H277" i="27"/>
  <c r="G277" i="27"/>
  <c r="F277" i="27"/>
  <c r="C289" i="27" s="1" a="1"/>
  <c r="C289" i="27" s="1"/>
  <c r="E277" i="27"/>
  <c r="D277" i="27"/>
  <c r="C277" i="27"/>
  <c r="B277" i="27"/>
  <c r="AQ276" i="27"/>
  <c r="AP276" i="27"/>
  <c r="AO276" i="27"/>
  <c r="AN276" i="27"/>
  <c r="AM276" i="27"/>
  <c r="AL276" i="27"/>
  <c r="AK276" i="27"/>
  <c r="AJ276" i="27"/>
  <c r="AI276" i="27"/>
  <c r="AH276" i="27"/>
  <c r="AG276" i="27"/>
  <c r="AF276" i="27"/>
  <c r="AE276" i="27"/>
  <c r="AD276" i="27"/>
  <c r="AC276" i="27"/>
  <c r="AB276" i="27"/>
  <c r="AA276" i="27"/>
  <c r="Z276" i="27"/>
  <c r="Y276" i="27"/>
  <c r="X276" i="27"/>
  <c r="W276" i="27"/>
  <c r="V276" i="27"/>
  <c r="U276" i="27"/>
  <c r="T276" i="27"/>
  <c r="S276" i="27"/>
  <c r="R276" i="27"/>
  <c r="Q276" i="27"/>
  <c r="P276" i="27"/>
  <c r="O276" i="27"/>
  <c r="N276" i="27"/>
  <c r="M276" i="27"/>
  <c r="L276" i="27"/>
  <c r="K276" i="27"/>
  <c r="J276" i="27"/>
  <c r="I276" i="27"/>
  <c r="H276" i="27"/>
  <c r="G276" i="27"/>
  <c r="F276" i="27"/>
  <c r="C288" i="27" s="1" a="1"/>
  <c r="C288" i="27" s="1"/>
  <c r="E276" i="27"/>
  <c r="D276" i="27"/>
  <c r="C276" i="27"/>
  <c r="B276" i="27"/>
  <c r="AQ275" i="27"/>
  <c r="AP275" i="27"/>
  <c r="AO275" i="27"/>
  <c r="AN275" i="27"/>
  <c r="AM275" i="27"/>
  <c r="AL275" i="27"/>
  <c r="AK275" i="27"/>
  <c r="AJ275" i="27"/>
  <c r="AI275" i="27"/>
  <c r="AH275" i="27"/>
  <c r="AG275" i="27"/>
  <c r="AF275" i="27"/>
  <c r="AE275" i="27"/>
  <c r="AD275" i="27"/>
  <c r="AC275" i="27"/>
  <c r="AB275" i="27"/>
  <c r="AA275" i="27"/>
  <c r="Z275" i="27"/>
  <c r="Y275" i="27"/>
  <c r="X275" i="27"/>
  <c r="W275" i="27"/>
  <c r="V275" i="27"/>
  <c r="U275" i="27"/>
  <c r="T275" i="27"/>
  <c r="S275" i="27"/>
  <c r="R275" i="27"/>
  <c r="Q275" i="27"/>
  <c r="P275" i="27"/>
  <c r="O275" i="27"/>
  <c r="N275" i="27"/>
  <c r="M275" i="27"/>
  <c r="L275" i="27"/>
  <c r="K275" i="27"/>
  <c r="J275" i="27"/>
  <c r="I275" i="27"/>
  <c r="H275" i="27"/>
  <c r="G275" i="27"/>
  <c r="F275" i="27"/>
  <c r="C287" i="27" s="1" a="1"/>
  <c r="C287" i="27" s="1"/>
  <c r="E275" i="27"/>
  <c r="D275" i="27"/>
  <c r="C275" i="27"/>
  <c r="B275" i="27"/>
  <c r="B271" i="27"/>
  <c r="F269" i="27"/>
  <c r="E269" i="27"/>
  <c r="D269" i="27"/>
  <c r="C269" i="27"/>
  <c r="B269" i="27"/>
  <c r="F246" i="27"/>
  <c r="F245" i="27"/>
  <c r="F244" i="27"/>
  <c r="F243" i="27"/>
  <c r="F242" i="27"/>
  <c r="F241" i="27"/>
  <c r="F240" i="27"/>
  <c r="AQ234" i="27"/>
  <c r="AP234" i="27"/>
  <c r="AO234" i="27"/>
  <c r="AN234" i="27"/>
  <c r="AM234" i="27"/>
  <c r="AL234" i="27"/>
  <c r="AK234" i="27"/>
  <c r="AJ234" i="27"/>
  <c r="AI234" i="27"/>
  <c r="AH234" i="27"/>
  <c r="AG234" i="27"/>
  <c r="AF234" i="27"/>
  <c r="AE234" i="27"/>
  <c r="AD234" i="27"/>
  <c r="AC234" i="27"/>
  <c r="AB234" i="27"/>
  <c r="AA234" i="27"/>
  <c r="Z234" i="27"/>
  <c r="Y234" i="27"/>
  <c r="X234" i="27"/>
  <c r="W234" i="27"/>
  <c r="V234" i="27"/>
  <c r="U234" i="27"/>
  <c r="T234" i="27"/>
  <c r="S234" i="27"/>
  <c r="R234" i="27"/>
  <c r="Q234" i="27"/>
  <c r="P234" i="27"/>
  <c r="O234" i="27"/>
  <c r="N234" i="27"/>
  <c r="M234" i="27"/>
  <c r="L234" i="27"/>
  <c r="K234" i="27"/>
  <c r="J234" i="27"/>
  <c r="I234" i="27"/>
  <c r="H234" i="27"/>
  <c r="G234" i="27"/>
  <c r="F234" i="27"/>
  <c r="E234" i="27"/>
  <c r="D234" i="27"/>
  <c r="C234" i="27"/>
  <c r="B234" i="27"/>
  <c r="C246" i="27" s="1" a="1"/>
  <c r="C246" i="27" s="1"/>
  <c r="AQ233" i="27"/>
  <c r="AP233" i="27"/>
  <c r="AO233" i="27"/>
  <c r="AN233" i="27"/>
  <c r="AM233" i="27"/>
  <c r="AL233" i="27"/>
  <c r="AK233" i="27"/>
  <c r="AJ233" i="27"/>
  <c r="AI233" i="27"/>
  <c r="AH233" i="27"/>
  <c r="AG233" i="27"/>
  <c r="AF233" i="27"/>
  <c r="AE233" i="27"/>
  <c r="AD233" i="27"/>
  <c r="AC233" i="27"/>
  <c r="AB233" i="27"/>
  <c r="AA233" i="27"/>
  <c r="Z233" i="27"/>
  <c r="Y233" i="27"/>
  <c r="X233" i="27"/>
  <c r="W233" i="27"/>
  <c r="V233" i="27"/>
  <c r="U233" i="27"/>
  <c r="T233" i="27"/>
  <c r="S233" i="27"/>
  <c r="R233" i="27"/>
  <c r="Q233" i="27"/>
  <c r="P233" i="27"/>
  <c r="O233" i="27"/>
  <c r="N233" i="27"/>
  <c r="M233" i="27"/>
  <c r="L233" i="27"/>
  <c r="K233" i="27"/>
  <c r="J233" i="27"/>
  <c r="I233" i="27"/>
  <c r="H233" i="27"/>
  <c r="G233" i="27"/>
  <c r="F233" i="27"/>
  <c r="E233" i="27"/>
  <c r="D233" i="27"/>
  <c r="C233" i="27"/>
  <c r="B233" i="27"/>
  <c r="C245" i="27" s="1" a="1"/>
  <c r="C245" i="27" s="1"/>
  <c r="AQ232" i="27"/>
  <c r="AP232" i="27"/>
  <c r="AO232" i="27"/>
  <c r="AN232" i="27"/>
  <c r="AM232" i="27"/>
  <c r="AL232" i="27"/>
  <c r="AK232" i="27"/>
  <c r="AJ232" i="27"/>
  <c r="AI232" i="27"/>
  <c r="AH232" i="27"/>
  <c r="AG232" i="27"/>
  <c r="AF232" i="27"/>
  <c r="AE232" i="27"/>
  <c r="AD232" i="27"/>
  <c r="AC232" i="27"/>
  <c r="AB232" i="27"/>
  <c r="AA232" i="27"/>
  <c r="Z232" i="27"/>
  <c r="Y232" i="27"/>
  <c r="X232" i="27"/>
  <c r="W232" i="27"/>
  <c r="V232" i="27"/>
  <c r="U232" i="27"/>
  <c r="T232" i="27"/>
  <c r="S232" i="27"/>
  <c r="R232" i="27"/>
  <c r="Q232" i="27"/>
  <c r="P232" i="27"/>
  <c r="O232" i="27"/>
  <c r="N232" i="27"/>
  <c r="M232" i="27"/>
  <c r="L232" i="27"/>
  <c r="K232" i="27"/>
  <c r="J232" i="27"/>
  <c r="I232" i="27"/>
  <c r="H232" i="27"/>
  <c r="G232" i="27"/>
  <c r="F232" i="27"/>
  <c r="E232" i="27"/>
  <c r="D232" i="27"/>
  <c r="C232" i="27"/>
  <c r="B232" i="27"/>
  <c r="C244" i="27" s="1" a="1"/>
  <c r="C244" i="27" s="1"/>
  <c r="AQ231" i="27"/>
  <c r="AP231" i="27"/>
  <c r="AO231" i="27"/>
  <c r="AN231" i="27"/>
  <c r="AM231" i="27"/>
  <c r="AL231" i="27"/>
  <c r="AK231" i="27"/>
  <c r="AJ231" i="27"/>
  <c r="AI231" i="27"/>
  <c r="AH231" i="27"/>
  <c r="AG231" i="27"/>
  <c r="AF231" i="27"/>
  <c r="AE231" i="27"/>
  <c r="AD231" i="27"/>
  <c r="AC231" i="27"/>
  <c r="AB231" i="27"/>
  <c r="AA231" i="27"/>
  <c r="Z231" i="27"/>
  <c r="Y231" i="27"/>
  <c r="X231" i="27"/>
  <c r="W231" i="27"/>
  <c r="V231" i="27"/>
  <c r="U231" i="27"/>
  <c r="T231" i="27"/>
  <c r="S231" i="27"/>
  <c r="R231" i="27"/>
  <c r="Q231" i="27"/>
  <c r="P231" i="27"/>
  <c r="O231" i="27"/>
  <c r="N231" i="27"/>
  <c r="M231" i="27"/>
  <c r="L231" i="27"/>
  <c r="K231" i="27"/>
  <c r="J231" i="27"/>
  <c r="I231" i="27"/>
  <c r="H231" i="27"/>
  <c r="G231" i="27"/>
  <c r="F231" i="27"/>
  <c r="E231" i="27"/>
  <c r="D231" i="27"/>
  <c r="C231" i="27"/>
  <c r="B231" i="27"/>
  <c r="C243" i="27" s="1" a="1"/>
  <c r="C243" i="27" s="1"/>
  <c r="AQ230" i="27"/>
  <c r="AP230" i="27"/>
  <c r="AO230" i="27"/>
  <c r="AN230" i="27"/>
  <c r="AM230" i="27"/>
  <c r="AL230" i="27"/>
  <c r="AK230" i="27"/>
  <c r="AJ230" i="27"/>
  <c r="AI230" i="27"/>
  <c r="AH230" i="27"/>
  <c r="AG230" i="27"/>
  <c r="AF230" i="27"/>
  <c r="AE230" i="27"/>
  <c r="AD230" i="27"/>
  <c r="AC230" i="27"/>
  <c r="AB230" i="27"/>
  <c r="AA230" i="27"/>
  <c r="Z230" i="27"/>
  <c r="Y230" i="27"/>
  <c r="X230" i="27"/>
  <c r="W230" i="27"/>
  <c r="V230" i="27"/>
  <c r="U230" i="27"/>
  <c r="T230" i="27"/>
  <c r="S230" i="27"/>
  <c r="R230" i="27"/>
  <c r="Q230" i="27"/>
  <c r="P230" i="27"/>
  <c r="O230" i="27"/>
  <c r="N230" i="27"/>
  <c r="M230" i="27"/>
  <c r="L230" i="27"/>
  <c r="K230" i="27"/>
  <c r="J230" i="27"/>
  <c r="I230" i="27"/>
  <c r="H230" i="27"/>
  <c r="G230" i="27"/>
  <c r="F230" i="27"/>
  <c r="E230" i="27"/>
  <c r="D230" i="27"/>
  <c r="C230" i="27"/>
  <c r="B230" i="27"/>
  <c r="C242" i="27" s="1" a="1"/>
  <c r="C242" i="27" s="1"/>
  <c r="AQ229" i="27"/>
  <c r="AP229" i="27"/>
  <c r="AO229" i="27"/>
  <c r="AN229" i="27"/>
  <c r="AM229" i="27"/>
  <c r="AL229" i="27"/>
  <c r="AK229" i="27"/>
  <c r="AJ229" i="27"/>
  <c r="AI229" i="27"/>
  <c r="AH229" i="27"/>
  <c r="AG229" i="27"/>
  <c r="AF229" i="27"/>
  <c r="AE229" i="27"/>
  <c r="AD229" i="27"/>
  <c r="AC229" i="27"/>
  <c r="AB229" i="27"/>
  <c r="AA229" i="27"/>
  <c r="Z229" i="27"/>
  <c r="Y229" i="27"/>
  <c r="X229" i="27"/>
  <c r="W229" i="27"/>
  <c r="V229" i="27"/>
  <c r="U229" i="27"/>
  <c r="T229" i="27"/>
  <c r="S229" i="27"/>
  <c r="R229" i="27"/>
  <c r="Q229" i="27"/>
  <c r="P229" i="27"/>
  <c r="O229" i="27"/>
  <c r="N229" i="27"/>
  <c r="M229" i="27"/>
  <c r="L229" i="27"/>
  <c r="K229" i="27"/>
  <c r="J229" i="27"/>
  <c r="I229" i="27"/>
  <c r="H229" i="27"/>
  <c r="G229" i="27"/>
  <c r="F229" i="27"/>
  <c r="E229" i="27"/>
  <c r="D229" i="27"/>
  <c r="C229" i="27"/>
  <c r="B229" i="27"/>
  <c r="C241" i="27" s="1" a="1"/>
  <c r="C241" i="27" s="1"/>
  <c r="AQ228" i="27"/>
  <c r="AP228" i="27"/>
  <c r="AO228" i="27"/>
  <c r="AN228" i="27"/>
  <c r="AM228" i="27"/>
  <c r="AL228" i="27"/>
  <c r="AK228" i="27"/>
  <c r="AJ228" i="27"/>
  <c r="AI228" i="27"/>
  <c r="AH228" i="27"/>
  <c r="AG228" i="27"/>
  <c r="AF228" i="27"/>
  <c r="AE228" i="27"/>
  <c r="AD228" i="27"/>
  <c r="AC228" i="27"/>
  <c r="AB228" i="27"/>
  <c r="AA228" i="27"/>
  <c r="Z228" i="27"/>
  <c r="Y228" i="27"/>
  <c r="X228" i="27"/>
  <c r="W228" i="27"/>
  <c r="V228" i="27"/>
  <c r="U228" i="27"/>
  <c r="T228" i="27"/>
  <c r="S228" i="27"/>
  <c r="R228" i="27"/>
  <c r="Q228" i="27"/>
  <c r="P228" i="27"/>
  <c r="O228" i="27"/>
  <c r="N228" i="27"/>
  <c r="M228" i="27"/>
  <c r="L228" i="27"/>
  <c r="K228" i="27"/>
  <c r="J228" i="27"/>
  <c r="I228" i="27"/>
  <c r="H228" i="27"/>
  <c r="G228" i="27"/>
  <c r="F228" i="27"/>
  <c r="E228" i="27"/>
  <c r="D228" i="27"/>
  <c r="C228" i="27"/>
  <c r="B228" i="27"/>
  <c r="C240" i="27" s="1" a="1"/>
  <c r="C240" i="27" s="1"/>
  <c r="B224" i="27"/>
  <c r="F222" i="27"/>
  <c r="E222" i="27"/>
  <c r="D222" i="27"/>
  <c r="C222" i="27"/>
  <c r="B222" i="27"/>
  <c r="AQ187" i="27"/>
  <c r="AP187" i="27"/>
  <c r="AO187" i="27"/>
  <c r="AN187" i="27"/>
  <c r="AM187" i="27"/>
  <c r="AL187" i="27"/>
  <c r="AK187" i="27"/>
  <c r="AJ187" i="27"/>
  <c r="AI187" i="27"/>
  <c r="AH187" i="27"/>
  <c r="AG187" i="27"/>
  <c r="AF187" i="27"/>
  <c r="AE187" i="27"/>
  <c r="AD187" i="27"/>
  <c r="AC187" i="27"/>
  <c r="AB187" i="27"/>
  <c r="AA187" i="27"/>
  <c r="Z187" i="27"/>
  <c r="Y187" i="27"/>
  <c r="X187" i="27"/>
  <c r="W187" i="27"/>
  <c r="V187" i="27"/>
  <c r="U187" i="27"/>
  <c r="T187" i="27"/>
  <c r="S187" i="27"/>
  <c r="R187" i="27"/>
  <c r="Q187" i="27"/>
  <c r="P187" i="27"/>
  <c r="O187" i="27"/>
  <c r="N187" i="27"/>
  <c r="M187" i="27"/>
  <c r="L187" i="27"/>
  <c r="K187" i="27"/>
  <c r="J187" i="27"/>
  <c r="I187" i="27"/>
  <c r="H187" i="27"/>
  <c r="C199" i="27" s="1" a="1"/>
  <c r="C199" i="27" s="1"/>
  <c r="G187" i="27"/>
  <c r="F187" i="27"/>
  <c r="E187" i="27"/>
  <c r="D187" i="27"/>
  <c r="C187" i="27"/>
  <c r="B187" i="27"/>
  <c r="AQ186" i="27"/>
  <c r="AP186" i="27"/>
  <c r="AO186" i="27"/>
  <c r="AN186" i="27"/>
  <c r="AM186" i="27"/>
  <c r="AL186" i="27"/>
  <c r="AK186" i="27"/>
  <c r="AJ186" i="27"/>
  <c r="AI186" i="27"/>
  <c r="AH186" i="27"/>
  <c r="AG186" i="27"/>
  <c r="AF186" i="27"/>
  <c r="AE186" i="27"/>
  <c r="AD186" i="27"/>
  <c r="AC186" i="27"/>
  <c r="AB186" i="27"/>
  <c r="AA186" i="27"/>
  <c r="Z186" i="27"/>
  <c r="Y186" i="27"/>
  <c r="X186" i="27"/>
  <c r="W186" i="27"/>
  <c r="V186" i="27"/>
  <c r="U186" i="27"/>
  <c r="T186" i="27"/>
  <c r="S186" i="27"/>
  <c r="R186" i="27"/>
  <c r="Q186" i="27"/>
  <c r="P186" i="27"/>
  <c r="O186" i="27"/>
  <c r="N186" i="27"/>
  <c r="M186" i="27"/>
  <c r="L186" i="27"/>
  <c r="K186" i="27"/>
  <c r="J186" i="27"/>
  <c r="I186" i="27"/>
  <c r="H186" i="27"/>
  <c r="C198" i="27" s="1" a="1"/>
  <c r="C198" i="27" s="1"/>
  <c r="G186" i="27"/>
  <c r="F186" i="27"/>
  <c r="E186" i="27"/>
  <c r="D186" i="27"/>
  <c r="C186" i="27"/>
  <c r="B186" i="27"/>
  <c r="AQ185" i="27"/>
  <c r="AP185" i="27"/>
  <c r="AO185" i="27"/>
  <c r="AN185" i="27"/>
  <c r="AM185" i="27"/>
  <c r="AL185" i="27"/>
  <c r="AK185" i="27"/>
  <c r="AJ185" i="27"/>
  <c r="AI185" i="27"/>
  <c r="AH185" i="27"/>
  <c r="AG185" i="27"/>
  <c r="AF185" i="27"/>
  <c r="AE185" i="27"/>
  <c r="AD185" i="27"/>
  <c r="AC185" i="27"/>
  <c r="AB185" i="27"/>
  <c r="AA185" i="27"/>
  <c r="Z185" i="27"/>
  <c r="Y185" i="27"/>
  <c r="X185" i="27"/>
  <c r="W185" i="27"/>
  <c r="V185" i="27"/>
  <c r="U185" i="27"/>
  <c r="T185" i="27"/>
  <c r="S185" i="27"/>
  <c r="R185" i="27"/>
  <c r="Q185" i="27"/>
  <c r="P185" i="27"/>
  <c r="O185" i="27"/>
  <c r="N185" i="27"/>
  <c r="M185" i="27"/>
  <c r="L185" i="27"/>
  <c r="K185" i="27"/>
  <c r="J185" i="27"/>
  <c r="I185" i="27"/>
  <c r="H185" i="27"/>
  <c r="C197" i="27" s="1" a="1"/>
  <c r="C197" i="27" s="1"/>
  <c r="G185" i="27"/>
  <c r="F185" i="27"/>
  <c r="E185" i="27"/>
  <c r="D185" i="27"/>
  <c r="C185" i="27"/>
  <c r="B185" i="27"/>
  <c r="AQ184" i="27"/>
  <c r="AP184" i="27"/>
  <c r="AO184" i="27"/>
  <c r="AN184" i="27"/>
  <c r="AM184" i="27"/>
  <c r="AL184" i="27"/>
  <c r="AK184" i="27"/>
  <c r="AJ184" i="27"/>
  <c r="AI184" i="27"/>
  <c r="AH184" i="27"/>
  <c r="AG184" i="27"/>
  <c r="AF184" i="27"/>
  <c r="AE184" i="27"/>
  <c r="AD184" i="27"/>
  <c r="AC184" i="27"/>
  <c r="AB184" i="27"/>
  <c r="AA184" i="27"/>
  <c r="Z184" i="27"/>
  <c r="Y184" i="27"/>
  <c r="X184" i="27"/>
  <c r="W184" i="27"/>
  <c r="V184" i="27"/>
  <c r="U184" i="27"/>
  <c r="T184" i="27"/>
  <c r="S184" i="27"/>
  <c r="R184" i="27"/>
  <c r="Q184" i="27"/>
  <c r="P184" i="27"/>
  <c r="O184" i="27"/>
  <c r="N184" i="27"/>
  <c r="M184" i="27"/>
  <c r="L184" i="27"/>
  <c r="K184" i="27"/>
  <c r="J184" i="27"/>
  <c r="I184" i="27"/>
  <c r="H184" i="27"/>
  <c r="C196" i="27" s="1" a="1"/>
  <c r="C196" i="27" s="1"/>
  <c r="G184" i="27"/>
  <c r="F184" i="27"/>
  <c r="E184" i="27"/>
  <c r="D184" i="27"/>
  <c r="C184" i="27"/>
  <c r="B184" i="27"/>
  <c r="AQ183" i="27"/>
  <c r="AP183" i="27"/>
  <c r="AO183" i="27"/>
  <c r="AN183" i="27"/>
  <c r="AM183" i="27"/>
  <c r="AL183" i="27"/>
  <c r="AK183" i="27"/>
  <c r="AJ183" i="27"/>
  <c r="AI183" i="27"/>
  <c r="AH183" i="27"/>
  <c r="AG183" i="27"/>
  <c r="AF183" i="27"/>
  <c r="AE183" i="27"/>
  <c r="AD183" i="27"/>
  <c r="AC183" i="27"/>
  <c r="AB183" i="27"/>
  <c r="AA183" i="27"/>
  <c r="Z183" i="27"/>
  <c r="Y183" i="27"/>
  <c r="X183" i="27"/>
  <c r="W183" i="27"/>
  <c r="V183" i="27"/>
  <c r="U183" i="27"/>
  <c r="T183" i="27"/>
  <c r="S183" i="27"/>
  <c r="R183" i="27"/>
  <c r="Q183" i="27"/>
  <c r="P183" i="27"/>
  <c r="O183" i="27"/>
  <c r="N183" i="27"/>
  <c r="M183" i="27"/>
  <c r="L183" i="27"/>
  <c r="K183" i="27"/>
  <c r="J183" i="27"/>
  <c r="I183" i="27"/>
  <c r="H183" i="27"/>
  <c r="C195" i="27" s="1" a="1"/>
  <c r="C195" i="27" s="1"/>
  <c r="G183" i="27"/>
  <c r="F183" i="27"/>
  <c r="E183" i="27"/>
  <c r="D183" i="27"/>
  <c r="C183" i="27"/>
  <c r="B183" i="27"/>
  <c r="AQ182" i="27"/>
  <c r="AP182" i="27"/>
  <c r="AO182" i="27"/>
  <c r="AN182" i="27"/>
  <c r="AM182" i="27"/>
  <c r="AL182" i="27"/>
  <c r="AK182" i="27"/>
  <c r="AJ182" i="27"/>
  <c r="AI182" i="27"/>
  <c r="AH182" i="27"/>
  <c r="AG182" i="27"/>
  <c r="AF182" i="27"/>
  <c r="AE182" i="27"/>
  <c r="AD182" i="27"/>
  <c r="AC182" i="27"/>
  <c r="AB182" i="27"/>
  <c r="AA182" i="27"/>
  <c r="Z182" i="27"/>
  <c r="Y182" i="27"/>
  <c r="X182" i="27"/>
  <c r="W182" i="27"/>
  <c r="V182" i="27"/>
  <c r="U182" i="27"/>
  <c r="T182" i="27"/>
  <c r="S182" i="27"/>
  <c r="R182" i="27"/>
  <c r="Q182" i="27"/>
  <c r="P182" i="27"/>
  <c r="O182" i="27"/>
  <c r="N182" i="27"/>
  <c r="M182" i="27"/>
  <c r="L182" i="27"/>
  <c r="K182" i="27"/>
  <c r="J182" i="27"/>
  <c r="I182" i="27"/>
  <c r="H182" i="27"/>
  <c r="C194" i="27" s="1" a="1"/>
  <c r="C194" i="27" s="1"/>
  <c r="G182" i="27"/>
  <c r="F182" i="27"/>
  <c r="E182" i="27"/>
  <c r="D182" i="27"/>
  <c r="C182" i="27"/>
  <c r="B182" i="27"/>
  <c r="AQ181" i="27"/>
  <c r="AP181" i="27"/>
  <c r="AO181" i="27"/>
  <c r="AN181" i="27"/>
  <c r="AM181" i="27"/>
  <c r="AL181" i="27"/>
  <c r="AK181" i="27"/>
  <c r="AJ181" i="27"/>
  <c r="AI181" i="27"/>
  <c r="AH181" i="27"/>
  <c r="AG181" i="27"/>
  <c r="AF181" i="27"/>
  <c r="AE181" i="27"/>
  <c r="AD181" i="27"/>
  <c r="AC181" i="27"/>
  <c r="AB181" i="27"/>
  <c r="AA181" i="27"/>
  <c r="Z181" i="27"/>
  <c r="Y181" i="27"/>
  <c r="X181" i="27"/>
  <c r="W181" i="27"/>
  <c r="V181" i="27"/>
  <c r="U181" i="27"/>
  <c r="T181" i="27"/>
  <c r="S181" i="27"/>
  <c r="R181" i="27"/>
  <c r="Q181" i="27"/>
  <c r="P181" i="27"/>
  <c r="O181" i="27"/>
  <c r="N181" i="27"/>
  <c r="M181" i="27"/>
  <c r="L181" i="27"/>
  <c r="K181" i="27"/>
  <c r="J181" i="27"/>
  <c r="I181" i="27"/>
  <c r="H181" i="27"/>
  <c r="C193" i="27" s="1" a="1"/>
  <c r="C193" i="27" s="1"/>
  <c r="G181" i="27"/>
  <c r="F181" i="27"/>
  <c r="E181" i="27"/>
  <c r="D181" i="27"/>
  <c r="C181" i="27"/>
  <c r="B181" i="27"/>
  <c r="B177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C152" i="27" s="1" a="1"/>
  <c r="C152" i="27" s="1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C151" i="27" s="1" a="1"/>
  <c r="C151" i="27" s="1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C150" i="27" s="1" a="1"/>
  <c r="C150" i="27" s="1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C149" i="27" s="1" a="1"/>
  <c r="C149" i="27" s="1"/>
  <c r="AQ136" i="27"/>
  <c r="AP136" i="27"/>
  <c r="AO136" i="27"/>
  <c r="AN136" i="27"/>
  <c r="AM136" i="27"/>
  <c r="AL136" i="27"/>
  <c r="AK136" i="27"/>
  <c r="AJ136" i="27"/>
  <c r="AI136" i="27"/>
  <c r="AH136" i="27"/>
  <c r="AG136" i="27"/>
  <c r="AF136" i="27"/>
  <c r="AE136" i="27"/>
  <c r="AD136" i="27"/>
  <c r="AC136" i="27"/>
  <c r="AB136" i="27"/>
  <c r="AA136" i="27"/>
  <c r="Z136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C148" i="27" s="1" a="1"/>
  <c r="C148" i="27" s="1"/>
  <c r="AQ135" i="27"/>
  <c r="AP135" i="27"/>
  <c r="AO135" i="27"/>
  <c r="AN135" i="27"/>
  <c r="AM135" i="27"/>
  <c r="AL135" i="27"/>
  <c r="AK135" i="27"/>
  <c r="AJ135" i="27"/>
  <c r="AI135" i="27"/>
  <c r="AH135" i="27"/>
  <c r="AG135" i="27"/>
  <c r="AF135" i="27"/>
  <c r="AE135" i="27"/>
  <c r="AD135" i="27"/>
  <c r="AC135" i="27"/>
  <c r="AB135" i="27"/>
  <c r="AA135" i="27"/>
  <c r="Z135" i="27"/>
  <c r="Y135" i="27"/>
  <c r="X135" i="27"/>
  <c r="W135" i="27"/>
  <c r="V135" i="27"/>
  <c r="U135" i="27"/>
  <c r="T135" i="27"/>
  <c r="S135" i="27"/>
  <c r="R135" i="27"/>
  <c r="Q135" i="27"/>
  <c r="P135" i="27"/>
  <c r="O135" i="27"/>
  <c r="N135" i="27"/>
  <c r="M135" i="27"/>
  <c r="L135" i="27"/>
  <c r="K135" i="27"/>
  <c r="J135" i="27"/>
  <c r="I135" i="27"/>
  <c r="H135" i="27"/>
  <c r="G135" i="27"/>
  <c r="F135" i="27"/>
  <c r="E135" i="27"/>
  <c r="D135" i="27"/>
  <c r="C135" i="27"/>
  <c r="B135" i="27"/>
  <c r="C147" i="27" s="1" a="1"/>
  <c r="C147" i="27" s="1"/>
  <c r="AQ134" i="27"/>
  <c r="AP134" i="27"/>
  <c r="AO134" i="27"/>
  <c r="AN134" i="27"/>
  <c r="AM134" i="27"/>
  <c r="AL134" i="27"/>
  <c r="AK134" i="27"/>
  <c r="AJ134" i="27"/>
  <c r="AI134" i="27"/>
  <c r="AH134" i="27"/>
  <c r="AG134" i="27"/>
  <c r="AF134" i="27"/>
  <c r="AE134" i="27"/>
  <c r="AD134" i="27"/>
  <c r="AC134" i="27"/>
  <c r="AB134" i="27"/>
  <c r="AA134" i="27"/>
  <c r="Z134" i="27"/>
  <c r="Y134" i="27"/>
  <c r="X134" i="27"/>
  <c r="W134" i="27"/>
  <c r="V134" i="27"/>
  <c r="U134" i="27"/>
  <c r="T134" i="27"/>
  <c r="S134" i="27"/>
  <c r="R134" i="27"/>
  <c r="Q134" i="27"/>
  <c r="P134" i="27"/>
  <c r="O134" i="27"/>
  <c r="N134" i="27"/>
  <c r="M134" i="27"/>
  <c r="L134" i="27"/>
  <c r="K134" i="27"/>
  <c r="J134" i="27"/>
  <c r="I134" i="27"/>
  <c r="H134" i="27"/>
  <c r="G134" i="27"/>
  <c r="F134" i="27"/>
  <c r="E134" i="27"/>
  <c r="D134" i="27"/>
  <c r="C134" i="27"/>
  <c r="B134" i="27"/>
  <c r="C146" i="27" s="1" a="1"/>
  <c r="C146" i="27" s="1"/>
  <c r="B130" i="27"/>
  <c r="F99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C105" i="27" s="1" a="1"/>
  <c r="C105" i="27" s="1"/>
  <c r="AQ92" i="27"/>
  <c r="AP92" i="27"/>
  <c r="AO92" i="27"/>
  <c r="AN92" i="27"/>
  <c r="AM92" i="27"/>
  <c r="AL92" i="27"/>
  <c r="AK92" i="27"/>
  <c r="AJ92" i="27"/>
  <c r="AI92" i="27"/>
  <c r="AH92" i="27"/>
  <c r="AG92" i="27"/>
  <c r="AF92" i="27"/>
  <c r="AE92" i="27"/>
  <c r="AD92" i="27"/>
  <c r="AC92" i="27"/>
  <c r="AB92" i="27"/>
  <c r="AA92" i="27"/>
  <c r="Z92" i="27"/>
  <c r="Y92" i="27"/>
  <c r="X92" i="27"/>
  <c r="W92" i="27"/>
  <c r="V92" i="27"/>
  <c r="U92" i="27"/>
  <c r="T92" i="27"/>
  <c r="S92" i="27"/>
  <c r="R92" i="27"/>
  <c r="Q92" i="27"/>
  <c r="P92" i="27"/>
  <c r="O92" i="27"/>
  <c r="N92" i="27"/>
  <c r="M92" i="27"/>
  <c r="L92" i="27"/>
  <c r="K92" i="27"/>
  <c r="J92" i="27"/>
  <c r="I92" i="27"/>
  <c r="H92" i="27"/>
  <c r="G92" i="27"/>
  <c r="F92" i="27"/>
  <c r="E92" i="27"/>
  <c r="D92" i="27"/>
  <c r="C92" i="27"/>
  <c r="B92" i="27"/>
  <c r="C104" i="27" s="1" a="1"/>
  <c r="C104" i="27" s="1"/>
  <c r="AQ91" i="27"/>
  <c r="AP91" i="27"/>
  <c r="AO91" i="27"/>
  <c r="AN91" i="27"/>
  <c r="AM91" i="27"/>
  <c r="AL91" i="27"/>
  <c r="AK91" i="27"/>
  <c r="AJ91" i="27"/>
  <c r="AI91" i="27"/>
  <c r="AH91" i="27"/>
  <c r="AG91" i="27"/>
  <c r="AF91" i="27"/>
  <c r="AE91" i="27"/>
  <c r="AD91" i="27"/>
  <c r="AC91" i="27"/>
  <c r="AB91" i="27"/>
  <c r="AA91" i="27"/>
  <c r="Z91" i="27"/>
  <c r="Y91" i="27"/>
  <c r="X91" i="27"/>
  <c r="W91" i="27"/>
  <c r="V91" i="27"/>
  <c r="U91" i="27"/>
  <c r="T91" i="27"/>
  <c r="S91" i="27"/>
  <c r="R91" i="27"/>
  <c r="Q91" i="27"/>
  <c r="P91" i="27"/>
  <c r="O91" i="27"/>
  <c r="N91" i="27"/>
  <c r="M91" i="27"/>
  <c r="L91" i="27"/>
  <c r="K91" i="27"/>
  <c r="J91" i="27"/>
  <c r="I91" i="27"/>
  <c r="H91" i="27"/>
  <c r="G91" i="27"/>
  <c r="F91" i="27"/>
  <c r="E91" i="27"/>
  <c r="D91" i="27"/>
  <c r="C91" i="27"/>
  <c r="B91" i="27"/>
  <c r="C103" i="27" s="1" a="1"/>
  <c r="C103" i="27" s="1"/>
  <c r="AQ90" i="27"/>
  <c r="AP90" i="27"/>
  <c r="AO90" i="27"/>
  <c r="AN90" i="27"/>
  <c r="AM90" i="27"/>
  <c r="AL90" i="27"/>
  <c r="AK90" i="27"/>
  <c r="AJ90" i="27"/>
  <c r="AI90" i="27"/>
  <c r="AH90" i="27"/>
  <c r="AG90" i="27"/>
  <c r="AF90" i="27"/>
  <c r="AE90" i="27"/>
  <c r="AD90" i="27"/>
  <c r="AC90" i="27"/>
  <c r="AB90" i="27"/>
  <c r="AA90" i="27"/>
  <c r="Z90" i="27"/>
  <c r="Y90" i="27"/>
  <c r="X90" i="27"/>
  <c r="W90" i="27"/>
  <c r="V90" i="27"/>
  <c r="U90" i="27"/>
  <c r="T90" i="27"/>
  <c r="S90" i="27"/>
  <c r="R90" i="27"/>
  <c r="Q90" i="27"/>
  <c r="P90" i="27"/>
  <c r="O90" i="27"/>
  <c r="N90" i="27"/>
  <c r="M90" i="27"/>
  <c r="L90" i="27"/>
  <c r="K90" i="27"/>
  <c r="J90" i="27"/>
  <c r="I90" i="27"/>
  <c r="H90" i="27"/>
  <c r="G90" i="27"/>
  <c r="F90" i="27"/>
  <c r="E90" i="27"/>
  <c r="D90" i="27"/>
  <c r="C90" i="27"/>
  <c r="B90" i="27"/>
  <c r="C102" i="27" s="1" a="1"/>
  <c r="C102" i="27" s="1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C101" i="27" s="1" a="1"/>
  <c r="C101" i="27" s="1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C100" i="27" s="1" a="1"/>
  <c r="C100" i="27" s="1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83" i="27"/>
  <c r="F52" i="27"/>
  <c r="AQ46" i="27"/>
  <c r="AP46" i="27"/>
  <c r="AO46" i="27"/>
  <c r="AN46" i="27"/>
  <c r="AM46" i="27"/>
  <c r="AL46" i="27"/>
  <c r="AK46" i="27"/>
  <c r="AJ46" i="27"/>
  <c r="AI46" i="27"/>
  <c r="AH46" i="27"/>
  <c r="AG46" i="27"/>
  <c r="AF46" i="27"/>
  <c r="AE46" i="27"/>
  <c r="AD46" i="27"/>
  <c r="AC46" i="27"/>
  <c r="AB46" i="27"/>
  <c r="AA46" i="27"/>
  <c r="Z46" i="27"/>
  <c r="Y46" i="27"/>
  <c r="X46" i="27"/>
  <c r="W46" i="27"/>
  <c r="V46" i="27"/>
  <c r="U46" i="27"/>
  <c r="T46" i="27"/>
  <c r="S46" i="27"/>
  <c r="R46" i="27"/>
  <c r="Q46" i="27"/>
  <c r="P46" i="27"/>
  <c r="O46" i="27"/>
  <c r="N46" i="27"/>
  <c r="M46" i="27"/>
  <c r="L46" i="27"/>
  <c r="K46" i="27"/>
  <c r="J46" i="27"/>
  <c r="H46" i="27"/>
  <c r="G46" i="27"/>
  <c r="F46" i="27"/>
  <c r="E46" i="27"/>
  <c r="D46" i="27"/>
  <c r="C46" i="27"/>
  <c r="B46" i="27"/>
  <c r="C58" i="27" s="1" a="1"/>
  <c r="C58" i="27" s="1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C57" i="27" s="1" a="1"/>
  <c r="C57" i="27" s="1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C56" i="27" s="1" a="1"/>
  <c r="C56" i="27" s="1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C55" i="27" s="1" a="1"/>
  <c r="C55" i="27" s="1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C54" i="27" s="1" a="1"/>
  <c r="C54" i="27" s="1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C53" i="27" s="1" a="1"/>
  <c r="C53" i="27" s="1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36" i="27"/>
  <c r="C2" i="26" a="1"/>
  <c r="C2" i="26" s="1"/>
  <c r="M2" i="26"/>
  <c r="J2" i="26" s="1"/>
  <c r="R2" i="26"/>
  <c r="N2" i="26" s="1"/>
  <c r="W2" i="26"/>
  <c r="X2" i="26" s="1"/>
  <c r="AB2" i="26"/>
  <c r="Y2" i="26" s="1"/>
  <c r="AG2" i="26"/>
  <c r="AC2" i="26" s="1"/>
  <c r="AL2" i="26"/>
  <c r="AH2" i="26" s="1"/>
  <c r="AQ2" i="26"/>
  <c r="AV2" i="26"/>
  <c r="AR2" i="26" s="1"/>
  <c r="N5" i="26"/>
  <c r="O5" i="26"/>
  <c r="P5" i="26"/>
  <c r="Q5" i="26" s="1"/>
  <c r="S5" i="26"/>
  <c r="T5" i="26"/>
  <c r="U5" i="26"/>
  <c r="V5" i="26" s="1"/>
  <c r="X5" i="26"/>
  <c r="Y5" i="26" s="1"/>
  <c r="Z5" i="26" s="1"/>
  <c r="AA5" i="26" s="1"/>
  <c r="AC5" i="26"/>
  <c r="AD5" i="26" s="1"/>
  <c r="AE5" i="26" s="1"/>
  <c r="AF5" i="26" s="1"/>
  <c r="AH5" i="26"/>
  <c r="AI5" i="26"/>
  <c r="AJ5" i="26"/>
  <c r="AK5" i="26" s="1"/>
  <c r="AR5" i="26"/>
  <c r="AS5" i="26" s="1"/>
  <c r="AT5" i="26" s="1"/>
  <c r="AU5" i="26" s="1"/>
  <c r="M6" i="26"/>
  <c r="J6" i="26" s="1"/>
  <c r="R6" i="26"/>
  <c r="S6" i="26"/>
  <c r="T6" i="26"/>
  <c r="U6" i="26" s="1"/>
  <c r="W6" i="26"/>
  <c r="AB6" i="26"/>
  <c r="X6" i="26" s="1"/>
  <c r="AG6" i="26"/>
  <c r="AC6" i="26" s="1"/>
  <c r="AH6" i="26"/>
  <c r="AI6" i="26"/>
  <c r="AJ6" i="26"/>
  <c r="AK6" i="26" s="1"/>
  <c r="AL6" i="26"/>
  <c r="AQ6" i="26"/>
  <c r="AV6" i="26"/>
  <c r="AR6" i="26" s="1"/>
  <c r="J8" i="26" a="1"/>
  <c r="C9" i="26" a="1"/>
  <c r="J9" i="26" s="1"/>
  <c r="C9" i="26"/>
  <c r="M9" i="26"/>
  <c r="R9" i="26"/>
  <c r="N9" i="26" s="1"/>
  <c r="W9" i="26"/>
  <c r="AA9" i="26" s="1"/>
  <c r="X9" i="26"/>
  <c r="Y9" i="26"/>
  <c r="Z9" i="26" s="1"/>
  <c r="AB9" i="26"/>
  <c r="AG9" i="26"/>
  <c r="AC9" i="26" s="1"/>
  <c r="AL9" i="26"/>
  <c r="AH9" i="26" s="1"/>
  <c r="AQ9" i="26"/>
  <c r="AV9" i="26"/>
  <c r="AR9" i="26" s="1"/>
  <c r="N11" i="26"/>
  <c r="O11" i="26" s="1"/>
  <c r="P11" i="26" s="1"/>
  <c r="Q11" i="26" s="1"/>
  <c r="S11" i="26"/>
  <c r="T11" i="26"/>
  <c r="U11" i="26" s="1"/>
  <c r="V11" i="26" s="1"/>
  <c r="X11" i="26"/>
  <c r="Y11" i="26" s="1"/>
  <c r="Z11" i="26" s="1"/>
  <c r="AA11" i="26" s="1"/>
  <c r="AC11" i="26"/>
  <c r="AD11" i="26" s="1"/>
  <c r="AE11" i="26" s="1"/>
  <c r="AF11" i="26" s="1"/>
  <c r="AH11" i="26"/>
  <c r="AI11" i="26" s="1"/>
  <c r="AJ11" i="26" s="1"/>
  <c r="AK11" i="26" s="1"/>
  <c r="AR11" i="26"/>
  <c r="AS11" i="26" s="1"/>
  <c r="AT11" i="26" s="1"/>
  <c r="AU11" i="26" s="1"/>
  <c r="N12" i="26"/>
  <c r="O12" i="26" s="1"/>
  <c r="P12" i="26" s="1"/>
  <c r="Q12" i="26" s="1"/>
  <c r="S12" i="26"/>
  <c r="T12" i="26" s="1"/>
  <c r="U12" i="26" s="1"/>
  <c r="V12" i="26" s="1"/>
  <c r="X12" i="26"/>
  <c r="Y12" i="26"/>
  <c r="Z12" i="26" s="1"/>
  <c r="AA12" i="26" s="1"/>
  <c r="AC12" i="26"/>
  <c r="AD12" i="26" s="1"/>
  <c r="AE12" i="26" s="1"/>
  <c r="AF12" i="26" s="1"/>
  <c r="AH12" i="26"/>
  <c r="AI12" i="26" s="1"/>
  <c r="AJ12" i="26" s="1"/>
  <c r="AK12" i="26" s="1"/>
  <c r="AR12" i="26"/>
  <c r="AS12" i="26"/>
  <c r="AT12" i="26" s="1"/>
  <c r="AU12" i="26" s="1"/>
  <c r="J13" i="26"/>
  <c r="M13" i="26"/>
  <c r="R13" i="26"/>
  <c r="N13" i="26" s="1"/>
  <c r="W13" i="26"/>
  <c r="AB13" i="26"/>
  <c r="AC13" i="26" s="1"/>
  <c r="AG13" i="26"/>
  <c r="AL13" i="26"/>
  <c r="AH13" i="26" s="1"/>
  <c r="AQ13" i="26"/>
  <c r="AV13" i="26"/>
  <c r="AR13" i="26" s="1"/>
  <c r="P15" i="26"/>
  <c r="R15" i="26"/>
  <c r="S15" i="26"/>
  <c r="AF15" i="26"/>
  <c r="AH15" i="26"/>
  <c r="AI15" i="26"/>
  <c r="AV15" i="26"/>
  <c r="C16" i="26" a="1"/>
  <c r="K16" i="26" s="1"/>
  <c r="C16" i="26"/>
  <c r="J16" i="26"/>
  <c r="M16" i="26"/>
  <c r="R16" i="26"/>
  <c r="N16" i="26" s="1"/>
  <c r="W16" i="26"/>
  <c r="AB16" i="26"/>
  <c r="AG16" i="26"/>
  <c r="AC16" i="26" s="1"/>
  <c r="AL16" i="26"/>
  <c r="AH16" i="26" s="1"/>
  <c r="AR16" i="26"/>
  <c r="AS16" i="26" s="1"/>
  <c r="AV16" i="26"/>
  <c r="N19" i="26"/>
  <c r="O19" i="26" s="1"/>
  <c r="P19" i="26" s="1"/>
  <c r="Q19" i="26" s="1"/>
  <c r="S19" i="26"/>
  <c r="T19" i="26"/>
  <c r="U19" i="26"/>
  <c r="V19" i="26"/>
  <c r="X19" i="26"/>
  <c r="Y19" i="26"/>
  <c r="Z19" i="26"/>
  <c r="AA19" i="26" s="1"/>
  <c r="AC19" i="26"/>
  <c r="AD19" i="26" s="1"/>
  <c r="AE19" i="26" s="1"/>
  <c r="AF19" i="26" s="1"/>
  <c r="AH19" i="26"/>
  <c r="AI19" i="26" s="1"/>
  <c r="AJ19" i="26" s="1"/>
  <c r="AK19" i="26" s="1"/>
  <c r="AR19" i="26"/>
  <c r="AS19" i="26"/>
  <c r="AT19" i="26"/>
  <c r="AU19" i="26" s="1"/>
  <c r="M20" i="26"/>
  <c r="AB20" i="26"/>
  <c r="AG20" i="26"/>
  <c r="AC20" i="26" s="1"/>
  <c r="AL20" i="26"/>
  <c r="AH20" i="26" s="1"/>
  <c r="AQ20" i="26"/>
  <c r="AV20" i="26"/>
  <c r="AR20" i="26" s="1"/>
  <c r="J22" i="26" a="1"/>
  <c r="J22" i="26" s="1"/>
  <c r="C23" i="26" a="1"/>
  <c r="J29" i="26" s="1"/>
  <c r="M23" i="26"/>
  <c r="N23" i="26" s="1"/>
  <c r="R23" i="26"/>
  <c r="O23" i="26" s="1"/>
  <c r="W23" i="26"/>
  <c r="S23" i="26" s="1"/>
  <c r="AB23" i="26"/>
  <c r="AD23" i="26" s="1"/>
  <c r="AC23" i="26"/>
  <c r="AG23" i="26"/>
  <c r="AE23" i="26" s="1"/>
  <c r="AL23" i="26"/>
  <c r="AH23" i="26" s="1"/>
  <c r="AQ23" i="26"/>
  <c r="AT23" i="26" s="1"/>
  <c r="AR23" i="26"/>
  <c r="AS23" i="26"/>
  <c r="AV23" i="26"/>
  <c r="N25" i="26"/>
  <c r="O25" i="26" s="1"/>
  <c r="P25" i="26" s="1"/>
  <c r="Q25" i="26" s="1"/>
  <c r="S25" i="26"/>
  <c r="T25" i="26"/>
  <c r="U25" i="26" s="1"/>
  <c r="V25" i="26" s="1"/>
  <c r="X25" i="26"/>
  <c r="Y25" i="26"/>
  <c r="Z25" i="26" s="1"/>
  <c r="AA25" i="26" s="1"/>
  <c r="AC25" i="26"/>
  <c r="AD25" i="26" s="1"/>
  <c r="AE25" i="26" s="1"/>
  <c r="AF25" i="26" s="1"/>
  <c r="AH25" i="26"/>
  <c r="AI25" i="26" s="1"/>
  <c r="AJ25" i="26" s="1"/>
  <c r="AK25" i="26" s="1"/>
  <c r="AR25" i="26"/>
  <c r="AS25" i="26"/>
  <c r="AT25" i="26" s="1"/>
  <c r="AU25" i="26" s="1"/>
  <c r="J27" i="26"/>
  <c r="K27" i="26" s="1"/>
  <c r="M27" i="26"/>
  <c r="L27" i="26" s="1"/>
  <c r="R27" i="26"/>
  <c r="N27" i="26" s="1"/>
  <c r="W27" i="26"/>
  <c r="AB27" i="26"/>
  <c r="AC27" i="26"/>
  <c r="AD27" i="26" s="1"/>
  <c r="AE27" i="26" s="1"/>
  <c r="AF27" i="26" s="1"/>
  <c r="AG27" i="26"/>
  <c r="AL27" i="26"/>
  <c r="AH27" i="26" s="1"/>
  <c r="AI27" i="26" s="1"/>
  <c r="AQ27" i="26"/>
  <c r="AV27" i="26"/>
  <c r="AR27" i="26" s="1"/>
  <c r="M29" i="26" a="1"/>
  <c r="T15" i="26" s="1"/>
  <c r="D10" i="25"/>
  <c r="H10" i="25" s="1"/>
  <c r="F10" i="25"/>
  <c r="G10" i="25"/>
  <c r="J10" i="25"/>
  <c r="L10" i="25" s="1"/>
  <c r="K10" i="25"/>
  <c r="S10" i="25"/>
  <c r="T10" i="25"/>
  <c r="V10" i="25"/>
  <c r="X10" i="25" s="1"/>
  <c r="W10" i="25"/>
  <c r="AE10" i="25"/>
  <c r="AF10" i="25"/>
  <c r="AH10" i="25"/>
  <c r="AJ10" i="25" s="1"/>
  <c r="AI10" i="25"/>
  <c r="D11" i="25"/>
  <c r="H11" i="25" s="1"/>
  <c r="F11" i="25"/>
  <c r="G11" i="25"/>
  <c r="J11" i="25"/>
  <c r="I11" i="25" s="1"/>
  <c r="S11" i="25"/>
  <c r="T11" i="25"/>
  <c r="U11" i="25"/>
  <c r="W11" i="25" s="1"/>
  <c r="V11" i="25"/>
  <c r="X11" i="25" s="1"/>
  <c r="AE11" i="25"/>
  <c r="AF11" i="25"/>
  <c r="AG11" i="25"/>
  <c r="AH11" i="25"/>
  <c r="AI25" i="25" s="1"/>
  <c r="AI11" i="25"/>
  <c r="AJ11" i="25"/>
  <c r="D12" i="25"/>
  <c r="H12" i="25" s="1"/>
  <c r="F12" i="25"/>
  <c r="G12" i="25"/>
  <c r="J12" i="25"/>
  <c r="S12" i="25"/>
  <c r="T12" i="25"/>
  <c r="V12" i="25"/>
  <c r="W20" i="25" s="1"/>
  <c r="X12" i="25"/>
  <c r="AE12" i="25"/>
  <c r="AF12" i="25"/>
  <c r="AJ12" i="25" s="1"/>
  <c r="AG12" i="25"/>
  <c r="AG13" i="25" s="1"/>
  <c r="AH12" i="25"/>
  <c r="AI12" i="25"/>
  <c r="D13" i="25"/>
  <c r="H13" i="25" s="1"/>
  <c r="L13" i="25" s="1"/>
  <c r="F13" i="25"/>
  <c r="G13" i="25"/>
  <c r="J13" i="25"/>
  <c r="S13" i="25"/>
  <c r="T13" i="25"/>
  <c r="X13" i="25" s="1"/>
  <c r="V13" i="25"/>
  <c r="AE13" i="25"/>
  <c r="AF13" i="25"/>
  <c r="AH13" i="25"/>
  <c r="AJ13" i="25" s="1"/>
  <c r="D14" i="25"/>
  <c r="H14" i="25" s="1"/>
  <c r="L14" i="25" s="1"/>
  <c r="F14" i="25"/>
  <c r="G14" i="25"/>
  <c r="J14" i="25"/>
  <c r="S14" i="25"/>
  <c r="T14" i="25"/>
  <c r="V14" i="25"/>
  <c r="X14" i="25" s="1"/>
  <c r="AE14" i="25"/>
  <c r="AF14" i="25"/>
  <c r="AH14" i="25"/>
  <c r="AI23" i="25" s="1"/>
  <c r="D15" i="25"/>
  <c r="H15" i="25" s="1"/>
  <c r="G15" i="25"/>
  <c r="J15" i="25"/>
  <c r="S15" i="25"/>
  <c r="T15" i="25"/>
  <c r="X15" i="25" s="1"/>
  <c r="V15" i="25"/>
  <c r="AE15" i="25"/>
  <c r="AF15" i="25"/>
  <c r="AH15" i="25"/>
  <c r="AJ15" i="25" s="1"/>
  <c r="D16" i="25"/>
  <c r="G16" i="25"/>
  <c r="H16" i="25"/>
  <c r="J16" i="25"/>
  <c r="L16" i="25" s="1"/>
  <c r="S16" i="25"/>
  <c r="T16" i="25"/>
  <c r="V16" i="25"/>
  <c r="X16" i="25" s="1"/>
  <c r="AE16" i="25"/>
  <c r="AF16" i="25"/>
  <c r="AH16" i="25"/>
  <c r="AJ16" i="25" s="1"/>
  <c r="G17" i="25"/>
  <c r="H17" i="25"/>
  <c r="J17" i="25"/>
  <c r="K17" i="25"/>
  <c r="L17" i="25"/>
  <c r="M17" i="25"/>
  <c r="S17" i="25"/>
  <c r="T17" i="25"/>
  <c r="V17" i="25"/>
  <c r="X17" i="25" s="1"/>
  <c r="Y17" i="25"/>
  <c r="AE17" i="25"/>
  <c r="AF17" i="25"/>
  <c r="AH17" i="25"/>
  <c r="AJ17" i="25" s="1"/>
  <c r="AK17" i="25"/>
  <c r="G18" i="25"/>
  <c r="H18" i="25"/>
  <c r="J18" i="25"/>
  <c r="L18" i="25" s="1"/>
  <c r="K18" i="25"/>
  <c r="M18" i="25"/>
  <c r="S18" i="25"/>
  <c r="T18" i="25"/>
  <c r="V18" i="25"/>
  <c r="X18" i="25"/>
  <c r="Y18" i="25"/>
  <c r="AE18" i="25"/>
  <c r="AF18" i="25"/>
  <c r="AH18" i="25"/>
  <c r="AJ18" i="25" s="1"/>
  <c r="AK18" i="25"/>
  <c r="G19" i="25"/>
  <c r="H19" i="25"/>
  <c r="J19" i="25"/>
  <c r="L19" i="25" s="1"/>
  <c r="K19" i="25"/>
  <c r="M19" i="25"/>
  <c r="S19" i="25"/>
  <c r="T19" i="25"/>
  <c r="V19" i="25"/>
  <c r="W26" i="25" s="1"/>
  <c r="W19" i="25"/>
  <c r="Y19" i="25"/>
  <c r="AE19" i="25"/>
  <c r="AF19" i="25"/>
  <c r="AH19" i="25"/>
  <c r="AI19" i="25"/>
  <c r="AJ19" i="25"/>
  <c r="AK19" i="25"/>
  <c r="G20" i="25"/>
  <c r="H20" i="25"/>
  <c r="J20" i="25"/>
  <c r="L20" i="25" s="1"/>
  <c r="K20" i="25"/>
  <c r="M20" i="25"/>
  <c r="S20" i="25"/>
  <c r="T20" i="25"/>
  <c r="V20" i="25"/>
  <c r="W28" i="25" s="1"/>
  <c r="Y20" i="25"/>
  <c r="AE20" i="25"/>
  <c r="AF20" i="25"/>
  <c r="AH20" i="25"/>
  <c r="AJ20" i="25" s="1"/>
  <c r="AI20" i="25"/>
  <c r="AK20" i="25"/>
  <c r="G21" i="25"/>
  <c r="H21" i="25"/>
  <c r="J21" i="25"/>
  <c r="L21" i="25"/>
  <c r="M21" i="25"/>
  <c r="S21" i="25"/>
  <c r="T21" i="25"/>
  <c r="V21" i="25"/>
  <c r="X21" i="25" s="1"/>
  <c r="W21" i="25"/>
  <c r="Y21" i="25"/>
  <c r="AE21" i="25"/>
  <c r="AF21" i="25"/>
  <c r="AH21" i="25"/>
  <c r="AJ21" i="25" s="1"/>
  <c r="AI21" i="25"/>
  <c r="AK21" i="25"/>
  <c r="G22" i="25"/>
  <c r="H22" i="25"/>
  <c r="J22" i="25"/>
  <c r="L22" i="25" s="1"/>
  <c r="K22" i="25"/>
  <c r="M22" i="25"/>
  <c r="S22" i="25"/>
  <c r="T22" i="25"/>
  <c r="V22" i="25"/>
  <c r="W22" i="25"/>
  <c r="X22" i="25"/>
  <c r="Y22" i="25"/>
  <c r="AE22" i="25"/>
  <c r="AF22" i="25"/>
  <c r="AH22" i="25"/>
  <c r="AJ22" i="25" s="1"/>
  <c r="AI22" i="25"/>
  <c r="AK22" i="25"/>
  <c r="G23" i="25"/>
  <c r="H23" i="25"/>
  <c r="J23" i="25"/>
  <c r="L23" i="25" s="1"/>
  <c r="M23" i="25"/>
  <c r="S23" i="25"/>
  <c r="T23" i="25"/>
  <c r="V23" i="25"/>
  <c r="X23" i="25" s="1"/>
  <c r="W23" i="25"/>
  <c r="Y23" i="25"/>
  <c r="AE23" i="25"/>
  <c r="AF23" i="25"/>
  <c r="AH23" i="25"/>
  <c r="AJ23" i="25"/>
  <c r="AK23" i="25"/>
  <c r="G24" i="25"/>
  <c r="H24" i="25"/>
  <c r="J24" i="25"/>
  <c r="L24" i="25" s="1"/>
  <c r="K24" i="25"/>
  <c r="M24" i="25"/>
  <c r="S24" i="25"/>
  <c r="T24" i="25"/>
  <c r="V24" i="25"/>
  <c r="X24" i="25" s="1"/>
  <c r="W24" i="25"/>
  <c r="Y24" i="25"/>
  <c r="AE24" i="25"/>
  <c r="AF24" i="25"/>
  <c r="AH24" i="25"/>
  <c r="AJ24" i="25" s="1"/>
  <c r="AI24" i="25"/>
  <c r="AK24" i="25"/>
  <c r="G25" i="25"/>
  <c r="H25" i="25"/>
  <c r="J25" i="25"/>
  <c r="K25" i="25"/>
  <c r="L25" i="25"/>
  <c r="M25" i="25"/>
  <c r="S25" i="25"/>
  <c r="T25" i="25"/>
  <c r="V25" i="25"/>
  <c r="X25" i="25" s="1"/>
  <c r="W25" i="25"/>
  <c r="Y25" i="25"/>
  <c r="AE25" i="25"/>
  <c r="AF25" i="25"/>
  <c r="AH25" i="25"/>
  <c r="AJ25" i="25" s="1"/>
  <c r="AK25" i="25"/>
  <c r="G26" i="25"/>
  <c r="H26" i="25"/>
  <c r="J26" i="25"/>
  <c r="L26" i="25" s="1"/>
  <c r="K26" i="25"/>
  <c r="M26" i="25"/>
  <c r="S26" i="25"/>
  <c r="T26" i="25"/>
  <c r="V26" i="25"/>
  <c r="X26" i="25"/>
  <c r="Y26" i="25"/>
  <c r="AE26" i="25"/>
  <c r="AF26" i="25"/>
  <c r="AH26" i="25"/>
  <c r="AJ26" i="25" s="1"/>
  <c r="AI26" i="25"/>
  <c r="AK26" i="25"/>
  <c r="G27" i="25"/>
  <c r="H27" i="25"/>
  <c r="J27" i="25"/>
  <c r="L27" i="25" s="1"/>
  <c r="K27" i="25"/>
  <c r="M27" i="25"/>
  <c r="S27" i="25"/>
  <c r="T27" i="25"/>
  <c r="V27" i="25"/>
  <c r="W34" i="25" s="1"/>
  <c r="W27" i="25"/>
  <c r="Y27" i="25"/>
  <c r="AE27" i="25"/>
  <c r="AF27" i="25"/>
  <c r="AH27" i="25"/>
  <c r="AI27" i="25"/>
  <c r="AJ27" i="25"/>
  <c r="AK27" i="25"/>
  <c r="G28" i="25"/>
  <c r="H28" i="25"/>
  <c r="J28" i="25"/>
  <c r="L28" i="25" s="1"/>
  <c r="K28" i="25"/>
  <c r="M28" i="25"/>
  <c r="S28" i="25"/>
  <c r="T28" i="25"/>
  <c r="V28" i="25"/>
  <c r="W36" i="25" s="1"/>
  <c r="Y28" i="25"/>
  <c r="AE28" i="25"/>
  <c r="AF28" i="25"/>
  <c r="AH28" i="25"/>
  <c r="AJ28" i="25" s="1"/>
  <c r="AI28" i="25"/>
  <c r="AK28" i="25"/>
  <c r="G29" i="25"/>
  <c r="H29" i="25"/>
  <c r="L29" i="25" s="1"/>
  <c r="J29" i="25"/>
  <c r="M29" i="25"/>
  <c r="S29" i="25"/>
  <c r="T29" i="25"/>
  <c r="V29" i="25"/>
  <c r="X29" i="25" s="1"/>
  <c r="W29" i="25"/>
  <c r="Y29" i="25"/>
  <c r="AE29" i="25"/>
  <c r="AF29" i="25"/>
  <c r="AH29" i="25"/>
  <c r="AJ29" i="25" s="1"/>
  <c r="AI29" i="25"/>
  <c r="AK29" i="25"/>
  <c r="G30" i="25"/>
  <c r="H30" i="25"/>
  <c r="J30" i="25"/>
  <c r="L30" i="25" s="1"/>
  <c r="K30" i="25"/>
  <c r="M30" i="25"/>
  <c r="S30" i="25"/>
  <c r="T30" i="25"/>
  <c r="V30" i="25"/>
  <c r="W30" i="25"/>
  <c r="X30" i="25"/>
  <c r="Y30" i="25"/>
  <c r="AE30" i="25"/>
  <c r="AF30" i="25"/>
  <c r="AH30" i="25"/>
  <c r="AJ30" i="25" s="1"/>
  <c r="AI30" i="25"/>
  <c r="AK30" i="25"/>
  <c r="G31" i="25"/>
  <c r="H31" i="25"/>
  <c r="J31" i="25"/>
  <c r="L31" i="25" s="1"/>
  <c r="M31" i="25"/>
  <c r="S31" i="25"/>
  <c r="T31" i="25"/>
  <c r="V31" i="25"/>
  <c r="X31" i="25" s="1"/>
  <c r="W31" i="25"/>
  <c r="Y31" i="25"/>
  <c r="AE31" i="25"/>
  <c r="AF31" i="25"/>
  <c r="AJ31" i="25" s="1"/>
  <c r="AH31" i="25"/>
  <c r="AK31" i="25"/>
  <c r="G32" i="25"/>
  <c r="H32" i="25"/>
  <c r="J32" i="25"/>
  <c r="L32" i="25" s="1"/>
  <c r="K32" i="25"/>
  <c r="M32" i="25"/>
  <c r="S32" i="25"/>
  <c r="T32" i="25"/>
  <c r="V32" i="25"/>
  <c r="X32" i="25" s="1"/>
  <c r="W32" i="25"/>
  <c r="Y32" i="25"/>
  <c r="AE32" i="25"/>
  <c r="AF32" i="25"/>
  <c r="AH32" i="25"/>
  <c r="AJ32" i="25" s="1"/>
  <c r="AI32" i="25"/>
  <c r="AK32" i="25"/>
  <c r="G33" i="25"/>
  <c r="H33" i="25"/>
  <c r="J33" i="25"/>
  <c r="K33" i="25"/>
  <c r="L33" i="25"/>
  <c r="M33" i="25"/>
  <c r="S33" i="25"/>
  <c r="T33" i="25"/>
  <c r="V33" i="25"/>
  <c r="X33" i="25" s="1"/>
  <c r="W33" i="25"/>
  <c r="Y33" i="25"/>
  <c r="AE33" i="25"/>
  <c r="AF33" i="25"/>
  <c r="AH33" i="25"/>
  <c r="AJ33" i="25" s="1"/>
  <c r="AK33" i="25"/>
  <c r="G34" i="25"/>
  <c r="H34" i="25"/>
  <c r="J34" i="25"/>
  <c r="L34" i="25" s="1"/>
  <c r="K34" i="25"/>
  <c r="M34" i="25"/>
  <c r="S34" i="25"/>
  <c r="T34" i="25"/>
  <c r="X34" i="25" s="1"/>
  <c r="V34" i="25"/>
  <c r="Y34" i="25"/>
  <c r="AE34" i="25"/>
  <c r="AF34" i="25"/>
  <c r="AH34" i="25"/>
  <c r="AJ34" i="25" s="1"/>
  <c r="AI34" i="25"/>
  <c r="AK34" i="25"/>
  <c r="G35" i="25"/>
  <c r="H35" i="25"/>
  <c r="J35" i="25"/>
  <c r="L35" i="25" s="1"/>
  <c r="K35" i="25"/>
  <c r="M35" i="25"/>
  <c r="S35" i="25"/>
  <c r="T35" i="25"/>
  <c r="V35" i="25"/>
  <c r="W42" i="25" s="1"/>
  <c r="W35" i="25"/>
  <c r="Y35" i="25"/>
  <c r="AE35" i="25"/>
  <c r="AF35" i="25"/>
  <c r="AH35" i="25"/>
  <c r="AI35" i="25"/>
  <c r="AJ35" i="25"/>
  <c r="AK35" i="25"/>
  <c r="G36" i="25"/>
  <c r="H36" i="25"/>
  <c r="J36" i="25"/>
  <c r="L36" i="25" s="1"/>
  <c r="K36" i="25"/>
  <c r="M36" i="25"/>
  <c r="S36" i="25"/>
  <c r="T36" i="25"/>
  <c r="V36" i="25"/>
  <c r="W44" i="25" s="1"/>
  <c r="Y36" i="25"/>
  <c r="AE36" i="25"/>
  <c r="AF36" i="25"/>
  <c r="AH36" i="25"/>
  <c r="AJ36" i="25" s="1"/>
  <c r="AI36" i="25"/>
  <c r="AK36" i="25"/>
  <c r="G37" i="25"/>
  <c r="H37" i="25"/>
  <c r="L37" i="25" s="1"/>
  <c r="J37" i="25"/>
  <c r="M37" i="25"/>
  <c r="S37" i="25"/>
  <c r="T37" i="25"/>
  <c r="V37" i="25"/>
  <c r="X37" i="25" s="1"/>
  <c r="W37" i="25"/>
  <c r="Y37" i="25"/>
  <c r="AE37" i="25"/>
  <c r="AF37" i="25"/>
  <c r="AH37" i="25"/>
  <c r="AJ37" i="25" s="1"/>
  <c r="AI37" i="25"/>
  <c r="AK37" i="25"/>
  <c r="G38" i="25"/>
  <c r="H38" i="25"/>
  <c r="J38" i="25"/>
  <c r="K45" i="25" s="1"/>
  <c r="K38" i="25"/>
  <c r="M38" i="25"/>
  <c r="S38" i="25"/>
  <c r="T38" i="25"/>
  <c r="X38" i="25" s="1"/>
  <c r="V38" i="25"/>
  <c r="W38" i="25"/>
  <c r="Y38" i="25"/>
  <c r="AE38" i="25"/>
  <c r="AF38" i="25"/>
  <c r="AH38" i="25"/>
  <c r="AJ38" i="25" s="1"/>
  <c r="AI38" i="25"/>
  <c r="AK38" i="25"/>
  <c r="G39" i="25"/>
  <c r="H39" i="25"/>
  <c r="J39" i="25"/>
  <c r="L39" i="25" s="1"/>
  <c r="M39" i="25"/>
  <c r="S39" i="25"/>
  <c r="T39" i="25"/>
  <c r="V39" i="25"/>
  <c r="X39" i="25" s="1"/>
  <c r="W39" i="25"/>
  <c r="Y39" i="25"/>
  <c r="AE39" i="25"/>
  <c r="AF39" i="25"/>
  <c r="AJ39" i="25" s="1"/>
  <c r="AH39" i="25"/>
  <c r="AK39" i="25"/>
  <c r="G40" i="25"/>
  <c r="H40" i="25"/>
  <c r="J40" i="25"/>
  <c r="L40" i="25" s="1"/>
  <c r="K40" i="25"/>
  <c r="M40" i="25"/>
  <c r="S40" i="25"/>
  <c r="T40" i="25"/>
  <c r="V40" i="25"/>
  <c r="X40" i="25" s="1"/>
  <c r="W40" i="25"/>
  <c r="Y40" i="25"/>
  <c r="AE40" i="25"/>
  <c r="AF40" i="25"/>
  <c r="AH40" i="25"/>
  <c r="AI47" i="25" s="1"/>
  <c r="AI40" i="25"/>
  <c r="AK40" i="25"/>
  <c r="G41" i="25"/>
  <c r="H41" i="25"/>
  <c r="L41" i="25" s="1"/>
  <c r="J41" i="25"/>
  <c r="K41" i="25"/>
  <c r="M41" i="25"/>
  <c r="S41" i="25"/>
  <c r="T41" i="25"/>
  <c r="V41" i="25"/>
  <c r="X41" i="25" s="1"/>
  <c r="W41" i="25"/>
  <c r="Y41" i="25"/>
  <c r="AE41" i="25"/>
  <c r="AF41" i="25"/>
  <c r="AH41" i="25"/>
  <c r="AJ41" i="25" s="1"/>
  <c r="AK41" i="25"/>
  <c r="G42" i="25"/>
  <c r="H42" i="25"/>
  <c r="J42" i="25"/>
  <c r="L42" i="25" s="1"/>
  <c r="K42" i="25"/>
  <c r="M42" i="25"/>
  <c r="S42" i="25"/>
  <c r="T42" i="25"/>
  <c r="X42" i="25" s="1"/>
  <c r="V42" i="25"/>
  <c r="Y42" i="25"/>
  <c r="AE42" i="25"/>
  <c r="AF42" i="25"/>
  <c r="AH42" i="25"/>
  <c r="AJ42" i="25" s="1"/>
  <c r="AI42" i="25"/>
  <c r="AK42" i="25"/>
  <c r="G43" i="25"/>
  <c r="H43" i="25"/>
  <c r="J43" i="25"/>
  <c r="L43" i="25" s="1"/>
  <c r="K43" i="25"/>
  <c r="M43" i="25"/>
  <c r="S43" i="25"/>
  <c r="T43" i="25"/>
  <c r="V43" i="25"/>
  <c r="W50" i="25" s="1"/>
  <c r="W43" i="25"/>
  <c r="Y43" i="25"/>
  <c r="AE43" i="25"/>
  <c r="AF43" i="25"/>
  <c r="AJ43" i="25" s="1"/>
  <c r="AH43" i="25"/>
  <c r="AI43" i="25"/>
  <c r="AK43" i="25"/>
  <c r="G44" i="25"/>
  <c r="H44" i="25"/>
  <c r="J44" i="25"/>
  <c r="L44" i="25" s="1"/>
  <c r="K44" i="25"/>
  <c r="M44" i="25"/>
  <c r="S44" i="25"/>
  <c r="T44" i="25"/>
  <c r="V44" i="25"/>
  <c r="W52" i="25" s="1"/>
  <c r="Y44" i="25"/>
  <c r="AE44" i="25"/>
  <c r="AF44" i="25"/>
  <c r="AH44" i="25"/>
  <c r="AJ44" i="25" s="1"/>
  <c r="AI44" i="25"/>
  <c r="AK44" i="25"/>
  <c r="G45" i="25"/>
  <c r="H45" i="25"/>
  <c r="L45" i="25" s="1"/>
  <c r="J45" i="25"/>
  <c r="M45" i="25"/>
  <c r="S45" i="25"/>
  <c r="T45" i="25"/>
  <c r="V45" i="25"/>
  <c r="X45" i="25" s="1"/>
  <c r="W45" i="25"/>
  <c r="Y45" i="25"/>
  <c r="AE45" i="25"/>
  <c r="AF45" i="25"/>
  <c r="AH45" i="25"/>
  <c r="AJ45" i="25" s="1"/>
  <c r="AI45" i="25"/>
  <c r="AK45" i="25"/>
  <c r="G46" i="25"/>
  <c r="H46" i="25"/>
  <c r="J46" i="25"/>
  <c r="K53" i="25" s="1"/>
  <c r="K46" i="25"/>
  <c r="M46" i="25"/>
  <c r="S46" i="25"/>
  <c r="T46" i="25"/>
  <c r="X46" i="25" s="1"/>
  <c r="V46" i="25"/>
  <c r="W46" i="25"/>
  <c r="Y46" i="25"/>
  <c r="AE46" i="25"/>
  <c r="AF46" i="25"/>
  <c r="AH46" i="25"/>
  <c r="AJ46" i="25" s="1"/>
  <c r="AI46" i="25"/>
  <c r="AK46" i="25"/>
  <c r="G47" i="25"/>
  <c r="H47" i="25"/>
  <c r="J47" i="25"/>
  <c r="L47" i="25" s="1"/>
  <c r="M47" i="25"/>
  <c r="S47" i="25"/>
  <c r="T47" i="25"/>
  <c r="V47" i="25"/>
  <c r="X47" i="25" s="1"/>
  <c r="W47" i="25"/>
  <c r="Y47" i="25"/>
  <c r="AE47" i="25"/>
  <c r="AF47" i="25"/>
  <c r="AJ47" i="25" s="1"/>
  <c r="AH47" i="25"/>
  <c r="AK47" i="25"/>
  <c r="G48" i="25"/>
  <c r="H48" i="25"/>
  <c r="J48" i="25"/>
  <c r="L48" i="25" s="1"/>
  <c r="K48" i="25"/>
  <c r="M48" i="25"/>
  <c r="S48" i="25"/>
  <c r="T48" i="25"/>
  <c r="V48" i="25"/>
  <c r="X48" i="25" s="1"/>
  <c r="W48" i="25"/>
  <c r="Y48" i="25"/>
  <c r="AE48" i="25"/>
  <c r="AF48" i="25"/>
  <c r="AH48" i="25"/>
  <c r="AI55" i="25" s="1"/>
  <c r="AI48" i="25"/>
  <c r="AK48" i="25"/>
  <c r="G49" i="25"/>
  <c r="H49" i="25"/>
  <c r="L49" i="25" s="1"/>
  <c r="J49" i="25"/>
  <c r="K49" i="25"/>
  <c r="M49" i="25"/>
  <c r="S49" i="25"/>
  <c r="T49" i="25"/>
  <c r="V49" i="25"/>
  <c r="X49" i="25" s="1"/>
  <c r="W49" i="25"/>
  <c r="Y49" i="25"/>
  <c r="AE49" i="25"/>
  <c r="AF49" i="25"/>
  <c r="AH49" i="25"/>
  <c r="AJ49" i="25" s="1"/>
  <c r="AK49" i="25"/>
  <c r="G50" i="25"/>
  <c r="H50" i="25"/>
  <c r="J50" i="25"/>
  <c r="L50" i="25" s="1"/>
  <c r="K50" i="25"/>
  <c r="M50" i="25"/>
  <c r="S50" i="25"/>
  <c r="T50" i="25"/>
  <c r="X50" i="25" s="1"/>
  <c r="V50" i="25"/>
  <c r="Y50" i="25"/>
  <c r="AE50" i="25"/>
  <c r="AF50" i="25"/>
  <c r="AH50" i="25"/>
  <c r="AJ50" i="25" s="1"/>
  <c r="AI50" i="25"/>
  <c r="AK50" i="25"/>
  <c r="G51" i="25"/>
  <c r="H51" i="25"/>
  <c r="J51" i="25"/>
  <c r="L51" i="25" s="1"/>
  <c r="K51" i="25"/>
  <c r="M51" i="25"/>
  <c r="S51" i="25"/>
  <c r="T51" i="25"/>
  <c r="V51" i="25"/>
  <c r="X51" i="25" s="1"/>
  <c r="W51" i="25"/>
  <c r="Y51" i="25"/>
  <c r="AE51" i="25"/>
  <c r="AF51" i="25"/>
  <c r="AJ51" i="25" s="1"/>
  <c r="AH51" i="25"/>
  <c r="AI51" i="25"/>
  <c r="AK51" i="25"/>
  <c r="G52" i="25"/>
  <c r="H52" i="25"/>
  <c r="J52" i="25"/>
  <c r="L52" i="25" s="1"/>
  <c r="K52" i="25"/>
  <c r="M52" i="25"/>
  <c r="S52" i="25"/>
  <c r="T52" i="25"/>
  <c r="V52" i="25"/>
  <c r="X52" i="25" s="1"/>
  <c r="Y52" i="25"/>
  <c r="AE52" i="25"/>
  <c r="AF52" i="25"/>
  <c r="AH52" i="25"/>
  <c r="AJ52" i="25" s="1"/>
  <c r="AI52" i="25"/>
  <c r="AK52" i="25"/>
  <c r="G53" i="25"/>
  <c r="H53" i="25"/>
  <c r="L53" i="25" s="1"/>
  <c r="J53" i="25"/>
  <c r="M53" i="25"/>
  <c r="S53" i="25"/>
  <c r="T53" i="25"/>
  <c r="V53" i="25"/>
  <c r="X53" i="25" s="1"/>
  <c r="W53" i="25"/>
  <c r="Y53" i="25"/>
  <c r="AE53" i="25"/>
  <c r="AF53" i="25"/>
  <c r="AH53" i="25"/>
  <c r="AJ53" i="25" s="1"/>
  <c r="AI53" i="25"/>
  <c r="AK53" i="25"/>
  <c r="G54" i="25"/>
  <c r="H54" i="25"/>
  <c r="J54" i="25"/>
  <c r="L54" i="25" s="1"/>
  <c r="K54" i="25"/>
  <c r="M54" i="25"/>
  <c r="S54" i="25"/>
  <c r="T54" i="25"/>
  <c r="X54" i="25" s="1"/>
  <c r="V54" i="25"/>
  <c r="W54" i="25"/>
  <c r="Y54" i="25"/>
  <c r="AE54" i="25"/>
  <c r="AF54" i="25"/>
  <c r="AH54" i="25"/>
  <c r="AJ54" i="25" s="1"/>
  <c r="AI54" i="25"/>
  <c r="AK54" i="25"/>
  <c r="G55" i="25"/>
  <c r="H55" i="25"/>
  <c r="J55" i="25"/>
  <c r="L55" i="25" s="1"/>
  <c r="M55" i="25"/>
  <c r="S55" i="25"/>
  <c r="T55" i="25"/>
  <c r="V55" i="25"/>
  <c r="X55" i="25" s="1"/>
  <c r="W55" i="25"/>
  <c r="Y55" i="25"/>
  <c r="AE55" i="25"/>
  <c r="AF55" i="25"/>
  <c r="AJ55" i="25" s="1"/>
  <c r="AH55" i="25"/>
  <c r="AK55" i="25"/>
  <c r="O5" i="24"/>
  <c r="P5" i="24"/>
  <c r="Q5" i="24"/>
  <c r="R5" i="24"/>
  <c r="S5" i="24"/>
  <c r="T5" i="24"/>
  <c r="U5" i="24"/>
  <c r="V5" i="24"/>
  <c r="AA5" i="24"/>
  <c r="W5" i="24" s="1"/>
  <c r="AB5" i="24"/>
  <c r="AC5" i="24"/>
  <c r="AD5" i="24"/>
  <c r="AD13" i="24" s="1"/>
  <c r="AD14" i="24" s="1"/>
  <c r="AD15" i="24" s="1"/>
  <c r="AE5" i="24"/>
  <c r="AF5" i="24"/>
  <c r="X5" i="24" s="1"/>
  <c r="AG5" i="24"/>
  <c r="AH5" i="24"/>
  <c r="AM5" i="24"/>
  <c r="AL5" i="24" s="1"/>
  <c r="AN5" i="24"/>
  <c r="AJ5" i="24" s="1"/>
  <c r="AO5" i="24"/>
  <c r="AP5" i="24"/>
  <c r="AQ5" i="24"/>
  <c r="AI5" i="24" s="1"/>
  <c r="AR5" i="24"/>
  <c r="AS5" i="24"/>
  <c r="AT5" i="24"/>
  <c r="AT13" i="24" s="1"/>
  <c r="AT14" i="24" s="1"/>
  <c r="AT15" i="24" s="1"/>
  <c r="AU5" i="24"/>
  <c r="AV5" i="24"/>
  <c r="AW5" i="24"/>
  <c r="AX5" i="24"/>
  <c r="AY5" i="24"/>
  <c r="AZ5" i="24"/>
  <c r="BA5" i="24"/>
  <c r="BB5" i="24"/>
  <c r="O6" i="24"/>
  <c r="P6" i="24"/>
  <c r="Q6" i="24"/>
  <c r="R6" i="24"/>
  <c r="S6" i="24"/>
  <c r="T6" i="24"/>
  <c r="U6" i="24"/>
  <c r="V6" i="24"/>
  <c r="AA6" i="24"/>
  <c r="W6" i="24" s="1"/>
  <c r="AB6" i="24"/>
  <c r="AC6" i="24"/>
  <c r="AD6" i="24"/>
  <c r="AE6" i="24"/>
  <c r="AF6" i="24"/>
  <c r="X6" i="24" s="1"/>
  <c r="AG6" i="24"/>
  <c r="AH6" i="24"/>
  <c r="AM6" i="24"/>
  <c r="AK6" i="24" s="1"/>
  <c r="AN6" i="24"/>
  <c r="AJ6" i="24" s="1"/>
  <c r="AO6" i="24"/>
  <c r="AP6" i="24"/>
  <c r="AQ6" i="24"/>
  <c r="AI6" i="24" s="1"/>
  <c r="AR6" i="24"/>
  <c r="AS6" i="24"/>
  <c r="AT6" i="24"/>
  <c r="AU6" i="24"/>
  <c r="AV6" i="24"/>
  <c r="AW6" i="24"/>
  <c r="AX6" i="24"/>
  <c r="AY6" i="24"/>
  <c r="AZ6" i="24"/>
  <c r="BA6" i="24"/>
  <c r="BB6" i="24"/>
  <c r="AL6" i="24" s="1"/>
  <c r="O7" i="24"/>
  <c r="P7" i="24"/>
  <c r="Q7" i="24"/>
  <c r="R7" i="24"/>
  <c r="S7" i="24"/>
  <c r="T7" i="24"/>
  <c r="U7" i="24"/>
  <c r="V7" i="24"/>
  <c r="AA7" i="24"/>
  <c r="W7" i="24" s="1"/>
  <c r="AB7" i="24"/>
  <c r="AC7" i="24"/>
  <c r="AD7" i="24"/>
  <c r="AE7" i="24"/>
  <c r="AF7" i="24"/>
  <c r="X7" i="24" s="1"/>
  <c r="AG7" i="24"/>
  <c r="AH7" i="24"/>
  <c r="AM7" i="24"/>
  <c r="AL7" i="24" s="1"/>
  <c r="AN7" i="24"/>
  <c r="AJ7" i="24" s="1"/>
  <c r="AO7" i="24"/>
  <c r="AP7" i="24"/>
  <c r="AQ7" i="24"/>
  <c r="AR7" i="24"/>
  <c r="AS7" i="24"/>
  <c r="AT7" i="24"/>
  <c r="AU7" i="24"/>
  <c r="AV7" i="24"/>
  <c r="AW7" i="24"/>
  <c r="AX7" i="24"/>
  <c r="AY7" i="24"/>
  <c r="AI7" i="24" s="1"/>
  <c r="AZ7" i="24"/>
  <c r="BA7" i="24"/>
  <c r="BB7" i="24"/>
  <c r="O8" i="24"/>
  <c r="P8" i="24"/>
  <c r="Q8" i="24"/>
  <c r="R8" i="24"/>
  <c r="S8" i="24"/>
  <c r="T8" i="24"/>
  <c r="U8" i="24"/>
  <c r="V8" i="24"/>
  <c r="AA8" i="24"/>
  <c r="W8" i="24" s="1"/>
  <c r="AB8" i="24"/>
  <c r="AC8" i="24"/>
  <c r="AD8" i="24"/>
  <c r="AE8" i="24"/>
  <c r="AF8" i="24"/>
  <c r="X8" i="24" s="1"/>
  <c r="AG8" i="24"/>
  <c r="AH8" i="24"/>
  <c r="AL8" i="24"/>
  <c r="AM8" i="24"/>
  <c r="AK8" i="24" s="1"/>
  <c r="AN8" i="24"/>
  <c r="AJ8" i="24" s="1"/>
  <c r="AO8" i="24"/>
  <c r="AP8" i="24"/>
  <c r="AQ8" i="24"/>
  <c r="AI8" i="24" s="1"/>
  <c r="AR8" i="24"/>
  <c r="AS8" i="24"/>
  <c r="AT8" i="24"/>
  <c r="AU8" i="24"/>
  <c r="AV8" i="24"/>
  <c r="AW8" i="24"/>
  <c r="AX8" i="24"/>
  <c r="AY8" i="24"/>
  <c r="AZ8" i="24"/>
  <c r="BA8" i="24"/>
  <c r="BB8" i="24"/>
  <c r="O9" i="24"/>
  <c r="P9" i="24"/>
  <c r="Q9" i="24"/>
  <c r="R9" i="24"/>
  <c r="S9" i="24"/>
  <c r="T9" i="24"/>
  <c r="U9" i="24"/>
  <c r="V9" i="24"/>
  <c r="AA9" i="24"/>
  <c r="W9" i="24" s="1"/>
  <c r="AB9" i="24"/>
  <c r="AC9" i="24"/>
  <c r="AD9" i="24"/>
  <c r="AE9" i="24"/>
  <c r="AF9" i="24"/>
  <c r="X9" i="24" s="1"/>
  <c r="AG9" i="24"/>
  <c r="AH9" i="24"/>
  <c r="AM9" i="24"/>
  <c r="AN9" i="24"/>
  <c r="AJ9" i="24" s="1"/>
  <c r="AO9" i="24"/>
  <c r="AP9" i="24"/>
  <c r="AQ9" i="24"/>
  <c r="AR9" i="24"/>
  <c r="AS9" i="24"/>
  <c r="AT9" i="24"/>
  <c r="AU9" i="24"/>
  <c r="AV9" i="24"/>
  <c r="AW9" i="24"/>
  <c r="AX9" i="24"/>
  <c r="AY9" i="24"/>
  <c r="AI9" i="24" s="1"/>
  <c r="AZ9" i="24"/>
  <c r="BA9" i="24"/>
  <c r="AK9" i="24" s="1"/>
  <c r="BB9" i="24"/>
  <c r="O10" i="24"/>
  <c r="P10" i="24"/>
  <c r="Q10" i="24"/>
  <c r="R10" i="24"/>
  <c r="S10" i="24"/>
  <c r="T10" i="24"/>
  <c r="U10" i="24"/>
  <c r="V10" i="24"/>
  <c r="AA10" i="24"/>
  <c r="W10" i="24" s="1"/>
  <c r="AB10" i="24"/>
  <c r="AC10" i="24"/>
  <c r="AD10" i="24"/>
  <c r="AE10" i="24"/>
  <c r="AF10" i="24"/>
  <c r="AG10" i="24"/>
  <c r="AH10" i="24"/>
  <c r="AL10" i="24"/>
  <c r="AM10" i="24"/>
  <c r="AK10" i="24" s="1"/>
  <c r="AN10" i="24"/>
  <c r="AJ10" i="24" s="1"/>
  <c r="AO10" i="24"/>
  <c r="AP10" i="24"/>
  <c r="AQ10" i="24"/>
  <c r="AI10" i="24" s="1"/>
  <c r="AR10" i="24"/>
  <c r="AS10" i="24"/>
  <c r="AT10" i="24"/>
  <c r="AU10" i="24"/>
  <c r="AV10" i="24"/>
  <c r="AW10" i="24"/>
  <c r="AX10" i="24"/>
  <c r="AY10" i="24"/>
  <c r="AZ10" i="24"/>
  <c r="BA10" i="24"/>
  <c r="BB10" i="24"/>
  <c r="O11" i="24"/>
  <c r="P11" i="24"/>
  <c r="Q11" i="24"/>
  <c r="R11" i="24"/>
  <c r="S11" i="24"/>
  <c r="T11" i="24"/>
  <c r="U11" i="24"/>
  <c r="V11" i="24"/>
  <c r="AA11" i="24"/>
  <c r="W11" i="24" s="1"/>
  <c r="AB11" i="24"/>
  <c r="AC11" i="24"/>
  <c r="AD11" i="24"/>
  <c r="AE11" i="24"/>
  <c r="AF11" i="24"/>
  <c r="X11" i="24" s="1"/>
  <c r="AG11" i="24"/>
  <c r="AH11" i="24"/>
  <c r="AM11" i="24"/>
  <c r="AN11" i="24"/>
  <c r="AJ11" i="24" s="1"/>
  <c r="AO11" i="24"/>
  <c r="AP11" i="24"/>
  <c r="AQ11" i="24"/>
  <c r="AR11" i="24"/>
  <c r="AS11" i="24"/>
  <c r="AT11" i="24"/>
  <c r="AU11" i="24"/>
  <c r="AV11" i="24"/>
  <c r="AW11" i="24"/>
  <c r="AX11" i="24"/>
  <c r="AY11" i="24"/>
  <c r="AI11" i="24" s="1"/>
  <c r="AZ11" i="24"/>
  <c r="BA11" i="24"/>
  <c r="AK11" i="24" s="1"/>
  <c r="BB11" i="24"/>
  <c r="O12" i="24"/>
  <c r="P12" i="24"/>
  <c r="Q12" i="24"/>
  <c r="R12" i="24"/>
  <c r="S12" i="24"/>
  <c r="T12" i="24"/>
  <c r="U12" i="24"/>
  <c r="V12" i="24"/>
  <c r="AA12" i="24"/>
  <c r="W12" i="24" s="1"/>
  <c r="AB12" i="24"/>
  <c r="AC12" i="24"/>
  <c r="AD12" i="24"/>
  <c r="AE12" i="24"/>
  <c r="AF12" i="24"/>
  <c r="AG12" i="24"/>
  <c r="AH12" i="24"/>
  <c r="AL12" i="24"/>
  <c r="AM12" i="24"/>
  <c r="AK12" i="24" s="1"/>
  <c r="AN12" i="24"/>
  <c r="AJ12" i="24" s="1"/>
  <c r="AO12" i="24"/>
  <c r="AP12" i="24"/>
  <c r="AQ12" i="24"/>
  <c r="AI12" i="24" s="1"/>
  <c r="AR12" i="24"/>
  <c r="AS12" i="24"/>
  <c r="AT12" i="24"/>
  <c r="AU12" i="24"/>
  <c r="AV12" i="24"/>
  <c r="AW12" i="24"/>
  <c r="AX12" i="24"/>
  <c r="AY12" i="24"/>
  <c r="AZ12" i="24"/>
  <c r="BA12" i="24"/>
  <c r="BB12" i="24"/>
  <c r="P13" i="24"/>
  <c r="Q13" i="24"/>
  <c r="R13" i="24"/>
  <c r="S13" i="24"/>
  <c r="T13" i="24"/>
  <c r="U13" i="24"/>
  <c r="V13" i="24"/>
  <c r="V14" i="24" s="1"/>
  <c r="V15" i="24" s="1"/>
  <c r="V16" i="24" s="1"/>
  <c r="V17" i="24" s="1"/>
  <c r="V18" i="24" s="1"/>
  <c r="V19" i="24" s="1"/>
  <c r="V20" i="24" s="1"/>
  <c r="AA13" i="24"/>
  <c r="AB13" i="24"/>
  <c r="X13" i="24" s="1"/>
  <c r="AC13" i="24"/>
  <c r="AE13" i="24"/>
  <c r="W13" i="24" s="1"/>
  <c r="AF13" i="24"/>
  <c r="AG13" i="24"/>
  <c r="AH13" i="24"/>
  <c r="AM13" i="24"/>
  <c r="AN13" i="24"/>
  <c r="AK13" i="24" s="1"/>
  <c r="AO13" i="24"/>
  <c r="AP13" i="24"/>
  <c r="AQ13" i="24"/>
  <c r="AR13" i="24"/>
  <c r="AJ13" i="24" s="1"/>
  <c r="AS13" i="24"/>
  <c r="AU13" i="24"/>
  <c r="AI13" i="24" s="1"/>
  <c r="AV13" i="24"/>
  <c r="AW13" i="24"/>
  <c r="AX13" i="24"/>
  <c r="AY13" i="24"/>
  <c r="AZ13" i="24"/>
  <c r="BA13" i="24"/>
  <c r="BB13" i="24"/>
  <c r="BB14" i="24" s="1"/>
  <c r="BB15" i="24" s="1"/>
  <c r="BB16" i="24" s="1"/>
  <c r="BB17" i="24" s="1"/>
  <c r="BB18" i="24" s="1"/>
  <c r="BB19" i="24" s="1"/>
  <c r="BB20" i="24" s="1"/>
  <c r="P14" i="24"/>
  <c r="Q14" i="24"/>
  <c r="R14" i="24"/>
  <c r="S14" i="24"/>
  <c r="T14" i="24"/>
  <c r="U14" i="24"/>
  <c r="U15" i="24" s="1"/>
  <c r="U16" i="24" s="1"/>
  <c r="U17" i="24" s="1"/>
  <c r="U18" i="24" s="1"/>
  <c r="U19" i="24" s="1"/>
  <c r="U20" i="24" s="1"/>
  <c r="X14" i="24"/>
  <c r="Y14" i="24"/>
  <c r="AA14" i="24"/>
  <c r="W14" i="24" s="1"/>
  <c r="AB14" i="24"/>
  <c r="Z14" i="24" s="1"/>
  <c r="AC14" i="24"/>
  <c r="AE14" i="24"/>
  <c r="AF14" i="24"/>
  <c r="AG14" i="24"/>
  <c r="AH14" i="24"/>
  <c r="AM14" i="24"/>
  <c r="AN14" i="24"/>
  <c r="AJ14" i="24" s="1"/>
  <c r="AO14" i="24"/>
  <c r="AO15" i="24" s="1"/>
  <c r="AP14" i="24"/>
  <c r="AQ14" i="24"/>
  <c r="AI14" i="24" s="1"/>
  <c r="AR14" i="24"/>
  <c r="AS14" i="24"/>
  <c r="AU14" i="24"/>
  <c r="AV14" i="24"/>
  <c r="AW14" i="24"/>
  <c r="AX14" i="24"/>
  <c r="AY14" i="24"/>
  <c r="AZ14" i="24"/>
  <c r="BA14" i="24"/>
  <c r="BA15" i="24" s="1"/>
  <c r="BA16" i="24" s="1"/>
  <c r="BA17" i="24" s="1"/>
  <c r="BA18" i="24" s="1"/>
  <c r="BA19" i="24" s="1"/>
  <c r="BA20" i="24" s="1"/>
  <c r="P15" i="24"/>
  <c r="Q15" i="24"/>
  <c r="Q16" i="24" s="1"/>
  <c r="Q17" i="24" s="1"/>
  <c r="Q18" i="24" s="1"/>
  <c r="Q19" i="24" s="1"/>
  <c r="Q20" i="24" s="1"/>
  <c r="R15" i="24"/>
  <c r="R16" i="24" s="1"/>
  <c r="R17" i="24" s="1"/>
  <c r="R18" i="24" s="1"/>
  <c r="R19" i="24" s="1"/>
  <c r="R20" i="24" s="1"/>
  <c r="S15" i="24"/>
  <c r="T15" i="24"/>
  <c r="AA15" i="24"/>
  <c r="W15" i="24" s="1"/>
  <c r="AB15" i="24"/>
  <c r="X15" i="24" s="1"/>
  <c r="AC15" i="24"/>
  <c r="AC16" i="24" s="1"/>
  <c r="AC17" i="24" s="1"/>
  <c r="AC18" i="24" s="1"/>
  <c r="AC19" i="24" s="1"/>
  <c r="AE15" i="24"/>
  <c r="AF15" i="24"/>
  <c r="AG15" i="24"/>
  <c r="AG16" i="24" s="1"/>
  <c r="AG17" i="24" s="1"/>
  <c r="AG18" i="24" s="1"/>
  <c r="AG19" i="24" s="1"/>
  <c r="AG20" i="24" s="1"/>
  <c r="AH15" i="24"/>
  <c r="AH16" i="24" s="1"/>
  <c r="AH17" i="24" s="1"/>
  <c r="AH18" i="24" s="1"/>
  <c r="AH19" i="24" s="1"/>
  <c r="AH20" i="24" s="1"/>
  <c r="AM15" i="24"/>
  <c r="AN15" i="24"/>
  <c r="AP15" i="24"/>
  <c r="AQ15" i="24"/>
  <c r="AI15" i="24" s="1"/>
  <c r="AR15" i="24"/>
  <c r="AJ15" i="24" s="1"/>
  <c r="AS15" i="24"/>
  <c r="AS16" i="24" s="1"/>
  <c r="AS17" i="24" s="1"/>
  <c r="AS18" i="24" s="1"/>
  <c r="AS19" i="24" s="1"/>
  <c r="AS20" i="24" s="1"/>
  <c r="AU15" i="24"/>
  <c r="AV15" i="24"/>
  <c r="AW15" i="24"/>
  <c r="AW16" i="24" s="1"/>
  <c r="AW17" i="24" s="1"/>
  <c r="AW18" i="24" s="1"/>
  <c r="AW19" i="24" s="1"/>
  <c r="AW20" i="24" s="1"/>
  <c r="AX15" i="24"/>
  <c r="AX16" i="24" s="1"/>
  <c r="AX17" i="24" s="1"/>
  <c r="AX18" i="24" s="1"/>
  <c r="AX19" i="24" s="1"/>
  <c r="AX20" i="24" s="1"/>
  <c r="AY15" i="24"/>
  <c r="AZ15" i="24"/>
  <c r="P16" i="24"/>
  <c r="S16" i="24"/>
  <c r="T16" i="24"/>
  <c r="AA16" i="24"/>
  <c r="W16" i="24" s="1"/>
  <c r="AB16" i="24"/>
  <c r="X16" i="24" s="1"/>
  <c r="AE16" i="24"/>
  <c r="AF16" i="24"/>
  <c r="AM16" i="24"/>
  <c r="AI16" i="24" s="1"/>
  <c r="AN16" i="24"/>
  <c r="AP16" i="24"/>
  <c r="AP17" i="24" s="1"/>
  <c r="AP18" i="24" s="1"/>
  <c r="AP19" i="24" s="1"/>
  <c r="AQ16" i="24"/>
  <c r="AR16" i="24"/>
  <c r="AU16" i="24"/>
  <c r="AV16" i="24"/>
  <c r="AY16" i="24"/>
  <c r="AZ16" i="24"/>
  <c r="P17" i="24"/>
  <c r="S17" i="24"/>
  <c r="T17" i="24"/>
  <c r="AA17" i="24"/>
  <c r="W17" i="24" s="1"/>
  <c r="AB17" i="24"/>
  <c r="AE17" i="24"/>
  <c r="AF17" i="24"/>
  <c r="X17" i="24" s="1"/>
  <c r="AM17" i="24"/>
  <c r="AN17" i="24"/>
  <c r="AQ17" i="24"/>
  <c r="AR17" i="24"/>
  <c r="AU17" i="24"/>
  <c r="AV17" i="24"/>
  <c r="AJ17" i="24" s="1"/>
  <c r="AY17" i="24"/>
  <c r="AI17" i="24" s="1"/>
  <c r="AZ17" i="24"/>
  <c r="P18" i="24"/>
  <c r="S18" i="24"/>
  <c r="T18" i="24"/>
  <c r="AA18" i="24"/>
  <c r="W18" i="24" s="1"/>
  <c r="AB18" i="24"/>
  <c r="X18" i="24" s="1"/>
  <c r="AE18" i="24"/>
  <c r="AF18" i="24"/>
  <c r="AM18" i="24"/>
  <c r="AI18" i="24" s="1"/>
  <c r="AN18" i="24"/>
  <c r="AQ18" i="24"/>
  <c r="AR18" i="24"/>
  <c r="AJ18" i="24" s="1"/>
  <c r="AU18" i="24"/>
  <c r="AV18" i="24"/>
  <c r="AY18" i="24"/>
  <c r="AZ18" i="24"/>
  <c r="P19" i="24"/>
  <c r="S19" i="24"/>
  <c r="T19" i="24"/>
  <c r="AA19" i="24"/>
  <c r="W19" i="24" s="1"/>
  <c r="AB19" i="24"/>
  <c r="AE19" i="24"/>
  <c r="AF19" i="24"/>
  <c r="AM19" i="24"/>
  <c r="AI19" i="24" s="1"/>
  <c r="AN19" i="24"/>
  <c r="AQ19" i="24"/>
  <c r="AR19" i="24"/>
  <c r="AU19" i="24"/>
  <c r="AV19" i="24"/>
  <c r="AJ19" i="24" s="1"/>
  <c r="AY19" i="24"/>
  <c r="AZ19" i="24"/>
  <c r="P20" i="24"/>
  <c r="S20" i="24"/>
  <c r="T20" i="24"/>
  <c r="AA20" i="24"/>
  <c r="W20" i="24" s="1"/>
  <c r="AB20" i="24"/>
  <c r="AE20" i="24"/>
  <c r="AF20" i="24"/>
  <c r="AM20" i="24"/>
  <c r="AJ20" i="24" s="1"/>
  <c r="AN20" i="24"/>
  <c r="AQ20" i="24"/>
  <c r="AI20" i="24" s="1"/>
  <c r="AR20" i="24"/>
  <c r="AU20" i="24"/>
  <c r="AV20" i="24"/>
  <c r="AY20" i="24"/>
  <c r="AZ20" i="24"/>
  <c r="O4" i="23"/>
  <c r="P4" i="23"/>
  <c r="Q4" i="23"/>
  <c r="R4" i="23"/>
  <c r="S4" i="23"/>
  <c r="T4" i="23"/>
  <c r="U4" i="23"/>
  <c r="V4" i="23"/>
  <c r="W4" i="23"/>
  <c r="O5" i="23"/>
  <c r="P5" i="23"/>
  <c r="Q5" i="23"/>
  <c r="R5" i="23"/>
  <c r="S5" i="23"/>
  <c r="T5" i="23"/>
  <c r="U5" i="23"/>
  <c r="V5" i="23"/>
  <c r="W5" i="23"/>
  <c r="O6" i="23"/>
  <c r="P6" i="23"/>
  <c r="Q6" i="23"/>
  <c r="R6" i="23"/>
  <c r="S6" i="23"/>
  <c r="T6" i="23"/>
  <c r="U6" i="23"/>
  <c r="V6" i="23"/>
  <c r="W6" i="23"/>
  <c r="O7" i="23"/>
  <c r="P7" i="23"/>
  <c r="Q7" i="23"/>
  <c r="R7" i="23"/>
  <c r="S7" i="23"/>
  <c r="T7" i="23"/>
  <c r="U7" i="23"/>
  <c r="V7" i="23"/>
  <c r="W7" i="23"/>
  <c r="O8" i="23"/>
  <c r="P8" i="23"/>
  <c r="Q8" i="23"/>
  <c r="R8" i="23"/>
  <c r="S8" i="23"/>
  <c r="T8" i="23"/>
  <c r="U8" i="23"/>
  <c r="V8" i="23"/>
  <c r="W8" i="23"/>
  <c r="O9" i="23"/>
  <c r="P9" i="23"/>
  <c r="Q9" i="23"/>
  <c r="R9" i="23"/>
  <c r="S9" i="23"/>
  <c r="T9" i="23"/>
  <c r="U9" i="23"/>
  <c r="V9" i="23"/>
  <c r="W9" i="23"/>
  <c r="O10" i="23"/>
  <c r="P10" i="23"/>
  <c r="Q10" i="23"/>
  <c r="R10" i="23"/>
  <c r="S10" i="23"/>
  <c r="T10" i="23"/>
  <c r="U10" i="23"/>
  <c r="V10" i="23"/>
  <c r="W10" i="23"/>
  <c r="O12" i="23"/>
  <c r="P12" i="23"/>
  <c r="Q12" i="23"/>
  <c r="R12" i="23"/>
  <c r="S12" i="23"/>
  <c r="T12" i="23"/>
  <c r="U12" i="23"/>
  <c r="V12" i="23"/>
  <c r="W12" i="23"/>
  <c r="O13" i="23"/>
  <c r="P13" i="23"/>
  <c r="Q13" i="23"/>
  <c r="R13" i="23"/>
  <c r="S13" i="23"/>
  <c r="T13" i="23"/>
  <c r="U13" i="23"/>
  <c r="V13" i="23"/>
  <c r="W13" i="23"/>
  <c r="O14" i="23"/>
  <c r="P14" i="23"/>
  <c r="Q14" i="23"/>
  <c r="R14" i="23"/>
  <c r="S14" i="23"/>
  <c r="T14" i="23"/>
  <c r="U14" i="23"/>
  <c r="V14" i="23"/>
  <c r="W14" i="23"/>
  <c r="O15" i="23"/>
  <c r="P15" i="23"/>
  <c r="Q15" i="23"/>
  <c r="R15" i="23"/>
  <c r="S15" i="23"/>
  <c r="T15" i="23"/>
  <c r="U15" i="23"/>
  <c r="V15" i="23"/>
  <c r="W15" i="23"/>
  <c r="O16" i="23"/>
  <c r="P16" i="23"/>
  <c r="Q16" i="23"/>
  <c r="R16" i="23"/>
  <c r="S16" i="23"/>
  <c r="T16" i="23"/>
  <c r="U16" i="23"/>
  <c r="V16" i="23"/>
  <c r="W16" i="23"/>
  <c r="O17" i="23"/>
  <c r="P17" i="23"/>
  <c r="Q17" i="23"/>
  <c r="R17" i="23"/>
  <c r="S17" i="23"/>
  <c r="T17" i="23"/>
  <c r="U17" i="23"/>
  <c r="V17" i="23"/>
  <c r="W17" i="23"/>
  <c r="O18" i="23"/>
  <c r="P18" i="23"/>
  <c r="Q18" i="23"/>
  <c r="R18" i="23"/>
  <c r="S18" i="23"/>
  <c r="T18" i="23"/>
  <c r="U18" i="23"/>
  <c r="V18" i="23"/>
  <c r="W18" i="23"/>
  <c r="O20" i="23"/>
  <c r="P20" i="23"/>
  <c r="Q20" i="23"/>
  <c r="R20" i="23"/>
  <c r="S20" i="23"/>
  <c r="T20" i="23"/>
  <c r="U20" i="23"/>
  <c r="V20" i="23"/>
  <c r="W20" i="23"/>
  <c r="O21" i="23"/>
  <c r="P21" i="23"/>
  <c r="Q21" i="23"/>
  <c r="R21" i="23"/>
  <c r="S21" i="23"/>
  <c r="T21" i="23"/>
  <c r="U21" i="23"/>
  <c r="V21" i="23"/>
  <c r="W21" i="23"/>
  <c r="O22" i="23"/>
  <c r="P22" i="23"/>
  <c r="Q22" i="23"/>
  <c r="R22" i="23"/>
  <c r="S22" i="23"/>
  <c r="T22" i="23"/>
  <c r="U22" i="23"/>
  <c r="V22" i="23"/>
  <c r="W22" i="23"/>
  <c r="O23" i="23"/>
  <c r="P23" i="23"/>
  <c r="Q23" i="23"/>
  <c r="R23" i="23"/>
  <c r="S23" i="23"/>
  <c r="T23" i="23"/>
  <c r="U23" i="23"/>
  <c r="V23" i="23"/>
  <c r="W23" i="23"/>
  <c r="O24" i="23"/>
  <c r="P24" i="23"/>
  <c r="Q24" i="23"/>
  <c r="R24" i="23"/>
  <c r="S24" i="23"/>
  <c r="T24" i="23"/>
  <c r="U24" i="23"/>
  <c r="V24" i="23"/>
  <c r="W24" i="23"/>
  <c r="O25" i="23"/>
  <c r="P25" i="23"/>
  <c r="Q25" i="23"/>
  <c r="R25" i="23"/>
  <c r="S25" i="23"/>
  <c r="T25" i="23"/>
  <c r="U25" i="23"/>
  <c r="V25" i="23"/>
  <c r="W25" i="23"/>
  <c r="O26" i="23"/>
  <c r="P26" i="23"/>
  <c r="Q26" i="23"/>
  <c r="R26" i="23"/>
  <c r="S26" i="23"/>
  <c r="T26" i="23"/>
  <c r="U26" i="23"/>
  <c r="V26" i="23"/>
  <c r="W26" i="23"/>
  <c r="O28" i="23"/>
  <c r="P28" i="23"/>
  <c r="Q28" i="23"/>
  <c r="R28" i="23"/>
  <c r="S28" i="23"/>
  <c r="T28" i="23"/>
  <c r="U28" i="23"/>
  <c r="V28" i="23"/>
  <c r="W28" i="23"/>
  <c r="O29" i="23"/>
  <c r="P29" i="23"/>
  <c r="Q29" i="23"/>
  <c r="R29" i="23"/>
  <c r="S29" i="23"/>
  <c r="T29" i="23"/>
  <c r="U29" i="23"/>
  <c r="V29" i="23"/>
  <c r="W29" i="23"/>
  <c r="O30" i="23"/>
  <c r="P30" i="23"/>
  <c r="Q30" i="23"/>
  <c r="R30" i="23"/>
  <c r="S30" i="23"/>
  <c r="T30" i="23"/>
  <c r="U30" i="23"/>
  <c r="V30" i="23"/>
  <c r="W30" i="23"/>
  <c r="O31" i="23"/>
  <c r="P31" i="23"/>
  <c r="Q31" i="23"/>
  <c r="R31" i="23"/>
  <c r="S31" i="23"/>
  <c r="T31" i="23"/>
  <c r="U31" i="23"/>
  <c r="V31" i="23"/>
  <c r="W31" i="23"/>
  <c r="O32" i="23"/>
  <c r="P32" i="23"/>
  <c r="Q32" i="23"/>
  <c r="R32" i="23"/>
  <c r="S32" i="23"/>
  <c r="T32" i="23"/>
  <c r="U32" i="23"/>
  <c r="V32" i="23"/>
  <c r="W32" i="23"/>
  <c r="O33" i="23"/>
  <c r="P33" i="23"/>
  <c r="Q33" i="23"/>
  <c r="R33" i="23"/>
  <c r="S33" i="23"/>
  <c r="T33" i="23"/>
  <c r="U33" i="23"/>
  <c r="V33" i="23"/>
  <c r="W33" i="23"/>
  <c r="O34" i="23"/>
  <c r="P34" i="23"/>
  <c r="Q34" i="23"/>
  <c r="R34" i="23"/>
  <c r="S34" i="23"/>
  <c r="T34" i="23"/>
  <c r="U34" i="23"/>
  <c r="V34" i="23"/>
  <c r="W34" i="23"/>
  <c r="D2" i="22"/>
  <c r="D3" i="22"/>
  <c r="S3" i="22"/>
  <c r="V3" i="22"/>
  <c r="D4" i="22"/>
  <c r="S4" i="22"/>
  <c r="V4" i="22"/>
  <c r="D5" i="22"/>
  <c r="S5" i="22"/>
  <c r="H2" i="22" s="1"/>
  <c r="V5" i="22"/>
  <c r="D6" i="22"/>
  <c r="S6" i="22"/>
  <c r="V6" i="22"/>
  <c r="D7" i="22"/>
  <c r="S7" i="22"/>
  <c r="V7" i="22"/>
  <c r="D8" i="22"/>
  <c r="S8" i="22"/>
  <c r="V8" i="22"/>
  <c r="D9" i="22"/>
  <c r="S9" i="22"/>
  <c r="V9" i="22"/>
  <c r="D10" i="22"/>
  <c r="H10" i="22"/>
  <c r="I10" i="22"/>
  <c r="S10" i="22"/>
  <c r="V10" i="22"/>
  <c r="D11" i="22"/>
  <c r="H11" i="22"/>
  <c r="I11" i="22"/>
  <c r="S11" i="22"/>
  <c r="V11" i="22"/>
  <c r="D12" i="22"/>
  <c r="H12" i="22"/>
  <c r="I12" i="22"/>
  <c r="S12" i="22"/>
  <c r="H9" i="22" s="1"/>
  <c r="V12" i="22"/>
  <c r="D13" i="22"/>
  <c r="H13" i="22"/>
  <c r="I13" i="22"/>
  <c r="S13" i="22"/>
  <c r="V13" i="22"/>
  <c r="D14" i="22"/>
  <c r="H14" i="22"/>
  <c r="I14" i="22"/>
  <c r="S14" i="22"/>
  <c r="V14" i="22"/>
  <c r="D15" i="22"/>
  <c r="H15" i="22"/>
  <c r="I15" i="22"/>
  <c r="S15" i="22"/>
  <c r="V15" i="22"/>
  <c r="D16" i="22"/>
  <c r="H16" i="22"/>
  <c r="I16" i="22"/>
  <c r="S16" i="22"/>
  <c r="V16" i="22"/>
  <c r="D17" i="22"/>
  <c r="H17" i="22"/>
  <c r="I17" i="22"/>
  <c r="S17" i="22"/>
  <c r="V17" i="22"/>
  <c r="D18" i="22"/>
  <c r="H18" i="22"/>
  <c r="I18" i="22"/>
  <c r="S18" i="22"/>
  <c r="V18" i="22"/>
  <c r="D19" i="22"/>
  <c r="H19" i="22"/>
  <c r="I19" i="22"/>
  <c r="S19" i="22"/>
  <c r="V19" i="22"/>
  <c r="D20" i="22"/>
  <c r="H20" i="22"/>
  <c r="I20" i="22"/>
  <c r="S20" i="22"/>
  <c r="V20" i="22"/>
  <c r="D21" i="22"/>
  <c r="H21" i="22"/>
  <c r="I21" i="22"/>
  <c r="S21" i="22"/>
  <c r="V21" i="22"/>
  <c r="D22" i="22"/>
  <c r="H22" i="22"/>
  <c r="I22" i="22"/>
  <c r="S22" i="22"/>
  <c r="V22" i="22"/>
  <c r="D23" i="22"/>
  <c r="H23" i="22"/>
  <c r="I23" i="22"/>
  <c r="S23" i="22"/>
  <c r="H52" i="22" s="1"/>
  <c r="V23" i="22"/>
  <c r="D24" i="22"/>
  <c r="H24" i="22"/>
  <c r="I24" i="22"/>
  <c r="S24" i="22"/>
  <c r="V24" i="22"/>
  <c r="D25" i="22"/>
  <c r="H25" i="22"/>
  <c r="I25" i="22"/>
  <c r="S25" i="22"/>
  <c r="V25" i="22"/>
  <c r="D26" i="22"/>
  <c r="H26" i="22"/>
  <c r="I26" i="22"/>
  <c r="S26" i="22"/>
  <c r="V26" i="22"/>
  <c r="D27" i="22"/>
  <c r="H27" i="22"/>
  <c r="I27" i="22"/>
  <c r="S27" i="22"/>
  <c r="V27" i="22"/>
  <c r="D28" i="22"/>
  <c r="H28" i="22"/>
  <c r="I28" i="22"/>
  <c r="S28" i="22"/>
  <c r="I50" i="22" s="1"/>
  <c r="V28" i="22"/>
  <c r="D29" i="22"/>
  <c r="H29" i="22"/>
  <c r="I29" i="22"/>
  <c r="S29" i="22"/>
  <c r="V29" i="22"/>
  <c r="D30" i="22"/>
  <c r="H30" i="22"/>
  <c r="I30" i="22"/>
  <c r="S30" i="22"/>
  <c r="V30" i="22"/>
  <c r="D31" i="22"/>
  <c r="H31" i="22"/>
  <c r="I31" i="22"/>
  <c r="S31" i="22"/>
  <c r="H299" i="22" s="1"/>
  <c r="V31" i="22"/>
  <c r="D32" i="22"/>
  <c r="H32" i="22"/>
  <c r="I32" i="22"/>
  <c r="S32" i="22"/>
  <c r="V32" i="22"/>
  <c r="D33" i="22"/>
  <c r="H33" i="22"/>
  <c r="I33" i="22"/>
  <c r="S33" i="22"/>
  <c r="V33" i="22"/>
  <c r="D34" i="22"/>
  <c r="H34" i="22"/>
  <c r="I34" i="22"/>
  <c r="S34" i="22"/>
  <c r="V34" i="22"/>
  <c r="D35" i="22"/>
  <c r="H35" i="22"/>
  <c r="I35" i="22"/>
  <c r="S35" i="22"/>
  <c r="V35" i="22"/>
  <c r="D36" i="22"/>
  <c r="H36" i="22"/>
  <c r="I36" i="22"/>
  <c r="S36" i="22"/>
  <c r="V36" i="22"/>
  <c r="D37" i="22"/>
  <c r="H37" i="22"/>
  <c r="I37" i="22"/>
  <c r="S37" i="22"/>
  <c r="V37" i="22"/>
  <c r="D38" i="22"/>
  <c r="H38" i="22"/>
  <c r="I38" i="22"/>
  <c r="S38" i="22"/>
  <c r="V38" i="22"/>
  <c r="D39" i="22"/>
  <c r="H39" i="22"/>
  <c r="I39" i="22"/>
  <c r="S39" i="22"/>
  <c r="V39" i="22"/>
  <c r="D40" i="22"/>
  <c r="H40" i="22"/>
  <c r="I40" i="22"/>
  <c r="S40" i="22"/>
  <c r="V40" i="22"/>
  <c r="D41" i="22"/>
  <c r="H41" i="22"/>
  <c r="I41" i="22"/>
  <c r="S41" i="22"/>
  <c r="V41" i="22"/>
  <c r="D42" i="22"/>
  <c r="H42" i="22"/>
  <c r="I42" i="22"/>
  <c r="S42" i="22"/>
  <c r="V42" i="22"/>
  <c r="D43" i="22"/>
  <c r="H43" i="22"/>
  <c r="I43" i="22"/>
  <c r="S43" i="22"/>
  <c r="V43" i="22"/>
  <c r="D44" i="22"/>
  <c r="H44" i="22"/>
  <c r="I44" i="22"/>
  <c r="S44" i="22"/>
  <c r="V44" i="22"/>
  <c r="D45" i="22"/>
  <c r="H45" i="22"/>
  <c r="I45" i="22"/>
  <c r="S45" i="22"/>
  <c r="V45" i="22"/>
  <c r="D46" i="22"/>
  <c r="H46" i="22"/>
  <c r="I46" i="22"/>
  <c r="S46" i="22"/>
  <c r="V46" i="22"/>
  <c r="D47" i="22"/>
  <c r="H47" i="22"/>
  <c r="I47" i="22"/>
  <c r="S47" i="22"/>
  <c r="H1067" i="22" s="1"/>
  <c r="V47" i="22"/>
  <c r="D48" i="22"/>
  <c r="H48" i="22"/>
  <c r="I48" i="22"/>
  <c r="S48" i="22"/>
  <c r="V48" i="22"/>
  <c r="D49" i="22"/>
  <c r="H49" i="22"/>
  <c r="I49" i="22"/>
  <c r="S49" i="22"/>
  <c r="V49" i="22"/>
  <c r="D50" i="22"/>
  <c r="S50" i="22"/>
  <c r="V50" i="22"/>
  <c r="D51" i="22"/>
  <c r="S51" i="22"/>
  <c r="V51" i="22"/>
  <c r="D52" i="22"/>
  <c r="S52" i="22"/>
  <c r="V52" i="22"/>
  <c r="D53" i="22"/>
  <c r="S53" i="22"/>
  <c r="V53" i="22"/>
  <c r="D54" i="22"/>
  <c r="S54" i="22"/>
  <c r="V54" i="22"/>
  <c r="D55" i="22"/>
  <c r="S55" i="22"/>
  <c r="V55" i="22"/>
  <c r="D56" i="22"/>
  <c r="S56" i="22"/>
  <c r="V56" i="22"/>
  <c r="D57" i="22"/>
  <c r="H57" i="22"/>
  <c r="S57" i="22"/>
  <c r="V57" i="22"/>
  <c r="D58" i="22"/>
  <c r="S58" i="22"/>
  <c r="V58" i="22"/>
  <c r="D59" i="22"/>
  <c r="H59" i="22"/>
  <c r="S59" i="22"/>
  <c r="V59" i="22"/>
  <c r="D60" i="22"/>
  <c r="I60" i="22"/>
  <c r="S60" i="22"/>
  <c r="V60" i="22"/>
  <c r="D61" i="22"/>
  <c r="S61" i="22"/>
  <c r="V61" i="22"/>
  <c r="D62" i="22"/>
  <c r="I62" i="22"/>
  <c r="S62" i="22"/>
  <c r="V62" i="22"/>
  <c r="D63" i="22"/>
  <c r="S63" i="22"/>
  <c r="I1136" i="22" s="1"/>
  <c r="V63" i="22"/>
  <c r="D64" i="22"/>
  <c r="S64" i="22"/>
  <c r="V64" i="22"/>
  <c r="D65" i="22"/>
  <c r="S65" i="22"/>
  <c r="I1067" i="22" s="1"/>
  <c r="V65" i="22"/>
  <c r="D66" i="22"/>
  <c r="S66" i="22"/>
  <c r="V66" i="22"/>
  <c r="D67" i="22"/>
  <c r="S67" i="22"/>
  <c r="V67" i="22"/>
  <c r="D68" i="22"/>
  <c r="S68" i="22"/>
  <c r="V68" i="22"/>
  <c r="D69" i="22"/>
  <c r="D70" i="22"/>
  <c r="I70" i="22"/>
  <c r="D71" i="22"/>
  <c r="D72" i="22"/>
  <c r="D73" i="22"/>
  <c r="D74" i="22"/>
  <c r="D75" i="22"/>
  <c r="D76" i="22"/>
  <c r="D77" i="22"/>
  <c r="D78" i="22"/>
  <c r="D79" i="22"/>
  <c r="H79" i="22"/>
  <c r="D80" i="22"/>
  <c r="D81" i="22"/>
  <c r="H81" i="22"/>
  <c r="D82" i="22"/>
  <c r="D83" i="22"/>
  <c r="D84" i="22"/>
  <c r="H84" i="22"/>
  <c r="I84" i="22"/>
  <c r="D85" i="22"/>
  <c r="D86" i="22"/>
  <c r="H86" i="22"/>
  <c r="I86" i="22"/>
  <c r="D87" i="22"/>
  <c r="H87" i="22"/>
  <c r="I87" i="22"/>
  <c r="D88" i="22"/>
  <c r="H88" i="22"/>
  <c r="D89" i="22"/>
  <c r="H89" i="22"/>
  <c r="I89" i="22"/>
  <c r="D90" i="22"/>
  <c r="H90" i="22"/>
  <c r="D91" i="22"/>
  <c r="I91" i="22"/>
  <c r="D92" i="22"/>
  <c r="H92" i="22"/>
  <c r="I92" i="22"/>
  <c r="D93" i="22"/>
  <c r="H93" i="22"/>
  <c r="I93" i="22"/>
  <c r="D94" i="22"/>
  <c r="I94" i="22"/>
  <c r="D95" i="22"/>
  <c r="H95" i="22"/>
  <c r="I95" i="22"/>
  <c r="D96" i="22"/>
  <c r="H96" i="22"/>
  <c r="D97" i="22"/>
  <c r="H97" i="22"/>
  <c r="I97" i="22"/>
  <c r="D98" i="22"/>
  <c r="H98" i="22"/>
  <c r="I98" i="22"/>
  <c r="D99" i="22"/>
  <c r="D100" i="22"/>
  <c r="H100" i="22"/>
  <c r="I100" i="22"/>
  <c r="D101" i="22"/>
  <c r="I101" i="22"/>
  <c r="D102" i="22"/>
  <c r="H102" i="22"/>
  <c r="I102" i="22"/>
  <c r="D103" i="22"/>
  <c r="H103" i="22"/>
  <c r="I103" i="22"/>
  <c r="D104" i="22"/>
  <c r="H104" i="22"/>
  <c r="D105" i="22"/>
  <c r="H105" i="22"/>
  <c r="I105" i="22"/>
  <c r="D106" i="22"/>
  <c r="H106" i="22"/>
  <c r="D107" i="22"/>
  <c r="I107" i="22"/>
  <c r="D108" i="22"/>
  <c r="H108" i="22"/>
  <c r="I108" i="22"/>
  <c r="D109" i="22"/>
  <c r="H109" i="22"/>
  <c r="I109" i="22"/>
  <c r="D110" i="22"/>
  <c r="I110" i="22"/>
  <c r="D111" i="22"/>
  <c r="H111" i="22"/>
  <c r="D112" i="22"/>
  <c r="D113" i="22"/>
  <c r="H113" i="22"/>
  <c r="D114" i="22"/>
  <c r="D115" i="22"/>
  <c r="D116" i="22"/>
  <c r="I116" i="22"/>
  <c r="D117" i="22"/>
  <c r="D118" i="22"/>
  <c r="I118" i="22"/>
  <c r="D119" i="22"/>
  <c r="D120" i="22"/>
  <c r="D121" i="22"/>
  <c r="D122" i="22"/>
  <c r="D123" i="22"/>
  <c r="D124" i="22"/>
  <c r="D125" i="22"/>
  <c r="D126" i="22"/>
  <c r="D127" i="22"/>
  <c r="H127" i="22"/>
  <c r="D128" i="22"/>
  <c r="D129" i="22"/>
  <c r="H129" i="22"/>
  <c r="D130" i="22"/>
  <c r="D131" i="22"/>
  <c r="D132" i="22"/>
  <c r="I132" i="22"/>
  <c r="D133" i="22"/>
  <c r="D134" i="22"/>
  <c r="I134" i="22"/>
  <c r="D135" i="22"/>
  <c r="D136" i="22"/>
  <c r="D137" i="22"/>
  <c r="D138" i="22"/>
  <c r="D139" i="22"/>
  <c r="D140" i="22"/>
  <c r="D141" i="22"/>
  <c r="D142" i="22"/>
  <c r="D143" i="22"/>
  <c r="H143" i="22"/>
  <c r="D144" i="22"/>
  <c r="D145" i="22"/>
  <c r="H145" i="22"/>
  <c r="I145" i="22"/>
  <c r="D146" i="22"/>
  <c r="D147" i="22"/>
  <c r="D148" i="22"/>
  <c r="I148" i="22"/>
  <c r="D149" i="22"/>
  <c r="D150" i="22"/>
  <c r="I150" i="22"/>
  <c r="D151" i="22"/>
  <c r="D152" i="22"/>
  <c r="D153" i="22"/>
  <c r="D154" i="22"/>
  <c r="D155" i="22"/>
  <c r="D156" i="22"/>
  <c r="D157" i="22"/>
  <c r="D158" i="22"/>
  <c r="D159" i="22"/>
  <c r="H159" i="22"/>
  <c r="D160" i="22"/>
  <c r="D161" i="22"/>
  <c r="H161" i="22"/>
  <c r="D162" i="22"/>
  <c r="D163" i="22"/>
  <c r="D164" i="22"/>
  <c r="I164" i="22"/>
  <c r="D165" i="22"/>
  <c r="D166" i="22"/>
  <c r="I166" i="22"/>
  <c r="D167" i="22"/>
  <c r="D168" i="22"/>
  <c r="D169" i="22"/>
  <c r="D170" i="22"/>
  <c r="D171" i="22"/>
  <c r="D172" i="22"/>
  <c r="H172" i="22"/>
  <c r="D173" i="22"/>
  <c r="D174" i="22"/>
  <c r="D175" i="22"/>
  <c r="H175" i="22"/>
  <c r="D176" i="22"/>
  <c r="D177" i="22"/>
  <c r="H177" i="22"/>
  <c r="I177" i="22"/>
  <c r="D178" i="22"/>
  <c r="D179" i="22"/>
  <c r="D180" i="22"/>
  <c r="I180" i="22"/>
  <c r="D181" i="22"/>
  <c r="D182" i="22"/>
  <c r="I182" i="22"/>
  <c r="D183" i="22"/>
  <c r="D184" i="22"/>
  <c r="D185" i="22"/>
  <c r="D186" i="22"/>
  <c r="D187" i="22"/>
  <c r="D188" i="22"/>
  <c r="D189" i="22"/>
  <c r="D190" i="22"/>
  <c r="D191" i="22"/>
  <c r="H191" i="22"/>
  <c r="D192" i="22"/>
  <c r="D193" i="22"/>
  <c r="H193" i="22"/>
  <c r="I193" i="22"/>
  <c r="D194" i="22"/>
  <c r="D195" i="22"/>
  <c r="D196" i="22"/>
  <c r="I196" i="22"/>
  <c r="D197" i="22"/>
  <c r="D198" i="22"/>
  <c r="I198" i="22"/>
  <c r="D199" i="22"/>
  <c r="D200" i="22"/>
  <c r="D201" i="22"/>
  <c r="D202" i="22"/>
  <c r="D203" i="22"/>
  <c r="D204" i="22"/>
  <c r="H204" i="22"/>
  <c r="D205" i="22"/>
  <c r="D206" i="22"/>
  <c r="D207" i="22"/>
  <c r="H207" i="22"/>
  <c r="D208" i="22"/>
  <c r="D209" i="22"/>
  <c r="H209" i="22"/>
  <c r="D210" i="22"/>
  <c r="D211" i="22"/>
  <c r="H211" i="22"/>
  <c r="I211" i="22"/>
  <c r="D212" i="22"/>
  <c r="H212" i="22"/>
  <c r="I212" i="22"/>
  <c r="D213" i="22"/>
  <c r="H213" i="22"/>
  <c r="I213" i="22"/>
  <c r="D214" i="22"/>
  <c r="H214" i="22"/>
  <c r="I214" i="22"/>
  <c r="D215" i="22"/>
  <c r="H215" i="22"/>
  <c r="I215" i="22"/>
  <c r="D216" i="22"/>
  <c r="H216" i="22"/>
  <c r="I216" i="22"/>
  <c r="D217" i="22"/>
  <c r="H217" i="22"/>
  <c r="I217" i="22"/>
  <c r="D218" i="22"/>
  <c r="H218" i="22"/>
  <c r="I218" i="22"/>
  <c r="D219" i="22"/>
  <c r="H219" i="22"/>
  <c r="I219" i="22"/>
  <c r="D220" i="22"/>
  <c r="H220" i="22"/>
  <c r="I220" i="22"/>
  <c r="D221" i="22"/>
  <c r="H221" i="22"/>
  <c r="I221" i="22"/>
  <c r="D222" i="22"/>
  <c r="H222" i="22"/>
  <c r="I222" i="22"/>
  <c r="D223" i="22"/>
  <c r="H223" i="22"/>
  <c r="I223" i="22"/>
  <c r="D224" i="22"/>
  <c r="H224" i="22"/>
  <c r="I224" i="22"/>
  <c r="D225" i="22"/>
  <c r="H225" i="22"/>
  <c r="I225" i="22"/>
  <c r="D226" i="22"/>
  <c r="H226" i="22"/>
  <c r="I226" i="22"/>
  <c r="D227" i="22"/>
  <c r="H227" i="22"/>
  <c r="I227" i="22"/>
  <c r="D228" i="22"/>
  <c r="H228" i="22"/>
  <c r="I228" i="22"/>
  <c r="D229" i="22"/>
  <c r="H229" i="22"/>
  <c r="I229" i="22"/>
  <c r="D230" i="22"/>
  <c r="H230" i="22"/>
  <c r="I230" i="22"/>
  <c r="D231" i="22"/>
  <c r="H231" i="22"/>
  <c r="I231" i="22"/>
  <c r="D232" i="22"/>
  <c r="H232" i="22"/>
  <c r="I232" i="22"/>
  <c r="D233" i="22"/>
  <c r="H233" i="22"/>
  <c r="I233" i="22"/>
  <c r="D234" i="22"/>
  <c r="H234" i="22"/>
  <c r="I234" i="22"/>
  <c r="D235" i="22"/>
  <c r="H235" i="22"/>
  <c r="I235" i="22"/>
  <c r="D236" i="22"/>
  <c r="H236" i="22"/>
  <c r="I236" i="22"/>
  <c r="D237" i="22"/>
  <c r="H237" i="22"/>
  <c r="I237" i="22"/>
  <c r="D238" i="22"/>
  <c r="H238" i="22"/>
  <c r="I238" i="22"/>
  <c r="D239" i="22"/>
  <c r="H239" i="22"/>
  <c r="I239" i="22"/>
  <c r="D240" i="22"/>
  <c r="H240" i="22"/>
  <c r="I240" i="22"/>
  <c r="D241" i="22"/>
  <c r="H241" i="22"/>
  <c r="I241" i="22"/>
  <c r="D242" i="22"/>
  <c r="H242" i="22"/>
  <c r="I242" i="22"/>
  <c r="D243" i="22"/>
  <c r="H243" i="22"/>
  <c r="I243" i="22"/>
  <c r="D244" i="22"/>
  <c r="H244" i="22"/>
  <c r="I244" i="22"/>
  <c r="D245" i="22"/>
  <c r="H245" i="22"/>
  <c r="I245" i="22"/>
  <c r="D246" i="22"/>
  <c r="H246" i="22"/>
  <c r="I246" i="22"/>
  <c r="D247" i="22"/>
  <c r="H247" i="22"/>
  <c r="I247" i="22"/>
  <c r="D248" i="22"/>
  <c r="H248" i="22"/>
  <c r="I248" i="22"/>
  <c r="D249" i="22"/>
  <c r="H249" i="22"/>
  <c r="I249" i="22"/>
  <c r="D250" i="22"/>
  <c r="H250" i="22"/>
  <c r="I250" i="22"/>
  <c r="D251" i="22"/>
  <c r="H251" i="22"/>
  <c r="I251" i="22"/>
  <c r="D252" i="22"/>
  <c r="H252" i="22"/>
  <c r="I252" i="22"/>
  <c r="D253" i="22"/>
  <c r="H253" i="22"/>
  <c r="I253" i="22"/>
  <c r="D254" i="22"/>
  <c r="H254" i="22"/>
  <c r="I254" i="22"/>
  <c r="D255" i="22"/>
  <c r="H255" i="22"/>
  <c r="I255" i="22"/>
  <c r="D256" i="22"/>
  <c r="H256" i="22"/>
  <c r="I256" i="22"/>
  <c r="D257" i="22"/>
  <c r="H257" i="22"/>
  <c r="I257" i="22"/>
  <c r="D258" i="22"/>
  <c r="H258" i="22"/>
  <c r="I258" i="22"/>
  <c r="D259" i="22"/>
  <c r="H259" i="22"/>
  <c r="I259" i="22"/>
  <c r="D260" i="22"/>
  <c r="H260" i="22"/>
  <c r="I260" i="22"/>
  <c r="D261" i="22"/>
  <c r="H261" i="22"/>
  <c r="I261" i="22"/>
  <c r="D262" i="22"/>
  <c r="H262" i="22"/>
  <c r="I262" i="22"/>
  <c r="D263" i="22"/>
  <c r="H263" i="22"/>
  <c r="I263" i="22"/>
  <c r="D264" i="22"/>
  <c r="H264" i="22"/>
  <c r="I264" i="22"/>
  <c r="D265" i="22"/>
  <c r="H265" i="22"/>
  <c r="I265" i="22"/>
  <c r="D266" i="22"/>
  <c r="H266" i="22"/>
  <c r="I266" i="22"/>
  <c r="D267" i="22"/>
  <c r="H267" i="22"/>
  <c r="I267" i="22"/>
  <c r="D268" i="22"/>
  <c r="H268" i="22"/>
  <c r="I268" i="22"/>
  <c r="D269" i="22"/>
  <c r="H269" i="22"/>
  <c r="I269" i="22"/>
  <c r="D270" i="22"/>
  <c r="H270" i="22"/>
  <c r="I270" i="22"/>
  <c r="D271" i="22"/>
  <c r="H271" i="22"/>
  <c r="I271" i="22"/>
  <c r="D272" i="22"/>
  <c r="H272" i="22"/>
  <c r="I272" i="22"/>
  <c r="D273" i="22"/>
  <c r="H273" i="22"/>
  <c r="I273" i="22"/>
  <c r="D274" i="22"/>
  <c r="H274" i="22"/>
  <c r="I274" i="22"/>
  <c r="D275" i="22"/>
  <c r="H275" i="22"/>
  <c r="I275" i="22"/>
  <c r="D276" i="22"/>
  <c r="H276" i="22"/>
  <c r="I276" i="22"/>
  <c r="D277" i="22"/>
  <c r="H277" i="22"/>
  <c r="I277" i="22"/>
  <c r="D278" i="22"/>
  <c r="H278" i="22"/>
  <c r="I278" i="22"/>
  <c r="D279" i="22"/>
  <c r="H279" i="22"/>
  <c r="I279" i="22"/>
  <c r="D280" i="22"/>
  <c r="H280" i="22"/>
  <c r="I280" i="22"/>
  <c r="D281" i="22"/>
  <c r="H281" i="22"/>
  <c r="I281" i="22"/>
  <c r="D282" i="22"/>
  <c r="H282" i="22"/>
  <c r="I282" i="22"/>
  <c r="D283" i="22"/>
  <c r="H283" i="22"/>
  <c r="I283" i="22"/>
  <c r="D284" i="22"/>
  <c r="H284" i="22"/>
  <c r="I284" i="22"/>
  <c r="D285" i="22"/>
  <c r="H285" i="22"/>
  <c r="I285" i="22"/>
  <c r="D286" i="22"/>
  <c r="H286" i="22"/>
  <c r="I286" i="22"/>
  <c r="D287" i="22"/>
  <c r="H287" i="22"/>
  <c r="I287" i="22"/>
  <c r="D288" i="22"/>
  <c r="H288" i="22"/>
  <c r="I288" i="22"/>
  <c r="D289" i="22"/>
  <c r="H289" i="22"/>
  <c r="I289" i="22"/>
  <c r="D290" i="22"/>
  <c r="H290" i="22"/>
  <c r="I290" i="22"/>
  <c r="D291" i="22"/>
  <c r="H291" i="22"/>
  <c r="I291" i="22"/>
  <c r="D292" i="22"/>
  <c r="H292" i="22"/>
  <c r="I292" i="22"/>
  <c r="D293" i="22"/>
  <c r="H293" i="22"/>
  <c r="I293" i="22"/>
  <c r="D294" i="22"/>
  <c r="H294" i="22"/>
  <c r="I294" i="22"/>
  <c r="D295" i="22"/>
  <c r="H295" i="22"/>
  <c r="I295" i="22"/>
  <c r="D296" i="22"/>
  <c r="H296" i="22"/>
  <c r="I296" i="22"/>
  <c r="D297" i="22"/>
  <c r="H297" i="22"/>
  <c r="I297" i="22"/>
  <c r="D298" i="22"/>
  <c r="H298" i="22"/>
  <c r="I298" i="22"/>
  <c r="D299" i="22"/>
  <c r="I299" i="22"/>
  <c r="D300" i="22"/>
  <c r="H300" i="22"/>
  <c r="D301" i="22"/>
  <c r="D302" i="22"/>
  <c r="D303" i="22"/>
  <c r="H303" i="22"/>
  <c r="D304" i="22"/>
  <c r="D305" i="22"/>
  <c r="H305" i="22"/>
  <c r="I305" i="22"/>
  <c r="D306" i="22"/>
  <c r="D307" i="22"/>
  <c r="D308" i="22"/>
  <c r="I308" i="22"/>
  <c r="D309" i="22"/>
  <c r="D310" i="22"/>
  <c r="H310" i="22"/>
  <c r="I310" i="22"/>
  <c r="D311" i="22"/>
  <c r="H311" i="22"/>
  <c r="I311" i="22"/>
  <c r="D312" i="22"/>
  <c r="H312" i="22"/>
  <c r="I312" i="22"/>
  <c r="D313" i="22"/>
  <c r="H313" i="22"/>
  <c r="I313" i="22"/>
  <c r="D314" i="22"/>
  <c r="H314" i="22"/>
  <c r="I314" i="22"/>
  <c r="D315" i="22"/>
  <c r="H315" i="22"/>
  <c r="I315" i="22"/>
  <c r="D316" i="22"/>
  <c r="H316" i="22"/>
  <c r="I316" i="22"/>
  <c r="D317" i="22"/>
  <c r="H317" i="22"/>
  <c r="I317" i="22"/>
  <c r="D318" i="22"/>
  <c r="H318" i="22"/>
  <c r="I318" i="22"/>
  <c r="D319" i="22"/>
  <c r="H319" i="22"/>
  <c r="I319" i="22"/>
  <c r="D320" i="22"/>
  <c r="H320" i="22"/>
  <c r="I320" i="22"/>
  <c r="D321" i="22"/>
  <c r="H321" i="22"/>
  <c r="I321" i="22"/>
  <c r="D322" i="22"/>
  <c r="H322" i="22"/>
  <c r="I322" i="22"/>
  <c r="D323" i="22"/>
  <c r="H323" i="22"/>
  <c r="I323" i="22"/>
  <c r="D324" i="22"/>
  <c r="H324" i="22"/>
  <c r="I324" i="22"/>
  <c r="D325" i="22"/>
  <c r="H325" i="22"/>
  <c r="I325" i="22"/>
  <c r="D326" i="22"/>
  <c r="H326" i="22"/>
  <c r="I326" i="22"/>
  <c r="D327" i="22"/>
  <c r="H327" i="22"/>
  <c r="I327" i="22"/>
  <c r="D328" i="22"/>
  <c r="H328" i="22"/>
  <c r="I328" i="22"/>
  <c r="D329" i="22"/>
  <c r="H329" i="22"/>
  <c r="I329" i="22"/>
  <c r="D330" i="22"/>
  <c r="H330" i="22"/>
  <c r="I330" i="22"/>
  <c r="D331" i="22"/>
  <c r="H331" i="22"/>
  <c r="I331" i="22"/>
  <c r="D332" i="22"/>
  <c r="H332" i="22"/>
  <c r="I332" i="22"/>
  <c r="D333" i="22"/>
  <c r="H333" i="22"/>
  <c r="I333" i="22"/>
  <c r="D334" i="22"/>
  <c r="H334" i="22"/>
  <c r="I334" i="22"/>
  <c r="D335" i="22"/>
  <c r="H335" i="22"/>
  <c r="I335" i="22"/>
  <c r="D336" i="22"/>
  <c r="H336" i="22"/>
  <c r="I336" i="22"/>
  <c r="D337" i="22"/>
  <c r="H337" i="22"/>
  <c r="I337" i="22"/>
  <c r="D338" i="22"/>
  <c r="H338" i="22"/>
  <c r="I338" i="22"/>
  <c r="D339" i="22"/>
  <c r="H339" i="22"/>
  <c r="I339" i="22"/>
  <c r="D340" i="22"/>
  <c r="H340" i="22"/>
  <c r="I340" i="22"/>
  <c r="D341" i="22"/>
  <c r="H341" i="22"/>
  <c r="I341" i="22"/>
  <c r="D342" i="22"/>
  <c r="H342" i="22"/>
  <c r="I342" i="22"/>
  <c r="D343" i="22"/>
  <c r="H343" i="22"/>
  <c r="I343" i="22"/>
  <c r="D344" i="22"/>
  <c r="H344" i="22"/>
  <c r="I344" i="22"/>
  <c r="D345" i="22"/>
  <c r="H345" i="22"/>
  <c r="I345" i="22"/>
  <c r="D346" i="22"/>
  <c r="H346" i="22"/>
  <c r="I346" i="22"/>
  <c r="D347" i="22"/>
  <c r="H347" i="22"/>
  <c r="I347" i="22"/>
  <c r="D348" i="22"/>
  <c r="H348" i="22"/>
  <c r="I348" i="22"/>
  <c r="D349" i="22"/>
  <c r="H349" i="22"/>
  <c r="I349" i="22"/>
  <c r="D350" i="22"/>
  <c r="H350" i="22"/>
  <c r="I350" i="22"/>
  <c r="D351" i="22"/>
  <c r="H351" i="22"/>
  <c r="I351" i="22"/>
  <c r="D352" i="22"/>
  <c r="H352" i="22"/>
  <c r="I352" i="22"/>
  <c r="D353" i="22"/>
  <c r="H353" i="22"/>
  <c r="I353" i="22"/>
  <c r="D354" i="22"/>
  <c r="H354" i="22"/>
  <c r="I354" i="22"/>
  <c r="D355" i="22"/>
  <c r="H355" i="22"/>
  <c r="I355" i="22"/>
  <c r="D356" i="22"/>
  <c r="H356" i="22"/>
  <c r="I356" i="22"/>
  <c r="D357" i="22"/>
  <c r="H357" i="22"/>
  <c r="I357" i="22"/>
  <c r="D358" i="22"/>
  <c r="H358" i="22"/>
  <c r="I358" i="22"/>
  <c r="D359" i="22"/>
  <c r="H359" i="22"/>
  <c r="I359" i="22"/>
  <c r="D360" i="22"/>
  <c r="H360" i="22"/>
  <c r="I360" i="22"/>
  <c r="D361" i="22"/>
  <c r="H361" i="22"/>
  <c r="I361" i="22"/>
  <c r="D362" i="22"/>
  <c r="H362" i="22"/>
  <c r="I362" i="22"/>
  <c r="D363" i="22"/>
  <c r="H363" i="22"/>
  <c r="I363" i="22"/>
  <c r="D364" i="22"/>
  <c r="H364" i="22"/>
  <c r="I364" i="22"/>
  <c r="D365" i="22"/>
  <c r="H365" i="22"/>
  <c r="I365" i="22"/>
  <c r="D366" i="22"/>
  <c r="H366" i="22"/>
  <c r="I366" i="22"/>
  <c r="D367" i="22"/>
  <c r="H367" i="22"/>
  <c r="I367" i="22"/>
  <c r="D368" i="22"/>
  <c r="H368" i="22"/>
  <c r="I368" i="22"/>
  <c r="D369" i="22"/>
  <c r="H369" i="22"/>
  <c r="I369" i="22"/>
  <c r="D370" i="22"/>
  <c r="H370" i="22"/>
  <c r="I370" i="22"/>
  <c r="D371" i="22"/>
  <c r="H371" i="22"/>
  <c r="I371" i="22"/>
  <c r="D372" i="22"/>
  <c r="H372" i="22"/>
  <c r="I372" i="22"/>
  <c r="D373" i="22"/>
  <c r="H373" i="22"/>
  <c r="I373" i="22"/>
  <c r="D374" i="22"/>
  <c r="H374" i="22"/>
  <c r="I374" i="22"/>
  <c r="D375" i="22"/>
  <c r="H375" i="22"/>
  <c r="I375" i="22"/>
  <c r="D376" i="22"/>
  <c r="H376" i="22"/>
  <c r="I376" i="22"/>
  <c r="D377" i="22"/>
  <c r="H377" i="22"/>
  <c r="I377" i="22"/>
  <c r="D378" i="22"/>
  <c r="H378" i="22"/>
  <c r="I378" i="22"/>
  <c r="D379" i="22"/>
  <c r="H379" i="22"/>
  <c r="I379" i="22"/>
  <c r="D380" i="22"/>
  <c r="H380" i="22"/>
  <c r="I380" i="22"/>
  <c r="D381" i="22"/>
  <c r="H381" i="22"/>
  <c r="I381" i="22"/>
  <c r="D382" i="22"/>
  <c r="H382" i="22"/>
  <c r="I382" i="22"/>
  <c r="D383" i="22"/>
  <c r="H383" i="22"/>
  <c r="I383" i="22"/>
  <c r="D384" i="22"/>
  <c r="H384" i="22"/>
  <c r="I384" i="22"/>
  <c r="D385" i="22"/>
  <c r="H385" i="22"/>
  <c r="I385" i="22"/>
  <c r="D386" i="22"/>
  <c r="H386" i="22"/>
  <c r="I386" i="22"/>
  <c r="D387" i="22"/>
  <c r="H387" i="22"/>
  <c r="I387" i="22"/>
  <c r="D388" i="22"/>
  <c r="H388" i="22"/>
  <c r="I388" i="22"/>
  <c r="D389" i="22"/>
  <c r="H389" i="22"/>
  <c r="I389" i="22"/>
  <c r="D390" i="22"/>
  <c r="H390" i="22"/>
  <c r="I390" i="22"/>
  <c r="D391" i="22"/>
  <c r="H391" i="22"/>
  <c r="I391" i="22"/>
  <c r="D392" i="22"/>
  <c r="H392" i="22"/>
  <c r="I392" i="22"/>
  <c r="D393" i="22"/>
  <c r="H393" i="22"/>
  <c r="I393" i="22"/>
  <c r="D394" i="22"/>
  <c r="H394" i="22"/>
  <c r="I394" i="22"/>
  <c r="D395" i="22"/>
  <c r="H395" i="22"/>
  <c r="I395" i="22"/>
  <c r="D396" i="22"/>
  <c r="H396" i="22"/>
  <c r="I396" i="22"/>
  <c r="D397" i="22"/>
  <c r="H397" i="22"/>
  <c r="I397" i="22"/>
  <c r="D398" i="22"/>
  <c r="H398" i="22"/>
  <c r="I398" i="22"/>
  <c r="D399" i="22"/>
  <c r="H399" i="22"/>
  <c r="I399" i="22"/>
  <c r="D400" i="22"/>
  <c r="H400" i="22"/>
  <c r="I400" i="22"/>
  <c r="D401" i="22"/>
  <c r="H401" i="22"/>
  <c r="I401" i="22"/>
  <c r="D402" i="22"/>
  <c r="H402" i="22"/>
  <c r="I402" i="22"/>
  <c r="D403" i="22"/>
  <c r="H403" i="22"/>
  <c r="I403" i="22"/>
  <c r="D404" i="22"/>
  <c r="H404" i="22"/>
  <c r="I404" i="22"/>
  <c r="D405" i="22"/>
  <c r="H405" i="22"/>
  <c r="I405" i="22"/>
  <c r="D406" i="22"/>
  <c r="H406" i="22"/>
  <c r="I406" i="22"/>
  <c r="D407" i="22"/>
  <c r="H407" i="22"/>
  <c r="I407" i="22"/>
  <c r="D408" i="22"/>
  <c r="H408" i="22"/>
  <c r="I408" i="22"/>
  <c r="D409" i="22"/>
  <c r="H409" i="22"/>
  <c r="I409" i="22"/>
  <c r="D410" i="22"/>
  <c r="H410" i="22"/>
  <c r="I410" i="22"/>
  <c r="D411" i="22"/>
  <c r="H411" i="22"/>
  <c r="I411" i="22"/>
  <c r="D412" i="22"/>
  <c r="H412" i="22"/>
  <c r="I412" i="22"/>
  <c r="D413" i="22"/>
  <c r="H413" i="22"/>
  <c r="I413" i="22"/>
  <c r="D414" i="22"/>
  <c r="H414" i="22"/>
  <c r="I414" i="22"/>
  <c r="D415" i="22"/>
  <c r="H415" i="22"/>
  <c r="I415" i="22"/>
  <c r="D416" i="22"/>
  <c r="H416" i="22"/>
  <c r="I416" i="22"/>
  <c r="D417" i="22"/>
  <c r="H417" i="22"/>
  <c r="I417" i="22"/>
  <c r="D418" i="22"/>
  <c r="H418" i="22"/>
  <c r="I418" i="22"/>
  <c r="D419" i="22"/>
  <c r="H419" i="22"/>
  <c r="I419" i="22"/>
  <c r="D420" i="22"/>
  <c r="H420" i="22"/>
  <c r="I420" i="22"/>
  <c r="D421" i="22"/>
  <c r="H421" i="22"/>
  <c r="I421" i="22"/>
  <c r="D422" i="22"/>
  <c r="H422" i="22"/>
  <c r="I422" i="22"/>
  <c r="D423" i="22"/>
  <c r="H423" i="22"/>
  <c r="I423" i="22"/>
  <c r="D424" i="22"/>
  <c r="H424" i="22"/>
  <c r="I424" i="22"/>
  <c r="D425" i="22"/>
  <c r="H425" i="22"/>
  <c r="I425" i="22"/>
  <c r="D426" i="22"/>
  <c r="H426" i="22"/>
  <c r="I426" i="22"/>
  <c r="D427" i="22"/>
  <c r="H427" i="22"/>
  <c r="I427" i="22"/>
  <c r="D428" i="22"/>
  <c r="H428" i="22"/>
  <c r="I428" i="22"/>
  <c r="D429" i="22"/>
  <c r="H429" i="22"/>
  <c r="I429" i="22"/>
  <c r="D430" i="22"/>
  <c r="H430" i="22"/>
  <c r="I430" i="22"/>
  <c r="D431" i="22"/>
  <c r="H431" i="22"/>
  <c r="I431" i="22"/>
  <c r="D432" i="22"/>
  <c r="H432" i="22"/>
  <c r="I432" i="22"/>
  <c r="D433" i="22"/>
  <c r="H433" i="22"/>
  <c r="I433" i="22"/>
  <c r="D434" i="22"/>
  <c r="H434" i="22"/>
  <c r="I434" i="22"/>
  <c r="D435" i="22"/>
  <c r="H435" i="22"/>
  <c r="I435" i="22"/>
  <c r="D436" i="22"/>
  <c r="H436" i="22"/>
  <c r="I436" i="22"/>
  <c r="D437" i="22"/>
  <c r="H437" i="22"/>
  <c r="I437" i="22"/>
  <c r="D438" i="22"/>
  <c r="H438" i="22"/>
  <c r="I438" i="22"/>
  <c r="D439" i="22"/>
  <c r="H439" i="22"/>
  <c r="I439" i="22"/>
  <c r="D440" i="22"/>
  <c r="H440" i="22"/>
  <c r="I440" i="22"/>
  <c r="D441" i="22"/>
  <c r="H441" i="22"/>
  <c r="I441" i="22"/>
  <c r="D442" i="22"/>
  <c r="H442" i="22"/>
  <c r="I442" i="22"/>
  <c r="D443" i="22"/>
  <c r="H443" i="22"/>
  <c r="I443" i="22"/>
  <c r="D444" i="22"/>
  <c r="H444" i="22"/>
  <c r="I444" i="22"/>
  <c r="D445" i="22"/>
  <c r="H445" i="22"/>
  <c r="I445" i="22"/>
  <c r="D446" i="22"/>
  <c r="H446" i="22"/>
  <c r="I446" i="22"/>
  <c r="D447" i="22"/>
  <c r="H447" i="22"/>
  <c r="I447" i="22"/>
  <c r="D448" i="22"/>
  <c r="H448" i="22"/>
  <c r="I448" i="22"/>
  <c r="D449" i="22"/>
  <c r="H449" i="22"/>
  <c r="I449" i="22"/>
  <c r="D450" i="22"/>
  <c r="H450" i="22"/>
  <c r="I450" i="22"/>
  <c r="D451" i="22"/>
  <c r="H451" i="22"/>
  <c r="I451" i="22"/>
  <c r="D452" i="22"/>
  <c r="H452" i="22"/>
  <c r="I452" i="22"/>
  <c r="D453" i="22"/>
  <c r="H453" i="22"/>
  <c r="I453" i="22"/>
  <c r="D454" i="22"/>
  <c r="H454" i="22"/>
  <c r="I454" i="22"/>
  <c r="D455" i="22"/>
  <c r="H455" i="22"/>
  <c r="I455" i="22"/>
  <c r="D456" i="22"/>
  <c r="H456" i="22"/>
  <c r="I456" i="22"/>
  <c r="D457" i="22"/>
  <c r="H457" i="22"/>
  <c r="I457" i="22"/>
  <c r="D458" i="22"/>
  <c r="H458" i="22"/>
  <c r="I458" i="22"/>
  <c r="D459" i="22"/>
  <c r="H459" i="22"/>
  <c r="I459" i="22"/>
  <c r="D460" i="22"/>
  <c r="H460" i="22"/>
  <c r="I460" i="22"/>
  <c r="D461" i="22"/>
  <c r="H461" i="22"/>
  <c r="I461" i="22"/>
  <c r="D462" i="22"/>
  <c r="H462" i="22"/>
  <c r="I462" i="22"/>
  <c r="D463" i="22"/>
  <c r="H463" i="22"/>
  <c r="I463" i="22"/>
  <c r="D464" i="22"/>
  <c r="H464" i="22"/>
  <c r="I464" i="22"/>
  <c r="D465" i="22"/>
  <c r="H465" i="22"/>
  <c r="I465" i="22"/>
  <c r="D466" i="22"/>
  <c r="H466" i="22"/>
  <c r="I466" i="22"/>
  <c r="D467" i="22"/>
  <c r="H467" i="22"/>
  <c r="I467" i="22"/>
  <c r="D468" i="22"/>
  <c r="H468" i="22"/>
  <c r="I468" i="22"/>
  <c r="D469" i="22"/>
  <c r="H469" i="22"/>
  <c r="I469" i="22"/>
  <c r="D470" i="22"/>
  <c r="H470" i="22"/>
  <c r="I470" i="22"/>
  <c r="D471" i="22"/>
  <c r="H471" i="22"/>
  <c r="I471" i="22"/>
  <c r="D472" i="22"/>
  <c r="H472" i="22"/>
  <c r="I472" i="22"/>
  <c r="D473" i="22"/>
  <c r="H473" i="22"/>
  <c r="I473" i="22"/>
  <c r="D474" i="22"/>
  <c r="H474" i="22"/>
  <c r="I474" i="22"/>
  <c r="D475" i="22"/>
  <c r="H475" i="22"/>
  <c r="I475" i="22"/>
  <c r="D476" i="22"/>
  <c r="H476" i="22"/>
  <c r="I476" i="22"/>
  <c r="D477" i="22"/>
  <c r="H477" i="22"/>
  <c r="I477" i="22"/>
  <c r="D478" i="22"/>
  <c r="D479" i="22"/>
  <c r="H479" i="22"/>
  <c r="D480" i="22"/>
  <c r="D481" i="22"/>
  <c r="H481" i="22"/>
  <c r="I481" i="22"/>
  <c r="D482" i="22"/>
  <c r="D483" i="22"/>
  <c r="D484" i="22"/>
  <c r="I484" i="22"/>
  <c r="D485" i="22"/>
  <c r="H485" i="22"/>
  <c r="I485" i="22"/>
  <c r="D486" i="22"/>
  <c r="H486" i="22"/>
  <c r="I486" i="22"/>
  <c r="D487" i="22"/>
  <c r="H487" i="22"/>
  <c r="I487" i="22"/>
  <c r="D488" i="22"/>
  <c r="H488" i="22"/>
  <c r="I488" i="22"/>
  <c r="D489" i="22"/>
  <c r="H489" i="22"/>
  <c r="I489" i="22"/>
  <c r="D490" i="22"/>
  <c r="H490" i="22"/>
  <c r="I490" i="22"/>
  <c r="D491" i="22"/>
  <c r="H491" i="22"/>
  <c r="I491" i="22"/>
  <c r="D492" i="22"/>
  <c r="H492" i="22"/>
  <c r="I492" i="22"/>
  <c r="D493" i="22"/>
  <c r="H493" i="22"/>
  <c r="I493" i="22"/>
  <c r="D494" i="22"/>
  <c r="H494" i="22"/>
  <c r="I494" i="22"/>
  <c r="D495" i="22"/>
  <c r="H495" i="22"/>
  <c r="I495" i="22"/>
  <c r="D496" i="22"/>
  <c r="H496" i="22"/>
  <c r="I496" i="22"/>
  <c r="D497" i="22"/>
  <c r="H497" i="22"/>
  <c r="I497" i="22"/>
  <c r="D498" i="22"/>
  <c r="H498" i="22"/>
  <c r="I498" i="22"/>
  <c r="D499" i="22"/>
  <c r="H499" i="22"/>
  <c r="I499" i="22"/>
  <c r="D500" i="22"/>
  <c r="H500" i="22"/>
  <c r="I500" i="22"/>
  <c r="D501" i="22"/>
  <c r="H501" i="22"/>
  <c r="I501" i="22"/>
  <c r="D502" i="22"/>
  <c r="H502" i="22"/>
  <c r="I502" i="22"/>
  <c r="D503" i="22"/>
  <c r="H503" i="22"/>
  <c r="I503" i="22"/>
  <c r="D504" i="22"/>
  <c r="H504" i="22"/>
  <c r="I504" i="22"/>
  <c r="D505" i="22"/>
  <c r="H505" i="22"/>
  <c r="I505" i="22"/>
  <c r="D506" i="22"/>
  <c r="H506" i="22"/>
  <c r="I506" i="22"/>
  <c r="D507" i="22"/>
  <c r="H507" i="22"/>
  <c r="I507" i="22"/>
  <c r="D508" i="22"/>
  <c r="H508" i="22"/>
  <c r="I508" i="22"/>
  <c r="D509" i="22"/>
  <c r="H509" i="22"/>
  <c r="I509" i="22"/>
  <c r="D510" i="22"/>
  <c r="H510" i="22"/>
  <c r="I510" i="22"/>
  <c r="D511" i="22"/>
  <c r="H511" i="22"/>
  <c r="D512" i="22"/>
  <c r="D513" i="22"/>
  <c r="H513" i="22"/>
  <c r="I513" i="22"/>
  <c r="D514" i="22"/>
  <c r="H514" i="22"/>
  <c r="I514" i="22"/>
  <c r="D515" i="22"/>
  <c r="H515" i="22"/>
  <c r="I515" i="22"/>
  <c r="D516" i="22"/>
  <c r="H516" i="22"/>
  <c r="I516" i="22"/>
  <c r="D517" i="22"/>
  <c r="H517" i="22"/>
  <c r="I517" i="22"/>
  <c r="D518" i="22"/>
  <c r="H518" i="22"/>
  <c r="I518" i="22"/>
  <c r="D519" i="22"/>
  <c r="H519" i="22"/>
  <c r="I519" i="22"/>
  <c r="D520" i="22"/>
  <c r="H520" i="22"/>
  <c r="I520" i="22"/>
  <c r="D521" i="22"/>
  <c r="H521" i="22"/>
  <c r="I521" i="22"/>
  <c r="D522" i="22"/>
  <c r="H522" i="22"/>
  <c r="I522" i="22"/>
  <c r="D523" i="22"/>
  <c r="H523" i="22"/>
  <c r="I523" i="22"/>
  <c r="D524" i="22"/>
  <c r="H524" i="22"/>
  <c r="I524" i="22"/>
  <c r="D525" i="22"/>
  <c r="H525" i="22"/>
  <c r="I525" i="22"/>
  <c r="D526" i="22"/>
  <c r="H526" i="22"/>
  <c r="I526" i="22"/>
  <c r="D527" i="22"/>
  <c r="H527" i="22"/>
  <c r="I527" i="22"/>
  <c r="D528" i="22"/>
  <c r="H528" i="22"/>
  <c r="I528" i="22"/>
  <c r="D529" i="22"/>
  <c r="H529" i="22"/>
  <c r="I529" i="22"/>
  <c r="D530" i="22"/>
  <c r="H530" i="22"/>
  <c r="I530" i="22"/>
  <c r="D531" i="22"/>
  <c r="H531" i="22"/>
  <c r="I531" i="22"/>
  <c r="D532" i="22"/>
  <c r="H532" i="22"/>
  <c r="I532" i="22"/>
  <c r="D533" i="22"/>
  <c r="H533" i="22"/>
  <c r="I533" i="22"/>
  <c r="D534" i="22"/>
  <c r="H534" i="22"/>
  <c r="I534" i="22"/>
  <c r="D535" i="22"/>
  <c r="H535" i="22"/>
  <c r="I535" i="22"/>
  <c r="D536" i="22"/>
  <c r="H536" i="22"/>
  <c r="I536" i="22"/>
  <c r="D537" i="22"/>
  <c r="H537" i="22"/>
  <c r="I537" i="22"/>
  <c r="D538" i="22"/>
  <c r="H538" i="22"/>
  <c r="I538" i="22"/>
  <c r="D539" i="22"/>
  <c r="H539" i="22"/>
  <c r="I539" i="22"/>
  <c r="D540" i="22"/>
  <c r="H540" i="22"/>
  <c r="I540" i="22"/>
  <c r="D541" i="22"/>
  <c r="H541" i="22"/>
  <c r="I541" i="22"/>
  <c r="D542" i="22"/>
  <c r="I542" i="22"/>
  <c r="D543" i="22"/>
  <c r="H543" i="22"/>
  <c r="D544" i="22"/>
  <c r="D545" i="22"/>
  <c r="H545" i="22"/>
  <c r="I545" i="22"/>
  <c r="D546" i="22"/>
  <c r="D547" i="22"/>
  <c r="D548" i="22"/>
  <c r="I548" i="22"/>
  <c r="D549" i="22"/>
  <c r="D550" i="22"/>
  <c r="H550" i="22"/>
  <c r="I550" i="22"/>
  <c r="D551" i="22"/>
  <c r="D552" i="22"/>
  <c r="H552" i="22"/>
  <c r="D553" i="22"/>
  <c r="H553" i="22"/>
  <c r="D554" i="22"/>
  <c r="D555" i="22"/>
  <c r="I555" i="22"/>
  <c r="D556" i="22"/>
  <c r="H556" i="22"/>
  <c r="D557" i="22"/>
  <c r="I557" i="22"/>
  <c r="D558" i="22"/>
  <c r="I558" i="22"/>
  <c r="D559" i="22"/>
  <c r="H559" i="22"/>
  <c r="D560" i="22"/>
  <c r="D561" i="22"/>
  <c r="H561" i="22"/>
  <c r="I561" i="22"/>
  <c r="D562" i="22"/>
  <c r="H562" i="22"/>
  <c r="I562" i="22"/>
  <c r="D563" i="22"/>
  <c r="H563" i="22"/>
  <c r="I563" i="22"/>
  <c r="D564" i="22"/>
  <c r="H564" i="22"/>
  <c r="I564" i="22"/>
  <c r="D565" i="22"/>
  <c r="H565" i="22"/>
  <c r="I565" i="22"/>
  <c r="D566" i="22"/>
  <c r="H566" i="22"/>
  <c r="I566" i="22"/>
  <c r="D567" i="22"/>
  <c r="H567" i="22"/>
  <c r="I567" i="22"/>
  <c r="D568" i="22"/>
  <c r="H568" i="22"/>
  <c r="I568" i="22"/>
  <c r="D569" i="22"/>
  <c r="H569" i="22"/>
  <c r="I569" i="22"/>
  <c r="D570" i="22"/>
  <c r="H570" i="22"/>
  <c r="I570" i="22"/>
  <c r="D571" i="22"/>
  <c r="H571" i="22"/>
  <c r="I571" i="22"/>
  <c r="D572" i="22"/>
  <c r="H572" i="22"/>
  <c r="I572" i="22"/>
  <c r="D573" i="22"/>
  <c r="H573" i="22"/>
  <c r="I573" i="22"/>
  <c r="D574" i="22"/>
  <c r="H574" i="22"/>
  <c r="I574" i="22"/>
  <c r="D575" i="22"/>
  <c r="H575" i="22"/>
  <c r="I575" i="22"/>
  <c r="D576" i="22"/>
  <c r="H576" i="22"/>
  <c r="I576" i="22"/>
  <c r="D577" i="22"/>
  <c r="H577" i="22"/>
  <c r="I577" i="22"/>
  <c r="D578" i="22"/>
  <c r="H578" i="22"/>
  <c r="I578" i="22"/>
  <c r="D579" i="22"/>
  <c r="H579" i="22"/>
  <c r="I579" i="22"/>
  <c r="D580" i="22"/>
  <c r="H580" i="22"/>
  <c r="I580" i="22"/>
  <c r="D581" i="22"/>
  <c r="H581" i="22"/>
  <c r="I581" i="22"/>
  <c r="D582" i="22"/>
  <c r="H582" i="22"/>
  <c r="I582" i="22"/>
  <c r="D583" i="22"/>
  <c r="H583" i="22"/>
  <c r="I583" i="22"/>
  <c r="D584" i="22"/>
  <c r="H584" i="22"/>
  <c r="I584" i="22"/>
  <c r="D585" i="22"/>
  <c r="H585" i="22"/>
  <c r="I585" i="22"/>
  <c r="D586" i="22"/>
  <c r="H586" i="22"/>
  <c r="I586" i="22"/>
  <c r="D587" i="22"/>
  <c r="H587" i="22"/>
  <c r="I587" i="22"/>
  <c r="D588" i="22"/>
  <c r="H588" i="22"/>
  <c r="I588" i="22"/>
  <c r="D589" i="22"/>
  <c r="H589" i="22"/>
  <c r="I589" i="22"/>
  <c r="D590" i="22"/>
  <c r="H590" i="22"/>
  <c r="I590" i="22"/>
  <c r="D591" i="22"/>
  <c r="H591" i="22"/>
  <c r="I591" i="22"/>
  <c r="D592" i="22"/>
  <c r="H592" i="22"/>
  <c r="I592" i="22"/>
  <c r="D593" i="22"/>
  <c r="H593" i="22"/>
  <c r="I593" i="22"/>
  <c r="D594" i="22"/>
  <c r="D595" i="22"/>
  <c r="D596" i="22"/>
  <c r="I596" i="22"/>
  <c r="D597" i="22"/>
  <c r="D598" i="22"/>
  <c r="H598" i="22"/>
  <c r="I598" i="22"/>
  <c r="D599" i="22"/>
  <c r="D600" i="22"/>
  <c r="H600" i="22"/>
  <c r="I600" i="22"/>
  <c r="D601" i="22"/>
  <c r="H601" i="22"/>
  <c r="I601" i="22"/>
  <c r="D602" i="22"/>
  <c r="H602" i="22"/>
  <c r="I602" i="22"/>
  <c r="D603" i="22"/>
  <c r="H603" i="22"/>
  <c r="I603" i="22"/>
  <c r="D604" i="22"/>
  <c r="H604" i="22"/>
  <c r="I604" i="22"/>
  <c r="D605" i="22"/>
  <c r="H605" i="22"/>
  <c r="I605" i="22"/>
  <c r="D606" i="22"/>
  <c r="H606" i="22"/>
  <c r="I606" i="22"/>
  <c r="D607" i="22"/>
  <c r="H607" i="22"/>
  <c r="I607" i="22"/>
  <c r="D608" i="22"/>
  <c r="H608" i="22"/>
  <c r="I608" i="22"/>
  <c r="D609" i="22"/>
  <c r="H609" i="22"/>
  <c r="I609" i="22"/>
  <c r="D610" i="22"/>
  <c r="H610" i="22"/>
  <c r="I610" i="22"/>
  <c r="D611" i="22"/>
  <c r="H611" i="22"/>
  <c r="I611" i="22"/>
  <c r="D612" i="22"/>
  <c r="H612" i="22"/>
  <c r="I612" i="22"/>
  <c r="D613" i="22"/>
  <c r="H613" i="22"/>
  <c r="I613" i="22"/>
  <c r="D614" i="22"/>
  <c r="H614" i="22"/>
  <c r="I614" i="22"/>
  <c r="D615" i="22"/>
  <c r="H615" i="22"/>
  <c r="I615" i="22"/>
  <c r="D616" i="22"/>
  <c r="H616" i="22"/>
  <c r="I616" i="22"/>
  <c r="D617" i="22"/>
  <c r="H617" i="22"/>
  <c r="I617" i="22"/>
  <c r="D618" i="22"/>
  <c r="H618" i="22"/>
  <c r="I618" i="22"/>
  <c r="D619" i="22"/>
  <c r="H619" i="22"/>
  <c r="I619" i="22"/>
  <c r="D620" i="22"/>
  <c r="H620" i="22"/>
  <c r="I620" i="22"/>
  <c r="D621" i="22"/>
  <c r="H621" i="22"/>
  <c r="I621" i="22"/>
  <c r="D622" i="22"/>
  <c r="H622" i="22"/>
  <c r="I622" i="22"/>
  <c r="D623" i="22"/>
  <c r="H623" i="22"/>
  <c r="I623" i="22"/>
  <c r="D624" i="22"/>
  <c r="H624" i="22"/>
  <c r="I624" i="22"/>
  <c r="D625" i="22"/>
  <c r="H625" i="22"/>
  <c r="I625" i="22"/>
  <c r="D626" i="22"/>
  <c r="H626" i="22"/>
  <c r="I626" i="22"/>
  <c r="D627" i="22"/>
  <c r="H627" i="22"/>
  <c r="I627" i="22"/>
  <c r="D628" i="22"/>
  <c r="H628" i="22"/>
  <c r="I628" i="22"/>
  <c r="D629" i="22"/>
  <c r="H629" i="22"/>
  <c r="I629" i="22"/>
  <c r="D630" i="22"/>
  <c r="H630" i="22"/>
  <c r="I630" i="22"/>
  <c r="D631" i="22"/>
  <c r="H631" i="22"/>
  <c r="I631" i="22"/>
  <c r="D632" i="22"/>
  <c r="H632" i="22"/>
  <c r="I632" i="22"/>
  <c r="D633" i="22"/>
  <c r="H633" i="22"/>
  <c r="I633" i="22"/>
  <c r="D634" i="22"/>
  <c r="H634" i="22"/>
  <c r="I634" i="22"/>
  <c r="D635" i="22"/>
  <c r="H635" i="22"/>
  <c r="I635" i="22"/>
  <c r="D636" i="22"/>
  <c r="H636" i="22"/>
  <c r="I636" i="22"/>
  <c r="D637" i="22"/>
  <c r="H637" i="22"/>
  <c r="I637" i="22"/>
  <c r="D638" i="22"/>
  <c r="H638" i="22"/>
  <c r="I638" i="22"/>
  <c r="D639" i="22"/>
  <c r="H639" i="22"/>
  <c r="I639" i="22"/>
  <c r="D640" i="22"/>
  <c r="H640" i="22"/>
  <c r="I640" i="22"/>
  <c r="D641" i="22"/>
  <c r="H641" i="22"/>
  <c r="I641" i="22"/>
  <c r="D642" i="22"/>
  <c r="H642" i="22"/>
  <c r="I642" i="22"/>
  <c r="D643" i="22"/>
  <c r="H643" i="22"/>
  <c r="I643" i="22"/>
  <c r="D644" i="22"/>
  <c r="H644" i="22"/>
  <c r="I644" i="22"/>
  <c r="D645" i="22"/>
  <c r="H645" i="22"/>
  <c r="I645" i="22"/>
  <c r="D646" i="22"/>
  <c r="H646" i="22"/>
  <c r="I646" i="22"/>
  <c r="D647" i="22"/>
  <c r="H647" i="22"/>
  <c r="I647" i="22"/>
  <c r="D648" i="22"/>
  <c r="H648" i="22"/>
  <c r="I648" i="22"/>
  <c r="D649" i="22"/>
  <c r="H649" i="22"/>
  <c r="I649" i="22"/>
  <c r="D650" i="22"/>
  <c r="H650" i="22"/>
  <c r="I650" i="22"/>
  <c r="D651" i="22"/>
  <c r="I651" i="22"/>
  <c r="D652" i="22"/>
  <c r="H652" i="22"/>
  <c r="D653" i="22"/>
  <c r="H653" i="22"/>
  <c r="I653" i="22"/>
  <c r="D654" i="22"/>
  <c r="I654" i="22"/>
  <c r="D655" i="22"/>
  <c r="H655" i="22"/>
  <c r="D656" i="22"/>
  <c r="D657" i="22"/>
  <c r="H657" i="22"/>
  <c r="I657" i="22"/>
  <c r="D658" i="22"/>
  <c r="I658" i="22"/>
  <c r="D659" i="22"/>
  <c r="D660" i="22"/>
  <c r="H660" i="22"/>
  <c r="I660" i="22"/>
  <c r="D661" i="22"/>
  <c r="D662" i="22"/>
  <c r="H662" i="22"/>
  <c r="I662" i="22"/>
  <c r="D663" i="22"/>
  <c r="D664" i="22"/>
  <c r="H664" i="22"/>
  <c r="I664" i="22"/>
  <c r="D665" i="22"/>
  <c r="H665" i="22"/>
  <c r="I665" i="22"/>
  <c r="D666" i="22"/>
  <c r="H666" i="22"/>
  <c r="I666" i="22"/>
  <c r="D667" i="22"/>
  <c r="H667" i="22"/>
  <c r="I667" i="22"/>
  <c r="D668" i="22"/>
  <c r="H668" i="22"/>
  <c r="I668" i="22"/>
  <c r="D669" i="22"/>
  <c r="H669" i="22"/>
  <c r="I669" i="22"/>
  <c r="D670" i="22"/>
  <c r="H670" i="22"/>
  <c r="I670" i="22"/>
  <c r="D671" i="22"/>
  <c r="H671" i="22"/>
  <c r="I671" i="22"/>
  <c r="D672" i="22"/>
  <c r="H672" i="22"/>
  <c r="I672" i="22"/>
  <c r="D673" i="22"/>
  <c r="H673" i="22"/>
  <c r="I673" i="22"/>
  <c r="D674" i="22"/>
  <c r="H674" i="22"/>
  <c r="I674" i="22"/>
  <c r="D675" i="22"/>
  <c r="H675" i="22"/>
  <c r="I675" i="22"/>
  <c r="D676" i="22"/>
  <c r="H676" i="22"/>
  <c r="I676" i="22"/>
  <c r="D677" i="22"/>
  <c r="H677" i="22"/>
  <c r="I677" i="22"/>
  <c r="D678" i="22"/>
  <c r="H678" i="22"/>
  <c r="I678" i="22"/>
  <c r="D679" i="22"/>
  <c r="H679" i="22"/>
  <c r="I679" i="22"/>
  <c r="D680" i="22"/>
  <c r="H680" i="22"/>
  <c r="I680" i="22"/>
  <c r="D681" i="22"/>
  <c r="H681" i="22"/>
  <c r="I681" i="22"/>
  <c r="D682" i="22"/>
  <c r="H682" i="22"/>
  <c r="I682" i="22"/>
  <c r="D683" i="22"/>
  <c r="H683" i="22"/>
  <c r="I683" i="22"/>
  <c r="D684" i="22"/>
  <c r="H684" i="22"/>
  <c r="I684" i="22"/>
  <c r="D685" i="22"/>
  <c r="H685" i="22"/>
  <c r="I685" i="22"/>
  <c r="D686" i="22"/>
  <c r="H686" i="22"/>
  <c r="I686" i="22"/>
  <c r="D687" i="22"/>
  <c r="H687" i="22"/>
  <c r="I687" i="22"/>
  <c r="D688" i="22"/>
  <c r="H688" i="22"/>
  <c r="I688" i="22"/>
  <c r="D689" i="22"/>
  <c r="H689" i="22"/>
  <c r="I689" i="22"/>
  <c r="D690" i="22"/>
  <c r="H690" i="22"/>
  <c r="I690" i="22"/>
  <c r="D691" i="22"/>
  <c r="D692" i="22"/>
  <c r="H692" i="22"/>
  <c r="I692" i="22"/>
  <c r="D693" i="22"/>
  <c r="D694" i="22"/>
  <c r="H694" i="22"/>
  <c r="I694" i="22"/>
  <c r="D695" i="22"/>
  <c r="I695" i="22"/>
  <c r="D696" i="22"/>
  <c r="H696" i="22"/>
  <c r="D697" i="22"/>
  <c r="H697" i="22"/>
  <c r="I697" i="22"/>
  <c r="D698" i="22"/>
  <c r="D699" i="22"/>
  <c r="I699" i="22"/>
  <c r="D700" i="22"/>
  <c r="H700" i="22"/>
  <c r="D701" i="22"/>
  <c r="H701" i="22"/>
  <c r="I701" i="22"/>
  <c r="D702" i="22"/>
  <c r="I702" i="22"/>
  <c r="D703" i="22"/>
  <c r="H703" i="22"/>
  <c r="D704" i="22"/>
  <c r="D705" i="22"/>
  <c r="H705" i="22"/>
  <c r="I705" i="22"/>
  <c r="D706" i="22"/>
  <c r="H706" i="22"/>
  <c r="I706" i="22"/>
  <c r="D707" i="22"/>
  <c r="D708" i="22"/>
  <c r="H708" i="22"/>
  <c r="I708" i="22"/>
  <c r="D709" i="22"/>
  <c r="H709" i="22"/>
  <c r="I709" i="22"/>
  <c r="D710" i="22"/>
  <c r="H710" i="22"/>
  <c r="I710" i="22"/>
  <c r="D711" i="22"/>
  <c r="H711" i="22"/>
  <c r="I711" i="22"/>
  <c r="D712" i="22"/>
  <c r="H712" i="22"/>
  <c r="I712" i="22"/>
  <c r="D713" i="22"/>
  <c r="H713" i="22"/>
  <c r="I713" i="22"/>
  <c r="D714" i="22"/>
  <c r="H714" i="22"/>
  <c r="I714" i="22"/>
  <c r="D715" i="22"/>
  <c r="H715" i="22"/>
  <c r="I715" i="22"/>
  <c r="D716" i="22"/>
  <c r="H716" i="22"/>
  <c r="I716" i="22"/>
  <c r="D717" i="22"/>
  <c r="H717" i="22"/>
  <c r="I717" i="22"/>
  <c r="D718" i="22"/>
  <c r="H718" i="22"/>
  <c r="I718" i="22"/>
  <c r="D719" i="22"/>
  <c r="H719" i="22"/>
  <c r="I719" i="22"/>
  <c r="D720" i="22"/>
  <c r="H720" i="22"/>
  <c r="I720" i="22"/>
  <c r="D721" i="22"/>
  <c r="H721" i="22"/>
  <c r="I721" i="22"/>
  <c r="D722" i="22"/>
  <c r="H722" i="22"/>
  <c r="I722" i="22"/>
  <c r="D723" i="22"/>
  <c r="H723" i="22"/>
  <c r="I723" i="22"/>
  <c r="D724" i="22"/>
  <c r="H724" i="22"/>
  <c r="I724" i="22"/>
  <c r="D725" i="22"/>
  <c r="H725" i="22"/>
  <c r="I725" i="22"/>
  <c r="D726" i="22"/>
  <c r="H726" i="22"/>
  <c r="I726" i="22"/>
  <c r="D727" i="22"/>
  <c r="H727" i="22"/>
  <c r="I727" i="22"/>
  <c r="D728" i="22"/>
  <c r="H728" i="22"/>
  <c r="I728" i="22"/>
  <c r="D729" i="22"/>
  <c r="H729" i="22"/>
  <c r="I729" i="22"/>
  <c r="D730" i="22"/>
  <c r="H730" i="22"/>
  <c r="I730" i="22"/>
  <c r="D731" i="22"/>
  <c r="H731" i="22"/>
  <c r="I731" i="22"/>
  <c r="D732" i="22"/>
  <c r="H732" i="22"/>
  <c r="I732" i="22"/>
  <c r="D733" i="22"/>
  <c r="H733" i="22"/>
  <c r="I733" i="22"/>
  <c r="D734" i="22"/>
  <c r="H734" i="22"/>
  <c r="I734" i="22"/>
  <c r="D735" i="22"/>
  <c r="H735" i="22"/>
  <c r="I735" i="22"/>
  <c r="D736" i="22"/>
  <c r="H736" i="22"/>
  <c r="I736" i="22"/>
  <c r="D737" i="22"/>
  <c r="H737" i="22"/>
  <c r="I737" i="22"/>
  <c r="D738" i="22"/>
  <c r="H738" i="22"/>
  <c r="I738" i="22"/>
  <c r="D739" i="22"/>
  <c r="H739" i="22"/>
  <c r="I739" i="22"/>
  <c r="D740" i="22"/>
  <c r="H740" i="22"/>
  <c r="I740" i="22"/>
  <c r="D741" i="22"/>
  <c r="H741" i="22"/>
  <c r="I741" i="22"/>
  <c r="D742" i="22"/>
  <c r="H742" i="22"/>
  <c r="I742" i="22"/>
  <c r="D743" i="22"/>
  <c r="H743" i="22"/>
  <c r="I743" i="22"/>
  <c r="D744" i="22"/>
  <c r="H744" i="22"/>
  <c r="I744" i="22"/>
  <c r="D745" i="22"/>
  <c r="H745" i="22"/>
  <c r="I745" i="22"/>
  <c r="D746" i="22"/>
  <c r="H746" i="22"/>
  <c r="I746" i="22"/>
  <c r="D747" i="22"/>
  <c r="H747" i="22"/>
  <c r="I747" i="22"/>
  <c r="D748" i="22"/>
  <c r="H748" i="22"/>
  <c r="I748" i="22"/>
  <c r="D749" i="22"/>
  <c r="H749" i="22"/>
  <c r="I749" i="22"/>
  <c r="D750" i="22"/>
  <c r="I750" i="22"/>
  <c r="D751" i="22"/>
  <c r="H751" i="22"/>
  <c r="D752" i="22"/>
  <c r="D753" i="22"/>
  <c r="H753" i="22"/>
  <c r="I753" i="22"/>
  <c r="D754" i="22"/>
  <c r="D755" i="22"/>
  <c r="H755" i="22"/>
  <c r="I755" i="22"/>
  <c r="D756" i="22"/>
  <c r="H756" i="22"/>
  <c r="I756" i="22"/>
  <c r="D757" i="22"/>
  <c r="H757" i="22"/>
  <c r="I757" i="22"/>
  <c r="D758" i="22"/>
  <c r="H758" i="22"/>
  <c r="I758" i="22"/>
  <c r="D759" i="22"/>
  <c r="H759" i="22"/>
  <c r="I759" i="22"/>
  <c r="D760" i="22"/>
  <c r="H760" i="22"/>
  <c r="I760" i="22"/>
  <c r="D761" i="22"/>
  <c r="H761" i="22"/>
  <c r="I761" i="22"/>
  <c r="D762" i="22"/>
  <c r="H762" i="22"/>
  <c r="I762" i="22"/>
  <c r="D763" i="22"/>
  <c r="H763" i="22"/>
  <c r="I763" i="22"/>
  <c r="D764" i="22"/>
  <c r="H764" i="22"/>
  <c r="I764" i="22"/>
  <c r="D765" i="22"/>
  <c r="H765" i="22"/>
  <c r="I765" i="22"/>
  <c r="D766" i="22"/>
  <c r="H766" i="22"/>
  <c r="I766" i="22"/>
  <c r="D767" i="22"/>
  <c r="H767" i="22"/>
  <c r="I767" i="22"/>
  <c r="D768" i="22"/>
  <c r="H768" i="22"/>
  <c r="I768" i="22"/>
  <c r="D769" i="22"/>
  <c r="H769" i="22"/>
  <c r="I769" i="22"/>
  <c r="D770" i="22"/>
  <c r="H770" i="22"/>
  <c r="I770" i="22"/>
  <c r="D771" i="22"/>
  <c r="H771" i="22"/>
  <c r="I771" i="22"/>
  <c r="D772" i="22"/>
  <c r="H772" i="22"/>
  <c r="I772" i="22"/>
  <c r="D773" i="22"/>
  <c r="H773" i="22"/>
  <c r="I773" i="22"/>
  <c r="D774" i="22"/>
  <c r="H774" i="22"/>
  <c r="I774" i="22"/>
  <c r="D775" i="22"/>
  <c r="H775" i="22"/>
  <c r="I775" i="22"/>
  <c r="D776" i="22"/>
  <c r="H776" i="22"/>
  <c r="I776" i="22"/>
  <c r="D777" i="22"/>
  <c r="H777" i="22"/>
  <c r="I777" i="22"/>
  <c r="D778" i="22"/>
  <c r="H778" i="22"/>
  <c r="I778" i="22"/>
  <c r="D779" i="22"/>
  <c r="H779" i="22"/>
  <c r="I779" i="22"/>
  <c r="D780" i="22"/>
  <c r="H780" i="22"/>
  <c r="I780" i="22"/>
  <c r="D781" i="22"/>
  <c r="H781" i="22"/>
  <c r="I781" i="22"/>
  <c r="D782" i="22"/>
  <c r="H782" i="22"/>
  <c r="I782" i="22"/>
  <c r="D783" i="22"/>
  <c r="H783" i="22"/>
  <c r="I783" i="22"/>
  <c r="D784" i="22"/>
  <c r="H784" i="22"/>
  <c r="I784" i="22"/>
  <c r="D785" i="22"/>
  <c r="H785" i="22"/>
  <c r="I785" i="22"/>
  <c r="D786" i="22"/>
  <c r="H786" i="22"/>
  <c r="I786" i="22"/>
  <c r="D787" i="22"/>
  <c r="H787" i="22"/>
  <c r="I787" i="22"/>
  <c r="D788" i="22"/>
  <c r="H788" i="22"/>
  <c r="I788" i="22"/>
  <c r="D789" i="22"/>
  <c r="H789" i="22"/>
  <c r="I789" i="22"/>
  <c r="D790" i="22"/>
  <c r="H790" i="22"/>
  <c r="I790" i="22"/>
  <c r="D791" i="22"/>
  <c r="H791" i="22"/>
  <c r="I791" i="22"/>
  <c r="D792" i="22"/>
  <c r="H792" i="22"/>
  <c r="I792" i="22"/>
  <c r="D793" i="22"/>
  <c r="H793" i="22"/>
  <c r="I793" i="22"/>
  <c r="D794" i="22"/>
  <c r="H794" i="22"/>
  <c r="I794" i="22"/>
  <c r="D795" i="22"/>
  <c r="H795" i="22"/>
  <c r="I795" i="22"/>
  <c r="D796" i="22"/>
  <c r="H796" i="22"/>
  <c r="I796" i="22"/>
  <c r="D797" i="22"/>
  <c r="H797" i="22"/>
  <c r="I797" i="22"/>
  <c r="D798" i="22"/>
  <c r="H798" i="22"/>
  <c r="I798" i="22"/>
  <c r="D799" i="22"/>
  <c r="H799" i="22"/>
  <c r="I799" i="22"/>
  <c r="D800" i="22"/>
  <c r="H800" i="22"/>
  <c r="I800" i="22"/>
  <c r="D801" i="22"/>
  <c r="H801" i="22"/>
  <c r="I801" i="22"/>
  <c r="D802" i="22"/>
  <c r="H802" i="22"/>
  <c r="I802" i="22"/>
  <c r="D803" i="22"/>
  <c r="H803" i="22"/>
  <c r="I803" i="22"/>
  <c r="D804" i="22"/>
  <c r="H804" i="22"/>
  <c r="I804" i="22"/>
  <c r="D805" i="22"/>
  <c r="H805" i="22"/>
  <c r="I805" i="22"/>
  <c r="D806" i="22"/>
  <c r="H806" i="22"/>
  <c r="I806" i="22"/>
  <c r="D807" i="22"/>
  <c r="H807" i="22"/>
  <c r="I807" i="22"/>
  <c r="D808" i="22"/>
  <c r="H808" i="22"/>
  <c r="I808" i="22"/>
  <c r="D809" i="22"/>
  <c r="H809" i="22"/>
  <c r="I809" i="22"/>
  <c r="D810" i="22"/>
  <c r="H810" i="22"/>
  <c r="I810" i="22"/>
  <c r="D811" i="22"/>
  <c r="H811" i="22"/>
  <c r="I811" i="22"/>
  <c r="D812" i="22"/>
  <c r="H812" i="22"/>
  <c r="I812" i="22"/>
  <c r="D813" i="22"/>
  <c r="H813" i="22"/>
  <c r="I813" i="22"/>
  <c r="D814" i="22"/>
  <c r="H814" i="22"/>
  <c r="I814" i="22"/>
  <c r="D815" i="22"/>
  <c r="H815" i="22"/>
  <c r="I815" i="22"/>
  <c r="D816" i="22"/>
  <c r="H816" i="22"/>
  <c r="I816" i="22"/>
  <c r="D817" i="22"/>
  <c r="H817" i="22"/>
  <c r="I817" i="22"/>
  <c r="D818" i="22"/>
  <c r="H818" i="22"/>
  <c r="I818" i="22"/>
  <c r="D819" i="22"/>
  <c r="D820" i="22"/>
  <c r="H820" i="22"/>
  <c r="I820" i="22"/>
  <c r="D821" i="22"/>
  <c r="D822" i="22"/>
  <c r="H822" i="22"/>
  <c r="I822" i="22"/>
  <c r="D823" i="22"/>
  <c r="H823" i="22"/>
  <c r="I823" i="22"/>
  <c r="D824" i="22"/>
  <c r="H824" i="22"/>
  <c r="D825" i="22"/>
  <c r="H825" i="22"/>
  <c r="I825" i="22"/>
  <c r="D826" i="22"/>
  <c r="H826" i="22"/>
  <c r="D827" i="22"/>
  <c r="I827" i="22"/>
  <c r="D828" i="22"/>
  <c r="H828" i="22"/>
  <c r="I828" i="22"/>
  <c r="D829" i="22"/>
  <c r="H829" i="22"/>
  <c r="I829" i="22"/>
  <c r="D830" i="22"/>
  <c r="I830" i="22"/>
  <c r="D831" i="22"/>
  <c r="H831" i="22"/>
  <c r="I831" i="22"/>
  <c r="D832" i="22"/>
  <c r="D833" i="22"/>
  <c r="H833" i="22"/>
  <c r="I833" i="22"/>
  <c r="D834" i="22"/>
  <c r="H834" i="22"/>
  <c r="I834" i="22"/>
  <c r="D835" i="22"/>
  <c r="H835" i="22"/>
  <c r="I835" i="22"/>
  <c r="D836" i="22"/>
  <c r="H836" i="22"/>
  <c r="I836" i="22"/>
  <c r="D837" i="22"/>
  <c r="H837" i="22"/>
  <c r="I837" i="22"/>
  <c r="D838" i="22"/>
  <c r="H838" i="22"/>
  <c r="I838" i="22"/>
  <c r="D839" i="22"/>
  <c r="H839" i="22"/>
  <c r="I839" i="22"/>
  <c r="D840" i="22"/>
  <c r="H840" i="22"/>
  <c r="I840" i="22"/>
  <c r="D841" i="22"/>
  <c r="H841" i="22"/>
  <c r="I841" i="22"/>
  <c r="D842" i="22"/>
  <c r="H842" i="22"/>
  <c r="I842" i="22"/>
  <c r="D843" i="22"/>
  <c r="H843" i="22"/>
  <c r="I843" i="22"/>
  <c r="D844" i="22"/>
  <c r="H844" i="22"/>
  <c r="I844" i="22"/>
  <c r="D845" i="22"/>
  <c r="H845" i="22"/>
  <c r="I845" i="22"/>
  <c r="D846" i="22"/>
  <c r="H846" i="22"/>
  <c r="I846" i="22"/>
  <c r="D847" i="22"/>
  <c r="H847" i="22"/>
  <c r="I847" i="22"/>
  <c r="D848" i="22"/>
  <c r="H848" i="22"/>
  <c r="I848" i="22"/>
  <c r="D849" i="22"/>
  <c r="H849" i="22"/>
  <c r="I849" i="22"/>
  <c r="D850" i="22"/>
  <c r="H850" i="22"/>
  <c r="I850" i="22"/>
  <c r="D851" i="22"/>
  <c r="H851" i="22"/>
  <c r="I851" i="22"/>
  <c r="D852" i="22"/>
  <c r="H852" i="22"/>
  <c r="I852" i="22"/>
  <c r="D853" i="22"/>
  <c r="H853" i="22"/>
  <c r="I853" i="22"/>
  <c r="D854" i="22"/>
  <c r="H854" i="22"/>
  <c r="I854" i="22"/>
  <c r="D855" i="22"/>
  <c r="H855" i="22"/>
  <c r="I855" i="22"/>
  <c r="D856" i="22"/>
  <c r="H856" i="22"/>
  <c r="I856" i="22"/>
  <c r="D857" i="22"/>
  <c r="H857" i="22"/>
  <c r="I857" i="22"/>
  <c r="D858" i="22"/>
  <c r="H858" i="22"/>
  <c r="I858" i="22"/>
  <c r="D859" i="22"/>
  <c r="H859" i="22"/>
  <c r="I859" i="22"/>
  <c r="D860" i="22"/>
  <c r="H860" i="22"/>
  <c r="I860" i="22"/>
  <c r="D861" i="22"/>
  <c r="H861" i="22"/>
  <c r="I861" i="22"/>
  <c r="D862" i="22"/>
  <c r="H862" i="22"/>
  <c r="I862" i="22"/>
  <c r="D863" i="22"/>
  <c r="H863" i="22"/>
  <c r="I863" i="22"/>
  <c r="D864" i="22"/>
  <c r="H864" i="22"/>
  <c r="I864" i="22"/>
  <c r="D865" i="22"/>
  <c r="H865" i="22"/>
  <c r="I865" i="22"/>
  <c r="D866" i="22"/>
  <c r="H866" i="22"/>
  <c r="I866" i="22"/>
  <c r="D867" i="22"/>
  <c r="H867" i="22"/>
  <c r="I867" i="22"/>
  <c r="D868" i="22"/>
  <c r="H868" i="22"/>
  <c r="I868" i="22"/>
  <c r="D869" i="22"/>
  <c r="H869" i="22"/>
  <c r="I869" i="22"/>
  <c r="D870" i="22"/>
  <c r="H870" i="22"/>
  <c r="I870" i="22"/>
  <c r="D871" i="22"/>
  <c r="H871" i="22"/>
  <c r="I871" i="22"/>
  <c r="D872" i="22"/>
  <c r="D873" i="22"/>
  <c r="H873" i="22"/>
  <c r="I873" i="22"/>
  <c r="D874" i="22"/>
  <c r="H874" i="22"/>
  <c r="D875" i="22"/>
  <c r="I875" i="22"/>
  <c r="D876" i="22"/>
  <c r="H876" i="22"/>
  <c r="I876" i="22"/>
  <c r="D877" i="22"/>
  <c r="H877" i="22"/>
  <c r="I877" i="22"/>
  <c r="D878" i="22"/>
  <c r="I878" i="22"/>
  <c r="D879" i="22"/>
  <c r="H879" i="22"/>
  <c r="I879" i="22"/>
  <c r="D880" i="22"/>
  <c r="H880" i="22"/>
  <c r="D881" i="22"/>
  <c r="H881" i="22"/>
  <c r="I881" i="22"/>
  <c r="D882" i="22"/>
  <c r="H882" i="22"/>
  <c r="I882" i="22"/>
  <c r="D883" i="22"/>
  <c r="D884" i="22"/>
  <c r="H884" i="22"/>
  <c r="I884" i="22"/>
  <c r="D885" i="22"/>
  <c r="I885" i="22"/>
  <c r="D886" i="22"/>
  <c r="H886" i="22"/>
  <c r="I886" i="22"/>
  <c r="D887" i="22"/>
  <c r="H887" i="22"/>
  <c r="I887" i="22"/>
  <c r="D888" i="22"/>
  <c r="H888" i="22"/>
  <c r="D889" i="22"/>
  <c r="H889" i="22"/>
  <c r="I889" i="22"/>
  <c r="D890" i="22"/>
  <c r="H890" i="22"/>
  <c r="D891" i="22"/>
  <c r="I891" i="22"/>
  <c r="D892" i="22"/>
  <c r="H892" i="22"/>
  <c r="D893" i="22"/>
  <c r="H893" i="22"/>
  <c r="I893" i="22"/>
  <c r="D894" i="22"/>
  <c r="I894" i="22"/>
  <c r="D895" i="22"/>
  <c r="H895" i="22"/>
  <c r="D896" i="22"/>
  <c r="H896" i="22"/>
  <c r="I896" i="22"/>
  <c r="D897" i="22"/>
  <c r="H897" i="22"/>
  <c r="I897" i="22"/>
  <c r="D898" i="22"/>
  <c r="H898" i="22"/>
  <c r="I898" i="22"/>
  <c r="D899" i="22"/>
  <c r="H899" i="22"/>
  <c r="I899" i="22"/>
  <c r="D900" i="22"/>
  <c r="H900" i="22"/>
  <c r="I900" i="22"/>
  <c r="D901" i="22"/>
  <c r="H901" i="22"/>
  <c r="I901" i="22"/>
  <c r="D902" i="22"/>
  <c r="H902" i="22"/>
  <c r="I902" i="22"/>
  <c r="D903" i="22"/>
  <c r="H903" i="22"/>
  <c r="I903" i="22"/>
  <c r="D904" i="22"/>
  <c r="H904" i="22"/>
  <c r="I904" i="22"/>
  <c r="D905" i="22"/>
  <c r="H905" i="22"/>
  <c r="I905" i="22"/>
  <c r="D906" i="22"/>
  <c r="H906" i="22"/>
  <c r="I906" i="22"/>
  <c r="D907" i="22"/>
  <c r="H907" i="22"/>
  <c r="I907" i="22"/>
  <c r="D908" i="22"/>
  <c r="H908" i="22"/>
  <c r="I908" i="22"/>
  <c r="D909" i="22"/>
  <c r="H909" i="22"/>
  <c r="I909" i="22"/>
  <c r="D910" i="22"/>
  <c r="H910" i="22"/>
  <c r="I910" i="22"/>
  <c r="D911" i="22"/>
  <c r="H911" i="22"/>
  <c r="I911" i="22"/>
  <c r="D912" i="22"/>
  <c r="H912" i="22"/>
  <c r="I912" i="22"/>
  <c r="D913" i="22"/>
  <c r="H913" i="22"/>
  <c r="I913" i="22"/>
  <c r="D914" i="22"/>
  <c r="H914" i="22"/>
  <c r="I914" i="22"/>
  <c r="D915" i="22"/>
  <c r="H915" i="22"/>
  <c r="I915" i="22"/>
  <c r="D916" i="22"/>
  <c r="H916" i="22"/>
  <c r="I916" i="22"/>
  <c r="D917" i="22"/>
  <c r="H917" i="22"/>
  <c r="I917" i="22"/>
  <c r="D918" i="22"/>
  <c r="H918" i="22"/>
  <c r="I918" i="22"/>
  <c r="D919" i="22"/>
  <c r="H919" i="22"/>
  <c r="I919" i="22"/>
  <c r="D920" i="22"/>
  <c r="H920" i="22"/>
  <c r="I920" i="22"/>
  <c r="D921" i="22"/>
  <c r="H921" i="22"/>
  <c r="I921" i="22"/>
  <c r="D922" i="22"/>
  <c r="H922" i="22"/>
  <c r="I922" i="22"/>
  <c r="D923" i="22"/>
  <c r="H923" i="22"/>
  <c r="I923" i="22"/>
  <c r="D924" i="22"/>
  <c r="H924" i="22"/>
  <c r="I924" i="22"/>
  <c r="D925" i="22"/>
  <c r="H925" i="22"/>
  <c r="I925" i="22"/>
  <c r="D926" i="22"/>
  <c r="H926" i="22"/>
  <c r="I926" i="22"/>
  <c r="D927" i="22"/>
  <c r="H927" i="22"/>
  <c r="I927" i="22"/>
  <c r="D928" i="22"/>
  <c r="H928" i="22"/>
  <c r="I928" i="22"/>
  <c r="D929" i="22"/>
  <c r="H929" i="22"/>
  <c r="I929" i="22"/>
  <c r="D930" i="22"/>
  <c r="H930" i="22"/>
  <c r="I930" i="22"/>
  <c r="D931" i="22"/>
  <c r="H931" i="22"/>
  <c r="I931" i="22"/>
  <c r="D932" i="22"/>
  <c r="H932" i="22"/>
  <c r="I932" i="22"/>
  <c r="D933" i="22"/>
  <c r="H933" i="22"/>
  <c r="I933" i="22"/>
  <c r="D934" i="22"/>
  <c r="H934" i="22"/>
  <c r="I934" i="22"/>
  <c r="D935" i="22"/>
  <c r="H935" i="22"/>
  <c r="I935" i="22"/>
  <c r="D936" i="22"/>
  <c r="H936" i="22"/>
  <c r="I936" i="22"/>
  <c r="D937" i="22"/>
  <c r="H937" i="22"/>
  <c r="I937" i="22"/>
  <c r="D938" i="22"/>
  <c r="H938" i="22"/>
  <c r="I938" i="22"/>
  <c r="D939" i="22"/>
  <c r="H939" i="22"/>
  <c r="I939" i="22"/>
  <c r="D940" i="22"/>
  <c r="H940" i="22"/>
  <c r="I940" i="22"/>
  <c r="D941" i="22"/>
  <c r="H941" i="22"/>
  <c r="I941" i="22"/>
  <c r="D942" i="22"/>
  <c r="H942" i="22"/>
  <c r="I942" i="22"/>
  <c r="D943" i="22"/>
  <c r="H943" i="22"/>
  <c r="I943" i="22"/>
  <c r="D944" i="22"/>
  <c r="H944" i="22"/>
  <c r="I944" i="22"/>
  <c r="D945" i="22"/>
  <c r="H945" i="22"/>
  <c r="I945" i="22"/>
  <c r="D946" i="22"/>
  <c r="H946" i="22"/>
  <c r="I946" i="22"/>
  <c r="D947" i="22"/>
  <c r="H947" i="22"/>
  <c r="I947" i="22"/>
  <c r="D948" i="22"/>
  <c r="H948" i="22"/>
  <c r="I948" i="22"/>
  <c r="D949" i="22"/>
  <c r="H949" i="22"/>
  <c r="I949" i="22"/>
  <c r="D950" i="22"/>
  <c r="H950" i="22"/>
  <c r="I950" i="22"/>
  <c r="D951" i="22"/>
  <c r="H951" i="22"/>
  <c r="I951" i="22"/>
  <c r="D952" i="22"/>
  <c r="H952" i="22"/>
  <c r="I952" i="22"/>
  <c r="D953" i="22"/>
  <c r="H953" i="22"/>
  <c r="I953" i="22"/>
  <c r="D954" i="22"/>
  <c r="H954" i="22"/>
  <c r="I954" i="22"/>
  <c r="D955" i="22"/>
  <c r="H955" i="22"/>
  <c r="I955" i="22"/>
  <c r="D956" i="22"/>
  <c r="H956" i="22"/>
  <c r="I956" i="22"/>
  <c r="D957" i="22"/>
  <c r="H957" i="22"/>
  <c r="I957" i="22"/>
  <c r="D958" i="22"/>
  <c r="H958" i="22"/>
  <c r="I958" i="22"/>
  <c r="D959" i="22"/>
  <c r="H959" i="22"/>
  <c r="I959" i="22"/>
  <c r="D960" i="22"/>
  <c r="H960" i="22"/>
  <c r="I960" i="22"/>
  <c r="D961" i="22"/>
  <c r="H961" i="22"/>
  <c r="I961" i="22"/>
  <c r="D962" i="22"/>
  <c r="H962" i="22"/>
  <c r="I962" i="22"/>
  <c r="D963" i="22"/>
  <c r="H963" i="22"/>
  <c r="I963" i="22"/>
  <c r="D964" i="22"/>
  <c r="H964" i="22"/>
  <c r="I964" i="22"/>
  <c r="D965" i="22"/>
  <c r="H965" i="22"/>
  <c r="I965" i="22"/>
  <c r="D966" i="22"/>
  <c r="H966" i="22"/>
  <c r="I966" i="22"/>
  <c r="D967" i="22"/>
  <c r="H967" i="22"/>
  <c r="I967" i="22"/>
  <c r="D968" i="22"/>
  <c r="H968" i="22"/>
  <c r="D969" i="22"/>
  <c r="H969" i="22"/>
  <c r="I969" i="22"/>
  <c r="D970" i="22"/>
  <c r="H970" i="22"/>
  <c r="D971" i="22"/>
  <c r="I971" i="22"/>
  <c r="D972" i="22"/>
  <c r="H972" i="22"/>
  <c r="I972" i="22"/>
  <c r="D973" i="22"/>
  <c r="H973" i="22"/>
  <c r="I973" i="22"/>
  <c r="D974" i="22"/>
  <c r="H974" i="22"/>
  <c r="I974" i="22"/>
  <c r="D975" i="22"/>
  <c r="H975" i="22"/>
  <c r="I975" i="22"/>
  <c r="D976" i="22"/>
  <c r="H976" i="22"/>
  <c r="I976" i="22"/>
  <c r="D977" i="22"/>
  <c r="H977" i="22"/>
  <c r="I977" i="22"/>
  <c r="D978" i="22"/>
  <c r="H978" i="22"/>
  <c r="I978" i="22"/>
  <c r="D979" i="22"/>
  <c r="D980" i="22"/>
  <c r="H980" i="22"/>
  <c r="I980" i="22"/>
  <c r="D981" i="22"/>
  <c r="H981" i="22"/>
  <c r="I981" i="22"/>
  <c r="D982" i="22"/>
  <c r="H982" i="22"/>
  <c r="I982" i="22"/>
  <c r="D983" i="22"/>
  <c r="H983" i="22"/>
  <c r="I983" i="22"/>
  <c r="D984" i="22"/>
  <c r="H984" i="22"/>
  <c r="I984" i="22"/>
  <c r="D985" i="22"/>
  <c r="H985" i="22"/>
  <c r="I985" i="22"/>
  <c r="D986" i="22"/>
  <c r="H986" i="22"/>
  <c r="I986" i="22"/>
  <c r="D987" i="22"/>
  <c r="H987" i="22"/>
  <c r="I987" i="22"/>
  <c r="D988" i="22"/>
  <c r="H988" i="22"/>
  <c r="I988" i="22"/>
  <c r="D989" i="22"/>
  <c r="H989" i="22"/>
  <c r="I989" i="22"/>
  <c r="D990" i="22"/>
  <c r="H990" i="22"/>
  <c r="I990" i="22"/>
  <c r="D991" i="22"/>
  <c r="H991" i="22"/>
  <c r="I991" i="22"/>
  <c r="D992" i="22"/>
  <c r="H992" i="22"/>
  <c r="I992" i="22"/>
  <c r="D993" i="22"/>
  <c r="H993" i="22"/>
  <c r="I993" i="22"/>
  <c r="D994" i="22"/>
  <c r="H994" i="22"/>
  <c r="I994" i="22"/>
  <c r="D995" i="22"/>
  <c r="H995" i="22"/>
  <c r="I995" i="22"/>
  <c r="D996" i="22"/>
  <c r="H996" i="22"/>
  <c r="I996" i="22"/>
  <c r="D997" i="22"/>
  <c r="H997" i="22"/>
  <c r="I997" i="22"/>
  <c r="D998" i="22"/>
  <c r="H998" i="22"/>
  <c r="I998" i="22"/>
  <c r="D999" i="22"/>
  <c r="H999" i="22"/>
  <c r="I999" i="22"/>
  <c r="D1000" i="22"/>
  <c r="H1000" i="22"/>
  <c r="I1000" i="22"/>
  <c r="D1001" i="22"/>
  <c r="H1001" i="22"/>
  <c r="I1001" i="22"/>
  <c r="D1002" i="22"/>
  <c r="H1002" i="22"/>
  <c r="I1002" i="22"/>
  <c r="D1003" i="22"/>
  <c r="H1003" i="22"/>
  <c r="I1003" i="22"/>
  <c r="D1004" i="22"/>
  <c r="H1004" i="22"/>
  <c r="I1004" i="22"/>
  <c r="D1005" i="22"/>
  <c r="H1005" i="22"/>
  <c r="I1005" i="22"/>
  <c r="D1006" i="22"/>
  <c r="H1006" i="22"/>
  <c r="I1006" i="22"/>
  <c r="D1007" i="22"/>
  <c r="H1007" i="22"/>
  <c r="I1007" i="22"/>
  <c r="D1008" i="22"/>
  <c r="H1008" i="22"/>
  <c r="I1008" i="22"/>
  <c r="D1009" i="22"/>
  <c r="H1009" i="22"/>
  <c r="I1009" i="22"/>
  <c r="D1010" i="22"/>
  <c r="H1010" i="22"/>
  <c r="I1010" i="22"/>
  <c r="D1011" i="22"/>
  <c r="H1011" i="22"/>
  <c r="I1011" i="22"/>
  <c r="D1012" i="22"/>
  <c r="H1012" i="22"/>
  <c r="I1012" i="22"/>
  <c r="D1013" i="22"/>
  <c r="H1013" i="22"/>
  <c r="I1013" i="22"/>
  <c r="D1014" i="22"/>
  <c r="H1014" i="22"/>
  <c r="I1014" i="22"/>
  <c r="D1015" i="22"/>
  <c r="H1015" i="22"/>
  <c r="I1015" i="22"/>
  <c r="D1016" i="22"/>
  <c r="H1016" i="22"/>
  <c r="I1016" i="22"/>
  <c r="D1017" i="22"/>
  <c r="H1017" i="22"/>
  <c r="I1017" i="22"/>
  <c r="D1018" i="22"/>
  <c r="H1018" i="22"/>
  <c r="I1018" i="22"/>
  <c r="D1019" i="22"/>
  <c r="H1019" i="22"/>
  <c r="I1019" i="22"/>
  <c r="D1020" i="22"/>
  <c r="H1020" i="22"/>
  <c r="I1020" i="22"/>
  <c r="D1021" i="22"/>
  <c r="H1021" i="22"/>
  <c r="I1021" i="22"/>
  <c r="D1022" i="22"/>
  <c r="H1022" i="22"/>
  <c r="I1022" i="22"/>
  <c r="D1023" i="22"/>
  <c r="H1023" i="22"/>
  <c r="I1023" i="22"/>
  <c r="D1024" i="22"/>
  <c r="H1024" i="22"/>
  <c r="I1024" i="22"/>
  <c r="D1025" i="22"/>
  <c r="H1025" i="22"/>
  <c r="I1025" i="22"/>
  <c r="D1026" i="22"/>
  <c r="H1026" i="22"/>
  <c r="I1026" i="22"/>
  <c r="D1027" i="22"/>
  <c r="H1027" i="22"/>
  <c r="I1027" i="22"/>
  <c r="D1028" i="22"/>
  <c r="H1028" i="22"/>
  <c r="I1028" i="22"/>
  <c r="D1029" i="22"/>
  <c r="H1029" i="22"/>
  <c r="I1029" i="22"/>
  <c r="D1030" i="22"/>
  <c r="H1030" i="22"/>
  <c r="I1030" i="22"/>
  <c r="D1031" i="22"/>
  <c r="H1031" i="22"/>
  <c r="I1031" i="22"/>
  <c r="D1032" i="22"/>
  <c r="H1032" i="22"/>
  <c r="I1032" i="22"/>
  <c r="D1033" i="22"/>
  <c r="H1033" i="22"/>
  <c r="I1033" i="22"/>
  <c r="D1034" i="22"/>
  <c r="H1034" i="22"/>
  <c r="I1034" i="22"/>
  <c r="D1035" i="22"/>
  <c r="H1035" i="22"/>
  <c r="I1035" i="22"/>
  <c r="D1036" i="22"/>
  <c r="H1036" i="22"/>
  <c r="I1036" i="22"/>
  <c r="D1037" i="22"/>
  <c r="H1037" i="22"/>
  <c r="I1037" i="22"/>
  <c r="D1038" i="22"/>
  <c r="H1038" i="22"/>
  <c r="I1038" i="22"/>
  <c r="D1039" i="22"/>
  <c r="H1039" i="22"/>
  <c r="I1039" i="22"/>
  <c r="D1040" i="22"/>
  <c r="H1040" i="22"/>
  <c r="I1040" i="22"/>
  <c r="D1041" i="22"/>
  <c r="H1041" i="22"/>
  <c r="I1041" i="22"/>
  <c r="D1042" i="22"/>
  <c r="H1042" i="22"/>
  <c r="I1042" i="22"/>
  <c r="D1043" i="22"/>
  <c r="H1043" i="22"/>
  <c r="I1043" i="22"/>
  <c r="D1044" i="22"/>
  <c r="H1044" i="22"/>
  <c r="I1044" i="22"/>
  <c r="D1045" i="22"/>
  <c r="H1045" i="22"/>
  <c r="I1045" i="22"/>
  <c r="D1046" i="22"/>
  <c r="H1046" i="22"/>
  <c r="I1046" i="22"/>
  <c r="D1047" i="22"/>
  <c r="H1047" i="22"/>
  <c r="I1047" i="22"/>
  <c r="D1048" i="22"/>
  <c r="H1048" i="22"/>
  <c r="I1048" i="22"/>
  <c r="D1049" i="22"/>
  <c r="H1049" i="22"/>
  <c r="I1049" i="22"/>
  <c r="D1050" i="22"/>
  <c r="H1050" i="22"/>
  <c r="I1050" i="22"/>
  <c r="D1051" i="22"/>
  <c r="H1051" i="22"/>
  <c r="I1051" i="22"/>
  <c r="D1052" i="22"/>
  <c r="H1052" i="22"/>
  <c r="I1052" i="22"/>
  <c r="D1053" i="22"/>
  <c r="H1053" i="22"/>
  <c r="I1053" i="22"/>
  <c r="D1054" i="22"/>
  <c r="H1054" i="22"/>
  <c r="I1054" i="22"/>
  <c r="D1055" i="22"/>
  <c r="H1055" i="22"/>
  <c r="I1055" i="22"/>
  <c r="D1056" i="22"/>
  <c r="H1056" i="22"/>
  <c r="I1056" i="22"/>
  <c r="D1057" i="22"/>
  <c r="H1057" i="22"/>
  <c r="I1057" i="22"/>
  <c r="D1058" i="22"/>
  <c r="H1058" i="22"/>
  <c r="I1058" i="22"/>
  <c r="D1059" i="22"/>
  <c r="D1060" i="22"/>
  <c r="H1060" i="22"/>
  <c r="I1060" i="22"/>
  <c r="D1061" i="22"/>
  <c r="I1061" i="22"/>
  <c r="D1062" i="22"/>
  <c r="H1062" i="22"/>
  <c r="I1062" i="22"/>
  <c r="D1063" i="22"/>
  <c r="H1063" i="22"/>
  <c r="I1063" i="22"/>
  <c r="D1064" i="22"/>
  <c r="H1064" i="22"/>
  <c r="D1065" i="22"/>
  <c r="H1065" i="22"/>
  <c r="I1065" i="22"/>
  <c r="D1066" i="22"/>
  <c r="H1066" i="22"/>
  <c r="D1067" i="22"/>
  <c r="D1068" i="22"/>
  <c r="H1068" i="22"/>
  <c r="I1068" i="22"/>
  <c r="D1069" i="22"/>
  <c r="H1069" i="22"/>
  <c r="I1069" i="22"/>
  <c r="D1070" i="22"/>
  <c r="H1070" i="22"/>
  <c r="I1070" i="22"/>
  <c r="D1071" i="22"/>
  <c r="H1071" i="22"/>
  <c r="I1071" i="22"/>
  <c r="D1072" i="22"/>
  <c r="H1072" i="22"/>
  <c r="I1072" i="22"/>
  <c r="D1073" i="22"/>
  <c r="H1073" i="22"/>
  <c r="I1073" i="22"/>
  <c r="D1074" i="22"/>
  <c r="H1074" i="22"/>
  <c r="I1074" i="22"/>
  <c r="D1075" i="22"/>
  <c r="H1075" i="22"/>
  <c r="I1075" i="22"/>
  <c r="D1076" i="22"/>
  <c r="H1076" i="22"/>
  <c r="I1076" i="22"/>
  <c r="D1077" i="22"/>
  <c r="H1077" i="22"/>
  <c r="I1077" i="22"/>
  <c r="D1078" i="22"/>
  <c r="H1078" i="22"/>
  <c r="I1078" i="22"/>
  <c r="D1079" i="22"/>
  <c r="H1079" i="22"/>
  <c r="I1079" i="22"/>
  <c r="D1080" i="22"/>
  <c r="H1080" i="22"/>
  <c r="I1080" i="22"/>
  <c r="D1081" i="22"/>
  <c r="H1081" i="22"/>
  <c r="I1081" i="22"/>
  <c r="D1082" i="22"/>
  <c r="H1082" i="22"/>
  <c r="I1082" i="22"/>
  <c r="D1083" i="22"/>
  <c r="H1083" i="22"/>
  <c r="I1083" i="22"/>
  <c r="D1084" i="22"/>
  <c r="H1084" i="22"/>
  <c r="I1084" i="22"/>
  <c r="D1085" i="22"/>
  <c r="H1085" i="22"/>
  <c r="I1085" i="22"/>
  <c r="D1086" i="22"/>
  <c r="H1086" i="22"/>
  <c r="I1086" i="22"/>
  <c r="D1087" i="22"/>
  <c r="H1087" i="22"/>
  <c r="I1087" i="22"/>
  <c r="D1088" i="22"/>
  <c r="H1088" i="22"/>
  <c r="I1088" i="22"/>
  <c r="D1089" i="22"/>
  <c r="H1089" i="22"/>
  <c r="I1089" i="22"/>
  <c r="D1090" i="22"/>
  <c r="H1090" i="22"/>
  <c r="I1090" i="22"/>
  <c r="D1091" i="22"/>
  <c r="H1091" i="22"/>
  <c r="I1091" i="22"/>
  <c r="D1092" i="22"/>
  <c r="H1092" i="22"/>
  <c r="I1092" i="22"/>
  <c r="D1093" i="22"/>
  <c r="H1093" i="22"/>
  <c r="I1093" i="22"/>
  <c r="D1094" i="22"/>
  <c r="H1094" i="22"/>
  <c r="I1094" i="22"/>
  <c r="D1095" i="22"/>
  <c r="H1095" i="22"/>
  <c r="I1095" i="22"/>
  <c r="D1096" i="22"/>
  <c r="H1096" i="22"/>
  <c r="I1096" i="22"/>
  <c r="D1097" i="22"/>
  <c r="H1097" i="22"/>
  <c r="I1097" i="22"/>
  <c r="D1098" i="22"/>
  <c r="H1098" i="22"/>
  <c r="I1098" i="22"/>
  <c r="D1099" i="22"/>
  <c r="H1099" i="22"/>
  <c r="I1099" i="22"/>
  <c r="D1100" i="22"/>
  <c r="H1100" i="22"/>
  <c r="I1100" i="22"/>
  <c r="D1101" i="22"/>
  <c r="H1101" i="22"/>
  <c r="I1101" i="22"/>
  <c r="D1102" i="22"/>
  <c r="I1102" i="22"/>
  <c r="D1103" i="22"/>
  <c r="H1103" i="22"/>
  <c r="I1103" i="22"/>
  <c r="D1104" i="22"/>
  <c r="H1104" i="22"/>
  <c r="D1105" i="22"/>
  <c r="H1105" i="22"/>
  <c r="I1105" i="22"/>
  <c r="D1106" i="22"/>
  <c r="H1106" i="22"/>
  <c r="I1106" i="22"/>
  <c r="D1107" i="22"/>
  <c r="D1108" i="22"/>
  <c r="H1108" i="22"/>
  <c r="I1108" i="22"/>
  <c r="D1109" i="22"/>
  <c r="I1109" i="22"/>
  <c r="D1110" i="22"/>
  <c r="H1110" i="22"/>
  <c r="I1110" i="22"/>
  <c r="D1111" i="22"/>
  <c r="H1111" i="22"/>
  <c r="I1111" i="22"/>
  <c r="D1112" i="22"/>
  <c r="H1112" i="22"/>
  <c r="D1113" i="22"/>
  <c r="H1113" i="22"/>
  <c r="I1113" i="22"/>
  <c r="D1114" i="22"/>
  <c r="H1114" i="22"/>
  <c r="D1115" i="22"/>
  <c r="H1115" i="22"/>
  <c r="I1115" i="22"/>
  <c r="D1116" i="22"/>
  <c r="H1116" i="22"/>
  <c r="I1116" i="22"/>
  <c r="D1117" i="22"/>
  <c r="H1117" i="22"/>
  <c r="I1117" i="22"/>
  <c r="D1118" i="22"/>
  <c r="H1118" i="22"/>
  <c r="I1118" i="22"/>
  <c r="D1119" i="22"/>
  <c r="H1119" i="22"/>
  <c r="I1119" i="22"/>
  <c r="D1120" i="22"/>
  <c r="H1120" i="22"/>
  <c r="I1120" i="22"/>
  <c r="D1121" i="22"/>
  <c r="H1121" i="22"/>
  <c r="I1121" i="22"/>
  <c r="D1122" i="22"/>
  <c r="H1122" i="22"/>
  <c r="I1122" i="22"/>
  <c r="D1123" i="22"/>
  <c r="I1123" i="22"/>
  <c r="D1124" i="22"/>
  <c r="H1124" i="22"/>
  <c r="I1124" i="22"/>
  <c r="D1125" i="22"/>
  <c r="I1125" i="22"/>
  <c r="D1126" i="22"/>
  <c r="H1126" i="22"/>
  <c r="I1126" i="22"/>
  <c r="D1127" i="22"/>
  <c r="H1127" i="22"/>
  <c r="I1127" i="22"/>
  <c r="D1128" i="22"/>
  <c r="H1128" i="22"/>
  <c r="D1129" i="22"/>
  <c r="H1129" i="22"/>
  <c r="I1129" i="22"/>
  <c r="D1130" i="22"/>
  <c r="H1130" i="22"/>
  <c r="D1131" i="22"/>
  <c r="H1131" i="22"/>
  <c r="I1131" i="22"/>
  <c r="D1132" i="22"/>
  <c r="H1132" i="22"/>
  <c r="I1132" i="22"/>
  <c r="D1133" i="22"/>
  <c r="H1133" i="22"/>
  <c r="I1133" i="22"/>
  <c r="D1134" i="22"/>
  <c r="I1134" i="22"/>
  <c r="D1135" i="22"/>
  <c r="H1135" i="22"/>
  <c r="D1136" i="22"/>
  <c r="D1137" i="22"/>
  <c r="H1137" i="22"/>
  <c r="I1137" i="22"/>
  <c r="D1138" i="22"/>
  <c r="H1138" i="22"/>
  <c r="I1138" i="22"/>
  <c r="D1139" i="22"/>
  <c r="H1139" i="22"/>
  <c r="I1139" i="22"/>
  <c r="D1140" i="22"/>
  <c r="H1140" i="22"/>
  <c r="I1140" i="22"/>
  <c r="D1141" i="22"/>
  <c r="H1141" i="22"/>
  <c r="I1141" i="22"/>
  <c r="D1142" i="22"/>
  <c r="H1142" i="22"/>
  <c r="I1142" i="22"/>
  <c r="D1143" i="22"/>
  <c r="H1143" i="22"/>
  <c r="I1143" i="22"/>
  <c r="D1144" i="22"/>
  <c r="H1144" i="22"/>
  <c r="I1144" i="22"/>
  <c r="D1145" i="22"/>
  <c r="H1145" i="22"/>
  <c r="I1145" i="22"/>
  <c r="D1146" i="22"/>
  <c r="H1146" i="22"/>
  <c r="I1146" i="22"/>
  <c r="D1147" i="22"/>
  <c r="H1147" i="22"/>
  <c r="I1147" i="22"/>
  <c r="D1148" i="22"/>
  <c r="H1148" i="22"/>
  <c r="I1148" i="22"/>
  <c r="D1149" i="22"/>
  <c r="H1149" i="22"/>
  <c r="I1149" i="22"/>
  <c r="D1150" i="22"/>
  <c r="H1150" i="22"/>
  <c r="I1150" i="22"/>
  <c r="D1151" i="22"/>
  <c r="H1151" i="22"/>
  <c r="I1151" i="22"/>
  <c r="D1152" i="22"/>
  <c r="H1152" i="22"/>
  <c r="I1152" i="22"/>
  <c r="D1153" i="22"/>
  <c r="H1153" i="22"/>
  <c r="I1153" i="22"/>
  <c r="D1154" i="22"/>
  <c r="H1154" i="22"/>
  <c r="I1154" i="22"/>
  <c r="D1155" i="22"/>
  <c r="H1155" i="22"/>
  <c r="I1155" i="22"/>
  <c r="D1156" i="22"/>
  <c r="H1156" i="22"/>
  <c r="I1156" i="22"/>
  <c r="D1157" i="22"/>
  <c r="H1157" i="22"/>
  <c r="I1157" i="22"/>
  <c r="D1158" i="22"/>
  <c r="H1158" i="22"/>
  <c r="I1158" i="22"/>
  <c r="D1159" i="22"/>
  <c r="H1159" i="22"/>
  <c r="I1159" i="22"/>
  <c r="D1160" i="22"/>
  <c r="H1160" i="22"/>
  <c r="D1161" i="22"/>
  <c r="H1161" i="22"/>
  <c r="I1161" i="22"/>
  <c r="M194" i="27" l="1"/>
  <c r="M195" i="27"/>
  <c r="M196" i="27"/>
  <c r="O196" i="27" s="1"/>
  <c r="M197" i="27"/>
  <c r="O197" i="27" s="1"/>
  <c r="M198" i="27"/>
  <c r="O198" i="27" s="1"/>
  <c r="M199" i="27"/>
  <c r="O199" i="27" s="1"/>
  <c r="M193" i="27"/>
  <c r="O193" i="27" s="1"/>
  <c r="M147" i="27"/>
  <c r="O147" i="27" s="1"/>
  <c r="M148" i="27"/>
  <c r="O148" i="27" s="1"/>
  <c r="M149" i="27"/>
  <c r="O149" i="27" s="1"/>
  <c r="M150" i="27"/>
  <c r="O150" i="27" s="1"/>
  <c r="M151" i="27"/>
  <c r="O151" i="27" s="1"/>
  <c r="M152" i="27"/>
  <c r="O152" i="27" s="1"/>
  <c r="M146" i="27"/>
  <c r="O146" i="27" s="1"/>
  <c r="O194" i="27"/>
  <c r="O195" i="27"/>
  <c r="C128" i="27"/>
  <c r="G175" i="27"/>
  <c r="G128" i="27"/>
  <c r="F175" i="27"/>
  <c r="F128" i="27"/>
  <c r="E175" i="27"/>
  <c r="E128" i="27"/>
  <c r="D175" i="27"/>
  <c r="D128" i="27"/>
  <c r="C175" i="27"/>
  <c r="B175" i="27"/>
  <c r="N100" i="27"/>
  <c r="N101" i="27"/>
  <c r="N102" i="27"/>
  <c r="N103" i="27"/>
  <c r="N104" i="27"/>
  <c r="N105" i="27"/>
  <c r="N99" i="27"/>
  <c r="M53" i="27"/>
  <c r="M54" i="27"/>
  <c r="M55" i="27"/>
  <c r="M56" i="27"/>
  <c r="M57" i="27"/>
  <c r="M58" i="27"/>
  <c r="M52" i="27"/>
  <c r="H81" i="27"/>
  <c r="G81" i="27"/>
  <c r="F81" i="27"/>
  <c r="E81" i="27"/>
  <c r="C81" i="27"/>
  <c r="F100" i="27"/>
  <c r="B81" i="27"/>
  <c r="H34" i="27"/>
  <c r="G34" i="27"/>
  <c r="F34" i="27"/>
  <c r="F58" i="27"/>
  <c r="C34" i="27"/>
  <c r="D244" i="27"/>
  <c r="D151" i="27"/>
  <c r="D150" i="27"/>
  <c r="D147" i="27"/>
  <c r="D148" i="27"/>
  <c r="D245" i="27"/>
  <c r="D243" i="27"/>
  <c r="D241" i="27"/>
  <c r="D152" i="27"/>
  <c r="D149" i="27"/>
  <c r="D246" i="27"/>
  <c r="D242" i="27"/>
  <c r="D338" i="27"/>
  <c r="D481" i="27"/>
  <c r="D480" i="27"/>
  <c r="D479" i="27"/>
  <c r="D478" i="27"/>
  <c r="D477" i="27"/>
  <c r="D476" i="27"/>
  <c r="D475" i="27"/>
  <c r="E475" i="27" s="1"/>
  <c r="G475" i="27" s="1"/>
  <c r="D387" i="27"/>
  <c r="D386" i="27"/>
  <c r="D385" i="27"/>
  <c r="D384" i="27"/>
  <c r="D383" i="27"/>
  <c r="D382" i="27"/>
  <c r="D381" i="27"/>
  <c r="D293" i="27"/>
  <c r="D292" i="27"/>
  <c r="D291" i="27"/>
  <c r="D290" i="27"/>
  <c r="D289" i="27"/>
  <c r="D288" i="27"/>
  <c r="D287" i="27"/>
  <c r="D240" i="27"/>
  <c r="D199" i="27"/>
  <c r="D198" i="27"/>
  <c r="D197" i="27"/>
  <c r="D196" i="27"/>
  <c r="D195" i="27"/>
  <c r="D194" i="27"/>
  <c r="D193" i="27"/>
  <c r="D146" i="27"/>
  <c r="D100" i="27"/>
  <c r="D99" i="27"/>
  <c r="D105" i="27"/>
  <c r="D104" i="27"/>
  <c r="D103" i="27"/>
  <c r="D102" i="27"/>
  <c r="D101" i="27"/>
  <c r="D58" i="27"/>
  <c r="D57" i="27"/>
  <c r="D56" i="27"/>
  <c r="D55" i="27"/>
  <c r="D54" i="27"/>
  <c r="D53" i="27"/>
  <c r="D52" i="27"/>
  <c r="D340" i="27"/>
  <c r="D335" i="27"/>
  <c r="D572" i="27"/>
  <c r="D571" i="27"/>
  <c r="D570" i="27"/>
  <c r="D569" i="27"/>
  <c r="D573" i="27"/>
  <c r="D523" i="27"/>
  <c r="D522" i="27"/>
  <c r="D528" i="27"/>
  <c r="E528" i="27" s="1"/>
  <c r="G528" i="27" s="1"/>
  <c r="D527" i="27"/>
  <c r="D526" i="27"/>
  <c r="D525" i="27"/>
  <c r="E525" i="27" s="1"/>
  <c r="G525" i="27" s="1"/>
  <c r="D524" i="27"/>
  <c r="D574" i="27"/>
  <c r="D575" i="27"/>
  <c r="D430" i="27"/>
  <c r="D429" i="27"/>
  <c r="D434" i="27"/>
  <c r="D433" i="27"/>
  <c r="D432" i="27"/>
  <c r="D431" i="27"/>
  <c r="D428" i="27"/>
  <c r="D339" i="27"/>
  <c r="D337" i="27"/>
  <c r="D336" i="27"/>
  <c r="D334" i="27"/>
  <c r="E334" i="27" s="1"/>
  <c r="G334" i="27" s="1"/>
  <c r="F381" i="27"/>
  <c r="F359" i="27"/>
  <c r="F363" i="27" s="1"/>
  <c r="F316" i="27"/>
  <c r="E316" i="27"/>
  <c r="E359" i="27"/>
  <c r="E363" i="27" s="1"/>
  <c r="D359" i="27"/>
  <c r="D363" i="27" s="1"/>
  <c r="D316" i="27"/>
  <c r="C316" i="27"/>
  <c r="C359" i="27"/>
  <c r="C363" i="27" s="1"/>
  <c r="F337" i="27"/>
  <c r="B359" i="27"/>
  <c r="B316" i="27"/>
  <c r="H175" i="27"/>
  <c r="F193" i="27"/>
  <c r="B128" i="27"/>
  <c r="F149" i="27"/>
  <c r="F54" i="27"/>
  <c r="B34" i="27"/>
  <c r="E573" i="27"/>
  <c r="G573" i="27" s="1"/>
  <c r="E526" i="27"/>
  <c r="G526" i="27" s="1"/>
  <c r="E479" i="27"/>
  <c r="G479" i="27" s="1"/>
  <c r="E481" i="27"/>
  <c r="G481" i="27" s="1"/>
  <c r="E476" i="27"/>
  <c r="G476" i="27" s="1"/>
  <c r="E387" i="27"/>
  <c r="G387" i="27" s="1"/>
  <c r="E385" i="27"/>
  <c r="G385" i="27" s="1"/>
  <c r="E340" i="27"/>
  <c r="G340" i="27" s="1"/>
  <c r="E477" i="27"/>
  <c r="G477" i="27" s="1"/>
  <c r="E432" i="27"/>
  <c r="G432" i="27" s="1"/>
  <c r="E335" i="27"/>
  <c r="G335" i="27" s="1"/>
  <c r="E575" i="27"/>
  <c r="G575" i="27" s="1"/>
  <c r="E569" i="27"/>
  <c r="G569" i="27" s="1"/>
  <c r="E522" i="27"/>
  <c r="G522" i="27" s="1"/>
  <c r="E527" i="27"/>
  <c r="G527" i="27" s="1"/>
  <c r="E524" i="27"/>
  <c r="G524" i="27" s="1"/>
  <c r="E480" i="27"/>
  <c r="G480" i="27" s="1"/>
  <c r="E386" i="27"/>
  <c r="G386" i="27" s="1"/>
  <c r="E339" i="27"/>
  <c r="G339" i="27" s="1"/>
  <c r="E292" i="27"/>
  <c r="G292" i="27" s="1"/>
  <c r="E478" i="27"/>
  <c r="G478" i="27" s="1"/>
  <c r="E433" i="27"/>
  <c r="G433" i="27" s="1"/>
  <c r="E384" i="27"/>
  <c r="E338" i="27"/>
  <c r="G338" i="27" s="1"/>
  <c r="J8" i="26"/>
  <c r="J15" i="26"/>
  <c r="AS9" i="26"/>
  <c r="AM12" i="26"/>
  <c r="AN12" i="26"/>
  <c r="AO12" i="26" s="1"/>
  <c r="AP12" i="26" s="1"/>
  <c r="AU23" i="26"/>
  <c r="AT16" i="26"/>
  <c r="V6" i="26"/>
  <c r="AM11" i="26"/>
  <c r="AN11" i="26"/>
  <c r="AO11" i="26" s="1"/>
  <c r="AP11" i="26" s="1"/>
  <c r="AM5" i="26"/>
  <c r="AN5" i="26"/>
  <c r="AO5" i="26" s="1"/>
  <c r="AP5" i="26" s="1"/>
  <c r="AM19" i="26"/>
  <c r="AN19" i="26"/>
  <c r="AO19" i="26"/>
  <c r="AP19" i="26"/>
  <c r="AM25" i="26"/>
  <c r="AN25" i="26" s="1"/>
  <c r="AO25" i="26" s="1"/>
  <c r="AP25" i="26" s="1"/>
  <c r="AM6" i="26"/>
  <c r="AN6" i="26" s="1"/>
  <c r="AO6" i="26" s="1"/>
  <c r="AP6" i="26" s="1"/>
  <c r="W20" i="26"/>
  <c r="Y13" i="26"/>
  <c r="Z13" i="26" s="1"/>
  <c r="AA13" i="26" s="1"/>
  <c r="X27" i="26"/>
  <c r="Y27" i="26" s="1"/>
  <c r="Z27" i="26" s="1"/>
  <c r="AA27" i="26" s="1"/>
  <c r="K23" i="26"/>
  <c r="L23" i="26" s="1"/>
  <c r="X16" i="26"/>
  <c r="Y16" i="26" s="1"/>
  <c r="Z16" i="26" s="1"/>
  <c r="AA16" i="26" s="1"/>
  <c r="AG15" i="26"/>
  <c r="Q15" i="26"/>
  <c r="X13" i="26"/>
  <c r="J23" i="26"/>
  <c r="AJ2" i="26"/>
  <c r="AK2" i="26" s="1"/>
  <c r="T2" i="26"/>
  <c r="U2" i="26" s="1"/>
  <c r="V2" i="26" s="1"/>
  <c r="Y23" i="26"/>
  <c r="Z23" i="26" s="1"/>
  <c r="AA23" i="26" s="1"/>
  <c r="C23" i="26"/>
  <c r="AU15" i="26"/>
  <c r="AE15" i="26"/>
  <c r="O15" i="26"/>
  <c r="AK9" i="26"/>
  <c r="AI2" i="26"/>
  <c r="S2" i="26"/>
  <c r="M29" i="26"/>
  <c r="M15" i="26" s="1"/>
  <c r="X23" i="26"/>
  <c r="AI20" i="26"/>
  <c r="AJ20" i="26" s="1"/>
  <c r="AK20" i="26" s="1"/>
  <c r="AT15" i="26"/>
  <c r="AD15" i="26"/>
  <c r="N15" i="26"/>
  <c r="AJ9" i="26"/>
  <c r="T9" i="26"/>
  <c r="U9" i="26" s="1"/>
  <c r="V9" i="26" s="1"/>
  <c r="AJ27" i="26"/>
  <c r="AK27" i="26" s="1"/>
  <c r="R20" i="26"/>
  <c r="AJ16" i="26"/>
  <c r="AK16" i="26" s="1"/>
  <c r="T16" i="26"/>
  <c r="U16" i="26" s="1"/>
  <c r="V16" i="26" s="1"/>
  <c r="AS15" i="26"/>
  <c r="AC15" i="26"/>
  <c r="AJ13" i="26"/>
  <c r="AK13" i="26" s="1"/>
  <c r="AI9" i="26"/>
  <c r="S9" i="26"/>
  <c r="AD6" i="26"/>
  <c r="AE6" i="26" s="1"/>
  <c r="AF6" i="26" s="1"/>
  <c r="N6" i="26"/>
  <c r="O6" i="26" s="1"/>
  <c r="P6" i="26" s="1"/>
  <c r="Q6" i="26" s="1"/>
  <c r="S27" i="26"/>
  <c r="T27" i="26" s="1"/>
  <c r="U27" i="26" s="1"/>
  <c r="V27" i="26" s="1"/>
  <c r="AI16" i="26"/>
  <c r="S16" i="26"/>
  <c r="AR15" i="26"/>
  <c r="AB15" i="26"/>
  <c r="AI13" i="26"/>
  <c r="S13" i="26"/>
  <c r="T13" i="26" s="1"/>
  <c r="U13" i="26" s="1"/>
  <c r="V13" i="26" s="1"/>
  <c r="AS6" i="26"/>
  <c r="AT6" i="26" s="1"/>
  <c r="AU6" i="26" s="1"/>
  <c r="K29" i="26"/>
  <c r="K15" i="26" s="1"/>
  <c r="AQ15" i="26"/>
  <c r="AA15" i="26"/>
  <c r="O2" i="26"/>
  <c r="P2" i="26" s="1"/>
  <c r="Q2" i="26" s="1"/>
  <c r="Q27" i="26"/>
  <c r="AJ23" i="26"/>
  <c r="AK23" i="26" s="1"/>
  <c r="T23" i="26"/>
  <c r="U23" i="26" s="1"/>
  <c r="V23" i="26" s="1"/>
  <c r="Q16" i="26"/>
  <c r="AP15" i="26"/>
  <c r="Z15" i="26"/>
  <c r="P9" i="26"/>
  <c r="Q9" i="26" s="1"/>
  <c r="AA6" i="26"/>
  <c r="K6" i="26"/>
  <c r="L6" i="26" s="1"/>
  <c r="AT2" i="26"/>
  <c r="AU2" i="26" s="1"/>
  <c r="AD2" i="26"/>
  <c r="AE2" i="26" s="1"/>
  <c r="AF2" i="26" s="1"/>
  <c r="AI23" i="26"/>
  <c r="AT20" i="26"/>
  <c r="AU20" i="26" s="1"/>
  <c r="AD20" i="26"/>
  <c r="AE20" i="26" s="1"/>
  <c r="AF20" i="26" s="1"/>
  <c r="P16" i="26"/>
  <c r="AO15" i="26"/>
  <c r="Y15" i="26"/>
  <c r="P13" i="26"/>
  <c r="Q13" i="26" s="1"/>
  <c r="O9" i="26"/>
  <c r="Z6" i="26"/>
  <c r="AS2" i="26"/>
  <c r="O27" i="26"/>
  <c r="P27" i="26" s="1"/>
  <c r="AS20" i="26"/>
  <c r="AE16" i="26"/>
  <c r="AF16" i="26" s="1"/>
  <c r="O16" i="26"/>
  <c r="AN15" i="26"/>
  <c r="X15" i="26"/>
  <c r="AU13" i="26"/>
  <c r="O13" i="26"/>
  <c r="AT9" i="26"/>
  <c r="AU9" i="26" s="1"/>
  <c r="AD9" i="26"/>
  <c r="AE9" i="26" s="1"/>
  <c r="AF9" i="26" s="1"/>
  <c r="Y6" i="26"/>
  <c r="AU16" i="26"/>
  <c r="AD16" i="26"/>
  <c r="AM15" i="26"/>
  <c r="W15" i="26"/>
  <c r="AT13" i="26"/>
  <c r="AD13" i="26"/>
  <c r="AE13" i="26" s="1"/>
  <c r="AF13" i="26" s="1"/>
  <c r="AA2" i="26"/>
  <c r="K2" i="26"/>
  <c r="L2" i="26" s="1"/>
  <c r="AS27" i="26"/>
  <c r="AT27" i="26" s="1"/>
  <c r="AU27" i="26" s="1"/>
  <c r="AF23" i="26"/>
  <c r="P23" i="26"/>
  <c r="Q23" i="26" s="1"/>
  <c r="AL15" i="26"/>
  <c r="V15" i="26"/>
  <c r="AS13" i="26"/>
  <c r="Z2" i="26"/>
  <c r="J20" i="26"/>
  <c r="K20" i="26" s="1"/>
  <c r="L20" i="26" s="1"/>
  <c r="L16" i="26"/>
  <c r="AK15" i="26"/>
  <c r="U15" i="26"/>
  <c r="L13" i="26"/>
  <c r="K9" i="26"/>
  <c r="L9" i="26" s="1"/>
  <c r="AJ15" i="26"/>
  <c r="K13" i="26"/>
  <c r="L15" i="25"/>
  <c r="L12" i="25"/>
  <c r="Y13" i="25"/>
  <c r="Y11" i="25"/>
  <c r="Y16" i="25"/>
  <c r="Y14" i="25"/>
  <c r="Y12" i="25"/>
  <c r="Y10" i="25"/>
  <c r="Y15" i="25"/>
  <c r="AI13" i="25"/>
  <c r="AG14" i="25"/>
  <c r="M16" i="25"/>
  <c r="K11" i="25"/>
  <c r="I12" i="25"/>
  <c r="AJ14" i="25"/>
  <c r="AK12" i="25" s="1"/>
  <c r="AI18" i="25"/>
  <c r="X44" i="25"/>
  <c r="X36" i="25"/>
  <c r="X28" i="25"/>
  <c r="X20" i="25"/>
  <c r="K55" i="25"/>
  <c r="AI49" i="25"/>
  <c r="K47" i="25"/>
  <c r="AI41" i="25"/>
  <c r="K39" i="25"/>
  <c r="AI33" i="25"/>
  <c r="K31" i="25"/>
  <c r="K23" i="25"/>
  <c r="AI17" i="25"/>
  <c r="L11" i="25"/>
  <c r="M14" i="25" s="1"/>
  <c r="AJ48" i="25"/>
  <c r="L46" i="25"/>
  <c r="X43" i="25"/>
  <c r="AJ40" i="25"/>
  <c r="L38" i="25"/>
  <c r="X35" i="25"/>
  <c r="X27" i="25"/>
  <c r="X19" i="25"/>
  <c r="AI39" i="25"/>
  <c r="K37" i="25"/>
  <c r="AI31" i="25"/>
  <c r="K29" i="25"/>
  <c r="K21" i="25"/>
  <c r="W18" i="25"/>
  <c r="U12" i="25"/>
  <c r="W17" i="25"/>
  <c r="AP20" i="24"/>
  <c r="AK17" i="24"/>
  <c r="AD16" i="24"/>
  <c r="Z15" i="24"/>
  <c r="AT16" i="24"/>
  <c r="AT17" i="24" s="1"/>
  <c r="AT18" i="24" s="1"/>
  <c r="AT19" i="24" s="1"/>
  <c r="AT20" i="24" s="1"/>
  <c r="AL15" i="24"/>
  <c r="Y19" i="24"/>
  <c r="AC20" i="24"/>
  <c r="Y20" i="24" s="1"/>
  <c r="AK15" i="24"/>
  <c r="AO16" i="24"/>
  <c r="AO17" i="24" s="1"/>
  <c r="AO18" i="24" s="1"/>
  <c r="AO19" i="24" s="1"/>
  <c r="Y16" i="24"/>
  <c r="AL14" i="24"/>
  <c r="Y18" i="24"/>
  <c r="AK14" i="24"/>
  <c r="Z11" i="24"/>
  <c r="Z9" i="24"/>
  <c r="Z7" i="24"/>
  <c r="Z5" i="24"/>
  <c r="Z13" i="24"/>
  <c r="Y11" i="24"/>
  <c r="Y9" i="24"/>
  <c r="Y7" i="24"/>
  <c r="Y5" i="24"/>
  <c r="X20" i="24"/>
  <c r="AJ16" i="24"/>
  <c r="Y13" i="24"/>
  <c r="Y15" i="24"/>
  <c r="AL11" i="24"/>
  <c r="AL9" i="24"/>
  <c r="AL13" i="24"/>
  <c r="AK7" i="24"/>
  <c r="AK5" i="24"/>
  <c r="Y17" i="24"/>
  <c r="Z12" i="24"/>
  <c r="Z10" i="24"/>
  <c r="Z8" i="24"/>
  <c r="Z6" i="24"/>
  <c r="X19" i="24"/>
  <c r="Y12" i="24"/>
  <c r="Y10" i="24"/>
  <c r="Y8" i="24"/>
  <c r="Y6" i="24"/>
  <c r="X12" i="24"/>
  <c r="X10" i="24"/>
  <c r="H832" i="22"/>
  <c r="I821" i="22"/>
  <c r="H752" i="22"/>
  <c r="H704" i="22"/>
  <c r="I693" i="22"/>
  <c r="I661" i="22"/>
  <c r="H656" i="22"/>
  <c r="I597" i="22"/>
  <c r="H560" i="22"/>
  <c r="I549" i="22"/>
  <c r="H544" i="22"/>
  <c r="H512" i="22"/>
  <c r="H480" i="22"/>
  <c r="I309" i="22"/>
  <c r="H304" i="22"/>
  <c r="H208" i="22"/>
  <c r="I197" i="22"/>
  <c r="H192" i="22"/>
  <c r="I181" i="22"/>
  <c r="H176" i="22"/>
  <c r="I165" i="22"/>
  <c r="H160" i="22"/>
  <c r="I149" i="22"/>
  <c r="H144" i="22"/>
  <c r="I133" i="22"/>
  <c r="H128" i="22"/>
  <c r="I117" i="22"/>
  <c r="H112" i="22"/>
  <c r="I85" i="22"/>
  <c r="H80" i="22"/>
  <c r="I69" i="22"/>
  <c r="H66" i="22"/>
  <c r="I53" i="22"/>
  <c r="H50" i="22"/>
  <c r="I5" i="22"/>
  <c r="H1136" i="22"/>
  <c r="I1130" i="22"/>
  <c r="H1125" i="22"/>
  <c r="I1114" i="22"/>
  <c r="H1109" i="22"/>
  <c r="I1066" i="22"/>
  <c r="H1061" i="22"/>
  <c r="I970" i="22"/>
  <c r="I890" i="22"/>
  <c r="H885" i="22"/>
  <c r="I874" i="22"/>
  <c r="I826" i="22"/>
  <c r="H821" i="22"/>
  <c r="I698" i="22"/>
  <c r="H693" i="22"/>
  <c r="H661" i="22"/>
  <c r="H597" i="22"/>
  <c r="I554" i="22"/>
  <c r="H549" i="22"/>
  <c r="H309" i="22"/>
  <c r="I202" i="22"/>
  <c r="H197" i="22"/>
  <c r="I186" i="22"/>
  <c r="H181" i="22"/>
  <c r="I170" i="22"/>
  <c r="H165" i="22"/>
  <c r="I154" i="22"/>
  <c r="H149" i="22"/>
  <c r="I138" i="22"/>
  <c r="H133" i="22"/>
  <c r="I122" i="22"/>
  <c r="H117" i="22"/>
  <c r="I106" i="22"/>
  <c r="H101" i="22"/>
  <c r="I90" i="22"/>
  <c r="H85" i="22"/>
  <c r="I74" i="22"/>
  <c r="H69" i="22"/>
  <c r="I56" i="22"/>
  <c r="H53" i="22"/>
  <c r="I8" i="22"/>
  <c r="H5" i="22"/>
  <c r="I1135" i="22"/>
  <c r="I895" i="22"/>
  <c r="I751" i="22"/>
  <c r="I703" i="22"/>
  <c r="H698" i="22"/>
  <c r="I655" i="22"/>
  <c r="I559" i="22"/>
  <c r="H554" i="22"/>
  <c r="I543" i="22"/>
  <c r="I511" i="22"/>
  <c r="I479" i="22"/>
  <c r="I303" i="22"/>
  <c r="I207" i="22"/>
  <c r="H202" i="22"/>
  <c r="I191" i="22"/>
  <c r="H186" i="22"/>
  <c r="I175" i="22"/>
  <c r="H170" i="22"/>
  <c r="I159" i="22"/>
  <c r="H154" i="22"/>
  <c r="I143" i="22"/>
  <c r="H138" i="22"/>
  <c r="I127" i="22"/>
  <c r="H122" i="22"/>
  <c r="I111" i="22"/>
  <c r="I79" i="22"/>
  <c r="H74" i="22"/>
  <c r="I59" i="22"/>
  <c r="H56" i="22"/>
  <c r="H8" i="22"/>
  <c r="H596" i="22"/>
  <c r="I553" i="22"/>
  <c r="H548" i="22"/>
  <c r="H484" i="22"/>
  <c r="H308" i="22"/>
  <c r="I201" i="22"/>
  <c r="H196" i="22"/>
  <c r="I185" i="22"/>
  <c r="H180" i="22"/>
  <c r="I169" i="22"/>
  <c r="H164" i="22"/>
  <c r="I153" i="22"/>
  <c r="H148" i="22"/>
  <c r="I137" i="22"/>
  <c r="H132" i="22"/>
  <c r="I121" i="22"/>
  <c r="H116" i="22"/>
  <c r="I73" i="22"/>
  <c r="I65" i="22"/>
  <c r="H62" i="22"/>
  <c r="I478" i="22"/>
  <c r="I302" i="22"/>
  <c r="I206" i="22"/>
  <c r="H201" i="22"/>
  <c r="I190" i="22"/>
  <c r="H185" i="22"/>
  <c r="I174" i="22"/>
  <c r="H169" i="22"/>
  <c r="I158" i="22"/>
  <c r="H153" i="22"/>
  <c r="I142" i="22"/>
  <c r="H137" i="22"/>
  <c r="I126" i="22"/>
  <c r="H121" i="22"/>
  <c r="I78" i="22"/>
  <c r="H73" i="22"/>
  <c r="I68" i="22"/>
  <c r="H65" i="22"/>
  <c r="I52" i="22"/>
  <c r="I4" i="22"/>
  <c r="H1134" i="22"/>
  <c r="I1107" i="22"/>
  <c r="H1102" i="22"/>
  <c r="I1059" i="22"/>
  <c r="I979" i="22"/>
  <c r="H894" i="22"/>
  <c r="I883" i="22"/>
  <c r="H878" i="22"/>
  <c r="H830" i="22"/>
  <c r="I819" i="22"/>
  <c r="H750" i="22"/>
  <c r="I707" i="22"/>
  <c r="H702" i="22"/>
  <c r="I691" i="22"/>
  <c r="I659" i="22"/>
  <c r="H654" i="22"/>
  <c r="I595" i="22"/>
  <c r="H558" i="22"/>
  <c r="I547" i="22"/>
  <c r="H542" i="22"/>
  <c r="I483" i="22"/>
  <c r="H478" i="22"/>
  <c r="I307" i="22"/>
  <c r="H302" i="22"/>
  <c r="H206" i="22"/>
  <c r="I195" i="22"/>
  <c r="H190" i="22"/>
  <c r="I179" i="22"/>
  <c r="H174" i="22"/>
  <c r="I163" i="22"/>
  <c r="H158" i="22"/>
  <c r="I147" i="22"/>
  <c r="H142" i="22"/>
  <c r="I131" i="22"/>
  <c r="H126" i="22"/>
  <c r="I115" i="22"/>
  <c r="H110" i="22"/>
  <c r="I99" i="22"/>
  <c r="H94" i="22"/>
  <c r="I83" i="22"/>
  <c r="H78" i="22"/>
  <c r="H68" i="22"/>
  <c r="I55" i="22"/>
  <c r="I7" i="22"/>
  <c r="H4" i="22"/>
  <c r="I1160" i="22"/>
  <c r="I1128" i="22"/>
  <c r="H1123" i="22"/>
  <c r="I1112" i="22"/>
  <c r="H1107" i="22"/>
  <c r="I1064" i="22"/>
  <c r="H1059" i="22"/>
  <c r="H979" i="22"/>
  <c r="I968" i="22"/>
  <c r="I888" i="22"/>
  <c r="H883" i="22"/>
  <c r="I872" i="22"/>
  <c r="I824" i="22"/>
  <c r="H819" i="22"/>
  <c r="H707" i="22"/>
  <c r="I696" i="22"/>
  <c r="H691" i="22"/>
  <c r="H659" i="22"/>
  <c r="H595" i="22"/>
  <c r="I552" i="22"/>
  <c r="H547" i="22"/>
  <c r="H483" i="22"/>
  <c r="H307" i="22"/>
  <c r="I200" i="22"/>
  <c r="H195" i="22"/>
  <c r="I184" i="22"/>
  <c r="H179" i="22"/>
  <c r="I168" i="22"/>
  <c r="H163" i="22"/>
  <c r="I152" i="22"/>
  <c r="H147" i="22"/>
  <c r="I136" i="22"/>
  <c r="H131" i="22"/>
  <c r="I120" i="22"/>
  <c r="H115" i="22"/>
  <c r="I104" i="22"/>
  <c r="H99" i="22"/>
  <c r="I88" i="22"/>
  <c r="H83" i="22"/>
  <c r="I72" i="22"/>
  <c r="I58" i="22"/>
  <c r="H55" i="22"/>
  <c r="H7" i="22"/>
  <c r="H872" i="22"/>
  <c r="I301" i="22"/>
  <c r="I205" i="22"/>
  <c r="H200" i="22"/>
  <c r="I189" i="22"/>
  <c r="H184" i="22"/>
  <c r="I173" i="22"/>
  <c r="H168" i="22"/>
  <c r="I157" i="22"/>
  <c r="H152" i="22"/>
  <c r="I141" i="22"/>
  <c r="H136" i="22"/>
  <c r="I125" i="22"/>
  <c r="H120" i="22"/>
  <c r="I77" i="22"/>
  <c r="H72" i="22"/>
  <c r="I61" i="22"/>
  <c r="H58" i="22"/>
  <c r="I754" i="22"/>
  <c r="I594" i="22"/>
  <c r="H557" i="22"/>
  <c r="I546" i="22"/>
  <c r="I482" i="22"/>
  <c r="I306" i="22"/>
  <c r="H301" i="22"/>
  <c r="I210" i="22"/>
  <c r="H205" i="22"/>
  <c r="I194" i="22"/>
  <c r="H189" i="22"/>
  <c r="I178" i="22"/>
  <c r="H173" i="22"/>
  <c r="I162" i="22"/>
  <c r="H157" i="22"/>
  <c r="I146" i="22"/>
  <c r="H141" i="22"/>
  <c r="I130" i="22"/>
  <c r="H125" i="22"/>
  <c r="I114" i="22"/>
  <c r="I82" i="22"/>
  <c r="H77" i="22"/>
  <c r="I64" i="22"/>
  <c r="H61" i="22"/>
  <c r="H754" i="22"/>
  <c r="I663" i="22"/>
  <c r="H658" i="22"/>
  <c r="I599" i="22"/>
  <c r="H594" i="22"/>
  <c r="I551" i="22"/>
  <c r="H546" i="22"/>
  <c r="H482" i="22"/>
  <c r="H306" i="22"/>
  <c r="H210" i="22"/>
  <c r="I199" i="22"/>
  <c r="H194" i="22"/>
  <c r="I183" i="22"/>
  <c r="H178" i="22"/>
  <c r="I167" i="22"/>
  <c r="H162" i="22"/>
  <c r="I151" i="22"/>
  <c r="H146" i="22"/>
  <c r="I135" i="22"/>
  <c r="H130" i="22"/>
  <c r="I119" i="22"/>
  <c r="H114" i="22"/>
  <c r="H82" i="22"/>
  <c r="I71" i="22"/>
  <c r="I67" i="22"/>
  <c r="H64" i="22"/>
  <c r="I51" i="22"/>
  <c r="I3" i="22"/>
  <c r="I892" i="22"/>
  <c r="I700" i="22"/>
  <c r="H695" i="22"/>
  <c r="H663" i="22"/>
  <c r="I652" i="22"/>
  <c r="H599" i="22"/>
  <c r="I556" i="22"/>
  <c r="H551" i="22"/>
  <c r="I300" i="22"/>
  <c r="I204" i="22"/>
  <c r="H199" i="22"/>
  <c r="I188" i="22"/>
  <c r="H183" i="22"/>
  <c r="I172" i="22"/>
  <c r="H167" i="22"/>
  <c r="I156" i="22"/>
  <c r="H151" i="22"/>
  <c r="I140" i="22"/>
  <c r="H135" i="22"/>
  <c r="I124" i="22"/>
  <c r="H119" i="22"/>
  <c r="I76" i="22"/>
  <c r="H71" i="22"/>
  <c r="H67" i="22"/>
  <c r="I54" i="22"/>
  <c r="H51" i="22"/>
  <c r="I6" i="22"/>
  <c r="H3" i="22"/>
  <c r="I209" i="22"/>
  <c r="H188" i="22"/>
  <c r="I161" i="22"/>
  <c r="H156" i="22"/>
  <c r="H140" i="22"/>
  <c r="I129" i="22"/>
  <c r="H124" i="22"/>
  <c r="I113" i="22"/>
  <c r="I81" i="22"/>
  <c r="H76" i="22"/>
  <c r="I57" i="22"/>
  <c r="H54" i="22"/>
  <c r="I9" i="22"/>
  <c r="H6" i="22"/>
  <c r="I2" i="22"/>
  <c r="I203" i="22"/>
  <c r="H198" i="22"/>
  <c r="I187" i="22"/>
  <c r="H182" i="22"/>
  <c r="I171" i="22"/>
  <c r="H166" i="22"/>
  <c r="I155" i="22"/>
  <c r="H150" i="22"/>
  <c r="I139" i="22"/>
  <c r="H134" i="22"/>
  <c r="I123" i="22"/>
  <c r="H118" i="22"/>
  <c r="I75" i="22"/>
  <c r="H70" i="22"/>
  <c r="I63" i="22"/>
  <c r="H60" i="22"/>
  <c r="I1104" i="22"/>
  <c r="H971" i="22"/>
  <c r="H891" i="22"/>
  <c r="I880" i="22"/>
  <c r="H875" i="22"/>
  <c r="I832" i="22"/>
  <c r="H827" i="22"/>
  <c r="I752" i="22"/>
  <c r="I704" i="22"/>
  <c r="H699" i="22"/>
  <c r="I656" i="22"/>
  <c r="H651" i="22"/>
  <c r="I560" i="22"/>
  <c r="H555" i="22"/>
  <c r="I544" i="22"/>
  <c r="I512" i="22"/>
  <c r="I480" i="22"/>
  <c r="I304" i="22"/>
  <c r="I208" i="22"/>
  <c r="H203" i="22"/>
  <c r="I192" i="22"/>
  <c r="H187" i="22"/>
  <c r="I176" i="22"/>
  <c r="H171" i="22"/>
  <c r="I160" i="22"/>
  <c r="H155" i="22"/>
  <c r="I144" i="22"/>
  <c r="H139" i="22"/>
  <c r="I128" i="22"/>
  <c r="H123" i="22"/>
  <c r="I112" i="22"/>
  <c r="H107" i="22"/>
  <c r="I96" i="22"/>
  <c r="H91" i="22"/>
  <c r="I80" i="22"/>
  <c r="H75" i="22"/>
  <c r="I66" i="22"/>
  <c r="H63" i="22"/>
  <c r="O201" i="27" l="1"/>
  <c r="O154" i="27"/>
  <c r="P101" i="27"/>
  <c r="P102" i="27"/>
  <c r="P103" i="27"/>
  <c r="P104" i="27"/>
  <c r="P105" i="27"/>
  <c r="P99" i="27"/>
  <c r="P100" i="27"/>
  <c r="E101" i="27"/>
  <c r="G101" i="27" s="1"/>
  <c r="E100" i="27"/>
  <c r="G100" i="27" s="1"/>
  <c r="O52" i="27"/>
  <c r="O58" i="27"/>
  <c r="O57" i="27"/>
  <c r="O56" i="27"/>
  <c r="O55" i="27"/>
  <c r="O54" i="27"/>
  <c r="O53" i="27"/>
  <c r="E572" i="27"/>
  <c r="G572" i="27" s="1"/>
  <c r="E523" i="27"/>
  <c r="G523" i="27" s="1"/>
  <c r="E431" i="27"/>
  <c r="G431" i="27" s="1"/>
  <c r="E150" i="27"/>
  <c r="G150" i="27" s="1"/>
  <c r="E151" i="27"/>
  <c r="G151" i="27" s="1"/>
  <c r="E149" i="27"/>
  <c r="G149" i="27" s="1"/>
  <c r="E148" i="27"/>
  <c r="G148" i="27" s="1"/>
  <c r="E147" i="27"/>
  <c r="G147" i="27" s="1"/>
  <c r="E428" i="27"/>
  <c r="G428" i="27" s="1"/>
  <c r="E429" i="27"/>
  <c r="G429" i="27" s="1"/>
  <c r="E434" i="27"/>
  <c r="G434" i="27" s="1"/>
  <c r="E56" i="27"/>
  <c r="G56" i="27" s="1"/>
  <c r="E54" i="27"/>
  <c r="G54" i="27" s="1"/>
  <c r="E53" i="27"/>
  <c r="G53" i="27" s="1"/>
  <c r="E102" i="27"/>
  <c r="G102" i="27" s="1"/>
  <c r="E105" i="27"/>
  <c r="G105" i="27" s="1"/>
  <c r="E574" i="27"/>
  <c r="G574" i="27" s="1"/>
  <c r="G577" i="27" s="1"/>
  <c r="E104" i="27"/>
  <c r="G104" i="27" s="1"/>
  <c r="E103" i="27"/>
  <c r="G103" i="27" s="1"/>
  <c r="E99" i="27"/>
  <c r="G99" i="27" s="1"/>
  <c r="E289" i="27"/>
  <c r="G289" i="27" s="1"/>
  <c r="E287" i="27"/>
  <c r="G287" i="27" s="1"/>
  <c r="E293" i="27"/>
  <c r="G293" i="27" s="1"/>
  <c r="E382" i="27"/>
  <c r="G382" i="27" s="1"/>
  <c r="E52" i="27"/>
  <c r="G52" i="27" s="1"/>
  <c r="E58" i="27"/>
  <c r="G58" i="27" s="1"/>
  <c r="E57" i="27"/>
  <c r="G57" i="27" s="1"/>
  <c r="E55" i="27"/>
  <c r="G55" i="27" s="1"/>
  <c r="E336" i="27"/>
  <c r="G336" i="27" s="1"/>
  <c r="E290" i="27"/>
  <c r="G290" i="27" s="1"/>
  <c r="E430" i="27"/>
  <c r="G430" i="27" s="1"/>
  <c r="G436" i="27" s="1"/>
  <c r="E291" i="27"/>
  <c r="G291" i="27" s="1"/>
  <c r="E197" i="27"/>
  <c r="G197" i="27" s="1"/>
  <c r="E199" i="27"/>
  <c r="G199" i="27" s="1"/>
  <c r="E195" i="27"/>
  <c r="G195" i="27" s="1"/>
  <c r="E198" i="27"/>
  <c r="G198" i="27" s="1"/>
  <c r="E196" i="27"/>
  <c r="G196" i="27" s="1"/>
  <c r="E194" i="27"/>
  <c r="G194" i="27" s="1"/>
  <c r="E570" i="27"/>
  <c r="G570" i="27" s="1"/>
  <c r="E246" i="27"/>
  <c r="G246" i="27" s="1"/>
  <c r="E245" i="27"/>
  <c r="G245" i="27" s="1"/>
  <c r="E244" i="27"/>
  <c r="G244" i="27" s="1"/>
  <c r="E243" i="27"/>
  <c r="G243" i="27" s="1"/>
  <c r="E242" i="27"/>
  <c r="G242" i="27" s="1"/>
  <c r="E241" i="27"/>
  <c r="G241" i="27" s="1"/>
  <c r="E240" i="27"/>
  <c r="G240" i="27" s="1"/>
  <c r="E146" i="27"/>
  <c r="G146" i="27" s="1"/>
  <c r="E152" i="27"/>
  <c r="G152" i="27" s="1"/>
  <c r="E288" i="27"/>
  <c r="G288" i="27" s="1"/>
  <c r="E193" i="27"/>
  <c r="G193" i="27" s="1"/>
  <c r="E383" i="27"/>
  <c r="G383" i="27" s="1"/>
  <c r="E571" i="27"/>
  <c r="G571" i="27" s="1"/>
  <c r="E381" i="27"/>
  <c r="G381" i="27" s="1"/>
  <c r="E337" i="27"/>
  <c r="G337" i="27" s="1"/>
  <c r="G530" i="27"/>
  <c r="G384" i="27"/>
  <c r="G483" i="27"/>
  <c r="F384" i="27"/>
  <c r="B363" i="27"/>
  <c r="AM16" i="26"/>
  <c r="AN16" i="26"/>
  <c r="AO16" i="26"/>
  <c r="AP16" i="26" s="1"/>
  <c r="AM2" i="26"/>
  <c r="AN2" i="26" s="1"/>
  <c r="AO2" i="26" s="1"/>
  <c r="AP2" i="26" s="1"/>
  <c r="AM20" i="26"/>
  <c r="AN20" i="26" s="1"/>
  <c r="AO20" i="26" s="1"/>
  <c r="AP20" i="26" s="1"/>
  <c r="AM23" i="26"/>
  <c r="AN23" i="26" s="1"/>
  <c r="AO23" i="26" s="1"/>
  <c r="AP23" i="26" s="1"/>
  <c r="AM13" i="26"/>
  <c r="AN13" i="26"/>
  <c r="AO13" i="26" s="1"/>
  <c r="AP13" i="26" s="1"/>
  <c r="N20" i="26"/>
  <c r="O20" i="26"/>
  <c r="P20" i="26"/>
  <c r="Q20" i="26"/>
  <c r="S20" i="26"/>
  <c r="T20" i="26"/>
  <c r="U20" i="26" s="1"/>
  <c r="V20" i="26" s="1"/>
  <c r="X20" i="26"/>
  <c r="Y20" i="26" s="1"/>
  <c r="Z20" i="26" s="1"/>
  <c r="AA20" i="26" s="1"/>
  <c r="AM27" i="26"/>
  <c r="AN27" i="26"/>
  <c r="AO27" i="26" s="1"/>
  <c r="AP27" i="26" s="1"/>
  <c r="L29" i="26"/>
  <c r="L15" i="26" s="1"/>
  <c r="AM9" i="26"/>
  <c r="AN9" i="26"/>
  <c r="AO9" i="26" s="1"/>
  <c r="AP9" i="26" s="1"/>
  <c r="K12" i="25"/>
  <c r="I13" i="25"/>
  <c r="AK16" i="25"/>
  <c r="M11" i="25"/>
  <c r="AK11" i="25"/>
  <c r="M13" i="25"/>
  <c r="AK13" i="25"/>
  <c r="M15" i="25"/>
  <c r="AK15" i="25"/>
  <c r="M10" i="25"/>
  <c r="AK14" i="25"/>
  <c r="M12" i="25"/>
  <c r="AK10" i="25"/>
  <c r="W12" i="25"/>
  <c r="U13" i="25"/>
  <c r="AG15" i="25"/>
  <c r="AI14" i="25"/>
  <c r="Z16" i="24"/>
  <c r="AD17" i="24"/>
  <c r="AL16" i="24"/>
  <c r="AK18" i="24"/>
  <c r="AL20" i="24"/>
  <c r="AL17" i="24"/>
  <c r="AL19" i="24"/>
  <c r="AL18" i="24"/>
  <c r="AK19" i="24"/>
  <c r="AO20" i="24"/>
  <c r="AK20" i="24" s="1"/>
  <c r="AK16" i="24"/>
  <c r="G201" i="27" l="1"/>
  <c r="P107" i="27"/>
  <c r="G107" i="27"/>
  <c r="G295" i="27"/>
  <c r="G342" i="27"/>
  <c r="G60" i="27"/>
  <c r="G154" i="27"/>
  <c r="G248" i="27"/>
  <c r="G389" i="27"/>
  <c r="U14" i="25"/>
  <c r="W13" i="25"/>
  <c r="AI15" i="25"/>
  <c r="AG16" i="25"/>
  <c r="AI16" i="25" s="1"/>
  <c r="K13" i="25"/>
  <c r="I14" i="25"/>
  <c r="AD18" i="24"/>
  <c r="Z17" i="24"/>
  <c r="W14" i="25" l="1"/>
  <c r="U15" i="25"/>
  <c r="I15" i="25"/>
  <c r="K14" i="25"/>
  <c r="AD19" i="24"/>
  <c r="Z18" i="24"/>
  <c r="K15" i="25" l="1"/>
  <c r="I16" i="25"/>
  <c r="K16" i="25" s="1"/>
  <c r="U16" i="25"/>
  <c r="W16" i="25" s="1"/>
  <c r="W15" i="25"/>
  <c r="AD20" i="24"/>
  <c r="Z20" i="24" s="1"/>
  <c r="Z19" i="24"/>
  <c r="O31" i="3" l="1"/>
  <c r="B59" i="7"/>
  <c r="B58" i="7"/>
  <c r="B60" i="7" s="1"/>
  <c r="D80" i="3"/>
  <c r="E14" i="3" l="1"/>
  <c r="O9" i="3" l="1"/>
  <c r="P9" i="3" s="1"/>
  <c r="D52" i="3" l="1"/>
  <c r="D55" i="3" l="1"/>
  <c r="D86" i="3" l="1"/>
  <c r="D85" i="3"/>
  <c r="D84" i="3"/>
  <c r="D83" i="3"/>
  <c r="D81" i="3"/>
  <c r="F29" i="3" l="1"/>
  <c r="F30" i="3"/>
  <c r="F93" i="3"/>
  <c r="F92" i="3"/>
  <c r="F86" i="3"/>
  <c r="F85" i="3"/>
  <c r="F79" i="3"/>
  <c r="F78" i="3"/>
  <c r="F72" i="3"/>
  <c r="F71" i="3"/>
  <c r="F65" i="3"/>
  <c r="F64" i="3"/>
  <c r="F58" i="3"/>
  <c r="F57" i="3"/>
  <c r="F51" i="3"/>
  <c r="F50" i="3"/>
  <c r="F44" i="3"/>
  <c r="F43" i="3"/>
  <c r="F37" i="3"/>
  <c r="F36" i="3"/>
  <c r="E23" i="3"/>
  <c r="F23" i="3" s="1"/>
  <c r="F22" i="3"/>
  <c r="O27" i="3"/>
  <c r="O29" i="3"/>
  <c r="O30" i="3"/>
  <c r="O34" i="3"/>
  <c r="O36" i="3"/>
  <c r="O37" i="3"/>
  <c r="O38" i="3"/>
  <c r="O39" i="3"/>
  <c r="O40" i="3"/>
  <c r="O41" i="3"/>
  <c r="C5" i="11" s="1"/>
  <c r="O42" i="3"/>
  <c r="O43" i="3"/>
  <c r="C7" i="11" s="1"/>
  <c r="O44" i="3"/>
  <c r="C8" i="11" s="1"/>
  <c r="O45" i="3"/>
  <c r="O46" i="3"/>
  <c r="O47" i="3"/>
  <c r="O48" i="3"/>
  <c r="O49" i="3"/>
  <c r="O50" i="3"/>
  <c r="C7" i="12" s="1"/>
  <c r="O51" i="3"/>
  <c r="C8" i="12" s="1"/>
  <c r="O52" i="3"/>
  <c r="C2" i="13" s="1"/>
  <c r="O53" i="3"/>
  <c r="O54" i="3"/>
  <c r="O55" i="3"/>
  <c r="O56" i="3"/>
  <c r="O57" i="3"/>
  <c r="C7" i="13" s="1"/>
  <c r="O58" i="3"/>
  <c r="C8" i="13" s="1"/>
  <c r="O59" i="3"/>
  <c r="O60" i="3"/>
  <c r="O61" i="3"/>
  <c r="O62" i="3"/>
  <c r="O63" i="3"/>
  <c r="O64" i="3"/>
  <c r="C7" i="14" s="1"/>
  <c r="O65" i="3"/>
  <c r="C8" i="14" s="1"/>
  <c r="O66" i="3"/>
  <c r="O67" i="3"/>
  <c r="O68" i="3"/>
  <c r="O69" i="3"/>
  <c r="O70" i="3"/>
  <c r="O71" i="3"/>
  <c r="C7" i="15" s="1"/>
  <c r="O72" i="3"/>
  <c r="C8" i="15" s="1"/>
  <c r="O73" i="3"/>
  <c r="O74" i="3"/>
  <c r="O75" i="3"/>
  <c r="O76" i="3"/>
  <c r="O77" i="3"/>
  <c r="O78" i="3"/>
  <c r="C7" i="16" s="1"/>
  <c r="O79" i="3"/>
  <c r="C8" i="16" s="1"/>
  <c r="O82" i="3"/>
  <c r="O85" i="3"/>
  <c r="C7" i="17" s="1"/>
  <c r="O86" i="3"/>
  <c r="C8" i="17" s="1"/>
  <c r="O87" i="3"/>
  <c r="O88" i="3"/>
  <c r="O89" i="3"/>
  <c r="O90" i="3"/>
  <c r="O91" i="3"/>
  <c r="O92" i="3"/>
  <c r="O93" i="3"/>
  <c r="O19" i="3"/>
  <c r="O22" i="3"/>
  <c r="O23" i="3"/>
  <c r="O15" i="3"/>
  <c r="AL23" i="3" l="1"/>
  <c r="Z8" i="8" s="1"/>
  <c r="BB23" i="3"/>
  <c r="AP8" i="8" s="1"/>
  <c r="AJ23" i="3"/>
  <c r="X8" i="8" s="1"/>
  <c r="AM23" i="3"/>
  <c r="AA8" i="8" s="1"/>
  <c r="BC23" i="3"/>
  <c r="AQ8" i="8" s="1"/>
  <c r="S23" i="3"/>
  <c r="G8" i="8" s="1"/>
  <c r="AN23" i="3"/>
  <c r="AB8" i="8" s="1"/>
  <c r="V23" i="3"/>
  <c r="J8" i="8" s="1"/>
  <c r="T23" i="3"/>
  <c r="H8" i="8" s="1"/>
  <c r="AO23" i="3"/>
  <c r="AC8" i="8" s="1"/>
  <c r="W23" i="3"/>
  <c r="K8" i="8" s="1"/>
  <c r="U23" i="3"/>
  <c r="I8" i="8" s="1"/>
  <c r="AP23" i="3"/>
  <c r="AD8" i="8" s="1"/>
  <c r="X23" i="3"/>
  <c r="L8" i="8" s="1"/>
  <c r="Q23" i="3"/>
  <c r="E8" i="8" s="1"/>
  <c r="AQ23" i="3"/>
  <c r="AE8" i="8" s="1"/>
  <c r="Y23" i="3"/>
  <c r="M8" i="8" s="1"/>
  <c r="R23" i="3"/>
  <c r="F8" i="8" s="1"/>
  <c r="AR23" i="3"/>
  <c r="AF8" i="8" s="1"/>
  <c r="Z23" i="3"/>
  <c r="N8" i="8" s="1"/>
  <c r="P23" i="3"/>
  <c r="D8" i="8" s="1"/>
  <c r="AS23" i="3"/>
  <c r="AG8" i="8" s="1"/>
  <c r="AA23" i="3"/>
  <c r="O8" i="8" s="1"/>
  <c r="AT23" i="3"/>
  <c r="AH8" i="8" s="1"/>
  <c r="AB23" i="3"/>
  <c r="P8" i="8" s="1"/>
  <c r="AU23" i="3"/>
  <c r="AI8" i="8" s="1"/>
  <c r="AC23" i="3"/>
  <c r="Q8" i="8" s="1"/>
  <c r="AK23" i="3"/>
  <c r="Y8" i="8" s="1"/>
  <c r="AV23" i="3"/>
  <c r="AJ8" i="8" s="1"/>
  <c r="AD23" i="3"/>
  <c r="R8" i="8" s="1"/>
  <c r="BA23" i="3"/>
  <c r="AO8" i="8" s="1"/>
  <c r="AW23" i="3"/>
  <c r="AK8" i="8" s="1"/>
  <c r="AE23" i="3"/>
  <c r="S8" i="8" s="1"/>
  <c r="AX23" i="3"/>
  <c r="AL8" i="8" s="1"/>
  <c r="AF23" i="3"/>
  <c r="T8" i="8" s="1"/>
  <c r="AI23" i="3"/>
  <c r="W8" i="8" s="1"/>
  <c r="AY23" i="3"/>
  <c r="AM8" i="8" s="1"/>
  <c r="AG23" i="3"/>
  <c r="U8" i="8" s="1"/>
  <c r="AZ23" i="3"/>
  <c r="AN8" i="8" s="1"/>
  <c r="AH23" i="3"/>
  <c r="V8" i="8" s="1"/>
  <c r="F16" i="3"/>
  <c r="O16" i="3"/>
  <c r="F15" i="3"/>
  <c r="O18" i="3" l="1"/>
  <c r="E11" i="3"/>
  <c r="E18" i="3" s="1"/>
  <c r="C1" i="18" l="1"/>
  <c r="C1" i="16"/>
  <c r="C1" i="14"/>
  <c r="C1" i="12"/>
  <c r="C1" i="10"/>
  <c r="P36" i="3"/>
  <c r="D7" i="10" s="1"/>
  <c r="C1" i="13"/>
  <c r="C1" i="2"/>
  <c r="C1" i="9"/>
  <c r="C1" i="11"/>
  <c r="C1" i="8"/>
  <c r="C1" i="15"/>
  <c r="C1" i="17"/>
  <c r="E35" i="3"/>
  <c r="E28" i="3" s="1"/>
  <c r="E25" i="3"/>
  <c r="O35" i="3"/>
  <c r="O33" i="3"/>
  <c r="O32" i="3"/>
  <c r="P44" i="3" l="1"/>
  <c r="D8" i="11" s="1"/>
  <c r="P50" i="3"/>
  <c r="D7" i="12" s="1"/>
  <c r="P58" i="3"/>
  <c r="D8" i="13" s="1"/>
  <c r="P64" i="3"/>
  <c r="D7" i="14" s="1"/>
  <c r="P43" i="3"/>
  <c r="D7" i="11" s="1"/>
  <c r="P51" i="3"/>
  <c r="D8" i="12" s="1"/>
  <c r="P57" i="3"/>
  <c r="D7" i="13" s="1"/>
  <c r="P65" i="3"/>
  <c r="D8" i="14" s="1"/>
  <c r="P71" i="3"/>
  <c r="D7" i="15" s="1"/>
  <c r="P79" i="3"/>
  <c r="D8" i="16" s="1"/>
  <c r="P85" i="3"/>
  <c r="D7" i="17" s="1"/>
  <c r="P72" i="3"/>
  <c r="D8" i="15" s="1"/>
  <c r="P78" i="3"/>
  <c r="D7" i="16" s="1"/>
  <c r="P92" i="3"/>
  <c r="P93" i="3"/>
  <c r="P15" i="3"/>
  <c r="D7" i="2" s="1"/>
  <c r="P86" i="3"/>
  <c r="D8" i="17" s="1"/>
  <c r="P29" i="3"/>
  <c r="D7" i="9" s="1"/>
  <c r="P22" i="3"/>
  <c r="D7" i="8" s="1"/>
  <c r="P18" i="3"/>
  <c r="D3" i="8" s="1"/>
  <c r="P16" i="3"/>
  <c r="D8" i="2" s="1"/>
  <c r="D1" i="18"/>
  <c r="D1" i="16"/>
  <c r="D1" i="14"/>
  <c r="D1" i="12"/>
  <c r="D1" i="10"/>
  <c r="D1" i="17"/>
  <c r="D1" i="15"/>
  <c r="D1" i="13"/>
  <c r="D1" i="11"/>
  <c r="D1" i="9"/>
  <c r="D1" i="8"/>
  <c r="Q9" i="3"/>
  <c r="D1" i="2"/>
  <c r="F14" i="3"/>
  <c r="P14" i="3" s="1"/>
  <c r="D6" i="2" s="1"/>
  <c r="E13" i="3"/>
  <c r="Q36" i="3" l="1"/>
  <c r="E7" i="10" s="1"/>
  <c r="Q16" i="3"/>
  <c r="E8" i="2" s="1"/>
  <c r="Q57" i="3"/>
  <c r="E7" i="13" s="1"/>
  <c r="B7" i="13" s="1"/>
  <c r="Q44" i="3"/>
  <c r="E8" i="11" s="1"/>
  <c r="Q50" i="3"/>
  <c r="E7" i="12" s="1"/>
  <c r="Q58" i="3"/>
  <c r="E8" i="13" s="1"/>
  <c r="Q64" i="3"/>
  <c r="E7" i="14" s="1"/>
  <c r="Q43" i="3"/>
  <c r="E7" i="11" s="1"/>
  <c r="Q51" i="3"/>
  <c r="E8" i="12" s="1"/>
  <c r="Q65" i="3"/>
  <c r="E8" i="14" s="1"/>
  <c r="Q71" i="3"/>
  <c r="E7" i="15" s="1"/>
  <c r="Q79" i="3"/>
  <c r="E8" i="16" s="1"/>
  <c r="Q85" i="3"/>
  <c r="E7" i="17" s="1"/>
  <c r="Q72" i="3"/>
  <c r="E8" i="15" s="1"/>
  <c r="Q78" i="3"/>
  <c r="E7" i="16" s="1"/>
  <c r="Q93" i="3"/>
  <c r="Q92" i="3"/>
  <c r="Q15" i="3"/>
  <c r="E7" i="2" s="1"/>
  <c r="Q29" i="3"/>
  <c r="E7" i="9" s="1"/>
  <c r="Q22" i="3"/>
  <c r="E7" i="8" s="1"/>
  <c r="Q86" i="3"/>
  <c r="E8" i="17" s="1"/>
  <c r="Q18" i="3"/>
  <c r="E3" i="8" s="1"/>
  <c r="E1" i="18"/>
  <c r="B3" i="18" s="1"/>
  <c r="E1" i="16"/>
  <c r="E1" i="14"/>
  <c r="E1" i="12"/>
  <c r="E1" i="10"/>
  <c r="E1" i="17"/>
  <c r="E1" i="9"/>
  <c r="E1" i="15"/>
  <c r="E1" i="8"/>
  <c r="R9" i="3"/>
  <c r="E1" i="11"/>
  <c r="E1" i="13"/>
  <c r="E1" i="2"/>
  <c r="O12" i="3"/>
  <c r="O81" i="3"/>
  <c r="B8" i="16" l="1"/>
  <c r="B5" i="18"/>
  <c r="B8" i="14"/>
  <c r="B8" i="17"/>
  <c r="B7" i="17"/>
  <c r="B7" i="12"/>
  <c r="B8" i="12"/>
  <c r="B7" i="11"/>
  <c r="B8" i="11"/>
  <c r="B7" i="14"/>
  <c r="B8" i="15"/>
  <c r="B7" i="15"/>
  <c r="B2" i="18"/>
  <c r="B8" i="13"/>
  <c r="B6" i="18"/>
  <c r="B4" i="18"/>
  <c r="B7" i="18"/>
  <c r="B8" i="18"/>
  <c r="B7" i="16"/>
  <c r="R36" i="3"/>
  <c r="F7" i="10" s="1"/>
  <c r="R43" i="3"/>
  <c r="F7" i="11" s="1"/>
  <c r="R51" i="3"/>
  <c r="F8" i="12" s="1"/>
  <c r="R57" i="3"/>
  <c r="F7" i="13" s="1"/>
  <c r="R44" i="3"/>
  <c r="F8" i="11" s="1"/>
  <c r="R50" i="3"/>
  <c r="F7" i="12" s="1"/>
  <c r="R58" i="3"/>
  <c r="F8" i="13" s="1"/>
  <c r="R64" i="3"/>
  <c r="F7" i="14" s="1"/>
  <c r="R72" i="3"/>
  <c r="F8" i="15" s="1"/>
  <c r="R78" i="3"/>
  <c r="F7" i="16" s="1"/>
  <c r="R65" i="3"/>
  <c r="F8" i="14" s="1"/>
  <c r="R71" i="3"/>
  <c r="F7" i="15" s="1"/>
  <c r="R79" i="3"/>
  <c r="F8" i="16" s="1"/>
  <c r="R85" i="3"/>
  <c r="F7" i="17" s="1"/>
  <c r="R86" i="3"/>
  <c r="F8" i="17" s="1"/>
  <c r="R93" i="3"/>
  <c r="R92" i="3"/>
  <c r="R22" i="3"/>
  <c r="F7" i="8" s="1"/>
  <c r="R29" i="3"/>
  <c r="F7" i="9" s="1"/>
  <c r="R15" i="3"/>
  <c r="F7" i="2" s="1"/>
  <c r="R18" i="3"/>
  <c r="F3" i="8" s="1"/>
  <c r="R16" i="3"/>
  <c r="F8" i="2" s="1"/>
  <c r="S9" i="3"/>
  <c r="S36" i="3" s="1"/>
  <c r="G7" i="10" s="1"/>
  <c r="F1" i="17"/>
  <c r="F1" i="15"/>
  <c r="F1" i="13"/>
  <c r="F1" i="11"/>
  <c r="F1" i="9"/>
  <c r="F1" i="18"/>
  <c r="F1" i="16"/>
  <c r="F1" i="14"/>
  <c r="F1" i="12"/>
  <c r="F1" i="10"/>
  <c r="F1" i="2"/>
  <c r="F1" i="8"/>
  <c r="O20" i="3"/>
  <c r="S58" i="3" l="1"/>
  <c r="G8" i="13" s="1"/>
  <c r="S64" i="3"/>
  <c r="G7" i="14" s="1"/>
  <c r="S43" i="3"/>
  <c r="G7" i="11" s="1"/>
  <c r="S51" i="3"/>
  <c r="G8" i="12" s="1"/>
  <c r="S57" i="3"/>
  <c r="G7" i="13" s="1"/>
  <c r="S44" i="3"/>
  <c r="G8" i="11" s="1"/>
  <c r="S50" i="3"/>
  <c r="G7" i="12" s="1"/>
  <c r="S85" i="3"/>
  <c r="G7" i="17" s="1"/>
  <c r="S72" i="3"/>
  <c r="G8" i="15" s="1"/>
  <c r="S78" i="3"/>
  <c r="G7" i="16" s="1"/>
  <c r="S65" i="3"/>
  <c r="G8" i="14" s="1"/>
  <c r="S71" i="3"/>
  <c r="G7" i="15" s="1"/>
  <c r="S79" i="3"/>
  <c r="G8" i="16" s="1"/>
  <c r="S92" i="3"/>
  <c r="S93" i="3"/>
  <c r="S86" i="3"/>
  <c r="G8" i="17" s="1"/>
  <c r="S22" i="3"/>
  <c r="G7" i="8" s="1"/>
  <c r="S29" i="3"/>
  <c r="G7" i="9" s="1"/>
  <c r="S15" i="3"/>
  <c r="G7" i="2" s="1"/>
  <c r="S18" i="3"/>
  <c r="G3" i="8" s="1"/>
  <c r="S16" i="3"/>
  <c r="G8" i="2" s="1"/>
  <c r="T9" i="3"/>
  <c r="G1" i="17"/>
  <c r="G1" i="15"/>
  <c r="G1" i="13"/>
  <c r="G1" i="11"/>
  <c r="G1" i="9"/>
  <c r="G1" i="18"/>
  <c r="G1" i="10"/>
  <c r="G1" i="16"/>
  <c r="G1" i="2"/>
  <c r="G1" i="12"/>
  <c r="G1" i="14"/>
  <c r="G1" i="8"/>
  <c r="O13" i="3"/>
  <c r="O11" i="3"/>
  <c r="O25" i="3"/>
  <c r="T36" i="3" l="1"/>
  <c r="H7" i="10" s="1"/>
  <c r="T44" i="3"/>
  <c r="H8" i="11" s="1"/>
  <c r="T50" i="3"/>
  <c r="H7" i="12" s="1"/>
  <c r="T58" i="3"/>
  <c r="H8" i="13" s="1"/>
  <c r="T64" i="3"/>
  <c r="H7" i="14" s="1"/>
  <c r="T43" i="3"/>
  <c r="H7" i="11" s="1"/>
  <c r="T51" i="3"/>
  <c r="H8" i="12" s="1"/>
  <c r="T57" i="3"/>
  <c r="H7" i="13" s="1"/>
  <c r="T65" i="3"/>
  <c r="H8" i="14" s="1"/>
  <c r="T71" i="3"/>
  <c r="H7" i="15" s="1"/>
  <c r="T79" i="3"/>
  <c r="H8" i="16" s="1"/>
  <c r="T85" i="3"/>
  <c r="H7" i="17" s="1"/>
  <c r="T72" i="3"/>
  <c r="H8" i="15" s="1"/>
  <c r="T78" i="3"/>
  <c r="H7" i="16" s="1"/>
  <c r="T92" i="3"/>
  <c r="T93" i="3"/>
  <c r="T22" i="3"/>
  <c r="H7" i="8" s="1"/>
  <c r="T29" i="3"/>
  <c r="H7" i="9" s="1"/>
  <c r="T86" i="3"/>
  <c r="H8" i="17" s="1"/>
  <c r="T15" i="3"/>
  <c r="H7" i="2" s="1"/>
  <c r="T18" i="3"/>
  <c r="H3" i="8" s="1"/>
  <c r="T16" i="3"/>
  <c r="H8" i="2" s="1"/>
  <c r="U9" i="3"/>
  <c r="H1" i="18"/>
  <c r="H1" i="16"/>
  <c r="H1" i="14"/>
  <c r="H1" i="12"/>
  <c r="H1" i="10"/>
  <c r="H1" i="17"/>
  <c r="H1" i="15"/>
  <c r="H1" i="13"/>
  <c r="H1" i="11"/>
  <c r="H1" i="9"/>
  <c r="H1" i="8"/>
  <c r="H1" i="2"/>
  <c r="O14" i="3"/>
  <c r="O21" i="3"/>
  <c r="O17" i="3"/>
  <c r="F53" i="3"/>
  <c r="F54" i="3"/>
  <c r="F55" i="3"/>
  <c r="F56" i="3"/>
  <c r="F59" i="3"/>
  <c r="F60" i="3"/>
  <c r="F61" i="3"/>
  <c r="F62" i="3"/>
  <c r="F63" i="3"/>
  <c r="F66" i="3"/>
  <c r="F67" i="3"/>
  <c r="F68" i="3"/>
  <c r="F69" i="3"/>
  <c r="F70" i="3"/>
  <c r="F73" i="3"/>
  <c r="F74" i="3"/>
  <c r="F75" i="3"/>
  <c r="F76" i="3"/>
  <c r="F77" i="3"/>
  <c r="F82" i="3"/>
  <c r="F87" i="3"/>
  <c r="F88" i="3"/>
  <c r="F89" i="3"/>
  <c r="F90" i="3"/>
  <c r="F91" i="3"/>
  <c r="F38" i="3"/>
  <c r="F39" i="3"/>
  <c r="F40" i="3"/>
  <c r="F41" i="3"/>
  <c r="F42" i="3"/>
  <c r="F45" i="3"/>
  <c r="F46" i="3"/>
  <c r="F47" i="3"/>
  <c r="F48" i="3"/>
  <c r="F49" i="3"/>
  <c r="F52" i="3"/>
  <c r="F19" i="3"/>
  <c r="F20" i="3"/>
  <c r="F27" i="3"/>
  <c r="F34" i="3"/>
  <c r="F12" i="3"/>
  <c r="C2" i="11"/>
  <c r="C3" i="11"/>
  <c r="C4" i="11"/>
  <c r="C6" i="11"/>
  <c r="C2" i="12"/>
  <c r="C3" i="12"/>
  <c r="C4" i="12"/>
  <c r="C5" i="12"/>
  <c r="C6" i="12"/>
  <c r="C3" i="13"/>
  <c r="C4" i="13"/>
  <c r="C5" i="13"/>
  <c r="C6" i="13"/>
  <c r="C2" i="14"/>
  <c r="C3" i="14"/>
  <c r="C4" i="14"/>
  <c r="C5" i="14"/>
  <c r="C6" i="14"/>
  <c r="C2" i="15"/>
  <c r="C3" i="15"/>
  <c r="C4" i="15"/>
  <c r="C5" i="15"/>
  <c r="C6" i="15"/>
  <c r="C2" i="16"/>
  <c r="C3" i="16"/>
  <c r="C4" i="16"/>
  <c r="C5" i="16"/>
  <c r="C6" i="16"/>
  <c r="C4" i="17"/>
  <c r="U36" i="3" l="1"/>
  <c r="I7" i="10" s="1"/>
  <c r="Q91" i="3"/>
  <c r="U91" i="3"/>
  <c r="R91" i="3"/>
  <c r="S91" i="3"/>
  <c r="P91" i="3"/>
  <c r="T91" i="3"/>
  <c r="S90" i="3"/>
  <c r="P90" i="3"/>
  <c r="T90" i="3"/>
  <c r="Q90" i="3"/>
  <c r="U90" i="3"/>
  <c r="R90" i="3"/>
  <c r="R53" i="3"/>
  <c r="F3" i="13" s="1"/>
  <c r="S53" i="3"/>
  <c r="G3" i="13" s="1"/>
  <c r="P53" i="3"/>
  <c r="D3" i="13" s="1"/>
  <c r="T53" i="3"/>
  <c r="H3" i="13" s="1"/>
  <c r="Q53" i="3"/>
  <c r="E3" i="13" s="1"/>
  <c r="U53" i="3"/>
  <c r="Q89" i="3"/>
  <c r="U89" i="3"/>
  <c r="R89" i="3"/>
  <c r="S89" i="3"/>
  <c r="P89" i="3"/>
  <c r="T89" i="3"/>
  <c r="S88" i="3"/>
  <c r="P88" i="3"/>
  <c r="U88" i="3"/>
  <c r="Q88" i="3"/>
  <c r="R88" i="3"/>
  <c r="T88" i="3"/>
  <c r="Q87" i="3"/>
  <c r="U87" i="3"/>
  <c r="S87" i="3"/>
  <c r="T87" i="3"/>
  <c r="P87" i="3"/>
  <c r="R87" i="3"/>
  <c r="U57" i="3"/>
  <c r="I7" i="13" s="1"/>
  <c r="U44" i="3"/>
  <c r="I8" i="11" s="1"/>
  <c r="U50" i="3"/>
  <c r="I7" i="12" s="1"/>
  <c r="U58" i="3"/>
  <c r="I8" i="13" s="1"/>
  <c r="U64" i="3"/>
  <c r="I7" i="14" s="1"/>
  <c r="U43" i="3"/>
  <c r="I7" i="11" s="1"/>
  <c r="U51" i="3"/>
  <c r="I8" i="12" s="1"/>
  <c r="U65" i="3"/>
  <c r="I8" i="14" s="1"/>
  <c r="U71" i="3"/>
  <c r="I7" i="15" s="1"/>
  <c r="U79" i="3"/>
  <c r="I8" i="16" s="1"/>
  <c r="U85" i="3"/>
  <c r="I7" i="17" s="1"/>
  <c r="U72" i="3"/>
  <c r="I8" i="15" s="1"/>
  <c r="U78" i="3"/>
  <c r="I7" i="16" s="1"/>
  <c r="U93" i="3"/>
  <c r="U92" i="3"/>
  <c r="U86" i="3"/>
  <c r="I8" i="17" s="1"/>
  <c r="U15" i="3"/>
  <c r="I7" i="2" s="1"/>
  <c r="U22" i="3"/>
  <c r="I7" i="8" s="1"/>
  <c r="U29" i="3"/>
  <c r="I7" i="9" s="1"/>
  <c r="U18" i="3"/>
  <c r="I3" i="8" s="1"/>
  <c r="U16" i="3"/>
  <c r="I8" i="2" s="1"/>
  <c r="P42" i="3"/>
  <c r="D6" i="11" s="1"/>
  <c r="T42" i="3"/>
  <c r="H6" i="11" s="1"/>
  <c r="Q42" i="3"/>
  <c r="E6" i="11" s="1"/>
  <c r="U42" i="3"/>
  <c r="I6" i="11" s="1"/>
  <c r="R42" i="3"/>
  <c r="F6" i="11" s="1"/>
  <c r="S42" i="3"/>
  <c r="G6" i="11" s="1"/>
  <c r="Q52" i="3"/>
  <c r="E2" i="13" s="1"/>
  <c r="U52" i="3"/>
  <c r="I2" i="13" s="1"/>
  <c r="R52" i="3"/>
  <c r="F2" i="13" s="1"/>
  <c r="P52" i="3"/>
  <c r="D2" i="13" s="1"/>
  <c r="B2" i="13" s="1"/>
  <c r="S52" i="3"/>
  <c r="G2" i="13" s="1"/>
  <c r="T52" i="3"/>
  <c r="H2" i="13" s="1"/>
  <c r="Q76" i="3"/>
  <c r="E5" i="16" s="1"/>
  <c r="U76" i="3"/>
  <c r="I5" i="16" s="1"/>
  <c r="R76" i="3"/>
  <c r="F5" i="16" s="1"/>
  <c r="S76" i="3"/>
  <c r="G5" i="16" s="1"/>
  <c r="P76" i="3"/>
  <c r="D5" i="16" s="1"/>
  <c r="T76" i="3"/>
  <c r="H5" i="16" s="1"/>
  <c r="P62" i="3"/>
  <c r="D5" i="14" s="1"/>
  <c r="T62" i="3"/>
  <c r="H5" i="14" s="1"/>
  <c r="Q62" i="3"/>
  <c r="E5" i="14" s="1"/>
  <c r="U62" i="3"/>
  <c r="I5" i="14" s="1"/>
  <c r="R62" i="3"/>
  <c r="F5" i="14" s="1"/>
  <c r="S62" i="3"/>
  <c r="G5" i="14" s="1"/>
  <c r="P12" i="3"/>
  <c r="D4" i="2" s="1"/>
  <c r="Q12" i="3"/>
  <c r="E4" i="2" s="1"/>
  <c r="R12" i="3"/>
  <c r="F4" i="2" s="1"/>
  <c r="S12" i="3"/>
  <c r="G4" i="2" s="1"/>
  <c r="R46" i="3"/>
  <c r="F3" i="12" s="1"/>
  <c r="P46" i="3"/>
  <c r="D3" i="12" s="1"/>
  <c r="T46" i="3"/>
  <c r="H3" i="12" s="1"/>
  <c r="S46" i="3"/>
  <c r="G3" i="12" s="1"/>
  <c r="U46" i="3"/>
  <c r="I3" i="12" s="1"/>
  <c r="Q46" i="3"/>
  <c r="E3" i="12" s="1"/>
  <c r="R41" i="3"/>
  <c r="F5" i="11" s="1"/>
  <c r="S41" i="3"/>
  <c r="G5" i="11" s="1"/>
  <c r="P41" i="3"/>
  <c r="D5" i="11" s="1"/>
  <c r="T41" i="3"/>
  <c r="H5" i="11" s="1"/>
  <c r="Q41" i="3"/>
  <c r="E5" i="11" s="1"/>
  <c r="U41" i="3"/>
  <c r="I5" i="11" s="1"/>
  <c r="S82" i="3"/>
  <c r="G4" i="17" s="1"/>
  <c r="P82" i="3"/>
  <c r="D4" i="17" s="1"/>
  <c r="T82" i="3"/>
  <c r="H4" i="17" s="1"/>
  <c r="R82" i="3"/>
  <c r="F4" i="17" s="1"/>
  <c r="Q82" i="3"/>
  <c r="E4" i="17" s="1"/>
  <c r="U82" i="3"/>
  <c r="I4" i="17" s="1"/>
  <c r="R75" i="3"/>
  <c r="F4" i="16" s="1"/>
  <c r="S75" i="3"/>
  <c r="G4" i="16" s="1"/>
  <c r="T75" i="3"/>
  <c r="H4" i="16" s="1"/>
  <c r="U75" i="3"/>
  <c r="I4" i="16" s="1"/>
  <c r="P75" i="3"/>
  <c r="D4" i="16" s="1"/>
  <c r="Q75" i="3"/>
  <c r="E4" i="16" s="1"/>
  <c r="R70" i="3"/>
  <c r="F6" i="15" s="1"/>
  <c r="S70" i="3"/>
  <c r="G6" i="15" s="1"/>
  <c r="P70" i="3"/>
  <c r="D6" i="15" s="1"/>
  <c r="Q70" i="3"/>
  <c r="E6" i="15" s="1"/>
  <c r="T70" i="3"/>
  <c r="H6" i="15" s="1"/>
  <c r="U70" i="3"/>
  <c r="I6" i="15" s="1"/>
  <c r="R66" i="3"/>
  <c r="F2" i="15" s="1"/>
  <c r="S66" i="3"/>
  <c r="G2" i="15" s="1"/>
  <c r="P66" i="3"/>
  <c r="D2" i="15" s="1"/>
  <c r="T66" i="3"/>
  <c r="H2" i="15" s="1"/>
  <c r="Q66" i="3"/>
  <c r="E2" i="15" s="1"/>
  <c r="U66" i="3"/>
  <c r="I2" i="15" s="1"/>
  <c r="R61" i="3"/>
  <c r="F4" i="14" s="1"/>
  <c r="S61" i="3"/>
  <c r="G4" i="14" s="1"/>
  <c r="P61" i="3"/>
  <c r="D4" i="14" s="1"/>
  <c r="T61" i="3"/>
  <c r="H4" i="14" s="1"/>
  <c r="Q61" i="3"/>
  <c r="E4" i="14" s="1"/>
  <c r="U61" i="3"/>
  <c r="I4" i="14" s="1"/>
  <c r="Q56" i="3"/>
  <c r="E6" i="13" s="1"/>
  <c r="U56" i="3"/>
  <c r="I6" i="13" s="1"/>
  <c r="R56" i="3"/>
  <c r="F6" i="13" s="1"/>
  <c r="P56" i="3"/>
  <c r="D6" i="13" s="1"/>
  <c r="S56" i="3"/>
  <c r="G6" i="13" s="1"/>
  <c r="T56" i="3"/>
  <c r="H6" i="13" s="1"/>
  <c r="P47" i="3"/>
  <c r="D4" i="12" s="1"/>
  <c r="T47" i="3"/>
  <c r="H4" i="12" s="1"/>
  <c r="R47" i="3"/>
  <c r="F4" i="12" s="1"/>
  <c r="Q47" i="3"/>
  <c r="E4" i="12" s="1"/>
  <c r="S47" i="3"/>
  <c r="G4" i="12" s="1"/>
  <c r="U47" i="3"/>
  <c r="I4" i="12" s="1"/>
  <c r="P38" i="3"/>
  <c r="D2" i="11" s="1"/>
  <c r="T38" i="3"/>
  <c r="H2" i="11" s="1"/>
  <c r="Q38" i="3"/>
  <c r="E2" i="11" s="1"/>
  <c r="U38" i="3"/>
  <c r="I2" i="11" s="1"/>
  <c r="R38" i="3"/>
  <c r="F2" i="11" s="1"/>
  <c r="S38" i="3"/>
  <c r="G2" i="11" s="1"/>
  <c r="P67" i="3"/>
  <c r="D3" i="15" s="1"/>
  <c r="T67" i="3"/>
  <c r="H3" i="15" s="1"/>
  <c r="Q67" i="3"/>
  <c r="E3" i="15" s="1"/>
  <c r="U67" i="3"/>
  <c r="I3" i="15" s="1"/>
  <c r="R67" i="3"/>
  <c r="F3" i="15" s="1"/>
  <c r="S67" i="3"/>
  <c r="G3" i="15" s="1"/>
  <c r="P34" i="3"/>
  <c r="D5" i="10" s="1"/>
  <c r="T34" i="3"/>
  <c r="H5" i="10" s="1"/>
  <c r="Q34" i="3"/>
  <c r="E5" i="10" s="1"/>
  <c r="U34" i="3"/>
  <c r="I5" i="10" s="1"/>
  <c r="R34" i="3"/>
  <c r="F5" i="10" s="1"/>
  <c r="S34" i="3"/>
  <c r="G5" i="10" s="1"/>
  <c r="Q49" i="3"/>
  <c r="E6" i="12" s="1"/>
  <c r="U49" i="3"/>
  <c r="I6" i="12" s="1"/>
  <c r="R49" i="3"/>
  <c r="F6" i="12" s="1"/>
  <c r="S49" i="3"/>
  <c r="G6" i="12" s="1"/>
  <c r="T49" i="3"/>
  <c r="H6" i="12" s="1"/>
  <c r="P49" i="3"/>
  <c r="D6" i="12" s="1"/>
  <c r="P45" i="3"/>
  <c r="D2" i="12" s="1"/>
  <c r="T45" i="3"/>
  <c r="H2" i="12" s="1"/>
  <c r="R45" i="3"/>
  <c r="F2" i="12" s="1"/>
  <c r="U45" i="3"/>
  <c r="I2" i="12" s="1"/>
  <c r="Q45" i="3"/>
  <c r="E2" i="12" s="1"/>
  <c r="S45" i="3"/>
  <c r="G2" i="12" s="1"/>
  <c r="P40" i="3"/>
  <c r="D4" i="11" s="1"/>
  <c r="T40" i="3"/>
  <c r="H4" i="11" s="1"/>
  <c r="Q40" i="3"/>
  <c r="E4" i="11" s="1"/>
  <c r="U40" i="3"/>
  <c r="I4" i="11" s="1"/>
  <c r="R40" i="3"/>
  <c r="F4" i="11" s="1"/>
  <c r="S40" i="3"/>
  <c r="G4" i="11" s="1"/>
  <c r="P74" i="3"/>
  <c r="D3" i="16" s="1"/>
  <c r="T74" i="3"/>
  <c r="H3" i="16" s="1"/>
  <c r="Q74" i="3"/>
  <c r="E3" i="16" s="1"/>
  <c r="U74" i="3"/>
  <c r="I3" i="16" s="1"/>
  <c r="R74" i="3"/>
  <c r="F3" i="16" s="1"/>
  <c r="S74" i="3"/>
  <c r="G3" i="16" s="1"/>
  <c r="P69" i="3"/>
  <c r="D5" i="15" s="1"/>
  <c r="T69" i="3"/>
  <c r="H5" i="15" s="1"/>
  <c r="Q69" i="3"/>
  <c r="E5" i="15" s="1"/>
  <c r="U69" i="3"/>
  <c r="I5" i="15" s="1"/>
  <c r="R69" i="3"/>
  <c r="F5" i="15" s="1"/>
  <c r="S69" i="3"/>
  <c r="G5" i="15" s="1"/>
  <c r="P60" i="3"/>
  <c r="D3" i="14" s="1"/>
  <c r="T60" i="3"/>
  <c r="H3" i="14" s="1"/>
  <c r="Q60" i="3"/>
  <c r="E3" i="14" s="1"/>
  <c r="U60" i="3"/>
  <c r="I3" i="14" s="1"/>
  <c r="R60" i="3"/>
  <c r="F3" i="14" s="1"/>
  <c r="S60" i="3"/>
  <c r="G3" i="14" s="1"/>
  <c r="S55" i="3"/>
  <c r="G5" i="13" s="1"/>
  <c r="P55" i="3"/>
  <c r="D5" i="13" s="1"/>
  <c r="T55" i="3"/>
  <c r="H5" i="13" s="1"/>
  <c r="R55" i="3"/>
  <c r="F5" i="13" s="1"/>
  <c r="U55" i="3"/>
  <c r="I5" i="13" s="1"/>
  <c r="Q55" i="3"/>
  <c r="E5" i="13" s="1"/>
  <c r="T12" i="3"/>
  <c r="H4" i="2" s="1"/>
  <c r="P27" i="3"/>
  <c r="D5" i="9" s="1"/>
  <c r="T27" i="3"/>
  <c r="H5" i="9" s="1"/>
  <c r="Q27" i="3"/>
  <c r="E5" i="9" s="1"/>
  <c r="U27" i="3"/>
  <c r="I5" i="9" s="1"/>
  <c r="R27" i="3"/>
  <c r="F5" i="9" s="1"/>
  <c r="S27" i="3"/>
  <c r="G5" i="9" s="1"/>
  <c r="S19" i="3"/>
  <c r="G4" i="8" s="1"/>
  <c r="T19" i="3"/>
  <c r="H4" i="8" s="1"/>
  <c r="P19" i="3"/>
  <c r="D4" i="8" s="1"/>
  <c r="R19" i="3"/>
  <c r="F4" i="8" s="1"/>
  <c r="Q19" i="3"/>
  <c r="E4" i="8" s="1"/>
  <c r="U19" i="3"/>
  <c r="I4" i="8" s="1"/>
  <c r="R48" i="3"/>
  <c r="F5" i="12" s="1"/>
  <c r="P48" i="3"/>
  <c r="D5" i="12" s="1"/>
  <c r="T48" i="3"/>
  <c r="H5" i="12" s="1"/>
  <c r="Q48" i="3"/>
  <c r="E5" i="12" s="1"/>
  <c r="S48" i="3"/>
  <c r="G5" i="12" s="1"/>
  <c r="U48" i="3"/>
  <c r="I5" i="12" s="1"/>
  <c r="R39" i="3"/>
  <c r="F3" i="11" s="1"/>
  <c r="S39" i="3"/>
  <c r="G3" i="11" s="1"/>
  <c r="Q39" i="3"/>
  <c r="E3" i="11" s="1"/>
  <c r="T39" i="3"/>
  <c r="H3" i="11" s="1"/>
  <c r="U39" i="3"/>
  <c r="I3" i="11" s="1"/>
  <c r="P39" i="3"/>
  <c r="D3" i="11" s="1"/>
  <c r="S77" i="3"/>
  <c r="G6" i="16" s="1"/>
  <c r="P77" i="3"/>
  <c r="D6" i="16" s="1"/>
  <c r="T77" i="3"/>
  <c r="H6" i="16" s="1"/>
  <c r="Q77" i="3"/>
  <c r="E6" i="16" s="1"/>
  <c r="U77" i="3"/>
  <c r="I6" i="16" s="1"/>
  <c r="R77" i="3"/>
  <c r="F6" i="16" s="1"/>
  <c r="R73" i="3"/>
  <c r="F2" i="16" s="1"/>
  <c r="S73" i="3"/>
  <c r="G2" i="16" s="1"/>
  <c r="Q73" i="3"/>
  <c r="E2" i="16" s="1"/>
  <c r="T73" i="3"/>
  <c r="H2" i="16" s="1"/>
  <c r="U73" i="3"/>
  <c r="I2" i="16" s="1"/>
  <c r="P73" i="3"/>
  <c r="D2" i="16" s="1"/>
  <c r="R68" i="3"/>
  <c r="F4" i="15" s="1"/>
  <c r="S68" i="3"/>
  <c r="G4" i="15" s="1"/>
  <c r="P68" i="3"/>
  <c r="D4" i="15" s="1"/>
  <c r="T68" i="3"/>
  <c r="H4" i="15" s="1"/>
  <c r="Q68" i="3"/>
  <c r="E4" i="15" s="1"/>
  <c r="U68" i="3"/>
  <c r="I4" i="15" s="1"/>
  <c r="R63" i="3"/>
  <c r="F6" i="14" s="1"/>
  <c r="S63" i="3"/>
  <c r="G6" i="14" s="1"/>
  <c r="P63" i="3"/>
  <c r="D6" i="14" s="1"/>
  <c r="T63" i="3"/>
  <c r="H6" i="14" s="1"/>
  <c r="Q63" i="3"/>
  <c r="E6" i="14" s="1"/>
  <c r="U63" i="3"/>
  <c r="I6" i="14" s="1"/>
  <c r="Q59" i="3"/>
  <c r="E2" i="14" s="1"/>
  <c r="R59" i="3"/>
  <c r="F2" i="14" s="1"/>
  <c r="S59" i="3"/>
  <c r="G2" i="14" s="1"/>
  <c r="T59" i="3"/>
  <c r="H2" i="14" s="1"/>
  <c r="P59" i="3"/>
  <c r="D2" i="14" s="1"/>
  <c r="U59" i="3"/>
  <c r="I2" i="14" s="1"/>
  <c r="Q54" i="3"/>
  <c r="E4" i="13" s="1"/>
  <c r="U54" i="3"/>
  <c r="I4" i="13" s="1"/>
  <c r="R54" i="3"/>
  <c r="F4" i="13" s="1"/>
  <c r="P54" i="3"/>
  <c r="D4" i="13" s="1"/>
  <c r="S54" i="3"/>
  <c r="G4" i="13" s="1"/>
  <c r="T54" i="3"/>
  <c r="H4" i="13" s="1"/>
  <c r="P20" i="3"/>
  <c r="D5" i="8" s="1"/>
  <c r="T20" i="3"/>
  <c r="H5" i="8" s="1"/>
  <c r="Q20" i="3"/>
  <c r="E5" i="8" s="1"/>
  <c r="U20" i="3"/>
  <c r="I5" i="8" s="1"/>
  <c r="R20" i="3"/>
  <c r="F5" i="8" s="1"/>
  <c r="S20" i="3"/>
  <c r="G5" i="8" s="1"/>
  <c r="V9" i="3"/>
  <c r="V36" i="3" s="1"/>
  <c r="J7" i="10" s="1"/>
  <c r="I1" i="18"/>
  <c r="I1" i="16"/>
  <c r="I1" i="14"/>
  <c r="I1" i="12"/>
  <c r="I1" i="10"/>
  <c r="I1" i="11"/>
  <c r="I1" i="17"/>
  <c r="I1" i="9"/>
  <c r="I1" i="8"/>
  <c r="I1" i="13"/>
  <c r="I1" i="2"/>
  <c r="I1" i="15"/>
  <c r="U12" i="3"/>
  <c r="I4" i="2" s="1"/>
  <c r="I3" i="13"/>
  <c r="B6" i="15" l="1"/>
  <c r="B4" i="15"/>
  <c r="B3" i="11"/>
  <c r="B2" i="11"/>
  <c r="B4" i="16"/>
  <c r="B2" i="12"/>
  <c r="B3" i="15"/>
  <c r="B2" i="14"/>
  <c r="B6" i="14"/>
  <c r="B4" i="12"/>
  <c r="B4" i="17"/>
  <c r="B5" i="16"/>
  <c r="B2" i="16"/>
  <c r="B6" i="16"/>
  <c r="B4" i="13"/>
  <c r="B5" i="15"/>
  <c r="B3" i="16"/>
  <c r="B6" i="13"/>
  <c r="B2" i="15"/>
  <c r="B5" i="12"/>
  <c r="B3" i="12"/>
  <c r="B3" i="13"/>
  <c r="B3" i="14"/>
  <c r="B5" i="14"/>
  <c r="B6" i="12"/>
  <c r="B4" i="11"/>
  <c r="B6" i="11"/>
  <c r="B5" i="13"/>
  <c r="B4" i="14"/>
  <c r="B5" i="11"/>
  <c r="V43" i="3"/>
  <c r="J7" i="11" s="1"/>
  <c r="V51" i="3"/>
  <c r="J8" i="12" s="1"/>
  <c r="V57" i="3"/>
  <c r="J7" i="13" s="1"/>
  <c r="V44" i="3"/>
  <c r="J8" i="11" s="1"/>
  <c r="V50" i="3"/>
  <c r="J7" i="12" s="1"/>
  <c r="V58" i="3"/>
  <c r="J8" i="13" s="1"/>
  <c r="V64" i="3"/>
  <c r="J7" i="14" s="1"/>
  <c r="V72" i="3"/>
  <c r="J8" i="15" s="1"/>
  <c r="V78" i="3"/>
  <c r="J7" i="16" s="1"/>
  <c r="V65" i="3"/>
  <c r="J8" i="14" s="1"/>
  <c r="V71" i="3"/>
  <c r="J7" i="15" s="1"/>
  <c r="V79" i="3"/>
  <c r="J8" i="16" s="1"/>
  <c r="V85" i="3"/>
  <c r="J7" i="17" s="1"/>
  <c r="V86" i="3"/>
  <c r="J8" i="17" s="1"/>
  <c r="V93" i="3"/>
  <c r="V92" i="3"/>
  <c r="V29" i="3"/>
  <c r="J7" i="9" s="1"/>
  <c r="V22" i="3"/>
  <c r="J7" i="8" s="1"/>
  <c r="V15" i="3"/>
  <c r="J7" i="2" s="1"/>
  <c r="V18" i="3"/>
  <c r="J3" i="8" s="1"/>
  <c r="V16" i="3"/>
  <c r="J8" i="2" s="1"/>
  <c r="V53" i="3"/>
  <c r="J3" i="13" s="1"/>
  <c r="V88" i="3"/>
  <c r="V87" i="3"/>
  <c r="V91" i="3"/>
  <c r="V89" i="3"/>
  <c r="V42" i="3"/>
  <c r="J6" i="11" s="1"/>
  <c r="V52" i="3"/>
  <c r="J2" i="13" s="1"/>
  <c r="V90" i="3"/>
  <c r="V46" i="3"/>
  <c r="J3" i="12" s="1"/>
  <c r="V75" i="3"/>
  <c r="J4" i="16" s="1"/>
  <c r="V62" i="3"/>
  <c r="J5" i="14" s="1"/>
  <c r="V41" i="3"/>
  <c r="J5" i="11" s="1"/>
  <c r="V70" i="3"/>
  <c r="J6" i="15" s="1"/>
  <c r="V82" i="3"/>
  <c r="J4" i="17" s="1"/>
  <c r="V66" i="3"/>
  <c r="J2" i="15" s="1"/>
  <c r="V76" i="3"/>
  <c r="J5" i="16" s="1"/>
  <c r="V61" i="3"/>
  <c r="J4" i="14" s="1"/>
  <c r="V47" i="3"/>
  <c r="J4" i="12" s="1"/>
  <c r="V38" i="3"/>
  <c r="J2" i="11" s="1"/>
  <c r="V69" i="3"/>
  <c r="J5" i="15" s="1"/>
  <c r="V73" i="3"/>
  <c r="J2" i="16" s="1"/>
  <c r="V59" i="3"/>
  <c r="J2" i="14" s="1"/>
  <c r="V54" i="3"/>
  <c r="J4" i="13" s="1"/>
  <c r="V45" i="3"/>
  <c r="J2" i="12" s="1"/>
  <c r="V27" i="3"/>
  <c r="J5" i="9" s="1"/>
  <c r="V68" i="3"/>
  <c r="J4" i="15" s="1"/>
  <c r="V56" i="3"/>
  <c r="J6" i="13" s="1"/>
  <c r="V67" i="3"/>
  <c r="J3" i="15" s="1"/>
  <c r="V74" i="3"/>
  <c r="J3" i="16" s="1"/>
  <c r="V60" i="3"/>
  <c r="J3" i="14" s="1"/>
  <c r="V55" i="3"/>
  <c r="J5" i="13" s="1"/>
  <c r="V39" i="3"/>
  <c r="J3" i="11" s="1"/>
  <c r="V77" i="3"/>
  <c r="J6" i="16" s="1"/>
  <c r="V63" i="3"/>
  <c r="J6" i="14" s="1"/>
  <c r="V34" i="3"/>
  <c r="J5" i="10" s="1"/>
  <c r="V49" i="3"/>
  <c r="J6" i="12" s="1"/>
  <c r="V40" i="3"/>
  <c r="J4" i="11" s="1"/>
  <c r="V19" i="3"/>
  <c r="J4" i="8" s="1"/>
  <c r="V48" i="3"/>
  <c r="J5" i="12" s="1"/>
  <c r="V20" i="3"/>
  <c r="J5" i="8" s="1"/>
  <c r="W9" i="3"/>
  <c r="J1" i="17"/>
  <c r="J1" i="15"/>
  <c r="J1" i="13"/>
  <c r="J1" i="11"/>
  <c r="J1" i="9"/>
  <c r="J1" i="18"/>
  <c r="J1" i="16"/>
  <c r="J1" i="14"/>
  <c r="J1" i="12"/>
  <c r="J1" i="10"/>
  <c r="J1" i="2"/>
  <c r="J1" i="8"/>
  <c r="V12" i="3"/>
  <c r="J4" i="2" s="1"/>
  <c r="E21" i="3"/>
  <c r="E17" i="3"/>
  <c r="O84" i="3"/>
  <c r="O83" i="3"/>
  <c r="O80" i="3"/>
  <c r="O28" i="3"/>
  <c r="O26" i="3"/>
  <c r="W36" i="3" l="1"/>
  <c r="K7" i="10" s="1"/>
  <c r="W58" i="3"/>
  <c r="K8" i="13" s="1"/>
  <c r="W64" i="3"/>
  <c r="K7" i="14" s="1"/>
  <c r="W43" i="3"/>
  <c r="K7" i="11" s="1"/>
  <c r="W51" i="3"/>
  <c r="K8" i="12" s="1"/>
  <c r="W57" i="3"/>
  <c r="K7" i="13" s="1"/>
  <c r="W44" i="3"/>
  <c r="K8" i="11" s="1"/>
  <c r="W50" i="3"/>
  <c r="K7" i="12" s="1"/>
  <c r="W85" i="3"/>
  <c r="K7" i="17" s="1"/>
  <c r="W72" i="3"/>
  <c r="K8" i="15" s="1"/>
  <c r="W78" i="3"/>
  <c r="K7" i="16" s="1"/>
  <c r="W65" i="3"/>
  <c r="K8" i="14" s="1"/>
  <c r="W71" i="3"/>
  <c r="K7" i="15" s="1"/>
  <c r="W79" i="3"/>
  <c r="K8" i="16" s="1"/>
  <c r="W92" i="3"/>
  <c r="W93" i="3"/>
  <c r="W22" i="3"/>
  <c r="K7" i="8" s="1"/>
  <c r="W29" i="3"/>
  <c r="K7" i="9" s="1"/>
  <c r="W15" i="3"/>
  <c r="K7" i="2" s="1"/>
  <c r="W86" i="3"/>
  <c r="K8" i="17" s="1"/>
  <c r="W18" i="3"/>
  <c r="K3" i="8" s="1"/>
  <c r="W16" i="3"/>
  <c r="K8" i="2" s="1"/>
  <c r="W53" i="3"/>
  <c r="K3" i="13" s="1"/>
  <c r="W91" i="3"/>
  <c r="W89" i="3"/>
  <c r="W90" i="3"/>
  <c r="W88" i="3"/>
  <c r="W87" i="3"/>
  <c r="W42" i="3"/>
  <c r="K6" i="11" s="1"/>
  <c r="W52" i="3"/>
  <c r="K2" i="13" s="1"/>
  <c r="W46" i="3"/>
  <c r="K3" i="12" s="1"/>
  <c r="W62" i="3"/>
  <c r="K5" i="14" s="1"/>
  <c r="W41" i="3"/>
  <c r="K5" i="11" s="1"/>
  <c r="W70" i="3"/>
  <c r="K6" i="15" s="1"/>
  <c r="W66" i="3"/>
  <c r="K2" i="15" s="1"/>
  <c r="W76" i="3"/>
  <c r="K5" i="16" s="1"/>
  <c r="W82" i="3"/>
  <c r="K4" i="17" s="1"/>
  <c r="W75" i="3"/>
  <c r="K4" i="16" s="1"/>
  <c r="W61" i="3"/>
  <c r="K4" i="14" s="1"/>
  <c r="W38" i="3"/>
  <c r="K2" i="11" s="1"/>
  <c r="W34" i="3"/>
  <c r="K5" i="10" s="1"/>
  <c r="W45" i="3"/>
  <c r="K2" i="12" s="1"/>
  <c r="W27" i="3"/>
  <c r="K5" i="9" s="1"/>
  <c r="W73" i="3"/>
  <c r="K2" i="16" s="1"/>
  <c r="W59" i="3"/>
  <c r="K2" i="14" s="1"/>
  <c r="W67" i="3"/>
  <c r="K3" i="15" s="1"/>
  <c r="W40" i="3"/>
  <c r="K4" i="11" s="1"/>
  <c r="W68" i="3"/>
  <c r="K4" i="15" s="1"/>
  <c r="W56" i="3"/>
  <c r="K6" i="13" s="1"/>
  <c r="W47" i="3"/>
  <c r="K4" i="12" s="1"/>
  <c r="W74" i="3"/>
  <c r="K3" i="16" s="1"/>
  <c r="W60" i="3"/>
  <c r="K3" i="14" s="1"/>
  <c r="W55" i="3"/>
  <c r="K5" i="13" s="1"/>
  <c r="W48" i="3"/>
  <c r="K5" i="12" s="1"/>
  <c r="W39" i="3"/>
  <c r="K3" i="11" s="1"/>
  <c r="W63" i="3"/>
  <c r="K6" i="14" s="1"/>
  <c r="W49" i="3"/>
  <c r="K6" i="12" s="1"/>
  <c r="W69" i="3"/>
  <c r="K5" i="15" s="1"/>
  <c r="W19" i="3"/>
  <c r="K4" i="8" s="1"/>
  <c r="W77" i="3"/>
  <c r="K6" i="16" s="1"/>
  <c r="W54" i="3"/>
  <c r="K4" i="13" s="1"/>
  <c r="W20" i="3"/>
  <c r="K5" i="8" s="1"/>
  <c r="X9" i="3"/>
  <c r="K1" i="17"/>
  <c r="K1" i="15"/>
  <c r="K1" i="13"/>
  <c r="K1" i="11"/>
  <c r="K1" i="9"/>
  <c r="K1" i="12"/>
  <c r="K1" i="18"/>
  <c r="K1" i="10"/>
  <c r="K1" i="2"/>
  <c r="K1" i="8"/>
  <c r="K1" i="16"/>
  <c r="K1" i="14"/>
  <c r="W12" i="3"/>
  <c r="K4" i="2" s="1"/>
  <c r="F25" i="3"/>
  <c r="F26" i="3"/>
  <c r="F28" i="3"/>
  <c r="F31" i="3"/>
  <c r="F32" i="3"/>
  <c r="F81" i="3"/>
  <c r="F24" i="3"/>
  <c r="F33" i="3"/>
  <c r="F83" i="3"/>
  <c r="F80" i="3"/>
  <c r="F35" i="3"/>
  <c r="F84" i="3"/>
  <c r="U24" i="3" l="1"/>
  <c r="I2" i="9" s="1"/>
  <c r="V24" i="3"/>
  <c r="J2" i="9" s="1"/>
  <c r="P24" i="3"/>
  <c r="D2" i="9" s="1"/>
  <c r="W24" i="3"/>
  <c r="K2" i="9" s="1"/>
  <c r="X24" i="3"/>
  <c r="L2" i="9" s="1"/>
  <c r="Q24" i="3"/>
  <c r="E2" i="9" s="1"/>
  <c r="R24" i="3"/>
  <c r="F2" i="9" s="1"/>
  <c r="S24" i="3"/>
  <c r="G2" i="9" s="1"/>
  <c r="T24" i="3"/>
  <c r="H2" i="9" s="1"/>
  <c r="Q80" i="3"/>
  <c r="E2" i="17" s="1"/>
  <c r="R80" i="3"/>
  <c r="F2" i="17" s="1"/>
  <c r="X80" i="3"/>
  <c r="L2" i="17" s="1"/>
  <c r="S80" i="3"/>
  <c r="G2" i="17" s="1"/>
  <c r="V80" i="3"/>
  <c r="J2" i="17" s="1"/>
  <c r="P80" i="3"/>
  <c r="D2" i="17" s="1"/>
  <c r="W80" i="3"/>
  <c r="K2" i="17" s="1"/>
  <c r="T80" i="3"/>
  <c r="H2" i="17" s="1"/>
  <c r="U80" i="3"/>
  <c r="I2" i="17" s="1"/>
  <c r="X36" i="3"/>
  <c r="L7" i="10" s="1"/>
  <c r="Q35" i="3"/>
  <c r="E6" i="10" s="1"/>
  <c r="U35" i="3"/>
  <c r="I6" i="10" s="1"/>
  <c r="R35" i="3"/>
  <c r="F6" i="10" s="1"/>
  <c r="V35" i="3"/>
  <c r="J6" i="10" s="1"/>
  <c r="S35" i="3"/>
  <c r="G6" i="10" s="1"/>
  <c r="W35" i="3"/>
  <c r="K6" i="10" s="1"/>
  <c r="P35" i="3"/>
  <c r="D6" i="10" s="1"/>
  <c r="T35" i="3"/>
  <c r="H6" i="10" s="1"/>
  <c r="X35" i="3"/>
  <c r="L6" i="10" s="1"/>
  <c r="X44" i="3"/>
  <c r="L8" i="11" s="1"/>
  <c r="X50" i="3"/>
  <c r="L7" i="12" s="1"/>
  <c r="X58" i="3"/>
  <c r="L8" i="13" s="1"/>
  <c r="X64" i="3"/>
  <c r="L7" i="14" s="1"/>
  <c r="X43" i="3"/>
  <c r="L7" i="11" s="1"/>
  <c r="X51" i="3"/>
  <c r="L8" i="12" s="1"/>
  <c r="X57" i="3"/>
  <c r="L7" i="13" s="1"/>
  <c r="X65" i="3"/>
  <c r="L8" i="14" s="1"/>
  <c r="X71" i="3"/>
  <c r="L7" i="15" s="1"/>
  <c r="X79" i="3"/>
  <c r="L8" i="16" s="1"/>
  <c r="X85" i="3"/>
  <c r="L7" i="17" s="1"/>
  <c r="X72" i="3"/>
  <c r="L8" i="15" s="1"/>
  <c r="X78" i="3"/>
  <c r="L7" i="16" s="1"/>
  <c r="X92" i="3"/>
  <c r="X93" i="3"/>
  <c r="X22" i="3"/>
  <c r="L7" i="8" s="1"/>
  <c r="X86" i="3"/>
  <c r="L8" i="17" s="1"/>
  <c r="X29" i="3"/>
  <c r="L7" i="9" s="1"/>
  <c r="X15" i="3"/>
  <c r="L7" i="2" s="1"/>
  <c r="X18" i="3"/>
  <c r="L3" i="8" s="1"/>
  <c r="X16" i="3"/>
  <c r="L8" i="2" s="1"/>
  <c r="X87" i="3"/>
  <c r="X53" i="3"/>
  <c r="L3" i="13" s="1"/>
  <c r="X52" i="3"/>
  <c r="L2" i="13" s="1"/>
  <c r="X91" i="3"/>
  <c r="X89" i="3"/>
  <c r="X90" i="3"/>
  <c r="X88" i="3"/>
  <c r="X42" i="3"/>
  <c r="L6" i="11" s="1"/>
  <c r="X61" i="3"/>
  <c r="L4" i="14" s="1"/>
  <c r="X76" i="3"/>
  <c r="L5" i="16" s="1"/>
  <c r="X62" i="3"/>
  <c r="L5" i="14" s="1"/>
  <c r="X46" i="3"/>
  <c r="L3" i="12" s="1"/>
  <c r="X70" i="3"/>
  <c r="L6" i="15" s="1"/>
  <c r="X41" i="3"/>
  <c r="L5" i="11" s="1"/>
  <c r="X82" i="3"/>
  <c r="L4" i="17" s="1"/>
  <c r="X75" i="3"/>
  <c r="L4" i="16" s="1"/>
  <c r="X66" i="3"/>
  <c r="L2" i="15" s="1"/>
  <c r="X47" i="3"/>
  <c r="L4" i="12" s="1"/>
  <c r="X69" i="3"/>
  <c r="L5" i="15" s="1"/>
  <c r="X73" i="3"/>
  <c r="L2" i="16" s="1"/>
  <c r="X59" i="3"/>
  <c r="L2" i="14" s="1"/>
  <c r="X54" i="3"/>
  <c r="L4" i="13" s="1"/>
  <c r="X38" i="3"/>
  <c r="L2" i="11" s="1"/>
  <c r="X45" i="3"/>
  <c r="L2" i="12" s="1"/>
  <c r="X27" i="3"/>
  <c r="L5" i="9" s="1"/>
  <c r="X39" i="3"/>
  <c r="L3" i="11" s="1"/>
  <c r="X77" i="3"/>
  <c r="L6" i="16" s="1"/>
  <c r="X56" i="3"/>
  <c r="L6" i="13" s="1"/>
  <c r="X67" i="3"/>
  <c r="L3" i="15" s="1"/>
  <c r="X40" i="3"/>
  <c r="L4" i="11" s="1"/>
  <c r="X60" i="3"/>
  <c r="L3" i="14" s="1"/>
  <c r="X48" i="3"/>
  <c r="L5" i="12" s="1"/>
  <c r="X68" i="3"/>
  <c r="L4" i="15" s="1"/>
  <c r="X34" i="3"/>
  <c r="L5" i="10" s="1"/>
  <c r="X49" i="3"/>
  <c r="L6" i="12" s="1"/>
  <c r="X74" i="3"/>
  <c r="L3" i="16" s="1"/>
  <c r="X55" i="3"/>
  <c r="L5" i="13" s="1"/>
  <c r="X19" i="3"/>
  <c r="L4" i="8" s="1"/>
  <c r="X63" i="3"/>
  <c r="L6" i="14" s="1"/>
  <c r="X20" i="3"/>
  <c r="L5" i="8" s="1"/>
  <c r="P32" i="3"/>
  <c r="D3" i="10" s="1"/>
  <c r="T32" i="3"/>
  <c r="H3" i="10" s="1"/>
  <c r="X32" i="3"/>
  <c r="L3" i="10" s="1"/>
  <c r="Q32" i="3"/>
  <c r="E3" i="10" s="1"/>
  <c r="U32" i="3"/>
  <c r="I3" i="10" s="1"/>
  <c r="R32" i="3"/>
  <c r="F3" i="10" s="1"/>
  <c r="V32" i="3"/>
  <c r="J3" i="10" s="1"/>
  <c r="S32" i="3"/>
  <c r="G3" i="10" s="1"/>
  <c r="W32" i="3"/>
  <c r="K3" i="10" s="1"/>
  <c r="R33" i="3"/>
  <c r="F4" i="10" s="1"/>
  <c r="V33" i="3"/>
  <c r="J4" i="10" s="1"/>
  <c r="S33" i="3"/>
  <c r="G4" i="10" s="1"/>
  <c r="W33" i="3"/>
  <c r="K4" i="10" s="1"/>
  <c r="P33" i="3"/>
  <c r="D4" i="10" s="1"/>
  <c r="T33" i="3"/>
  <c r="H4" i="10" s="1"/>
  <c r="X33" i="3"/>
  <c r="L4" i="10" s="1"/>
  <c r="Q33" i="3"/>
  <c r="E4" i="10" s="1"/>
  <c r="U33" i="3"/>
  <c r="I4" i="10" s="1"/>
  <c r="S84" i="3"/>
  <c r="G6" i="17" s="1"/>
  <c r="W84" i="3"/>
  <c r="K6" i="17" s="1"/>
  <c r="P84" i="3"/>
  <c r="D6" i="17" s="1"/>
  <c r="T84" i="3"/>
  <c r="H6" i="17" s="1"/>
  <c r="X84" i="3"/>
  <c r="L6" i="17" s="1"/>
  <c r="Q84" i="3"/>
  <c r="E6" i="17" s="1"/>
  <c r="U84" i="3"/>
  <c r="I6" i="17" s="1"/>
  <c r="R84" i="3"/>
  <c r="F6" i="17" s="1"/>
  <c r="V84" i="3"/>
  <c r="J6" i="17" s="1"/>
  <c r="P28" i="3"/>
  <c r="D6" i="9" s="1"/>
  <c r="T28" i="3"/>
  <c r="H6" i="9" s="1"/>
  <c r="X28" i="3"/>
  <c r="L6" i="9" s="1"/>
  <c r="Q28" i="3"/>
  <c r="E6" i="9" s="1"/>
  <c r="U28" i="3"/>
  <c r="I6" i="9" s="1"/>
  <c r="R28" i="3"/>
  <c r="F6" i="9" s="1"/>
  <c r="V28" i="3"/>
  <c r="J6" i="9" s="1"/>
  <c r="S28" i="3"/>
  <c r="G6" i="9" s="1"/>
  <c r="W28" i="3"/>
  <c r="K6" i="9" s="1"/>
  <c r="Q81" i="3"/>
  <c r="E3" i="17" s="1"/>
  <c r="U81" i="3"/>
  <c r="I3" i="17" s="1"/>
  <c r="R81" i="3"/>
  <c r="F3" i="17" s="1"/>
  <c r="V81" i="3"/>
  <c r="J3" i="17" s="1"/>
  <c r="S81" i="3"/>
  <c r="G3" i="17" s="1"/>
  <c r="W81" i="3"/>
  <c r="K3" i="17" s="1"/>
  <c r="P81" i="3"/>
  <c r="D3" i="17" s="1"/>
  <c r="T81" i="3"/>
  <c r="H3" i="17" s="1"/>
  <c r="X81" i="3"/>
  <c r="L3" i="17" s="1"/>
  <c r="P26" i="3"/>
  <c r="D4" i="9" s="1"/>
  <c r="T26" i="3"/>
  <c r="H4" i="9" s="1"/>
  <c r="X26" i="3"/>
  <c r="L4" i="9" s="1"/>
  <c r="Q26" i="3"/>
  <c r="E4" i="9" s="1"/>
  <c r="U26" i="3"/>
  <c r="I4" i="9" s="1"/>
  <c r="R26" i="3"/>
  <c r="F4" i="9" s="1"/>
  <c r="V26" i="3"/>
  <c r="J4" i="9" s="1"/>
  <c r="S26" i="3"/>
  <c r="G4" i="9" s="1"/>
  <c r="W26" i="3"/>
  <c r="K4" i="9" s="1"/>
  <c r="Q83" i="3"/>
  <c r="E5" i="17" s="1"/>
  <c r="U83" i="3"/>
  <c r="I5" i="17" s="1"/>
  <c r="R83" i="3"/>
  <c r="F5" i="17" s="1"/>
  <c r="V83" i="3"/>
  <c r="J5" i="17" s="1"/>
  <c r="S83" i="3"/>
  <c r="G5" i="17" s="1"/>
  <c r="W83" i="3"/>
  <c r="K5" i="17" s="1"/>
  <c r="P83" i="3"/>
  <c r="D5" i="17" s="1"/>
  <c r="T83" i="3"/>
  <c r="H5" i="17" s="1"/>
  <c r="X83" i="3"/>
  <c r="L5" i="17" s="1"/>
  <c r="R25" i="3"/>
  <c r="F3" i="9" s="1"/>
  <c r="V25" i="3"/>
  <c r="J3" i="9" s="1"/>
  <c r="S25" i="3"/>
  <c r="G3" i="9" s="1"/>
  <c r="W25" i="3"/>
  <c r="K3" i="9" s="1"/>
  <c r="P25" i="3"/>
  <c r="D3" i="9" s="1"/>
  <c r="T25" i="3"/>
  <c r="H3" i="9" s="1"/>
  <c r="X25" i="3"/>
  <c r="L3" i="9" s="1"/>
  <c r="Q25" i="3"/>
  <c r="E3" i="9" s="1"/>
  <c r="U25" i="3"/>
  <c r="I3" i="9" s="1"/>
  <c r="Y9" i="3"/>
  <c r="L1" i="18"/>
  <c r="L1" i="16"/>
  <c r="L1" i="14"/>
  <c r="L1" i="12"/>
  <c r="L1" i="10"/>
  <c r="L1" i="17"/>
  <c r="L1" i="15"/>
  <c r="L1" i="13"/>
  <c r="L1" i="11"/>
  <c r="L1" i="9"/>
  <c r="L1" i="8"/>
  <c r="L1" i="2"/>
  <c r="X12" i="3"/>
  <c r="L4" i="2" s="1"/>
  <c r="F13" i="3"/>
  <c r="F21" i="3"/>
  <c r="C2" i="17"/>
  <c r="C3" i="17"/>
  <c r="C6" i="17"/>
  <c r="F11" i="3"/>
  <c r="P11" i="3" s="1"/>
  <c r="D3" i="2" s="1"/>
  <c r="C5" i="17"/>
  <c r="F10" i="3"/>
  <c r="F17" i="3"/>
  <c r="B2" i="17" l="1"/>
  <c r="B6" i="17"/>
  <c r="B3" i="17"/>
  <c r="Y80" i="3"/>
  <c r="M2" i="17" s="1"/>
  <c r="B5" i="17"/>
  <c r="Y24" i="3"/>
  <c r="M2" i="9" s="1"/>
  <c r="Y35" i="3"/>
  <c r="M6" i="10" s="1"/>
  <c r="Y36" i="3"/>
  <c r="M7" i="10" s="1"/>
  <c r="Y28" i="3"/>
  <c r="M6" i="9" s="1"/>
  <c r="Y83" i="3"/>
  <c r="M5" i="17" s="1"/>
  <c r="Y26" i="3"/>
  <c r="M4" i="9" s="1"/>
  <c r="Y32" i="3"/>
  <c r="M3" i="10" s="1"/>
  <c r="Y57" i="3"/>
  <c r="M7" i="13" s="1"/>
  <c r="Y44" i="3"/>
  <c r="M8" i="11" s="1"/>
  <c r="Y50" i="3"/>
  <c r="M7" i="12" s="1"/>
  <c r="Y58" i="3"/>
  <c r="M8" i="13" s="1"/>
  <c r="Y43" i="3"/>
  <c r="M7" i="11" s="1"/>
  <c r="Y51" i="3"/>
  <c r="M8" i="12" s="1"/>
  <c r="Y65" i="3"/>
  <c r="M8" i="14" s="1"/>
  <c r="Y71" i="3"/>
  <c r="M7" i="15" s="1"/>
  <c r="Y79" i="3"/>
  <c r="M8" i="16" s="1"/>
  <c r="Y85" i="3"/>
  <c r="M7" i="17" s="1"/>
  <c r="Y64" i="3"/>
  <c r="M7" i="14" s="1"/>
  <c r="Y72" i="3"/>
  <c r="M8" i="15" s="1"/>
  <c r="Y78" i="3"/>
  <c r="M7" i="16" s="1"/>
  <c r="Y93" i="3"/>
  <c r="Y92" i="3"/>
  <c r="Y22" i="3"/>
  <c r="M7" i="8" s="1"/>
  <c r="Y86" i="3"/>
  <c r="M8" i="17" s="1"/>
  <c r="Y29" i="3"/>
  <c r="M7" i="9" s="1"/>
  <c r="Y15" i="3"/>
  <c r="M7" i="2" s="1"/>
  <c r="Y18" i="3"/>
  <c r="M3" i="8" s="1"/>
  <c r="Y16" i="3"/>
  <c r="M8" i="2" s="1"/>
  <c r="Y90" i="3"/>
  <c r="Y42" i="3"/>
  <c r="M6" i="11" s="1"/>
  <c r="Y88" i="3"/>
  <c r="Y87" i="3"/>
  <c r="Y91" i="3"/>
  <c r="Y53" i="3"/>
  <c r="M3" i="13" s="1"/>
  <c r="Y89" i="3"/>
  <c r="Y76" i="3"/>
  <c r="M5" i="16" s="1"/>
  <c r="Y52" i="3"/>
  <c r="M2" i="13" s="1"/>
  <c r="Y61" i="3"/>
  <c r="M4" i="14" s="1"/>
  <c r="Y56" i="3"/>
  <c r="M6" i="13" s="1"/>
  <c r="Y62" i="3"/>
  <c r="M5" i="14" s="1"/>
  <c r="Y82" i="3"/>
  <c r="M4" i="17" s="1"/>
  <c r="Y75" i="3"/>
  <c r="M4" i="16" s="1"/>
  <c r="Y70" i="3"/>
  <c r="M6" i="15" s="1"/>
  <c r="Y66" i="3"/>
  <c r="M2" i="15" s="1"/>
  <c r="Y46" i="3"/>
  <c r="M3" i="12" s="1"/>
  <c r="Y41" i="3"/>
  <c r="M5" i="11" s="1"/>
  <c r="Y47" i="3"/>
  <c r="M4" i="12" s="1"/>
  <c r="Y34" i="3"/>
  <c r="M5" i="10" s="1"/>
  <c r="Y49" i="3"/>
  <c r="M6" i="12" s="1"/>
  <c r="Y74" i="3"/>
  <c r="M3" i="16" s="1"/>
  <c r="Y73" i="3"/>
  <c r="M2" i="16" s="1"/>
  <c r="Y63" i="3"/>
  <c r="M6" i="14" s="1"/>
  <c r="Y45" i="3"/>
  <c r="M2" i="12" s="1"/>
  <c r="Y40" i="3"/>
  <c r="M4" i="11" s="1"/>
  <c r="Y69" i="3"/>
  <c r="M5" i="15" s="1"/>
  <c r="Y48" i="3"/>
  <c r="M5" i="12" s="1"/>
  <c r="Y68" i="3"/>
  <c r="M4" i="15" s="1"/>
  <c r="Y59" i="3"/>
  <c r="M2" i="14" s="1"/>
  <c r="Y54" i="3"/>
  <c r="M4" i="13" s="1"/>
  <c r="Y38" i="3"/>
  <c r="M2" i="11" s="1"/>
  <c r="Y27" i="3"/>
  <c r="M5" i="9" s="1"/>
  <c r="Y19" i="3"/>
  <c r="M4" i="8" s="1"/>
  <c r="Y39" i="3"/>
  <c r="M3" i="11" s="1"/>
  <c r="Y67" i="3"/>
  <c r="M3" i="15" s="1"/>
  <c r="Y60" i="3"/>
  <c r="M3" i="14" s="1"/>
  <c r="Y55" i="3"/>
  <c r="M5" i="13" s="1"/>
  <c r="Y77" i="3"/>
  <c r="M6" i="16" s="1"/>
  <c r="Y20" i="3"/>
  <c r="M5" i="8" s="1"/>
  <c r="Y84" i="3"/>
  <c r="M6" i="17" s="1"/>
  <c r="Y25" i="3"/>
  <c r="M3" i="9" s="1"/>
  <c r="Y81" i="3"/>
  <c r="M3" i="17" s="1"/>
  <c r="Y33" i="3"/>
  <c r="M4" i="10" s="1"/>
  <c r="P21" i="3"/>
  <c r="D6" i="8" s="1"/>
  <c r="T21" i="3"/>
  <c r="H6" i="8" s="1"/>
  <c r="X21" i="3"/>
  <c r="L6" i="8" s="1"/>
  <c r="S21" i="3"/>
  <c r="G6" i="8" s="1"/>
  <c r="Q21" i="3"/>
  <c r="E6" i="8" s="1"/>
  <c r="U21" i="3"/>
  <c r="I6" i="8" s="1"/>
  <c r="Y21" i="3"/>
  <c r="M6" i="8" s="1"/>
  <c r="W21" i="3"/>
  <c r="K6" i="8" s="1"/>
  <c r="R21" i="3"/>
  <c r="F6" i="8" s="1"/>
  <c r="V21" i="3"/>
  <c r="J6" i="8" s="1"/>
  <c r="Z9" i="3"/>
  <c r="M1" i="18"/>
  <c r="M1" i="16"/>
  <c r="M1" i="14"/>
  <c r="M1" i="12"/>
  <c r="M1" i="10"/>
  <c r="M1" i="13"/>
  <c r="M1" i="15"/>
  <c r="M1" i="11"/>
  <c r="M1" i="8"/>
  <c r="M1" i="17"/>
  <c r="M1" i="9"/>
  <c r="M1" i="2"/>
  <c r="Y12" i="3"/>
  <c r="M4" i="2" s="1"/>
  <c r="Q11" i="3"/>
  <c r="E3" i="2" s="1"/>
  <c r="Y11" i="3"/>
  <c r="M3" i="2" s="1"/>
  <c r="R11" i="3"/>
  <c r="F3" i="2" s="1"/>
  <c r="S11" i="3"/>
  <c r="G3" i="2" s="1"/>
  <c r="T11" i="3"/>
  <c r="H3" i="2" s="1"/>
  <c r="U11" i="3"/>
  <c r="I3" i="2" s="1"/>
  <c r="V11" i="3"/>
  <c r="J3" i="2" s="1"/>
  <c r="W11" i="3"/>
  <c r="K3" i="2" s="1"/>
  <c r="X11" i="3"/>
  <c r="L3" i="2" s="1"/>
  <c r="V13" i="3"/>
  <c r="J5" i="2" s="1"/>
  <c r="W13" i="3"/>
  <c r="K5" i="2" s="1"/>
  <c r="P13" i="3"/>
  <c r="D5" i="2" s="1"/>
  <c r="X13" i="3"/>
  <c r="L5" i="2" s="1"/>
  <c r="Q13" i="3"/>
  <c r="E5" i="2" s="1"/>
  <c r="Y13" i="3"/>
  <c r="M5" i="2" s="1"/>
  <c r="R13" i="3"/>
  <c r="F5" i="2" s="1"/>
  <c r="S13" i="3"/>
  <c r="G5" i="2" s="1"/>
  <c r="U13" i="3"/>
  <c r="I5" i="2" s="1"/>
  <c r="T13" i="3"/>
  <c r="H5" i="2" s="1"/>
  <c r="V14" i="3"/>
  <c r="J6" i="2" s="1"/>
  <c r="W14" i="3"/>
  <c r="K6" i="2" s="1"/>
  <c r="X14" i="3"/>
  <c r="L6" i="2" s="1"/>
  <c r="Q14" i="3"/>
  <c r="E6" i="2" s="1"/>
  <c r="Y14" i="3"/>
  <c r="M6" i="2" s="1"/>
  <c r="R14" i="3"/>
  <c r="F6" i="2" s="1"/>
  <c r="T14" i="3"/>
  <c r="H6" i="2" s="1"/>
  <c r="U14" i="3"/>
  <c r="I6" i="2" s="1"/>
  <c r="S14" i="3"/>
  <c r="G6" i="2" s="1"/>
  <c r="Z13" i="3" l="1"/>
  <c r="N5" i="2" s="1"/>
  <c r="Z24" i="3"/>
  <c r="N2" i="9" s="1"/>
  <c r="Z80" i="3"/>
  <c r="N2" i="17" s="1"/>
  <c r="Z36" i="3"/>
  <c r="N7" i="10" s="1"/>
  <c r="Z14" i="3"/>
  <c r="N6" i="2" s="1"/>
  <c r="Z11" i="3"/>
  <c r="N3" i="2" s="1"/>
  <c r="Z35" i="3"/>
  <c r="N6" i="10" s="1"/>
  <c r="Z32" i="3"/>
  <c r="N3" i="10" s="1"/>
  <c r="Z28" i="3"/>
  <c r="N6" i="9" s="1"/>
  <c r="Z25" i="3"/>
  <c r="N3" i="9" s="1"/>
  <c r="Z29" i="3"/>
  <c r="N7" i="9" s="1"/>
  <c r="Z43" i="3"/>
  <c r="N7" i="11" s="1"/>
  <c r="Z51" i="3"/>
  <c r="N8" i="12" s="1"/>
  <c r="Z57" i="3"/>
  <c r="N7" i="13" s="1"/>
  <c r="Z44" i="3"/>
  <c r="N8" i="11" s="1"/>
  <c r="Z50" i="3"/>
  <c r="N7" i="12" s="1"/>
  <c r="Z58" i="3"/>
  <c r="N8" i="13" s="1"/>
  <c r="Z64" i="3"/>
  <c r="N7" i="14" s="1"/>
  <c r="Z72" i="3"/>
  <c r="N8" i="15" s="1"/>
  <c r="Z78" i="3"/>
  <c r="N7" i="16" s="1"/>
  <c r="Z86" i="3"/>
  <c r="N8" i="17" s="1"/>
  <c r="Z65" i="3"/>
  <c r="N8" i="14" s="1"/>
  <c r="Z71" i="3"/>
  <c r="N7" i="15" s="1"/>
  <c r="Z79" i="3"/>
  <c r="N8" i="16" s="1"/>
  <c r="Z85" i="3"/>
  <c r="N7" i="17" s="1"/>
  <c r="Z93" i="3"/>
  <c r="Z92" i="3"/>
  <c r="Z22" i="3"/>
  <c r="N7" i="8" s="1"/>
  <c r="Z15" i="3"/>
  <c r="N7" i="2" s="1"/>
  <c r="Z18" i="3"/>
  <c r="N3" i="8" s="1"/>
  <c r="Z16" i="3"/>
  <c r="N8" i="2" s="1"/>
  <c r="Z90" i="3"/>
  <c r="Z53" i="3"/>
  <c r="N3" i="13" s="1"/>
  <c r="Z91" i="3"/>
  <c r="Z89" i="3"/>
  <c r="Z88" i="3"/>
  <c r="Z87" i="3"/>
  <c r="Z42" i="3"/>
  <c r="N6" i="11" s="1"/>
  <c r="Z76" i="3"/>
  <c r="N5" i="16" s="1"/>
  <c r="Z61" i="3"/>
  <c r="N4" i="14" s="1"/>
  <c r="Z52" i="3"/>
  <c r="N2" i="13" s="1"/>
  <c r="Z46" i="3"/>
  <c r="N3" i="12" s="1"/>
  <c r="Z75" i="3"/>
  <c r="N4" i="16" s="1"/>
  <c r="Z62" i="3"/>
  <c r="N5" i="14" s="1"/>
  <c r="Z41" i="3"/>
  <c r="N5" i="11" s="1"/>
  <c r="Z82" i="3"/>
  <c r="N4" i="17" s="1"/>
  <c r="Z70" i="3"/>
  <c r="N6" i="15" s="1"/>
  <c r="Z66" i="3"/>
  <c r="N2" i="15" s="1"/>
  <c r="Z34" i="3"/>
  <c r="N5" i="10" s="1"/>
  <c r="Z49" i="3"/>
  <c r="N6" i="12" s="1"/>
  <c r="Z40" i="3"/>
  <c r="N4" i="11" s="1"/>
  <c r="Z19" i="3"/>
  <c r="N4" i="8" s="1"/>
  <c r="Z48" i="3"/>
  <c r="N5" i="12" s="1"/>
  <c r="Z47" i="3"/>
  <c r="N4" i="12" s="1"/>
  <c r="Z38" i="3"/>
  <c r="N2" i="11" s="1"/>
  <c r="Z69" i="3"/>
  <c r="N5" i="15" s="1"/>
  <c r="Z73" i="3"/>
  <c r="N2" i="16" s="1"/>
  <c r="Z59" i="3"/>
  <c r="N2" i="14" s="1"/>
  <c r="Z54" i="3"/>
  <c r="N4" i="13" s="1"/>
  <c r="Z45" i="3"/>
  <c r="N2" i="12" s="1"/>
  <c r="Z27" i="3"/>
  <c r="N5" i="9" s="1"/>
  <c r="Z77" i="3"/>
  <c r="N6" i="16" s="1"/>
  <c r="Z68" i="3"/>
  <c r="N4" i="15" s="1"/>
  <c r="Z56" i="3"/>
  <c r="N6" i="13" s="1"/>
  <c r="Z67" i="3"/>
  <c r="N3" i="15" s="1"/>
  <c r="Z74" i="3"/>
  <c r="N3" i="16" s="1"/>
  <c r="Z60" i="3"/>
  <c r="N3" i="14" s="1"/>
  <c r="Z55" i="3"/>
  <c r="N5" i="13" s="1"/>
  <c r="Z39" i="3"/>
  <c r="N3" i="11" s="1"/>
  <c r="Z63" i="3"/>
  <c r="N6" i="14" s="1"/>
  <c r="Z20" i="3"/>
  <c r="N5" i="8" s="1"/>
  <c r="Z81" i="3"/>
  <c r="N3" i="17" s="1"/>
  <c r="Z84" i="3"/>
  <c r="N6" i="17" s="1"/>
  <c r="Z33" i="3"/>
  <c r="N4" i="10" s="1"/>
  <c r="Z26" i="3"/>
  <c r="N4" i="9" s="1"/>
  <c r="Z83" i="3"/>
  <c r="N5" i="17" s="1"/>
  <c r="Z21" i="3"/>
  <c r="N6" i="8" s="1"/>
  <c r="AA9" i="3"/>
  <c r="N1" i="17"/>
  <c r="N1" i="15"/>
  <c r="N1" i="13"/>
  <c r="N1" i="11"/>
  <c r="N1" i="9"/>
  <c r="N1" i="18"/>
  <c r="N1" i="16"/>
  <c r="N1" i="14"/>
  <c r="N1" i="12"/>
  <c r="N1" i="10"/>
  <c r="N1" i="2"/>
  <c r="N1" i="8"/>
  <c r="Z12" i="3"/>
  <c r="N4" i="2" s="1"/>
  <c r="AA80" i="3" l="1"/>
  <c r="O2" i="17" s="1"/>
  <c r="AA24" i="3"/>
  <c r="O2" i="9" s="1"/>
  <c r="AA36" i="3"/>
  <c r="O7" i="10" s="1"/>
  <c r="AA58" i="3"/>
  <c r="O8" i="13" s="1"/>
  <c r="AA64" i="3"/>
  <c r="O7" i="14" s="1"/>
  <c r="AA43" i="3"/>
  <c r="O7" i="11" s="1"/>
  <c r="AA51" i="3"/>
  <c r="O8" i="12" s="1"/>
  <c r="AA57" i="3"/>
  <c r="O7" i="13" s="1"/>
  <c r="AA44" i="3"/>
  <c r="O8" i="11" s="1"/>
  <c r="AA50" i="3"/>
  <c r="O7" i="12" s="1"/>
  <c r="AA85" i="3"/>
  <c r="O7" i="17" s="1"/>
  <c r="AA72" i="3"/>
  <c r="O8" i="15" s="1"/>
  <c r="AA78" i="3"/>
  <c r="O7" i="16" s="1"/>
  <c r="AA65" i="3"/>
  <c r="O8" i="14" s="1"/>
  <c r="AA71" i="3"/>
  <c r="O7" i="15" s="1"/>
  <c r="AA79" i="3"/>
  <c r="O8" i="16" s="1"/>
  <c r="AA92" i="3"/>
  <c r="AA22" i="3"/>
  <c r="O7" i="8" s="1"/>
  <c r="AA93" i="3"/>
  <c r="AA29" i="3"/>
  <c r="O7" i="9" s="1"/>
  <c r="AA86" i="3"/>
  <c r="O8" i="17" s="1"/>
  <c r="AA15" i="3"/>
  <c r="O7" i="2" s="1"/>
  <c r="AA18" i="3"/>
  <c r="O3" i="8" s="1"/>
  <c r="AA16" i="3"/>
  <c r="O8" i="2" s="1"/>
  <c r="AA42" i="3"/>
  <c r="O6" i="11" s="1"/>
  <c r="AA53" i="3"/>
  <c r="O3" i="13" s="1"/>
  <c r="AA87" i="3"/>
  <c r="AA91" i="3"/>
  <c r="AA89" i="3"/>
  <c r="AA90" i="3"/>
  <c r="AA88" i="3"/>
  <c r="AA76" i="3"/>
  <c r="O5" i="16" s="1"/>
  <c r="AA82" i="3"/>
  <c r="O4" i="17" s="1"/>
  <c r="AA61" i="3"/>
  <c r="O4" i="14" s="1"/>
  <c r="AA46" i="3"/>
  <c r="O3" i="12" s="1"/>
  <c r="AA75" i="3"/>
  <c r="O4" i="16" s="1"/>
  <c r="AA62" i="3"/>
  <c r="O5" i="14" s="1"/>
  <c r="AA41" i="3"/>
  <c r="O5" i="11" s="1"/>
  <c r="AA70" i="3"/>
  <c r="O6" i="15" s="1"/>
  <c r="AA52" i="3"/>
  <c r="O2" i="13" s="1"/>
  <c r="AA66" i="3"/>
  <c r="O2" i="15" s="1"/>
  <c r="AA47" i="3"/>
  <c r="O4" i="12" s="1"/>
  <c r="AA49" i="3"/>
  <c r="O6" i="12" s="1"/>
  <c r="AA19" i="3"/>
  <c r="O4" i="8" s="1"/>
  <c r="AA48" i="3"/>
  <c r="O5" i="12" s="1"/>
  <c r="AA77" i="3"/>
  <c r="O6" i="16" s="1"/>
  <c r="AA40" i="3"/>
  <c r="O4" i="11" s="1"/>
  <c r="AA69" i="3"/>
  <c r="O5" i="15" s="1"/>
  <c r="AA73" i="3"/>
  <c r="O2" i="16" s="1"/>
  <c r="AA59" i="3"/>
  <c r="O2" i="14" s="1"/>
  <c r="AA34" i="3"/>
  <c r="O5" i="10" s="1"/>
  <c r="AA45" i="3"/>
  <c r="O2" i="12" s="1"/>
  <c r="AA27" i="3"/>
  <c r="O5" i="9" s="1"/>
  <c r="AA68" i="3"/>
  <c r="O4" i="15" s="1"/>
  <c r="AA56" i="3"/>
  <c r="O6" i="13" s="1"/>
  <c r="AA38" i="3"/>
  <c r="O2" i="11" s="1"/>
  <c r="AA67" i="3"/>
  <c r="O3" i="15" s="1"/>
  <c r="AA74" i="3"/>
  <c r="O3" i="16" s="1"/>
  <c r="AA60" i="3"/>
  <c r="O3" i="14" s="1"/>
  <c r="AA55" i="3"/>
  <c r="O5" i="13" s="1"/>
  <c r="AA39" i="3"/>
  <c r="O3" i="11" s="1"/>
  <c r="AA63" i="3"/>
  <c r="O6" i="14" s="1"/>
  <c r="AA20" i="3"/>
  <c r="O5" i="8" s="1"/>
  <c r="AA54" i="3"/>
  <c r="O4" i="13" s="1"/>
  <c r="AA84" i="3"/>
  <c r="O6" i="17" s="1"/>
  <c r="AA81" i="3"/>
  <c r="O3" i="17" s="1"/>
  <c r="AA33" i="3"/>
  <c r="O4" i="10" s="1"/>
  <c r="AA26" i="3"/>
  <c r="O4" i="9" s="1"/>
  <c r="AA83" i="3"/>
  <c r="O5" i="17" s="1"/>
  <c r="AA28" i="3"/>
  <c r="O6" i="9" s="1"/>
  <c r="AA32" i="3"/>
  <c r="O3" i="10" s="1"/>
  <c r="AA21" i="3"/>
  <c r="O6" i="8" s="1"/>
  <c r="AA35" i="3"/>
  <c r="O6" i="10" s="1"/>
  <c r="AA25" i="3"/>
  <c r="O3" i="9" s="1"/>
  <c r="AB9" i="3"/>
  <c r="O1" i="17"/>
  <c r="O1" i="15"/>
  <c r="O1" i="13"/>
  <c r="O1" i="11"/>
  <c r="O1" i="9"/>
  <c r="O1" i="14"/>
  <c r="O1" i="12"/>
  <c r="O1" i="2"/>
  <c r="O1" i="16"/>
  <c r="O1" i="18"/>
  <c r="O1" i="10"/>
  <c r="O1" i="8"/>
  <c r="AA12" i="3"/>
  <c r="O4" i="2" s="1"/>
  <c r="AA13" i="3"/>
  <c r="O5" i="2" s="1"/>
  <c r="AA11" i="3"/>
  <c r="O3" i="2" s="1"/>
  <c r="AA14" i="3"/>
  <c r="O6" i="2" s="1"/>
  <c r="AB80" i="3" l="1"/>
  <c r="P2" i="17" s="1"/>
  <c r="AB24" i="3"/>
  <c r="P2" i="9" s="1"/>
  <c r="AB25" i="3"/>
  <c r="P3" i="9" s="1"/>
  <c r="AB32" i="3"/>
  <c r="P3" i="10" s="1"/>
  <c r="AB21" i="3"/>
  <c r="P6" i="8" s="1"/>
  <c r="AB14" i="3"/>
  <c r="P6" i="2" s="1"/>
  <c r="AB11" i="3"/>
  <c r="P3" i="2" s="1"/>
  <c r="AB35" i="3"/>
  <c r="P6" i="10" s="1"/>
  <c r="AB36" i="3"/>
  <c r="P7" i="10" s="1"/>
  <c r="AB44" i="3"/>
  <c r="P8" i="11" s="1"/>
  <c r="AB50" i="3"/>
  <c r="P7" i="12" s="1"/>
  <c r="AB58" i="3"/>
  <c r="P8" i="13" s="1"/>
  <c r="AB64" i="3"/>
  <c r="P7" i="14" s="1"/>
  <c r="AB43" i="3"/>
  <c r="P7" i="11" s="1"/>
  <c r="AB51" i="3"/>
  <c r="P8" i="12" s="1"/>
  <c r="AB57" i="3"/>
  <c r="P7" i="13" s="1"/>
  <c r="AB65" i="3"/>
  <c r="P8" i="14" s="1"/>
  <c r="AB71" i="3"/>
  <c r="P7" i="15" s="1"/>
  <c r="AB79" i="3"/>
  <c r="P8" i="16" s="1"/>
  <c r="AB85" i="3"/>
  <c r="P7" i="17" s="1"/>
  <c r="AB72" i="3"/>
  <c r="P8" i="15" s="1"/>
  <c r="AB78" i="3"/>
  <c r="P7" i="16" s="1"/>
  <c r="AB92" i="3"/>
  <c r="AB93" i="3"/>
  <c r="AB86" i="3"/>
  <c r="P8" i="17" s="1"/>
  <c r="AB22" i="3"/>
  <c r="P7" i="8" s="1"/>
  <c r="AB29" i="3"/>
  <c r="P7" i="9" s="1"/>
  <c r="AB15" i="3"/>
  <c r="P7" i="2" s="1"/>
  <c r="AB18" i="3"/>
  <c r="P3" i="8" s="1"/>
  <c r="AB16" i="3"/>
  <c r="P8" i="2" s="1"/>
  <c r="AB90" i="3"/>
  <c r="AB87" i="3"/>
  <c r="AB42" i="3"/>
  <c r="P6" i="11" s="1"/>
  <c r="AB88" i="3"/>
  <c r="AB53" i="3"/>
  <c r="P3" i="13" s="1"/>
  <c r="AB91" i="3"/>
  <c r="AB89" i="3"/>
  <c r="AB82" i="3"/>
  <c r="P4" i="17" s="1"/>
  <c r="AB75" i="3"/>
  <c r="P4" i="16" s="1"/>
  <c r="AB66" i="3"/>
  <c r="P2" i="15" s="1"/>
  <c r="AB61" i="3"/>
  <c r="P4" i="14" s="1"/>
  <c r="AB76" i="3"/>
  <c r="P5" i="16" s="1"/>
  <c r="AB62" i="3"/>
  <c r="P5" i="14" s="1"/>
  <c r="AB46" i="3"/>
  <c r="P3" i="12" s="1"/>
  <c r="AB70" i="3"/>
  <c r="P6" i="15" s="1"/>
  <c r="AB52" i="3"/>
  <c r="P2" i="13" s="1"/>
  <c r="AB41" i="3"/>
  <c r="P5" i="11" s="1"/>
  <c r="AB34" i="3"/>
  <c r="P5" i="10" s="1"/>
  <c r="AB49" i="3"/>
  <c r="P6" i="12" s="1"/>
  <c r="AB74" i="3"/>
  <c r="P3" i="16" s="1"/>
  <c r="AB55" i="3"/>
  <c r="P5" i="13" s="1"/>
  <c r="AB73" i="3"/>
  <c r="P2" i="16" s="1"/>
  <c r="AB63" i="3"/>
  <c r="P6" i="14" s="1"/>
  <c r="AB47" i="3"/>
  <c r="P4" i="12" s="1"/>
  <c r="AB69" i="3"/>
  <c r="P5" i="15" s="1"/>
  <c r="AB59" i="3"/>
  <c r="P2" i="14" s="1"/>
  <c r="AB38" i="3"/>
  <c r="P2" i="11" s="1"/>
  <c r="AB45" i="3"/>
  <c r="P2" i="12" s="1"/>
  <c r="AB40" i="3"/>
  <c r="P4" i="11" s="1"/>
  <c r="AB27" i="3"/>
  <c r="P5" i="9" s="1"/>
  <c r="AB39" i="3"/>
  <c r="P3" i="11" s="1"/>
  <c r="AB77" i="3"/>
  <c r="P6" i="16" s="1"/>
  <c r="AB56" i="3"/>
  <c r="P6" i="13" s="1"/>
  <c r="AB67" i="3"/>
  <c r="P3" i="15" s="1"/>
  <c r="AB60" i="3"/>
  <c r="P3" i="14" s="1"/>
  <c r="AB19" i="3"/>
  <c r="P4" i="8" s="1"/>
  <c r="AB48" i="3"/>
  <c r="P5" i="12" s="1"/>
  <c r="AB68" i="3"/>
  <c r="P4" i="15" s="1"/>
  <c r="AB20" i="3"/>
  <c r="P5" i="8" s="1"/>
  <c r="AB54" i="3"/>
  <c r="P4" i="13" s="1"/>
  <c r="AB84" i="3"/>
  <c r="P6" i="17" s="1"/>
  <c r="AB81" i="3"/>
  <c r="P3" i="17" s="1"/>
  <c r="AB26" i="3"/>
  <c r="P4" i="9" s="1"/>
  <c r="AB33" i="3"/>
  <c r="P4" i="10" s="1"/>
  <c r="AB83" i="3"/>
  <c r="P5" i="17" s="1"/>
  <c r="AB28" i="3"/>
  <c r="P6" i="9" s="1"/>
  <c r="AC9" i="3"/>
  <c r="P1" i="18"/>
  <c r="P1" i="16"/>
  <c r="P1" i="14"/>
  <c r="P1" i="12"/>
  <c r="P1" i="10"/>
  <c r="P1" i="17"/>
  <c r="P1" i="15"/>
  <c r="P1" i="13"/>
  <c r="P1" i="11"/>
  <c r="P1" i="8"/>
  <c r="P1" i="2"/>
  <c r="P1" i="9"/>
  <c r="AB12" i="3"/>
  <c r="P4" i="2" s="1"/>
  <c r="AB13" i="3"/>
  <c r="P5" i="2" s="1"/>
  <c r="AC24" i="3" l="1"/>
  <c r="Q2" i="9" s="1"/>
  <c r="AC80" i="3"/>
  <c r="Q2" i="17" s="1"/>
  <c r="AC36" i="3"/>
  <c r="Q7" i="10" s="1"/>
  <c r="AC57" i="3"/>
  <c r="Q7" i="13" s="1"/>
  <c r="AC44" i="3"/>
  <c r="Q8" i="11" s="1"/>
  <c r="AC50" i="3"/>
  <c r="Q7" i="12" s="1"/>
  <c r="AC58" i="3"/>
  <c r="Q8" i="13" s="1"/>
  <c r="AC43" i="3"/>
  <c r="Q7" i="11" s="1"/>
  <c r="AC51" i="3"/>
  <c r="Q8" i="12" s="1"/>
  <c r="AC64" i="3"/>
  <c r="Q7" i="14" s="1"/>
  <c r="AC65" i="3"/>
  <c r="Q8" i="14" s="1"/>
  <c r="AC71" i="3"/>
  <c r="Q7" i="15" s="1"/>
  <c r="AC79" i="3"/>
  <c r="Q8" i="16" s="1"/>
  <c r="AC85" i="3"/>
  <c r="Q7" i="17" s="1"/>
  <c r="AC72" i="3"/>
  <c r="Q8" i="15" s="1"/>
  <c r="AC78" i="3"/>
  <c r="Q7" i="16" s="1"/>
  <c r="AC93" i="3"/>
  <c r="AC92" i="3"/>
  <c r="AC22" i="3"/>
  <c r="Q7" i="8" s="1"/>
  <c r="AC29" i="3"/>
  <c r="Q7" i="9" s="1"/>
  <c r="AC86" i="3"/>
  <c r="Q8" i="17" s="1"/>
  <c r="AC15" i="3"/>
  <c r="Q7" i="2" s="1"/>
  <c r="AC18" i="3"/>
  <c r="Q3" i="8" s="1"/>
  <c r="AC16" i="3"/>
  <c r="Q8" i="2" s="1"/>
  <c r="AC88" i="3"/>
  <c r="AC90" i="3"/>
  <c r="AC42" i="3"/>
  <c r="Q6" i="11" s="1"/>
  <c r="AC87" i="3"/>
  <c r="AC91" i="3"/>
  <c r="AC53" i="3"/>
  <c r="Q3" i="13" s="1"/>
  <c r="AC89" i="3"/>
  <c r="AC52" i="3"/>
  <c r="Q2" i="13" s="1"/>
  <c r="AC75" i="3"/>
  <c r="Q4" i="16" s="1"/>
  <c r="AC66" i="3"/>
  <c r="Q2" i="15" s="1"/>
  <c r="AC76" i="3"/>
  <c r="Q5" i="16" s="1"/>
  <c r="AC46" i="3"/>
  <c r="Q3" i="12" s="1"/>
  <c r="AC41" i="3"/>
  <c r="Q5" i="11" s="1"/>
  <c r="AC70" i="3"/>
  <c r="Q6" i="15" s="1"/>
  <c r="AC61" i="3"/>
  <c r="Q4" i="14" s="1"/>
  <c r="AC62" i="3"/>
  <c r="Q5" i="14" s="1"/>
  <c r="AC82" i="3"/>
  <c r="Q4" i="17" s="1"/>
  <c r="AC47" i="3"/>
  <c r="Q4" i="12" s="1"/>
  <c r="AC67" i="3"/>
  <c r="Q3" i="15" s="1"/>
  <c r="AC60" i="3"/>
  <c r="Q3" i="14" s="1"/>
  <c r="AC77" i="3"/>
  <c r="Q6" i="16" s="1"/>
  <c r="AC73" i="3"/>
  <c r="Q2" i="16" s="1"/>
  <c r="AC56" i="3"/>
  <c r="Q6" i="13" s="1"/>
  <c r="AC34" i="3"/>
  <c r="Q5" i="10" s="1"/>
  <c r="AC49" i="3"/>
  <c r="Q6" i="12" s="1"/>
  <c r="AC45" i="3"/>
  <c r="Q2" i="12" s="1"/>
  <c r="AC74" i="3"/>
  <c r="Q3" i="16" s="1"/>
  <c r="AC63" i="3"/>
  <c r="Q6" i="14" s="1"/>
  <c r="AC40" i="3"/>
  <c r="Q4" i="11" s="1"/>
  <c r="AC69" i="3"/>
  <c r="Q5" i="15" s="1"/>
  <c r="AC39" i="3"/>
  <c r="Q3" i="11" s="1"/>
  <c r="AC59" i="3"/>
  <c r="Q2" i="14" s="1"/>
  <c r="AC54" i="3"/>
  <c r="Q4" i="13" s="1"/>
  <c r="AC38" i="3"/>
  <c r="Q2" i="11" s="1"/>
  <c r="AC55" i="3"/>
  <c r="Q5" i="13" s="1"/>
  <c r="AC27" i="3"/>
  <c r="Q5" i="9" s="1"/>
  <c r="AC19" i="3"/>
  <c r="Q4" i="8" s="1"/>
  <c r="AC48" i="3"/>
  <c r="Q5" i="12" s="1"/>
  <c r="AC68" i="3"/>
  <c r="Q4" i="15" s="1"/>
  <c r="AC20" i="3"/>
  <c r="Q5" i="8" s="1"/>
  <c r="AC33" i="3"/>
  <c r="Q4" i="10" s="1"/>
  <c r="AC81" i="3"/>
  <c r="Q3" i="17" s="1"/>
  <c r="AC84" i="3"/>
  <c r="Q6" i="17" s="1"/>
  <c r="AC26" i="3"/>
  <c r="Q4" i="9" s="1"/>
  <c r="AC83" i="3"/>
  <c r="Q5" i="17" s="1"/>
  <c r="AC28" i="3"/>
  <c r="Q6" i="9" s="1"/>
  <c r="AC21" i="3"/>
  <c r="Q6" i="8" s="1"/>
  <c r="AC25" i="3"/>
  <c r="Q3" i="9" s="1"/>
  <c r="AC32" i="3"/>
  <c r="Q3" i="10" s="1"/>
  <c r="AC35" i="3"/>
  <c r="Q6" i="10" s="1"/>
  <c r="AD9" i="3"/>
  <c r="Q1" i="18"/>
  <c r="Q1" i="16"/>
  <c r="Q1" i="14"/>
  <c r="Q1" i="12"/>
  <c r="Q1" i="10"/>
  <c r="Q1" i="15"/>
  <c r="Q1" i="9"/>
  <c r="Q1" i="13"/>
  <c r="Q1" i="8"/>
  <c r="Q1" i="17"/>
  <c r="Q1" i="2"/>
  <c r="Q1" i="11"/>
  <c r="AC12" i="3"/>
  <c r="Q4" i="2" s="1"/>
  <c r="AC13" i="3"/>
  <c r="Q5" i="2" s="1"/>
  <c r="AC11" i="3"/>
  <c r="Q3" i="2" s="1"/>
  <c r="AC14" i="3"/>
  <c r="Q6" i="2" s="1"/>
  <c r="AD80" i="3" l="1"/>
  <c r="R2" i="17" s="1"/>
  <c r="AD24" i="3"/>
  <c r="R2" i="9" s="1"/>
  <c r="AD11" i="3"/>
  <c r="R3" i="2" s="1"/>
  <c r="AD14" i="3"/>
  <c r="R6" i="2" s="1"/>
  <c r="AD36" i="3"/>
  <c r="R7" i="10" s="1"/>
  <c r="AD21" i="3"/>
  <c r="R6" i="8" s="1"/>
  <c r="AD25" i="3"/>
  <c r="R3" i="9" s="1"/>
  <c r="AD28" i="3"/>
  <c r="R6" i="9" s="1"/>
  <c r="AD32" i="3"/>
  <c r="R3" i="10" s="1"/>
  <c r="AD43" i="3"/>
  <c r="R7" i="11" s="1"/>
  <c r="AD51" i="3"/>
  <c r="R8" i="12" s="1"/>
  <c r="AD57" i="3"/>
  <c r="R7" i="13" s="1"/>
  <c r="AD44" i="3"/>
  <c r="R8" i="11" s="1"/>
  <c r="AD50" i="3"/>
  <c r="R7" i="12" s="1"/>
  <c r="AD58" i="3"/>
  <c r="R8" i="13" s="1"/>
  <c r="AD72" i="3"/>
  <c r="R8" i="15" s="1"/>
  <c r="AD78" i="3"/>
  <c r="R7" i="16" s="1"/>
  <c r="AD64" i="3"/>
  <c r="R7" i="14" s="1"/>
  <c r="AD65" i="3"/>
  <c r="R8" i="14" s="1"/>
  <c r="AD71" i="3"/>
  <c r="R7" i="15" s="1"/>
  <c r="AD79" i="3"/>
  <c r="R8" i="16" s="1"/>
  <c r="AD85" i="3"/>
  <c r="R7" i="17" s="1"/>
  <c r="AD86" i="3"/>
  <c r="R8" i="17" s="1"/>
  <c r="AD93" i="3"/>
  <c r="AD92" i="3"/>
  <c r="AD22" i="3"/>
  <c r="R7" i="8" s="1"/>
  <c r="AD29" i="3"/>
  <c r="R7" i="9" s="1"/>
  <c r="AD15" i="3"/>
  <c r="R7" i="2" s="1"/>
  <c r="AD18" i="3"/>
  <c r="R3" i="8" s="1"/>
  <c r="AD16" i="3"/>
  <c r="R8" i="2" s="1"/>
  <c r="AD90" i="3"/>
  <c r="AD87" i="3"/>
  <c r="AD53" i="3"/>
  <c r="R3" i="13" s="1"/>
  <c r="AD88" i="3"/>
  <c r="AD91" i="3"/>
  <c r="AD89" i="3"/>
  <c r="AD42" i="3"/>
  <c r="R6" i="11" s="1"/>
  <c r="AD52" i="3"/>
  <c r="R2" i="13" s="1"/>
  <c r="AD82" i="3"/>
  <c r="R4" i="17" s="1"/>
  <c r="AD66" i="3"/>
  <c r="R2" i="15" s="1"/>
  <c r="AD76" i="3"/>
  <c r="R5" i="16" s="1"/>
  <c r="AD61" i="3"/>
  <c r="R4" i="14" s="1"/>
  <c r="AD46" i="3"/>
  <c r="R3" i="12" s="1"/>
  <c r="AD62" i="3"/>
  <c r="R5" i="14" s="1"/>
  <c r="AD41" i="3"/>
  <c r="R5" i="11" s="1"/>
  <c r="AD75" i="3"/>
  <c r="R4" i="16" s="1"/>
  <c r="AD70" i="3"/>
  <c r="R6" i="15" s="1"/>
  <c r="AD56" i="3"/>
  <c r="R6" i="13" s="1"/>
  <c r="AD67" i="3"/>
  <c r="R3" i="15" s="1"/>
  <c r="AD60" i="3"/>
  <c r="R3" i="14" s="1"/>
  <c r="AD19" i="3"/>
  <c r="R4" i="8" s="1"/>
  <c r="AD39" i="3"/>
  <c r="R3" i="11" s="1"/>
  <c r="AD63" i="3"/>
  <c r="R6" i="14" s="1"/>
  <c r="AD38" i="3"/>
  <c r="R2" i="11" s="1"/>
  <c r="AD34" i="3"/>
  <c r="R5" i="10" s="1"/>
  <c r="AD49" i="3"/>
  <c r="R6" i="12" s="1"/>
  <c r="AD40" i="3"/>
  <c r="R4" i="11" s="1"/>
  <c r="AD47" i="3"/>
  <c r="R4" i="12" s="1"/>
  <c r="AD69" i="3"/>
  <c r="R5" i="15" s="1"/>
  <c r="AD48" i="3"/>
  <c r="R5" i="12" s="1"/>
  <c r="AD73" i="3"/>
  <c r="R2" i="16" s="1"/>
  <c r="AD59" i="3"/>
  <c r="R2" i="14" s="1"/>
  <c r="AD45" i="3"/>
  <c r="R2" i="12" s="1"/>
  <c r="AD74" i="3"/>
  <c r="R3" i="16" s="1"/>
  <c r="AD55" i="3"/>
  <c r="R5" i="13" s="1"/>
  <c r="AD27" i="3"/>
  <c r="R5" i="9" s="1"/>
  <c r="AD77" i="3"/>
  <c r="R6" i="16" s="1"/>
  <c r="AD68" i="3"/>
  <c r="R4" i="15" s="1"/>
  <c r="AD54" i="3"/>
  <c r="R4" i="13" s="1"/>
  <c r="AD20" i="3"/>
  <c r="R5" i="8" s="1"/>
  <c r="AD81" i="3"/>
  <c r="R3" i="17" s="1"/>
  <c r="AD84" i="3"/>
  <c r="R6" i="17" s="1"/>
  <c r="AD33" i="3"/>
  <c r="R4" i="10" s="1"/>
  <c r="AD26" i="3"/>
  <c r="R4" i="9" s="1"/>
  <c r="AD83" i="3"/>
  <c r="R5" i="17" s="1"/>
  <c r="AD35" i="3"/>
  <c r="R6" i="10" s="1"/>
  <c r="AE9" i="3"/>
  <c r="R1" i="17"/>
  <c r="R1" i="15"/>
  <c r="R1" i="13"/>
  <c r="R1" i="11"/>
  <c r="R1" i="9"/>
  <c r="R1" i="18"/>
  <c r="R1" i="16"/>
  <c r="R1" i="14"/>
  <c r="R1" i="12"/>
  <c r="R1" i="10"/>
  <c r="R1" i="2"/>
  <c r="R1" i="8"/>
  <c r="AD12" i="3"/>
  <c r="R4" i="2" s="1"/>
  <c r="AD13" i="3"/>
  <c r="R5" i="2" s="1"/>
  <c r="AE80" i="3" l="1"/>
  <c r="S2" i="17" s="1"/>
  <c r="AE24" i="3"/>
  <c r="S2" i="9" s="1"/>
  <c r="AE36" i="3"/>
  <c r="S7" i="10" s="1"/>
  <c r="AE21" i="3"/>
  <c r="S6" i="8" s="1"/>
  <c r="AE58" i="3"/>
  <c r="S8" i="13" s="1"/>
  <c r="AE43" i="3"/>
  <c r="S7" i="11" s="1"/>
  <c r="AE51" i="3"/>
  <c r="S8" i="12" s="1"/>
  <c r="AE57" i="3"/>
  <c r="S7" i="13" s="1"/>
  <c r="AE44" i="3"/>
  <c r="S8" i="11" s="1"/>
  <c r="AE50" i="3"/>
  <c r="S7" i="12" s="1"/>
  <c r="AE85" i="3"/>
  <c r="S7" i="17" s="1"/>
  <c r="AE72" i="3"/>
  <c r="S8" i="15" s="1"/>
  <c r="AE78" i="3"/>
  <c r="S7" i="16" s="1"/>
  <c r="AE64" i="3"/>
  <c r="S7" i="14" s="1"/>
  <c r="AE65" i="3"/>
  <c r="S8" i="14" s="1"/>
  <c r="AE71" i="3"/>
  <c r="S7" i="15" s="1"/>
  <c r="AE79" i="3"/>
  <c r="S8" i="16" s="1"/>
  <c r="AE92" i="3"/>
  <c r="AE93" i="3"/>
  <c r="AE22" i="3"/>
  <c r="S7" i="8" s="1"/>
  <c r="AE86" i="3"/>
  <c r="S8" i="17" s="1"/>
  <c r="AE29" i="3"/>
  <c r="S7" i="9" s="1"/>
  <c r="AE15" i="3"/>
  <c r="S7" i="2" s="1"/>
  <c r="AE18" i="3"/>
  <c r="S3" i="8" s="1"/>
  <c r="AE16" i="3"/>
  <c r="S8" i="2" s="1"/>
  <c r="AE90" i="3"/>
  <c r="AE88" i="3"/>
  <c r="AE52" i="3"/>
  <c r="S2" i="13" s="1"/>
  <c r="AE53" i="3"/>
  <c r="S3" i="13" s="1"/>
  <c r="AE42" i="3"/>
  <c r="S6" i="11" s="1"/>
  <c r="AE91" i="3"/>
  <c r="AE89" i="3"/>
  <c r="AE87" i="3"/>
  <c r="AE66" i="3"/>
  <c r="S2" i="15" s="1"/>
  <c r="AE76" i="3"/>
  <c r="S5" i="16" s="1"/>
  <c r="AE46" i="3"/>
  <c r="S3" i="12" s="1"/>
  <c r="AE82" i="3"/>
  <c r="S4" i="17" s="1"/>
  <c r="AE61" i="3"/>
  <c r="S4" i="14" s="1"/>
  <c r="AE75" i="3"/>
  <c r="S4" i="16" s="1"/>
  <c r="AE62" i="3"/>
  <c r="S5" i="14" s="1"/>
  <c r="AE41" i="3"/>
  <c r="S5" i="11" s="1"/>
  <c r="AE70" i="3"/>
  <c r="S6" i="15" s="1"/>
  <c r="AE34" i="3"/>
  <c r="S5" i="10" s="1"/>
  <c r="AE49" i="3"/>
  <c r="S6" i="12" s="1"/>
  <c r="AE60" i="3"/>
  <c r="S3" i="14" s="1"/>
  <c r="AE55" i="3"/>
  <c r="S5" i="13" s="1"/>
  <c r="AE27" i="3"/>
  <c r="S5" i="9" s="1"/>
  <c r="AE39" i="3"/>
  <c r="S3" i="11" s="1"/>
  <c r="AE63" i="3"/>
  <c r="S6" i="14" s="1"/>
  <c r="AE54" i="3"/>
  <c r="S4" i="13" s="1"/>
  <c r="AE38" i="3"/>
  <c r="S2" i="11" s="1"/>
  <c r="AE67" i="3"/>
  <c r="S3" i="15" s="1"/>
  <c r="AE45" i="3"/>
  <c r="S2" i="12" s="1"/>
  <c r="AE19" i="3"/>
  <c r="S4" i="8" s="1"/>
  <c r="AE77" i="3"/>
  <c r="S6" i="16" s="1"/>
  <c r="AE48" i="3"/>
  <c r="S5" i="12" s="1"/>
  <c r="AE73" i="3"/>
  <c r="S2" i="16" s="1"/>
  <c r="AE59" i="3"/>
  <c r="S2" i="14" s="1"/>
  <c r="AE56" i="3"/>
  <c r="S6" i="13" s="1"/>
  <c r="AE47" i="3"/>
  <c r="S4" i="12" s="1"/>
  <c r="AE40" i="3"/>
  <c r="S4" i="11" s="1"/>
  <c r="AE74" i="3"/>
  <c r="S3" i="16" s="1"/>
  <c r="AE69" i="3"/>
  <c r="S5" i="15" s="1"/>
  <c r="AE68" i="3"/>
  <c r="S4" i="15" s="1"/>
  <c r="AE20" i="3"/>
  <c r="S5" i="8" s="1"/>
  <c r="AE84" i="3"/>
  <c r="S6" i="17" s="1"/>
  <c r="AE81" i="3"/>
  <c r="S3" i="17" s="1"/>
  <c r="AE33" i="3"/>
  <c r="S4" i="10" s="1"/>
  <c r="AE26" i="3"/>
  <c r="S4" i="9" s="1"/>
  <c r="AE83" i="3"/>
  <c r="S5" i="17" s="1"/>
  <c r="AE35" i="3"/>
  <c r="S6" i="10" s="1"/>
  <c r="AE28" i="3"/>
  <c r="S6" i="9" s="1"/>
  <c r="AE25" i="3"/>
  <c r="S3" i="9" s="1"/>
  <c r="AE32" i="3"/>
  <c r="S3" i="10" s="1"/>
  <c r="AF9" i="3"/>
  <c r="S1" i="17"/>
  <c r="S1" i="15"/>
  <c r="S1" i="13"/>
  <c r="S1" i="11"/>
  <c r="S1" i="9"/>
  <c r="S1" i="16"/>
  <c r="S1" i="14"/>
  <c r="S1" i="2"/>
  <c r="S1" i="8"/>
  <c r="S1" i="12"/>
  <c r="S1" i="18"/>
  <c r="S1" i="10"/>
  <c r="AE12" i="3"/>
  <c r="S4" i="2" s="1"/>
  <c r="AE13" i="3"/>
  <c r="S5" i="2" s="1"/>
  <c r="AE11" i="3"/>
  <c r="S3" i="2" s="1"/>
  <c r="AE14" i="3"/>
  <c r="S6" i="2" s="1"/>
  <c r="AF14" i="3" l="1"/>
  <c r="T6" i="2" s="1"/>
  <c r="AF24" i="3"/>
  <c r="T2" i="9" s="1"/>
  <c r="AF80" i="3"/>
  <c r="T2" i="17" s="1"/>
  <c r="AF11" i="3"/>
  <c r="T3" i="2" s="1"/>
  <c r="AF36" i="3"/>
  <c r="T7" i="10" s="1"/>
  <c r="AF44" i="3"/>
  <c r="T8" i="11" s="1"/>
  <c r="AF50" i="3"/>
  <c r="T7" i="12" s="1"/>
  <c r="AF58" i="3"/>
  <c r="T8" i="13" s="1"/>
  <c r="AF64" i="3"/>
  <c r="T7" i="14" s="1"/>
  <c r="AF43" i="3"/>
  <c r="T7" i="11" s="1"/>
  <c r="AF51" i="3"/>
  <c r="T8" i="12" s="1"/>
  <c r="AF57" i="3"/>
  <c r="T7" i="13" s="1"/>
  <c r="AF65" i="3"/>
  <c r="T8" i="14" s="1"/>
  <c r="AF71" i="3"/>
  <c r="T7" i="15" s="1"/>
  <c r="AF79" i="3"/>
  <c r="T8" i="16" s="1"/>
  <c r="AF85" i="3"/>
  <c r="T7" i="17" s="1"/>
  <c r="AF72" i="3"/>
  <c r="T8" i="15" s="1"/>
  <c r="AF78" i="3"/>
  <c r="T7" i="16" s="1"/>
  <c r="AF92" i="3"/>
  <c r="AF93" i="3"/>
  <c r="AF86" i="3"/>
  <c r="T8" i="17" s="1"/>
  <c r="AF29" i="3"/>
  <c r="T7" i="9" s="1"/>
  <c r="AF22" i="3"/>
  <c r="T7" i="8" s="1"/>
  <c r="AF15" i="3"/>
  <c r="T7" i="2" s="1"/>
  <c r="AF18" i="3"/>
  <c r="T3" i="8" s="1"/>
  <c r="AF16" i="3"/>
  <c r="T8" i="2" s="1"/>
  <c r="AF91" i="3"/>
  <c r="AF89" i="3"/>
  <c r="AF90" i="3"/>
  <c r="AF42" i="3"/>
  <c r="T6" i="11" s="1"/>
  <c r="AF87" i="3"/>
  <c r="AF53" i="3"/>
  <c r="T3" i="13" s="1"/>
  <c r="AF88" i="3"/>
  <c r="AF41" i="3"/>
  <c r="T5" i="11" s="1"/>
  <c r="AF82" i="3"/>
  <c r="T4" i="17" s="1"/>
  <c r="AF75" i="3"/>
  <c r="T4" i="16" s="1"/>
  <c r="AF66" i="3"/>
  <c r="T2" i="15" s="1"/>
  <c r="AF70" i="3"/>
  <c r="T6" i="15" s="1"/>
  <c r="AF61" i="3"/>
  <c r="T4" i="14" s="1"/>
  <c r="AF52" i="3"/>
  <c r="T2" i="13" s="1"/>
  <c r="AF76" i="3"/>
  <c r="T5" i="16" s="1"/>
  <c r="AF62" i="3"/>
  <c r="T5" i="14" s="1"/>
  <c r="AF46" i="3"/>
  <c r="T3" i="12" s="1"/>
  <c r="AF67" i="3"/>
  <c r="T3" i="15" s="1"/>
  <c r="AF49" i="3"/>
  <c r="T6" i="12" s="1"/>
  <c r="AF60" i="3"/>
  <c r="T3" i="14" s="1"/>
  <c r="AF19" i="3"/>
  <c r="T4" i="8" s="1"/>
  <c r="AF48" i="3"/>
  <c r="T5" i="12" s="1"/>
  <c r="AF68" i="3"/>
  <c r="T4" i="15" s="1"/>
  <c r="AF34" i="3"/>
  <c r="T5" i="10" s="1"/>
  <c r="AF74" i="3"/>
  <c r="T3" i="16" s="1"/>
  <c r="AF55" i="3"/>
  <c r="T5" i="13" s="1"/>
  <c r="AF73" i="3"/>
  <c r="T2" i="16" s="1"/>
  <c r="AF63" i="3"/>
  <c r="T6" i="14" s="1"/>
  <c r="AF54" i="3"/>
  <c r="T4" i="13" s="1"/>
  <c r="AF47" i="3"/>
  <c r="T4" i="12" s="1"/>
  <c r="AF69" i="3"/>
  <c r="T5" i="15" s="1"/>
  <c r="AF39" i="3"/>
  <c r="T3" i="11" s="1"/>
  <c r="AF59" i="3"/>
  <c r="T2" i="14" s="1"/>
  <c r="AF56" i="3"/>
  <c r="T6" i="13" s="1"/>
  <c r="AF38" i="3"/>
  <c r="T2" i="11" s="1"/>
  <c r="AF45" i="3"/>
  <c r="T2" i="12" s="1"/>
  <c r="AF40" i="3"/>
  <c r="T4" i="11" s="1"/>
  <c r="AF27" i="3"/>
  <c r="T5" i="9" s="1"/>
  <c r="AF77" i="3"/>
  <c r="T6" i="16" s="1"/>
  <c r="AF20" i="3"/>
  <c r="T5" i="8" s="1"/>
  <c r="AF33" i="3"/>
  <c r="T4" i="10" s="1"/>
  <c r="AF83" i="3"/>
  <c r="T5" i="17" s="1"/>
  <c r="AF84" i="3"/>
  <c r="T6" i="17" s="1"/>
  <c r="AF81" i="3"/>
  <c r="T3" i="17" s="1"/>
  <c r="AF26" i="3"/>
  <c r="T4" i="9" s="1"/>
  <c r="AF35" i="3"/>
  <c r="T6" i="10" s="1"/>
  <c r="AF25" i="3"/>
  <c r="T3" i="9" s="1"/>
  <c r="AF28" i="3"/>
  <c r="T6" i="9" s="1"/>
  <c r="AF32" i="3"/>
  <c r="T3" i="10" s="1"/>
  <c r="AF21" i="3"/>
  <c r="T6" i="8" s="1"/>
  <c r="AG9" i="3"/>
  <c r="T1" i="18"/>
  <c r="T1" i="16"/>
  <c r="T1" i="14"/>
  <c r="T1" i="12"/>
  <c r="T1" i="10"/>
  <c r="T1" i="17"/>
  <c r="T1" i="15"/>
  <c r="T1" i="13"/>
  <c r="T1" i="11"/>
  <c r="T1" i="8"/>
  <c r="T1" i="9"/>
  <c r="T1" i="2"/>
  <c r="AF12" i="3"/>
  <c r="T4" i="2" s="1"/>
  <c r="AF13" i="3"/>
  <c r="T5" i="2" s="1"/>
  <c r="AG24" i="3" l="1"/>
  <c r="U2" i="9" s="1"/>
  <c r="AG80" i="3"/>
  <c r="U2" i="17" s="1"/>
  <c r="AG21" i="3"/>
  <c r="U6" i="8" s="1"/>
  <c r="AG36" i="3"/>
  <c r="U7" i="10" s="1"/>
  <c r="AG57" i="3"/>
  <c r="U7" i="13" s="1"/>
  <c r="AG44" i="3"/>
  <c r="U8" i="11" s="1"/>
  <c r="AG50" i="3"/>
  <c r="U7" i="12" s="1"/>
  <c r="AG58" i="3"/>
  <c r="U8" i="13" s="1"/>
  <c r="AG43" i="3"/>
  <c r="U7" i="11" s="1"/>
  <c r="AG51" i="3"/>
  <c r="U8" i="12" s="1"/>
  <c r="AG65" i="3"/>
  <c r="U8" i="14" s="1"/>
  <c r="AG71" i="3"/>
  <c r="U7" i="15" s="1"/>
  <c r="AG79" i="3"/>
  <c r="U8" i="16" s="1"/>
  <c r="AG85" i="3"/>
  <c r="U7" i="17" s="1"/>
  <c r="AG64" i="3"/>
  <c r="U7" i="14" s="1"/>
  <c r="AG72" i="3"/>
  <c r="U8" i="15" s="1"/>
  <c r="AG78" i="3"/>
  <c r="U7" i="16" s="1"/>
  <c r="AG93" i="3"/>
  <c r="AG92" i="3"/>
  <c r="AG29" i="3"/>
  <c r="U7" i="9" s="1"/>
  <c r="AG22" i="3"/>
  <c r="U7" i="8" s="1"/>
  <c r="AG86" i="3"/>
  <c r="U8" i="17" s="1"/>
  <c r="AG15" i="3"/>
  <c r="U7" i="2" s="1"/>
  <c r="AG18" i="3"/>
  <c r="U3" i="8" s="1"/>
  <c r="AG16" i="3"/>
  <c r="U8" i="2" s="1"/>
  <c r="AG91" i="3"/>
  <c r="AG53" i="3"/>
  <c r="U3" i="13" s="1"/>
  <c r="AG89" i="3"/>
  <c r="AG90" i="3"/>
  <c r="AG88" i="3"/>
  <c r="AG42" i="3"/>
  <c r="U6" i="11" s="1"/>
  <c r="AG87" i="3"/>
  <c r="AG62" i="3"/>
  <c r="U5" i="14" s="1"/>
  <c r="AG46" i="3"/>
  <c r="U3" i="12" s="1"/>
  <c r="AG41" i="3"/>
  <c r="U5" i="11" s="1"/>
  <c r="AG82" i="3"/>
  <c r="U4" i="17" s="1"/>
  <c r="AG66" i="3"/>
  <c r="U2" i="15" s="1"/>
  <c r="AG75" i="3"/>
  <c r="U4" i="16" s="1"/>
  <c r="AG52" i="3"/>
  <c r="U2" i="13" s="1"/>
  <c r="AG76" i="3"/>
  <c r="U5" i="16" s="1"/>
  <c r="AG70" i="3"/>
  <c r="U6" i="15" s="1"/>
  <c r="AG61" i="3"/>
  <c r="U4" i="14" s="1"/>
  <c r="AG38" i="3"/>
  <c r="U2" i="11" s="1"/>
  <c r="AG55" i="3"/>
  <c r="U5" i="13" s="1"/>
  <c r="AG27" i="3"/>
  <c r="U5" i="9" s="1"/>
  <c r="AG19" i="3"/>
  <c r="U4" i="8" s="1"/>
  <c r="AG47" i="3"/>
  <c r="U4" i="12" s="1"/>
  <c r="AG67" i="3"/>
  <c r="U3" i="15" s="1"/>
  <c r="AG60" i="3"/>
  <c r="U3" i="14" s="1"/>
  <c r="AG48" i="3"/>
  <c r="U5" i="12" s="1"/>
  <c r="AG77" i="3"/>
  <c r="U6" i="16" s="1"/>
  <c r="AG73" i="3"/>
  <c r="U2" i="16" s="1"/>
  <c r="AG56" i="3"/>
  <c r="U6" i="13" s="1"/>
  <c r="AG34" i="3"/>
  <c r="U5" i="10" s="1"/>
  <c r="AG49" i="3"/>
  <c r="U6" i="12" s="1"/>
  <c r="AG45" i="3"/>
  <c r="U2" i="12" s="1"/>
  <c r="AG74" i="3"/>
  <c r="U3" i="16" s="1"/>
  <c r="AG68" i="3"/>
  <c r="U4" i="15" s="1"/>
  <c r="AG63" i="3"/>
  <c r="U6" i="14" s="1"/>
  <c r="AG40" i="3"/>
  <c r="U4" i="11" s="1"/>
  <c r="AG69" i="3"/>
  <c r="U5" i="15" s="1"/>
  <c r="AG39" i="3"/>
  <c r="U3" i="11" s="1"/>
  <c r="AG59" i="3"/>
  <c r="U2" i="14" s="1"/>
  <c r="AG54" i="3"/>
  <c r="U4" i="13" s="1"/>
  <c r="AG20" i="3"/>
  <c r="U5" i="8" s="1"/>
  <c r="AG33" i="3"/>
  <c r="U4" i="10" s="1"/>
  <c r="AG26" i="3"/>
  <c r="U4" i="9" s="1"/>
  <c r="AG83" i="3"/>
  <c r="U5" i="17" s="1"/>
  <c r="AG81" i="3"/>
  <c r="U3" i="17" s="1"/>
  <c r="AG84" i="3"/>
  <c r="U6" i="17" s="1"/>
  <c r="AG35" i="3"/>
  <c r="U6" i="10" s="1"/>
  <c r="AG32" i="3"/>
  <c r="U3" i="10" s="1"/>
  <c r="AG28" i="3"/>
  <c r="U6" i="9" s="1"/>
  <c r="AG25" i="3"/>
  <c r="U3" i="9" s="1"/>
  <c r="AH9" i="3"/>
  <c r="U1" i="18"/>
  <c r="U1" i="16"/>
  <c r="U1" i="14"/>
  <c r="U1" i="12"/>
  <c r="U1" i="10"/>
  <c r="U1" i="17"/>
  <c r="U1" i="15"/>
  <c r="U1" i="8"/>
  <c r="U1" i="13"/>
  <c r="U1" i="9"/>
  <c r="U1" i="11"/>
  <c r="U1" i="2"/>
  <c r="AG12" i="3"/>
  <c r="U4" i="2" s="1"/>
  <c r="AG13" i="3"/>
  <c r="U5" i="2" s="1"/>
  <c r="AG11" i="3"/>
  <c r="U3" i="2" s="1"/>
  <c r="AG14" i="3"/>
  <c r="U6" i="2" s="1"/>
  <c r="AH24" i="3" l="1"/>
  <c r="V2" i="9" s="1"/>
  <c r="AH80" i="3"/>
  <c r="V2" i="17" s="1"/>
  <c r="AH14" i="3"/>
  <c r="V6" i="2" s="1"/>
  <c r="AH11" i="3"/>
  <c r="V3" i="2" s="1"/>
  <c r="AH36" i="3"/>
  <c r="V7" i="10" s="1"/>
  <c r="AH43" i="3"/>
  <c r="V7" i="11" s="1"/>
  <c r="AH51" i="3"/>
  <c r="V8" i="12" s="1"/>
  <c r="AH57" i="3"/>
  <c r="V7" i="13" s="1"/>
  <c r="AH44" i="3"/>
  <c r="V8" i="11" s="1"/>
  <c r="AH50" i="3"/>
  <c r="V7" i="12" s="1"/>
  <c r="AH58" i="3"/>
  <c r="V8" i="13" s="1"/>
  <c r="AH64" i="3"/>
  <c r="V7" i="14" s="1"/>
  <c r="AH72" i="3"/>
  <c r="V8" i="15" s="1"/>
  <c r="AH78" i="3"/>
  <c r="V7" i="16" s="1"/>
  <c r="AH65" i="3"/>
  <c r="V8" i="14" s="1"/>
  <c r="AH71" i="3"/>
  <c r="V7" i="15" s="1"/>
  <c r="AH79" i="3"/>
  <c r="V8" i="16" s="1"/>
  <c r="AH85" i="3"/>
  <c r="V7" i="17" s="1"/>
  <c r="AH86" i="3"/>
  <c r="V8" i="17" s="1"/>
  <c r="AH93" i="3"/>
  <c r="AH92" i="3"/>
  <c r="AH22" i="3"/>
  <c r="V7" i="8" s="1"/>
  <c r="AH29" i="3"/>
  <c r="V7" i="9" s="1"/>
  <c r="AH15" i="3"/>
  <c r="V7" i="2" s="1"/>
  <c r="AH18" i="3"/>
  <c r="V3" i="8" s="1"/>
  <c r="AH16" i="3"/>
  <c r="V8" i="2" s="1"/>
  <c r="AH91" i="3"/>
  <c r="AH89" i="3"/>
  <c r="AH42" i="3"/>
  <c r="V6" i="11" s="1"/>
  <c r="AH88" i="3"/>
  <c r="AH87" i="3"/>
  <c r="AH90" i="3"/>
  <c r="AH53" i="3"/>
  <c r="V3" i="13" s="1"/>
  <c r="AH62" i="3"/>
  <c r="V5" i="14" s="1"/>
  <c r="AH41" i="3"/>
  <c r="V5" i="11" s="1"/>
  <c r="AH75" i="3"/>
  <c r="V4" i="16" s="1"/>
  <c r="AH70" i="3"/>
  <c r="V6" i="15" s="1"/>
  <c r="AH66" i="3"/>
  <c r="V2" i="15" s="1"/>
  <c r="AH52" i="3"/>
  <c r="V2" i="13" s="1"/>
  <c r="AH76" i="3"/>
  <c r="V5" i="16" s="1"/>
  <c r="AH61" i="3"/>
  <c r="V4" i="14" s="1"/>
  <c r="AH46" i="3"/>
  <c r="V3" i="12" s="1"/>
  <c r="AH82" i="3"/>
  <c r="V4" i="17" s="1"/>
  <c r="AH45" i="3"/>
  <c r="V2" i="12" s="1"/>
  <c r="AH74" i="3"/>
  <c r="V3" i="16" s="1"/>
  <c r="AH55" i="3"/>
  <c r="V5" i="13" s="1"/>
  <c r="AH27" i="3"/>
  <c r="V5" i="9" s="1"/>
  <c r="AH48" i="3"/>
  <c r="V5" i="12" s="1"/>
  <c r="AH77" i="3"/>
  <c r="V6" i="16" s="1"/>
  <c r="AH68" i="3"/>
  <c r="V4" i="15" s="1"/>
  <c r="AH56" i="3"/>
  <c r="V6" i="13" s="1"/>
  <c r="AH67" i="3"/>
  <c r="V3" i="15" s="1"/>
  <c r="AH60" i="3"/>
  <c r="V3" i="14" s="1"/>
  <c r="AH39" i="3"/>
  <c r="V3" i="11" s="1"/>
  <c r="AH63" i="3"/>
  <c r="V6" i="14" s="1"/>
  <c r="AH38" i="3"/>
  <c r="V2" i="11" s="1"/>
  <c r="AH34" i="3"/>
  <c r="V5" i="10" s="1"/>
  <c r="AH49" i="3"/>
  <c r="V6" i="12" s="1"/>
  <c r="AH40" i="3"/>
  <c r="V4" i="11" s="1"/>
  <c r="AH19" i="3"/>
  <c r="V4" i="8" s="1"/>
  <c r="AH47" i="3"/>
  <c r="V4" i="12" s="1"/>
  <c r="AH69" i="3"/>
  <c r="V5" i="15" s="1"/>
  <c r="AH73" i="3"/>
  <c r="V2" i="16" s="1"/>
  <c r="AH59" i="3"/>
  <c r="V2" i="14" s="1"/>
  <c r="AH54" i="3"/>
  <c r="V4" i="13" s="1"/>
  <c r="AH20" i="3"/>
  <c r="V5" i="8" s="1"/>
  <c r="AH33" i="3"/>
  <c r="V4" i="10" s="1"/>
  <c r="AH26" i="3"/>
  <c r="V4" i="9" s="1"/>
  <c r="AH83" i="3"/>
  <c r="V5" i="17" s="1"/>
  <c r="AH81" i="3"/>
  <c r="V3" i="17" s="1"/>
  <c r="AH84" i="3"/>
  <c r="V6" i="17" s="1"/>
  <c r="AH28" i="3"/>
  <c r="V6" i="9" s="1"/>
  <c r="AH35" i="3"/>
  <c r="V6" i="10" s="1"/>
  <c r="AH32" i="3"/>
  <c r="V3" i="10" s="1"/>
  <c r="AH21" i="3"/>
  <c r="V6" i="8" s="1"/>
  <c r="AH25" i="3"/>
  <c r="V3" i="9" s="1"/>
  <c r="AI9" i="3"/>
  <c r="V1" i="17"/>
  <c r="V1" i="15"/>
  <c r="V1" i="13"/>
  <c r="V1" i="11"/>
  <c r="V1" i="9"/>
  <c r="V1" i="18"/>
  <c r="V1" i="16"/>
  <c r="V1" i="14"/>
  <c r="V1" i="12"/>
  <c r="V1" i="10"/>
  <c r="V1" i="2"/>
  <c r="V1" i="8"/>
  <c r="AH12" i="3"/>
  <c r="V4" i="2" s="1"/>
  <c r="AH13" i="3"/>
  <c r="V5" i="2" s="1"/>
  <c r="AI24" i="3" l="1"/>
  <c r="W2" i="9" s="1"/>
  <c r="AI80" i="3"/>
  <c r="W2" i="17" s="1"/>
  <c r="AI36" i="3"/>
  <c r="W7" i="10" s="1"/>
  <c r="AI58" i="3"/>
  <c r="W8" i="13" s="1"/>
  <c r="AI43" i="3"/>
  <c r="W7" i="11" s="1"/>
  <c r="AI51" i="3"/>
  <c r="W8" i="12" s="1"/>
  <c r="AI57" i="3"/>
  <c r="W7" i="13" s="1"/>
  <c r="AI44" i="3"/>
  <c r="W8" i="11" s="1"/>
  <c r="AI50" i="3"/>
  <c r="W7" i="12" s="1"/>
  <c r="AI85" i="3"/>
  <c r="W7" i="17" s="1"/>
  <c r="AI64" i="3"/>
  <c r="W7" i="14" s="1"/>
  <c r="AI72" i="3"/>
  <c r="W8" i="15" s="1"/>
  <c r="AI78" i="3"/>
  <c r="W7" i="16" s="1"/>
  <c r="AI65" i="3"/>
  <c r="W8" i="14" s="1"/>
  <c r="AI71" i="3"/>
  <c r="W7" i="15" s="1"/>
  <c r="AI79" i="3"/>
  <c r="W8" i="16" s="1"/>
  <c r="AI92" i="3"/>
  <c r="AI93" i="3"/>
  <c r="AI22" i="3"/>
  <c r="W7" i="8" s="1"/>
  <c r="AI29" i="3"/>
  <c r="W7" i="9" s="1"/>
  <c r="AI86" i="3"/>
  <c r="W8" i="17" s="1"/>
  <c r="AI15" i="3"/>
  <c r="W7" i="2" s="1"/>
  <c r="AI18" i="3"/>
  <c r="W3" i="8" s="1"/>
  <c r="AI16" i="3"/>
  <c r="W8" i="2" s="1"/>
  <c r="AI91" i="3"/>
  <c r="AI89" i="3"/>
  <c r="AI90" i="3"/>
  <c r="AI88" i="3"/>
  <c r="AI42" i="3"/>
  <c r="W6" i="11" s="1"/>
  <c r="AI87" i="3"/>
  <c r="AI53" i="3"/>
  <c r="W3" i="13" s="1"/>
  <c r="AI52" i="3"/>
  <c r="W2" i="13" s="1"/>
  <c r="AI62" i="3"/>
  <c r="W5" i="14" s="1"/>
  <c r="AI41" i="3"/>
  <c r="W5" i="11" s="1"/>
  <c r="AI70" i="3"/>
  <c r="W6" i="15" s="1"/>
  <c r="AI66" i="3"/>
  <c r="W2" i="15" s="1"/>
  <c r="AI76" i="3"/>
  <c r="W5" i="16" s="1"/>
  <c r="AI46" i="3"/>
  <c r="W3" i="12" s="1"/>
  <c r="AI82" i="3"/>
  <c r="W4" i="17" s="1"/>
  <c r="AI61" i="3"/>
  <c r="W4" i="14" s="1"/>
  <c r="AI75" i="3"/>
  <c r="W4" i="16" s="1"/>
  <c r="AI56" i="3"/>
  <c r="W6" i="13" s="1"/>
  <c r="AI38" i="3"/>
  <c r="W2" i="11" s="1"/>
  <c r="AI67" i="3"/>
  <c r="W3" i="15" s="1"/>
  <c r="AI74" i="3"/>
  <c r="W3" i="16" s="1"/>
  <c r="AI68" i="3"/>
  <c r="W4" i="15" s="1"/>
  <c r="AI47" i="3"/>
  <c r="W4" i="12" s="1"/>
  <c r="AI49" i="3"/>
  <c r="W6" i="12" s="1"/>
  <c r="AI60" i="3"/>
  <c r="W3" i="14" s="1"/>
  <c r="AI55" i="3"/>
  <c r="W5" i="13" s="1"/>
  <c r="AI39" i="3"/>
  <c r="W3" i="11" s="1"/>
  <c r="AI63" i="3"/>
  <c r="W6" i="14" s="1"/>
  <c r="AI40" i="3"/>
  <c r="W4" i="11" s="1"/>
  <c r="AI69" i="3"/>
  <c r="W5" i="15" s="1"/>
  <c r="AI19" i="3"/>
  <c r="W4" i="8" s="1"/>
  <c r="AI77" i="3"/>
  <c r="W6" i="16" s="1"/>
  <c r="AI34" i="3"/>
  <c r="W5" i="10" s="1"/>
  <c r="AI45" i="3"/>
  <c r="W2" i="12" s="1"/>
  <c r="AI27" i="3"/>
  <c r="W5" i="9" s="1"/>
  <c r="AI48" i="3"/>
  <c r="W5" i="12" s="1"/>
  <c r="AI73" i="3"/>
  <c r="W2" i="16" s="1"/>
  <c r="AI59" i="3"/>
  <c r="W2" i="14" s="1"/>
  <c r="AI54" i="3"/>
  <c r="W4" i="13" s="1"/>
  <c r="AI20" i="3"/>
  <c r="W5" i="8" s="1"/>
  <c r="AI33" i="3"/>
  <c r="W4" i="10" s="1"/>
  <c r="AI26" i="3"/>
  <c r="W4" i="9" s="1"/>
  <c r="AI83" i="3"/>
  <c r="W5" i="17" s="1"/>
  <c r="AI84" i="3"/>
  <c r="W6" i="17" s="1"/>
  <c r="AI81" i="3"/>
  <c r="W3" i="17" s="1"/>
  <c r="AI35" i="3"/>
  <c r="W6" i="10" s="1"/>
  <c r="AI32" i="3"/>
  <c r="W3" i="10" s="1"/>
  <c r="AI25" i="3"/>
  <c r="W3" i="9" s="1"/>
  <c r="AI28" i="3"/>
  <c r="W6" i="9" s="1"/>
  <c r="AI21" i="3"/>
  <c r="W6" i="8" s="1"/>
  <c r="AJ9" i="3"/>
  <c r="W1" i="17"/>
  <c r="W1" i="15"/>
  <c r="W1" i="13"/>
  <c r="W1" i="11"/>
  <c r="W1" i="9"/>
  <c r="W1" i="18"/>
  <c r="W1" i="10"/>
  <c r="W1" i="16"/>
  <c r="W1" i="2"/>
  <c r="W1" i="14"/>
  <c r="W1" i="12"/>
  <c r="W1" i="8"/>
  <c r="AI12" i="3"/>
  <c r="W4" i="2" s="1"/>
  <c r="AI13" i="3"/>
  <c r="W5" i="2" s="1"/>
  <c r="AI11" i="3"/>
  <c r="W3" i="2" s="1"/>
  <c r="AI14" i="3"/>
  <c r="W6" i="2" s="1"/>
  <c r="AJ24" i="3" l="1"/>
  <c r="X2" i="9" s="1"/>
  <c r="AJ80" i="3"/>
  <c r="X2" i="17" s="1"/>
  <c r="AJ14" i="3"/>
  <c r="X6" i="2" s="1"/>
  <c r="AJ11" i="3"/>
  <c r="X3" i="2" s="1"/>
  <c r="AJ36" i="3"/>
  <c r="X7" i="10" s="1"/>
  <c r="AJ44" i="3"/>
  <c r="X8" i="11" s="1"/>
  <c r="AJ50" i="3"/>
  <c r="X7" i="12" s="1"/>
  <c r="AJ58" i="3"/>
  <c r="X8" i="13" s="1"/>
  <c r="AJ64" i="3"/>
  <c r="X7" i="14" s="1"/>
  <c r="AJ43" i="3"/>
  <c r="X7" i="11" s="1"/>
  <c r="AJ51" i="3"/>
  <c r="X8" i="12" s="1"/>
  <c r="AJ57" i="3"/>
  <c r="X7" i="13" s="1"/>
  <c r="AJ65" i="3"/>
  <c r="X8" i="14" s="1"/>
  <c r="AJ71" i="3"/>
  <c r="X7" i="15" s="1"/>
  <c r="AJ79" i="3"/>
  <c r="X8" i="16" s="1"/>
  <c r="AJ85" i="3"/>
  <c r="X7" i="17" s="1"/>
  <c r="AJ72" i="3"/>
  <c r="X8" i="15" s="1"/>
  <c r="AJ78" i="3"/>
  <c r="X7" i="16" s="1"/>
  <c r="AJ92" i="3"/>
  <c r="AJ93" i="3"/>
  <c r="AJ22" i="3"/>
  <c r="X7" i="8" s="1"/>
  <c r="AJ86" i="3"/>
  <c r="X8" i="17" s="1"/>
  <c r="AJ29" i="3"/>
  <c r="X7" i="9" s="1"/>
  <c r="AJ15" i="3"/>
  <c r="X7" i="2" s="1"/>
  <c r="AJ18" i="3"/>
  <c r="X3" i="8" s="1"/>
  <c r="AJ16" i="3"/>
  <c r="X8" i="2" s="1"/>
  <c r="AJ53" i="3"/>
  <c r="X3" i="13" s="1"/>
  <c r="AJ87" i="3"/>
  <c r="AJ91" i="3"/>
  <c r="AJ89" i="3"/>
  <c r="AJ90" i="3"/>
  <c r="AJ42" i="3"/>
  <c r="X6" i="11" s="1"/>
  <c r="AJ88" i="3"/>
  <c r="AJ52" i="3"/>
  <c r="X2" i="13" s="1"/>
  <c r="AJ76" i="3"/>
  <c r="X5" i="16" s="1"/>
  <c r="AJ62" i="3"/>
  <c r="X5" i="14" s="1"/>
  <c r="AJ46" i="3"/>
  <c r="X3" i="12" s="1"/>
  <c r="AJ41" i="3"/>
  <c r="X5" i="11" s="1"/>
  <c r="AJ82" i="3"/>
  <c r="X4" i="17" s="1"/>
  <c r="AJ75" i="3"/>
  <c r="X4" i="16" s="1"/>
  <c r="AJ66" i="3"/>
  <c r="X2" i="15" s="1"/>
  <c r="AJ70" i="3"/>
  <c r="X6" i="15" s="1"/>
  <c r="AJ61" i="3"/>
  <c r="X4" i="14" s="1"/>
  <c r="AJ56" i="3"/>
  <c r="X6" i="13" s="1"/>
  <c r="AJ38" i="3"/>
  <c r="X2" i="11" s="1"/>
  <c r="AJ45" i="3"/>
  <c r="X2" i="12" s="1"/>
  <c r="AJ40" i="3"/>
  <c r="X4" i="11" s="1"/>
  <c r="AJ27" i="3"/>
  <c r="X5" i="9" s="1"/>
  <c r="AJ77" i="3"/>
  <c r="X6" i="16" s="1"/>
  <c r="AJ67" i="3"/>
  <c r="X3" i="15" s="1"/>
  <c r="AJ49" i="3"/>
  <c r="X6" i="12" s="1"/>
  <c r="AJ60" i="3"/>
  <c r="X3" i="14" s="1"/>
  <c r="AJ19" i="3"/>
  <c r="X4" i="8" s="1"/>
  <c r="AJ48" i="3"/>
  <c r="X5" i="12" s="1"/>
  <c r="AJ73" i="3"/>
  <c r="X2" i="16" s="1"/>
  <c r="AJ68" i="3"/>
  <c r="X4" i="15" s="1"/>
  <c r="AJ34" i="3"/>
  <c r="X5" i="10" s="1"/>
  <c r="AJ74" i="3"/>
  <c r="X3" i="16" s="1"/>
  <c r="AJ55" i="3"/>
  <c r="X5" i="13" s="1"/>
  <c r="AJ63" i="3"/>
  <c r="X6" i="14" s="1"/>
  <c r="AJ47" i="3"/>
  <c r="X4" i="12" s="1"/>
  <c r="AJ69" i="3"/>
  <c r="X5" i="15" s="1"/>
  <c r="AJ39" i="3"/>
  <c r="X3" i="11" s="1"/>
  <c r="AJ59" i="3"/>
  <c r="X2" i="14" s="1"/>
  <c r="AJ54" i="3"/>
  <c r="X4" i="13" s="1"/>
  <c r="AJ20" i="3"/>
  <c r="X5" i="8" s="1"/>
  <c r="AJ26" i="3"/>
  <c r="X4" i="9" s="1"/>
  <c r="AJ33" i="3"/>
  <c r="X4" i="10" s="1"/>
  <c r="AJ83" i="3"/>
  <c r="X5" i="17" s="1"/>
  <c r="AJ84" i="3"/>
  <c r="X6" i="17" s="1"/>
  <c r="AJ81" i="3"/>
  <c r="X3" i="17" s="1"/>
  <c r="AJ35" i="3"/>
  <c r="X6" i="10" s="1"/>
  <c r="AJ28" i="3"/>
  <c r="X6" i="9" s="1"/>
  <c r="AJ32" i="3"/>
  <c r="X3" i="10" s="1"/>
  <c r="AJ25" i="3"/>
  <c r="X3" i="9" s="1"/>
  <c r="AJ21" i="3"/>
  <c r="X6" i="8" s="1"/>
  <c r="AK9" i="3"/>
  <c r="X1" i="18"/>
  <c r="X1" i="16"/>
  <c r="X1" i="14"/>
  <c r="X1" i="12"/>
  <c r="X1" i="10"/>
  <c r="X1" i="17"/>
  <c r="X1" i="15"/>
  <c r="X1" i="13"/>
  <c r="X1" i="11"/>
  <c r="X1" i="8"/>
  <c r="X1" i="9"/>
  <c r="X1" i="2"/>
  <c r="AJ12" i="3"/>
  <c r="X4" i="2" s="1"/>
  <c r="AJ13" i="3"/>
  <c r="X5" i="2" s="1"/>
  <c r="AK24" i="3" l="1"/>
  <c r="Y2" i="9" s="1"/>
  <c r="AK80" i="3"/>
  <c r="Y2" i="17" s="1"/>
  <c r="AK36" i="3"/>
  <c r="Y7" i="10" s="1"/>
  <c r="AK57" i="3"/>
  <c r="Y7" i="13" s="1"/>
  <c r="AK44" i="3"/>
  <c r="Y8" i="11" s="1"/>
  <c r="AK50" i="3"/>
  <c r="Y7" i="12" s="1"/>
  <c r="AK58" i="3"/>
  <c r="Y8" i="13" s="1"/>
  <c r="AK43" i="3"/>
  <c r="Y7" i="11" s="1"/>
  <c r="AK51" i="3"/>
  <c r="Y8" i="12" s="1"/>
  <c r="AK65" i="3"/>
  <c r="Y8" i="14" s="1"/>
  <c r="AK71" i="3"/>
  <c r="Y7" i="15" s="1"/>
  <c r="AK79" i="3"/>
  <c r="Y8" i="16" s="1"/>
  <c r="AK64" i="3"/>
  <c r="Y7" i="14" s="1"/>
  <c r="AK85" i="3"/>
  <c r="Y7" i="17" s="1"/>
  <c r="AK72" i="3"/>
  <c r="Y8" i="15" s="1"/>
  <c r="AK78" i="3"/>
  <c r="Y7" i="16" s="1"/>
  <c r="AK93" i="3"/>
  <c r="AK92" i="3"/>
  <c r="AK29" i="3"/>
  <c r="Y7" i="9" s="1"/>
  <c r="AK86" i="3"/>
  <c r="Y8" i="17" s="1"/>
  <c r="AK22" i="3"/>
  <c r="Y7" i="8" s="1"/>
  <c r="AK15" i="3"/>
  <c r="Y7" i="2" s="1"/>
  <c r="AK18" i="3"/>
  <c r="Y3" i="8" s="1"/>
  <c r="AK16" i="3"/>
  <c r="Y8" i="2" s="1"/>
  <c r="AK88" i="3"/>
  <c r="AK87" i="3"/>
  <c r="AK91" i="3"/>
  <c r="AK53" i="3"/>
  <c r="Y3" i="13" s="1"/>
  <c r="AK89" i="3"/>
  <c r="AK52" i="3"/>
  <c r="Y2" i="13" s="1"/>
  <c r="AK90" i="3"/>
  <c r="AK42" i="3"/>
  <c r="Y6" i="11" s="1"/>
  <c r="AK61" i="3"/>
  <c r="Y4" i="14" s="1"/>
  <c r="AK56" i="3"/>
  <c r="Y6" i="13" s="1"/>
  <c r="AK62" i="3"/>
  <c r="Y5" i="14" s="1"/>
  <c r="AK82" i="3"/>
  <c r="Y4" i="17" s="1"/>
  <c r="AK66" i="3"/>
  <c r="Y2" i="15" s="1"/>
  <c r="AK46" i="3"/>
  <c r="Y3" i="12" s="1"/>
  <c r="AK41" i="3"/>
  <c r="Y5" i="11" s="1"/>
  <c r="AK75" i="3"/>
  <c r="Y4" i="16" s="1"/>
  <c r="AK76" i="3"/>
  <c r="Y5" i="16" s="1"/>
  <c r="AK70" i="3"/>
  <c r="Y6" i="15" s="1"/>
  <c r="AK40" i="3"/>
  <c r="Y4" i="11" s="1"/>
  <c r="AK69" i="3"/>
  <c r="Y5" i="15" s="1"/>
  <c r="AK55" i="3"/>
  <c r="Y5" i="13" s="1"/>
  <c r="AK68" i="3"/>
  <c r="Y4" i="15" s="1"/>
  <c r="AK59" i="3"/>
  <c r="Y2" i="14" s="1"/>
  <c r="AK54" i="3"/>
  <c r="Y4" i="13" s="1"/>
  <c r="AK47" i="3"/>
  <c r="Y4" i="12" s="1"/>
  <c r="AK38" i="3"/>
  <c r="Y2" i="11" s="1"/>
  <c r="AK27" i="3"/>
  <c r="Y5" i="9" s="1"/>
  <c r="AK19" i="3"/>
  <c r="Y4" i="8" s="1"/>
  <c r="AK73" i="3"/>
  <c r="Y2" i="16" s="1"/>
  <c r="AK67" i="3"/>
  <c r="Y3" i="15" s="1"/>
  <c r="AK45" i="3"/>
  <c r="Y2" i="12" s="1"/>
  <c r="AK60" i="3"/>
  <c r="Y3" i="14" s="1"/>
  <c r="AK77" i="3"/>
  <c r="Y6" i="16" s="1"/>
  <c r="AK34" i="3"/>
  <c r="Y5" i="10" s="1"/>
  <c r="AK49" i="3"/>
  <c r="Y6" i="12" s="1"/>
  <c r="AK74" i="3"/>
  <c r="Y3" i="16" s="1"/>
  <c r="AK48" i="3"/>
  <c r="Y5" i="12" s="1"/>
  <c r="AK39" i="3"/>
  <c r="Y3" i="11" s="1"/>
  <c r="AK63" i="3"/>
  <c r="Y6" i="14" s="1"/>
  <c r="AK20" i="3"/>
  <c r="Y5" i="8" s="1"/>
  <c r="AK84" i="3"/>
  <c r="Y6" i="17" s="1"/>
  <c r="AK26" i="3"/>
  <c r="Y4" i="9" s="1"/>
  <c r="AK83" i="3"/>
  <c r="Y5" i="17" s="1"/>
  <c r="AK33" i="3"/>
  <c r="Y4" i="10" s="1"/>
  <c r="AK81" i="3"/>
  <c r="Y3" i="17" s="1"/>
  <c r="AK35" i="3"/>
  <c r="Y6" i="10" s="1"/>
  <c r="AK28" i="3"/>
  <c r="Y6" i="9" s="1"/>
  <c r="AK25" i="3"/>
  <c r="Y3" i="9" s="1"/>
  <c r="AK32" i="3"/>
  <c r="Y3" i="10" s="1"/>
  <c r="AK21" i="3"/>
  <c r="Y6" i="8" s="1"/>
  <c r="AL9" i="3"/>
  <c r="Y1" i="18"/>
  <c r="Y1" i="16"/>
  <c r="Y1" i="14"/>
  <c r="Y1" i="12"/>
  <c r="Y1" i="10"/>
  <c r="Y1" i="11"/>
  <c r="Y1" i="9"/>
  <c r="Y1" i="17"/>
  <c r="Y1" i="8"/>
  <c r="Y1" i="2"/>
  <c r="Y1" i="15"/>
  <c r="Y1" i="13"/>
  <c r="AK12" i="3"/>
  <c r="Y4" i="2" s="1"/>
  <c r="AK13" i="3"/>
  <c r="Y5" i="2" s="1"/>
  <c r="AK14" i="3"/>
  <c r="Y6" i="2" s="1"/>
  <c r="AK11" i="3"/>
  <c r="Y3" i="2" s="1"/>
  <c r="AL24" i="3" l="1"/>
  <c r="Z2" i="9" s="1"/>
  <c r="AL80" i="3"/>
  <c r="Z2" i="17" s="1"/>
  <c r="AL36" i="3"/>
  <c r="Z7" i="10" s="1"/>
  <c r="AL43" i="3"/>
  <c r="Z7" i="11" s="1"/>
  <c r="AL51" i="3"/>
  <c r="Z8" i="12" s="1"/>
  <c r="AL57" i="3"/>
  <c r="Z7" i="13" s="1"/>
  <c r="AL44" i="3"/>
  <c r="Z8" i="11" s="1"/>
  <c r="AL50" i="3"/>
  <c r="Z7" i="12" s="1"/>
  <c r="AL58" i="3"/>
  <c r="Z8" i="13" s="1"/>
  <c r="AL72" i="3"/>
  <c r="Z8" i="15" s="1"/>
  <c r="AL78" i="3"/>
  <c r="Z7" i="16" s="1"/>
  <c r="AL65" i="3"/>
  <c r="Z8" i="14" s="1"/>
  <c r="AL71" i="3"/>
  <c r="Z7" i="15" s="1"/>
  <c r="AL79" i="3"/>
  <c r="Z8" i="16" s="1"/>
  <c r="AL64" i="3"/>
  <c r="Z7" i="14" s="1"/>
  <c r="AL85" i="3"/>
  <c r="Z7" i="17" s="1"/>
  <c r="AL93" i="3"/>
  <c r="AL86" i="3"/>
  <c r="Z8" i="17" s="1"/>
  <c r="AL92" i="3"/>
  <c r="AL29" i="3"/>
  <c r="Z7" i="9" s="1"/>
  <c r="AL22" i="3"/>
  <c r="Z7" i="8" s="1"/>
  <c r="AL15" i="3"/>
  <c r="Z7" i="2" s="1"/>
  <c r="AL18" i="3"/>
  <c r="Z3" i="8" s="1"/>
  <c r="AL16" i="3"/>
  <c r="Z8" i="2" s="1"/>
  <c r="AL53" i="3"/>
  <c r="Z3" i="13" s="1"/>
  <c r="AL91" i="3"/>
  <c r="AL89" i="3"/>
  <c r="AL42" i="3"/>
  <c r="Z6" i="11" s="1"/>
  <c r="AL52" i="3"/>
  <c r="Z2" i="13" s="1"/>
  <c r="AL90" i="3"/>
  <c r="AL88" i="3"/>
  <c r="AL87" i="3"/>
  <c r="AL46" i="3"/>
  <c r="Z3" i="12" s="1"/>
  <c r="AL62" i="3"/>
  <c r="Z5" i="14" s="1"/>
  <c r="AL41" i="3"/>
  <c r="Z5" i="11" s="1"/>
  <c r="AL75" i="3"/>
  <c r="Z4" i="16" s="1"/>
  <c r="AL70" i="3"/>
  <c r="Z6" i="15" s="1"/>
  <c r="AL66" i="3"/>
  <c r="Z2" i="15" s="1"/>
  <c r="AL76" i="3"/>
  <c r="Z5" i="16" s="1"/>
  <c r="AL82" i="3"/>
  <c r="Z4" i="17" s="1"/>
  <c r="AL61" i="3"/>
  <c r="Z4" i="14" s="1"/>
  <c r="AL47" i="3"/>
  <c r="Z4" i="12" s="1"/>
  <c r="AL74" i="3"/>
  <c r="Z3" i="16" s="1"/>
  <c r="AL69" i="3"/>
  <c r="Z5" i="15" s="1"/>
  <c r="AL55" i="3"/>
  <c r="Z5" i="13" s="1"/>
  <c r="AL77" i="3"/>
  <c r="Z6" i="16" s="1"/>
  <c r="AL73" i="3"/>
  <c r="Z2" i="16" s="1"/>
  <c r="AL59" i="3"/>
  <c r="Z2" i="14" s="1"/>
  <c r="AL54" i="3"/>
  <c r="Z4" i="13" s="1"/>
  <c r="AL45" i="3"/>
  <c r="Z2" i="12" s="1"/>
  <c r="AL27" i="3"/>
  <c r="Z5" i="9" s="1"/>
  <c r="AL68" i="3"/>
  <c r="Z4" i="15" s="1"/>
  <c r="AL56" i="3"/>
  <c r="Z6" i="13" s="1"/>
  <c r="AL38" i="3"/>
  <c r="Z2" i="11" s="1"/>
  <c r="AL67" i="3"/>
  <c r="Z3" i="15" s="1"/>
  <c r="AL60" i="3"/>
  <c r="Z3" i="14" s="1"/>
  <c r="AL48" i="3"/>
  <c r="Z5" i="12" s="1"/>
  <c r="AL39" i="3"/>
  <c r="Z3" i="11" s="1"/>
  <c r="AL63" i="3"/>
  <c r="Z6" i="14" s="1"/>
  <c r="AL34" i="3"/>
  <c r="Z5" i="10" s="1"/>
  <c r="AL49" i="3"/>
  <c r="Z6" i="12" s="1"/>
  <c r="AL40" i="3"/>
  <c r="Z4" i="11" s="1"/>
  <c r="AL19" i="3"/>
  <c r="Z4" i="8" s="1"/>
  <c r="AL20" i="3"/>
  <c r="Z5" i="8" s="1"/>
  <c r="AL84" i="3"/>
  <c r="Z6" i="17" s="1"/>
  <c r="AL33" i="3"/>
  <c r="Z4" i="10" s="1"/>
  <c r="AL26" i="3"/>
  <c r="Z4" i="9" s="1"/>
  <c r="AL83" i="3"/>
  <c r="Z5" i="17" s="1"/>
  <c r="AL81" i="3"/>
  <c r="Z3" i="17" s="1"/>
  <c r="AL35" i="3"/>
  <c r="Z6" i="10" s="1"/>
  <c r="AL25" i="3"/>
  <c r="Z3" i="9" s="1"/>
  <c r="AL32" i="3"/>
  <c r="Z3" i="10" s="1"/>
  <c r="AL28" i="3"/>
  <c r="Z6" i="9" s="1"/>
  <c r="AL21" i="3"/>
  <c r="Z6" i="8" s="1"/>
  <c r="AM9" i="3"/>
  <c r="Z1" i="17"/>
  <c r="Z1" i="15"/>
  <c r="Z1" i="13"/>
  <c r="Z1" i="11"/>
  <c r="Z1" i="9"/>
  <c r="Z1" i="18"/>
  <c r="Z1" i="16"/>
  <c r="Z1" i="14"/>
  <c r="Z1" i="12"/>
  <c r="Z1" i="10"/>
  <c r="Z1" i="2"/>
  <c r="Z1" i="8"/>
  <c r="AL12" i="3"/>
  <c r="Z4" i="2" s="1"/>
  <c r="AL13" i="3"/>
  <c r="Z5" i="2" s="1"/>
  <c r="AL14" i="3"/>
  <c r="Z6" i="2" s="1"/>
  <c r="AL11" i="3"/>
  <c r="Z3" i="2" s="1"/>
  <c r="AM24" i="3" l="1"/>
  <c r="AA2" i="9" s="1"/>
  <c r="AM80" i="3"/>
  <c r="AA2" i="17" s="1"/>
  <c r="AM36" i="3"/>
  <c r="AA7" i="10" s="1"/>
  <c r="AM58" i="3"/>
  <c r="AA8" i="13" s="1"/>
  <c r="AM43" i="3"/>
  <c r="AA7" i="11" s="1"/>
  <c r="AM51" i="3"/>
  <c r="AA8" i="12" s="1"/>
  <c r="AM57" i="3"/>
  <c r="AA7" i="13" s="1"/>
  <c r="AM44" i="3"/>
  <c r="AA8" i="11" s="1"/>
  <c r="AM50" i="3"/>
  <c r="AA7" i="12" s="1"/>
  <c r="AM64" i="3"/>
  <c r="AA7" i="14" s="1"/>
  <c r="AM72" i="3"/>
  <c r="AA8" i="15" s="1"/>
  <c r="AM78" i="3"/>
  <c r="AA7" i="16" s="1"/>
  <c r="AM65" i="3"/>
  <c r="AA8" i="14" s="1"/>
  <c r="AM71" i="3"/>
  <c r="AA7" i="15" s="1"/>
  <c r="AM79" i="3"/>
  <c r="AA8" i="16" s="1"/>
  <c r="AM92" i="3"/>
  <c r="AM93" i="3"/>
  <c r="AM85" i="3"/>
  <c r="AA7" i="17" s="1"/>
  <c r="AM22" i="3"/>
  <c r="AA7" i="8" s="1"/>
  <c r="AM29" i="3"/>
  <c r="AA7" i="9" s="1"/>
  <c r="AM86" i="3"/>
  <c r="AA8" i="17" s="1"/>
  <c r="AM15" i="3"/>
  <c r="AA7" i="2" s="1"/>
  <c r="AM18" i="3"/>
  <c r="AA3" i="8" s="1"/>
  <c r="AM16" i="3"/>
  <c r="AA8" i="2" s="1"/>
  <c r="AM53" i="3"/>
  <c r="AA3" i="13" s="1"/>
  <c r="AM42" i="3"/>
  <c r="AA6" i="11" s="1"/>
  <c r="AM91" i="3"/>
  <c r="AM89" i="3"/>
  <c r="AM90" i="3"/>
  <c r="AM88" i="3"/>
  <c r="AM87" i="3"/>
  <c r="AM75" i="3"/>
  <c r="AA4" i="16" s="1"/>
  <c r="AM52" i="3"/>
  <c r="AA2" i="13" s="1"/>
  <c r="AM62" i="3"/>
  <c r="AA5" i="14" s="1"/>
  <c r="AM41" i="3"/>
  <c r="AA5" i="11" s="1"/>
  <c r="AM70" i="3"/>
  <c r="AA6" i="15" s="1"/>
  <c r="AM46" i="3"/>
  <c r="AA3" i="12" s="1"/>
  <c r="AM66" i="3"/>
  <c r="AA2" i="15" s="1"/>
  <c r="AM76" i="3"/>
  <c r="AA5" i="16" s="1"/>
  <c r="AM82" i="3"/>
  <c r="AA4" i="17" s="1"/>
  <c r="AM61" i="3"/>
  <c r="AA4" i="14" s="1"/>
  <c r="AM56" i="3"/>
  <c r="AA6" i="13" s="1"/>
  <c r="AM47" i="3"/>
  <c r="AA4" i="12" s="1"/>
  <c r="AM40" i="3"/>
  <c r="AA4" i="11" s="1"/>
  <c r="AM74" i="3"/>
  <c r="AA3" i="16" s="1"/>
  <c r="AM69" i="3"/>
  <c r="AA5" i="15" s="1"/>
  <c r="AM73" i="3"/>
  <c r="AA2" i="16" s="1"/>
  <c r="AM59" i="3"/>
  <c r="AA2" i="14" s="1"/>
  <c r="AM34" i="3"/>
  <c r="AA5" i="10" s="1"/>
  <c r="AM49" i="3"/>
  <c r="AA6" i="12" s="1"/>
  <c r="AM27" i="3"/>
  <c r="AA5" i="9" s="1"/>
  <c r="AM48" i="3"/>
  <c r="AA5" i="12" s="1"/>
  <c r="AM68" i="3"/>
  <c r="AA4" i="15" s="1"/>
  <c r="AM54" i="3"/>
  <c r="AA4" i="13" s="1"/>
  <c r="AM38" i="3"/>
  <c r="AA2" i="11" s="1"/>
  <c r="AM67" i="3"/>
  <c r="AA3" i="15" s="1"/>
  <c r="AM45" i="3"/>
  <c r="AA2" i="12" s="1"/>
  <c r="AM60" i="3"/>
  <c r="AA3" i="14" s="1"/>
  <c r="AM55" i="3"/>
  <c r="AA5" i="13" s="1"/>
  <c r="AM39" i="3"/>
  <c r="AA3" i="11" s="1"/>
  <c r="AM63" i="3"/>
  <c r="AA6" i="14" s="1"/>
  <c r="AM19" i="3"/>
  <c r="AA4" i="8" s="1"/>
  <c r="AM77" i="3"/>
  <c r="AA6" i="16" s="1"/>
  <c r="AM20" i="3"/>
  <c r="AA5" i="8" s="1"/>
  <c r="AM33" i="3"/>
  <c r="AA4" i="10" s="1"/>
  <c r="AM26" i="3"/>
  <c r="AA4" i="9" s="1"/>
  <c r="AM83" i="3"/>
  <c r="AA5" i="17" s="1"/>
  <c r="AM84" i="3"/>
  <c r="AA6" i="17" s="1"/>
  <c r="AM81" i="3"/>
  <c r="AA3" i="17" s="1"/>
  <c r="AM35" i="3"/>
  <c r="AA6" i="10" s="1"/>
  <c r="AM32" i="3"/>
  <c r="AA3" i="10" s="1"/>
  <c r="AM28" i="3"/>
  <c r="AA6" i="9" s="1"/>
  <c r="AM21" i="3"/>
  <c r="AA6" i="8" s="1"/>
  <c r="AM25" i="3"/>
  <c r="AA3" i="9" s="1"/>
  <c r="AN9" i="3"/>
  <c r="AA1" i="17"/>
  <c r="AA1" i="15"/>
  <c r="AA1" i="13"/>
  <c r="AA1" i="11"/>
  <c r="AA1" i="9"/>
  <c r="AA1" i="12"/>
  <c r="AA1" i="18"/>
  <c r="AA1" i="10"/>
  <c r="AA1" i="2"/>
  <c r="AA1" i="8"/>
  <c r="AA1" i="16"/>
  <c r="AA1" i="14"/>
  <c r="AM12" i="3"/>
  <c r="AA4" i="2" s="1"/>
  <c r="AM13" i="3"/>
  <c r="AA5" i="2" s="1"/>
  <c r="AM14" i="3"/>
  <c r="AA6" i="2" s="1"/>
  <c r="AM11" i="3"/>
  <c r="AA3" i="2" s="1"/>
  <c r="AN24" i="3" l="1"/>
  <c r="AB2" i="9" s="1"/>
  <c r="AN80" i="3"/>
  <c r="AB2" i="17" s="1"/>
  <c r="AN36" i="3"/>
  <c r="AB7" i="10" s="1"/>
  <c r="AN44" i="3"/>
  <c r="AB8" i="11" s="1"/>
  <c r="AN50" i="3"/>
  <c r="AB7" i="12" s="1"/>
  <c r="AN58" i="3"/>
  <c r="AB8" i="13" s="1"/>
  <c r="AN64" i="3"/>
  <c r="AB7" i="14" s="1"/>
  <c r="AN43" i="3"/>
  <c r="AB7" i="11" s="1"/>
  <c r="AN51" i="3"/>
  <c r="AB8" i="12" s="1"/>
  <c r="AN57" i="3"/>
  <c r="AB7" i="13" s="1"/>
  <c r="AN65" i="3"/>
  <c r="AB8" i="14" s="1"/>
  <c r="AN71" i="3"/>
  <c r="AB7" i="15" s="1"/>
  <c r="AN79" i="3"/>
  <c r="AB8" i="16" s="1"/>
  <c r="AN85" i="3"/>
  <c r="AB7" i="17" s="1"/>
  <c r="AN72" i="3"/>
  <c r="AB8" i="15" s="1"/>
  <c r="AN78" i="3"/>
  <c r="AB7" i="16" s="1"/>
  <c r="AN92" i="3"/>
  <c r="AN93" i="3"/>
  <c r="AN22" i="3"/>
  <c r="AB7" i="8" s="1"/>
  <c r="AN86" i="3"/>
  <c r="AB8" i="17" s="1"/>
  <c r="AN29" i="3"/>
  <c r="AB7" i="9" s="1"/>
  <c r="AN15" i="3"/>
  <c r="AB7" i="2" s="1"/>
  <c r="AN18" i="3"/>
  <c r="AB3" i="8" s="1"/>
  <c r="AN16" i="3"/>
  <c r="AB8" i="2" s="1"/>
  <c r="AN53" i="3"/>
  <c r="AB3" i="13" s="1"/>
  <c r="AN91" i="3"/>
  <c r="AN89" i="3"/>
  <c r="AN88" i="3"/>
  <c r="AN90" i="3"/>
  <c r="AN87" i="3"/>
  <c r="AN42" i="3"/>
  <c r="AB6" i="11" s="1"/>
  <c r="AN52" i="3"/>
  <c r="AB2" i="13" s="1"/>
  <c r="AN61" i="3"/>
  <c r="AB4" i="14" s="1"/>
  <c r="AN62" i="3"/>
  <c r="AB5" i="14" s="1"/>
  <c r="AN46" i="3"/>
  <c r="AB3" i="12" s="1"/>
  <c r="AN76" i="3"/>
  <c r="AB5" i="16" s="1"/>
  <c r="AN41" i="3"/>
  <c r="AB5" i="11" s="1"/>
  <c r="AN82" i="3"/>
  <c r="AB4" i="17" s="1"/>
  <c r="AN75" i="3"/>
  <c r="AB4" i="16" s="1"/>
  <c r="AN70" i="3"/>
  <c r="AB6" i="15" s="1"/>
  <c r="AN66" i="3"/>
  <c r="AB2" i="15" s="1"/>
  <c r="AN56" i="3"/>
  <c r="AB6" i="13" s="1"/>
  <c r="AN47" i="3"/>
  <c r="AB4" i="12" s="1"/>
  <c r="AN69" i="3"/>
  <c r="AB5" i="15" s="1"/>
  <c r="AN19" i="3"/>
  <c r="AB4" i="8" s="1"/>
  <c r="AN59" i="3"/>
  <c r="AB2" i="14" s="1"/>
  <c r="AN38" i="3"/>
  <c r="AB2" i="11" s="1"/>
  <c r="AN49" i="3"/>
  <c r="AB6" i="12" s="1"/>
  <c r="AN45" i="3"/>
  <c r="AB2" i="12" s="1"/>
  <c r="AN40" i="3"/>
  <c r="AB4" i="11" s="1"/>
  <c r="AN27" i="3"/>
  <c r="AB5" i="9" s="1"/>
  <c r="AN77" i="3"/>
  <c r="AB6" i="16" s="1"/>
  <c r="AN67" i="3"/>
  <c r="AB3" i="15" s="1"/>
  <c r="AN60" i="3"/>
  <c r="AB3" i="14" s="1"/>
  <c r="AN48" i="3"/>
  <c r="AB5" i="12" s="1"/>
  <c r="AN73" i="3"/>
  <c r="AB2" i="16" s="1"/>
  <c r="AN68" i="3"/>
  <c r="AB4" i="15" s="1"/>
  <c r="AN34" i="3"/>
  <c r="AB5" i="10" s="1"/>
  <c r="AN74" i="3"/>
  <c r="AB3" i="16" s="1"/>
  <c r="AN55" i="3"/>
  <c r="AB5" i="13" s="1"/>
  <c r="AN39" i="3"/>
  <c r="AB3" i="11" s="1"/>
  <c r="AN63" i="3"/>
  <c r="AB6" i="14" s="1"/>
  <c r="AN54" i="3"/>
  <c r="AB4" i="13" s="1"/>
  <c r="AN20" i="3"/>
  <c r="AB5" i="8" s="1"/>
  <c r="AN84" i="3"/>
  <c r="AB6" i="17" s="1"/>
  <c r="AN81" i="3"/>
  <c r="AB3" i="17" s="1"/>
  <c r="AN26" i="3"/>
  <c r="AB4" i="9" s="1"/>
  <c r="AN33" i="3"/>
  <c r="AB4" i="10" s="1"/>
  <c r="AN83" i="3"/>
  <c r="AB5" i="17" s="1"/>
  <c r="AN25" i="3"/>
  <c r="AB3" i="9" s="1"/>
  <c r="AN35" i="3"/>
  <c r="AB6" i="10" s="1"/>
  <c r="AN28" i="3"/>
  <c r="AB6" i="9" s="1"/>
  <c r="AN32" i="3"/>
  <c r="AB3" i="10" s="1"/>
  <c r="AN21" i="3"/>
  <c r="AB6" i="8" s="1"/>
  <c r="AO9" i="3"/>
  <c r="AB1" i="18"/>
  <c r="AB1" i="16"/>
  <c r="AB1" i="14"/>
  <c r="AB1" i="12"/>
  <c r="AB1" i="10"/>
  <c r="AB1" i="17"/>
  <c r="AB1" i="15"/>
  <c r="AB1" i="13"/>
  <c r="AB1" i="11"/>
  <c r="AB1" i="8"/>
  <c r="AB1" i="9"/>
  <c r="AB1" i="2"/>
  <c r="AN12" i="3"/>
  <c r="AB4" i="2" s="1"/>
  <c r="AN13" i="3"/>
  <c r="AB5" i="2" s="1"/>
  <c r="AN11" i="3"/>
  <c r="AB3" i="2" s="1"/>
  <c r="AN14" i="3"/>
  <c r="AB6" i="2" s="1"/>
  <c r="AO24" i="3" l="1"/>
  <c r="AC2" i="9" s="1"/>
  <c r="AO80" i="3"/>
  <c r="AC2" i="17" s="1"/>
  <c r="AO36" i="3"/>
  <c r="AC7" i="10" s="1"/>
  <c r="AO57" i="3"/>
  <c r="AC7" i="13" s="1"/>
  <c r="AO44" i="3"/>
  <c r="AC8" i="11" s="1"/>
  <c r="AO50" i="3"/>
  <c r="AC7" i="12" s="1"/>
  <c r="AO58" i="3"/>
  <c r="AC8" i="13" s="1"/>
  <c r="AO43" i="3"/>
  <c r="AC7" i="11" s="1"/>
  <c r="AO51" i="3"/>
  <c r="AC8" i="12" s="1"/>
  <c r="AO64" i="3"/>
  <c r="AC7" i="14" s="1"/>
  <c r="AO65" i="3"/>
  <c r="AC8" i="14" s="1"/>
  <c r="AO71" i="3"/>
  <c r="AC7" i="15" s="1"/>
  <c r="AO79" i="3"/>
  <c r="AC8" i="16" s="1"/>
  <c r="AO85" i="3"/>
  <c r="AC7" i="17" s="1"/>
  <c r="AO72" i="3"/>
  <c r="AC8" i="15" s="1"/>
  <c r="AO78" i="3"/>
  <c r="AC7" i="16" s="1"/>
  <c r="AO93" i="3"/>
  <c r="AO92" i="3"/>
  <c r="AO22" i="3"/>
  <c r="AC7" i="8" s="1"/>
  <c r="AO86" i="3"/>
  <c r="AC8" i="17" s="1"/>
  <c r="AO29" i="3"/>
  <c r="AC7" i="9" s="1"/>
  <c r="AO15" i="3"/>
  <c r="AC7" i="2" s="1"/>
  <c r="AO18" i="3"/>
  <c r="AC3" i="8" s="1"/>
  <c r="AO90" i="3"/>
  <c r="AO88" i="3"/>
  <c r="AO87" i="3"/>
  <c r="AO42" i="3"/>
  <c r="AC6" i="11" s="1"/>
  <c r="AO91" i="3"/>
  <c r="AO53" i="3"/>
  <c r="AC3" i="13" s="1"/>
  <c r="AO89" i="3"/>
  <c r="AO16" i="3"/>
  <c r="AC8" i="2" s="1"/>
  <c r="AO76" i="3"/>
  <c r="AC5" i="16" s="1"/>
  <c r="AO41" i="3"/>
  <c r="AC5" i="11" s="1"/>
  <c r="AO70" i="3"/>
  <c r="AC6" i="15" s="1"/>
  <c r="AO46" i="3"/>
  <c r="AC3" i="12" s="1"/>
  <c r="AO61" i="3"/>
  <c r="AC4" i="14" s="1"/>
  <c r="AO62" i="3"/>
  <c r="AC5" i="14" s="1"/>
  <c r="AO82" i="3"/>
  <c r="AC4" i="17" s="1"/>
  <c r="AO52" i="3"/>
  <c r="AC2" i="13" s="1"/>
  <c r="AO75" i="3"/>
  <c r="AC4" i="16" s="1"/>
  <c r="AO66" i="3"/>
  <c r="AC2" i="15" s="1"/>
  <c r="AO34" i="3"/>
  <c r="AC5" i="10" s="1"/>
  <c r="AO49" i="3"/>
  <c r="AC6" i="12" s="1"/>
  <c r="AO74" i="3"/>
  <c r="AC3" i="16" s="1"/>
  <c r="AO48" i="3"/>
  <c r="AC5" i="12" s="1"/>
  <c r="AO39" i="3"/>
  <c r="AC3" i="11" s="1"/>
  <c r="AO63" i="3"/>
  <c r="AC6" i="14" s="1"/>
  <c r="AO40" i="3"/>
  <c r="AC4" i="11" s="1"/>
  <c r="AO69" i="3"/>
  <c r="AC5" i="15" s="1"/>
  <c r="AO55" i="3"/>
  <c r="AC5" i="13" s="1"/>
  <c r="AO59" i="3"/>
  <c r="AC2" i="14" s="1"/>
  <c r="AO54" i="3"/>
  <c r="AC4" i="13" s="1"/>
  <c r="AO47" i="3"/>
  <c r="AC4" i="12" s="1"/>
  <c r="AO38" i="3"/>
  <c r="AC2" i="11" s="1"/>
  <c r="AO27" i="3"/>
  <c r="AC5" i="9" s="1"/>
  <c r="AO19" i="3"/>
  <c r="AC4" i="8" s="1"/>
  <c r="AO73" i="3"/>
  <c r="AC2" i="16" s="1"/>
  <c r="AO68" i="3"/>
  <c r="AC4" i="15" s="1"/>
  <c r="AO56" i="3"/>
  <c r="AC6" i="13" s="1"/>
  <c r="AO67" i="3"/>
  <c r="AC3" i="15" s="1"/>
  <c r="AO45" i="3"/>
  <c r="AC2" i="12" s="1"/>
  <c r="AO60" i="3"/>
  <c r="AC3" i="14" s="1"/>
  <c r="AO77" i="3"/>
  <c r="AC6" i="16" s="1"/>
  <c r="AO20" i="3"/>
  <c r="AC5" i="8" s="1"/>
  <c r="AO81" i="3"/>
  <c r="AC3" i="17" s="1"/>
  <c r="AO84" i="3"/>
  <c r="AC6" i="17" s="1"/>
  <c r="AO26" i="3"/>
  <c r="AC4" i="9" s="1"/>
  <c r="AO83" i="3"/>
  <c r="AC5" i="17" s="1"/>
  <c r="AO33" i="3"/>
  <c r="AC4" i="10" s="1"/>
  <c r="AO35" i="3"/>
  <c r="AC6" i="10" s="1"/>
  <c r="AO28" i="3"/>
  <c r="AC6" i="9" s="1"/>
  <c r="AO32" i="3"/>
  <c r="AC3" i="10" s="1"/>
  <c r="AO21" i="3"/>
  <c r="AC6" i="8" s="1"/>
  <c r="AO25" i="3"/>
  <c r="AC3" i="9" s="1"/>
  <c r="AP9" i="3"/>
  <c r="AC1" i="18"/>
  <c r="AC1" i="16"/>
  <c r="AC1" i="14"/>
  <c r="AC1" i="12"/>
  <c r="AC1" i="10"/>
  <c r="AC1" i="13"/>
  <c r="AC1" i="2"/>
  <c r="AC1" i="11"/>
  <c r="AC1" i="8"/>
  <c r="AC1" i="15"/>
  <c r="AC1" i="17"/>
  <c r="AC1" i="9"/>
  <c r="AO12" i="3"/>
  <c r="AC4" i="2" s="1"/>
  <c r="AO13" i="3"/>
  <c r="AC5" i="2" s="1"/>
  <c r="AO14" i="3"/>
  <c r="AC6" i="2" s="1"/>
  <c r="AO11" i="3"/>
  <c r="AC3" i="2" s="1"/>
  <c r="AP24" i="3" l="1"/>
  <c r="AD2" i="9" s="1"/>
  <c r="AP80" i="3"/>
  <c r="AD2" i="17" s="1"/>
  <c r="AP36" i="3"/>
  <c r="AD7" i="10" s="1"/>
  <c r="AP43" i="3"/>
  <c r="AD7" i="11" s="1"/>
  <c r="AP51" i="3"/>
  <c r="AD8" i="12" s="1"/>
  <c r="AP57" i="3"/>
  <c r="AD7" i="13" s="1"/>
  <c r="AP44" i="3"/>
  <c r="AD8" i="11" s="1"/>
  <c r="AP50" i="3"/>
  <c r="AD7" i="12" s="1"/>
  <c r="AP58" i="3"/>
  <c r="AD8" i="13" s="1"/>
  <c r="AP72" i="3"/>
  <c r="AD8" i="15" s="1"/>
  <c r="AP78" i="3"/>
  <c r="AD7" i="16" s="1"/>
  <c r="AP86" i="3"/>
  <c r="AD8" i="17" s="1"/>
  <c r="AP64" i="3"/>
  <c r="AD7" i="14" s="1"/>
  <c r="AP65" i="3"/>
  <c r="AD8" i="14" s="1"/>
  <c r="AP71" i="3"/>
  <c r="AD7" i="15" s="1"/>
  <c r="AP79" i="3"/>
  <c r="AD8" i="16" s="1"/>
  <c r="AP85" i="3"/>
  <c r="AD7" i="17" s="1"/>
  <c r="AP93" i="3"/>
  <c r="AP92" i="3"/>
  <c r="AP29" i="3"/>
  <c r="AD7" i="9" s="1"/>
  <c r="AP22" i="3"/>
  <c r="AD7" i="8" s="1"/>
  <c r="AP15" i="3"/>
  <c r="AD7" i="2" s="1"/>
  <c r="AP18" i="3"/>
  <c r="AD3" i="8" s="1"/>
  <c r="AP16" i="3"/>
  <c r="AD8" i="2" s="1"/>
  <c r="AP90" i="3"/>
  <c r="AP53" i="3"/>
  <c r="AD3" i="13" s="1"/>
  <c r="AP88" i="3"/>
  <c r="AP87" i="3"/>
  <c r="AP91" i="3"/>
  <c r="AP89" i="3"/>
  <c r="AP42" i="3"/>
  <c r="AD6" i="11" s="1"/>
  <c r="AP76" i="3"/>
  <c r="AD5" i="16" s="1"/>
  <c r="AP61" i="3"/>
  <c r="AD4" i="14" s="1"/>
  <c r="AP46" i="3"/>
  <c r="AD3" i="12" s="1"/>
  <c r="AP82" i="3"/>
  <c r="AD4" i="17" s="1"/>
  <c r="AP62" i="3"/>
  <c r="AD5" i="14" s="1"/>
  <c r="AP41" i="3"/>
  <c r="AD5" i="11" s="1"/>
  <c r="AP75" i="3"/>
  <c r="AD4" i="16" s="1"/>
  <c r="AP70" i="3"/>
  <c r="AD6" i="15" s="1"/>
  <c r="AP52" i="3"/>
  <c r="AD2" i="13" s="1"/>
  <c r="AP66" i="3"/>
  <c r="AD2" i="15" s="1"/>
  <c r="AP34" i="3"/>
  <c r="AD5" i="10" s="1"/>
  <c r="AP49" i="3"/>
  <c r="AD6" i="12" s="1"/>
  <c r="AP40" i="3"/>
  <c r="AD4" i="11" s="1"/>
  <c r="AP47" i="3"/>
  <c r="AD4" i="12" s="1"/>
  <c r="AP74" i="3"/>
  <c r="AD3" i="16" s="1"/>
  <c r="AP69" i="3"/>
  <c r="AD5" i="15" s="1"/>
  <c r="AP55" i="3"/>
  <c r="AD5" i="13" s="1"/>
  <c r="AP19" i="3"/>
  <c r="AD4" i="8" s="1"/>
  <c r="AP77" i="3"/>
  <c r="AD6" i="16" s="1"/>
  <c r="AP73" i="3"/>
  <c r="AD2" i="16" s="1"/>
  <c r="AP59" i="3"/>
  <c r="AD2" i="14" s="1"/>
  <c r="AP54" i="3"/>
  <c r="AD4" i="13" s="1"/>
  <c r="AP45" i="3"/>
  <c r="AD2" i="12" s="1"/>
  <c r="AP27" i="3"/>
  <c r="AD5" i="9" s="1"/>
  <c r="AP68" i="3"/>
  <c r="AD4" i="15" s="1"/>
  <c r="AP56" i="3"/>
  <c r="AD6" i="13" s="1"/>
  <c r="AP38" i="3"/>
  <c r="AD2" i="11" s="1"/>
  <c r="AP67" i="3"/>
  <c r="AD3" i="15" s="1"/>
  <c r="AP60" i="3"/>
  <c r="AD3" i="14" s="1"/>
  <c r="AP48" i="3"/>
  <c r="AD5" i="12" s="1"/>
  <c r="AP39" i="3"/>
  <c r="AD3" i="11" s="1"/>
  <c r="AP63" i="3"/>
  <c r="AD6" i="14" s="1"/>
  <c r="AP20" i="3"/>
  <c r="AD5" i="8" s="1"/>
  <c r="AP81" i="3"/>
  <c r="AD3" i="17" s="1"/>
  <c r="AP84" i="3"/>
  <c r="AD6" i="17" s="1"/>
  <c r="AP33" i="3"/>
  <c r="AD4" i="10" s="1"/>
  <c r="AP26" i="3"/>
  <c r="AD4" i="9" s="1"/>
  <c r="AP83" i="3"/>
  <c r="AD5" i="17" s="1"/>
  <c r="AP35" i="3"/>
  <c r="AD6" i="10" s="1"/>
  <c r="AP32" i="3"/>
  <c r="AD3" i="10" s="1"/>
  <c r="AP28" i="3"/>
  <c r="AD6" i="9" s="1"/>
  <c r="AP21" i="3"/>
  <c r="AD6" i="8" s="1"/>
  <c r="AP25" i="3"/>
  <c r="AD3" i="9" s="1"/>
  <c r="AQ9" i="3"/>
  <c r="AD1" i="17"/>
  <c r="AD1" i="15"/>
  <c r="AD1" i="13"/>
  <c r="AD1" i="11"/>
  <c r="AD1" i="9"/>
  <c r="AD1" i="18"/>
  <c r="AD1" i="16"/>
  <c r="AD1" i="14"/>
  <c r="AD1" i="12"/>
  <c r="AD1" i="10"/>
  <c r="AD1" i="2"/>
  <c r="AD1" i="8"/>
  <c r="AP12" i="3"/>
  <c r="AD4" i="2" s="1"/>
  <c r="AP13" i="3"/>
  <c r="AD5" i="2" s="1"/>
  <c r="AP11" i="3"/>
  <c r="AD3" i="2" s="1"/>
  <c r="AP14" i="3"/>
  <c r="AD6" i="2" s="1"/>
  <c r="AQ24" i="3" l="1"/>
  <c r="AE2" i="9" s="1"/>
  <c r="AQ80" i="3"/>
  <c r="AE2" i="17" s="1"/>
  <c r="AQ36" i="3"/>
  <c r="AE7" i="10" s="1"/>
  <c r="AQ58" i="3"/>
  <c r="AE8" i="13" s="1"/>
  <c r="AQ43" i="3"/>
  <c r="AE7" i="11" s="1"/>
  <c r="AQ51" i="3"/>
  <c r="AE8" i="12" s="1"/>
  <c r="AQ57" i="3"/>
  <c r="AE7" i="13" s="1"/>
  <c r="AQ44" i="3"/>
  <c r="AE8" i="11" s="1"/>
  <c r="AQ50" i="3"/>
  <c r="AE7" i="12" s="1"/>
  <c r="AQ72" i="3"/>
  <c r="AE8" i="15" s="1"/>
  <c r="AQ78" i="3"/>
  <c r="AE7" i="16" s="1"/>
  <c r="AQ64" i="3"/>
  <c r="AE7" i="14" s="1"/>
  <c r="AQ65" i="3"/>
  <c r="AE8" i="14" s="1"/>
  <c r="AQ71" i="3"/>
  <c r="AE7" i="15" s="1"/>
  <c r="AQ79" i="3"/>
  <c r="AE8" i="16" s="1"/>
  <c r="AQ85" i="3"/>
  <c r="AE7" i="17" s="1"/>
  <c r="AQ92" i="3"/>
  <c r="AQ93" i="3"/>
  <c r="AQ22" i="3"/>
  <c r="AE7" i="8" s="1"/>
  <c r="AQ86" i="3"/>
  <c r="AE8" i="17" s="1"/>
  <c r="AQ29" i="3"/>
  <c r="AE7" i="9" s="1"/>
  <c r="AQ15" i="3"/>
  <c r="AE7" i="2" s="1"/>
  <c r="AQ18" i="3"/>
  <c r="AE3" i="8" s="1"/>
  <c r="AQ16" i="3"/>
  <c r="AE8" i="2" s="1"/>
  <c r="AQ87" i="3"/>
  <c r="AQ53" i="3"/>
  <c r="AE3" i="13" s="1"/>
  <c r="AQ91" i="3"/>
  <c r="AQ89" i="3"/>
  <c r="AQ90" i="3"/>
  <c r="AQ88" i="3"/>
  <c r="AQ42" i="3"/>
  <c r="AE6" i="11" s="1"/>
  <c r="AQ76" i="3"/>
  <c r="AE5" i="16" s="1"/>
  <c r="AQ82" i="3"/>
  <c r="AE4" i="17" s="1"/>
  <c r="AQ61" i="3"/>
  <c r="AE4" i="14" s="1"/>
  <c r="AQ52" i="3"/>
  <c r="AE2" i="13" s="1"/>
  <c r="AQ75" i="3"/>
  <c r="AE4" i="16" s="1"/>
  <c r="AQ62" i="3"/>
  <c r="AE5" i="14" s="1"/>
  <c r="AQ41" i="3"/>
  <c r="AE5" i="11" s="1"/>
  <c r="AQ70" i="3"/>
  <c r="AE6" i="15" s="1"/>
  <c r="AQ46" i="3"/>
  <c r="AE3" i="12" s="1"/>
  <c r="AQ66" i="3"/>
  <c r="AE2" i="15" s="1"/>
  <c r="AQ67" i="3"/>
  <c r="AE3" i="15" s="1"/>
  <c r="AQ45" i="3"/>
  <c r="AE2" i="12" s="1"/>
  <c r="AQ19" i="3"/>
  <c r="AE4" i="8" s="1"/>
  <c r="AQ77" i="3"/>
  <c r="AE6" i="16" s="1"/>
  <c r="AQ56" i="3"/>
  <c r="AE6" i="13" s="1"/>
  <c r="AQ38" i="3"/>
  <c r="AE2" i="11" s="1"/>
  <c r="AQ74" i="3"/>
  <c r="AE3" i="16" s="1"/>
  <c r="AQ73" i="3"/>
  <c r="AE2" i="16" s="1"/>
  <c r="AQ59" i="3"/>
  <c r="AE2" i="14" s="1"/>
  <c r="AQ47" i="3"/>
  <c r="AE4" i="12" s="1"/>
  <c r="AQ49" i="3"/>
  <c r="AE6" i="12" s="1"/>
  <c r="AQ40" i="3"/>
  <c r="AE4" i="11" s="1"/>
  <c r="AQ69" i="3"/>
  <c r="AE5" i="15" s="1"/>
  <c r="AQ68" i="3"/>
  <c r="AE4" i="15" s="1"/>
  <c r="AQ34" i="3"/>
  <c r="AE5" i="10" s="1"/>
  <c r="AQ60" i="3"/>
  <c r="AE3" i="14" s="1"/>
  <c r="AQ55" i="3"/>
  <c r="AE5" i="13" s="1"/>
  <c r="AQ27" i="3"/>
  <c r="AE5" i="9" s="1"/>
  <c r="AQ48" i="3"/>
  <c r="AE5" i="12" s="1"/>
  <c r="AQ39" i="3"/>
  <c r="AE3" i="11" s="1"/>
  <c r="AQ63" i="3"/>
  <c r="AE6" i="14" s="1"/>
  <c r="AQ54" i="3"/>
  <c r="AE4" i="13" s="1"/>
  <c r="AQ20" i="3"/>
  <c r="AE5" i="8" s="1"/>
  <c r="AQ84" i="3"/>
  <c r="AE6" i="17" s="1"/>
  <c r="AQ81" i="3"/>
  <c r="AE3" i="17" s="1"/>
  <c r="AQ33" i="3"/>
  <c r="AE4" i="10" s="1"/>
  <c r="AQ26" i="3"/>
  <c r="AE4" i="9" s="1"/>
  <c r="AQ83" i="3"/>
  <c r="AE5" i="17" s="1"/>
  <c r="AQ35" i="3"/>
  <c r="AE6" i="10" s="1"/>
  <c r="AQ28" i="3"/>
  <c r="AE6" i="9" s="1"/>
  <c r="AQ32" i="3"/>
  <c r="AE3" i="10" s="1"/>
  <c r="AQ25" i="3"/>
  <c r="AE3" i="9" s="1"/>
  <c r="AQ21" i="3"/>
  <c r="AE6" i="8" s="1"/>
  <c r="AR9" i="3"/>
  <c r="AE1" i="17"/>
  <c r="AE1" i="15"/>
  <c r="AE1" i="13"/>
  <c r="AE1" i="11"/>
  <c r="AE1" i="9"/>
  <c r="AE1" i="14"/>
  <c r="AE1" i="12"/>
  <c r="AE1" i="2"/>
  <c r="AE1" i="18"/>
  <c r="AE1" i="10"/>
  <c r="AE1" i="16"/>
  <c r="AE1" i="8"/>
  <c r="AQ12" i="3"/>
  <c r="AE4" i="2" s="1"/>
  <c r="AQ13" i="3"/>
  <c r="AE5" i="2" s="1"/>
  <c r="AQ14" i="3"/>
  <c r="AE6" i="2" s="1"/>
  <c r="AQ11" i="3"/>
  <c r="AE3" i="2" s="1"/>
  <c r="AR24" i="3" l="1"/>
  <c r="AF2" i="9" s="1"/>
  <c r="AR80" i="3"/>
  <c r="AF2" i="17" s="1"/>
  <c r="AR36" i="3"/>
  <c r="AF7" i="10" s="1"/>
  <c r="AR44" i="3"/>
  <c r="AF8" i="11" s="1"/>
  <c r="AR50" i="3"/>
  <c r="AF7" i="12" s="1"/>
  <c r="AR58" i="3"/>
  <c r="AF8" i="13" s="1"/>
  <c r="AR64" i="3"/>
  <c r="AF7" i="14" s="1"/>
  <c r="AR29" i="3"/>
  <c r="AF7" i="9" s="1"/>
  <c r="AR43" i="3"/>
  <c r="AF7" i="11" s="1"/>
  <c r="AR51" i="3"/>
  <c r="AF8" i="12" s="1"/>
  <c r="AR57" i="3"/>
  <c r="AF7" i="13" s="1"/>
  <c r="AR65" i="3"/>
  <c r="AF8" i="14" s="1"/>
  <c r="AR71" i="3"/>
  <c r="AF7" i="15" s="1"/>
  <c r="AR79" i="3"/>
  <c r="AF8" i="16" s="1"/>
  <c r="AR85" i="3"/>
  <c r="AF7" i="17" s="1"/>
  <c r="AR72" i="3"/>
  <c r="AF8" i="15" s="1"/>
  <c r="AR78" i="3"/>
  <c r="AF7" i="16" s="1"/>
  <c r="AR92" i="3"/>
  <c r="AR93" i="3"/>
  <c r="AR22" i="3"/>
  <c r="AF7" i="8" s="1"/>
  <c r="AR86" i="3"/>
  <c r="AF8" i="17" s="1"/>
  <c r="AR15" i="3"/>
  <c r="AF7" i="2" s="1"/>
  <c r="AR18" i="3"/>
  <c r="AF3" i="8" s="1"/>
  <c r="AR16" i="3"/>
  <c r="AF8" i="2" s="1"/>
  <c r="AR90" i="3"/>
  <c r="AR88" i="3"/>
  <c r="AR42" i="3"/>
  <c r="AF6" i="11" s="1"/>
  <c r="AR53" i="3"/>
  <c r="AF3" i="13" s="1"/>
  <c r="AR91" i="3"/>
  <c r="AR89" i="3"/>
  <c r="AR87" i="3"/>
  <c r="AR82" i="3"/>
  <c r="AF4" i="17" s="1"/>
  <c r="AR75" i="3"/>
  <c r="AF4" i="16" s="1"/>
  <c r="AR70" i="3"/>
  <c r="AF6" i="15" s="1"/>
  <c r="AR66" i="3"/>
  <c r="AF2" i="15" s="1"/>
  <c r="AR52" i="3"/>
  <c r="AF2" i="13" s="1"/>
  <c r="AR76" i="3"/>
  <c r="AF5" i="16" s="1"/>
  <c r="AR61" i="3"/>
  <c r="AF4" i="14" s="1"/>
  <c r="AR62" i="3"/>
  <c r="AF5" i="14" s="1"/>
  <c r="AR46" i="3"/>
  <c r="AF3" i="12" s="1"/>
  <c r="AR41" i="3"/>
  <c r="AF5" i="11" s="1"/>
  <c r="AR34" i="3"/>
  <c r="AF5" i="10" s="1"/>
  <c r="AR74" i="3"/>
  <c r="AF3" i="16" s="1"/>
  <c r="AR55" i="3"/>
  <c r="AF5" i="13" s="1"/>
  <c r="AR39" i="3"/>
  <c r="AF3" i="11" s="1"/>
  <c r="AR63" i="3"/>
  <c r="AF6" i="14" s="1"/>
  <c r="AR56" i="3"/>
  <c r="AF6" i="13" s="1"/>
  <c r="AR47" i="3"/>
  <c r="AF4" i="12" s="1"/>
  <c r="AR69" i="3"/>
  <c r="AF5" i="15" s="1"/>
  <c r="AR59" i="3"/>
  <c r="AF2" i="14" s="1"/>
  <c r="AR38" i="3"/>
  <c r="AF2" i="11" s="1"/>
  <c r="AR49" i="3"/>
  <c r="AF6" i="12" s="1"/>
  <c r="AR45" i="3"/>
  <c r="AF2" i="12" s="1"/>
  <c r="AR40" i="3"/>
  <c r="AF4" i="11" s="1"/>
  <c r="AR27" i="3"/>
  <c r="AF5" i="9" s="1"/>
  <c r="AR19" i="3"/>
  <c r="AF4" i="8" s="1"/>
  <c r="AR48" i="3"/>
  <c r="AF5" i="12" s="1"/>
  <c r="AR77" i="3"/>
  <c r="AF6" i="16" s="1"/>
  <c r="AR73" i="3"/>
  <c r="AF2" i="16" s="1"/>
  <c r="AR67" i="3"/>
  <c r="AF3" i="15" s="1"/>
  <c r="AR60" i="3"/>
  <c r="AF3" i="14" s="1"/>
  <c r="AR68" i="3"/>
  <c r="AF4" i="15" s="1"/>
  <c r="AR54" i="3"/>
  <c r="AF4" i="13" s="1"/>
  <c r="AR20" i="3"/>
  <c r="AF5" i="8" s="1"/>
  <c r="AR84" i="3"/>
  <c r="AF6" i="17" s="1"/>
  <c r="AR81" i="3"/>
  <c r="AF3" i="17" s="1"/>
  <c r="AR26" i="3"/>
  <c r="AF4" i="9" s="1"/>
  <c r="AR33" i="3"/>
  <c r="AF4" i="10" s="1"/>
  <c r="AR83" i="3"/>
  <c r="AF5" i="17" s="1"/>
  <c r="AR35" i="3"/>
  <c r="AF6" i="10" s="1"/>
  <c r="AR28" i="3"/>
  <c r="AF6" i="9" s="1"/>
  <c r="AR25" i="3"/>
  <c r="AF3" i="9" s="1"/>
  <c r="AR21" i="3"/>
  <c r="AF6" i="8" s="1"/>
  <c r="AR32" i="3"/>
  <c r="AF3" i="10" s="1"/>
  <c r="AS9" i="3"/>
  <c r="AF1" i="18"/>
  <c r="AF1" i="16"/>
  <c r="AF1" i="14"/>
  <c r="AF1" i="12"/>
  <c r="AF1" i="10"/>
  <c r="AF1" i="17"/>
  <c r="AF1" i="15"/>
  <c r="AF1" i="13"/>
  <c r="AF1" i="11"/>
  <c r="AF1" i="8"/>
  <c r="AF1" i="2"/>
  <c r="AF1" i="9"/>
  <c r="AR12" i="3"/>
  <c r="AF4" i="2" s="1"/>
  <c r="AR13" i="3"/>
  <c r="AF5" i="2" s="1"/>
  <c r="AR14" i="3"/>
  <c r="AF6" i="2" s="1"/>
  <c r="AR11" i="3"/>
  <c r="AF3" i="2" s="1"/>
  <c r="AT9" i="3" l="1"/>
  <c r="AU9" i="3" s="1"/>
  <c r="AV9" i="3" s="1"/>
  <c r="AW9" i="3" s="1"/>
  <c r="AX9" i="3" s="1"/>
  <c r="AY9" i="3" s="1"/>
  <c r="AZ9" i="3" s="1"/>
  <c r="BA9" i="3" s="1"/>
  <c r="BB9" i="3" s="1"/>
  <c r="BC9" i="3" s="1"/>
  <c r="AS24" i="3"/>
  <c r="AS80" i="3"/>
  <c r="AT80" i="3" s="1"/>
  <c r="AS36" i="3"/>
  <c r="AG7" i="10" s="1"/>
  <c r="AS57" i="3"/>
  <c r="AS44" i="3"/>
  <c r="AS50" i="3"/>
  <c r="AS58" i="3"/>
  <c r="AS43" i="3"/>
  <c r="AS51" i="3"/>
  <c r="AS64" i="3"/>
  <c r="AS65" i="3"/>
  <c r="AS71" i="3"/>
  <c r="AS79" i="3"/>
  <c r="AS72" i="3"/>
  <c r="AS78" i="3"/>
  <c r="AS93" i="3"/>
  <c r="AT93" i="3" s="1"/>
  <c r="AU93" i="3" s="1"/>
  <c r="AV93" i="3" s="1"/>
  <c r="AW93" i="3" s="1"/>
  <c r="AX93" i="3" s="1"/>
  <c r="AY93" i="3" s="1"/>
  <c r="AZ93" i="3" s="1"/>
  <c r="BA93" i="3" s="1"/>
  <c r="BB93" i="3" s="1"/>
  <c r="BC93" i="3" s="1"/>
  <c r="AS85" i="3"/>
  <c r="AS92" i="3"/>
  <c r="AT92" i="3" s="1"/>
  <c r="AU92" i="3" s="1"/>
  <c r="AV92" i="3" s="1"/>
  <c r="AW92" i="3" s="1"/>
  <c r="AX92" i="3" s="1"/>
  <c r="AY92" i="3" s="1"/>
  <c r="AZ92" i="3" s="1"/>
  <c r="BA92" i="3" s="1"/>
  <c r="BB92" i="3" s="1"/>
  <c r="BC92" i="3" s="1"/>
  <c r="AS29" i="3"/>
  <c r="AG7" i="9" s="1"/>
  <c r="AS22" i="3"/>
  <c r="AG7" i="8" s="1"/>
  <c r="AS86" i="3"/>
  <c r="AS15" i="3"/>
  <c r="AG7" i="2" s="1"/>
  <c r="AS18" i="3"/>
  <c r="AG3" i="8" s="1"/>
  <c r="AS16" i="3"/>
  <c r="AG8" i="2" s="1"/>
  <c r="AS90" i="3"/>
  <c r="AT90" i="3" s="1"/>
  <c r="AU90" i="3" s="1"/>
  <c r="AV90" i="3" s="1"/>
  <c r="AW90" i="3" s="1"/>
  <c r="AX90" i="3" s="1"/>
  <c r="AY90" i="3" s="1"/>
  <c r="AZ90" i="3" s="1"/>
  <c r="BA90" i="3" s="1"/>
  <c r="BB90" i="3" s="1"/>
  <c r="BC90" i="3" s="1"/>
  <c r="AS87" i="3"/>
  <c r="AT87" i="3" s="1"/>
  <c r="AU87" i="3" s="1"/>
  <c r="AV87" i="3" s="1"/>
  <c r="AW87" i="3" s="1"/>
  <c r="AX87" i="3" s="1"/>
  <c r="AY87" i="3" s="1"/>
  <c r="AZ87" i="3" s="1"/>
  <c r="BA87" i="3" s="1"/>
  <c r="BB87" i="3" s="1"/>
  <c r="BC87" i="3" s="1"/>
  <c r="AS42" i="3"/>
  <c r="AS91" i="3"/>
  <c r="AT91" i="3" s="1"/>
  <c r="AU91" i="3" s="1"/>
  <c r="AV91" i="3" s="1"/>
  <c r="AW91" i="3" s="1"/>
  <c r="AX91" i="3" s="1"/>
  <c r="AY91" i="3" s="1"/>
  <c r="AZ91" i="3" s="1"/>
  <c r="BA91" i="3" s="1"/>
  <c r="BB91" i="3" s="1"/>
  <c r="BC91" i="3" s="1"/>
  <c r="AS53" i="3"/>
  <c r="AS89" i="3"/>
  <c r="AT89" i="3" s="1"/>
  <c r="AU89" i="3" s="1"/>
  <c r="AV89" i="3" s="1"/>
  <c r="AW89" i="3" s="1"/>
  <c r="AX89" i="3" s="1"/>
  <c r="AY89" i="3" s="1"/>
  <c r="AZ89" i="3" s="1"/>
  <c r="BA89" i="3" s="1"/>
  <c r="BB89" i="3" s="1"/>
  <c r="BC89" i="3" s="1"/>
  <c r="AS88" i="3"/>
  <c r="AT88" i="3" s="1"/>
  <c r="AU88" i="3" s="1"/>
  <c r="AV88" i="3" s="1"/>
  <c r="AW88" i="3" s="1"/>
  <c r="AX88" i="3" s="1"/>
  <c r="AY88" i="3" s="1"/>
  <c r="AZ88" i="3" s="1"/>
  <c r="BA88" i="3" s="1"/>
  <c r="BB88" i="3" s="1"/>
  <c r="BC88" i="3" s="1"/>
  <c r="AS52" i="3"/>
  <c r="AS75" i="3"/>
  <c r="AS70" i="3"/>
  <c r="AS76" i="3"/>
  <c r="AS66" i="3"/>
  <c r="AS41" i="3"/>
  <c r="AS62" i="3"/>
  <c r="AS46" i="3"/>
  <c r="AS82" i="3"/>
  <c r="AS56" i="3"/>
  <c r="AS67" i="3"/>
  <c r="AS60" i="3"/>
  <c r="AS39" i="3"/>
  <c r="AS77" i="3"/>
  <c r="AS68" i="3"/>
  <c r="AS34" i="3"/>
  <c r="AG5" i="10" s="1"/>
  <c r="AS49" i="3"/>
  <c r="AS74" i="3"/>
  <c r="AS55" i="3"/>
  <c r="AS48" i="3"/>
  <c r="AS63" i="3"/>
  <c r="AS61" i="3"/>
  <c r="AS47" i="3"/>
  <c r="AS40" i="3"/>
  <c r="AS69" i="3"/>
  <c r="AS73" i="3"/>
  <c r="AS59" i="3"/>
  <c r="AS38" i="3"/>
  <c r="AS45" i="3"/>
  <c r="AS27" i="3"/>
  <c r="AG5" i="9" s="1"/>
  <c r="AS19" i="3"/>
  <c r="AG4" i="8" s="1"/>
  <c r="AS54" i="3"/>
  <c r="AS20" i="3"/>
  <c r="AG5" i="8" s="1"/>
  <c r="AS81" i="3"/>
  <c r="AS33" i="3"/>
  <c r="AG4" i="10" s="1"/>
  <c r="AS84" i="3"/>
  <c r="AS26" i="3"/>
  <c r="AG4" i="9" s="1"/>
  <c r="AS83" i="3"/>
  <c r="AS35" i="3"/>
  <c r="AG6" i="10" s="1"/>
  <c r="AS32" i="3"/>
  <c r="AG3" i="10" s="1"/>
  <c r="AS25" i="3"/>
  <c r="AG3" i="9" s="1"/>
  <c r="AS28" i="3"/>
  <c r="AG6" i="9" s="1"/>
  <c r="AS21" i="3"/>
  <c r="AG6" i="8" s="1"/>
  <c r="AG1" i="18"/>
  <c r="AG1" i="16"/>
  <c r="AG1" i="14"/>
  <c r="AG1" i="12"/>
  <c r="AG1" i="10"/>
  <c r="AG1" i="15"/>
  <c r="AG1" i="9"/>
  <c r="AG1" i="13"/>
  <c r="AG1" i="8"/>
  <c r="AG1" i="11"/>
  <c r="AG1" i="17"/>
  <c r="AG1" i="2"/>
  <c r="AS12" i="3"/>
  <c r="AG4" i="2" s="1"/>
  <c r="AS13" i="3"/>
  <c r="AG5" i="2" s="1"/>
  <c r="AS14" i="3"/>
  <c r="AG6" i="2" s="1"/>
  <c r="AS11" i="3"/>
  <c r="AG3" i="2" s="1"/>
  <c r="AT24" i="3" l="1"/>
  <c r="AH2" i="9" s="1"/>
  <c r="AG2" i="9"/>
  <c r="AG2" i="17"/>
  <c r="AG4" i="16"/>
  <c r="AT75" i="3"/>
  <c r="AT29" i="3"/>
  <c r="AH7" i="9" s="1"/>
  <c r="AG8" i="14"/>
  <c r="AT65" i="3"/>
  <c r="AT32" i="3"/>
  <c r="AH3" i="10" s="1"/>
  <c r="AT20" i="3"/>
  <c r="AH5" i="8" s="1"/>
  <c r="AG5" i="15"/>
  <c r="AT69" i="3"/>
  <c r="AG6" i="12"/>
  <c r="AT49" i="3"/>
  <c r="AG4" i="17"/>
  <c r="AT82" i="3"/>
  <c r="AG2" i="13"/>
  <c r="AT52" i="3"/>
  <c r="AG7" i="14"/>
  <c r="AT64" i="3"/>
  <c r="AT36" i="3"/>
  <c r="AH7" i="10" s="1"/>
  <c r="AG3" i="16"/>
  <c r="AT74" i="3"/>
  <c r="AT11" i="3"/>
  <c r="AH3" i="2" s="1"/>
  <c r="AT19" i="3"/>
  <c r="AH4" i="8" s="1"/>
  <c r="AG4" i="12"/>
  <c r="AT47" i="3"/>
  <c r="AG4" i="15"/>
  <c r="AT68" i="3"/>
  <c r="AG5" i="14"/>
  <c r="AT62" i="3"/>
  <c r="AT18" i="3"/>
  <c r="AH3" i="8" s="1"/>
  <c r="AG7" i="11"/>
  <c r="AT43" i="3"/>
  <c r="AG6" i="13"/>
  <c r="AT56" i="3"/>
  <c r="AT34" i="3"/>
  <c r="AH5" i="10" s="1"/>
  <c r="AT16" i="3"/>
  <c r="AH8" i="2" s="1"/>
  <c r="AT14" i="3"/>
  <c r="AH6" i="2" s="1"/>
  <c r="AG5" i="17"/>
  <c r="AT83" i="3"/>
  <c r="AT27" i="3"/>
  <c r="AH5" i="9" s="1"/>
  <c r="AG4" i="14"/>
  <c r="AT61" i="3"/>
  <c r="AG6" i="16"/>
  <c r="AT77" i="3"/>
  <c r="AG5" i="11"/>
  <c r="AT41" i="3"/>
  <c r="AG3" i="13"/>
  <c r="AT53" i="3"/>
  <c r="AT15" i="3"/>
  <c r="AH7" i="2" s="1"/>
  <c r="AG7" i="16"/>
  <c r="AT78" i="3"/>
  <c r="AG8" i="13"/>
  <c r="AT58" i="3"/>
  <c r="AG2" i="16"/>
  <c r="AT73" i="3"/>
  <c r="AG4" i="11"/>
  <c r="AT40" i="3"/>
  <c r="AG7" i="17"/>
  <c r="AT85" i="3"/>
  <c r="AT13" i="3"/>
  <c r="AH5" i="2" s="1"/>
  <c r="AT26" i="3"/>
  <c r="AH4" i="9" s="1"/>
  <c r="AG2" i="12"/>
  <c r="AT45" i="3"/>
  <c r="AG6" i="14"/>
  <c r="AT63" i="3"/>
  <c r="AG3" i="11"/>
  <c r="AT39" i="3"/>
  <c r="AG2" i="15"/>
  <c r="AT66" i="3"/>
  <c r="AG8" i="17"/>
  <c r="AT86" i="3"/>
  <c r="AG8" i="15"/>
  <c r="AT72" i="3"/>
  <c r="AG7" i="12"/>
  <c r="AT50" i="3"/>
  <c r="AH2" i="17"/>
  <c r="AU80" i="3"/>
  <c r="AG3" i="12"/>
  <c r="AT46" i="3"/>
  <c r="AT35" i="3"/>
  <c r="AH6" i="10" s="1"/>
  <c r="AT21" i="3"/>
  <c r="AH6" i="8" s="1"/>
  <c r="AT12" i="3"/>
  <c r="AH4" i="2" s="1"/>
  <c r="AT28" i="3"/>
  <c r="AH6" i="9" s="1"/>
  <c r="AG6" i="17"/>
  <c r="AT84" i="3"/>
  <c r="AG2" i="11"/>
  <c r="AT38" i="3"/>
  <c r="AG5" i="12"/>
  <c r="AT48" i="3"/>
  <c r="AG3" i="14"/>
  <c r="AT60" i="3"/>
  <c r="AG5" i="16"/>
  <c r="AT76" i="3"/>
  <c r="AG6" i="11"/>
  <c r="AT42" i="3"/>
  <c r="AG8" i="16"/>
  <c r="AT79" i="3"/>
  <c r="AG8" i="11"/>
  <c r="AT44" i="3"/>
  <c r="AU24" i="3"/>
  <c r="AI2" i="9" s="1"/>
  <c r="AG3" i="17"/>
  <c r="AT81" i="3"/>
  <c r="AG4" i="13"/>
  <c r="AT54" i="3"/>
  <c r="AG8" i="12"/>
  <c r="AT51" i="3"/>
  <c r="AT25" i="3"/>
  <c r="AH3" i="9" s="1"/>
  <c r="AT33" i="3"/>
  <c r="AH4" i="10" s="1"/>
  <c r="AG2" i="14"/>
  <c r="AT59" i="3"/>
  <c r="AG5" i="13"/>
  <c r="AT55" i="3"/>
  <c r="AG3" i="15"/>
  <c r="AT67" i="3"/>
  <c r="AG6" i="15"/>
  <c r="AT70" i="3"/>
  <c r="AT22" i="3"/>
  <c r="AH7" i="8" s="1"/>
  <c r="AG7" i="15"/>
  <c r="AT71" i="3"/>
  <c r="AG7" i="13"/>
  <c r="AT57" i="3"/>
  <c r="AH7" i="14" l="1"/>
  <c r="AU64" i="3"/>
  <c r="AH6" i="12"/>
  <c r="AU49" i="3"/>
  <c r="AU22" i="3"/>
  <c r="AI7" i="8" s="1"/>
  <c r="AU59" i="3"/>
  <c r="AH2" i="14"/>
  <c r="AU54" i="3"/>
  <c r="AH4" i="13"/>
  <c r="AH8" i="16"/>
  <c r="AU79" i="3"/>
  <c r="AU60" i="3"/>
  <c r="AH3" i="14"/>
  <c r="AU28" i="3"/>
  <c r="AI6" i="9" s="1"/>
  <c r="AH8" i="15"/>
  <c r="AU72" i="3"/>
  <c r="AH6" i="14"/>
  <c r="AU63" i="3"/>
  <c r="AH7" i="17"/>
  <c r="AU85" i="3"/>
  <c r="AH8" i="13"/>
  <c r="AU58" i="3"/>
  <c r="AH5" i="11"/>
  <c r="AU41" i="3"/>
  <c r="AH5" i="17"/>
  <c r="AU83" i="3"/>
  <c r="AU56" i="3"/>
  <c r="AH6" i="13"/>
  <c r="AH5" i="14"/>
  <c r="AU62" i="3"/>
  <c r="AH8" i="14"/>
  <c r="AU65" i="3"/>
  <c r="AU70" i="3"/>
  <c r="AH6" i="15"/>
  <c r="AU33" i="3"/>
  <c r="AI4" i="10" s="1"/>
  <c r="AH3" i="17"/>
  <c r="AU81" i="3"/>
  <c r="AU48" i="3"/>
  <c r="AH5" i="12"/>
  <c r="AU12" i="3"/>
  <c r="AI4" i="2" s="1"/>
  <c r="AU46" i="3"/>
  <c r="AH3" i="12"/>
  <c r="AU86" i="3"/>
  <c r="AH8" i="17"/>
  <c r="AH2" i="12"/>
  <c r="AU45" i="3"/>
  <c r="AH4" i="11"/>
  <c r="AU40" i="3"/>
  <c r="AU78" i="3"/>
  <c r="AH7" i="16"/>
  <c r="AH6" i="16"/>
  <c r="AU77" i="3"/>
  <c r="AU14" i="3"/>
  <c r="AI6" i="2" s="1"/>
  <c r="AU68" i="3"/>
  <c r="AH4" i="15"/>
  <c r="AH5" i="15"/>
  <c r="AU69" i="3"/>
  <c r="AU74" i="3"/>
  <c r="AH3" i="16"/>
  <c r="AU52" i="3"/>
  <c r="AH2" i="13"/>
  <c r="AU20" i="3"/>
  <c r="AI5" i="8" s="1"/>
  <c r="AU29" i="3"/>
  <c r="AI7" i="9" s="1"/>
  <c r="AH7" i="13"/>
  <c r="AU57" i="3"/>
  <c r="AH3" i="15"/>
  <c r="AU67" i="3"/>
  <c r="AU25" i="3"/>
  <c r="AI3" i="9" s="1"/>
  <c r="AU42" i="3"/>
  <c r="AH6" i="11"/>
  <c r="AU38" i="3"/>
  <c r="AH2" i="11"/>
  <c r="AU21" i="3"/>
  <c r="AI6" i="8" s="1"/>
  <c r="AV80" i="3"/>
  <c r="AI2" i="17"/>
  <c r="AU66" i="3"/>
  <c r="AH2" i="15"/>
  <c r="AU26" i="3"/>
  <c r="AI4" i="9" s="1"/>
  <c r="AH2" i="16"/>
  <c r="AU73" i="3"/>
  <c r="AU15" i="3"/>
  <c r="AI7" i="2" s="1"/>
  <c r="AH4" i="14"/>
  <c r="AU61" i="3"/>
  <c r="AU16" i="3"/>
  <c r="AI8" i="2" s="1"/>
  <c r="AU43" i="3"/>
  <c r="AH7" i="11"/>
  <c r="AU47" i="3"/>
  <c r="AH4" i="12"/>
  <c r="AV24" i="3"/>
  <c r="AJ2" i="9" s="1"/>
  <c r="AU36" i="3"/>
  <c r="AI7" i="10" s="1"/>
  <c r="AH4" i="17"/>
  <c r="AU82" i="3"/>
  <c r="AU32" i="3"/>
  <c r="AI3" i="10" s="1"/>
  <c r="AH4" i="16"/>
  <c r="AU75" i="3"/>
  <c r="AU11" i="3"/>
  <c r="AI3" i="2" s="1"/>
  <c r="AH7" i="15"/>
  <c r="AU71" i="3"/>
  <c r="AH5" i="13"/>
  <c r="AU55" i="3"/>
  <c r="AU51" i="3"/>
  <c r="AH8" i="12"/>
  <c r="AH8" i="11"/>
  <c r="AU44" i="3"/>
  <c r="AH5" i="16"/>
  <c r="AU76" i="3"/>
  <c r="AH6" i="17"/>
  <c r="AU84" i="3"/>
  <c r="AU35" i="3"/>
  <c r="AI6" i="10" s="1"/>
  <c r="AH7" i="12"/>
  <c r="AU50" i="3"/>
  <c r="AU39" i="3"/>
  <c r="AH3" i="11"/>
  <c r="AU13" i="3"/>
  <c r="AI5" i="2" s="1"/>
  <c r="AH3" i="13"/>
  <c r="AU53" i="3"/>
  <c r="AU27" i="3"/>
  <c r="AI5" i="9" s="1"/>
  <c r="AU34" i="3"/>
  <c r="AI5" i="10" s="1"/>
  <c r="AU18" i="3"/>
  <c r="AI3" i="8" s="1"/>
  <c r="AU19" i="3"/>
  <c r="AI4" i="8" s="1"/>
  <c r="AI4" i="16" l="1"/>
  <c r="AV75" i="3"/>
  <c r="AV35" i="3"/>
  <c r="AJ6" i="10" s="1"/>
  <c r="AV66" i="3"/>
  <c r="AI2" i="15"/>
  <c r="AV42" i="3"/>
  <c r="AI6" i="11"/>
  <c r="AV52" i="3"/>
  <c r="AI2" i="13"/>
  <c r="AV12" i="3"/>
  <c r="AJ4" i="2" s="1"/>
  <c r="AV56" i="3"/>
  <c r="AI6" i="13"/>
  <c r="AI3" i="14"/>
  <c r="AV60" i="3"/>
  <c r="AV33" i="3"/>
  <c r="AJ4" i="10" s="1"/>
  <c r="AV55" i="3"/>
  <c r="AI5" i="13"/>
  <c r="AV25" i="3"/>
  <c r="AJ3" i="9" s="1"/>
  <c r="AV14" i="3"/>
  <c r="AJ6" i="2" s="1"/>
  <c r="AV45" i="3"/>
  <c r="AI2" i="12"/>
  <c r="AV83" i="3"/>
  <c r="AI5" i="17"/>
  <c r="AV63" i="3"/>
  <c r="AI6" i="14"/>
  <c r="AV79" i="3"/>
  <c r="AI8" i="16"/>
  <c r="AV40" i="3"/>
  <c r="AI4" i="11"/>
  <c r="AI7" i="17"/>
  <c r="AV85" i="3"/>
  <c r="AV84" i="3"/>
  <c r="AI6" i="17"/>
  <c r="AV15" i="3"/>
  <c r="AJ7" i="2" s="1"/>
  <c r="AV32" i="3"/>
  <c r="AJ3" i="10" s="1"/>
  <c r="AW80" i="3"/>
  <c r="AJ2" i="17"/>
  <c r="AV74" i="3"/>
  <c r="AI3" i="16"/>
  <c r="AV48" i="3"/>
  <c r="AI5" i="12"/>
  <c r="AV70" i="3"/>
  <c r="AI6" i="15"/>
  <c r="AV36" i="3"/>
  <c r="AJ7" i="10" s="1"/>
  <c r="AV18" i="3"/>
  <c r="AJ3" i="8" s="1"/>
  <c r="AV61" i="3"/>
  <c r="AI4" i="14"/>
  <c r="AV51" i="3"/>
  <c r="AI8" i="12"/>
  <c r="AV34" i="3"/>
  <c r="AJ5" i="10" s="1"/>
  <c r="AV47" i="3"/>
  <c r="AI4" i="12"/>
  <c r="AV76" i="3"/>
  <c r="AI5" i="16"/>
  <c r="AV82" i="3"/>
  <c r="AI4" i="17"/>
  <c r="AI2" i="16"/>
  <c r="AV73" i="3"/>
  <c r="AV21" i="3"/>
  <c r="AJ6" i="8" s="1"/>
  <c r="AI3" i="15"/>
  <c r="AV67" i="3"/>
  <c r="AV29" i="3"/>
  <c r="AJ7" i="9" s="1"/>
  <c r="AV69" i="3"/>
  <c r="AI5" i="15"/>
  <c r="AI6" i="16"/>
  <c r="AV77" i="3"/>
  <c r="AV65" i="3"/>
  <c r="AI8" i="14"/>
  <c r="AV41" i="3"/>
  <c r="AI5" i="11"/>
  <c r="AV72" i="3"/>
  <c r="AI8" i="15"/>
  <c r="AV49" i="3"/>
  <c r="AI6" i="12"/>
  <c r="AV38" i="3"/>
  <c r="AI2" i="11"/>
  <c r="AV22" i="3"/>
  <c r="AJ7" i="8" s="1"/>
  <c r="AV13" i="3"/>
  <c r="AJ5" i="2" s="1"/>
  <c r="AV39" i="3"/>
  <c r="AI3" i="11"/>
  <c r="AV43" i="3"/>
  <c r="AI7" i="11"/>
  <c r="AV86" i="3"/>
  <c r="AI8" i="17"/>
  <c r="AV54" i="3"/>
  <c r="AI4" i="13"/>
  <c r="AV16" i="3"/>
  <c r="AJ8" i="2" s="1"/>
  <c r="AW24" i="3"/>
  <c r="AK2" i="9" s="1"/>
  <c r="AV27" i="3"/>
  <c r="AJ5" i="9" s="1"/>
  <c r="AI7" i="15"/>
  <c r="AV71" i="3"/>
  <c r="AV19" i="3"/>
  <c r="AJ4" i="8" s="1"/>
  <c r="AV53" i="3"/>
  <c r="AI3" i="13"/>
  <c r="AV50" i="3"/>
  <c r="AI7" i="12"/>
  <c r="AV44" i="3"/>
  <c r="AI8" i="11"/>
  <c r="AV11" i="3"/>
  <c r="AJ3" i="2" s="1"/>
  <c r="AV26" i="3"/>
  <c r="AJ4" i="9" s="1"/>
  <c r="AV57" i="3"/>
  <c r="AI7" i="13"/>
  <c r="AI3" i="17"/>
  <c r="AV81" i="3"/>
  <c r="AV62" i="3"/>
  <c r="AI5" i="14"/>
  <c r="AI8" i="13"/>
  <c r="AV58" i="3"/>
  <c r="AV28" i="3"/>
  <c r="AJ6" i="9" s="1"/>
  <c r="AI7" i="14"/>
  <c r="AV64" i="3"/>
  <c r="AV20" i="3"/>
  <c r="AJ5" i="8" s="1"/>
  <c r="AV68" i="3"/>
  <c r="AI4" i="15"/>
  <c r="AV78" i="3"/>
  <c r="AI7" i="16"/>
  <c r="AV46" i="3"/>
  <c r="AI3" i="12"/>
  <c r="AV59" i="3"/>
  <c r="AI2" i="14"/>
  <c r="AW15" i="3" l="1"/>
  <c r="AK7" i="2" s="1"/>
  <c r="AW46" i="3"/>
  <c r="AJ3" i="12"/>
  <c r="AW44" i="3"/>
  <c r="AJ8" i="11"/>
  <c r="AW54" i="3"/>
  <c r="AJ4" i="13"/>
  <c r="AW39" i="3"/>
  <c r="AJ3" i="11"/>
  <c r="AW38" i="3"/>
  <c r="AJ2" i="11"/>
  <c r="AW65" i="3"/>
  <c r="AJ8" i="14"/>
  <c r="AW76" i="3"/>
  <c r="AJ5" i="16"/>
  <c r="AW61" i="3"/>
  <c r="AJ4" i="14"/>
  <c r="AW48" i="3"/>
  <c r="AJ5" i="12"/>
  <c r="AJ2" i="12"/>
  <c r="AW45" i="3"/>
  <c r="AJ5" i="13"/>
  <c r="AW55" i="3"/>
  <c r="AW56" i="3"/>
  <c r="AJ6" i="13"/>
  <c r="AW42" i="3"/>
  <c r="AJ6" i="11"/>
  <c r="AW64" i="3"/>
  <c r="AJ7" i="14"/>
  <c r="AW77" i="3"/>
  <c r="AJ6" i="16"/>
  <c r="AW28" i="3"/>
  <c r="AK6" i="9" s="1"/>
  <c r="AW50" i="3"/>
  <c r="AJ7" i="12"/>
  <c r="AW27" i="3"/>
  <c r="AK5" i="9" s="1"/>
  <c r="AJ6" i="12"/>
  <c r="AW49" i="3"/>
  <c r="AW47" i="3"/>
  <c r="AJ4" i="12"/>
  <c r="AW18" i="3"/>
  <c r="AK3" i="8" s="1"/>
  <c r="AW74" i="3"/>
  <c r="AJ3" i="16"/>
  <c r="AW84" i="3"/>
  <c r="AJ6" i="17"/>
  <c r="AW79" i="3"/>
  <c r="AJ8" i="16"/>
  <c r="AW14" i="3"/>
  <c r="AK6" i="2" s="1"/>
  <c r="AW33" i="3"/>
  <c r="AK4" i="10" s="1"/>
  <c r="AW12" i="3"/>
  <c r="AK4" i="2" s="1"/>
  <c r="AW66" i="3"/>
  <c r="AJ2" i="15"/>
  <c r="AW13" i="3"/>
  <c r="AK5" i="2" s="1"/>
  <c r="AW73" i="3"/>
  <c r="AJ2" i="16"/>
  <c r="AW85" i="3"/>
  <c r="AJ7" i="17"/>
  <c r="AW81" i="3"/>
  <c r="AJ3" i="17"/>
  <c r="AW67" i="3"/>
  <c r="AJ3" i="15"/>
  <c r="AW78" i="3"/>
  <c r="AJ7" i="16"/>
  <c r="AW26" i="3"/>
  <c r="AK4" i="9" s="1"/>
  <c r="AW53" i="3"/>
  <c r="AJ3" i="13"/>
  <c r="AW86" i="3"/>
  <c r="AJ8" i="17"/>
  <c r="AW72" i="3"/>
  <c r="AJ8" i="15"/>
  <c r="AW69" i="3"/>
  <c r="AJ5" i="15"/>
  <c r="AW34" i="3"/>
  <c r="AK5" i="10" s="1"/>
  <c r="AW36" i="3"/>
  <c r="AK7" i="10" s="1"/>
  <c r="AX80" i="3"/>
  <c r="AK2" i="17"/>
  <c r="AJ6" i="14"/>
  <c r="AW63" i="3"/>
  <c r="AW52" i="3"/>
  <c r="AJ2" i="13"/>
  <c r="AW35" i="3"/>
  <c r="AK6" i="10" s="1"/>
  <c r="AW71" i="3"/>
  <c r="AJ7" i="15"/>
  <c r="AW21" i="3"/>
  <c r="AK6" i="8" s="1"/>
  <c r="AW11" i="3"/>
  <c r="AK3" i="2" s="1"/>
  <c r="AW60" i="3"/>
  <c r="AJ3" i="14"/>
  <c r="AW75" i="3"/>
  <c r="AJ4" i="16"/>
  <c r="AW57" i="3"/>
  <c r="AJ7" i="13"/>
  <c r="AW58" i="3"/>
  <c r="AJ8" i="13"/>
  <c r="AX24" i="3"/>
  <c r="AL2" i="9" s="1"/>
  <c r="AW68" i="3"/>
  <c r="AJ4" i="15"/>
  <c r="AJ2" i="14"/>
  <c r="AW59" i="3"/>
  <c r="AW20" i="3"/>
  <c r="AK5" i="8" s="1"/>
  <c r="AW62" i="3"/>
  <c r="AJ5" i="14"/>
  <c r="AW19" i="3"/>
  <c r="AK4" i="8" s="1"/>
  <c r="AW16" i="3"/>
  <c r="AK8" i="2" s="1"/>
  <c r="AW43" i="3"/>
  <c r="AJ7" i="11"/>
  <c r="AW22" i="3"/>
  <c r="AK7" i="8" s="1"/>
  <c r="AW41" i="3"/>
  <c r="AJ5" i="11"/>
  <c r="AW29" i="3"/>
  <c r="AK7" i="9" s="1"/>
  <c r="AW82" i="3"/>
  <c r="AJ4" i="17"/>
  <c r="AJ8" i="12"/>
  <c r="AW51" i="3"/>
  <c r="AW70" i="3"/>
  <c r="AJ6" i="15"/>
  <c r="AW32" i="3"/>
  <c r="AK3" i="10" s="1"/>
  <c r="AW40" i="3"/>
  <c r="AJ4" i="11"/>
  <c r="AW83" i="3"/>
  <c r="AJ5" i="17"/>
  <c r="AW25" i="3"/>
  <c r="AK3" i="9" s="1"/>
  <c r="AX63" i="3" l="1"/>
  <c r="AK6" i="14"/>
  <c r="AX25" i="3"/>
  <c r="AL3" i="9" s="1"/>
  <c r="AX70" i="3"/>
  <c r="AK6" i="15"/>
  <c r="AK5" i="11"/>
  <c r="AX41" i="3"/>
  <c r="AX68" i="3"/>
  <c r="AK4" i="15"/>
  <c r="AX75" i="3"/>
  <c r="AK4" i="16"/>
  <c r="AX71" i="3"/>
  <c r="AK7" i="15"/>
  <c r="AX69" i="3"/>
  <c r="AK5" i="15"/>
  <c r="AX53" i="3"/>
  <c r="AK3" i="13"/>
  <c r="AK3" i="17"/>
  <c r="AX81" i="3"/>
  <c r="AX14" i="3"/>
  <c r="AL6" i="2" s="1"/>
  <c r="AX18" i="3"/>
  <c r="AL3" i="8" s="1"/>
  <c r="AX64" i="3"/>
  <c r="AK7" i="14"/>
  <c r="AX76" i="3"/>
  <c r="AK5" i="16"/>
  <c r="AX54" i="3"/>
  <c r="AK4" i="13"/>
  <c r="AX27" i="3"/>
  <c r="AL5" i="9" s="1"/>
  <c r="AK8" i="12"/>
  <c r="AX51" i="3"/>
  <c r="AX83" i="3"/>
  <c r="AK5" i="17"/>
  <c r="AX62" i="3"/>
  <c r="AK5" i="14"/>
  <c r="AY24" i="3"/>
  <c r="AM2" i="9" s="1"/>
  <c r="AX60" i="3"/>
  <c r="AK3" i="14"/>
  <c r="AL2" i="17"/>
  <c r="AY80" i="3"/>
  <c r="AX72" i="3"/>
  <c r="AK8" i="15"/>
  <c r="AX26" i="3"/>
  <c r="AL4" i="9" s="1"/>
  <c r="AX66" i="3"/>
  <c r="AK2" i="15"/>
  <c r="AX79" i="3"/>
  <c r="AK8" i="16"/>
  <c r="AK4" i="12"/>
  <c r="AX47" i="3"/>
  <c r="AX50" i="3"/>
  <c r="AK7" i="12"/>
  <c r="AX42" i="3"/>
  <c r="AK6" i="11"/>
  <c r="AX65" i="3"/>
  <c r="AK8" i="14"/>
  <c r="AX44" i="3"/>
  <c r="AK8" i="11"/>
  <c r="AX13" i="3"/>
  <c r="AL5" i="2" s="1"/>
  <c r="AK2" i="12"/>
  <c r="AX45" i="3"/>
  <c r="AX22" i="3"/>
  <c r="AL7" i="8" s="1"/>
  <c r="AK6" i="12"/>
  <c r="AX49" i="3"/>
  <c r="AX35" i="3"/>
  <c r="AL6" i="10" s="1"/>
  <c r="AX40" i="3"/>
  <c r="AK4" i="11"/>
  <c r="AX82" i="3"/>
  <c r="AK4" i="17"/>
  <c r="AK7" i="11"/>
  <c r="AX43" i="3"/>
  <c r="AX20" i="3"/>
  <c r="AL5" i="8" s="1"/>
  <c r="AX58" i="3"/>
  <c r="AK8" i="13"/>
  <c r="AX11" i="3"/>
  <c r="AL3" i="2" s="1"/>
  <c r="AX52" i="3"/>
  <c r="AK2" i="13"/>
  <c r="AX36" i="3"/>
  <c r="AL7" i="10" s="1"/>
  <c r="AX78" i="3"/>
  <c r="AK7" i="16"/>
  <c r="AX85" i="3"/>
  <c r="AK7" i="17"/>
  <c r="AX12" i="3"/>
  <c r="AL4" i="2" s="1"/>
  <c r="AX84" i="3"/>
  <c r="AK6" i="17"/>
  <c r="AX28" i="3"/>
  <c r="AL6" i="9" s="1"/>
  <c r="AX56" i="3"/>
  <c r="AK6" i="13"/>
  <c r="AX48" i="3"/>
  <c r="AK5" i="12"/>
  <c r="AX38" i="3"/>
  <c r="AK2" i="11"/>
  <c r="AX46" i="3"/>
  <c r="AK3" i="12"/>
  <c r="AX19" i="3"/>
  <c r="AL4" i="8" s="1"/>
  <c r="AX29" i="3"/>
  <c r="AL7" i="9" s="1"/>
  <c r="AX59" i="3"/>
  <c r="AK2" i="14"/>
  <c r="AX21" i="3"/>
  <c r="AL6" i="8" s="1"/>
  <c r="AX33" i="3"/>
  <c r="AL4" i="10" s="1"/>
  <c r="AK5" i="13"/>
  <c r="AX55" i="3"/>
  <c r="AX15" i="3"/>
  <c r="AL7" i="2" s="1"/>
  <c r="AX32" i="3"/>
  <c r="AL3" i="10" s="1"/>
  <c r="AX16" i="3"/>
  <c r="AL8" i="2" s="1"/>
  <c r="AX57" i="3"/>
  <c r="AK7" i="13"/>
  <c r="AX34" i="3"/>
  <c r="AL5" i="10" s="1"/>
  <c r="AX86" i="3"/>
  <c r="AK8" i="17"/>
  <c r="AX67" i="3"/>
  <c r="AK3" i="15"/>
  <c r="AX73" i="3"/>
  <c r="AK2" i="16"/>
  <c r="AX74" i="3"/>
  <c r="AK3" i="16"/>
  <c r="AK6" i="16"/>
  <c r="AX77" i="3"/>
  <c r="AX61" i="3"/>
  <c r="AK4" i="14"/>
  <c r="AK3" i="11"/>
  <c r="AX39" i="3"/>
  <c r="AY47" i="3" l="1"/>
  <c r="AL4" i="12"/>
  <c r="AY41" i="3"/>
  <c r="AL5" i="11"/>
  <c r="AY61" i="3"/>
  <c r="AL4" i="14"/>
  <c r="AY73" i="3"/>
  <c r="AL2" i="16"/>
  <c r="AY15" i="3"/>
  <c r="AM7" i="2" s="1"/>
  <c r="AY59" i="3"/>
  <c r="AL2" i="14"/>
  <c r="AY46" i="3"/>
  <c r="AL3" i="12"/>
  <c r="AY28" i="3"/>
  <c r="AM6" i="9" s="1"/>
  <c r="AY78" i="3"/>
  <c r="AL7" i="16"/>
  <c r="AY58" i="3"/>
  <c r="AL8" i="13"/>
  <c r="AY40" i="3"/>
  <c r="AL4" i="11"/>
  <c r="AY22" i="3"/>
  <c r="AM7" i="8" s="1"/>
  <c r="AY44" i="3"/>
  <c r="AL8" i="11"/>
  <c r="AY26" i="3"/>
  <c r="AM4" i="9" s="1"/>
  <c r="AZ24" i="3"/>
  <c r="AN2" i="9" s="1"/>
  <c r="AY27" i="3"/>
  <c r="AM5" i="9" s="1"/>
  <c r="AY18" i="3"/>
  <c r="AM3" i="8" s="1"/>
  <c r="AL5" i="15"/>
  <c r="AY69" i="3"/>
  <c r="AY55" i="3"/>
  <c r="AL5" i="13"/>
  <c r="AY38" i="3"/>
  <c r="AL2" i="11"/>
  <c r="AY84" i="3"/>
  <c r="AL6" i="17"/>
  <c r="AY36" i="3"/>
  <c r="AM7" i="10" s="1"/>
  <c r="AY20" i="3"/>
  <c r="AM5" i="8" s="1"/>
  <c r="AY65" i="3"/>
  <c r="AL8" i="14"/>
  <c r="AY79" i="3"/>
  <c r="AL8" i="16"/>
  <c r="AY72" i="3"/>
  <c r="AL8" i="15"/>
  <c r="AY62" i="3"/>
  <c r="AL5" i="14"/>
  <c r="AY54" i="3"/>
  <c r="AL4" i="13"/>
  <c r="AY14" i="3"/>
  <c r="AM6" i="2" s="1"/>
  <c r="AY71" i="3"/>
  <c r="AL7" i="15"/>
  <c r="AY70" i="3"/>
  <c r="AL6" i="15"/>
  <c r="AY77" i="3"/>
  <c r="AL6" i="16"/>
  <c r="AY33" i="3"/>
  <c r="AM4" i="10" s="1"/>
  <c r="AY43" i="3"/>
  <c r="AL7" i="11"/>
  <c r="AY49" i="3"/>
  <c r="AL6" i="12"/>
  <c r="AY45" i="3"/>
  <c r="AL2" i="12"/>
  <c r="AZ80" i="3"/>
  <c r="AM2" i="17"/>
  <c r="AY81" i="3"/>
  <c r="AL3" i="17"/>
  <c r="AY25" i="3"/>
  <c r="AM3" i="9" s="1"/>
  <c r="AY86" i="3"/>
  <c r="AL8" i="17"/>
  <c r="AY16" i="3"/>
  <c r="AM8" i="2" s="1"/>
  <c r="AY48" i="3"/>
  <c r="AL5" i="12"/>
  <c r="AY12" i="3"/>
  <c r="AM4" i="2" s="1"/>
  <c r="AY52" i="3"/>
  <c r="AL2" i="13"/>
  <c r="AY42" i="3"/>
  <c r="AL6" i="11"/>
  <c r="AY66" i="3"/>
  <c r="AL2" i="15"/>
  <c r="AY83" i="3"/>
  <c r="AL5" i="17"/>
  <c r="AY76" i="3"/>
  <c r="AL5" i="16"/>
  <c r="AY75" i="3"/>
  <c r="AL4" i="16"/>
  <c r="AY57" i="3"/>
  <c r="AL7" i="13"/>
  <c r="AY39" i="3"/>
  <c r="AL3" i="11"/>
  <c r="AY19" i="3"/>
  <c r="AM4" i="8" s="1"/>
  <c r="AY13" i="3"/>
  <c r="AM5" i="2" s="1"/>
  <c r="AY51" i="3"/>
  <c r="AL8" i="12"/>
  <c r="AY29" i="3"/>
  <c r="AM7" i="9" s="1"/>
  <c r="AY35" i="3"/>
  <c r="AM6" i="10" s="1"/>
  <c r="AY67" i="3"/>
  <c r="AL3" i="15"/>
  <c r="AY74" i="3"/>
  <c r="AL3" i="16"/>
  <c r="AY34" i="3"/>
  <c r="AM5" i="10" s="1"/>
  <c r="AY32" i="3"/>
  <c r="AM3" i="10" s="1"/>
  <c r="AY21" i="3"/>
  <c r="AM6" i="8" s="1"/>
  <c r="AY56" i="3"/>
  <c r="AL6" i="13"/>
  <c r="AY85" i="3"/>
  <c r="AL7" i="17"/>
  <c r="AY11" i="3"/>
  <c r="AM3" i="2" s="1"/>
  <c r="AY82" i="3"/>
  <c r="AL4" i="17"/>
  <c r="AY50" i="3"/>
  <c r="AL7" i="12"/>
  <c r="AY60" i="3"/>
  <c r="AL3" i="14"/>
  <c r="AY64" i="3"/>
  <c r="AL7" i="14"/>
  <c r="AY53" i="3"/>
  <c r="AL3" i="13"/>
  <c r="AY68" i="3"/>
  <c r="AL4" i="15"/>
  <c r="AY63" i="3"/>
  <c r="AL6" i="14"/>
  <c r="AZ68" i="3" l="1"/>
  <c r="AM4" i="15"/>
  <c r="AZ11" i="3"/>
  <c r="AN3" i="2" s="1"/>
  <c r="AZ32" i="3"/>
  <c r="AN3" i="10" s="1"/>
  <c r="AZ35" i="3"/>
  <c r="AN6" i="10" s="1"/>
  <c r="AZ19" i="3"/>
  <c r="AN4" i="8" s="1"/>
  <c r="AZ76" i="3"/>
  <c r="AM5" i="16"/>
  <c r="AZ52" i="3"/>
  <c r="AM2" i="13"/>
  <c r="AZ86" i="3"/>
  <c r="AM8" i="17"/>
  <c r="AZ81" i="3"/>
  <c r="AM3" i="17"/>
  <c r="AZ43" i="3"/>
  <c r="AM7" i="11"/>
  <c r="AM6" i="15"/>
  <c r="AZ70" i="3"/>
  <c r="AZ62" i="3"/>
  <c r="AM5" i="14"/>
  <c r="AZ20" i="3"/>
  <c r="AN5" i="8" s="1"/>
  <c r="AZ55" i="3"/>
  <c r="AM5" i="13"/>
  <c r="BA24" i="3"/>
  <c r="AO2" i="9" s="1"/>
  <c r="AZ40" i="3"/>
  <c r="AM4" i="11"/>
  <c r="AZ46" i="3"/>
  <c r="AM3" i="12"/>
  <c r="AZ73" i="3"/>
  <c r="AM2" i="16"/>
  <c r="AZ53" i="3"/>
  <c r="AM3" i="13"/>
  <c r="AZ50" i="3"/>
  <c r="AM7" i="12"/>
  <c r="AZ85" i="3"/>
  <c r="AM7" i="17"/>
  <c r="AZ34" i="3"/>
  <c r="AN5" i="10" s="1"/>
  <c r="AZ29" i="3"/>
  <c r="AN7" i="9" s="1"/>
  <c r="AZ39" i="3"/>
  <c r="AM3" i="11"/>
  <c r="AZ83" i="3"/>
  <c r="AM5" i="17"/>
  <c r="AZ12" i="3"/>
  <c r="AN4" i="2" s="1"/>
  <c r="BA80" i="3"/>
  <c r="AN2" i="17"/>
  <c r="AZ71" i="3"/>
  <c r="AM7" i="15"/>
  <c r="AZ72" i="3"/>
  <c r="AM8" i="15"/>
  <c r="AZ36" i="3"/>
  <c r="AN7" i="10" s="1"/>
  <c r="AZ26" i="3"/>
  <c r="AN4" i="9" s="1"/>
  <c r="AZ58" i="3"/>
  <c r="AM8" i="13"/>
  <c r="AZ59" i="3"/>
  <c r="AM2" i="14"/>
  <c r="AZ61" i="3"/>
  <c r="AM4" i="14"/>
  <c r="AZ64" i="3"/>
  <c r="AM7" i="14"/>
  <c r="AZ56" i="3"/>
  <c r="AM6" i="13"/>
  <c r="AM3" i="16"/>
  <c r="AZ74" i="3"/>
  <c r="AZ51" i="3"/>
  <c r="AM8" i="12"/>
  <c r="AZ57" i="3"/>
  <c r="AM7" i="13"/>
  <c r="AZ66" i="3"/>
  <c r="AM2" i="15"/>
  <c r="AZ48" i="3"/>
  <c r="AM5" i="12"/>
  <c r="AZ45" i="3"/>
  <c r="AM2" i="12"/>
  <c r="AZ33" i="3"/>
  <c r="AN4" i="10" s="1"/>
  <c r="AZ14" i="3"/>
  <c r="AN6" i="2" s="1"/>
  <c r="AZ79" i="3"/>
  <c r="AM8" i="16"/>
  <c r="AZ84" i="3"/>
  <c r="AM6" i="17"/>
  <c r="AZ18" i="3"/>
  <c r="AN3" i="8" s="1"/>
  <c r="AZ44" i="3"/>
  <c r="AM8" i="11"/>
  <c r="AZ78" i="3"/>
  <c r="AM7" i="16"/>
  <c r="AZ15" i="3"/>
  <c r="AN7" i="2" s="1"/>
  <c r="AZ41" i="3"/>
  <c r="AM5" i="11"/>
  <c r="AZ69" i="3"/>
  <c r="AM5" i="15"/>
  <c r="AZ63" i="3"/>
  <c r="AM6" i="14"/>
  <c r="AZ60" i="3"/>
  <c r="AM3" i="14"/>
  <c r="AZ82" i="3"/>
  <c r="AM4" i="17"/>
  <c r="AZ21" i="3"/>
  <c r="AN6" i="8" s="1"/>
  <c r="AZ67" i="3"/>
  <c r="AM3" i="15"/>
  <c r="AZ13" i="3"/>
  <c r="AN5" i="2" s="1"/>
  <c r="AZ75" i="3"/>
  <c r="AM4" i="16"/>
  <c r="AZ42" i="3"/>
  <c r="AM6" i="11"/>
  <c r="AZ16" i="3"/>
  <c r="AN8" i="2" s="1"/>
  <c r="AZ25" i="3"/>
  <c r="AN3" i="9" s="1"/>
  <c r="AZ49" i="3"/>
  <c r="AM6" i="12"/>
  <c r="AZ77" i="3"/>
  <c r="AM6" i="16"/>
  <c r="AZ54" i="3"/>
  <c r="AM4" i="13"/>
  <c r="AZ65" i="3"/>
  <c r="AM8" i="14"/>
  <c r="AZ38" i="3"/>
  <c r="AM2" i="11"/>
  <c r="AZ27" i="3"/>
  <c r="AN5" i="9" s="1"/>
  <c r="AZ22" i="3"/>
  <c r="AN7" i="8" s="1"/>
  <c r="AZ28" i="3"/>
  <c r="AN6" i="9" s="1"/>
  <c r="AZ47" i="3"/>
  <c r="AM4" i="12"/>
  <c r="BA70" i="3" l="1"/>
  <c r="AN6" i="15"/>
  <c r="BA38" i="3"/>
  <c r="AN2" i="11"/>
  <c r="BA49" i="3"/>
  <c r="AN6" i="12"/>
  <c r="BA75" i="3"/>
  <c r="AN4" i="16"/>
  <c r="BA82" i="3"/>
  <c r="AN4" i="17"/>
  <c r="BA41" i="3"/>
  <c r="AN5" i="11"/>
  <c r="BA18" i="3"/>
  <c r="AO3" i="8" s="1"/>
  <c r="BA33" i="3"/>
  <c r="AO4" i="10" s="1"/>
  <c r="BA66" i="3"/>
  <c r="AN2" i="15"/>
  <c r="BA56" i="3"/>
  <c r="AN6" i="13"/>
  <c r="BA59" i="3"/>
  <c r="AN2" i="14"/>
  <c r="BA72" i="3"/>
  <c r="AN8" i="15"/>
  <c r="BA29" i="3"/>
  <c r="AO7" i="9" s="1"/>
  <c r="BA53" i="3"/>
  <c r="AN3" i="13"/>
  <c r="BB24" i="3"/>
  <c r="AP2" i="9" s="1"/>
  <c r="BA52" i="3"/>
  <c r="AN2" i="13"/>
  <c r="BA32" i="3"/>
  <c r="AO3" i="10" s="1"/>
  <c r="BA28" i="3"/>
  <c r="AO6" i="9" s="1"/>
  <c r="BA65" i="3"/>
  <c r="AN8" i="14"/>
  <c r="BA25" i="3"/>
  <c r="AO3" i="9" s="1"/>
  <c r="BA13" i="3"/>
  <c r="AO5" i="2" s="1"/>
  <c r="AN3" i="14"/>
  <c r="BA60" i="3"/>
  <c r="BA15" i="3"/>
  <c r="AO7" i="2" s="1"/>
  <c r="BA84" i="3"/>
  <c r="AN6" i="17"/>
  <c r="BA45" i="3"/>
  <c r="AN2" i="12"/>
  <c r="BA57" i="3"/>
  <c r="AN7" i="13"/>
  <c r="AN8" i="13"/>
  <c r="BA58" i="3"/>
  <c r="BA71" i="3"/>
  <c r="AN7" i="15"/>
  <c r="BA12" i="3"/>
  <c r="AO4" i="2" s="1"/>
  <c r="BA34" i="3"/>
  <c r="AO5" i="10" s="1"/>
  <c r="BA73" i="3"/>
  <c r="AN2" i="16"/>
  <c r="BA55" i="3"/>
  <c r="AN5" i="13"/>
  <c r="BA43" i="3"/>
  <c r="AN7" i="11"/>
  <c r="BA76" i="3"/>
  <c r="AN5" i="16"/>
  <c r="BA11" i="3"/>
  <c r="AO3" i="2" s="1"/>
  <c r="BA22" i="3"/>
  <c r="AO7" i="8" s="1"/>
  <c r="BA54" i="3"/>
  <c r="AN4" i="13"/>
  <c r="BA16" i="3"/>
  <c r="AO8" i="2" s="1"/>
  <c r="BA67" i="3"/>
  <c r="AN3" i="15"/>
  <c r="BA63" i="3"/>
  <c r="AN6" i="14"/>
  <c r="BA78" i="3"/>
  <c r="AN7" i="16"/>
  <c r="BA79" i="3"/>
  <c r="AN8" i="16"/>
  <c r="BA51" i="3"/>
  <c r="AN8" i="12"/>
  <c r="AN7" i="14"/>
  <c r="BA64" i="3"/>
  <c r="BA26" i="3"/>
  <c r="AO4" i="9" s="1"/>
  <c r="BA83" i="3"/>
  <c r="AN5" i="17"/>
  <c r="BA85" i="3"/>
  <c r="AN7" i="17"/>
  <c r="BA46" i="3"/>
  <c r="AN3" i="12"/>
  <c r="BA20" i="3"/>
  <c r="AO5" i="8" s="1"/>
  <c r="BA81" i="3"/>
  <c r="AN3" i="17"/>
  <c r="BA19" i="3"/>
  <c r="AO4" i="8" s="1"/>
  <c r="BA74" i="3"/>
  <c r="AN3" i="16"/>
  <c r="BA47" i="3"/>
  <c r="AN4" i="12"/>
  <c r="BA27" i="3"/>
  <c r="AO5" i="9" s="1"/>
  <c r="BA77" i="3"/>
  <c r="AN6" i="16"/>
  <c r="BA42" i="3"/>
  <c r="AN6" i="11"/>
  <c r="BA21" i="3"/>
  <c r="AO6" i="8" s="1"/>
  <c r="BA69" i="3"/>
  <c r="AN5" i="15"/>
  <c r="BA44" i="3"/>
  <c r="AN8" i="11"/>
  <c r="BA14" i="3"/>
  <c r="AO6" i="2" s="1"/>
  <c r="BA48" i="3"/>
  <c r="AN5" i="12"/>
  <c r="BA61" i="3"/>
  <c r="AN4" i="14"/>
  <c r="BA36" i="3"/>
  <c r="AO7" i="10" s="1"/>
  <c r="BB80" i="3"/>
  <c r="AO2" i="17"/>
  <c r="BA39" i="3"/>
  <c r="AN3" i="11"/>
  <c r="BA50" i="3"/>
  <c r="AN7" i="12"/>
  <c r="BA40" i="3"/>
  <c r="AN4" i="11"/>
  <c r="AN5" i="14"/>
  <c r="BA62" i="3"/>
  <c r="BA86" i="3"/>
  <c r="AN8" i="17"/>
  <c r="BA35" i="3"/>
  <c r="AO6" i="10" s="1"/>
  <c r="BA68" i="3"/>
  <c r="AN4" i="15"/>
  <c r="BB64" i="3" l="1"/>
  <c r="AO7" i="14"/>
  <c r="BB35" i="3"/>
  <c r="AP6" i="10" s="1"/>
  <c r="BB50" i="3"/>
  <c r="AO7" i="12"/>
  <c r="BB61" i="3"/>
  <c r="AO4" i="14"/>
  <c r="BB69" i="3"/>
  <c r="AO5" i="15"/>
  <c r="BB27" i="3"/>
  <c r="AP5" i="9" s="1"/>
  <c r="BB19" i="3"/>
  <c r="AP4" i="8" s="1"/>
  <c r="BB85" i="3"/>
  <c r="AO7" i="17"/>
  <c r="BB78" i="3"/>
  <c r="AO7" i="16"/>
  <c r="BB54" i="3"/>
  <c r="AO4" i="13"/>
  <c r="BB43" i="3"/>
  <c r="AO7" i="11"/>
  <c r="BB12" i="3"/>
  <c r="AP4" i="2" s="1"/>
  <c r="BB57" i="3"/>
  <c r="AO7" i="13"/>
  <c r="BB28" i="3"/>
  <c r="AP6" i="9" s="1"/>
  <c r="BB53" i="3"/>
  <c r="AO3" i="13"/>
  <c r="BB59" i="3"/>
  <c r="AO2" i="14"/>
  <c r="BB49" i="3"/>
  <c r="AO6" i="12"/>
  <c r="AO3" i="14"/>
  <c r="BB60" i="3"/>
  <c r="BB86" i="3"/>
  <c r="AO8" i="17"/>
  <c r="BB39" i="3"/>
  <c r="AO3" i="11"/>
  <c r="BB48" i="3"/>
  <c r="AO5" i="12"/>
  <c r="BB21" i="3"/>
  <c r="AP6" i="8" s="1"/>
  <c r="BB47" i="3"/>
  <c r="AO4" i="12"/>
  <c r="BB81" i="3"/>
  <c r="AO3" i="17"/>
  <c r="BB83" i="3"/>
  <c r="AO5" i="17"/>
  <c r="BB51" i="3"/>
  <c r="AO8" i="12"/>
  <c r="BB63" i="3"/>
  <c r="AO6" i="14"/>
  <c r="BB22" i="3"/>
  <c r="AP7" i="8" s="1"/>
  <c r="BB55" i="3"/>
  <c r="AO5" i="13"/>
  <c r="BB71" i="3"/>
  <c r="AO7" i="15"/>
  <c r="BB45" i="3"/>
  <c r="AO2" i="12"/>
  <c r="BB13" i="3"/>
  <c r="AP5" i="2" s="1"/>
  <c r="BB32" i="3"/>
  <c r="AP3" i="10" s="1"/>
  <c r="BB29" i="3"/>
  <c r="AP7" i="9" s="1"/>
  <c r="BB56" i="3"/>
  <c r="AO6" i="13"/>
  <c r="BB41" i="3"/>
  <c r="AO5" i="11"/>
  <c r="BB38" i="3"/>
  <c r="AO2" i="11"/>
  <c r="BB18" i="3"/>
  <c r="AP3" i="8" s="1"/>
  <c r="AO5" i="14"/>
  <c r="BB62" i="3"/>
  <c r="AO8" i="13"/>
  <c r="BB58" i="3"/>
  <c r="BC80" i="3"/>
  <c r="AQ2" i="17" s="1"/>
  <c r="AP2" i="17"/>
  <c r="BB14" i="3"/>
  <c r="AP6" i="2" s="1"/>
  <c r="BB42" i="3"/>
  <c r="AO6" i="11"/>
  <c r="BB74" i="3"/>
  <c r="AO3" i="16"/>
  <c r="BB20" i="3"/>
  <c r="AP5" i="8" s="1"/>
  <c r="BB67" i="3"/>
  <c r="AO3" i="15"/>
  <c r="BB11" i="3"/>
  <c r="AP3" i="2" s="1"/>
  <c r="BB73" i="3"/>
  <c r="AO2" i="16"/>
  <c r="BB84" i="3"/>
  <c r="AO6" i="17"/>
  <c r="BB25" i="3"/>
  <c r="AP3" i="9" s="1"/>
  <c r="BB52" i="3"/>
  <c r="AO2" i="13"/>
  <c r="BB66" i="3"/>
  <c r="AO2" i="15"/>
  <c r="BB82" i="3"/>
  <c r="AO4" i="17"/>
  <c r="BC24" i="3"/>
  <c r="AQ2" i="9" s="1"/>
  <c r="BB68" i="3"/>
  <c r="AO4" i="15"/>
  <c r="BB40" i="3"/>
  <c r="AO4" i="11"/>
  <c r="BB36" i="3"/>
  <c r="AP7" i="10" s="1"/>
  <c r="BB44" i="3"/>
  <c r="AO8" i="11"/>
  <c r="BB77" i="3"/>
  <c r="AO6" i="16"/>
  <c r="BB46" i="3"/>
  <c r="AO3" i="12"/>
  <c r="BB26" i="3"/>
  <c r="AP4" i="9" s="1"/>
  <c r="BB79" i="3"/>
  <c r="AO8" i="16"/>
  <c r="BB16" i="3"/>
  <c r="AP8" i="2" s="1"/>
  <c r="BB76" i="3"/>
  <c r="AO5" i="16"/>
  <c r="BB34" i="3"/>
  <c r="AP5" i="10" s="1"/>
  <c r="BB15" i="3"/>
  <c r="AP7" i="2" s="1"/>
  <c r="BB65" i="3"/>
  <c r="AO8" i="14"/>
  <c r="BB72" i="3"/>
  <c r="AO8" i="15"/>
  <c r="BB33" i="3"/>
  <c r="AP4" i="10" s="1"/>
  <c r="BB75" i="3"/>
  <c r="AO4" i="16"/>
  <c r="BB70" i="3"/>
  <c r="AO6" i="15"/>
  <c r="BC16" i="3" l="1"/>
  <c r="AQ8" i="2" s="1"/>
  <c r="BC58" i="3"/>
  <c r="AQ8" i="13" s="1"/>
  <c r="AP8" i="13"/>
  <c r="BC22" i="3"/>
  <c r="AQ7" i="8" s="1"/>
  <c r="BC75" i="3"/>
  <c r="AQ4" i="16" s="1"/>
  <c r="AP4" i="16"/>
  <c r="BC15" i="3"/>
  <c r="AQ7" i="2" s="1"/>
  <c r="BC40" i="3"/>
  <c r="AQ4" i="11" s="1"/>
  <c r="AP4" i="11"/>
  <c r="BC82" i="3"/>
  <c r="AQ4" i="17" s="1"/>
  <c r="AP4" i="17"/>
  <c r="BC25" i="3"/>
  <c r="AQ3" i="9" s="1"/>
  <c r="BC67" i="3"/>
  <c r="AQ3" i="15" s="1"/>
  <c r="AP3" i="15"/>
  <c r="BC74" i="3"/>
  <c r="AQ3" i="16" s="1"/>
  <c r="AP3" i="16"/>
  <c r="BC41" i="3"/>
  <c r="AQ5" i="11" s="1"/>
  <c r="AP5" i="11"/>
  <c r="BC13" i="3"/>
  <c r="AQ5" i="2" s="1"/>
  <c r="BC81" i="3"/>
  <c r="AQ3" i="17" s="1"/>
  <c r="AP3" i="17"/>
  <c r="BC39" i="3"/>
  <c r="AQ3" i="11" s="1"/>
  <c r="AP3" i="11"/>
  <c r="BC59" i="3"/>
  <c r="AQ2" i="14" s="1"/>
  <c r="AP2" i="14"/>
  <c r="BC12" i="3"/>
  <c r="AQ4" i="2" s="1"/>
  <c r="BC85" i="3"/>
  <c r="AQ7" i="17" s="1"/>
  <c r="AP7" i="17"/>
  <c r="BC61" i="3"/>
  <c r="AQ4" i="14" s="1"/>
  <c r="AP4" i="14"/>
  <c r="BC62" i="3"/>
  <c r="AQ5" i="14" s="1"/>
  <c r="AP5" i="14"/>
  <c r="BC33" i="3"/>
  <c r="AQ4" i="10" s="1"/>
  <c r="BC79" i="3"/>
  <c r="AQ8" i="16" s="1"/>
  <c r="AP8" i="16"/>
  <c r="BC66" i="3"/>
  <c r="AQ2" i="15" s="1"/>
  <c r="AP2" i="15"/>
  <c r="BC84" i="3"/>
  <c r="AQ6" i="17" s="1"/>
  <c r="AP6" i="17"/>
  <c r="BC42" i="3"/>
  <c r="AQ6" i="11" s="1"/>
  <c r="AP6" i="11"/>
  <c r="BC56" i="3"/>
  <c r="AQ6" i="13" s="1"/>
  <c r="AP6" i="13"/>
  <c r="BC63" i="3"/>
  <c r="AQ6" i="14" s="1"/>
  <c r="AP6" i="14"/>
  <c r="BC86" i="3"/>
  <c r="AQ8" i="17" s="1"/>
  <c r="AP8" i="17"/>
  <c r="BC43" i="3"/>
  <c r="AQ7" i="11" s="1"/>
  <c r="AP7" i="11"/>
  <c r="BC19" i="3"/>
  <c r="AQ4" i="8" s="1"/>
  <c r="BC60" i="3"/>
  <c r="AQ3" i="14" s="1"/>
  <c r="AP3" i="14"/>
  <c r="BC77" i="3"/>
  <c r="AQ6" i="16" s="1"/>
  <c r="AP6" i="16"/>
  <c r="BC68" i="3"/>
  <c r="AQ4" i="15" s="1"/>
  <c r="AP4" i="15"/>
  <c r="BC45" i="3"/>
  <c r="AQ2" i="12" s="1"/>
  <c r="AP2" i="12"/>
  <c r="BC47" i="3"/>
  <c r="AQ4" i="12" s="1"/>
  <c r="AP4" i="12"/>
  <c r="BC53" i="3"/>
  <c r="AQ3" i="13" s="1"/>
  <c r="AP3" i="13"/>
  <c r="BC50" i="3"/>
  <c r="AQ7" i="12" s="1"/>
  <c r="AP7" i="12"/>
  <c r="BC72" i="3"/>
  <c r="AQ8" i="15" s="1"/>
  <c r="AP8" i="15"/>
  <c r="BC34" i="3"/>
  <c r="AQ5" i="10" s="1"/>
  <c r="BC26" i="3"/>
  <c r="AQ4" i="9" s="1"/>
  <c r="BC44" i="3"/>
  <c r="AQ8" i="11" s="1"/>
  <c r="AP8" i="11"/>
  <c r="BC73" i="3"/>
  <c r="AQ2" i="16" s="1"/>
  <c r="AP2" i="16"/>
  <c r="BC14" i="3"/>
  <c r="AQ6" i="2" s="1"/>
  <c r="BC18" i="3"/>
  <c r="AQ3" i="8" s="1"/>
  <c r="BC29" i="3"/>
  <c r="AQ7" i="9" s="1"/>
  <c r="BC71" i="3"/>
  <c r="AQ7" i="15" s="1"/>
  <c r="AP7" i="15"/>
  <c r="BC51" i="3"/>
  <c r="AQ8" i="12" s="1"/>
  <c r="AP8" i="12"/>
  <c r="BC21" i="3"/>
  <c r="AQ6" i="8" s="1"/>
  <c r="BC28" i="3"/>
  <c r="AQ6" i="9" s="1"/>
  <c r="BC54" i="3"/>
  <c r="AQ4" i="13" s="1"/>
  <c r="AP4" i="13"/>
  <c r="BC27" i="3"/>
  <c r="AQ5" i="9" s="1"/>
  <c r="BC35" i="3"/>
  <c r="AQ6" i="10" s="1"/>
  <c r="BC70" i="3"/>
  <c r="AQ6" i="15" s="1"/>
  <c r="AP6" i="15"/>
  <c r="BC65" i="3"/>
  <c r="AQ8" i="14" s="1"/>
  <c r="AP8" i="14"/>
  <c r="BC76" i="3"/>
  <c r="AQ5" i="16" s="1"/>
  <c r="AP5" i="16"/>
  <c r="BC46" i="3"/>
  <c r="AQ3" i="12" s="1"/>
  <c r="AP3" i="12"/>
  <c r="BC36" i="3"/>
  <c r="AQ7" i="10" s="1"/>
  <c r="BC52" i="3"/>
  <c r="AQ2" i="13" s="1"/>
  <c r="AP2" i="13"/>
  <c r="BC11" i="3"/>
  <c r="AQ3" i="2" s="1"/>
  <c r="BC20" i="3"/>
  <c r="AQ5" i="8" s="1"/>
  <c r="BC38" i="3"/>
  <c r="AQ2" i="11" s="1"/>
  <c r="AP2" i="11"/>
  <c r="BC32" i="3"/>
  <c r="AQ3" i="10" s="1"/>
  <c r="BC55" i="3"/>
  <c r="AQ5" i="13" s="1"/>
  <c r="AP5" i="13"/>
  <c r="BC83" i="3"/>
  <c r="AQ5" i="17" s="1"/>
  <c r="AP5" i="17"/>
  <c r="BC48" i="3"/>
  <c r="AQ5" i="12" s="1"/>
  <c r="AP5" i="12"/>
  <c r="BC49" i="3"/>
  <c r="AQ6" i="12" s="1"/>
  <c r="AP6" i="12"/>
  <c r="BC57" i="3"/>
  <c r="AQ7" i="13" s="1"/>
  <c r="AP7" i="13"/>
  <c r="BC78" i="3"/>
  <c r="AQ7" i="16" s="1"/>
  <c r="AP7" i="16"/>
  <c r="BC69" i="3"/>
  <c r="AQ5" i="15" s="1"/>
  <c r="AP5" i="15"/>
  <c r="BC64" i="3"/>
  <c r="AQ7" i="14" s="1"/>
  <c r="AP7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<sst xmlns="http://schemas.openxmlformats.org/spreadsheetml/2006/main" count="7844" uniqueCount="1390">
  <si>
    <t>Source:</t>
  </si>
  <si>
    <t>battery electric vehicle</t>
  </si>
  <si>
    <t>natural gas vehicle</t>
  </si>
  <si>
    <t>gasoline vehicle</t>
  </si>
  <si>
    <t>diesel vehicle</t>
  </si>
  <si>
    <t>plugin hybrid vehicle</t>
  </si>
  <si>
    <t>Notes</t>
  </si>
  <si>
    <t>When adapting the model to a new country or region, it may be helpful</t>
  </si>
  <si>
    <t>to calibrate this variable after replacing the input data for other variables.</t>
  </si>
  <si>
    <t>Vehicle Type</t>
  </si>
  <si>
    <t>Cargo Type</t>
  </si>
  <si>
    <t>Vehicle Technology</t>
  </si>
  <si>
    <t>LDVs</t>
  </si>
  <si>
    <t>HDVs</t>
  </si>
  <si>
    <t>aircraft</t>
  </si>
  <si>
    <t>rail</t>
  </si>
  <si>
    <t>ships</t>
  </si>
  <si>
    <t>motorbikes</t>
  </si>
  <si>
    <t>freight</t>
  </si>
  <si>
    <t>passenger</t>
  </si>
  <si>
    <t>Max Potential Sales Share</t>
  </si>
  <si>
    <t>Total Stock</t>
  </si>
  <si>
    <t>Total Light Truck Stock</t>
  </si>
  <si>
    <t>- -</t>
  </si>
  <si>
    <t>Total Car Stock</t>
  </si>
  <si>
    <t>The technology that is the reference type for a given vehicle type is</t>
  </si>
  <si>
    <t>allowed a 100% share in all years.  (This is "gasoline vehicle" for LDVs</t>
  </si>
  <si>
    <t>and motorbikes, "diesel vehicle" for HDVs.)</t>
  </si>
  <si>
    <t>All nonroad modes have a 100% share of the "nonroad vehicle"</t>
  </si>
  <si>
    <t>technology type and a 0% share of the other technology types.</t>
  </si>
  <si>
    <t>Technology allocation is only used for on-road vehicles in the EPS.</t>
  </si>
  <si>
    <t>On-road modes all have a 0% share of the "nonroad vehicle"</t>
  </si>
  <si>
    <t>technology type.</t>
  </si>
  <si>
    <t>Here are the assumptions we use for the U.S.:</t>
  </si>
  <si>
    <t>EIA</t>
  </si>
  <si>
    <t>between the current sales share and the potential 2050 sales share.</t>
  </si>
  <si>
    <t>last year values (on the "Data" tab).</t>
  </si>
  <si>
    <t>International Shipping</t>
  </si>
  <si>
    <t>Domestic Shipping</t>
  </si>
  <si>
    <t>Railroads</t>
  </si>
  <si>
    <t>New Trucks by Size Class</t>
  </si>
  <si>
    <t>Freight Truck Stock by Size Class</t>
  </si>
  <si>
    <t>as maximum potentials in the first simulated year.</t>
  </si>
  <si>
    <t>First and Last Simulated Year Values</t>
  </si>
  <si>
    <t>First Simulated Year Values Only</t>
  </si>
  <si>
    <t>technology, as calculated in variable SYVbT.</t>
  </si>
  <si>
    <t>See SYVbT variable.</t>
  </si>
  <si>
    <t>For passenger motorbikes, we use the share of existing vehicles by</t>
  </si>
  <si>
    <t>Last Simulated Year Values Only</t>
  </si>
  <si>
    <t>For passenger motorbikes, we assume there will be no diesel</t>
  </si>
  <si>
    <t>vehicle, natural gas vehicle, or plug-in hybrid vehicle technologies.</t>
  </si>
  <si>
    <t>In 2014 in China, 9.3 million electric motorcycles and scooters</t>
  </si>
  <si>
    <t>were sold, roughly 20 times the total number of motorcycles</t>
  </si>
  <si>
    <t>and scooters sold in the U.S. in that year.  Therefore, it seems</t>
  </si>
  <si>
    <t>possible that electric motorbikes could account for as much</t>
  </si>
  <si>
    <t>as 100% of U.S. motorbike sales in 205.</t>
  </si>
  <si>
    <t>Clean Rider</t>
  </si>
  <si>
    <t>The electric scooter market</t>
  </si>
  <si>
    <t>http://cleanrider.com/electric-scooter-market/</t>
  </si>
  <si>
    <t>RevZilla Motorsports</t>
  </si>
  <si>
    <t>How Many Motorcycles wer Sold in the U.S. Last Year?</t>
  </si>
  <si>
    <t>https://www.revzilla.com/common-tread/us-motorcycle-sales</t>
  </si>
  <si>
    <t>AEO Table 50 specifies an estimated number of sales of freight HDVs</t>
  </si>
  <si>
    <t>by technology in 2050.  This is a reference case.  To obtain a maximum</t>
  </si>
  <si>
    <t>figure, we multiply the reference case values by the multiplier</t>
  </si>
  <si>
    <t>specified above for new, immature technologies (battery electric</t>
  </si>
  <si>
    <t>vehicle, natural gas vehicle, plug-in hybrid vehicle).</t>
  </si>
  <si>
    <t>HDV new technology multiplier</t>
  </si>
  <si>
    <t>For freight HDVs, we use estimated sales shares by technology in 2050</t>
  </si>
  <si>
    <t>from AEO 50.  This is a reference case, not a maximum, so we multiply</t>
  </si>
  <si>
    <t>the shares of the three newer technologies (battery electric vehicle,</t>
  </si>
  <si>
    <t>natural gas vehicle, plug-in hybrid vehicle) by a multiplier</t>
  </si>
  <si>
    <t>(see "Assumptions" tab) to represent the potential for sales to</t>
  </si>
  <si>
    <t>greatly exceed the reference case values.</t>
  </si>
  <si>
    <t>For passenger LDVs, predictions of battery electric penetration vary.</t>
  </si>
  <si>
    <t>natural gas vehicle, and plug-in hybrid vehicle), we use the</t>
  </si>
  <si>
    <t>the case when estimating the first year, this is using a share of</t>
  </si>
  <si>
    <t>LDVs (except battery electric vehicles in the Last Year)</t>
  </si>
  <si>
    <t>LDVs (battery electric vehicles in the Last Year)</t>
  </si>
  <si>
    <t>freight HDVs, Last Year passenger HDVs</t>
  </si>
  <si>
    <t>First Year passenger HDVs, First Year passenger motorbikes</t>
  </si>
  <si>
    <t>Last Year passenger motorbikes</t>
  </si>
  <si>
    <t>For other unusual technologies (diesel vehicle,</t>
  </si>
  <si>
    <t>entire projected stock in 2050 could be built in a single year,</t>
  </si>
  <si>
    <t>which is generous, and thus may compensate for the fact that</t>
  </si>
  <si>
    <t>our AEO source is a reference case, not a maximum.</t>
  </si>
  <si>
    <t>double the percentage of stock estimated by EIA for 2050 (AEO 40).  As was</t>
  </si>
  <si>
    <t>stock to represent a share of sales.  This effectively assumes that twice the</t>
  </si>
  <si>
    <t>AEO Table 40 specifies estimates numbers of passenger LDVs by</t>
  </si>
  <si>
    <t>technology in 2050.  This is a reference case.  To obtain a maximum</t>
  </si>
  <si>
    <t>specified above for three technologies:</t>
  </si>
  <si>
    <t>natural gas vehicle, diesel vehicle, plug-in hybrid vehicle.</t>
  </si>
  <si>
    <t>The values in AEO 40 are shares of the stock, not shares of</t>
  </si>
  <si>
    <t>sales, so using the share of stock to represent a share of sales</t>
  </si>
  <si>
    <t>is already generous.  (It assumes the entire stock in the BAU case</t>
  </si>
  <si>
    <t>could be built in a single year in the policy case.)  Therefore, the</t>
  </si>
  <si>
    <t>multiplier above should generally be much more modest than</t>
  </si>
  <si>
    <t>the "HDV new technology multiplier" (at top), which scales</t>
  </si>
  <si>
    <t>a share of sales, not a share of stock.</t>
  </si>
  <si>
    <t>L</t>
  </si>
  <si>
    <t>k</t>
  </si>
  <si>
    <t>Xo</t>
  </si>
  <si>
    <t>Interpolation Method</t>
  </si>
  <si>
    <t>We use sigmoidal interpolation for relatively new technologies (battery electric vehicles, natural gas vehicles, and</t>
  </si>
  <si>
    <t>plugin hybrid vehicles) and linear interpolation for other vehicle technologies.  Technologies with constant values</t>
  </si>
  <si>
    <t>do not require interpolation.</t>
  </si>
  <si>
    <t>The values (to the right) that define the shape of the sigmoidal curve are assumptions, which neatly approach the</t>
  </si>
  <si>
    <t>specified 2050 max sales share with a flattening curve.  (Of course, linear interpolation is similarly an assumption.)</t>
  </si>
  <si>
    <t>To make it easier to set the values for this variable, it is set up to interpolate</t>
  </si>
  <si>
    <t>For freight LDVs, we use the same percentages as passenger LDVs,</t>
  </si>
  <si>
    <t>necessary to avoid a situation where the retirement rate of the</t>
  </si>
  <si>
    <t>start year diesel engine freight LDVs is far in excess of how quickly</t>
  </si>
  <si>
    <t>they can be replaced.</t>
  </si>
  <si>
    <t>except we allow up to 100% diesel engine market share, which is</t>
  </si>
  <si>
    <t>Percent Alternative Car Sales</t>
  </si>
  <si>
    <t>Total New Car Sales</t>
  </si>
  <si>
    <t>Percent Alternative Light Truck Sales</t>
  </si>
  <si>
    <t>Total New Light Truck Sales</t>
  </si>
  <si>
    <t>Percent Total Alternative Sales</t>
  </si>
  <si>
    <t>EPACT Legislative  Alternative Sales</t>
  </si>
  <si>
    <t>ZEVP Legislative Alternative Sales</t>
  </si>
  <si>
    <t>Total Vehicles Sales</t>
  </si>
  <si>
    <t>Total Alternative-Fueled Vehicle Sales</t>
  </si>
  <si>
    <t>linear</t>
  </si>
  <si>
    <t>For passenger HDVs, we use the same percentages as passenger LDVs.</t>
  </si>
  <si>
    <t>LPG vehicle</t>
  </si>
  <si>
    <t>hydrogen vehicle</t>
  </si>
  <si>
    <t>LDV technology multiplier (NG, diesel, plug-in hybrid, LPG, hydrogen)</t>
  </si>
  <si>
    <t>Max Fraction of Production (dimensionless)</t>
  </si>
  <si>
    <t>Number of Vehicles</t>
  </si>
  <si>
    <t>Annual Energy Outlook 2020</t>
  </si>
  <si>
    <t>Table 39</t>
  </si>
  <si>
    <t>Table 49</t>
  </si>
  <si>
    <t>https://www.eia.gov/outlooks/aeo/supplement/excel/suptab_39.xlsx</t>
  </si>
  <si>
    <t>https://www.eia.gov/outlooks/aeo/supplement/excel/suptab_49.xlsx</t>
  </si>
  <si>
    <t xml:space="preserve">For passenger LDVs, we use the sales shares by technology from AEO 38 </t>
  </si>
  <si>
    <t>Using the reported sales share from a few years out produces more accurate</t>
  </si>
  <si>
    <t>*for passenger LDVs only, see Assumptions page</t>
  </si>
  <si>
    <t>LDV 100% sales</t>
  </si>
  <si>
    <t>Sigmoidal Curve Values for battery electric passenger LDV Technologies</t>
  </si>
  <si>
    <t>Sigmoidal Curve Values for Vehicle Technologies (all except battery electric passenger LDVs)</t>
  </si>
  <si>
    <t>Electric Vehicle Sales Forecast and the Charging Infrastructure Required Through 2030</t>
  </si>
  <si>
    <t>http://www.ehcar.net/library/rapport/rapport233.pdf</t>
  </si>
  <si>
    <t>The Edison Foundation Institute for Electric Innovation</t>
  </si>
  <si>
    <t>Figure 2</t>
  </si>
  <si>
    <t>For freight HDVs, we use the sales shares by technology from AEO 50</t>
  </si>
  <si>
    <t>Many organizations have released projections.</t>
  </si>
  <si>
    <t>See an explanation on the Assumptions page for how the passenger LDV</t>
  </si>
  <si>
    <t>values were calibrated against one such source.</t>
  </si>
  <si>
    <t>Table 38.  Light-Duty Vehicle Sales by Technology Type</t>
  </si>
  <si>
    <t>https://www.eia.gov/outlooks/aeo/data/browser/#/?id=48-AEO2021&amp;cases=highogs&amp;sourcekey=0</t>
  </si>
  <si>
    <t>Mon Mar 08 2021 16:20:29 GMT-0800 (Pacific Standard Time)</t>
  </si>
  <si>
    <t>Source: U.S. Energy Information Administration</t>
  </si>
  <si>
    <t>full name</t>
  </si>
  <si>
    <t>api key</t>
  </si>
  <si>
    <t>units</t>
  </si>
  <si>
    <t>Growth (2020-2050)</t>
  </si>
  <si>
    <t>New Car Sales</t>
  </si>
  <si>
    <t>48-AEO2021.2.</t>
  </si>
  <si>
    <t>Conventional Cars</t>
  </si>
  <si>
    <t>48-AEO2021.3.</t>
  </si>
  <si>
    <t>Gasoline ICE Vehicles</t>
  </si>
  <si>
    <t>Light-Duty Vehicle Sales: Conventional Cars: Gasoline: High oil and gas supply</t>
  </si>
  <si>
    <t>48-AEO2021.4.highogs-d120120a</t>
  </si>
  <si>
    <t>thousands</t>
  </si>
  <si>
    <t>TDI Diesel ICE</t>
  </si>
  <si>
    <t>Light-Duty Vehicle Sales: Conventional Cars: TDI Diesel: High oil and gas supply</t>
  </si>
  <si>
    <t>48-AEO2021.5.highogs-d120120a</t>
  </si>
  <si>
    <t>Total Conventional Cars</t>
  </si>
  <si>
    <t>Light-Duty Vehicle Sales: Conventional Cars: Total: High oil and gas supply</t>
  </si>
  <si>
    <t>48-AEO2021.6.highogs-d120120a</t>
  </si>
  <si>
    <t>Alternative-Fuel Cars</t>
  </si>
  <si>
    <t>48-AEO2021.8.</t>
  </si>
  <si>
    <t>Ethanol-Flex Fuel ICE</t>
  </si>
  <si>
    <t>Light-Duty Vehicle Sales: Alternative-Fuel Cars: Ethanol-Flex Fuel ICE: High oil and gas supply</t>
  </si>
  <si>
    <t>48-AEO2021.9.highogs-d120120a</t>
  </si>
  <si>
    <t>100 Mile Electric Vehicle</t>
  </si>
  <si>
    <t>Light-Duty Vehicle Sales: Alternative-Fuel Cars: 100 Mile Electric Vehicle: High oil and gas supply</t>
  </si>
  <si>
    <t>48-AEO2021.10.highogs-d120120a</t>
  </si>
  <si>
    <t>200 Mile Electric Vehicle</t>
  </si>
  <si>
    <t>Light-Duty Vehicle Sales: Alternative-Fuel Cars: 200 Mile Electric Vehicle: High oil and gas supply</t>
  </si>
  <si>
    <t>48-AEO2021.11.highogs-d120120a</t>
  </si>
  <si>
    <t>300 Mile Electric Vehicle</t>
  </si>
  <si>
    <t>Light-Duty Vehicle Sales: Alternative-Fuel Cars: 300 Mile Electric Vehicle: High oil and gas supply</t>
  </si>
  <si>
    <t>48-AEO2021.12.highogs-d120120a</t>
  </si>
  <si>
    <t>Plug-in 10 Gasoline Hybrid</t>
  </si>
  <si>
    <t>Light-Duty Vehicle Sales: Alternative-Fuel Cars: Plug-in 10 Gasoline Hybrid: High oil and gas supply</t>
  </si>
  <si>
    <t>48-AEO2021.13.highogs-d120120a</t>
  </si>
  <si>
    <t>Plug-in 40 Gasoline Hybrid</t>
  </si>
  <si>
    <t>Light-Duty Vehicle Sales: Alternative-Fuel Cars: Plug-in 40 Gasoline Hybrid: High oil and gas supply</t>
  </si>
  <si>
    <t>48-AEO2021.14.highogs-d120120a</t>
  </si>
  <si>
    <t>Electric-Diesel Hybrid</t>
  </si>
  <si>
    <t>Light-Duty Vehicle Sales: Alternative-Fuel Cars: Electric-Diesel Hybrid: High oil and gas supply</t>
  </si>
  <si>
    <t>48-AEO2021.15.highogs-d120120a</t>
  </si>
  <si>
    <t>Electric-Gasoline Hybrid</t>
  </si>
  <si>
    <t>Light-Duty Vehicle Sales: Alternative-Fuel Cars: Electric-Gasoline Hybrid: High oil and gas supply</t>
  </si>
  <si>
    <t>48-AEO2021.16.highogs-d120120a</t>
  </si>
  <si>
    <t>Natural Gas ICE</t>
  </si>
  <si>
    <t>Light-Duty Vehicle Sales: Alternative-Fuel Cars: Natural Gas ICE: High oil and gas supply</t>
  </si>
  <si>
    <t>48-AEO2021.17.highogs-d120120a</t>
  </si>
  <si>
    <t>Natural Gas Bi-fuel</t>
  </si>
  <si>
    <t>Light-Duty Vehicle Sales: Alternative-Fuel Cars: Natural Gas Bi-fuel: High oil and gas supply</t>
  </si>
  <si>
    <t>48-AEO2021.18.highogs-d120120a</t>
  </si>
  <si>
    <t>Propane ICE</t>
  </si>
  <si>
    <t>Light-Duty Vehicle Sales: Alternative-Fuel Cars: Propane: High oil and gas supply</t>
  </si>
  <si>
    <t>48-AEO2021.19.highogs-d120120a</t>
  </si>
  <si>
    <t>Propane Bi-fuel</t>
  </si>
  <si>
    <t>48-AEO2021.20.highogs-d120120a</t>
  </si>
  <si>
    <t>Fuel Cell Methanol</t>
  </si>
  <si>
    <t>Light-Duty Vehicle Sales: Alternative-Fuel Cars: Fuel Cell Methanol: High oil and gas supply</t>
  </si>
  <si>
    <t>48-AEO2021.21.highogs-d120120a</t>
  </si>
  <si>
    <t>Fuel Cell Hydrogen</t>
  </si>
  <si>
    <t>Light-Duty Vehicle Sales: Alternative-Fuel cars: Fuel Cell Hydrogen: High oil and gas supply</t>
  </si>
  <si>
    <t>48-AEO2021.22.highogs-d120120a</t>
  </si>
  <si>
    <t>Total Alternative Cars</t>
  </si>
  <si>
    <t>Light-Duty Vehicle Sales: Alternative-Fuel Cars: Total: High oil and gas supply</t>
  </si>
  <si>
    <t>48-AEO2021.23.highogs-d120120a</t>
  </si>
  <si>
    <t>Light-Duty Vehicle Sales: Percent Alternative Car: High oil and gas supply</t>
  </si>
  <si>
    <t>48-AEO2021.25.highogs-d120120a</t>
  </si>
  <si>
    <t>percent</t>
  </si>
  <si>
    <t>Light-Duty Vehicle Sales: Total New Car: High oil and gas supply</t>
  </si>
  <si>
    <t>48-AEO2021.26.highogs-d120120a</t>
  </si>
  <si>
    <t>New Light Truck Sales</t>
  </si>
  <si>
    <t>48-AEO2021.28.</t>
  </si>
  <si>
    <t>Conventional Light Trucks</t>
  </si>
  <si>
    <t>48-AEO2021.29.</t>
  </si>
  <si>
    <t>Light-Duty Vehicle Sales: Conventional Light Trucks: Gasoline: High oil and gas supply</t>
  </si>
  <si>
    <t>48-AEO2021.30.highogs-d120120a</t>
  </si>
  <si>
    <t>Light-Duty Vehicle Sales: Conventional Light Trucks: TDI Diesel: High oil and gas supply</t>
  </si>
  <si>
    <t>48-AEO2021.31.highogs-d120120a</t>
  </si>
  <si>
    <t>Total Conventional Light Trucks</t>
  </si>
  <si>
    <t>Light-Duty Vehicle Sales: Conventional Light Trucks: Total: High oil and gas supply</t>
  </si>
  <si>
    <t>48-AEO2021.32.highogs-d120120a</t>
  </si>
  <si>
    <t>Alternative-Fuel Light Trucks</t>
  </si>
  <si>
    <t>48-AEO2021.34.</t>
  </si>
  <si>
    <t>Light-Duty Vehicle Sales: Alternative-Fuel Light Trucks: Ethanol-Flex Fuel ICE: High oil and gas supply</t>
  </si>
  <si>
    <t>48-AEO2021.35.highogs-d120120a</t>
  </si>
  <si>
    <t>Light-Duty Vehicle Sales: Alternative-Fuel Light Trucks: 100 Mile Electric Vehicle: High oil and gas supply</t>
  </si>
  <si>
    <t>48-AEO2021.36.highogs-d120120a</t>
  </si>
  <si>
    <t>Light-Duty Vehicle Sales: Alternative-Fuel Light Trucks: 200 Mile Electric Vehicle: High oil and gas supply</t>
  </si>
  <si>
    <t>48-AEO2021.37.highogs-d120120a</t>
  </si>
  <si>
    <t>Light-Duty Vehicle Sales: Alternative-Fuel Light Trucks: 300 Mile Electric Vehicle: High oil and gas supply</t>
  </si>
  <si>
    <t>48-AEO2021.38.highogs-d120120a</t>
  </si>
  <si>
    <t>Light-Duty Vehicle Sales: Alternative-Fuel Light Trucks: Plug-in 10 Gasoline Hybrid: High oil and gas supply</t>
  </si>
  <si>
    <t>48-AEO2021.39.highogs-d120120a</t>
  </si>
  <si>
    <t>Light-Duty Vehicle Sales: Alternative-Fuel Light Trucks: Plug-in 40 Gasoline Hybrid: High oil and gas supply</t>
  </si>
  <si>
    <t>48-AEO2021.40.highogs-d120120a</t>
  </si>
  <si>
    <t>Light-Duty Vehicle Sales: Alternative-Fuel Light Trucks: Electric-Diesel Hybrid: High oil and gas supply</t>
  </si>
  <si>
    <t>48-AEO2021.41.highogs-d120120a</t>
  </si>
  <si>
    <t>Light-Duty Vehicle Sales: Alternative-Fuel Light Trucks: Electric-Gasoline Hybrid: High oil and gas supply</t>
  </si>
  <si>
    <t>48-AEO2021.42.highogs-d120120a</t>
  </si>
  <si>
    <t>Light-Duty Vehicle Sales: Alternative-Fuel Light Trucks: Natural Gas ICE: High oil and gas supply</t>
  </si>
  <si>
    <t>48-AEO2021.43.highogs-d120120a</t>
  </si>
  <si>
    <t>Light-Duty Vehicle Sales: Alternative-Fuel Light Trucks: Natural Gas Bi-fuel: High oil and gas supply</t>
  </si>
  <si>
    <t>48-AEO2021.44.highogs-d120120a</t>
  </si>
  <si>
    <t>Light-Duty Vehicle Sales: Alternative-Fuel Light Trucks: Propane ICE: High oil and gas supply</t>
  </si>
  <si>
    <t>48-AEO2021.45.highogs-d120120a</t>
  </si>
  <si>
    <t>Light-Duty Vehicle Sales: Alternative-Fuel Light Trucks: Propane Bi-fuel: High oil and gas supply</t>
  </si>
  <si>
    <t>48-AEO2021.46.highogs-d120120a</t>
  </si>
  <si>
    <t>Light-Duty Vehicle Sales: Alternative-Fuel Light Trucks: Fuel Cell Methanol: High oil and gas supply</t>
  </si>
  <si>
    <t>48-AEO2021.47.highogs-d120120a</t>
  </si>
  <si>
    <t>Light-Duty Vehicle Sales: Alternative-Fuel Light Trucks: Fuel Cell Hydrogen: High oil and gas supply</t>
  </si>
  <si>
    <t>48-AEO2021.48.highogs-d120120a</t>
  </si>
  <si>
    <t>Total Alternative Light Trucks</t>
  </si>
  <si>
    <t>Light-Duty Vehicle Sales: Alternative-Fuel Light Trucks: Total: High oil and gas supply</t>
  </si>
  <si>
    <t>48-AEO2021.49.highogs-d120120a</t>
  </si>
  <si>
    <t>Light-Duty Vehicle Sales: Percent Alternative Light Truck Sales: High oil and gas supply</t>
  </si>
  <si>
    <t>48-AEO2021.51.highogs-d120120a</t>
  </si>
  <si>
    <t>Light-Duty Vehicle Sales: Total New Truck: High oil and gas supply</t>
  </si>
  <si>
    <t>48-AEO2021.52.highogs-d120120a</t>
  </si>
  <si>
    <t>Light-Duty Vehicle Sales: Percent Total Alternative Sales: High oil and gas supply</t>
  </si>
  <si>
    <t>48-AEO2021.54.highogs-d120120a</t>
  </si>
  <si>
    <t>Light-Duty Vehicle Sales: EPACT Legislative Alternative Sales: High oil and gas supply</t>
  </si>
  <si>
    <t>48-AEO2021.55.highogs-d120120a</t>
  </si>
  <si>
    <t>Light-Duty Vehicle Sales: ZEVP Legislative Alternative Sales: High oil and gas supply</t>
  </si>
  <si>
    <t>48-AEO2021.56.highogs-d120120a</t>
  </si>
  <si>
    <t>Total Sales</t>
  </si>
  <si>
    <t xml:space="preserve"> Cars and Light Trucks</t>
  </si>
  <si>
    <t>48-AEO2021.58.</t>
  </si>
  <si>
    <t>Conventional Gasoline</t>
  </si>
  <si>
    <t>Light-Duty Vehicle Sales: Total Sales, Cars and Light Trucks: Conventional Gasoline: High oil and gas supply</t>
  </si>
  <si>
    <t>48-AEO2021.59.highogs-d120120a</t>
  </si>
  <si>
    <t>TDI Diesel</t>
  </si>
  <si>
    <t>Light-Duty Vehicle Sales: Total Sales, Cars and Light Trucks: TDI Diesel: High oil and gas supply</t>
  </si>
  <si>
    <t>48-AEO2021.60.highogs-d120120a</t>
  </si>
  <si>
    <t>Flex-Fuel</t>
  </si>
  <si>
    <t>Light-Duty Vehicle Sales: Total Sales, Cars and Light Trucks: Flex-Fuel: High oil and gas supply</t>
  </si>
  <si>
    <t>48-AEO2021.61.highogs-d120120a</t>
  </si>
  <si>
    <t>Electric</t>
  </si>
  <si>
    <t>Light-Duty Vehicle Sales: Total Sales, Cars and Light Trucks: Electric: High oil and gas supply</t>
  </si>
  <si>
    <t>48-AEO2021.62.highogs-d120120a</t>
  </si>
  <si>
    <t>Plug-in Electric Hybrid</t>
  </si>
  <si>
    <t>Light-Duty Vehicle Sales: Total Sales, Cars and Light Trucks: Plug-in Electric Hybrid: High oil and gas supply</t>
  </si>
  <si>
    <t>48-AEO2021.63.highogs-d120120a</t>
  </si>
  <si>
    <t>Electric Hybrid</t>
  </si>
  <si>
    <t>Light-Duty Vehicle Sales: Total Sales, Cars and Light Trucks: Electric Hybrid: High oil and gas supply</t>
  </si>
  <si>
    <t>48-AEO2021.64.highogs-d120120a</t>
  </si>
  <si>
    <t>Gaseous (Propane and Natural Gas)</t>
  </si>
  <si>
    <t>Light-Duty Vehicle Sales: Total Sales, Cars and Light Trucks: Gaseous: High oil and gas supply</t>
  </si>
  <si>
    <t>48-AEO2021.65.highogs-d120120a</t>
  </si>
  <si>
    <t>Fuel Cell</t>
  </si>
  <si>
    <t>Light-Duty Vehicle Sales: Total Sales, Cars and Light Trucks: Fuel Cell: High oil and gas supply</t>
  </si>
  <si>
    <t>48-AEO2021.66.highogs-d120120a</t>
  </si>
  <si>
    <t>Light-Duty Vehicle Sales: Total Vehicles Sales: High oil and gas supply</t>
  </si>
  <si>
    <t>48-AEO2021.67.highogs-d120120a</t>
  </si>
  <si>
    <t>Conventional Gasoline Microhybrids</t>
  </si>
  <si>
    <t>Light-Duty Vehicle Sales: Microhybrids: Conventional Gasoline: High oil and gas supply</t>
  </si>
  <si>
    <t>48-AEO2021.70.highogs-d120120a</t>
  </si>
  <si>
    <t>TDI Diesel Microhybrids</t>
  </si>
  <si>
    <t>Light-Duty Vehicle Sales: Microhybrids: TDI Diesel: High oil and gas supply</t>
  </si>
  <si>
    <t>48-AEO2021.71.highogs-d120120a</t>
  </si>
  <si>
    <t>Light-Duty Vehicle Sales: Alternative-Fueled Vehicles: High oil and gas supply</t>
  </si>
  <si>
    <t>48-AEO2021.80.highogs-d120120a</t>
  </si>
  <si>
    <t>Table 39.  Light-Duty Vehicle Stock by Technology Type</t>
  </si>
  <si>
    <t>https://www.eia.gov/outlooks/aeo/data/browser/#/?id=49-AEO2021&amp;cases=highogs&amp;sourcekey=0</t>
  </si>
  <si>
    <t>Mon Mar 08 2021 16:27:05 GMT-0800 (Pacific Standard Time)</t>
  </si>
  <si>
    <t>Car Stock</t>
  </si>
  <si>
    <t>Light-Duty Vehicle Stock: Conventional Cars: Gasoline: High oil and gas supply</t>
  </si>
  <si>
    <t>Light-Duty Vehicle Stock: Conventional Cars: TDI Diesel: High oil and gas supply</t>
  </si>
  <si>
    <t>Light-Duty Vehicle Stock: Conventional Cars: Total: High oil and gas supply</t>
  </si>
  <si>
    <t>Light-Duty Vehicle Stock: Alternative-Fuel Cars: Ethanol-Flex Fuel ICE: High oil and gas supply</t>
  </si>
  <si>
    <t>Light-Duty Vehicle Stock: Alternative-Fuel Cars: 100 Mile Electric Vehicle: High oil and gas supply</t>
  </si>
  <si>
    <t>Light-Duty Vehicle Stock: Alternative-Fuel Cars: 200 Mile Electric Vehicle: High oil and gas supply</t>
  </si>
  <si>
    <t>Light-Duty Vehicle Stock: Alternative-Fuel Cars: 300 Mile Electric Vehicle: High oil and gas supply</t>
  </si>
  <si>
    <t>Light-Duty Vehicle Stock: Alternative-Fuel Cars: Plug-in 10 Gasoline Hybrid: High oil and gas supply</t>
  </si>
  <si>
    <t>Light-Duty Vehicle Stock: Alternative-Fuel Cars: Plug-in 40 Gasoline Hybrid: High oil and gas supply</t>
  </si>
  <si>
    <t>Light-Duty Vehicle Stock: Alternative-Fuel Cars: Electric-Diesel Hybrid: High oil and gas supply</t>
  </si>
  <si>
    <t>Light-Duty Vehicle Stock: Alternative-Fuel Cars: Electric-Gasoline Hybrid: High oil and gas supply</t>
  </si>
  <si>
    <t>Light-Duty Vehicle Stock: Alternative-Fuel Cars: Natural Gas ICE: High oil and gas supply</t>
  </si>
  <si>
    <t>Light-Duty Vehicle Stock: Alternative-Fuel Cars: Natural Gas Bi-fuel: High oil and gas supply</t>
  </si>
  <si>
    <t>Light-Duty Vehicle Stock: Alternative-Fuel Cars: Propane ICE: High oil and gas supply</t>
  </si>
  <si>
    <t>Light-Duty Vehicle Stock: Alternative-Fuel Cars: Propane Bi-fuel: High oil and gas supply</t>
  </si>
  <si>
    <t>Light-Duty Vehicle Stock: Alternative-Fuel Cars: Fuel Cell Methanol: High oil and gas supply</t>
  </si>
  <si>
    <t>Light-Duty Vehicle Stock: Alternative-Fuel Cars: Fuel Cell Hydrogen: High oil and gas supply</t>
  </si>
  <si>
    <t>Light-Duty Vehicle Stock: Alternative-Fuel Cars: Total: High oil and gas supply</t>
  </si>
  <si>
    <t>Light-Duty Vehicle Stock: Car Stock: Total: High oil and gas supply</t>
  </si>
  <si>
    <t>Light Truck Stock</t>
  </si>
  <si>
    <t>Light-Duty Vehicle Stock: Conventional Light Trucks: Gasoline: High oil and gas supply</t>
  </si>
  <si>
    <t>Light-Duty Vehicle Stock: Conventional Light Trucks: TDI Diesel: High oil and gas supply</t>
  </si>
  <si>
    <t>Light-Duty Vehicle Stock: Conventional Light Trucks: Total: High oil and gas supply</t>
  </si>
  <si>
    <t>Light-Duty Vehicle Stock: Alternative-Fuel Light Trucks: Ethanol-Flex Fuel ICE: High oil and gas supply</t>
  </si>
  <si>
    <t>Light-Duty Vehicle Stock: Alternative-Fuel Light Trucks: 100 Mile Electric Vehicle: High oil and gas supply</t>
  </si>
  <si>
    <t>Light-Duty Vehicle Stock: Alternative-Fuel Light Trucks: 200 Mile Electric Vehicle: High oil and gas supply</t>
  </si>
  <si>
    <t>Light-Duty Vehicle Stock: Alternative-Fuel Light Trucks: 300 Mile Electric Vehicle: High oil and gas supply</t>
  </si>
  <si>
    <t>Light-Duty Vehicle Stock: Alternative-Fuel Light Trucks: Plug-in 10 Gasoline Hybrid: High oil and gas supply</t>
  </si>
  <si>
    <t>Light-Duty Vehicle Stock: Alternative-Fuel Light Trucks: Plug-in 40 Gasoline Hybrid: High oil and gas supply</t>
  </si>
  <si>
    <t>Light-Duty Vehicle Stock: Alternative-Fuel Light Trucks: Electric-Diesel Hybrid: High oil and gas supply</t>
  </si>
  <si>
    <t>Light-Duty Vehicle Stock: Alternative-Fuel Light Trucks: Electric-Gasoline Hybrid: High oil and gas supply</t>
  </si>
  <si>
    <t>Light-Duty Vehicle Stock: Alternative-Fuel Light Trucks: Natural Gas ICE: High oil and gas supply</t>
  </si>
  <si>
    <t>Light-Duty Vehicle Stock: Alternative-Fuel Light Trucks: Natural Gas Bi-fuel: High oil and gas supply</t>
  </si>
  <si>
    <t>Light-Duty Vehicle Stock: Alternative-Fuel Light Trucks: Propane ICE: High oil and gas supply</t>
  </si>
  <si>
    <t>Light-Duty Vehicle Stock: Alternative-Fuel Light Trucks: Propane Bi-fuel: High oil and gas supply</t>
  </si>
  <si>
    <t>Light-Duty Vehicle Stock: Alternative-Fuel Light Trucks: Fuel Cell Methanol: High oil and gas supply</t>
  </si>
  <si>
    <t>Light-Duty Vehicle Stock: Alternative-Fuel Light Trucks: Fuel Cell Hydrogen: High oil and gas supply</t>
  </si>
  <si>
    <t>Light-Duty Vehicle Stock: Alternative-Fuel Light Trucks: Total: High oil and gas supply</t>
  </si>
  <si>
    <t>Light-Duty Vehicle Stock: Light Truck Stock: Total: High oil and gas supply</t>
  </si>
  <si>
    <t>Light-Duty Vehicle Stock: Total Vehicle Stock: High oil and gas supply</t>
  </si>
  <si>
    <t>49-AEO2021.2.</t>
  </si>
  <si>
    <t>49-AEO2021.3.</t>
  </si>
  <si>
    <t>49-AEO2021.4.highogs-d120120a</t>
  </si>
  <si>
    <t>millions</t>
  </si>
  <si>
    <t>49-AEO2021.5.highogs-d120120a</t>
  </si>
  <si>
    <t>49-AEO2021.6.highogs-d120120a</t>
  </si>
  <si>
    <t>49-AEO2021.8.</t>
  </si>
  <si>
    <t>49-AEO2021.9.highogs-d120120a</t>
  </si>
  <si>
    <t>49-AEO2021.10.highogs-d120120a</t>
  </si>
  <si>
    <t>49-AEO2021.11.highogs-d120120a</t>
  </si>
  <si>
    <t>49-AEO2021.12.highogs-d120120a</t>
  </si>
  <si>
    <t>49-AEO2021.13.highogs-d120120a</t>
  </si>
  <si>
    <t>49-AEO2021.14.highogs-d120120a</t>
  </si>
  <si>
    <t>49-AEO2021.15.highogs-d120120a</t>
  </si>
  <si>
    <t>49-AEO2021.16.highogs-d120120a</t>
  </si>
  <si>
    <t>49-AEO2021.17.highogs-d120120a</t>
  </si>
  <si>
    <t>49-AEO2021.18.highogs-d120120a</t>
  </si>
  <si>
    <t>49-AEO2021.19.highogs-d120120a</t>
  </si>
  <si>
    <t>49-AEO2021.20.highogs-d120120a</t>
  </si>
  <si>
    <t>49-AEO2021.21.highogs-d120120a</t>
  </si>
  <si>
    <t>49-AEO2021.22.highogs-d120120a</t>
  </si>
  <si>
    <t>49-AEO2021.23.highogs-d120120a</t>
  </si>
  <si>
    <t>49-AEO2021.25.highogs-d120120a</t>
  </si>
  <si>
    <t>49-AEO2021.27.</t>
  </si>
  <si>
    <t>49-AEO2021.28.</t>
  </si>
  <si>
    <t>49-AEO2021.29.highogs-d120120a</t>
  </si>
  <si>
    <t>49-AEO2021.30.highogs-d120120a</t>
  </si>
  <si>
    <t>49-AEO2021.31.highogs-d120120a</t>
  </si>
  <si>
    <t>49-AEO2021.33.</t>
  </si>
  <si>
    <t>49-AEO2021.34.highogs-d120120a</t>
  </si>
  <si>
    <t>49-AEO2021.35.highogs-d120120a</t>
  </si>
  <si>
    <t>49-AEO2021.36.highogs-d120120a</t>
  </si>
  <si>
    <t>49-AEO2021.37.highogs-d120120a</t>
  </si>
  <si>
    <t>49-AEO2021.38.highogs-d120120a</t>
  </si>
  <si>
    <t>49-AEO2021.39.highogs-d120120a</t>
  </si>
  <si>
    <t>49-AEO2021.40.highogs-d120120a</t>
  </si>
  <si>
    <t>49-AEO2021.41.highogs-d120120a</t>
  </si>
  <si>
    <t>49-AEO2021.42.highogs-d120120a</t>
  </si>
  <si>
    <t>49-AEO2021.43.highogs-d120120a</t>
  </si>
  <si>
    <t>49-AEO2021.44.highogs-d120120a</t>
  </si>
  <si>
    <t>49-AEO2021.45.highogs-d120120a</t>
  </si>
  <si>
    <t>49-AEO2021.46.highogs-d120120a</t>
  </si>
  <si>
    <t>49-AEO2021.47.highogs-d120120a</t>
  </si>
  <si>
    <t>49-AEO2021.48.highogs-d120120a</t>
  </si>
  <si>
    <t>49-AEO2021.50.highogs-d120120a</t>
  </si>
  <si>
    <t>49-AEO2021.52.highogs-d120120a</t>
  </si>
  <si>
    <t>Table 49.  Freight Transportation Energy Use</t>
  </si>
  <si>
    <t>https://www.eia.gov/outlooks/aeo/data/browser/#/?id=58-AEO2021&amp;cases=highogs&amp;sourcekey=0</t>
  </si>
  <si>
    <t>Mon Mar 08 2021 16:29:49 GMT-0800 (Pacific Standard Time)</t>
  </si>
  <si>
    <t>Vehicle Miles Traveled (billion miles)</t>
  </si>
  <si>
    <t>Light Medium</t>
  </si>
  <si>
    <t>Diesel</t>
  </si>
  <si>
    <t>Freight: Truck Stock: Vehicle Miles Traveled: Light Medium: Diesel: High oil and gas supply</t>
  </si>
  <si>
    <t>Motor Gasoline</t>
  </si>
  <si>
    <t>Freight: Truck Stock: Vehicle Miles Traveled: Light Medium: Motor Gasoline: High oil and gas supply</t>
  </si>
  <si>
    <t>Propane</t>
  </si>
  <si>
    <t>Freight: Truck Stock: Vehicle Miles Traveled: Light Medium: Propane: High oil and gas supply</t>
  </si>
  <si>
    <t>Compressed/Liquefied Natural Gas</t>
  </si>
  <si>
    <t>Freight: Truck Stock: Vehicle Miles Traveled: Light Medium: Natural Gas: High oil and gas supply</t>
  </si>
  <si>
    <t>Ethanol-Flex Fuel</t>
  </si>
  <si>
    <t>Freight: Truck Stock: Vehicle Miles Traveled: Light Medium: Ethanol-Flex Fuel: High oil and gas supply</t>
  </si>
  <si>
    <t>Freight: Truck Stock: Vehicle Miles Traveled: Light Medium: Electric: High oil and gas supply</t>
  </si>
  <si>
    <t>Plug-in Diesel Hybrid</t>
  </si>
  <si>
    <t>Freight: Truck Stock: Vehicle Miles Traveled: Light Medium: Plug-in Diesel Hybrid: High oil and gas supply</t>
  </si>
  <si>
    <t>Plug-in Gasoline Hybrid</t>
  </si>
  <si>
    <t>Freight: Truck Stock: Vehicle Miles Traveled: Light Medium: Plug-in Gasoline Hybrid: High oil and gas supply</t>
  </si>
  <si>
    <t>Freight: Truck Stock: Vehicle Miles Traveled: Light Medium: Fuel Cell: High oil and gas supply</t>
  </si>
  <si>
    <t>Light Medium Subtotal</t>
  </si>
  <si>
    <t>Freight: Truck Stock: Vehicle Miles Traveled: Light Medium: High oil and gas supply</t>
  </si>
  <si>
    <t>Medium</t>
  </si>
  <si>
    <t>Freight: Truck Stock: Vehicle Miles Traveled: Medium: Diesel: High oil and gas supply</t>
  </si>
  <si>
    <t>Freight: Truck Stock: Vehicle Miles Traveled: Medium: Motor Gasoline: High oil and gas supply</t>
  </si>
  <si>
    <t>Freight: Truck Stock: Vehicle Miles Traveled: Medium: Propane: High oil and gas supply</t>
  </si>
  <si>
    <t>Freight: Truck Stock: Vehicle Miles Traveled: Medium: Natural Gas: High oil and gas supply</t>
  </si>
  <si>
    <t>Freight: Truck Stock: Vehicle Miles Traveled: Medium: Ethanol-Flex Fuel: High oil and gas supply</t>
  </si>
  <si>
    <t>Freight: Truck Stock: Vehicle Miles Traveled: Medium: Electric: High oil and gas supply</t>
  </si>
  <si>
    <t>Freight: Truck Stock: Vehicle Miles Traveled: Medium: Plug-in Diesel Hybrid: High oil and gas supply</t>
  </si>
  <si>
    <t>Freight: Truck Stock: Vehicle Miles Traveled: Medium: Plug-in Gasoline Hybrid: High oil and gas supply</t>
  </si>
  <si>
    <t>Freight: Truck Stock: Vehicle Miles Traveled: Medium: Fuel Cell: High oil and gas supply</t>
  </si>
  <si>
    <t>Medium Subtotal</t>
  </si>
  <si>
    <t>Freight: Truck Stock: Vehicle Miles Traveled: Medium: High oil and gas supply</t>
  </si>
  <si>
    <t>Heavy</t>
  </si>
  <si>
    <t>Freight: Truck Stock: Vehicle Miles Traveled: Heavy: Diesel: High oil and gas supply</t>
  </si>
  <si>
    <t>Freight: Truck Stock: Vehicle Miles Traveled: Heavy: Motor Gasoline: High oil and gas supply</t>
  </si>
  <si>
    <t>Freight: Truck Stock: Vehicle Miles Traveled: Heavy: Propane: High oil and gas supply</t>
  </si>
  <si>
    <t>Freight: Truck Stock: Vehicle Miles Traveled: Heavy: Natural Gas: High oil and gas supply</t>
  </si>
  <si>
    <t>Freight: Truck Stock: Vehicle Miles Traveled: Heavy: Ethanol-Flex Fuel: High oil and gas supply</t>
  </si>
  <si>
    <t>Freight: Truck Stock: Vehicle Miles Traveled: Heavy: Electric: High oil and gas supply</t>
  </si>
  <si>
    <t>Freight: Truck Stock: Vehicle Miles Traveled: Heavy: Plug-in Diesel Hybrid: High oil and gas supply</t>
  </si>
  <si>
    <t>Freight: Truck Stock: Vehicle Miles Traveled: Heavy: Plug-in Gasoline Hybrid: High oil and gas supply</t>
  </si>
  <si>
    <t>Freight: Truck Stock: Vehicle Miles Traveled: Heavy: Fuel Cell: High oil and gas supply</t>
  </si>
  <si>
    <t>Heavy Subtotal</t>
  </si>
  <si>
    <t>Freight: Truck Stock: Vehicle Miles Traveled: Heavy: High oil and gas supply</t>
  </si>
  <si>
    <t>Total Vehicle Miles Traveled</t>
  </si>
  <si>
    <t>Freight: Truck Stock: Vehicle Miles Traveled: High oil and gas supply</t>
  </si>
  <si>
    <t>Consumption (trillion Btu)</t>
  </si>
  <si>
    <t>Freight: Truck Stock: Use: Light Medium: Diesel: High oil and gas supply</t>
  </si>
  <si>
    <t>Freight: Truck Stock: Use: Light Medium: Motor Gasoline: High oil and gas supply</t>
  </si>
  <si>
    <t>Freight: Truck Stock: Use: Light Medium: Propane: High oil and gas supply</t>
  </si>
  <si>
    <t>Freight: Truck Stock: Use: Light Medium: Natural Gas: High oil and gas supply</t>
  </si>
  <si>
    <t>Freight: Truck Stock: Use: Light Medium: Ethanol-Flex Fuel: High oil and gas supply</t>
  </si>
  <si>
    <t>Freight: Truck Stock: Use: Light Medium: Electric: High oil and gas supply</t>
  </si>
  <si>
    <t>Freight: Truck Stock: Use: Light Medium: Plug-in Diesel Hybrid: High oil and gas supply</t>
  </si>
  <si>
    <t>Freight: Truck Stock: Use: Light Medium: Plug-in Gasoline Hybrid: High oil and gas supply</t>
  </si>
  <si>
    <t>Freight: Truck Stock: Use: Light Medium: Fuel Cell: High oil and gas supply</t>
  </si>
  <si>
    <t>Freight: Truck Stock: Use: Light Medium: High oil and gas supply</t>
  </si>
  <si>
    <t>Freight: Truck Stock: Use: Medium: Diesel: High oil and gas supply</t>
  </si>
  <si>
    <t>Freight: Truck Stock: Use: Medium: Motor Gasoline: High oil and gas supply</t>
  </si>
  <si>
    <t>Freight: Truck Stock: Use: Medium: Propane: High oil and gas supply</t>
  </si>
  <si>
    <t>Freight: Truck Stock: Use: Medium: Natural Gas: High oil and gas supply</t>
  </si>
  <si>
    <t>Freight: Truck Stock: Use: Medium: Ethanol-Flex Fuel: High oil and gas supply</t>
  </si>
  <si>
    <t>Freight: Truck Stock: Use: Medium: Electric: High oil and gas supply</t>
  </si>
  <si>
    <t>Freight: Truck Stock: Use: Medium: Plug-in Diesel Hybrid: High oil and gas supply</t>
  </si>
  <si>
    <t>Freight: Truck Stock: Use: Medium: Plug-in Gasoline Hybrid: High oil and gas supply</t>
  </si>
  <si>
    <t>Freight: Truck Stock: Use: Medium: Fuel Cell: High oil and gas supply</t>
  </si>
  <si>
    <t>Freight: Truck Stock: Use: Medium: High oil and gas supply</t>
  </si>
  <si>
    <t>Freight: Truck Stock: Use: Heavy: Diesel: High oil and gas supply</t>
  </si>
  <si>
    <t>Freight: Truck Stock: Use: Heavy: Motor Gasoline: High oil and gas supply</t>
  </si>
  <si>
    <t>Freight: Truck Stock: Use: Heavy: Propane: High oil and gas supply</t>
  </si>
  <si>
    <t>Freight: Truck Stock: Use: Heavy: Natural Gas: High oil and gas supply</t>
  </si>
  <si>
    <t>Freight: Truck Stock: Use: Heavy: Ethanol-Flex Fuel: High oil and gas supply</t>
  </si>
  <si>
    <t>Freight: Truck Stock: Use: Heavy: Electric: High oil and gas supply</t>
  </si>
  <si>
    <t>Freight: Truck Stock: Use: Heavy: Plug-in Diesel Hybrid: High oil and gas supply</t>
  </si>
  <si>
    <t>Freight: Truck Stock: Use: Heavy: Plug-in Gasoline Hybrid: High oil and gas supply</t>
  </si>
  <si>
    <t>Freight: Truck Stock: Use: Heavy: Fuel Cell: High oil and gas supply</t>
  </si>
  <si>
    <t>Freight: Truck Stock: Use: Heavy: High oil and gas supply</t>
  </si>
  <si>
    <t xml:space="preserve"> Medium</t>
  </si>
  <si>
    <t>Freight: Truck Stock: Use: Light Medium, Medium, and Heavy: Diesel: High oil and gas supply</t>
  </si>
  <si>
    <t>Freight: Truck Stock: Use: Light Medium, Medium, and Heavy: Motor Gasoline: High oil and gas supply</t>
  </si>
  <si>
    <t>Freight: Truck Stock: Use: Light Medium, Medium, and Heavy: Propane: High oil and gas supply</t>
  </si>
  <si>
    <t>Freight: Truck Stock: Use: Light Medium, Medium, and Heavy: Natural Gas: High oil and gas supply</t>
  </si>
  <si>
    <t>Freight: Truck Stock: Use: Light Medium, Medium, and Heavy: Ethanol-Flex Fuel: High oil and gas supply</t>
  </si>
  <si>
    <t>Freight: Truck Stock: Use: Light Medium, Medium, and Heavy: Electric: High oil and gas supply</t>
  </si>
  <si>
    <t>Freight: Truck Stock: Use: Light Medium, Medium, and Heavy: Plug-in Diesel Hybrid: High oil and gas supply</t>
  </si>
  <si>
    <t>Freight: Truck Stock: Use: Light Medium, Medium, and Heavy: Plug-in Gasoline Hybrid: High oil and gas supply</t>
  </si>
  <si>
    <t>Freight: Truck Stock: Use: Light Medium, Medium, and Heavy: Fuel Cell: High oil and gas supply</t>
  </si>
  <si>
    <t>Total Consumption</t>
  </si>
  <si>
    <t>Freight: Truck Stock: Use: Light Medium, Medium, and Heavy: High oil and gas supply</t>
  </si>
  <si>
    <t>Fuel Efficiency (miles per gallon)</t>
  </si>
  <si>
    <t>Freight: Truck Stock: Fuel Efficiency: Light Medium: Diesel: High oil and gas supply</t>
  </si>
  <si>
    <t>Freight: Truck Stock: Fuel Efficiency: Light Medium: Motor Gasoline: High oil and gas supply</t>
  </si>
  <si>
    <t>Freight: Truck Stock: Fuel Efficiency: Light Medium: Propane: High oil and gas supply</t>
  </si>
  <si>
    <t>Freight: Truck Stock: Fuel Efficiency: Light Medium: Natural Gas: High oil and gas supply</t>
  </si>
  <si>
    <t>Freight: Truck Stock: Fuel Efficiency: Light Medium: Ethanol-Flex Fuel: High oil and gas supply</t>
  </si>
  <si>
    <t>Freight: Truck Stock: Fuel Efficiency: Light Medium: Electric: High oil and gas supply</t>
  </si>
  <si>
    <t>Freight: Truck Stock: Fuel Efficiency: Light Medium: Plug-in Diesel Hybrid: High oil and gas supply</t>
  </si>
  <si>
    <t>Freight: Truck Stock: Fuel Efficiency: Light Medium: Plug-in Gasoline Hybrid: High oil and gas supply</t>
  </si>
  <si>
    <t>Freight: Truck Stock: Fuel Efficiency: Light Medium: Fuel Cell: High oil and gas supply</t>
  </si>
  <si>
    <t>Light Medium Average</t>
  </si>
  <si>
    <t>Freight: Truck Stock: Fuel Efficiency: Light Medium: Average: High oil and gas supply</t>
  </si>
  <si>
    <t>Freight: Truck Stock: Fuel Efficiency: Medium: Diesel: High oil and gas supply</t>
  </si>
  <si>
    <t>Freight: Truck Stock: Fuel Efficiency: Medium: Motor Gasoline: High oil and gas supply</t>
  </si>
  <si>
    <t>Freight: Truck Stock: Fuel Efficiency: Medium: Propane: High oil and gas supply</t>
  </si>
  <si>
    <t>Freight: Truck Stock: Fuel Efficiency: Medium: Natural Gas: High oil and gas supply</t>
  </si>
  <si>
    <t>Freight: Truck Stock: Fuel Efficiency: Medium: Ethanol-Flex Fuel: High oil and gas supply</t>
  </si>
  <si>
    <t>Freight: Truck Stock: Fuel Efficiency: Medium: Electric: High oil and gas supply</t>
  </si>
  <si>
    <t>Freight: Truck Stock: Fuel Efficiency: Medium: Plug-in Diesel Hybrid: High oil and gas supply</t>
  </si>
  <si>
    <t>Freight: Truck Stock: Fuel Efficiency: Medium: Plug-in Gasoline Hybrid: High oil and gas supply</t>
  </si>
  <si>
    <t>Freight: Truck Stock: Fuel Efficiency: Medium: Fuel Cell: High oil and gas supply</t>
  </si>
  <si>
    <t>Medium Average</t>
  </si>
  <si>
    <t>Freight: Truck Stock: Fuel Efficiency: Medium: Average: High oil and gas supply</t>
  </si>
  <si>
    <t>Freight: Truck Stock: Fuel Efficiency: Heavy: Diesel: High oil and gas supply</t>
  </si>
  <si>
    <t>Freight: Truck Stock: Fuel Efficiency: Heavy: Motor Gasoline: High oil and gas supply</t>
  </si>
  <si>
    <t>Freight: Truck Stock: Fuel Efficiency: Heavy: Propane: High oil and gas supply</t>
  </si>
  <si>
    <t>Freight: Truck Stock: Fuel Efficiency: Heavy: Natural Gas: High oil and gas supply</t>
  </si>
  <si>
    <t>Freight: Truck Stock: Fuel Efficiency: Heavy: Ethanol-Flex Fuel: High oil and gas supply</t>
  </si>
  <si>
    <t>Freight: Truck Stock: Fuel Efficiency: Heavy: Electric: High oil and gas supply</t>
  </si>
  <si>
    <t>Freight: Truck Stock: Fuel Efficiency: Heavy: Plug-in Diesel Hybrid: High oil and gas supply</t>
  </si>
  <si>
    <t>Freight: Truck Stock: Fuel Efficiency: Heavy: Plug-in Gasoline Hybrid: High oil and gas supply</t>
  </si>
  <si>
    <t>Freight: Truck Stock: Fuel Efficiency: Heavy: Fuel Cell: High oil and gas supply</t>
  </si>
  <si>
    <t>Heavy Average</t>
  </si>
  <si>
    <t>Freight: Truck Stock: Fuel Efficiency: Heavy: Average: High oil and gas supply</t>
  </si>
  <si>
    <t>Average Fuel Efficiency</t>
  </si>
  <si>
    <t>Freight: Truck Stock: Fuel Efficiency: High oil and gas supply</t>
  </si>
  <si>
    <t>Stock (millions)</t>
  </si>
  <si>
    <t>Freight: Truck Stock: Light Medium: Diesel: High oil and gas supply</t>
  </si>
  <si>
    <t>Freight: Truck Stock: Light Medium: Motor Gasoline: High oil and gas supply</t>
  </si>
  <si>
    <t>Freight: Truck Stock: Light Medium: Propane: High oil and gas supply</t>
  </si>
  <si>
    <t>Freight: Truck Stock: Light Medium: Natural Gas: High oil and gas supply</t>
  </si>
  <si>
    <t>Freight: Truck Stock: Light Medium: Ethanol-Flex Fuel: High oil and gas supply</t>
  </si>
  <si>
    <t>Freight: Truck Stock: Light Medium: Electric: High oil and gas supply</t>
  </si>
  <si>
    <t>Freight: Truck Stock: Light Medium: Plug-in Diesel Hybrid: High oil and gas supply</t>
  </si>
  <si>
    <t>Freight: Truck Stock: Light Medium: Plug-in Gasoline Hybrid: High oil and gas supply</t>
  </si>
  <si>
    <t>Freight: Truck Stock: Light Medium: Fuel Cell: High oil and gas supply</t>
  </si>
  <si>
    <t>Freight: Truck Stock: Light Medium: High oil and gas supply</t>
  </si>
  <si>
    <t>Freight: Truck Stock: Medium: Diesel: High oil and gas supply</t>
  </si>
  <si>
    <t>Freight: Truck Stock: Medium: Motor Gasoline: High oil and gas supply</t>
  </si>
  <si>
    <t>Freight: Truck Stock: Medium: Propane: High oil and gas supply</t>
  </si>
  <si>
    <t>Freight: Truck Stock: Medium: Natural Gas: High oil and gas supply</t>
  </si>
  <si>
    <t>Freight: Truck Stock: Medium: Ethanol-Flex Fuel: High oil and gas supply</t>
  </si>
  <si>
    <t>Freight: Truck Stock: Medium: Electric: High oil and gas supply</t>
  </si>
  <si>
    <t>Freight: Truck Stock: Medium: Plug-in Diesel Hybrid: High oil and gas supply</t>
  </si>
  <si>
    <t>Freight: Truck Stock: Medium: Plug-in Gasoline Hybrid: High oil and gas supply</t>
  </si>
  <si>
    <t>Freight: Truck Stock: Medium: Fuel Cell: High oil and gas supply</t>
  </si>
  <si>
    <t>Freight: Truck Stock: Medium: High oil and gas supply</t>
  </si>
  <si>
    <t>Freight: Truck Stock: Heavy: Diesel: High oil and gas supply</t>
  </si>
  <si>
    <t>Freight: Truck Stock: Heavy: Motor Gasoline: High oil and gas supply</t>
  </si>
  <si>
    <t>Freight: Truck Stock: Heavy: Propane: High oil and gas supply</t>
  </si>
  <si>
    <t>Freight: Truck Stock: Heavy: Natural Gas: High oil and gas supply</t>
  </si>
  <si>
    <t>Freight: Truck Stock: Heavy: Ethanol-Flex Fuel: High oil and gas supply</t>
  </si>
  <si>
    <t>Freight: Truck Stock: Heavy: Electric: High oil and gas supply</t>
  </si>
  <si>
    <t>Freight: Truck Stock: Heavy: Plug-in Diesel Hybrid: High oil and gas supply</t>
  </si>
  <si>
    <t>Freight: Truck Stock: Heavy: Plug-in Gasoline Hybrid: High oil and gas supply</t>
  </si>
  <si>
    <t>Freight: Truck Stock: Heavy: Fuel Cell: High oil and gas supply</t>
  </si>
  <si>
    <t>Freight: Truck Stock: Heavy: High oil and gas supply</t>
  </si>
  <si>
    <t>Freight: Truck Stock: High oil and gas supply</t>
  </si>
  <si>
    <t>Freight: New Trucks: Fuel Efficiency: Light Medium: Diesel: High oil and gas supply</t>
  </si>
  <si>
    <t>Freight: New Trucks: Fuel Efficiency: Light Medium: Motor Gasoline: High oil and gas supply</t>
  </si>
  <si>
    <t>Freight: New Trucks: Fuel Efficiency: Light Medium: Propane: High oil and gas supply</t>
  </si>
  <si>
    <t>Freight: New Trucks: Fuel Efficiency: Light Medium: Natural Gas: High oil and gas supply</t>
  </si>
  <si>
    <t>Freight: New Trucks: Fuel Efficiency: Light Medium: Ethanol-Flex Fuel: High oil and gas supply</t>
  </si>
  <si>
    <t>Freight: New Trucks: Fuel Efficiency: Light Medium: Electric: High oil and gas supply</t>
  </si>
  <si>
    <t>Freight: New Trucks: Fuel Efficiency: Light Medium: Plug-in Diesel Hybrid: High oil and gas supply</t>
  </si>
  <si>
    <t>Freight: New Trucks: Fuel Efficiency: Light Medium: Plug-in Gasoline Hybrid: High oil and gas supply</t>
  </si>
  <si>
    <t>Freight: New Trucks: Fuel Efficiency: Light Medium: Fuel Cell: High oil and gas supply</t>
  </si>
  <si>
    <t>Freight: New Trucks: Fuel Efficiency: Light Medium: Average: High oil and gas supply</t>
  </si>
  <si>
    <t>Freight: New Trucks: Fuel Efficiency: Medium: Diesel: High oil and gas supply</t>
  </si>
  <si>
    <t>Freight: New Trucks: Fuel Efficiency: Medium: Motor Gasoline: High oil and gas supply</t>
  </si>
  <si>
    <t>Freight: New Trucks: Fuel Efficiency: Medium: Propane: High oil and gas supply</t>
  </si>
  <si>
    <t>Freight: New Trucks: Fuel Efficiency: Medium: Natural Gas: High oil and gas supply</t>
  </si>
  <si>
    <t>Freight: New Trucks: Fuel Efficiency: Medium: Ethanol-Flex Fuel: High oil and gas supply</t>
  </si>
  <si>
    <t>Freight: New Trucks: Fuel Efficiency: Medium: Electric: High oil and gas supply</t>
  </si>
  <si>
    <t>Freight: New Trucks: Fuel Efficiency: Medium: Plug-in Diesel Hybrid: High oil and gas supply</t>
  </si>
  <si>
    <t>Freight: New Trucks: Fuel Efficiency: Medium: Plug-in Gasoline Hybrid: High oil and gas supply</t>
  </si>
  <si>
    <t>Freight: New Trucks: Fuel Efficiency: Medium: Fuel Cell: High oil and gas supply</t>
  </si>
  <si>
    <t>Freight: New Trucks: Fuel Efficiency: Medium: Average: High oil and gas supply</t>
  </si>
  <si>
    <t>Freight: New Trucks: Fuel Efficiency: Heavy: Diesel: High oil and gas supply</t>
  </si>
  <si>
    <t>Freight: New Trucks: Fuel Efficiency: Heavy: Motor Gasoline: High oil and gas supply</t>
  </si>
  <si>
    <t>Freight: New Trucks: Fuel Efficiency: Heavy: Propane: High oil and gas supply</t>
  </si>
  <si>
    <t>Freight: New Trucks: Fuel Efficiency: Heavy: Natural Gas: High oil and gas supply</t>
  </si>
  <si>
    <t>Freight: New Trucks: Fuel Efficiency: Heavy: Ethanol-Flex Fuel: High oil and gas supply</t>
  </si>
  <si>
    <t>Freight: New Trucks: Fuel Efficiency: Heavy: Electric: High oil and gas supply</t>
  </si>
  <si>
    <t>Freight: New Trucks: Fuel Efficiency: Heavy: Plug-in Diesel Hybrid: High oil and gas supply</t>
  </si>
  <si>
    <t>Freight: New Trucks: Fuel Efficiency: Heavy: Plug-in Gasoline Hybrid: High oil and gas supply</t>
  </si>
  <si>
    <t>Freight: New Trucks: Fuel Efficiency: Heavy: Fuel Cell: High oil and gas supply</t>
  </si>
  <si>
    <t>Freight: New Trucks: Fuel Efficiency: Heavy: Average: High oil and gas supply</t>
  </si>
  <si>
    <t>Freight: New Trucks: Fuel Efficiency: High oil and gas supply</t>
  </si>
  <si>
    <t>Sales (thousands)</t>
  </si>
  <si>
    <t>Freight: New Trucks: Sales: Light Medium: Diesel: High oil and gas supply</t>
  </si>
  <si>
    <t>Freight: New Trucks: Sales: Light Medium: Motor Gasoline: High oil and gas supply</t>
  </si>
  <si>
    <t>Freight: New Trucks: Sales: Light Medium: Propane: High oil and gas supply</t>
  </si>
  <si>
    <t>Freight: New Trucks: Sales: Light Medium: Natural Gas: High oil and gas supply</t>
  </si>
  <si>
    <t>Freight: New Trucks: Sales: Light Medium: Ethanol-Flex Fuel: High oil and gas supply</t>
  </si>
  <si>
    <t>Freight: New Trucks: Sales: Light Medium: Electric: High oil and gas supply</t>
  </si>
  <si>
    <t>Freight: New Trucks: Sales: Light Medium: Plug-in Diesel Hybrid: High oil and gas supply</t>
  </si>
  <si>
    <t>Freight: New Trucks: Sales: Light Medium: Plug-in Gasoline Hybrid: High oil and gas supply</t>
  </si>
  <si>
    <t>Freight: New Trucks: Sales: Light Medium: Fuel Cell: High oil and gas supply</t>
  </si>
  <si>
    <t>Freight: New Trucks: Sales: Light Medium: High oil and gas supply</t>
  </si>
  <si>
    <t>Freight: New Trucks: Sales: Medium: Diesel: High oil and gas supply</t>
  </si>
  <si>
    <t>Freight: New Trucks: Sales: Medium: Motor Gasoline: High oil and gas supply</t>
  </si>
  <si>
    <t>Freight: New Trucks: Sales: Medium: Propane: High oil and gas supply</t>
  </si>
  <si>
    <t>Freight: New Trucks: Sales: Medium: Natural Gas: High oil and gas supply</t>
  </si>
  <si>
    <t>Freight: New Trucks: Sales: Medium: Ethanol-Flex Fuel: High oil and gas supply</t>
  </si>
  <si>
    <t>Freight: New Trucks: Sales: Medium: Electric: High oil and gas supply</t>
  </si>
  <si>
    <t>Freight: New Trucks: Sales: Medium: Plug-in Diesel Hybrid: High oil and gas supply</t>
  </si>
  <si>
    <t>Freight: New Trucks: Sales: Medium: Plug-in Gasoline Hybrid: High oil and gas supply</t>
  </si>
  <si>
    <t>Freight: New Trucks: Sales: Medium: Fuel Cell: High oil and gas supply</t>
  </si>
  <si>
    <t>Freight: New Trucks: Sales: Medium: High oil and gas supply</t>
  </si>
  <si>
    <t>Freight: New Trucks: Sales: Heavy: Diesel: High oil and gas supply</t>
  </si>
  <si>
    <t>Freight: New Trucks: Sales: Heavy: Motor Gasoline: High oil and gas supply</t>
  </si>
  <si>
    <t>Freight: New Trucks: Sales: Heavy: Propane: High oil and gas supply</t>
  </si>
  <si>
    <t>Freight: New Trucks: Sales: Heavy: Natural Gas: High oil and gas supply</t>
  </si>
  <si>
    <t>Freight: New Trucks: Sales: Heavy: Ethanol-Flex Fuel: High oil and gas supply</t>
  </si>
  <si>
    <t>Freight: New Trucks: Sales: Heavy: Electric: High oil and gas supply</t>
  </si>
  <si>
    <t>Freight: New Trucks: Sales: Heavy: Plug-in Diesel Hybrid: High oil and gas supply</t>
  </si>
  <si>
    <t>Freight: New Trucks: Sales: Heavy: Plug-in Gasoline Hybrid: High oil and gas supply</t>
  </si>
  <si>
    <t>Freight: New Trucks: Sales: Heavy: Fuel Cell: High oil and gas supply</t>
  </si>
  <si>
    <t>Freight: New Trucks: Sales: Heavy: High oil and gas supply</t>
  </si>
  <si>
    <t>Freight: New Trucks: Sales: High oil and gas supply</t>
  </si>
  <si>
    <t>Ton Miles by Rail (billion)</t>
  </si>
  <si>
    <t>Freight: Railroads: Ton Miles by Rail: High oil and gas supply</t>
  </si>
  <si>
    <t>Fuel Efficiency (ton miles per thousand Btu)</t>
  </si>
  <si>
    <t>Freight: Railroads: Fuel Efficiency: High oil and gas supply</t>
  </si>
  <si>
    <t>Fuel Consumption (trillion Btu)</t>
  </si>
  <si>
    <t>Distillate Fuel Oil (diesel)</t>
  </si>
  <si>
    <t>Freight: Railroads: Fuel Use: Distillate Fuel Oil: High oil and gas supply</t>
  </si>
  <si>
    <t>Residual Fuel Oil</t>
  </si>
  <si>
    <t>Freight: Railroads: Fuel Use: Residual Fuel Oil: High oil and gas supply</t>
  </si>
  <si>
    <t>Compressed Natural Gas</t>
  </si>
  <si>
    <t>Freight: Railroads: Fuel Use: CNG: High oil and gas supply</t>
  </si>
  <si>
    <t>Liquefied Natural Gas</t>
  </si>
  <si>
    <t>Freight: Railroads: Fuel Use: LNG: High oil and gas supply</t>
  </si>
  <si>
    <t>Ton Miles Shipping (billion)</t>
  </si>
  <si>
    <t>Freight: Domestic Shipping: Ton Miles Shipping: High oil and gas supply</t>
  </si>
  <si>
    <t>Freight: Domestic Shipping: Fuel Efficiency: High oil and gas supply</t>
  </si>
  <si>
    <t>Freight: Domestic Shipping: Fuel Use: Distillate Fuel Oil: High oil and gas supply</t>
  </si>
  <si>
    <t>Freight: Domestic Shipping: Fuel Use: Residual Fuel Oil: High oil and gas supply</t>
  </si>
  <si>
    <t>Freight: Domestic Shipping: Fuel Use: CNG: High oil and gas supply</t>
  </si>
  <si>
    <t>Freight: Domestic Shipping: Fuel Use: LNG: High oil and gas supply</t>
  </si>
  <si>
    <t>Gross Trade (billion 2012 dollars)</t>
  </si>
  <si>
    <t>Freight: International Shipping: Gross Trade: High oil and gas supply</t>
  </si>
  <si>
    <t>Exports (billion 2012 dollars)</t>
  </si>
  <si>
    <t>Freight: International Shipping: Exports: High oil and gas supply</t>
  </si>
  <si>
    <t>Imports (billion 2012 dollars)</t>
  </si>
  <si>
    <t>Freight: International Shipping: Imports: High oil and gas supply</t>
  </si>
  <si>
    <t>Freight: International Shipping: Fuel Use: Distillate Fuel Oil: High oil and gas supply</t>
  </si>
  <si>
    <t>Freight: International Shipping: Fuel Use: Residual Fuel Oil: High oil and gas supply</t>
  </si>
  <si>
    <t>Freight: International Shipping: Fuel Use: CNG: High oil and gas supply</t>
  </si>
  <si>
    <t>Freight: International Shipping: Fuel Use: LNG: High oil and gas supply</t>
  </si>
  <si>
    <t>58-AEO2021.2.</t>
  </si>
  <si>
    <t>58-AEO2021.4.</t>
  </si>
  <si>
    <t>58-AEO2021.5.</t>
  </si>
  <si>
    <t>58-AEO2021.6.highogs-d120120a</t>
  </si>
  <si>
    <t>billion miles</t>
  </si>
  <si>
    <t>58-AEO2021.7.highogs-d120120a</t>
  </si>
  <si>
    <t>58-AEO2021.8.highogs-d120120a</t>
  </si>
  <si>
    <t>58-AEO2021.9.highogs-d120120a</t>
  </si>
  <si>
    <t>58-AEO2021.10.highogs-d120120a</t>
  </si>
  <si>
    <t>58-AEO2021.11.highogs-d120120a</t>
  </si>
  <si>
    <t>58-AEO2021.12.highogs-d120120a</t>
  </si>
  <si>
    <t>58-AEO2021.13.highogs-d120120a</t>
  </si>
  <si>
    <t>58-AEO2021.14.highogs-d120120a</t>
  </si>
  <si>
    <t>58-AEO2021.15.highogs-d120120a</t>
  </si>
  <si>
    <t>58-AEO2021.16.</t>
  </si>
  <si>
    <t>58-AEO2021.17.highogs-d120120a</t>
  </si>
  <si>
    <t>58-AEO2021.18.highogs-d120120a</t>
  </si>
  <si>
    <t>58-AEO2021.19.highogs-d120120a</t>
  </si>
  <si>
    <t>58-AEO2021.20.highogs-d120120a</t>
  </si>
  <si>
    <t>58-AEO2021.21.highogs-d120120a</t>
  </si>
  <si>
    <t>58-AEO2021.22.highogs-d120120a</t>
  </si>
  <si>
    <t>58-AEO2021.23.highogs-d120120a</t>
  </si>
  <si>
    <t>58-AEO2021.24.highogs-d120120a</t>
  </si>
  <si>
    <t>58-AEO2021.25.highogs-d120120a</t>
  </si>
  <si>
    <t>58-AEO2021.26.highogs-d120120a</t>
  </si>
  <si>
    <t>58-AEO2021.27.</t>
  </si>
  <si>
    <t>58-AEO2021.28.highogs-d120120a</t>
  </si>
  <si>
    <t>58-AEO2021.29.highogs-d120120a</t>
  </si>
  <si>
    <t>58-AEO2021.30.highogs-d120120a</t>
  </si>
  <si>
    <t>58-AEO2021.31.highogs-d120120a</t>
  </si>
  <si>
    <t>58-AEO2021.32.highogs-d120120a</t>
  </si>
  <si>
    <t>58-AEO2021.33.highogs-d120120a</t>
  </si>
  <si>
    <t>58-AEO2021.34.highogs-d120120a</t>
  </si>
  <si>
    <t>58-AEO2021.35.highogs-d120120a</t>
  </si>
  <si>
    <t>58-AEO2021.36.highogs-d120120a</t>
  </si>
  <si>
    <t>58-AEO2021.37.highogs-d120120a</t>
  </si>
  <si>
    <t>58-AEO2021.38.highogs-d120120a</t>
  </si>
  <si>
    <t>58-AEO2021.40.</t>
  </si>
  <si>
    <t>58-AEO2021.41.</t>
  </si>
  <si>
    <t>58-AEO2021.42.highogs-d120120a</t>
  </si>
  <si>
    <t>trillion Btu</t>
  </si>
  <si>
    <t>58-AEO2021.43.highogs-d120120a</t>
  </si>
  <si>
    <t>58-AEO2021.44.highogs-d120120a</t>
  </si>
  <si>
    <t>58-AEO2021.45.highogs-d120120a</t>
  </si>
  <si>
    <t>58-AEO2021.46.highogs-d120120a</t>
  </si>
  <si>
    <t>58-AEO2021.47.highogs-d120120a</t>
  </si>
  <si>
    <t>58-AEO2021.48.highogs-d120120a</t>
  </si>
  <si>
    <t>58-AEO2021.49.highogs-d120120a</t>
  </si>
  <si>
    <t>58-AEO2021.50.highogs-d120120a</t>
  </si>
  <si>
    <t>58-AEO2021.51.highogs-d120120a</t>
  </si>
  <si>
    <t>58-AEO2021.52.</t>
  </si>
  <si>
    <t>58-AEO2021.53.highogs-d120120a</t>
  </si>
  <si>
    <t>58-AEO2021.54.highogs-d120120a</t>
  </si>
  <si>
    <t>58-AEO2021.55.highogs-d120120a</t>
  </si>
  <si>
    <t>58-AEO2021.56.highogs-d120120a</t>
  </si>
  <si>
    <t>58-AEO2021.57.highogs-d120120a</t>
  </si>
  <si>
    <t>58-AEO2021.58.highogs-d120120a</t>
  </si>
  <si>
    <t>58-AEO2021.59.highogs-d120120a</t>
  </si>
  <si>
    <t>58-AEO2021.60.highogs-d120120a</t>
  </si>
  <si>
    <t>58-AEO2021.61.highogs-d120120a</t>
  </si>
  <si>
    <t>58-AEO2021.62.highogs-d120120a</t>
  </si>
  <si>
    <t>58-AEO2021.63.</t>
  </si>
  <si>
    <t>58-AEO2021.64.highogs-d120120a</t>
  </si>
  <si>
    <t>58-AEO2021.65.highogs-d120120a</t>
  </si>
  <si>
    <t>58-AEO2021.66.highogs-d120120a</t>
  </si>
  <si>
    <t>58-AEO2021.67.highogs-d120120a</t>
  </si>
  <si>
    <t>58-AEO2021.68.highogs-d120120a</t>
  </si>
  <si>
    <t>58-AEO2021.69.highogs-d120120a</t>
  </si>
  <si>
    <t>58-AEO2021.70.highogs-d120120a</t>
  </si>
  <si>
    <t>58-AEO2021.71.highogs-d120120a</t>
  </si>
  <si>
    <t>58-AEO2021.72.highogs-d120120a</t>
  </si>
  <si>
    <t>58-AEO2021.73.highogs-d120120a</t>
  </si>
  <si>
    <t xml:space="preserve"> and Heavy Total</t>
  </si>
  <si>
    <t>58-AEO2021.75.highogs-d120120a</t>
  </si>
  <si>
    <t>58-AEO2021.76.highogs-d120120a</t>
  </si>
  <si>
    <t>58-AEO2021.77.highogs-d120120a</t>
  </si>
  <si>
    <t>58-AEO2021.78.highogs-d120120a</t>
  </si>
  <si>
    <t>58-AEO2021.79.highogs-d120120a</t>
  </si>
  <si>
    <t>58-AEO2021.80.highogs-d120120a</t>
  </si>
  <si>
    <t>58-AEO2021.81.highogs-d120120a</t>
  </si>
  <si>
    <t>58-AEO2021.82.highogs-d120120a</t>
  </si>
  <si>
    <t>58-AEO2021.83.highogs-d120120a</t>
  </si>
  <si>
    <t>58-AEO2021.84.highogs-d120120a</t>
  </si>
  <si>
    <t>58-AEO2021.86.</t>
  </si>
  <si>
    <t>58-AEO2021.87.</t>
  </si>
  <si>
    <t>58-AEO2021.88.highogs-d120120a</t>
  </si>
  <si>
    <t>mpg diesel equiv</t>
  </si>
  <si>
    <t>58-AEO2021.89.highogs-d120120a</t>
  </si>
  <si>
    <t>mpg gas equiv</t>
  </si>
  <si>
    <t>58-AEO2021.90.highogs-d120120a</t>
  </si>
  <si>
    <t>58-AEO2021.91.highogs-d120120a</t>
  </si>
  <si>
    <t>58-AEO2021.92.highogs-d120120a</t>
  </si>
  <si>
    <t>58-AEO2021.93.highogs-d120120a</t>
  </si>
  <si>
    <t>58-AEO2021.94.highogs-d120120a</t>
  </si>
  <si>
    <t>58-AEO2021.95.highogs-d120120a</t>
  </si>
  <si>
    <t>58-AEO2021.96.highogs-d120120a</t>
  </si>
  <si>
    <t>58-AEO2021.97.highogs-d120120a</t>
  </si>
  <si>
    <t>58-AEO2021.98.</t>
  </si>
  <si>
    <t>58-AEO2021.99.highogs-d120120a</t>
  </si>
  <si>
    <t>58-AEO2021.100.highogs-d120120a</t>
  </si>
  <si>
    <t>58-AEO2021.101.highogs-d120120a</t>
  </si>
  <si>
    <t>58-AEO2021.102.highogs-d120120a</t>
  </si>
  <si>
    <t>58-AEO2021.103.highogs-d120120a</t>
  </si>
  <si>
    <t>mpg</t>
  </si>
  <si>
    <t>58-AEO2021.104.highogs-d120120a</t>
  </si>
  <si>
    <t>58-AEO2021.105.highogs-d120120a</t>
  </si>
  <si>
    <t>58-AEO2021.106.highogs-d120120a</t>
  </si>
  <si>
    <t>58-AEO2021.107.highogs-d120120a</t>
  </si>
  <si>
    <t>58-AEO2021.108.highogs-d120120a</t>
  </si>
  <si>
    <t>58-AEO2021.109.</t>
  </si>
  <si>
    <t>58-AEO2021.110.highogs-d120120a</t>
  </si>
  <si>
    <t>58-AEO2021.111.highogs-d120120a</t>
  </si>
  <si>
    <t>58-AEO2021.112.highogs-d120120a</t>
  </si>
  <si>
    <t>58-AEO2021.113.highogs-d120120a</t>
  </si>
  <si>
    <t>58-AEO2021.114.highogs-d120120a</t>
  </si>
  <si>
    <t>58-AEO2021.115.highogs-d120120a</t>
  </si>
  <si>
    <t>58-AEO2021.116.highogs-d120120a</t>
  </si>
  <si>
    <t>58-AEO2021.117.highogs-d120120a</t>
  </si>
  <si>
    <t>58-AEO2021.118.highogs-d120120a</t>
  </si>
  <si>
    <t>58-AEO2021.119.highogs-d120120a</t>
  </si>
  <si>
    <t>58-AEO2021.120.highogs-d120120a</t>
  </si>
  <si>
    <t>58-AEO2021.122.</t>
  </si>
  <si>
    <t>58-AEO2021.123.</t>
  </si>
  <si>
    <t>58-AEO2021.124.highogs-d120120a</t>
  </si>
  <si>
    <t>58-AEO2021.125.highogs-d120120a</t>
  </si>
  <si>
    <t>58-AEO2021.126.highogs-d120120a</t>
  </si>
  <si>
    <t>58-AEO2021.127.highogs-d120120a</t>
  </si>
  <si>
    <t>58-AEO2021.128.highogs-d120120a</t>
  </si>
  <si>
    <t>58-AEO2021.129.highogs-d120120a</t>
  </si>
  <si>
    <t>58-AEO2021.130.highogs-d120120a</t>
  </si>
  <si>
    <t>58-AEO2021.131.highogs-d120120a</t>
  </si>
  <si>
    <t>58-AEO2021.132.highogs-d120120a</t>
  </si>
  <si>
    <t>58-AEO2021.133.highogs-d120120a</t>
  </si>
  <si>
    <t>58-AEO2021.134.</t>
  </si>
  <si>
    <t>58-AEO2021.135.highogs-d120120a</t>
  </si>
  <si>
    <t>58-AEO2021.136.highogs-d120120a</t>
  </si>
  <si>
    <t>58-AEO2021.137.highogs-d120120a</t>
  </si>
  <si>
    <t>58-AEO2021.138.highogs-d120120a</t>
  </si>
  <si>
    <t>58-AEO2021.139.highogs-d120120a</t>
  </si>
  <si>
    <t>58-AEO2021.140.highogs-d120120a</t>
  </si>
  <si>
    <t>58-AEO2021.141.highogs-d120120a</t>
  </si>
  <si>
    <t>58-AEO2021.142.highogs-d120120a</t>
  </si>
  <si>
    <t>58-AEO2021.143.highogs-d120120a</t>
  </si>
  <si>
    <t>58-AEO2021.144.highogs-d120120a</t>
  </si>
  <si>
    <t>58-AEO2021.145.</t>
  </si>
  <si>
    <t>58-AEO2021.146.highogs-d120120a</t>
  </si>
  <si>
    <t>58-AEO2021.147.highogs-d120120a</t>
  </si>
  <si>
    <t>58-AEO2021.148.highogs-d120120a</t>
  </si>
  <si>
    <t>58-AEO2021.149.highogs-d120120a</t>
  </si>
  <si>
    <t>58-AEO2021.150.highogs-d120120a</t>
  </si>
  <si>
    <t>58-AEO2021.151.highogs-d120120a</t>
  </si>
  <si>
    <t>58-AEO2021.152.highogs-d120120a</t>
  </si>
  <si>
    <t>58-AEO2021.153.highogs-d120120a</t>
  </si>
  <si>
    <t>58-AEO2021.154.highogs-d120120a</t>
  </si>
  <si>
    <t>58-AEO2021.155.highogs-d120120a</t>
  </si>
  <si>
    <t>58-AEO2021.156.highogs-d120120a</t>
  </si>
  <si>
    <t>58-AEO2021.158.</t>
  </si>
  <si>
    <t>58-AEO2021.160.</t>
  </si>
  <si>
    <t>58-AEO2021.161.</t>
  </si>
  <si>
    <t>58-AEO2021.162.highogs-d120120a</t>
  </si>
  <si>
    <t>58-AEO2021.163.highogs-d120120a</t>
  </si>
  <si>
    <t>58-AEO2021.164.highogs-d120120a</t>
  </si>
  <si>
    <t>58-AEO2021.165.highogs-d120120a</t>
  </si>
  <si>
    <t>58-AEO2021.166.highogs-d120120a</t>
  </si>
  <si>
    <t>58-AEO2021.167.highogs-d120120a</t>
  </si>
  <si>
    <t>58-AEO2021.168.highogs-d120120a</t>
  </si>
  <si>
    <t>58-AEO2021.169.highogs-d120120a</t>
  </si>
  <si>
    <t>58-AEO2021.170.highogs-d120120a</t>
  </si>
  <si>
    <t>58-AEO2021.171.highogs-d120120a</t>
  </si>
  <si>
    <t>58-AEO2021.172.</t>
  </si>
  <si>
    <t>58-AEO2021.173.highogs-d120120a</t>
  </si>
  <si>
    <t>58-AEO2021.174.highogs-d120120a</t>
  </si>
  <si>
    <t>58-AEO2021.175.highogs-d120120a</t>
  </si>
  <si>
    <t>58-AEO2021.176.highogs-d120120a</t>
  </si>
  <si>
    <t>58-AEO2021.177.highogs-d120120a</t>
  </si>
  <si>
    <t>58-AEO2021.178.highogs-d120120a</t>
  </si>
  <si>
    <t>58-AEO2021.179.highogs-d120120a</t>
  </si>
  <si>
    <t>58-AEO2021.180.highogs-d120120a</t>
  </si>
  <si>
    <t>58-AEO2021.181.highogs-d120120a</t>
  </si>
  <si>
    <t>58-AEO2021.182.highogs-d120120a</t>
  </si>
  <si>
    <t>58-AEO2021.183.</t>
  </si>
  <si>
    <t>58-AEO2021.184.highogs-d120120a</t>
  </si>
  <si>
    <t>58-AEO2021.185.highogs-d120120a</t>
  </si>
  <si>
    <t>58-AEO2021.186.highogs-d120120a</t>
  </si>
  <si>
    <t>58-AEO2021.187.highogs-d120120a</t>
  </si>
  <si>
    <t>58-AEO2021.188.highogs-d120120a</t>
  </si>
  <si>
    <t>58-AEO2021.189.highogs-d120120a</t>
  </si>
  <si>
    <t>58-AEO2021.190.highogs-d120120a</t>
  </si>
  <si>
    <t>58-AEO2021.191.highogs-d120120a</t>
  </si>
  <si>
    <t>58-AEO2021.192.highogs-d120120a</t>
  </si>
  <si>
    <t>58-AEO2021.193.highogs-d120120a</t>
  </si>
  <si>
    <t>58-AEO2021.194.highogs-d120120a</t>
  </si>
  <si>
    <t>58-AEO2021.196.</t>
  </si>
  <si>
    <t>58-AEO2021.197.</t>
  </si>
  <si>
    <t>58-AEO2021.198.highogs-d120120a</t>
  </si>
  <si>
    <t>58-AEO2021.199.highogs-d120120a</t>
  </si>
  <si>
    <t>58-AEO2021.200.highogs-d120120a</t>
  </si>
  <si>
    <t>58-AEO2021.201.highogs-d120120a</t>
  </si>
  <si>
    <t>58-AEO2021.202.highogs-d120120a</t>
  </si>
  <si>
    <t>58-AEO2021.203.highogs-d120120a</t>
  </si>
  <si>
    <t>58-AEO2021.204.highogs-d120120a</t>
  </si>
  <si>
    <t>58-AEO2021.205.highogs-d120120a</t>
  </si>
  <si>
    <t>58-AEO2021.206.highogs-d120120a</t>
  </si>
  <si>
    <t>58-AEO2021.207.highogs-d120120a</t>
  </si>
  <si>
    <t>58-AEO2021.208.</t>
  </si>
  <si>
    <t>58-AEO2021.209.highogs-d120120a</t>
  </si>
  <si>
    <t>58-AEO2021.210.highogs-d120120a</t>
  </si>
  <si>
    <t>58-AEO2021.211.highogs-d120120a</t>
  </si>
  <si>
    <t>58-AEO2021.212.highogs-d120120a</t>
  </si>
  <si>
    <t>58-AEO2021.213.highogs-d120120a</t>
  </si>
  <si>
    <t>58-AEO2021.214.highogs-d120120a</t>
  </si>
  <si>
    <t>58-AEO2021.215.highogs-d120120a</t>
  </si>
  <si>
    <t>58-AEO2021.216.highogs-d120120a</t>
  </si>
  <si>
    <t>58-AEO2021.217.highogs-d120120a</t>
  </si>
  <si>
    <t>58-AEO2021.218.highogs-d120120a</t>
  </si>
  <si>
    <t>58-AEO2021.219.</t>
  </si>
  <si>
    <t>58-AEO2021.220.highogs-d120120a</t>
  </si>
  <si>
    <t>58-AEO2021.221.highogs-d120120a</t>
  </si>
  <si>
    <t>58-AEO2021.222.highogs-d120120a</t>
  </si>
  <si>
    <t>58-AEO2021.223.highogs-d120120a</t>
  </si>
  <si>
    <t>58-AEO2021.224.highogs-d120120a</t>
  </si>
  <si>
    <t>58-AEO2021.225.highogs-d120120a</t>
  </si>
  <si>
    <t>58-AEO2021.226.highogs-d120120a</t>
  </si>
  <si>
    <t>58-AEO2021.227.highogs-d120120a</t>
  </si>
  <si>
    <t>58-AEO2021.228.highogs-d120120a</t>
  </si>
  <si>
    <t>58-AEO2021.229.highogs-d120120a</t>
  </si>
  <si>
    <t>58-AEO2021.230.highogs-d120120a</t>
  </si>
  <si>
    <t>58-AEO2021.266.</t>
  </si>
  <si>
    <t>58-AEO2021.267.highogs-d120120a</t>
  </si>
  <si>
    <t>billions</t>
  </si>
  <si>
    <t>58-AEO2021.268.highogs-d120120a</t>
  </si>
  <si>
    <t>ton miles/thousand B</t>
  </si>
  <si>
    <t>58-AEO2021.269.</t>
  </si>
  <si>
    <t>58-AEO2021.270.highogs-d120120a</t>
  </si>
  <si>
    <t>58-AEO2021.271.highogs-d120120a</t>
  </si>
  <si>
    <t>58-AEO2021.272.highogs-d120120a</t>
  </si>
  <si>
    <t>58-AEO2021.273.highogs-d120120a</t>
  </si>
  <si>
    <t>58-AEO2021.275.</t>
  </si>
  <si>
    <t>58-AEO2021.276.highogs-d120120a</t>
  </si>
  <si>
    <t>58-AEO2021.277.highogs-d120120a</t>
  </si>
  <si>
    <t>58-AEO2021.278.</t>
  </si>
  <si>
    <t>58-AEO2021.279.highogs-d120120a</t>
  </si>
  <si>
    <t>58-AEO2021.280.highogs-d120120a</t>
  </si>
  <si>
    <t>58-AEO2021.281.highogs-d120120a</t>
  </si>
  <si>
    <t>58-AEO2021.282.highogs-d120120a</t>
  </si>
  <si>
    <t>58-AEO2021.284.</t>
  </si>
  <si>
    <t>58-AEO2021.285.highogs-d120120a</t>
  </si>
  <si>
    <t>billion 2012 $</t>
  </si>
  <si>
    <t>58-AEO2021.286.highogs-d120120a</t>
  </si>
  <si>
    <t>58-AEO2021.287.highogs-d120120a</t>
  </si>
  <si>
    <t>58-AEO2021.288.</t>
  </si>
  <si>
    <t>58-AEO2021.289.highogs-d120120a</t>
  </si>
  <si>
    <t>58-AEO2021.290.highogs-d120120a</t>
  </si>
  <si>
    <t>58-AEO2021.291.highogs-d120120a</t>
  </si>
  <si>
    <t>58-AEO2021.292.highogs-d120120a</t>
  </si>
  <si>
    <t>TTS Transportation Technology Shareweights</t>
  </si>
  <si>
    <t>The easiest way to calibrate this variable is to simply adjust these first and</t>
  </si>
  <si>
    <t>This variable provides the shareweights used in the modified logit equation for vehicle</t>
  </si>
  <si>
    <t>technology selection.  We base them on estimated potential maximum sales shares in each year.</t>
  </si>
  <si>
    <t>For more on this, see the "Modified Logit" equation description at:</t>
  </si>
  <si>
    <t>https://jgcri.github.io/gcam-doc/choice.html</t>
  </si>
  <si>
    <t>For freight LDVs and passenger HDVs, we use the share of existing vehicles by</t>
  </si>
  <si>
    <t>in year 2030 as the maximum potential in the first simulated year.</t>
  </si>
  <si>
    <t>forecasts in the start year, since this represents a maximum rather than</t>
  </si>
  <si>
    <t>an actual deployment amount.</t>
  </si>
  <si>
    <t>Bloomberg New Energy Finance</t>
  </si>
  <si>
    <t>Long-term passenger vehicle outlook</t>
  </si>
  <si>
    <t>https://bnef.turtl.co/story/evo-2020/page/3?teaser=yes</t>
  </si>
  <si>
    <t>Psgr LDVs only</t>
  </si>
  <si>
    <t>We assume electric passenger EVs can reach a value of 1 by year 2030.</t>
  </si>
  <si>
    <t xml:space="preserve">For passenger LDVs, we calibrate </t>
  </si>
  <si>
    <t>https://www.iea.org/reports/global-ev-outlook-2021/trends-and-developments-in-electric-vehicle-markets</t>
  </si>
  <si>
    <t>Fleet Vehicle Sales Commercial Light Trucks (Case High oil and gas supply)</t>
  </si>
  <si>
    <t>https://www.eia.gov/outlooks/aeo/data/browser/#/?id=54-AEO2021&amp;region=0-0&amp;cases=highogs&amp;start=2019&amp;end=2050&amp;f=A&amp;linechart=highogs-d120120a.57-54-AEO2021~highogs-d120120a.58-54-AEO2021~highogs-d120120a.59-54-AEO2021~highogs-d120120a.60-54-AEO2021~highogs-d120120a.61-54-AEO2021~highogs-d120120a.62-54-AEO2021~highogs-d120120a.63-54-AEO2021~highogs-d120120a.64-54-AEO2021~highogs-d120120a.65-54-AEO2021~highogs-d120120a.66-54-AEO2021&amp;ctype=linechart&amp;sourcekey=0</t>
  </si>
  <si>
    <t>13:37:48 GMT-0700 (Pacific Daylight Time)</t>
  </si>
  <si>
    <t>Year</t>
  </si>
  <si>
    <t>Gasoline thousands</t>
  </si>
  <si>
    <t>TDI Diesel thousands</t>
  </si>
  <si>
    <t>Propane thousands</t>
  </si>
  <si>
    <t>CNG/LNG thousands</t>
  </si>
  <si>
    <t>Ethanol Flex thousands</t>
  </si>
  <si>
    <t>Electric thousands</t>
  </si>
  <si>
    <t>Plug-in Gas thousands</t>
  </si>
  <si>
    <t>Plug-in Diesel thousands</t>
  </si>
  <si>
    <t>Fuel Cell thousands</t>
  </si>
  <si>
    <t>Total thousands</t>
  </si>
  <si>
    <t>Sales Share</t>
  </si>
  <si>
    <t>Freight LDV sales share, 2020</t>
  </si>
  <si>
    <t>Targets for start year electric vehicle sales</t>
  </si>
  <si>
    <t>Buses: &lt;580 vehicle sales in 2020</t>
  </si>
  <si>
    <t>HDVs: ~240 vehicle sales in 2020</t>
  </si>
  <si>
    <t>Electric sales (thousands), AEO</t>
  </si>
  <si>
    <t>Total sales (thousands), AEO</t>
  </si>
  <si>
    <t>乘用车</t>
  </si>
  <si>
    <t>营运</t>
  </si>
  <si>
    <t>中型客车</t>
  </si>
  <si>
    <t>汽油</t>
  </si>
  <si>
    <t>柴油</t>
  </si>
  <si>
    <t>小型客车</t>
  </si>
  <si>
    <t>天然气</t>
  </si>
  <si>
    <t>汽油-天然气</t>
  </si>
  <si>
    <t>混合动力</t>
  </si>
  <si>
    <t>纯电动</t>
  </si>
  <si>
    <t>微型客车</t>
  </si>
  <si>
    <t>未知</t>
  </si>
  <si>
    <t>插电式混合动力</t>
  </si>
  <si>
    <t>公路客运</t>
  </si>
  <si>
    <t>NULL</t>
  </si>
  <si>
    <t>非营运</t>
  </si>
  <si>
    <t>增程式混合动力</t>
  </si>
  <si>
    <t>燃料电池</t>
  </si>
  <si>
    <t>汽油-LPG</t>
  </si>
  <si>
    <t>甲醇</t>
  </si>
  <si>
    <t>大型客车</t>
  </si>
  <si>
    <t>出租租赁</t>
  </si>
  <si>
    <t>城市公交</t>
  </si>
  <si>
    <t>商用车</t>
  </si>
  <si>
    <t>重型货车</t>
  </si>
  <si>
    <t>柴油-天然气</t>
  </si>
  <si>
    <t>柴油-甲醇</t>
  </si>
  <si>
    <t>中型货车</t>
  </si>
  <si>
    <t>无</t>
  </si>
  <si>
    <t>微型货车</t>
  </si>
  <si>
    <t>轻型货车</t>
  </si>
  <si>
    <t>Unknown</t>
    <phoneticPr fontId="13" type="noConversion"/>
  </si>
  <si>
    <t>Passenger LDV</t>
    <phoneticPr fontId="13" type="noConversion"/>
  </si>
  <si>
    <t>出租车</t>
  </si>
  <si>
    <t>Passenger HDV</t>
    <phoneticPr fontId="13" type="noConversion"/>
  </si>
  <si>
    <t>公交车</t>
  </si>
  <si>
    <t>道路客车</t>
    <phoneticPr fontId="13" type="noConversion"/>
  </si>
  <si>
    <t>Freight LDV</t>
    <phoneticPr fontId="13" type="noConversion"/>
  </si>
  <si>
    <t>Freight HDV</t>
    <phoneticPr fontId="13" type="noConversion"/>
  </si>
  <si>
    <t>中重型货车</t>
    <phoneticPr fontId="13" type="noConversion"/>
  </si>
  <si>
    <t>乘用车</t>
    <phoneticPr fontId="13" type="noConversion"/>
  </si>
  <si>
    <t>hybrid fuel vehicle</t>
    <phoneticPr fontId="13" type="noConversion"/>
  </si>
  <si>
    <t>other fuel vehicle</t>
    <phoneticPr fontId="13" type="noConversion"/>
  </si>
  <si>
    <t>unknown</t>
    <phoneticPr fontId="13" type="noConversion"/>
  </si>
  <si>
    <t>hydrogen vehicle</t>
    <phoneticPr fontId="13" type="noConversion"/>
  </si>
  <si>
    <t>数量</t>
    <phoneticPr fontId="13" type="noConversion"/>
  </si>
  <si>
    <t>EPS</t>
    <phoneticPr fontId="13" type="noConversion"/>
  </si>
  <si>
    <t>Database</t>
    <phoneticPr fontId="13" type="noConversion"/>
  </si>
  <si>
    <t>Key</t>
    <phoneticPr fontId="13" type="noConversion"/>
  </si>
  <si>
    <t>Class2</t>
  </si>
  <si>
    <t>UseType</t>
  </si>
  <si>
    <t>Class</t>
  </si>
  <si>
    <t>Fuel Type Adjusted</t>
    <phoneticPr fontId="13" type="noConversion"/>
  </si>
  <si>
    <t>FuelType</t>
  </si>
  <si>
    <t>Class Adjustment</t>
    <phoneticPr fontId="13" type="noConversion"/>
  </si>
  <si>
    <t>Fuel Adjustment</t>
    <phoneticPr fontId="13" type="noConversion"/>
  </si>
  <si>
    <t>Sales</t>
  </si>
  <si>
    <t>EPS Class</t>
    <phoneticPr fontId="13" type="noConversion"/>
  </si>
  <si>
    <t>Database Class</t>
    <phoneticPr fontId="13" type="noConversion"/>
  </si>
  <si>
    <t xml:space="preserve">Fuel Type Adjusted </t>
    <phoneticPr fontId="13" type="noConversion"/>
  </si>
  <si>
    <t>Index</t>
    <phoneticPr fontId="13" type="noConversion"/>
  </si>
  <si>
    <t>总计</t>
  </si>
  <si>
    <t>Unknown</t>
  </si>
  <si>
    <t>Passenger LDV</t>
  </si>
  <si>
    <t>Passenger HDV</t>
  </si>
  <si>
    <t>Freight LDV</t>
  </si>
  <si>
    <t>Freight HDV</t>
  </si>
  <si>
    <t>other fuel vehicle</t>
  </si>
  <si>
    <t>hybrid fuel vehicle</t>
  </si>
  <si>
    <t>Fuel Type</t>
    <phoneticPr fontId="13" type="noConversion"/>
  </si>
  <si>
    <t>unknown</t>
  </si>
  <si>
    <t>行标签</t>
  </si>
  <si>
    <t>列标签</t>
  </si>
  <si>
    <t>求和项:Sales</t>
  </si>
  <si>
    <t>道路客车</t>
  </si>
  <si>
    <t>专用重型货车</t>
    <phoneticPr fontId="13" type="noConversion"/>
  </si>
  <si>
    <t>Vehicle Sales (10^4 units)</t>
    <phoneticPr fontId="13" type="noConversion"/>
  </si>
  <si>
    <t>Electric Ratio</t>
    <phoneticPr fontId="13" type="noConversion"/>
  </si>
  <si>
    <t>2015-2021</t>
    <phoneticPr fontId="13" type="noConversion"/>
  </si>
  <si>
    <t>公交车</t>
    <phoneticPr fontId="13" type="noConversion"/>
  </si>
  <si>
    <t>出租车</t>
    <phoneticPr fontId="13" type="noConversion"/>
  </si>
  <si>
    <t>合并</t>
    <phoneticPr fontId="13" type="noConversion"/>
  </si>
  <si>
    <t>轻型货车</t>
    <phoneticPr fontId="13" type="noConversion"/>
  </si>
  <si>
    <t>Database Type</t>
    <phoneticPr fontId="13" type="noConversion"/>
  </si>
  <si>
    <t>中重型货车</t>
  </si>
  <si>
    <t>EPS Type</t>
    <phoneticPr fontId="13" type="noConversion"/>
  </si>
  <si>
    <t>纯电占比</t>
    <phoneticPr fontId="13" type="noConversion"/>
  </si>
  <si>
    <t>混动占比</t>
    <phoneticPr fontId="13" type="noConversion"/>
  </si>
  <si>
    <t>电动化率</t>
    <phoneticPr fontId="13" type="noConversion"/>
  </si>
  <si>
    <t>车型占比</t>
    <phoneticPr fontId="13" type="noConversion"/>
  </si>
  <si>
    <t>Smoothed Sale %</t>
    <phoneticPr fontId="13" type="noConversion"/>
  </si>
  <si>
    <t>Sales %</t>
    <phoneticPr fontId="13" type="noConversion"/>
  </si>
  <si>
    <t>Ownership</t>
    <phoneticPr fontId="13" type="noConversion"/>
  </si>
  <si>
    <t>Proposed Sale</t>
    <phoneticPr fontId="13" type="noConversion"/>
  </si>
  <si>
    <t>Target</t>
    <phoneticPr fontId="13" type="noConversion"/>
  </si>
  <si>
    <t>Sales</t>
    <phoneticPr fontId="13" type="noConversion"/>
  </si>
  <si>
    <t>销量</t>
    <phoneticPr fontId="13" type="noConversion"/>
  </si>
  <si>
    <t>保有量</t>
    <phoneticPr fontId="13" type="noConversion"/>
  </si>
  <si>
    <t>普通重货</t>
    <phoneticPr fontId="13" type="noConversion"/>
  </si>
  <si>
    <t>专用重货</t>
    <phoneticPr fontId="13" type="noConversion"/>
  </si>
  <si>
    <t>以燃料电池商用车为主体</t>
    <phoneticPr fontId="13" type="noConversion"/>
  </si>
  <si>
    <t>HDV</t>
    <phoneticPr fontId="13" type="noConversion"/>
  </si>
  <si>
    <t>突破新一代储运技术，突破加氢站数量瓶颈，城市间联网跨域运行，保有量100万辆左右</t>
    <phoneticPr fontId="13" type="noConversion"/>
  </si>
  <si>
    <t>LDV</t>
    <phoneticPr fontId="13" type="noConversion"/>
  </si>
  <si>
    <t>以城市物流用车，公共服务用车的批量应用为主+大型SUV应用</t>
    <phoneticPr fontId="13" type="noConversion"/>
  </si>
  <si>
    <t>Freight</t>
  </si>
  <si>
    <t>Passenger</t>
  </si>
  <si>
    <t>将基于现有储运加注技术，各城市因地制宜，经济辐射半径150KM，运行车辆5万~10万辆</t>
    <phoneticPr fontId="13" type="noConversion"/>
  </si>
  <si>
    <t>Average Vehicle Lifetime</t>
    <phoneticPr fontId="13" type="noConversion"/>
  </si>
  <si>
    <t>燃料电池混合动力技术成熟，商用车市场启动，保有量达到1万辆规模</t>
    <phoneticPr fontId="13" type="noConversion"/>
  </si>
  <si>
    <t>《节能与新能源汽车技术路线图2.0》</t>
    <phoneticPr fontId="13" type="noConversion"/>
  </si>
  <si>
    <t>Additional Cap Coefficient</t>
    <phoneticPr fontId="13" type="noConversion"/>
  </si>
  <si>
    <t>Instructions</t>
  </si>
  <si>
    <t>1) Update TTLE logit values below if necessary.</t>
  </si>
  <si>
    <t>2) Update total cost of ownerships (NPV of Lifetime Vehicle Cost) data in TCO sheet if necessary.</t>
  </si>
  <si>
    <t>3) For each vehicle-cargo category, fill in historical sales shares.</t>
  </si>
  <si>
    <t>4) Go through each year from the "Selected Historical Year" dropdown, and use Excel Solver to minimize the Sum of Differences between calculated sales shares and real world sales shares.</t>
  </si>
  <si>
    <t>5) Hard copy shareweight results for each year, and link to final CSV outputs.</t>
  </si>
  <si>
    <t>TTLE</t>
  </si>
  <si>
    <t>Time (Year)</t>
  </si>
  <si>
    <t>TTLE Transportation Technology Logit Exponents[LDVs,passenger] : test</t>
  </si>
  <si>
    <t>TTLE Transportation Technology Logit Exponents[LDVs,freight] : test</t>
  </si>
  <si>
    <t>TTLE Transportation Technology Logit Exponents[HDVs,passenger] : test</t>
  </si>
  <si>
    <t>TTLE Transportation Technology Logit Exponents[HDVs,freight] : test</t>
  </si>
  <si>
    <t>TTLE Transportation Technology Logit Exponents[aircraft,passenger] : test</t>
  </si>
  <si>
    <t>TTLE Transportation Technology Logit Exponents[aircraft,freight] : test</t>
  </si>
  <si>
    <t>TTLE Transportation Technology Logit Exponents[rail,passenger] : test</t>
  </si>
  <si>
    <t>TTLE Transportation Technology Logit Exponents[rail,freight] : test</t>
  </si>
  <si>
    <t>TTLE Transportation Technology Logit Exponents[ships,passenger] : test</t>
  </si>
  <si>
    <t>TTLE Transportation Technology Logit Exponents[ships,freight] : test</t>
  </si>
  <si>
    <t>TTLE Transportation Technology Logit Exponents[motorbikes,passenger] : test</t>
  </si>
  <si>
    <t>TTLE Transportation Technology Logit Exponents[motorbikes,freight] : test</t>
  </si>
  <si>
    <t>LDVs,passenger</t>
  </si>
  <si>
    <t>Historical Shares</t>
  </si>
  <si>
    <t>Source(s):</t>
  </si>
  <si>
    <t>BEV</t>
  </si>
  <si>
    <t>http://en.caam.org.cn/Index/lists/catid/69.html</t>
  </si>
  <si>
    <t>Natural Gas</t>
  </si>
  <si>
    <t>中国汽车工业协会《2021 年中国汽车工业经济运行报告》</t>
    <phoneticPr fontId="10" type="noConversion"/>
  </si>
  <si>
    <t>Gasoline</t>
  </si>
  <si>
    <t>PHEV</t>
  </si>
  <si>
    <t>LPG</t>
  </si>
  <si>
    <t>Hydrogen</t>
  </si>
  <si>
    <t>Total</t>
  </si>
  <si>
    <t>Logit</t>
  </si>
  <si>
    <t>Total Cost of Ownership (TCO)</t>
  </si>
  <si>
    <t>NPV of Lifetime Vehicle Cost[LDVs,passenger,natural gas vehicle] : NoSettings</t>
  </si>
  <si>
    <t>NPV of Lifetime Vehicle Cost[LDVs,passenger,gasoline vehicle] : NoSettings</t>
  </si>
  <si>
    <t>NPV of Lifetime Vehicle Cost[LDVs,passenger,diesel vehicle] : NoSettings</t>
  </si>
  <si>
    <t>NPV of Lifetime Vehicle Cost[LDVs,passenger,plugin hybrid vehicle] : NoSettings</t>
  </si>
  <si>
    <t>NPV of Lifetime Vehicle Cost[LDVs,passenger,LPG vehicle] : NoSettings</t>
  </si>
  <si>
    <t>NPV of Lifetime Vehicle Cost[LDVs,passenger,hydrogen vehicle] : NoSettings</t>
  </si>
  <si>
    <t>Selected Historical Year</t>
  </si>
  <si>
    <t>Shareweight Calculations</t>
  </si>
  <si>
    <t>Shareweight</t>
  </si>
  <si>
    <t>TCO</t>
  </si>
  <si>
    <t>Calc</t>
  </si>
  <si>
    <t>Calculated Share</t>
  </si>
  <si>
    <t>Real World</t>
  </si>
  <si>
    <t>Abs Diff</t>
  </si>
  <si>
    <t>Sum of Differences</t>
  </si>
  <si>
    <t>Hard-copied shareweight results for historical years</t>
  </si>
  <si>
    <t>LDVs,freight</t>
  </si>
  <si>
    <t>NPV of Lifetime Vehicle Cost[LDVs,freight,battery electric vehicle] : NoSettings</t>
  </si>
  <si>
    <t>NPV of Lifetime Vehicle Cost[LDVs,freight,natural gas vehicle] : NoSettings</t>
  </si>
  <si>
    <t>NPV of Lifetime Vehicle Cost[LDVs,freight,gasoline vehicle] : NoSettings</t>
  </si>
  <si>
    <t>NPV of Lifetime Vehicle Cost[LDVs,freight,diesel vehicle] : NoSettings</t>
  </si>
  <si>
    <t>NPV of Lifetime Vehicle Cost[LDVs,freight,plugin hybrid vehicle] : NoSettings</t>
  </si>
  <si>
    <t>NPV of Lifetime Vehicle Cost[LDVs,freight,LPG vehicle] : NoSettings</t>
  </si>
  <si>
    <t>NPV of Lifetime Vehicle Cost[LDVs,freight,hydrogen vehicle] : NoSettings</t>
  </si>
  <si>
    <t>HDVs,passenger</t>
  </si>
  <si>
    <t>NPV of Lifetime Vehicle Cost[HDVs,passenger,battery electric vehicle] : NoSettings</t>
  </si>
  <si>
    <t>NPV of Lifetime Vehicle Cost[HDVs,passenger,natural gas vehicle] : NoSettings</t>
  </si>
  <si>
    <t>NPV of Lifetime Vehicle Cost[HDVs,passenger,gasoline vehicle] : NoSettings</t>
  </si>
  <si>
    <t>NPV of Lifetime Vehicle Cost[HDVs,passenger,diesel vehicle] : NoSettings</t>
  </si>
  <si>
    <t>NPV of Lifetime Vehicle Cost[HDVs,passenger,plugin hybrid vehicle] : NoSettings</t>
  </si>
  <si>
    <t>NPV of Lifetime Vehicle Cost[HDVs,passenger,LPG vehicle] : NoSettings</t>
  </si>
  <si>
    <t>NPV of Lifetime Vehicle Cost[HDVs,passenger,hydrogen vehicle] : NoSettings</t>
  </si>
  <si>
    <t>HDVs,freight</t>
  </si>
  <si>
    <t>NPV of Lifetime Vehicle Cost[HDVs,freight,battery electric vehicle] : NoSettings</t>
  </si>
  <si>
    <t>NPV of Lifetime Vehicle Cost[HDVs,freight,natural gas vehicle] : NoSettings</t>
  </si>
  <si>
    <t>NPV of Lifetime Vehicle Cost[HDVs,freight,gasoline vehicle] : NoSettings</t>
  </si>
  <si>
    <t>NPV of Lifetime Vehicle Cost[HDVs,freight,diesel vehicle] : NoSettings</t>
  </si>
  <si>
    <t>NPV of Lifetime Vehicle Cost[HDVs,freight,plugin hybrid vehicle] : NoSettings</t>
  </si>
  <si>
    <t>NPV of Lifetime Vehicle Cost[HDVs,freight,LPG vehicle] : NoSettings</t>
  </si>
  <si>
    <t>NPV of Lifetime Vehicle Cost[HDVs,freight,hydrogen vehicle] : NoSettings</t>
  </si>
  <si>
    <t>aircraft,passenger</t>
  </si>
  <si>
    <t>NPV of Lifetime Vehicle Cost[aircraft,passenger,battery electric vehicle] : test</t>
  </si>
  <si>
    <t>NPV of Lifetime Vehicle Cost[aircraft,passenger,natural gas vehicle] : test</t>
  </si>
  <si>
    <t>NPV of Lifetime Vehicle Cost[aircraft,passenger,gasoline vehicle] : test</t>
  </si>
  <si>
    <t>NPV of Lifetime Vehicle Cost[aircraft,passenger,diesel vehicle] : test</t>
  </si>
  <si>
    <t>NPV of Lifetime Vehicle Cost[aircraft,passenger,plugin hybrid vehicle] : test</t>
  </si>
  <si>
    <t>NPV of Lifetime Vehicle Cost[aircraft,passenger,LPG vehicle] : test</t>
  </si>
  <si>
    <t>NPV of Lifetime Vehicle Cost[aircraft,passenger,hydrogen vehicle] : test</t>
  </si>
  <si>
    <t>aircraft,freight</t>
  </si>
  <si>
    <t>NPV of Lifetime Vehicle Cost[aircraft,freight,battery electric vehicle] : test</t>
  </si>
  <si>
    <t>NPV of Lifetime Vehicle Cost[aircraft,freight,natural gas vehicle] : test</t>
  </si>
  <si>
    <t>NPV of Lifetime Vehicle Cost[aircraft,freight,gasoline vehicle] : test</t>
  </si>
  <si>
    <t>NPV of Lifetime Vehicle Cost[aircraft,freight,diesel vehicle] : test</t>
  </si>
  <si>
    <t>NPV of Lifetime Vehicle Cost[aircraft,freight,plugin hybrid vehicle] : test</t>
  </si>
  <si>
    <t>NPV of Lifetime Vehicle Cost[aircraft,freight,LPG vehicle] : test</t>
  </si>
  <si>
    <t>NPV of Lifetime Vehicle Cost[aircraft,freight,hydrogen vehicle] : test</t>
  </si>
  <si>
    <t>rail,passenger</t>
  </si>
  <si>
    <t>Stock</t>
  </si>
  <si>
    <t>BEV Sales</t>
  </si>
  <si>
    <t>Diesel Sales</t>
  </si>
  <si>
    <t>Based on source:</t>
  </si>
  <si>
    <t>Source</t>
  </si>
  <si>
    <t>https://www.mot.gov.cn/tongjishuju/tielu/201905/P020240506369955324796.pdf</t>
  </si>
  <si>
    <t>The Future of Rail</t>
  </si>
  <si>
    <t>https://www.mot.gov.cn/tongjishuju/tielu/202005/P020200702602040585281.pdf</t>
  </si>
  <si>
    <t>IEA</t>
  </si>
  <si>
    <t>https://www.mot.gov.cn/tongjishuju/tielu/202104/P020210419530519499260.pdf</t>
  </si>
  <si>
    <t>https://www.mot.gov.cn/tongjishuju/tielu/202205/P020220507531780768964.pdf</t>
  </si>
  <si>
    <t>https://iea.blob.core.windows.net/assets/fb7dc9e4-d5ff-4a22-ac07-ef3ca73ac680/The_Future_of_Rail.pdf</t>
  </si>
  <si>
    <t>https://www.mot.gov.cn/fenxigongbao/hangyegongbao/202305/P020230530535262349964.pdf</t>
  </si>
  <si>
    <t>https://www.mot.gov.cn/tongjishuju/tielu/202407/P020240708579407135335.pdf</t>
  </si>
  <si>
    <t>Passenger and freight rail electrification rate has been roughly similar in past years, thus we have assumed same electrification ratio as total rail.</t>
  </si>
  <si>
    <t>https://www.mot.gov.cn/fenxigongbao/hangyegongbao/202506/P020250609597950782906.pdf</t>
  </si>
  <si>
    <t>NPV of Lifetime Vehicle Cost[rail,passenger,battery electric vehicle] : NoSettings</t>
  </si>
  <si>
    <t>NPV of Lifetime Vehicle Cost[rail,passenger,natural gas vehicle] : NoSettings</t>
  </si>
  <si>
    <t>NPV of Lifetime Vehicle Cost[rail,passenger,gasoline vehicle] : NoSettings</t>
  </si>
  <si>
    <t>NPV of Lifetime Vehicle Cost[rail,passenger,diesel vehicle] : NoSettings</t>
  </si>
  <si>
    <t>NPV of Lifetime Vehicle Cost[rail,passenger,plugin hybrid vehicle] : NoSettings</t>
  </si>
  <si>
    <t>NPV of Lifetime Vehicle Cost[rail,passenger,LPG vehicle] : NoSettings</t>
  </si>
  <si>
    <t>NPV of Lifetime Vehicle Cost[rail,passenger,hydrogen vehicle] : NoSettings</t>
  </si>
  <si>
    <t>rail,freight</t>
  </si>
  <si>
    <t>NPV of Lifetime Vehicle Cost[rail,freight,battery electric vehicle] : NoSettings</t>
  </si>
  <si>
    <t>NPV of Lifetime Vehicle Cost[rail,freight,natural gas vehicle] : NoSettings</t>
  </si>
  <si>
    <t>NPV of Lifetime Vehicle Cost[rail,freight,gasoline vehicle] : NoSettings</t>
  </si>
  <si>
    <t>NPV of Lifetime Vehicle Cost[rail,freight,diesel vehicle] : NoSettings</t>
  </si>
  <si>
    <t>NPV of Lifetime Vehicle Cost[rail,freight,plugin hybrid vehicle] : NoSettings</t>
  </si>
  <si>
    <t>NPV of Lifetime Vehicle Cost[rail,freight,LPG vehicle] : NoSettings</t>
  </si>
  <si>
    <t>NPV of Lifetime Vehicle Cost[rail,freight,hydrogen vehicle] : NoSettings</t>
  </si>
  <si>
    <t>ships,passenger</t>
  </si>
  <si>
    <t>NPV of Lifetime Vehicle Cost[ships,passenger,battery electric vehicle] : test</t>
  </si>
  <si>
    <t>NPV of Lifetime Vehicle Cost[ships,passenger,natural gas vehicle] : test</t>
  </si>
  <si>
    <t>NPV of Lifetime Vehicle Cost[ships,passenger,gasoline vehicle] : test</t>
  </si>
  <si>
    <t>NPV of Lifetime Vehicle Cost[ships,passenger,diesel vehicle] : test</t>
  </si>
  <si>
    <t>NPV of Lifetime Vehicle Cost[ships,passenger,plugin hybrid vehicle] : test</t>
  </si>
  <si>
    <t>NPV of Lifetime Vehicle Cost[ships,passenger,LPG vehicle] : test</t>
  </si>
  <si>
    <t>NPV of Lifetime Vehicle Cost[ships,passenger,hydrogen vehicle] : test</t>
  </si>
  <si>
    <t>ships,freight</t>
  </si>
  <si>
    <t>NPV of Lifetime Vehicle Cost[ships,freight,battery electric vehicle] : test</t>
  </si>
  <si>
    <t>NPV of Lifetime Vehicle Cost[ships,freight,natural gas vehicle] : test</t>
  </si>
  <si>
    <t>NPV of Lifetime Vehicle Cost[ships,freight,gasoline vehicle] : test</t>
  </si>
  <si>
    <t>NPV of Lifetime Vehicle Cost[ships,freight,diesel vehicle] : test</t>
  </si>
  <si>
    <t>NPV of Lifetime Vehicle Cost[ships,freight,plugin hybrid vehicle] : test</t>
  </si>
  <si>
    <t>NPV of Lifetime Vehicle Cost[ships,freight,LPG vehicle] : test</t>
  </si>
  <si>
    <t>NPV of Lifetime Vehicle Cost[ships,freight,hydrogen vehicle] : test</t>
  </si>
  <si>
    <t>motorbikes,passenger</t>
  </si>
  <si>
    <t>https://www.huaon.com/channel/trend/801679.html</t>
  </si>
  <si>
    <t>https://www.mtcxx.com/datadetail/54692#:~:text=%E7%94%B5%E5%8A%A8%E6%91%A9%E6%89%98%E8%BD%A6%E5%9F%BA%E6%9C%AC%E4%BB%A5%E5%86%85%E9%94%80%E4%B8%BA%E4%B8%BB%EF%BC%8C%E5%B0%91%E9%87%8F%E5%87%BA%E5%8F%A3%EF%BC%8C%E4%B8%BB%E8%A6%81%E7%94%A8%E4%BA%8E%E5%87%BA%E8%A1%8C%E4%BB%A3%E6%AD%A5%EF%BC%8C%E5%AF%B9%E4%B8%AD%E5%B0%8F%E6%8E%92%E9%87%8F%E6%91%A9%E6%89%98%E8%BD%A6%E4%BA%A7%E7%94%9F%E4%BA%86%E4%B8%80%E5%AE%9A%E6%9B%BF%E4%BB%A3%E7%9A%84%E4%BD%9C%E7%94%A8%EF%BC%8C2020%E5%B9%B4%EF%BC%8C%E9%94%80%E9%87%8F%E4%B8%BA229.54%E4%B8%87%E8%BE%86%EF%BC%8C%E5%90%8C%E6%AF%94%E5%A2%9E%E9%95%BF20.91%25%E3%80%82%20%E4%B8%89%E8%BD%AE%E6%91%A9%E6%89%98%E8%BD%A6%E8%99%BD%E7%84%B6%E9%9D%A2%E4%B8%B4%E7%9D%80%E7%8E%AF%E4%BF%9D%E8%BE%BE%E6%A0%87%E7%9A%84%E5%8E%8B%E5%8A%9B%EF%BC%8C%E4%BD%86%E5%9C%A8%E5%86%9C%E6%9D%91%E6%9C%89%E7%9D%80%E5%BE%88%E5%A5%BD%E7%9A%84%E6%B6%88%E8%B4%B9%E5%9F%BA%E7%A1%80%EF%BC%8C%E7%AC%A6%E5%90%88%E5%86%9C%E6%9D%91%E8%80%81%E7%99%BE%E5%A7%93%E7%9A%84%E9%9C%80%E6%B1%82%E3%80%82%20%E7%BB%8F%E8%BF%87%E4%BA%86%E5%87%A0%E5%B9%B4%E7%9A%84%E8%B0%83%E6%95%B4%EF%BC%8C%E5%8E%BB%E5%B9%B4%E5%BC%80%E5%A7%8B%E6%9C%89%E6%89%80%E6%81%A2%E5%A4%8D%E3%80%82,2020%E5%B9%B4%EF%BC%8C%E4%BA%A7%E9%94%80%E9%87%8F%E7%BA%A6%E4%B8%BA222.3%E4%B8%87%E8%BE%86%EF%BC%8C%E5%90%8C%E6%AF%94%E5%A2%9E%E9%95%BF14.66%25%E3%80%82%20%E5%85%B6%E4%B8%AD%EF%BC%8C%E7%94%B5%E5%8A%A8%E4%B8%89%E8%BD%AE%E6%91%A9%E6%89%98%E8%BD%A6%E9%94%80%E9%87%8F%E4%B8%BA65.38%E4%B8%87%E8%BE%86%EF%BC%8C%E5%90%8C%E6%AF%94%E5%A2%9E%E9%95%BF62.05%25%EF%BC%9B%E7%87%83%E6%B2%B9%E4%B8%89%E8%BD%AE%E6%91%A9%E6%89%98%E8%BD%A6%E9%94%80%E9%87%8F%E4%B8%BA156.63%E8%BE%86%EF%BC%8C%E5%90%8C%E6%AF%94%E5%A2%9E%E9%95%BF2.15%25%E3%80%82%202020%E5%B9%B4%EF%BC%8C%E4%B8%AD%E5%B0%8F%E6%8E%92%E9%87%8F%E6%91%A9%E6%89%98%E8%BD%A6%E3%80%81%E7%94%B5%E5%8A%A8%E6%91%A9%E6%89%98%E8%BD%A6%E3%80%81%E4%B8%89%E8%BD%AE%E6%91%A9%E6%89%98%E8%BD%A6%E5%85%B1%E9%94%80%E5%94%AE%E7%BA%A61686.59%E4%B8%87%E8%BE%86%EF%BC%8C%E5%8D%A0%E6%91%A9%E6%89%98%E8%BD%A6%E6%80%BB%E4%BA%A7%E9%94%80%E9%87%8F%E7%9A%8498.8%25%E3%80%82</t>
  </si>
  <si>
    <t>https://www.chyxx.com/industry/1138756.html</t>
  </si>
  <si>
    <t>https://bg.qianzhan.com/report/detail/459/240312-f9b8fd30.html</t>
  </si>
  <si>
    <t>NPV of Lifetime Vehicle Cost[motorbikes,passenger,battery electric vehicle] : test</t>
  </si>
  <si>
    <t>NPV of Lifetime Vehicle Cost[motorbikes,passenger,natural gas vehicle] : test</t>
  </si>
  <si>
    <t>NPV of Lifetime Vehicle Cost[motorbikes,passenger,gasoline vehicle] : test</t>
  </si>
  <si>
    <t>NPV of Lifetime Vehicle Cost[motorbikes,passenger,diesel vehicle] : test</t>
  </si>
  <si>
    <t>NPV of Lifetime Vehicle Cost[motorbikes,passenger,plugin hybrid vehicle] : test</t>
  </si>
  <si>
    <t>NPV of Lifetime Vehicle Cost[motorbikes,passenger,LPG vehicle] : test</t>
  </si>
  <si>
    <t>NPV of Lifetime Vehicle Cost[motorbikes,passenger,hydrogen vehicle] : test</t>
  </si>
  <si>
    <t>motorbikes,freight</t>
  </si>
  <si>
    <t>NPV of Lifetime Vehicle Cost[motorbikes,freight,battery electric vehicle] : test</t>
  </si>
  <si>
    <t>NPV of Lifetime Vehicle Cost[motorbikes,freight,natural gas vehicle] : test</t>
  </si>
  <si>
    <t>NPV of Lifetime Vehicle Cost[motorbikes,freight,gasoline vehicle] : test</t>
  </si>
  <si>
    <t>NPV of Lifetime Vehicle Cost[motorbikes,freight,diesel vehicle] : test</t>
  </si>
  <si>
    <t>NPV of Lifetime Vehicle Cost[motorbikes,freight,plugin hybrid vehicle] : test</t>
  </si>
  <si>
    <t>NPV of Lifetime Vehicle Cost[motorbikes,freight,LPG vehicle] : test</t>
  </si>
  <si>
    <t>NPV of Lifetime Vehicle Cost[motorbikes,freight,hydrogen vehicle] : test</t>
  </si>
  <si>
    <t>NPV of Lifetime Vehicle Cost[LDVs,passenger,battery electric vehicle] : MostRecentRun</t>
  </si>
  <si>
    <t>NPV of Lifetime Vehicle Cost[LDVs,passenger,natural gas vehicle] : MostRecentRun</t>
  </si>
  <si>
    <t>NPV of Lifetime Vehicle Cost[LDVs,passenger,gasoline vehicle] : MostRecentRun</t>
  </si>
  <si>
    <t>NPV of Lifetime Vehicle Cost[LDVs,passenger,diesel vehicle] : MostRecentRun</t>
  </si>
  <si>
    <t>NPV of Lifetime Vehicle Cost[LDVs,passenger,plugin hybrid vehicle] : MostRecentRun</t>
  </si>
  <si>
    <t>NPV of Lifetime Vehicle Cost[LDVs,passenger,LPG vehicle] : MostRecentRun</t>
  </si>
  <si>
    <t>NPV of Lifetime Vehicle Cost[LDVs,passenger,hydrogen vehicle] : MostRecentRun</t>
  </si>
  <si>
    <t>NPV of Lifetime Vehicle Cost[LDVs,freight,battery electric vehicle] : MostRecentRun</t>
  </si>
  <si>
    <t>NPV of Lifetime Vehicle Cost[LDVs,freight,natural gas vehicle] : MostRecentRun</t>
  </si>
  <si>
    <t>NPV of Lifetime Vehicle Cost[LDVs,freight,gasoline vehicle] : MostRecentRun</t>
  </si>
  <si>
    <t>NPV of Lifetime Vehicle Cost[LDVs,freight,diesel vehicle] : MostRecentRun</t>
  </si>
  <si>
    <t>NPV of Lifetime Vehicle Cost[LDVs,freight,plugin hybrid vehicle] : MostRecentRun</t>
  </si>
  <si>
    <t>NPV of Lifetime Vehicle Cost[LDVs,freight,LPG vehicle] : MostRecentRun</t>
  </si>
  <si>
    <t>NPV of Lifetime Vehicle Cost[LDVs,freight,hydrogen vehicle] : MostRecentRun</t>
  </si>
  <si>
    <t>NPV of Lifetime Vehicle Cost[HDVs,passenger,battery electric vehicle] : MostRecentRun</t>
  </si>
  <si>
    <t>NPV of Lifetime Vehicle Cost[HDVs,passenger,natural gas vehicle] : MostRecentRun</t>
  </si>
  <si>
    <t>NPV of Lifetime Vehicle Cost[HDVs,passenger,gasoline vehicle] : MostRecentRun</t>
  </si>
  <si>
    <t>NPV of Lifetime Vehicle Cost[HDVs,passenger,diesel vehicle] : MostRecentRun</t>
  </si>
  <si>
    <t>NPV of Lifetime Vehicle Cost[HDVs,passenger,plugin hybrid vehicle] : MostRecentRun</t>
  </si>
  <si>
    <t>NPV of Lifetime Vehicle Cost[HDVs,passenger,LPG vehicle] : MostRecentRun</t>
  </si>
  <si>
    <t>NPV of Lifetime Vehicle Cost[HDVs,passenger,hydrogen vehicle] : MostRecentRun</t>
  </si>
  <si>
    <t>NPV of Lifetime Vehicle Cost[HDVs,freight,battery electric vehicle] : MostRecentRun</t>
  </si>
  <si>
    <t>NPV of Lifetime Vehicle Cost[HDVs,freight,natural gas vehicle] : MostRecentRun</t>
  </si>
  <si>
    <t>NPV of Lifetime Vehicle Cost[HDVs,freight,gasoline vehicle] : MostRecentRun</t>
  </si>
  <si>
    <t>NPV of Lifetime Vehicle Cost[HDVs,freight,diesel vehicle] : MostRecentRun</t>
  </si>
  <si>
    <t>NPV of Lifetime Vehicle Cost[HDVs,freight,plugin hybrid vehicle] : MostRecentRun</t>
  </si>
  <si>
    <t>NPV of Lifetime Vehicle Cost[HDVs,freight,LPG vehicle] : MostRecentRun</t>
  </si>
  <si>
    <t>NPV of Lifetime Vehicle Cost[HDVs,freight,hydrogen vehicle] : MostRecentRun</t>
  </si>
  <si>
    <t>NPV of Lifetime Vehicle Cost[aircraft,passenger,battery electric vehicle] : MostRecentRun</t>
  </si>
  <si>
    <t>NPV of Lifetime Vehicle Cost[aircraft,passenger,natural gas vehicle] : MostRecentRun</t>
  </si>
  <si>
    <t>NPV of Lifetime Vehicle Cost[aircraft,passenger,gasoline vehicle] : MostRecentRun</t>
  </si>
  <si>
    <t>NPV of Lifetime Vehicle Cost[aircraft,passenger,diesel vehicle] : MostRecentRun</t>
  </si>
  <si>
    <t>NPV of Lifetime Vehicle Cost[aircraft,passenger,plugin hybrid vehicle] : MostRecentRun</t>
  </si>
  <si>
    <t>NPV of Lifetime Vehicle Cost[aircraft,passenger,LPG vehicle] : MostRecentRun</t>
  </si>
  <si>
    <t>NPV of Lifetime Vehicle Cost[aircraft,passenger,hydrogen vehicle] : MostRecentRun</t>
  </si>
  <si>
    <t>NPV of Lifetime Vehicle Cost[aircraft,freight,battery electric vehicle] : MostRecentRun</t>
  </si>
  <si>
    <t>NPV of Lifetime Vehicle Cost[aircraft,freight,natural gas vehicle] : MostRecentRun</t>
  </si>
  <si>
    <t>NPV of Lifetime Vehicle Cost[aircraft,freight,gasoline vehicle] : MostRecentRun</t>
  </si>
  <si>
    <t>NPV of Lifetime Vehicle Cost[aircraft,freight,diesel vehicle] : MostRecentRun</t>
  </si>
  <si>
    <t>NPV of Lifetime Vehicle Cost[aircraft,freight,plugin hybrid vehicle] : MostRecentRun</t>
  </si>
  <si>
    <t>NPV of Lifetime Vehicle Cost[aircraft,freight,LPG vehicle] : MostRecentRun</t>
  </si>
  <si>
    <t>NPV of Lifetime Vehicle Cost[aircraft,freight,hydrogen vehicle] : MostRecentRun</t>
  </si>
  <si>
    <t>NPV of Lifetime Vehicle Cost[rail,passenger,battery electric vehicle] : MostRecentRun</t>
  </si>
  <si>
    <t>NPV of Lifetime Vehicle Cost[rail,passenger,natural gas vehicle] : MostRecentRun</t>
  </si>
  <si>
    <t>NPV of Lifetime Vehicle Cost[rail,passenger,gasoline vehicle] : MostRecentRun</t>
  </si>
  <si>
    <t>NPV of Lifetime Vehicle Cost[rail,passenger,diesel vehicle] : MostRecentRun</t>
  </si>
  <si>
    <t>NPV of Lifetime Vehicle Cost[rail,passenger,plugin hybrid vehicle] : MostRecentRun</t>
  </si>
  <si>
    <t>NPV of Lifetime Vehicle Cost[rail,passenger,LPG vehicle] : MostRecentRun</t>
  </si>
  <si>
    <t>NPV of Lifetime Vehicle Cost[rail,passenger,hydrogen vehicle] : MostRecentRun</t>
  </si>
  <si>
    <t>NPV of Lifetime Vehicle Cost[rail,freight,battery electric vehicle] : MostRecentRun</t>
  </si>
  <si>
    <t>NPV of Lifetime Vehicle Cost[rail,freight,natural gas vehicle] : MostRecentRun</t>
  </si>
  <si>
    <t>NPV of Lifetime Vehicle Cost[rail,freight,gasoline vehicle] : MostRecentRun</t>
  </si>
  <si>
    <t>NPV of Lifetime Vehicle Cost[rail,freight,diesel vehicle] : MostRecentRun</t>
  </si>
  <si>
    <t>NPV of Lifetime Vehicle Cost[rail,freight,plugin hybrid vehicle] : MostRecentRun</t>
  </si>
  <si>
    <t>NPV of Lifetime Vehicle Cost[rail,freight,LPG vehicle] : MostRecentRun</t>
  </si>
  <si>
    <t>NPV of Lifetime Vehicle Cost[rail,freight,hydrogen vehicle] : MostRecentRun</t>
  </si>
  <si>
    <t>NPV of Lifetime Vehicle Cost[ships,passenger,battery electric vehicle] : MostRecentRun</t>
  </si>
  <si>
    <t>NPV of Lifetime Vehicle Cost[ships,passenger,natural gas vehicle] : MostRecentRun</t>
  </si>
  <si>
    <t>NPV of Lifetime Vehicle Cost[ships,passenger,gasoline vehicle] : MostRecentRun</t>
  </si>
  <si>
    <t>NPV of Lifetime Vehicle Cost[ships,passenger,diesel vehicle] : MostRecentRun</t>
  </si>
  <si>
    <t>NPV of Lifetime Vehicle Cost[ships,passenger,plugin hybrid vehicle] : MostRecentRun</t>
  </si>
  <si>
    <t>NPV of Lifetime Vehicle Cost[ships,passenger,LPG vehicle] : MostRecentRun</t>
  </si>
  <si>
    <t>NPV of Lifetime Vehicle Cost[ships,passenger,hydrogen vehicle] : MostRecentRun</t>
  </si>
  <si>
    <t>NPV of Lifetime Vehicle Cost[ships,freight,battery electric vehicle] : MostRecentRun</t>
  </si>
  <si>
    <t>NPV of Lifetime Vehicle Cost[ships,freight,natural gas vehicle] : MostRecentRun</t>
  </si>
  <si>
    <t>NPV of Lifetime Vehicle Cost[ships,freight,gasoline vehicle] : MostRecentRun</t>
  </si>
  <si>
    <t>NPV of Lifetime Vehicle Cost[ships,freight,diesel vehicle] : MostRecentRun</t>
  </si>
  <si>
    <t>NPV of Lifetime Vehicle Cost[ships,freight,plugin hybrid vehicle] : MostRecentRun</t>
  </si>
  <si>
    <t>NPV of Lifetime Vehicle Cost[ships,freight,LPG vehicle] : MostRecentRun</t>
  </si>
  <si>
    <t>NPV of Lifetime Vehicle Cost[ships,freight,hydrogen vehicle] : MostRecentRun</t>
  </si>
  <si>
    <t>NPV of Lifetime Vehicle Cost[motorbikes,passenger,battery electric vehicle] : MostRecentRun</t>
  </si>
  <si>
    <t>NPV of Lifetime Vehicle Cost[motorbikes,passenger,natural gas vehicle] : MostRecentRun</t>
  </si>
  <si>
    <t>NPV of Lifetime Vehicle Cost[motorbikes,passenger,gasoline vehicle] : MostRecentRun</t>
  </si>
  <si>
    <t>NPV of Lifetime Vehicle Cost[motorbikes,passenger,diesel vehicle] : MostRecentRun</t>
  </si>
  <si>
    <t>NPV of Lifetime Vehicle Cost[motorbikes,passenger,plugin hybrid vehicle] : MostRecentRun</t>
  </si>
  <si>
    <t>NPV of Lifetime Vehicle Cost[motorbikes,passenger,LPG vehicle] : MostRecentRun</t>
  </si>
  <si>
    <t>NPV of Lifetime Vehicle Cost[motorbikes,passenger,hydrogen vehicle] : MostRecentRun</t>
  </si>
  <si>
    <t>NPV of Lifetime Vehicle Cost[motorbikes,freight,battery electric vehicle] : MostRecentRun</t>
  </si>
  <si>
    <t>NPV of Lifetime Vehicle Cost[motorbikes,freight,natural gas vehicle] : MostRecentRun</t>
  </si>
  <si>
    <t>NPV of Lifetime Vehicle Cost[motorbikes,freight,gasoline vehicle] : MostRecentRun</t>
  </si>
  <si>
    <t>NPV of Lifetime Vehicle Cost[motorbikes,freight,diesel vehicle] : MostRecentRun</t>
  </si>
  <si>
    <t>NPV of Lifetime Vehicle Cost[motorbikes,freight,plugin hybrid vehicle] : MostRecentRun</t>
  </si>
  <si>
    <t>NPV of Lifetime Vehicle Cost[motorbikes,freight,LPG vehicle] : MostRecentRun</t>
  </si>
  <si>
    <t>NPV of Lifetime Vehicle Cost[motorbikes,freight,hydrogen vehicle] : MostRecentRun</t>
  </si>
  <si>
    <t>NPV of Lifetime Vehicle Cost[LDVs,passenger,battery electric vehicle] : NoSettings</t>
    <phoneticPr fontId="10" type="noConversion"/>
  </si>
  <si>
    <t>NPV of Lifetime Vehicle Cost[LDVs,passenger,battery electric vehicle] : Nosettings</t>
  </si>
  <si>
    <t>NPV of Lifetime Vehicle Cost[LDVs,passenger,natural gas vehicle] : Nosettings</t>
  </si>
  <si>
    <t>NPV of Lifetime Vehicle Cost[LDVs,passenger,gasoline vehicle] : Nosettings</t>
  </si>
  <si>
    <t>NPV of Lifetime Vehicle Cost[LDVs,passenger,diesel vehicle] : Nosettings</t>
  </si>
  <si>
    <t>NPV of Lifetime Vehicle Cost[LDVs,passenger,plugin hybrid vehicle] : Nosettings</t>
  </si>
  <si>
    <t>NPV of Lifetime Vehicle Cost[LDVs,passenger,LPG vehicle] : Nosettings</t>
  </si>
  <si>
    <t>NPV of Lifetime Vehicle Cost[LDVs,passenger,hydrogen vehicle] : Nosettings</t>
  </si>
  <si>
    <t>NPV of Lifetime Vehicle Cost[LDVs,freight,battery electric vehicle] : Nosettings</t>
  </si>
  <si>
    <t>NPV of Lifetime Vehicle Cost[LDVs,freight,natural gas vehicle] : Nosettings</t>
  </si>
  <si>
    <t>NPV of Lifetime Vehicle Cost[LDVs,freight,gasoline vehicle] : Nosettings</t>
  </si>
  <si>
    <t>NPV of Lifetime Vehicle Cost[LDVs,freight,diesel vehicle] : Nosettings</t>
  </si>
  <si>
    <t>NPV of Lifetime Vehicle Cost[LDVs,freight,plugin hybrid vehicle] : Nosettings</t>
  </si>
  <si>
    <t>NPV of Lifetime Vehicle Cost[LDVs,freight,LPG vehicle] : Nosettings</t>
  </si>
  <si>
    <t>NPV of Lifetime Vehicle Cost[LDVs,freight,hydrogen vehicle] : Nosettings</t>
  </si>
  <si>
    <t>NPV of Lifetime Vehicle Cost[HDVs,passenger,battery electric vehicle] : Nosettings</t>
  </si>
  <si>
    <t>NPV of Lifetime Vehicle Cost[HDVs,passenger,natural gas vehicle] : Nosettings</t>
  </si>
  <si>
    <t>NPV of Lifetime Vehicle Cost[HDVs,passenger,gasoline vehicle] : Nosettings</t>
  </si>
  <si>
    <t>NPV of Lifetime Vehicle Cost[HDVs,passenger,diesel vehicle] : Nosettings</t>
  </si>
  <si>
    <t>NPV of Lifetime Vehicle Cost[HDVs,passenger,plugin hybrid vehicle] : Nosettings</t>
  </si>
  <si>
    <t>NPV of Lifetime Vehicle Cost[HDVs,passenger,LPG vehicle] : Nosettings</t>
  </si>
  <si>
    <t>NPV of Lifetime Vehicle Cost[HDVs,passenger,hydrogen vehicle] : Nosettings</t>
  </si>
  <si>
    <t>NPV of Lifetime Vehicle Cost[HDVs,freight,battery electric vehicle] : Nosettings</t>
  </si>
  <si>
    <t>NPV of Lifetime Vehicle Cost[HDVs,freight,natural gas vehicle] : Nosettings</t>
  </si>
  <si>
    <t>NPV of Lifetime Vehicle Cost[HDVs,freight,gasoline vehicle] : Nosettings</t>
  </si>
  <si>
    <t>NPV of Lifetime Vehicle Cost[HDVs,freight,diesel vehicle] : Nosettings</t>
  </si>
  <si>
    <t>NPV of Lifetime Vehicle Cost[HDVs,freight,plugin hybrid vehicle] : Nosettings</t>
  </si>
  <si>
    <t>NPV of Lifetime Vehicle Cost[HDVs,freight,LPG vehicle] : Nosettings</t>
  </si>
  <si>
    <t>NPV of Lifetime Vehicle Cost[HDVs,freight,hydrogen vehicle] : Nosettings</t>
  </si>
  <si>
    <t>NPV of Lifetime Vehicle Cost[aircraft,passenger,battery electric vehicle] : Nosettings</t>
  </si>
  <si>
    <t>NPV of Lifetime Vehicle Cost[aircraft,passenger,natural gas vehicle] : Nosettings</t>
  </si>
  <si>
    <t>NPV of Lifetime Vehicle Cost[aircraft,passenger,gasoline vehicle] : Nosettings</t>
  </si>
  <si>
    <t>NPV of Lifetime Vehicle Cost[aircraft,passenger,diesel vehicle] : Nosettings</t>
  </si>
  <si>
    <t>NPV of Lifetime Vehicle Cost[aircraft,passenger,plugin hybrid vehicle] : Nosettings</t>
  </si>
  <si>
    <t>NPV of Lifetime Vehicle Cost[aircraft,passenger,LPG vehicle] : Nosettings</t>
  </si>
  <si>
    <t>NPV of Lifetime Vehicle Cost[aircraft,passenger,hydrogen vehicle] : Nosettings</t>
  </si>
  <si>
    <t>NPV of Lifetime Vehicle Cost[aircraft,freight,battery electric vehicle] : Nosettings</t>
  </si>
  <si>
    <t>NPV of Lifetime Vehicle Cost[aircraft,freight,natural gas vehicle] : Nosettings</t>
  </si>
  <si>
    <t>NPV of Lifetime Vehicle Cost[aircraft,freight,gasoline vehicle] : Nosettings</t>
  </si>
  <si>
    <t>NPV of Lifetime Vehicle Cost[aircraft,freight,diesel vehicle] : Nosettings</t>
  </si>
  <si>
    <t>NPV of Lifetime Vehicle Cost[aircraft,freight,plugin hybrid vehicle] : Nosettings</t>
  </si>
  <si>
    <t>NPV of Lifetime Vehicle Cost[aircraft,freight,LPG vehicle] : Nosettings</t>
  </si>
  <si>
    <t>NPV of Lifetime Vehicle Cost[aircraft,freight,hydrogen vehicle] : Nosettings</t>
  </si>
  <si>
    <t>NPV of Lifetime Vehicle Cost[rail,passenger,battery electric vehicle] : Nosettings</t>
  </si>
  <si>
    <t>NPV of Lifetime Vehicle Cost[rail,passenger,natural gas vehicle] : Nosettings</t>
  </si>
  <si>
    <t>NPV of Lifetime Vehicle Cost[rail,passenger,gasoline vehicle] : Nosettings</t>
  </si>
  <si>
    <t>NPV of Lifetime Vehicle Cost[rail,passenger,diesel vehicle] : Nosettings</t>
  </si>
  <si>
    <t>NPV of Lifetime Vehicle Cost[rail,passenger,plugin hybrid vehicle] : Nosettings</t>
  </si>
  <si>
    <t>NPV of Lifetime Vehicle Cost[rail,passenger,LPG vehicle] : Nosettings</t>
  </si>
  <si>
    <t>NPV of Lifetime Vehicle Cost[rail,passenger,hydrogen vehicle] : Nosettings</t>
  </si>
  <si>
    <t>NPV of Lifetime Vehicle Cost[rail,freight,battery electric vehicle] : Nosettings</t>
  </si>
  <si>
    <t>NPV of Lifetime Vehicle Cost[rail,freight,natural gas vehicle] : Nosettings</t>
  </si>
  <si>
    <t>NPV of Lifetime Vehicle Cost[rail,freight,gasoline vehicle] : Nosettings</t>
  </si>
  <si>
    <t>NPV of Lifetime Vehicle Cost[rail,freight,diesel vehicle] : Nosettings</t>
  </si>
  <si>
    <t>NPV of Lifetime Vehicle Cost[rail,freight,plugin hybrid vehicle] : Nosettings</t>
  </si>
  <si>
    <t>NPV of Lifetime Vehicle Cost[rail,freight,LPG vehicle] : Nosettings</t>
  </si>
  <si>
    <t>NPV of Lifetime Vehicle Cost[rail,freight,hydrogen vehicle] : Nosettings</t>
  </si>
  <si>
    <t>NPV of Lifetime Vehicle Cost[ships,passenger,battery electric vehicle] : Nosettings</t>
  </si>
  <si>
    <t>NPV of Lifetime Vehicle Cost[ships,passenger,natural gas vehicle] : Nosettings</t>
  </si>
  <si>
    <t>NPV of Lifetime Vehicle Cost[ships,passenger,gasoline vehicle] : Nosettings</t>
  </si>
  <si>
    <t>NPV of Lifetime Vehicle Cost[ships,passenger,diesel vehicle] : Nosettings</t>
  </si>
  <si>
    <t>NPV of Lifetime Vehicle Cost[ships,passenger,plugin hybrid vehicle] : Nosettings</t>
  </si>
  <si>
    <t>NPV of Lifetime Vehicle Cost[ships,passenger,LPG vehicle] : Nosettings</t>
  </si>
  <si>
    <t>NPV of Lifetime Vehicle Cost[ships,passenger,hydrogen vehicle] : Nosettings</t>
  </si>
  <si>
    <t>NPV of Lifetime Vehicle Cost[ships,freight,battery electric vehicle] : Nosettings</t>
  </si>
  <si>
    <t>NPV of Lifetime Vehicle Cost[ships,freight,natural gas vehicle] : Nosettings</t>
  </si>
  <si>
    <t>NPV of Lifetime Vehicle Cost[ships,freight,gasoline vehicle] : Nosettings</t>
  </si>
  <si>
    <t>NPV of Lifetime Vehicle Cost[ships,freight,diesel vehicle] : Nosettings</t>
  </si>
  <si>
    <t>NPV of Lifetime Vehicle Cost[ships,freight,plugin hybrid vehicle] : Nosettings</t>
  </si>
  <si>
    <t>NPV of Lifetime Vehicle Cost[ships,freight,LPG vehicle] : Nosettings</t>
  </si>
  <si>
    <t>NPV of Lifetime Vehicle Cost[ships,freight,hydrogen vehicle] : Nosettings</t>
  </si>
  <si>
    <t>NPV of Lifetime Vehicle Cost[motorbikes,passenger,battery electric vehicle] : Nosettings</t>
  </si>
  <si>
    <t>NPV of Lifetime Vehicle Cost[motorbikes,passenger,natural gas vehicle] : Nosettings</t>
  </si>
  <si>
    <t>NPV of Lifetime Vehicle Cost[motorbikes,passenger,gasoline vehicle] : Nosettings</t>
  </si>
  <si>
    <t>NPV of Lifetime Vehicle Cost[motorbikes,passenger,diesel vehicle] : Nosettings</t>
  </si>
  <si>
    <t>NPV of Lifetime Vehicle Cost[motorbikes,passenger,plugin hybrid vehicle] : Nosettings</t>
  </si>
  <si>
    <t>NPV of Lifetime Vehicle Cost[motorbikes,passenger,LPG vehicle] : Nosettings</t>
  </si>
  <si>
    <t>NPV of Lifetime Vehicle Cost[motorbikes,passenger,hydrogen vehicle] : Nosettings</t>
  </si>
  <si>
    <t>NPV of Lifetime Vehicle Cost[motorbikes,freight,battery electric vehicle] : Nosettings</t>
  </si>
  <si>
    <t>NPV of Lifetime Vehicle Cost[motorbikes,freight,natural gas vehicle] : Nosettings</t>
  </si>
  <si>
    <t>NPV of Lifetime Vehicle Cost[motorbikes,freight,gasoline vehicle] : Nosettings</t>
  </si>
  <si>
    <t>NPV of Lifetime Vehicle Cost[motorbikes,freight,diesel vehicle] : Nosettings</t>
  </si>
  <si>
    <t>NPV of Lifetime Vehicle Cost[motorbikes,freight,plugin hybrid vehicle] : Nosettings</t>
  </si>
  <si>
    <t>NPV of Lifetime Vehicle Cost[motorbikes,freight,LPG vehicle] : Nosettings</t>
  </si>
  <si>
    <t>NPV of Lifetime Vehicle Cost[motorbikes,freight,hydrogen vehicle] : Nosettings</t>
  </si>
  <si>
    <t xml:space="preserve"> </t>
    <phoneticPr fontId="10" type="noConversion"/>
  </si>
  <si>
    <t>销量数据库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</si>
</sst>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76" formatCode="_(* #,##0.00_);_(* \(#,##0.00\);_(* &quot;-&quot;??_);_(@_)"/>
    <numFmt numFmtId="177" formatCode="0.0000"/>
    <numFmt numFmtId="178" formatCode="_(* #,##0_);_(* \(#,##0\);_(* &quot;-&quot;??_);_(@_)"/>
    <numFmt numFmtId="179" formatCode="0.0"/>
    <numFmt numFmtId="180" formatCode="0.0%"/>
    <numFmt numFmtId="181" formatCode="0.00_);[Red]\(0.00\)"/>
    <numFmt numFmtId="182" formatCode="0.0_ "/>
    <numFmt numFmtId="183" formatCode="0_);[Red]\(0\)"/>
    <numFmt numFmtId="184" formatCode="#,##0_);[Red]\(#,##0\)"/>
    <numFmt numFmtId="185" formatCode="0_ "/>
    <numFmt numFmtId="186" formatCode="0.000_);[Red]\(0.000\)"/>
    <numFmt numFmtId="187" formatCode="0.0E+00"/>
    <numFmt numFmtId="188" formatCode="0.000%"/>
    <numFmt numFmtId="189" formatCode="0.000"/>
  </numFmts>
  <fonts count="17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1"/>
      <color theme="1"/>
      <name val="宋体"/>
      <family val="2"/>
      <scheme val="minor"/>
    </font>
    <font>
      <b/>
      <i/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176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7" fillId="0" borderId="0"/>
  </cellStyleXfs>
  <cellXfs count="23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righ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" fontId="0" fillId="0" borderId="0" xfId="0" applyNumberFormat="1"/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3" fontId="0" fillId="0" borderId="0" xfId="0" applyNumberFormat="1"/>
    <xf numFmtId="0" fontId="1" fillId="2" borderId="0" xfId="0" applyFont="1" applyFill="1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0" xfId="0" applyFill="1"/>
    <xf numFmtId="0" fontId="0" fillId="0" borderId="9" xfId="0" applyBorder="1"/>
    <xf numFmtId="0" fontId="0" fillId="0" borderId="11" xfId="0" applyBorder="1"/>
    <xf numFmtId="0" fontId="1" fillId="4" borderId="0" xfId="0" applyFont="1" applyFill="1"/>
    <xf numFmtId="177" fontId="0" fillId="0" borderId="0" xfId="0" applyNumberFormat="1"/>
    <xf numFmtId="0" fontId="0" fillId="0" borderId="5" xfId="0" applyBorder="1"/>
    <xf numFmtId="178" fontId="0" fillId="0" borderId="0" xfId="9" applyNumberFormat="1" applyFont="1"/>
    <xf numFmtId="0" fontId="1" fillId="0" borderId="0" xfId="0" applyFont="1" applyAlignment="1">
      <alignment wrapText="1"/>
    </xf>
    <xf numFmtId="177" fontId="0" fillId="0" borderId="5" xfId="0" applyNumberFormat="1" applyBorder="1"/>
    <xf numFmtId="0" fontId="8" fillId="2" borderId="0" xfId="0" applyFont="1" applyFill="1" applyAlignment="1">
      <alignment horizontal="right" wrapText="1"/>
    </xf>
    <xf numFmtId="0" fontId="9" fillId="0" borderId="0" xfId="0" applyFont="1"/>
    <xf numFmtId="9" fontId="9" fillId="0" borderId="0" xfId="10" applyFont="1" applyFill="1"/>
    <xf numFmtId="9" fontId="0" fillId="0" borderId="0" xfId="10" applyFont="1" applyAlignment="1"/>
    <xf numFmtId="0" fontId="6" fillId="0" borderId="0" xfId="8"/>
    <xf numFmtId="10" fontId="0" fillId="0" borderId="0" xfId="0" applyNumberFormat="1"/>
    <xf numFmtId="0" fontId="6" fillId="0" borderId="0" xfId="8" applyAlignment="1"/>
    <xf numFmtId="180" fontId="0" fillId="0" borderId="0" xfId="10" applyNumberFormat="1" applyFont="1" applyAlignment="1"/>
    <xf numFmtId="0" fontId="0" fillId="3" borderId="0" xfId="0" applyFill="1" applyAlignment="1">
      <alignment wrapText="1"/>
    </xf>
    <xf numFmtId="0" fontId="12" fillId="0" borderId="0" xfId="11">
      <alignment vertical="center"/>
    </xf>
    <xf numFmtId="0" fontId="12" fillId="0" borderId="12" xfId="11" applyBorder="1">
      <alignment vertical="center"/>
    </xf>
    <xf numFmtId="181" fontId="12" fillId="0" borderId="12" xfId="11" applyNumberFormat="1" applyBorder="1" applyAlignment="1">
      <alignment horizontal="center" vertical="center"/>
    </xf>
    <xf numFmtId="0" fontId="12" fillId="3" borderId="12" xfId="11" applyFill="1" applyBorder="1">
      <alignment vertical="center"/>
    </xf>
    <xf numFmtId="0" fontId="12" fillId="0" borderId="12" xfId="11" applyBorder="1" applyAlignment="1"/>
    <xf numFmtId="181" fontId="12" fillId="3" borderId="12" xfId="11" applyNumberFormat="1" applyFill="1" applyBorder="1" applyAlignment="1">
      <alignment horizontal="center" vertical="center"/>
    </xf>
    <xf numFmtId="0" fontId="12" fillId="0" borderId="12" xfId="11" applyBorder="1" applyAlignment="1">
      <alignment horizontal="center" vertical="center"/>
    </xf>
    <xf numFmtId="0" fontId="12" fillId="0" borderId="0" xfId="11" applyAlignment="1">
      <alignment horizontal="left" vertical="center"/>
    </xf>
    <xf numFmtId="0" fontId="12" fillId="0" borderId="0" xfId="11" applyAlignment="1">
      <alignment horizontal="left" vertical="center" indent="1"/>
    </xf>
    <xf numFmtId="10" fontId="12" fillId="0" borderId="12" xfId="11" applyNumberFormat="1" applyBorder="1" applyAlignment="1">
      <alignment horizontal="center" vertical="center"/>
    </xf>
    <xf numFmtId="0" fontId="14" fillId="5" borderId="12" xfId="11" applyFont="1" applyFill="1" applyBorder="1" applyAlignment="1">
      <alignment horizontal="center" vertical="center" wrapText="1"/>
    </xf>
    <xf numFmtId="0" fontId="14" fillId="6" borderId="12" xfId="11" applyFont="1" applyFill="1" applyBorder="1" applyAlignment="1">
      <alignment horizontal="center" vertical="center"/>
    </xf>
    <xf numFmtId="0" fontId="12" fillId="0" borderId="0" xfId="11" pivotButton="1">
      <alignment vertical="center"/>
    </xf>
    <xf numFmtId="0" fontId="12" fillId="0" borderId="0" xfId="11" applyAlignment="1">
      <alignment horizontal="center" vertical="center"/>
    </xf>
    <xf numFmtId="0" fontId="12" fillId="0" borderId="0" xfId="11" applyAlignment="1">
      <alignment horizontal="left" vertical="center" indent="2"/>
    </xf>
    <xf numFmtId="182" fontId="12" fillId="7" borderId="12" xfId="11" applyNumberFormat="1" applyFill="1" applyBorder="1" applyAlignment="1">
      <alignment horizontal="center" vertical="center"/>
    </xf>
    <xf numFmtId="183" fontId="12" fillId="3" borderId="13" xfId="11" applyNumberFormat="1" applyFill="1" applyBorder="1" applyAlignment="1">
      <alignment horizontal="center" vertical="center"/>
    </xf>
    <xf numFmtId="0" fontId="12" fillId="8" borderId="0" xfId="11" applyFill="1" applyAlignment="1">
      <alignment horizontal="center" vertical="center"/>
    </xf>
    <xf numFmtId="10" fontId="12" fillId="7" borderId="12" xfId="11" applyNumberFormat="1" applyFill="1" applyBorder="1" applyAlignment="1">
      <alignment horizontal="center" vertical="center"/>
    </xf>
    <xf numFmtId="9" fontId="12" fillId="0" borderId="14" xfId="11" applyNumberFormat="1" applyBorder="1">
      <alignment vertical="center"/>
    </xf>
    <xf numFmtId="9" fontId="12" fillId="0" borderId="15" xfId="11" applyNumberFormat="1" applyBorder="1">
      <alignment vertical="center"/>
    </xf>
    <xf numFmtId="9" fontId="12" fillId="0" borderId="16" xfId="11" applyNumberFormat="1" applyBorder="1">
      <alignment vertical="center"/>
    </xf>
    <xf numFmtId="9" fontId="12" fillId="9" borderId="15" xfId="11" applyNumberFormat="1" applyFill="1" applyBorder="1">
      <alignment vertical="center"/>
    </xf>
    <xf numFmtId="9" fontId="12" fillId="9" borderId="16" xfId="11" applyNumberFormat="1" applyFill="1" applyBorder="1">
      <alignment vertical="center"/>
    </xf>
    <xf numFmtId="9" fontId="12" fillId="10" borderId="14" xfId="11" applyNumberFormat="1" applyFill="1" applyBorder="1">
      <alignment vertical="center"/>
    </xf>
    <xf numFmtId="9" fontId="12" fillId="10" borderId="15" xfId="11" applyNumberFormat="1" applyFill="1" applyBorder="1">
      <alignment vertical="center"/>
    </xf>
    <xf numFmtId="9" fontId="12" fillId="10" borderId="16" xfId="11" applyNumberFormat="1" applyFill="1" applyBorder="1">
      <alignment vertical="center"/>
    </xf>
    <xf numFmtId="9" fontId="12" fillId="11" borderId="15" xfId="11" applyNumberFormat="1" applyFill="1" applyBorder="1">
      <alignment vertical="center"/>
    </xf>
    <xf numFmtId="9" fontId="12" fillId="11" borderId="16" xfId="11" applyNumberFormat="1" applyFill="1" applyBorder="1">
      <alignment vertical="center"/>
    </xf>
    <xf numFmtId="9" fontId="12" fillId="12" borderId="15" xfId="11" applyNumberFormat="1" applyFill="1" applyBorder="1">
      <alignment vertical="center"/>
    </xf>
    <xf numFmtId="9" fontId="12" fillId="12" borderId="16" xfId="11" applyNumberFormat="1" applyFill="1" applyBorder="1">
      <alignment vertical="center"/>
    </xf>
    <xf numFmtId="183" fontId="12" fillId="3" borderId="17" xfId="11" applyNumberFormat="1" applyFill="1" applyBorder="1" applyAlignment="1">
      <alignment horizontal="center" vertical="center"/>
    </xf>
    <xf numFmtId="9" fontId="12" fillId="0" borderId="18" xfId="11" applyNumberFormat="1" applyBorder="1">
      <alignment vertical="center"/>
    </xf>
    <xf numFmtId="9" fontId="12" fillId="0" borderId="0" xfId="11" applyNumberFormat="1">
      <alignment vertical="center"/>
    </xf>
    <xf numFmtId="9" fontId="12" fillId="0" borderId="19" xfId="11" applyNumberFormat="1" applyBorder="1">
      <alignment vertical="center"/>
    </xf>
    <xf numFmtId="9" fontId="12" fillId="9" borderId="0" xfId="11" applyNumberFormat="1" applyFill="1">
      <alignment vertical="center"/>
    </xf>
    <xf numFmtId="9" fontId="12" fillId="9" borderId="19" xfId="11" applyNumberFormat="1" applyFill="1" applyBorder="1">
      <alignment vertical="center"/>
    </xf>
    <xf numFmtId="9" fontId="12" fillId="10" borderId="18" xfId="11" applyNumberFormat="1" applyFill="1" applyBorder="1">
      <alignment vertical="center"/>
    </xf>
    <xf numFmtId="9" fontId="12" fillId="10" borderId="0" xfId="11" applyNumberFormat="1" applyFill="1">
      <alignment vertical="center"/>
    </xf>
    <xf numFmtId="9" fontId="12" fillId="10" borderId="19" xfId="11" applyNumberFormat="1" applyFill="1" applyBorder="1">
      <alignment vertical="center"/>
    </xf>
    <xf numFmtId="9" fontId="12" fillId="11" borderId="0" xfId="11" applyNumberFormat="1" applyFill="1">
      <alignment vertical="center"/>
    </xf>
    <xf numFmtId="9" fontId="12" fillId="11" borderId="19" xfId="11" applyNumberFormat="1" applyFill="1" applyBorder="1">
      <alignment vertical="center"/>
    </xf>
    <xf numFmtId="9" fontId="12" fillId="12" borderId="0" xfId="11" applyNumberFormat="1" applyFill="1">
      <alignment vertical="center"/>
    </xf>
    <xf numFmtId="9" fontId="12" fillId="12" borderId="19" xfId="11" applyNumberFormat="1" applyFill="1" applyBorder="1">
      <alignment vertical="center"/>
    </xf>
    <xf numFmtId="183" fontId="12" fillId="3" borderId="20" xfId="11" applyNumberFormat="1" applyFill="1" applyBorder="1" applyAlignment="1">
      <alignment horizontal="center" vertical="center"/>
    </xf>
    <xf numFmtId="9" fontId="12" fillId="0" borderId="21" xfId="11" applyNumberFormat="1" applyBorder="1">
      <alignment vertical="center"/>
    </xf>
    <xf numFmtId="9" fontId="12" fillId="0" borderId="22" xfId="11" applyNumberFormat="1" applyBorder="1">
      <alignment vertical="center"/>
    </xf>
    <xf numFmtId="9" fontId="12" fillId="0" borderId="23" xfId="11" applyNumberFormat="1" applyBorder="1">
      <alignment vertical="center"/>
    </xf>
    <xf numFmtId="9" fontId="12" fillId="9" borderId="22" xfId="11" applyNumberFormat="1" applyFill="1" applyBorder="1">
      <alignment vertical="center"/>
    </xf>
    <xf numFmtId="9" fontId="12" fillId="9" borderId="23" xfId="11" applyNumberFormat="1" applyFill="1" applyBorder="1">
      <alignment vertical="center"/>
    </xf>
    <xf numFmtId="9" fontId="12" fillId="10" borderId="21" xfId="11" applyNumberFormat="1" applyFill="1" applyBorder="1">
      <alignment vertical="center"/>
    </xf>
    <xf numFmtId="9" fontId="12" fillId="10" borderId="22" xfId="11" applyNumberFormat="1" applyFill="1" applyBorder="1">
      <alignment vertical="center"/>
    </xf>
    <xf numFmtId="9" fontId="12" fillId="10" borderId="23" xfId="11" applyNumberFormat="1" applyFill="1" applyBorder="1">
      <alignment vertical="center"/>
    </xf>
    <xf numFmtId="9" fontId="12" fillId="11" borderId="22" xfId="11" applyNumberFormat="1" applyFill="1" applyBorder="1">
      <alignment vertical="center"/>
    </xf>
    <xf numFmtId="9" fontId="12" fillId="11" borderId="23" xfId="11" applyNumberFormat="1" applyFill="1" applyBorder="1">
      <alignment vertical="center"/>
    </xf>
    <xf numFmtId="9" fontId="12" fillId="12" borderId="22" xfId="11" applyNumberFormat="1" applyFill="1" applyBorder="1">
      <alignment vertical="center"/>
    </xf>
    <xf numFmtId="9" fontId="12" fillId="12" borderId="23" xfId="11" applyNumberFormat="1" applyFill="1" applyBorder="1">
      <alignment vertical="center"/>
    </xf>
    <xf numFmtId="9" fontId="12" fillId="9" borderId="14" xfId="11" applyNumberFormat="1" applyFill="1" applyBorder="1">
      <alignment vertical="center"/>
    </xf>
    <xf numFmtId="9" fontId="12" fillId="11" borderId="14" xfId="11" applyNumberFormat="1" applyFill="1" applyBorder="1">
      <alignment vertical="center"/>
    </xf>
    <xf numFmtId="9" fontId="12" fillId="12" borderId="14" xfId="11" applyNumberFormat="1" applyFill="1" applyBorder="1">
      <alignment vertical="center"/>
    </xf>
    <xf numFmtId="0" fontId="12" fillId="0" borderId="17" xfId="11" applyBorder="1" applyAlignment="1">
      <alignment horizontal="center" vertical="center"/>
    </xf>
    <xf numFmtId="9" fontId="12" fillId="9" borderId="18" xfId="11" applyNumberFormat="1" applyFill="1" applyBorder="1">
      <alignment vertical="center"/>
    </xf>
    <xf numFmtId="9" fontId="12" fillId="11" borderId="18" xfId="11" applyNumberFormat="1" applyFill="1" applyBorder="1">
      <alignment vertical="center"/>
    </xf>
    <xf numFmtId="9" fontId="12" fillId="12" borderId="18" xfId="11" applyNumberFormat="1" applyFill="1" applyBorder="1">
      <alignment vertical="center"/>
    </xf>
    <xf numFmtId="0" fontId="12" fillId="0" borderId="20" xfId="11" applyBorder="1" applyAlignment="1">
      <alignment horizontal="center" vertical="center"/>
    </xf>
    <xf numFmtId="9" fontId="12" fillId="0" borderId="24" xfId="11" applyNumberFormat="1" applyBorder="1">
      <alignment vertical="center"/>
    </xf>
    <xf numFmtId="9" fontId="12" fillId="0" borderId="25" xfId="11" applyNumberFormat="1" applyBorder="1">
      <alignment vertical="center"/>
    </xf>
    <xf numFmtId="9" fontId="12" fillId="0" borderId="13" xfId="11" applyNumberFormat="1" applyBorder="1">
      <alignment vertical="center"/>
    </xf>
    <xf numFmtId="9" fontId="12" fillId="9" borderId="24" xfId="11" applyNumberFormat="1" applyFill="1" applyBorder="1">
      <alignment vertical="center"/>
    </xf>
    <xf numFmtId="9" fontId="12" fillId="9" borderId="25" xfId="11" applyNumberFormat="1" applyFill="1" applyBorder="1">
      <alignment vertical="center"/>
    </xf>
    <xf numFmtId="9" fontId="12" fillId="9" borderId="13" xfId="11" applyNumberFormat="1" applyFill="1" applyBorder="1">
      <alignment vertical="center"/>
    </xf>
    <xf numFmtId="9" fontId="12" fillId="10" borderId="24" xfId="11" applyNumberFormat="1" applyFill="1" applyBorder="1">
      <alignment vertical="center"/>
    </xf>
    <xf numFmtId="9" fontId="12" fillId="10" borderId="25" xfId="11" applyNumberFormat="1" applyFill="1" applyBorder="1">
      <alignment vertical="center"/>
    </xf>
    <xf numFmtId="9" fontId="12" fillId="10" borderId="13" xfId="11" applyNumberFormat="1" applyFill="1" applyBorder="1">
      <alignment vertical="center"/>
    </xf>
    <xf numFmtId="9" fontId="12" fillId="11" borderId="24" xfId="11" applyNumberFormat="1" applyFill="1" applyBorder="1">
      <alignment vertical="center"/>
    </xf>
    <xf numFmtId="9" fontId="12" fillId="11" borderId="25" xfId="11" applyNumberFormat="1" applyFill="1" applyBorder="1">
      <alignment vertical="center"/>
    </xf>
    <xf numFmtId="9" fontId="12" fillId="11" borderId="13" xfId="11" applyNumberFormat="1" applyFill="1" applyBorder="1">
      <alignment vertical="center"/>
    </xf>
    <xf numFmtId="9" fontId="12" fillId="12" borderId="24" xfId="11" applyNumberFormat="1" applyFill="1" applyBorder="1">
      <alignment vertical="center"/>
    </xf>
    <xf numFmtId="9" fontId="12" fillId="12" borderId="25" xfId="11" applyNumberFormat="1" applyFill="1" applyBorder="1">
      <alignment vertical="center"/>
    </xf>
    <xf numFmtId="0" fontId="12" fillId="0" borderId="26" xfId="11" applyBorder="1" applyAlignment="1">
      <alignment horizontal="center" vertical="center"/>
    </xf>
    <xf numFmtId="0" fontId="12" fillId="0" borderId="0" xfId="11" applyAlignment="1">
      <alignment vertical="center" wrapText="1"/>
    </xf>
    <xf numFmtId="0" fontId="12" fillId="0" borderId="12" xfId="11" applyBorder="1" applyAlignment="1">
      <alignment vertical="center" wrapText="1"/>
    </xf>
    <xf numFmtId="0" fontId="12" fillId="0" borderId="0" xfId="11" pivotButton="1" applyAlignment="1">
      <alignment vertical="center" wrapText="1"/>
    </xf>
    <xf numFmtId="184" fontId="15" fillId="0" borderId="0" xfId="11" applyNumberFormat="1" applyFont="1">
      <alignment vertical="center"/>
    </xf>
    <xf numFmtId="184" fontId="12" fillId="0" borderId="0" xfId="11" applyNumberFormat="1">
      <alignment vertical="center"/>
    </xf>
    <xf numFmtId="9" fontId="12" fillId="3" borderId="0" xfId="11" applyNumberFormat="1" applyFill="1">
      <alignment vertical="center"/>
    </xf>
    <xf numFmtId="184" fontId="16" fillId="0" borderId="0" xfId="11" applyNumberFormat="1" applyFont="1">
      <alignment vertical="center"/>
    </xf>
    <xf numFmtId="185" fontId="12" fillId="0" borderId="0" xfId="11" applyNumberFormat="1">
      <alignment vertical="center"/>
    </xf>
    <xf numFmtId="184" fontId="0" fillId="0" borderId="0" xfId="12" applyNumberFormat="1" applyFont="1" applyAlignment="1">
      <alignment horizontal="center" vertical="center"/>
    </xf>
    <xf numFmtId="184" fontId="0" fillId="13" borderId="0" xfId="12" applyNumberFormat="1" applyFont="1" applyFill="1" applyAlignment="1">
      <alignment vertical="center"/>
    </xf>
    <xf numFmtId="3" fontId="12" fillId="0" borderId="0" xfId="11" applyNumberFormat="1">
      <alignment vertical="center"/>
    </xf>
    <xf numFmtId="184" fontId="11" fillId="0" borderId="0" xfId="11" applyNumberFormat="1" applyFont="1">
      <alignment vertical="center"/>
    </xf>
    <xf numFmtId="184" fontId="11" fillId="0" borderId="0" xfId="12" applyNumberFormat="1" applyFont="1" applyAlignment="1">
      <alignment horizontal="center" vertical="center"/>
    </xf>
    <xf numFmtId="0" fontId="11" fillId="0" borderId="0" xfId="11" applyFont="1">
      <alignment vertical="center"/>
    </xf>
    <xf numFmtId="184" fontId="11" fillId="0" borderId="0" xfId="12" applyNumberFormat="1" applyFont="1" applyAlignment="1">
      <alignment vertical="center"/>
    </xf>
    <xf numFmtId="0" fontId="12" fillId="0" borderId="0" xfId="11" applyAlignment="1">
      <alignment horizontal="center" vertical="center" wrapText="1"/>
    </xf>
    <xf numFmtId="184" fontId="15" fillId="0" borderId="0" xfId="11" applyNumberFormat="1" applyFont="1" applyAlignment="1">
      <alignment horizontal="center" vertical="center" wrapText="1"/>
    </xf>
    <xf numFmtId="184" fontId="12" fillId="0" borderId="0" xfId="11" applyNumberFormat="1" applyAlignment="1">
      <alignment horizontal="center" vertical="center" wrapText="1"/>
    </xf>
    <xf numFmtId="181" fontId="12" fillId="0" borderId="14" xfId="11" applyNumberFormat="1" applyBorder="1">
      <alignment vertical="center"/>
    </xf>
    <xf numFmtId="181" fontId="12" fillId="0" borderId="15" xfId="11" applyNumberFormat="1" applyBorder="1">
      <alignment vertical="center"/>
    </xf>
    <xf numFmtId="181" fontId="12" fillId="0" borderId="16" xfId="11" applyNumberFormat="1" applyBorder="1">
      <alignment vertical="center"/>
    </xf>
    <xf numFmtId="186" fontId="12" fillId="0" borderId="16" xfId="11" applyNumberFormat="1" applyBorder="1">
      <alignment vertical="center"/>
    </xf>
    <xf numFmtId="186" fontId="12" fillId="0" borderId="14" xfId="11" applyNumberFormat="1" applyBorder="1">
      <alignment vertical="center"/>
    </xf>
    <xf numFmtId="186" fontId="12" fillId="0" borderId="15" xfId="11" applyNumberFormat="1" applyBorder="1">
      <alignment vertical="center"/>
    </xf>
    <xf numFmtId="0" fontId="12" fillId="14" borderId="13" xfId="11" applyFill="1" applyBorder="1">
      <alignment vertical="center"/>
    </xf>
    <xf numFmtId="0" fontId="7" fillId="0" borderId="16" xfId="13" applyBorder="1"/>
    <xf numFmtId="181" fontId="12" fillId="0" borderId="18" xfId="11" applyNumberFormat="1" applyBorder="1">
      <alignment vertical="center"/>
    </xf>
    <xf numFmtId="181" fontId="12" fillId="0" borderId="0" xfId="11" applyNumberFormat="1">
      <alignment vertical="center"/>
    </xf>
    <xf numFmtId="181" fontId="12" fillId="0" borderId="19" xfId="11" applyNumberFormat="1" applyBorder="1">
      <alignment vertical="center"/>
    </xf>
    <xf numFmtId="186" fontId="12" fillId="0" borderId="19" xfId="11" applyNumberFormat="1" applyBorder="1">
      <alignment vertical="center"/>
    </xf>
    <xf numFmtId="186" fontId="12" fillId="0" borderId="18" xfId="11" applyNumberFormat="1" applyBorder="1">
      <alignment vertical="center"/>
    </xf>
    <xf numFmtId="186" fontId="12" fillId="0" borderId="0" xfId="11" applyNumberFormat="1">
      <alignment vertical="center"/>
    </xf>
    <xf numFmtId="0" fontId="12" fillId="14" borderId="23" xfId="11" applyFill="1" applyBorder="1">
      <alignment vertical="center"/>
    </xf>
    <xf numFmtId="0" fontId="7" fillId="0" borderId="19" xfId="13" applyBorder="1"/>
    <xf numFmtId="181" fontId="12" fillId="0" borderId="21" xfId="11" applyNumberFormat="1" applyBorder="1">
      <alignment vertical="center"/>
    </xf>
    <xf numFmtId="181" fontId="12" fillId="0" borderId="22" xfId="11" applyNumberFormat="1" applyBorder="1">
      <alignment vertical="center"/>
    </xf>
    <xf numFmtId="181" fontId="12" fillId="0" borderId="23" xfId="11" applyNumberFormat="1" applyBorder="1">
      <alignment vertical="center"/>
    </xf>
    <xf numFmtId="186" fontId="12" fillId="0" borderId="23" xfId="11" applyNumberFormat="1" applyBorder="1">
      <alignment vertical="center"/>
    </xf>
    <xf numFmtId="186" fontId="12" fillId="0" borderId="21" xfId="11" applyNumberFormat="1" applyBorder="1">
      <alignment vertical="center"/>
    </xf>
    <xf numFmtId="186" fontId="12" fillId="0" borderId="22" xfId="11" applyNumberFormat="1" applyBorder="1">
      <alignment vertical="center"/>
    </xf>
    <xf numFmtId="0" fontId="7" fillId="0" borderId="23" xfId="13" applyBorder="1"/>
    <xf numFmtId="0" fontId="12" fillId="6" borderId="13" xfId="11" applyFill="1" applyBorder="1">
      <alignment vertical="center"/>
    </xf>
    <xf numFmtId="0" fontId="12" fillId="6" borderId="23" xfId="11" applyFill="1" applyBorder="1">
      <alignment vertical="center"/>
    </xf>
    <xf numFmtId="186" fontId="12" fillId="0" borderId="0" xfId="11" applyNumberFormat="1" applyAlignment="1">
      <alignment horizontal="center" vertical="center"/>
    </xf>
    <xf numFmtId="186" fontId="12" fillId="0" borderId="22" xfId="11" applyNumberFormat="1" applyBorder="1" applyAlignment="1">
      <alignment horizontal="center" vertical="center"/>
    </xf>
    <xf numFmtId="186" fontId="12" fillId="0" borderId="15" xfId="11" applyNumberFormat="1" applyBorder="1" applyAlignment="1">
      <alignment horizontal="center" vertical="center"/>
    </xf>
    <xf numFmtId="0" fontId="12" fillId="16" borderId="13" xfId="11" applyFill="1" applyBorder="1">
      <alignment vertical="center"/>
    </xf>
    <xf numFmtId="0" fontId="12" fillId="17" borderId="16" xfId="11" applyFill="1" applyBorder="1">
      <alignment vertical="center"/>
    </xf>
    <xf numFmtId="0" fontId="12" fillId="17" borderId="0" xfId="11" applyFill="1">
      <alignment vertical="center"/>
    </xf>
    <xf numFmtId="0" fontId="12" fillId="17" borderId="22" xfId="11" applyFill="1" applyBorder="1">
      <alignment vertical="center"/>
    </xf>
    <xf numFmtId="185" fontId="12" fillId="7" borderId="24" xfId="11" applyNumberFormat="1" applyFill="1" applyBorder="1" applyAlignment="1">
      <alignment horizontal="center" vertical="center"/>
    </xf>
    <xf numFmtId="185" fontId="12" fillId="7" borderId="25" xfId="11" applyNumberFormat="1" applyFill="1" applyBorder="1" applyAlignment="1">
      <alignment horizontal="center" vertical="center"/>
    </xf>
    <xf numFmtId="185" fontId="12" fillId="7" borderId="13" xfId="11" applyNumberFormat="1" applyFill="1" applyBorder="1" applyAlignment="1">
      <alignment horizontal="center" vertical="center"/>
    </xf>
    <xf numFmtId="0" fontId="1" fillId="18" borderId="0" xfId="0" applyFont="1" applyFill="1"/>
    <xf numFmtId="0" fontId="0" fillId="18" borderId="0" xfId="0" applyFill="1"/>
    <xf numFmtId="9" fontId="0" fillId="0" borderId="0" xfId="10" applyFont="1"/>
    <xf numFmtId="9" fontId="0" fillId="19" borderId="0" xfId="10" applyFont="1" applyFill="1"/>
    <xf numFmtId="0" fontId="0" fillId="0" borderId="22" xfId="0" applyBorder="1"/>
    <xf numFmtId="9" fontId="7" fillId="0" borderId="22" xfId="10" applyFont="1" applyFill="1" applyBorder="1"/>
    <xf numFmtId="0" fontId="0" fillId="9" borderId="27" xfId="0" applyFill="1" applyBorder="1"/>
    <xf numFmtId="11" fontId="0" fillId="0" borderId="0" xfId="0" applyNumberFormat="1"/>
    <xf numFmtId="9" fontId="0" fillId="0" borderId="0" xfId="0" applyNumberFormat="1"/>
    <xf numFmtId="187" fontId="0" fillId="0" borderId="0" xfId="0" applyNumberFormat="1"/>
    <xf numFmtId="2" fontId="0" fillId="0" borderId="0" xfId="0" applyNumberFormat="1"/>
    <xf numFmtId="0" fontId="6" fillId="0" borderId="0" xfId="8" applyAlignment="1">
      <alignment vertical="center"/>
    </xf>
    <xf numFmtId="0" fontId="0" fillId="0" borderId="0" xfId="10" applyNumberFormat="1" applyFont="1" applyFill="1"/>
    <xf numFmtId="9" fontId="0" fillId="0" borderId="0" xfId="10" applyFont="1" applyFill="1"/>
    <xf numFmtId="0" fontId="0" fillId="0" borderId="12" xfId="0" applyBorder="1"/>
    <xf numFmtId="0" fontId="7" fillId="19" borderId="0" xfId="0" applyFont="1" applyFill="1"/>
    <xf numFmtId="0" fontId="7" fillId="19" borderId="0" xfId="0" applyFont="1" applyFill="1" applyAlignment="1">
      <alignment horizontal="left" vertical="top"/>
    </xf>
    <xf numFmtId="0" fontId="0" fillId="19" borderId="0" xfId="0" applyFill="1"/>
    <xf numFmtId="0" fontId="0" fillId="0" borderId="20" xfId="0" applyBorder="1"/>
    <xf numFmtId="9" fontId="0" fillId="20" borderId="0" xfId="10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180" fontId="0" fillId="0" borderId="0" xfId="10" applyNumberFormat="1" applyFont="1"/>
    <xf numFmtId="180" fontId="0" fillId="0" borderId="0" xfId="0" applyNumberFormat="1"/>
    <xf numFmtId="10" fontId="0" fillId="0" borderId="0" xfId="10" applyNumberFormat="1" applyFont="1"/>
    <xf numFmtId="188" fontId="0" fillId="0" borderId="0" xfId="10" applyNumberFormat="1" applyFont="1"/>
    <xf numFmtId="188" fontId="0" fillId="0" borderId="0" xfId="0" applyNumberFormat="1"/>
    <xf numFmtId="0" fontId="0" fillId="21" borderId="0" xfId="0" applyFill="1" applyAlignment="1">
      <alignment wrapText="1"/>
    </xf>
    <xf numFmtId="0" fontId="0" fillId="21" borderId="0" xfId="0" applyFill="1"/>
    <xf numFmtId="0" fontId="0" fillId="9" borderId="0" xfId="0" applyFill="1" applyAlignment="1">
      <alignment horizontal="center" vertical="center" wrapText="1"/>
    </xf>
    <xf numFmtId="0" fontId="0" fillId="22" borderId="0" xfId="0" applyFill="1" applyAlignment="1">
      <alignment wrapText="1"/>
    </xf>
    <xf numFmtId="0" fontId="0" fillId="22" borderId="0" xfId="0" applyFill="1"/>
    <xf numFmtId="177" fontId="0" fillId="22" borderId="0" xfId="0" applyNumberFormat="1" applyFill="1"/>
    <xf numFmtId="0" fontId="0" fillId="23" borderId="0" xfId="0" applyFill="1" applyAlignment="1">
      <alignment vertical="center"/>
    </xf>
    <xf numFmtId="2" fontId="0" fillId="21" borderId="0" xfId="0" applyNumberFormat="1" applyFill="1"/>
    <xf numFmtId="189" fontId="0" fillId="21" borderId="0" xfId="0" applyNumberFormat="1" applyFill="1"/>
    <xf numFmtId="177" fontId="0" fillId="21" borderId="0" xfId="0" applyNumberFormat="1" applyFill="1"/>
    <xf numFmtId="0" fontId="0" fillId="24" borderId="0" xfId="0" applyFill="1"/>
    <xf numFmtId="177" fontId="0" fillId="24" borderId="0" xfId="0" applyNumberFormat="1" applyFill="1"/>
    <xf numFmtId="0" fontId="0" fillId="24" borderId="0" xfId="0" applyFill="1" applyAlignment="1">
      <alignment horizontal="right"/>
    </xf>
    <xf numFmtId="179" fontId="0" fillId="24" borderId="0" xfId="0" applyNumberFormat="1" applyFill="1"/>
    <xf numFmtId="0" fontId="0" fillId="25" borderId="5" xfId="0" applyFill="1" applyBorder="1"/>
    <xf numFmtId="177" fontId="0" fillId="25" borderId="0" xfId="0" applyNumberFormat="1" applyFill="1"/>
    <xf numFmtId="177" fontId="0" fillId="25" borderId="5" xfId="0" applyNumberFormat="1" applyFill="1" applyBorder="1"/>
    <xf numFmtId="0" fontId="0" fillId="25" borderId="5" xfId="0" applyFill="1" applyBorder="1" applyAlignment="1">
      <alignment horizontal="right"/>
    </xf>
    <xf numFmtId="0" fontId="0" fillId="25" borderId="0" xfId="0" applyFill="1"/>
    <xf numFmtId="0" fontId="12" fillId="0" borderId="12" xfId="11" applyBorder="1" applyAlignment="1">
      <alignment horizontal="center" vertical="center"/>
    </xf>
    <xf numFmtId="0" fontId="12" fillId="13" borderId="12" xfId="11" applyFill="1" applyBorder="1" applyAlignment="1">
      <alignment horizontal="center" vertical="center"/>
    </xf>
    <xf numFmtId="0" fontId="12" fillId="17" borderId="12" xfId="11" applyFill="1" applyBorder="1" applyAlignment="1">
      <alignment horizontal="center" vertical="center"/>
    </xf>
    <xf numFmtId="0" fontId="12" fillId="16" borderId="12" xfId="11" applyFill="1" applyBorder="1" applyAlignment="1">
      <alignment horizontal="center" vertical="center"/>
    </xf>
    <xf numFmtId="0" fontId="12" fillId="13" borderId="24" xfId="11" applyFill="1" applyBorder="1" applyAlignment="1">
      <alignment horizontal="center" vertical="center"/>
    </xf>
    <xf numFmtId="0" fontId="12" fillId="14" borderId="16" xfId="11" applyFill="1" applyBorder="1" applyAlignment="1">
      <alignment horizontal="center" vertical="center"/>
    </xf>
    <xf numFmtId="0" fontId="12" fillId="14" borderId="15" xfId="11" applyFill="1" applyBorder="1" applyAlignment="1">
      <alignment horizontal="center" vertical="center"/>
    </xf>
    <xf numFmtId="0" fontId="12" fillId="14" borderId="14" xfId="11" applyFill="1" applyBorder="1" applyAlignment="1">
      <alignment horizontal="center" vertical="center"/>
    </xf>
    <xf numFmtId="0" fontId="12" fillId="14" borderId="26" xfId="11" applyFill="1" applyBorder="1" applyAlignment="1">
      <alignment horizontal="center" vertical="center"/>
    </xf>
    <xf numFmtId="0" fontId="12" fillId="14" borderId="12" xfId="11" applyFill="1" applyBorder="1" applyAlignment="1">
      <alignment horizontal="center" vertical="center"/>
    </xf>
    <xf numFmtId="0" fontId="12" fillId="6" borderId="26" xfId="11" applyFill="1" applyBorder="1" applyAlignment="1">
      <alignment horizontal="center" vertical="center"/>
    </xf>
    <xf numFmtId="0" fontId="12" fillId="6" borderId="12" xfId="11" applyFill="1" applyBorder="1" applyAlignment="1">
      <alignment horizontal="center" vertical="center"/>
    </xf>
    <xf numFmtId="0" fontId="12" fillId="16" borderId="13" xfId="11" applyFill="1" applyBorder="1" applyAlignment="1">
      <alignment horizontal="center" vertical="center"/>
    </xf>
    <xf numFmtId="0" fontId="12" fillId="6" borderId="16" xfId="11" applyFill="1" applyBorder="1" applyAlignment="1">
      <alignment horizontal="center" vertical="center"/>
    </xf>
    <xf numFmtId="0" fontId="12" fillId="6" borderId="15" xfId="11" applyFill="1" applyBorder="1" applyAlignment="1">
      <alignment horizontal="center" vertical="center"/>
    </xf>
    <xf numFmtId="0" fontId="12" fillId="6" borderId="14" xfId="11" applyFill="1" applyBorder="1" applyAlignment="1">
      <alignment horizontal="center" vertical="center"/>
    </xf>
    <xf numFmtId="0" fontId="12" fillId="15" borderId="24" xfId="11" applyFill="1" applyBorder="1" applyAlignment="1">
      <alignment horizontal="center" vertical="center"/>
    </xf>
    <xf numFmtId="0" fontId="12" fillId="15" borderId="12" xfId="11" applyFill="1" applyBorder="1" applyAlignment="1">
      <alignment horizontal="center" vertical="center"/>
    </xf>
    <xf numFmtId="0" fontId="12" fillId="15" borderId="13" xfId="11" applyFill="1" applyBorder="1" applyAlignment="1">
      <alignment horizontal="center" vertical="center"/>
    </xf>
    <xf numFmtId="0" fontId="12" fillId="0" borderId="0" xfId="11" applyAlignment="1">
      <alignment horizontal="center" vertical="center"/>
    </xf>
    <xf numFmtId="0" fontId="0" fillId="0" borderId="0" xfId="0" applyAlignment="1">
      <alignment horizontal="center" vertical="top" wrapText="1"/>
    </xf>
  </cellXfs>
  <cellStyles count="14">
    <cellStyle name="Body: normal cell" xfId="4" xr:uid="{00000000-0005-0000-0000-000000000000}"/>
    <cellStyle name="Font: Calibri, 9pt regular" xfId="6" xr:uid="{00000000-0005-0000-0000-000002000000}"/>
    <cellStyle name="Footnotes: top row" xfId="2" xr:uid="{00000000-0005-0000-0000-000003000000}"/>
    <cellStyle name="Header: bottom row" xfId="5" xr:uid="{00000000-0005-0000-0000-000004000000}"/>
    <cellStyle name="Normal 2" xfId="1" xr:uid="{00000000-0005-0000-0000-000007000000}"/>
    <cellStyle name="Parent row" xfId="3" xr:uid="{00000000-0005-0000-0000-000008000000}"/>
    <cellStyle name="Table title" xfId="7" xr:uid="{00000000-0005-0000-0000-00000A000000}"/>
    <cellStyle name="百分比" xfId="10" builtinId="5"/>
    <cellStyle name="常规" xfId="0" builtinId="0"/>
    <cellStyle name="常规 2" xfId="11" xr:uid="{A2AFB43D-2876-4A5E-83FC-A6A32EB3CBD1}"/>
    <cellStyle name="常规 2 2" xfId="13" xr:uid="{F224D7C1-EDCD-48A2-817E-9B2E39C59DDD}"/>
    <cellStyle name="超链接" xfId="8" builtinId="8"/>
    <cellStyle name="千位分隔" xfId="9" builtinId="3"/>
    <cellStyle name="千位分隔 2" xfId="12" xr:uid="{9113297D-E0B6-4B03-B30E-C933BCAA33B0}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'Electric Ratio'!$O$3</c:f>
              <c:strCache>
                <c:ptCount val="1"/>
                <c:pt idx="0">
                  <c:v>Freight HDV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'Electric Ratio'!$N$6:$N$20</c:f>
              <c:numCache>
                <c:formatCode>General</c:formatCode>
                <c:ptCount val="1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 formatCode="0_);[Red]\(0\)">
                  <c:v>2025</c:v>
                </c:pt>
                <c:pt idx="8" formatCode="0_);[Red]\(0\)">
                  <c:v>2030</c:v>
                </c:pt>
                <c:pt idx="9" formatCode="0_);[Red]\(0\)">
                  <c:v>2035</c:v>
                </c:pt>
                <c:pt idx="10" formatCode="0_);[Red]\(0\)">
                  <c:v>2040</c:v>
                </c:pt>
                <c:pt idx="11" formatCode="0_);[Red]\(0\)">
                  <c:v>2045</c:v>
                </c:pt>
                <c:pt idx="12" formatCode="0_);[Red]\(0\)">
                  <c:v>2050</c:v>
                </c:pt>
                <c:pt idx="13" formatCode="0_);[Red]\(0\)">
                  <c:v>2055</c:v>
                </c:pt>
                <c:pt idx="14" formatCode="0_);[Red]\(0\)">
                  <c:v>2060</c:v>
                </c:pt>
              </c:numCache>
            </c:numRef>
          </c:xVal>
          <c:yVal>
            <c:numRef>
              <c:f>'Electric Ratio'!$P$6:$P$20</c:f>
              <c:numCache>
                <c:formatCode>0%</c:formatCode>
                <c:ptCount val="15"/>
                <c:pt idx="0">
                  <c:v>1.0156176506608969E-2</c:v>
                </c:pt>
                <c:pt idx="1">
                  <c:v>5.7931306185308546E-3</c:v>
                </c:pt>
                <c:pt idx="2">
                  <c:v>1.5677171665594198E-2</c:v>
                </c:pt>
                <c:pt idx="3">
                  <c:v>1.4480286864323754E-3</c:v>
                </c:pt>
                <c:pt idx="4">
                  <c:v>4.7108947144267003E-3</c:v>
                </c:pt>
                <c:pt idx="5">
                  <c:v>2.4575693673100345E-3</c:v>
                </c:pt>
                <c:pt idx="6">
                  <c:v>7.2441210209820859E-3</c:v>
                </c:pt>
                <c:pt idx="7">
                  <c:v>2.6420038649863066E-2</c:v>
                </c:pt>
                <c:pt idx="8">
                  <c:v>5.9427602641469165E-2</c:v>
                </c:pt>
                <c:pt idx="9">
                  <c:v>0.10442110567062254</c:v>
                </c:pt>
                <c:pt idx="10">
                  <c:v>0.17782076422397952</c:v>
                </c:pt>
                <c:pt idx="11">
                  <c:v>0.27339725182875502</c:v>
                </c:pt>
                <c:pt idx="12">
                  <c:v>0.38</c:v>
                </c:pt>
                <c:pt idx="13">
                  <c:v>0.48312407673064839</c:v>
                </c:pt>
                <c:pt idx="14">
                  <c:v>0.58094619488541399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59-466B-9BEA-B10A673FDF0F}"/>
            </c:ext>
          </c:extLst>
        </c:ser>
        <c:ser>
          <c:idx val="1"/>
          <c:order val="1"/>
          <c:tx>
            <c:strRef>
              <c:f>'Electric Ratio'!$S$3</c:f>
              <c:strCache>
                <c:ptCount val="1"/>
                <c:pt idx="0">
                  <c:v>Freight LDV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'Electric Ratio'!$N$6:$N$20</c:f>
              <c:numCache>
                <c:formatCode>General</c:formatCode>
                <c:ptCount val="1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 formatCode="0_);[Red]\(0\)">
                  <c:v>2025</c:v>
                </c:pt>
                <c:pt idx="8" formatCode="0_);[Red]\(0\)">
                  <c:v>2030</c:v>
                </c:pt>
                <c:pt idx="9" formatCode="0_);[Red]\(0\)">
                  <c:v>2035</c:v>
                </c:pt>
                <c:pt idx="10" formatCode="0_);[Red]\(0\)">
                  <c:v>2040</c:v>
                </c:pt>
                <c:pt idx="11" formatCode="0_);[Red]\(0\)">
                  <c:v>2045</c:v>
                </c:pt>
                <c:pt idx="12" formatCode="0_);[Red]\(0\)">
                  <c:v>2050</c:v>
                </c:pt>
                <c:pt idx="13" formatCode="0_);[Red]\(0\)">
                  <c:v>2055</c:v>
                </c:pt>
                <c:pt idx="14" formatCode="0_);[Red]\(0\)">
                  <c:v>2060</c:v>
                </c:pt>
              </c:numCache>
            </c:numRef>
          </c:xVal>
          <c:yVal>
            <c:numRef>
              <c:f>'Electric Ratio'!$T$6:$T$20</c:f>
              <c:numCache>
                <c:formatCode>0%</c:formatCode>
                <c:ptCount val="15"/>
                <c:pt idx="0">
                  <c:v>1.6196795145339851E-2</c:v>
                </c:pt>
                <c:pt idx="1">
                  <c:v>1.0646226870465011E-2</c:v>
                </c:pt>
                <c:pt idx="2">
                  <c:v>3.1765911361251509E-2</c:v>
                </c:pt>
                <c:pt idx="3">
                  <c:v>1.9954839536537809E-2</c:v>
                </c:pt>
                <c:pt idx="4">
                  <c:v>8.3252472071471458E-3</c:v>
                </c:pt>
                <c:pt idx="5">
                  <c:v>6.2312891295087554E-3</c:v>
                </c:pt>
                <c:pt idx="6">
                  <c:v>1.6909438858558619E-2</c:v>
                </c:pt>
                <c:pt idx="7">
                  <c:v>8.9203147277815906E-2</c:v>
                </c:pt>
                <c:pt idx="8">
                  <c:v>0.180868546209773</c:v>
                </c:pt>
                <c:pt idx="9">
                  <c:v>0.29922704510701198</c:v>
                </c:pt>
                <c:pt idx="10">
                  <c:v>0.450187952438039</c:v>
                </c:pt>
                <c:pt idx="11">
                  <c:v>0.61094921683207104</c:v>
                </c:pt>
                <c:pt idx="12">
                  <c:v>0.79601573638907996</c:v>
                </c:pt>
                <c:pt idx="13">
                  <c:v>0.9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59-466B-9BEA-B10A673FDF0F}"/>
            </c:ext>
          </c:extLst>
        </c:ser>
        <c:ser>
          <c:idx val="2"/>
          <c:order val="2"/>
          <c:tx>
            <c:strRef>
              <c:f>'Electric Ratio'!$W$3</c:f>
              <c:strCache>
                <c:ptCount val="1"/>
                <c:pt idx="0">
                  <c:v>Passenger HDV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'Electric Ratio'!$N$6:$N$20</c:f>
              <c:numCache>
                <c:formatCode>General</c:formatCode>
                <c:ptCount val="1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 formatCode="0_);[Red]\(0\)">
                  <c:v>2025</c:v>
                </c:pt>
                <c:pt idx="8" formatCode="0_);[Red]\(0\)">
                  <c:v>2030</c:v>
                </c:pt>
                <c:pt idx="9" formatCode="0_);[Red]\(0\)">
                  <c:v>2035</c:v>
                </c:pt>
                <c:pt idx="10" formatCode="0_);[Red]\(0\)">
                  <c:v>2040</c:v>
                </c:pt>
                <c:pt idx="11" formatCode="0_);[Red]\(0\)">
                  <c:v>2045</c:v>
                </c:pt>
                <c:pt idx="12" formatCode="0_);[Red]\(0\)">
                  <c:v>2050</c:v>
                </c:pt>
                <c:pt idx="13" formatCode="0_);[Red]\(0\)">
                  <c:v>2055</c:v>
                </c:pt>
                <c:pt idx="14" formatCode="0_);[Red]\(0\)">
                  <c:v>2060</c:v>
                </c:pt>
              </c:numCache>
            </c:numRef>
          </c:xVal>
          <c:yVal>
            <c:numRef>
              <c:f>'Electric Ratio'!$X$6:$X$20</c:f>
              <c:numCache>
                <c:formatCode>0%</c:formatCode>
                <c:ptCount val="15"/>
                <c:pt idx="0">
                  <c:v>0.36958810866369818</c:v>
                </c:pt>
                <c:pt idx="1">
                  <c:v>0.37912794516130299</c:v>
                </c:pt>
                <c:pt idx="2">
                  <c:v>0.44028118084097378</c:v>
                </c:pt>
                <c:pt idx="3">
                  <c:v>0.50566744730679158</c:v>
                </c:pt>
                <c:pt idx="4">
                  <c:v>0.46352807233220489</c:v>
                </c:pt>
                <c:pt idx="5">
                  <c:v>0.56706547338671698</c:v>
                </c:pt>
                <c:pt idx="6">
                  <c:v>0.43774311858630016</c:v>
                </c:pt>
                <c:pt idx="7">
                  <c:v>0.34046608336294037</c:v>
                </c:pt>
                <c:pt idx="8">
                  <c:v>0.52305414959742058</c:v>
                </c:pt>
                <c:pt idx="9">
                  <c:v>0.60054663643244832</c:v>
                </c:pt>
                <c:pt idx="10">
                  <c:v>0.7577286086795334</c:v>
                </c:pt>
                <c:pt idx="11">
                  <c:v>0.85030307328532495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59-466B-9BEA-B10A673FDF0F}"/>
            </c:ext>
          </c:extLst>
        </c:ser>
        <c:ser>
          <c:idx val="3"/>
          <c:order val="3"/>
          <c:tx>
            <c:strRef>
              <c:f>'Electric Ratio'!$AI$3</c:f>
              <c:strCache>
                <c:ptCount val="1"/>
                <c:pt idx="0">
                  <c:v>Passenger LDV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'Electric Ratio'!$N$6:$N$20</c:f>
              <c:numCache>
                <c:formatCode>General</c:formatCode>
                <c:ptCount val="1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 formatCode="0_);[Red]\(0\)">
                  <c:v>2025</c:v>
                </c:pt>
                <c:pt idx="8" formatCode="0_);[Red]\(0\)">
                  <c:v>2030</c:v>
                </c:pt>
                <c:pt idx="9" formatCode="0_);[Red]\(0\)">
                  <c:v>2035</c:v>
                </c:pt>
                <c:pt idx="10" formatCode="0_);[Red]\(0\)">
                  <c:v>2040</c:v>
                </c:pt>
                <c:pt idx="11" formatCode="0_);[Red]\(0\)">
                  <c:v>2045</c:v>
                </c:pt>
                <c:pt idx="12" formatCode="0_);[Red]\(0\)">
                  <c:v>2050</c:v>
                </c:pt>
                <c:pt idx="13" formatCode="0_);[Red]\(0\)">
                  <c:v>2055</c:v>
                </c:pt>
                <c:pt idx="14" formatCode="0_);[Red]\(0\)">
                  <c:v>2060</c:v>
                </c:pt>
              </c:numCache>
            </c:numRef>
          </c:xVal>
          <c:yVal>
            <c:numRef>
              <c:f>'Electric Ratio'!$AJ$6:$AJ$20</c:f>
              <c:numCache>
                <c:formatCode>0%</c:formatCode>
                <c:ptCount val="15"/>
                <c:pt idx="0">
                  <c:v>7.0124631789467758E-3</c:v>
                </c:pt>
                <c:pt idx="1">
                  <c:v>1.094119756684713E-2</c:v>
                </c:pt>
                <c:pt idx="2">
                  <c:v>2.2903467339102312E-2</c:v>
                </c:pt>
                <c:pt idx="3">
                  <c:v>4.1022498904878496E-2</c:v>
                </c:pt>
                <c:pt idx="4">
                  <c:v>4.2329961948374982E-2</c:v>
                </c:pt>
                <c:pt idx="5">
                  <c:v>5.6476382071581684E-2</c:v>
                </c:pt>
                <c:pt idx="6">
                  <c:v>0.13221782031992158</c:v>
                </c:pt>
                <c:pt idx="7">
                  <c:v>0.1062205737688578</c:v>
                </c:pt>
                <c:pt idx="8">
                  <c:v>0.15655173335418227</c:v>
                </c:pt>
                <c:pt idx="9">
                  <c:v>0.20655035226363611</c:v>
                </c:pt>
                <c:pt idx="10">
                  <c:v>0.28653447792763642</c:v>
                </c:pt>
                <c:pt idx="11">
                  <c:v>0.40680742112456264</c:v>
                </c:pt>
                <c:pt idx="12">
                  <c:v>0.50634652863898288</c:v>
                </c:pt>
                <c:pt idx="13">
                  <c:v>0.65423161045237577</c:v>
                </c:pt>
                <c:pt idx="14">
                  <c:v>0.80289880749913833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59-466B-9BEA-B10A673FD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366495"/>
        <c:axId val="917355263"/>
      </c:scatterChart>
      <c:valAx>
        <c:axId val="917366495"/>
        <c:scaling>
          <c:orientation val="minMax"/>
          <c:max val="2060"/>
          <c:min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7355263"/>
        <c:crosses val="autoZero"/>
        <c:crossBetween val="midCat"/>
      </c:valAx>
      <c:valAx>
        <c:axId val="9173552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7366495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'Electric Ratio'!$N$24</c:f>
          <c:strCache>
            <c:ptCount val="1"/>
            <c:pt idx="0">
              <c:v>Electric Ratio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'Electric Ratio'!$O$24</c:f>
              <c:strCache>
                <c:ptCount val="1"/>
                <c:pt idx="0">
                  <c:v>乘用车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'Electric Ratio'!$N$25:$N$33</c:f>
              <c:numCache>
                <c:formatCode>0_);[Red]\(0\)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xVal>
          <c:yVal>
            <c:numRef>
              <c:f>'Electric Ratio'!$O$25:$O$33</c:f>
              <c:numCache>
                <c:formatCode>0.00%</c:formatCode>
                <c:ptCount val="9"/>
                <c:pt idx="0">
                  <c:v>7.4999999999999997E-2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0.28000000000000003</c:v>
                </c:pt>
                <c:pt idx="5">
                  <c:v>0.4</c:v>
                </c:pt>
                <c:pt idx="6">
                  <c:v>0.5</c:v>
                </c:pt>
                <c:pt idx="7">
                  <c:v>0.65</c:v>
                </c:pt>
                <c:pt idx="8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7D-4D76-A90B-075D195E79CA}"/>
            </c:ext>
          </c:extLst>
        </c:ser>
        <c:ser>
          <c:idx val="1"/>
          <c:order val="1"/>
          <c:tx>
            <c:strRef>
              <c:f>'Electric Ratio'!$P$24</c:f>
              <c:strCache>
                <c:ptCount val="1"/>
                <c:pt idx="0">
                  <c:v>出租车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'Electric Ratio'!$N$25:$N$33</c:f>
              <c:numCache>
                <c:formatCode>0_);[Red]\(0\)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xVal>
          <c:yVal>
            <c:numRef>
              <c:f>'Electric Ratio'!$P$25:$P$33</c:f>
              <c:numCache>
                <c:formatCode>0.00%</c:formatCode>
                <c:ptCount val="9"/>
                <c:pt idx="0">
                  <c:v>0.8</c:v>
                </c:pt>
                <c:pt idx="1">
                  <c:v>0.91</c:v>
                </c:pt>
                <c:pt idx="2">
                  <c:v>0.97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7D-4D76-A90B-075D195E79CA}"/>
            </c:ext>
          </c:extLst>
        </c:ser>
        <c:ser>
          <c:idx val="2"/>
          <c:order val="2"/>
          <c:tx>
            <c:strRef>
              <c:f>'Electric Ratio'!$Q$24</c:f>
              <c:strCache>
                <c:ptCount val="1"/>
                <c:pt idx="0">
                  <c:v>轻型货车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'Electric Ratio'!$N$25:$N$33</c:f>
              <c:numCache>
                <c:formatCode>0_);[Red]\(0\)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xVal>
          <c:yVal>
            <c:numRef>
              <c:f>'Electric Ratio'!$Q$25:$Q$33</c:f>
              <c:numCache>
                <c:formatCode>0.00%</c:formatCode>
                <c:ptCount val="9"/>
                <c:pt idx="0">
                  <c:v>8.8393182770642592E-3</c:v>
                </c:pt>
                <c:pt idx="1">
                  <c:v>8.9203147277815906E-2</c:v>
                </c:pt>
                <c:pt idx="2">
                  <c:v>0.180868546209773</c:v>
                </c:pt>
                <c:pt idx="3">
                  <c:v>0.29922704510701198</c:v>
                </c:pt>
                <c:pt idx="4">
                  <c:v>0.450187952438039</c:v>
                </c:pt>
                <c:pt idx="5">
                  <c:v>0.61094921683207104</c:v>
                </c:pt>
                <c:pt idx="6">
                  <c:v>0.79601573638907996</c:v>
                </c:pt>
                <c:pt idx="7">
                  <c:v>0.9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7D-4D76-A90B-075D195E79CA}"/>
            </c:ext>
          </c:extLst>
        </c:ser>
        <c:ser>
          <c:idx val="3"/>
          <c:order val="3"/>
          <c:tx>
            <c:strRef>
              <c:f>'Electric Ratio'!$R$24</c:f>
              <c:strCache>
                <c:ptCount val="1"/>
                <c:pt idx="0">
                  <c:v>公交车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'Electric Ratio'!$N$25:$N$33</c:f>
              <c:numCache>
                <c:formatCode>0_);[Red]\(0\)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xVal>
          <c:yVal>
            <c:numRef>
              <c:f>'Electric Ratio'!$R$25:$R$33</c:f>
              <c:numCache>
                <c:formatCode>0.00%</c:formatCode>
                <c:ptCount val="9"/>
                <c:pt idx="0">
                  <c:v>0.8</c:v>
                </c:pt>
                <c:pt idx="1">
                  <c:v>0.91</c:v>
                </c:pt>
                <c:pt idx="2">
                  <c:v>0.97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7D-4D76-A90B-075D195E79CA}"/>
            </c:ext>
          </c:extLst>
        </c:ser>
        <c:ser>
          <c:idx val="4"/>
          <c:order val="4"/>
          <c:tx>
            <c:strRef>
              <c:f>'Electric Ratio'!$S$24</c:f>
              <c:strCache>
                <c:ptCount val="1"/>
                <c:pt idx="0">
                  <c:v>道路客车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'Electric Ratio'!$N$25:$N$33</c:f>
              <c:numCache>
                <c:formatCode>0_);[Red]\(0\)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xVal>
          <c:yVal>
            <c:numRef>
              <c:f>'Electric Ratio'!$S$25:$S$33</c:f>
              <c:numCache>
                <c:formatCode>0.00%</c:formatCode>
                <c:ptCount val="9"/>
                <c:pt idx="0">
                  <c:v>0.06</c:v>
                </c:pt>
                <c:pt idx="1">
                  <c:v>0.15160000000000001</c:v>
                </c:pt>
                <c:pt idx="2">
                  <c:v>0.304101610732668</c:v>
                </c:pt>
                <c:pt idx="3">
                  <c:v>0.47920000000000001</c:v>
                </c:pt>
                <c:pt idx="4">
                  <c:v>0.63890000000000002</c:v>
                </c:pt>
                <c:pt idx="5">
                  <c:v>0.80169999999999997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67D-4D76-A90B-075D195E79CA}"/>
            </c:ext>
          </c:extLst>
        </c:ser>
        <c:ser>
          <c:idx val="6"/>
          <c:order val="6"/>
          <c:tx>
            <c:strRef>
              <c:f>'Electric Ratio'!$U$24</c:f>
              <c:strCache>
                <c:ptCount val="1"/>
                <c:pt idx="0">
                  <c:v>中重型货车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'Electric Ratio'!$N$25:$N$33</c:f>
              <c:numCache>
                <c:formatCode>0_);[Red]\(0\)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xVal>
          <c:yVal>
            <c:numRef>
              <c:f>'Electric Ratio'!$U$25:$U$33</c:f>
              <c:numCache>
                <c:formatCode>0.00%</c:formatCode>
                <c:ptCount val="9"/>
                <c:pt idx="0">
                  <c:v>1.3456518904051121E-3</c:v>
                </c:pt>
                <c:pt idx="1">
                  <c:v>2.6420038649863066E-2</c:v>
                </c:pt>
                <c:pt idx="2">
                  <c:v>5.9427602641469165E-2</c:v>
                </c:pt>
                <c:pt idx="3">
                  <c:v>0.10442110567062254</c:v>
                </c:pt>
                <c:pt idx="4">
                  <c:v>0.17782076422397952</c:v>
                </c:pt>
                <c:pt idx="5">
                  <c:v>0.27339725182875502</c:v>
                </c:pt>
                <c:pt idx="6">
                  <c:v>0.38</c:v>
                </c:pt>
                <c:pt idx="7">
                  <c:v>0.48312407673064839</c:v>
                </c:pt>
                <c:pt idx="8">
                  <c:v>0.58094619488541399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67D-4D76-A90B-075D195E7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267247"/>
        <c:axId val="1196248943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'Electric Ratio'!$T$24</c15:sqref>
                        </c15:formulaRef>
                      </c:ext>
                    </c:extLst>
                    <c:strCache>
                      <c:ptCount val="1"/>
                      <c:pt idx="0">
                        <c:v>专用重型货车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'Electric Ratio'!$N$25:$N$33</c15:sqref>
                        </c15:formulaRef>
                      </c:ext>
                    </c:extLst>
                    <c:numCache>
                      <c:formatCode>0_);[Red]\(0\)</c:formatCode>
                      <c:ptCount val="9"/>
                      <c:pt idx="0">
                        <c:v>2020</c:v>
                      </c:pt>
                      <c:pt idx="1">
                        <c:v>2025</c:v>
                      </c:pt>
                      <c:pt idx="2">
                        <c:v>2030</c:v>
                      </c:pt>
                      <c:pt idx="3">
                        <c:v>2035</c:v>
                      </c:pt>
                      <c:pt idx="4">
                        <c:v>2040</c:v>
                      </c:pt>
                      <c:pt idx="5">
                        <c:v>2045</c:v>
                      </c:pt>
                      <c:pt idx="6">
                        <c:v>2050</c:v>
                      </c:pt>
                      <c:pt idx="7">
                        <c:v>2055</c:v>
                      </c:pt>
                      <c:pt idx="8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'Electric Ratio'!$T$25:$T$33</c15:sqref>
                        </c15:formulaRef>
                      </c:ext>
                    </c:extLst>
                    <c:numCache>
                      <c:formatCode>0.00%</c:formatCode>
                      <c:ptCount val="9"/>
                      <c:pt idx="0">
                        <c:v>2.6466098254161598E-2</c:v>
                      </c:pt>
                      <c:pt idx="1">
                        <c:v>5.0728989037758826E-2</c:v>
                      </c:pt>
                      <c:pt idx="2">
                        <c:v>8.6030247665448645E-2</c:v>
                      </c:pt>
                      <c:pt idx="3">
                        <c:v>0.13804053322506429</c:v>
                      </c:pt>
                      <c:pt idx="4">
                        <c:v>0.20773315062931386</c:v>
                      </c:pt>
                      <c:pt idx="5">
                        <c:v>0.30051292461767493</c:v>
                      </c:pt>
                      <c:pt idx="6">
                        <c:v>0.55000000000000004</c:v>
                      </c:pt>
                      <c:pt idx="7">
                        <c:v>0.65</c:v>
                      </c:pt>
                      <c:pt idx="8">
                        <c:v>0.8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167D-4D76-A90B-075D195E79CA}"/>
                  </c:ext>
                </c:extLst>
              </c15:ser>
            </c15:filteredScatterSeries>
          </c:ext>
        </c:extLst>
      </c:scatterChart>
      <c:valAx>
        <c:axId val="1196267247"/>
        <c:scaling>
          <c:orientation val="minMax"/>
          <c:max val="2060"/>
          <c:min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6248943"/>
        <c:crosses val="autoZero"/>
        <c:crossBetween val="midCat"/>
      </c:valAx>
      <c:valAx>
        <c:axId val="11962489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6267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2291557305336838"/>
          <c:w val="1"/>
          <c:h val="0.172454797317002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33472507364801"/>
          <c:y val="5.190427766299225E-2"/>
          <c:w val="0.84445494188331394"/>
          <c:h val="0.7012030126030423"/>
        </c:manualLayout>
      </c:layout>
      <c:scatterChart>
        <c:scatterStyle val="lineMarker"/>
        <c:varyColors val="0"/>
        <c:ser>
          <c:idx val="0"/>
          <c:order val="0"/>
          <c:tx>
            <c:strRef>
              <c:f>Hydrogen!$G$8</c:f>
              <c:strCache>
                <c:ptCount val="1"/>
                <c:pt idx="0">
                  <c:v>Passenger HDV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6053512310299404"/>
                  <c:y val="-2.7030350812727359E-2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Hydrogen!$B$15:$B$30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xVal>
          <c:yVal>
            <c:numRef>
              <c:f>Hydrogen!$I$15:$I$30</c:f>
              <c:numCache>
                <c:formatCode>General</c:formatCode>
                <c:ptCount val="16"/>
                <c:pt idx="0">
                  <c:v>3108</c:v>
                </c:pt>
                <c:pt idx="1">
                  <c:v>4155</c:v>
                </c:pt>
                <c:pt idx="5" formatCode="#,##0">
                  <c:v>80000</c:v>
                </c:pt>
                <c:pt idx="15" formatCode="#,##0">
                  <c:v>600000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78-4E61-BD0A-4719DDF2E52A}"/>
            </c:ext>
          </c:extLst>
        </c:ser>
        <c:ser>
          <c:idx val="1"/>
          <c:order val="1"/>
          <c:tx>
            <c:strRef>
              <c:f>Hydrogen!$S$8</c:f>
              <c:strCache>
                <c:ptCount val="1"/>
                <c:pt idx="0">
                  <c:v>Passenger LDV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580395797111929"/>
                  <c:y val="-0.16607734071758687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Hydrogen!$B$15:$B$30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xVal>
          <c:yVal>
            <c:numRef>
              <c:f>Hydrogen!$U$15:$U$30</c:f>
              <c:numCache>
                <c:formatCode>0_ </c:formatCode>
                <c:ptCount val="16"/>
                <c:pt idx="0" formatCode="General">
                  <c:v>58</c:v>
                </c:pt>
                <c:pt idx="1">
                  <c:v>77</c:v>
                </c:pt>
                <c:pt idx="5" formatCode="#,##0">
                  <c:v>20000</c:v>
                </c:pt>
                <c:pt idx="15" formatCode="#,##0">
                  <c:v>320000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978-4E61-BD0A-4719DDF2E52A}"/>
            </c:ext>
          </c:extLst>
        </c:ser>
        <c:ser>
          <c:idx val="2"/>
          <c:order val="2"/>
          <c:tx>
            <c:strRef>
              <c:f>Hydrogen!$AE$8</c:f>
              <c:strCache>
                <c:ptCount val="1"/>
                <c:pt idx="0">
                  <c:v>Freight HDV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580395797111929"/>
                  <c:y val="-0.24011134340680057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Hydrogen!$B$15:$B$30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xVal>
          <c:yVal>
            <c:numRef>
              <c:f>Hydrogen!$AG$15:$AG$30</c:f>
              <c:numCache>
                <c:formatCode>0_ </c:formatCode>
                <c:ptCount val="16"/>
                <c:pt idx="0" formatCode="General">
                  <c:v>3497</c:v>
                </c:pt>
                <c:pt idx="1">
                  <c:v>4322</c:v>
                </c:pt>
                <c:pt idx="5" formatCode="#,##0">
                  <c:v>20000</c:v>
                </c:pt>
                <c:pt idx="15" formatCode="#,##0">
                  <c:v>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978-4E61-BD0A-4719DDF2E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162991"/>
        <c:axId val="407163407"/>
      </c:scatterChart>
      <c:valAx>
        <c:axId val="40716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163407"/>
        <c:crosses val="autoZero"/>
        <c:crossBetween val="midCat"/>
      </c:valAx>
      <c:valAx>
        <c:axId val="4071634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162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369567373944498"/>
          <c:w val="1"/>
          <c:h val="0.12799290208074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Hydrogen!$G$8</c:f>
              <c:strCache>
                <c:ptCount val="1"/>
                <c:pt idx="0">
                  <c:v>Passenger HDV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810584547830606"/>
                  <c:y val="-8.6161927926807602E-2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Hydrogen!$B$17:$B$55</c:f>
              <c:numCache>
                <c:formatCode>General</c:formatCode>
                <c:ptCount val="3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xVal>
          <c:yVal>
            <c:numRef>
              <c:f>Hydrogen!$L$17:$L$55</c:f>
              <c:numCache>
                <c:formatCode>0%</c:formatCode>
                <c:ptCount val="39"/>
                <c:pt idx="0">
                  <c:v>5.9379163709262599E-2</c:v>
                </c:pt>
                <c:pt idx="1">
                  <c:v>8.4834172756198464E-2</c:v>
                </c:pt>
                <c:pt idx="2">
                  <c:v>0.1276243263237346</c:v>
                </c:pt>
                <c:pt idx="3">
                  <c:v>0.19326646955548427</c:v>
                </c:pt>
                <c:pt idx="4">
                  <c:v>0.1765262947205162</c:v>
                </c:pt>
                <c:pt idx="5">
                  <c:v>0.1631274143188727</c:v>
                </c:pt>
                <c:pt idx="6">
                  <c:v>0.20411830552166241</c:v>
                </c:pt>
                <c:pt idx="7">
                  <c:v>0.22821635421627823</c:v>
                </c:pt>
                <c:pt idx="8">
                  <c:v>0.24063798132217784</c:v>
                </c:pt>
                <c:pt idx="9">
                  <c:v>0.23517488150917365</c:v>
                </c:pt>
                <c:pt idx="10">
                  <c:v>0.26734867179068411</c:v>
                </c:pt>
                <c:pt idx="11">
                  <c:v>0.28315826218789386</c:v>
                </c:pt>
                <c:pt idx="12">
                  <c:v>0.33857942903172134</c:v>
                </c:pt>
                <c:pt idx="13">
                  <c:v>0.42763161688936513</c:v>
                </c:pt>
                <c:pt idx="14">
                  <c:v>0.37806365184090779</c:v>
                </c:pt>
                <c:pt idx="15">
                  <c:v>0.34836929474650935</c:v>
                </c:pt>
                <c:pt idx="16">
                  <c:v>0.43679013214259316</c:v>
                </c:pt>
                <c:pt idx="17">
                  <c:v>0.4972285676674314</c:v>
                </c:pt>
                <c:pt idx="18">
                  <c:v>0.52131613277654187</c:v>
                </c:pt>
                <c:pt idx="19">
                  <c:v>0.48527545682960205</c:v>
                </c:pt>
                <c:pt idx="20">
                  <c:v>0.51979547862116271</c:v>
                </c:pt>
                <c:pt idx="21">
                  <c:v>0.5083946916748896</c:v>
                </c:pt>
                <c:pt idx="22">
                  <c:v>0.56401982955063801</c:v>
                </c:pt>
                <c:pt idx="23">
                  <c:v>0.66302033655229486</c:v>
                </c:pt>
                <c:pt idx="24">
                  <c:v>0.56583238189314933</c:v>
                </c:pt>
                <c:pt idx="25">
                  <c:v>0.51282758377997717</c:v>
                </c:pt>
                <c:pt idx="26">
                  <c:v>0.6308536261563582</c:v>
                </c:pt>
                <c:pt idx="27">
                  <c:v>0.71989840379703185</c:v>
                </c:pt>
                <c:pt idx="28">
                  <c:v>0.76632808295979316</c:v>
                </c:pt>
                <c:pt idx="29">
                  <c:v>0.72245871469702749</c:v>
                </c:pt>
                <c:pt idx="30">
                  <c:v>0.7783524829782732</c:v>
                </c:pt>
                <c:pt idx="31">
                  <c:v>0.75419501959713209</c:v>
                </c:pt>
                <c:pt idx="32">
                  <c:v>0.82348995442189732</c:v>
                </c:pt>
                <c:pt idx="33">
                  <c:v>0.94448632151576339</c:v>
                </c:pt>
                <c:pt idx="34">
                  <c:v>0.77926419918950862</c:v>
                </c:pt>
                <c:pt idx="35">
                  <c:v>0.68890066768079594</c:v>
                </c:pt>
                <c:pt idx="36">
                  <c:v>0.82792473160319235</c:v>
                </c:pt>
                <c:pt idx="37">
                  <c:v>0.92992731427540776</c:v>
                </c:pt>
                <c:pt idx="38">
                  <c:v>0.9845496499418166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2E-481E-98BB-B5016AA2845E}"/>
            </c:ext>
          </c:extLst>
        </c:ser>
        <c:ser>
          <c:idx val="1"/>
          <c:order val="1"/>
          <c:tx>
            <c:strRef>
              <c:f>Hydrogen!$S$8</c:f>
              <c:strCache>
                <c:ptCount val="1"/>
                <c:pt idx="0">
                  <c:v>Passenger LDV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734253358779979"/>
                  <c:y val="-0.53477371304572097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Hydrogen!$B$17:$B$55</c:f>
              <c:numCache>
                <c:formatCode>General</c:formatCode>
                <c:ptCount val="3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xVal>
          <c:yVal>
            <c:numRef>
              <c:f>Hydrogen!$X$17:$X$55</c:f>
              <c:numCache>
                <c:formatCode>0%</c:formatCode>
                <c:ptCount val="39"/>
                <c:pt idx="0">
                  <c:v>6.739891071348216E-5</c:v>
                </c:pt>
                <c:pt idx="1">
                  <c:v>1.7804163337321166E-4</c:v>
                </c:pt>
                <c:pt idx="2">
                  <c:v>2.8881654442272577E-4</c:v>
                </c:pt>
                <c:pt idx="3">
                  <c:v>3.9924991164980151E-4</c:v>
                </c:pt>
                <c:pt idx="4">
                  <c:v>5.1598909642650785E-4</c:v>
                </c:pt>
                <c:pt idx="5">
                  <c:v>6.3025879590462353E-4</c:v>
                </c:pt>
                <c:pt idx="6">
                  <c:v>7.4588090976836078E-4</c:v>
                </c:pt>
                <c:pt idx="7">
                  <c:v>8.6275143052566257E-4</c:v>
                </c:pt>
                <c:pt idx="8">
                  <c:v>9.7327380487793912E-4</c:v>
                </c:pt>
                <c:pt idx="9">
                  <c:v>1.0772726386162996E-3</c:v>
                </c:pt>
                <c:pt idx="10">
                  <c:v>1.1773298473779701E-3</c:v>
                </c:pt>
                <c:pt idx="11">
                  <c:v>1.2808601645823551E-3</c:v>
                </c:pt>
                <c:pt idx="12">
                  <c:v>1.3771811629991022E-3</c:v>
                </c:pt>
                <c:pt idx="13">
                  <c:v>1.4847190325963796E-3</c:v>
                </c:pt>
                <c:pt idx="14">
                  <c:v>1.602155714426667E-3</c:v>
                </c:pt>
                <c:pt idx="15">
                  <c:v>1.7269269525197863E-3</c:v>
                </c:pt>
                <c:pt idx="16">
                  <c:v>1.8562414820156845E-3</c:v>
                </c:pt>
                <c:pt idx="17">
                  <c:v>1.9902993777980173E-3</c:v>
                </c:pt>
                <c:pt idx="18">
                  <c:v>2.1363773882995007E-3</c:v>
                </c:pt>
                <c:pt idx="19">
                  <c:v>2.2633348858630158E-3</c:v>
                </c:pt>
                <c:pt idx="20">
                  <c:v>2.3970549176289681E-3</c:v>
                </c:pt>
                <c:pt idx="21">
                  <c:v>2.532957129681494E-3</c:v>
                </c:pt>
                <c:pt idx="22">
                  <c:v>2.6645154752241561E-3</c:v>
                </c:pt>
                <c:pt idx="23">
                  <c:v>2.7910056702469214E-3</c:v>
                </c:pt>
                <c:pt idx="24">
                  <c:v>2.9151123080516064E-3</c:v>
                </c:pt>
                <c:pt idx="25">
                  <c:v>3.0520953606110119E-3</c:v>
                </c:pt>
                <c:pt idx="26">
                  <c:v>3.1610613159190524E-3</c:v>
                </c:pt>
                <c:pt idx="27">
                  <c:v>3.2851575734652652E-3</c:v>
                </c:pt>
                <c:pt idx="28">
                  <c:v>3.4213489181454111E-3</c:v>
                </c:pt>
                <c:pt idx="29">
                  <c:v>3.5627375126969876E-3</c:v>
                </c:pt>
                <c:pt idx="30">
                  <c:v>3.7082837649008407E-3</c:v>
                </c:pt>
                <c:pt idx="31">
                  <c:v>3.8590294851000278E-3</c:v>
                </c:pt>
                <c:pt idx="32">
                  <c:v>4.0311219527189111E-3</c:v>
                </c:pt>
                <c:pt idx="33">
                  <c:v>4.1627782368205916E-3</c:v>
                </c:pt>
                <c:pt idx="34">
                  <c:v>4.3074473155733746E-3</c:v>
                </c:pt>
                <c:pt idx="35">
                  <c:v>4.4566355850000818E-3</c:v>
                </c:pt>
                <c:pt idx="36">
                  <c:v>4.5986375447058829E-3</c:v>
                </c:pt>
                <c:pt idx="37">
                  <c:v>4.7322169277185808E-3</c:v>
                </c:pt>
                <c:pt idx="38">
                  <c:v>4.8610540188558544E-3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2E-481E-98BB-B5016AA2845E}"/>
            </c:ext>
          </c:extLst>
        </c:ser>
        <c:ser>
          <c:idx val="2"/>
          <c:order val="2"/>
          <c:tx>
            <c:strRef>
              <c:f>Hydrogen!$AE$8</c:f>
              <c:strCache>
                <c:ptCount val="1"/>
                <c:pt idx="0">
                  <c:v>Freight HDV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955114987515306"/>
                  <c:y val="-0.38913467945210922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Hydrogen!$B$17:$B$55</c:f>
              <c:numCache>
                <c:formatCode>General</c:formatCode>
                <c:ptCount val="3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xVal>
          <c:yVal>
            <c:numRef>
              <c:f>Hydrogen!$AJ$17:$AJ$55</c:f>
              <c:numCache>
                <c:formatCode>0%</c:formatCode>
                <c:ptCount val="39"/>
                <c:pt idx="0">
                  <c:v>3.8043085623925819E-3</c:v>
                </c:pt>
                <c:pt idx="1">
                  <c:v>5.177583335669588E-3</c:v>
                </c:pt>
                <c:pt idx="2">
                  <c:v>5.982760188904832E-3</c:v>
                </c:pt>
                <c:pt idx="3">
                  <c:v>5.9755462113536472E-3</c:v>
                </c:pt>
                <c:pt idx="4">
                  <c:v>5.6523679757627373E-3</c:v>
                </c:pt>
                <c:pt idx="5">
                  <c:v>5.4015759780653479E-3</c:v>
                </c:pt>
                <c:pt idx="6">
                  <c:v>5.4315120296756798E-3</c:v>
                </c:pt>
                <c:pt idx="7">
                  <c:v>5.8734461166354132E-3</c:v>
                </c:pt>
                <c:pt idx="8">
                  <c:v>6.7651760976188829E-3</c:v>
                </c:pt>
                <c:pt idx="9">
                  <c:v>8.0279836709727728E-3</c:v>
                </c:pt>
                <c:pt idx="10">
                  <c:v>9.4100503425405598E-3</c:v>
                </c:pt>
                <c:pt idx="11">
                  <c:v>1.0530540562701694E-2</c:v>
                </c:pt>
                <c:pt idx="12">
                  <c:v>1.111494519466223E-2</c:v>
                </c:pt>
                <c:pt idx="13">
                  <c:v>1.1151737950498111E-2</c:v>
                </c:pt>
                <c:pt idx="14">
                  <c:v>1.088395176576552E-2</c:v>
                </c:pt>
                <c:pt idx="15">
                  <c:v>1.0638323468381528E-2</c:v>
                </c:pt>
                <c:pt idx="16">
                  <c:v>1.0625776657214292E-2</c:v>
                </c:pt>
                <c:pt idx="17">
                  <c:v>1.0954848902535166E-2</c:v>
                </c:pt>
                <c:pt idx="18">
                  <c:v>1.1636975804594701E-2</c:v>
                </c:pt>
                <c:pt idx="19">
                  <c:v>1.259107177775262E-2</c:v>
                </c:pt>
                <c:pt idx="20">
                  <c:v>1.3643061087197919E-2</c:v>
                </c:pt>
                <c:pt idx="21">
                  <c:v>1.454505032917061E-2</c:v>
                </c:pt>
                <c:pt idx="22">
                  <c:v>1.5099997396812757E-2</c:v>
                </c:pt>
                <c:pt idx="23">
                  <c:v>1.5282423457796289E-2</c:v>
                </c:pt>
                <c:pt idx="24">
                  <c:v>1.5230702915068237E-2</c:v>
                </c:pt>
                <c:pt idx="25">
                  <c:v>1.5146637325973223E-2</c:v>
                </c:pt>
                <c:pt idx="26">
                  <c:v>1.518887216413246E-2</c:v>
                </c:pt>
                <c:pt idx="27">
                  <c:v>1.5443340244222262E-2</c:v>
                </c:pt>
                <c:pt idx="28">
                  <c:v>1.5934142756511688E-2</c:v>
                </c:pt>
                <c:pt idx="29">
                  <c:v>1.6599736520958048E-2</c:v>
                </c:pt>
                <c:pt idx="30">
                  <c:v>1.7330627802012881E-2</c:v>
                </c:pt>
                <c:pt idx="31">
                  <c:v>1.7990276260217777E-2</c:v>
                </c:pt>
                <c:pt idx="32">
                  <c:v>1.8462946034085555E-2</c:v>
                </c:pt>
                <c:pt idx="33">
                  <c:v>1.8723071539219548E-2</c:v>
                </c:pt>
                <c:pt idx="34">
                  <c:v>1.8824104861015184E-2</c:v>
                </c:pt>
                <c:pt idx="35">
                  <c:v>1.8871527676879621E-2</c:v>
                </c:pt>
                <c:pt idx="36">
                  <c:v>1.8969371051456636E-2</c:v>
                </c:pt>
                <c:pt idx="37">
                  <c:v>1.9180991177689267E-2</c:v>
                </c:pt>
                <c:pt idx="38">
                  <c:v>1.952872450847867E-2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2E-481E-98BB-B5016AA28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350495"/>
        <c:axId val="405934207"/>
      </c:scatterChart>
      <c:valAx>
        <c:axId val="121535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5934207"/>
        <c:crosses val="autoZero"/>
        <c:crossBetween val="midCat"/>
      </c:valAx>
      <c:valAx>
        <c:axId val="40593420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535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463575432847915"/>
          <c:w val="1"/>
          <c:h val="0.155364245671520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Data!$O$9:$BC$9</c:f>
              <c:numCache>
                <c:formatCode>General</c:formatCode>
                <c:ptCount val="4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  <c:pt idx="31">
                  <c:v>2051</c:v>
                </c:pt>
                <c:pt idx="32">
                  <c:v>2052</c:v>
                </c:pt>
                <c:pt idx="33">
                  <c:v>2053</c:v>
                </c:pt>
                <c:pt idx="34">
                  <c:v>2054</c:v>
                </c:pt>
                <c:pt idx="35">
                  <c:v>2055</c:v>
                </c:pt>
                <c:pt idx="36">
                  <c:v>2056</c:v>
                </c:pt>
                <c:pt idx="37">
                  <c:v>2057</c:v>
                </c:pt>
                <c:pt idx="38">
                  <c:v>2058</c:v>
                </c:pt>
                <c:pt idx="39">
                  <c:v>2059</c:v>
                </c:pt>
                <c:pt idx="40">
                  <c:v>2060</c:v>
                </c:pt>
              </c:numCache>
            </c:numRef>
          </c:cat>
          <c:val>
            <c:numRef>
              <c:f>Data!$O$10:$BC$10</c:f>
              <c:numCache>
                <c:formatCode>General</c:formatCode>
                <c:ptCount val="41"/>
                <c:pt idx="0">
                  <c:v>6.7976233981836304E-2</c:v>
                </c:pt>
                <c:pt idx="1">
                  <c:v>7.2768929224437326E-2</c:v>
                </c:pt>
                <c:pt idx="2">
                  <c:v>7.9160755923715104E-2</c:v>
                </c:pt>
                <c:pt idx="3">
                  <c:v>8.7650345051913825E-2</c:v>
                </c:pt>
                <c:pt idx="4">
                  <c:v>9.8864876025978168E-2</c:v>
                </c:pt>
                <c:pt idx="5">
                  <c:v>0.11357279482991869</c:v>
                </c:pt>
                <c:pt idx="6">
                  <c:v>0.13268137088325055</c:v>
                </c:pt>
                <c:pt idx="7">
                  <c:v>0.15720559285104982</c:v>
                </c:pt>
                <c:pt idx="8">
                  <c:v>0.18819110739586145</c:v>
                </c:pt>
                <c:pt idx="9">
                  <c:v>0.2265745455208131</c:v>
                </c:pt>
                <c:pt idx="10">
                  <c:v>0.2729755548099293</c:v>
                </c:pt>
                <c:pt idx="11">
                  <c:v>0.32744177051674622</c:v>
                </c:pt>
                <c:pt idx="12">
                  <c:v>0.38920913431039744</c:v>
                </c:pt>
                <c:pt idx="13">
                  <c:v>0.45657737909617058</c:v>
                </c:pt>
                <c:pt idx="14">
                  <c:v>0.52700000000000002</c:v>
                </c:pt>
                <c:pt idx="15">
                  <c:v>0.59742262090382947</c:v>
                </c:pt>
                <c:pt idx="16">
                  <c:v>0.66479086568960244</c:v>
                </c:pt>
                <c:pt idx="17">
                  <c:v>0.72655822948325366</c:v>
                </c:pt>
                <c:pt idx="18">
                  <c:v>0.78102444519007064</c:v>
                </c:pt>
                <c:pt idx="19">
                  <c:v>0.82742545447918692</c:v>
                </c:pt>
                <c:pt idx="20">
                  <c:v>0.86580889260413862</c:v>
                </c:pt>
                <c:pt idx="21">
                  <c:v>0.8967944071489502</c:v>
                </c:pt>
                <c:pt idx="22">
                  <c:v>0.92131862911674944</c:v>
                </c:pt>
                <c:pt idx="23">
                  <c:v>0.94042720517008138</c:v>
                </c:pt>
                <c:pt idx="24">
                  <c:v>0.95513512397402189</c:v>
                </c:pt>
                <c:pt idx="25">
                  <c:v>0.96634965494808622</c:v>
                </c:pt>
                <c:pt idx="26">
                  <c:v>0.97483924407628486</c:v>
                </c:pt>
                <c:pt idx="27">
                  <c:v>0.98123107077556271</c:v>
                </c:pt>
                <c:pt idx="28">
                  <c:v>0.98602376601816366</c:v>
                </c:pt>
                <c:pt idx="29">
                  <c:v>0.98960635227145888</c:v>
                </c:pt>
                <c:pt idx="30">
                  <c:v>0.99227820768911079</c:v>
                </c:pt>
                <c:pt idx="31">
                  <c:v>0.99426742778896138</c:v>
                </c:pt>
                <c:pt idx="32">
                  <c:v>0.99574652558974963</c:v>
                </c:pt>
                <c:pt idx="33">
                  <c:v>0.996845272287187</c:v>
                </c:pt>
                <c:pt idx="34">
                  <c:v>0.99766089849382356</c:v>
                </c:pt>
                <c:pt idx="35">
                  <c:v>0.99826603976040185</c:v>
                </c:pt>
                <c:pt idx="36">
                  <c:v>0.99871484012689427</c:v>
                </c:pt>
                <c:pt idx="37">
                  <c:v>0.99904759480419902</c:v>
                </c:pt>
                <c:pt idx="38">
                  <c:v>0.9992942567231905</c:v>
                </c:pt>
                <c:pt idx="39">
                  <c:v>0.99947707140947029</c:v>
                </c:pt>
                <c:pt idx="40">
                  <c:v>0.99961254946192324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DC-420A-8257-4491100C9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204120"/>
        <c:axId val="343203464"/>
      </c:lineChart>
      <c:catAx>
        <c:axId val="34320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3203464"/>
        <c:crosses val="autoZero"/>
        <c:auto val="1"/>
        <c:lblAlgn val="ctr"/>
        <c:lblOffset val="100"/>
        <c:noMultiLvlLbl val="0"/>
      </c:catAx>
      <c:valAx>
        <c:axId val="3432034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3204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纯电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Data!$O$10:$BC$10</c:f>
              <c:numCache>
                <c:formatCode>General</c:formatCode>
                <c:ptCount val="41"/>
                <c:pt idx="0">
                  <c:v>6.7976233981836304E-2</c:v>
                </c:pt>
                <c:pt idx="1">
                  <c:v>7.2768929224437326E-2</c:v>
                </c:pt>
                <c:pt idx="2">
                  <c:v>7.9160755923715104E-2</c:v>
                </c:pt>
                <c:pt idx="3">
                  <c:v>8.7650345051913825E-2</c:v>
                </c:pt>
                <c:pt idx="4">
                  <c:v>9.8864876025978168E-2</c:v>
                </c:pt>
                <c:pt idx="5">
                  <c:v>0.11357279482991869</c:v>
                </c:pt>
                <c:pt idx="6">
                  <c:v>0.13268137088325055</c:v>
                </c:pt>
                <c:pt idx="7">
                  <c:v>0.15720559285104982</c:v>
                </c:pt>
                <c:pt idx="8">
                  <c:v>0.18819110739586145</c:v>
                </c:pt>
                <c:pt idx="9">
                  <c:v>0.2265745455208131</c:v>
                </c:pt>
                <c:pt idx="10">
                  <c:v>0.2729755548099293</c:v>
                </c:pt>
                <c:pt idx="11">
                  <c:v>0.32744177051674622</c:v>
                </c:pt>
                <c:pt idx="12">
                  <c:v>0.38920913431039744</c:v>
                </c:pt>
                <c:pt idx="13">
                  <c:v>0.45657737909617058</c:v>
                </c:pt>
                <c:pt idx="14">
                  <c:v>0.52700000000000002</c:v>
                </c:pt>
                <c:pt idx="15">
                  <c:v>0.59742262090382947</c:v>
                </c:pt>
                <c:pt idx="16">
                  <c:v>0.66479086568960244</c:v>
                </c:pt>
                <c:pt idx="17">
                  <c:v>0.72655822948325366</c:v>
                </c:pt>
                <c:pt idx="18">
                  <c:v>0.78102444519007064</c:v>
                </c:pt>
                <c:pt idx="19">
                  <c:v>0.82742545447918692</c:v>
                </c:pt>
                <c:pt idx="20">
                  <c:v>0.86580889260413862</c:v>
                </c:pt>
                <c:pt idx="21">
                  <c:v>0.8967944071489502</c:v>
                </c:pt>
                <c:pt idx="22">
                  <c:v>0.92131862911674944</c:v>
                </c:pt>
                <c:pt idx="23">
                  <c:v>0.94042720517008138</c:v>
                </c:pt>
                <c:pt idx="24">
                  <c:v>0.95513512397402189</c:v>
                </c:pt>
                <c:pt idx="25">
                  <c:v>0.96634965494808622</c:v>
                </c:pt>
                <c:pt idx="26">
                  <c:v>0.97483924407628486</c:v>
                </c:pt>
                <c:pt idx="27">
                  <c:v>0.98123107077556271</c:v>
                </c:pt>
                <c:pt idx="28">
                  <c:v>0.98602376601816366</c:v>
                </c:pt>
                <c:pt idx="29">
                  <c:v>0.98960635227145888</c:v>
                </c:pt>
                <c:pt idx="30">
                  <c:v>0.99227820768911079</c:v>
                </c:pt>
                <c:pt idx="31">
                  <c:v>0.99426742778896138</c:v>
                </c:pt>
                <c:pt idx="32">
                  <c:v>0.99574652558974963</c:v>
                </c:pt>
                <c:pt idx="33">
                  <c:v>0.996845272287187</c:v>
                </c:pt>
                <c:pt idx="34">
                  <c:v>0.99766089849382356</c:v>
                </c:pt>
                <c:pt idx="35">
                  <c:v>0.99826603976040185</c:v>
                </c:pt>
                <c:pt idx="36">
                  <c:v>0.99871484012689427</c:v>
                </c:pt>
                <c:pt idx="37">
                  <c:v>0.99904759480419902</c:v>
                </c:pt>
                <c:pt idx="38">
                  <c:v>0.9992942567231905</c:v>
                </c:pt>
                <c:pt idx="39">
                  <c:v>0.99947707140947029</c:v>
                </c:pt>
                <c:pt idx="40">
                  <c:v>0.99961254946192324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C6-4A53-B200-CD932DB3D23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Data!$O$17:$BC$17</c:f>
              <c:numCache>
                <c:formatCode>General</c:formatCode>
                <c:ptCount val="41"/>
                <c:pt idx="0" formatCode="0.0000">
                  <c:v>1.0999999999999999E-2</c:v>
                </c:pt>
                <c:pt idx="1">
                  <c:v>2.8788361652508553E-2</c:v>
                </c:pt>
                <c:pt idx="2">
                  <c:v>3.3724618841015332E-2</c:v>
                </c:pt>
                <c:pt idx="3">
                  <c:v>3.99897962130914E-2</c:v>
                </c:pt>
                <c:pt idx="4">
                  <c:v>4.7916291583344039E-2</c:v>
                </c:pt>
                <c:pt idx="5">
                  <c:v>5.7904188572613549E-2</c:v>
                </c:pt>
                <c:pt idx="6">
                  <c:v>7.0425697022093545E-2</c:v>
                </c:pt>
                <c:pt idx="7">
                  <c:v>8.6023740041009863E-2</c:v>
                </c:pt>
                <c:pt idx="8">
                  <c:v>0.10530062078521928</c:v>
                </c:pt>
                <c:pt idx="9">
                  <c:v>0.12889168987987426</c:v>
                </c:pt>
                <c:pt idx="10">
                  <c:v>0.15741867885334088</c:v>
                </c:pt>
                <c:pt idx="11">
                  <c:v>0.19141884304448645</c:v>
                </c:pt>
                <c:pt idx="12">
                  <c:v>0.23125043729823047</c:v>
                </c:pt>
                <c:pt idx="13">
                  <c:v>0.2769830657349252</c:v>
                </c:pt>
                <c:pt idx="14">
                  <c:v>0.32829226651553634</c:v>
                </c:pt>
                <c:pt idx="15">
                  <c:v>0.38438772144136585</c:v>
                </c:pt>
                <c:pt idx="16">
                  <c:v>0.4440074406239457</c:v>
                </c:pt>
                <c:pt idx="17">
                  <c:v>0.50549999999999995</c:v>
                </c:pt>
                <c:pt idx="18">
                  <c:v>0.56699255937605431</c:v>
                </c:pt>
                <c:pt idx="19">
                  <c:v>0.62661227855863422</c:v>
                </c:pt>
                <c:pt idx="20">
                  <c:v>0.68270773348446356</c:v>
                </c:pt>
                <c:pt idx="21">
                  <c:v>0.73401693426507486</c:v>
                </c:pt>
                <c:pt idx="22">
                  <c:v>0.77974956270176954</c:v>
                </c:pt>
                <c:pt idx="23">
                  <c:v>0.81958115695551348</c:v>
                </c:pt>
                <c:pt idx="24">
                  <c:v>0.85358132114665919</c:v>
                </c:pt>
                <c:pt idx="25">
                  <c:v>0.88210831012012569</c:v>
                </c:pt>
                <c:pt idx="26">
                  <c:v>0.90569937921478083</c:v>
                </c:pt>
                <c:pt idx="27">
                  <c:v>0.92497625995899013</c:v>
                </c:pt>
                <c:pt idx="28">
                  <c:v>0.94057430297790645</c:v>
                </c:pt>
                <c:pt idx="29">
                  <c:v>0.95309581142738653</c:v>
                </c:pt>
                <c:pt idx="30">
                  <c:v>0.96308370841665603</c:v>
                </c:pt>
                <c:pt idx="31">
                  <c:v>0.9710102037869085</c:v>
                </c:pt>
                <c:pt idx="32">
                  <c:v>0.9772753811589846</c:v>
                </c:pt>
                <c:pt idx="33">
                  <c:v>0.98221163834749137</c:v>
                </c:pt>
                <c:pt idx="34">
                  <c:v>0.98609107285423014</c:v>
                </c:pt>
                <c:pt idx="35">
                  <c:v>0.98913391373834336</c:v>
                </c:pt>
                <c:pt idx="36">
                  <c:v>0.99151686692583885</c:v>
                </c:pt>
                <c:pt idx="37">
                  <c:v>0.99338077043588235</c:v>
                </c:pt>
                <c:pt idx="38">
                  <c:v>0.99483729568907076</c:v>
                </c:pt>
                <c:pt idx="39">
                  <c:v>0.99597463379897877</c:v>
                </c:pt>
                <c:pt idx="40">
                  <c:v>0.99686221666878216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C6-4A53-B200-CD932DB3D23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Data!$O$24:$BC$24</c:f>
              <c:numCache>
                <c:formatCode>General</c:formatCode>
                <c:ptCount val="41"/>
                <c:pt idx="0" formatCode="0.0000">
                  <c:v>0.75700000000000001</c:v>
                </c:pt>
                <c:pt idx="1">
                  <c:v>0.7618211942933808</c:v>
                </c:pt>
                <c:pt idx="2">
                  <c:v>0.76346306943917841</c:v>
                </c:pt>
                <c:pt idx="3">
                  <c:v>0.76564379899325063</c:v>
                </c:pt>
                <c:pt idx="4">
                  <c:v>0.76852448718214872</c:v>
                </c:pt>
                <c:pt idx="5">
                  <c:v>0.77230252552185019</c:v>
                </c:pt>
                <c:pt idx="6">
                  <c:v>0.77721096524802313</c:v>
                </c:pt>
                <c:pt idx="7">
                  <c:v>0.78351052755053396</c:v>
                </c:pt>
                <c:pt idx="8">
                  <c:v>0.79146980877081852</c:v>
                </c:pt>
                <c:pt idx="9">
                  <c:v>0.80132940228494465</c:v>
                </c:pt>
                <c:pt idx="10">
                  <c:v>0.81324847760973873</c:v>
                </c:pt>
                <c:pt idx="11">
                  <c:v>0.82723927086212401</c:v>
                </c:pt>
                <c:pt idx="12">
                  <c:v>0.8431055175871317</c:v>
                </c:pt>
                <c:pt idx="13">
                  <c:v>0.86041046841476687</c:v>
                </c:pt>
                <c:pt idx="14">
                  <c:v>0.87850000000000006</c:v>
                </c:pt>
                <c:pt idx="15">
                  <c:v>0.89658953158523313</c:v>
                </c:pt>
                <c:pt idx="16">
                  <c:v>0.9138944824128683</c:v>
                </c:pt>
                <c:pt idx="17">
                  <c:v>0.929760729137876</c:v>
                </c:pt>
                <c:pt idx="18">
                  <c:v>0.94375152239026128</c:v>
                </c:pt>
                <c:pt idx="19">
                  <c:v>0.95567059771505536</c:v>
                </c:pt>
                <c:pt idx="20">
                  <c:v>0.96553019122918149</c:v>
                </c:pt>
                <c:pt idx="21">
                  <c:v>0.97348947244946604</c:v>
                </c:pt>
                <c:pt idx="22">
                  <c:v>0.97978903475197687</c:v>
                </c:pt>
                <c:pt idx="23">
                  <c:v>0.98469747447814981</c:v>
                </c:pt>
                <c:pt idx="24">
                  <c:v>0.98847551281785129</c:v>
                </c:pt>
                <c:pt idx="25">
                  <c:v>0.99135620100674937</c:v>
                </c:pt>
                <c:pt idx="26">
                  <c:v>0.9935369305608216</c:v>
                </c:pt>
                <c:pt idx="27">
                  <c:v>0.99517880570661921</c:v>
                </c:pt>
                <c:pt idx="28">
                  <c:v>0.99640991029853465</c:v>
                </c:pt>
                <c:pt idx="29">
                  <c:v>0.99733017294076587</c:v>
                </c:pt>
                <c:pt idx="30">
                  <c:v>0.99801649520978208</c:v>
                </c:pt>
                <c:pt idx="31">
                  <c:v>0.99801649520978208</c:v>
                </c:pt>
                <c:pt idx="32">
                  <c:v>0.99801649520978208</c:v>
                </c:pt>
                <c:pt idx="33">
                  <c:v>0.99801649520978208</c:v>
                </c:pt>
                <c:pt idx="34">
                  <c:v>0.99801649520978208</c:v>
                </c:pt>
                <c:pt idx="35">
                  <c:v>0.99801649520978208</c:v>
                </c:pt>
                <c:pt idx="36">
                  <c:v>0.99801649520978208</c:v>
                </c:pt>
                <c:pt idx="37">
                  <c:v>0.99801649520978208</c:v>
                </c:pt>
                <c:pt idx="38">
                  <c:v>0.99801649520978208</c:v>
                </c:pt>
                <c:pt idx="39">
                  <c:v>0.99801649520978208</c:v>
                </c:pt>
                <c:pt idx="40">
                  <c:v>0.99801649520978208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C6-4A53-B200-CD932DB3D23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Data!$O$31:$BC$31</c:f>
              <c:numCache>
                <c:formatCode>General</c:formatCode>
                <c:ptCount val="41"/>
                <c:pt idx="0" formatCode="0.0000">
                  <c:v>2.0999999999999999E-3</c:v>
                </c:pt>
                <c:pt idx="1">
                  <c:v>1.420296527080726E-2</c:v>
                </c:pt>
                <c:pt idx="2">
                  <c:v>1.7136347031990577E-2</c:v>
                </c:pt>
                <c:pt idx="3">
                  <c:v>2.0767226283450461E-2</c:v>
                </c:pt>
                <c:pt idx="4">
                  <c:v>2.5254211975538225E-2</c:v>
                </c:pt>
                <c:pt idx="5">
                  <c:v>3.0788124085094237E-2</c:v>
                </c:pt>
                <c:pt idx="6">
                  <c:v>3.7596489775163638E-2</c:v>
                </c:pt>
                <c:pt idx="7">
                  <c:v>4.5947541783809422E-2</c:v>
                </c:pt>
                <c:pt idx="8">
                  <c:v>5.6152950410225472E-2</c:v>
                </c:pt>
                <c:pt idx="9">
                  <c:v>6.8568158700382964E-2</c:v>
                </c:pt>
                <c:pt idx="10">
                  <c:v>8.3588768925125317E-2</c:v>
                </c:pt>
                <c:pt idx="11">
                  <c:v>0.1016410130925338</c:v>
                </c:pt>
                <c:pt idx="12">
                  <c:v>0.12316406833216421</c:v>
                </c:pt>
                <c:pt idx="13">
                  <c:v>0.14858208008779947</c:v>
                </c:pt>
                <c:pt idx="14">
                  <c:v>0.17826455070208055</c:v>
                </c:pt>
                <c:pt idx="15">
                  <c:v>0.21247557506144388</c:v>
                </c:pt>
                <c:pt idx="16">
                  <c:v>0.25131544062663208</c:v>
                </c:pt>
                <c:pt idx="17">
                  <c:v>0.29466210557072892</c:v>
                </c:pt>
                <c:pt idx="18">
                  <c:v>0.34212405836436244</c:v>
                </c:pt>
                <c:pt idx="19">
                  <c:v>0.39301831321805325</c:v>
                </c:pt>
                <c:pt idx="20">
                  <c:v>0.4463858012865104</c:v>
                </c:pt>
                <c:pt idx="21">
                  <c:v>0.50105</c:v>
                </c:pt>
                <c:pt idx="22">
                  <c:v>0.55571419871348959</c:v>
                </c:pt>
                <c:pt idx="23">
                  <c:v>0.60908168678194663</c:v>
                </c:pt>
                <c:pt idx="24">
                  <c:v>0.65997594163563755</c:v>
                </c:pt>
                <c:pt idx="25">
                  <c:v>0.70743789442927107</c:v>
                </c:pt>
                <c:pt idx="26">
                  <c:v>0.75078455937336785</c:v>
                </c:pt>
                <c:pt idx="27">
                  <c:v>0.78962442493855622</c:v>
                </c:pt>
                <c:pt idx="28">
                  <c:v>0.82383544929791952</c:v>
                </c:pt>
                <c:pt idx="29">
                  <c:v>0.8535179199122005</c:v>
                </c:pt>
                <c:pt idx="30">
                  <c:v>0.87893593166783568</c:v>
                </c:pt>
                <c:pt idx="31">
                  <c:v>0.90045898690746617</c:v>
                </c:pt>
                <c:pt idx="32">
                  <c:v>0.91851123107487476</c:v>
                </c:pt>
                <c:pt idx="33">
                  <c:v>0.93353184129961697</c:v>
                </c:pt>
                <c:pt idx="34">
                  <c:v>0.94594704958977449</c:v>
                </c:pt>
                <c:pt idx="35">
                  <c:v>0.95615245821619066</c:v>
                </c:pt>
                <c:pt idx="36">
                  <c:v>0.96450351022483638</c:v>
                </c:pt>
                <c:pt idx="37">
                  <c:v>0.97131187591490564</c:v>
                </c:pt>
                <c:pt idx="38">
                  <c:v>0.97684578802446165</c:v>
                </c:pt>
                <c:pt idx="39">
                  <c:v>0.98133277371654959</c:v>
                </c:pt>
                <c:pt idx="40">
                  <c:v>0.98496365296800936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C6-4A53-B200-CD932DB3D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388703"/>
        <c:axId val="309415583"/>
      </c:lineChart>
      <c:catAx>
        <c:axId val="309388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9415583"/>
        <c:crosses val="autoZero"/>
        <c:auto val="1"/>
        <c:lblAlgn val="ctr"/>
        <c:lblOffset val="100"/>
        <c:noMultiLvlLbl val="0"/>
      </c:catAx>
      <c:valAx>
        <c:axId val="30941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938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Data!$O$16:$BC$16</c:f>
              <c:numCache>
                <c:formatCode>General</c:formatCode>
                <c:ptCount val="41"/>
                <c:pt idx="0" formatCode="0.0000">
                  <c:v>0</c:v>
                </c:pt>
                <c:pt idx="1">
                  <c:v>1.1904183440446504E-2</c:v>
                </c:pt>
                <c:pt idx="2">
                  <c:v>1.5958196146119517E-2</c:v>
                </c:pt>
                <c:pt idx="3">
                  <c:v>2.1342713563581705E-2</c:v>
                </c:pt>
                <c:pt idx="4">
                  <c:v>2.8455523906540069E-2</c:v>
                </c:pt>
                <c:pt idx="5">
                  <c:v>3.7784013634197901E-2</c:v>
                </c:pt>
                <c:pt idx="6">
                  <c:v>4.9903617896353419E-2</c:v>
                </c:pt>
                <c:pt idx="7">
                  <c:v>6.5458092717367744E-2</c:v>
                </c:pt>
                <c:pt idx="8">
                  <c:v>8.5110638940292693E-2</c:v>
                </c:pt>
                <c:pt idx="9">
                  <c:v>0.1094553142838138</c:v>
                </c:pt>
                <c:pt idx="10">
                  <c:v>0.1388851299005894</c:v>
                </c:pt>
                <c:pt idx="11">
                  <c:v>0.17343029842499763</c:v>
                </c:pt>
                <c:pt idx="12">
                  <c:v>0.21260621626452272</c:v>
                </c:pt>
                <c:pt idx="13">
                  <c:v>0.25533448991300461</c:v>
                </c:pt>
                <c:pt idx="14">
                  <c:v>0.3</c:v>
                </c:pt>
                <c:pt idx="15">
                  <c:v>0.34466551008699542</c:v>
                </c:pt>
                <c:pt idx="16">
                  <c:v>0.38739378373547723</c:v>
                </c:pt>
                <c:pt idx="17">
                  <c:v>0.42656970157500235</c:v>
                </c:pt>
                <c:pt idx="18">
                  <c:v>0.46111487009941055</c:v>
                </c:pt>
                <c:pt idx="19">
                  <c:v>0.49054468571618615</c:v>
                </c:pt>
                <c:pt idx="20">
                  <c:v>0.5148893610597074</c:v>
                </c:pt>
                <c:pt idx="21">
                  <c:v>0.53454190728263229</c:v>
                </c:pt>
                <c:pt idx="22">
                  <c:v>0.55009638210364653</c:v>
                </c:pt>
                <c:pt idx="23">
                  <c:v>0.56221598636580206</c:v>
                </c:pt>
                <c:pt idx="24">
                  <c:v>0.57154447609345993</c:v>
                </c:pt>
                <c:pt idx="25">
                  <c:v>0.57865728643641834</c:v>
                </c:pt>
                <c:pt idx="26">
                  <c:v>0.58404180385388038</c:v>
                </c:pt>
                <c:pt idx="27">
                  <c:v>0.58809581655955345</c:v>
                </c:pt>
                <c:pt idx="28">
                  <c:v>0.59113558098403618</c:v>
                </c:pt>
                <c:pt idx="29">
                  <c:v>0.59340783442164413</c:v>
                </c:pt>
                <c:pt idx="30">
                  <c:v>0.59510245730810407</c:v>
                </c:pt>
                <c:pt idx="31">
                  <c:v>0.59510245730810407</c:v>
                </c:pt>
                <c:pt idx="32">
                  <c:v>0.59510245730810407</c:v>
                </c:pt>
                <c:pt idx="33">
                  <c:v>0.59510245730810407</c:v>
                </c:pt>
                <c:pt idx="34">
                  <c:v>0.59510245730810407</c:v>
                </c:pt>
                <c:pt idx="35">
                  <c:v>0.59510245730810407</c:v>
                </c:pt>
                <c:pt idx="36">
                  <c:v>0.59510245730810407</c:v>
                </c:pt>
                <c:pt idx="37">
                  <c:v>0.59510245730810407</c:v>
                </c:pt>
                <c:pt idx="38">
                  <c:v>0.59510245730810407</c:v>
                </c:pt>
                <c:pt idx="39">
                  <c:v>0.59510245730810407</c:v>
                </c:pt>
                <c:pt idx="40">
                  <c:v>0.59510245730810407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D-4A50-B8D7-886C78FE9A3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Data!$O$23:$BC$23</c:f>
              <c:numCache>
                <c:formatCode>General</c:formatCode>
                <c:ptCount val="41"/>
                <c:pt idx="0" formatCode="0.0000">
                  <c:v>1.5651626031685502E-3</c:v>
                </c:pt>
                <c:pt idx="1">
                  <c:v>3.3372654271000626E-2</c:v>
                </c:pt>
                <c:pt idx="2">
                  <c:v>3.9250612695470026E-2</c:v>
                </c:pt>
                <c:pt idx="3">
                  <c:v>4.6129375259876718E-2</c:v>
                </c:pt>
                <c:pt idx="4">
                  <c:v>5.4145990187090494E-2</c:v>
                </c:pt>
                <c:pt idx="5">
                  <c:v>6.344359495834509E-2</c:v>
                </c:pt>
                <c:pt idx="6">
                  <c:v>7.4166581630082648E-2</c:v>
                </c:pt>
                <c:pt idx="7">
                  <c:v>8.6453781561459359E-2</c:v>
                </c:pt>
                <c:pt idx="8">
                  <c:v>0.10042951223285367</c:v>
                </c:pt>
                <c:pt idx="9">
                  <c:v>0.11619257212366976</c:v>
                </c:pt>
                <c:pt idx="10">
                  <c:v>0.13380363786290159</c:v>
                </c:pt>
                <c:pt idx="11">
                  <c:v>0.15327199446361311</c:v>
                </c:pt>
                <c:pt idx="12">
                  <c:v>0.17454304999924758</c:v>
                </c:pt>
                <c:pt idx="13">
                  <c:v>0.19748852910908696</c:v>
                </c:pt>
                <c:pt idx="14">
                  <c:v>0.22190143852679703</c:v>
                </c:pt>
                <c:pt idx="15">
                  <c:v>0.24749768362394373</c:v>
                </c:pt>
                <c:pt idx="16">
                  <c:v>0.273925488641451</c:v>
                </c:pt>
                <c:pt idx="17">
                  <c:v>0.30078258130158425</c:v>
                </c:pt>
                <c:pt idx="18">
                  <c:v>0.32763967396171756</c:v>
                </c:pt>
                <c:pt idx="19">
                  <c:v>0.3540674789792248</c:v>
                </c:pt>
                <c:pt idx="20">
                  <c:v>0.37966372407637144</c:v>
                </c:pt>
                <c:pt idx="21">
                  <c:v>0.40407663349408157</c:v>
                </c:pt>
                <c:pt idx="22">
                  <c:v>0.42702211260392092</c:v>
                </c:pt>
                <c:pt idx="23">
                  <c:v>0.44829316813955539</c:v>
                </c:pt>
                <c:pt idx="24">
                  <c:v>0.46776152474026689</c:v>
                </c:pt>
                <c:pt idx="25">
                  <c:v>0.48537259047949882</c:v>
                </c:pt>
                <c:pt idx="26">
                  <c:v>0.50113565037031493</c:v>
                </c:pt>
                <c:pt idx="27">
                  <c:v>0.51511138104170917</c:v>
                </c:pt>
                <c:pt idx="28">
                  <c:v>0.52739858097308578</c:v>
                </c:pt>
                <c:pt idx="29">
                  <c:v>0.53812156764482344</c:v>
                </c:pt>
                <c:pt idx="30">
                  <c:v>0.54741917241607807</c:v>
                </c:pt>
                <c:pt idx="31">
                  <c:v>0.5554357873432918</c:v>
                </c:pt>
                <c:pt idx="32">
                  <c:v>0.56231454990769858</c:v>
                </c:pt>
                <c:pt idx="33">
                  <c:v>0.56819250833216783</c:v>
                </c:pt>
                <c:pt idx="34">
                  <c:v>0.57319747820802325</c:v>
                </c:pt>
                <c:pt idx="35">
                  <c:v>0.5774462533716529</c:v>
                </c:pt>
                <c:pt idx="36">
                  <c:v>0.58104384142063448</c:v>
                </c:pt>
                <c:pt idx="37">
                  <c:v>0.58408343247358363</c:v>
                </c:pt>
                <c:pt idx="38">
                  <c:v>0.58664686094038043</c:v>
                </c:pt>
                <c:pt idx="39">
                  <c:v>0.58880537275720357</c:v>
                </c:pt>
                <c:pt idx="40">
                  <c:v>0.5906205584047205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7D-4A50-B8D7-886C78FE9A3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Data!$O$30:$BC$30</c:f>
              <c:numCache>
                <c:formatCode>General</c:formatCode>
                <c:ptCount val="41"/>
                <c:pt idx="0" formatCode="0.0000">
                  <c:v>5.5E-2</c:v>
                </c:pt>
                <c:pt idx="1">
                  <c:v>6.1516263426332138E-2</c:v>
                </c:pt>
                <c:pt idx="2">
                  <c:v>6.2912388851120368E-2</c:v>
                </c:pt>
                <c:pt idx="3">
                  <c:v>6.459560208520726E-2</c:v>
                </c:pt>
                <c:pt idx="4">
                  <c:v>6.6619338928503857E-2</c:v>
                </c:pt>
                <c:pt idx="5">
                  <c:v>6.9044423095222837E-2</c:v>
                </c:pt>
                <c:pt idx="6">
                  <c:v>7.1938912984119974E-2</c:v>
                </c:pt>
                <c:pt idx="7">
                  <c:v>7.5377310641010969E-2</c:v>
                </c:pt>
                <c:pt idx="8">
                  <c:v>7.9438869834322856E-2</c:v>
                </c:pt>
                <c:pt idx="9">
                  <c:v>8.4204715895418808E-2</c:v>
                </c:pt>
                <c:pt idx="10">
                  <c:v>8.9753510900619504E-2</c:v>
                </c:pt>
                <c:pt idx="11">
                  <c:v>9.6155495642188504E-2</c:v>
                </c:pt>
                <c:pt idx="12">
                  <c:v>0.10346494730314745</c:v>
                </c:pt>
                <c:pt idx="13">
                  <c:v>0.11171142804274067</c:v>
                </c:pt>
                <c:pt idx="14">
                  <c:v>0.1208906482356488</c:v>
                </c:pt>
                <c:pt idx="15">
                  <c:v>0.13095625212373493</c:v>
                </c:pt>
                <c:pt idx="16">
                  <c:v>0.14181420497468011</c:v>
                </c:pt>
                <c:pt idx="17">
                  <c:v>0.15332152327244924</c:v>
                </c:pt>
                <c:pt idx="18">
                  <c:v>0.16529067065844291</c:v>
                </c:pt>
                <c:pt idx="19">
                  <c:v>0.17749999999999999</c:v>
                </c:pt>
                <c:pt idx="20">
                  <c:v>0.1897093293415571</c:v>
                </c:pt>
                <c:pt idx="21">
                  <c:v>0.20167847672755074</c:v>
                </c:pt>
                <c:pt idx="22">
                  <c:v>0.21318579502531987</c:v>
                </c:pt>
                <c:pt idx="23">
                  <c:v>0.22404374787626505</c:v>
                </c:pt>
                <c:pt idx="24">
                  <c:v>0.23410935176435119</c:v>
                </c:pt>
                <c:pt idx="25">
                  <c:v>0.24328857195725934</c:v>
                </c:pt>
                <c:pt idx="26">
                  <c:v>0.25153505269685256</c:v>
                </c:pt>
                <c:pt idx="27">
                  <c:v>0.25884450435781148</c:v>
                </c:pt>
                <c:pt idx="28">
                  <c:v>0.26524648909938053</c:v>
                </c:pt>
                <c:pt idx="29">
                  <c:v>0.2707952841045812</c:v>
                </c:pt>
                <c:pt idx="30">
                  <c:v>0.27556113016567713</c:v>
                </c:pt>
                <c:pt idx="31">
                  <c:v>0.27962268935898904</c:v>
                </c:pt>
                <c:pt idx="32">
                  <c:v>0.28306108701588006</c:v>
                </c:pt>
                <c:pt idx="33">
                  <c:v>0.28595557690477719</c:v>
                </c:pt>
                <c:pt idx="34">
                  <c:v>0.28838066107149618</c:v>
                </c:pt>
                <c:pt idx="35">
                  <c:v>0.29040439791479272</c:v>
                </c:pt>
                <c:pt idx="36">
                  <c:v>0.29208761114887966</c:v>
                </c:pt>
                <c:pt idx="37">
                  <c:v>0.29348373657366783</c:v>
                </c:pt>
                <c:pt idx="38">
                  <c:v>0.29463908862064803</c:v>
                </c:pt>
                <c:pt idx="39">
                  <c:v>0.29559337855928758</c:v>
                </c:pt>
                <c:pt idx="40">
                  <c:v>0.29638036223514813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7D-4A50-B8D7-886C78FE9A3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Data!$O$37:$BC$37</c:f>
              <c:numCache>
                <c:formatCode>General</c:formatCode>
                <c:ptCount val="41"/>
                <c:pt idx="0" formatCode="0.0000">
                  <c:v>5.0000000000000001E-4</c:v>
                </c:pt>
                <c:pt idx="1">
                  <c:v>5.8868698836464211E-3</c:v>
                </c:pt>
                <c:pt idx="2">
                  <c:v>7.0534406453710754E-3</c:v>
                </c:pt>
                <c:pt idx="3">
                  <c:v>8.4657995762713236E-3</c:v>
                </c:pt>
                <c:pt idx="4">
                  <c:v>1.0172491677185924E-2</c:v>
                </c:pt>
                <c:pt idx="5">
                  <c:v>1.2230133977630923E-2</c:v>
                </c:pt>
                <c:pt idx="6">
                  <c:v>1.470404901668125E-2</c:v>
                </c:pt>
                <c:pt idx="7">
                  <c:v>1.7668590681711185E-2</c:v>
                </c:pt>
                <c:pt idx="8">
                  <c:v>2.120695689283237E-2</c:v>
                </c:pt>
                <c:pt idx="9">
                  <c:v>2.5410222599929744E-2</c:v>
                </c:pt>
                <c:pt idx="10">
                  <c:v>3.0375271491345699E-2</c:v>
                </c:pt>
                <c:pt idx="11">
                  <c:v>3.6201275145624205E-2</c:v>
                </c:pt>
                <c:pt idx="12">
                  <c:v>4.298439393769609E-2</c:v>
                </c:pt>
                <c:pt idx="13">
                  <c:v>5.0810493652389613E-2</c:v>
                </c:pt>
                <c:pt idx="14">
                  <c:v>5.9745925376704756E-2</c:v>
                </c:pt>
                <c:pt idx="15">
                  <c:v>6.9826827342044206E-2</c:v>
                </c:pt>
                <c:pt idx="16">
                  <c:v>8.1047955700313534E-2</c:v>
                </c:pt>
                <c:pt idx="17">
                  <c:v>9.3352642902280056E-2</c:v>
                </c:pt>
                <c:pt idx="18">
                  <c:v>0.10662593628537426</c:v>
                </c:pt>
                <c:pt idx="19">
                  <c:v>0.12069304579632062</c:v>
                </c:pt>
                <c:pt idx="20">
                  <c:v>0.13532471780491287</c:v>
                </c:pt>
                <c:pt idx="21">
                  <c:v>0.15024999999999999</c:v>
                </c:pt>
                <c:pt idx="22">
                  <c:v>0.16517528219508715</c:v>
                </c:pt>
                <c:pt idx="23">
                  <c:v>0.17980695420367937</c:v>
                </c:pt>
                <c:pt idx="24">
                  <c:v>0.19387406371462573</c:v>
                </c:pt>
                <c:pt idx="25">
                  <c:v>0.20714735709771992</c:v>
                </c:pt>
                <c:pt idx="26">
                  <c:v>0.21945204429968646</c:v>
                </c:pt>
                <c:pt idx="27">
                  <c:v>0.23067317265795581</c:v>
                </c:pt>
                <c:pt idx="28">
                  <c:v>0.24075407462329526</c:v>
                </c:pt>
                <c:pt idx="29">
                  <c:v>0.24968950634761036</c:v>
                </c:pt>
                <c:pt idx="30">
                  <c:v>0.25751560606230389</c:v>
                </c:pt>
                <c:pt idx="31">
                  <c:v>0.26429872485437578</c:v>
                </c:pt>
                <c:pt idx="32">
                  <c:v>0.27012472850865427</c:v>
                </c:pt>
                <c:pt idx="33">
                  <c:v>0.27508977740007023</c:v>
                </c:pt>
                <c:pt idx="34">
                  <c:v>0.27929304310716763</c:v>
                </c:pt>
                <c:pt idx="35">
                  <c:v>0.28283140931828882</c:v>
                </c:pt>
                <c:pt idx="36">
                  <c:v>0.28579595098331878</c:v>
                </c:pt>
                <c:pt idx="37">
                  <c:v>0.28826986602236909</c:v>
                </c:pt>
                <c:pt idx="38">
                  <c:v>0.29032750832281407</c:v>
                </c:pt>
                <c:pt idx="39">
                  <c:v>0.29203420042372863</c:v>
                </c:pt>
                <c:pt idx="40">
                  <c:v>0.29344655935462888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7D-4A50-B8D7-886C78FE9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594928"/>
        <c:axId val="228610768"/>
      </c:lineChart>
      <c:catAx>
        <c:axId val="228594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8610768"/>
        <c:crosses val="autoZero"/>
        <c:auto val="1"/>
        <c:lblAlgn val="ctr"/>
        <c:lblOffset val="100"/>
        <c:noMultiLvlLbl val="0"/>
      </c:catAx>
      <c:valAx>
        <c:axId val="22861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859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337926509186352"/>
          <c:y val="0.11203703703703703"/>
          <c:w val="0.85774759405074363"/>
          <c:h val="0.715748760571595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Data!$O$16:$BC$16</c:f>
              <c:numCache>
                <c:formatCode>General</c:formatCode>
                <c:ptCount val="41"/>
                <c:pt idx="0" formatCode="0.0000">
                  <c:v>0</c:v>
                </c:pt>
                <c:pt idx="1">
                  <c:v>1.1904183440446504E-2</c:v>
                </c:pt>
                <c:pt idx="2">
                  <c:v>1.5958196146119517E-2</c:v>
                </c:pt>
                <c:pt idx="3">
                  <c:v>2.1342713563581705E-2</c:v>
                </c:pt>
                <c:pt idx="4">
                  <c:v>2.8455523906540069E-2</c:v>
                </c:pt>
                <c:pt idx="5">
                  <c:v>3.7784013634197901E-2</c:v>
                </c:pt>
                <c:pt idx="6">
                  <c:v>4.9903617896353419E-2</c:v>
                </c:pt>
                <c:pt idx="7">
                  <c:v>6.5458092717367744E-2</c:v>
                </c:pt>
                <c:pt idx="8">
                  <c:v>8.5110638940292693E-2</c:v>
                </c:pt>
                <c:pt idx="9">
                  <c:v>0.1094553142838138</c:v>
                </c:pt>
                <c:pt idx="10">
                  <c:v>0.1388851299005894</c:v>
                </c:pt>
                <c:pt idx="11">
                  <c:v>0.17343029842499763</c:v>
                </c:pt>
                <c:pt idx="12">
                  <c:v>0.21260621626452272</c:v>
                </c:pt>
                <c:pt idx="13">
                  <c:v>0.25533448991300461</c:v>
                </c:pt>
                <c:pt idx="14">
                  <c:v>0.3</c:v>
                </c:pt>
                <c:pt idx="15">
                  <c:v>0.34466551008699542</c:v>
                </c:pt>
                <c:pt idx="16">
                  <c:v>0.38739378373547723</c:v>
                </c:pt>
                <c:pt idx="17">
                  <c:v>0.42656970157500235</c:v>
                </c:pt>
                <c:pt idx="18">
                  <c:v>0.46111487009941055</c:v>
                </c:pt>
                <c:pt idx="19">
                  <c:v>0.49054468571618615</c:v>
                </c:pt>
                <c:pt idx="20">
                  <c:v>0.5148893610597074</c:v>
                </c:pt>
                <c:pt idx="21">
                  <c:v>0.53454190728263229</c:v>
                </c:pt>
                <c:pt idx="22">
                  <c:v>0.55009638210364653</c:v>
                </c:pt>
                <c:pt idx="23">
                  <c:v>0.56221598636580206</c:v>
                </c:pt>
                <c:pt idx="24">
                  <c:v>0.57154447609345993</c:v>
                </c:pt>
                <c:pt idx="25">
                  <c:v>0.57865728643641834</c:v>
                </c:pt>
                <c:pt idx="26">
                  <c:v>0.58404180385388038</c:v>
                </c:pt>
                <c:pt idx="27">
                  <c:v>0.58809581655955345</c:v>
                </c:pt>
                <c:pt idx="28">
                  <c:v>0.59113558098403618</c:v>
                </c:pt>
                <c:pt idx="29">
                  <c:v>0.59340783442164413</c:v>
                </c:pt>
                <c:pt idx="30">
                  <c:v>0.59510245730810407</c:v>
                </c:pt>
                <c:pt idx="31">
                  <c:v>0.59510245730810407</c:v>
                </c:pt>
                <c:pt idx="32">
                  <c:v>0.59510245730810407</c:v>
                </c:pt>
                <c:pt idx="33">
                  <c:v>0.59510245730810407</c:v>
                </c:pt>
                <c:pt idx="34">
                  <c:v>0.59510245730810407</c:v>
                </c:pt>
                <c:pt idx="35">
                  <c:v>0.59510245730810407</c:v>
                </c:pt>
                <c:pt idx="36">
                  <c:v>0.59510245730810407</c:v>
                </c:pt>
                <c:pt idx="37">
                  <c:v>0.59510245730810407</c:v>
                </c:pt>
                <c:pt idx="38">
                  <c:v>0.59510245730810407</c:v>
                </c:pt>
                <c:pt idx="39">
                  <c:v>0.59510245730810407</c:v>
                </c:pt>
                <c:pt idx="40">
                  <c:v>0.59510245730810407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10-46D6-B221-5308527E4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945376"/>
        <c:axId val="947953056"/>
      </c:lineChart>
      <c:catAx>
        <c:axId val="947945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7953056"/>
        <c:crosses val="autoZero"/>
        <c:auto val="1"/>
        <c:lblAlgn val="ctr"/>
        <c:lblOffset val="100"/>
        <c:noMultiLvlLbl val="0"/>
      </c:catAx>
      <c:valAx>
        <c:axId val="94795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794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23</xdr:row>
      <xdr:rowOff>0</xdr:rowOff>
    </xdr:from>
    <xdr:to>
      <xdr:col>28</xdr:col>
      <xdr:colOff>628650</xdr:colOff>
      <xdr:row>38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AE6F02B-D96F-4B9F-8FD5-234BAA99C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0</xdr:colOff>
      <xdr:row>23</xdr:row>
      <xdr:rowOff>0</xdr:rowOff>
    </xdr:from>
    <xdr:to>
      <xdr:col>36</xdr:col>
      <xdr:colOff>628650</xdr:colOff>
      <xdr:row>38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CC6621F-1687-42D4-9009-191FEA7ED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8</xdr:col>
      <xdr:colOff>680357</xdr:colOff>
      <xdr:row>24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CCFFB79-8746-4D6F-B873-8E5772010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25</xdr:row>
      <xdr:rowOff>0</xdr:rowOff>
    </xdr:from>
    <xdr:to>
      <xdr:col>8</xdr:col>
      <xdr:colOff>683559</xdr:colOff>
      <xdr:row>40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540FA63-4948-4020-875D-F8F46727F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</xdr:row>
      <xdr:rowOff>1</xdr:rowOff>
    </xdr:from>
    <xdr:to>
      <xdr:col>8</xdr:col>
      <xdr:colOff>304800</xdr:colOff>
      <xdr:row>53</xdr:row>
      <xdr:rowOff>47669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C24AF4-B099-42FD-95BE-CB3D6782B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01001"/>
          <a:ext cx="6791325" cy="213935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33</xdr:row>
      <xdr:rowOff>142875</xdr:rowOff>
    </xdr:from>
    <xdr:to>
      <xdr:col>8</xdr:col>
      <xdr:colOff>342052</xdr:colOff>
      <xdr:row>41</xdr:row>
      <xdr:rowOff>152208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5B20BE-2F2B-49B7-9BB4-EDE8C189B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6429375"/>
          <a:ext cx="6780952" cy="1533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516438</xdr:colOff>
      <xdr:row>306</xdr:row>
      <xdr:rowOff>28988</xdr:rowOff>
    </xdr:from>
    <xdr:to>
      <xdr:col>29</xdr:col>
      <xdr:colOff>70402</xdr:colOff>
      <xdr:row>590</xdr:row>
      <xdr:rowOff>19303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8C03D9-99AC-4383-86DE-84EF559D8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16249" y="42968174"/>
          <a:ext cx="3280576" cy="23139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487550</xdr:colOff>
      <xdr:row>4</xdr:row>
      <xdr:rowOff>17563</xdr:rowOff>
    </xdr:from>
    <xdr:to>
      <xdr:col>14</xdr:col>
      <xdr:colOff>167669</xdr:colOff>
      <xdr:row>12</xdr:row>
      <xdr:rowOff>7501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3A5AEA-114C-4879-A75D-E0E7AC7CB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470700</xdr:colOff>
      <xdr:row>19</xdr:row>
      <xdr:rowOff>151148</xdr:rowOff>
    </xdr:from>
    <xdr:to>
      <xdr:col>14</xdr:col>
      <xdr:colOff>1873</xdr:colOff>
      <xdr:row>36</xdr:row>
      <xdr:rowOff>73885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FD3A4B1A-5CCC-5FC3-5159-4A4D69BFE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9376</xdr:colOff>
      <xdr:row>23</xdr:row>
      <xdr:rowOff>53632</xdr:rowOff>
    </xdr:from>
    <xdr:to>
      <xdr:col>13</xdr:col>
      <xdr:colOff>170653</xdr:colOff>
      <xdr:row>39</xdr:row>
      <xdr:rowOff>141397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5F9A5F1-438B-438D-5C72-101AE8049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369435</xdr:colOff>
      <xdr:row>9</xdr:row>
      <xdr:rowOff>136147</xdr:rowOff>
    </xdr:from>
    <xdr:to>
      <xdr:col>13</xdr:col>
      <xdr:colOff>530712</xdr:colOff>
      <xdr:row>26</xdr:row>
      <xdr:rowOff>58884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C218537-C833-B0FB-E122-AB2434982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cn-Transportation%20Technology%20Shareweight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988.420821064814" createdVersion="8" refreshedVersion="8" minRefreshableVersion="3" recordCount="1161" xr:uid="{FB466B65-BFCF-499C-BC2F-AB4220A7B2EC}">
  <cacheSource type="worksheet">
    <worksheetSource ref="A1:J1048576" sheet="Vehicle Sales Database" r:id="rId2"/>
  </cacheSource>
  <cacheFields count="10">
    <cacheField name="Index" numFmtId="0">
      <sharedItems containsString="0" containsBlank="1" containsNumber="1" containsInteger="1" minValue="1" maxValue="1160"/>
    </cacheField>
    <cacheField name="Year" numFmtId="0">
      <sharedItems containsString="0" containsBlank="1" containsNumber="1" containsInteger="1" minValue="2015" maxValue="2021" count="8">
        <n v="2015"/>
        <n v="2016"/>
        <n v="2017"/>
        <n v="2018"/>
        <n v="2019"/>
        <n v="2020"/>
        <n v="2021"/>
        <m/>
      </sharedItems>
    </cacheField>
    <cacheField name="FuelType" numFmtId="0">
      <sharedItems containsBlank="1"/>
    </cacheField>
    <cacheField name="Fuel Type Adjusted " numFmtId="0">
      <sharedItems containsBlank="1" count="11">
        <s v="plugin hybrid vehicle"/>
        <s v="diesel vehicle"/>
        <s v="battery electric vehicle"/>
        <s v="hybrid fuel vehicle"/>
        <s v="gasoline vehicle"/>
        <s v="natural gas vehicle"/>
        <s v="hydrogen vehicle"/>
        <s v="unknown"/>
        <s v="other fuel vehicle"/>
        <s v="LPG vehicle"/>
        <m/>
      </sharedItems>
    </cacheField>
    <cacheField name="Class" numFmtId="0">
      <sharedItems containsBlank="1"/>
    </cacheField>
    <cacheField name="UseType" numFmtId="0">
      <sharedItems containsBlank="1"/>
    </cacheField>
    <cacheField name="Class2" numFmtId="0">
      <sharedItems containsBlank="1"/>
    </cacheField>
    <cacheField name="Database Class" numFmtId="0">
      <sharedItems containsBlank="1" count="8">
        <s v="公交车"/>
        <s v="道路客车"/>
        <s v="轻型货车"/>
        <s v="出租车"/>
        <s v="中重型货车"/>
        <s v="Unknown"/>
        <s v="乘用车"/>
        <m/>
      </sharedItems>
    </cacheField>
    <cacheField name="EPS Class" numFmtId="0">
      <sharedItems containsBlank="1" count="6">
        <s v="Passenger HDV"/>
        <s v="Passenger LDV"/>
        <s v="Freight LDV"/>
        <s v="Freight HDV"/>
        <s v="Unknown"/>
        <m/>
      </sharedItems>
    </cacheField>
    <cacheField name="Sales" numFmtId="0">
      <sharedItems containsString="0" containsBlank="1" containsNumber="1" containsInteger="1" minValue="1" maxValue="237694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1">
  <r>
    <n v="1"/>
    <x v="0"/>
    <s v="插电式混合动力"/>
    <x v="0"/>
    <s v="大型客车"/>
    <s v="城市公交"/>
    <s v="商用车"/>
    <x v="0"/>
    <x v="0"/>
    <n v="16295"/>
  </r>
  <r>
    <n v="2"/>
    <x v="1"/>
    <s v="插电式混合动力"/>
    <x v="0"/>
    <s v="大型客车"/>
    <s v="城市公交"/>
    <s v="商用车"/>
    <x v="0"/>
    <x v="0"/>
    <n v="4474"/>
  </r>
  <r>
    <n v="3"/>
    <x v="2"/>
    <s v="插电式混合动力"/>
    <x v="0"/>
    <s v="大型客车"/>
    <s v="城市公交"/>
    <s v="商用车"/>
    <x v="0"/>
    <x v="0"/>
    <n v="12043"/>
  </r>
  <r>
    <n v="4"/>
    <x v="3"/>
    <s v="插电式混合动力"/>
    <x v="0"/>
    <s v="大型客车"/>
    <s v="城市公交"/>
    <s v="商用车"/>
    <x v="0"/>
    <x v="0"/>
    <n v="5764"/>
  </r>
  <r>
    <n v="5"/>
    <x v="4"/>
    <s v="插电式混合动力"/>
    <x v="0"/>
    <s v="大型客车"/>
    <s v="城市公交"/>
    <s v="商用车"/>
    <x v="0"/>
    <x v="0"/>
    <n v="4294"/>
  </r>
  <r>
    <n v="6"/>
    <x v="5"/>
    <s v="插电式混合动力"/>
    <x v="0"/>
    <s v="大型客车"/>
    <s v="城市公交"/>
    <s v="商用车"/>
    <x v="0"/>
    <x v="0"/>
    <n v="5040"/>
  </r>
  <r>
    <n v="7"/>
    <x v="6"/>
    <s v="插电式混合动力"/>
    <x v="0"/>
    <s v="大型客车"/>
    <s v="城市公交"/>
    <s v="商用车"/>
    <x v="0"/>
    <x v="0"/>
    <n v="1224"/>
  </r>
  <r>
    <n v="8"/>
    <x v="0"/>
    <s v="柴油"/>
    <x v="1"/>
    <s v="大型客车"/>
    <s v="城市公交"/>
    <s v="商用车"/>
    <x v="0"/>
    <x v="0"/>
    <n v="21733"/>
  </r>
  <r>
    <n v="9"/>
    <x v="1"/>
    <s v="柴油"/>
    <x v="1"/>
    <s v="大型客车"/>
    <s v="城市公交"/>
    <s v="商用车"/>
    <x v="0"/>
    <x v="0"/>
    <n v="7308"/>
  </r>
  <r>
    <n v="10"/>
    <x v="2"/>
    <s v="柴油"/>
    <x v="1"/>
    <s v="大型客车"/>
    <s v="城市公交"/>
    <s v="商用车"/>
    <x v="0"/>
    <x v="0"/>
    <n v="4681"/>
  </r>
  <r>
    <n v="11"/>
    <x v="3"/>
    <s v="柴油"/>
    <x v="1"/>
    <s v="大型客车"/>
    <s v="城市公交"/>
    <s v="商用车"/>
    <x v="0"/>
    <x v="0"/>
    <n v="2329"/>
  </r>
  <r>
    <n v="12"/>
    <x v="4"/>
    <s v="柴油"/>
    <x v="1"/>
    <s v="大型客车"/>
    <s v="城市公交"/>
    <s v="商用车"/>
    <x v="0"/>
    <x v="0"/>
    <n v="1012"/>
  </r>
  <r>
    <n v="13"/>
    <x v="5"/>
    <s v="柴油"/>
    <x v="1"/>
    <s v="大型客车"/>
    <s v="城市公交"/>
    <s v="商用车"/>
    <x v="0"/>
    <x v="0"/>
    <n v="662"/>
  </r>
  <r>
    <n v="14"/>
    <x v="6"/>
    <s v="柴油"/>
    <x v="1"/>
    <s v="大型客车"/>
    <s v="城市公交"/>
    <s v="商用车"/>
    <x v="0"/>
    <x v="0"/>
    <n v="377"/>
  </r>
  <r>
    <n v="15"/>
    <x v="0"/>
    <s v="纯电动"/>
    <x v="2"/>
    <s v="大型客车"/>
    <s v="城市公交"/>
    <s v="商用车"/>
    <x v="0"/>
    <x v="0"/>
    <n v="44539"/>
  </r>
  <r>
    <n v="16"/>
    <x v="1"/>
    <s v="纯电动"/>
    <x v="2"/>
    <s v="大型客车"/>
    <s v="城市公交"/>
    <s v="商用车"/>
    <x v="0"/>
    <x v="0"/>
    <n v="60979"/>
  </r>
  <r>
    <n v="17"/>
    <x v="2"/>
    <s v="纯电动"/>
    <x v="2"/>
    <s v="大型客车"/>
    <s v="城市公交"/>
    <s v="商用车"/>
    <x v="0"/>
    <x v="0"/>
    <n v="56938"/>
  </r>
  <r>
    <n v="18"/>
    <x v="3"/>
    <s v="纯电动"/>
    <x v="2"/>
    <s v="大型客车"/>
    <s v="城市公交"/>
    <s v="商用车"/>
    <x v="0"/>
    <x v="0"/>
    <n v="79727"/>
  </r>
  <r>
    <n v="19"/>
    <x v="4"/>
    <s v="纯电动"/>
    <x v="2"/>
    <s v="大型客车"/>
    <s v="城市公交"/>
    <s v="商用车"/>
    <x v="0"/>
    <x v="0"/>
    <n v="67030"/>
  </r>
  <r>
    <n v="20"/>
    <x v="5"/>
    <s v="纯电动"/>
    <x v="2"/>
    <s v="大型客车"/>
    <s v="城市公交"/>
    <s v="商用车"/>
    <x v="0"/>
    <x v="0"/>
    <n v="51600"/>
  </r>
  <r>
    <n v="21"/>
    <x v="6"/>
    <s v="纯电动"/>
    <x v="2"/>
    <s v="大型客车"/>
    <s v="城市公交"/>
    <s v="商用车"/>
    <x v="0"/>
    <x v="0"/>
    <n v="39634"/>
  </r>
  <r>
    <n v="22"/>
    <x v="0"/>
    <s v="混合动力"/>
    <x v="3"/>
    <s v="大型客车"/>
    <s v="城市公交"/>
    <s v="商用车"/>
    <x v="0"/>
    <x v="0"/>
    <n v="7940"/>
  </r>
  <r>
    <n v="23"/>
    <x v="1"/>
    <s v="混合动力"/>
    <x v="3"/>
    <s v="大型客车"/>
    <s v="城市公交"/>
    <s v="商用车"/>
    <x v="0"/>
    <x v="0"/>
    <n v="12742"/>
  </r>
  <r>
    <n v="24"/>
    <x v="2"/>
    <s v="混合动力"/>
    <x v="3"/>
    <s v="大型客车"/>
    <s v="城市公交"/>
    <s v="商用车"/>
    <x v="0"/>
    <x v="0"/>
    <n v="2171"/>
  </r>
  <r>
    <n v="25"/>
    <x v="3"/>
    <s v="混合动力"/>
    <x v="3"/>
    <s v="大型客车"/>
    <s v="城市公交"/>
    <s v="商用车"/>
    <x v="0"/>
    <x v="0"/>
    <n v="228"/>
  </r>
  <r>
    <n v="26"/>
    <x v="4"/>
    <s v="混合动力"/>
    <x v="3"/>
    <s v="大型客车"/>
    <s v="城市公交"/>
    <s v="商用车"/>
    <x v="0"/>
    <x v="0"/>
    <n v="3"/>
  </r>
  <r>
    <n v="27"/>
    <x v="6"/>
    <s v="混合动力"/>
    <x v="3"/>
    <s v="大型客车"/>
    <s v="城市公交"/>
    <s v="商用车"/>
    <x v="0"/>
    <x v="0"/>
    <n v="2"/>
  </r>
  <r>
    <n v="28"/>
    <x v="0"/>
    <s v="汽油"/>
    <x v="4"/>
    <s v="大型客车"/>
    <s v="城市公交"/>
    <s v="商用车"/>
    <x v="0"/>
    <x v="0"/>
    <n v="3"/>
  </r>
  <r>
    <n v="29"/>
    <x v="1"/>
    <s v="汽油"/>
    <x v="4"/>
    <s v="大型客车"/>
    <s v="城市公交"/>
    <s v="商用车"/>
    <x v="0"/>
    <x v="0"/>
    <n v="5"/>
  </r>
  <r>
    <n v="30"/>
    <x v="2"/>
    <s v="汽油"/>
    <x v="4"/>
    <s v="大型客车"/>
    <s v="城市公交"/>
    <s v="商用车"/>
    <x v="0"/>
    <x v="0"/>
    <n v="20"/>
  </r>
  <r>
    <n v="31"/>
    <x v="3"/>
    <s v="汽油"/>
    <x v="4"/>
    <s v="大型客车"/>
    <s v="城市公交"/>
    <s v="商用车"/>
    <x v="0"/>
    <x v="0"/>
    <n v="4"/>
  </r>
  <r>
    <n v="32"/>
    <x v="4"/>
    <s v="汽油"/>
    <x v="4"/>
    <s v="大型客车"/>
    <s v="城市公交"/>
    <s v="商用车"/>
    <x v="0"/>
    <x v="0"/>
    <n v="2"/>
  </r>
  <r>
    <n v="33"/>
    <x v="5"/>
    <s v="汽油"/>
    <x v="4"/>
    <s v="大型客车"/>
    <s v="城市公交"/>
    <s v="商用车"/>
    <x v="0"/>
    <x v="0"/>
    <n v="35"/>
  </r>
  <r>
    <n v="34"/>
    <x v="6"/>
    <s v="汽油"/>
    <x v="4"/>
    <s v="大型客车"/>
    <s v="城市公交"/>
    <s v="商用车"/>
    <x v="0"/>
    <x v="0"/>
    <n v="17"/>
  </r>
  <r>
    <n v="35"/>
    <x v="2"/>
    <s v="汽油-天然气"/>
    <x v="5"/>
    <s v="大型客车"/>
    <s v="城市公交"/>
    <s v="商用车"/>
    <x v="0"/>
    <x v="0"/>
    <n v="20"/>
  </r>
  <r>
    <n v="36"/>
    <x v="1"/>
    <s v="燃料电池"/>
    <x v="6"/>
    <s v="大型客车"/>
    <s v="城市公交"/>
    <s v="商用车"/>
    <x v="0"/>
    <x v="0"/>
    <n v="24"/>
  </r>
  <r>
    <n v="37"/>
    <x v="2"/>
    <s v="燃料电池"/>
    <x v="6"/>
    <s v="大型客车"/>
    <s v="城市公交"/>
    <s v="商用车"/>
    <x v="0"/>
    <x v="0"/>
    <n v="3"/>
  </r>
  <r>
    <n v="38"/>
    <x v="3"/>
    <s v="燃料电池"/>
    <x v="6"/>
    <s v="大型客车"/>
    <s v="城市公交"/>
    <s v="商用车"/>
    <x v="0"/>
    <x v="0"/>
    <n v="305"/>
  </r>
  <r>
    <n v="39"/>
    <x v="4"/>
    <s v="燃料电池"/>
    <x v="6"/>
    <s v="大型客车"/>
    <s v="城市公交"/>
    <s v="商用车"/>
    <x v="0"/>
    <x v="0"/>
    <n v="740"/>
  </r>
  <r>
    <n v="40"/>
    <x v="5"/>
    <s v="燃料电池"/>
    <x v="6"/>
    <s v="大型客车"/>
    <s v="城市公交"/>
    <s v="商用车"/>
    <x v="0"/>
    <x v="0"/>
    <n v="1339"/>
  </r>
  <r>
    <n v="41"/>
    <x v="6"/>
    <s v="燃料电池"/>
    <x v="6"/>
    <s v="大型客车"/>
    <s v="城市公交"/>
    <s v="商用车"/>
    <x v="0"/>
    <x v="0"/>
    <n v="808"/>
  </r>
  <r>
    <n v="42"/>
    <x v="0"/>
    <s v="天然气"/>
    <x v="5"/>
    <s v="大型客车"/>
    <s v="城市公交"/>
    <s v="商用车"/>
    <x v="0"/>
    <x v="0"/>
    <n v="19202"/>
  </r>
  <r>
    <n v="43"/>
    <x v="1"/>
    <s v="天然气"/>
    <x v="5"/>
    <s v="大型客车"/>
    <s v="城市公交"/>
    <s v="商用车"/>
    <x v="0"/>
    <x v="0"/>
    <n v="7957"/>
  </r>
  <r>
    <n v="44"/>
    <x v="2"/>
    <s v="天然气"/>
    <x v="5"/>
    <s v="大型客车"/>
    <s v="城市公交"/>
    <s v="商用车"/>
    <x v="0"/>
    <x v="0"/>
    <n v="5956"/>
  </r>
  <r>
    <n v="45"/>
    <x v="3"/>
    <s v="天然气"/>
    <x v="5"/>
    <s v="大型客车"/>
    <s v="城市公交"/>
    <s v="商用车"/>
    <x v="0"/>
    <x v="0"/>
    <n v="2470"/>
  </r>
  <r>
    <n v="46"/>
    <x v="4"/>
    <s v="天然气"/>
    <x v="5"/>
    <s v="大型客车"/>
    <s v="城市公交"/>
    <s v="商用车"/>
    <x v="0"/>
    <x v="0"/>
    <n v="1088"/>
  </r>
  <r>
    <n v="47"/>
    <x v="5"/>
    <s v="天然气"/>
    <x v="5"/>
    <s v="大型客车"/>
    <s v="城市公交"/>
    <s v="商用车"/>
    <x v="0"/>
    <x v="0"/>
    <n v="416"/>
  </r>
  <r>
    <n v="48"/>
    <x v="6"/>
    <s v="天然气"/>
    <x v="5"/>
    <s v="大型客车"/>
    <s v="城市公交"/>
    <s v="商用车"/>
    <x v="0"/>
    <x v="0"/>
    <n v="110"/>
  </r>
  <r>
    <n v="49"/>
    <x v="0"/>
    <s v="柴油"/>
    <x v="1"/>
    <s v="未知"/>
    <s v="城市公交"/>
    <s v="商用车"/>
    <x v="0"/>
    <x v="0"/>
    <n v="13"/>
  </r>
  <r>
    <n v="50"/>
    <x v="0"/>
    <s v="纯电动"/>
    <x v="2"/>
    <s v="未知"/>
    <s v="城市公交"/>
    <s v="商用车"/>
    <x v="0"/>
    <x v="0"/>
    <n v="150"/>
  </r>
  <r>
    <n v="51"/>
    <x v="0"/>
    <s v="汽油"/>
    <x v="4"/>
    <s v="未知"/>
    <s v="城市公交"/>
    <s v="商用车"/>
    <x v="0"/>
    <x v="0"/>
    <n v="410"/>
  </r>
  <r>
    <n v="52"/>
    <x v="0"/>
    <s v="汽油-天然气"/>
    <x v="5"/>
    <s v="未知"/>
    <s v="城市公交"/>
    <s v="商用车"/>
    <x v="0"/>
    <x v="0"/>
    <n v="57"/>
  </r>
  <r>
    <n v="53"/>
    <x v="0"/>
    <s v="柴油"/>
    <x v="1"/>
    <s v="小型客车"/>
    <s v="城市公交"/>
    <s v="商用车"/>
    <x v="0"/>
    <x v="1"/>
    <n v="1"/>
  </r>
  <r>
    <n v="54"/>
    <x v="1"/>
    <s v="柴油"/>
    <x v="1"/>
    <s v="小型客车"/>
    <s v="城市公交"/>
    <s v="商用车"/>
    <x v="0"/>
    <x v="1"/>
    <n v="17"/>
  </r>
  <r>
    <n v="55"/>
    <x v="2"/>
    <s v="柴油"/>
    <x v="1"/>
    <s v="小型客车"/>
    <s v="城市公交"/>
    <s v="商用车"/>
    <x v="0"/>
    <x v="1"/>
    <n v="79"/>
  </r>
  <r>
    <n v="56"/>
    <x v="3"/>
    <s v="柴油"/>
    <x v="1"/>
    <s v="小型客车"/>
    <s v="城市公交"/>
    <s v="商用车"/>
    <x v="0"/>
    <x v="1"/>
    <n v="579"/>
  </r>
  <r>
    <n v="57"/>
    <x v="4"/>
    <s v="柴油"/>
    <x v="1"/>
    <s v="小型客车"/>
    <s v="城市公交"/>
    <s v="商用车"/>
    <x v="0"/>
    <x v="1"/>
    <n v="4"/>
  </r>
  <r>
    <n v="58"/>
    <x v="5"/>
    <s v="柴油"/>
    <x v="1"/>
    <s v="小型客车"/>
    <s v="城市公交"/>
    <s v="商用车"/>
    <x v="0"/>
    <x v="1"/>
    <n v="310"/>
  </r>
  <r>
    <n v="59"/>
    <x v="6"/>
    <s v="柴油"/>
    <x v="1"/>
    <s v="小型客车"/>
    <s v="城市公交"/>
    <s v="商用车"/>
    <x v="0"/>
    <x v="1"/>
    <n v="16"/>
  </r>
  <r>
    <n v="60"/>
    <x v="4"/>
    <s v="纯电动"/>
    <x v="2"/>
    <s v="小型客车"/>
    <s v="城市公交"/>
    <s v="商用车"/>
    <x v="0"/>
    <x v="1"/>
    <n v="13"/>
  </r>
  <r>
    <n v="61"/>
    <x v="5"/>
    <s v="纯电动"/>
    <x v="2"/>
    <s v="小型客车"/>
    <s v="城市公交"/>
    <s v="商用车"/>
    <x v="0"/>
    <x v="1"/>
    <n v="595"/>
  </r>
  <r>
    <n v="62"/>
    <x v="6"/>
    <s v="纯电动"/>
    <x v="2"/>
    <s v="小型客车"/>
    <s v="城市公交"/>
    <s v="商用车"/>
    <x v="0"/>
    <x v="1"/>
    <n v="9"/>
  </r>
  <r>
    <n v="63"/>
    <x v="1"/>
    <s v="汽油"/>
    <x v="4"/>
    <s v="小型客车"/>
    <s v="城市公交"/>
    <s v="商用车"/>
    <x v="0"/>
    <x v="1"/>
    <n v="203"/>
  </r>
  <r>
    <n v="64"/>
    <x v="2"/>
    <s v="汽油"/>
    <x v="4"/>
    <s v="小型客车"/>
    <s v="城市公交"/>
    <s v="商用车"/>
    <x v="0"/>
    <x v="1"/>
    <n v="46"/>
  </r>
  <r>
    <n v="65"/>
    <x v="3"/>
    <s v="汽油"/>
    <x v="4"/>
    <s v="小型客车"/>
    <s v="城市公交"/>
    <s v="商用车"/>
    <x v="0"/>
    <x v="1"/>
    <n v="176"/>
  </r>
  <r>
    <n v="66"/>
    <x v="4"/>
    <s v="汽油"/>
    <x v="4"/>
    <s v="小型客车"/>
    <s v="城市公交"/>
    <s v="商用车"/>
    <x v="0"/>
    <x v="1"/>
    <n v="92"/>
  </r>
  <r>
    <n v="67"/>
    <x v="5"/>
    <s v="汽油"/>
    <x v="4"/>
    <s v="小型客车"/>
    <s v="城市公交"/>
    <s v="商用车"/>
    <x v="0"/>
    <x v="1"/>
    <n v="106"/>
  </r>
  <r>
    <n v="68"/>
    <x v="6"/>
    <s v="汽油"/>
    <x v="4"/>
    <s v="小型客车"/>
    <s v="城市公交"/>
    <s v="商用车"/>
    <x v="0"/>
    <x v="1"/>
    <n v="34"/>
  </r>
  <r>
    <n v="69"/>
    <x v="1"/>
    <s v="汽油-天然气"/>
    <x v="5"/>
    <s v="小型客车"/>
    <s v="城市公交"/>
    <s v="商用车"/>
    <x v="0"/>
    <x v="1"/>
    <n v="88"/>
  </r>
  <r>
    <n v="70"/>
    <x v="2"/>
    <s v="汽油-天然气"/>
    <x v="5"/>
    <s v="小型客车"/>
    <s v="城市公交"/>
    <s v="商用车"/>
    <x v="0"/>
    <x v="1"/>
    <n v="11"/>
  </r>
  <r>
    <n v="71"/>
    <x v="3"/>
    <s v="汽油-天然气"/>
    <x v="5"/>
    <s v="小型客车"/>
    <s v="城市公交"/>
    <s v="商用车"/>
    <x v="0"/>
    <x v="1"/>
    <n v="60"/>
  </r>
  <r>
    <n v="72"/>
    <x v="4"/>
    <s v="汽油-天然气"/>
    <x v="5"/>
    <s v="小型客车"/>
    <s v="城市公交"/>
    <s v="商用车"/>
    <x v="0"/>
    <x v="1"/>
    <n v="129"/>
  </r>
  <r>
    <n v="73"/>
    <x v="5"/>
    <s v="汽油-天然气"/>
    <x v="5"/>
    <s v="小型客车"/>
    <s v="城市公交"/>
    <s v="商用车"/>
    <x v="0"/>
    <x v="1"/>
    <n v="82"/>
  </r>
  <r>
    <n v="74"/>
    <x v="1"/>
    <s v="天然气"/>
    <x v="5"/>
    <s v="小型客车"/>
    <s v="城市公交"/>
    <s v="商用车"/>
    <x v="0"/>
    <x v="1"/>
    <n v="5"/>
  </r>
  <r>
    <n v="75"/>
    <x v="2"/>
    <s v="天然气"/>
    <x v="5"/>
    <s v="小型客车"/>
    <s v="城市公交"/>
    <s v="商用车"/>
    <x v="0"/>
    <x v="1"/>
    <n v="256"/>
  </r>
  <r>
    <n v="76"/>
    <x v="3"/>
    <s v="天然气"/>
    <x v="5"/>
    <s v="小型客车"/>
    <s v="城市公交"/>
    <s v="商用车"/>
    <x v="0"/>
    <x v="1"/>
    <n v="115"/>
  </r>
  <r>
    <n v="77"/>
    <x v="4"/>
    <s v="天然气"/>
    <x v="5"/>
    <s v="小型客车"/>
    <s v="城市公交"/>
    <s v="商用车"/>
    <x v="0"/>
    <x v="1"/>
    <n v="40"/>
  </r>
  <r>
    <n v="78"/>
    <x v="5"/>
    <s v="天然气"/>
    <x v="5"/>
    <s v="小型客车"/>
    <s v="城市公交"/>
    <s v="商用车"/>
    <x v="0"/>
    <x v="1"/>
    <n v="1"/>
  </r>
  <r>
    <n v="79"/>
    <x v="2"/>
    <s v="柴油"/>
    <x v="1"/>
    <s v="中型货车"/>
    <s v="城市公交"/>
    <s v="商用车"/>
    <x v="0"/>
    <x v="0"/>
    <n v="51"/>
  </r>
  <r>
    <n v="80"/>
    <x v="0"/>
    <s v="纯电动"/>
    <x v="2"/>
    <s v="中型货车"/>
    <s v="城市公交"/>
    <s v="商用车"/>
    <x v="0"/>
    <x v="0"/>
    <n v="2"/>
  </r>
  <r>
    <n v="81"/>
    <x v="2"/>
    <s v="纯电动"/>
    <x v="2"/>
    <s v="中型货车"/>
    <s v="城市公交"/>
    <s v="商用车"/>
    <x v="0"/>
    <x v="0"/>
    <n v="83"/>
  </r>
  <r>
    <n v="82"/>
    <x v="2"/>
    <s v="天然气"/>
    <x v="5"/>
    <s v="中型货车"/>
    <s v="城市公交"/>
    <s v="商用车"/>
    <x v="0"/>
    <x v="0"/>
    <n v="137"/>
  </r>
  <r>
    <n v="83"/>
    <x v="0"/>
    <s v="柴油"/>
    <x v="1"/>
    <s v="中型客车"/>
    <s v="城市公交"/>
    <s v="商用车"/>
    <x v="0"/>
    <x v="0"/>
    <n v="14322"/>
  </r>
  <r>
    <n v="84"/>
    <x v="1"/>
    <s v="柴油"/>
    <x v="1"/>
    <s v="中型客车"/>
    <s v="城市公交"/>
    <s v="商用车"/>
    <x v="0"/>
    <x v="0"/>
    <n v="2173"/>
  </r>
  <r>
    <n v="85"/>
    <x v="2"/>
    <s v="柴油"/>
    <x v="1"/>
    <s v="中型客车"/>
    <s v="城市公交"/>
    <s v="商用车"/>
    <x v="0"/>
    <x v="0"/>
    <n v="1873"/>
  </r>
  <r>
    <n v="86"/>
    <x v="3"/>
    <s v="柴油"/>
    <x v="1"/>
    <s v="中型客车"/>
    <s v="城市公交"/>
    <s v="商用车"/>
    <x v="0"/>
    <x v="0"/>
    <n v="879"/>
  </r>
  <r>
    <n v="87"/>
    <x v="4"/>
    <s v="柴油"/>
    <x v="1"/>
    <s v="中型客车"/>
    <s v="城市公交"/>
    <s v="商用车"/>
    <x v="0"/>
    <x v="0"/>
    <n v="867"/>
  </r>
  <r>
    <n v="88"/>
    <x v="5"/>
    <s v="柴油"/>
    <x v="1"/>
    <s v="中型客车"/>
    <s v="城市公交"/>
    <s v="商用车"/>
    <x v="0"/>
    <x v="0"/>
    <n v="130"/>
  </r>
  <r>
    <n v="89"/>
    <x v="6"/>
    <s v="柴油"/>
    <x v="1"/>
    <s v="中型客车"/>
    <s v="城市公交"/>
    <s v="商用车"/>
    <x v="0"/>
    <x v="0"/>
    <n v="146"/>
  </r>
  <r>
    <n v="90"/>
    <x v="3"/>
    <s v="纯电动"/>
    <x v="2"/>
    <s v="中型客车"/>
    <s v="城市公交"/>
    <s v="商用车"/>
    <x v="0"/>
    <x v="0"/>
    <n v="62"/>
  </r>
  <r>
    <n v="91"/>
    <x v="4"/>
    <s v="纯电动"/>
    <x v="2"/>
    <s v="中型客车"/>
    <s v="城市公交"/>
    <s v="商用车"/>
    <x v="0"/>
    <x v="0"/>
    <n v="1105"/>
  </r>
  <r>
    <n v="92"/>
    <x v="5"/>
    <s v="纯电动"/>
    <x v="2"/>
    <s v="中型客车"/>
    <s v="城市公交"/>
    <s v="商用车"/>
    <x v="0"/>
    <x v="0"/>
    <n v="1093"/>
  </r>
  <r>
    <n v="93"/>
    <x v="6"/>
    <s v="纯电动"/>
    <x v="2"/>
    <s v="中型客车"/>
    <s v="城市公交"/>
    <s v="商用车"/>
    <x v="0"/>
    <x v="0"/>
    <n v="1474"/>
  </r>
  <r>
    <n v="94"/>
    <x v="0"/>
    <s v="汽油"/>
    <x v="4"/>
    <s v="中型客车"/>
    <s v="城市公交"/>
    <s v="商用车"/>
    <x v="0"/>
    <x v="0"/>
    <n v="3092"/>
  </r>
  <r>
    <n v="95"/>
    <x v="1"/>
    <s v="汽油"/>
    <x v="4"/>
    <s v="中型客车"/>
    <s v="城市公交"/>
    <s v="商用车"/>
    <x v="0"/>
    <x v="0"/>
    <n v="39"/>
  </r>
  <r>
    <n v="96"/>
    <x v="2"/>
    <s v="汽油"/>
    <x v="4"/>
    <s v="中型客车"/>
    <s v="城市公交"/>
    <s v="商用车"/>
    <x v="0"/>
    <x v="0"/>
    <n v="73"/>
  </r>
  <r>
    <n v="97"/>
    <x v="3"/>
    <s v="汽油"/>
    <x v="4"/>
    <s v="中型客车"/>
    <s v="城市公交"/>
    <s v="商用车"/>
    <x v="0"/>
    <x v="0"/>
    <n v="31"/>
  </r>
  <r>
    <n v="98"/>
    <x v="4"/>
    <s v="汽油"/>
    <x v="4"/>
    <s v="中型客车"/>
    <s v="城市公交"/>
    <s v="商用车"/>
    <x v="0"/>
    <x v="0"/>
    <n v="145"/>
  </r>
  <r>
    <n v="99"/>
    <x v="5"/>
    <s v="汽油"/>
    <x v="4"/>
    <s v="中型客车"/>
    <s v="城市公交"/>
    <s v="商用车"/>
    <x v="0"/>
    <x v="0"/>
    <n v="37"/>
  </r>
  <r>
    <n v="100"/>
    <x v="6"/>
    <s v="汽油"/>
    <x v="4"/>
    <s v="中型客车"/>
    <s v="城市公交"/>
    <s v="商用车"/>
    <x v="0"/>
    <x v="0"/>
    <n v="45"/>
  </r>
  <r>
    <n v="101"/>
    <x v="0"/>
    <s v="汽油-天然气"/>
    <x v="5"/>
    <s v="中型客车"/>
    <s v="城市公交"/>
    <s v="商用车"/>
    <x v="0"/>
    <x v="0"/>
    <n v="309"/>
  </r>
  <r>
    <n v="102"/>
    <x v="1"/>
    <s v="汽油-天然气"/>
    <x v="5"/>
    <s v="中型客车"/>
    <s v="城市公交"/>
    <s v="商用车"/>
    <x v="0"/>
    <x v="0"/>
    <n v="29"/>
  </r>
  <r>
    <n v="103"/>
    <x v="2"/>
    <s v="汽油-天然气"/>
    <x v="5"/>
    <s v="中型客车"/>
    <s v="城市公交"/>
    <s v="商用车"/>
    <x v="0"/>
    <x v="0"/>
    <n v="46"/>
  </r>
  <r>
    <n v="104"/>
    <x v="5"/>
    <s v="汽油-天然气"/>
    <x v="5"/>
    <s v="中型客车"/>
    <s v="城市公交"/>
    <s v="商用车"/>
    <x v="0"/>
    <x v="0"/>
    <n v="15"/>
  </r>
  <r>
    <n v="105"/>
    <x v="0"/>
    <s v="天然气"/>
    <x v="5"/>
    <s v="中型客车"/>
    <s v="城市公交"/>
    <s v="商用车"/>
    <x v="0"/>
    <x v="0"/>
    <n v="1141"/>
  </r>
  <r>
    <n v="106"/>
    <x v="1"/>
    <s v="天然气"/>
    <x v="5"/>
    <s v="中型客车"/>
    <s v="城市公交"/>
    <s v="商用车"/>
    <x v="0"/>
    <x v="0"/>
    <n v="804"/>
  </r>
  <r>
    <n v="107"/>
    <x v="2"/>
    <s v="天然气"/>
    <x v="5"/>
    <s v="中型客车"/>
    <s v="城市公交"/>
    <s v="商用车"/>
    <x v="0"/>
    <x v="0"/>
    <n v="397"/>
  </r>
  <r>
    <n v="108"/>
    <x v="3"/>
    <s v="天然气"/>
    <x v="5"/>
    <s v="中型客车"/>
    <s v="城市公交"/>
    <s v="商用车"/>
    <x v="0"/>
    <x v="0"/>
    <n v="45"/>
  </r>
  <r>
    <n v="109"/>
    <x v="4"/>
    <s v="天然气"/>
    <x v="5"/>
    <s v="中型客车"/>
    <s v="城市公交"/>
    <s v="商用车"/>
    <x v="0"/>
    <x v="0"/>
    <n v="55"/>
  </r>
  <r>
    <n v="110"/>
    <x v="2"/>
    <s v="插电式混合动力"/>
    <x v="0"/>
    <s v="重型货车"/>
    <s v="城市公交"/>
    <s v="商用车"/>
    <x v="0"/>
    <x v="0"/>
    <n v="52"/>
  </r>
  <r>
    <n v="111"/>
    <x v="2"/>
    <s v="柴油"/>
    <x v="1"/>
    <s v="重型货车"/>
    <s v="城市公交"/>
    <s v="商用车"/>
    <x v="0"/>
    <x v="0"/>
    <n v="1"/>
  </r>
  <r>
    <n v="112"/>
    <x v="2"/>
    <s v="纯电动"/>
    <x v="2"/>
    <s v="重型货车"/>
    <s v="城市公交"/>
    <s v="商用车"/>
    <x v="0"/>
    <x v="0"/>
    <n v="1174"/>
  </r>
  <r>
    <n v="113"/>
    <x v="2"/>
    <s v="混合动力"/>
    <x v="3"/>
    <s v="重型货车"/>
    <s v="城市公交"/>
    <s v="商用车"/>
    <x v="0"/>
    <x v="0"/>
    <n v="120"/>
  </r>
  <r>
    <n v="114"/>
    <x v="2"/>
    <s v="天然气"/>
    <x v="5"/>
    <s v="重型货车"/>
    <s v="城市公交"/>
    <s v="商用车"/>
    <x v="0"/>
    <x v="0"/>
    <n v="340"/>
  </r>
  <r>
    <n v="115"/>
    <x v="0"/>
    <s v="插电式混合动力"/>
    <x v="0"/>
    <s v="大型客车"/>
    <s v="出租租赁"/>
    <s v="商用车"/>
    <x v="1"/>
    <x v="0"/>
    <n v="31"/>
  </r>
  <r>
    <n v="116"/>
    <x v="1"/>
    <s v="插电式混合动力"/>
    <x v="0"/>
    <s v="大型客车"/>
    <s v="出租租赁"/>
    <s v="商用车"/>
    <x v="1"/>
    <x v="0"/>
    <n v="15"/>
  </r>
  <r>
    <n v="117"/>
    <x v="5"/>
    <s v="插电式混合动力"/>
    <x v="0"/>
    <s v="大型客车"/>
    <s v="出租租赁"/>
    <s v="商用车"/>
    <x v="1"/>
    <x v="0"/>
    <n v="1"/>
  </r>
  <r>
    <n v="118"/>
    <x v="0"/>
    <s v="柴油"/>
    <x v="1"/>
    <s v="大型客车"/>
    <s v="出租租赁"/>
    <s v="商用车"/>
    <x v="1"/>
    <x v="0"/>
    <n v="790"/>
  </r>
  <r>
    <n v="119"/>
    <x v="1"/>
    <s v="柴油"/>
    <x v="1"/>
    <s v="大型客车"/>
    <s v="出租租赁"/>
    <s v="商用车"/>
    <x v="1"/>
    <x v="0"/>
    <n v="1034"/>
  </r>
  <r>
    <n v="120"/>
    <x v="2"/>
    <s v="柴油"/>
    <x v="1"/>
    <s v="大型客车"/>
    <s v="出租租赁"/>
    <s v="商用车"/>
    <x v="1"/>
    <x v="0"/>
    <n v="1483"/>
  </r>
  <r>
    <n v="121"/>
    <x v="3"/>
    <s v="柴油"/>
    <x v="1"/>
    <s v="大型客车"/>
    <s v="出租租赁"/>
    <s v="商用车"/>
    <x v="1"/>
    <x v="0"/>
    <n v="621"/>
  </r>
  <r>
    <n v="122"/>
    <x v="4"/>
    <s v="柴油"/>
    <x v="1"/>
    <s v="大型客车"/>
    <s v="出租租赁"/>
    <s v="商用车"/>
    <x v="1"/>
    <x v="0"/>
    <n v="544"/>
  </r>
  <r>
    <n v="123"/>
    <x v="5"/>
    <s v="柴油"/>
    <x v="1"/>
    <s v="大型客车"/>
    <s v="出租租赁"/>
    <s v="商用车"/>
    <x v="1"/>
    <x v="0"/>
    <n v="228"/>
  </r>
  <r>
    <n v="124"/>
    <x v="6"/>
    <s v="柴油"/>
    <x v="1"/>
    <s v="大型客车"/>
    <s v="出租租赁"/>
    <s v="商用车"/>
    <x v="1"/>
    <x v="0"/>
    <n v="216"/>
  </r>
  <r>
    <n v="125"/>
    <x v="0"/>
    <s v="纯电动"/>
    <x v="2"/>
    <s v="大型客车"/>
    <s v="出租租赁"/>
    <s v="商用车"/>
    <x v="1"/>
    <x v="0"/>
    <n v="4611"/>
  </r>
  <r>
    <n v="126"/>
    <x v="1"/>
    <s v="纯电动"/>
    <x v="2"/>
    <s v="大型客车"/>
    <s v="出租租赁"/>
    <s v="商用车"/>
    <x v="1"/>
    <x v="0"/>
    <n v="2577"/>
  </r>
  <r>
    <n v="127"/>
    <x v="2"/>
    <s v="纯电动"/>
    <x v="2"/>
    <s v="大型客车"/>
    <s v="出租租赁"/>
    <s v="商用车"/>
    <x v="1"/>
    <x v="0"/>
    <n v="445"/>
  </r>
  <r>
    <n v="128"/>
    <x v="3"/>
    <s v="纯电动"/>
    <x v="2"/>
    <s v="大型客车"/>
    <s v="出租租赁"/>
    <s v="商用车"/>
    <x v="1"/>
    <x v="0"/>
    <n v="199"/>
  </r>
  <r>
    <n v="129"/>
    <x v="4"/>
    <s v="纯电动"/>
    <x v="2"/>
    <s v="大型客车"/>
    <s v="出租租赁"/>
    <s v="商用车"/>
    <x v="1"/>
    <x v="0"/>
    <n v="78"/>
  </r>
  <r>
    <n v="130"/>
    <x v="5"/>
    <s v="纯电动"/>
    <x v="2"/>
    <s v="大型客车"/>
    <s v="出租租赁"/>
    <s v="商用车"/>
    <x v="1"/>
    <x v="0"/>
    <n v="45"/>
  </r>
  <r>
    <n v="131"/>
    <x v="6"/>
    <s v="纯电动"/>
    <x v="2"/>
    <s v="大型客车"/>
    <s v="出租租赁"/>
    <s v="商用车"/>
    <x v="1"/>
    <x v="0"/>
    <n v="87"/>
  </r>
  <r>
    <n v="132"/>
    <x v="0"/>
    <s v="汽油"/>
    <x v="4"/>
    <s v="大型客车"/>
    <s v="出租租赁"/>
    <s v="商用车"/>
    <x v="1"/>
    <x v="0"/>
    <n v="37"/>
  </r>
  <r>
    <n v="133"/>
    <x v="1"/>
    <s v="汽油"/>
    <x v="4"/>
    <s v="大型客车"/>
    <s v="出租租赁"/>
    <s v="商用车"/>
    <x v="1"/>
    <x v="0"/>
    <n v="121"/>
  </r>
  <r>
    <n v="134"/>
    <x v="2"/>
    <s v="汽油"/>
    <x v="4"/>
    <s v="大型客车"/>
    <s v="出租租赁"/>
    <s v="商用车"/>
    <x v="1"/>
    <x v="0"/>
    <n v="254"/>
  </r>
  <r>
    <n v="135"/>
    <x v="3"/>
    <s v="汽油"/>
    <x v="4"/>
    <s v="大型客车"/>
    <s v="出租租赁"/>
    <s v="商用车"/>
    <x v="1"/>
    <x v="0"/>
    <n v="45"/>
  </r>
  <r>
    <n v="136"/>
    <x v="4"/>
    <s v="汽油"/>
    <x v="4"/>
    <s v="大型客车"/>
    <s v="出租租赁"/>
    <s v="商用车"/>
    <x v="1"/>
    <x v="0"/>
    <n v="105"/>
  </r>
  <r>
    <n v="137"/>
    <x v="5"/>
    <s v="汽油"/>
    <x v="4"/>
    <s v="大型客车"/>
    <s v="出租租赁"/>
    <s v="商用车"/>
    <x v="1"/>
    <x v="0"/>
    <n v="23"/>
  </r>
  <r>
    <n v="138"/>
    <x v="6"/>
    <s v="汽油"/>
    <x v="4"/>
    <s v="大型客车"/>
    <s v="出租租赁"/>
    <s v="商用车"/>
    <x v="1"/>
    <x v="0"/>
    <n v="42"/>
  </r>
  <r>
    <n v="139"/>
    <x v="1"/>
    <s v="汽油-天然气"/>
    <x v="5"/>
    <s v="大型客车"/>
    <s v="出租租赁"/>
    <s v="商用车"/>
    <x v="1"/>
    <x v="0"/>
    <n v="5"/>
  </r>
  <r>
    <n v="140"/>
    <x v="5"/>
    <s v="燃料电池"/>
    <x v="6"/>
    <s v="大型客车"/>
    <s v="出租租赁"/>
    <s v="商用车"/>
    <x v="1"/>
    <x v="0"/>
    <n v="10"/>
  </r>
  <r>
    <n v="141"/>
    <x v="6"/>
    <s v="燃料电池"/>
    <x v="6"/>
    <s v="大型客车"/>
    <s v="出租租赁"/>
    <s v="商用车"/>
    <x v="1"/>
    <x v="0"/>
    <n v="20"/>
  </r>
  <r>
    <n v="142"/>
    <x v="0"/>
    <s v="天然气"/>
    <x v="5"/>
    <s v="大型客车"/>
    <s v="出租租赁"/>
    <s v="商用车"/>
    <x v="1"/>
    <x v="0"/>
    <n v="48"/>
  </r>
  <r>
    <n v="143"/>
    <x v="1"/>
    <s v="天然气"/>
    <x v="5"/>
    <s v="大型客车"/>
    <s v="出租租赁"/>
    <s v="商用车"/>
    <x v="1"/>
    <x v="0"/>
    <n v="8"/>
  </r>
  <r>
    <n v="144"/>
    <x v="2"/>
    <s v="天然气"/>
    <x v="5"/>
    <s v="大型客车"/>
    <s v="出租租赁"/>
    <s v="商用车"/>
    <x v="1"/>
    <x v="0"/>
    <n v="6"/>
  </r>
  <r>
    <n v="145"/>
    <x v="3"/>
    <s v="天然气"/>
    <x v="5"/>
    <s v="大型客车"/>
    <s v="出租租赁"/>
    <s v="商用车"/>
    <x v="1"/>
    <x v="0"/>
    <n v="29"/>
  </r>
  <r>
    <n v="146"/>
    <x v="0"/>
    <s v="柴油"/>
    <x v="1"/>
    <s v="轻型货车"/>
    <s v="出租租赁"/>
    <s v="商用车"/>
    <x v="2"/>
    <x v="2"/>
    <n v="103"/>
  </r>
  <r>
    <n v="147"/>
    <x v="1"/>
    <s v="柴油"/>
    <x v="1"/>
    <s v="轻型货车"/>
    <s v="出租租赁"/>
    <s v="商用车"/>
    <x v="2"/>
    <x v="2"/>
    <n v="19"/>
  </r>
  <r>
    <n v="148"/>
    <x v="2"/>
    <s v="柴油"/>
    <x v="1"/>
    <s v="轻型货车"/>
    <s v="出租租赁"/>
    <s v="商用车"/>
    <x v="2"/>
    <x v="2"/>
    <n v="5"/>
  </r>
  <r>
    <n v="149"/>
    <x v="3"/>
    <s v="柴油"/>
    <x v="1"/>
    <s v="轻型货车"/>
    <s v="出租租赁"/>
    <s v="商用车"/>
    <x v="2"/>
    <x v="2"/>
    <n v="19"/>
  </r>
  <r>
    <n v="150"/>
    <x v="4"/>
    <s v="柴油"/>
    <x v="1"/>
    <s v="轻型货车"/>
    <s v="出租租赁"/>
    <s v="商用车"/>
    <x v="2"/>
    <x v="2"/>
    <n v="42"/>
  </r>
  <r>
    <n v="151"/>
    <x v="5"/>
    <s v="柴油"/>
    <x v="1"/>
    <s v="轻型货车"/>
    <s v="出租租赁"/>
    <s v="商用车"/>
    <x v="2"/>
    <x v="2"/>
    <n v="20"/>
  </r>
  <r>
    <n v="152"/>
    <x v="6"/>
    <s v="柴油"/>
    <x v="1"/>
    <s v="轻型货车"/>
    <s v="出租租赁"/>
    <s v="商用车"/>
    <x v="2"/>
    <x v="2"/>
    <n v="10"/>
  </r>
  <r>
    <n v="153"/>
    <x v="0"/>
    <s v="纯电动"/>
    <x v="2"/>
    <s v="轻型货车"/>
    <s v="出租租赁"/>
    <s v="商用车"/>
    <x v="2"/>
    <x v="2"/>
    <n v="283"/>
  </r>
  <r>
    <n v="154"/>
    <x v="3"/>
    <s v="纯电动"/>
    <x v="2"/>
    <s v="轻型货车"/>
    <s v="出租租赁"/>
    <s v="商用车"/>
    <x v="2"/>
    <x v="2"/>
    <n v="1"/>
  </r>
  <r>
    <n v="155"/>
    <x v="0"/>
    <s v="汽油"/>
    <x v="4"/>
    <s v="轻型货车"/>
    <s v="出租租赁"/>
    <s v="商用车"/>
    <x v="2"/>
    <x v="2"/>
    <n v="51"/>
  </r>
  <r>
    <n v="156"/>
    <x v="1"/>
    <s v="汽油"/>
    <x v="4"/>
    <s v="轻型货车"/>
    <s v="出租租赁"/>
    <s v="商用车"/>
    <x v="2"/>
    <x v="2"/>
    <n v="1"/>
  </r>
  <r>
    <n v="157"/>
    <x v="2"/>
    <s v="汽油"/>
    <x v="4"/>
    <s v="轻型货车"/>
    <s v="出租租赁"/>
    <s v="商用车"/>
    <x v="2"/>
    <x v="2"/>
    <n v="15"/>
  </r>
  <r>
    <n v="158"/>
    <x v="3"/>
    <s v="汽油"/>
    <x v="4"/>
    <s v="轻型货车"/>
    <s v="出租租赁"/>
    <s v="商用车"/>
    <x v="2"/>
    <x v="2"/>
    <n v="2"/>
  </r>
  <r>
    <n v="159"/>
    <x v="4"/>
    <s v="汽油"/>
    <x v="4"/>
    <s v="轻型货车"/>
    <s v="出租租赁"/>
    <s v="商用车"/>
    <x v="2"/>
    <x v="2"/>
    <n v="8"/>
  </r>
  <r>
    <n v="160"/>
    <x v="5"/>
    <s v="汽油"/>
    <x v="4"/>
    <s v="轻型货车"/>
    <s v="出租租赁"/>
    <s v="商用车"/>
    <x v="2"/>
    <x v="2"/>
    <n v="4"/>
  </r>
  <r>
    <n v="161"/>
    <x v="6"/>
    <s v="汽油"/>
    <x v="4"/>
    <s v="轻型货车"/>
    <s v="出租租赁"/>
    <s v="商用车"/>
    <x v="2"/>
    <x v="2"/>
    <n v="2"/>
  </r>
  <r>
    <n v="162"/>
    <x v="0"/>
    <s v="汽油-天然气"/>
    <x v="5"/>
    <s v="轻型货车"/>
    <s v="出租租赁"/>
    <s v="商用车"/>
    <x v="2"/>
    <x v="2"/>
    <n v="1"/>
  </r>
  <r>
    <n v="163"/>
    <x v="0"/>
    <s v="柴油"/>
    <x v="1"/>
    <s v="未知"/>
    <s v="出租租赁"/>
    <s v="商用车"/>
    <x v="1"/>
    <x v="0"/>
    <n v="54"/>
  </r>
  <r>
    <n v="164"/>
    <x v="0"/>
    <s v="纯电动"/>
    <x v="2"/>
    <s v="未知"/>
    <s v="出租租赁"/>
    <s v="商用车"/>
    <x v="1"/>
    <x v="0"/>
    <n v="2"/>
  </r>
  <r>
    <n v="165"/>
    <x v="0"/>
    <s v="汽油"/>
    <x v="4"/>
    <s v="未知"/>
    <s v="出租租赁"/>
    <s v="商用车"/>
    <x v="1"/>
    <x v="0"/>
    <n v="1124"/>
  </r>
  <r>
    <n v="166"/>
    <x v="0"/>
    <s v="汽油-天然气"/>
    <x v="5"/>
    <s v="未知"/>
    <s v="出租租赁"/>
    <s v="商用车"/>
    <x v="1"/>
    <x v="0"/>
    <n v="1"/>
  </r>
  <r>
    <n v="167"/>
    <x v="0"/>
    <s v="无"/>
    <x v="7"/>
    <s v="未知"/>
    <s v="出租租赁"/>
    <s v="商用车"/>
    <x v="1"/>
    <x v="0"/>
    <n v="38"/>
  </r>
  <r>
    <n v="168"/>
    <x v="0"/>
    <s v="柴油"/>
    <x v="1"/>
    <s v="小型客车"/>
    <s v="出租租赁"/>
    <s v="商用车"/>
    <x v="3"/>
    <x v="1"/>
    <n v="96"/>
  </r>
  <r>
    <n v="169"/>
    <x v="1"/>
    <s v="柴油"/>
    <x v="1"/>
    <s v="小型客车"/>
    <s v="出租租赁"/>
    <s v="商用车"/>
    <x v="3"/>
    <x v="1"/>
    <n v="63"/>
  </r>
  <r>
    <n v="170"/>
    <x v="2"/>
    <s v="柴油"/>
    <x v="1"/>
    <s v="小型客车"/>
    <s v="出租租赁"/>
    <s v="商用车"/>
    <x v="3"/>
    <x v="1"/>
    <n v="1995"/>
  </r>
  <r>
    <n v="171"/>
    <x v="3"/>
    <s v="柴油"/>
    <x v="1"/>
    <s v="小型客车"/>
    <s v="出租租赁"/>
    <s v="商用车"/>
    <x v="3"/>
    <x v="1"/>
    <n v="225"/>
  </r>
  <r>
    <n v="172"/>
    <x v="4"/>
    <s v="柴油"/>
    <x v="1"/>
    <s v="小型客车"/>
    <s v="出租租赁"/>
    <s v="商用车"/>
    <x v="3"/>
    <x v="1"/>
    <n v="279"/>
  </r>
  <r>
    <n v="173"/>
    <x v="5"/>
    <s v="柴油"/>
    <x v="1"/>
    <s v="小型客车"/>
    <s v="出租租赁"/>
    <s v="商用车"/>
    <x v="3"/>
    <x v="1"/>
    <n v="518"/>
  </r>
  <r>
    <n v="174"/>
    <x v="6"/>
    <s v="柴油"/>
    <x v="1"/>
    <s v="小型客车"/>
    <s v="出租租赁"/>
    <s v="商用车"/>
    <x v="3"/>
    <x v="1"/>
    <n v="414"/>
  </r>
  <r>
    <n v="175"/>
    <x v="0"/>
    <s v="纯电动"/>
    <x v="2"/>
    <s v="小型客车"/>
    <s v="出租租赁"/>
    <s v="商用车"/>
    <x v="3"/>
    <x v="1"/>
    <n v="48"/>
  </r>
  <r>
    <n v="176"/>
    <x v="5"/>
    <s v="纯电动"/>
    <x v="2"/>
    <s v="小型客车"/>
    <s v="出租租赁"/>
    <s v="商用车"/>
    <x v="3"/>
    <x v="1"/>
    <n v="2"/>
  </r>
  <r>
    <n v="177"/>
    <x v="0"/>
    <s v="汽油"/>
    <x v="4"/>
    <s v="小型客车"/>
    <s v="出租租赁"/>
    <s v="商用车"/>
    <x v="3"/>
    <x v="1"/>
    <n v="52"/>
  </r>
  <r>
    <n v="178"/>
    <x v="1"/>
    <s v="汽油"/>
    <x v="4"/>
    <s v="小型客车"/>
    <s v="出租租赁"/>
    <s v="商用车"/>
    <x v="3"/>
    <x v="1"/>
    <n v="99"/>
  </r>
  <r>
    <n v="179"/>
    <x v="2"/>
    <s v="汽油"/>
    <x v="4"/>
    <s v="小型客车"/>
    <s v="出租租赁"/>
    <s v="商用车"/>
    <x v="3"/>
    <x v="1"/>
    <n v="651"/>
  </r>
  <r>
    <n v="180"/>
    <x v="3"/>
    <s v="汽油"/>
    <x v="4"/>
    <s v="小型客车"/>
    <s v="出租租赁"/>
    <s v="商用车"/>
    <x v="3"/>
    <x v="1"/>
    <n v="91"/>
  </r>
  <r>
    <n v="181"/>
    <x v="4"/>
    <s v="汽油"/>
    <x v="4"/>
    <s v="小型客车"/>
    <s v="出租租赁"/>
    <s v="商用车"/>
    <x v="3"/>
    <x v="1"/>
    <n v="59"/>
  </r>
  <r>
    <n v="182"/>
    <x v="5"/>
    <s v="汽油"/>
    <x v="4"/>
    <s v="小型客车"/>
    <s v="出租租赁"/>
    <s v="商用车"/>
    <x v="3"/>
    <x v="1"/>
    <n v="56"/>
  </r>
  <r>
    <n v="183"/>
    <x v="6"/>
    <s v="汽油"/>
    <x v="4"/>
    <s v="小型客车"/>
    <s v="出租租赁"/>
    <s v="商用车"/>
    <x v="3"/>
    <x v="1"/>
    <n v="53"/>
  </r>
  <r>
    <n v="184"/>
    <x v="1"/>
    <s v="汽油-天然气"/>
    <x v="5"/>
    <s v="小型客车"/>
    <s v="出租租赁"/>
    <s v="商用车"/>
    <x v="3"/>
    <x v="1"/>
    <n v="9"/>
  </r>
  <r>
    <n v="185"/>
    <x v="4"/>
    <s v="汽油-天然气"/>
    <x v="5"/>
    <s v="小型客车"/>
    <s v="出租租赁"/>
    <s v="商用车"/>
    <x v="3"/>
    <x v="1"/>
    <n v="3"/>
  </r>
  <r>
    <n v="186"/>
    <x v="0"/>
    <s v="柴油"/>
    <x v="1"/>
    <s v="中型货车"/>
    <s v="出租租赁"/>
    <s v="商用车"/>
    <x v="4"/>
    <x v="3"/>
    <n v="277"/>
  </r>
  <r>
    <n v="187"/>
    <x v="2"/>
    <s v="柴油"/>
    <x v="1"/>
    <s v="中型货车"/>
    <s v="出租租赁"/>
    <s v="商用车"/>
    <x v="4"/>
    <x v="3"/>
    <n v="6"/>
  </r>
  <r>
    <n v="188"/>
    <x v="0"/>
    <s v="柴油"/>
    <x v="1"/>
    <s v="中型客车"/>
    <s v="出租租赁"/>
    <s v="商用车"/>
    <x v="1"/>
    <x v="0"/>
    <n v="459"/>
  </r>
  <r>
    <n v="189"/>
    <x v="1"/>
    <s v="柴油"/>
    <x v="1"/>
    <s v="中型客车"/>
    <s v="出租租赁"/>
    <s v="商用车"/>
    <x v="1"/>
    <x v="0"/>
    <n v="376"/>
  </r>
  <r>
    <n v="190"/>
    <x v="2"/>
    <s v="柴油"/>
    <x v="1"/>
    <s v="中型客车"/>
    <s v="出租租赁"/>
    <s v="商用车"/>
    <x v="1"/>
    <x v="0"/>
    <n v="451"/>
  </r>
  <r>
    <n v="191"/>
    <x v="3"/>
    <s v="柴油"/>
    <x v="1"/>
    <s v="中型客车"/>
    <s v="出租租赁"/>
    <s v="商用车"/>
    <x v="1"/>
    <x v="0"/>
    <n v="124"/>
  </r>
  <r>
    <n v="192"/>
    <x v="4"/>
    <s v="柴油"/>
    <x v="1"/>
    <s v="中型客车"/>
    <s v="出租租赁"/>
    <s v="商用车"/>
    <x v="1"/>
    <x v="0"/>
    <n v="108"/>
  </r>
  <r>
    <n v="193"/>
    <x v="5"/>
    <s v="柴油"/>
    <x v="1"/>
    <s v="中型客车"/>
    <s v="出租租赁"/>
    <s v="商用车"/>
    <x v="1"/>
    <x v="0"/>
    <n v="47"/>
  </r>
  <r>
    <n v="194"/>
    <x v="6"/>
    <s v="柴油"/>
    <x v="1"/>
    <s v="中型客车"/>
    <s v="出租租赁"/>
    <s v="商用车"/>
    <x v="1"/>
    <x v="0"/>
    <n v="54"/>
  </r>
  <r>
    <n v="195"/>
    <x v="5"/>
    <s v="纯电动"/>
    <x v="2"/>
    <s v="中型客车"/>
    <s v="出租租赁"/>
    <s v="商用车"/>
    <x v="1"/>
    <x v="0"/>
    <n v="3"/>
  </r>
  <r>
    <n v="196"/>
    <x v="6"/>
    <s v="纯电动"/>
    <x v="2"/>
    <s v="中型客车"/>
    <s v="出租租赁"/>
    <s v="商用车"/>
    <x v="1"/>
    <x v="0"/>
    <n v="9"/>
  </r>
  <r>
    <n v="197"/>
    <x v="0"/>
    <s v="汽油"/>
    <x v="4"/>
    <s v="中型客车"/>
    <s v="出租租赁"/>
    <s v="商用车"/>
    <x v="1"/>
    <x v="0"/>
    <n v="76"/>
  </r>
  <r>
    <n v="198"/>
    <x v="1"/>
    <s v="汽油"/>
    <x v="4"/>
    <s v="中型客车"/>
    <s v="出租租赁"/>
    <s v="商用车"/>
    <x v="1"/>
    <x v="0"/>
    <n v="101"/>
  </r>
  <r>
    <n v="199"/>
    <x v="2"/>
    <s v="汽油"/>
    <x v="4"/>
    <s v="中型客车"/>
    <s v="出租租赁"/>
    <s v="商用车"/>
    <x v="1"/>
    <x v="0"/>
    <n v="220"/>
  </r>
  <r>
    <n v="200"/>
    <x v="3"/>
    <s v="汽油"/>
    <x v="4"/>
    <s v="中型客车"/>
    <s v="出租租赁"/>
    <s v="商用车"/>
    <x v="1"/>
    <x v="0"/>
    <n v="75"/>
  </r>
  <r>
    <n v="201"/>
    <x v="4"/>
    <s v="汽油"/>
    <x v="4"/>
    <s v="中型客车"/>
    <s v="出租租赁"/>
    <s v="商用车"/>
    <x v="1"/>
    <x v="0"/>
    <n v="27"/>
  </r>
  <r>
    <n v="202"/>
    <x v="5"/>
    <s v="汽油"/>
    <x v="4"/>
    <s v="中型客车"/>
    <s v="出租租赁"/>
    <s v="商用车"/>
    <x v="1"/>
    <x v="0"/>
    <n v="1"/>
  </r>
  <r>
    <n v="203"/>
    <x v="6"/>
    <s v="汽油"/>
    <x v="4"/>
    <s v="中型客车"/>
    <s v="出租租赁"/>
    <s v="商用车"/>
    <x v="1"/>
    <x v="0"/>
    <n v="12"/>
  </r>
  <r>
    <n v="204"/>
    <x v="1"/>
    <s v="天然气"/>
    <x v="5"/>
    <s v="中型客车"/>
    <s v="出租租赁"/>
    <s v="商用车"/>
    <x v="1"/>
    <x v="0"/>
    <n v="2"/>
  </r>
  <r>
    <n v="205"/>
    <x v="0"/>
    <s v="柴油"/>
    <x v="1"/>
    <s v="重型货车"/>
    <s v="出租租赁"/>
    <s v="商用车"/>
    <x v="4"/>
    <x v="3"/>
    <n v="646"/>
  </r>
  <r>
    <n v="206"/>
    <x v="1"/>
    <s v="柴油"/>
    <x v="1"/>
    <s v="重型货车"/>
    <s v="出租租赁"/>
    <s v="商用车"/>
    <x v="4"/>
    <x v="3"/>
    <n v="1"/>
  </r>
  <r>
    <n v="207"/>
    <x v="2"/>
    <s v="柴油"/>
    <x v="1"/>
    <s v="重型货车"/>
    <s v="出租租赁"/>
    <s v="商用车"/>
    <x v="4"/>
    <x v="3"/>
    <n v="1"/>
  </r>
  <r>
    <n v="208"/>
    <x v="4"/>
    <s v="柴油"/>
    <x v="1"/>
    <s v="重型货车"/>
    <s v="出租租赁"/>
    <s v="商用车"/>
    <x v="4"/>
    <x v="3"/>
    <n v="1"/>
  </r>
  <r>
    <n v="209"/>
    <x v="5"/>
    <s v="柴油"/>
    <x v="1"/>
    <s v="重型货车"/>
    <s v="出租租赁"/>
    <s v="商用车"/>
    <x v="4"/>
    <x v="3"/>
    <n v="2"/>
  </r>
  <r>
    <n v="210"/>
    <x v="0"/>
    <s v="插电式混合动力"/>
    <x v="0"/>
    <s v="大型客车"/>
    <s v="非营运"/>
    <s v="商用车"/>
    <x v="1"/>
    <x v="0"/>
    <n v="375"/>
  </r>
  <r>
    <n v="211"/>
    <x v="1"/>
    <s v="插电式混合动力"/>
    <x v="0"/>
    <s v="大型客车"/>
    <s v="非营运"/>
    <s v="商用车"/>
    <x v="1"/>
    <x v="0"/>
    <n v="532"/>
  </r>
  <r>
    <n v="212"/>
    <x v="2"/>
    <s v="插电式混合动力"/>
    <x v="0"/>
    <s v="大型客车"/>
    <s v="非营运"/>
    <s v="商用车"/>
    <x v="1"/>
    <x v="0"/>
    <n v="434"/>
  </r>
  <r>
    <n v="213"/>
    <x v="3"/>
    <s v="插电式混合动力"/>
    <x v="0"/>
    <s v="大型客车"/>
    <s v="非营运"/>
    <s v="商用车"/>
    <x v="1"/>
    <x v="0"/>
    <n v="64"/>
  </r>
  <r>
    <n v="214"/>
    <x v="4"/>
    <s v="插电式混合动力"/>
    <x v="0"/>
    <s v="大型客车"/>
    <s v="非营运"/>
    <s v="商用车"/>
    <x v="1"/>
    <x v="0"/>
    <n v="4"/>
  </r>
  <r>
    <n v="215"/>
    <x v="5"/>
    <s v="插电式混合动力"/>
    <x v="0"/>
    <s v="大型客车"/>
    <s v="非营运"/>
    <s v="商用车"/>
    <x v="1"/>
    <x v="0"/>
    <n v="4"/>
  </r>
  <r>
    <n v="216"/>
    <x v="6"/>
    <s v="插电式混合动力"/>
    <x v="0"/>
    <s v="大型客车"/>
    <s v="非营运"/>
    <s v="商用车"/>
    <x v="1"/>
    <x v="0"/>
    <n v="2"/>
  </r>
  <r>
    <n v="217"/>
    <x v="0"/>
    <s v="柴油"/>
    <x v="1"/>
    <s v="大型客车"/>
    <s v="非营运"/>
    <s v="商用车"/>
    <x v="1"/>
    <x v="0"/>
    <n v="15323"/>
  </r>
  <r>
    <n v="218"/>
    <x v="1"/>
    <s v="柴油"/>
    <x v="1"/>
    <s v="大型客车"/>
    <s v="非营运"/>
    <s v="商用车"/>
    <x v="1"/>
    <x v="0"/>
    <n v="24796"/>
  </r>
  <r>
    <n v="219"/>
    <x v="2"/>
    <s v="柴油"/>
    <x v="1"/>
    <s v="大型客车"/>
    <s v="非营运"/>
    <s v="商用车"/>
    <x v="1"/>
    <x v="0"/>
    <n v="20316"/>
  </r>
  <r>
    <n v="220"/>
    <x v="3"/>
    <s v="柴油"/>
    <x v="1"/>
    <s v="大型客车"/>
    <s v="非营运"/>
    <s v="商用车"/>
    <x v="1"/>
    <x v="0"/>
    <n v="26773"/>
  </r>
  <r>
    <n v="221"/>
    <x v="4"/>
    <s v="柴油"/>
    <x v="1"/>
    <s v="大型客车"/>
    <s v="非营运"/>
    <s v="商用车"/>
    <x v="1"/>
    <x v="0"/>
    <n v="17340"/>
  </r>
  <r>
    <n v="222"/>
    <x v="5"/>
    <s v="柴油"/>
    <x v="1"/>
    <s v="大型客车"/>
    <s v="非营运"/>
    <s v="商用车"/>
    <x v="1"/>
    <x v="0"/>
    <n v="13091"/>
  </r>
  <r>
    <n v="223"/>
    <x v="6"/>
    <s v="柴油"/>
    <x v="1"/>
    <s v="大型客车"/>
    <s v="非营运"/>
    <s v="商用车"/>
    <x v="1"/>
    <x v="0"/>
    <n v="14370"/>
  </r>
  <r>
    <n v="224"/>
    <x v="0"/>
    <s v="纯电动"/>
    <x v="2"/>
    <s v="大型客车"/>
    <s v="非营运"/>
    <s v="商用车"/>
    <x v="1"/>
    <x v="0"/>
    <n v="31331"/>
  </r>
  <r>
    <n v="225"/>
    <x v="1"/>
    <s v="纯电动"/>
    <x v="2"/>
    <s v="大型客车"/>
    <s v="非营运"/>
    <s v="商用车"/>
    <x v="1"/>
    <x v="0"/>
    <n v="23628"/>
  </r>
  <r>
    <n v="226"/>
    <x v="2"/>
    <s v="纯电动"/>
    <x v="2"/>
    <s v="大型客车"/>
    <s v="非营运"/>
    <s v="商用车"/>
    <x v="1"/>
    <x v="0"/>
    <n v="11332"/>
  </r>
  <r>
    <n v="227"/>
    <x v="3"/>
    <s v="纯电动"/>
    <x v="2"/>
    <s v="大型客车"/>
    <s v="非营运"/>
    <s v="商用车"/>
    <x v="1"/>
    <x v="0"/>
    <n v="2929"/>
  </r>
  <r>
    <n v="228"/>
    <x v="4"/>
    <s v="纯电动"/>
    <x v="2"/>
    <s v="大型客车"/>
    <s v="非营运"/>
    <s v="商用车"/>
    <x v="1"/>
    <x v="0"/>
    <n v="1535"/>
  </r>
  <r>
    <n v="229"/>
    <x v="5"/>
    <s v="纯电动"/>
    <x v="2"/>
    <s v="大型客车"/>
    <s v="非营运"/>
    <s v="商用车"/>
    <x v="1"/>
    <x v="0"/>
    <n v="667"/>
  </r>
  <r>
    <n v="230"/>
    <x v="6"/>
    <s v="纯电动"/>
    <x v="2"/>
    <s v="大型客车"/>
    <s v="非营运"/>
    <s v="商用车"/>
    <x v="1"/>
    <x v="0"/>
    <n v="1144"/>
  </r>
  <r>
    <n v="231"/>
    <x v="0"/>
    <s v="混合动力"/>
    <x v="3"/>
    <s v="大型客车"/>
    <s v="非营运"/>
    <s v="商用车"/>
    <x v="1"/>
    <x v="0"/>
    <n v="327"/>
  </r>
  <r>
    <n v="232"/>
    <x v="1"/>
    <s v="混合动力"/>
    <x v="3"/>
    <s v="大型客车"/>
    <s v="非营运"/>
    <s v="商用车"/>
    <x v="1"/>
    <x v="0"/>
    <n v="473"/>
  </r>
  <r>
    <n v="233"/>
    <x v="2"/>
    <s v="混合动力"/>
    <x v="3"/>
    <s v="大型客车"/>
    <s v="非营运"/>
    <s v="商用车"/>
    <x v="1"/>
    <x v="0"/>
    <n v="4"/>
  </r>
  <r>
    <n v="234"/>
    <x v="3"/>
    <s v="混合动力"/>
    <x v="3"/>
    <s v="大型客车"/>
    <s v="非营运"/>
    <s v="商用车"/>
    <x v="1"/>
    <x v="0"/>
    <n v="11"/>
  </r>
  <r>
    <n v="235"/>
    <x v="3"/>
    <s v="甲醇"/>
    <x v="8"/>
    <s v="大型客车"/>
    <s v="非营运"/>
    <s v="商用车"/>
    <x v="1"/>
    <x v="0"/>
    <n v="5"/>
  </r>
  <r>
    <n v="236"/>
    <x v="0"/>
    <s v="汽油"/>
    <x v="4"/>
    <s v="大型客车"/>
    <s v="非营运"/>
    <s v="商用车"/>
    <x v="1"/>
    <x v="0"/>
    <n v="2433"/>
  </r>
  <r>
    <n v="237"/>
    <x v="1"/>
    <s v="汽油"/>
    <x v="4"/>
    <s v="大型客车"/>
    <s v="非营运"/>
    <s v="商用车"/>
    <x v="1"/>
    <x v="0"/>
    <n v="2899"/>
  </r>
  <r>
    <n v="238"/>
    <x v="2"/>
    <s v="汽油"/>
    <x v="4"/>
    <s v="大型客车"/>
    <s v="非营运"/>
    <s v="商用车"/>
    <x v="1"/>
    <x v="0"/>
    <n v="3287"/>
  </r>
  <r>
    <n v="239"/>
    <x v="3"/>
    <s v="汽油"/>
    <x v="4"/>
    <s v="大型客车"/>
    <s v="非营运"/>
    <s v="商用车"/>
    <x v="1"/>
    <x v="0"/>
    <n v="4521"/>
  </r>
  <r>
    <n v="240"/>
    <x v="4"/>
    <s v="汽油"/>
    <x v="4"/>
    <s v="大型客车"/>
    <s v="非营运"/>
    <s v="商用车"/>
    <x v="1"/>
    <x v="0"/>
    <n v="3842"/>
  </r>
  <r>
    <n v="241"/>
    <x v="5"/>
    <s v="汽油"/>
    <x v="4"/>
    <s v="大型客车"/>
    <s v="非营运"/>
    <s v="商用车"/>
    <x v="1"/>
    <x v="0"/>
    <n v="3107"/>
  </r>
  <r>
    <n v="242"/>
    <x v="6"/>
    <s v="汽油"/>
    <x v="4"/>
    <s v="大型客车"/>
    <s v="非营运"/>
    <s v="商用车"/>
    <x v="1"/>
    <x v="0"/>
    <n v="3378"/>
  </r>
  <r>
    <n v="243"/>
    <x v="1"/>
    <s v="汽油-天然气"/>
    <x v="5"/>
    <s v="大型客车"/>
    <s v="非营运"/>
    <s v="商用车"/>
    <x v="1"/>
    <x v="0"/>
    <n v="6"/>
  </r>
  <r>
    <n v="244"/>
    <x v="1"/>
    <s v="燃料电池"/>
    <x v="6"/>
    <s v="大型客车"/>
    <s v="非营运"/>
    <s v="商用车"/>
    <x v="1"/>
    <x v="0"/>
    <n v="5"/>
  </r>
  <r>
    <n v="245"/>
    <x v="2"/>
    <s v="燃料电池"/>
    <x v="6"/>
    <s v="大型客车"/>
    <s v="非营运"/>
    <s v="商用车"/>
    <x v="1"/>
    <x v="0"/>
    <n v="112"/>
  </r>
  <r>
    <n v="246"/>
    <x v="3"/>
    <s v="燃料电池"/>
    <x v="6"/>
    <s v="大型客车"/>
    <s v="非营运"/>
    <s v="商用车"/>
    <x v="1"/>
    <x v="0"/>
    <n v="95"/>
  </r>
  <r>
    <n v="247"/>
    <x v="4"/>
    <s v="燃料电池"/>
    <x v="6"/>
    <s v="大型客车"/>
    <s v="非营运"/>
    <s v="商用车"/>
    <x v="1"/>
    <x v="0"/>
    <n v="121"/>
  </r>
  <r>
    <n v="248"/>
    <x v="5"/>
    <s v="燃料电池"/>
    <x v="6"/>
    <s v="大型客车"/>
    <s v="非营运"/>
    <s v="商用车"/>
    <x v="1"/>
    <x v="0"/>
    <n v="2"/>
  </r>
  <r>
    <n v="249"/>
    <x v="6"/>
    <s v="燃料电池"/>
    <x v="6"/>
    <s v="大型客车"/>
    <s v="非营运"/>
    <s v="商用车"/>
    <x v="1"/>
    <x v="0"/>
    <n v="78"/>
  </r>
  <r>
    <n v="250"/>
    <x v="0"/>
    <s v="天然气"/>
    <x v="5"/>
    <s v="大型客车"/>
    <s v="非营运"/>
    <s v="商用车"/>
    <x v="1"/>
    <x v="0"/>
    <n v="420"/>
  </r>
  <r>
    <n v="251"/>
    <x v="1"/>
    <s v="天然气"/>
    <x v="5"/>
    <s v="大型客车"/>
    <s v="非营运"/>
    <s v="商用车"/>
    <x v="1"/>
    <x v="0"/>
    <n v="538"/>
  </r>
  <r>
    <n v="252"/>
    <x v="2"/>
    <s v="天然气"/>
    <x v="5"/>
    <s v="大型客车"/>
    <s v="非营运"/>
    <s v="商用车"/>
    <x v="1"/>
    <x v="0"/>
    <n v="381"/>
  </r>
  <r>
    <n v="253"/>
    <x v="3"/>
    <s v="天然气"/>
    <x v="5"/>
    <s v="大型客车"/>
    <s v="非营运"/>
    <s v="商用车"/>
    <x v="1"/>
    <x v="0"/>
    <n v="254"/>
  </r>
  <r>
    <n v="254"/>
    <x v="4"/>
    <s v="天然气"/>
    <x v="5"/>
    <s v="大型客车"/>
    <s v="非营运"/>
    <s v="商用车"/>
    <x v="1"/>
    <x v="0"/>
    <n v="106"/>
  </r>
  <r>
    <n v="255"/>
    <x v="5"/>
    <s v="天然气"/>
    <x v="5"/>
    <s v="大型客车"/>
    <s v="非营运"/>
    <s v="商用车"/>
    <x v="1"/>
    <x v="0"/>
    <n v="94"/>
  </r>
  <r>
    <n v="256"/>
    <x v="6"/>
    <s v="天然气"/>
    <x v="5"/>
    <s v="大型客车"/>
    <s v="非营运"/>
    <s v="商用车"/>
    <x v="1"/>
    <x v="0"/>
    <n v="139"/>
  </r>
  <r>
    <n v="257"/>
    <x v="3"/>
    <s v="插电式混合动力"/>
    <x v="0"/>
    <s v="轻型货车"/>
    <s v="非营运"/>
    <s v="商用车"/>
    <x v="2"/>
    <x v="2"/>
    <n v="1"/>
  </r>
  <r>
    <n v="258"/>
    <x v="4"/>
    <s v="插电式混合动力"/>
    <x v="0"/>
    <s v="轻型货车"/>
    <s v="非营运"/>
    <s v="商用车"/>
    <x v="2"/>
    <x v="2"/>
    <n v="33"/>
  </r>
  <r>
    <n v="259"/>
    <x v="5"/>
    <s v="插电式混合动力"/>
    <x v="0"/>
    <s v="轻型货车"/>
    <s v="非营运"/>
    <s v="商用车"/>
    <x v="2"/>
    <x v="2"/>
    <n v="75"/>
  </r>
  <r>
    <n v="260"/>
    <x v="6"/>
    <s v="插电式混合动力"/>
    <x v="0"/>
    <s v="轻型货车"/>
    <s v="非营运"/>
    <s v="商用车"/>
    <x v="2"/>
    <x v="2"/>
    <n v="228"/>
  </r>
  <r>
    <n v="261"/>
    <x v="0"/>
    <s v="柴油"/>
    <x v="1"/>
    <s v="轻型货车"/>
    <s v="非营运"/>
    <s v="商用车"/>
    <x v="2"/>
    <x v="2"/>
    <n v="468624"/>
  </r>
  <r>
    <n v="262"/>
    <x v="1"/>
    <s v="柴油"/>
    <x v="1"/>
    <s v="轻型货车"/>
    <s v="非营运"/>
    <s v="商用车"/>
    <x v="2"/>
    <x v="2"/>
    <n v="530822"/>
  </r>
  <r>
    <n v="263"/>
    <x v="2"/>
    <s v="柴油"/>
    <x v="1"/>
    <s v="轻型货车"/>
    <s v="非营运"/>
    <s v="商用车"/>
    <x v="2"/>
    <x v="2"/>
    <n v="594022"/>
  </r>
  <r>
    <n v="264"/>
    <x v="3"/>
    <s v="柴油"/>
    <x v="1"/>
    <s v="轻型货车"/>
    <s v="非营运"/>
    <s v="商用车"/>
    <x v="2"/>
    <x v="2"/>
    <n v="625602"/>
  </r>
  <r>
    <n v="265"/>
    <x v="4"/>
    <s v="柴油"/>
    <x v="1"/>
    <s v="轻型货车"/>
    <s v="非营运"/>
    <s v="商用车"/>
    <x v="2"/>
    <x v="2"/>
    <n v="753419"/>
  </r>
  <r>
    <n v="266"/>
    <x v="5"/>
    <s v="柴油"/>
    <x v="1"/>
    <s v="轻型货车"/>
    <s v="非营运"/>
    <s v="商用车"/>
    <x v="2"/>
    <x v="2"/>
    <n v="982813"/>
  </r>
  <r>
    <n v="267"/>
    <x v="6"/>
    <s v="柴油"/>
    <x v="1"/>
    <s v="轻型货车"/>
    <s v="非营运"/>
    <s v="商用车"/>
    <x v="2"/>
    <x v="2"/>
    <n v="921203"/>
  </r>
  <r>
    <n v="268"/>
    <x v="0"/>
    <s v="纯电动"/>
    <x v="2"/>
    <s v="轻型货车"/>
    <s v="非营运"/>
    <s v="商用车"/>
    <x v="2"/>
    <x v="2"/>
    <n v="16406"/>
  </r>
  <r>
    <n v="269"/>
    <x v="1"/>
    <s v="纯电动"/>
    <x v="2"/>
    <s v="轻型货车"/>
    <s v="非营运"/>
    <s v="商用车"/>
    <x v="2"/>
    <x v="2"/>
    <n v="4879"/>
  </r>
  <r>
    <n v="270"/>
    <x v="2"/>
    <s v="纯电动"/>
    <x v="2"/>
    <s v="轻型货车"/>
    <s v="非营运"/>
    <s v="商用车"/>
    <x v="2"/>
    <x v="2"/>
    <n v="7500"/>
  </r>
  <r>
    <n v="271"/>
    <x v="3"/>
    <s v="纯电动"/>
    <x v="2"/>
    <s v="轻型货车"/>
    <s v="非营运"/>
    <s v="商用车"/>
    <x v="2"/>
    <x v="2"/>
    <n v="14321"/>
  </r>
  <r>
    <n v="272"/>
    <x v="4"/>
    <s v="纯电动"/>
    <x v="2"/>
    <s v="轻型货车"/>
    <s v="非营运"/>
    <s v="商用车"/>
    <x v="2"/>
    <x v="2"/>
    <n v="6179"/>
  </r>
  <r>
    <n v="273"/>
    <x v="5"/>
    <s v="纯电动"/>
    <x v="2"/>
    <s v="轻型货车"/>
    <s v="非营运"/>
    <s v="商用车"/>
    <x v="2"/>
    <x v="2"/>
    <n v="5402"/>
  </r>
  <r>
    <n v="274"/>
    <x v="6"/>
    <s v="纯电动"/>
    <x v="2"/>
    <s v="轻型货车"/>
    <s v="非营运"/>
    <s v="商用车"/>
    <x v="2"/>
    <x v="2"/>
    <n v="13152"/>
  </r>
  <r>
    <n v="275"/>
    <x v="0"/>
    <s v="混合动力"/>
    <x v="3"/>
    <s v="轻型货车"/>
    <s v="非营运"/>
    <s v="商用车"/>
    <x v="2"/>
    <x v="2"/>
    <n v="1"/>
  </r>
  <r>
    <n v="276"/>
    <x v="6"/>
    <s v="混合动力"/>
    <x v="3"/>
    <s v="轻型货车"/>
    <s v="非营运"/>
    <s v="商用车"/>
    <x v="2"/>
    <x v="2"/>
    <n v="1"/>
  </r>
  <r>
    <n v="277"/>
    <x v="0"/>
    <s v="汽油"/>
    <x v="4"/>
    <s v="轻型货车"/>
    <s v="非营运"/>
    <s v="商用车"/>
    <x v="2"/>
    <x v="2"/>
    <n v="553018"/>
  </r>
  <r>
    <n v="278"/>
    <x v="1"/>
    <s v="汽油"/>
    <x v="4"/>
    <s v="轻型货车"/>
    <s v="非营运"/>
    <s v="商用车"/>
    <x v="2"/>
    <x v="2"/>
    <n v="627167"/>
  </r>
  <r>
    <n v="279"/>
    <x v="2"/>
    <s v="汽油"/>
    <x v="4"/>
    <s v="轻型货车"/>
    <s v="非营运"/>
    <s v="商用车"/>
    <x v="2"/>
    <x v="2"/>
    <n v="674868"/>
  </r>
  <r>
    <n v="280"/>
    <x v="3"/>
    <s v="汽油"/>
    <x v="4"/>
    <s v="轻型货车"/>
    <s v="非营运"/>
    <s v="商用车"/>
    <x v="2"/>
    <x v="2"/>
    <n v="841242"/>
  </r>
  <r>
    <n v="281"/>
    <x v="4"/>
    <s v="汽油"/>
    <x v="4"/>
    <s v="轻型货车"/>
    <s v="非营运"/>
    <s v="商用车"/>
    <x v="2"/>
    <x v="2"/>
    <n v="1015382"/>
  </r>
  <r>
    <n v="282"/>
    <x v="5"/>
    <s v="汽油"/>
    <x v="4"/>
    <s v="轻型货车"/>
    <s v="非营运"/>
    <s v="商用车"/>
    <x v="2"/>
    <x v="2"/>
    <n v="1102949"/>
  </r>
  <r>
    <n v="283"/>
    <x v="6"/>
    <s v="汽油"/>
    <x v="4"/>
    <s v="轻型货车"/>
    <s v="非营运"/>
    <s v="商用车"/>
    <x v="2"/>
    <x v="2"/>
    <n v="1025054"/>
  </r>
  <r>
    <n v="284"/>
    <x v="0"/>
    <s v="汽油-天然气"/>
    <x v="5"/>
    <s v="轻型货车"/>
    <s v="非营运"/>
    <s v="商用车"/>
    <x v="2"/>
    <x v="2"/>
    <n v="19425"/>
  </r>
  <r>
    <n v="285"/>
    <x v="1"/>
    <s v="汽油-天然气"/>
    <x v="5"/>
    <s v="轻型货车"/>
    <s v="非营运"/>
    <s v="商用车"/>
    <x v="2"/>
    <x v="2"/>
    <n v="8941"/>
  </r>
  <r>
    <n v="286"/>
    <x v="2"/>
    <s v="汽油-天然气"/>
    <x v="5"/>
    <s v="轻型货车"/>
    <s v="非营运"/>
    <s v="商用车"/>
    <x v="2"/>
    <x v="2"/>
    <n v="12380"/>
  </r>
  <r>
    <n v="287"/>
    <x v="3"/>
    <s v="汽油-天然气"/>
    <x v="5"/>
    <s v="轻型货车"/>
    <s v="非营运"/>
    <s v="商用车"/>
    <x v="2"/>
    <x v="2"/>
    <n v="18248"/>
  </r>
  <r>
    <n v="288"/>
    <x v="4"/>
    <s v="汽油-天然气"/>
    <x v="5"/>
    <s v="轻型货车"/>
    <s v="非营运"/>
    <s v="商用车"/>
    <x v="2"/>
    <x v="2"/>
    <n v="25076"/>
  </r>
  <r>
    <n v="289"/>
    <x v="5"/>
    <s v="汽油-天然气"/>
    <x v="5"/>
    <s v="轻型货车"/>
    <s v="非营运"/>
    <s v="商用车"/>
    <x v="2"/>
    <x v="2"/>
    <n v="11747"/>
  </r>
  <r>
    <n v="290"/>
    <x v="6"/>
    <s v="汽油-天然气"/>
    <x v="5"/>
    <s v="轻型货车"/>
    <s v="非营运"/>
    <s v="商用车"/>
    <x v="2"/>
    <x v="2"/>
    <n v="158"/>
  </r>
  <r>
    <n v="291"/>
    <x v="0"/>
    <s v="天然气"/>
    <x v="5"/>
    <s v="轻型货车"/>
    <s v="非营运"/>
    <s v="商用车"/>
    <x v="2"/>
    <x v="2"/>
    <n v="96"/>
  </r>
  <r>
    <n v="292"/>
    <x v="1"/>
    <s v="天然气"/>
    <x v="5"/>
    <s v="轻型货车"/>
    <s v="非营运"/>
    <s v="商用车"/>
    <x v="2"/>
    <x v="2"/>
    <n v="760"/>
  </r>
  <r>
    <n v="293"/>
    <x v="2"/>
    <s v="天然气"/>
    <x v="5"/>
    <s v="轻型货车"/>
    <s v="非营运"/>
    <s v="商用车"/>
    <x v="2"/>
    <x v="2"/>
    <n v="111"/>
  </r>
  <r>
    <n v="294"/>
    <x v="3"/>
    <s v="天然气"/>
    <x v="5"/>
    <s v="轻型货车"/>
    <s v="非营运"/>
    <s v="商用车"/>
    <x v="2"/>
    <x v="2"/>
    <n v="179"/>
  </r>
  <r>
    <n v="295"/>
    <x v="4"/>
    <s v="天然气"/>
    <x v="5"/>
    <s v="轻型货车"/>
    <s v="非营运"/>
    <s v="商用车"/>
    <x v="2"/>
    <x v="2"/>
    <n v="651"/>
  </r>
  <r>
    <n v="296"/>
    <x v="5"/>
    <s v="天然气"/>
    <x v="5"/>
    <s v="轻型货车"/>
    <s v="非营运"/>
    <s v="商用车"/>
    <x v="2"/>
    <x v="2"/>
    <n v="6804"/>
  </r>
  <r>
    <n v="297"/>
    <x v="6"/>
    <s v="天然气"/>
    <x v="5"/>
    <s v="轻型货车"/>
    <s v="非营运"/>
    <s v="商用车"/>
    <x v="2"/>
    <x v="2"/>
    <n v="18862"/>
  </r>
  <r>
    <n v="298"/>
    <x v="1"/>
    <s v="柴油"/>
    <x v="1"/>
    <s v="微型货车"/>
    <s v="非营运"/>
    <s v="商用车"/>
    <x v="2"/>
    <x v="2"/>
    <n v="270"/>
  </r>
  <r>
    <n v="299"/>
    <x v="2"/>
    <s v="柴油"/>
    <x v="1"/>
    <s v="微型货车"/>
    <s v="非营运"/>
    <s v="商用车"/>
    <x v="2"/>
    <x v="2"/>
    <n v="58"/>
  </r>
  <r>
    <n v="300"/>
    <x v="0"/>
    <s v="纯电动"/>
    <x v="2"/>
    <s v="微型货车"/>
    <s v="非营运"/>
    <s v="商用车"/>
    <x v="2"/>
    <x v="2"/>
    <n v="1370"/>
  </r>
  <r>
    <n v="301"/>
    <x v="1"/>
    <s v="纯电动"/>
    <x v="2"/>
    <s v="微型货车"/>
    <s v="非营运"/>
    <s v="商用车"/>
    <x v="2"/>
    <x v="2"/>
    <n v="8"/>
  </r>
  <r>
    <n v="302"/>
    <x v="3"/>
    <s v="纯电动"/>
    <x v="2"/>
    <s v="微型货车"/>
    <s v="非营运"/>
    <s v="商用车"/>
    <x v="2"/>
    <x v="2"/>
    <n v="2"/>
  </r>
  <r>
    <n v="303"/>
    <x v="4"/>
    <s v="纯电动"/>
    <x v="2"/>
    <s v="微型货车"/>
    <s v="非营运"/>
    <s v="商用车"/>
    <x v="2"/>
    <x v="2"/>
    <n v="1"/>
  </r>
  <r>
    <n v="304"/>
    <x v="5"/>
    <s v="纯电动"/>
    <x v="2"/>
    <s v="微型货车"/>
    <s v="非营运"/>
    <s v="商用车"/>
    <x v="2"/>
    <x v="2"/>
    <n v="10"/>
  </r>
  <r>
    <n v="305"/>
    <x v="6"/>
    <s v="纯电动"/>
    <x v="2"/>
    <s v="微型货车"/>
    <s v="非营运"/>
    <s v="商用车"/>
    <x v="2"/>
    <x v="2"/>
    <n v="50"/>
  </r>
  <r>
    <n v="306"/>
    <x v="1"/>
    <s v="汽油"/>
    <x v="4"/>
    <s v="微型货车"/>
    <s v="非营运"/>
    <s v="商用车"/>
    <x v="2"/>
    <x v="2"/>
    <n v="1"/>
  </r>
  <r>
    <n v="307"/>
    <x v="1"/>
    <s v="柴油"/>
    <x v="1"/>
    <s v="微型客车"/>
    <s v="非营运"/>
    <s v="商用车"/>
    <x v="3"/>
    <x v="1"/>
    <n v="12"/>
  </r>
  <r>
    <n v="308"/>
    <x v="2"/>
    <s v="柴油"/>
    <x v="1"/>
    <s v="微型客车"/>
    <s v="非营运"/>
    <s v="商用车"/>
    <x v="3"/>
    <x v="1"/>
    <n v="24"/>
  </r>
  <r>
    <n v="309"/>
    <x v="0"/>
    <s v="柴油"/>
    <x v="1"/>
    <s v="未知"/>
    <s v="非营运"/>
    <s v="商用车"/>
    <x v="5"/>
    <x v="4"/>
    <n v="16188"/>
  </r>
  <r>
    <n v="310"/>
    <x v="0"/>
    <s v="纯电动"/>
    <x v="2"/>
    <s v="未知"/>
    <s v="非营运"/>
    <s v="商用车"/>
    <x v="5"/>
    <x v="4"/>
    <n v="261"/>
  </r>
  <r>
    <n v="311"/>
    <x v="0"/>
    <s v="汽油"/>
    <x v="4"/>
    <s v="未知"/>
    <s v="非营运"/>
    <s v="商用车"/>
    <x v="5"/>
    <x v="4"/>
    <n v="2164290"/>
  </r>
  <r>
    <n v="312"/>
    <x v="0"/>
    <s v="汽油-天然气"/>
    <x v="5"/>
    <s v="未知"/>
    <s v="非营运"/>
    <s v="商用车"/>
    <x v="5"/>
    <x v="4"/>
    <n v="10062"/>
  </r>
  <r>
    <n v="313"/>
    <x v="0"/>
    <s v="无"/>
    <x v="7"/>
    <s v="未知"/>
    <s v="非营运"/>
    <s v="商用车"/>
    <x v="5"/>
    <x v="4"/>
    <n v="2410"/>
  </r>
  <r>
    <n v="314"/>
    <x v="0"/>
    <s v="柴油"/>
    <x v="1"/>
    <s v="小型客车"/>
    <s v="非营运"/>
    <s v="商用车"/>
    <x v="6"/>
    <x v="1"/>
    <n v="72743"/>
  </r>
  <r>
    <n v="315"/>
    <x v="1"/>
    <s v="柴油"/>
    <x v="1"/>
    <s v="小型客车"/>
    <s v="非营运"/>
    <s v="商用车"/>
    <x v="6"/>
    <x v="1"/>
    <n v="91128"/>
  </r>
  <r>
    <n v="316"/>
    <x v="2"/>
    <s v="柴油"/>
    <x v="1"/>
    <s v="小型客车"/>
    <s v="非营运"/>
    <s v="商用车"/>
    <x v="6"/>
    <x v="1"/>
    <n v="93275"/>
  </r>
  <r>
    <n v="317"/>
    <x v="3"/>
    <s v="柴油"/>
    <x v="1"/>
    <s v="小型客车"/>
    <s v="非营运"/>
    <s v="商用车"/>
    <x v="6"/>
    <x v="1"/>
    <n v="105538"/>
  </r>
  <r>
    <n v="318"/>
    <x v="4"/>
    <s v="柴油"/>
    <x v="1"/>
    <s v="小型客车"/>
    <s v="非营运"/>
    <s v="商用车"/>
    <x v="6"/>
    <x v="1"/>
    <n v="107315"/>
  </r>
  <r>
    <n v="319"/>
    <x v="5"/>
    <s v="柴油"/>
    <x v="1"/>
    <s v="小型客车"/>
    <s v="非营运"/>
    <s v="商用车"/>
    <x v="6"/>
    <x v="1"/>
    <n v="154146"/>
  </r>
  <r>
    <n v="320"/>
    <x v="6"/>
    <s v="柴油"/>
    <x v="1"/>
    <s v="小型客车"/>
    <s v="非营运"/>
    <s v="商用车"/>
    <x v="6"/>
    <x v="1"/>
    <n v="161750"/>
  </r>
  <r>
    <n v="321"/>
    <x v="0"/>
    <s v="纯电动"/>
    <x v="2"/>
    <s v="小型客车"/>
    <s v="非营运"/>
    <s v="商用车"/>
    <x v="6"/>
    <x v="1"/>
    <n v="41"/>
  </r>
  <r>
    <n v="322"/>
    <x v="1"/>
    <s v="纯电动"/>
    <x v="2"/>
    <s v="小型客车"/>
    <s v="非营运"/>
    <s v="商用车"/>
    <x v="6"/>
    <x v="1"/>
    <n v="2126"/>
  </r>
  <r>
    <n v="323"/>
    <x v="2"/>
    <s v="纯电动"/>
    <x v="2"/>
    <s v="小型客车"/>
    <s v="非营运"/>
    <s v="商用车"/>
    <x v="6"/>
    <x v="1"/>
    <n v="9568"/>
  </r>
  <r>
    <n v="324"/>
    <x v="3"/>
    <s v="纯电动"/>
    <x v="2"/>
    <s v="小型客车"/>
    <s v="非营运"/>
    <s v="商用车"/>
    <x v="6"/>
    <x v="1"/>
    <n v="8534"/>
  </r>
  <r>
    <n v="325"/>
    <x v="4"/>
    <s v="纯电动"/>
    <x v="2"/>
    <s v="小型客车"/>
    <s v="非营运"/>
    <s v="商用车"/>
    <x v="6"/>
    <x v="1"/>
    <n v="2332"/>
  </r>
  <r>
    <n v="326"/>
    <x v="5"/>
    <s v="纯电动"/>
    <x v="2"/>
    <s v="小型客车"/>
    <s v="非营运"/>
    <s v="商用车"/>
    <x v="6"/>
    <x v="1"/>
    <n v="4882"/>
  </r>
  <r>
    <n v="327"/>
    <x v="6"/>
    <s v="纯电动"/>
    <x v="2"/>
    <s v="小型客车"/>
    <s v="非营运"/>
    <s v="商用车"/>
    <x v="6"/>
    <x v="1"/>
    <n v="7727"/>
  </r>
  <r>
    <n v="328"/>
    <x v="0"/>
    <s v="汽油"/>
    <x v="4"/>
    <s v="小型客车"/>
    <s v="非营运"/>
    <s v="商用车"/>
    <x v="6"/>
    <x v="1"/>
    <n v="14375"/>
  </r>
  <r>
    <n v="329"/>
    <x v="1"/>
    <s v="汽油"/>
    <x v="4"/>
    <s v="小型客车"/>
    <s v="非营运"/>
    <s v="商用车"/>
    <x v="6"/>
    <x v="1"/>
    <n v="71782"/>
  </r>
  <r>
    <n v="330"/>
    <x v="2"/>
    <s v="汽油"/>
    <x v="4"/>
    <s v="小型客车"/>
    <s v="非营运"/>
    <s v="商用车"/>
    <x v="6"/>
    <x v="1"/>
    <n v="61557"/>
  </r>
  <r>
    <n v="331"/>
    <x v="3"/>
    <s v="汽油"/>
    <x v="4"/>
    <s v="小型客车"/>
    <s v="非营运"/>
    <s v="商用车"/>
    <x v="6"/>
    <x v="1"/>
    <n v="54881"/>
  </r>
  <r>
    <n v="332"/>
    <x v="4"/>
    <s v="汽油"/>
    <x v="4"/>
    <s v="小型客车"/>
    <s v="非营运"/>
    <s v="商用车"/>
    <x v="6"/>
    <x v="1"/>
    <n v="43710"/>
  </r>
  <r>
    <n v="333"/>
    <x v="5"/>
    <s v="汽油"/>
    <x v="4"/>
    <s v="小型客车"/>
    <s v="非营运"/>
    <s v="商用车"/>
    <x v="6"/>
    <x v="1"/>
    <n v="37401"/>
  </r>
  <r>
    <n v="334"/>
    <x v="6"/>
    <s v="汽油"/>
    <x v="4"/>
    <s v="小型客车"/>
    <s v="非营运"/>
    <s v="商用车"/>
    <x v="6"/>
    <x v="1"/>
    <n v="40042"/>
  </r>
  <r>
    <n v="335"/>
    <x v="1"/>
    <s v="汽油-天然气"/>
    <x v="5"/>
    <s v="小型客车"/>
    <s v="非营运"/>
    <s v="商用车"/>
    <x v="6"/>
    <x v="1"/>
    <n v="1594"/>
  </r>
  <r>
    <n v="336"/>
    <x v="2"/>
    <s v="汽油-天然气"/>
    <x v="5"/>
    <s v="小型客车"/>
    <s v="非营运"/>
    <s v="商用车"/>
    <x v="6"/>
    <x v="1"/>
    <n v="610"/>
  </r>
  <r>
    <n v="337"/>
    <x v="3"/>
    <s v="汽油-天然气"/>
    <x v="5"/>
    <s v="小型客车"/>
    <s v="非营运"/>
    <s v="商用车"/>
    <x v="6"/>
    <x v="1"/>
    <n v="1571"/>
  </r>
  <r>
    <n v="338"/>
    <x v="4"/>
    <s v="汽油-天然气"/>
    <x v="5"/>
    <s v="小型客车"/>
    <s v="非营运"/>
    <s v="商用车"/>
    <x v="6"/>
    <x v="1"/>
    <n v="2519"/>
  </r>
  <r>
    <n v="339"/>
    <x v="5"/>
    <s v="汽油-天然气"/>
    <x v="5"/>
    <s v="小型客车"/>
    <s v="非营运"/>
    <s v="商用车"/>
    <x v="6"/>
    <x v="1"/>
    <n v="516"/>
  </r>
  <r>
    <n v="340"/>
    <x v="1"/>
    <s v="天然气"/>
    <x v="5"/>
    <s v="小型客车"/>
    <s v="非营运"/>
    <s v="商用车"/>
    <x v="6"/>
    <x v="1"/>
    <n v="13"/>
  </r>
  <r>
    <n v="341"/>
    <x v="2"/>
    <s v="天然气"/>
    <x v="5"/>
    <s v="小型客车"/>
    <s v="非营运"/>
    <s v="商用车"/>
    <x v="6"/>
    <x v="1"/>
    <n v="58"/>
  </r>
  <r>
    <n v="342"/>
    <x v="3"/>
    <s v="天然气"/>
    <x v="5"/>
    <s v="小型客车"/>
    <s v="非营运"/>
    <s v="商用车"/>
    <x v="6"/>
    <x v="1"/>
    <n v="14"/>
  </r>
  <r>
    <n v="343"/>
    <x v="4"/>
    <s v="天然气"/>
    <x v="5"/>
    <s v="小型客车"/>
    <s v="非营运"/>
    <s v="商用车"/>
    <x v="6"/>
    <x v="1"/>
    <n v="4"/>
  </r>
  <r>
    <n v="344"/>
    <x v="5"/>
    <s v="天然气"/>
    <x v="5"/>
    <s v="小型客车"/>
    <s v="非营运"/>
    <s v="商用车"/>
    <x v="6"/>
    <x v="1"/>
    <n v="180"/>
  </r>
  <r>
    <n v="345"/>
    <x v="6"/>
    <s v="天然气"/>
    <x v="5"/>
    <s v="小型客车"/>
    <s v="非营运"/>
    <s v="商用车"/>
    <x v="6"/>
    <x v="1"/>
    <n v="847"/>
  </r>
  <r>
    <n v="346"/>
    <x v="5"/>
    <s v="插电式混合动力"/>
    <x v="0"/>
    <s v="中型货车"/>
    <s v="非营运"/>
    <s v="商用车"/>
    <x v="4"/>
    <x v="3"/>
    <n v="6"/>
  </r>
  <r>
    <n v="347"/>
    <x v="6"/>
    <s v="插电式混合动力"/>
    <x v="0"/>
    <s v="中型货车"/>
    <s v="非营运"/>
    <s v="商用车"/>
    <x v="4"/>
    <x v="3"/>
    <n v="18"/>
  </r>
  <r>
    <n v="348"/>
    <x v="0"/>
    <s v="柴油"/>
    <x v="1"/>
    <s v="中型货车"/>
    <s v="非营运"/>
    <s v="商用车"/>
    <x v="4"/>
    <x v="3"/>
    <n v="38845"/>
  </r>
  <r>
    <n v="349"/>
    <x v="1"/>
    <s v="柴油"/>
    <x v="1"/>
    <s v="中型货车"/>
    <s v="非营运"/>
    <s v="商用车"/>
    <x v="4"/>
    <x v="3"/>
    <n v="19424"/>
  </r>
  <r>
    <n v="350"/>
    <x v="2"/>
    <s v="柴油"/>
    <x v="1"/>
    <s v="中型货车"/>
    <s v="非营运"/>
    <s v="商用车"/>
    <x v="4"/>
    <x v="3"/>
    <n v="22091"/>
  </r>
  <r>
    <n v="351"/>
    <x v="3"/>
    <s v="柴油"/>
    <x v="1"/>
    <s v="中型货车"/>
    <s v="非营运"/>
    <s v="商用车"/>
    <x v="4"/>
    <x v="3"/>
    <n v="22098"/>
  </r>
  <r>
    <n v="352"/>
    <x v="4"/>
    <s v="柴油"/>
    <x v="1"/>
    <s v="中型货车"/>
    <s v="非营运"/>
    <s v="商用车"/>
    <x v="4"/>
    <x v="3"/>
    <n v="23665"/>
  </r>
  <r>
    <n v="353"/>
    <x v="5"/>
    <s v="柴油"/>
    <x v="1"/>
    <s v="中型货车"/>
    <s v="非营运"/>
    <s v="商用车"/>
    <x v="4"/>
    <x v="3"/>
    <n v="30952"/>
  </r>
  <r>
    <n v="354"/>
    <x v="6"/>
    <s v="柴油"/>
    <x v="1"/>
    <s v="中型货车"/>
    <s v="非营运"/>
    <s v="商用车"/>
    <x v="4"/>
    <x v="3"/>
    <n v="32738"/>
  </r>
  <r>
    <n v="355"/>
    <x v="0"/>
    <s v="纯电动"/>
    <x v="2"/>
    <s v="中型货车"/>
    <s v="非营运"/>
    <s v="商用车"/>
    <x v="4"/>
    <x v="3"/>
    <n v="25"/>
  </r>
  <r>
    <n v="356"/>
    <x v="1"/>
    <s v="纯电动"/>
    <x v="2"/>
    <s v="中型货车"/>
    <s v="非营运"/>
    <s v="商用车"/>
    <x v="4"/>
    <x v="3"/>
    <n v="99"/>
  </r>
  <r>
    <n v="357"/>
    <x v="2"/>
    <s v="纯电动"/>
    <x v="2"/>
    <s v="中型货车"/>
    <s v="非营运"/>
    <s v="商用车"/>
    <x v="4"/>
    <x v="3"/>
    <n v="350"/>
  </r>
  <r>
    <n v="358"/>
    <x v="3"/>
    <s v="纯电动"/>
    <x v="2"/>
    <s v="中型货车"/>
    <s v="非营运"/>
    <s v="商用车"/>
    <x v="4"/>
    <x v="3"/>
    <n v="153"/>
  </r>
  <r>
    <n v="359"/>
    <x v="4"/>
    <s v="纯电动"/>
    <x v="2"/>
    <s v="中型货车"/>
    <s v="非营运"/>
    <s v="商用车"/>
    <x v="4"/>
    <x v="3"/>
    <n v="239"/>
  </r>
  <r>
    <n v="360"/>
    <x v="5"/>
    <s v="纯电动"/>
    <x v="2"/>
    <s v="中型货车"/>
    <s v="非营运"/>
    <s v="商用车"/>
    <x v="4"/>
    <x v="3"/>
    <n v="546"/>
  </r>
  <r>
    <n v="361"/>
    <x v="6"/>
    <s v="纯电动"/>
    <x v="2"/>
    <s v="中型货车"/>
    <s v="非营运"/>
    <s v="商用车"/>
    <x v="4"/>
    <x v="3"/>
    <n v="826"/>
  </r>
  <r>
    <n v="362"/>
    <x v="0"/>
    <s v="汽油"/>
    <x v="4"/>
    <s v="中型货车"/>
    <s v="非营运"/>
    <s v="商用车"/>
    <x v="4"/>
    <x v="3"/>
    <n v="177"/>
  </r>
  <r>
    <n v="363"/>
    <x v="1"/>
    <s v="汽油"/>
    <x v="4"/>
    <s v="中型货车"/>
    <s v="非营运"/>
    <s v="商用车"/>
    <x v="4"/>
    <x v="3"/>
    <n v="2"/>
  </r>
  <r>
    <n v="364"/>
    <x v="2"/>
    <s v="汽油"/>
    <x v="4"/>
    <s v="中型货车"/>
    <s v="非营运"/>
    <s v="商用车"/>
    <x v="4"/>
    <x v="3"/>
    <n v="22"/>
  </r>
  <r>
    <n v="365"/>
    <x v="3"/>
    <s v="汽油"/>
    <x v="4"/>
    <s v="中型货车"/>
    <s v="非营运"/>
    <s v="商用车"/>
    <x v="4"/>
    <x v="3"/>
    <n v="18"/>
  </r>
  <r>
    <n v="366"/>
    <x v="4"/>
    <s v="汽油"/>
    <x v="4"/>
    <s v="中型货车"/>
    <s v="非营运"/>
    <s v="商用车"/>
    <x v="4"/>
    <x v="3"/>
    <n v="18"/>
  </r>
  <r>
    <n v="367"/>
    <x v="5"/>
    <s v="汽油"/>
    <x v="4"/>
    <s v="中型货车"/>
    <s v="非营运"/>
    <s v="商用车"/>
    <x v="4"/>
    <x v="3"/>
    <n v="39"/>
  </r>
  <r>
    <n v="368"/>
    <x v="6"/>
    <s v="汽油"/>
    <x v="4"/>
    <s v="中型货车"/>
    <s v="非营运"/>
    <s v="商用车"/>
    <x v="4"/>
    <x v="3"/>
    <n v="3"/>
  </r>
  <r>
    <n v="369"/>
    <x v="0"/>
    <s v="汽油-天然气"/>
    <x v="5"/>
    <s v="中型货车"/>
    <s v="非营运"/>
    <s v="商用车"/>
    <x v="4"/>
    <x v="3"/>
    <n v="1"/>
  </r>
  <r>
    <n v="370"/>
    <x v="1"/>
    <s v="汽油-天然气"/>
    <x v="5"/>
    <s v="中型货车"/>
    <s v="非营运"/>
    <s v="商用车"/>
    <x v="4"/>
    <x v="3"/>
    <n v="9"/>
  </r>
  <r>
    <n v="371"/>
    <x v="2"/>
    <s v="汽油-天然气"/>
    <x v="5"/>
    <s v="中型货车"/>
    <s v="非营运"/>
    <s v="商用车"/>
    <x v="4"/>
    <x v="3"/>
    <n v="5"/>
  </r>
  <r>
    <n v="372"/>
    <x v="3"/>
    <s v="燃料电池"/>
    <x v="6"/>
    <s v="中型货车"/>
    <s v="非营运"/>
    <s v="商用车"/>
    <x v="4"/>
    <x v="3"/>
    <n v="1"/>
  </r>
  <r>
    <n v="373"/>
    <x v="4"/>
    <s v="燃料电池"/>
    <x v="6"/>
    <s v="中型货车"/>
    <s v="非营运"/>
    <s v="商用车"/>
    <x v="4"/>
    <x v="3"/>
    <n v="85"/>
  </r>
  <r>
    <n v="374"/>
    <x v="5"/>
    <s v="燃料电池"/>
    <x v="6"/>
    <s v="中型货车"/>
    <s v="非营运"/>
    <s v="商用车"/>
    <x v="4"/>
    <x v="3"/>
    <n v="1"/>
  </r>
  <r>
    <n v="375"/>
    <x v="6"/>
    <s v="燃料电池"/>
    <x v="6"/>
    <s v="中型货车"/>
    <s v="非营运"/>
    <s v="商用车"/>
    <x v="4"/>
    <x v="3"/>
    <n v="8"/>
  </r>
  <r>
    <n v="376"/>
    <x v="0"/>
    <s v="天然气"/>
    <x v="5"/>
    <s v="中型货车"/>
    <s v="非营运"/>
    <s v="商用车"/>
    <x v="4"/>
    <x v="3"/>
    <n v="33"/>
  </r>
  <r>
    <n v="377"/>
    <x v="1"/>
    <s v="天然气"/>
    <x v="5"/>
    <s v="中型货车"/>
    <s v="非营运"/>
    <s v="商用车"/>
    <x v="4"/>
    <x v="3"/>
    <n v="16"/>
  </r>
  <r>
    <n v="378"/>
    <x v="2"/>
    <s v="天然气"/>
    <x v="5"/>
    <s v="中型货车"/>
    <s v="非营运"/>
    <s v="商用车"/>
    <x v="4"/>
    <x v="3"/>
    <n v="49"/>
  </r>
  <r>
    <n v="379"/>
    <x v="3"/>
    <s v="天然气"/>
    <x v="5"/>
    <s v="中型货车"/>
    <s v="非营运"/>
    <s v="商用车"/>
    <x v="4"/>
    <x v="3"/>
    <n v="99"/>
  </r>
  <r>
    <n v="380"/>
    <x v="4"/>
    <s v="天然气"/>
    <x v="5"/>
    <s v="中型货车"/>
    <s v="非营运"/>
    <s v="商用车"/>
    <x v="4"/>
    <x v="3"/>
    <n v="85"/>
  </r>
  <r>
    <n v="381"/>
    <x v="5"/>
    <s v="天然气"/>
    <x v="5"/>
    <s v="中型货车"/>
    <s v="非营运"/>
    <s v="商用车"/>
    <x v="4"/>
    <x v="3"/>
    <n v="210"/>
  </r>
  <r>
    <n v="382"/>
    <x v="6"/>
    <s v="天然气"/>
    <x v="5"/>
    <s v="中型货车"/>
    <s v="非营运"/>
    <s v="商用车"/>
    <x v="4"/>
    <x v="3"/>
    <n v="238"/>
  </r>
  <r>
    <n v="383"/>
    <x v="1"/>
    <s v="无"/>
    <x v="7"/>
    <s v="中型货车"/>
    <s v="非营运"/>
    <s v="商用车"/>
    <x v="4"/>
    <x v="3"/>
    <n v="3"/>
  </r>
  <r>
    <n v="384"/>
    <x v="0"/>
    <s v="柴油"/>
    <x v="1"/>
    <s v="中型客车"/>
    <s v="非营运"/>
    <s v="商用车"/>
    <x v="1"/>
    <x v="0"/>
    <n v="18522"/>
  </r>
  <r>
    <n v="385"/>
    <x v="1"/>
    <s v="柴油"/>
    <x v="1"/>
    <s v="中型客车"/>
    <s v="非营运"/>
    <s v="商用车"/>
    <x v="1"/>
    <x v="0"/>
    <n v="24535"/>
  </r>
  <r>
    <n v="386"/>
    <x v="2"/>
    <s v="柴油"/>
    <x v="1"/>
    <s v="中型客车"/>
    <s v="非营运"/>
    <s v="商用车"/>
    <x v="1"/>
    <x v="0"/>
    <n v="18547"/>
  </r>
  <r>
    <n v="387"/>
    <x v="3"/>
    <s v="柴油"/>
    <x v="1"/>
    <s v="中型客车"/>
    <s v="非营运"/>
    <s v="商用车"/>
    <x v="1"/>
    <x v="0"/>
    <n v="11601"/>
  </r>
  <r>
    <n v="388"/>
    <x v="4"/>
    <s v="柴油"/>
    <x v="1"/>
    <s v="中型客车"/>
    <s v="非营运"/>
    <s v="商用车"/>
    <x v="1"/>
    <x v="0"/>
    <n v="16189"/>
  </r>
  <r>
    <n v="389"/>
    <x v="5"/>
    <s v="柴油"/>
    <x v="1"/>
    <s v="中型客车"/>
    <s v="非营运"/>
    <s v="商用车"/>
    <x v="1"/>
    <x v="0"/>
    <n v="5557"/>
  </r>
  <r>
    <n v="390"/>
    <x v="6"/>
    <s v="柴油"/>
    <x v="1"/>
    <s v="中型客车"/>
    <s v="非营运"/>
    <s v="商用车"/>
    <x v="1"/>
    <x v="0"/>
    <n v="10167"/>
  </r>
  <r>
    <n v="391"/>
    <x v="0"/>
    <s v="纯电动"/>
    <x v="2"/>
    <s v="中型客车"/>
    <s v="非营运"/>
    <s v="商用车"/>
    <x v="1"/>
    <x v="0"/>
    <n v="2"/>
  </r>
  <r>
    <n v="392"/>
    <x v="4"/>
    <s v="纯电动"/>
    <x v="2"/>
    <s v="中型客车"/>
    <s v="非营运"/>
    <s v="商用车"/>
    <x v="1"/>
    <x v="0"/>
    <n v="45"/>
  </r>
  <r>
    <n v="393"/>
    <x v="5"/>
    <s v="纯电动"/>
    <x v="2"/>
    <s v="中型客车"/>
    <s v="非营运"/>
    <s v="商用车"/>
    <x v="1"/>
    <x v="0"/>
    <n v="205"/>
  </r>
  <r>
    <n v="394"/>
    <x v="6"/>
    <s v="纯电动"/>
    <x v="2"/>
    <s v="中型客车"/>
    <s v="非营运"/>
    <s v="商用车"/>
    <x v="1"/>
    <x v="0"/>
    <n v="516"/>
  </r>
  <r>
    <n v="395"/>
    <x v="0"/>
    <s v="汽油"/>
    <x v="4"/>
    <s v="中型客车"/>
    <s v="非营运"/>
    <s v="商用车"/>
    <x v="1"/>
    <x v="0"/>
    <n v="9403"/>
  </r>
  <r>
    <n v="396"/>
    <x v="1"/>
    <s v="汽油"/>
    <x v="4"/>
    <s v="中型客车"/>
    <s v="非营运"/>
    <s v="商用车"/>
    <x v="1"/>
    <x v="0"/>
    <n v="12812"/>
  </r>
  <r>
    <n v="397"/>
    <x v="2"/>
    <s v="汽油"/>
    <x v="4"/>
    <s v="中型客车"/>
    <s v="非营运"/>
    <s v="商用车"/>
    <x v="1"/>
    <x v="0"/>
    <n v="9768"/>
  </r>
  <r>
    <n v="398"/>
    <x v="3"/>
    <s v="汽油"/>
    <x v="4"/>
    <s v="中型客车"/>
    <s v="非营运"/>
    <s v="商用车"/>
    <x v="1"/>
    <x v="0"/>
    <n v="6389"/>
  </r>
  <r>
    <n v="399"/>
    <x v="4"/>
    <s v="汽油"/>
    <x v="4"/>
    <s v="中型客车"/>
    <s v="非营运"/>
    <s v="商用车"/>
    <x v="1"/>
    <x v="0"/>
    <n v="8586"/>
  </r>
  <r>
    <n v="400"/>
    <x v="5"/>
    <s v="汽油"/>
    <x v="4"/>
    <s v="中型客车"/>
    <s v="非营运"/>
    <s v="商用车"/>
    <x v="1"/>
    <x v="0"/>
    <n v="2266"/>
  </r>
  <r>
    <n v="401"/>
    <x v="6"/>
    <s v="汽油"/>
    <x v="4"/>
    <s v="中型客车"/>
    <s v="非营运"/>
    <s v="商用车"/>
    <x v="1"/>
    <x v="0"/>
    <n v="6175"/>
  </r>
  <r>
    <n v="402"/>
    <x v="0"/>
    <s v="汽油-天然气"/>
    <x v="5"/>
    <s v="中型客车"/>
    <s v="非营运"/>
    <s v="商用车"/>
    <x v="1"/>
    <x v="0"/>
    <n v="165"/>
  </r>
  <r>
    <n v="403"/>
    <x v="1"/>
    <s v="汽油-天然气"/>
    <x v="5"/>
    <s v="中型客车"/>
    <s v="非营运"/>
    <s v="商用车"/>
    <x v="1"/>
    <x v="0"/>
    <n v="53"/>
  </r>
  <r>
    <n v="404"/>
    <x v="0"/>
    <s v="天然气"/>
    <x v="5"/>
    <s v="中型客车"/>
    <s v="非营运"/>
    <s v="商用车"/>
    <x v="1"/>
    <x v="0"/>
    <n v="37"/>
  </r>
  <r>
    <n v="405"/>
    <x v="1"/>
    <s v="天然气"/>
    <x v="5"/>
    <s v="中型客车"/>
    <s v="非营运"/>
    <s v="商用车"/>
    <x v="1"/>
    <x v="0"/>
    <n v="257"/>
  </r>
  <r>
    <n v="406"/>
    <x v="2"/>
    <s v="天然气"/>
    <x v="5"/>
    <s v="中型客车"/>
    <s v="非营运"/>
    <s v="商用车"/>
    <x v="1"/>
    <x v="0"/>
    <n v="17"/>
  </r>
  <r>
    <n v="407"/>
    <x v="3"/>
    <s v="天然气"/>
    <x v="5"/>
    <s v="中型客车"/>
    <s v="非营运"/>
    <s v="商用车"/>
    <x v="1"/>
    <x v="0"/>
    <n v="2"/>
  </r>
  <r>
    <n v="408"/>
    <x v="4"/>
    <s v="天然气"/>
    <x v="5"/>
    <s v="中型客车"/>
    <s v="非营运"/>
    <s v="商用车"/>
    <x v="1"/>
    <x v="0"/>
    <n v="3"/>
  </r>
  <r>
    <n v="409"/>
    <x v="5"/>
    <s v="天然气"/>
    <x v="5"/>
    <s v="中型客车"/>
    <s v="非营运"/>
    <s v="商用车"/>
    <x v="1"/>
    <x v="0"/>
    <n v="1"/>
  </r>
  <r>
    <n v="410"/>
    <x v="6"/>
    <s v="天然气"/>
    <x v="5"/>
    <s v="中型客车"/>
    <s v="非营运"/>
    <s v="商用车"/>
    <x v="1"/>
    <x v="0"/>
    <n v="2"/>
  </r>
  <r>
    <n v="411"/>
    <x v="0"/>
    <s v="柴油"/>
    <x v="1"/>
    <s v="重型货车"/>
    <s v="非营运"/>
    <s v="商用车"/>
    <x v="4"/>
    <x v="3"/>
    <n v="61970"/>
  </r>
  <r>
    <n v="412"/>
    <x v="1"/>
    <s v="柴油"/>
    <x v="1"/>
    <s v="重型货车"/>
    <s v="非营运"/>
    <s v="商用车"/>
    <x v="4"/>
    <x v="3"/>
    <n v="37269"/>
  </r>
  <r>
    <n v="413"/>
    <x v="2"/>
    <s v="柴油"/>
    <x v="1"/>
    <s v="重型货车"/>
    <s v="非营运"/>
    <s v="商用车"/>
    <x v="4"/>
    <x v="3"/>
    <n v="66387"/>
  </r>
  <r>
    <n v="414"/>
    <x v="3"/>
    <s v="柴油"/>
    <x v="1"/>
    <s v="重型货车"/>
    <s v="非营运"/>
    <s v="商用车"/>
    <x v="4"/>
    <x v="3"/>
    <n v="65358"/>
  </r>
  <r>
    <n v="415"/>
    <x v="4"/>
    <s v="柴油"/>
    <x v="1"/>
    <s v="重型货车"/>
    <s v="非营运"/>
    <s v="商用车"/>
    <x v="4"/>
    <x v="3"/>
    <n v="68521"/>
  </r>
  <r>
    <n v="416"/>
    <x v="5"/>
    <s v="柴油"/>
    <x v="1"/>
    <s v="重型货车"/>
    <s v="非营运"/>
    <s v="商用车"/>
    <x v="4"/>
    <x v="3"/>
    <n v="98234"/>
  </r>
  <r>
    <n v="417"/>
    <x v="6"/>
    <s v="柴油"/>
    <x v="1"/>
    <s v="重型货车"/>
    <s v="非营运"/>
    <s v="商用车"/>
    <x v="4"/>
    <x v="3"/>
    <n v="92698"/>
  </r>
  <r>
    <n v="418"/>
    <x v="0"/>
    <s v="柴油-天然气"/>
    <x v="5"/>
    <s v="重型货车"/>
    <s v="非营运"/>
    <s v="商用车"/>
    <x v="4"/>
    <x v="3"/>
    <n v="1"/>
  </r>
  <r>
    <n v="419"/>
    <x v="0"/>
    <s v="纯电动"/>
    <x v="2"/>
    <s v="重型货车"/>
    <s v="非营运"/>
    <s v="商用车"/>
    <x v="4"/>
    <x v="3"/>
    <n v="37"/>
  </r>
  <r>
    <n v="420"/>
    <x v="1"/>
    <s v="纯电动"/>
    <x v="2"/>
    <s v="重型货车"/>
    <s v="非营运"/>
    <s v="商用车"/>
    <x v="4"/>
    <x v="3"/>
    <n v="5"/>
  </r>
  <r>
    <n v="421"/>
    <x v="2"/>
    <s v="纯电动"/>
    <x v="2"/>
    <s v="重型货车"/>
    <s v="非营运"/>
    <s v="商用车"/>
    <x v="4"/>
    <x v="3"/>
    <n v="91"/>
  </r>
  <r>
    <n v="422"/>
    <x v="3"/>
    <s v="纯电动"/>
    <x v="2"/>
    <s v="重型货车"/>
    <s v="非营运"/>
    <s v="商用车"/>
    <x v="4"/>
    <x v="3"/>
    <n v="60"/>
  </r>
  <r>
    <n v="423"/>
    <x v="4"/>
    <s v="纯电动"/>
    <x v="2"/>
    <s v="重型货车"/>
    <s v="非营运"/>
    <s v="商用车"/>
    <x v="4"/>
    <x v="3"/>
    <n v="385"/>
  </r>
  <r>
    <n v="424"/>
    <x v="5"/>
    <s v="纯电动"/>
    <x v="2"/>
    <s v="重型货车"/>
    <s v="非营运"/>
    <s v="商用车"/>
    <x v="4"/>
    <x v="3"/>
    <n v="932"/>
  </r>
  <r>
    <n v="425"/>
    <x v="6"/>
    <s v="纯电动"/>
    <x v="2"/>
    <s v="重型货车"/>
    <s v="非营运"/>
    <s v="商用车"/>
    <x v="4"/>
    <x v="3"/>
    <n v="1461"/>
  </r>
  <r>
    <n v="426"/>
    <x v="1"/>
    <s v="混合动力"/>
    <x v="3"/>
    <s v="重型货车"/>
    <s v="非营运"/>
    <s v="商用车"/>
    <x v="4"/>
    <x v="3"/>
    <n v="5"/>
  </r>
  <r>
    <n v="427"/>
    <x v="5"/>
    <s v="混合动力"/>
    <x v="3"/>
    <s v="重型货车"/>
    <s v="非营运"/>
    <s v="商用车"/>
    <x v="4"/>
    <x v="3"/>
    <n v="7"/>
  </r>
  <r>
    <n v="428"/>
    <x v="0"/>
    <s v="汽油"/>
    <x v="4"/>
    <s v="重型货车"/>
    <s v="非营运"/>
    <s v="商用车"/>
    <x v="4"/>
    <x v="3"/>
    <n v="4"/>
  </r>
  <r>
    <n v="429"/>
    <x v="1"/>
    <s v="汽油"/>
    <x v="4"/>
    <s v="重型货车"/>
    <s v="非营运"/>
    <s v="商用车"/>
    <x v="4"/>
    <x v="3"/>
    <n v="3"/>
  </r>
  <r>
    <n v="430"/>
    <x v="6"/>
    <s v="燃料电池"/>
    <x v="6"/>
    <s v="重型货车"/>
    <s v="非营运"/>
    <s v="商用车"/>
    <x v="4"/>
    <x v="3"/>
    <n v="9"/>
  </r>
  <r>
    <n v="431"/>
    <x v="0"/>
    <s v="天然气"/>
    <x v="5"/>
    <s v="重型货车"/>
    <s v="非营运"/>
    <s v="商用车"/>
    <x v="4"/>
    <x v="3"/>
    <n v="713"/>
  </r>
  <r>
    <n v="432"/>
    <x v="1"/>
    <s v="天然气"/>
    <x v="5"/>
    <s v="重型货车"/>
    <s v="非营运"/>
    <s v="商用车"/>
    <x v="4"/>
    <x v="3"/>
    <n v="417"/>
  </r>
  <r>
    <n v="433"/>
    <x v="2"/>
    <s v="天然气"/>
    <x v="5"/>
    <s v="重型货车"/>
    <s v="非营运"/>
    <s v="商用车"/>
    <x v="4"/>
    <x v="3"/>
    <n v="826"/>
  </r>
  <r>
    <n v="434"/>
    <x v="3"/>
    <s v="天然气"/>
    <x v="5"/>
    <s v="重型货车"/>
    <s v="非营运"/>
    <s v="商用车"/>
    <x v="4"/>
    <x v="3"/>
    <n v="1255"/>
  </r>
  <r>
    <n v="435"/>
    <x v="4"/>
    <s v="天然气"/>
    <x v="5"/>
    <s v="重型货车"/>
    <s v="非营运"/>
    <s v="商用车"/>
    <x v="4"/>
    <x v="3"/>
    <n v="1015"/>
  </r>
  <r>
    <n v="436"/>
    <x v="5"/>
    <s v="天然气"/>
    <x v="5"/>
    <s v="重型货车"/>
    <s v="非营运"/>
    <s v="商用车"/>
    <x v="4"/>
    <x v="3"/>
    <n v="1452"/>
  </r>
  <r>
    <n v="437"/>
    <x v="6"/>
    <s v="天然气"/>
    <x v="5"/>
    <s v="重型货车"/>
    <s v="非营运"/>
    <s v="商用车"/>
    <x v="4"/>
    <x v="3"/>
    <n v="1086"/>
  </r>
  <r>
    <n v="438"/>
    <x v="1"/>
    <s v="无"/>
    <x v="7"/>
    <s v="重型货车"/>
    <s v="非营运"/>
    <s v="商用车"/>
    <x v="4"/>
    <x v="3"/>
    <n v="1"/>
  </r>
  <r>
    <n v="439"/>
    <x v="0"/>
    <s v="插电式混合动力"/>
    <x v="0"/>
    <s v="大型客车"/>
    <s v="公路客运"/>
    <s v="商用车"/>
    <x v="1"/>
    <x v="0"/>
    <n v="200"/>
  </r>
  <r>
    <n v="440"/>
    <x v="1"/>
    <s v="插电式混合动力"/>
    <x v="0"/>
    <s v="大型客车"/>
    <s v="公路客运"/>
    <s v="商用车"/>
    <x v="1"/>
    <x v="0"/>
    <n v="323"/>
  </r>
  <r>
    <n v="441"/>
    <x v="2"/>
    <s v="插电式混合动力"/>
    <x v="0"/>
    <s v="大型客车"/>
    <s v="公路客运"/>
    <s v="商用车"/>
    <x v="1"/>
    <x v="0"/>
    <n v="32"/>
  </r>
  <r>
    <n v="442"/>
    <x v="3"/>
    <s v="插电式混合动力"/>
    <x v="0"/>
    <s v="大型客车"/>
    <s v="公路客运"/>
    <s v="商用车"/>
    <x v="1"/>
    <x v="0"/>
    <n v="11"/>
  </r>
  <r>
    <n v="443"/>
    <x v="5"/>
    <s v="插电式混合动力"/>
    <x v="0"/>
    <s v="大型客车"/>
    <s v="公路客运"/>
    <s v="商用车"/>
    <x v="1"/>
    <x v="0"/>
    <n v="4"/>
  </r>
  <r>
    <n v="444"/>
    <x v="0"/>
    <s v="柴油"/>
    <x v="1"/>
    <s v="大型客车"/>
    <s v="公路客运"/>
    <s v="商用车"/>
    <x v="1"/>
    <x v="0"/>
    <n v="35945"/>
  </r>
  <r>
    <n v="445"/>
    <x v="1"/>
    <s v="柴油"/>
    <x v="1"/>
    <s v="大型客车"/>
    <s v="公路客运"/>
    <s v="商用车"/>
    <x v="1"/>
    <x v="0"/>
    <n v="33685"/>
  </r>
  <r>
    <n v="446"/>
    <x v="2"/>
    <s v="柴油"/>
    <x v="1"/>
    <s v="大型客车"/>
    <s v="公路客运"/>
    <s v="商用车"/>
    <x v="1"/>
    <x v="0"/>
    <n v="24788"/>
  </r>
  <r>
    <n v="447"/>
    <x v="3"/>
    <s v="柴油"/>
    <x v="1"/>
    <s v="大型客车"/>
    <s v="公路客运"/>
    <s v="商用车"/>
    <x v="1"/>
    <x v="0"/>
    <n v="20043"/>
  </r>
  <r>
    <n v="448"/>
    <x v="4"/>
    <s v="柴油"/>
    <x v="1"/>
    <s v="大型客车"/>
    <s v="公路客运"/>
    <s v="商用车"/>
    <x v="1"/>
    <x v="0"/>
    <n v="22695"/>
  </r>
  <r>
    <n v="449"/>
    <x v="5"/>
    <s v="柴油"/>
    <x v="1"/>
    <s v="大型客车"/>
    <s v="公路客运"/>
    <s v="商用车"/>
    <x v="1"/>
    <x v="0"/>
    <n v="11684"/>
  </r>
  <r>
    <n v="450"/>
    <x v="6"/>
    <s v="柴油"/>
    <x v="1"/>
    <s v="大型客车"/>
    <s v="公路客运"/>
    <s v="商用车"/>
    <x v="1"/>
    <x v="0"/>
    <n v="15332"/>
  </r>
  <r>
    <n v="451"/>
    <x v="0"/>
    <s v="纯电动"/>
    <x v="2"/>
    <s v="大型客车"/>
    <s v="公路客运"/>
    <s v="商用车"/>
    <x v="1"/>
    <x v="0"/>
    <n v="5300"/>
  </r>
  <r>
    <n v="452"/>
    <x v="1"/>
    <s v="纯电动"/>
    <x v="2"/>
    <s v="大型客车"/>
    <s v="公路客运"/>
    <s v="商用车"/>
    <x v="1"/>
    <x v="0"/>
    <n v="3874"/>
  </r>
  <r>
    <n v="453"/>
    <x v="2"/>
    <s v="纯电动"/>
    <x v="2"/>
    <s v="大型客车"/>
    <s v="公路客运"/>
    <s v="商用车"/>
    <x v="1"/>
    <x v="0"/>
    <n v="6588"/>
  </r>
  <r>
    <n v="454"/>
    <x v="3"/>
    <s v="纯电动"/>
    <x v="2"/>
    <s v="大型客车"/>
    <s v="公路客运"/>
    <s v="商用车"/>
    <x v="1"/>
    <x v="0"/>
    <n v="3008"/>
  </r>
  <r>
    <n v="455"/>
    <x v="4"/>
    <s v="纯电动"/>
    <x v="2"/>
    <s v="大型客车"/>
    <s v="公路客运"/>
    <s v="商用车"/>
    <x v="1"/>
    <x v="0"/>
    <n v="2268"/>
  </r>
  <r>
    <n v="456"/>
    <x v="5"/>
    <s v="纯电动"/>
    <x v="2"/>
    <s v="大型客车"/>
    <s v="公路客运"/>
    <s v="商用车"/>
    <x v="1"/>
    <x v="0"/>
    <n v="1479"/>
  </r>
  <r>
    <n v="457"/>
    <x v="6"/>
    <s v="纯电动"/>
    <x v="2"/>
    <s v="大型客车"/>
    <s v="公路客运"/>
    <s v="商用车"/>
    <x v="1"/>
    <x v="0"/>
    <n v="2845"/>
  </r>
  <r>
    <n v="458"/>
    <x v="0"/>
    <s v="混合动力"/>
    <x v="3"/>
    <s v="大型客车"/>
    <s v="公路客运"/>
    <s v="商用车"/>
    <x v="1"/>
    <x v="0"/>
    <n v="87"/>
  </r>
  <r>
    <n v="459"/>
    <x v="1"/>
    <s v="混合动力"/>
    <x v="3"/>
    <s v="大型客车"/>
    <s v="公路客运"/>
    <s v="商用车"/>
    <x v="1"/>
    <x v="0"/>
    <n v="55"/>
  </r>
  <r>
    <n v="460"/>
    <x v="0"/>
    <s v="汽油"/>
    <x v="4"/>
    <s v="大型客车"/>
    <s v="公路客运"/>
    <s v="商用车"/>
    <x v="1"/>
    <x v="0"/>
    <n v="77"/>
  </r>
  <r>
    <n v="461"/>
    <x v="1"/>
    <s v="汽油"/>
    <x v="4"/>
    <s v="大型客车"/>
    <s v="公路客运"/>
    <s v="商用车"/>
    <x v="1"/>
    <x v="0"/>
    <n v="260"/>
  </r>
  <r>
    <n v="462"/>
    <x v="2"/>
    <s v="汽油"/>
    <x v="4"/>
    <s v="大型客车"/>
    <s v="公路客运"/>
    <s v="商用车"/>
    <x v="1"/>
    <x v="0"/>
    <n v="620"/>
  </r>
  <r>
    <n v="463"/>
    <x v="3"/>
    <s v="汽油"/>
    <x v="4"/>
    <s v="大型客车"/>
    <s v="公路客运"/>
    <s v="商用车"/>
    <x v="1"/>
    <x v="0"/>
    <n v="174"/>
  </r>
  <r>
    <n v="464"/>
    <x v="4"/>
    <s v="汽油"/>
    <x v="4"/>
    <s v="大型客车"/>
    <s v="公路客运"/>
    <s v="商用车"/>
    <x v="1"/>
    <x v="0"/>
    <n v="193"/>
  </r>
  <r>
    <n v="465"/>
    <x v="5"/>
    <s v="汽油"/>
    <x v="4"/>
    <s v="大型客车"/>
    <s v="公路客运"/>
    <s v="商用车"/>
    <x v="1"/>
    <x v="0"/>
    <n v="152"/>
  </r>
  <r>
    <n v="466"/>
    <x v="6"/>
    <s v="汽油"/>
    <x v="4"/>
    <s v="大型客车"/>
    <s v="公路客运"/>
    <s v="商用车"/>
    <x v="1"/>
    <x v="0"/>
    <n v="431"/>
  </r>
  <r>
    <n v="467"/>
    <x v="1"/>
    <s v="汽油-天然气"/>
    <x v="5"/>
    <s v="大型客车"/>
    <s v="公路客运"/>
    <s v="商用车"/>
    <x v="1"/>
    <x v="0"/>
    <n v="1"/>
  </r>
  <r>
    <n v="468"/>
    <x v="4"/>
    <s v="燃料电池"/>
    <x v="6"/>
    <s v="大型客车"/>
    <s v="公路客运"/>
    <s v="商用车"/>
    <x v="1"/>
    <x v="0"/>
    <n v="315"/>
  </r>
  <r>
    <n v="469"/>
    <x v="6"/>
    <s v="燃料电池"/>
    <x v="6"/>
    <s v="大型客车"/>
    <s v="公路客运"/>
    <s v="商用车"/>
    <x v="1"/>
    <x v="0"/>
    <n v="141"/>
  </r>
  <r>
    <n v="470"/>
    <x v="0"/>
    <s v="天然气"/>
    <x v="5"/>
    <s v="大型客车"/>
    <s v="公路客运"/>
    <s v="商用车"/>
    <x v="1"/>
    <x v="0"/>
    <n v="3668"/>
  </r>
  <r>
    <n v="471"/>
    <x v="1"/>
    <s v="天然气"/>
    <x v="5"/>
    <s v="大型客车"/>
    <s v="公路客运"/>
    <s v="商用车"/>
    <x v="1"/>
    <x v="0"/>
    <n v="1617"/>
  </r>
  <r>
    <n v="472"/>
    <x v="2"/>
    <s v="天然气"/>
    <x v="5"/>
    <s v="大型客车"/>
    <s v="公路客运"/>
    <s v="商用车"/>
    <x v="1"/>
    <x v="0"/>
    <n v="1304"/>
  </r>
  <r>
    <n v="473"/>
    <x v="3"/>
    <s v="天然气"/>
    <x v="5"/>
    <s v="大型客车"/>
    <s v="公路客运"/>
    <s v="商用车"/>
    <x v="1"/>
    <x v="0"/>
    <n v="973"/>
  </r>
  <r>
    <n v="474"/>
    <x v="4"/>
    <s v="天然气"/>
    <x v="5"/>
    <s v="大型客车"/>
    <s v="公路客运"/>
    <s v="商用车"/>
    <x v="1"/>
    <x v="0"/>
    <n v="746"/>
  </r>
  <r>
    <n v="475"/>
    <x v="5"/>
    <s v="天然气"/>
    <x v="5"/>
    <s v="大型客车"/>
    <s v="公路客运"/>
    <s v="商用车"/>
    <x v="1"/>
    <x v="0"/>
    <n v="385"/>
  </r>
  <r>
    <n v="476"/>
    <x v="6"/>
    <s v="天然气"/>
    <x v="5"/>
    <s v="大型客车"/>
    <s v="公路客运"/>
    <s v="商用车"/>
    <x v="1"/>
    <x v="0"/>
    <n v="261"/>
  </r>
  <r>
    <n v="477"/>
    <x v="1"/>
    <s v="柴油"/>
    <x v="1"/>
    <s v="轻型货车"/>
    <s v="公路客运"/>
    <s v="商用车"/>
    <x v="1"/>
    <x v="1"/>
    <n v="2"/>
  </r>
  <r>
    <n v="478"/>
    <x v="2"/>
    <s v="柴油"/>
    <x v="1"/>
    <s v="轻型货车"/>
    <s v="公路客运"/>
    <s v="商用车"/>
    <x v="1"/>
    <x v="1"/>
    <n v="2"/>
  </r>
  <r>
    <n v="479"/>
    <x v="6"/>
    <s v="柴油"/>
    <x v="1"/>
    <s v="轻型货车"/>
    <s v="公路客运"/>
    <s v="商用车"/>
    <x v="1"/>
    <x v="1"/>
    <n v="1"/>
  </r>
  <r>
    <n v="480"/>
    <x v="0"/>
    <s v="汽油"/>
    <x v="4"/>
    <s v="轻型货车"/>
    <s v="公路客运"/>
    <s v="商用车"/>
    <x v="1"/>
    <x v="1"/>
    <n v="2"/>
  </r>
  <r>
    <n v="481"/>
    <x v="0"/>
    <s v="柴油"/>
    <x v="1"/>
    <s v="未知"/>
    <s v="公路客运"/>
    <s v="商用车"/>
    <x v="1"/>
    <x v="4"/>
    <n v="232"/>
  </r>
  <r>
    <n v="482"/>
    <x v="0"/>
    <s v="汽油"/>
    <x v="4"/>
    <s v="未知"/>
    <s v="公路客运"/>
    <s v="商用车"/>
    <x v="1"/>
    <x v="4"/>
    <n v="7424"/>
  </r>
  <r>
    <n v="483"/>
    <x v="0"/>
    <s v="汽油-天然气"/>
    <x v="5"/>
    <s v="未知"/>
    <s v="公路客运"/>
    <s v="商用车"/>
    <x v="1"/>
    <x v="4"/>
    <n v="138"/>
  </r>
  <r>
    <n v="484"/>
    <x v="0"/>
    <s v="柴油"/>
    <x v="1"/>
    <s v="小型客车"/>
    <s v="公路客运"/>
    <s v="商用车"/>
    <x v="1"/>
    <x v="1"/>
    <n v="32"/>
  </r>
  <r>
    <n v="485"/>
    <x v="1"/>
    <s v="柴油"/>
    <x v="1"/>
    <s v="小型客车"/>
    <s v="公路客运"/>
    <s v="商用车"/>
    <x v="1"/>
    <x v="1"/>
    <n v="303"/>
  </r>
  <r>
    <n v="486"/>
    <x v="2"/>
    <s v="柴油"/>
    <x v="1"/>
    <s v="小型客车"/>
    <s v="公路客运"/>
    <s v="商用车"/>
    <x v="1"/>
    <x v="1"/>
    <n v="1114"/>
  </r>
  <r>
    <n v="487"/>
    <x v="3"/>
    <s v="柴油"/>
    <x v="1"/>
    <s v="小型客车"/>
    <s v="公路客运"/>
    <s v="商用车"/>
    <x v="1"/>
    <x v="1"/>
    <n v="2906"/>
  </r>
  <r>
    <n v="488"/>
    <x v="4"/>
    <s v="柴油"/>
    <x v="1"/>
    <s v="小型客车"/>
    <s v="公路客运"/>
    <s v="商用车"/>
    <x v="1"/>
    <x v="1"/>
    <n v="595"/>
  </r>
  <r>
    <n v="489"/>
    <x v="5"/>
    <s v="柴油"/>
    <x v="1"/>
    <s v="小型客车"/>
    <s v="公路客运"/>
    <s v="商用车"/>
    <x v="1"/>
    <x v="1"/>
    <n v="5700"/>
  </r>
  <r>
    <n v="490"/>
    <x v="6"/>
    <s v="柴油"/>
    <x v="1"/>
    <s v="小型客车"/>
    <s v="公路客运"/>
    <s v="商用车"/>
    <x v="1"/>
    <x v="1"/>
    <n v="5033"/>
  </r>
  <r>
    <n v="491"/>
    <x v="4"/>
    <s v="纯电动"/>
    <x v="2"/>
    <s v="小型客车"/>
    <s v="公路客运"/>
    <s v="商用车"/>
    <x v="1"/>
    <x v="1"/>
    <n v="14"/>
  </r>
  <r>
    <n v="492"/>
    <x v="5"/>
    <s v="纯电动"/>
    <x v="2"/>
    <s v="小型客车"/>
    <s v="公路客运"/>
    <s v="商用车"/>
    <x v="1"/>
    <x v="1"/>
    <n v="42"/>
  </r>
  <r>
    <n v="493"/>
    <x v="6"/>
    <s v="纯电动"/>
    <x v="2"/>
    <s v="小型客车"/>
    <s v="公路客运"/>
    <s v="商用车"/>
    <x v="1"/>
    <x v="1"/>
    <n v="40"/>
  </r>
  <r>
    <n v="494"/>
    <x v="0"/>
    <s v="汽油"/>
    <x v="4"/>
    <s v="小型客车"/>
    <s v="公路客运"/>
    <s v="商用车"/>
    <x v="1"/>
    <x v="1"/>
    <n v="15"/>
  </r>
  <r>
    <n v="495"/>
    <x v="1"/>
    <s v="汽油"/>
    <x v="4"/>
    <s v="小型客车"/>
    <s v="公路客运"/>
    <s v="商用车"/>
    <x v="1"/>
    <x v="1"/>
    <n v="687"/>
  </r>
  <r>
    <n v="496"/>
    <x v="2"/>
    <s v="汽油"/>
    <x v="4"/>
    <s v="小型客车"/>
    <s v="公路客运"/>
    <s v="商用车"/>
    <x v="1"/>
    <x v="1"/>
    <n v="1461"/>
  </r>
  <r>
    <n v="497"/>
    <x v="3"/>
    <s v="汽油"/>
    <x v="4"/>
    <s v="小型客车"/>
    <s v="公路客运"/>
    <s v="商用车"/>
    <x v="1"/>
    <x v="1"/>
    <n v="1261"/>
  </r>
  <r>
    <n v="498"/>
    <x v="4"/>
    <s v="汽油"/>
    <x v="4"/>
    <s v="小型客车"/>
    <s v="公路客运"/>
    <s v="商用车"/>
    <x v="1"/>
    <x v="1"/>
    <n v="1100"/>
  </r>
  <r>
    <n v="499"/>
    <x v="5"/>
    <s v="汽油"/>
    <x v="4"/>
    <s v="小型客车"/>
    <s v="公路客运"/>
    <s v="商用车"/>
    <x v="1"/>
    <x v="1"/>
    <n v="1131"/>
  </r>
  <r>
    <n v="500"/>
    <x v="6"/>
    <s v="汽油"/>
    <x v="4"/>
    <s v="小型客车"/>
    <s v="公路客运"/>
    <s v="商用车"/>
    <x v="1"/>
    <x v="1"/>
    <n v="569"/>
  </r>
  <r>
    <n v="501"/>
    <x v="1"/>
    <s v="汽油-天然气"/>
    <x v="5"/>
    <s v="小型客车"/>
    <s v="公路客运"/>
    <s v="商用车"/>
    <x v="1"/>
    <x v="1"/>
    <n v="24"/>
  </r>
  <r>
    <n v="502"/>
    <x v="2"/>
    <s v="汽油-天然气"/>
    <x v="5"/>
    <s v="小型客车"/>
    <s v="公路客运"/>
    <s v="商用车"/>
    <x v="1"/>
    <x v="1"/>
    <n v="72"/>
  </r>
  <r>
    <n v="503"/>
    <x v="3"/>
    <s v="汽油-天然气"/>
    <x v="5"/>
    <s v="小型客车"/>
    <s v="公路客运"/>
    <s v="商用车"/>
    <x v="1"/>
    <x v="1"/>
    <n v="67"/>
  </r>
  <r>
    <n v="504"/>
    <x v="4"/>
    <s v="汽油-天然气"/>
    <x v="5"/>
    <s v="小型客车"/>
    <s v="公路客运"/>
    <s v="商用车"/>
    <x v="1"/>
    <x v="1"/>
    <n v="38"/>
  </r>
  <r>
    <n v="505"/>
    <x v="5"/>
    <s v="汽油-天然气"/>
    <x v="5"/>
    <s v="小型客车"/>
    <s v="公路客运"/>
    <s v="商用车"/>
    <x v="1"/>
    <x v="1"/>
    <n v="10"/>
  </r>
  <r>
    <n v="506"/>
    <x v="1"/>
    <s v="天然气"/>
    <x v="5"/>
    <s v="小型客车"/>
    <s v="公路客运"/>
    <s v="商用车"/>
    <x v="1"/>
    <x v="1"/>
    <n v="13"/>
  </r>
  <r>
    <n v="507"/>
    <x v="2"/>
    <s v="天然气"/>
    <x v="5"/>
    <s v="小型客车"/>
    <s v="公路客运"/>
    <s v="商用车"/>
    <x v="1"/>
    <x v="1"/>
    <n v="12"/>
  </r>
  <r>
    <n v="508"/>
    <x v="3"/>
    <s v="天然气"/>
    <x v="5"/>
    <s v="小型客车"/>
    <s v="公路客运"/>
    <s v="商用车"/>
    <x v="1"/>
    <x v="1"/>
    <n v="52"/>
  </r>
  <r>
    <n v="509"/>
    <x v="5"/>
    <s v="天然气"/>
    <x v="5"/>
    <s v="小型客车"/>
    <s v="公路客运"/>
    <s v="商用车"/>
    <x v="1"/>
    <x v="1"/>
    <n v="8"/>
  </r>
  <r>
    <n v="510"/>
    <x v="2"/>
    <s v="柴油"/>
    <x v="1"/>
    <s v="中型货车"/>
    <s v="公路客运"/>
    <s v="商用车"/>
    <x v="1"/>
    <x v="0"/>
    <n v="29"/>
  </r>
  <r>
    <n v="511"/>
    <x v="2"/>
    <s v="纯电动"/>
    <x v="2"/>
    <s v="中型货车"/>
    <s v="公路客运"/>
    <s v="商用车"/>
    <x v="1"/>
    <x v="0"/>
    <n v="6"/>
  </r>
  <r>
    <n v="512"/>
    <x v="2"/>
    <s v="天然气"/>
    <x v="5"/>
    <s v="中型货车"/>
    <s v="公路客运"/>
    <s v="商用车"/>
    <x v="1"/>
    <x v="0"/>
    <n v="2"/>
  </r>
  <r>
    <n v="513"/>
    <x v="0"/>
    <s v="柴油"/>
    <x v="1"/>
    <s v="中型客车"/>
    <s v="公路客运"/>
    <s v="商用车"/>
    <x v="1"/>
    <x v="0"/>
    <n v="15160"/>
  </r>
  <r>
    <n v="514"/>
    <x v="1"/>
    <s v="柴油"/>
    <x v="1"/>
    <s v="中型客车"/>
    <s v="公路客运"/>
    <s v="商用车"/>
    <x v="1"/>
    <x v="0"/>
    <n v="15083"/>
  </r>
  <r>
    <n v="515"/>
    <x v="2"/>
    <s v="柴油"/>
    <x v="1"/>
    <s v="中型客车"/>
    <s v="公路客运"/>
    <s v="商用车"/>
    <x v="1"/>
    <x v="0"/>
    <n v="9743"/>
  </r>
  <r>
    <n v="516"/>
    <x v="3"/>
    <s v="柴油"/>
    <x v="1"/>
    <s v="中型客车"/>
    <s v="公路客运"/>
    <s v="商用车"/>
    <x v="1"/>
    <x v="0"/>
    <n v="7579"/>
  </r>
  <r>
    <n v="517"/>
    <x v="4"/>
    <s v="柴油"/>
    <x v="1"/>
    <s v="中型客车"/>
    <s v="公路客运"/>
    <s v="商用车"/>
    <x v="1"/>
    <x v="0"/>
    <n v="8614"/>
  </r>
  <r>
    <n v="518"/>
    <x v="5"/>
    <s v="柴油"/>
    <x v="1"/>
    <s v="中型客车"/>
    <s v="公路客运"/>
    <s v="商用车"/>
    <x v="1"/>
    <x v="0"/>
    <n v="2894"/>
  </r>
  <r>
    <n v="519"/>
    <x v="6"/>
    <s v="柴油"/>
    <x v="1"/>
    <s v="中型客车"/>
    <s v="公路客运"/>
    <s v="商用车"/>
    <x v="1"/>
    <x v="0"/>
    <n v="4601"/>
  </r>
  <r>
    <n v="520"/>
    <x v="3"/>
    <s v="纯电动"/>
    <x v="2"/>
    <s v="中型客车"/>
    <s v="公路客运"/>
    <s v="商用车"/>
    <x v="1"/>
    <x v="0"/>
    <n v="1"/>
  </r>
  <r>
    <n v="521"/>
    <x v="4"/>
    <s v="纯电动"/>
    <x v="2"/>
    <s v="中型客车"/>
    <s v="公路客运"/>
    <s v="商用车"/>
    <x v="1"/>
    <x v="0"/>
    <n v="181"/>
  </r>
  <r>
    <n v="522"/>
    <x v="5"/>
    <s v="纯电动"/>
    <x v="2"/>
    <s v="中型客车"/>
    <s v="公路客运"/>
    <s v="商用车"/>
    <x v="1"/>
    <x v="0"/>
    <n v="52"/>
  </r>
  <r>
    <n v="523"/>
    <x v="6"/>
    <s v="纯电动"/>
    <x v="2"/>
    <s v="中型客车"/>
    <s v="公路客运"/>
    <s v="商用车"/>
    <x v="1"/>
    <x v="0"/>
    <n v="258"/>
  </r>
  <r>
    <n v="524"/>
    <x v="0"/>
    <s v="汽油"/>
    <x v="4"/>
    <s v="中型客车"/>
    <s v="公路客运"/>
    <s v="商用车"/>
    <x v="1"/>
    <x v="0"/>
    <n v="929"/>
  </r>
  <r>
    <n v="525"/>
    <x v="1"/>
    <s v="汽油"/>
    <x v="4"/>
    <s v="中型客车"/>
    <s v="公路客运"/>
    <s v="商用车"/>
    <x v="1"/>
    <x v="0"/>
    <n v="1040"/>
  </r>
  <r>
    <n v="526"/>
    <x v="2"/>
    <s v="汽油"/>
    <x v="4"/>
    <s v="中型客车"/>
    <s v="公路客运"/>
    <s v="商用车"/>
    <x v="1"/>
    <x v="0"/>
    <n v="853"/>
  </r>
  <r>
    <n v="527"/>
    <x v="3"/>
    <s v="汽油"/>
    <x v="4"/>
    <s v="中型客车"/>
    <s v="公路客运"/>
    <s v="商用车"/>
    <x v="1"/>
    <x v="0"/>
    <n v="374"/>
  </r>
  <r>
    <n v="528"/>
    <x v="4"/>
    <s v="汽油"/>
    <x v="4"/>
    <s v="中型客车"/>
    <s v="公路客运"/>
    <s v="商用车"/>
    <x v="1"/>
    <x v="0"/>
    <n v="505"/>
  </r>
  <r>
    <n v="529"/>
    <x v="5"/>
    <s v="汽油"/>
    <x v="4"/>
    <s v="中型客车"/>
    <s v="公路客运"/>
    <s v="商用车"/>
    <x v="1"/>
    <x v="0"/>
    <n v="159"/>
  </r>
  <r>
    <n v="530"/>
    <x v="6"/>
    <s v="汽油"/>
    <x v="4"/>
    <s v="中型客车"/>
    <s v="公路客运"/>
    <s v="商用车"/>
    <x v="1"/>
    <x v="0"/>
    <n v="358"/>
  </r>
  <r>
    <n v="531"/>
    <x v="0"/>
    <s v="汽油-天然气"/>
    <x v="5"/>
    <s v="中型客车"/>
    <s v="公路客运"/>
    <s v="商用车"/>
    <x v="1"/>
    <x v="0"/>
    <n v="316"/>
  </r>
  <r>
    <n v="532"/>
    <x v="1"/>
    <s v="汽油-天然气"/>
    <x v="5"/>
    <s v="中型客车"/>
    <s v="公路客运"/>
    <s v="商用车"/>
    <x v="1"/>
    <x v="0"/>
    <n v="61"/>
  </r>
  <r>
    <n v="533"/>
    <x v="6"/>
    <s v="汽油-天然气"/>
    <x v="5"/>
    <s v="中型客车"/>
    <s v="公路客运"/>
    <s v="商用车"/>
    <x v="1"/>
    <x v="0"/>
    <n v="1"/>
  </r>
  <r>
    <n v="534"/>
    <x v="0"/>
    <s v="天然气"/>
    <x v="5"/>
    <s v="中型客车"/>
    <s v="公路客运"/>
    <s v="商用车"/>
    <x v="1"/>
    <x v="0"/>
    <n v="195"/>
  </r>
  <r>
    <n v="535"/>
    <x v="1"/>
    <s v="天然气"/>
    <x v="5"/>
    <s v="中型客车"/>
    <s v="公路客运"/>
    <s v="商用车"/>
    <x v="1"/>
    <x v="0"/>
    <n v="250"/>
  </r>
  <r>
    <n v="536"/>
    <x v="2"/>
    <s v="天然气"/>
    <x v="5"/>
    <s v="中型客车"/>
    <s v="公路客运"/>
    <s v="商用车"/>
    <x v="1"/>
    <x v="0"/>
    <n v="144"/>
  </r>
  <r>
    <n v="537"/>
    <x v="3"/>
    <s v="天然气"/>
    <x v="5"/>
    <s v="中型客车"/>
    <s v="公路客运"/>
    <s v="商用车"/>
    <x v="1"/>
    <x v="0"/>
    <n v="57"/>
  </r>
  <r>
    <n v="538"/>
    <x v="4"/>
    <s v="天然气"/>
    <x v="5"/>
    <s v="中型客车"/>
    <s v="公路客运"/>
    <s v="商用车"/>
    <x v="1"/>
    <x v="0"/>
    <n v="82"/>
  </r>
  <r>
    <n v="539"/>
    <x v="5"/>
    <s v="天然气"/>
    <x v="5"/>
    <s v="中型客车"/>
    <s v="公路客运"/>
    <s v="商用车"/>
    <x v="1"/>
    <x v="0"/>
    <n v="4"/>
  </r>
  <r>
    <n v="540"/>
    <x v="6"/>
    <s v="天然气"/>
    <x v="5"/>
    <s v="中型客车"/>
    <s v="公路客运"/>
    <s v="商用车"/>
    <x v="1"/>
    <x v="0"/>
    <n v="16"/>
  </r>
  <r>
    <n v="541"/>
    <x v="2"/>
    <s v="柴油"/>
    <x v="1"/>
    <s v="重型货车"/>
    <s v="公路客运"/>
    <s v="商用车"/>
    <x v="1"/>
    <x v="0"/>
    <n v="51"/>
  </r>
  <r>
    <n v="542"/>
    <x v="2"/>
    <s v="天然气"/>
    <x v="5"/>
    <s v="重型货车"/>
    <s v="公路客运"/>
    <s v="商用车"/>
    <x v="1"/>
    <x v="0"/>
    <n v="30"/>
  </r>
  <r>
    <n v="543"/>
    <x v="1"/>
    <s v="柴油"/>
    <x v="1"/>
    <s v="大型客车"/>
    <s v="未知"/>
    <s v="商用车"/>
    <x v="1"/>
    <x v="0"/>
    <n v="1347"/>
  </r>
  <r>
    <n v="544"/>
    <x v="2"/>
    <s v="柴油"/>
    <x v="1"/>
    <s v="大型客车"/>
    <s v="未知"/>
    <s v="商用车"/>
    <x v="1"/>
    <x v="0"/>
    <n v="1157"/>
  </r>
  <r>
    <n v="545"/>
    <x v="3"/>
    <s v="柴油"/>
    <x v="1"/>
    <s v="大型客车"/>
    <s v="未知"/>
    <s v="商用车"/>
    <x v="1"/>
    <x v="0"/>
    <n v="1353"/>
  </r>
  <r>
    <n v="546"/>
    <x v="4"/>
    <s v="柴油"/>
    <x v="1"/>
    <s v="大型客车"/>
    <s v="未知"/>
    <s v="商用车"/>
    <x v="1"/>
    <x v="0"/>
    <n v="943"/>
  </r>
  <r>
    <n v="547"/>
    <x v="5"/>
    <s v="柴油"/>
    <x v="1"/>
    <s v="大型客车"/>
    <s v="未知"/>
    <s v="商用车"/>
    <x v="1"/>
    <x v="0"/>
    <n v="588"/>
  </r>
  <r>
    <n v="548"/>
    <x v="6"/>
    <s v="柴油"/>
    <x v="1"/>
    <s v="大型客车"/>
    <s v="未知"/>
    <s v="商用车"/>
    <x v="1"/>
    <x v="0"/>
    <n v="520"/>
  </r>
  <r>
    <n v="549"/>
    <x v="4"/>
    <s v="纯电动"/>
    <x v="2"/>
    <s v="大型客车"/>
    <s v="未知"/>
    <s v="商用车"/>
    <x v="1"/>
    <x v="0"/>
    <n v="1"/>
  </r>
  <r>
    <n v="550"/>
    <x v="5"/>
    <s v="纯电动"/>
    <x v="2"/>
    <s v="大型客车"/>
    <s v="未知"/>
    <s v="商用车"/>
    <x v="1"/>
    <x v="0"/>
    <n v="1"/>
  </r>
  <r>
    <n v="551"/>
    <x v="6"/>
    <s v="纯电动"/>
    <x v="2"/>
    <s v="大型客车"/>
    <s v="未知"/>
    <s v="商用车"/>
    <x v="1"/>
    <x v="0"/>
    <n v="3"/>
  </r>
  <r>
    <n v="552"/>
    <x v="1"/>
    <s v="汽油"/>
    <x v="4"/>
    <s v="大型客车"/>
    <s v="未知"/>
    <s v="商用车"/>
    <x v="1"/>
    <x v="0"/>
    <n v="49"/>
  </r>
  <r>
    <n v="553"/>
    <x v="2"/>
    <s v="汽油"/>
    <x v="4"/>
    <s v="大型客车"/>
    <s v="未知"/>
    <s v="商用车"/>
    <x v="1"/>
    <x v="0"/>
    <n v="25"/>
  </r>
  <r>
    <n v="554"/>
    <x v="3"/>
    <s v="汽油"/>
    <x v="4"/>
    <s v="大型客车"/>
    <s v="未知"/>
    <s v="商用车"/>
    <x v="1"/>
    <x v="0"/>
    <n v="267"/>
  </r>
  <r>
    <n v="555"/>
    <x v="4"/>
    <s v="汽油"/>
    <x v="4"/>
    <s v="大型客车"/>
    <s v="未知"/>
    <s v="商用车"/>
    <x v="1"/>
    <x v="0"/>
    <n v="257"/>
  </r>
  <r>
    <n v="556"/>
    <x v="5"/>
    <s v="汽油"/>
    <x v="4"/>
    <s v="大型客车"/>
    <s v="未知"/>
    <s v="商用车"/>
    <x v="1"/>
    <x v="0"/>
    <n v="33"/>
  </r>
  <r>
    <n v="557"/>
    <x v="6"/>
    <s v="汽油"/>
    <x v="4"/>
    <s v="大型客车"/>
    <s v="未知"/>
    <s v="商用车"/>
    <x v="1"/>
    <x v="0"/>
    <n v="32"/>
  </r>
  <r>
    <n v="558"/>
    <x v="3"/>
    <s v="燃料电池"/>
    <x v="6"/>
    <s v="大型客车"/>
    <s v="未知"/>
    <s v="商用车"/>
    <x v="1"/>
    <x v="0"/>
    <n v="1"/>
  </r>
  <r>
    <n v="559"/>
    <x v="1"/>
    <s v="天然气"/>
    <x v="5"/>
    <s v="大型客车"/>
    <s v="未知"/>
    <s v="商用车"/>
    <x v="1"/>
    <x v="0"/>
    <n v="3"/>
  </r>
  <r>
    <n v="560"/>
    <x v="4"/>
    <s v="天然气"/>
    <x v="5"/>
    <s v="大型客车"/>
    <s v="未知"/>
    <s v="商用车"/>
    <x v="1"/>
    <x v="0"/>
    <n v="2"/>
  </r>
  <r>
    <n v="561"/>
    <x v="4"/>
    <s v="插电式混合动力"/>
    <x v="0"/>
    <s v="轻型货车"/>
    <s v="未知"/>
    <s v="商用车"/>
    <x v="2"/>
    <x v="2"/>
    <n v="16"/>
  </r>
  <r>
    <n v="562"/>
    <x v="5"/>
    <s v="插电式混合动力"/>
    <x v="0"/>
    <s v="轻型货车"/>
    <s v="未知"/>
    <s v="商用车"/>
    <x v="2"/>
    <x v="2"/>
    <n v="47"/>
  </r>
  <r>
    <n v="563"/>
    <x v="6"/>
    <s v="插电式混合动力"/>
    <x v="0"/>
    <s v="轻型货车"/>
    <s v="未知"/>
    <s v="商用车"/>
    <x v="2"/>
    <x v="2"/>
    <n v="128"/>
  </r>
  <r>
    <n v="564"/>
    <x v="1"/>
    <s v="柴油"/>
    <x v="1"/>
    <s v="轻型货车"/>
    <s v="未知"/>
    <s v="商用车"/>
    <x v="2"/>
    <x v="2"/>
    <n v="21019"/>
  </r>
  <r>
    <n v="565"/>
    <x v="2"/>
    <s v="柴油"/>
    <x v="1"/>
    <s v="轻型货车"/>
    <s v="未知"/>
    <s v="商用车"/>
    <x v="2"/>
    <x v="2"/>
    <n v="26223"/>
  </r>
  <r>
    <n v="566"/>
    <x v="3"/>
    <s v="柴油"/>
    <x v="1"/>
    <s v="轻型货车"/>
    <s v="未知"/>
    <s v="商用车"/>
    <x v="2"/>
    <x v="2"/>
    <n v="27453"/>
  </r>
  <r>
    <n v="567"/>
    <x v="4"/>
    <s v="柴油"/>
    <x v="1"/>
    <s v="轻型货车"/>
    <s v="未知"/>
    <s v="商用车"/>
    <x v="2"/>
    <x v="2"/>
    <n v="35385"/>
  </r>
  <r>
    <n v="568"/>
    <x v="5"/>
    <s v="柴油"/>
    <x v="1"/>
    <s v="轻型货车"/>
    <s v="未知"/>
    <s v="商用车"/>
    <x v="2"/>
    <x v="2"/>
    <n v="29548"/>
  </r>
  <r>
    <n v="569"/>
    <x v="6"/>
    <s v="柴油"/>
    <x v="1"/>
    <s v="轻型货车"/>
    <s v="未知"/>
    <s v="商用车"/>
    <x v="2"/>
    <x v="2"/>
    <n v="33028"/>
  </r>
  <r>
    <n v="570"/>
    <x v="1"/>
    <s v="纯电动"/>
    <x v="2"/>
    <s v="轻型货车"/>
    <s v="未知"/>
    <s v="商用车"/>
    <x v="2"/>
    <x v="2"/>
    <n v="657"/>
  </r>
  <r>
    <n v="571"/>
    <x v="2"/>
    <s v="纯电动"/>
    <x v="2"/>
    <s v="轻型货车"/>
    <s v="未知"/>
    <s v="商用车"/>
    <x v="2"/>
    <x v="2"/>
    <n v="12290"/>
  </r>
  <r>
    <n v="572"/>
    <x v="3"/>
    <s v="纯电动"/>
    <x v="2"/>
    <s v="轻型货车"/>
    <s v="未知"/>
    <s v="商用车"/>
    <x v="2"/>
    <x v="2"/>
    <n v="963"/>
  </r>
  <r>
    <n v="573"/>
    <x v="4"/>
    <s v="纯电动"/>
    <x v="2"/>
    <s v="轻型货车"/>
    <s v="未知"/>
    <s v="商用车"/>
    <x v="2"/>
    <x v="2"/>
    <n v="963"/>
  </r>
  <r>
    <n v="574"/>
    <x v="5"/>
    <s v="纯电动"/>
    <x v="2"/>
    <s v="轻型货车"/>
    <s v="未知"/>
    <s v="商用车"/>
    <x v="2"/>
    <x v="2"/>
    <n v="613"/>
  </r>
  <r>
    <n v="575"/>
    <x v="6"/>
    <s v="纯电动"/>
    <x v="2"/>
    <s v="轻型货车"/>
    <s v="未知"/>
    <s v="商用车"/>
    <x v="2"/>
    <x v="2"/>
    <n v="727"/>
  </r>
  <r>
    <n v="576"/>
    <x v="1"/>
    <s v="汽油"/>
    <x v="4"/>
    <s v="轻型货车"/>
    <s v="未知"/>
    <s v="商用车"/>
    <x v="2"/>
    <x v="2"/>
    <n v="12569"/>
  </r>
  <r>
    <n v="577"/>
    <x v="2"/>
    <s v="汽油"/>
    <x v="4"/>
    <s v="轻型货车"/>
    <s v="未知"/>
    <s v="商用车"/>
    <x v="2"/>
    <x v="2"/>
    <n v="19171"/>
  </r>
  <r>
    <n v="578"/>
    <x v="3"/>
    <s v="汽油"/>
    <x v="4"/>
    <s v="轻型货车"/>
    <s v="未知"/>
    <s v="商用车"/>
    <x v="2"/>
    <x v="2"/>
    <n v="13738"/>
  </r>
  <r>
    <n v="579"/>
    <x v="4"/>
    <s v="汽油"/>
    <x v="4"/>
    <s v="轻型货车"/>
    <s v="未知"/>
    <s v="商用车"/>
    <x v="2"/>
    <x v="2"/>
    <n v="13035"/>
  </r>
  <r>
    <n v="580"/>
    <x v="5"/>
    <s v="汽油"/>
    <x v="4"/>
    <s v="轻型货车"/>
    <s v="未知"/>
    <s v="商用车"/>
    <x v="2"/>
    <x v="2"/>
    <n v="7411"/>
  </r>
  <r>
    <n v="581"/>
    <x v="6"/>
    <s v="汽油"/>
    <x v="4"/>
    <s v="轻型货车"/>
    <s v="未知"/>
    <s v="商用车"/>
    <x v="2"/>
    <x v="2"/>
    <n v="6224"/>
  </r>
  <r>
    <n v="582"/>
    <x v="1"/>
    <s v="汽油-天然气"/>
    <x v="5"/>
    <s v="轻型货车"/>
    <s v="未知"/>
    <s v="商用车"/>
    <x v="2"/>
    <x v="2"/>
    <n v="113"/>
  </r>
  <r>
    <n v="583"/>
    <x v="2"/>
    <s v="汽油-天然气"/>
    <x v="5"/>
    <s v="轻型货车"/>
    <s v="未知"/>
    <s v="商用车"/>
    <x v="2"/>
    <x v="2"/>
    <n v="65"/>
  </r>
  <r>
    <n v="584"/>
    <x v="3"/>
    <s v="汽油-天然气"/>
    <x v="5"/>
    <s v="轻型货车"/>
    <s v="未知"/>
    <s v="商用车"/>
    <x v="2"/>
    <x v="2"/>
    <n v="20"/>
  </r>
  <r>
    <n v="585"/>
    <x v="4"/>
    <s v="汽油-天然气"/>
    <x v="5"/>
    <s v="轻型货车"/>
    <s v="未知"/>
    <s v="商用车"/>
    <x v="2"/>
    <x v="2"/>
    <n v="38"/>
  </r>
  <r>
    <n v="586"/>
    <x v="6"/>
    <s v="汽油-天然气"/>
    <x v="5"/>
    <s v="轻型货车"/>
    <s v="未知"/>
    <s v="商用车"/>
    <x v="2"/>
    <x v="2"/>
    <n v="1"/>
  </r>
  <r>
    <n v="587"/>
    <x v="1"/>
    <s v="天然气"/>
    <x v="5"/>
    <s v="轻型货车"/>
    <s v="未知"/>
    <s v="商用车"/>
    <x v="2"/>
    <x v="2"/>
    <n v="27"/>
  </r>
  <r>
    <n v="588"/>
    <x v="2"/>
    <s v="天然气"/>
    <x v="5"/>
    <s v="轻型货车"/>
    <s v="未知"/>
    <s v="商用车"/>
    <x v="2"/>
    <x v="2"/>
    <n v="38"/>
  </r>
  <r>
    <n v="589"/>
    <x v="3"/>
    <s v="天然气"/>
    <x v="5"/>
    <s v="轻型货车"/>
    <s v="未知"/>
    <s v="商用车"/>
    <x v="2"/>
    <x v="2"/>
    <n v="6"/>
  </r>
  <r>
    <n v="590"/>
    <x v="4"/>
    <s v="天然气"/>
    <x v="5"/>
    <s v="轻型货车"/>
    <s v="未知"/>
    <s v="商用车"/>
    <x v="2"/>
    <x v="2"/>
    <n v="4"/>
  </r>
  <r>
    <n v="591"/>
    <x v="5"/>
    <s v="天然气"/>
    <x v="5"/>
    <s v="轻型货车"/>
    <s v="未知"/>
    <s v="商用车"/>
    <x v="2"/>
    <x v="2"/>
    <n v="5"/>
  </r>
  <r>
    <n v="592"/>
    <x v="6"/>
    <s v="天然气"/>
    <x v="5"/>
    <s v="轻型货车"/>
    <s v="未知"/>
    <s v="商用车"/>
    <x v="2"/>
    <x v="2"/>
    <n v="1"/>
  </r>
  <r>
    <n v="593"/>
    <x v="1"/>
    <s v="柴油"/>
    <x v="1"/>
    <s v="微型货车"/>
    <s v="未知"/>
    <s v="商用车"/>
    <x v="2"/>
    <x v="2"/>
    <n v="64"/>
  </r>
  <r>
    <n v="594"/>
    <x v="2"/>
    <s v="柴油"/>
    <x v="1"/>
    <s v="微型货车"/>
    <s v="未知"/>
    <s v="商用车"/>
    <x v="2"/>
    <x v="2"/>
    <n v="19"/>
  </r>
  <r>
    <n v="595"/>
    <x v="2"/>
    <s v="纯电动"/>
    <x v="2"/>
    <s v="微型货车"/>
    <s v="未知"/>
    <s v="商用车"/>
    <x v="2"/>
    <x v="2"/>
    <n v="3"/>
  </r>
  <r>
    <n v="596"/>
    <x v="5"/>
    <s v="纯电动"/>
    <x v="2"/>
    <s v="微型货车"/>
    <s v="未知"/>
    <s v="商用车"/>
    <x v="2"/>
    <x v="2"/>
    <n v="1"/>
  </r>
  <r>
    <n v="597"/>
    <x v="1"/>
    <s v="柴油"/>
    <x v="1"/>
    <s v="微型客车"/>
    <s v="未知"/>
    <s v="商用车"/>
    <x v="3"/>
    <x v="1"/>
    <n v="7"/>
  </r>
  <r>
    <n v="598"/>
    <x v="2"/>
    <s v="柴油"/>
    <x v="1"/>
    <s v="微型客车"/>
    <s v="未知"/>
    <s v="商用车"/>
    <x v="3"/>
    <x v="1"/>
    <n v="2"/>
  </r>
  <r>
    <n v="599"/>
    <x v="1"/>
    <s v="柴油"/>
    <x v="1"/>
    <s v="小型客车"/>
    <s v="未知"/>
    <s v="商用车"/>
    <x v="3"/>
    <x v="1"/>
    <n v="11732"/>
  </r>
  <r>
    <n v="600"/>
    <x v="2"/>
    <s v="柴油"/>
    <x v="1"/>
    <s v="小型客车"/>
    <s v="未知"/>
    <s v="商用车"/>
    <x v="3"/>
    <x v="1"/>
    <n v="9427"/>
  </r>
  <r>
    <n v="601"/>
    <x v="3"/>
    <s v="柴油"/>
    <x v="1"/>
    <s v="小型客车"/>
    <s v="未知"/>
    <s v="商用车"/>
    <x v="3"/>
    <x v="1"/>
    <n v="10374"/>
  </r>
  <r>
    <n v="602"/>
    <x v="4"/>
    <s v="柴油"/>
    <x v="1"/>
    <s v="小型客车"/>
    <s v="未知"/>
    <s v="商用车"/>
    <x v="3"/>
    <x v="1"/>
    <n v="7494"/>
  </r>
  <r>
    <n v="603"/>
    <x v="5"/>
    <s v="柴油"/>
    <x v="1"/>
    <s v="小型客车"/>
    <s v="未知"/>
    <s v="商用车"/>
    <x v="3"/>
    <x v="1"/>
    <n v="6595"/>
  </r>
  <r>
    <n v="604"/>
    <x v="6"/>
    <s v="柴油"/>
    <x v="1"/>
    <s v="小型客车"/>
    <s v="未知"/>
    <s v="商用车"/>
    <x v="3"/>
    <x v="1"/>
    <n v="4512"/>
  </r>
  <r>
    <n v="605"/>
    <x v="1"/>
    <s v="纯电动"/>
    <x v="2"/>
    <s v="小型客车"/>
    <s v="未知"/>
    <s v="商用车"/>
    <x v="3"/>
    <x v="1"/>
    <n v="28"/>
  </r>
  <r>
    <n v="606"/>
    <x v="2"/>
    <s v="纯电动"/>
    <x v="2"/>
    <s v="小型客车"/>
    <s v="未知"/>
    <s v="商用车"/>
    <x v="3"/>
    <x v="1"/>
    <n v="60"/>
  </r>
  <r>
    <n v="607"/>
    <x v="3"/>
    <s v="纯电动"/>
    <x v="2"/>
    <s v="小型客车"/>
    <s v="未知"/>
    <s v="商用车"/>
    <x v="3"/>
    <x v="1"/>
    <n v="49"/>
  </r>
  <r>
    <n v="608"/>
    <x v="4"/>
    <s v="纯电动"/>
    <x v="2"/>
    <s v="小型客车"/>
    <s v="未知"/>
    <s v="商用车"/>
    <x v="3"/>
    <x v="1"/>
    <n v="35"/>
  </r>
  <r>
    <n v="609"/>
    <x v="5"/>
    <s v="纯电动"/>
    <x v="2"/>
    <s v="小型客车"/>
    <s v="未知"/>
    <s v="商用车"/>
    <x v="3"/>
    <x v="1"/>
    <n v="167"/>
  </r>
  <r>
    <n v="610"/>
    <x v="6"/>
    <s v="纯电动"/>
    <x v="2"/>
    <s v="小型客车"/>
    <s v="未知"/>
    <s v="商用车"/>
    <x v="3"/>
    <x v="1"/>
    <n v="143"/>
  </r>
  <r>
    <n v="611"/>
    <x v="1"/>
    <s v="汽油"/>
    <x v="4"/>
    <s v="小型客车"/>
    <s v="未知"/>
    <s v="商用车"/>
    <x v="3"/>
    <x v="1"/>
    <n v="7690"/>
  </r>
  <r>
    <n v="612"/>
    <x v="2"/>
    <s v="汽油"/>
    <x v="4"/>
    <s v="小型客车"/>
    <s v="未知"/>
    <s v="商用车"/>
    <x v="3"/>
    <x v="1"/>
    <n v="7191"/>
  </r>
  <r>
    <n v="613"/>
    <x v="3"/>
    <s v="汽油"/>
    <x v="4"/>
    <s v="小型客车"/>
    <s v="未知"/>
    <s v="商用车"/>
    <x v="3"/>
    <x v="1"/>
    <n v="5253"/>
  </r>
  <r>
    <n v="614"/>
    <x v="4"/>
    <s v="汽油"/>
    <x v="4"/>
    <s v="小型客车"/>
    <s v="未知"/>
    <s v="商用车"/>
    <x v="3"/>
    <x v="1"/>
    <n v="4099"/>
  </r>
  <r>
    <n v="615"/>
    <x v="5"/>
    <s v="汽油"/>
    <x v="4"/>
    <s v="小型客车"/>
    <s v="未知"/>
    <s v="商用车"/>
    <x v="3"/>
    <x v="1"/>
    <n v="2696"/>
  </r>
  <r>
    <n v="616"/>
    <x v="6"/>
    <s v="汽油"/>
    <x v="4"/>
    <s v="小型客车"/>
    <s v="未知"/>
    <s v="商用车"/>
    <x v="3"/>
    <x v="1"/>
    <n v="3776"/>
  </r>
  <r>
    <n v="617"/>
    <x v="2"/>
    <s v="插电式混合动力"/>
    <x v="0"/>
    <s v="中型货车"/>
    <s v="未知"/>
    <s v="商用车"/>
    <x v="4"/>
    <x v="3"/>
    <n v="200"/>
  </r>
  <r>
    <n v="618"/>
    <x v="5"/>
    <s v="插电式混合动力"/>
    <x v="0"/>
    <s v="中型货车"/>
    <s v="未知"/>
    <s v="商用车"/>
    <x v="4"/>
    <x v="3"/>
    <n v="3"/>
  </r>
  <r>
    <n v="619"/>
    <x v="6"/>
    <s v="插电式混合动力"/>
    <x v="0"/>
    <s v="中型货车"/>
    <s v="未知"/>
    <s v="商用车"/>
    <x v="4"/>
    <x v="3"/>
    <n v="6"/>
  </r>
  <r>
    <n v="620"/>
    <x v="1"/>
    <s v="柴油"/>
    <x v="1"/>
    <s v="中型货车"/>
    <s v="未知"/>
    <s v="商用车"/>
    <x v="4"/>
    <x v="3"/>
    <n v="32490"/>
  </r>
  <r>
    <n v="621"/>
    <x v="2"/>
    <s v="柴油"/>
    <x v="1"/>
    <s v="中型货车"/>
    <s v="未知"/>
    <s v="商用车"/>
    <x v="4"/>
    <x v="3"/>
    <n v="29338"/>
  </r>
  <r>
    <n v="622"/>
    <x v="3"/>
    <s v="柴油"/>
    <x v="1"/>
    <s v="中型货车"/>
    <s v="未知"/>
    <s v="商用车"/>
    <x v="4"/>
    <x v="3"/>
    <n v="27092"/>
  </r>
  <r>
    <n v="623"/>
    <x v="4"/>
    <s v="柴油"/>
    <x v="1"/>
    <s v="中型货车"/>
    <s v="未知"/>
    <s v="商用车"/>
    <x v="4"/>
    <x v="3"/>
    <n v="27024"/>
  </r>
  <r>
    <n v="624"/>
    <x v="5"/>
    <s v="柴油"/>
    <x v="1"/>
    <s v="中型货车"/>
    <s v="未知"/>
    <s v="商用车"/>
    <x v="4"/>
    <x v="3"/>
    <n v="18610"/>
  </r>
  <r>
    <n v="625"/>
    <x v="6"/>
    <s v="柴油"/>
    <x v="1"/>
    <s v="中型货车"/>
    <s v="未知"/>
    <s v="商用车"/>
    <x v="4"/>
    <x v="3"/>
    <n v="15686"/>
  </r>
  <r>
    <n v="626"/>
    <x v="1"/>
    <s v="纯电动"/>
    <x v="2"/>
    <s v="中型货车"/>
    <s v="未知"/>
    <s v="商用车"/>
    <x v="4"/>
    <x v="3"/>
    <n v="319"/>
  </r>
  <r>
    <n v="627"/>
    <x v="2"/>
    <s v="纯电动"/>
    <x v="2"/>
    <s v="中型货车"/>
    <s v="未知"/>
    <s v="商用车"/>
    <x v="4"/>
    <x v="3"/>
    <n v="4720"/>
  </r>
  <r>
    <n v="628"/>
    <x v="3"/>
    <s v="纯电动"/>
    <x v="2"/>
    <s v="中型货车"/>
    <s v="未知"/>
    <s v="商用车"/>
    <x v="4"/>
    <x v="3"/>
    <n v="741"/>
  </r>
  <r>
    <n v="629"/>
    <x v="4"/>
    <s v="纯电动"/>
    <x v="2"/>
    <s v="中型货车"/>
    <s v="未知"/>
    <s v="商用车"/>
    <x v="4"/>
    <x v="3"/>
    <n v="639"/>
  </r>
  <r>
    <n v="630"/>
    <x v="5"/>
    <s v="纯电动"/>
    <x v="2"/>
    <s v="中型货车"/>
    <s v="未知"/>
    <s v="商用车"/>
    <x v="4"/>
    <x v="3"/>
    <n v="705"/>
  </r>
  <r>
    <n v="631"/>
    <x v="6"/>
    <s v="纯电动"/>
    <x v="2"/>
    <s v="中型货车"/>
    <s v="未知"/>
    <s v="商用车"/>
    <x v="4"/>
    <x v="3"/>
    <n v="270"/>
  </r>
  <r>
    <n v="632"/>
    <x v="2"/>
    <s v="混合动力"/>
    <x v="3"/>
    <s v="中型货车"/>
    <s v="未知"/>
    <s v="商用车"/>
    <x v="4"/>
    <x v="3"/>
    <n v="1"/>
  </r>
  <r>
    <n v="633"/>
    <x v="1"/>
    <s v="汽油"/>
    <x v="4"/>
    <s v="中型货车"/>
    <s v="未知"/>
    <s v="商用车"/>
    <x v="4"/>
    <x v="3"/>
    <n v="12"/>
  </r>
  <r>
    <n v="634"/>
    <x v="2"/>
    <s v="汽油"/>
    <x v="4"/>
    <s v="中型货车"/>
    <s v="未知"/>
    <s v="商用车"/>
    <x v="4"/>
    <x v="3"/>
    <n v="24"/>
  </r>
  <r>
    <n v="635"/>
    <x v="3"/>
    <s v="汽油"/>
    <x v="4"/>
    <s v="中型货车"/>
    <s v="未知"/>
    <s v="商用车"/>
    <x v="4"/>
    <x v="3"/>
    <n v="18"/>
  </r>
  <r>
    <n v="636"/>
    <x v="4"/>
    <s v="汽油"/>
    <x v="4"/>
    <s v="中型货车"/>
    <s v="未知"/>
    <s v="商用车"/>
    <x v="4"/>
    <x v="3"/>
    <n v="12"/>
  </r>
  <r>
    <n v="637"/>
    <x v="5"/>
    <s v="汽油"/>
    <x v="4"/>
    <s v="中型货车"/>
    <s v="未知"/>
    <s v="商用车"/>
    <x v="4"/>
    <x v="3"/>
    <n v="5"/>
  </r>
  <r>
    <n v="638"/>
    <x v="1"/>
    <s v="汽油-天然气"/>
    <x v="5"/>
    <s v="中型货车"/>
    <s v="未知"/>
    <s v="商用车"/>
    <x v="4"/>
    <x v="3"/>
    <n v="5"/>
  </r>
  <r>
    <n v="639"/>
    <x v="2"/>
    <s v="燃料电池"/>
    <x v="6"/>
    <s v="中型货车"/>
    <s v="未知"/>
    <s v="商用车"/>
    <x v="4"/>
    <x v="3"/>
    <n v="531"/>
  </r>
  <r>
    <n v="640"/>
    <x v="3"/>
    <s v="燃料电池"/>
    <x v="6"/>
    <s v="中型货车"/>
    <s v="未知"/>
    <s v="商用车"/>
    <x v="4"/>
    <x v="3"/>
    <n v="1"/>
  </r>
  <r>
    <n v="641"/>
    <x v="4"/>
    <s v="燃料电池"/>
    <x v="6"/>
    <s v="中型货车"/>
    <s v="未知"/>
    <s v="商用车"/>
    <x v="4"/>
    <x v="3"/>
    <n v="411"/>
  </r>
  <r>
    <n v="642"/>
    <x v="5"/>
    <s v="燃料电池"/>
    <x v="6"/>
    <s v="中型货车"/>
    <s v="未知"/>
    <s v="商用车"/>
    <x v="4"/>
    <x v="3"/>
    <n v="63"/>
  </r>
  <r>
    <n v="643"/>
    <x v="6"/>
    <s v="燃料电池"/>
    <x v="6"/>
    <s v="中型货车"/>
    <s v="未知"/>
    <s v="商用车"/>
    <x v="4"/>
    <x v="3"/>
    <n v="7"/>
  </r>
  <r>
    <n v="644"/>
    <x v="1"/>
    <s v="天然气"/>
    <x v="5"/>
    <s v="中型货车"/>
    <s v="未知"/>
    <s v="商用车"/>
    <x v="4"/>
    <x v="3"/>
    <n v="121"/>
  </r>
  <r>
    <n v="645"/>
    <x v="2"/>
    <s v="天然气"/>
    <x v="5"/>
    <s v="中型货车"/>
    <s v="未知"/>
    <s v="商用车"/>
    <x v="4"/>
    <x v="3"/>
    <n v="319"/>
  </r>
  <r>
    <n v="646"/>
    <x v="3"/>
    <s v="天然气"/>
    <x v="5"/>
    <s v="中型货车"/>
    <s v="未知"/>
    <s v="商用车"/>
    <x v="4"/>
    <x v="3"/>
    <n v="264"/>
  </r>
  <r>
    <n v="647"/>
    <x v="4"/>
    <s v="天然气"/>
    <x v="5"/>
    <s v="中型货车"/>
    <s v="未知"/>
    <s v="商用车"/>
    <x v="4"/>
    <x v="3"/>
    <n v="121"/>
  </r>
  <r>
    <n v="648"/>
    <x v="5"/>
    <s v="天然气"/>
    <x v="5"/>
    <s v="中型货车"/>
    <s v="未知"/>
    <s v="商用车"/>
    <x v="4"/>
    <x v="3"/>
    <n v="62"/>
  </r>
  <r>
    <n v="649"/>
    <x v="6"/>
    <s v="天然气"/>
    <x v="5"/>
    <s v="中型货车"/>
    <s v="未知"/>
    <s v="商用车"/>
    <x v="4"/>
    <x v="3"/>
    <n v="28"/>
  </r>
  <r>
    <n v="650"/>
    <x v="1"/>
    <s v="柴油"/>
    <x v="1"/>
    <s v="中型客车"/>
    <s v="未知"/>
    <s v="商用车"/>
    <x v="1"/>
    <x v="0"/>
    <n v="2975"/>
  </r>
  <r>
    <n v="651"/>
    <x v="2"/>
    <s v="柴油"/>
    <x v="1"/>
    <s v="中型客车"/>
    <s v="未知"/>
    <s v="商用车"/>
    <x v="1"/>
    <x v="0"/>
    <n v="1412"/>
  </r>
  <r>
    <n v="652"/>
    <x v="3"/>
    <s v="柴油"/>
    <x v="1"/>
    <s v="中型客车"/>
    <s v="未知"/>
    <s v="商用车"/>
    <x v="1"/>
    <x v="0"/>
    <n v="675"/>
  </r>
  <r>
    <n v="653"/>
    <x v="4"/>
    <s v="柴油"/>
    <x v="1"/>
    <s v="中型客车"/>
    <s v="未知"/>
    <s v="商用车"/>
    <x v="1"/>
    <x v="0"/>
    <n v="1400"/>
  </r>
  <r>
    <n v="654"/>
    <x v="5"/>
    <s v="柴油"/>
    <x v="1"/>
    <s v="中型客车"/>
    <s v="未知"/>
    <s v="商用车"/>
    <x v="1"/>
    <x v="0"/>
    <n v="695"/>
  </r>
  <r>
    <n v="655"/>
    <x v="6"/>
    <s v="柴油"/>
    <x v="1"/>
    <s v="中型客车"/>
    <s v="未知"/>
    <s v="商用车"/>
    <x v="1"/>
    <x v="0"/>
    <n v="775"/>
  </r>
  <r>
    <n v="656"/>
    <x v="6"/>
    <s v="纯电动"/>
    <x v="2"/>
    <s v="中型客车"/>
    <s v="未知"/>
    <s v="商用车"/>
    <x v="1"/>
    <x v="0"/>
    <n v="15"/>
  </r>
  <r>
    <n v="657"/>
    <x v="1"/>
    <s v="汽油"/>
    <x v="4"/>
    <s v="中型客车"/>
    <s v="未知"/>
    <s v="商用车"/>
    <x v="1"/>
    <x v="0"/>
    <n v="417"/>
  </r>
  <r>
    <n v="658"/>
    <x v="2"/>
    <s v="汽油"/>
    <x v="4"/>
    <s v="中型客车"/>
    <s v="未知"/>
    <s v="商用车"/>
    <x v="1"/>
    <x v="0"/>
    <n v="281"/>
  </r>
  <r>
    <n v="659"/>
    <x v="3"/>
    <s v="汽油"/>
    <x v="4"/>
    <s v="中型客车"/>
    <s v="未知"/>
    <s v="商用车"/>
    <x v="1"/>
    <x v="0"/>
    <n v="103"/>
  </r>
  <r>
    <n v="660"/>
    <x v="4"/>
    <s v="汽油"/>
    <x v="4"/>
    <s v="中型客车"/>
    <s v="未知"/>
    <s v="商用车"/>
    <x v="1"/>
    <x v="0"/>
    <n v="117"/>
  </r>
  <r>
    <n v="661"/>
    <x v="5"/>
    <s v="汽油"/>
    <x v="4"/>
    <s v="中型客车"/>
    <s v="未知"/>
    <s v="商用车"/>
    <x v="1"/>
    <x v="0"/>
    <n v="37"/>
  </r>
  <r>
    <n v="662"/>
    <x v="6"/>
    <s v="汽油"/>
    <x v="4"/>
    <s v="中型客车"/>
    <s v="未知"/>
    <s v="商用车"/>
    <x v="1"/>
    <x v="0"/>
    <n v="56"/>
  </r>
  <r>
    <n v="663"/>
    <x v="2"/>
    <s v="插电式混合动力"/>
    <x v="0"/>
    <s v="重型货车"/>
    <s v="未知"/>
    <s v="商用车"/>
    <x v="4"/>
    <x v="3"/>
    <n v="920"/>
  </r>
  <r>
    <n v="664"/>
    <x v="1"/>
    <s v="柴油"/>
    <x v="1"/>
    <s v="重型货车"/>
    <s v="未知"/>
    <s v="商用车"/>
    <x v="4"/>
    <x v="3"/>
    <n v="92755"/>
  </r>
  <r>
    <n v="665"/>
    <x v="2"/>
    <s v="柴油"/>
    <x v="1"/>
    <s v="重型货车"/>
    <s v="未知"/>
    <s v="商用车"/>
    <x v="4"/>
    <x v="3"/>
    <n v="111768"/>
  </r>
  <r>
    <n v="666"/>
    <x v="3"/>
    <s v="柴油"/>
    <x v="1"/>
    <s v="重型货车"/>
    <s v="未知"/>
    <s v="商用车"/>
    <x v="4"/>
    <x v="3"/>
    <n v="134760"/>
  </r>
  <r>
    <n v="667"/>
    <x v="4"/>
    <s v="柴油"/>
    <x v="1"/>
    <s v="重型货车"/>
    <s v="未知"/>
    <s v="商用车"/>
    <x v="4"/>
    <x v="3"/>
    <n v="130568"/>
  </r>
  <r>
    <n v="668"/>
    <x v="5"/>
    <s v="柴油"/>
    <x v="1"/>
    <s v="重型货车"/>
    <s v="未知"/>
    <s v="商用车"/>
    <x v="4"/>
    <x v="3"/>
    <n v="97011"/>
  </r>
  <r>
    <n v="669"/>
    <x v="6"/>
    <s v="柴油"/>
    <x v="1"/>
    <s v="重型货车"/>
    <s v="未知"/>
    <s v="商用车"/>
    <x v="4"/>
    <x v="3"/>
    <n v="85085"/>
  </r>
  <r>
    <n v="670"/>
    <x v="1"/>
    <s v="纯电动"/>
    <x v="2"/>
    <s v="重型货车"/>
    <s v="未知"/>
    <s v="商用车"/>
    <x v="4"/>
    <x v="3"/>
    <n v="178"/>
  </r>
  <r>
    <n v="671"/>
    <x v="2"/>
    <s v="纯电动"/>
    <x v="2"/>
    <s v="重型货车"/>
    <s v="未知"/>
    <s v="商用车"/>
    <x v="4"/>
    <x v="3"/>
    <n v="10153"/>
  </r>
  <r>
    <n v="672"/>
    <x v="3"/>
    <s v="纯电动"/>
    <x v="2"/>
    <s v="重型货车"/>
    <s v="未知"/>
    <s v="商用车"/>
    <x v="4"/>
    <x v="3"/>
    <n v="292"/>
  </r>
  <r>
    <n v="673"/>
    <x v="4"/>
    <s v="纯电动"/>
    <x v="2"/>
    <s v="重型货车"/>
    <s v="未知"/>
    <s v="商用车"/>
    <x v="4"/>
    <x v="3"/>
    <n v="1091"/>
  </r>
  <r>
    <n v="674"/>
    <x v="5"/>
    <s v="纯电动"/>
    <x v="2"/>
    <s v="重型货车"/>
    <s v="未知"/>
    <s v="商用车"/>
    <x v="4"/>
    <x v="3"/>
    <n v="925"/>
  </r>
  <r>
    <n v="675"/>
    <x v="6"/>
    <s v="纯电动"/>
    <x v="2"/>
    <s v="重型货车"/>
    <s v="未知"/>
    <s v="商用车"/>
    <x v="4"/>
    <x v="3"/>
    <n v="1345"/>
  </r>
  <r>
    <n v="676"/>
    <x v="2"/>
    <s v="混合动力"/>
    <x v="3"/>
    <s v="重型货车"/>
    <s v="未知"/>
    <s v="商用车"/>
    <x v="4"/>
    <x v="3"/>
    <n v="55"/>
  </r>
  <r>
    <n v="677"/>
    <x v="5"/>
    <s v="混合动力"/>
    <x v="3"/>
    <s v="重型货车"/>
    <s v="未知"/>
    <s v="商用车"/>
    <x v="4"/>
    <x v="3"/>
    <n v="1"/>
  </r>
  <r>
    <n v="678"/>
    <x v="1"/>
    <s v="汽油"/>
    <x v="4"/>
    <s v="重型货车"/>
    <s v="未知"/>
    <s v="商用车"/>
    <x v="4"/>
    <x v="3"/>
    <n v="1"/>
  </r>
  <r>
    <n v="679"/>
    <x v="2"/>
    <s v="燃料电池"/>
    <x v="6"/>
    <s v="重型货车"/>
    <s v="未知"/>
    <s v="商用车"/>
    <x v="4"/>
    <x v="3"/>
    <n v="1"/>
  </r>
  <r>
    <n v="680"/>
    <x v="5"/>
    <s v="燃料电池"/>
    <x v="6"/>
    <s v="重型货车"/>
    <s v="未知"/>
    <s v="商用车"/>
    <x v="4"/>
    <x v="3"/>
    <n v="1"/>
  </r>
  <r>
    <n v="681"/>
    <x v="6"/>
    <s v="燃料电池"/>
    <x v="6"/>
    <s v="重型货车"/>
    <s v="未知"/>
    <s v="商用车"/>
    <x v="4"/>
    <x v="3"/>
    <n v="6"/>
  </r>
  <r>
    <n v="682"/>
    <x v="1"/>
    <s v="天然气"/>
    <x v="5"/>
    <s v="重型货车"/>
    <s v="未知"/>
    <s v="商用车"/>
    <x v="4"/>
    <x v="3"/>
    <n v="1392"/>
  </r>
  <r>
    <n v="683"/>
    <x v="2"/>
    <s v="天然气"/>
    <x v="5"/>
    <s v="重型货车"/>
    <s v="未知"/>
    <s v="商用车"/>
    <x v="4"/>
    <x v="3"/>
    <n v="3613"/>
  </r>
  <r>
    <n v="684"/>
    <x v="3"/>
    <s v="天然气"/>
    <x v="5"/>
    <s v="重型货车"/>
    <s v="未知"/>
    <s v="商用车"/>
    <x v="4"/>
    <x v="3"/>
    <n v="4852"/>
  </r>
  <r>
    <n v="685"/>
    <x v="4"/>
    <s v="天然气"/>
    <x v="5"/>
    <s v="重型货车"/>
    <s v="未知"/>
    <s v="商用车"/>
    <x v="4"/>
    <x v="3"/>
    <n v="3572"/>
  </r>
  <r>
    <n v="686"/>
    <x v="5"/>
    <s v="天然气"/>
    <x v="5"/>
    <s v="重型货车"/>
    <s v="未知"/>
    <s v="商用车"/>
    <x v="4"/>
    <x v="3"/>
    <n v="1979"/>
  </r>
  <r>
    <n v="687"/>
    <x v="6"/>
    <s v="天然气"/>
    <x v="5"/>
    <s v="重型货车"/>
    <s v="未知"/>
    <s v="商用车"/>
    <x v="4"/>
    <x v="3"/>
    <n v="1393"/>
  </r>
  <r>
    <n v="688"/>
    <x v="0"/>
    <s v="柴油"/>
    <x v="1"/>
    <s v="大型客车"/>
    <s v="营运"/>
    <s v="商用车"/>
    <x v="1"/>
    <x v="0"/>
    <n v="646"/>
  </r>
  <r>
    <n v="689"/>
    <x v="1"/>
    <s v="柴油"/>
    <x v="1"/>
    <s v="大型客车"/>
    <s v="营运"/>
    <s v="商用车"/>
    <x v="1"/>
    <x v="0"/>
    <n v="319"/>
  </r>
  <r>
    <n v="690"/>
    <x v="2"/>
    <s v="柴油"/>
    <x v="1"/>
    <s v="大型客车"/>
    <s v="营运"/>
    <s v="商用车"/>
    <x v="1"/>
    <x v="0"/>
    <n v="327"/>
  </r>
  <r>
    <n v="691"/>
    <x v="3"/>
    <s v="柴油"/>
    <x v="1"/>
    <s v="大型客车"/>
    <s v="营运"/>
    <s v="商用车"/>
    <x v="1"/>
    <x v="0"/>
    <n v="351"/>
  </r>
  <r>
    <n v="692"/>
    <x v="4"/>
    <s v="柴油"/>
    <x v="1"/>
    <s v="大型客车"/>
    <s v="营运"/>
    <s v="商用车"/>
    <x v="1"/>
    <x v="0"/>
    <n v="200"/>
  </r>
  <r>
    <n v="693"/>
    <x v="5"/>
    <s v="柴油"/>
    <x v="1"/>
    <s v="大型客车"/>
    <s v="营运"/>
    <s v="商用车"/>
    <x v="1"/>
    <x v="0"/>
    <n v="118"/>
  </r>
  <r>
    <n v="694"/>
    <x v="6"/>
    <s v="柴油"/>
    <x v="1"/>
    <s v="大型客车"/>
    <s v="营运"/>
    <s v="商用车"/>
    <x v="1"/>
    <x v="0"/>
    <n v="121"/>
  </r>
  <r>
    <n v="695"/>
    <x v="0"/>
    <s v="纯电动"/>
    <x v="2"/>
    <s v="大型客车"/>
    <s v="营运"/>
    <s v="商用车"/>
    <x v="1"/>
    <x v="0"/>
    <n v="1"/>
  </r>
  <r>
    <n v="696"/>
    <x v="3"/>
    <s v="纯电动"/>
    <x v="2"/>
    <s v="大型客车"/>
    <s v="营运"/>
    <s v="商用车"/>
    <x v="1"/>
    <x v="0"/>
    <n v="1"/>
  </r>
  <r>
    <n v="697"/>
    <x v="0"/>
    <s v="汽油"/>
    <x v="4"/>
    <s v="大型客车"/>
    <s v="营运"/>
    <s v="商用车"/>
    <x v="1"/>
    <x v="0"/>
    <n v="16"/>
  </r>
  <r>
    <n v="698"/>
    <x v="2"/>
    <s v="汽油"/>
    <x v="4"/>
    <s v="大型客车"/>
    <s v="营运"/>
    <s v="商用车"/>
    <x v="1"/>
    <x v="0"/>
    <n v="4"/>
  </r>
  <r>
    <n v="699"/>
    <x v="3"/>
    <s v="汽油"/>
    <x v="4"/>
    <s v="大型客车"/>
    <s v="营运"/>
    <s v="商用车"/>
    <x v="1"/>
    <x v="0"/>
    <n v="43"/>
  </r>
  <r>
    <n v="700"/>
    <x v="4"/>
    <s v="汽油"/>
    <x v="4"/>
    <s v="大型客车"/>
    <s v="营运"/>
    <s v="商用车"/>
    <x v="1"/>
    <x v="0"/>
    <n v="12"/>
  </r>
  <r>
    <n v="701"/>
    <x v="5"/>
    <s v="汽油"/>
    <x v="4"/>
    <s v="大型客车"/>
    <s v="营运"/>
    <s v="商用车"/>
    <x v="1"/>
    <x v="0"/>
    <n v="6"/>
  </r>
  <r>
    <n v="702"/>
    <x v="6"/>
    <s v="汽油"/>
    <x v="4"/>
    <s v="大型客车"/>
    <s v="营运"/>
    <s v="商用车"/>
    <x v="1"/>
    <x v="0"/>
    <n v="8"/>
  </r>
  <r>
    <n v="703"/>
    <x v="3"/>
    <s v="燃料电池"/>
    <x v="6"/>
    <s v="大型客车"/>
    <s v="营运"/>
    <s v="商用车"/>
    <x v="1"/>
    <x v="0"/>
    <n v="36"/>
  </r>
  <r>
    <n v="704"/>
    <x v="0"/>
    <s v="天然气"/>
    <x v="5"/>
    <s v="大型客车"/>
    <s v="营运"/>
    <s v="商用车"/>
    <x v="1"/>
    <x v="0"/>
    <n v="35"/>
  </r>
  <r>
    <n v="705"/>
    <x v="1"/>
    <s v="天然气"/>
    <x v="5"/>
    <s v="大型客车"/>
    <s v="营运"/>
    <s v="商用车"/>
    <x v="1"/>
    <x v="0"/>
    <n v="3"/>
  </r>
  <r>
    <n v="706"/>
    <x v="2"/>
    <s v="天然气"/>
    <x v="5"/>
    <s v="大型客车"/>
    <s v="营运"/>
    <s v="商用车"/>
    <x v="1"/>
    <x v="0"/>
    <n v="1"/>
  </r>
  <r>
    <n v="707"/>
    <x v="3"/>
    <s v="天然气"/>
    <x v="5"/>
    <s v="大型客车"/>
    <s v="营运"/>
    <s v="商用车"/>
    <x v="1"/>
    <x v="0"/>
    <n v="2"/>
  </r>
  <r>
    <n v="708"/>
    <x v="4"/>
    <s v="插电式混合动力"/>
    <x v="0"/>
    <s v="轻型货车"/>
    <s v="营运"/>
    <s v="商用车"/>
    <x v="2"/>
    <x v="2"/>
    <n v="49"/>
  </r>
  <r>
    <n v="709"/>
    <x v="5"/>
    <s v="插电式混合动力"/>
    <x v="0"/>
    <s v="轻型货车"/>
    <s v="营运"/>
    <s v="商用车"/>
    <x v="2"/>
    <x v="2"/>
    <n v="196"/>
  </r>
  <r>
    <n v="710"/>
    <x v="6"/>
    <s v="插电式混合动力"/>
    <x v="0"/>
    <s v="轻型货车"/>
    <s v="营运"/>
    <s v="商用车"/>
    <x v="2"/>
    <x v="2"/>
    <n v="894"/>
  </r>
  <r>
    <n v="711"/>
    <x v="0"/>
    <s v="柴油"/>
    <x v="1"/>
    <s v="轻型货车"/>
    <s v="营运"/>
    <s v="商用车"/>
    <x v="2"/>
    <x v="2"/>
    <n v="294279"/>
  </r>
  <r>
    <n v="712"/>
    <x v="1"/>
    <s v="柴油"/>
    <x v="1"/>
    <s v="轻型货车"/>
    <s v="营运"/>
    <s v="商用车"/>
    <x v="2"/>
    <x v="2"/>
    <n v="324335"/>
  </r>
  <r>
    <n v="713"/>
    <x v="2"/>
    <s v="柴油"/>
    <x v="1"/>
    <s v="轻型货车"/>
    <s v="营运"/>
    <s v="商用车"/>
    <x v="2"/>
    <x v="2"/>
    <n v="404272"/>
  </r>
  <r>
    <n v="714"/>
    <x v="3"/>
    <s v="柴油"/>
    <x v="1"/>
    <s v="轻型货车"/>
    <s v="营运"/>
    <s v="商用车"/>
    <x v="2"/>
    <x v="2"/>
    <n v="383072"/>
  </r>
  <r>
    <n v="715"/>
    <x v="4"/>
    <s v="柴油"/>
    <x v="1"/>
    <s v="轻型货车"/>
    <s v="营运"/>
    <s v="商用车"/>
    <x v="2"/>
    <x v="2"/>
    <n v="263663"/>
  </r>
  <r>
    <n v="716"/>
    <x v="5"/>
    <s v="柴油"/>
    <x v="1"/>
    <s v="轻型货车"/>
    <s v="营运"/>
    <s v="商用车"/>
    <x v="2"/>
    <x v="2"/>
    <n v="306799"/>
  </r>
  <r>
    <n v="717"/>
    <x v="6"/>
    <s v="柴油"/>
    <x v="1"/>
    <s v="轻型货车"/>
    <s v="营运"/>
    <s v="商用车"/>
    <x v="2"/>
    <x v="2"/>
    <n v="257324"/>
  </r>
  <r>
    <n v="718"/>
    <x v="0"/>
    <s v="纯电动"/>
    <x v="2"/>
    <s v="轻型货车"/>
    <s v="营运"/>
    <s v="商用车"/>
    <x v="2"/>
    <x v="2"/>
    <n v="6722"/>
  </r>
  <r>
    <n v="719"/>
    <x v="1"/>
    <s v="纯电动"/>
    <x v="2"/>
    <s v="轻型货车"/>
    <s v="营运"/>
    <s v="商用车"/>
    <x v="2"/>
    <x v="2"/>
    <n v="12211"/>
  </r>
  <r>
    <n v="720"/>
    <x v="2"/>
    <s v="纯电动"/>
    <x v="2"/>
    <s v="轻型货车"/>
    <s v="营运"/>
    <s v="商用车"/>
    <x v="2"/>
    <x v="2"/>
    <n v="41993"/>
  </r>
  <r>
    <n v="721"/>
    <x v="3"/>
    <s v="纯电动"/>
    <x v="2"/>
    <s v="轻型货车"/>
    <s v="营运"/>
    <s v="商用车"/>
    <x v="2"/>
    <x v="2"/>
    <n v="25505"/>
  </r>
  <r>
    <n v="722"/>
    <x v="4"/>
    <s v="纯电动"/>
    <x v="2"/>
    <s v="轻型货车"/>
    <s v="营运"/>
    <s v="商用车"/>
    <x v="2"/>
    <x v="2"/>
    <n v="10991"/>
  </r>
  <r>
    <n v="723"/>
    <x v="5"/>
    <s v="纯电动"/>
    <x v="2"/>
    <s v="轻型货车"/>
    <s v="营运"/>
    <s v="商用车"/>
    <x v="2"/>
    <x v="2"/>
    <n v="9318"/>
  </r>
  <r>
    <n v="724"/>
    <x v="6"/>
    <s v="纯电动"/>
    <x v="2"/>
    <s v="轻型货车"/>
    <s v="营运"/>
    <s v="商用车"/>
    <x v="2"/>
    <x v="2"/>
    <n v="24556"/>
  </r>
  <r>
    <n v="725"/>
    <x v="0"/>
    <s v="混合动力"/>
    <x v="3"/>
    <s v="轻型货车"/>
    <s v="营运"/>
    <s v="商用车"/>
    <x v="2"/>
    <x v="2"/>
    <n v="3"/>
  </r>
  <r>
    <n v="726"/>
    <x v="6"/>
    <s v="混合动力"/>
    <x v="3"/>
    <s v="轻型货车"/>
    <s v="营运"/>
    <s v="商用车"/>
    <x v="2"/>
    <x v="2"/>
    <n v="7"/>
  </r>
  <r>
    <n v="727"/>
    <x v="0"/>
    <s v="汽油"/>
    <x v="4"/>
    <s v="轻型货车"/>
    <s v="营运"/>
    <s v="商用车"/>
    <x v="2"/>
    <x v="2"/>
    <n v="153337"/>
  </r>
  <r>
    <n v="728"/>
    <x v="1"/>
    <s v="汽油"/>
    <x v="4"/>
    <s v="轻型货车"/>
    <s v="营运"/>
    <s v="商用车"/>
    <x v="2"/>
    <x v="2"/>
    <n v="116941"/>
  </r>
  <r>
    <n v="729"/>
    <x v="2"/>
    <s v="汽油"/>
    <x v="4"/>
    <s v="轻型货车"/>
    <s v="营运"/>
    <s v="商用车"/>
    <x v="2"/>
    <x v="2"/>
    <n v="144310"/>
  </r>
  <r>
    <n v="730"/>
    <x v="3"/>
    <s v="汽油"/>
    <x v="4"/>
    <s v="轻型货车"/>
    <s v="营运"/>
    <s v="商用车"/>
    <x v="2"/>
    <x v="2"/>
    <n v="85155"/>
  </r>
  <r>
    <n v="731"/>
    <x v="4"/>
    <s v="汽油"/>
    <x v="4"/>
    <s v="轻型货车"/>
    <s v="营运"/>
    <s v="商用车"/>
    <x v="2"/>
    <x v="2"/>
    <n v="57981"/>
  </r>
  <r>
    <n v="732"/>
    <x v="5"/>
    <s v="汽油"/>
    <x v="4"/>
    <s v="轻型货车"/>
    <s v="营运"/>
    <s v="商用车"/>
    <x v="2"/>
    <x v="2"/>
    <n v="47410"/>
  </r>
  <r>
    <n v="733"/>
    <x v="6"/>
    <s v="汽油"/>
    <x v="4"/>
    <s v="轻型货车"/>
    <s v="营运"/>
    <s v="商用车"/>
    <x v="2"/>
    <x v="2"/>
    <n v="45364"/>
  </r>
  <r>
    <n v="734"/>
    <x v="0"/>
    <s v="汽油-天然气"/>
    <x v="5"/>
    <s v="轻型货车"/>
    <s v="营运"/>
    <s v="商用车"/>
    <x v="2"/>
    <x v="2"/>
    <n v="16286"/>
  </r>
  <r>
    <n v="735"/>
    <x v="1"/>
    <s v="汽油-天然气"/>
    <x v="5"/>
    <s v="轻型货车"/>
    <s v="营运"/>
    <s v="商用车"/>
    <x v="2"/>
    <x v="2"/>
    <n v="6146"/>
  </r>
  <r>
    <n v="736"/>
    <x v="2"/>
    <s v="汽油-天然气"/>
    <x v="5"/>
    <s v="轻型货车"/>
    <s v="营运"/>
    <s v="商用车"/>
    <x v="2"/>
    <x v="2"/>
    <n v="7495"/>
  </r>
  <r>
    <n v="737"/>
    <x v="3"/>
    <s v="汽油-天然气"/>
    <x v="5"/>
    <s v="轻型货车"/>
    <s v="营运"/>
    <s v="商用车"/>
    <x v="2"/>
    <x v="2"/>
    <n v="7931"/>
  </r>
  <r>
    <n v="738"/>
    <x v="4"/>
    <s v="汽油-天然气"/>
    <x v="5"/>
    <s v="轻型货车"/>
    <s v="营运"/>
    <s v="商用车"/>
    <x v="2"/>
    <x v="2"/>
    <n v="6501"/>
  </r>
  <r>
    <n v="739"/>
    <x v="5"/>
    <s v="汽油-天然气"/>
    <x v="5"/>
    <s v="轻型货车"/>
    <s v="营运"/>
    <s v="商用车"/>
    <x v="2"/>
    <x v="2"/>
    <n v="1488"/>
  </r>
  <r>
    <n v="740"/>
    <x v="6"/>
    <s v="汽油-天然气"/>
    <x v="5"/>
    <s v="轻型货车"/>
    <s v="营运"/>
    <s v="商用车"/>
    <x v="2"/>
    <x v="2"/>
    <n v="11"/>
  </r>
  <r>
    <n v="741"/>
    <x v="6"/>
    <s v="燃料电池"/>
    <x v="6"/>
    <s v="轻型货车"/>
    <s v="营运"/>
    <s v="商用车"/>
    <x v="2"/>
    <x v="2"/>
    <n v="3"/>
  </r>
  <r>
    <n v="742"/>
    <x v="0"/>
    <s v="天然气"/>
    <x v="5"/>
    <s v="轻型货车"/>
    <s v="营运"/>
    <s v="商用车"/>
    <x v="2"/>
    <x v="2"/>
    <n v="232"/>
  </r>
  <r>
    <n v="743"/>
    <x v="1"/>
    <s v="天然气"/>
    <x v="5"/>
    <s v="轻型货车"/>
    <s v="营运"/>
    <s v="商用车"/>
    <x v="2"/>
    <x v="2"/>
    <n v="709"/>
  </r>
  <r>
    <n v="744"/>
    <x v="2"/>
    <s v="天然气"/>
    <x v="5"/>
    <s v="轻型货车"/>
    <s v="营运"/>
    <s v="商用车"/>
    <x v="2"/>
    <x v="2"/>
    <n v="189"/>
  </r>
  <r>
    <n v="745"/>
    <x v="3"/>
    <s v="天然气"/>
    <x v="5"/>
    <s v="轻型货车"/>
    <s v="营运"/>
    <s v="商用车"/>
    <x v="2"/>
    <x v="2"/>
    <n v="806"/>
  </r>
  <r>
    <n v="746"/>
    <x v="4"/>
    <s v="天然气"/>
    <x v="5"/>
    <s v="轻型货车"/>
    <s v="营运"/>
    <s v="商用车"/>
    <x v="2"/>
    <x v="2"/>
    <n v="548"/>
  </r>
  <r>
    <n v="747"/>
    <x v="5"/>
    <s v="天然气"/>
    <x v="5"/>
    <s v="轻型货车"/>
    <s v="营运"/>
    <s v="商用车"/>
    <x v="2"/>
    <x v="2"/>
    <n v="1582"/>
  </r>
  <r>
    <n v="748"/>
    <x v="6"/>
    <s v="天然气"/>
    <x v="5"/>
    <s v="轻型货车"/>
    <s v="营运"/>
    <s v="商用车"/>
    <x v="2"/>
    <x v="2"/>
    <n v="2883"/>
  </r>
  <r>
    <n v="749"/>
    <x v="1"/>
    <s v="柴油"/>
    <x v="1"/>
    <s v="微型货车"/>
    <s v="营运"/>
    <s v="商用车"/>
    <x v="2"/>
    <x v="2"/>
    <n v="68"/>
  </r>
  <r>
    <n v="750"/>
    <x v="2"/>
    <s v="柴油"/>
    <x v="1"/>
    <s v="微型货车"/>
    <s v="营运"/>
    <s v="商用车"/>
    <x v="2"/>
    <x v="2"/>
    <n v="14"/>
  </r>
  <r>
    <n v="751"/>
    <x v="0"/>
    <s v="纯电动"/>
    <x v="2"/>
    <s v="微型货车"/>
    <s v="营运"/>
    <s v="商用车"/>
    <x v="2"/>
    <x v="2"/>
    <n v="4"/>
  </r>
  <r>
    <n v="752"/>
    <x v="5"/>
    <s v="纯电动"/>
    <x v="2"/>
    <s v="微型货车"/>
    <s v="营运"/>
    <s v="商用车"/>
    <x v="2"/>
    <x v="2"/>
    <n v="5"/>
  </r>
  <r>
    <n v="753"/>
    <x v="2"/>
    <s v="柴油"/>
    <x v="1"/>
    <s v="微型客车"/>
    <s v="营运"/>
    <s v="商用车"/>
    <x v="3"/>
    <x v="1"/>
    <n v="2"/>
  </r>
  <r>
    <n v="754"/>
    <x v="0"/>
    <s v="柴油"/>
    <x v="1"/>
    <s v="未知"/>
    <s v="营运"/>
    <s v="商用车"/>
    <x v="5"/>
    <x v="4"/>
    <n v="11"/>
  </r>
  <r>
    <n v="755"/>
    <x v="0"/>
    <s v="汽油"/>
    <x v="4"/>
    <s v="未知"/>
    <s v="营运"/>
    <s v="商用车"/>
    <x v="5"/>
    <x v="4"/>
    <n v="876"/>
  </r>
  <r>
    <n v="756"/>
    <x v="0"/>
    <s v="无"/>
    <x v="7"/>
    <s v="未知"/>
    <s v="营运"/>
    <s v="商用车"/>
    <x v="5"/>
    <x v="4"/>
    <n v="190485"/>
  </r>
  <r>
    <n v="757"/>
    <x v="1"/>
    <s v="柴油"/>
    <x v="1"/>
    <s v="小型客车"/>
    <s v="营运"/>
    <s v="商用车"/>
    <x v="3"/>
    <x v="1"/>
    <n v="6430"/>
  </r>
  <r>
    <n v="758"/>
    <x v="2"/>
    <s v="柴油"/>
    <x v="1"/>
    <s v="小型客车"/>
    <s v="营运"/>
    <s v="商用车"/>
    <x v="3"/>
    <x v="1"/>
    <n v="6383"/>
  </r>
  <r>
    <n v="759"/>
    <x v="3"/>
    <s v="柴油"/>
    <x v="1"/>
    <s v="小型客车"/>
    <s v="营运"/>
    <s v="商用车"/>
    <x v="3"/>
    <x v="1"/>
    <n v="6387"/>
  </r>
  <r>
    <n v="760"/>
    <x v="4"/>
    <s v="柴油"/>
    <x v="1"/>
    <s v="小型客车"/>
    <s v="营运"/>
    <s v="商用车"/>
    <x v="3"/>
    <x v="1"/>
    <n v="4119"/>
  </r>
  <r>
    <n v="761"/>
    <x v="5"/>
    <s v="柴油"/>
    <x v="1"/>
    <s v="小型客车"/>
    <s v="营运"/>
    <s v="商用车"/>
    <x v="3"/>
    <x v="1"/>
    <n v="3732"/>
  </r>
  <r>
    <n v="762"/>
    <x v="6"/>
    <s v="柴油"/>
    <x v="1"/>
    <s v="小型客车"/>
    <s v="营运"/>
    <s v="商用车"/>
    <x v="3"/>
    <x v="1"/>
    <n v="2960"/>
  </r>
  <r>
    <n v="763"/>
    <x v="1"/>
    <s v="纯电动"/>
    <x v="2"/>
    <s v="小型客车"/>
    <s v="营运"/>
    <s v="商用车"/>
    <x v="3"/>
    <x v="1"/>
    <n v="1321"/>
  </r>
  <r>
    <n v="764"/>
    <x v="2"/>
    <s v="纯电动"/>
    <x v="2"/>
    <s v="小型客车"/>
    <s v="营运"/>
    <s v="商用车"/>
    <x v="3"/>
    <x v="1"/>
    <n v="11282"/>
  </r>
  <r>
    <n v="765"/>
    <x v="3"/>
    <s v="纯电动"/>
    <x v="2"/>
    <s v="小型客车"/>
    <s v="营运"/>
    <s v="商用车"/>
    <x v="3"/>
    <x v="1"/>
    <n v="11722"/>
  </r>
  <r>
    <n v="766"/>
    <x v="4"/>
    <s v="纯电动"/>
    <x v="2"/>
    <s v="小型客车"/>
    <s v="营运"/>
    <s v="商用车"/>
    <x v="3"/>
    <x v="1"/>
    <n v="7777"/>
  </r>
  <r>
    <n v="767"/>
    <x v="5"/>
    <s v="纯电动"/>
    <x v="2"/>
    <s v="小型客车"/>
    <s v="营运"/>
    <s v="商用车"/>
    <x v="3"/>
    <x v="1"/>
    <n v="8234"/>
  </r>
  <r>
    <n v="768"/>
    <x v="6"/>
    <s v="纯电动"/>
    <x v="2"/>
    <s v="小型客车"/>
    <s v="营运"/>
    <s v="商用车"/>
    <x v="3"/>
    <x v="1"/>
    <n v="17443"/>
  </r>
  <r>
    <n v="769"/>
    <x v="1"/>
    <s v="汽油"/>
    <x v="4"/>
    <s v="小型客车"/>
    <s v="营运"/>
    <s v="商用车"/>
    <x v="3"/>
    <x v="1"/>
    <n v="8777"/>
  </r>
  <r>
    <n v="770"/>
    <x v="2"/>
    <s v="汽油"/>
    <x v="4"/>
    <s v="小型客车"/>
    <s v="营运"/>
    <s v="商用车"/>
    <x v="3"/>
    <x v="1"/>
    <n v="10703"/>
  </r>
  <r>
    <n v="771"/>
    <x v="3"/>
    <s v="汽油"/>
    <x v="4"/>
    <s v="小型客车"/>
    <s v="营运"/>
    <s v="商用车"/>
    <x v="3"/>
    <x v="1"/>
    <n v="10708"/>
  </r>
  <r>
    <n v="772"/>
    <x v="4"/>
    <s v="汽油"/>
    <x v="4"/>
    <s v="小型客车"/>
    <s v="营运"/>
    <s v="商用车"/>
    <x v="3"/>
    <x v="1"/>
    <n v="11800"/>
  </r>
  <r>
    <n v="773"/>
    <x v="5"/>
    <s v="汽油"/>
    <x v="4"/>
    <s v="小型客车"/>
    <s v="营运"/>
    <s v="商用车"/>
    <x v="3"/>
    <x v="1"/>
    <n v="8867"/>
  </r>
  <r>
    <n v="774"/>
    <x v="6"/>
    <s v="汽油"/>
    <x v="4"/>
    <s v="小型客车"/>
    <s v="营运"/>
    <s v="商用车"/>
    <x v="3"/>
    <x v="1"/>
    <n v="4556"/>
  </r>
  <r>
    <n v="775"/>
    <x v="1"/>
    <s v="汽油-天然气"/>
    <x v="5"/>
    <s v="小型客车"/>
    <s v="营运"/>
    <s v="商用车"/>
    <x v="3"/>
    <x v="1"/>
    <n v="320"/>
  </r>
  <r>
    <n v="776"/>
    <x v="2"/>
    <s v="汽油-天然气"/>
    <x v="5"/>
    <s v="小型客车"/>
    <s v="营运"/>
    <s v="商用车"/>
    <x v="3"/>
    <x v="1"/>
    <n v="249"/>
  </r>
  <r>
    <n v="777"/>
    <x v="3"/>
    <s v="汽油-天然气"/>
    <x v="5"/>
    <s v="小型客车"/>
    <s v="营运"/>
    <s v="商用车"/>
    <x v="3"/>
    <x v="1"/>
    <n v="263"/>
  </r>
  <r>
    <n v="778"/>
    <x v="4"/>
    <s v="汽油-天然气"/>
    <x v="5"/>
    <s v="小型客车"/>
    <s v="营运"/>
    <s v="商用车"/>
    <x v="3"/>
    <x v="1"/>
    <n v="239"/>
  </r>
  <r>
    <n v="779"/>
    <x v="5"/>
    <s v="汽油-天然气"/>
    <x v="5"/>
    <s v="小型客车"/>
    <s v="营运"/>
    <s v="商用车"/>
    <x v="3"/>
    <x v="1"/>
    <n v="18"/>
  </r>
  <r>
    <n v="780"/>
    <x v="6"/>
    <s v="燃料电池"/>
    <x v="6"/>
    <s v="小型客车"/>
    <s v="营运"/>
    <s v="商用车"/>
    <x v="3"/>
    <x v="1"/>
    <n v="1"/>
  </r>
  <r>
    <n v="781"/>
    <x v="1"/>
    <s v="天然气"/>
    <x v="5"/>
    <s v="小型客车"/>
    <s v="营运"/>
    <s v="商用车"/>
    <x v="3"/>
    <x v="1"/>
    <n v="33"/>
  </r>
  <r>
    <n v="782"/>
    <x v="3"/>
    <s v="天然气"/>
    <x v="5"/>
    <s v="小型客车"/>
    <s v="营运"/>
    <s v="商用车"/>
    <x v="3"/>
    <x v="1"/>
    <n v="2"/>
  </r>
  <r>
    <n v="783"/>
    <x v="4"/>
    <s v="天然气"/>
    <x v="5"/>
    <s v="小型客车"/>
    <s v="营运"/>
    <s v="商用车"/>
    <x v="3"/>
    <x v="1"/>
    <n v="1"/>
  </r>
  <r>
    <n v="784"/>
    <x v="5"/>
    <s v="天然气"/>
    <x v="5"/>
    <s v="小型客车"/>
    <s v="营运"/>
    <s v="商用车"/>
    <x v="3"/>
    <x v="1"/>
    <n v="25"/>
  </r>
  <r>
    <n v="785"/>
    <x v="6"/>
    <s v="天然气"/>
    <x v="5"/>
    <s v="小型客车"/>
    <s v="营运"/>
    <s v="商用车"/>
    <x v="3"/>
    <x v="1"/>
    <n v="341"/>
  </r>
  <r>
    <n v="786"/>
    <x v="5"/>
    <s v="插电式混合动力"/>
    <x v="0"/>
    <s v="中型货车"/>
    <s v="营运"/>
    <s v="商用车"/>
    <x v="4"/>
    <x v="3"/>
    <n v="2"/>
  </r>
  <r>
    <n v="787"/>
    <x v="0"/>
    <s v="柴油"/>
    <x v="1"/>
    <s v="中型货车"/>
    <s v="营运"/>
    <s v="商用车"/>
    <x v="4"/>
    <x v="3"/>
    <n v="46832"/>
  </r>
  <r>
    <n v="788"/>
    <x v="1"/>
    <s v="柴油"/>
    <x v="1"/>
    <s v="中型货车"/>
    <s v="营运"/>
    <s v="商用车"/>
    <x v="4"/>
    <x v="3"/>
    <n v="43654"/>
  </r>
  <r>
    <n v="789"/>
    <x v="2"/>
    <s v="柴油"/>
    <x v="1"/>
    <s v="中型货车"/>
    <s v="营运"/>
    <s v="商用车"/>
    <x v="4"/>
    <x v="3"/>
    <n v="37766"/>
  </r>
  <r>
    <n v="790"/>
    <x v="3"/>
    <s v="柴油"/>
    <x v="1"/>
    <s v="中型货车"/>
    <s v="营运"/>
    <s v="商用车"/>
    <x v="4"/>
    <x v="3"/>
    <n v="27681"/>
  </r>
  <r>
    <n v="791"/>
    <x v="4"/>
    <s v="柴油"/>
    <x v="1"/>
    <s v="中型货车"/>
    <s v="营运"/>
    <s v="商用车"/>
    <x v="4"/>
    <x v="3"/>
    <n v="33534"/>
  </r>
  <r>
    <n v="792"/>
    <x v="5"/>
    <s v="柴油"/>
    <x v="1"/>
    <s v="中型货车"/>
    <s v="营运"/>
    <s v="商用车"/>
    <x v="4"/>
    <x v="3"/>
    <n v="38255"/>
  </r>
  <r>
    <n v="793"/>
    <x v="6"/>
    <s v="柴油"/>
    <x v="1"/>
    <s v="中型货车"/>
    <s v="营运"/>
    <s v="商用车"/>
    <x v="4"/>
    <x v="3"/>
    <n v="43304"/>
  </r>
  <r>
    <n v="794"/>
    <x v="0"/>
    <s v="纯电动"/>
    <x v="2"/>
    <s v="中型货车"/>
    <s v="营运"/>
    <s v="商用车"/>
    <x v="4"/>
    <x v="3"/>
    <n v="5660"/>
  </r>
  <r>
    <n v="795"/>
    <x v="1"/>
    <s v="纯电动"/>
    <x v="2"/>
    <s v="中型货车"/>
    <s v="营运"/>
    <s v="商用车"/>
    <x v="4"/>
    <x v="3"/>
    <n v="3928"/>
  </r>
  <r>
    <n v="796"/>
    <x v="2"/>
    <s v="纯电动"/>
    <x v="2"/>
    <s v="中型货车"/>
    <s v="营运"/>
    <s v="商用车"/>
    <x v="4"/>
    <x v="3"/>
    <n v="1608"/>
  </r>
  <r>
    <n v="797"/>
    <x v="3"/>
    <s v="纯电动"/>
    <x v="2"/>
    <s v="中型货车"/>
    <s v="营运"/>
    <s v="商用车"/>
    <x v="4"/>
    <x v="3"/>
    <n v="101"/>
  </r>
  <r>
    <n v="798"/>
    <x v="4"/>
    <s v="纯电动"/>
    <x v="2"/>
    <s v="中型货车"/>
    <s v="营运"/>
    <s v="商用车"/>
    <x v="4"/>
    <x v="3"/>
    <n v="20"/>
  </r>
  <r>
    <n v="799"/>
    <x v="5"/>
    <s v="纯电动"/>
    <x v="2"/>
    <s v="中型货车"/>
    <s v="营运"/>
    <s v="商用车"/>
    <x v="4"/>
    <x v="3"/>
    <n v="74"/>
  </r>
  <r>
    <n v="800"/>
    <x v="6"/>
    <s v="纯电动"/>
    <x v="2"/>
    <s v="中型货车"/>
    <s v="营运"/>
    <s v="商用车"/>
    <x v="4"/>
    <x v="3"/>
    <n v="141"/>
  </r>
  <r>
    <n v="801"/>
    <x v="3"/>
    <s v="汽油"/>
    <x v="4"/>
    <s v="中型货车"/>
    <s v="营运"/>
    <s v="商用车"/>
    <x v="4"/>
    <x v="3"/>
    <n v="3"/>
  </r>
  <r>
    <n v="802"/>
    <x v="6"/>
    <s v="汽油"/>
    <x v="4"/>
    <s v="中型货车"/>
    <s v="营运"/>
    <s v="商用车"/>
    <x v="4"/>
    <x v="3"/>
    <n v="1"/>
  </r>
  <r>
    <n v="803"/>
    <x v="0"/>
    <s v="汽油-天然气"/>
    <x v="5"/>
    <s v="中型货车"/>
    <s v="营运"/>
    <s v="商用车"/>
    <x v="4"/>
    <x v="3"/>
    <n v="35"/>
  </r>
  <r>
    <n v="804"/>
    <x v="2"/>
    <s v="燃料电池"/>
    <x v="6"/>
    <s v="中型货车"/>
    <s v="营运"/>
    <s v="商用车"/>
    <x v="4"/>
    <x v="3"/>
    <n v="401"/>
  </r>
  <r>
    <n v="805"/>
    <x v="3"/>
    <s v="燃料电池"/>
    <x v="6"/>
    <s v="中型货车"/>
    <s v="营运"/>
    <s v="商用车"/>
    <x v="4"/>
    <x v="3"/>
    <n v="402"/>
  </r>
  <r>
    <n v="806"/>
    <x v="4"/>
    <s v="燃料电池"/>
    <x v="6"/>
    <s v="中型货车"/>
    <s v="营运"/>
    <s v="商用车"/>
    <x v="4"/>
    <x v="3"/>
    <n v="1518"/>
  </r>
  <r>
    <n v="807"/>
    <x v="5"/>
    <s v="燃料电池"/>
    <x v="6"/>
    <s v="中型货车"/>
    <s v="营运"/>
    <s v="商用车"/>
    <x v="4"/>
    <x v="3"/>
    <n v="64"/>
  </r>
  <r>
    <n v="808"/>
    <x v="6"/>
    <s v="燃料电池"/>
    <x v="6"/>
    <s v="中型货车"/>
    <s v="营运"/>
    <s v="商用车"/>
    <x v="4"/>
    <x v="3"/>
    <n v="32"/>
  </r>
  <r>
    <n v="809"/>
    <x v="0"/>
    <s v="天然气"/>
    <x v="5"/>
    <s v="中型货车"/>
    <s v="营运"/>
    <s v="商用车"/>
    <x v="4"/>
    <x v="3"/>
    <n v="60"/>
  </r>
  <r>
    <n v="810"/>
    <x v="1"/>
    <s v="天然气"/>
    <x v="5"/>
    <s v="中型货车"/>
    <s v="营运"/>
    <s v="商用车"/>
    <x v="4"/>
    <x v="3"/>
    <n v="9"/>
  </r>
  <r>
    <n v="811"/>
    <x v="2"/>
    <s v="天然气"/>
    <x v="5"/>
    <s v="中型货车"/>
    <s v="营运"/>
    <s v="商用车"/>
    <x v="4"/>
    <x v="3"/>
    <n v="8"/>
  </r>
  <r>
    <n v="812"/>
    <x v="3"/>
    <s v="天然气"/>
    <x v="5"/>
    <s v="中型货车"/>
    <s v="营运"/>
    <s v="商用车"/>
    <x v="4"/>
    <x v="3"/>
    <n v="31"/>
  </r>
  <r>
    <n v="813"/>
    <x v="4"/>
    <s v="天然气"/>
    <x v="5"/>
    <s v="中型货车"/>
    <s v="营运"/>
    <s v="商用车"/>
    <x v="4"/>
    <x v="3"/>
    <n v="12"/>
  </r>
  <r>
    <n v="814"/>
    <x v="5"/>
    <s v="天然气"/>
    <x v="5"/>
    <s v="中型货车"/>
    <s v="营运"/>
    <s v="商用车"/>
    <x v="4"/>
    <x v="3"/>
    <n v="62"/>
  </r>
  <r>
    <n v="815"/>
    <x v="6"/>
    <s v="天然气"/>
    <x v="5"/>
    <s v="中型货车"/>
    <s v="营运"/>
    <s v="商用车"/>
    <x v="4"/>
    <x v="3"/>
    <n v="39"/>
  </r>
  <r>
    <n v="816"/>
    <x v="0"/>
    <s v="柴油"/>
    <x v="1"/>
    <s v="中型客车"/>
    <s v="营运"/>
    <s v="商用车"/>
    <x v="1"/>
    <x v="0"/>
    <n v="107"/>
  </r>
  <r>
    <n v="817"/>
    <x v="1"/>
    <s v="柴油"/>
    <x v="1"/>
    <s v="中型客车"/>
    <s v="营运"/>
    <s v="商用车"/>
    <x v="1"/>
    <x v="0"/>
    <n v="162"/>
  </r>
  <r>
    <n v="818"/>
    <x v="2"/>
    <s v="柴油"/>
    <x v="1"/>
    <s v="中型客车"/>
    <s v="营运"/>
    <s v="商用车"/>
    <x v="1"/>
    <x v="0"/>
    <n v="385"/>
  </r>
  <r>
    <n v="819"/>
    <x v="3"/>
    <s v="柴油"/>
    <x v="1"/>
    <s v="中型客车"/>
    <s v="营运"/>
    <s v="商用车"/>
    <x v="1"/>
    <x v="0"/>
    <n v="114"/>
  </r>
  <r>
    <n v="820"/>
    <x v="4"/>
    <s v="柴油"/>
    <x v="1"/>
    <s v="中型客车"/>
    <s v="营运"/>
    <s v="商用车"/>
    <x v="1"/>
    <x v="0"/>
    <n v="108"/>
  </r>
  <r>
    <n v="821"/>
    <x v="5"/>
    <s v="柴油"/>
    <x v="1"/>
    <s v="中型客车"/>
    <s v="营运"/>
    <s v="商用车"/>
    <x v="1"/>
    <x v="0"/>
    <n v="47"/>
  </r>
  <r>
    <n v="822"/>
    <x v="6"/>
    <s v="柴油"/>
    <x v="1"/>
    <s v="中型客车"/>
    <s v="营运"/>
    <s v="商用车"/>
    <x v="1"/>
    <x v="0"/>
    <n v="110"/>
  </r>
  <r>
    <n v="823"/>
    <x v="6"/>
    <s v="纯电动"/>
    <x v="2"/>
    <s v="中型客车"/>
    <s v="营运"/>
    <s v="商用车"/>
    <x v="1"/>
    <x v="0"/>
    <n v="53"/>
  </r>
  <r>
    <n v="824"/>
    <x v="1"/>
    <s v="汽油"/>
    <x v="4"/>
    <s v="中型客车"/>
    <s v="营运"/>
    <s v="商用车"/>
    <x v="1"/>
    <x v="0"/>
    <n v="379"/>
  </r>
  <r>
    <n v="825"/>
    <x v="2"/>
    <s v="汽油"/>
    <x v="4"/>
    <s v="中型客车"/>
    <s v="营运"/>
    <s v="商用车"/>
    <x v="1"/>
    <x v="0"/>
    <n v="76"/>
  </r>
  <r>
    <n v="826"/>
    <x v="3"/>
    <s v="汽油"/>
    <x v="4"/>
    <s v="中型客车"/>
    <s v="营运"/>
    <s v="商用车"/>
    <x v="1"/>
    <x v="0"/>
    <n v="3"/>
  </r>
  <r>
    <n v="827"/>
    <x v="4"/>
    <s v="汽油"/>
    <x v="4"/>
    <s v="中型客车"/>
    <s v="营运"/>
    <s v="商用车"/>
    <x v="1"/>
    <x v="0"/>
    <n v="3"/>
  </r>
  <r>
    <n v="828"/>
    <x v="5"/>
    <s v="汽油"/>
    <x v="4"/>
    <s v="中型客车"/>
    <s v="营运"/>
    <s v="商用车"/>
    <x v="1"/>
    <x v="0"/>
    <n v="1"/>
  </r>
  <r>
    <n v="829"/>
    <x v="6"/>
    <s v="汽油"/>
    <x v="4"/>
    <s v="中型客车"/>
    <s v="营运"/>
    <s v="商用车"/>
    <x v="1"/>
    <x v="0"/>
    <n v="6"/>
  </r>
  <r>
    <n v="830"/>
    <x v="0"/>
    <s v="汽油-天然气"/>
    <x v="5"/>
    <s v="中型客车"/>
    <s v="营运"/>
    <s v="商用车"/>
    <x v="1"/>
    <x v="0"/>
    <n v="1"/>
  </r>
  <r>
    <n v="831"/>
    <x v="1"/>
    <s v="汽油-天然气"/>
    <x v="5"/>
    <s v="中型客车"/>
    <s v="营运"/>
    <s v="商用车"/>
    <x v="1"/>
    <x v="0"/>
    <n v="4"/>
  </r>
  <r>
    <n v="832"/>
    <x v="0"/>
    <s v="天然气"/>
    <x v="5"/>
    <s v="中型客车"/>
    <s v="营运"/>
    <s v="商用车"/>
    <x v="1"/>
    <x v="0"/>
    <n v="2"/>
  </r>
  <r>
    <n v="833"/>
    <x v="6"/>
    <s v="插电式混合动力"/>
    <x v="0"/>
    <s v="重型货车"/>
    <s v="营运"/>
    <s v="商用车"/>
    <x v="4"/>
    <x v="3"/>
    <n v="1"/>
  </r>
  <r>
    <n v="834"/>
    <x v="0"/>
    <s v="柴油"/>
    <x v="1"/>
    <s v="重型货车"/>
    <s v="营运"/>
    <s v="商用车"/>
    <x v="4"/>
    <x v="3"/>
    <n v="394817"/>
  </r>
  <r>
    <n v="835"/>
    <x v="1"/>
    <s v="柴油"/>
    <x v="1"/>
    <s v="重型货车"/>
    <s v="营运"/>
    <s v="商用车"/>
    <x v="4"/>
    <x v="3"/>
    <n v="536287"/>
  </r>
  <r>
    <n v="836"/>
    <x v="2"/>
    <s v="柴油"/>
    <x v="1"/>
    <s v="重型货车"/>
    <s v="营运"/>
    <s v="商用车"/>
    <x v="4"/>
    <x v="3"/>
    <n v="794595"/>
  </r>
  <r>
    <n v="837"/>
    <x v="3"/>
    <s v="柴油"/>
    <x v="1"/>
    <s v="重型货车"/>
    <s v="营运"/>
    <s v="商用车"/>
    <x v="4"/>
    <x v="3"/>
    <n v="793306"/>
  </r>
  <r>
    <n v="838"/>
    <x v="4"/>
    <s v="柴油"/>
    <x v="1"/>
    <s v="重型货车"/>
    <s v="营运"/>
    <s v="商用车"/>
    <x v="4"/>
    <x v="3"/>
    <n v="858043"/>
  </r>
  <r>
    <n v="839"/>
    <x v="5"/>
    <s v="柴油"/>
    <x v="1"/>
    <s v="重型货车"/>
    <s v="营运"/>
    <s v="商用车"/>
    <x v="4"/>
    <x v="3"/>
    <n v="1247024"/>
  </r>
  <r>
    <n v="840"/>
    <x v="6"/>
    <s v="柴油"/>
    <x v="1"/>
    <s v="重型货车"/>
    <s v="营运"/>
    <s v="商用车"/>
    <x v="4"/>
    <x v="3"/>
    <n v="1178385"/>
  </r>
  <r>
    <n v="841"/>
    <x v="1"/>
    <s v="柴油-甲醇"/>
    <x v="3"/>
    <s v="重型货车"/>
    <s v="营运"/>
    <s v="商用车"/>
    <x v="4"/>
    <x v="3"/>
    <n v="1"/>
  </r>
  <r>
    <n v="842"/>
    <x v="0"/>
    <s v="柴油-天然气"/>
    <x v="5"/>
    <s v="重型货车"/>
    <s v="营运"/>
    <s v="商用车"/>
    <x v="4"/>
    <x v="3"/>
    <n v="16"/>
  </r>
  <r>
    <n v="843"/>
    <x v="1"/>
    <s v="柴油-天然气"/>
    <x v="5"/>
    <s v="重型货车"/>
    <s v="营运"/>
    <s v="商用车"/>
    <x v="4"/>
    <x v="3"/>
    <n v="28"/>
  </r>
  <r>
    <n v="844"/>
    <x v="2"/>
    <s v="柴油-天然气"/>
    <x v="5"/>
    <s v="重型货车"/>
    <s v="营运"/>
    <s v="商用车"/>
    <x v="4"/>
    <x v="3"/>
    <n v="10"/>
  </r>
  <r>
    <n v="845"/>
    <x v="3"/>
    <s v="柴油-天然气"/>
    <x v="5"/>
    <s v="重型货车"/>
    <s v="营运"/>
    <s v="商用车"/>
    <x v="4"/>
    <x v="3"/>
    <n v="1"/>
  </r>
  <r>
    <n v="846"/>
    <x v="5"/>
    <s v="柴油-天然气"/>
    <x v="5"/>
    <s v="重型货车"/>
    <s v="营运"/>
    <s v="商用车"/>
    <x v="4"/>
    <x v="3"/>
    <n v="1"/>
  </r>
  <r>
    <n v="847"/>
    <x v="6"/>
    <s v="柴油-天然气"/>
    <x v="5"/>
    <s v="重型货车"/>
    <s v="营运"/>
    <s v="商用车"/>
    <x v="4"/>
    <x v="3"/>
    <n v="2"/>
  </r>
  <r>
    <n v="848"/>
    <x v="2"/>
    <s v="纯电动"/>
    <x v="2"/>
    <s v="重型货车"/>
    <s v="营运"/>
    <s v="商用车"/>
    <x v="4"/>
    <x v="3"/>
    <n v="11"/>
  </r>
  <r>
    <n v="849"/>
    <x v="3"/>
    <s v="纯电动"/>
    <x v="2"/>
    <s v="重型货车"/>
    <s v="营运"/>
    <s v="商用车"/>
    <x v="4"/>
    <x v="3"/>
    <n v="301"/>
  </r>
  <r>
    <n v="850"/>
    <x v="4"/>
    <s v="纯电动"/>
    <x v="2"/>
    <s v="重型货车"/>
    <s v="营运"/>
    <s v="商用车"/>
    <x v="4"/>
    <x v="3"/>
    <n v="3588"/>
  </r>
  <r>
    <n v="851"/>
    <x v="5"/>
    <s v="纯电动"/>
    <x v="2"/>
    <s v="重型货车"/>
    <s v="营运"/>
    <s v="商用车"/>
    <x v="4"/>
    <x v="3"/>
    <n v="929"/>
  </r>
  <r>
    <n v="852"/>
    <x v="6"/>
    <s v="纯电动"/>
    <x v="2"/>
    <s v="重型货车"/>
    <s v="营运"/>
    <s v="商用车"/>
    <x v="4"/>
    <x v="3"/>
    <n v="6939"/>
  </r>
  <r>
    <n v="853"/>
    <x v="3"/>
    <s v="混合动力"/>
    <x v="3"/>
    <s v="重型货车"/>
    <s v="营运"/>
    <s v="商用车"/>
    <x v="4"/>
    <x v="3"/>
    <n v="2"/>
  </r>
  <r>
    <n v="854"/>
    <x v="5"/>
    <s v="混合动力"/>
    <x v="3"/>
    <s v="重型货车"/>
    <s v="营运"/>
    <s v="商用车"/>
    <x v="4"/>
    <x v="3"/>
    <n v="16"/>
  </r>
  <r>
    <n v="855"/>
    <x v="6"/>
    <s v="混合动力"/>
    <x v="3"/>
    <s v="重型货车"/>
    <s v="营运"/>
    <s v="商用车"/>
    <x v="4"/>
    <x v="3"/>
    <n v="18"/>
  </r>
  <r>
    <n v="856"/>
    <x v="4"/>
    <s v="甲醇"/>
    <x v="8"/>
    <s v="重型货车"/>
    <s v="营运"/>
    <s v="商用车"/>
    <x v="4"/>
    <x v="3"/>
    <n v="13"/>
  </r>
  <r>
    <n v="857"/>
    <x v="5"/>
    <s v="甲醇"/>
    <x v="8"/>
    <s v="重型货车"/>
    <s v="营运"/>
    <s v="商用车"/>
    <x v="4"/>
    <x v="3"/>
    <n v="14"/>
  </r>
  <r>
    <n v="858"/>
    <x v="6"/>
    <s v="甲醇"/>
    <x v="8"/>
    <s v="重型货车"/>
    <s v="营运"/>
    <s v="商用车"/>
    <x v="4"/>
    <x v="3"/>
    <n v="90"/>
  </r>
  <r>
    <n v="859"/>
    <x v="0"/>
    <s v="汽油"/>
    <x v="4"/>
    <s v="重型货车"/>
    <s v="营运"/>
    <s v="商用车"/>
    <x v="4"/>
    <x v="3"/>
    <n v="32"/>
  </r>
  <r>
    <n v="860"/>
    <x v="1"/>
    <s v="汽油"/>
    <x v="4"/>
    <s v="重型货车"/>
    <s v="营运"/>
    <s v="商用车"/>
    <x v="4"/>
    <x v="3"/>
    <n v="7"/>
  </r>
  <r>
    <n v="861"/>
    <x v="3"/>
    <s v="汽油"/>
    <x v="4"/>
    <s v="重型货车"/>
    <s v="营运"/>
    <s v="商用车"/>
    <x v="4"/>
    <x v="3"/>
    <n v="1"/>
  </r>
  <r>
    <n v="862"/>
    <x v="5"/>
    <s v="燃料电池"/>
    <x v="6"/>
    <s v="重型货车"/>
    <s v="营运"/>
    <s v="商用车"/>
    <x v="4"/>
    <x v="3"/>
    <n v="17"/>
  </r>
  <r>
    <n v="863"/>
    <x v="6"/>
    <s v="燃料电池"/>
    <x v="6"/>
    <s v="重型货车"/>
    <s v="营运"/>
    <s v="商用车"/>
    <x v="4"/>
    <x v="3"/>
    <n v="763"/>
  </r>
  <r>
    <n v="864"/>
    <x v="0"/>
    <s v="天然气"/>
    <x v="5"/>
    <s v="重型货车"/>
    <s v="营运"/>
    <s v="商用车"/>
    <x v="4"/>
    <x v="3"/>
    <n v="13220"/>
  </r>
  <r>
    <n v="865"/>
    <x v="1"/>
    <s v="天然气"/>
    <x v="5"/>
    <s v="重型货车"/>
    <s v="营运"/>
    <s v="商用车"/>
    <x v="4"/>
    <x v="3"/>
    <n v="13347"/>
  </r>
  <r>
    <n v="866"/>
    <x v="2"/>
    <s v="天然气"/>
    <x v="5"/>
    <s v="重型货车"/>
    <s v="营运"/>
    <s v="商用车"/>
    <x v="4"/>
    <x v="3"/>
    <n v="65677"/>
  </r>
  <r>
    <n v="867"/>
    <x v="3"/>
    <s v="天然气"/>
    <x v="5"/>
    <s v="重型货车"/>
    <s v="营运"/>
    <s v="商用车"/>
    <x v="4"/>
    <x v="3"/>
    <n v="59208"/>
  </r>
  <r>
    <n v="868"/>
    <x v="4"/>
    <s v="天然气"/>
    <x v="5"/>
    <s v="重型货车"/>
    <s v="营运"/>
    <s v="商用车"/>
    <x v="4"/>
    <x v="3"/>
    <n v="111397"/>
  </r>
  <r>
    <n v="869"/>
    <x v="5"/>
    <s v="天然气"/>
    <x v="5"/>
    <s v="重型货车"/>
    <s v="营运"/>
    <s v="商用车"/>
    <x v="4"/>
    <x v="3"/>
    <n v="139063"/>
  </r>
  <r>
    <n v="870"/>
    <x v="6"/>
    <s v="天然气"/>
    <x v="5"/>
    <s v="重型货车"/>
    <s v="营运"/>
    <s v="商用车"/>
    <x v="4"/>
    <x v="3"/>
    <n v="56813"/>
  </r>
  <r>
    <n v="871"/>
    <x v="0"/>
    <s v="柴油"/>
    <x v="1"/>
    <s v="大型客车"/>
    <s v="城市公交"/>
    <s v="乘用车"/>
    <x v="0"/>
    <x v="0"/>
    <n v="3"/>
  </r>
  <r>
    <n v="872"/>
    <x v="0"/>
    <s v="柴油"/>
    <x v="1"/>
    <s v="小型客车"/>
    <s v="城市公交"/>
    <s v="乘用车"/>
    <x v="0"/>
    <x v="1"/>
    <n v="10"/>
  </r>
  <r>
    <n v="873"/>
    <x v="3"/>
    <s v="柴油"/>
    <x v="1"/>
    <s v="小型客车"/>
    <s v="城市公交"/>
    <s v="乘用车"/>
    <x v="0"/>
    <x v="1"/>
    <n v="12"/>
  </r>
  <r>
    <n v="874"/>
    <x v="4"/>
    <s v="柴油"/>
    <x v="1"/>
    <s v="小型客车"/>
    <s v="城市公交"/>
    <s v="乘用车"/>
    <x v="0"/>
    <x v="1"/>
    <n v="1"/>
  </r>
  <r>
    <n v="875"/>
    <x v="5"/>
    <s v="柴油"/>
    <x v="1"/>
    <s v="小型客车"/>
    <s v="城市公交"/>
    <s v="乘用车"/>
    <x v="0"/>
    <x v="1"/>
    <n v="4"/>
  </r>
  <r>
    <n v="876"/>
    <x v="0"/>
    <s v="纯电动"/>
    <x v="2"/>
    <s v="小型客车"/>
    <s v="城市公交"/>
    <s v="乘用车"/>
    <x v="0"/>
    <x v="1"/>
    <n v="150"/>
  </r>
  <r>
    <n v="877"/>
    <x v="2"/>
    <s v="纯电动"/>
    <x v="2"/>
    <s v="小型客车"/>
    <s v="城市公交"/>
    <s v="乘用车"/>
    <x v="0"/>
    <x v="1"/>
    <n v="30"/>
  </r>
  <r>
    <n v="878"/>
    <x v="3"/>
    <s v="纯电动"/>
    <x v="2"/>
    <s v="小型客车"/>
    <s v="城市公交"/>
    <s v="乘用车"/>
    <x v="0"/>
    <x v="1"/>
    <n v="13"/>
  </r>
  <r>
    <n v="879"/>
    <x v="4"/>
    <s v="纯电动"/>
    <x v="2"/>
    <s v="小型客车"/>
    <s v="城市公交"/>
    <s v="乘用车"/>
    <x v="0"/>
    <x v="1"/>
    <n v="31"/>
  </r>
  <r>
    <n v="880"/>
    <x v="5"/>
    <s v="纯电动"/>
    <x v="2"/>
    <s v="小型客车"/>
    <s v="城市公交"/>
    <s v="乘用车"/>
    <x v="0"/>
    <x v="1"/>
    <n v="53"/>
  </r>
  <r>
    <n v="881"/>
    <x v="6"/>
    <s v="纯电动"/>
    <x v="2"/>
    <s v="小型客车"/>
    <s v="城市公交"/>
    <s v="乘用车"/>
    <x v="0"/>
    <x v="1"/>
    <n v="63"/>
  </r>
  <r>
    <n v="882"/>
    <x v="0"/>
    <s v="汽油"/>
    <x v="4"/>
    <s v="小型客车"/>
    <s v="城市公交"/>
    <s v="乘用车"/>
    <x v="0"/>
    <x v="1"/>
    <n v="434"/>
  </r>
  <r>
    <n v="883"/>
    <x v="1"/>
    <s v="汽油"/>
    <x v="4"/>
    <s v="小型客车"/>
    <s v="城市公交"/>
    <s v="乘用车"/>
    <x v="0"/>
    <x v="1"/>
    <n v="62"/>
  </r>
  <r>
    <n v="884"/>
    <x v="2"/>
    <s v="汽油"/>
    <x v="4"/>
    <s v="小型客车"/>
    <s v="城市公交"/>
    <s v="乘用车"/>
    <x v="0"/>
    <x v="1"/>
    <n v="837"/>
  </r>
  <r>
    <n v="885"/>
    <x v="3"/>
    <s v="汽油"/>
    <x v="4"/>
    <s v="小型客车"/>
    <s v="城市公交"/>
    <s v="乘用车"/>
    <x v="0"/>
    <x v="1"/>
    <n v="162"/>
  </r>
  <r>
    <n v="886"/>
    <x v="4"/>
    <s v="汽油"/>
    <x v="4"/>
    <s v="小型客车"/>
    <s v="城市公交"/>
    <s v="乘用车"/>
    <x v="0"/>
    <x v="1"/>
    <n v="205"/>
  </r>
  <r>
    <n v="887"/>
    <x v="5"/>
    <s v="汽油"/>
    <x v="4"/>
    <s v="小型客车"/>
    <s v="城市公交"/>
    <s v="乘用车"/>
    <x v="0"/>
    <x v="1"/>
    <n v="324"/>
  </r>
  <r>
    <n v="888"/>
    <x v="6"/>
    <s v="汽油"/>
    <x v="4"/>
    <s v="小型客车"/>
    <s v="城市公交"/>
    <s v="乘用车"/>
    <x v="0"/>
    <x v="1"/>
    <n v="95"/>
  </r>
  <r>
    <n v="889"/>
    <x v="0"/>
    <s v="汽油-天然气"/>
    <x v="5"/>
    <s v="小型客车"/>
    <s v="城市公交"/>
    <s v="乘用车"/>
    <x v="0"/>
    <x v="1"/>
    <n v="86"/>
  </r>
  <r>
    <n v="890"/>
    <x v="5"/>
    <s v="天然气"/>
    <x v="5"/>
    <s v="小型客车"/>
    <s v="城市公交"/>
    <s v="乘用车"/>
    <x v="0"/>
    <x v="1"/>
    <n v="1"/>
  </r>
  <r>
    <n v="891"/>
    <x v="6"/>
    <s v="插电式混合动力"/>
    <x v="0"/>
    <s v="NULL"/>
    <s v="出租租赁"/>
    <s v="乘用车"/>
    <x v="3"/>
    <x v="4"/>
    <n v="1"/>
  </r>
  <r>
    <n v="892"/>
    <x v="6"/>
    <s v="柴油"/>
    <x v="1"/>
    <s v="NULL"/>
    <s v="出租租赁"/>
    <s v="乘用车"/>
    <x v="3"/>
    <x v="4"/>
    <n v="1"/>
  </r>
  <r>
    <n v="893"/>
    <x v="6"/>
    <s v="纯电动"/>
    <x v="2"/>
    <s v="NULL"/>
    <s v="出租租赁"/>
    <s v="乘用车"/>
    <x v="3"/>
    <x v="4"/>
    <n v="1"/>
  </r>
  <r>
    <n v="894"/>
    <x v="6"/>
    <s v="汽油"/>
    <x v="4"/>
    <s v="NULL"/>
    <s v="出租租赁"/>
    <s v="乘用车"/>
    <x v="3"/>
    <x v="4"/>
    <n v="61"/>
  </r>
  <r>
    <n v="895"/>
    <x v="0"/>
    <s v="纯电动"/>
    <x v="2"/>
    <s v="微型客车"/>
    <s v="出租租赁"/>
    <s v="乘用车"/>
    <x v="3"/>
    <x v="1"/>
    <n v="6066"/>
  </r>
  <r>
    <n v="896"/>
    <x v="1"/>
    <s v="纯电动"/>
    <x v="2"/>
    <s v="微型客车"/>
    <s v="出租租赁"/>
    <s v="乘用车"/>
    <x v="3"/>
    <x v="1"/>
    <n v="1517"/>
  </r>
  <r>
    <n v="897"/>
    <x v="2"/>
    <s v="纯电动"/>
    <x v="2"/>
    <s v="微型客车"/>
    <s v="出租租赁"/>
    <s v="乘用车"/>
    <x v="3"/>
    <x v="1"/>
    <n v="7545"/>
  </r>
  <r>
    <n v="898"/>
    <x v="3"/>
    <s v="纯电动"/>
    <x v="2"/>
    <s v="微型客车"/>
    <s v="出租租赁"/>
    <s v="乘用车"/>
    <x v="3"/>
    <x v="1"/>
    <n v="7942"/>
  </r>
  <r>
    <n v="899"/>
    <x v="4"/>
    <s v="纯电动"/>
    <x v="2"/>
    <s v="微型客车"/>
    <s v="出租租赁"/>
    <s v="乘用车"/>
    <x v="3"/>
    <x v="1"/>
    <n v="1971"/>
  </r>
  <r>
    <n v="900"/>
    <x v="5"/>
    <s v="纯电动"/>
    <x v="2"/>
    <s v="微型客车"/>
    <s v="出租租赁"/>
    <s v="乘用车"/>
    <x v="3"/>
    <x v="1"/>
    <n v="20"/>
  </r>
  <r>
    <n v="901"/>
    <x v="6"/>
    <s v="纯电动"/>
    <x v="2"/>
    <s v="微型客车"/>
    <s v="出租租赁"/>
    <s v="乘用车"/>
    <x v="3"/>
    <x v="1"/>
    <n v="79"/>
  </r>
  <r>
    <n v="902"/>
    <x v="0"/>
    <s v="汽油"/>
    <x v="4"/>
    <s v="微型客车"/>
    <s v="出租租赁"/>
    <s v="乘用车"/>
    <x v="3"/>
    <x v="1"/>
    <n v="32"/>
  </r>
  <r>
    <n v="903"/>
    <x v="1"/>
    <s v="汽油"/>
    <x v="4"/>
    <s v="微型客车"/>
    <s v="出租租赁"/>
    <s v="乘用车"/>
    <x v="3"/>
    <x v="1"/>
    <n v="5"/>
  </r>
  <r>
    <n v="904"/>
    <x v="2"/>
    <s v="汽油"/>
    <x v="4"/>
    <s v="微型客车"/>
    <s v="出租租赁"/>
    <s v="乘用车"/>
    <x v="3"/>
    <x v="1"/>
    <n v="8"/>
  </r>
  <r>
    <n v="905"/>
    <x v="4"/>
    <s v="汽油"/>
    <x v="4"/>
    <s v="微型客车"/>
    <s v="出租租赁"/>
    <s v="乘用车"/>
    <x v="3"/>
    <x v="1"/>
    <n v="1"/>
  </r>
  <r>
    <n v="906"/>
    <x v="0"/>
    <s v="插电式混合动力"/>
    <x v="0"/>
    <s v="小型客车"/>
    <s v="出租租赁"/>
    <s v="乘用车"/>
    <x v="3"/>
    <x v="1"/>
    <n v="2629"/>
  </r>
  <r>
    <n v="907"/>
    <x v="1"/>
    <s v="插电式混合动力"/>
    <x v="0"/>
    <s v="小型客车"/>
    <s v="出租租赁"/>
    <s v="乘用车"/>
    <x v="3"/>
    <x v="1"/>
    <n v="2785"/>
  </r>
  <r>
    <n v="908"/>
    <x v="2"/>
    <s v="插电式混合动力"/>
    <x v="0"/>
    <s v="小型客车"/>
    <s v="出租租赁"/>
    <s v="乘用车"/>
    <x v="3"/>
    <x v="1"/>
    <n v="4329"/>
  </r>
  <r>
    <n v="909"/>
    <x v="3"/>
    <s v="插电式混合动力"/>
    <x v="0"/>
    <s v="小型客车"/>
    <s v="出租租赁"/>
    <s v="乘用车"/>
    <x v="3"/>
    <x v="1"/>
    <n v="10304"/>
  </r>
  <r>
    <n v="910"/>
    <x v="4"/>
    <s v="插电式混合动力"/>
    <x v="0"/>
    <s v="小型客车"/>
    <s v="出租租赁"/>
    <s v="乘用车"/>
    <x v="3"/>
    <x v="1"/>
    <n v="16904"/>
  </r>
  <r>
    <n v="911"/>
    <x v="5"/>
    <s v="插电式混合动力"/>
    <x v="0"/>
    <s v="小型客车"/>
    <s v="出租租赁"/>
    <s v="乘用车"/>
    <x v="3"/>
    <x v="1"/>
    <n v="12718"/>
  </r>
  <r>
    <n v="912"/>
    <x v="6"/>
    <s v="插电式混合动力"/>
    <x v="0"/>
    <s v="小型客车"/>
    <s v="出租租赁"/>
    <s v="乘用车"/>
    <x v="3"/>
    <x v="1"/>
    <n v="11512"/>
  </r>
  <r>
    <n v="913"/>
    <x v="0"/>
    <s v="柴油"/>
    <x v="1"/>
    <s v="小型客车"/>
    <s v="出租租赁"/>
    <s v="乘用车"/>
    <x v="3"/>
    <x v="1"/>
    <n v="132"/>
  </r>
  <r>
    <n v="914"/>
    <x v="1"/>
    <s v="柴油"/>
    <x v="1"/>
    <s v="小型客车"/>
    <s v="出租租赁"/>
    <s v="乘用车"/>
    <x v="3"/>
    <x v="1"/>
    <n v="410"/>
  </r>
  <r>
    <n v="915"/>
    <x v="2"/>
    <s v="柴油"/>
    <x v="1"/>
    <s v="小型客车"/>
    <s v="出租租赁"/>
    <s v="乘用车"/>
    <x v="3"/>
    <x v="1"/>
    <n v="614"/>
  </r>
  <r>
    <n v="916"/>
    <x v="3"/>
    <s v="柴油"/>
    <x v="1"/>
    <s v="小型客车"/>
    <s v="出租租赁"/>
    <s v="乘用车"/>
    <x v="3"/>
    <x v="1"/>
    <n v="1784"/>
  </r>
  <r>
    <n v="917"/>
    <x v="4"/>
    <s v="柴油"/>
    <x v="1"/>
    <s v="小型客车"/>
    <s v="出租租赁"/>
    <s v="乘用车"/>
    <x v="3"/>
    <x v="1"/>
    <n v="4515"/>
  </r>
  <r>
    <n v="918"/>
    <x v="5"/>
    <s v="柴油"/>
    <x v="1"/>
    <s v="小型客车"/>
    <s v="出租租赁"/>
    <s v="乘用车"/>
    <x v="3"/>
    <x v="1"/>
    <n v="2458"/>
  </r>
  <r>
    <n v="919"/>
    <x v="6"/>
    <s v="柴油"/>
    <x v="1"/>
    <s v="小型客车"/>
    <s v="出租租赁"/>
    <s v="乘用车"/>
    <x v="3"/>
    <x v="1"/>
    <n v="1203"/>
  </r>
  <r>
    <n v="920"/>
    <x v="0"/>
    <s v="纯电动"/>
    <x v="2"/>
    <s v="小型客车"/>
    <s v="出租租赁"/>
    <s v="乘用车"/>
    <x v="3"/>
    <x v="1"/>
    <n v="13222"/>
  </r>
  <r>
    <n v="921"/>
    <x v="1"/>
    <s v="纯电动"/>
    <x v="2"/>
    <s v="小型客车"/>
    <s v="出租租赁"/>
    <s v="乘用车"/>
    <x v="3"/>
    <x v="1"/>
    <n v="29457"/>
  </r>
  <r>
    <n v="922"/>
    <x v="2"/>
    <s v="纯电动"/>
    <x v="2"/>
    <s v="小型客车"/>
    <s v="出租租赁"/>
    <s v="乘用车"/>
    <x v="3"/>
    <x v="1"/>
    <n v="58288"/>
  </r>
  <r>
    <n v="923"/>
    <x v="3"/>
    <s v="纯电动"/>
    <x v="2"/>
    <s v="小型客车"/>
    <s v="出租租赁"/>
    <s v="乘用车"/>
    <x v="3"/>
    <x v="1"/>
    <n v="149260"/>
  </r>
  <r>
    <n v="924"/>
    <x v="4"/>
    <s v="纯电动"/>
    <x v="2"/>
    <s v="小型客车"/>
    <s v="出租租赁"/>
    <s v="乘用车"/>
    <x v="3"/>
    <x v="1"/>
    <n v="229615"/>
  </r>
  <r>
    <n v="925"/>
    <x v="5"/>
    <s v="纯电动"/>
    <x v="2"/>
    <s v="小型客车"/>
    <s v="出租租赁"/>
    <s v="乘用车"/>
    <x v="3"/>
    <x v="1"/>
    <n v="162556"/>
  </r>
  <r>
    <n v="926"/>
    <x v="6"/>
    <s v="纯电动"/>
    <x v="2"/>
    <s v="小型客车"/>
    <s v="出租租赁"/>
    <s v="乘用车"/>
    <x v="3"/>
    <x v="1"/>
    <n v="341428"/>
  </r>
  <r>
    <n v="927"/>
    <x v="0"/>
    <s v="混合动力"/>
    <x v="3"/>
    <s v="小型客车"/>
    <s v="出租租赁"/>
    <s v="乘用车"/>
    <x v="3"/>
    <x v="1"/>
    <n v="5233"/>
  </r>
  <r>
    <n v="928"/>
    <x v="1"/>
    <s v="混合动力"/>
    <x v="3"/>
    <s v="小型客车"/>
    <s v="出租租赁"/>
    <s v="乘用车"/>
    <x v="3"/>
    <x v="1"/>
    <n v="3257"/>
  </r>
  <r>
    <n v="929"/>
    <x v="2"/>
    <s v="混合动力"/>
    <x v="3"/>
    <s v="小型客车"/>
    <s v="出租租赁"/>
    <s v="乘用车"/>
    <x v="3"/>
    <x v="1"/>
    <n v="14442"/>
  </r>
  <r>
    <n v="930"/>
    <x v="3"/>
    <s v="混合动力"/>
    <x v="3"/>
    <s v="小型客车"/>
    <s v="出租租赁"/>
    <s v="乘用车"/>
    <x v="3"/>
    <x v="1"/>
    <n v="22793"/>
  </r>
  <r>
    <n v="931"/>
    <x v="4"/>
    <s v="混合动力"/>
    <x v="3"/>
    <s v="小型客车"/>
    <s v="出租租赁"/>
    <s v="乘用车"/>
    <x v="3"/>
    <x v="1"/>
    <n v="26279"/>
  </r>
  <r>
    <n v="932"/>
    <x v="5"/>
    <s v="混合动力"/>
    <x v="3"/>
    <s v="小型客车"/>
    <s v="出租租赁"/>
    <s v="乘用车"/>
    <x v="3"/>
    <x v="1"/>
    <n v="13174"/>
  </r>
  <r>
    <n v="933"/>
    <x v="6"/>
    <s v="混合动力"/>
    <x v="3"/>
    <s v="小型客车"/>
    <s v="出租租赁"/>
    <s v="乘用车"/>
    <x v="3"/>
    <x v="1"/>
    <n v="13194"/>
  </r>
  <r>
    <n v="934"/>
    <x v="0"/>
    <s v="甲醇"/>
    <x v="8"/>
    <s v="小型客车"/>
    <s v="出租租赁"/>
    <s v="乘用车"/>
    <x v="3"/>
    <x v="1"/>
    <n v="559"/>
  </r>
  <r>
    <n v="935"/>
    <x v="1"/>
    <s v="甲醇"/>
    <x v="8"/>
    <s v="小型客车"/>
    <s v="出租租赁"/>
    <s v="乘用车"/>
    <x v="3"/>
    <x v="1"/>
    <n v="197"/>
  </r>
  <r>
    <n v="936"/>
    <x v="2"/>
    <s v="甲醇"/>
    <x v="8"/>
    <s v="小型客车"/>
    <s v="出租租赁"/>
    <s v="乘用车"/>
    <x v="3"/>
    <x v="1"/>
    <n v="1889"/>
  </r>
  <r>
    <n v="937"/>
    <x v="3"/>
    <s v="甲醇"/>
    <x v="8"/>
    <s v="小型客车"/>
    <s v="出租租赁"/>
    <s v="乘用车"/>
    <x v="3"/>
    <x v="1"/>
    <n v="1627"/>
  </r>
  <r>
    <n v="938"/>
    <x v="4"/>
    <s v="甲醇"/>
    <x v="8"/>
    <s v="小型客车"/>
    <s v="出租租赁"/>
    <s v="乘用车"/>
    <x v="3"/>
    <x v="1"/>
    <n v="14529"/>
  </r>
  <r>
    <n v="939"/>
    <x v="5"/>
    <s v="甲醇"/>
    <x v="8"/>
    <s v="小型客车"/>
    <s v="出租租赁"/>
    <s v="乘用车"/>
    <x v="3"/>
    <x v="1"/>
    <n v="5543"/>
  </r>
  <r>
    <n v="940"/>
    <x v="6"/>
    <s v="甲醇"/>
    <x v="8"/>
    <s v="小型客车"/>
    <s v="出租租赁"/>
    <s v="乘用车"/>
    <x v="3"/>
    <x v="1"/>
    <n v="809"/>
  </r>
  <r>
    <n v="941"/>
    <x v="0"/>
    <s v="汽油"/>
    <x v="4"/>
    <s v="小型客车"/>
    <s v="出租租赁"/>
    <s v="乘用车"/>
    <x v="3"/>
    <x v="1"/>
    <n v="99548"/>
  </r>
  <r>
    <n v="942"/>
    <x v="1"/>
    <s v="汽油"/>
    <x v="4"/>
    <s v="小型客车"/>
    <s v="出租租赁"/>
    <s v="乘用车"/>
    <x v="3"/>
    <x v="1"/>
    <n v="173060"/>
  </r>
  <r>
    <n v="943"/>
    <x v="2"/>
    <s v="汽油"/>
    <x v="4"/>
    <s v="小型客车"/>
    <s v="出租租赁"/>
    <s v="乘用车"/>
    <x v="3"/>
    <x v="1"/>
    <n v="322641"/>
  </r>
  <r>
    <n v="944"/>
    <x v="3"/>
    <s v="汽油"/>
    <x v="4"/>
    <s v="小型客车"/>
    <s v="出租租赁"/>
    <s v="乘用车"/>
    <x v="3"/>
    <x v="1"/>
    <n v="223576"/>
  </r>
  <r>
    <n v="945"/>
    <x v="4"/>
    <s v="汽油"/>
    <x v="4"/>
    <s v="小型客车"/>
    <s v="出租租赁"/>
    <s v="乘用车"/>
    <x v="3"/>
    <x v="1"/>
    <n v="215251"/>
  </r>
  <r>
    <n v="946"/>
    <x v="5"/>
    <s v="汽油"/>
    <x v="4"/>
    <s v="小型客车"/>
    <s v="出租租赁"/>
    <s v="乘用车"/>
    <x v="3"/>
    <x v="1"/>
    <n v="115382"/>
  </r>
  <r>
    <n v="947"/>
    <x v="6"/>
    <s v="汽油"/>
    <x v="4"/>
    <s v="小型客车"/>
    <s v="出租租赁"/>
    <s v="乘用车"/>
    <x v="3"/>
    <x v="1"/>
    <n v="91069"/>
  </r>
  <r>
    <n v="948"/>
    <x v="1"/>
    <s v="汽油-LPG"/>
    <x v="9"/>
    <s v="小型客车"/>
    <s v="出租租赁"/>
    <s v="乘用车"/>
    <x v="3"/>
    <x v="1"/>
    <n v="1695"/>
  </r>
  <r>
    <n v="949"/>
    <x v="2"/>
    <s v="汽油-LPG"/>
    <x v="9"/>
    <s v="小型客车"/>
    <s v="出租租赁"/>
    <s v="乘用车"/>
    <x v="3"/>
    <x v="1"/>
    <n v="5122"/>
  </r>
  <r>
    <n v="950"/>
    <x v="3"/>
    <s v="汽油-LPG"/>
    <x v="9"/>
    <s v="小型客车"/>
    <s v="出租租赁"/>
    <s v="乘用车"/>
    <x v="3"/>
    <x v="1"/>
    <n v="2630"/>
  </r>
  <r>
    <n v="951"/>
    <x v="4"/>
    <s v="汽油-LPG"/>
    <x v="9"/>
    <s v="小型客车"/>
    <s v="出租租赁"/>
    <s v="乘用车"/>
    <x v="3"/>
    <x v="1"/>
    <n v="202"/>
  </r>
  <r>
    <n v="952"/>
    <x v="0"/>
    <s v="汽油-天然气"/>
    <x v="5"/>
    <s v="小型客车"/>
    <s v="出租租赁"/>
    <s v="乘用车"/>
    <x v="3"/>
    <x v="1"/>
    <n v="123194"/>
  </r>
  <r>
    <n v="953"/>
    <x v="1"/>
    <s v="汽油-天然气"/>
    <x v="5"/>
    <s v="小型客车"/>
    <s v="出租租赁"/>
    <s v="乘用车"/>
    <x v="3"/>
    <x v="1"/>
    <n v="86125"/>
  </r>
  <r>
    <n v="954"/>
    <x v="2"/>
    <s v="汽油-天然气"/>
    <x v="5"/>
    <s v="小型客车"/>
    <s v="出租租赁"/>
    <s v="乘用车"/>
    <x v="3"/>
    <x v="1"/>
    <n v="75691"/>
  </r>
  <r>
    <n v="955"/>
    <x v="3"/>
    <s v="汽油-天然气"/>
    <x v="5"/>
    <s v="小型客车"/>
    <s v="出租租赁"/>
    <s v="乘用车"/>
    <x v="3"/>
    <x v="1"/>
    <n v="86574"/>
  </r>
  <r>
    <n v="956"/>
    <x v="4"/>
    <s v="汽油-天然气"/>
    <x v="5"/>
    <s v="小型客车"/>
    <s v="出租租赁"/>
    <s v="乘用车"/>
    <x v="3"/>
    <x v="1"/>
    <n v="92188"/>
  </r>
  <r>
    <n v="957"/>
    <x v="5"/>
    <s v="汽油-天然气"/>
    <x v="5"/>
    <s v="小型客车"/>
    <s v="出租租赁"/>
    <s v="乘用车"/>
    <x v="3"/>
    <x v="1"/>
    <n v="23115"/>
  </r>
  <r>
    <n v="958"/>
    <x v="6"/>
    <s v="汽油-天然气"/>
    <x v="5"/>
    <s v="小型客车"/>
    <s v="出租租赁"/>
    <s v="乘用车"/>
    <x v="3"/>
    <x v="1"/>
    <n v="23973"/>
  </r>
  <r>
    <n v="959"/>
    <x v="1"/>
    <s v="燃料电池"/>
    <x v="6"/>
    <s v="小型客车"/>
    <s v="出租租赁"/>
    <s v="乘用车"/>
    <x v="3"/>
    <x v="1"/>
    <n v="8"/>
  </r>
  <r>
    <n v="960"/>
    <x v="2"/>
    <s v="燃料电池"/>
    <x v="6"/>
    <s v="小型客车"/>
    <s v="出租租赁"/>
    <s v="乘用车"/>
    <x v="3"/>
    <x v="1"/>
    <n v="50"/>
  </r>
  <r>
    <n v="961"/>
    <x v="6"/>
    <s v="燃料电池"/>
    <x v="6"/>
    <s v="小型客车"/>
    <s v="出租租赁"/>
    <s v="乘用车"/>
    <x v="3"/>
    <x v="1"/>
    <n v="9"/>
  </r>
  <r>
    <n v="962"/>
    <x v="4"/>
    <s v="天然气"/>
    <x v="5"/>
    <s v="小型客车"/>
    <s v="出租租赁"/>
    <s v="乘用车"/>
    <x v="3"/>
    <x v="1"/>
    <n v="3298"/>
  </r>
  <r>
    <n v="963"/>
    <x v="5"/>
    <s v="天然气"/>
    <x v="5"/>
    <s v="小型客车"/>
    <s v="出租租赁"/>
    <s v="乘用车"/>
    <x v="3"/>
    <x v="1"/>
    <n v="15791"/>
  </r>
  <r>
    <n v="964"/>
    <x v="6"/>
    <s v="天然气"/>
    <x v="5"/>
    <s v="小型客车"/>
    <s v="出租租赁"/>
    <s v="乘用车"/>
    <x v="3"/>
    <x v="1"/>
    <n v="16214"/>
  </r>
  <r>
    <n v="965"/>
    <x v="6"/>
    <s v="增程式混合动力"/>
    <x v="3"/>
    <s v="小型客车"/>
    <s v="出租租赁"/>
    <s v="乘用车"/>
    <x v="3"/>
    <x v="1"/>
    <n v="180"/>
  </r>
  <r>
    <n v="966"/>
    <x v="0"/>
    <s v="柴油"/>
    <x v="1"/>
    <s v="中型客车"/>
    <s v="出租租赁"/>
    <s v="乘用车"/>
    <x v="1"/>
    <x v="0"/>
    <n v="5"/>
  </r>
  <r>
    <n v="967"/>
    <x v="0"/>
    <s v="汽油"/>
    <x v="4"/>
    <s v="中型客车"/>
    <s v="出租租赁"/>
    <s v="乘用车"/>
    <x v="1"/>
    <x v="0"/>
    <n v="6"/>
  </r>
  <r>
    <n v="968"/>
    <x v="1"/>
    <s v="汽油"/>
    <x v="4"/>
    <s v="中型客车"/>
    <s v="出租租赁"/>
    <s v="乘用车"/>
    <x v="1"/>
    <x v="0"/>
    <n v="6"/>
  </r>
  <r>
    <n v="969"/>
    <x v="3"/>
    <s v="汽油"/>
    <x v="4"/>
    <s v="中型客车"/>
    <s v="出租租赁"/>
    <s v="乘用车"/>
    <x v="1"/>
    <x v="0"/>
    <n v="4"/>
  </r>
  <r>
    <n v="970"/>
    <x v="5"/>
    <s v="汽油"/>
    <x v="4"/>
    <s v="中型客车"/>
    <s v="出租租赁"/>
    <s v="乘用车"/>
    <x v="1"/>
    <x v="0"/>
    <n v="3"/>
  </r>
  <r>
    <n v="971"/>
    <x v="6"/>
    <s v="汽油"/>
    <x v="4"/>
    <s v="中型客车"/>
    <s v="出租租赁"/>
    <s v="乘用车"/>
    <x v="1"/>
    <x v="0"/>
    <n v="2"/>
  </r>
  <r>
    <n v="972"/>
    <x v="6"/>
    <s v="插电式混合动力"/>
    <x v="0"/>
    <s v="NULL"/>
    <s v="非营运"/>
    <s v="乘用车"/>
    <x v="6"/>
    <x v="4"/>
    <n v="6002"/>
  </r>
  <r>
    <n v="973"/>
    <x v="6"/>
    <s v="柴油"/>
    <x v="1"/>
    <s v="NULL"/>
    <s v="非营运"/>
    <s v="乘用车"/>
    <x v="6"/>
    <x v="4"/>
    <n v="71"/>
  </r>
  <r>
    <n v="974"/>
    <x v="6"/>
    <s v="纯电动"/>
    <x v="2"/>
    <s v="NULL"/>
    <s v="非营运"/>
    <s v="乘用车"/>
    <x v="6"/>
    <x v="4"/>
    <n v="2796"/>
  </r>
  <r>
    <n v="975"/>
    <x v="6"/>
    <s v="混合动力"/>
    <x v="3"/>
    <s v="NULL"/>
    <s v="非营运"/>
    <s v="乘用车"/>
    <x v="6"/>
    <x v="4"/>
    <n v="22970"/>
  </r>
  <r>
    <n v="976"/>
    <x v="6"/>
    <s v="汽油"/>
    <x v="4"/>
    <s v="NULL"/>
    <s v="非营运"/>
    <s v="乘用车"/>
    <x v="6"/>
    <x v="4"/>
    <n v="166821"/>
  </r>
  <r>
    <n v="977"/>
    <x v="0"/>
    <s v="汽油"/>
    <x v="4"/>
    <s v="大型客车"/>
    <s v="非营运"/>
    <s v="乘用车"/>
    <x v="1"/>
    <x v="0"/>
    <n v="6"/>
  </r>
  <r>
    <n v="978"/>
    <x v="1"/>
    <s v="汽油"/>
    <x v="4"/>
    <s v="大型客车"/>
    <s v="非营运"/>
    <s v="乘用车"/>
    <x v="1"/>
    <x v="0"/>
    <n v="1"/>
  </r>
  <r>
    <n v="979"/>
    <x v="2"/>
    <s v="汽油"/>
    <x v="4"/>
    <s v="大型客车"/>
    <s v="非营运"/>
    <s v="乘用车"/>
    <x v="1"/>
    <x v="0"/>
    <n v="2"/>
  </r>
  <r>
    <n v="980"/>
    <x v="0"/>
    <s v="纯电动"/>
    <x v="2"/>
    <s v="微型客车"/>
    <s v="非营运"/>
    <s v="乘用车"/>
    <x v="6"/>
    <x v="1"/>
    <n v="50596"/>
  </r>
  <r>
    <n v="981"/>
    <x v="1"/>
    <s v="纯电动"/>
    <x v="2"/>
    <s v="微型客车"/>
    <s v="非营运"/>
    <s v="乘用车"/>
    <x v="6"/>
    <x v="1"/>
    <n v="49734"/>
  </r>
  <r>
    <n v="982"/>
    <x v="2"/>
    <s v="纯电动"/>
    <x v="2"/>
    <s v="微型客车"/>
    <s v="非营运"/>
    <s v="乘用车"/>
    <x v="6"/>
    <x v="1"/>
    <n v="116463"/>
  </r>
  <r>
    <n v="983"/>
    <x v="3"/>
    <s v="纯电动"/>
    <x v="2"/>
    <s v="微型客车"/>
    <s v="非营运"/>
    <s v="乘用车"/>
    <x v="6"/>
    <x v="1"/>
    <n v="112892"/>
  </r>
  <r>
    <n v="984"/>
    <x v="4"/>
    <s v="纯电动"/>
    <x v="2"/>
    <s v="微型客车"/>
    <s v="非营运"/>
    <s v="乘用车"/>
    <x v="6"/>
    <x v="1"/>
    <n v="105491"/>
  </r>
  <r>
    <n v="985"/>
    <x v="5"/>
    <s v="纯电动"/>
    <x v="2"/>
    <s v="微型客车"/>
    <s v="非营运"/>
    <s v="乘用车"/>
    <x v="6"/>
    <x v="1"/>
    <n v="259055"/>
  </r>
  <r>
    <n v="986"/>
    <x v="6"/>
    <s v="纯电动"/>
    <x v="2"/>
    <s v="微型客车"/>
    <s v="非营运"/>
    <s v="乘用车"/>
    <x v="6"/>
    <x v="1"/>
    <n v="630061"/>
  </r>
  <r>
    <n v="987"/>
    <x v="1"/>
    <s v="混合动力"/>
    <x v="3"/>
    <s v="微型客车"/>
    <s v="非营运"/>
    <s v="乘用车"/>
    <x v="6"/>
    <x v="1"/>
    <n v="1"/>
  </r>
  <r>
    <n v="988"/>
    <x v="2"/>
    <s v="混合动力"/>
    <x v="3"/>
    <s v="微型客车"/>
    <s v="非营运"/>
    <s v="乘用车"/>
    <x v="6"/>
    <x v="1"/>
    <n v="30"/>
  </r>
  <r>
    <n v="989"/>
    <x v="0"/>
    <s v="汽油"/>
    <x v="4"/>
    <s v="微型客车"/>
    <s v="非营运"/>
    <s v="乘用车"/>
    <x v="6"/>
    <x v="1"/>
    <n v="37507"/>
  </r>
  <r>
    <n v="990"/>
    <x v="1"/>
    <s v="汽油"/>
    <x v="4"/>
    <s v="微型客车"/>
    <s v="非营运"/>
    <s v="乘用车"/>
    <x v="6"/>
    <x v="1"/>
    <n v="19445"/>
  </r>
  <r>
    <n v="991"/>
    <x v="2"/>
    <s v="汽油"/>
    <x v="4"/>
    <s v="微型客车"/>
    <s v="非营运"/>
    <s v="乘用车"/>
    <x v="6"/>
    <x v="1"/>
    <n v="9975"/>
  </r>
  <r>
    <n v="992"/>
    <x v="3"/>
    <s v="汽油"/>
    <x v="4"/>
    <s v="微型客车"/>
    <s v="非营运"/>
    <s v="乘用车"/>
    <x v="6"/>
    <x v="1"/>
    <n v="4731"/>
  </r>
  <r>
    <n v="993"/>
    <x v="4"/>
    <s v="汽油"/>
    <x v="4"/>
    <s v="微型客车"/>
    <s v="非营运"/>
    <s v="乘用车"/>
    <x v="6"/>
    <x v="1"/>
    <n v="350"/>
  </r>
  <r>
    <n v="994"/>
    <x v="5"/>
    <s v="汽油"/>
    <x v="4"/>
    <s v="微型客车"/>
    <s v="非营运"/>
    <s v="乘用车"/>
    <x v="6"/>
    <x v="1"/>
    <n v="19"/>
  </r>
  <r>
    <n v="995"/>
    <x v="6"/>
    <s v="汽油"/>
    <x v="4"/>
    <s v="微型客车"/>
    <s v="非营运"/>
    <s v="乘用车"/>
    <x v="6"/>
    <x v="1"/>
    <n v="10"/>
  </r>
  <r>
    <n v="996"/>
    <x v="0"/>
    <s v="插电式混合动力"/>
    <x v="0"/>
    <s v="小型客车"/>
    <s v="非营运"/>
    <s v="乘用车"/>
    <x v="6"/>
    <x v="1"/>
    <n v="10033"/>
  </r>
  <r>
    <n v="997"/>
    <x v="1"/>
    <s v="插电式混合动力"/>
    <x v="0"/>
    <s v="小型客车"/>
    <s v="非营运"/>
    <s v="乘用车"/>
    <x v="6"/>
    <x v="1"/>
    <n v="21920"/>
  </r>
  <r>
    <n v="998"/>
    <x v="2"/>
    <s v="插电式混合动力"/>
    <x v="0"/>
    <s v="小型客车"/>
    <s v="非营运"/>
    <s v="乘用车"/>
    <x v="6"/>
    <x v="1"/>
    <n v="54561"/>
  </r>
  <r>
    <n v="999"/>
    <x v="3"/>
    <s v="插电式混合动力"/>
    <x v="0"/>
    <s v="小型客车"/>
    <s v="非营运"/>
    <s v="乘用车"/>
    <x v="6"/>
    <x v="1"/>
    <n v="177496"/>
  </r>
  <r>
    <n v="1000"/>
    <x v="4"/>
    <s v="插电式混合动力"/>
    <x v="0"/>
    <s v="小型客车"/>
    <s v="非营运"/>
    <s v="乘用车"/>
    <x v="6"/>
    <x v="1"/>
    <n v="183559"/>
  </r>
  <r>
    <n v="1001"/>
    <x v="5"/>
    <s v="插电式混合动力"/>
    <x v="0"/>
    <s v="小型客车"/>
    <s v="非营运"/>
    <s v="乘用车"/>
    <x v="6"/>
    <x v="1"/>
    <n v="195072"/>
  </r>
  <r>
    <n v="1002"/>
    <x v="6"/>
    <s v="插电式混合动力"/>
    <x v="0"/>
    <s v="小型客车"/>
    <s v="非营运"/>
    <s v="乘用车"/>
    <x v="6"/>
    <x v="1"/>
    <n v="402729"/>
  </r>
  <r>
    <n v="1003"/>
    <x v="0"/>
    <s v="柴油"/>
    <x v="1"/>
    <s v="小型客车"/>
    <s v="非营运"/>
    <s v="乘用车"/>
    <x v="6"/>
    <x v="1"/>
    <n v="89397"/>
  </r>
  <r>
    <n v="1004"/>
    <x v="1"/>
    <s v="柴油"/>
    <x v="1"/>
    <s v="小型客车"/>
    <s v="非营运"/>
    <s v="乘用车"/>
    <x v="6"/>
    <x v="1"/>
    <n v="44086"/>
  </r>
  <r>
    <n v="1005"/>
    <x v="2"/>
    <s v="柴油"/>
    <x v="1"/>
    <s v="小型客车"/>
    <s v="非营运"/>
    <s v="乘用车"/>
    <x v="6"/>
    <x v="1"/>
    <n v="46863"/>
  </r>
  <r>
    <n v="1006"/>
    <x v="3"/>
    <s v="柴油"/>
    <x v="1"/>
    <s v="小型客车"/>
    <s v="非营运"/>
    <s v="乘用车"/>
    <x v="6"/>
    <x v="1"/>
    <n v="59338"/>
  </r>
  <r>
    <n v="1007"/>
    <x v="4"/>
    <s v="柴油"/>
    <x v="1"/>
    <s v="小型客车"/>
    <s v="非营运"/>
    <s v="乘用车"/>
    <x v="6"/>
    <x v="1"/>
    <n v="31156"/>
  </r>
  <r>
    <n v="1008"/>
    <x v="5"/>
    <s v="柴油"/>
    <x v="1"/>
    <s v="小型客车"/>
    <s v="非营运"/>
    <s v="乘用车"/>
    <x v="6"/>
    <x v="1"/>
    <n v="12596"/>
  </r>
  <r>
    <n v="1009"/>
    <x v="6"/>
    <s v="柴油"/>
    <x v="1"/>
    <s v="小型客车"/>
    <s v="非营运"/>
    <s v="乘用车"/>
    <x v="6"/>
    <x v="1"/>
    <n v="13608"/>
  </r>
  <r>
    <n v="1010"/>
    <x v="0"/>
    <s v="纯电动"/>
    <x v="2"/>
    <s v="小型客车"/>
    <s v="非营运"/>
    <s v="乘用车"/>
    <x v="6"/>
    <x v="1"/>
    <n v="65615"/>
  </r>
  <r>
    <n v="1011"/>
    <x v="1"/>
    <s v="纯电动"/>
    <x v="2"/>
    <s v="小型客车"/>
    <s v="非营运"/>
    <s v="乘用车"/>
    <x v="6"/>
    <x v="1"/>
    <n v="161933"/>
  </r>
  <r>
    <n v="1012"/>
    <x v="2"/>
    <s v="纯电动"/>
    <x v="2"/>
    <s v="小型客车"/>
    <s v="非营运"/>
    <s v="乘用车"/>
    <x v="6"/>
    <x v="1"/>
    <n v="302364"/>
  </r>
  <r>
    <n v="1013"/>
    <x v="3"/>
    <s v="纯电动"/>
    <x v="2"/>
    <s v="小型客车"/>
    <s v="非营运"/>
    <s v="乘用车"/>
    <x v="6"/>
    <x v="1"/>
    <n v="453899"/>
  </r>
  <r>
    <n v="1014"/>
    <x v="4"/>
    <s v="纯电动"/>
    <x v="2"/>
    <s v="小型客车"/>
    <s v="非营运"/>
    <s v="乘用车"/>
    <x v="6"/>
    <x v="1"/>
    <n v="377257"/>
  </r>
  <r>
    <n v="1015"/>
    <x v="5"/>
    <s v="纯电动"/>
    <x v="2"/>
    <s v="小型客车"/>
    <s v="非营运"/>
    <s v="乘用车"/>
    <x v="6"/>
    <x v="1"/>
    <n v="502760"/>
  </r>
  <r>
    <n v="1016"/>
    <x v="6"/>
    <s v="纯电动"/>
    <x v="2"/>
    <s v="小型客车"/>
    <s v="非营运"/>
    <s v="乘用车"/>
    <x v="6"/>
    <x v="1"/>
    <n v="1414498"/>
  </r>
  <r>
    <n v="1017"/>
    <x v="0"/>
    <s v="混合动力"/>
    <x v="3"/>
    <s v="小型客车"/>
    <s v="非营运"/>
    <s v="乘用车"/>
    <x v="6"/>
    <x v="1"/>
    <n v="64210"/>
  </r>
  <r>
    <n v="1018"/>
    <x v="1"/>
    <s v="混合动力"/>
    <x v="3"/>
    <s v="小型客车"/>
    <s v="非营运"/>
    <s v="乘用车"/>
    <x v="6"/>
    <x v="1"/>
    <n v="154514"/>
  </r>
  <r>
    <n v="1019"/>
    <x v="2"/>
    <s v="混合动力"/>
    <x v="3"/>
    <s v="小型客车"/>
    <s v="非营运"/>
    <s v="乘用车"/>
    <x v="6"/>
    <x v="1"/>
    <n v="207831"/>
  </r>
  <r>
    <n v="1020"/>
    <x v="3"/>
    <s v="混合动力"/>
    <x v="3"/>
    <s v="小型客车"/>
    <s v="非营运"/>
    <s v="乘用车"/>
    <x v="6"/>
    <x v="1"/>
    <n v="285928"/>
  </r>
  <r>
    <n v="1021"/>
    <x v="4"/>
    <s v="混合动力"/>
    <x v="3"/>
    <s v="小型客车"/>
    <s v="非营运"/>
    <s v="乘用车"/>
    <x v="6"/>
    <x v="1"/>
    <n v="350626"/>
  </r>
  <r>
    <n v="1022"/>
    <x v="5"/>
    <s v="混合动力"/>
    <x v="3"/>
    <s v="小型客车"/>
    <s v="非营运"/>
    <s v="乘用车"/>
    <x v="6"/>
    <x v="1"/>
    <n v="536308"/>
  </r>
  <r>
    <n v="1023"/>
    <x v="6"/>
    <s v="混合动力"/>
    <x v="3"/>
    <s v="小型客车"/>
    <s v="非营运"/>
    <s v="乘用车"/>
    <x v="6"/>
    <x v="1"/>
    <n v="683525"/>
  </r>
  <r>
    <n v="1024"/>
    <x v="0"/>
    <s v="甲醇"/>
    <x v="8"/>
    <s v="小型客车"/>
    <s v="非营运"/>
    <s v="乘用车"/>
    <x v="6"/>
    <x v="1"/>
    <n v="19"/>
  </r>
  <r>
    <n v="1025"/>
    <x v="1"/>
    <s v="甲醇"/>
    <x v="8"/>
    <s v="小型客车"/>
    <s v="非营运"/>
    <s v="乘用车"/>
    <x v="6"/>
    <x v="1"/>
    <n v="8"/>
  </r>
  <r>
    <n v="1026"/>
    <x v="2"/>
    <s v="甲醇"/>
    <x v="8"/>
    <s v="小型客车"/>
    <s v="非营运"/>
    <s v="乘用车"/>
    <x v="6"/>
    <x v="1"/>
    <n v="420"/>
  </r>
  <r>
    <n v="1027"/>
    <x v="3"/>
    <s v="甲醇"/>
    <x v="8"/>
    <s v="小型客车"/>
    <s v="非营运"/>
    <s v="乘用车"/>
    <x v="6"/>
    <x v="1"/>
    <n v="215"/>
  </r>
  <r>
    <n v="1028"/>
    <x v="4"/>
    <s v="甲醇"/>
    <x v="8"/>
    <s v="小型客车"/>
    <s v="非营运"/>
    <s v="乘用车"/>
    <x v="6"/>
    <x v="1"/>
    <n v="32"/>
  </r>
  <r>
    <n v="1029"/>
    <x v="5"/>
    <s v="甲醇"/>
    <x v="8"/>
    <s v="小型客车"/>
    <s v="非营运"/>
    <s v="乘用车"/>
    <x v="6"/>
    <x v="1"/>
    <n v="145"/>
  </r>
  <r>
    <n v="1030"/>
    <x v="6"/>
    <s v="甲醇"/>
    <x v="8"/>
    <s v="小型客车"/>
    <s v="非营运"/>
    <s v="乘用车"/>
    <x v="6"/>
    <x v="1"/>
    <n v="28"/>
  </r>
  <r>
    <n v="1031"/>
    <x v="0"/>
    <s v="汽油"/>
    <x v="4"/>
    <s v="小型客车"/>
    <s v="非营运"/>
    <s v="乘用车"/>
    <x v="6"/>
    <x v="1"/>
    <n v="19070729"/>
  </r>
  <r>
    <n v="1032"/>
    <x v="1"/>
    <s v="汽油"/>
    <x v="4"/>
    <s v="小型客车"/>
    <s v="非营运"/>
    <s v="乘用车"/>
    <x v="6"/>
    <x v="1"/>
    <n v="23769495"/>
  </r>
  <r>
    <n v="1033"/>
    <x v="2"/>
    <s v="汽油"/>
    <x v="4"/>
    <s v="小型客车"/>
    <s v="非营运"/>
    <s v="乘用车"/>
    <x v="6"/>
    <x v="1"/>
    <n v="23287606"/>
  </r>
  <r>
    <n v="1034"/>
    <x v="3"/>
    <s v="汽油"/>
    <x v="4"/>
    <s v="小型客车"/>
    <s v="非营运"/>
    <s v="乘用车"/>
    <x v="6"/>
    <x v="1"/>
    <n v="20842214"/>
  </r>
  <r>
    <n v="1035"/>
    <x v="4"/>
    <s v="汽油"/>
    <x v="4"/>
    <s v="小型客车"/>
    <s v="非营运"/>
    <s v="乘用车"/>
    <x v="6"/>
    <x v="1"/>
    <n v="19986840"/>
  </r>
  <r>
    <n v="1036"/>
    <x v="5"/>
    <s v="汽油"/>
    <x v="4"/>
    <s v="小型客车"/>
    <s v="非营运"/>
    <s v="乘用车"/>
    <x v="6"/>
    <x v="1"/>
    <n v="18196716"/>
  </r>
  <r>
    <n v="1037"/>
    <x v="6"/>
    <s v="汽油"/>
    <x v="4"/>
    <s v="小型客车"/>
    <s v="非营运"/>
    <s v="乘用车"/>
    <x v="6"/>
    <x v="1"/>
    <n v="17373728"/>
  </r>
  <r>
    <n v="1038"/>
    <x v="1"/>
    <s v="汽油-LPG"/>
    <x v="9"/>
    <s v="小型客车"/>
    <s v="非营运"/>
    <s v="乘用车"/>
    <x v="6"/>
    <x v="1"/>
    <n v="27"/>
  </r>
  <r>
    <n v="1039"/>
    <x v="2"/>
    <s v="汽油-LPG"/>
    <x v="9"/>
    <s v="小型客车"/>
    <s v="非营运"/>
    <s v="乘用车"/>
    <x v="6"/>
    <x v="1"/>
    <n v="165"/>
  </r>
  <r>
    <n v="1040"/>
    <x v="3"/>
    <s v="汽油-LPG"/>
    <x v="9"/>
    <s v="小型客车"/>
    <s v="非营运"/>
    <s v="乘用车"/>
    <x v="6"/>
    <x v="1"/>
    <n v="512"/>
  </r>
  <r>
    <n v="1041"/>
    <x v="4"/>
    <s v="汽油-LPG"/>
    <x v="9"/>
    <s v="小型客车"/>
    <s v="非营运"/>
    <s v="乘用车"/>
    <x v="6"/>
    <x v="1"/>
    <n v="1"/>
  </r>
  <r>
    <n v="1042"/>
    <x v="0"/>
    <s v="汽油-天然气"/>
    <x v="5"/>
    <s v="小型客车"/>
    <s v="非营运"/>
    <s v="乘用车"/>
    <x v="6"/>
    <x v="1"/>
    <n v="1310439"/>
  </r>
  <r>
    <n v="1043"/>
    <x v="1"/>
    <s v="汽油-天然气"/>
    <x v="5"/>
    <s v="小型客车"/>
    <s v="非营运"/>
    <s v="乘用车"/>
    <x v="6"/>
    <x v="1"/>
    <n v="22580"/>
  </r>
  <r>
    <n v="1044"/>
    <x v="2"/>
    <s v="汽油-天然气"/>
    <x v="5"/>
    <s v="小型客车"/>
    <s v="非营运"/>
    <s v="乘用车"/>
    <x v="6"/>
    <x v="1"/>
    <n v="22876"/>
  </r>
  <r>
    <n v="1045"/>
    <x v="3"/>
    <s v="汽油-天然气"/>
    <x v="5"/>
    <s v="小型客车"/>
    <s v="非营运"/>
    <s v="乘用车"/>
    <x v="6"/>
    <x v="1"/>
    <n v="38202"/>
  </r>
  <r>
    <n v="1046"/>
    <x v="4"/>
    <s v="汽油-天然气"/>
    <x v="5"/>
    <s v="小型客车"/>
    <s v="非营运"/>
    <s v="乘用车"/>
    <x v="6"/>
    <x v="1"/>
    <n v="8020"/>
  </r>
  <r>
    <n v="1047"/>
    <x v="5"/>
    <s v="汽油-天然气"/>
    <x v="5"/>
    <s v="小型客车"/>
    <s v="非营运"/>
    <s v="乘用车"/>
    <x v="6"/>
    <x v="1"/>
    <n v="977"/>
  </r>
  <r>
    <n v="1048"/>
    <x v="6"/>
    <s v="汽油-天然气"/>
    <x v="5"/>
    <s v="小型客车"/>
    <s v="非营运"/>
    <s v="乘用车"/>
    <x v="6"/>
    <x v="1"/>
    <n v="186"/>
  </r>
  <r>
    <n v="1049"/>
    <x v="6"/>
    <s v="燃料电池"/>
    <x v="6"/>
    <s v="小型客车"/>
    <s v="非营运"/>
    <s v="乘用车"/>
    <x v="6"/>
    <x v="1"/>
    <n v="9"/>
  </r>
  <r>
    <n v="1050"/>
    <x v="2"/>
    <s v="天然气"/>
    <x v="5"/>
    <s v="小型客车"/>
    <s v="非营运"/>
    <s v="乘用车"/>
    <x v="6"/>
    <x v="1"/>
    <n v="19"/>
  </r>
  <r>
    <n v="1051"/>
    <x v="3"/>
    <s v="天然气"/>
    <x v="5"/>
    <s v="小型客车"/>
    <s v="非营运"/>
    <s v="乘用车"/>
    <x v="6"/>
    <x v="1"/>
    <n v="474"/>
  </r>
  <r>
    <n v="1052"/>
    <x v="4"/>
    <s v="天然气"/>
    <x v="5"/>
    <s v="小型客车"/>
    <s v="非营运"/>
    <s v="乘用车"/>
    <x v="6"/>
    <x v="1"/>
    <n v="721"/>
  </r>
  <r>
    <n v="1053"/>
    <x v="5"/>
    <s v="天然气"/>
    <x v="5"/>
    <s v="小型客车"/>
    <s v="非营运"/>
    <s v="乘用车"/>
    <x v="6"/>
    <x v="1"/>
    <n v="1133"/>
  </r>
  <r>
    <n v="1054"/>
    <x v="6"/>
    <s v="天然气"/>
    <x v="5"/>
    <s v="小型客车"/>
    <s v="非营运"/>
    <s v="乘用车"/>
    <x v="6"/>
    <x v="1"/>
    <n v="3137"/>
  </r>
  <r>
    <n v="1055"/>
    <x v="5"/>
    <s v="增程式混合动力"/>
    <x v="3"/>
    <s v="小型客车"/>
    <s v="非营运"/>
    <s v="乘用车"/>
    <x v="6"/>
    <x v="1"/>
    <n v="2706"/>
  </r>
  <r>
    <n v="1056"/>
    <x v="6"/>
    <s v="增程式混合动力"/>
    <x v="3"/>
    <s v="小型客车"/>
    <s v="非营运"/>
    <s v="乘用车"/>
    <x v="6"/>
    <x v="1"/>
    <n v="100835"/>
  </r>
  <r>
    <n v="1057"/>
    <x v="0"/>
    <s v="柴油"/>
    <x v="1"/>
    <s v="中型客车"/>
    <s v="非营运"/>
    <s v="乘用车"/>
    <x v="1"/>
    <x v="0"/>
    <n v="75"/>
  </r>
  <r>
    <n v="1058"/>
    <x v="2"/>
    <s v="柴油"/>
    <x v="1"/>
    <s v="中型客车"/>
    <s v="非营运"/>
    <s v="乘用车"/>
    <x v="1"/>
    <x v="0"/>
    <n v="12"/>
  </r>
  <r>
    <n v="1059"/>
    <x v="0"/>
    <s v="汽油"/>
    <x v="4"/>
    <s v="中型客车"/>
    <s v="非营运"/>
    <s v="乘用车"/>
    <x v="1"/>
    <x v="0"/>
    <n v="630"/>
  </r>
  <r>
    <n v="1060"/>
    <x v="1"/>
    <s v="汽油"/>
    <x v="4"/>
    <s v="中型客车"/>
    <s v="非营运"/>
    <s v="乘用车"/>
    <x v="1"/>
    <x v="0"/>
    <n v="1044"/>
  </r>
  <r>
    <n v="1061"/>
    <x v="2"/>
    <s v="汽油"/>
    <x v="4"/>
    <s v="中型客车"/>
    <s v="非营运"/>
    <s v="乘用车"/>
    <x v="1"/>
    <x v="0"/>
    <n v="1315"/>
  </r>
  <r>
    <n v="1062"/>
    <x v="3"/>
    <s v="汽油"/>
    <x v="4"/>
    <s v="中型客车"/>
    <s v="非营运"/>
    <s v="乘用车"/>
    <x v="1"/>
    <x v="0"/>
    <n v="684"/>
  </r>
  <r>
    <n v="1063"/>
    <x v="4"/>
    <s v="汽油"/>
    <x v="4"/>
    <s v="中型客车"/>
    <s v="非营运"/>
    <s v="乘用车"/>
    <x v="1"/>
    <x v="0"/>
    <n v="1510"/>
  </r>
  <r>
    <n v="1064"/>
    <x v="5"/>
    <s v="汽油"/>
    <x v="4"/>
    <s v="中型客车"/>
    <s v="非营运"/>
    <s v="乘用车"/>
    <x v="1"/>
    <x v="0"/>
    <n v="2083"/>
  </r>
  <r>
    <n v="1065"/>
    <x v="6"/>
    <s v="汽油"/>
    <x v="4"/>
    <s v="中型客车"/>
    <s v="非营运"/>
    <s v="乘用车"/>
    <x v="1"/>
    <x v="0"/>
    <n v="1778"/>
  </r>
  <r>
    <n v="1066"/>
    <x v="6"/>
    <s v="混合动力"/>
    <x v="3"/>
    <s v="NULL"/>
    <s v="公路客运"/>
    <s v="乘用车"/>
    <x v="5"/>
    <x v="4"/>
    <n v="1"/>
  </r>
  <r>
    <n v="1067"/>
    <x v="4"/>
    <s v="插电式混合动力"/>
    <x v="0"/>
    <s v="小型客车"/>
    <s v="公路客运"/>
    <s v="乘用车"/>
    <x v="1"/>
    <x v="1"/>
    <n v="12"/>
  </r>
  <r>
    <n v="1068"/>
    <x v="6"/>
    <s v="插电式混合动力"/>
    <x v="0"/>
    <s v="小型客车"/>
    <s v="公路客运"/>
    <s v="乘用车"/>
    <x v="1"/>
    <x v="1"/>
    <n v="5"/>
  </r>
  <r>
    <n v="1069"/>
    <x v="0"/>
    <s v="柴油"/>
    <x v="1"/>
    <s v="小型客车"/>
    <s v="公路客运"/>
    <s v="乘用车"/>
    <x v="1"/>
    <x v="1"/>
    <n v="373"/>
  </r>
  <r>
    <n v="1070"/>
    <x v="1"/>
    <s v="柴油"/>
    <x v="1"/>
    <s v="小型客车"/>
    <s v="公路客运"/>
    <s v="乘用车"/>
    <x v="1"/>
    <x v="1"/>
    <n v="480"/>
  </r>
  <r>
    <n v="1071"/>
    <x v="2"/>
    <s v="柴油"/>
    <x v="1"/>
    <s v="小型客车"/>
    <s v="公路客运"/>
    <s v="乘用车"/>
    <x v="1"/>
    <x v="1"/>
    <n v="1056"/>
  </r>
  <r>
    <n v="1072"/>
    <x v="3"/>
    <s v="柴油"/>
    <x v="1"/>
    <s v="小型客车"/>
    <s v="公路客运"/>
    <s v="乘用车"/>
    <x v="1"/>
    <x v="1"/>
    <n v="1340"/>
  </r>
  <r>
    <n v="1073"/>
    <x v="4"/>
    <s v="柴油"/>
    <x v="1"/>
    <s v="小型客车"/>
    <s v="公路客运"/>
    <s v="乘用车"/>
    <x v="1"/>
    <x v="1"/>
    <n v="2429"/>
  </r>
  <r>
    <n v="1074"/>
    <x v="5"/>
    <s v="柴油"/>
    <x v="1"/>
    <s v="小型客车"/>
    <s v="公路客运"/>
    <s v="乘用车"/>
    <x v="1"/>
    <x v="1"/>
    <n v="1343"/>
  </r>
  <r>
    <n v="1075"/>
    <x v="6"/>
    <s v="柴油"/>
    <x v="1"/>
    <s v="小型客车"/>
    <s v="公路客运"/>
    <s v="乘用车"/>
    <x v="1"/>
    <x v="1"/>
    <n v="1714"/>
  </r>
  <r>
    <n v="1076"/>
    <x v="0"/>
    <s v="纯电动"/>
    <x v="2"/>
    <s v="小型客车"/>
    <s v="公路客运"/>
    <s v="乘用车"/>
    <x v="1"/>
    <x v="1"/>
    <n v="3"/>
  </r>
  <r>
    <n v="1077"/>
    <x v="1"/>
    <s v="纯电动"/>
    <x v="2"/>
    <s v="小型客车"/>
    <s v="公路客运"/>
    <s v="乘用车"/>
    <x v="1"/>
    <x v="1"/>
    <n v="14"/>
  </r>
  <r>
    <n v="1078"/>
    <x v="2"/>
    <s v="纯电动"/>
    <x v="2"/>
    <s v="小型客车"/>
    <s v="公路客运"/>
    <s v="乘用车"/>
    <x v="1"/>
    <x v="1"/>
    <n v="620"/>
  </r>
  <r>
    <n v="1079"/>
    <x v="3"/>
    <s v="纯电动"/>
    <x v="2"/>
    <s v="小型客车"/>
    <s v="公路客运"/>
    <s v="乘用车"/>
    <x v="1"/>
    <x v="1"/>
    <n v="60"/>
  </r>
  <r>
    <n v="1080"/>
    <x v="4"/>
    <s v="纯电动"/>
    <x v="2"/>
    <s v="小型客车"/>
    <s v="公路客运"/>
    <s v="乘用车"/>
    <x v="1"/>
    <x v="1"/>
    <n v="90"/>
  </r>
  <r>
    <n v="1081"/>
    <x v="5"/>
    <s v="纯电动"/>
    <x v="2"/>
    <s v="小型客车"/>
    <s v="公路客运"/>
    <s v="乘用车"/>
    <x v="1"/>
    <x v="1"/>
    <n v="437"/>
  </r>
  <r>
    <n v="1082"/>
    <x v="6"/>
    <s v="纯电动"/>
    <x v="2"/>
    <s v="小型客车"/>
    <s v="公路客运"/>
    <s v="乘用车"/>
    <x v="1"/>
    <x v="1"/>
    <n v="1373"/>
  </r>
  <r>
    <n v="1083"/>
    <x v="5"/>
    <s v="混合动力"/>
    <x v="3"/>
    <s v="小型客车"/>
    <s v="公路客运"/>
    <s v="乘用车"/>
    <x v="1"/>
    <x v="1"/>
    <n v="1"/>
  </r>
  <r>
    <n v="1084"/>
    <x v="6"/>
    <s v="混合动力"/>
    <x v="3"/>
    <s v="小型客车"/>
    <s v="公路客运"/>
    <s v="乘用车"/>
    <x v="1"/>
    <x v="1"/>
    <n v="1"/>
  </r>
  <r>
    <n v="1085"/>
    <x v="0"/>
    <s v="汽油"/>
    <x v="4"/>
    <s v="小型客车"/>
    <s v="公路客运"/>
    <s v="乘用车"/>
    <x v="1"/>
    <x v="1"/>
    <n v="9375"/>
  </r>
  <r>
    <n v="1086"/>
    <x v="1"/>
    <s v="汽油"/>
    <x v="4"/>
    <s v="小型客车"/>
    <s v="公路客运"/>
    <s v="乘用车"/>
    <x v="1"/>
    <x v="1"/>
    <n v="5958"/>
  </r>
  <r>
    <n v="1087"/>
    <x v="2"/>
    <s v="汽油"/>
    <x v="4"/>
    <s v="小型客车"/>
    <s v="公路客运"/>
    <s v="乘用车"/>
    <x v="1"/>
    <x v="1"/>
    <n v="21686"/>
  </r>
  <r>
    <n v="1088"/>
    <x v="3"/>
    <s v="汽油"/>
    <x v="4"/>
    <s v="小型客车"/>
    <s v="公路客运"/>
    <s v="乘用车"/>
    <x v="1"/>
    <x v="1"/>
    <n v="18011"/>
  </r>
  <r>
    <n v="1089"/>
    <x v="4"/>
    <s v="汽油"/>
    <x v="4"/>
    <s v="小型客车"/>
    <s v="公路客运"/>
    <s v="乘用车"/>
    <x v="1"/>
    <x v="1"/>
    <n v="9062"/>
  </r>
  <r>
    <n v="1090"/>
    <x v="5"/>
    <s v="汽油"/>
    <x v="4"/>
    <s v="小型客车"/>
    <s v="公路客运"/>
    <s v="乘用车"/>
    <x v="1"/>
    <x v="1"/>
    <n v="10218"/>
  </r>
  <r>
    <n v="1091"/>
    <x v="6"/>
    <s v="汽油"/>
    <x v="4"/>
    <s v="小型客车"/>
    <s v="公路客运"/>
    <s v="乘用车"/>
    <x v="1"/>
    <x v="1"/>
    <n v="6569"/>
  </r>
  <r>
    <n v="1092"/>
    <x v="0"/>
    <s v="汽油-天然气"/>
    <x v="5"/>
    <s v="小型客车"/>
    <s v="公路客运"/>
    <s v="乘用车"/>
    <x v="1"/>
    <x v="1"/>
    <n v="929"/>
  </r>
  <r>
    <n v="1093"/>
    <x v="1"/>
    <s v="汽油-天然气"/>
    <x v="5"/>
    <s v="小型客车"/>
    <s v="公路客运"/>
    <s v="乘用车"/>
    <x v="1"/>
    <x v="1"/>
    <n v="13"/>
  </r>
  <r>
    <n v="1094"/>
    <x v="2"/>
    <s v="汽油-天然气"/>
    <x v="5"/>
    <s v="小型客车"/>
    <s v="公路客运"/>
    <s v="乘用车"/>
    <x v="1"/>
    <x v="1"/>
    <n v="13"/>
  </r>
  <r>
    <n v="1095"/>
    <x v="3"/>
    <s v="汽油-天然气"/>
    <x v="5"/>
    <s v="小型客车"/>
    <s v="公路客运"/>
    <s v="乘用车"/>
    <x v="1"/>
    <x v="1"/>
    <n v="8"/>
  </r>
  <r>
    <n v="1096"/>
    <x v="5"/>
    <s v="汽油-天然气"/>
    <x v="5"/>
    <s v="小型客车"/>
    <s v="公路客运"/>
    <s v="乘用车"/>
    <x v="1"/>
    <x v="1"/>
    <n v="16"/>
  </r>
  <r>
    <n v="1097"/>
    <x v="2"/>
    <s v="天然气"/>
    <x v="5"/>
    <s v="小型客车"/>
    <s v="公路客运"/>
    <s v="乘用车"/>
    <x v="1"/>
    <x v="1"/>
    <n v="1"/>
  </r>
  <r>
    <n v="1098"/>
    <x v="4"/>
    <s v="天然气"/>
    <x v="5"/>
    <s v="小型客车"/>
    <s v="公路客运"/>
    <s v="乘用车"/>
    <x v="1"/>
    <x v="1"/>
    <n v="11"/>
  </r>
  <r>
    <n v="1099"/>
    <x v="5"/>
    <s v="天然气"/>
    <x v="5"/>
    <s v="小型客车"/>
    <s v="公路客运"/>
    <s v="乘用车"/>
    <x v="1"/>
    <x v="1"/>
    <n v="3"/>
  </r>
  <r>
    <n v="1100"/>
    <x v="6"/>
    <s v="天然气"/>
    <x v="5"/>
    <s v="小型客车"/>
    <s v="公路客运"/>
    <s v="乘用车"/>
    <x v="1"/>
    <x v="1"/>
    <n v="409"/>
  </r>
  <r>
    <n v="1101"/>
    <x v="0"/>
    <s v="柴油"/>
    <x v="1"/>
    <s v="中型客车"/>
    <s v="公路客运"/>
    <s v="乘用车"/>
    <x v="1"/>
    <x v="0"/>
    <n v="16"/>
  </r>
  <r>
    <n v="1102"/>
    <x v="0"/>
    <s v="汽油"/>
    <x v="4"/>
    <s v="中型客车"/>
    <s v="公路客运"/>
    <s v="乘用车"/>
    <x v="1"/>
    <x v="0"/>
    <n v="7"/>
  </r>
  <r>
    <n v="1103"/>
    <x v="1"/>
    <s v="汽油"/>
    <x v="4"/>
    <s v="中型客车"/>
    <s v="公路客运"/>
    <s v="乘用车"/>
    <x v="1"/>
    <x v="0"/>
    <n v="2"/>
  </r>
  <r>
    <n v="1104"/>
    <x v="2"/>
    <s v="汽油"/>
    <x v="4"/>
    <s v="中型客车"/>
    <s v="公路客运"/>
    <s v="乘用车"/>
    <x v="1"/>
    <x v="0"/>
    <n v="8"/>
  </r>
  <r>
    <n v="1105"/>
    <x v="3"/>
    <s v="汽油"/>
    <x v="4"/>
    <s v="中型客车"/>
    <s v="公路客运"/>
    <s v="乘用车"/>
    <x v="1"/>
    <x v="0"/>
    <n v="32"/>
  </r>
  <r>
    <n v="1106"/>
    <x v="4"/>
    <s v="汽油"/>
    <x v="4"/>
    <s v="中型客车"/>
    <s v="公路客运"/>
    <s v="乘用车"/>
    <x v="1"/>
    <x v="0"/>
    <n v="1"/>
  </r>
  <r>
    <n v="1107"/>
    <x v="5"/>
    <s v="汽油"/>
    <x v="4"/>
    <s v="中型客车"/>
    <s v="公路客运"/>
    <s v="乘用车"/>
    <x v="1"/>
    <x v="0"/>
    <n v="4"/>
  </r>
  <r>
    <n v="1108"/>
    <x v="2"/>
    <s v="纯电动"/>
    <x v="2"/>
    <s v="微型客车"/>
    <s v="未知"/>
    <s v="乘用车"/>
    <x v="6"/>
    <x v="1"/>
    <n v="1384"/>
  </r>
  <r>
    <n v="1109"/>
    <x v="2"/>
    <s v="汽油"/>
    <x v="4"/>
    <s v="微型客车"/>
    <s v="未知"/>
    <s v="乘用车"/>
    <x v="6"/>
    <x v="1"/>
    <n v="2"/>
  </r>
  <r>
    <n v="1110"/>
    <x v="3"/>
    <s v="汽油"/>
    <x v="4"/>
    <s v="微型客车"/>
    <s v="未知"/>
    <s v="乘用车"/>
    <x v="6"/>
    <x v="1"/>
    <n v="7"/>
  </r>
  <r>
    <n v="1111"/>
    <x v="3"/>
    <s v="插电式混合动力"/>
    <x v="0"/>
    <s v="小型客车"/>
    <s v="未知"/>
    <s v="乘用车"/>
    <x v="6"/>
    <x v="1"/>
    <n v="1"/>
  </r>
  <r>
    <n v="1112"/>
    <x v="1"/>
    <s v="柴油"/>
    <x v="1"/>
    <s v="小型客车"/>
    <s v="未知"/>
    <s v="乘用车"/>
    <x v="6"/>
    <x v="1"/>
    <n v="30"/>
  </r>
  <r>
    <n v="1113"/>
    <x v="2"/>
    <s v="柴油"/>
    <x v="1"/>
    <s v="小型客车"/>
    <s v="未知"/>
    <s v="乘用车"/>
    <x v="6"/>
    <x v="1"/>
    <n v="5"/>
  </r>
  <r>
    <n v="1114"/>
    <x v="3"/>
    <s v="柴油"/>
    <x v="1"/>
    <s v="小型客车"/>
    <s v="未知"/>
    <s v="乘用车"/>
    <x v="6"/>
    <x v="1"/>
    <n v="7"/>
  </r>
  <r>
    <n v="1115"/>
    <x v="1"/>
    <s v="纯电动"/>
    <x v="2"/>
    <s v="小型客车"/>
    <s v="未知"/>
    <s v="乘用车"/>
    <x v="6"/>
    <x v="1"/>
    <n v="13"/>
  </r>
  <r>
    <n v="1116"/>
    <x v="2"/>
    <s v="纯电动"/>
    <x v="2"/>
    <s v="小型客车"/>
    <s v="未知"/>
    <s v="乘用车"/>
    <x v="6"/>
    <x v="1"/>
    <n v="1144"/>
  </r>
  <r>
    <n v="1117"/>
    <x v="3"/>
    <s v="纯电动"/>
    <x v="2"/>
    <s v="小型客车"/>
    <s v="未知"/>
    <s v="乘用车"/>
    <x v="6"/>
    <x v="1"/>
    <n v="2"/>
  </r>
  <r>
    <n v="1118"/>
    <x v="5"/>
    <s v="纯电动"/>
    <x v="2"/>
    <s v="小型客车"/>
    <s v="未知"/>
    <s v="乘用车"/>
    <x v="6"/>
    <x v="1"/>
    <n v="2"/>
  </r>
  <r>
    <n v="1119"/>
    <x v="2"/>
    <s v="混合动力"/>
    <x v="3"/>
    <s v="小型客车"/>
    <s v="未知"/>
    <s v="乘用车"/>
    <x v="6"/>
    <x v="1"/>
    <n v="1"/>
  </r>
  <r>
    <n v="1120"/>
    <x v="1"/>
    <s v="汽油"/>
    <x v="4"/>
    <s v="小型客车"/>
    <s v="未知"/>
    <s v="乘用车"/>
    <x v="6"/>
    <x v="1"/>
    <n v="1135"/>
  </r>
  <r>
    <n v="1121"/>
    <x v="2"/>
    <s v="汽油"/>
    <x v="4"/>
    <s v="小型客车"/>
    <s v="未知"/>
    <s v="乘用车"/>
    <x v="6"/>
    <x v="1"/>
    <n v="1221"/>
  </r>
  <r>
    <n v="1122"/>
    <x v="3"/>
    <s v="汽油"/>
    <x v="4"/>
    <s v="小型客车"/>
    <s v="未知"/>
    <s v="乘用车"/>
    <x v="6"/>
    <x v="1"/>
    <n v="586"/>
  </r>
  <r>
    <n v="1123"/>
    <x v="4"/>
    <s v="汽油"/>
    <x v="4"/>
    <s v="小型客车"/>
    <s v="未知"/>
    <s v="乘用车"/>
    <x v="6"/>
    <x v="1"/>
    <n v="34"/>
  </r>
  <r>
    <n v="1124"/>
    <x v="5"/>
    <s v="汽油"/>
    <x v="4"/>
    <s v="小型客车"/>
    <s v="未知"/>
    <s v="乘用车"/>
    <x v="6"/>
    <x v="1"/>
    <n v="193"/>
  </r>
  <r>
    <n v="1125"/>
    <x v="6"/>
    <s v="汽油"/>
    <x v="4"/>
    <s v="小型客车"/>
    <s v="未知"/>
    <s v="乘用车"/>
    <x v="6"/>
    <x v="1"/>
    <n v="126"/>
  </r>
  <r>
    <n v="1126"/>
    <x v="1"/>
    <s v="汽油-天然气"/>
    <x v="5"/>
    <s v="小型客车"/>
    <s v="未知"/>
    <s v="乘用车"/>
    <x v="6"/>
    <x v="1"/>
    <n v="10"/>
  </r>
  <r>
    <n v="1127"/>
    <x v="2"/>
    <s v="汽油-天然气"/>
    <x v="5"/>
    <s v="小型客车"/>
    <s v="未知"/>
    <s v="乘用车"/>
    <x v="6"/>
    <x v="1"/>
    <n v="5"/>
  </r>
  <r>
    <n v="1128"/>
    <x v="3"/>
    <s v="汽油-天然气"/>
    <x v="5"/>
    <s v="小型客车"/>
    <s v="未知"/>
    <s v="乘用车"/>
    <x v="6"/>
    <x v="1"/>
    <n v="1"/>
  </r>
  <r>
    <n v="1129"/>
    <x v="1"/>
    <s v="汽油"/>
    <x v="4"/>
    <s v="中型客车"/>
    <s v="未知"/>
    <s v="乘用车"/>
    <x v="1"/>
    <x v="0"/>
    <n v="5"/>
  </r>
  <r>
    <n v="1130"/>
    <x v="2"/>
    <s v="汽油"/>
    <x v="4"/>
    <s v="中型客车"/>
    <s v="未知"/>
    <s v="乘用车"/>
    <x v="1"/>
    <x v="0"/>
    <n v="1"/>
  </r>
  <r>
    <n v="1131"/>
    <x v="3"/>
    <s v="汽油"/>
    <x v="4"/>
    <s v="中型客车"/>
    <s v="未知"/>
    <s v="乘用车"/>
    <x v="1"/>
    <x v="0"/>
    <n v="5"/>
  </r>
  <r>
    <n v="1132"/>
    <x v="5"/>
    <s v="汽油"/>
    <x v="4"/>
    <s v="中型客车"/>
    <s v="未知"/>
    <s v="乘用车"/>
    <x v="1"/>
    <x v="0"/>
    <n v="1"/>
  </r>
  <r>
    <n v="1133"/>
    <x v="6"/>
    <s v="汽油"/>
    <x v="4"/>
    <s v="中型客车"/>
    <s v="未知"/>
    <s v="乘用车"/>
    <x v="1"/>
    <x v="0"/>
    <n v="1"/>
  </r>
  <r>
    <n v="1134"/>
    <x v="0"/>
    <s v="纯电动"/>
    <x v="2"/>
    <s v="微型客车"/>
    <s v="营运"/>
    <s v="乘用车"/>
    <x v="3"/>
    <x v="1"/>
    <n v="1"/>
  </r>
  <r>
    <n v="1135"/>
    <x v="6"/>
    <s v="纯电动"/>
    <x v="2"/>
    <s v="微型客车"/>
    <s v="营运"/>
    <s v="乘用车"/>
    <x v="3"/>
    <x v="1"/>
    <n v="1"/>
  </r>
  <r>
    <n v="1136"/>
    <x v="0"/>
    <s v="汽油"/>
    <x v="4"/>
    <s v="微型客车"/>
    <s v="营运"/>
    <s v="乘用车"/>
    <x v="3"/>
    <x v="1"/>
    <n v="1"/>
  </r>
  <r>
    <n v="1137"/>
    <x v="0"/>
    <s v="柴油"/>
    <x v="1"/>
    <s v="小型客车"/>
    <s v="营运"/>
    <s v="乘用车"/>
    <x v="3"/>
    <x v="1"/>
    <n v="583"/>
  </r>
  <r>
    <n v="1138"/>
    <x v="1"/>
    <s v="柴油"/>
    <x v="1"/>
    <s v="小型客车"/>
    <s v="营运"/>
    <s v="乘用车"/>
    <x v="3"/>
    <x v="1"/>
    <n v="1"/>
  </r>
  <r>
    <n v="1139"/>
    <x v="2"/>
    <s v="柴油"/>
    <x v="1"/>
    <s v="小型客车"/>
    <s v="营运"/>
    <s v="乘用车"/>
    <x v="3"/>
    <x v="1"/>
    <n v="1"/>
  </r>
  <r>
    <n v="1140"/>
    <x v="3"/>
    <s v="柴油"/>
    <x v="1"/>
    <s v="小型客车"/>
    <s v="营运"/>
    <s v="乘用车"/>
    <x v="3"/>
    <x v="1"/>
    <n v="1"/>
  </r>
  <r>
    <n v="1141"/>
    <x v="5"/>
    <s v="柴油"/>
    <x v="1"/>
    <s v="小型客车"/>
    <s v="营运"/>
    <s v="乘用车"/>
    <x v="3"/>
    <x v="1"/>
    <n v="2"/>
  </r>
  <r>
    <n v="1142"/>
    <x v="6"/>
    <s v="柴油"/>
    <x v="1"/>
    <s v="小型客车"/>
    <s v="营运"/>
    <s v="乘用车"/>
    <x v="3"/>
    <x v="1"/>
    <n v="1"/>
  </r>
  <r>
    <n v="1143"/>
    <x v="0"/>
    <s v="纯电动"/>
    <x v="2"/>
    <s v="小型客车"/>
    <s v="营运"/>
    <s v="乘用车"/>
    <x v="3"/>
    <x v="1"/>
    <n v="40"/>
  </r>
  <r>
    <n v="1144"/>
    <x v="3"/>
    <s v="纯电动"/>
    <x v="2"/>
    <s v="小型客车"/>
    <s v="营运"/>
    <s v="乘用车"/>
    <x v="3"/>
    <x v="1"/>
    <n v="1"/>
  </r>
  <r>
    <n v="1145"/>
    <x v="5"/>
    <s v="纯电动"/>
    <x v="2"/>
    <s v="小型客车"/>
    <s v="营运"/>
    <s v="乘用车"/>
    <x v="3"/>
    <x v="1"/>
    <n v="281"/>
  </r>
  <r>
    <n v="1146"/>
    <x v="6"/>
    <s v="纯电动"/>
    <x v="2"/>
    <s v="小型客车"/>
    <s v="营运"/>
    <s v="乘用车"/>
    <x v="3"/>
    <x v="1"/>
    <n v="93"/>
  </r>
  <r>
    <n v="1147"/>
    <x v="0"/>
    <s v="混合动力"/>
    <x v="3"/>
    <s v="小型客车"/>
    <s v="营运"/>
    <s v="乘用车"/>
    <x v="3"/>
    <x v="1"/>
    <n v="1"/>
  </r>
  <r>
    <n v="1148"/>
    <x v="0"/>
    <s v="汽油"/>
    <x v="4"/>
    <s v="小型客车"/>
    <s v="营运"/>
    <s v="乘用车"/>
    <x v="3"/>
    <x v="1"/>
    <n v="59004"/>
  </r>
  <r>
    <n v="1149"/>
    <x v="1"/>
    <s v="汽油"/>
    <x v="4"/>
    <s v="小型客车"/>
    <s v="营运"/>
    <s v="乘用车"/>
    <x v="3"/>
    <x v="1"/>
    <n v="396"/>
  </r>
  <r>
    <n v="1150"/>
    <x v="2"/>
    <s v="汽油"/>
    <x v="4"/>
    <s v="小型客车"/>
    <s v="营运"/>
    <s v="乘用车"/>
    <x v="3"/>
    <x v="1"/>
    <n v="45"/>
  </r>
  <r>
    <n v="1151"/>
    <x v="3"/>
    <s v="汽油"/>
    <x v="4"/>
    <s v="小型客车"/>
    <s v="营运"/>
    <s v="乘用车"/>
    <x v="3"/>
    <x v="1"/>
    <n v="75"/>
  </r>
  <r>
    <n v="1152"/>
    <x v="4"/>
    <s v="汽油"/>
    <x v="4"/>
    <s v="小型客车"/>
    <s v="营运"/>
    <s v="乘用车"/>
    <x v="3"/>
    <x v="1"/>
    <n v="29"/>
  </r>
  <r>
    <n v="1153"/>
    <x v="5"/>
    <s v="汽油"/>
    <x v="4"/>
    <s v="小型客车"/>
    <s v="营运"/>
    <s v="乘用车"/>
    <x v="3"/>
    <x v="1"/>
    <n v="35"/>
  </r>
  <r>
    <n v="1154"/>
    <x v="6"/>
    <s v="汽油"/>
    <x v="4"/>
    <s v="小型客车"/>
    <s v="营运"/>
    <s v="乘用车"/>
    <x v="3"/>
    <x v="1"/>
    <n v="169"/>
  </r>
  <r>
    <n v="1155"/>
    <x v="0"/>
    <s v="汽油-天然气"/>
    <x v="5"/>
    <s v="小型客车"/>
    <s v="营运"/>
    <s v="乘用车"/>
    <x v="3"/>
    <x v="1"/>
    <n v="61041"/>
  </r>
  <r>
    <n v="1156"/>
    <x v="5"/>
    <s v="天然气"/>
    <x v="5"/>
    <s v="小型客车"/>
    <s v="营运"/>
    <s v="乘用车"/>
    <x v="3"/>
    <x v="1"/>
    <n v="2"/>
  </r>
  <r>
    <n v="1157"/>
    <x v="6"/>
    <s v="天然气"/>
    <x v="5"/>
    <s v="小型客车"/>
    <s v="营运"/>
    <s v="乘用车"/>
    <x v="3"/>
    <x v="1"/>
    <n v="17"/>
  </r>
  <r>
    <n v="1158"/>
    <x v="0"/>
    <s v="柴油"/>
    <x v="1"/>
    <s v="中型客车"/>
    <s v="营运"/>
    <s v="乘用车"/>
    <x v="1"/>
    <x v="0"/>
    <n v="3"/>
  </r>
  <r>
    <n v="1159"/>
    <x v="1"/>
    <s v="汽油"/>
    <x v="4"/>
    <s v="中型客车"/>
    <s v="营运"/>
    <s v="乘用车"/>
    <x v="1"/>
    <x v="0"/>
    <n v="1"/>
  </r>
  <r>
    <n v="1160"/>
    <x v="5"/>
    <s v="汽油"/>
    <x v="4"/>
    <s v="中型客车"/>
    <s v="营运"/>
    <s v="乘用车"/>
    <x v="1"/>
    <x v="0"/>
    <n v="1"/>
  </r>
  <r>
    <m/>
    <x v="7"/>
    <m/>
    <x v="10"/>
    <m/>
    <m/>
    <m/>
    <x v="7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3660C-4693-414C-95D5-FAF28AB9FF6A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1:L38" firstHeaderRow="1" firstDataRow="2" firstDataCol="1"/>
  <pivotFields count="10">
    <pivotField showAll="0"/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/>
    <pivotField axis="axisCol" showAll="0">
      <items count="12">
        <item x="2"/>
        <item x="1"/>
        <item x="4"/>
        <item x="3"/>
        <item x="6"/>
        <item x="9"/>
        <item x="5"/>
        <item x="8"/>
        <item x="0"/>
        <item x="7"/>
        <item x="10"/>
        <item t="default"/>
      </items>
    </pivotField>
    <pivotField showAll="0"/>
    <pivotField showAll="0"/>
    <pivotField showAll="0"/>
    <pivotField showAll="0"/>
    <pivotField axis="axisRow" showAll="0">
      <items count="7">
        <item x="3"/>
        <item x="2"/>
        <item x="0"/>
        <item x="1"/>
        <item x="4"/>
        <item x="5"/>
        <item t="default"/>
      </items>
    </pivotField>
    <pivotField dataField="1" showAll="0"/>
  </pivotFields>
  <rowFields count="2">
    <field x="8"/>
    <field x="1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6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求和项:Sales" fld="9" baseField="0" baseItem="0"/>
  </dataFields>
  <chartFormats count="11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3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66C33-0607-440B-A490-E9991A2AAD48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1:L78" firstHeaderRow="1" firstDataRow="2" firstDataCol="1"/>
  <pivotFields count="10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12">
        <item x="2"/>
        <item x="1"/>
        <item x="4"/>
        <item x="3"/>
        <item x="6"/>
        <item x="9"/>
        <item x="5"/>
        <item x="8"/>
        <item x="0"/>
        <item x="7"/>
        <item x="10"/>
        <item t="default"/>
      </items>
    </pivotField>
    <pivotField showAll="0"/>
    <pivotField showAll="0"/>
    <pivotField showAll="0"/>
    <pivotField axis="axisRow" showAll="0">
      <items count="9">
        <item h="1" x="5"/>
        <item x="6"/>
        <item x="3"/>
        <item x="1"/>
        <item x="0"/>
        <item x="2"/>
        <item x="4"/>
        <item h="1" x="7"/>
        <item t="default"/>
      </items>
    </pivotField>
    <pivotField axis="axisRow" showAll="0">
      <items count="7">
        <item x="3"/>
        <item x="2"/>
        <item x="0"/>
        <item x="1"/>
        <item x="4"/>
        <item x="5"/>
        <item t="default"/>
      </items>
    </pivotField>
    <pivotField dataField="1" showAll="0"/>
  </pivotFields>
  <rowFields count="3">
    <field x="8"/>
    <field x="7"/>
    <field x="1"/>
  </rowFields>
  <rowItems count="76">
    <i>
      <x/>
    </i>
    <i r="1">
      <x v="6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"/>
    </i>
    <i r="1">
      <x v="5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4"/>
    </i>
    <i r="1">
      <x v="1"/>
    </i>
    <i r="2">
      <x v="6"/>
    </i>
    <i r="1">
      <x v="2"/>
    </i>
    <i r="2">
      <x v="6"/>
    </i>
    <i r="1">
      <x v="3"/>
    </i>
    <i r="2">
      <x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求和项:Sales" fld="9" baseField="0" baseItem="0"/>
  </dataFields>
  <formats count="3">
    <format dxfId="2">
      <pivotArea field="8" type="button" dataOnly="0" labelOnly="1" outline="0" axis="axisRow" fieldPosition="0"/>
    </format>
    <format dxfId="1">
      <pivotArea dataOnly="0" labelOnly="1" fieldPosition="0">
        <references count="1">
          <reference field="3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nef.turtl.co/story/evo-2020/page/3?teaser=yes" TargetMode="External"/><Relationship Id="rId2" Type="http://schemas.openxmlformats.org/officeDocument/2006/relationships/hyperlink" Target="https://jgcri.github.io/gcam-doc/choice.html" TargetMode="External"/><Relationship Id="rId1" Type="http://schemas.openxmlformats.org/officeDocument/2006/relationships/hyperlink" Target="http://www.ehcar.net/library/rapport/rapport233.pdf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ea.org/reports/global-ev-outlook-2021/trends-and-developments-in-electric-vehicle-markets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://en.caam.org.cn/Index/lists/catid/69.html" TargetMode="External"/><Relationship Id="rId1" Type="http://schemas.openxmlformats.org/officeDocument/2006/relationships/hyperlink" Target="https://www.mot.gov.cn/tongjishuju/tielu/202407/P020240708579407135335.pdf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topLeftCell="A13" workbookViewId="0">
      <selection activeCell="H20" sqref="H20"/>
    </sheetView>
  </sheetViews>
  <sheetFormatPr defaultColWidth="9.125" defaultRowHeight="12.9" x14ac:dyDescent="0.15"/>
  <cols>
    <col min="2" max="2" width="56.375" customWidth="1"/>
  </cols>
  <sheetData>
    <row r="1" spans="1:2" x14ac:dyDescent="0.15">
      <c r="A1" s="1" t="s">
        <v>911</v>
      </c>
    </row>
    <row r="3" spans="1:2" x14ac:dyDescent="0.15">
      <c r="A3" s="1" t="s">
        <v>0</v>
      </c>
      <c r="B3" s="12" t="s">
        <v>77</v>
      </c>
    </row>
    <row r="4" spans="1:2" x14ac:dyDescent="0.15">
      <c r="B4" t="s">
        <v>34</v>
      </c>
    </row>
    <row r="5" spans="1:2" x14ac:dyDescent="0.15">
      <c r="B5" s="3">
        <v>2020</v>
      </c>
    </row>
    <row r="6" spans="1:2" x14ac:dyDescent="0.15">
      <c r="B6" t="s">
        <v>130</v>
      </c>
    </row>
    <row r="7" spans="1:2" x14ac:dyDescent="0.15">
      <c r="B7" t="s">
        <v>133</v>
      </c>
    </row>
    <row r="8" spans="1:2" x14ac:dyDescent="0.15">
      <c r="B8" t="s">
        <v>131</v>
      </c>
    </row>
    <row r="10" spans="1:2" x14ac:dyDescent="0.15">
      <c r="B10" s="12" t="s">
        <v>78</v>
      </c>
    </row>
    <row r="11" spans="1:2" x14ac:dyDescent="0.15">
      <c r="B11" t="s">
        <v>143</v>
      </c>
    </row>
    <row r="12" spans="1:2" x14ac:dyDescent="0.15">
      <c r="B12" s="3">
        <v>2018</v>
      </c>
    </row>
    <row r="13" spans="1:2" x14ac:dyDescent="0.15">
      <c r="B13" t="s">
        <v>141</v>
      </c>
    </row>
    <row r="14" spans="1:2" x14ac:dyDescent="0.15">
      <c r="B14" s="31" t="s">
        <v>142</v>
      </c>
    </row>
    <row r="15" spans="1:2" x14ac:dyDescent="0.15">
      <c r="B15" t="s">
        <v>144</v>
      </c>
    </row>
    <row r="17" spans="2:2" x14ac:dyDescent="0.15">
      <c r="B17" t="s">
        <v>921</v>
      </c>
    </row>
    <row r="18" spans="2:2" x14ac:dyDescent="0.15">
      <c r="B18" s="3">
        <v>2020</v>
      </c>
    </row>
    <row r="19" spans="2:2" x14ac:dyDescent="0.15">
      <c r="B19" t="s">
        <v>922</v>
      </c>
    </row>
    <row r="20" spans="2:2" x14ac:dyDescent="0.15">
      <c r="B20" s="33" t="s">
        <v>923</v>
      </c>
    </row>
    <row r="21" spans="2:2" x14ac:dyDescent="0.15">
      <c r="B21" t="s">
        <v>144</v>
      </c>
    </row>
    <row r="23" spans="2:2" x14ac:dyDescent="0.15">
      <c r="B23" s="12" t="s">
        <v>79</v>
      </c>
    </row>
    <row r="24" spans="2:2" x14ac:dyDescent="0.15">
      <c r="B24" t="s">
        <v>34</v>
      </c>
    </row>
    <row r="25" spans="2:2" x14ac:dyDescent="0.15">
      <c r="B25" s="3">
        <v>2020</v>
      </c>
    </row>
    <row r="26" spans="2:2" x14ac:dyDescent="0.15">
      <c r="B26" t="s">
        <v>130</v>
      </c>
    </row>
    <row r="27" spans="2:2" x14ac:dyDescent="0.15">
      <c r="B27" t="s">
        <v>134</v>
      </c>
    </row>
    <row r="28" spans="2:2" x14ac:dyDescent="0.15">
      <c r="B28" t="s">
        <v>132</v>
      </c>
    </row>
    <row r="30" spans="2:2" x14ac:dyDescent="0.15">
      <c r="B30" s="12" t="s">
        <v>80</v>
      </c>
    </row>
    <row r="31" spans="2:2" x14ac:dyDescent="0.15">
      <c r="B31" s="13" t="s">
        <v>46</v>
      </c>
    </row>
    <row r="33" spans="1:2" x14ac:dyDescent="0.15">
      <c r="B33" s="12" t="s">
        <v>81</v>
      </c>
    </row>
    <row r="34" spans="1:2" x14ac:dyDescent="0.15">
      <c r="B34" t="s">
        <v>56</v>
      </c>
    </row>
    <row r="35" spans="1:2" x14ac:dyDescent="0.15">
      <c r="B35" s="3">
        <v>2014</v>
      </c>
    </row>
    <row r="36" spans="1:2" x14ac:dyDescent="0.15">
      <c r="B36" t="s">
        <v>57</v>
      </c>
    </row>
    <row r="37" spans="1:2" x14ac:dyDescent="0.15">
      <c r="B37" t="s">
        <v>58</v>
      </c>
    </row>
    <row r="39" spans="1:2" x14ac:dyDescent="0.15">
      <c r="B39" t="s">
        <v>59</v>
      </c>
    </row>
    <row r="40" spans="1:2" x14ac:dyDescent="0.15">
      <c r="B40" s="3">
        <v>2015</v>
      </c>
    </row>
    <row r="41" spans="1:2" x14ac:dyDescent="0.15">
      <c r="B41" t="s">
        <v>60</v>
      </c>
    </row>
    <row r="42" spans="1:2" x14ac:dyDescent="0.15">
      <c r="B42" t="s">
        <v>61</v>
      </c>
    </row>
    <row r="44" spans="1:2" x14ac:dyDescent="0.15">
      <c r="A44" s="1" t="s">
        <v>6</v>
      </c>
    </row>
    <row r="45" spans="1:2" x14ac:dyDescent="0.15">
      <c r="A45" t="s">
        <v>913</v>
      </c>
    </row>
    <row r="46" spans="1:2" x14ac:dyDescent="0.15">
      <c r="A46" t="s">
        <v>914</v>
      </c>
    </row>
    <row r="47" spans="1:2" x14ac:dyDescent="0.15">
      <c r="A47" t="s">
        <v>915</v>
      </c>
    </row>
    <row r="48" spans="1:2" x14ac:dyDescent="0.15">
      <c r="A48" s="33" t="s">
        <v>916</v>
      </c>
    </row>
    <row r="49" spans="1:2" x14ac:dyDescent="0.15">
      <c r="A49" s="1"/>
    </row>
    <row r="50" spans="1:2" x14ac:dyDescent="0.15">
      <c r="A50" t="s">
        <v>7</v>
      </c>
    </row>
    <row r="51" spans="1:2" x14ac:dyDescent="0.15">
      <c r="A51" t="s">
        <v>8</v>
      </c>
    </row>
    <row r="53" spans="1:2" x14ac:dyDescent="0.15">
      <c r="A53" t="s">
        <v>108</v>
      </c>
    </row>
    <row r="54" spans="1:2" x14ac:dyDescent="0.15">
      <c r="A54" t="s">
        <v>35</v>
      </c>
    </row>
    <row r="55" spans="1:2" x14ac:dyDescent="0.15">
      <c r="A55" t="s">
        <v>912</v>
      </c>
    </row>
    <row r="56" spans="1:2" x14ac:dyDescent="0.15">
      <c r="A56" t="s">
        <v>36</v>
      </c>
    </row>
    <row r="58" spans="1:2" x14ac:dyDescent="0.15">
      <c r="A58" s="12" t="s">
        <v>33</v>
      </c>
      <c r="B58" s="14"/>
    </row>
    <row r="60" spans="1:2" x14ac:dyDescent="0.15">
      <c r="B60" s="12" t="s">
        <v>43</v>
      </c>
    </row>
    <row r="61" spans="1:2" x14ac:dyDescent="0.15">
      <c r="B61" s="1"/>
    </row>
    <row r="62" spans="1:2" x14ac:dyDescent="0.15">
      <c r="B62" t="s">
        <v>28</v>
      </c>
    </row>
    <row r="63" spans="1:2" x14ac:dyDescent="0.15">
      <c r="B63" t="s">
        <v>29</v>
      </c>
    </row>
    <row r="64" spans="1:2" x14ac:dyDescent="0.15">
      <c r="B64" t="s">
        <v>30</v>
      </c>
    </row>
    <row r="66" spans="2:2" x14ac:dyDescent="0.15">
      <c r="B66" t="s">
        <v>31</v>
      </c>
    </row>
    <row r="67" spans="2:2" x14ac:dyDescent="0.15">
      <c r="B67" t="s">
        <v>32</v>
      </c>
    </row>
    <row r="69" spans="2:2" x14ac:dyDescent="0.15">
      <c r="B69" t="s">
        <v>25</v>
      </c>
    </row>
    <row r="70" spans="2:2" x14ac:dyDescent="0.15">
      <c r="B70" t="s">
        <v>26</v>
      </c>
    </row>
    <row r="71" spans="2:2" x14ac:dyDescent="0.15">
      <c r="B71" t="s">
        <v>27</v>
      </c>
    </row>
    <row r="73" spans="2:2" x14ac:dyDescent="0.15">
      <c r="B73" s="12" t="s">
        <v>44</v>
      </c>
    </row>
    <row r="75" spans="2:2" x14ac:dyDescent="0.15">
      <c r="B75" t="s">
        <v>135</v>
      </c>
    </row>
    <row r="76" spans="2:2" x14ac:dyDescent="0.15">
      <c r="B76" t="s">
        <v>918</v>
      </c>
    </row>
    <row r="77" spans="2:2" x14ac:dyDescent="0.15">
      <c r="B77" t="s">
        <v>136</v>
      </c>
    </row>
    <row r="78" spans="2:2" x14ac:dyDescent="0.15">
      <c r="B78" t="s">
        <v>919</v>
      </c>
    </row>
    <row r="79" spans="2:2" x14ac:dyDescent="0.15">
      <c r="B79" t="s">
        <v>920</v>
      </c>
    </row>
    <row r="81" spans="2:2" x14ac:dyDescent="0.15">
      <c r="B81" t="s">
        <v>145</v>
      </c>
    </row>
    <row r="82" spans="2:2" x14ac:dyDescent="0.15">
      <c r="B82" t="s">
        <v>42</v>
      </c>
    </row>
    <row r="84" spans="2:2" x14ac:dyDescent="0.15">
      <c r="B84" t="s">
        <v>917</v>
      </c>
    </row>
    <row r="85" spans="2:2" x14ac:dyDescent="0.15">
      <c r="B85" t="s">
        <v>45</v>
      </c>
    </row>
    <row r="87" spans="2:2" x14ac:dyDescent="0.15">
      <c r="B87" t="s">
        <v>47</v>
      </c>
    </row>
    <row r="88" spans="2:2" x14ac:dyDescent="0.15">
      <c r="B88" t="s">
        <v>45</v>
      </c>
    </row>
    <row r="90" spans="2:2" x14ac:dyDescent="0.15">
      <c r="B90" s="12" t="s">
        <v>48</v>
      </c>
    </row>
    <row r="92" spans="2:2" x14ac:dyDescent="0.15">
      <c r="B92" t="s">
        <v>74</v>
      </c>
    </row>
    <row r="93" spans="2:2" x14ac:dyDescent="0.15">
      <c r="B93" t="s">
        <v>146</v>
      </c>
    </row>
    <row r="94" spans="2:2" x14ac:dyDescent="0.15">
      <c r="B94" t="s">
        <v>147</v>
      </c>
    </row>
    <row r="95" spans="2:2" x14ac:dyDescent="0.15">
      <c r="B95" t="s">
        <v>148</v>
      </c>
    </row>
    <row r="97" spans="2:2" x14ac:dyDescent="0.15">
      <c r="B97" t="s">
        <v>82</v>
      </c>
    </row>
    <row r="98" spans="2:2" x14ac:dyDescent="0.15">
      <c r="B98" t="s">
        <v>75</v>
      </c>
    </row>
    <row r="99" spans="2:2" x14ac:dyDescent="0.15">
      <c r="B99" t="s">
        <v>86</v>
      </c>
    </row>
    <row r="100" spans="2:2" x14ac:dyDescent="0.15">
      <c r="B100" t="s">
        <v>76</v>
      </c>
    </row>
    <row r="101" spans="2:2" x14ac:dyDescent="0.15">
      <c r="B101" t="s">
        <v>87</v>
      </c>
    </row>
    <row r="102" spans="2:2" x14ac:dyDescent="0.15">
      <c r="B102" t="s">
        <v>83</v>
      </c>
    </row>
    <row r="103" spans="2:2" x14ac:dyDescent="0.15">
      <c r="B103" t="s">
        <v>84</v>
      </c>
    </row>
    <row r="104" spans="2:2" x14ac:dyDescent="0.15">
      <c r="B104" t="s">
        <v>85</v>
      </c>
    </row>
    <row r="106" spans="2:2" x14ac:dyDescent="0.15">
      <c r="B106" t="s">
        <v>109</v>
      </c>
    </row>
    <row r="107" spans="2:2" x14ac:dyDescent="0.15">
      <c r="B107" t="s">
        <v>113</v>
      </c>
    </row>
    <row r="108" spans="2:2" x14ac:dyDescent="0.15">
      <c r="B108" t="s">
        <v>110</v>
      </c>
    </row>
    <row r="109" spans="2:2" x14ac:dyDescent="0.15">
      <c r="B109" t="s">
        <v>111</v>
      </c>
    </row>
    <row r="110" spans="2:2" x14ac:dyDescent="0.15">
      <c r="B110" t="s">
        <v>112</v>
      </c>
    </row>
    <row r="112" spans="2:2" x14ac:dyDescent="0.15">
      <c r="B112" t="s">
        <v>68</v>
      </c>
    </row>
    <row r="113" spans="2:2" x14ac:dyDescent="0.15">
      <c r="B113" t="s">
        <v>69</v>
      </c>
    </row>
    <row r="114" spans="2:2" x14ac:dyDescent="0.15">
      <c r="B114" t="s">
        <v>70</v>
      </c>
    </row>
    <row r="115" spans="2:2" x14ac:dyDescent="0.15">
      <c r="B115" t="s">
        <v>71</v>
      </c>
    </row>
    <row r="116" spans="2:2" x14ac:dyDescent="0.15">
      <c r="B116" t="s">
        <v>72</v>
      </c>
    </row>
    <row r="117" spans="2:2" x14ac:dyDescent="0.15">
      <c r="B117" t="s">
        <v>73</v>
      </c>
    </row>
    <row r="119" spans="2:2" x14ac:dyDescent="0.15">
      <c r="B119" t="s">
        <v>124</v>
      </c>
    </row>
    <row r="121" spans="2:2" x14ac:dyDescent="0.15">
      <c r="B121" t="s">
        <v>49</v>
      </c>
    </row>
    <row r="122" spans="2:2" x14ac:dyDescent="0.15">
      <c r="B122" t="s">
        <v>50</v>
      </c>
    </row>
    <row r="123" spans="2:2" x14ac:dyDescent="0.15">
      <c r="B123" t="s">
        <v>51</v>
      </c>
    </row>
    <row r="124" spans="2:2" x14ac:dyDescent="0.15">
      <c r="B124" t="s">
        <v>52</v>
      </c>
    </row>
    <row r="125" spans="2:2" x14ac:dyDescent="0.15">
      <c r="B125" t="s">
        <v>53</v>
      </c>
    </row>
    <row r="126" spans="2:2" x14ac:dyDescent="0.15">
      <c r="B126" t="s">
        <v>54</v>
      </c>
    </row>
    <row r="127" spans="2:2" x14ac:dyDescent="0.15">
      <c r="B127" t="s">
        <v>55</v>
      </c>
    </row>
  </sheetData>
  <phoneticPr fontId="10" type="noConversion"/>
  <hyperlinks>
    <hyperlink ref="B14" r:id="rId1" xr:uid="{00000000-0004-0000-0000-000000000000}"/>
    <hyperlink ref="A48" r:id="rId2" xr:uid="{00000000-0004-0000-0000-000001000000}"/>
    <hyperlink ref="B20" r:id="rId3" xr:uid="{00000000-0004-0000-0000-000002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E14F-2D43-4E1F-86E2-1EE8BD5F908A}">
  <dimension ref="A1:V1161"/>
  <sheetViews>
    <sheetView topLeftCell="A16" workbookViewId="0">
      <selection activeCell="E42" sqref="E42"/>
    </sheetView>
  </sheetViews>
  <sheetFormatPr defaultRowHeight="12.9" x14ac:dyDescent="0.15"/>
  <cols>
    <col min="1" max="1" width="6" style="36" bestFit="1" customWidth="1"/>
    <col min="2" max="2" width="5.5" style="36" bestFit="1" customWidth="1"/>
    <col min="3" max="3" width="15.125" style="36" bestFit="1" customWidth="1"/>
    <col min="4" max="4" width="20.625" style="36" bestFit="1" customWidth="1"/>
    <col min="5" max="6" width="9" style="36"/>
    <col min="7" max="7" width="7.125" style="36" bestFit="1" customWidth="1"/>
    <col min="8" max="8" width="14.125" style="36" bestFit="1" customWidth="1"/>
    <col min="9" max="9" width="14.25" style="36" bestFit="1" customWidth="1"/>
    <col min="10" max="10" width="9.5" style="36" bestFit="1" customWidth="1"/>
    <col min="11" max="12" width="9" style="36"/>
    <col min="13" max="13" width="15.125" style="36" bestFit="1" customWidth="1"/>
    <col min="14" max="14" width="20.625" style="36" bestFit="1" customWidth="1"/>
    <col min="15" max="16" width="9" style="36"/>
    <col min="17" max="17" width="10.5" style="36" bestFit="1" customWidth="1"/>
    <col min="18" max="18" width="8.5" style="36" bestFit="1" customWidth="1"/>
    <col min="19" max="19" width="23.5" style="36" bestFit="1" customWidth="1"/>
    <col min="20" max="20" width="11.25" style="36" bestFit="1" customWidth="1"/>
    <col min="21" max="21" width="14.25" style="36" bestFit="1" customWidth="1"/>
    <col min="22" max="16384" width="9" style="36"/>
  </cols>
  <sheetData>
    <row r="1" spans="1:22" x14ac:dyDescent="0.15">
      <c r="A1" s="36" t="s">
        <v>1009</v>
      </c>
      <c r="B1" s="36" t="s">
        <v>931</v>
      </c>
      <c r="C1" s="36" t="s">
        <v>1002</v>
      </c>
      <c r="D1" s="36" t="s">
        <v>1008</v>
      </c>
      <c r="E1" s="36" t="s">
        <v>1000</v>
      </c>
      <c r="F1" s="36" t="s">
        <v>999</v>
      </c>
      <c r="G1" s="36" t="s">
        <v>998</v>
      </c>
      <c r="H1" s="36" t="s">
        <v>1007</v>
      </c>
      <c r="I1" s="36" t="s">
        <v>1006</v>
      </c>
      <c r="J1" s="36" t="s">
        <v>1005</v>
      </c>
      <c r="M1" s="215" t="s">
        <v>1004</v>
      </c>
      <c r="N1" s="215"/>
      <c r="P1" s="215" t="s">
        <v>1003</v>
      </c>
      <c r="Q1" s="215"/>
      <c r="R1" s="215"/>
      <c r="S1" s="215"/>
      <c r="T1" s="215"/>
      <c r="U1" s="215"/>
    </row>
    <row r="2" spans="1:22" x14ac:dyDescent="0.15">
      <c r="A2" s="36">
        <v>1</v>
      </c>
      <c r="B2" s="36">
        <v>2015</v>
      </c>
      <c r="C2" s="36" t="s">
        <v>961</v>
      </c>
      <c r="D2" s="36" t="str">
        <f t="shared" ref="D2:D65" si="0">VLOOKUP(C2,M$3:N$16,2,FALSE)</f>
        <v>plugin hybrid vehicle</v>
      </c>
      <c r="E2" s="36" t="s">
        <v>969</v>
      </c>
      <c r="F2" s="36" t="s">
        <v>971</v>
      </c>
      <c r="G2" s="36" t="s">
        <v>972</v>
      </c>
      <c r="H2" s="36" t="str">
        <f t="shared" ref="H2:H65" si="1">VLOOKUP(E2&amp;F2&amp;G2,$S$3:$U$68,2,FALSE)</f>
        <v>公交车</v>
      </c>
      <c r="I2" s="36" t="str">
        <f t="shared" ref="I2:I65" si="2">VLOOKUP(E2&amp;F2&amp;G2,$S$3:$U$68,3,FALSE)</f>
        <v>Passenger HDV</v>
      </c>
      <c r="J2" s="36">
        <v>16295</v>
      </c>
      <c r="M2" s="37" t="s">
        <v>1002</v>
      </c>
      <c r="N2" s="37" t="s">
        <v>1001</v>
      </c>
      <c r="P2" s="37" t="s">
        <v>1000</v>
      </c>
      <c r="Q2" s="37" t="s">
        <v>999</v>
      </c>
      <c r="R2" s="37" t="s">
        <v>998</v>
      </c>
      <c r="S2" s="37" t="s">
        <v>997</v>
      </c>
      <c r="T2" s="37" t="s">
        <v>996</v>
      </c>
      <c r="U2" s="37" t="s">
        <v>995</v>
      </c>
      <c r="V2" s="37" t="s">
        <v>994</v>
      </c>
    </row>
    <row r="3" spans="1:22" x14ac:dyDescent="0.15">
      <c r="A3" s="36">
        <v>2</v>
      </c>
      <c r="B3" s="36">
        <v>2016</v>
      </c>
      <c r="C3" s="36" t="s">
        <v>961</v>
      </c>
      <c r="D3" s="36" t="str">
        <f t="shared" si="0"/>
        <v>plugin hybrid vehicle</v>
      </c>
      <c r="E3" s="36" t="s">
        <v>969</v>
      </c>
      <c r="F3" s="36" t="s">
        <v>971</v>
      </c>
      <c r="G3" s="36" t="s">
        <v>972</v>
      </c>
      <c r="H3" s="36" t="str">
        <f t="shared" si="1"/>
        <v>公交车</v>
      </c>
      <c r="I3" s="36" t="str">
        <f t="shared" si="2"/>
        <v>Passenger HDV</v>
      </c>
      <c r="J3" s="36">
        <v>4474</v>
      </c>
      <c r="M3" s="37" t="s">
        <v>961</v>
      </c>
      <c r="N3" s="40" t="s">
        <v>5</v>
      </c>
      <c r="P3" s="37" t="s">
        <v>954</v>
      </c>
      <c r="Q3" s="37" t="s">
        <v>964</v>
      </c>
      <c r="R3" s="37" t="s">
        <v>949</v>
      </c>
      <c r="S3" s="37" t="str">
        <f t="shared" ref="S3:S34" si="3">P3&amp;Q3&amp;R3</f>
        <v>小型客车非营运乘用车</v>
      </c>
      <c r="T3" s="38" t="s">
        <v>989</v>
      </c>
      <c r="U3" s="37" t="s">
        <v>981</v>
      </c>
      <c r="V3" s="37">
        <f t="shared" ref="V3:V34" si="4">SUMIFS(J:J,E:E,P3,F:F,Q3,G:G,R3)</f>
        <v>150944896</v>
      </c>
    </row>
    <row r="4" spans="1:22" x14ac:dyDescent="0.15">
      <c r="A4" s="36">
        <v>3</v>
      </c>
      <c r="B4" s="36">
        <v>2017</v>
      </c>
      <c r="C4" s="36" t="s">
        <v>961</v>
      </c>
      <c r="D4" s="36" t="str">
        <f t="shared" si="0"/>
        <v>plugin hybrid vehicle</v>
      </c>
      <c r="E4" s="36" t="s">
        <v>969</v>
      </c>
      <c r="F4" s="36" t="s">
        <v>971</v>
      </c>
      <c r="G4" s="36" t="s">
        <v>972</v>
      </c>
      <c r="H4" s="36" t="str">
        <f t="shared" si="1"/>
        <v>公交车</v>
      </c>
      <c r="I4" s="36" t="str">
        <f t="shared" si="2"/>
        <v>Passenger HDV</v>
      </c>
      <c r="J4" s="36">
        <v>12043</v>
      </c>
      <c r="M4" s="37" t="s">
        <v>953</v>
      </c>
      <c r="N4" s="40" t="s">
        <v>4</v>
      </c>
      <c r="P4" s="37" t="s">
        <v>979</v>
      </c>
      <c r="Q4" s="37" t="s">
        <v>964</v>
      </c>
      <c r="R4" s="37" t="s">
        <v>972</v>
      </c>
      <c r="S4" s="37" t="str">
        <f t="shared" si="3"/>
        <v>轻型货车非营运商用车</v>
      </c>
      <c r="T4" s="38" t="s">
        <v>979</v>
      </c>
      <c r="U4" s="37" t="s">
        <v>986</v>
      </c>
      <c r="V4" s="37">
        <f t="shared" si="4"/>
        <v>10907801</v>
      </c>
    </row>
    <row r="5" spans="1:22" x14ac:dyDescent="0.15">
      <c r="A5" s="36">
        <v>4</v>
      </c>
      <c r="B5" s="36">
        <v>2018</v>
      </c>
      <c r="C5" s="36" t="s">
        <v>961</v>
      </c>
      <c r="D5" s="36" t="str">
        <f t="shared" si="0"/>
        <v>plugin hybrid vehicle</v>
      </c>
      <c r="E5" s="36" t="s">
        <v>969</v>
      </c>
      <c r="F5" s="36" t="s">
        <v>971</v>
      </c>
      <c r="G5" s="36" t="s">
        <v>972</v>
      </c>
      <c r="H5" s="36" t="str">
        <f t="shared" si="1"/>
        <v>公交车</v>
      </c>
      <c r="I5" s="36" t="str">
        <f t="shared" si="2"/>
        <v>Passenger HDV</v>
      </c>
      <c r="J5" s="36">
        <v>5764</v>
      </c>
      <c r="M5" s="37" t="s">
        <v>958</v>
      </c>
      <c r="N5" s="40" t="s">
        <v>1</v>
      </c>
      <c r="P5" s="37" t="s">
        <v>973</v>
      </c>
      <c r="Q5" s="37" t="s">
        <v>950</v>
      </c>
      <c r="R5" s="37" t="s">
        <v>972</v>
      </c>
      <c r="S5" s="37" t="str">
        <f t="shared" si="3"/>
        <v>重型货车营运商用车</v>
      </c>
      <c r="T5" s="38" t="s">
        <v>988</v>
      </c>
      <c r="U5" s="37" t="s">
        <v>987</v>
      </c>
      <c r="V5" s="37">
        <f t="shared" si="4"/>
        <v>6273983</v>
      </c>
    </row>
    <row r="6" spans="1:22" x14ac:dyDescent="0.15">
      <c r="A6" s="36">
        <v>5</v>
      </c>
      <c r="B6" s="36">
        <v>2019</v>
      </c>
      <c r="C6" s="36" t="s">
        <v>961</v>
      </c>
      <c r="D6" s="36" t="str">
        <f t="shared" si="0"/>
        <v>plugin hybrid vehicle</v>
      </c>
      <c r="E6" s="36" t="s">
        <v>969</v>
      </c>
      <c r="F6" s="36" t="s">
        <v>971</v>
      </c>
      <c r="G6" s="36" t="s">
        <v>972</v>
      </c>
      <c r="H6" s="36" t="str">
        <f t="shared" si="1"/>
        <v>公交车</v>
      </c>
      <c r="I6" s="36" t="str">
        <f t="shared" si="2"/>
        <v>Passenger HDV</v>
      </c>
      <c r="J6" s="36">
        <v>4294</v>
      </c>
      <c r="M6" s="37" t="s">
        <v>957</v>
      </c>
      <c r="N6" s="40" t="s">
        <v>990</v>
      </c>
      <c r="P6" s="37" t="s">
        <v>979</v>
      </c>
      <c r="Q6" s="37" t="s">
        <v>950</v>
      </c>
      <c r="R6" s="37" t="s">
        <v>972</v>
      </c>
      <c r="S6" s="37" t="str">
        <f t="shared" si="3"/>
        <v>轻型货车营运商用车</v>
      </c>
      <c r="T6" s="38" t="s">
        <v>979</v>
      </c>
      <c r="U6" s="37" t="s">
        <v>986</v>
      </c>
      <c r="V6" s="37">
        <f t="shared" si="4"/>
        <v>3069497</v>
      </c>
    </row>
    <row r="7" spans="1:22" x14ac:dyDescent="0.15">
      <c r="A7" s="36">
        <v>6</v>
      </c>
      <c r="B7" s="36">
        <v>2020</v>
      </c>
      <c r="C7" s="36" t="s">
        <v>961</v>
      </c>
      <c r="D7" s="36" t="str">
        <f t="shared" si="0"/>
        <v>plugin hybrid vehicle</v>
      </c>
      <c r="E7" s="36" t="s">
        <v>969</v>
      </c>
      <c r="F7" s="36" t="s">
        <v>971</v>
      </c>
      <c r="G7" s="36" t="s">
        <v>972</v>
      </c>
      <c r="H7" s="36" t="str">
        <f t="shared" si="1"/>
        <v>公交车</v>
      </c>
      <c r="I7" s="36" t="str">
        <f t="shared" si="2"/>
        <v>Passenger HDV</v>
      </c>
      <c r="J7" s="36">
        <v>5040</v>
      </c>
      <c r="M7" s="37" t="s">
        <v>952</v>
      </c>
      <c r="N7" s="40" t="s">
        <v>3</v>
      </c>
      <c r="P7" s="37" t="s">
        <v>954</v>
      </c>
      <c r="Q7" s="37" t="s">
        <v>970</v>
      </c>
      <c r="R7" s="37" t="s">
        <v>949</v>
      </c>
      <c r="S7" s="37" t="str">
        <f t="shared" si="3"/>
        <v>小型客车出租租赁乘用车</v>
      </c>
      <c r="T7" s="38" t="s">
        <v>982</v>
      </c>
      <c r="U7" s="37" t="s">
        <v>981</v>
      </c>
      <c r="V7" s="37">
        <f t="shared" si="4"/>
        <v>2976234</v>
      </c>
    </row>
    <row r="8" spans="1:22" x14ac:dyDescent="0.15">
      <c r="A8" s="36">
        <v>7</v>
      </c>
      <c r="B8" s="36">
        <v>2021</v>
      </c>
      <c r="C8" s="36" t="s">
        <v>961</v>
      </c>
      <c r="D8" s="36" t="str">
        <f t="shared" si="0"/>
        <v>plugin hybrid vehicle</v>
      </c>
      <c r="E8" s="36" t="s">
        <v>969</v>
      </c>
      <c r="F8" s="36" t="s">
        <v>971</v>
      </c>
      <c r="G8" s="36" t="s">
        <v>972</v>
      </c>
      <c r="H8" s="36" t="str">
        <f t="shared" si="1"/>
        <v>公交车</v>
      </c>
      <c r="I8" s="36" t="str">
        <f t="shared" si="2"/>
        <v>Passenger HDV</v>
      </c>
      <c r="J8" s="36">
        <v>1224</v>
      </c>
      <c r="M8" s="37" t="s">
        <v>956</v>
      </c>
      <c r="N8" s="40" t="s">
        <v>2</v>
      </c>
      <c r="P8" s="39" t="s">
        <v>960</v>
      </c>
      <c r="Q8" s="39" t="s">
        <v>964</v>
      </c>
      <c r="R8" s="39" t="s">
        <v>972</v>
      </c>
      <c r="S8" s="39" t="str">
        <f t="shared" si="3"/>
        <v>未知非营运商用车</v>
      </c>
      <c r="T8" s="39" t="s">
        <v>980</v>
      </c>
      <c r="U8" s="39" t="s">
        <v>980</v>
      </c>
      <c r="V8" s="39">
        <f t="shared" si="4"/>
        <v>2193211</v>
      </c>
    </row>
    <row r="9" spans="1:22" x14ac:dyDescent="0.15">
      <c r="A9" s="36">
        <v>8</v>
      </c>
      <c r="B9" s="36">
        <v>2015</v>
      </c>
      <c r="C9" s="36" t="s">
        <v>953</v>
      </c>
      <c r="D9" s="36" t="str">
        <f t="shared" si="0"/>
        <v>diesel vehicle</v>
      </c>
      <c r="E9" s="36" t="s">
        <v>969</v>
      </c>
      <c r="F9" s="36" t="s">
        <v>971</v>
      </c>
      <c r="G9" s="36" t="s">
        <v>972</v>
      </c>
      <c r="H9" s="36" t="str">
        <f t="shared" si="1"/>
        <v>公交车</v>
      </c>
      <c r="I9" s="36" t="str">
        <f t="shared" si="2"/>
        <v>Passenger HDV</v>
      </c>
      <c r="J9" s="36">
        <v>21733</v>
      </c>
      <c r="M9" s="37" t="s">
        <v>966</v>
      </c>
      <c r="N9" s="40" t="s">
        <v>993</v>
      </c>
      <c r="P9" s="37" t="s">
        <v>959</v>
      </c>
      <c r="Q9" s="37" t="s">
        <v>964</v>
      </c>
      <c r="R9" s="37" t="s">
        <v>949</v>
      </c>
      <c r="S9" s="37" t="str">
        <f t="shared" si="3"/>
        <v>微型客车非营运乘用车</v>
      </c>
      <c r="T9" s="38" t="s">
        <v>989</v>
      </c>
      <c r="U9" s="37" t="s">
        <v>981</v>
      </c>
      <c r="V9" s="37">
        <f t="shared" si="4"/>
        <v>1396360</v>
      </c>
    </row>
    <row r="10" spans="1:22" x14ac:dyDescent="0.15">
      <c r="A10" s="36">
        <v>9</v>
      </c>
      <c r="B10" s="36">
        <v>2016</v>
      </c>
      <c r="C10" s="36" t="s">
        <v>953</v>
      </c>
      <c r="D10" s="36" t="str">
        <f t="shared" si="0"/>
        <v>diesel vehicle</v>
      </c>
      <c r="E10" s="36" t="s">
        <v>969</v>
      </c>
      <c r="F10" s="36" t="s">
        <v>971</v>
      </c>
      <c r="G10" s="36" t="s">
        <v>972</v>
      </c>
      <c r="H10" s="36" t="str">
        <f t="shared" si="1"/>
        <v>公交车</v>
      </c>
      <c r="I10" s="36" t="str">
        <f t="shared" si="2"/>
        <v>Passenger HDV</v>
      </c>
      <c r="J10" s="36">
        <v>7308</v>
      </c>
      <c r="M10" s="37" t="s">
        <v>955</v>
      </c>
      <c r="N10" s="40" t="s">
        <v>2</v>
      </c>
      <c r="P10" s="39" t="s">
        <v>954</v>
      </c>
      <c r="Q10" s="39" t="s">
        <v>964</v>
      </c>
      <c r="R10" s="39" t="s">
        <v>972</v>
      </c>
      <c r="S10" s="39" t="str">
        <f t="shared" si="3"/>
        <v>小型客车非营运商用车</v>
      </c>
      <c r="T10" s="41" t="s">
        <v>989</v>
      </c>
      <c r="U10" s="39" t="s">
        <v>981</v>
      </c>
      <c r="V10" s="39">
        <f t="shared" si="4"/>
        <v>1152779</v>
      </c>
    </row>
    <row r="11" spans="1:22" x14ac:dyDescent="0.15">
      <c r="A11" s="36">
        <v>10</v>
      </c>
      <c r="B11" s="36">
        <v>2017</v>
      </c>
      <c r="C11" s="36" t="s">
        <v>953</v>
      </c>
      <c r="D11" s="36" t="str">
        <f t="shared" si="0"/>
        <v>diesel vehicle</v>
      </c>
      <c r="E11" s="36" t="s">
        <v>969</v>
      </c>
      <c r="F11" s="36" t="s">
        <v>971</v>
      </c>
      <c r="G11" s="36" t="s">
        <v>972</v>
      </c>
      <c r="H11" s="36" t="str">
        <f t="shared" si="1"/>
        <v>公交车</v>
      </c>
      <c r="I11" s="36" t="str">
        <f t="shared" si="2"/>
        <v>Passenger HDV</v>
      </c>
      <c r="J11" s="36">
        <v>4681</v>
      </c>
      <c r="M11" s="37" t="s">
        <v>977</v>
      </c>
      <c r="N11" s="40" t="s">
        <v>992</v>
      </c>
      <c r="P11" s="37" t="s">
        <v>973</v>
      </c>
      <c r="Q11" s="37" t="s">
        <v>960</v>
      </c>
      <c r="R11" s="37" t="s">
        <v>972</v>
      </c>
      <c r="S11" s="37" t="str">
        <f t="shared" si="3"/>
        <v>重型货车未知商用车</v>
      </c>
      <c r="T11" s="38" t="s">
        <v>988</v>
      </c>
      <c r="U11" s="37" t="s">
        <v>987</v>
      </c>
      <c r="V11" s="37">
        <f t="shared" si="4"/>
        <v>683717</v>
      </c>
    </row>
    <row r="12" spans="1:22" x14ac:dyDescent="0.15">
      <c r="A12" s="36">
        <v>11</v>
      </c>
      <c r="B12" s="36">
        <v>2018</v>
      </c>
      <c r="C12" s="36" t="s">
        <v>953</v>
      </c>
      <c r="D12" s="36" t="str">
        <f t="shared" si="0"/>
        <v>diesel vehicle</v>
      </c>
      <c r="E12" s="36" t="s">
        <v>969</v>
      </c>
      <c r="F12" s="36" t="s">
        <v>971</v>
      </c>
      <c r="G12" s="36" t="s">
        <v>972</v>
      </c>
      <c r="H12" s="36" t="str">
        <f t="shared" si="1"/>
        <v>公交车</v>
      </c>
      <c r="I12" s="36" t="str">
        <f t="shared" si="2"/>
        <v>Passenger HDV</v>
      </c>
      <c r="J12" s="36">
        <v>2329</v>
      </c>
      <c r="M12" s="37" t="s">
        <v>968</v>
      </c>
      <c r="N12" s="40" t="s">
        <v>991</v>
      </c>
      <c r="P12" s="37" t="s">
        <v>969</v>
      </c>
      <c r="Q12" s="37" t="s">
        <v>971</v>
      </c>
      <c r="R12" s="37" t="s">
        <v>972</v>
      </c>
      <c r="S12" s="37" t="str">
        <f t="shared" si="3"/>
        <v>大型客车城市公交商用车</v>
      </c>
      <c r="T12" s="38" t="s">
        <v>984</v>
      </c>
      <c r="U12" s="37" t="s">
        <v>983</v>
      </c>
      <c r="V12" s="37">
        <f t="shared" si="4"/>
        <v>551293</v>
      </c>
    </row>
    <row r="13" spans="1:22" x14ac:dyDescent="0.15">
      <c r="A13" s="36">
        <v>12</v>
      </c>
      <c r="B13" s="36">
        <v>2019</v>
      </c>
      <c r="C13" s="36" t="s">
        <v>953</v>
      </c>
      <c r="D13" s="36" t="str">
        <f t="shared" si="0"/>
        <v>diesel vehicle</v>
      </c>
      <c r="E13" s="36" t="s">
        <v>969</v>
      </c>
      <c r="F13" s="36" t="s">
        <v>971</v>
      </c>
      <c r="G13" s="36" t="s">
        <v>972</v>
      </c>
      <c r="H13" s="36" t="str">
        <f t="shared" si="1"/>
        <v>公交车</v>
      </c>
      <c r="I13" s="36" t="str">
        <f t="shared" si="2"/>
        <v>Passenger HDV</v>
      </c>
      <c r="J13" s="36">
        <v>1012</v>
      </c>
      <c r="M13" s="37" t="s">
        <v>974</v>
      </c>
      <c r="N13" s="40" t="s">
        <v>2</v>
      </c>
      <c r="P13" s="37" t="s">
        <v>973</v>
      </c>
      <c r="Q13" s="37" t="s">
        <v>964</v>
      </c>
      <c r="R13" s="37" t="s">
        <v>972</v>
      </c>
      <c r="S13" s="37" t="str">
        <f t="shared" si="3"/>
        <v>重型货车非营运商用车</v>
      </c>
      <c r="T13" s="38" t="s">
        <v>988</v>
      </c>
      <c r="U13" s="37" t="s">
        <v>987</v>
      </c>
      <c r="V13" s="37">
        <f t="shared" si="4"/>
        <v>500202</v>
      </c>
    </row>
    <row r="14" spans="1:22" x14ac:dyDescent="0.15">
      <c r="A14" s="36">
        <v>13</v>
      </c>
      <c r="B14" s="36">
        <v>2020</v>
      </c>
      <c r="C14" s="36" t="s">
        <v>953</v>
      </c>
      <c r="D14" s="36" t="str">
        <f t="shared" si="0"/>
        <v>diesel vehicle</v>
      </c>
      <c r="E14" s="36" t="s">
        <v>969</v>
      </c>
      <c r="F14" s="36" t="s">
        <v>971</v>
      </c>
      <c r="G14" s="36" t="s">
        <v>972</v>
      </c>
      <c r="H14" s="36" t="str">
        <f t="shared" si="1"/>
        <v>公交车</v>
      </c>
      <c r="I14" s="36" t="str">
        <f t="shared" si="2"/>
        <v>Passenger HDV</v>
      </c>
      <c r="J14" s="36">
        <v>662</v>
      </c>
      <c r="M14" s="37" t="s">
        <v>975</v>
      </c>
      <c r="N14" s="40" t="s">
        <v>990</v>
      </c>
      <c r="P14" s="37" t="s">
        <v>976</v>
      </c>
      <c r="Q14" s="37" t="s">
        <v>950</v>
      </c>
      <c r="R14" s="37" t="s">
        <v>972</v>
      </c>
      <c r="S14" s="37" t="str">
        <f t="shared" si="3"/>
        <v>中型货车营运商用车</v>
      </c>
      <c r="T14" s="38" t="s">
        <v>988</v>
      </c>
      <c r="U14" s="37" t="s">
        <v>987</v>
      </c>
      <c r="V14" s="37">
        <f t="shared" si="4"/>
        <v>285237</v>
      </c>
    </row>
    <row r="15" spans="1:22" x14ac:dyDescent="0.15">
      <c r="A15" s="36">
        <v>14</v>
      </c>
      <c r="B15" s="36">
        <v>2021</v>
      </c>
      <c r="C15" s="36" t="s">
        <v>953</v>
      </c>
      <c r="D15" s="36" t="str">
        <f t="shared" si="0"/>
        <v>diesel vehicle</v>
      </c>
      <c r="E15" s="36" t="s">
        <v>969</v>
      </c>
      <c r="F15" s="36" t="s">
        <v>971</v>
      </c>
      <c r="G15" s="36" t="s">
        <v>972</v>
      </c>
      <c r="H15" s="36" t="str">
        <f t="shared" si="1"/>
        <v>公交车</v>
      </c>
      <c r="I15" s="36" t="str">
        <f t="shared" si="2"/>
        <v>Passenger HDV</v>
      </c>
      <c r="J15" s="36">
        <v>377</v>
      </c>
      <c r="M15" s="37" t="s">
        <v>967</v>
      </c>
      <c r="N15" s="40" t="s">
        <v>125</v>
      </c>
      <c r="P15" s="37" t="s">
        <v>979</v>
      </c>
      <c r="Q15" s="37" t="s">
        <v>960</v>
      </c>
      <c r="R15" s="37" t="s">
        <v>972</v>
      </c>
      <c r="S15" s="37" t="str">
        <f t="shared" si="3"/>
        <v>轻型货车未知商用车</v>
      </c>
      <c r="T15" s="38" t="s">
        <v>979</v>
      </c>
      <c r="U15" s="37" t="s">
        <v>986</v>
      </c>
      <c r="V15" s="37">
        <f t="shared" si="4"/>
        <v>261526</v>
      </c>
    </row>
    <row r="16" spans="1:22" x14ac:dyDescent="0.15">
      <c r="A16" s="36">
        <v>15</v>
      </c>
      <c r="B16" s="36">
        <v>2015</v>
      </c>
      <c r="C16" s="36" t="s">
        <v>958</v>
      </c>
      <c r="D16" s="36" t="str">
        <f t="shared" si="0"/>
        <v>battery electric vehicle</v>
      </c>
      <c r="E16" s="36" t="s">
        <v>969</v>
      </c>
      <c r="F16" s="36" t="s">
        <v>971</v>
      </c>
      <c r="G16" s="36" t="s">
        <v>972</v>
      </c>
      <c r="H16" s="36" t="str">
        <f t="shared" si="1"/>
        <v>公交车</v>
      </c>
      <c r="I16" s="36" t="str">
        <f t="shared" si="2"/>
        <v>Passenger HDV</v>
      </c>
      <c r="J16" s="36">
        <v>44539</v>
      </c>
      <c r="M16" s="37" t="s">
        <v>965</v>
      </c>
      <c r="N16" s="40" t="s">
        <v>990</v>
      </c>
      <c r="P16" s="37" t="s">
        <v>969</v>
      </c>
      <c r="Q16" s="37" t="s">
        <v>964</v>
      </c>
      <c r="R16" s="37" t="s">
        <v>972</v>
      </c>
      <c r="S16" s="37" t="str">
        <f t="shared" si="3"/>
        <v>大型客车非营运商用车</v>
      </c>
      <c r="T16" s="38" t="s">
        <v>985</v>
      </c>
      <c r="U16" s="37" t="s">
        <v>983</v>
      </c>
      <c r="V16" s="37">
        <f t="shared" si="4"/>
        <v>232628</v>
      </c>
    </row>
    <row r="17" spans="1:22" x14ac:dyDescent="0.15">
      <c r="A17" s="36">
        <v>16</v>
      </c>
      <c r="B17" s="36">
        <v>2016</v>
      </c>
      <c r="C17" s="36" t="s">
        <v>958</v>
      </c>
      <c r="D17" s="36" t="str">
        <f t="shared" si="0"/>
        <v>battery electric vehicle</v>
      </c>
      <c r="E17" s="36" t="s">
        <v>969</v>
      </c>
      <c r="F17" s="36" t="s">
        <v>971</v>
      </c>
      <c r="G17" s="36" t="s">
        <v>972</v>
      </c>
      <c r="H17" s="36" t="str">
        <f t="shared" si="1"/>
        <v>公交车</v>
      </c>
      <c r="I17" s="36" t="str">
        <f t="shared" si="2"/>
        <v>Passenger HDV</v>
      </c>
      <c r="J17" s="36">
        <v>60979</v>
      </c>
      <c r="P17" s="37" t="s">
        <v>969</v>
      </c>
      <c r="Q17" s="37" t="s">
        <v>962</v>
      </c>
      <c r="R17" s="37" t="s">
        <v>972</v>
      </c>
      <c r="S17" s="37" t="str">
        <f t="shared" si="3"/>
        <v>大型客车公路客运商用车</v>
      </c>
      <c r="T17" s="38" t="s">
        <v>985</v>
      </c>
      <c r="U17" s="37" t="s">
        <v>983</v>
      </c>
      <c r="V17" s="37">
        <f t="shared" si="4"/>
        <v>201564</v>
      </c>
    </row>
    <row r="18" spans="1:22" x14ac:dyDescent="0.15">
      <c r="A18" s="36">
        <v>17</v>
      </c>
      <c r="B18" s="36">
        <v>2017</v>
      </c>
      <c r="C18" s="36" t="s">
        <v>958</v>
      </c>
      <c r="D18" s="36" t="str">
        <f t="shared" si="0"/>
        <v>battery electric vehicle</v>
      </c>
      <c r="E18" s="36" t="s">
        <v>969</v>
      </c>
      <c r="F18" s="36" t="s">
        <v>971</v>
      </c>
      <c r="G18" s="36" t="s">
        <v>972</v>
      </c>
      <c r="H18" s="36" t="str">
        <f t="shared" si="1"/>
        <v>公交车</v>
      </c>
      <c r="I18" s="36" t="str">
        <f t="shared" si="2"/>
        <v>Passenger HDV</v>
      </c>
      <c r="J18" s="36">
        <v>56938</v>
      </c>
      <c r="P18" s="37" t="s">
        <v>963</v>
      </c>
      <c r="Q18" s="37" t="s">
        <v>964</v>
      </c>
      <c r="R18" s="37" t="s">
        <v>949</v>
      </c>
      <c r="S18" s="37" t="str">
        <f t="shared" si="3"/>
        <v>NULL非营运乘用车</v>
      </c>
      <c r="T18" s="38" t="s">
        <v>989</v>
      </c>
      <c r="U18" s="37" t="s">
        <v>980</v>
      </c>
      <c r="V18" s="37">
        <f t="shared" si="4"/>
        <v>198660</v>
      </c>
    </row>
    <row r="19" spans="1:22" x14ac:dyDescent="0.15">
      <c r="A19" s="36">
        <v>18</v>
      </c>
      <c r="B19" s="36">
        <v>2018</v>
      </c>
      <c r="C19" s="36" t="s">
        <v>958</v>
      </c>
      <c r="D19" s="36" t="str">
        <f t="shared" si="0"/>
        <v>battery electric vehicle</v>
      </c>
      <c r="E19" s="36" t="s">
        <v>969</v>
      </c>
      <c r="F19" s="36" t="s">
        <v>971</v>
      </c>
      <c r="G19" s="36" t="s">
        <v>972</v>
      </c>
      <c r="H19" s="36" t="str">
        <f t="shared" si="1"/>
        <v>公交车</v>
      </c>
      <c r="I19" s="36" t="str">
        <f t="shared" si="2"/>
        <v>Passenger HDV</v>
      </c>
      <c r="J19" s="36">
        <v>79727</v>
      </c>
      <c r="P19" s="37" t="s">
        <v>976</v>
      </c>
      <c r="Q19" s="37" t="s">
        <v>964</v>
      </c>
      <c r="R19" s="37" t="s">
        <v>972</v>
      </c>
      <c r="S19" s="37" t="str">
        <f t="shared" si="3"/>
        <v>中型货车非营运商用车</v>
      </c>
      <c r="T19" s="38" t="s">
        <v>988</v>
      </c>
      <c r="U19" s="37" t="s">
        <v>987</v>
      </c>
      <c r="V19" s="37">
        <f t="shared" si="4"/>
        <v>193197</v>
      </c>
    </row>
    <row r="20" spans="1:22" x14ac:dyDescent="0.15">
      <c r="A20" s="36">
        <v>19</v>
      </c>
      <c r="B20" s="36">
        <v>2019</v>
      </c>
      <c r="C20" s="36" t="s">
        <v>958</v>
      </c>
      <c r="D20" s="36" t="str">
        <f t="shared" si="0"/>
        <v>battery electric vehicle</v>
      </c>
      <c r="E20" s="36" t="s">
        <v>969</v>
      </c>
      <c r="F20" s="36" t="s">
        <v>971</v>
      </c>
      <c r="G20" s="36" t="s">
        <v>972</v>
      </c>
      <c r="H20" s="36" t="str">
        <f t="shared" si="1"/>
        <v>公交车</v>
      </c>
      <c r="I20" s="36" t="str">
        <f t="shared" si="2"/>
        <v>Passenger HDV</v>
      </c>
      <c r="J20" s="36">
        <v>67030</v>
      </c>
      <c r="P20" s="39" t="s">
        <v>960</v>
      </c>
      <c r="Q20" s="39" t="s">
        <v>950</v>
      </c>
      <c r="R20" s="39" t="s">
        <v>972</v>
      </c>
      <c r="S20" s="39" t="str">
        <f t="shared" si="3"/>
        <v>未知营运商用车</v>
      </c>
      <c r="T20" s="39" t="s">
        <v>980</v>
      </c>
      <c r="U20" s="39" t="s">
        <v>980</v>
      </c>
      <c r="V20" s="39">
        <f t="shared" si="4"/>
        <v>191372</v>
      </c>
    </row>
    <row r="21" spans="1:22" x14ac:dyDescent="0.15">
      <c r="A21" s="36">
        <v>20</v>
      </c>
      <c r="B21" s="36">
        <v>2020</v>
      </c>
      <c r="C21" s="36" t="s">
        <v>958</v>
      </c>
      <c r="D21" s="36" t="str">
        <f t="shared" si="0"/>
        <v>battery electric vehicle</v>
      </c>
      <c r="E21" s="36" t="s">
        <v>969</v>
      </c>
      <c r="F21" s="36" t="s">
        <v>971</v>
      </c>
      <c r="G21" s="36" t="s">
        <v>972</v>
      </c>
      <c r="H21" s="36" t="str">
        <f t="shared" si="1"/>
        <v>公交车</v>
      </c>
      <c r="I21" s="36" t="str">
        <f t="shared" si="2"/>
        <v>Passenger HDV</v>
      </c>
      <c r="J21" s="36">
        <v>51600</v>
      </c>
      <c r="P21" s="37" t="s">
        <v>951</v>
      </c>
      <c r="Q21" s="37" t="s">
        <v>964</v>
      </c>
      <c r="R21" s="37" t="s">
        <v>972</v>
      </c>
      <c r="S21" s="37" t="str">
        <f t="shared" si="3"/>
        <v>中型客车非营运商用车</v>
      </c>
      <c r="T21" s="38" t="s">
        <v>985</v>
      </c>
      <c r="U21" s="37" t="s">
        <v>983</v>
      </c>
      <c r="V21" s="37">
        <f t="shared" si="4"/>
        <v>161822</v>
      </c>
    </row>
    <row r="22" spans="1:22" x14ac:dyDescent="0.15">
      <c r="A22" s="36">
        <v>21</v>
      </c>
      <c r="B22" s="36">
        <v>2021</v>
      </c>
      <c r="C22" s="36" t="s">
        <v>958</v>
      </c>
      <c r="D22" s="36" t="str">
        <f t="shared" si="0"/>
        <v>battery electric vehicle</v>
      </c>
      <c r="E22" s="36" t="s">
        <v>969</v>
      </c>
      <c r="F22" s="36" t="s">
        <v>971</v>
      </c>
      <c r="G22" s="36" t="s">
        <v>972</v>
      </c>
      <c r="H22" s="36" t="str">
        <f t="shared" si="1"/>
        <v>公交车</v>
      </c>
      <c r="I22" s="36" t="str">
        <f t="shared" si="2"/>
        <v>Passenger HDV</v>
      </c>
      <c r="J22" s="36">
        <v>39634</v>
      </c>
      <c r="P22" s="37" t="s">
        <v>976</v>
      </c>
      <c r="Q22" s="37" t="s">
        <v>960</v>
      </c>
      <c r="R22" s="37" t="s">
        <v>972</v>
      </c>
      <c r="S22" s="37" t="str">
        <f t="shared" si="3"/>
        <v>中型货车未知商用车</v>
      </c>
      <c r="T22" s="38" t="s">
        <v>988</v>
      </c>
      <c r="U22" s="37" t="s">
        <v>987</v>
      </c>
      <c r="V22" s="37">
        <f t="shared" si="4"/>
        <v>159848</v>
      </c>
    </row>
    <row r="23" spans="1:22" x14ac:dyDescent="0.15">
      <c r="A23" s="36">
        <v>22</v>
      </c>
      <c r="B23" s="36">
        <v>2015</v>
      </c>
      <c r="C23" s="36" t="s">
        <v>957</v>
      </c>
      <c r="D23" s="36" t="str">
        <f t="shared" si="0"/>
        <v>hybrid fuel vehicle</v>
      </c>
      <c r="E23" s="36" t="s">
        <v>969</v>
      </c>
      <c r="F23" s="36" t="s">
        <v>971</v>
      </c>
      <c r="G23" s="36" t="s">
        <v>972</v>
      </c>
      <c r="H23" s="36" t="str">
        <f t="shared" si="1"/>
        <v>公交车</v>
      </c>
      <c r="I23" s="36" t="str">
        <f t="shared" si="2"/>
        <v>Passenger HDV</v>
      </c>
      <c r="J23" s="36">
        <v>7940</v>
      </c>
      <c r="P23" s="37" t="s">
        <v>954</v>
      </c>
      <c r="Q23" s="37" t="s">
        <v>950</v>
      </c>
      <c r="R23" s="37" t="s">
        <v>972</v>
      </c>
      <c r="S23" s="37" t="str">
        <f t="shared" si="3"/>
        <v>小型客车营运商用车</v>
      </c>
      <c r="T23" s="38" t="s">
        <v>982</v>
      </c>
      <c r="U23" s="37" t="s">
        <v>981</v>
      </c>
      <c r="V23" s="37">
        <f t="shared" si="4"/>
        <v>144693</v>
      </c>
    </row>
    <row r="24" spans="1:22" x14ac:dyDescent="0.15">
      <c r="A24" s="36">
        <v>23</v>
      </c>
      <c r="B24" s="36">
        <v>2016</v>
      </c>
      <c r="C24" s="36" t="s">
        <v>957</v>
      </c>
      <c r="D24" s="36" t="str">
        <f t="shared" si="0"/>
        <v>hybrid fuel vehicle</v>
      </c>
      <c r="E24" s="36" t="s">
        <v>969</v>
      </c>
      <c r="F24" s="36" t="s">
        <v>971</v>
      </c>
      <c r="G24" s="36" t="s">
        <v>972</v>
      </c>
      <c r="H24" s="36" t="str">
        <f t="shared" si="1"/>
        <v>公交车</v>
      </c>
      <c r="I24" s="36" t="str">
        <f t="shared" si="2"/>
        <v>Passenger HDV</v>
      </c>
      <c r="J24" s="36">
        <v>12742</v>
      </c>
      <c r="P24" s="37" t="s">
        <v>954</v>
      </c>
      <c r="Q24" s="37" t="s">
        <v>950</v>
      </c>
      <c r="R24" s="37" t="s">
        <v>949</v>
      </c>
      <c r="S24" s="37" t="str">
        <f t="shared" si="3"/>
        <v>小型客车营运乘用车</v>
      </c>
      <c r="T24" s="38" t="s">
        <v>982</v>
      </c>
      <c r="U24" s="37" t="s">
        <v>981</v>
      </c>
      <c r="V24" s="37">
        <f t="shared" si="4"/>
        <v>121818</v>
      </c>
    </row>
    <row r="25" spans="1:22" x14ac:dyDescent="0.15">
      <c r="A25" s="36">
        <v>24</v>
      </c>
      <c r="B25" s="36">
        <v>2017</v>
      </c>
      <c r="C25" s="36" t="s">
        <v>957</v>
      </c>
      <c r="D25" s="36" t="str">
        <f t="shared" si="0"/>
        <v>hybrid fuel vehicle</v>
      </c>
      <c r="E25" s="36" t="s">
        <v>969</v>
      </c>
      <c r="F25" s="36" t="s">
        <v>971</v>
      </c>
      <c r="G25" s="36" t="s">
        <v>972</v>
      </c>
      <c r="H25" s="36" t="str">
        <f t="shared" si="1"/>
        <v>公交车</v>
      </c>
      <c r="I25" s="36" t="str">
        <f t="shared" si="2"/>
        <v>Passenger HDV</v>
      </c>
      <c r="J25" s="36">
        <v>2171</v>
      </c>
      <c r="P25" s="37" t="s">
        <v>954</v>
      </c>
      <c r="Q25" s="37" t="s">
        <v>962</v>
      </c>
      <c r="R25" s="37" t="s">
        <v>949</v>
      </c>
      <c r="S25" s="37" t="str">
        <f t="shared" si="3"/>
        <v>小型客车公路客运乘用车</v>
      </c>
      <c r="T25" s="38" t="s">
        <v>985</v>
      </c>
      <c r="U25" s="37" t="s">
        <v>981</v>
      </c>
      <c r="V25" s="37">
        <f t="shared" si="4"/>
        <v>93633</v>
      </c>
    </row>
    <row r="26" spans="1:22" x14ac:dyDescent="0.15">
      <c r="A26" s="36">
        <v>25</v>
      </c>
      <c r="B26" s="36">
        <v>2018</v>
      </c>
      <c r="C26" s="36" t="s">
        <v>957</v>
      </c>
      <c r="D26" s="36" t="str">
        <f t="shared" si="0"/>
        <v>hybrid fuel vehicle</v>
      </c>
      <c r="E26" s="36" t="s">
        <v>969</v>
      </c>
      <c r="F26" s="36" t="s">
        <v>971</v>
      </c>
      <c r="G26" s="36" t="s">
        <v>972</v>
      </c>
      <c r="H26" s="36" t="str">
        <f t="shared" si="1"/>
        <v>公交车</v>
      </c>
      <c r="I26" s="36" t="str">
        <f t="shared" si="2"/>
        <v>Passenger HDV</v>
      </c>
      <c r="J26" s="36">
        <v>228</v>
      </c>
      <c r="P26" s="37" t="s">
        <v>954</v>
      </c>
      <c r="Q26" s="37" t="s">
        <v>960</v>
      </c>
      <c r="R26" s="37" t="s">
        <v>972</v>
      </c>
      <c r="S26" s="37" t="str">
        <f t="shared" si="3"/>
        <v>小型客车未知商用车</v>
      </c>
      <c r="T26" s="38" t="s">
        <v>982</v>
      </c>
      <c r="U26" s="37" t="s">
        <v>981</v>
      </c>
      <c r="V26" s="37">
        <f t="shared" si="4"/>
        <v>81321</v>
      </c>
    </row>
    <row r="27" spans="1:22" x14ac:dyDescent="0.15">
      <c r="A27" s="36">
        <v>26</v>
      </c>
      <c r="B27" s="36">
        <v>2019</v>
      </c>
      <c r="C27" s="36" t="s">
        <v>957</v>
      </c>
      <c r="D27" s="36" t="str">
        <f t="shared" si="0"/>
        <v>hybrid fuel vehicle</v>
      </c>
      <c r="E27" s="36" t="s">
        <v>969</v>
      </c>
      <c r="F27" s="36" t="s">
        <v>971</v>
      </c>
      <c r="G27" s="36" t="s">
        <v>972</v>
      </c>
      <c r="H27" s="36" t="str">
        <f t="shared" si="1"/>
        <v>公交车</v>
      </c>
      <c r="I27" s="36" t="str">
        <f t="shared" si="2"/>
        <v>Passenger HDV</v>
      </c>
      <c r="J27" s="36">
        <v>3</v>
      </c>
      <c r="P27" s="37" t="s">
        <v>951</v>
      </c>
      <c r="Q27" s="37" t="s">
        <v>962</v>
      </c>
      <c r="R27" s="37" t="s">
        <v>972</v>
      </c>
      <c r="S27" s="37" t="str">
        <f t="shared" si="3"/>
        <v>中型客车公路客运商用车</v>
      </c>
      <c r="T27" s="38" t="s">
        <v>985</v>
      </c>
      <c r="U27" s="37" t="s">
        <v>983</v>
      </c>
      <c r="V27" s="37">
        <f t="shared" si="4"/>
        <v>69510</v>
      </c>
    </row>
    <row r="28" spans="1:22" x14ac:dyDescent="0.15">
      <c r="A28" s="36">
        <v>27</v>
      </c>
      <c r="B28" s="36">
        <v>2021</v>
      </c>
      <c r="C28" s="36" t="s">
        <v>957</v>
      </c>
      <c r="D28" s="36" t="str">
        <f t="shared" si="0"/>
        <v>hybrid fuel vehicle</v>
      </c>
      <c r="E28" s="36" t="s">
        <v>969</v>
      </c>
      <c r="F28" s="36" t="s">
        <v>971</v>
      </c>
      <c r="G28" s="36" t="s">
        <v>972</v>
      </c>
      <c r="H28" s="36" t="str">
        <f t="shared" si="1"/>
        <v>公交车</v>
      </c>
      <c r="I28" s="36" t="str">
        <f t="shared" si="2"/>
        <v>Passenger HDV</v>
      </c>
      <c r="J28" s="36">
        <v>2</v>
      </c>
      <c r="P28" s="37" t="s">
        <v>951</v>
      </c>
      <c r="Q28" s="37" t="s">
        <v>971</v>
      </c>
      <c r="R28" s="37" t="s">
        <v>972</v>
      </c>
      <c r="S28" s="37" t="str">
        <f t="shared" si="3"/>
        <v>中型客车城市公交商用车</v>
      </c>
      <c r="T28" s="38" t="s">
        <v>984</v>
      </c>
      <c r="U28" s="37" t="s">
        <v>983</v>
      </c>
      <c r="V28" s="37">
        <f t="shared" si="4"/>
        <v>30427</v>
      </c>
    </row>
    <row r="29" spans="1:22" x14ac:dyDescent="0.15">
      <c r="A29" s="36">
        <v>28</v>
      </c>
      <c r="B29" s="36">
        <v>2015</v>
      </c>
      <c r="C29" s="36" t="s">
        <v>952</v>
      </c>
      <c r="D29" s="36" t="str">
        <f t="shared" si="0"/>
        <v>gasoline vehicle</v>
      </c>
      <c r="E29" s="36" t="s">
        <v>969</v>
      </c>
      <c r="F29" s="36" t="s">
        <v>971</v>
      </c>
      <c r="G29" s="36" t="s">
        <v>972</v>
      </c>
      <c r="H29" s="36" t="str">
        <f t="shared" si="1"/>
        <v>公交车</v>
      </c>
      <c r="I29" s="36" t="str">
        <f t="shared" si="2"/>
        <v>Passenger HDV</v>
      </c>
      <c r="J29" s="36">
        <v>3</v>
      </c>
      <c r="P29" s="37" t="s">
        <v>959</v>
      </c>
      <c r="Q29" s="37" t="s">
        <v>970</v>
      </c>
      <c r="R29" s="37" t="s">
        <v>949</v>
      </c>
      <c r="S29" s="37" t="str">
        <f t="shared" si="3"/>
        <v>微型客车出租租赁乘用车</v>
      </c>
      <c r="T29" s="38" t="s">
        <v>982</v>
      </c>
      <c r="U29" s="37" t="s">
        <v>981</v>
      </c>
      <c r="V29" s="37">
        <f t="shared" si="4"/>
        <v>25186</v>
      </c>
    </row>
    <row r="30" spans="1:22" x14ac:dyDescent="0.15">
      <c r="A30" s="36">
        <v>29</v>
      </c>
      <c r="B30" s="36">
        <v>2016</v>
      </c>
      <c r="C30" s="36" t="s">
        <v>952</v>
      </c>
      <c r="D30" s="36" t="str">
        <f t="shared" si="0"/>
        <v>gasoline vehicle</v>
      </c>
      <c r="E30" s="36" t="s">
        <v>969</v>
      </c>
      <c r="F30" s="36" t="s">
        <v>971</v>
      </c>
      <c r="G30" s="36" t="s">
        <v>972</v>
      </c>
      <c r="H30" s="36" t="str">
        <f t="shared" si="1"/>
        <v>公交车</v>
      </c>
      <c r="I30" s="36" t="str">
        <f t="shared" si="2"/>
        <v>Passenger HDV</v>
      </c>
      <c r="J30" s="36">
        <v>5</v>
      </c>
      <c r="P30" s="37" t="s">
        <v>954</v>
      </c>
      <c r="Q30" s="37" t="s">
        <v>962</v>
      </c>
      <c r="R30" s="37" t="s">
        <v>972</v>
      </c>
      <c r="S30" s="37" t="str">
        <f t="shared" si="3"/>
        <v>小型客车公路客运商用车</v>
      </c>
      <c r="T30" s="38" t="s">
        <v>985</v>
      </c>
      <c r="U30" s="37" t="s">
        <v>981</v>
      </c>
      <c r="V30" s="37">
        <f t="shared" si="4"/>
        <v>22299</v>
      </c>
    </row>
    <row r="31" spans="1:22" x14ac:dyDescent="0.15">
      <c r="A31" s="36">
        <v>30</v>
      </c>
      <c r="B31" s="36">
        <v>2017</v>
      </c>
      <c r="C31" s="36" t="s">
        <v>952</v>
      </c>
      <c r="D31" s="36" t="str">
        <f t="shared" si="0"/>
        <v>gasoline vehicle</v>
      </c>
      <c r="E31" s="36" t="s">
        <v>969</v>
      </c>
      <c r="F31" s="36" t="s">
        <v>971</v>
      </c>
      <c r="G31" s="36" t="s">
        <v>972</v>
      </c>
      <c r="H31" s="36" t="str">
        <f t="shared" si="1"/>
        <v>公交车</v>
      </c>
      <c r="I31" s="36" t="str">
        <f t="shared" si="2"/>
        <v>Passenger HDV</v>
      </c>
      <c r="J31" s="36">
        <v>20</v>
      </c>
      <c r="P31" s="37" t="s">
        <v>969</v>
      </c>
      <c r="Q31" s="37" t="s">
        <v>970</v>
      </c>
      <c r="R31" s="37" t="s">
        <v>972</v>
      </c>
      <c r="S31" s="37" t="str">
        <f t="shared" si="3"/>
        <v>大型客车出租租赁商用车</v>
      </c>
      <c r="T31" s="38" t="s">
        <v>985</v>
      </c>
      <c r="U31" s="37" t="s">
        <v>983</v>
      </c>
      <c r="V31" s="37">
        <f t="shared" si="4"/>
        <v>13758</v>
      </c>
    </row>
    <row r="32" spans="1:22" x14ac:dyDescent="0.15">
      <c r="A32" s="36">
        <v>31</v>
      </c>
      <c r="B32" s="36">
        <v>2018</v>
      </c>
      <c r="C32" s="36" t="s">
        <v>952</v>
      </c>
      <c r="D32" s="36" t="str">
        <f t="shared" si="0"/>
        <v>gasoline vehicle</v>
      </c>
      <c r="E32" s="36" t="s">
        <v>969</v>
      </c>
      <c r="F32" s="36" t="s">
        <v>971</v>
      </c>
      <c r="G32" s="36" t="s">
        <v>972</v>
      </c>
      <c r="H32" s="36" t="str">
        <f t="shared" si="1"/>
        <v>公交车</v>
      </c>
      <c r="I32" s="36" t="str">
        <f t="shared" si="2"/>
        <v>Passenger HDV</v>
      </c>
      <c r="J32" s="36">
        <v>4</v>
      </c>
      <c r="P32" s="37" t="s">
        <v>951</v>
      </c>
      <c r="Q32" s="37" t="s">
        <v>964</v>
      </c>
      <c r="R32" s="37" t="s">
        <v>949</v>
      </c>
      <c r="S32" s="37" t="str">
        <f t="shared" si="3"/>
        <v>中型客车非营运乘用车</v>
      </c>
      <c r="T32" s="38" t="s">
        <v>985</v>
      </c>
      <c r="U32" s="37" t="s">
        <v>983</v>
      </c>
      <c r="V32" s="37">
        <f t="shared" si="4"/>
        <v>9131</v>
      </c>
    </row>
    <row r="33" spans="1:22" x14ac:dyDescent="0.15">
      <c r="A33" s="36">
        <v>32</v>
      </c>
      <c r="B33" s="36">
        <v>2019</v>
      </c>
      <c r="C33" s="36" t="s">
        <v>952</v>
      </c>
      <c r="D33" s="36" t="str">
        <f t="shared" si="0"/>
        <v>gasoline vehicle</v>
      </c>
      <c r="E33" s="36" t="s">
        <v>969</v>
      </c>
      <c r="F33" s="36" t="s">
        <v>971</v>
      </c>
      <c r="G33" s="36" t="s">
        <v>972</v>
      </c>
      <c r="H33" s="36" t="str">
        <f t="shared" si="1"/>
        <v>公交车</v>
      </c>
      <c r="I33" s="36" t="str">
        <f t="shared" si="2"/>
        <v>Passenger HDV</v>
      </c>
      <c r="J33" s="36">
        <v>2</v>
      </c>
      <c r="P33" s="37" t="s">
        <v>951</v>
      </c>
      <c r="Q33" s="37" t="s">
        <v>960</v>
      </c>
      <c r="R33" s="37" t="s">
        <v>972</v>
      </c>
      <c r="S33" s="37" t="str">
        <f t="shared" si="3"/>
        <v>中型客车未知商用车</v>
      </c>
      <c r="T33" s="38" t="s">
        <v>985</v>
      </c>
      <c r="U33" s="37" t="s">
        <v>983</v>
      </c>
      <c r="V33" s="37">
        <f t="shared" si="4"/>
        <v>8958</v>
      </c>
    </row>
    <row r="34" spans="1:22" x14ac:dyDescent="0.15">
      <c r="A34" s="36">
        <v>33</v>
      </c>
      <c r="B34" s="36">
        <v>2020</v>
      </c>
      <c r="C34" s="36" t="s">
        <v>952</v>
      </c>
      <c r="D34" s="36" t="str">
        <f t="shared" si="0"/>
        <v>gasoline vehicle</v>
      </c>
      <c r="E34" s="36" t="s">
        <v>969</v>
      </c>
      <c r="F34" s="36" t="s">
        <v>971</v>
      </c>
      <c r="G34" s="36" t="s">
        <v>972</v>
      </c>
      <c r="H34" s="36" t="str">
        <f t="shared" si="1"/>
        <v>公交车</v>
      </c>
      <c r="I34" s="36" t="str">
        <f t="shared" si="2"/>
        <v>Passenger HDV</v>
      </c>
      <c r="J34" s="36">
        <v>35</v>
      </c>
      <c r="P34" s="37" t="s">
        <v>960</v>
      </c>
      <c r="Q34" s="37" t="s">
        <v>962</v>
      </c>
      <c r="R34" s="37" t="s">
        <v>972</v>
      </c>
      <c r="S34" s="37" t="str">
        <f t="shared" si="3"/>
        <v>未知公路客运商用车</v>
      </c>
      <c r="T34" s="38" t="s">
        <v>985</v>
      </c>
      <c r="U34" s="37" t="s">
        <v>980</v>
      </c>
      <c r="V34" s="37">
        <f t="shared" si="4"/>
        <v>7794</v>
      </c>
    </row>
    <row r="35" spans="1:22" x14ac:dyDescent="0.15">
      <c r="A35" s="36">
        <v>34</v>
      </c>
      <c r="B35" s="36">
        <v>2021</v>
      </c>
      <c r="C35" s="36" t="s">
        <v>952</v>
      </c>
      <c r="D35" s="36" t="str">
        <f t="shared" si="0"/>
        <v>gasoline vehicle</v>
      </c>
      <c r="E35" s="36" t="s">
        <v>969</v>
      </c>
      <c r="F35" s="36" t="s">
        <v>971</v>
      </c>
      <c r="G35" s="36" t="s">
        <v>972</v>
      </c>
      <c r="H35" s="36" t="str">
        <f t="shared" si="1"/>
        <v>公交车</v>
      </c>
      <c r="I35" s="36" t="str">
        <f t="shared" si="2"/>
        <v>Passenger HDV</v>
      </c>
      <c r="J35" s="36">
        <v>17</v>
      </c>
      <c r="P35" s="37" t="s">
        <v>969</v>
      </c>
      <c r="Q35" s="37" t="s">
        <v>960</v>
      </c>
      <c r="R35" s="37" t="s">
        <v>972</v>
      </c>
      <c r="S35" s="37" t="str">
        <f t="shared" ref="S35:S66" si="5">P35&amp;Q35&amp;R35</f>
        <v>大型客车未知商用车</v>
      </c>
      <c r="T35" s="38" t="s">
        <v>985</v>
      </c>
      <c r="U35" s="37" t="s">
        <v>983</v>
      </c>
      <c r="V35" s="37">
        <f t="shared" ref="V35:V68" si="6">SUMIFS(J:J,E:E,P35,F:F,Q35,G:G,R35)</f>
        <v>6582</v>
      </c>
    </row>
    <row r="36" spans="1:22" x14ac:dyDescent="0.15">
      <c r="A36" s="36">
        <v>35</v>
      </c>
      <c r="B36" s="36">
        <v>2017</v>
      </c>
      <c r="C36" s="36" t="s">
        <v>956</v>
      </c>
      <c r="D36" s="36" t="str">
        <f t="shared" si="0"/>
        <v>natural gas vehicle</v>
      </c>
      <c r="E36" s="36" t="s">
        <v>969</v>
      </c>
      <c r="F36" s="36" t="s">
        <v>971</v>
      </c>
      <c r="G36" s="36" t="s">
        <v>972</v>
      </c>
      <c r="H36" s="36" t="str">
        <f t="shared" si="1"/>
        <v>公交车</v>
      </c>
      <c r="I36" s="36" t="str">
        <f t="shared" si="2"/>
        <v>Passenger HDV</v>
      </c>
      <c r="J36" s="36">
        <v>20</v>
      </c>
      <c r="P36" s="37" t="s">
        <v>954</v>
      </c>
      <c r="Q36" s="37" t="s">
        <v>970</v>
      </c>
      <c r="R36" s="37" t="s">
        <v>972</v>
      </c>
      <c r="S36" s="37" t="str">
        <f t="shared" si="5"/>
        <v>小型客车出租租赁商用车</v>
      </c>
      <c r="T36" s="38" t="s">
        <v>982</v>
      </c>
      <c r="U36" s="37" t="s">
        <v>981</v>
      </c>
      <c r="V36" s="37">
        <f t="shared" si="6"/>
        <v>4713</v>
      </c>
    </row>
    <row r="37" spans="1:22" x14ac:dyDescent="0.15">
      <c r="A37" s="36">
        <v>36</v>
      </c>
      <c r="B37" s="36">
        <v>2016</v>
      </c>
      <c r="C37" s="36" t="s">
        <v>966</v>
      </c>
      <c r="D37" s="36" t="str">
        <f t="shared" si="0"/>
        <v>hydrogen vehicle</v>
      </c>
      <c r="E37" s="36" t="s">
        <v>969</v>
      </c>
      <c r="F37" s="36" t="s">
        <v>971</v>
      </c>
      <c r="G37" s="36" t="s">
        <v>972</v>
      </c>
      <c r="H37" s="36" t="str">
        <f t="shared" si="1"/>
        <v>公交车</v>
      </c>
      <c r="I37" s="36" t="str">
        <f t="shared" si="2"/>
        <v>Passenger HDV</v>
      </c>
      <c r="J37" s="36">
        <v>24</v>
      </c>
      <c r="P37" s="37" t="s">
        <v>954</v>
      </c>
      <c r="Q37" s="37" t="s">
        <v>960</v>
      </c>
      <c r="R37" s="37" t="s">
        <v>949</v>
      </c>
      <c r="S37" s="37" t="str">
        <f t="shared" si="5"/>
        <v>小型客车未知乘用车</v>
      </c>
      <c r="T37" s="38" t="s">
        <v>989</v>
      </c>
      <c r="U37" s="37" t="s">
        <v>981</v>
      </c>
      <c r="V37" s="37">
        <f t="shared" si="6"/>
        <v>4516</v>
      </c>
    </row>
    <row r="38" spans="1:22" x14ac:dyDescent="0.15">
      <c r="A38" s="36">
        <v>37</v>
      </c>
      <c r="B38" s="36">
        <v>2017</v>
      </c>
      <c r="C38" s="36" t="s">
        <v>966</v>
      </c>
      <c r="D38" s="36" t="str">
        <f t="shared" si="0"/>
        <v>hydrogen vehicle</v>
      </c>
      <c r="E38" s="36" t="s">
        <v>969</v>
      </c>
      <c r="F38" s="36" t="s">
        <v>971</v>
      </c>
      <c r="G38" s="36" t="s">
        <v>972</v>
      </c>
      <c r="H38" s="36" t="str">
        <f t="shared" si="1"/>
        <v>公交车</v>
      </c>
      <c r="I38" s="36" t="str">
        <f t="shared" si="2"/>
        <v>Passenger HDV</v>
      </c>
      <c r="J38" s="36">
        <v>3</v>
      </c>
      <c r="P38" s="37" t="s">
        <v>954</v>
      </c>
      <c r="Q38" s="37" t="s">
        <v>971</v>
      </c>
      <c r="R38" s="37" t="s">
        <v>972</v>
      </c>
      <c r="S38" s="37" t="str">
        <f t="shared" si="5"/>
        <v>小型客车城市公交商用车</v>
      </c>
      <c r="T38" s="38" t="s">
        <v>984</v>
      </c>
      <c r="U38" s="37" t="s">
        <v>981</v>
      </c>
      <c r="V38" s="37">
        <f t="shared" si="6"/>
        <v>3067</v>
      </c>
    </row>
    <row r="39" spans="1:22" x14ac:dyDescent="0.15">
      <c r="A39" s="36">
        <v>38</v>
      </c>
      <c r="B39" s="36">
        <v>2018</v>
      </c>
      <c r="C39" s="36" t="s">
        <v>966</v>
      </c>
      <c r="D39" s="36" t="str">
        <f t="shared" si="0"/>
        <v>hydrogen vehicle</v>
      </c>
      <c r="E39" s="36" t="s">
        <v>969</v>
      </c>
      <c r="F39" s="36" t="s">
        <v>971</v>
      </c>
      <c r="G39" s="36" t="s">
        <v>972</v>
      </c>
      <c r="H39" s="36" t="str">
        <f t="shared" si="1"/>
        <v>公交车</v>
      </c>
      <c r="I39" s="36" t="str">
        <f t="shared" si="2"/>
        <v>Passenger HDV</v>
      </c>
      <c r="J39" s="36">
        <v>305</v>
      </c>
      <c r="P39" s="37" t="s">
        <v>954</v>
      </c>
      <c r="Q39" s="37" t="s">
        <v>971</v>
      </c>
      <c r="R39" s="37" t="s">
        <v>949</v>
      </c>
      <c r="S39" s="37" t="str">
        <f t="shared" si="5"/>
        <v>小型客车城市公交乘用车</v>
      </c>
      <c r="T39" s="38" t="s">
        <v>984</v>
      </c>
      <c r="U39" s="37" t="s">
        <v>981</v>
      </c>
      <c r="V39" s="37">
        <f t="shared" si="6"/>
        <v>2573</v>
      </c>
    </row>
    <row r="40" spans="1:22" x14ac:dyDescent="0.15">
      <c r="A40" s="36">
        <v>39</v>
      </c>
      <c r="B40" s="36">
        <v>2019</v>
      </c>
      <c r="C40" s="36" t="s">
        <v>966</v>
      </c>
      <c r="D40" s="36" t="str">
        <f t="shared" si="0"/>
        <v>hydrogen vehicle</v>
      </c>
      <c r="E40" s="36" t="s">
        <v>969</v>
      </c>
      <c r="F40" s="36" t="s">
        <v>971</v>
      </c>
      <c r="G40" s="36" t="s">
        <v>972</v>
      </c>
      <c r="H40" s="36" t="str">
        <f t="shared" si="1"/>
        <v>公交车</v>
      </c>
      <c r="I40" s="36" t="str">
        <f t="shared" si="2"/>
        <v>Passenger HDV</v>
      </c>
      <c r="J40" s="36">
        <v>740</v>
      </c>
      <c r="P40" s="37" t="s">
        <v>969</v>
      </c>
      <c r="Q40" s="37" t="s">
        <v>950</v>
      </c>
      <c r="R40" s="37" t="s">
        <v>972</v>
      </c>
      <c r="S40" s="37" t="str">
        <f t="shared" si="5"/>
        <v>大型客车营运商用车</v>
      </c>
      <c r="T40" s="38" t="s">
        <v>985</v>
      </c>
      <c r="U40" s="37" t="s">
        <v>983</v>
      </c>
      <c r="V40" s="37">
        <f t="shared" si="6"/>
        <v>2250</v>
      </c>
    </row>
    <row r="41" spans="1:22" x14ac:dyDescent="0.15">
      <c r="A41" s="36">
        <v>40</v>
      </c>
      <c r="B41" s="36">
        <v>2020</v>
      </c>
      <c r="C41" s="36" t="s">
        <v>966</v>
      </c>
      <c r="D41" s="36" t="str">
        <f t="shared" si="0"/>
        <v>hydrogen vehicle</v>
      </c>
      <c r="E41" s="36" t="s">
        <v>969</v>
      </c>
      <c r="F41" s="36" t="s">
        <v>971</v>
      </c>
      <c r="G41" s="36" t="s">
        <v>972</v>
      </c>
      <c r="H41" s="36" t="str">
        <f t="shared" si="1"/>
        <v>公交车</v>
      </c>
      <c r="I41" s="36" t="str">
        <f t="shared" si="2"/>
        <v>Passenger HDV</v>
      </c>
      <c r="J41" s="36">
        <v>1339</v>
      </c>
      <c r="P41" s="37" t="s">
        <v>951</v>
      </c>
      <c r="Q41" s="37" t="s">
        <v>970</v>
      </c>
      <c r="R41" s="37" t="s">
        <v>972</v>
      </c>
      <c r="S41" s="37" t="str">
        <f t="shared" si="5"/>
        <v>中型客车出租租赁商用车</v>
      </c>
      <c r="T41" s="38" t="s">
        <v>985</v>
      </c>
      <c r="U41" s="37" t="s">
        <v>983</v>
      </c>
      <c r="V41" s="37">
        <f t="shared" si="6"/>
        <v>2145</v>
      </c>
    </row>
    <row r="42" spans="1:22" x14ac:dyDescent="0.15">
      <c r="A42" s="36">
        <v>41</v>
      </c>
      <c r="B42" s="36">
        <v>2021</v>
      </c>
      <c r="C42" s="36" t="s">
        <v>966</v>
      </c>
      <c r="D42" s="36" t="str">
        <f t="shared" si="0"/>
        <v>hydrogen vehicle</v>
      </c>
      <c r="E42" s="36" t="s">
        <v>969</v>
      </c>
      <c r="F42" s="36" t="s">
        <v>971</v>
      </c>
      <c r="G42" s="36" t="s">
        <v>972</v>
      </c>
      <c r="H42" s="36" t="str">
        <f t="shared" si="1"/>
        <v>公交车</v>
      </c>
      <c r="I42" s="36" t="str">
        <f t="shared" si="2"/>
        <v>Passenger HDV</v>
      </c>
      <c r="J42" s="36">
        <v>808</v>
      </c>
      <c r="P42" s="37" t="s">
        <v>978</v>
      </c>
      <c r="Q42" s="37" t="s">
        <v>964</v>
      </c>
      <c r="R42" s="37" t="s">
        <v>972</v>
      </c>
      <c r="S42" s="37" t="str">
        <f t="shared" si="5"/>
        <v>微型货车非营运商用车</v>
      </c>
      <c r="T42" s="38" t="s">
        <v>979</v>
      </c>
      <c r="U42" s="37" t="s">
        <v>986</v>
      </c>
      <c r="V42" s="37">
        <f t="shared" si="6"/>
        <v>1770</v>
      </c>
    </row>
    <row r="43" spans="1:22" x14ac:dyDescent="0.15">
      <c r="A43" s="36">
        <v>42</v>
      </c>
      <c r="B43" s="36">
        <v>2015</v>
      </c>
      <c r="C43" s="36" t="s">
        <v>955</v>
      </c>
      <c r="D43" s="36" t="str">
        <f t="shared" si="0"/>
        <v>natural gas vehicle</v>
      </c>
      <c r="E43" s="36" t="s">
        <v>969</v>
      </c>
      <c r="F43" s="36" t="s">
        <v>971</v>
      </c>
      <c r="G43" s="36" t="s">
        <v>972</v>
      </c>
      <c r="H43" s="36" t="str">
        <f t="shared" si="1"/>
        <v>公交车</v>
      </c>
      <c r="I43" s="36" t="str">
        <f t="shared" si="2"/>
        <v>Passenger HDV</v>
      </c>
      <c r="J43" s="36">
        <v>19202</v>
      </c>
      <c r="P43" s="37" t="s">
        <v>973</v>
      </c>
      <c r="Q43" s="37" t="s">
        <v>971</v>
      </c>
      <c r="R43" s="37" t="s">
        <v>972</v>
      </c>
      <c r="S43" s="37" t="str">
        <f t="shared" si="5"/>
        <v>重型货车城市公交商用车</v>
      </c>
      <c r="T43" s="38" t="s">
        <v>984</v>
      </c>
      <c r="U43" s="37" t="s">
        <v>983</v>
      </c>
      <c r="V43" s="37">
        <f t="shared" si="6"/>
        <v>1687</v>
      </c>
    </row>
    <row r="44" spans="1:22" x14ac:dyDescent="0.15">
      <c r="A44" s="36">
        <v>43</v>
      </c>
      <c r="B44" s="36">
        <v>2016</v>
      </c>
      <c r="C44" s="36" t="s">
        <v>955</v>
      </c>
      <c r="D44" s="36" t="str">
        <f t="shared" si="0"/>
        <v>natural gas vehicle</v>
      </c>
      <c r="E44" s="36" t="s">
        <v>969</v>
      </c>
      <c r="F44" s="36" t="s">
        <v>971</v>
      </c>
      <c r="G44" s="36" t="s">
        <v>972</v>
      </c>
      <c r="H44" s="36" t="str">
        <f t="shared" si="1"/>
        <v>公交车</v>
      </c>
      <c r="I44" s="36" t="str">
        <f t="shared" si="2"/>
        <v>Passenger HDV</v>
      </c>
      <c r="J44" s="36">
        <v>7957</v>
      </c>
      <c r="P44" s="37" t="s">
        <v>951</v>
      </c>
      <c r="Q44" s="37" t="s">
        <v>950</v>
      </c>
      <c r="R44" s="37" t="s">
        <v>972</v>
      </c>
      <c r="S44" s="37" t="str">
        <f t="shared" si="5"/>
        <v>中型客车营运商用车</v>
      </c>
      <c r="T44" s="38" t="s">
        <v>985</v>
      </c>
      <c r="U44" s="37" t="s">
        <v>983</v>
      </c>
      <c r="V44" s="37">
        <f t="shared" si="6"/>
        <v>1561</v>
      </c>
    </row>
    <row r="45" spans="1:22" x14ac:dyDescent="0.15">
      <c r="A45" s="36">
        <v>44</v>
      </c>
      <c r="B45" s="36">
        <v>2017</v>
      </c>
      <c r="C45" s="36" t="s">
        <v>955</v>
      </c>
      <c r="D45" s="36" t="str">
        <f t="shared" si="0"/>
        <v>natural gas vehicle</v>
      </c>
      <c r="E45" s="36" t="s">
        <v>969</v>
      </c>
      <c r="F45" s="36" t="s">
        <v>971</v>
      </c>
      <c r="G45" s="36" t="s">
        <v>972</v>
      </c>
      <c r="H45" s="36" t="str">
        <f t="shared" si="1"/>
        <v>公交车</v>
      </c>
      <c r="I45" s="36" t="str">
        <f t="shared" si="2"/>
        <v>Passenger HDV</v>
      </c>
      <c r="J45" s="36">
        <v>5956</v>
      </c>
      <c r="P45" s="37" t="s">
        <v>959</v>
      </c>
      <c r="Q45" s="37" t="s">
        <v>960</v>
      </c>
      <c r="R45" s="37" t="s">
        <v>949</v>
      </c>
      <c r="S45" s="37" t="str">
        <f t="shared" si="5"/>
        <v>微型客车未知乘用车</v>
      </c>
      <c r="T45" s="38" t="s">
        <v>989</v>
      </c>
      <c r="U45" s="37" t="s">
        <v>981</v>
      </c>
      <c r="V45" s="37">
        <f t="shared" si="6"/>
        <v>1393</v>
      </c>
    </row>
    <row r="46" spans="1:22" x14ac:dyDescent="0.15">
      <c r="A46" s="36">
        <v>45</v>
      </c>
      <c r="B46" s="36">
        <v>2018</v>
      </c>
      <c r="C46" s="36" t="s">
        <v>955</v>
      </c>
      <c r="D46" s="36" t="str">
        <f t="shared" si="0"/>
        <v>natural gas vehicle</v>
      </c>
      <c r="E46" s="36" t="s">
        <v>969</v>
      </c>
      <c r="F46" s="36" t="s">
        <v>971</v>
      </c>
      <c r="G46" s="36" t="s">
        <v>972</v>
      </c>
      <c r="H46" s="36" t="str">
        <f t="shared" si="1"/>
        <v>公交车</v>
      </c>
      <c r="I46" s="36" t="str">
        <f t="shared" si="2"/>
        <v>Passenger HDV</v>
      </c>
      <c r="J46" s="36">
        <v>2470</v>
      </c>
      <c r="P46" s="37" t="s">
        <v>960</v>
      </c>
      <c r="Q46" s="37" t="s">
        <v>970</v>
      </c>
      <c r="R46" s="37" t="s">
        <v>972</v>
      </c>
      <c r="S46" s="37" t="str">
        <f t="shared" si="5"/>
        <v>未知出租租赁商用车</v>
      </c>
      <c r="T46" s="38" t="s">
        <v>985</v>
      </c>
      <c r="U46" s="37" t="s">
        <v>983</v>
      </c>
      <c r="V46" s="37">
        <f t="shared" si="6"/>
        <v>1219</v>
      </c>
    </row>
    <row r="47" spans="1:22" x14ac:dyDescent="0.15">
      <c r="A47" s="36">
        <v>46</v>
      </c>
      <c r="B47" s="36">
        <v>2019</v>
      </c>
      <c r="C47" s="36" t="s">
        <v>955</v>
      </c>
      <c r="D47" s="36" t="str">
        <f t="shared" si="0"/>
        <v>natural gas vehicle</v>
      </c>
      <c r="E47" s="36" t="s">
        <v>969</v>
      </c>
      <c r="F47" s="36" t="s">
        <v>971</v>
      </c>
      <c r="G47" s="36" t="s">
        <v>972</v>
      </c>
      <c r="H47" s="36" t="str">
        <f t="shared" si="1"/>
        <v>公交车</v>
      </c>
      <c r="I47" s="36" t="str">
        <f t="shared" si="2"/>
        <v>Passenger HDV</v>
      </c>
      <c r="J47" s="36">
        <v>1088</v>
      </c>
      <c r="P47" s="37" t="s">
        <v>973</v>
      </c>
      <c r="Q47" s="37" t="s">
        <v>970</v>
      </c>
      <c r="R47" s="37" t="s">
        <v>972</v>
      </c>
      <c r="S47" s="37" t="str">
        <f t="shared" si="5"/>
        <v>重型货车出租租赁商用车</v>
      </c>
      <c r="T47" s="38" t="s">
        <v>988</v>
      </c>
      <c r="U47" s="37" t="s">
        <v>987</v>
      </c>
      <c r="V47" s="37">
        <f t="shared" si="6"/>
        <v>651</v>
      </c>
    </row>
    <row r="48" spans="1:22" x14ac:dyDescent="0.15">
      <c r="A48" s="36">
        <v>47</v>
      </c>
      <c r="B48" s="36">
        <v>2020</v>
      </c>
      <c r="C48" s="36" t="s">
        <v>955</v>
      </c>
      <c r="D48" s="36" t="str">
        <f t="shared" si="0"/>
        <v>natural gas vehicle</v>
      </c>
      <c r="E48" s="36" t="s">
        <v>969</v>
      </c>
      <c r="F48" s="36" t="s">
        <v>971</v>
      </c>
      <c r="G48" s="36" t="s">
        <v>972</v>
      </c>
      <c r="H48" s="36" t="str">
        <f t="shared" si="1"/>
        <v>公交车</v>
      </c>
      <c r="I48" s="36" t="str">
        <f t="shared" si="2"/>
        <v>Passenger HDV</v>
      </c>
      <c r="J48" s="36">
        <v>416</v>
      </c>
      <c r="P48" s="37" t="s">
        <v>960</v>
      </c>
      <c r="Q48" s="37" t="s">
        <v>971</v>
      </c>
      <c r="R48" s="37" t="s">
        <v>972</v>
      </c>
      <c r="S48" s="37" t="str">
        <f t="shared" si="5"/>
        <v>未知城市公交商用车</v>
      </c>
      <c r="T48" s="38" t="s">
        <v>984</v>
      </c>
      <c r="U48" s="37" t="s">
        <v>983</v>
      </c>
      <c r="V48" s="37">
        <f t="shared" si="6"/>
        <v>630</v>
      </c>
    </row>
    <row r="49" spans="1:22" x14ac:dyDescent="0.15">
      <c r="A49" s="36">
        <v>48</v>
      </c>
      <c r="B49" s="36">
        <v>2021</v>
      </c>
      <c r="C49" s="36" t="s">
        <v>955</v>
      </c>
      <c r="D49" s="36" t="str">
        <f t="shared" si="0"/>
        <v>natural gas vehicle</v>
      </c>
      <c r="E49" s="36" t="s">
        <v>969</v>
      </c>
      <c r="F49" s="36" t="s">
        <v>971</v>
      </c>
      <c r="G49" s="36" t="s">
        <v>972</v>
      </c>
      <c r="H49" s="36" t="str">
        <f t="shared" si="1"/>
        <v>公交车</v>
      </c>
      <c r="I49" s="36" t="str">
        <f t="shared" si="2"/>
        <v>Passenger HDV</v>
      </c>
      <c r="J49" s="36">
        <v>110</v>
      </c>
      <c r="P49" s="37" t="s">
        <v>979</v>
      </c>
      <c r="Q49" s="37" t="s">
        <v>970</v>
      </c>
      <c r="R49" s="37" t="s">
        <v>972</v>
      </c>
      <c r="S49" s="37" t="str">
        <f t="shared" si="5"/>
        <v>轻型货车出租租赁商用车</v>
      </c>
      <c r="T49" s="38" t="s">
        <v>979</v>
      </c>
      <c r="U49" s="37" t="s">
        <v>986</v>
      </c>
      <c r="V49" s="37">
        <f t="shared" si="6"/>
        <v>586</v>
      </c>
    </row>
    <row r="50" spans="1:22" x14ac:dyDescent="0.15">
      <c r="A50" s="36">
        <v>49</v>
      </c>
      <c r="B50" s="36">
        <v>2015</v>
      </c>
      <c r="C50" s="36" t="s">
        <v>953</v>
      </c>
      <c r="D50" s="36" t="str">
        <f t="shared" si="0"/>
        <v>diesel vehicle</v>
      </c>
      <c r="E50" s="36" t="s">
        <v>960</v>
      </c>
      <c r="F50" s="36" t="s">
        <v>971</v>
      </c>
      <c r="G50" s="36" t="s">
        <v>972</v>
      </c>
      <c r="H50" s="36" t="str">
        <f t="shared" si="1"/>
        <v>公交车</v>
      </c>
      <c r="I50" s="36" t="str">
        <f t="shared" si="2"/>
        <v>Passenger HDV</v>
      </c>
      <c r="J50" s="36">
        <v>13</v>
      </c>
      <c r="P50" s="37" t="s">
        <v>976</v>
      </c>
      <c r="Q50" s="37" t="s">
        <v>970</v>
      </c>
      <c r="R50" s="37" t="s">
        <v>972</v>
      </c>
      <c r="S50" s="37" t="str">
        <f t="shared" si="5"/>
        <v>中型货车出租租赁商用车</v>
      </c>
      <c r="T50" s="38" t="s">
        <v>988</v>
      </c>
      <c r="U50" s="37" t="s">
        <v>987</v>
      </c>
      <c r="V50" s="37">
        <f t="shared" si="6"/>
        <v>283</v>
      </c>
    </row>
    <row r="51" spans="1:22" x14ac:dyDescent="0.15">
      <c r="A51" s="36">
        <v>50</v>
      </c>
      <c r="B51" s="36">
        <v>2015</v>
      </c>
      <c r="C51" s="36" t="s">
        <v>958</v>
      </c>
      <c r="D51" s="36" t="str">
        <f t="shared" si="0"/>
        <v>battery electric vehicle</v>
      </c>
      <c r="E51" s="36" t="s">
        <v>960</v>
      </c>
      <c r="F51" s="36" t="s">
        <v>971</v>
      </c>
      <c r="G51" s="36" t="s">
        <v>972</v>
      </c>
      <c r="H51" s="36" t="str">
        <f t="shared" si="1"/>
        <v>公交车</v>
      </c>
      <c r="I51" s="36" t="str">
        <f t="shared" si="2"/>
        <v>Passenger HDV</v>
      </c>
      <c r="J51" s="36">
        <v>150</v>
      </c>
      <c r="P51" s="37" t="s">
        <v>976</v>
      </c>
      <c r="Q51" s="37" t="s">
        <v>971</v>
      </c>
      <c r="R51" s="37" t="s">
        <v>972</v>
      </c>
      <c r="S51" s="37" t="str">
        <f t="shared" si="5"/>
        <v>中型货车城市公交商用车</v>
      </c>
      <c r="T51" s="38" t="s">
        <v>984</v>
      </c>
      <c r="U51" s="37" t="s">
        <v>983</v>
      </c>
      <c r="V51" s="37">
        <f t="shared" si="6"/>
        <v>273</v>
      </c>
    </row>
    <row r="52" spans="1:22" x14ac:dyDescent="0.15">
      <c r="A52" s="36">
        <v>51</v>
      </c>
      <c r="B52" s="36">
        <v>2015</v>
      </c>
      <c r="C52" s="36" t="s">
        <v>952</v>
      </c>
      <c r="D52" s="36" t="str">
        <f t="shared" si="0"/>
        <v>gasoline vehicle</v>
      </c>
      <c r="E52" s="36" t="s">
        <v>960</v>
      </c>
      <c r="F52" s="36" t="s">
        <v>971</v>
      </c>
      <c r="G52" s="36" t="s">
        <v>972</v>
      </c>
      <c r="H52" s="36" t="str">
        <f t="shared" si="1"/>
        <v>公交车</v>
      </c>
      <c r="I52" s="36" t="str">
        <f t="shared" si="2"/>
        <v>Passenger HDV</v>
      </c>
      <c r="J52" s="36">
        <v>410</v>
      </c>
      <c r="P52" s="37" t="s">
        <v>978</v>
      </c>
      <c r="Q52" s="37" t="s">
        <v>950</v>
      </c>
      <c r="R52" s="37" t="s">
        <v>972</v>
      </c>
      <c r="S52" s="37" t="str">
        <f t="shared" si="5"/>
        <v>微型货车营运商用车</v>
      </c>
      <c r="T52" s="38" t="s">
        <v>979</v>
      </c>
      <c r="U52" s="37" t="s">
        <v>986</v>
      </c>
      <c r="V52" s="37">
        <f t="shared" si="6"/>
        <v>91</v>
      </c>
    </row>
    <row r="53" spans="1:22" x14ac:dyDescent="0.15">
      <c r="A53" s="36">
        <v>52</v>
      </c>
      <c r="B53" s="36">
        <v>2015</v>
      </c>
      <c r="C53" s="36" t="s">
        <v>956</v>
      </c>
      <c r="D53" s="36" t="str">
        <f t="shared" si="0"/>
        <v>natural gas vehicle</v>
      </c>
      <c r="E53" s="36" t="s">
        <v>960</v>
      </c>
      <c r="F53" s="36" t="s">
        <v>971</v>
      </c>
      <c r="G53" s="36" t="s">
        <v>972</v>
      </c>
      <c r="H53" s="36" t="str">
        <f t="shared" si="1"/>
        <v>公交车</v>
      </c>
      <c r="I53" s="36" t="str">
        <f t="shared" si="2"/>
        <v>Passenger HDV</v>
      </c>
      <c r="J53" s="36">
        <v>57</v>
      </c>
      <c r="P53" s="37" t="s">
        <v>978</v>
      </c>
      <c r="Q53" s="37" t="s">
        <v>960</v>
      </c>
      <c r="R53" s="37" t="s">
        <v>972</v>
      </c>
      <c r="S53" s="37" t="str">
        <f t="shared" si="5"/>
        <v>微型货车未知商用车</v>
      </c>
      <c r="T53" s="38" t="s">
        <v>979</v>
      </c>
      <c r="U53" s="37" t="s">
        <v>986</v>
      </c>
      <c r="V53" s="37">
        <f t="shared" si="6"/>
        <v>87</v>
      </c>
    </row>
    <row r="54" spans="1:22" x14ac:dyDescent="0.15">
      <c r="A54" s="36">
        <v>53</v>
      </c>
      <c r="B54" s="36">
        <v>2015</v>
      </c>
      <c r="C54" s="36" t="s">
        <v>953</v>
      </c>
      <c r="D54" s="36" t="str">
        <f t="shared" si="0"/>
        <v>diesel vehicle</v>
      </c>
      <c r="E54" s="36" t="s">
        <v>954</v>
      </c>
      <c r="F54" s="36" t="s">
        <v>971</v>
      </c>
      <c r="G54" s="36" t="s">
        <v>972</v>
      </c>
      <c r="H54" s="36" t="str">
        <f t="shared" si="1"/>
        <v>公交车</v>
      </c>
      <c r="I54" s="36" t="str">
        <f t="shared" si="2"/>
        <v>Passenger LDV</v>
      </c>
      <c r="J54" s="36">
        <v>1</v>
      </c>
      <c r="P54" s="37" t="s">
        <v>973</v>
      </c>
      <c r="Q54" s="37" t="s">
        <v>962</v>
      </c>
      <c r="R54" s="37" t="s">
        <v>972</v>
      </c>
      <c r="S54" s="37" t="str">
        <f t="shared" si="5"/>
        <v>重型货车公路客运商用车</v>
      </c>
      <c r="T54" s="38" t="s">
        <v>985</v>
      </c>
      <c r="U54" s="37" t="s">
        <v>983</v>
      </c>
      <c r="V54" s="37">
        <f t="shared" si="6"/>
        <v>81</v>
      </c>
    </row>
    <row r="55" spans="1:22" x14ac:dyDescent="0.15">
      <c r="A55" s="36">
        <v>54</v>
      </c>
      <c r="B55" s="36">
        <v>2016</v>
      </c>
      <c r="C55" s="36" t="s">
        <v>953</v>
      </c>
      <c r="D55" s="36" t="str">
        <f t="shared" si="0"/>
        <v>diesel vehicle</v>
      </c>
      <c r="E55" s="36" t="s">
        <v>954</v>
      </c>
      <c r="F55" s="36" t="s">
        <v>971</v>
      </c>
      <c r="G55" s="36" t="s">
        <v>972</v>
      </c>
      <c r="H55" s="36" t="str">
        <f t="shared" si="1"/>
        <v>公交车</v>
      </c>
      <c r="I55" s="36" t="str">
        <f t="shared" si="2"/>
        <v>Passenger LDV</v>
      </c>
      <c r="J55" s="36">
        <v>17</v>
      </c>
      <c r="P55" s="37" t="s">
        <v>951</v>
      </c>
      <c r="Q55" s="37" t="s">
        <v>962</v>
      </c>
      <c r="R55" s="37" t="s">
        <v>949</v>
      </c>
      <c r="S55" s="37" t="str">
        <f t="shared" si="5"/>
        <v>中型客车公路客运乘用车</v>
      </c>
      <c r="T55" s="38" t="s">
        <v>985</v>
      </c>
      <c r="U55" s="37" t="s">
        <v>983</v>
      </c>
      <c r="V55" s="37">
        <f t="shared" si="6"/>
        <v>70</v>
      </c>
    </row>
    <row r="56" spans="1:22" x14ac:dyDescent="0.15">
      <c r="A56" s="36">
        <v>55</v>
      </c>
      <c r="B56" s="36">
        <v>2017</v>
      </c>
      <c r="C56" s="36" t="s">
        <v>953</v>
      </c>
      <c r="D56" s="36" t="str">
        <f t="shared" si="0"/>
        <v>diesel vehicle</v>
      </c>
      <c r="E56" s="36" t="s">
        <v>954</v>
      </c>
      <c r="F56" s="36" t="s">
        <v>971</v>
      </c>
      <c r="G56" s="36" t="s">
        <v>972</v>
      </c>
      <c r="H56" s="36" t="str">
        <f t="shared" si="1"/>
        <v>公交车</v>
      </c>
      <c r="I56" s="36" t="str">
        <f t="shared" si="2"/>
        <v>Passenger LDV</v>
      </c>
      <c r="J56" s="36">
        <v>79</v>
      </c>
      <c r="P56" s="37" t="s">
        <v>963</v>
      </c>
      <c r="Q56" s="37" t="s">
        <v>970</v>
      </c>
      <c r="R56" s="37" t="s">
        <v>949</v>
      </c>
      <c r="S56" s="37" t="str">
        <f t="shared" si="5"/>
        <v>NULL出租租赁乘用车</v>
      </c>
      <c r="T56" s="38" t="s">
        <v>982</v>
      </c>
      <c r="U56" s="37" t="s">
        <v>980</v>
      </c>
      <c r="V56" s="37">
        <f t="shared" si="6"/>
        <v>64</v>
      </c>
    </row>
    <row r="57" spans="1:22" x14ac:dyDescent="0.15">
      <c r="A57" s="36">
        <v>56</v>
      </c>
      <c r="B57" s="36">
        <v>2018</v>
      </c>
      <c r="C57" s="36" t="s">
        <v>953</v>
      </c>
      <c r="D57" s="36" t="str">
        <f t="shared" si="0"/>
        <v>diesel vehicle</v>
      </c>
      <c r="E57" s="36" t="s">
        <v>954</v>
      </c>
      <c r="F57" s="36" t="s">
        <v>971</v>
      </c>
      <c r="G57" s="36" t="s">
        <v>972</v>
      </c>
      <c r="H57" s="36" t="str">
        <f t="shared" si="1"/>
        <v>公交车</v>
      </c>
      <c r="I57" s="36" t="str">
        <f t="shared" si="2"/>
        <v>Passenger LDV</v>
      </c>
      <c r="J57" s="36">
        <v>579</v>
      </c>
      <c r="P57" s="37" t="s">
        <v>976</v>
      </c>
      <c r="Q57" s="37" t="s">
        <v>962</v>
      </c>
      <c r="R57" s="37" t="s">
        <v>972</v>
      </c>
      <c r="S57" s="37" t="str">
        <f t="shared" si="5"/>
        <v>中型货车公路客运商用车</v>
      </c>
      <c r="T57" s="38" t="s">
        <v>985</v>
      </c>
      <c r="U57" s="37" t="s">
        <v>983</v>
      </c>
      <c r="V57" s="37">
        <f t="shared" si="6"/>
        <v>37</v>
      </c>
    </row>
    <row r="58" spans="1:22" x14ac:dyDescent="0.15">
      <c r="A58" s="36">
        <v>57</v>
      </c>
      <c r="B58" s="36">
        <v>2019</v>
      </c>
      <c r="C58" s="36" t="s">
        <v>953</v>
      </c>
      <c r="D58" s="36" t="str">
        <f t="shared" si="0"/>
        <v>diesel vehicle</v>
      </c>
      <c r="E58" s="36" t="s">
        <v>954</v>
      </c>
      <c r="F58" s="36" t="s">
        <v>971</v>
      </c>
      <c r="G58" s="36" t="s">
        <v>972</v>
      </c>
      <c r="H58" s="36" t="str">
        <f t="shared" si="1"/>
        <v>公交车</v>
      </c>
      <c r="I58" s="36" t="str">
        <f t="shared" si="2"/>
        <v>Passenger LDV</v>
      </c>
      <c r="J58" s="36">
        <v>4</v>
      </c>
      <c r="P58" s="37" t="s">
        <v>959</v>
      </c>
      <c r="Q58" s="37" t="s">
        <v>964</v>
      </c>
      <c r="R58" s="37" t="s">
        <v>972</v>
      </c>
      <c r="S58" s="37" t="str">
        <f t="shared" si="5"/>
        <v>微型客车非营运商用车</v>
      </c>
      <c r="T58" s="38" t="s">
        <v>982</v>
      </c>
      <c r="U58" s="37" t="s">
        <v>981</v>
      </c>
      <c r="V58" s="37">
        <f t="shared" si="6"/>
        <v>36</v>
      </c>
    </row>
    <row r="59" spans="1:22" x14ac:dyDescent="0.15">
      <c r="A59" s="36">
        <v>58</v>
      </c>
      <c r="B59" s="36">
        <v>2020</v>
      </c>
      <c r="C59" s="36" t="s">
        <v>953</v>
      </c>
      <c r="D59" s="36" t="str">
        <f t="shared" si="0"/>
        <v>diesel vehicle</v>
      </c>
      <c r="E59" s="36" t="s">
        <v>954</v>
      </c>
      <c r="F59" s="36" t="s">
        <v>971</v>
      </c>
      <c r="G59" s="36" t="s">
        <v>972</v>
      </c>
      <c r="H59" s="36" t="str">
        <f t="shared" si="1"/>
        <v>公交车</v>
      </c>
      <c r="I59" s="36" t="str">
        <f t="shared" si="2"/>
        <v>Passenger LDV</v>
      </c>
      <c r="J59" s="36">
        <v>310</v>
      </c>
      <c r="P59" s="37" t="s">
        <v>951</v>
      </c>
      <c r="Q59" s="37" t="s">
        <v>970</v>
      </c>
      <c r="R59" s="37" t="s">
        <v>949</v>
      </c>
      <c r="S59" s="37" t="str">
        <f t="shared" si="5"/>
        <v>中型客车出租租赁乘用车</v>
      </c>
      <c r="T59" s="38" t="s">
        <v>985</v>
      </c>
      <c r="U59" s="37" t="s">
        <v>983</v>
      </c>
      <c r="V59" s="37">
        <f t="shared" si="6"/>
        <v>26</v>
      </c>
    </row>
    <row r="60" spans="1:22" x14ac:dyDescent="0.15">
      <c r="A60" s="36">
        <v>59</v>
      </c>
      <c r="B60" s="36">
        <v>2021</v>
      </c>
      <c r="C60" s="36" t="s">
        <v>953</v>
      </c>
      <c r="D60" s="36" t="str">
        <f t="shared" si="0"/>
        <v>diesel vehicle</v>
      </c>
      <c r="E60" s="36" t="s">
        <v>954</v>
      </c>
      <c r="F60" s="36" t="s">
        <v>971</v>
      </c>
      <c r="G60" s="36" t="s">
        <v>972</v>
      </c>
      <c r="H60" s="36" t="str">
        <f t="shared" si="1"/>
        <v>公交车</v>
      </c>
      <c r="I60" s="36" t="str">
        <f t="shared" si="2"/>
        <v>Passenger LDV</v>
      </c>
      <c r="J60" s="36">
        <v>16</v>
      </c>
      <c r="P60" s="37" t="s">
        <v>951</v>
      </c>
      <c r="Q60" s="37" t="s">
        <v>960</v>
      </c>
      <c r="R60" s="37" t="s">
        <v>949</v>
      </c>
      <c r="S60" s="37" t="str">
        <f t="shared" si="5"/>
        <v>中型客车未知乘用车</v>
      </c>
      <c r="T60" s="38" t="s">
        <v>985</v>
      </c>
      <c r="U60" s="37" t="s">
        <v>983</v>
      </c>
      <c r="V60" s="37">
        <f t="shared" si="6"/>
        <v>13</v>
      </c>
    </row>
    <row r="61" spans="1:22" x14ac:dyDescent="0.15">
      <c r="A61" s="36">
        <v>60</v>
      </c>
      <c r="B61" s="36">
        <v>2019</v>
      </c>
      <c r="C61" s="36" t="s">
        <v>958</v>
      </c>
      <c r="D61" s="36" t="str">
        <f t="shared" si="0"/>
        <v>battery electric vehicle</v>
      </c>
      <c r="E61" s="36" t="s">
        <v>954</v>
      </c>
      <c r="F61" s="36" t="s">
        <v>971</v>
      </c>
      <c r="G61" s="36" t="s">
        <v>972</v>
      </c>
      <c r="H61" s="36" t="str">
        <f t="shared" si="1"/>
        <v>公交车</v>
      </c>
      <c r="I61" s="36" t="str">
        <f t="shared" si="2"/>
        <v>Passenger LDV</v>
      </c>
      <c r="J61" s="36">
        <v>13</v>
      </c>
      <c r="P61" s="37" t="s">
        <v>969</v>
      </c>
      <c r="Q61" s="37" t="s">
        <v>964</v>
      </c>
      <c r="R61" s="37" t="s">
        <v>949</v>
      </c>
      <c r="S61" s="37" t="str">
        <f t="shared" si="5"/>
        <v>大型客车非营运乘用车</v>
      </c>
      <c r="T61" s="38" t="s">
        <v>985</v>
      </c>
      <c r="U61" s="37" t="s">
        <v>983</v>
      </c>
      <c r="V61" s="37">
        <f t="shared" si="6"/>
        <v>9</v>
      </c>
    </row>
    <row r="62" spans="1:22" x14ac:dyDescent="0.15">
      <c r="A62" s="36">
        <v>61</v>
      </c>
      <c r="B62" s="36">
        <v>2020</v>
      </c>
      <c r="C62" s="36" t="s">
        <v>958</v>
      </c>
      <c r="D62" s="36" t="str">
        <f t="shared" si="0"/>
        <v>battery electric vehicle</v>
      </c>
      <c r="E62" s="36" t="s">
        <v>954</v>
      </c>
      <c r="F62" s="36" t="s">
        <v>971</v>
      </c>
      <c r="G62" s="36" t="s">
        <v>972</v>
      </c>
      <c r="H62" s="36" t="str">
        <f t="shared" si="1"/>
        <v>公交车</v>
      </c>
      <c r="I62" s="36" t="str">
        <f t="shared" si="2"/>
        <v>Passenger LDV</v>
      </c>
      <c r="J62" s="36">
        <v>595</v>
      </c>
      <c r="P62" s="37" t="s">
        <v>959</v>
      </c>
      <c r="Q62" s="37" t="s">
        <v>960</v>
      </c>
      <c r="R62" s="37" t="s">
        <v>972</v>
      </c>
      <c r="S62" s="37" t="str">
        <f t="shared" si="5"/>
        <v>微型客车未知商用车</v>
      </c>
      <c r="T62" s="38" t="s">
        <v>982</v>
      </c>
      <c r="U62" s="37" t="s">
        <v>981</v>
      </c>
      <c r="V62" s="37">
        <f t="shared" si="6"/>
        <v>9</v>
      </c>
    </row>
    <row r="63" spans="1:22" x14ac:dyDescent="0.15">
      <c r="A63" s="36">
        <v>62</v>
      </c>
      <c r="B63" s="36">
        <v>2021</v>
      </c>
      <c r="C63" s="36" t="s">
        <v>958</v>
      </c>
      <c r="D63" s="36" t="str">
        <f t="shared" si="0"/>
        <v>battery electric vehicle</v>
      </c>
      <c r="E63" s="36" t="s">
        <v>954</v>
      </c>
      <c r="F63" s="36" t="s">
        <v>971</v>
      </c>
      <c r="G63" s="36" t="s">
        <v>972</v>
      </c>
      <c r="H63" s="36" t="str">
        <f t="shared" si="1"/>
        <v>公交车</v>
      </c>
      <c r="I63" s="36" t="str">
        <f t="shared" si="2"/>
        <v>Passenger LDV</v>
      </c>
      <c r="J63" s="36">
        <v>9</v>
      </c>
      <c r="P63" s="37" t="s">
        <v>979</v>
      </c>
      <c r="Q63" s="37" t="s">
        <v>962</v>
      </c>
      <c r="R63" s="37" t="s">
        <v>972</v>
      </c>
      <c r="S63" s="37" t="str">
        <f t="shared" si="5"/>
        <v>轻型货车公路客运商用车</v>
      </c>
      <c r="T63" s="38" t="s">
        <v>985</v>
      </c>
      <c r="U63" s="37" t="s">
        <v>981</v>
      </c>
      <c r="V63" s="37">
        <f t="shared" si="6"/>
        <v>7</v>
      </c>
    </row>
    <row r="64" spans="1:22" x14ac:dyDescent="0.15">
      <c r="A64" s="36">
        <v>63</v>
      </c>
      <c r="B64" s="36">
        <v>2016</v>
      </c>
      <c r="C64" s="36" t="s">
        <v>952</v>
      </c>
      <c r="D64" s="36" t="str">
        <f t="shared" si="0"/>
        <v>gasoline vehicle</v>
      </c>
      <c r="E64" s="36" t="s">
        <v>954</v>
      </c>
      <c r="F64" s="36" t="s">
        <v>971</v>
      </c>
      <c r="G64" s="36" t="s">
        <v>972</v>
      </c>
      <c r="H64" s="36" t="str">
        <f t="shared" si="1"/>
        <v>公交车</v>
      </c>
      <c r="I64" s="36" t="str">
        <f t="shared" si="2"/>
        <v>Passenger LDV</v>
      </c>
      <c r="J64" s="36">
        <v>203</v>
      </c>
      <c r="P64" s="37" t="s">
        <v>951</v>
      </c>
      <c r="Q64" s="37" t="s">
        <v>950</v>
      </c>
      <c r="R64" s="37" t="s">
        <v>949</v>
      </c>
      <c r="S64" s="37" t="str">
        <f t="shared" si="5"/>
        <v>中型客车营运乘用车</v>
      </c>
      <c r="T64" s="38" t="s">
        <v>985</v>
      </c>
      <c r="U64" s="37" t="s">
        <v>983</v>
      </c>
      <c r="V64" s="37">
        <f t="shared" si="6"/>
        <v>5</v>
      </c>
    </row>
    <row r="65" spans="1:22" x14ac:dyDescent="0.15">
      <c r="A65" s="36">
        <v>64</v>
      </c>
      <c r="B65" s="36">
        <v>2017</v>
      </c>
      <c r="C65" s="36" t="s">
        <v>952</v>
      </c>
      <c r="D65" s="36" t="str">
        <f t="shared" si="0"/>
        <v>gasoline vehicle</v>
      </c>
      <c r="E65" s="36" t="s">
        <v>954</v>
      </c>
      <c r="F65" s="36" t="s">
        <v>971</v>
      </c>
      <c r="G65" s="36" t="s">
        <v>972</v>
      </c>
      <c r="H65" s="36" t="str">
        <f t="shared" si="1"/>
        <v>公交车</v>
      </c>
      <c r="I65" s="36" t="str">
        <f t="shared" si="2"/>
        <v>Passenger LDV</v>
      </c>
      <c r="J65" s="36">
        <v>46</v>
      </c>
      <c r="P65" s="37" t="s">
        <v>969</v>
      </c>
      <c r="Q65" s="37" t="s">
        <v>971</v>
      </c>
      <c r="R65" s="37" t="s">
        <v>949</v>
      </c>
      <c r="S65" s="37" t="str">
        <f t="shared" si="5"/>
        <v>大型客车城市公交乘用车</v>
      </c>
      <c r="T65" s="38" t="s">
        <v>984</v>
      </c>
      <c r="U65" s="37" t="s">
        <v>983</v>
      </c>
      <c r="V65" s="37">
        <f t="shared" si="6"/>
        <v>3</v>
      </c>
    </row>
    <row r="66" spans="1:22" x14ac:dyDescent="0.15">
      <c r="A66" s="36">
        <v>65</v>
      </c>
      <c r="B66" s="36">
        <v>2018</v>
      </c>
      <c r="C66" s="36" t="s">
        <v>952</v>
      </c>
      <c r="D66" s="36" t="str">
        <f t="shared" ref="D66:D129" si="7">VLOOKUP(C66,M$3:N$16,2,FALSE)</f>
        <v>gasoline vehicle</v>
      </c>
      <c r="E66" s="36" t="s">
        <v>954</v>
      </c>
      <c r="F66" s="36" t="s">
        <v>971</v>
      </c>
      <c r="G66" s="36" t="s">
        <v>972</v>
      </c>
      <c r="H66" s="36" t="str">
        <f t="shared" ref="H66:H129" si="8">VLOOKUP(E66&amp;F66&amp;G66,$S$3:$U$68,2,FALSE)</f>
        <v>公交车</v>
      </c>
      <c r="I66" s="36" t="str">
        <f t="shared" ref="I66:I129" si="9">VLOOKUP(E66&amp;F66&amp;G66,$S$3:$U$68,3,FALSE)</f>
        <v>Passenger LDV</v>
      </c>
      <c r="J66" s="36">
        <v>176</v>
      </c>
      <c r="P66" s="37" t="s">
        <v>959</v>
      </c>
      <c r="Q66" s="37" t="s">
        <v>950</v>
      </c>
      <c r="R66" s="37" t="s">
        <v>949</v>
      </c>
      <c r="S66" s="37" t="str">
        <f t="shared" si="5"/>
        <v>微型客车营运乘用车</v>
      </c>
      <c r="T66" s="38" t="s">
        <v>982</v>
      </c>
      <c r="U66" s="37" t="s">
        <v>981</v>
      </c>
      <c r="V66" s="37">
        <f t="shared" si="6"/>
        <v>3</v>
      </c>
    </row>
    <row r="67" spans="1:22" x14ac:dyDescent="0.15">
      <c r="A67" s="36">
        <v>66</v>
      </c>
      <c r="B67" s="36">
        <v>2019</v>
      </c>
      <c r="C67" s="36" t="s">
        <v>952</v>
      </c>
      <c r="D67" s="36" t="str">
        <f t="shared" si="7"/>
        <v>gasoline vehicle</v>
      </c>
      <c r="E67" s="36" t="s">
        <v>954</v>
      </c>
      <c r="F67" s="36" t="s">
        <v>971</v>
      </c>
      <c r="G67" s="36" t="s">
        <v>972</v>
      </c>
      <c r="H67" s="36" t="str">
        <f t="shared" si="8"/>
        <v>公交车</v>
      </c>
      <c r="I67" s="36" t="str">
        <f t="shared" si="9"/>
        <v>Passenger LDV</v>
      </c>
      <c r="J67" s="36">
        <v>92</v>
      </c>
      <c r="P67" s="37" t="s">
        <v>959</v>
      </c>
      <c r="Q67" s="37" t="s">
        <v>950</v>
      </c>
      <c r="R67" s="37" t="s">
        <v>972</v>
      </c>
      <c r="S67" s="37" t="str">
        <f t="shared" ref="S67:S68" si="10">P67&amp;Q67&amp;R67</f>
        <v>微型客车营运商用车</v>
      </c>
      <c r="T67" s="38" t="s">
        <v>982</v>
      </c>
      <c r="U67" s="37" t="s">
        <v>981</v>
      </c>
      <c r="V67" s="37">
        <f t="shared" si="6"/>
        <v>2</v>
      </c>
    </row>
    <row r="68" spans="1:22" x14ac:dyDescent="0.15">
      <c r="A68" s="36">
        <v>67</v>
      </c>
      <c r="B68" s="36">
        <v>2020</v>
      </c>
      <c r="C68" s="36" t="s">
        <v>952</v>
      </c>
      <c r="D68" s="36" t="str">
        <f t="shared" si="7"/>
        <v>gasoline vehicle</v>
      </c>
      <c r="E68" s="36" t="s">
        <v>954</v>
      </c>
      <c r="F68" s="36" t="s">
        <v>971</v>
      </c>
      <c r="G68" s="36" t="s">
        <v>972</v>
      </c>
      <c r="H68" s="36" t="str">
        <f t="shared" si="8"/>
        <v>公交车</v>
      </c>
      <c r="I68" s="36" t="str">
        <f t="shared" si="9"/>
        <v>Passenger LDV</v>
      </c>
      <c r="J68" s="36">
        <v>106</v>
      </c>
      <c r="P68" s="37" t="s">
        <v>963</v>
      </c>
      <c r="Q68" s="37" t="s">
        <v>962</v>
      </c>
      <c r="R68" s="37" t="s">
        <v>949</v>
      </c>
      <c r="S68" s="37" t="str">
        <f t="shared" si="10"/>
        <v>NULL公路客运乘用车</v>
      </c>
      <c r="T68" s="37" t="s">
        <v>980</v>
      </c>
      <c r="U68" s="37" t="s">
        <v>980</v>
      </c>
      <c r="V68" s="37">
        <f t="shared" si="6"/>
        <v>1</v>
      </c>
    </row>
    <row r="69" spans="1:22" x14ac:dyDescent="0.15">
      <c r="A69" s="36">
        <v>68</v>
      </c>
      <c r="B69" s="36">
        <v>2021</v>
      </c>
      <c r="C69" s="36" t="s">
        <v>952</v>
      </c>
      <c r="D69" s="36" t="str">
        <f t="shared" si="7"/>
        <v>gasoline vehicle</v>
      </c>
      <c r="E69" s="36" t="s">
        <v>954</v>
      </c>
      <c r="F69" s="36" t="s">
        <v>971</v>
      </c>
      <c r="G69" s="36" t="s">
        <v>972</v>
      </c>
      <c r="H69" s="36" t="str">
        <f t="shared" si="8"/>
        <v>公交车</v>
      </c>
      <c r="I69" s="36" t="str">
        <f t="shared" si="9"/>
        <v>Passenger LDV</v>
      </c>
      <c r="J69" s="36">
        <v>34</v>
      </c>
    </row>
    <row r="70" spans="1:22" x14ac:dyDescent="0.15">
      <c r="A70" s="36">
        <v>69</v>
      </c>
      <c r="B70" s="36">
        <v>2016</v>
      </c>
      <c r="C70" s="36" t="s">
        <v>956</v>
      </c>
      <c r="D70" s="36" t="str">
        <f t="shared" si="7"/>
        <v>natural gas vehicle</v>
      </c>
      <c r="E70" s="36" t="s">
        <v>954</v>
      </c>
      <c r="F70" s="36" t="s">
        <v>971</v>
      </c>
      <c r="G70" s="36" t="s">
        <v>972</v>
      </c>
      <c r="H70" s="36" t="str">
        <f t="shared" si="8"/>
        <v>公交车</v>
      </c>
      <c r="I70" s="36" t="str">
        <f t="shared" si="9"/>
        <v>Passenger LDV</v>
      </c>
      <c r="J70" s="36">
        <v>88</v>
      </c>
    </row>
    <row r="71" spans="1:22" x14ac:dyDescent="0.15">
      <c r="A71" s="36">
        <v>70</v>
      </c>
      <c r="B71" s="36">
        <v>2017</v>
      </c>
      <c r="C71" s="36" t="s">
        <v>956</v>
      </c>
      <c r="D71" s="36" t="str">
        <f t="shared" si="7"/>
        <v>natural gas vehicle</v>
      </c>
      <c r="E71" s="36" t="s">
        <v>954</v>
      </c>
      <c r="F71" s="36" t="s">
        <v>971</v>
      </c>
      <c r="G71" s="36" t="s">
        <v>972</v>
      </c>
      <c r="H71" s="36" t="str">
        <f t="shared" si="8"/>
        <v>公交车</v>
      </c>
      <c r="I71" s="36" t="str">
        <f t="shared" si="9"/>
        <v>Passenger LDV</v>
      </c>
      <c r="J71" s="36">
        <v>11</v>
      </c>
    </row>
    <row r="72" spans="1:22" x14ac:dyDescent="0.15">
      <c r="A72" s="36">
        <v>71</v>
      </c>
      <c r="B72" s="36">
        <v>2018</v>
      </c>
      <c r="C72" s="36" t="s">
        <v>956</v>
      </c>
      <c r="D72" s="36" t="str">
        <f t="shared" si="7"/>
        <v>natural gas vehicle</v>
      </c>
      <c r="E72" s="36" t="s">
        <v>954</v>
      </c>
      <c r="F72" s="36" t="s">
        <v>971</v>
      </c>
      <c r="G72" s="36" t="s">
        <v>972</v>
      </c>
      <c r="H72" s="36" t="str">
        <f t="shared" si="8"/>
        <v>公交车</v>
      </c>
      <c r="I72" s="36" t="str">
        <f t="shared" si="9"/>
        <v>Passenger LDV</v>
      </c>
      <c r="J72" s="36">
        <v>60</v>
      </c>
    </row>
    <row r="73" spans="1:22" x14ac:dyDescent="0.15">
      <c r="A73" s="36">
        <v>72</v>
      </c>
      <c r="B73" s="36">
        <v>2019</v>
      </c>
      <c r="C73" s="36" t="s">
        <v>956</v>
      </c>
      <c r="D73" s="36" t="str">
        <f t="shared" si="7"/>
        <v>natural gas vehicle</v>
      </c>
      <c r="E73" s="36" t="s">
        <v>954</v>
      </c>
      <c r="F73" s="36" t="s">
        <v>971</v>
      </c>
      <c r="G73" s="36" t="s">
        <v>972</v>
      </c>
      <c r="H73" s="36" t="str">
        <f t="shared" si="8"/>
        <v>公交车</v>
      </c>
      <c r="I73" s="36" t="str">
        <f t="shared" si="9"/>
        <v>Passenger LDV</v>
      </c>
      <c r="J73" s="36">
        <v>129</v>
      </c>
    </row>
    <row r="74" spans="1:22" x14ac:dyDescent="0.15">
      <c r="A74" s="36">
        <v>73</v>
      </c>
      <c r="B74" s="36">
        <v>2020</v>
      </c>
      <c r="C74" s="36" t="s">
        <v>956</v>
      </c>
      <c r="D74" s="36" t="str">
        <f t="shared" si="7"/>
        <v>natural gas vehicle</v>
      </c>
      <c r="E74" s="36" t="s">
        <v>954</v>
      </c>
      <c r="F74" s="36" t="s">
        <v>971</v>
      </c>
      <c r="G74" s="36" t="s">
        <v>972</v>
      </c>
      <c r="H74" s="36" t="str">
        <f t="shared" si="8"/>
        <v>公交车</v>
      </c>
      <c r="I74" s="36" t="str">
        <f t="shared" si="9"/>
        <v>Passenger LDV</v>
      </c>
      <c r="J74" s="36">
        <v>82</v>
      </c>
    </row>
    <row r="75" spans="1:22" x14ac:dyDescent="0.15">
      <c r="A75" s="36">
        <v>74</v>
      </c>
      <c r="B75" s="36">
        <v>2016</v>
      </c>
      <c r="C75" s="36" t="s">
        <v>955</v>
      </c>
      <c r="D75" s="36" t="str">
        <f t="shared" si="7"/>
        <v>natural gas vehicle</v>
      </c>
      <c r="E75" s="36" t="s">
        <v>954</v>
      </c>
      <c r="F75" s="36" t="s">
        <v>971</v>
      </c>
      <c r="G75" s="36" t="s">
        <v>972</v>
      </c>
      <c r="H75" s="36" t="str">
        <f t="shared" si="8"/>
        <v>公交车</v>
      </c>
      <c r="I75" s="36" t="str">
        <f t="shared" si="9"/>
        <v>Passenger LDV</v>
      </c>
      <c r="J75" s="36">
        <v>5</v>
      </c>
    </row>
    <row r="76" spans="1:22" x14ac:dyDescent="0.15">
      <c r="A76" s="36">
        <v>75</v>
      </c>
      <c r="B76" s="36">
        <v>2017</v>
      </c>
      <c r="C76" s="36" t="s">
        <v>955</v>
      </c>
      <c r="D76" s="36" t="str">
        <f t="shared" si="7"/>
        <v>natural gas vehicle</v>
      </c>
      <c r="E76" s="36" t="s">
        <v>954</v>
      </c>
      <c r="F76" s="36" t="s">
        <v>971</v>
      </c>
      <c r="G76" s="36" t="s">
        <v>972</v>
      </c>
      <c r="H76" s="36" t="str">
        <f t="shared" si="8"/>
        <v>公交车</v>
      </c>
      <c r="I76" s="36" t="str">
        <f t="shared" si="9"/>
        <v>Passenger LDV</v>
      </c>
      <c r="J76" s="36">
        <v>256</v>
      </c>
    </row>
    <row r="77" spans="1:22" x14ac:dyDescent="0.15">
      <c r="A77" s="36">
        <v>76</v>
      </c>
      <c r="B77" s="36">
        <v>2018</v>
      </c>
      <c r="C77" s="36" t="s">
        <v>955</v>
      </c>
      <c r="D77" s="36" t="str">
        <f t="shared" si="7"/>
        <v>natural gas vehicle</v>
      </c>
      <c r="E77" s="36" t="s">
        <v>954</v>
      </c>
      <c r="F77" s="36" t="s">
        <v>971</v>
      </c>
      <c r="G77" s="36" t="s">
        <v>972</v>
      </c>
      <c r="H77" s="36" t="str">
        <f t="shared" si="8"/>
        <v>公交车</v>
      </c>
      <c r="I77" s="36" t="str">
        <f t="shared" si="9"/>
        <v>Passenger LDV</v>
      </c>
      <c r="J77" s="36">
        <v>115</v>
      </c>
    </row>
    <row r="78" spans="1:22" x14ac:dyDescent="0.15">
      <c r="A78" s="36">
        <v>77</v>
      </c>
      <c r="B78" s="36">
        <v>2019</v>
      </c>
      <c r="C78" s="36" t="s">
        <v>955</v>
      </c>
      <c r="D78" s="36" t="str">
        <f t="shared" si="7"/>
        <v>natural gas vehicle</v>
      </c>
      <c r="E78" s="36" t="s">
        <v>954</v>
      </c>
      <c r="F78" s="36" t="s">
        <v>971</v>
      </c>
      <c r="G78" s="36" t="s">
        <v>972</v>
      </c>
      <c r="H78" s="36" t="str">
        <f t="shared" si="8"/>
        <v>公交车</v>
      </c>
      <c r="I78" s="36" t="str">
        <f t="shared" si="9"/>
        <v>Passenger LDV</v>
      </c>
      <c r="J78" s="36">
        <v>40</v>
      </c>
    </row>
    <row r="79" spans="1:22" x14ac:dyDescent="0.15">
      <c r="A79" s="36">
        <v>78</v>
      </c>
      <c r="B79" s="36">
        <v>2020</v>
      </c>
      <c r="C79" s="36" t="s">
        <v>955</v>
      </c>
      <c r="D79" s="36" t="str">
        <f t="shared" si="7"/>
        <v>natural gas vehicle</v>
      </c>
      <c r="E79" s="36" t="s">
        <v>954</v>
      </c>
      <c r="F79" s="36" t="s">
        <v>971</v>
      </c>
      <c r="G79" s="36" t="s">
        <v>972</v>
      </c>
      <c r="H79" s="36" t="str">
        <f t="shared" si="8"/>
        <v>公交车</v>
      </c>
      <c r="I79" s="36" t="str">
        <f t="shared" si="9"/>
        <v>Passenger LDV</v>
      </c>
      <c r="J79" s="36">
        <v>1</v>
      </c>
    </row>
    <row r="80" spans="1:22" x14ac:dyDescent="0.15">
      <c r="A80" s="36">
        <v>79</v>
      </c>
      <c r="B80" s="36">
        <v>2017</v>
      </c>
      <c r="C80" s="36" t="s">
        <v>953</v>
      </c>
      <c r="D80" s="36" t="str">
        <f t="shared" si="7"/>
        <v>diesel vehicle</v>
      </c>
      <c r="E80" s="36" t="s">
        <v>976</v>
      </c>
      <c r="F80" s="36" t="s">
        <v>971</v>
      </c>
      <c r="G80" s="36" t="s">
        <v>972</v>
      </c>
      <c r="H80" s="36" t="str">
        <f t="shared" si="8"/>
        <v>公交车</v>
      </c>
      <c r="I80" s="36" t="str">
        <f t="shared" si="9"/>
        <v>Passenger HDV</v>
      </c>
      <c r="J80" s="36">
        <v>51</v>
      </c>
    </row>
    <row r="81" spans="1:10" x14ac:dyDescent="0.15">
      <c r="A81" s="36">
        <v>80</v>
      </c>
      <c r="B81" s="36">
        <v>2015</v>
      </c>
      <c r="C81" s="36" t="s">
        <v>958</v>
      </c>
      <c r="D81" s="36" t="str">
        <f t="shared" si="7"/>
        <v>battery electric vehicle</v>
      </c>
      <c r="E81" s="36" t="s">
        <v>976</v>
      </c>
      <c r="F81" s="36" t="s">
        <v>971</v>
      </c>
      <c r="G81" s="36" t="s">
        <v>972</v>
      </c>
      <c r="H81" s="36" t="str">
        <f t="shared" si="8"/>
        <v>公交车</v>
      </c>
      <c r="I81" s="36" t="str">
        <f t="shared" si="9"/>
        <v>Passenger HDV</v>
      </c>
      <c r="J81" s="36">
        <v>2</v>
      </c>
    </row>
    <row r="82" spans="1:10" x14ac:dyDescent="0.15">
      <c r="A82" s="36">
        <v>81</v>
      </c>
      <c r="B82" s="36">
        <v>2017</v>
      </c>
      <c r="C82" s="36" t="s">
        <v>958</v>
      </c>
      <c r="D82" s="36" t="str">
        <f t="shared" si="7"/>
        <v>battery electric vehicle</v>
      </c>
      <c r="E82" s="36" t="s">
        <v>976</v>
      </c>
      <c r="F82" s="36" t="s">
        <v>971</v>
      </c>
      <c r="G82" s="36" t="s">
        <v>972</v>
      </c>
      <c r="H82" s="36" t="str">
        <f t="shared" si="8"/>
        <v>公交车</v>
      </c>
      <c r="I82" s="36" t="str">
        <f t="shared" si="9"/>
        <v>Passenger HDV</v>
      </c>
      <c r="J82" s="36">
        <v>83</v>
      </c>
    </row>
    <row r="83" spans="1:10" x14ac:dyDescent="0.15">
      <c r="A83" s="36">
        <v>82</v>
      </c>
      <c r="B83" s="36">
        <v>2017</v>
      </c>
      <c r="C83" s="36" t="s">
        <v>955</v>
      </c>
      <c r="D83" s="36" t="str">
        <f t="shared" si="7"/>
        <v>natural gas vehicle</v>
      </c>
      <c r="E83" s="36" t="s">
        <v>976</v>
      </c>
      <c r="F83" s="36" t="s">
        <v>971</v>
      </c>
      <c r="G83" s="36" t="s">
        <v>972</v>
      </c>
      <c r="H83" s="36" t="str">
        <f t="shared" si="8"/>
        <v>公交车</v>
      </c>
      <c r="I83" s="36" t="str">
        <f t="shared" si="9"/>
        <v>Passenger HDV</v>
      </c>
      <c r="J83" s="36">
        <v>137</v>
      </c>
    </row>
    <row r="84" spans="1:10" x14ac:dyDescent="0.15">
      <c r="A84" s="36">
        <v>83</v>
      </c>
      <c r="B84" s="36">
        <v>2015</v>
      </c>
      <c r="C84" s="36" t="s">
        <v>953</v>
      </c>
      <c r="D84" s="36" t="str">
        <f t="shared" si="7"/>
        <v>diesel vehicle</v>
      </c>
      <c r="E84" s="36" t="s">
        <v>951</v>
      </c>
      <c r="F84" s="36" t="s">
        <v>971</v>
      </c>
      <c r="G84" s="36" t="s">
        <v>972</v>
      </c>
      <c r="H84" s="36" t="str">
        <f t="shared" si="8"/>
        <v>公交车</v>
      </c>
      <c r="I84" s="36" t="str">
        <f t="shared" si="9"/>
        <v>Passenger HDV</v>
      </c>
      <c r="J84" s="36">
        <v>14322</v>
      </c>
    </row>
    <row r="85" spans="1:10" x14ac:dyDescent="0.15">
      <c r="A85" s="36">
        <v>84</v>
      </c>
      <c r="B85" s="36">
        <v>2016</v>
      </c>
      <c r="C85" s="36" t="s">
        <v>953</v>
      </c>
      <c r="D85" s="36" t="str">
        <f t="shared" si="7"/>
        <v>diesel vehicle</v>
      </c>
      <c r="E85" s="36" t="s">
        <v>951</v>
      </c>
      <c r="F85" s="36" t="s">
        <v>971</v>
      </c>
      <c r="G85" s="36" t="s">
        <v>972</v>
      </c>
      <c r="H85" s="36" t="str">
        <f t="shared" si="8"/>
        <v>公交车</v>
      </c>
      <c r="I85" s="36" t="str">
        <f t="shared" si="9"/>
        <v>Passenger HDV</v>
      </c>
      <c r="J85" s="36">
        <v>2173</v>
      </c>
    </row>
    <row r="86" spans="1:10" x14ac:dyDescent="0.15">
      <c r="A86" s="36">
        <v>85</v>
      </c>
      <c r="B86" s="36">
        <v>2017</v>
      </c>
      <c r="C86" s="36" t="s">
        <v>953</v>
      </c>
      <c r="D86" s="36" t="str">
        <f t="shared" si="7"/>
        <v>diesel vehicle</v>
      </c>
      <c r="E86" s="36" t="s">
        <v>951</v>
      </c>
      <c r="F86" s="36" t="s">
        <v>971</v>
      </c>
      <c r="G86" s="36" t="s">
        <v>972</v>
      </c>
      <c r="H86" s="36" t="str">
        <f t="shared" si="8"/>
        <v>公交车</v>
      </c>
      <c r="I86" s="36" t="str">
        <f t="shared" si="9"/>
        <v>Passenger HDV</v>
      </c>
      <c r="J86" s="36">
        <v>1873</v>
      </c>
    </row>
    <row r="87" spans="1:10" x14ac:dyDescent="0.15">
      <c r="A87" s="36">
        <v>86</v>
      </c>
      <c r="B87" s="36">
        <v>2018</v>
      </c>
      <c r="C87" s="36" t="s">
        <v>953</v>
      </c>
      <c r="D87" s="36" t="str">
        <f t="shared" si="7"/>
        <v>diesel vehicle</v>
      </c>
      <c r="E87" s="36" t="s">
        <v>951</v>
      </c>
      <c r="F87" s="36" t="s">
        <v>971</v>
      </c>
      <c r="G87" s="36" t="s">
        <v>972</v>
      </c>
      <c r="H87" s="36" t="str">
        <f t="shared" si="8"/>
        <v>公交车</v>
      </c>
      <c r="I87" s="36" t="str">
        <f t="shared" si="9"/>
        <v>Passenger HDV</v>
      </c>
      <c r="J87" s="36">
        <v>879</v>
      </c>
    </row>
    <row r="88" spans="1:10" x14ac:dyDescent="0.15">
      <c r="A88" s="36">
        <v>87</v>
      </c>
      <c r="B88" s="36">
        <v>2019</v>
      </c>
      <c r="C88" s="36" t="s">
        <v>953</v>
      </c>
      <c r="D88" s="36" t="str">
        <f t="shared" si="7"/>
        <v>diesel vehicle</v>
      </c>
      <c r="E88" s="36" t="s">
        <v>951</v>
      </c>
      <c r="F88" s="36" t="s">
        <v>971</v>
      </c>
      <c r="G88" s="36" t="s">
        <v>972</v>
      </c>
      <c r="H88" s="36" t="str">
        <f t="shared" si="8"/>
        <v>公交车</v>
      </c>
      <c r="I88" s="36" t="str">
        <f t="shared" si="9"/>
        <v>Passenger HDV</v>
      </c>
      <c r="J88" s="36">
        <v>867</v>
      </c>
    </row>
    <row r="89" spans="1:10" x14ac:dyDescent="0.15">
      <c r="A89" s="36">
        <v>88</v>
      </c>
      <c r="B89" s="36">
        <v>2020</v>
      </c>
      <c r="C89" s="36" t="s">
        <v>953</v>
      </c>
      <c r="D89" s="36" t="str">
        <f t="shared" si="7"/>
        <v>diesel vehicle</v>
      </c>
      <c r="E89" s="36" t="s">
        <v>951</v>
      </c>
      <c r="F89" s="36" t="s">
        <v>971</v>
      </c>
      <c r="G89" s="36" t="s">
        <v>972</v>
      </c>
      <c r="H89" s="36" t="str">
        <f t="shared" si="8"/>
        <v>公交车</v>
      </c>
      <c r="I89" s="36" t="str">
        <f t="shared" si="9"/>
        <v>Passenger HDV</v>
      </c>
      <c r="J89" s="36">
        <v>130</v>
      </c>
    </row>
    <row r="90" spans="1:10" x14ac:dyDescent="0.15">
      <c r="A90" s="36">
        <v>89</v>
      </c>
      <c r="B90" s="36">
        <v>2021</v>
      </c>
      <c r="C90" s="36" t="s">
        <v>953</v>
      </c>
      <c r="D90" s="36" t="str">
        <f t="shared" si="7"/>
        <v>diesel vehicle</v>
      </c>
      <c r="E90" s="36" t="s">
        <v>951</v>
      </c>
      <c r="F90" s="36" t="s">
        <v>971</v>
      </c>
      <c r="G90" s="36" t="s">
        <v>972</v>
      </c>
      <c r="H90" s="36" t="str">
        <f t="shared" si="8"/>
        <v>公交车</v>
      </c>
      <c r="I90" s="36" t="str">
        <f t="shared" si="9"/>
        <v>Passenger HDV</v>
      </c>
      <c r="J90" s="36">
        <v>146</v>
      </c>
    </row>
    <row r="91" spans="1:10" x14ac:dyDescent="0.15">
      <c r="A91" s="36">
        <v>90</v>
      </c>
      <c r="B91" s="36">
        <v>2018</v>
      </c>
      <c r="C91" s="36" t="s">
        <v>958</v>
      </c>
      <c r="D91" s="36" t="str">
        <f t="shared" si="7"/>
        <v>battery electric vehicle</v>
      </c>
      <c r="E91" s="36" t="s">
        <v>951</v>
      </c>
      <c r="F91" s="36" t="s">
        <v>971</v>
      </c>
      <c r="G91" s="36" t="s">
        <v>972</v>
      </c>
      <c r="H91" s="36" t="str">
        <f t="shared" si="8"/>
        <v>公交车</v>
      </c>
      <c r="I91" s="36" t="str">
        <f t="shared" si="9"/>
        <v>Passenger HDV</v>
      </c>
      <c r="J91" s="36">
        <v>62</v>
      </c>
    </row>
    <row r="92" spans="1:10" x14ac:dyDescent="0.15">
      <c r="A92" s="36">
        <v>91</v>
      </c>
      <c r="B92" s="36">
        <v>2019</v>
      </c>
      <c r="C92" s="36" t="s">
        <v>958</v>
      </c>
      <c r="D92" s="36" t="str">
        <f t="shared" si="7"/>
        <v>battery electric vehicle</v>
      </c>
      <c r="E92" s="36" t="s">
        <v>951</v>
      </c>
      <c r="F92" s="36" t="s">
        <v>971</v>
      </c>
      <c r="G92" s="36" t="s">
        <v>972</v>
      </c>
      <c r="H92" s="36" t="str">
        <f t="shared" si="8"/>
        <v>公交车</v>
      </c>
      <c r="I92" s="36" t="str">
        <f t="shared" si="9"/>
        <v>Passenger HDV</v>
      </c>
      <c r="J92" s="36">
        <v>1105</v>
      </c>
    </row>
    <row r="93" spans="1:10" x14ac:dyDescent="0.15">
      <c r="A93" s="36">
        <v>92</v>
      </c>
      <c r="B93" s="36">
        <v>2020</v>
      </c>
      <c r="C93" s="36" t="s">
        <v>958</v>
      </c>
      <c r="D93" s="36" t="str">
        <f t="shared" si="7"/>
        <v>battery electric vehicle</v>
      </c>
      <c r="E93" s="36" t="s">
        <v>951</v>
      </c>
      <c r="F93" s="36" t="s">
        <v>971</v>
      </c>
      <c r="G93" s="36" t="s">
        <v>972</v>
      </c>
      <c r="H93" s="36" t="str">
        <f t="shared" si="8"/>
        <v>公交车</v>
      </c>
      <c r="I93" s="36" t="str">
        <f t="shared" si="9"/>
        <v>Passenger HDV</v>
      </c>
      <c r="J93" s="36">
        <v>1093</v>
      </c>
    </row>
    <row r="94" spans="1:10" x14ac:dyDescent="0.15">
      <c r="A94" s="36">
        <v>93</v>
      </c>
      <c r="B94" s="36">
        <v>2021</v>
      </c>
      <c r="C94" s="36" t="s">
        <v>958</v>
      </c>
      <c r="D94" s="36" t="str">
        <f t="shared" si="7"/>
        <v>battery electric vehicle</v>
      </c>
      <c r="E94" s="36" t="s">
        <v>951</v>
      </c>
      <c r="F94" s="36" t="s">
        <v>971</v>
      </c>
      <c r="G94" s="36" t="s">
        <v>972</v>
      </c>
      <c r="H94" s="36" t="str">
        <f t="shared" si="8"/>
        <v>公交车</v>
      </c>
      <c r="I94" s="36" t="str">
        <f t="shared" si="9"/>
        <v>Passenger HDV</v>
      </c>
      <c r="J94" s="36">
        <v>1474</v>
      </c>
    </row>
    <row r="95" spans="1:10" x14ac:dyDescent="0.15">
      <c r="A95" s="36">
        <v>94</v>
      </c>
      <c r="B95" s="36">
        <v>2015</v>
      </c>
      <c r="C95" s="36" t="s">
        <v>952</v>
      </c>
      <c r="D95" s="36" t="str">
        <f t="shared" si="7"/>
        <v>gasoline vehicle</v>
      </c>
      <c r="E95" s="36" t="s">
        <v>951</v>
      </c>
      <c r="F95" s="36" t="s">
        <v>971</v>
      </c>
      <c r="G95" s="36" t="s">
        <v>972</v>
      </c>
      <c r="H95" s="36" t="str">
        <f t="shared" si="8"/>
        <v>公交车</v>
      </c>
      <c r="I95" s="36" t="str">
        <f t="shared" si="9"/>
        <v>Passenger HDV</v>
      </c>
      <c r="J95" s="36">
        <v>3092</v>
      </c>
    </row>
    <row r="96" spans="1:10" x14ac:dyDescent="0.15">
      <c r="A96" s="36">
        <v>95</v>
      </c>
      <c r="B96" s="36">
        <v>2016</v>
      </c>
      <c r="C96" s="36" t="s">
        <v>952</v>
      </c>
      <c r="D96" s="36" t="str">
        <f t="shared" si="7"/>
        <v>gasoline vehicle</v>
      </c>
      <c r="E96" s="36" t="s">
        <v>951</v>
      </c>
      <c r="F96" s="36" t="s">
        <v>971</v>
      </c>
      <c r="G96" s="36" t="s">
        <v>972</v>
      </c>
      <c r="H96" s="36" t="str">
        <f t="shared" si="8"/>
        <v>公交车</v>
      </c>
      <c r="I96" s="36" t="str">
        <f t="shared" si="9"/>
        <v>Passenger HDV</v>
      </c>
      <c r="J96" s="36">
        <v>39</v>
      </c>
    </row>
    <row r="97" spans="1:10" x14ac:dyDescent="0.15">
      <c r="A97" s="36">
        <v>96</v>
      </c>
      <c r="B97" s="36">
        <v>2017</v>
      </c>
      <c r="C97" s="36" t="s">
        <v>952</v>
      </c>
      <c r="D97" s="36" t="str">
        <f t="shared" si="7"/>
        <v>gasoline vehicle</v>
      </c>
      <c r="E97" s="36" t="s">
        <v>951</v>
      </c>
      <c r="F97" s="36" t="s">
        <v>971</v>
      </c>
      <c r="G97" s="36" t="s">
        <v>972</v>
      </c>
      <c r="H97" s="36" t="str">
        <f t="shared" si="8"/>
        <v>公交车</v>
      </c>
      <c r="I97" s="36" t="str">
        <f t="shared" si="9"/>
        <v>Passenger HDV</v>
      </c>
      <c r="J97" s="36">
        <v>73</v>
      </c>
    </row>
    <row r="98" spans="1:10" x14ac:dyDescent="0.15">
      <c r="A98" s="36">
        <v>97</v>
      </c>
      <c r="B98" s="36">
        <v>2018</v>
      </c>
      <c r="C98" s="36" t="s">
        <v>952</v>
      </c>
      <c r="D98" s="36" t="str">
        <f t="shared" si="7"/>
        <v>gasoline vehicle</v>
      </c>
      <c r="E98" s="36" t="s">
        <v>951</v>
      </c>
      <c r="F98" s="36" t="s">
        <v>971</v>
      </c>
      <c r="G98" s="36" t="s">
        <v>972</v>
      </c>
      <c r="H98" s="36" t="str">
        <f t="shared" si="8"/>
        <v>公交车</v>
      </c>
      <c r="I98" s="36" t="str">
        <f t="shared" si="9"/>
        <v>Passenger HDV</v>
      </c>
      <c r="J98" s="36">
        <v>31</v>
      </c>
    </row>
    <row r="99" spans="1:10" x14ac:dyDescent="0.15">
      <c r="A99" s="36">
        <v>98</v>
      </c>
      <c r="B99" s="36">
        <v>2019</v>
      </c>
      <c r="C99" s="36" t="s">
        <v>952</v>
      </c>
      <c r="D99" s="36" t="str">
        <f t="shared" si="7"/>
        <v>gasoline vehicle</v>
      </c>
      <c r="E99" s="36" t="s">
        <v>951</v>
      </c>
      <c r="F99" s="36" t="s">
        <v>971</v>
      </c>
      <c r="G99" s="36" t="s">
        <v>972</v>
      </c>
      <c r="H99" s="36" t="str">
        <f t="shared" si="8"/>
        <v>公交车</v>
      </c>
      <c r="I99" s="36" t="str">
        <f t="shared" si="9"/>
        <v>Passenger HDV</v>
      </c>
      <c r="J99" s="36">
        <v>145</v>
      </c>
    </row>
    <row r="100" spans="1:10" x14ac:dyDescent="0.15">
      <c r="A100" s="36">
        <v>99</v>
      </c>
      <c r="B100" s="36">
        <v>2020</v>
      </c>
      <c r="C100" s="36" t="s">
        <v>952</v>
      </c>
      <c r="D100" s="36" t="str">
        <f t="shared" si="7"/>
        <v>gasoline vehicle</v>
      </c>
      <c r="E100" s="36" t="s">
        <v>951</v>
      </c>
      <c r="F100" s="36" t="s">
        <v>971</v>
      </c>
      <c r="G100" s="36" t="s">
        <v>972</v>
      </c>
      <c r="H100" s="36" t="str">
        <f t="shared" si="8"/>
        <v>公交车</v>
      </c>
      <c r="I100" s="36" t="str">
        <f t="shared" si="9"/>
        <v>Passenger HDV</v>
      </c>
      <c r="J100" s="36">
        <v>37</v>
      </c>
    </row>
    <row r="101" spans="1:10" x14ac:dyDescent="0.15">
      <c r="A101" s="36">
        <v>100</v>
      </c>
      <c r="B101" s="36">
        <v>2021</v>
      </c>
      <c r="C101" s="36" t="s">
        <v>952</v>
      </c>
      <c r="D101" s="36" t="str">
        <f t="shared" si="7"/>
        <v>gasoline vehicle</v>
      </c>
      <c r="E101" s="36" t="s">
        <v>951</v>
      </c>
      <c r="F101" s="36" t="s">
        <v>971</v>
      </c>
      <c r="G101" s="36" t="s">
        <v>972</v>
      </c>
      <c r="H101" s="36" t="str">
        <f t="shared" si="8"/>
        <v>公交车</v>
      </c>
      <c r="I101" s="36" t="str">
        <f t="shared" si="9"/>
        <v>Passenger HDV</v>
      </c>
      <c r="J101" s="36">
        <v>45</v>
      </c>
    </row>
    <row r="102" spans="1:10" x14ac:dyDescent="0.15">
      <c r="A102" s="36">
        <v>101</v>
      </c>
      <c r="B102" s="36">
        <v>2015</v>
      </c>
      <c r="C102" s="36" t="s">
        <v>956</v>
      </c>
      <c r="D102" s="36" t="str">
        <f t="shared" si="7"/>
        <v>natural gas vehicle</v>
      </c>
      <c r="E102" s="36" t="s">
        <v>951</v>
      </c>
      <c r="F102" s="36" t="s">
        <v>971</v>
      </c>
      <c r="G102" s="36" t="s">
        <v>972</v>
      </c>
      <c r="H102" s="36" t="str">
        <f t="shared" si="8"/>
        <v>公交车</v>
      </c>
      <c r="I102" s="36" t="str">
        <f t="shared" si="9"/>
        <v>Passenger HDV</v>
      </c>
      <c r="J102" s="36">
        <v>309</v>
      </c>
    </row>
    <row r="103" spans="1:10" x14ac:dyDescent="0.15">
      <c r="A103" s="36">
        <v>102</v>
      </c>
      <c r="B103" s="36">
        <v>2016</v>
      </c>
      <c r="C103" s="36" t="s">
        <v>956</v>
      </c>
      <c r="D103" s="36" t="str">
        <f t="shared" si="7"/>
        <v>natural gas vehicle</v>
      </c>
      <c r="E103" s="36" t="s">
        <v>951</v>
      </c>
      <c r="F103" s="36" t="s">
        <v>971</v>
      </c>
      <c r="G103" s="36" t="s">
        <v>972</v>
      </c>
      <c r="H103" s="36" t="str">
        <f t="shared" si="8"/>
        <v>公交车</v>
      </c>
      <c r="I103" s="36" t="str">
        <f t="shared" si="9"/>
        <v>Passenger HDV</v>
      </c>
      <c r="J103" s="36">
        <v>29</v>
      </c>
    </row>
    <row r="104" spans="1:10" x14ac:dyDescent="0.15">
      <c r="A104" s="36">
        <v>103</v>
      </c>
      <c r="B104" s="36">
        <v>2017</v>
      </c>
      <c r="C104" s="36" t="s">
        <v>956</v>
      </c>
      <c r="D104" s="36" t="str">
        <f t="shared" si="7"/>
        <v>natural gas vehicle</v>
      </c>
      <c r="E104" s="36" t="s">
        <v>951</v>
      </c>
      <c r="F104" s="36" t="s">
        <v>971</v>
      </c>
      <c r="G104" s="36" t="s">
        <v>972</v>
      </c>
      <c r="H104" s="36" t="str">
        <f t="shared" si="8"/>
        <v>公交车</v>
      </c>
      <c r="I104" s="36" t="str">
        <f t="shared" si="9"/>
        <v>Passenger HDV</v>
      </c>
      <c r="J104" s="36">
        <v>46</v>
      </c>
    </row>
    <row r="105" spans="1:10" x14ac:dyDescent="0.15">
      <c r="A105" s="36">
        <v>104</v>
      </c>
      <c r="B105" s="36">
        <v>2020</v>
      </c>
      <c r="C105" s="36" t="s">
        <v>956</v>
      </c>
      <c r="D105" s="36" t="str">
        <f t="shared" si="7"/>
        <v>natural gas vehicle</v>
      </c>
      <c r="E105" s="36" t="s">
        <v>951</v>
      </c>
      <c r="F105" s="36" t="s">
        <v>971</v>
      </c>
      <c r="G105" s="36" t="s">
        <v>972</v>
      </c>
      <c r="H105" s="36" t="str">
        <f t="shared" si="8"/>
        <v>公交车</v>
      </c>
      <c r="I105" s="36" t="str">
        <f t="shared" si="9"/>
        <v>Passenger HDV</v>
      </c>
      <c r="J105" s="36">
        <v>15</v>
      </c>
    </row>
    <row r="106" spans="1:10" x14ac:dyDescent="0.15">
      <c r="A106" s="36">
        <v>105</v>
      </c>
      <c r="B106" s="36">
        <v>2015</v>
      </c>
      <c r="C106" s="36" t="s">
        <v>955</v>
      </c>
      <c r="D106" s="36" t="str">
        <f t="shared" si="7"/>
        <v>natural gas vehicle</v>
      </c>
      <c r="E106" s="36" t="s">
        <v>951</v>
      </c>
      <c r="F106" s="36" t="s">
        <v>971</v>
      </c>
      <c r="G106" s="36" t="s">
        <v>972</v>
      </c>
      <c r="H106" s="36" t="str">
        <f t="shared" si="8"/>
        <v>公交车</v>
      </c>
      <c r="I106" s="36" t="str">
        <f t="shared" si="9"/>
        <v>Passenger HDV</v>
      </c>
      <c r="J106" s="36">
        <v>1141</v>
      </c>
    </row>
    <row r="107" spans="1:10" x14ac:dyDescent="0.15">
      <c r="A107" s="36">
        <v>106</v>
      </c>
      <c r="B107" s="36">
        <v>2016</v>
      </c>
      <c r="C107" s="36" t="s">
        <v>955</v>
      </c>
      <c r="D107" s="36" t="str">
        <f t="shared" si="7"/>
        <v>natural gas vehicle</v>
      </c>
      <c r="E107" s="36" t="s">
        <v>951</v>
      </c>
      <c r="F107" s="36" t="s">
        <v>971</v>
      </c>
      <c r="G107" s="36" t="s">
        <v>972</v>
      </c>
      <c r="H107" s="36" t="str">
        <f t="shared" si="8"/>
        <v>公交车</v>
      </c>
      <c r="I107" s="36" t="str">
        <f t="shared" si="9"/>
        <v>Passenger HDV</v>
      </c>
      <c r="J107" s="36">
        <v>804</v>
      </c>
    </row>
    <row r="108" spans="1:10" x14ac:dyDescent="0.15">
      <c r="A108" s="36">
        <v>107</v>
      </c>
      <c r="B108" s="36">
        <v>2017</v>
      </c>
      <c r="C108" s="36" t="s">
        <v>955</v>
      </c>
      <c r="D108" s="36" t="str">
        <f t="shared" si="7"/>
        <v>natural gas vehicle</v>
      </c>
      <c r="E108" s="36" t="s">
        <v>951</v>
      </c>
      <c r="F108" s="36" t="s">
        <v>971</v>
      </c>
      <c r="G108" s="36" t="s">
        <v>972</v>
      </c>
      <c r="H108" s="36" t="str">
        <f t="shared" si="8"/>
        <v>公交车</v>
      </c>
      <c r="I108" s="36" t="str">
        <f t="shared" si="9"/>
        <v>Passenger HDV</v>
      </c>
      <c r="J108" s="36">
        <v>397</v>
      </c>
    </row>
    <row r="109" spans="1:10" x14ac:dyDescent="0.15">
      <c r="A109" s="36">
        <v>108</v>
      </c>
      <c r="B109" s="36">
        <v>2018</v>
      </c>
      <c r="C109" s="36" t="s">
        <v>955</v>
      </c>
      <c r="D109" s="36" t="str">
        <f t="shared" si="7"/>
        <v>natural gas vehicle</v>
      </c>
      <c r="E109" s="36" t="s">
        <v>951</v>
      </c>
      <c r="F109" s="36" t="s">
        <v>971</v>
      </c>
      <c r="G109" s="36" t="s">
        <v>972</v>
      </c>
      <c r="H109" s="36" t="str">
        <f t="shared" si="8"/>
        <v>公交车</v>
      </c>
      <c r="I109" s="36" t="str">
        <f t="shared" si="9"/>
        <v>Passenger HDV</v>
      </c>
      <c r="J109" s="36">
        <v>45</v>
      </c>
    </row>
    <row r="110" spans="1:10" x14ac:dyDescent="0.15">
      <c r="A110" s="36">
        <v>109</v>
      </c>
      <c r="B110" s="36">
        <v>2019</v>
      </c>
      <c r="C110" s="36" t="s">
        <v>955</v>
      </c>
      <c r="D110" s="36" t="str">
        <f t="shared" si="7"/>
        <v>natural gas vehicle</v>
      </c>
      <c r="E110" s="36" t="s">
        <v>951</v>
      </c>
      <c r="F110" s="36" t="s">
        <v>971</v>
      </c>
      <c r="G110" s="36" t="s">
        <v>972</v>
      </c>
      <c r="H110" s="36" t="str">
        <f t="shared" si="8"/>
        <v>公交车</v>
      </c>
      <c r="I110" s="36" t="str">
        <f t="shared" si="9"/>
        <v>Passenger HDV</v>
      </c>
      <c r="J110" s="36">
        <v>55</v>
      </c>
    </row>
    <row r="111" spans="1:10" x14ac:dyDescent="0.15">
      <c r="A111" s="36">
        <v>110</v>
      </c>
      <c r="B111" s="36">
        <v>2017</v>
      </c>
      <c r="C111" s="36" t="s">
        <v>961</v>
      </c>
      <c r="D111" s="36" t="str">
        <f t="shared" si="7"/>
        <v>plugin hybrid vehicle</v>
      </c>
      <c r="E111" s="36" t="s">
        <v>973</v>
      </c>
      <c r="F111" s="36" t="s">
        <v>971</v>
      </c>
      <c r="G111" s="36" t="s">
        <v>972</v>
      </c>
      <c r="H111" s="36" t="str">
        <f t="shared" si="8"/>
        <v>公交车</v>
      </c>
      <c r="I111" s="36" t="str">
        <f t="shared" si="9"/>
        <v>Passenger HDV</v>
      </c>
      <c r="J111" s="36">
        <v>52</v>
      </c>
    </row>
    <row r="112" spans="1:10" x14ac:dyDescent="0.15">
      <c r="A112" s="36">
        <v>111</v>
      </c>
      <c r="B112" s="36">
        <v>2017</v>
      </c>
      <c r="C112" s="36" t="s">
        <v>953</v>
      </c>
      <c r="D112" s="36" t="str">
        <f t="shared" si="7"/>
        <v>diesel vehicle</v>
      </c>
      <c r="E112" s="36" t="s">
        <v>973</v>
      </c>
      <c r="F112" s="36" t="s">
        <v>971</v>
      </c>
      <c r="G112" s="36" t="s">
        <v>972</v>
      </c>
      <c r="H112" s="36" t="str">
        <f t="shared" si="8"/>
        <v>公交车</v>
      </c>
      <c r="I112" s="36" t="str">
        <f t="shared" si="9"/>
        <v>Passenger HDV</v>
      </c>
      <c r="J112" s="36">
        <v>1</v>
      </c>
    </row>
    <row r="113" spans="1:10" x14ac:dyDescent="0.15">
      <c r="A113" s="36">
        <v>112</v>
      </c>
      <c r="B113" s="36">
        <v>2017</v>
      </c>
      <c r="C113" s="36" t="s">
        <v>958</v>
      </c>
      <c r="D113" s="36" t="str">
        <f t="shared" si="7"/>
        <v>battery electric vehicle</v>
      </c>
      <c r="E113" s="36" t="s">
        <v>973</v>
      </c>
      <c r="F113" s="36" t="s">
        <v>971</v>
      </c>
      <c r="G113" s="36" t="s">
        <v>972</v>
      </c>
      <c r="H113" s="36" t="str">
        <f t="shared" si="8"/>
        <v>公交车</v>
      </c>
      <c r="I113" s="36" t="str">
        <f t="shared" si="9"/>
        <v>Passenger HDV</v>
      </c>
      <c r="J113" s="36">
        <v>1174</v>
      </c>
    </row>
    <row r="114" spans="1:10" x14ac:dyDescent="0.15">
      <c r="A114" s="36">
        <v>113</v>
      </c>
      <c r="B114" s="36">
        <v>2017</v>
      </c>
      <c r="C114" s="36" t="s">
        <v>957</v>
      </c>
      <c r="D114" s="36" t="str">
        <f t="shared" si="7"/>
        <v>hybrid fuel vehicle</v>
      </c>
      <c r="E114" s="36" t="s">
        <v>973</v>
      </c>
      <c r="F114" s="36" t="s">
        <v>971</v>
      </c>
      <c r="G114" s="36" t="s">
        <v>972</v>
      </c>
      <c r="H114" s="36" t="str">
        <f t="shared" si="8"/>
        <v>公交车</v>
      </c>
      <c r="I114" s="36" t="str">
        <f t="shared" si="9"/>
        <v>Passenger HDV</v>
      </c>
      <c r="J114" s="36">
        <v>120</v>
      </c>
    </row>
    <row r="115" spans="1:10" x14ac:dyDescent="0.15">
      <c r="A115" s="36">
        <v>114</v>
      </c>
      <c r="B115" s="36">
        <v>2017</v>
      </c>
      <c r="C115" s="36" t="s">
        <v>955</v>
      </c>
      <c r="D115" s="36" t="str">
        <f t="shared" si="7"/>
        <v>natural gas vehicle</v>
      </c>
      <c r="E115" s="36" t="s">
        <v>973</v>
      </c>
      <c r="F115" s="36" t="s">
        <v>971</v>
      </c>
      <c r="G115" s="36" t="s">
        <v>972</v>
      </c>
      <c r="H115" s="36" t="str">
        <f t="shared" si="8"/>
        <v>公交车</v>
      </c>
      <c r="I115" s="36" t="str">
        <f t="shared" si="9"/>
        <v>Passenger HDV</v>
      </c>
      <c r="J115" s="36">
        <v>340</v>
      </c>
    </row>
    <row r="116" spans="1:10" x14ac:dyDescent="0.15">
      <c r="A116" s="36">
        <v>115</v>
      </c>
      <c r="B116" s="36">
        <v>2015</v>
      </c>
      <c r="C116" s="36" t="s">
        <v>961</v>
      </c>
      <c r="D116" s="36" t="str">
        <f t="shared" si="7"/>
        <v>plugin hybrid vehicle</v>
      </c>
      <c r="E116" s="36" t="s">
        <v>969</v>
      </c>
      <c r="F116" s="36" t="s">
        <v>970</v>
      </c>
      <c r="G116" s="36" t="s">
        <v>972</v>
      </c>
      <c r="H116" s="36" t="str">
        <f t="shared" si="8"/>
        <v>道路客车</v>
      </c>
      <c r="I116" s="36" t="str">
        <f t="shared" si="9"/>
        <v>Passenger HDV</v>
      </c>
      <c r="J116" s="36">
        <v>31</v>
      </c>
    </row>
    <row r="117" spans="1:10" x14ac:dyDescent="0.15">
      <c r="A117" s="36">
        <v>116</v>
      </c>
      <c r="B117" s="36">
        <v>2016</v>
      </c>
      <c r="C117" s="36" t="s">
        <v>961</v>
      </c>
      <c r="D117" s="36" t="str">
        <f t="shared" si="7"/>
        <v>plugin hybrid vehicle</v>
      </c>
      <c r="E117" s="36" t="s">
        <v>969</v>
      </c>
      <c r="F117" s="36" t="s">
        <v>970</v>
      </c>
      <c r="G117" s="36" t="s">
        <v>972</v>
      </c>
      <c r="H117" s="36" t="str">
        <f t="shared" si="8"/>
        <v>道路客车</v>
      </c>
      <c r="I117" s="36" t="str">
        <f t="shared" si="9"/>
        <v>Passenger HDV</v>
      </c>
      <c r="J117" s="36">
        <v>15</v>
      </c>
    </row>
    <row r="118" spans="1:10" x14ac:dyDescent="0.15">
      <c r="A118" s="36">
        <v>117</v>
      </c>
      <c r="B118" s="36">
        <v>2020</v>
      </c>
      <c r="C118" s="36" t="s">
        <v>961</v>
      </c>
      <c r="D118" s="36" t="str">
        <f t="shared" si="7"/>
        <v>plugin hybrid vehicle</v>
      </c>
      <c r="E118" s="36" t="s">
        <v>969</v>
      </c>
      <c r="F118" s="36" t="s">
        <v>970</v>
      </c>
      <c r="G118" s="36" t="s">
        <v>972</v>
      </c>
      <c r="H118" s="36" t="str">
        <f t="shared" si="8"/>
        <v>道路客车</v>
      </c>
      <c r="I118" s="36" t="str">
        <f t="shared" si="9"/>
        <v>Passenger HDV</v>
      </c>
      <c r="J118" s="36">
        <v>1</v>
      </c>
    </row>
    <row r="119" spans="1:10" x14ac:dyDescent="0.15">
      <c r="A119" s="36">
        <v>118</v>
      </c>
      <c r="B119" s="36">
        <v>2015</v>
      </c>
      <c r="C119" s="36" t="s">
        <v>953</v>
      </c>
      <c r="D119" s="36" t="str">
        <f t="shared" si="7"/>
        <v>diesel vehicle</v>
      </c>
      <c r="E119" s="36" t="s">
        <v>969</v>
      </c>
      <c r="F119" s="36" t="s">
        <v>970</v>
      </c>
      <c r="G119" s="36" t="s">
        <v>972</v>
      </c>
      <c r="H119" s="36" t="str">
        <f t="shared" si="8"/>
        <v>道路客车</v>
      </c>
      <c r="I119" s="36" t="str">
        <f t="shared" si="9"/>
        <v>Passenger HDV</v>
      </c>
      <c r="J119" s="36">
        <v>790</v>
      </c>
    </row>
    <row r="120" spans="1:10" x14ac:dyDescent="0.15">
      <c r="A120" s="36">
        <v>119</v>
      </c>
      <c r="B120" s="36">
        <v>2016</v>
      </c>
      <c r="C120" s="36" t="s">
        <v>953</v>
      </c>
      <c r="D120" s="36" t="str">
        <f t="shared" si="7"/>
        <v>diesel vehicle</v>
      </c>
      <c r="E120" s="36" t="s">
        <v>969</v>
      </c>
      <c r="F120" s="36" t="s">
        <v>970</v>
      </c>
      <c r="G120" s="36" t="s">
        <v>972</v>
      </c>
      <c r="H120" s="36" t="str">
        <f t="shared" si="8"/>
        <v>道路客车</v>
      </c>
      <c r="I120" s="36" t="str">
        <f t="shared" si="9"/>
        <v>Passenger HDV</v>
      </c>
      <c r="J120" s="36">
        <v>1034</v>
      </c>
    </row>
    <row r="121" spans="1:10" x14ac:dyDescent="0.15">
      <c r="A121" s="36">
        <v>120</v>
      </c>
      <c r="B121" s="36">
        <v>2017</v>
      </c>
      <c r="C121" s="36" t="s">
        <v>953</v>
      </c>
      <c r="D121" s="36" t="str">
        <f t="shared" si="7"/>
        <v>diesel vehicle</v>
      </c>
      <c r="E121" s="36" t="s">
        <v>969</v>
      </c>
      <c r="F121" s="36" t="s">
        <v>970</v>
      </c>
      <c r="G121" s="36" t="s">
        <v>972</v>
      </c>
      <c r="H121" s="36" t="str">
        <f t="shared" si="8"/>
        <v>道路客车</v>
      </c>
      <c r="I121" s="36" t="str">
        <f t="shared" si="9"/>
        <v>Passenger HDV</v>
      </c>
      <c r="J121" s="36">
        <v>1483</v>
      </c>
    </row>
    <row r="122" spans="1:10" x14ac:dyDescent="0.15">
      <c r="A122" s="36">
        <v>121</v>
      </c>
      <c r="B122" s="36">
        <v>2018</v>
      </c>
      <c r="C122" s="36" t="s">
        <v>953</v>
      </c>
      <c r="D122" s="36" t="str">
        <f t="shared" si="7"/>
        <v>diesel vehicle</v>
      </c>
      <c r="E122" s="36" t="s">
        <v>969</v>
      </c>
      <c r="F122" s="36" t="s">
        <v>970</v>
      </c>
      <c r="G122" s="36" t="s">
        <v>972</v>
      </c>
      <c r="H122" s="36" t="str">
        <f t="shared" si="8"/>
        <v>道路客车</v>
      </c>
      <c r="I122" s="36" t="str">
        <f t="shared" si="9"/>
        <v>Passenger HDV</v>
      </c>
      <c r="J122" s="36">
        <v>621</v>
      </c>
    </row>
    <row r="123" spans="1:10" x14ac:dyDescent="0.15">
      <c r="A123" s="36">
        <v>122</v>
      </c>
      <c r="B123" s="36">
        <v>2019</v>
      </c>
      <c r="C123" s="36" t="s">
        <v>953</v>
      </c>
      <c r="D123" s="36" t="str">
        <f t="shared" si="7"/>
        <v>diesel vehicle</v>
      </c>
      <c r="E123" s="36" t="s">
        <v>969</v>
      </c>
      <c r="F123" s="36" t="s">
        <v>970</v>
      </c>
      <c r="G123" s="36" t="s">
        <v>972</v>
      </c>
      <c r="H123" s="36" t="str">
        <f t="shared" si="8"/>
        <v>道路客车</v>
      </c>
      <c r="I123" s="36" t="str">
        <f t="shared" si="9"/>
        <v>Passenger HDV</v>
      </c>
      <c r="J123" s="36">
        <v>544</v>
      </c>
    </row>
    <row r="124" spans="1:10" x14ac:dyDescent="0.15">
      <c r="A124" s="36">
        <v>123</v>
      </c>
      <c r="B124" s="36">
        <v>2020</v>
      </c>
      <c r="C124" s="36" t="s">
        <v>953</v>
      </c>
      <c r="D124" s="36" t="str">
        <f t="shared" si="7"/>
        <v>diesel vehicle</v>
      </c>
      <c r="E124" s="36" t="s">
        <v>969</v>
      </c>
      <c r="F124" s="36" t="s">
        <v>970</v>
      </c>
      <c r="G124" s="36" t="s">
        <v>972</v>
      </c>
      <c r="H124" s="36" t="str">
        <f t="shared" si="8"/>
        <v>道路客车</v>
      </c>
      <c r="I124" s="36" t="str">
        <f t="shared" si="9"/>
        <v>Passenger HDV</v>
      </c>
      <c r="J124" s="36">
        <v>228</v>
      </c>
    </row>
    <row r="125" spans="1:10" x14ac:dyDescent="0.15">
      <c r="A125" s="36">
        <v>124</v>
      </c>
      <c r="B125" s="36">
        <v>2021</v>
      </c>
      <c r="C125" s="36" t="s">
        <v>953</v>
      </c>
      <c r="D125" s="36" t="str">
        <f t="shared" si="7"/>
        <v>diesel vehicle</v>
      </c>
      <c r="E125" s="36" t="s">
        <v>969</v>
      </c>
      <c r="F125" s="36" t="s">
        <v>970</v>
      </c>
      <c r="G125" s="36" t="s">
        <v>972</v>
      </c>
      <c r="H125" s="36" t="str">
        <f t="shared" si="8"/>
        <v>道路客车</v>
      </c>
      <c r="I125" s="36" t="str">
        <f t="shared" si="9"/>
        <v>Passenger HDV</v>
      </c>
      <c r="J125" s="36">
        <v>216</v>
      </c>
    </row>
    <row r="126" spans="1:10" x14ac:dyDescent="0.15">
      <c r="A126" s="36">
        <v>125</v>
      </c>
      <c r="B126" s="36">
        <v>2015</v>
      </c>
      <c r="C126" s="36" t="s">
        <v>958</v>
      </c>
      <c r="D126" s="36" t="str">
        <f t="shared" si="7"/>
        <v>battery electric vehicle</v>
      </c>
      <c r="E126" s="36" t="s">
        <v>969</v>
      </c>
      <c r="F126" s="36" t="s">
        <v>970</v>
      </c>
      <c r="G126" s="36" t="s">
        <v>972</v>
      </c>
      <c r="H126" s="36" t="str">
        <f t="shared" si="8"/>
        <v>道路客车</v>
      </c>
      <c r="I126" s="36" t="str">
        <f t="shared" si="9"/>
        <v>Passenger HDV</v>
      </c>
      <c r="J126" s="36">
        <v>4611</v>
      </c>
    </row>
    <row r="127" spans="1:10" x14ac:dyDescent="0.15">
      <c r="A127" s="36">
        <v>126</v>
      </c>
      <c r="B127" s="36">
        <v>2016</v>
      </c>
      <c r="C127" s="36" t="s">
        <v>958</v>
      </c>
      <c r="D127" s="36" t="str">
        <f t="shared" si="7"/>
        <v>battery electric vehicle</v>
      </c>
      <c r="E127" s="36" t="s">
        <v>969</v>
      </c>
      <c r="F127" s="36" t="s">
        <v>970</v>
      </c>
      <c r="G127" s="36" t="s">
        <v>972</v>
      </c>
      <c r="H127" s="36" t="str">
        <f t="shared" si="8"/>
        <v>道路客车</v>
      </c>
      <c r="I127" s="36" t="str">
        <f t="shared" si="9"/>
        <v>Passenger HDV</v>
      </c>
      <c r="J127" s="36">
        <v>2577</v>
      </c>
    </row>
    <row r="128" spans="1:10" x14ac:dyDescent="0.15">
      <c r="A128" s="36">
        <v>127</v>
      </c>
      <c r="B128" s="36">
        <v>2017</v>
      </c>
      <c r="C128" s="36" t="s">
        <v>958</v>
      </c>
      <c r="D128" s="36" t="str">
        <f t="shared" si="7"/>
        <v>battery electric vehicle</v>
      </c>
      <c r="E128" s="36" t="s">
        <v>969</v>
      </c>
      <c r="F128" s="36" t="s">
        <v>970</v>
      </c>
      <c r="G128" s="36" t="s">
        <v>972</v>
      </c>
      <c r="H128" s="36" t="str">
        <f t="shared" si="8"/>
        <v>道路客车</v>
      </c>
      <c r="I128" s="36" t="str">
        <f t="shared" si="9"/>
        <v>Passenger HDV</v>
      </c>
      <c r="J128" s="36">
        <v>445</v>
      </c>
    </row>
    <row r="129" spans="1:10" x14ac:dyDescent="0.15">
      <c r="A129" s="36">
        <v>128</v>
      </c>
      <c r="B129" s="36">
        <v>2018</v>
      </c>
      <c r="C129" s="36" t="s">
        <v>958</v>
      </c>
      <c r="D129" s="36" t="str">
        <f t="shared" si="7"/>
        <v>battery electric vehicle</v>
      </c>
      <c r="E129" s="36" t="s">
        <v>969</v>
      </c>
      <c r="F129" s="36" t="s">
        <v>970</v>
      </c>
      <c r="G129" s="36" t="s">
        <v>972</v>
      </c>
      <c r="H129" s="36" t="str">
        <f t="shared" si="8"/>
        <v>道路客车</v>
      </c>
      <c r="I129" s="36" t="str">
        <f t="shared" si="9"/>
        <v>Passenger HDV</v>
      </c>
      <c r="J129" s="36">
        <v>199</v>
      </c>
    </row>
    <row r="130" spans="1:10" x14ac:dyDescent="0.15">
      <c r="A130" s="36">
        <v>129</v>
      </c>
      <c r="B130" s="36">
        <v>2019</v>
      </c>
      <c r="C130" s="36" t="s">
        <v>958</v>
      </c>
      <c r="D130" s="36" t="str">
        <f t="shared" ref="D130:D193" si="11">VLOOKUP(C130,M$3:N$16,2,FALSE)</f>
        <v>battery electric vehicle</v>
      </c>
      <c r="E130" s="36" t="s">
        <v>969</v>
      </c>
      <c r="F130" s="36" t="s">
        <v>970</v>
      </c>
      <c r="G130" s="36" t="s">
        <v>972</v>
      </c>
      <c r="H130" s="36" t="str">
        <f t="shared" ref="H130:H193" si="12">VLOOKUP(E130&amp;F130&amp;G130,$S$3:$U$68,2,FALSE)</f>
        <v>道路客车</v>
      </c>
      <c r="I130" s="36" t="str">
        <f t="shared" ref="I130:I193" si="13">VLOOKUP(E130&amp;F130&amp;G130,$S$3:$U$68,3,FALSE)</f>
        <v>Passenger HDV</v>
      </c>
      <c r="J130" s="36">
        <v>78</v>
      </c>
    </row>
    <row r="131" spans="1:10" x14ac:dyDescent="0.15">
      <c r="A131" s="36">
        <v>130</v>
      </c>
      <c r="B131" s="36">
        <v>2020</v>
      </c>
      <c r="C131" s="36" t="s">
        <v>958</v>
      </c>
      <c r="D131" s="36" t="str">
        <f t="shared" si="11"/>
        <v>battery electric vehicle</v>
      </c>
      <c r="E131" s="36" t="s">
        <v>969</v>
      </c>
      <c r="F131" s="36" t="s">
        <v>970</v>
      </c>
      <c r="G131" s="36" t="s">
        <v>972</v>
      </c>
      <c r="H131" s="36" t="str">
        <f t="shared" si="12"/>
        <v>道路客车</v>
      </c>
      <c r="I131" s="36" t="str">
        <f t="shared" si="13"/>
        <v>Passenger HDV</v>
      </c>
      <c r="J131" s="36">
        <v>45</v>
      </c>
    </row>
    <row r="132" spans="1:10" x14ac:dyDescent="0.15">
      <c r="A132" s="36">
        <v>131</v>
      </c>
      <c r="B132" s="36">
        <v>2021</v>
      </c>
      <c r="C132" s="36" t="s">
        <v>958</v>
      </c>
      <c r="D132" s="36" t="str">
        <f t="shared" si="11"/>
        <v>battery electric vehicle</v>
      </c>
      <c r="E132" s="36" t="s">
        <v>969</v>
      </c>
      <c r="F132" s="36" t="s">
        <v>970</v>
      </c>
      <c r="G132" s="36" t="s">
        <v>972</v>
      </c>
      <c r="H132" s="36" t="str">
        <f t="shared" si="12"/>
        <v>道路客车</v>
      </c>
      <c r="I132" s="36" t="str">
        <f t="shared" si="13"/>
        <v>Passenger HDV</v>
      </c>
      <c r="J132" s="36">
        <v>87</v>
      </c>
    </row>
    <row r="133" spans="1:10" x14ac:dyDescent="0.15">
      <c r="A133" s="36">
        <v>132</v>
      </c>
      <c r="B133" s="36">
        <v>2015</v>
      </c>
      <c r="C133" s="36" t="s">
        <v>952</v>
      </c>
      <c r="D133" s="36" t="str">
        <f t="shared" si="11"/>
        <v>gasoline vehicle</v>
      </c>
      <c r="E133" s="36" t="s">
        <v>969</v>
      </c>
      <c r="F133" s="36" t="s">
        <v>970</v>
      </c>
      <c r="G133" s="36" t="s">
        <v>972</v>
      </c>
      <c r="H133" s="36" t="str">
        <f t="shared" si="12"/>
        <v>道路客车</v>
      </c>
      <c r="I133" s="36" t="str">
        <f t="shared" si="13"/>
        <v>Passenger HDV</v>
      </c>
      <c r="J133" s="36">
        <v>37</v>
      </c>
    </row>
    <row r="134" spans="1:10" x14ac:dyDescent="0.15">
      <c r="A134" s="36">
        <v>133</v>
      </c>
      <c r="B134" s="36">
        <v>2016</v>
      </c>
      <c r="C134" s="36" t="s">
        <v>952</v>
      </c>
      <c r="D134" s="36" t="str">
        <f t="shared" si="11"/>
        <v>gasoline vehicle</v>
      </c>
      <c r="E134" s="36" t="s">
        <v>969</v>
      </c>
      <c r="F134" s="36" t="s">
        <v>970</v>
      </c>
      <c r="G134" s="36" t="s">
        <v>972</v>
      </c>
      <c r="H134" s="36" t="str">
        <f t="shared" si="12"/>
        <v>道路客车</v>
      </c>
      <c r="I134" s="36" t="str">
        <f t="shared" si="13"/>
        <v>Passenger HDV</v>
      </c>
      <c r="J134" s="36">
        <v>121</v>
      </c>
    </row>
    <row r="135" spans="1:10" x14ac:dyDescent="0.15">
      <c r="A135" s="36">
        <v>134</v>
      </c>
      <c r="B135" s="36">
        <v>2017</v>
      </c>
      <c r="C135" s="36" t="s">
        <v>952</v>
      </c>
      <c r="D135" s="36" t="str">
        <f t="shared" si="11"/>
        <v>gasoline vehicle</v>
      </c>
      <c r="E135" s="36" t="s">
        <v>969</v>
      </c>
      <c r="F135" s="36" t="s">
        <v>970</v>
      </c>
      <c r="G135" s="36" t="s">
        <v>972</v>
      </c>
      <c r="H135" s="36" t="str">
        <f t="shared" si="12"/>
        <v>道路客车</v>
      </c>
      <c r="I135" s="36" t="str">
        <f t="shared" si="13"/>
        <v>Passenger HDV</v>
      </c>
      <c r="J135" s="36">
        <v>254</v>
      </c>
    </row>
    <row r="136" spans="1:10" x14ac:dyDescent="0.15">
      <c r="A136" s="36">
        <v>135</v>
      </c>
      <c r="B136" s="36">
        <v>2018</v>
      </c>
      <c r="C136" s="36" t="s">
        <v>952</v>
      </c>
      <c r="D136" s="36" t="str">
        <f t="shared" si="11"/>
        <v>gasoline vehicle</v>
      </c>
      <c r="E136" s="36" t="s">
        <v>969</v>
      </c>
      <c r="F136" s="36" t="s">
        <v>970</v>
      </c>
      <c r="G136" s="36" t="s">
        <v>972</v>
      </c>
      <c r="H136" s="36" t="str">
        <f t="shared" si="12"/>
        <v>道路客车</v>
      </c>
      <c r="I136" s="36" t="str">
        <f t="shared" si="13"/>
        <v>Passenger HDV</v>
      </c>
      <c r="J136" s="36">
        <v>45</v>
      </c>
    </row>
    <row r="137" spans="1:10" x14ac:dyDescent="0.15">
      <c r="A137" s="36">
        <v>136</v>
      </c>
      <c r="B137" s="36">
        <v>2019</v>
      </c>
      <c r="C137" s="36" t="s">
        <v>952</v>
      </c>
      <c r="D137" s="36" t="str">
        <f t="shared" si="11"/>
        <v>gasoline vehicle</v>
      </c>
      <c r="E137" s="36" t="s">
        <v>969</v>
      </c>
      <c r="F137" s="36" t="s">
        <v>970</v>
      </c>
      <c r="G137" s="36" t="s">
        <v>972</v>
      </c>
      <c r="H137" s="36" t="str">
        <f t="shared" si="12"/>
        <v>道路客车</v>
      </c>
      <c r="I137" s="36" t="str">
        <f t="shared" si="13"/>
        <v>Passenger HDV</v>
      </c>
      <c r="J137" s="36">
        <v>105</v>
      </c>
    </row>
    <row r="138" spans="1:10" x14ac:dyDescent="0.15">
      <c r="A138" s="36">
        <v>137</v>
      </c>
      <c r="B138" s="36">
        <v>2020</v>
      </c>
      <c r="C138" s="36" t="s">
        <v>952</v>
      </c>
      <c r="D138" s="36" t="str">
        <f t="shared" si="11"/>
        <v>gasoline vehicle</v>
      </c>
      <c r="E138" s="36" t="s">
        <v>969</v>
      </c>
      <c r="F138" s="36" t="s">
        <v>970</v>
      </c>
      <c r="G138" s="36" t="s">
        <v>972</v>
      </c>
      <c r="H138" s="36" t="str">
        <f t="shared" si="12"/>
        <v>道路客车</v>
      </c>
      <c r="I138" s="36" t="str">
        <f t="shared" si="13"/>
        <v>Passenger HDV</v>
      </c>
      <c r="J138" s="36">
        <v>23</v>
      </c>
    </row>
    <row r="139" spans="1:10" x14ac:dyDescent="0.15">
      <c r="A139" s="36">
        <v>138</v>
      </c>
      <c r="B139" s="36">
        <v>2021</v>
      </c>
      <c r="C139" s="36" t="s">
        <v>952</v>
      </c>
      <c r="D139" s="36" t="str">
        <f t="shared" si="11"/>
        <v>gasoline vehicle</v>
      </c>
      <c r="E139" s="36" t="s">
        <v>969</v>
      </c>
      <c r="F139" s="36" t="s">
        <v>970</v>
      </c>
      <c r="G139" s="36" t="s">
        <v>972</v>
      </c>
      <c r="H139" s="36" t="str">
        <f t="shared" si="12"/>
        <v>道路客车</v>
      </c>
      <c r="I139" s="36" t="str">
        <f t="shared" si="13"/>
        <v>Passenger HDV</v>
      </c>
      <c r="J139" s="36">
        <v>42</v>
      </c>
    </row>
    <row r="140" spans="1:10" x14ac:dyDescent="0.15">
      <c r="A140" s="36">
        <v>139</v>
      </c>
      <c r="B140" s="36">
        <v>2016</v>
      </c>
      <c r="C140" s="36" t="s">
        <v>956</v>
      </c>
      <c r="D140" s="36" t="str">
        <f t="shared" si="11"/>
        <v>natural gas vehicle</v>
      </c>
      <c r="E140" s="36" t="s">
        <v>969</v>
      </c>
      <c r="F140" s="36" t="s">
        <v>970</v>
      </c>
      <c r="G140" s="36" t="s">
        <v>972</v>
      </c>
      <c r="H140" s="36" t="str">
        <f t="shared" si="12"/>
        <v>道路客车</v>
      </c>
      <c r="I140" s="36" t="str">
        <f t="shared" si="13"/>
        <v>Passenger HDV</v>
      </c>
      <c r="J140" s="36">
        <v>5</v>
      </c>
    </row>
    <row r="141" spans="1:10" x14ac:dyDescent="0.15">
      <c r="A141" s="36">
        <v>140</v>
      </c>
      <c r="B141" s="36">
        <v>2020</v>
      </c>
      <c r="C141" s="36" t="s">
        <v>966</v>
      </c>
      <c r="D141" s="36" t="str">
        <f t="shared" si="11"/>
        <v>hydrogen vehicle</v>
      </c>
      <c r="E141" s="36" t="s">
        <v>969</v>
      </c>
      <c r="F141" s="36" t="s">
        <v>970</v>
      </c>
      <c r="G141" s="36" t="s">
        <v>972</v>
      </c>
      <c r="H141" s="36" t="str">
        <f t="shared" si="12"/>
        <v>道路客车</v>
      </c>
      <c r="I141" s="36" t="str">
        <f t="shared" si="13"/>
        <v>Passenger HDV</v>
      </c>
      <c r="J141" s="36">
        <v>10</v>
      </c>
    </row>
    <row r="142" spans="1:10" x14ac:dyDescent="0.15">
      <c r="A142" s="36">
        <v>141</v>
      </c>
      <c r="B142" s="36">
        <v>2021</v>
      </c>
      <c r="C142" s="36" t="s">
        <v>966</v>
      </c>
      <c r="D142" s="36" t="str">
        <f t="shared" si="11"/>
        <v>hydrogen vehicle</v>
      </c>
      <c r="E142" s="36" t="s">
        <v>969</v>
      </c>
      <c r="F142" s="36" t="s">
        <v>970</v>
      </c>
      <c r="G142" s="36" t="s">
        <v>972</v>
      </c>
      <c r="H142" s="36" t="str">
        <f t="shared" si="12"/>
        <v>道路客车</v>
      </c>
      <c r="I142" s="36" t="str">
        <f t="shared" si="13"/>
        <v>Passenger HDV</v>
      </c>
      <c r="J142" s="36">
        <v>20</v>
      </c>
    </row>
    <row r="143" spans="1:10" x14ac:dyDescent="0.15">
      <c r="A143" s="36">
        <v>142</v>
      </c>
      <c r="B143" s="36">
        <v>2015</v>
      </c>
      <c r="C143" s="36" t="s">
        <v>955</v>
      </c>
      <c r="D143" s="36" t="str">
        <f t="shared" si="11"/>
        <v>natural gas vehicle</v>
      </c>
      <c r="E143" s="36" t="s">
        <v>969</v>
      </c>
      <c r="F143" s="36" t="s">
        <v>970</v>
      </c>
      <c r="G143" s="36" t="s">
        <v>972</v>
      </c>
      <c r="H143" s="36" t="str">
        <f t="shared" si="12"/>
        <v>道路客车</v>
      </c>
      <c r="I143" s="36" t="str">
        <f t="shared" si="13"/>
        <v>Passenger HDV</v>
      </c>
      <c r="J143" s="36">
        <v>48</v>
      </c>
    </row>
    <row r="144" spans="1:10" x14ac:dyDescent="0.15">
      <c r="A144" s="36">
        <v>143</v>
      </c>
      <c r="B144" s="36">
        <v>2016</v>
      </c>
      <c r="C144" s="36" t="s">
        <v>955</v>
      </c>
      <c r="D144" s="36" t="str">
        <f t="shared" si="11"/>
        <v>natural gas vehicle</v>
      </c>
      <c r="E144" s="36" t="s">
        <v>969</v>
      </c>
      <c r="F144" s="36" t="s">
        <v>970</v>
      </c>
      <c r="G144" s="36" t="s">
        <v>972</v>
      </c>
      <c r="H144" s="36" t="str">
        <f t="shared" si="12"/>
        <v>道路客车</v>
      </c>
      <c r="I144" s="36" t="str">
        <f t="shared" si="13"/>
        <v>Passenger HDV</v>
      </c>
      <c r="J144" s="36">
        <v>8</v>
      </c>
    </row>
    <row r="145" spans="1:10" x14ac:dyDescent="0.15">
      <c r="A145" s="36">
        <v>144</v>
      </c>
      <c r="B145" s="36">
        <v>2017</v>
      </c>
      <c r="C145" s="36" t="s">
        <v>955</v>
      </c>
      <c r="D145" s="36" t="str">
        <f t="shared" si="11"/>
        <v>natural gas vehicle</v>
      </c>
      <c r="E145" s="36" t="s">
        <v>969</v>
      </c>
      <c r="F145" s="36" t="s">
        <v>970</v>
      </c>
      <c r="G145" s="36" t="s">
        <v>972</v>
      </c>
      <c r="H145" s="36" t="str">
        <f t="shared" si="12"/>
        <v>道路客车</v>
      </c>
      <c r="I145" s="36" t="str">
        <f t="shared" si="13"/>
        <v>Passenger HDV</v>
      </c>
      <c r="J145" s="36">
        <v>6</v>
      </c>
    </row>
    <row r="146" spans="1:10" x14ac:dyDescent="0.15">
      <c r="A146" s="36">
        <v>145</v>
      </c>
      <c r="B146" s="36">
        <v>2018</v>
      </c>
      <c r="C146" s="36" t="s">
        <v>955</v>
      </c>
      <c r="D146" s="36" t="str">
        <f t="shared" si="11"/>
        <v>natural gas vehicle</v>
      </c>
      <c r="E146" s="36" t="s">
        <v>969</v>
      </c>
      <c r="F146" s="36" t="s">
        <v>970</v>
      </c>
      <c r="G146" s="36" t="s">
        <v>972</v>
      </c>
      <c r="H146" s="36" t="str">
        <f t="shared" si="12"/>
        <v>道路客车</v>
      </c>
      <c r="I146" s="36" t="str">
        <f t="shared" si="13"/>
        <v>Passenger HDV</v>
      </c>
      <c r="J146" s="36">
        <v>29</v>
      </c>
    </row>
    <row r="147" spans="1:10" x14ac:dyDescent="0.15">
      <c r="A147" s="36">
        <v>146</v>
      </c>
      <c r="B147" s="36">
        <v>2015</v>
      </c>
      <c r="C147" s="36" t="s">
        <v>953</v>
      </c>
      <c r="D147" s="36" t="str">
        <f t="shared" si="11"/>
        <v>diesel vehicle</v>
      </c>
      <c r="E147" s="36" t="s">
        <v>979</v>
      </c>
      <c r="F147" s="36" t="s">
        <v>970</v>
      </c>
      <c r="G147" s="36" t="s">
        <v>972</v>
      </c>
      <c r="H147" s="36" t="str">
        <f t="shared" si="12"/>
        <v>轻型货车</v>
      </c>
      <c r="I147" s="36" t="str">
        <f t="shared" si="13"/>
        <v>Freight LDV</v>
      </c>
      <c r="J147" s="36">
        <v>103</v>
      </c>
    </row>
    <row r="148" spans="1:10" x14ac:dyDescent="0.15">
      <c r="A148" s="36">
        <v>147</v>
      </c>
      <c r="B148" s="36">
        <v>2016</v>
      </c>
      <c r="C148" s="36" t="s">
        <v>953</v>
      </c>
      <c r="D148" s="36" t="str">
        <f t="shared" si="11"/>
        <v>diesel vehicle</v>
      </c>
      <c r="E148" s="36" t="s">
        <v>979</v>
      </c>
      <c r="F148" s="36" t="s">
        <v>970</v>
      </c>
      <c r="G148" s="36" t="s">
        <v>972</v>
      </c>
      <c r="H148" s="36" t="str">
        <f t="shared" si="12"/>
        <v>轻型货车</v>
      </c>
      <c r="I148" s="36" t="str">
        <f t="shared" si="13"/>
        <v>Freight LDV</v>
      </c>
      <c r="J148" s="36">
        <v>19</v>
      </c>
    </row>
    <row r="149" spans="1:10" x14ac:dyDescent="0.15">
      <c r="A149" s="36">
        <v>148</v>
      </c>
      <c r="B149" s="36">
        <v>2017</v>
      </c>
      <c r="C149" s="36" t="s">
        <v>953</v>
      </c>
      <c r="D149" s="36" t="str">
        <f t="shared" si="11"/>
        <v>diesel vehicle</v>
      </c>
      <c r="E149" s="36" t="s">
        <v>979</v>
      </c>
      <c r="F149" s="36" t="s">
        <v>970</v>
      </c>
      <c r="G149" s="36" t="s">
        <v>972</v>
      </c>
      <c r="H149" s="36" t="str">
        <f t="shared" si="12"/>
        <v>轻型货车</v>
      </c>
      <c r="I149" s="36" t="str">
        <f t="shared" si="13"/>
        <v>Freight LDV</v>
      </c>
      <c r="J149" s="36">
        <v>5</v>
      </c>
    </row>
    <row r="150" spans="1:10" x14ac:dyDescent="0.15">
      <c r="A150" s="36">
        <v>149</v>
      </c>
      <c r="B150" s="36">
        <v>2018</v>
      </c>
      <c r="C150" s="36" t="s">
        <v>953</v>
      </c>
      <c r="D150" s="36" t="str">
        <f t="shared" si="11"/>
        <v>diesel vehicle</v>
      </c>
      <c r="E150" s="36" t="s">
        <v>979</v>
      </c>
      <c r="F150" s="36" t="s">
        <v>970</v>
      </c>
      <c r="G150" s="36" t="s">
        <v>972</v>
      </c>
      <c r="H150" s="36" t="str">
        <f t="shared" si="12"/>
        <v>轻型货车</v>
      </c>
      <c r="I150" s="36" t="str">
        <f t="shared" si="13"/>
        <v>Freight LDV</v>
      </c>
      <c r="J150" s="36">
        <v>19</v>
      </c>
    </row>
    <row r="151" spans="1:10" x14ac:dyDescent="0.15">
      <c r="A151" s="36">
        <v>150</v>
      </c>
      <c r="B151" s="36">
        <v>2019</v>
      </c>
      <c r="C151" s="36" t="s">
        <v>953</v>
      </c>
      <c r="D151" s="36" t="str">
        <f t="shared" si="11"/>
        <v>diesel vehicle</v>
      </c>
      <c r="E151" s="36" t="s">
        <v>979</v>
      </c>
      <c r="F151" s="36" t="s">
        <v>970</v>
      </c>
      <c r="G151" s="36" t="s">
        <v>972</v>
      </c>
      <c r="H151" s="36" t="str">
        <f t="shared" si="12"/>
        <v>轻型货车</v>
      </c>
      <c r="I151" s="36" t="str">
        <f t="shared" si="13"/>
        <v>Freight LDV</v>
      </c>
      <c r="J151" s="36">
        <v>42</v>
      </c>
    </row>
    <row r="152" spans="1:10" x14ac:dyDescent="0.15">
      <c r="A152" s="36">
        <v>151</v>
      </c>
      <c r="B152" s="36">
        <v>2020</v>
      </c>
      <c r="C152" s="36" t="s">
        <v>953</v>
      </c>
      <c r="D152" s="36" t="str">
        <f t="shared" si="11"/>
        <v>diesel vehicle</v>
      </c>
      <c r="E152" s="36" t="s">
        <v>979</v>
      </c>
      <c r="F152" s="36" t="s">
        <v>970</v>
      </c>
      <c r="G152" s="36" t="s">
        <v>972</v>
      </c>
      <c r="H152" s="36" t="str">
        <f t="shared" si="12"/>
        <v>轻型货车</v>
      </c>
      <c r="I152" s="36" t="str">
        <f t="shared" si="13"/>
        <v>Freight LDV</v>
      </c>
      <c r="J152" s="36">
        <v>20</v>
      </c>
    </row>
    <row r="153" spans="1:10" x14ac:dyDescent="0.15">
      <c r="A153" s="36">
        <v>152</v>
      </c>
      <c r="B153" s="36">
        <v>2021</v>
      </c>
      <c r="C153" s="36" t="s">
        <v>953</v>
      </c>
      <c r="D153" s="36" t="str">
        <f t="shared" si="11"/>
        <v>diesel vehicle</v>
      </c>
      <c r="E153" s="36" t="s">
        <v>979</v>
      </c>
      <c r="F153" s="36" t="s">
        <v>970</v>
      </c>
      <c r="G153" s="36" t="s">
        <v>972</v>
      </c>
      <c r="H153" s="36" t="str">
        <f t="shared" si="12"/>
        <v>轻型货车</v>
      </c>
      <c r="I153" s="36" t="str">
        <f t="shared" si="13"/>
        <v>Freight LDV</v>
      </c>
      <c r="J153" s="36">
        <v>10</v>
      </c>
    </row>
    <row r="154" spans="1:10" x14ac:dyDescent="0.15">
      <c r="A154" s="36">
        <v>153</v>
      </c>
      <c r="B154" s="36">
        <v>2015</v>
      </c>
      <c r="C154" s="36" t="s">
        <v>958</v>
      </c>
      <c r="D154" s="36" t="str">
        <f t="shared" si="11"/>
        <v>battery electric vehicle</v>
      </c>
      <c r="E154" s="36" t="s">
        <v>979</v>
      </c>
      <c r="F154" s="36" t="s">
        <v>970</v>
      </c>
      <c r="G154" s="36" t="s">
        <v>972</v>
      </c>
      <c r="H154" s="36" t="str">
        <f t="shared" si="12"/>
        <v>轻型货车</v>
      </c>
      <c r="I154" s="36" t="str">
        <f t="shared" si="13"/>
        <v>Freight LDV</v>
      </c>
      <c r="J154" s="36">
        <v>283</v>
      </c>
    </row>
    <row r="155" spans="1:10" x14ac:dyDescent="0.15">
      <c r="A155" s="36">
        <v>154</v>
      </c>
      <c r="B155" s="36">
        <v>2018</v>
      </c>
      <c r="C155" s="36" t="s">
        <v>958</v>
      </c>
      <c r="D155" s="36" t="str">
        <f t="shared" si="11"/>
        <v>battery electric vehicle</v>
      </c>
      <c r="E155" s="36" t="s">
        <v>979</v>
      </c>
      <c r="F155" s="36" t="s">
        <v>970</v>
      </c>
      <c r="G155" s="36" t="s">
        <v>972</v>
      </c>
      <c r="H155" s="36" t="str">
        <f t="shared" si="12"/>
        <v>轻型货车</v>
      </c>
      <c r="I155" s="36" t="str">
        <f t="shared" si="13"/>
        <v>Freight LDV</v>
      </c>
      <c r="J155" s="36">
        <v>1</v>
      </c>
    </row>
    <row r="156" spans="1:10" x14ac:dyDescent="0.15">
      <c r="A156" s="36">
        <v>155</v>
      </c>
      <c r="B156" s="36">
        <v>2015</v>
      </c>
      <c r="C156" s="36" t="s">
        <v>952</v>
      </c>
      <c r="D156" s="36" t="str">
        <f t="shared" si="11"/>
        <v>gasoline vehicle</v>
      </c>
      <c r="E156" s="36" t="s">
        <v>979</v>
      </c>
      <c r="F156" s="36" t="s">
        <v>970</v>
      </c>
      <c r="G156" s="36" t="s">
        <v>972</v>
      </c>
      <c r="H156" s="36" t="str">
        <f t="shared" si="12"/>
        <v>轻型货车</v>
      </c>
      <c r="I156" s="36" t="str">
        <f t="shared" si="13"/>
        <v>Freight LDV</v>
      </c>
      <c r="J156" s="36">
        <v>51</v>
      </c>
    </row>
    <row r="157" spans="1:10" x14ac:dyDescent="0.15">
      <c r="A157" s="36">
        <v>156</v>
      </c>
      <c r="B157" s="36">
        <v>2016</v>
      </c>
      <c r="C157" s="36" t="s">
        <v>952</v>
      </c>
      <c r="D157" s="36" t="str">
        <f t="shared" si="11"/>
        <v>gasoline vehicle</v>
      </c>
      <c r="E157" s="36" t="s">
        <v>979</v>
      </c>
      <c r="F157" s="36" t="s">
        <v>970</v>
      </c>
      <c r="G157" s="36" t="s">
        <v>972</v>
      </c>
      <c r="H157" s="36" t="str">
        <f t="shared" si="12"/>
        <v>轻型货车</v>
      </c>
      <c r="I157" s="36" t="str">
        <f t="shared" si="13"/>
        <v>Freight LDV</v>
      </c>
      <c r="J157" s="36">
        <v>1</v>
      </c>
    </row>
    <row r="158" spans="1:10" x14ac:dyDescent="0.15">
      <c r="A158" s="36">
        <v>157</v>
      </c>
      <c r="B158" s="36">
        <v>2017</v>
      </c>
      <c r="C158" s="36" t="s">
        <v>952</v>
      </c>
      <c r="D158" s="36" t="str">
        <f t="shared" si="11"/>
        <v>gasoline vehicle</v>
      </c>
      <c r="E158" s="36" t="s">
        <v>979</v>
      </c>
      <c r="F158" s="36" t="s">
        <v>970</v>
      </c>
      <c r="G158" s="36" t="s">
        <v>972</v>
      </c>
      <c r="H158" s="36" t="str">
        <f t="shared" si="12"/>
        <v>轻型货车</v>
      </c>
      <c r="I158" s="36" t="str">
        <f t="shared" si="13"/>
        <v>Freight LDV</v>
      </c>
      <c r="J158" s="36">
        <v>15</v>
      </c>
    </row>
    <row r="159" spans="1:10" x14ac:dyDescent="0.15">
      <c r="A159" s="36">
        <v>158</v>
      </c>
      <c r="B159" s="36">
        <v>2018</v>
      </c>
      <c r="C159" s="36" t="s">
        <v>952</v>
      </c>
      <c r="D159" s="36" t="str">
        <f t="shared" si="11"/>
        <v>gasoline vehicle</v>
      </c>
      <c r="E159" s="36" t="s">
        <v>979</v>
      </c>
      <c r="F159" s="36" t="s">
        <v>970</v>
      </c>
      <c r="G159" s="36" t="s">
        <v>972</v>
      </c>
      <c r="H159" s="36" t="str">
        <f t="shared" si="12"/>
        <v>轻型货车</v>
      </c>
      <c r="I159" s="36" t="str">
        <f t="shared" si="13"/>
        <v>Freight LDV</v>
      </c>
      <c r="J159" s="36">
        <v>2</v>
      </c>
    </row>
    <row r="160" spans="1:10" x14ac:dyDescent="0.15">
      <c r="A160" s="36">
        <v>159</v>
      </c>
      <c r="B160" s="36">
        <v>2019</v>
      </c>
      <c r="C160" s="36" t="s">
        <v>952</v>
      </c>
      <c r="D160" s="36" t="str">
        <f t="shared" si="11"/>
        <v>gasoline vehicle</v>
      </c>
      <c r="E160" s="36" t="s">
        <v>979</v>
      </c>
      <c r="F160" s="36" t="s">
        <v>970</v>
      </c>
      <c r="G160" s="36" t="s">
        <v>972</v>
      </c>
      <c r="H160" s="36" t="str">
        <f t="shared" si="12"/>
        <v>轻型货车</v>
      </c>
      <c r="I160" s="36" t="str">
        <f t="shared" si="13"/>
        <v>Freight LDV</v>
      </c>
      <c r="J160" s="36">
        <v>8</v>
      </c>
    </row>
    <row r="161" spans="1:10" x14ac:dyDescent="0.15">
      <c r="A161" s="36">
        <v>160</v>
      </c>
      <c r="B161" s="36">
        <v>2020</v>
      </c>
      <c r="C161" s="36" t="s">
        <v>952</v>
      </c>
      <c r="D161" s="36" t="str">
        <f t="shared" si="11"/>
        <v>gasoline vehicle</v>
      </c>
      <c r="E161" s="36" t="s">
        <v>979</v>
      </c>
      <c r="F161" s="36" t="s">
        <v>970</v>
      </c>
      <c r="G161" s="36" t="s">
        <v>972</v>
      </c>
      <c r="H161" s="36" t="str">
        <f t="shared" si="12"/>
        <v>轻型货车</v>
      </c>
      <c r="I161" s="36" t="str">
        <f t="shared" si="13"/>
        <v>Freight LDV</v>
      </c>
      <c r="J161" s="36">
        <v>4</v>
      </c>
    </row>
    <row r="162" spans="1:10" x14ac:dyDescent="0.15">
      <c r="A162" s="36">
        <v>161</v>
      </c>
      <c r="B162" s="36">
        <v>2021</v>
      </c>
      <c r="C162" s="36" t="s">
        <v>952</v>
      </c>
      <c r="D162" s="36" t="str">
        <f t="shared" si="11"/>
        <v>gasoline vehicle</v>
      </c>
      <c r="E162" s="36" t="s">
        <v>979</v>
      </c>
      <c r="F162" s="36" t="s">
        <v>970</v>
      </c>
      <c r="G162" s="36" t="s">
        <v>972</v>
      </c>
      <c r="H162" s="36" t="str">
        <f t="shared" si="12"/>
        <v>轻型货车</v>
      </c>
      <c r="I162" s="36" t="str">
        <f t="shared" si="13"/>
        <v>Freight LDV</v>
      </c>
      <c r="J162" s="36">
        <v>2</v>
      </c>
    </row>
    <row r="163" spans="1:10" x14ac:dyDescent="0.15">
      <c r="A163" s="36">
        <v>162</v>
      </c>
      <c r="B163" s="36">
        <v>2015</v>
      </c>
      <c r="C163" s="36" t="s">
        <v>956</v>
      </c>
      <c r="D163" s="36" t="str">
        <f t="shared" si="11"/>
        <v>natural gas vehicle</v>
      </c>
      <c r="E163" s="36" t="s">
        <v>979</v>
      </c>
      <c r="F163" s="36" t="s">
        <v>970</v>
      </c>
      <c r="G163" s="36" t="s">
        <v>972</v>
      </c>
      <c r="H163" s="36" t="str">
        <f t="shared" si="12"/>
        <v>轻型货车</v>
      </c>
      <c r="I163" s="36" t="str">
        <f t="shared" si="13"/>
        <v>Freight LDV</v>
      </c>
      <c r="J163" s="36">
        <v>1</v>
      </c>
    </row>
    <row r="164" spans="1:10" x14ac:dyDescent="0.15">
      <c r="A164" s="36">
        <v>163</v>
      </c>
      <c r="B164" s="36">
        <v>2015</v>
      </c>
      <c r="C164" s="36" t="s">
        <v>953</v>
      </c>
      <c r="D164" s="36" t="str">
        <f t="shared" si="11"/>
        <v>diesel vehicle</v>
      </c>
      <c r="E164" s="36" t="s">
        <v>960</v>
      </c>
      <c r="F164" s="36" t="s">
        <v>970</v>
      </c>
      <c r="G164" s="36" t="s">
        <v>972</v>
      </c>
      <c r="H164" s="36" t="str">
        <f t="shared" si="12"/>
        <v>道路客车</v>
      </c>
      <c r="I164" s="36" t="str">
        <f t="shared" si="13"/>
        <v>Passenger HDV</v>
      </c>
      <c r="J164" s="36">
        <v>54</v>
      </c>
    </row>
    <row r="165" spans="1:10" x14ac:dyDescent="0.15">
      <c r="A165" s="36">
        <v>164</v>
      </c>
      <c r="B165" s="36">
        <v>2015</v>
      </c>
      <c r="C165" s="36" t="s">
        <v>958</v>
      </c>
      <c r="D165" s="36" t="str">
        <f t="shared" si="11"/>
        <v>battery electric vehicle</v>
      </c>
      <c r="E165" s="36" t="s">
        <v>960</v>
      </c>
      <c r="F165" s="36" t="s">
        <v>970</v>
      </c>
      <c r="G165" s="36" t="s">
        <v>972</v>
      </c>
      <c r="H165" s="36" t="str">
        <f t="shared" si="12"/>
        <v>道路客车</v>
      </c>
      <c r="I165" s="36" t="str">
        <f t="shared" si="13"/>
        <v>Passenger HDV</v>
      </c>
      <c r="J165" s="36">
        <v>2</v>
      </c>
    </row>
    <row r="166" spans="1:10" x14ac:dyDescent="0.15">
      <c r="A166" s="36">
        <v>165</v>
      </c>
      <c r="B166" s="36">
        <v>2015</v>
      </c>
      <c r="C166" s="36" t="s">
        <v>952</v>
      </c>
      <c r="D166" s="36" t="str">
        <f t="shared" si="11"/>
        <v>gasoline vehicle</v>
      </c>
      <c r="E166" s="36" t="s">
        <v>960</v>
      </c>
      <c r="F166" s="36" t="s">
        <v>970</v>
      </c>
      <c r="G166" s="36" t="s">
        <v>972</v>
      </c>
      <c r="H166" s="36" t="str">
        <f t="shared" si="12"/>
        <v>道路客车</v>
      </c>
      <c r="I166" s="36" t="str">
        <f t="shared" si="13"/>
        <v>Passenger HDV</v>
      </c>
      <c r="J166" s="36">
        <v>1124</v>
      </c>
    </row>
    <row r="167" spans="1:10" x14ac:dyDescent="0.15">
      <c r="A167" s="36">
        <v>166</v>
      </c>
      <c r="B167" s="36">
        <v>2015</v>
      </c>
      <c r="C167" s="36" t="s">
        <v>956</v>
      </c>
      <c r="D167" s="36" t="str">
        <f t="shared" si="11"/>
        <v>natural gas vehicle</v>
      </c>
      <c r="E167" s="36" t="s">
        <v>960</v>
      </c>
      <c r="F167" s="36" t="s">
        <v>970</v>
      </c>
      <c r="G167" s="36" t="s">
        <v>972</v>
      </c>
      <c r="H167" s="36" t="str">
        <f t="shared" si="12"/>
        <v>道路客车</v>
      </c>
      <c r="I167" s="36" t="str">
        <f t="shared" si="13"/>
        <v>Passenger HDV</v>
      </c>
      <c r="J167" s="36">
        <v>1</v>
      </c>
    </row>
    <row r="168" spans="1:10" x14ac:dyDescent="0.15">
      <c r="A168" s="36">
        <v>167</v>
      </c>
      <c r="B168" s="36">
        <v>2015</v>
      </c>
      <c r="C168" s="36" t="s">
        <v>977</v>
      </c>
      <c r="D168" s="36" t="str">
        <f t="shared" si="11"/>
        <v>unknown</v>
      </c>
      <c r="E168" s="36" t="s">
        <v>960</v>
      </c>
      <c r="F168" s="36" t="s">
        <v>970</v>
      </c>
      <c r="G168" s="36" t="s">
        <v>972</v>
      </c>
      <c r="H168" s="36" t="str">
        <f t="shared" si="12"/>
        <v>道路客车</v>
      </c>
      <c r="I168" s="36" t="str">
        <f t="shared" si="13"/>
        <v>Passenger HDV</v>
      </c>
      <c r="J168" s="36">
        <v>38</v>
      </c>
    </row>
    <row r="169" spans="1:10" x14ac:dyDescent="0.15">
      <c r="A169" s="36">
        <v>168</v>
      </c>
      <c r="B169" s="36">
        <v>2015</v>
      </c>
      <c r="C169" s="36" t="s">
        <v>953</v>
      </c>
      <c r="D169" s="36" t="str">
        <f t="shared" si="11"/>
        <v>diesel vehicle</v>
      </c>
      <c r="E169" s="36" t="s">
        <v>954</v>
      </c>
      <c r="F169" s="36" t="s">
        <v>970</v>
      </c>
      <c r="G169" s="36" t="s">
        <v>972</v>
      </c>
      <c r="H169" s="36" t="str">
        <f t="shared" si="12"/>
        <v>出租车</v>
      </c>
      <c r="I169" s="36" t="str">
        <f t="shared" si="13"/>
        <v>Passenger LDV</v>
      </c>
      <c r="J169" s="36">
        <v>96</v>
      </c>
    </row>
    <row r="170" spans="1:10" x14ac:dyDescent="0.15">
      <c r="A170" s="36">
        <v>169</v>
      </c>
      <c r="B170" s="36">
        <v>2016</v>
      </c>
      <c r="C170" s="36" t="s">
        <v>953</v>
      </c>
      <c r="D170" s="36" t="str">
        <f t="shared" si="11"/>
        <v>diesel vehicle</v>
      </c>
      <c r="E170" s="36" t="s">
        <v>954</v>
      </c>
      <c r="F170" s="36" t="s">
        <v>970</v>
      </c>
      <c r="G170" s="36" t="s">
        <v>972</v>
      </c>
      <c r="H170" s="36" t="str">
        <f t="shared" si="12"/>
        <v>出租车</v>
      </c>
      <c r="I170" s="36" t="str">
        <f t="shared" si="13"/>
        <v>Passenger LDV</v>
      </c>
      <c r="J170" s="36">
        <v>63</v>
      </c>
    </row>
    <row r="171" spans="1:10" x14ac:dyDescent="0.15">
      <c r="A171" s="36">
        <v>170</v>
      </c>
      <c r="B171" s="36">
        <v>2017</v>
      </c>
      <c r="C171" s="36" t="s">
        <v>953</v>
      </c>
      <c r="D171" s="36" t="str">
        <f t="shared" si="11"/>
        <v>diesel vehicle</v>
      </c>
      <c r="E171" s="36" t="s">
        <v>954</v>
      </c>
      <c r="F171" s="36" t="s">
        <v>970</v>
      </c>
      <c r="G171" s="36" t="s">
        <v>972</v>
      </c>
      <c r="H171" s="36" t="str">
        <f t="shared" si="12"/>
        <v>出租车</v>
      </c>
      <c r="I171" s="36" t="str">
        <f t="shared" si="13"/>
        <v>Passenger LDV</v>
      </c>
      <c r="J171" s="36">
        <v>1995</v>
      </c>
    </row>
    <row r="172" spans="1:10" x14ac:dyDescent="0.15">
      <c r="A172" s="36">
        <v>171</v>
      </c>
      <c r="B172" s="36">
        <v>2018</v>
      </c>
      <c r="C172" s="36" t="s">
        <v>953</v>
      </c>
      <c r="D172" s="36" t="str">
        <f t="shared" si="11"/>
        <v>diesel vehicle</v>
      </c>
      <c r="E172" s="36" t="s">
        <v>954</v>
      </c>
      <c r="F172" s="36" t="s">
        <v>970</v>
      </c>
      <c r="G172" s="36" t="s">
        <v>972</v>
      </c>
      <c r="H172" s="36" t="str">
        <f t="shared" si="12"/>
        <v>出租车</v>
      </c>
      <c r="I172" s="36" t="str">
        <f t="shared" si="13"/>
        <v>Passenger LDV</v>
      </c>
      <c r="J172" s="36">
        <v>225</v>
      </c>
    </row>
    <row r="173" spans="1:10" x14ac:dyDescent="0.15">
      <c r="A173" s="36">
        <v>172</v>
      </c>
      <c r="B173" s="36">
        <v>2019</v>
      </c>
      <c r="C173" s="36" t="s">
        <v>953</v>
      </c>
      <c r="D173" s="36" t="str">
        <f t="shared" si="11"/>
        <v>diesel vehicle</v>
      </c>
      <c r="E173" s="36" t="s">
        <v>954</v>
      </c>
      <c r="F173" s="36" t="s">
        <v>970</v>
      </c>
      <c r="G173" s="36" t="s">
        <v>972</v>
      </c>
      <c r="H173" s="36" t="str">
        <f t="shared" si="12"/>
        <v>出租车</v>
      </c>
      <c r="I173" s="36" t="str">
        <f t="shared" si="13"/>
        <v>Passenger LDV</v>
      </c>
      <c r="J173" s="36">
        <v>279</v>
      </c>
    </row>
    <row r="174" spans="1:10" x14ac:dyDescent="0.15">
      <c r="A174" s="36">
        <v>173</v>
      </c>
      <c r="B174" s="36">
        <v>2020</v>
      </c>
      <c r="C174" s="36" t="s">
        <v>953</v>
      </c>
      <c r="D174" s="36" t="str">
        <f t="shared" si="11"/>
        <v>diesel vehicle</v>
      </c>
      <c r="E174" s="36" t="s">
        <v>954</v>
      </c>
      <c r="F174" s="36" t="s">
        <v>970</v>
      </c>
      <c r="G174" s="36" t="s">
        <v>972</v>
      </c>
      <c r="H174" s="36" t="str">
        <f t="shared" si="12"/>
        <v>出租车</v>
      </c>
      <c r="I174" s="36" t="str">
        <f t="shared" si="13"/>
        <v>Passenger LDV</v>
      </c>
      <c r="J174" s="36">
        <v>518</v>
      </c>
    </row>
    <row r="175" spans="1:10" x14ac:dyDescent="0.15">
      <c r="A175" s="36">
        <v>174</v>
      </c>
      <c r="B175" s="36">
        <v>2021</v>
      </c>
      <c r="C175" s="36" t="s">
        <v>953</v>
      </c>
      <c r="D175" s="36" t="str">
        <f t="shared" si="11"/>
        <v>diesel vehicle</v>
      </c>
      <c r="E175" s="36" t="s">
        <v>954</v>
      </c>
      <c r="F175" s="36" t="s">
        <v>970</v>
      </c>
      <c r="G175" s="36" t="s">
        <v>972</v>
      </c>
      <c r="H175" s="36" t="str">
        <f t="shared" si="12"/>
        <v>出租车</v>
      </c>
      <c r="I175" s="36" t="str">
        <f t="shared" si="13"/>
        <v>Passenger LDV</v>
      </c>
      <c r="J175" s="36">
        <v>414</v>
      </c>
    </row>
    <row r="176" spans="1:10" x14ac:dyDescent="0.15">
      <c r="A176" s="36">
        <v>175</v>
      </c>
      <c r="B176" s="36">
        <v>2015</v>
      </c>
      <c r="C176" s="36" t="s">
        <v>958</v>
      </c>
      <c r="D176" s="36" t="str">
        <f t="shared" si="11"/>
        <v>battery electric vehicle</v>
      </c>
      <c r="E176" s="36" t="s">
        <v>954</v>
      </c>
      <c r="F176" s="36" t="s">
        <v>970</v>
      </c>
      <c r="G176" s="36" t="s">
        <v>972</v>
      </c>
      <c r="H176" s="36" t="str">
        <f t="shared" si="12"/>
        <v>出租车</v>
      </c>
      <c r="I176" s="36" t="str">
        <f t="shared" si="13"/>
        <v>Passenger LDV</v>
      </c>
      <c r="J176" s="36">
        <v>48</v>
      </c>
    </row>
    <row r="177" spans="1:10" x14ac:dyDescent="0.15">
      <c r="A177" s="36">
        <v>176</v>
      </c>
      <c r="B177" s="36">
        <v>2020</v>
      </c>
      <c r="C177" s="36" t="s">
        <v>958</v>
      </c>
      <c r="D177" s="36" t="str">
        <f t="shared" si="11"/>
        <v>battery electric vehicle</v>
      </c>
      <c r="E177" s="36" t="s">
        <v>954</v>
      </c>
      <c r="F177" s="36" t="s">
        <v>970</v>
      </c>
      <c r="G177" s="36" t="s">
        <v>972</v>
      </c>
      <c r="H177" s="36" t="str">
        <f t="shared" si="12"/>
        <v>出租车</v>
      </c>
      <c r="I177" s="36" t="str">
        <f t="shared" si="13"/>
        <v>Passenger LDV</v>
      </c>
      <c r="J177" s="36">
        <v>2</v>
      </c>
    </row>
    <row r="178" spans="1:10" x14ac:dyDescent="0.15">
      <c r="A178" s="36">
        <v>177</v>
      </c>
      <c r="B178" s="36">
        <v>2015</v>
      </c>
      <c r="C178" s="36" t="s">
        <v>952</v>
      </c>
      <c r="D178" s="36" t="str">
        <f t="shared" si="11"/>
        <v>gasoline vehicle</v>
      </c>
      <c r="E178" s="36" t="s">
        <v>954</v>
      </c>
      <c r="F178" s="36" t="s">
        <v>970</v>
      </c>
      <c r="G178" s="36" t="s">
        <v>972</v>
      </c>
      <c r="H178" s="36" t="str">
        <f t="shared" si="12"/>
        <v>出租车</v>
      </c>
      <c r="I178" s="36" t="str">
        <f t="shared" si="13"/>
        <v>Passenger LDV</v>
      </c>
      <c r="J178" s="36">
        <v>52</v>
      </c>
    </row>
    <row r="179" spans="1:10" x14ac:dyDescent="0.15">
      <c r="A179" s="36">
        <v>178</v>
      </c>
      <c r="B179" s="36">
        <v>2016</v>
      </c>
      <c r="C179" s="36" t="s">
        <v>952</v>
      </c>
      <c r="D179" s="36" t="str">
        <f t="shared" si="11"/>
        <v>gasoline vehicle</v>
      </c>
      <c r="E179" s="36" t="s">
        <v>954</v>
      </c>
      <c r="F179" s="36" t="s">
        <v>970</v>
      </c>
      <c r="G179" s="36" t="s">
        <v>972</v>
      </c>
      <c r="H179" s="36" t="str">
        <f t="shared" si="12"/>
        <v>出租车</v>
      </c>
      <c r="I179" s="36" t="str">
        <f t="shared" si="13"/>
        <v>Passenger LDV</v>
      </c>
      <c r="J179" s="36">
        <v>99</v>
      </c>
    </row>
    <row r="180" spans="1:10" x14ac:dyDescent="0.15">
      <c r="A180" s="36">
        <v>179</v>
      </c>
      <c r="B180" s="36">
        <v>2017</v>
      </c>
      <c r="C180" s="36" t="s">
        <v>952</v>
      </c>
      <c r="D180" s="36" t="str">
        <f t="shared" si="11"/>
        <v>gasoline vehicle</v>
      </c>
      <c r="E180" s="36" t="s">
        <v>954</v>
      </c>
      <c r="F180" s="36" t="s">
        <v>970</v>
      </c>
      <c r="G180" s="36" t="s">
        <v>972</v>
      </c>
      <c r="H180" s="36" t="str">
        <f t="shared" si="12"/>
        <v>出租车</v>
      </c>
      <c r="I180" s="36" t="str">
        <f t="shared" si="13"/>
        <v>Passenger LDV</v>
      </c>
      <c r="J180" s="36">
        <v>651</v>
      </c>
    </row>
    <row r="181" spans="1:10" x14ac:dyDescent="0.15">
      <c r="A181" s="36">
        <v>180</v>
      </c>
      <c r="B181" s="36">
        <v>2018</v>
      </c>
      <c r="C181" s="36" t="s">
        <v>952</v>
      </c>
      <c r="D181" s="36" t="str">
        <f t="shared" si="11"/>
        <v>gasoline vehicle</v>
      </c>
      <c r="E181" s="36" t="s">
        <v>954</v>
      </c>
      <c r="F181" s="36" t="s">
        <v>970</v>
      </c>
      <c r="G181" s="36" t="s">
        <v>972</v>
      </c>
      <c r="H181" s="36" t="str">
        <f t="shared" si="12"/>
        <v>出租车</v>
      </c>
      <c r="I181" s="36" t="str">
        <f t="shared" si="13"/>
        <v>Passenger LDV</v>
      </c>
      <c r="J181" s="36">
        <v>91</v>
      </c>
    </row>
    <row r="182" spans="1:10" x14ac:dyDescent="0.15">
      <c r="A182" s="36">
        <v>181</v>
      </c>
      <c r="B182" s="36">
        <v>2019</v>
      </c>
      <c r="C182" s="36" t="s">
        <v>952</v>
      </c>
      <c r="D182" s="36" t="str">
        <f t="shared" si="11"/>
        <v>gasoline vehicle</v>
      </c>
      <c r="E182" s="36" t="s">
        <v>954</v>
      </c>
      <c r="F182" s="36" t="s">
        <v>970</v>
      </c>
      <c r="G182" s="36" t="s">
        <v>972</v>
      </c>
      <c r="H182" s="36" t="str">
        <f t="shared" si="12"/>
        <v>出租车</v>
      </c>
      <c r="I182" s="36" t="str">
        <f t="shared" si="13"/>
        <v>Passenger LDV</v>
      </c>
      <c r="J182" s="36">
        <v>59</v>
      </c>
    </row>
    <row r="183" spans="1:10" x14ac:dyDescent="0.15">
      <c r="A183" s="36">
        <v>182</v>
      </c>
      <c r="B183" s="36">
        <v>2020</v>
      </c>
      <c r="C183" s="36" t="s">
        <v>952</v>
      </c>
      <c r="D183" s="36" t="str">
        <f t="shared" si="11"/>
        <v>gasoline vehicle</v>
      </c>
      <c r="E183" s="36" t="s">
        <v>954</v>
      </c>
      <c r="F183" s="36" t="s">
        <v>970</v>
      </c>
      <c r="G183" s="36" t="s">
        <v>972</v>
      </c>
      <c r="H183" s="36" t="str">
        <f t="shared" si="12"/>
        <v>出租车</v>
      </c>
      <c r="I183" s="36" t="str">
        <f t="shared" si="13"/>
        <v>Passenger LDV</v>
      </c>
      <c r="J183" s="36">
        <v>56</v>
      </c>
    </row>
    <row r="184" spans="1:10" x14ac:dyDescent="0.15">
      <c r="A184" s="36">
        <v>183</v>
      </c>
      <c r="B184" s="36">
        <v>2021</v>
      </c>
      <c r="C184" s="36" t="s">
        <v>952</v>
      </c>
      <c r="D184" s="36" t="str">
        <f t="shared" si="11"/>
        <v>gasoline vehicle</v>
      </c>
      <c r="E184" s="36" t="s">
        <v>954</v>
      </c>
      <c r="F184" s="36" t="s">
        <v>970</v>
      </c>
      <c r="G184" s="36" t="s">
        <v>972</v>
      </c>
      <c r="H184" s="36" t="str">
        <f t="shared" si="12"/>
        <v>出租车</v>
      </c>
      <c r="I184" s="36" t="str">
        <f t="shared" si="13"/>
        <v>Passenger LDV</v>
      </c>
      <c r="J184" s="36">
        <v>53</v>
      </c>
    </row>
    <row r="185" spans="1:10" x14ac:dyDescent="0.15">
      <c r="A185" s="36">
        <v>184</v>
      </c>
      <c r="B185" s="36">
        <v>2016</v>
      </c>
      <c r="C185" s="36" t="s">
        <v>956</v>
      </c>
      <c r="D185" s="36" t="str">
        <f t="shared" si="11"/>
        <v>natural gas vehicle</v>
      </c>
      <c r="E185" s="36" t="s">
        <v>954</v>
      </c>
      <c r="F185" s="36" t="s">
        <v>970</v>
      </c>
      <c r="G185" s="36" t="s">
        <v>972</v>
      </c>
      <c r="H185" s="36" t="str">
        <f t="shared" si="12"/>
        <v>出租车</v>
      </c>
      <c r="I185" s="36" t="str">
        <f t="shared" si="13"/>
        <v>Passenger LDV</v>
      </c>
      <c r="J185" s="36">
        <v>9</v>
      </c>
    </row>
    <row r="186" spans="1:10" x14ac:dyDescent="0.15">
      <c r="A186" s="36">
        <v>185</v>
      </c>
      <c r="B186" s="36">
        <v>2019</v>
      </c>
      <c r="C186" s="36" t="s">
        <v>956</v>
      </c>
      <c r="D186" s="36" t="str">
        <f t="shared" si="11"/>
        <v>natural gas vehicle</v>
      </c>
      <c r="E186" s="36" t="s">
        <v>954</v>
      </c>
      <c r="F186" s="36" t="s">
        <v>970</v>
      </c>
      <c r="G186" s="36" t="s">
        <v>972</v>
      </c>
      <c r="H186" s="36" t="str">
        <f t="shared" si="12"/>
        <v>出租车</v>
      </c>
      <c r="I186" s="36" t="str">
        <f t="shared" si="13"/>
        <v>Passenger LDV</v>
      </c>
      <c r="J186" s="36">
        <v>3</v>
      </c>
    </row>
    <row r="187" spans="1:10" x14ac:dyDescent="0.15">
      <c r="A187" s="36">
        <v>186</v>
      </c>
      <c r="B187" s="36">
        <v>2015</v>
      </c>
      <c r="C187" s="36" t="s">
        <v>953</v>
      </c>
      <c r="D187" s="36" t="str">
        <f t="shared" si="11"/>
        <v>diesel vehicle</v>
      </c>
      <c r="E187" s="36" t="s">
        <v>976</v>
      </c>
      <c r="F187" s="36" t="s">
        <v>970</v>
      </c>
      <c r="G187" s="36" t="s">
        <v>972</v>
      </c>
      <c r="H187" s="36" t="str">
        <f t="shared" si="12"/>
        <v>中重型货车</v>
      </c>
      <c r="I187" s="36" t="str">
        <f t="shared" si="13"/>
        <v>Freight HDV</v>
      </c>
      <c r="J187" s="36">
        <v>277</v>
      </c>
    </row>
    <row r="188" spans="1:10" x14ac:dyDescent="0.15">
      <c r="A188" s="36">
        <v>187</v>
      </c>
      <c r="B188" s="36">
        <v>2017</v>
      </c>
      <c r="C188" s="36" t="s">
        <v>953</v>
      </c>
      <c r="D188" s="36" t="str">
        <f t="shared" si="11"/>
        <v>diesel vehicle</v>
      </c>
      <c r="E188" s="36" t="s">
        <v>976</v>
      </c>
      <c r="F188" s="36" t="s">
        <v>970</v>
      </c>
      <c r="G188" s="36" t="s">
        <v>972</v>
      </c>
      <c r="H188" s="36" t="str">
        <f t="shared" si="12"/>
        <v>中重型货车</v>
      </c>
      <c r="I188" s="36" t="str">
        <f t="shared" si="13"/>
        <v>Freight HDV</v>
      </c>
      <c r="J188" s="36">
        <v>6</v>
      </c>
    </row>
    <row r="189" spans="1:10" x14ac:dyDescent="0.15">
      <c r="A189" s="36">
        <v>188</v>
      </c>
      <c r="B189" s="36">
        <v>2015</v>
      </c>
      <c r="C189" s="36" t="s">
        <v>953</v>
      </c>
      <c r="D189" s="36" t="str">
        <f t="shared" si="11"/>
        <v>diesel vehicle</v>
      </c>
      <c r="E189" s="36" t="s">
        <v>951</v>
      </c>
      <c r="F189" s="36" t="s">
        <v>970</v>
      </c>
      <c r="G189" s="36" t="s">
        <v>972</v>
      </c>
      <c r="H189" s="36" t="str">
        <f t="shared" si="12"/>
        <v>道路客车</v>
      </c>
      <c r="I189" s="36" t="str">
        <f t="shared" si="13"/>
        <v>Passenger HDV</v>
      </c>
      <c r="J189" s="36">
        <v>459</v>
      </c>
    </row>
    <row r="190" spans="1:10" x14ac:dyDescent="0.15">
      <c r="A190" s="36">
        <v>189</v>
      </c>
      <c r="B190" s="36">
        <v>2016</v>
      </c>
      <c r="C190" s="36" t="s">
        <v>953</v>
      </c>
      <c r="D190" s="36" t="str">
        <f t="shared" si="11"/>
        <v>diesel vehicle</v>
      </c>
      <c r="E190" s="36" t="s">
        <v>951</v>
      </c>
      <c r="F190" s="36" t="s">
        <v>970</v>
      </c>
      <c r="G190" s="36" t="s">
        <v>972</v>
      </c>
      <c r="H190" s="36" t="str">
        <f t="shared" si="12"/>
        <v>道路客车</v>
      </c>
      <c r="I190" s="36" t="str">
        <f t="shared" si="13"/>
        <v>Passenger HDV</v>
      </c>
      <c r="J190" s="36">
        <v>376</v>
      </c>
    </row>
    <row r="191" spans="1:10" x14ac:dyDescent="0.15">
      <c r="A191" s="36">
        <v>190</v>
      </c>
      <c r="B191" s="36">
        <v>2017</v>
      </c>
      <c r="C191" s="36" t="s">
        <v>953</v>
      </c>
      <c r="D191" s="36" t="str">
        <f t="shared" si="11"/>
        <v>diesel vehicle</v>
      </c>
      <c r="E191" s="36" t="s">
        <v>951</v>
      </c>
      <c r="F191" s="36" t="s">
        <v>970</v>
      </c>
      <c r="G191" s="36" t="s">
        <v>972</v>
      </c>
      <c r="H191" s="36" t="str">
        <f t="shared" si="12"/>
        <v>道路客车</v>
      </c>
      <c r="I191" s="36" t="str">
        <f t="shared" si="13"/>
        <v>Passenger HDV</v>
      </c>
      <c r="J191" s="36">
        <v>451</v>
      </c>
    </row>
    <row r="192" spans="1:10" x14ac:dyDescent="0.15">
      <c r="A192" s="36">
        <v>191</v>
      </c>
      <c r="B192" s="36">
        <v>2018</v>
      </c>
      <c r="C192" s="36" t="s">
        <v>953</v>
      </c>
      <c r="D192" s="36" t="str">
        <f t="shared" si="11"/>
        <v>diesel vehicle</v>
      </c>
      <c r="E192" s="36" t="s">
        <v>951</v>
      </c>
      <c r="F192" s="36" t="s">
        <v>970</v>
      </c>
      <c r="G192" s="36" t="s">
        <v>972</v>
      </c>
      <c r="H192" s="36" t="str">
        <f t="shared" si="12"/>
        <v>道路客车</v>
      </c>
      <c r="I192" s="36" t="str">
        <f t="shared" si="13"/>
        <v>Passenger HDV</v>
      </c>
      <c r="J192" s="36">
        <v>124</v>
      </c>
    </row>
    <row r="193" spans="1:10" x14ac:dyDescent="0.15">
      <c r="A193" s="36">
        <v>192</v>
      </c>
      <c r="B193" s="36">
        <v>2019</v>
      </c>
      <c r="C193" s="36" t="s">
        <v>953</v>
      </c>
      <c r="D193" s="36" t="str">
        <f t="shared" si="11"/>
        <v>diesel vehicle</v>
      </c>
      <c r="E193" s="36" t="s">
        <v>951</v>
      </c>
      <c r="F193" s="36" t="s">
        <v>970</v>
      </c>
      <c r="G193" s="36" t="s">
        <v>972</v>
      </c>
      <c r="H193" s="36" t="str">
        <f t="shared" si="12"/>
        <v>道路客车</v>
      </c>
      <c r="I193" s="36" t="str">
        <f t="shared" si="13"/>
        <v>Passenger HDV</v>
      </c>
      <c r="J193" s="36">
        <v>108</v>
      </c>
    </row>
    <row r="194" spans="1:10" x14ac:dyDescent="0.15">
      <c r="A194" s="36">
        <v>193</v>
      </c>
      <c r="B194" s="36">
        <v>2020</v>
      </c>
      <c r="C194" s="36" t="s">
        <v>953</v>
      </c>
      <c r="D194" s="36" t="str">
        <f t="shared" ref="D194:D257" si="14">VLOOKUP(C194,M$3:N$16,2,FALSE)</f>
        <v>diesel vehicle</v>
      </c>
      <c r="E194" s="36" t="s">
        <v>951</v>
      </c>
      <c r="F194" s="36" t="s">
        <v>970</v>
      </c>
      <c r="G194" s="36" t="s">
        <v>972</v>
      </c>
      <c r="H194" s="36" t="str">
        <f t="shared" ref="H194:H257" si="15">VLOOKUP(E194&amp;F194&amp;G194,$S$3:$U$68,2,FALSE)</f>
        <v>道路客车</v>
      </c>
      <c r="I194" s="36" t="str">
        <f t="shared" ref="I194:I257" si="16">VLOOKUP(E194&amp;F194&amp;G194,$S$3:$U$68,3,FALSE)</f>
        <v>Passenger HDV</v>
      </c>
      <c r="J194" s="36">
        <v>47</v>
      </c>
    </row>
    <row r="195" spans="1:10" x14ac:dyDescent="0.15">
      <c r="A195" s="36">
        <v>194</v>
      </c>
      <c r="B195" s="36">
        <v>2021</v>
      </c>
      <c r="C195" s="36" t="s">
        <v>953</v>
      </c>
      <c r="D195" s="36" t="str">
        <f t="shared" si="14"/>
        <v>diesel vehicle</v>
      </c>
      <c r="E195" s="36" t="s">
        <v>951</v>
      </c>
      <c r="F195" s="36" t="s">
        <v>970</v>
      </c>
      <c r="G195" s="36" t="s">
        <v>972</v>
      </c>
      <c r="H195" s="36" t="str">
        <f t="shared" si="15"/>
        <v>道路客车</v>
      </c>
      <c r="I195" s="36" t="str">
        <f t="shared" si="16"/>
        <v>Passenger HDV</v>
      </c>
      <c r="J195" s="36">
        <v>54</v>
      </c>
    </row>
    <row r="196" spans="1:10" x14ac:dyDescent="0.15">
      <c r="A196" s="36">
        <v>195</v>
      </c>
      <c r="B196" s="36">
        <v>2020</v>
      </c>
      <c r="C196" s="36" t="s">
        <v>958</v>
      </c>
      <c r="D196" s="36" t="str">
        <f t="shared" si="14"/>
        <v>battery electric vehicle</v>
      </c>
      <c r="E196" s="36" t="s">
        <v>951</v>
      </c>
      <c r="F196" s="36" t="s">
        <v>970</v>
      </c>
      <c r="G196" s="36" t="s">
        <v>972</v>
      </c>
      <c r="H196" s="36" t="str">
        <f t="shared" si="15"/>
        <v>道路客车</v>
      </c>
      <c r="I196" s="36" t="str">
        <f t="shared" si="16"/>
        <v>Passenger HDV</v>
      </c>
      <c r="J196" s="36">
        <v>3</v>
      </c>
    </row>
    <row r="197" spans="1:10" x14ac:dyDescent="0.15">
      <c r="A197" s="36">
        <v>196</v>
      </c>
      <c r="B197" s="36">
        <v>2021</v>
      </c>
      <c r="C197" s="36" t="s">
        <v>958</v>
      </c>
      <c r="D197" s="36" t="str">
        <f t="shared" si="14"/>
        <v>battery electric vehicle</v>
      </c>
      <c r="E197" s="36" t="s">
        <v>951</v>
      </c>
      <c r="F197" s="36" t="s">
        <v>970</v>
      </c>
      <c r="G197" s="36" t="s">
        <v>972</v>
      </c>
      <c r="H197" s="36" t="str">
        <f t="shared" si="15"/>
        <v>道路客车</v>
      </c>
      <c r="I197" s="36" t="str">
        <f t="shared" si="16"/>
        <v>Passenger HDV</v>
      </c>
      <c r="J197" s="36">
        <v>9</v>
      </c>
    </row>
    <row r="198" spans="1:10" x14ac:dyDescent="0.15">
      <c r="A198" s="36">
        <v>197</v>
      </c>
      <c r="B198" s="36">
        <v>2015</v>
      </c>
      <c r="C198" s="36" t="s">
        <v>952</v>
      </c>
      <c r="D198" s="36" t="str">
        <f t="shared" si="14"/>
        <v>gasoline vehicle</v>
      </c>
      <c r="E198" s="36" t="s">
        <v>951</v>
      </c>
      <c r="F198" s="36" t="s">
        <v>970</v>
      </c>
      <c r="G198" s="36" t="s">
        <v>972</v>
      </c>
      <c r="H198" s="36" t="str">
        <f t="shared" si="15"/>
        <v>道路客车</v>
      </c>
      <c r="I198" s="36" t="str">
        <f t="shared" si="16"/>
        <v>Passenger HDV</v>
      </c>
      <c r="J198" s="36">
        <v>76</v>
      </c>
    </row>
    <row r="199" spans="1:10" x14ac:dyDescent="0.15">
      <c r="A199" s="36">
        <v>198</v>
      </c>
      <c r="B199" s="36">
        <v>2016</v>
      </c>
      <c r="C199" s="36" t="s">
        <v>952</v>
      </c>
      <c r="D199" s="36" t="str">
        <f t="shared" si="14"/>
        <v>gasoline vehicle</v>
      </c>
      <c r="E199" s="36" t="s">
        <v>951</v>
      </c>
      <c r="F199" s="36" t="s">
        <v>970</v>
      </c>
      <c r="G199" s="36" t="s">
        <v>972</v>
      </c>
      <c r="H199" s="36" t="str">
        <f t="shared" si="15"/>
        <v>道路客车</v>
      </c>
      <c r="I199" s="36" t="str">
        <f t="shared" si="16"/>
        <v>Passenger HDV</v>
      </c>
      <c r="J199" s="36">
        <v>101</v>
      </c>
    </row>
    <row r="200" spans="1:10" x14ac:dyDescent="0.15">
      <c r="A200" s="36">
        <v>199</v>
      </c>
      <c r="B200" s="36">
        <v>2017</v>
      </c>
      <c r="C200" s="36" t="s">
        <v>952</v>
      </c>
      <c r="D200" s="36" t="str">
        <f t="shared" si="14"/>
        <v>gasoline vehicle</v>
      </c>
      <c r="E200" s="36" t="s">
        <v>951</v>
      </c>
      <c r="F200" s="36" t="s">
        <v>970</v>
      </c>
      <c r="G200" s="36" t="s">
        <v>972</v>
      </c>
      <c r="H200" s="36" t="str">
        <f t="shared" si="15"/>
        <v>道路客车</v>
      </c>
      <c r="I200" s="36" t="str">
        <f t="shared" si="16"/>
        <v>Passenger HDV</v>
      </c>
      <c r="J200" s="36">
        <v>220</v>
      </c>
    </row>
    <row r="201" spans="1:10" x14ac:dyDescent="0.15">
      <c r="A201" s="36">
        <v>200</v>
      </c>
      <c r="B201" s="36">
        <v>2018</v>
      </c>
      <c r="C201" s="36" t="s">
        <v>952</v>
      </c>
      <c r="D201" s="36" t="str">
        <f t="shared" si="14"/>
        <v>gasoline vehicle</v>
      </c>
      <c r="E201" s="36" t="s">
        <v>951</v>
      </c>
      <c r="F201" s="36" t="s">
        <v>970</v>
      </c>
      <c r="G201" s="36" t="s">
        <v>972</v>
      </c>
      <c r="H201" s="36" t="str">
        <f t="shared" si="15"/>
        <v>道路客车</v>
      </c>
      <c r="I201" s="36" t="str">
        <f t="shared" si="16"/>
        <v>Passenger HDV</v>
      </c>
      <c r="J201" s="36">
        <v>75</v>
      </c>
    </row>
    <row r="202" spans="1:10" x14ac:dyDescent="0.15">
      <c r="A202" s="36">
        <v>201</v>
      </c>
      <c r="B202" s="36">
        <v>2019</v>
      </c>
      <c r="C202" s="36" t="s">
        <v>952</v>
      </c>
      <c r="D202" s="36" t="str">
        <f t="shared" si="14"/>
        <v>gasoline vehicle</v>
      </c>
      <c r="E202" s="36" t="s">
        <v>951</v>
      </c>
      <c r="F202" s="36" t="s">
        <v>970</v>
      </c>
      <c r="G202" s="36" t="s">
        <v>972</v>
      </c>
      <c r="H202" s="36" t="str">
        <f t="shared" si="15"/>
        <v>道路客车</v>
      </c>
      <c r="I202" s="36" t="str">
        <f t="shared" si="16"/>
        <v>Passenger HDV</v>
      </c>
      <c r="J202" s="36">
        <v>27</v>
      </c>
    </row>
    <row r="203" spans="1:10" x14ac:dyDescent="0.15">
      <c r="A203" s="36">
        <v>202</v>
      </c>
      <c r="B203" s="36">
        <v>2020</v>
      </c>
      <c r="C203" s="36" t="s">
        <v>952</v>
      </c>
      <c r="D203" s="36" t="str">
        <f t="shared" si="14"/>
        <v>gasoline vehicle</v>
      </c>
      <c r="E203" s="36" t="s">
        <v>951</v>
      </c>
      <c r="F203" s="36" t="s">
        <v>970</v>
      </c>
      <c r="G203" s="36" t="s">
        <v>972</v>
      </c>
      <c r="H203" s="36" t="str">
        <f t="shared" si="15"/>
        <v>道路客车</v>
      </c>
      <c r="I203" s="36" t="str">
        <f t="shared" si="16"/>
        <v>Passenger HDV</v>
      </c>
      <c r="J203" s="36">
        <v>1</v>
      </c>
    </row>
    <row r="204" spans="1:10" x14ac:dyDescent="0.15">
      <c r="A204" s="36">
        <v>203</v>
      </c>
      <c r="B204" s="36">
        <v>2021</v>
      </c>
      <c r="C204" s="36" t="s">
        <v>952</v>
      </c>
      <c r="D204" s="36" t="str">
        <f t="shared" si="14"/>
        <v>gasoline vehicle</v>
      </c>
      <c r="E204" s="36" t="s">
        <v>951</v>
      </c>
      <c r="F204" s="36" t="s">
        <v>970</v>
      </c>
      <c r="G204" s="36" t="s">
        <v>972</v>
      </c>
      <c r="H204" s="36" t="str">
        <f t="shared" si="15"/>
        <v>道路客车</v>
      </c>
      <c r="I204" s="36" t="str">
        <f t="shared" si="16"/>
        <v>Passenger HDV</v>
      </c>
      <c r="J204" s="36">
        <v>12</v>
      </c>
    </row>
    <row r="205" spans="1:10" x14ac:dyDescent="0.15">
      <c r="A205" s="36">
        <v>204</v>
      </c>
      <c r="B205" s="36">
        <v>2016</v>
      </c>
      <c r="C205" s="36" t="s">
        <v>955</v>
      </c>
      <c r="D205" s="36" t="str">
        <f t="shared" si="14"/>
        <v>natural gas vehicle</v>
      </c>
      <c r="E205" s="36" t="s">
        <v>951</v>
      </c>
      <c r="F205" s="36" t="s">
        <v>970</v>
      </c>
      <c r="G205" s="36" t="s">
        <v>972</v>
      </c>
      <c r="H205" s="36" t="str">
        <f t="shared" si="15"/>
        <v>道路客车</v>
      </c>
      <c r="I205" s="36" t="str">
        <f t="shared" si="16"/>
        <v>Passenger HDV</v>
      </c>
      <c r="J205" s="36">
        <v>2</v>
      </c>
    </row>
    <row r="206" spans="1:10" x14ac:dyDescent="0.15">
      <c r="A206" s="36">
        <v>205</v>
      </c>
      <c r="B206" s="36">
        <v>2015</v>
      </c>
      <c r="C206" s="36" t="s">
        <v>953</v>
      </c>
      <c r="D206" s="36" t="str">
        <f t="shared" si="14"/>
        <v>diesel vehicle</v>
      </c>
      <c r="E206" s="36" t="s">
        <v>973</v>
      </c>
      <c r="F206" s="36" t="s">
        <v>970</v>
      </c>
      <c r="G206" s="36" t="s">
        <v>972</v>
      </c>
      <c r="H206" s="36" t="str">
        <f t="shared" si="15"/>
        <v>中重型货车</v>
      </c>
      <c r="I206" s="36" t="str">
        <f t="shared" si="16"/>
        <v>Freight HDV</v>
      </c>
      <c r="J206" s="36">
        <v>646</v>
      </c>
    </row>
    <row r="207" spans="1:10" x14ac:dyDescent="0.15">
      <c r="A207" s="36">
        <v>206</v>
      </c>
      <c r="B207" s="36">
        <v>2016</v>
      </c>
      <c r="C207" s="36" t="s">
        <v>953</v>
      </c>
      <c r="D207" s="36" t="str">
        <f t="shared" si="14"/>
        <v>diesel vehicle</v>
      </c>
      <c r="E207" s="36" t="s">
        <v>973</v>
      </c>
      <c r="F207" s="36" t="s">
        <v>970</v>
      </c>
      <c r="G207" s="36" t="s">
        <v>972</v>
      </c>
      <c r="H207" s="36" t="str">
        <f t="shared" si="15"/>
        <v>中重型货车</v>
      </c>
      <c r="I207" s="36" t="str">
        <f t="shared" si="16"/>
        <v>Freight HDV</v>
      </c>
      <c r="J207" s="36">
        <v>1</v>
      </c>
    </row>
    <row r="208" spans="1:10" x14ac:dyDescent="0.15">
      <c r="A208" s="36">
        <v>207</v>
      </c>
      <c r="B208" s="36">
        <v>2017</v>
      </c>
      <c r="C208" s="36" t="s">
        <v>953</v>
      </c>
      <c r="D208" s="36" t="str">
        <f t="shared" si="14"/>
        <v>diesel vehicle</v>
      </c>
      <c r="E208" s="36" t="s">
        <v>973</v>
      </c>
      <c r="F208" s="36" t="s">
        <v>970</v>
      </c>
      <c r="G208" s="36" t="s">
        <v>972</v>
      </c>
      <c r="H208" s="36" t="str">
        <f t="shared" si="15"/>
        <v>中重型货车</v>
      </c>
      <c r="I208" s="36" t="str">
        <f t="shared" si="16"/>
        <v>Freight HDV</v>
      </c>
      <c r="J208" s="36">
        <v>1</v>
      </c>
    </row>
    <row r="209" spans="1:10" x14ac:dyDescent="0.15">
      <c r="A209" s="36">
        <v>208</v>
      </c>
      <c r="B209" s="36">
        <v>2019</v>
      </c>
      <c r="C209" s="36" t="s">
        <v>953</v>
      </c>
      <c r="D209" s="36" t="str">
        <f t="shared" si="14"/>
        <v>diesel vehicle</v>
      </c>
      <c r="E209" s="36" t="s">
        <v>973</v>
      </c>
      <c r="F209" s="36" t="s">
        <v>970</v>
      </c>
      <c r="G209" s="36" t="s">
        <v>972</v>
      </c>
      <c r="H209" s="36" t="str">
        <f t="shared" si="15"/>
        <v>中重型货车</v>
      </c>
      <c r="I209" s="36" t="str">
        <f t="shared" si="16"/>
        <v>Freight HDV</v>
      </c>
      <c r="J209" s="36">
        <v>1</v>
      </c>
    </row>
    <row r="210" spans="1:10" x14ac:dyDescent="0.15">
      <c r="A210" s="36">
        <v>209</v>
      </c>
      <c r="B210" s="36">
        <v>2020</v>
      </c>
      <c r="C210" s="36" t="s">
        <v>953</v>
      </c>
      <c r="D210" s="36" t="str">
        <f t="shared" si="14"/>
        <v>diesel vehicle</v>
      </c>
      <c r="E210" s="36" t="s">
        <v>973</v>
      </c>
      <c r="F210" s="36" t="s">
        <v>970</v>
      </c>
      <c r="G210" s="36" t="s">
        <v>972</v>
      </c>
      <c r="H210" s="36" t="str">
        <f t="shared" si="15"/>
        <v>中重型货车</v>
      </c>
      <c r="I210" s="36" t="str">
        <f t="shared" si="16"/>
        <v>Freight HDV</v>
      </c>
      <c r="J210" s="36">
        <v>2</v>
      </c>
    </row>
    <row r="211" spans="1:10" x14ac:dyDescent="0.15">
      <c r="A211" s="36">
        <v>210</v>
      </c>
      <c r="B211" s="36">
        <v>2015</v>
      </c>
      <c r="C211" s="36" t="s">
        <v>961</v>
      </c>
      <c r="D211" s="36" t="str">
        <f t="shared" si="14"/>
        <v>plugin hybrid vehicle</v>
      </c>
      <c r="E211" s="36" t="s">
        <v>969</v>
      </c>
      <c r="F211" s="36" t="s">
        <v>964</v>
      </c>
      <c r="G211" s="36" t="s">
        <v>972</v>
      </c>
      <c r="H211" s="36" t="str">
        <f t="shared" si="15"/>
        <v>道路客车</v>
      </c>
      <c r="I211" s="36" t="str">
        <f t="shared" si="16"/>
        <v>Passenger HDV</v>
      </c>
      <c r="J211" s="36">
        <v>375</v>
      </c>
    </row>
    <row r="212" spans="1:10" x14ac:dyDescent="0.15">
      <c r="A212" s="36">
        <v>211</v>
      </c>
      <c r="B212" s="36">
        <v>2016</v>
      </c>
      <c r="C212" s="36" t="s">
        <v>961</v>
      </c>
      <c r="D212" s="36" t="str">
        <f t="shared" si="14"/>
        <v>plugin hybrid vehicle</v>
      </c>
      <c r="E212" s="36" t="s">
        <v>969</v>
      </c>
      <c r="F212" s="36" t="s">
        <v>964</v>
      </c>
      <c r="G212" s="36" t="s">
        <v>972</v>
      </c>
      <c r="H212" s="36" t="str">
        <f t="shared" si="15"/>
        <v>道路客车</v>
      </c>
      <c r="I212" s="36" t="str">
        <f t="shared" si="16"/>
        <v>Passenger HDV</v>
      </c>
      <c r="J212" s="36">
        <v>532</v>
      </c>
    </row>
    <row r="213" spans="1:10" x14ac:dyDescent="0.15">
      <c r="A213" s="36">
        <v>212</v>
      </c>
      <c r="B213" s="36">
        <v>2017</v>
      </c>
      <c r="C213" s="36" t="s">
        <v>961</v>
      </c>
      <c r="D213" s="36" t="str">
        <f t="shared" si="14"/>
        <v>plugin hybrid vehicle</v>
      </c>
      <c r="E213" s="36" t="s">
        <v>969</v>
      </c>
      <c r="F213" s="36" t="s">
        <v>964</v>
      </c>
      <c r="G213" s="36" t="s">
        <v>972</v>
      </c>
      <c r="H213" s="36" t="str">
        <f t="shared" si="15"/>
        <v>道路客车</v>
      </c>
      <c r="I213" s="36" t="str">
        <f t="shared" si="16"/>
        <v>Passenger HDV</v>
      </c>
      <c r="J213" s="36">
        <v>434</v>
      </c>
    </row>
    <row r="214" spans="1:10" x14ac:dyDescent="0.15">
      <c r="A214" s="36">
        <v>213</v>
      </c>
      <c r="B214" s="36">
        <v>2018</v>
      </c>
      <c r="C214" s="36" t="s">
        <v>961</v>
      </c>
      <c r="D214" s="36" t="str">
        <f t="shared" si="14"/>
        <v>plugin hybrid vehicle</v>
      </c>
      <c r="E214" s="36" t="s">
        <v>969</v>
      </c>
      <c r="F214" s="36" t="s">
        <v>964</v>
      </c>
      <c r="G214" s="36" t="s">
        <v>972</v>
      </c>
      <c r="H214" s="36" t="str">
        <f t="shared" si="15"/>
        <v>道路客车</v>
      </c>
      <c r="I214" s="36" t="str">
        <f t="shared" si="16"/>
        <v>Passenger HDV</v>
      </c>
      <c r="J214" s="36">
        <v>64</v>
      </c>
    </row>
    <row r="215" spans="1:10" x14ac:dyDescent="0.15">
      <c r="A215" s="36">
        <v>214</v>
      </c>
      <c r="B215" s="36">
        <v>2019</v>
      </c>
      <c r="C215" s="36" t="s">
        <v>961</v>
      </c>
      <c r="D215" s="36" t="str">
        <f t="shared" si="14"/>
        <v>plugin hybrid vehicle</v>
      </c>
      <c r="E215" s="36" t="s">
        <v>969</v>
      </c>
      <c r="F215" s="36" t="s">
        <v>964</v>
      </c>
      <c r="G215" s="36" t="s">
        <v>972</v>
      </c>
      <c r="H215" s="36" t="str">
        <f t="shared" si="15"/>
        <v>道路客车</v>
      </c>
      <c r="I215" s="36" t="str">
        <f t="shared" si="16"/>
        <v>Passenger HDV</v>
      </c>
      <c r="J215" s="36">
        <v>4</v>
      </c>
    </row>
    <row r="216" spans="1:10" x14ac:dyDescent="0.15">
      <c r="A216" s="36">
        <v>215</v>
      </c>
      <c r="B216" s="36">
        <v>2020</v>
      </c>
      <c r="C216" s="36" t="s">
        <v>961</v>
      </c>
      <c r="D216" s="36" t="str">
        <f t="shared" si="14"/>
        <v>plugin hybrid vehicle</v>
      </c>
      <c r="E216" s="36" t="s">
        <v>969</v>
      </c>
      <c r="F216" s="36" t="s">
        <v>964</v>
      </c>
      <c r="G216" s="36" t="s">
        <v>972</v>
      </c>
      <c r="H216" s="36" t="str">
        <f t="shared" si="15"/>
        <v>道路客车</v>
      </c>
      <c r="I216" s="36" t="str">
        <f t="shared" si="16"/>
        <v>Passenger HDV</v>
      </c>
      <c r="J216" s="36">
        <v>4</v>
      </c>
    </row>
    <row r="217" spans="1:10" x14ac:dyDescent="0.15">
      <c r="A217" s="36">
        <v>216</v>
      </c>
      <c r="B217" s="36">
        <v>2021</v>
      </c>
      <c r="C217" s="36" t="s">
        <v>961</v>
      </c>
      <c r="D217" s="36" t="str">
        <f t="shared" si="14"/>
        <v>plugin hybrid vehicle</v>
      </c>
      <c r="E217" s="36" t="s">
        <v>969</v>
      </c>
      <c r="F217" s="36" t="s">
        <v>964</v>
      </c>
      <c r="G217" s="36" t="s">
        <v>972</v>
      </c>
      <c r="H217" s="36" t="str">
        <f t="shared" si="15"/>
        <v>道路客车</v>
      </c>
      <c r="I217" s="36" t="str">
        <f t="shared" si="16"/>
        <v>Passenger HDV</v>
      </c>
      <c r="J217" s="36">
        <v>2</v>
      </c>
    </row>
    <row r="218" spans="1:10" x14ac:dyDescent="0.15">
      <c r="A218" s="36">
        <v>217</v>
      </c>
      <c r="B218" s="36">
        <v>2015</v>
      </c>
      <c r="C218" s="36" t="s">
        <v>953</v>
      </c>
      <c r="D218" s="36" t="str">
        <f t="shared" si="14"/>
        <v>diesel vehicle</v>
      </c>
      <c r="E218" s="36" t="s">
        <v>969</v>
      </c>
      <c r="F218" s="36" t="s">
        <v>964</v>
      </c>
      <c r="G218" s="36" t="s">
        <v>972</v>
      </c>
      <c r="H218" s="36" t="str">
        <f t="shared" si="15"/>
        <v>道路客车</v>
      </c>
      <c r="I218" s="36" t="str">
        <f t="shared" si="16"/>
        <v>Passenger HDV</v>
      </c>
      <c r="J218" s="36">
        <v>15323</v>
      </c>
    </row>
    <row r="219" spans="1:10" x14ac:dyDescent="0.15">
      <c r="A219" s="36">
        <v>218</v>
      </c>
      <c r="B219" s="36">
        <v>2016</v>
      </c>
      <c r="C219" s="36" t="s">
        <v>953</v>
      </c>
      <c r="D219" s="36" t="str">
        <f t="shared" si="14"/>
        <v>diesel vehicle</v>
      </c>
      <c r="E219" s="36" t="s">
        <v>969</v>
      </c>
      <c r="F219" s="36" t="s">
        <v>964</v>
      </c>
      <c r="G219" s="36" t="s">
        <v>972</v>
      </c>
      <c r="H219" s="36" t="str">
        <f t="shared" si="15"/>
        <v>道路客车</v>
      </c>
      <c r="I219" s="36" t="str">
        <f t="shared" si="16"/>
        <v>Passenger HDV</v>
      </c>
      <c r="J219" s="36">
        <v>24796</v>
      </c>
    </row>
    <row r="220" spans="1:10" x14ac:dyDescent="0.15">
      <c r="A220" s="36">
        <v>219</v>
      </c>
      <c r="B220" s="36">
        <v>2017</v>
      </c>
      <c r="C220" s="36" t="s">
        <v>953</v>
      </c>
      <c r="D220" s="36" t="str">
        <f t="shared" si="14"/>
        <v>diesel vehicle</v>
      </c>
      <c r="E220" s="36" t="s">
        <v>969</v>
      </c>
      <c r="F220" s="36" t="s">
        <v>964</v>
      </c>
      <c r="G220" s="36" t="s">
        <v>972</v>
      </c>
      <c r="H220" s="36" t="str">
        <f t="shared" si="15"/>
        <v>道路客车</v>
      </c>
      <c r="I220" s="36" t="str">
        <f t="shared" si="16"/>
        <v>Passenger HDV</v>
      </c>
      <c r="J220" s="36">
        <v>20316</v>
      </c>
    </row>
    <row r="221" spans="1:10" x14ac:dyDescent="0.15">
      <c r="A221" s="36">
        <v>220</v>
      </c>
      <c r="B221" s="36">
        <v>2018</v>
      </c>
      <c r="C221" s="36" t="s">
        <v>953</v>
      </c>
      <c r="D221" s="36" t="str">
        <f t="shared" si="14"/>
        <v>diesel vehicle</v>
      </c>
      <c r="E221" s="36" t="s">
        <v>969</v>
      </c>
      <c r="F221" s="36" t="s">
        <v>964</v>
      </c>
      <c r="G221" s="36" t="s">
        <v>972</v>
      </c>
      <c r="H221" s="36" t="str">
        <f t="shared" si="15"/>
        <v>道路客车</v>
      </c>
      <c r="I221" s="36" t="str">
        <f t="shared" si="16"/>
        <v>Passenger HDV</v>
      </c>
      <c r="J221" s="36">
        <v>26773</v>
      </c>
    </row>
    <row r="222" spans="1:10" x14ac:dyDescent="0.15">
      <c r="A222" s="36">
        <v>221</v>
      </c>
      <c r="B222" s="36">
        <v>2019</v>
      </c>
      <c r="C222" s="36" t="s">
        <v>953</v>
      </c>
      <c r="D222" s="36" t="str">
        <f t="shared" si="14"/>
        <v>diesel vehicle</v>
      </c>
      <c r="E222" s="36" t="s">
        <v>969</v>
      </c>
      <c r="F222" s="36" t="s">
        <v>964</v>
      </c>
      <c r="G222" s="36" t="s">
        <v>972</v>
      </c>
      <c r="H222" s="36" t="str">
        <f t="shared" si="15"/>
        <v>道路客车</v>
      </c>
      <c r="I222" s="36" t="str">
        <f t="shared" si="16"/>
        <v>Passenger HDV</v>
      </c>
      <c r="J222" s="36">
        <v>17340</v>
      </c>
    </row>
    <row r="223" spans="1:10" x14ac:dyDescent="0.15">
      <c r="A223" s="36">
        <v>222</v>
      </c>
      <c r="B223" s="36">
        <v>2020</v>
      </c>
      <c r="C223" s="36" t="s">
        <v>953</v>
      </c>
      <c r="D223" s="36" t="str">
        <f t="shared" si="14"/>
        <v>diesel vehicle</v>
      </c>
      <c r="E223" s="36" t="s">
        <v>969</v>
      </c>
      <c r="F223" s="36" t="s">
        <v>964</v>
      </c>
      <c r="G223" s="36" t="s">
        <v>972</v>
      </c>
      <c r="H223" s="36" t="str">
        <f t="shared" si="15"/>
        <v>道路客车</v>
      </c>
      <c r="I223" s="36" t="str">
        <f t="shared" si="16"/>
        <v>Passenger HDV</v>
      </c>
      <c r="J223" s="36">
        <v>13091</v>
      </c>
    </row>
    <row r="224" spans="1:10" x14ac:dyDescent="0.15">
      <c r="A224" s="36">
        <v>223</v>
      </c>
      <c r="B224" s="36">
        <v>2021</v>
      </c>
      <c r="C224" s="36" t="s">
        <v>953</v>
      </c>
      <c r="D224" s="36" t="str">
        <f t="shared" si="14"/>
        <v>diesel vehicle</v>
      </c>
      <c r="E224" s="36" t="s">
        <v>969</v>
      </c>
      <c r="F224" s="36" t="s">
        <v>964</v>
      </c>
      <c r="G224" s="36" t="s">
        <v>972</v>
      </c>
      <c r="H224" s="36" t="str">
        <f t="shared" si="15"/>
        <v>道路客车</v>
      </c>
      <c r="I224" s="36" t="str">
        <f t="shared" si="16"/>
        <v>Passenger HDV</v>
      </c>
      <c r="J224" s="36">
        <v>14370</v>
      </c>
    </row>
    <row r="225" spans="1:10" x14ac:dyDescent="0.15">
      <c r="A225" s="36">
        <v>224</v>
      </c>
      <c r="B225" s="36">
        <v>2015</v>
      </c>
      <c r="C225" s="36" t="s">
        <v>958</v>
      </c>
      <c r="D225" s="36" t="str">
        <f t="shared" si="14"/>
        <v>battery electric vehicle</v>
      </c>
      <c r="E225" s="36" t="s">
        <v>969</v>
      </c>
      <c r="F225" s="36" t="s">
        <v>964</v>
      </c>
      <c r="G225" s="36" t="s">
        <v>972</v>
      </c>
      <c r="H225" s="36" t="str">
        <f t="shared" si="15"/>
        <v>道路客车</v>
      </c>
      <c r="I225" s="36" t="str">
        <f t="shared" si="16"/>
        <v>Passenger HDV</v>
      </c>
      <c r="J225" s="36">
        <v>31331</v>
      </c>
    </row>
    <row r="226" spans="1:10" x14ac:dyDescent="0.15">
      <c r="A226" s="36">
        <v>225</v>
      </c>
      <c r="B226" s="36">
        <v>2016</v>
      </c>
      <c r="C226" s="36" t="s">
        <v>958</v>
      </c>
      <c r="D226" s="36" t="str">
        <f t="shared" si="14"/>
        <v>battery electric vehicle</v>
      </c>
      <c r="E226" s="36" t="s">
        <v>969</v>
      </c>
      <c r="F226" s="36" t="s">
        <v>964</v>
      </c>
      <c r="G226" s="36" t="s">
        <v>972</v>
      </c>
      <c r="H226" s="36" t="str">
        <f t="shared" si="15"/>
        <v>道路客车</v>
      </c>
      <c r="I226" s="36" t="str">
        <f t="shared" si="16"/>
        <v>Passenger HDV</v>
      </c>
      <c r="J226" s="36">
        <v>23628</v>
      </c>
    </row>
    <row r="227" spans="1:10" x14ac:dyDescent="0.15">
      <c r="A227" s="36">
        <v>226</v>
      </c>
      <c r="B227" s="36">
        <v>2017</v>
      </c>
      <c r="C227" s="36" t="s">
        <v>958</v>
      </c>
      <c r="D227" s="36" t="str">
        <f t="shared" si="14"/>
        <v>battery electric vehicle</v>
      </c>
      <c r="E227" s="36" t="s">
        <v>969</v>
      </c>
      <c r="F227" s="36" t="s">
        <v>964</v>
      </c>
      <c r="G227" s="36" t="s">
        <v>972</v>
      </c>
      <c r="H227" s="36" t="str">
        <f t="shared" si="15"/>
        <v>道路客车</v>
      </c>
      <c r="I227" s="36" t="str">
        <f t="shared" si="16"/>
        <v>Passenger HDV</v>
      </c>
      <c r="J227" s="36">
        <v>11332</v>
      </c>
    </row>
    <row r="228" spans="1:10" x14ac:dyDescent="0.15">
      <c r="A228" s="36">
        <v>227</v>
      </c>
      <c r="B228" s="36">
        <v>2018</v>
      </c>
      <c r="C228" s="36" t="s">
        <v>958</v>
      </c>
      <c r="D228" s="36" t="str">
        <f t="shared" si="14"/>
        <v>battery electric vehicle</v>
      </c>
      <c r="E228" s="36" t="s">
        <v>969</v>
      </c>
      <c r="F228" s="36" t="s">
        <v>964</v>
      </c>
      <c r="G228" s="36" t="s">
        <v>972</v>
      </c>
      <c r="H228" s="36" t="str">
        <f t="shared" si="15"/>
        <v>道路客车</v>
      </c>
      <c r="I228" s="36" t="str">
        <f t="shared" si="16"/>
        <v>Passenger HDV</v>
      </c>
      <c r="J228" s="36">
        <v>2929</v>
      </c>
    </row>
    <row r="229" spans="1:10" x14ac:dyDescent="0.15">
      <c r="A229" s="36">
        <v>228</v>
      </c>
      <c r="B229" s="36">
        <v>2019</v>
      </c>
      <c r="C229" s="36" t="s">
        <v>958</v>
      </c>
      <c r="D229" s="36" t="str">
        <f t="shared" si="14"/>
        <v>battery electric vehicle</v>
      </c>
      <c r="E229" s="36" t="s">
        <v>969</v>
      </c>
      <c r="F229" s="36" t="s">
        <v>964</v>
      </c>
      <c r="G229" s="36" t="s">
        <v>972</v>
      </c>
      <c r="H229" s="36" t="str">
        <f t="shared" si="15"/>
        <v>道路客车</v>
      </c>
      <c r="I229" s="36" t="str">
        <f t="shared" si="16"/>
        <v>Passenger HDV</v>
      </c>
      <c r="J229" s="36">
        <v>1535</v>
      </c>
    </row>
    <row r="230" spans="1:10" x14ac:dyDescent="0.15">
      <c r="A230" s="36">
        <v>229</v>
      </c>
      <c r="B230" s="36">
        <v>2020</v>
      </c>
      <c r="C230" s="36" t="s">
        <v>958</v>
      </c>
      <c r="D230" s="36" t="str">
        <f t="shared" si="14"/>
        <v>battery electric vehicle</v>
      </c>
      <c r="E230" s="36" t="s">
        <v>969</v>
      </c>
      <c r="F230" s="36" t="s">
        <v>964</v>
      </c>
      <c r="G230" s="36" t="s">
        <v>972</v>
      </c>
      <c r="H230" s="36" t="str">
        <f t="shared" si="15"/>
        <v>道路客车</v>
      </c>
      <c r="I230" s="36" t="str">
        <f t="shared" si="16"/>
        <v>Passenger HDV</v>
      </c>
      <c r="J230" s="36">
        <v>667</v>
      </c>
    </row>
    <row r="231" spans="1:10" x14ac:dyDescent="0.15">
      <c r="A231" s="36">
        <v>230</v>
      </c>
      <c r="B231" s="36">
        <v>2021</v>
      </c>
      <c r="C231" s="36" t="s">
        <v>958</v>
      </c>
      <c r="D231" s="36" t="str">
        <f t="shared" si="14"/>
        <v>battery electric vehicle</v>
      </c>
      <c r="E231" s="36" t="s">
        <v>969</v>
      </c>
      <c r="F231" s="36" t="s">
        <v>964</v>
      </c>
      <c r="G231" s="36" t="s">
        <v>972</v>
      </c>
      <c r="H231" s="36" t="str">
        <f t="shared" si="15"/>
        <v>道路客车</v>
      </c>
      <c r="I231" s="36" t="str">
        <f t="shared" si="16"/>
        <v>Passenger HDV</v>
      </c>
      <c r="J231" s="36">
        <v>1144</v>
      </c>
    </row>
    <row r="232" spans="1:10" x14ac:dyDescent="0.15">
      <c r="A232" s="36">
        <v>231</v>
      </c>
      <c r="B232" s="36">
        <v>2015</v>
      </c>
      <c r="C232" s="36" t="s">
        <v>957</v>
      </c>
      <c r="D232" s="36" t="str">
        <f t="shared" si="14"/>
        <v>hybrid fuel vehicle</v>
      </c>
      <c r="E232" s="36" t="s">
        <v>969</v>
      </c>
      <c r="F232" s="36" t="s">
        <v>964</v>
      </c>
      <c r="G232" s="36" t="s">
        <v>972</v>
      </c>
      <c r="H232" s="36" t="str">
        <f t="shared" si="15"/>
        <v>道路客车</v>
      </c>
      <c r="I232" s="36" t="str">
        <f t="shared" si="16"/>
        <v>Passenger HDV</v>
      </c>
      <c r="J232" s="36">
        <v>327</v>
      </c>
    </row>
    <row r="233" spans="1:10" x14ac:dyDescent="0.15">
      <c r="A233" s="36">
        <v>232</v>
      </c>
      <c r="B233" s="36">
        <v>2016</v>
      </c>
      <c r="C233" s="36" t="s">
        <v>957</v>
      </c>
      <c r="D233" s="36" t="str">
        <f t="shared" si="14"/>
        <v>hybrid fuel vehicle</v>
      </c>
      <c r="E233" s="36" t="s">
        <v>969</v>
      </c>
      <c r="F233" s="36" t="s">
        <v>964</v>
      </c>
      <c r="G233" s="36" t="s">
        <v>972</v>
      </c>
      <c r="H233" s="36" t="str">
        <f t="shared" si="15"/>
        <v>道路客车</v>
      </c>
      <c r="I233" s="36" t="str">
        <f t="shared" si="16"/>
        <v>Passenger HDV</v>
      </c>
      <c r="J233" s="36">
        <v>473</v>
      </c>
    </row>
    <row r="234" spans="1:10" x14ac:dyDescent="0.15">
      <c r="A234" s="36">
        <v>233</v>
      </c>
      <c r="B234" s="36">
        <v>2017</v>
      </c>
      <c r="C234" s="36" t="s">
        <v>957</v>
      </c>
      <c r="D234" s="36" t="str">
        <f t="shared" si="14"/>
        <v>hybrid fuel vehicle</v>
      </c>
      <c r="E234" s="36" t="s">
        <v>969</v>
      </c>
      <c r="F234" s="36" t="s">
        <v>964</v>
      </c>
      <c r="G234" s="36" t="s">
        <v>972</v>
      </c>
      <c r="H234" s="36" t="str">
        <f t="shared" si="15"/>
        <v>道路客车</v>
      </c>
      <c r="I234" s="36" t="str">
        <f t="shared" si="16"/>
        <v>Passenger HDV</v>
      </c>
      <c r="J234" s="36">
        <v>4</v>
      </c>
    </row>
    <row r="235" spans="1:10" x14ac:dyDescent="0.15">
      <c r="A235" s="36">
        <v>234</v>
      </c>
      <c r="B235" s="36">
        <v>2018</v>
      </c>
      <c r="C235" s="36" t="s">
        <v>957</v>
      </c>
      <c r="D235" s="36" t="str">
        <f t="shared" si="14"/>
        <v>hybrid fuel vehicle</v>
      </c>
      <c r="E235" s="36" t="s">
        <v>969</v>
      </c>
      <c r="F235" s="36" t="s">
        <v>964</v>
      </c>
      <c r="G235" s="36" t="s">
        <v>972</v>
      </c>
      <c r="H235" s="36" t="str">
        <f t="shared" si="15"/>
        <v>道路客车</v>
      </c>
      <c r="I235" s="36" t="str">
        <f t="shared" si="16"/>
        <v>Passenger HDV</v>
      </c>
      <c r="J235" s="36">
        <v>11</v>
      </c>
    </row>
    <row r="236" spans="1:10" x14ac:dyDescent="0.15">
      <c r="A236" s="36">
        <v>235</v>
      </c>
      <c r="B236" s="36">
        <v>2018</v>
      </c>
      <c r="C236" s="36" t="s">
        <v>968</v>
      </c>
      <c r="D236" s="36" t="str">
        <f t="shared" si="14"/>
        <v>other fuel vehicle</v>
      </c>
      <c r="E236" s="36" t="s">
        <v>969</v>
      </c>
      <c r="F236" s="36" t="s">
        <v>964</v>
      </c>
      <c r="G236" s="36" t="s">
        <v>972</v>
      </c>
      <c r="H236" s="36" t="str">
        <f t="shared" si="15"/>
        <v>道路客车</v>
      </c>
      <c r="I236" s="36" t="str">
        <f t="shared" si="16"/>
        <v>Passenger HDV</v>
      </c>
      <c r="J236" s="36">
        <v>5</v>
      </c>
    </row>
    <row r="237" spans="1:10" x14ac:dyDescent="0.15">
      <c r="A237" s="36">
        <v>236</v>
      </c>
      <c r="B237" s="36">
        <v>2015</v>
      </c>
      <c r="C237" s="36" t="s">
        <v>952</v>
      </c>
      <c r="D237" s="36" t="str">
        <f t="shared" si="14"/>
        <v>gasoline vehicle</v>
      </c>
      <c r="E237" s="36" t="s">
        <v>969</v>
      </c>
      <c r="F237" s="36" t="s">
        <v>964</v>
      </c>
      <c r="G237" s="36" t="s">
        <v>972</v>
      </c>
      <c r="H237" s="36" t="str">
        <f t="shared" si="15"/>
        <v>道路客车</v>
      </c>
      <c r="I237" s="36" t="str">
        <f t="shared" si="16"/>
        <v>Passenger HDV</v>
      </c>
      <c r="J237" s="36">
        <v>2433</v>
      </c>
    </row>
    <row r="238" spans="1:10" x14ac:dyDescent="0.15">
      <c r="A238" s="36">
        <v>237</v>
      </c>
      <c r="B238" s="36">
        <v>2016</v>
      </c>
      <c r="C238" s="36" t="s">
        <v>952</v>
      </c>
      <c r="D238" s="36" t="str">
        <f t="shared" si="14"/>
        <v>gasoline vehicle</v>
      </c>
      <c r="E238" s="36" t="s">
        <v>969</v>
      </c>
      <c r="F238" s="36" t="s">
        <v>964</v>
      </c>
      <c r="G238" s="36" t="s">
        <v>972</v>
      </c>
      <c r="H238" s="36" t="str">
        <f t="shared" si="15"/>
        <v>道路客车</v>
      </c>
      <c r="I238" s="36" t="str">
        <f t="shared" si="16"/>
        <v>Passenger HDV</v>
      </c>
      <c r="J238" s="36">
        <v>2899</v>
      </c>
    </row>
    <row r="239" spans="1:10" x14ac:dyDescent="0.15">
      <c r="A239" s="36">
        <v>238</v>
      </c>
      <c r="B239" s="36">
        <v>2017</v>
      </c>
      <c r="C239" s="36" t="s">
        <v>952</v>
      </c>
      <c r="D239" s="36" t="str">
        <f t="shared" si="14"/>
        <v>gasoline vehicle</v>
      </c>
      <c r="E239" s="36" t="s">
        <v>969</v>
      </c>
      <c r="F239" s="36" t="s">
        <v>964</v>
      </c>
      <c r="G239" s="36" t="s">
        <v>972</v>
      </c>
      <c r="H239" s="36" t="str">
        <f t="shared" si="15"/>
        <v>道路客车</v>
      </c>
      <c r="I239" s="36" t="str">
        <f t="shared" si="16"/>
        <v>Passenger HDV</v>
      </c>
      <c r="J239" s="36">
        <v>3287</v>
      </c>
    </row>
    <row r="240" spans="1:10" x14ac:dyDescent="0.15">
      <c r="A240" s="36">
        <v>239</v>
      </c>
      <c r="B240" s="36">
        <v>2018</v>
      </c>
      <c r="C240" s="36" t="s">
        <v>952</v>
      </c>
      <c r="D240" s="36" t="str">
        <f t="shared" si="14"/>
        <v>gasoline vehicle</v>
      </c>
      <c r="E240" s="36" t="s">
        <v>969</v>
      </c>
      <c r="F240" s="36" t="s">
        <v>964</v>
      </c>
      <c r="G240" s="36" t="s">
        <v>972</v>
      </c>
      <c r="H240" s="36" t="str">
        <f t="shared" si="15"/>
        <v>道路客车</v>
      </c>
      <c r="I240" s="36" t="str">
        <f t="shared" si="16"/>
        <v>Passenger HDV</v>
      </c>
      <c r="J240" s="36">
        <v>4521</v>
      </c>
    </row>
    <row r="241" spans="1:10" x14ac:dyDescent="0.15">
      <c r="A241" s="36">
        <v>240</v>
      </c>
      <c r="B241" s="36">
        <v>2019</v>
      </c>
      <c r="C241" s="36" t="s">
        <v>952</v>
      </c>
      <c r="D241" s="36" t="str">
        <f t="shared" si="14"/>
        <v>gasoline vehicle</v>
      </c>
      <c r="E241" s="36" t="s">
        <v>969</v>
      </c>
      <c r="F241" s="36" t="s">
        <v>964</v>
      </c>
      <c r="G241" s="36" t="s">
        <v>972</v>
      </c>
      <c r="H241" s="36" t="str">
        <f t="shared" si="15"/>
        <v>道路客车</v>
      </c>
      <c r="I241" s="36" t="str">
        <f t="shared" si="16"/>
        <v>Passenger HDV</v>
      </c>
      <c r="J241" s="36">
        <v>3842</v>
      </c>
    </row>
    <row r="242" spans="1:10" x14ac:dyDescent="0.15">
      <c r="A242" s="36">
        <v>241</v>
      </c>
      <c r="B242" s="36">
        <v>2020</v>
      </c>
      <c r="C242" s="36" t="s">
        <v>952</v>
      </c>
      <c r="D242" s="36" t="str">
        <f t="shared" si="14"/>
        <v>gasoline vehicle</v>
      </c>
      <c r="E242" s="36" t="s">
        <v>969</v>
      </c>
      <c r="F242" s="36" t="s">
        <v>964</v>
      </c>
      <c r="G242" s="36" t="s">
        <v>972</v>
      </c>
      <c r="H242" s="36" t="str">
        <f t="shared" si="15"/>
        <v>道路客车</v>
      </c>
      <c r="I242" s="36" t="str">
        <f t="shared" si="16"/>
        <v>Passenger HDV</v>
      </c>
      <c r="J242" s="36">
        <v>3107</v>
      </c>
    </row>
    <row r="243" spans="1:10" x14ac:dyDescent="0.15">
      <c r="A243" s="36">
        <v>242</v>
      </c>
      <c r="B243" s="36">
        <v>2021</v>
      </c>
      <c r="C243" s="36" t="s">
        <v>952</v>
      </c>
      <c r="D243" s="36" t="str">
        <f t="shared" si="14"/>
        <v>gasoline vehicle</v>
      </c>
      <c r="E243" s="36" t="s">
        <v>969</v>
      </c>
      <c r="F243" s="36" t="s">
        <v>964</v>
      </c>
      <c r="G243" s="36" t="s">
        <v>972</v>
      </c>
      <c r="H243" s="36" t="str">
        <f t="shared" si="15"/>
        <v>道路客车</v>
      </c>
      <c r="I243" s="36" t="str">
        <f t="shared" si="16"/>
        <v>Passenger HDV</v>
      </c>
      <c r="J243" s="36">
        <v>3378</v>
      </c>
    </row>
    <row r="244" spans="1:10" x14ac:dyDescent="0.15">
      <c r="A244" s="36">
        <v>243</v>
      </c>
      <c r="B244" s="36">
        <v>2016</v>
      </c>
      <c r="C244" s="36" t="s">
        <v>956</v>
      </c>
      <c r="D244" s="36" t="str">
        <f t="shared" si="14"/>
        <v>natural gas vehicle</v>
      </c>
      <c r="E244" s="36" t="s">
        <v>969</v>
      </c>
      <c r="F244" s="36" t="s">
        <v>964</v>
      </c>
      <c r="G244" s="36" t="s">
        <v>972</v>
      </c>
      <c r="H244" s="36" t="str">
        <f t="shared" si="15"/>
        <v>道路客车</v>
      </c>
      <c r="I244" s="36" t="str">
        <f t="shared" si="16"/>
        <v>Passenger HDV</v>
      </c>
      <c r="J244" s="36">
        <v>6</v>
      </c>
    </row>
    <row r="245" spans="1:10" x14ac:dyDescent="0.15">
      <c r="A245" s="36">
        <v>244</v>
      </c>
      <c r="B245" s="36">
        <v>2016</v>
      </c>
      <c r="C245" s="36" t="s">
        <v>966</v>
      </c>
      <c r="D245" s="36" t="str">
        <f t="shared" si="14"/>
        <v>hydrogen vehicle</v>
      </c>
      <c r="E245" s="36" t="s">
        <v>969</v>
      </c>
      <c r="F245" s="36" t="s">
        <v>964</v>
      </c>
      <c r="G245" s="36" t="s">
        <v>972</v>
      </c>
      <c r="H245" s="36" t="str">
        <f t="shared" si="15"/>
        <v>道路客车</v>
      </c>
      <c r="I245" s="36" t="str">
        <f t="shared" si="16"/>
        <v>Passenger HDV</v>
      </c>
      <c r="J245" s="36">
        <v>5</v>
      </c>
    </row>
    <row r="246" spans="1:10" x14ac:dyDescent="0.15">
      <c r="A246" s="36">
        <v>245</v>
      </c>
      <c r="B246" s="36">
        <v>2017</v>
      </c>
      <c r="C246" s="36" t="s">
        <v>966</v>
      </c>
      <c r="D246" s="36" t="str">
        <f t="shared" si="14"/>
        <v>hydrogen vehicle</v>
      </c>
      <c r="E246" s="36" t="s">
        <v>969</v>
      </c>
      <c r="F246" s="36" t="s">
        <v>964</v>
      </c>
      <c r="G246" s="36" t="s">
        <v>972</v>
      </c>
      <c r="H246" s="36" t="str">
        <f t="shared" si="15"/>
        <v>道路客车</v>
      </c>
      <c r="I246" s="36" t="str">
        <f t="shared" si="16"/>
        <v>Passenger HDV</v>
      </c>
      <c r="J246" s="36">
        <v>112</v>
      </c>
    </row>
    <row r="247" spans="1:10" x14ac:dyDescent="0.15">
      <c r="A247" s="36">
        <v>246</v>
      </c>
      <c r="B247" s="36">
        <v>2018</v>
      </c>
      <c r="C247" s="36" t="s">
        <v>966</v>
      </c>
      <c r="D247" s="36" t="str">
        <f t="shared" si="14"/>
        <v>hydrogen vehicle</v>
      </c>
      <c r="E247" s="36" t="s">
        <v>969</v>
      </c>
      <c r="F247" s="36" t="s">
        <v>964</v>
      </c>
      <c r="G247" s="36" t="s">
        <v>972</v>
      </c>
      <c r="H247" s="36" t="str">
        <f t="shared" si="15"/>
        <v>道路客车</v>
      </c>
      <c r="I247" s="36" t="str">
        <f t="shared" si="16"/>
        <v>Passenger HDV</v>
      </c>
      <c r="J247" s="36">
        <v>95</v>
      </c>
    </row>
    <row r="248" spans="1:10" x14ac:dyDescent="0.15">
      <c r="A248" s="36">
        <v>247</v>
      </c>
      <c r="B248" s="36">
        <v>2019</v>
      </c>
      <c r="C248" s="36" t="s">
        <v>966</v>
      </c>
      <c r="D248" s="36" t="str">
        <f t="shared" si="14"/>
        <v>hydrogen vehicle</v>
      </c>
      <c r="E248" s="36" t="s">
        <v>969</v>
      </c>
      <c r="F248" s="36" t="s">
        <v>964</v>
      </c>
      <c r="G248" s="36" t="s">
        <v>972</v>
      </c>
      <c r="H248" s="36" t="str">
        <f t="shared" si="15"/>
        <v>道路客车</v>
      </c>
      <c r="I248" s="36" t="str">
        <f t="shared" si="16"/>
        <v>Passenger HDV</v>
      </c>
      <c r="J248" s="36">
        <v>121</v>
      </c>
    </row>
    <row r="249" spans="1:10" x14ac:dyDescent="0.15">
      <c r="A249" s="36">
        <v>248</v>
      </c>
      <c r="B249" s="36">
        <v>2020</v>
      </c>
      <c r="C249" s="36" t="s">
        <v>966</v>
      </c>
      <c r="D249" s="36" t="str">
        <f t="shared" si="14"/>
        <v>hydrogen vehicle</v>
      </c>
      <c r="E249" s="36" t="s">
        <v>969</v>
      </c>
      <c r="F249" s="36" t="s">
        <v>964</v>
      </c>
      <c r="G249" s="36" t="s">
        <v>972</v>
      </c>
      <c r="H249" s="36" t="str">
        <f t="shared" si="15"/>
        <v>道路客车</v>
      </c>
      <c r="I249" s="36" t="str">
        <f t="shared" si="16"/>
        <v>Passenger HDV</v>
      </c>
      <c r="J249" s="36">
        <v>2</v>
      </c>
    </row>
    <row r="250" spans="1:10" x14ac:dyDescent="0.15">
      <c r="A250" s="36">
        <v>249</v>
      </c>
      <c r="B250" s="36">
        <v>2021</v>
      </c>
      <c r="C250" s="36" t="s">
        <v>966</v>
      </c>
      <c r="D250" s="36" t="str">
        <f t="shared" si="14"/>
        <v>hydrogen vehicle</v>
      </c>
      <c r="E250" s="36" t="s">
        <v>969</v>
      </c>
      <c r="F250" s="36" t="s">
        <v>964</v>
      </c>
      <c r="G250" s="36" t="s">
        <v>972</v>
      </c>
      <c r="H250" s="36" t="str">
        <f t="shared" si="15"/>
        <v>道路客车</v>
      </c>
      <c r="I250" s="36" t="str">
        <f t="shared" si="16"/>
        <v>Passenger HDV</v>
      </c>
      <c r="J250" s="36">
        <v>78</v>
      </c>
    </row>
    <row r="251" spans="1:10" x14ac:dyDescent="0.15">
      <c r="A251" s="36">
        <v>250</v>
      </c>
      <c r="B251" s="36">
        <v>2015</v>
      </c>
      <c r="C251" s="36" t="s">
        <v>955</v>
      </c>
      <c r="D251" s="36" t="str">
        <f t="shared" si="14"/>
        <v>natural gas vehicle</v>
      </c>
      <c r="E251" s="36" t="s">
        <v>969</v>
      </c>
      <c r="F251" s="36" t="s">
        <v>964</v>
      </c>
      <c r="G251" s="36" t="s">
        <v>972</v>
      </c>
      <c r="H251" s="36" t="str">
        <f t="shared" si="15"/>
        <v>道路客车</v>
      </c>
      <c r="I251" s="36" t="str">
        <f t="shared" si="16"/>
        <v>Passenger HDV</v>
      </c>
      <c r="J251" s="36">
        <v>420</v>
      </c>
    </row>
    <row r="252" spans="1:10" x14ac:dyDescent="0.15">
      <c r="A252" s="36">
        <v>251</v>
      </c>
      <c r="B252" s="36">
        <v>2016</v>
      </c>
      <c r="C252" s="36" t="s">
        <v>955</v>
      </c>
      <c r="D252" s="36" t="str">
        <f t="shared" si="14"/>
        <v>natural gas vehicle</v>
      </c>
      <c r="E252" s="36" t="s">
        <v>969</v>
      </c>
      <c r="F252" s="36" t="s">
        <v>964</v>
      </c>
      <c r="G252" s="36" t="s">
        <v>972</v>
      </c>
      <c r="H252" s="36" t="str">
        <f t="shared" si="15"/>
        <v>道路客车</v>
      </c>
      <c r="I252" s="36" t="str">
        <f t="shared" si="16"/>
        <v>Passenger HDV</v>
      </c>
      <c r="J252" s="36">
        <v>538</v>
      </c>
    </row>
    <row r="253" spans="1:10" x14ac:dyDescent="0.15">
      <c r="A253" s="36">
        <v>252</v>
      </c>
      <c r="B253" s="36">
        <v>2017</v>
      </c>
      <c r="C253" s="36" t="s">
        <v>955</v>
      </c>
      <c r="D253" s="36" t="str">
        <f t="shared" si="14"/>
        <v>natural gas vehicle</v>
      </c>
      <c r="E253" s="36" t="s">
        <v>969</v>
      </c>
      <c r="F253" s="36" t="s">
        <v>964</v>
      </c>
      <c r="G253" s="36" t="s">
        <v>972</v>
      </c>
      <c r="H253" s="36" t="str">
        <f t="shared" si="15"/>
        <v>道路客车</v>
      </c>
      <c r="I253" s="36" t="str">
        <f t="shared" si="16"/>
        <v>Passenger HDV</v>
      </c>
      <c r="J253" s="36">
        <v>381</v>
      </c>
    </row>
    <row r="254" spans="1:10" x14ac:dyDescent="0.15">
      <c r="A254" s="36">
        <v>253</v>
      </c>
      <c r="B254" s="36">
        <v>2018</v>
      </c>
      <c r="C254" s="36" t="s">
        <v>955</v>
      </c>
      <c r="D254" s="36" t="str">
        <f t="shared" si="14"/>
        <v>natural gas vehicle</v>
      </c>
      <c r="E254" s="36" t="s">
        <v>969</v>
      </c>
      <c r="F254" s="36" t="s">
        <v>964</v>
      </c>
      <c r="G254" s="36" t="s">
        <v>972</v>
      </c>
      <c r="H254" s="36" t="str">
        <f t="shared" si="15"/>
        <v>道路客车</v>
      </c>
      <c r="I254" s="36" t="str">
        <f t="shared" si="16"/>
        <v>Passenger HDV</v>
      </c>
      <c r="J254" s="36">
        <v>254</v>
      </c>
    </row>
    <row r="255" spans="1:10" x14ac:dyDescent="0.15">
      <c r="A255" s="36">
        <v>254</v>
      </c>
      <c r="B255" s="36">
        <v>2019</v>
      </c>
      <c r="C255" s="36" t="s">
        <v>955</v>
      </c>
      <c r="D255" s="36" t="str">
        <f t="shared" si="14"/>
        <v>natural gas vehicle</v>
      </c>
      <c r="E255" s="36" t="s">
        <v>969</v>
      </c>
      <c r="F255" s="36" t="s">
        <v>964</v>
      </c>
      <c r="G255" s="36" t="s">
        <v>972</v>
      </c>
      <c r="H255" s="36" t="str">
        <f t="shared" si="15"/>
        <v>道路客车</v>
      </c>
      <c r="I255" s="36" t="str">
        <f t="shared" si="16"/>
        <v>Passenger HDV</v>
      </c>
      <c r="J255" s="36">
        <v>106</v>
      </c>
    </row>
    <row r="256" spans="1:10" x14ac:dyDescent="0.15">
      <c r="A256" s="36">
        <v>255</v>
      </c>
      <c r="B256" s="36">
        <v>2020</v>
      </c>
      <c r="C256" s="36" t="s">
        <v>955</v>
      </c>
      <c r="D256" s="36" t="str">
        <f t="shared" si="14"/>
        <v>natural gas vehicle</v>
      </c>
      <c r="E256" s="36" t="s">
        <v>969</v>
      </c>
      <c r="F256" s="36" t="s">
        <v>964</v>
      </c>
      <c r="G256" s="36" t="s">
        <v>972</v>
      </c>
      <c r="H256" s="36" t="str">
        <f t="shared" si="15"/>
        <v>道路客车</v>
      </c>
      <c r="I256" s="36" t="str">
        <f t="shared" si="16"/>
        <v>Passenger HDV</v>
      </c>
      <c r="J256" s="36">
        <v>94</v>
      </c>
    </row>
    <row r="257" spans="1:10" x14ac:dyDescent="0.15">
      <c r="A257" s="36">
        <v>256</v>
      </c>
      <c r="B257" s="36">
        <v>2021</v>
      </c>
      <c r="C257" s="36" t="s">
        <v>955</v>
      </c>
      <c r="D257" s="36" t="str">
        <f t="shared" si="14"/>
        <v>natural gas vehicle</v>
      </c>
      <c r="E257" s="36" t="s">
        <v>969</v>
      </c>
      <c r="F257" s="36" t="s">
        <v>964</v>
      </c>
      <c r="G257" s="36" t="s">
        <v>972</v>
      </c>
      <c r="H257" s="36" t="str">
        <f t="shared" si="15"/>
        <v>道路客车</v>
      </c>
      <c r="I257" s="36" t="str">
        <f t="shared" si="16"/>
        <v>Passenger HDV</v>
      </c>
      <c r="J257" s="36">
        <v>139</v>
      </c>
    </row>
    <row r="258" spans="1:10" x14ac:dyDescent="0.15">
      <c r="A258" s="36">
        <v>257</v>
      </c>
      <c r="B258" s="36">
        <v>2018</v>
      </c>
      <c r="C258" s="36" t="s">
        <v>961</v>
      </c>
      <c r="D258" s="36" t="str">
        <f t="shared" ref="D258:D321" si="17">VLOOKUP(C258,M$3:N$16,2,FALSE)</f>
        <v>plugin hybrid vehicle</v>
      </c>
      <c r="E258" s="36" t="s">
        <v>979</v>
      </c>
      <c r="F258" s="36" t="s">
        <v>964</v>
      </c>
      <c r="G258" s="36" t="s">
        <v>972</v>
      </c>
      <c r="H258" s="36" t="str">
        <f t="shared" ref="H258:H321" si="18">VLOOKUP(E258&amp;F258&amp;G258,$S$3:$U$68,2,FALSE)</f>
        <v>轻型货车</v>
      </c>
      <c r="I258" s="36" t="str">
        <f t="shared" ref="I258:I321" si="19">VLOOKUP(E258&amp;F258&amp;G258,$S$3:$U$68,3,FALSE)</f>
        <v>Freight LDV</v>
      </c>
      <c r="J258" s="36">
        <v>1</v>
      </c>
    </row>
    <row r="259" spans="1:10" x14ac:dyDescent="0.15">
      <c r="A259" s="36">
        <v>258</v>
      </c>
      <c r="B259" s="36">
        <v>2019</v>
      </c>
      <c r="C259" s="36" t="s">
        <v>961</v>
      </c>
      <c r="D259" s="36" t="str">
        <f t="shared" si="17"/>
        <v>plugin hybrid vehicle</v>
      </c>
      <c r="E259" s="36" t="s">
        <v>979</v>
      </c>
      <c r="F259" s="36" t="s">
        <v>964</v>
      </c>
      <c r="G259" s="36" t="s">
        <v>972</v>
      </c>
      <c r="H259" s="36" t="str">
        <f t="shared" si="18"/>
        <v>轻型货车</v>
      </c>
      <c r="I259" s="36" t="str">
        <f t="shared" si="19"/>
        <v>Freight LDV</v>
      </c>
      <c r="J259" s="36">
        <v>33</v>
      </c>
    </row>
    <row r="260" spans="1:10" x14ac:dyDescent="0.15">
      <c r="A260" s="36">
        <v>259</v>
      </c>
      <c r="B260" s="36">
        <v>2020</v>
      </c>
      <c r="C260" s="36" t="s">
        <v>961</v>
      </c>
      <c r="D260" s="36" t="str">
        <f t="shared" si="17"/>
        <v>plugin hybrid vehicle</v>
      </c>
      <c r="E260" s="36" t="s">
        <v>979</v>
      </c>
      <c r="F260" s="36" t="s">
        <v>964</v>
      </c>
      <c r="G260" s="36" t="s">
        <v>972</v>
      </c>
      <c r="H260" s="36" t="str">
        <f t="shared" si="18"/>
        <v>轻型货车</v>
      </c>
      <c r="I260" s="36" t="str">
        <f t="shared" si="19"/>
        <v>Freight LDV</v>
      </c>
      <c r="J260" s="36">
        <v>75</v>
      </c>
    </row>
    <row r="261" spans="1:10" x14ac:dyDescent="0.15">
      <c r="A261" s="36">
        <v>260</v>
      </c>
      <c r="B261" s="36">
        <v>2021</v>
      </c>
      <c r="C261" s="36" t="s">
        <v>961</v>
      </c>
      <c r="D261" s="36" t="str">
        <f t="shared" si="17"/>
        <v>plugin hybrid vehicle</v>
      </c>
      <c r="E261" s="36" t="s">
        <v>979</v>
      </c>
      <c r="F261" s="36" t="s">
        <v>964</v>
      </c>
      <c r="G261" s="36" t="s">
        <v>972</v>
      </c>
      <c r="H261" s="36" t="str">
        <f t="shared" si="18"/>
        <v>轻型货车</v>
      </c>
      <c r="I261" s="36" t="str">
        <f t="shared" si="19"/>
        <v>Freight LDV</v>
      </c>
      <c r="J261" s="36">
        <v>228</v>
      </c>
    </row>
    <row r="262" spans="1:10" x14ac:dyDescent="0.15">
      <c r="A262" s="36">
        <v>261</v>
      </c>
      <c r="B262" s="36">
        <v>2015</v>
      </c>
      <c r="C262" s="36" t="s">
        <v>953</v>
      </c>
      <c r="D262" s="36" t="str">
        <f t="shared" si="17"/>
        <v>diesel vehicle</v>
      </c>
      <c r="E262" s="36" t="s">
        <v>979</v>
      </c>
      <c r="F262" s="36" t="s">
        <v>964</v>
      </c>
      <c r="G262" s="36" t="s">
        <v>972</v>
      </c>
      <c r="H262" s="36" t="str">
        <f t="shared" si="18"/>
        <v>轻型货车</v>
      </c>
      <c r="I262" s="36" t="str">
        <f t="shared" si="19"/>
        <v>Freight LDV</v>
      </c>
      <c r="J262" s="36">
        <v>468624</v>
      </c>
    </row>
    <row r="263" spans="1:10" x14ac:dyDescent="0.15">
      <c r="A263" s="36">
        <v>262</v>
      </c>
      <c r="B263" s="36">
        <v>2016</v>
      </c>
      <c r="C263" s="36" t="s">
        <v>953</v>
      </c>
      <c r="D263" s="36" t="str">
        <f t="shared" si="17"/>
        <v>diesel vehicle</v>
      </c>
      <c r="E263" s="36" t="s">
        <v>979</v>
      </c>
      <c r="F263" s="36" t="s">
        <v>964</v>
      </c>
      <c r="G263" s="36" t="s">
        <v>972</v>
      </c>
      <c r="H263" s="36" t="str">
        <f t="shared" si="18"/>
        <v>轻型货车</v>
      </c>
      <c r="I263" s="36" t="str">
        <f t="shared" si="19"/>
        <v>Freight LDV</v>
      </c>
      <c r="J263" s="36">
        <v>530822</v>
      </c>
    </row>
    <row r="264" spans="1:10" x14ac:dyDescent="0.15">
      <c r="A264" s="36">
        <v>263</v>
      </c>
      <c r="B264" s="36">
        <v>2017</v>
      </c>
      <c r="C264" s="36" t="s">
        <v>953</v>
      </c>
      <c r="D264" s="36" t="str">
        <f t="shared" si="17"/>
        <v>diesel vehicle</v>
      </c>
      <c r="E264" s="36" t="s">
        <v>979</v>
      </c>
      <c r="F264" s="36" t="s">
        <v>964</v>
      </c>
      <c r="G264" s="36" t="s">
        <v>972</v>
      </c>
      <c r="H264" s="36" t="str">
        <f t="shared" si="18"/>
        <v>轻型货车</v>
      </c>
      <c r="I264" s="36" t="str">
        <f t="shared" si="19"/>
        <v>Freight LDV</v>
      </c>
      <c r="J264" s="36">
        <v>594022</v>
      </c>
    </row>
    <row r="265" spans="1:10" x14ac:dyDescent="0.15">
      <c r="A265" s="36">
        <v>264</v>
      </c>
      <c r="B265" s="36">
        <v>2018</v>
      </c>
      <c r="C265" s="36" t="s">
        <v>953</v>
      </c>
      <c r="D265" s="36" t="str">
        <f t="shared" si="17"/>
        <v>diesel vehicle</v>
      </c>
      <c r="E265" s="36" t="s">
        <v>979</v>
      </c>
      <c r="F265" s="36" t="s">
        <v>964</v>
      </c>
      <c r="G265" s="36" t="s">
        <v>972</v>
      </c>
      <c r="H265" s="36" t="str">
        <f t="shared" si="18"/>
        <v>轻型货车</v>
      </c>
      <c r="I265" s="36" t="str">
        <f t="shared" si="19"/>
        <v>Freight LDV</v>
      </c>
      <c r="J265" s="36">
        <v>625602</v>
      </c>
    </row>
    <row r="266" spans="1:10" x14ac:dyDescent="0.15">
      <c r="A266" s="36">
        <v>265</v>
      </c>
      <c r="B266" s="36">
        <v>2019</v>
      </c>
      <c r="C266" s="36" t="s">
        <v>953</v>
      </c>
      <c r="D266" s="36" t="str">
        <f t="shared" si="17"/>
        <v>diesel vehicle</v>
      </c>
      <c r="E266" s="36" t="s">
        <v>979</v>
      </c>
      <c r="F266" s="36" t="s">
        <v>964</v>
      </c>
      <c r="G266" s="36" t="s">
        <v>972</v>
      </c>
      <c r="H266" s="36" t="str">
        <f t="shared" si="18"/>
        <v>轻型货车</v>
      </c>
      <c r="I266" s="36" t="str">
        <f t="shared" si="19"/>
        <v>Freight LDV</v>
      </c>
      <c r="J266" s="36">
        <v>753419</v>
      </c>
    </row>
    <row r="267" spans="1:10" x14ac:dyDescent="0.15">
      <c r="A267" s="36">
        <v>266</v>
      </c>
      <c r="B267" s="36">
        <v>2020</v>
      </c>
      <c r="C267" s="36" t="s">
        <v>953</v>
      </c>
      <c r="D267" s="36" t="str">
        <f t="shared" si="17"/>
        <v>diesel vehicle</v>
      </c>
      <c r="E267" s="36" t="s">
        <v>979</v>
      </c>
      <c r="F267" s="36" t="s">
        <v>964</v>
      </c>
      <c r="G267" s="36" t="s">
        <v>972</v>
      </c>
      <c r="H267" s="36" t="str">
        <f t="shared" si="18"/>
        <v>轻型货车</v>
      </c>
      <c r="I267" s="36" t="str">
        <f t="shared" si="19"/>
        <v>Freight LDV</v>
      </c>
      <c r="J267" s="36">
        <v>982813</v>
      </c>
    </row>
    <row r="268" spans="1:10" x14ac:dyDescent="0.15">
      <c r="A268" s="36">
        <v>267</v>
      </c>
      <c r="B268" s="36">
        <v>2021</v>
      </c>
      <c r="C268" s="36" t="s">
        <v>953</v>
      </c>
      <c r="D268" s="36" t="str">
        <f t="shared" si="17"/>
        <v>diesel vehicle</v>
      </c>
      <c r="E268" s="36" t="s">
        <v>979</v>
      </c>
      <c r="F268" s="36" t="s">
        <v>964</v>
      </c>
      <c r="G268" s="36" t="s">
        <v>972</v>
      </c>
      <c r="H268" s="36" t="str">
        <f t="shared" si="18"/>
        <v>轻型货车</v>
      </c>
      <c r="I268" s="36" t="str">
        <f t="shared" si="19"/>
        <v>Freight LDV</v>
      </c>
      <c r="J268" s="36">
        <v>921203</v>
      </c>
    </row>
    <row r="269" spans="1:10" x14ac:dyDescent="0.15">
      <c r="A269" s="36">
        <v>268</v>
      </c>
      <c r="B269" s="36">
        <v>2015</v>
      </c>
      <c r="C269" s="36" t="s">
        <v>958</v>
      </c>
      <c r="D269" s="36" t="str">
        <f t="shared" si="17"/>
        <v>battery electric vehicle</v>
      </c>
      <c r="E269" s="36" t="s">
        <v>979</v>
      </c>
      <c r="F269" s="36" t="s">
        <v>964</v>
      </c>
      <c r="G269" s="36" t="s">
        <v>972</v>
      </c>
      <c r="H269" s="36" t="str">
        <f t="shared" si="18"/>
        <v>轻型货车</v>
      </c>
      <c r="I269" s="36" t="str">
        <f t="shared" si="19"/>
        <v>Freight LDV</v>
      </c>
      <c r="J269" s="36">
        <v>16406</v>
      </c>
    </row>
    <row r="270" spans="1:10" x14ac:dyDescent="0.15">
      <c r="A270" s="36">
        <v>269</v>
      </c>
      <c r="B270" s="36">
        <v>2016</v>
      </c>
      <c r="C270" s="36" t="s">
        <v>958</v>
      </c>
      <c r="D270" s="36" t="str">
        <f t="shared" si="17"/>
        <v>battery electric vehicle</v>
      </c>
      <c r="E270" s="36" t="s">
        <v>979</v>
      </c>
      <c r="F270" s="36" t="s">
        <v>964</v>
      </c>
      <c r="G270" s="36" t="s">
        <v>972</v>
      </c>
      <c r="H270" s="36" t="str">
        <f t="shared" si="18"/>
        <v>轻型货车</v>
      </c>
      <c r="I270" s="36" t="str">
        <f t="shared" si="19"/>
        <v>Freight LDV</v>
      </c>
      <c r="J270" s="36">
        <v>4879</v>
      </c>
    </row>
    <row r="271" spans="1:10" x14ac:dyDescent="0.15">
      <c r="A271" s="36">
        <v>270</v>
      </c>
      <c r="B271" s="36">
        <v>2017</v>
      </c>
      <c r="C271" s="36" t="s">
        <v>958</v>
      </c>
      <c r="D271" s="36" t="str">
        <f t="shared" si="17"/>
        <v>battery electric vehicle</v>
      </c>
      <c r="E271" s="36" t="s">
        <v>979</v>
      </c>
      <c r="F271" s="36" t="s">
        <v>964</v>
      </c>
      <c r="G271" s="36" t="s">
        <v>972</v>
      </c>
      <c r="H271" s="36" t="str">
        <f t="shared" si="18"/>
        <v>轻型货车</v>
      </c>
      <c r="I271" s="36" t="str">
        <f t="shared" si="19"/>
        <v>Freight LDV</v>
      </c>
      <c r="J271" s="36">
        <v>7500</v>
      </c>
    </row>
    <row r="272" spans="1:10" x14ac:dyDescent="0.15">
      <c r="A272" s="36">
        <v>271</v>
      </c>
      <c r="B272" s="36">
        <v>2018</v>
      </c>
      <c r="C272" s="36" t="s">
        <v>958</v>
      </c>
      <c r="D272" s="36" t="str">
        <f t="shared" si="17"/>
        <v>battery electric vehicle</v>
      </c>
      <c r="E272" s="36" t="s">
        <v>979</v>
      </c>
      <c r="F272" s="36" t="s">
        <v>964</v>
      </c>
      <c r="G272" s="36" t="s">
        <v>972</v>
      </c>
      <c r="H272" s="36" t="str">
        <f t="shared" si="18"/>
        <v>轻型货车</v>
      </c>
      <c r="I272" s="36" t="str">
        <f t="shared" si="19"/>
        <v>Freight LDV</v>
      </c>
      <c r="J272" s="36">
        <v>14321</v>
      </c>
    </row>
    <row r="273" spans="1:10" x14ac:dyDescent="0.15">
      <c r="A273" s="36">
        <v>272</v>
      </c>
      <c r="B273" s="36">
        <v>2019</v>
      </c>
      <c r="C273" s="36" t="s">
        <v>958</v>
      </c>
      <c r="D273" s="36" t="str">
        <f t="shared" si="17"/>
        <v>battery electric vehicle</v>
      </c>
      <c r="E273" s="36" t="s">
        <v>979</v>
      </c>
      <c r="F273" s="36" t="s">
        <v>964</v>
      </c>
      <c r="G273" s="36" t="s">
        <v>972</v>
      </c>
      <c r="H273" s="36" t="str">
        <f t="shared" si="18"/>
        <v>轻型货车</v>
      </c>
      <c r="I273" s="36" t="str">
        <f t="shared" si="19"/>
        <v>Freight LDV</v>
      </c>
      <c r="J273" s="36">
        <v>6179</v>
      </c>
    </row>
    <row r="274" spans="1:10" x14ac:dyDescent="0.15">
      <c r="A274" s="36">
        <v>273</v>
      </c>
      <c r="B274" s="36">
        <v>2020</v>
      </c>
      <c r="C274" s="36" t="s">
        <v>958</v>
      </c>
      <c r="D274" s="36" t="str">
        <f t="shared" si="17"/>
        <v>battery electric vehicle</v>
      </c>
      <c r="E274" s="36" t="s">
        <v>979</v>
      </c>
      <c r="F274" s="36" t="s">
        <v>964</v>
      </c>
      <c r="G274" s="36" t="s">
        <v>972</v>
      </c>
      <c r="H274" s="36" t="str">
        <f t="shared" si="18"/>
        <v>轻型货车</v>
      </c>
      <c r="I274" s="36" t="str">
        <f t="shared" si="19"/>
        <v>Freight LDV</v>
      </c>
      <c r="J274" s="36">
        <v>5402</v>
      </c>
    </row>
    <row r="275" spans="1:10" x14ac:dyDescent="0.15">
      <c r="A275" s="36">
        <v>274</v>
      </c>
      <c r="B275" s="36">
        <v>2021</v>
      </c>
      <c r="C275" s="36" t="s">
        <v>958</v>
      </c>
      <c r="D275" s="36" t="str">
        <f t="shared" si="17"/>
        <v>battery electric vehicle</v>
      </c>
      <c r="E275" s="36" t="s">
        <v>979</v>
      </c>
      <c r="F275" s="36" t="s">
        <v>964</v>
      </c>
      <c r="G275" s="36" t="s">
        <v>972</v>
      </c>
      <c r="H275" s="36" t="str">
        <f t="shared" si="18"/>
        <v>轻型货车</v>
      </c>
      <c r="I275" s="36" t="str">
        <f t="shared" si="19"/>
        <v>Freight LDV</v>
      </c>
      <c r="J275" s="36">
        <v>13152</v>
      </c>
    </row>
    <row r="276" spans="1:10" x14ac:dyDescent="0.15">
      <c r="A276" s="36">
        <v>275</v>
      </c>
      <c r="B276" s="36">
        <v>2015</v>
      </c>
      <c r="C276" s="36" t="s">
        <v>957</v>
      </c>
      <c r="D276" s="36" t="str">
        <f t="shared" si="17"/>
        <v>hybrid fuel vehicle</v>
      </c>
      <c r="E276" s="36" t="s">
        <v>979</v>
      </c>
      <c r="F276" s="36" t="s">
        <v>964</v>
      </c>
      <c r="G276" s="36" t="s">
        <v>972</v>
      </c>
      <c r="H276" s="36" t="str">
        <f t="shared" si="18"/>
        <v>轻型货车</v>
      </c>
      <c r="I276" s="36" t="str">
        <f t="shared" si="19"/>
        <v>Freight LDV</v>
      </c>
      <c r="J276" s="36">
        <v>1</v>
      </c>
    </row>
    <row r="277" spans="1:10" x14ac:dyDescent="0.15">
      <c r="A277" s="36">
        <v>276</v>
      </c>
      <c r="B277" s="36">
        <v>2021</v>
      </c>
      <c r="C277" s="36" t="s">
        <v>957</v>
      </c>
      <c r="D277" s="36" t="str">
        <f t="shared" si="17"/>
        <v>hybrid fuel vehicle</v>
      </c>
      <c r="E277" s="36" t="s">
        <v>979</v>
      </c>
      <c r="F277" s="36" t="s">
        <v>964</v>
      </c>
      <c r="G277" s="36" t="s">
        <v>972</v>
      </c>
      <c r="H277" s="36" t="str">
        <f t="shared" si="18"/>
        <v>轻型货车</v>
      </c>
      <c r="I277" s="36" t="str">
        <f t="shared" si="19"/>
        <v>Freight LDV</v>
      </c>
      <c r="J277" s="36">
        <v>1</v>
      </c>
    </row>
    <row r="278" spans="1:10" x14ac:dyDescent="0.15">
      <c r="A278" s="36">
        <v>277</v>
      </c>
      <c r="B278" s="36">
        <v>2015</v>
      </c>
      <c r="C278" s="36" t="s">
        <v>952</v>
      </c>
      <c r="D278" s="36" t="str">
        <f t="shared" si="17"/>
        <v>gasoline vehicle</v>
      </c>
      <c r="E278" s="36" t="s">
        <v>979</v>
      </c>
      <c r="F278" s="36" t="s">
        <v>964</v>
      </c>
      <c r="G278" s="36" t="s">
        <v>972</v>
      </c>
      <c r="H278" s="36" t="str">
        <f t="shared" si="18"/>
        <v>轻型货车</v>
      </c>
      <c r="I278" s="36" t="str">
        <f t="shared" si="19"/>
        <v>Freight LDV</v>
      </c>
      <c r="J278" s="36">
        <v>553018</v>
      </c>
    </row>
    <row r="279" spans="1:10" x14ac:dyDescent="0.15">
      <c r="A279" s="36">
        <v>278</v>
      </c>
      <c r="B279" s="36">
        <v>2016</v>
      </c>
      <c r="C279" s="36" t="s">
        <v>952</v>
      </c>
      <c r="D279" s="36" t="str">
        <f t="shared" si="17"/>
        <v>gasoline vehicle</v>
      </c>
      <c r="E279" s="36" t="s">
        <v>979</v>
      </c>
      <c r="F279" s="36" t="s">
        <v>964</v>
      </c>
      <c r="G279" s="36" t="s">
        <v>972</v>
      </c>
      <c r="H279" s="36" t="str">
        <f t="shared" si="18"/>
        <v>轻型货车</v>
      </c>
      <c r="I279" s="36" t="str">
        <f t="shared" si="19"/>
        <v>Freight LDV</v>
      </c>
      <c r="J279" s="36">
        <v>627167</v>
      </c>
    </row>
    <row r="280" spans="1:10" x14ac:dyDescent="0.15">
      <c r="A280" s="36">
        <v>279</v>
      </c>
      <c r="B280" s="36">
        <v>2017</v>
      </c>
      <c r="C280" s="36" t="s">
        <v>952</v>
      </c>
      <c r="D280" s="36" t="str">
        <f t="shared" si="17"/>
        <v>gasoline vehicle</v>
      </c>
      <c r="E280" s="36" t="s">
        <v>979</v>
      </c>
      <c r="F280" s="36" t="s">
        <v>964</v>
      </c>
      <c r="G280" s="36" t="s">
        <v>972</v>
      </c>
      <c r="H280" s="36" t="str">
        <f t="shared" si="18"/>
        <v>轻型货车</v>
      </c>
      <c r="I280" s="36" t="str">
        <f t="shared" si="19"/>
        <v>Freight LDV</v>
      </c>
      <c r="J280" s="36">
        <v>674868</v>
      </c>
    </row>
    <row r="281" spans="1:10" x14ac:dyDescent="0.15">
      <c r="A281" s="36">
        <v>280</v>
      </c>
      <c r="B281" s="36">
        <v>2018</v>
      </c>
      <c r="C281" s="36" t="s">
        <v>952</v>
      </c>
      <c r="D281" s="36" t="str">
        <f t="shared" si="17"/>
        <v>gasoline vehicle</v>
      </c>
      <c r="E281" s="36" t="s">
        <v>979</v>
      </c>
      <c r="F281" s="36" t="s">
        <v>964</v>
      </c>
      <c r="G281" s="36" t="s">
        <v>972</v>
      </c>
      <c r="H281" s="36" t="str">
        <f t="shared" si="18"/>
        <v>轻型货车</v>
      </c>
      <c r="I281" s="36" t="str">
        <f t="shared" si="19"/>
        <v>Freight LDV</v>
      </c>
      <c r="J281" s="36">
        <v>841242</v>
      </c>
    </row>
    <row r="282" spans="1:10" x14ac:dyDescent="0.15">
      <c r="A282" s="36">
        <v>281</v>
      </c>
      <c r="B282" s="36">
        <v>2019</v>
      </c>
      <c r="C282" s="36" t="s">
        <v>952</v>
      </c>
      <c r="D282" s="36" t="str">
        <f t="shared" si="17"/>
        <v>gasoline vehicle</v>
      </c>
      <c r="E282" s="36" t="s">
        <v>979</v>
      </c>
      <c r="F282" s="36" t="s">
        <v>964</v>
      </c>
      <c r="G282" s="36" t="s">
        <v>972</v>
      </c>
      <c r="H282" s="36" t="str">
        <f t="shared" si="18"/>
        <v>轻型货车</v>
      </c>
      <c r="I282" s="36" t="str">
        <f t="shared" si="19"/>
        <v>Freight LDV</v>
      </c>
      <c r="J282" s="36">
        <v>1015382</v>
      </c>
    </row>
    <row r="283" spans="1:10" x14ac:dyDescent="0.15">
      <c r="A283" s="36">
        <v>282</v>
      </c>
      <c r="B283" s="36">
        <v>2020</v>
      </c>
      <c r="C283" s="36" t="s">
        <v>952</v>
      </c>
      <c r="D283" s="36" t="str">
        <f t="shared" si="17"/>
        <v>gasoline vehicle</v>
      </c>
      <c r="E283" s="36" t="s">
        <v>979</v>
      </c>
      <c r="F283" s="36" t="s">
        <v>964</v>
      </c>
      <c r="G283" s="36" t="s">
        <v>972</v>
      </c>
      <c r="H283" s="36" t="str">
        <f t="shared" si="18"/>
        <v>轻型货车</v>
      </c>
      <c r="I283" s="36" t="str">
        <f t="shared" si="19"/>
        <v>Freight LDV</v>
      </c>
      <c r="J283" s="36">
        <v>1102949</v>
      </c>
    </row>
    <row r="284" spans="1:10" x14ac:dyDescent="0.15">
      <c r="A284" s="36">
        <v>283</v>
      </c>
      <c r="B284" s="36">
        <v>2021</v>
      </c>
      <c r="C284" s="36" t="s">
        <v>952</v>
      </c>
      <c r="D284" s="36" t="str">
        <f t="shared" si="17"/>
        <v>gasoline vehicle</v>
      </c>
      <c r="E284" s="36" t="s">
        <v>979</v>
      </c>
      <c r="F284" s="36" t="s">
        <v>964</v>
      </c>
      <c r="G284" s="36" t="s">
        <v>972</v>
      </c>
      <c r="H284" s="36" t="str">
        <f t="shared" si="18"/>
        <v>轻型货车</v>
      </c>
      <c r="I284" s="36" t="str">
        <f t="shared" si="19"/>
        <v>Freight LDV</v>
      </c>
      <c r="J284" s="36">
        <v>1025054</v>
      </c>
    </row>
    <row r="285" spans="1:10" x14ac:dyDescent="0.15">
      <c r="A285" s="36">
        <v>284</v>
      </c>
      <c r="B285" s="36">
        <v>2015</v>
      </c>
      <c r="C285" s="36" t="s">
        <v>956</v>
      </c>
      <c r="D285" s="36" t="str">
        <f t="shared" si="17"/>
        <v>natural gas vehicle</v>
      </c>
      <c r="E285" s="36" t="s">
        <v>979</v>
      </c>
      <c r="F285" s="36" t="s">
        <v>964</v>
      </c>
      <c r="G285" s="36" t="s">
        <v>972</v>
      </c>
      <c r="H285" s="36" t="str">
        <f t="shared" si="18"/>
        <v>轻型货车</v>
      </c>
      <c r="I285" s="36" t="str">
        <f t="shared" si="19"/>
        <v>Freight LDV</v>
      </c>
      <c r="J285" s="36">
        <v>19425</v>
      </c>
    </row>
    <row r="286" spans="1:10" x14ac:dyDescent="0.15">
      <c r="A286" s="36">
        <v>285</v>
      </c>
      <c r="B286" s="36">
        <v>2016</v>
      </c>
      <c r="C286" s="36" t="s">
        <v>956</v>
      </c>
      <c r="D286" s="36" t="str">
        <f t="shared" si="17"/>
        <v>natural gas vehicle</v>
      </c>
      <c r="E286" s="36" t="s">
        <v>979</v>
      </c>
      <c r="F286" s="36" t="s">
        <v>964</v>
      </c>
      <c r="G286" s="36" t="s">
        <v>972</v>
      </c>
      <c r="H286" s="36" t="str">
        <f t="shared" si="18"/>
        <v>轻型货车</v>
      </c>
      <c r="I286" s="36" t="str">
        <f t="shared" si="19"/>
        <v>Freight LDV</v>
      </c>
      <c r="J286" s="36">
        <v>8941</v>
      </c>
    </row>
    <row r="287" spans="1:10" x14ac:dyDescent="0.15">
      <c r="A287" s="36">
        <v>286</v>
      </c>
      <c r="B287" s="36">
        <v>2017</v>
      </c>
      <c r="C287" s="36" t="s">
        <v>956</v>
      </c>
      <c r="D287" s="36" t="str">
        <f t="shared" si="17"/>
        <v>natural gas vehicle</v>
      </c>
      <c r="E287" s="36" t="s">
        <v>979</v>
      </c>
      <c r="F287" s="36" t="s">
        <v>964</v>
      </c>
      <c r="G287" s="36" t="s">
        <v>972</v>
      </c>
      <c r="H287" s="36" t="str">
        <f t="shared" si="18"/>
        <v>轻型货车</v>
      </c>
      <c r="I287" s="36" t="str">
        <f t="shared" si="19"/>
        <v>Freight LDV</v>
      </c>
      <c r="J287" s="36">
        <v>12380</v>
      </c>
    </row>
    <row r="288" spans="1:10" x14ac:dyDescent="0.15">
      <c r="A288" s="36">
        <v>287</v>
      </c>
      <c r="B288" s="36">
        <v>2018</v>
      </c>
      <c r="C288" s="36" t="s">
        <v>956</v>
      </c>
      <c r="D288" s="36" t="str">
        <f t="shared" si="17"/>
        <v>natural gas vehicle</v>
      </c>
      <c r="E288" s="36" t="s">
        <v>979</v>
      </c>
      <c r="F288" s="36" t="s">
        <v>964</v>
      </c>
      <c r="G288" s="36" t="s">
        <v>972</v>
      </c>
      <c r="H288" s="36" t="str">
        <f t="shared" si="18"/>
        <v>轻型货车</v>
      </c>
      <c r="I288" s="36" t="str">
        <f t="shared" si="19"/>
        <v>Freight LDV</v>
      </c>
      <c r="J288" s="36">
        <v>18248</v>
      </c>
    </row>
    <row r="289" spans="1:10" x14ac:dyDescent="0.15">
      <c r="A289" s="36">
        <v>288</v>
      </c>
      <c r="B289" s="36">
        <v>2019</v>
      </c>
      <c r="C289" s="36" t="s">
        <v>956</v>
      </c>
      <c r="D289" s="36" t="str">
        <f t="shared" si="17"/>
        <v>natural gas vehicle</v>
      </c>
      <c r="E289" s="36" t="s">
        <v>979</v>
      </c>
      <c r="F289" s="36" t="s">
        <v>964</v>
      </c>
      <c r="G289" s="36" t="s">
        <v>972</v>
      </c>
      <c r="H289" s="36" t="str">
        <f t="shared" si="18"/>
        <v>轻型货车</v>
      </c>
      <c r="I289" s="36" t="str">
        <f t="shared" si="19"/>
        <v>Freight LDV</v>
      </c>
      <c r="J289" s="36">
        <v>25076</v>
      </c>
    </row>
    <row r="290" spans="1:10" x14ac:dyDescent="0.15">
      <c r="A290" s="36">
        <v>289</v>
      </c>
      <c r="B290" s="36">
        <v>2020</v>
      </c>
      <c r="C290" s="36" t="s">
        <v>956</v>
      </c>
      <c r="D290" s="36" t="str">
        <f t="shared" si="17"/>
        <v>natural gas vehicle</v>
      </c>
      <c r="E290" s="36" t="s">
        <v>979</v>
      </c>
      <c r="F290" s="36" t="s">
        <v>964</v>
      </c>
      <c r="G290" s="36" t="s">
        <v>972</v>
      </c>
      <c r="H290" s="36" t="str">
        <f t="shared" si="18"/>
        <v>轻型货车</v>
      </c>
      <c r="I290" s="36" t="str">
        <f t="shared" si="19"/>
        <v>Freight LDV</v>
      </c>
      <c r="J290" s="36">
        <v>11747</v>
      </c>
    </row>
    <row r="291" spans="1:10" x14ac:dyDescent="0.15">
      <c r="A291" s="36">
        <v>290</v>
      </c>
      <c r="B291" s="36">
        <v>2021</v>
      </c>
      <c r="C291" s="36" t="s">
        <v>956</v>
      </c>
      <c r="D291" s="36" t="str">
        <f t="shared" si="17"/>
        <v>natural gas vehicle</v>
      </c>
      <c r="E291" s="36" t="s">
        <v>979</v>
      </c>
      <c r="F291" s="36" t="s">
        <v>964</v>
      </c>
      <c r="G291" s="36" t="s">
        <v>972</v>
      </c>
      <c r="H291" s="36" t="str">
        <f t="shared" si="18"/>
        <v>轻型货车</v>
      </c>
      <c r="I291" s="36" t="str">
        <f t="shared" si="19"/>
        <v>Freight LDV</v>
      </c>
      <c r="J291" s="36">
        <v>158</v>
      </c>
    </row>
    <row r="292" spans="1:10" x14ac:dyDescent="0.15">
      <c r="A292" s="36">
        <v>291</v>
      </c>
      <c r="B292" s="36">
        <v>2015</v>
      </c>
      <c r="C292" s="36" t="s">
        <v>955</v>
      </c>
      <c r="D292" s="36" t="str">
        <f t="shared" si="17"/>
        <v>natural gas vehicle</v>
      </c>
      <c r="E292" s="36" t="s">
        <v>979</v>
      </c>
      <c r="F292" s="36" t="s">
        <v>964</v>
      </c>
      <c r="G292" s="36" t="s">
        <v>972</v>
      </c>
      <c r="H292" s="36" t="str">
        <f t="shared" si="18"/>
        <v>轻型货车</v>
      </c>
      <c r="I292" s="36" t="str">
        <f t="shared" si="19"/>
        <v>Freight LDV</v>
      </c>
      <c r="J292" s="36">
        <v>96</v>
      </c>
    </row>
    <row r="293" spans="1:10" x14ac:dyDescent="0.15">
      <c r="A293" s="36">
        <v>292</v>
      </c>
      <c r="B293" s="36">
        <v>2016</v>
      </c>
      <c r="C293" s="36" t="s">
        <v>955</v>
      </c>
      <c r="D293" s="36" t="str">
        <f t="shared" si="17"/>
        <v>natural gas vehicle</v>
      </c>
      <c r="E293" s="36" t="s">
        <v>979</v>
      </c>
      <c r="F293" s="36" t="s">
        <v>964</v>
      </c>
      <c r="G293" s="36" t="s">
        <v>972</v>
      </c>
      <c r="H293" s="36" t="str">
        <f t="shared" si="18"/>
        <v>轻型货车</v>
      </c>
      <c r="I293" s="36" t="str">
        <f t="shared" si="19"/>
        <v>Freight LDV</v>
      </c>
      <c r="J293" s="36">
        <v>760</v>
      </c>
    </row>
    <row r="294" spans="1:10" x14ac:dyDescent="0.15">
      <c r="A294" s="36">
        <v>293</v>
      </c>
      <c r="B294" s="36">
        <v>2017</v>
      </c>
      <c r="C294" s="36" t="s">
        <v>955</v>
      </c>
      <c r="D294" s="36" t="str">
        <f t="shared" si="17"/>
        <v>natural gas vehicle</v>
      </c>
      <c r="E294" s="36" t="s">
        <v>979</v>
      </c>
      <c r="F294" s="36" t="s">
        <v>964</v>
      </c>
      <c r="G294" s="36" t="s">
        <v>972</v>
      </c>
      <c r="H294" s="36" t="str">
        <f t="shared" si="18"/>
        <v>轻型货车</v>
      </c>
      <c r="I294" s="36" t="str">
        <f t="shared" si="19"/>
        <v>Freight LDV</v>
      </c>
      <c r="J294" s="36">
        <v>111</v>
      </c>
    </row>
    <row r="295" spans="1:10" x14ac:dyDescent="0.15">
      <c r="A295" s="36">
        <v>294</v>
      </c>
      <c r="B295" s="36">
        <v>2018</v>
      </c>
      <c r="C295" s="36" t="s">
        <v>955</v>
      </c>
      <c r="D295" s="36" t="str">
        <f t="shared" si="17"/>
        <v>natural gas vehicle</v>
      </c>
      <c r="E295" s="36" t="s">
        <v>979</v>
      </c>
      <c r="F295" s="36" t="s">
        <v>964</v>
      </c>
      <c r="G295" s="36" t="s">
        <v>972</v>
      </c>
      <c r="H295" s="36" t="str">
        <f t="shared" si="18"/>
        <v>轻型货车</v>
      </c>
      <c r="I295" s="36" t="str">
        <f t="shared" si="19"/>
        <v>Freight LDV</v>
      </c>
      <c r="J295" s="36">
        <v>179</v>
      </c>
    </row>
    <row r="296" spans="1:10" x14ac:dyDescent="0.15">
      <c r="A296" s="36">
        <v>295</v>
      </c>
      <c r="B296" s="36">
        <v>2019</v>
      </c>
      <c r="C296" s="36" t="s">
        <v>955</v>
      </c>
      <c r="D296" s="36" t="str">
        <f t="shared" si="17"/>
        <v>natural gas vehicle</v>
      </c>
      <c r="E296" s="36" t="s">
        <v>979</v>
      </c>
      <c r="F296" s="36" t="s">
        <v>964</v>
      </c>
      <c r="G296" s="36" t="s">
        <v>972</v>
      </c>
      <c r="H296" s="36" t="str">
        <f t="shared" si="18"/>
        <v>轻型货车</v>
      </c>
      <c r="I296" s="36" t="str">
        <f t="shared" si="19"/>
        <v>Freight LDV</v>
      </c>
      <c r="J296" s="36">
        <v>651</v>
      </c>
    </row>
    <row r="297" spans="1:10" x14ac:dyDescent="0.15">
      <c r="A297" s="36">
        <v>296</v>
      </c>
      <c r="B297" s="36">
        <v>2020</v>
      </c>
      <c r="C297" s="36" t="s">
        <v>955</v>
      </c>
      <c r="D297" s="36" t="str">
        <f t="shared" si="17"/>
        <v>natural gas vehicle</v>
      </c>
      <c r="E297" s="36" t="s">
        <v>979</v>
      </c>
      <c r="F297" s="36" t="s">
        <v>964</v>
      </c>
      <c r="G297" s="36" t="s">
        <v>972</v>
      </c>
      <c r="H297" s="36" t="str">
        <f t="shared" si="18"/>
        <v>轻型货车</v>
      </c>
      <c r="I297" s="36" t="str">
        <f t="shared" si="19"/>
        <v>Freight LDV</v>
      </c>
      <c r="J297" s="36">
        <v>6804</v>
      </c>
    </row>
    <row r="298" spans="1:10" x14ac:dyDescent="0.15">
      <c r="A298" s="36">
        <v>297</v>
      </c>
      <c r="B298" s="36">
        <v>2021</v>
      </c>
      <c r="C298" s="36" t="s">
        <v>955</v>
      </c>
      <c r="D298" s="36" t="str">
        <f t="shared" si="17"/>
        <v>natural gas vehicle</v>
      </c>
      <c r="E298" s="36" t="s">
        <v>979</v>
      </c>
      <c r="F298" s="36" t="s">
        <v>964</v>
      </c>
      <c r="G298" s="36" t="s">
        <v>972</v>
      </c>
      <c r="H298" s="36" t="str">
        <f t="shared" si="18"/>
        <v>轻型货车</v>
      </c>
      <c r="I298" s="36" t="str">
        <f t="shared" si="19"/>
        <v>Freight LDV</v>
      </c>
      <c r="J298" s="36">
        <v>18862</v>
      </c>
    </row>
    <row r="299" spans="1:10" x14ac:dyDescent="0.15">
      <c r="A299" s="36">
        <v>298</v>
      </c>
      <c r="B299" s="36">
        <v>2016</v>
      </c>
      <c r="C299" s="36" t="s">
        <v>953</v>
      </c>
      <c r="D299" s="36" t="str">
        <f t="shared" si="17"/>
        <v>diesel vehicle</v>
      </c>
      <c r="E299" s="36" t="s">
        <v>978</v>
      </c>
      <c r="F299" s="36" t="s">
        <v>964</v>
      </c>
      <c r="G299" s="36" t="s">
        <v>972</v>
      </c>
      <c r="H299" s="36" t="str">
        <f t="shared" si="18"/>
        <v>轻型货车</v>
      </c>
      <c r="I299" s="36" t="str">
        <f t="shared" si="19"/>
        <v>Freight LDV</v>
      </c>
      <c r="J299" s="36">
        <v>270</v>
      </c>
    </row>
    <row r="300" spans="1:10" x14ac:dyDescent="0.15">
      <c r="A300" s="36">
        <v>299</v>
      </c>
      <c r="B300" s="36">
        <v>2017</v>
      </c>
      <c r="C300" s="36" t="s">
        <v>953</v>
      </c>
      <c r="D300" s="36" t="str">
        <f t="shared" si="17"/>
        <v>diesel vehicle</v>
      </c>
      <c r="E300" s="36" t="s">
        <v>978</v>
      </c>
      <c r="F300" s="36" t="s">
        <v>964</v>
      </c>
      <c r="G300" s="36" t="s">
        <v>972</v>
      </c>
      <c r="H300" s="36" t="str">
        <f t="shared" si="18"/>
        <v>轻型货车</v>
      </c>
      <c r="I300" s="36" t="str">
        <f t="shared" si="19"/>
        <v>Freight LDV</v>
      </c>
      <c r="J300" s="36">
        <v>58</v>
      </c>
    </row>
    <row r="301" spans="1:10" x14ac:dyDescent="0.15">
      <c r="A301" s="36">
        <v>300</v>
      </c>
      <c r="B301" s="36">
        <v>2015</v>
      </c>
      <c r="C301" s="36" t="s">
        <v>958</v>
      </c>
      <c r="D301" s="36" t="str">
        <f t="shared" si="17"/>
        <v>battery electric vehicle</v>
      </c>
      <c r="E301" s="36" t="s">
        <v>978</v>
      </c>
      <c r="F301" s="36" t="s">
        <v>964</v>
      </c>
      <c r="G301" s="36" t="s">
        <v>972</v>
      </c>
      <c r="H301" s="36" t="str">
        <f t="shared" si="18"/>
        <v>轻型货车</v>
      </c>
      <c r="I301" s="36" t="str">
        <f t="shared" si="19"/>
        <v>Freight LDV</v>
      </c>
      <c r="J301" s="36">
        <v>1370</v>
      </c>
    </row>
    <row r="302" spans="1:10" x14ac:dyDescent="0.15">
      <c r="A302" s="36">
        <v>301</v>
      </c>
      <c r="B302" s="36">
        <v>2016</v>
      </c>
      <c r="C302" s="36" t="s">
        <v>958</v>
      </c>
      <c r="D302" s="36" t="str">
        <f t="shared" si="17"/>
        <v>battery electric vehicle</v>
      </c>
      <c r="E302" s="36" t="s">
        <v>978</v>
      </c>
      <c r="F302" s="36" t="s">
        <v>964</v>
      </c>
      <c r="G302" s="36" t="s">
        <v>972</v>
      </c>
      <c r="H302" s="36" t="str">
        <f t="shared" si="18"/>
        <v>轻型货车</v>
      </c>
      <c r="I302" s="36" t="str">
        <f t="shared" si="19"/>
        <v>Freight LDV</v>
      </c>
      <c r="J302" s="36">
        <v>8</v>
      </c>
    </row>
    <row r="303" spans="1:10" x14ac:dyDescent="0.15">
      <c r="A303" s="36">
        <v>302</v>
      </c>
      <c r="B303" s="36">
        <v>2018</v>
      </c>
      <c r="C303" s="36" t="s">
        <v>958</v>
      </c>
      <c r="D303" s="36" t="str">
        <f t="shared" si="17"/>
        <v>battery electric vehicle</v>
      </c>
      <c r="E303" s="36" t="s">
        <v>978</v>
      </c>
      <c r="F303" s="36" t="s">
        <v>964</v>
      </c>
      <c r="G303" s="36" t="s">
        <v>972</v>
      </c>
      <c r="H303" s="36" t="str">
        <f t="shared" si="18"/>
        <v>轻型货车</v>
      </c>
      <c r="I303" s="36" t="str">
        <f t="shared" si="19"/>
        <v>Freight LDV</v>
      </c>
      <c r="J303" s="36">
        <v>2</v>
      </c>
    </row>
    <row r="304" spans="1:10" x14ac:dyDescent="0.15">
      <c r="A304" s="36">
        <v>303</v>
      </c>
      <c r="B304" s="36">
        <v>2019</v>
      </c>
      <c r="C304" s="36" t="s">
        <v>958</v>
      </c>
      <c r="D304" s="36" t="str">
        <f t="shared" si="17"/>
        <v>battery electric vehicle</v>
      </c>
      <c r="E304" s="36" t="s">
        <v>978</v>
      </c>
      <c r="F304" s="36" t="s">
        <v>964</v>
      </c>
      <c r="G304" s="36" t="s">
        <v>972</v>
      </c>
      <c r="H304" s="36" t="str">
        <f t="shared" si="18"/>
        <v>轻型货车</v>
      </c>
      <c r="I304" s="36" t="str">
        <f t="shared" si="19"/>
        <v>Freight LDV</v>
      </c>
      <c r="J304" s="36">
        <v>1</v>
      </c>
    </row>
    <row r="305" spans="1:10" x14ac:dyDescent="0.15">
      <c r="A305" s="36">
        <v>304</v>
      </c>
      <c r="B305" s="36">
        <v>2020</v>
      </c>
      <c r="C305" s="36" t="s">
        <v>958</v>
      </c>
      <c r="D305" s="36" t="str">
        <f t="shared" si="17"/>
        <v>battery electric vehicle</v>
      </c>
      <c r="E305" s="36" t="s">
        <v>978</v>
      </c>
      <c r="F305" s="36" t="s">
        <v>964</v>
      </c>
      <c r="G305" s="36" t="s">
        <v>972</v>
      </c>
      <c r="H305" s="36" t="str">
        <f t="shared" si="18"/>
        <v>轻型货车</v>
      </c>
      <c r="I305" s="36" t="str">
        <f t="shared" si="19"/>
        <v>Freight LDV</v>
      </c>
      <c r="J305" s="36">
        <v>10</v>
      </c>
    </row>
    <row r="306" spans="1:10" x14ac:dyDescent="0.15">
      <c r="A306" s="36">
        <v>305</v>
      </c>
      <c r="B306" s="36">
        <v>2021</v>
      </c>
      <c r="C306" s="36" t="s">
        <v>958</v>
      </c>
      <c r="D306" s="36" t="str">
        <f t="shared" si="17"/>
        <v>battery electric vehicle</v>
      </c>
      <c r="E306" s="36" t="s">
        <v>978</v>
      </c>
      <c r="F306" s="36" t="s">
        <v>964</v>
      </c>
      <c r="G306" s="36" t="s">
        <v>972</v>
      </c>
      <c r="H306" s="36" t="str">
        <f t="shared" si="18"/>
        <v>轻型货车</v>
      </c>
      <c r="I306" s="36" t="str">
        <f t="shared" si="19"/>
        <v>Freight LDV</v>
      </c>
      <c r="J306" s="36">
        <v>50</v>
      </c>
    </row>
    <row r="307" spans="1:10" x14ac:dyDescent="0.15">
      <c r="A307" s="36">
        <v>306</v>
      </c>
      <c r="B307" s="36">
        <v>2016</v>
      </c>
      <c r="C307" s="36" t="s">
        <v>952</v>
      </c>
      <c r="D307" s="36" t="str">
        <f t="shared" si="17"/>
        <v>gasoline vehicle</v>
      </c>
      <c r="E307" s="36" t="s">
        <v>978</v>
      </c>
      <c r="F307" s="36" t="s">
        <v>964</v>
      </c>
      <c r="G307" s="36" t="s">
        <v>972</v>
      </c>
      <c r="H307" s="36" t="str">
        <f t="shared" si="18"/>
        <v>轻型货车</v>
      </c>
      <c r="I307" s="36" t="str">
        <f t="shared" si="19"/>
        <v>Freight LDV</v>
      </c>
      <c r="J307" s="36">
        <v>1</v>
      </c>
    </row>
    <row r="308" spans="1:10" x14ac:dyDescent="0.15">
      <c r="A308" s="36">
        <v>307</v>
      </c>
      <c r="B308" s="36">
        <v>2016</v>
      </c>
      <c r="C308" s="36" t="s">
        <v>953</v>
      </c>
      <c r="D308" s="36" t="str">
        <f t="shared" si="17"/>
        <v>diesel vehicle</v>
      </c>
      <c r="E308" s="36" t="s">
        <v>959</v>
      </c>
      <c r="F308" s="36" t="s">
        <v>964</v>
      </c>
      <c r="G308" s="36" t="s">
        <v>972</v>
      </c>
      <c r="H308" s="36" t="str">
        <f t="shared" si="18"/>
        <v>出租车</v>
      </c>
      <c r="I308" s="36" t="str">
        <f t="shared" si="19"/>
        <v>Passenger LDV</v>
      </c>
      <c r="J308" s="36">
        <v>12</v>
      </c>
    </row>
    <row r="309" spans="1:10" x14ac:dyDescent="0.15">
      <c r="A309" s="36">
        <v>308</v>
      </c>
      <c r="B309" s="36">
        <v>2017</v>
      </c>
      <c r="C309" s="36" t="s">
        <v>953</v>
      </c>
      <c r="D309" s="36" t="str">
        <f t="shared" si="17"/>
        <v>diesel vehicle</v>
      </c>
      <c r="E309" s="36" t="s">
        <v>959</v>
      </c>
      <c r="F309" s="36" t="s">
        <v>964</v>
      </c>
      <c r="G309" s="36" t="s">
        <v>972</v>
      </c>
      <c r="H309" s="36" t="str">
        <f t="shared" si="18"/>
        <v>出租车</v>
      </c>
      <c r="I309" s="36" t="str">
        <f t="shared" si="19"/>
        <v>Passenger LDV</v>
      </c>
      <c r="J309" s="36">
        <v>24</v>
      </c>
    </row>
    <row r="310" spans="1:10" x14ac:dyDescent="0.15">
      <c r="A310" s="36">
        <v>309</v>
      </c>
      <c r="B310" s="36">
        <v>2015</v>
      </c>
      <c r="C310" s="36" t="s">
        <v>953</v>
      </c>
      <c r="D310" s="36" t="str">
        <f t="shared" si="17"/>
        <v>diesel vehicle</v>
      </c>
      <c r="E310" s="36" t="s">
        <v>960</v>
      </c>
      <c r="F310" s="36" t="s">
        <v>964</v>
      </c>
      <c r="G310" s="36" t="s">
        <v>972</v>
      </c>
      <c r="H310" s="36" t="str">
        <f t="shared" si="18"/>
        <v>Unknown</v>
      </c>
      <c r="I310" s="36" t="str">
        <f t="shared" si="19"/>
        <v>Unknown</v>
      </c>
      <c r="J310" s="36">
        <v>16188</v>
      </c>
    </row>
    <row r="311" spans="1:10" x14ac:dyDescent="0.15">
      <c r="A311" s="36">
        <v>310</v>
      </c>
      <c r="B311" s="36">
        <v>2015</v>
      </c>
      <c r="C311" s="36" t="s">
        <v>958</v>
      </c>
      <c r="D311" s="36" t="str">
        <f t="shared" si="17"/>
        <v>battery electric vehicle</v>
      </c>
      <c r="E311" s="36" t="s">
        <v>960</v>
      </c>
      <c r="F311" s="36" t="s">
        <v>964</v>
      </c>
      <c r="G311" s="36" t="s">
        <v>972</v>
      </c>
      <c r="H311" s="36" t="str">
        <f t="shared" si="18"/>
        <v>Unknown</v>
      </c>
      <c r="I311" s="36" t="str">
        <f t="shared" si="19"/>
        <v>Unknown</v>
      </c>
      <c r="J311" s="36">
        <v>261</v>
      </c>
    </row>
    <row r="312" spans="1:10" x14ac:dyDescent="0.15">
      <c r="A312" s="36">
        <v>311</v>
      </c>
      <c r="B312" s="36">
        <v>2015</v>
      </c>
      <c r="C312" s="36" t="s">
        <v>952</v>
      </c>
      <c r="D312" s="36" t="str">
        <f t="shared" si="17"/>
        <v>gasoline vehicle</v>
      </c>
      <c r="E312" s="36" t="s">
        <v>960</v>
      </c>
      <c r="F312" s="36" t="s">
        <v>964</v>
      </c>
      <c r="G312" s="36" t="s">
        <v>972</v>
      </c>
      <c r="H312" s="36" t="str">
        <f t="shared" si="18"/>
        <v>Unknown</v>
      </c>
      <c r="I312" s="36" t="str">
        <f t="shared" si="19"/>
        <v>Unknown</v>
      </c>
      <c r="J312" s="36">
        <v>2164290</v>
      </c>
    </row>
    <row r="313" spans="1:10" x14ac:dyDescent="0.15">
      <c r="A313" s="36">
        <v>312</v>
      </c>
      <c r="B313" s="36">
        <v>2015</v>
      </c>
      <c r="C313" s="36" t="s">
        <v>956</v>
      </c>
      <c r="D313" s="36" t="str">
        <f t="shared" si="17"/>
        <v>natural gas vehicle</v>
      </c>
      <c r="E313" s="36" t="s">
        <v>960</v>
      </c>
      <c r="F313" s="36" t="s">
        <v>964</v>
      </c>
      <c r="G313" s="36" t="s">
        <v>972</v>
      </c>
      <c r="H313" s="36" t="str">
        <f t="shared" si="18"/>
        <v>Unknown</v>
      </c>
      <c r="I313" s="36" t="str">
        <f t="shared" si="19"/>
        <v>Unknown</v>
      </c>
      <c r="J313" s="36">
        <v>10062</v>
      </c>
    </row>
    <row r="314" spans="1:10" x14ac:dyDescent="0.15">
      <c r="A314" s="36">
        <v>313</v>
      </c>
      <c r="B314" s="36">
        <v>2015</v>
      </c>
      <c r="C314" s="36" t="s">
        <v>977</v>
      </c>
      <c r="D314" s="36" t="str">
        <f t="shared" si="17"/>
        <v>unknown</v>
      </c>
      <c r="E314" s="36" t="s">
        <v>960</v>
      </c>
      <c r="F314" s="36" t="s">
        <v>964</v>
      </c>
      <c r="G314" s="36" t="s">
        <v>972</v>
      </c>
      <c r="H314" s="36" t="str">
        <f t="shared" si="18"/>
        <v>Unknown</v>
      </c>
      <c r="I314" s="36" t="str">
        <f t="shared" si="19"/>
        <v>Unknown</v>
      </c>
      <c r="J314" s="36">
        <v>2410</v>
      </c>
    </row>
    <row r="315" spans="1:10" x14ac:dyDescent="0.15">
      <c r="A315" s="36">
        <v>314</v>
      </c>
      <c r="B315" s="36">
        <v>2015</v>
      </c>
      <c r="C315" s="36" t="s">
        <v>953</v>
      </c>
      <c r="D315" s="36" t="str">
        <f t="shared" si="17"/>
        <v>diesel vehicle</v>
      </c>
      <c r="E315" s="36" t="s">
        <v>954</v>
      </c>
      <c r="F315" s="36" t="s">
        <v>964</v>
      </c>
      <c r="G315" s="36" t="s">
        <v>972</v>
      </c>
      <c r="H315" s="36" t="str">
        <f t="shared" si="18"/>
        <v>乘用车</v>
      </c>
      <c r="I315" s="36" t="str">
        <f t="shared" si="19"/>
        <v>Passenger LDV</v>
      </c>
      <c r="J315" s="36">
        <v>72743</v>
      </c>
    </row>
    <row r="316" spans="1:10" x14ac:dyDescent="0.15">
      <c r="A316" s="36">
        <v>315</v>
      </c>
      <c r="B316" s="36">
        <v>2016</v>
      </c>
      <c r="C316" s="36" t="s">
        <v>953</v>
      </c>
      <c r="D316" s="36" t="str">
        <f t="shared" si="17"/>
        <v>diesel vehicle</v>
      </c>
      <c r="E316" s="36" t="s">
        <v>954</v>
      </c>
      <c r="F316" s="36" t="s">
        <v>964</v>
      </c>
      <c r="G316" s="36" t="s">
        <v>972</v>
      </c>
      <c r="H316" s="36" t="str">
        <f t="shared" si="18"/>
        <v>乘用车</v>
      </c>
      <c r="I316" s="36" t="str">
        <f t="shared" si="19"/>
        <v>Passenger LDV</v>
      </c>
      <c r="J316" s="36">
        <v>91128</v>
      </c>
    </row>
    <row r="317" spans="1:10" x14ac:dyDescent="0.15">
      <c r="A317" s="36">
        <v>316</v>
      </c>
      <c r="B317" s="36">
        <v>2017</v>
      </c>
      <c r="C317" s="36" t="s">
        <v>953</v>
      </c>
      <c r="D317" s="36" t="str">
        <f t="shared" si="17"/>
        <v>diesel vehicle</v>
      </c>
      <c r="E317" s="36" t="s">
        <v>954</v>
      </c>
      <c r="F317" s="36" t="s">
        <v>964</v>
      </c>
      <c r="G317" s="36" t="s">
        <v>972</v>
      </c>
      <c r="H317" s="36" t="str">
        <f t="shared" si="18"/>
        <v>乘用车</v>
      </c>
      <c r="I317" s="36" t="str">
        <f t="shared" si="19"/>
        <v>Passenger LDV</v>
      </c>
      <c r="J317" s="36">
        <v>93275</v>
      </c>
    </row>
    <row r="318" spans="1:10" x14ac:dyDescent="0.15">
      <c r="A318" s="36">
        <v>317</v>
      </c>
      <c r="B318" s="36">
        <v>2018</v>
      </c>
      <c r="C318" s="36" t="s">
        <v>953</v>
      </c>
      <c r="D318" s="36" t="str">
        <f t="shared" si="17"/>
        <v>diesel vehicle</v>
      </c>
      <c r="E318" s="36" t="s">
        <v>954</v>
      </c>
      <c r="F318" s="36" t="s">
        <v>964</v>
      </c>
      <c r="G318" s="36" t="s">
        <v>972</v>
      </c>
      <c r="H318" s="36" t="str">
        <f t="shared" si="18"/>
        <v>乘用车</v>
      </c>
      <c r="I318" s="36" t="str">
        <f t="shared" si="19"/>
        <v>Passenger LDV</v>
      </c>
      <c r="J318" s="36">
        <v>105538</v>
      </c>
    </row>
    <row r="319" spans="1:10" x14ac:dyDescent="0.15">
      <c r="A319" s="36">
        <v>318</v>
      </c>
      <c r="B319" s="36">
        <v>2019</v>
      </c>
      <c r="C319" s="36" t="s">
        <v>953</v>
      </c>
      <c r="D319" s="36" t="str">
        <f t="shared" si="17"/>
        <v>diesel vehicle</v>
      </c>
      <c r="E319" s="36" t="s">
        <v>954</v>
      </c>
      <c r="F319" s="36" t="s">
        <v>964</v>
      </c>
      <c r="G319" s="36" t="s">
        <v>972</v>
      </c>
      <c r="H319" s="36" t="str">
        <f t="shared" si="18"/>
        <v>乘用车</v>
      </c>
      <c r="I319" s="36" t="str">
        <f t="shared" si="19"/>
        <v>Passenger LDV</v>
      </c>
      <c r="J319" s="36">
        <v>107315</v>
      </c>
    </row>
    <row r="320" spans="1:10" x14ac:dyDescent="0.15">
      <c r="A320" s="36">
        <v>319</v>
      </c>
      <c r="B320" s="36">
        <v>2020</v>
      </c>
      <c r="C320" s="36" t="s">
        <v>953</v>
      </c>
      <c r="D320" s="36" t="str">
        <f t="shared" si="17"/>
        <v>diesel vehicle</v>
      </c>
      <c r="E320" s="36" t="s">
        <v>954</v>
      </c>
      <c r="F320" s="36" t="s">
        <v>964</v>
      </c>
      <c r="G320" s="36" t="s">
        <v>972</v>
      </c>
      <c r="H320" s="36" t="str">
        <f t="shared" si="18"/>
        <v>乘用车</v>
      </c>
      <c r="I320" s="36" t="str">
        <f t="shared" si="19"/>
        <v>Passenger LDV</v>
      </c>
      <c r="J320" s="36">
        <v>154146</v>
      </c>
    </row>
    <row r="321" spans="1:10" x14ac:dyDescent="0.15">
      <c r="A321" s="36">
        <v>320</v>
      </c>
      <c r="B321" s="36">
        <v>2021</v>
      </c>
      <c r="C321" s="36" t="s">
        <v>953</v>
      </c>
      <c r="D321" s="36" t="str">
        <f t="shared" si="17"/>
        <v>diesel vehicle</v>
      </c>
      <c r="E321" s="36" t="s">
        <v>954</v>
      </c>
      <c r="F321" s="36" t="s">
        <v>964</v>
      </c>
      <c r="G321" s="36" t="s">
        <v>972</v>
      </c>
      <c r="H321" s="36" t="str">
        <f t="shared" si="18"/>
        <v>乘用车</v>
      </c>
      <c r="I321" s="36" t="str">
        <f t="shared" si="19"/>
        <v>Passenger LDV</v>
      </c>
      <c r="J321" s="36">
        <v>161750</v>
      </c>
    </row>
    <row r="322" spans="1:10" x14ac:dyDescent="0.15">
      <c r="A322" s="36">
        <v>321</v>
      </c>
      <c r="B322" s="36">
        <v>2015</v>
      </c>
      <c r="C322" s="36" t="s">
        <v>958</v>
      </c>
      <c r="D322" s="36" t="str">
        <f t="shared" ref="D322:D385" si="20">VLOOKUP(C322,M$3:N$16,2,FALSE)</f>
        <v>battery electric vehicle</v>
      </c>
      <c r="E322" s="36" t="s">
        <v>954</v>
      </c>
      <c r="F322" s="36" t="s">
        <v>964</v>
      </c>
      <c r="G322" s="36" t="s">
        <v>972</v>
      </c>
      <c r="H322" s="36" t="str">
        <f t="shared" ref="H322:H385" si="21">VLOOKUP(E322&amp;F322&amp;G322,$S$3:$U$68,2,FALSE)</f>
        <v>乘用车</v>
      </c>
      <c r="I322" s="36" t="str">
        <f t="shared" ref="I322:I385" si="22">VLOOKUP(E322&amp;F322&amp;G322,$S$3:$U$68,3,FALSE)</f>
        <v>Passenger LDV</v>
      </c>
      <c r="J322" s="36">
        <v>41</v>
      </c>
    </row>
    <row r="323" spans="1:10" x14ac:dyDescent="0.15">
      <c r="A323" s="36">
        <v>322</v>
      </c>
      <c r="B323" s="36">
        <v>2016</v>
      </c>
      <c r="C323" s="36" t="s">
        <v>958</v>
      </c>
      <c r="D323" s="36" t="str">
        <f t="shared" si="20"/>
        <v>battery electric vehicle</v>
      </c>
      <c r="E323" s="36" t="s">
        <v>954</v>
      </c>
      <c r="F323" s="36" t="s">
        <v>964</v>
      </c>
      <c r="G323" s="36" t="s">
        <v>972</v>
      </c>
      <c r="H323" s="36" t="str">
        <f t="shared" si="21"/>
        <v>乘用车</v>
      </c>
      <c r="I323" s="36" t="str">
        <f t="shared" si="22"/>
        <v>Passenger LDV</v>
      </c>
      <c r="J323" s="36">
        <v>2126</v>
      </c>
    </row>
    <row r="324" spans="1:10" x14ac:dyDescent="0.15">
      <c r="A324" s="36">
        <v>323</v>
      </c>
      <c r="B324" s="36">
        <v>2017</v>
      </c>
      <c r="C324" s="36" t="s">
        <v>958</v>
      </c>
      <c r="D324" s="36" t="str">
        <f t="shared" si="20"/>
        <v>battery electric vehicle</v>
      </c>
      <c r="E324" s="36" t="s">
        <v>954</v>
      </c>
      <c r="F324" s="36" t="s">
        <v>964</v>
      </c>
      <c r="G324" s="36" t="s">
        <v>972</v>
      </c>
      <c r="H324" s="36" t="str">
        <f t="shared" si="21"/>
        <v>乘用车</v>
      </c>
      <c r="I324" s="36" t="str">
        <f t="shared" si="22"/>
        <v>Passenger LDV</v>
      </c>
      <c r="J324" s="36">
        <v>9568</v>
      </c>
    </row>
    <row r="325" spans="1:10" x14ac:dyDescent="0.15">
      <c r="A325" s="36">
        <v>324</v>
      </c>
      <c r="B325" s="36">
        <v>2018</v>
      </c>
      <c r="C325" s="36" t="s">
        <v>958</v>
      </c>
      <c r="D325" s="36" t="str">
        <f t="shared" si="20"/>
        <v>battery electric vehicle</v>
      </c>
      <c r="E325" s="36" t="s">
        <v>954</v>
      </c>
      <c r="F325" s="36" t="s">
        <v>964</v>
      </c>
      <c r="G325" s="36" t="s">
        <v>972</v>
      </c>
      <c r="H325" s="36" t="str">
        <f t="shared" si="21"/>
        <v>乘用车</v>
      </c>
      <c r="I325" s="36" t="str">
        <f t="shared" si="22"/>
        <v>Passenger LDV</v>
      </c>
      <c r="J325" s="36">
        <v>8534</v>
      </c>
    </row>
    <row r="326" spans="1:10" x14ac:dyDescent="0.15">
      <c r="A326" s="36">
        <v>325</v>
      </c>
      <c r="B326" s="36">
        <v>2019</v>
      </c>
      <c r="C326" s="36" t="s">
        <v>958</v>
      </c>
      <c r="D326" s="36" t="str">
        <f t="shared" si="20"/>
        <v>battery electric vehicle</v>
      </c>
      <c r="E326" s="36" t="s">
        <v>954</v>
      </c>
      <c r="F326" s="36" t="s">
        <v>964</v>
      </c>
      <c r="G326" s="36" t="s">
        <v>972</v>
      </c>
      <c r="H326" s="36" t="str">
        <f t="shared" si="21"/>
        <v>乘用车</v>
      </c>
      <c r="I326" s="36" t="str">
        <f t="shared" si="22"/>
        <v>Passenger LDV</v>
      </c>
      <c r="J326" s="36">
        <v>2332</v>
      </c>
    </row>
    <row r="327" spans="1:10" x14ac:dyDescent="0.15">
      <c r="A327" s="36">
        <v>326</v>
      </c>
      <c r="B327" s="36">
        <v>2020</v>
      </c>
      <c r="C327" s="36" t="s">
        <v>958</v>
      </c>
      <c r="D327" s="36" t="str">
        <f t="shared" si="20"/>
        <v>battery electric vehicle</v>
      </c>
      <c r="E327" s="36" t="s">
        <v>954</v>
      </c>
      <c r="F327" s="36" t="s">
        <v>964</v>
      </c>
      <c r="G327" s="36" t="s">
        <v>972</v>
      </c>
      <c r="H327" s="36" t="str">
        <f t="shared" si="21"/>
        <v>乘用车</v>
      </c>
      <c r="I327" s="36" t="str">
        <f t="shared" si="22"/>
        <v>Passenger LDV</v>
      </c>
      <c r="J327" s="36">
        <v>4882</v>
      </c>
    </row>
    <row r="328" spans="1:10" x14ac:dyDescent="0.15">
      <c r="A328" s="36">
        <v>327</v>
      </c>
      <c r="B328" s="36">
        <v>2021</v>
      </c>
      <c r="C328" s="36" t="s">
        <v>958</v>
      </c>
      <c r="D328" s="36" t="str">
        <f t="shared" si="20"/>
        <v>battery electric vehicle</v>
      </c>
      <c r="E328" s="36" t="s">
        <v>954</v>
      </c>
      <c r="F328" s="36" t="s">
        <v>964</v>
      </c>
      <c r="G328" s="36" t="s">
        <v>972</v>
      </c>
      <c r="H328" s="36" t="str">
        <f t="shared" si="21"/>
        <v>乘用车</v>
      </c>
      <c r="I328" s="36" t="str">
        <f t="shared" si="22"/>
        <v>Passenger LDV</v>
      </c>
      <c r="J328" s="36">
        <v>7727</v>
      </c>
    </row>
    <row r="329" spans="1:10" x14ac:dyDescent="0.15">
      <c r="A329" s="36">
        <v>328</v>
      </c>
      <c r="B329" s="36">
        <v>2015</v>
      </c>
      <c r="C329" s="36" t="s">
        <v>952</v>
      </c>
      <c r="D329" s="36" t="str">
        <f t="shared" si="20"/>
        <v>gasoline vehicle</v>
      </c>
      <c r="E329" s="36" t="s">
        <v>954</v>
      </c>
      <c r="F329" s="36" t="s">
        <v>964</v>
      </c>
      <c r="G329" s="36" t="s">
        <v>972</v>
      </c>
      <c r="H329" s="36" t="str">
        <f t="shared" si="21"/>
        <v>乘用车</v>
      </c>
      <c r="I329" s="36" t="str">
        <f t="shared" si="22"/>
        <v>Passenger LDV</v>
      </c>
      <c r="J329" s="36">
        <v>14375</v>
      </c>
    </row>
    <row r="330" spans="1:10" x14ac:dyDescent="0.15">
      <c r="A330" s="36">
        <v>329</v>
      </c>
      <c r="B330" s="36">
        <v>2016</v>
      </c>
      <c r="C330" s="36" t="s">
        <v>952</v>
      </c>
      <c r="D330" s="36" t="str">
        <f t="shared" si="20"/>
        <v>gasoline vehicle</v>
      </c>
      <c r="E330" s="36" t="s">
        <v>954</v>
      </c>
      <c r="F330" s="36" t="s">
        <v>964</v>
      </c>
      <c r="G330" s="36" t="s">
        <v>972</v>
      </c>
      <c r="H330" s="36" t="str">
        <f t="shared" si="21"/>
        <v>乘用车</v>
      </c>
      <c r="I330" s="36" t="str">
        <f t="shared" si="22"/>
        <v>Passenger LDV</v>
      </c>
      <c r="J330" s="36">
        <v>71782</v>
      </c>
    </row>
    <row r="331" spans="1:10" x14ac:dyDescent="0.15">
      <c r="A331" s="36">
        <v>330</v>
      </c>
      <c r="B331" s="36">
        <v>2017</v>
      </c>
      <c r="C331" s="36" t="s">
        <v>952</v>
      </c>
      <c r="D331" s="36" t="str">
        <f t="shared" si="20"/>
        <v>gasoline vehicle</v>
      </c>
      <c r="E331" s="36" t="s">
        <v>954</v>
      </c>
      <c r="F331" s="36" t="s">
        <v>964</v>
      </c>
      <c r="G331" s="36" t="s">
        <v>972</v>
      </c>
      <c r="H331" s="36" t="str">
        <f t="shared" si="21"/>
        <v>乘用车</v>
      </c>
      <c r="I331" s="36" t="str">
        <f t="shared" si="22"/>
        <v>Passenger LDV</v>
      </c>
      <c r="J331" s="36">
        <v>61557</v>
      </c>
    </row>
    <row r="332" spans="1:10" x14ac:dyDescent="0.15">
      <c r="A332" s="36">
        <v>331</v>
      </c>
      <c r="B332" s="36">
        <v>2018</v>
      </c>
      <c r="C332" s="36" t="s">
        <v>952</v>
      </c>
      <c r="D332" s="36" t="str">
        <f t="shared" si="20"/>
        <v>gasoline vehicle</v>
      </c>
      <c r="E332" s="36" t="s">
        <v>954</v>
      </c>
      <c r="F332" s="36" t="s">
        <v>964</v>
      </c>
      <c r="G332" s="36" t="s">
        <v>972</v>
      </c>
      <c r="H332" s="36" t="str">
        <f t="shared" si="21"/>
        <v>乘用车</v>
      </c>
      <c r="I332" s="36" t="str">
        <f t="shared" si="22"/>
        <v>Passenger LDV</v>
      </c>
      <c r="J332" s="36">
        <v>54881</v>
      </c>
    </row>
    <row r="333" spans="1:10" x14ac:dyDescent="0.15">
      <c r="A333" s="36">
        <v>332</v>
      </c>
      <c r="B333" s="36">
        <v>2019</v>
      </c>
      <c r="C333" s="36" t="s">
        <v>952</v>
      </c>
      <c r="D333" s="36" t="str">
        <f t="shared" si="20"/>
        <v>gasoline vehicle</v>
      </c>
      <c r="E333" s="36" t="s">
        <v>954</v>
      </c>
      <c r="F333" s="36" t="s">
        <v>964</v>
      </c>
      <c r="G333" s="36" t="s">
        <v>972</v>
      </c>
      <c r="H333" s="36" t="str">
        <f t="shared" si="21"/>
        <v>乘用车</v>
      </c>
      <c r="I333" s="36" t="str">
        <f t="shared" si="22"/>
        <v>Passenger LDV</v>
      </c>
      <c r="J333" s="36">
        <v>43710</v>
      </c>
    </row>
    <row r="334" spans="1:10" x14ac:dyDescent="0.15">
      <c r="A334" s="36">
        <v>333</v>
      </c>
      <c r="B334" s="36">
        <v>2020</v>
      </c>
      <c r="C334" s="36" t="s">
        <v>952</v>
      </c>
      <c r="D334" s="36" t="str">
        <f t="shared" si="20"/>
        <v>gasoline vehicle</v>
      </c>
      <c r="E334" s="36" t="s">
        <v>954</v>
      </c>
      <c r="F334" s="36" t="s">
        <v>964</v>
      </c>
      <c r="G334" s="36" t="s">
        <v>972</v>
      </c>
      <c r="H334" s="36" t="str">
        <f t="shared" si="21"/>
        <v>乘用车</v>
      </c>
      <c r="I334" s="36" t="str">
        <f t="shared" si="22"/>
        <v>Passenger LDV</v>
      </c>
      <c r="J334" s="36">
        <v>37401</v>
      </c>
    </row>
    <row r="335" spans="1:10" x14ac:dyDescent="0.15">
      <c r="A335" s="36">
        <v>334</v>
      </c>
      <c r="B335" s="36">
        <v>2021</v>
      </c>
      <c r="C335" s="36" t="s">
        <v>952</v>
      </c>
      <c r="D335" s="36" t="str">
        <f t="shared" si="20"/>
        <v>gasoline vehicle</v>
      </c>
      <c r="E335" s="36" t="s">
        <v>954</v>
      </c>
      <c r="F335" s="36" t="s">
        <v>964</v>
      </c>
      <c r="G335" s="36" t="s">
        <v>972</v>
      </c>
      <c r="H335" s="36" t="str">
        <f t="shared" si="21"/>
        <v>乘用车</v>
      </c>
      <c r="I335" s="36" t="str">
        <f t="shared" si="22"/>
        <v>Passenger LDV</v>
      </c>
      <c r="J335" s="36">
        <v>40042</v>
      </c>
    </row>
    <row r="336" spans="1:10" x14ac:dyDescent="0.15">
      <c r="A336" s="36">
        <v>335</v>
      </c>
      <c r="B336" s="36">
        <v>2016</v>
      </c>
      <c r="C336" s="36" t="s">
        <v>956</v>
      </c>
      <c r="D336" s="36" t="str">
        <f t="shared" si="20"/>
        <v>natural gas vehicle</v>
      </c>
      <c r="E336" s="36" t="s">
        <v>954</v>
      </c>
      <c r="F336" s="36" t="s">
        <v>964</v>
      </c>
      <c r="G336" s="36" t="s">
        <v>972</v>
      </c>
      <c r="H336" s="36" t="str">
        <f t="shared" si="21"/>
        <v>乘用车</v>
      </c>
      <c r="I336" s="36" t="str">
        <f t="shared" si="22"/>
        <v>Passenger LDV</v>
      </c>
      <c r="J336" s="36">
        <v>1594</v>
      </c>
    </row>
    <row r="337" spans="1:10" x14ac:dyDescent="0.15">
      <c r="A337" s="36">
        <v>336</v>
      </c>
      <c r="B337" s="36">
        <v>2017</v>
      </c>
      <c r="C337" s="36" t="s">
        <v>956</v>
      </c>
      <c r="D337" s="36" t="str">
        <f t="shared" si="20"/>
        <v>natural gas vehicle</v>
      </c>
      <c r="E337" s="36" t="s">
        <v>954</v>
      </c>
      <c r="F337" s="36" t="s">
        <v>964</v>
      </c>
      <c r="G337" s="36" t="s">
        <v>972</v>
      </c>
      <c r="H337" s="36" t="str">
        <f t="shared" si="21"/>
        <v>乘用车</v>
      </c>
      <c r="I337" s="36" t="str">
        <f t="shared" si="22"/>
        <v>Passenger LDV</v>
      </c>
      <c r="J337" s="36">
        <v>610</v>
      </c>
    </row>
    <row r="338" spans="1:10" x14ac:dyDescent="0.15">
      <c r="A338" s="36">
        <v>337</v>
      </c>
      <c r="B338" s="36">
        <v>2018</v>
      </c>
      <c r="C338" s="36" t="s">
        <v>956</v>
      </c>
      <c r="D338" s="36" t="str">
        <f t="shared" si="20"/>
        <v>natural gas vehicle</v>
      </c>
      <c r="E338" s="36" t="s">
        <v>954</v>
      </c>
      <c r="F338" s="36" t="s">
        <v>964</v>
      </c>
      <c r="G338" s="36" t="s">
        <v>972</v>
      </c>
      <c r="H338" s="36" t="str">
        <f t="shared" si="21"/>
        <v>乘用车</v>
      </c>
      <c r="I338" s="36" t="str">
        <f t="shared" si="22"/>
        <v>Passenger LDV</v>
      </c>
      <c r="J338" s="36">
        <v>1571</v>
      </c>
    </row>
    <row r="339" spans="1:10" x14ac:dyDescent="0.15">
      <c r="A339" s="36">
        <v>338</v>
      </c>
      <c r="B339" s="36">
        <v>2019</v>
      </c>
      <c r="C339" s="36" t="s">
        <v>956</v>
      </c>
      <c r="D339" s="36" t="str">
        <f t="shared" si="20"/>
        <v>natural gas vehicle</v>
      </c>
      <c r="E339" s="36" t="s">
        <v>954</v>
      </c>
      <c r="F339" s="36" t="s">
        <v>964</v>
      </c>
      <c r="G339" s="36" t="s">
        <v>972</v>
      </c>
      <c r="H339" s="36" t="str">
        <f t="shared" si="21"/>
        <v>乘用车</v>
      </c>
      <c r="I339" s="36" t="str">
        <f t="shared" si="22"/>
        <v>Passenger LDV</v>
      </c>
      <c r="J339" s="36">
        <v>2519</v>
      </c>
    </row>
    <row r="340" spans="1:10" x14ac:dyDescent="0.15">
      <c r="A340" s="36">
        <v>339</v>
      </c>
      <c r="B340" s="36">
        <v>2020</v>
      </c>
      <c r="C340" s="36" t="s">
        <v>956</v>
      </c>
      <c r="D340" s="36" t="str">
        <f t="shared" si="20"/>
        <v>natural gas vehicle</v>
      </c>
      <c r="E340" s="36" t="s">
        <v>954</v>
      </c>
      <c r="F340" s="36" t="s">
        <v>964</v>
      </c>
      <c r="G340" s="36" t="s">
        <v>972</v>
      </c>
      <c r="H340" s="36" t="str">
        <f t="shared" si="21"/>
        <v>乘用车</v>
      </c>
      <c r="I340" s="36" t="str">
        <f t="shared" si="22"/>
        <v>Passenger LDV</v>
      </c>
      <c r="J340" s="36">
        <v>516</v>
      </c>
    </row>
    <row r="341" spans="1:10" x14ac:dyDescent="0.15">
      <c r="A341" s="36">
        <v>340</v>
      </c>
      <c r="B341" s="36">
        <v>2016</v>
      </c>
      <c r="C341" s="36" t="s">
        <v>955</v>
      </c>
      <c r="D341" s="36" t="str">
        <f t="shared" si="20"/>
        <v>natural gas vehicle</v>
      </c>
      <c r="E341" s="36" t="s">
        <v>954</v>
      </c>
      <c r="F341" s="36" t="s">
        <v>964</v>
      </c>
      <c r="G341" s="36" t="s">
        <v>972</v>
      </c>
      <c r="H341" s="36" t="str">
        <f t="shared" si="21"/>
        <v>乘用车</v>
      </c>
      <c r="I341" s="36" t="str">
        <f t="shared" si="22"/>
        <v>Passenger LDV</v>
      </c>
      <c r="J341" s="36">
        <v>13</v>
      </c>
    </row>
    <row r="342" spans="1:10" x14ac:dyDescent="0.15">
      <c r="A342" s="36">
        <v>341</v>
      </c>
      <c r="B342" s="36">
        <v>2017</v>
      </c>
      <c r="C342" s="36" t="s">
        <v>955</v>
      </c>
      <c r="D342" s="36" t="str">
        <f t="shared" si="20"/>
        <v>natural gas vehicle</v>
      </c>
      <c r="E342" s="36" t="s">
        <v>954</v>
      </c>
      <c r="F342" s="36" t="s">
        <v>964</v>
      </c>
      <c r="G342" s="36" t="s">
        <v>972</v>
      </c>
      <c r="H342" s="36" t="str">
        <f t="shared" si="21"/>
        <v>乘用车</v>
      </c>
      <c r="I342" s="36" t="str">
        <f t="shared" si="22"/>
        <v>Passenger LDV</v>
      </c>
      <c r="J342" s="36">
        <v>58</v>
      </c>
    </row>
    <row r="343" spans="1:10" x14ac:dyDescent="0.15">
      <c r="A343" s="36">
        <v>342</v>
      </c>
      <c r="B343" s="36">
        <v>2018</v>
      </c>
      <c r="C343" s="36" t="s">
        <v>955</v>
      </c>
      <c r="D343" s="36" t="str">
        <f t="shared" si="20"/>
        <v>natural gas vehicle</v>
      </c>
      <c r="E343" s="36" t="s">
        <v>954</v>
      </c>
      <c r="F343" s="36" t="s">
        <v>964</v>
      </c>
      <c r="G343" s="36" t="s">
        <v>972</v>
      </c>
      <c r="H343" s="36" t="str">
        <f t="shared" si="21"/>
        <v>乘用车</v>
      </c>
      <c r="I343" s="36" t="str">
        <f t="shared" si="22"/>
        <v>Passenger LDV</v>
      </c>
      <c r="J343" s="36">
        <v>14</v>
      </c>
    </row>
    <row r="344" spans="1:10" x14ac:dyDescent="0.15">
      <c r="A344" s="36">
        <v>343</v>
      </c>
      <c r="B344" s="36">
        <v>2019</v>
      </c>
      <c r="C344" s="36" t="s">
        <v>955</v>
      </c>
      <c r="D344" s="36" t="str">
        <f t="shared" si="20"/>
        <v>natural gas vehicle</v>
      </c>
      <c r="E344" s="36" t="s">
        <v>954</v>
      </c>
      <c r="F344" s="36" t="s">
        <v>964</v>
      </c>
      <c r="G344" s="36" t="s">
        <v>972</v>
      </c>
      <c r="H344" s="36" t="str">
        <f t="shared" si="21"/>
        <v>乘用车</v>
      </c>
      <c r="I344" s="36" t="str">
        <f t="shared" si="22"/>
        <v>Passenger LDV</v>
      </c>
      <c r="J344" s="36">
        <v>4</v>
      </c>
    </row>
    <row r="345" spans="1:10" x14ac:dyDescent="0.15">
      <c r="A345" s="36">
        <v>344</v>
      </c>
      <c r="B345" s="36">
        <v>2020</v>
      </c>
      <c r="C345" s="36" t="s">
        <v>955</v>
      </c>
      <c r="D345" s="36" t="str">
        <f t="shared" si="20"/>
        <v>natural gas vehicle</v>
      </c>
      <c r="E345" s="36" t="s">
        <v>954</v>
      </c>
      <c r="F345" s="36" t="s">
        <v>964</v>
      </c>
      <c r="G345" s="36" t="s">
        <v>972</v>
      </c>
      <c r="H345" s="36" t="str">
        <f t="shared" si="21"/>
        <v>乘用车</v>
      </c>
      <c r="I345" s="36" t="str">
        <f t="shared" si="22"/>
        <v>Passenger LDV</v>
      </c>
      <c r="J345" s="36">
        <v>180</v>
      </c>
    </row>
    <row r="346" spans="1:10" x14ac:dyDescent="0.15">
      <c r="A346" s="36">
        <v>345</v>
      </c>
      <c r="B346" s="36">
        <v>2021</v>
      </c>
      <c r="C346" s="36" t="s">
        <v>955</v>
      </c>
      <c r="D346" s="36" t="str">
        <f t="shared" si="20"/>
        <v>natural gas vehicle</v>
      </c>
      <c r="E346" s="36" t="s">
        <v>954</v>
      </c>
      <c r="F346" s="36" t="s">
        <v>964</v>
      </c>
      <c r="G346" s="36" t="s">
        <v>972</v>
      </c>
      <c r="H346" s="36" t="str">
        <f t="shared" si="21"/>
        <v>乘用车</v>
      </c>
      <c r="I346" s="36" t="str">
        <f t="shared" si="22"/>
        <v>Passenger LDV</v>
      </c>
      <c r="J346" s="36">
        <v>847</v>
      </c>
    </row>
    <row r="347" spans="1:10" x14ac:dyDescent="0.15">
      <c r="A347" s="36">
        <v>346</v>
      </c>
      <c r="B347" s="36">
        <v>2020</v>
      </c>
      <c r="C347" s="36" t="s">
        <v>961</v>
      </c>
      <c r="D347" s="36" t="str">
        <f t="shared" si="20"/>
        <v>plugin hybrid vehicle</v>
      </c>
      <c r="E347" s="36" t="s">
        <v>976</v>
      </c>
      <c r="F347" s="36" t="s">
        <v>964</v>
      </c>
      <c r="G347" s="36" t="s">
        <v>972</v>
      </c>
      <c r="H347" s="36" t="str">
        <f t="shared" si="21"/>
        <v>中重型货车</v>
      </c>
      <c r="I347" s="36" t="str">
        <f t="shared" si="22"/>
        <v>Freight HDV</v>
      </c>
      <c r="J347" s="36">
        <v>6</v>
      </c>
    </row>
    <row r="348" spans="1:10" x14ac:dyDescent="0.15">
      <c r="A348" s="36">
        <v>347</v>
      </c>
      <c r="B348" s="36">
        <v>2021</v>
      </c>
      <c r="C348" s="36" t="s">
        <v>961</v>
      </c>
      <c r="D348" s="36" t="str">
        <f t="shared" si="20"/>
        <v>plugin hybrid vehicle</v>
      </c>
      <c r="E348" s="36" t="s">
        <v>976</v>
      </c>
      <c r="F348" s="36" t="s">
        <v>964</v>
      </c>
      <c r="G348" s="36" t="s">
        <v>972</v>
      </c>
      <c r="H348" s="36" t="str">
        <f t="shared" si="21"/>
        <v>中重型货车</v>
      </c>
      <c r="I348" s="36" t="str">
        <f t="shared" si="22"/>
        <v>Freight HDV</v>
      </c>
      <c r="J348" s="36">
        <v>18</v>
      </c>
    </row>
    <row r="349" spans="1:10" x14ac:dyDescent="0.15">
      <c r="A349" s="36">
        <v>348</v>
      </c>
      <c r="B349" s="36">
        <v>2015</v>
      </c>
      <c r="C349" s="36" t="s">
        <v>953</v>
      </c>
      <c r="D349" s="36" t="str">
        <f t="shared" si="20"/>
        <v>diesel vehicle</v>
      </c>
      <c r="E349" s="36" t="s">
        <v>976</v>
      </c>
      <c r="F349" s="36" t="s">
        <v>964</v>
      </c>
      <c r="G349" s="36" t="s">
        <v>972</v>
      </c>
      <c r="H349" s="36" t="str">
        <f t="shared" si="21"/>
        <v>中重型货车</v>
      </c>
      <c r="I349" s="36" t="str">
        <f t="shared" si="22"/>
        <v>Freight HDV</v>
      </c>
      <c r="J349" s="36">
        <v>38845</v>
      </c>
    </row>
    <row r="350" spans="1:10" x14ac:dyDescent="0.15">
      <c r="A350" s="36">
        <v>349</v>
      </c>
      <c r="B350" s="36">
        <v>2016</v>
      </c>
      <c r="C350" s="36" t="s">
        <v>953</v>
      </c>
      <c r="D350" s="36" t="str">
        <f t="shared" si="20"/>
        <v>diesel vehicle</v>
      </c>
      <c r="E350" s="36" t="s">
        <v>976</v>
      </c>
      <c r="F350" s="36" t="s">
        <v>964</v>
      </c>
      <c r="G350" s="36" t="s">
        <v>972</v>
      </c>
      <c r="H350" s="36" t="str">
        <f t="shared" si="21"/>
        <v>中重型货车</v>
      </c>
      <c r="I350" s="36" t="str">
        <f t="shared" si="22"/>
        <v>Freight HDV</v>
      </c>
      <c r="J350" s="36">
        <v>19424</v>
      </c>
    </row>
    <row r="351" spans="1:10" x14ac:dyDescent="0.15">
      <c r="A351" s="36">
        <v>350</v>
      </c>
      <c r="B351" s="36">
        <v>2017</v>
      </c>
      <c r="C351" s="36" t="s">
        <v>953</v>
      </c>
      <c r="D351" s="36" t="str">
        <f t="shared" si="20"/>
        <v>diesel vehicle</v>
      </c>
      <c r="E351" s="36" t="s">
        <v>976</v>
      </c>
      <c r="F351" s="36" t="s">
        <v>964</v>
      </c>
      <c r="G351" s="36" t="s">
        <v>972</v>
      </c>
      <c r="H351" s="36" t="str">
        <f t="shared" si="21"/>
        <v>中重型货车</v>
      </c>
      <c r="I351" s="36" t="str">
        <f t="shared" si="22"/>
        <v>Freight HDV</v>
      </c>
      <c r="J351" s="36">
        <v>22091</v>
      </c>
    </row>
    <row r="352" spans="1:10" x14ac:dyDescent="0.15">
      <c r="A352" s="36">
        <v>351</v>
      </c>
      <c r="B352" s="36">
        <v>2018</v>
      </c>
      <c r="C352" s="36" t="s">
        <v>953</v>
      </c>
      <c r="D352" s="36" t="str">
        <f t="shared" si="20"/>
        <v>diesel vehicle</v>
      </c>
      <c r="E352" s="36" t="s">
        <v>976</v>
      </c>
      <c r="F352" s="36" t="s">
        <v>964</v>
      </c>
      <c r="G352" s="36" t="s">
        <v>972</v>
      </c>
      <c r="H352" s="36" t="str">
        <f t="shared" si="21"/>
        <v>中重型货车</v>
      </c>
      <c r="I352" s="36" t="str">
        <f t="shared" si="22"/>
        <v>Freight HDV</v>
      </c>
      <c r="J352" s="36">
        <v>22098</v>
      </c>
    </row>
    <row r="353" spans="1:10" x14ac:dyDescent="0.15">
      <c r="A353" s="36">
        <v>352</v>
      </c>
      <c r="B353" s="36">
        <v>2019</v>
      </c>
      <c r="C353" s="36" t="s">
        <v>953</v>
      </c>
      <c r="D353" s="36" t="str">
        <f t="shared" si="20"/>
        <v>diesel vehicle</v>
      </c>
      <c r="E353" s="36" t="s">
        <v>976</v>
      </c>
      <c r="F353" s="36" t="s">
        <v>964</v>
      </c>
      <c r="G353" s="36" t="s">
        <v>972</v>
      </c>
      <c r="H353" s="36" t="str">
        <f t="shared" si="21"/>
        <v>中重型货车</v>
      </c>
      <c r="I353" s="36" t="str">
        <f t="shared" si="22"/>
        <v>Freight HDV</v>
      </c>
      <c r="J353" s="36">
        <v>23665</v>
      </c>
    </row>
    <row r="354" spans="1:10" x14ac:dyDescent="0.15">
      <c r="A354" s="36">
        <v>353</v>
      </c>
      <c r="B354" s="36">
        <v>2020</v>
      </c>
      <c r="C354" s="36" t="s">
        <v>953</v>
      </c>
      <c r="D354" s="36" t="str">
        <f t="shared" si="20"/>
        <v>diesel vehicle</v>
      </c>
      <c r="E354" s="36" t="s">
        <v>976</v>
      </c>
      <c r="F354" s="36" t="s">
        <v>964</v>
      </c>
      <c r="G354" s="36" t="s">
        <v>972</v>
      </c>
      <c r="H354" s="36" t="str">
        <f t="shared" si="21"/>
        <v>中重型货车</v>
      </c>
      <c r="I354" s="36" t="str">
        <f t="shared" si="22"/>
        <v>Freight HDV</v>
      </c>
      <c r="J354" s="36">
        <v>30952</v>
      </c>
    </row>
    <row r="355" spans="1:10" x14ac:dyDescent="0.15">
      <c r="A355" s="36">
        <v>354</v>
      </c>
      <c r="B355" s="36">
        <v>2021</v>
      </c>
      <c r="C355" s="36" t="s">
        <v>953</v>
      </c>
      <c r="D355" s="36" t="str">
        <f t="shared" si="20"/>
        <v>diesel vehicle</v>
      </c>
      <c r="E355" s="36" t="s">
        <v>976</v>
      </c>
      <c r="F355" s="36" t="s">
        <v>964</v>
      </c>
      <c r="G355" s="36" t="s">
        <v>972</v>
      </c>
      <c r="H355" s="36" t="str">
        <f t="shared" si="21"/>
        <v>中重型货车</v>
      </c>
      <c r="I355" s="36" t="str">
        <f t="shared" si="22"/>
        <v>Freight HDV</v>
      </c>
      <c r="J355" s="36">
        <v>32738</v>
      </c>
    </row>
    <row r="356" spans="1:10" x14ac:dyDescent="0.15">
      <c r="A356" s="36">
        <v>355</v>
      </c>
      <c r="B356" s="36">
        <v>2015</v>
      </c>
      <c r="C356" s="36" t="s">
        <v>958</v>
      </c>
      <c r="D356" s="36" t="str">
        <f t="shared" si="20"/>
        <v>battery electric vehicle</v>
      </c>
      <c r="E356" s="36" t="s">
        <v>976</v>
      </c>
      <c r="F356" s="36" t="s">
        <v>964</v>
      </c>
      <c r="G356" s="36" t="s">
        <v>972</v>
      </c>
      <c r="H356" s="36" t="str">
        <f t="shared" si="21"/>
        <v>中重型货车</v>
      </c>
      <c r="I356" s="36" t="str">
        <f t="shared" si="22"/>
        <v>Freight HDV</v>
      </c>
      <c r="J356" s="36">
        <v>25</v>
      </c>
    </row>
    <row r="357" spans="1:10" x14ac:dyDescent="0.15">
      <c r="A357" s="36">
        <v>356</v>
      </c>
      <c r="B357" s="36">
        <v>2016</v>
      </c>
      <c r="C357" s="36" t="s">
        <v>958</v>
      </c>
      <c r="D357" s="36" t="str">
        <f t="shared" si="20"/>
        <v>battery electric vehicle</v>
      </c>
      <c r="E357" s="36" t="s">
        <v>976</v>
      </c>
      <c r="F357" s="36" t="s">
        <v>964</v>
      </c>
      <c r="G357" s="36" t="s">
        <v>972</v>
      </c>
      <c r="H357" s="36" t="str">
        <f t="shared" si="21"/>
        <v>中重型货车</v>
      </c>
      <c r="I357" s="36" t="str">
        <f t="shared" si="22"/>
        <v>Freight HDV</v>
      </c>
      <c r="J357" s="36">
        <v>99</v>
      </c>
    </row>
    <row r="358" spans="1:10" x14ac:dyDescent="0.15">
      <c r="A358" s="36">
        <v>357</v>
      </c>
      <c r="B358" s="36">
        <v>2017</v>
      </c>
      <c r="C358" s="36" t="s">
        <v>958</v>
      </c>
      <c r="D358" s="36" t="str">
        <f t="shared" si="20"/>
        <v>battery electric vehicle</v>
      </c>
      <c r="E358" s="36" t="s">
        <v>976</v>
      </c>
      <c r="F358" s="36" t="s">
        <v>964</v>
      </c>
      <c r="G358" s="36" t="s">
        <v>972</v>
      </c>
      <c r="H358" s="36" t="str">
        <f t="shared" si="21"/>
        <v>中重型货车</v>
      </c>
      <c r="I358" s="36" t="str">
        <f t="shared" si="22"/>
        <v>Freight HDV</v>
      </c>
      <c r="J358" s="36">
        <v>350</v>
      </c>
    </row>
    <row r="359" spans="1:10" x14ac:dyDescent="0.15">
      <c r="A359" s="36">
        <v>358</v>
      </c>
      <c r="B359" s="36">
        <v>2018</v>
      </c>
      <c r="C359" s="36" t="s">
        <v>958</v>
      </c>
      <c r="D359" s="36" t="str">
        <f t="shared" si="20"/>
        <v>battery electric vehicle</v>
      </c>
      <c r="E359" s="36" t="s">
        <v>976</v>
      </c>
      <c r="F359" s="36" t="s">
        <v>964</v>
      </c>
      <c r="G359" s="36" t="s">
        <v>972</v>
      </c>
      <c r="H359" s="36" t="str">
        <f t="shared" si="21"/>
        <v>中重型货车</v>
      </c>
      <c r="I359" s="36" t="str">
        <f t="shared" si="22"/>
        <v>Freight HDV</v>
      </c>
      <c r="J359" s="36">
        <v>153</v>
      </c>
    </row>
    <row r="360" spans="1:10" x14ac:dyDescent="0.15">
      <c r="A360" s="36">
        <v>359</v>
      </c>
      <c r="B360" s="36">
        <v>2019</v>
      </c>
      <c r="C360" s="36" t="s">
        <v>958</v>
      </c>
      <c r="D360" s="36" t="str">
        <f t="shared" si="20"/>
        <v>battery electric vehicle</v>
      </c>
      <c r="E360" s="36" t="s">
        <v>976</v>
      </c>
      <c r="F360" s="36" t="s">
        <v>964</v>
      </c>
      <c r="G360" s="36" t="s">
        <v>972</v>
      </c>
      <c r="H360" s="36" t="str">
        <f t="shared" si="21"/>
        <v>中重型货车</v>
      </c>
      <c r="I360" s="36" t="str">
        <f t="shared" si="22"/>
        <v>Freight HDV</v>
      </c>
      <c r="J360" s="36">
        <v>239</v>
      </c>
    </row>
    <row r="361" spans="1:10" x14ac:dyDescent="0.15">
      <c r="A361" s="36">
        <v>360</v>
      </c>
      <c r="B361" s="36">
        <v>2020</v>
      </c>
      <c r="C361" s="36" t="s">
        <v>958</v>
      </c>
      <c r="D361" s="36" t="str">
        <f t="shared" si="20"/>
        <v>battery electric vehicle</v>
      </c>
      <c r="E361" s="36" t="s">
        <v>976</v>
      </c>
      <c r="F361" s="36" t="s">
        <v>964</v>
      </c>
      <c r="G361" s="36" t="s">
        <v>972</v>
      </c>
      <c r="H361" s="36" t="str">
        <f t="shared" si="21"/>
        <v>中重型货车</v>
      </c>
      <c r="I361" s="36" t="str">
        <f t="shared" si="22"/>
        <v>Freight HDV</v>
      </c>
      <c r="J361" s="36">
        <v>546</v>
      </c>
    </row>
    <row r="362" spans="1:10" x14ac:dyDescent="0.15">
      <c r="A362" s="36">
        <v>361</v>
      </c>
      <c r="B362" s="36">
        <v>2021</v>
      </c>
      <c r="C362" s="36" t="s">
        <v>958</v>
      </c>
      <c r="D362" s="36" t="str">
        <f t="shared" si="20"/>
        <v>battery electric vehicle</v>
      </c>
      <c r="E362" s="36" t="s">
        <v>976</v>
      </c>
      <c r="F362" s="36" t="s">
        <v>964</v>
      </c>
      <c r="G362" s="36" t="s">
        <v>972</v>
      </c>
      <c r="H362" s="36" t="str">
        <f t="shared" si="21"/>
        <v>中重型货车</v>
      </c>
      <c r="I362" s="36" t="str">
        <f t="shared" si="22"/>
        <v>Freight HDV</v>
      </c>
      <c r="J362" s="36">
        <v>826</v>
      </c>
    </row>
    <row r="363" spans="1:10" x14ac:dyDescent="0.15">
      <c r="A363" s="36">
        <v>362</v>
      </c>
      <c r="B363" s="36">
        <v>2015</v>
      </c>
      <c r="C363" s="36" t="s">
        <v>952</v>
      </c>
      <c r="D363" s="36" t="str">
        <f t="shared" si="20"/>
        <v>gasoline vehicle</v>
      </c>
      <c r="E363" s="36" t="s">
        <v>976</v>
      </c>
      <c r="F363" s="36" t="s">
        <v>964</v>
      </c>
      <c r="G363" s="36" t="s">
        <v>972</v>
      </c>
      <c r="H363" s="36" t="str">
        <f t="shared" si="21"/>
        <v>中重型货车</v>
      </c>
      <c r="I363" s="36" t="str">
        <f t="shared" si="22"/>
        <v>Freight HDV</v>
      </c>
      <c r="J363" s="36">
        <v>177</v>
      </c>
    </row>
    <row r="364" spans="1:10" x14ac:dyDescent="0.15">
      <c r="A364" s="36">
        <v>363</v>
      </c>
      <c r="B364" s="36">
        <v>2016</v>
      </c>
      <c r="C364" s="36" t="s">
        <v>952</v>
      </c>
      <c r="D364" s="36" t="str">
        <f t="shared" si="20"/>
        <v>gasoline vehicle</v>
      </c>
      <c r="E364" s="36" t="s">
        <v>976</v>
      </c>
      <c r="F364" s="36" t="s">
        <v>964</v>
      </c>
      <c r="G364" s="36" t="s">
        <v>972</v>
      </c>
      <c r="H364" s="36" t="str">
        <f t="shared" si="21"/>
        <v>中重型货车</v>
      </c>
      <c r="I364" s="36" t="str">
        <f t="shared" si="22"/>
        <v>Freight HDV</v>
      </c>
      <c r="J364" s="36">
        <v>2</v>
      </c>
    </row>
    <row r="365" spans="1:10" x14ac:dyDescent="0.15">
      <c r="A365" s="36">
        <v>364</v>
      </c>
      <c r="B365" s="36">
        <v>2017</v>
      </c>
      <c r="C365" s="36" t="s">
        <v>952</v>
      </c>
      <c r="D365" s="36" t="str">
        <f t="shared" si="20"/>
        <v>gasoline vehicle</v>
      </c>
      <c r="E365" s="36" t="s">
        <v>976</v>
      </c>
      <c r="F365" s="36" t="s">
        <v>964</v>
      </c>
      <c r="G365" s="36" t="s">
        <v>972</v>
      </c>
      <c r="H365" s="36" t="str">
        <f t="shared" si="21"/>
        <v>中重型货车</v>
      </c>
      <c r="I365" s="36" t="str">
        <f t="shared" si="22"/>
        <v>Freight HDV</v>
      </c>
      <c r="J365" s="36">
        <v>22</v>
      </c>
    </row>
    <row r="366" spans="1:10" x14ac:dyDescent="0.15">
      <c r="A366" s="36">
        <v>365</v>
      </c>
      <c r="B366" s="36">
        <v>2018</v>
      </c>
      <c r="C366" s="36" t="s">
        <v>952</v>
      </c>
      <c r="D366" s="36" t="str">
        <f t="shared" si="20"/>
        <v>gasoline vehicle</v>
      </c>
      <c r="E366" s="36" t="s">
        <v>976</v>
      </c>
      <c r="F366" s="36" t="s">
        <v>964</v>
      </c>
      <c r="G366" s="36" t="s">
        <v>972</v>
      </c>
      <c r="H366" s="36" t="str">
        <f t="shared" si="21"/>
        <v>中重型货车</v>
      </c>
      <c r="I366" s="36" t="str">
        <f t="shared" si="22"/>
        <v>Freight HDV</v>
      </c>
      <c r="J366" s="36">
        <v>18</v>
      </c>
    </row>
    <row r="367" spans="1:10" x14ac:dyDescent="0.15">
      <c r="A367" s="36">
        <v>366</v>
      </c>
      <c r="B367" s="36">
        <v>2019</v>
      </c>
      <c r="C367" s="36" t="s">
        <v>952</v>
      </c>
      <c r="D367" s="36" t="str">
        <f t="shared" si="20"/>
        <v>gasoline vehicle</v>
      </c>
      <c r="E367" s="36" t="s">
        <v>976</v>
      </c>
      <c r="F367" s="36" t="s">
        <v>964</v>
      </c>
      <c r="G367" s="36" t="s">
        <v>972</v>
      </c>
      <c r="H367" s="36" t="str">
        <f t="shared" si="21"/>
        <v>中重型货车</v>
      </c>
      <c r="I367" s="36" t="str">
        <f t="shared" si="22"/>
        <v>Freight HDV</v>
      </c>
      <c r="J367" s="36">
        <v>18</v>
      </c>
    </row>
    <row r="368" spans="1:10" x14ac:dyDescent="0.15">
      <c r="A368" s="36">
        <v>367</v>
      </c>
      <c r="B368" s="36">
        <v>2020</v>
      </c>
      <c r="C368" s="36" t="s">
        <v>952</v>
      </c>
      <c r="D368" s="36" t="str">
        <f t="shared" si="20"/>
        <v>gasoline vehicle</v>
      </c>
      <c r="E368" s="36" t="s">
        <v>976</v>
      </c>
      <c r="F368" s="36" t="s">
        <v>964</v>
      </c>
      <c r="G368" s="36" t="s">
        <v>972</v>
      </c>
      <c r="H368" s="36" t="str">
        <f t="shared" si="21"/>
        <v>中重型货车</v>
      </c>
      <c r="I368" s="36" t="str">
        <f t="shared" si="22"/>
        <v>Freight HDV</v>
      </c>
      <c r="J368" s="36">
        <v>39</v>
      </c>
    </row>
    <row r="369" spans="1:10" x14ac:dyDescent="0.15">
      <c r="A369" s="36">
        <v>368</v>
      </c>
      <c r="B369" s="36">
        <v>2021</v>
      </c>
      <c r="C369" s="36" t="s">
        <v>952</v>
      </c>
      <c r="D369" s="36" t="str">
        <f t="shared" si="20"/>
        <v>gasoline vehicle</v>
      </c>
      <c r="E369" s="36" t="s">
        <v>976</v>
      </c>
      <c r="F369" s="36" t="s">
        <v>964</v>
      </c>
      <c r="G369" s="36" t="s">
        <v>972</v>
      </c>
      <c r="H369" s="36" t="str">
        <f t="shared" si="21"/>
        <v>中重型货车</v>
      </c>
      <c r="I369" s="36" t="str">
        <f t="shared" si="22"/>
        <v>Freight HDV</v>
      </c>
      <c r="J369" s="36">
        <v>3</v>
      </c>
    </row>
    <row r="370" spans="1:10" x14ac:dyDescent="0.15">
      <c r="A370" s="36">
        <v>369</v>
      </c>
      <c r="B370" s="36">
        <v>2015</v>
      </c>
      <c r="C370" s="36" t="s">
        <v>956</v>
      </c>
      <c r="D370" s="36" t="str">
        <f t="shared" si="20"/>
        <v>natural gas vehicle</v>
      </c>
      <c r="E370" s="36" t="s">
        <v>976</v>
      </c>
      <c r="F370" s="36" t="s">
        <v>964</v>
      </c>
      <c r="G370" s="36" t="s">
        <v>972</v>
      </c>
      <c r="H370" s="36" t="str">
        <f t="shared" si="21"/>
        <v>中重型货车</v>
      </c>
      <c r="I370" s="36" t="str">
        <f t="shared" si="22"/>
        <v>Freight HDV</v>
      </c>
      <c r="J370" s="36">
        <v>1</v>
      </c>
    </row>
    <row r="371" spans="1:10" x14ac:dyDescent="0.15">
      <c r="A371" s="36">
        <v>370</v>
      </c>
      <c r="B371" s="36">
        <v>2016</v>
      </c>
      <c r="C371" s="36" t="s">
        <v>956</v>
      </c>
      <c r="D371" s="36" t="str">
        <f t="shared" si="20"/>
        <v>natural gas vehicle</v>
      </c>
      <c r="E371" s="36" t="s">
        <v>976</v>
      </c>
      <c r="F371" s="36" t="s">
        <v>964</v>
      </c>
      <c r="G371" s="36" t="s">
        <v>972</v>
      </c>
      <c r="H371" s="36" t="str">
        <f t="shared" si="21"/>
        <v>中重型货车</v>
      </c>
      <c r="I371" s="36" t="str">
        <f t="shared" si="22"/>
        <v>Freight HDV</v>
      </c>
      <c r="J371" s="36">
        <v>9</v>
      </c>
    </row>
    <row r="372" spans="1:10" x14ac:dyDescent="0.15">
      <c r="A372" s="36">
        <v>371</v>
      </c>
      <c r="B372" s="36">
        <v>2017</v>
      </c>
      <c r="C372" s="36" t="s">
        <v>956</v>
      </c>
      <c r="D372" s="36" t="str">
        <f t="shared" si="20"/>
        <v>natural gas vehicle</v>
      </c>
      <c r="E372" s="36" t="s">
        <v>976</v>
      </c>
      <c r="F372" s="36" t="s">
        <v>964</v>
      </c>
      <c r="G372" s="36" t="s">
        <v>972</v>
      </c>
      <c r="H372" s="36" t="str">
        <f t="shared" si="21"/>
        <v>中重型货车</v>
      </c>
      <c r="I372" s="36" t="str">
        <f t="shared" si="22"/>
        <v>Freight HDV</v>
      </c>
      <c r="J372" s="36">
        <v>5</v>
      </c>
    </row>
    <row r="373" spans="1:10" x14ac:dyDescent="0.15">
      <c r="A373" s="36">
        <v>372</v>
      </c>
      <c r="B373" s="36">
        <v>2018</v>
      </c>
      <c r="C373" s="36" t="s">
        <v>966</v>
      </c>
      <c r="D373" s="36" t="str">
        <f t="shared" si="20"/>
        <v>hydrogen vehicle</v>
      </c>
      <c r="E373" s="36" t="s">
        <v>976</v>
      </c>
      <c r="F373" s="36" t="s">
        <v>964</v>
      </c>
      <c r="G373" s="36" t="s">
        <v>972</v>
      </c>
      <c r="H373" s="36" t="str">
        <f t="shared" si="21"/>
        <v>中重型货车</v>
      </c>
      <c r="I373" s="36" t="str">
        <f t="shared" si="22"/>
        <v>Freight HDV</v>
      </c>
      <c r="J373" s="36">
        <v>1</v>
      </c>
    </row>
    <row r="374" spans="1:10" x14ac:dyDescent="0.15">
      <c r="A374" s="36">
        <v>373</v>
      </c>
      <c r="B374" s="36">
        <v>2019</v>
      </c>
      <c r="C374" s="36" t="s">
        <v>966</v>
      </c>
      <c r="D374" s="36" t="str">
        <f t="shared" si="20"/>
        <v>hydrogen vehicle</v>
      </c>
      <c r="E374" s="36" t="s">
        <v>976</v>
      </c>
      <c r="F374" s="36" t="s">
        <v>964</v>
      </c>
      <c r="G374" s="36" t="s">
        <v>972</v>
      </c>
      <c r="H374" s="36" t="str">
        <f t="shared" si="21"/>
        <v>中重型货车</v>
      </c>
      <c r="I374" s="36" t="str">
        <f t="shared" si="22"/>
        <v>Freight HDV</v>
      </c>
      <c r="J374" s="36">
        <v>85</v>
      </c>
    </row>
    <row r="375" spans="1:10" x14ac:dyDescent="0.15">
      <c r="A375" s="36">
        <v>374</v>
      </c>
      <c r="B375" s="36">
        <v>2020</v>
      </c>
      <c r="C375" s="36" t="s">
        <v>966</v>
      </c>
      <c r="D375" s="36" t="str">
        <f t="shared" si="20"/>
        <v>hydrogen vehicle</v>
      </c>
      <c r="E375" s="36" t="s">
        <v>976</v>
      </c>
      <c r="F375" s="36" t="s">
        <v>964</v>
      </c>
      <c r="G375" s="36" t="s">
        <v>972</v>
      </c>
      <c r="H375" s="36" t="str">
        <f t="shared" si="21"/>
        <v>中重型货车</v>
      </c>
      <c r="I375" s="36" t="str">
        <f t="shared" si="22"/>
        <v>Freight HDV</v>
      </c>
      <c r="J375" s="36">
        <v>1</v>
      </c>
    </row>
    <row r="376" spans="1:10" x14ac:dyDescent="0.15">
      <c r="A376" s="36">
        <v>375</v>
      </c>
      <c r="B376" s="36">
        <v>2021</v>
      </c>
      <c r="C376" s="36" t="s">
        <v>966</v>
      </c>
      <c r="D376" s="36" t="str">
        <f t="shared" si="20"/>
        <v>hydrogen vehicle</v>
      </c>
      <c r="E376" s="36" t="s">
        <v>976</v>
      </c>
      <c r="F376" s="36" t="s">
        <v>964</v>
      </c>
      <c r="G376" s="36" t="s">
        <v>972</v>
      </c>
      <c r="H376" s="36" t="str">
        <f t="shared" si="21"/>
        <v>中重型货车</v>
      </c>
      <c r="I376" s="36" t="str">
        <f t="shared" si="22"/>
        <v>Freight HDV</v>
      </c>
      <c r="J376" s="36">
        <v>8</v>
      </c>
    </row>
    <row r="377" spans="1:10" x14ac:dyDescent="0.15">
      <c r="A377" s="36">
        <v>376</v>
      </c>
      <c r="B377" s="36">
        <v>2015</v>
      </c>
      <c r="C377" s="36" t="s">
        <v>955</v>
      </c>
      <c r="D377" s="36" t="str">
        <f t="shared" si="20"/>
        <v>natural gas vehicle</v>
      </c>
      <c r="E377" s="36" t="s">
        <v>976</v>
      </c>
      <c r="F377" s="36" t="s">
        <v>964</v>
      </c>
      <c r="G377" s="36" t="s">
        <v>972</v>
      </c>
      <c r="H377" s="36" t="str">
        <f t="shared" si="21"/>
        <v>中重型货车</v>
      </c>
      <c r="I377" s="36" t="str">
        <f t="shared" si="22"/>
        <v>Freight HDV</v>
      </c>
      <c r="J377" s="36">
        <v>33</v>
      </c>
    </row>
    <row r="378" spans="1:10" x14ac:dyDescent="0.15">
      <c r="A378" s="36">
        <v>377</v>
      </c>
      <c r="B378" s="36">
        <v>2016</v>
      </c>
      <c r="C378" s="36" t="s">
        <v>955</v>
      </c>
      <c r="D378" s="36" t="str">
        <f t="shared" si="20"/>
        <v>natural gas vehicle</v>
      </c>
      <c r="E378" s="36" t="s">
        <v>976</v>
      </c>
      <c r="F378" s="36" t="s">
        <v>964</v>
      </c>
      <c r="G378" s="36" t="s">
        <v>972</v>
      </c>
      <c r="H378" s="36" t="str">
        <f t="shared" si="21"/>
        <v>中重型货车</v>
      </c>
      <c r="I378" s="36" t="str">
        <f t="shared" si="22"/>
        <v>Freight HDV</v>
      </c>
      <c r="J378" s="36">
        <v>16</v>
      </c>
    </row>
    <row r="379" spans="1:10" x14ac:dyDescent="0.15">
      <c r="A379" s="36">
        <v>378</v>
      </c>
      <c r="B379" s="36">
        <v>2017</v>
      </c>
      <c r="C379" s="36" t="s">
        <v>955</v>
      </c>
      <c r="D379" s="36" t="str">
        <f t="shared" si="20"/>
        <v>natural gas vehicle</v>
      </c>
      <c r="E379" s="36" t="s">
        <v>976</v>
      </c>
      <c r="F379" s="36" t="s">
        <v>964</v>
      </c>
      <c r="G379" s="36" t="s">
        <v>972</v>
      </c>
      <c r="H379" s="36" t="str">
        <f t="shared" si="21"/>
        <v>中重型货车</v>
      </c>
      <c r="I379" s="36" t="str">
        <f t="shared" si="22"/>
        <v>Freight HDV</v>
      </c>
      <c r="J379" s="36">
        <v>49</v>
      </c>
    </row>
    <row r="380" spans="1:10" x14ac:dyDescent="0.15">
      <c r="A380" s="36">
        <v>379</v>
      </c>
      <c r="B380" s="36">
        <v>2018</v>
      </c>
      <c r="C380" s="36" t="s">
        <v>955</v>
      </c>
      <c r="D380" s="36" t="str">
        <f t="shared" si="20"/>
        <v>natural gas vehicle</v>
      </c>
      <c r="E380" s="36" t="s">
        <v>976</v>
      </c>
      <c r="F380" s="36" t="s">
        <v>964</v>
      </c>
      <c r="G380" s="36" t="s">
        <v>972</v>
      </c>
      <c r="H380" s="36" t="str">
        <f t="shared" si="21"/>
        <v>中重型货车</v>
      </c>
      <c r="I380" s="36" t="str">
        <f t="shared" si="22"/>
        <v>Freight HDV</v>
      </c>
      <c r="J380" s="36">
        <v>99</v>
      </c>
    </row>
    <row r="381" spans="1:10" x14ac:dyDescent="0.15">
      <c r="A381" s="36">
        <v>380</v>
      </c>
      <c r="B381" s="36">
        <v>2019</v>
      </c>
      <c r="C381" s="36" t="s">
        <v>955</v>
      </c>
      <c r="D381" s="36" t="str">
        <f t="shared" si="20"/>
        <v>natural gas vehicle</v>
      </c>
      <c r="E381" s="36" t="s">
        <v>976</v>
      </c>
      <c r="F381" s="36" t="s">
        <v>964</v>
      </c>
      <c r="G381" s="36" t="s">
        <v>972</v>
      </c>
      <c r="H381" s="36" t="str">
        <f t="shared" si="21"/>
        <v>中重型货车</v>
      </c>
      <c r="I381" s="36" t="str">
        <f t="shared" si="22"/>
        <v>Freight HDV</v>
      </c>
      <c r="J381" s="36">
        <v>85</v>
      </c>
    </row>
    <row r="382" spans="1:10" x14ac:dyDescent="0.15">
      <c r="A382" s="36">
        <v>381</v>
      </c>
      <c r="B382" s="36">
        <v>2020</v>
      </c>
      <c r="C382" s="36" t="s">
        <v>955</v>
      </c>
      <c r="D382" s="36" t="str">
        <f t="shared" si="20"/>
        <v>natural gas vehicle</v>
      </c>
      <c r="E382" s="36" t="s">
        <v>976</v>
      </c>
      <c r="F382" s="36" t="s">
        <v>964</v>
      </c>
      <c r="G382" s="36" t="s">
        <v>972</v>
      </c>
      <c r="H382" s="36" t="str">
        <f t="shared" si="21"/>
        <v>中重型货车</v>
      </c>
      <c r="I382" s="36" t="str">
        <f t="shared" si="22"/>
        <v>Freight HDV</v>
      </c>
      <c r="J382" s="36">
        <v>210</v>
      </c>
    </row>
    <row r="383" spans="1:10" x14ac:dyDescent="0.15">
      <c r="A383" s="36">
        <v>382</v>
      </c>
      <c r="B383" s="36">
        <v>2021</v>
      </c>
      <c r="C383" s="36" t="s">
        <v>955</v>
      </c>
      <c r="D383" s="36" t="str">
        <f t="shared" si="20"/>
        <v>natural gas vehicle</v>
      </c>
      <c r="E383" s="36" t="s">
        <v>976</v>
      </c>
      <c r="F383" s="36" t="s">
        <v>964</v>
      </c>
      <c r="G383" s="36" t="s">
        <v>972</v>
      </c>
      <c r="H383" s="36" t="str">
        <f t="shared" si="21"/>
        <v>中重型货车</v>
      </c>
      <c r="I383" s="36" t="str">
        <f t="shared" si="22"/>
        <v>Freight HDV</v>
      </c>
      <c r="J383" s="36">
        <v>238</v>
      </c>
    </row>
    <row r="384" spans="1:10" x14ac:dyDescent="0.15">
      <c r="A384" s="36">
        <v>383</v>
      </c>
      <c r="B384" s="36">
        <v>2016</v>
      </c>
      <c r="C384" s="36" t="s">
        <v>977</v>
      </c>
      <c r="D384" s="36" t="str">
        <f t="shared" si="20"/>
        <v>unknown</v>
      </c>
      <c r="E384" s="36" t="s">
        <v>976</v>
      </c>
      <c r="F384" s="36" t="s">
        <v>964</v>
      </c>
      <c r="G384" s="36" t="s">
        <v>972</v>
      </c>
      <c r="H384" s="36" t="str">
        <f t="shared" si="21"/>
        <v>中重型货车</v>
      </c>
      <c r="I384" s="36" t="str">
        <f t="shared" si="22"/>
        <v>Freight HDV</v>
      </c>
      <c r="J384" s="36">
        <v>3</v>
      </c>
    </row>
    <row r="385" spans="1:10" x14ac:dyDescent="0.15">
      <c r="A385" s="36">
        <v>384</v>
      </c>
      <c r="B385" s="36">
        <v>2015</v>
      </c>
      <c r="C385" s="36" t="s">
        <v>953</v>
      </c>
      <c r="D385" s="36" t="str">
        <f t="shared" si="20"/>
        <v>diesel vehicle</v>
      </c>
      <c r="E385" s="36" t="s">
        <v>951</v>
      </c>
      <c r="F385" s="36" t="s">
        <v>964</v>
      </c>
      <c r="G385" s="36" t="s">
        <v>972</v>
      </c>
      <c r="H385" s="36" t="str">
        <f t="shared" si="21"/>
        <v>道路客车</v>
      </c>
      <c r="I385" s="36" t="str">
        <f t="shared" si="22"/>
        <v>Passenger HDV</v>
      </c>
      <c r="J385" s="36">
        <v>18522</v>
      </c>
    </row>
    <row r="386" spans="1:10" x14ac:dyDescent="0.15">
      <c r="A386" s="36">
        <v>385</v>
      </c>
      <c r="B386" s="36">
        <v>2016</v>
      </c>
      <c r="C386" s="36" t="s">
        <v>953</v>
      </c>
      <c r="D386" s="36" t="str">
        <f t="shared" ref="D386:D449" si="23">VLOOKUP(C386,M$3:N$16,2,FALSE)</f>
        <v>diesel vehicle</v>
      </c>
      <c r="E386" s="36" t="s">
        <v>951</v>
      </c>
      <c r="F386" s="36" t="s">
        <v>964</v>
      </c>
      <c r="G386" s="36" t="s">
        <v>972</v>
      </c>
      <c r="H386" s="36" t="str">
        <f t="shared" ref="H386:H449" si="24">VLOOKUP(E386&amp;F386&amp;G386,$S$3:$U$68,2,FALSE)</f>
        <v>道路客车</v>
      </c>
      <c r="I386" s="36" t="str">
        <f t="shared" ref="I386:I449" si="25">VLOOKUP(E386&amp;F386&amp;G386,$S$3:$U$68,3,FALSE)</f>
        <v>Passenger HDV</v>
      </c>
      <c r="J386" s="36">
        <v>24535</v>
      </c>
    </row>
    <row r="387" spans="1:10" x14ac:dyDescent="0.15">
      <c r="A387" s="36">
        <v>386</v>
      </c>
      <c r="B387" s="36">
        <v>2017</v>
      </c>
      <c r="C387" s="36" t="s">
        <v>953</v>
      </c>
      <c r="D387" s="36" t="str">
        <f t="shared" si="23"/>
        <v>diesel vehicle</v>
      </c>
      <c r="E387" s="36" t="s">
        <v>951</v>
      </c>
      <c r="F387" s="36" t="s">
        <v>964</v>
      </c>
      <c r="G387" s="36" t="s">
        <v>972</v>
      </c>
      <c r="H387" s="36" t="str">
        <f t="shared" si="24"/>
        <v>道路客车</v>
      </c>
      <c r="I387" s="36" t="str">
        <f t="shared" si="25"/>
        <v>Passenger HDV</v>
      </c>
      <c r="J387" s="36">
        <v>18547</v>
      </c>
    </row>
    <row r="388" spans="1:10" x14ac:dyDescent="0.15">
      <c r="A388" s="36">
        <v>387</v>
      </c>
      <c r="B388" s="36">
        <v>2018</v>
      </c>
      <c r="C388" s="36" t="s">
        <v>953</v>
      </c>
      <c r="D388" s="36" t="str">
        <f t="shared" si="23"/>
        <v>diesel vehicle</v>
      </c>
      <c r="E388" s="36" t="s">
        <v>951</v>
      </c>
      <c r="F388" s="36" t="s">
        <v>964</v>
      </c>
      <c r="G388" s="36" t="s">
        <v>972</v>
      </c>
      <c r="H388" s="36" t="str">
        <f t="shared" si="24"/>
        <v>道路客车</v>
      </c>
      <c r="I388" s="36" t="str">
        <f t="shared" si="25"/>
        <v>Passenger HDV</v>
      </c>
      <c r="J388" s="36">
        <v>11601</v>
      </c>
    </row>
    <row r="389" spans="1:10" x14ac:dyDescent="0.15">
      <c r="A389" s="36">
        <v>388</v>
      </c>
      <c r="B389" s="36">
        <v>2019</v>
      </c>
      <c r="C389" s="36" t="s">
        <v>953</v>
      </c>
      <c r="D389" s="36" t="str">
        <f t="shared" si="23"/>
        <v>diesel vehicle</v>
      </c>
      <c r="E389" s="36" t="s">
        <v>951</v>
      </c>
      <c r="F389" s="36" t="s">
        <v>964</v>
      </c>
      <c r="G389" s="36" t="s">
        <v>972</v>
      </c>
      <c r="H389" s="36" t="str">
        <f t="shared" si="24"/>
        <v>道路客车</v>
      </c>
      <c r="I389" s="36" t="str">
        <f t="shared" si="25"/>
        <v>Passenger HDV</v>
      </c>
      <c r="J389" s="36">
        <v>16189</v>
      </c>
    </row>
    <row r="390" spans="1:10" x14ac:dyDescent="0.15">
      <c r="A390" s="36">
        <v>389</v>
      </c>
      <c r="B390" s="36">
        <v>2020</v>
      </c>
      <c r="C390" s="36" t="s">
        <v>953</v>
      </c>
      <c r="D390" s="36" t="str">
        <f t="shared" si="23"/>
        <v>diesel vehicle</v>
      </c>
      <c r="E390" s="36" t="s">
        <v>951</v>
      </c>
      <c r="F390" s="36" t="s">
        <v>964</v>
      </c>
      <c r="G390" s="36" t="s">
        <v>972</v>
      </c>
      <c r="H390" s="36" t="str">
        <f t="shared" si="24"/>
        <v>道路客车</v>
      </c>
      <c r="I390" s="36" t="str">
        <f t="shared" si="25"/>
        <v>Passenger HDV</v>
      </c>
      <c r="J390" s="36">
        <v>5557</v>
      </c>
    </row>
    <row r="391" spans="1:10" x14ac:dyDescent="0.15">
      <c r="A391" s="36">
        <v>390</v>
      </c>
      <c r="B391" s="36">
        <v>2021</v>
      </c>
      <c r="C391" s="36" t="s">
        <v>953</v>
      </c>
      <c r="D391" s="36" t="str">
        <f t="shared" si="23"/>
        <v>diesel vehicle</v>
      </c>
      <c r="E391" s="36" t="s">
        <v>951</v>
      </c>
      <c r="F391" s="36" t="s">
        <v>964</v>
      </c>
      <c r="G391" s="36" t="s">
        <v>972</v>
      </c>
      <c r="H391" s="36" t="str">
        <f t="shared" si="24"/>
        <v>道路客车</v>
      </c>
      <c r="I391" s="36" t="str">
        <f t="shared" si="25"/>
        <v>Passenger HDV</v>
      </c>
      <c r="J391" s="36">
        <v>10167</v>
      </c>
    </row>
    <row r="392" spans="1:10" x14ac:dyDescent="0.15">
      <c r="A392" s="36">
        <v>391</v>
      </c>
      <c r="B392" s="36">
        <v>2015</v>
      </c>
      <c r="C392" s="36" t="s">
        <v>958</v>
      </c>
      <c r="D392" s="36" t="str">
        <f t="shared" si="23"/>
        <v>battery electric vehicle</v>
      </c>
      <c r="E392" s="36" t="s">
        <v>951</v>
      </c>
      <c r="F392" s="36" t="s">
        <v>964</v>
      </c>
      <c r="G392" s="36" t="s">
        <v>972</v>
      </c>
      <c r="H392" s="36" t="str">
        <f t="shared" si="24"/>
        <v>道路客车</v>
      </c>
      <c r="I392" s="36" t="str">
        <f t="shared" si="25"/>
        <v>Passenger HDV</v>
      </c>
      <c r="J392" s="36">
        <v>2</v>
      </c>
    </row>
    <row r="393" spans="1:10" x14ac:dyDescent="0.15">
      <c r="A393" s="36">
        <v>392</v>
      </c>
      <c r="B393" s="36">
        <v>2019</v>
      </c>
      <c r="C393" s="36" t="s">
        <v>958</v>
      </c>
      <c r="D393" s="36" t="str">
        <f t="shared" si="23"/>
        <v>battery electric vehicle</v>
      </c>
      <c r="E393" s="36" t="s">
        <v>951</v>
      </c>
      <c r="F393" s="36" t="s">
        <v>964</v>
      </c>
      <c r="G393" s="36" t="s">
        <v>972</v>
      </c>
      <c r="H393" s="36" t="str">
        <f t="shared" si="24"/>
        <v>道路客车</v>
      </c>
      <c r="I393" s="36" t="str">
        <f t="shared" si="25"/>
        <v>Passenger HDV</v>
      </c>
      <c r="J393" s="36">
        <v>45</v>
      </c>
    </row>
    <row r="394" spans="1:10" x14ac:dyDescent="0.15">
      <c r="A394" s="36">
        <v>393</v>
      </c>
      <c r="B394" s="36">
        <v>2020</v>
      </c>
      <c r="C394" s="36" t="s">
        <v>958</v>
      </c>
      <c r="D394" s="36" t="str">
        <f t="shared" si="23"/>
        <v>battery electric vehicle</v>
      </c>
      <c r="E394" s="36" t="s">
        <v>951</v>
      </c>
      <c r="F394" s="36" t="s">
        <v>964</v>
      </c>
      <c r="G394" s="36" t="s">
        <v>972</v>
      </c>
      <c r="H394" s="36" t="str">
        <f t="shared" si="24"/>
        <v>道路客车</v>
      </c>
      <c r="I394" s="36" t="str">
        <f t="shared" si="25"/>
        <v>Passenger HDV</v>
      </c>
      <c r="J394" s="36">
        <v>205</v>
      </c>
    </row>
    <row r="395" spans="1:10" x14ac:dyDescent="0.15">
      <c r="A395" s="36">
        <v>394</v>
      </c>
      <c r="B395" s="36">
        <v>2021</v>
      </c>
      <c r="C395" s="36" t="s">
        <v>958</v>
      </c>
      <c r="D395" s="36" t="str">
        <f t="shared" si="23"/>
        <v>battery electric vehicle</v>
      </c>
      <c r="E395" s="36" t="s">
        <v>951</v>
      </c>
      <c r="F395" s="36" t="s">
        <v>964</v>
      </c>
      <c r="G395" s="36" t="s">
        <v>972</v>
      </c>
      <c r="H395" s="36" t="str">
        <f t="shared" si="24"/>
        <v>道路客车</v>
      </c>
      <c r="I395" s="36" t="str">
        <f t="shared" si="25"/>
        <v>Passenger HDV</v>
      </c>
      <c r="J395" s="36">
        <v>516</v>
      </c>
    </row>
    <row r="396" spans="1:10" x14ac:dyDescent="0.15">
      <c r="A396" s="36">
        <v>395</v>
      </c>
      <c r="B396" s="36">
        <v>2015</v>
      </c>
      <c r="C396" s="36" t="s">
        <v>952</v>
      </c>
      <c r="D396" s="36" t="str">
        <f t="shared" si="23"/>
        <v>gasoline vehicle</v>
      </c>
      <c r="E396" s="36" t="s">
        <v>951</v>
      </c>
      <c r="F396" s="36" t="s">
        <v>964</v>
      </c>
      <c r="G396" s="36" t="s">
        <v>972</v>
      </c>
      <c r="H396" s="36" t="str">
        <f t="shared" si="24"/>
        <v>道路客车</v>
      </c>
      <c r="I396" s="36" t="str">
        <f t="shared" si="25"/>
        <v>Passenger HDV</v>
      </c>
      <c r="J396" s="36">
        <v>9403</v>
      </c>
    </row>
    <row r="397" spans="1:10" x14ac:dyDescent="0.15">
      <c r="A397" s="36">
        <v>396</v>
      </c>
      <c r="B397" s="36">
        <v>2016</v>
      </c>
      <c r="C397" s="36" t="s">
        <v>952</v>
      </c>
      <c r="D397" s="36" t="str">
        <f t="shared" si="23"/>
        <v>gasoline vehicle</v>
      </c>
      <c r="E397" s="36" t="s">
        <v>951</v>
      </c>
      <c r="F397" s="36" t="s">
        <v>964</v>
      </c>
      <c r="G397" s="36" t="s">
        <v>972</v>
      </c>
      <c r="H397" s="36" t="str">
        <f t="shared" si="24"/>
        <v>道路客车</v>
      </c>
      <c r="I397" s="36" t="str">
        <f t="shared" si="25"/>
        <v>Passenger HDV</v>
      </c>
      <c r="J397" s="36">
        <v>12812</v>
      </c>
    </row>
    <row r="398" spans="1:10" x14ac:dyDescent="0.15">
      <c r="A398" s="36">
        <v>397</v>
      </c>
      <c r="B398" s="36">
        <v>2017</v>
      </c>
      <c r="C398" s="36" t="s">
        <v>952</v>
      </c>
      <c r="D398" s="36" t="str">
        <f t="shared" si="23"/>
        <v>gasoline vehicle</v>
      </c>
      <c r="E398" s="36" t="s">
        <v>951</v>
      </c>
      <c r="F398" s="36" t="s">
        <v>964</v>
      </c>
      <c r="G398" s="36" t="s">
        <v>972</v>
      </c>
      <c r="H398" s="36" t="str">
        <f t="shared" si="24"/>
        <v>道路客车</v>
      </c>
      <c r="I398" s="36" t="str">
        <f t="shared" si="25"/>
        <v>Passenger HDV</v>
      </c>
      <c r="J398" s="36">
        <v>9768</v>
      </c>
    </row>
    <row r="399" spans="1:10" x14ac:dyDescent="0.15">
      <c r="A399" s="36">
        <v>398</v>
      </c>
      <c r="B399" s="36">
        <v>2018</v>
      </c>
      <c r="C399" s="36" t="s">
        <v>952</v>
      </c>
      <c r="D399" s="36" t="str">
        <f t="shared" si="23"/>
        <v>gasoline vehicle</v>
      </c>
      <c r="E399" s="36" t="s">
        <v>951</v>
      </c>
      <c r="F399" s="36" t="s">
        <v>964</v>
      </c>
      <c r="G399" s="36" t="s">
        <v>972</v>
      </c>
      <c r="H399" s="36" t="str">
        <f t="shared" si="24"/>
        <v>道路客车</v>
      </c>
      <c r="I399" s="36" t="str">
        <f t="shared" si="25"/>
        <v>Passenger HDV</v>
      </c>
      <c r="J399" s="36">
        <v>6389</v>
      </c>
    </row>
    <row r="400" spans="1:10" x14ac:dyDescent="0.15">
      <c r="A400" s="36">
        <v>399</v>
      </c>
      <c r="B400" s="36">
        <v>2019</v>
      </c>
      <c r="C400" s="36" t="s">
        <v>952</v>
      </c>
      <c r="D400" s="36" t="str">
        <f t="shared" si="23"/>
        <v>gasoline vehicle</v>
      </c>
      <c r="E400" s="36" t="s">
        <v>951</v>
      </c>
      <c r="F400" s="36" t="s">
        <v>964</v>
      </c>
      <c r="G400" s="36" t="s">
        <v>972</v>
      </c>
      <c r="H400" s="36" t="str">
        <f t="shared" si="24"/>
        <v>道路客车</v>
      </c>
      <c r="I400" s="36" t="str">
        <f t="shared" si="25"/>
        <v>Passenger HDV</v>
      </c>
      <c r="J400" s="36">
        <v>8586</v>
      </c>
    </row>
    <row r="401" spans="1:10" x14ac:dyDescent="0.15">
      <c r="A401" s="36">
        <v>400</v>
      </c>
      <c r="B401" s="36">
        <v>2020</v>
      </c>
      <c r="C401" s="36" t="s">
        <v>952</v>
      </c>
      <c r="D401" s="36" t="str">
        <f t="shared" si="23"/>
        <v>gasoline vehicle</v>
      </c>
      <c r="E401" s="36" t="s">
        <v>951</v>
      </c>
      <c r="F401" s="36" t="s">
        <v>964</v>
      </c>
      <c r="G401" s="36" t="s">
        <v>972</v>
      </c>
      <c r="H401" s="36" t="str">
        <f t="shared" si="24"/>
        <v>道路客车</v>
      </c>
      <c r="I401" s="36" t="str">
        <f t="shared" si="25"/>
        <v>Passenger HDV</v>
      </c>
      <c r="J401" s="36">
        <v>2266</v>
      </c>
    </row>
    <row r="402" spans="1:10" x14ac:dyDescent="0.15">
      <c r="A402" s="36">
        <v>401</v>
      </c>
      <c r="B402" s="36">
        <v>2021</v>
      </c>
      <c r="C402" s="36" t="s">
        <v>952</v>
      </c>
      <c r="D402" s="36" t="str">
        <f t="shared" si="23"/>
        <v>gasoline vehicle</v>
      </c>
      <c r="E402" s="36" t="s">
        <v>951</v>
      </c>
      <c r="F402" s="36" t="s">
        <v>964</v>
      </c>
      <c r="G402" s="36" t="s">
        <v>972</v>
      </c>
      <c r="H402" s="36" t="str">
        <f t="shared" si="24"/>
        <v>道路客车</v>
      </c>
      <c r="I402" s="36" t="str">
        <f t="shared" si="25"/>
        <v>Passenger HDV</v>
      </c>
      <c r="J402" s="36">
        <v>6175</v>
      </c>
    </row>
    <row r="403" spans="1:10" x14ac:dyDescent="0.15">
      <c r="A403" s="36">
        <v>402</v>
      </c>
      <c r="B403" s="36">
        <v>2015</v>
      </c>
      <c r="C403" s="36" t="s">
        <v>956</v>
      </c>
      <c r="D403" s="36" t="str">
        <f t="shared" si="23"/>
        <v>natural gas vehicle</v>
      </c>
      <c r="E403" s="36" t="s">
        <v>951</v>
      </c>
      <c r="F403" s="36" t="s">
        <v>964</v>
      </c>
      <c r="G403" s="36" t="s">
        <v>972</v>
      </c>
      <c r="H403" s="36" t="str">
        <f t="shared" si="24"/>
        <v>道路客车</v>
      </c>
      <c r="I403" s="36" t="str">
        <f t="shared" si="25"/>
        <v>Passenger HDV</v>
      </c>
      <c r="J403" s="36">
        <v>165</v>
      </c>
    </row>
    <row r="404" spans="1:10" x14ac:dyDescent="0.15">
      <c r="A404" s="36">
        <v>403</v>
      </c>
      <c r="B404" s="36">
        <v>2016</v>
      </c>
      <c r="C404" s="36" t="s">
        <v>956</v>
      </c>
      <c r="D404" s="36" t="str">
        <f t="shared" si="23"/>
        <v>natural gas vehicle</v>
      </c>
      <c r="E404" s="36" t="s">
        <v>951</v>
      </c>
      <c r="F404" s="36" t="s">
        <v>964</v>
      </c>
      <c r="G404" s="36" t="s">
        <v>972</v>
      </c>
      <c r="H404" s="36" t="str">
        <f t="shared" si="24"/>
        <v>道路客车</v>
      </c>
      <c r="I404" s="36" t="str">
        <f t="shared" si="25"/>
        <v>Passenger HDV</v>
      </c>
      <c r="J404" s="36">
        <v>53</v>
      </c>
    </row>
    <row r="405" spans="1:10" x14ac:dyDescent="0.15">
      <c r="A405" s="36">
        <v>404</v>
      </c>
      <c r="B405" s="36">
        <v>2015</v>
      </c>
      <c r="C405" s="36" t="s">
        <v>955</v>
      </c>
      <c r="D405" s="36" t="str">
        <f t="shared" si="23"/>
        <v>natural gas vehicle</v>
      </c>
      <c r="E405" s="36" t="s">
        <v>951</v>
      </c>
      <c r="F405" s="36" t="s">
        <v>964</v>
      </c>
      <c r="G405" s="36" t="s">
        <v>972</v>
      </c>
      <c r="H405" s="36" t="str">
        <f t="shared" si="24"/>
        <v>道路客车</v>
      </c>
      <c r="I405" s="36" t="str">
        <f t="shared" si="25"/>
        <v>Passenger HDV</v>
      </c>
      <c r="J405" s="36">
        <v>37</v>
      </c>
    </row>
    <row r="406" spans="1:10" x14ac:dyDescent="0.15">
      <c r="A406" s="36">
        <v>405</v>
      </c>
      <c r="B406" s="36">
        <v>2016</v>
      </c>
      <c r="C406" s="36" t="s">
        <v>955</v>
      </c>
      <c r="D406" s="36" t="str">
        <f t="shared" si="23"/>
        <v>natural gas vehicle</v>
      </c>
      <c r="E406" s="36" t="s">
        <v>951</v>
      </c>
      <c r="F406" s="36" t="s">
        <v>964</v>
      </c>
      <c r="G406" s="36" t="s">
        <v>972</v>
      </c>
      <c r="H406" s="36" t="str">
        <f t="shared" si="24"/>
        <v>道路客车</v>
      </c>
      <c r="I406" s="36" t="str">
        <f t="shared" si="25"/>
        <v>Passenger HDV</v>
      </c>
      <c r="J406" s="36">
        <v>257</v>
      </c>
    </row>
    <row r="407" spans="1:10" x14ac:dyDescent="0.15">
      <c r="A407" s="36">
        <v>406</v>
      </c>
      <c r="B407" s="36">
        <v>2017</v>
      </c>
      <c r="C407" s="36" t="s">
        <v>955</v>
      </c>
      <c r="D407" s="36" t="str">
        <f t="shared" si="23"/>
        <v>natural gas vehicle</v>
      </c>
      <c r="E407" s="36" t="s">
        <v>951</v>
      </c>
      <c r="F407" s="36" t="s">
        <v>964</v>
      </c>
      <c r="G407" s="36" t="s">
        <v>972</v>
      </c>
      <c r="H407" s="36" t="str">
        <f t="shared" si="24"/>
        <v>道路客车</v>
      </c>
      <c r="I407" s="36" t="str">
        <f t="shared" si="25"/>
        <v>Passenger HDV</v>
      </c>
      <c r="J407" s="36">
        <v>17</v>
      </c>
    </row>
    <row r="408" spans="1:10" x14ac:dyDescent="0.15">
      <c r="A408" s="36">
        <v>407</v>
      </c>
      <c r="B408" s="36">
        <v>2018</v>
      </c>
      <c r="C408" s="36" t="s">
        <v>955</v>
      </c>
      <c r="D408" s="36" t="str">
        <f t="shared" si="23"/>
        <v>natural gas vehicle</v>
      </c>
      <c r="E408" s="36" t="s">
        <v>951</v>
      </c>
      <c r="F408" s="36" t="s">
        <v>964</v>
      </c>
      <c r="G408" s="36" t="s">
        <v>972</v>
      </c>
      <c r="H408" s="36" t="str">
        <f t="shared" si="24"/>
        <v>道路客车</v>
      </c>
      <c r="I408" s="36" t="str">
        <f t="shared" si="25"/>
        <v>Passenger HDV</v>
      </c>
      <c r="J408" s="36">
        <v>2</v>
      </c>
    </row>
    <row r="409" spans="1:10" x14ac:dyDescent="0.15">
      <c r="A409" s="36">
        <v>408</v>
      </c>
      <c r="B409" s="36">
        <v>2019</v>
      </c>
      <c r="C409" s="36" t="s">
        <v>955</v>
      </c>
      <c r="D409" s="36" t="str">
        <f t="shared" si="23"/>
        <v>natural gas vehicle</v>
      </c>
      <c r="E409" s="36" t="s">
        <v>951</v>
      </c>
      <c r="F409" s="36" t="s">
        <v>964</v>
      </c>
      <c r="G409" s="36" t="s">
        <v>972</v>
      </c>
      <c r="H409" s="36" t="str">
        <f t="shared" si="24"/>
        <v>道路客车</v>
      </c>
      <c r="I409" s="36" t="str">
        <f t="shared" si="25"/>
        <v>Passenger HDV</v>
      </c>
      <c r="J409" s="36">
        <v>3</v>
      </c>
    </row>
    <row r="410" spans="1:10" x14ac:dyDescent="0.15">
      <c r="A410" s="36">
        <v>409</v>
      </c>
      <c r="B410" s="36">
        <v>2020</v>
      </c>
      <c r="C410" s="36" t="s">
        <v>955</v>
      </c>
      <c r="D410" s="36" t="str">
        <f t="shared" si="23"/>
        <v>natural gas vehicle</v>
      </c>
      <c r="E410" s="36" t="s">
        <v>951</v>
      </c>
      <c r="F410" s="36" t="s">
        <v>964</v>
      </c>
      <c r="G410" s="36" t="s">
        <v>972</v>
      </c>
      <c r="H410" s="36" t="str">
        <f t="shared" si="24"/>
        <v>道路客车</v>
      </c>
      <c r="I410" s="36" t="str">
        <f t="shared" si="25"/>
        <v>Passenger HDV</v>
      </c>
      <c r="J410" s="36">
        <v>1</v>
      </c>
    </row>
    <row r="411" spans="1:10" x14ac:dyDescent="0.15">
      <c r="A411" s="36">
        <v>410</v>
      </c>
      <c r="B411" s="36">
        <v>2021</v>
      </c>
      <c r="C411" s="36" t="s">
        <v>955</v>
      </c>
      <c r="D411" s="36" t="str">
        <f t="shared" si="23"/>
        <v>natural gas vehicle</v>
      </c>
      <c r="E411" s="36" t="s">
        <v>951</v>
      </c>
      <c r="F411" s="36" t="s">
        <v>964</v>
      </c>
      <c r="G411" s="36" t="s">
        <v>972</v>
      </c>
      <c r="H411" s="36" t="str">
        <f t="shared" si="24"/>
        <v>道路客车</v>
      </c>
      <c r="I411" s="36" t="str">
        <f t="shared" si="25"/>
        <v>Passenger HDV</v>
      </c>
      <c r="J411" s="36">
        <v>2</v>
      </c>
    </row>
    <row r="412" spans="1:10" x14ac:dyDescent="0.15">
      <c r="A412" s="36">
        <v>411</v>
      </c>
      <c r="B412" s="36">
        <v>2015</v>
      </c>
      <c r="C412" s="36" t="s">
        <v>953</v>
      </c>
      <c r="D412" s="36" t="str">
        <f t="shared" si="23"/>
        <v>diesel vehicle</v>
      </c>
      <c r="E412" s="36" t="s">
        <v>973</v>
      </c>
      <c r="F412" s="36" t="s">
        <v>964</v>
      </c>
      <c r="G412" s="36" t="s">
        <v>972</v>
      </c>
      <c r="H412" s="36" t="str">
        <f t="shared" si="24"/>
        <v>中重型货车</v>
      </c>
      <c r="I412" s="36" t="str">
        <f t="shared" si="25"/>
        <v>Freight HDV</v>
      </c>
      <c r="J412" s="36">
        <v>61970</v>
      </c>
    </row>
    <row r="413" spans="1:10" x14ac:dyDescent="0.15">
      <c r="A413" s="36">
        <v>412</v>
      </c>
      <c r="B413" s="36">
        <v>2016</v>
      </c>
      <c r="C413" s="36" t="s">
        <v>953</v>
      </c>
      <c r="D413" s="36" t="str">
        <f t="shared" si="23"/>
        <v>diesel vehicle</v>
      </c>
      <c r="E413" s="36" t="s">
        <v>973</v>
      </c>
      <c r="F413" s="36" t="s">
        <v>964</v>
      </c>
      <c r="G413" s="36" t="s">
        <v>972</v>
      </c>
      <c r="H413" s="36" t="str">
        <f t="shared" si="24"/>
        <v>中重型货车</v>
      </c>
      <c r="I413" s="36" t="str">
        <f t="shared" si="25"/>
        <v>Freight HDV</v>
      </c>
      <c r="J413" s="36">
        <v>37269</v>
      </c>
    </row>
    <row r="414" spans="1:10" x14ac:dyDescent="0.15">
      <c r="A414" s="36">
        <v>413</v>
      </c>
      <c r="B414" s="36">
        <v>2017</v>
      </c>
      <c r="C414" s="36" t="s">
        <v>953</v>
      </c>
      <c r="D414" s="36" t="str">
        <f t="shared" si="23"/>
        <v>diesel vehicle</v>
      </c>
      <c r="E414" s="36" t="s">
        <v>973</v>
      </c>
      <c r="F414" s="36" t="s">
        <v>964</v>
      </c>
      <c r="G414" s="36" t="s">
        <v>972</v>
      </c>
      <c r="H414" s="36" t="str">
        <f t="shared" si="24"/>
        <v>中重型货车</v>
      </c>
      <c r="I414" s="36" t="str">
        <f t="shared" si="25"/>
        <v>Freight HDV</v>
      </c>
      <c r="J414" s="36">
        <v>66387</v>
      </c>
    </row>
    <row r="415" spans="1:10" x14ac:dyDescent="0.15">
      <c r="A415" s="36">
        <v>414</v>
      </c>
      <c r="B415" s="36">
        <v>2018</v>
      </c>
      <c r="C415" s="36" t="s">
        <v>953</v>
      </c>
      <c r="D415" s="36" t="str">
        <f t="shared" si="23"/>
        <v>diesel vehicle</v>
      </c>
      <c r="E415" s="36" t="s">
        <v>973</v>
      </c>
      <c r="F415" s="36" t="s">
        <v>964</v>
      </c>
      <c r="G415" s="36" t="s">
        <v>972</v>
      </c>
      <c r="H415" s="36" t="str">
        <f t="shared" si="24"/>
        <v>中重型货车</v>
      </c>
      <c r="I415" s="36" t="str">
        <f t="shared" si="25"/>
        <v>Freight HDV</v>
      </c>
      <c r="J415" s="36">
        <v>65358</v>
      </c>
    </row>
    <row r="416" spans="1:10" x14ac:dyDescent="0.15">
      <c r="A416" s="36">
        <v>415</v>
      </c>
      <c r="B416" s="36">
        <v>2019</v>
      </c>
      <c r="C416" s="36" t="s">
        <v>953</v>
      </c>
      <c r="D416" s="36" t="str">
        <f t="shared" si="23"/>
        <v>diesel vehicle</v>
      </c>
      <c r="E416" s="36" t="s">
        <v>973</v>
      </c>
      <c r="F416" s="36" t="s">
        <v>964</v>
      </c>
      <c r="G416" s="36" t="s">
        <v>972</v>
      </c>
      <c r="H416" s="36" t="str">
        <f t="shared" si="24"/>
        <v>中重型货车</v>
      </c>
      <c r="I416" s="36" t="str">
        <f t="shared" si="25"/>
        <v>Freight HDV</v>
      </c>
      <c r="J416" s="36">
        <v>68521</v>
      </c>
    </row>
    <row r="417" spans="1:10" x14ac:dyDescent="0.15">
      <c r="A417" s="36">
        <v>416</v>
      </c>
      <c r="B417" s="36">
        <v>2020</v>
      </c>
      <c r="C417" s="36" t="s">
        <v>953</v>
      </c>
      <c r="D417" s="36" t="str">
        <f t="shared" si="23"/>
        <v>diesel vehicle</v>
      </c>
      <c r="E417" s="36" t="s">
        <v>973</v>
      </c>
      <c r="F417" s="36" t="s">
        <v>964</v>
      </c>
      <c r="G417" s="36" t="s">
        <v>972</v>
      </c>
      <c r="H417" s="36" t="str">
        <f t="shared" si="24"/>
        <v>中重型货车</v>
      </c>
      <c r="I417" s="36" t="str">
        <f t="shared" si="25"/>
        <v>Freight HDV</v>
      </c>
      <c r="J417" s="36">
        <v>98234</v>
      </c>
    </row>
    <row r="418" spans="1:10" x14ac:dyDescent="0.15">
      <c r="A418" s="36">
        <v>417</v>
      </c>
      <c r="B418" s="36">
        <v>2021</v>
      </c>
      <c r="C418" s="36" t="s">
        <v>953</v>
      </c>
      <c r="D418" s="36" t="str">
        <f t="shared" si="23"/>
        <v>diesel vehicle</v>
      </c>
      <c r="E418" s="36" t="s">
        <v>973</v>
      </c>
      <c r="F418" s="36" t="s">
        <v>964</v>
      </c>
      <c r="G418" s="36" t="s">
        <v>972</v>
      </c>
      <c r="H418" s="36" t="str">
        <f t="shared" si="24"/>
        <v>中重型货车</v>
      </c>
      <c r="I418" s="36" t="str">
        <f t="shared" si="25"/>
        <v>Freight HDV</v>
      </c>
      <c r="J418" s="36">
        <v>92698</v>
      </c>
    </row>
    <row r="419" spans="1:10" x14ac:dyDescent="0.15">
      <c r="A419" s="36">
        <v>418</v>
      </c>
      <c r="B419" s="36">
        <v>2015</v>
      </c>
      <c r="C419" s="36" t="s">
        <v>974</v>
      </c>
      <c r="D419" s="36" t="str">
        <f t="shared" si="23"/>
        <v>natural gas vehicle</v>
      </c>
      <c r="E419" s="36" t="s">
        <v>973</v>
      </c>
      <c r="F419" s="36" t="s">
        <v>964</v>
      </c>
      <c r="G419" s="36" t="s">
        <v>972</v>
      </c>
      <c r="H419" s="36" t="str">
        <f t="shared" si="24"/>
        <v>中重型货车</v>
      </c>
      <c r="I419" s="36" t="str">
        <f t="shared" si="25"/>
        <v>Freight HDV</v>
      </c>
      <c r="J419" s="36">
        <v>1</v>
      </c>
    </row>
    <row r="420" spans="1:10" x14ac:dyDescent="0.15">
      <c r="A420" s="36">
        <v>419</v>
      </c>
      <c r="B420" s="36">
        <v>2015</v>
      </c>
      <c r="C420" s="36" t="s">
        <v>958</v>
      </c>
      <c r="D420" s="36" t="str">
        <f t="shared" si="23"/>
        <v>battery electric vehicle</v>
      </c>
      <c r="E420" s="36" t="s">
        <v>973</v>
      </c>
      <c r="F420" s="36" t="s">
        <v>964</v>
      </c>
      <c r="G420" s="36" t="s">
        <v>972</v>
      </c>
      <c r="H420" s="36" t="str">
        <f t="shared" si="24"/>
        <v>中重型货车</v>
      </c>
      <c r="I420" s="36" t="str">
        <f t="shared" si="25"/>
        <v>Freight HDV</v>
      </c>
      <c r="J420" s="36">
        <v>37</v>
      </c>
    </row>
    <row r="421" spans="1:10" x14ac:dyDescent="0.15">
      <c r="A421" s="36">
        <v>420</v>
      </c>
      <c r="B421" s="36">
        <v>2016</v>
      </c>
      <c r="C421" s="36" t="s">
        <v>958</v>
      </c>
      <c r="D421" s="36" t="str">
        <f t="shared" si="23"/>
        <v>battery electric vehicle</v>
      </c>
      <c r="E421" s="36" t="s">
        <v>973</v>
      </c>
      <c r="F421" s="36" t="s">
        <v>964</v>
      </c>
      <c r="G421" s="36" t="s">
        <v>972</v>
      </c>
      <c r="H421" s="36" t="str">
        <f t="shared" si="24"/>
        <v>中重型货车</v>
      </c>
      <c r="I421" s="36" t="str">
        <f t="shared" si="25"/>
        <v>Freight HDV</v>
      </c>
      <c r="J421" s="36">
        <v>5</v>
      </c>
    </row>
    <row r="422" spans="1:10" x14ac:dyDescent="0.15">
      <c r="A422" s="36">
        <v>421</v>
      </c>
      <c r="B422" s="36">
        <v>2017</v>
      </c>
      <c r="C422" s="36" t="s">
        <v>958</v>
      </c>
      <c r="D422" s="36" t="str">
        <f t="shared" si="23"/>
        <v>battery electric vehicle</v>
      </c>
      <c r="E422" s="36" t="s">
        <v>973</v>
      </c>
      <c r="F422" s="36" t="s">
        <v>964</v>
      </c>
      <c r="G422" s="36" t="s">
        <v>972</v>
      </c>
      <c r="H422" s="36" t="str">
        <f t="shared" si="24"/>
        <v>中重型货车</v>
      </c>
      <c r="I422" s="36" t="str">
        <f t="shared" si="25"/>
        <v>Freight HDV</v>
      </c>
      <c r="J422" s="36">
        <v>91</v>
      </c>
    </row>
    <row r="423" spans="1:10" x14ac:dyDescent="0.15">
      <c r="A423" s="36">
        <v>422</v>
      </c>
      <c r="B423" s="36">
        <v>2018</v>
      </c>
      <c r="C423" s="36" t="s">
        <v>958</v>
      </c>
      <c r="D423" s="36" t="str">
        <f t="shared" si="23"/>
        <v>battery electric vehicle</v>
      </c>
      <c r="E423" s="36" t="s">
        <v>973</v>
      </c>
      <c r="F423" s="36" t="s">
        <v>964</v>
      </c>
      <c r="G423" s="36" t="s">
        <v>972</v>
      </c>
      <c r="H423" s="36" t="str">
        <f t="shared" si="24"/>
        <v>中重型货车</v>
      </c>
      <c r="I423" s="36" t="str">
        <f t="shared" si="25"/>
        <v>Freight HDV</v>
      </c>
      <c r="J423" s="36">
        <v>60</v>
      </c>
    </row>
    <row r="424" spans="1:10" x14ac:dyDescent="0.15">
      <c r="A424" s="36">
        <v>423</v>
      </c>
      <c r="B424" s="36">
        <v>2019</v>
      </c>
      <c r="C424" s="36" t="s">
        <v>958</v>
      </c>
      <c r="D424" s="36" t="str">
        <f t="shared" si="23"/>
        <v>battery electric vehicle</v>
      </c>
      <c r="E424" s="36" t="s">
        <v>973</v>
      </c>
      <c r="F424" s="36" t="s">
        <v>964</v>
      </c>
      <c r="G424" s="36" t="s">
        <v>972</v>
      </c>
      <c r="H424" s="36" t="str">
        <f t="shared" si="24"/>
        <v>中重型货车</v>
      </c>
      <c r="I424" s="36" t="str">
        <f t="shared" si="25"/>
        <v>Freight HDV</v>
      </c>
      <c r="J424" s="36">
        <v>385</v>
      </c>
    </row>
    <row r="425" spans="1:10" x14ac:dyDescent="0.15">
      <c r="A425" s="36">
        <v>424</v>
      </c>
      <c r="B425" s="36">
        <v>2020</v>
      </c>
      <c r="C425" s="36" t="s">
        <v>958</v>
      </c>
      <c r="D425" s="36" t="str">
        <f t="shared" si="23"/>
        <v>battery electric vehicle</v>
      </c>
      <c r="E425" s="36" t="s">
        <v>973</v>
      </c>
      <c r="F425" s="36" t="s">
        <v>964</v>
      </c>
      <c r="G425" s="36" t="s">
        <v>972</v>
      </c>
      <c r="H425" s="36" t="str">
        <f t="shared" si="24"/>
        <v>中重型货车</v>
      </c>
      <c r="I425" s="36" t="str">
        <f t="shared" si="25"/>
        <v>Freight HDV</v>
      </c>
      <c r="J425" s="36">
        <v>932</v>
      </c>
    </row>
    <row r="426" spans="1:10" x14ac:dyDescent="0.15">
      <c r="A426" s="36">
        <v>425</v>
      </c>
      <c r="B426" s="36">
        <v>2021</v>
      </c>
      <c r="C426" s="36" t="s">
        <v>958</v>
      </c>
      <c r="D426" s="36" t="str">
        <f t="shared" si="23"/>
        <v>battery electric vehicle</v>
      </c>
      <c r="E426" s="36" t="s">
        <v>973</v>
      </c>
      <c r="F426" s="36" t="s">
        <v>964</v>
      </c>
      <c r="G426" s="36" t="s">
        <v>972</v>
      </c>
      <c r="H426" s="36" t="str">
        <f t="shared" si="24"/>
        <v>中重型货车</v>
      </c>
      <c r="I426" s="36" t="str">
        <f t="shared" si="25"/>
        <v>Freight HDV</v>
      </c>
      <c r="J426" s="36">
        <v>1461</v>
      </c>
    </row>
    <row r="427" spans="1:10" x14ac:dyDescent="0.15">
      <c r="A427" s="36">
        <v>426</v>
      </c>
      <c r="B427" s="36">
        <v>2016</v>
      </c>
      <c r="C427" s="36" t="s">
        <v>957</v>
      </c>
      <c r="D427" s="36" t="str">
        <f t="shared" si="23"/>
        <v>hybrid fuel vehicle</v>
      </c>
      <c r="E427" s="36" t="s">
        <v>973</v>
      </c>
      <c r="F427" s="36" t="s">
        <v>964</v>
      </c>
      <c r="G427" s="36" t="s">
        <v>972</v>
      </c>
      <c r="H427" s="36" t="str">
        <f t="shared" si="24"/>
        <v>中重型货车</v>
      </c>
      <c r="I427" s="36" t="str">
        <f t="shared" si="25"/>
        <v>Freight HDV</v>
      </c>
      <c r="J427" s="36">
        <v>5</v>
      </c>
    </row>
    <row r="428" spans="1:10" x14ac:dyDescent="0.15">
      <c r="A428" s="36">
        <v>427</v>
      </c>
      <c r="B428" s="36">
        <v>2020</v>
      </c>
      <c r="C428" s="36" t="s">
        <v>957</v>
      </c>
      <c r="D428" s="36" t="str">
        <f t="shared" si="23"/>
        <v>hybrid fuel vehicle</v>
      </c>
      <c r="E428" s="36" t="s">
        <v>973</v>
      </c>
      <c r="F428" s="36" t="s">
        <v>964</v>
      </c>
      <c r="G428" s="36" t="s">
        <v>972</v>
      </c>
      <c r="H428" s="36" t="str">
        <f t="shared" si="24"/>
        <v>中重型货车</v>
      </c>
      <c r="I428" s="36" t="str">
        <f t="shared" si="25"/>
        <v>Freight HDV</v>
      </c>
      <c r="J428" s="36">
        <v>7</v>
      </c>
    </row>
    <row r="429" spans="1:10" x14ac:dyDescent="0.15">
      <c r="A429" s="36">
        <v>428</v>
      </c>
      <c r="B429" s="36">
        <v>2015</v>
      </c>
      <c r="C429" s="36" t="s">
        <v>952</v>
      </c>
      <c r="D429" s="36" t="str">
        <f t="shared" si="23"/>
        <v>gasoline vehicle</v>
      </c>
      <c r="E429" s="36" t="s">
        <v>973</v>
      </c>
      <c r="F429" s="36" t="s">
        <v>964</v>
      </c>
      <c r="G429" s="36" t="s">
        <v>972</v>
      </c>
      <c r="H429" s="36" t="str">
        <f t="shared" si="24"/>
        <v>中重型货车</v>
      </c>
      <c r="I429" s="36" t="str">
        <f t="shared" si="25"/>
        <v>Freight HDV</v>
      </c>
      <c r="J429" s="36">
        <v>4</v>
      </c>
    </row>
    <row r="430" spans="1:10" x14ac:dyDescent="0.15">
      <c r="A430" s="36">
        <v>429</v>
      </c>
      <c r="B430" s="36">
        <v>2016</v>
      </c>
      <c r="C430" s="36" t="s">
        <v>952</v>
      </c>
      <c r="D430" s="36" t="str">
        <f t="shared" si="23"/>
        <v>gasoline vehicle</v>
      </c>
      <c r="E430" s="36" t="s">
        <v>973</v>
      </c>
      <c r="F430" s="36" t="s">
        <v>964</v>
      </c>
      <c r="G430" s="36" t="s">
        <v>972</v>
      </c>
      <c r="H430" s="36" t="str">
        <f t="shared" si="24"/>
        <v>中重型货车</v>
      </c>
      <c r="I430" s="36" t="str">
        <f t="shared" si="25"/>
        <v>Freight HDV</v>
      </c>
      <c r="J430" s="36">
        <v>3</v>
      </c>
    </row>
    <row r="431" spans="1:10" x14ac:dyDescent="0.15">
      <c r="A431" s="36">
        <v>430</v>
      </c>
      <c r="B431" s="36">
        <v>2021</v>
      </c>
      <c r="C431" s="36" t="s">
        <v>966</v>
      </c>
      <c r="D431" s="36" t="str">
        <f t="shared" si="23"/>
        <v>hydrogen vehicle</v>
      </c>
      <c r="E431" s="36" t="s">
        <v>973</v>
      </c>
      <c r="F431" s="36" t="s">
        <v>964</v>
      </c>
      <c r="G431" s="36" t="s">
        <v>972</v>
      </c>
      <c r="H431" s="36" t="str">
        <f t="shared" si="24"/>
        <v>中重型货车</v>
      </c>
      <c r="I431" s="36" t="str">
        <f t="shared" si="25"/>
        <v>Freight HDV</v>
      </c>
      <c r="J431" s="36">
        <v>9</v>
      </c>
    </row>
    <row r="432" spans="1:10" x14ac:dyDescent="0.15">
      <c r="A432" s="36">
        <v>431</v>
      </c>
      <c r="B432" s="36">
        <v>2015</v>
      </c>
      <c r="C432" s="36" t="s">
        <v>955</v>
      </c>
      <c r="D432" s="36" t="str">
        <f t="shared" si="23"/>
        <v>natural gas vehicle</v>
      </c>
      <c r="E432" s="36" t="s">
        <v>973</v>
      </c>
      <c r="F432" s="36" t="s">
        <v>964</v>
      </c>
      <c r="G432" s="36" t="s">
        <v>972</v>
      </c>
      <c r="H432" s="36" t="str">
        <f t="shared" si="24"/>
        <v>中重型货车</v>
      </c>
      <c r="I432" s="36" t="str">
        <f t="shared" si="25"/>
        <v>Freight HDV</v>
      </c>
      <c r="J432" s="36">
        <v>713</v>
      </c>
    </row>
    <row r="433" spans="1:10" x14ac:dyDescent="0.15">
      <c r="A433" s="36">
        <v>432</v>
      </c>
      <c r="B433" s="36">
        <v>2016</v>
      </c>
      <c r="C433" s="36" t="s">
        <v>955</v>
      </c>
      <c r="D433" s="36" t="str">
        <f t="shared" si="23"/>
        <v>natural gas vehicle</v>
      </c>
      <c r="E433" s="36" t="s">
        <v>973</v>
      </c>
      <c r="F433" s="36" t="s">
        <v>964</v>
      </c>
      <c r="G433" s="36" t="s">
        <v>972</v>
      </c>
      <c r="H433" s="36" t="str">
        <f t="shared" si="24"/>
        <v>中重型货车</v>
      </c>
      <c r="I433" s="36" t="str">
        <f t="shared" si="25"/>
        <v>Freight HDV</v>
      </c>
      <c r="J433" s="36">
        <v>417</v>
      </c>
    </row>
    <row r="434" spans="1:10" x14ac:dyDescent="0.15">
      <c r="A434" s="36">
        <v>433</v>
      </c>
      <c r="B434" s="36">
        <v>2017</v>
      </c>
      <c r="C434" s="36" t="s">
        <v>955</v>
      </c>
      <c r="D434" s="36" t="str">
        <f t="shared" si="23"/>
        <v>natural gas vehicle</v>
      </c>
      <c r="E434" s="36" t="s">
        <v>973</v>
      </c>
      <c r="F434" s="36" t="s">
        <v>964</v>
      </c>
      <c r="G434" s="36" t="s">
        <v>972</v>
      </c>
      <c r="H434" s="36" t="str">
        <f t="shared" si="24"/>
        <v>中重型货车</v>
      </c>
      <c r="I434" s="36" t="str">
        <f t="shared" si="25"/>
        <v>Freight HDV</v>
      </c>
      <c r="J434" s="36">
        <v>826</v>
      </c>
    </row>
    <row r="435" spans="1:10" x14ac:dyDescent="0.15">
      <c r="A435" s="36">
        <v>434</v>
      </c>
      <c r="B435" s="36">
        <v>2018</v>
      </c>
      <c r="C435" s="36" t="s">
        <v>955</v>
      </c>
      <c r="D435" s="36" t="str">
        <f t="shared" si="23"/>
        <v>natural gas vehicle</v>
      </c>
      <c r="E435" s="36" t="s">
        <v>973</v>
      </c>
      <c r="F435" s="36" t="s">
        <v>964</v>
      </c>
      <c r="G435" s="36" t="s">
        <v>972</v>
      </c>
      <c r="H435" s="36" t="str">
        <f t="shared" si="24"/>
        <v>中重型货车</v>
      </c>
      <c r="I435" s="36" t="str">
        <f t="shared" si="25"/>
        <v>Freight HDV</v>
      </c>
      <c r="J435" s="36">
        <v>1255</v>
      </c>
    </row>
    <row r="436" spans="1:10" x14ac:dyDescent="0.15">
      <c r="A436" s="36">
        <v>435</v>
      </c>
      <c r="B436" s="36">
        <v>2019</v>
      </c>
      <c r="C436" s="36" t="s">
        <v>955</v>
      </c>
      <c r="D436" s="36" t="str">
        <f t="shared" si="23"/>
        <v>natural gas vehicle</v>
      </c>
      <c r="E436" s="36" t="s">
        <v>973</v>
      </c>
      <c r="F436" s="36" t="s">
        <v>964</v>
      </c>
      <c r="G436" s="36" t="s">
        <v>972</v>
      </c>
      <c r="H436" s="36" t="str">
        <f t="shared" si="24"/>
        <v>中重型货车</v>
      </c>
      <c r="I436" s="36" t="str">
        <f t="shared" si="25"/>
        <v>Freight HDV</v>
      </c>
      <c r="J436" s="36">
        <v>1015</v>
      </c>
    </row>
    <row r="437" spans="1:10" x14ac:dyDescent="0.15">
      <c r="A437" s="36">
        <v>436</v>
      </c>
      <c r="B437" s="36">
        <v>2020</v>
      </c>
      <c r="C437" s="36" t="s">
        <v>955</v>
      </c>
      <c r="D437" s="36" t="str">
        <f t="shared" si="23"/>
        <v>natural gas vehicle</v>
      </c>
      <c r="E437" s="36" t="s">
        <v>973</v>
      </c>
      <c r="F437" s="36" t="s">
        <v>964</v>
      </c>
      <c r="G437" s="36" t="s">
        <v>972</v>
      </c>
      <c r="H437" s="36" t="str">
        <f t="shared" si="24"/>
        <v>中重型货车</v>
      </c>
      <c r="I437" s="36" t="str">
        <f t="shared" si="25"/>
        <v>Freight HDV</v>
      </c>
      <c r="J437" s="36">
        <v>1452</v>
      </c>
    </row>
    <row r="438" spans="1:10" x14ac:dyDescent="0.15">
      <c r="A438" s="36">
        <v>437</v>
      </c>
      <c r="B438" s="36">
        <v>2021</v>
      </c>
      <c r="C438" s="36" t="s">
        <v>955</v>
      </c>
      <c r="D438" s="36" t="str">
        <f t="shared" si="23"/>
        <v>natural gas vehicle</v>
      </c>
      <c r="E438" s="36" t="s">
        <v>973</v>
      </c>
      <c r="F438" s="36" t="s">
        <v>964</v>
      </c>
      <c r="G438" s="36" t="s">
        <v>972</v>
      </c>
      <c r="H438" s="36" t="str">
        <f t="shared" si="24"/>
        <v>中重型货车</v>
      </c>
      <c r="I438" s="36" t="str">
        <f t="shared" si="25"/>
        <v>Freight HDV</v>
      </c>
      <c r="J438" s="36">
        <v>1086</v>
      </c>
    </row>
    <row r="439" spans="1:10" x14ac:dyDescent="0.15">
      <c r="A439" s="36">
        <v>438</v>
      </c>
      <c r="B439" s="36">
        <v>2016</v>
      </c>
      <c r="C439" s="36" t="s">
        <v>977</v>
      </c>
      <c r="D439" s="36" t="str">
        <f t="shared" si="23"/>
        <v>unknown</v>
      </c>
      <c r="E439" s="36" t="s">
        <v>973</v>
      </c>
      <c r="F439" s="36" t="s">
        <v>964</v>
      </c>
      <c r="G439" s="36" t="s">
        <v>972</v>
      </c>
      <c r="H439" s="36" t="str">
        <f t="shared" si="24"/>
        <v>中重型货车</v>
      </c>
      <c r="I439" s="36" t="str">
        <f t="shared" si="25"/>
        <v>Freight HDV</v>
      </c>
      <c r="J439" s="36">
        <v>1</v>
      </c>
    </row>
    <row r="440" spans="1:10" x14ac:dyDescent="0.15">
      <c r="A440" s="36">
        <v>439</v>
      </c>
      <c r="B440" s="36">
        <v>2015</v>
      </c>
      <c r="C440" s="36" t="s">
        <v>961</v>
      </c>
      <c r="D440" s="36" t="str">
        <f t="shared" si="23"/>
        <v>plugin hybrid vehicle</v>
      </c>
      <c r="E440" s="36" t="s">
        <v>969</v>
      </c>
      <c r="F440" s="36" t="s">
        <v>962</v>
      </c>
      <c r="G440" s="36" t="s">
        <v>972</v>
      </c>
      <c r="H440" s="36" t="str">
        <f t="shared" si="24"/>
        <v>道路客车</v>
      </c>
      <c r="I440" s="36" t="str">
        <f t="shared" si="25"/>
        <v>Passenger HDV</v>
      </c>
      <c r="J440" s="36">
        <v>200</v>
      </c>
    </row>
    <row r="441" spans="1:10" x14ac:dyDescent="0.15">
      <c r="A441" s="36">
        <v>440</v>
      </c>
      <c r="B441" s="36">
        <v>2016</v>
      </c>
      <c r="C441" s="36" t="s">
        <v>961</v>
      </c>
      <c r="D441" s="36" t="str">
        <f t="shared" si="23"/>
        <v>plugin hybrid vehicle</v>
      </c>
      <c r="E441" s="36" t="s">
        <v>969</v>
      </c>
      <c r="F441" s="36" t="s">
        <v>962</v>
      </c>
      <c r="G441" s="36" t="s">
        <v>972</v>
      </c>
      <c r="H441" s="36" t="str">
        <f t="shared" si="24"/>
        <v>道路客车</v>
      </c>
      <c r="I441" s="36" t="str">
        <f t="shared" si="25"/>
        <v>Passenger HDV</v>
      </c>
      <c r="J441" s="36">
        <v>323</v>
      </c>
    </row>
    <row r="442" spans="1:10" x14ac:dyDescent="0.15">
      <c r="A442" s="36">
        <v>441</v>
      </c>
      <c r="B442" s="36">
        <v>2017</v>
      </c>
      <c r="C442" s="36" t="s">
        <v>961</v>
      </c>
      <c r="D442" s="36" t="str">
        <f t="shared" si="23"/>
        <v>plugin hybrid vehicle</v>
      </c>
      <c r="E442" s="36" t="s">
        <v>969</v>
      </c>
      <c r="F442" s="36" t="s">
        <v>962</v>
      </c>
      <c r="G442" s="36" t="s">
        <v>972</v>
      </c>
      <c r="H442" s="36" t="str">
        <f t="shared" si="24"/>
        <v>道路客车</v>
      </c>
      <c r="I442" s="36" t="str">
        <f t="shared" si="25"/>
        <v>Passenger HDV</v>
      </c>
      <c r="J442" s="36">
        <v>32</v>
      </c>
    </row>
    <row r="443" spans="1:10" x14ac:dyDescent="0.15">
      <c r="A443" s="36">
        <v>442</v>
      </c>
      <c r="B443" s="36">
        <v>2018</v>
      </c>
      <c r="C443" s="36" t="s">
        <v>961</v>
      </c>
      <c r="D443" s="36" t="str">
        <f t="shared" si="23"/>
        <v>plugin hybrid vehicle</v>
      </c>
      <c r="E443" s="36" t="s">
        <v>969</v>
      </c>
      <c r="F443" s="36" t="s">
        <v>962</v>
      </c>
      <c r="G443" s="36" t="s">
        <v>972</v>
      </c>
      <c r="H443" s="36" t="str">
        <f t="shared" si="24"/>
        <v>道路客车</v>
      </c>
      <c r="I443" s="36" t="str">
        <f t="shared" si="25"/>
        <v>Passenger HDV</v>
      </c>
      <c r="J443" s="36">
        <v>11</v>
      </c>
    </row>
    <row r="444" spans="1:10" x14ac:dyDescent="0.15">
      <c r="A444" s="36">
        <v>443</v>
      </c>
      <c r="B444" s="36">
        <v>2020</v>
      </c>
      <c r="C444" s="36" t="s">
        <v>961</v>
      </c>
      <c r="D444" s="36" t="str">
        <f t="shared" si="23"/>
        <v>plugin hybrid vehicle</v>
      </c>
      <c r="E444" s="36" t="s">
        <v>969</v>
      </c>
      <c r="F444" s="36" t="s">
        <v>962</v>
      </c>
      <c r="G444" s="36" t="s">
        <v>972</v>
      </c>
      <c r="H444" s="36" t="str">
        <f t="shared" si="24"/>
        <v>道路客车</v>
      </c>
      <c r="I444" s="36" t="str">
        <f t="shared" si="25"/>
        <v>Passenger HDV</v>
      </c>
      <c r="J444" s="36">
        <v>4</v>
      </c>
    </row>
    <row r="445" spans="1:10" x14ac:dyDescent="0.15">
      <c r="A445" s="36">
        <v>444</v>
      </c>
      <c r="B445" s="36">
        <v>2015</v>
      </c>
      <c r="C445" s="36" t="s">
        <v>953</v>
      </c>
      <c r="D445" s="36" t="str">
        <f t="shared" si="23"/>
        <v>diesel vehicle</v>
      </c>
      <c r="E445" s="36" t="s">
        <v>969</v>
      </c>
      <c r="F445" s="36" t="s">
        <v>962</v>
      </c>
      <c r="G445" s="36" t="s">
        <v>972</v>
      </c>
      <c r="H445" s="36" t="str">
        <f t="shared" si="24"/>
        <v>道路客车</v>
      </c>
      <c r="I445" s="36" t="str">
        <f t="shared" si="25"/>
        <v>Passenger HDV</v>
      </c>
      <c r="J445" s="36">
        <v>35945</v>
      </c>
    </row>
    <row r="446" spans="1:10" x14ac:dyDescent="0.15">
      <c r="A446" s="36">
        <v>445</v>
      </c>
      <c r="B446" s="36">
        <v>2016</v>
      </c>
      <c r="C446" s="36" t="s">
        <v>953</v>
      </c>
      <c r="D446" s="36" t="str">
        <f t="shared" si="23"/>
        <v>diesel vehicle</v>
      </c>
      <c r="E446" s="36" t="s">
        <v>969</v>
      </c>
      <c r="F446" s="36" t="s">
        <v>962</v>
      </c>
      <c r="G446" s="36" t="s">
        <v>972</v>
      </c>
      <c r="H446" s="36" t="str">
        <f t="shared" si="24"/>
        <v>道路客车</v>
      </c>
      <c r="I446" s="36" t="str">
        <f t="shared" si="25"/>
        <v>Passenger HDV</v>
      </c>
      <c r="J446" s="36">
        <v>33685</v>
      </c>
    </row>
    <row r="447" spans="1:10" x14ac:dyDescent="0.15">
      <c r="A447" s="36">
        <v>446</v>
      </c>
      <c r="B447" s="36">
        <v>2017</v>
      </c>
      <c r="C447" s="36" t="s">
        <v>953</v>
      </c>
      <c r="D447" s="36" t="str">
        <f t="shared" si="23"/>
        <v>diesel vehicle</v>
      </c>
      <c r="E447" s="36" t="s">
        <v>969</v>
      </c>
      <c r="F447" s="36" t="s">
        <v>962</v>
      </c>
      <c r="G447" s="36" t="s">
        <v>972</v>
      </c>
      <c r="H447" s="36" t="str">
        <f t="shared" si="24"/>
        <v>道路客车</v>
      </c>
      <c r="I447" s="36" t="str">
        <f t="shared" si="25"/>
        <v>Passenger HDV</v>
      </c>
      <c r="J447" s="36">
        <v>24788</v>
      </c>
    </row>
    <row r="448" spans="1:10" x14ac:dyDescent="0.15">
      <c r="A448" s="36">
        <v>447</v>
      </c>
      <c r="B448" s="36">
        <v>2018</v>
      </c>
      <c r="C448" s="36" t="s">
        <v>953</v>
      </c>
      <c r="D448" s="36" t="str">
        <f t="shared" si="23"/>
        <v>diesel vehicle</v>
      </c>
      <c r="E448" s="36" t="s">
        <v>969</v>
      </c>
      <c r="F448" s="36" t="s">
        <v>962</v>
      </c>
      <c r="G448" s="36" t="s">
        <v>972</v>
      </c>
      <c r="H448" s="36" t="str">
        <f t="shared" si="24"/>
        <v>道路客车</v>
      </c>
      <c r="I448" s="36" t="str">
        <f t="shared" si="25"/>
        <v>Passenger HDV</v>
      </c>
      <c r="J448" s="36">
        <v>20043</v>
      </c>
    </row>
    <row r="449" spans="1:10" x14ac:dyDescent="0.15">
      <c r="A449" s="36">
        <v>448</v>
      </c>
      <c r="B449" s="36">
        <v>2019</v>
      </c>
      <c r="C449" s="36" t="s">
        <v>953</v>
      </c>
      <c r="D449" s="36" t="str">
        <f t="shared" si="23"/>
        <v>diesel vehicle</v>
      </c>
      <c r="E449" s="36" t="s">
        <v>969</v>
      </c>
      <c r="F449" s="36" t="s">
        <v>962</v>
      </c>
      <c r="G449" s="36" t="s">
        <v>972</v>
      </c>
      <c r="H449" s="36" t="str">
        <f t="shared" si="24"/>
        <v>道路客车</v>
      </c>
      <c r="I449" s="36" t="str">
        <f t="shared" si="25"/>
        <v>Passenger HDV</v>
      </c>
      <c r="J449" s="36">
        <v>22695</v>
      </c>
    </row>
    <row r="450" spans="1:10" x14ac:dyDescent="0.15">
      <c r="A450" s="36">
        <v>449</v>
      </c>
      <c r="B450" s="36">
        <v>2020</v>
      </c>
      <c r="C450" s="36" t="s">
        <v>953</v>
      </c>
      <c r="D450" s="36" t="str">
        <f t="shared" ref="D450:D513" si="26">VLOOKUP(C450,M$3:N$16,2,FALSE)</f>
        <v>diesel vehicle</v>
      </c>
      <c r="E450" s="36" t="s">
        <v>969</v>
      </c>
      <c r="F450" s="36" t="s">
        <v>962</v>
      </c>
      <c r="G450" s="36" t="s">
        <v>972</v>
      </c>
      <c r="H450" s="36" t="str">
        <f t="shared" ref="H450:H513" si="27">VLOOKUP(E450&amp;F450&amp;G450,$S$3:$U$68,2,FALSE)</f>
        <v>道路客车</v>
      </c>
      <c r="I450" s="36" t="str">
        <f t="shared" ref="I450:I513" si="28">VLOOKUP(E450&amp;F450&amp;G450,$S$3:$U$68,3,FALSE)</f>
        <v>Passenger HDV</v>
      </c>
      <c r="J450" s="36">
        <v>11684</v>
      </c>
    </row>
    <row r="451" spans="1:10" x14ac:dyDescent="0.15">
      <c r="A451" s="36">
        <v>450</v>
      </c>
      <c r="B451" s="36">
        <v>2021</v>
      </c>
      <c r="C451" s="36" t="s">
        <v>953</v>
      </c>
      <c r="D451" s="36" t="str">
        <f t="shared" si="26"/>
        <v>diesel vehicle</v>
      </c>
      <c r="E451" s="36" t="s">
        <v>969</v>
      </c>
      <c r="F451" s="36" t="s">
        <v>962</v>
      </c>
      <c r="G451" s="36" t="s">
        <v>972</v>
      </c>
      <c r="H451" s="36" t="str">
        <f t="shared" si="27"/>
        <v>道路客车</v>
      </c>
      <c r="I451" s="36" t="str">
        <f t="shared" si="28"/>
        <v>Passenger HDV</v>
      </c>
      <c r="J451" s="36">
        <v>15332</v>
      </c>
    </row>
    <row r="452" spans="1:10" x14ac:dyDescent="0.15">
      <c r="A452" s="36">
        <v>451</v>
      </c>
      <c r="B452" s="36">
        <v>2015</v>
      </c>
      <c r="C452" s="36" t="s">
        <v>958</v>
      </c>
      <c r="D452" s="36" t="str">
        <f t="shared" si="26"/>
        <v>battery electric vehicle</v>
      </c>
      <c r="E452" s="36" t="s">
        <v>969</v>
      </c>
      <c r="F452" s="36" t="s">
        <v>962</v>
      </c>
      <c r="G452" s="36" t="s">
        <v>972</v>
      </c>
      <c r="H452" s="36" t="str">
        <f t="shared" si="27"/>
        <v>道路客车</v>
      </c>
      <c r="I452" s="36" t="str">
        <f t="shared" si="28"/>
        <v>Passenger HDV</v>
      </c>
      <c r="J452" s="36">
        <v>5300</v>
      </c>
    </row>
    <row r="453" spans="1:10" x14ac:dyDescent="0.15">
      <c r="A453" s="36">
        <v>452</v>
      </c>
      <c r="B453" s="36">
        <v>2016</v>
      </c>
      <c r="C453" s="36" t="s">
        <v>958</v>
      </c>
      <c r="D453" s="36" t="str">
        <f t="shared" si="26"/>
        <v>battery electric vehicle</v>
      </c>
      <c r="E453" s="36" t="s">
        <v>969</v>
      </c>
      <c r="F453" s="36" t="s">
        <v>962</v>
      </c>
      <c r="G453" s="36" t="s">
        <v>972</v>
      </c>
      <c r="H453" s="36" t="str">
        <f t="shared" si="27"/>
        <v>道路客车</v>
      </c>
      <c r="I453" s="36" t="str">
        <f t="shared" si="28"/>
        <v>Passenger HDV</v>
      </c>
      <c r="J453" s="36">
        <v>3874</v>
      </c>
    </row>
    <row r="454" spans="1:10" x14ac:dyDescent="0.15">
      <c r="A454" s="36">
        <v>453</v>
      </c>
      <c r="B454" s="36">
        <v>2017</v>
      </c>
      <c r="C454" s="36" t="s">
        <v>958</v>
      </c>
      <c r="D454" s="36" t="str">
        <f t="shared" si="26"/>
        <v>battery electric vehicle</v>
      </c>
      <c r="E454" s="36" t="s">
        <v>969</v>
      </c>
      <c r="F454" s="36" t="s">
        <v>962</v>
      </c>
      <c r="G454" s="36" t="s">
        <v>972</v>
      </c>
      <c r="H454" s="36" t="str">
        <f t="shared" si="27"/>
        <v>道路客车</v>
      </c>
      <c r="I454" s="36" t="str">
        <f t="shared" si="28"/>
        <v>Passenger HDV</v>
      </c>
      <c r="J454" s="36">
        <v>6588</v>
      </c>
    </row>
    <row r="455" spans="1:10" x14ac:dyDescent="0.15">
      <c r="A455" s="36">
        <v>454</v>
      </c>
      <c r="B455" s="36">
        <v>2018</v>
      </c>
      <c r="C455" s="36" t="s">
        <v>958</v>
      </c>
      <c r="D455" s="36" t="str">
        <f t="shared" si="26"/>
        <v>battery electric vehicle</v>
      </c>
      <c r="E455" s="36" t="s">
        <v>969</v>
      </c>
      <c r="F455" s="36" t="s">
        <v>962</v>
      </c>
      <c r="G455" s="36" t="s">
        <v>972</v>
      </c>
      <c r="H455" s="36" t="str">
        <f t="shared" si="27"/>
        <v>道路客车</v>
      </c>
      <c r="I455" s="36" t="str">
        <f t="shared" si="28"/>
        <v>Passenger HDV</v>
      </c>
      <c r="J455" s="36">
        <v>3008</v>
      </c>
    </row>
    <row r="456" spans="1:10" x14ac:dyDescent="0.15">
      <c r="A456" s="36">
        <v>455</v>
      </c>
      <c r="B456" s="36">
        <v>2019</v>
      </c>
      <c r="C456" s="36" t="s">
        <v>958</v>
      </c>
      <c r="D456" s="36" t="str">
        <f t="shared" si="26"/>
        <v>battery electric vehicle</v>
      </c>
      <c r="E456" s="36" t="s">
        <v>969</v>
      </c>
      <c r="F456" s="36" t="s">
        <v>962</v>
      </c>
      <c r="G456" s="36" t="s">
        <v>972</v>
      </c>
      <c r="H456" s="36" t="str">
        <f t="shared" si="27"/>
        <v>道路客车</v>
      </c>
      <c r="I456" s="36" t="str">
        <f t="shared" si="28"/>
        <v>Passenger HDV</v>
      </c>
      <c r="J456" s="36">
        <v>2268</v>
      </c>
    </row>
    <row r="457" spans="1:10" x14ac:dyDescent="0.15">
      <c r="A457" s="36">
        <v>456</v>
      </c>
      <c r="B457" s="36">
        <v>2020</v>
      </c>
      <c r="C457" s="36" t="s">
        <v>958</v>
      </c>
      <c r="D457" s="36" t="str">
        <f t="shared" si="26"/>
        <v>battery electric vehicle</v>
      </c>
      <c r="E457" s="36" t="s">
        <v>969</v>
      </c>
      <c r="F457" s="36" t="s">
        <v>962</v>
      </c>
      <c r="G457" s="36" t="s">
        <v>972</v>
      </c>
      <c r="H457" s="36" t="str">
        <f t="shared" si="27"/>
        <v>道路客车</v>
      </c>
      <c r="I457" s="36" t="str">
        <f t="shared" si="28"/>
        <v>Passenger HDV</v>
      </c>
      <c r="J457" s="36">
        <v>1479</v>
      </c>
    </row>
    <row r="458" spans="1:10" x14ac:dyDescent="0.15">
      <c r="A458" s="36">
        <v>457</v>
      </c>
      <c r="B458" s="36">
        <v>2021</v>
      </c>
      <c r="C458" s="36" t="s">
        <v>958</v>
      </c>
      <c r="D458" s="36" t="str">
        <f t="shared" si="26"/>
        <v>battery electric vehicle</v>
      </c>
      <c r="E458" s="36" t="s">
        <v>969</v>
      </c>
      <c r="F458" s="36" t="s">
        <v>962</v>
      </c>
      <c r="G458" s="36" t="s">
        <v>972</v>
      </c>
      <c r="H458" s="36" t="str">
        <f t="shared" si="27"/>
        <v>道路客车</v>
      </c>
      <c r="I458" s="36" t="str">
        <f t="shared" si="28"/>
        <v>Passenger HDV</v>
      </c>
      <c r="J458" s="36">
        <v>2845</v>
      </c>
    </row>
    <row r="459" spans="1:10" x14ac:dyDescent="0.15">
      <c r="A459" s="36">
        <v>458</v>
      </c>
      <c r="B459" s="36">
        <v>2015</v>
      </c>
      <c r="C459" s="36" t="s">
        <v>957</v>
      </c>
      <c r="D459" s="36" t="str">
        <f t="shared" si="26"/>
        <v>hybrid fuel vehicle</v>
      </c>
      <c r="E459" s="36" t="s">
        <v>969</v>
      </c>
      <c r="F459" s="36" t="s">
        <v>962</v>
      </c>
      <c r="G459" s="36" t="s">
        <v>972</v>
      </c>
      <c r="H459" s="36" t="str">
        <f t="shared" si="27"/>
        <v>道路客车</v>
      </c>
      <c r="I459" s="36" t="str">
        <f t="shared" si="28"/>
        <v>Passenger HDV</v>
      </c>
      <c r="J459" s="36">
        <v>87</v>
      </c>
    </row>
    <row r="460" spans="1:10" x14ac:dyDescent="0.15">
      <c r="A460" s="36">
        <v>459</v>
      </c>
      <c r="B460" s="36">
        <v>2016</v>
      </c>
      <c r="C460" s="36" t="s">
        <v>957</v>
      </c>
      <c r="D460" s="36" t="str">
        <f t="shared" si="26"/>
        <v>hybrid fuel vehicle</v>
      </c>
      <c r="E460" s="36" t="s">
        <v>969</v>
      </c>
      <c r="F460" s="36" t="s">
        <v>962</v>
      </c>
      <c r="G460" s="36" t="s">
        <v>972</v>
      </c>
      <c r="H460" s="36" t="str">
        <f t="shared" si="27"/>
        <v>道路客车</v>
      </c>
      <c r="I460" s="36" t="str">
        <f t="shared" si="28"/>
        <v>Passenger HDV</v>
      </c>
      <c r="J460" s="36">
        <v>55</v>
      </c>
    </row>
    <row r="461" spans="1:10" x14ac:dyDescent="0.15">
      <c r="A461" s="36">
        <v>460</v>
      </c>
      <c r="B461" s="36">
        <v>2015</v>
      </c>
      <c r="C461" s="36" t="s">
        <v>952</v>
      </c>
      <c r="D461" s="36" t="str">
        <f t="shared" si="26"/>
        <v>gasoline vehicle</v>
      </c>
      <c r="E461" s="36" t="s">
        <v>969</v>
      </c>
      <c r="F461" s="36" t="s">
        <v>962</v>
      </c>
      <c r="G461" s="36" t="s">
        <v>972</v>
      </c>
      <c r="H461" s="36" t="str">
        <f t="shared" si="27"/>
        <v>道路客车</v>
      </c>
      <c r="I461" s="36" t="str">
        <f t="shared" si="28"/>
        <v>Passenger HDV</v>
      </c>
      <c r="J461" s="36">
        <v>77</v>
      </c>
    </row>
    <row r="462" spans="1:10" x14ac:dyDescent="0.15">
      <c r="A462" s="36">
        <v>461</v>
      </c>
      <c r="B462" s="36">
        <v>2016</v>
      </c>
      <c r="C462" s="36" t="s">
        <v>952</v>
      </c>
      <c r="D462" s="36" t="str">
        <f t="shared" si="26"/>
        <v>gasoline vehicle</v>
      </c>
      <c r="E462" s="36" t="s">
        <v>969</v>
      </c>
      <c r="F462" s="36" t="s">
        <v>962</v>
      </c>
      <c r="G462" s="36" t="s">
        <v>972</v>
      </c>
      <c r="H462" s="36" t="str">
        <f t="shared" si="27"/>
        <v>道路客车</v>
      </c>
      <c r="I462" s="36" t="str">
        <f t="shared" si="28"/>
        <v>Passenger HDV</v>
      </c>
      <c r="J462" s="36">
        <v>260</v>
      </c>
    </row>
    <row r="463" spans="1:10" x14ac:dyDescent="0.15">
      <c r="A463" s="36">
        <v>462</v>
      </c>
      <c r="B463" s="36">
        <v>2017</v>
      </c>
      <c r="C463" s="36" t="s">
        <v>952</v>
      </c>
      <c r="D463" s="36" t="str">
        <f t="shared" si="26"/>
        <v>gasoline vehicle</v>
      </c>
      <c r="E463" s="36" t="s">
        <v>969</v>
      </c>
      <c r="F463" s="36" t="s">
        <v>962</v>
      </c>
      <c r="G463" s="36" t="s">
        <v>972</v>
      </c>
      <c r="H463" s="36" t="str">
        <f t="shared" si="27"/>
        <v>道路客车</v>
      </c>
      <c r="I463" s="36" t="str">
        <f t="shared" si="28"/>
        <v>Passenger HDV</v>
      </c>
      <c r="J463" s="36">
        <v>620</v>
      </c>
    </row>
    <row r="464" spans="1:10" x14ac:dyDescent="0.15">
      <c r="A464" s="36">
        <v>463</v>
      </c>
      <c r="B464" s="36">
        <v>2018</v>
      </c>
      <c r="C464" s="36" t="s">
        <v>952</v>
      </c>
      <c r="D464" s="36" t="str">
        <f t="shared" si="26"/>
        <v>gasoline vehicle</v>
      </c>
      <c r="E464" s="36" t="s">
        <v>969</v>
      </c>
      <c r="F464" s="36" t="s">
        <v>962</v>
      </c>
      <c r="G464" s="36" t="s">
        <v>972</v>
      </c>
      <c r="H464" s="36" t="str">
        <f t="shared" si="27"/>
        <v>道路客车</v>
      </c>
      <c r="I464" s="36" t="str">
        <f t="shared" si="28"/>
        <v>Passenger HDV</v>
      </c>
      <c r="J464" s="36">
        <v>174</v>
      </c>
    </row>
    <row r="465" spans="1:10" x14ac:dyDescent="0.15">
      <c r="A465" s="36">
        <v>464</v>
      </c>
      <c r="B465" s="36">
        <v>2019</v>
      </c>
      <c r="C465" s="36" t="s">
        <v>952</v>
      </c>
      <c r="D465" s="36" t="str">
        <f t="shared" si="26"/>
        <v>gasoline vehicle</v>
      </c>
      <c r="E465" s="36" t="s">
        <v>969</v>
      </c>
      <c r="F465" s="36" t="s">
        <v>962</v>
      </c>
      <c r="G465" s="36" t="s">
        <v>972</v>
      </c>
      <c r="H465" s="36" t="str">
        <f t="shared" si="27"/>
        <v>道路客车</v>
      </c>
      <c r="I465" s="36" t="str">
        <f t="shared" si="28"/>
        <v>Passenger HDV</v>
      </c>
      <c r="J465" s="36">
        <v>193</v>
      </c>
    </row>
    <row r="466" spans="1:10" x14ac:dyDescent="0.15">
      <c r="A466" s="36">
        <v>465</v>
      </c>
      <c r="B466" s="36">
        <v>2020</v>
      </c>
      <c r="C466" s="36" t="s">
        <v>952</v>
      </c>
      <c r="D466" s="36" t="str">
        <f t="shared" si="26"/>
        <v>gasoline vehicle</v>
      </c>
      <c r="E466" s="36" t="s">
        <v>969</v>
      </c>
      <c r="F466" s="36" t="s">
        <v>962</v>
      </c>
      <c r="G466" s="36" t="s">
        <v>972</v>
      </c>
      <c r="H466" s="36" t="str">
        <f t="shared" si="27"/>
        <v>道路客车</v>
      </c>
      <c r="I466" s="36" t="str">
        <f t="shared" si="28"/>
        <v>Passenger HDV</v>
      </c>
      <c r="J466" s="36">
        <v>152</v>
      </c>
    </row>
    <row r="467" spans="1:10" x14ac:dyDescent="0.15">
      <c r="A467" s="36">
        <v>466</v>
      </c>
      <c r="B467" s="36">
        <v>2021</v>
      </c>
      <c r="C467" s="36" t="s">
        <v>952</v>
      </c>
      <c r="D467" s="36" t="str">
        <f t="shared" si="26"/>
        <v>gasoline vehicle</v>
      </c>
      <c r="E467" s="36" t="s">
        <v>969</v>
      </c>
      <c r="F467" s="36" t="s">
        <v>962</v>
      </c>
      <c r="G467" s="36" t="s">
        <v>972</v>
      </c>
      <c r="H467" s="36" t="str">
        <f t="shared" si="27"/>
        <v>道路客车</v>
      </c>
      <c r="I467" s="36" t="str">
        <f t="shared" si="28"/>
        <v>Passenger HDV</v>
      </c>
      <c r="J467" s="36">
        <v>431</v>
      </c>
    </row>
    <row r="468" spans="1:10" x14ac:dyDescent="0.15">
      <c r="A468" s="36">
        <v>467</v>
      </c>
      <c r="B468" s="36">
        <v>2016</v>
      </c>
      <c r="C468" s="36" t="s">
        <v>956</v>
      </c>
      <c r="D468" s="36" t="str">
        <f t="shared" si="26"/>
        <v>natural gas vehicle</v>
      </c>
      <c r="E468" s="36" t="s">
        <v>969</v>
      </c>
      <c r="F468" s="36" t="s">
        <v>962</v>
      </c>
      <c r="G468" s="36" t="s">
        <v>972</v>
      </c>
      <c r="H468" s="36" t="str">
        <f t="shared" si="27"/>
        <v>道路客车</v>
      </c>
      <c r="I468" s="36" t="str">
        <f t="shared" si="28"/>
        <v>Passenger HDV</v>
      </c>
      <c r="J468" s="36">
        <v>1</v>
      </c>
    </row>
    <row r="469" spans="1:10" x14ac:dyDescent="0.15">
      <c r="A469" s="36">
        <v>468</v>
      </c>
      <c r="B469" s="36">
        <v>2019</v>
      </c>
      <c r="C469" s="36" t="s">
        <v>966</v>
      </c>
      <c r="D469" s="36" t="str">
        <f t="shared" si="26"/>
        <v>hydrogen vehicle</v>
      </c>
      <c r="E469" s="36" t="s">
        <v>969</v>
      </c>
      <c r="F469" s="36" t="s">
        <v>962</v>
      </c>
      <c r="G469" s="36" t="s">
        <v>972</v>
      </c>
      <c r="H469" s="36" t="str">
        <f t="shared" si="27"/>
        <v>道路客车</v>
      </c>
      <c r="I469" s="36" t="str">
        <f t="shared" si="28"/>
        <v>Passenger HDV</v>
      </c>
      <c r="J469" s="36">
        <v>315</v>
      </c>
    </row>
    <row r="470" spans="1:10" x14ac:dyDescent="0.15">
      <c r="A470" s="36">
        <v>469</v>
      </c>
      <c r="B470" s="36">
        <v>2021</v>
      </c>
      <c r="C470" s="36" t="s">
        <v>966</v>
      </c>
      <c r="D470" s="36" t="str">
        <f t="shared" si="26"/>
        <v>hydrogen vehicle</v>
      </c>
      <c r="E470" s="36" t="s">
        <v>969</v>
      </c>
      <c r="F470" s="36" t="s">
        <v>962</v>
      </c>
      <c r="G470" s="36" t="s">
        <v>972</v>
      </c>
      <c r="H470" s="36" t="str">
        <f t="shared" si="27"/>
        <v>道路客车</v>
      </c>
      <c r="I470" s="36" t="str">
        <f t="shared" si="28"/>
        <v>Passenger HDV</v>
      </c>
      <c r="J470" s="36">
        <v>141</v>
      </c>
    </row>
    <row r="471" spans="1:10" x14ac:dyDescent="0.15">
      <c r="A471" s="36">
        <v>470</v>
      </c>
      <c r="B471" s="36">
        <v>2015</v>
      </c>
      <c r="C471" s="36" t="s">
        <v>955</v>
      </c>
      <c r="D471" s="36" t="str">
        <f t="shared" si="26"/>
        <v>natural gas vehicle</v>
      </c>
      <c r="E471" s="36" t="s">
        <v>969</v>
      </c>
      <c r="F471" s="36" t="s">
        <v>962</v>
      </c>
      <c r="G471" s="36" t="s">
        <v>972</v>
      </c>
      <c r="H471" s="36" t="str">
        <f t="shared" si="27"/>
        <v>道路客车</v>
      </c>
      <c r="I471" s="36" t="str">
        <f t="shared" si="28"/>
        <v>Passenger HDV</v>
      </c>
      <c r="J471" s="36">
        <v>3668</v>
      </c>
    </row>
    <row r="472" spans="1:10" x14ac:dyDescent="0.15">
      <c r="A472" s="36">
        <v>471</v>
      </c>
      <c r="B472" s="36">
        <v>2016</v>
      </c>
      <c r="C472" s="36" t="s">
        <v>955</v>
      </c>
      <c r="D472" s="36" t="str">
        <f t="shared" si="26"/>
        <v>natural gas vehicle</v>
      </c>
      <c r="E472" s="36" t="s">
        <v>969</v>
      </c>
      <c r="F472" s="36" t="s">
        <v>962</v>
      </c>
      <c r="G472" s="36" t="s">
        <v>972</v>
      </c>
      <c r="H472" s="36" t="str">
        <f t="shared" si="27"/>
        <v>道路客车</v>
      </c>
      <c r="I472" s="36" t="str">
        <f t="shared" si="28"/>
        <v>Passenger HDV</v>
      </c>
      <c r="J472" s="36">
        <v>1617</v>
      </c>
    </row>
    <row r="473" spans="1:10" x14ac:dyDescent="0.15">
      <c r="A473" s="36">
        <v>472</v>
      </c>
      <c r="B473" s="36">
        <v>2017</v>
      </c>
      <c r="C473" s="36" t="s">
        <v>955</v>
      </c>
      <c r="D473" s="36" t="str">
        <f t="shared" si="26"/>
        <v>natural gas vehicle</v>
      </c>
      <c r="E473" s="36" t="s">
        <v>969</v>
      </c>
      <c r="F473" s="36" t="s">
        <v>962</v>
      </c>
      <c r="G473" s="36" t="s">
        <v>972</v>
      </c>
      <c r="H473" s="36" t="str">
        <f t="shared" si="27"/>
        <v>道路客车</v>
      </c>
      <c r="I473" s="36" t="str">
        <f t="shared" si="28"/>
        <v>Passenger HDV</v>
      </c>
      <c r="J473" s="36">
        <v>1304</v>
      </c>
    </row>
    <row r="474" spans="1:10" x14ac:dyDescent="0.15">
      <c r="A474" s="36">
        <v>473</v>
      </c>
      <c r="B474" s="36">
        <v>2018</v>
      </c>
      <c r="C474" s="36" t="s">
        <v>955</v>
      </c>
      <c r="D474" s="36" t="str">
        <f t="shared" si="26"/>
        <v>natural gas vehicle</v>
      </c>
      <c r="E474" s="36" t="s">
        <v>969</v>
      </c>
      <c r="F474" s="36" t="s">
        <v>962</v>
      </c>
      <c r="G474" s="36" t="s">
        <v>972</v>
      </c>
      <c r="H474" s="36" t="str">
        <f t="shared" si="27"/>
        <v>道路客车</v>
      </c>
      <c r="I474" s="36" t="str">
        <f t="shared" si="28"/>
        <v>Passenger HDV</v>
      </c>
      <c r="J474" s="36">
        <v>973</v>
      </c>
    </row>
    <row r="475" spans="1:10" x14ac:dyDescent="0.15">
      <c r="A475" s="36">
        <v>474</v>
      </c>
      <c r="B475" s="36">
        <v>2019</v>
      </c>
      <c r="C475" s="36" t="s">
        <v>955</v>
      </c>
      <c r="D475" s="36" t="str">
        <f t="shared" si="26"/>
        <v>natural gas vehicle</v>
      </c>
      <c r="E475" s="36" t="s">
        <v>969</v>
      </c>
      <c r="F475" s="36" t="s">
        <v>962</v>
      </c>
      <c r="G475" s="36" t="s">
        <v>972</v>
      </c>
      <c r="H475" s="36" t="str">
        <f t="shared" si="27"/>
        <v>道路客车</v>
      </c>
      <c r="I475" s="36" t="str">
        <f t="shared" si="28"/>
        <v>Passenger HDV</v>
      </c>
      <c r="J475" s="36">
        <v>746</v>
      </c>
    </row>
    <row r="476" spans="1:10" x14ac:dyDescent="0.15">
      <c r="A476" s="36">
        <v>475</v>
      </c>
      <c r="B476" s="36">
        <v>2020</v>
      </c>
      <c r="C476" s="36" t="s">
        <v>955</v>
      </c>
      <c r="D476" s="36" t="str">
        <f t="shared" si="26"/>
        <v>natural gas vehicle</v>
      </c>
      <c r="E476" s="36" t="s">
        <v>969</v>
      </c>
      <c r="F476" s="36" t="s">
        <v>962</v>
      </c>
      <c r="G476" s="36" t="s">
        <v>972</v>
      </c>
      <c r="H476" s="36" t="str">
        <f t="shared" si="27"/>
        <v>道路客车</v>
      </c>
      <c r="I476" s="36" t="str">
        <f t="shared" si="28"/>
        <v>Passenger HDV</v>
      </c>
      <c r="J476" s="36">
        <v>385</v>
      </c>
    </row>
    <row r="477" spans="1:10" x14ac:dyDescent="0.15">
      <c r="A477" s="36">
        <v>476</v>
      </c>
      <c r="B477" s="36">
        <v>2021</v>
      </c>
      <c r="C477" s="36" t="s">
        <v>955</v>
      </c>
      <c r="D477" s="36" t="str">
        <f t="shared" si="26"/>
        <v>natural gas vehicle</v>
      </c>
      <c r="E477" s="36" t="s">
        <v>969</v>
      </c>
      <c r="F477" s="36" t="s">
        <v>962</v>
      </c>
      <c r="G477" s="36" t="s">
        <v>972</v>
      </c>
      <c r="H477" s="36" t="str">
        <f t="shared" si="27"/>
        <v>道路客车</v>
      </c>
      <c r="I477" s="36" t="str">
        <f t="shared" si="28"/>
        <v>Passenger HDV</v>
      </c>
      <c r="J477" s="36">
        <v>261</v>
      </c>
    </row>
    <row r="478" spans="1:10" x14ac:dyDescent="0.15">
      <c r="A478" s="36">
        <v>477</v>
      </c>
      <c r="B478" s="36">
        <v>2016</v>
      </c>
      <c r="C478" s="36" t="s">
        <v>953</v>
      </c>
      <c r="D478" s="36" t="str">
        <f t="shared" si="26"/>
        <v>diesel vehicle</v>
      </c>
      <c r="E478" s="36" t="s">
        <v>979</v>
      </c>
      <c r="F478" s="36" t="s">
        <v>962</v>
      </c>
      <c r="G478" s="36" t="s">
        <v>972</v>
      </c>
      <c r="H478" s="36" t="str">
        <f t="shared" si="27"/>
        <v>道路客车</v>
      </c>
      <c r="I478" s="36" t="str">
        <f t="shared" si="28"/>
        <v>Passenger LDV</v>
      </c>
      <c r="J478" s="36">
        <v>2</v>
      </c>
    </row>
    <row r="479" spans="1:10" x14ac:dyDescent="0.15">
      <c r="A479" s="36">
        <v>478</v>
      </c>
      <c r="B479" s="36">
        <v>2017</v>
      </c>
      <c r="C479" s="36" t="s">
        <v>953</v>
      </c>
      <c r="D479" s="36" t="str">
        <f t="shared" si="26"/>
        <v>diesel vehicle</v>
      </c>
      <c r="E479" s="36" t="s">
        <v>979</v>
      </c>
      <c r="F479" s="36" t="s">
        <v>962</v>
      </c>
      <c r="G479" s="36" t="s">
        <v>972</v>
      </c>
      <c r="H479" s="36" t="str">
        <f t="shared" si="27"/>
        <v>道路客车</v>
      </c>
      <c r="I479" s="36" t="str">
        <f t="shared" si="28"/>
        <v>Passenger LDV</v>
      </c>
      <c r="J479" s="36">
        <v>2</v>
      </c>
    </row>
    <row r="480" spans="1:10" x14ac:dyDescent="0.15">
      <c r="A480" s="36">
        <v>479</v>
      </c>
      <c r="B480" s="36">
        <v>2021</v>
      </c>
      <c r="C480" s="36" t="s">
        <v>953</v>
      </c>
      <c r="D480" s="36" t="str">
        <f t="shared" si="26"/>
        <v>diesel vehicle</v>
      </c>
      <c r="E480" s="36" t="s">
        <v>979</v>
      </c>
      <c r="F480" s="36" t="s">
        <v>962</v>
      </c>
      <c r="G480" s="36" t="s">
        <v>972</v>
      </c>
      <c r="H480" s="36" t="str">
        <f t="shared" si="27"/>
        <v>道路客车</v>
      </c>
      <c r="I480" s="36" t="str">
        <f t="shared" si="28"/>
        <v>Passenger LDV</v>
      </c>
      <c r="J480" s="36">
        <v>1</v>
      </c>
    </row>
    <row r="481" spans="1:10" x14ac:dyDescent="0.15">
      <c r="A481" s="36">
        <v>480</v>
      </c>
      <c r="B481" s="36">
        <v>2015</v>
      </c>
      <c r="C481" s="36" t="s">
        <v>952</v>
      </c>
      <c r="D481" s="36" t="str">
        <f t="shared" si="26"/>
        <v>gasoline vehicle</v>
      </c>
      <c r="E481" s="36" t="s">
        <v>979</v>
      </c>
      <c r="F481" s="36" t="s">
        <v>962</v>
      </c>
      <c r="G481" s="36" t="s">
        <v>972</v>
      </c>
      <c r="H481" s="36" t="str">
        <f t="shared" si="27"/>
        <v>道路客车</v>
      </c>
      <c r="I481" s="36" t="str">
        <f t="shared" si="28"/>
        <v>Passenger LDV</v>
      </c>
      <c r="J481" s="36">
        <v>2</v>
      </c>
    </row>
    <row r="482" spans="1:10" x14ac:dyDescent="0.15">
      <c r="A482" s="36">
        <v>481</v>
      </c>
      <c r="B482" s="36">
        <v>2015</v>
      </c>
      <c r="C482" s="36" t="s">
        <v>953</v>
      </c>
      <c r="D482" s="36" t="str">
        <f t="shared" si="26"/>
        <v>diesel vehicle</v>
      </c>
      <c r="E482" s="36" t="s">
        <v>960</v>
      </c>
      <c r="F482" s="36" t="s">
        <v>962</v>
      </c>
      <c r="G482" s="36" t="s">
        <v>972</v>
      </c>
      <c r="H482" s="36" t="str">
        <f t="shared" si="27"/>
        <v>道路客车</v>
      </c>
      <c r="I482" s="36" t="str">
        <f t="shared" si="28"/>
        <v>Unknown</v>
      </c>
      <c r="J482" s="36">
        <v>232</v>
      </c>
    </row>
    <row r="483" spans="1:10" x14ac:dyDescent="0.15">
      <c r="A483" s="36">
        <v>482</v>
      </c>
      <c r="B483" s="36">
        <v>2015</v>
      </c>
      <c r="C483" s="36" t="s">
        <v>952</v>
      </c>
      <c r="D483" s="36" t="str">
        <f t="shared" si="26"/>
        <v>gasoline vehicle</v>
      </c>
      <c r="E483" s="36" t="s">
        <v>960</v>
      </c>
      <c r="F483" s="36" t="s">
        <v>962</v>
      </c>
      <c r="G483" s="36" t="s">
        <v>972</v>
      </c>
      <c r="H483" s="36" t="str">
        <f t="shared" si="27"/>
        <v>道路客车</v>
      </c>
      <c r="I483" s="36" t="str">
        <f t="shared" si="28"/>
        <v>Unknown</v>
      </c>
      <c r="J483" s="36">
        <v>7424</v>
      </c>
    </row>
    <row r="484" spans="1:10" x14ac:dyDescent="0.15">
      <c r="A484" s="36">
        <v>483</v>
      </c>
      <c r="B484" s="36">
        <v>2015</v>
      </c>
      <c r="C484" s="36" t="s">
        <v>956</v>
      </c>
      <c r="D484" s="36" t="str">
        <f t="shared" si="26"/>
        <v>natural gas vehicle</v>
      </c>
      <c r="E484" s="36" t="s">
        <v>960</v>
      </c>
      <c r="F484" s="36" t="s">
        <v>962</v>
      </c>
      <c r="G484" s="36" t="s">
        <v>972</v>
      </c>
      <c r="H484" s="36" t="str">
        <f t="shared" si="27"/>
        <v>道路客车</v>
      </c>
      <c r="I484" s="36" t="str">
        <f t="shared" si="28"/>
        <v>Unknown</v>
      </c>
      <c r="J484" s="36">
        <v>138</v>
      </c>
    </row>
    <row r="485" spans="1:10" x14ac:dyDescent="0.15">
      <c r="A485" s="36">
        <v>484</v>
      </c>
      <c r="B485" s="36">
        <v>2015</v>
      </c>
      <c r="C485" s="36" t="s">
        <v>953</v>
      </c>
      <c r="D485" s="36" t="str">
        <f t="shared" si="26"/>
        <v>diesel vehicle</v>
      </c>
      <c r="E485" s="36" t="s">
        <v>954</v>
      </c>
      <c r="F485" s="36" t="s">
        <v>962</v>
      </c>
      <c r="G485" s="36" t="s">
        <v>972</v>
      </c>
      <c r="H485" s="36" t="str">
        <f t="shared" si="27"/>
        <v>道路客车</v>
      </c>
      <c r="I485" s="36" t="str">
        <f t="shared" si="28"/>
        <v>Passenger LDV</v>
      </c>
      <c r="J485" s="36">
        <v>32</v>
      </c>
    </row>
    <row r="486" spans="1:10" x14ac:dyDescent="0.15">
      <c r="A486" s="36">
        <v>485</v>
      </c>
      <c r="B486" s="36">
        <v>2016</v>
      </c>
      <c r="C486" s="36" t="s">
        <v>953</v>
      </c>
      <c r="D486" s="36" t="str">
        <f t="shared" si="26"/>
        <v>diesel vehicle</v>
      </c>
      <c r="E486" s="36" t="s">
        <v>954</v>
      </c>
      <c r="F486" s="36" t="s">
        <v>962</v>
      </c>
      <c r="G486" s="36" t="s">
        <v>972</v>
      </c>
      <c r="H486" s="36" t="str">
        <f t="shared" si="27"/>
        <v>道路客车</v>
      </c>
      <c r="I486" s="36" t="str">
        <f t="shared" si="28"/>
        <v>Passenger LDV</v>
      </c>
      <c r="J486" s="36">
        <v>303</v>
      </c>
    </row>
    <row r="487" spans="1:10" x14ac:dyDescent="0.15">
      <c r="A487" s="36">
        <v>486</v>
      </c>
      <c r="B487" s="36">
        <v>2017</v>
      </c>
      <c r="C487" s="36" t="s">
        <v>953</v>
      </c>
      <c r="D487" s="36" t="str">
        <f t="shared" si="26"/>
        <v>diesel vehicle</v>
      </c>
      <c r="E487" s="36" t="s">
        <v>954</v>
      </c>
      <c r="F487" s="36" t="s">
        <v>962</v>
      </c>
      <c r="G487" s="36" t="s">
        <v>972</v>
      </c>
      <c r="H487" s="36" t="str">
        <f t="shared" si="27"/>
        <v>道路客车</v>
      </c>
      <c r="I487" s="36" t="str">
        <f t="shared" si="28"/>
        <v>Passenger LDV</v>
      </c>
      <c r="J487" s="36">
        <v>1114</v>
      </c>
    </row>
    <row r="488" spans="1:10" x14ac:dyDescent="0.15">
      <c r="A488" s="36">
        <v>487</v>
      </c>
      <c r="B488" s="36">
        <v>2018</v>
      </c>
      <c r="C488" s="36" t="s">
        <v>953</v>
      </c>
      <c r="D488" s="36" t="str">
        <f t="shared" si="26"/>
        <v>diesel vehicle</v>
      </c>
      <c r="E488" s="36" t="s">
        <v>954</v>
      </c>
      <c r="F488" s="36" t="s">
        <v>962</v>
      </c>
      <c r="G488" s="36" t="s">
        <v>972</v>
      </c>
      <c r="H488" s="36" t="str">
        <f t="shared" si="27"/>
        <v>道路客车</v>
      </c>
      <c r="I488" s="36" t="str">
        <f t="shared" si="28"/>
        <v>Passenger LDV</v>
      </c>
      <c r="J488" s="36">
        <v>2906</v>
      </c>
    </row>
    <row r="489" spans="1:10" x14ac:dyDescent="0.15">
      <c r="A489" s="36">
        <v>488</v>
      </c>
      <c r="B489" s="36">
        <v>2019</v>
      </c>
      <c r="C489" s="36" t="s">
        <v>953</v>
      </c>
      <c r="D489" s="36" t="str">
        <f t="shared" si="26"/>
        <v>diesel vehicle</v>
      </c>
      <c r="E489" s="36" t="s">
        <v>954</v>
      </c>
      <c r="F489" s="36" t="s">
        <v>962</v>
      </c>
      <c r="G489" s="36" t="s">
        <v>972</v>
      </c>
      <c r="H489" s="36" t="str">
        <f t="shared" si="27"/>
        <v>道路客车</v>
      </c>
      <c r="I489" s="36" t="str">
        <f t="shared" si="28"/>
        <v>Passenger LDV</v>
      </c>
      <c r="J489" s="36">
        <v>595</v>
      </c>
    </row>
    <row r="490" spans="1:10" x14ac:dyDescent="0.15">
      <c r="A490" s="36">
        <v>489</v>
      </c>
      <c r="B490" s="36">
        <v>2020</v>
      </c>
      <c r="C490" s="36" t="s">
        <v>953</v>
      </c>
      <c r="D490" s="36" t="str">
        <f t="shared" si="26"/>
        <v>diesel vehicle</v>
      </c>
      <c r="E490" s="36" t="s">
        <v>954</v>
      </c>
      <c r="F490" s="36" t="s">
        <v>962</v>
      </c>
      <c r="G490" s="36" t="s">
        <v>972</v>
      </c>
      <c r="H490" s="36" t="str">
        <f t="shared" si="27"/>
        <v>道路客车</v>
      </c>
      <c r="I490" s="36" t="str">
        <f t="shared" si="28"/>
        <v>Passenger LDV</v>
      </c>
      <c r="J490" s="36">
        <v>5700</v>
      </c>
    </row>
    <row r="491" spans="1:10" x14ac:dyDescent="0.15">
      <c r="A491" s="36">
        <v>490</v>
      </c>
      <c r="B491" s="36">
        <v>2021</v>
      </c>
      <c r="C491" s="36" t="s">
        <v>953</v>
      </c>
      <c r="D491" s="36" t="str">
        <f t="shared" si="26"/>
        <v>diesel vehicle</v>
      </c>
      <c r="E491" s="36" t="s">
        <v>954</v>
      </c>
      <c r="F491" s="36" t="s">
        <v>962</v>
      </c>
      <c r="G491" s="36" t="s">
        <v>972</v>
      </c>
      <c r="H491" s="36" t="str">
        <f t="shared" si="27"/>
        <v>道路客车</v>
      </c>
      <c r="I491" s="36" t="str">
        <f t="shared" si="28"/>
        <v>Passenger LDV</v>
      </c>
      <c r="J491" s="36">
        <v>5033</v>
      </c>
    </row>
    <row r="492" spans="1:10" x14ac:dyDescent="0.15">
      <c r="A492" s="36">
        <v>491</v>
      </c>
      <c r="B492" s="36">
        <v>2019</v>
      </c>
      <c r="C492" s="36" t="s">
        <v>958</v>
      </c>
      <c r="D492" s="36" t="str">
        <f t="shared" si="26"/>
        <v>battery electric vehicle</v>
      </c>
      <c r="E492" s="36" t="s">
        <v>954</v>
      </c>
      <c r="F492" s="36" t="s">
        <v>962</v>
      </c>
      <c r="G492" s="36" t="s">
        <v>972</v>
      </c>
      <c r="H492" s="36" t="str">
        <f t="shared" si="27"/>
        <v>道路客车</v>
      </c>
      <c r="I492" s="36" t="str">
        <f t="shared" si="28"/>
        <v>Passenger LDV</v>
      </c>
      <c r="J492" s="36">
        <v>14</v>
      </c>
    </row>
    <row r="493" spans="1:10" x14ac:dyDescent="0.15">
      <c r="A493" s="36">
        <v>492</v>
      </c>
      <c r="B493" s="36">
        <v>2020</v>
      </c>
      <c r="C493" s="36" t="s">
        <v>958</v>
      </c>
      <c r="D493" s="36" t="str">
        <f t="shared" si="26"/>
        <v>battery electric vehicle</v>
      </c>
      <c r="E493" s="36" t="s">
        <v>954</v>
      </c>
      <c r="F493" s="36" t="s">
        <v>962</v>
      </c>
      <c r="G493" s="36" t="s">
        <v>972</v>
      </c>
      <c r="H493" s="36" t="str">
        <f t="shared" si="27"/>
        <v>道路客车</v>
      </c>
      <c r="I493" s="36" t="str">
        <f t="shared" si="28"/>
        <v>Passenger LDV</v>
      </c>
      <c r="J493" s="36">
        <v>42</v>
      </c>
    </row>
    <row r="494" spans="1:10" x14ac:dyDescent="0.15">
      <c r="A494" s="36">
        <v>493</v>
      </c>
      <c r="B494" s="36">
        <v>2021</v>
      </c>
      <c r="C494" s="36" t="s">
        <v>958</v>
      </c>
      <c r="D494" s="36" t="str">
        <f t="shared" si="26"/>
        <v>battery electric vehicle</v>
      </c>
      <c r="E494" s="36" t="s">
        <v>954</v>
      </c>
      <c r="F494" s="36" t="s">
        <v>962</v>
      </c>
      <c r="G494" s="36" t="s">
        <v>972</v>
      </c>
      <c r="H494" s="36" t="str">
        <f t="shared" si="27"/>
        <v>道路客车</v>
      </c>
      <c r="I494" s="36" t="str">
        <f t="shared" si="28"/>
        <v>Passenger LDV</v>
      </c>
      <c r="J494" s="36">
        <v>40</v>
      </c>
    </row>
    <row r="495" spans="1:10" x14ac:dyDescent="0.15">
      <c r="A495" s="36">
        <v>494</v>
      </c>
      <c r="B495" s="36">
        <v>2015</v>
      </c>
      <c r="C495" s="36" t="s">
        <v>952</v>
      </c>
      <c r="D495" s="36" t="str">
        <f t="shared" si="26"/>
        <v>gasoline vehicle</v>
      </c>
      <c r="E495" s="36" t="s">
        <v>954</v>
      </c>
      <c r="F495" s="36" t="s">
        <v>962</v>
      </c>
      <c r="G495" s="36" t="s">
        <v>972</v>
      </c>
      <c r="H495" s="36" t="str">
        <f t="shared" si="27"/>
        <v>道路客车</v>
      </c>
      <c r="I495" s="36" t="str">
        <f t="shared" si="28"/>
        <v>Passenger LDV</v>
      </c>
      <c r="J495" s="36">
        <v>15</v>
      </c>
    </row>
    <row r="496" spans="1:10" x14ac:dyDescent="0.15">
      <c r="A496" s="36">
        <v>495</v>
      </c>
      <c r="B496" s="36">
        <v>2016</v>
      </c>
      <c r="C496" s="36" t="s">
        <v>952</v>
      </c>
      <c r="D496" s="36" t="str">
        <f t="shared" si="26"/>
        <v>gasoline vehicle</v>
      </c>
      <c r="E496" s="36" t="s">
        <v>954</v>
      </c>
      <c r="F496" s="36" t="s">
        <v>962</v>
      </c>
      <c r="G496" s="36" t="s">
        <v>972</v>
      </c>
      <c r="H496" s="36" t="str">
        <f t="shared" si="27"/>
        <v>道路客车</v>
      </c>
      <c r="I496" s="36" t="str">
        <f t="shared" si="28"/>
        <v>Passenger LDV</v>
      </c>
      <c r="J496" s="36">
        <v>687</v>
      </c>
    </row>
    <row r="497" spans="1:10" x14ac:dyDescent="0.15">
      <c r="A497" s="36">
        <v>496</v>
      </c>
      <c r="B497" s="36">
        <v>2017</v>
      </c>
      <c r="C497" s="36" t="s">
        <v>952</v>
      </c>
      <c r="D497" s="36" t="str">
        <f t="shared" si="26"/>
        <v>gasoline vehicle</v>
      </c>
      <c r="E497" s="36" t="s">
        <v>954</v>
      </c>
      <c r="F497" s="36" t="s">
        <v>962</v>
      </c>
      <c r="G497" s="36" t="s">
        <v>972</v>
      </c>
      <c r="H497" s="36" t="str">
        <f t="shared" si="27"/>
        <v>道路客车</v>
      </c>
      <c r="I497" s="36" t="str">
        <f t="shared" si="28"/>
        <v>Passenger LDV</v>
      </c>
      <c r="J497" s="36">
        <v>1461</v>
      </c>
    </row>
    <row r="498" spans="1:10" x14ac:dyDescent="0.15">
      <c r="A498" s="36">
        <v>497</v>
      </c>
      <c r="B498" s="36">
        <v>2018</v>
      </c>
      <c r="C498" s="36" t="s">
        <v>952</v>
      </c>
      <c r="D498" s="36" t="str">
        <f t="shared" si="26"/>
        <v>gasoline vehicle</v>
      </c>
      <c r="E498" s="36" t="s">
        <v>954</v>
      </c>
      <c r="F498" s="36" t="s">
        <v>962</v>
      </c>
      <c r="G498" s="36" t="s">
        <v>972</v>
      </c>
      <c r="H498" s="36" t="str">
        <f t="shared" si="27"/>
        <v>道路客车</v>
      </c>
      <c r="I498" s="36" t="str">
        <f t="shared" si="28"/>
        <v>Passenger LDV</v>
      </c>
      <c r="J498" s="36">
        <v>1261</v>
      </c>
    </row>
    <row r="499" spans="1:10" x14ac:dyDescent="0.15">
      <c r="A499" s="36">
        <v>498</v>
      </c>
      <c r="B499" s="36">
        <v>2019</v>
      </c>
      <c r="C499" s="36" t="s">
        <v>952</v>
      </c>
      <c r="D499" s="36" t="str">
        <f t="shared" si="26"/>
        <v>gasoline vehicle</v>
      </c>
      <c r="E499" s="36" t="s">
        <v>954</v>
      </c>
      <c r="F499" s="36" t="s">
        <v>962</v>
      </c>
      <c r="G499" s="36" t="s">
        <v>972</v>
      </c>
      <c r="H499" s="36" t="str">
        <f t="shared" si="27"/>
        <v>道路客车</v>
      </c>
      <c r="I499" s="36" t="str">
        <f t="shared" si="28"/>
        <v>Passenger LDV</v>
      </c>
      <c r="J499" s="36">
        <v>1100</v>
      </c>
    </row>
    <row r="500" spans="1:10" x14ac:dyDescent="0.15">
      <c r="A500" s="36">
        <v>499</v>
      </c>
      <c r="B500" s="36">
        <v>2020</v>
      </c>
      <c r="C500" s="36" t="s">
        <v>952</v>
      </c>
      <c r="D500" s="36" t="str">
        <f t="shared" si="26"/>
        <v>gasoline vehicle</v>
      </c>
      <c r="E500" s="36" t="s">
        <v>954</v>
      </c>
      <c r="F500" s="36" t="s">
        <v>962</v>
      </c>
      <c r="G500" s="36" t="s">
        <v>972</v>
      </c>
      <c r="H500" s="36" t="str">
        <f t="shared" si="27"/>
        <v>道路客车</v>
      </c>
      <c r="I500" s="36" t="str">
        <f t="shared" si="28"/>
        <v>Passenger LDV</v>
      </c>
      <c r="J500" s="36">
        <v>1131</v>
      </c>
    </row>
    <row r="501" spans="1:10" x14ac:dyDescent="0.15">
      <c r="A501" s="36">
        <v>500</v>
      </c>
      <c r="B501" s="36">
        <v>2021</v>
      </c>
      <c r="C501" s="36" t="s">
        <v>952</v>
      </c>
      <c r="D501" s="36" t="str">
        <f t="shared" si="26"/>
        <v>gasoline vehicle</v>
      </c>
      <c r="E501" s="36" t="s">
        <v>954</v>
      </c>
      <c r="F501" s="36" t="s">
        <v>962</v>
      </c>
      <c r="G501" s="36" t="s">
        <v>972</v>
      </c>
      <c r="H501" s="36" t="str">
        <f t="shared" si="27"/>
        <v>道路客车</v>
      </c>
      <c r="I501" s="36" t="str">
        <f t="shared" si="28"/>
        <v>Passenger LDV</v>
      </c>
      <c r="J501" s="36">
        <v>569</v>
      </c>
    </row>
    <row r="502" spans="1:10" x14ac:dyDescent="0.15">
      <c r="A502" s="36">
        <v>501</v>
      </c>
      <c r="B502" s="36">
        <v>2016</v>
      </c>
      <c r="C502" s="36" t="s">
        <v>956</v>
      </c>
      <c r="D502" s="36" t="str">
        <f t="shared" si="26"/>
        <v>natural gas vehicle</v>
      </c>
      <c r="E502" s="36" t="s">
        <v>954</v>
      </c>
      <c r="F502" s="36" t="s">
        <v>962</v>
      </c>
      <c r="G502" s="36" t="s">
        <v>972</v>
      </c>
      <c r="H502" s="36" t="str">
        <f t="shared" si="27"/>
        <v>道路客车</v>
      </c>
      <c r="I502" s="36" t="str">
        <f t="shared" si="28"/>
        <v>Passenger LDV</v>
      </c>
      <c r="J502" s="36">
        <v>24</v>
      </c>
    </row>
    <row r="503" spans="1:10" x14ac:dyDescent="0.15">
      <c r="A503" s="36">
        <v>502</v>
      </c>
      <c r="B503" s="36">
        <v>2017</v>
      </c>
      <c r="C503" s="36" t="s">
        <v>956</v>
      </c>
      <c r="D503" s="36" t="str">
        <f t="shared" si="26"/>
        <v>natural gas vehicle</v>
      </c>
      <c r="E503" s="36" t="s">
        <v>954</v>
      </c>
      <c r="F503" s="36" t="s">
        <v>962</v>
      </c>
      <c r="G503" s="36" t="s">
        <v>972</v>
      </c>
      <c r="H503" s="36" t="str">
        <f t="shared" si="27"/>
        <v>道路客车</v>
      </c>
      <c r="I503" s="36" t="str">
        <f t="shared" si="28"/>
        <v>Passenger LDV</v>
      </c>
      <c r="J503" s="36">
        <v>72</v>
      </c>
    </row>
    <row r="504" spans="1:10" x14ac:dyDescent="0.15">
      <c r="A504" s="36">
        <v>503</v>
      </c>
      <c r="B504" s="36">
        <v>2018</v>
      </c>
      <c r="C504" s="36" t="s">
        <v>956</v>
      </c>
      <c r="D504" s="36" t="str">
        <f t="shared" si="26"/>
        <v>natural gas vehicle</v>
      </c>
      <c r="E504" s="36" t="s">
        <v>954</v>
      </c>
      <c r="F504" s="36" t="s">
        <v>962</v>
      </c>
      <c r="G504" s="36" t="s">
        <v>972</v>
      </c>
      <c r="H504" s="36" t="str">
        <f t="shared" si="27"/>
        <v>道路客车</v>
      </c>
      <c r="I504" s="36" t="str">
        <f t="shared" si="28"/>
        <v>Passenger LDV</v>
      </c>
      <c r="J504" s="36">
        <v>67</v>
      </c>
    </row>
    <row r="505" spans="1:10" x14ac:dyDescent="0.15">
      <c r="A505" s="36">
        <v>504</v>
      </c>
      <c r="B505" s="36">
        <v>2019</v>
      </c>
      <c r="C505" s="36" t="s">
        <v>956</v>
      </c>
      <c r="D505" s="36" t="str">
        <f t="shared" si="26"/>
        <v>natural gas vehicle</v>
      </c>
      <c r="E505" s="36" t="s">
        <v>954</v>
      </c>
      <c r="F505" s="36" t="s">
        <v>962</v>
      </c>
      <c r="G505" s="36" t="s">
        <v>972</v>
      </c>
      <c r="H505" s="36" t="str">
        <f t="shared" si="27"/>
        <v>道路客车</v>
      </c>
      <c r="I505" s="36" t="str">
        <f t="shared" si="28"/>
        <v>Passenger LDV</v>
      </c>
      <c r="J505" s="36">
        <v>38</v>
      </c>
    </row>
    <row r="506" spans="1:10" x14ac:dyDescent="0.15">
      <c r="A506" s="36">
        <v>505</v>
      </c>
      <c r="B506" s="36">
        <v>2020</v>
      </c>
      <c r="C506" s="36" t="s">
        <v>956</v>
      </c>
      <c r="D506" s="36" t="str">
        <f t="shared" si="26"/>
        <v>natural gas vehicle</v>
      </c>
      <c r="E506" s="36" t="s">
        <v>954</v>
      </c>
      <c r="F506" s="36" t="s">
        <v>962</v>
      </c>
      <c r="G506" s="36" t="s">
        <v>972</v>
      </c>
      <c r="H506" s="36" t="str">
        <f t="shared" si="27"/>
        <v>道路客车</v>
      </c>
      <c r="I506" s="36" t="str">
        <f t="shared" si="28"/>
        <v>Passenger LDV</v>
      </c>
      <c r="J506" s="36">
        <v>10</v>
      </c>
    </row>
    <row r="507" spans="1:10" x14ac:dyDescent="0.15">
      <c r="A507" s="36">
        <v>506</v>
      </c>
      <c r="B507" s="36">
        <v>2016</v>
      </c>
      <c r="C507" s="36" t="s">
        <v>955</v>
      </c>
      <c r="D507" s="36" t="str">
        <f t="shared" si="26"/>
        <v>natural gas vehicle</v>
      </c>
      <c r="E507" s="36" t="s">
        <v>954</v>
      </c>
      <c r="F507" s="36" t="s">
        <v>962</v>
      </c>
      <c r="G507" s="36" t="s">
        <v>972</v>
      </c>
      <c r="H507" s="36" t="str">
        <f t="shared" si="27"/>
        <v>道路客车</v>
      </c>
      <c r="I507" s="36" t="str">
        <f t="shared" si="28"/>
        <v>Passenger LDV</v>
      </c>
      <c r="J507" s="36">
        <v>13</v>
      </c>
    </row>
    <row r="508" spans="1:10" x14ac:dyDescent="0.15">
      <c r="A508" s="36">
        <v>507</v>
      </c>
      <c r="B508" s="36">
        <v>2017</v>
      </c>
      <c r="C508" s="36" t="s">
        <v>955</v>
      </c>
      <c r="D508" s="36" t="str">
        <f t="shared" si="26"/>
        <v>natural gas vehicle</v>
      </c>
      <c r="E508" s="36" t="s">
        <v>954</v>
      </c>
      <c r="F508" s="36" t="s">
        <v>962</v>
      </c>
      <c r="G508" s="36" t="s">
        <v>972</v>
      </c>
      <c r="H508" s="36" t="str">
        <f t="shared" si="27"/>
        <v>道路客车</v>
      </c>
      <c r="I508" s="36" t="str">
        <f t="shared" si="28"/>
        <v>Passenger LDV</v>
      </c>
      <c r="J508" s="36">
        <v>12</v>
      </c>
    </row>
    <row r="509" spans="1:10" x14ac:dyDescent="0.15">
      <c r="A509" s="36">
        <v>508</v>
      </c>
      <c r="B509" s="36">
        <v>2018</v>
      </c>
      <c r="C509" s="36" t="s">
        <v>955</v>
      </c>
      <c r="D509" s="36" t="str">
        <f t="shared" si="26"/>
        <v>natural gas vehicle</v>
      </c>
      <c r="E509" s="36" t="s">
        <v>954</v>
      </c>
      <c r="F509" s="36" t="s">
        <v>962</v>
      </c>
      <c r="G509" s="36" t="s">
        <v>972</v>
      </c>
      <c r="H509" s="36" t="str">
        <f t="shared" si="27"/>
        <v>道路客车</v>
      </c>
      <c r="I509" s="36" t="str">
        <f t="shared" si="28"/>
        <v>Passenger LDV</v>
      </c>
      <c r="J509" s="36">
        <v>52</v>
      </c>
    </row>
    <row r="510" spans="1:10" x14ac:dyDescent="0.15">
      <c r="A510" s="36">
        <v>509</v>
      </c>
      <c r="B510" s="36">
        <v>2020</v>
      </c>
      <c r="C510" s="36" t="s">
        <v>955</v>
      </c>
      <c r="D510" s="36" t="str">
        <f t="shared" si="26"/>
        <v>natural gas vehicle</v>
      </c>
      <c r="E510" s="36" t="s">
        <v>954</v>
      </c>
      <c r="F510" s="36" t="s">
        <v>962</v>
      </c>
      <c r="G510" s="36" t="s">
        <v>972</v>
      </c>
      <c r="H510" s="36" t="str">
        <f t="shared" si="27"/>
        <v>道路客车</v>
      </c>
      <c r="I510" s="36" t="str">
        <f t="shared" si="28"/>
        <v>Passenger LDV</v>
      </c>
      <c r="J510" s="36">
        <v>8</v>
      </c>
    </row>
    <row r="511" spans="1:10" x14ac:dyDescent="0.15">
      <c r="A511" s="36">
        <v>510</v>
      </c>
      <c r="B511" s="36">
        <v>2017</v>
      </c>
      <c r="C511" s="36" t="s">
        <v>953</v>
      </c>
      <c r="D511" s="36" t="str">
        <f t="shared" si="26"/>
        <v>diesel vehicle</v>
      </c>
      <c r="E511" s="36" t="s">
        <v>976</v>
      </c>
      <c r="F511" s="36" t="s">
        <v>962</v>
      </c>
      <c r="G511" s="36" t="s">
        <v>972</v>
      </c>
      <c r="H511" s="36" t="str">
        <f t="shared" si="27"/>
        <v>道路客车</v>
      </c>
      <c r="I511" s="36" t="str">
        <f t="shared" si="28"/>
        <v>Passenger HDV</v>
      </c>
      <c r="J511" s="36">
        <v>29</v>
      </c>
    </row>
    <row r="512" spans="1:10" x14ac:dyDescent="0.15">
      <c r="A512" s="36">
        <v>511</v>
      </c>
      <c r="B512" s="36">
        <v>2017</v>
      </c>
      <c r="C512" s="36" t="s">
        <v>958</v>
      </c>
      <c r="D512" s="36" t="str">
        <f t="shared" si="26"/>
        <v>battery electric vehicle</v>
      </c>
      <c r="E512" s="36" t="s">
        <v>976</v>
      </c>
      <c r="F512" s="36" t="s">
        <v>962</v>
      </c>
      <c r="G512" s="36" t="s">
        <v>972</v>
      </c>
      <c r="H512" s="36" t="str">
        <f t="shared" si="27"/>
        <v>道路客车</v>
      </c>
      <c r="I512" s="36" t="str">
        <f t="shared" si="28"/>
        <v>Passenger HDV</v>
      </c>
      <c r="J512" s="36">
        <v>6</v>
      </c>
    </row>
    <row r="513" spans="1:10" x14ac:dyDescent="0.15">
      <c r="A513" s="36">
        <v>512</v>
      </c>
      <c r="B513" s="36">
        <v>2017</v>
      </c>
      <c r="C513" s="36" t="s">
        <v>955</v>
      </c>
      <c r="D513" s="36" t="str">
        <f t="shared" si="26"/>
        <v>natural gas vehicle</v>
      </c>
      <c r="E513" s="36" t="s">
        <v>976</v>
      </c>
      <c r="F513" s="36" t="s">
        <v>962</v>
      </c>
      <c r="G513" s="36" t="s">
        <v>972</v>
      </c>
      <c r="H513" s="36" t="str">
        <f t="shared" si="27"/>
        <v>道路客车</v>
      </c>
      <c r="I513" s="36" t="str">
        <f t="shared" si="28"/>
        <v>Passenger HDV</v>
      </c>
      <c r="J513" s="36">
        <v>2</v>
      </c>
    </row>
    <row r="514" spans="1:10" x14ac:dyDescent="0.15">
      <c r="A514" s="36">
        <v>513</v>
      </c>
      <c r="B514" s="36">
        <v>2015</v>
      </c>
      <c r="C514" s="36" t="s">
        <v>953</v>
      </c>
      <c r="D514" s="36" t="str">
        <f t="shared" ref="D514:D577" si="29">VLOOKUP(C514,M$3:N$16,2,FALSE)</f>
        <v>diesel vehicle</v>
      </c>
      <c r="E514" s="36" t="s">
        <v>951</v>
      </c>
      <c r="F514" s="36" t="s">
        <v>962</v>
      </c>
      <c r="G514" s="36" t="s">
        <v>972</v>
      </c>
      <c r="H514" s="36" t="str">
        <f t="shared" ref="H514:H577" si="30">VLOOKUP(E514&amp;F514&amp;G514,$S$3:$U$68,2,FALSE)</f>
        <v>道路客车</v>
      </c>
      <c r="I514" s="36" t="str">
        <f t="shared" ref="I514:I577" si="31">VLOOKUP(E514&amp;F514&amp;G514,$S$3:$U$68,3,FALSE)</f>
        <v>Passenger HDV</v>
      </c>
      <c r="J514" s="36">
        <v>15160</v>
      </c>
    </row>
    <row r="515" spans="1:10" x14ac:dyDescent="0.15">
      <c r="A515" s="36">
        <v>514</v>
      </c>
      <c r="B515" s="36">
        <v>2016</v>
      </c>
      <c r="C515" s="36" t="s">
        <v>953</v>
      </c>
      <c r="D515" s="36" t="str">
        <f t="shared" si="29"/>
        <v>diesel vehicle</v>
      </c>
      <c r="E515" s="36" t="s">
        <v>951</v>
      </c>
      <c r="F515" s="36" t="s">
        <v>962</v>
      </c>
      <c r="G515" s="36" t="s">
        <v>972</v>
      </c>
      <c r="H515" s="36" t="str">
        <f t="shared" si="30"/>
        <v>道路客车</v>
      </c>
      <c r="I515" s="36" t="str">
        <f t="shared" si="31"/>
        <v>Passenger HDV</v>
      </c>
      <c r="J515" s="36">
        <v>15083</v>
      </c>
    </row>
    <row r="516" spans="1:10" x14ac:dyDescent="0.15">
      <c r="A516" s="36">
        <v>515</v>
      </c>
      <c r="B516" s="36">
        <v>2017</v>
      </c>
      <c r="C516" s="36" t="s">
        <v>953</v>
      </c>
      <c r="D516" s="36" t="str">
        <f t="shared" si="29"/>
        <v>diesel vehicle</v>
      </c>
      <c r="E516" s="36" t="s">
        <v>951</v>
      </c>
      <c r="F516" s="36" t="s">
        <v>962</v>
      </c>
      <c r="G516" s="36" t="s">
        <v>972</v>
      </c>
      <c r="H516" s="36" t="str">
        <f t="shared" si="30"/>
        <v>道路客车</v>
      </c>
      <c r="I516" s="36" t="str">
        <f t="shared" si="31"/>
        <v>Passenger HDV</v>
      </c>
      <c r="J516" s="36">
        <v>9743</v>
      </c>
    </row>
    <row r="517" spans="1:10" x14ac:dyDescent="0.15">
      <c r="A517" s="36">
        <v>516</v>
      </c>
      <c r="B517" s="36">
        <v>2018</v>
      </c>
      <c r="C517" s="36" t="s">
        <v>953</v>
      </c>
      <c r="D517" s="36" t="str">
        <f t="shared" si="29"/>
        <v>diesel vehicle</v>
      </c>
      <c r="E517" s="36" t="s">
        <v>951</v>
      </c>
      <c r="F517" s="36" t="s">
        <v>962</v>
      </c>
      <c r="G517" s="36" t="s">
        <v>972</v>
      </c>
      <c r="H517" s="36" t="str">
        <f t="shared" si="30"/>
        <v>道路客车</v>
      </c>
      <c r="I517" s="36" t="str">
        <f t="shared" si="31"/>
        <v>Passenger HDV</v>
      </c>
      <c r="J517" s="36">
        <v>7579</v>
      </c>
    </row>
    <row r="518" spans="1:10" x14ac:dyDescent="0.15">
      <c r="A518" s="36">
        <v>517</v>
      </c>
      <c r="B518" s="36">
        <v>2019</v>
      </c>
      <c r="C518" s="36" t="s">
        <v>953</v>
      </c>
      <c r="D518" s="36" t="str">
        <f t="shared" si="29"/>
        <v>diesel vehicle</v>
      </c>
      <c r="E518" s="36" t="s">
        <v>951</v>
      </c>
      <c r="F518" s="36" t="s">
        <v>962</v>
      </c>
      <c r="G518" s="36" t="s">
        <v>972</v>
      </c>
      <c r="H518" s="36" t="str">
        <f t="shared" si="30"/>
        <v>道路客车</v>
      </c>
      <c r="I518" s="36" t="str">
        <f t="shared" si="31"/>
        <v>Passenger HDV</v>
      </c>
      <c r="J518" s="36">
        <v>8614</v>
      </c>
    </row>
    <row r="519" spans="1:10" x14ac:dyDescent="0.15">
      <c r="A519" s="36">
        <v>518</v>
      </c>
      <c r="B519" s="36">
        <v>2020</v>
      </c>
      <c r="C519" s="36" t="s">
        <v>953</v>
      </c>
      <c r="D519" s="36" t="str">
        <f t="shared" si="29"/>
        <v>diesel vehicle</v>
      </c>
      <c r="E519" s="36" t="s">
        <v>951</v>
      </c>
      <c r="F519" s="36" t="s">
        <v>962</v>
      </c>
      <c r="G519" s="36" t="s">
        <v>972</v>
      </c>
      <c r="H519" s="36" t="str">
        <f t="shared" si="30"/>
        <v>道路客车</v>
      </c>
      <c r="I519" s="36" t="str">
        <f t="shared" si="31"/>
        <v>Passenger HDV</v>
      </c>
      <c r="J519" s="36">
        <v>2894</v>
      </c>
    </row>
    <row r="520" spans="1:10" x14ac:dyDescent="0.15">
      <c r="A520" s="36">
        <v>519</v>
      </c>
      <c r="B520" s="36">
        <v>2021</v>
      </c>
      <c r="C520" s="36" t="s">
        <v>953</v>
      </c>
      <c r="D520" s="36" t="str">
        <f t="shared" si="29"/>
        <v>diesel vehicle</v>
      </c>
      <c r="E520" s="36" t="s">
        <v>951</v>
      </c>
      <c r="F520" s="36" t="s">
        <v>962</v>
      </c>
      <c r="G520" s="36" t="s">
        <v>972</v>
      </c>
      <c r="H520" s="36" t="str">
        <f t="shared" si="30"/>
        <v>道路客车</v>
      </c>
      <c r="I520" s="36" t="str">
        <f t="shared" si="31"/>
        <v>Passenger HDV</v>
      </c>
      <c r="J520" s="36">
        <v>4601</v>
      </c>
    </row>
    <row r="521" spans="1:10" x14ac:dyDescent="0.15">
      <c r="A521" s="36">
        <v>520</v>
      </c>
      <c r="B521" s="36">
        <v>2018</v>
      </c>
      <c r="C521" s="36" t="s">
        <v>958</v>
      </c>
      <c r="D521" s="36" t="str">
        <f t="shared" si="29"/>
        <v>battery electric vehicle</v>
      </c>
      <c r="E521" s="36" t="s">
        <v>951</v>
      </c>
      <c r="F521" s="36" t="s">
        <v>962</v>
      </c>
      <c r="G521" s="36" t="s">
        <v>972</v>
      </c>
      <c r="H521" s="36" t="str">
        <f t="shared" si="30"/>
        <v>道路客车</v>
      </c>
      <c r="I521" s="36" t="str">
        <f t="shared" si="31"/>
        <v>Passenger HDV</v>
      </c>
      <c r="J521" s="36">
        <v>1</v>
      </c>
    </row>
    <row r="522" spans="1:10" x14ac:dyDescent="0.15">
      <c r="A522" s="36">
        <v>521</v>
      </c>
      <c r="B522" s="36">
        <v>2019</v>
      </c>
      <c r="C522" s="36" t="s">
        <v>958</v>
      </c>
      <c r="D522" s="36" t="str">
        <f t="shared" si="29"/>
        <v>battery electric vehicle</v>
      </c>
      <c r="E522" s="36" t="s">
        <v>951</v>
      </c>
      <c r="F522" s="36" t="s">
        <v>962</v>
      </c>
      <c r="G522" s="36" t="s">
        <v>972</v>
      </c>
      <c r="H522" s="36" t="str">
        <f t="shared" si="30"/>
        <v>道路客车</v>
      </c>
      <c r="I522" s="36" t="str">
        <f t="shared" si="31"/>
        <v>Passenger HDV</v>
      </c>
      <c r="J522" s="36">
        <v>181</v>
      </c>
    </row>
    <row r="523" spans="1:10" x14ac:dyDescent="0.15">
      <c r="A523" s="36">
        <v>522</v>
      </c>
      <c r="B523" s="36">
        <v>2020</v>
      </c>
      <c r="C523" s="36" t="s">
        <v>958</v>
      </c>
      <c r="D523" s="36" t="str">
        <f t="shared" si="29"/>
        <v>battery electric vehicle</v>
      </c>
      <c r="E523" s="36" t="s">
        <v>951</v>
      </c>
      <c r="F523" s="36" t="s">
        <v>962</v>
      </c>
      <c r="G523" s="36" t="s">
        <v>972</v>
      </c>
      <c r="H523" s="36" t="str">
        <f t="shared" si="30"/>
        <v>道路客车</v>
      </c>
      <c r="I523" s="36" t="str">
        <f t="shared" si="31"/>
        <v>Passenger HDV</v>
      </c>
      <c r="J523" s="36">
        <v>52</v>
      </c>
    </row>
    <row r="524" spans="1:10" x14ac:dyDescent="0.15">
      <c r="A524" s="36">
        <v>523</v>
      </c>
      <c r="B524" s="36">
        <v>2021</v>
      </c>
      <c r="C524" s="36" t="s">
        <v>958</v>
      </c>
      <c r="D524" s="36" t="str">
        <f t="shared" si="29"/>
        <v>battery electric vehicle</v>
      </c>
      <c r="E524" s="36" t="s">
        <v>951</v>
      </c>
      <c r="F524" s="36" t="s">
        <v>962</v>
      </c>
      <c r="G524" s="36" t="s">
        <v>972</v>
      </c>
      <c r="H524" s="36" t="str">
        <f t="shared" si="30"/>
        <v>道路客车</v>
      </c>
      <c r="I524" s="36" t="str">
        <f t="shared" si="31"/>
        <v>Passenger HDV</v>
      </c>
      <c r="J524" s="36">
        <v>258</v>
      </c>
    </row>
    <row r="525" spans="1:10" x14ac:dyDescent="0.15">
      <c r="A525" s="36">
        <v>524</v>
      </c>
      <c r="B525" s="36">
        <v>2015</v>
      </c>
      <c r="C525" s="36" t="s">
        <v>952</v>
      </c>
      <c r="D525" s="36" t="str">
        <f t="shared" si="29"/>
        <v>gasoline vehicle</v>
      </c>
      <c r="E525" s="36" t="s">
        <v>951</v>
      </c>
      <c r="F525" s="36" t="s">
        <v>962</v>
      </c>
      <c r="G525" s="36" t="s">
        <v>972</v>
      </c>
      <c r="H525" s="36" t="str">
        <f t="shared" si="30"/>
        <v>道路客车</v>
      </c>
      <c r="I525" s="36" t="str">
        <f t="shared" si="31"/>
        <v>Passenger HDV</v>
      </c>
      <c r="J525" s="36">
        <v>929</v>
      </c>
    </row>
    <row r="526" spans="1:10" x14ac:dyDescent="0.15">
      <c r="A526" s="36">
        <v>525</v>
      </c>
      <c r="B526" s="36">
        <v>2016</v>
      </c>
      <c r="C526" s="36" t="s">
        <v>952</v>
      </c>
      <c r="D526" s="36" t="str">
        <f t="shared" si="29"/>
        <v>gasoline vehicle</v>
      </c>
      <c r="E526" s="36" t="s">
        <v>951</v>
      </c>
      <c r="F526" s="36" t="s">
        <v>962</v>
      </c>
      <c r="G526" s="36" t="s">
        <v>972</v>
      </c>
      <c r="H526" s="36" t="str">
        <f t="shared" si="30"/>
        <v>道路客车</v>
      </c>
      <c r="I526" s="36" t="str">
        <f t="shared" si="31"/>
        <v>Passenger HDV</v>
      </c>
      <c r="J526" s="36">
        <v>1040</v>
      </c>
    </row>
    <row r="527" spans="1:10" x14ac:dyDescent="0.15">
      <c r="A527" s="36">
        <v>526</v>
      </c>
      <c r="B527" s="36">
        <v>2017</v>
      </c>
      <c r="C527" s="36" t="s">
        <v>952</v>
      </c>
      <c r="D527" s="36" t="str">
        <f t="shared" si="29"/>
        <v>gasoline vehicle</v>
      </c>
      <c r="E527" s="36" t="s">
        <v>951</v>
      </c>
      <c r="F527" s="36" t="s">
        <v>962</v>
      </c>
      <c r="G527" s="36" t="s">
        <v>972</v>
      </c>
      <c r="H527" s="36" t="str">
        <f t="shared" si="30"/>
        <v>道路客车</v>
      </c>
      <c r="I527" s="36" t="str">
        <f t="shared" si="31"/>
        <v>Passenger HDV</v>
      </c>
      <c r="J527" s="36">
        <v>853</v>
      </c>
    </row>
    <row r="528" spans="1:10" x14ac:dyDescent="0.15">
      <c r="A528" s="36">
        <v>527</v>
      </c>
      <c r="B528" s="36">
        <v>2018</v>
      </c>
      <c r="C528" s="36" t="s">
        <v>952</v>
      </c>
      <c r="D528" s="36" t="str">
        <f t="shared" si="29"/>
        <v>gasoline vehicle</v>
      </c>
      <c r="E528" s="36" t="s">
        <v>951</v>
      </c>
      <c r="F528" s="36" t="s">
        <v>962</v>
      </c>
      <c r="G528" s="36" t="s">
        <v>972</v>
      </c>
      <c r="H528" s="36" t="str">
        <f t="shared" si="30"/>
        <v>道路客车</v>
      </c>
      <c r="I528" s="36" t="str">
        <f t="shared" si="31"/>
        <v>Passenger HDV</v>
      </c>
      <c r="J528" s="36">
        <v>374</v>
      </c>
    </row>
    <row r="529" spans="1:10" x14ac:dyDescent="0.15">
      <c r="A529" s="36">
        <v>528</v>
      </c>
      <c r="B529" s="36">
        <v>2019</v>
      </c>
      <c r="C529" s="36" t="s">
        <v>952</v>
      </c>
      <c r="D529" s="36" t="str">
        <f t="shared" si="29"/>
        <v>gasoline vehicle</v>
      </c>
      <c r="E529" s="36" t="s">
        <v>951</v>
      </c>
      <c r="F529" s="36" t="s">
        <v>962</v>
      </c>
      <c r="G529" s="36" t="s">
        <v>972</v>
      </c>
      <c r="H529" s="36" t="str">
        <f t="shared" si="30"/>
        <v>道路客车</v>
      </c>
      <c r="I529" s="36" t="str">
        <f t="shared" si="31"/>
        <v>Passenger HDV</v>
      </c>
      <c r="J529" s="36">
        <v>505</v>
      </c>
    </row>
    <row r="530" spans="1:10" x14ac:dyDescent="0.15">
      <c r="A530" s="36">
        <v>529</v>
      </c>
      <c r="B530" s="36">
        <v>2020</v>
      </c>
      <c r="C530" s="36" t="s">
        <v>952</v>
      </c>
      <c r="D530" s="36" t="str">
        <f t="shared" si="29"/>
        <v>gasoline vehicle</v>
      </c>
      <c r="E530" s="36" t="s">
        <v>951</v>
      </c>
      <c r="F530" s="36" t="s">
        <v>962</v>
      </c>
      <c r="G530" s="36" t="s">
        <v>972</v>
      </c>
      <c r="H530" s="36" t="str">
        <f t="shared" si="30"/>
        <v>道路客车</v>
      </c>
      <c r="I530" s="36" t="str">
        <f t="shared" si="31"/>
        <v>Passenger HDV</v>
      </c>
      <c r="J530" s="36">
        <v>159</v>
      </c>
    </row>
    <row r="531" spans="1:10" x14ac:dyDescent="0.15">
      <c r="A531" s="36">
        <v>530</v>
      </c>
      <c r="B531" s="36">
        <v>2021</v>
      </c>
      <c r="C531" s="36" t="s">
        <v>952</v>
      </c>
      <c r="D531" s="36" t="str">
        <f t="shared" si="29"/>
        <v>gasoline vehicle</v>
      </c>
      <c r="E531" s="36" t="s">
        <v>951</v>
      </c>
      <c r="F531" s="36" t="s">
        <v>962</v>
      </c>
      <c r="G531" s="36" t="s">
        <v>972</v>
      </c>
      <c r="H531" s="36" t="str">
        <f t="shared" si="30"/>
        <v>道路客车</v>
      </c>
      <c r="I531" s="36" t="str">
        <f t="shared" si="31"/>
        <v>Passenger HDV</v>
      </c>
      <c r="J531" s="36">
        <v>358</v>
      </c>
    </row>
    <row r="532" spans="1:10" x14ac:dyDescent="0.15">
      <c r="A532" s="36">
        <v>531</v>
      </c>
      <c r="B532" s="36">
        <v>2015</v>
      </c>
      <c r="C532" s="36" t="s">
        <v>956</v>
      </c>
      <c r="D532" s="36" t="str">
        <f t="shared" si="29"/>
        <v>natural gas vehicle</v>
      </c>
      <c r="E532" s="36" t="s">
        <v>951</v>
      </c>
      <c r="F532" s="36" t="s">
        <v>962</v>
      </c>
      <c r="G532" s="36" t="s">
        <v>972</v>
      </c>
      <c r="H532" s="36" t="str">
        <f t="shared" si="30"/>
        <v>道路客车</v>
      </c>
      <c r="I532" s="36" t="str">
        <f t="shared" si="31"/>
        <v>Passenger HDV</v>
      </c>
      <c r="J532" s="36">
        <v>316</v>
      </c>
    </row>
    <row r="533" spans="1:10" x14ac:dyDescent="0.15">
      <c r="A533" s="36">
        <v>532</v>
      </c>
      <c r="B533" s="36">
        <v>2016</v>
      </c>
      <c r="C533" s="36" t="s">
        <v>956</v>
      </c>
      <c r="D533" s="36" t="str">
        <f t="shared" si="29"/>
        <v>natural gas vehicle</v>
      </c>
      <c r="E533" s="36" t="s">
        <v>951</v>
      </c>
      <c r="F533" s="36" t="s">
        <v>962</v>
      </c>
      <c r="G533" s="36" t="s">
        <v>972</v>
      </c>
      <c r="H533" s="36" t="str">
        <f t="shared" si="30"/>
        <v>道路客车</v>
      </c>
      <c r="I533" s="36" t="str">
        <f t="shared" si="31"/>
        <v>Passenger HDV</v>
      </c>
      <c r="J533" s="36">
        <v>61</v>
      </c>
    </row>
    <row r="534" spans="1:10" x14ac:dyDescent="0.15">
      <c r="A534" s="36">
        <v>533</v>
      </c>
      <c r="B534" s="36">
        <v>2021</v>
      </c>
      <c r="C534" s="36" t="s">
        <v>956</v>
      </c>
      <c r="D534" s="36" t="str">
        <f t="shared" si="29"/>
        <v>natural gas vehicle</v>
      </c>
      <c r="E534" s="36" t="s">
        <v>951</v>
      </c>
      <c r="F534" s="36" t="s">
        <v>962</v>
      </c>
      <c r="G534" s="36" t="s">
        <v>972</v>
      </c>
      <c r="H534" s="36" t="str">
        <f t="shared" si="30"/>
        <v>道路客车</v>
      </c>
      <c r="I534" s="36" t="str">
        <f t="shared" si="31"/>
        <v>Passenger HDV</v>
      </c>
      <c r="J534" s="36">
        <v>1</v>
      </c>
    </row>
    <row r="535" spans="1:10" x14ac:dyDescent="0.15">
      <c r="A535" s="36">
        <v>534</v>
      </c>
      <c r="B535" s="36">
        <v>2015</v>
      </c>
      <c r="C535" s="36" t="s">
        <v>955</v>
      </c>
      <c r="D535" s="36" t="str">
        <f t="shared" si="29"/>
        <v>natural gas vehicle</v>
      </c>
      <c r="E535" s="36" t="s">
        <v>951</v>
      </c>
      <c r="F535" s="36" t="s">
        <v>962</v>
      </c>
      <c r="G535" s="36" t="s">
        <v>972</v>
      </c>
      <c r="H535" s="36" t="str">
        <f t="shared" si="30"/>
        <v>道路客车</v>
      </c>
      <c r="I535" s="36" t="str">
        <f t="shared" si="31"/>
        <v>Passenger HDV</v>
      </c>
      <c r="J535" s="36">
        <v>195</v>
      </c>
    </row>
    <row r="536" spans="1:10" x14ac:dyDescent="0.15">
      <c r="A536" s="36">
        <v>535</v>
      </c>
      <c r="B536" s="36">
        <v>2016</v>
      </c>
      <c r="C536" s="36" t="s">
        <v>955</v>
      </c>
      <c r="D536" s="36" t="str">
        <f t="shared" si="29"/>
        <v>natural gas vehicle</v>
      </c>
      <c r="E536" s="36" t="s">
        <v>951</v>
      </c>
      <c r="F536" s="36" t="s">
        <v>962</v>
      </c>
      <c r="G536" s="36" t="s">
        <v>972</v>
      </c>
      <c r="H536" s="36" t="str">
        <f t="shared" si="30"/>
        <v>道路客车</v>
      </c>
      <c r="I536" s="36" t="str">
        <f t="shared" si="31"/>
        <v>Passenger HDV</v>
      </c>
      <c r="J536" s="36">
        <v>250</v>
      </c>
    </row>
    <row r="537" spans="1:10" x14ac:dyDescent="0.15">
      <c r="A537" s="36">
        <v>536</v>
      </c>
      <c r="B537" s="36">
        <v>2017</v>
      </c>
      <c r="C537" s="36" t="s">
        <v>955</v>
      </c>
      <c r="D537" s="36" t="str">
        <f t="shared" si="29"/>
        <v>natural gas vehicle</v>
      </c>
      <c r="E537" s="36" t="s">
        <v>951</v>
      </c>
      <c r="F537" s="36" t="s">
        <v>962</v>
      </c>
      <c r="G537" s="36" t="s">
        <v>972</v>
      </c>
      <c r="H537" s="36" t="str">
        <f t="shared" si="30"/>
        <v>道路客车</v>
      </c>
      <c r="I537" s="36" t="str">
        <f t="shared" si="31"/>
        <v>Passenger HDV</v>
      </c>
      <c r="J537" s="36">
        <v>144</v>
      </c>
    </row>
    <row r="538" spans="1:10" x14ac:dyDescent="0.15">
      <c r="A538" s="36">
        <v>537</v>
      </c>
      <c r="B538" s="36">
        <v>2018</v>
      </c>
      <c r="C538" s="36" t="s">
        <v>955</v>
      </c>
      <c r="D538" s="36" t="str">
        <f t="shared" si="29"/>
        <v>natural gas vehicle</v>
      </c>
      <c r="E538" s="36" t="s">
        <v>951</v>
      </c>
      <c r="F538" s="36" t="s">
        <v>962</v>
      </c>
      <c r="G538" s="36" t="s">
        <v>972</v>
      </c>
      <c r="H538" s="36" t="str">
        <f t="shared" si="30"/>
        <v>道路客车</v>
      </c>
      <c r="I538" s="36" t="str">
        <f t="shared" si="31"/>
        <v>Passenger HDV</v>
      </c>
      <c r="J538" s="36">
        <v>57</v>
      </c>
    </row>
    <row r="539" spans="1:10" x14ac:dyDescent="0.15">
      <c r="A539" s="36">
        <v>538</v>
      </c>
      <c r="B539" s="36">
        <v>2019</v>
      </c>
      <c r="C539" s="36" t="s">
        <v>955</v>
      </c>
      <c r="D539" s="36" t="str">
        <f t="shared" si="29"/>
        <v>natural gas vehicle</v>
      </c>
      <c r="E539" s="36" t="s">
        <v>951</v>
      </c>
      <c r="F539" s="36" t="s">
        <v>962</v>
      </c>
      <c r="G539" s="36" t="s">
        <v>972</v>
      </c>
      <c r="H539" s="36" t="str">
        <f t="shared" si="30"/>
        <v>道路客车</v>
      </c>
      <c r="I539" s="36" t="str">
        <f t="shared" si="31"/>
        <v>Passenger HDV</v>
      </c>
      <c r="J539" s="36">
        <v>82</v>
      </c>
    </row>
    <row r="540" spans="1:10" x14ac:dyDescent="0.15">
      <c r="A540" s="36">
        <v>539</v>
      </c>
      <c r="B540" s="36">
        <v>2020</v>
      </c>
      <c r="C540" s="36" t="s">
        <v>955</v>
      </c>
      <c r="D540" s="36" t="str">
        <f t="shared" si="29"/>
        <v>natural gas vehicle</v>
      </c>
      <c r="E540" s="36" t="s">
        <v>951</v>
      </c>
      <c r="F540" s="36" t="s">
        <v>962</v>
      </c>
      <c r="G540" s="36" t="s">
        <v>972</v>
      </c>
      <c r="H540" s="36" t="str">
        <f t="shared" si="30"/>
        <v>道路客车</v>
      </c>
      <c r="I540" s="36" t="str">
        <f t="shared" si="31"/>
        <v>Passenger HDV</v>
      </c>
      <c r="J540" s="36">
        <v>4</v>
      </c>
    </row>
    <row r="541" spans="1:10" x14ac:dyDescent="0.15">
      <c r="A541" s="36">
        <v>540</v>
      </c>
      <c r="B541" s="36">
        <v>2021</v>
      </c>
      <c r="C541" s="36" t="s">
        <v>955</v>
      </c>
      <c r="D541" s="36" t="str">
        <f t="shared" si="29"/>
        <v>natural gas vehicle</v>
      </c>
      <c r="E541" s="36" t="s">
        <v>951</v>
      </c>
      <c r="F541" s="36" t="s">
        <v>962</v>
      </c>
      <c r="G541" s="36" t="s">
        <v>972</v>
      </c>
      <c r="H541" s="36" t="str">
        <f t="shared" si="30"/>
        <v>道路客车</v>
      </c>
      <c r="I541" s="36" t="str">
        <f t="shared" si="31"/>
        <v>Passenger HDV</v>
      </c>
      <c r="J541" s="36">
        <v>16</v>
      </c>
    </row>
    <row r="542" spans="1:10" x14ac:dyDescent="0.15">
      <c r="A542" s="36">
        <v>541</v>
      </c>
      <c r="B542" s="36">
        <v>2017</v>
      </c>
      <c r="C542" s="36" t="s">
        <v>953</v>
      </c>
      <c r="D542" s="36" t="str">
        <f t="shared" si="29"/>
        <v>diesel vehicle</v>
      </c>
      <c r="E542" s="36" t="s">
        <v>973</v>
      </c>
      <c r="F542" s="36" t="s">
        <v>962</v>
      </c>
      <c r="G542" s="36" t="s">
        <v>972</v>
      </c>
      <c r="H542" s="36" t="str">
        <f t="shared" si="30"/>
        <v>道路客车</v>
      </c>
      <c r="I542" s="36" t="str">
        <f t="shared" si="31"/>
        <v>Passenger HDV</v>
      </c>
      <c r="J542" s="36">
        <v>51</v>
      </c>
    </row>
    <row r="543" spans="1:10" x14ac:dyDescent="0.15">
      <c r="A543" s="36">
        <v>542</v>
      </c>
      <c r="B543" s="36">
        <v>2017</v>
      </c>
      <c r="C543" s="36" t="s">
        <v>955</v>
      </c>
      <c r="D543" s="36" t="str">
        <f t="shared" si="29"/>
        <v>natural gas vehicle</v>
      </c>
      <c r="E543" s="36" t="s">
        <v>973</v>
      </c>
      <c r="F543" s="36" t="s">
        <v>962</v>
      </c>
      <c r="G543" s="36" t="s">
        <v>972</v>
      </c>
      <c r="H543" s="36" t="str">
        <f t="shared" si="30"/>
        <v>道路客车</v>
      </c>
      <c r="I543" s="36" t="str">
        <f t="shared" si="31"/>
        <v>Passenger HDV</v>
      </c>
      <c r="J543" s="36">
        <v>30</v>
      </c>
    </row>
    <row r="544" spans="1:10" x14ac:dyDescent="0.15">
      <c r="A544" s="36">
        <v>543</v>
      </c>
      <c r="B544" s="36">
        <v>2016</v>
      </c>
      <c r="C544" s="36" t="s">
        <v>953</v>
      </c>
      <c r="D544" s="36" t="str">
        <f t="shared" si="29"/>
        <v>diesel vehicle</v>
      </c>
      <c r="E544" s="36" t="s">
        <v>969</v>
      </c>
      <c r="F544" s="36" t="s">
        <v>960</v>
      </c>
      <c r="G544" s="36" t="s">
        <v>972</v>
      </c>
      <c r="H544" s="36" t="str">
        <f t="shared" si="30"/>
        <v>道路客车</v>
      </c>
      <c r="I544" s="36" t="str">
        <f t="shared" si="31"/>
        <v>Passenger HDV</v>
      </c>
      <c r="J544" s="36">
        <v>1347</v>
      </c>
    </row>
    <row r="545" spans="1:10" x14ac:dyDescent="0.15">
      <c r="A545" s="36">
        <v>544</v>
      </c>
      <c r="B545" s="36">
        <v>2017</v>
      </c>
      <c r="C545" s="36" t="s">
        <v>953</v>
      </c>
      <c r="D545" s="36" t="str">
        <f t="shared" si="29"/>
        <v>diesel vehicle</v>
      </c>
      <c r="E545" s="36" t="s">
        <v>969</v>
      </c>
      <c r="F545" s="36" t="s">
        <v>960</v>
      </c>
      <c r="G545" s="36" t="s">
        <v>972</v>
      </c>
      <c r="H545" s="36" t="str">
        <f t="shared" si="30"/>
        <v>道路客车</v>
      </c>
      <c r="I545" s="36" t="str">
        <f t="shared" si="31"/>
        <v>Passenger HDV</v>
      </c>
      <c r="J545" s="36">
        <v>1157</v>
      </c>
    </row>
    <row r="546" spans="1:10" x14ac:dyDescent="0.15">
      <c r="A546" s="36">
        <v>545</v>
      </c>
      <c r="B546" s="36">
        <v>2018</v>
      </c>
      <c r="C546" s="36" t="s">
        <v>953</v>
      </c>
      <c r="D546" s="36" t="str">
        <f t="shared" si="29"/>
        <v>diesel vehicle</v>
      </c>
      <c r="E546" s="36" t="s">
        <v>969</v>
      </c>
      <c r="F546" s="36" t="s">
        <v>960</v>
      </c>
      <c r="G546" s="36" t="s">
        <v>972</v>
      </c>
      <c r="H546" s="36" t="str">
        <f t="shared" si="30"/>
        <v>道路客车</v>
      </c>
      <c r="I546" s="36" t="str">
        <f t="shared" si="31"/>
        <v>Passenger HDV</v>
      </c>
      <c r="J546" s="36">
        <v>1353</v>
      </c>
    </row>
    <row r="547" spans="1:10" x14ac:dyDescent="0.15">
      <c r="A547" s="36">
        <v>546</v>
      </c>
      <c r="B547" s="36">
        <v>2019</v>
      </c>
      <c r="C547" s="36" t="s">
        <v>953</v>
      </c>
      <c r="D547" s="36" t="str">
        <f t="shared" si="29"/>
        <v>diesel vehicle</v>
      </c>
      <c r="E547" s="36" t="s">
        <v>969</v>
      </c>
      <c r="F547" s="36" t="s">
        <v>960</v>
      </c>
      <c r="G547" s="36" t="s">
        <v>972</v>
      </c>
      <c r="H547" s="36" t="str">
        <f t="shared" si="30"/>
        <v>道路客车</v>
      </c>
      <c r="I547" s="36" t="str">
        <f t="shared" si="31"/>
        <v>Passenger HDV</v>
      </c>
      <c r="J547" s="36">
        <v>943</v>
      </c>
    </row>
    <row r="548" spans="1:10" x14ac:dyDescent="0.15">
      <c r="A548" s="36">
        <v>547</v>
      </c>
      <c r="B548" s="36">
        <v>2020</v>
      </c>
      <c r="C548" s="36" t="s">
        <v>953</v>
      </c>
      <c r="D548" s="36" t="str">
        <f t="shared" si="29"/>
        <v>diesel vehicle</v>
      </c>
      <c r="E548" s="36" t="s">
        <v>969</v>
      </c>
      <c r="F548" s="36" t="s">
        <v>960</v>
      </c>
      <c r="G548" s="36" t="s">
        <v>972</v>
      </c>
      <c r="H548" s="36" t="str">
        <f t="shared" si="30"/>
        <v>道路客车</v>
      </c>
      <c r="I548" s="36" t="str">
        <f t="shared" si="31"/>
        <v>Passenger HDV</v>
      </c>
      <c r="J548" s="36">
        <v>588</v>
      </c>
    </row>
    <row r="549" spans="1:10" x14ac:dyDescent="0.15">
      <c r="A549" s="36">
        <v>548</v>
      </c>
      <c r="B549" s="36">
        <v>2021</v>
      </c>
      <c r="C549" s="36" t="s">
        <v>953</v>
      </c>
      <c r="D549" s="36" t="str">
        <f t="shared" si="29"/>
        <v>diesel vehicle</v>
      </c>
      <c r="E549" s="36" t="s">
        <v>969</v>
      </c>
      <c r="F549" s="36" t="s">
        <v>960</v>
      </c>
      <c r="G549" s="36" t="s">
        <v>972</v>
      </c>
      <c r="H549" s="36" t="str">
        <f t="shared" si="30"/>
        <v>道路客车</v>
      </c>
      <c r="I549" s="36" t="str">
        <f t="shared" si="31"/>
        <v>Passenger HDV</v>
      </c>
      <c r="J549" s="36">
        <v>520</v>
      </c>
    </row>
    <row r="550" spans="1:10" x14ac:dyDescent="0.15">
      <c r="A550" s="36">
        <v>549</v>
      </c>
      <c r="B550" s="36">
        <v>2019</v>
      </c>
      <c r="C550" s="36" t="s">
        <v>958</v>
      </c>
      <c r="D550" s="36" t="str">
        <f t="shared" si="29"/>
        <v>battery electric vehicle</v>
      </c>
      <c r="E550" s="36" t="s">
        <v>969</v>
      </c>
      <c r="F550" s="36" t="s">
        <v>960</v>
      </c>
      <c r="G550" s="36" t="s">
        <v>972</v>
      </c>
      <c r="H550" s="36" t="str">
        <f t="shared" si="30"/>
        <v>道路客车</v>
      </c>
      <c r="I550" s="36" t="str">
        <f t="shared" si="31"/>
        <v>Passenger HDV</v>
      </c>
      <c r="J550" s="36">
        <v>1</v>
      </c>
    </row>
    <row r="551" spans="1:10" x14ac:dyDescent="0.15">
      <c r="A551" s="36">
        <v>550</v>
      </c>
      <c r="B551" s="36">
        <v>2020</v>
      </c>
      <c r="C551" s="36" t="s">
        <v>958</v>
      </c>
      <c r="D551" s="36" t="str">
        <f t="shared" si="29"/>
        <v>battery electric vehicle</v>
      </c>
      <c r="E551" s="36" t="s">
        <v>969</v>
      </c>
      <c r="F551" s="36" t="s">
        <v>960</v>
      </c>
      <c r="G551" s="36" t="s">
        <v>972</v>
      </c>
      <c r="H551" s="36" t="str">
        <f t="shared" si="30"/>
        <v>道路客车</v>
      </c>
      <c r="I551" s="36" t="str">
        <f t="shared" si="31"/>
        <v>Passenger HDV</v>
      </c>
      <c r="J551" s="36">
        <v>1</v>
      </c>
    </row>
    <row r="552" spans="1:10" x14ac:dyDescent="0.15">
      <c r="A552" s="36">
        <v>551</v>
      </c>
      <c r="B552" s="36">
        <v>2021</v>
      </c>
      <c r="C552" s="36" t="s">
        <v>958</v>
      </c>
      <c r="D552" s="36" t="str">
        <f t="shared" si="29"/>
        <v>battery electric vehicle</v>
      </c>
      <c r="E552" s="36" t="s">
        <v>969</v>
      </c>
      <c r="F552" s="36" t="s">
        <v>960</v>
      </c>
      <c r="G552" s="36" t="s">
        <v>972</v>
      </c>
      <c r="H552" s="36" t="str">
        <f t="shared" si="30"/>
        <v>道路客车</v>
      </c>
      <c r="I552" s="36" t="str">
        <f t="shared" si="31"/>
        <v>Passenger HDV</v>
      </c>
      <c r="J552" s="36">
        <v>3</v>
      </c>
    </row>
    <row r="553" spans="1:10" x14ac:dyDescent="0.15">
      <c r="A553" s="36">
        <v>552</v>
      </c>
      <c r="B553" s="36">
        <v>2016</v>
      </c>
      <c r="C553" s="36" t="s">
        <v>952</v>
      </c>
      <c r="D553" s="36" t="str">
        <f t="shared" si="29"/>
        <v>gasoline vehicle</v>
      </c>
      <c r="E553" s="36" t="s">
        <v>969</v>
      </c>
      <c r="F553" s="36" t="s">
        <v>960</v>
      </c>
      <c r="G553" s="36" t="s">
        <v>972</v>
      </c>
      <c r="H553" s="36" t="str">
        <f t="shared" si="30"/>
        <v>道路客车</v>
      </c>
      <c r="I553" s="36" t="str">
        <f t="shared" si="31"/>
        <v>Passenger HDV</v>
      </c>
      <c r="J553" s="36">
        <v>49</v>
      </c>
    </row>
    <row r="554" spans="1:10" x14ac:dyDescent="0.15">
      <c r="A554" s="36">
        <v>553</v>
      </c>
      <c r="B554" s="36">
        <v>2017</v>
      </c>
      <c r="C554" s="36" t="s">
        <v>952</v>
      </c>
      <c r="D554" s="36" t="str">
        <f t="shared" si="29"/>
        <v>gasoline vehicle</v>
      </c>
      <c r="E554" s="36" t="s">
        <v>969</v>
      </c>
      <c r="F554" s="36" t="s">
        <v>960</v>
      </c>
      <c r="G554" s="36" t="s">
        <v>972</v>
      </c>
      <c r="H554" s="36" t="str">
        <f t="shared" si="30"/>
        <v>道路客车</v>
      </c>
      <c r="I554" s="36" t="str">
        <f t="shared" si="31"/>
        <v>Passenger HDV</v>
      </c>
      <c r="J554" s="36">
        <v>25</v>
      </c>
    </row>
    <row r="555" spans="1:10" x14ac:dyDescent="0.15">
      <c r="A555" s="36">
        <v>554</v>
      </c>
      <c r="B555" s="36">
        <v>2018</v>
      </c>
      <c r="C555" s="36" t="s">
        <v>952</v>
      </c>
      <c r="D555" s="36" t="str">
        <f t="shared" si="29"/>
        <v>gasoline vehicle</v>
      </c>
      <c r="E555" s="36" t="s">
        <v>969</v>
      </c>
      <c r="F555" s="36" t="s">
        <v>960</v>
      </c>
      <c r="G555" s="36" t="s">
        <v>972</v>
      </c>
      <c r="H555" s="36" t="str">
        <f t="shared" si="30"/>
        <v>道路客车</v>
      </c>
      <c r="I555" s="36" t="str">
        <f t="shared" si="31"/>
        <v>Passenger HDV</v>
      </c>
      <c r="J555" s="36">
        <v>267</v>
      </c>
    </row>
    <row r="556" spans="1:10" x14ac:dyDescent="0.15">
      <c r="A556" s="36">
        <v>555</v>
      </c>
      <c r="B556" s="36">
        <v>2019</v>
      </c>
      <c r="C556" s="36" t="s">
        <v>952</v>
      </c>
      <c r="D556" s="36" t="str">
        <f t="shared" si="29"/>
        <v>gasoline vehicle</v>
      </c>
      <c r="E556" s="36" t="s">
        <v>969</v>
      </c>
      <c r="F556" s="36" t="s">
        <v>960</v>
      </c>
      <c r="G556" s="36" t="s">
        <v>972</v>
      </c>
      <c r="H556" s="36" t="str">
        <f t="shared" si="30"/>
        <v>道路客车</v>
      </c>
      <c r="I556" s="36" t="str">
        <f t="shared" si="31"/>
        <v>Passenger HDV</v>
      </c>
      <c r="J556" s="36">
        <v>257</v>
      </c>
    </row>
    <row r="557" spans="1:10" x14ac:dyDescent="0.15">
      <c r="A557" s="36">
        <v>556</v>
      </c>
      <c r="B557" s="36">
        <v>2020</v>
      </c>
      <c r="C557" s="36" t="s">
        <v>952</v>
      </c>
      <c r="D557" s="36" t="str">
        <f t="shared" si="29"/>
        <v>gasoline vehicle</v>
      </c>
      <c r="E557" s="36" t="s">
        <v>969</v>
      </c>
      <c r="F557" s="36" t="s">
        <v>960</v>
      </c>
      <c r="G557" s="36" t="s">
        <v>972</v>
      </c>
      <c r="H557" s="36" t="str">
        <f t="shared" si="30"/>
        <v>道路客车</v>
      </c>
      <c r="I557" s="36" t="str">
        <f t="shared" si="31"/>
        <v>Passenger HDV</v>
      </c>
      <c r="J557" s="36">
        <v>33</v>
      </c>
    </row>
    <row r="558" spans="1:10" x14ac:dyDescent="0.15">
      <c r="A558" s="36">
        <v>557</v>
      </c>
      <c r="B558" s="36">
        <v>2021</v>
      </c>
      <c r="C558" s="36" t="s">
        <v>952</v>
      </c>
      <c r="D558" s="36" t="str">
        <f t="shared" si="29"/>
        <v>gasoline vehicle</v>
      </c>
      <c r="E558" s="36" t="s">
        <v>969</v>
      </c>
      <c r="F558" s="36" t="s">
        <v>960</v>
      </c>
      <c r="G558" s="36" t="s">
        <v>972</v>
      </c>
      <c r="H558" s="36" t="str">
        <f t="shared" si="30"/>
        <v>道路客车</v>
      </c>
      <c r="I558" s="36" t="str">
        <f t="shared" si="31"/>
        <v>Passenger HDV</v>
      </c>
      <c r="J558" s="36">
        <v>32</v>
      </c>
    </row>
    <row r="559" spans="1:10" x14ac:dyDescent="0.15">
      <c r="A559" s="36">
        <v>558</v>
      </c>
      <c r="B559" s="36">
        <v>2018</v>
      </c>
      <c r="C559" s="36" t="s">
        <v>966</v>
      </c>
      <c r="D559" s="36" t="str">
        <f t="shared" si="29"/>
        <v>hydrogen vehicle</v>
      </c>
      <c r="E559" s="36" t="s">
        <v>969</v>
      </c>
      <c r="F559" s="36" t="s">
        <v>960</v>
      </c>
      <c r="G559" s="36" t="s">
        <v>972</v>
      </c>
      <c r="H559" s="36" t="str">
        <f t="shared" si="30"/>
        <v>道路客车</v>
      </c>
      <c r="I559" s="36" t="str">
        <f t="shared" si="31"/>
        <v>Passenger HDV</v>
      </c>
      <c r="J559" s="36">
        <v>1</v>
      </c>
    </row>
    <row r="560" spans="1:10" x14ac:dyDescent="0.15">
      <c r="A560" s="36">
        <v>559</v>
      </c>
      <c r="B560" s="36">
        <v>2016</v>
      </c>
      <c r="C560" s="36" t="s">
        <v>955</v>
      </c>
      <c r="D560" s="36" t="str">
        <f t="shared" si="29"/>
        <v>natural gas vehicle</v>
      </c>
      <c r="E560" s="36" t="s">
        <v>969</v>
      </c>
      <c r="F560" s="36" t="s">
        <v>960</v>
      </c>
      <c r="G560" s="36" t="s">
        <v>972</v>
      </c>
      <c r="H560" s="36" t="str">
        <f t="shared" si="30"/>
        <v>道路客车</v>
      </c>
      <c r="I560" s="36" t="str">
        <f t="shared" si="31"/>
        <v>Passenger HDV</v>
      </c>
      <c r="J560" s="36">
        <v>3</v>
      </c>
    </row>
    <row r="561" spans="1:10" x14ac:dyDescent="0.15">
      <c r="A561" s="36">
        <v>560</v>
      </c>
      <c r="B561" s="36">
        <v>2019</v>
      </c>
      <c r="C561" s="36" t="s">
        <v>955</v>
      </c>
      <c r="D561" s="36" t="str">
        <f t="shared" si="29"/>
        <v>natural gas vehicle</v>
      </c>
      <c r="E561" s="36" t="s">
        <v>969</v>
      </c>
      <c r="F561" s="36" t="s">
        <v>960</v>
      </c>
      <c r="G561" s="36" t="s">
        <v>972</v>
      </c>
      <c r="H561" s="36" t="str">
        <f t="shared" si="30"/>
        <v>道路客车</v>
      </c>
      <c r="I561" s="36" t="str">
        <f t="shared" si="31"/>
        <v>Passenger HDV</v>
      </c>
      <c r="J561" s="36">
        <v>2</v>
      </c>
    </row>
    <row r="562" spans="1:10" x14ac:dyDescent="0.15">
      <c r="A562" s="36">
        <v>561</v>
      </c>
      <c r="B562" s="36">
        <v>2019</v>
      </c>
      <c r="C562" s="36" t="s">
        <v>961</v>
      </c>
      <c r="D562" s="36" t="str">
        <f t="shared" si="29"/>
        <v>plugin hybrid vehicle</v>
      </c>
      <c r="E562" s="36" t="s">
        <v>979</v>
      </c>
      <c r="F562" s="36" t="s">
        <v>960</v>
      </c>
      <c r="G562" s="36" t="s">
        <v>972</v>
      </c>
      <c r="H562" s="36" t="str">
        <f t="shared" si="30"/>
        <v>轻型货车</v>
      </c>
      <c r="I562" s="36" t="str">
        <f t="shared" si="31"/>
        <v>Freight LDV</v>
      </c>
      <c r="J562" s="36">
        <v>16</v>
      </c>
    </row>
    <row r="563" spans="1:10" x14ac:dyDescent="0.15">
      <c r="A563" s="36">
        <v>562</v>
      </c>
      <c r="B563" s="36">
        <v>2020</v>
      </c>
      <c r="C563" s="36" t="s">
        <v>961</v>
      </c>
      <c r="D563" s="36" t="str">
        <f t="shared" si="29"/>
        <v>plugin hybrid vehicle</v>
      </c>
      <c r="E563" s="36" t="s">
        <v>979</v>
      </c>
      <c r="F563" s="36" t="s">
        <v>960</v>
      </c>
      <c r="G563" s="36" t="s">
        <v>972</v>
      </c>
      <c r="H563" s="36" t="str">
        <f t="shared" si="30"/>
        <v>轻型货车</v>
      </c>
      <c r="I563" s="36" t="str">
        <f t="shared" si="31"/>
        <v>Freight LDV</v>
      </c>
      <c r="J563" s="36">
        <v>47</v>
      </c>
    </row>
    <row r="564" spans="1:10" x14ac:dyDescent="0.15">
      <c r="A564" s="36">
        <v>563</v>
      </c>
      <c r="B564" s="36">
        <v>2021</v>
      </c>
      <c r="C564" s="36" t="s">
        <v>961</v>
      </c>
      <c r="D564" s="36" t="str">
        <f t="shared" si="29"/>
        <v>plugin hybrid vehicle</v>
      </c>
      <c r="E564" s="36" t="s">
        <v>979</v>
      </c>
      <c r="F564" s="36" t="s">
        <v>960</v>
      </c>
      <c r="G564" s="36" t="s">
        <v>972</v>
      </c>
      <c r="H564" s="36" t="str">
        <f t="shared" si="30"/>
        <v>轻型货车</v>
      </c>
      <c r="I564" s="36" t="str">
        <f t="shared" si="31"/>
        <v>Freight LDV</v>
      </c>
      <c r="J564" s="36">
        <v>128</v>
      </c>
    </row>
    <row r="565" spans="1:10" x14ac:dyDescent="0.15">
      <c r="A565" s="36">
        <v>564</v>
      </c>
      <c r="B565" s="36">
        <v>2016</v>
      </c>
      <c r="C565" s="36" t="s">
        <v>953</v>
      </c>
      <c r="D565" s="36" t="str">
        <f t="shared" si="29"/>
        <v>diesel vehicle</v>
      </c>
      <c r="E565" s="36" t="s">
        <v>979</v>
      </c>
      <c r="F565" s="36" t="s">
        <v>960</v>
      </c>
      <c r="G565" s="36" t="s">
        <v>972</v>
      </c>
      <c r="H565" s="36" t="str">
        <f t="shared" si="30"/>
        <v>轻型货车</v>
      </c>
      <c r="I565" s="36" t="str">
        <f t="shared" si="31"/>
        <v>Freight LDV</v>
      </c>
      <c r="J565" s="36">
        <v>21019</v>
      </c>
    </row>
    <row r="566" spans="1:10" x14ac:dyDescent="0.15">
      <c r="A566" s="36">
        <v>565</v>
      </c>
      <c r="B566" s="36">
        <v>2017</v>
      </c>
      <c r="C566" s="36" t="s">
        <v>953</v>
      </c>
      <c r="D566" s="36" t="str">
        <f t="shared" si="29"/>
        <v>diesel vehicle</v>
      </c>
      <c r="E566" s="36" t="s">
        <v>979</v>
      </c>
      <c r="F566" s="36" t="s">
        <v>960</v>
      </c>
      <c r="G566" s="36" t="s">
        <v>972</v>
      </c>
      <c r="H566" s="36" t="str">
        <f t="shared" si="30"/>
        <v>轻型货车</v>
      </c>
      <c r="I566" s="36" t="str">
        <f t="shared" si="31"/>
        <v>Freight LDV</v>
      </c>
      <c r="J566" s="36">
        <v>26223</v>
      </c>
    </row>
    <row r="567" spans="1:10" x14ac:dyDescent="0.15">
      <c r="A567" s="36">
        <v>566</v>
      </c>
      <c r="B567" s="36">
        <v>2018</v>
      </c>
      <c r="C567" s="36" t="s">
        <v>953</v>
      </c>
      <c r="D567" s="36" t="str">
        <f t="shared" si="29"/>
        <v>diesel vehicle</v>
      </c>
      <c r="E567" s="36" t="s">
        <v>979</v>
      </c>
      <c r="F567" s="36" t="s">
        <v>960</v>
      </c>
      <c r="G567" s="36" t="s">
        <v>972</v>
      </c>
      <c r="H567" s="36" t="str">
        <f t="shared" si="30"/>
        <v>轻型货车</v>
      </c>
      <c r="I567" s="36" t="str">
        <f t="shared" si="31"/>
        <v>Freight LDV</v>
      </c>
      <c r="J567" s="36">
        <v>27453</v>
      </c>
    </row>
    <row r="568" spans="1:10" x14ac:dyDescent="0.15">
      <c r="A568" s="36">
        <v>567</v>
      </c>
      <c r="B568" s="36">
        <v>2019</v>
      </c>
      <c r="C568" s="36" t="s">
        <v>953</v>
      </c>
      <c r="D568" s="36" t="str">
        <f t="shared" si="29"/>
        <v>diesel vehicle</v>
      </c>
      <c r="E568" s="36" t="s">
        <v>979</v>
      </c>
      <c r="F568" s="36" t="s">
        <v>960</v>
      </c>
      <c r="G568" s="36" t="s">
        <v>972</v>
      </c>
      <c r="H568" s="36" t="str">
        <f t="shared" si="30"/>
        <v>轻型货车</v>
      </c>
      <c r="I568" s="36" t="str">
        <f t="shared" si="31"/>
        <v>Freight LDV</v>
      </c>
      <c r="J568" s="36">
        <v>35385</v>
      </c>
    </row>
    <row r="569" spans="1:10" x14ac:dyDescent="0.15">
      <c r="A569" s="36">
        <v>568</v>
      </c>
      <c r="B569" s="36">
        <v>2020</v>
      </c>
      <c r="C569" s="36" t="s">
        <v>953</v>
      </c>
      <c r="D569" s="36" t="str">
        <f t="shared" si="29"/>
        <v>diesel vehicle</v>
      </c>
      <c r="E569" s="36" t="s">
        <v>979</v>
      </c>
      <c r="F569" s="36" t="s">
        <v>960</v>
      </c>
      <c r="G569" s="36" t="s">
        <v>972</v>
      </c>
      <c r="H569" s="36" t="str">
        <f t="shared" si="30"/>
        <v>轻型货车</v>
      </c>
      <c r="I569" s="36" t="str">
        <f t="shared" si="31"/>
        <v>Freight LDV</v>
      </c>
      <c r="J569" s="36">
        <v>29548</v>
      </c>
    </row>
    <row r="570" spans="1:10" x14ac:dyDescent="0.15">
      <c r="A570" s="36">
        <v>569</v>
      </c>
      <c r="B570" s="36">
        <v>2021</v>
      </c>
      <c r="C570" s="36" t="s">
        <v>953</v>
      </c>
      <c r="D570" s="36" t="str">
        <f t="shared" si="29"/>
        <v>diesel vehicle</v>
      </c>
      <c r="E570" s="36" t="s">
        <v>979</v>
      </c>
      <c r="F570" s="36" t="s">
        <v>960</v>
      </c>
      <c r="G570" s="36" t="s">
        <v>972</v>
      </c>
      <c r="H570" s="36" t="str">
        <f t="shared" si="30"/>
        <v>轻型货车</v>
      </c>
      <c r="I570" s="36" t="str">
        <f t="shared" si="31"/>
        <v>Freight LDV</v>
      </c>
      <c r="J570" s="36">
        <v>33028</v>
      </c>
    </row>
    <row r="571" spans="1:10" x14ac:dyDescent="0.15">
      <c r="A571" s="36">
        <v>570</v>
      </c>
      <c r="B571" s="36">
        <v>2016</v>
      </c>
      <c r="C571" s="36" t="s">
        <v>958</v>
      </c>
      <c r="D571" s="36" t="str">
        <f t="shared" si="29"/>
        <v>battery electric vehicle</v>
      </c>
      <c r="E571" s="36" t="s">
        <v>979</v>
      </c>
      <c r="F571" s="36" t="s">
        <v>960</v>
      </c>
      <c r="G571" s="36" t="s">
        <v>972</v>
      </c>
      <c r="H571" s="36" t="str">
        <f t="shared" si="30"/>
        <v>轻型货车</v>
      </c>
      <c r="I571" s="36" t="str">
        <f t="shared" si="31"/>
        <v>Freight LDV</v>
      </c>
      <c r="J571" s="36">
        <v>657</v>
      </c>
    </row>
    <row r="572" spans="1:10" x14ac:dyDescent="0.15">
      <c r="A572" s="36">
        <v>571</v>
      </c>
      <c r="B572" s="36">
        <v>2017</v>
      </c>
      <c r="C572" s="36" t="s">
        <v>958</v>
      </c>
      <c r="D572" s="36" t="str">
        <f t="shared" si="29"/>
        <v>battery electric vehicle</v>
      </c>
      <c r="E572" s="36" t="s">
        <v>979</v>
      </c>
      <c r="F572" s="36" t="s">
        <v>960</v>
      </c>
      <c r="G572" s="36" t="s">
        <v>972</v>
      </c>
      <c r="H572" s="36" t="str">
        <f t="shared" si="30"/>
        <v>轻型货车</v>
      </c>
      <c r="I572" s="36" t="str">
        <f t="shared" si="31"/>
        <v>Freight LDV</v>
      </c>
      <c r="J572" s="36">
        <v>12290</v>
      </c>
    </row>
    <row r="573" spans="1:10" x14ac:dyDescent="0.15">
      <c r="A573" s="36">
        <v>572</v>
      </c>
      <c r="B573" s="36">
        <v>2018</v>
      </c>
      <c r="C573" s="36" t="s">
        <v>958</v>
      </c>
      <c r="D573" s="36" t="str">
        <f t="shared" si="29"/>
        <v>battery electric vehicle</v>
      </c>
      <c r="E573" s="36" t="s">
        <v>979</v>
      </c>
      <c r="F573" s="36" t="s">
        <v>960</v>
      </c>
      <c r="G573" s="36" t="s">
        <v>972</v>
      </c>
      <c r="H573" s="36" t="str">
        <f t="shared" si="30"/>
        <v>轻型货车</v>
      </c>
      <c r="I573" s="36" t="str">
        <f t="shared" si="31"/>
        <v>Freight LDV</v>
      </c>
      <c r="J573" s="36">
        <v>963</v>
      </c>
    </row>
    <row r="574" spans="1:10" x14ac:dyDescent="0.15">
      <c r="A574" s="36">
        <v>573</v>
      </c>
      <c r="B574" s="36">
        <v>2019</v>
      </c>
      <c r="C574" s="36" t="s">
        <v>958</v>
      </c>
      <c r="D574" s="36" t="str">
        <f t="shared" si="29"/>
        <v>battery electric vehicle</v>
      </c>
      <c r="E574" s="36" t="s">
        <v>979</v>
      </c>
      <c r="F574" s="36" t="s">
        <v>960</v>
      </c>
      <c r="G574" s="36" t="s">
        <v>972</v>
      </c>
      <c r="H574" s="36" t="str">
        <f t="shared" si="30"/>
        <v>轻型货车</v>
      </c>
      <c r="I574" s="36" t="str">
        <f t="shared" si="31"/>
        <v>Freight LDV</v>
      </c>
      <c r="J574" s="36">
        <v>963</v>
      </c>
    </row>
    <row r="575" spans="1:10" x14ac:dyDescent="0.15">
      <c r="A575" s="36">
        <v>574</v>
      </c>
      <c r="B575" s="36">
        <v>2020</v>
      </c>
      <c r="C575" s="36" t="s">
        <v>958</v>
      </c>
      <c r="D575" s="36" t="str">
        <f t="shared" si="29"/>
        <v>battery electric vehicle</v>
      </c>
      <c r="E575" s="36" t="s">
        <v>979</v>
      </c>
      <c r="F575" s="36" t="s">
        <v>960</v>
      </c>
      <c r="G575" s="36" t="s">
        <v>972</v>
      </c>
      <c r="H575" s="36" t="str">
        <f t="shared" si="30"/>
        <v>轻型货车</v>
      </c>
      <c r="I575" s="36" t="str">
        <f t="shared" si="31"/>
        <v>Freight LDV</v>
      </c>
      <c r="J575" s="36">
        <v>613</v>
      </c>
    </row>
    <row r="576" spans="1:10" x14ac:dyDescent="0.15">
      <c r="A576" s="36">
        <v>575</v>
      </c>
      <c r="B576" s="36">
        <v>2021</v>
      </c>
      <c r="C576" s="36" t="s">
        <v>958</v>
      </c>
      <c r="D576" s="36" t="str">
        <f t="shared" si="29"/>
        <v>battery electric vehicle</v>
      </c>
      <c r="E576" s="36" t="s">
        <v>979</v>
      </c>
      <c r="F576" s="36" t="s">
        <v>960</v>
      </c>
      <c r="G576" s="36" t="s">
        <v>972</v>
      </c>
      <c r="H576" s="36" t="str">
        <f t="shared" si="30"/>
        <v>轻型货车</v>
      </c>
      <c r="I576" s="36" t="str">
        <f t="shared" si="31"/>
        <v>Freight LDV</v>
      </c>
      <c r="J576" s="36">
        <v>727</v>
      </c>
    </row>
    <row r="577" spans="1:10" x14ac:dyDescent="0.15">
      <c r="A577" s="36">
        <v>576</v>
      </c>
      <c r="B577" s="36">
        <v>2016</v>
      </c>
      <c r="C577" s="36" t="s">
        <v>952</v>
      </c>
      <c r="D577" s="36" t="str">
        <f t="shared" si="29"/>
        <v>gasoline vehicle</v>
      </c>
      <c r="E577" s="36" t="s">
        <v>979</v>
      </c>
      <c r="F577" s="36" t="s">
        <v>960</v>
      </c>
      <c r="G577" s="36" t="s">
        <v>972</v>
      </c>
      <c r="H577" s="36" t="str">
        <f t="shared" si="30"/>
        <v>轻型货车</v>
      </c>
      <c r="I577" s="36" t="str">
        <f t="shared" si="31"/>
        <v>Freight LDV</v>
      </c>
      <c r="J577" s="36">
        <v>12569</v>
      </c>
    </row>
    <row r="578" spans="1:10" x14ac:dyDescent="0.15">
      <c r="A578" s="36">
        <v>577</v>
      </c>
      <c r="B578" s="36">
        <v>2017</v>
      </c>
      <c r="C578" s="36" t="s">
        <v>952</v>
      </c>
      <c r="D578" s="36" t="str">
        <f t="shared" ref="D578:D641" si="32">VLOOKUP(C578,M$3:N$16,2,FALSE)</f>
        <v>gasoline vehicle</v>
      </c>
      <c r="E578" s="36" t="s">
        <v>979</v>
      </c>
      <c r="F578" s="36" t="s">
        <v>960</v>
      </c>
      <c r="G578" s="36" t="s">
        <v>972</v>
      </c>
      <c r="H578" s="36" t="str">
        <f t="shared" ref="H578:H641" si="33">VLOOKUP(E578&amp;F578&amp;G578,$S$3:$U$68,2,FALSE)</f>
        <v>轻型货车</v>
      </c>
      <c r="I578" s="36" t="str">
        <f t="shared" ref="I578:I641" si="34">VLOOKUP(E578&amp;F578&amp;G578,$S$3:$U$68,3,FALSE)</f>
        <v>Freight LDV</v>
      </c>
      <c r="J578" s="36">
        <v>19171</v>
      </c>
    </row>
    <row r="579" spans="1:10" x14ac:dyDescent="0.15">
      <c r="A579" s="36">
        <v>578</v>
      </c>
      <c r="B579" s="36">
        <v>2018</v>
      </c>
      <c r="C579" s="36" t="s">
        <v>952</v>
      </c>
      <c r="D579" s="36" t="str">
        <f t="shared" si="32"/>
        <v>gasoline vehicle</v>
      </c>
      <c r="E579" s="36" t="s">
        <v>979</v>
      </c>
      <c r="F579" s="36" t="s">
        <v>960</v>
      </c>
      <c r="G579" s="36" t="s">
        <v>972</v>
      </c>
      <c r="H579" s="36" t="str">
        <f t="shared" si="33"/>
        <v>轻型货车</v>
      </c>
      <c r="I579" s="36" t="str">
        <f t="shared" si="34"/>
        <v>Freight LDV</v>
      </c>
      <c r="J579" s="36">
        <v>13738</v>
      </c>
    </row>
    <row r="580" spans="1:10" x14ac:dyDescent="0.15">
      <c r="A580" s="36">
        <v>579</v>
      </c>
      <c r="B580" s="36">
        <v>2019</v>
      </c>
      <c r="C580" s="36" t="s">
        <v>952</v>
      </c>
      <c r="D580" s="36" t="str">
        <f t="shared" si="32"/>
        <v>gasoline vehicle</v>
      </c>
      <c r="E580" s="36" t="s">
        <v>979</v>
      </c>
      <c r="F580" s="36" t="s">
        <v>960</v>
      </c>
      <c r="G580" s="36" t="s">
        <v>972</v>
      </c>
      <c r="H580" s="36" t="str">
        <f t="shared" si="33"/>
        <v>轻型货车</v>
      </c>
      <c r="I580" s="36" t="str">
        <f t="shared" si="34"/>
        <v>Freight LDV</v>
      </c>
      <c r="J580" s="36">
        <v>13035</v>
      </c>
    </row>
    <row r="581" spans="1:10" x14ac:dyDescent="0.15">
      <c r="A581" s="36">
        <v>580</v>
      </c>
      <c r="B581" s="36">
        <v>2020</v>
      </c>
      <c r="C581" s="36" t="s">
        <v>952</v>
      </c>
      <c r="D581" s="36" t="str">
        <f t="shared" si="32"/>
        <v>gasoline vehicle</v>
      </c>
      <c r="E581" s="36" t="s">
        <v>979</v>
      </c>
      <c r="F581" s="36" t="s">
        <v>960</v>
      </c>
      <c r="G581" s="36" t="s">
        <v>972</v>
      </c>
      <c r="H581" s="36" t="str">
        <f t="shared" si="33"/>
        <v>轻型货车</v>
      </c>
      <c r="I581" s="36" t="str">
        <f t="shared" si="34"/>
        <v>Freight LDV</v>
      </c>
      <c r="J581" s="36">
        <v>7411</v>
      </c>
    </row>
    <row r="582" spans="1:10" x14ac:dyDescent="0.15">
      <c r="A582" s="36">
        <v>581</v>
      </c>
      <c r="B582" s="36">
        <v>2021</v>
      </c>
      <c r="C582" s="36" t="s">
        <v>952</v>
      </c>
      <c r="D582" s="36" t="str">
        <f t="shared" si="32"/>
        <v>gasoline vehicle</v>
      </c>
      <c r="E582" s="36" t="s">
        <v>979</v>
      </c>
      <c r="F582" s="36" t="s">
        <v>960</v>
      </c>
      <c r="G582" s="36" t="s">
        <v>972</v>
      </c>
      <c r="H582" s="36" t="str">
        <f t="shared" si="33"/>
        <v>轻型货车</v>
      </c>
      <c r="I582" s="36" t="str">
        <f t="shared" si="34"/>
        <v>Freight LDV</v>
      </c>
      <c r="J582" s="36">
        <v>6224</v>
      </c>
    </row>
    <row r="583" spans="1:10" x14ac:dyDescent="0.15">
      <c r="A583" s="36">
        <v>582</v>
      </c>
      <c r="B583" s="36">
        <v>2016</v>
      </c>
      <c r="C583" s="36" t="s">
        <v>956</v>
      </c>
      <c r="D583" s="36" t="str">
        <f t="shared" si="32"/>
        <v>natural gas vehicle</v>
      </c>
      <c r="E583" s="36" t="s">
        <v>979</v>
      </c>
      <c r="F583" s="36" t="s">
        <v>960</v>
      </c>
      <c r="G583" s="36" t="s">
        <v>972</v>
      </c>
      <c r="H583" s="36" t="str">
        <f t="shared" si="33"/>
        <v>轻型货车</v>
      </c>
      <c r="I583" s="36" t="str">
        <f t="shared" si="34"/>
        <v>Freight LDV</v>
      </c>
      <c r="J583" s="36">
        <v>113</v>
      </c>
    </row>
    <row r="584" spans="1:10" x14ac:dyDescent="0.15">
      <c r="A584" s="36">
        <v>583</v>
      </c>
      <c r="B584" s="36">
        <v>2017</v>
      </c>
      <c r="C584" s="36" t="s">
        <v>956</v>
      </c>
      <c r="D584" s="36" t="str">
        <f t="shared" si="32"/>
        <v>natural gas vehicle</v>
      </c>
      <c r="E584" s="36" t="s">
        <v>979</v>
      </c>
      <c r="F584" s="36" t="s">
        <v>960</v>
      </c>
      <c r="G584" s="36" t="s">
        <v>972</v>
      </c>
      <c r="H584" s="36" t="str">
        <f t="shared" si="33"/>
        <v>轻型货车</v>
      </c>
      <c r="I584" s="36" t="str">
        <f t="shared" si="34"/>
        <v>Freight LDV</v>
      </c>
      <c r="J584" s="36">
        <v>65</v>
      </c>
    </row>
    <row r="585" spans="1:10" x14ac:dyDescent="0.15">
      <c r="A585" s="36">
        <v>584</v>
      </c>
      <c r="B585" s="36">
        <v>2018</v>
      </c>
      <c r="C585" s="36" t="s">
        <v>956</v>
      </c>
      <c r="D585" s="36" t="str">
        <f t="shared" si="32"/>
        <v>natural gas vehicle</v>
      </c>
      <c r="E585" s="36" t="s">
        <v>979</v>
      </c>
      <c r="F585" s="36" t="s">
        <v>960</v>
      </c>
      <c r="G585" s="36" t="s">
        <v>972</v>
      </c>
      <c r="H585" s="36" t="str">
        <f t="shared" si="33"/>
        <v>轻型货车</v>
      </c>
      <c r="I585" s="36" t="str">
        <f t="shared" si="34"/>
        <v>Freight LDV</v>
      </c>
      <c r="J585" s="36">
        <v>20</v>
      </c>
    </row>
    <row r="586" spans="1:10" x14ac:dyDescent="0.15">
      <c r="A586" s="36">
        <v>585</v>
      </c>
      <c r="B586" s="36">
        <v>2019</v>
      </c>
      <c r="C586" s="36" t="s">
        <v>956</v>
      </c>
      <c r="D586" s="36" t="str">
        <f t="shared" si="32"/>
        <v>natural gas vehicle</v>
      </c>
      <c r="E586" s="36" t="s">
        <v>979</v>
      </c>
      <c r="F586" s="36" t="s">
        <v>960</v>
      </c>
      <c r="G586" s="36" t="s">
        <v>972</v>
      </c>
      <c r="H586" s="36" t="str">
        <f t="shared" si="33"/>
        <v>轻型货车</v>
      </c>
      <c r="I586" s="36" t="str">
        <f t="shared" si="34"/>
        <v>Freight LDV</v>
      </c>
      <c r="J586" s="36">
        <v>38</v>
      </c>
    </row>
    <row r="587" spans="1:10" x14ac:dyDescent="0.15">
      <c r="A587" s="36">
        <v>586</v>
      </c>
      <c r="B587" s="36">
        <v>2021</v>
      </c>
      <c r="C587" s="36" t="s">
        <v>956</v>
      </c>
      <c r="D587" s="36" t="str">
        <f t="shared" si="32"/>
        <v>natural gas vehicle</v>
      </c>
      <c r="E587" s="36" t="s">
        <v>979</v>
      </c>
      <c r="F587" s="36" t="s">
        <v>960</v>
      </c>
      <c r="G587" s="36" t="s">
        <v>972</v>
      </c>
      <c r="H587" s="36" t="str">
        <f t="shared" si="33"/>
        <v>轻型货车</v>
      </c>
      <c r="I587" s="36" t="str">
        <f t="shared" si="34"/>
        <v>Freight LDV</v>
      </c>
      <c r="J587" s="36">
        <v>1</v>
      </c>
    </row>
    <row r="588" spans="1:10" x14ac:dyDescent="0.15">
      <c r="A588" s="36">
        <v>587</v>
      </c>
      <c r="B588" s="36">
        <v>2016</v>
      </c>
      <c r="C588" s="36" t="s">
        <v>955</v>
      </c>
      <c r="D588" s="36" t="str">
        <f t="shared" si="32"/>
        <v>natural gas vehicle</v>
      </c>
      <c r="E588" s="36" t="s">
        <v>979</v>
      </c>
      <c r="F588" s="36" t="s">
        <v>960</v>
      </c>
      <c r="G588" s="36" t="s">
        <v>972</v>
      </c>
      <c r="H588" s="36" t="str">
        <f t="shared" si="33"/>
        <v>轻型货车</v>
      </c>
      <c r="I588" s="36" t="str">
        <f t="shared" si="34"/>
        <v>Freight LDV</v>
      </c>
      <c r="J588" s="36">
        <v>27</v>
      </c>
    </row>
    <row r="589" spans="1:10" x14ac:dyDescent="0.15">
      <c r="A589" s="36">
        <v>588</v>
      </c>
      <c r="B589" s="36">
        <v>2017</v>
      </c>
      <c r="C589" s="36" t="s">
        <v>955</v>
      </c>
      <c r="D589" s="36" t="str">
        <f t="shared" si="32"/>
        <v>natural gas vehicle</v>
      </c>
      <c r="E589" s="36" t="s">
        <v>979</v>
      </c>
      <c r="F589" s="36" t="s">
        <v>960</v>
      </c>
      <c r="G589" s="36" t="s">
        <v>972</v>
      </c>
      <c r="H589" s="36" t="str">
        <f t="shared" si="33"/>
        <v>轻型货车</v>
      </c>
      <c r="I589" s="36" t="str">
        <f t="shared" si="34"/>
        <v>Freight LDV</v>
      </c>
      <c r="J589" s="36">
        <v>38</v>
      </c>
    </row>
    <row r="590" spans="1:10" x14ac:dyDescent="0.15">
      <c r="A590" s="36">
        <v>589</v>
      </c>
      <c r="B590" s="36">
        <v>2018</v>
      </c>
      <c r="C590" s="36" t="s">
        <v>955</v>
      </c>
      <c r="D590" s="36" t="str">
        <f t="shared" si="32"/>
        <v>natural gas vehicle</v>
      </c>
      <c r="E590" s="36" t="s">
        <v>979</v>
      </c>
      <c r="F590" s="36" t="s">
        <v>960</v>
      </c>
      <c r="G590" s="36" t="s">
        <v>972</v>
      </c>
      <c r="H590" s="36" t="str">
        <f t="shared" si="33"/>
        <v>轻型货车</v>
      </c>
      <c r="I590" s="36" t="str">
        <f t="shared" si="34"/>
        <v>Freight LDV</v>
      </c>
      <c r="J590" s="36">
        <v>6</v>
      </c>
    </row>
    <row r="591" spans="1:10" x14ac:dyDescent="0.15">
      <c r="A591" s="36">
        <v>590</v>
      </c>
      <c r="B591" s="36">
        <v>2019</v>
      </c>
      <c r="C591" s="36" t="s">
        <v>955</v>
      </c>
      <c r="D591" s="36" t="str">
        <f t="shared" si="32"/>
        <v>natural gas vehicle</v>
      </c>
      <c r="E591" s="36" t="s">
        <v>979</v>
      </c>
      <c r="F591" s="36" t="s">
        <v>960</v>
      </c>
      <c r="G591" s="36" t="s">
        <v>972</v>
      </c>
      <c r="H591" s="36" t="str">
        <f t="shared" si="33"/>
        <v>轻型货车</v>
      </c>
      <c r="I591" s="36" t="str">
        <f t="shared" si="34"/>
        <v>Freight LDV</v>
      </c>
      <c r="J591" s="36">
        <v>4</v>
      </c>
    </row>
    <row r="592" spans="1:10" x14ac:dyDescent="0.15">
      <c r="A592" s="36">
        <v>591</v>
      </c>
      <c r="B592" s="36">
        <v>2020</v>
      </c>
      <c r="C592" s="36" t="s">
        <v>955</v>
      </c>
      <c r="D592" s="36" t="str">
        <f t="shared" si="32"/>
        <v>natural gas vehicle</v>
      </c>
      <c r="E592" s="36" t="s">
        <v>979</v>
      </c>
      <c r="F592" s="36" t="s">
        <v>960</v>
      </c>
      <c r="G592" s="36" t="s">
        <v>972</v>
      </c>
      <c r="H592" s="36" t="str">
        <f t="shared" si="33"/>
        <v>轻型货车</v>
      </c>
      <c r="I592" s="36" t="str">
        <f t="shared" si="34"/>
        <v>Freight LDV</v>
      </c>
      <c r="J592" s="36">
        <v>5</v>
      </c>
    </row>
    <row r="593" spans="1:10" x14ac:dyDescent="0.15">
      <c r="A593" s="36">
        <v>592</v>
      </c>
      <c r="B593" s="36">
        <v>2021</v>
      </c>
      <c r="C593" s="36" t="s">
        <v>955</v>
      </c>
      <c r="D593" s="36" t="str">
        <f t="shared" si="32"/>
        <v>natural gas vehicle</v>
      </c>
      <c r="E593" s="36" t="s">
        <v>979</v>
      </c>
      <c r="F593" s="36" t="s">
        <v>960</v>
      </c>
      <c r="G593" s="36" t="s">
        <v>972</v>
      </c>
      <c r="H593" s="36" t="str">
        <f t="shared" si="33"/>
        <v>轻型货车</v>
      </c>
      <c r="I593" s="36" t="str">
        <f t="shared" si="34"/>
        <v>Freight LDV</v>
      </c>
      <c r="J593" s="36">
        <v>1</v>
      </c>
    </row>
    <row r="594" spans="1:10" x14ac:dyDescent="0.15">
      <c r="A594" s="36">
        <v>593</v>
      </c>
      <c r="B594" s="36">
        <v>2016</v>
      </c>
      <c r="C594" s="36" t="s">
        <v>953</v>
      </c>
      <c r="D594" s="36" t="str">
        <f t="shared" si="32"/>
        <v>diesel vehicle</v>
      </c>
      <c r="E594" s="36" t="s">
        <v>978</v>
      </c>
      <c r="F594" s="36" t="s">
        <v>960</v>
      </c>
      <c r="G594" s="36" t="s">
        <v>972</v>
      </c>
      <c r="H594" s="36" t="str">
        <f t="shared" si="33"/>
        <v>轻型货车</v>
      </c>
      <c r="I594" s="36" t="str">
        <f t="shared" si="34"/>
        <v>Freight LDV</v>
      </c>
      <c r="J594" s="36">
        <v>64</v>
      </c>
    </row>
    <row r="595" spans="1:10" x14ac:dyDescent="0.15">
      <c r="A595" s="36">
        <v>594</v>
      </c>
      <c r="B595" s="36">
        <v>2017</v>
      </c>
      <c r="C595" s="36" t="s">
        <v>953</v>
      </c>
      <c r="D595" s="36" t="str">
        <f t="shared" si="32"/>
        <v>diesel vehicle</v>
      </c>
      <c r="E595" s="36" t="s">
        <v>978</v>
      </c>
      <c r="F595" s="36" t="s">
        <v>960</v>
      </c>
      <c r="G595" s="36" t="s">
        <v>972</v>
      </c>
      <c r="H595" s="36" t="str">
        <f t="shared" si="33"/>
        <v>轻型货车</v>
      </c>
      <c r="I595" s="36" t="str">
        <f t="shared" si="34"/>
        <v>Freight LDV</v>
      </c>
      <c r="J595" s="36">
        <v>19</v>
      </c>
    </row>
    <row r="596" spans="1:10" x14ac:dyDescent="0.15">
      <c r="A596" s="36">
        <v>595</v>
      </c>
      <c r="B596" s="36">
        <v>2017</v>
      </c>
      <c r="C596" s="36" t="s">
        <v>958</v>
      </c>
      <c r="D596" s="36" t="str">
        <f t="shared" si="32"/>
        <v>battery electric vehicle</v>
      </c>
      <c r="E596" s="36" t="s">
        <v>978</v>
      </c>
      <c r="F596" s="36" t="s">
        <v>960</v>
      </c>
      <c r="G596" s="36" t="s">
        <v>972</v>
      </c>
      <c r="H596" s="36" t="str">
        <f t="shared" si="33"/>
        <v>轻型货车</v>
      </c>
      <c r="I596" s="36" t="str">
        <f t="shared" si="34"/>
        <v>Freight LDV</v>
      </c>
      <c r="J596" s="36">
        <v>3</v>
      </c>
    </row>
    <row r="597" spans="1:10" x14ac:dyDescent="0.15">
      <c r="A597" s="36">
        <v>596</v>
      </c>
      <c r="B597" s="36">
        <v>2020</v>
      </c>
      <c r="C597" s="36" t="s">
        <v>958</v>
      </c>
      <c r="D597" s="36" t="str">
        <f t="shared" si="32"/>
        <v>battery electric vehicle</v>
      </c>
      <c r="E597" s="36" t="s">
        <v>978</v>
      </c>
      <c r="F597" s="36" t="s">
        <v>960</v>
      </c>
      <c r="G597" s="36" t="s">
        <v>972</v>
      </c>
      <c r="H597" s="36" t="str">
        <f t="shared" si="33"/>
        <v>轻型货车</v>
      </c>
      <c r="I597" s="36" t="str">
        <f t="shared" si="34"/>
        <v>Freight LDV</v>
      </c>
      <c r="J597" s="36">
        <v>1</v>
      </c>
    </row>
    <row r="598" spans="1:10" x14ac:dyDescent="0.15">
      <c r="A598" s="36">
        <v>597</v>
      </c>
      <c r="B598" s="36">
        <v>2016</v>
      </c>
      <c r="C598" s="36" t="s">
        <v>953</v>
      </c>
      <c r="D598" s="36" t="str">
        <f t="shared" si="32"/>
        <v>diesel vehicle</v>
      </c>
      <c r="E598" s="36" t="s">
        <v>959</v>
      </c>
      <c r="F598" s="36" t="s">
        <v>960</v>
      </c>
      <c r="G598" s="36" t="s">
        <v>972</v>
      </c>
      <c r="H598" s="36" t="str">
        <f t="shared" si="33"/>
        <v>出租车</v>
      </c>
      <c r="I598" s="36" t="str">
        <f t="shared" si="34"/>
        <v>Passenger LDV</v>
      </c>
      <c r="J598" s="36">
        <v>7</v>
      </c>
    </row>
    <row r="599" spans="1:10" x14ac:dyDescent="0.15">
      <c r="A599" s="36">
        <v>598</v>
      </c>
      <c r="B599" s="36">
        <v>2017</v>
      </c>
      <c r="C599" s="36" t="s">
        <v>953</v>
      </c>
      <c r="D599" s="36" t="str">
        <f t="shared" si="32"/>
        <v>diesel vehicle</v>
      </c>
      <c r="E599" s="36" t="s">
        <v>959</v>
      </c>
      <c r="F599" s="36" t="s">
        <v>960</v>
      </c>
      <c r="G599" s="36" t="s">
        <v>972</v>
      </c>
      <c r="H599" s="36" t="str">
        <f t="shared" si="33"/>
        <v>出租车</v>
      </c>
      <c r="I599" s="36" t="str">
        <f t="shared" si="34"/>
        <v>Passenger LDV</v>
      </c>
      <c r="J599" s="36">
        <v>2</v>
      </c>
    </row>
    <row r="600" spans="1:10" x14ac:dyDescent="0.15">
      <c r="A600" s="36">
        <v>599</v>
      </c>
      <c r="B600" s="36">
        <v>2016</v>
      </c>
      <c r="C600" s="36" t="s">
        <v>953</v>
      </c>
      <c r="D600" s="36" t="str">
        <f t="shared" si="32"/>
        <v>diesel vehicle</v>
      </c>
      <c r="E600" s="36" t="s">
        <v>954</v>
      </c>
      <c r="F600" s="36" t="s">
        <v>960</v>
      </c>
      <c r="G600" s="36" t="s">
        <v>972</v>
      </c>
      <c r="H600" s="36" t="str">
        <f t="shared" si="33"/>
        <v>出租车</v>
      </c>
      <c r="I600" s="36" t="str">
        <f t="shared" si="34"/>
        <v>Passenger LDV</v>
      </c>
      <c r="J600" s="36">
        <v>11732</v>
      </c>
    </row>
    <row r="601" spans="1:10" x14ac:dyDescent="0.15">
      <c r="A601" s="36">
        <v>600</v>
      </c>
      <c r="B601" s="36">
        <v>2017</v>
      </c>
      <c r="C601" s="36" t="s">
        <v>953</v>
      </c>
      <c r="D601" s="36" t="str">
        <f t="shared" si="32"/>
        <v>diesel vehicle</v>
      </c>
      <c r="E601" s="36" t="s">
        <v>954</v>
      </c>
      <c r="F601" s="36" t="s">
        <v>960</v>
      </c>
      <c r="G601" s="36" t="s">
        <v>972</v>
      </c>
      <c r="H601" s="36" t="str">
        <f t="shared" si="33"/>
        <v>出租车</v>
      </c>
      <c r="I601" s="36" t="str">
        <f t="shared" si="34"/>
        <v>Passenger LDV</v>
      </c>
      <c r="J601" s="36">
        <v>9427</v>
      </c>
    </row>
    <row r="602" spans="1:10" x14ac:dyDescent="0.15">
      <c r="A602" s="36">
        <v>601</v>
      </c>
      <c r="B602" s="36">
        <v>2018</v>
      </c>
      <c r="C602" s="36" t="s">
        <v>953</v>
      </c>
      <c r="D602" s="36" t="str">
        <f t="shared" si="32"/>
        <v>diesel vehicle</v>
      </c>
      <c r="E602" s="36" t="s">
        <v>954</v>
      </c>
      <c r="F602" s="36" t="s">
        <v>960</v>
      </c>
      <c r="G602" s="36" t="s">
        <v>972</v>
      </c>
      <c r="H602" s="36" t="str">
        <f t="shared" si="33"/>
        <v>出租车</v>
      </c>
      <c r="I602" s="36" t="str">
        <f t="shared" si="34"/>
        <v>Passenger LDV</v>
      </c>
      <c r="J602" s="36">
        <v>10374</v>
      </c>
    </row>
    <row r="603" spans="1:10" x14ac:dyDescent="0.15">
      <c r="A603" s="36">
        <v>602</v>
      </c>
      <c r="B603" s="36">
        <v>2019</v>
      </c>
      <c r="C603" s="36" t="s">
        <v>953</v>
      </c>
      <c r="D603" s="36" t="str">
        <f t="shared" si="32"/>
        <v>diesel vehicle</v>
      </c>
      <c r="E603" s="36" t="s">
        <v>954</v>
      </c>
      <c r="F603" s="36" t="s">
        <v>960</v>
      </c>
      <c r="G603" s="36" t="s">
        <v>972</v>
      </c>
      <c r="H603" s="36" t="str">
        <f t="shared" si="33"/>
        <v>出租车</v>
      </c>
      <c r="I603" s="36" t="str">
        <f t="shared" si="34"/>
        <v>Passenger LDV</v>
      </c>
      <c r="J603" s="36">
        <v>7494</v>
      </c>
    </row>
    <row r="604" spans="1:10" x14ac:dyDescent="0.15">
      <c r="A604" s="36">
        <v>603</v>
      </c>
      <c r="B604" s="36">
        <v>2020</v>
      </c>
      <c r="C604" s="36" t="s">
        <v>953</v>
      </c>
      <c r="D604" s="36" t="str">
        <f t="shared" si="32"/>
        <v>diesel vehicle</v>
      </c>
      <c r="E604" s="36" t="s">
        <v>954</v>
      </c>
      <c r="F604" s="36" t="s">
        <v>960</v>
      </c>
      <c r="G604" s="36" t="s">
        <v>972</v>
      </c>
      <c r="H604" s="36" t="str">
        <f t="shared" si="33"/>
        <v>出租车</v>
      </c>
      <c r="I604" s="36" t="str">
        <f t="shared" si="34"/>
        <v>Passenger LDV</v>
      </c>
      <c r="J604" s="36">
        <v>6595</v>
      </c>
    </row>
    <row r="605" spans="1:10" x14ac:dyDescent="0.15">
      <c r="A605" s="36">
        <v>604</v>
      </c>
      <c r="B605" s="36">
        <v>2021</v>
      </c>
      <c r="C605" s="36" t="s">
        <v>953</v>
      </c>
      <c r="D605" s="36" t="str">
        <f t="shared" si="32"/>
        <v>diesel vehicle</v>
      </c>
      <c r="E605" s="36" t="s">
        <v>954</v>
      </c>
      <c r="F605" s="36" t="s">
        <v>960</v>
      </c>
      <c r="G605" s="36" t="s">
        <v>972</v>
      </c>
      <c r="H605" s="36" t="str">
        <f t="shared" si="33"/>
        <v>出租车</v>
      </c>
      <c r="I605" s="36" t="str">
        <f t="shared" si="34"/>
        <v>Passenger LDV</v>
      </c>
      <c r="J605" s="36">
        <v>4512</v>
      </c>
    </row>
    <row r="606" spans="1:10" x14ac:dyDescent="0.15">
      <c r="A606" s="36">
        <v>605</v>
      </c>
      <c r="B606" s="36">
        <v>2016</v>
      </c>
      <c r="C606" s="36" t="s">
        <v>958</v>
      </c>
      <c r="D606" s="36" t="str">
        <f t="shared" si="32"/>
        <v>battery electric vehicle</v>
      </c>
      <c r="E606" s="36" t="s">
        <v>954</v>
      </c>
      <c r="F606" s="36" t="s">
        <v>960</v>
      </c>
      <c r="G606" s="36" t="s">
        <v>972</v>
      </c>
      <c r="H606" s="36" t="str">
        <f t="shared" si="33"/>
        <v>出租车</v>
      </c>
      <c r="I606" s="36" t="str">
        <f t="shared" si="34"/>
        <v>Passenger LDV</v>
      </c>
      <c r="J606" s="36">
        <v>28</v>
      </c>
    </row>
    <row r="607" spans="1:10" x14ac:dyDescent="0.15">
      <c r="A607" s="36">
        <v>606</v>
      </c>
      <c r="B607" s="36">
        <v>2017</v>
      </c>
      <c r="C607" s="36" t="s">
        <v>958</v>
      </c>
      <c r="D607" s="36" t="str">
        <f t="shared" si="32"/>
        <v>battery electric vehicle</v>
      </c>
      <c r="E607" s="36" t="s">
        <v>954</v>
      </c>
      <c r="F607" s="36" t="s">
        <v>960</v>
      </c>
      <c r="G607" s="36" t="s">
        <v>972</v>
      </c>
      <c r="H607" s="36" t="str">
        <f t="shared" si="33"/>
        <v>出租车</v>
      </c>
      <c r="I607" s="36" t="str">
        <f t="shared" si="34"/>
        <v>Passenger LDV</v>
      </c>
      <c r="J607" s="36">
        <v>60</v>
      </c>
    </row>
    <row r="608" spans="1:10" x14ac:dyDescent="0.15">
      <c r="A608" s="36">
        <v>607</v>
      </c>
      <c r="B608" s="36">
        <v>2018</v>
      </c>
      <c r="C608" s="36" t="s">
        <v>958</v>
      </c>
      <c r="D608" s="36" t="str">
        <f t="shared" si="32"/>
        <v>battery electric vehicle</v>
      </c>
      <c r="E608" s="36" t="s">
        <v>954</v>
      </c>
      <c r="F608" s="36" t="s">
        <v>960</v>
      </c>
      <c r="G608" s="36" t="s">
        <v>972</v>
      </c>
      <c r="H608" s="36" t="str">
        <f t="shared" si="33"/>
        <v>出租车</v>
      </c>
      <c r="I608" s="36" t="str">
        <f t="shared" si="34"/>
        <v>Passenger LDV</v>
      </c>
      <c r="J608" s="36">
        <v>49</v>
      </c>
    </row>
    <row r="609" spans="1:10" x14ac:dyDescent="0.15">
      <c r="A609" s="36">
        <v>608</v>
      </c>
      <c r="B609" s="36">
        <v>2019</v>
      </c>
      <c r="C609" s="36" t="s">
        <v>958</v>
      </c>
      <c r="D609" s="36" t="str">
        <f t="shared" si="32"/>
        <v>battery electric vehicle</v>
      </c>
      <c r="E609" s="36" t="s">
        <v>954</v>
      </c>
      <c r="F609" s="36" t="s">
        <v>960</v>
      </c>
      <c r="G609" s="36" t="s">
        <v>972</v>
      </c>
      <c r="H609" s="36" t="str">
        <f t="shared" si="33"/>
        <v>出租车</v>
      </c>
      <c r="I609" s="36" t="str">
        <f t="shared" si="34"/>
        <v>Passenger LDV</v>
      </c>
      <c r="J609" s="36">
        <v>35</v>
      </c>
    </row>
    <row r="610" spans="1:10" x14ac:dyDescent="0.15">
      <c r="A610" s="36">
        <v>609</v>
      </c>
      <c r="B610" s="36">
        <v>2020</v>
      </c>
      <c r="C610" s="36" t="s">
        <v>958</v>
      </c>
      <c r="D610" s="36" t="str">
        <f t="shared" si="32"/>
        <v>battery electric vehicle</v>
      </c>
      <c r="E610" s="36" t="s">
        <v>954</v>
      </c>
      <c r="F610" s="36" t="s">
        <v>960</v>
      </c>
      <c r="G610" s="36" t="s">
        <v>972</v>
      </c>
      <c r="H610" s="36" t="str">
        <f t="shared" si="33"/>
        <v>出租车</v>
      </c>
      <c r="I610" s="36" t="str">
        <f t="shared" si="34"/>
        <v>Passenger LDV</v>
      </c>
      <c r="J610" s="36">
        <v>167</v>
      </c>
    </row>
    <row r="611" spans="1:10" x14ac:dyDescent="0.15">
      <c r="A611" s="36">
        <v>610</v>
      </c>
      <c r="B611" s="36">
        <v>2021</v>
      </c>
      <c r="C611" s="36" t="s">
        <v>958</v>
      </c>
      <c r="D611" s="36" t="str">
        <f t="shared" si="32"/>
        <v>battery electric vehicle</v>
      </c>
      <c r="E611" s="36" t="s">
        <v>954</v>
      </c>
      <c r="F611" s="36" t="s">
        <v>960</v>
      </c>
      <c r="G611" s="36" t="s">
        <v>972</v>
      </c>
      <c r="H611" s="36" t="str">
        <f t="shared" si="33"/>
        <v>出租车</v>
      </c>
      <c r="I611" s="36" t="str">
        <f t="shared" si="34"/>
        <v>Passenger LDV</v>
      </c>
      <c r="J611" s="36">
        <v>143</v>
      </c>
    </row>
    <row r="612" spans="1:10" x14ac:dyDescent="0.15">
      <c r="A612" s="36">
        <v>611</v>
      </c>
      <c r="B612" s="36">
        <v>2016</v>
      </c>
      <c r="C612" s="36" t="s">
        <v>952</v>
      </c>
      <c r="D612" s="36" t="str">
        <f t="shared" si="32"/>
        <v>gasoline vehicle</v>
      </c>
      <c r="E612" s="36" t="s">
        <v>954</v>
      </c>
      <c r="F612" s="36" t="s">
        <v>960</v>
      </c>
      <c r="G612" s="36" t="s">
        <v>972</v>
      </c>
      <c r="H612" s="36" t="str">
        <f t="shared" si="33"/>
        <v>出租车</v>
      </c>
      <c r="I612" s="36" t="str">
        <f t="shared" si="34"/>
        <v>Passenger LDV</v>
      </c>
      <c r="J612" s="36">
        <v>7690</v>
      </c>
    </row>
    <row r="613" spans="1:10" x14ac:dyDescent="0.15">
      <c r="A613" s="36">
        <v>612</v>
      </c>
      <c r="B613" s="36">
        <v>2017</v>
      </c>
      <c r="C613" s="36" t="s">
        <v>952</v>
      </c>
      <c r="D613" s="36" t="str">
        <f t="shared" si="32"/>
        <v>gasoline vehicle</v>
      </c>
      <c r="E613" s="36" t="s">
        <v>954</v>
      </c>
      <c r="F613" s="36" t="s">
        <v>960</v>
      </c>
      <c r="G613" s="36" t="s">
        <v>972</v>
      </c>
      <c r="H613" s="36" t="str">
        <f t="shared" si="33"/>
        <v>出租车</v>
      </c>
      <c r="I613" s="36" t="str">
        <f t="shared" si="34"/>
        <v>Passenger LDV</v>
      </c>
      <c r="J613" s="36">
        <v>7191</v>
      </c>
    </row>
    <row r="614" spans="1:10" x14ac:dyDescent="0.15">
      <c r="A614" s="36">
        <v>613</v>
      </c>
      <c r="B614" s="36">
        <v>2018</v>
      </c>
      <c r="C614" s="36" t="s">
        <v>952</v>
      </c>
      <c r="D614" s="36" t="str">
        <f t="shared" si="32"/>
        <v>gasoline vehicle</v>
      </c>
      <c r="E614" s="36" t="s">
        <v>954</v>
      </c>
      <c r="F614" s="36" t="s">
        <v>960</v>
      </c>
      <c r="G614" s="36" t="s">
        <v>972</v>
      </c>
      <c r="H614" s="36" t="str">
        <f t="shared" si="33"/>
        <v>出租车</v>
      </c>
      <c r="I614" s="36" t="str">
        <f t="shared" si="34"/>
        <v>Passenger LDV</v>
      </c>
      <c r="J614" s="36">
        <v>5253</v>
      </c>
    </row>
    <row r="615" spans="1:10" x14ac:dyDescent="0.15">
      <c r="A615" s="36">
        <v>614</v>
      </c>
      <c r="B615" s="36">
        <v>2019</v>
      </c>
      <c r="C615" s="36" t="s">
        <v>952</v>
      </c>
      <c r="D615" s="36" t="str">
        <f t="shared" si="32"/>
        <v>gasoline vehicle</v>
      </c>
      <c r="E615" s="36" t="s">
        <v>954</v>
      </c>
      <c r="F615" s="36" t="s">
        <v>960</v>
      </c>
      <c r="G615" s="36" t="s">
        <v>972</v>
      </c>
      <c r="H615" s="36" t="str">
        <f t="shared" si="33"/>
        <v>出租车</v>
      </c>
      <c r="I615" s="36" t="str">
        <f t="shared" si="34"/>
        <v>Passenger LDV</v>
      </c>
      <c r="J615" s="36">
        <v>4099</v>
      </c>
    </row>
    <row r="616" spans="1:10" x14ac:dyDescent="0.15">
      <c r="A616" s="36">
        <v>615</v>
      </c>
      <c r="B616" s="36">
        <v>2020</v>
      </c>
      <c r="C616" s="36" t="s">
        <v>952</v>
      </c>
      <c r="D616" s="36" t="str">
        <f t="shared" si="32"/>
        <v>gasoline vehicle</v>
      </c>
      <c r="E616" s="36" t="s">
        <v>954</v>
      </c>
      <c r="F616" s="36" t="s">
        <v>960</v>
      </c>
      <c r="G616" s="36" t="s">
        <v>972</v>
      </c>
      <c r="H616" s="36" t="str">
        <f t="shared" si="33"/>
        <v>出租车</v>
      </c>
      <c r="I616" s="36" t="str">
        <f t="shared" si="34"/>
        <v>Passenger LDV</v>
      </c>
      <c r="J616" s="36">
        <v>2696</v>
      </c>
    </row>
    <row r="617" spans="1:10" x14ac:dyDescent="0.15">
      <c r="A617" s="36">
        <v>616</v>
      </c>
      <c r="B617" s="36">
        <v>2021</v>
      </c>
      <c r="C617" s="36" t="s">
        <v>952</v>
      </c>
      <c r="D617" s="36" t="str">
        <f t="shared" si="32"/>
        <v>gasoline vehicle</v>
      </c>
      <c r="E617" s="36" t="s">
        <v>954</v>
      </c>
      <c r="F617" s="36" t="s">
        <v>960</v>
      </c>
      <c r="G617" s="36" t="s">
        <v>972</v>
      </c>
      <c r="H617" s="36" t="str">
        <f t="shared" si="33"/>
        <v>出租车</v>
      </c>
      <c r="I617" s="36" t="str">
        <f t="shared" si="34"/>
        <v>Passenger LDV</v>
      </c>
      <c r="J617" s="36">
        <v>3776</v>
      </c>
    </row>
    <row r="618" spans="1:10" x14ac:dyDescent="0.15">
      <c r="A618" s="36">
        <v>617</v>
      </c>
      <c r="B618" s="36">
        <v>2017</v>
      </c>
      <c r="C618" s="36" t="s">
        <v>961</v>
      </c>
      <c r="D618" s="36" t="str">
        <f t="shared" si="32"/>
        <v>plugin hybrid vehicle</v>
      </c>
      <c r="E618" s="36" t="s">
        <v>976</v>
      </c>
      <c r="F618" s="36" t="s">
        <v>960</v>
      </c>
      <c r="G618" s="36" t="s">
        <v>972</v>
      </c>
      <c r="H618" s="36" t="str">
        <f t="shared" si="33"/>
        <v>中重型货车</v>
      </c>
      <c r="I618" s="36" t="str">
        <f t="shared" si="34"/>
        <v>Freight HDV</v>
      </c>
      <c r="J618" s="36">
        <v>200</v>
      </c>
    </row>
    <row r="619" spans="1:10" x14ac:dyDescent="0.15">
      <c r="A619" s="36">
        <v>618</v>
      </c>
      <c r="B619" s="36">
        <v>2020</v>
      </c>
      <c r="C619" s="36" t="s">
        <v>961</v>
      </c>
      <c r="D619" s="36" t="str">
        <f t="shared" si="32"/>
        <v>plugin hybrid vehicle</v>
      </c>
      <c r="E619" s="36" t="s">
        <v>976</v>
      </c>
      <c r="F619" s="36" t="s">
        <v>960</v>
      </c>
      <c r="G619" s="36" t="s">
        <v>972</v>
      </c>
      <c r="H619" s="36" t="str">
        <f t="shared" si="33"/>
        <v>中重型货车</v>
      </c>
      <c r="I619" s="36" t="str">
        <f t="shared" si="34"/>
        <v>Freight HDV</v>
      </c>
      <c r="J619" s="36">
        <v>3</v>
      </c>
    </row>
    <row r="620" spans="1:10" x14ac:dyDescent="0.15">
      <c r="A620" s="36">
        <v>619</v>
      </c>
      <c r="B620" s="36">
        <v>2021</v>
      </c>
      <c r="C620" s="36" t="s">
        <v>961</v>
      </c>
      <c r="D620" s="36" t="str">
        <f t="shared" si="32"/>
        <v>plugin hybrid vehicle</v>
      </c>
      <c r="E620" s="36" t="s">
        <v>976</v>
      </c>
      <c r="F620" s="36" t="s">
        <v>960</v>
      </c>
      <c r="G620" s="36" t="s">
        <v>972</v>
      </c>
      <c r="H620" s="36" t="str">
        <f t="shared" si="33"/>
        <v>中重型货车</v>
      </c>
      <c r="I620" s="36" t="str">
        <f t="shared" si="34"/>
        <v>Freight HDV</v>
      </c>
      <c r="J620" s="36">
        <v>6</v>
      </c>
    </row>
    <row r="621" spans="1:10" x14ac:dyDescent="0.15">
      <c r="A621" s="36">
        <v>620</v>
      </c>
      <c r="B621" s="36">
        <v>2016</v>
      </c>
      <c r="C621" s="36" t="s">
        <v>953</v>
      </c>
      <c r="D621" s="36" t="str">
        <f t="shared" si="32"/>
        <v>diesel vehicle</v>
      </c>
      <c r="E621" s="36" t="s">
        <v>976</v>
      </c>
      <c r="F621" s="36" t="s">
        <v>960</v>
      </c>
      <c r="G621" s="36" t="s">
        <v>972</v>
      </c>
      <c r="H621" s="36" t="str">
        <f t="shared" si="33"/>
        <v>中重型货车</v>
      </c>
      <c r="I621" s="36" t="str">
        <f t="shared" si="34"/>
        <v>Freight HDV</v>
      </c>
      <c r="J621" s="36">
        <v>32490</v>
      </c>
    </row>
    <row r="622" spans="1:10" x14ac:dyDescent="0.15">
      <c r="A622" s="36">
        <v>621</v>
      </c>
      <c r="B622" s="36">
        <v>2017</v>
      </c>
      <c r="C622" s="36" t="s">
        <v>953</v>
      </c>
      <c r="D622" s="36" t="str">
        <f t="shared" si="32"/>
        <v>diesel vehicle</v>
      </c>
      <c r="E622" s="36" t="s">
        <v>976</v>
      </c>
      <c r="F622" s="36" t="s">
        <v>960</v>
      </c>
      <c r="G622" s="36" t="s">
        <v>972</v>
      </c>
      <c r="H622" s="36" t="str">
        <f t="shared" si="33"/>
        <v>中重型货车</v>
      </c>
      <c r="I622" s="36" t="str">
        <f t="shared" si="34"/>
        <v>Freight HDV</v>
      </c>
      <c r="J622" s="36">
        <v>29338</v>
      </c>
    </row>
    <row r="623" spans="1:10" x14ac:dyDescent="0.15">
      <c r="A623" s="36">
        <v>622</v>
      </c>
      <c r="B623" s="36">
        <v>2018</v>
      </c>
      <c r="C623" s="36" t="s">
        <v>953</v>
      </c>
      <c r="D623" s="36" t="str">
        <f t="shared" si="32"/>
        <v>diesel vehicle</v>
      </c>
      <c r="E623" s="36" t="s">
        <v>976</v>
      </c>
      <c r="F623" s="36" t="s">
        <v>960</v>
      </c>
      <c r="G623" s="36" t="s">
        <v>972</v>
      </c>
      <c r="H623" s="36" t="str">
        <f t="shared" si="33"/>
        <v>中重型货车</v>
      </c>
      <c r="I623" s="36" t="str">
        <f t="shared" si="34"/>
        <v>Freight HDV</v>
      </c>
      <c r="J623" s="36">
        <v>27092</v>
      </c>
    </row>
    <row r="624" spans="1:10" x14ac:dyDescent="0.15">
      <c r="A624" s="36">
        <v>623</v>
      </c>
      <c r="B624" s="36">
        <v>2019</v>
      </c>
      <c r="C624" s="36" t="s">
        <v>953</v>
      </c>
      <c r="D624" s="36" t="str">
        <f t="shared" si="32"/>
        <v>diesel vehicle</v>
      </c>
      <c r="E624" s="36" t="s">
        <v>976</v>
      </c>
      <c r="F624" s="36" t="s">
        <v>960</v>
      </c>
      <c r="G624" s="36" t="s">
        <v>972</v>
      </c>
      <c r="H624" s="36" t="str">
        <f t="shared" si="33"/>
        <v>中重型货车</v>
      </c>
      <c r="I624" s="36" t="str">
        <f t="shared" si="34"/>
        <v>Freight HDV</v>
      </c>
      <c r="J624" s="36">
        <v>27024</v>
      </c>
    </row>
    <row r="625" spans="1:10" x14ac:dyDescent="0.15">
      <c r="A625" s="36">
        <v>624</v>
      </c>
      <c r="B625" s="36">
        <v>2020</v>
      </c>
      <c r="C625" s="36" t="s">
        <v>953</v>
      </c>
      <c r="D625" s="36" t="str">
        <f t="shared" si="32"/>
        <v>diesel vehicle</v>
      </c>
      <c r="E625" s="36" t="s">
        <v>976</v>
      </c>
      <c r="F625" s="36" t="s">
        <v>960</v>
      </c>
      <c r="G625" s="36" t="s">
        <v>972</v>
      </c>
      <c r="H625" s="36" t="str">
        <f t="shared" si="33"/>
        <v>中重型货车</v>
      </c>
      <c r="I625" s="36" t="str">
        <f t="shared" si="34"/>
        <v>Freight HDV</v>
      </c>
      <c r="J625" s="36">
        <v>18610</v>
      </c>
    </row>
    <row r="626" spans="1:10" x14ac:dyDescent="0.15">
      <c r="A626" s="36">
        <v>625</v>
      </c>
      <c r="B626" s="36">
        <v>2021</v>
      </c>
      <c r="C626" s="36" t="s">
        <v>953</v>
      </c>
      <c r="D626" s="36" t="str">
        <f t="shared" si="32"/>
        <v>diesel vehicle</v>
      </c>
      <c r="E626" s="36" t="s">
        <v>976</v>
      </c>
      <c r="F626" s="36" t="s">
        <v>960</v>
      </c>
      <c r="G626" s="36" t="s">
        <v>972</v>
      </c>
      <c r="H626" s="36" t="str">
        <f t="shared" si="33"/>
        <v>中重型货车</v>
      </c>
      <c r="I626" s="36" t="str">
        <f t="shared" si="34"/>
        <v>Freight HDV</v>
      </c>
      <c r="J626" s="36">
        <v>15686</v>
      </c>
    </row>
    <row r="627" spans="1:10" x14ac:dyDescent="0.15">
      <c r="A627" s="36">
        <v>626</v>
      </c>
      <c r="B627" s="36">
        <v>2016</v>
      </c>
      <c r="C627" s="36" t="s">
        <v>958</v>
      </c>
      <c r="D627" s="36" t="str">
        <f t="shared" si="32"/>
        <v>battery electric vehicle</v>
      </c>
      <c r="E627" s="36" t="s">
        <v>976</v>
      </c>
      <c r="F627" s="36" t="s">
        <v>960</v>
      </c>
      <c r="G627" s="36" t="s">
        <v>972</v>
      </c>
      <c r="H627" s="36" t="str">
        <f t="shared" si="33"/>
        <v>中重型货车</v>
      </c>
      <c r="I627" s="36" t="str">
        <f t="shared" si="34"/>
        <v>Freight HDV</v>
      </c>
      <c r="J627" s="36">
        <v>319</v>
      </c>
    </row>
    <row r="628" spans="1:10" x14ac:dyDescent="0.15">
      <c r="A628" s="36">
        <v>627</v>
      </c>
      <c r="B628" s="36">
        <v>2017</v>
      </c>
      <c r="C628" s="36" t="s">
        <v>958</v>
      </c>
      <c r="D628" s="36" t="str">
        <f t="shared" si="32"/>
        <v>battery electric vehicle</v>
      </c>
      <c r="E628" s="36" t="s">
        <v>976</v>
      </c>
      <c r="F628" s="36" t="s">
        <v>960</v>
      </c>
      <c r="G628" s="36" t="s">
        <v>972</v>
      </c>
      <c r="H628" s="36" t="str">
        <f t="shared" si="33"/>
        <v>中重型货车</v>
      </c>
      <c r="I628" s="36" t="str">
        <f t="shared" si="34"/>
        <v>Freight HDV</v>
      </c>
      <c r="J628" s="36">
        <v>4720</v>
      </c>
    </row>
    <row r="629" spans="1:10" x14ac:dyDescent="0.15">
      <c r="A629" s="36">
        <v>628</v>
      </c>
      <c r="B629" s="36">
        <v>2018</v>
      </c>
      <c r="C629" s="36" t="s">
        <v>958</v>
      </c>
      <c r="D629" s="36" t="str">
        <f t="shared" si="32"/>
        <v>battery electric vehicle</v>
      </c>
      <c r="E629" s="36" t="s">
        <v>976</v>
      </c>
      <c r="F629" s="36" t="s">
        <v>960</v>
      </c>
      <c r="G629" s="36" t="s">
        <v>972</v>
      </c>
      <c r="H629" s="36" t="str">
        <f t="shared" si="33"/>
        <v>中重型货车</v>
      </c>
      <c r="I629" s="36" t="str">
        <f t="shared" si="34"/>
        <v>Freight HDV</v>
      </c>
      <c r="J629" s="36">
        <v>741</v>
      </c>
    </row>
    <row r="630" spans="1:10" x14ac:dyDescent="0.15">
      <c r="A630" s="36">
        <v>629</v>
      </c>
      <c r="B630" s="36">
        <v>2019</v>
      </c>
      <c r="C630" s="36" t="s">
        <v>958</v>
      </c>
      <c r="D630" s="36" t="str">
        <f t="shared" si="32"/>
        <v>battery electric vehicle</v>
      </c>
      <c r="E630" s="36" t="s">
        <v>976</v>
      </c>
      <c r="F630" s="36" t="s">
        <v>960</v>
      </c>
      <c r="G630" s="36" t="s">
        <v>972</v>
      </c>
      <c r="H630" s="36" t="str">
        <f t="shared" si="33"/>
        <v>中重型货车</v>
      </c>
      <c r="I630" s="36" t="str">
        <f t="shared" si="34"/>
        <v>Freight HDV</v>
      </c>
      <c r="J630" s="36">
        <v>639</v>
      </c>
    </row>
    <row r="631" spans="1:10" x14ac:dyDescent="0.15">
      <c r="A631" s="36">
        <v>630</v>
      </c>
      <c r="B631" s="36">
        <v>2020</v>
      </c>
      <c r="C631" s="36" t="s">
        <v>958</v>
      </c>
      <c r="D631" s="36" t="str">
        <f t="shared" si="32"/>
        <v>battery electric vehicle</v>
      </c>
      <c r="E631" s="36" t="s">
        <v>976</v>
      </c>
      <c r="F631" s="36" t="s">
        <v>960</v>
      </c>
      <c r="G631" s="36" t="s">
        <v>972</v>
      </c>
      <c r="H631" s="36" t="str">
        <f t="shared" si="33"/>
        <v>中重型货车</v>
      </c>
      <c r="I631" s="36" t="str">
        <f t="shared" si="34"/>
        <v>Freight HDV</v>
      </c>
      <c r="J631" s="36">
        <v>705</v>
      </c>
    </row>
    <row r="632" spans="1:10" x14ac:dyDescent="0.15">
      <c r="A632" s="36">
        <v>631</v>
      </c>
      <c r="B632" s="36">
        <v>2021</v>
      </c>
      <c r="C632" s="36" t="s">
        <v>958</v>
      </c>
      <c r="D632" s="36" t="str">
        <f t="shared" si="32"/>
        <v>battery electric vehicle</v>
      </c>
      <c r="E632" s="36" t="s">
        <v>976</v>
      </c>
      <c r="F632" s="36" t="s">
        <v>960</v>
      </c>
      <c r="G632" s="36" t="s">
        <v>972</v>
      </c>
      <c r="H632" s="36" t="str">
        <f t="shared" si="33"/>
        <v>中重型货车</v>
      </c>
      <c r="I632" s="36" t="str">
        <f t="shared" si="34"/>
        <v>Freight HDV</v>
      </c>
      <c r="J632" s="36">
        <v>270</v>
      </c>
    </row>
    <row r="633" spans="1:10" x14ac:dyDescent="0.15">
      <c r="A633" s="36">
        <v>632</v>
      </c>
      <c r="B633" s="36">
        <v>2017</v>
      </c>
      <c r="C633" s="36" t="s">
        <v>957</v>
      </c>
      <c r="D633" s="36" t="str">
        <f t="shared" si="32"/>
        <v>hybrid fuel vehicle</v>
      </c>
      <c r="E633" s="36" t="s">
        <v>976</v>
      </c>
      <c r="F633" s="36" t="s">
        <v>960</v>
      </c>
      <c r="G633" s="36" t="s">
        <v>972</v>
      </c>
      <c r="H633" s="36" t="str">
        <f t="shared" si="33"/>
        <v>中重型货车</v>
      </c>
      <c r="I633" s="36" t="str">
        <f t="shared" si="34"/>
        <v>Freight HDV</v>
      </c>
      <c r="J633" s="36">
        <v>1</v>
      </c>
    </row>
    <row r="634" spans="1:10" x14ac:dyDescent="0.15">
      <c r="A634" s="36">
        <v>633</v>
      </c>
      <c r="B634" s="36">
        <v>2016</v>
      </c>
      <c r="C634" s="36" t="s">
        <v>952</v>
      </c>
      <c r="D634" s="36" t="str">
        <f t="shared" si="32"/>
        <v>gasoline vehicle</v>
      </c>
      <c r="E634" s="36" t="s">
        <v>976</v>
      </c>
      <c r="F634" s="36" t="s">
        <v>960</v>
      </c>
      <c r="G634" s="36" t="s">
        <v>972</v>
      </c>
      <c r="H634" s="36" t="str">
        <f t="shared" si="33"/>
        <v>中重型货车</v>
      </c>
      <c r="I634" s="36" t="str">
        <f t="shared" si="34"/>
        <v>Freight HDV</v>
      </c>
      <c r="J634" s="36">
        <v>12</v>
      </c>
    </row>
    <row r="635" spans="1:10" x14ac:dyDescent="0.15">
      <c r="A635" s="36">
        <v>634</v>
      </c>
      <c r="B635" s="36">
        <v>2017</v>
      </c>
      <c r="C635" s="36" t="s">
        <v>952</v>
      </c>
      <c r="D635" s="36" t="str">
        <f t="shared" si="32"/>
        <v>gasoline vehicle</v>
      </c>
      <c r="E635" s="36" t="s">
        <v>976</v>
      </c>
      <c r="F635" s="36" t="s">
        <v>960</v>
      </c>
      <c r="G635" s="36" t="s">
        <v>972</v>
      </c>
      <c r="H635" s="36" t="str">
        <f t="shared" si="33"/>
        <v>中重型货车</v>
      </c>
      <c r="I635" s="36" t="str">
        <f t="shared" si="34"/>
        <v>Freight HDV</v>
      </c>
      <c r="J635" s="36">
        <v>24</v>
      </c>
    </row>
    <row r="636" spans="1:10" x14ac:dyDescent="0.15">
      <c r="A636" s="36">
        <v>635</v>
      </c>
      <c r="B636" s="36">
        <v>2018</v>
      </c>
      <c r="C636" s="36" t="s">
        <v>952</v>
      </c>
      <c r="D636" s="36" t="str">
        <f t="shared" si="32"/>
        <v>gasoline vehicle</v>
      </c>
      <c r="E636" s="36" t="s">
        <v>976</v>
      </c>
      <c r="F636" s="36" t="s">
        <v>960</v>
      </c>
      <c r="G636" s="36" t="s">
        <v>972</v>
      </c>
      <c r="H636" s="36" t="str">
        <f t="shared" si="33"/>
        <v>中重型货车</v>
      </c>
      <c r="I636" s="36" t="str">
        <f t="shared" si="34"/>
        <v>Freight HDV</v>
      </c>
      <c r="J636" s="36">
        <v>18</v>
      </c>
    </row>
    <row r="637" spans="1:10" x14ac:dyDescent="0.15">
      <c r="A637" s="36">
        <v>636</v>
      </c>
      <c r="B637" s="36">
        <v>2019</v>
      </c>
      <c r="C637" s="36" t="s">
        <v>952</v>
      </c>
      <c r="D637" s="36" t="str">
        <f t="shared" si="32"/>
        <v>gasoline vehicle</v>
      </c>
      <c r="E637" s="36" t="s">
        <v>976</v>
      </c>
      <c r="F637" s="36" t="s">
        <v>960</v>
      </c>
      <c r="G637" s="36" t="s">
        <v>972</v>
      </c>
      <c r="H637" s="36" t="str">
        <f t="shared" si="33"/>
        <v>中重型货车</v>
      </c>
      <c r="I637" s="36" t="str">
        <f t="shared" si="34"/>
        <v>Freight HDV</v>
      </c>
      <c r="J637" s="36">
        <v>12</v>
      </c>
    </row>
    <row r="638" spans="1:10" x14ac:dyDescent="0.15">
      <c r="A638" s="36">
        <v>637</v>
      </c>
      <c r="B638" s="36">
        <v>2020</v>
      </c>
      <c r="C638" s="36" t="s">
        <v>952</v>
      </c>
      <c r="D638" s="36" t="str">
        <f t="shared" si="32"/>
        <v>gasoline vehicle</v>
      </c>
      <c r="E638" s="36" t="s">
        <v>976</v>
      </c>
      <c r="F638" s="36" t="s">
        <v>960</v>
      </c>
      <c r="G638" s="36" t="s">
        <v>972</v>
      </c>
      <c r="H638" s="36" t="str">
        <f t="shared" si="33"/>
        <v>中重型货车</v>
      </c>
      <c r="I638" s="36" t="str">
        <f t="shared" si="34"/>
        <v>Freight HDV</v>
      </c>
      <c r="J638" s="36">
        <v>5</v>
      </c>
    </row>
    <row r="639" spans="1:10" x14ac:dyDescent="0.15">
      <c r="A639" s="36">
        <v>638</v>
      </c>
      <c r="B639" s="36">
        <v>2016</v>
      </c>
      <c r="C639" s="36" t="s">
        <v>956</v>
      </c>
      <c r="D639" s="36" t="str">
        <f t="shared" si="32"/>
        <v>natural gas vehicle</v>
      </c>
      <c r="E639" s="36" t="s">
        <v>976</v>
      </c>
      <c r="F639" s="36" t="s">
        <v>960</v>
      </c>
      <c r="G639" s="36" t="s">
        <v>972</v>
      </c>
      <c r="H639" s="36" t="str">
        <f t="shared" si="33"/>
        <v>中重型货车</v>
      </c>
      <c r="I639" s="36" t="str">
        <f t="shared" si="34"/>
        <v>Freight HDV</v>
      </c>
      <c r="J639" s="36">
        <v>5</v>
      </c>
    </row>
    <row r="640" spans="1:10" x14ac:dyDescent="0.15">
      <c r="A640" s="36">
        <v>639</v>
      </c>
      <c r="B640" s="36">
        <v>2017</v>
      </c>
      <c r="C640" s="36" t="s">
        <v>966</v>
      </c>
      <c r="D640" s="36" t="str">
        <f t="shared" si="32"/>
        <v>hydrogen vehicle</v>
      </c>
      <c r="E640" s="36" t="s">
        <v>976</v>
      </c>
      <c r="F640" s="36" t="s">
        <v>960</v>
      </c>
      <c r="G640" s="36" t="s">
        <v>972</v>
      </c>
      <c r="H640" s="36" t="str">
        <f t="shared" si="33"/>
        <v>中重型货车</v>
      </c>
      <c r="I640" s="36" t="str">
        <f t="shared" si="34"/>
        <v>Freight HDV</v>
      </c>
      <c r="J640" s="36">
        <v>531</v>
      </c>
    </row>
    <row r="641" spans="1:10" x14ac:dyDescent="0.15">
      <c r="A641" s="36">
        <v>640</v>
      </c>
      <c r="B641" s="36">
        <v>2018</v>
      </c>
      <c r="C641" s="36" t="s">
        <v>966</v>
      </c>
      <c r="D641" s="36" t="str">
        <f t="shared" si="32"/>
        <v>hydrogen vehicle</v>
      </c>
      <c r="E641" s="36" t="s">
        <v>976</v>
      </c>
      <c r="F641" s="36" t="s">
        <v>960</v>
      </c>
      <c r="G641" s="36" t="s">
        <v>972</v>
      </c>
      <c r="H641" s="36" t="str">
        <f t="shared" si="33"/>
        <v>中重型货车</v>
      </c>
      <c r="I641" s="36" t="str">
        <f t="shared" si="34"/>
        <v>Freight HDV</v>
      </c>
      <c r="J641" s="36">
        <v>1</v>
      </c>
    </row>
    <row r="642" spans="1:10" x14ac:dyDescent="0.15">
      <c r="A642" s="36">
        <v>641</v>
      </c>
      <c r="B642" s="36">
        <v>2019</v>
      </c>
      <c r="C642" s="36" t="s">
        <v>966</v>
      </c>
      <c r="D642" s="36" t="str">
        <f t="shared" ref="D642:D705" si="35">VLOOKUP(C642,M$3:N$16,2,FALSE)</f>
        <v>hydrogen vehicle</v>
      </c>
      <c r="E642" s="36" t="s">
        <v>976</v>
      </c>
      <c r="F642" s="36" t="s">
        <v>960</v>
      </c>
      <c r="G642" s="36" t="s">
        <v>972</v>
      </c>
      <c r="H642" s="36" t="str">
        <f t="shared" ref="H642:H705" si="36">VLOOKUP(E642&amp;F642&amp;G642,$S$3:$U$68,2,FALSE)</f>
        <v>中重型货车</v>
      </c>
      <c r="I642" s="36" t="str">
        <f t="shared" ref="I642:I705" si="37">VLOOKUP(E642&amp;F642&amp;G642,$S$3:$U$68,3,FALSE)</f>
        <v>Freight HDV</v>
      </c>
      <c r="J642" s="36">
        <v>411</v>
      </c>
    </row>
    <row r="643" spans="1:10" x14ac:dyDescent="0.15">
      <c r="A643" s="36">
        <v>642</v>
      </c>
      <c r="B643" s="36">
        <v>2020</v>
      </c>
      <c r="C643" s="36" t="s">
        <v>966</v>
      </c>
      <c r="D643" s="36" t="str">
        <f t="shared" si="35"/>
        <v>hydrogen vehicle</v>
      </c>
      <c r="E643" s="36" t="s">
        <v>976</v>
      </c>
      <c r="F643" s="36" t="s">
        <v>960</v>
      </c>
      <c r="G643" s="36" t="s">
        <v>972</v>
      </c>
      <c r="H643" s="36" t="str">
        <f t="shared" si="36"/>
        <v>中重型货车</v>
      </c>
      <c r="I643" s="36" t="str">
        <f t="shared" si="37"/>
        <v>Freight HDV</v>
      </c>
      <c r="J643" s="36">
        <v>63</v>
      </c>
    </row>
    <row r="644" spans="1:10" x14ac:dyDescent="0.15">
      <c r="A644" s="36">
        <v>643</v>
      </c>
      <c r="B644" s="36">
        <v>2021</v>
      </c>
      <c r="C644" s="36" t="s">
        <v>966</v>
      </c>
      <c r="D644" s="36" t="str">
        <f t="shared" si="35"/>
        <v>hydrogen vehicle</v>
      </c>
      <c r="E644" s="36" t="s">
        <v>976</v>
      </c>
      <c r="F644" s="36" t="s">
        <v>960</v>
      </c>
      <c r="G644" s="36" t="s">
        <v>972</v>
      </c>
      <c r="H644" s="36" t="str">
        <f t="shared" si="36"/>
        <v>中重型货车</v>
      </c>
      <c r="I644" s="36" t="str">
        <f t="shared" si="37"/>
        <v>Freight HDV</v>
      </c>
      <c r="J644" s="36">
        <v>7</v>
      </c>
    </row>
    <row r="645" spans="1:10" x14ac:dyDescent="0.15">
      <c r="A645" s="36">
        <v>644</v>
      </c>
      <c r="B645" s="36">
        <v>2016</v>
      </c>
      <c r="C645" s="36" t="s">
        <v>955</v>
      </c>
      <c r="D645" s="36" t="str">
        <f t="shared" si="35"/>
        <v>natural gas vehicle</v>
      </c>
      <c r="E645" s="36" t="s">
        <v>976</v>
      </c>
      <c r="F645" s="36" t="s">
        <v>960</v>
      </c>
      <c r="G645" s="36" t="s">
        <v>972</v>
      </c>
      <c r="H645" s="36" t="str">
        <f t="shared" si="36"/>
        <v>中重型货车</v>
      </c>
      <c r="I645" s="36" t="str">
        <f t="shared" si="37"/>
        <v>Freight HDV</v>
      </c>
      <c r="J645" s="36">
        <v>121</v>
      </c>
    </row>
    <row r="646" spans="1:10" x14ac:dyDescent="0.15">
      <c r="A646" s="36">
        <v>645</v>
      </c>
      <c r="B646" s="36">
        <v>2017</v>
      </c>
      <c r="C646" s="36" t="s">
        <v>955</v>
      </c>
      <c r="D646" s="36" t="str">
        <f t="shared" si="35"/>
        <v>natural gas vehicle</v>
      </c>
      <c r="E646" s="36" t="s">
        <v>976</v>
      </c>
      <c r="F646" s="36" t="s">
        <v>960</v>
      </c>
      <c r="G646" s="36" t="s">
        <v>972</v>
      </c>
      <c r="H646" s="36" t="str">
        <f t="shared" si="36"/>
        <v>中重型货车</v>
      </c>
      <c r="I646" s="36" t="str">
        <f t="shared" si="37"/>
        <v>Freight HDV</v>
      </c>
      <c r="J646" s="36">
        <v>319</v>
      </c>
    </row>
    <row r="647" spans="1:10" x14ac:dyDescent="0.15">
      <c r="A647" s="36">
        <v>646</v>
      </c>
      <c r="B647" s="36">
        <v>2018</v>
      </c>
      <c r="C647" s="36" t="s">
        <v>955</v>
      </c>
      <c r="D647" s="36" t="str">
        <f t="shared" si="35"/>
        <v>natural gas vehicle</v>
      </c>
      <c r="E647" s="36" t="s">
        <v>976</v>
      </c>
      <c r="F647" s="36" t="s">
        <v>960</v>
      </c>
      <c r="G647" s="36" t="s">
        <v>972</v>
      </c>
      <c r="H647" s="36" t="str">
        <f t="shared" si="36"/>
        <v>中重型货车</v>
      </c>
      <c r="I647" s="36" t="str">
        <f t="shared" si="37"/>
        <v>Freight HDV</v>
      </c>
      <c r="J647" s="36">
        <v>264</v>
      </c>
    </row>
    <row r="648" spans="1:10" x14ac:dyDescent="0.15">
      <c r="A648" s="36">
        <v>647</v>
      </c>
      <c r="B648" s="36">
        <v>2019</v>
      </c>
      <c r="C648" s="36" t="s">
        <v>955</v>
      </c>
      <c r="D648" s="36" t="str">
        <f t="shared" si="35"/>
        <v>natural gas vehicle</v>
      </c>
      <c r="E648" s="36" t="s">
        <v>976</v>
      </c>
      <c r="F648" s="36" t="s">
        <v>960</v>
      </c>
      <c r="G648" s="36" t="s">
        <v>972</v>
      </c>
      <c r="H648" s="36" t="str">
        <f t="shared" si="36"/>
        <v>中重型货车</v>
      </c>
      <c r="I648" s="36" t="str">
        <f t="shared" si="37"/>
        <v>Freight HDV</v>
      </c>
      <c r="J648" s="36">
        <v>121</v>
      </c>
    </row>
    <row r="649" spans="1:10" x14ac:dyDescent="0.15">
      <c r="A649" s="36">
        <v>648</v>
      </c>
      <c r="B649" s="36">
        <v>2020</v>
      </c>
      <c r="C649" s="36" t="s">
        <v>955</v>
      </c>
      <c r="D649" s="36" t="str">
        <f t="shared" si="35"/>
        <v>natural gas vehicle</v>
      </c>
      <c r="E649" s="36" t="s">
        <v>976</v>
      </c>
      <c r="F649" s="36" t="s">
        <v>960</v>
      </c>
      <c r="G649" s="36" t="s">
        <v>972</v>
      </c>
      <c r="H649" s="36" t="str">
        <f t="shared" si="36"/>
        <v>中重型货车</v>
      </c>
      <c r="I649" s="36" t="str">
        <f t="shared" si="37"/>
        <v>Freight HDV</v>
      </c>
      <c r="J649" s="36">
        <v>62</v>
      </c>
    </row>
    <row r="650" spans="1:10" x14ac:dyDescent="0.15">
      <c r="A650" s="36">
        <v>649</v>
      </c>
      <c r="B650" s="36">
        <v>2021</v>
      </c>
      <c r="C650" s="36" t="s">
        <v>955</v>
      </c>
      <c r="D650" s="36" t="str">
        <f t="shared" si="35"/>
        <v>natural gas vehicle</v>
      </c>
      <c r="E650" s="36" t="s">
        <v>976</v>
      </c>
      <c r="F650" s="36" t="s">
        <v>960</v>
      </c>
      <c r="G650" s="36" t="s">
        <v>972</v>
      </c>
      <c r="H650" s="36" t="str">
        <f t="shared" si="36"/>
        <v>中重型货车</v>
      </c>
      <c r="I650" s="36" t="str">
        <f t="shared" si="37"/>
        <v>Freight HDV</v>
      </c>
      <c r="J650" s="36">
        <v>28</v>
      </c>
    </row>
    <row r="651" spans="1:10" x14ac:dyDescent="0.15">
      <c r="A651" s="36">
        <v>650</v>
      </c>
      <c r="B651" s="36">
        <v>2016</v>
      </c>
      <c r="C651" s="36" t="s">
        <v>953</v>
      </c>
      <c r="D651" s="36" t="str">
        <f t="shared" si="35"/>
        <v>diesel vehicle</v>
      </c>
      <c r="E651" s="36" t="s">
        <v>951</v>
      </c>
      <c r="F651" s="36" t="s">
        <v>960</v>
      </c>
      <c r="G651" s="36" t="s">
        <v>972</v>
      </c>
      <c r="H651" s="36" t="str">
        <f t="shared" si="36"/>
        <v>道路客车</v>
      </c>
      <c r="I651" s="36" t="str">
        <f t="shared" si="37"/>
        <v>Passenger HDV</v>
      </c>
      <c r="J651" s="36">
        <v>2975</v>
      </c>
    </row>
    <row r="652" spans="1:10" x14ac:dyDescent="0.15">
      <c r="A652" s="36">
        <v>651</v>
      </c>
      <c r="B652" s="36">
        <v>2017</v>
      </c>
      <c r="C652" s="36" t="s">
        <v>953</v>
      </c>
      <c r="D652" s="36" t="str">
        <f t="shared" si="35"/>
        <v>diesel vehicle</v>
      </c>
      <c r="E652" s="36" t="s">
        <v>951</v>
      </c>
      <c r="F652" s="36" t="s">
        <v>960</v>
      </c>
      <c r="G652" s="36" t="s">
        <v>972</v>
      </c>
      <c r="H652" s="36" t="str">
        <f t="shared" si="36"/>
        <v>道路客车</v>
      </c>
      <c r="I652" s="36" t="str">
        <f t="shared" si="37"/>
        <v>Passenger HDV</v>
      </c>
      <c r="J652" s="36">
        <v>1412</v>
      </c>
    </row>
    <row r="653" spans="1:10" x14ac:dyDescent="0.15">
      <c r="A653" s="36">
        <v>652</v>
      </c>
      <c r="B653" s="36">
        <v>2018</v>
      </c>
      <c r="C653" s="36" t="s">
        <v>953</v>
      </c>
      <c r="D653" s="36" t="str">
        <f t="shared" si="35"/>
        <v>diesel vehicle</v>
      </c>
      <c r="E653" s="36" t="s">
        <v>951</v>
      </c>
      <c r="F653" s="36" t="s">
        <v>960</v>
      </c>
      <c r="G653" s="36" t="s">
        <v>972</v>
      </c>
      <c r="H653" s="36" t="str">
        <f t="shared" si="36"/>
        <v>道路客车</v>
      </c>
      <c r="I653" s="36" t="str">
        <f t="shared" si="37"/>
        <v>Passenger HDV</v>
      </c>
      <c r="J653" s="36">
        <v>675</v>
      </c>
    </row>
    <row r="654" spans="1:10" x14ac:dyDescent="0.15">
      <c r="A654" s="36">
        <v>653</v>
      </c>
      <c r="B654" s="36">
        <v>2019</v>
      </c>
      <c r="C654" s="36" t="s">
        <v>953</v>
      </c>
      <c r="D654" s="36" t="str">
        <f t="shared" si="35"/>
        <v>diesel vehicle</v>
      </c>
      <c r="E654" s="36" t="s">
        <v>951</v>
      </c>
      <c r="F654" s="36" t="s">
        <v>960</v>
      </c>
      <c r="G654" s="36" t="s">
        <v>972</v>
      </c>
      <c r="H654" s="36" t="str">
        <f t="shared" si="36"/>
        <v>道路客车</v>
      </c>
      <c r="I654" s="36" t="str">
        <f t="shared" si="37"/>
        <v>Passenger HDV</v>
      </c>
      <c r="J654" s="36">
        <v>1400</v>
      </c>
    </row>
    <row r="655" spans="1:10" x14ac:dyDescent="0.15">
      <c r="A655" s="36">
        <v>654</v>
      </c>
      <c r="B655" s="36">
        <v>2020</v>
      </c>
      <c r="C655" s="36" t="s">
        <v>953</v>
      </c>
      <c r="D655" s="36" t="str">
        <f t="shared" si="35"/>
        <v>diesel vehicle</v>
      </c>
      <c r="E655" s="36" t="s">
        <v>951</v>
      </c>
      <c r="F655" s="36" t="s">
        <v>960</v>
      </c>
      <c r="G655" s="36" t="s">
        <v>972</v>
      </c>
      <c r="H655" s="36" t="str">
        <f t="shared" si="36"/>
        <v>道路客车</v>
      </c>
      <c r="I655" s="36" t="str">
        <f t="shared" si="37"/>
        <v>Passenger HDV</v>
      </c>
      <c r="J655" s="36">
        <v>695</v>
      </c>
    </row>
    <row r="656" spans="1:10" x14ac:dyDescent="0.15">
      <c r="A656" s="36">
        <v>655</v>
      </c>
      <c r="B656" s="36">
        <v>2021</v>
      </c>
      <c r="C656" s="36" t="s">
        <v>953</v>
      </c>
      <c r="D656" s="36" t="str">
        <f t="shared" si="35"/>
        <v>diesel vehicle</v>
      </c>
      <c r="E656" s="36" t="s">
        <v>951</v>
      </c>
      <c r="F656" s="36" t="s">
        <v>960</v>
      </c>
      <c r="G656" s="36" t="s">
        <v>972</v>
      </c>
      <c r="H656" s="36" t="str">
        <f t="shared" si="36"/>
        <v>道路客车</v>
      </c>
      <c r="I656" s="36" t="str">
        <f t="shared" si="37"/>
        <v>Passenger HDV</v>
      </c>
      <c r="J656" s="36">
        <v>775</v>
      </c>
    </row>
    <row r="657" spans="1:10" x14ac:dyDescent="0.15">
      <c r="A657" s="36">
        <v>656</v>
      </c>
      <c r="B657" s="36">
        <v>2021</v>
      </c>
      <c r="C657" s="36" t="s">
        <v>958</v>
      </c>
      <c r="D657" s="36" t="str">
        <f t="shared" si="35"/>
        <v>battery electric vehicle</v>
      </c>
      <c r="E657" s="36" t="s">
        <v>951</v>
      </c>
      <c r="F657" s="36" t="s">
        <v>960</v>
      </c>
      <c r="G657" s="36" t="s">
        <v>972</v>
      </c>
      <c r="H657" s="36" t="str">
        <f t="shared" si="36"/>
        <v>道路客车</v>
      </c>
      <c r="I657" s="36" t="str">
        <f t="shared" si="37"/>
        <v>Passenger HDV</v>
      </c>
      <c r="J657" s="36">
        <v>15</v>
      </c>
    </row>
    <row r="658" spans="1:10" x14ac:dyDescent="0.15">
      <c r="A658" s="36">
        <v>657</v>
      </c>
      <c r="B658" s="36">
        <v>2016</v>
      </c>
      <c r="C658" s="36" t="s">
        <v>952</v>
      </c>
      <c r="D658" s="36" t="str">
        <f t="shared" si="35"/>
        <v>gasoline vehicle</v>
      </c>
      <c r="E658" s="36" t="s">
        <v>951</v>
      </c>
      <c r="F658" s="36" t="s">
        <v>960</v>
      </c>
      <c r="G658" s="36" t="s">
        <v>972</v>
      </c>
      <c r="H658" s="36" t="str">
        <f t="shared" si="36"/>
        <v>道路客车</v>
      </c>
      <c r="I658" s="36" t="str">
        <f t="shared" si="37"/>
        <v>Passenger HDV</v>
      </c>
      <c r="J658" s="36">
        <v>417</v>
      </c>
    </row>
    <row r="659" spans="1:10" x14ac:dyDescent="0.15">
      <c r="A659" s="36">
        <v>658</v>
      </c>
      <c r="B659" s="36">
        <v>2017</v>
      </c>
      <c r="C659" s="36" t="s">
        <v>952</v>
      </c>
      <c r="D659" s="36" t="str">
        <f t="shared" si="35"/>
        <v>gasoline vehicle</v>
      </c>
      <c r="E659" s="36" t="s">
        <v>951</v>
      </c>
      <c r="F659" s="36" t="s">
        <v>960</v>
      </c>
      <c r="G659" s="36" t="s">
        <v>972</v>
      </c>
      <c r="H659" s="36" t="str">
        <f t="shared" si="36"/>
        <v>道路客车</v>
      </c>
      <c r="I659" s="36" t="str">
        <f t="shared" si="37"/>
        <v>Passenger HDV</v>
      </c>
      <c r="J659" s="36">
        <v>281</v>
      </c>
    </row>
    <row r="660" spans="1:10" x14ac:dyDescent="0.15">
      <c r="A660" s="36">
        <v>659</v>
      </c>
      <c r="B660" s="36">
        <v>2018</v>
      </c>
      <c r="C660" s="36" t="s">
        <v>952</v>
      </c>
      <c r="D660" s="36" t="str">
        <f t="shared" si="35"/>
        <v>gasoline vehicle</v>
      </c>
      <c r="E660" s="36" t="s">
        <v>951</v>
      </c>
      <c r="F660" s="36" t="s">
        <v>960</v>
      </c>
      <c r="G660" s="36" t="s">
        <v>972</v>
      </c>
      <c r="H660" s="36" t="str">
        <f t="shared" si="36"/>
        <v>道路客车</v>
      </c>
      <c r="I660" s="36" t="str">
        <f t="shared" si="37"/>
        <v>Passenger HDV</v>
      </c>
      <c r="J660" s="36">
        <v>103</v>
      </c>
    </row>
    <row r="661" spans="1:10" x14ac:dyDescent="0.15">
      <c r="A661" s="36">
        <v>660</v>
      </c>
      <c r="B661" s="36">
        <v>2019</v>
      </c>
      <c r="C661" s="36" t="s">
        <v>952</v>
      </c>
      <c r="D661" s="36" t="str">
        <f t="shared" si="35"/>
        <v>gasoline vehicle</v>
      </c>
      <c r="E661" s="36" t="s">
        <v>951</v>
      </c>
      <c r="F661" s="36" t="s">
        <v>960</v>
      </c>
      <c r="G661" s="36" t="s">
        <v>972</v>
      </c>
      <c r="H661" s="36" t="str">
        <f t="shared" si="36"/>
        <v>道路客车</v>
      </c>
      <c r="I661" s="36" t="str">
        <f t="shared" si="37"/>
        <v>Passenger HDV</v>
      </c>
      <c r="J661" s="36">
        <v>117</v>
      </c>
    </row>
    <row r="662" spans="1:10" x14ac:dyDescent="0.15">
      <c r="A662" s="36">
        <v>661</v>
      </c>
      <c r="B662" s="36">
        <v>2020</v>
      </c>
      <c r="C662" s="36" t="s">
        <v>952</v>
      </c>
      <c r="D662" s="36" t="str">
        <f t="shared" si="35"/>
        <v>gasoline vehicle</v>
      </c>
      <c r="E662" s="36" t="s">
        <v>951</v>
      </c>
      <c r="F662" s="36" t="s">
        <v>960</v>
      </c>
      <c r="G662" s="36" t="s">
        <v>972</v>
      </c>
      <c r="H662" s="36" t="str">
        <f t="shared" si="36"/>
        <v>道路客车</v>
      </c>
      <c r="I662" s="36" t="str">
        <f t="shared" si="37"/>
        <v>Passenger HDV</v>
      </c>
      <c r="J662" s="36">
        <v>37</v>
      </c>
    </row>
    <row r="663" spans="1:10" x14ac:dyDescent="0.15">
      <c r="A663" s="36">
        <v>662</v>
      </c>
      <c r="B663" s="36">
        <v>2021</v>
      </c>
      <c r="C663" s="36" t="s">
        <v>952</v>
      </c>
      <c r="D663" s="36" t="str">
        <f t="shared" si="35"/>
        <v>gasoline vehicle</v>
      </c>
      <c r="E663" s="36" t="s">
        <v>951</v>
      </c>
      <c r="F663" s="36" t="s">
        <v>960</v>
      </c>
      <c r="G663" s="36" t="s">
        <v>972</v>
      </c>
      <c r="H663" s="36" t="str">
        <f t="shared" si="36"/>
        <v>道路客车</v>
      </c>
      <c r="I663" s="36" t="str">
        <f t="shared" si="37"/>
        <v>Passenger HDV</v>
      </c>
      <c r="J663" s="36">
        <v>56</v>
      </c>
    </row>
    <row r="664" spans="1:10" x14ac:dyDescent="0.15">
      <c r="A664" s="36">
        <v>663</v>
      </c>
      <c r="B664" s="36">
        <v>2017</v>
      </c>
      <c r="C664" s="36" t="s">
        <v>961</v>
      </c>
      <c r="D664" s="36" t="str">
        <f t="shared" si="35"/>
        <v>plugin hybrid vehicle</v>
      </c>
      <c r="E664" s="36" t="s">
        <v>973</v>
      </c>
      <c r="F664" s="36" t="s">
        <v>960</v>
      </c>
      <c r="G664" s="36" t="s">
        <v>972</v>
      </c>
      <c r="H664" s="36" t="str">
        <f t="shared" si="36"/>
        <v>中重型货车</v>
      </c>
      <c r="I664" s="36" t="str">
        <f t="shared" si="37"/>
        <v>Freight HDV</v>
      </c>
      <c r="J664" s="36">
        <v>920</v>
      </c>
    </row>
    <row r="665" spans="1:10" x14ac:dyDescent="0.15">
      <c r="A665" s="36">
        <v>664</v>
      </c>
      <c r="B665" s="36">
        <v>2016</v>
      </c>
      <c r="C665" s="36" t="s">
        <v>953</v>
      </c>
      <c r="D665" s="36" t="str">
        <f t="shared" si="35"/>
        <v>diesel vehicle</v>
      </c>
      <c r="E665" s="36" t="s">
        <v>973</v>
      </c>
      <c r="F665" s="36" t="s">
        <v>960</v>
      </c>
      <c r="G665" s="36" t="s">
        <v>972</v>
      </c>
      <c r="H665" s="36" t="str">
        <f t="shared" si="36"/>
        <v>中重型货车</v>
      </c>
      <c r="I665" s="36" t="str">
        <f t="shared" si="37"/>
        <v>Freight HDV</v>
      </c>
      <c r="J665" s="36">
        <v>92755</v>
      </c>
    </row>
    <row r="666" spans="1:10" x14ac:dyDescent="0.15">
      <c r="A666" s="36">
        <v>665</v>
      </c>
      <c r="B666" s="36">
        <v>2017</v>
      </c>
      <c r="C666" s="36" t="s">
        <v>953</v>
      </c>
      <c r="D666" s="36" t="str">
        <f t="shared" si="35"/>
        <v>diesel vehicle</v>
      </c>
      <c r="E666" s="36" t="s">
        <v>973</v>
      </c>
      <c r="F666" s="36" t="s">
        <v>960</v>
      </c>
      <c r="G666" s="36" t="s">
        <v>972</v>
      </c>
      <c r="H666" s="36" t="str">
        <f t="shared" si="36"/>
        <v>中重型货车</v>
      </c>
      <c r="I666" s="36" t="str">
        <f t="shared" si="37"/>
        <v>Freight HDV</v>
      </c>
      <c r="J666" s="36">
        <v>111768</v>
      </c>
    </row>
    <row r="667" spans="1:10" x14ac:dyDescent="0.15">
      <c r="A667" s="36">
        <v>666</v>
      </c>
      <c r="B667" s="36">
        <v>2018</v>
      </c>
      <c r="C667" s="36" t="s">
        <v>953</v>
      </c>
      <c r="D667" s="36" t="str">
        <f t="shared" si="35"/>
        <v>diesel vehicle</v>
      </c>
      <c r="E667" s="36" t="s">
        <v>973</v>
      </c>
      <c r="F667" s="36" t="s">
        <v>960</v>
      </c>
      <c r="G667" s="36" t="s">
        <v>972</v>
      </c>
      <c r="H667" s="36" t="str">
        <f t="shared" si="36"/>
        <v>中重型货车</v>
      </c>
      <c r="I667" s="36" t="str">
        <f t="shared" si="37"/>
        <v>Freight HDV</v>
      </c>
      <c r="J667" s="36">
        <v>134760</v>
      </c>
    </row>
    <row r="668" spans="1:10" x14ac:dyDescent="0.15">
      <c r="A668" s="36">
        <v>667</v>
      </c>
      <c r="B668" s="36">
        <v>2019</v>
      </c>
      <c r="C668" s="36" t="s">
        <v>953</v>
      </c>
      <c r="D668" s="36" t="str">
        <f t="shared" si="35"/>
        <v>diesel vehicle</v>
      </c>
      <c r="E668" s="36" t="s">
        <v>973</v>
      </c>
      <c r="F668" s="36" t="s">
        <v>960</v>
      </c>
      <c r="G668" s="36" t="s">
        <v>972</v>
      </c>
      <c r="H668" s="36" t="str">
        <f t="shared" si="36"/>
        <v>中重型货车</v>
      </c>
      <c r="I668" s="36" t="str">
        <f t="shared" si="37"/>
        <v>Freight HDV</v>
      </c>
      <c r="J668" s="36">
        <v>130568</v>
      </c>
    </row>
    <row r="669" spans="1:10" x14ac:dyDescent="0.15">
      <c r="A669" s="36">
        <v>668</v>
      </c>
      <c r="B669" s="36">
        <v>2020</v>
      </c>
      <c r="C669" s="36" t="s">
        <v>953</v>
      </c>
      <c r="D669" s="36" t="str">
        <f t="shared" si="35"/>
        <v>diesel vehicle</v>
      </c>
      <c r="E669" s="36" t="s">
        <v>973</v>
      </c>
      <c r="F669" s="36" t="s">
        <v>960</v>
      </c>
      <c r="G669" s="36" t="s">
        <v>972</v>
      </c>
      <c r="H669" s="36" t="str">
        <f t="shared" si="36"/>
        <v>中重型货车</v>
      </c>
      <c r="I669" s="36" t="str">
        <f t="shared" si="37"/>
        <v>Freight HDV</v>
      </c>
      <c r="J669" s="36">
        <v>97011</v>
      </c>
    </row>
    <row r="670" spans="1:10" x14ac:dyDescent="0.15">
      <c r="A670" s="36">
        <v>669</v>
      </c>
      <c r="B670" s="36">
        <v>2021</v>
      </c>
      <c r="C670" s="36" t="s">
        <v>953</v>
      </c>
      <c r="D670" s="36" t="str">
        <f t="shared" si="35"/>
        <v>diesel vehicle</v>
      </c>
      <c r="E670" s="36" t="s">
        <v>973</v>
      </c>
      <c r="F670" s="36" t="s">
        <v>960</v>
      </c>
      <c r="G670" s="36" t="s">
        <v>972</v>
      </c>
      <c r="H670" s="36" t="str">
        <f t="shared" si="36"/>
        <v>中重型货车</v>
      </c>
      <c r="I670" s="36" t="str">
        <f t="shared" si="37"/>
        <v>Freight HDV</v>
      </c>
      <c r="J670" s="36">
        <v>85085</v>
      </c>
    </row>
    <row r="671" spans="1:10" x14ac:dyDescent="0.15">
      <c r="A671" s="36">
        <v>670</v>
      </c>
      <c r="B671" s="36">
        <v>2016</v>
      </c>
      <c r="C671" s="36" t="s">
        <v>958</v>
      </c>
      <c r="D671" s="36" t="str">
        <f t="shared" si="35"/>
        <v>battery electric vehicle</v>
      </c>
      <c r="E671" s="36" t="s">
        <v>973</v>
      </c>
      <c r="F671" s="36" t="s">
        <v>960</v>
      </c>
      <c r="G671" s="36" t="s">
        <v>972</v>
      </c>
      <c r="H671" s="36" t="str">
        <f t="shared" si="36"/>
        <v>中重型货车</v>
      </c>
      <c r="I671" s="36" t="str">
        <f t="shared" si="37"/>
        <v>Freight HDV</v>
      </c>
      <c r="J671" s="36">
        <v>178</v>
      </c>
    </row>
    <row r="672" spans="1:10" x14ac:dyDescent="0.15">
      <c r="A672" s="36">
        <v>671</v>
      </c>
      <c r="B672" s="36">
        <v>2017</v>
      </c>
      <c r="C672" s="36" t="s">
        <v>958</v>
      </c>
      <c r="D672" s="36" t="str">
        <f t="shared" si="35"/>
        <v>battery electric vehicle</v>
      </c>
      <c r="E672" s="36" t="s">
        <v>973</v>
      </c>
      <c r="F672" s="36" t="s">
        <v>960</v>
      </c>
      <c r="G672" s="36" t="s">
        <v>972</v>
      </c>
      <c r="H672" s="36" t="str">
        <f t="shared" si="36"/>
        <v>中重型货车</v>
      </c>
      <c r="I672" s="36" t="str">
        <f t="shared" si="37"/>
        <v>Freight HDV</v>
      </c>
      <c r="J672" s="36">
        <v>10153</v>
      </c>
    </row>
    <row r="673" spans="1:10" x14ac:dyDescent="0.15">
      <c r="A673" s="36">
        <v>672</v>
      </c>
      <c r="B673" s="36">
        <v>2018</v>
      </c>
      <c r="C673" s="36" t="s">
        <v>958</v>
      </c>
      <c r="D673" s="36" t="str">
        <f t="shared" si="35"/>
        <v>battery electric vehicle</v>
      </c>
      <c r="E673" s="36" t="s">
        <v>973</v>
      </c>
      <c r="F673" s="36" t="s">
        <v>960</v>
      </c>
      <c r="G673" s="36" t="s">
        <v>972</v>
      </c>
      <c r="H673" s="36" t="str">
        <f t="shared" si="36"/>
        <v>中重型货车</v>
      </c>
      <c r="I673" s="36" t="str">
        <f t="shared" si="37"/>
        <v>Freight HDV</v>
      </c>
      <c r="J673" s="36">
        <v>292</v>
      </c>
    </row>
    <row r="674" spans="1:10" x14ac:dyDescent="0.15">
      <c r="A674" s="36">
        <v>673</v>
      </c>
      <c r="B674" s="36">
        <v>2019</v>
      </c>
      <c r="C674" s="36" t="s">
        <v>958</v>
      </c>
      <c r="D674" s="36" t="str">
        <f t="shared" si="35"/>
        <v>battery electric vehicle</v>
      </c>
      <c r="E674" s="36" t="s">
        <v>973</v>
      </c>
      <c r="F674" s="36" t="s">
        <v>960</v>
      </c>
      <c r="G674" s="36" t="s">
        <v>972</v>
      </c>
      <c r="H674" s="36" t="str">
        <f t="shared" si="36"/>
        <v>中重型货车</v>
      </c>
      <c r="I674" s="36" t="str">
        <f t="shared" si="37"/>
        <v>Freight HDV</v>
      </c>
      <c r="J674" s="36">
        <v>1091</v>
      </c>
    </row>
    <row r="675" spans="1:10" x14ac:dyDescent="0.15">
      <c r="A675" s="36">
        <v>674</v>
      </c>
      <c r="B675" s="36">
        <v>2020</v>
      </c>
      <c r="C675" s="36" t="s">
        <v>958</v>
      </c>
      <c r="D675" s="36" t="str">
        <f t="shared" si="35"/>
        <v>battery electric vehicle</v>
      </c>
      <c r="E675" s="36" t="s">
        <v>973</v>
      </c>
      <c r="F675" s="36" t="s">
        <v>960</v>
      </c>
      <c r="G675" s="36" t="s">
        <v>972</v>
      </c>
      <c r="H675" s="36" t="str">
        <f t="shared" si="36"/>
        <v>中重型货车</v>
      </c>
      <c r="I675" s="36" t="str">
        <f t="shared" si="37"/>
        <v>Freight HDV</v>
      </c>
      <c r="J675" s="36">
        <v>925</v>
      </c>
    </row>
    <row r="676" spans="1:10" x14ac:dyDescent="0.15">
      <c r="A676" s="36">
        <v>675</v>
      </c>
      <c r="B676" s="36">
        <v>2021</v>
      </c>
      <c r="C676" s="36" t="s">
        <v>958</v>
      </c>
      <c r="D676" s="36" t="str">
        <f t="shared" si="35"/>
        <v>battery electric vehicle</v>
      </c>
      <c r="E676" s="36" t="s">
        <v>973</v>
      </c>
      <c r="F676" s="36" t="s">
        <v>960</v>
      </c>
      <c r="G676" s="36" t="s">
        <v>972</v>
      </c>
      <c r="H676" s="36" t="str">
        <f t="shared" si="36"/>
        <v>中重型货车</v>
      </c>
      <c r="I676" s="36" t="str">
        <f t="shared" si="37"/>
        <v>Freight HDV</v>
      </c>
      <c r="J676" s="36">
        <v>1345</v>
      </c>
    </row>
    <row r="677" spans="1:10" x14ac:dyDescent="0.15">
      <c r="A677" s="36">
        <v>676</v>
      </c>
      <c r="B677" s="36">
        <v>2017</v>
      </c>
      <c r="C677" s="36" t="s">
        <v>957</v>
      </c>
      <c r="D677" s="36" t="str">
        <f t="shared" si="35"/>
        <v>hybrid fuel vehicle</v>
      </c>
      <c r="E677" s="36" t="s">
        <v>973</v>
      </c>
      <c r="F677" s="36" t="s">
        <v>960</v>
      </c>
      <c r="G677" s="36" t="s">
        <v>972</v>
      </c>
      <c r="H677" s="36" t="str">
        <f t="shared" si="36"/>
        <v>中重型货车</v>
      </c>
      <c r="I677" s="36" t="str">
        <f t="shared" si="37"/>
        <v>Freight HDV</v>
      </c>
      <c r="J677" s="36">
        <v>55</v>
      </c>
    </row>
    <row r="678" spans="1:10" x14ac:dyDescent="0.15">
      <c r="A678" s="36">
        <v>677</v>
      </c>
      <c r="B678" s="36">
        <v>2020</v>
      </c>
      <c r="C678" s="36" t="s">
        <v>957</v>
      </c>
      <c r="D678" s="36" t="str">
        <f t="shared" si="35"/>
        <v>hybrid fuel vehicle</v>
      </c>
      <c r="E678" s="36" t="s">
        <v>973</v>
      </c>
      <c r="F678" s="36" t="s">
        <v>960</v>
      </c>
      <c r="G678" s="36" t="s">
        <v>972</v>
      </c>
      <c r="H678" s="36" t="str">
        <f t="shared" si="36"/>
        <v>中重型货车</v>
      </c>
      <c r="I678" s="36" t="str">
        <f t="shared" si="37"/>
        <v>Freight HDV</v>
      </c>
      <c r="J678" s="36">
        <v>1</v>
      </c>
    </row>
    <row r="679" spans="1:10" x14ac:dyDescent="0.15">
      <c r="A679" s="36">
        <v>678</v>
      </c>
      <c r="B679" s="36">
        <v>2016</v>
      </c>
      <c r="C679" s="36" t="s">
        <v>952</v>
      </c>
      <c r="D679" s="36" t="str">
        <f t="shared" si="35"/>
        <v>gasoline vehicle</v>
      </c>
      <c r="E679" s="36" t="s">
        <v>973</v>
      </c>
      <c r="F679" s="36" t="s">
        <v>960</v>
      </c>
      <c r="G679" s="36" t="s">
        <v>972</v>
      </c>
      <c r="H679" s="36" t="str">
        <f t="shared" si="36"/>
        <v>中重型货车</v>
      </c>
      <c r="I679" s="36" t="str">
        <f t="shared" si="37"/>
        <v>Freight HDV</v>
      </c>
      <c r="J679" s="36">
        <v>1</v>
      </c>
    </row>
    <row r="680" spans="1:10" x14ac:dyDescent="0.15">
      <c r="A680" s="36">
        <v>679</v>
      </c>
      <c r="B680" s="36">
        <v>2017</v>
      </c>
      <c r="C680" s="36" t="s">
        <v>966</v>
      </c>
      <c r="D680" s="36" t="str">
        <f t="shared" si="35"/>
        <v>hydrogen vehicle</v>
      </c>
      <c r="E680" s="36" t="s">
        <v>973</v>
      </c>
      <c r="F680" s="36" t="s">
        <v>960</v>
      </c>
      <c r="G680" s="36" t="s">
        <v>972</v>
      </c>
      <c r="H680" s="36" t="str">
        <f t="shared" si="36"/>
        <v>中重型货车</v>
      </c>
      <c r="I680" s="36" t="str">
        <f t="shared" si="37"/>
        <v>Freight HDV</v>
      </c>
      <c r="J680" s="36">
        <v>1</v>
      </c>
    </row>
    <row r="681" spans="1:10" x14ac:dyDescent="0.15">
      <c r="A681" s="36">
        <v>680</v>
      </c>
      <c r="B681" s="36">
        <v>2020</v>
      </c>
      <c r="C681" s="36" t="s">
        <v>966</v>
      </c>
      <c r="D681" s="36" t="str">
        <f t="shared" si="35"/>
        <v>hydrogen vehicle</v>
      </c>
      <c r="E681" s="36" t="s">
        <v>973</v>
      </c>
      <c r="F681" s="36" t="s">
        <v>960</v>
      </c>
      <c r="G681" s="36" t="s">
        <v>972</v>
      </c>
      <c r="H681" s="36" t="str">
        <f t="shared" si="36"/>
        <v>中重型货车</v>
      </c>
      <c r="I681" s="36" t="str">
        <f t="shared" si="37"/>
        <v>Freight HDV</v>
      </c>
      <c r="J681" s="36">
        <v>1</v>
      </c>
    </row>
    <row r="682" spans="1:10" x14ac:dyDescent="0.15">
      <c r="A682" s="36">
        <v>681</v>
      </c>
      <c r="B682" s="36">
        <v>2021</v>
      </c>
      <c r="C682" s="36" t="s">
        <v>966</v>
      </c>
      <c r="D682" s="36" t="str">
        <f t="shared" si="35"/>
        <v>hydrogen vehicle</v>
      </c>
      <c r="E682" s="36" t="s">
        <v>973</v>
      </c>
      <c r="F682" s="36" t="s">
        <v>960</v>
      </c>
      <c r="G682" s="36" t="s">
        <v>972</v>
      </c>
      <c r="H682" s="36" t="str">
        <f t="shared" si="36"/>
        <v>中重型货车</v>
      </c>
      <c r="I682" s="36" t="str">
        <f t="shared" si="37"/>
        <v>Freight HDV</v>
      </c>
      <c r="J682" s="36">
        <v>6</v>
      </c>
    </row>
    <row r="683" spans="1:10" x14ac:dyDescent="0.15">
      <c r="A683" s="36">
        <v>682</v>
      </c>
      <c r="B683" s="36">
        <v>2016</v>
      </c>
      <c r="C683" s="36" t="s">
        <v>955</v>
      </c>
      <c r="D683" s="36" t="str">
        <f t="shared" si="35"/>
        <v>natural gas vehicle</v>
      </c>
      <c r="E683" s="36" t="s">
        <v>973</v>
      </c>
      <c r="F683" s="36" t="s">
        <v>960</v>
      </c>
      <c r="G683" s="36" t="s">
        <v>972</v>
      </c>
      <c r="H683" s="36" t="str">
        <f t="shared" si="36"/>
        <v>中重型货车</v>
      </c>
      <c r="I683" s="36" t="str">
        <f t="shared" si="37"/>
        <v>Freight HDV</v>
      </c>
      <c r="J683" s="36">
        <v>1392</v>
      </c>
    </row>
    <row r="684" spans="1:10" x14ac:dyDescent="0.15">
      <c r="A684" s="36">
        <v>683</v>
      </c>
      <c r="B684" s="36">
        <v>2017</v>
      </c>
      <c r="C684" s="36" t="s">
        <v>955</v>
      </c>
      <c r="D684" s="36" t="str">
        <f t="shared" si="35"/>
        <v>natural gas vehicle</v>
      </c>
      <c r="E684" s="36" t="s">
        <v>973</v>
      </c>
      <c r="F684" s="36" t="s">
        <v>960</v>
      </c>
      <c r="G684" s="36" t="s">
        <v>972</v>
      </c>
      <c r="H684" s="36" t="str">
        <f t="shared" si="36"/>
        <v>中重型货车</v>
      </c>
      <c r="I684" s="36" t="str">
        <f t="shared" si="37"/>
        <v>Freight HDV</v>
      </c>
      <c r="J684" s="36">
        <v>3613</v>
      </c>
    </row>
    <row r="685" spans="1:10" x14ac:dyDescent="0.15">
      <c r="A685" s="36">
        <v>684</v>
      </c>
      <c r="B685" s="36">
        <v>2018</v>
      </c>
      <c r="C685" s="36" t="s">
        <v>955</v>
      </c>
      <c r="D685" s="36" t="str">
        <f t="shared" si="35"/>
        <v>natural gas vehicle</v>
      </c>
      <c r="E685" s="36" t="s">
        <v>973</v>
      </c>
      <c r="F685" s="36" t="s">
        <v>960</v>
      </c>
      <c r="G685" s="36" t="s">
        <v>972</v>
      </c>
      <c r="H685" s="36" t="str">
        <f t="shared" si="36"/>
        <v>中重型货车</v>
      </c>
      <c r="I685" s="36" t="str">
        <f t="shared" si="37"/>
        <v>Freight HDV</v>
      </c>
      <c r="J685" s="36">
        <v>4852</v>
      </c>
    </row>
    <row r="686" spans="1:10" x14ac:dyDescent="0.15">
      <c r="A686" s="36">
        <v>685</v>
      </c>
      <c r="B686" s="36">
        <v>2019</v>
      </c>
      <c r="C686" s="36" t="s">
        <v>955</v>
      </c>
      <c r="D686" s="36" t="str">
        <f t="shared" si="35"/>
        <v>natural gas vehicle</v>
      </c>
      <c r="E686" s="36" t="s">
        <v>973</v>
      </c>
      <c r="F686" s="36" t="s">
        <v>960</v>
      </c>
      <c r="G686" s="36" t="s">
        <v>972</v>
      </c>
      <c r="H686" s="36" t="str">
        <f t="shared" si="36"/>
        <v>中重型货车</v>
      </c>
      <c r="I686" s="36" t="str">
        <f t="shared" si="37"/>
        <v>Freight HDV</v>
      </c>
      <c r="J686" s="36">
        <v>3572</v>
      </c>
    </row>
    <row r="687" spans="1:10" x14ac:dyDescent="0.15">
      <c r="A687" s="36">
        <v>686</v>
      </c>
      <c r="B687" s="36">
        <v>2020</v>
      </c>
      <c r="C687" s="36" t="s">
        <v>955</v>
      </c>
      <c r="D687" s="36" t="str">
        <f t="shared" si="35"/>
        <v>natural gas vehicle</v>
      </c>
      <c r="E687" s="36" t="s">
        <v>973</v>
      </c>
      <c r="F687" s="36" t="s">
        <v>960</v>
      </c>
      <c r="G687" s="36" t="s">
        <v>972</v>
      </c>
      <c r="H687" s="36" t="str">
        <f t="shared" si="36"/>
        <v>中重型货车</v>
      </c>
      <c r="I687" s="36" t="str">
        <f t="shared" si="37"/>
        <v>Freight HDV</v>
      </c>
      <c r="J687" s="36">
        <v>1979</v>
      </c>
    </row>
    <row r="688" spans="1:10" x14ac:dyDescent="0.15">
      <c r="A688" s="36">
        <v>687</v>
      </c>
      <c r="B688" s="36">
        <v>2021</v>
      </c>
      <c r="C688" s="36" t="s">
        <v>955</v>
      </c>
      <c r="D688" s="36" t="str">
        <f t="shared" si="35"/>
        <v>natural gas vehicle</v>
      </c>
      <c r="E688" s="36" t="s">
        <v>973</v>
      </c>
      <c r="F688" s="36" t="s">
        <v>960</v>
      </c>
      <c r="G688" s="36" t="s">
        <v>972</v>
      </c>
      <c r="H688" s="36" t="str">
        <f t="shared" si="36"/>
        <v>中重型货车</v>
      </c>
      <c r="I688" s="36" t="str">
        <f t="shared" si="37"/>
        <v>Freight HDV</v>
      </c>
      <c r="J688" s="36">
        <v>1393</v>
      </c>
    </row>
    <row r="689" spans="1:10" x14ac:dyDescent="0.15">
      <c r="A689" s="36">
        <v>688</v>
      </c>
      <c r="B689" s="36">
        <v>2015</v>
      </c>
      <c r="C689" s="36" t="s">
        <v>953</v>
      </c>
      <c r="D689" s="36" t="str">
        <f t="shared" si="35"/>
        <v>diesel vehicle</v>
      </c>
      <c r="E689" s="36" t="s">
        <v>969</v>
      </c>
      <c r="F689" s="36" t="s">
        <v>950</v>
      </c>
      <c r="G689" s="36" t="s">
        <v>972</v>
      </c>
      <c r="H689" s="36" t="str">
        <f t="shared" si="36"/>
        <v>道路客车</v>
      </c>
      <c r="I689" s="36" t="str">
        <f t="shared" si="37"/>
        <v>Passenger HDV</v>
      </c>
      <c r="J689" s="36">
        <v>646</v>
      </c>
    </row>
    <row r="690" spans="1:10" x14ac:dyDescent="0.15">
      <c r="A690" s="36">
        <v>689</v>
      </c>
      <c r="B690" s="36">
        <v>2016</v>
      </c>
      <c r="C690" s="36" t="s">
        <v>953</v>
      </c>
      <c r="D690" s="36" t="str">
        <f t="shared" si="35"/>
        <v>diesel vehicle</v>
      </c>
      <c r="E690" s="36" t="s">
        <v>969</v>
      </c>
      <c r="F690" s="36" t="s">
        <v>950</v>
      </c>
      <c r="G690" s="36" t="s">
        <v>972</v>
      </c>
      <c r="H690" s="36" t="str">
        <f t="shared" si="36"/>
        <v>道路客车</v>
      </c>
      <c r="I690" s="36" t="str">
        <f t="shared" si="37"/>
        <v>Passenger HDV</v>
      </c>
      <c r="J690" s="36">
        <v>319</v>
      </c>
    </row>
    <row r="691" spans="1:10" x14ac:dyDescent="0.15">
      <c r="A691" s="36">
        <v>690</v>
      </c>
      <c r="B691" s="36">
        <v>2017</v>
      </c>
      <c r="C691" s="36" t="s">
        <v>953</v>
      </c>
      <c r="D691" s="36" t="str">
        <f t="shared" si="35"/>
        <v>diesel vehicle</v>
      </c>
      <c r="E691" s="36" t="s">
        <v>969</v>
      </c>
      <c r="F691" s="36" t="s">
        <v>950</v>
      </c>
      <c r="G691" s="36" t="s">
        <v>972</v>
      </c>
      <c r="H691" s="36" t="str">
        <f t="shared" si="36"/>
        <v>道路客车</v>
      </c>
      <c r="I691" s="36" t="str">
        <f t="shared" si="37"/>
        <v>Passenger HDV</v>
      </c>
      <c r="J691" s="36">
        <v>327</v>
      </c>
    </row>
    <row r="692" spans="1:10" x14ac:dyDescent="0.15">
      <c r="A692" s="36">
        <v>691</v>
      </c>
      <c r="B692" s="36">
        <v>2018</v>
      </c>
      <c r="C692" s="36" t="s">
        <v>953</v>
      </c>
      <c r="D692" s="36" t="str">
        <f t="shared" si="35"/>
        <v>diesel vehicle</v>
      </c>
      <c r="E692" s="36" t="s">
        <v>969</v>
      </c>
      <c r="F692" s="36" t="s">
        <v>950</v>
      </c>
      <c r="G692" s="36" t="s">
        <v>972</v>
      </c>
      <c r="H692" s="36" t="str">
        <f t="shared" si="36"/>
        <v>道路客车</v>
      </c>
      <c r="I692" s="36" t="str">
        <f t="shared" si="37"/>
        <v>Passenger HDV</v>
      </c>
      <c r="J692" s="36">
        <v>351</v>
      </c>
    </row>
    <row r="693" spans="1:10" x14ac:dyDescent="0.15">
      <c r="A693" s="36">
        <v>692</v>
      </c>
      <c r="B693" s="36">
        <v>2019</v>
      </c>
      <c r="C693" s="36" t="s">
        <v>953</v>
      </c>
      <c r="D693" s="36" t="str">
        <f t="shared" si="35"/>
        <v>diesel vehicle</v>
      </c>
      <c r="E693" s="36" t="s">
        <v>969</v>
      </c>
      <c r="F693" s="36" t="s">
        <v>950</v>
      </c>
      <c r="G693" s="36" t="s">
        <v>972</v>
      </c>
      <c r="H693" s="36" t="str">
        <f t="shared" si="36"/>
        <v>道路客车</v>
      </c>
      <c r="I693" s="36" t="str">
        <f t="shared" si="37"/>
        <v>Passenger HDV</v>
      </c>
      <c r="J693" s="36">
        <v>200</v>
      </c>
    </row>
    <row r="694" spans="1:10" x14ac:dyDescent="0.15">
      <c r="A694" s="36">
        <v>693</v>
      </c>
      <c r="B694" s="36">
        <v>2020</v>
      </c>
      <c r="C694" s="36" t="s">
        <v>953</v>
      </c>
      <c r="D694" s="36" t="str">
        <f t="shared" si="35"/>
        <v>diesel vehicle</v>
      </c>
      <c r="E694" s="36" t="s">
        <v>969</v>
      </c>
      <c r="F694" s="36" t="s">
        <v>950</v>
      </c>
      <c r="G694" s="36" t="s">
        <v>972</v>
      </c>
      <c r="H694" s="36" t="str">
        <f t="shared" si="36"/>
        <v>道路客车</v>
      </c>
      <c r="I694" s="36" t="str">
        <f t="shared" si="37"/>
        <v>Passenger HDV</v>
      </c>
      <c r="J694" s="36">
        <v>118</v>
      </c>
    </row>
    <row r="695" spans="1:10" x14ac:dyDescent="0.15">
      <c r="A695" s="36">
        <v>694</v>
      </c>
      <c r="B695" s="36">
        <v>2021</v>
      </c>
      <c r="C695" s="36" t="s">
        <v>953</v>
      </c>
      <c r="D695" s="36" t="str">
        <f t="shared" si="35"/>
        <v>diesel vehicle</v>
      </c>
      <c r="E695" s="36" t="s">
        <v>969</v>
      </c>
      <c r="F695" s="36" t="s">
        <v>950</v>
      </c>
      <c r="G695" s="36" t="s">
        <v>972</v>
      </c>
      <c r="H695" s="36" t="str">
        <f t="shared" si="36"/>
        <v>道路客车</v>
      </c>
      <c r="I695" s="36" t="str">
        <f t="shared" si="37"/>
        <v>Passenger HDV</v>
      </c>
      <c r="J695" s="36">
        <v>121</v>
      </c>
    </row>
    <row r="696" spans="1:10" x14ac:dyDescent="0.15">
      <c r="A696" s="36">
        <v>695</v>
      </c>
      <c r="B696" s="36">
        <v>2015</v>
      </c>
      <c r="C696" s="36" t="s">
        <v>958</v>
      </c>
      <c r="D696" s="36" t="str">
        <f t="shared" si="35"/>
        <v>battery electric vehicle</v>
      </c>
      <c r="E696" s="36" t="s">
        <v>969</v>
      </c>
      <c r="F696" s="36" t="s">
        <v>950</v>
      </c>
      <c r="G696" s="36" t="s">
        <v>972</v>
      </c>
      <c r="H696" s="36" t="str">
        <f t="shared" si="36"/>
        <v>道路客车</v>
      </c>
      <c r="I696" s="36" t="str">
        <f t="shared" si="37"/>
        <v>Passenger HDV</v>
      </c>
      <c r="J696" s="36">
        <v>1</v>
      </c>
    </row>
    <row r="697" spans="1:10" x14ac:dyDescent="0.15">
      <c r="A697" s="36">
        <v>696</v>
      </c>
      <c r="B697" s="36">
        <v>2018</v>
      </c>
      <c r="C697" s="36" t="s">
        <v>958</v>
      </c>
      <c r="D697" s="36" t="str">
        <f t="shared" si="35"/>
        <v>battery electric vehicle</v>
      </c>
      <c r="E697" s="36" t="s">
        <v>969</v>
      </c>
      <c r="F697" s="36" t="s">
        <v>950</v>
      </c>
      <c r="G697" s="36" t="s">
        <v>972</v>
      </c>
      <c r="H697" s="36" t="str">
        <f t="shared" si="36"/>
        <v>道路客车</v>
      </c>
      <c r="I697" s="36" t="str">
        <f t="shared" si="37"/>
        <v>Passenger HDV</v>
      </c>
      <c r="J697" s="36">
        <v>1</v>
      </c>
    </row>
    <row r="698" spans="1:10" x14ac:dyDescent="0.15">
      <c r="A698" s="36">
        <v>697</v>
      </c>
      <c r="B698" s="36">
        <v>2015</v>
      </c>
      <c r="C698" s="36" t="s">
        <v>952</v>
      </c>
      <c r="D698" s="36" t="str">
        <f t="shared" si="35"/>
        <v>gasoline vehicle</v>
      </c>
      <c r="E698" s="36" t="s">
        <v>969</v>
      </c>
      <c r="F698" s="36" t="s">
        <v>950</v>
      </c>
      <c r="G698" s="36" t="s">
        <v>972</v>
      </c>
      <c r="H698" s="36" t="str">
        <f t="shared" si="36"/>
        <v>道路客车</v>
      </c>
      <c r="I698" s="36" t="str">
        <f t="shared" si="37"/>
        <v>Passenger HDV</v>
      </c>
      <c r="J698" s="36">
        <v>16</v>
      </c>
    </row>
    <row r="699" spans="1:10" x14ac:dyDescent="0.15">
      <c r="A699" s="36">
        <v>698</v>
      </c>
      <c r="B699" s="36">
        <v>2017</v>
      </c>
      <c r="C699" s="36" t="s">
        <v>952</v>
      </c>
      <c r="D699" s="36" t="str">
        <f t="shared" si="35"/>
        <v>gasoline vehicle</v>
      </c>
      <c r="E699" s="36" t="s">
        <v>969</v>
      </c>
      <c r="F699" s="36" t="s">
        <v>950</v>
      </c>
      <c r="G699" s="36" t="s">
        <v>972</v>
      </c>
      <c r="H699" s="36" t="str">
        <f t="shared" si="36"/>
        <v>道路客车</v>
      </c>
      <c r="I699" s="36" t="str">
        <f t="shared" si="37"/>
        <v>Passenger HDV</v>
      </c>
      <c r="J699" s="36">
        <v>4</v>
      </c>
    </row>
    <row r="700" spans="1:10" x14ac:dyDescent="0.15">
      <c r="A700" s="36">
        <v>699</v>
      </c>
      <c r="B700" s="36">
        <v>2018</v>
      </c>
      <c r="C700" s="36" t="s">
        <v>952</v>
      </c>
      <c r="D700" s="36" t="str">
        <f t="shared" si="35"/>
        <v>gasoline vehicle</v>
      </c>
      <c r="E700" s="36" t="s">
        <v>969</v>
      </c>
      <c r="F700" s="36" t="s">
        <v>950</v>
      </c>
      <c r="G700" s="36" t="s">
        <v>972</v>
      </c>
      <c r="H700" s="36" t="str">
        <f t="shared" si="36"/>
        <v>道路客车</v>
      </c>
      <c r="I700" s="36" t="str">
        <f t="shared" si="37"/>
        <v>Passenger HDV</v>
      </c>
      <c r="J700" s="36">
        <v>43</v>
      </c>
    </row>
    <row r="701" spans="1:10" x14ac:dyDescent="0.15">
      <c r="A701" s="36">
        <v>700</v>
      </c>
      <c r="B701" s="36">
        <v>2019</v>
      </c>
      <c r="C701" s="36" t="s">
        <v>952</v>
      </c>
      <c r="D701" s="36" t="str">
        <f t="shared" si="35"/>
        <v>gasoline vehicle</v>
      </c>
      <c r="E701" s="36" t="s">
        <v>969</v>
      </c>
      <c r="F701" s="36" t="s">
        <v>950</v>
      </c>
      <c r="G701" s="36" t="s">
        <v>972</v>
      </c>
      <c r="H701" s="36" t="str">
        <f t="shared" si="36"/>
        <v>道路客车</v>
      </c>
      <c r="I701" s="36" t="str">
        <f t="shared" si="37"/>
        <v>Passenger HDV</v>
      </c>
      <c r="J701" s="36">
        <v>12</v>
      </c>
    </row>
    <row r="702" spans="1:10" x14ac:dyDescent="0.15">
      <c r="A702" s="36">
        <v>701</v>
      </c>
      <c r="B702" s="36">
        <v>2020</v>
      </c>
      <c r="C702" s="36" t="s">
        <v>952</v>
      </c>
      <c r="D702" s="36" t="str">
        <f t="shared" si="35"/>
        <v>gasoline vehicle</v>
      </c>
      <c r="E702" s="36" t="s">
        <v>969</v>
      </c>
      <c r="F702" s="36" t="s">
        <v>950</v>
      </c>
      <c r="G702" s="36" t="s">
        <v>972</v>
      </c>
      <c r="H702" s="36" t="str">
        <f t="shared" si="36"/>
        <v>道路客车</v>
      </c>
      <c r="I702" s="36" t="str">
        <f t="shared" si="37"/>
        <v>Passenger HDV</v>
      </c>
      <c r="J702" s="36">
        <v>6</v>
      </c>
    </row>
    <row r="703" spans="1:10" x14ac:dyDescent="0.15">
      <c r="A703" s="36">
        <v>702</v>
      </c>
      <c r="B703" s="36">
        <v>2021</v>
      </c>
      <c r="C703" s="36" t="s">
        <v>952</v>
      </c>
      <c r="D703" s="36" t="str">
        <f t="shared" si="35"/>
        <v>gasoline vehicle</v>
      </c>
      <c r="E703" s="36" t="s">
        <v>969</v>
      </c>
      <c r="F703" s="36" t="s">
        <v>950</v>
      </c>
      <c r="G703" s="36" t="s">
        <v>972</v>
      </c>
      <c r="H703" s="36" t="str">
        <f t="shared" si="36"/>
        <v>道路客车</v>
      </c>
      <c r="I703" s="36" t="str">
        <f t="shared" si="37"/>
        <v>Passenger HDV</v>
      </c>
      <c r="J703" s="36">
        <v>8</v>
      </c>
    </row>
    <row r="704" spans="1:10" x14ac:dyDescent="0.15">
      <c r="A704" s="36">
        <v>703</v>
      </c>
      <c r="B704" s="36">
        <v>2018</v>
      </c>
      <c r="C704" s="36" t="s">
        <v>966</v>
      </c>
      <c r="D704" s="36" t="str">
        <f t="shared" si="35"/>
        <v>hydrogen vehicle</v>
      </c>
      <c r="E704" s="36" t="s">
        <v>969</v>
      </c>
      <c r="F704" s="36" t="s">
        <v>950</v>
      </c>
      <c r="G704" s="36" t="s">
        <v>972</v>
      </c>
      <c r="H704" s="36" t="str">
        <f t="shared" si="36"/>
        <v>道路客车</v>
      </c>
      <c r="I704" s="36" t="str">
        <f t="shared" si="37"/>
        <v>Passenger HDV</v>
      </c>
      <c r="J704" s="36">
        <v>36</v>
      </c>
    </row>
    <row r="705" spans="1:10" x14ac:dyDescent="0.15">
      <c r="A705" s="36">
        <v>704</v>
      </c>
      <c r="B705" s="36">
        <v>2015</v>
      </c>
      <c r="C705" s="36" t="s">
        <v>955</v>
      </c>
      <c r="D705" s="36" t="str">
        <f t="shared" si="35"/>
        <v>natural gas vehicle</v>
      </c>
      <c r="E705" s="36" t="s">
        <v>969</v>
      </c>
      <c r="F705" s="36" t="s">
        <v>950</v>
      </c>
      <c r="G705" s="36" t="s">
        <v>972</v>
      </c>
      <c r="H705" s="36" t="str">
        <f t="shared" si="36"/>
        <v>道路客车</v>
      </c>
      <c r="I705" s="36" t="str">
        <f t="shared" si="37"/>
        <v>Passenger HDV</v>
      </c>
      <c r="J705" s="36">
        <v>35</v>
      </c>
    </row>
    <row r="706" spans="1:10" x14ac:dyDescent="0.15">
      <c r="A706" s="36">
        <v>705</v>
      </c>
      <c r="B706" s="36">
        <v>2016</v>
      </c>
      <c r="C706" s="36" t="s">
        <v>955</v>
      </c>
      <c r="D706" s="36" t="str">
        <f t="shared" ref="D706:D769" si="38">VLOOKUP(C706,M$3:N$16,2,FALSE)</f>
        <v>natural gas vehicle</v>
      </c>
      <c r="E706" s="36" t="s">
        <v>969</v>
      </c>
      <c r="F706" s="36" t="s">
        <v>950</v>
      </c>
      <c r="G706" s="36" t="s">
        <v>972</v>
      </c>
      <c r="H706" s="36" t="str">
        <f t="shared" ref="H706:H769" si="39">VLOOKUP(E706&amp;F706&amp;G706,$S$3:$U$68,2,FALSE)</f>
        <v>道路客车</v>
      </c>
      <c r="I706" s="36" t="str">
        <f t="shared" ref="I706:I769" si="40">VLOOKUP(E706&amp;F706&amp;G706,$S$3:$U$68,3,FALSE)</f>
        <v>Passenger HDV</v>
      </c>
      <c r="J706" s="36">
        <v>3</v>
      </c>
    </row>
    <row r="707" spans="1:10" x14ac:dyDescent="0.15">
      <c r="A707" s="36">
        <v>706</v>
      </c>
      <c r="B707" s="36">
        <v>2017</v>
      </c>
      <c r="C707" s="36" t="s">
        <v>955</v>
      </c>
      <c r="D707" s="36" t="str">
        <f t="shared" si="38"/>
        <v>natural gas vehicle</v>
      </c>
      <c r="E707" s="36" t="s">
        <v>969</v>
      </c>
      <c r="F707" s="36" t="s">
        <v>950</v>
      </c>
      <c r="G707" s="36" t="s">
        <v>972</v>
      </c>
      <c r="H707" s="36" t="str">
        <f t="shared" si="39"/>
        <v>道路客车</v>
      </c>
      <c r="I707" s="36" t="str">
        <f t="shared" si="40"/>
        <v>Passenger HDV</v>
      </c>
      <c r="J707" s="36">
        <v>1</v>
      </c>
    </row>
    <row r="708" spans="1:10" x14ac:dyDescent="0.15">
      <c r="A708" s="36">
        <v>707</v>
      </c>
      <c r="B708" s="36">
        <v>2018</v>
      </c>
      <c r="C708" s="36" t="s">
        <v>955</v>
      </c>
      <c r="D708" s="36" t="str">
        <f t="shared" si="38"/>
        <v>natural gas vehicle</v>
      </c>
      <c r="E708" s="36" t="s">
        <v>969</v>
      </c>
      <c r="F708" s="36" t="s">
        <v>950</v>
      </c>
      <c r="G708" s="36" t="s">
        <v>972</v>
      </c>
      <c r="H708" s="36" t="str">
        <f t="shared" si="39"/>
        <v>道路客车</v>
      </c>
      <c r="I708" s="36" t="str">
        <f t="shared" si="40"/>
        <v>Passenger HDV</v>
      </c>
      <c r="J708" s="36">
        <v>2</v>
      </c>
    </row>
    <row r="709" spans="1:10" x14ac:dyDescent="0.15">
      <c r="A709" s="36">
        <v>708</v>
      </c>
      <c r="B709" s="36">
        <v>2019</v>
      </c>
      <c r="C709" s="36" t="s">
        <v>961</v>
      </c>
      <c r="D709" s="36" t="str">
        <f t="shared" si="38"/>
        <v>plugin hybrid vehicle</v>
      </c>
      <c r="E709" s="36" t="s">
        <v>979</v>
      </c>
      <c r="F709" s="36" t="s">
        <v>950</v>
      </c>
      <c r="G709" s="36" t="s">
        <v>972</v>
      </c>
      <c r="H709" s="36" t="str">
        <f t="shared" si="39"/>
        <v>轻型货车</v>
      </c>
      <c r="I709" s="36" t="str">
        <f t="shared" si="40"/>
        <v>Freight LDV</v>
      </c>
      <c r="J709" s="36">
        <v>49</v>
      </c>
    </row>
    <row r="710" spans="1:10" x14ac:dyDescent="0.15">
      <c r="A710" s="36">
        <v>709</v>
      </c>
      <c r="B710" s="36">
        <v>2020</v>
      </c>
      <c r="C710" s="36" t="s">
        <v>961</v>
      </c>
      <c r="D710" s="36" t="str">
        <f t="shared" si="38"/>
        <v>plugin hybrid vehicle</v>
      </c>
      <c r="E710" s="36" t="s">
        <v>979</v>
      </c>
      <c r="F710" s="36" t="s">
        <v>950</v>
      </c>
      <c r="G710" s="36" t="s">
        <v>972</v>
      </c>
      <c r="H710" s="36" t="str">
        <f t="shared" si="39"/>
        <v>轻型货车</v>
      </c>
      <c r="I710" s="36" t="str">
        <f t="shared" si="40"/>
        <v>Freight LDV</v>
      </c>
      <c r="J710" s="36">
        <v>196</v>
      </c>
    </row>
    <row r="711" spans="1:10" x14ac:dyDescent="0.15">
      <c r="A711" s="36">
        <v>710</v>
      </c>
      <c r="B711" s="36">
        <v>2021</v>
      </c>
      <c r="C711" s="36" t="s">
        <v>961</v>
      </c>
      <c r="D711" s="36" t="str">
        <f t="shared" si="38"/>
        <v>plugin hybrid vehicle</v>
      </c>
      <c r="E711" s="36" t="s">
        <v>979</v>
      </c>
      <c r="F711" s="36" t="s">
        <v>950</v>
      </c>
      <c r="G711" s="36" t="s">
        <v>972</v>
      </c>
      <c r="H711" s="36" t="str">
        <f t="shared" si="39"/>
        <v>轻型货车</v>
      </c>
      <c r="I711" s="36" t="str">
        <f t="shared" si="40"/>
        <v>Freight LDV</v>
      </c>
      <c r="J711" s="36">
        <v>894</v>
      </c>
    </row>
    <row r="712" spans="1:10" x14ac:dyDescent="0.15">
      <c r="A712" s="36">
        <v>711</v>
      </c>
      <c r="B712" s="36">
        <v>2015</v>
      </c>
      <c r="C712" s="36" t="s">
        <v>953</v>
      </c>
      <c r="D712" s="36" t="str">
        <f t="shared" si="38"/>
        <v>diesel vehicle</v>
      </c>
      <c r="E712" s="36" t="s">
        <v>979</v>
      </c>
      <c r="F712" s="36" t="s">
        <v>950</v>
      </c>
      <c r="G712" s="36" t="s">
        <v>972</v>
      </c>
      <c r="H712" s="36" t="str">
        <f t="shared" si="39"/>
        <v>轻型货车</v>
      </c>
      <c r="I712" s="36" t="str">
        <f t="shared" si="40"/>
        <v>Freight LDV</v>
      </c>
      <c r="J712" s="36">
        <v>294279</v>
      </c>
    </row>
    <row r="713" spans="1:10" x14ac:dyDescent="0.15">
      <c r="A713" s="36">
        <v>712</v>
      </c>
      <c r="B713" s="36">
        <v>2016</v>
      </c>
      <c r="C713" s="36" t="s">
        <v>953</v>
      </c>
      <c r="D713" s="36" t="str">
        <f t="shared" si="38"/>
        <v>diesel vehicle</v>
      </c>
      <c r="E713" s="36" t="s">
        <v>979</v>
      </c>
      <c r="F713" s="36" t="s">
        <v>950</v>
      </c>
      <c r="G713" s="36" t="s">
        <v>972</v>
      </c>
      <c r="H713" s="36" t="str">
        <f t="shared" si="39"/>
        <v>轻型货车</v>
      </c>
      <c r="I713" s="36" t="str">
        <f t="shared" si="40"/>
        <v>Freight LDV</v>
      </c>
      <c r="J713" s="36">
        <v>324335</v>
      </c>
    </row>
    <row r="714" spans="1:10" x14ac:dyDescent="0.15">
      <c r="A714" s="36">
        <v>713</v>
      </c>
      <c r="B714" s="36">
        <v>2017</v>
      </c>
      <c r="C714" s="36" t="s">
        <v>953</v>
      </c>
      <c r="D714" s="36" t="str">
        <f t="shared" si="38"/>
        <v>diesel vehicle</v>
      </c>
      <c r="E714" s="36" t="s">
        <v>979</v>
      </c>
      <c r="F714" s="36" t="s">
        <v>950</v>
      </c>
      <c r="G714" s="36" t="s">
        <v>972</v>
      </c>
      <c r="H714" s="36" t="str">
        <f t="shared" si="39"/>
        <v>轻型货车</v>
      </c>
      <c r="I714" s="36" t="str">
        <f t="shared" si="40"/>
        <v>Freight LDV</v>
      </c>
      <c r="J714" s="36">
        <v>404272</v>
      </c>
    </row>
    <row r="715" spans="1:10" x14ac:dyDescent="0.15">
      <c r="A715" s="36">
        <v>714</v>
      </c>
      <c r="B715" s="36">
        <v>2018</v>
      </c>
      <c r="C715" s="36" t="s">
        <v>953</v>
      </c>
      <c r="D715" s="36" t="str">
        <f t="shared" si="38"/>
        <v>diesel vehicle</v>
      </c>
      <c r="E715" s="36" t="s">
        <v>979</v>
      </c>
      <c r="F715" s="36" t="s">
        <v>950</v>
      </c>
      <c r="G715" s="36" t="s">
        <v>972</v>
      </c>
      <c r="H715" s="36" t="str">
        <f t="shared" si="39"/>
        <v>轻型货车</v>
      </c>
      <c r="I715" s="36" t="str">
        <f t="shared" si="40"/>
        <v>Freight LDV</v>
      </c>
      <c r="J715" s="36">
        <v>383072</v>
      </c>
    </row>
    <row r="716" spans="1:10" x14ac:dyDescent="0.15">
      <c r="A716" s="36">
        <v>715</v>
      </c>
      <c r="B716" s="36">
        <v>2019</v>
      </c>
      <c r="C716" s="36" t="s">
        <v>953</v>
      </c>
      <c r="D716" s="36" t="str">
        <f t="shared" si="38"/>
        <v>diesel vehicle</v>
      </c>
      <c r="E716" s="36" t="s">
        <v>979</v>
      </c>
      <c r="F716" s="36" t="s">
        <v>950</v>
      </c>
      <c r="G716" s="36" t="s">
        <v>972</v>
      </c>
      <c r="H716" s="36" t="str">
        <f t="shared" si="39"/>
        <v>轻型货车</v>
      </c>
      <c r="I716" s="36" t="str">
        <f t="shared" si="40"/>
        <v>Freight LDV</v>
      </c>
      <c r="J716" s="36">
        <v>263663</v>
      </c>
    </row>
    <row r="717" spans="1:10" x14ac:dyDescent="0.15">
      <c r="A717" s="36">
        <v>716</v>
      </c>
      <c r="B717" s="36">
        <v>2020</v>
      </c>
      <c r="C717" s="36" t="s">
        <v>953</v>
      </c>
      <c r="D717" s="36" t="str">
        <f t="shared" si="38"/>
        <v>diesel vehicle</v>
      </c>
      <c r="E717" s="36" t="s">
        <v>979</v>
      </c>
      <c r="F717" s="36" t="s">
        <v>950</v>
      </c>
      <c r="G717" s="36" t="s">
        <v>972</v>
      </c>
      <c r="H717" s="36" t="str">
        <f t="shared" si="39"/>
        <v>轻型货车</v>
      </c>
      <c r="I717" s="36" t="str">
        <f t="shared" si="40"/>
        <v>Freight LDV</v>
      </c>
      <c r="J717" s="36">
        <v>306799</v>
      </c>
    </row>
    <row r="718" spans="1:10" x14ac:dyDescent="0.15">
      <c r="A718" s="36">
        <v>717</v>
      </c>
      <c r="B718" s="36">
        <v>2021</v>
      </c>
      <c r="C718" s="36" t="s">
        <v>953</v>
      </c>
      <c r="D718" s="36" t="str">
        <f t="shared" si="38"/>
        <v>diesel vehicle</v>
      </c>
      <c r="E718" s="36" t="s">
        <v>979</v>
      </c>
      <c r="F718" s="36" t="s">
        <v>950</v>
      </c>
      <c r="G718" s="36" t="s">
        <v>972</v>
      </c>
      <c r="H718" s="36" t="str">
        <f t="shared" si="39"/>
        <v>轻型货车</v>
      </c>
      <c r="I718" s="36" t="str">
        <f t="shared" si="40"/>
        <v>Freight LDV</v>
      </c>
      <c r="J718" s="36">
        <v>257324</v>
      </c>
    </row>
    <row r="719" spans="1:10" x14ac:dyDescent="0.15">
      <c r="A719" s="36">
        <v>718</v>
      </c>
      <c r="B719" s="36">
        <v>2015</v>
      </c>
      <c r="C719" s="36" t="s">
        <v>958</v>
      </c>
      <c r="D719" s="36" t="str">
        <f t="shared" si="38"/>
        <v>battery electric vehicle</v>
      </c>
      <c r="E719" s="36" t="s">
        <v>979</v>
      </c>
      <c r="F719" s="36" t="s">
        <v>950</v>
      </c>
      <c r="G719" s="36" t="s">
        <v>972</v>
      </c>
      <c r="H719" s="36" t="str">
        <f t="shared" si="39"/>
        <v>轻型货车</v>
      </c>
      <c r="I719" s="36" t="str">
        <f t="shared" si="40"/>
        <v>Freight LDV</v>
      </c>
      <c r="J719" s="36">
        <v>6722</v>
      </c>
    </row>
    <row r="720" spans="1:10" x14ac:dyDescent="0.15">
      <c r="A720" s="36">
        <v>719</v>
      </c>
      <c r="B720" s="36">
        <v>2016</v>
      </c>
      <c r="C720" s="36" t="s">
        <v>958</v>
      </c>
      <c r="D720" s="36" t="str">
        <f t="shared" si="38"/>
        <v>battery electric vehicle</v>
      </c>
      <c r="E720" s="36" t="s">
        <v>979</v>
      </c>
      <c r="F720" s="36" t="s">
        <v>950</v>
      </c>
      <c r="G720" s="36" t="s">
        <v>972</v>
      </c>
      <c r="H720" s="36" t="str">
        <f t="shared" si="39"/>
        <v>轻型货车</v>
      </c>
      <c r="I720" s="36" t="str">
        <f t="shared" si="40"/>
        <v>Freight LDV</v>
      </c>
      <c r="J720" s="36">
        <v>12211</v>
      </c>
    </row>
    <row r="721" spans="1:10" x14ac:dyDescent="0.15">
      <c r="A721" s="36">
        <v>720</v>
      </c>
      <c r="B721" s="36">
        <v>2017</v>
      </c>
      <c r="C721" s="36" t="s">
        <v>958</v>
      </c>
      <c r="D721" s="36" t="str">
        <f t="shared" si="38"/>
        <v>battery electric vehicle</v>
      </c>
      <c r="E721" s="36" t="s">
        <v>979</v>
      </c>
      <c r="F721" s="36" t="s">
        <v>950</v>
      </c>
      <c r="G721" s="36" t="s">
        <v>972</v>
      </c>
      <c r="H721" s="36" t="str">
        <f t="shared" si="39"/>
        <v>轻型货车</v>
      </c>
      <c r="I721" s="36" t="str">
        <f t="shared" si="40"/>
        <v>Freight LDV</v>
      </c>
      <c r="J721" s="36">
        <v>41993</v>
      </c>
    </row>
    <row r="722" spans="1:10" x14ac:dyDescent="0.15">
      <c r="A722" s="36">
        <v>721</v>
      </c>
      <c r="B722" s="36">
        <v>2018</v>
      </c>
      <c r="C722" s="36" t="s">
        <v>958</v>
      </c>
      <c r="D722" s="36" t="str">
        <f t="shared" si="38"/>
        <v>battery electric vehicle</v>
      </c>
      <c r="E722" s="36" t="s">
        <v>979</v>
      </c>
      <c r="F722" s="36" t="s">
        <v>950</v>
      </c>
      <c r="G722" s="36" t="s">
        <v>972</v>
      </c>
      <c r="H722" s="36" t="str">
        <f t="shared" si="39"/>
        <v>轻型货车</v>
      </c>
      <c r="I722" s="36" t="str">
        <f t="shared" si="40"/>
        <v>Freight LDV</v>
      </c>
      <c r="J722" s="36">
        <v>25505</v>
      </c>
    </row>
    <row r="723" spans="1:10" x14ac:dyDescent="0.15">
      <c r="A723" s="36">
        <v>722</v>
      </c>
      <c r="B723" s="36">
        <v>2019</v>
      </c>
      <c r="C723" s="36" t="s">
        <v>958</v>
      </c>
      <c r="D723" s="36" t="str">
        <f t="shared" si="38"/>
        <v>battery electric vehicle</v>
      </c>
      <c r="E723" s="36" t="s">
        <v>979</v>
      </c>
      <c r="F723" s="36" t="s">
        <v>950</v>
      </c>
      <c r="G723" s="36" t="s">
        <v>972</v>
      </c>
      <c r="H723" s="36" t="str">
        <f t="shared" si="39"/>
        <v>轻型货车</v>
      </c>
      <c r="I723" s="36" t="str">
        <f t="shared" si="40"/>
        <v>Freight LDV</v>
      </c>
      <c r="J723" s="36">
        <v>10991</v>
      </c>
    </row>
    <row r="724" spans="1:10" x14ac:dyDescent="0.15">
      <c r="A724" s="36">
        <v>723</v>
      </c>
      <c r="B724" s="36">
        <v>2020</v>
      </c>
      <c r="C724" s="36" t="s">
        <v>958</v>
      </c>
      <c r="D724" s="36" t="str">
        <f t="shared" si="38"/>
        <v>battery electric vehicle</v>
      </c>
      <c r="E724" s="36" t="s">
        <v>979</v>
      </c>
      <c r="F724" s="36" t="s">
        <v>950</v>
      </c>
      <c r="G724" s="36" t="s">
        <v>972</v>
      </c>
      <c r="H724" s="36" t="str">
        <f t="shared" si="39"/>
        <v>轻型货车</v>
      </c>
      <c r="I724" s="36" t="str">
        <f t="shared" si="40"/>
        <v>Freight LDV</v>
      </c>
      <c r="J724" s="36">
        <v>9318</v>
      </c>
    </row>
    <row r="725" spans="1:10" x14ac:dyDescent="0.15">
      <c r="A725" s="36">
        <v>724</v>
      </c>
      <c r="B725" s="36">
        <v>2021</v>
      </c>
      <c r="C725" s="36" t="s">
        <v>958</v>
      </c>
      <c r="D725" s="36" t="str">
        <f t="shared" si="38"/>
        <v>battery electric vehicle</v>
      </c>
      <c r="E725" s="36" t="s">
        <v>979</v>
      </c>
      <c r="F725" s="36" t="s">
        <v>950</v>
      </c>
      <c r="G725" s="36" t="s">
        <v>972</v>
      </c>
      <c r="H725" s="36" t="str">
        <f t="shared" si="39"/>
        <v>轻型货车</v>
      </c>
      <c r="I725" s="36" t="str">
        <f t="shared" si="40"/>
        <v>Freight LDV</v>
      </c>
      <c r="J725" s="36">
        <v>24556</v>
      </c>
    </row>
    <row r="726" spans="1:10" x14ac:dyDescent="0.15">
      <c r="A726" s="36">
        <v>725</v>
      </c>
      <c r="B726" s="36">
        <v>2015</v>
      </c>
      <c r="C726" s="36" t="s">
        <v>957</v>
      </c>
      <c r="D726" s="36" t="str">
        <f t="shared" si="38"/>
        <v>hybrid fuel vehicle</v>
      </c>
      <c r="E726" s="36" t="s">
        <v>979</v>
      </c>
      <c r="F726" s="36" t="s">
        <v>950</v>
      </c>
      <c r="G726" s="36" t="s">
        <v>972</v>
      </c>
      <c r="H726" s="36" t="str">
        <f t="shared" si="39"/>
        <v>轻型货车</v>
      </c>
      <c r="I726" s="36" t="str">
        <f t="shared" si="40"/>
        <v>Freight LDV</v>
      </c>
      <c r="J726" s="36">
        <v>3</v>
      </c>
    </row>
    <row r="727" spans="1:10" x14ac:dyDescent="0.15">
      <c r="A727" s="36">
        <v>726</v>
      </c>
      <c r="B727" s="36">
        <v>2021</v>
      </c>
      <c r="C727" s="36" t="s">
        <v>957</v>
      </c>
      <c r="D727" s="36" t="str">
        <f t="shared" si="38"/>
        <v>hybrid fuel vehicle</v>
      </c>
      <c r="E727" s="36" t="s">
        <v>979</v>
      </c>
      <c r="F727" s="36" t="s">
        <v>950</v>
      </c>
      <c r="G727" s="36" t="s">
        <v>972</v>
      </c>
      <c r="H727" s="36" t="str">
        <f t="shared" si="39"/>
        <v>轻型货车</v>
      </c>
      <c r="I727" s="36" t="str">
        <f t="shared" si="40"/>
        <v>Freight LDV</v>
      </c>
      <c r="J727" s="36">
        <v>7</v>
      </c>
    </row>
    <row r="728" spans="1:10" x14ac:dyDescent="0.15">
      <c r="A728" s="36">
        <v>727</v>
      </c>
      <c r="B728" s="36">
        <v>2015</v>
      </c>
      <c r="C728" s="36" t="s">
        <v>952</v>
      </c>
      <c r="D728" s="36" t="str">
        <f t="shared" si="38"/>
        <v>gasoline vehicle</v>
      </c>
      <c r="E728" s="36" t="s">
        <v>979</v>
      </c>
      <c r="F728" s="36" t="s">
        <v>950</v>
      </c>
      <c r="G728" s="36" t="s">
        <v>972</v>
      </c>
      <c r="H728" s="36" t="str">
        <f t="shared" si="39"/>
        <v>轻型货车</v>
      </c>
      <c r="I728" s="36" t="str">
        <f t="shared" si="40"/>
        <v>Freight LDV</v>
      </c>
      <c r="J728" s="36">
        <v>153337</v>
      </c>
    </row>
    <row r="729" spans="1:10" x14ac:dyDescent="0.15">
      <c r="A729" s="36">
        <v>728</v>
      </c>
      <c r="B729" s="36">
        <v>2016</v>
      </c>
      <c r="C729" s="36" t="s">
        <v>952</v>
      </c>
      <c r="D729" s="36" t="str">
        <f t="shared" si="38"/>
        <v>gasoline vehicle</v>
      </c>
      <c r="E729" s="36" t="s">
        <v>979</v>
      </c>
      <c r="F729" s="36" t="s">
        <v>950</v>
      </c>
      <c r="G729" s="36" t="s">
        <v>972</v>
      </c>
      <c r="H729" s="36" t="str">
        <f t="shared" si="39"/>
        <v>轻型货车</v>
      </c>
      <c r="I729" s="36" t="str">
        <f t="shared" si="40"/>
        <v>Freight LDV</v>
      </c>
      <c r="J729" s="36">
        <v>116941</v>
      </c>
    </row>
    <row r="730" spans="1:10" x14ac:dyDescent="0.15">
      <c r="A730" s="36">
        <v>729</v>
      </c>
      <c r="B730" s="36">
        <v>2017</v>
      </c>
      <c r="C730" s="36" t="s">
        <v>952</v>
      </c>
      <c r="D730" s="36" t="str">
        <f t="shared" si="38"/>
        <v>gasoline vehicle</v>
      </c>
      <c r="E730" s="36" t="s">
        <v>979</v>
      </c>
      <c r="F730" s="36" t="s">
        <v>950</v>
      </c>
      <c r="G730" s="36" t="s">
        <v>972</v>
      </c>
      <c r="H730" s="36" t="str">
        <f t="shared" si="39"/>
        <v>轻型货车</v>
      </c>
      <c r="I730" s="36" t="str">
        <f t="shared" si="40"/>
        <v>Freight LDV</v>
      </c>
      <c r="J730" s="36">
        <v>144310</v>
      </c>
    </row>
    <row r="731" spans="1:10" x14ac:dyDescent="0.15">
      <c r="A731" s="36">
        <v>730</v>
      </c>
      <c r="B731" s="36">
        <v>2018</v>
      </c>
      <c r="C731" s="36" t="s">
        <v>952</v>
      </c>
      <c r="D731" s="36" t="str">
        <f t="shared" si="38"/>
        <v>gasoline vehicle</v>
      </c>
      <c r="E731" s="36" t="s">
        <v>979</v>
      </c>
      <c r="F731" s="36" t="s">
        <v>950</v>
      </c>
      <c r="G731" s="36" t="s">
        <v>972</v>
      </c>
      <c r="H731" s="36" t="str">
        <f t="shared" si="39"/>
        <v>轻型货车</v>
      </c>
      <c r="I731" s="36" t="str">
        <f t="shared" si="40"/>
        <v>Freight LDV</v>
      </c>
      <c r="J731" s="36">
        <v>85155</v>
      </c>
    </row>
    <row r="732" spans="1:10" x14ac:dyDescent="0.15">
      <c r="A732" s="36">
        <v>731</v>
      </c>
      <c r="B732" s="36">
        <v>2019</v>
      </c>
      <c r="C732" s="36" t="s">
        <v>952</v>
      </c>
      <c r="D732" s="36" t="str">
        <f t="shared" si="38"/>
        <v>gasoline vehicle</v>
      </c>
      <c r="E732" s="36" t="s">
        <v>979</v>
      </c>
      <c r="F732" s="36" t="s">
        <v>950</v>
      </c>
      <c r="G732" s="36" t="s">
        <v>972</v>
      </c>
      <c r="H732" s="36" t="str">
        <f t="shared" si="39"/>
        <v>轻型货车</v>
      </c>
      <c r="I732" s="36" t="str">
        <f t="shared" si="40"/>
        <v>Freight LDV</v>
      </c>
      <c r="J732" s="36">
        <v>57981</v>
      </c>
    </row>
    <row r="733" spans="1:10" x14ac:dyDescent="0.15">
      <c r="A733" s="36">
        <v>732</v>
      </c>
      <c r="B733" s="36">
        <v>2020</v>
      </c>
      <c r="C733" s="36" t="s">
        <v>952</v>
      </c>
      <c r="D733" s="36" t="str">
        <f t="shared" si="38"/>
        <v>gasoline vehicle</v>
      </c>
      <c r="E733" s="36" t="s">
        <v>979</v>
      </c>
      <c r="F733" s="36" t="s">
        <v>950</v>
      </c>
      <c r="G733" s="36" t="s">
        <v>972</v>
      </c>
      <c r="H733" s="36" t="str">
        <f t="shared" si="39"/>
        <v>轻型货车</v>
      </c>
      <c r="I733" s="36" t="str">
        <f t="shared" si="40"/>
        <v>Freight LDV</v>
      </c>
      <c r="J733" s="36">
        <v>47410</v>
      </c>
    </row>
    <row r="734" spans="1:10" x14ac:dyDescent="0.15">
      <c r="A734" s="36">
        <v>733</v>
      </c>
      <c r="B734" s="36">
        <v>2021</v>
      </c>
      <c r="C734" s="36" t="s">
        <v>952</v>
      </c>
      <c r="D734" s="36" t="str">
        <f t="shared" si="38"/>
        <v>gasoline vehicle</v>
      </c>
      <c r="E734" s="36" t="s">
        <v>979</v>
      </c>
      <c r="F734" s="36" t="s">
        <v>950</v>
      </c>
      <c r="G734" s="36" t="s">
        <v>972</v>
      </c>
      <c r="H734" s="36" t="str">
        <f t="shared" si="39"/>
        <v>轻型货车</v>
      </c>
      <c r="I734" s="36" t="str">
        <f t="shared" si="40"/>
        <v>Freight LDV</v>
      </c>
      <c r="J734" s="36">
        <v>45364</v>
      </c>
    </row>
    <row r="735" spans="1:10" x14ac:dyDescent="0.15">
      <c r="A735" s="36">
        <v>734</v>
      </c>
      <c r="B735" s="36">
        <v>2015</v>
      </c>
      <c r="C735" s="36" t="s">
        <v>956</v>
      </c>
      <c r="D735" s="36" t="str">
        <f t="shared" si="38"/>
        <v>natural gas vehicle</v>
      </c>
      <c r="E735" s="36" t="s">
        <v>979</v>
      </c>
      <c r="F735" s="36" t="s">
        <v>950</v>
      </c>
      <c r="G735" s="36" t="s">
        <v>972</v>
      </c>
      <c r="H735" s="36" t="str">
        <f t="shared" si="39"/>
        <v>轻型货车</v>
      </c>
      <c r="I735" s="36" t="str">
        <f t="shared" si="40"/>
        <v>Freight LDV</v>
      </c>
      <c r="J735" s="36">
        <v>16286</v>
      </c>
    </row>
    <row r="736" spans="1:10" x14ac:dyDescent="0.15">
      <c r="A736" s="36">
        <v>735</v>
      </c>
      <c r="B736" s="36">
        <v>2016</v>
      </c>
      <c r="C736" s="36" t="s">
        <v>956</v>
      </c>
      <c r="D736" s="36" t="str">
        <f t="shared" si="38"/>
        <v>natural gas vehicle</v>
      </c>
      <c r="E736" s="36" t="s">
        <v>979</v>
      </c>
      <c r="F736" s="36" t="s">
        <v>950</v>
      </c>
      <c r="G736" s="36" t="s">
        <v>972</v>
      </c>
      <c r="H736" s="36" t="str">
        <f t="shared" si="39"/>
        <v>轻型货车</v>
      </c>
      <c r="I736" s="36" t="str">
        <f t="shared" si="40"/>
        <v>Freight LDV</v>
      </c>
      <c r="J736" s="36">
        <v>6146</v>
      </c>
    </row>
    <row r="737" spans="1:10" x14ac:dyDescent="0.15">
      <c r="A737" s="36">
        <v>736</v>
      </c>
      <c r="B737" s="36">
        <v>2017</v>
      </c>
      <c r="C737" s="36" t="s">
        <v>956</v>
      </c>
      <c r="D737" s="36" t="str">
        <f t="shared" si="38"/>
        <v>natural gas vehicle</v>
      </c>
      <c r="E737" s="36" t="s">
        <v>979</v>
      </c>
      <c r="F737" s="36" t="s">
        <v>950</v>
      </c>
      <c r="G737" s="36" t="s">
        <v>972</v>
      </c>
      <c r="H737" s="36" t="str">
        <f t="shared" si="39"/>
        <v>轻型货车</v>
      </c>
      <c r="I737" s="36" t="str">
        <f t="shared" si="40"/>
        <v>Freight LDV</v>
      </c>
      <c r="J737" s="36">
        <v>7495</v>
      </c>
    </row>
    <row r="738" spans="1:10" x14ac:dyDescent="0.15">
      <c r="A738" s="36">
        <v>737</v>
      </c>
      <c r="B738" s="36">
        <v>2018</v>
      </c>
      <c r="C738" s="36" t="s">
        <v>956</v>
      </c>
      <c r="D738" s="36" t="str">
        <f t="shared" si="38"/>
        <v>natural gas vehicle</v>
      </c>
      <c r="E738" s="36" t="s">
        <v>979</v>
      </c>
      <c r="F738" s="36" t="s">
        <v>950</v>
      </c>
      <c r="G738" s="36" t="s">
        <v>972</v>
      </c>
      <c r="H738" s="36" t="str">
        <f t="shared" si="39"/>
        <v>轻型货车</v>
      </c>
      <c r="I738" s="36" t="str">
        <f t="shared" si="40"/>
        <v>Freight LDV</v>
      </c>
      <c r="J738" s="36">
        <v>7931</v>
      </c>
    </row>
    <row r="739" spans="1:10" x14ac:dyDescent="0.15">
      <c r="A739" s="36">
        <v>738</v>
      </c>
      <c r="B739" s="36">
        <v>2019</v>
      </c>
      <c r="C739" s="36" t="s">
        <v>956</v>
      </c>
      <c r="D739" s="36" t="str">
        <f t="shared" si="38"/>
        <v>natural gas vehicle</v>
      </c>
      <c r="E739" s="36" t="s">
        <v>979</v>
      </c>
      <c r="F739" s="36" t="s">
        <v>950</v>
      </c>
      <c r="G739" s="36" t="s">
        <v>972</v>
      </c>
      <c r="H739" s="36" t="str">
        <f t="shared" si="39"/>
        <v>轻型货车</v>
      </c>
      <c r="I739" s="36" t="str">
        <f t="shared" si="40"/>
        <v>Freight LDV</v>
      </c>
      <c r="J739" s="36">
        <v>6501</v>
      </c>
    </row>
    <row r="740" spans="1:10" x14ac:dyDescent="0.15">
      <c r="A740" s="36">
        <v>739</v>
      </c>
      <c r="B740" s="36">
        <v>2020</v>
      </c>
      <c r="C740" s="36" t="s">
        <v>956</v>
      </c>
      <c r="D740" s="36" t="str">
        <f t="shared" si="38"/>
        <v>natural gas vehicle</v>
      </c>
      <c r="E740" s="36" t="s">
        <v>979</v>
      </c>
      <c r="F740" s="36" t="s">
        <v>950</v>
      </c>
      <c r="G740" s="36" t="s">
        <v>972</v>
      </c>
      <c r="H740" s="36" t="str">
        <f t="shared" si="39"/>
        <v>轻型货车</v>
      </c>
      <c r="I740" s="36" t="str">
        <f t="shared" si="40"/>
        <v>Freight LDV</v>
      </c>
      <c r="J740" s="36">
        <v>1488</v>
      </c>
    </row>
    <row r="741" spans="1:10" x14ac:dyDescent="0.15">
      <c r="A741" s="36">
        <v>740</v>
      </c>
      <c r="B741" s="36">
        <v>2021</v>
      </c>
      <c r="C741" s="36" t="s">
        <v>956</v>
      </c>
      <c r="D741" s="36" t="str">
        <f t="shared" si="38"/>
        <v>natural gas vehicle</v>
      </c>
      <c r="E741" s="36" t="s">
        <v>979</v>
      </c>
      <c r="F741" s="36" t="s">
        <v>950</v>
      </c>
      <c r="G741" s="36" t="s">
        <v>972</v>
      </c>
      <c r="H741" s="36" t="str">
        <f t="shared" si="39"/>
        <v>轻型货车</v>
      </c>
      <c r="I741" s="36" t="str">
        <f t="shared" si="40"/>
        <v>Freight LDV</v>
      </c>
      <c r="J741" s="36">
        <v>11</v>
      </c>
    </row>
    <row r="742" spans="1:10" x14ac:dyDescent="0.15">
      <c r="A742" s="36">
        <v>741</v>
      </c>
      <c r="B742" s="36">
        <v>2021</v>
      </c>
      <c r="C742" s="36" t="s">
        <v>966</v>
      </c>
      <c r="D742" s="36" t="str">
        <f t="shared" si="38"/>
        <v>hydrogen vehicle</v>
      </c>
      <c r="E742" s="36" t="s">
        <v>979</v>
      </c>
      <c r="F742" s="36" t="s">
        <v>950</v>
      </c>
      <c r="G742" s="36" t="s">
        <v>972</v>
      </c>
      <c r="H742" s="36" t="str">
        <f t="shared" si="39"/>
        <v>轻型货车</v>
      </c>
      <c r="I742" s="36" t="str">
        <f t="shared" si="40"/>
        <v>Freight LDV</v>
      </c>
      <c r="J742" s="36">
        <v>3</v>
      </c>
    </row>
    <row r="743" spans="1:10" x14ac:dyDescent="0.15">
      <c r="A743" s="36">
        <v>742</v>
      </c>
      <c r="B743" s="36">
        <v>2015</v>
      </c>
      <c r="C743" s="36" t="s">
        <v>955</v>
      </c>
      <c r="D743" s="36" t="str">
        <f t="shared" si="38"/>
        <v>natural gas vehicle</v>
      </c>
      <c r="E743" s="36" t="s">
        <v>979</v>
      </c>
      <c r="F743" s="36" t="s">
        <v>950</v>
      </c>
      <c r="G743" s="36" t="s">
        <v>972</v>
      </c>
      <c r="H743" s="36" t="str">
        <f t="shared" si="39"/>
        <v>轻型货车</v>
      </c>
      <c r="I743" s="36" t="str">
        <f t="shared" si="40"/>
        <v>Freight LDV</v>
      </c>
      <c r="J743" s="36">
        <v>232</v>
      </c>
    </row>
    <row r="744" spans="1:10" x14ac:dyDescent="0.15">
      <c r="A744" s="36">
        <v>743</v>
      </c>
      <c r="B744" s="36">
        <v>2016</v>
      </c>
      <c r="C744" s="36" t="s">
        <v>955</v>
      </c>
      <c r="D744" s="36" t="str">
        <f t="shared" si="38"/>
        <v>natural gas vehicle</v>
      </c>
      <c r="E744" s="36" t="s">
        <v>979</v>
      </c>
      <c r="F744" s="36" t="s">
        <v>950</v>
      </c>
      <c r="G744" s="36" t="s">
        <v>972</v>
      </c>
      <c r="H744" s="36" t="str">
        <f t="shared" si="39"/>
        <v>轻型货车</v>
      </c>
      <c r="I744" s="36" t="str">
        <f t="shared" si="40"/>
        <v>Freight LDV</v>
      </c>
      <c r="J744" s="36">
        <v>709</v>
      </c>
    </row>
    <row r="745" spans="1:10" x14ac:dyDescent="0.15">
      <c r="A745" s="36">
        <v>744</v>
      </c>
      <c r="B745" s="36">
        <v>2017</v>
      </c>
      <c r="C745" s="36" t="s">
        <v>955</v>
      </c>
      <c r="D745" s="36" t="str">
        <f t="shared" si="38"/>
        <v>natural gas vehicle</v>
      </c>
      <c r="E745" s="36" t="s">
        <v>979</v>
      </c>
      <c r="F745" s="36" t="s">
        <v>950</v>
      </c>
      <c r="G745" s="36" t="s">
        <v>972</v>
      </c>
      <c r="H745" s="36" t="str">
        <f t="shared" si="39"/>
        <v>轻型货车</v>
      </c>
      <c r="I745" s="36" t="str">
        <f t="shared" si="40"/>
        <v>Freight LDV</v>
      </c>
      <c r="J745" s="36">
        <v>189</v>
      </c>
    </row>
    <row r="746" spans="1:10" x14ac:dyDescent="0.15">
      <c r="A746" s="36">
        <v>745</v>
      </c>
      <c r="B746" s="36">
        <v>2018</v>
      </c>
      <c r="C746" s="36" t="s">
        <v>955</v>
      </c>
      <c r="D746" s="36" t="str">
        <f t="shared" si="38"/>
        <v>natural gas vehicle</v>
      </c>
      <c r="E746" s="36" t="s">
        <v>979</v>
      </c>
      <c r="F746" s="36" t="s">
        <v>950</v>
      </c>
      <c r="G746" s="36" t="s">
        <v>972</v>
      </c>
      <c r="H746" s="36" t="str">
        <f t="shared" si="39"/>
        <v>轻型货车</v>
      </c>
      <c r="I746" s="36" t="str">
        <f t="shared" si="40"/>
        <v>Freight LDV</v>
      </c>
      <c r="J746" s="36">
        <v>806</v>
      </c>
    </row>
    <row r="747" spans="1:10" x14ac:dyDescent="0.15">
      <c r="A747" s="36">
        <v>746</v>
      </c>
      <c r="B747" s="36">
        <v>2019</v>
      </c>
      <c r="C747" s="36" t="s">
        <v>955</v>
      </c>
      <c r="D747" s="36" t="str">
        <f t="shared" si="38"/>
        <v>natural gas vehicle</v>
      </c>
      <c r="E747" s="36" t="s">
        <v>979</v>
      </c>
      <c r="F747" s="36" t="s">
        <v>950</v>
      </c>
      <c r="G747" s="36" t="s">
        <v>972</v>
      </c>
      <c r="H747" s="36" t="str">
        <f t="shared" si="39"/>
        <v>轻型货车</v>
      </c>
      <c r="I747" s="36" t="str">
        <f t="shared" si="40"/>
        <v>Freight LDV</v>
      </c>
      <c r="J747" s="36">
        <v>548</v>
      </c>
    </row>
    <row r="748" spans="1:10" x14ac:dyDescent="0.15">
      <c r="A748" s="36">
        <v>747</v>
      </c>
      <c r="B748" s="36">
        <v>2020</v>
      </c>
      <c r="C748" s="36" t="s">
        <v>955</v>
      </c>
      <c r="D748" s="36" t="str">
        <f t="shared" si="38"/>
        <v>natural gas vehicle</v>
      </c>
      <c r="E748" s="36" t="s">
        <v>979</v>
      </c>
      <c r="F748" s="36" t="s">
        <v>950</v>
      </c>
      <c r="G748" s="36" t="s">
        <v>972</v>
      </c>
      <c r="H748" s="36" t="str">
        <f t="shared" si="39"/>
        <v>轻型货车</v>
      </c>
      <c r="I748" s="36" t="str">
        <f t="shared" si="40"/>
        <v>Freight LDV</v>
      </c>
      <c r="J748" s="36">
        <v>1582</v>
      </c>
    </row>
    <row r="749" spans="1:10" x14ac:dyDescent="0.15">
      <c r="A749" s="36">
        <v>748</v>
      </c>
      <c r="B749" s="36">
        <v>2021</v>
      </c>
      <c r="C749" s="36" t="s">
        <v>955</v>
      </c>
      <c r="D749" s="36" t="str">
        <f t="shared" si="38"/>
        <v>natural gas vehicle</v>
      </c>
      <c r="E749" s="36" t="s">
        <v>979</v>
      </c>
      <c r="F749" s="36" t="s">
        <v>950</v>
      </c>
      <c r="G749" s="36" t="s">
        <v>972</v>
      </c>
      <c r="H749" s="36" t="str">
        <f t="shared" si="39"/>
        <v>轻型货车</v>
      </c>
      <c r="I749" s="36" t="str">
        <f t="shared" si="40"/>
        <v>Freight LDV</v>
      </c>
      <c r="J749" s="36">
        <v>2883</v>
      </c>
    </row>
    <row r="750" spans="1:10" x14ac:dyDescent="0.15">
      <c r="A750" s="36">
        <v>749</v>
      </c>
      <c r="B750" s="36">
        <v>2016</v>
      </c>
      <c r="C750" s="36" t="s">
        <v>953</v>
      </c>
      <c r="D750" s="36" t="str">
        <f t="shared" si="38"/>
        <v>diesel vehicle</v>
      </c>
      <c r="E750" s="36" t="s">
        <v>978</v>
      </c>
      <c r="F750" s="36" t="s">
        <v>950</v>
      </c>
      <c r="G750" s="36" t="s">
        <v>972</v>
      </c>
      <c r="H750" s="36" t="str">
        <f t="shared" si="39"/>
        <v>轻型货车</v>
      </c>
      <c r="I750" s="36" t="str">
        <f t="shared" si="40"/>
        <v>Freight LDV</v>
      </c>
      <c r="J750" s="36">
        <v>68</v>
      </c>
    </row>
    <row r="751" spans="1:10" x14ac:dyDescent="0.15">
      <c r="A751" s="36">
        <v>750</v>
      </c>
      <c r="B751" s="36">
        <v>2017</v>
      </c>
      <c r="C751" s="36" t="s">
        <v>953</v>
      </c>
      <c r="D751" s="36" t="str">
        <f t="shared" si="38"/>
        <v>diesel vehicle</v>
      </c>
      <c r="E751" s="36" t="s">
        <v>978</v>
      </c>
      <c r="F751" s="36" t="s">
        <v>950</v>
      </c>
      <c r="G751" s="36" t="s">
        <v>972</v>
      </c>
      <c r="H751" s="36" t="str">
        <f t="shared" si="39"/>
        <v>轻型货车</v>
      </c>
      <c r="I751" s="36" t="str">
        <f t="shared" si="40"/>
        <v>Freight LDV</v>
      </c>
      <c r="J751" s="36">
        <v>14</v>
      </c>
    </row>
    <row r="752" spans="1:10" x14ac:dyDescent="0.15">
      <c r="A752" s="36">
        <v>751</v>
      </c>
      <c r="B752" s="36">
        <v>2015</v>
      </c>
      <c r="C752" s="36" t="s">
        <v>958</v>
      </c>
      <c r="D752" s="36" t="str">
        <f t="shared" si="38"/>
        <v>battery electric vehicle</v>
      </c>
      <c r="E752" s="36" t="s">
        <v>978</v>
      </c>
      <c r="F752" s="36" t="s">
        <v>950</v>
      </c>
      <c r="G752" s="36" t="s">
        <v>972</v>
      </c>
      <c r="H752" s="36" t="str">
        <f t="shared" si="39"/>
        <v>轻型货车</v>
      </c>
      <c r="I752" s="36" t="str">
        <f t="shared" si="40"/>
        <v>Freight LDV</v>
      </c>
      <c r="J752" s="36">
        <v>4</v>
      </c>
    </row>
    <row r="753" spans="1:10" x14ac:dyDescent="0.15">
      <c r="A753" s="36">
        <v>752</v>
      </c>
      <c r="B753" s="36">
        <v>2020</v>
      </c>
      <c r="C753" s="36" t="s">
        <v>958</v>
      </c>
      <c r="D753" s="36" t="str">
        <f t="shared" si="38"/>
        <v>battery electric vehicle</v>
      </c>
      <c r="E753" s="36" t="s">
        <v>978</v>
      </c>
      <c r="F753" s="36" t="s">
        <v>950</v>
      </c>
      <c r="G753" s="36" t="s">
        <v>972</v>
      </c>
      <c r="H753" s="36" t="str">
        <f t="shared" si="39"/>
        <v>轻型货车</v>
      </c>
      <c r="I753" s="36" t="str">
        <f t="shared" si="40"/>
        <v>Freight LDV</v>
      </c>
      <c r="J753" s="36">
        <v>5</v>
      </c>
    </row>
    <row r="754" spans="1:10" x14ac:dyDescent="0.15">
      <c r="A754" s="36">
        <v>753</v>
      </c>
      <c r="B754" s="36">
        <v>2017</v>
      </c>
      <c r="C754" s="36" t="s">
        <v>953</v>
      </c>
      <c r="D754" s="36" t="str">
        <f t="shared" si="38"/>
        <v>diesel vehicle</v>
      </c>
      <c r="E754" s="36" t="s">
        <v>959</v>
      </c>
      <c r="F754" s="36" t="s">
        <v>950</v>
      </c>
      <c r="G754" s="36" t="s">
        <v>972</v>
      </c>
      <c r="H754" s="36" t="str">
        <f t="shared" si="39"/>
        <v>出租车</v>
      </c>
      <c r="I754" s="36" t="str">
        <f t="shared" si="40"/>
        <v>Passenger LDV</v>
      </c>
      <c r="J754" s="36">
        <v>2</v>
      </c>
    </row>
    <row r="755" spans="1:10" x14ac:dyDescent="0.15">
      <c r="A755" s="36">
        <v>754</v>
      </c>
      <c r="B755" s="36">
        <v>2015</v>
      </c>
      <c r="C755" s="36" t="s">
        <v>953</v>
      </c>
      <c r="D755" s="36" t="str">
        <f t="shared" si="38"/>
        <v>diesel vehicle</v>
      </c>
      <c r="E755" s="36" t="s">
        <v>960</v>
      </c>
      <c r="F755" s="36" t="s">
        <v>950</v>
      </c>
      <c r="G755" s="36" t="s">
        <v>972</v>
      </c>
      <c r="H755" s="36" t="str">
        <f t="shared" si="39"/>
        <v>Unknown</v>
      </c>
      <c r="I755" s="36" t="str">
        <f t="shared" si="40"/>
        <v>Unknown</v>
      </c>
      <c r="J755" s="36">
        <v>11</v>
      </c>
    </row>
    <row r="756" spans="1:10" x14ac:dyDescent="0.15">
      <c r="A756" s="36">
        <v>755</v>
      </c>
      <c r="B756" s="36">
        <v>2015</v>
      </c>
      <c r="C756" s="36" t="s">
        <v>952</v>
      </c>
      <c r="D756" s="36" t="str">
        <f t="shared" si="38"/>
        <v>gasoline vehicle</v>
      </c>
      <c r="E756" s="36" t="s">
        <v>960</v>
      </c>
      <c r="F756" s="36" t="s">
        <v>950</v>
      </c>
      <c r="G756" s="36" t="s">
        <v>972</v>
      </c>
      <c r="H756" s="36" t="str">
        <f t="shared" si="39"/>
        <v>Unknown</v>
      </c>
      <c r="I756" s="36" t="str">
        <f t="shared" si="40"/>
        <v>Unknown</v>
      </c>
      <c r="J756" s="36">
        <v>876</v>
      </c>
    </row>
    <row r="757" spans="1:10" x14ac:dyDescent="0.15">
      <c r="A757" s="36">
        <v>756</v>
      </c>
      <c r="B757" s="36">
        <v>2015</v>
      </c>
      <c r="C757" s="36" t="s">
        <v>977</v>
      </c>
      <c r="D757" s="36" t="str">
        <f t="shared" si="38"/>
        <v>unknown</v>
      </c>
      <c r="E757" s="36" t="s">
        <v>960</v>
      </c>
      <c r="F757" s="36" t="s">
        <v>950</v>
      </c>
      <c r="G757" s="36" t="s">
        <v>972</v>
      </c>
      <c r="H757" s="36" t="str">
        <f t="shared" si="39"/>
        <v>Unknown</v>
      </c>
      <c r="I757" s="36" t="str">
        <f t="shared" si="40"/>
        <v>Unknown</v>
      </c>
      <c r="J757" s="36">
        <v>190485</v>
      </c>
    </row>
    <row r="758" spans="1:10" x14ac:dyDescent="0.15">
      <c r="A758" s="36">
        <v>757</v>
      </c>
      <c r="B758" s="36">
        <v>2016</v>
      </c>
      <c r="C758" s="36" t="s">
        <v>953</v>
      </c>
      <c r="D758" s="36" t="str">
        <f t="shared" si="38"/>
        <v>diesel vehicle</v>
      </c>
      <c r="E758" s="36" t="s">
        <v>954</v>
      </c>
      <c r="F758" s="36" t="s">
        <v>950</v>
      </c>
      <c r="G758" s="36" t="s">
        <v>972</v>
      </c>
      <c r="H758" s="36" t="str">
        <f t="shared" si="39"/>
        <v>出租车</v>
      </c>
      <c r="I758" s="36" t="str">
        <f t="shared" si="40"/>
        <v>Passenger LDV</v>
      </c>
      <c r="J758" s="36">
        <v>6430</v>
      </c>
    </row>
    <row r="759" spans="1:10" x14ac:dyDescent="0.15">
      <c r="A759" s="36">
        <v>758</v>
      </c>
      <c r="B759" s="36">
        <v>2017</v>
      </c>
      <c r="C759" s="36" t="s">
        <v>953</v>
      </c>
      <c r="D759" s="36" t="str">
        <f t="shared" si="38"/>
        <v>diesel vehicle</v>
      </c>
      <c r="E759" s="36" t="s">
        <v>954</v>
      </c>
      <c r="F759" s="36" t="s">
        <v>950</v>
      </c>
      <c r="G759" s="36" t="s">
        <v>972</v>
      </c>
      <c r="H759" s="36" t="str">
        <f t="shared" si="39"/>
        <v>出租车</v>
      </c>
      <c r="I759" s="36" t="str">
        <f t="shared" si="40"/>
        <v>Passenger LDV</v>
      </c>
      <c r="J759" s="36">
        <v>6383</v>
      </c>
    </row>
    <row r="760" spans="1:10" x14ac:dyDescent="0.15">
      <c r="A760" s="36">
        <v>759</v>
      </c>
      <c r="B760" s="36">
        <v>2018</v>
      </c>
      <c r="C760" s="36" t="s">
        <v>953</v>
      </c>
      <c r="D760" s="36" t="str">
        <f t="shared" si="38"/>
        <v>diesel vehicle</v>
      </c>
      <c r="E760" s="36" t="s">
        <v>954</v>
      </c>
      <c r="F760" s="36" t="s">
        <v>950</v>
      </c>
      <c r="G760" s="36" t="s">
        <v>972</v>
      </c>
      <c r="H760" s="36" t="str">
        <f t="shared" si="39"/>
        <v>出租车</v>
      </c>
      <c r="I760" s="36" t="str">
        <f t="shared" si="40"/>
        <v>Passenger LDV</v>
      </c>
      <c r="J760" s="36">
        <v>6387</v>
      </c>
    </row>
    <row r="761" spans="1:10" x14ac:dyDescent="0.15">
      <c r="A761" s="36">
        <v>760</v>
      </c>
      <c r="B761" s="36">
        <v>2019</v>
      </c>
      <c r="C761" s="36" t="s">
        <v>953</v>
      </c>
      <c r="D761" s="36" t="str">
        <f t="shared" si="38"/>
        <v>diesel vehicle</v>
      </c>
      <c r="E761" s="36" t="s">
        <v>954</v>
      </c>
      <c r="F761" s="36" t="s">
        <v>950</v>
      </c>
      <c r="G761" s="36" t="s">
        <v>972</v>
      </c>
      <c r="H761" s="36" t="str">
        <f t="shared" si="39"/>
        <v>出租车</v>
      </c>
      <c r="I761" s="36" t="str">
        <f t="shared" si="40"/>
        <v>Passenger LDV</v>
      </c>
      <c r="J761" s="36">
        <v>4119</v>
      </c>
    </row>
    <row r="762" spans="1:10" x14ac:dyDescent="0.15">
      <c r="A762" s="36">
        <v>761</v>
      </c>
      <c r="B762" s="36">
        <v>2020</v>
      </c>
      <c r="C762" s="36" t="s">
        <v>953</v>
      </c>
      <c r="D762" s="36" t="str">
        <f t="shared" si="38"/>
        <v>diesel vehicle</v>
      </c>
      <c r="E762" s="36" t="s">
        <v>954</v>
      </c>
      <c r="F762" s="36" t="s">
        <v>950</v>
      </c>
      <c r="G762" s="36" t="s">
        <v>972</v>
      </c>
      <c r="H762" s="36" t="str">
        <f t="shared" si="39"/>
        <v>出租车</v>
      </c>
      <c r="I762" s="36" t="str">
        <f t="shared" si="40"/>
        <v>Passenger LDV</v>
      </c>
      <c r="J762" s="36">
        <v>3732</v>
      </c>
    </row>
    <row r="763" spans="1:10" x14ac:dyDescent="0.15">
      <c r="A763" s="36">
        <v>762</v>
      </c>
      <c r="B763" s="36">
        <v>2021</v>
      </c>
      <c r="C763" s="36" t="s">
        <v>953</v>
      </c>
      <c r="D763" s="36" t="str">
        <f t="shared" si="38"/>
        <v>diesel vehicle</v>
      </c>
      <c r="E763" s="36" t="s">
        <v>954</v>
      </c>
      <c r="F763" s="36" t="s">
        <v>950</v>
      </c>
      <c r="G763" s="36" t="s">
        <v>972</v>
      </c>
      <c r="H763" s="36" t="str">
        <f t="shared" si="39"/>
        <v>出租车</v>
      </c>
      <c r="I763" s="36" t="str">
        <f t="shared" si="40"/>
        <v>Passenger LDV</v>
      </c>
      <c r="J763" s="36">
        <v>2960</v>
      </c>
    </row>
    <row r="764" spans="1:10" x14ac:dyDescent="0.15">
      <c r="A764" s="36">
        <v>763</v>
      </c>
      <c r="B764" s="36">
        <v>2016</v>
      </c>
      <c r="C764" s="36" t="s">
        <v>958</v>
      </c>
      <c r="D764" s="36" t="str">
        <f t="shared" si="38"/>
        <v>battery electric vehicle</v>
      </c>
      <c r="E764" s="36" t="s">
        <v>954</v>
      </c>
      <c r="F764" s="36" t="s">
        <v>950</v>
      </c>
      <c r="G764" s="36" t="s">
        <v>972</v>
      </c>
      <c r="H764" s="36" t="str">
        <f t="shared" si="39"/>
        <v>出租车</v>
      </c>
      <c r="I764" s="36" t="str">
        <f t="shared" si="40"/>
        <v>Passenger LDV</v>
      </c>
      <c r="J764" s="36">
        <v>1321</v>
      </c>
    </row>
    <row r="765" spans="1:10" x14ac:dyDescent="0.15">
      <c r="A765" s="36">
        <v>764</v>
      </c>
      <c r="B765" s="36">
        <v>2017</v>
      </c>
      <c r="C765" s="36" t="s">
        <v>958</v>
      </c>
      <c r="D765" s="36" t="str">
        <f t="shared" si="38"/>
        <v>battery electric vehicle</v>
      </c>
      <c r="E765" s="36" t="s">
        <v>954</v>
      </c>
      <c r="F765" s="36" t="s">
        <v>950</v>
      </c>
      <c r="G765" s="36" t="s">
        <v>972</v>
      </c>
      <c r="H765" s="36" t="str">
        <f t="shared" si="39"/>
        <v>出租车</v>
      </c>
      <c r="I765" s="36" t="str">
        <f t="shared" si="40"/>
        <v>Passenger LDV</v>
      </c>
      <c r="J765" s="36">
        <v>11282</v>
      </c>
    </row>
    <row r="766" spans="1:10" x14ac:dyDescent="0.15">
      <c r="A766" s="36">
        <v>765</v>
      </c>
      <c r="B766" s="36">
        <v>2018</v>
      </c>
      <c r="C766" s="36" t="s">
        <v>958</v>
      </c>
      <c r="D766" s="36" t="str">
        <f t="shared" si="38"/>
        <v>battery electric vehicle</v>
      </c>
      <c r="E766" s="36" t="s">
        <v>954</v>
      </c>
      <c r="F766" s="36" t="s">
        <v>950</v>
      </c>
      <c r="G766" s="36" t="s">
        <v>972</v>
      </c>
      <c r="H766" s="36" t="str">
        <f t="shared" si="39"/>
        <v>出租车</v>
      </c>
      <c r="I766" s="36" t="str">
        <f t="shared" si="40"/>
        <v>Passenger LDV</v>
      </c>
      <c r="J766" s="36">
        <v>11722</v>
      </c>
    </row>
    <row r="767" spans="1:10" x14ac:dyDescent="0.15">
      <c r="A767" s="36">
        <v>766</v>
      </c>
      <c r="B767" s="36">
        <v>2019</v>
      </c>
      <c r="C767" s="36" t="s">
        <v>958</v>
      </c>
      <c r="D767" s="36" t="str">
        <f t="shared" si="38"/>
        <v>battery electric vehicle</v>
      </c>
      <c r="E767" s="36" t="s">
        <v>954</v>
      </c>
      <c r="F767" s="36" t="s">
        <v>950</v>
      </c>
      <c r="G767" s="36" t="s">
        <v>972</v>
      </c>
      <c r="H767" s="36" t="str">
        <f t="shared" si="39"/>
        <v>出租车</v>
      </c>
      <c r="I767" s="36" t="str">
        <f t="shared" si="40"/>
        <v>Passenger LDV</v>
      </c>
      <c r="J767" s="36">
        <v>7777</v>
      </c>
    </row>
    <row r="768" spans="1:10" x14ac:dyDescent="0.15">
      <c r="A768" s="36">
        <v>767</v>
      </c>
      <c r="B768" s="36">
        <v>2020</v>
      </c>
      <c r="C768" s="36" t="s">
        <v>958</v>
      </c>
      <c r="D768" s="36" t="str">
        <f t="shared" si="38"/>
        <v>battery electric vehicle</v>
      </c>
      <c r="E768" s="36" t="s">
        <v>954</v>
      </c>
      <c r="F768" s="36" t="s">
        <v>950</v>
      </c>
      <c r="G768" s="36" t="s">
        <v>972</v>
      </c>
      <c r="H768" s="36" t="str">
        <f t="shared" si="39"/>
        <v>出租车</v>
      </c>
      <c r="I768" s="36" t="str">
        <f t="shared" si="40"/>
        <v>Passenger LDV</v>
      </c>
      <c r="J768" s="36">
        <v>8234</v>
      </c>
    </row>
    <row r="769" spans="1:10" x14ac:dyDescent="0.15">
      <c r="A769" s="36">
        <v>768</v>
      </c>
      <c r="B769" s="36">
        <v>2021</v>
      </c>
      <c r="C769" s="36" t="s">
        <v>958</v>
      </c>
      <c r="D769" s="36" t="str">
        <f t="shared" si="38"/>
        <v>battery electric vehicle</v>
      </c>
      <c r="E769" s="36" t="s">
        <v>954</v>
      </c>
      <c r="F769" s="36" t="s">
        <v>950</v>
      </c>
      <c r="G769" s="36" t="s">
        <v>972</v>
      </c>
      <c r="H769" s="36" t="str">
        <f t="shared" si="39"/>
        <v>出租车</v>
      </c>
      <c r="I769" s="36" t="str">
        <f t="shared" si="40"/>
        <v>Passenger LDV</v>
      </c>
      <c r="J769" s="36">
        <v>17443</v>
      </c>
    </row>
    <row r="770" spans="1:10" x14ac:dyDescent="0.15">
      <c r="A770" s="36">
        <v>769</v>
      </c>
      <c r="B770" s="36">
        <v>2016</v>
      </c>
      <c r="C770" s="36" t="s">
        <v>952</v>
      </c>
      <c r="D770" s="36" t="str">
        <f t="shared" ref="D770:D833" si="41">VLOOKUP(C770,M$3:N$16,2,FALSE)</f>
        <v>gasoline vehicle</v>
      </c>
      <c r="E770" s="36" t="s">
        <v>954</v>
      </c>
      <c r="F770" s="36" t="s">
        <v>950</v>
      </c>
      <c r="G770" s="36" t="s">
        <v>972</v>
      </c>
      <c r="H770" s="36" t="str">
        <f t="shared" ref="H770:H833" si="42">VLOOKUP(E770&amp;F770&amp;G770,$S$3:$U$68,2,FALSE)</f>
        <v>出租车</v>
      </c>
      <c r="I770" s="36" t="str">
        <f t="shared" ref="I770:I833" si="43">VLOOKUP(E770&amp;F770&amp;G770,$S$3:$U$68,3,FALSE)</f>
        <v>Passenger LDV</v>
      </c>
      <c r="J770" s="36">
        <v>8777</v>
      </c>
    </row>
    <row r="771" spans="1:10" x14ac:dyDescent="0.15">
      <c r="A771" s="36">
        <v>770</v>
      </c>
      <c r="B771" s="36">
        <v>2017</v>
      </c>
      <c r="C771" s="36" t="s">
        <v>952</v>
      </c>
      <c r="D771" s="36" t="str">
        <f t="shared" si="41"/>
        <v>gasoline vehicle</v>
      </c>
      <c r="E771" s="36" t="s">
        <v>954</v>
      </c>
      <c r="F771" s="36" t="s">
        <v>950</v>
      </c>
      <c r="G771" s="36" t="s">
        <v>972</v>
      </c>
      <c r="H771" s="36" t="str">
        <f t="shared" si="42"/>
        <v>出租车</v>
      </c>
      <c r="I771" s="36" t="str">
        <f t="shared" si="43"/>
        <v>Passenger LDV</v>
      </c>
      <c r="J771" s="36">
        <v>10703</v>
      </c>
    </row>
    <row r="772" spans="1:10" x14ac:dyDescent="0.15">
      <c r="A772" s="36">
        <v>771</v>
      </c>
      <c r="B772" s="36">
        <v>2018</v>
      </c>
      <c r="C772" s="36" t="s">
        <v>952</v>
      </c>
      <c r="D772" s="36" t="str">
        <f t="shared" si="41"/>
        <v>gasoline vehicle</v>
      </c>
      <c r="E772" s="36" t="s">
        <v>954</v>
      </c>
      <c r="F772" s="36" t="s">
        <v>950</v>
      </c>
      <c r="G772" s="36" t="s">
        <v>972</v>
      </c>
      <c r="H772" s="36" t="str">
        <f t="shared" si="42"/>
        <v>出租车</v>
      </c>
      <c r="I772" s="36" t="str">
        <f t="shared" si="43"/>
        <v>Passenger LDV</v>
      </c>
      <c r="J772" s="36">
        <v>10708</v>
      </c>
    </row>
    <row r="773" spans="1:10" x14ac:dyDescent="0.15">
      <c r="A773" s="36">
        <v>772</v>
      </c>
      <c r="B773" s="36">
        <v>2019</v>
      </c>
      <c r="C773" s="36" t="s">
        <v>952</v>
      </c>
      <c r="D773" s="36" t="str">
        <f t="shared" si="41"/>
        <v>gasoline vehicle</v>
      </c>
      <c r="E773" s="36" t="s">
        <v>954</v>
      </c>
      <c r="F773" s="36" t="s">
        <v>950</v>
      </c>
      <c r="G773" s="36" t="s">
        <v>972</v>
      </c>
      <c r="H773" s="36" t="str">
        <f t="shared" si="42"/>
        <v>出租车</v>
      </c>
      <c r="I773" s="36" t="str">
        <f t="shared" si="43"/>
        <v>Passenger LDV</v>
      </c>
      <c r="J773" s="36">
        <v>11800</v>
      </c>
    </row>
    <row r="774" spans="1:10" x14ac:dyDescent="0.15">
      <c r="A774" s="36">
        <v>773</v>
      </c>
      <c r="B774" s="36">
        <v>2020</v>
      </c>
      <c r="C774" s="36" t="s">
        <v>952</v>
      </c>
      <c r="D774" s="36" t="str">
        <f t="shared" si="41"/>
        <v>gasoline vehicle</v>
      </c>
      <c r="E774" s="36" t="s">
        <v>954</v>
      </c>
      <c r="F774" s="36" t="s">
        <v>950</v>
      </c>
      <c r="G774" s="36" t="s">
        <v>972</v>
      </c>
      <c r="H774" s="36" t="str">
        <f t="shared" si="42"/>
        <v>出租车</v>
      </c>
      <c r="I774" s="36" t="str">
        <f t="shared" si="43"/>
        <v>Passenger LDV</v>
      </c>
      <c r="J774" s="36">
        <v>8867</v>
      </c>
    </row>
    <row r="775" spans="1:10" x14ac:dyDescent="0.15">
      <c r="A775" s="36">
        <v>774</v>
      </c>
      <c r="B775" s="36">
        <v>2021</v>
      </c>
      <c r="C775" s="36" t="s">
        <v>952</v>
      </c>
      <c r="D775" s="36" t="str">
        <f t="shared" si="41"/>
        <v>gasoline vehicle</v>
      </c>
      <c r="E775" s="36" t="s">
        <v>954</v>
      </c>
      <c r="F775" s="36" t="s">
        <v>950</v>
      </c>
      <c r="G775" s="36" t="s">
        <v>972</v>
      </c>
      <c r="H775" s="36" t="str">
        <f t="shared" si="42"/>
        <v>出租车</v>
      </c>
      <c r="I775" s="36" t="str">
        <f t="shared" si="43"/>
        <v>Passenger LDV</v>
      </c>
      <c r="J775" s="36">
        <v>4556</v>
      </c>
    </row>
    <row r="776" spans="1:10" x14ac:dyDescent="0.15">
      <c r="A776" s="36">
        <v>775</v>
      </c>
      <c r="B776" s="36">
        <v>2016</v>
      </c>
      <c r="C776" s="36" t="s">
        <v>956</v>
      </c>
      <c r="D776" s="36" t="str">
        <f t="shared" si="41"/>
        <v>natural gas vehicle</v>
      </c>
      <c r="E776" s="36" t="s">
        <v>954</v>
      </c>
      <c r="F776" s="36" t="s">
        <v>950</v>
      </c>
      <c r="G776" s="36" t="s">
        <v>972</v>
      </c>
      <c r="H776" s="36" t="str">
        <f t="shared" si="42"/>
        <v>出租车</v>
      </c>
      <c r="I776" s="36" t="str">
        <f t="shared" si="43"/>
        <v>Passenger LDV</v>
      </c>
      <c r="J776" s="36">
        <v>320</v>
      </c>
    </row>
    <row r="777" spans="1:10" x14ac:dyDescent="0.15">
      <c r="A777" s="36">
        <v>776</v>
      </c>
      <c r="B777" s="36">
        <v>2017</v>
      </c>
      <c r="C777" s="36" t="s">
        <v>956</v>
      </c>
      <c r="D777" s="36" t="str">
        <f t="shared" si="41"/>
        <v>natural gas vehicle</v>
      </c>
      <c r="E777" s="36" t="s">
        <v>954</v>
      </c>
      <c r="F777" s="36" t="s">
        <v>950</v>
      </c>
      <c r="G777" s="36" t="s">
        <v>972</v>
      </c>
      <c r="H777" s="36" t="str">
        <f t="shared" si="42"/>
        <v>出租车</v>
      </c>
      <c r="I777" s="36" t="str">
        <f t="shared" si="43"/>
        <v>Passenger LDV</v>
      </c>
      <c r="J777" s="36">
        <v>249</v>
      </c>
    </row>
    <row r="778" spans="1:10" x14ac:dyDescent="0.15">
      <c r="A778" s="36">
        <v>777</v>
      </c>
      <c r="B778" s="36">
        <v>2018</v>
      </c>
      <c r="C778" s="36" t="s">
        <v>956</v>
      </c>
      <c r="D778" s="36" t="str">
        <f t="shared" si="41"/>
        <v>natural gas vehicle</v>
      </c>
      <c r="E778" s="36" t="s">
        <v>954</v>
      </c>
      <c r="F778" s="36" t="s">
        <v>950</v>
      </c>
      <c r="G778" s="36" t="s">
        <v>972</v>
      </c>
      <c r="H778" s="36" t="str">
        <f t="shared" si="42"/>
        <v>出租车</v>
      </c>
      <c r="I778" s="36" t="str">
        <f t="shared" si="43"/>
        <v>Passenger LDV</v>
      </c>
      <c r="J778" s="36">
        <v>263</v>
      </c>
    </row>
    <row r="779" spans="1:10" x14ac:dyDescent="0.15">
      <c r="A779" s="36">
        <v>778</v>
      </c>
      <c r="B779" s="36">
        <v>2019</v>
      </c>
      <c r="C779" s="36" t="s">
        <v>956</v>
      </c>
      <c r="D779" s="36" t="str">
        <f t="shared" si="41"/>
        <v>natural gas vehicle</v>
      </c>
      <c r="E779" s="36" t="s">
        <v>954</v>
      </c>
      <c r="F779" s="36" t="s">
        <v>950</v>
      </c>
      <c r="G779" s="36" t="s">
        <v>972</v>
      </c>
      <c r="H779" s="36" t="str">
        <f t="shared" si="42"/>
        <v>出租车</v>
      </c>
      <c r="I779" s="36" t="str">
        <f t="shared" si="43"/>
        <v>Passenger LDV</v>
      </c>
      <c r="J779" s="36">
        <v>239</v>
      </c>
    </row>
    <row r="780" spans="1:10" x14ac:dyDescent="0.15">
      <c r="A780" s="36">
        <v>779</v>
      </c>
      <c r="B780" s="36">
        <v>2020</v>
      </c>
      <c r="C780" s="36" t="s">
        <v>956</v>
      </c>
      <c r="D780" s="36" t="str">
        <f t="shared" si="41"/>
        <v>natural gas vehicle</v>
      </c>
      <c r="E780" s="36" t="s">
        <v>954</v>
      </c>
      <c r="F780" s="36" t="s">
        <v>950</v>
      </c>
      <c r="G780" s="36" t="s">
        <v>972</v>
      </c>
      <c r="H780" s="36" t="str">
        <f t="shared" si="42"/>
        <v>出租车</v>
      </c>
      <c r="I780" s="36" t="str">
        <f t="shared" si="43"/>
        <v>Passenger LDV</v>
      </c>
      <c r="J780" s="36">
        <v>18</v>
      </c>
    </row>
    <row r="781" spans="1:10" x14ac:dyDescent="0.15">
      <c r="A781" s="36">
        <v>780</v>
      </c>
      <c r="B781" s="36">
        <v>2021</v>
      </c>
      <c r="C781" s="36" t="s">
        <v>966</v>
      </c>
      <c r="D781" s="36" t="str">
        <f t="shared" si="41"/>
        <v>hydrogen vehicle</v>
      </c>
      <c r="E781" s="36" t="s">
        <v>954</v>
      </c>
      <c r="F781" s="36" t="s">
        <v>950</v>
      </c>
      <c r="G781" s="36" t="s">
        <v>972</v>
      </c>
      <c r="H781" s="36" t="str">
        <f t="shared" si="42"/>
        <v>出租车</v>
      </c>
      <c r="I781" s="36" t="str">
        <f t="shared" si="43"/>
        <v>Passenger LDV</v>
      </c>
      <c r="J781" s="36">
        <v>1</v>
      </c>
    </row>
    <row r="782" spans="1:10" x14ac:dyDescent="0.15">
      <c r="A782" s="36">
        <v>781</v>
      </c>
      <c r="B782" s="36">
        <v>2016</v>
      </c>
      <c r="C782" s="36" t="s">
        <v>955</v>
      </c>
      <c r="D782" s="36" t="str">
        <f t="shared" si="41"/>
        <v>natural gas vehicle</v>
      </c>
      <c r="E782" s="36" t="s">
        <v>954</v>
      </c>
      <c r="F782" s="36" t="s">
        <v>950</v>
      </c>
      <c r="G782" s="36" t="s">
        <v>972</v>
      </c>
      <c r="H782" s="36" t="str">
        <f t="shared" si="42"/>
        <v>出租车</v>
      </c>
      <c r="I782" s="36" t="str">
        <f t="shared" si="43"/>
        <v>Passenger LDV</v>
      </c>
      <c r="J782" s="36">
        <v>33</v>
      </c>
    </row>
    <row r="783" spans="1:10" x14ac:dyDescent="0.15">
      <c r="A783" s="36">
        <v>782</v>
      </c>
      <c r="B783" s="36">
        <v>2018</v>
      </c>
      <c r="C783" s="36" t="s">
        <v>955</v>
      </c>
      <c r="D783" s="36" t="str">
        <f t="shared" si="41"/>
        <v>natural gas vehicle</v>
      </c>
      <c r="E783" s="36" t="s">
        <v>954</v>
      </c>
      <c r="F783" s="36" t="s">
        <v>950</v>
      </c>
      <c r="G783" s="36" t="s">
        <v>972</v>
      </c>
      <c r="H783" s="36" t="str">
        <f t="shared" si="42"/>
        <v>出租车</v>
      </c>
      <c r="I783" s="36" t="str">
        <f t="shared" si="43"/>
        <v>Passenger LDV</v>
      </c>
      <c r="J783" s="36">
        <v>2</v>
      </c>
    </row>
    <row r="784" spans="1:10" x14ac:dyDescent="0.15">
      <c r="A784" s="36">
        <v>783</v>
      </c>
      <c r="B784" s="36">
        <v>2019</v>
      </c>
      <c r="C784" s="36" t="s">
        <v>955</v>
      </c>
      <c r="D784" s="36" t="str">
        <f t="shared" si="41"/>
        <v>natural gas vehicle</v>
      </c>
      <c r="E784" s="36" t="s">
        <v>954</v>
      </c>
      <c r="F784" s="36" t="s">
        <v>950</v>
      </c>
      <c r="G784" s="36" t="s">
        <v>972</v>
      </c>
      <c r="H784" s="36" t="str">
        <f t="shared" si="42"/>
        <v>出租车</v>
      </c>
      <c r="I784" s="36" t="str">
        <f t="shared" si="43"/>
        <v>Passenger LDV</v>
      </c>
      <c r="J784" s="36">
        <v>1</v>
      </c>
    </row>
    <row r="785" spans="1:10" x14ac:dyDescent="0.15">
      <c r="A785" s="36">
        <v>784</v>
      </c>
      <c r="B785" s="36">
        <v>2020</v>
      </c>
      <c r="C785" s="36" t="s">
        <v>955</v>
      </c>
      <c r="D785" s="36" t="str">
        <f t="shared" si="41"/>
        <v>natural gas vehicle</v>
      </c>
      <c r="E785" s="36" t="s">
        <v>954</v>
      </c>
      <c r="F785" s="36" t="s">
        <v>950</v>
      </c>
      <c r="G785" s="36" t="s">
        <v>972</v>
      </c>
      <c r="H785" s="36" t="str">
        <f t="shared" si="42"/>
        <v>出租车</v>
      </c>
      <c r="I785" s="36" t="str">
        <f t="shared" si="43"/>
        <v>Passenger LDV</v>
      </c>
      <c r="J785" s="36">
        <v>25</v>
      </c>
    </row>
    <row r="786" spans="1:10" x14ac:dyDescent="0.15">
      <c r="A786" s="36">
        <v>785</v>
      </c>
      <c r="B786" s="36">
        <v>2021</v>
      </c>
      <c r="C786" s="36" t="s">
        <v>955</v>
      </c>
      <c r="D786" s="36" t="str">
        <f t="shared" si="41"/>
        <v>natural gas vehicle</v>
      </c>
      <c r="E786" s="36" t="s">
        <v>954</v>
      </c>
      <c r="F786" s="36" t="s">
        <v>950</v>
      </c>
      <c r="G786" s="36" t="s">
        <v>972</v>
      </c>
      <c r="H786" s="36" t="str">
        <f t="shared" si="42"/>
        <v>出租车</v>
      </c>
      <c r="I786" s="36" t="str">
        <f t="shared" si="43"/>
        <v>Passenger LDV</v>
      </c>
      <c r="J786" s="36">
        <v>341</v>
      </c>
    </row>
    <row r="787" spans="1:10" x14ac:dyDescent="0.15">
      <c r="A787" s="36">
        <v>786</v>
      </c>
      <c r="B787" s="36">
        <v>2020</v>
      </c>
      <c r="C787" s="36" t="s">
        <v>961</v>
      </c>
      <c r="D787" s="36" t="str">
        <f t="shared" si="41"/>
        <v>plugin hybrid vehicle</v>
      </c>
      <c r="E787" s="36" t="s">
        <v>976</v>
      </c>
      <c r="F787" s="36" t="s">
        <v>950</v>
      </c>
      <c r="G787" s="36" t="s">
        <v>972</v>
      </c>
      <c r="H787" s="36" t="str">
        <f t="shared" si="42"/>
        <v>中重型货车</v>
      </c>
      <c r="I787" s="36" t="str">
        <f t="shared" si="43"/>
        <v>Freight HDV</v>
      </c>
      <c r="J787" s="36">
        <v>2</v>
      </c>
    </row>
    <row r="788" spans="1:10" x14ac:dyDescent="0.15">
      <c r="A788" s="36">
        <v>787</v>
      </c>
      <c r="B788" s="36">
        <v>2015</v>
      </c>
      <c r="C788" s="36" t="s">
        <v>953</v>
      </c>
      <c r="D788" s="36" t="str">
        <f t="shared" si="41"/>
        <v>diesel vehicle</v>
      </c>
      <c r="E788" s="36" t="s">
        <v>976</v>
      </c>
      <c r="F788" s="36" t="s">
        <v>950</v>
      </c>
      <c r="G788" s="36" t="s">
        <v>972</v>
      </c>
      <c r="H788" s="36" t="str">
        <f t="shared" si="42"/>
        <v>中重型货车</v>
      </c>
      <c r="I788" s="36" t="str">
        <f t="shared" si="43"/>
        <v>Freight HDV</v>
      </c>
      <c r="J788" s="36">
        <v>46832</v>
      </c>
    </row>
    <row r="789" spans="1:10" x14ac:dyDescent="0.15">
      <c r="A789" s="36">
        <v>788</v>
      </c>
      <c r="B789" s="36">
        <v>2016</v>
      </c>
      <c r="C789" s="36" t="s">
        <v>953</v>
      </c>
      <c r="D789" s="36" t="str">
        <f t="shared" si="41"/>
        <v>diesel vehicle</v>
      </c>
      <c r="E789" s="36" t="s">
        <v>976</v>
      </c>
      <c r="F789" s="36" t="s">
        <v>950</v>
      </c>
      <c r="G789" s="36" t="s">
        <v>972</v>
      </c>
      <c r="H789" s="36" t="str">
        <f t="shared" si="42"/>
        <v>中重型货车</v>
      </c>
      <c r="I789" s="36" t="str">
        <f t="shared" si="43"/>
        <v>Freight HDV</v>
      </c>
      <c r="J789" s="36">
        <v>43654</v>
      </c>
    </row>
    <row r="790" spans="1:10" x14ac:dyDescent="0.15">
      <c r="A790" s="36">
        <v>789</v>
      </c>
      <c r="B790" s="36">
        <v>2017</v>
      </c>
      <c r="C790" s="36" t="s">
        <v>953</v>
      </c>
      <c r="D790" s="36" t="str">
        <f t="shared" si="41"/>
        <v>diesel vehicle</v>
      </c>
      <c r="E790" s="36" t="s">
        <v>976</v>
      </c>
      <c r="F790" s="36" t="s">
        <v>950</v>
      </c>
      <c r="G790" s="36" t="s">
        <v>972</v>
      </c>
      <c r="H790" s="36" t="str">
        <f t="shared" si="42"/>
        <v>中重型货车</v>
      </c>
      <c r="I790" s="36" t="str">
        <f t="shared" si="43"/>
        <v>Freight HDV</v>
      </c>
      <c r="J790" s="36">
        <v>37766</v>
      </c>
    </row>
    <row r="791" spans="1:10" x14ac:dyDescent="0.15">
      <c r="A791" s="36">
        <v>790</v>
      </c>
      <c r="B791" s="36">
        <v>2018</v>
      </c>
      <c r="C791" s="36" t="s">
        <v>953</v>
      </c>
      <c r="D791" s="36" t="str">
        <f t="shared" si="41"/>
        <v>diesel vehicle</v>
      </c>
      <c r="E791" s="36" t="s">
        <v>976</v>
      </c>
      <c r="F791" s="36" t="s">
        <v>950</v>
      </c>
      <c r="G791" s="36" t="s">
        <v>972</v>
      </c>
      <c r="H791" s="36" t="str">
        <f t="shared" si="42"/>
        <v>中重型货车</v>
      </c>
      <c r="I791" s="36" t="str">
        <f t="shared" si="43"/>
        <v>Freight HDV</v>
      </c>
      <c r="J791" s="36">
        <v>27681</v>
      </c>
    </row>
    <row r="792" spans="1:10" x14ac:dyDescent="0.15">
      <c r="A792" s="36">
        <v>791</v>
      </c>
      <c r="B792" s="36">
        <v>2019</v>
      </c>
      <c r="C792" s="36" t="s">
        <v>953</v>
      </c>
      <c r="D792" s="36" t="str">
        <f t="shared" si="41"/>
        <v>diesel vehicle</v>
      </c>
      <c r="E792" s="36" t="s">
        <v>976</v>
      </c>
      <c r="F792" s="36" t="s">
        <v>950</v>
      </c>
      <c r="G792" s="36" t="s">
        <v>972</v>
      </c>
      <c r="H792" s="36" t="str">
        <f t="shared" si="42"/>
        <v>中重型货车</v>
      </c>
      <c r="I792" s="36" t="str">
        <f t="shared" si="43"/>
        <v>Freight HDV</v>
      </c>
      <c r="J792" s="36">
        <v>33534</v>
      </c>
    </row>
    <row r="793" spans="1:10" x14ac:dyDescent="0.15">
      <c r="A793" s="36">
        <v>792</v>
      </c>
      <c r="B793" s="36">
        <v>2020</v>
      </c>
      <c r="C793" s="36" t="s">
        <v>953</v>
      </c>
      <c r="D793" s="36" t="str">
        <f t="shared" si="41"/>
        <v>diesel vehicle</v>
      </c>
      <c r="E793" s="36" t="s">
        <v>976</v>
      </c>
      <c r="F793" s="36" t="s">
        <v>950</v>
      </c>
      <c r="G793" s="36" t="s">
        <v>972</v>
      </c>
      <c r="H793" s="36" t="str">
        <f t="shared" si="42"/>
        <v>中重型货车</v>
      </c>
      <c r="I793" s="36" t="str">
        <f t="shared" si="43"/>
        <v>Freight HDV</v>
      </c>
      <c r="J793" s="36">
        <v>38255</v>
      </c>
    </row>
    <row r="794" spans="1:10" x14ac:dyDescent="0.15">
      <c r="A794" s="36">
        <v>793</v>
      </c>
      <c r="B794" s="36">
        <v>2021</v>
      </c>
      <c r="C794" s="36" t="s">
        <v>953</v>
      </c>
      <c r="D794" s="36" t="str">
        <f t="shared" si="41"/>
        <v>diesel vehicle</v>
      </c>
      <c r="E794" s="36" t="s">
        <v>976</v>
      </c>
      <c r="F794" s="36" t="s">
        <v>950</v>
      </c>
      <c r="G794" s="36" t="s">
        <v>972</v>
      </c>
      <c r="H794" s="36" t="str">
        <f t="shared" si="42"/>
        <v>中重型货车</v>
      </c>
      <c r="I794" s="36" t="str">
        <f t="shared" si="43"/>
        <v>Freight HDV</v>
      </c>
      <c r="J794" s="36">
        <v>43304</v>
      </c>
    </row>
    <row r="795" spans="1:10" x14ac:dyDescent="0.15">
      <c r="A795" s="36">
        <v>794</v>
      </c>
      <c r="B795" s="36">
        <v>2015</v>
      </c>
      <c r="C795" s="36" t="s">
        <v>958</v>
      </c>
      <c r="D795" s="36" t="str">
        <f t="shared" si="41"/>
        <v>battery electric vehicle</v>
      </c>
      <c r="E795" s="36" t="s">
        <v>976</v>
      </c>
      <c r="F795" s="36" t="s">
        <v>950</v>
      </c>
      <c r="G795" s="36" t="s">
        <v>972</v>
      </c>
      <c r="H795" s="36" t="str">
        <f t="shared" si="42"/>
        <v>中重型货车</v>
      </c>
      <c r="I795" s="36" t="str">
        <f t="shared" si="43"/>
        <v>Freight HDV</v>
      </c>
      <c r="J795" s="36">
        <v>5660</v>
      </c>
    </row>
    <row r="796" spans="1:10" x14ac:dyDescent="0.15">
      <c r="A796" s="36">
        <v>795</v>
      </c>
      <c r="B796" s="36">
        <v>2016</v>
      </c>
      <c r="C796" s="36" t="s">
        <v>958</v>
      </c>
      <c r="D796" s="36" t="str">
        <f t="shared" si="41"/>
        <v>battery electric vehicle</v>
      </c>
      <c r="E796" s="36" t="s">
        <v>976</v>
      </c>
      <c r="F796" s="36" t="s">
        <v>950</v>
      </c>
      <c r="G796" s="36" t="s">
        <v>972</v>
      </c>
      <c r="H796" s="36" t="str">
        <f t="shared" si="42"/>
        <v>中重型货车</v>
      </c>
      <c r="I796" s="36" t="str">
        <f t="shared" si="43"/>
        <v>Freight HDV</v>
      </c>
      <c r="J796" s="36">
        <v>3928</v>
      </c>
    </row>
    <row r="797" spans="1:10" x14ac:dyDescent="0.15">
      <c r="A797" s="36">
        <v>796</v>
      </c>
      <c r="B797" s="36">
        <v>2017</v>
      </c>
      <c r="C797" s="36" t="s">
        <v>958</v>
      </c>
      <c r="D797" s="36" t="str">
        <f t="shared" si="41"/>
        <v>battery electric vehicle</v>
      </c>
      <c r="E797" s="36" t="s">
        <v>976</v>
      </c>
      <c r="F797" s="36" t="s">
        <v>950</v>
      </c>
      <c r="G797" s="36" t="s">
        <v>972</v>
      </c>
      <c r="H797" s="36" t="str">
        <f t="shared" si="42"/>
        <v>中重型货车</v>
      </c>
      <c r="I797" s="36" t="str">
        <f t="shared" si="43"/>
        <v>Freight HDV</v>
      </c>
      <c r="J797" s="36">
        <v>1608</v>
      </c>
    </row>
    <row r="798" spans="1:10" x14ac:dyDescent="0.15">
      <c r="A798" s="36">
        <v>797</v>
      </c>
      <c r="B798" s="36">
        <v>2018</v>
      </c>
      <c r="C798" s="36" t="s">
        <v>958</v>
      </c>
      <c r="D798" s="36" t="str">
        <f t="shared" si="41"/>
        <v>battery electric vehicle</v>
      </c>
      <c r="E798" s="36" t="s">
        <v>976</v>
      </c>
      <c r="F798" s="36" t="s">
        <v>950</v>
      </c>
      <c r="G798" s="36" t="s">
        <v>972</v>
      </c>
      <c r="H798" s="36" t="str">
        <f t="shared" si="42"/>
        <v>中重型货车</v>
      </c>
      <c r="I798" s="36" t="str">
        <f t="shared" si="43"/>
        <v>Freight HDV</v>
      </c>
      <c r="J798" s="36">
        <v>101</v>
      </c>
    </row>
    <row r="799" spans="1:10" x14ac:dyDescent="0.15">
      <c r="A799" s="36">
        <v>798</v>
      </c>
      <c r="B799" s="36">
        <v>2019</v>
      </c>
      <c r="C799" s="36" t="s">
        <v>958</v>
      </c>
      <c r="D799" s="36" t="str">
        <f t="shared" si="41"/>
        <v>battery electric vehicle</v>
      </c>
      <c r="E799" s="36" t="s">
        <v>976</v>
      </c>
      <c r="F799" s="36" t="s">
        <v>950</v>
      </c>
      <c r="G799" s="36" t="s">
        <v>972</v>
      </c>
      <c r="H799" s="36" t="str">
        <f t="shared" si="42"/>
        <v>中重型货车</v>
      </c>
      <c r="I799" s="36" t="str">
        <f t="shared" si="43"/>
        <v>Freight HDV</v>
      </c>
      <c r="J799" s="36">
        <v>20</v>
      </c>
    </row>
    <row r="800" spans="1:10" x14ac:dyDescent="0.15">
      <c r="A800" s="36">
        <v>799</v>
      </c>
      <c r="B800" s="36">
        <v>2020</v>
      </c>
      <c r="C800" s="36" t="s">
        <v>958</v>
      </c>
      <c r="D800" s="36" t="str">
        <f t="shared" si="41"/>
        <v>battery electric vehicle</v>
      </c>
      <c r="E800" s="36" t="s">
        <v>976</v>
      </c>
      <c r="F800" s="36" t="s">
        <v>950</v>
      </c>
      <c r="G800" s="36" t="s">
        <v>972</v>
      </c>
      <c r="H800" s="36" t="str">
        <f t="shared" si="42"/>
        <v>中重型货车</v>
      </c>
      <c r="I800" s="36" t="str">
        <f t="shared" si="43"/>
        <v>Freight HDV</v>
      </c>
      <c r="J800" s="36">
        <v>74</v>
      </c>
    </row>
    <row r="801" spans="1:10" x14ac:dyDescent="0.15">
      <c r="A801" s="36">
        <v>800</v>
      </c>
      <c r="B801" s="36">
        <v>2021</v>
      </c>
      <c r="C801" s="36" t="s">
        <v>958</v>
      </c>
      <c r="D801" s="36" t="str">
        <f t="shared" si="41"/>
        <v>battery electric vehicle</v>
      </c>
      <c r="E801" s="36" t="s">
        <v>976</v>
      </c>
      <c r="F801" s="36" t="s">
        <v>950</v>
      </c>
      <c r="G801" s="36" t="s">
        <v>972</v>
      </c>
      <c r="H801" s="36" t="str">
        <f t="shared" si="42"/>
        <v>中重型货车</v>
      </c>
      <c r="I801" s="36" t="str">
        <f t="shared" si="43"/>
        <v>Freight HDV</v>
      </c>
      <c r="J801" s="36">
        <v>141</v>
      </c>
    </row>
    <row r="802" spans="1:10" x14ac:dyDescent="0.15">
      <c r="A802" s="36">
        <v>801</v>
      </c>
      <c r="B802" s="36">
        <v>2018</v>
      </c>
      <c r="C802" s="36" t="s">
        <v>952</v>
      </c>
      <c r="D802" s="36" t="str">
        <f t="shared" si="41"/>
        <v>gasoline vehicle</v>
      </c>
      <c r="E802" s="36" t="s">
        <v>976</v>
      </c>
      <c r="F802" s="36" t="s">
        <v>950</v>
      </c>
      <c r="G802" s="36" t="s">
        <v>972</v>
      </c>
      <c r="H802" s="36" t="str">
        <f t="shared" si="42"/>
        <v>中重型货车</v>
      </c>
      <c r="I802" s="36" t="str">
        <f t="shared" si="43"/>
        <v>Freight HDV</v>
      </c>
      <c r="J802" s="36">
        <v>3</v>
      </c>
    </row>
    <row r="803" spans="1:10" x14ac:dyDescent="0.15">
      <c r="A803" s="36">
        <v>802</v>
      </c>
      <c r="B803" s="36">
        <v>2021</v>
      </c>
      <c r="C803" s="36" t="s">
        <v>952</v>
      </c>
      <c r="D803" s="36" t="str">
        <f t="shared" si="41"/>
        <v>gasoline vehicle</v>
      </c>
      <c r="E803" s="36" t="s">
        <v>976</v>
      </c>
      <c r="F803" s="36" t="s">
        <v>950</v>
      </c>
      <c r="G803" s="36" t="s">
        <v>972</v>
      </c>
      <c r="H803" s="36" t="str">
        <f t="shared" si="42"/>
        <v>中重型货车</v>
      </c>
      <c r="I803" s="36" t="str">
        <f t="shared" si="43"/>
        <v>Freight HDV</v>
      </c>
      <c r="J803" s="36">
        <v>1</v>
      </c>
    </row>
    <row r="804" spans="1:10" x14ac:dyDescent="0.15">
      <c r="A804" s="36">
        <v>803</v>
      </c>
      <c r="B804" s="36">
        <v>2015</v>
      </c>
      <c r="C804" s="36" t="s">
        <v>956</v>
      </c>
      <c r="D804" s="36" t="str">
        <f t="shared" si="41"/>
        <v>natural gas vehicle</v>
      </c>
      <c r="E804" s="36" t="s">
        <v>976</v>
      </c>
      <c r="F804" s="36" t="s">
        <v>950</v>
      </c>
      <c r="G804" s="36" t="s">
        <v>972</v>
      </c>
      <c r="H804" s="36" t="str">
        <f t="shared" si="42"/>
        <v>中重型货车</v>
      </c>
      <c r="I804" s="36" t="str">
        <f t="shared" si="43"/>
        <v>Freight HDV</v>
      </c>
      <c r="J804" s="36">
        <v>35</v>
      </c>
    </row>
    <row r="805" spans="1:10" x14ac:dyDescent="0.15">
      <c r="A805" s="36">
        <v>804</v>
      </c>
      <c r="B805" s="36">
        <v>2017</v>
      </c>
      <c r="C805" s="36" t="s">
        <v>966</v>
      </c>
      <c r="D805" s="36" t="str">
        <f t="shared" si="41"/>
        <v>hydrogen vehicle</v>
      </c>
      <c r="E805" s="36" t="s">
        <v>976</v>
      </c>
      <c r="F805" s="36" t="s">
        <v>950</v>
      </c>
      <c r="G805" s="36" t="s">
        <v>972</v>
      </c>
      <c r="H805" s="36" t="str">
        <f t="shared" si="42"/>
        <v>中重型货车</v>
      </c>
      <c r="I805" s="36" t="str">
        <f t="shared" si="43"/>
        <v>Freight HDV</v>
      </c>
      <c r="J805" s="36">
        <v>401</v>
      </c>
    </row>
    <row r="806" spans="1:10" x14ac:dyDescent="0.15">
      <c r="A806" s="36">
        <v>805</v>
      </c>
      <c r="B806" s="36">
        <v>2018</v>
      </c>
      <c r="C806" s="36" t="s">
        <v>966</v>
      </c>
      <c r="D806" s="36" t="str">
        <f t="shared" si="41"/>
        <v>hydrogen vehicle</v>
      </c>
      <c r="E806" s="36" t="s">
        <v>976</v>
      </c>
      <c r="F806" s="36" t="s">
        <v>950</v>
      </c>
      <c r="G806" s="36" t="s">
        <v>972</v>
      </c>
      <c r="H806" s="36" t="str">
        <f t="shared" si="42"/>
        <v>中重型货车</v>
      </c>
      <c r="I806" s="36" t="str">
        <f t="shared" si="43"/>
        <v>Freight HDV</v>
      </c>
      <c r="J806" s="36">
        <v>402</v>
      </c>
    </row>
    <row r="807" spans="1:10" x14ac:dyDescent="0.15">
      <c r="A807" s="36">
        <v>806</v>
      </c>
      <c r="B807" s="36">
        <v>2019</v>
      </c>
      <c r="C807" s="36" t="s">
        <v>966</v>
      </c>
      <c r="D807" s="36" t="str">
        <f t="shared" si="41"/>
        <v>hydrogen vehicle</v>
      </c>
      <c r="E807" s="36" t="s">
        <v>976</v>
      </c>
      <c r="F807" s="36" t="s">
        <v>950</v>
      </c>
      <c r="G807" s="36" t="s">
        <v>972</v>
      </c>
      <c r="H807" s="36" t="str">
        <f t="shared" si="42"/>
        <v>中重型货车</v>
      </c>
      <c r="I807" s="36" t="str">
        <f t="shared" si="43"/>
        <v>Freight HDV</v>
      </c>
      <c r="J807" s="36">
        <v>1518</v>
      </c>
    </row>
    <row r="808" spans="1:10" x14ac:dyDescent="0.15">
      <c r="A808" s="36">
        <v>807</v>
      </c>
      <c r="B808" s="36">
        <v>2020</v>
      </c>
      <c r="C808" s="36" t="s">
        <v>966</v>
      </c>
      <c r="D808" s="36" t="str">
        <f t="shared" si="41"/>
        <v>hydrogen vehicle</v>
      </c>
      <c r="E808" s="36" t="s">
        <v>976</v>
      </c>
      <c r="F808" s="36" t="s">
        <v>950</v>
      </c>
      <c r="G808" s="36" t="s">
        <v>972</v>
      </c>
      <c r="H808" s="36" t="str">
        <f t="shared" si="42"/>
        <v>中重型货车</v>
      </c>
      <c r="I808" s="36" t="str">
        <f t="shared" si="43"/>
        <v>Freight HDV</v>
      </c>
      <c r="J808" s="36">
        <v>64</v>
      </c>
    </row>
    <row r="809" spans="1:10" x14ac:dyDescent="0.15">
      <c r="A809" s="36">
        <v>808</v>
      </c>
      <c r="B809" s="36">
        <v>2021</v>
      </c>
      <c r="C809" s="36" t="s">
        <v>966</v>
      </c>
      <c r="D809" s="36" t="str">
        <f t="shared" si="41"/>
        <v>hydrogen vehicle</v>
      </c>
      <c r="E809" s="36" t="s">
        <v>976</v>
      </c>
      <c r="F809" s="36" t="s">
        <v>950</v>
      </c>
      <c r="G809" s="36" t="s">
        <v>972</v>
      </c>
      <c r="H809" s="36" t="str">
        <f t="shared" si="42"/>
        <v>中重型货车</v>
      </c>
      <c r="I809" s="36" t="str">
        <f t="shared" si="43"/>
        <v>Freight HDV</v>
      </c>
      <c r="J809" s="36">
        <v>32</v>
      </c>
    </row>
    <row r="810" spans="1:10" x14ac:dyDescent="0.15">
      <c r="A810" s="36">
        <v>809</v>
      </c>
      <c r="B810" s="36">
        <v>2015</v>
      </c>
      <c r="C810" s="36" t="s">
        <v>955</v>
      </c>
      <c r="D810" s="36" t="str">
        <f t="shared" si="41"/>
        <v>natural gas vehicle</v>
      </c>
      <c r="E810" s="36" t="s">
        <v>976</v>
      </c>
      <c r="F810" s="36" t="s">
        <v>950</v>
      </c>
      <c r="G810" s="36" t="s">
        <v>972</v>
      </c>
      <c r="H810" s="36" t="str">
        <f t="shared" si="42"/>
        <v>中重型货车</v>
      </c>
      <c r="I810" s="36" t="str">
        <f t="shared" si="43"/>
        <v>Freight HDV</v>
      </c>
      <c r="J810" s="36">
        <v>60</v>
      </c>
    </row>
    <row r="811" spans="1:10" x14ac:dyDescent="0.15">
      <c r="A811" s="36">
        <v>810</v>
      </c>
      <c r="B811" s="36">
        <v>2016</v>
      </c>
      <c r="C811" s="36" t="s">
        <v>955</v>
      </c>
      <c r="D811" s="36" t="str">
        <f t="shared" si="41"/>
        <v>natural gas vehicle</v>
      </c>
      <c r="E811" s="36" t="s">
        <v>976</v>
      </c>
      <c r="F811" s="36" t="s">
        <v>950</v>
      </c>
      <c r="G811" s="36" t="s">
        <v>972</v>
      </c>
      <c r="H811" s="36" t="str">
        <f t="shared" si="42"/>
        <v>中重型货车</v>
      </c>
      <c r="I811" s="36" t="str">
        <f t="shared" si="43"/>
        <v>Freight HDV</v>
      </c>
      <c r="J811" s="36">
        <v>9</v>
      </c>
    </row>
    <row r="812" spans="1:10" x14ac:dyDescent="0.15">
      <c r="A812" s="36">
        <v>811</v>
      </c>
      <c r="B812" s="36">
        <v>2017</v>
      </c>
      <c r="C812" s="36" t="s">
        <v>955</v>
      </c>
      <c r="D812" s="36" t="str">
        <f t="shared" si="41"/>
        <v>natural gas vehicle</v>
      </c>
      <c r="E812" s="36" t="s">
        <v>976</v>
      </c>
      <c r="F812" s="36" t="s">
        <v>950</v>
      </c>
      <c r="G812" s="36" t="s">
        <v>972</v>
      </c>
      <c r="H812" s="36" t="str">
        <f t="shared" si="42"/>
        <v>中重型货车</v>
      </c>
      <c r="I812" s="36" t="str">
        <f t="shared" si="43"/>
        <v>Freight HDV</v>
      </c>
      <c r="J812" s="36">
        <v>8</v>
      </c>
    </row>
    <row r="813" spans="1:10" x14ac:dyDescent="0.15">
      <c r="A813" s="36">
        <v>812</v>
      </c>
      <c r="B813" s="36">
        <v>2018</v>
      </c>
      <c r="C813" s="36" t="s">
        <v>955</v>
      </c>
      <c r="D813" s="36" t="str">
        <f t="shared" si="41"/>
        <v>natural gas vehicle</v>
      </c>
      <c r="E813" s="36" t="s">
        <v>976</v>
      </c>
      <c r="F813" s="36" t="s">
        <v>950</v>
      </c>
      <c r="G813" s="36" t="s">
        <v>972</v>
      </c>
      <c r="H813" s="36" t="str">
        <f t="shared" si="42"/>
        <v>中重型货车</v>
      </c>
      <c r="I813" s="36" t="str">
        <f t="shared" si="43"/>
        <v>Freight HDV</v>
      </c>
      <c r="J813" s="36">
        <v>31</v>
      </c>
    </row>
    <row r="814" spans="1:10" x14ac:dyDescent="0.15">
      <c r="A814" s="36">
        <v>813</v>
      </c>
      <c r="B814" s="36">
        <v>2019</v>
      </c>
      <c r="C814" s="36" t="s">
        <v>955</v>
      </c>
      <c r="D814" s="36" t="str">
        <f t="shared" si="41"/>
        <v>natural gas vehicle</v>
      </c>
      <c r="E814" s="36" t="s">
        <v>976</v>
      </c>
      <c r="F814" s="36" t="s">
        <v>950</v>
      </c>
      <c r="G814" s="36" t="s">
        <v>972</v>
      </c>
      <c r="H814" s="36" t="str">
        <f t="shared" si="42"/>
        <v>中重型货车</v>
      </c>
      <c r="I814" s="36" t="str">
        <f t="shared" si="43"/>
        <v>Freight HDV</v>
      </c>
      <c r="J814" s="36">
        <v>12</v>
      </c>
    </row>
    <row r="815" spans="1:10" x14ac:dyDescent="0.15">
      <c r="A815" s="36">
        <v>814</v>
      </c>
      <c r="B815" s="36">
        <v>2020</v>
      </c>
      <c r="C815" s="36" t="s">
        <v>955</v>
      </c>
      <c r="D815" s="36" t="str">
        <f t="shared" si="41"/>
        <v>natural gas vehicle</v>
      </c>
      <c r="E815" s="36" t="s">
        <v>976</v>
      </c>
      <c r="F815" s="36" t="s">
        <v>950</v>
      </c>
      <c r="G815" s="36" t="s">
        <v>972</v>
      </c>
      <c r="H815" s="36" t="str">
        <f t="shared" si="42"/>
        <v>中重型货车</v>
      </c>
      <c r="I815" s="36" t="str">
        <f t="shared" si="43"/>
        <v>Freight HDV</v>
      </c>
      <c r="J815" s="36">
        <v>62</v>
      </c>
    </row>
    <row r="816" spans="1:10" x14ac:dyDescent="0.15">
      <c r="A816" s="36">
        <v>815</v>
      </c>
      <c r="B816" s="36">
        <v>2021</v>
      </c>
      <c r="C816" s="36" t="s">
        <v>955</v>
      </c>
      <c r="D816" s="36" t="str">
        <f t="shared" si="41"/>
        <v>natural gas vehicle</v>
      </c>
      <c r="E816" s="36" t="s">
        <v>976</v>
      </c>
      <c r="F816" s="36" t="s">
        <v>950</v>
      </c>
      <c r="G816" s="36" t="s">
        <v>972</v>
      </c>
      <c r="H816" s="36" t="str">
        <f t="shared" si="42"/>
        <v>中重型货车</v>
      </c>
      <c r="I816" s="36" t="str">
        <f t="shared" si="43"/>
        <v>Freight HDV</v>
      </c>
      <c r="J816" s="36">
        <v>39</v>
      </c>
    </row>
    <row r="817" spans="1:10" x14ac:dyDescent="0.15">
      <c r="A817" s="36">
        <v>816</v>
      </c>
      <c r="B817" s="36">
        <v>2015</v>
      </c>
      <c r="C817" s="36" t="s">
        <v>953</v>
      </c>
      <c r="D817" s="36" t="str">
        <f t="shared" si="41"/>
        <v>diesel vehicle</v>
      </c>
      <c r="E817" s="36" t="s">
        <v>951</v>
      </c>
      <c r="F817" s="36" t="s">
        <v>950</v>
      </c>
      <c r="G817" s="36" t="s">
        <v>972</v>
      </c>
      <c r="H817" s="36" t="str">
        <f t="shared" si="42"/>
        <v>道路客车</v>
      </c>
      <c r="I817" s="36" t="str">
        <f t="shared" si="43"/>
        <v>Passenger HDV</v>
      </c>
      <c r="J817" s="36">
        <v>107</v>
      </c>
    </row>
    <row r="818" spans="1:10" x14ac:dyDescent="0.15">
      <c r="A818" s="36">
        <v>817</v>
      </c>
      <c r="B818" s="36">
        <v>2016</v>
      </c>
      <c r="C818" s="36" t="s">
        <v>953</v>
      </c>
      <c r="D818" s="36" t="str">
        <f t="shared" si="41"/>
        <v>diesel vehicle</v>
      </c>
      <c r="E818" s="36" t="s">
        <v>951</v>
      </c>
      <c r="F818" s="36" t="s">
        <v>950</v>
      </c>
      <c r="G818" s="36" t="s">
        <v>972</v>
      </c>
      <c r="H818" s="36" t="str">
        <f t="shared" si="42"/>
        <v>道路客车</v>
      </c>
      <c r="I818" s="36" t="str">
        <f t="shared" si="43"/>
        <v>Passenger HDV</v>
      </c>
      <c r="J818" s="36">
        <v>162</v>
      </c>
    </row>
    <row r="819" spans="1:10" x14ac:dyDescent="0.15">
      <c r="A819" s="36">
        <v>818</v>
      </c>
      <c r="B819" s="36">
        <v>2017</v>
      </c>
      <c r="C819" s="36" t="s">
        <v>953</v>
      </c>
      <c r="D819" s="36" t="str">
        <f t="shared" si="41"/>
        <v>diesel vehicle</v>
      </c>
      <c r="E819" s="36" t="s">
        <v>951</v>
      </c>
      <c r="F819" s="36" t="s">
        <v>950</v>
      </c>
      <c r="G819" s="36" t="s">
        <v>972</v>
      </c>
      <c r="H819" s="36" t="str">
        <f t="shared" si="42"/>
        <v>道路客车</v>
      </c>
      <c r="I819" s="36" t="str">
        <f t="shared" si="43"/>
        <v>Passenger HDV</v>
      </c>
      <c r="J819" s="36">
        <v>385</v>
      </c>
    </row>
    <row r="820" spans="1:10" x14ac:dyDescent="0.15">
      <c r="A820" s="36">
        <v>819</v>
      </c>
      <c r="B820" s="36">
        <v>2018</v>
      </c>
      <c r="C820" s="36" t="s">
        <v>953</v>
      </c>
      <c r="D820" s="36" t="str">
        <f t="shared" si="41"/>
        <v>diesel vehicle</v>
      </c>
      <c r="E820" s="36" t="s">
        <v>951</v>
      </c>
      <c r="F820" s="36" t="s">
        <v>950</v>
      </c>
      <c r="G820" s="36" t="s">
        <v>972</v>
      </c>
      <c r="H820" s="36" t="str">
        <f t="shared" si="42"/>
        <v>道路客车</v>
      </c>
      <c r="I820" s="36" t="str">
        <f t="shared" si="43"/>
        <v>Passenger HDV</v>
      </c>
      <c r="J820" s="36">
        <v>114</v>
      </c>
    </row>
    <row r="821" spans="1:10" x14ac:dyDescent="0.15">
      <c r="A821" s="36">
        <v>820</v>
      </c>
      <c r="B821" s="36">
        <v>2019</v>
      </c>
      <c r="C821" s="36" t="s">
        <v>953</v>
      </c>
      <c r="D821" s="36" t="str">
        <f t="shared" si="41"/>
        <v>diesel vehicle</v>
      </c>
      <c r="E821" s="36" t="s">
        <v>951</v>
      </c>
      <c r="F821" s="36" t="s">
        <v>950</v>
      </c>
      <c r="G821" s="36" t="s">
        <v>972</v>
      </c>
      <c r="H821" s="36" t="str">
        <f t="shared" si="42"/>
        <v>道路客车</v>
      </c>
      <c r="I821" s="36" t="str">
        <f t="shared" si="43"/>
        <v>Passenger HDV</v>
      </c>
      <c r="J821" s="36">
        <v>108</v>
      </c>
    </row>
    <row r="822" spans="1:10" x14ac:dyDescent="0.15">
      <c r="A822" s="36">
        <v>821</v>
      </c>
      <c r="B822" s="36">
        <v>2020</v>
      </c>
      <c r="C822" s="36" t="s">
        <v>953</v>
      </c>
      <c r="D822" s="36" t="str">
        <f t="shared" si="41"/>
        <v>diesel vehicle</v>
      </c>
      <c r="E822" s="36" t="s">
        <v>951</v>
      </c>
      <c r="F822" s="36" t="s">
        <v>950</v>
      </c>
      <c r="G822" s="36" t="s">
        <v>972</v>
      </c>
      <c r="H822" s="36" t="str">
        <f t="shared" si="42"/>
        <v>道路客车</v>
      </c>
      <c r="I822" s="36" t="str">
        <f t="shared" si="43"/>
        <v>Passenger HDV</v>
      </c>
      <c r="J822" s="36">
        <v>47</v>
      </c>
    </row>
    <row r="823" spans="1:10" x14ac:dyDescent="0.15">
      <c r="A823" s="36">
        <v>822</v>
      </c>
      <c r="B823" s="36">
        <v>2021</v>
      </c>
      <c r="C823" s="36" t="s">
        <v>953</v>
      </c>
      <c r="D823" s="36" t="str">
        <f t="shared" si="41"/>
        <v>diesel vehicle</v>
      </c>
      <c r="E823" s="36" t="s">
        <v>951</v>
      </c>
      <c r="F823" s="36" t="s">
        <v>950</v>
      </c>
      <c r="G823" s="36" t="s">
        <v>972</v>
      </c>
      <c r="H823" s="36" t="str">
        <f t="shared" si="42"/>
        <v>道路客车</v>
      </c>
      <c r="I823" s="36" t="str">
        <f t="shared" si="43"/>
        <v>Passenger HDV</v>
      </c>
      <c r="J823" s="36">
        <v>110</v>
      </c>
    </row>
    <row r="824" spans="1:10" x14ac:dyDescent="0.15">
      <c r="A824" s="36">
        <v>823</v>
      </c>
      <c r="B824" s="36">
        <v>2021</v>
      </c>
      <c r="C824" s="36" t="s">
        <v>958</v>
      </c>
      <c r="D824" s="36" t="str">
        <f t="shared" si="41"/>
        <v>battery electric vehicle</v>
      </c>
      <c r="E824" s="36" t="s">
        <v>951</v>
      </c>
      <c r="F824" s="36" t="s">
        <v>950</v>
      </c>
      <c r="G824" s="36" t="s">
        <v>972</v>
      </c>
      <c r="H824" s="36" t="str">
        <f t="shared" si="42"/>
        <v>道路客车</v>
      </c>
      <c r="I824" s="36" t="str">
        <f t="shared" si="43"/>
        <v>Passenger HDV</v>
      </c>
      <c r="J824" s="36">
        <v>53</v>
      </c>
    </row>
    <row r="825" spans="1:10" x14ac:dyDescent="0.15">
      <c r="A825" s="36">
        <v>824</v>
      </c>
      <c r="B825" s="36">
        <v>2016</v>
      </c>
      <c r="C825" s="36" t="s">
        <v>952</v>
      </c>
      <c r="D825" s="36" t="str">
        <f t="shared" si="41"/>
        <v>gasoline vehicle</v>
      </c>
      <c r="E825" s="36" t="s">
        <v>951</v>
      </c>
      <c r="F825" s="36" t="s">
        <v>950</v>
      </c>
      <c r="G825" s="36" t="s">
        <v>972</v>
      </c>
      <c r="H825" s="36" t="str">
        <f t="shared" si="42"/>
        <v>道路客车</v>
      </c>
      <c r="I825" s="36" t="str">
        <f t="shared" si="43"/>
        <v>Passenger HDV</v>
      </c>
      <c r="J825" s="36">
        <v>379</v>
      </c>
    </row>
    <row r="826" spans="1:10" x14ac:dyDescent="0.15">
      <c r="A826" s="36">
        <v>825</v>
      </c>
      <c r="B826" s="36">
        <v>2017</v>
      </c>
      <c r="C826" s="36" t="s">
        <v>952</v>
      </c>
      <c r="D826" s="36" t="str">
        <f t="shared" si="41"/>
        <v>gasoline vehicle</v>
      </c>
      <c r="E826" s="36" t="s">
        <v>951</v>
      </c>
      <c r="F826" s="36" t="s">
        <v>950</v>
      </c>
      <c r="G826" s="36" t="s">
        <v>972</v>
      </c>
      <c r="H826" s="36" t="str">
        <f t="shared" si="42"/>
        <v>道路客车</v>
      </c>
      <c r="I826" s="36" t="str">
        <f t="shared" si="43"/>
        <v>Passenger HDV</v>
      </c>
      <c r="J826" s="36">
        <v>76</v>
      </c>
    </row>
    <row r="827" spans="1:10" x14ac:dyDescent="0.15">
      <c r="A827" s="36">
        <v>826</v>
      </c>
      <c r="B827" s="36">
        <v>2018</v>
      </c>
      <c r="C827" s="36" t="s">
        <v>952</v>
      </c>
      <c r="D827" s="36" t="str">
        <f t="shared" si="41"/>
        <v>gasoline vehicle</v>
      </c>
      <c r="E827" s="36" t="s">
        <v>951</v>
      </c>
      <c r="F827" s="36" t="s">
        <v>950</v>
      </c>
      <c r="G827" s="36" t="s">
        <v>972</v>
      </c>
      <c r="H827" s="36" t="str">
        <f t="shared" si="42"/>
        <v>道路客车</v>
      </c>
      <c r="I827" s="36" t="str">
        <f t="shared" si="43"/>
        <v>Passenger HDV</v>
      </c>
      <c r="J827" s="36">
        <v>3</v>
      </c>
    </row>
    <row r="828" spans="1:10" x14ac:dyDescent="0.15">
      <c r="A828" s="36">
        <v>827</v>
      </c>
      <c r="B828" s="36">
        <v>2019</v>
      </c>
      <c r="C828" s="36" t="s">
        <v>952</v>
      </c>
      <c r="D828" s="36" t="str">
        <f t="shared" si="41"/>
        <v>gasoline vehicle</v>
      </c>
      <c r="E828" s="36" t="s">
        <v>951</v>
      </c>
      <c r="F828" s="36" t="s">
        <v>950</v>
      </c>
      <c r="G828" s="36" t="s">
        <v>972</v>
      </c>
      <c r="H828" s="36" t="str">
        <f t="shared" si="42"/>
        <v>道路客车</v>
      </c>
      <c r="I828" s="36" t="str">
        <f t="shared" si="43"/>
        <v>Passenger HDV</v>
      </c>
      <c r="J828" s="36">
        <v>3</v>
      </c>
    </row>
    <row r="829" spans="1:10" x14ac:dyDescent="0.15">
      <c r="A829" s="36">
        <v>828</v>
      </c>
      <c r="B829" s="36">
        <v>2020</v>
      </c>
      <c r="C829" s="36" t="s">
        <v>952</v>
      </c>
      <c r="D829" s="36" t="str">
        <f t="shared" si="41"/>
        <v>gasoline vehicle</v>
      </c>
      <c r="E829" s="36" t="s">
        <v>951</v>
      </c>
      <c r="F829" s="36" t="s">
        <v>950</v>
      </c>
      <c r="G829" s="36" t="s">
        <v>972</v>
      </c>
      <c r="H829" s="36" t="str">
        <f t="shared" si="42"/>
        <v>道路客车</v>
      </c>
      <c r="I829" s="36" t="str">
        <f t="shared" si="43"/>
        <v>Passenger HDV</v>
      </c>
      <c r="J829" s="36">
        <v>1</v>
      </c>
    </row>
    <row r="830" spans="1:10" x14ac:dyDescent="0.15">
      <c r="A830" s="36">
        <v>829</v>
      </c>
      <c r="B830" s="36">
        <v>2021</v>
      </c>
      <c r="C830" s="36" t="s">
        <v>952</v>
      </c>
      <c r="D830" s="36" t="str">
        <f t="shared" si="41"/>
        <v>gasoline vehicle</v>
      </c>
      <c r="E830" s="36" t="s">
        <v>951</v>
      </c>
      <c r="F830" s="36" t="s">
        <v>950</v>
      </c>
      <c r="G830" s="36" t="s">
        <v>972</v>
      </c>
      <c r="H830" s="36" t="str">
        <f t="shared" si="42"/>
        <v>道路客车</v>
      </c>
      <c r="I830" s="36" t="str">
        <f t="shared" si="43"/>
        <v>Passenger HDV</v>
      </c>
      <c r="J830" s="36">
        <v>6</v>
      </c>
    </row>
    <row r="831" spans="1:10" x14ac:dyDescent="0.15">
      <c r="A831" s="36">
        <v>830</v>
      </c>
      <c r="B831" s="36">
        <v>2015</v>
      </c>
      <c r="C831" s="36" t="s">
        <v>956</v>
      </c>
      <c r="D831" s="36" t="str">
        <f t="shared" si="41"/>
        <v>natural gas vehicle</v>
      </c>
      <c r="E831" s="36" t="s">
        <v>951</v>
      </c>
      <c r="F831" s="36" t="s">
        <v>950</v>
      </c>
      <c r="G831" s="36" t="s">
        <v>972</v>
      </c>
      <c r="H831" s="36" t="str">
        <f t="shared" si="42"/>
        <v>道路客车</v>
      </c>
      <c r="I831" s="36" t="str">
        <f t="shared" si="43"/>
        <v>Passenger HDV</v>
      </c>
      <c r="J831" s="36">
        <v>1</v>
      </c>
    </row>
    <row r="832" spans="1:10" x14ac:dyDescent="0.15">
      <c r="A832" s="36">
        <v>831</v>
      </c>
      <c r="B832" s="36">
        <v>2016</v>
      </c>
      <c r="C832" s="36" t="s">
        <v>956</v>
      </c>
      <c r="D832" s="36" t="str">
        <f t="shared" si="41"/>
        <v>natural gas vehicle</v>
      </c>
      <c r="E832" s="36" t="s">
        <v>951</v>
      </c>
      <c r="F832" s="36" t="s">
        <v>950</v>
      </c>
      <c r="G832" s="36" t="s">
        <v>972</v>
      </c>
      <c r="H832" s="36" t="str">
        <f t="shared" si="42"/>
        <v>道路客车</v>
      </c>
      <c r="I832" s="36" t="str">
        <f t="shared" si="43"/>
        <v>Passenger HDV</v>
      </c>
      <c r="J832" s="36">
        <v>4</v>
      </c>
    </row>
    <row r="833" spans="1:10" x14ac:dyDescent="0.15">
      <c r="A833" s="36">
        <v>832</v>
      </c>
      <c r="B833" s="36">
        <v>2015</v>
      </c>
      <c r="C833" s="36" t="s">
        <v>955</v>
      </c>
      <c r="D833" s="36" t="str">
        <f t="shared" si="41"/>
        <v>natural gas vehicle</v>
      </c>
      <c r="E833" s="36" t="s">
        <v>951</v>
      </c>
      <c r="F833" s="36" t="s">
        <v>950</v>
      </c>
      <c r="G833" s="36" t="s">
        <v>972</v>
      </c>
      <c r="H833" s="36" t="str">
        <f t="shared" si="42"/>
        <v>道路客车</v>
      </c>
      <c r="I833" s="36" t="str">
        <f t="shared" si="43"/>
        <v>Passenger HDV</v>
      </c>
      <c r="J833" s="36">
        <v>2</v>
      </c>
    </row>
    <row r="834" spans="1:10" x14ac:dyDescent="0.15">
      <c r="A834" s="36">
        <v>833</v>
      </c>
      <c r="B834" s="36">
        <v>2021</v>
      </c>
      <c r="C834" s="36" t="s">
        <v>961</v>
      </c>
      <c r="D834" s="36" t="str">
        <f t="shared" ref="D834:D897" si="44">VLOOKUP(C834,M$3:N$16,2,FALSE)</f>
        <v>plugin hybrid vehicle</v>
      </c>
      <c r="E834" s="36" t="s">
        <v>973</v>
      </c>
      <c r="F834" s="36" t="s">
        <v>950</v>
      </c>
      <c r="G834" s="36" t="s">
        <v>972</v>
      </c>
      <c r="H834" s="36" t="str">
        <f t="shared" ref="H834:H897" si="45">VLOOKUP(E834&amp;F834&amp;G834,$S$3:$U$68,2,FALSE)</f>
        <v>中重型货车</v>
      </c>
      <c r="I834" s="36" t="str">
        <f t="shared" ref="I834:I897" si="46">VLOOKUP(E834&amp;F834&amp;G834,$S$3:$U$68,3,FALSE)</f>
        <v>Freight HDV</v>
      </c>
      <c r="J834" s="36">
        <v>1</v>
      </c>
    </row>
    <row r="835" spans="1:10" x14ac:dyDescent="0.15">
      <c r="A835" s="36">
        <v>834</v>
      </c>
      <c r="B835" s="36">
        <v>2015</v>
      </c>
      <c r="C835" s="36" t="s">
        <v>953</v>
      </c>
      <c r="D835" s="36" t="str">
        <f t="shared" si="44"/>
        <v>diesel vehicle</v>
      </c>
      <c r="E835" s="36" t="s">
        <v>973</v>
      </c>
      <c r="F835" s="36" t="s">
        <v>950</v>
      </c>
      <c r="G835" s="36" t="s">
        <v>972</v>
      </c>
      <c r="H835" s="36" t="str">
        <f t="shared" si="45"/>
        <v>中重型货车</v>
      </c>
      <c r="I835" s="36" t="str">
        <f t="shared" si="46"/>
        <v>Freight HDV</v>
      </c>
      <c r="J835" s="36">
        <v>394817</v>
      </c>
    </row>
    <row r="836" spans="1:10" x14ac:dyDescent="0.15">
      <c r="A836" s="36">
        <v>835</v>
      </c>
      <c r="B836" s="36">
        <v>2016</v>
      </c>
      <c r="C836" s="36" t="s">
        <v>953</v>
      </c>
      <c r="D836" s="36" t="str">
        <f t="shared" si="44"/>
        <v>diesel vehicle</v>
      </c>
      <c r="E836" s="36" t="s">
        <v>973</v>
      </c>
      <c r="F836" s="36" t="s">
        <v>950</v>
      </c>
      <c r="G836" s="36" t="s">
        <v>972</v>
      </c>
      <c r="H836" s="36" t="str">
        <f t="shared" si="45"/>
        <v>中重型货车</v>
      </c>
      <c r="I836" s="36" t="str">
        <f t="shared" si="46"/>
        <v>Freight HDV</v>
      </c>
      <c r="J836" s="36">
        <v>536287</v>
      </c>
    </row>
    <row r="837" spans="1:10" x14ac:dyDescent="0.15">
      <c r="A837" s="36">
        <v>836</v>
      </c>
      <c r="B837" s="36">
        <v>2017</v>
      </c>
      <c r="C837" s="36" t="s">
        <v>953</v>
      </c>
      <c r="D837" s="36" t="str">
        <f t="shared" si="44"/>
        <v>diesel vehicle</v>
      </c>
      <c r="E837" s="36" t="s">
        <v>973</v>
      </c>
      <c r="F837" s="36" t="s">
        <v>950</v>
      </c>
      <c r="G837" s="36" t="s">
        <v>972</v>
      </c>
      <c r="H837" s="36" t="str">
        <f t="shared" si="45"/>
        <v>中重型货车</v>
      </c>
      <c r="I837" s="36" t="str">
        <f t="shared" si="46"/>
        <v>Freight HDV</v>
      </c>
      <c r="J837" s="36">
        <v>794595</v>
      </c>
    </row>
    <row r="838" spans="1:10" x14ac:dyDescent="0.15">
      <c r="A838" s="36">
        <v>837</v>
      </c>
      <c r="B838" s="36">
        <v>2018</v>
      </c>
      <c r="C838" s="36" t="s">
        <v>953</v>
      </c>
      <c r="D838" s="36" t="str">
        <f t="shared" si="44"/>
        <v>diesel vehicle</v>
      </c>
      <c r="E838" s="36" t="s">
        <v>973</v>
      </c>
      <c r="F838" s="36" t="s">
        <v>950</v>
      </c>
      <c r="G838" s="36" t="s">
        <v>972</v>
      </c>
      <c r="H838" s="36" t="str">
        <f t="shared" si="45"/>
        <v>中重型货车</v>
      </c>
      <c r="I838" s="36" t="str">
        <f t="shared" si="46"/>
        <v>Freight HDV</v>
      </c>
      <c r="J838" s="36">
        <v>793306</v>
      </c>
    </row>
    <row r="839" spans="1:10" x14ac:dyDescent="0.15">
      <c r="A839" s="36">
        <v>838</v>
      </c>
      <c r="B839" s="36">
        <v>2019</v>
      </c>
      <c r="C839" s="36" t="s">
        <v>953</v>
      </c>
      <c r="D839" s="36" t="str">
        <f t="shared" si="44"/>
        <v>diesel vehicle</v>
      </c>
      <c r="E839" s="36" t="s">
        <v>973</v>
      </c>
      <c r="F839" s="36" t="s">
        <v>950</v>
      </c>
      <c r="G839" s="36" t="s">
        <v>972</v>
      </c>
      <c r="H839" s="36" t="str">
        <f t="shared" si="45"/>
        <v>中重型货车</v>
      </c>
      <c r="I839" s="36" t="str">
        <f t="shared" si="46"/>
        <v>Freight HDV</v>
      </c>
      <c r="J839" s="36">
        <v>858043</v>
      </c>
    </row>
    <row r="840" spans="1:10" x14ac:dyDescent="0.15">
      <c r="A840" s="36">
        <v>839</v>
      </c>
      <c r="B840" s="36">
        <v>2020</v>
      </c>
      <c r="C840" s="36" t="s">
        <v>953</v>
      </c>
      <c r="D840" s="36" t="str">
        <f t="shared" si="44"/>
        <v>diesel vehicle</v>
      </c>
      <c r="E840" s="36" t="s">
        <v>973</v>
      </c>
      <c r="F840" s="36" t="s">
        <v>950</v>
      </c>
      <c r="G840" s="36" t="s">
        <v>972</v>
      </c>
      <c r="H840" s="36" t="str">
        <f t="shared" si="45"/>
        <v>中重型货车</v>
      </c>
      <c r="I840" s="36" t="str">
        <f t="shared" si="46"/>
        <v>Freight HDV</v>
      </c>
      <c r="J840" s="36">
        <v>1247024</v>
      </c>
    </row>
    <row r="841" spans="1:10" x14ac:dyDescent="0.15">
      <c r="A841" s="36">
        <v>840</v>
      </c>
      <c r="B841" s="36">
        <v>2021</v>
      </c>
      <c r="C841" s="36" t="s">
        <v>953</v>
      </c>
      <c r="D841" s="36" t="str">
        <f t="shared" si="44"/>
        <v>diesel vehicle</v>
      </c>
      <c r="E841" s="36" t="s">
        <v>973</v>
      </c>
      <c r="F841" s="36" t="s">
        <v>950</v>
      </c>
      <c r="G841" s="36" t="s">
        <v>972</v>
      </c>
      <c r="H841" s="36" t="str">
        <f t="shared" si="45"/>
        <v>中重型货车</v>
      </c>
      <c r="I841" s="36" t="str">
        <f t="shared" si="46"/>
        <v>Freight HDV</v>
      </c>
      <c r="J841" s="36">
        <v>1178385</v>
      </c>
    </row>
    <row r="842" spans="1:10" x14ac:dyDescent="0.15">
      <c r="A842" s="36">
        <v>841</v>
      </c>
      <c r="B842" s="36">
        <v>2016</v>
      </c>
      <c r="C842" s="36" t="s">
        <v>975</v>
      </c>
      <c r="D842" s="36" t="str">
        <f t="shared" si="44"/>
        <v>hybrid fuel vehicle</v>
      </c>
      <c r="E842" s="36" t="s">
        <v>973</v>
      </c>
      <c r="F842" s="36" t="s">
        <v>950</v>
      </c>
      <c r="G842" s="36" t="s">
        <v>972</v>
      </c>
      <c r="H842" s="36" t="str">
        <f t="shared" si="45"/>
        <v>中重型货车</v>
      </c>
      <c r="I842" s="36" t="str">
        <f t="shared" si="46"/>
        <v>Freight HDV</v>
      </c>
      <c r="J842" s="36">
        <v>1</v>
      </c>
    </row>
    <row r="843" spans="1:10" x14ac:dyDescent="0.15">
      <c r="A843" s="36">
        <v>842</v>
      </c>
      <c r="B843" s="36">
        <v>2015</v>
      </c>
      <c r="C843" s="36" t="s">
        <v>974</v>
      </c>
      <c r="D843" s="36" t="str">
        <f t="shared" si="44"/>
        <v>natural gas vehicle</v>
      </c>
      <c r="E843" s="36" t="s">
        <v>973</v>
      </c>
      <c r="F843" s="36" t="s">
        <v>950</v>
      </c>
      <c r="G843" s="36" t="s">
        <v>972</v>
      </c>
      <c r="H843" s="36" t="str">
        <f t="shared" si="45"/>
        <v>中重型货车</v>
      </c>
      <c r="I843" s="36" t="str">
        <f t="shared" si="46"/>
        <v>Freight HDV</v>
      </c>
      <c r="J843" s="36">
        <v>16</v>
      </c>
    </row>
    <row r="844" spans="1:10" x14ac:dyDescent="0.15">
      <c r="A844" s="36">
        <v>843</v>
      </c>
      <c r="B844" s="36">
        <v>2016</v>
      </c>
      <c r="C844" s="36" t="s">
        <v>974</v>
      </c>
      <c r="D844" s="36" t="str">
        <f t="shared" si="44"/>
        <v>natural gas vehicle</v>
      </c>
      <c r="E844" s="36" t="s">
        <v>973</v>
      </c>
      <c r="F844" s="36" t="s">
        <v>950</v>
      </c>
      <c r="G844" s="36" t="s">
        <v>972</v>
      </c>
      <c r="H844" s="36" t="str">
        <f t="shared" si="45"/>
        <v>中重型货车</v>
      </c>
      <c r="I844" s="36" t="str">
        <f t="shared" si="46"/>
        <v>Freight HDV</v>
      </c>
      <c r="J844" s="36">
        <v>28</v>
      </c>
    </row>
    <row r="845" spans="1:10" x14ac:dyDescent="0.15">
      <c r="A845" s="36">
        <v>844</v>
      </c>
      <c r="B845" s="36">
        <v>2017</v>
      </c>
      <c r="C845" s="36" t="s">
        <v>974</v>
      </c>
      <c r="D845" s="36" t="str">
        <f t="shared" si="44"/>
        <v>natural gas vehicle</v>
      </c>
      <c r="E845" s="36" t="s">
        <v>973</v>
      </c>
      <c r="F845" s="36" t="s">
        <v>950</v>
      </c>
      <c r="G845" s="36" t="s">
        <v>972</v>
      </c>
      <c r="H845" s="36" t="str">
        <f t="shared" si="45"/>
        <v>中重型货车</v>
      </c>
      <c r="I845" s="36" t="str">
        <f t="shared" si="46"/>
        <v>Freight HDV</v>
      </c>
      <c r="J845" s="36">
        <v>10</v>
      </c>
    </row>
    <row r="846" spans="1:10" x14ac:dyDescent="0.15">
      <c r="A846" s="36">
        <v>845</v>
      </c>
      <c r="B846" s="36">
        <v>2018</v>
      </c>
      <c r="C846" s="36" t="s">
        <v>974</v>
      </c>
      <c r="D846" s="36" t="str">
        <f t="shared" si="44"/>
        <v>natural gas vehicle</v>
      </c>
      <c r="E846" s="36" t="s">
        <v>973</v>
      </c>
      <c r="F846" s="36" t="s">
        <v>950</v>
      </c>
      <c r="G846" s="36" t="s">
        <v>972</v>
      </c>
      <c r="H846" s="36" t="str">
        <f t="shared" si="45"/>
        <v>中重型货车</v>
      </c>
      <c r="I846" s="36" t="str">
        <f t="shared" si="46"/>
        <v>Freight HDV</v>
      </c>
      <c r="J846" s="36">
        <v>1</v>
      </c>
    </row>
    <row r="847" spans="1:10" x14ac:dyDescent="0.15">
      <c r="A847" s="36">
        <v>846</v>
      </c>
      <c r="B847" s="36">
        <v>2020</v>
      </c>
      <c r="C847" s="36" t="s">
        <v>974</v>
      </c>
      <c r="D847" s="36" t="str">
        <f t="shared" si="44"/>
        <v>natural gas vehicle</v>
      </c>
      <c r="E847" s="36" t="s">
        <v>973</v>
      </c>
      <c r="F847" s="36" t="s">
        <v>950</v>
      </c>
      <c r="G847" s="36" t="s">
        <v>972</v>
      </c>
      <c r="H847" s="36" t="str">
        <f t="shared" si="45"/>
        <v>中重型货车</v>
      </c>
      <c r="I847" s="36" t="str">
        <f t="shared" si="46"/>
        <v>Freight HDV</v>
      </c>
      <c r="J847" s="36">
        <v>1</v>
      </c>
    </row>
    <row r="848" spans="1:10" x14ac:dyDescent="0.15">
      <c r="A848" s="36">
        <v>847</v>
      </c>
      <c r="B848" s="36">
        <v>2021</v>
      </c>
      <c r="C848" s="36" t="s">
        <v>974</v>
      </c>
      <c r="D848" s="36" t="str">
        <f t="shared" si="44"/>
        <v>natural gas vehicle</v>
      </c>
      <c r="E848" s="36" t="s">
        <v>973</v>
      </c>
      <c r="F848" s="36" t="s">
        <v>950</v>
      </c>
      <c r="G848" s="36" t="s">
        <v>972</v>
      </c>
      <c r="H848" s="36" t="str">
        <f t="shared" si="45"/>
        <v>中重型货车</v>
      </c>
      <c r="I848" s="36" t="str">
        <f t="shared" si="46"/>
        <v>Freight HDV</v>
      </c>
      <c r="J848" s="36">
        <v>2</v>
      </c>
    </row>
    <row r="849" spans="1:10" x14ac:dyDescent="0.15">
      <c r="A849" s="36">
        <v>848</v>
      </c>
      <c r="B849" s="36">
        <v>2017</v>
      </c>
      <c r="C849" s="36" t="s">
        <v>958</v>
      </c>
      <c r="D849" s="36" t="str">
        <f t="shared" si="44"/>
        <v>battery electric vehicle</v>
      </c>
      <c r="E849" s="36" t="s">
        <v>973</v>
      </c>
      <c r="F849" s="36" t="s">
        <v>950</v>
      </c>
      <c r="G849" s="36" t="s">
        <v>972</v>
      </c>
      <c r="H849" s="36" t="str">
        <f t="shared" si="45"/>
        <v>中重型货车</v>
      </c>
      <c r="I849" s="36" t="str">
        <f t="shared" si="46"/>
        <v>Freight HDV</v>
      </c>
      <c r="J849" s="36">
        <v>11</v>
      </c>
    </row>
    <row r="850" spans="1:10" x14ac:dyDescent="0.15">
      <c r="A850" s="36">
        <v>849</v>
      </c>
      <c r="B850" s="36">
        <v>2018</v>
      </c>
      <c r="C850" s="36" t="s">
        <v>958</v>
      </c>
      <c r="D850" s="36" t="str">
        <f t="shared" si="44"/>
        <v>battery electric vehicle</v>
      </c>
      <c r="E850" s="36" t="s">
        <v>973</v>
      </c>
      <c r="F850" s="36" t="s">
        <v>950</v>
      </c>
      <c r="G850" s="36" t="s">
        <v>972</v>
      </c>
      <c r="H850" s="36" t="str">
        <f t="shared" si="45"/>
        <v>中重型货车</v>
      </c>
      <c r="I850" s="36" t="str">
        <f t="shared" si="46"/>
        <v>Freight HDV</v>
      </c>
      <c r="J850" s="36">
        <v>301</v>
      </c>
    </row>
    <row r="851" spans="1:10" x14ac:dyDescent="0.15">
      <c r="A851" s="36">
        <v>850</v>
      </c>
      <c r="B851" s="36">
        <v>2019</v>
      </c>
      <c r="C851" s="36" t="s">
        <v>958</v>
      </c>
      <c r="D851" s="36" t="str">
        <f t="shared" si="44"/>
        <v>battery electric vehicle</v>
      </c>
      <c r="E851" s="36" t="s">
        <v>973</v>
      </c>
      <c r="F851" s="36" t="s">
        <v>950</v>
      </c>
      <c r="G851" s="36" t="s">
        <v>972</v>
      </c>
      <c r="H851" s="36" t="str">
        <f t="shared" si="45"/>
        <v>中重型货车</v>
      </c>
      <c r="I851" s="36" t="str">
        <f t="shared" si="46"/>
        <v>Freight HDV</v>
      </c>
      <c r="J851" s="36">
        <v>3588</v>
      </c>
    </row>
    <row r="852" spans="1:10" x14ac:dyDescent="0.15">
      <c r="A852" s="36">
        <v>851</v>
      </c>
      <c r="B852" s="36">
        <v>2020</v>
      </c>
      <c r="C852" s="36" t="s">
        <v>958</v>
      </c>
      <c r="D852" s="36" t="str">
        <f t="shared" si="44"/>
        <v>battery electric vehicle</v>
      </c>
      <c r="E852" s="36" t="s">
        <v>973</v>
      </c>
      <c r="F852" s="36" t="s">
        <v>950</v>
      </c>
      <c r="G852" s="36" t="s">
        <v>972</v>
      </c>
      <c r="H852" s="36" t="str">
        <f t="shared" si="45"/>
        <v>中重型货车</v>
      </c>
      <c r="I852" s="36" t="str">
        <f t="shared" si="46"/>
        <v>Freight HDV</v>
      </c>
      <c r="J852" s="36">
        <v>929</v>
      </c>
    </row>
    <row r="853" spans="1:10" x14ac:dyDescent="0.15">
      <c r="A853" s="36">
        <v>852</v>
      </c>
      <c r="B853" s="36">
        <v>2021</v>
      </c>
      <c r="C853" s="36" t="s">
        <v>958</v>
      </c>
      <c r="D853" s="36" t="str">
        <f t="shared" si="44"/>
        <v>battery electric vehicle</v>
      </c>
      <c r="E853" s="36" t="s">
        <v>973</v>
      </c>
      <c r="F853" s="36" t="s">
        <v>950</v>
      </c>
      <c r="G853" s="36" t="s">
        <v>972</v>
      </c>
      <c r="H853" s="36" t="str">
        <f t="shared" si="45"/>
        <v>中重型货车</v>
      </c>
      <c r="I853" s="36" t="str">
        <f t="shared" si="46"/>
        <v>Freight HDV</v>
      </c>
      <c r="J853" s="36">
        <v>6939</v>
      </c>
    </row>
    <row r="854" spans="1:10" x14ac:dyDescent="0.15">
      <c r="A854" s="36">
        <v>853</v>
      </c>
      <c r="B854" s="36">
        <v>2018</v>
      </c>
      <c r="C854" s="36" t="s">
        <v>957</v>
      </c>
      <c r="D854" s="36" t="str">
        <f t="shared" si="44"/>
        <v>hybrid fuel vehicle</v>
      </c>
      <c r="E854" s="36" t="s">
        <v>973</v>
      </c>
      <c r="F854" s="36" t="s">
        <v>950</v>
      </c>
      <c r="G854" s="36" t="s">
        <v>972</v>
      </c>
      <c r="H854" s="36" t="str">
        <f t="shared" si="45"/>
        <v>中重型货车</v>
      </c>
      <c r="I854" s="36" t="str">
        <f t="shared" si="46"/>
        <v>Freight HDV</v>
      </c>
      <c r="J854" s="36">
        <v>2</v>
      </c>
    </row>
    <row r="855" spans="1:10" x14ac:dyDescent="0.15">
      <c r="A855" s="36">
        <v>854</v>
      </c>
      <c r="B855" s="36">
        <v>2020</v>
      </c>
      <c r="C855" s="36" t="s">
        <v>957</v>
      </c>
      <c r="D855" s="36" t="str">
        <f t="shared" si="44"/>
        <v>hybrid fuel vehicle</v>
      </c>
      <c r="E855" s="36" t="s">
        <v>973</v>
      </c>
      <c r="F855" s="36" t="s">
        <v>950</v>
      </c>
      <c r="G855" s="36" t="s">
        <v>972</v>
      </c>
      <c r="H855" s="36" t="str">
        <f t="shared" si="45"/>
        <v>中重型货车</v>
      </c>
      <c r="I855" s="36" t="str">
        <f t="shared" si="46"/>
        <v>Freight HDV</v>
      </c>
      <c r="J855" s="36">
        <v>16</v>
      </c>
    </row>
    <row r="856" spans="1:10" x14ac:dyDescent="0.15">
      <c r="A856" s="36">
        <v>855</v>
      </c>
      <c r="B856" s="36">
        <v>2021</v>
      </c>
      <c r="C856" s="36" t="s">
        <v>957</v>
      </c>
      <c r="D856" s="36" t="str">
        <f t="shared" si="44"/>
        <v>hybrid fuel vehicle</v>
      </c>
      <c r="E856" s="36" t="s">
        <v>973</v>
      </c>
      <c r="F856" s="36" t="s">
        <v>950</v>
      </c>
      <c r="G856" s="36" t="s">
        <v>972</v>
      </c>
      <c r="H856" s="36" t="str">
        <f t="shared" si="45"/>
        <v>中重型货车</v>
      </c>
      <c r="I856" s="36" t="str">
        <f t="shared" si="46"/>
        <v>Freight HDV</v>
      </c>
      <c r="J856" s="36">
        <v>18</v>
      </c>
    </row>
    <row r="857" spans="1:10" x14ac:dyDescent="0.15">
      <c r="A857" s="36">
        <v>856</v>
      </c>
      <c r="B857" s="36">
        <v>2019</v>
      </c>
      <c r="C857" s="36" t="s">
        <v>968</v>
      </c>
      <c r="D857" s="36" t="str">
        <f t="shared" si="44"/>
        <v>other fuel vehicle</v>
      </c>
      <c r="E857" s="36" t="s">
        <v>973</v>
      </c>
      <c r="F857" s="36" t="s">
        <v>950</v>
      </c>
      <c r="G857" s="36" t="s">
        <v>972</v>
      </c>
      <c r="H857" s="36" t="str">
        <f t="shared" si="45"/>
        <v>中重型货车</v>
      </c>
      <c r="I857" s="36" t="str">
        <f t="shared" si="46"/>
        <v>Freight HDV</v>
      </c>
      <c r="J857" s="36">
        <v>13</v>
      </c>
    </row>
    <row r="858" spans="1:10" x14ac:dyDescent="0.15">
      <c r="A858" s="36">
        <v>857</v>
      </c>
      <c r="B858" s="36">
        <v>2020</v>
      </c>
      <c r="C858" s="36" t="s">
        <v>968</v>
      </c>
      <c r="D858" s="36" t="str">
        <f t="shared" si="44"/>
        <v>other fuel vehicle</v>
      </c>
      <c r="E858" s="36" t="s">
        <v>973</v>
      </c>
      <c r="F858" s="36" t="s">
        <v>950</v>
      </c>
      <c r="G858" s="36" t="s">
        <v>972</v>
      </c>
      <c r="H858" s="36" t="str">
        <f t="shared" si="45"/>
        <v>中重型货车</v>
      </c>
      <c r="I858" s="36" t="str">
        <f t="shared" si="46"/>
        <v>Freight HDV</v>
      </c>
      <c r="J858" s="36">
        <v>14</v>
      </c>
    </row>
    <row r="859" spans="1:10" x14ac:dyDescent="0.15">
      <c r="A859" s="36">
        <v>858</v>
      </c>
      <c r="B859" s="36">
        <v>2021</v>
      </c>
      <c r="C859" s="36" t="s">
        <v>968</v>
      </c>
      <c r="D859" s="36" t="str">
        <f t="shared" si="44"/>
        <v>other fuel vehicle</v>
      </c>
      <c r="E859" s="36" t="s">
        <v>973</v>
      </c>
      <c r="F859" s="36" t="s">
        <v>950</v>
      </c>
      <c r="G859" s="36" t="s">
        <v>972</v>
      </c>
      <c r="H859" s="36" t="str">
        <f t="shared" si="45"/>
        <v>中重型货车</v>
      </c>
      <c r="I859" s="36" t="str">
        <f t="shared" si="46"/>
        <v>Freight HDV</v>
      </c>
      <c r="J859" s="36">
        <v>90</v>
      </c>
    </row>
    <row r="860" spans="1:10" x14ac:dyDescent="0.15">
      <c r="A860" s="36">
        <v>859</v>
      </c>
      <c r="B860" s="36">
        <v>2015</v>
      </c>
      <c r="C860" s="36" t="s">
        <v>952</v>
      </c>
      <c r="D860" s="36" t="str">
        <f t="shared" si="44"/>
        <v>gasoline vehicle</v>
      </c>
      <c r="E860" s="36" t="s">
        <v>973</v>
      </c>
      <c r="F860" s="36" t="s">
        <v>950</v>
      </c>
      <c r="G860" s="36" t="s">
        <v>972</v>
      </c>
      <c r="H860" s="36" t="str">
        <f t="shared" si="45"/>
        <v>中重型货车</v>
      </c>
      <c r="I860" s="36" t="str">
        <f t="shared" si="46"/>
        <v>Freight HDV</v>
      </c>
      <c r="J860" s="36">
        <v>32</v>
      </c>
    </row>
    <row r="861" spans="1:10" x14ac:dyDescent="0.15">
      <c r="A861" s="36">
        <v>860</v>
      </c>
      <c r="B861" s="36">
        <v>2016</v>
      </c>
      <c r="C861" s="36" t="s">
        <v>952</v>
      </c>
      <c r="D861" s="36" t="str">
        <f t="shared" si="44"/>
        <v>gasoline vehicle</v>
      </c>
      <c r="E861" s="36" t="s">
        <v>973</v>
      </c>
      <c r="F861" s="36" t="s">
        <v>950</v>
      </c>
      <c r="G861" s="36" t="s">
        <v>972</v>
      </c>
      <c r="H861" s="36" t="str">
        <f t="shared" si="45"/>
        <v>中重型货车</v>
      </c>
      <c r="I861" s="36" t="str">
        <f t="shared" si="46"/>
        <v>Freight HDV</v>
      </c>
      <c r="J861" s="36">
        <v>7</v>
      </c>
    </row>
    <row r="862" spans="1:10" x14ac:dyDescent="0.15">
      <c r="A862" s="36">
        <v>861</v>
      </c>
      <c r="B862" s="36">
        <v>2018</v>
      </c>
      <c r="C862" s="36" t="s">
        <v>952</v>
      </c>
      <c r="D862" s="36" t="str">
        <f t="shared" si="44"/>
        <v>gasoline vehicle</v>
      </c>
      <c r="E862" s="36" t="s">
        <v>973</v>
      </c>
      <c r="F862" s="36" t="s">
        <v>950</v>
      </c>
      <c r="G862" s="36" t="s">
        <v>972</v>
      </c>
      <c r="H862" s="36" t="str">
        <f t="shared" si="45"/>
        <v>中重型货车</v>
      </c>
      <c r="I862" s="36" t="str">
        <f t="shared" si="46"/>
        <v>Freight HDV</v>
      </c>
      <c r="J862" s="36">
        <v>1</v>
      </c>
    </row>
    <row r="863" spans="1:10" x14ac:dyDescent="0.15">
      <c r="A863" s="36">
        <v>862</v>
      </c>
      <c r="B863" s="36">
        <v>2020</v>
      </c>
      <c r="C863" s="36" t="s">
        <v>966</v>
      </c>
      <c r="D863" s="36" t="str">
        <f t="shared" si="44"/>
        <v>hydrogen vehicle</v>
      </c>
      <c r="E863" s="36" t="s">
        <v>973</v>
      </c>
      <c r="F863" s="36" t="s">
        <v>950</v>
      </c>
      <c r="G863" s="36" t="s">
        <v>972</v>
      </c>
      <c r="H863" s="36" t="str">
        <f t="shared" si="45"/>
        <v>中重型货车</v>
      </c>
      <c r="I863" s="36" t="str">
        <f t="shared" si="46"/>
        <v>Freight HDV</v>
      </c>
      <c r="J863" s="36">
        <v>17</v>
      </c>
    </row>
    <row r="864" spans="1:10" x14ac:dyDescent="0.15">
      <c r="A864" s="36">
        <v>863</v>
      </c>
      <c r="B864" s="36">
        <v>2021</v>
      </c>
      <c r="C864" s="36" t="s">
        <v>966</v>
      </c>
      <c r="D864" s="36" t="str">
        <f t="shared" si="44"/>
        <v>hydrogen vehicle</v>
      </c>
      <c r="E864" s="36" t="s">
        <v>973</v>
      </c>
      <c r="F864" s="36" t="s">
        <v>950</v>
      </c>
      <c r="G864" s="36" t="s">
        <v>972</v>
      </c>
      <c r="H864" s="36" t="str">
        <f t="shared" si="45"/>
        <v>中重型货车</v>
      </c>
      <c r="I864" s="36" t="str">
        <f t="shared" si="46"/>
        <v>Freight HDV</v>
      </c>
      <c r="J864" s="36">
        <v>763</v>
      </c>
    </row>
    <row r="865" spans="1:10" x14ac:dyDescent="0.15">
      <c r="A865" s="36">
        <v>864</v>
      </c>
      <c r="B865" s="36">
        <v>2015</v>
      </c>
      <c r="C865" s="36" t="s">
        <v>955</v>
      </c>
      <c r="D865" s="36" t="str">
        <f t="shared" si="44"/>
        <v>natural gas vehicle</v>
      </c>
      <c r="E865" s="36" t="s">
        <v>973</v>
      </c>
      <c r="F865" s="36" t="s">
        <v>950</v>
      </c>
      <c r="G865" s="36" t="s">
        <v>972</v>
      </c>
      <c r="H865" s="36" t="str">
        <f t="shared" si="45"/>
        <v>中重型货车</v>
      </c>
      <c r="I865" s="36" t="str">
        <f t="shared" si="46"/>
        <v>Freight HDV</v>
      </c>
      <c r="J865" s="36">
        <v>13220</v>
      </c>
    </row>
    <row r="866" spans="1:10" x14ac:dyDescent="0.15">
      <c r="A866" s="36">
        <v>865</v>
      </c>
      <c r="B866" s="36">
        <v>2016</v>
      </c>
      <c r="C866" s="36" t="s">
        <v>955</v>
      </c>
      <c r="D866" s="36" t="str">
        <f t="shared" si="44"/>
        <v>natural gas vehicle</v>
      </c>
      <c r="E866" s="36" t="s">
        <v>973</v>
      </c>
      <c r="F866" s="36" t="s">
        <v>950</v>
      </c>
      <c r="G866" s="36" t="s">
        <v>972</v>
      </c>
      <c r="H866" s="36" t="str">
        <f t="shared" si="45"/>
        <v>中重型货车</v>
      </c>
      <c r="I866" s="36" t="str">
        <f t="shared" si="46"/>
        <v>Freight HDV</v>
      </c>
      <c r="J866" s="36">
        <v>13347</v>
      </c>
    </row>
    <row r="867" spans="1:10" x14ac:dyDescent="0.15">
      <c r="A867" s="36">
        <v>866</v>
      </c>
      <c r="B867" s="36">
        <v>2017</v>
      </c>
      <c r="C867" s="36" t="s">
        <v>955</v>
      </c>
      <c r="D867" s="36" t="str">
        <f t="shared" si="44"/>
        <v>natural gas vehicle</v>
      </c>
      <c r="E867" s="36" t="s">
        <v>973</v>
      </c>
      <c r="F867" s="36" t="s">
        <v>950</v>
      </c>
      <c r="G867" s="36" t="s">
        <v>972</v>
      </c>
      <c r="H867" s="36" t="str">
        <f t="shared" si="45"/>
        <v>中重型货车</v>
      </c>
      <c r="I867" s="36" t="str">
        <f t="shared" si="46"/>
        <v>Freight HDV</v>
      </c>
      <c r="J867" s="36">
        <v>65677</v>
      </c>
    </row>
    <row r="868" spans="1:10" x14ac:dyDescent="0.15">
      <c r="A868" s="36">
        <v>867</v>
      </c>
      <c r="B868" s="36">
        <v>2018</v>
      </c>
      <c r="C868" s="36" t="s">
        <v>955</v>
      </c>
      <c r="D868" s="36" t="str">
        <f t="shared" si="44"/>
        <v>natural gas vehicle</v>
      </c>
      <c r="E868" s="36" t="s">
        <v>973</v>
      </c>
      <c r="F868" s="36" t="s">
        <v>950</v>
      </c>
      <c r="G868" s="36" t="s">
        <v>972</v>
      </c>
      <c r="H868" s="36" t="str">
        <f t="shared" si="45"/>
        <v>中重型货车</v>
      </c>
      <c r="I868" s="36" t="str">
        <f t="shared" si="46"/>
        <v>Freight HDV</v>
      </c>
      <c r="J868" s="36">
        <v>59208</v>
      </c>
    </row>
    <row r="869" spans="1:10" x14ac:dyDescent="0.15">
      <c r="A869" s="36">
        <v>868</v>
      </c>
      <c r="B869" s="36">
        <v>2019</v>
      </c>
      <c r="C869" s="36" t="s">
        <v>955</v>
      </c>
      <c r="D869" s="36" t="str">
        <f t="shared" si="44"/>
        <v>natural gas vehicle</v>
      </c>
      <c r="E869" s="36" t="s">
        <v>973</v>
      </c>
      <c r="F869" s="36" t="s">
        <v>950</v>
      </c>
      <c r="G869" s="36" t="s">
        <v>972</v>
      </c>
      <c r="H869" s="36" t="str">
        <f t="shared" si="45"/>
        <v>中重型货车</v>
      </c>
      <c r="I869" s="36" t="str">
        <f t="shared" si="46"/>
        <v>Freight HDV</v>
      </c>
      <c r="J869" s="36">
        <v>111397</v>
      </c>
    </row>
    <row r="870" spans="1:10" x14ac:dyDescent="0.15">
      <c r="A870" s="36">
        <v>869</v>
      </c>
      <c r="B870" s="36">
        <v>2020</v>
      </c>
      <c r="C870" s="36" t="s">
        <v>955</v>
      </c>
      <c r="D870" s="36" t="str">
        <f t="shared" si="44"/>
        <v>natural gas vehicle</v>
      </c>
      <c r="E870" s="36" t="s">
        <v>973</v>
      </c>
      <c r="F870" s="36" t="s">
        <v>950</v>
      </c>
      <c r="G870" s="36" t="s">
        <v>972</v>
      </c>
      <c r="H870" s="36" t="str">
        <f t="shared" si="45"/>
        <v>中重型货车</v>
      </c>
      <c r="I870" s="36" t="str">
        <f t="shared" si="46"/>
        <v>Freight HDV</v>
      </c>
      <c r="J870" s="36">
        <v>139063</v>
      </c>
    </row>
    <row r="871" spans="1:10" x14ac:dyDescent="0.15">
      <c r="A871" s="36">
        <v>870</v>
      </c>
      <c r="B871" s="36">
        <v>2021</v>
      </c>
      <c r="C871" s="36" t="s">
        <v>955</v>
      </c>
      <c r="D871" s="36" t="str">
        <f t="shared" si="44"/>
        <v>natural gas vehicle</v>
      </c>
      <c r="E871" s="36" t="s">
        <v>973</v>
      </c>
      <c r="F871" s="36" t="s">
        <v>950</v>
      </c>
      <c r="G871" s="36" t="s">
        <v>972</v>
      </c>
      <c r="H871" s="36" t="str">
        <f t="shared" si="45"/>
        <v>中重型货车</v>
      </c>
      <c r="I871" s="36" t="str">
        <f t="shared" si="46"/>
        <v>Freight HDV</v>
      </c>
      <c r="J871" s="36">
        <v>56813</v>
      </c>
    </row>
    <row r="872" spans="1:10" x14ac:dyDescent="0.15">
      <c r="A872" s="36">
        <v>871</v>
      </c>
      <c r="B872" s="36">
        <v>2015</v>
      </c>
      <c r="C872" s="36" t="s">
        <v>953</v>
      </c>
      <c r="D872" s="36" t="str">
        <f t="shared" si="44"/>
        <v>diesel vehicle</v>
      </c>
      <c r="E872" s="36" t="s">
        <v>969</v>
      </c>
      <c r="F872" s="36" t="s">
        <v>971</v>
      </c>
      <c r="G872" s="36" t="s">
        <v>949</v>
      </c>
      <c r="H872" s="36" t="str">
        <f t="shared" si="45"/>
        <v>公交车</v>
      </c>
      <c r="I872" s="36" t="str">
        <f t="shared" si="46"/>
        <v>Passenger HDV</v>
      </c>
      <c r="J872" s="36">
        <v>3</v>
      </c>
    </row>
    <row r="873" spans="1:10" x14ac:dyDescent="0.15">
      <c r="A873" s="36">
        <v>872</v>
      </c>
      <c r="B873" s="36">
        <v>2015</v>
      </c>
      <c r="C873" s="36" t="s">
        <v>953</v>
      </c>
      <c r="D873" s="36" t="str">
        <f t="shared" si="44"/>
        <v>diesel vehicle</v>
      </c>
      <c r="E873" s="36" t="s">
        <v>954</v>
      </c>
      <c r="F873" s="36" t="s">
        <v>971</v>
      </c>
      <c r="G873" s="36" t="s">
        <v>949</v>
      </c>
      <c r="H873" s="36" t="str">
        <f t="shared" si="45"/>
        <v>公交车</v>
      </c>
      <c r="I873" s="36" t="str">
        <f t="shared" si="46"/>
        <v>Passenger LDV</v>
      </c>
      <c r="J873" s="36">
        <v>10</v>
      </c>
    </row>
    <row r="874" spans="1:10" x14ac:dyDescent="0.15">
      <c r="A874" s="36">
        <v>873</v>
      </c>
      <c r="B874" s="36">
        <v>2018</v>
      </c>
      <c r="C874" s="36" t="s">
        <v>953</v>
      </c>
      <c r="D874" s="36" t="str">
        <f t="shared" si="44"/>
        <v>diesel vehicle</v>
      </c>
      <c r="E874" s="36" t="s">
        <v>954</v>
      </c>
      <c r="F874" s="36" t="s">
        <v>971</v>
      </c>
      <c r="G874" s="36" t="s">
        <v>949</v>
      </c>
      <c r="H874" s="36" t="str">
        <f t="shared" si="45"/>
        <v>公交车</v>
      </c>
      <c r="I874" s="36" t="str">
        <f t="shared" si="46"/>
        <v>Passenger LDV</v>
      </c>
      <c r="J874" s="36">
        <v>12</v>
      </c>
    </row>
    <row r="875" spans="1:10" x14ac:dyDescent="0.15">
      <c r="A875" s="36">
        <v>874</v>
      </c>
      <c r="B875" s="36">
        <v>2019</v>
      </c>
      <c r="C875" s="36" t="s">
        <v>953</v>
      </c>
      <c r="D875" s="36" t="str">
        <f t="shared" si="44"/>
        <v>diesel vehicle</v>
      </c>
      <c r="E875" s="36" t="s">
        <v>954</v>
      </c>
      <c r="F875" s="36" t="s">
        <v>971</v>
      </c>
      <c r="G875" s="36" t="s">
        <v>949</v>
      </c>
      <c r="H875" s="36" t="str">
        <f t="shared" si="45"/>
        <v>公交车</v>
      </c>
      <c r="I875" s="36" t="str">
        <f t="shared" si="46"/>
        <v>Passenger LDV</v>
      </c>
      <c r="J875" s="36">
        <v>1</v>
      </c>
    </row>
    <row r="876" spans="1:10" x14ac:dyDescent="0.15">
      <c r="A876" s="36">
        <v>875</v>
      </c>
      <c r="B876" s="36">
        <v>2020</v>
      </c>
      <c r="C876" s="36" t="s">
        <v>953</v>
      </c>
      <c r="D876" s="36" t="str">
        <f t="shared" si="44"/>
        <v>diesel vehicle</v>
      </c>
      <c r="E876" s="36" t="s">
        <v>954</v>
      </c>
      <c r="F876" s="36" t="s">
        <v>971</v>
      </c>
      <c r="G876" s="36" t="s">
        <v>949</v>
      </c>
      <c r="H876" s="36" t="str">
        <f t="shared" si="45"/>
        <v>公交车</v>
      </c>
      <c r="I876" s="36" t="str">
        <f t="shared" si="46"/>
        <v>Passenger LDV</v>
      </c>
      <c r="J876" s="36">
        <v>4</v>
      </c>
    </row>
    <row r="877" spans="1:10" x14ac:dyDescent="0.15">
      <c r="A877" s="36">
        <v>876</v>
      </c>
      <c r="B877" s="36">
        <v>2015</v>
      </c>
      <c r="C877" s="36" t="s">
        <v>958</v>
      </c>
      <c r="D877" s="36" t="str">
        <f t="shared" si="44"/>
        <v>battery electric vehicle</v>
      </c>
      <c r="E877" s="36" t="s">
        <v>954</v>
      </c>
      <c r="F877" s="36" t="s">
        <v>971</v>
      </c>
      <c r="G877" s="36" t="s">
        <v>949</v>
      </c>
      <c r="H877" s="36" t="str">
        <f t="shared" si="45"/>
        <v>公交车</v>
      </c>
      <c r="I877" s="36" t="str">
        <f t="shared" si="46"/>
        <v>Passenger LDV</v>
      </c>
      <c r="J877" s="36">
        <v>150</v>
      </c>
    </row>
    <row r="878" spans="1:10" x14ac:dyDescent="0.15">
      <c r="A878" s="36">
        <v>877</v>
      </c>
      <c r="B878" s="36">
        <v>2017</v>
      </c>
      <c r="C878" s="36" t="s">
        <v>958</v>
      </c>
      <c r="D878" s="36" t="str">
        <f t="shared" si="44"/>
        <v>battery electric vehicle</v>
      </c>
      <c r="E878" s="36" t="s">
        <v>954</v>
      </c>
      <c r="F878" s="36" t="s">
        <v>971</v>
      </c>
      <c r="G878" s="36" t="s">
        <v>949</v>
      </c>
      <c r="H878" s="36" t="str">
        <f t="shared" si="45"/>
        <v>公交车</v>
      </c>
      <c r="I878" s="36" t="str">
        <f t="shared" si="46"/>
        <v>Passenger LDV</v>
      </c>
      <c r="J878" s="36">
        <v>30</v>
      </c>
    </row>
    <row r="879" spans="1:10" x14ac:dyDescent="0.15">
      <c r="A879" s="36">
        <v>878</v>
      </c>
      <c r="B879" s="36">
        <v>2018</v>
      </c>
      <c r="C879" s="36" t="s">
        <v>958</v>
      </c>
      <c r="D879" s="36" t="str">
        <f t="shared" si="44"/>
        <v>battery electric vehicle</v>
      </c>
      <c r="E879" s="36" t="s">
        <v>954</v>
      </c>
      <c r="F879" s="36" t="s">
        <v>971</v>
      </c>
      <c r="G879" s="36" t="s">
        <v>949</v>
      </c>
      <c r="H879" s="36" t="str">
        <f t="shared" si="45"/>
        <v>公交车</v>
      </c>
      <c r="I879" s="36" t="str">
        <f t="shared" si="46"/>
        <v>Passenger LDV</v>
      </c>
      <c r="J879" s="36">
        <v>13</v>
      </c>
    </row>
    <row r="880" spans="1:10" x14ac:dyDescent="0.15">
      <c r="A880" s="36">
        <v>879</v>
      </c>
      <c r="B880" s="36">
        <v>2019</v>
      </c>
      <c r="C880" s="36" t="s">
        <v>958</v>
      </c>
      <c r="D880" s="36" t="str">
        <f t="shared" si="44"/>
        <v>battery electric vehicle</v>
      </c>
      <c r="E880" s="36" t="s">
        <v>954</v>
      </c>
      <c r="F880" s="36" t="s">
        <v>971</v>
      </c>
      <c r="G880" s="36" t="s">
        <v>949</v>
      </c>
      <c r="H880" s="36" t="str">
        <f t="shared" si="45"/>
        <v>公交车</v>
      </c>
      <c r="I880" s="36" t="str">
        <f t="shared" si="46"/>
        <v>Passenger LDV</v>
      </c>
      <c r="J880" s="36">
        <v>31</v>
      </c>
    </row>
    <row r="881" spans="1:10" x14ac:dyDescent="0.15">
      <c r="A881" s="36">
        <v>880</v>
      </c>
      <c r="B881" s="36">
        <v>2020</v>
      </c>
      <c r="C881" s="36" t="s">
        <v>958</v>
      </c>
      <c r="D881" s="36" t="str">
        <f t="shared" si="44"/>
        <v>battery electric vehicle</v>
      </c>
      <c r="E881" s="36" t="s">
        <v>954</v>
      </c>
      <c r="F881" s="36" t="s">
        <v>971</v>
      </c>
      <c r="G881" s="36" t="s">
        <v>949</v>
      </c>
      <c r="H881" s="36" t="str">
        <f t="shared" si="45"/>
        <v>公交车</v>
      </c>
      <c r="I881" s="36" t="str">
        <f t="shared" si="46"/>
        <v>Passenger LDV</v>
      </c>
      <c r="J881" s="36">
        <v>53</v>
      </c>
    </row>
    <row r="882" spans="1:10" x14ac:dyDescent="0.15">
      <c r="A882" s="36">
        <v>881</v>
      </c>
      <c r="B882" s="36">
        <v>2021</v>
      </c>
      <c r="C882" s="36" t="s">
        <v>958</v>
      </c>
      <c r="D882" s="36" t="str">
        <f t="shared" si="44"/>
        <v>battery electric vehicle</v>
      </c>
      <c r="E882" s="36" t="s">
        <v>954</v>
      </c>
      <c r="F882" s="36" t="s">
        <v>971</v>
      </c>
      <c r="G882" s="36" t="s">
        <v>949</v>
      </c>
      <c r="H882" s="36" t="str">
        <f t="shared" si="45"/>
        <v>公交车</v>
      </c>
      <c r="I882" s="36" t="str">
        <f t="shared" si="46"/>
        <v>Passenger LDV</v>
      </c>
      <c r="J882" s="36">
        <v>63</v>
      </c>
    </row>
    <row r="883" spans="1:10" x14ac:dyDescent="0.15">
      <c r="A883" s="36">
        <v>882</v>
      </c>
      <c r="B883" s="36">
        <v>2015</v>
      </c>
      <c r="C883" s="36" t="s">
        <v>952</v>
      </c>
      <c r="D883" s="36" t="str">
        <f t="shared" si="44"/>
        <v>gasoline vehicle</v>
      </c>
      <c r="E883" s="36" t="s">
        <v>954</v>
      </c>
      <c r="F883" s="36" t="s">
        <v>971</v>
      </c>
      <c r="G883" s="36" t="s">
        <v>949</v>
      </c>
      <c r="H883" s="36" t="str">
        <f t="shared" si="45"/>
        <v>公交车</v>
      </c>
      <c r="I883" s="36" t="str">
        <f t="shared" si="46"/>
        <v>Passenger LDV</v>
      </c>
      <c r="J883" s="36">
        <v>434</v>
      </c>
    </row>
    <row r="884" spans="1:10" x14ac:dyDescent="0.15">
      <c r="A884" s="36">
        <v>883</v>
      </c>
      <c r="B884" s="36">
        <v>2016</v>
      </c>
      <c r="C884" s="36" t="s">
        <v>952</v>
      </c>
      <c r="D884" s="36" t="str">
        <f t="shared" si="44"/>
        <v>gasoline vehicle</v>
      </c>
      <c r="E884" s="36" t="s">
        <v>954</v>
      </c>
      <c r="F884" s="36" t="s">
        <v>971</v>
      </c>
      <c r="G884" s="36" t="s">
        <v>949</v>
      </c>
      <c r="H884" s="36" t="str">
        <f t="shared" si="45"/>
        <v>公交车</v>
      </c>
      <c r="I884" s="36" t="str">
        <f t="shared" si="46"/>
        <v>Passenger LDV</v>
      </c>
      <c r="J884" s="36">
        <v>62</v>
      </c>
    </row>
    <row r="885" spans="1:10" x14ac:dyDescent="0.15">
      <c r="A885" s="36">
        <v>884</v>
      </c>
      <c r="B885" s="36">
        <v>2017</v>
      </c>
      <c r="C885" s="36" t="s">
        <v>952</v>
      </c>
      <c r="D885" s="36" t="str">
        <f t="shared" si="44"/>
        <v>gasoline vehicle</v>
      </c>
      <c r="E885" s="36" t="s">
        <v>954</v>
      </c>
      <c r="F885" s="36" t="s">
        <v>971</v>
      </c>
      <c r="G885" s="36" t="s">
        <v>949</v>
      </c>
      <c r="H885" s="36" t="str">
        <f t="shared" si="45"/>
        <v>公交车</v>
      </c>
      <c r="I885" s="36" t="str">
        <f t="shared" si="46"/>
        <v>Passenger LDV</v>
      </c>
      <c r="J885" s="36">
        <v>837</v>
      </c>
    </row>
    <row r="886" spans="1:10" x14ac:dyDescent="0.15">
      <c r="A886" s="36">
        <v>885</v>
      </c>
      <c r="B886" s="36">
        <v>2018</v>
      </c>
      <c r="C886" s="36" t="s">
        <v>952</v>
      </c>
      <c r="D886" s="36" t="str">
        <f t="shared" si="44"/>
        <v>gasoline vehicle</v>
      </c>
      <c r="E886" s="36" t="s">
        <v>954</v>
      </c>
      <c r="F886" s="36" t="s">
        <v>971</v>
      </c>
      <c r="G886" s="36" t="s">
        <v>949</v>
      </c>
      <c r="H886" s="36" t="str">
        <f t="shared" si="45"/>
        <v>公交车</v>
      </c>
      <c r="I886" s="36" t="str">
        <f t="shared" si="46"/>
        <v>Passenger LDV</v>
      </c>
      <c r="J886" s="36">
        <v>162</v>
      </c>
    </row>
    <row r="887" spans="1:10" x14ac:dyDescent="0.15">
      <c r="A887" s="36">
        <v>886</v>
      </c>
      <c r="B887" s="36">
        <v>2019</v>
      </c>
      <c r="C887" s="36" t="s">
        <v>952</v>
      </c>
      <c r="D887" s="36" t="str">
        <f t="shared" si="44"/>
        <v>gasoline vehicle</v>
      </c>
      <c r="E887" s="36" t="s">
        <v>954</v>
      </c>
      <c r="F887" s="36" t="s">
        <v>971</v>
      </c>
      <c r="G887" s="36" t="s">
        <v>949</v>
      </c>
      <c r="H887" s="36" t="str">
        <f t="shared" si="45"/>
        <v>公交车</v>
      </c>
      <c r="I887" s="36" t="str">
        <f t="shared" si="46"/>
        <v>Passenger LDV</v>
      </c>
      <c r="J887" s="36">
        <v>205</v>
      </c>
    </row>
    <row r="888" spans="1:10" x14ac:dyDescent="0.15">
      <c r="A888" s="36">
        <v>887</v>
      </c>
      <c r="B888" s="36">
        <v>2020</v>
      </c>
      <c r="C888" s="36" t="s">
        <v>952</v>
      </c>
      <c r="D888" s="36" t="str">
        <f t="shared" si="44"/>
        <v>gasoline vehicle</v>
      </c>
      <c r="E888" s="36" t="s">
        <v>954</v>
      </c>
      <c r="F888" s="36" t="s">
        <v>971</v>
      </c>
      <c r="G888" s="36" t="s">
        <v>949</v>
      </c>
      <c r="H888" s="36" t="str">
        <f t="shared" si="45"/>
        <v>公交车</v>
      </c>
      <c r="I888" s="36" t="str">
        <f t="shared" si="46"/>
        <v>Passenger LDV</v>
      </c>
      <c r="J888" s="36">
        <v>324</v>
      </c>
    </row>
    <row r="889" spans="1:10" x14ac:dyDescent="0.15">
      <c r="A889" s="36">
        <v>888</v>
      </c>
      <c r="B889" s="36">
        <v>2021</v>
      </c>
      <c r="C889" s="36" t="s">
        <v>952</v>
      </c>
      <c r="D889" s="36" t="str">
        <f t="shared" si="44"/>
        <v>gasoline vehicle</v>
      </c>
      <c r="E889" s="36" t="s">
        <v>954</v>
      </c>
      <c r="F889" s="36" t="s">
        <v>971</v>
      </c>
      <c r="G889" s="36" t="s">
        <v>949</v>
      </c>
      <c r="H889" s="36" t="str">
        <f t="shared" si="45"/>
        <v>公交车</v>
      </c>
      <c r="I889" s="36" t="str">
        <f t="shared" si="46"/>
        <v>Passenger LDV</v>
      </c>
      <c r="J889" s="36">
        <v>95</v>
      </c>
    </row>
    <row r="890" spans="1:10" x14ac:dyDescent="0.15">
      <c r="A890" s="36">
        <v>889</v>
      </c>
      <c r="B890" s="36">
        <v>2015</v>
      </c>
      <c r="C890" s="36" t="s">
        <v>956</v>
      </c>
      <c r="D890" s="36" t="str">
        <f t="shared" si="44"/>
        <v>natural gas vehicle</v>
      </c>
      <c r="E890" s="36" t="s">
        <v>954</v>
      </c>
      <c r="F890" s="36" t="s">
        <v>971</v>
      </c>
      <c r="G890" s="36" t="s">
        <v>949</v>
      </c>
      <c r="H890" s="36" t="str">
        <f t="shared" si="45"/>
        <v>公交车</v>
      </c>
      <c r="I890" s="36" t="str">
        <f t="shared" si="46"/>
        <v>Passenger LDV</v>
      </c>
      <c r="J890" s="36">
        <v>86</v>
      </c>
    </row>
    <row r="891" spans="1:10" x14ac:dyDescent="0.15">
      <c r="A891" s="36">
        <v>890</v>
      </c>
      <c r="B891" s="36">
        <v>2020</v>
      </c>
      <c r="C891" s="36" t="s">
        <v>955</v>
      </c>
      <c r="D891" s="36" t="str">
        <f t="shared" si="44"/>
        <v>natural gas vehicle</v>
      </c>
      <c r="E891" s="36" t="s">
        <v>954</v>
      </c>
      <c r="F891" s="36" t="s">
        <v>971</v>
      </c>
      <c r="G891" s="36" t="s">
        <v>949</v>
      </c>
      <c r="H891" s="36" t="str">
        <f t="shared" si="45"/>
        <v>公交车</v>
      </c>
      <c r="I891" s="36" t="str">
        <f t="shared" si="46"/>
        <v>Passenger LDV</v>
      </c>
      <c r="J891" s="36">
        <v>1</v>
      </c>
    </row>
    <row r="892" spans="1:10" x14ac:dyDescent="0.15">
      <c r="A892" s="36">
        <v>891</v>
      </c>
      <c r="B892" s="36">
        <v>2021</v>
      </c>
      <c r="C892" s="36" t="s">
        <v>961</v>
      </c>
      <c r="D892" s="36" t="str">
        <f t="shared" si="44"/>
        <v>plugin hybrid vehicle</v>
      </c>
      <c r="E892" s="36" t="s">
        <v>963</v>
      </c>
      <c r="F892" s="36" t="s">
        <v>970</v>
      </c>
      <c r="G892" s="36" t="s">
        <v>949</v>
      </c>
      <c r="H892" s="36" t="str">
        <f t="shared" si="45"/>
        <v>出租车</v>
      </c>
      <c r="I892" s="36" t="str">
        <f t="shared" si="46"/>
        <v>Unknown</v>
      </c>
      <c r="J892" s="36">
        <v>1</v>
      </c>
    </row>
    <row r="893" spans="1:10" x14ac:dyDescent="0.15">
      <c r="A893" s="36">
        <v>892</v>
      </c>
      <c r="B893" s="36">
        <v>2021</v>
      </c>
      <c r="C893" s="36" t="s">
        <v>953</v>
      </c>
      <c r="D893" s="36" t="str">
        <f t="shared" si="44"/>
        <v>diesel vehicle</v>
      </c>
      <c r="E893" s="36" t="s">
        <v>963</v>
      </c>
      <c r="F893" s="36" t="s">
        <v>970</v>
      </c>
      <c r="G893" s="36" t="s">
        <v>949</v>
      </c>
      <c r="H893" s="36" t="str">
        <f t="shared" si="45"/>
        <v>出租车</v>
      </c>
      <c r="I893" s="36" t="str">
        <f t="shared" si="46"/>
        <v>Unknown</v>
      </c>
      <c r="J893" s="36">
        <v>1</v>
      </c>
    </row>
    <row r="894" spans="1:10" x14ac:dyDescent="0.15">
      <c r="A894" s="36">
        <v>893</v>
      </c>
      <c r="B894" s="36">
        <v>2021</v>
      </c>
      <c r="C894" s="36" t="s">
        <v>958</v>
      </c>
      <c r="D894" s="36" t="str">
        <f t="shared" si="44"/>
        <v>battery electric vehicle</v>
      </c>
      <c r="E894" s="36" t="s">
        <v>963</v>
      </c>
      <c r="F894" s="36" t="s">
        <v>970</v>
      </c>
      <c r="G894" s="36" t="s">
        <v>949</v>
      </c>
      <c r="H894" s="36" t="str">
        <f t="shared" si="45"/>
        <v>出租车</v>
      </c>
      <c r="I894" s="36" t="str">
        <f t="shared" si="46"/>
        <v>Unknown</v>
      </c>
      <c r="J894" s="36">
        <v>1</v>
      </c>
    </row>
    <row r="895" spans="1:10" x14ac:dyDescent="0.15">
      <c r="A895" s="36">
        <v>894</v>
      </c>
      <c r="B895" s="36">
        <v>2021</v>
      </c>
      <c r="C895" s="36" t="s">
        <v>952</v>
      </c>
      <c r="D895" s="36" t="str">
        <f t="shared" si="44"/>
        <v>gasoline vehicle</v>
      </c>
      <c r="E895" s="36" t="s">
        <v>963</v>
      </c>
      <c r="F895" s="36" t="s">
        <v>970</v>
      </c>
      <c r="G895" s="36" t="s">
        <v>949</v>
      </c>
      <c r="H895" s="36" t="str">
        <f t="shared" si="45"/>
        <v>出租车</v>
      </c>
      <c r="I895" s="36" t="str">
        <f t="shared" si="46"/>
        <v>Unknown</v>
      </c>
      <c r="J895" s="36">
        <v>61</v>
      </c>
    </row>
    <row r="896" spans="1:10" x14ac:dyDescent="0.15">
      <c r="A896" s="36">
        <v>895</v>
      </c>
      <c r="B896" s="36">
        <v>2015</v>
      </c>
      <c r="C896" s="36" t="s">
        <v>958</v>
      </c>
      <c r="D896" s="36" t="str">
        <f t="shared" si="44"/>
        <v>battery electric vehicle</v>
      </c>
      <c r="E896" s="36" t="s">
        <v>959</v>
      </c>
      <c r="F896" s="36" t="s">
        <v>970</v>
      </c>
      <c r="G896" s="36" t="s">
        <v>949</v>
      </c>
      <c r="H896" s="36" t="str">
        <f t="shared" si="45"/>
        <v>出租车</v>
      </c>
      <c r="I896" s="36" t="str">
        <f t="shared" si="46"/>
        <v>Passenger LDV</v>
      </c>
      <c r="J896" s="36">
        <v>6066</v>
      </c>
    </row>
    <row r="897" spans="1:10" x14ac:dyDescent="0.15">
      <c r="A897" s="36">
        <v>896</v>
      </c>
      <c r="B897" s="36">
        <v>2016</v>
      </c>
      <c r="C897" s="36" t="s">
        <v>958</v>
      </c>
      <c r="D897" s="36" t="str">
        <f t="shared" si="44"/>
        <v>battery electric vehicle</v>
      </c>
      <c r="E897" s="36" t="s">
        <v>959</v>
      </c>
      <c r="F897" s="36" t="s">
        <v>970</v>
      </c>
      <c r="G897" s="36" t="s">
        <v>949</v>
      </c>
      <c r="H897" s="36" t="str">
        <f t="shared" si="45"/>
        <v>出租车</v>
      </c>
      <c r="I897" s="36" t="str">
        <f t="shared" si="46"/>
        <v>Passenger LDV</v>
      </c>
      <c r="J897" s="36">
        <v>1517</v>
      </c>
    </row>
    <row r="898" spans="1:10" x14ac:dyDescent="0.15">
      <c r="A898" s="36">
        <v>897</v>
      </c>
      <c r="B898" s="36">
        <v>2017</v>
      </c>
      <c r="C898" s="36" t="s">
        <v>958</v>
      </c>
      <c r="D898" s="36" t="str">
        <f t="shared" ref="D898:D961" si="47">VLOOKUP(C898,M$3:N$16,2,FALSE)</f>
        <v>battery electric vehicle</v>
      </c>
      <c r="E898" s="36" t="s">
        <v>959</v>
      </c>
      <c r="F898" s="36" t="s">
        <v>970</v>
      </c>
      <c r="G898" s="36" t="s">
        <v>949</v>
      </c>
      <c r="H898" s="36" t="str">
        <f t="shared" ref="H898:H961" si="48">VLOOKUP(E898&amp;F898&amp;G898,$S$3:$U$68,2,FALSE)</f>
        <v>出租车</v>
      </c>
      <c r="I898" s="36" t="str">
        <f t="shared" ref="I898:I961" si="49">VLOOKUP(E898&amp;F898&amp;G898,$S$3:$U$68,3,FALSE)</f>
        <v>Passenger LDV</v>
      </c>
      <c r="J898" s="36">
        <v>7545</v>
      </c>
    </row>
    <row r="899" spans="1:10" x14ac:dyDescent="0.15">
      <c r="A899" s="36">
        <v>898</v>
      </c>
      <c r="B899" s="36">
        <v>2018</v>
      </c>
      <c r="C899" s="36" t="s">
        <v>958</v>
      </c>
      <c r="D899" s="36" t="str">
        <f t="shared" si="47"/>
        <v>battery electric vehicle</v>
      </c>
      <c r="E899" s="36" t="s">
        <v>959</v>
      </c>
      <c r="F899" s="36" t="s">
        <v>970</v>
      </c>
      <c r="G899" s="36" t="s">
        <v>949</v>
      </c>
      <c r="H899" s="36" t="str">
        <f t="shared" si="48"/>
        <v>出租车</v>
      </c>
      <c r="I899" s="36" t="str">
        <f t="shared" si="49"/>
        <v>Passenger LDV</v>
      </c>
      <c r="J899" s="36">
        <v>7942</v>
      </c>
    </row>
    <row r="900" spans="1:10" x14ac:dyDescent="0.15">
      <c r="A900" s="36">
        <v>899</v>
      </c>
      <c r="B900" s="36">
        <v>2019</v>
      </c>
      <c r="C900" s="36" t="s">
        <v>958</v>
      </c>
      <c r="D900" s="36" t="str">
        <f t="shared" si="47"/>
        <v>battery electric vehicle</v>
      </c>
      <c r="E900" s="36" t="s">
        <v>959</v>
      </c>
      <c r="F900" s="36" t="s">
        <v>970</v>
      </c>
      <c r="G900" s="36" t="s">
        <v>949</v>
      </c>
      <c r="H900" s="36" t="str">
        <f t="shared" si="48"/>
        <v>出租车</v>
      </c>
      <c r="I900" s="36" t="str">
        <f t="shared" si="49"/>
        <v>Passenger LDV</v>
      </c>
      <c r="J900" s="36">
        <v>1971</v>
      </c>
    </row>
    <row r="901" spans="1:10" x14ac:dyDescent="0.15">
      <c r="A901" s="36">
        <v>900</v>
      </c>
      <c r="B901" s="36">
        <v>2020</v>
      </c>
      <c r="C901" s="36" t="s">
        <v>958</v>
      </c>
      <c r="D901" s="36" t="str">
        <f t="shared" si="47"/>
        <v>battery electric vehicle</v>
      </c>
      <c r="E901" s="36" t="s">
        <v>959</v>
      </c>
      <c r="F901" s="36" t="s">
        <v>970</v>
      </c>
      <c r="G901" s="36" t="s">
        <v>949</v>
      </c>
      <c r="H901" s="36" t="str">
        <f t="shared" si="48"/>
        <v>出租车</v>
      </c>
      <c r="I901" s="36" t="str">
        <f t="shared" si="49"/>
        <v>Passenger LDV</v>
      </c>
      <c r="J901" s="36">
        <v>20</v>
      </c>
    </row>
    <row r="902" spans="1:10" x14ac:dyDescent="0.15">
      <c r="A902" s="36">
        <v>901</v>
      </c>
      <c r="B902" s="36">
        <v>2021</v>
      </c>
      <c r="C902" s="36" t="s">
        <v>958</v>
      </c>
      <c r="D902" s="36" t="str">
        <f t="shared" si="47"/>
        <v>battery electric vehicle</v>
      </c>
      <c r="E902" s="36" t="s">
        <v>959</v>
      </c>
      <c r="F902" s="36" t="s">
        <v>970</v>
      </c>
      <c r="G902" s="36" t="s">
        <v>949</v>
      </c>
      <c r="H902" s="36" t="str">
        <f t="shared" si="48"/>
        <v>出租车</v>
      </c>
      <c r="I902" s="36" t="str">
        <f t="shared" si="49"/>
        <v>Passenger LDV</v>
      </c>
      <c r="J902" s="36">
        <v>79</v>
      </c>
    </row>
    <row r="903" spans="1:10" x14ac:dyDescent="0.15">
      <c r="A903" s="36">
        <v>902</v>
      </c>
      <c r="B903" s="36">
        <v>2015</v>
      </c>
      <c r="C903" s="36" t="s">
        <v>952</v>
      </c>
      <c r="D903" s="36" t="str">
        <f t="shared" si="47"/>
        <v>gasoline vehicle</v>
      </c>
      <c r="E903" s="36" t="s">
        <v>959</v>
      </c>
      <c r="F903" s="36" t="s">
        <v>970</v>
      </c>
      <c r="G903" s="36" t="s">
        <v>949</v>
      </c>
      <c r="H903" s="36" t="str">
        <f t="shared" si="48"/>
        <v>出租车</v>
      </c>
      <c r="I903" s="36" t="str">
        <f t="shared" si="49"/>
        <v>Passenger LDV</v>
      </c>
      <c r="J903" s="36">
        <v>32</v>
      </c>
    </row>
    <row r="904" spans="1:10" x14ac:dyDescent="0.15">
      <c r="A904" s="36">
        <v>903</v>
      </c>
      <c r="B904" s="36">
        <v>2016</v>
      </c>
      <c r="C904" s="36" t="s">
        <v>952</v>
      </c>
      <c r="D904" s="36" t="str">
        <f t="shared" si="47"/>
        <v>gasoline vehicle</v>
      </c>
      <c r="E904" s="36" t="s">
        <v>959</v>
      </c>
      <c r="F904" s="36" t="s">
        <v>970</v>
      </c>
      <c r="G904" s="36" t="s">
        <v>949</v>
      </c>
      <c r="H904" s="36" t="str">
        <f t="shared" si="48"/>
        <v>出租车</v>
      </c>
      <c r="I904" s="36" t="str">
        <f t="shared" si="49"/>
        <v>Passenger LDV</v>
      </c>
      <c r="J904" s="36">
        <v>5</v>
      </c>
    </row>
    <row r="905" spans="1:10" x14ac:dyDescent="0.15">
      <c r="A905" s="36">
        <v>904</v>
      </c>
      <c r="B905" s="36">
        <v>2017</v>
      </c>
      <c r="C905" s="36" t="s">
        <v>952</v>
      </c>
      <c r="D905" s="36" t="str">
        <f t="shared" si="47"/>
        <v>gasoline vehicle</v>
      </c>
      <c r="E905" s="36" t="s">
        <v>959</v>
      </c>
      <c r="F905" s="36" t="s">
        <v>970</v>
      </c>
      <c r="G905" s="36" t="s">
        <v>949</v>
      </c>
      <c r="H905" s="36" t="str">
        <f t="shared" si="48"/>
        <v>出租车</v>
      </c>
      <c r="I905" s="36" t="str">
        <f t="shared" si="49"/>
        <v>Passenger LDV</v>
      </c>
      <c r="J905" s="36">
        <v>8</v>
      </c>
    </row>
    <row r="906" spans="1:10" x14ac:dyDescent="0.15">
      <c r="A906" s="36">
        <v>905</v>
      </c>
      <c r="B906" s="36">
        <v>2019</v>
      </c>
      <c r="C906" s="36" t="s">
        <v>952</v>
      </c>
      <c r="D906" s="36" t="str">
        <f t="shared" si="47"/>
        <v>gasoline vehicle</v>
      </c>
      <c r="E906" s="36" t="s">
        <v>959</v>
      </c>
      <c r="F906" s="36" t="s">
        <v>970</v>
      </c>
      <c r="G906" s="36" t="s">
        <v>949</v>
      </c>
      <c r="H906" s="36" t="str">
        <f t="shared" si="48"/>
        <v>出租车</v>
      </c>
      <c r="I906" s="36" t="str">
        <f t="shared" si="49"/>
        <v>Passenger LDV</v>
      </c>
      <c r="J906" s="36">
        <v>1</v>
      </c>
    </row>
    <row r="907" spans="1:10" x14ac:dyDescent="0.15">
      <c r="A907" s="36">
        <v>906</v>
      </c>
      <c r="B907" s="36">
        <v>2015</v>
      </c>
      <c r="C907" s="36" t="s">
        <v>961</v>
      </c>
      <c r="D907" s="36" t="str">
        <f t="shared" si="47"/>
        <v>plugin hybrid vehicle</v>
      </c>
      <c r="E907" s="36" t="s">
        <v>954</v>
      </c>
      <c r="F907" s="36" t="s">
        <v>970</v>
      </c>
      <c r="G907" s="36" t="s">
        <v>949</v>
      </c>
      <c r="H907" s="36" t="str">
        <f t="shared" si="48"/>
        <v>出租车</v>
      </c>
      <c r="I907" s="36" t="str">
        <f t="shared" si="49"/>
        <v>Passenger LDV</v>
      </c>
      <c r="J907" s="36">
        <v>2629</v>
      </c>
    </row>
    <row r="908" spans="1:10" x14ac:dyDescent="0.15">
      <c r="A908" s="36">
        <v>907</v>
      </c>
      <c r="B908" s="36">
        <v>2016</v>
      </c>
      <c r="C908" s="36" t="s">
        <v>961</v>
      </c>
      <c r="D908" s="36" t="str">
        <f t="shared" si="47"/>
        <v>plugin hybrid vehicle</v>
      </c>
      <c r="E908" s="36" t="s">
        <v>954</v>
      </c>
      <c r="F908" s="36" t="s">
        <v>970</v>
      </c>
      <c r="G908" s="36" t="s">
        <v>949</v>
      </c>
      <c r="H908" s="36" t="str">
        <f t="shared" si="48"/>
        <v>出租车</v>
      </c>
      <c r="I908" s="36" t="str">
        <f t="shared" si="49"/>
        <v>Passenger LDV</v>
      </c>
      <c r="J908" s="36">
        <v>2785</v>
      </c>
    </row>
    <row r="909" spans="1:10" x14ac:dyDescent="0.15">
      <c r="A909" s="36">
        <v>908</v>
      </c>
      <c r="B909" s="36">
        <v>2017</v>
      </c>
      <c r="C909" s="36" t="s">
        <v>961</v>
      </c>
      <c r="D909" s="36" t="str">
        <f t="shared" si="47"/>
        <v>plugin hybrid vehicle</v>
      </c>
      <c r="E909" s="36" t="s">
        <v>954</v>
      </c>
      <c r="F909" s="36" t="s">
        <v>970</v>
      </c>
      <c r="G909" s="36" t="s">
        <v>949</v>
      </c>
      <c r="H909" s="36" t="str">
        <f t="shared" si="48"/>
        <v>出租车</v>
      </c>
      <c r="I909" s="36" t="str">
        <f t="shared" si="49"/>
        <v>Passenger LDV</v>
      </c>
      <c r="J909" s="36">
        <v>4329</v>
      </c>
    </row>
    <row r="910" spans="1:10" x14ac:dyDescent="0.15">
      <c r="A910" s="36">
        <v>909</v>
      </c>
      <c r="B910" s="36">
        <v>2018</v>
      </c>
      <c r="C910" s="36" t="s">
        <v>961</v>
      </c>
      <c r="D910" s="36" t="str">
        <f t="shared" si="47"/>
        <v>plugin hybrid vehicle</v>
      </c>
      <c r="E910" s="36" t="s">
        <v>954</v>
      </c>
      <c r="F910" s="36" t="s">
        <v>970</v>
      </c>
      <c r="G910" s="36" t="s">
        <v>949</v>
      </c>
      <c r="H910" s="36" t="str">
        <f t="shared" si="48"/>
        <v>出租车</v>
      </c>
      <c r="I910" s="36" t="str">
        <f t="shared" si="49"/>
        <v>Passenger LDV</v>
      </c>
      <c r="J910" s="36">
        <v>10304</v>
      </c>
    </row>
    <row r="911" spans="1:10" x14ac:dyDescent="0.15">
      <c r="A911" s="36">
        <v>910</v>
      </c>
      <c r="B911" s="36">
        <v>2019</v>
      </c>
      <c r="C911" s="36" t="s">
        <v>961</v>
      </c>
      <c r="D911" s="36" t="str">
        <f t="shared" si="47"/>
        <v>plugin hybrid vehicle</v>
      </c>
      <c r="E911" s="36" t="s">
        <v>954</v>
      </c>
      <c r="F911" s="36" t="s">
        <v>970</v>
      </c>
      <c r="G911" s="36" t="s">
        <v>949</v>
      </c>
      <c r="H911" s="36" t="str">
        <f t="shared" si="48"/>
        <v>出租车</v>
      </c>
      <c r="I911" s="36" t="str">
        <f t="shared" si="49"/>
        <v>Passenger LDV</v>
      </c>
      <c r="J911" s="36">
        <v>16904</v>
      </c>
    </row>
    <row r="912" spans="1:10" x14ac:dyDescent="0.15">
      <c r="A912" s="36">
        <v>911</v>
      </c>
      <c r="B912" s="36">
        <v>2020</v>
      </c>
      <c r="C912" s="36" t="s">
        <v>961</v>
      </c>
      <c r="D912" s="36" t="str">
        <f t="shared" si="47"/>
        <v>plugin hybrid vehicle</v>
      </c>
      <c r="E912" s="36" t="s">
        <v>954</v>
      </c>
      <c r="F912" s="36" t="s">
        <v>970</v>
      </c>
      <c r="G912" s="36" t="s">
        <v>949</v>
      </c>
      <c r="H912" s="36" t="str">
        <f t="shared" si="48"/>
        <v>出租车</v>
      </c>
      <c r="I912" s="36" t="str">
        <f t="shared" si="49"/>
        <v>Passenger LDV</v>
      </c>
      <c r="J912" s="36">
        <v>12718</v>
      </c>
    </row>
    <row r="913" spans="1:10" x14ac:dyDescent="0.15">
      <c r="A913" s="36">
        <v>912</v>
      </c>
      <c r="B913" s="36">
        <v>2021</v>
      </c>
      <c r="C913" s="36" t="s">
        <v>961</v>
      </c>
      <c r="D913" s="36" t="str">
        <f t="shared" si="47"/>
        <v>plugin hybrid vehicle</v>
      </c>
      <c r="E913" s="36" t="s">
        <v>954</v>
      </c>
      <c r="F913" s="36" t="s">
        <v>970</v>
      </c>
      <c r="G913" s="36" t="s">
        <v>949</v>
      </c>
      <c r="H913" s="36" t="str">
        <f t="shared" si="48"/>
        <v>出租车</v>
      </c>
      <c r="I913" s="36" t="str">
        <f t="shared" si="49"/>
        <v>Passenger LDV</v>
      </c>
      <c r="J913" s="36">
        <v>11512</v>
      </c>
    </row>
    <row r="914" spans="1:10" x14ac:dyDescent="0.15">
      <c r="A914" s="36">
        <v>913</v>
      </c>
      <c r="B914" s="36">
        <v>2015</v>
      </c>
      <c r="C914" s="36" t="s">
        <v>953</v>
      </c>
      <c r="D914" s="36" t="str">
        <f t="shared" si="47"/>
        <v>diesel vehicle</v>
      </c>
      <c r="E914" s="36" t="s">
        <v>954</v>
      </c>
      <c r="F914" s="36" t="s">
        <v>970</v>
      </c>
      <c r="G914" s="36" t="s">
        <v>949</v>
      </c>
      <c r="H914" s="36" t="str">
        <f t="shared" si="48"/>
        <v>出租车</v>
      </c>
      <c r="I914" s="36" t="str">
        <f t="shared" si="49"/>
        <v>Passenger LDV</v>
      </c>
      <c r="J914" s="36">
        <v>132</v>
      </c>
    </row>
    <row r="915" spans="1:10" x14ac:dyDescent="0.15">
      <c r="A915" s="36">
        <v>914</v>
      </c>
      <c r="B915" s="36">
        <v>2016</v>
      </c>
      <c r="C915" s="36" t="s">
        <v>953</v>
      </c>
      <c r="D915" s="36" t="str">
        <f t="shared" si="47"/>
        <v>diesel vehicle</v>
      </c>
      <c r="E915" s="36" t="s">
        <v>954</v>
      </c>
      <c r="F915" s="36" t="s">
        <v>970</v>
      </c>
      <c r="G915" s="36" t="s">
        <v>949</v>
      </c>
      <c r="H915" s="36" t="str">
        <f t="shared" si="48"/>
        <v>出租车</v>
      </c>
      <c r="I915" s="36" t="str">
        <f t="shared" si="49"/>
        <v>Passenger LDV</v>
      </c>
      <c r="J915" s="36">
        <v>410</v>
      </c>
    </row>
    <row r="916" spans="1:10" x14ac:dyDescent="0.15">
      <c r="A916" s="36">
        <v>915</v>
      </c>
      <c r="B916" s="36">
        <v>2017</v>
      </c>
      <c r="C916" s="36" t="s">
        <v>953</v>
      </c>
      <c r="D916" s="36" t="str">
        <f t="shared" si="47"/>
        <v>diesel vehicle</v>
      </c>
      <c r="E916" s="36" t="s">
        <v>954</v>
      </c>
      <c r="F916" s="36" t="s">
        <v>970</v>
      </c>
      <c r="G916" s="36" t="s">
        <v>949</v>
      </c>
      <c r="H916" s="36" t="str">
        <f t="shared" si="48"/>
        <v>出租车</v>
      </c>
      <c r="I916" s="36" t="str">
        <f t="shared" si="49"/>
        <v>Passenger LDV</v>
      </c>
      <c r="J916" s="36">
        <v>614</v>
      </c>
    </row>
    <row r="917" spans="1:10" x14ac:dyDescent="0.15">
      <c r="A917" s="36">
        <v>916</v>
      </c>
      <c r="B917" s="36">
        <v>2018</v>
      </c>
      <c r="C917" s="36" t="s">
        <v>953</v>
      </c>
      <c r="D917" s="36" t="str">
        <f t="shared" si="47"/>
        <v>diesel vehicle</v>
      </c>
      <c r="E917" s="36" t="s">
        <v>954</v>
      </c>
      <c r="F917" s="36" t="s">
        <v>970</v>
      </c>
      <c r="G917" s="36" t="s">
        <v>949</v>
      </c>
      <c r="H917" s="36" t="str">
        <f t="shared" si="48"/>
        <v>出租车</v>
      </c>
      <c r="I917" s="36" t="str">
        <f t="shared" si="49"/>
        <v>Passenger LDV</v>
      </c>
      <c r="J917" s="36">
        <v>1784</v>
      </c>
    </row>
    <row r="918" spans="1:10" x14ac:dyDescent="0.15">
      <c r="A918" s="36">
        <v>917</v>
      </c>
      <c r="B918" s="36">
        <v>2019</v>
      </c>
      <c r="C918" s="36" t="s">
        <v>953</v>
      </c>
      <c r="D918" s="36" t="str">
        <f t="shared" si="47"/>
        <v>diesel vehicle</v>
      </c>
      <c r="E918" s="36" t="s">
        <v>954</v>
      </c>
      <c r="F918" s="36" t="s">
        <v>970</v>
      </c>
      <c r="G918" s="36" t="s">
        <v>949</v>
      </c>
      <c r="H918" s="36" t="str">
        <f t="shared" si="48"/>
        <v>出租车</v>
      </c>
      <c r="I918" s="36" t="str">
        <f t="shared" si="49"/>
        <v>Passenger LDV</v>
      </c>
      <c r="J918" s="36">
        <v>4515</v>
      </c>
    </row>
    <row r="919" spans="1:10" x14ac:dyDescent="0.15">
      <c r="A919" s="36">
        <v>918</v>
      </c>
      <c r="B919" s="36">
        <v>2020</v>
      </c>
      <c r="C919" s="36" t="s">
        <v>953</v>
      </c>
      <c r="D919" s="36" t="str">
        <f t="shared" si="47"/>
        <v>diesel vehicle</v>
      </c>
      <c r="E919" s="36" t="s">
        <v>954</v>
      </c>
      <c r="F919" s="36" t="s">
        <v>970</v>
      </c>
      <c r="G919" s="36" t="s">
        <v>949</v>
      </c>
      <c r="H919" s="36" t="str">
        <f t="shared" si="48"/>
        <v>出租车</v>
      </c>
      <c r="I919" s="36" t="str">
        <f t="shared" si="49"/>
        <v>Passenger LDV</v>
      </c>
      <c r="J919" s="36">
        <v>2458</v>
      </c>
    </row>
    <row r="920" spans="1:10" x14ac:dyDescent="0.15">
      <c r="A920" s="36">
        <v>919</v>
      </c>
      <c r="B920" s="36">
        <v>2021</v>
      </c>
      <c r="C920" s="36" t="s">
        <v>953</v>
      </c>
      <c r="D920" s="36" t="str">
        <f t="shared" si="47"/>
        <v>diesel vehicle</v>
      </c>
      <c r="E920" s="36" t="s">
        <v>954</v>
      </c>
      <c r="F920" s="36" t="s">
        <v>970</v>
      </c>
      <c r="G920" s="36" t="s">
        <v>949</v>
      </c>
      <c r="H920" s="36" t="str">
        <f t="shared" si="48"/>
        <v>出租车</v>
      </c>
      <c r="I920" s="36" t="str">
        <f t="shared" si="49"/>
        <v>Passenger LDV</v>
      </c>
      <c r="J920" s="36">
        <v>1203</v>
      </c>
    </row>
    <row r="921" spans="1:10" x14ac:dyDescent="0.15">
      <c r="A921" s="36">
        <v>920</v>
      </c>
      <c r="B921" s="36">
        <v>2015</v>
      </c>
      <c r="C921" s="36" t="s">
        <v>958</v>
      </c>
      <c r="D921" s="36" t="str">
        <f t="shared" si="47"/>
        <v>battery electric vehicle</v>
      </c>
      <c r="E921" s="36" t="s">
        <v>954</v>
      </c>
      <c r="F921" s="36" t="s">
        <v>970</v>
      </c>
      <c r="G921" s="36" t="s">
        <v>949</v>
      </c>
      <c r="H921" s="36" t="str">
        <f t="shared" si="48"/>
        <v>出租车</v>
      </c>
      <c r="I921" s="36" t="str">
        <f t="shared" si="49"/>
        <v>Passenger LDV</v>
      </c>
      <c r="J921" s="36">
        <v>13222</v>
      </c>
    </row>
    <row r="922" spans="1:10" x14ac:dyDescent="0.15">
      <c r="A922" s="36">
        <v>921</v>
      </c>
      <c r="B922" s="36">
        <v>2016</v>
      </c>
      <c r="C922" s="36" t="s">
        <v>958</v>
      </c>
      <c r="D922" s="36" t="str">
        <f t="shared" si="47"/>
        <v>battery electric vehicle</v>
      </c>
      <c r="E922" s="36" t="s">
        <v>954</v>
      </c>
      <c r="F922" s="36" t="s">
        <v>970</v>
      </c>
      <c r="G922" s="36" t="s">
        <v>949</v>
      </c>
      <c r="H922" s="36" t="str">
        <f t="shared" si="48"/>
        <v>出租车</v>
      </c>
      <c r="I922" s="36" t="str">
        <f t="shared" si="49"/>
        <v>Passenger LDV</v>
      </c>
      <c r="J922" s="36">
        <v>29457</v>
      </c>
    </row>
    <row r="923" spans="1:10" x14ac:dyDescent="0.15">
      <c r="A923" s="36">
        <v>922</v>
      </c>
      <c r="B923" s="36">
        <v>2017</v>
      </c>
      <c r="C923" s="36" t="s">
        <v>958</v>
      </c>
      <c r="D923" s="36" t="str">
        <f t="shared" si="47"/>
        <v>battery electric vehicle</v>
      </c>
      <c r="E923" s="36" t="s">
        <v>954</v>
      </c>
      <c r="F923" s="36" t="s">
        <v>970</v>
      </c>
      <c r="G923" s="36" t="s">
        <v>949</v>
      </c>
      <c r="H923" s="36" t="str">
        <f t="shared" si="48"/>
        <v>出租车</v>
      </c>
      <c r="I923" s="36" t="str">
        <f t="shared" si="49"/>
        <v>Passenger LDV</v>
      </c>
      <c r="J923" s="36">
        <v>58288</v>
      </c>
    </row>
    <row r="924" spans="1:10" x14ac:dyDescent="0.15">
      <c r="A924" s="36">
        <v>923</v>
      </c>
      <c r="B924" s="36">
        <v>2018</v>
      </c>
      <c r="C924" s="36" t="s">
        <v>958</v>
      </c>
      <c r="D924" s="36" t="str">
        <f t="shared" si="47"/>
        <v>battery electric vehicle</v>
      </c>
      <c r="E924" s="36" t="s">
        <v>954</v>
      </c>
      <c r="F924" s="36" t="s">
        <v>970</v>
      </c>
      <c r="G924" s="36" t="s">
        <v>949</v>
      </c>
      <c r="H924" s="36" t="str">
        <f t="shared" si="48"/>
        <v>出租车</v>
      </c>
      <c r="I924" s="36" t="str">
        <f t="shared" si="49"/>
        <v>Passenger LDV</v>
      </c>
      <c r="J924" s="36">
        <v>149260</v>
      </c>
    </row>
    <row r="925" spans="1:10" x14ac:dyDescent="0.15">
      <c r="A925" s="36">
        <v>924</v>
      </c>
      <c r="B925" s="36">
        <v>2019</v>
      </c>
      <c r="C925" s="36" t="s">
        <v>958</v>
      </c>
      <c r="D925" s="36" t="str">
        <f t="shared" si="47"/>
        <v>battery electric vehicle</v>
      </c>
      <c r="E925" s="36" t="s">
        <v>954</v>
      </c>
      <c r="F925" s="36" t="s">
        <v>970</v>
      </c>
      <c r="G925" s="36" t="s">
        <v>949</v>
      </c>
      <c r="H925" s="36" t="str">
        <f t="shared" si="48"/>
        <v>出租车</v>
      </c>
      <c r="I925" s="36" t="str">
        <f t="shared" si="49"/>
        <v>Passenger LDV</v>
      </c>
      <c r="J925" s="36">
        <v>229615</v>
      </c>
    </row>
    <row r="926" spans="1:10" x14ac:dyDescent="0.15">
      <c r="A926" s="36">
        <v>925</v>
      </c>
      <c r="B926" s="36">
        <v>2020</v>
      </c>
      <c r="C926" s="36" t="s">
        <v>958</v>
      </c>
      <c r="D926" s="36" t="str">
        <f t="shared" si="47"/>
        <v>battery electric vehicle</v>
      </c>
      <c r="E926" s="36" t="s">
        <v>954</v>
      </c>
      <c r="F926" s="36" t="s">
        <v>970</v>
      </c>
      <c r="G926" s="36" t="s">
        <v>949</v>
      </c>
      <c r="H926" s="36" t="str">
        <f t="shared" si="48"/>
        <v>出租车</v>
      </c>
      <c r="I926" s="36" t="str">
        <f t="shared" si="49"/>
        <v>Passenger LDV</v>
      </c>
      <c r="J926" s="36">
        <v>162556</v>
      </c>
    </row>
    <row r="927" spans="1:10" x14ac:dyDescent="0.15">
      <c r="A927" s="36">
        <v>926</v>
      </c>
      <c r="B927" s="36">
        <v>2021</v>
      </c>
      <c r="C927" s="36" t="s">
        <v>958</v>
      </c>
      <c r="D927" s="36" t="str">
        <f t="shared" si="47"/>
        <v>battery electric vehicle</v>
      </c>
      <c r="E927" s="36" t="s">
        <v>954</v>
      </c>
      <c r="F927" s="36" t="s">
        <v>970</v>
      </c>
      <c r="G927" s="36" t="s">
        <v>949</v>
      </c>
      <c r="H927" s="36" t="str">
        <f t="shared" si="48"/>
        <v>出租车</v>
      </c>
      <c r="I927" s="36" t="str">
        <f t="shared" si="49"/>
        <v>Passenger LDV</v>
      </c>
      <c r="J927" s="36">
        <v>341428</v>
      </c>
    </row>
    <row r="928" spans="1:10" x14ac:dyDescent="0.15">
      <c r="A928" s="36">
        <v>927</v>
      </c>
      <c r="B928" s="36">
        <v>2015</v>
      </c>
      <c r="C928" s="36" t="s">
        <v>957</v>
      </c>
      <c r="D928" s="36" t="str">
        <f t="shared" si="47"/>
        <v>hybrid fuel vehicle</v>
      </c>
      <c r="E928" s="36" t="s">
        <v>954</v>
      </c>
      <c r="F928" s="36" t="s">
        <v>970</v>
      </c>
      <c r="G928" s="36" t="s">
        <v>949</v>
      </c>
      <c r="H928" s="36" t="str">
        <f t="shared" si="48"/>
        <v>出租车</v>
      </c>
      <c r="I928" s="36" t="str">
        <f t="shared" si="49"/>
        <v>Passenger LDV</v>
      </c>
      <c r="J928" s="36">
        <v>5233</v>
      </c>
    </row>
    <row r="929" spans="1:10" x14ac:dyDescent="0.15">
      <c r="A929" s="36">
        <v>928</v>
      </c>
      <c r="B929" s="36">
        <v>2016</v>
      </c>
      <c r="C929" s="36" t="s">
        <v>957</v>
      </c>
      <c r="D929" s="36" t="str">
        <f t="shared" si="47"/>
        <v>hybrid fuel vehicle</v>
      </c>
      <c r="E929" s="36" t="s">
        <v>954</v>
      </c>
      <c r="F929" s="36" t="s">
        <v>970</v>
      </c>
      <c r="G929" s="36" t="s">
        <v>949</v>
      </c>
      <c r="H929" s="36" t="str">
        <f t="shared" si="48"/>
        <v>出租车</v>
      </c>
      <c r="I929" s="36" t="str">
        <f t="shared" si="49"/>
        <v>Passenger LDV</v>
      </c>
      <c r="J929" s="36">
        <v>3257</v>
      </c>
    </row>
    <row r="930" spans="1:10" x14ac:dyDescent="0.15">
      <c r="A930" s="36">
        <v>929</v>
      </c>
      <c r="B930" s="36">
        <v>2017</v>
      </c>
      <c r="C930" s="36" t="s">
        <v>957</v>
      </c>
      <c r="D930" s="36" t="str">
        <f t="shared" si="47"/>
        <v>hybrid fuel vehicle</v>
      </c>
      <c r="E930" s="36" t="s">
        <v>954</v>
      </c>
      <c r="F930" s="36" t="s">
        <v>970</v>
      </c>
      <c r="G930" s="36" t="s">
        <v>949</v>
      </c>
      <c r="H930" s="36" t="str">
        <f t="shared" si="48"/>
        <v>出租车</v>
      </c>
      <c r="I930" s="36" t="str">
        <f t="shared" si="49"/>
        <v>Passenger LDV</v>
      </c>
      <c r="J930" s="36">
        <v>14442</v>
      </c>
    </row>
    <row r="931" spans="1:10" x14ac:dyDescent="0.15">
      <c r="A931" s="36">
        <v>930</v>
      </c>
      <c r="B931" s="36">
        <v>2018</v>
      </c>
      <c r="C931" s="36" t="s">
        <v>957</v>
      </c>
      <c r="D931" s="36" t="str">
        <f t="shared" si="47"/>
        <v>hybrid fuel vehicle</v>
      </c>
      <c r="E931" s="36" t="s">
        <v>954</v>
      </c>
      <c r="F931" s="36" t="s">
        <v>970</v>
      </c>
      <c r="G931" s="36" t="s">
        <v>949</v>
      </c>
      <c r="H931" s="36" t="str">
        <f t="shared" si="48"/>
        <v>出租车</v>
      </c>
      <c r="I931" s="36" t="str">
        <f t="shared" si="49"/>
        <v>Passenger LDV</v>
      </c>
      <c r="J931" s="36">
        <v>22793</v>
      </c>
    </row>
    <row r="932" spans="1:10" x14ac:dyDescent="0.15">
      <c r="A932" s="36">
        <v>931</v>
      </c>
      <c r="B932" s="36">
        <v>2019</v>
      </c>
      <c r="C932" s="36" t="s">
        <v>957</v>
      </c>
      <c r="D932" s="36" t="str">
        <f t="shared" si="47"/>
        <v>hybrid fuel vehicle</v>
      </c>
      <c r="E932" s="36" t="s">
        <v>954</v>
      </c>
      <c r="F932" s="36" t="s">
        <v>970</v>
      </c>
      <c r="G932" s="36" t="s">
        <v>949</v>
      </c>
      <c r="H932" s="36" t="str">
        <f t="shared" si="48"/>
        <v>出租车</v>
      </c>
      <c r="I932" s="36" t="str">
        <f t="shared" si="49"/>
        <v>Passenger LDV</v>
      </c>
      <c r="J932" s="36">
        <v>26279</v>
      </c>
    </row>
    <row r="933" spans="1:10" x14ac:dyDescent="0.15">
      <c r="A933" s="36">
        <v>932</v>
      </c>
      <c r="B933" s="36">
        <v>2020</v>
      </c>
      <c r="C933" s="36" t="s">
        <v>957</v>
      </c>
      <c r="D933" s="36" t="str">
        <f t="shared" si="47"/>
        <v>hybrid fuel vehicle</v>
      </c>
      <c r="E933" s="36" t="s">
        <v>954</v>
      </c>
      <c r="F933" s="36" t="s">
        <v>970</v>
      </c>
      <c r="G933" s="36" t="s">
        <v>949</v>
      </c>
      <c r="H933" s="36" t="str">
        <f t="shared" si="48"/>
        <v>出租车</v>
      </c>
      <c r="I933" s="36" t="str">
        <f t="shared" si="49"/>
        <v>Passenger LDV</v>
      </c>
      <c r="J933" s="36">
        <v>13174</v>
      </c>
    </row>
    <row r="934" spans="1:10" x14ac:dyDescent="0.15">
      <c r="A934" s="36">
        <v>933</v>
      </c>
      <c r="B934" s="36">
        <v>2021</v>
      </c>
      <c r="C934" s="36" t="s">
        <v>957</v>
      </c>
      <c r="D934" s="36" t="str">
        <f t="shared" si="47"/>
        <v>hybrid fuel vehicle</v>
      </c>
      <c r="E934" s="36" t="s">
        <v>954</v>
      </c>
      <c r="F934" s="36" t="s">
        <v>970</v>
      </c>
      <c r="G934" s="36" t="s">
        <v>949</v>
      </c>
      <c r="H934" s="36" t="str">
        <f t="shared" si="48"/>
        <v>出租车</v>
      </c>
      <c r="I934" s="36" t="str">
        <f t="shared" si="49"/>
        <v>Passenger LDV</v>
      </c>
      <c r="J934" s="36">
        <v>13194</v>
      </c>
    </row>
    <row r="935" spans="1:10" x14ac:dyDescent="0.15">
      <c r="A935" s="36">
        <v>934</v>
      </c>
      <c r="B935" s="36">
        <v>2015</v>
      </c>
      <c r="C935" s="36" t="s">
        <v>968</v>
      </c>
      <c r="D935" s="36" t="str">
        <f t="shared" si="47"/>
        <v>other fuel vehicle</v>
      </c>
      <c r="E935" s="36" t="s">
        <v>954</v>
      </c>
      <c r="F935" s="36" t="s">
        <v>970</v>
      </c>
      <c r="G935" s="36" t="s">
        <v>949</v>
      </c>
      <c r="H935" s="36" t="str">
        <f t="shared" si="48"/>
        <v>出租车</v>
      </c>
      <c r="I935" s="36" t="str">
        <f t="shared" si="49"/>
        <v>Passenger LDV</v>
      </c>
      <c r="J935" s="36">
        <v>559</v>
      </c>
    </row>
    <row r="936" spans="1:10" x14ac:dyDescent="0.15">
      <c r="A936" s="36">
        <v>935</v>
      </c>
      <c r="B936" s="36">
        <v>2016</v>
      </c>
      <c r="C936" s="36" t="s">
        <v>968</v>
      </c>
      <c r="D936" s="36" t="str">
        <f t="shared" si="47"/>
        <v>other fuel vehicle</v>
      </c>
      <c r="E936" s="36" t="s">
        <v>954</v>
      </c>
      <c r="F936" s="36" t="s">
        <v>970</v>
      </c>
      <c r="G936" s="36" t="s">
        <v>949</v>
      </c>
      <c r="H936" s="36" t="str">
        <f t="shared" si="48"/>
        <v>出租车</v>
      </c>
      <c r="I936" s="36" t="str">
        <f t="shared" si="49"/>
        <v>Passenger LDV</v>
      </c>
      <c r="J936" s="36">
        <v>197</v>
      </c>
    </row>
    <row r="937" spans="1:10" x14ac:dyDescent="0.15">
      <c r="A937" s="36">
        <v>936</v>
      </c>
      <c r="B937" s="36">
        <v>2017</v>
      </c>
      <c r="C937" s="36" t="s">
        <v>968</v>
      </c>
      <c r="D937" s="36" t="str">
        <f t="shared" si="47"/>
        <v>other fuel vehicle</v>
      </c>
      <c r="E937" s="36" t="s">
        <v>954</v>
      </c>
      <c r="F937" s="36" t="s">
        <v>970</v>
      </c>
      <c r="G937" s="36" t="s">
        <v>949</v>
      </c>
      <c r="H937" s="36" t="str">
        <f t="shared" si="48"/>
        <v>出租车</v>
      </c>
      <c r="I937" s="36" t="str">
        <f t="shared" si="49"/>
        <v>Passenger LDV</v>
      </c>
      <c r="J937" s="36">
        <v>1889</v>
      </c>
    </row>
    <row r="938" spans="1:10" x14ac:dyDescent="0.15">
      <c r="A938" s="36">
        <v>937</v>
      </c>
      <c r="B938" s="36">
        <v>2018</v>
      </c>
      <c r="C938" s="36" t="s">
        <v>968</v>
      </c>
      <c r="D938" s="36" t="str">
        <f t="shared" si="47"/>
        <v>other fuel vehicle</v>
      </c>
      <c r="E938" s="36" t="s">
        <v>954</v>
      </c>
      <c r="F938" s="36" t="s">
        <v>970</v>
      </c>
      <c r="G938" s="36" t="s">
        <v>949</v>
      </c>
      <c r="H938" s="36" t="str">
        <f t="shared" si="48"/>
        <v>出租车</v>
      </c>
      <c r="I938" s="36" t="str">
        <f t="shared" si="49"/>
        <v>Passenger LDV</v>
      </c>
      <c r="J938" s="36">
        <v>1627</v>
      </c>
    </row>
    <row r="939" spans="1:10" x14ac:dyDescent="0.15">
      <c r="A939" s="36">
        <v>938</v>
      </c>
      <c r="B939" s="36">
        <v>2019</v>
      </c>
      <c r="C939" s="36" t="s">
        <v>968</v>
      </c>
      <c r="D939" s="36" t="str">
        <f t="shared" si="47"/>
        <v>other fuel vehicle</v>
      </c>
      <c r="E939" s="36" t="s">
        <v>954</v>
      </c>
      <c r="F939" s="36" t="s">
        <v>970</v>
      </c>
      <c r="G939" s="36" t="s">
        <v>949</v>
      </c>
      <c r="H939" s="36" t="str">
        <f t="shared" si="48"/>
        <v>出租车</v>
      </c>
      <c r="I939" s="36" t="str">
        <f t="shared" si="49"/>
        <v>Passenger LDV</v>
      </c>
      <c r="J939" s="36">
        <v>14529</v>
      </c>
    </row>
    <row r="940" spans="1:10" x14ac:dyDescent="0.15">
      <c r="A940" s="36">
        <v>939</v>
      </c>
      <c r="B940" s="36">
        <v>2020</v>
      </c>
      <c r="C940" s="36" t="s">
        <v>968</v>
      </c>
      <c r="D940" s="36" t="str">
        <f t="shared" si="47"/>
        <v>other fuel vehicle</v>
      </c>
      <c r="E940" s="36" t="s">
        <v>954</v>
      </c>
      <c r="F940" s="36" t="s">
        <v>970</v>
      </c>
      <c r="G940" s="36" t="s">
        <v>949</v>
      </c>
      <c r="H940" s="36" t="str">
        <f t="shared" si="48"/>
        <v>出租车</v>
      </c>
      <c r="I940" s="36" t="str">
        <f t="shared" si="49"/>
        <v>Passenger LDV</v>
      </c>
      <c r="J940" s="36">
        <v>5543</v>
      </c>
    </row>
    <row r="941" spans="1:10" x14ac:dyDescent="0.15">
      <c r="A941" s="36">
        <v>940</v>
      </c>
      <c r="B941" s="36">
        <v>2021</v>
      </c>
      <c r="C941" s="36" t="s">
        <v>968</v>
      </c>
      <c r="D941" s="36" t="str">
        <f t="shared" si="47"/>
        <v>other fuel vehicle</v>
      </c>
      <c r="E941" s="36" t="s">
        <v>954</v>
      </c>
      <c r="F941" s="36" t="s">
        <v>970</v>
      </c>
      <c r="G941" s="36" t="s">
        <v>949</v>
      </c>
      <c r="H941" s="36" t="str">
        <f t="shared" si="48"/>
        <v>出租车</v>
      </c>
      <c r="I941" s="36" t="str">
        <f t="shared" si="49"/>
        <v>Passenger LDV</v>
      </c>
      <c r="J941" s="36">
        <v>809</v>
      </c>
    </row>
    <row r="942" spans="1:10" x14ac:dyDescent="0.15">
      <c r="A942" s="36">
        <v>941</v>
      </c>
      <c r="B942" s="36">
        <v>2015</v>
      </c>
      <c r="C942" s="36" t="s">
        <v>952</v>
      </c>
      <c r="D942" s="36" t="str">
        <f t="shared" si="47"/>
        <v>gasoline vehicle</v>
      </c>
      <c r="E942" s="36" t="s">
        <v>954</v>
      </c>
      <c r="F942" s="36" t="s">
        <v>970</v>
      </c>
      <c r="G942" s="36" t="s">
        <v>949</v>
      </c>
      <c r="H942" s="36" t="str">
        <f t="shared" si="48"/>
        <v>出租车</v>
      </c>
      <c r="I942" s="36" t="str">
        <f t="shared" si="49"/>
        <v>Passenger LDV</v>
      </c>
      <c r="J942" s="36">
        <v>99548</v>
      </c>
    </row>
    <row r="943" spans="1:10" x14ac:dyDescent="0.15">
      <c r="A943" s="36">
        <v>942</v>
      </c>
      <c r="B943" s="36">
        <v>2016</v>
      </c>
      <c r="C943" s="36" t="s">
        <v>952</v>
      </c>
      <c r="D943" s="36" t="str">
        <f t="shared" si="47"/>
        <v>gasoline vehicle</v>
      </c>
      <c r="E943" s="36" t="s">
        <v>954</v>
      </c>
      <c r="F943" s="36" t="s">
        <v>970</v>
      </c>
      <c r="G943" s="36" t="s">
        <v>949</v>
      </c>
      <c r="H943" s="36" t="str">
        <f t="shared" si="48"/>
        <v>出租车</v>
      </c>
      <c r="I943" s="36" t="str">
        <f t="shared" si="49"/>
        <v>Passenger LDV</v>
      </c>
      <c r="J943" s="36">
        <v>173060</v>
      </c>
    </row>
    <row r="944" spans="1:10" x14ac:dyDescent="0.15">
      <c r="A944" s="36">
        <v>943</v>
      </c>
      <c r="B944" s="36">
        <v>2017</v>
      </c>
      <c r="C944" s="36" t="s">
        <v>952</v>
      </c>
      <c r="D944" s="36" t="str">
        <f t="shared" si="47"/>
        <v>gasoline vehicle</v>
      </c>
      <c r="E944" s="36" t="s">
        <v>954</v>
      </c>
      <c r="F944" s="36" t="s">
        <v>970</v>
      </c>
      <c r="G944" s="36" t="s">
        <v>949</v>
      </c>
      <c r="H944" s="36" t="str">
        <f t="shared" si="48"/>
        <v>出租车</v>
      </c>
      <c r="I944" s="36" t="str">
        <f t="shared" si="49"/>
        <v>Passenger LDV</v>
      </c>
      <c r="J944" s="36">
        <v>322641</v>
      </c>
    </row>
    <row r="945" spans="1:10" x14ac:dyDescent="0.15">
      <c r="A945" s="36">
        <v>944</v>
      </c>
      <c r="B945" s="36">
        <v>2018</v>
      </c>
      <c r="C945" s="36" t="s">
        <v>952</v>
      </c>
      <c r="D945" s="36" t="str">
        <f t="shared" si="47"/>
        <v>gasoline vehicle</v>
      </c>
      <c r="E945" s="36" t="s">
        <v>954</v>
      </c>
      <c r="F945" s="36" t="s">
        <v>970</v>
      </c>
      <c r="G945" s="36" t="s">
        <v>949</v>
      </c>
      <c r="H945" s="36" t="str">
        <f t="shared" si="48"/>
        <v>出租车</v>
      </c>
      <c r="I945" s="36" t="str">
        <f t="shared" si="49"/>
        <v>Passenger LDV</v>
      </c>
      <c r="J945" s="36">
        <v>223576</v>
      </c>
    </row>
    <row r="946" spans="1:10" x14ac:dyDescent="0.15">
      <c r="A946" s="36">
        <v>945</v>
      </c>
      <c r="B946" s="36">
        <v>2019</v>
      </c>
      <c r="C946" s="36" t="s">
        <v>952</v>
      </c>
      <c r="D946" s="36" t="str">
        <f t="shared" si="47"/>
        <v>gasoline vehicle</v>
      </c>
      <c r="E946" s="36" t="s">
        <v>954</v>
      </c>
      <c r="F946" s="36" t="s">
        <v>970</v>
      </c>
      <c r="G946" s="36" t="s">
        <v>949</v>
      </c>
      <c r="H946" s="36" t="str">
        <f t="shared" si="48"/>
        <v>出租车</v>
      </c>
      <c r="I946" s="36" t="str">
        <f t="shared" si="49"/>
        <v>Passenger LDV</v>
      </c>
      <c r="J946" s="36">
        <v>215251</v>
      </c>
    </row>
    <row r="947" spans="1:10" x14ac:dyDescent="0.15">
      <c r="A947" s="36">
        <v>946</v>
      </c>
      <c r="B947" s="36">
        <v>2020</v>
      </c>
      <c r="C947" s="36" t="s">
        <v>952</v>
      </c>
      <c r="D947" s="36" t="str">
        <f t="shared" si="47"/>
        <v>gasoline vehicle</v>
      </c>
      <c r="E947" s="36" t="s">
        <v>954</v>
      </c>
      <c r="F947" s="36" t="s">
        <v>970</v>
      </c>
      <c r="G947" s="36" t="s">
        <v>949</v>
      </c>
      <c r="H947" s="36" t="str">
        <f t="shared" si="48"/>
        <v>出租车</v>
      </c>
      <c r="I947" s="36" t="str">
        <f t="shared" si="49"/>
        <v>Passenger LDV</v>
      </c>
      <c r="J947" s="36">
        <v>115382</v>
      </c>
    </row>
    <row r="948" spans="1:10" x14ac:dyDescent="0.15">
      <c r="A948" s="36">
        <v>947</v>
      </c>
      <c r="B948" s="36">
        <v>2021</v>
      </c>
      <c r="C948" s="36" t="s">
        <v>952</v>
      </c>
      <c r="D948" s="36" t="str">
        <f t="shared" si="47"/>
        <v>gasoline vehicle</v>
      </c>
      <c r="E948" s="36" t="s">
        <v>954</v>
      </c>
      <c r="F948" s="36" t="s">
        <v>970</v>
      </c>
      <c r="G948" s="36" t="s">
        <v>949</v>
      </c>
      <c r="H948" s="36" t="str">
        <f t="shared" si="48"/>
        <v>出租车</v>
      </c>
      <c r="I948" s="36" t="str">
        <f t="shared" si="49"/>
        <v>Passenger LDV</v>
      </c>
      <c r="J948" s="36">
        <v>91069</v>
      </c>
    </row>
    <row r="949" spans="1:10" x14ac:dyDescent="0.15">
      <c r="A949" s="36">
        <v>948</v>
      </c>
      <c r="B949" s="36">
        <v>2016</v>
      </c>
      <c r="C949" s="36" t="s">
        <v>967</v>
      </c>
      <c r="D949" s="36" t="str">
        <f t="shared" si="47"/>
        <v>LPG vehicle</v>
      </c>
      <c r="E949" s="36" t="s">
        <v>954</v>
      </c>
      <c r="F949" s="36" t="s">
        <v>970</v>
      </c>
      <c r="G949" s="36" t="s">
        <v>949</v>
      </c>
      <c r="H949" s="36" t="str">
        <f t="shared" si="48"/>
        <v>出租车</v>
      </c>
      <c r="I949" s="36" t="str">
        <f t="shared" si="49"/>
        <v>Passenger LDV</v>
      </c>
      <c r="J949" s="36">
        <v>1695</v>
      </c>
    </row>
    <row r="950" spans="1:10" x14ac:dyDescent="0.15">
      <c r="A950" s="36">
        <v>949</v>
      </c>
      <c r="B950" s="36">
        <v>2017</v>
      </c>
      <c r="C950" s="36" t="s">
        <v>967</v>
      </c>
      <c r="D950" s="36" t="str">
        <f t="shared" si="47"/>
        <v>LPG vehicle</v>
      </c>
      <c r="E950" s="36" t="s">
        <v>954</v>
      </c>
      <c r="F950" s="36" t="s">
        <v>970</v>
      </c>
      <c r="G950" s="36" t="s">
        <v>949</v>
      </c>
      <c r="H950" s="36" t="str">
        <f t="shared" si="48"/>
        <v>出租车</v>
      </c>
      <c r="I950" s="36" t="str">
        <f t="shared" si="49"/>
        <v>Passenger LDV</v>
      </c>
      <c r="J950" s="36">
        <v>5122</v>
      </c>
    </row>
    <row r="951" spans="1:10" x14ac:dyDescent="0.15">
      <c r="A951" s="36">
        <v>950</v>
      </c>
      <c r="B951" s="36">
        <v>2018</v>
      </c>
      <c r="C951" s="36" t="s">
        <v>967</v>
      </c>
      <c r="D951" s="36" t="str">
        <f t="shared" si="47"/>
        <v>LPG vehicle</v>
      </c>
      <c r="E951" s="36" t="s">
        <v>954</v>
      </c>
      <c r="F951" s="36" t="s">
        <v>970</v>
      </c>
      <c r="G951" s="36" t="s">
        <v>949</v>
      </c>
      <c r="H951" s="36" t="str">
        <f t="shared" si="48"/>
        <v>出租车</v>
      </c>
      <c r="I951" s="36" t="str">
        <f t="shared" si="49"/>
        <v>Passenger LDV</v>
      </c>
      <c r="J951" s="36">
        <v>2630</v>
      </c>
    </row>
    <row r="952" spans="1:10" x14ac:dyDescent="0.15">
      <c r="A952" s="36">
        <v>951</v>
      </c>
      <c r="B952" s="36">
        <v>2019</v>
      </c>
      <c r="C952" s="36" t="s">
        <v>967</v>
      </c>
      <c r="D952" s="36" t="str">
        <f t="shared" si="47"/>
        <v>LPG vehicle</v>
      </c>
      <c r="E952" s="36" t="s">
        <v>954</v>
      </c>
      <c r="F952" s="36" t="s">
        <v>970</v>
      </c>
      <c r="G952" s="36" t="s">
        <v>949</v>
      </c>
      <c r="H952" s="36" t="str">
        <f t="shared" si="48"/>
        <v>出租车</v>
      </c>
      <c r="I952" s="36" t="str">
        <f t="shared" si="49"/>
        <v>Passenger LDV</v>
      </c>
      <c r="J952" s="36">
        <v>202</v>
      </c>
    </row>
    <row r="953" spans="1:10" x14ac:dyDescent="0.15">
      <c r="A953" s="36">
        <v>952</v>
      </c>
      <c r="B953" s="36">
        <v>2015</v>
      </c>
      <c r="C953" s="36" t="s">
        <v>956</v>
      </c>
      <c r="D953" s="36" t="str">
        <f t="shared" si="47"/>
        <v>natural gas vehicle</v>
      </c>
      <c r="E953" s="36" t="s">
        <v>954</v>
      </c>
      <c r="F953" s="36" t="s">
        <v>970</v>
      </c>
      <c r="G953" s="36" t="s">
        <v>949</v>
      </c>
      <c r="H953" s="36" t="str">
        <f t="shared" si="48"/>
        <v>出租车</v>
      </c>
      <c r="I953" s="36" t="str">
        <f t="shared" si="49"/>
        <v>Passenger LDV</v>
      </c>
      <c r="J953" s="36">
        <v>123194</v>
      </c>
    </row>
    <row r="954" spans="1:10" x14ac:dyDescent="0.15">
      <c r="A954" s="36">
        <v>953</v>
      </c>
      <c r="B954" s="36">
        <v>2016</v>
      </c>
      <c r="C954" s="36" t="s">
        <v>956</v>
      </c>
      <c r="D954" s="36" t="str">
        <f t="shared" si="47"/>
        <v>natural gas vehicle</v>
      </c>
      <c r="E954" s="36" t="s">
        <v>954</v>
      </c>
      <c r="F954" s="36" t="s">
        <v>970</v>
      </c>
      <c r="G954" s="36" t="s">
        <v>949</v>
      </c>
      <c r="H954" s="36" t="str">
        <f t="shared" si="48"/>
        <v>出租车</v>
      </c>
      <c r="I954" s="36" t="str">
        <f t="shared" si="49"/>
        <v>Passenger LDV</v>
      </c>
      <c r="J954" s="36">
        <v>86125</v>
      </c>
    </row>
    <row r="955" spans="1:10" x14ac:dyDescent="0.15">
      <c r="A955" s="36">
        <v>954</v>
      </c>
      <c r="B955" s="36">
        <v>2017</v>
      </c>
      <c r="C955" s="36" t="s">
        <v>956</v>
      </c>
      <c r="D955" s="36" t="str">
        <f t="shared" si="47"/>
        <v>natural gas vehicle</v>
      </c>
      <c r="E955" s="36" t="s">
        <v>954</v>
      </c>
      <c r="F955" s="36" t="s">
        <v>970</v>
      </c>
      <c r="G955" s="36" t="s">
        <v>949</v>
      </c>
      <c r="H955" s="36" t="str">
        <f t="shared" si="48"/>
        <v>出租车</v>
      </c>
      <c r="I955" s="36" t="str">
        <f t="shared" si="49"/>
        <v>Passenger LDV</v>
      </c>
      <c r="J955" s="36">
        <v>75691</v>
      </c>
    </row>
    <row r="956" spans="1:10" x14ac:dyDescent="0.15">
      <c r="A956" s="36">
        <v>955</v>
      </c>
      <c r="B956" s="36">
        <v>2018</v>
      </c>
      <c r="C956" s="36" t="s">
        <v>956</v>
      </c>
      <c r="D956" s="36" t="str">
        <f t="shared" si="47"/>
        <v>natural gas vehicle</v>
      </c>
      <c r="E956" s="36" t="s">
        <v>954</v>
      </c>
      <c r="F956" s="36" t="s">
        <v>970</v>
      </c>
      <c r="G956" s="36" t="s">
        <v>949</v>
      </c>
      <c r="H956" s="36" t="str">
        <f t="shared" si="48"/>
        <v>出租车</v>
      </c>
      <c r="I956" s="36" t="str">
        <f t="shared" si="49"/>
        <v>Passenger LDV</v>
      </c>
      <c r="J956" s="36">
        <v>86574</v>
      </c>
    </row>
    <row r="957" spans="1:10" x14ac:dyDescent="0.15">
      <c r="A957" s="36">
        <v>956</v>
      </c>
      <c r="B957" s="36">
        <v>2019</v>
      </c>
      <c r="C957" s="36" t="s">
        <v>956</v>
      </c>
      <c r="D957" s="36" t="str">
        <f t="shared" si="47"/>
        <v>natural gas vehicle</v>
      </c>
      <c r="E957" s="36" t="s">
        <v>954</v>
      </c>
      <c r="F957" s="36" t="s">
        <v>970</v>
      </c>
      <c r="G957" s="36" t="s">
        <v>949</v>
      </c>
      <c r="H957" s="36" t="str">
        <f t="shared" si="48"/>
        <v>出租车</v>
      </c>
      <c r="I957" s="36" t="str">
        <f t="shared" si="49"/>
        <v>Passenger LDV</v>
      </c>
      <c r="J957" s="36">
        <v>92188</v>
      </c>
    </row>
    <row r="958" spans="1:10" x14ac:dyDescent="0.15">
      <c r="A958" s="36">
        <v>957</v>
      </c>
      <c r="B958" s="36">
        <v>2020</v>
      </c>
      <c r="C958" s="36" t="s">
        <v>956</v>
      </c>
      <c r="D958" s="36" t="str">
        <f t="shared" si="47"/>
        <v>natural gas vehicle</v>
      </c>
      <c r="E958" s="36" t="s">
        <v>954</v>
      </c>
      <c r="F958" s="36" t="s">
        <v>970</v>
      </c>
      <c r="G958" s="36" t="s">
        <v>949</v>
      </c>
      <c r="H958" s="36" t="str">
        <f t="shared" si="48"/>
        <v>出租车</v>
      </c>
      <c r="I958" s="36" t="str">
        <f t="shared" si="49"/>
        <v>Passenger LDV</v>
      </c>
      <c r="J958" s="36">
        <v>23115</v>
      </c>
    </row>
    <row r="959" spans="1:10" x14ac:dyDescent="0.15">
      <c r="A959" s="36">
        <v>958</v>
      </c>
      <c r="B959" s="36">
        <v>2021</v>
      </c>
      <c r="C959" s="36" t="s">
        <v>956</v>
      </c>
      <c r="D959" s="36" t="str">
        <f t="shared" si="47"/>
        <v>natural gas vehicle</v>
      </c>
      <c r="E959" s="36" t="s">
        <v>954</v>
      </c>
      <c r="F959" s="36" t="s">
        <v>970</v>
      </c>
      <c r="G959" s="36" t="s">
        <v>949</v>
      </c>
      <c r="H959" s="36" t="str">
        <f t="shared" si="48"/>
        <v>出租车</v>
      </c>
      <c r="I959" s="36" t="str">
        <f t="shared" si="49"/>
        <v>Passenger LDV</v>
      </c>
      <c r="J959" s="36">
        <v>23973</v>
      </c>
    </row>
    <row r="960" spans="1:10" x14ac:dyDescent="0.15">
      <c r="A960" s="36">
        <v>959</v>
      </c>
      <c r="B960" s="36">
        <v>2016</v>
      </c>
      <c r="C960" s="36" t="s">
        <v>966</v>
      </c>
      <c r="D960" s="36" t="str">
        <f t="shared" si="47"/>
        <v>hydrogen vehicle</v>
      </c>
      <c r="E960" s="36" t="s">
        <v>954</v>
      </c>
      <c r="F960" s="36" t="s">
        <v>970</v>
      </c>
      <c r="G960" s="36" t="s">
        <v>949</v>
      </c>
      <c r="H960" s="36" t="str">
        <f t="shared" si="48"/>
        <v>出租车</v>
      </c>
      <c r="I960" s="36" t="str">
        <f t="shared" si="49"/>
        <v>Passenger LDV</v>
      </c>
      <c r="J960" s="36">
        <v>8</v>
      </c>
    </row>
    <row r="961" spans="1:10" x14ac:dyDescent="0.15">
      <c r="A961" s="36">
        <v>960</v>
      </c>
      <c r="B961" s="36">
        <v>2017</v>
      </c>
      <c r="C961" s="36" t="s">
        <v>966</v>
      </c>
      <c r="D961" s="36" t="str">
        <f t="shared" si="47"/>
        <v>hydrogen vehicle</v>
      </c>
      <c r="E961" s="36" t="s">
        <v>954</v>
      </c>
      <c r="F961" s="36" t="s">
        <v>970</v>
      </c>
      <c r="G961" s="36" t="s">
        <v>949</v>
      </c>
      <c r="H961" s="36" t="str">
        <f t="shared" si="48"/>
        <v>出租车</v>
      </c>
      <c r="I961" s="36" t="str">
        <f t="shared" si="49"/>
        <v>Passenger LDV</v>
      </c>
      <c r="J961" s="36">
        <v>50</v>
      </c>
    </row>
    <row r="962" spans="1:10" x14ac:dyDescent="0.15">
      <c r="A962" s="36">
        <v>961</v>
      </c>
      <c r="B962" s="36">
        <v>2021</v>
      </c>
      <c r="C962" s="36" t="s">
        <v>966</v>
      </c>
      <c r="D962" s="36" t="str">
        <f t="shared" ref="D962:D1025" si="50">VLOOKUP(C962,M$3:N$16,2,FALSE)</f>
        <v>hydrogen vehicle</v>
      </c>
      <c r="E962" s="36" t="s">
        <v>954</v>
      </c>
      <c r="F962" s="36" t="s">
        <v>970</v>
      </c>
      <c r="G962" s="36" t="s">
        <v>949</v>
      </c>
      <c r="H962" s="36" t="str">
        <f t="shared" ref="H962:H1025" si="51">VLOOKUP(E962&amp;F962&amp;G962,$S$3:$U$68,2,FALSE)</f>
        <v>出租车</v>
      </c>
      <c r="I962" s="36" t="str">
        <f t="shared" ref="I962:I1025" si="52">VLOOKUP(E962&amp;F962&amp;G962,$S$3:$U$68,3,FALSE)</f>
        <v>Passenger LDV</v>
      </c>
      <c r="J962" s="36">
        <v>9</v>
      </c>
    </row>
    <row r="963" spans="1:10" x14ac:dyDescent="0.15">
      <c r="A963" s="36">
        <v>962</v>
      </c>
      <c r="B963" s="36">
        <v>2019</v>
      </c>
      <c r="C963" s="36" t="s">
        <v>955</v>
      </c>
      <c r="D963" s="36" t="str">
        <f t="shared" si="50"/>
        <v>natural gas vehicle</v>
      </c>
      <c r="E963" s="36" t="s">
        <v>954</v>
      </c>
      <c r="F963" s="36" t="s">
        <v>970</v>
      </c>
      <c r="G963" s="36" t="s">
        <v>949</v>
      </c>
      <c r="H963" s="36" t="str">
        <f t="shared" si="51"/>
        <v>出租车</v>
      </c>
      <c r="I963" s="36" t="str">
        <f t="shared" si="52"/>
        <v>Passenger LDV</v>
      </c>
      <c r="J963" s="36">
        <v>3298</v>
      </c>
    </row>
    <row r="964" spans="1:10" x14ac:dyDescent="0.15">
      <c r="A964" s="36">
        <v>963</v>
      </c>
      <c r="B964" s="36">
        <v>2020</v>
      </c>
      <c r="C964" s="36" t="s">
        <v>955</v>
      </c>
      <c r="D964" s="36" t="str">
        <f t="shared" si="50"/>
        <v>natural gas vehicle</v>
      </c>
      <c r="E964" s="36" t="s">
        <v>954</v>
      </c>
      <c r="F964" s="36" t="s">
        <v>970</v>
      </c>
      <c r="G964" s="36" t="s">
        <v>949</v>
      </c>
      <c r="H964" s="36" t="str">
        <f t="shared" si="51"/>
        <v>出租车</v>
      </c>
      <c r="I964" s="36" t="str">
        <f t="shared" si="52"/>
        <v>Passenger LDV</v>
      </c>
      <c r="J964" s="36">
        <v>15791</v>
      </c>
    </row>
    <row r="965" spans="1:10" x14ac:dyDescent="0.15">
      <c r="A965" s="36">
        <v>964</v>
      </c>
      <c r="B965" s="36">
        <v>2021</v>
      </c>
      <c r="C965" s="36" t="s">
        <v>955</v>
      </c>
      <c r="D965" s="36" t="str">
        <f t="shared" si="50"/>
        <v>natural gas vehicle</v>
      </c>
      <c r="E965" s="36" t="s">
        <v>954</v>
      </c>
      <c r="F965" s="36" t="s">
        <v>970</v>
      </c>
      <c r="G965" s="36" t="s">
        <v>949</v>
      </c>
      <c r="H965" s="36" t="str">
        <f t="shared" si="51"/>
        <v>出租车</v>
      </c>
      <c r="I965" s="36" t="str">
        <f t="shared" si="52"/>
        <v>Passenger LDV</v>
      </c>
      <c r="J965" s="36">
        <v>16214</v>
      </c>
    </row>
    <row r="966" spans="1:10" x14ac:dyDescent="0.15">
      <c r="A966" s="36">
        <v>965</v>
      </c>
      <c r="B966" s="36">
        <v>2021</v>
      </c>
      <c r="C966" s="36" t="s">
        <v>965</v>
      </c>
      <c r="D966" s="36" t="str">
        <f t="shared" si="50"/>
        <v>hybrid fuel vehicle</v>
      </c>
      <c r="E966" s="36" t="s">
        <v>954</v>
      </c>
      <c r="F966" s="36" t="s">
        <v>970</v>
      </c>
      <c r="G966" s="36" t="s">
        <v>949</v>
      </c>
      <c r="H966" s="36" t="str">
        <f t="shared" si="51"/>
        <v>出租车</v>
      </c>
      <c r="I966" s="36" t="str">
        <f t="shared" si="52"/>
        <v>Passenger LDV</v>
      </c>
      <c r="J966" s="36">
        <v>180</v>
      </c>
    </row>
    <row r="967" spans="1:10" x14ac:dyDescent="0.15">
      <c r="A967" s="36">
        <v>966</v>
      </c>
      <c r="B967" s="36">
        <v>2015</v>
      </c>
      <c r="C967" s="36" t="s">
        <v>953</v>
      </c>
      <c r="D967" s="36" t="str">
        <f t="shared" si="50"/>
        <v>diesel vehicle</v>
      </c>
      <c r="E967" s="36" t="s">
        <v>951</v>
      </c>
      <c r="F967" s="36" t="s">
        <v>970</v>
      </c>
      <c r="G967" s="36" t="s">
        <v>949</v>
      </c>
      <c r="H967" s="36" t="str">
        <f t="shared" si="51"/>
        <v>道路客车</v>
      </c>
      <c r="I967" s="36" t="str">
        <f t="shared" si="52"/>
        <v>Passenger HDV</v>
      </c>
      <c r="J967" s="36">
        <v>5</v>
      </c>
    </row>
    <row r="968" spans="1:10" x14ac:dyDescent="0.15">
      <c r="A968" s="36">
        <v>967</v>
      </c>
      <c r="B968" s="36">
        <v>2015</v>
      </c>
      <c r="C968" s="36" t="s">
        <v>952</v>
      </c>
      <c r="D968" s="36" t="str">
        <f t="shared" si="50"/>
        <v>gasoline vehicle</v>
      </c>
      <c r="E968" s="36" t="s">
        <v>951</v>
      </c>
      <c r="F968" s="36" t="s">
        <v>970</v>
      </c>
      <c r="G968" s="36" t="s">
        <v>949</v>
      </c>
      <c r="H968" s="36" t="str">
        <f t="shared" si="51"/>
        <v>道路客车</v>
      </c>
      <c r="I968" s="36" t="str">
        <f t="shared" si="52"/>
        <v>Passenger HDV</v>
      </c>
      <c r="J968" s="36">
        <v>6</v>
      </c>
    </row>
    <row r="969" spans="1:10" x14ac:dyDescent="0.15">
      <c r="A969" s="36">
        <v>968</v>
      </c>
      <c r="B969" s="36">
        <v>2016</v>
      </c>
      <c r="C969" s="36" t="s">
        <v>952</v>
      </c>
      <c r="D969" s="36" t="str">
        <f t="shared" si="50"/>
        <v>gasoline vehicle</v>
      </c>
      <c r="E969" s="36" t="s">
        <v>951</v>
      </c>
      <c r="F969" s="36" t="s">
        <v>970</v>
      </c>
      <c r="G969" s="36" t="s">
        <v>949</v>
      </c>
      <c r="H969" s="36" t="str">
        <f t="shared" si="51"/>
        <v>道路客车</v>
      </c>
      <c r="I969" s="36" t="str">
        <f t="shared" si="52"/>
        <v>Passenger HDV</v>
      </c>
      <c r="J969" s="36">
        <v>6</v>
      </c>
    </row>
    <row r="970" spans="1:10" x14ac:dyDescent="0.15">
      <c r="A970" s="36">
        <v>969</v>
      </c>
      <c r="B970" s="36">
        <v>2018</v>
      </c>
      <c r="C970" s="36" t="s">
        <v>952</v>
      </c>
      <c r="D970" s="36" t="str">
        <f t="shared" si="50"/>
        <v>gasoline vehicle</v>
      </c>
      <c r="E970" s="36" t="s">
        <v>951</v>
      </c>
      <c r="F970" s="36" t="s">
        <v>970</v>
      </c>
      <c r="G970" s="36" t="s">
        <v>949</v>
      </c>
      <c r="H970" s="36" t="str">
        <f t="shared" si="51"/>
        <v>道路客车</v>
      </c>
      <c r="I970" s="36" t="str">
        <f t="shared" si="52"/>
        <v>Passenger HDV</v>
      </c>
      <c r="J970" s="36">
        <v>4</v>
      </c>
    </row>
    <row r="971" spans="1:10" x14ac:dyDescent="0.15">
      <c r="A971" s="36">
        <v>970</v>
      </c>
      <c r="B971" s="36">
        <v>2020</v>
      </c>
      <c r="C971" s="36" t="s">
        <v>952</v>
      </c>
      <c r="D971" s="36" t="str">
        <f t="shared" si="50"/>
        <v>gasoline vehicle</v>
      </c>
      <c r="E971" s="36" t="s">
        <v>951</v>
      </c>
      <c r="F971" s="36" t="s">
        <v>970</v>
      </c>
      <c r="G971" s="36" t="s">
        <v>949</v>
      </c>
      <c r="H971" s="36" t="str">
        <f t="shared" si="51"/>
        <v>道路客车</v>
      </c>
      <c r="I971" s="36" t="str">
        <f t="shared" si="52"/>
        <v>Passenger HDV</v>
      </c>
      <c r="J971" s="36">
        <v>3</v>
      </c>
    </row>
    <row r="972" spans="1:10" x14ac:dyDescent="0.15">
      <c r="A972" s="36">
        <v>971</v>
      </c>
      <c r="B972" s="36">
        <v>2021</v>
      </c>
      <c r="C972" s="36" t="s">
        <v>952</v>
      </c>
      <c r="D972" s="36" t="str">
        <f t="shared" si="50"/>
        <v>gasoline vehicle</v>
      </c>
      <c r="E972" s="36" t="s">
        <v>951</v>
      </c>
      <c r="F972" s="36" t="s">
        <v>970</v>
      </c>
      <c r="G972" s="36" t="s">
        <v>949</v>
      </c>
      <c r="H972" s="36" t="str">
        <f t="shared" si="51"/>
        <v>道路客车</v>
      </c>
      <c r="I972" s="36" t="str">
        <f t="shared" si="52"/>
        <v>Passenger HDV</v>
      </c>
      <c r="J972" s="36">
        <v>2</v>
      </c>
    </row>
    <row r="973" spans="1:10" x14ac:dyDescent="0.15">
      <c r="A973" s="36">
        <v>972</v>
      </c>
      <c r="B973" s="36">
        <v>2021</v>
      </c>
      <c r="C973" s="36" t="s">
        <v>961</v>
      </c>
      <c r="D973" s="36" t="str">
        <f t="shared" si="50"/>
        <v>plugin hybrid vehicle</v>
      </c>
      <c r="E973" s="36" t="s">
        <v>963</v>
      </c>
      <c r="F973" s="36" t="s">
        <v>964</v>
      </c>
      <c r="G973" s="36" t="s">
        <v>949</v>
      </c>
      <c r="H973" s="36" t="str">
        <f t="shared" si="51"/>
        <v>乘用车</v>
      </c>
      <c r="I973" s="36" t="str">
        <f t="shared" si="52"/>
        <v>Unknown</v>
      </c>
      <c r="J973" s="36">
        <v>6002</v>
      </c>
    </row>
    <row r="974" spans="1:10" x14ac:dyDescent="0.15">
      <c r="A974" s="36">
        <v>973</v>
      </c>
      <c r="B974" s="36">
        <v>2021</v>
      </c>
      <c r="C974" s="36" t="s">
        <v>953</v>
      </c>
      <c r="D974" s="36" t="str">
        <f t="shared" si="50"/>
        <v>diesel vehicle</v>
      </c>
      <c r="E974" s="36" t="s">
        <v>963</v>
      </c>
      <c r="F974" s="36" t="s">
        <v>964</v>
      </c>
      <c r="G974" s="36" t="s">
        <v>949</v>
      </c>
      <c r="H974" s="36" t="str">
        <f t="shared" si="51"/>
        <v>乘用车</v>
      </c>
      <c r="I974" s="36" t="str">
        <f t="shared" si="52"/>
        <v>Unknown</v>
      </c>
      <c r="J974" s="36">
        <v>71</v>
      </c>
    </row>
    <row r="975" spans="1:10" x14ac:dyDescent="0.15">
      <c r="A975" s="36">
        <v>974</v>
      </c>
      <c r="B975" s="36">
        <v>2021</v>
      </c>
      <c r="C975" s="36" t="s">
        <v>958</v>
      </c>
      <c r="D975" s="36" t="str">
        <f t="shared" si="50"/>
        <v>battery electric vehicle</v>
      </c>
      <c r="E975" s="36" t="s">
        <v>963</v>
      </c>
      <c r="F975" s="36" t="s">
        <v>964</v>
      </c>
      <c r="G975" s="36" t="s">
        <v>949</v>
      </c>
      <c r="H975" s="36" t="str">
        <f t="shared" si="51"/>
        <v>乘用车</v>
      </c>
      <c r="I975" s="36" t="str">
        <f t="shared" si="52"/>
        <v>Unknown</v>
      </c>
      <c r="J975" s="36">
        <v>2796</v>
      </c>
    </row>
    <row r="976" spans="1:10" x14ac:dyDescent="0.15">
      <c r="A976" s="36">
        <v>975</v>
      </c>
      <c r="B976" s="36">
        <v>2021</v>
      </c>
      <c r="C976" s="36" t="s">
        <v>957</v>
      </c>
      <c r="D976" s="36" t="str">
        <f t="shared" si="50"/>
        <v>hybrid fuel vehicle</v>
      </c>
      <c r="E976" s="36" t="s">
        <v>963</v>
      </c>
      <c r="F976" s="36" t="s">
        <v>964</v>
      </c>
      <c r="G976" s="36" t="s">
        <v>949</v>
      </c>
      <c r="H976" s="36" t="str">
        <f t="shared" si="51"/>
        <v>乘用车</v>
      </c>
      <c r="I976" s="36" t="str">
        <f t="shared" si="52"/>
        <v>Unknown</v>
      </c>
      <c r="J976" s="36">
        <v>22970</v>
      </c>
    </row>
    <row r="977" spans="1:10" x14ac:dyDescent="0.15">
      <c r="A977" s="36">
        <v>976</v>
      </c>
      <c r="B977" s="36">
        <v>2021</v>
      </c>
      <c r="C977" s="36" t="s">
        <v>952</v>
      </c>
      <c r="D977" s="36" t="str">
        <f t="shared" si="50"/>
        <v>gasoline vehicle</v>
      </c>
      <c r="E977" s="36" t="s">
        <v>963</v>
      </c>
      <c r="F977" s="36" t="s">
        <v>964</v>
      </c>
      <c r="G977" s="36" t="s">
        <v>949</v>
      </c>
      <c r="H977" s="36" t="str">
        <f t="shared" si="51"/>
        <v>乘用车</v>
      </c>
      <c r="I977" s="36" t="str">
        <f t="shared" si="52"/>
        <v>Unknown</v>
      </c>
      <c r="J977" s="36">
        <v>166821</v>
      </c>
    </row>
    <row r="978" spans="1:10" x14ac:dyDescent="0.15">
      <c r="A978" s="36">
        <v>977</v>
      </c>
      <c r="B978" s="36">
        <v>2015</v>
      </c>
      <c r="C978" s="36" t="s">
        <v>952</v>
      </c>
      <c r="D978" s="36" t="str">
        <f t="shared" si="50"/>
        <v>gasoline vehicle</v>
      </c>
      <c r="E978" s="36" t="s">
        <v>969</v>
      </c>
      <c r="F978" s="36" t="s">
        <v>964</v>
      </c>
      <c r="G978" s="36" t="s">
        <v>949</v>
      </c>
      <c r="H978" s="36" t="str">
        <f t="shared" si="51"/>
        <v>道路客车</v>
      </c>
      <c r="I978" s="36" t="str">
        <f t="shared" si="52"/>
        <v>Passenger HDV</v>
      </c>
      <c r="J978" s="36">
        <v>6</v>
      </c>
    </row>
    <row r="979" spans="1:10" x14ac:dyDescent="0.15">
      <c r="A979" s="36">
        <v>978</v>
      </c>
      <c r="B979" s="36">
        <v>2016</v>
      </c>
      <c r="C979" s="36" t="s">
        <v>952</v>
      </c>
      <c r="D979" s="36" t="str">
        <f t="shared" si="50"/>
        <v>gasoline vehicle</v>
      </c>
      <c r="E979" s="36" t="s">
        <v>969</v>
      </c>
      <c r="F979" s="36" t="s">
        <v>964</v>
      </c>
      <c r="G979" s="36" t="s">
        <v>949</v>
      </c>
      <c r="H979" s="36" t="str">
        <f t="shared" si="51"/>
        <v>道路客车</v>
      </c>
      <c r="I979" s="36" t="str">
        <f t="shared" si="52"/>
        <v>Passenger HDV</v>
      </c>
      <c r="J979" s="36">
        <v>1</v>
      </c>
    </row>
    <row r="980" spans="1:10" x14ac:dyDescent="0.15">
      <c r="A980" s="36">
        <v>979</v>
      </c>
      <c r="B980" s="36">
        <v>2017</v>
      </c>
      <c r="C980" s="36" t="s">
        <v>952</v>
      </c>
      <c r="D980" s="36" t="str">
        <f t="shared" si="50"/>
        <v>gasoline vehicle</v>
      </c>
      <c r="E980" s="36" t="s">
        <v>969</v>
      </c>
      <c r="F980" s="36" t="s">
        <v>964</v>
      </c>
      <c r="G980" s="36" t="s">
        <v>949</v>
      </c>
      <c r="H980" s="36" t="str">
        <f t="shared" si="51"/>
        <v>道路客车</v>
      </c>
      <c r="I980" s="36" t="str">
        <f t="shared" si="52"/>
        <v>Passenger HDV</v>
      </c>
      <c r="J980" s="36">
        <v>2</v>
      </c>
    </row>
    <row r="981" spans="1:10" x14ac:dyDescent="0.15">
      <c r="A981" s="36">
        <v>980</v>
      </c>
      <c r="B981" s="36">
        <v>2015</v>
      </c>
      <c r="C981" s="36" t="s">
        <v>958</v>
      </c>
      <c r="D981" s="36" t="str">
        <f t="shared" si="50"/>
        <v>battery electric vehicle</v>
      </c>
      <c r="E981" s="36" t="s">
        <v>959</v>
      </c>
      <c r="F981" s="36" t="s">
        <v>964</v>
      </c>
      <c r="G981" s="36" t="s">
        <v>949</v>
      </c>
      <c r="H981" s="36" t="str">
        <f t="shared" si="51"/>
        <v>乘用车</v>
      </c>
      <c r="I981" s="36" t="str">
        <f t="shared" si="52"/>
        <v>Passenger LDV</v>
      </c>
      <c r="J981" s="36">
        <v>50596</v>
      </c>
    </row>
    <row r="982" spans="1:10" x14ac:dyDescent="0.15">
      <c r="A982" s="36">
        <v>981</v>
      </c>
      <c r="B982" s="36">
        <v>2016</v>
      </c>
      <c r="C982" s="36" t="s">
        <v>958</v>
      </c>
      <c r="D982" s="36" t="str">
        <f t="shared" si="50"/>
        <v>battery electric vehicle</v>
      </c>
      <c r="E982" s="36" t="s">
        <v>959</v>
      </c>
      <c r="F982" s="36" t="s">
        <v>964</v>
      </c>
      <c r="G982" s="36" t="s">
        <v>949</v>
      </c>
      <c r="H982" s="36" t="str">
        <f t="shared" si="51"/>
        <v>乘用车</v>
      </c>
      <c r="I982" s="36" t="str">
        <f t="shared" si="52"/>
        <v>Passenger LDV</v>
      </c>
      <c r="J982" s="36">
        <v>49734</v>
      </c>
    </row>
    <row r="983" spans="1:10" x14ac:dyDescent="0.15">
      <c r="A983" s="36">
        <v>982</v>
      </c>
      <c r="B983" s="36">
        <v>2017</v>
      </c>
      <c r="C983" s="36" t="s">
        <v>958</v>
      </c>
      <c r="D983" s="36" t="str">
        <f t="shared" si="50"/>
        <v>battery electric vehicle</v>
      </c>
      <c r="E983" s="36" t="s">
        <v>959</v>
      </c>
      <c r="F983" s="36" t="s">
        <v>964</v>
      </c>
      <c r="G983" s="36" t="s">
        <v>949</v>
      </c>
      <c r="H983" s="36" t="str">
        <f t="shared" si="51"/>
        <v>乘用车</v>
      </c>
      <c r="I983" s="36" t="str">
        <f t="shared" si="52"/>
        <v>Passenger LDV</v>
      </c>
      <c r="J983" s="36">
        <v>116463</v>
      </c>
    </row>
    <row r="984" spans="1:10" x14ac:dyDescent="0.15">
      <c r="A984" s="36">
        <v>983</v>
      </c>
      <c r="B984" s="36">
        <v>2018</v>
      </c>
      <c r="C984" s="36" t="s">
        <v>958</v>
      </c>
      <c r="D984" s="36" t="str">
        <f t="shared" si="50"/>
        <v>battery electric vehicle</v>
      </c>
      <c r="E984" s="36" t="s">
        <v>959</v>
      </c>
      <c r="F984" s="36" t="s">
        <v>964</v>
      </c>
      <c r="G984" s="36" t="s">
        <v>949</v>
      </c>
      <c r="H984" s="36" t="str">
        <f t="shared" si="51"/>
        <v>乘用车</v>
      </c>
      <c r="I984" s="36" t="str">
        <f t="shared" si="52"/>
        <v>Passenger LDV</v>
      </c>
      <c r="J984" s="36">
        <v>112892</v>
      </c>
    </row>
    <row r="985" spans="1:10" x14ac:dyDescent="0.15">
      <c r="A985" s="36">
        <v>984</v>
      </c>
      <c r="B985" s="36">
        <v>2019</v>
      </c>
      <c r="C985" s="36" t="s">
        <v>958</v>
      </c>
      <c r="D985" s="36" t="str">
        <f t="shared" si="50"/>
        <v>battery electric vehicle</v>
      </c>
      <c r="E985" s="36" t="s">
        <v>959</v>
      </c>
      <c r="F985" s="36" t="s">
        <v>964</v>
      </c>
      <c r="G985" s="36" t="s">
        <v>949</v>
      </c>
      <c r="H985" s="36" t="str">
        <f t="shared" si="51"/>
        <v>乘用车</v>
      </c>
      <c r="I985" s="36" t="str">
        <f t="shared" si="52"/>
        <v>Passenger LDV</v>
      </c>
      <c r="J985" s="36">
        <v>105491</v>
      </c>
    </row>
    <row r="986" spans="1:10" x14ac:dyDescent="0.15">
      <c r="A986" s="36">
        <v>985</v>
      </c>
      <c r="B986" s="36">
        <v>2020</v>
      </c>
      <c r="C986" s="36" t="s">
        <v>958</v>
      </c>
      <c r="D986" s="36" t="str">
        <f t="shared" si="50"/>
        <v>battery electric vehicle</v>
      </c>
      <c r="E986" s="36" t="s">
        <v>959</v>
      </c>
      <c r="F986" s="36" t="s">
        <v>964</v>
      </c>
      <c r="G986" s="36" t="s">
        <v>949</v>
      </c>
      <c r="H986" s="36" t="str">
        <f t="shared" si="51"/>
        <v>乘用车</v>
      </c>
      <c r="I986" s="36" t="str">
        <f t="shared" si="52"/>
        <v>Passenger LDV</v>
      </c>
      <c r="J986" s="36">
        <v>259055</v>
      </c>
    </row>
    <row r="987" spans="1:10" x14ac:dyDescent="0.15">
      <c r="A987" s="36">
        <v>986</v>
      </c>
      <c r="B987" s="36">
        <v>2021</v>
      </c>
      <c r="C987" s="36" t="s">
        <v>958</v>
      </c>
      <c r="D987" s="36" t="str">
        <f t="shared" si="50"/>
        <v>battery electric vehicle</v>
      </c>
      <c r="E987" s="36" t="s">
        <v>959</v>
      </c>
      <c r="F987" s="36" t="s">
        <v>964</v>
      </c>
      <c r="G987" s="36" t="s">
        <v>949</v>
      </c>
      <c r="H987" s="36" t="str">
        <f t="shared" si="51"/>
        <v>乘用车</v>
      </c>
      <c r="I987" s="36" t="str">
        <f t="shared" si="52"/>
        <v>Passenger LDV</v>
      </c>
      <c r="J987" s="36">
        <v>630061</v>
      </c>
    </row>
    <row r="988" spans="1:10" x14ac:dyDescent="0.15">
      <c r="A988" s="36">
        <v>987</v>
      </c>
      <c r="B988" s="36">
        <v>2016</v>
      </c>
      <c r="C988" s="36" t="s">
        <v>957</v>
      </c>
      <c r="D988" s="36" t="str">
        <f t="shared" si="50"/>
        <v>hybrid fuel vehicle</v>
      </c>
      <c r="E988" s="36" t="s">
        <v>959</v>
      </c>
      <c r="F988" s="36" t="s">
        <v>964</v>
      </c>
      <c r="G988" s="36" t="s">
        <v>949</v>
      </c>
      <c r="H988" s="36" t="str">
        <f t="shared" si="51"/>
        <v>乘用车</v>
      </c>
      <c r="I988" s="36" t="str">
        <f t="shared" si="52"/>
        <v>Passenger LDV</v>
      </c>
      <c r="J988" s="36">
        <v>1</v>
      </c>
    </row>
    <row r="989" spans="1:10" x14ac:dyDescent="0.15">
      <c r="A989" s="36">
        <v>988</v>
      </c>
      <c r="B989" s="36">
        <v>2017</v>
      </c>
      <c r="C989" s="36" t="s">
        <v>957</v>
      </c>
      <c r="D989" s="36" t="str">
        <f t="shared" si="50"/>
        <v>hybrid fuel vehicle</v>
      </c>
      <c r="E989" s="36" t="s">
        <v>959</v>
      </c>
      <c r="F989" s="36" t="s">
        <v>964</v>
      </c>
      <c r="G989" s="36" t="s">
        <v>949</v>
      </c>
      <c r="H989" s="36" t="str">
        <f t="shared" si="51"/>
        <v>乘用车</v>
      </c>
      <c r="I989" s="36" t="str">
        <f t="shared" si="52"/>
        <v>Passenger LDV</v>
      </c>
      <c r="J989" s="36">
        <v>30</v>
      </c>
    </row>
    <row r="990" spans="1:10" x14ac:dyDescent="0.15">
      <c r="A990" s="36">
        <v>989</v>
      </c>
      <c r="B990" s="36">
        <v>2015</v>
      </c>
      <c r="C990" s="36" t="s">
        <v>952</v>
      </c>
      <c r="D990" s="36" t="str">
        <f t="shared" si="50"/>
        <v>gasoline vehicle</v>
      </c>
      <c r="E990" s="36" t="s">
        <v>959</v>
      </c>
      <c r="F990" s="36" t="s">
        <v>964</v>
      </c>
      <c r="G990" s="36" t="s">
        <v>949</v>
      </c>
      <c r="H990" s="36" t="str">
        <f t="shared" si="51"/>
        <v>乘用车</v>
      </c>
      <c r="I990" s="36" t="str">
        <f t="shared" si="52"/>
        <v>Passenger LDV</v>
      </c>
      <c r="J990" s="36">
        <v>37507</v>
      </c>
    </row>
    <row r="991" spans="1:10" x14ac:dyDescent="0.15">
      <c r="A991" s="36">
        <v>990</v>
      </c>
      <c r="B991" s="36">
        <v>2016</v>
      </c>
      <c r="C991" s="36" t="s">
        <v>952</v>
      </c>
      <c r="D991" s="36" t="str">
        <f t="shared" si="50"/>
        <v>gasoline vehicle</v>
      </c>
      <c r="E991" s="36" t="s">
        <v>959</v>
      </c>
      <c r="F991" s="36" t="s">
        <v>964</v>
      </c>
      <c r="G991" s="36" t="s">
        <v>949</v>
      </c>
      <c r="H991" s="36" t="str">
        <f t="shared" si="51"/>
        <v>乘用车</v>
      </c>
      <c r="I991" s="36" t="str">
        <f t="shared" si="52"/>
        <v>Passenger LDV</v>
      </c>
      <c r="J991" s="36">
        <v>19445</v>
      </c>
    </row>
    <row r="992" spans="1:10" x14ac:dyDescent="0.15">
      <c r="A992" s="36">
        <v>991</v>
      </c>
      <c r="B992" s="36">
        <v>2017</v>
      </c>
      <c r="C992" s="36" t="s">
        <v>952</v>
      </c>
      <c r="D992" s="36" t="str">
        <f t="shared" si="50"/>
        <v>gasoline vehicle</v>
      </c>
      <c r="E992" s="36" t="s">
        <v>959</v>
      </c>
      <c r="F992" s="36" t="s">
        <v>964</v>
      </c>
      <c r="G992" s="36" t="s">
        <v>949</v>
      </c>
      <c r="H992" s="36" t="str">
        <f t="shared" si="51"/>
        <v>乘用车</v>
      </c>
      <c r="I992" s="36" t="str">
        <f t="shared" si="52"/>
        <v>Passenger LDV</v>
      </c>
      <c r="J992" s="36">
        <v>9975</v>
      </c>
    </row>
    <row r="993" spans="1:10" x14ac:dyDescent="0.15">
      <c r="A993" s="36">
        <v>992</v>
      </c>
      <c r="B993" s="36">
        <v>2018</v>
      </c>
      <c r="C993" s="36" t="s">
        <v>952</v>
      </c>
      <c r="D993" s="36" t="str">
        <f t="shared" si="50"/>
        <v>gasoline vehicle</v>
      </c>
      <c r="E993" s="36" t="s">
        <v>959</v>
      </c>
      <c r="F993" s="36" t="s">
        <v>964</v>
      </c>
      <c r="G993" s="36" t="s">
        <v>949</v>
      </c>
      <c r="H993" s="36" t="str">
        <f t="shared" si="51"/>
        <v>乘用车</v>
      </c>
      <c r="I993" s="36" t="str">
        <f t="shared" si="52"/>
        <v>Passenger LDV</v>
      </c>
      <c r="J993" s="36">
        <v>4731</v>
      </c>
    </row>
    <row r="994" spans="1:10" x14ac:dyDescent="0.15">
      <c r="A994" s="36">
        <v>993</v>
      </c>
      <c r="B994" s="36">
        <v>2019</v>
      </c>
      <c r="C994" s="36" t="s">
        <v>952</v>
      </c>
      <c r="D994" s="36" t="str">
        <f t="shared" si="50"/>
        <v>gasoline vehicle</v>
      </c>
      <c r="E994" s="36" t="s">
        <v>959</v>
      </c>
      <c r="F994" s="36" t="s">
        <v>964</v>
      </c>
      <c r="G994" s="36" t="s">
        <v>949</v>
      </c>
      <c r="H994" s="36" t="str">
        <f t="shared" si="51"/>
        <v>乘用车</v>
      </c>
      <c r="I994" s="36" t="str">
        <f t="shared" si="52"/>
        <v>Passenger LDV</v>
      </c>
      <c r="J994" s="36">
        <v>350</v>
      </c>
    </row>
    <row r="995" spans="1:10" x14ac:dyDescent="0.15">
      <c r="A995" s="36">
        <v>994</v>
      </c>
      <c r="B995" s="36">
        <v>2020</v>
      </c>
      <c r="C995" s="36" t="s">
        <v>952</v>
      </c>
      <c r="D995" s="36" t="str">
        <f t="shared" si="50"/>
        <v>gasoline vehicle</v>
      </c>
      <c r="E995" s="36" t="s">
        <v>959</v>
      </c>
      <c r="F995" s="36" t="s">
        <v>964</v>
      </c>
      <c r="G995" s="36" t="s">
        <v>949</v>
      </c>
      <c r="H995" s="36" t="str">
        <f t="shared" si="51"/>
        <v>乘用车</v>
      </c>
      <c r="I995" s="36" t="str">
        <f t="shared" si="52"/>
        <v>Passenger LDV</v>
      </c>
      <c r="J995" s="36">
        <v>19</v>
      </c>
    </row>
    <row r="996" spans="1:10" x14ac:dyDescent="0.15">
      <c r="A996" s="36">
        <v>995</v>
      </c>
      <c r="B996" s="36">
        <v>2021</v>
      </c>
      <c r="C996" s="36" t="s">
        <v>952</v>
      </c>
      <c r="D996" s="36" t="str">
        <f t="shared" si="50"/>
        <v>gasoline vehicle</v>
      </c>
      <c r="E996" s="36" t="s">
        <v>959</v>
      </c>
      <c r="F996" s="36" t="s">
        <v>964</v>
      </c>
      <c r="G996" s="36" t="s">
        <v>949</v>
      </c>
      <c r="H996" s="36" t="str">
        <f t="shared" si="51"/>
        <v>乘用车</v>
      </c>
      <c r="I996" s="36" t="str">
        <f t="shared" si="52"/>
        <v>Passenger LDV</v>
      </c>
      <c r="J996" s="36">
        <v>10</v>
      </c>
    </row>
    <row r="997" spans="1:10" x14ac:dyDescent="0.15">
      <c r="A997" s="36">
        <v>996</v>
      </c>
      <c r="B997" s="36">
        <v>2015</v>
      </c>
      <c r="C997" s="36" t="s">
        <v>961</v>
      </c>
      <c r="D997" s="36" t="str">
        <f t="shared" si="50"/>
        <v>plugin hybrid vehicle</v>
      </c>
      <c r="E997" s="36" t="s">
        <v>954</v>
      </c>
      <c r="F997" s="36" t="s">
        <v>964</v>
      </c>
      <c r="G997" s="36" t="s">
        <v>949</v>
      </c>
      <c r="H997" s="36" t="str">
        <f t="shared" si="51"/>
        <v>乘用车</v>
      </c>
      <c r="I997" s="36" t="str">
        <f t="shared" si="52"/>
        <v>Passenger LDV</v>
      </c>
      <c r="J997" s="36">
        <v>10033</v>
      </c>
    </row>
    <row r="998" spans="1:10" x14ac:dyDescent="0.15">
      <c r="A998" s="36">
        <v>997</v>
      </c>
      <c r="B998" s="36">
        <v>2016</v>
      </c>
      <c r="C998" s="36" t="s">
        <v>961</v>
      </c>
      <c r="D998" s="36" t="str">
        <f t="shared" si="50"/>
        <v>plugin hybrid vehicle</v>
      </c>
      <c r="E998" s="36" t="s">
        <v>954</v>
      </c>
      <c r="F998" s="36" t="s">
        <v>964</v>
      </c>
      <c r="G998" s="36" t="s">
        <v>949</v>
      </c>
      <c r="H998" s="36" t="str">
        <f t="shared" si="51"/>
        <v>乘用车</v>
      </c>
      <c r="I998" s="36" t="str">
        <f t="shared" si="52"/>
        <v>Passenger LDV</v>
      </c>
      <c r="J998" s="36">
        <v>21920</v>
      </c>
    </row>
    <row r="999" spans="1:10" x14ac:dyDescent="0.15">
      <c r="A999" s="36">
        <v>998</v>
      </c>
      <c r="B999" s="36">
        <v>2017</v>
      </c>
      <c r="C999" s="36" t="s">
        <v>961</v>
      </c>
      <c r="D999" s="36" t="str">
        <f t="shared" si="50"/>
        <v>plugin hybrid vehicle</v>
      </c>
      <c r="E999" s="36" t="s">
        <v>954</v>
      </c>
      <c r="F999" s="36" t="s">
        <v>964</v>
      </c>
      <c r="G999" s="36" t="s">
        <v>949</v>
      </c>
      <c r="H999" s="36" t="str">
        <f t="shared" si="51"/>
        <v>乘用车</v>
      </c>
      <c r="I999" s="36" t="str">
        <f t="shared" si="52"/>
        <v>Passenger LDV</v>
      </c>
      <c r="J999" s="36">
        <v>54561</v>
      </c>
    </row>
    <row r="1000" spans="1:10" x14ac:dyDescent="0.15">
      <c r="A1000" s="36">
        <v>999</v>
      </c>
      <c r="B1000" s="36">
        <v>2018</v>
      </c>
      <c r="C1000" s="36" t="s">
        <v>961</v>
      </c>
      <c r="D1000" s="36" t="str">
        <f t="shared" si="50"/>
        <v>plugin hybrid vehicle</v>
      </c>
      <c r="E1000" s="36" t="s">
        <v>954</v>
      </c>
      <c r="F1000" s="36" t="s">
        <v>964</v>
      </c>
      <c r="G1000" s="36" t="s">
        <v>949</v>
      </c>
      <c r="H1000" s="36" t="str">
        <f t="shared" si="51"/>
        <v>乘用车</v>
      </c>
      <c r="I1000" s="36" t="str">
        <f t="shared" si="52"/>
        <v>Passenger LDV</v>
      </c>
      <c r="J1000" s="36">
        <v>177496</v>
      </c>
    </row>
    <row r="1001" spans="1:10" x14ac:dyDescent="0.15">
      <c r="A1001" s="36">
        <v>1000</v>
      </c>
      <c r="B1001" s="36">
        <v>2019</v>
      </c>
      <c r="C1001" s="36" t="s">
        <v>961</v>
      </c>
      <c r="D1001" s="36" t="str">
        <f t="shared" si="50"/>
        <v>plugin hybrid vehicle</v>
      </c>
      <c r="E1001" s="36" t="s">
        <v>954</v>
      </c>
      <c r="F1001" s="36" t="s">
        <v>964</v>
      </c>
      <c r="G1001" s="36" t="s">
        <v>949</v>
      </c>
      <c r="H1001" s="36" t="str">
        <f t="shared" si="51"/>
        <v>乘用车</v>
      </c>
      <c r="I1001" s="36" t="str">
        <f t="shared" si="52"/>
        <v>Passenger LDV</v>
      </c>
      <c r="J1001" s="36">
        <v>183559</v>
      </c>
    </row>
    <row r="1002" spans="1:10" x14ac:dyDescent="0.15">
      <c r="A1002" s="36">
        <v>1001</v>
      </c>
      <c r="B1002" s="36">
        <v>2020</v>
      </c>
      <c r="C1002" s="36" t="s">
        <v>961</v>
      </c>
      <c r="D1002" s="36" t="str">
        <f t="shared" si="50"/>
        <v>plugin hybrid vehicle</v>
      </c>
      <c r="E1002" s="36" t="s">
        <v>954</v>
      </c>
      <c r="F1002" s="36" t="s">
        <v>964</v>
      </c>
      <c r="G1002" s="36" t="s">
        <v>949</v>
      </c>
      <c r="H1002" s="36" t="str">
        <f t="shared" si="51"/>
        <v>乘用车</v>
      </c>
      <c r="I1002" s="36" t="str">
        <f t="shared" si="52"/>
        <v>Passenger LDV</v>
      </c>
      <c r="J1002" s="36">
        <v>195072</v>
      </c>
    </row>
    <row r="1003" spans="1:10" x14ac:dyDescent="0.15">
      <c r="A1003" s="36">
        <v>1002</v>
      </c>
      <c r="B1003" s="36">
        <v>2021</v>
      </c>
      <c r="C1003" s="36" t="s">
        <v>961</v>
      </c>
      <c r="D1003" s="36" t="str">
        <f t="shared" si="50"/>
        <v>plugin hybrid vehicle</v>
      </c>
      <c r="E1003" s="36" t="s">
        <v>954</v>
      </c>
      <c r="F1003" s="36" t="s">
        <v>964</v>
      </c>
      <c r="G1003" s="36" t="s">
        <v>949</v>
      </c>
      <c r="H1003" s="36" t="str">
        <f t="shared" si="51"/>
        <v>乘用车</v>
      </c>
      <c r="I1003" s="36" t="str">
        <f t="shared" si="52"/>
        <v>Passenger LDV</v>
      </c>
      <c r="J1003" s="36">
        <v>402729</v>
      </c>
    </row>
    <row r="1004" spans="1:10" x14ac:dyDescent="0.15">
      <c r="A1004" s="36">
        <v>1003</v>
      </c>
      <c r="B1004" s="36">
        <v>2015</v>
      </c>
      <c r="C1004" s="36" t="s">
        <v>953</v>
      </c>
      <c r="D1004" s="36" t="str">
        <f t="shared" si="50"/>
        <v>diesel vehicle</v>
      </c>
      <c r="E1004" s="36" t="s">
        <v>954</v>
      </c>
      <c r="F1004" s="36" t="s">
        <v>964</v>
      </c>
      <c r="G1004" s="36" t="s">
        <v>949</v>
      </c>
      <c r="H1004" s="36" t="str">
        <f t="shared" si="51"/>
        <v>乘用车</v>
      </c>
      <c r="I1004" s="36" t="str">
        <f t="shared" si="52"/>
        <v>Passenger LDV</v>
      </c>
      <c r="J1004" s="36">
        <v>89397</v>
      </c>
    </row>
    <row r="1005" spans="1:10" x14ac:dyDescent="0.15">
      <c r="A1005" s="36">
        <v>1004</v>
      </c>
      <c r="B1005" s="36">
        <v>2016</v>
      </c>
      <c r="C1005" s="36" t="s">
        <v>953</v>
      </c>
      <c r="D1005" s="36" t="str">
        <f t="shared" si="50"/>
        <v>diesel vehicle</v>
      </c>
      <c r="E1005" s="36" t="s">
        <v>954</v>
      </c>
      <c r="F1005" s="36" t="s">
        <v>964</v>
      </c>
      <c r="G1005" s="36" t="s">
        <v>949</v>
      </c>
      <c r="H1005" s="36" t="str">
        <f t="shared" si="51"/>
        <v>乘用车</v>
      </c>
      <c r="I1005" s="36" t="str">
        <f t="shared" si="52"/>
        <v>Passenger LDV</v>
      </c>
      <c r="J1005" s="36">
        <v>44086</v>
      </c>
    </row>
    <row r="1006" spans="1:10" x14ac:dyDescent="0.15">
      <c r="A1006" s="36">
        <v>1005</v>
      </c>
      <c r="B1006" s="36">
        <v>2017</v>
      </c>
      <c r="C1006" s="36" t="s">
        <v>953</v>
      </c>
      <c r="D1006" s="36" t="str">
        <f t="shared" si="50"/>
        <v>diesel vehicle</v>
      </c>
      <c r="E1006" s="36" t="s">
        <v>954</v>
      </c>
      <c r="F1006" s="36" t="s">
        <v>964</v>
      </c>
      <c r="G1006" s="36" t="s">
        <v>949</v>
      </c>
      <c r="H1006" s="36" t="str">
        <f t="shared" si="51"/>
        <v>乘用车</v>
      </c>
      <c r="I1006" s="36" t="str">
        <f t="shared" si="52"/>
        <v>Passenger LDV</v>
      </c>
      <c r="J1006" s="36">
        <v>46863</v>
      </c>
    </row>
    <row r="1007" spans="1:10" x14ac:dyDescent="0.15">
      <c r="A1007" s="36">
        <v>1006</v>
      </c>
      <c r="B1007" s="36">
        <v>2018</v>
      </c>
      <c r="C1007" s="36" t="s">
        <v>953</v>
      </c>
      <c r="D1007" s="36" t="str">
        <f t="shared" si="50"/>
        <v>diesel vehicle</v>
      </c>
      <c r="E1007" s="36" t="s">
        <v>954</v>
      </c>
      <c r="F1007" s="36" t="s">
        <v>964</v>
      </c>
      <c r="G1007" s="36" t="s">
        <v>949</v>
      </c>
      <c r="H1007" s="36" t="str">
        <f t="shared" si="51"/>
        <v>乘用车</v>
      </c>
      <c r="I1007" s="36" t="str">
        <f t="shared" si="52"/>
        <v>Passenger LDV</v>
      </c>
      <c r="J1007" s="36">
        <v>59338</v>
      </c>
    </row>
    <row r="1008" spans="1:10" x14ac:dyDescent="0.15">
      <c r="A1008" s="36">
        <v>1007</v>
      </c>
      <c r="B1008" s="36">
        <v>2019</v>
      </c>
      <c r="C1008" s="36" t="s">
        <v>953</v>
      </c>
      <c r="D1008" s="36" t="str">
        <f t="shared" si="50"/>
        <v>diesel vehicle</v>
      </c>
      <c r="E1008" s="36" t="s">
        <v>954</v>
      </c>
      <c r="F1008" s="36" t="s">
        <v>964</v>
      </c>
      <c r="G1008" s="36" t="s">
        <v>949</v>
      </c>
      <c r="H1008" s="36" t="str">
        <f t="shared" si="51"/>
        <v>乘用车</v>
      </c>
      <c r="I1008" s="36" t="str">
        <f t="shared" si="52"/>
        <v>Passenger LDV</v>
      </c>
      <c r="J1008" s="36">
        <v>31156</v>
      </c>
    </row>
    <row r="1009" spans="1:10" x14ac:dyDescent="0.15">
      <c r="A1009" s="36">
        <v>1008</v>
      </c>
      <c r="B1009" s="36">
        <v>2020</v>
      </c>
      <c r="C1009" s="36" t="s">
        <v>953</v>
      </c>
      <c r="D1009" s="36" t="str">
        <f t="shared" si="50"/>
        <v>diesel vehicle</v>
      </c>
      <c r="E1009" s="36" t="s">
        <v>954</v>
      </c>
      <c r="F1009" s="36" t="s">
        <v>964</v>
      </c>
      <c r="G1009" s="36" t="s">
        <v>949</v>
      </c>
      <c r="H1009" s="36" t="str">
        <f t="shared" si="51"/>
        <v>乘用车</v>
      </c>
      <c r="I1009" s="36" t="str">
        <f t="shared" si="52"/>
        <v>Passenger LDV</v>
      </c>
      <c r="J1009" s="36">
        <v>12596</v>
      </c>
    </row>
    <row r="1010" spans="1:10" x14ac:dyDescent="0.15">
      <c r="A1010" s="36">
        <v>1009</v>
      </c>
      <c r="B1010" s="36">
        <v>2021</v>
      </c>
      <c r="C1010" s="36" t="s">
        <v>953</v>
      </c>
      <c r="D1010" s="36" t="str">
        <f t="shared" si="50"/>
        <v>diesel vehicle</v>
      </c>
      <c r="E1010" s="36" t="s">
        <v>954</v>
      </c>
      <c r="F1010" s="36" t="s">
        <v>964</v>
      </c>
      <c r="G1010" s="36" t="s">
        <v>949</v>
      </c>
      <c r="H1010" s="36" t="str">
        <f t="shared" si="51"/>
        <v>乘用车</v>
      </c>
      <c r="I1010" s="36" t="str">
        <f t="shared" si="52"/>
        <v>Passenger LDV</v>
      </c>
      <c r="J1010" s="36">
        <v>13608</v>
      </c>
    </row>
    <row r="1011" spans="1:10" x14ac:dyDescent="0.15">
      <c r="A1011" s="36">
        <v>1010</v>
      </c>
      <c r="B1011" s="36">
        <v>2015</v>
      </c>
      <c r="C1011" s="36" t="s">
        <v>958</v>
      </c>
      <c r="D1011" s="36" t="str">
        <f t="shared" si="50"/>
        <v>battery electric vehicle</v>
      </c>
      <c r="E1011" s="36" t="s">
        <v>954</v>
      </c>
      <c r="F1011" s="36" t="s">
        <v>964</v>
      </c>
      <c r="G1011" s="36" t="s">
        <v>949</v>
      </c>
      <c r="H1011" s="36" t="str">
        <f t="shared" si="51"/>
        <v>乘用车</v>
      </c>
      <c r="I1011" s="36" t="str">
        <f t="shared" si="52"/>
        <v>Passenger LDV</v>
      </c>
      <c r="J1011" s="36">
        <v>65615</v>
      </c>
    </row>
    <row r="1012" spans="1:10" x14ac:dyDescent="0.15">
      <c r="A1012" s="36">
        <v>1011</v>
      </c>
      <c r="B1012" s="36">
        <v>2016</v>
      </c>
      <c r="C1012" s="36" t="s">
        <v>958</v>
      </c>
      <c r="D1012" s="36" t="str">
        <f t="shared" si="50"/>
        <v>battery electric vehicle</v>
      </c>
      <c r="E1012" s="36" t="s">
        <v>954</v>
      </c>
      <c r="F1012" s="36" t="s">
        <v>964</v>
      </c>
      <c r="G1012" s="36" t="s">
        <v>949</v>
      </c>
      <c r="H1012" s="36" t="str">
        <f t="shared" si="51"/>
        <v>乘用车</v>
      </c>
      <c r="I1012" s="36" t="str">
        <f t="shared" si="52"/>
        <v>Passenger LDV</v>
      </c>
      <c r="J1012" s="36">
        <v>161933</v>
      </c>
    </row>
    <row r="1013" spans="1:10" x14ac:dyDescent="0.15">
      <c r="A1013" s="36">
        <v>1012</v>
      </c>
      <c r="B1013" s="36">
        <v>2017</v>
      </c>
      <c r="C1013" s="36" t="s">
        <v>958</v>
      </c>
      <c r="D1013" s="36" t="str">
        <f t="shared" si="50"/>
        <v>battery electric vehicle</v>
      </c>
      <c r="E1013" s="36" t="s">
        <v>954</v>
      </c>
      <c r="F1013" s="36" t="s">
        <v>964</v>
      </c>
      <c r="G1013" s="36" t="s">
        <v>949</v>
      </c>
      <c r="H1013" s="36" t="str">
        <f t="shared" si="51"/>
        <v>乘用车</v>
      </c>
      <c r="I1013" s="36" t="str">
        <f t="shared" si="52"/>
        <v>Passenger LDV</v>
      </c>
      <c r="J1013" s="36">
        <v>302364</v>
      </c>
    </row>
    <row r="1014" spans="1:10" x14ac:dyDescent="0.15">
      <c r="A1014" s="36">
        <v>1013</v>
      </c>
      <c r="B1014" s="36">
        <v>2018</v>
      </c>
      <c r="C1014" s="36" t="s">
        <v>958</v>
      </c>
      <c r="D1014" s="36" t="str">
        <f t="shared" si="50"/>
        <v>battery electric vehicle</v>
      </c>
      <c r="E1014" s="36" t="s">
        <v>954</v>
      </c>
      <c r="F1014" s="36" t="s">
        <v>964</v>
      </c>
      <c r="G1014" s="36" t="s">
        <v>949</v>
      </c>
      <c r="H1014" s="36" t="str">
        <f t="shared" si="51"/>
        <v>乘用车</v>
      </c>
      <c r="I1014" s="36" t="str">
        <f t="shared" si="52"/>
        <v>Passenger LDV</v>
      </c>
      <c r="J1014" s="36">
        <v>453899</v>
      </c>
    </row>
    <row r="1015" spans="1:10" x14ac:dyDescent="0.15">
      <c r="A1015" s="36">
        <v>1014</v>
      </c>
      <c r="B1015" s="36">
        <v>2019</v>
      </c>
      <c r="C1015" s="36" t="s">
        <v>958</v>
      </c>
      <c r="D1015" s="36" t="str">
        <f t="shared" si="50"/>
        <v>battery electric vehicle</v>
      </c>
      <c r="E1015" s="36" t="s">
        <v>954</v>
      </c>
      <c r="F1015" s="36" t="s">
        <v>964</v>
      </c>
      <c r="G1015" s="36" t="s">
        <v>949</v>
      </c>
      <c r="H1015" s="36" t="str">
        <f t="shared" si="51"/>
        <v>乘用车</v>
      </c>
      <c r="I1015" s="36" t="str">
        <f t="shared" si="52"/>
        <v>Passenger LDV</v>
      </c>
      <c r="J1015" s="36">
        <v>377257</v>
      </c>
    </row>
    <row r="1016" spans="1:10" x14ac:dyDescent="0.15">
      <c r="A1016" s="36">
        <v>1015</v>
      </c>
      <c r="B1016" s="36">
        <v>2020</v>
      </c>
      <c r="C1016" s="36" t="s">
        <v>958</v>
      </c>
      <c r="D1016" s="36" t="str">
        <f t="shared" si="50"/>
        <v>battery electric vehicle</v>
      </c>
      <c r="E1016" s="36" t="s">
        <v>954</v>
      </c>
      <c r="F1016" s="36" t="s">
        <v>964</v>
      </c>
      <c r="G1016" s="36" t="s">
        <v>949</v>
      </c>
      <c r="H1016" s="36" t="str">
        <f t="shared" si="51"/>
        <v>乘用车</v>
      </c>
      <c r="I1016" s="36" t="str">
        <f t="shared" si="52"/>
        <v>Passenger LDV</v>
      </c>
      <c r="J1016" s="36">
        <v>502760</v>
      </c>
    </row>
    <row r="1017" spans="1:10" x14ac:dyDescent="0.15">
      <c r="A1017" s="36">
        <v>1016</v>
      </c>
      <c r="B1017" s="36">
        <v>2021</v>
      </c>
      <c r="C1017" s="36" t="s">
        <v>958</v>
      </c>
      <c r="D1017" s="36" t="str">
        <f t="shared" si="50"/>
        <v>battery electric vehicle</v>
      </c>
      <c r="E1017" s="36" t="s">
        <v>954</v>
      </c>
      <c r="F1017" s="36" t="s">
        <v>964</v>
      </c>
      <c r="G1017" s="36" t="s">
        <v>949</v>
      </c>
      <c r="H1017" s="36" t="str">
        <f t="shared" si="51"/>
        <v>乘用车</v>
      </c>
      <c r="I1017" s="36" t="str">
        <f t="shared" si="52"/>
        <v>Passenger LDV</v>
      </c>
      <c r="J1017" s="36">
        <v>1414498</v>
      </c>
    </row>
    <row r="1018" spans="1:10" x14ac:dyDescent="0.15">
      <c r="A1018" s="36">
        <v>1017</v>
      </c>
      <c r="B1018" s="36">
        <v>2015</v>
      </c>
      <c r="C1018" s="36" t="s">
        <v>957</v>
      </c>
      <c r="D1018" s="36" t="str">
        <f t="shared" si="50"/>
        <v>hybrid fuel vehicle</v>
      </c>
      <c r="E1018" s="36" t="s">
        <v>954</v>
      </c>
      <c r="F1018" s="36" t="s">
        <v>964</v>
      </c>
      <c r="G1018" s="36" t="s">
        <v>949</v>
      </c>
      <c r="H1018" s="36" t="str">
        <f t="shared" si="51"/>
        <v>乘用车</v>
      </c>
      <c r="I1018" s="36" t="str">
        <f t="shared" si="52"/>
        <v>Passenger LDV</v>
      </c>
      <c r="J1018" s="36">
        <v>64210</v>
      </c>
    </row>
    <row r="1019" spans="1:10" x14ac:dyDescent="0.15">
      <c r="A1019" s="36">
        <v>1018</v>
      </c>
      <c r="B1019" s="36">
        <v>2016</v>
      </c>
      <c r="C1019" s="36" t="s">
        <v>957</v>
      </c>
      <c r="D1019" s="36" t="str">
        <f t="shared" si="50"/>
        <v>hybrid fuel vehicle</v>
      </c>
      <c r="E1019" s="36" t="s">
        <v>954</v>
      </c>
      <c r="F1019" s="36" t="s">
        <v>964</v>
      </c>
      <c r="G1019" s="36" t="s">
        <v>949</v>
      </c>
      <c r="H1019" s="36" t="str">
        <f t="shared" si="51"/>
        <v>乘用车</v>
      </c>
      <c r="I1019" s="36" t="str">
        <f t="shared" si="52"/>
        <v>Passenger LDV</v>
      </c>
      <c r="J1019" s="36">
        <v>154514</v>
      </c>
    </row>
    <row r="1020" spans="1:10" x14ac:dyDescent="0.15">
      <c r="A1020" s="36">
        <v>1019</v>
      </c>
      <c r="B1020" s="36">
        <v>2017</v>
      </c>
      <c r="C1020" s="36" t="s">
        <v>957</v>
      </c>
      <c r="D1020" s="36" t="str">
        <f t="shared" si="50"/>
        <v>hybrid fuel vehicle</v>
      </c>
      <c r="E1020" s="36" t="s">
        <v>954</v>
      </c>
      <c r="F1020" s="36" t="s">
        <v>964</v>
      </c>
      <c r="G1020" s="36" t="s">
        <v>949</v>
      </c>
      <c r="H1020" s="36" t="str">
        <f t="shared" si="51"/>
        <v>乘用车</v>
      </c>
      <c r="I1020" s="36" t="str">
        <f t="shared" si="52"/>
        <v>Passenger LDV</v>
      </c>
      <c r="J1020" s="36">
        <v>207831</v>
      </c>
    </row>
    <row r="1021" spans="1:10" x14ac:dyDescent="0.15">
      <c r="A1021" s="36">
        <v>1020</v>
      </c>
      <c r="B1021" s="36">
        <v>2018</v>
      </c>
      <c r="C1021" s="36" t="s">
        <v>957</v>
      </c>
      <c r="D1021" s="36" t="str">
        <f t="shared" si="50"/>
        <v>hybrid fuel vehicle</v>
      </c>
      <c r="E1021" s="36" t="s">
        <v>954</v>
      </c>
      <c r="F1021" s="36" t="s">
        <v>964</v>
      </c>
      <c r="G1021" s="36" t="s">
        <v>949</v>
      </c>
      <c r="H1021" s="36" t="str">
        <f t="shared" si="51"/>
        <v>乘用车</v>
      </c>
      <c r="I1021" s="36" t="str">
        <f t="shared" si="52"/>
        <v>Passenger LDV</v>
      </c>
      <c r="J1021" s="36">
        <v>285928</v>
      </c>
    </row>
    <row r="1022" spans="1:10" x14ac:dyDescent="0.15">
      <c r="A1022" s="36">
        <v>1021</v>
      </c>
      <c r="B1022" s="36">
        <v>2019</v>
      </c>
      <c r="C1022" s="36" t="s">
        <v>957</v>
      </c>
      <c r="D1022" s="36" t="str">
        <f t="shared" si="50"/>
        <v>hybrid fuel vehicle</v>
      </c>
      <c r="E1022" s="36" t="s">
        <v>954</v>
      </c>
      <c r="F1022" s="36" t="s">
        <v>964</v>
      </c>
      <c r="G1022" s="36" t="s">
        <v>949</v>
      </c>
      <c r="H1022" s="36" t="str">
        <f t="shared" si="51"/>
        <v>乘用车</v>
      </c>
      <c r="I1022" s="36" t="str">
        <f t="shared" si="52"/>
        <v>Passenger LDV</v>
      </c>
      <c r="J1022" s="36">
        <v>350626</v>
      </c>
    </row>
    <row r="1023" spans="1:10" x14ac:dyDescent="0.15">
      <c r="A1023" s="36">
        <v>1022</v>
      </c>
      <c r="B1023" s="36">
        <v>2020</v>
      </c>
      <c r="C1023" s="36" t="s">
        <v>957</v>
      </c>
      <c r="D1023" s="36" t="str">
        <f t="shared" si="50"/>
        <v>hybrid fuel vehicle</v>
      </c>
      <c r="E1023" s="36" t="s">
        <v>954</v>
      </c>
      <c r="F1023" s="36" t="s">
        <v>964</v>
      </c>
      <c r="G1023" s="36" t="s">
        <v>949</v>
      </c>
      <c r="H1023" s="36" t="str">
        <f t="shared" si="51"/>
        <v>乘用车</v>
      </c>
      <c r="I1023" s="36" t="str">
        <f t="shared" si="52"/>
        <v>Passenger LDV</v>
      </c>
      <c r="J1023" s="36">
        <v>536308</v>
      </c>
    </row>
    <row r="1024" spans="1:10" x14ac:dyDescent="0.15">
      <c r="A1024" s="36">
        <v>1023</v>
      </c>
      <c r="B1024" s="36">
        <v>2021</v>
      </c>
      <c r="C1024" s="36" t="s">
        <v>957</v>
      </c>
      <c r="D1024" s="36" t="str">
        <f t="shared" si="50"/>
        <v>hybrid fuel vehicle</v>
      </c>
      <c r="E1024" s="36" t="s">
        <v>954</v>
      </c>
      <c r="F1024" s="36" t="s">
        <v>964</v>
      </c>
      <c r="G1024" s="36" t="s">
        <v>949</v>
      </c>
      <c r="H1024" s="36" t="str">
        <f t="shared" si="51"/>
        <v>乘用车</v>
      </c>
      <c r="I1024" s="36" t="str">
        <f t="shared" si="52"/>
        <v>Passenger LDV</v>
      </c>
      <c r="J1024" s="36">
        <v>683525</v>
      </c>
    </row>
    <row r="1025" spans="1:10" x14ac:dyDescent="0.15">
      <c r="A1025" s="36">
        <v>1024</v>
      </c>
      <c r="B1025" s="36">
        <v>2015</v>
      </c>
      <c r="C1025" s="36" t="s">
        <v>968</v>
      </c>
      <c r="D1025" s="36" t="str">
        <f t="shared" si="50"/>
        <v>other fuel vehicle</v>
      </c>
      <c r="E1025" s="36" t="s">
        <v>954</v>
      </c>
      <c r="F1025" s="36" t="s">
        <v>964</v>
      </c>
      <c r="G1025" s="36" t="s">
        <v>949</v>
      </c>
      <c r="H1025" s="36" t="str">
        <f t="shared" si="51"/>
        <v>乘用车</v>
      </c>
      <c r="I1025" s="36" t="str">
        <f t="shared" si="52"/>
        <v>Passenger LDV</v>
      </c>
      <c r="J1025" s="36">
        <v>19</v>
      </c>
    </row>
    <row r="1026" spans="1:10" x14ac:dyDescent="0.15">
      <c r="A1026" s="36">
        <v>1025</v>
      </c>
      <c r="B1026" s="36">
        <v>2016</v>
      </c>
      <c r="C1026" s="36" t="s">
        <v>968</v>
      </c>
      <c r="D1026" s="36" t="str">
        <f t="shared" ref="D1026:D1089" si="53">VLOOKUP(C1026,M$3:N$16,2,FALSE)</f>
        <v>other fuel vehicle</v>
      </c>
      <c r="E1026" s="36" t="s">
        <v>954</v>
      </c>
      <c r="F1026" s="36" t="s">
        <v>964</v>
      </c>
      <c r="G1026" s="36" t="s">
        <v>949</v>
      </c>
      <c r="H1026" s="36" t="str">
        <f t="shared" ref="H1026:H1089" si="54">VLOOKUP(E1026&amp;F1026&amp;G1026,$S$3:$U$68,2,FALSE)</f>
        <v>乘用车</v>
      </c>
      <c r="I1026" s="36" t="str">
        <f t="shared" ref="I1026:I1089" si="55">VLOOKUP(E1026&amp;F1026&amp;G1026,$S$3:$U$68,3,FALSE)</f>
        <v>Passenger LDV</v>
      </c>
      <c r="J1026" s="36">
        <v>8</v>
      </c>
    </row>
    <row r="1027" spans="1:10" x14ac:dyDescent="0.15">
      <c r="A1027" s="36">
        <v>1026</v>
      </c>
      <c r="B1027" s="36">
        <v>2017</v>
      </c>
      <c r="C1027" s="36" t="s">
        <v>968</v>
      </c>
      <c r="D1027" s="36" t="str">
        <f t="shared" si="53"/>
        <v>other fuel vehicle</v>
      </c>
      <c r="E1027" s="36" t="s">
        <v>954</v>
      </c>
      <c r="F1027" s="36" t="s">
        <v>964</v>
      </c>
      <c r="G1027" s="36" t="s">
        <v>949</v>
      </c>
      <c r="H1027" s="36" t="str">
        <f t="shared" si="54"/>
        <v>乘用车</v>
      </c>
      <c r="I1027" s="36" t="str">
        <f t="shared" si="55"/>
        <v>Passenger LDV</v>
      </c>
      <c r="J1027" s="36">
        <v>420</v>
      </c>
    </row>
    <row r="1028" spans="1:10" x14ac:dyDescent="0.15">
      <c r="A1028" s="36">
        <v>1027</v>
      </c>
      <c r="B1028" s="36">
        <v>2018</v>
      </c>
      <c r="C1028" s="36" t="s">
        <v>968</v>
      </c>
      <c r="D1028" s="36" t="str">
        <f t="shared" si="53"/>
        <v>other fuel vehicle</v>
      </c>
      <c r="E1028" s="36" t="s">
        <v>954</v>
      </c>
      <c r="F1028" s="36" t="s">
        <v>964</v>
      </c>
      <c r="G1028" s="36" t="s">
        <v>949</v>
      </c>
      <c r="H1028" s="36" t="str">
        <f t="shared" si="54"/>
        <v>乘用车</v>
      </c>
      <c r="I1028" s="36" t="str">
        <f t="shared" si="55"/>
        <v>Passenger LDV</v>
      </c>
      <c r="J1028" s="36">
        <v>215</v>
      </c>
    </row>
    <row r="1029" spans="1:10" x14ac:dyDescent="0.15">
      <c r="A1029" s="36">
        <v>1028</v>
      </c>
      <c r="B1029" s="36">
        <v>2019</v>
      </c>
      <c r="C1029" s="36" t="s">
        <v>968</v>
      </c>
      <c r="D1029" s="36" t="str">
        <f t="shared" si="53"/>
        <v>other fuel vehicle</v>
      </c>
      <c r="E1029" s="36" t="s">
        <v>954</v>
      </c>
      <c r="F1029" s="36" t="s">
        <v>964</v>
      </c>
      <c r="G1029" s="36" t="s">
        <v>949</v>
      </c>
      <c r="H1029" s="36" t="str">
        <f t="shared" si="54"/>
        <v>乘用车</v>
      </c>
      <c r="I1029" s="36" t="str">
        <f t="shared" si="55"/>
        <v>Passenger LDV</v>
      </c>
      <c r="J1029" s="36">
        <v>32</v>
      </c>
    </row>
    <row r="1030" spans="1:10" x14ac:dyDescent="0.15">
      <c r="A1030" s="36">
        <v>1029</v>
      </c>
      <c r="B1030" s="36">
        <v>2020</v>
      </c>
      <c r="C1030" s="36" t="s">
        <v>968</v>
      </c>
      <c r="D1030" s="36" t="str">
        <f t="shared" si="53"/>
        <v>other fuel vehicle</v>
      </c>
      <c r="E1030" s="36" t="s">
        <v>954</v>
      </c>
      <c r="F1030" s="36" t="s">
        <v>964</v>
      </c>
      <c r="G1030" s="36" t="s">
        <v>949</v>
      </c>
      <c r="H1030" s="36" t="str">
        <f t="shared" si="54"/>
        <v>乘用车</v>
      </c>
      <c r="I1030" s="36" t="str">
        <f t="shared" si="55"/>
        <v>Passenger LDV</v>
      </c>
      <c r="J1030" s="36">
        <v>145</v>
      </c>
    </row>
    <row r="1031" spans="1:10" x14ac:dyDescent="0.15">
      <c r="A1031" s="36">
        <v>1030</v>
      </c>
      <c r="B1031" s="36">
        <v>2021</v>
      </c>
      <c r="C1031" s="36" t="s">
        <v>968</v>
      </c>
      <c r="D1031" s="36" t="str">
        <f t="shared" si="53"/>
        <v>other fuel vehicle</v>
      </c>
      <c r="E1031" s="36" t="s">
        <v>954</v>
      </c>
      <c r="F1031" s="36" t="s">
        <v>964</v>
      </c>
      <c r="G1031" s="36" t="s">
        <v>949</v>
      </c>
      <c r="H1031" s="36" t="str">
        <f t="shared" si="54"/>
        <v>乘用车</v>
      </c>
      <c r="I1031" s="36" t="str">
        <f t="shared" si="55"/>
        <v>Passenger LDV</v>
      </c>
      <c r="J1031" s="36">
        <v>28</v>
      </c>
    </row>
    <row r="1032" spans="1:10" x14ac:dyDescent="0.15">
      <c r="A1032" s="36">
        <v>1031</v>
      </c>
      <c r="B1032" s="36">
        <v>2015</v>
      </c>
      <c r="C1032" s="36" t="s">
        <v>952</v>
      </c>
      <c r="D1032" s="36" t="str">
        <f t="shared" si="53"/>
        <v>gasoline vehicle</v>
      </c>
      <c r="E1032" s="36" t="s">
        <v>954</v>
      </c>
      <c r="F1032" s="36" t="s">
        <v>964</v>
      </c>
      <c r="G1032" s="36" t="s">
        <v>949</v>
      </c>
      <c r="H1032" s="36" t="str">
        <f t="shared" si="54"/>
        <v>乘用车</v>
      </c>
      <c r="I1032" s="36" t="str">
        <f t="shared" si="55"/>
        <v>Passenger LDV</v>
      </c>
      <c r="J1032" s="36">
        <v>19070729</v>
      </c>
    </row>
    <row r="1033" spans="1:10" x14ac:dyDescent="0.15">
      <c r="A1033" s="36">
        <v>1032</v>
      </c>
      <c r="B1033" s="36">
        <v>2016</v>
      </c>
      <c r="C1033" s="36" t="s">
        <v>952</v>
      </c>
      <c r="D1033" s="36" t="str">
        <f t="shared" si="53"/>
        <v>gasoline vehicle</v>
      </c>
      <c r="E1033" s="36" t="s">
        <v>954</v>
      </c>
      <c r="F1033" s="36" t="s">
        <v>964</v>
      </c>
      <c r="G1033" s="36" t="s">
        <v>949</v>
      </c>
      <c r="H1033" s="36" t="str">
        <f t="shared" si="54"/>
        <v>乘用车</v>
      </c>
      <c r="I1033" s="36" t="str">
        <f t="shared" si="55"/>
        <v>Passenger LDV</v>
      </c>
      <c r="J1033" s="36">
        <v>23769495</v>
      </c>
    </row>
    <row r="1034" spans="1:10" x14ac:dyDescent="0.15">
      <c r="A1034" s="36">
        <v>1033</v>
      </c>
      <c r="B1034" s="36">
        <v>2017</v>
      </c>
      <c r="C1034" s="36" t="s">
        <v>952</v>
      </c>
      <c r="D1034" s="36" t="str">
        <f t="shared" si="53"/>
        <v>gasoline vehicle</v>
      </c>
      <c r="E1034" s="36" t="s">
        <v>954</v>
      </c>
      <c r="F1034" s="36" t="s">
        <v>964</v>
      </c>
      <c r="G1034" s="36" t="s">
        <v>949</v>
      </c>
      <c r="H1034" s="36" t="str">
        <f t="shared" si="54"/>
        <v>乘用车</v>
      </c>
      <c r="I1034" s="36" t="str">
        <f t="shared" si="55"/>
        <v>Passenger LDV</v>
      </c>
      <c r="J1034" s="36">
        <v>23287606</v>
      </c>
    </row>
    <row r="1035" spans="1:10" x14ac:dyDescent="0.15">
      <c r="A1035" s="36">
        <v>1034</v>
      </c>
      <c r="B1035" s="36">
        <v>2018</v>
      </c>
      <c r="C1035" s="36" t="s">
        <v>952</v>
      </c>
      <c r="D1035" s="36" t="str">
        <f t="shared" si="53"/>
        <v>gasoline vehicle</v>
      </c>
      <c r="E1035" s="36" t="s">
        <v>954</v>
      </c>
      <c r="F1035" s="36" t="s">
        <v>964</v>
      </c>
      <c r="G1035" s="36" t="s">
        <v>949</v>
      </c>
      <c r="H1035" s="36" t="str">
        <f t="shared" si="54"/>
        <v>乘用车</v>
      </c>
      <c r="I1035" s="36" t="str">
        <f t="shared" si="55"/>
        <v>Passenger LDV</v>
      </c>
      <c r="J1035" s="36">
        <v>20842214</v>
      </c>
    </row>
    <row r="1036" spans="1:10" x14ac:dyDescent="0.15">
      <c r="A1036" s="36">
        <v>1035</v>
      </c>
      <c r="B1036" s="36">
        <v>2019</v>
      </c>
      <c r="C1036" s="36" t="s">
        <v>952</v>
      </c>
      <c r="D1036" s="36" t="str">
        <f t="shared" si="53"/>
        <v>gasoline vehicle</v>
      </c>
      <c r="E1036" s="36" t="s">
        <v>954</v>
      </c>
      <c r="F1036" s="36" t="s">
        <v>964</v>
      </c>
      <c r="G1036" s="36" t="s">
        <v>949</v>
      </c>
      <c r="H1036" s="36" t="str">
        <f t="shared" si="54"/>
        <v>乘用车</v>
      </c>
      <c r="I1036" s="36" t="str">
        <f t="shared" si="55"/>
        <v>Passenger LDV</v>
      </c>
      <c r="J1036" s="36">
        <v>19986840</v>
      </c>
    </row>
    <row r="1037" spans="1:10" x14ac:dyDescent="0.15">
      <c r="A1037" s="36">
        <v>1036</v>
      </c>
      <c r="B1037" s="36">
        <v>2020</v>
      </c>
      <c r="C1037" s="36" t="s">
        <v>952</v>
      </c>
      <c r="D1037" s="36" t="str">
        <f t="shared" si="53"/>
        <v>gasoline vehicle</v>
      </c>
      <c r="E1037" s="36" t="s">
        <v>954</v>
      </c>
      <c r="F1037" s="36" t="s">
        <v>964</v>
      </c>
      <c r="G1037" s="36" t="s">
        <v>949</v>
      </c>
      <c r="H1037" s="36" t="str">
        <f t="shared" si="54"/>
        <v>乘用车</v>
      </c>
      <c r="I1037" s="36" t="str">
        <f t="shared" si="55"/>
        <v>Passenger LDV</v>
      </c>
      <c r="J1037" s="36">
        <v>18196716</v>
      </c>
    </row>
    <row r="1038" spans="1:10" x14ac:dyDescent="0.15">
      <c r="A1038" s="36">
        <v>1037</v>
      </c>
      <c r="B1038" s="36">
        <v>2021</v>
      </c>
      <c r="C1038" s="36" t="s">
        <v>952</v>
      </c>
      <c r="D1038" s="36" t="str">
        <f t="shared" si="53"/>
        <v>gasoline vehicle</v>
      </c>
      <c r="E1038" s="36" t="s">
        <v>954</v>
      </c>
      <c r="F1038" s="36" t="s">
        <v>964</v>
      </c>
      <c r="G1038" s="36" t="s">
        <v>949</v>
      </c>
      <c r="H1038" s="36" t="str">
        <f t="shared" si="54"/>
        <v>乘用车</v>
      </c>
      <c r="I1038" s="36" t="str">
        <f t="shared" si="55"/>
        <v>Passenger LDV</v>
      </c>
      <c r="J1038" s="36">
        <v>17373728</v>
      </c>
    </row>
    <row r="1039" spans="1:10" x14ac:dyDescent="0.15">
      <c r="A1039" s="36">
        <v>1038</v>
      </c>
      <c r="B1039" s="36">
        <v>2016</v>
      </c>
      <c r="C1039" s="36" t="s">
        <v>967</v>
      </c>
      <c r="D1039" s="36" t="str">
        <f t="shared" si="53"/>
        <v>LPG vehicle</v>
      </c>
      <c r="E1039" s="36" t="s">
        <v>954</v>
      </c>
      <c r="F1039" s="36" t="s">
        <v>964</v>
      </c>
      <c r="G1039" s="36" t="s">
        <v>949</v>
      </c>
      <c r="H1039" s="36" t="str">
        <f t="shared" si="54"/>
        <v>乘用车</v>
      </c>
      <c r="I1039" s="36" t="str">
        <f t="shared" si="55"/>
        <v>Passenger LDV</v>
      </c>
      <c r="J1039" s="36">
        <v>27</v>
      </c>
    </row>
    <row r="1040" spans="1:10" x14ac:dyDescent="0.15">
      <c r="A1040" s="36">
        <v>1039</v>
      </c>
      <c r="B1040" s="36">
        <v>2017</v>
      </c>
      <c r="C1040" s="36" t="s">
        <v>967</v>
      </c>
      <c r="D1040" s="36" t="str">
        <f t="shared" si="53"/>
        <v>LPG vehicle</v>
      </c>
      <c r="E1040" s="36" t="s">
        <v>954</v>
      </c>
      <c r="F1040" s="36" t="s">
        <v>964</v>
      </c>
      <c r="G1040" s="36" t="s">
        <v>949</v>
      </c>
      <c r="H1040" s="36" t="str">
        <f t="shared" si="54"/>
        <v>乘用车</v>
      </c>
      <c r="I1040" s="36" t="str">
        <f t="shared" si="55"/>
        <v>Passenger LDV</v>
      </c>
      <c r="J1040" s="36">
        <v>165</v>
      </c>
    </row>
    <row r="1041" spans="1:10" x14ac:dyDescent="0.15">
      <c r="A1041" s="36">
        <v>1040</v>
      </c>
      <c r="B1041" s="36">
        <v>2018</v>
      </c>
      <c r="C1041" s="36" t="s">
        <v>967</v>
      </c>
      <c r="D1041" s="36" t="str">
        <f t="shared" si="53"/>
        <v>LPG vehicle</v>
      </c>
      <c r="E1041" s="36" t="s">
        <v>954</v>
      </c>
      <c r="F1041" s="36" t="s">
        <v>964</v>
      </c>
      <c r="G1041" s="36" t="s">
        <v>949</v>
      </c>
      <c r="H1041" s="36" t="str">
        <f t="shared" si="54"/>
        <v>乘用车</v>
      </c>
      <c r="I1041" s="36" t="str">
        <f t="shared" si="55"/>
        <v>Passenger LDV</v>
      </c>
      <c r="J1041" s="36">
        <v>512</v>
      </c>
    </row>
    <row r="1042" spans="1:10" x14ac:dyDescent="0.15">
      <c r="A1042" s="36">
        <v>1041</v>
      </c>
      <c r="B1042" s="36">
        <v>2019</v>
      </c>
      <c r="C1042" s="36" t="s">
        <v>967</v>
      </c>
      <c r="D1042" s="36" t="str">
        <f t="shared" si="53"/>
        <v>LPG vehicle</v>
      </c>
      <c r="E1042" s="36" t="s">
        <v>954</v>
      </c>
      <c r="F1042" s="36" t="s">
        <v>964</v>
      </c>
      <c r="G1042" s="36" t="s">
        <v>949</v>
      </c>
      <c r="H1042" s="36" t="str">
        <f t="shared" si="54"/>
        <v>乘用车</v>
      </c>
      <c r="I1042" s="36" t="str">
        <f t="shared" si="55"/>
        <v>Passenger LDV</v>
      </c>
      <c r="J1042" s="36">
        <v>1</v>
      </c>
    </row>
    <row r="1043" spans="1:10" x14ac:dyDescent="0.15">
      <c r="A1043" s="36">
        <v>1042</v>
      </c>
      <c r="B1043" s="36">
        <v>2015</v>
      </c>
      <c r="C1043" s="36" t="s">
        <v>956</v>
      </c>
      <c r="D1043" s="36" t="str">
        <f t="shared" si="53"/>
        <v>natural gas vehicle</v>
      </c>
      <c r="E1043" s="36" t="s">
        <v>954</v>
      </c>
      <c r="F1043" s="36" t="s">
        <v>964</v>
      </c>
      <c r="G1043" s="36" t="s">
        <v>949</v>
      </c>
      <c r="H1043" s="36" t="str">
        <f t="shared" si="54"/>
        <v>乘用车</v>
      </c>
      <c r="I1043" s="36" t="str">
        <f t="shared" si="55"/>
        <v>Passenger LDV</v>
      </c>
      <c r="J1043" s="36">
        <v>1310439</v>
      </c>
    </row>
    <row r="1044" spans="1:10" x14ac:dyDescent="0.15">
      <c r="A1044" s="36">
        <v>1043</v>
      </c>
      <c r="B1044" s="36">
        <v>2016</v>
      </c>
      <c r="C1044" s="36" t="s">
        <v>956</v>
      </c>
      <c r="D1044" s="36" t="str">
        <f t="shared" si="53"/>
        <v>natural gas vehicle</v>
      </c>
      <c r="E1044" s="36" t="s">
        <v>954</v>
      </c>
      <c r="F1044" s="36" t="s">
        <v>964</v>
      </c>
      <c r="G1044" s="36" t="s">
        <v>949</v>
      </c>
      <c r="H1044" s="36" t="str">
        <f t="shared" si="54"/>
        <v>乘用车</v>
      </c>
      <c r="I1044" s="36" t="str">
        <f t="shared" si="55"/>
        <v>Passenger LDV</v>
      </c>
      <c r="J1044" s="36">
        <v>22580</v>
      </c>
    </row>
    <row r="1045" spans="1:10" x14ac:dyDescent="0.15">
      <c r="A1045" s="36">
        <v>1044</v>
      </c>
      <c r="B1045" s="36">
        <v>2017</v>
      </c>
      <c r="C1045" s="36" t="s">
        <v>956</v>
      </c>
      <c r="D1045" s="36" t="str">
        <f t="shared" si="53"/>
        <v>natural gas vehicle</v>
      </c>
      <c r="E1045" s="36" t="s">
        <v>954</v>
      </c>
      <c r="F1045" s="36" t="s">
        <v>964</v>
      </c>
      <c r="G1045" s="36" t="s">
        <v>949</v>
      </c>
      <c r="H1045" s="36" t="str">
        <f t="shared" si="54"/>
        <v>乘用车</v>
      </c>
      <c r="I1045" s="36" t="str">
        <f t="shared" si="55"/>
        <v>Passenger LDV</v>
      </c>
      <c r="J1045" s="36">
        <v>22876</v>
      </c>
    </row>
    <row r="1046" spans="1:10" x14ac:dyDescent="0.15">
      <c r="A1046" s="36">
        <v>1045</v>
      </c>
      <c r="B1046" s="36">
        <v>2018</v>
      </c>
      <c r="C1046" s="36" t="s">
        <v>956</v>
      </c>
      <c r="D1046" s="36" t="str">
        <f t="shared" si="53"/>
        <v>natural gas vehicle</v>
      </c>
      <c r="E1046" s="36" t="s">
        <v>954</v>
      </c>
      <c r="F1046" s="36" t="s">
        <v>964</v>
      </c>
      <c r="G1046" s="36" t="s">
        <v>949</v>
      </c>
      <c r="H1046" s="36" t="str">
        <f t="shared" si="54"/>
        <v>乘用车</v>
      </c>
      <c r="I1046" s="36" t="str">
        <f t="shared" si="55"/>
        <v>Passenger LDV</v>
      </c>
      <c r="J1046" s="36">
        <v>38202</v>
      </c>
    </row>
    <row r="1047" spans="1:10" x14ac:dyDescent="0.15">
      <c r="A1047" s="36">
        <v>1046</v>
      </c>
      <c r="B1047" s="36">
        <v>2019</v>
      </c>
      <c r="C1047" s="36" t="s">
        <v>956</v>
      </c>
      <c r="D1047" s="36" t="str">
        <f t="shared" si="53"/>
        <v>natural gas vehicle</v>
      </c>
      <c r="E1047" s="36" t="s">
        <v>954</v>
      </c>
      <c r="F1047" s="36" t="s">
        <v>964</v>
      </c>
      <c r="G1047" s="36" t="s">
        <v>949</v>
      </c>
      <c r="H1047" s="36" t="str">
        <f t="shared" si="54"/>
        <v>乘用车</v>
      </c>
      <c r="I1047" s="36" t="str">
        <f t="shared" si="55"/>
        <v>Passenger LDV</v>
      </c>
      <c r="J1047" s="36">
        <v>8020</v>
      </c>
    </row>
    <row r="1048" spans="1:10" x14ac:dyDescent="0.15">
      <c r="A1048" s="36">
        <v>1047</v>
      </c>
      <c r="B1048" s="36">
        <v>2020</v>
      </c>
      <c r="C1048" s="36" t="s">
        <v>956</v>
      </c>
      <c r="D1048" s="36" t="str">
        <f t="shared" si="53"/>
        <v>natural gas vehicle</v>
      </c>
      <c r="E1048" s="36" t="s">
        <v>954</v>
      </c>
      <c r="F1048" s="36" t="s">
        <v>964</v>
      </c>
      <c r="G1048" s="36" t="s">
        <v>949</v>
      </c>
      <c r="H1048" s="36" t="str">
        <f t="shared" si="54"/>
        <v>乘用车</v>
      </c>
      <c r="I1048" s="36" t="str">
        <f t="shared" si="55"/>
        <v>Passenger LDV</v>
      </c>
      <c r="J1048" s="36">
        <v>977</v>
      </c>
    </row>
    <row r="1049" spans="1:10" x14ac:dyDescent="0.15">
      <c r="A1049" s="36">
        <v>1048</v>
      </c>
      <c r="B1049" s="36">
        <v>2021</v>
      </c>
      <c r="C1049" s="36" t="s">
        <v>956</v>
      </c>
      <c r="D1049" s="36" t="str">
        <f t="shared" si="53"/>
        <v>natural gas vehicle</v>
      </c>
      <c r="E1049" s="36" t="s">
        <v>954</v>
      </c>
      <c r="F1049" s="36" t="s">
        <v>964</v>
      </c>
      <c r="G1049" s="36" t="s">
        <v>949</v>
      </c>
      <c r="H1049" s="36" t="str">
        <f t="shared" si="54"/>
        <v>乘用车</v>
      </c>
      <c r="I1049" s="36" t="str">
        <f t="shared" si="55"/>
        <v>Passenger LDV</v>
      </c>
      <c r="J1049" s="36">
        <v>186</v>
      </c>
    </row>
    <row r="1050" spans="1:10" x14ac:dyDescent="0.15">
      <c r="A1050" s="36">
        <v>1049</v>
      </c>
      <c r="B1050" s="36">
        <v>2021</v>
      </c>
      <c r="C1050" s="36" t="s">
        <v>966</v>
      </c>
      <c r="D1050" s="36" t="str">
        <f t="shared" si="53"/>
        <v>hydrogen vehicle</v>
      </c>
      <c r="E1050" s="36" t="s">
        <v>954</v>
      </c>
      <c r="F1050" s="36" t="s">
        <v>964</v>
      </c>
      <c r="G1050" s="36" t="s">
        <v>949</v>
      </c>
      <c r="H1050" s="36" t="str">
        <f t="shared" si="54"/>
        <v>乘用车</v>
      </c>
      <c r="I1050" s="36" t="str">
        <f t="shared" si="55"/>
        <v>Passenger LDV</v>
      </c>
      <c r="J1050" s="36">
        <v>9</v>
      </c>
    </row>
    <row r="1051" spans="1:10" x14ac:dyDescent="0.15">
      <c r="A1051" s="36">
        <v>1050</v>
      </c>
      <c r="B1051" s="36">
        <v>2017</v>
      </c>
      <c r="C1051" s="36" t="s">
        <v>955</v>
      </c>
      <c r="D1051" s="36" t="str">
        <f t="shared" si="53"/>
        <v>natural gas vehicle</v>
      </c>
      <c r="E1051" s="36" t="s">
        <v>954</v>
      </c>
      <c r="F1051" s="36" t="s">
        <v>964</v>
      </c>
      <c r="G1051" s="36" t="s">
        <v>949</v>
      </c>
      <c r="H1051" s="36" t="str">
        <f t="shared" si="54"/>
        <v>乘用车</v>
      </c>
      <c r="I1051" s="36" t="str">
        <f t="shared" si="55"/>
        <v>Passenger LDV</v>
      </c>
      <c r="J1051" s="36">
        <v>19</v>
      </c>
    </row>
    <row r="1052" spans="1:10" x14ac:dyDescent="0.15">
      <c r="A1052" s="36">
        <v>1051</v>
      </c>
      <c r="B1052" s="36">
        <v>2018</v>
      </c>
      <c r="C1052" s="36" t="s">
        <v>955</v>
      </c>
      <c r="D1052" s="36" t="str">
        <f t="shared" si="53"/>
        <v>natural gas vehicle</v>
      </c>
      <c r="E1052" s="36" t="s">
        <v>954</v>
      </c>
      <c r="F1052" s="36" t="s">
        <v>964</v>
      </c>
      <c r="G1052" s="36" t="s">
        <v>949</v>
      </c>
      <c r="H1052" s="36" t="str">
        <f t="shared" si="54"/>
        <v>乘用车</v>
      </c>
      <c r="I1052" s="36" t="str">
        <f t="shared" si="55"/>
        <v>Passenger LDV</v>
      </c>
      <c r="J1052" s="36">
        <v>474</v>
      </c>
    </row>
    <row r="1053" spans="1:10" x14ac:dyDescent="0.15">
      <c r="A1053" s="36">
        <v>1052</v>
      </c>
      <c r="B1053" s="36">
        <v>2019</v>
      </c>
      <c r="C1053" s="36" t="s">
        <v>955</v>
      </c>
      <c r="D1053" s="36" t="str">
        <f t="shared" si="53"/>
        <v>natural gas vehicle</v>
      </c>
      <c r="E1053" s="36" t="s">
        <v>954</v>
      </c>
      <c r="F1053" s="36" t="s">
        <v>964</v>
      </c>
      <c r="G1053" s="36" t="s">
        <v>949</v>
      </c>
      <c r="H1053" s="36" t="str">
        <f t="shared" si="54"/>
        <v>乘用车</v>
      </c>
      <c r="I1053" s="36" t="str">
        <f t="shared" si="55"/>
        <v>Passenger LDV</v>
      </c>
      <c r="J1053" s="36">
        <v>721</v>
      </c>
    </row>
    <row r="1054" spans="1:10" x14ac:dyDescent="0.15">
      <c r="A1054" s="36">
        <v>1053</v>
      </c>
      <c r="B1054" s="36">
        <v>2020</v>
      </c>
      <c r="C1054" s="36" t="s">
        <v>955</v>
      </c>
      <c r="D1054" s="36" t="str">
        <f t="shared" si="53"/>
        <v>natural gas vehicle</v>
      </c>
      <c r="E1054" s="36" t="s">
        <v>954</v>
      </c>
      <c r="F1054" s="36" t="s">
        <v>964</v>
      </c>
      <c r="G1054" s="36" t="s">
        <v>949</v>
      </c>
      <c r="H1054" s="36" t="str">
        <f t="shared" si="54"/>
        <v>乘用车</v>
      </c>
      <c r="I1054" s="36" t="str">
        <f t="shared" si="55"/>
        <v>Passenger LDV</v>
      </c>
      <c r="J1054" s="36">
        <v>1133</v>
      </c>
    </row>
    <row r="1055" spans="1:10" x14ac:dyDescent="0.15">
      <c r="A1055" s="36">
        <v>1054</v>
      </c>
      <c r="B1055" s="36">
        <v>2021</v>
      </c>
      <c r="C1055" s="36" t="s">
        <v>955</v>
      </c>
      <c r="D1055" s="36" t="str">
        <f t="shared" si="53"/>
        <v>natural gas vehicle</v>
      </c>
      <c r="E1055" s="36" t="s">
        <v>954</v>
      </c>
      <c r="F1055" s="36" t="s">
        <v>964</v>
      </c>
      <c r="G1055" s="36" t="s">
        <v>949</v>
      </c>
      <c r="H1055" s="36" t="str">
        <f t="shared" si="54"/>
        <v>乘用车</v>
      </c>
      <c r="I1055" s="36" t="str">
        <f t="shared" si="55"/>
        <v>Passenger LDV</v>
      </c>
      <c r="J1055" s="36">
        <v>3137</v>
      </c>
    </row>
    <row r="1056" spans="1:10" x14ac:dyDescent="0.15">
      <c r="A1056" s="36">
        <v>1055</v>
      </c>
      <c r="B1056" s="36">
        <v>2020</v>
      </c>
      <c r="C1056" s="36" t="s">
        <v>965</v>
      </c>
      <c r="D1056" s="36" t="str">
        <f t="shared" si="53"/>
        <v>hybrid fuel vehicle</v>
      </c>
      <c r="E1056" s="36" t="s">
        <v>954</v>
      </c>
      <c r="F1056" s="36" t="s">
        <v>964</v>
      </c>
      <c r="G1056" s="36" t="s">
        <v>949</v>
      </c>
      <c r="H1056" s="36" t="str">
        <f t="shared" si="54"/>
        <v>乘用车</v>
      </c>
      <c r="I1056" s="36" t="str">
        <f t="shared" si="55"/>
        <v>Passenger LDV</v>
      </c>
      <c r="J1056" s="36">
        <v>2706</v>
      </c>
    </row>
    <row r="1057" spans="1:10" x14ac:dyDescent="0.15">
      <c r="A1057" s="36">
        <v>1056</v>
      </c>
      <c r="B1057" s="36">
        <v>2021</v>
      </c>
      <c r="C1057" s="36" t="s">
        <v>965</v>
      </c>
      <c r="D1057" s="36" t="str">
        <f t="shared" si="53"/>
        <v>hybrid fuel vehicle</v>
      </c>
      <c r="E1057" s="36" t="s">
        <v>954</v>
      </c>
      <c r="F1057" s="36" t="s">
        <v>964</v>
      </c>
      <c r="G1057" s="36" t="s">
        <v>949</v>
      </c>
      <c r="H1057" s="36" t="str">
        <f t="shared" si="54"/>
        <v>乘用车</v>
      </c>
      <c r="I1057" s="36" t="str">
        <f t="shared" si="55"/>
        <v>Passenger LDV</v>
      </c>
      <c r="J1057" s="36">
        <v>100835</v>
      </c>
    </row>
    <row r="1058" spans="1:10" x14ac:dyDescent="0.15">
      <c r="A1058" s="36">
        <v>1057</v>
      </c>
      <c r="B1058" s="36">
        <v>2015</v>
      </c>
      <c r="C1058" s="36" t="s">
        <v>953</v>
      </c>
      <c r="D1058" s="36" t="str">
        <f t="shared" si="53"/>
        <v>diesel vehicle</v>
      </c>
      <c r="E1058" s="36" t="s">
        <v>951</v>
      </c>
      <c r="F1058" s="36" t="s">
        <v>964</v>
      </c>
      <c r="G1058" s="36" t="s">
        <v>949</v>
      </c>
      <c r="H1058" s="36" t="str">
        <f t="shared" si="54"/>
        <v>道路客车</v>
      </c>
      <c r="I1058" s="36" t="str">
        <f t="shared" si="55"/>
        <v>Passenger HDV</v>
      </c>
      <c r="J1058" s="36">
        <v>75</v>
      </c>
    </row>
    <row r="1059" spans="1:10" x14ac:dyDescent="0.15">
      <c r="A1059" s="36">
        <v>1058</v>
      </c>
      <c r="B1059" s="36">
        <v>2017</v>
      </c>
      <c r="C1059" s="36" t="s">
        <v>953</v>
      </c>
      <c r="D1059" s="36" t="str">
        <f t="shared" si="53"/>
        <v>diesel vehicle</v>
      </c>
      <c r="E1059" s="36" t="s">
        <v>951</v>
      </c>
      <c r="F1059" s="36" t="s">
        <v>964</v>
      </c>
      <c r="G1059" s="36" t="s">
        <v>949</v>
      </c>
      <c r="H1059" s="36" t="str">
        <f t="shared" si="54"/>
        <v>道路客车</v>
      </c>
      <c r="I1059" s="36" t="str">
        <f t="shared" si="55"/>
        <v>Passenger HDV</v>
      </c>
      <c r="J1059" s="36">
        <v>12</v>
      </c>
    </row>
    <row r="1060" spans="1:10" x14ac:dyDescent="0.15">
      <c r="A1060" s="36">
        <v>1059</v>
      </c>
      <c r="B1060" s="36">
        <v>2015</v>
      </c>
      <c r="C1060" s="36" t="s">
        <v>952</v>
      </c>
      <c r="D1060" s="36" t="str">
        <f t="shared" si="53"/>
        <v>gasoline vehicle</v>
      </c>
      <c r="E1060" s="36" t="s">
        <v>951</v>
      </c>
      <c r="F1060" s="36" t="s">
        <v>964</v>
      </c>
      <c r="G1060" s="36" t="s">
        <v>949</v>
      </c>
      <c r="H1060" s="36" t="str">
        <f t="shared" si="54"/>
        <v>道路客车</v>
      </c>
      <c r="I1060" s="36" t="str">
        <f t="shared" si="55"/>
        <v>Passenger HDV</v>
      </c>
      <c r="J1060" s="36">
        <v>630</v>
      </c>
    </row>
    <row r="1061" spans="1:10" x14ac:dyDescent="0.15">
      <c r="A1061" s="36">
        <v>1060</v>
      </c>
      <c r="B1061" s="36">
        <v>2016</v>
      </c>
      <c r="C1061" s="36" t="s">
        <v>952</v>
      </c>
      <c r="D1061" s="36" t="str">
        <f t="shared" si="53"/>
        <v>gasoline vehicle</v>
      </c>
      <c r="E1061" s="36" t="s">
        <v>951</v>
      </c>
      <c r="F1061" s="36" t="s">
        <v>964</v>
      </c>
      <c r="G1061" s="36" t="s">
        <v>949</v>
      </c>
      <c r="H1061" s="36" t="str">
        <f t="shared" si="54"/>
        <v>道路客车</v>
      </c>
      <c r="I1061" s="36" t="str">
        <f t="shared" si="55"/>
        <v>Passenger HDV</v>
      </c>
      <c r="J1061" s="36">
        <v>1044</v>
      </c>
    </row>
    <row r="1062" spans="1:10" x14ac:dyDescent="0.15">
      <c r="A1062" s="36">
        <v>1061</v>
      </c>
      <c r="B1062" s="36">
        <v>2017</v>
      </c>
      <c r="C1062" s="36" t="s">
        <v>952</v>
      </c>
      <c r="D1062" s="36" t="str">
        <f t="shared" si="53"/>
        <v>gasoline vehicle</v>
      </c>
      <c r="E1062" s="36" t="s">
        <v>951</v>
      </c>
      <c r="F1062" s="36" t="s">
        <v>964</v>
      </c>
      <c r="G1062" s="36" t="s">
        <v>949</v>
      </c>
      <c r="H1062" s="36" t="str">
        <f t="shared" si="54"/>
        <v>道路客车</v>
      </c>
      <c r="I1062" s="36" t="str">
        <f t="shared" si="55"/>
        <v>Passenger HDV</v>
      </c>
      <c r="J1062" s="36">
        <v>1315</v>
      </c>
    </row>
    <row r="1063" spans="1:10" x14ac:dyDescent="0.15">
      <c r="A1063" s="36">
        <v>1062</v>
      </c>
      <c r="B1063" s="36">
        <v>2018</v>
      </c>
      <c r="C1063" s="36" t="s">
        <v>952</v>
      </c>
      <c r="D1063" s="36" t="str">
        <f t="shared" si="53"/>
        <v>gasoline vehicle</v>
      </c>
      <c r="E1063" s="36" t="s">
        <v>951</v>
      </c>
      <c r="F1063" s="36" t="s">
        <v>964</v>
      </c>
      <c r="G1063" s="36" t="s">
        <v>949</v>
      </c>
      <c r="H1063" s="36" t="str">
        <f t="shared" si="54"/>
        <v>道路客车</v>
      </c>
      <c r="I1063" s="36" t="str">
        <f t="shared" si="55"/>
        <v>Passenger HDV</v>
      </c>
      <c r="J1063" s="36">
        <v>684</v>
      </c>
    </row>
    <row r="1064" spans="1:10" x14ac:dyDescent="0.15">
      <c r="A1064" s="36">
        <v>1063</v>
      </c>
      <c r="B1064" s="36">
        <v>2019</v>
      </c>
      <c r="C1064" s="36" t="s">
        <v>952</v>
      </c>
      <c r="D1064" s="36" t="str">
        <f t="shared" si="53"/>
        <v>gasoline vehicle</v>
      </c>
      <c r="E1064" s="36" t="s">
        <v>951</v>
      </c>
      <c r="F1064" s="36" t="s">
        <v>964</v>
      </c>
      <c r="G1064" s="36" t="s">
        <v>949</v>
      </c>
      <c r="H1064" s="36" t="str">
        <f t="shared" si="54"/>
        <v>道路客车</v>
      </c>
      <c r="I1064" s="36" t="str">
        <f t="shared" si="55"/>
        <v>Passenger HDV</v>
      </c>
      <c r="J1064" s="36">
        <v>1510</v>
      </c>
    </row>
    <row r="1065" spans="1:10" x14ac:dyDescent="0.15">
      <c r="A1065" s="36">
        <v>1064</v>
      </c>
      <c r="B1065" s="36">
        <v>2020</v>
      </c>
      <c r="C1065" s="36" t="s">
        <v>952</v>
      </c>
      <c r="D1065" s="36" t="str">
        <f t="shared" si="53"/>
        <v>gasoline vehicle</v>
      </c>
      <c r="E1065" s="36" t="s">
        <v>951</v>
      </c>
      <c r="F1065" s="36" t="s">
        <v>964</v>
      </c>
      <c r="G1065" s="36" t="s">
        <v>949</v>
      </c>
      <c r="H1065" s="36" t="str">
        <f t="shared" si="54"/>
        <v>道路客车</v>
      </c>
      <c r="I1065" s="36" t="str">
        <f t="shared" si="55"/>
        <v>Passenger HDV</v>
      </c>
      <c r="J1065" s="36">
        <v>2083</v>
      </c>
    </row>
    <row r="1066" spans="1:10" x14ac:dyDescent="0.15">
      <c r="A1066" s="36">
        <v>1065</v>
      </c>
      <c r="B1066" s="36">
        <v>2021</v>
      </c>
      <c r="C1066" s="36" t="s">
        <v>952</v>
      </c>
      <c r="D1066" s="36" t="str">
        <f t="shared" si="53"/>
        <v>gasoline vehicle</v>
      </c>
      <c r="E1066" s="36" t="s">
        <v>951</v>
      </c>
      <c r="F1066" s="36" t="s">
        <v>964</v>
      </c>
      <c r="G1066" s="36" t="s">
        <v>949</v>
      </c>
      <c r="H1066" s="36" t="str">
        <f t="shared" si="54"/>
        <v>道路客车</v>
      </c>
      <c r="I1066" s="36" t="str">
        <f t="shared" si="55"/>
        <v>Passenger HDV</v>
      </c>
      <c r="J1066" s="36">
        <v>1778</v>
      </c>
    </row>
    <row r="1067" spans="1:10" x14ac:dyDescent="0.15">
      <c r="A1067" s="36">
        <v>1066</v>
      </c>
      <c r="B1067" s="36">
        <v>2021</v>
      </c>
      <c r="C1067" s="36" t="s">
        <v>957</v>
      </c>
      <c r="D1067" s="36" t="str">
        <f t="shared" si="53"/>
        <v>hybrid fuel vehicle</v>
      </c>
      <c r="E1067" s="36" t="s">
        <v>963</v>
      </c>
      <c r="F1067" s="36" t="s">
        <v>962</v>
      </c>
      <c r="G1067" s="36" t="s">
        <v>949</v>
      </c>
      <c r="H1067" s="36" t="str">
        <f t="shared" si="54"/>
        <v>Unknown</v>
      </c>
      <c r="I1067" s="36" t="str">
        <f t="shared" si="55"/>
        <v>Unknown</v>
      </c>
      <c r="J1067" s="36">
        <v>1</v>
      </c>
    </row>
    <row r="1068" spans="1:10" x14ac:dyDescent="0.15">
      <c r="A1068" s="36">
        <v>1067</v>
      </c>
      <c r="B1068" s="36">
        <v>2019</v>
      </c>
      <c r="C1068" s="36" t="s">
        <v>961</v>
      </c>
      <c r="D1068" s="36" t="str">
        <f t="shared" si="53"/>
        <v>plugin hybrid vehicle</v>
      </c>
      <c r="E1068" s="36" t="s">
        <v>954</v>
      </c>
      <c r="F1068" s="36" t="s">
        <v>962</v>
      </c>
      <c r="G1068" s="36" t="s">
        <v>949</v>
      </c>
      <c r="H1068" s="36" t="str">
        <f t="shared" si="54"/>
        <v>道路客车</v>
      </c>
      <c r="I1068" s="36" t="str">
        <f t="shared" si="55"/>
        <v>Passenger LDV</v>
      </c>
      <c r="J1068" s="36">
        <v>12</v>
      </c>
    </row>
    <row r="1069" spans="1:10" x14ac:dyDescent="0.15">
      <c r="A1069" s="36">
        <v>1068</v>
      </c>
      <c r="B1069" s="36">
        <v>2021</v>
      </c>
      <c r="C1069" s="36" t="s">
        <v>961</v>
      </c>
      <c r="D1069" s="36" t="str">
        <f t="shared" si="53"/>
        <v>plugin hybrid vehicle</v>
      </c>
      <c r="E1069" s="36" t="s">
        <v>954</v>
      </c>
      <c r="F1069" s="36" t="s">
        <v>962</v>
      </c>
      <c r="G1069" s="36" t="s">
        <v>949</v>
      </c>
      <c r="H1069" s="36" t="str">
        <f t="shared" si="54"/>
        <v>道路客车</v>
      </c>
      <c r="I1069" s="36" t="str">
        <f t="shared" si="55"/>
        <v>Passenger LDV</v>
      </c>
      <c r="J1069" s="36">
        <v>5</v>
      </c>
    </row>
    <row r="1070" spans="1:10" x14ac:dyDescent="0.15">
      <c r="A1070" s="36">
        <v>1069</v>
      </c>
      <c r="B1070" s="36">
        <v>2015</v>
      </c>
      <c r="C1070" s="36" t="s">
        <v>953</v>
      </c>
      <c r="D1070" s="36" t="str">
        <f t="shared" si="53"/>
        <v>diesel vehicle</v>
      </c>
      <c r="E1070" s="36" t="s">
        <v>954</v>
      </c>
      <c r="F1070" s="36" t="s">
        <v>962</v>
      </c>
      <c r="G1070" s="36" t="s">
        <v>949</v>
      </c>
      <c r="H1070" s="36" t="str">
        <f t="shared" si="54"/>
        <v>道路客车</v>
      </c>
      <c r="I1070" s="36" t="str">
        <f t="shared" si="55"/>
        <v>Passenger LDV</v>
      </c>
      <c r="J1070" s="36">
        <v>373</v>
      </c>
    </row>
    <row r="1071" spans="1:10" x14ac:dyDescent="0.15">
      <c r="A1071" s="36">
        <v>1070</v>
      </c>
      <c r="B1071" s="36">
        <v>2016</v>
      </c>
      <c r="C1071" s="36" t="s">
        <v>953</v>
      </c>
      <c r="D1071" s="36" t="str">
        <f t="shared" si="53"/>
        <v>diesel vehicle</v>
      </c>
      <c r="E1071" s="36" t="s">
        <v>954</v>
      </c>
      <c r="F1071" s="36" t="s">
        <v>962</v>
      </c>
      <c r="G1071" s="36" t="s">
        <v>949</v>
      </c>
      <c r="H1071" s="36" t="str">
        <f t="shared" si="54"/>
        <v>道路客车</v>
      </c>
      <c r="I1071" s="36" t="str">
        <f t="shared" si="55"/>
        <v>Passenger LDV</v>
      </c>
      <c r="J1071" s="36">
        <v>480</v>
      </c>
    </row>
    <row r="1072" spans="1:10" x14ac:dyDescent="0.15">
      <c r="A1072" s="36">
        <v>1071</v>
      </c>
      <c r="B1072" s="36">
        <v>2017</v>
      </c>
      <c r="C1072" s="36" t="s">
        <v>953</v>
      </c>
      <c r="D1072" s="36" t="str">
        <f t="shared" si="53"/>
        <v>diesel vehicle</v>
      </c>
      <c r="E1072" s="36" t="s">
        <v>954</v>
      </c>
      <c r="F1072" s="36" t="s">
        <v>962</v>
      </c>
      <c r="G1072" s="36" t="s">
        <v>949</v>
      </c>
      <c r="H1072" s="36" t="str">
        <f t="shared" si="54"/>
        <v>道路客车</v>
      </c>
      <c r="I1072" s="36" t="str">
        <f t="shared" si="55"/>
        <v>Passenger LDV</v>
      </c>
      <c r="J1072" s="36">
        <v>1056</v>
      </c>
    </row>
    <row r="1073" spans="1:10" x14ac:dyDescent="0.15">
      <c r="A1073" s="36">
        <v>1072</v>
      </c>
      <c r="B1073" s="36">
        <v>2018</v>
      </c>
      <c r="C1073" s="36" t="s">
        <v>953</v>
      </c>
      <c r="D1073" s="36" t="str">
        <f t="shared" si="53"/>
        <v>diesel vehicle</v>
      </c>
      <c r="E1073" s="36" t="s">
        <v>954</v>
      </c>
      <c r="F1073" s="36" t="s">
        <v>962</v>
      </c>
      <c r="G1073" s="36" t="s">
        <v>949</v>
      </c>
      <c r="H1073" s="36" t="str">
        <f t="shared" si="54"/>
        <v>道路客车</v>
      </c>
      <c r="I1073" s="36" t="str">
        <f t="shared" si="55"/>
        <v>Passenger LDV</v>
      </c>
      <c r="J1073" s="36">
        <v>1340</v>
      </c>
    </row>
    <row r="1074" spans="1:10" x14ac:dyDescent="0.15">
      <c r="A1074" s="36">
        <v>1073</v>
      </c>
      <c r="B1074" s="36">
        <v>2019</v>
      </c>
      <c r="C1074" s="36" t="s">
        <v>953</v>
      </c>
      <c r="D1074" s="36" t="str">
        <f t="shared" si="53"/>
        <v>diesel vehicle</v>
      </c>
      <c r="E1074" s="36" t="s">
        <v>954</v>
      </c>
      <c r="F1074" s="36" t="s">
        <v>962</v>
      </c>
      <c r="G1074" s="36" t="s">
        <v>949</v>
      </c>
      <c r="H1074" s="36" t="str">
        <f t="shared" si="54"/>
        <v>道路客车</v>
      </c>
      <c r="I1074" s="36" t="str">
        <f t="shared" si="55"/>
        <v>Passenger LDV</v>
      </c>
      <c r="J1074" s="36">
        <v>2429</v>
      </c>
    </row>
    <row r="1075" spans="1:10" x14ac:dyDescent="0.15">
      <c r="A1075" s="36">
        <v>1074</v>
      </c>
      <c r="B1075" s="36">
        <v>2020</v>
      </c>
      <c r="C1075" s="36" t="s">
        <v>953</v>
      </c>
      <c r="D1075" s="36" t="str">
        <f t="shared" si="53"/>
        <v>diesel vehicle</v>
      </c>
      <c r="E1075" s="36" t="s">
        <v>954</v>
      </c>
      <c r="F1075" s="36" t="s">
        <v>962</v>
      </c>
      <c r="G1075" s="36" t="s">
        <v>949</v>
      </c>
      <c r="H1075" s="36" t="str">
        <f t="shared" si="54"/>
        <v>道路客车</v>
      </c>
      <c r="I1075" s="36" t="str">
        <f t="shared" si="55"/>
        <v>Passenger LDV</v>
      </c>
      <c r="J1075" s="36">
        <v>1343</v>
      </c>
    </row>
    <row r="1076" spans="1:10" x14ac:dyDescent="0.15">
      <c r="A1076" s="36">
        <v>1075</v>
      </c>
      <c r="B1076" s="36">
        <v>2021</v>
      </c>
      <c r="C1076" s="36" t="s">
        <v>953</v>
      </c>
      <c r="D1076" s="36" t="str">
        <f t="shared" si="53"/>
        <v>diesel vehicle</v>
      </c>
      <c r="E1076" s="36" t="s">
        <v>954</v>
      </c>
      <c r="F1076" s="36" t="s">
        <v>962</v>
      </c>
      <c r="G1076" s="36" t="s">
        <v>949</v>
      </c>
      <c r="H1076" s="36" t="str">
        <f t="shared" si="54"/>
        <v>道路客车</v>
      </c>
      <c r="I1076" s="36" t="str">
        <f t="shared" si="55"/>
        <v>Passenger LDV</v>
      </c>
      <c r="J1076" s="36">
        <v>1714</v>
      </c>
    </row>
    <row r="1077" spans="1:10" x14ac:dyDescent="0.15">
      <c r="A1077" s="36">
        <v>1076</v>
      </c>
      <c r="B1077" s="36">
        <v>2015</v>
      </c>
      <c r="C1077" s="36" t="s">
        <v>958</v>
      </c>
      <c r="D1077" s="36" t="str">
        <f t="shared" si="53"/>
        <v>battery electric vehicle</v>
      </c>
      <c r="E1077" s="36" t="s">
        <v>954</v>
      </c>
      <c r="F1077" s="36" t="s">
        <v>962</v>
      </c>
      <c r="G1077" s="36" t="s">
        <v>949</v>
      </c>
      <c r="H1077" s="36" t="str">
        <f t="shared" si="54"/>
        <v>道路客车</v>
      </c>
      <c r="I1077" s="36" t="str">
        <f t="shared" si="55"/>
        <v>Passenger LDV</v>
      </c>
      <c r="J1077" s="36">
        <v>3</v>
      </c>
    </row>
    <row r="1078" spans="1:10" x14ac:dyDescent="0.15">
      <c r="A1078" s="36">
        <v>1077</v>
      </c>
      <c r="B1078" s="36">
        <v>2016</v>
      </c>
      <c r="C1078" s="36" t="s">
        <v>958</v>
      </c>
      <c r="D1078" s="36" t="str">
        <f t="shared" si="53"/>
        <v>battery electric vehicle</v>
      </c>
      <c r="E1078" s="36" t="s">
        <v>954</v>
      </c>
      <c r="F1078" s="36" t="s">
        <v>962</v>
      </c>
      <c r="G1078" s="36" t="s">
        <v>949</v>
      </c>
      <c r="H1078" s="36" t="str">
        <f t="shared" si="54"/>
        <v>道路客车</v>
      </c>
      <c r="I1078" s="36" t="str">
        <f t="shared" si="55"/>
        <v>Passenger LDV</v>
      </c>
      <c r="J1078" s="36">
        <v>14</v>
      </c>
    </row>
    <row r="1079" spans="1:10" x14ac:dyDescent="0.15">
      <c r="A1079" s="36">
        <v>1078</v>
      </c>
      <c r="B1079" s="36">
        <v>2017</v>
      </c>
      <c r="C1079" s="36" t="s">
        <v>958</v>
      </c>
      <c r="D1079" s="36" t="str">
        <f t="shared" si="53"/>
        <v>battery electric vehicle</v>
      </c>
      <c r="E1079" s="36" t="s">
        <v>954</v>
      </c>
      <c r="F1079" s="36" t="s">
        <v>962</v>
      </c>
      <c r="G1079" s="36" t="s">
        <v>949</v>
      </c>
      <c r="H1079" s="36" t="str">
        <f t="shared" si="54"/>
        <v>道路客车</v>
      </c>
      <c r="I1079" s="36" t="str">
        <f t="shared" si="55"/>
        <v>Passenger LDV</v>
      </c>
      <c r="J1079" s="36">
        <v>620</v>
      </c>
    </row>
    <row r="1080" spans="1:10" x14ac:dyDescent="0.15">
      <c r="A1080" s="36">
        <v>1079</v>
      </c>
      <c r="B1080" s="36">
        <v>2018</v>
      </c>
      <c r="C1080" s="36" t="s">
        <v>958</v>
      </c>
      <c r="D1080" s="36" t="str">
        <f t="shared" si="53"/>
        <v>battery electric vehicle</v>
      </c>
      <c r="E1080" s="36" t="s">
        <v>954</v>
      </c>
      <c r="F1080" s="36" t="s">
        <v>962</v>
      </c>
      <c r="G1080" s="36" t="s">
        <v>949</v>
      </c>
      <c r="H1080" s="36" t="str">
        <f t="shared" si="54"/>
        <v>道路客车</v>
      </c>
      <c r="I1080" s="36" t="str">
        <f t="shared" si="55"/>
        <v>Passenger LDV</v>
      </c>
      <c r="J1080" s="36">
        <v>60</v>
      </c>
    </row>
    <row r="1081" spans="1:10" x14ac:dyDescent="0.15">
      <c r="A1081" s="36">
        <v>1080</v>
      </c>
      <c r="B1081" s="36">
        <v>2019</v>
      </c>
      <c r="C1081" s="36" t="s">
        <v>958</v>
      </c>
      <c r="D1081" s="36" t="str">
        <f t="shared" si="53"/>
        <v>battery electric vehicle</v>
      </c>
      <c r="E1081" s="36" t="s">
        <v>954</v>
      </c>
      <c r="F1081" s="36" t="s">
        <v>962</v>
      </c>
      <c r="G1081" s="36" t="s">
        <v>949</v>
      </c>
      <c r="H1081" s="36" t="str">
        <f t="shared" si="54"/>
        <v>道路客车</v>
      </c>
      <c r="I1081" s="36" t="str">
        <f t="shared" si="55"/>
        <v>Passenger LDV</v>
      </c>
      <c r="J1081" s="36">
        <v>90</v>
      </c>
    </row>
    <row r="1082" spans="1:10" x14ac:dyDescent="0.15">
      <c r="A1082" s="36">
        <v>1081</v>
      </c>
      <c r="B1082" s="36">
        <v>2020</v>
      </c>
      <c r="C1082" s="36" t="s">
        <v>958</v>
      </c>
      <c r="D1082" s="36" t="str">
        <f t="shared" si="53"/>
        <v>battery electric vehicle</v>
      </c>
      <c r="E1082" s="36" t="s">
        <v>954</v>
      </c>
      <c r="F1082" s="36" t="s">
        <v>962</v>
      </c>
      <c r="G1082" s="36" t="s">
        <v>949</v>
      </c>
      <c r="H1082" s="36" t="str">
        <f t="shared" si="54"/>
        <v>道路客车</v>
      </c>
      <c r="I1082" s="36" t="str">
        <f t="shared" si="55"/>
        <v>Passenger LDV</v>
      </c>
      <c r="J1082" s="36">
        <v>437</v>
      </c>
    </row>
    <row r="1083" spans="1:10" x14ac:dyDescent="0.15">
      <c r="A1083" s="36">
        <v>1082</v>
      </c>
      <c r="B1083" s="36">
        <v>2021</v>
      </c>
      <c r="C1083" s="36" t="s">
        <v>958</v>
      </c>
      <c r="D1083" s="36" t="str">
        <f t="shared" si="53"/>
        <v>battery electric vehicle</v>
      </c>
      <c r="E1083" s="36" t="s">
        <v>954</v>
      </c>
      <c r="F1083" s="36" t="s">
        <v>962</v>
      </c>
      <c r="G1083" s="36" t="s">
        <v>949</v>
      </c>
      <c r="H1083" s="36" t="str">
        <f t="shared" si="54"/>
        <v>道路客车</v>
      </c>
      <c r="I1083" s="36" t="str">
        <f t="shared" si="55"/>
        <v>Passenger LDV</v>
      </c>
      <c r="J1083" s="36">
        <v>1373</v>
      </c>
    </row>
    <row r="1084" spans="1:10" x14ac:dyDescent="0.15">
      <c r="A1084" s="36">
        <v>1083</v>
      </c>
      <c r="B1084" s="36">
        <v>2020</v>
      </c>
      <c r="C1084" s="36" t="s">
        <v>957</v>
      </c>
      <c r="D1084" s="36" t="str">
        <f t="shared" si="53"/>
        <v>hybrid fuel vehicle</v>
      </c>
      <c r="E1084" s="36" t="s">
        <v>954</v>
      </c>
      <c r="F1084" s="36" t="s">
        <v>962</v>
      </c>
      <c r="G1084" s="36" t="s">
        <v>949</v>
      </c>
      <c r="H1084" s="36" t="str">
        <f t="shared" si="54"/>
        <v>道路客车</v>
      </c>
      <c r="I1084" s="36" t="str">
        <f t="shared" si="55"/>
        <v>Passenger LDV</v>
      </c>
      <c r="J1084" s="36">
        <v>1</v>
      </c>
    </row>
    <row r="1085" spans="1:10" x14ac:dyDescent="0.15">
      <c r="A1085" s="36">
        <v>1084</v>
      </c>
      <c r="B1085" s="36">
        <v>2021</v>
      </c>
      <c r="C1085" s="36" t="s">
        <v>957</v>
      </c>
      <c r="D1085" s="36" t="str">
        <f t="shared" si="53"/>
        <v>hybrid fuel vehicle</v>
      </c>
      <c r="E1085" s="36" t="s">
        <v>954</v>
      </c>
      <c r="F1085" s="36" t="s">
        <v>962</v>
      </c>
      <c r="G1085" s="36" t="s">
        <v>949</v>
      </c>
      <c r="H1085" s="36" t="str">
        <f t="shared" si="54"/>
        <v>道路客车</v>
      </c>
      <c r="I1085" s="36" t="str">
        <f t="shared" si="55"/>
        <v>Passenger LDV</v>
      </c>
      <c r="J1085" s="36">
        <v>1</v>
      </c>
    </row>
    <row r="1086" spans="1:10" x14ac:dyDescent="0.15">
      <c r="A1086" s="36">
        <v>1085</v>
      </c>
      <c r="B1086" s="36">
        <v>2015</v>
      </c>
      <c r="C1086" s="36" t="s">
        <v>952</v>
      </c>
      <c r="D1086" s="36" t="str">
        <f t="shared" si="53"/>
        <v>gasoline vehicle</v>
      </c>
      <c r="E1086" s="36" t="s">
        <v>954</v>
      </c>
      <c r="F1086" s="36" t="s">
        <v>962</v>
      </c>
      <c r="G1086" s="36" t="s">
        <v>949</v>
      </c>
      <c r="H1086" s="36" t="str">
        <f t="shared" si="54"/>
        <v>道路客车</v>
      </c>
      <c r="I1086" s="36" t="str">
        <f t="shared" si="55"/>
        <v>Passenger LDV</v>
      </c>
      <c r="J1086" s="36">
        <v>9375</v>
      </c>
    </row>
    <row r="1087" spans="1:10" x14ac:dyDescent="0.15">
      <c r="A1087" s="36">
        <v>1086</v>
      </c>
      <c r="B1087" s="36">
        <v>2016</v>
      </c>
      <c r="C1087" s="36" t="s">
        <v>952</v>
      </c>
      <c r="D1087" s="36" t="str">
        <f t="shared" si="53"/>
        <v>gasoline vehicle</v>
      </c>
      <c r="E1087" s="36" t="s">
        <v>954</v>
      </c>
      <c r="F1087" s="36" t="s">
        <v>962</v>
      </c>
      <c r="G1087" s="36" t="s">
        <v>949</v>
      </c>
      <c r="H1087" s="36" t="str">
        <f t="shared" si="54"/>
        <v>道路客车</v>
      </c>
      <c r="I1087" s="36" t="str">
        <f t="shared" si="55"/>
        <v>Passenger LDV</v>
      </c>
      <c r="J1087" s="36">
        <v>5958</v>
      </c>
    </row>
    <row r="1088" spans="1:10" x14ac:dyDescent="0.15">
      <c r="A1088" s="36">
        <v>1087</v>
      </c>
      <c r="B1088" s="36">
        <v>2017</v>
      </c>
      <c r="C1088" s="36" t="s">
        <v>952</v>
      </c>
      <c r="D1088" s="36" t="str">
        <f t="shared" si="53"/>
        <v>gasoline vehicle</v>
      </c>
      <c r="E1088" s="36" t="s">
        <v>954</v>
      </c>
      <c r="F1088" s="36" t="s">
        <v>962</v>
      </c>
      <c r="G1088" s="36" t="s">
        <v>949</v>
      </c>
      <c r="H1088" s="36" t="str">
        <f t="shared" si="54"/>
        <v>道路客车</v>
      </c>
      <c r="I1088" s="36" t="str">
        <f t="shared" si="55"/>
        <v>Passenger LDV</v>
      </c>
      <c r="J1088" s="36">
        <v>21686</v>
      </c>
    </row>
    <row r="1089" spans="1:10" x14ac:dyDescent="0.15">
      <c r="A1089" s="36">
        <v>1088</v>
      </c>
      <c r="B1089" s="36">
        <v>2018</v>
      </c>
      <c r="C1089" s="36" t="s">
        <v>952</v>
      </c>
      <c r="D1089" s="36" t="str">
        <f t="shared" si="53"/>
        <v>gasoline vehicle</v>
      </c>
      <c r="E1089" s="36" t="s">
        <v>954</v>
      </c>
      <c r="F1089" s="36" t="s">
        <v>962</v>
      </c>
      <c r="G1089" s="36" t="s">
        <v>949</v>
      </c>
      <c r="H1089" s="36" t="str">
        <f t="shared" si="54"/>
        <v>道路客车</v>
      </c>
      <c r="I1089" s="36" t="str">
        <f t="shared" si="55"/>
        <v>Passenger LDV</v>
      </c>
      <c r="J1089" s="36">
        <v>18011</v>
      </c>
    </row>
    <row r="1090" spans="1:10" x14ac:dyDescent="0.15">
      <c r="A1090" s="36">
        <v>1089</v>
      </c>
      <c r="B1090" s="36">
        <v>2019</v>
      </c>
      <c r="C1090" s="36" t="s">
        <v>952</v>
      </c>
      <c r="D1090" s="36" t="str">
        <f t="shared" ref="D1090:D1153" si="56">VLOOKUP(C1090,M$3:N$16,2,FALSE)</f>
        <v>gasoline vehicle</v>
      </c>
      <c r="E1090" s="36" t="s">
        <v>954</v>
      </c>
      <c r="F1090" s="36" t="s">
        <v>962</v>
      </c>
      <c r="G1090" s="36" t="s">
        <v>949</v>
      </c>
      <c r="H1090" s="36" t="str">
        <f t="shared" ref="H1090:H1153" si="57">VLOOKUP(E1090&amp;F1090&amp;G1090,$S$3:$U$68,2,FALSE)</f>
        <v>道路客车</v>
      </c>
      <c r="I1090" s="36" t="str">
        <f t="shared" ref="I1090:I1153" si="58">VLOOKUP(E1090&amp;F1090&amp;G1090,$S$3:$U$68,3,FALSE)</f>
        <v>Passenger LDV</v>
      </c>
      <c r="J1090" s="36">
        <v>9062</v>
      </c>
    </row>
    <row r="1091" spans="1:10" x14ac:dyDescent="0.15">
      <c r="A1091" s="36">
        <v>1090</v>
      </c>
      <c r="B1091" s="36">
        <v>2020</v>
      </c>
      <c r="C1091" s="36" t="s">
        <v>952</v>
      </c>
      <c r="D1091" s="36" t="str">
        <f t="shared" si="56"/>
        <v>gasoline vehicle</v>
      </c>
      <c r="E1091" s="36" t="s">
        <v>954</v>
      </c>
      <c r="F1091" s="36" t="s">
        <v>962</v>
      </c>
      <c r="G1091" s="36" t="s">
        <v>949</v>
      </c>
      <c r="H1091" s="36" t="str">
        <f t="shared" si="57"/>
        <v>道路客车</v>
      </c>
      <c r="I1091" s="36" t="str">
        <f t="shared" si="58"/>
        <v>Passenger LDV</v>
      </c>
      <c r="J1091" s="36">
        <v>10218</v>
      </c>
    </row>
    <row r="1092" spans="1:10" x14ac:dyDescent="0.15">
      <c r="A1092" s="36">
        <v>1091</v>
      </c>
      <c r="B1092" s="36">
        <v>2021</v>
      </c>
      <c r="C1092" s="36" t="s">
        <v>952</v>
      </c>
      <c r="D1092" s="36" t="str">
        <f t="shared" si="56"/>
        <v>gasoline vehicle</v>
      </c>
      <c r="E1092" s="36" t="s">
        <v>954</v>
      </c>
      <c r="F1092" s="36" t="s">
        <v>962</v>
      </c>
      <c r="G1092" s="36" t="s">
        <v>949</v>
      </c>
      <c r="H1092" s="36" t="str">
        <f t="shared" si="57"/>
        <v>道路客车</v>
      </c>
      <c r="I1092" s="36" t="str">
        <f t="shared" si="58"/>
        <v>Passenger LDV</v>
      </c>
      <c r="J1092" s="36">
        <v>6569</v>
      </c>
    </row>
    <row r="1093" spans="1:10" x14ac:dyDescent="0.15">
      <c r="A1093" s="36">
        <v>1092</v>
      </c>
      <c r="B1093" s="36">
        <v>2015</v>
      </c>
      <c r="C1093" s="36" t="s">
        <v>956</v>
      </c>
      <c r="D1093" s="36" t="str">
        <f t="shared" si="56"/>
        <v>natural gas vehicle</v>
      </c>
      <c r="E1093" s="36" t="s">
        <v>954</v>
      </c>
      <c r="F1093" s="36" t="s">
        <v>962</v>
      </c>
      <c r="G1093" s="36" t="s">
        <v>949</v>
      </c>
      <c r="H1093" s="36" t="str">
        <f t="shared" si="57"/>
        <v>道路客车</v>
      </c>
      <c r="I1093" s="36" t="str">
        <f t="shared" si="58"/>
        <v>Passenger LDV</v>
      </c>
      <c r="J1093" s="36">
        <v>929</v>
      </c>
    </row>
    <row r="1094" spans="1:10" x14ac:dyDescent="0.15">
      <c r="A1094" s="36">
        <v>1093</v>
      </c>
      <c r="B1094" s="36">
        <v>2016</v>
      </c>
      <c r="C1094" s="36" t="s">
        <v>956</v>
      </c>
      <c r="D1094" s="36" t="str">
        <f t="shared" si="56"/>
        <v>natural gas vehicle</v>
      </c>
      <c r="E1094" s="36" t="s">
        <v>954</v>
      </c>
      <c r="F1094" s="36" t="s">
        <v>962</v>
      </c>
      <c r="G1094" s="36" t="s">
        <v>949</v>
      </c>
      <c r="H1094" s="36" t="str">
        <f t="shared" si="57"/>
        <v>道路客车</v>
      </c>
      <c r="I1094" s="36" t="str">
        <f t="shared" si="58"/>
        <v>Passenger LDV</v>
      </c>
      <c r="J1094" s="36">
        <v>13</v>
      </c>
    </row>
    <row r="1095" spans="1:10" x14ac:dyDescent="0.15">
      <c r="A1095" s="36">
        <v>1094</v>
      </c>
      <c r="B1095" s="36">
        <v>2017</v>
      </c>
      <c r="C1095" s="36" t="s">
        <v>956</v>
      </c>
      <c r="D1095" s="36" t="str">
        <f t="shared" si="56"/>
        <v>natural gas vehicle</v>
      </c>
      <c r="E1095" s="36" t="s">
        <v>954</v>
      </c>
      <c r="F1095" s="36" t="s">
        <v>962</v>
      </c>
      <c r="G1095" s="36" t="s">
        <v>949</v>
      </c>
      <c r="H1095" s="36" t="str">
        <f t="shared" si="57"/>
        <v>道路客车</v>
      </c>
      <c r="I1095" s="36" t="str">
        <f t="shared" si="58"/>
        <v>Passenger LDV</v>
      </c>
      <c r="J1095" s="36">
        <v>13</v>
      </c>
    </row>
    <row r="1096" spans="1:10" x14ac:dyDescent="0.15">
      <c r="A1096" s="36">
        <v>1095</v>
      </c>
      <c r="B1096" s="36">
        <v>2018</v>
      </c>
      <c r="C1096" s="36" t="s">
        <v>956</v>
      </c>
      <c r="D1096" s="36" t="str">
        <f t="shared" si="56"/>
        <v>natural gas vehicle</v>
      </c>
      <c r="E1096" s="36" t="s">
        <v>954</v>
      </c>
      <c r="F1096" s="36" t="s">
        <v>962</v>
      </c>
      <c r="G1096" s="36" t="s">
        <v>949</v>
      </c>
      <c r="H1096" s="36" t="str">
        <f t="shared" si="57"/>
        <v>道路客车</v>
      </c>
      <c r="I1096" s="36" t="str">
        <f t="shared" si="58"/>
        <v>Passenger LDV</v>
      </c>
      <c r="J1096" s="36">
        <v>8</v>
      </c>
    </row>
    <row r="1097" spans="1:10" x14ac:dyDescent="0.15">
      <c r="A1097" s="36">
        <v>1096</v>
      </c>
      <c r="B1097" s="36">
        <v>2020</v>
      </c>
      <c r="C1097" s="36" t="s">
        <v>956</v>
      </c>
      <c r="D1097" s="36" t="str">
        <f t="shared" si="56"/>
        <v>natural gas vehicle</v>
      </c>
      <c r="E1097" s="36" t="s">
        <v>954</v>
      </c>
      <c r="F1097" s="36" t="s">
        <v>962</v>
      </c>
      <c r="G1097" s="36" t="s">
        <v>949</v>
      </c>
      <c r="H1097" s="36" t="str">
        <f t="shared" si="57"/>
        <v>道路客车</v>
      </c>
      <c r="I1097" s="36" t="str">
        <f t="shared" si="58"/>
        <v>Passenger LDV</v>
      </c>
      <c r="J1097" s="36">
        <v>16</v>
      </c>
    </row>
    <row r="1098" spans="1:10" x14ac:dyDescent="0.15">
      <c r="A1098" s="36">
        <v>1097</v>
      </c>
      <c r="B1098" s="36">
        <v>2017</v>
      </c>
      <c r="C1098" s="36" t="s">
        <v>955</v>
      </c>
      <c r="D1098" s="36" t="str">
        <f t="shared" si="56"/>
        <v>natural gas vehicle</v>
      </c>
      <c r="E1098" s="36" t="s">
        <v>954</v>
      </c>
      <c r="F1098" s="36" t="s">
        <v>962</v>
      </c>
      <c r="G1098" s="36" t="s">
        <v>949</v>
      </c>
      <c r="H1098" s="36" t="str">
        <f t="shared" si="57"/>
        <v>道路客车</v>
      </c>
      <c r="I1098" s="36" t="str">
        <f t="shared" si="58"/>
        <v>Passenger LDV</v>
      </c>
      <c r="J1098" s="36">
        <v>1</v>
      </c>
    </row>
    <row r="1099" spans="1:10" x14ac:dyDescent="0.15">
      <c r="A1099" s="36">
        <v>1098</v>
      </c>
      <c r="B1099" s="36">
        <v>2019</v>
      </c>
      <c r="C1099" s="36" t="s">
        <v>955</v>
      </c>
      <c r="D1099" s="36" t="str">
        <f t="shared" si="56"/>
        <v>natural gas vehicle</v>
      </c>
      <c r="E1099" s="36" t="s">
        <v>954</v>
      </c>
      <c r="F1099" s="36" t="s">
        <v>962</v>
      </c>
      <c r="G1099" s="36" t="s">
        <v>949</v>
      </c>
      <c r="H1099" s="36" t="str">
        <f t="shared" si="57"/>
        <v>道路客车</v>
      </c>
      <c r="I1099" s="36" t="str">
        <f t="shared" si="58"/>
        <v>Passenger LDV</v>
      </c>
      <c r="J1099" s="36">
        <v>11</v>
      </c>
    </row>
    <row r="1100" spans="1:10" x14ac:dyDescent="0.15">
      <c r="A1100" s="36">
        <v>1099</v>
      </c>
      <c r="B1100" s="36">
        <v>2020</v>
      </c>
      <c r="C1100" s="36" t="s">
        <v>955</v>
      </c>
      <c r="D1100" s="36" t="str">
        <f t="shared" si="56"/>
        <v>natural gas vehicle</v>
      </c>
      <c r="E1100" s="36" t="s">
        <v>954</v>
      </c>
      <c r="F1100" s="36" t="s">
        <v>962</v>
      </c>
      <c r="G1100" s="36" t="s">
        <v>949</v>
      </c>
      <c r="H1100" s="36" t="str">
        <f t="shared" si="57"/>
        <v>道路客车</v>
      </c>
      <c r="I1100" s="36" t="str">
        <f t="shared" si="58"/>
        <v>Passenger LDV</v>
      </c>
      <c r="J1100" s="36">
        <v>3</v>
      </c>
    </row>
    <row r="1101" spans="1:10" x14ac:dyDescent="0.15">
      <c r="A1101" s="36">
        <v>1100</v>
      </c>
      <c r="B1101" s="36">
        <v>2021</v>
      </c>
      <c r="C1101" s="36" t="s">
        <v>955</v>
      </c>
      <c r="D1101" s="36" t="str">
        <f t="shared" si="56"/>
        <v>natural gas vehicle</v>
      </c>
      <c r="E1101" s="36" t="s">
        <v>954</v>
      </c>
      <c r="F1101" s="36" t="s">
        <v>962</v>
      </c>
      <c r="G1101" s="36" t="s">
        <v>949</v>
      </c>
      <c r="H1101" s="36" t="str">
        <f t="shared" si="57"/>
        <v>道路客车</v>
      </c>
      <c r="I1101" s="36" t="str">
        <f t="shared" si="58"/>
        <v>Passenger LDV</v>
      </c>
      <c r="J1101" s="36">
        <v>409</v>
      </c>
    </row>
    <row r="1102" spans="1:10" x14ac:dyDescent="0.15">
      <c r="A1102" s="36">
        <v>1101</v>
      </c>
      <c r="B1102" s="36">
        <v>2015</v>
      </c>
      <c r="C1102" s="36" t="s">
        <v>953</v>
      </c>
      <c r="D1102" s="36" t="str">
        <f t="shared" si="56"/>
        <v>diesel vehicle</v>
      </c>
      <c r="E1102" s="36" t="s">
        <v>951</v>
      </c>
      <c r="F1102" s="36" t="s">
        <v>962</v>
      </c>
      <c r="G1102" s="36" t="s">
        <v>949</v>
      </c>
      <c r="H1102" s="36" t="str">
        <f t="shared" si="57"/>
        <v>道路客车</v>
      </c>
      <c r="I1102" s="36" t="str">
        <f t="shared" si="58"/>
        <v>Passenger HDV</v>
      </c>
      <c r="J1102" s="36">
        <v>16</v>
      </c>
    </row>
    <row r="1103" spans="1:10" x14ac:dyDescent="0.15">
      <c r="A1103" s="36">
        <v>1102</v>
      </c>
      <c r="B1103" s="36">
        <v>2015</v>
      </c>
      <c r="C1103" s="36" t="s">
        <v>952</v>
      </c>
      <c r="D1103" s="36" t="str">
        <f t="shared" si="56"/>
        <v>gasoline vehicle</v>
      </c>
      <c r="E1103" s="36" t="s">
        <v>951</v>
      </c>
      <c r="F1103" s="36" t="s">
        <v>962</v>
      </c>
      <c r="G1103" s="36" t="s">
        <v>949</v>
      </c>
      <c r="H1103" s="36" t="str">
        <f t="shared" si="57"/>
        <v>道路客车</v>
      </c>
      <c r="I1103" s="36" t="str">
        <f t="shared" si="58"/>
        <v>Passenger HDV</v>
      </c>
      <c r="J1103" s="36">
        <v>7</v>
      </c>
    </row>
    <row r="1104" spans="1:10" x14ac:dyDescent="0.15">
      <c r="A1104" s="36">
        <v>1103</v>
      </c>
      <c r="B1104" s="36">
        <v>2016</v>
      </c>
      <c r="C1104" s="36" t="s">
        <v>952</v>
      </c>
      <c r="D1104" s="36" t="str">
        <f t="shared" si="56"/>
        <v>gasoline vehicle</v>
      </c>
      <c r="E1104" s="36" t="s">
        <v>951</v>
      </c>
      <c r="F1104" s="36" t="s">
        <v>962</v>
      </c>
      <c r="G1104" s="36" t="s">
        <v>949</v>
      </c>
      <c r="H1104" s="36" t="str">
        <f t="shared" si="57"/>
        <v>道路客车</v>
      </c>
      <c r="I1104" s="36" t="str">
        <f t="shared" si="58"/>
        <v>Passenger HDV</v>
      </c>
      <c r="J1104" s="36">
        <v>2</v>
      </c>
    </row>
    <row r="1105" spans="1:10" x14ac:dyDescent="0.15">
      <c r="A1105" s="36">
        <v>1104</v>
      </c>
      <c r="B1105" s="36">
        <v>2017</v>
      </c>
      <c r="C1105" s="36" t="s">
        <v>952</v>
      </c>
      <c r="D1105" s="36" t="str">
        <f t="shared" si="56"/>
        <v>gasoline vehicle</v>
      </c>
      <c r="E1105" s="36" t="s">
        <v>951</v>
      </c>
      <c r="F1105" s="36" t="s">
        <v>962</v>
      </c>
      <c r="G1105" s="36" t="s">
        <v>949</v>
      </c>
      <c r="H1105" s="36" t="str">
        <f t="shared" si="57"/>
        <v>道路客车</v>
      </c>
      <c r="I1105" s="36" t="str">
        <f t="shared" si="58"/>
        <v>Passenger HDV</v>
      </c>
      <c r="J1105" s="36">
        <v>8</v>
      </c>
    </row>
    <row r="1106" spans="1:10" x14ac:dyDescent="0.15">
      <c r="A1106" s="36">
        <v>1105</v>
      </c>
      <c r="B1106" s="36">
        <v>2018</v>
      </c>
      <c r="C1106" s="36" t="s">
        <v>952</v>
      </c>
      <c r="D1106" s="36" t="str">
        <f t="shared" si="56"/>
        <v>gasoline vehicle</v>
      </c>
      <c r="E1106" s="36" t="s">
        <v>951</v>
      </c>
      <c r="F1106" s="36" t="s">
        <v>962</v>
      </c>
      <c r="G1106" s="36" t="s">
        <v>949</v>
      </c>
      <c r="H1106" s="36" t="str">
        <f t="shared" si="57"/>
        <v>道路客车</v>
      </c>
      <c r="I1106" s="36" t="str">
        <f t="shared" si="58"/>
        <v>Passenger HDV</v>
      </c>
      <c r="J1106" s="36">
        <v>32</v>
      </c>
    </row>
    <row r="1107" spans="1:10" x14ac:dyDescent="0.15">
      <c r="A1107" s="36">
        <v>1106</v>
      </c>
      <c r="B1107" s="36">
        <v>2019</v>
      </c>
      <c r="C1107" s="36" t="s">
        <v>952</v>
      </c>
      <c r="D1107" s="36" t="str">
        <f t="shared" si="56"/>
        <v>gasoline vehicle</v>
      </c>
      <c r="E1107" s="36" t="s">
        <v>951</v>
      </c>
      <c r="F1107" s="36" t="s">
        <v>962</v>
      </c>
      <c r="G1107" s="36" t="s">
        <v>949</v>
      </c>
      <c r="H1107" s="36" t="str">
        <f t="shared" si="57"/>
        <v>道路客车</v>
      </c>
      <c r="I1107" s="36" t="str">
        <f t="shared" si="58"/>
        <v>Passenger HDV</v>
      </c>
      <c r="J1107" s="36">
        <v>1</v>
      </c>
    </row>
    <row r="1108" spans="1:10" x14ac:dyDescent="0.15">
      <c r="A1108" s="36">
        <v>1107</v>
      </c>
      <c r="B1108" s="36">
        <v>2020</v>
      </c>
      <c r="C1108" s="36" t="s">
        <v>952</v>
      </c>
      <c r="D1108" s="36" t="str">
        <f t="shared" si="56"/>
        <v>gasoline vehicle</v>
      </c>
      <c r="E1108" s="36" t="s">
        <v>951</v>
      </c>
      <c r="F1108" s="36" t="s">
        <v>962</v>
      </c>
      <c r="G1108" s="36" t="s">
        <v>949</v>
      </c>
      <c r="H1108" s="36" t="str">
        <f t="shared" si="57"/>
        <v>道路客车</v>
      </c>
      <c r="I1108" s="36" t="str">
        <f t="shared" si="58"/>
        <v>Passenger HDV</v>
      </c>
      <c r="J1108" s="36">
        <v>4</v>
      </c>
    </row>
    <row r="1109" spans="1:10" x14ac:dyDescent="0.15">
      <c r="A1109" s="36">
        <v>1108</v>
      </c>
      <c r="B1109" s="36">
        <v>2017</v>
      </c>
      <c r="C1109" s="36" t="s">
        <v>958</v>
      </c>
      <c r="D1109" s="36" t="str">
        <f t="shared" si="56"/>
        <v>battery electric vehicle</v>
      </c>
      <c r="E1109" s="36" t="s">
        <v>959</v>
      </c>
      <c r="F1109" s="36" t="s">
        <v>960</v>
      </c>
      <c r="G1109" s="36" t="s">
        <v>949</v>
      </c>
      <c r="H1109" s="36" t="str">
        <f t="shared" si="57"/>
        <v>乘用车</v>
      </c>
      <c r="I1109" s="36" t="str">
        <f t="shared" si="58"/>
        <v>Passenger LDV</v>
      </c>
      <c r="J1109" s="36">
        <v>1384</v>
      </c>
    </row>
    <row r="1110" spans="1:10" x14ac:dyDescent="0.15">
      <c r="A1110" s="36">
        <v>1109</v>
      </c>
      <c r="B1110" s="36">
        <v>2017</v>
      </c>
      <c r="C1110" s="36" t="s">
        <v>952</v>
      </c>
      <c r="D1110" s="36" t="str">
        <f t="shared" si="56"/>
        <v>gasoline vehicle</v>
      </c>
      <c r="E1110" s="36" t="s">
        <v>959</v>
      </c>
      <c r="F1110" s="36" t="s">
        <v>960</v>
      </c>
      <c r="G1110" s="36" t="s">
        <v>949</v>
      </c>
      <c r="H1110" s="36" t="str">
        <f t="shared" si="57"/>
        <v>乘用车</v>
      </c>
      <c r="I1110" s="36" t="str">
        <f t="shared" si="58"/>
        <v>Passenger LDV</v>
      </c>
      <c r="J1110" s="36">
        <v>2</v>
      </c>
    </row>
    <row r="1111" spans="1:10" x14ac:dyDescent="0.15">
      <c r="A1111" s="36">
        <v>1110</v>
      </c>
      <c r="B1111" s="36">
        <v>2018</v>
      </c>
      <c r="C1111" s="36" t="s">
        <v>952</v>
      </c>
      <c r="D1111" s="36" t="str">
        <f t="shared" si="56"/>
        <v>gasoline vehicle</v>
      </c>
      <c r="E1111" s="36" t="s">
        <v>959</v>
      </c>
      <c r="F1111" s="36" t="s">
        <v>960</v>
      </c>
      <c r="G1111" s="36" t="s">
        <v>949</v>
      </c>
      <c r="H1111" s="36" t="str">
        <f t="shared" si="57"/>
        <v>乘用车</v>
      </c>
      <c r="I1111" s="36" t="str">
        <f t="shared" si="58"/>
        <v>Passenger LDV</v>
      </c>
      <c r="J1111" s="36">
        <v>7</v>
      </c>
    </row>
    <row r="1112" spans="1:10" x14ac:dyDescent="0.15">
      <c r="A1112" s="36">
        <v>1111</v>
      </c>
      <c r="B1112" s="36">
        <v>2018</v>
      </c>
      <c r="C1112" s="36" t="s">
        <v>961</v>
      </c>
      <c r="D1112" s="36" t="str">
        <f t="shared" si="56"/>
        <v>plugin hybrid vehicle</v>
      </c>
      <c r="E1112" s="36" t="s">
        <v>954</v>
      </c>
      <c r="F1112" s="36" t="s">
        <v>960</v>
      </c>
      <c r="G1112" s="36" t="s">
        <v>949</v>
      </c>
      <c r="H1112" s="36" t="str">
        <f t="shared" si="57"/>
        <v>乘用车</v>
      </c>
      <c r="I1112" s="36" t="str">
        <f t="shared" si="58"/>
        <v>Passenger LDV</v>
      </c>
      <c r="J1112" s="36">
        <v>1</v>
      </c>
    </row>
    <row r="1113" spans="1:10" x14ac:dyDescent="0.15">
      <c r="A1113" s="36">
        <v>1112</v>
      </c>
      <c r="B1113" s="36">
        <v>2016</v>
      </c>
      <c r="C1113" s="36" t="s">
        <v>953</v>
      </c>
      <c r="D1113" s="36" t="str">
        <f t="shared" si="56"/>
        <v>diesel vehicle</v>
      </c>
      <c r="E1113" s="36" t="s">
        <v>954</v>
      </c>
      <c r="F1113" s="36" t="s">
        <v>960</v>
      </c>
      <c r="G1113" s="36" t="s">
        <v>949</v>
      </c>
      <c r="H1113" s="36" t="str">
        <f t="shared" si="57"/>
        <v>乘用车</v>
      </c>
      <c r="I1113" s="36" t="str">
        <f t="shared" si="58"/>
        <v>Passenger LDV</v>
      </c>
      <c r="J1113" s="36">
        <v>30</v>
      </c>
    </row>
    <row r="1114" spans="1:10" x14ac:dyDescent="0.15">
      <c r="A1114" s="36">
        <v>1113</v>
      </c>
      <c r="B1114" s="36">
        <v>2017</v>
      </c>
      <c r="C1114" s="36" t="s">
        <v>953</v>
      </c>
      <c r="D1114" s="36" t="str">
        <f t="shared" si="56"/>
        <v>diesel vehicle</v>
      </c>
      <c r="E1114" s="36" t="s">
        <v>954</v>
      </c>
      <c r="F1114" s="36" t="s">
        <v>960</v>
      </c>
      <c r="G1114" s="36" t="s">
        <v>949</v>
      </c>
      <c r="H1114" s="36" t="str">
        <f t="shared" si="57"/>
        <v>乘用车</v>
      </c>
      <c r="I1114" s="36" t="str">
        <f t="shared" si="58"/>
        <v>Passenger LDV</v>
      </c>
      <c r="J1114" s="36">
        <v>5</v>
      </c>
    </row>
    <row r="1115" spans="1:10" x14ac:dyDescent="0.15">
      <c r="A1115" s="36">
        <v>1114</v>
      </c>
      <c r="B1115" s="36">
        <v>2018</v>
      </c>
      <c r="C1115" s="36" t="s">
        <v>953</v>
      </c>
      <c r="D1115" s="36" t="str">
        <f t="shared" si="56"/>
        <v>diesel vehicle</v>
      </c>
      <c r="E1115" s="36" t="s">
        <v>954</v>
      </c>
      <c r="F1115" s="36" t="s">
        <v>960</v>
      </c>
      <c r="G1115" s="36" t="s">
        <v>949</v>
      </c>
      <c r="H1115" s="36" t="str">
        <f t="shared" si="57"/>
        <v>乘用车</v>
      </c>
      <c r="I1115" s="36" t="str">
        <f t="shared" si="58"/>
        <v>Passenger LDV</v>
      </c>
      <c r="J1115" s="36">
        <v>7</v>
      </c>
    </row>
    <row r="1116" spans="1:10" x14ac:dyDescent="0.15">
      <c r="A1116" s="36">
        <v>1115</v>
      </c>
      <c r="B1116" s="36">
        <v>2016</v>
      </c>
      <c r="C1116" s="36" t="s">
        <v>958</v>
      </c>
      <c r="D1116" s="36" t="str">
        <f t="shared" si="56"/>
        <v>battery electric vehicle</v>
      </c>
      <c r="E1116" s="36" t="s">
        <v>954</v>
      </c>
      <c r="F1116" s="36" t="s">
        <v>960</v>
      </c>
      <c r="G1116" s="36" t="s">
        <v>949</v>
      </c>
      <c r="H1116" s="36" t="str">
        <f t="shared" si="57"/>
        <v>乘用车</v>
      </c>
      <c r="I1116" s="36" t="str">
        <f t="shared" si="58"/>
        <v>Passenger LDV</v>
      </c>
      <c r="J1116" s="36">
        <v>13</v>
      </c>
    </row>
    <row r="1117" spans="1:10" x14ac:dyDescent="0.15">
      <c r="A1117" s="36">
        <v>1116</v>
      </c>
      <c r="B1117" s="36">
        <v>2017</v>
      </c>
      <c r="C1117" s="36" t="s">
        <v>958</v>
      </c>
      <c r="D1117" s="36" t="str">
        <f t="shared" si="56"/>
        <v>battery electric vehicle</v>
      </c>
      <c r="E1117" s="36" t="s">
        <v>954</v>
      </c>
      <c r="F1117" s="36" t="s">
        <v>960</v>
      </c>
      <c r="G1117" s="36" t="s">
        <v>949</v>
      </c>
      <c r="H1117" s="36" t="str">
        <f t="shared" si="57"/>
        <v>乘用车</v>
      </c>
      <c r="I1117" s="36" t="str">
        <f t="shared" si="58"/>
        <v>Passenger LDV</v>
      </c>
      <c r="J1117" s="36">
        <v>1144</v>
      </c>
    </row>
    <row r="1118" spans="1:10" x14ac:dyDescent="0.15">
      <c r="A1118" s="36">
        <v>1117</v>
      </c>
      <c r="B1118" s="36">
        <v>2018</v>
      </c>
      <c r="C1118" s="36" t="s">
        <v>958</v>
      </c>
      <c r="D1118" s="36" t="str">
        <f t="shared" si="56"/>
        <v>battery electric vehicle</v>
      </c>
      <c r="E1118" s="36" t="s">
        <v>954</v>
      </c>
      <c r="F1118" s="36" t="s">
        <v>960</v>
      </c>
      <c r="G1118" s="36" t="s">
        <v>949</v>
      </c>
      <c r="H1118" s="36" t="str">
        <f t="shared" si="57"/>
        <v>乘用车</v>
      </c>
      <c r="I1118" s="36" t="str">
        <f t="shared" si="58"/>
        <v>Passenger LDV</v>
      </c>
      <c r="J1118" s="36">
        <v>2</v>
      </c>
    </row>
    <row r="1119" spans="1:10" x14ac:dyDescent="0.15">
      <c r="A1119" s="36">
        <v>1118</v>
      </c>
      <c r="B1119" s="36">
        <v>2020</v>
      </c>
      <c r="C1119" s="36" t="s">
        <v>958</v>
      </c>
      <c r="D1119" s="36" t="str">
        <f t="shared" si="56"/>
        <v>battery electric vehicle</v>
      </c>
      <c r="E1119" s="36" t="s">
        <v>954</v>
      </c>
      <c r="F1119" s="36" t="s">
        <v>960</v>
      </c>
      <c r="G1119" s="36" t="s">
        <v>949</v>
      </c>
      <c r="H1119" s="36" t="str">
        <f t="shared" si="57"/>
        <v>乘用车</v>
      </c>
      <c r="I1119" s="36" t="str">
        <f t="shared" si="58"/>
        <v>Passenger LDV</v>
      </c>
      <c r="J1119" s="36">
        <v>2</v>
      </c>
    </row>
    <row r="1120" spans="1:10" x14ac:dyDescent="0.15">
      <c r="A1120" s="36">
        <v>1119</v>
      </c>
      <c r="B1120" s="36">
        <v>2017</v>
      </c>
      <c r="C1120" s="36" t="s">
        <v>957</v>
      </c>
      <c r="D1120" s="36" t="str">
        <f t="shared" si="56"/>
        <v>hybrid fuel vehicle</v>
      </c>
      <c r="E1120" s="36" t="s">
        <v>954</v>
      </c>
      <c r="F1120" s="36" t="s">
        <v>960</v>
      </c>
      <c r="G1120" s="36" t="s">
        <v>949</v>
      </c>
      <c r="H1120" s="36" t="str">
        <f t="shared" si="57"/>
        <v>乘用车</v>
      </c>
      <c r="I1120" s="36" t="str">
        <f t="shared" si="58"/>
        <v>Passenger LDV</v>
      </c>
      <c r="J1120" s="36">
        <v>1</v>
      </c>
    </row>
    <row r="1121" spans="1:10" x14ac:dyDescent="0.15">
      <c r="A1121" s="36">
        <v>1120</v>
      </c>
      <c r="B1121" s="36">
        <v>2016</v>
      </c>
      <c r="C1121" s="36" t="s">
        <v>952</v>
      </c>
      <c r="D1121" s="36" t="str">
        <f t="shared" si="56"/>
        <v>gasoline vehicle</v>
      </c>
      <c r="E1121" s="36" t="s">
        <v>954</v>
      </c>
      <c r="F1121" s="36" t="s">
        <v>960</v>
      </c>
      <c r="G1121" s="36" t="s">
        <v>949</v>
      </c>
      <c r="H1121" s="36" t="str">
        <f t="shared" si="57"/>
        <v>乘用车</v>
      </c>
      <c r="I1121" s="36" t="str">
        <f t="shared" si="58"/>
        <v>Passenger LDV</v>
      </c>
      <c r="J1121" s="36">
        <v>1135</v>
      </c>
    </row>
    <row r="1122" spans="1:10" x14ac:dyDescent="0.15">
      <c r="A1122" s="36">
        <v>1121</v>
      </c>
      <c r="B1122" s="36">
        <v>2017</v>
      </c>
      <c r="C1122" s="36" t="s">
        <v>952</v>
      </c>
      <c r="D1122" s="36" t="str">
        <f t="shared" si="56"/>
        <v>gasoline vehicle</v>
      </c>
      <c r="E1122" s="36" t="s">
        <v>954</v>
      </c>
      <c r="F1122" s="36" t="s">
        <v>960</v>
      </c>
      <c r="G1122" s="36" t="s">
        <v>949</v>
      </c>
      <c r="H1122" s="36" t="str">
        <f t="shared" si="57"/>
        <v>乘用车</v>
      </c>
      <c r="I1122" s="36" t="str">
        <f t="shared" si="58"/>
        <v>Passenger LDV</v>
      </c>
      <c r="J1122" s="36">
        <v>1221</v>
      </c>
    </row>
    <row r="1123" spans="1:10" x14ac:dyDescent="0.15">
      <c r="A1123" s="36">
        <v>1122</v>
      </c>
      <c r="B1123" s="36">
        <v>2018</v>
      </c>
      <c r="C1123" s="36" t="s">
        <v>952</v>
      </c>
      <c r="D1123" s="36" t="str">
        <f t="shared" si="56"/>
        <v>gasoline vehicle</v>
      </c>
      <c r="E1123" s="36" t="s">
        <v>954</v>
      </c>
      <c r="F1123" s="36" t="s">
        <v>960</v>
      </c>
      <c r="G1123" s="36" t="s">
        <v>949</v>
      </c>
      <c r="H1123" s="36" t="str">
        <f t="shared" si="57"/>
        <v>乘用车</v>
      </c>
      <c r="I1123" s="36" t="str">
        <f t="shared" si="58"/>
        <v>Passenger LDV</v>
      </c>
      <c r="J1123" s="36">
        <v>586</v>
      </c>
    </row>
    <row r="1124" spans="1:10" x14ac:dyDescent="0.15">
      <c r="A1124" s="36">
        <v>1123</v>
      </c>
      <c r="B1124" s="36">
        <v>2019</v>
      </c>
      <c r="C1124" s="36" t="s">
        <v>952</v>
      </c>
      <c r="D1124" s="36" t="str">
        <f t="shared" si="56"/>
        <v>gasoline vehicle</v>
      </c>
      <c r="E1124" s="36" t="s">
        <v>954</v>
      </c>
      <c r="F1124" s="36" t="s">
        <v>960</v>
      </c>
      <c r="G1124" s="36" t="s">
        <v>949</v>
      </c>
      <c r="H1124" s="36" t="str">
        <f t="shared" si="57"/>
        <v>乘用车</v>
      </c>
      <c r="I1124" s="36" t="str">
        <f t="shared" si="58"/>
        <v>Passenger LDV</v>
      </c>
      <c r="J1124" s="36">
        <v>34</v>
      </c>
    </row>
    <row r="1125" spans="1:10" x14ac:dyDescent="0.15">
      <c r="A1125" s="36">
        <v>1124</v>
      </c>
      <c r="B1125" s="36">
        <v>2020</v>
      </c>
      <c r="C1125" s="36" t="s">
        <v>952</v>
      </c>
      <c r="D1125" s="36" t="str">
        <f t="shared" si="56"/>
        <v>gasoline vehicle</v>
      </c>
      <c r="E1125" s="36" t="s">
        <v>954</v>
      </c>
      <c r="F1125" s="36" t="s">
        <v>960</v>
      </c>
      <c r="G1125" s="36" t="s">
        <v>949</v>
      </c>
      <c r="H1125" s="36" t="str">
        <f t="shared" si="57"/>
        <v>乘用车</v>
      </c>
      <c r="I1125" s="36" t="str">
        <f t="shared" si="58"/>
        <v>Passenger LDV</v>
      </c>
      <c r="J1125" s="36">
        <v>193</v>
      </c>
    </row>
    <row r="1126" spans="1:10" x14ac:dyDescent="0.15">
      <c r="A1126" s="36">
        <v>1125</v>
      </c>
      <c r="B1126" s="36">
        <v>2021</v>
      </c>
      <c r="C1126" s="36" t="s">
        <v>952</v>
      </c>
      <c r="D1126" s="36" t="str">
        <f t="shared" si="56"/>
        <v>gasoline vehicle</v>
      </c>
      <c r="E1126" s="36" t="s">
        <v>954</v>
      </c>
      <c r="F1126" s="36" t="s">
        <v>960</v>
      </c>
      <c r="G1126" s="36" t="s">
        <v>949</v>
      </c>
      <c r="H1126" s="36" t="str">
        <f t="shared" si="57"/>
        <v>乘用车</v>
      </c>
      <c r="I1126" s="36" t="str">
        <f t="shared" si="58"/>
        <v>Passenger LDV</v>
      </c>
      <c r="J1126" s="36">
        <v>126</v>
      </c>
    </row>
    <row r="1127" spans="1:10" x14ac:dyDescent="0.15">
      <c r="A1127" s="36">
        <v>1126</v>
      </c>
      <c r="B1127" s="36">
        <v>2016</v>
      </c>
      <c r="C1127" s="36" t="s">
        <v>956</v>
      </c>
      <c r="D1127" s="36" t="str">
        <f t="shared" si="56"/>
        <v>natural gas vehicle</v>
      </c>
      <c r="E1127" s="36" t="s">
        <v>954</v>
      </c>
      <c r="F1127" s="36" t="s">
        <v>960</v>
      </c>
      <c r="G1127" s="36" t="s">
        <v>949</v>
      </c>
      <c r="H1127" s="36" t="str">
        <f t="shared" si="57"/>
        <v>乘用车</v>
      </c>
      <c r="I1127" s="36" t="str">
        <f t="shared" si="58"/>
        <v>Passenger LDV</v>
      </c>
      <c r="J1127" s="36">
        <v>10</v>
      </c>
    </row>
    <row r="1128" spans="1:10" x14ac:dyDescent="0.15">
      <c r="A1128" s="36">
        <v>1127</v>
      </c>
      <c r="B1128" s="36">
        <v>2017</v>
      </c>
      <c r="C1128" s="36" t="s">
        <v>956</v>
      </c>
      <c r="D1128" s="36" t="str">
        <f t="shared" si="56"/>
        <v>natural gas vehicle</v>
      </c>
      <c r="E1128" s="36" t="s">
        <v>954</v>
      </c>
      <c r="F1128" s="36" t="s">
        <v>960</v>
      </c>
      <c r="G1128" s="36" t="s">
        <v>949</v>
      </c>
      <c r="H1128" s="36" t="str">
        <f t="shared" si="57"/>
        <v>乘用车</v>
      </c>
      <c r="I1128" s="36" t="str">
        <f t="shared" si="58"/>
        <v>Passenger LDV</v>
      </c>
      <c r="J1128" s="36">
        <v>5</v>
      </c>
    </row>
    <row r="1129" spans="1:10" x14ac:dyDescent="0.15">
      <c r="A1129" s="36">
        <v>1128</v>
      </c>
      <c r="B1129" s="36">
        <v>2018</v>
      </c>
      <c r="C1129" s="36" t="s">
        <v>956</v>
      </c>
      <c r="D1129" s="36" t="str">
        <f t="shared" si="56"/>
        <v>natural gas vehicle</v>
      </c>
      <c r="E1129" s="36" t="s">
        <v>954</v>
      </c>
      <c r="F1129" s="36" t="s">
        <v>960</v>
      </c>
      <c r="G1129" s="36" t="s">
        <v>949</v>
      </c>
      <c r="H1129" s="36" t="str">
        <f t="shared" si="57"/>
        <v>乘用车</v>
      </c>
      <c r="I1129" s="36" t="str">
        <f t="shared" si="58"/>
        <v>Passenger LDV</v>
      </c>
      <c r="J1129" s="36">
        <v>1</v>
      </c>
    </row>
    <row r="1130" spans="1:10" x14ac:dyDescent="0.15">
      <c r="A1130" s="36">
        <v>1129</v>
      </c>
      <c r="B1130" s="36">
        <v>2016</v>
      </c>
      <c r="C1130" s="36" t="s">
        <v>952</v>
      </c>
      <c r="D1130" s="36" t="str">
        <f t="shared" si="56"/>
        <v>gasoline vehicle</v>
      </c>
      <c r="E1130" s="36" t="s">
        <v>951</v>
      </c>
      <c r="F1130" s="36" t="s">
        <v>960</v>
      </c>
      <c r="G1130" s="36" t="s">
        <v>949</v>
      </c>
      <c r="H1130" s="36" t="str">
        <f t="shared" si="57"/>
        <v>道路客车</v>
      </c>
      <c r="I1130" s="36" t="str">
        <f t="shared" si="58"/>
        <v>Passenger HDV</v>
      </c>
      <c r="J1130" s="36">
        <v>5</v>
      </c>
    </row>
    <row r="1131" spans="1:10" x14ac:dyDescent="0.15">
      <c r="A1131" s="36">
        <v>1130</v>
      </c>
      <c r="B1131" s="36">
        <v>2017</v>
      </c>
      <c r="C1131" s="36" t="s">
        <v>952</v>
      </c>
      <c r="D1131" s="36" t="str">
        <f t="shared" si="56"/>
        <v>gasoline vehicle</v>
      </c>
      <c r="E1131" s="36" t="s">
        <v>951</v>
      </c>
      <c r="F1131" s="36" t="s">
        <v>960</v>
      </c>
      <c r="G1131" s="36" t="s">
        <v>949</v>
      </c>
      <c r="H1131" s="36" t="str">
        <f t="shared" si="57"/>
        <v>道路客车</v>
      </c>
      <c r="I1131" s="36" t="str">
        <f t="shared" si="58"/>
        <v>Passenger HDV</v>
      </c>
      <c r="J1131" s="36">
        <v>1</v>
      </c>
    </row>
    <row r="1132" spans="1:10" x14ac:dyDescent="0.15">
      <c r="A1132" s="36">
        <v>1131</v>
      </c>
      <c r="B1132" s="36">
        <v>2018</v>
      </c>
      <c r="C1132" s="36" t="s">
        <v>952</v>
      </c>
      <c r="D1132" s="36" t="str">
        <f t="shared" si="56"/>
        <v>gasoline vehicle</v>
      </c>
      <c r="E1132" s="36" t="s">
        <v>951</v>
      </c>
      <c r="F1132" s="36" t="s">
        <v>960</v>
      </c>
      <c r="G1132" s="36" t="s">
        <v>949</v>
      </c>
      <c r="H1132" s="36" t="str">
        <f t="shared" si="57"/>
        <v>道路客车</v>
      </c>
      <c r="I1132" s="36" t="str">
        <f t="shared" si="58"/>
        <v>Passenger HDV</v>
      </c>
      <c r="J1132" s="36">
        <v>5</v>
      </c>
    </row>
    <row r="1133" spans="1:10" x14ac:dyDescent="0.15">
      <c r="A1133" s="36">
        <v>1132</v>
      </c>
      <c r="B1133" s="36">
        <v>2020</v>
      </c>
      <c r="C1133" s="36" t="s">
        <v>952</v>
      </c>
      <c r="D1133" s="36" t="str">
        <f t="shared" si="56"/>
        <v>gasoline vehicle</v>
      </c>
      <c r="E1133" s="36" t="s">
        <v>951</v>
      </c>
      <c r="F1133" s="36" t="s">
        <v>960</v>
      </c>
      <c r="G1133" s="36" t="s">
        <v>949</v>
      </c>
      <c r="H1133" s="36" t="str">
        <f t="shared" si="57"/>
        <v>道路客车</v>
      </c>
      <c r="I1133" s="36" t="str">
        <f t="shared" si="58"/>
        <v>Passenger HDV</v>
      </c>
      <c r="J1133" s="36">
        <v>1</v>
      </c>
    </row>
    <row r="1134" spans="1:10" x14ac:dyDescent="0.15">
      <c r="A1134" s="36">
        <v>1133</v>
      </c>
      <c r="B1134" s="36">
        <v>2021</v>
      </c>
      <c r="C1134" s="36" t="s">
        <v>952</v>
      </c>
      <c r="D1134" s="36" t="str">
        <f t="shared" si="56"/>
        <v>gasoline vehicle</v>
      </c>
      <c r="E1134" s="36" t="s">
        <v>951</v>
      </c>
      <c r="F1134" s="36" t="s">
        <v>960</v>
      </c>
      <c r="G1134" s="36" t="s">
        <v>949</v>
      </c>
      <c r="H1134" s="36" t="str">
        <f t="shared" si="57"/>
        <v>道路客车</v>
      </c>
      <c r="I1134" s="36" t="str">
        <f t="shared" si="58"/>
        <v>Passenger HDV</v>
      </c>
      <c r="J1134" s="36">
        <v>1</v>
      </c>
    </row>
    <row r="1135" spans="1:10" x14ac:dyDescent="0.15">
      <c r="A1135" s="36">
        <v>1134</v>
      </c>
      <c r="B1135" s="36">
        <v>2015</v>
      </c>
      <c r="C1135" s="36" t="s">
        <v>958</v>
      </c>
      <c r="D1135" s="36" t="str">
        <f t="shared" si="56"/>
        <v>battery electric vehicle</v>
      </c>
      <c r="E1135" s="36" t="s">
        <v>959</v>
      </c>
      <c r="F1135" s="36" t="s">
        <v>950</v>
      </c>
      <c r="G1135" s="36" t="s">
        <v>949</v>
      </c>
      <c r="H1135" s="36" t="str">
        <f t="shared" si="57"/>
        <v>出租车</v>
      </c>
      <c r="I1135" s="36" t="str">
        <f t="shared" si="58"/>
        <v>Passenger LDV</v>
      </c>
      <c r="J1135" s="36">
        <v>1</v>
      </c>
    </row>
    <row r="1136" spans="1:10" x14ac:dyDescent="0.15">
      <c r="A1136" s="36">
        <v>1135</v>
      </c>
      <c r="B1136" s="36">
        <v>2021</v>
      </c>
      <c r="C1136" s="36" t="s">
        <v>958</v>
      </c>
      <c r="D1136" s="36" t="str">
        <f t="shared" si="56"/>
        <v>battery electric vehicle</v>
      </c>
      <c r="E1136" s="36" t="s">
        <v>959</v>
      </c>
      <c r="F1136" s="36" t="s">
        <v>950</v>
      </c>
      <c r="G1136" s="36" t="s">
        <v>949</v>
      </c>
      <c r="H1136" s="36" t="str">
        <f t="shared" si="57"/>
        <v>出租车</v>
      </c>
      <c r="I1136" s="36" t="str">
        <f t="shared" si="58"/>
        <v>Passenger LDV</v>
      </c>
      <c r="J1136" s="36">
        <v>1</v>
      </c>
    </row>
    <row r="1137" spans="1:10" x14ac:dyDescent="0.15">
      <c r="A1137" s="36">
        <v>1136</v>
      </c>
      <c r="B1137" s="36">
        <v>2015</v>
      </c>
      <c r="C1137" s="36" t="s">
        <v>952</v>
      </c>
      <c r="D1137" s="36" t="str">
        <f t="shared" si="56"/>
        <v>gasoline vehicle</v>
      </c>
      <c r="E1137" s="36" t="s">
        <v>959</v>
      </c>
      <c r="F1137" s="36" t="s">
        <v>950</v>
      </c>
      <c r="G1137" s="36" t="s">
        <v>949</v>
      </c>
      <c r="H1137" s="36" t="str">
        <f t="shared" si="57"/>
        <v>出租车</v>
      </c>
      <c r="I1137" s="36" t="str">
        <f t="shared" si="58"/>
        <v>Passenger LDV</v>
      </c>
      <c r="J1137" s="36">
        <v>1</v>
      </c>
    </row>
    <row r="1138" spans="1:10" x14ac:dyDescent="0.15">
      <c r="A1138" s="36">
        <v>1137</v>
      </c>
      <c r="B1138" s="36">
        <v>2015</v>
      </c>
      <c r="C1138" s="36" t="s">
        <v>953</v>
      </c>
      <c r="D1138" s="36" t="str">
        <f t="shared" si="56"/>
        <v>diesel vehicle</v>
      </c>
      <c r="E1138" s="36" t="s">
        <v>954</v>
      </c>
      <c r="F1138" s="36" t="s">
        <v>950</v>
      </c>
      <c r="G1138" s="36" t="s">
        <v>949</v>
      </c>
      <c r="H1138" s="36" t="str">
        <f t="shared" si="57"/>
        <v>出租车</v>
      </c>
      <c r="I1138" s="36" t="str">
        <f t="shared" si="58"/>
        <v>Passenger LDV</v>
      </c>
      <c r="J1138" s="36">
        <v>583</v>
      </c>
    </row>
    <row r="1139" spans="1:10" x14ac:dyDescent="0.15">
      <c r="A1139" s="36">
        <v>1138</v>
      </c>
      <c r="B1139" s="36">
        <v>2016</v>
      </c>
      <c r="C1139" s="36" t="s">
        <v>953</v>
      </c>
      <c r="D1139" s="36" t="str">
        <f t="shared" si="56"/>
        <v>diesel vehicle</v>
      </c>
      <c r="E1139" s="36" t="s">
        <v>954</v>
      </c>
      <c r="F1139" s="36" t="s">
        <v>950</v>
      </c>
      <c r="G1139" s="36" t="s">
        <v>949</v>
      </c>
      <c r="H1139" s="36" t="str">
        <f t="shared" si="57"/>
        <v>出租车</v>
      </c>
      <c r="I1139" s="36" t="str">
        <f t="shared" si="58"/>
        <v>Passenger LDV</v>
      </c>
      <c r="J1139" s="36">
        <v>1</v>
      </c>
    </row>
    <row r="1140" spans="1:10" x14ac:dyDescent="0.15">
      <c r="A1140" s="36">
        <v>1139</v>
      </c>
      <c r="B1140" s="36">
        <v>2017</v>
      </c>
      <c r="C1140" s="36" t="s">
        <v>953</v>
      </c>
      <c r="D1140" s="36" t="str">
        <f t="shared" si="56"/>
        <v>diesel vehicle</v>
      </c>
      <c r="E1140" s="36" t="s">
        <v>954</v>
      </c>
      <c r="F1140" s="36" t="s">
        <v>950</v>
      </c>
      <c r="G1140" s="36" t="s">
        <v>949</v>
      </c>
      <c r="H1140" s="36" t="str">
        <f t="shared" si="57"/>
        <v>出租车</v>
      </c>
      <c r="I1140" s="36" t="str">
        <f t="shared" si="58"/>
        <v>Passenger LDV</v>
      </c>
      <c r="J1140" s="36">
        <v>1</v>
      </c>
    </row>
    <row r="1141" spans="1:10" x14ac:dyDescent="0.15">
      <c r="A1141" s="36">
        <v>1140</v>
      </c>
      <c r="B1141" s="36">
        <v>2018</v>
      </c>
      <c r="C1141" s="36" t="s">
        <v>953</v>
      </c>
      <c r="D1141" s="36" t="str">
        <f t="shared" si="56"/>
        <v>diesel vehicle</v>
      </c>
      <c r="E1141" s="36" t="s">
        <v>954</v>
      </c>
      <c r="F1141" s="36" t="s">
        <v>950</v>
      </c>
      <c r="G1141" s="36" t="s">
        <v>949</v>
      </c>
      <c r="H1141" s="36" t="str">
        <f t="shared" si="57"/>
        <v>出租车</v>
      </c>
      <c r="I1141" s="36" t="str">
        <f t="shared" si="58"/>
        <v>Passenger LDV</v>
      </c>
      <c r="J1141" s="36">
        <v>1</v>
      </c>
    </row>
    <row r="1142" spans="1:10" x14ac:dyDescent="0.15">
      <c r="A1142" s="36">
        <v>1141</v>
      </c>
      <c r="B1142" s="36">
        <v>2020</v>
      </c>
      <c r="C1142" s="36" t="s">
        <v>953</v>
      </c>
      <c r="D1142" s="36" t="str">
        <f t="shared" si="56"/>
        <v>diesel vehicle</v>
      </c>
      <c r="E1142" s="36" t="s">
        <v>954</v>
      </c>
      <c r="F1142" s="36" t="s">
        <v>950</v>
      </c>
      <c r="G1142" s="36" t="s">
        <v>949</v>
      </c>
      <c r="H1142" s="36" t="str">
        <f t="shared" si="57"/>
        <v>出租车</v>
      </c>
      <c r="I1142" s="36" t="str">
        <f t="shared" si="58"/>
        <v>Passenger LDV</v>
      </c>
      <c r="J1142" s="36">
        <v>2</v>
      </c>
    </row>
    <row r="1143" spans="1:10" x14ac:dyDescent="0.15">
      <c r="A1143" s="36">
        <v>1142</v>
      </c>
      <c r="B1143" s="36">
        <v>2021</v>
      </c>
      <c r="C1143" s="36" t="s">
        <v>953</v>
      </c>
      <c r="D1143" s="36" t="str">
        <f t="shared" si="56"/>
        <v>diesel vehicle</v>
      </c>
      <c r="E1143" s="36" t="s">
        <v>954</v>
      </c>
      <c r="F1143" s="36" t="s">
        <v>950</v>
      </c>
      <c r="G1143" s="36" t="s">
        <v>949</v>
      </c>
      <c r="H1143" s="36" t="str">
        <f t="shared" si="57"/>
        <v>出租车</v>
      </c>
      <c r="I1143" s="36" t="str">
        <f t="shared" si="58"/>
        <v>Passenger LDV</v>
      </c>
      <c r="J1143" s="36">
        <v>1</v>
      </c>
    </row>
    <row r="1144" spans="1:10" x14ac:dyDescent="0.15">
      <c r="A1144" s="36">
        <v>1143</v>
      </c>
      <c r="B1144" s="36">
        <v>2015</v>
      </c>
      <c r="C1144" s="36" t="s">
        <v>958</v>
      </c>
      <c r="D1144" s="36" t="str">
        <f t="shared" si="56"/>
        <v>battery electric vehicle</v>
      </c>
      <c r="E1144" s="36" t="s">
        <v>954</v>
      </c>
      <c r="F1144" s="36" t="s">
        <v>950</v>
      </c>
      <c r="G1144" s="36" t="s">
        <v>949</v>
      </c>
      <c r="H1144" s="36" t="str">
        <f t="shared" si="57"/>
        <v>出租车</v>
      </c>
      <c r="I1144" s="36" t="str">
        <f t="shared" si="58"/>
        <v>Passenger LDV</v>
      </c>
      <c r="J1144" s="36">
        <v>40</v>
      </c>
    </row>
    <row r="1145" spans="1:10" x14ac:dyDescent="0.15">
      <c r="A1145" s="36">
        <v>1144</v>
      </c>
      <c r="B1145" s="36">
        <v>2018</v>
      </c>
      <c r="C1145" s="36" t="s">
        <v>958</v>
      </c>
      <c r="D1145" s="36" t="str">
        <f t="shared" si="56"/>
        <v>battery electric vehicle</v>
      </c>
      <c r="E1145" s="36" t="s">
        <v>954</v>
      </c>
      <c r="F1145" s="36" t="s">
        <v>950</v>
      </c>
      <c r="G1145" s="36" t="s">
        <v>949</v>
      </c>
      <c r="H1145" s="36" t="str">
        <f t="shared" si="57"/>
        <v>出租车</v>
      </c>
      <c r="I1145" s="36" t="str">
        <f t="shared" si="58"/>
        <v>Passenger LDV</v>
      </c>
      <c r="J1145" s="36">
        <v>1</v>
      </c>
    </row>
    <row r="1146" spans="1:10" x14ac:dyDescent="0.15">
      <c r="A1146" s="36">
        <v>1145</v>
      </c>
      <c r="B1146" s="36">
        <v>2020</v>
      </c>
      <c r="C1146" s="36" t="s">
        <v>958</v>
      </c>
      <c r="D1146" s="36" t="str">
        <f t="shared" si="56"/>
        <v>battery electric vehicle</v>
      </c>
      <c r="E1146" s="36" t="s">
        <v>954</v>
      </c>
      <c r="F1146" s="36" t="s">
        <v>950</v>
      </c>
      <c r="G1146" s="36" t="s">
        <v>949</v>
      </c>
      <c r="H1146" s="36" t="str">
        <f t="shared" si="57"/>
        <v>出租车</v>
      </c>
      <c r="I1146" s="36" t="str">
        <f t="shared" si="58"/>
        <v>Passenger LDV</v>
      </c>
      <c r="J1146" s="36">
        <v>281</v>
      </c>
    </row>
    <row r="1147" spans="1:10" x14ac:dyDescent="0.15">
      <c r="A1147" s="36">
        <v>1146</v>
      </c>
      <c r="B1147" s="36">
        <v>2021</v>
      </c>
      <c r="C1147" s="36" t="s">
        <v>958</v>
      </c>
      <c r="D1147" s="36" t="str">
        <f t="shared" si="56"/>
        <v>battery electric vehicle</v>
      </c>
      <c r="E1147" s="36" t="s">
        <v>954</v>
      </c>
      <c r="F1147" s="36" t="s">
        <v>950</v>
      </c>
      <c r="G1147" s="36" t="s">
        <v>949</v>
      </c>
      <c r="H1147" s="36" t="str">
        <f t="shared" si="57"/>
        <v>出租车</v>
      </c>
      <c r="I1147" s="36" t="str">
        <f t="shared" si="58"/>
        <v>Passenger LDV</v>
      </c>
      <c r="J1147" s="36">
        <v>93</v>
      </c>
    </row>
    <row r="1148" spans="1:10" x14ac:dyDescent="0.15">
      <c r="A1148" s="36">
        <v>1147</v>
      </c>
      <c r="B1148" s="36">
        <v>2015</v>
      </c>
      <c r="C1148" s="36" t="s">
        <v>957</v>
      </c>
      <c r="D1148" s="36" t="str">
        <f t="shared" si="56"/>
        <v>hybrid fuel vehicle</v>
      </c>
      <c r="E1148" s="36" t="s">
        <v>954</v>
      </c>
      <c r="F1148" s="36" t="s">
        <v>950</v>
      </c>
      <c r="G1148" s="36" t="s">
        <v>949</v>
      </c>
      <c r="H1148" s="36" t="str">
        <f t="shared" si="57"/>
        <v>出租车</v>
      </c>
      <c r="I1148" s="36" t="str">
        <f t="shared" si="58"/>
        <v>Passenger LDV</v>
      </c>
      <c r="J1148" s="36">
        <v>1</v>
      </c>
    </row>
    <row r="1149" spans="1:10" x14ac:dyDescent="0.15">
      <c r="A1149" s="36">
        <v>1148</v>
      </c>
      <c r="B1149" s="36">
        <v>2015</v>
      </c>
      <c r="C1149" s="36" t="s">
        <v>952</v>
      </c>
      <c r="D1149" s="36" t="str">
        <f t="shared" si="56"/>
        <v>gasoline vehicle</v>
      </c>
      <c r="E1149" s="36" t="s">
        <v>954</v>
      </c>
      <c r="F1149" s="36" t="s">
        <v>950</v>
      </c>
      <c r="G1149" s="36" t="s">
        <v>949</v>
      </c>
      <c r="H1149" s="36" t="str">
        <f t="shared" si="57"/>
        <v>出租车</v>
      </c>
      <c r="I1149" s="36" t="str">
        <f t="shared" si="58"/>
        <v>Passenger LDV</v>
      </c>
      <c r="J1149" s="36">
        <v>59004</v>
      </c>
    </row>
    <row r="1150" spans="1:10" x14ac:dyDescent="0.15">
      <c r="A1150" s="36">
        <v>1149</v>
      </c>
      <c r="B1150" s="36">
        <v>2016</v>
      </c>
      <c r="C1150" s="36" t="s">
        <v>952</v>
      </c>
      <c r="D1150" s="36" t="str">
        <f t="shared" si="56"/>
        <v>gasoline vehicle</v>
      </c>
      <c r="E1150" s="36" t="s">
        <v>954</v>
      </c>
      <c r="F1150" s="36" t="s">
        <v>950</v>
      </c>
      <c r="G1150" s="36" t="s">
        <v>949</v>
      </c>
      <c r="H1150" s="36" t="str">
        <f t="shared" si="57"/>
        <v>出租车</v>
      </c>
      <c r="I1150" s="36" t="str">
        <f t="shared" si="58"/>
        <v>Passenger LDV</v>
      </c>
      <c r="J1150" s="36">
        <v>396</v>
      </c>
    </row>
    <row r="1151" spans="1:10" x14ac:dyDescent="0.15">
      <c r="A1151" s="36">
        <v>1150</v>
      </c>
      <c r="B1151" s="36">
        <v>2017</v>
      </c>
      <c r="C1151" s="36" t="s">
        <v>952</v>
      </c>
      <c r="D1151" s="36" t="str">
        <f t="shared" si="56"/>
        <v>gasoline vehicle</v>
      </c>
      <c r="E1151" s="36" t="s">
        <v>954</v>
      </c>
      <c r="F1151" s="36" t="s">
        <v>950</v>
      </c>
      <c r="G1151" s="36" t="s">
        <v>949</v>
      </c>
      <c r="H1151" s="36" t="str">
        <f t="shared" si="57"/>
        <v>出租车</v>
      </c>
      <c r="I1151" s="36" t="str">
        <f t="shared" si="58"/>
        <v>Passenger LDV</v>
      </c>
      <c r="J1151" s="36">
        <v>45</v>
      </c>
    </row>
    <row r="1152" spans="1:10" x14ac:dyDescent="0.15">
      <c r="A1152" s="36">
        <v>1151</v>
      </c>
      <c r="B1152" s="36">
        <v>2018</v>
      </c>
      <c r="C1152" s="36" t="s">
        <v>952</v>
      </c>
      <c r="D1152" s="36" t="str">
        <f t="shared" si="56"/>
        <v>gasoline vehicle</v>
      </c>
      <c r="E1152" s="36" t="s">
        <v>954</v>
      </c>
      <c r="F1152" s="36" t="s">
        <v>950</v>
      </c>
      <c r="G1152" s="36" t="s">
        <v>949</v>
      </c>
      <c r="H1152" s="36" t="str">
        <f t="shared" si="57"/>
        <v>出租车</v>
      </c>
      <c r="I1152" s="36" t="str">
        <f t="shared" si="58"/>
        <v>Passenger LDV</v>
      </c>
      <c r="J1152" s="36">
        <v>75</v>
      </c>
    </row>
    <row r="1153" spans="1:10" x14ac:dyDescent="0.15">
      <c r="A1153" s="36">
        <v>1152</v>
      </c>
      <c r="B1153" s="36">
        <v>2019</v>
      </c>
      <c r="C1153" s="36" t="s">
        <v>952</v>
      </c>
      <c r="D1153" s="36" t="str">
        <f t="shared" si="56"/>
        <v>gasoline vehicle</v>
      </c>
      <c r="E1153" s="36" t="s">
        <v>954</v>
      </c>
      <c r="F1153" s="36" t="s">
        <v>950</v>
      </c>
      <c r="G1153" s="36" t="s">
        <v>949</v>
      </c>
      <c r="H1153" s="36" t="str">
        <f t="shared" si="57"/>
        <v>出租车</v>
      </c>
      <c r="I1153" s="36" t="str">
        <f t="shared" si="58"/>
        <v>Passenger LDV</v>
      </c>
      <c r="J1153" s="36">
        <v>29</v>
      </c>
    </row>
    <row r="1154" spans="1:10" x14ac:dyDescent="0.15">
      <c r="A1154" s="36">
        <v>1153</v>
      </c>
      <c r="B1154" s="36">
        <v>2020</v>
      </c>
      <c r="C1154" s="36" t="s">
        <v>952</v>
      </c>
      <c r="D1154" s="36" t="str">
        <f t="shared" ref="D1154:D1161" si="59">VLOOKUP(C1154,M$3:N$16,2,FALSE)</f>
        <v>gasoline vehicle</v>
      </c>
      <c r="E1154" s="36" t="s">
        <v>954</v>
      </c>
      <c r="F1154" s="36" t="s">
        <v>950</v>
      </c>
      <c r="G1154" s="36" t="s">
        <v>949</v>
      </c>
      <c r="H1154" s="36" t="str">
        <f t="shared" ref="H1154:H1161" si="60">VLOOKUP(E1154&amp;F1154&amp;G1154,$S$3:$U$68,2,FALSE)</f>
        <v>出租车</v>
      </c>
      <c r="I1154" s="36" t="str">
        <f t="shared" ref="I1154:I1161" si="61">VLOOKUP(E1154&amp;F1154&amp;G1154,$S$3:$U$68,3,FALSE)</f>
        <v>Passenger LDV</v>
      </c>
      <c r="J1154" s="36">
        <v>35</v>
      </c>
    </row>
    <row r="1155" spans="1:10" x14ac:dyDescent="0.15">
      <c r="A1155" s="36">
        <v>1154</v>
      </c>
      <c r="B1155" s="36">
        <v>2021</v>
      </c>
      <c r="C1155" s="36" t="s">
        <v>952</v>
      </c>
      <c r="D1155" s="36" t="str">
        <f t="shared" si="59"/>
        <v>gasoline vehicle</v>
      </c>
      <c r="E1155" s="36" t="s">
        <v>954</v>
      </c>
      <c r="F1155" s="36" t="s">
        <v>950</v>
      </c>
      <c r="G1155" s="36" t="s">
        <v>949</v>
      </c>
      <c r="H1155" s="36" t="str">
        <f t="shared" si="60"/>
        <v>出租车</v>
      </c>
      <c r="I1155" s="36" t="str">
        <f t="shared" si="61"/>
        <v>Passenger LDV</v>
      </c>
      <c r="J1155" s="36">
        <v>169</v>
      </c>
    </row>
    <row r="1156" spans="1:10" x14ac:dyDescent="0.15">
      <c r="A1156" s="36">
        <v>1155</v>
      </c>
      <c r="B1156" s="36">
        <v>2015</v>
      </c>
      <c r="C1156" s="36" t="s">
        <v>956</v>
      </c>
      <c r="D1156" s="36" t="str">
        <f t="shared" si="59"/>
        <v>natural gas vehicle</v>
      </c>
      <c r="E1156" s="36" t="s">
        <v>954</v>
      </c>
      <c r="F1156" s="36" t="s">
        <v>950</v>
      </c>
      <c r="G1156" s="36" t="s">
        <v>949</v>
      </c>
      <c r="H1156" s="36" t="str">
        <f t="shared" si="60"/>
        <v>出租车</v>
      </c>
      <c r="I1156" s="36" t="str">
        <f t="shared" si="61"/>
        <v>Passenger LDV</v>
      </c>
      <c r="J1156" s="36">
        <v>61041</v>
      </c>
    </row>
    <row r="1157" spans="1:10" x14ac:dyDescent="0.15">
      <c r="A1157" s="36">
        <v>1156</v>
      </c>
      <c r="B1157" s="36">
        <v>2020</v>
      </c>
      <c r="C1157" s="36" t="s">
        <v>955</v>
      </c>
      <c r="D1157" s="36" t="str">
        <f t="shared" si="59"/>
        <v>natural gas vehicle</v>
      </c>
      <c r="E1157" s="36" t="s">
        <v>954</v>
      </c>
      <c r="F1157" s="36" t="s">
        <v>950</v>
      </c>
      <c r="G1157" s="36" t="s">
        <v>949</v>
      </c>
      <c r="H1157" s="36" t="str">
        <f t="shared" si="60"/>
        <v>出租车</v>
      </c>
      <c r="I1157" s="36" t="str">
        <f t="shared" si="61"/>
        <v>Passenger LDV</v>
      </c>
      <c r="J1157" s="36">
        <v>2</v>
      </c>
    </row>
    <row r="1158" spans="1:10" x14ac:dyDescent="0.15">
      <c r="A1158" s="36">
        <v>1157</v>
      </c>
      <c r="B1158" s="36">
        <v>2021</v>
      </c>
      <c r="C1158" s="36" t="s">
        <v>955</v>
      </c>
      <c r="D1158" s="36" t="str">
        <f t="shared" si="59"/>
        <v>natural gas vehicle</v>
      </c>
      <c r="E1158" s="36" t="s">
        <v>954</v>
      </c>
      <c r="F1158" s="36" t="s">
        <v>950</v>
      </c>
      <c r="G1158" s="36" t="s">
        <v>949</v>
      </c>
      <c r="H1158" s="36" t="str">
        <f t="shared" si="60"/>
        <v>出租车</v>
      </c>
      <c r="I1158" s="36" t="str">
        <f t="shared" si="61"/>
        <v>Passenger LDV</v>
      </c>
      <c r="J1158" s="36">
        <v>17</v>
      </c>
    </row>
    <row r="1159" spans="1:10" x14ac:dyDescent="0.15">
      <c r="A1159" s="36">
        <v>1158</v>
      </c>
      <c r="B1159" s="36">
        <v>2015</v>
      </c>
      <c r="C1159" s="36" t="s">
        <v>953</v>
      </c>
      <c r="D1159" s="36" t="str">
        <f t="shared" si="59"/>
        <v>diesel vehicle</v>
      </c>
      <c r="E1159" s="36" t="s">
        <v>951</v>
      </c>
      <c r="F1159" s="36" t="s">
        <v>950</v>
      </c>
      <c r="G1159" s="36" t="s">
        <v>949</v>
      </c>
      <c r="H1159" s="36" t="str">
        <f t="shared" si="60"/>
        <v>道路客车</v>
      </c>
      <c r="I1159" s="36" t="str">
        <f t="shared" si="61"/>
        <v>Passenger HDV</v>
      </c>
      <c r="J1159" s="36">
        <v>3</v>
      </c>
    </row>
    <row r="1160" spans="1:10" x14ac:dyDescent="0.15">
      <c r="A1160" s="36">
        <v>1159</v>
      </c>
      <c r="B1160" s="36">
        <v>2016</v>
      </c>
      <c r="C1160" s="36" t="s">
        <v>952</v>
      </c>
      <c r="D1160" s="36" t="str">
        <f t="shared" si="59"/>
        <v>gasoline vehicle</v>
      </c>
      <c r="E1160" s="36" t="s">
        <v>951</v>
      </c>
      <c r="F1160" s="36" t="s">
        <v>950</v>
      </c>
      <c r="G1160" s="36" t="s">
        <v>949</v>
      </c>
      <c r="H1160" s="36" t="str">
        <f t="shared" si="60"/>
        <v>道路客车</v>
      </c>
      <c r="I1160" s="36" t="str">
        <f t="shared" si="61"/>
        <v>Passenger HDV</v>
      </c>
      <c r="J1160" s="36">
        <v>1</v>
      </c>
    </row>
    <row r="1161" spans="1:10" x14ac:dyDescent="0.15">
      <c r="A1161" s="36">
        <v>1160</v>
      </c>
      <c r="B1161" s="36">
        <v>2020</v>
      </c>
      <c r="C1161" s="36" t="s">
        <v>952</v>
      </c>
      <c r="D1161" s="36" t="str">
        <f t="shared" si="59"/>
        <v>gasoline vehicle</v>
      </c>
      <c r="E1161" s="36" t="s">
        <v>951</v>
      </c>
      <c r="F1161" s="36" t="s">
        <v>950</v>
      </c>
      <c r="G1161" s="36" t="s">
        <v>949</v>
      </c>
      <c r="H1161" s="36" t="str">
        <f t="shared" si="60"/>
        <v>道路客车</v>
      </c>
      <c r="I1161" s="36" t="str">
        <f t="shared" si="61"/>
        <v>Passenger HDV</v>
      </c>
      <c r="J1161" s="36">
        <v>1</v>
      </c>
    </row>
  </sheetData>
  <autoFilter ref="P2:V2" xr:uid="{00000000-0001-0000-0100-000000000000}">
    <sortState xmlns:xlrd2="http://schemas.microsoft.com/office/spreadsheetml/2017/richdata2" ref="P3:V68">
      <sortCondition descending="1" ref="V2"/>
    </sortState>
  </autoFilter>
  <mergeCells count="2">
    <mergeCell ref="M1:N1"/>
    <mergeCell ref="P1:U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0309-A177-460C-B232-0416CFE42E79}">
  <dimension ref="A1:W38"/>
  <sheetViews>
    <sheetView workbookViewId="0">
      <selection activeCell="V9" sqref="V9"/>
    </sheetView>
  </sheetViews>
  <sheetFormatPr defaultRowHeight="12.9" x14ac:dyDescent="0.15"/>
  <cols>
    <col min="1" max="1" width="16.875" style="36" bestFit="1" customWidth="1"/>
    <col min="2" max="2" width="21.875" style="36" bestFit="1" customWidth="1"/>
    <col min="3" max="3" width="13.125" style="36" bestFit="1" customWidth="1"/>
    <col min="4" max="4" width="15.625" style="36" bestFit="1" customWidth="1"/>
    <col min="5" max="5" width="18.125" style="36" bestFit="1" customWidth="1"/>
    <col min="6" max="6" width="17.125" style="36" bestFit="1" customWidth="1"/>
    <col min="7" max="7" width="11.375" style="36" bestFit="1" customWidth="1"/>
    <col min="8" max="8" width="18.375" style="36" bestFit="1" customWidth="1"/>
    <col min="9" max="9" width="17.125" style="36" bestFit="1" customWidth="1"/>
    <col min="10" max="10" width="20.625" style="36" bestFit="1" customWidth="1"/>
    <col min="11" max="11" width="9.5" style="36" bestFit="1" customWidth="1"/>
    <col min="12" max="13" width="10.5" style="36" bestFit="1" customWidth="1"/>
    <col min="14" max="14" width="10.5" style="36" customWidth="1"/>
    <col min="15" max="16384" width="9" style="36"/>
  </cols>
  <sheetData>
    <row r="1" spans="1:23" x14ac:dyDescent="0.15">
      <c r="A1" s="48" t="s">
        <v>1022</v>
      </c>
      <c r="B1" s="48" t="s">
        <v>1021</v>
      </c>
    </row>
    <row r="2" spans="1:23" ht="51.65" x14ac:dyDescent="0.15">
      <c r="A2" s="48" t="s">
        <v>1020</v>
      </c>
      <c r="B2" s="36" t="s">
        <v>1</v>
      </c>
      <c r="C2" s="36" t="s">
        <v>4</v>
      </c>
      <c r="D2" s="36" t="s">
        <v>3</v>
      </c>
      <c r="E2" s="36" t="s">
        <v>1017</v>
      </c>
      <c r="F2" s="36" t="s">
        <v>126</v>
      </c>
      <c r="G2" s="36" t="s">
        <v>125</v>
      </c>
      <c r="H2" s="36" t="s">
        <v>2</v>
      </c>
      <c r="I2" s="36" t="s">
        <v>1016</v>
      </c>
      <c r="J2" s="36" t="s">
        <v>5</v>
      </c>
      <c r="K2" s="36" t="s">
        <v>1019</v>
      </c>
      <c r="L2" s="36" t="s">
        <v>1010</v>
      </c>
      <c r="N2" s="47" t="s">
        <v>1018</v>
      </c>
      <c r="O2" s="46" t="s">
        <v>1</v>
      </c>
      <c r="P2" s="46" t="s">
        <v>2</v>
      </c>
      <c r="Q2" s="46" t="s">
        <v>3</v>
      </c>
      <c r="R2" s="46" t="s">
        <v>4</v>
      </c>
      <c r="S2" s="46" t="s">
        <v>5</v>
      </c>
      <c r="T2" s="46" t="s">
        <v>125</v>
      </c>
      <c r="U2" s="46" t="s">
        <v>126</v>
      </c>
      <c r="V2" s="46" t="s">
        <v>1017</v>
      </c>
      <c r="W2" s="46" t="s">
        <v>1016</v>
      </c>
    </row>
    <row r="3" spans="1:23" x14ac:dyDescent="0.15">
      <c r="A3" s="43" t="s">
        <v>1015</v>
      </c>
      <c r="B3" s="36">
        <v>49887</v>
      </c>
      <c r="C3" s="36">
        <v>7556854</v>
      </c>
      <c r="D3" s="36">
        <v>402</v>
      </c>
      <c r="E3" s="36">
        <v>106</v>
      </c>
      <c r="F3" s="36">
        <v>4322</v>
      </c>
      <c r="H3" s="36">
        <v>484270</v>
      </c>
      <c r="I3" s="36">
        <v>117</v>
      </c>
      <c r="J3" s="36">
        <v>1156</v>
      </c>
      <c r="K3" s="36">
        <v>4</v>
      </c>
      <c r="L3" s="36">
        <v>8097118</v>
      </c>
      <c r="N3" s="37" t="s">
        <v>987</v>
      </c>
      <c r="O3" s="37"/>
      <c r="P3" s="37"/>
      <c r="Q3" s="37"/>
      <c r="R3" s="37"/>
      <c r="S3" s="37"/>
      <c r="T3" s="37"/>
      <c r="U3" s="37"/>
      <c r="V3" s="37"/>
      <c r="W3" s="37"/>
    </row>
    <row r="4" spans="1:23" x14ac:dyDescent="0.15">
      <c r="A4" s="44">
        <v>2015</v>
      </c>
      <c r="B4" s="36">
        <v>5722</v>
      </c>
      <c r="C4" s="36">
        <v>543387</v>
      </c>
      <c r="D4" s="36">
        <v>213</v>
      </c>
      <c r="H4" s="36">
        <v>14079</v>
      </c>
      <c r="L4" s="36">
        <v>563401</v>
      </c>
      <c r="N4" s="42">
        <v>2015</v>
      </c>
      <c r="O4" s="45">
        <f t="shared" ref="O4:O10" si="0">B4/($L4-$K4)</f>
        <v>1.0156176506608969E-2</v>
      </c>
      <c r="P4" s="45">
        <f t="shared" ref="P4:P10" si="1">H4/($L4-$K4)</f>
        <v>2.4989306018271179E-2</v>
      </c>
      <c r="Q4" s="45">
        <f t="shared" ref="Q4:Q10" si="2">D4/($L4-$K4)</f>
        <v>3.7806109680316505E-4</v>
      </c>
      <c r="R4" s="45">
        <f t="shared" ref="R4:R10" si="3">C4/($L4-$K4)</f>
        <v>0.96447645637831669</v>
      </c>
      <c r="S4" s="45">
        <f t="shared" ref="S4:S10" si="4">J4/($L4-$K4)</f>
        <v>0</v>
      </c>
      <c r="T4" s="45">
        <f t="shared" ref="T4:T10" si="5">G4/($L4-$K4)</f>
        <v>0</v>
      </c>
      <c r="U4" s="45">
        <f t="shared" ref="U4:U10" si="6">F4/($L4-$K4)</f>
        <v>0</v>
      </c>
      <c r="V4" s="45">
        <f t="shared" ref="V4:V10" si="7">E4/($L4-$K4)</f>
        <v>0</v>
      </c>
      <c r="W4" s="45">
        <f t="shared" ref="W4:W10" si="8">I4/($L4-$K4)</f>
        <v>0</v>
      </c>
    </row>
    <row r="5" spans="1:23" x14ac:dyDescent="0.15">
      <c r="A5" s="44">
        <v>2016</v>
      </c>
      <c r="B5" s="36">
        <v>4529</v>
      </c>
      <c r="C5" s="36">
        <v>761880</v>
      </c>
      <c r="D5" s="36">
        <v>25</v>
      </c>
      <c r="E5" s="36">
        <v>6</v>
      </c>
      <c r="H5" s="36">
        <v>15344</v>
      </c>
      <c r="K5" s="36">
        <v>4</v>
      </c>
      <c r="L5" s="36">
        <v>781788</v>
      </c>
      <c r="N5" s="42">
        <v>2016</v>
      </c>
      <c r="O5" s="45">
        <f t="shared" si="0"/>
        <v>5.7931602590997004E-3</v>
      </c>
      <c r="P5" s="45">
        <f t="shared" si="1"/>
        <v>1.9626904618155399E-2</v>
      </c>
      <c r="Q5" s="45">
        <f t="shared" si="2"/>
        <v>3.1978142300174985E-5</v>
      </c>
      <c r="R5" s="45">
        <f t="shared" si="3"/>
        <v>0.97454028222629263</v>
      </c>
      <c r="S5" s="45">
        <f t="shared" si="4"/>
        <v>0</v>
      </c>
      <c r="T5" s="45">
        <f t="shared" si="5"/>
        <v>0</v>
      </c>
      <c r="U5" s="45">
        <f t="shared" si="6"/>
        <v>0</v>
      </c>
      <c r="V5" s="45">
        <f t="shared" si="7"/>
        <v>7.6747541520419962E-6</v>
      </c>
      <c r="W5" s="45">
        <f t="shared" si="8"/>
        <v>0</v>
      </c>
    </row>
    <row r="6" spans="1:23" x14ac:dyDescent="0.15">
      <c r="A6" s="44">
        <v>2017</v>
      </c>
      <c r="B6" s="36">
        <v>16933</v>
      </c>
      <c r="C6" s="36">
        <v>1061952</v>
      </c>
      <c r="D6" s="36">
        <v>46</v>
      </c>
      <c r="E6" s="36">
        <v>56</v>
      </c>
      <c r="F6" s="36">
        <v>933</v>
      </c>
      <c r="H6" s="36">
        <v>70507</v>
      </c>
      <c r="J6" s="36">
        <v>1120</v>
      </c>
      <c r="L6" s="36">
        <v>1151547</v>
      </c>
      <c r="N6" s="42">
        <v>2017</v>
      </c>
      <c r="O6" s="45">
        <f t="shared" si="0"/>
        <v>1.4704566986844653E-2</v>
      </c>
      <c r="P6" s="45">
        <f t="shared" si="1"/>
        <v>6.1228069718387526E-2</v>
      </c>
      <c r="Q6" s="45">
        <f t="shared" si="2"/>
        <v>3.9946263591499085E-5</v>
      </c>
      <c r="R6" s="45">
        <f t="shared" si="3"/>
        <v>0.92219596768520951</v>
      </c>
      <c r="S6" s="45">
        <f t="shared" si="4"/>
        <v>9.7260467874954297E-4</v>
      </c>
      <c r="T6" s="45">
        <f t="shared" si="5"/>
        <v>0</v>
      </c>
      <c r="U6" s="45">
        <f t="shared" si="6"/>
        <v>8.1021443327975319E-4</v>
      </c>
      <c r="V6" s="45">
        <f t="shared" si="7"/>
        <v>4.8630233937477151E-5</v>
      </c>
      <c r="W6" s="45">
        <f t="shared" si="8"/>
        <v>0</v>
      </c>
    </row>
    <row r="7" spans="1:23" x14ac:dyDescent="0.15">
      <c r="A7" s="44">
        <v>2018</v>
      </c>
      <c r="B7" s="36">
        <v>1648</v>
      </c>
      <c r="C7" s="36">
        <v>1070295</v>
      </c>
      <c r="D7" s="36">
        <v>40</v>
      </c>
      <c r="E7" s="36">
        <v>2</v>
      </c>
      <c r="F7" s="36">
        <v>404</v>
      </c>
      <c r="H7" s="36">
        <v>65710</v>
      </c>
      <c r="L7" s="36">
        <v>1138099</v>
      </c>
      <c r="N7" s="42">
        <v>2018</v>
      </c>
      <c r="O7" s="45">
        <f t="shared" si="0"/>
        <v>1.4480286864323754E-3</v>
      </c>
      <c r="P7" s="45">
        <f t="shared" si="1"/>
        <v>5.7736629238756908E-2</v>
      </c>
      <c r="Q7" s="45">
        <f t="shared" si="2"/>
        <v>3.5146327340591636E-5</v>
      </c>
      <c r="R7" s="45">
        <f t="shared" si="3"/>
        <v>0.94042346052496317</v>
      </c>
      <c r="S7" s="45">
        <f t="shared" si="4"/>
        <v>0</v>
      </c>
      <c r="T7" s="45">
        <f t="shared" si="5"/>
        <v>0</v>
      </c>
      <c r="U7" s="45">
        <f t="shared" si="6"/>
        <v>3.5497790613997553E-4</v>
      </c>
      <c r="V7" s="45">
        <f t="shared" si="7"/>
        <v>1.7573163670295819E-6</v>
      </c>
      <c r="W7" s="45">
        <f t="shared" si="8"/>
        <v>0</v>
      </c>
    </row>
    <row r="8" spans="1:23" x14ac:dyDescent="0.15">
      <c r="A8" s="44">
        <v>2019</v>
      </c>
      <c r="B8" s="36">
        <v>5962</v>
      </c>
      <c r="C8" s="36">
        <v>1141356</v>
      </c>
      <c r="D8" s="36">
        <v>30</v>
      </c>
      <c r="F8" s="36">
        <v>2014</v>
      </c>
      <c r="H8" s="36">
        <v>116202</v>
      </c>
      <c r="I8" s="36">
        <v>13</v>
      </c>
      <c r="L8" s="36">
        <v>1265577</v>
      </c>
      <c r="N8" s="42">
        <v>2019</v>
      </c>
      <c r="O8" s="45">
        <f t="shared" si="0"/>
        <v>4.7108947144267003E-3</v>
      </c>
      <c r="P8" s="45">
        <f t="shared" si="1"/>
        <v>9.1817408186147503E-2</v>
      </c>
      <c r="Q8" s="45">
        <f t="shared" si="2"/>
        <v>2.3704602722710668E-5</v>
      </c>
      <c r="R8" s="45">
        <f t="shared" si="3"/>
        <v>0.90184635150607195</v>
      </c>
      <c r="S8" s="45">
        <f t="shared" si="4"/>
        <v>0</v>
      </c>
      <c r="T8" s="45">
        <f t="shared" si="5"/>
        <v>0</v>
      </c>
      <c r="U8" s="45">
        <f t="shared" si="6"/>
        <v>1.5913689961179762E-3</v>
      </c>
      <c r="V8" s="45">
        <f t="shared" si="7"/>
        <v>0</v>
      </c>
      <c r="W8" s="45">
        <f t="shared" si="8"/>
        <v>1.0271994513174623E-5</v>
      </c>
    </row>
    <row r="9" spans="1:23" x14ac:dyDescent="0.15">
      <c r="A9" s="44">
        <v>2020</v>
      </c>
      <c r="B9" s="36">
        <v>4111</v>
      </c>
      <c r="C9" s="36">
        <v>1530088</v>
      </c>
      <c r="D9" s="36">
        <v>44</v>
      </c>
      <c r="E9" s="36">
        <v>24</v>
      </c>
      <c r="F9" s="36">
        <v>146</v>
      </c>
      <c r="H9" s="36">
        <v>142829</v>
      </c>
      <c r="I9" s="36">
        <v>14</v>
      </c>
      <c r="J9" s="36">
        <v>11</v>
      </c>
      <c r="L9" s="36">
        <v>1677267</v>
      </c>
      <c r="N9" s="42">
        <v>2020</v>
      </c>
      <c r="O9" s="45">
        <f t="shared" si="0"/>
        <v>2.4510110793332248E-3</v>
      </c>
      <c r="P9" s="45">
        <f t="shared" si="1"/>
        <v>8.5155792130889113E-2</v>
      </c>
      <c r="Q9" s="45">
        <f t="shared" si="2"/>
        <v>2.6233151907239576E-5</v>
      </c>
      <c r="R9" s="45">
        <f t="shared" si="3"/>
        <v>0.91225070307828149</v>
      </c>
      <c r="S9" s="45">
        <f t="shared" si="4"/>
        <v>6.5582879768098939E-6</v>
      </c>
      <c r="T9" s="45">
        <f t="shared" si="5"/>
        <v>0</v>
      </c>
      <c r="U9" s="45">
        <f t="shared" si="6"/>
        <v>8.7046367692204042E-5</v>
      </c>
      <c r="V9" s="45">
        <f t="shared" si="7"/>
        <v>1.4308991949403405E-5</v>
      </c>
      <c r="W9" s="45">
        <f t="shared" si="8"/>
        <v>8.3469119704853191E-6</v>
      </c>
    </row>
    <row r="10" spans="1:23" x14ac:dyDescent="0.15">
      <c r="A10" s="44">
        <v>2021</v>
      </c>
      <c r="B10" s="36">
        <v>10982</v>
      </c>
      <c r="C10" s="36">
        <v>1447896</v>
      </c>
      <c r="D10" s="36">
        <v>4</v>
      </c>
      <c r="E10" s="36">
        <v>18</v>
      </c>
      <c r="F10" s="36">
        <v>825</v>
      </c>
      <c r="H10" s="36">
        <v>59599</v>
      </c>
      <c r="I10" s="36">
        <v>90</v>
      </c>
      <c r="J10" s="36">
        <v>25</v>
      </c>
      <c r="L10" s="36">
        <v>1519439</v>
      </c>
      <c r="N10" s="42">
        <v>2021</v>
      </c>
      <c r="O10" s="45">
        <f t="shared" si="0"/>
        <v>7.2276675799423339E-3</v>
      </c>
      <c r="P10" s="45">
        <f t="shared" si="1"/>
        <v>3.9224345301127589E-2</v>
      </c>
      <c r="Q10" s="45">
        <f t="shared" si="2"/>
        <v>2.6325505663603473E-6</v>
      </c>
      <c r="R10" s="45">
        <f t="shared" si="3"/>
        <v>0.95291485870772041</v>
      </c>
      <c r="S10" s="45">
        <f t="shared" si="4"/>
        <v>1.6453441039752171E-5</v>
      </c>
      <c r="T10" s="45">
        <f t="shared" si="5"/>
        <v>0</v>
      </c>
      <c r="U10" s="45">
        <f t="shared" si="6"/>
        <v>5.4296355431182163E-4</v>
      </c>
      <c r="V10" s="45">
        <f t="shared" si="7"/>
        <v>1.1846477548621564E-5</v>
      </c>
      <c r="W10" s="45">
        <f t="shared" si="8"/>
        <v>5.9232387743107815E-5</v>
      </c>
    </row>
    <row r="11" spans="1:23" x14ac:dyDescent="0.15">
      <c r="A11" s="43" t="s">
        <v>1014</v>
      </c>
      <c r="B11" s="36">
        <v>217086</v>
      </c>
      <c r="C11" s="36">
        <v>7283616</v>
      </c>
      <c r="D11" s="36">
        <v>6562410</v>
      </c>
      <c r="E11" s="36">
        <v>12</v>
      </c>
      <c r="F11" s="36">
        <v>3</v>
      </c>
      <c r="H11" s="36">
        <v>176564</v>
      </c>
      <c r="J11" s="36">
        <v>1667</v>
      </c>
      <c r="L11" s="36">
        <v>14241358</v>
      </c>
      <c r="N11" s="37" t="s">
        <v>986</v>
      </c>
      <c r="O11" s="37"/>
      <c r="P11" s="37"/>
      <c r="Q11" s="37"/>
      <c r="R11" s="37"/>
      <c r="S11" s="37"/>
      <c r="T11" s="37"/>
      <c r="U11" s="37"/>
      <c r="V11" s="37"/>
      <c r="W11" s="37"/>
    </row>
    <row r="12" spans="1:23" x14ac:dyDescent="0.15">
      <c r="A12" s="44">
        <v>2015</v>
      </c>
      <c r="B12" s="36">
        <v>24785</v>
      </c>
      <c r="C12" s="36">
        <v>763006</v>
      </c>
      <c r="D12" s="36">
        <v>706406</v>
      </c>
      <c r="E12" s="36">
        <v>4</v>
      </c>
      <c r="H12" s="36">
        <v>36040</v>
      </c>
      <c r="L12" s="36">
        <v>1530241</v>
      </c>
      <c r="N12" s="42">
        <v>2015</v>
      </c>
      <c r="O12" s="45">
        <f t="shared" ref="O12:O18" si="9">B12/($L12-$K12)</f>
        <v>1.6196795145339851E-2</v>
      </c>
      <c r="P12" s="45">
        <f t="shared" ref="P12:P18" si="10">H12/($L12-$K12)</f>
        <v>2.3551845755015059E-2</v>
      </c>
      <c r="Q12" s="45">
        <f t="shared" ref="Q12:Q18" si="11">D12/($L12-$K12)</f>
        <v>0.46163055361867839</v>
      </c>
      <c r="R12" s="45">
        <f t="shared" ref="R12:R18" si="12">C12/($L12-$K12)</f>
        <v>0.4986181915136243</v>
      </c>
      <c r="S12" s="45">
        <f t="shared" ref="S12:S18" si="13">J12/($L12-$K12)</f>
        <v>0</v>
      </c>
      <c r="T12" s="45">
        <f t="shared" ref="T12:T18" si="14">G12/($L12-$K12)</f>
        <v>0</v>
      </c>
      <c r="U12" s="45">
        <f t="shared" ref="U12:U18" si="15">F12/($L12-$K12)</f>
        <v>0</v>
      </c>
      <c r="V12" s="45">
        <f t="shared" ref="V12:V18" si="16">E12/($L12-$K12)</f>
        <v>2.6139673423990078E-6</v>
      </c>
      <c r="W12" s="45">
        <f t="shared" ref="W12:W18" si="17">I12/($L12-$K12)</f>
        <v>0</v>
      </c>
    </row>
    <row r="13" spans="1:23" x14ac:dyDescent="0.15">
      <c r="A13" s="44">
        <v>2016</v>
      </c>
      <c r="B13" s="36">
        <v>17755</v>
      </c>
      <c r="C13" s="36">
        <v>876597</v>
      </c>
      <c r="D13" s="36">
        <v>756679</v>
      </c>
      <c r="H13" s="36">
        <v>16696</v>
      </c>
      <c r="L13" s="36">
        <v>1667727</v>
      </c>
      <c r="N13" s="42">
        <v>2016</v>
      </c>
      <c r="O13" s="45">
        <f t="shared" si="9"/>
        <v>1.0646226870465011E-2</v>
      </c>
      <c r="P13" s="45">
        <f t="shared" si="10"/>
        <v>1.0011230854930093E-2</v>
      </c>
      <c r="Q13" s="45">
        <f t="shared" si="11"/>
        <v>0.45371874413498131</v>
      </c>
      <c r="R13" s="45">
        <f t="shared" si="12"/>
        <v>0.52562379813962357</v>
      </c>
      <c r="S13" s="45">
        <f t="shared" si="13"/>
        <v>0</v>
      </c>
      <c r="T13" s="45">
        <f t="shared" si="14"/>
        <v>0</v>
      </c>
      <c r="U13" s="45">
        <f t="shared" si="15"/>
        <v>0</v>
      </c>
      <c r="V13" s="45">
        <f t="shared" si="16"/>
        <v>0</v>
      </c>
      <c r="W13" s="45">
        <f t="shared" si="17"/>
        <v>0</v>
      </c>
    </row>
    <row r="14" spans="1:23" x14ac:dyDescent="0.15">
      <c r="A14" s="44">
        <v>2017</v>
      </c>
      <c r="B14" s="36">
        <v>61786</v>
      </c>
      <c r="C14" s="36">
        <v>1024613</v>
      </c>
      <c r="D14" s="36">
        <v>838364</v>
      </c>
      <c r="H14" s="36">
        <v>20278</v>
      </c>
      <c r="L14" s="36">
        <v>1945041</v>
      </c>
      <c r="N14" s="42">
        <v>2017</v>
      </c>
      <c r="O14" s="45">
        <f t="shared" si="9"/>
        <v>3.1765911361251509E-2</v>
      </c>
      <c r="P14" s="45">
        <f t="shared" si="10"/>
        <v>1.042548717482048E-2</v>
      </c>
      <c r="Q14" s="45">
        <f t="shared" si="11"/>
        <v>0.43102638967507628</v>
      </c>
      <c r="R14" s="45">
        <f t="shared" si="12"/>
        <v>0.52678221178885176</v>
      </c>
      <c r="S14" s="45">
        <f t="shared" si="13"/>
        <v>0</v>
      </c>
      <c r="T14" s="45">
        <f t="shared" si="14"/>
        <v>0</v>
      </c>
      <c r="U14" s="45">
        <f t="shared" si="15"/>
        <v>0</v>
      </c>
      <c r="V14" s="45">
        <f t="shared" si="16"/>
        <v>0</v>
      </c>
      <c r="W14" s="45">
        <f t="shared" si="17"/>
        <v>0</v>
      </c>
    </row>
    <row r="15" spans="1:23" x14ac:dyDescent="0.15">
      <c r="A15" s="44">
        <v>2018</v>
      </c>
      <c r="B15" s="36">
        <v>40792</v>
      </c>
      <c r="C15" s="36">
        <v>1036146</v>
      </c>
      <c r="D15" s="36">
        <v>940137</v>
      </c>
      <c r="H15" s="36">
        <v>27190</v>
      </c>
      <c r="J15" s="36">
        <v>1</v>
      </c>
      <c r="L15" s="36">
        <v>2044266</v>
      </c>
      <c r="N15" s="42">
        <v>2018</v>
      </c>
      <c r="O15" s="45">
        <f t="shared" si="9"/>
        <v>1.9954350363406721E-2</v>
      </c>
      <c r="P15" s="45">
        <f t="shared" si="10"/>
        <v>1.3300617434326062E-2</v>
      </c>
      <c r="Q15" s="45">
        <f t="shared" si="11"/>
        <v>0.45988975994317766</v>
      </c>
      <c r="R15" s="45">
        <f t="shared" si="12"/>
        <v>0.50685478308595844</v>
      </c>
      <c r="S15" s="45">
        <f t="shared" si="13"/>
        <v>4.8917313108959402E-7</v>
      </c>
      <c r="T15" s="45">
        <f t="shared" si="14"/>
        <v>0</v>
      </c>
      <c r="U15" s="45">
        <f t="shared" si="15"/>
        <v>0</v>
      </c>
      <c r="V15" s="45">
        <f t="shared" si="16"/>
        <v>0</v>
      </c>
      <c r="W15" s="45">
        <f t="shared" si="17"/>
        <v>0</v>
      </c>
    </row>
    <row r="16" spans="1:23" x14ac:dyDescent="0.15">
      <c r="A16" s="44">
        <v>2019</v>
      </c>
      <c r="B16" s="36">
        <v>18134</v>
      </c>
      <c r="C16" s="36">
        <v>1052509</v>
      </c>
      <c r="D16" s="36">
        <v>1086406</v>
      </c>
      <c r="H16" s="36">
        <v>32818</v>
      </c>
      <c r="J16" s="36">
        <v>98</v>
      </c>
      <c r="L16" s="36">
        <v>2189965</v>
      </c>
      <c r="N16" s="42">
        <v>2019</v>
      </c>
      <c r="O16" s="45">
        <f t="shared" si="9"/>
        <v>8.2804976335238232E-3</v>
      </c>
      <c r="P16" s="45">
        <f t="shared" si="10"/>
        <v>1.4985627624185774E-2</v>
      </c>
      <c r="Q16" s="45">
        <f t="shared" si="11"/>
        <v>0.49608372736550582</v>
      </c>
      <c r="R16" s="45">
        <f t="shared" si="12"/>
        <v>0.48060539780316125</v>
      </c>
      <c r="S16" s="45">
        <f t="shared" si="13"/>
        <v>4.4749573623322746E-5</v>
      </c>
      <c r="T16" s="45">
        <f t="shared" si="14"/>
        <v>0</v>
      </c>
      <c r="U16" s="45">
        <f t="shared" si="15"/>
        <v>0</v>
      </c>
      <c r="V16" s="45">
        <f t="shared" si="16"/>
        <v>0</v>
      </c>
      <c r="W16" s="45">
        <f t="shared" si="17"/>
        <v>0</v>
      </c>
    </row>
    <row r="17" spans="1:23" x14ac:dyDescent="0.15">
      <c r="A17" s="44">
        <v>2020</v>
      </c>
      <c r="B17" s="36">
        <v>15349</v>
      </c>
      <c r="C17" s="36">
        <v>1319180</v>
      </c>
      <c r="D17" s="36">
        <v>1157774</v>
      </c>
      <c r="H17" s="36">
        <v>21626</v>
      </c>
      <c r="J17" s="36">
        <v>318</v>
      </c>
      <c r="L17" s="36">
        <v>2514247</v>
      </c>
      <c r="N17" s="42">
        <v>2020</v>
      </c>
      <c r="O17" s="45">
        <f t="shared" si="9"/>
        <v>6.1048099092889446E-3</v>
      </c>
      <c r="P17" s="45">
        <f t="shared" si="10"/>
        <v>8.6013824417410061E-3</v>
      </c>
      <c r="Q17" s="45">
        <f t="shared" si="11"/>
        <v>0.46048538588293036</v>
      </c>
      <c r="R17" s="45">
        <f t="shared" si="12"/>
        <v>0.5246819425458199</v>
      </c>
      <c r="S17" s="45">
        <f t="shared" si="13"/>
        <v>1.2647922021981133E-4</v>
      </c>
      <c r="T17" s="45">
        <f t="shared" si="14"/>
        <v>0</v>
      </c>
      <c r="U17" s="45">
        <f t="shared" si="15"/>
        <v>0</v>
      </c>
      <c r="V17" s="45">
        <f t="shared" si="16"/>
        <v>0</v>
      </c>
      <c r="W17" s="45">
        <f t="shared" si="17"/>
        <v>0</v>
      </c>
    </row>
    <row r="18" spans="1:23" x14ac:dyDescent="0.15">
      <c r="A18" s="44">
        <v>2021</v>
      </c>
      <c r="B18" s="36">
        <v>38485</v>
      </c>
      <c r="C18" s="36">
        <v>1211565</v>
      </c>
      <c r="D18" s="36">
        <v>1076644</v>
      </c>
      <c r="E18" s="36">
        <v>8</v>
      </c>
      <c r="F18" s="36">
        <v>3</v>
      </c>
      <c r="H18" s="36">
        <v>21916</v>
      </c>
      <c r="J18" s="36">
        <v>1250</v>
      </c>
      <c r="L18" s="36">
        <v>2349871</v>
      </c>
      <c r="N18" s="42">
        <v>2021</v>
      </c>
      <c r="O18" s="45">
        <f t="shared" si="9"/>
        <v>1.6377494764606228E-2</v>
      </c>
      <c r="P18" s="45">
        <f t="shared" si="10"/>
        <v>9.3264694104484881E-3</v>
      </c>
      <c r="Q18" s="45">
        <f t="shared" si="11"/>
        <v>0.45817153367142283</v>
      </c>
      <c r="R18" s="45">
        <f t="shared" si="12"/>
        <v>0.51558787695154329</v>
      </c>
      <c r="S18" s="45">
        <f t="shared" si="13"/>
        <v>5.3194409395239145E-4</v>
      </c>
      <c r="T18" s="45">
        <f t="shared" si="14"/>
        <v>0</v>
      </c>
      <c r="U18" s="45">
        <f t="shared" si="15"/>
        <v>1.2766658254857395E-6</v>
      </c>
      <c r="V18" s="45">
        <f t="shared" si="16"/>
        <v>3.404442201295305E-6</v>
      </c>
      <c r="W18" s="45">
        <f t="shared" si="17"/>
        <v>0</v>
      </c>
    </row>
    <row r="19" spans="1:23" x14ac:dyDescent="0.15">
      <c r="A19" s="43" t="s">
        <v>1013</v>
      </c>
      <c r="B19" s="36">
        <v>512915</v>
      </c>
      <c r="C19" s="36">
        <v>547268</v>
      </c>
      <c r="D19" s="36">
        <v>102586</v>
      </c>
      <c r="E19" s="36">
        <v>24163</v>
      </c>
      <c r="F19" s="36">
        <v>4155</v>
      </c>
      <c r="H19" s="36">
        <v>53334</v>
      </c>
      <c r="I19" s="36">
        <v>5</v>
      </c>
      <c r="J19" s="36">
        <v>51218</v>
      </c>
      <c r="K19" s="36">
        <v>38</v>
      </c>
      <c r="L19" s="36">
        <v>1295682</v>
      </c>
      <c r="N19" s="37" t="s">
        <v>983</v>
      </c>
      <c r="O19" s="37"/>
      <c r="P19" s="37"/>
      <c r="Q19" s="37"/>
      <c r="R19" s="37"/>
      <c r="S19" s="37"/>
      <c r="T19" s="37"/>
      <c r="U19" s="37"/>
      <c r="V19" s="37"/>
      <c r="W19" s="37"/>
    </row>
    <row r="20" spans="1:23" x14ac:dyDescent="0.15">
      <c r="A20" s="44">
        <v>2015</v>
      </c>
      <c r="B20" s="36">
        <v>85938</v>
      </c>
      <c r="C20" s="36">
        <v>123176</v>
      </c>
      <c r="D20" s="36">
        <v>18249</v>
      </c>
      <c r="E20" s="36">
        <v>8354</v>
      </c>
      <c r="H20" s="36">
        <v>25597</v>
      </c>
      <c r="J20" s="36">
        <v>16901</v>
      </c>
      <c r="K20" s="36">
        <v>38</v>
      </c>
      <c r="L20" s="36">
        <v>278253</v>
      </c>
      <c r="N20" s="42">
        <v>2015</v>
      </c>
      <c r="O20" s="45">
        <f t="shared" ref="O20:O26" si="18">B20/($L20-$K20)</f>
        <v>0.30889060618586345</v>
      </c>
      <c r="P20" s="45">
        <f t="shared" ref="P20:P26" si="19">H20/($L20-$K20)</f>
        <v>9.2004385097855981E-2</v>
      </c>
      <c r="Q20" s="45">
        <f t="shared" ref="Q20:Q26" si="20">D20/($L20-$K20)</f>
        <v>6.5593156371870673E-2</v>
      </c>
      <c r="R20" s="45">
        <f t="shared" ref="R20:R26" si="21">C20/($L20-$K20)</f>
        <v>0.4427367323832288</v>
      </c>
      <c r="S20" s="45">
        <f t="shared" ref="S20:S26" si="22">J20/($L20-$K20)</f>
        <v>6.0747982675269124E-2</v>
      </c>
      <c r="T20" s="45">
        <f t="shared" ref="T20:T26" si="23">G20/($L20-$K20)</f>
        <v>0</v>
      </c>
      <c r="U20" s="45">
        <f t="shared" ref="U20:U26" si="24">F20/($L20-$K20)</f>
        <v>0</v>
      </c>
      <c r="V20" s="45">
        <f t="shared" ref="V20:V26" si="25">E20/($L20-$K20)</f>
        <v>3.0027137285911974E-2</v>
      </c>
      <c r="W20" s="45">
        <f t="shared" ref="W20:W26" si="26">I20/($L20-$K20)</f>
        <v>0</v>
      </c>
    </row>
    <row r="21" spans="1:23" x14ac:dyDescent="0.15">
      <c r="A21" s="44">
        <v>2016</v>
      </c>
      <c r="B21" s="36">
        <v>91058</v>
      </c>
      <c r="C21" s="36">
        <v>113793</v>
      </c>
      <c r="D21" s="36">
        <v>19181</v>
      </c>
      <c r="E21" s="36">
        <v>13270</v>
      </c>
      <c r="F21" s="36">
        <v>29</v>
      </c>
      <c r="H21" s="36">
        <v>11598</v>
      </c>
      <c r="J21" s="36">
        <v>5344</v>
      </c>
      <c r="L21" s="36">
        <v>254273</v>
      </c>
      <c r="N21" s="42">
        <v>2016</v>
      </c>
      <c r="O21" s="45">
        <f t="shared" si="18"/>
        <v>0.35811116398516557</v>
      </c>
      <c r="P21" s="45">
        <f t="shared" si="19"/>
        <v>4.5612392979199522E-2</v>
      </c>
      <c r="Q21" s="45">
        <f t="shared" si="20"/>
        <v>7.5434670609934987E-2</v>
      </c>
      <c r="R21" s="45">
        <f t="shared" si="21"/>
        <v>0.44752293794465003</v>
      </c>
      <c r="S21" s="45">
        <f t="shared" si="22"/>
        <v>2.1016781176137457E-2</v>
      </c>
      <c r="T21" s="45">
        <f t="shared" si="23"/>
        <v>0</v>
      </c>
      <c r="U21" s="45">
        <f t="shared" si="24"/>
        <v>1.1405064635254235E-4</v>
      </c>
      <c r="V21" s="45">
        <f t="shared" si="25"/>
        <v>5.2188002658559891E-2</v>
      </c>
      <c r="W21" s="45">
        <f t="shared" si="26"/>
        <v>0</v>
      </c>
    </row>
    <row r="22" spans="1:23" x14ac:dyDescent="0.15">
      <c r="A22" s="44">
        <v>2017</v>
      </c>
      <c r="B22" s="36">
        <v>76566</v>
      </c>
      <c r="C22" s="36">
        <v>85307</v>
      </c>
      <c r="D22" s="36">
        <v>16807</v>
      </c>
      <c r="E22" s="36">
        <v>2295</v>
      </c>
      <c r="F22" s="36">
        <v>115</v>
      </c>
      <c r="H22" s="36">
        <v>8781</v>
      </c>
      <c r="J22" s="36">
        <v>12561</v>
      </c>
      <c r="L22" s="36">
        <v>202432</v>
      </c>
      <c r="N22" s="42">
        <v>2017</v>
      </c>
      <c r="O22" s="45">
        <f t="shared" si="18"/>
        <v>0.37823071451153967</v>
      </c>
      <c r="P22" s="45">
        <f t="shared" si="19"/>
        <v>4.3377529244388237E-2</v>
      </c>
      <c r="Q22" s="45">
        <f t="shared" si="20"/>
        <v>8.3025411002213084E-2</v>
      </c>
      <c r="R22" s="45">
        <f t="shared" si="21"/>
        <v>0.42141064653809673</v>
      </c>
      <c r="S22" s="45">
        <f t="shared" si="22"/>
        <v>6.2050466329434083E-2</v>
      </c>
      <c r="T22" s="45">
        <f t="shared" si="23"/>
        <v>0</v>
      </c>
      <c r="U22" s="45">
        <f t="shared" si="24"/>
        <v>5.6809200126462216E-4</v>
      </c>
      <c r="V22" s="45">
        <f t="shared" si="25"/>
        <v>1.1337140373063548E-2</v>
      </c>
      <c r="W22" s="45">
        <f t="shared" si="26"/>
        <v>0</v>
      </c>
    </row>
    <row r="23" spans="1:23" x14ac:dyDescent="0.15">
      <c r="A23" s="44">
        <v>2018</v>
      </c>
      <c r="B23" s="36">
        <v>85927</v>
      </c>
      <c r="C23" s="36">
        <v>72442</v>
      </c>
      <c r="D23" s="36">
        <v>12754</v>
      </c>
      <c r="E23" s="36">
        <v>239</v>
      </c>
      <c r="F23" s="36">
        <v>437</v>
      </c>
      <c r="H23" s="36">
        <v>3832</v>
      </c>
      <c r="I23" s="36">
        <v>5</v>
      </c>
      <c r="J23" s="36">
        <v>5839</v>
      </c>
      <c r="L23" s="36">
        <v>181475</v>
      </c>
      <c r="N23" s="42">
        <v>2018</v>
      </c>
      <c r="O23" s="45">
        <f t="shared" si="18"/>
        <v>0.47349221655875467</v>
      </c>
      <c r="P23" s="45">
        <f t="shared" si="19"/>
        <v>2.111585617853699E-2</v>
      </c>
      <c r="Q23" s="45">
        <f t="shared" si="20"/>
        <v>7.0279652844744453E-2</v>
      </c>
      <c r="R23" s="45">
        <f t="shared" si="21"/>
        <v>0.39918446066951369</v>
      </c>
      <c r="S23" s="45">
        <f t="shared" si="22"/>
        <v>3.2175230748036916E-2</v>
      </c>
      <c r="T23" s="45">
        <f t="shared" si="23"/>
        <v>0</v>
      </c>
      <c r="U23" s="45">
        <f t="shared" si="24"/>
        <v>2.4080451852872297E-3</v>
      </c>
      <c r="V23" s="45">
        <f t="shared" si="25"/>
        <v>1.3169858107177296E-3</v>
      </c>
      <c r="W23" s="45">
        <f t="shared" si="26"/>
        <v>2.7552004408320707E-5</v>
      </c>
    </row>
    <row r="24" spans="1:23" x14ac:dyDescent="0.15">
      <c r="A24" s="44">
        <v>2019</v>
      </c>
      <c r="B24" s="36">
        <v>72243</v>
      </c>
      <c r="C24" s="36">
        <v>70020</v>
      </c>
      <c r="D24" s="36">
        <v>15305</v>
      </c>
      <c r="E24" s="36">
        <v>3</v>
      </c>
      <c r="F24" s="36">
        <v>1176</v>
      </c>
      <c r="H24" s="36">
        <v>2082</v>
      </c>
      <c r="J24" s="36">
        <v>4298</v>
      </c>
      <c r="L24" s="36">
        <v>165127</v>
      </c>
      <c r="N24" s="42">
        <v>2019</v>
      </c>
      <c r="O24" s="45">
        <f t="shared" si="18"/>
        <v>0.43749962150344884</v>
      </c>
      <c r="P24" s="45">
        <f t="shared" si="19"/>
        <v>1.2608477111556559E-2</v>
      </c>
      <c r="Q24" s="45">
        <f t="shared" si="20"/>
        <v>9.2686235443022638E-2</v>
      </c>
      <c r="R24" s="45">
        <f t="shared" si="21"/>
        <v>0.42403725617252175</v>
      </c>
      <c r="S24" s="45">
        <f t="shared" si="22"/>
        <v>2.6028450828756048E-2</v>
      </c>
      <c r="T24" s="45">
        <f t="shared" si="23"/>
        <v>0</v>
      </c>
      <c r="U24" s="45">
        <f t="shared" si="24"/>
        <v>7.1217911062394397E-3</v>
      </c>
      <c r="V24" s="45">
        <f t="shared" si="25"/>
        <v>1.8167834454692448E-5</v>
      </c>
      <c r="W24" s="45">
        <f t="shared" si="26"/>
        <v>0</v>
      </c>
    </row>
    <row r="25" spans="1:23" x14ac:dyDescent="0.15">
      <c r="A25" s="44">
        <v>2020</v>
      </c>
      <c r="B25" s="36">
        <v>55145</v>
      </c>
      <c r="C25" s="36">
        <v>35741</v>
      </c>
      <c r="D25" s="36">
        <v>7949</v>
      </c>
      <c r="F25" s="36">
        <v>1351</v>
      </c>
      <c r="H25" s="36">
        <v>915</v>
      </c>
      <c r="J25" s="36">
        <v>5049</v>
      </c>
      <c r="L25" s="36">
        <v>106150</v>
      </c>
      <c r="N25" s="42">
        <v>2020</v>
      </c>
      <c r="O25" s="45">
        <f t="shared" si="18"/>
        <v>0.51950070654733871</v>
      </c>
      <c r="P25" s="45">
        <f t="shared" si="19"/>
        <v>8.6198775317946306E-3</v>
      </c>
      <c r="Q25" s="45">
        <f t="shared" si="20"/>
        <v>7.4884597268016953E-2</v>
      </c>
      <c r="R25" s="45">
        <f t="shared" si="21"/>
        <v>0.33670277908619878</v>
      </c>
      <c r="S25" s="45">
        <f t="shared" si="22"/>
        <v>4.7564766839378235E-2</v>
      </c>
      <c r="T25" s="45">
        <f t="shared" si="23"/>
        <v>0</v>
      </c>
      <c r="U25" s="45">
        <f t="shared" si="24"/>
        <v>1.2727272727272728E-2</v>
      </c>
      <c r="V25" s="45">
        <f t="shared" si="25"/>
        <v>0</v>
      </c>
      <c r="W25" s="45">
        <f t="shared" si="26"/>
        <v>0</v>
      </c>
    </row>
    <row r="26" spans="1:23" x14ac:dyDescent="0.15">
      <c r="A26" s="44">
        <v>2021</v>
      </c>
      <c r="B26" s="36">
        <v>46038</v>
      </c>
      <c r="C26" s="36">
        <v>46789</v>
      </c>
      <c r="D26" s="36">
        <v>12341</v>
      </c>
      <c r="E26" s="36">
        <v>2</v>
      </c>
      <c r="F26" s="36">
        <v>1047</v>
      </c>
      <c r="H26" s="36">
        <v>529</v>
      </c>
      <c r="J26" s="36">
        <v>1226</v>
      </c>
      <c r="L26" s="36">
        <v>107972</v>
      </c>
      <c r="N26" s="42">
        <v>2021</v>
      </c>
      <c r="O26" s="45">
        <f t="shared" si="18"/>
        <v>0.42638832289852924</v>
      </c>
      <c r="P26" s="45">
        <f t="shared" si="19"/>
        <v>4.8994183677249659E-3</v>
      </c>
      <c r="Q26" s="45">
        <f t="shared" si="20"/>
        <v>0.11429815137257808</v>
      </c>
      <c r="R26" s="45">
        <f t="shared" si="21"/>
        <v>0.43334382988182119</v>
      </c>
      <c r="S26" s="45">
        <f t="shared" si="22"/>
        <v>1.1354795687770904E-2</v>
      </c>
      <c r="T26" s="45">
        <f t="shared" si="23"/>
        <v>0</v>
      </c>
      <c r="U26" s="45">
        <f t="shared" si="24"/>
        <v>9.696958470714629E-3</v>
      </c>
      <c r="V26" s="45">
        <f t="shared" si="25"/>
        <v>1.8523320860963953E-5</v>
      </c>
      <c r="W26" s="45">
        <f t="shared" si="26"/>
        <v>0</v>
      </c>
    </row>
    <row r="27" spans="1:23" x14ac:dyDescent="0.15">
      <c r="A27" s="43" t="s">
        <v>1012</v>
      </c>
      <c r="B27" s="36">
        <v>5711717</v>
      </c>
      <c r="C27" s="36">
        <v>1203924</v>
      </c>
      <c r="D27" s="36">
        <v>144403802</v>
      </c>
      <c r="E27" s="36">
        <v>2485070</v>
      </c>
      <c r="F27" s="36">
        <v>77</v>
      </c>
      <c r="G27" s="36">
        <v>10354</v>
      </c>
      <c r="H27" s="36">
        <v>2028005</v>
      </c>
      <c r="I27" s="36">
        <v>26020</v>
      </c>
      <c r="J27" s="36">
        <v>1106569</v>
      </c>
      <c r="L27" s="36">
        <v>156975538</v>
      </c>
      <c r="N27" s="37" t="s">
        <v>981</v>
      </c>
      <c r="O27" s="37"/>
      <c r="P27" s="37"/>
      <c r="Q27" s="37"/>
      <c r="R27" s="37"/>
      <c r="S27" s="37"/>
      <c r="T27" s="37"/>
      <c r="U27" s="37"/>
      <c r="V27" s="37"/>
      <c r="W27" s="37"/>
    </row>
    <row r="28" spans="1:23" x14ac:dyDescent="0.15">
      <c r="A28" s="44">
        <v>2015</v>
      </c>
      <c r="B28" s="36">
        <v>135782</v>
      </c>
      <c r="C28" s="36">
        <v>163367</v>
      </c>
      <c r="D28" s="36">
        <v>19291074</v>
      </c>
      <c r="E28" s="36">
        <v>69444</v>
      </c>
      <c r="H28" s="36">
        <v>1495689</v>
      </c>
      <c r="I28" s="36">
        <v>578</v>
      </c>
      <c r="J28" s="36">
        <v>12662</v>
      </c>
      <c r="L28" s="36">
        <v>21168596</v>
      </c>
      <c r="N28" s="42">
        <v>2015</v>
      </c>
      <c r="O28" s="45">
        <f t="shared" ref="O28:O34" si="27">B28/($L28-$K28)</f>
        <v>6.4143129756928608E-3</v>
      </c>
      <c r="P28" s="45">
        <f t="shared" ref="P28:P34" si="28">H28/($L28-$K28)</f>
        <v>7.0656032171429795E-2</v>
      </c>
      <c r="Q28" s="45">
        <f t="shared" ref="Q28:Q34" si="29">D28/($L28-$K28)</f>
        <v>0.91130625762804485</v>
      </c>
      <c r="R28" s="45">
        <f t="shared" ref="R28:R34" si="30">C28/($L28-$K28)</f>
        <v>7.717422544225418E-3</v>
      </c>
      <c r="S28" s="45">
        <f t="shared" ref="S28:S34" si="31">J28/($L28-$K28)</f>
        <v>5.9815020325391444E-4</v>
      </c>
      <c r="T28" s="45">
        <f t="shared" ref="T28:T34" si="32">G28/($L28-$K28)</f>
        <v>0</v>
      </c>
      <c r="U28" s="45">
        <f t="shared" ref="U28:U34" si="33">F28/($L28-$K28)</f>
        <v>0</v>
      </c>
      <c r="V28" s="45">
        <f t="shared" ref="V28:V34" si="34">E28/($L28-$K28)</f>
        <v>3.2805198795423183E-3</v>
      </c>
      <c r="W28" s="45">
        <f t="shared" ref="W28:W34" si="35">I28/($L28-$K28)</f>
        <v>2.7304597810832614E-5</v>
      </c>
    </row>
    <row r="29" spans="1:23" x14ac:dyDescent="0.15">
      <c r="A29" s="44">
        <v>2016</v>
      </c>
      <c r="B29" s="36">
        <v>246143</v>
      </c>
      <c r="C29" s="36">
        <v>154701</v>
      </c>
      <c r="D29" s="36">
        <v>24058794</v>
      </c>
      <c r="E29" s="36">
        <v>157772</v>
      </c>
      <c r="F29" s="36">
        <v>8</v>
      </c>
      <c r="G29" s="36">
        <v>1722</v>
      </c>
      <c r="H29" s="36">
        <v>110827</v>
      </c>
      <c r="I29" s="36">
        <v>205</v>
      </c>
      <c r="J29" s="36">
        <v>24705</v>
      </c>
      <c r="L29" s="36">
        <v>24754877</v>
      </c>
      <c r="N29" s="42">
        <v>2016</v>
      </c>
      <c r="O29" s="45">
        <f t="shared" si="27"/>
        <v>9.943212402146049E-3</v>
      </c>
      <c r="P29" s="45">
        <f t="shared" si="28"/>
        <v>4.4769763953987733E-3</v>
      </c>
      <c r="Q29" s="45">
        <f t="shared" si="29"/>
        <v>0.97188097521147043</v>
      </c>
      <c r="R29" s="45">
        <f t="shared" si="30"/>
        <v>6.2493140240607939E-3</v>
      </c>
      <c r="S29" s="45">
        <f t="shared" si="31"/>
        <v>9.9798516470108096E-4</v>
      </c>
      <c r="T29" s="45">
        <f t="shared" si="32"/>
        <v>6.9562050338606001E-5</v>
      </c>
      <c r="U29" s="45">
        <f t="shared" si="33"/>
        <v>3.2316864268806508E-7</v>
      </c>
      <c r="V29" s="45">
        <f t="shared" si="34"/>
        <v>6.3733703867726752E-3</v>
      </c>
      <c r="W29" s="45">
        <f t="shared" si="35"/>
        <v>8.281196468881668E-6</v>
      </c>
    </row>
    <row r="30" spans="1:23" x14ac:dyDescent="0.15">
      <c r="A30" s="44">
        <v>2017</v>
      </c>
      <c r="B30" s="36">
        <v>508748</v>
      </c>
      <c r="C30" s="36">
        <v>160842</v>
      </c>
      <c r="D30" s="36">
        <v>23725630</v>
      </c>
      <c r="E30" s="36">
        <v>222304</v>
      </c>
      <c r="F30" s="36">
        <v>50</v>
      </c>
      <c r="G30" s="36">
        <v>5287</v>
      </c>
      <c r="H30" s="36">
        <v>99873</v>
      </c>
      <c r="I30" s="36">
        <v>2309</v>
      </c>
      <c r="J30" s="36">
        <v>58890</v>
      </c>
      <c r="L30" s="36">
        <v>24783933</v>
      </c>
      <c r="N30" s="42">
        <v>2017</v>
      </c>
      <c r="O30" s="45">
        <f t="shared" si="27"/>
        <v>2.0527331154421697E-2</v>
      </c>
      <c r="P30" s="45">
        <f t="shared" si="28"/>
        <v>4.0297478208967076E-3</v>
      </c>
      <c r="Q30" s="45">
        <f t="shared" si="29"/>
        <v>0.9572988274298514</v>
      </c>
      <c r="R30" s="45">
        <f t="shared" si="30"/>
        <v>6.4897689967125076E-3</v>
      </c>
      <c r="S30" s="45">
        <f t="shared" si="31"/>
        <v>2.3761361846806155E-3</v>
      </c>
      <c r="T30" s="45">
        <f t="shared" si="32"/>
        <v>2.1332368837504524E-4</v>
      </c>
      <c r="U30" s="45">
        <f t="shared" si="33"/>
        <v>2.0174360542372349E-6</v>
      </c>
      <c r="V30" s="45">
        <f t="shared" si="34"/>
        <v>8.9696820920230867E-3</v>
      </c>
      <c r="W30" s="45">
        <f t="shared" si="35"/>
        <v>9.3165196984675513E-5</v>
      </c>
    </row>
    <row r="31" spans="1:23" x14ac:dyDescent="0.15">
      <c r="A31" s="44">
        <v>2018</v>
      </c>
      <c r="B31" s="36">
        <v>744374</v>
      </c>
      <c r="C31" s="36">
        <v>188491</v>
      </c>
      <c r="D31" s="36">
        <v>21161732</v>
      </c>
      <c r="E31" s="36">
        <v>308721</v>
      </c>
      <c r="G31" s="36">
        <v>3142</v>
      </c>
      <c r="H31" s="36">
        <v>127403</v>
      </c>
      <c r="I31" s="36">
        <v>1842</v>
      </c>
      <c r="J31" s="36">
        <v>187801</v>
      </c>
      <c r="L31" s="36">
        <v>22723506</v>
      </c>
      <c r="N31" s="42">
        <v>2018</v>
      </c>
      <c r="O31" s="45">
        <f t="shared" si="27"/>
        <v>3.2757885160855017E-2</v>
      </c>
      <c r="P31" s="45">
        <f t="shared" si="28"/>
        <v>5.606661225604887E-3</v>
      </c>
      <c r="Q31" s="45">
        <f t="shared" si="29"/>
        <v>0.9312705530563814</v>
      </c>
      <c r="R31" s="45">
        <f t="shared" si="30"/>
        <v>8.2949787766025181E-3</v>
      </c>
      <c r="S31" s="45">
        <f t="shared" si="31"/>
        <v>8.2646137440234788E-3</v>
      </c>
      <c r="T31" s="45">
        <f t="shared" si="32"/>
        <v>1.3827091646861185E-4</v>
      </c>
      <c r="U31" s="45">
        <f t="shared" si="33"/>
        <v>0</v>
      </c>
      <c r="V31" s="45">
        <f t="shared" si="34"/>
        <v>1.3585975685266174E-2</v>
      </c>
      <c r="W31" s="45">
        <f t="shared" si="35"/>
        <v>8.1061434797957677E-5</v>
      </c>
    </row>
    <row r="32" spans="1:23" x14ac:dyDescent="0.15">
      <c r="A32" s="44">
        <v>2019</v>
      </c>
      <c r="B32" s="36">
        <v>724626</v>
      </c>
      <c r="C32" s="36">
        <v>157907</v>
      </c>
      <c r="D32" s="36">
        <v>20272632</v>
      </c>
      <c r="E32" s="36">
        <v>376905</v>
      </c>
      <c r="G32" s="36">
        <v>203</v>
      </c>
      <c r="H32" s="36">
        <v>107211</v>
      </c>
      <c r="I32" s="36">
        <v>14561</v>
      </c>
      <c r="J32" s="36">
        <v>200475</v>
      </c>
      <c r="L32" s="36">
        <v>21854520</v>
      </c>
      <c r="N32" s="42">
        <v>2019</v>
      </c>
      <c r="O32" s="45">
        <f t="shared" si="27"/>
        <v>3.3156802345693251E-2</v>
      </c>
      <c r="P32" s="45">
        <f t="shared" si="28"/>
        <v>4.9056671114259204E-3</v>
      </c>
      <c r="Q32" s="45">
        <f t="shared" si="29"/>
        <v>0.92761735329808204</v>
      </c>
      <c r="R32" s="45">
        <f t="shared" si="30"/>
        <v>7.225370312411346E-3</v>
      </c>
      <c r="S32" s="45">
        <f t="shared" si="31"/>
        <v>9.1731596026817328E-3</v>
      </c>
      <c r="T32" s="45">
        <f t="shared" si="32"/>
        <v>9.2886963429075536E-6</v>
      </c>
      <c r="U32" s="45">
        <f t="shared" si="33"/>
        <v>0</v>
      </c>
      <c r="V32" s="45">
        <f t="shared" si="34"/>
        <v>1.7246089138539762E-2</v>
      </c>
      <c r="W32" s="45">
        <f t="shared" si="35"/>
        <v>6.6626949482303892E-4</v>
      </c>
    </row>
    <row r="33" spans="1:23" x14ac:dyDescent="0.15">
      <c r="A33" s="44">
        <v>2020</v>
      </c>
      <c r="B33" s="36">
        <v>939086</v>
      </c>
      <c r="C33" s="36">
        <v>187404</v>
      </c>
      <c r="D33" s="36">
        <v>18373144</v>
      </c>
      <c r="E33" s="36">
        <v>552189</v>
      </c>
      <c r="H33" s="36">
        <v>41878</v>
      </c>
      <c r="I33" s="36">
        <v>5688</v>
      </c>
      <c r="J33" s="36">
        <v>207790</v>
      </c>
      <c r="L33" s="36">
        <v>20307179</v>
      </c>
      <c r="N33" s="42">
        <v>2020</v>
      </c>
      <c r="O33" s="45">
        <f t="shared" si="27"/>
        <v>4.6244040100301476E-2</v>
      </c>
      <c r="P33" s="45">
        <f t="shared" si="28"/>
        <v>2.0622263683202869E-3</v>
      </c>
      <c r="Q33" s="45">
        <f t="shared" si="29"/>
        <v>0.90476102072080022</v>
      </c>
      <c r="R33" s="45">
        <f t="shared" si="30"/>
        <v>9.2284605360498373E-3</v>
      </c>
      <c r="S33" s="45">
        <f t="shared" si="31"/>
        <v>1.0232341971280206E-2</v>
      </c>
      <c r="T33" s="45">
        <f t="shared" si="32"/>
        <v>0</v>
      </c>
      <c r="U33" s="45">
        <f t="shared" si="33"/>
        <v>0</v>
      </c>
      <c r="V33" s="45">
        <f t="shared" si="34"/>
        <v>2.7191812314255957E-2</v>
      </c>
      <c r="W33" s="45">
        <f t="shared" si="35"/>
        <v>2.8009798899197174E-4</v>
      </c>
    </row>
    <row r="34" spans="1:23" x14ac:dyDescent="0.15">
      <c r="A34" s="44">
        <v>2021</v>
      </c>
      <c r="B34" s="36">
        <v>2412958</v>
      </c>
      <c r="C34" s="36">
        <v>191212</v>
      </c>
      <c r="D34" s="36">
        <v>17520796</v>
      </c>
      <c r="E34" s="36">
        <v>797735</v>
      </c>
      <c r="F34" s="36">
        <v>19</v>
      </c>
      <c r="H34" s="36">
        <v>45124</v>
      </c>
      <c r="I34" s="36">
        <v>837</v>
      </c>
      <c r="J34" s="36">
        <v>414246</v>
      </c>
      <c r="L34" s="36">
        <v>21382927</v>
      </c>
      <c r="N34" s="42">
        <v>2021</v>
      </c>
      <c r="O34" s="45">
        <f t="shared" si="27"/>
        <v>0.11284507495161911</v>
      </c>
      <c r="P34" s="45">
        <f t="shared" si="28"/>
        <v>2.1102817214874278E-3</v>
      </c>
      <c r="Q34" s="45">
        <f t="shared" si="29"/>
        <v>0.81938249146152908</v>
      </c>
      <c r="R34" s="45">
        <f t="shared" si="30"/>
        <v>8.9422743668348126E-3</v>
      </c>
      <c r="S34" s="45">
        <f t="shared" si="31"/>
        <v>1.9372745368302479E-2</v>
      </c>
      <c r="T34" s="45">
        <f t="shared" si="32"/>
        <v>0</v>
      </c>
      <c r="U34" s="45">
        <f t="shared" si="33"/>
        <v>8.8855936327145482E-7</v>
      </c>
      <c r="V34" s="45">
        <f t="shared" si="34"/>
        <v>3.730710019259758E-2</v>
      </c>
      <c r="W34" s="45">
        <f t="shared" si="35"/>
        <v>3.9143378266221461E-5</v>
      </c>
    </row>
    <row r="35" spans="1:23" x14ac:dyDescent="0.15">
      <c r="A35" s="43" t="s">
        <v>1011</v>
      </c>
      <c r="B35" s="36">
        <v>3058</v>
      </c>
      <c r="C35" s="36">
        <v>16503</v>
      </c>
      <c r="D35" s="36">
        <v>2339472</v>
      </c>
      <c r="E35" s="36">
        <v>22971</v>
      </c>
      <c r="H35" s="36">
        <v>10200</v>
      </c>
      <c r="J35" s="36">
        <v>6003</v>
      </c>
      <c r="K35" s="36">
        <v>192895</v>
      </c>
      <c r="L35" s="36">
        <v>2591102</v>
      </c>
    </row>
    <row r="36" spans="1:23" x14ac:dyDescent="0.15">
      <c r="A36" s="44">
        <v>2015</v>
      </c>
      <c r="B36" s="36">
        <v>261</v>
      </c>
      <c r="C36" s="36">
        <v>16431</v>
      </c>
      <c r="D36" s="36">
        <v>2172590</v>
      </c>
      <c r="H36" s="36">
        <v>10200</v>
      </c>
      <c r="K36" s="36">
        <v>192895</v>
      </c>
      <c r="L36" s="36">
        <v>2392377</v>
      </c>
    </row>
    <row r="37" spans="1:23" x14ac:dyDescent="0.15">
      <c r="A37" s="44">
        <v>2021</v>
      </c>
      <c r="B37" s="36">
        <v>2797</v>
      </c>
      <c r="C37" s="36">
        <v>72</v>
      </c>
      <c r="D37" s="36">
        <v>166882</v>
      </c>
      <c r="E37" s="36">
        <v>22971</v>
      </c>
      <c r="J37" s="36">
        <v>6003</v>
      </c>
      <c r="L37" s="36">
        <v>198725</v>
      </c>
    </row>
    <row r="38" spans="1:23" x14ac:dyDescent="0.15">
      <c r="A38" s="43" t="s">
        <v>1010</v>
      </c>
      <c r="B38" s="36">
        <v>6494663</v>
      </c>
      <c r="C38" s="36">
        <v>16608165</v>
      </c>
      <c r="D38" s="36">
        <v>153408672</v>
      </c>
      <c r="E38" s="36">
        <v>2532322</v>
      </c>
      <c r="F38" s="36">
        <v>8557</v>
      </c>
      <c r="G38" s="36">
        <v>10354</v>
      </c>
      <c r="H38" s="36">
        <v>2752373</v>
      </c>
      <c r="I38" s="36">
        <v>26142</v>
      </c>
      <c r="J38" s="36">
        <v>1166613</v>
      </c>
      <c r="K38" s="36">
        <v>192937</v>
      </c>
      <c r="L38" s="36">
        <v>183200798</v>
      </c>
    </row>
  </sheetData>
  <phoneticPr fontId="10" type="noConversion"/>
  <conditionalFormatting sqref="O4:W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2:W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0:W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:W3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E71CE-B843-4A76-8B48-799CDEB70645}">
  <dimension ref="A1:BB78"/>
  <sheetViews>
    <sheetView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L37" sqref="L37"/>
    </sheetView>
  </sheetViews>
  <sheetFormatPr defaultRowHeight="12.9" x14ac:dyDescent="0.15"/>
  <cols>
    <col min="1" max="1" width="16.875" style="36" bestFit="1" customWidth="1"/>
    <col min="2" max="12" width="9.25" style="36" customWidth="1"/>
    <col min="13" max="13" width="9" style="36"/>
    <col min="14" max="14" width="23.125" style="49" bestFit="1" customWidth="1"/>
    <col min="15" max="54" width="8.625" style="36" customWidth="1"/>
    <col min="55" max="16384" width="9" style="36"/>
  </cols>
  <sheetData>
    <row r="1" spans="1:54" x14ac:dyDescent="0.15">
      <c r="A1" s="48" t="s">
        <v>1022</v>
      </c>
      <c r="B1" s="48" t="s">
        <v>1021</v>
      </c>
    </row>
    <row r="2" spans="1:54" s="116" customFormat="1" ht="38.75" x14ac:dyDescent="0.15">
      <c r="A2" s="118" t="s">
        <v>1020</v>
      </c>
      <c r="B2" s="116" t="s">
        <v>1</v>
      </c>
      <c r="C2" s="116" t="s">
        <v>4</v>
      </c>
      <c r="D2" s="116" t="s">
        <v>3</v>
      </c>
      <c r="E2" s="116" t="s">
        <v>1017</v>
      </c>
      <c r="F2" s="116" t="s">
        <v>126</v>
      </c>
      <c r="G2" s="116" t="s">
        <v>125</v>
      </c>
      <c r="H2" s="116" t="s">
        <v>2</v>
      </c>
      <c r="I2" s="116" t="s">
        <v>1016</v>
      </c>
      <c r="J2" s="116" t="s">
        <v>5</v>
      </c>
      <c r="K2" s="116" t="s">
        <v>1019</v>
      </c>
      <c r="L2" s="116" t="s">
        <v>1010</v>
      </c>
      <c r="N2" s="117"/>
      <c r="O2" s="117" t="s">
        <v>1038</v>
      </c>
      <c r="P2" s="117" t="s">
        <v>1037</v>
      </c>
      <c r="Q2" s="117" t="s">
        <v>1036</v>
      </c>
      <c r="R2" s="117" t="s">
        <v>1035</v>
      </c>
      <c r="S2" s="117" t="s">
        <v>1038</v>
      </c>
      <c r="T2" s="117" t="s">
        <v>1037</v>
      </c>
      <c r="U2" s="117" t="s">
        <v>1036</v>
      </c>
      <c r="V2" s="117" t="s">
        <v>1035</v>
      </c>
      <c r="W2" s="117" t="s">
        <v>1038</v>
      </c>
      <c r="X2" s="117" t="s">
        <v>1037</v>
      </c>
      <c r="Y2" s="117" t="s">
        <v>1036</v>
      </c>
      <c r="Z2" s="117" t="s">
        <v>1035</v>
      </c>
      <c r="AA2" s="117" t="s">
        <v>1038</v>
      </c>
      <c r="AB2" s="117" t="s">
        <v>1037</v>
      </c>
      <c r="AC2" s="117" t="s">
        <v>1036</v>
      </c>
      <c r="AD2" s="117" t="s">
        <v>1035</v>
      </c>
      <c r="AE2" s="117" t="s">
        <v>1038</v>
      </c>
      <c r="AF2" s="117" t="s">
        <v>1037</v>
      </c>
      <c r="AG2" s="117" t="s">
        <v>1036</v>
      </c>
      <c r="AH2" s="117" t="s">
        <v>1035</v>
      </c>
      <c r="AI2" s="117" t="s">
        <v>1038</v>
      </c>
      <c r="AJ2" s="117" t="s">
        <v>1037</v>
      </c>
      <c r="AK2" s="117" t="s">
        <v>1036</v>
      </c>
      <c r="AL2" s="117" t="s">
        <v>1035</v>
      </c>
      <c r="AM2" s="117" t="s">
        <v>1038</v>
      </c>
      <c r="AN2" s="117" t="s">
        <v>1037</v>
      </c>
      <c r="AO2" s="117" t="s">
        <v>1036</v>
      </c>
      <c r="AP2" s="117" t="s">
        <v>1035</v>
      </c>
      <c r="AQ2" s="117" t="s">
        <v>1038</v>
      </c>
      <c r="AR2" s="117" t="s">
        <v>1037</v>
      </c>
      <c r="AS2" s="117" t="s">
        <v>1036</v>
      </c>
      <c r="AT2" s="117" t="s">
        <v>1035</v>
      </c>
      <c r="AU2" s="117" t="s">
        <v>1038</v>
      </c>
      <c r="AV2" s="117" t="s">
        <v>1037</v>
      </c>
      <c r="AW2" s="117" t="s">
        <v>1036</v>
      </c>
      <c r="AX2" s="117" t="s">
        <v>1035</v>
      </c>
      <c r="AY2" s="117" t="s">
        <v>1038</v>
      </c>
      <c r="AZ2" s="117" t="s">
        <v>1037</v>
      </c>
      <c r="BA2" s="117" t="s">
        <v>1036</v>
      </c>
      <c r="BB2" s="117" t="s">
        <v>1035</v>
      </c>
    </row>
    <row r="3" spans="1:54" x14ac:dyDescent="0.15">
      <c r="A3" s="43" t="s">
        <v>1015</v>
      </c>
      <c r="B3" s="36">
        <v>49887</v>
      </c>
      <c r="C3" s="36">
        <v>7556854</v>
      </c>
      <c r="D3" s="36">
        <v>402</v>
      </c>
      <c r="E3" s="36">
        <v>106</v>
      </c>
      <c r="F3" s="36">
        <v>4322</v>
      </c>
      <c r="H3" s="36">
        <v>484270</v>
      </c>
      <c r="I3" s="36">
        <v>117</v>
      </c>
      <c r="J3" s="36">
        <v>1156</v>
      </c>
      <c r="K3" s="36">
        <v>4</v>
      </c>
      <c r="L3" s="36">
        <v>8097118</v>
      </c>
      <c r="N3" s="115" t="s">
        <v>1034</v>
      </c>
      <c r="O3" s="217" t="s">
        <v>987</v>
      </c>
      <c r="P3" s="217"/>
      <c r="Q3" s="217"/>
      <c r="R3" s="217"/>
      <c r="S3" s="218" t="s">
        <v>986</v>
      </c>
      <c r="T3" s="218"/>
      <c r="U3" s="218"/>
      <c r="V3" s="218"/>
      <c r="W3" s="225" t="s">
        <v>983</v>
      </c>
      <c r="X3" s="225"/>
      <c r="Y3" s="225"/>
      <c r="Z3" s="225"/>
      <c r="AA3" s="226"/>
      <c r="AB3" s="226"/>
      <c r="AC3" s="226"/>
      <c r="AD3" s="226"/>
      <c r="AE3" s="226"/>
      <c r="AF3" s="226"/>
      <c r="AG3" s="226"/>
      <c r="AH3" s="226"/>
      <c r="AI3" s="223" t="s">
        <v>981</v>
      </c>
      <c r="AJ3" s="223"/>
      <c r="AK3" s="223"/>
      <c r="AL3" s="223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</row>
    <row r="4" spans="1:54" x14ac:dyDescent="0.15">
      <c r="A4" s="44" t="s">
        <v>1033</v>
      </c>
      <c r="B4" s="36">
        <v>49887</v>
      </c>
      <c r="C4" s="36">
        <v>7556854</v>
      </c>
      <c r="D4" s="36">
        <v>402</v>
      </c>
      <c r="E4" s="36">
        <v>106</v>
      </c>
      <c r="F4" s="36">
        <v>4322</v>
      </c>
      <c r="H4" s="36">
        <v>484270</v>
      </c>
      <c r="I4" s="36">
        <v>117</v>
      </c>
      <c r="J4" s="36">
        <v>1156</v>
      </c>
      <c r="K4" s="36">
        <v>4</v>
      </c>
      <c r="L4" s="36">
        <v>8097118</v>
      </c>
      <c r="N4" s="42" t="s">
        <v>1032</v>
      </c>
      <c r="O4" s="217" t="s">
        <v>988</v>
      </c>
      <c r="P4" s="217"/>
      <c r="Q4" s="217"/>
      <c r="R4" s="217"/>
      <c r="S4" s="218" t="s">
        <v>1031</v>
      </c>
      <c r="T4" s="218"/>
      <c r="U4" s="218"/>
      <c r="V4" s="227"/>
      <c r="W4" s="228" t="s">
        <v>1030</v>
      </c>
      <c r="X4" s="229"/>
      <c r="Y4" s="229"/>
      <c r="Z4" s="230"/>
      <c r="AA4" s="231" t="s">
        <v>985</v>
      </c>
      <c r="AB4" s="232"/>
      <c r="AC4" s="232"/>
      <c r="AD4" s="232"/>
      <c r="AE4" s="232" t="s">
        <v>1028</v>
      </c>
      <c r="AF4" s="232"/>
      <c r="AG4" s="232"/>
      <c r="AH4" s="233"/>
      <c r="AI4" s="220" t="s">
        <v>1030</v>
      </c>
      <c r="AJ4" s="221"/>
      <c r="AK4" s="221"/>
      <c r="AL4" s="222"/>
      <c r="AM4" s="219" t="s">
        <v>989</v>
      </c>
      <c r="AN4" s="216"/>
      <c r="AO4" s="216"/>
      <c r="AP4" s="216"/>
      <c r="AQ4" s="216" t="s">
        <v>1029</v>
      </c>
      <c r="AR4" s="216"/>
      <c r="AS4" s="216"/>
      <c r="AT4" s="216"/>
      <c r="AU4" s="216" t="s">
        <v>985</v>
      </c>
      <c r="AV4" s="216"/>
      <c r="AW4" s="216"/>
      <c r="AX4" s="216"/>
      <c r="AY4" s="216" t="s">
        <v>1028</v>
      </c>
      <c r="AZ4" s="216"/>
      <c r="BA4" s="216"/>
      <c r="BB4" s="216"/>
    </row>
    <row r="5" spans="1:54" x14ac:dyDescent="0.15">
      <c r="A5" s="50">
        <v>2015</v>
      </c>
      <c r="B5" s="36">
        <v>5722</v>
      </c>
      <c r="C5" s="36">
        <v>543387</v>
      </c>
      <c r="D5" s="36">
        <v>213</v>
      </c>
      <c r="H5" s="36">
        <v>14079</v>
      </c>
      <c r="L5" s="36">
        <v>563401</v>
      </c>
      <c r="N5" s="42" t="s">
        <v>1027</v>
      </c>
      <c r="O5" s="114">
        <f>L4/L4</f>
        <v>1</v>
      </c>
      <c r="P5" s="114">
        <f t="shared" ref="P5:P12" si="0">(J4+B4)/L4</f>
        <v>6.3038478629062833E-3</v>
      </c>
      <c r="Q5" s="114">
        <f t="shared" ref="Q5:Q12" si="1">J4/(J4+B4)</f>
        <v>2.2647571655271048E-2</v>
      </c>
      <c r="R5" s="113">
        <f t="shared" ref="R5:R12" si="2">B4/(B4+J4)</f>
        <v>0.97735242834472891</v>
      </c>
      <c r="S5" s="112">
        <f>L13/L13</f>
        <v>1</v>
      </c>
      <c r="T5" s="111">
        <f t="shared" ref="T5:T12" si="3">(J13+B13)/L13</f>
        <v>1.5360403130094756E-2</v>
      </c>
      <c r="U5" s="111">
        <f t="shared" ref="U5:U12" si="4">J13/(J13+B13)</f>
        <v>7.6204669193108213E-3</v>
      </c>
      <c r="V5" s="110">
        <f t="shared" ref="V5:V12" si="5">B13/(B13+J13)</f>
        <v>0.99237953308068916</v>
      </c>
      <c r="W5" s="109">
        <f t="shared" ref="W5:W20" si="6">AA5+AE5</f>
        <v>1</v>
      </c>
      <c r="X5" s="108">
        <f t="shared" ref="X5:X20" si="7">AB5*AA5+AF5*AE5</f>
        <v>0.43539464158643865</v>
      </c>
      <c r="Y5" s="108">
        <f t="shared" ref="Y5:Y20" si="8">(AA5*AB5*AC5+AE5*AF5*AG5)/(AA5*AB5+AE5*AF5)</f>
        <v>1.2057219570544331E-2</v>
      </c>
      <c r="Z5" s="107">
        <f t="shared" ref="Z5:Z20" si="9">(AA5*AB5*AD5+AE5*AF5*AH5)/(AA5*AB5+AE5*AF5)</f>
        <v>0.90920935311353879</v>
      </c>
      <c r="AA5" s="103">
        <f t="shared" ref="AA5:AA12" si="10">L22/(L22+L30)</f>
        <v>0.54903054916252603</v>
      </c>
      <c r="AB5" s="102">
        <f t="shared" ref="AB5:AB12" si="11">(J22+B22)/L22</f>
        <v>0.15372753100008574</v>
      </c>
      <c r="AC5" s="102">
        <f t="shared" ref="AC5:AC12" si="12">J22/(J22+B22)</f>
        <v>1.8581343672558683E-2</v>
      </c>
      <c r="AD5" s="101">
        <f t="shared" ref="AD5:AD12" si="13">B22/(B22+J22)</f>
        <v>0.9814186563274413</v>
      </c>
      <c r="AE5" s="103">
        <f t="shared" ref="AE5:AE12" si="14">L30/(L22+L30)</f>
        <v>0.45096945083747403</v>
      </c>
      <c r="AF5" s="102">
        <f t="shared" ref="AF5:AF12" si="15">(B30+J30)/L30</f>
        <v>0.77830888581975755</v>
      </c>
      <c r="AG5" s="102">
        <f t="shared" ref="AG5:AG12" si="16">J30/(J30+B39)</f>
        <v>1.0488406265919674E-2</v>
      </c>
      <c r="AH5" s="101">
        <f t="shared" ref="AH5:AH12" si="17">B30/(B30+J30)</f>
        <v>0.89184565588333597</v>
      </c>
      <c r="AI5" s="106">
        <f t="shared" ref="AI5:AI20" si="18">AM5+AQ5+AU5+AY5</f>
        <v>1</v>
      </c>
      <c r="AJ5" s="105">
        <f t="shared" ref="AJ5:AJ20" si="19">(AM5*AN5+AQ5*AR5+AU5*AV5+AY5*AZ5)</f>
        <v>4.3435340861835425E-2</v>
      </c>
      <c r="AK5" s="105">
        <f t="shared" ref="AK5:AK20" si="20">(AM5*AN5*AO5+AQ5*AR5*AS5+AU5*AV5*AW5+AY5*AZ5*BA5)/(AM5*AN5+AQ5*AR5+AU5*AV5+AY5*AZ5)</f>
        <v>0.16229430680965862</v>
      </c>
      <c r="AL5" s="104">
        <f t="shared" ref="AL5:AL20" si="21">(AM5*AN5*AP5+AQ5*AR5*AT5+AU5*AV5*AX5+AY5*AZ5*BB5)/(AM5*AN5+AQ5*AR5+AU5*AV5+AY5*AZ5)</f>
        <v>0.83770569319034138</v>
      </c>
      <c r="AM5" s="103">
        <f t="shared" ref="AM5:AM12" si="22">L39/(L39+L47+L55+L63)</f>
        <v>0.97785900883486698</v>
      </c>
      <c r="AN5" s="102">
        <f t="shared" ref="AN5:AN12" si="23">(J39+B39)/L39</f>
        <v>3.7040691037646241E-2</v>
      </c>
      <c r="AO5" s="102">
        <f t="shared" ref="AO5:AO12" si="24">J39/(J39+B39)</f>
        <v>0.18385826023823795</v>
      </c>
      <c r="AP5" s="101">
        <f t="shared" ref="AP5:AP12" si="25">B39/(B39+J39)</f>
        <v>0.81614173976176208</v>
      </c>
      <c r="AQ5" s="103">
        <f t="shared" ref="AQ5:AQ12" si="26">L47/(L39+L47+L55+L63)</f>
        <v>2.1366481954659712E-2</v>
      </c>
      <c r="AR5" s="102">
        <f t="shared" ref="AR5:AR12" si="27">(B47+J47)/L47</f>
        <v>0.33657422521962482</v>
      </c>
      <c r="AS5" s="102">
        <f t="shared" ref="AS5:AS12" si="28">J47/(J47+B47)</f>
        <v>5.4196434503377258E-2</v>
      </c>
      <c r="AT5" s="101">
        <f t="shared" ref="AT5:AT12" si="29">B47/(B47+J47)</f>
        <v>0.9458035654966227</v>
      </c>
      <c r="AU5" s="103">
        <f t="shared" ref="AU5:AU12" si="30">L55/(L39+L47+L55+L63)</f>
        <v>7.3858004551002085E-4</v>
      </c>
      <c r="AV5" s="102">
        <f t="shared" ref="AV5:AV12" si="31">(B55+J55)/L55</f>
        <v>2.3374360655172115E-2</v>
      </c>
      <c r="AW5" s="102">
        <f t="shared" ref="AW5:AW12" si="32">J55/(J55+B55)</f>
        <v>6.2730627306273063E-3</v>
      </c>
      <c r="AX5" s="101">
        <f t="shared" ref="AX5:AX12" si="33">B55/(B55+J55)</f>
        <v>0.99372693726937267</v>
      </c>
      <c r="AY5" s="103">
        <f t="shared" ref="AY5:AY12" si="34">L63/(L39+L47+L55+L63)</f>
        <v>3.5929164963269628E-5</v>
      </c>
      <c r="AZ5" s="102">
        <f t="shared" ref="AZ5:AZ12" si="35">(B63+J63)/L63</f>
        <v>0.1696808510638298</v>
      </c>
      <c r="BA5" s="102">
        <f>J63/(J63+B63)</f>
        <v>0</v>
      </c>
      <c r="BB5" s="101">
        <f>B63/(B63+J63)</f>
        <v>1</v>
      </c>
    </row>
    <row r="6" spans="1:54" x14ac:dyDescent="0.15">
      <c r="A6" s="50">
        <v>2016</v>
      </c>
      <c r="B6" s="36">
        <v>4529</v>
      </c>
      <c r="C6" s="36">
        <v>761880</v>
      </c>
      <c r="D6" s="36">
        <v>25</v>
      </c>
      <c r="E6" s="36">
        <v>6</v>
      </c>
      <c r="H6" s="36">
        <v>15344</v>
      </c>
      <c r="K6" s="36">
        <v>4</v>
      </c>
      <c r="L6" s="36">
        <v>781788</v>
      </c>
      <c r="N6" s="100">
        <v>2015</v>
      </c>
      <c r="O6" s="78">
        <f>L5/L5</f>
        <v>1</v>
      </c>
      <c r="P6" s="78">
        <f t="shared" si="0"/>
        <v>1.0156176506608969E-2</v>
      </c>
      <c r="Q6" s="78">
        <f t="shared" si="1"/>
        <v>0</v>
      </c>
      <c r="R6" s="99">
        <f t="shared" si="2"/>
        <v>1</v>
      </c>
      <c r="S6" s="77">
        <f>L14/L14</f>
        <v>1</v>
      </c>
      <c r="T6" s="76">
        <f t="shared" si="3"/>
        <v>1.6196795145339851E-2</v>
      </c>
      <c r="U6" s="76">
        <f t="shared" si="4"/>
        <v>0</v>
      </c>
      <c r="V6" s="98">
        <f t="shared" si="5"/>
        <v>1</v>
      </c>
      <c r="W6" s="75">
        <f t="shared" si="6"/>
        <v>1</v>
      </c>
      <c r="X6" s="74">
        <f t="shared" si="7"/>
        <v>0.36958810866369818</v>
      </c>
      <c r="Y6" s="74">
        <f t="shared" si="8"/>
        <v>7.8797614150232995E-2</v>
      </c>
      <c r="Z6" s="73">
        <f t="shared" si="9"/>
        <v>0.8356557337196977</v>
      </c>
      <c r="AA6" s="70">
        <f t="shared" si="10"/>
        <v>0.53563483592270345</v>
      </c>
      <c r="AB6" s="69">
        <f t="shared" si="11"/>
        <v>0.28081346197716078</v>
      </c>
      <c r="AC6" s="69">
        <f t="shared" si="12"/>
        <v>1.447924879936922E-2</v>
      </c>
      <c r="AD6" s="68">
        <f t="shared" si="13"/>
        <v>0.98552075120063076</v>
      </c>
      <c r="AE6" s="70">
        <f t="shared" si="14"/>
        <v>0.46436516407729655</v>
      </c>
      <c r="AF6" s="69">
        <f t="shared" si="15"/>
        <v>0.47198767906757166</v>
      </c>
      <c r="AG6" s="69">
        <f t="shared" si="16"/>
        <v>0.12293752404807351</v>
      </c>
      <c r="AH6" s="68">
        <f t="shared" si="17"/>
        <v>0.73280752959695672</v>
      </c>
      <c r="AI6" s="72">
        <f t="shared" si="18"/>
        <v>1</v>
      </c>
      <c r="AJ6" s="71">
        <f t="shared" si="19"/>
        <v>7.0124631789467758E-3</v>
      </c>
      <c r="AK6" s="71">
        <f t="shared" si="20"/>
        <v>8.5298159575328075E-2</v>
      </c>
      <c r="AL6" s="97">
        <f t="shared" si="21"/>
        <v>0.91470184042467195</v>
      </c>
      <c r="AM6" s="70">
        <f t="shared" si="22"/>
        <v>0.98191226286334721</v>
      </c>
      <c r="AN6" s="69">
        <f t="shared" si="23"/>
        <v>6.0755700167769155E-3</v>
      </c>
      <c r="AO6" s="69">
        <f t="shared" si="24"/>
        <v>7.9447281941639941E-2</v>
      </c>
      <c r="AP6" s="68">
        <f t="shared" si="25"/>
        <v>0.92055271805836003</v>
      </c>
      <c r="AQ6" s="70">
        <f t="shared" si="26"/>
        <v>1.7548731148726161E-2</v>
      </c>
      <c r="AR6" s="69">
        <f t="shared" si="27"/>
        <v>5.9238401860655432E-2</v>
      </c>
      <c r="AS6" s="69">
        <f t="shared" si="28"/>
        <v>0.11946741797691539</v>
      </c>
      <c r="AT6" s="68">
        <f t="shared" si="29"/>
        <v>0.8805325820230846</v>
      </c>
      <c r="AU6" s="70">
        <f t="shared" si="30"/>
        <v>5.0683569189000533E-4</v>
      </c>
      <c r="AV6" s="69">
        <f t="shared" si="31"/>
        <v>2.7961599403485881E-4</v>
      </c>
      <c r="AW6" s="69">
        <f t="shared" si="32"/>
        <v>0</v>
      </c>
      <c r="AX6" s="68">
        <f t="shared" si="33"/>
        <v>1</v>
      </c>
      <c r="AY6" s="70">
        <f t="shared" si="34"/>
        <v>3.2170296036638425E-5</v>
      </c>
      <c r="AZ6" s="69">
        <f t="shared" si="35"/>
        <v>0.22026431718061673</v>
      </c>
      <c r="BA6" s="69">
        <f>J64/(J64+B64)</f>
        <v>0</v>
      </c>
      <c r="BB6" s="68">
        <f>B64/(B64+J64)</f>
        <v>1</v>
      </c>
    </row>
    <row r="7" spans="1:54" x14ac:dyDescent="0.15">
      <c r="A7" s="50">
        <v>2017</v>
      </c>
      <c r="B7" s="36">
        <v>16933</v>
      </c>
      <c r="C7" s="36">
        <v>1061952</v>
      </c>
      <c r="D7" s="36">
        <v>46</v>
      </c>
      <c r="E7" s="36">
        <v>56</v>
      </c>
      <c r="F7" s="36">
        <v>933</v>
      </c>
      <c r="H7" s="36">
        <v>70507</v>
      </c>
      <c r="J7" s="36">
        <v>1120</v>
      </c>
      <c r="L7" s="36">
        <v>1151547</v>
      </c>
      <c r="N7" s="100">
        <v>2016</v>
      </c>
      <c r="O7" s="78">
        <f t="shared" ref="O7:O12" si="36">L5/L5</f>
        <v>1</v>
      </c>
      <c r="P7" s="78">
        <f t="shared" si="0"/>
        <v>5.7931306185308546E-3</v>
      </c>
      <c r="Q7" s="78">
        <f t="shared" si="1"/>
        <v>0</v>
      </c>
      <c r="R7" s="99">
        <f t="shared" si="2"/>
        <v>1</v>
      </c>
      <c r="S7" s="77">
        <f t="shared" ref="S7:S12" si="37">L14/L14</f>
        <v>1</v>
      </c>
      <c r="T7" s="76">
        <f t="shared" si="3"/>
        <v>1.0646226870465011E-2</v>
      </c>
      <c r="U7" s="76">
        <f t="shared" si="4"/>
        <v>0</v>
      </c>
      <c r="V7" s="98">
        <f t="shared" si="5"/>
        <v>1</v>
      </c>
      <c r="W7" s="75">
        <f t="shared" si="6"/>
        <v>1</v>
      </c>
      <c r="X7" s="74">
        <f t="shared" si="7"/>
        <v>0.37912794516130299</v>
      </c>
      <c r="Y7" s="74">
        <f t="shared" si="8"/>
        <v>2.2941065590904485E-2</v>
      </c>
      <c r="Z7" s="73">
        <f t="shared" si="9"/>
        <v>0.94456546544677489</v>
      </c>
      <c r="AA7" s="70">
        <f t="shared" si="10"/>
        <v>0.62035292775874751</v>
      </c>
      <c r="AB7" s="69">
        <f t="shared" si="11"/>
        <v>0.19620385573637464</v>
      </c>
      <c r="AC7" s="69">
        <f t="shared" si="12"/>
        <v>2.8110762867944037E-2</v>
      </c>
      <c r="AD7" s="68">
        <f t="shared" si="13"/>
        <v>0.97188923713205599</v>
      </c>
      <c r="AE7" s="70">
        <f t="shared" si="14"/>
        <v>0.37964707224125249</v>
      </c>
      <c r="AF7" s="69">
        <f t="shared" si="15"/>
        <v>0.67803053846313222</v>
      </c>
      <c r="AG7" s="69">
        <f t="shared" si="16"/>
        <v>2.0496609858896831E-2</v>
      </c>
      <c r="AH7" s="68">
        <f t="shared" si="17"/>
        <v>0.93164560829908483</v>
      </c>
      <c r="AI7" s="72">
        <f t="shared" si="18"/>
        <v>1</v>
      </c>
      <c r="AJ7" s="71">
        <f t="shared" si="19"/>
        <v>1.094119756684713E-2</v>
      </c>
      <c r="AK7" s="71">
        <f t="shared" si="20"/>
        <v>9.121352197542533E-2</v>
      </c>
      <c r="AL7" s="97">
        <f t="shared" si="21"/>
        <v>0.90878647802457468</v>
      </c>
      <c r="AM7" s="70">
        <f t="shared" si="22"/>
        <v>0.98613190443240739</v>
      </c>
      <c r="AN7" s="69">
        <f t="shared" si="23"/>
        <v>9.6563212187792558E-3</v>
      </c>
      <c r="AO7" s="69">
        <f t="shared" si="24"/>
        <v>9.2989318106615301E-2</v>
      </c>
      <c r="AP7" s="68">
        <f t="shared" si="25"/>
        <v>0.90701068189338474</v>
      </c>
      <c r="AQ7" s="70">
        <f t="shared" si="26"/>
        <v>1.3550218811428552E-2</v>
      </c>
      <c r="AR7" s="69">
        <f t="shared" si="27"/>
        <v>0.10466440492019294</v>
      </c>
      <c r="AS7" s="69">
        <f t="shared" si="28"/>
        <v>7.9326649196764271E-2</v>
      </c>
      <c r="AT7" s="68">
        <f t="shared" si="29"/>
        <v>0.92067335080323576</v>
      </c>
      <c r="AU7" s="70">
        <f t="shared" si="30"/>
        <v>3.0272822603804494E-4</v>
      </c>
      <c r="AV7" s="69">
        <f t="shared" si="31"/>
        <v>1.8681611956231651E-3</v>
      </c>
      <c r="AW7" s="69">
        <f t="shared" si="32"/>
        <v>0</v>
      </c>
      <c r="AX7" s="68">
        <f t="shared" si="33"/>
        <v>1</v>
      </c>
      <c r="AY7" s="70">
        <f t="shared" si="34"/>
        <v>1.514853012600305E-5</v>
      </c>
      <c r="AZ7" s="69">
        <f t="shared" si="35"/>
        <v>0</v>
      </c>
      <c r="BA7" s="69">
        <f>IFERROR(J65/(J65+B65),BA5)</f>
        <v>0</v>
      </c>
      <c r="BB7" s="68">
        <f>IFERROR(B65/(B65+J65),BB5)</f>
        <v>1</v>
      </c>
    </row>
    <row r="8" spans="1:54" x14ac:dyDescent="0.15">
      <c r="A8" s="50">
        <v>2018</v>
      </c>
      <c r="B8" s="36">
        <v>1648</v>
      </c>
      <c r="C8" s="36">
        <v>1070295</v>
      </c>
      <c r="D8" s="36">
        <v>40</v>
      </c>
      <c r="E8" s="36">
        <v>2</v>
      </c>
      <c r="F8" s="36">
        <v>404</v>
      </c>
      <c r="H8" s="36">
        <v>65710</v>
      </c>
      <c r="L8" s="36">
        <v>1138099</v>
      </c>
      <c r="N8" s="100">
        <v>2017</v>
      </c>
      <c r="O8" s="78">
        <f t="shared" si="36"/>
        <v>1</v>
      </c>
      <c r="P8" s="78">
        <f t="shared" si="0"/>
        <v>1.5677171665594198E-2</v>
      </c>
      <c r="Q8" s="78">
        <f t="shared" si="1"/>
        <v>6.2039550213260956E-2</v>
      </c>
      <c r="R8" s="99">
        <f t="shared" si="2"/>
        <v>0.93796044978673909</v>
      </c>
      <c r="S8" s="77">
        <f t="shared" si="37"/>
        <v>1</v>
      </c>
      <c r="T8" s="76">
        <f t="shared" si="3"/>
        <v>3.1765911361251509E-2</v>
      </c>
      <c r="U8" s="76">
        <f t="shared" si="4"/>
        <v>0</v>
      </c>
      <c r="V8" s="98">
        <f t="shared" si="5"/>
        <v>1</v>
      </c>
      <c r="W8" s="75">
        <f t="shared" si="6"/>
        <v>1</v>
      </c>
      <c r="X8" s="74">
        <f t="shared" si="7"/>
        <v>0.44028118084097378</v>
      </c>
      <c r="Y8" s="74">
        <f t="shared" si="8"/>
        <v>2.6759719967301903E-2</v>
      </c>
      <c r="Z8" s="73">
        <f t="shared" si="9"/>
        <v>0.85906627621259546</v>
      </c>
      <c r="AA8" s="70">
        <f t="shared" si="10"/>
        <v>0.57428173411318373</v>
      </c>
      <c r="AB8" s="69">
        <f t="shared" si="11"/>
        <v>0.16203452814120925</v>
      </c>
      <c r="AC8" s="69">
        <f t="shared" si="12"/>
        <v>2.4738546477676912E-2</v>
      </c>
      <c r="AD8" s="68">
        <f t="shared" si="13"/>
        <v>0.97526145352232307</v>
      </c>
      <c r="AE8" s="70">
        <f t="shared" si="14"/>
        <v>0.42571826588681633</v>
      </c>
      <c r="AF8" s="69">
        <f t="shared" si="15"/>
        <v>0.8156279372004781</v>
      </c>
      <c r="AG8" s="69">
        <f t="shared" si="16"/>
        <v>2.7301373759079768E-2</v>
      </c>
      <c r="AH8" s="68">
        <f t="shared" si="17"/>
        <v>0.82792715891307445</v>
      </c>
      <c r="AI8" s="72">
        <f t="shared" si="18"/>
        <v>1</v>
      </c>
      <c r="AJ8" s="71">
        <f t="shared" si="19"/>
        <v>2.2903467339102312E-2</v>
      </c>
      <c r="AK8" s="71">
        <f t="shared" si="20"/>
        <v>0.10374569708159073</v>
      </c>
      <c r="AL8" s="97">
        <f t="shared" si="21"/>
        <v>0.89625430291840924</v>
      </c>
      <c r="AM8" s="70">
        <f t="shared" si="22"/>
        <v>0.97716544827651042</v>
      </c>
      <c r="AN8" s="69">
        <f t="shared" si="23"/>
        <v>2.004640927660303E-2</v>
      </c>
      <c r="AO8" s="69">
        <f t="shared" si="24"/>
        <v>0.11238475418345403</v>
      </c>
      <c r="AP8" s="68">
        <f t="shared" si="25"/>
        <v>0.88761524581654594</v>
      </c>
      <c r="AQ8" s="70">
        <f t="shared" si="26"/>
        <v>2.1733193032760379E-2</v>
      </c>
      <c r="AR8" s="69">
        <f t="shared" si="27"/>
        <v>0.15131610704114482</v>
      </c>
      <c r="AS8" s="69">
        <f t="shared" si="28"/>
        <v>5.3113957597173148E-2</v>
      </c>
      <c r="AT8" s="68">
        <f t="shared" si="29"/>
        <v>0.94688604240282681</v>
      </c>
      <c r="AU8" s="70">
        <f t="shared" si="30"/>
        <v>1.0505596508834979E-3</v>
      </c>
      <c r="AV8" s="69">
        <f t="shared" si="31"/>
        <v>2.3812267158274763E-2</v>
      </c>
      <c r="AW8" s="69">
        <f t="shared" si="32"/>
        <v>0</v>
      </c>
      <c r="AX8" s="68">
        <f t="shared" si="33"/>
        <v>1</v>
      </c>
      <c r="AY8" s="70">
        <f t="shared" si="34"/>
        <v>5.0799039845693577E-5</v>
      </c>
      <c r="AZ8" s="69">
        <f t="shared" si="35"/>
        <v>2.3828435266084195E-2</v>
      </c>
      <c r="BA8" s="69">
        <f>J66/(J66+B66)</f>
        <v>0</v>
      </c>
      <c r="BB8" s="68">
        <f>B66/(B66+J66)</f>
        <v>1</v>
      </c>
    </row>
    <row r="9" spans="1:54" x14ac:dyDescent="0.15">
      <c r="A9" s="50">
        <v>2019</v>
      </c>
      <c r="B9" s="36">
        <v>5962</v>
      </c>
      <c r="C9" s="36">
        <v>1141356</v>
      </c>
      <c r="D9" s="36">
        <v>30</v>
      </c>
      <c r="F9" s="36">
        <v>2014</v>
      </c>
      <c r="H9" s="36">
        <v>116202</v>
      </c>
      <c r="I9" s="36">
        <v>13</v>
      </c>
      <c r="L9" s="36">
        <v>1265577</v>
      </c>
      <c r="N9" s="100">
        <v>2018</v>
      </c>
      <c r="O9" s="78">
        <f t="shared" si="36"/>
        <v>1</v>
      </c>
      <c r="P9" s="78">
        <f t="shared" si="0"/>
        <v>1.4480286864323754E-3</v>
      </c>
      <c r="Q9" s="78">
        <f t="shared" si="1"/>
        <v>0</v>
      </c>
      <c r="R9" s="99">
        <f t="shared" si="2"/>
        <v>1</v>
      </c>
      <c r="S9" s="77">
        <f t="shared" si="37"/>
        <v>1</v>
      </c>
      <c r="T9" s="76">
        <f t="shared" si="3"/>
        <v>1.9954839536537809E-2</v>
      </c>
      <c r="U9" s="76">
        <f t="shared" si="4"/>
        <v>2.4514009756575884E-5</v>
      </c>
      <c r="V9" s="98">
        <f t="shared" si="5"/>
        <v>0.99997548599024344</v>
      </c>
      <c r="W9" s="75">
        <f t="shared" si="6"/>
        <v>1</v>
      </c>
      <c r="X9" s="74">
        <f t="shared" si="7"/>
        <v>0.50566744730679158</v>
      </c>
      <c r="Y9" s="74">
        <f t="shared" si="8"/>
        <v>1.0064986200577308E-2</v>
      </c>
      <c r="Z9" s="73">
        <f t="shared" si="9"/>
        <v>0.93637076913017903</v>
      </c>
      <c r="AA9" s="70">
        <f t="shared" si="10"/>
        <v>0.49390274142443863</v>
      </c>
      <c r="AB9" s="69">
        <f t="shared" si="11"/>
        <v>6.931753522776718E-2</v>
      </c>
      <c r="AC9" s="69">
        <f t="shared" si="12"/>
        <v>1.2071463061323033E-2</v>
      </c>
      <c r="AD9" s="68">
        <f t="shared" si="13"/>
        <v>0.98792853693867699</v>
      </c>
      <c r="AE9" s="70">
        <f t="shared" si="14"/>
        <v>0.50609725857556143</v>
      </c>
      <c r="AF9" s="69">
        <f t="shared" si="15"/>
        <v>0.93150341884064281</v>
      </c>
      <c r="AG9" s="69">
        <f t="shared" si="16"/>
        <v>9.9192725407896525E-3</v>
      </c>
      <c r="AH9" s="68">
        <f t="shared" si="17"/>
        <v>0.93262655897513824</v>
      </c>
      <c r="AI9" s="72">
        <f t="shared" si="18"/>
        <v>1</v>
      </c>
      <c r="AJ9" s="71">
        <f t="shared" si="19"/>
        <v>4.1022498904878496E-2</v>
      </c>
      <c r="AK9" s="71">
        <f t="shared" si="20"/>
        <v>0.20146539008233433</v>
      </c>
      <c r="AL9" s="97">
        <f t="shared" si="21"/>
        <v>0.79853460991766567</v>
      </c>
      <c r="AM9" s="70">
        <f t="shared" si="22"/>
        <v>0.97463142351360743</v>
      </c>
      <c r="AN9" s="69">
        <f t="shared" si="23"/>
        <v>3.3992077407354111E-2</v>
      </c>
      <c r="AO9" s="69">
        <f t="shared" si="24"/>
        <v>0.23577489559312667</v>
      </c>
      <c r="AP9" s="68">
        <f t="shared" si="25"/>
        <v>0.7642251044068733</v>
      </c>
      <c r="AQ9" s="70">
        <f t="shared" si="26"/>
        <v>2.4276227444831797E-2</v>
      </c>
      <c r="AR9" s="69">
        <f t="shared" si="27"/>
        <v>0.32499034698291096</v>
      </c>
      <c r="AS9" s="69">
        <f t="shared" si="28"/>
        <v>5.7474982987315786E-2</v>
      </c>
      <c r="AT9" s="68">
        <f t="shared" si="29"/>
        <v>0.94252501701268421</v>
      </c>
      <c r="AU9" s="70">
        <f t="shared" si="30"/>
        <v>1.0431928946175823E-3</v>
      </c>
      <c r="AV9" s="69">
        <f t="shared" si="31"/>
        <v>2.5311115798354778E-3</v>
      </c>
      <c r="AW9" s="69">
        <f t="shared" si="32"/>
        <v>0</v>
      </c>
      <c r="AX9" s="68">
        <f t="shared" si="33"/>
        <v>1</v>
      </c>
      <c r="AY9" s="70">
        <f t="shared" si="34"/>
        <v>4.9156146943169772E-5</v>
      </c>
      <c r="AZ9" s="69">
        <f t="shared" si="35"/>
        <v>1.1638316920322292E-2</v>
      </c>
      <c r="BA9" s="69">
        <f>J67/(J67+B67)</f>
        <v>0</v>
      </c>
      <c r="BB9" s="68">
        <f>B67/(B67+J67)</f>
        <v>1</v>
      </c>
    </row>
    <row r="10" spans="1:54" x14ac:dyDescent="0.15">
      <c r="A10" s="50">
        <v>2020</v>
      </c>
      <c r="B10" s="36">
        <v>4111</v>
      </c>
      <c r="C10" s="36">
        <v>1530088</v>
      </c>
      <c r="D10" s="36">
        <v>44</v>
      </c>
      <c r="E10" s="36">
        <v>24</v>
      </c>
      <c r="F10" s="36">
        <v>146</v>
      </c>
      <c r="H10" s="36">
        <v>142829</v>
      </c>
      <c r="I10" s="36">
        <v>14</v>
      </c>
      <c r="J10" s="36">
        <v>11</v>
      </c>
      <c r="L10" s="36">
        <v>1677267</v>
      </c>
      <c r="N10" s="100">
        <v>2019</v>
      </c>
      <c r="O10" s="78">
        <f t="shared" si="36"/>
        <v>1</v>
      </c>
      <c r="P10" s="78">
        <f t="shared" si="0"/>
        <v>4.7108947144267003E-3</v>
      </c>
      <c r="Q10" s="78">
        <f t="shared" si="1"/>
        <v>0</v>
      </c>
      <c r="R10" s="99">
        <f t="shared" si="2"/>
        <v>1</v>
      </c>
      <c r="S10" s="77">
        <f t="shared" si="37"/>
        <v>1</v>
      </c>
      <c r="T10" s="76">
        <f t="shared" si="3"/>
        <v>8.3252472071471458E-3</v>
      </c>
      <c r="U10" s="76">
        <f t="shared" si="4"/>
        <v>5.3751645458534449E-3</v>
      </c>
      <c r="V10" s="98">
        <f t="shared" si="5"/>
        <v>0.99462483545414659</v>
      </c>
      <c r="W10" s="75">
        <f t="shared" si="6"/>
        <v>1</v>
      </c>
      <c r="X10" s="74">
        <f t="shared" si="7"/>
        <v>0.46352807233220489</v>
      </c>
      <c r="Y10" s="74">
        <f t="shared" si="8"/>
        <v>8.3553449828855167E-3</v>
      </c>
      <c r="Z10" s="73">
        <f t="shared" si="9"/>
        <v>0.9438470884885225</v>
      </c>
      <c r="AA10" s="70">
        <f t="shared" si="10"/>
        <v>0.5376831166314413</v>
      </c>
      <c r="AB10" s="69">
        <f t="shared" si="11"/>
        <v>4.6313608001261462E-2</v>
      </c>
      <c r="AC10" s="69">
        <f t="shared" si="12"/>
        <v>9.727626459143969E-4</v>
      </c>
      <c r="AD10" s="68">
        <f t="shared" si="13"/>
        <v>0.99902723735408561</v>
      </c>
      <c r="AE10" s="70">
        <f t="shared" si="14"/>
        <v>0.46231688336855875</v>
      </c>
      <c r="AF10" s="69">
        <f t="shared" si="15"/>
        <v>0.94875623845639956</v>
      </c>
      <c r="AG10" s="69">
        <f t="shared" si="16"/>
        <v>8.7744751457985107E-3</v>
      </c>
      <c r="AH10" s="68">
        <f t="shared" si="17"/>
        <v>0.94071435474740783</v>
      </c>
      <c r="AI10" s="72">
        <f t="shared" si="18"/>
        <v>1</v>
      </c>
      <c r="AJ10" s="71">
        <f t="shared" si="19"/>
        <v>4.2329961948374982E-2</v>
      </c>
      <c r="AK10" s="71">
        <f t="shared" si="20"/>
        <v>0.21670606776989754</v>
      </c>
      <c r="AL10" s="97">
        <f t="shared" si="21"/>
        <v>0.78329393223010246</v>
      </c>
      <c r="AM10" s="70">
        <f t="shared" si="22"/>
        <v>0.97004953666335381</v>
      </c>
      <c r="AN10" s="69">
        <f t="shared" si="23"/>
        <v>3.153962456639673E-2</v>
      </c>
      <c r="AO10" s="69">
        <f t="shared" si="24"/>
        <v>0.27452631390032589</v>
      </c>
      <c r="AP10" s="68">
        <f t="shared" si="25"/>
        <v>0.72547368609967411</v>
      </c>
      <c r="AQ10" s="70">
        <f t="shared" si="26"/>
        <v>2.9315995043588238E-2</v>
      </c>
      <c r="AR10" s="69">
        <f t="shared" si="27"/>
        <v>0.40004245442782516</v>
      </c>
      <c r="AS10" s="69">
        <f t="shared" si="28"/>
        <v>6.5953445544708972E-2</v>
      </c>
      <c r="AT10" s="68">
        <f t="shared" si="29"/>
        <v>0.93404655445529106</v>
      </c>
      <c r="AU10" s="70">
        <f t="shared" si="30"/>
        <v>6.1090337376432883E-4</v>
      </c>
      <c r="AV10" s="69">
        <f t="shared" si="31"/>
        <v>8.6884877537263122E-3</v>
      </c>
      <c r="AW10" s="69">
        <f t="shared" si="32"/>
        <v>0.10344827586206896</v>
      </c>
      <c r="AX10" s="68">
        <f t="shared" si="33"/>
        <v>0.89655172413793105</v>
      </c>
      <c r="AY10" s="70">
        <f t="shared" si="34"/>
        <v>2.3564919293583202E-5</v>
      </c>
      <c r="AZ10" s="69">
        <f t="shared" si="35"/>
        <v>8.5436893203883493E-2</v>
      </c>
      <c r="BA10" s="69">
        <f>J68/(J68+B68)</f>
        <v>0</v>
      </c>
      <c r="BB10" s="68">
        <f>B68/(B68+J68)</f>
        <v>1</v>
      </c>
    </row>
    <row r="11" spans="1:54" x14ac:dyDescent="0.15">
      <c r="A11" s="50">
        <v>2021</v>
      </c>
      <c r="B11" s="36">
        <v>10982</v>
      </c>
      <c r="C11" s="36">
        <v>1447896</v>
      </c>
      <c r="D11" s="36">
        <v>4</v>
      </c>
      <c r="E11" s="36">
        <v>18</v>
      </c>
      <c r="F11" s="36">
        <v>825</v>
      </c>
      <c r="H11" s="36">
        <v>59599</v>
      </c>
      <c r="I11" s="36">
        <v>90</v>
      </c>
      <c r="J11" s="36">
        <v>25</v>
      </c>
      <c r="L11" s="36">
        <v>1519439</v>
      </c>
      <c r="N11" s="100">
        <v>2020</v>
      </c>
      <c r="O11" s="78">
        <f t="shared" si="36"/>
        <v>1</v>
      </c>
      <c r="P11" s="78">
        <f t="shared" si="0"/>
        <v>2.4575693673100345E-3</v>
      </c>
      <c r="Q11" s="78">
        <f t="shared" si="1"/>
        <v>2.6686074721009221E-3</v>
      </c>
      <c r="R11" s="99">
        <f t="shared" si="2"/>
        <v>0.99733139252789904</v>
      </c>
      <c r="S11" s="77">
        <f t="shared" si="37"/>
        <v>1</v>
      </c>
      <c r="T11" s="76">
        <f t="shared" si="3"/>
        <v>6.2312891295087554E-3</v>
      </c>
      <c r="U11" s="76">
        <f t="shared" si="4"/>
        <v>2.0297440479989787E-2</v>
      </c>
      <c r="V11" s="98">
        <f t="shared" si="5"/>
        <v>0.97970255952001017</v>
      </c>
      <c r="W11" s="75">
        <f t="shared" si="6"/>
        <v>1</v>
      </c>
      <c r="X11" s="74">
        <f t="shared" si="7"/>
        <v>0.56706547338671698</v>
      </c>
      <c r="Y11" s="74">
        <f t="shared" si="8"/>
        <v>6.413217443048352E-3</v>
      </c>
      <c r="Z11" s="73">
        <f t="shared" si="9"/>
        <v>0.91612120809382991</v>
      </c>
      <c r="AA11" s="70">
        <f t="shared" si="10"/>
        <v>0.43130475741874708</v>
      </c>
      <c r="AB11" s="69">
        <f t="shared" si="11"/>
        <v>5.375357665509032E-2</v>
      </c>
      <c r="AC11" s="69">
        <f t="shared" si="12"/>
        <v>3.6570499796830555E-3</v>
      </c>
      <c r="AD11" s="68">
        <f t="shared" si="13"/>
        <v>0.99634295002031692</v>
      </c>
      <c r="AE11" s="70">
        <f t="shared" si="14"/>
        <v>0.56869524258125292</v>
      </c>
      <c r="AF11" s="69">
        <f t="shared" si="15"/>
        <v>0.95636688919442747</v>
      </c>
      <c r="AG11" s="69">
        <f t="shared" si="16"/>
        <v>6.5307053291332948E-3</v>
      </c>
      <c r="AH11" s="68">
        <f t="shared" si="17"/>
        <v>0.9127015744894601</v>
      </c>
      <c r="AI11" s="72">
        <f t="shared" si="18"/>
        <v>1</v>
      </c>
      <c r="AJ11" s="71">
        <f t="shared" si="19"/>
        <v>5.6476382071581684E-2</v>
      </c>
      <c r="AK11" s="71">
        <f t="shared" si="20"/>
        <v>0.18117913357677726</v>
      </c>
      <c r="AL11" s="97">
        <f t="shared" si="21"/>
        <v>0.81882086642322272</v>
      </c>
      <c r="AM11" s="70">
        <f t="shared" si="22"/>
        <v>0.98018572643694135</v>
      </c>
      <c r="AN11" s="69">
        <f t="shared" si="23"/>
        <v>4.8318529287925273E-2</v>
      </c>
      <c r="AO11" s="69">
        <f t="shared" si="24"/>
        <v>0.202825828601611</v>
      </c>
      <c r="AP11" s="68">
        <f t="shared" si="25"/>
        <v>0.79717417139838898</v>
      </c>
      <c r="AQ11" s="70">
        <f t="shared" si="26"/>
        <v>1.8810441371497243E-2</v>
      </c>
      <c r="AR11" s="69">
        <f t="shared" si="27"/>
        <v>0.48163419173950944</v>
      </c>
      <c r="AS11" s="69">
        <f t="shared" si="28"/>
        <v>6.9127830501473003E-2</v>
      </c>
      <c r="AT11" s="68">
        <f t="shared" si="29"/>
        <v>0.93087216949852702</v>
      </c>
      <c r="AU11" s="70">
        <f t="shared" si="30"/>
        <v>9.3114853619008335E-4</v>
      </c>
      <c r="AV11" s="69">
        <f t="shared" si="31"/>
        <v>2.5331852556983447E-2</v>
      </c>
      <c r="AW11" s="69">
        <f t="shared" si="32"/>
        <v>0</v>
      </c>
      <c r="AX11" s="68">
        <f t="shared" si="33"/>
        <v>1</v>
      </c>
      <c r="AY11" s="70">
        <f t="shared" si="34"/>
        <v>7.268365537133444E-5</v>
      </c>
      <c r="AZ11" s="69">
        <f t="shared" si="35"/>
        <v>0.43902439024390244</v>
      </c>
      <c r="BA11" s="69">
        <f>J69/(J69+B69)</f>
        <v>0</v>
      </c>
      <c r="BB11" s="68">
        <f>B69/(B69+J69)</f>
        <v>1</v>
      </c>
    </row>
    <row r="12" spans="1:54" x14ac:dyDescent="0.15">
      <c r="A12" s="43" t="s">
        <v>1014</v>
      </c>
      <c r="B12" s="36">
        <v>217086</v>
      </c>
      <c r="C12" s="36">
        <v>7283616</v>
      </c>
      <c r="D12" s="36">
        <v>6562410</v>
      </c>
      <c r="E12" s="36">
        <v>12</v>
      </c>
      <c r="F12" s="36">
        <v>3</v>
      </c>
      <c r="H12" s="36">
        <v>176564</v>
      </c>
      <c r="J12" s="36">
        <v>1667</v>
      </c>
      <c r="L12" s="36">
        <v>14241358</v>
      </c>
      <c r="N12" s="96">
        <v>2021</v>
      </c>
      <c r="O12" s="65">
        <f t="shared" si="36"/>
        <v>1</v>
      </c>
      <c r="P12" s="65">
        <f t="shared" si="0"/>
        <v>7.2441210209820859E-3</v>
      </c>
      <c r="Q12" s="65">
        <f t="shared" si="1"/>
        <v>2.2712819115108568E-3</v>
      </c>
      <c r="R12" s="95">
        <f t="shared" si="2"/>
        <v>0.99772871808848917</v>
      </c>
      <c r="S12" s="64">
        <f t="shared" si="37"/>
        <v>1</v>
      </c>
      <c r="T12" s="63">
        <f t="shared" si="3"/>
        <v>1.6909438858558619E-2</v>
      </c>
      <c r="U12" s="63">
        <f t="shared" si="4"/>
        <v>3.1458411979363284E-2</v>
      </c>
      <c r="V12" s="94">
        <f t="shared" si="5"/>
        <v>0.96854158802063672</v>
      </c>
      <c r="W12" s="62">
        <f t="shared" si="6"/>
        <v>1</v>
      </c>
      <c r="X12" s="61">
        <f t="shared" si="7"/>
        <v>0.43774311858630016</v>
      </c>
      <c r="Y12" s="61">
        <f t="shared" si="8"/>
        <v>5.7617000648001258E-4</v>
      </c>
      <c r="Z12" s="60">
        <f t="shared" si="9"/>
        <v>0.97406059580230209</v>
      </c>
      <c r="AA12" s="57">
        <f t="shared" si="10"/>
        <v>0.59399659170896157</v>
      </c>
      <c r="AB12" s="56">
        <f t="shared" si="11"/>
        <v>7.6900288454042259E-2</v>
      </c>
      <c r="AC12" s="56">
        <f t="shared" si="12"/>
        <v>4.0551500405515005E-4</v>
      </c>
      <c r="AD12" s="55">
        <f t="shared" si="13"/>
        <v>0.99959448499594483</v>
      </c>
      <c r="AE12" s="57">
        <f t="shared" si="14"/>
        <v>0.40600340829103843</v>
      </c>
      <c r="AF12" s="56">
        <f t="shared" si="15"/>
        <v>0.9656682710951936</v>
      </c>
      <c r="AG12" s="56">
        <f t="shared" si="16"/>
        <v>5.9605261235640443E-4</v>
      </c>
      <c r="AH12" s="55">
        <f t="shared" si="17"/>
        <v>0.97108570348672396</v>
      </c>
      <c r="AI12" s="59">
        <f t="shared" si="18"/>
        <v>1</v>
      </c>
      <c r="AJ12" s="58">
        <f t="shared" si="19"/>
        <v>0.13221782031992158</v>
      </c>
      <c r="AK12" s="58">
        <f t="shared" si="20"/>
        <v>0.14652143955653715</v>
      </c>
      <c r="AL12" s="93">
        <f t="shared" si="21"/>
        <v>0.85347856044346304</v>
      </c>
      <c r="AM12" s="57">
        <f t="shared" si="22"/>
        <v>0.9742747566785408</v>
      </c>
      <c r="AN12" s="56">
        <f t="shared" si="23"/>
        <v>0.11784347659460451</v>
      </c>
      <c r="AO12" s="56">
        <f t="shared" si="24"/>
        <v>0.1640433968835221</v>
      </c>
      <c r="AP12" s="55">
        <f t="shared" si="25"/>
        <v>0.8359566031164779</v>
      </c>
      <c r="AQ12" s="57">
        <f t="shared" si="26"/>
        <v>2.4980209678497241E-2</v>
      </c>
      <c r="AR12" s="56">
        <f t="shared" si="27"/>
        <v>0.6939979406533745</v>
      </c>
      <c r="AS12" s="56">
        <f t="shared" si="28"/>
        <v>3.1054845035999559E-2</v>
      </c>
      <c r="AT12" s="55">
        <f t="shared" si="29"/>
        <v>0.96894515496400047</v>
      </c>
      <c r="AU12" s="57">
        <f t="shared" si="30"/>
        <v>7.3488535970777063E-4</v>
      </c>
      <c r="AV12" s="56">
        <f t="shared" si="31"/>
        <v>9.0238004327351407E-2</v>
      </c>
      <c r="AW12" s="56">
        <f t="shared" si="32"/>
        <v>3.526093088857546E-3</v>
      </c>
      <c r="AX12" s="55">
        <f t="shared" si="33"/>
        <v>0.99647390691114246</v>
      </c>
      <c r="AY12" s="57">
        <f t="shared" si="34"/>
        <v>1.0148283254205563E-5</v>
      </c>
      <c r="AZ12" s="56">
        <f t="shared" si="35"/>
        <v>0.33179723502304148</v>
      </c>
      <c r="BA12" s="56">
        <f>J70/(J70+B70)</f>
        <v>0</v>
      </c>
      <c r="BB12" s="55">
        <f>B70/(B70+J70)</f>
        <v>1</v>
      </c>
    </row>
    <row r="13" spans="1:54" x14ac:dyDescent="0.15">
      <c r="A13" s="44" t="s">
        <v>979</v>
      </c>
      <c r="B13" s="36">
        <v>217086</v>
      </c>
      <c r="C13" s="36">
        <v>7283616</v>
      </c>
      <c r="D13" s="36">
        <v>6562410</v>
      </c>
      <c r="E13" s="36">
        <v>12</v>
      </c>
      <c r="F13" s="36">
        <v>3</v>
      </c>
      <c r="H13" s="36">
        <v>176564</v>
      </c>
      <c r="J13" s="36">
        <v>1667</v>
      </c>
      <c r="L13" s="36">
        <v>14241358</v>
      </c>
      <c r="N13" s="80">
        <v>2025</v>
      </c>
      <c r="O13" s="92">
        <v>1</v>
      </c>
      <c r="P13" s="91">
        <f t="shared" ref="P13:P20" si="38">HLOOKUP(O$4,$O$24:$U$33,ROW(P13)-10,FALSE)</f>
        <v>2.6420038649863066E-2</v>
      </c>
      <c r="Q13" s="91">
        <f>Q5</f>
        <v>2.2647571655271048E-2</v>
      </c>
      <c r="R13" s="91">
        <f>R5</f>
        <v>0.97735242834472891</v>
      </c>
      <c r="S13" s="90">
        <f>100%</f>
        <v>1</v>
      </c>
      <c r="T13" s="89">
        <f t="shared" ref="T13:T20" si="39">HLOOKUP(S$4,$O$24:$U$33,ROW(T13)-10,FALSE)</f>
        <v>8.9203147277815906E-2</v>
      </c>
      <c r="U13" s="89">
        <f>U5</f>
        <v>7.6204669193108213E-3</v>
      </c>
      <c r="V13" s="89">
        <f>V5</f>
        <v>0.99237953308068916</v>
      </c>
      <c r="W13" s="88">
        <f t="shared" si="6"/>
        <v>1</v>
      </c>
      <c r="X13" s="87">
        <f t="shared" si="7"/>
        <v>0.34046608336294037</v>
      </c>
      <c r="Y13" s="87">
        <f t="shared" si="8"/>
        <v>1.319456206206064E-2</v>
      </c>
      <c r="Z13" s="86">
        <f t="shared" si="9"/>
        <v>0.92179751169908741</v>
      </c>
      <c r="AA13" s="83">
        <f t="shared" ref="AA13:AA20" si="40">S36/(R36+S36)</f>
        <v>0.75096771708473053</v>
      </c>
      <c r="AB13" s="82">
        <f t="shared" ref="AB13:AB20" si="41">HLOOKUP(AA$4,$O$24:$U$33,ROW(AB13)-10,FALSE)</f>
        <v>0.15160000000000001</v>
      </c>
      <c r="AC13" s="82">
        <f>AC5</f>
        <v>1.8581343672558683E-2</v>
      </c>
      <c r="AD13" s="82">
        <f>AD5</f>
        <v>0.9814186563274413</v>
      </c>
      <c r="AE13" s="83">
        <f t="shared" ref="AE13:AE20" si="42">R36/(R36+S36)</f>
        <v>0.24903228291526944</v>
      </c>
      <c r="AF13" s="82">
        <f t="shared" ref="AF13:AF20" si="43">HLOOKUP(AE$4,$O$24:$U$33,ROW(AF13)-10,FALSE)</f>
        <v>0.91</v>
      </c>
      <c r="AG13" s="82">
        <f>AG5</f>
        <v>1.0488406265919674E-2</v>
      </c>
      <c r="AH13" s="82">
        <f>AH5</f>
        <v>0.89184565588333597</v>
      </c>
      <c r="AI13" s="85">
        <f t="shared" si="18"/>
        <v>0.99999999999999989</v>
      </c>
      <c r="AJ13" s="84">
        <f t="shared" si="19"/>
        <v>0.1062205737688578</v>
      </c>
      <c r="AK13" s="84">
        <f t="shared" si="20"/>
        <v>0.17368892732913752</v>
      </c>
      <c r="AL13" s="84">
        <f t="shared" si="21"/>
        <v>0.82631107267086246</v>
      </c>
      <c r="AM13" s="83">
        <f t="shared" ref="AM13:AM20" si="44">O36/(O36+P36+R36+S36)</f>
        <v>0.98776333104745662</v>
      </c>
      <c r="AN13" s="82">
        <f t="shared" ref="AN13:AN20" si="45">HLOOKUP(AM$4,$O$24:$U$33,ROW(AN13)-10,FALSE)</f>
        <v>0.1</v>
      </c>
      <c r="AO13" s="82">
        <f>AO5</f>
        <v>0.18385826023823795</v>
      </c>
      <c r="AP13" s="82">
        <f>AP5</f>
        <v>0.81614173976176208</v>
      </c>
      <c r="AQ13" s="83">
        <f t="shared" ref="AQ13:AQ20" si="46">P36/(O36+P36+R36+S36)</f>
        <v>5.7557062304330088E-3</v>
      </c>
      <c r="AR13" s="82">
        <f t="shared" ref="AR13:AR20" si="47">HLOOKUP(AQ$4,$O$24:$U$33,ROW(AR13)-10,FALSE)</f>
        <v>0.91</v>
      </c>
      <c r="AS13" s="82">
        <f>AS5</f>
        <v>5.4196434503377258E-2</v>
      </c>
      <c r="AT13" s="82">
        <f>AT5</f>
        <v>0.9458035654966227</v>
      </c>
      <c r="AU13" s="83">
        <f t="shared" ref="AU13:AU20" si="48">S36/(O36+P36+R36+S36)</f>
        <v>4.8669937799343446E-3</v>
      </c>
      <c r="AV13" s="82">
        <f t="shared" ref="AV13:AV20" si="49">HLOOKUP(AU$4,$O$24:$U$33,ROW(AV13)-10,FALSE)</f>
        <v>0.15160000000000001</v>
      </c>
      <c r="AW13" s="82">
        <f>AW5</f>
        <v>6.2730627306273063E-3</v>
      </c>
      <c r="AX13" s="82">
        <f>AX5</f>
        <v>0.99372693726937267</v>
      </c>
      <c r="AY13" s="83">
        <f t="shared" ref="AY13:AY20" si="50">R36/(O36+P36+R36+S36)</f>
        <v>1.6139689421758644E-3</v>
      </c>
      <c r="AZ13" s="82">
        <f t="shared" ref="AZ13:AZ20" si="51">HLOOKUP(AY$4,$O$24:$U$33,ROW(AZ13)-10,FALSE)</f>
        <v>0.91</v>
      </c>
      <c r="BA13" s="82">
        <f>BA5</f>
        <v>0</v>
      </c>
      <c r="BB13" s="81">
        <f>BB5</f>
        <v>1</v>
      </c>
    </row>
    <row r="14" spans="1:54" x14ac:dyDescent="0.15">
      <c r="A14" s="50">
        <v>2015</v>
      </c>
      <c r="B14" s="36">
        <v>24785</v>
      </c>
      <c r="C14" s="36">
        <v>763006</v>
      </c>
      <c r="D14" s="36">
        <v>706406</v>
      </c>
      <c r="E14" s="36">
        <v>4</v>
      </c>
      <c r="H14" s="36">
        <v>36040</v>
      </c>
      <c r="L14" s="36">
        <v>1530241</v>
      </c>
      <c r="N14" s="80">
        <v>2030</v>
      </c>
      <c r="O14" s="79">
        <v>1</v>
      </c>
      <c r="P14" s="78">
        <f t="shared" si="38"/>
        <v>5.9427602641469165E-2</v>
      </c>
      <c r="Q14" s="78">
        <f t="shared" ref="Q14:R20" si="52">Q13</f>
        <v>2.2647571655271048E-2</v>
      </c>
      <c r="R14" s="78">
        <f t="shared" si="52"/>
        <v>0.97735242834472891</v>
      </c>
      <c r="S14" s="77">
        <f>100%</f>
        <v>1</v>
      </c>
      <c r="T14" s="76">
        <f t="shared" si="39"/>
        <v>0.180868546209773</v>
      </c>
      <c r="U14" s="76">
        <f t="shared" ref="U14:V20" si="53">U13</f>
        <v>7.6204669193108213E-3</v>
      </c>
      <c r="V14" s="76">
        <f t="shared" si="53"/>
        <v>0.99237953308068916</v>
      </c>
      <c r="W14" s="75">
        <f t="shared" si="6"/>
        <v>1</v>
      </c>
      <c r="X14" s="74">
        <f t="shared" si="7"/>
        <v>0.52305414959742058</v>
      </c>
      <c r="Y14" s="74">
        <f t="shared" si="8"/>
        <v>1.3646501302823515E-2</v>
      </c>
      <c r="Z14" s="73">
        <f t="shared" si="9"/>
        <v>0.9267995958348616</v>
      </c>
      <c r="AA14" s="70">
        <f t="shared" si="40"/>
        <v>0.67119226837947521</v>
      </c>
      <c r="AB14" s="69">
        <f t="shared" si="41"/>
        <v>0.304101610732668</v>
      </c>
      <c r="AC14" s="69">
        <f t="shared" ref="AC14:AD20" si="54">AC13</f>
        <v>1.8581343672558683E-2</v>
      </c>
      <c r="AD14" s="69">
        <f t="shared" si="54"/>
        <v>0.9814186563274413</v>
      </c>
      <c r="AE14" s="70">
        <f t="shared" si="42"/>
        <v>0.32880773162052479</v>
      </c>
      <c r="AF14" s="69">
        <f t="shared" si="43"/>
        <v>0.97</v>
      </c>
      <c r="AG14" s="69">
        <f t="shared" ref="AG14:AH20" si="55">AG13</f>
        <v>1.0488406265919674E-2</v>
      </c>
      <c r="AH14" s="69">
        <f t="shared" si="55"/>
        <v>0.89184565588333597</v>
      </c>
      <c r="AI14" s="72">
        <f t="shared" si="18"/>
        <v>0.99999999999999989</v>
      </c>
      <c r="AJ14" s="71">
        <f t="shared" si="19"/>
        <v>0.15655173335418227</v>
      </c>
      <c r="AK14" s="71">
        <f t="shared" si="20"/>
        <v>0.1758185740825613</v>
      </c>
      <c r="AL14" s="71">
        <f t="shared" si="21"/>
        <v>0.82418142591743881</v>
      </c>
      <c r="AM14" s="70">
        <f t="shared" si="44"/>
        <v>0.98833878871528913</v>
      </c>
      <c r="AN14" s="69">
        <f t="shared" si="45"/>
        <v>0.15</v>
      </c>
      <c r="AO14" s="69">
        <f t="shared" ref="AO14:AP20" si="56">AO13</f>
        <v>0.18385826023823795</v>
      </c>
      <c r="AP14" s="69">
        <f t="shared" si="56"/>
        <v>0.81614173976176208</v>
      </c>
      <c r="AQ14" s="70">
        <f t="shared" si="46"/>
        <v>4.9255857126891027E-3</v>
      </c>
      <c r="AR14" s="69">
        <f t="shared" si="47"/>
        <v>0.97</v>
      </c>
      <c r="AS14" s="69">
        <f t="shared" ref="AS14:AT20" si="57">AS13</f>
        <v>5.4196434503377258E-2</v>
      </c>
      <c r="AT14" s="69">
        <f t="shared" si="57"/>
        <v>0.9458035654966227</v>
      </c>
      <c r="AU14" s="70">
        <f t="shared" si="48"/>
        <v>4.5208998066400847E-3</v>
      </c>
      <c r="AV14" s="69">
        <f t="shared" si="49"/>
        <v>0.304101610732668</v>
      </c>
      <c r="AW14" s="69">
        <f t="shared" ref="AW14:AX20" si="58">AW13</f>
        <v>6.2730627306273063E-3</v>
      </c>
      <c r="AX14" s="69">
        <f t="shared" si="58"/>
        <v>0.99372693726937267</v>
      </c>
      <c r="AY14" s="70">
        <f t="shared" si="50"/>
        <v>2.2147257653816746E-3</v>
      </c>
      <c r="AZ14" s="69">
        <f t="shared" si="51"/>
        <v>0.97</v>
      </c>
      <c r="BA14" s="69">
        <f t="shared" ref="BA14:BB20" si="59">BA13</f>
        <v>0</v>
      </c>
      <c r="BB14" s="68">
        <f t="shared" si="59"/>
        <v>1</v>
      </c>
    </row>
    <row r="15" spans="1:54" x14ac:dyDescent="0.15">
      <c r="A15" s="50">
        <v>2016</v>
      </c>
      <c r="B15" s="36">
        <v>17755</v>
      </c>
      <c r="C15" s="36">
        <v>876597</v>
      </c>
      <c r="D15" s="36">
        <v>756679</v>
      </c>
      <c r="H15" s="36">
        <v>16696</v>
      </c>
      <c r="L15" s="36">
        <v>1667727</v>
      </c>
      <c r="N15" s="80">
        <v>2035</v>
      </c>
      <c r="O15" s="79">
        <v>1</v>
      </c>
      <c r="P15" s="78">
        <f t="shared" si="38"/>
        <v>0.10442110567062254</v>
      </c>
      <c r="Q15" s="78">
        <f t="shared" si="52"/>
        <v>2.2647571655271048E-2</v>
      </c>
      <c r="R15" s="78">
        <f t="shared" si="52"/>
        <v>0.97735242834472891</v>
      </c>
      <c r="S15" s="77">
        <f>100%</f>
        <v>1</v>
      </c>
      <c r="T15" s="76">
        <f t="shared" si="39"/>
        <v>0.29922704510701198</v>
      </c>
      <c r="U15" s="76">
        <f t="shared" si="53"/>
        <v>7.6204669193108213E-3</v>
      </c>
      <c r="V15" s="76">
        <f t="shared" si="53"/>
        <v>0.99237953308068916</v>
      </c>
      <c r="W15" s="75">
        <f t="shared" si="6"/>
        <v>0.99999999999999989</v>
      </c>
      <c r="X15" s="74">
        <f t="shared" si="7"/>
        <v>0.60054663643244832</v>
      </c>
      <c r="Y15" s="74">
        <f t="shared" si="8"/>
        <v>1.5441440831748247E-2</v>
      </c>
      <c r="Z15" s="73">
        <f t="shared" si="9"/>
        <v>0.94666606843226775</v>
      </c>
      <c r="AA15" s="70">
        <f t="shared" si="40"/>
        <v>0.76699954602064435</v>
      </c>
      <c r="AB15" s="69">
        <f t="shared" si="41"/>
        <v>0.47920000000000001</v>
      </c>
      <c r="AC15" s="69">
        <f t="shared" si="54"/>
        <v>1.8581343672558683E-2</v>
      </c>
      <c r="AD15" s="69">
        <f t="shared" si="54"/>
        <v>0.9814186563274413</v>
      </c>
      <c r="AE15" s="70">
        <f t="shared" si="42"/>
        <v>0.23300045397935554</v>
      </c>
      <c r="AF15" s="69">
        <f t="shared" si="43"/>
        <v>1</v>
      </c>
      <c r="AG15" s="69">
        <f t="shared" si="55"/>
        <v>1.0488406265919674E-2</v>
      </c>
      <c r="AH15" s="69">
        <f t="shared" si="55"/>
        <v>0.89184565588333597</v>
      </c>
      <c r="AI15" s="72">
        <f t="shared" si="18"/>
        <v>1</v>
      </c>
      <c r="AJ15" s="71">
        <f t="shared" si="19"/>
        <v>0.20655035226363611</v>
      </c>
      <c r="AK15" s="71">
        <f t="shared" si="20"/>
        <v>0.17727153998327003</v>
      </c>
      <c r="AL15" s="71">
        <f t="shared" si="21"/>
        <v>0.82272846001672995</v>
      </c>
      <c r="AM15" s="70">
        <f t="shared" si="44"/>
        <v>0.98835737586988892</v>
      </c>
      <c r="AN15" s="69">
        <f t="shared" si="45"/>
        <v>0.2</v>
      </c>
      <c r="AO15" s="69">
        <f t="shared" si="56"/>
        <v>0.18385826023823795</v>
      </c>
      <c r="AP15" s="69">
        <f t="shared" si="56"/>
        <v>0.81614173976176208</v>
      </c>
      <c r="AQ15" s="70">
        <f t="shared" si="46"/>
        <v>4.723801327445128E-3</v>
      </c>
      <c r="AR15" s="69">
        <f t="shared" si="47"/>
        <v>1</v>
      </c>
      <c r="AS15" s="69">
        <f t="shared" si="57"/>
        <v>5.4196434503377258E-2</v>
      </c>
      <c r="AT15" s="69">
        <f t="shared" si="57"/>
        <v>0.9458035654966227</v>
      </c>
      <c r="AU15" s="70">
        <f t="shared" si="48"/>
        <v>5.3067339486420851E-3</v>
      </c>
      <c r="AV15" s="69">
        <f t="shared" si="49"/>
        <v>0.47920000000000001</v>
      </c>
      <c r="AW15" s="69">
        <f t="shared" si="58"/>
        <v>6.2730627306273063E-3</v>
      </c>
      <c r="AX15" s="69">
        <f t="shared" si="58"/>
        <v>0.99372693726937267</v>
      </c>
      <c r="AY15" s="70">
        <f t="shared" si="50"/>
        <v>1.612088854023889E-3</v>
      </c>
      <c r="AZ15" s="69">
        <f t="shared" si="51"/>
        <v>1</v>
      </c>
      <c r="BA15" s="69">
        <f t="shared" si="59"/>
        <v>0</v>
      </c>
      <c r="BB15" s="68">
        <f t="shared" si="59"/>
        <v>1</v>
      </c>
    </row>
    <row r="16" spans="1:54" x14ac:dyDescent="0.15">
      <c r="A16" s="50">
        <v>2017</v>
      </c>
      <c r="B16" s="36">
        <v>61786</v>
      </c>
      <c r="C16" s="36">
        <v>1024613</v>
      </c>
      <c r="D16" s="36">
        <v>838364</v>
      </c>
      <c r="H16" s="36">
        <v>20278</v>
      </c>
      <c r="L16" s="36">
        <v>1945041</v>
      </c>
      <c r="N16" s="80">
        <v>2040</v>
      </c>
      <c r="O16" s="79">
        <v>1</v>
      </c>
      <c r="P16" s="78">
        <f t="shared" si="38"/>
        <v>0.17782076422397952</v>
      </c>
      <c r="Q16" s="78">
        <f t="shared" si="52"/>
        <v>2.2647571655271048E-2</v>
      </c>
      <c r="R16" s="78">
        <f t="shared" si="52"/>
        <v>0.97735242834472891</v>
      </c>
      <c r="S16" s="77">
        <f>100%</f>
        <v>1</v>
      </c>
      <c r="T16" s="76">
        <f t="shared" si="39"/>
        <v>0.450187952438039</v>
      </c>
      <c r="U16" s="76">
        <f t="shared" si="53"/>
        <v>7.6204669193108213E-3</v>
      </c>
      <c r="V16" s="76">
        <f t="shared" si="53"/>
        <v>0.99237953308068916</v>
      </c>
      <c r="W16" s="75">
        <f t="shared" si="6"/>
        <v>0.99999999999999989</v>
      </c>
      <c r="X16" s="74">
        <f t="shared" si="7"/>
        <v>0.7577286086795334</v>
      </c>
      <c r="Y16" s="74">
        <f t="shared" si="8"/>
        <v>1.5066661808159356E-2</v>
      </c>
      <c r="Z16" s="73">
        <f t="shared" si="9"/>
        <v>0.94251799710048767</v>
      </c>
      <c r="AA16" s="70">
        <f t="shared" si="40"/>
        <v>0.67092603522699124</v>
      </c>
      <c r="AB16" s="69">
        <f t="shared" si="41"/>
        <v>0.63890000000000002</v>
      </c>
      <c r="AC16" s="69">
        <f t="shared" si="54"/>
        <v>1.8581343672558683E-2</v>
      </c>
      <c r="AD16" s="69">
        <f t="shared" si="54"/>
        <v>0.9814186563274413</v>
      </c>
      <c r="AE16" s="70">
        <f t="shared" si="42"/>
        <v>0.32907396477300865</v>
      </c>
      <c r="AF16" s="69">
        <f t="shared" si="43"/>
        <v>1</v>
      </c>
      <c r="AG16" s="69">
        <f t="shared" si="55"/>
        <v>1.0488406265919674E-2</v>
      </c>
      <c r="AH16" s="69">
        <f t="shared" si="55"/>
        <v>0.89184565588333597</v>
      </c>
      <c r="AI16" s="72">
        <f t="shared" si="18"/>
        <v>1</v>
      </c>
      <c r="AJ16" s="71">
        <f t="shared" si="19"/>
        <v>0.28653447792763642</v>
      </c>
      <c r="AK16" s="71">
        <f t="shared" si="20"/>
        <v>0.17855992420514666</v>
      </c>
      <c r="AL16" s="71">
        <f t="shared" si="21"/>
        <v>0.82144007579485312</v>
      </c>
      <c r="AM16" s="70">
        <f t="shared" si="44"/>
        <v>0.98865382279551872</v>
      </c>
      <c r="AN16" s="69">
        <f t="shared" si="45"/>
        <v>0.28000000000000003</v>
      </c>
      <c r="AO16" s="69">
        <f t="shared" si="56"/>
        <v>0.18385826023823795</v>
      </c>
      <c r="AP16" s="69">
        <f t="shared" si="56"/>
        <v>0.81614173976176208</v>
      </c>
      <c r="AQ16" s="70">
        <f t="shared" si="46"/>
        <v>4.5984978739578115E-3</v>
      </c>
      <c r="AR16" s="69">
        <f t="shared" si="47"/>
        <v>1</v>
      </c>
      <c r="AS16" s="69">
        <f t="shared" si="57"/>
        <v>5.4196434503377258E-2</v>
      </c>
      <c r="AT16" s="69">
        <f t="shared" si="57"/>
        <v>0.9458035654966227</v>
      </c>
      <c r="AU16" s="70">
        <f t="shared" si="48"/>
        <v>4.527193740211299E-3</v>
      </c>
      <c r="AV16" s="69">
        <f t="shared" si="49"/>
        <v>0.63890000000000002</v>
      </c>
      <c r="AW16" s="69">
        <f t="shared" si="58"/>
        <v>6.2730627306273063E-3</v>
      </c>
      <c r="AX16" s="69">
        <f t="shared" si="58"/>
        <v>0.99372693726937267</v>
      </c>
      <c r="AY16" s="70">
        <f t="shared" si="50"/>
        <v>2.2204855903122729E-3</v>
      </c>
      <c r="AZ16" s="69">
        <f t="shared" si="51"/>
        <v>1</v>
      </c>
      <c r="BA16" s="69">
        <f t="shared" si="59"/>
        <v>0</v>
      </c>
      <c r="BB16" s="68">
        <f t="shared" si="59"/>
        <v>1</v>
      </c>
    </row>
    <row r="17" spans="1:54" x14ac:dyDescent="0.15">
      <c r="A17" s="50">
        <v>2018</v>
      </c>
      <c r="B17" s="36">
        <v>40792</v>
      </c>
      <c r="C17" s="36">
        <v>1036146</v>
      </c>
      <c r="D17" s="36">
        <v>940137</v>
      </c>
      <c r="H17" s="36">
        <v>27190</v>
      </c>
      <c r="J17" s="36">
        <v>1</v>
      </c>
      <c r="L17" s="36">
        <v>2044266</v>
      </c>
      <c r="N17" s="80">
        <v>2045</v>
      </c>
      <c r="O17" s="79">
        <v>1</v>
      </c>
      <c r="P17" s="78">
        <f t="shared" si="38"/>
        <v>0.27339725182875502</v>
      </c>
      <c r="Q17" s="78">
        <f t="shared" si="52"/>
        <v>2.2647571655271048E-2</v>
      </c>
      <c r="R17" s="78">
        <f t="shared" si="52"/>
        <v>0.97735242834472891</v>
      </c>
      <c r="S17" s="77">
        <f>100%</f>
        <v>1</v>
      </c>
      <c r="T17" s="76">
        <f t="shared" si="39"/>
        <v>0.61094921683207104</v>
      </c>
      <c r="U17" s="76">
        <f t="shared" si="53"/>
        <v>7.6204669193108213E-3</v>
      </c>
      <c r="V17" s="76">
        <f t="shared" si="53"/>
        <v>0.99237953308068916</v>
      </c>
      <c r="W17" s="75">
        <f t="shared" si="6"/>
        <v>1.0000000000000002</v>
      </c>
      <c r="X17" s="74">
        <f t="shared" si="7"/>
        <v>0.85030307328532495</v>
      </c>
      <c r="Y17" s="74">
        <f t="shared" si="8"/>
        <v>1.6248565462349034E-2</v>
      </c>
      <c r="Z17" s="73">
        <f t="shared" si="9"/>
        <v>0.95559936066753737</v>
      </c>
      <c r="AA17" s="70">
        <f t="shared" si="40"/>
        <v>0.75490129457728272</v>
      </c>
      <c r="AB17" s="69">
        <f t="shared" si="41"/>
        <v>0.80169999999999997</v>
      </c>
      <c r="AC17" s="69">
        <f t="shared" si="54"/>
        <v>1.8581343672558683E-2</v>
      </c>
      <c r="AD17" s="69">
        <f t="shared" si="54"/>
        <v>0.9814186563274413</v>
      </c>
      <c r="AE17" s="70">
        <f t="shared" si="42"/>
        <v>0.24509870542271742</v>
      </c>
      <c r="AF17" s="69">
        <f t="shared" si="43"/>
        <v>1</v>
      </c>
      <c r="AG17" s="69">
        <f t="shared" si="55"/>
        <v>1.0488406265919674E-2</v>
      </c>
      <c r="AH17" s="69">
        <f t="shared" si="55"/>
        <v>0.89184565588333597</v>
      </c>
      <c r="AI17" s="72">
        <f t="shared" si="18"/>
        <v>0.99999999999999989</v>
      </c>
      <c r="AJ17" s="71">
        <f t="shared" si="19"/>
        <v>0.40680742112456264</v>
      </c>
      <c r="AK17" s="71">
        <f t="shared" si="20"/>
        <v>0.17928344493217421</v>
      </c>
      <c r="AL17" s="71">
        <f t="shared" si="21"/>
        <v>0.82071655506782581</v>
      </c>
      <c r="AM17" s="70">
        <f t="shared" si="44"/>
        <v>0.98689258183194128</v>
      </c>
      <c r="AN17" s="69">
        <f t="shared" si="45"/>
        <v>0.4</v>
      </c>
      <c r="AO17" s="69">
        <f t="shared" si="56"/>
        <v>0.18385826023823795</v>
      </c>
      <c r="AP17" s="69">
        <f t="shared" si="56"/>
        <v>0.81614173976176208</v>
      </c>
      <c r="AQ17" s="70">
        <f t="shared" si="46"/>
        <v>6.0462860561937412E-3</v>
      </c>
      <c r="AR17" s="69">
        <f t="shared" si="47"/>
        <v>1</v>
      </c>
      <c r="AS17" s="69">
        <f t="shared" si="57"/>
        <v>5.4196434503377258E-2</v>
      </c>
      <c r="AT17" s="69">
        <f t="shared" si="57"/>
        <v>0.9458035654966227</v>
      </c>
      <c r="AU17" s="70">
        <f t="shared" si="48"/>
        <v>5.3304577724280454E-3</v>
      </c>
      <c r="AV17" s="69">
        <f t="shared" si="49"/>
        <v>0.80169999999999997</v>
      </c>
      <c r="AW17" s="69">
        <f t="shared" si="58"/>
        <v>6.2730627306273063E-3</v>
      </c>
      <c r="AX17" s="69">
        <f t="shared" si="58"/>
        <v>0.99372693726937267</v>
      </c>
      <c r="AY17" s="70">
        <f t="shared" si="50"/>
        <v>1.730674339436869E-3</v>
      </c>
      <c r="AZ17" s="69">
        <f t="shared" si="51"/>
        <v>1</v>
      </c>
      <c r="BA17" s="69">
        <f t="shared" si="59"/>
        <v>0</v>
      </c>
      <c r="BB17" s="68">
        <f t="shared" si="59"/>
        <v>1</v>
      </c>
    </row>
    <row r="18" spans="1:54" x14ac:dyDescent="0.15">
      <c r="A18" s="50">
        <v>2019</v>
      </c>
      <c r="B18" s="36">
        <v>18134</v>
      </c>
      <c r="C18" s="36">
        <v>1052509</v>
      </c>
      <c r="D18" s="36">
        <v>1086406</v>
      </c>
      <c r="H18" s="36">
        <v>32818</v>
      </c>
      <c r="J18" s="36">
        <v>98</v>
      </c>
      <c r="L18" s="36">
        <v>2189965</v>
      </c>
      <c r="N18" s="80">
        <v>2050</v>
      </c>
      <c r="O18" s="79">
        <v>1</v>
      </c>
      <c r="P18" s="78">
        <f t="shared" si="38"/>
        <v>0.38</v>
      </c>
      <c r="Q18" s="78">
        <f t="shared" si="52"/>
        <v>2.2647571655271048E-2</v>
      </c>
      <c r="R18" s="78">
        <f t="shared" si="52"/>
        <v>0.97735242834472891</v>
      </c>
      <c r="S18" s="77">
        <f>100%</f>
        <v>1</v>
      </c>
      <c r="T18" s="76">
        <f t="shared" si="39"/>
        <v>0.79601573638907996</v>
      </c>
      <c r="U18" s="76">
        <f t="shared" si="53"/>
        <v>7.6204669193108213E-3</v>
      </c>
      <c r="V18" s="76">
        <f t="shared" si="53"/>
        <v>0.99237953308068916</v>
      </c>
      <c r="W18" s="75">
        <f t="shared" si="6"/>
        <v>1</v>
      </c>
      <c r="X18" s="74">
        <f t="shared" si="7"/>
        <v>1</v>
      </c>
      <c r="Y18" s="74">
        <f t="shared" si="8"/>
        <v>1.6021875589917561E-2</v>
      </c>
      <c r="Z18" s="73">
        <f t="shared" si="9"/>
        <v>0.95309034681710036</v>
      </c>
      <c r="AA18" s="70">
        <f t="shared" si="40"/>
        <v>0.68374053152301983</v>
      </c>
      <c r="AB18" s="69">
        <f t="shared" si="41"/>
        <v>1</v>
      </c>
      <c r="AC18" s="69">
        <f t="shared" si="54"/>
        <v>1.8581343672558683E-2</v>
      </c>
      <c r="AD18" s="69">
        <f t="shared" si="54"/>
        <v>0.9814186563274413</v>
      </c>
      <c r="AE18" s="70">
        <f t="shared" si="42"/>
        <v>0.31625946847698028</v>
      </c>
      <c r="AF18" s="69">
        <f t="shared" si="43"/>
        <v>1</v>
      </c>
      <c r="AG18" s="69">
        <f t="shared" si="55"/>
        <v>1.0488406265919674E-2</v>
      </c>
      <c r="AH18" s="69">
        <f t="shared" si="55"/>
        <v>0.89184565588333597</v>
      </c>
      <c r="AI18" s="72">
        <f t="shared" si="18"/>
        <v>1</v>
      </c>
      <c r="AJ18" s="71">
        <f t="shared" si="19"/>
        <v>0.50634652863898288</v>
      </c>
      <c r="AK18" s="71">
        <f t="shared" si="20"/>
        <v>0.1798665157918273</v>
      </c>
      <c r="AL18" s="71">
        <f t="shared" si="21"/>
        <v>0.82013348420817256</v>
      </c>
      <c r="AM18" s="70">
        <f t="shared" si="44"/>
        <v>0.98730694272203434</v>
      </c>
      <c r="AN18" s="69">
        <f t="shared" si="45"/>
        <v>0.5</v>
      </c>
      <c r="AO18" s="69">
        <f t="shared" si="56"/>
        <v>0.18385826023823795</v>
      </c>
      <c r="AP18" s="69">
        <f t="shared" si="56"/>
        <v>0.81614173976176208</v>
      </c>
      <c r="AQ18" s="70">
        <f t="shared" si="46"/>
        <v>5.1710903776680944E-3</v>
      </c>
      <c r="AR18" s="69">
        <f t="shared" si="47"/>
        <v>1</v>
      </c>
      <c r="AS18" s="69">
        <f t="shared" si="57"/>
        <v>5.4196434503377258E-2</v>
      </c>
      <c r="AT18" s="69">
        <f t="shared" si="57"/>
        <v>0.9458035654966227</v>
      </c>
      <c r="AU18" s="70">
        <f t="shared" si="48"/>
        <v>5.1430736465080283E-3</v>
      </c>
      <c r="AV18" s="69">
        <f t="shared" si="49"/>
        <v>1</v>
      </c>
      <c r="AW18" s="69">
        <f t="shared" si="58"/>
        <v>6.2730627306273063E-3</v>
      </c>
      <c r="AX18" s="69">
        <f t="shared" si="58"/>
        <v>0.99372693726937267</v>
      </c>
      <c r="AY18" s="70">
        <f t="shared" si="50"/>
        <v>2.378893253789551E-3</v>
      </c>
      <c r="AZ18" s="69">
        <f t="shared" si="51"/>
        <v>1</v>
      </c>
      <c r="BA18" s="69">
        <f t="shared" si="59"/>
        <v>0</v>
      </c>
      <c r="BB18" s="68">
        <f t="shared" si="59"/>
        <v>1</v>
      </c>
    </row>
    <row r="19" spans="1:54" x14ac:dyDescent="0.15">
      <c r="A19" s="50">
        <v>2020</v>
      </c>
      <c r="B19" s="36">
        <v>15349</v>
      </c>
      <c r="C19" s="36">
        <v>1319180</v>
      </c>
      <c r="D19" s="36">
        <v>1157774</v>
      </c>
      <c r="H19" s="36">
        <v>21626</v>
      </c>
      <c r="J19" s="36">
        <v>318</v>
      </c>
      <c r="L19" s="36">
        <v>2514247</v>
      </c>
      <c r="N19" s="80">
        <v>2055</v>
      </c>
      <c r="O19" s="79">
        <v>1</v>
      </c>
      <c r="P19" s="78">
        <f t="shared" si="38"/>
        <v>0.48312407673064839</v>
      </c>
      <c r="Q19" s="78">
        <f t="shared" si="52"/>
        <v>2.2647571655271048E-2</v>
      </c>
      <c r="R19" s="78">
        <f t="shared" si="52"/>
        <v>0.97735242834472891</v>
      </c>
      <c r="S19" s="77">
        <f>100%</f>
        <v>1</v>
      </c>
      <c r="T19" s="76">
        <f t="shared" si="39"/>
        <v>0.9</v>
      </c>
      <c r="U19" s="76">
        <f t="shared" si="53"/>
        <v>7.6204669193108213E-3</v>
      </c>
      <c r="V19" s="76">
        <f t="shared" si="53"/>
        <v>0.99237953308068916</v>
      </c>
      <c r="W19" s="75">
        <f t="shared" si="6"/>
        <v>1</v>
      </c>
      <c r="X19" s="74">
        <f t="shared" si="7"/>
        <v>1</v>
      </c>
      <c r="Y19" s="74">
        <f t="shared" si="8"/>
        <v>1.6507814616961838E-2</v>
      </c>
      <c r="Z19" s="73">
        <f t="shared" si="9"/>
        <v>0.9584687421386231</v>
      </c>
      <c r="AA19" s="70">
        <f t="shared" si="40"/>
        <v>0.74378535858984518</v>
      </c>
      <c r="AB19" s="69">
        <f t="shared" si="41"/>
        <v>1</v>
      </c>
      <c r="AC19" s="69">
        <f t="shared" si="54"/>
        <v>1.8581343672558683E-2</v>
      </c>
      <c r="AD19" s="69">
        <f t="shared" si="54"/>
        <v>0.9814186563274413</v>
      </c>
      <c r="AE19" s="70">
        <f t="shared" si="42"/>
        <v>0.25621464141015476</v>
      </c>
      <c r="AF19" s="69">
        <f t="shared" si="43"/>
        <v>1</v>
      </c>
      <c r="AG19" s="69">
        <f t="shared" si="55"/>
        <v>1.0488406265919674E-2</v>
      </c>
      <c r="AH19" s="69">
        <f t="shared" si="55"/>
        <v>0.89184565588333597</v>
      </c>
      <c r="AI19" s="72">
        <f t="shared" si="18"/>
        <v>0.99999999999999989</v>
      </c>
      <c r="AJ19" s="71">
        <f t="shared" si="19"/>
        <v>0.65423161045237577</v>
      </c>
      <c r="AK19" s="71">
        <f t="shared" si="20"/>
        <v>0.18092210589082322</v>
      </c>
      <c r="AL19" s="71">
        <f t="shared" si="21"/>
        <v>0.81907789410917675</v>
      </c>
      <c r="AM19" s="70">
        <f t="shared" si="44"/>
        <v>0.98790968442178329</v>
      </c>
      <c r="AN19" s="69">
        <f t="shared" si="45"/>
        <v>0.65</v>
      </c>
      <c r="AO19" s="69">
        <f t="shared" si="56"/>
        <v>0.18385826023823795</v>
      </c>
      <c r="AP19" s="69">
        <f t="shared" si="56"/>
        <v>0.81614173976176208</v>
      </c>
      <c r="AQ19" s="70">
        <f t="shared" si="46"/>
        <v>4.9579078004698554E-3</v>
      </c>
      <c r="AR19" s="69">
        <f t="shared" si="47"/>
        <v>1</v>
      </c>
      <c r="AS19" s="69">
        <f t="shared" si="57"/>
        <v>5.4196434503377258E-2</v>
      </c>
      <c r="AT19" s="69">
        <f t="shared" si="57"/>
        <v>0.9458035654966227</v>
      </c>
      <c r="AU19" s="70">
        <f t="shared" si="48"/>
        <v>5.3049804765803376E-3</v>
      </c>
      <c r="AV19" s="69">
        <f t="shared" si="49"/>
        <v>1</v>
      </c>
      <c r="AW19" s="69">
        <f t="shared" si="58"/>
        <v>6.2730627306273063E-3</v>
      </c>
      <c r="AX19" s="69">
        <f t="shared" si="58"/>
        <v>0.99372693726937267</v>
      </c>
      <c r="AY19" s="70">
        <f t="shared" si="50"/>
        <v>1.827427301166372E-3</v>
      </c>
      <c r="AZ19" s="69">
        <f t="shared" si="51"/>
        <v>1</v>
      </c>
      <c r="BA19" s="69">
        <f t="shared" si="59"/>
        <v>0</v>
      </c>
      <c r="BB19" s="68">
        <f t="shared" si="59"/>
        <v>1</v>
      </c>
    </row>
    <row r="20" spans="1:54" x14ac:dyDescent="0.15">
      <c r="A20" s="50">
        <v>2021</v>
      </c>
      <c r="B20" s="36">
        <v>38485</v>
      </c>
      <c r="C20" s="36">
        <v>1211565</v>
      </c>
      <c r="D20" s="36">
        <v>1076644</v>
      </c>
      <c r="E20" s="36">
        <v>8</v>
      </c>
      <c r="F20" s="36">
        <v>3</v>
      </c>
      <c r="H20" s="36">
        <v>21916</v>
      </c>
      <c r="J20" s="36">
        <v>1250</v>
      </c>
      <c r="L20" s="36">
        <v>2349871</v>
      </c>
      <c r="N20" s="67">
        <v>2060</v>
      </c>
      <c r="O20" s="66">
        <v>1</v>
      </c>
      <c r="P20" s="65">
        <f t="shared" si="38"/>
        <v>0.58094619488541399</v>
      </c>
      <c r="Q20" s="65">
        <f t="shared" si="52"/>
        <v>2.2647571655271048E-2</v>
      </c>
      <c r="R20" s="65">
        <f t="shared" si="52"/>
        <v>0.97735242834472891</v>
      </c>
      <c r="S20" s="64">
        <f>100%</f>
        <v>1</v>
      </c>
      <c r="T20" s="63">
        <f t="shared" si="39"/>
        <v>1</v>
      </c>
      <c r="U20" s="63">
        <f t="shared" si="53"/>
        <v>7.6204669193108213E-3</v>
      </c>
      <c r="V20" s="63">
        <f t="shared" si="53"/>
        <v>0.99237953308068916</v>
      </c>
      <c r="W20" s="62">
        <f t="shared" si="6"/>
        <v>1</v>
      </c>
      <c r="X20" s="61">
        <f t="shared" si="7"/>
        <v>1</v>
      </c>
      <c r="Y20" s="61">
        <f t="shared" si="8"/>
        <v>1.6051969496479749E-2</v>
      </c>
      <c r="Z20" s="60">
        <f t="shared" si="9"/>
        <v>0.9534234275479172</v>
      </c>
      <c r="AA20" s="57">
        <f t="shared" si="40"/>
        <v>0.68745907091731984</v>
      </c>
      <c r="AB20" s="56">
        <f t="shared" si="41"/>
        <v>1</v>
      </c>
      <c r="AC20" s="56">
        <f t="shared" si="54"/>
        <v>1.8581343672558683E-2</v>
      </c>
      <c r="AD20" s="56">
        <f t="shared" si="54"/>
        <v>0.9814186563274413</v>
      </c>
      <c r="AE20" s="57">
        <f t="shared" si="42"/>
        <v>0.31254092908268011</v>
      </c>
      <c r="AF20" s="56">
        <f t="shared" si="43"/>
        <v>1</v>
      </c>
      <c r="AG20" s="56">
        <f t="shared" si="55"/>
        <v>1.0488406265919674E-2</v>
      </c>
      <c r="AH20" s="56">
        <f t="shared" si="55"/>
        <v>0.89184565588333597</v>
      </c>
      <c r="AI20" s="59">
        <f t="shared" si="18"/>
        <v>1</v>
      </c>
      <c r="AJ20" s="58">
        <f t="shared" si="19"/>
        <v>0.80289880749913833</v>
      </c>
      <c r="AK20" s="58">
        <f t="shared" si="20"/>
        <v>0.18101569101601725</v>
      </c>
      <c r="AL20" s="58">
        <f t="shared" si="21"/>
        <v>0.81898430898398278</v>
      </c>
      <c r="AM20" s="57">
        <f t="shared" si="44"/>
        <v>0.985505962504309</v>
      </c>
      <c r="AN20" s="56">
        <f t="shared" si="45"/>
        <v>0.8</v>
      </c>
      <c r="AO20" s="56">
        <f t="shared" si="56"/>
        <v>0.18385826023823795</v>
      </c>
      <c r="AP20" s="56">
        <f t="shared" si="56"/>
        <v>0.81614173976176208</v>
      </c>
      <c r="AQ20" s="57">
        <f t="shared" si="46"/>
        <v>6.4158482394505506E-3</v>
      </c>
      <c r="AR20" s="56">
        <f t="shared" si="47"/>
        <v>1</v>
      </c>
      <c r="AS20" s="56">
        <f t="shared" si="57"/>
        <v>5.4196434503377258E-2</v>
      </c>
      <c r="AT20" s="56">
        <f t="shared" si="57"/>
        <v>0.9458035654966227</v>
      </c>
      <c r="AU20" s="57">
        <f t="shared" si="48"/>
        <v>5.5534244807893922E-3</v>
      </c>
      <c r="AV20" s="56">
        <f t="shared" si="49"/>
        <v>1</v>
      </c>
      <c r="AW20" s="56">
        <f t="shared" si="58"/>
        <v>6.2730627306273063E-3</v>
      </c>
      <c r="AX20" s="56">
        <f t="shared" si="58"/>
        <v>0.99372693726937267</v>
      </c>
      <c r="AY20" s="57">
        <f t="shared" si="50"/>
        <v>2.5247647754511409E-3</v>
      </c>
      <c r="AZ20" s="56">
        <f t="shared" si="51"/>
        <v>1</v>
      </c>
      <c r="BA20" s="56">
        <f t="shared" si="59"/>
        <v>0</v>
      </c>
      <c r="BB20" s="55">
        <f t="shared" si="59"/>
        <v>1</v>
      </c>
    </row>
    <row r="21" spans="1:54" x14ac:dyDescent="0.15">
      <c r="A21" s="43" t="s">
        <v>1013</v>
      </c>
      <c r="B21" s="36">
        <v>512915</v>
      </c>
      <c r="C21" s="36">
        <v>547268</v>
      </c>
      <c r="D21" s="36">
        <v>102586</v>
      </c>
      <c r="E21" s="36">
        <v>24163</v>
      </c>
      <c r="F21" s="36">
        <v>4155</v>
      </c>
      <c r="H21" s="36">
        <v>53334</v>
      </c>
      <c r="I21" s="36">
        <v>5</v>
      </c>
      <c r="J21" s="36">
        <v>51218</v>
      </c>
      <c r="K21" s="36">
        <v>38</v>
      </c>
      <c r="L21" s="36">
        <v>1295682</v>
      </c>
    </row>
    <row r="22" spans="1:54" x14ac:dyDescent="0.15">
      <c r="A22" s="44" t="s">
        <v>1023</v>
      </c>
      <c r="B22" s="36">
        <v>107325</v>
      </c>
      <c r="C22" s="36">
        <v>488708</v>
      </c>
      <c r="D22" s="36">
        <v>98628</v>
      </c>
      <c r="E22" s="36">
        <v>957</v>
      </c>
      <c r="F22" s="36">
        <v>936</v>
      </c>
      <c r="H22" s="36">
        <v>12740</v>
      </c>
      <c r="I22" s="36">
        <v>5</v>
      </c>
      <c r="J22" s="36">
        <v>2032</v>
      </c>
      <c r="K22" s="36">
        <v>38</v>
      </c>
      <c r="L22" s="36">
        <v>711369</v>
      </c>
    </row>
    <row r="23" spans="1:54" x14ac:dyDescent="0.15">
      <c r="A23" s="50">
        <v>2015</v>
      </c>
      <c r="B23" s="36">
        <v>41247</v>
      </c>
      <c r="C23" s="36">
        <v>87105</v>
      </c>
      <c r="D23" s="36">
        <v>14744</v>
      </c>
      <c r="E23" s="36">
        <v>414</v>
      </c>
      <c r="H23" s="36">
        <v>4888</v>
      </c>
      <c r="J23" s="36">
        <v>606</v>
      </c>
      <c r="K23" s="36">
        <v>38</v>
      </c>
      <c r="L23" s="36">
        <v>149042</v>
      </c>
    </row>
    <row r="24" spans="1:54" x14ac:dyDescent="0.15">
      <c r="A24" s="50">
        <v>2016</v>
      </c>
      <c r="B24" s="36">
        <v>30079</v>
      </c>
      <c r="C24" s="36">
        <v>104312</v>
      </c>
      <c r="D24" s="36">
        <v>19137</v>
      </c>
      <c r="E24" s="36">
        <v>528</v>
      </c>
      <c r="F24" s="36">
        <v>5</v>
      </c>
      <c r="H24" s="36">
        <v>2808</v>
      </c>
      <c r="J24" s="36">
        <v>870</v>
      </c>
      <c r="L24" s="36">
        <v>157739</v>
      </c>
      <c r="N24" s="53" t="s">
        <v>1026</v>
      </c>
      <c r="O24" s="42" t="s">
        <v>989</v>
      </c>
      <c r="P24" s="42" t="s">
        <v>982</v>
      </c>
      <c r="Q24" s="42" t="s">
        <v>979</v>
      </c>
      <c r="R24" s="42" t="s">
        <v>984</v>
      </c>
      <c r="S24" s="42" t="s">
        <v>985</v>
      </c>
      <c r="T24" s="42" t="s">
        <v>1024</v>
      </c>
      <c r="U24" s="42" t="s">
        <v>988</v>
      </c>
    </row>
    <row r="25" spans="1:54" x14ac:dyDescent="0.15">
      <c r="A25" s="50">
        <v>2017</v>
      </c>
      <c r="B25" s="36">
        <v>18371</v>
      </c>
      <c r="C25" s="36">
        <v>78701</v>
      </c>
      <c r="D25" s="36">
        <v>16714</v>
      </c>
      <c r="E25" s="36">
        <v>4</v>
      </c>
      <c r="F25" s="36">
        <v>112</v>
      </c>
      <c r="H25" s="36">
        <v>1885</v>
      </c>
      <c r="J25" s="36">
        <v>466</v>
      </c>
      <c r="L25" s="36">
        <v>116253</v>
      </c>
      <c r="N25" s="52">
        <v>2020</v>
      </c>
      <c r="O25" s="54">
        <v>7.4999999999999997E-2</v>
      </c>
      <c r="P25" s="54">
        <v>0.8</v>
      </c>
      <c r="Q25" s="54">
        <v>8.8393182770642592E-3</v>
      </c>
      <c r="R25" s="54">
        <v>0.8</v>
      </c>
      <c r="S25" s="54">
        <v>0.06</v>
      </c>
      <c r="T25" s="54">
        <v>2.6466098254161598E-2</v>
      </c>
      <c r="U25" s="54">
        <v>1.3456518904051121E-3</v>
      </c>
    </row>
    <row r="26" spans="1:54" x14ac:dyDescent="0.15">
      <c r="A26" s="50">
        <v>2018</v>
      </c>
      <c r="B26" s="36">
        <v>6138</v>
      </c>
      <c r="C26" s="36">
        <v>69234</v>
      </c>
      <c r="D26" s="36">
        <v>12719</v>
      </c>
      <c r="E26" s="36">
        <v>11</v>
      </c>
      <c r="F26" s="36">
        <v>132</v>
      </c>
      <c r="H26" s="36">
        <v>1317</v>
      </c>
      <c r="I26" s="36">
        <v>5</v>
      </c>
      <c r="J26" s="36">
        <v>75</v>
      </c>
      <c r="L26" s="36">
        <v>89631</v>
      </c>
      <c r="N26" s="52">
        <v>2025</v>
      </c>
      <c r="O26" s="54">
        <v>0.1</v>
      </c>
      <c r="P26" s="54">
        <v>0.91</v>
      </c>
      <c r="Q26" s="54">
        <v>8.9203147277815906E-2</v>
      </c>
      <c r="R26" s="54">
        <v>0.91</v>
      </c>
      <c r="S26" s="54">
        <v>0.15160000000000001</v>
      </c>
      <c r="T26" s="54">
        <v>5.0728989037758826E-2</v>
      </c>
      <c r="U26" s="54">
        <v>2.6420038649863066E-2</v>
      </c>
    </row>
    <row r="27" spans="1:54" x14ac:dyDescent="0.15">
      <c r="A27" s="50">
        <v>2019</v>
      </c>
      <c r="B27" s="36">
        <v>4108</v>
      </c>
      <c r="C27" s="36">
        <v>68141</v>
      </c>
      <c r="D27" s="36">
        <v>15158</v>
      </c>
      <c r="F27" s="36">
        <v>436</v>
      </c>
      <c r="H27" s="36">
        <v>939</v>
      </c>
      <c r="J27" s="36">
        <v>4</v>
      </c>
      <c r="L27" s="36">
        <v>88786</v>
      </c>
      <c r="N27" s="52">
        <v>2030</v>
      </c>
      <c r="O27" s="54">
        <v>0.15</v>
      </c>
      <c r="P27" s="54">
        <v>0.97</v>
      </c>
      <c r="Q27" s="54">
        <v>0.180868546209773</v>
      </c>
      <c r="R27" s="54">
        <v>0.97</v>
      </c>
      <c r="S27" s="54">
        <v>0.304101610732668</v>
      </c>
      <c r="T27" s="54">
        <v>8.6030247665448645E-2</v>
      </c>
      <c r="U27" s="54">
        <v>5.9427602641469165E-2</v>
      </c>
    </row>
    <row r="28" spans="1:54" x14ac:dyDescent="0.15">
      <c r="A28" s="50">
        <v>2020</v>
      </c>
      <c r="B28" s="36">
        <v>2452</v>
      </c>
      <c r="C28" s="36">
        <v>34949</v>
      </c>
      <c r="D28" s="36">
        <v>7877</v>
      </c>
      <c r="F28" s="36">
        <v>12</v>
      </c>
      <c r="H28" s="36">
        <v>484</v>
      </c>
      <c r="J28" s="36">
        <v>9</v>
      </c>
      <c r="L28" s="36">
        <v>45783</v>
      </c>
      <c r="N28" s="52">
        <v>2035</v>
      </c>
      <c r="O28" s="54">
        <v>0.2</v>
      </c>
      <c r="P28" s="54">
        <v>1</v>
      </c>
      <c r="Q28" s="54">
        <v>0.29922704510701198</v>
      </c>
      <c r="R28" s="54">
        <v>1</v>
      </c>
      <c r="S28" s="54">
        <v>0.47920000000000001</v>
      </c>
      <c r="T28" s="54">
        <v>0.13804053322506429</v>
      </c>
      <c r="U28" s="54">
        <v>0.10442110567062254</v>
      </c>
    </row>
    <row r="29" spans="1:54" x14ac:dyDescent="0.15">
      <c r="A29" s="50">
        <v>2021</v>
      </c>
      <c r="B29" s="36">
        <v>4930</v>
      </c>
      <c r="C29" s="36">
        <v>46266</v>
      </c>
      <c r="D29" s="36">
        <v>12279</v>
      </c>
      <c r="F29" s="36">
        <v>239</v>
      </c>
      <c r="H29" s="36">
        <v>419</v>
      </c>
      <c r="J29" s="36">
        <v>2</v>
      </c>
      <c r="L29" s="36">
        <v>64135</v>
      </c>
      <c r="N29" s="52">
        <v>2040</v>
      </c>
      <c r="O29" s="54">
        <v>0.28000000000000003</v>
      </c>
      <c r="P29" s="54">
        <v>1</v>
      </c>
      <c r="Q29" s="54">
        <v>0.450187952438039</v>
      </c>
      <c r="R29" s="54">
        <v>1</v>
      </c>
      <c r="S29" s="54">
        <v>0.63890000000000002</v>
      </c>
      <c r="T29" s="54">
        <v>0.20773315062931386</v>
      </c>
      <c r="U29" s="54">
        <v>0.17782076422397952</v>
      </c>
    </row>
    <row r="30" spans="1:54" x14ac:dyDescent="0.15">
      <c r="A30" s="44" t="s">
        <v>984</v>
      </c>
      <c r="B30" s="36">
        <v>405590</v>
      </c>
      <c r="C30" s="36">
        <v>58560</v>
      </c>
      <c r="D30" s="36">
        <v>3958</v>
      </c>
      <c r="E30" s="36">
        <v>23206</v>
      </c>
      <c r="F30" s="36">
        <v>3219</v>
      </c>
      <c r="H30" s="36">
        <v>40594</v>
      </c>
      <c r="J30" s="36">
        <v>49186</v>
      </c>
      <c r="L30" s="36">
        <v>584313</v>
      </c>
      <c r="N30" s="52">
        <v>2045</v>
      </c>
      <c r="O30" s="54">
        <v>0.4</v>
      </c>
      <c r="P30" s="54">
        <v>1</v>
      </c>
      <c r="Q30" s="54">
        <v>0.61094921683207104</v>
      </c>
      <c r="R30" s="54">
        <v>1</v>
      </c>
      <c r="S30" s="54">
        <v>0.80169999999999997</v>
      </c>
      <c r="T30" s="54">
        <v>0.30051292461767493</v>
      </c>
      <c r="U30" s="54">
        <v>0.27339725182875502</v>
      </c>
    </row>
    <row r="31" spans="1:54" x14ac:dyDescent="0.15">
      <c r="A31" s="50">
        <v>2015</v>
      </c>
      <c r="B31" s="36">
        <v>44691</v>
      </c>
      <c r="C31" s="36">
        <v>36071</v>
      </c>
      <c r="D31" s="36">
        <v>3505</v>
      </c>
      <c r="E31" s="36">
        <v>7940</v>
      </c>
      <c r="H31" s="36">
        <v>20709</v>
      </c>
      <c r="J31" s="36">
        <v>16295</v>
      </c>
      <c r="L31" s="36">
        <v>129211</v>
      </c>
      <c r="N31" s="52">
        <v>2050</v>
      </c>
      <c r="O31" s="54">
        <v>0.5</v>
      </c>
      <c r="P31" s="54">
        <v>1</v>
      </c>
      <c r="Q31" s="54">
        <v>0.79601573638907996</v>
      </c>
      <c r="R31" s="54">
        <v>1</v>
      </c>
      <c r="S31" s="54">
        <v>1</v>
      </c>
      <c r="T31" s="54">
        <v>0.55000000000000004</v>
      </c>
      <c r="U31" s="54">
        <v>0.38</v>
      </c>
    </row>
    <row r="32" spans="1:54" x14ac:dyDescent="0.15">
      <c r="A32" s="50">
        <v>2016</v>
      </c>
      <c r="B32" s="36">
        <v>60979</v>
      </c>
      <c r="C32" s="36">
        <v>9481</v>
      </c>
      <c r="D32" s="36">
        <v>44</v>
      </c>
      <c r="E32" s="36">
        <v>12742</v>
      </c>
      <c r="F32" s="36">
        <v>24</v>
      </c>
      <c r="H32" s="36">
        <v>8790</v>
      </c>
      <c r="J32" s="36">
        <v>4474</v>
      </c>
      <c r="L32" s="36">
        <v>96534</v>
      </c>
      <c r="N32" s="52">
        <v>2055</v>
      </c>
      <c r="O32" s="54">
        <v>0.65</v>
      </c>
      <c r="P32" s="54">
        <v>1</v>
      </c>
      <c r="Q32" s="54">
        <v>0.9</v>
      </c>
      <c r="R32" s="54">
        <v>1</v>
      </c>
      <c r="S32" s="54">
        <v>1</v>
      </c>
      <c r="T32" s="54">
        <v>0.65</v>
      </c>
      <c r="U32" s="54">
        <v>0.48312407673064839</v>
      </c>
    </row>
    <row r="33" spans="1:21" x14ac:dyDescent="0.15">
      <c r="A33" s="50">
        <v>2017</v>
      </c>
      <c r="B33" s="36">
        <v>58195</v>
      </c>
      <c r="C33" s="36">
        <v>6606</v>
      </c>
      <c r="D33" s="36">
        <v>93</v>
      </c>
      <c r="E33" s="36">
        <v>2291</v>
      </c>
      <c r="F33" s="36">
        <v>3</v>
      </c>
      <c r="H33" s="36">
        <v>6896</v>
      </c>
      <c r="J33" s="36">
        <v>12095</v>
      </c>
      <c r="L33" s="36">
        <v>86179</v>
      </c>
      <c r="N33" s="52">
        <v>2060</v>
      </c>
      <c r="O33" s="54">
        <v>0.8</v>
      </c>
      <c r="P33" s="54">
        <v>1</v>
      </c>
      <c r="Q33" s="54">
        <v>1</v>
      </c>
      <c r="R33" s="54">
        <v>1</v>
      </c>
      <c r="S33" s="54">
        <v>1</v>
      </c>
      <c r="T33" s="54">
        <v>0.8</v>
      </c>
      <c r="U33" s="54">
        <v>0.58094619488541399</v>
      </c>
    </row>
    <row r="34" spans="1:21" x14ac:dyDescent="0.15">
      <c r="A34" s="50">
        <v>2018</v>
      </c>
      <c r="B34" s="36">
        <v>79789</v>
      </c>
      <c r="C34" s="36">
        <v>3208</v>
      </c>
      <c r="D34" s="36">
        <v>35</v>
      </c>
      <c r="E34" s="36">
        <v>228</v>
      </c>
      <c r="F34" s="36">
        <v>305</v>
      </c>
      <c r="H34" s="36">
        <v>2515</v>
      </c>
      <c r="J34" s="36">
        <v>5764</v>
      </c>
      <c r="L34" s="36">
        <v>91844</v>
      </c>
    </row>
    <row r="35" spans="1:21" x14ac:dyDescent="0.15">
      <c r="A35" s="50">
        <v>2019</v>
      </c>
      <c r="B35" s="36">
        <v>68135</v>
      </c>
      <c r="C35" s="36">
        <v>1879</v>
      </c>
      <c r="D35" s="36">
        <v>147</v>
      </c>
      <c r="E35" s="36">
        <v>3</v>
      </c>
      <c r="F35" s="36">
        <v>740</v>
      </c>
      <c r="H35" s="36">
        <v>1143</v>
      </c>
      <c r="J35" s="36">
        <v>4294</v>
      </c>
      <c r="L35" s="36">
        <v>76341</v>
      </c>
      <c r="N35" s="53" t="s">
        <v>1025</v>
      </c>
      <c r="O35" s="42" t="s">
        <v>989</v>
      </c>
      <c r="P35" s="42" t="s">
        <v>982</v>
      </c>
      <c r="Q35" s="42" t="s">
        <v>979</v>
      </c>
      <c r="R35" s="42" t="s">
        <v>984</v>
      </c>
      <c r="S35" s="42" t="s">
        <v>985</v>
      </c>
      <c r="T35" s="42" t="s">
        <v>1024</v>
      </c>
      <c r="U35" s="42" t="s">
        <v>988</v>
      </c>
    </row>
    <row r="36" spans="1:21" x14ac:dyDescent="0.15">
      <c r="A36" s="50">
        <v>2020</v>
      </c>
      <c r="B36" s="36">
        <v>52693</v>
      </c>
      <c r="C36" s="36">
        <v>792</v>
      </c>
      <c r="D36" s="36">
        <v>72</v>
      </c>
      <c r="F36" s="36">
        <v>1339</v>
      </c>
      <c r="H36" s="36">
        <v>431</v>
      </c>
      <c r="J36" s="36">
        <v>5040</v>
      </c>
      <c r="L36" s="36">
        <v>60367</v>
      </c>
      <c r="N36" s="52">
        <v>2025</v>
      </c>
      <c r="O36" s="51">
        <v>3082.6338839385025</v>
      </c>
      <c r="P36" s="51">
        <v>17.962536666666665</v>
      </c>
      <c r="Q36" s="51">
        <v>335.59622784101509</v>
      </c>
      <c r="R36" s="51">
        <v>5.0369103533128285</v>
      </c>
      <c r="S36" s="51">
        <v>15.189022984922612</v>
      </c>
      <c r="T36" s="51">
        <v>8.7615080896024189</v>
      </c>
      <c r="U36" s="51">
        <v>71.220315994563606</v>
      </c>
    </row>
    <row r="37" spans="1:21" x14ac:dyDescent="0.15">
      <c r="A37" s="50">
        <v>2021</v>
      </c>
      <c r="B37" s="36">
        <v>41108</v>
      </c>
      <c r="C37" s="36">
        <v>523</v>
      </c>
      <c r="D37" s="36">
        <v>62</v>
      </c>
      <c r="E37" s="36">
        <v>2</v>
      </c>
      <c r="F37" s="36">
        <v>808</v>
      </c>
      <c r="H37" s="36">
        <v>110</v>
      </c>
      <c r="J37" s="36">
        <v>1224</v>
      </c>
      <c r="L37" s="36">
        <v>43837</v>
      </c>
      <c r="N37" s="52">
        <v>2030</v>
      </c>
      <c r="O37" s="51">
        <v>3068.982499208892</v>
      </c>
      <c r="P37" s="51">
        <v>15.294893333333331</v>
      </c>
      <c r="Q37" s="51">
        <v>453.21816857920129</v>
      </c>
      <c r="R37" s="51">
        <v>6.8771505197509528</v>
      </c>
      <c r="S37" s="51">
        <v>14.038265568115966</v>
      </c>
      <c r="T37" s="51">
        <v>12.515838701043741</v>
      </c>
      <c r="U37" s="51">
        <v>103.80690277509618</v>
      </c>
    </row>
    <row r="38" spans="1:21" x14ac:dyDescent="0.15">
      <c r="A38" s="43" t="s">
        <v>1012</v>
      </c>
      <c r="B38" s="36">
        <v>5711717</v>
      </c>
      <c r="C38" s="36">
        <v>1203924</v>
      </c>
      <c r="D38" s="36">
        <v>144403802</v>
      </c>
      <c r="E38" s="36">
        <v>2485070</v>
      </c>
      <c r="F38" s="36">
        <v>77</v>
      </c>
      <c r="G38" s="36">
        <v>10354</v>
      </c>
      <c r="H38" s="36">
        <v>2028005</v>
      </c>
      <c r="I38" s="36">
        <v>26020</v>
      </c>
      <c r="J38" s="36">
        <v>1106569</v>
      </c>
      <c r="L38" s="36">
        <v>156975538</v>
      </c>
      <c r="N38" s="52">
        <v>2035</v>
      </c>
      <c r="O38" s="51">
        <v>3138.6799562068163</v>
      </c>
      <c r="P38" s="51">
        <v>15.001153333333338</v>
      </c>
      <c r="Q38" s="51">
        <v>525.2993213726902</v>
      </c>
      <c r="R38" s="51">
        <v>5.119434626868502</v>
      </c>
      <c r="S38" s="51">
        <v>16.85234499602484</v>
      </c>
      <c r="T38" s="51">
        <v>13.781220933030852</v>
      </c>
      <c r="U38" s="51">
        <v>85.065555364589954</v>
      </c>
    </row>
    <row r="39" spans="1:21" x14ac:dyDescent="0.15">
      <c r="A39" s="44" t="s">
        <v>949</v>
      </c>
      <c r="B39" s="36">
        <v>4640373</v>
      </c>
      <c r="C39" s="36">
        <v>1082981</v>
      </c>
      <c r="D39" s="36">
        <v>142926417</v>
      </c>
      <c r="E39" s="36">
        <v>2386515</v>
      </c>
      <c r="F39" s="36">
        <v>9</v>
      </c>
      <c r="G39" s="36">
        <v>705</v>
      </c>
      <c r="H39" s="36">
        <v>1416706</v>
      </c>
      <c r="I39" s="36">
        <v>867</v>
      </c>
      <c r="J39" s="36">
        <v>1045371</v>
      </c>
      <c r="L39" s="36">
        <v>153499944</v>
      </c>
      <c r="N39" s="52">
        <v>2040</v>
      </c>
      <c r="O39" s="51">
        <v>3094.8207798848234</v>
      </c>
      <c r="P39" s="51">
        <v>14.394853333333334</v>
      </c>
      <c r="Q39" s="51">
        <v>620.49783707431686</v>
      </c>
      <c r="R39" s="51">
        <v>6.9508707576752711</v>
      </c>
      <c r="S39" s="51">
        <v>14.171647283124155</v>
      </c>
      <c r="T39" s="51">
        <v>16.929402284887789</v>
      </c>
      <c r="U39" s="51">
        <v>101.63246073557839</v>
      </c>
    </row>
    <row r="40" spans="1:21" x14ac:dyDescent="0.15">
      <c r="A40" s="50">
        <v>2015</v>
      </c>
      <c r="B40" s="36">
        <v>116252</v>
      </c>
      <c r="C40" s="36">
        <v>162140</v>
      </c>
      <c r="D40" s="36">
        <v>19122611</v>
      </c>
      <c r="E40" s="36">
        <v>64210</v>
      </c>
      <c r="H40" s="36">
        <v>1310439</v>
      </c>
      <c r="I40" s="36">
        <v>19</v>
      </c>
      <c r="J40" s="36">
        <v>10033</v>
      </c>
      <c r="L40" s="36">
        <v>20785704</v>
      </c>
      <c r="N40" s="52">
        <v>2045</v>
      </c>
      <c r="O40" s="51">
        <v>2957.5436199147007</v>
      </c>
      <c r="P40" s="51">
        <v>18.119656666666668</v>
      </c>
      <c r="Q40" s="51">
        <v>725.55273347324317</v>
      </c>
      <c r="R40" s="51">
        <v>5.186526826709132</v>
      </c>
      <c r="S40" s="51">
        <v>15.974445108103911</v>
      </c>
      <c r="T40" s="51">
        <v>19.117452516885436</v>
      </c>
      <c r="U40" s="51">
        <v>94.06723834897295</v>
      </c>
    </row>
    <row r="41" spans="1:21" x14ac:dyDescent="0.15">
      <c r="A41" s="50">
        <v>2016</v>
      </c>
      <c r="B41" s="36">
        <v>213806</v>
      </c>
      <c r="C41" s="36">
        <v>135244</v>
      </c>
      <c r="D41" s="36">
        <v>23861857</v>
      </c>
      <c r="E41" s="36">
        <v>154515</v>
      </c>
      <c r="G41" s="36">
        <v>27</v>
      </c>
      <c r="H41" s="36">
        <v>24197</v>
      </c>
      <c r="I41" s="36">
        <v>8</v>
      </c>
      <c r="J41" s="36">
        <v>21920</v>
      </c>
      <c r="L41" s="36">
        <v>24411574</v>
      </c>
      <c r="N41" s="52">
        <v>2050</v>
      </c>
      <c r="O41" s="51">
        <v>2910.573019989667</v>
      </c>
      <c r="P41" s="51">
        <v>15.244333333333334</v>
      </c>
      <c r="Q41" s="51">
        <v>826.10224954857313</v>
      </c>
      <c r="R41" s="51">
        <v>7.0129584046333004</v>
      </c>
      <c r="S41" s="51">
        <v>15.161740232551555</v>
      </c>
      <c r="T41" s="51">
        <v>22.199015257716638</v>
      </c>
      <c r="U41" s="51">
        <v>102.45344805114371</v>
      </c>
    </row>
    <row r="42" spans="1:21" x14ac:dyDescent="0.15">
      <c r="A42" s="50">
        <v>2017</v>
      </c>
      <c r="B42" s="36">
        <v>430923</v>
      </c>
      <c r="C42" s="36">
        <v>140143</v>
      </c>
      <c r="D42" s="36">
        <v>23360361</v>
      </c>
      <c r="E42" s="36">
        <v>207862</v>
      </c>
      <c r="G42" s="36">
        <v>165</v>
      </c>
      <c r="H42" s="36">
        <v>23568</v>
      </c>
      <c r="I42" s="36">
        <v>420</v>
      </c>
      <c r="J42" s="36">
        <v>54561</v>
      </c>
      <c r="L42" s="36">
        <v>24218003</v>
      </c>
      <c r="N42" s="52">
        <v>2055</v>
      </c>
      <c r="O42" s="51">
        <v>2835.3761035769435</v>
      </c>
      <c r="P42" s="51">
        <v>14.229573333333331</v>
      </c>
      <c r="Q42" s="51">
        <v>944.58373614796585</v>
      </c>
      <c r="R42" s="51">
        <v>5.2448556608531485</v>
      </c>
      <c r="S42" s="51">
        <v>15.225698371447658</v>
      </c>
      <c r="T42" s="51">
        <v>25.048220777160726</v>
      </c>
      <c r="U42" s="51">
        <v>100.05856440555904</v>
      </c>
    </row>
    <row r="43" spans="1:21" x14ac:dyDescent="0.15">
      <c r="A43" s="50">
        <v>2018</v>
      </c>
      <c r="B43" s="36">
        <v>575327</v>
      </c>
      <c r="C43" s="36">
        <v>164883</v>
      </c>
      <c r="D43" s="36">
        <v>20902419</v>
      </c>
      <c r="E43" s="36">
        <v>285928</v>
      </c>
      <c r="G43" s="36">
        <v>512</v>
      </c>
      <c r="H43" s="36">
        <v>40262</v>
      </c>
      <c r="I43" s="36">
        <v>215</v>
      </c>
      <c r="J43" s="36">
        <v>177497</v>
      </c>
      <c r="L43" s="36">
        <v>22147043</v>
      </c>
      <c r="N43" s="52">
        <v>2060</v>
      </c>
      <c r="O43" s="51">
        <v>2759.1343071135793</v>
      </c>
      <c r="P43" s="51">
        <v>17.962536666666665</v>
      </c>
      <c r="Q43" s="51">
        <v>1067.2722619135566</v>
      </c>
      <c r="R43" s="51">
        <v>7.0686179225513275</v>
      </c>
      <c r="S43" s="51">
        <v>15.547997262211828</v>
      </c>
      <c r="T43" s="51">
        <v>28.42598590963156</v>
      </c>
      <c r="U43" s="51">
        <v>104.66040435826328</v>
      </c>
    </row>
    <row r="44" spans="1:21" x14ac:dyDescent="0.15">
      <c r="A44" s="50">
        <v>2019</v>
      </c>
      <c r="B44" s="36">
        <v>485080</v>
      </c>
      <c r="C44" s="36">
        <v>138471</v>
      </c>
      <c r="D44" s="36">
        <v>20030934</v>
      </c>
      <c r="E44" s="36">
        <v>350626</v>
      </c>
      <c r="G44" s="36">
        <v>1</v>
      </c>
      <c r="H44" s="36">
        <v>11264</v>
      </c>
      <c r="I44" s="36">
        <v>32</v>
      </c>
      <c r="J44" s="36">
        <v>183559</v>
      </c>
      <c r="L44" s="36">
        <v>21199967</v>
      </c>
    </row>
    <row r="45" spans="1:21" x14ac:dyDescent="0.15">
      <c r="A45" s="50">
        <v>2020</v>
      </c>
      <c r="B45" s="36">
        <v>766699</v>
      </c>
      <c r="C45" s="36">
        <v>166742</v>
      </c>
      <c r="D45" s="36">
        <v>18234329</v>
      </c>
      <c r="E45" s="36">
        <v>539014</v>
      </c>
      <c r="H45" s="36">
        <v>2806</v>
      </c>
      <c r="I45" s="36">
        <v>145</v>
      </c>
      <c r="J45" s="36">
        <v>195072</v>
      </c>
      <c r="L45" s="36">
        <v>19904807</v>
      </c>
    </row>
    <row r="46" spans="1:21" x14ac:dyDescent="0.15">
      <c r="A46" s="50">
        <v>2021</v>
      </c>
      <c r="B46" s="36">
        <v>2052286</v>
      </c>
      <c r="C46" s="36">
        <v>175358</v>
      </c>
      <c r="D46" s="36">
        <v>17413906</v>
      </c>
      <c r="E46" s="36">
        <v>784360</v>
      </c>
      <c r="F46" s="36">
        <v>9</v>
      </c>
      <c r="H46" s="36">
        <v>4170</v>
      </c>
      <c r="I46" s="36">
        <v>28</v>
      </c>
      <c r="J46" s="36">
        <v>402729</v>
      </c>
      <c r="L46" s="36">
        <v>20832846</v>
      </c>
    </row>
    <row r="47" spans="1:21" x14ac:dyDescent="0.15">
      <c r="A47" s="44" t="s">
        <v>982</v>
      </c>
      <c r="B47" s="36">
        <v>1067694</v>
      </c>
      <c r="C47" s="36">
        <v>95487</v>
      </c>
      <c r="D47" s="36">
        <v>1387504</v>
      </c>
      <c r="E47" s="36">
        <v>98553</v>
      </c>
      <c r="F47" s="36">
        <v>68</v>
      </c>
      <c r="G47" s="36">
        <v>9649</v>
      </c>
      <c r="H47" s="36">
        <v>608726</v>
      </c>
      <c r="I47" s="36">
        <v>25153</v>
      </c>
      <c r="J47" s="36">
        <v>61181</v>
      </c>
      <c r="L47" s="36">
        <v>3354015</v>
      </c>
    </row>
    <row r="48" spans="1:21" x14ac:dyDescent="0.15">
      <c r="A48" s="50">
        <v>2015</v>
      </c>
      <c r="B48" s="36">
        <v>19377</v>
      </c>
      <c r="C48" s="36">
        <v>811</v>
      </c>
      <c r="D48" s="36">
        <v>158637</v>
      </c>
      <c r="E48" s="36">
        <v>5234</v>
      </c>
      <c r="H48" s="36">
        <v>184235</v>
      </c>
      <c r="I48" s="36">
        <v>559</v>
      </c>
      <c r="J48" s="36">
        <v>2629</v>
      </c>
      <c r="L48" s="36">
        <v>371482</v>
      </c>
    </row>
    <row r="49" spans="1:12" x14ac:dyDescent="0.15">
      <c r="A49" s="50">
        <v>2016</v>
      </c>
      <c r="B49" s="36">
        <v>32323</v>
      </c>
      <c r="C49" s="36">
        <v>18655</v>
      </c>
      <c r="D49" s="36">
        <v>190027</v>
      </c>
      <c r="E49" s="36">
        <v>3257</v>
      </c>
      <c r="F49" s="36">
        <v>8</v>
      </c>
      <c r="G49" s="36">
        <v>1695</v>
      </c>
      <c r="H49" s="36">
        <v>86487</v>
      </c>
      <c r="I49" s="36">
        <v>197</v>
      </c>
      <c r="J49" s="36">
        <v>2785</v>
      </c>
      <c r="L49" s="36">
        <v>335434</v>
      </c>
    </row>
    <row r="50" spans="1:12" x14ac:dyDescent="0.15">
      <c r="A50" s="50">
        <v>2017</v>
      </c>
      <c r="B50" s="36">
        <v>77175</v>
      </c>
      <c r="C50" s="36">
        <v>18448</v>
      </c>
      <c r="D50" s="36">
        <v>341239</v>
      </c>
      <c r="E50" s="36">
        <v>14442</v>
      </c>
      <c r="F50" s="36">
        <v>50</v>
      </c>
      <c r="G50" s="36">
        <v>5122</v>
      </c>
      <c r="H50" s="36">
        <v>75940</v>
      </c>
      <c r="I50" s="36">
        <v>1889</v>
      </c>
      <c r="J50" s="36">
        <v>4329</v>
      </c>
      <c r="L50" s="36">
        <v>538634</v>
      </c>
    </row>
    <row r="51" spans="1:12" x14ac:dyDescent="0.15">
      <c r="A51" s="50">
        <v>2018</v>
      </c>
      <c r="B51" s="36">
        <v>168974</v>
      </c>
      <c r="C51" s="36">
        <v>18771</v>
      </c>
      <c r="D51" s="36">
        <v>239703</v>
      </c>
      <c r="E51" s="36">
        <v>22793</v>
      </c>
      <c r="G51" s="36">
        <v>2630</v>
      </c>
      <c r="H51" s="36">
        <v>86839</v>
      </c>
      <c r="I51" s="36">
        <v>1627</v>
      </c>
      <c r="J51" s="36">
        <v>10304</v>
      </c>
      <c r="L51" s="36">
        <v>551641</v>
      </c>
    </row>
    <row r="52" spans="1:12" x14ac:dyDescent="0.15">
      <c r="A52" s="50">
        <v>2019</v>
      </c>
      <c r="B52" s="36">
        <v>239398</v>
      </c>
      <c r="C52" s="36">
        <v>16407</v>
      </c>
      <c r="D52" s="36">
        <v>231239</v>
      </c>
      <c r="E52" s="36">
        <v>26279</v>
      </c>
      <c r="G52" s="36">
        <v>202</v>
      </c>
      <c r="H52" s="36">
        <v>95729</v>
      </c>
      <c r="I52" s="36">
        <v>14529</v>
      </c>
      <c r="J52" s="36">
        <v>16904</v>
      </c>
      <c r="L52" s="36">
        <v>640687</v>
      </c>
    </row>
    <row r="53" spans="1:12" x14ac:dyDescent="0.15">
      <c r="A53" s="50">
        <v>2020</v>
      </c>
      <c r="B53" s="36">
        <v>171260</v>
      </c>
      <c r="C53" s="36">
        <v>13305</v>
      </c>
      <c r="D53" s="36">
        <v>127036</v>
      </c>
      <c r="E53" s="36">
        <v>13174</v>
      </c>
      <c r="H53" s="36">
        <v>38951</v>
      </c>
      <c r="I53" s="36">
        <v>5543</v>
      </c>
      <c r="J53" s="36">
        <v>12718</v>
      </c>
      <c r="L53" s="36">
        <v>381987</v>
      </c>
    </row>
    <row r="54" spans="1:12" x14ac:dyDescent="0.15">
      <c r="A54" s="50">
        <v>2021</v>
      </c>
      <c r="B54" s="36">
        <v>359187</v>
      </c>
      <c r="C54" s="36">
        <v>9090</v>
      </c>
      <c r="D54" s="36">
        <v>99623</v>
      </c>
      <c r="E54" s="36">
        <v>13374</v>
      </c>
      <c r="F54" s="36">
        <v>10</v>
      </c>
      <c r="H54" s="36">
        <v>40545</v>
      </c>
      <c r="I54" s="36">
        <v>809</v>
      </c>
      <c r="J54" s="36">
        <v>11512</v>
      </c>
      <c r="L54" s="36">
        <v>534150</v>
      </c>
    </row>
    <row r="55" spans="1:12" x14ac:dyDescent="0.15">
      <c r="A55" s="44" t="s">
        <v>1023</v>
      </c>
      <c r="B55" s="36">
        <v>2693</v>
      </c>
      <c r="C55" s="36">
        <v>24423</v>
      </c>
      <c r="D55" s="36">
        <v>87105</v>
      </c>
      <c r="E55" s="36">
        <v>2</v>
      </c>
      <c r="H55" s="36">
        <v>1699</v>
      </c>
      <c r="J55" s="36">
        <v>17</v>
      </c>
      <c r="L55" s="36">
        <v>115939</v>
      </c>
    </row>
    <row r="56" spans="1:12" x14ac:dyDescent="0.15">
      <c r="A56" s="50">
        <v>2015</v>
      </c>
      <c r="B56" s="36">
        <v>3</v>
      </c>
      <c r="C56" s="36">
        <v>405</v>
      </c>
      <c r="D56" s="36">
        <v>9392</v>
      </c>
      <c r="H56" s="36">
        <v>929</v>
      </c>
      <c r="L56" s="36">
        <v>10729</v>
      </c>
    </row>
    <row r="57" spans="1:12" x14ac:dyDescent="0.15">
      <c r="A57" s="50">
        <v>2016</v>
      </c>
      <c r="B57" s="36">
        <v>14</v>
      </c>
      <c r="C57" s="36">
        <v>785</v>
      </c>
      <c r="D57" s="36">
        <v>6645</v>
      </c>
      <c r="H57" s="36">
        <v>50</v>
      </c>
      <c r="L57" s="36">
        <v>7494</v>
      </c>
    </row>
    <row r="58" spans="1:12" x14ac:dyDescent="0.15">
      <c r="A58" s="50">
        <v>2017</v>
      </c>
      <c r="B58" s="36">
        <v>620</v>
      </c>
      <c r="C58" s="36">
        <v>2172</v>
      </c>
      <c r="D58" s="36">
        <v>23147</v>
      </c>
      <c r="H58" s="36">
        <v>98</v>
      </c>
      <c r="L58" s="36">
        <v>26037</v>
      </c>
    </row>
    <row r="59" spans="1:12" x14ac:dyDescent="0.15">
      <c r="A59" s="50">
        <v>2018</v>
      </c>
      <c r="B59" s="36">
        <v>60</v>
      </c>
      <c r="C59" s="36">
        <v>4246</v>
      </c>
      <c r="D59" s="36">
        <v>19272</v>
      </c>
      <c r="H59" s="36">
        <v>127</v>
      </c>
      <c r="L59" s="36">
        <v>23705</v>
      </c>
    </row>
    <row r="60" spans="1:12" x14ac:dyDescent="0.15">
      <c r="A60" s="50">
        <v>2019</v>
      </c>
      <c r="B60" s="36">
        <v>104</v>
      </c>
      <c r="C60" s="36">
        <v>3024</v>
      </c>
      <c r="D60" s="36">
        <v>10162</v>
      </c>
      <c r="H60" s="36">
        <v>49</v>
      </c>
      <c r="J60" s="36">
        <v>12</v>
      </c>
      <c r="L60" s="36">
        <v>13351</v>
      </c>
    </row>
    <row r="61" spans="1:12" x14ac:dyDescent="0.15">
      <c r="A61" s="50">
        <v>2020</v>
      </c>
      <c r="B61" s="36">
        <v>479</v>
      </c>
      <c r="C61" s="36">
        <v>7043</v>
      </c>
      <c r="D61" s="36">
        <v>11349</v>
      </c>
      <c r="E61" s="36">
        <v>1</v>
      </c>
      <c r="H61" s="36">
        <v>37</v>
      </c>
      <c r="L61" s="36">
        <v>18909</v>
      </c>
    </row>
    <row r="62" spans="1:12" x14ac:dyDescent="0.15">
      <c r="A62" s="50">
        <v>2021</v>
      </c>
      <c r="B62" s="36">
        <v>1413</v>
      </c>
      <c r="C62" s="36">
        <v>6748</v>
      </c>
      <c r="D62" s="36">
        <v>7138</v>
      </c>
      <c r="E62" s="36">
        <v>1</v>
      </c>
      <c r="H62" s="36">
        <v>409</v>
      </c>
      <c r="J62" s="36">
        <v>5</v>
      </c>
      <c r="L62" s="36">
        <v>15714</v>
      </c>
    </row>
    <row r="63" spans="1:12" x14ac:dyDescent="0.15">
      <c r="A63" s="44" t="s">
        <v>984</v>
      </c>
      <c r="B63" s="36">
        <v>957</v>
      </c>
      <c r="C63" s="36">
        <v>1033</v>
      </c>
      <c r="D63" s="36">
        <v>2776</v>
      </c>
      <c r="H63" s="36">
        <v>874</v>
      </c>
      <c r="L63" s="36">
        <v>5640</v>
      </c>
    </row>
    <row r="64" spans="1:12" x14ac:dyDescent="0.15">
      <c r="A64" s="50">
        <v>2015</v>
      </c>
      <c r="B64" s="36">
        <v>150</v>
      </c>
      <c r="C64" s="36">
        <v>11</v>
      </c>
      <c r="D64" s="36">
        <v>434</v>
      </c>
      <c r="H64" s="36">
        <v>86</v>
      </c>
      <c r="L64" s="36">
        <v>681</v>
      </c>
    </row>
    <row r="65" spans="1:12" x14ac:dyDescent="0.15">
      <c r="A65" s="50">
        <v>2016</v>
      </c>
      <c r="C65" s="36">
        <v>17</v>
      </c>
      <c r="D65" s="36">
        <v>265</v>
      </c>
      <c r="H65" s="36">
        <v>93</v>
      </c>
      <c r="L65" s="36">
        <v>375</v>
      </c>
    </row>
    <row r="66" spans="1:12" x14ac:dyDescent="0.15">
      <c r="A66" s="50">
        <v>2017</v>
      </c>
      <c r="B66" s="36">
        <v>30</v>
      </c>
      <c r="C66" s="36">
        <v>79</v>
      </c>
      <c r="D66" s="36">
        <v>883</v>
      </c>
      <c r="H66" s="36">
        <v>267</v>
      </c>
      <c r="L66" s="36">
        <v>1259</v>
      </c>
    </row>
    <row r="67" spans="1:12" x14ac:dyDescent="0.15">
      <c r="A67" s="50">
        <v>2018</v>
      </c>
      <c r="B67" s="36">
        <v>13</v>
      </c>
      <c r="C67" s="36">
        <v>591</v>
      </c>
      <c r="D67" s="36">
        <v>338</v>
      </c>
      <c r="H67" s="36">
        <v>175</v>
      </c>
      <c r="L67" s="36">
        <v>1117</v>
      </c>
    </row>
    <row r="68" spans="1:12" x14ac:dyDescent="0.15">
      <c r="A68" s="50">
        <v>2019</v>
      </c>
      <c r="B68" s="36">
        <v>44</v>
      </c>
      <c r="C68" s="36">
        <v>5</v>
      </c>
      <c r="D68" s="36">
        <v>297</v>
      </c>
      <c r="H68" s="36">
        <v>169</v>
      </c>
      <c r="L68" s="36">
        <v>515</v>
      </c>
    </row>
    <row r="69" spans="1:12" x14ac:dyDescent="0.15">
      <c r="A69" s="50">
        <v>2020</v>
      </c>
      <c r="B69" s="36">
        <v>648</v>
      </c>
      <c r="C69" s="36">
        <v>314</v>
      </c>
      <c r="D69" s="36">
        <v>430</v>
      </c>
      <c r="H69" s="36">
        <v>84</v>
      </c>
      <c r="L69" s="36">
        <v>1476</v>
      </c>
    </row>
    <row r="70" spans="1:12" x14ac:dyDescent="0.15">
      <c r="A70" s="50">
        <v>2021</v>
      </c>
      <c r="B70" s="36">
        <v>72</v>
      </c>
      <c r="C70" s="36">
        <v>16</v>
      </c>
      <c r="D70" s="36">
        <v>129</v>
      </c>
      <c r="L70" s="36">
        <v>217</v>
      </c>
    </row>
    <row r="71" spans="1:12" x14ac:dyDescent="0.15">
      <c r="A71" s="43" t="s">
        <v>1011</v>
      </c>
      <c r="B71" s="36">
        <v>2797</v>
      </c>
      <c r="C71" s="36">
        <v>304</v>
      </c>
      <c r="D71" s="36">
        <v>174306</v>
      </c>
      <c r="E71" s="36">
        <v>22970</v>
      </c>
      <c r="H71" s="36">
        <v>138</v>
      </c>
      <c r="J71" s="36">
        <v>6003</v>
      </c>
      <c r="L71" s="36">
        <v>206518</v>
      </c>
    </row>
    <row r="72" spans="1:12" x14ac:dyDescent="0.15">
      <c r="A72" s="44" t="s">
        <v>949</v>
      </c>
      <c r="B72" s="36">
        <v>2796</v>
      </c>
      <c r="C72" s="36">
        <v>71</v>
      </c>
      <c r="D72" s="36">
        <v>166821</v>
      </c>
      <c r="E72" s="36">
        <v>22970</v>
      </c>
      <c r="J72" s="36">
        <v>6002</v>
      </c>
      <c r="L72" s="36">
        <v>198660</v>
      </c>
    </row>
    <row r="73" spans="1:12" x14ac:dyDescent="0.15">
      <c r="A73" s="50">
        <v>2021</v>
      </c>
      <c r="B73" s="36">
        <v>2796</v>
      </c>
      <c r="C73" s="36">
        <v>71</v>
      </c>
      <c r="D73" s="36">
        <v>166821</v>
      </c>
      <c r="E73" s="36">
        <v>22970</v>
      </c>
      <c r="J73" s="36">
        <v>6002</v>
      </c>
      <c r="L73" s="36">
        <v>198660</v>
      </c>
    </row>
    <row r="74" spans="1:12" x14ac:dyDescent="0.15">
      <c r="A74" s="44" t="s">
        <v>982</v>
      </c>
      <c r="B74" s="36">
        <v>1</v>
      </c>
      <c r="C74" s="36">
        <v>1</v>
      </c>
      <c r="D74" s="36">
        <v>61</v>
      </c>
      <c r="J74" s="36">
        <v>1</v>
      </c>
      <c r="L74" s="36">
        <v>64</v>
      </c>
    </row>
    <row r="75" spans="1:12" x14ac:dyDescent="0.15">
      <c r="A75" s="50">
        <v>2021</v>
      </c>
      <c r="B75" s="36">
        <v>1</v>
      </c>
      <c r="C75" s="36">
        <v>1</v>
      </c>
      <c r="D75" s="36">
        <v>61</v>
      </c>
      <c r="J75" s="36">
        <v>1</v>
      </c>
      <c r="L75" s="36">
        <v>64</v>
      </c>
    </row>
    <row r="76" spans="1:12" x14ac:dyDescent="0.15">
      <c r="A76" s="44" t="s">
        <v>1023</v>
      </c>
      <c r="C76" s="36">
        <v>232</v>
      </c>
      <c r="D76" s="36">
        <v>7424</v>
      </c>
      <c r="H76" s="36">
        <v>138</v>
      </c>
      <c r="L76" s="36">
        <v>7794</v>
      </c>
    </row>
    <row r="77" spans="1:12" x14ac:dyDescent="0.15">
      <c r="A77" s="50">
        <v>2015</v>
      </c>
      <c r="C77" s="36">
        <v>232</v>
      </c>
      <c r="D77" s="36">
        <v>7424</v>
      </c>
      <c r="H77" s="36">
        <v>138</v>
      </c>
      <c r="L77" s="36">
        <v>7794</v>
      </c>
    </row>
    <row r="78" spans="1:12" x14ac:dyDescent="0.15">
      <c r="A78" s="43" t="s">
        <v>1010</v>
      </c>
      <c r="B78" s="36">
        <v>6494402</v>
      </c>
      <c r="C78" s="36">
        <v>16591966</v>
      </c>
      <c r="D78" s="36">
        <v>151243506</v>
      </c>
      <c r="E78" s="36">
        <v>2532321</v>
      </c>
      <c r="F78" s="36">
        <v>8557</v>
      </c>
      <c r="G78" s="36">
        <v>10354</v>
      </c>
      <c r="H78" s="36">
        <v>2742311</v>
      </c>
      <c r="I78" s="36">
        <v>26142</v>
      </c>
      <c r="J78" s="36">
        <v>1166613</v>
      </c>
      <c r="K78" s="36">
        <v>42</v>
      </c>
      <c r="L78" s="36">
        <v>180816214</v>
      </c>
    </row>
  </sheetData>
  <mergeCells count="14">
    <mergeCell ref="AY4:BB4"/>
    <mergeCell ref="O3:R3"/>
    <mergeCell ref="S3:V3"/>
    <mergeCell ref="AM4:AP4"/>
    <mergeCell ref="AQ4:AT4"/>
    <mergeCell ref="AI4:AL4"/>
    <mergeCell ref="AI3:BB3"/>
    <mergeCell ref="W3:AH3"/>
    <mergeCell ref="O4:R4"/>
    <mergeCell ref="S4:V4"/>
    <mergeCell ref="W4:Z4"/>
    <mergeCell ref="AA4:AD4"/>
    <mergeCell ref="AE4:AH4"/>
    <mergeCell ref="AU4:AX4"/>
  </mergeCells>
  <phoneticPr fontId="10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3060-2B3E-481F-9E9D-DF1E859FDC7E}">
  <dimension ref="B1:AK55"/>
  <sheetViews>
    <sheetView topLeftCell="M1" zoomScale="85" zoomScaleNormal="85" workbookViewId="0">
      <selection activeCell="U30" sqref="U30"/>
    </sheetView>
  </sheetViews>
  <sheetFormatPr defaultRowHeight="12.9" x14ac:dyDescent="0.15"/>
  <cols>
    <col min="1" max="2" width="9" style="36"/>
    <col min="3" max="4" width="9.125" style="36" bestFit="1" customWidth="1"/>
    <col min="5" max="5" width="9.75" style="36" bestFit="1" customWidth="1"/>
    <col min="6" max="6" width="9.125" style="36" bestFit="1" customWidth="1"/>
    <col min="7" max="8" width="10.375" style="36" bestFit="1" customWidth="1"/>
    <col min="9" max="10" width="9.125" style="36" customWidth="1"/>
    <col min="11" max="11" width="9.125" style="120" customWidth="1"/>
    <col min="12" max="12" width="9.125" style="36" customWidth="1"/>
    <col min="13" max="18" width="9" style="36"/>
    <col min="19" max="19" width="11.875" style="36" bestFit="1" customWidth="1"/>
    <col min="20" max="20" width="10.875" style="36" bestFit="1" customWidth="1"/>
    <col min="21" max="21" width="9.125" style="36" customWidth="1"/>
    <col min="22" max="22" width="9.125" style="120" customWidth="1"/>
    <col min="23" max="23" width="9.125" style="119" customWidth="1"/>
    <col min="24" max="24" width="9.125" style="36" customWidth="1"/>
    <col min="25" max="30" width="9" style="36"/>
    <col min="31" max="32" width="9.75" style="36" bestFit="1" customWidth="1"/>
    <col min="33" max="33" width="9" style="36"/>
    <col min="34" max="34" width="10.25" style="36" bestFit="1" customWidth="1"/>
    <col min="35" max="35" width="12.5" style="36" bestFit="1" customWidth="1"/>
    <col min="36" max="16384" width="9" style="36"/>
  </cols>
  <sheetData>
    <row r="1" spans="2:37" x14ac:dyDescent="0.15">
      <c r="B1" s="36" t="s">
        <v>1059</v>
      </c>
    </row>
    <row r="2" spans="2:37" x14ac:dyDescent="0.15">
      <c r="B2" s="36">
        <v>2020</v>
      </c>
      <c r="C2" s="36" t="s">
        <v>1058</v>
      </c>
      <c r="K2" s="120" t="s">
        <v>1057</v>
      </c>
      <c r="N2" s="120"/>
      <c r="O2" s="119" t="s">
        <v>1057</v>
      </c>
    </row>
    <row r="3" spans="2:37" x14ac:dyDescent="0.15">
      <c r="B3" s="36">
        <v>2025</v>
      </c>
      <c r="C3" s="36" t="s">
        <v>1056</v>
      </c>
      <c r="K3" s="120" t="s">
        <v>1055</v>
      </c>
      <c r="L3" s="36" t="s">
        <v>1054</v>
      </c>
      <c r="N3" s="120"/>
      <c r="O3" s="119" t="s">
        <v>1055</v>
      </c>
      <c r="P3" s="36" t="s">
        <v>1054</v>
      </c>
    </row>
    <row r="4" spans="2:37" x14ac:dyDescent="0.15">
      <c r="C4" s="36" t="s">
        <v>1053</v>
      </c>
      <c r="J4" s="36" t="s">
        <v>1052</v>
      </c>
      <c r="K4" s="120">
        <v>9</v>
      </c>
      <c r="L4" s="36">
        <v>15</v>
      </c>
      <c r="N4" s="120" t="s">
        <v>1052</v>
      </c>
      <c r="O4" s="119">
        <v>9</v>
      </c>
      <c r="P4" s="36">
        <v>15</v>
      </c>
    </row>
    <row r="5" spans="2:37" x14ac:dyDescent="0.15">
      <c r="B5" s="36">
        <v>2035</v>
      </c>
      <c r="C5" s="36" t="s">
        <v>1051</v>
      </c>
      <c r="J5" s="36" t="s">
        <v>1050</v>
      </c>
      <c r="K5" s="120">
        <v>15</v>
      </c>
      <c r="L5" s="36">
        <v>15</v>
      </c>
      <c r="N5" s="120" t="s">
        <v>1050</v>
      </c>
      <c r="O5" s="119">
        <v>15</v>
      </c>
      <c r="P5" s="36">
        <v>15</v>
      </c>
    </row>
    <row r="6" spans="2:37" x14ac:dyDescent="0.15">
      <c r="C6" s="36" t="s">
        <v>1049</v>
      </c>
    </row>
    <row r="8" spans="2:37" x14ac:dyDescent="0.15">
      <c r="C8" s="234" t="s">
        <v>1028</v>
      </c>
      <c r="D8" s="234"/>
      <c r="E8" s="234" t="s">
        <v>985</v>
      </c>
      <c r="F8" s="234"/>
      <c r="G8" s="234" t="s">
        <v>983</v>
      </c>
      <c r="H8" s="234"/>
      <c r="I8" s="234"/>
      <c r="J8" s="234"/>
      <c r="K8" s="234"/>
      <c r="L8" s="234"/>
      <c r="M8" s="234"/>
      <c r="N8" s="49"/>
      <c r="O8" s="234" t="s">
        <v>989</v>
      </c>
      <c r="P8" s="234"/>
      <c r="Q8" s="234" t="s">
        <v>1029</v>
      </c>
      <c r="R8" s="234"/>
      <c r="S8" s="234" t="s">
        <v>981</v>
      </c>
      <c r="T8" s="234"/>
      <c r="U8" s="234"/>
      <c r="V8" s="234"/>
      <c r="W8" s="234"/>
      <c r="X8" s="234"/>
      <c r="Y8" s="234"/>
      <c r="AA8" s="234" t="s">
        <v>1048</v>
      </c>
      <c r="AB8" s="234"/>
      <c r="AC8" s="234" t="s">
        <v>1047</v>
      </c>
      <c r="AD8" s="234"/>
      <c r="AE8" s="234" t="s">
        <v>987</v>
      </c>
      <c r="AF8" s="234"/>
      <c r="AG8" s="234"/>
      <c r="AH8" s="234"/>
      <c r="AI8" s="234"/>
      <c r="AJ8" s="234"/>
      <c r="AK8" s="234"/>
    </row>
    <row r="9" spans="2:37" s="131" customFormat="1" ht="25.85" x14ac:dyDescent="0.15">
      <c r="C9" s="131" t="s">
        <v>1046</v>
      </c>
      <c r="D9" s="131" t="s">
        <v>1045</v>
      </c>
      <c r="E9" s="131" t="s">
        <v>1046</v>
      </c>
      <c r="F9" s="131" t="s">
        <v>1045</v>
      </c>
      <c r="G9" s="131" t="s">
        <v>1041</v>
      </c>
      <c r="H9" s="131" t="s">
        <v>1044</v>
      </c>
      <c r="I9" s="131" t="s">
        <v>1043</v>
      </c>
      <c r="J9" s="131" t="s">
        <v>1042</v>
      </c>
      <c r="K9" s="133" t="s">
        <v>1041</v>
      </c>
      <c r="L9" s="131" t="s">
        <v>1040</v>
      </c>
      <c r="M9" s="131" t="s">
        <v>1039</v>
      </c>
      <c r="O9" s="131" t="s">
        <v>1046</v>
      </c>
      <c r="P9" s="131" t="s">
        <v>1045</v>
      </c>
      <c r="Q9" s="131" t="s">
        <v>1046</v>
      </c>
      <c r="R9" s="131" t="s">
        <v>1045</v>
      </c>
      <c r="S9" s="131" t="s">
        <v>1041</v>
      </c>
      <c r="T9" s="131" t="s">
        <v>1044</v>
      </c>
      <c r="U9" s="131" t="s">
        <v>1043</v>
      </c>
      <c r="V9" s="133" t="s">
        <v>1042</v>
      </c>
      <c r="W9" s="132" t="s">
        <v>1041</v>
      </c>
      <c r="X9" s="131" t="s">
        <v>1040</v>
      </c>
      <c r="Y9" s="131" t="s">
        <v>1039</v>
      </c>
      <c r="AA9" s="131" t="s">
        <v>1046</v>
      </c>
      <c r="AB9" s="131" t="s">
        <v>1045</v>
      </c>
      <c r="AC9" s="131" t="s">
        <v>1046</v>
      </c>
      <c r="AD9" s="131" t="s">
        <v>1045</v>
      </c>
      <c r="AE9" s="131" t="s">
        <v>1041</v>
      </c>
      <c r="AF9" s="131" t="s">
        <v>1044</v>
      </c>
      <c r="AG9" s="131" t="s">
        <v>1043</v>
      </c>
      <c r="AH9" s="133" t="s">
        <v>1042</v>
      </c>
      <c r="AI9" s="132" t="s">
        <v>1041</v>
      </c>
      <c r="AJ9" s="131" t="s">
        <v>1040</v>
      </c>
      <c r="AK9" s="131" t="s">
        <v>1039</v>
      </c>
    </row>
    <row r="10" spans="2:37" x14ac:dyDescent="0.15">
      <c r="B10" s="36">
        <v>2015</v>
      </c>
      <c r="C10" s="36">
        <v>482975</v>
      </c>
      <c r="D10" s="129">
        <f>'Electric Ratio'!L64+'Electric Ratio'!L31</f>
        <v>129892</v>
      </c>
      <c r="E10" s="36">
        <v>1814325</v>
      </c>
      <c r="F10" s="130">
        <f>'Electric Ratio'!L23+'Electric Ratio'!L56</f>
        <v>159771</v>
      </c>
      <c r="G10" s="120">
        <f t="shared" ref="G10:G55" si="0">C10+E10</f>
        <v>2297300</v>
      </c>
      <c r="H10" s="127">
        <f t="shared" ref="H10:H55" si="1">D10+F10</f>
        <v>289663</v>
      </c>
      <c r="I10" s="36">
        <v>0</v>
      </c>
      <c r="J10" s="123">
        <f>'Pivot Table'!F20</f>
        <v>0</v>
      </c>
      <c r="K10" s="120">
        <f t="shared" ref="K10:K16" si="2">I10</f>
        <v>0</v>
      </c>
      <c r="L10" s="69">
        <f t="shared" ref="L10:L55" si="3">J10/H10</f>
        <v>0</v>
      </c>
      <c r="M10" s="121">
        <f t="shared" ref="M10:M16" si="4">MAX(L$10:L$16)</f>
        <v>6.5700893331024114E-3</v>
      </c>
      <c r="N10" s="69"/>
      <c r="O10" s="120">
        <v>13323.621474158876</v>
      </c>
      <c r="P10" s="120">
        <v>1547.1217403545015</v>
      </c>
      <c r="Q10" s="36">
        <v>109.20829999999999</v>
      </c>
      <c r="R10" s="36">
        <v>18.300216666666671</v>
      </c>
      <c r="S10" s="120">
        <f t="shared" ref="S10:S55" si="5">(O10+Q10)*10000</f>
        <v>134328297.74158877</v>
      </c>
      <c r="T10" s="127">
        <f t="shared" ref="T10:T55" si="6">(P10+R10)*10000</f>
        <v>15654219.570211682</v>
      </c>
      <c r="U10" s="36">
        <v>0</v>
      </c>
      <c r="V10" s="120">
        <f>'Pivot Table'!F28</f>
        <v>0</v>
      </c>
      <c r="W10" s="119">
        <f t="shared" ref="W10:W16" si="7">U10</f>
        <v>0</v>
      </c>
      <c r="X10" s="69">
        <f t="shared" ref="X10:X55" si="8">V10/T10</f>
        <v>0</v>
      </c>
      <c r="Y10" s="121">
        <f t="shared" ref="Y10:Y16" si="9">MAX(X$10:X$16)</f>
        <v>1.6989391929879433E-6</v>
      </c>
      <c r="AA10" s="120">
        <v>475244.00000000006</v>
      </c>
      <c r="AB10" s="120">
        <v>9344.1371470617014</v>
      </c>
      <c r="AC10" s="36">
        <v>6313956</v>
      </c>
      <c r="AD10" s="36">
        <v>124143.53638239205</v>
      </c>
      <c r="AE10" s="120">
        <f t="shared" ref="AE10:AE55" si="10">(AA10+AC10)</f>
        <v>6789200</v>
      </c>
      <c r="AF10" s="127">
        <f t="shared" ref="AF10:AF55" si="11">(AB10+AD10)</f>
        <v>133487.67352945375</v>
      </c>
      <c r="AG10" s="36">
        <v>0</v>
      </c>
      <c r="AH10" s="120">
        <f>'Pivot Table'!F4</f>
        <v>0</v>
      </c>
      <c r="AI10" s="119">
        <f t="shared" ref="AI10:AI16" si="12">AG10</f>
        <v>0</v>
      </c>
      <c r="AJ10" s="69">
        <f t="shared" ref="AJ10:AJ55" si="13">AH10/AF10</f>
        <v>0</v>
      </c>
      <c r="AK10" s="121">
        <f t="shared" ref="AK10:AK16" si="14">MAX(AJ$10:AJ$16)</f>
        <v>1.4854603461961987E-3</v>
      </c>
    </row>
    <row r="11" spans="2:37" x14ac:dyDescent="0.15">
      <c r="B11" s="36">
        <v>2016</v>
      </c>
      <c r="C11" s="36">
        <v>515051</v>
      </c>
      <c r="D11" s="129">
        <f>'Electric Ratio'!L65+'Electric Ratio'!L32</f>
        <v>96909</v>
      </c>
      <c r="E11" s="36">
        <v>1783449</v>
      </c>
      <c r="F11" s="130">
        <f>'Electric Ratio'!L24+'Electric Ratio'!L57</f>
        <v>165233</v>
      </c>
      <c r="G11" s="120">
        <f t="shared" si="0"/>
        <v>2298500</v>
      </c>
      <c r="H11" s="127">
        <f t="shared" si="1"/>
        <v>262142</v>
      </c>
      <c r="I11" s="36">
        <f t="shared" ref="I11:I16" si="15">I10+J11</f>
        <v>29</v>
      </c>
      <c r="J11" s="123">
        <f>'Pivot Table'!F21</f>
        <v>29</v>
      </c>
      <c r="K11" s="120">
        <f t="shared" si="2"/>
        <v>29</v>
      </c>
      <c r="L11" s="69">
        <f t="shared" si="3"/>
        <v>1.1062706472064759E-4</v>
      </c>
      <c r="M11" s="121">
        <f t="shared" si="4"/>
        <v>6.5700893331024114E-3</v>
      </c>
      <c r="N11" s="69"/>
      <c r="O11" s="120">
        <v>15064.570057798745</v>
      </c>
      <c r="P11" s="120">
        <v>1978.1601324819403</v>
      </c>
      <c r="Q11" s="36">
        <v>110.2563</v>
      </c>
      <c r="R11" s="36">
        <v>16.941016666666641</v>
      </c>
      <c r="S11" s="120">
        <f t="shared" si="5"/>
        <v>151748263.57798743</v>
      </c>
      <c r="T11" s="127">
        <f t="shared" si="6"/>
        <v>19951011.491486069</v>
      </c>
      <c r="U11" s="36">
        <f t="shared" ref="U11:U16" si="16">U10+V11</f>
        <v>8</v>
      </c>
      <c r="V11" s="120">
        <f>'Pivot Table'!F29</f>
        <v>8</v>
      </c>
      <c r="W11" s="119">
        <f t="shared" si="7"/>
        <v>8</v>
      </c>
      <c r="X11" s="69">
        <f t="shared" si="8"/>
        <v>4.0098217593699122E-7</v>
      </c>
      <c r="Y11" s="121">
        <f t="shared" si="9"/>
        <v>1.6989391929879433E-6</v>
      </c>
      <c r="AA11" s="120">
        <v>495719.00000000012</v>
      </c>
      <c r="AB11" s="120">
        <v>65487.762437914265</v>
      </c>
      <c r="AC11" s="36">
        <v>6585981.0000000009</v>
      </c>
      <c r="AD11" s="36">
        <v>870051.70096086059</v>
      </c>
      <c r="AE11" s="120">
        <f t="shared" si="10"/>
        <v>7081700.0000000009</v>
      </c>
      <c r="AF11" s="127">
        <f t="shared" si="11"/>
        <v>935539.46339877485</v>
      </c>
      <c r="AG11" s="36">
        <f t="shared" ref="AG11:AG16" si="17">AG10+AH11</f>
        <v>0</v>
      </c>
      <c r="AH11" s="120">
        <f>'Pivot Table'!F5</f>
        <v>0</v>
      </c>
      <c r="AI11" s="119">
        <f t="shared" si="12"/>
        <v>0</v>
      </c>
      <c r="AJ11" s="69">
        <f t="shared" si="13"/>
        <v>0</v>
      </c>
      <c r="AK11" s="121">
        <f t="shared" si="14"/>
        <v>1.4854603461961987E-3</v>
      </c>
    </row>
    <row r="12" spans="2:37" x14ac:dyDescent="0.15">
      <c r="B12" s="36">
        <v>2017</v>
      </c>
      <c r="C12" s="36">
        <v>554820</v>
      </c>
      <c r="D12" s="129">
        <f>'Electric Ratio'!L66+'Electric Ratio'!L33</f>
        <v>87438</v>
      </c>
      <c r="E12" s="36">
        <v>1764079.9999999998</v>
      </c>
      <c r="F12" s="130">
        <f>'Electric Ratio'!L25+'Electric Ratio'!L58</f>
        <v>142290</v>
      </c>
      <c r="G12" s="120">
        <f t="shared" si="0"/>
        <v>2318900</v>
      </c>
      <c r="H12" s="127">
        <f t="shared" si="1"/>
        <v>229728</v>
      </c>
      <c r="I12" s="36">
        <f t="shared" si="15"/>
        <v>144</v>
      </c>
      <c r="J12" s="123">
        <f>'Pivot Table'!F22</f>
        <v>115</v>
      </c>
      <c r="K12" s="120">
        <f t="shared" si="2"/>
        <v>144</v>
      </c>
      <c r="L12" s="69">
        <f t="shared" si="3"/>
        <v>5.0059200445744538E-4</v>
      </c>
      <c r="M12" s="121">
        <f t="shared" si="4"/>
        <v>6.5700893331024114E-3</v>
      </c>
      <c r="N12" s="69"/>
      <c r="O12" s="120">
        <v>17685.568989835261</v>
      </c>
      <c r="P12" s="120">
        <v>2925.9286061245512</v>
      </c>
      <c r="Q12" s="36">
        <v>110.28230000000001</v>
      </c>
      <c r="R12" s="36">
        <v>17.084316666666695</v>
      </c>
      <c r="S12" s="120">
        <f t="shared" si="5"/>
        <v>177958512.89835259</v>
      </c>
      <c r="T12" s="127">
        <f t="shared" si="6"/>
        <v>29430129.22791218</v>
      </c>
      <c r="U12" s="36">
        <f t="shared" si="16"/>
        <v>58</v>
      </c>
      <c r="V12" s="120">
        <f>'Pivot Table'!F30</f>
        <v>50</v>
      </c>
      <c r="W12" s="119">
        <f t="shared" si="7"/>
        <v>58</v>
      </c>
      <c r="X12" s="69">
        <f t="shared" si="8"/>
        <v>1.6989391929879433E-6</v>
      </c>
      <c r="Y12" s="121">
        <f t="shared" si="9"/>
        <v>1.6989391929879433E-6</v>
      </c>
      <c r="AA12" s="120">
        <v>536263</v>
      </c>
      <c r="AB12" s="120">
        <v>92020.410860839824</v>
      </c>
      <c r="AC12" s="36">
        <v>7124636.9999999991</v>
      </c>
      <c r="AD12" s="36">
        <v>1222556.8871511566</v>
      </c>
      <c r="AE12" s="120">
        <f t="shared" si="10"/>
        <v>7660899.9999999991</v>
      </c>
      <c r="AF12" s="127">
        <f t="shared" si="11"/>
        <v>1314577.2980119963</v>
      </c>
      <c r="AG12" s="36">
        <f t="shared" si="17"/>
        <v>933</v>
      </c>
      <c r="AH12" s="120">
        <f>'Pivot Table'!F6</f>
        <v>933</v>
      </c>
      <c r="AI12" s="119">
        <f t="shared" si="12"/>
        <v>933</v>
      </c>
      <c r="AJ12" s="69">
        <f t="shared" si="13"/>
        <v>7.0973384479631097E-4</v>
      </c>
      <c r="AK12" s="121">
        <f t="shared" si="14"/>
        <v>1.4854603461961987E-3</v>
      </c>
    </row>
    <row r="13" spans="2:37" x14ac:dyDescent="0.15">
      <c r="B13" s="36">
        <v>2018</v>
      </c>
      <c r="C13" s="36">
        <v>565933</v>
      </c>
      <c r="D13" s="129">
        <f>'Electric Ratio'!L67+'Electric Ratio'!L34</f>
        <v>92961</v>
      </c>
      <c r="E13" s="36">
        <v>1771367.0000000002</v>
      </c>
      <c r="F13" s="130">
        <f>'Electric Ratio'!L26+'Electric Ratio'!L59</f>
        <v>113336</v>
      </c>
      <c r="G13" s="120">
        <f t="shared" si="0"/>
        <v>2337300</v>
      </c>
      <c r="H13" s="127">
        <f t="shared" si="1"/>
        <v>206297</v>
      </c>
      <c r="I13" s="36">
        <f t="shared" si="15"/>
        <v>581</v>
      </c>
      <c r="J13" s="123">
        <f>'Pivot Table'!F23</f>
        <v>437</v>
      </c>
      <c r="K13" s="120">
        <f t="shared" si="2"/>
        <v>581</v>
      </c>
      <c r="L13" s="69">
        <f t="shared" si="3"/>
        <v>2.1183051619752106E-3</v>
      </c>
      <c r="M13" s="121">
        <f t="shared" si="4"/>
        <v>6.5700893331024114E-3</v>
      </c>
      <c r="N13" s="69"/>
      <c r="O13" s="120">
        <v>20306.555656280423</v>
      </c>
      <c r="P13" s="120">
        <v>3016.2555796451925</v>
      </c>
      <c r="Q13" s="36">
        <v>109.72369999999999</v>
      </c>
      <c r="R13" s="36">
        <v>16.688216666666648</v>
      </c>
      <c r="S13" s="120">
        <f t="shared" si="5"/>
        <v>204162793.56280422</v>
      </c>
      <c r="T13" s="127">
        <f t="shared" si="6"/>
        <v>30329437.96311859</v>
      </c>
      <c r="U13" s="36">
        <f t="shared" si="16"/>
        <v>58</v>
      </c>
      <c r="V13" s="120">
        <f>'Pivot Table'!F31</f>
        <v>0</v>
      </c>
      <c r="W13" s="119">
        <f t="shared" si="7"/>
        <v>58</v>
      </c>
      <c r="X13" s="69">
        <f t="shared" si="8"/>
        <v>0</v>
      </c>
      <c r="Y13" s="121">
        <f t="shared" si="9"/>
        <v>1.6989391929879433E-6</v>
      </c>
      <c r="AA13" s="120">
        <v>583744</v>
      </c>
      <c r="AB13" s="120">
        <v>105952.53089424392</v>
      </c>
      <c r="AC13" s="36">
        <v>7755456</v>
      </c>
      <c r="AD13" s="36">
        <v>1407655.0533092413</v>
      </c>
      <c r="AE13" s="120">
        <f t="shared" si="10"/>
        <v>8339200</v>
      </c>
      <c r="AF13" s="127">
        <f t="shared" si="11"/>
        <v>1513607.5842034852</v>
      </c>
      <c r="AG13" s="36">
        <f t="shared" si="17"/>
        <v>1337</v>
      </c>
      <c r="AH13" s="120">
        <f>'Pivot Table'!F7</f>
        <v>404</v>
      </c>
      <c r="AI13" s="119">
        <f t="shared" si="12"/>
        <v>1337</v>
      </c>
      <c r="AJ13" s="69">
        <f t="shared" si="13"/>
        <v>2.6691198182162871E-4</v>
      </c>
      <c r="AK13" s="121">
        <f t="shared" si="14"/>
        <v>1.4854603461961987E-3</v>
      </c>
    </row>
    <row r="14" spans="2:37" x14ac:dyDescent="0.15">
      <c r="B14" s="36">
        <v>2019</v>
      </c>
      <c r="C14" s="36">
        <v>584026</v>
      </c>
      <c r="D14" s="129">
        <f>'Electric Ratio'!L68+'Electric Ratio'!L35</f>
        <v>76856</v>
      </c>
      <c r="E14" s="36">
        <v>1742574.0000000002</v>
      </c>
      <c r="F14" s="130">
        <f>'Electric Ratio'!L27+'Electric Ratio'!L60</f>
        <v>102137</v>
      </c>
      <c r="G14" s="120">
        <f t="shared" si="0"/>
        <v>2326600</v>
      </c>
      <c r="H14" s="127">
        <f t="shared" si="1"/>
        <v>178993</v>
      </c>
      <c r="I14" s="36">
        <f t="shared" si="15"/>
        <v>1757</v>
      </c>
      <c r="J14" s="123">
        <f>'Pivot Table'!F24</f>
        <v>1176</v>
      </c>
      <c r="K14" s="120">
        <f t="shared" si="2"/>
        <v>1757</v>
      </c>
      <c r="L14" s="69">
        <f t="shared" si="3"/>
        <v>6.5700893331024114E-3</v>
      </c>
      <c r="M14" s="121">
        <f t="shared" si="4"/>
        <v>6.5700893331024114E-3</v>
      </c>
      <c r="N14" s="69"/>
      <c r="O14" s="120">
        <v>22244.814537261998</v>
      </c>
      <c r="P14" s="120">
        <v>2447.2816833061479</v>
      </c>
      <c r="Q14" s="36">
        <v>110.247</v>
      </c>
      <c r="R14" s="36">
        <v>2.9605000000000103</v>
      </c>
      <c r="S14" s="120">
        <f t="shared" si="5"/>
        <v>223550615.37261999</v>
      </c>
      <c r="T14" s="127">
        <f t="shared" si="6"/>
        <v>24502421.833061479</v>
      </c>
      <c r="U14" s="36">
        <f t="shared" si="16"/>
        <v>58</v>
      </c>
      <c r="V14" s="120">
        <f>'Pivot Table'!F32</f>
        <v>0</v>
      </c>
      <c r="W14" s="119">
        <f t="shared" si="7"/>
        <v>58</v>
      </c>
      <c r="X14" s="69">
        <f t="shared" si="8"/>
        <v>0</v>
      </c>
      <c r="Y14" s="121">
        <f t="shared" si="9"/>
        <v>1.6989391929879433E-6</v>
      </c>
      <c r="AA14" s="120">
        <v>614579.00000000012</v>
      </c>
      <c r="AB14" s="120">
        <v>94906.606131227978</v>
      </c>
      <c r="AC14" s="36">
        <v>8165121</v>
      </c>
      <c r="AD14" s="36">
        <v>1260902.0528863128</v>
      </c>
      <c r="AE14" s="120">
        <f t="shared" si="10"/>
        <v>8779700</v>
      </c>
      <c r="AF14" s="127">
        <f t="shared" si="11"/>
        <v>1355808.6590175407</v>
      </c>
      <c r="AG14" s="36">
        <f t="shared" si="17"/>
        <v>3351</v>
      </c>
      <c r="AH14" s="120">
        <f>'Pivot Table'!F8</f>
        <v>2014</v>
      </c>
      <c r="AI14" s="119">
        <f t="shared" si="12"/>
        <v>3351</v>
      </c>
      <c r="AJ14" s="69">
        <f t="shared" si="13"/>
        <v>1.4854603461961987E-3</v>
      </c>
      <c r="AK14" s="121">
        <f t="shared" si="14"/>
        <v>1.4854603461961987E-3</v>
      </c>
    </row>
    <row r="15" spans="2:37" x14ac:dyDescent="0.15">
      <c r="B15" s="36">
        <v>2020</v>
      </c>
      <c r="C15" s="120">
        <v>585426.38902707712</v>
      </c>
      <c r="D15" s="129">
        <f>'Electric Ratio'!L69+'Electric Ratio'!L36</f>
        <v>61843</v>
      </c>
      <c r="E15" s="125">
        <v>1742574.0000000002</v>
      </c>
      <c r="F15" s="130">
        <v>205319.57115058298</v>
      </c>
      <c r="G15" s="120">
        <f t="shared" si="0"/>
        <v>2328000.3890270772</v>
      </c>
      <c r="H15" s="127">
        <f t="shared" si="1"/>
        <v>267162.57115058298</v>
      </c>
      <c r="I15" s="36">
        <f t="shared" si="15"/>
        <v>3108</v>
      </c>
      <c r="J15" s="123">
        <f>'Pivot Table'!F25</f>
        <v>1351</v>
      </c>
      <c r="K15" s="120">
        <f t="shared" si="2"/>
        <v>3108</v>
      </c>
      <c r="L15" s="69">
        <f t="shared" si="3"/>
        <v>5.0568460775836932E-3</v>
      </c>
      <c r="M15" s="121">
        <f t="shared" si="4"/>
        <v>6.5700893331024114E-3</v>
      </c>
      <c r="N15" s="69"/>
      <c r="O15" s="120">
        <v>24835.923295362267</v>
      </c>
      <c r="P15" s="120">
        <v>3235.5850834179219</v>
      </c>
      <c r="Q15" s="36">
        <v>110.247</v>
      </c>
      <c r="R15" s="36">
        <v>17.473816666666664</v>
      </c>
      <c r="S15" s="120">
        <f t="shared" si="5"/>
        <v>249461702.95362267</v>
      </c>
      <c r="T15" s="127">
        <f t="shared" si="6"/>
        <v>32530589.000845883</v>
      </c>
      <c r="U15" s="36">
        <f t="shared" si="16"/>
        <v>58</v>
      </c>
      <c r="V15" s="120">
        <f>'Pivot Table'!F33</f>
        <v>0</v>
      </c>
      <c r="W15" s="119">
        <f t="shared" si="7"/>
        <v>58</v>
      </c>
      <c r="X15" s="69">
        <f t="shared" si="8"/>
        <v>0</v>
      </c>
      <c r="Y15" s="121">
        <f t="shared" si="9"/>
        <v>1.6989391929879433E-6</v>
      </c>
      <c r="AA15" s="120">
        <v>655841.18911558168</v>
      </c>
      <c r="AB15" s="120">
        <v>105941.4658869839</v>
      </c>
      <c r="AC15" s="36">
        <v>8243434.9507703893</v>
      </c>
      <c r="AD15" s="36">
        <v>937624.34216187801</v>
      </c>
      <c r="AE15" s="120">
        <f t="shared" si="10"/>
        <v>8899276.1398859713</v>
      </c>
      <c r="AF15" s="127">
        <f t="shared" si="11"/>
        <v>1043565.8080488619</v>
      </c>
      <c r="AG15" s="36">
        <f t="shared" si="17"/>
        <v>3497</v>
      </c>
      <c r="AH15" s="120">
        <f>'Pivot Table'!F9</f>
        <v>146</v>
      </c>
      <c r="AI15" s="119">
        <f t="shared" si="12"/>
        <v>3497</v>
      </c>
      <c r="AJ15" s="69">
        <f t="shared" si="13"/>
        <v>1.3990492872986501E-4</v>
      </c>
      <c r="AK15" s="121">
        <f t="shared" si="14"/>
        <v>1.4854603461961987E-3</v>
      </c>
    </row>
    <row r="16" spans="2:37" x14ac:dyDescent="0.15">
      <c r="B16" s="36">
        <v>2021</v>
      </c>
      <c r="C16" s="120">
        <v>586619.74028469704</v>
      </c>
      <c r="D16" s="129">
        <f>'Electric Ratio'!L70+'Electric Ratio'!L37</f>
        <v>44054</v>
      </c>
      <c r="E16" s="125">
        <v>1742574.0000000002</v>
      </c>
      <c r="F16" s="128">
        <v>188975.78129621223</v>
      </c>
      <c r="G16" s="120">
        <f t="shared" si="0"/>
        <v>2329193.7402846972</v>
      </c>
      <c r="H16" s="127">
        <f t="shared" si="1"/>
        <v>233029.78129621223</v>
      </c>
      <c r="I16" s="36">
        <f t="shared" si="15"/>
        <v>4155</v>
      </c>
      <c r="J16" s="123">
        <f>'Pivot Table'!F26</f>
        <v>1047</v>
      </c>
      <c r="K16" s="120">
        <f t="shared" si="2"/>
        <v>4155</v>
      </c>
      <c r="L16" s="69">
        <f t="shared" si="3"/>
        <v>4.4929879527678138E-3</v>
      </c>
      <c r="M16" s="121">
        <f t="shared" si="4"/>
        <v>6.5700893331024114E-3</v>
      </c>
      <c r="N16" s="69"/>
      <c r="O16" s="120">
        <v>27041.873470711871</v>
      </c>
      <c r="P16" s="120">
        <v>3003.3142638253848</v>
      </c>
      <c r="Q16" s="36">
        <v>110.247</v>
      </c>
      <c r="R16" s="36">
        <v>20.79891666666667</v>
      </c>
      <c r="S16" s="120">
        <f t="shared" si="5"/>
        <v>271521204.70711869</v>
      </c>
      <c r="T16" s="127">
        <f t="shared" si="6"/>
        <v>30241131.804920513</v>
      </c>
      <c r="U16" s="123">
        <f t="shared" si="16"/>
        <v>77</v>
      </c>
      <c r="V16" s="120">
        <f>'Pivot Table'!F34</f>
        <v>19</v>
      </c>
      <c r="W16" s="119">
        <f t="shared" si="7"/>
        <v>77</v>
      </c>
      <c r="X16" s="69">
        <f t="shared" si="8"/>
        <v>6.2828336328696945E-7</v>
      </c>
      <c r="Y16" s="121">
        <f t="shared" si="9"/>
        <v>1.6989391929879433E-6</v>
      </c>
      <c r="AA16" s="120">
        <v>693274.02410557715</v>
      </c>
      <c r="AB16" s="120">
        <v>96003.920613862923</v>
      </c>
      <c r="AC16" s="36">
        <v>8310649.6418058099</v>
      </c>
      <c r="AD16" s="36">
        <v>845372.22439070791</v>
      </c>
      <c r="AE16" s="120">
        <f t="shared" si="10"/>
        <v>9003923.6659113877</v>
      </c>
      <c r="AF16" s="127">
        <f t="shared" si="11"/>
        <v>941376.14500457083</v>
      </c>
      <c r="AG16" s="123">
        <f t="shared" si="17"/>
        <v>4322</v>
      </c>
      <c r="AH16" s="120">
        <f>'Pivot Table'!F10</f>
        <v>825</v>
      </c>
      <c r="AI16" s="119">
        <f t="shared" si="12"/>
        <v>4322</v>
      </c>
      <c r="AJ16" s="69">
        <f t="shared" si="13"/>
        <v>8.7637657314547119E-4</v>
      </c>
      <c r="AK16" s="121">
        <f t="shared" si="14"/>
        <v>1.4854603461961987E-3</v>
      </c>
    </row>
    <row r="17" spans="2:37" x14ac:dyDescent="0.15">
      <c r="B17" s="36">
        <v>2022</v>
      </c>
      <c r="C17" s="120">
        <v>587768.75525428122</v>
      </c>
      <c r="D17" s="120">
        <v>52462.014969584183</v>
      </c>
      <c r="E17" s="125">
        <v>1742574.0000000002</v>
      </c>
      <c r="F17" s="124">
        <v>169965.1661316352</v>
      </c>
      <c r="G17" s="120">
        <f t="shared" si="0"/>
        <v>2330342.7552542817</v>
      </c>
      <c r="H17" s="120">
        <f t="shared" si="1"/>
        <v>222427.18110121938</v>
      </c>
      <c r="J17" s="123">
        <f t="shared" ref="J17:J55" si="18">2*2429.785*B17-9812843</f>
        <v>13207.539999999106</v>
      </c>
      <c r="K17" s="120">
        <f t="shared" ref="K17:K55" si="19">SUM(J3:J17)</f>
        <v>17362.539999999106</v>
      </c>
      <c r="L17" s="69">
        <f t="shared" si="3"/>
        <v>5.9379163709262599E-2</v>
      </c>
      <c r="M17" s="121">
        <f t="shared" ref="M17:M55" si="20">B17*0.02244905-45.32156</f>
        <v>7.0419100000002288E-2</v>
      </c>
      <c r="N17" s="69"/>
      <c r="O17" s="120">
        <v>29146.603580395182</v>
      </c>
      <c r="P17" s="120">
        <v>3066.2659550901008</v>
      </c>
      <c r="Q17" s="36">
        <v>110.247</v>
      </c>
      <c r="R17" s="36">
        <v>18.300216666666671</v>
      </c>
      <c r="S17" s="122">
        <f t="shared" si="5"/>
        <v>292568505.8039518</v>
      </c>
      <c r="T17" s="122">
        <f t="shared" si="6"/>
        <v>30845661.717567671</v>
      </c>
      <c r="V17" s="120">
        <f t="shared" ref="V17:V55" si="21">2*1741.681*B17-7041279</f>
        <v>2078.9640000006184</v>
      </c>
      <c r="W17" s="119">
        <f t="shared" ref="W17:W55" si="22">SUM(V9:V17)</f>
        <v>2155.9640000006184</v>
      </c>
      <c r="X17" s="69">
        <f t="shared" si="8"/>
        <v>6.739891071348216E-5</v>
      </c>
      <c r="Y17" s="121">
        <f t="shared" ref="Y17:Y55" si="23">B17*0.0001262923-0.2554258</f>
        <v>-6.2769399999940134E-5</v>
      </c>
      <c r="AA17" s="120">
        <v>731295.76281721448</v>
      </c>
      <c r="AB17" s="120">
        <v>87114.676512645208</v>
      </c>
      <c r="AC17" s="36">
        <v>8375762.0830664467</v>
      </c>
      <c r="AD17" s="36">
        <v>717291.05183749553</v>
      </c>
      <c r="AE17" s="120">
        <f t="shared" si="10"/>
        <v>9107057.8458836619</v>
      </c>
      <c r="AF17" s="122">
        <f t="shared" si="11"/>
        <v>804405.72835014074</v>
      </c>
      <c r="AH17" s="120">
        <f t="shared" ref="AH17:AH55" si="24">2*310.1729*B17-1251279</f>
        <v>3060.2076000000816</v>
      </c>
      <c r="AI17" s="119">
        <f t="shared" ref="AI17:AI55" si="25">SUM(AH3:AH17)</f>
        <v>7382.2076000000816</v>
      </c>
      <c r="AJ17" s="69">
        <f t="shared" si="13"/>
        <v>3.8043085623925819E-3</v>
      </c>
      <c r="AK17" s="121">
        <f t="shared" ref="AK17:AK55" si="26">B17*0.000423519-0.851899</f>
        <v>4.456418000000073E-3</v>
      </c>
    </row>
    <row r="18" spans="2:37" x14ac:dyDescent="0.15">
      <c r="B18" s="36">
        <v>2023</v>
      </c>
      <c r="C18" s="120">
        <v>588877.95330083522</v>
      </c>
      <c r="D18" s="120">
        <v>62851.198046553996</v>
      </c>
      <c r="E18" s="125">
        <v>1742574.0000000002</v>
      </c>
      <c r="F18" s="124">
        <v>150118.52173749753</v>
      </c>
      <c r="G18" s="120">
        <f t="shared" si="0"/>
        <v>2331451.9533008356</v>
      </c>
      <c r="H18" s="120">
        <f t="shared" si="1"/>
        <v>212969.71978405153</v>
      </c>
      <c r="J18" s="123">
        <f t="shared" si="18"/>
        <v>18067.109999999404</v>
      </c>
      <c r="K18" s="120">
        <f t="shared" si="19"/>
        <v>35429.64999999851</v>
      </c>
      <c r="L18" s="69">
        <f t="shared" si="3"/>
        <v>8.4834172756198464E-2</v>
      </c>
      <c r="M18" s="121">
        <f t="shared" si="20"/>
        <v>9.2868150000008143E-2</v>
      </c>
      <c r="N18" s="69"/>
      <c r="O18" s="120">
        <v>31123.529282521522</v>
      </c>
      <c r="P18" s="120">
        <v>3107.2305013178811</v>
      </c>
      <c r="Q18" s="36">
        <v>110.247</v>
      </c>
      <c r="R18" s="36">
        <v>16.941016666666641</v>
      </c>
      <c r="S18" s="122">
        <f t="shared" si="5"/>
        <v>312337762.82521522</v>
      </c>
      <c r="T18" s="122">
        <f t="shared" si="6"/>
        <v>31241715.179845478</v>
      </c>
      <c r="V18" s="120">
        <f t="shared" si="21"/>
        <v>5562.3260000003502</v>
      </c>
      <c r="W18" s="119">
        <f t="shared" si="22"/>
        <v>7718.2900000009686</v>
      </c>
      <c r="X18" s="69">
        <f t="shared" si="8"/>
        <v>1.7804163337321166E-4</v>
      </c>
      <c r="Y18" s="121">
        <f t="shared" si="23"/>
        <v>6.3522900000057003E-5</v>
      </c>
      <c r="AA18" s="120">
        <v>769937.23717414483</v>
      </c>
      <c r="AB18" s="120">
        <v>81308.729871381773</v>
      </c>
      <c r="AC18" s="36">
        <v>8438986.8044072036</v>
      </c>
      <c r="AD18" s="36">
        <v>629554.45887613576</v>
      </c>
      <c r="AE18" s="120">
        <f t="shared" si="10"/>
        <v>9208924.0415813476</v>
      </c>
      <c r="AF18" s="122">
        <f t="shared" si="11"/>
        <v>710863.18874751753</v>
      </c>
      <c r="AH18" s="120">
        <f t="shared" si="24"/>
        <v>3680.5534000000916</v>
      </c>
      <c r="AI18" s="119">
        <f t="shared" si="25"/>
        <v>11062.761000000173</v>
      </c>
      <c r="AJ18" s="69">
        <f t="shared" si="13"/>
        <v>5.177583335669588E-3</v>
      </c>
      <c r="AK18" s="121">
        <f t="shared" si="26"/>
        <v>4.8799370000001119E-3</v>
      </c>
    </row>
    <row r="19" spans="2:37" x14ac:dyDescent="0.15">
      <c r="B19" s="36">
        <v>2024</v>
      </c>
      <c r="C19" s="120">
        <v>589943.93537508044</v>
      </c>
      <c r="D19" s="120">
        <v>47964.982074245228</v>
      </c>
      <c r="E19" s="125">
        <v>1742574.0000000002</v>
      </c>
      <c r="F19" s="124">
        <v>131676.94560843962</v>
      </c>
      <c r="G19" s="120">
        <f t="shared" si="0"/>
        <v>2332517.9353750804</v>
      </c>
      <c r="H19" s="120">
        <f t="shared" si="1"/>
        <v>179641.92768268485</v>
      </c>
      <c r="J19" s="123">
        <f t="shared" si="18"/>
        <v>22926.679999999702</v>
      </c>
      <c r="K19" s="120">
        <f t="shared" si="19"/>
        <v>58356.329999998212</v>
      </c>
      <c r="L19" s="69">
        <f t="shared" si="3"/>
        <v>0.1276243263237346</v>
      </c>
      <c r="M19" s="121">
        <f t="shared" si="20"/>
        <v>0.11531720000000689</v>
      </c>
      <c r="N19" s="69"/>
      <c r="O19" s="120">
        <v>32940.487382922904</v>
      </c>
      <c r="P19" s="120">
        <v>3114.8996969500804</v>
      </c>
      <c r="Q19" s="36">
        <v>110.247</v>
      </c>
      <c r="R19" s="36">
        <v>17.084316666666695</v>
      </c>
      <c r="S19" s="122">
        <f t="shared" si="5"/>
        <v>330507343.82922906</v>
      </c>
      <c r="T19" s="122">
        <f t="shared" si="6"/>
        <v>31319840.136167474</v>
      </c>
      <c r="V19" s="120">
        <f t="shared" si="21"/>
        <v>9045.688000000082</v>
      </c>
      <c r="W19" s="119">
        <f t="shared" si="22"/>
        <v>16763.978000001051</v>
      </c>
      <c r="X19" s="69">
        <f t="shared" si="8"/>
        <v>2.8881654442272577E-4</v>
      </c>
      <c r="Y19" s="121">
        <f t="shared" si="23"/>
        <v>1.8981520000005414E-4</v>
      </c>
      <c r="AA19" s="120">
        <v>808961.79239579861</v>
      </c>
      <c r="AB19" s="120">
        <v>82521.908079469576</v>
      </c>
      <c r="AC19" s="36">
        <v>8500091.5450949185</v>
      </c>
      <c r="AD19" s="36">
        <v>636360.19051713124</v>
      </c>
      <c r="AE19" s="120">
        <f t="shared" si="10"/>
        <v>9309053.3374907169</v>
      </c>
      <c r="AF19" s="122">
        <f t="shared" si="11"/>
        <v>718882.09859660082</v>
      </c>
      <c r="AH19" s="120">
        <f t="shared" si="24"/>
        <v>4300.8992000001017</v>
      </c>
      <c r="AI19" s="119">
        <f t="shared" si="25"/>
        <v>15363.660200000275</v>
      </c>
      <c r="AJ19" s="69">
        <f t="shared" si="13"/>
        <v>5.982760188904832E-3</v>
      </c>
      <c r="AK19" s="121">
        <f t="shared" si="26"/>
        <v>5.3034560000000397E-3</v>
      </c>
    </row>
    <row r="20" spans="2:37" x14ac:dyDescent="0.15">
      <c r="B20" s="36">
        <v>2025</v>
      </c>
      <c r="C20" s="120">
        <v>590980.9066927185</v>
      </c>
      <c r="D20" s="120">
        <v>25056.971317638061</v>
      </c>
      <c r="E20" s="125">
        <v>1742574.0000000002</v>
      </c>
      <c r="F20" s="124">
        <v>118714.73447234603</v>
      </c>
      <c r="G20" s="120">
        <f t="shared" si="0"/>
        <v>2333554.9066927186</v>
      </c>
      <c r="H20" s="120">
        <f t="shared" si="1"/>
        <v>143771.70578998409</v>
      </c>
      <c r="I20" s="126">
        <v>80000</v>
      </c>
      <c r="J20" s="123">
        <f t="shared" si="18"/>
        <v>27786.25</v>
      </c>
      <c r="K20" s="120">
        <f t="shared" si="19"/>
        <v>86142.579999998212</v>
      </c>
      <c r="L20" s="69">
        <f t="shared" si="3"/>
        <v>0.19326646955548427</v>
      </c>
      <c r="M20" s="121">
        <f t="shared" si="20"/>
        <v>0.13776625000000564</v>
      </c>
      <c r="N20" s="69"/>
      <c r="O20" s="120">
        <v>34601.131417039942</v>
      </c>
      <c r="P20" s="120">
        <v>3121.4590025090656</v>
      </c>
      <c r="Q20" s="36">
        <v>110.247</v>
      </c>
      <c r="R20" s="36">
        <v>16.688216666666648</v>
      </c>
      <c r="S20" s="122">
        <f t="shared" si="5"/>
        <v>347113784.17039943</v>
      </c>
      <c r="T20" s="122">
        <f t="shared" si="6"/>
        <v>31381472.191757321</v>
      </c>
      <c r="U20" s="126">
        <v>20000</v>
      </c>
      <c r="V20" s="120">
        <f t="shared" si="21"/>
        <v>12529.049999999814</v>
      </c>
      <c r="W20" s="119">
        <f t="shared" si="22"/>
        <v>29285.028000000864</v>
      </c>
      <c r="X20" s="69">
        <f t="shared" si="8"/>
        <v>3.9924991164980151E-4</v>
      </c>
      <c r="Y20" s="121">
        <f t="shared" si="23"/>
        <v>3.1610750000005128E-4</v>
      </c>
      <c r="AA20" s="120">
        <v>848776.36377009575</v>
      </c>
      <c r="AB20" s="120">
        <v>91126.169402761501</v>
      </c>
      <c r="AC20" s="36">
        <v>8559855.5368983522</v>
      </c>
      <c r="AD20" s="36">
        <v>732437.87410670985</v>
      </c>
      <c r="AE20" s="120">
        <f t="shared" si="10"/>
        <v>9408631.9006684478</v>
      </c>
      <c r="AF20" s="122">
        <f t="shared" si="11"/>
        <v>823564.04350947135</v>
      </c>
      <c r="AG20" s="126">
        <v>20000</v>
      </c>
      <c r="AH20" s="120">
        <f t="shared" si="24"/>
        <v>4921.2450000001118</v>
      </c>
      <c r="AI20" s="119">
        <f t="shared" si="25"/>
        <v>20284.905200000387</v>
      </c>
      <c r="AJ20" s="69">
        <f t="shared" si="13"/>
        <v>5.9755462113536472E-3</v>
      </c>
      <c r="AK20" s="121">
        <f t="shared" si="26"/>
        <v>5.7269750000000785E-3</v>
      </c>
    </row>
    <row r="21" spans="2:37" x14ac:dyDescent="0.15">
      <c r="B21" s="36">
        <v>2026</v>
      </c>
      <c r="C21" s="120">
        <v>591982.51948034752</v>
      </c>
      <c r="D21" s="120">
        <v>69505.612787629012</v>
      </c>
      <c r="E21" s="125">
        <v>1742574.0000000002</v>
      </c>
      <c r="F21" s="124">
        <v>115428.98889132496</v>
      </c>
      <c r="G21" s="120">
        <f t="shared" si="0"/>
        <v>2334556.5194803476</v>
      </c>
      <c r="H21" s="120">
        <f t="shared" si="1"/>
        <v>184934.60167895397</v>
      </c>
      <c r="J21" s="123">
        <f t="shared" si="18"/>
        <v>32645.820000000298</v>
      </c>
      <c r="K21" s="120">
        <f t="shared" si="19"/>
        <v>118788.39999999851</v>
      </c>
      <c r="L21" s="69">
        <f t="shared" si="3"/>
        <v>0.1765262947205162</v>
      </c>
      <c r="M21" s="121">
        <f t="shared" si="20"/>
        <v>0.16021530000000439</v>
      </c>
      <c r="N21" s="69"/>
      <c r="O21" s="120">
        <v>36083.427021151736</v>
      </c>
      <c r="P21" s="120">
        <v>3100.2856947151085</v>
      </c>
      <c r="Q21" s="36">
        <v>110.247</v>
      </c>
      <c r="R21" s="36">
        <v>2.9605000000000103</v>
      </c>
      <c r="S21" s="122">
        <f t="shared" si="5"/>
        <v>361936740.21151739</v>
      </c>
      <c r="T21" s="122">
        <f t="shared" si="6"/>
        <v>31032461.947151087</v>
      </c>
      <c r="V21" s="120">
        <f t="shared" si="21"/>
        <v>16012.412000000477</v>
      </c>
      <c r="W21" s="119">
        <f t="shared" si="22"/>
        <v>45247.440000001341</v>
      </c>
      <c r="X21" s="69">
        <f t="shared" si="8"/>
        <v>5.1598909642650785E-4</v>
      </c>
      <c r="Y21" s="121">
        <f t="shared" si="23"/>
        <v>4.4239980000004842E-4</v>
      </c>
      <c r="AA21" s="120">
        <v>889055.27465287992</v>
      </c>
      <c r="AB21" s="120">
        <v>103735.7381995091</v>
      </c>
      <c r="AC21" s="36">
        <v>8617885.5725148655</v>
      </c>
      <c r="AD21" s="36">
        <v>876665.89590541366</v>
      </c>
      <c r="AE21" s="120">
        <f t="shared" si="10"/>
        <v>9506940.8471677452</v>
      </c>
      <c r="AF21" s="122">
        <f t="shared" si="11"/>
        <v>980401.63410492276</v>
      </c>
      <c r="AH21" s="120">
        <f t="shared" si="24"/>
        <v>5541.5908000001218</v>
      </c>
      <c r="AI21" s="119">
        <f t="shared" si="25"/>
        <v>25826.496000000509</v>
      </c>
      <c r="AJ21" s="69">
        <f t="shared" si="13"/>
        <v>5.6523679757627373E-3</v>
      </c>
      <c r="AK21" s="121">
        <f t="shared" si="26"/>
        <v>6.1504940000001174E-3</v>
      </c>
    </row>
    <row r="22" spans="2:37" x14ac:dyDescent="0.15">
      <c r="B22" s="36">
        <v>2027</v>
      </c>
      <c r="C22" s="120">
        <v>592952.37405319174</v>
      </c>
      <c r="D22" s="120">
        <v>106963.85457284423</v>
      </c>
      <c r="E22" s="125">
        <v>1742574.0000000002</v>
      </c>
      <c r="F22" s="124">
        <v>122950.84220942203</v>
      </c>
      <c r="G22" s="120">
        <f t="shared" si="0"/>
        <v>2335526.3740531919</v>
      </c>
      <c r="H22" s="120">
        <f t="shared" si="1"/>
        <v>229914.69678226626</v>
      </c>
      <c r="J22" s="123">
        <f t="shared" si="18"/>
        <v>37505.389999998733</v>
      </c>
      <c r="K22" s="120">
        <f t="shared" si="19"/>
        <v>156293.78999999724</v>
      </c>
      <c r="L22" s="69">
        <f t="shared" si="3"/>
        <v>0.1631274143188727</v>
      </c>
      <c r="M22" s="121">
        <f t="shared" si="20"/>
        <v>0.18266435000000314</v>
      </c>
      <c r="N22" s="69"/>
      <c r="O22" s="120">
        <v>37387.913511522987</v>
      </c>
      <c r="P22" s="120">
        <v>3075.8227984194455</v>
      </c>
      <c r="Q22" s="36">
        <v>110.247</v>
      </c>
      <c r="R22" s="36">
        <v>17.473816666666664</v>
      </c>
      <c r="S22" s="122">
        <f t="shared" si="5"/>
        <v>374981605.1152299</v>
      </c>
      <c r="T22" s="122">
        <f t="shared" si="6"/>
        <v>30932966.150861122</v>
      </c>
      <c r="V22" s="120">
        <f t="shared" si="21"/>
        <v>19495.774000000209</v>
      </c>
      <c r="W22" s="119">
        <f t="shared" si="22"/>
        <v>64743.21400000155</v>
      </c>
      <c r="X22" s="69">
        <f t="shared" si="8"/>
        <v>6.3025879590462353E-4</v>
      </c>
      <c r="Y22" s="121">
        <f t="shared" si="23"/>
        <v>5.6869210000004555E-4</v>
      </c>
      <c r="AA22" s="120">
        <v>929838.77799504821</v>
      </c>
      <c r="AB22" s="120">
        <v>117708.52492051618</v>
      </c>
      <c r="AC22" s="36">
        <v>8674360.8599141482</v>
      </c>
      <c r="AD22" s="36">
        <v>1023057.9152855361</v>
      </c>
      <c r="AE22" s="120">
        <f t="shared" si="10"/>
        <v>9604199.6379091963</v>
      </c>
      <c r="AF22" s="122">
        <f t="shared" si="11"/>
        <v>1140766.4402060523</v>
      </c>
      <c r="AH22" s="120">
        <f t="shared" si="24"/>
        <v>6161.9366000001319</v>
      </c>
      <c r="AI22" s="119">
        <f t="shared" si="25"/>
        <v>31988.43260000064</v>
      </c>
      <c r="AJ22" s="69">
        <f t="shared" si="13"/>
        <v>5.4015759780653479E-3</v>
      </c>
      <c r="AK22" s="121">
        <f t="shared" si="26"/>
        <v>6.5740130000000452E-3</v>
      </c>
    </row>
    <row r="23" spans="2:37" x14ac:dyDescent="0.15">
      <c r="B23" s="36">
        <v>2028</v>
      </c>
      <c r="C23" s="120">
        <v>593897.07668127178</v>
      </c>
      <c r="D23" s="120">
        <v>69408.702628080035</v>
      </c>
      <c r="E23" s="125">
        <v>1742574.0000000002</v>
      </c>
      <c r="F23" s="124">
        <v>138142.30506683234</v>
      </c>
      <c r="G23" s="120">
        <f t="shared" si="0"/>
        <v>2336471.0766812721</v>
      </c>
      <c r="H23" s="120">
        <f t="shared" si="1"/>
        <v>207551.00769491238</v>
      </c>
      <c r="J23" s="123">
        <f t="shared" si="18"/>
        <v>42364.959999999031</v>
      </c>
      <c r="K23" s="120">
        <f t="shared" si="19"/>
        <v>198658.74999999627</v>
      </c>
      <c r="L23" s="69">
        <f t="shared" si="3"/>
        <v>0.20411830552166241</v>
      </c>
      <c r="M23" s="121">
        <f t="shared" si="20"/>
        <v>0.20511340000000189</v>
      </c>
      <c r="N23" s="69"/>
      <c r="O23" s="120">
        <v>38522.942076949599</v>
      </c>
      <c r="P23" s="120">
        <v>3060.0060347747494</v>
      </c>
      <c r="Q23" s="36">
        <v>110.247</v>
      </c>
      <c r="R23" s="36">
        <v>20.79891666666667</v>
      </c>
      <c r="S23" s="122">
        <f t="shared" si="5"/>
        <v>386331890.76949602</v>
      </c>
      <c r="T23" s="122">
        <f t="shared" si="6"/>
        <v>30808049.514414161</v>
      </c>
      <c r="V23" s="120">
        <f t="shared" si="21"/>
        <v>22979.13599999994</v>
      </c>
      <c r="W23" s="119">
        <f t="shared" si="22"/>
        <v>87722.35000000149</v>
      </c>
      <c r="X23" s="69">
        <f t="shared" si="8"/>
        <v>7.4588090976836078E-4</v>
      </c>
      <c r="Y23" s="121">
        <f t="shared" si="23"/>
        <v>6.9498440000004269E-4</v>
      </c>
      <c r="AA23" s="120">
        <v>971318.99279750348</v>
      </c>
      <c r="AB23" s="120">
        <v>129712.97348312603</v>
      </c>
      <c r="AC23" s="36">
        <v>8729641.4649668559</v>
      </c>
      <c r="AD23" s="36">
        <v>1118978.4337980095</v>
      </c>
      <c r="AE23" s="120">
        <f t="shared" si="10"/>
        <v>9700960.4577643592</v>
      </c>
      <c r="AF23" s="122">
        <f t="shared" si="11"/>
        <v>1248691.4072811357</v>
      </c>
      <c r="AH23" s="120">
        <f t="shared" si="24"/>
        <v>6782.2824000001419</v>
      </c>
      <c r="AI23" s="119">
        <f t="shared" si="25"/>
        <v>38770.715000000782</v>
      </c>
      <c r="AJ23" s="69">
        <f t="shared" si="13"/>
        <v>5.4315120296756798E-3</v>
      </c>
      <c r="AK23" s="121">
        <f t="shared" si="26"/>
        <v>6.997532000000084E-3</v>
      </c>
    </row>
    <row r="24" spans="2:37" x14ac:dyDescent="0.15">
      <c r="B24" s="36">
        <v>2029</v>
      </c>
      <c r="C24" s="120">
        <v>594811.92450751585</v>
      </c>
      <c r="D24" s="120">
        <v>51424.847826244077</v>
      </c>
      <c r="E24" s="125">
        <v>1742574.0000000002</v>
      </c>
      <c r="F24" s="124">
        <v>155503.92448796588</v>
      </c>
      <c r="G24" s="120">
        <f t="shared" si="0"/>
        <v>2337385.924507516</v>
      </c>
      <c r="H24" s="120">
        <f t="shared" si="1"/>
        <v>206928.77231420996</v>
      </c>
      <c r="J24" s="123">
        <f t="shared" si="18"/>
        <v>47224.529999999329</v>
      </c>
      <c r="K24" s="120">
        <f t="shared" si="19"/>
        <v>245883.2799999956</v>
      </c>
      <c r="L24" s="69">
        <f t="shared" si="3"/>
        <v>0.22821635421627823</v>
      </c>
      <c r="M24" s="121">
        <f t="shared" si="20"/>
        <v>0.22756245000000774</v>
      </c>
      <c r="N24" s="69"/>
      <c r="O24" s="120">
        <v>39488.315778372067</v>
      </c>
      <c r="P24" s="120">
        <v>3048.9213565131504</v>
      </c>
      <c r="Q24" s="36">
        <v>110.247</v>
      </c>
      <c r="R24" s="36">
        <v>18.300216666666671</v>
      </c>
      <c r="S24" s="122">
        <f t="shared" si="5"/>
        <v>395985627.78372067</v>
      </c>
      <c r="T24" s="122">
        <f t="shared" si="6"/>
        <v>30672215.731798168</v>
      </c>
      <c r="V24" s="120">
        <f t="shared" si="21"/>
        <v>26462.498000000603</v>
      </c>
      <c r="W24" s="119">
        <f t="shared" si="22"/>
        <v>114184.84800000209</v>
      </c>
      <c r="X24" s="69">
        <f t="shared" si="8"/>
        <v>8.6275143052566257E-4</v>
      </c>
      <c r="Y24" s="121">
        <f t="shared" si="23"/>
        <v>8.2127670000003983E-4</v>
      </c>
      <c r="AA24" s="120">
        <v>1013213.5481222192</v>
      </c>
      <c r="AB24" s="120">
        <v>136402.26799039776</v>
      </c>
      <c r="AC24" s="36">
        <v>8783430.5394155309</v>
      </c>
      <c r="AD24" s="36">
        <v>1123952.9056160515</v>
      </c>
      <c r="AE24" s="120">
        <f t="shared" si="10"/>
        <v>9796644.0875377506</v>
      </c>
      <c r="AF24" s="122">
        <f t="shared" si="11"/>
        <v>1260355.1736064493</v>
      </c>
      <c r="AH24" s="120">
        <f t="shared" si="24"/>
        <v>7402.628200000152</v>
      </c>
      <c r="AI24" s="119">
        <f t="shared" si="25"/>
        <v>46173.343200000934</v>
      </c>
      <c r="AJ24" s="69">
        <f t="shared" si="13"/>
        <v>5.8734461166354132E-3</v>
      </c>
      <c r="AK24" s="121">
        <f t="shared" si="26"/>
        <v>7.4210510000001229E-3</v>
      </c>
    </row>
    <row r="25" spans="2:37" x14ac:dyDescent="0.15">
      <c r="B25" s="36">
        <v>2030</v>
      </c>
      <c r="C25" s="120">
        <v>595703.04365318897</v>
      </c>
      <c r="D25" s="120">
        <v>46554.50817275024</v>
      </c>
      <c r="E25" s="125">
        <v>1742574.0000000002</v>
      </c>
      <c r="F25" s="124">
        <v>169887.21775025316</v>
      </c>
      <c r="G25" s="120">
        <f t="shared" si="0"/>
        <v>2338277.0436531892</v>
      </c>
      <c r="H25" s="120">
        <f t="shared" si="1"/>
        <v>216441.7259230034</v>
      </c>
      <c r="J25" s="123">
        <f t="shared" si="18"/>
        <v>52084.099999999627</v>
      </c>
      <c r="K25" s="120">
        <f t="shared" si="19"/>
        <v>297967.37999999523</v>
      </c>
      <c r="L25" s="69">
        <f t="shared" si="3"/>
        <v>0.24063798132217784</v>
      </c>
      <c r="M25" s="121">
        <f t="shared" si="20"/>
        <v>0.25001150000000649</v>
      </c>
      <c r="N25" s="69"/>
      <c r="O25" s="120">
        <v>40299.012119320527</v>
      </c>
      <c r="P25" s="120">
        <v>3059.8766116220067</v>
      </c>
      <c r="Q25" s="36">
        <v>110.247</v>
      </c>
      <c r="R25" s="36">
        <v>16.941016666666641</v>
      </c>
      <c r="S25" s="122">
        <f t="shared" si="5"/>
        <v>404092591.1932053</v>
      </c>
      <c r="T25" s="122">
        <f t="shared" si="6"/>
        <v>30768176.282886732</v>
      </c>
      <c r="V25" s="120">
        <f t="shared" si="21"/>
        <v>29945.860000000335</v>
      </c>
      <c r="W25" s="119">
        <f t="shared" si="22"/>
        <v>144111.70800000243</v>
      </c>
      <c r="X25" s="69">
        <f t="shared" si="8"/>
        <v>9.7327380487793912E-4</v>
      </c>
      <c r="Y25" s="121">
        <f t="shared" si="23"/>
        <v>9.4756900000003697E-4</v>
      </c>
      <c r="AA25" s="120">
        <v>1055716.1119028132</v>
      </c>
      <c r="AB25" s="120">
        <v>138232.430458638</v>
      </c>
      <c r="AC25" s="36">
        <v>8836066.223374581</v>
      </c>
      <c r="AD25" s="36">
        <v>1047689.9881497975</v>
      </c>
      <c r="AE25" s="120">
        <f t="shared" si="10"/>
        <v>9891782.3352773935</v>
      </c>
      <c r="AF25" s="122">
        <f t="shared" si="11"/>
        <v>1185922.4186084354</v>
      </c>
      <c r="AH25" s="120">
        <f t="shared" si="24"/>
        <v>8022.9740000001621</v>
      </c>
      <c r="AI25" s="119">
        <f t="shared" si="25"/>
        <v>54196.317200001096</v>
      </c>
      <c r="AJ25" s="69">
        <f t="shared" si="13"/>
        <v>6.7651760976188829E-3</v>
      </c>
      <c r="AK25" s="121">
        <f t="shared" si="26"/>
        <v>7.8445700000000507E-3</v>
      </c>
    </row>
    <row r="26" spans="2:37" x14ac:dyDescent="0.15">
      <c r="B26" s="36">
        <v>2031</v>
      </c>
      <c r="C26" s="120">
        <v>596571.34296877333</v>
      </c>
      <c r="D26" s="120">
        <v>64378.650573204271</v>
      </c>
      <c r="E26" s="125">
        <v>1742574.0000000002</v>
      </c>
      <c r="F26" s="124">
        <v>177754.64884456829</v>
      </c>
      <c r="G26" s="120">
        <f t="shared" si="0"/>
        <v>2339145.3429687736</v>
      </c>
      <c r="H26" s="120">
        <f t="shared" si="1"/>
        <v>242133.29941777256</v>
      </c>
      <c r="J26" s="123">
        <f t="shared" si="18"/>
        <v>56943.669999999925</v>
      </c>
      <c r="K26" s="120">
        <f t="shared" si="19"/>
        <v>354882.04999999516</v>
      </c>
      <c r="L26" s="69">
        <f t="shared" si="3"/>
        <v>0.23517488150917365</v>
      </c>
      <c r="M26" s="121">
        <f t="shared" si="20"/>
        <v>0.27246055000000524</v>
      </c>
      <c r="N26" s="69"/>
      <c r="O26" s="120">
        <v>40966.430576262144</v>
      </c>
      <c r="P26" s="120">
        <v>3086.0504703579209</v>
      </c>
      <c r="Q26" s="36">
        <v>110.247</v>
      </c>
      <c r="R26" s="36">
        <v>17.084316666666695</v>
      </c>
      <c r="S26" s="122">
        <f t="shared" si="5"/>
        <v>410766775.76262146</v>
      </c>
      <c r="T26" s="122">
        <f t="shared" si="6"/>
        <v>31031347.870245878</v>
      </c>
      <c r="V26" s="120">
        <f t="shared" si="21"/>
        <v>33429.222000000067</v>
      </c>
      <c r="W26" s="119">
        <f t="shared" si="22"/>
        <v>175461.96600000188</v>
      </c>
      <c r="X26" s="69">
        <f t="shared" si="8"/>
        <v>1.0772726386162996E-3</v>
      </c>
      <c r="Y26" s="121">
        <f t="shared" si="23"/>
        <v>1.0738613000000341E-3</v>
      </c>
      <c r="AA26" s="120">
        <v>1098802.9694254152</v>
      </c>
      <c r="AB26" s="120">
        <v>137163.45548060734</v>
      </c>
      <c r="AC26" s="36">
        <v>8887584.1757232081</v>
      </c>
      <c r="AD26" s="36">
        <v>939485.44594308455</v>
      </c>
      <c r="AE26" s="120">
        <f t="shared" si="10"/>
        <v>9986387.1451486237</v>
      </c>
      <c r="AF26" s="122">
        <f t="shared" si="11"/>
        <v>1076648.9014236918</v>
      </c>
      <c r="AH26" s="120">
        <f t="shared" si="24"/>
        <v>8643.3198000001721</v>
      </c>
      <c r="AI26" s="119">
        <f t="shared" si="25"/>
        <v>62839.637000001268</v>
      </c>
      <c r="AJ26" s="69">
        <f t="shared" si="13"/>
        <v>8.0279836709727728E-3</v>
      </c>
      <c r="AK26" s="121">
        <f t="shared" si="26"/>
        <v>8.2680890000000895E-3</v>
      </c>
    </row>
    <row r="27" spans="2:37" x14ac:dyDescent="0.15">
      <c r="B27" s="36">
        <v>2032</v>
      </c>
      <c r="C27" s="120">
        <v>597415.16805669339</v>
      </c>
      <c r="D27" s="120">
        <v>53305.840057504247</v>
      </c>
      <c r="E27" s="125">
        <v>1742574.0000000002</v>
      </c>
      <c r="F27" s="124">
        <v>177865.08585750451</v>
      </c>
      <c r="G27" s="120">
        <f t="shared" si="0"/>
        <v>2339989.1680566939</v>
      </c>
      <c r="H27" s="120">
        <f t="shared" si="1"/>
        <v>231170.92591500876</v>
      </c>
      <c r="J27" s="123">
        <f t="shared" si="18"/>
        <v>61803.240000000224</v>
      </c>
      <c r="K27" s="120">
        <f t="shared" si="19"/>
        <v>416570.28999999538</v>
      </c>
      <c r="L27" s="69">
        <f t="shared" si="3"/>
        <v>0.26734867179068411</v>
      </c>
      <c r="M27" s="121">
        <f t="shared" si="20"/>
        <v>0.29490960000000399</v>
      </c>
      <c r="N27" s="69"/>
      <c r="O27" s="120">
        <v>41502.161414973692</v>
      </c>
      <c r="P27" s="120">
        <v>3118.5915082301217</v>
      </c>
      <c r="Q27" s="36">
        <v>110.247</v>
      </c>
      <c r="R27" s="36">
        <v>16.688216666666648</v>
      </c>
      <c r="S27" s="122">
        <f t="shared" si="5"/>
        <v>416124084.14973694</v>
      </c>
      <c r="T27" s="122">
        <f t="shared" si="6"/>
        <v>31352797.248967882</v>
      </c>
      <c r="V27" s="120">
        <f t="shared" si="21"/>
        <v>36912.583999999799</v>
      </c>
      <c r="W27" s="119">
        <f t="shared" si="22"/>
        <v>206812.22400000133</v>
      </c>
      <c r="X27" s="69">
        <f t="shared" si="8"/>
        <v>1.1773298473779701E-3</v>
      </c>
      <c r="Y27" s="121">
        <f t="shared" si="23"/>
        <v>1.2001536000000312E-3</v>
      </c>
      <c r="AA27" s="120">
        <v>1142320.8665719801</v>
      </c>
      <c r="AB27" s="120">
        <v>135372.99020377221</v>
      </c>
      <c r="AC27" s="36">
        <v>8937868.6326410081</v>
      </c>
      <c r="AD27" s="36">
        <v>849070.79732001945</v>
      </c>
      <c r="AE27" s="120">
        <f t="shared" si="10"/>
        <v>10080189.499212988</v>
      </c>
      <c r="AF27" s="122">
        <f t="shared" si="11"/>
        <v>984443.78752379166</v>
      </c>
      <c r="AH27" s="120">
        <f t="shared" si="24"/>
        <v>9263.6656000001822</v>
      </c>
      <c r="AI27" s="119">
        <f t="shared" si="25"/>
        <v>71170.302600001451</v>
      </c>
      <c r="AJ27" s="69">
        <f t="shared" si="13"/>
        <v>9.4100503425405598E-3</v>
      </c>
      <c r="AK27" s="121">
        <f t="shared" si="26"/>
        <v>8.6916080000001283E-3</v>
      </c>
    </row>
    <row r="28" spans="2:37" x14ac:dyDescent="0.15">
      <c r="B28" s="36">
        <v>2033</v>
      </c>
      <c r="C28" s="120">
        <v>598240.27112777077</v>
      </c>
      <c r="D28" s="120">
        <v>63676.301117631374</v>
      </c>
      <c r="E28" s="125">
        <v>1742574.0000000002</v>
      </c>
      <c r="F28" s="124">
        <v>171749.67404167214</v>
      </c>
      <c r="G28" s="120">
        <f t="shared" si="0"/>
        <v>2340814.2711277711</v>
      </c>
      <c r="H28" s="120">
        <f t="shared" si="1"/>
        <v>235425.97515930352</v>
      </c>
      <c r="J28" s="123">
        <f t="shared" si="18"/>
        <v>66662.809999998659</v>
      </c>
      <c r="K28" s="120">
        <f t="shared" si="19"/>
        <v>482796.09999999404</v>
      </c>
      <c r="L28" s="69">
        <f t="shared" si="3"/>
        <v>0.28315826218789386</v>
      </c>
      <c r="M28" s="121">
        <f t="shared" si="20"/>
        <v>0.31735865000000274</v>
      </c>
      <c r="N28" s="69"/>
      <c r="O28" s="120">
        <v>41922.915194954738</v>
      </c>
      <c r="P28" s="120">
        <v>3150.8534070139794</v>
      </c>
      <c r="Q28" s="36">
        <v>110.247</v>
      </c>
      <c r="R28" s="36">
        <v>2.9605000000000103</v>
      </c>
      <c r="S28" s="122">
        <f t="shared" si="5"/>
        <v>420331621.94954741</v>
      </c>
      <c r="T28" s="122">
        <f t="shared" si="6"/>
        <v>31538139.070139796</v>
      </c>
      <c r="V28" s="120">
        <f t="shared" si="21"/>
        <v>40395.946000000462</v>
      </c>
      <c r="W28" s="119">
        <f t="shared" si="22"/>
        <v>238162.48200000171</v>
      </c>
      <c r="X28" s="69">
        <f t="shared" si="8"/>
        <v>1.2808601645823551E-3</v>
      </c>
      <c r="Y28" s="121">
        <f t="shared" si="23"/>
        <v>1.3264459000000284E-3</v>
      </c>
      <c r="AA28" s="120">
        <v>1186496.0234071284</v>
      </c>
      <c r="AB28" s="120">
        <v>135163.39044429618</v>
      </c>
      <c r="AC28" s="36">
        <v>8987245.7710331734</v>
      </c>
      <c r="AD28" s="36">
        <v>803440.98044702783</v>
      </c>
      <c r="AE28" s="120">
        <f t="shared" si="10"/>
        <v>10173741.794440301</v>
      </c>
      <c r="AF28" s="122">
        <f t="shared" si="11"/>
        <v>938604.37089132401</v>
      </c>
      <c r="AH28" s="120">
        <f t="shared" si="24"/>
        <v>9884.0114000001922</v>
      </c>
      <c r="AI28" s="119">
        <f t="shared" si="25"/>
        <v>80650.314000001643</v>
      </c>
      <c r="AJ28" s="69">
        <f t="shared" si="13"/>
        <v>1.0530540562701694E-2</v>
      </c>
      <c r="AK28" s="121">
        <f t="shared" si="26"/>
        <v>9.1151270000000562E-3</v>
      </c>
    </row>
    <row r="29" spans="2:37" x14ac:dyDescent="0.15">
      <c r="B29" s="36">
        <v>2034</v>
      </c>
      <c r="C29" s="120">
        <v>599044.9990964242</v>
      </c>
      <c r="D29" s="120">
        <v>48769.71004289866</v>
      </c>
      <c r="E29" s="125">
        <v>1742574.0000000002</v>
      </c>
      <c r="F29" s="124">
        <v>162472.8341498794</v>
      </c>
      <c r="G29" s="120">
        <f t="shared" si="0"/>
        <v>2341618.9990964243</v>
      </c>
      <c r="H29" s="120">
        <f t="shared" si="1"/>
        <v>211242.54419277806</v>
      </c>
      <c r="J29" s="123">
        <f t="shared" si="18"/>
        <v>71522.379999998957</v>
      </c>
      <c r="K29" s="120">
        <f t="shared" si="19"/>
        <v>553142.479999993</v>
      </c>
      <c r="L29" s="69">
        <f t="shared" si="3"/>
        <v>0.33857942903172134</v>
      </c>
      <c r="M29" s="121">
        <f t="shared" si="20"/>
        <v>0.33980770000000859</v>
      </c>
      <c r="N29" s="69"/>
      <c r="O29" s="120">
        <v>42240.835350808069</v>
      </c>
      <c r="P29" s="120">
        <v>3168.6943635924763</v>
      </c>
      <c r="Q29" s="36">
        <v>110.247</v>
      </c>
      <c r="R29" s="36">
        <v>17.473816666666664</v>
      </c>
      <c r="S29" s="122">
        <f t="shared" si="5"/>
        <v>423510823.50808072</v>
      </c>
      <c r="T29" s="122">
        <f t="shared" si="6"/>
        <v>31861681.802591428</v>
      </c>
      <c r="V29" s="120">
        <f t="shared" si="21"/>
        <v>43879.308000000194</v>
      </c>
      <c r="W29" s="119">
        <f t="shared" si="22"/>
        <v>269512.74000000209</v>
      </c>
      <c r="X29" s="69">
        <f t="shared" si="8"/>
        <v>1.3771811629991022E-3</v>
      </c>
      <c r="Y29" s="121">
        <f t="shared" si="23"/>
        <v>1.4527382000000255E-3</v>
      </c>
      <c r="AA29" s="120">
        <v>1231184.7283685815</v>
      </c>
      <c r="AB29" s="120">
        <v>137712.87946641375</v>
      </c>
      <c r="AC29" s="36">
        <v>9035602.8501678053</v>
      </c>
      <c r="AD29" s="36">
        <v>807353.15694056265</v>
      </c>
      <c r="AE29" s="120">
        <f t="shared" si="10"/>
        <v>10266787.578536388</v>
      </c>
      <c r="AF29" s="122">
        <f t="shared" si="11"/>
        <v>945066.0364069764</v>
      </c>
      <c r="AH29" s="120">
        <f t="shared" si="24"/>
        <v>10504.357200000202</v>
      </c>
      <c r="AI29" s="119">
        <f t="shared" si="25"/>
        <v>89140.671200001845</v>
      </c>
      <c r="AJ29" s="69">
        <f t="shared" si="13"/>
        <v>1.111494519466223E-2</v>
      </c>
      <c r="AK29" s="121">
        <f t="shared" si="26"/>
        <v>9.538646000000095E-3</v>
      </c>
    </row>
    <row r="30" spans="2:37" x14ac:dyDescent="0.15">
      <c r="B30" s="36">
        <v>2035</v>
      </c>
      <c r="C30" s="120">
        <v>599829.2573309727</v>
      </c>
      <c r="D30" s="120">
        <v>25841.22955218656</v>
      </c>
      <c r="E30" s="125">
        <v>1742574.0000000002</v>
      </c>
      <c r="F30" s="124">
        <v>152775.00690761767</v>
      </c>
      <c r="G30" s="120">
        <f t="shared" si="0"/>
        <v>2342403.2573309727</v>
      </c>
      <c r="H30" s="120">
        <f t="shared" si="1"/>
        <v>178616.23645980423</v>
      </c>
      <c r="I30" s="126">
        <v>600000</v>
      </c>
      <c r="J30" s="123">
        <f t="shared" si="18"/>
        <v>76381.949999999255</v>
      </c>
      <c r="K30" s="120">
        <f t="shared" si="19"/>
        <v>628173.42999999225</v>
      </c>
      <c r="L30" s="69">
        <f t="shared" si="3"/>
        <v>0.42763161688936513</v>
      </c>
      <c r="M30" s="121">
        <f t="shared" si="20"/>
        <v>0.36225675000000734</v>
      </c>
      <c r="N30" s="69"/>
      <c r="O30" s="120">
        <v>42468.937346949322</v>
      </c>
      <c r="P30" s="120">
        <v>3169.2100318395824</v>
      </c>
      <c r="Q30" s="36">
        <v>110.247</v>
      </c>
      <c r="R30" s="36">
        <v>20.79891666666667</v>
      </c>
      <c r="S30" s="122">
        <f t="shared" si="5"/>
        <v>425791843.46949327</v>
      </c>
      <c r="T30" s="122">
        <f t="shared" si="6"/>
        <v>31900089.485062491</v>
      </c>
      <c r="U30" s="126">
        <v>320000</v>
      </c>
      <c r="V30" s="120">
        <f t="shared" si="21"/>
        <v>47362.669999999925</v>
      </c>
      <c r="W30" s="119">
        <f t="shared" si="22"/>
        <v>300862.99800000153</v>
      </c>
      <c r="X30" s="69">
        <f t="shared" si="8"/>
        <v>1.4847190325963796E-3</v>
      </c>
      <c r="Y30" s="121">
        <f t="shared" si="23"/>
        <v>1.5790305000000227E-3</v>
      </c>
      <c r="AA30" s="120">
        <v>1276316.3451286487</v>
      </c>
      <c r="AB30" s="120">
        <v>143648.33105645305</v>
      </c>
      <c r="AC30" s="36">
        <v>9082919.8026507888</v>
      </c>
      <c r="AD30" s="36">
        <v>853927.38757880311</v>
      </c>
      <c r="AE30" s="120">
        <f t="shared" si="10"/>
        <v>10359236.147779437</v>
      </c>
      <c r="AF30" s="122">
        <f t="shared" si="11"/>
        <v>997575.71863525617</v>
      </c>
      <c r="AG30" s="126">
        <v>100000</v>
      </c>
      <c r="AH30" s="120">
        <f t="shared" si="24"/>
        <v>11124.703000000212</v>
      </c>
      <c r="AI30" s="119">
        <f t="shared" si="25"/>
        <v>100119.37420000206</v>
      </c>
      <c r="AJ30" s="69">
        <f t="shared" si="13"/>
        <v>1.1151737950498111E-2</v>
      </c>
      <c r="AK30" s="121">
        <f t="shared" si="26"/>
        <v>9.9621650000001338E-3</v>
      </c>
    </row>
    <row r="31" spans="2:37" x14ac:dyDescent="0.15">
      <c r="B31" s="36">
        <v>2036</v>
      </c>
      <c r="C31" s="120">
        <v>600598.37143170147</v>
      </c>
      <c r="D31" s="120">
        <v>70274.726888357778</v>
      </c>
      <c r="E31" s="125">
        <v>1742574.0000000002</v>
      </c>
      <c r="F31" s="124">
        <v>144613.74388742214</v>
      </c>
      <c r="G31" s="120">
        <f t="shared" si="0"/>
        <v>2343172.3714317018</v>
      </c>
      <c r="H31" s="120">
        <f t="shared" si="1"/>
        <v>214888.47077577992</v>
      </c>
      <c r="J31" s="123">
        <f t="shared" si="18"/>
        <v>81241.519999999553</v>
      </c>
      <c r="K31" s="120">
        <f t="shared" si="19"/>
        <v>708367.9499999918</v>
      </c>
      <c r="L31" s="69">
        <f t="shared" si="3"/>
        <v>0.37806365184090779</v>
      </c>
      <c r="M31" s="121">
        <f t="shared" si="20"/>
        <v>0.38470580000000609</v>
      </c>
      <c r="N31" s="69"/>
      <c r="O31" s="120">
        <v>42620.8657042618</v>
      </c>
      <c r="P31" s="120">
        <v>3155.3009222336113</v>
      </c>
      <c r="Q31" s="36">
        <v>110.247</v>
      </c>
      <c r="R31" s="36">
        <v>18.300216666666671</v>
      </c>
      <c r="S31" s="122">
        <f t="shared" si="5"/>
        <v>427311127.04261804</v>
      </c>
      <c r="T31" s="122">
        <f t="shared" si="6"/>
        <v>31736011.389002778</v>
      </c>
      <c r="V31" s="120">
        <f t="shared" si="21"/>
        <v>50846.032000000589</v>
      </c>
      <c r="W31" s="119">
        <f t="shared" si="22"/>
        <v>332213.25600000191</v>
      </c>
      <c r="X31" s="69">
        <f t="shared" si="8"/>
        <v>1.602155714426667E-3</v>
      </c>
      <c r="Y31" s="121">
        <f t="shared" si="23"/>
        <v>1.7053228000000198E-3</v>
      </c>
      <c r="AA31" s="120">
        <v>1322138.9201512709</v>
      </c>
      <c r="AB31" s="120">
        <v>152502.86630557268</v>
      </c>
      <c r="AC31" s="36">
        <v>9129505.0707791988</v>
      </c>
      <c r="AD31" s="36">
        <v>926613.34559672605</v>
      </c>
      <c r="AE31" s="120">
        <f t="shared" si="10"/>
        <v>10451643.99093047</v>
      </c>
      <c r="AF31" s="122">
        <f t="shared" si="11"/>
        <v>1079116.2119022987</v>
      </c>
      <c r="AH31" s="120">
        <f t="shared" si="24"/>
        <v>11745.048800000222</v>
      </c>
      <c r="AI31" s="119">
        <f t="shared" si="25"/>
        <v>111039.42300000228</v>
      </c>
      <c r="AJ31" s="69">
        <f t="shared" si="13"/>
        <v>1.088395176576552E-2</v>
      </c>
      <c r="AK31" s="121">
        <f t="shared" si="26"/>
        <v>1.0385684000000062E-2</v>
      </c>
    </row>
    <row r="32" spans="2:37" x14ac:dyDescent="0.15">
      <c r="B32" s="36">
        <v>2037</v>
      </c>
      <c r="C32" s="120">
        <v>601349.33712097339</v>
      </c>
      <c r="D32" s="120">
        <v>107714.82026211615</v>
      </c>
      <c r="E32" s="125">
        <v>1742574.0000000002</v>
      </c>
      <c r="F32" s="124">
        <v>139439.82654064312</v>
      </c>
      <c r="G32" s="120">
        <f t="shared" si="0"/>
        <v>2343923.3371209735</v>
      </c>
      <c r="H32" s="120">
        <f t="shared" si="1"/>
        <v>247154.64680275926</v>
      </c>
      <c r="J32" s="123">
        <f t="shared" si="18"/>
        <v>86101.089999999851</v>
      </c>
      <c r="K32" s="120">
        <f t="shared" si="19"/>
        <v>781261.49999999255</v>
      </c>
      <c r="L32" s="69">
        <f t="shared" si="3"/>
        <v>0.34836929474650935</v>
      </c>
      <c r="M32" s="121">
        <f t="shared" si="20"/>
        <v>0.40715485000000484</v>
      </c>
      <c r="N32" s="69"/>
      <c r="O32" s="120">
        <v>42706.617684086385</v>
      </c>
      <c r="P32" s="120">
        <v>3129.0747381240872</v>
      </c>
      <c r="Q32" s="36">
        <v>110.247</v>
      </c>
      <c r="R32" s="36">
        <v>16.941016666666641</v>
      </c>
      <c r="S32" s="122">
        <f t="shared" si="5"/>
        <v>428168646.84086388</v>
      </c>
      <c r="T32" s="122">
        <f t="shared" si="6"/>
        <v>31460157.547907539</v>
      </c>
      <c r="V32" s="120">
        <f t="shared" si="21"/>
        <v>54329.39400000032</v>
      </c>
      <c r="W32" s="119">
        <f t="shared" si="22"/>
        <v>363563.51400000229</v>
      </c>
      <c r="X32" s="69">
        <f t="shared" si="8"/>
        <v>1.7269269525197863E-3</v>
      </c>
      <c r="Y32" s="121">
        <f t="shared" si="23"/>
        <v>1.8316151000000169E-3</v>
      </c>
      <c r="AA32" s="120">
        <v>1368427.2025641876</v>
      </c>
      <c r="AB32" s="120">
        <v>162137.77144250809</v>
      </c>
      <c r="AC32" s="36">
        <v>9175165.8344062846</v>
      </c>
      <c r="AD32" s="36">
        <v>1000206.5243247291</v>
      </c>
      <c r="AE32" s="120">
        <f t="shared" si="10"/>
        <v>10543593.036970472</v>
      </c>
      <c r="AF32" s="122">
        <f t="shared" si="11"/>
        <v>1162344.2957672372</v>
      </c>
      <c r="AH32" s="120">
        <f t="shared" si="24"/>
        <v>12365.3946</v>
      </c>
      <c r="AI32" s="119">
        <f t="shared" si="25"/>
        <v>120344.6100000022</v>
      </c>
      <c r="AJ32" s="69">
        <f t="shared" si="13"/>
        <v>1.0638323468381528E-2</v>
      </c>
      <c r="AK32" s="121">
        <f t="shared" si="26"/>
        <v>1.08092030000001E-2</v>
      </c>
    </row>
    <row r="33" spans="2:37" x14ac:dyDescent="0.15">
      <c r="B33" s="36">
        <v>2038</v>
      </c>
      <c r="C33" s="120">
        <v>602086.56806167925</v>
      </c>
      <c r="D33" s="120">
        <v>70145.933568785898</v>
      </c>
      <c r="E33" s="125">
        <v>1742574.0000000002</v>
      </c>
      <c r="F33" s="124">
        <v>138102.04024373926</v>
      </c>
      <c r="G33" s="120">
        <f t="shared" si="0"/>
        <v>2344660.5680616796</v>
      </c>
      <c r="H33" s="120">
        <f t="shared" si="1"/>
        <v>208247.97381252516</v>
      </c>
      <c r="J33" s="123">
        <f t="shared" si="18"/>
        <v>90960.660000000149</v>
      </c>
      <c r="K33" s="120">
        <f t="shared" si="19"/>
        <v>854155.04999999329</v>
      </c>
      <c r="L33" s="69">
        <f t="shared" si="3"/>
        <v>0.43679013214259316</v>
      </c>
      <c r="M33" s="121">
        <f t="shared" si="20"/>
        <v>0.42960390000000359</v>
      </c>
      <c r="N33" s="69"/>
      <c r="O33" s="120">
        <v>42736.869606295812</v>
      </c>
      <c r="P33" s="120">
        <v>3097.421880944079</v>
      </c>
      <c r="Q33" s="36">
        <v>110.247</v>
      </c>
      <c r="R33" s="36">
        <v>17.084316666666695</v>
      </c>
      <c r="S33" s="122">
        <f t="shared" si="5"/>
        <v>428471166.06295812</v>
      </c>
      <c r="T33" s="122">
        <f t="shared" si="6"/>
        <v>31145061.97610746</v>
      </c>
      <c r="V33" s="120">
        <f t="shared" si="21"/>
        <v>57812.756000000052</v>
      </c>
      <c r="W33" s="119">
        <f t="shared" si="22"/>
        <v>394913.77200000174</v>
      </c>
      <c r="X33" s="69">
        <f t="shared" si="8"/>
        <v>1.8562414820156845E-3</v>
      </c>
      <c r="Y33" s="121">
        <f t="shared" si="23"/>
        <v>1.9579074000000141E-3</v>
      </c>
      <c r="AA33" s="120">
        <v>1415401.0840065249</v>
      </c>
      <c r="AB33" s="120">
        <v>171207.79006728274</v>
      </c>
      <c r="AC33" s="36">
        <v>9220159.4228027817</v>
      </c>
      <c r="AD33" s="36">
        <v>1050890.2098171245</v>
      </c>
      <c r="AE33" s="120">
        <f t="shared" si="10"/>
        <v>10635560.506809307</v>
      </c>
      <c r="AF33" s="122">
        <f t="shared" si="11"/>
        <v>1222097.9998844073</v>
      </c>
      <c r="AH33" s="120">
        <f t="shared" si="24"/>
        <v>12985.74040000001</v>
      </c>
      <c r="AI33" s="119">
        <f t="shared" si="25"/>
        <v>129649.79700000212</v>
      </c>
      <c r="AJ33" s="69">
        <f t="shared" si="13"/>
        <v>1.0625776657214292E-2</v>
      </c>
      <c r="AK33" s="121">
        <f t="shared" si="26"/>
        <v>1.1232722000000028E-2</v>
      </c>
    </row>
    <row r="34" spans="2:37" x14ac:dyDescent="0.15">
      <c r="B34" s="36">
        <v>2039</v>
      </c>
      <c r="C34" s="120">
        <v>602808.63565023907</v>
      </c>
      <c r="D34" s="120">
        <v>52146.915414803894</v>
      </c>
      <c r="E34" s="125">
        <v>1742574.0000000002</v>
      </c>
      <c r="F34" s="124">
        <v>140561.70237339893</v>
      </c>
      <c r="G34" s="120">
        <f t="shared" si="0"/>
        <v>2345382.6356502394</v>
      </c>
      <c r="H34" s="120">
        <f t="shared" si="1"/>
        <v>192708.61778820283</v>
      </c>
      <c r="J34" s="123">
        <f t="shared" si="18"/>
        <v>95820.229999998584</v>
      </c>
      <c r="K34" s="120">
        <f t="shared" si="19"/>
        <v>927048.59999999218</v>
      </c>
      <c r="L34" s="69">
        <f t="shared" si="3"/>
        <v>0.4972285676674314</v>
      </c>
      <c r="M34" s="121">
        <f t="shared" si="20"/>
        <v>0.45205295000000234</v>
      </c>
      <c r="N34" s="69"/>
      <c r="O34" s="120">
        <v>42719.893069946716</v>
      </c>
      <c r="P34" s="120">
        <v>3063.0553979756296</v>
      </c>
      <c r="Q34" s="36">
        <v>110.247</v>
      </c>
      <c r="R34" s="36">
        <v>16.688216666666648</v>
      </c>
      <c r="S34" s="122">
        <f t="shared" si="5"/>
        <v>428301400.69946718</v>
      </c>
      <c r="T34" s="122">
        <f t="shared" si="6"/>
        <v>30797436.14642296</v>
      </c>
      <c r="V34" s="120">
        <f t="shared" si="21"/>
        <v>61296.117999999784</v>
      </c>
      <c r="W34" s="119">
        <f t="shared" si="22"/>
        <v>426264.03000000119</v>
      </c>
      <c r="X34" s="69">
        <f t="shared" si="8"/>
        <v>1.9902993777980173E-3</v>
      </c>
      <c r="Y34" s="121">
        <f t="shared" si="23"/>
        <v>2.0841997000000667E-3</v>
      </c>
      <c r="AA34" s="120">
        <v>1462929.8422450339</v>
      </c>
      <c r="AB34" s="120">
        <v>178100.50098629273</v>
      </c>
      <c r="AC34" s="36">
        <v>9264389.4630243592</v>
      </c>
      <c r="AD34" s="36">
        <v>1063914.4570521796</v>
      </c>
      <c r="AE34" s="120">
        <f t="shared" si="10"/>
        <v>10727319.305269394</v>
      </c>
      <c r="AF34" s="122">
        <f t="shared" si="11"/>
        <v>1242014.9580384723</v>
      </c>
      <c r="AH34" s="120">
        <f t="shared" si="24"/>
        <v>13606.08620000002</v>
      </c>
      <c r="AI34" s="119">
        <f t="shared" si="25"/>
        <v>138954.98400000203</v>
      </c>
      <c r="AJ34" s="69">
        <f t="shared" si="13"/>
        <v>1.0954848902535166E-2</v>
      </c>
      <c r="AK34" s="121">
        <f t="shared" si="26"/>
        <v>1.1656241000000067E-2</v>
      </c>
    </row>
    <row r="35" spans="2:37" x14ac:dyDescent="0.15">
      <c r="B35" s="36">
        <v>2040</v>
      </c>
      <c r="C35" s="120">
        <v>603515.26922718866</v>
      </c>
      <c r="D35" s="120">
        <v>47261.141749699833</v>
      </c>
      <c r="E35" s="125">
        <v>1742574.0000000002</v>
      </c>
      <c r="F35" s="124">
        <v>145865.05111100432</v>
      </c>
      <c r="G35" s="120">
        <f t="shared" si="0"/>
        <v>2346089.269227189</v>
      </c>
      <c r="H35" s="120">
        <f t="shared" si="1"/>
        <v>193126.19286070415</v>
      </c>
      <c r="J35" s="123">
        <f t="shared" si="18"/>
        <v>100679.79999999888</v>
      </c>
      <c r="K35" s="120">
        <f t="shared" si="19"/>
        <v>999942.14999999106</v>
      </c>
      <c r="L35" s="69">
        <f t="shared" si="3"/>
        <v>0.52131613277654187</v>
      </c>
      <c r="M35" s="121">
        <f t="shared" si="20"/>
        <v>0.4745020000000082</v>
      </c>
      <c r="N35" s="69"/>
      <c r="O35" s="120">
        <v>42663.220902883411</v>
      </c>
      <c r="P35" s="120">
        <v>3029.25096014671</v>
      </c>
      <c r="Q35" s="36">
        <v>110.247</v>
      </c>
      <c r="R35" s="36">
        <v>2.9605000000000103</v>
      </c>
      <c r="S35" s="122">
        <f t="shared" si="5"/>
        <v>427734679.02883416</v>
      </c>
      <c r="T35" s="122">
        <f t="shared" si="6"/>
        <v>30322114.601467103</v>
      </c>
      <c r="V35" s="120">
        <f t="shared" si="21"/>
        <v>64779.480000000447</v>
      </c>
      <c r="W35" s="119">
        <f t="shared" si="22"/>
        <v>457614.28800000157</v>
      </c>
      <c r="X35" s="69">
        <f t="shared" si="8"/>
        <v>2.1363773882995007E-3</v>
      </c>
      <c r="Y35" s="121">
        <f t="shared" si="23"/>
        <v>2.2104920000000639E-3</v>
      </c>
      <c r="AA35" s="120">
        <v>1510946.9873408903</v>
      </c>
      <c r="AB35" s="120">
        <v>182521.18544273311</v>
      </c>
      <c r="AC35" s="36">
        <v>9307829.641398374</v>
      </c>
      <c r="AD35" s="36">
        <v>1039998.4999881601</v>
      </c>
      <c r="AE35" s="120">
        <f t="shared" si="10"/>
        <v>10818776.628739264</v>
      </c>
      <c r="AF35" s="122">
        <f t="shared" si="11"/>
        <v>1222519.6854308932</v>
      </c>
      <c r="AH35" s="120">
        <f t="shared" si="24"/>
        <v>14226.43200000003</v>
      </c>
      <c r="AI35" s="119">
        <f t="shared" si="25"/>
        <v>148260.17100000195</v>
      </c>
      <c r="AJ35" s="69">
        <f t="shared" si="13"/>
        <v>1.1636975804594701E-2</v>
      </c>
      <c r="AK35" s="121">
        <f t="shared" si="26"/>
        <v>1.2079760000000106E-2</v>
      </c>
    </row>
    <row r="36" spans="2:37" x14ac:dyDescent="0.15">
      <c r="B36" s="36">
        <v>2041</v>
      </c>
      <c r="C36" s="120">
        <v>604210.08472816832</v>
      </c>
      <c r="D36" s="120">
        <v>65073.466074183933</v>
      </c>
      <c r="E36" s="125">
        <v>1742574.0000000002</v>
      </c>
      <c r="F36" s="124">
        <v>152409.96218222985</v>
      </c>
      <c r="G36" s="120">
        <f t="shared" si="0"/>
        <v>2346784.0847281683</v>
      </c>
      <c r="H36" s="120">
        <f t="shared" si="1"/>
        <v>217483.42825641378</v>
      </c>
      <c r="J36" s="123">
        <f t="shared" si="18"/>
        <v>105539.36999999918</v>
      </c>
      <c r="K36" s="120">
        <f t="shared" si="19"/>
        <v>1072835.6999999899</v>
      </c>
      <c r="L36" s="69">
        <f t="shared" si="3"/>
        <v>0.48527545682960205</v>
      </c>
      <c r="M36" s="121">
        <f t="shared" si="20"/>
        <v>0.49695105000000694</v>
      </c>
      <c r="N36" s="69"/>
      <c r="O36" s="120">
        <v>42573.612827272424</v>
      </c>
      <c r="P36" s="120">
        <v>2998.5554252442744</v>
      </c>
      <c r="Q36" s="36">
        <v>110.247</v>
      </c>
      <c r="R36" s="36">
        <v>17.473816666666664</v>
      </c>
      <c r="S36" s="122">
        <f t="shared" si="5"/>
        <v>426838598.27272427</v>
      </c>
      <c r="T36" s="122">
        <f t="shared" si="6"/>
        <v>30160292.419109412</v>
      </c>
      <c r="V36" s="120">
        <f t="shared" si="21"/>
        <v>68262.842000000179</v>
      </c>
      <c r="W36" s="119">
        <f t="shared" si="22"/>
        <v>488964.54600000195</v>
      </c>
      <c r="X36" s="69">
        <f t="shared" si="8"/>
        <v>2.2633348858630158E-3</v>
      </c>
      <c r="Y36" s="121">
        <f t="shared" si="23"/>
        <v>2.336784300000061E-3</v>
      </c>
      <c r="AA36" s="120">
        <v>1559653.6636452086</v>
      </c>
      <c r="AB36" s="120">
        <v>185297.03359857225</v>
      </c>
      <c r="AC36" s="36">
        <v>9350693.3410930168</v>
      </c>
      <c r="AD36" s="36">
        <v>993854.19848582149</v>
      </c>
      <c r="AE36" s="120">
        <f t="shared" si="10"/>
        <v>10910347.004738225</v>
      </c>
      <c r="AF36" s="122">
        <f t="shared" si="11"/>
        <v>1179151.2320843937</v>
      </c>
      <c r="AH36" s="120">
        <f t="shared" si="24"/>
        <v>14846.77780000004</v>
      </c>
      <c r="AI36" s="119">
        <f t="shared" si="25"/>
        <v>157565.35800000187</v>
      </c>
      <c r="AJ36" s="69">
        <f t="shared" si="13"/>
        <v>1.259107177775262E-2</v>
      </c>
      <c r="AK36" s="121">
        <f t="shared" si="26"/>
        <v>1.2503279000000034E-2</v>
      </c>
    </row>
    <row r="37" spans="2:37" x14ac:dyDescent="0.15">
      <c r="B37" s="36">
        <v>2042</v>
      </c>
      <c r="C37" s="120">
        <v>604892.44620122004</v>
      </c>
      <c r="D37" s="120">
        <v>53988.201530555962</v>
      </c>
      <c r="E37" s="125">
        <v>1742574.0000000002</v>
      </c>
      <c r="F37" s="124">
        <v>158400.98718045326</v>
      </c>
      <c r="G37" s="120">
        <f t="shared" si="0"/>
        <v>2347466.4462012202</v>
      </c>
      <c r="H37" s="120">
        <f t="shared" si="1"/>
        <v>212389.18871100922</v>
      </c>
      <c r="J37" s="123">
        <f t="shared" si="18"/>
        <v>110398.93999999948</v>
      </c>
      <c r="K37" s="120">
        <f t="shared" si="19"/>
        <v>1145729.2499999907</v>
      </c>
      <c r="L37" s="69">
        <f t="shared" si="3"/>
        <v>0.51979547862116271</v>
      </c>
      <c r="M37" s="121">
        <f t="shared" si="20"/>
        <v>0.51940010000000569</v>
      </c>
      <c r="N37" s="69"/>
      <c r="O37" s="120">
        <v>42456.436805676254</v>
      </c>
      <c r="P37" s="120">
        <v>2972.2991334592443</v>
      </c>
      <c r="Q37" s="36">
        <v>110.247</v>
      </c>
      <c r="R37" s="36">
        <v>20.79891666666667</v>
      </c>
      <c r="S37" s="122">
        <f t="shared" si="5"/>
        <v>425666838.05676258</v>
      </c>
      <c r="T37" s="122">
        <f t="shared" si="6"/>
        <v>29930980.501259111</v>
      </c>
      <c r="V37" s="120">
        <f t="shared" si="21"/>
        <v>71746.203999999911</v>
      </c>
      <c r="W37" s="119">
        <f t="shared" si="22"/>
        <v>520314.8040000014</v>
      </c>
      <c r="X37" s="69">
        <f t="shared" si="8"/>
        <v>2.3970549176289681E-3</v>
      </c>
      <c r="Y37" s="121">
        <f t="shared" si="23"/>
        <v>2.4630766000000581E-3</v>
      </c>
      <c r="AA37" s="120">
        <v>1608972.4895829114</v>
      </c>
      <c r="AB37" s="120">
        <v>187300.50467959093</v>
      </c>
      <c r="AC37" s="36">
        <v>9392933.9659588132</v>
      </c>
      <c r="AD37" s="36">
        <v>946398.41385077871</v>
      </c>
      <c r="AE37" s="120">
        <f t="shared" si="10"/>
        <v>11001906.455541724</v>
      </c>
      <c r="AF37" s="122">
        <f t="shared" si="11"/>
        <v>1133698.9185303696</v>
      </c>
      <c r="AH37" s="120">
        <f t="shared" si="24"/>
        <v>15467.12360000005</v>
      </c>
      <c r="AI37" s="119">
        <f t="shared" si="25"/>
        <v>166870.54500000179</v>
      </c>
      <c r="AJ37" s="69">
        <f t="shared" si="13"/>
        <v>1.3643061087197919E-2</v>
      </c>
      <c r="AK37" s="121">
        <f t="shared" si="26"/>
        <v>1.2926798000000073E-2</v>
      </c>
    </row>
    <row r="38" spans="2:37" x14ac:dyDescent="0.15">
      <c r="B38" s="36">
        <v>2043</v>
      </c>
      <c r="C38" s="120">
        <v>605562.54291852319</v>
      </c>
      <c r="D38" s="120">
        <v>64346.397834934527</v>
      </c>
      <c r="E38" s="125">
        <v>1742574.0000000002</v>
      </c>
      <c r="F38" s="124">
        <v>162364.28952547908</v>
      </c>
      <c r="G38" s="120">
        <f t="shared" si="0"/>
        <v>2348136.5429185233</v>
      </c>
      <c r="H38" s="120">
        <f t="shared" si="1"/>
        <v>226710.68736041361</v>
      </c>
      <c r="J38" s="123">
        <f t="shared" si="18"/>
        <v>115258.50999999978</v>
      </c>
      <c r="K38" s="120">
        <f t="shared" si="19"/>
        <v>1218622.7999999914</v>
      </c>
      <c r="L38" s="69">
        <f t="shared" si="3"/>
        <v>0.5083946916748896</v>
      </c>
      <c r="M38" s="121">
        <f t="shared" si="20"/>
        <v>0.54184915000000444</v>
      </c>
      <c r="N38" s="69"/>
      <c r="O38" s="120">
        <v>42316.340636816574</v>
      </c>
      <c r="P38" s="120">
        <v>2951.7289685276482</v>
      </c>
      <c r="Q38" s="36">
        <v>110.247</v>
      </c>
      <c r="R38" s="36">
        <v>18.300216666666671</v>
      </c>
      <c r="S38" s="122">
        <f t="shared" si="5"/>
        <v>424265876.36816579</v>
      </c>
      <c r="T38" s="122">
        <f t="shared" si="6"/>
        <v>29700291.851943146</v>
      </c>
      <c r="V38" s="120">
        <f t="shared" si="21"/>
        <v>75229.566000000574</v>
      </c>
      <c r="W38" s="119">
        <f t="shared" si="22"/>
        <v>551665.06200000178</v>
      </c>
      <c r="X38" s="69">
        <f t="shared" si="8"/>
        <v>2.532957129681494E-3</v>
      </c>
      <c r="Y38" s="121">
        <f t="shared" si="23"/>
        <v>2.5893689000000553E-3</v>
      </c>
      <c r="AA38" s="120">
        <v>1658880.0083948998</v>
      </c>
      <c r="AB38" s="120">
        <v>189825.61330231186</v>
      </c>
      <c r="AC38" s="36">
        <v>9434555.740249183</v>
      </c>
      <c r="AD38" s="36">
        <v>916218.64477330819</v>
      </c>
      <c r="AE38" s="120">
        <f t="shared" si="10"/>
        <v>11093435.748644084</v>
      </c>
      <c r="AF38" s="122">
        <f t="shared" si="11"/>
        <v>1106044.25807562</v>
      </c>
      <c r="AH38" s="120">
        <f t="shared" si="24"/>
        <v>16087.46940000006</v>
      </c>
      <c r="AI38" s="119">
        <f t="shared" si="25"/>
        <v>176175.73200000171</v>
      </c>
      <c r="AJ38" s="69">
        <f t="shared" si="13"/>
        <v>1.454505032917061E-2</v>
      </c>
      <c r="AK38" s="121">
        <f t="shared" si="26"/>
        <v>1.3350317000000111E-2</v>
      </c>
    </row>
    <row r="39" spans="2:37" x14ac:dyDescent="0.15">
      <c r="B39" s="36">
        <v>2044</v>
      </c>
      <c r="C39" s="120">
        <v>606221.40761523007</v>
      </c>
      <c r="D39" s="120">
        <v>49428.574739605538</v>
      </c>
      <c r="E39" s="125">
        <v>1742574.0000000002</v>
      </c>
      <c r="F39" s="124">
        <v>163539.25672068144</v>
      </c>
      <c r="G39" s="120">
        <f t="shared" si="0"/>
        <v>2348795.4076152304</v>
      </c>
      <c r="H39" s="120">
        <f t="shared" si="1"/>
        <v>212967.83146028698</v>
      </c>
      <c r="J39" s="123">
        <f t="shared" si="18"/>
        <v>120118.08000000007</v>
      </c>
      <c r="K39" s="120">
        <f t="shared" si="19"/>
        <v>1291516.3499999922</v>
      </c>
      <c r="L39" s="69">
        <f t="shared" si="3"/>
        <v>0.56401982955063801</v>
      </c>
      <c r="M39" s="121">
        <f t="shared" si="20"/>
        <v>0.56429820000000319</v>
      </c>
      <c r="N39" s="69"/>
      <c r="O39" s="120">
        <v>42157.283920400638</v>
      </c>
      <c r="P39" s="120">
        <v>2937.1768607451158</v>
      </c>
      <c r="Q39" s="36">
        <v>110.247</v>
      </c>
      <c r="R39" s="36">
        <v>16.941016666666641</v>
      </c>
      <c r="S39" s="122">
        <f t="shared" si="5"/>
        <v>422675309.20400643</v>
      </c>
      <c r="T39" s="122">
        <f t="shared" si="6"/>
        <v>29541178.774117824</v>
      </c>
      <c r="V39" s="120">
        <f t="shared" si="21"/>
        <v>78712.928000000305</v>
      </c>
      <c r="W39" s="119">
        <f t="shared" si="22"/>
        <v>583015.32000000216</v>
      </c>
      <c r="X39" s="69">
        <f t="shared" si="8"/>
        <v>2.6645154752241561E-3</v>
      </c>
      <c r="Y39" s="121">
        <f t="shared" si="23"/>
        <v>2.7156612000000524E-3</v>
      </c>
      <c r="AA39" s="120">
        <v>1709417.0992681612</v>
      </c>
      <c r="AB39" s="120">
        <v>193830.45946656307</v>
      </c>
      <c r="AC39" s="36">
        <v>9475615.7151703816</v>
      </c>
      <c r="AD39" s="36">
        <v>912647.55910095572</v>
      </c>
      <c r="AE39" s="120">
        <f t="shared" si="10"/>
        <v>11185032.814438542</v>
      </c>
      <c r="AF39" s="122">
        <f t="shared" si="11"/>
        <v>1106478.0185675188</v>
      </c>
      <c r="AH39" s="120">
        <f t="shared" si="24"/>
        <v>16707.81520000007</v>
      </c>
      <c r="AI39" s="119">
        <f t="shared" si="25"/>
        <v>185480.91900000162</v>
      </c>
      <c r="AJ39" s="69">
        <f t="shared" si="13"/>
        <v>1.5099997396812757E-2</v>
      </c>
      <c r="AK39" s="121">
        <f t="shared" si="26"/>
        <v>1.3773836000000039E-2</v>
      </c>
    </row>
    <row r="40" spans="2:37" x14ac:dyDescent="0.15">
      <c r="B40" s="36">
        <v>2045</v>
      </c>
      <c r="C40" s="120">
        <v>606869.87921922014</v>
      </c>
      <c r="D40" s="120">
        <v>26489.701156176627</v>
      </c>
      <c r="E40" s="125">
        <v>1742574.0000000002</v>
      </c>
      <c r="F40" s="124">
        <v>162007.75979635189</v>
      </c>
      <c r="G40" s="120">
        <f t="shared" si="0"/>
        <v>2349443.8792192205</v>
      </c>
      <c r="H40" s="120">
        <f t="shared" si="1"/>
        <v>188497.46095252852</v>
      </c>
      <c r="J40" s="123">
        <f t="shared" si="18"/>
        <v>124977.64999999851</v>
      </c>
      <c r="K40" s="120">
        <f t="shared" si="19"/>
        <v>1364409.8999999911</v>
      </c>
      <c r="L40" s="69">
        <f t="shared" si="3"/>
        <v>0.66302033655229486</v>
      </c>
      <c r="M40" s="121">
        <f t="shared" si="20"/>
        <v>0.58674725000000194</v>
      </c>
      <c r="N40" s="69"/>
      <c r="O40" s="120">
        <v>41982.60189506755</v>
      </c>
      <c r="P40" s="120">
        <v>2927.9577115972206</v>
      </c>
      <c r="Q40" s="36">
        <v>110.247</v>
      </c>
      <c r="R40" s="36">
        <v>17.084316666666695</v>
      </c>
      <c r="S40" s="122">
        <f t="shared" si="5"/>
        <v>420928488.95067555</v>
      </c>
      <c r="T40" s="122">
        <f t="shared" si="6"/>
        <v>29450420.282638874</v>
      </c>
      <c r="V40" s="120">
        <f t="shared" si="21"/>
        <v>82196.290000000037</v>
      </c>
      <c r="W40" s="119">
        <f t="shared" si="22"/>
        <v>614365.57800000161</v>
      </c>
      <c r="X40" s="69">
        <f t="shared" si="8"/>
        <v>2.7910056702469214E-3</v>
      </c>
      <c r="Y40" s="121">
        <f t="shared" si="23"/>
        <v>2.8419535000000495E-3</v>
      </c>
      <c r="AA40" s="120">
        <v>1760616.6051930911</v>
      </c>
      <c r="AB40" s="120">
        <v>199619.01479723374</v>
      </c>
      <c r="AC40" s="36">
        <v>9516159.7648817394</v>
      </c>
      <c r="AD40" s="36">
        <v>934243.10123778321</v>
      </c>
      <c r="AE40" s="120">
        <f t="shared" si="10"/>
        <v>11276776.370074831</v>
      </c>
      <c r="AF40" s="122">
        <f t="shared" si="11"/>
        <v>1133862.116035017</v>
      </c>
      <c r="AH40" s="120">
        <f t="shared" si="24"/>
        <v>17328.16100000008</v>
      </c>
      <c r="AI40" s="119">
        <f t="shared" si="25"/>
        <v>194786.10600000154</v>
      </c>
      <c r="AJ40" s="69">
        <f t="shared" si="13"/>
        <v>1.5282423457796289E-2</v>
      </c>
      <c r="AK40" s="121">
        <f t="shared" si="26"/>
        <v>1.4197355000000078E-2</v>
      </c>
    </row>
    <row r="41" spans="2:37" x14ac:dyDescent="0.15">
      <c r="B41" s="36">
        <v>2046</v>
      </c>
      <c r="C41" s="120">
        <v>607509.16236065363</v>
      </c>
      <c r="D41" s="120">
        <v>70914.010029791272</v>
      </c>
      <c r="E41" s="125">
        <v>1742574.0000000002</v>
      </c>
      <c r="F41" s="124">
        <v>158548.32573401276</v>
      </c>
      <c r="G41" s="120">
        <f t="shared" si="0"/>
        <v>2350083.1623606537</v>
      </c>
      <c r="H41" s="120">
        <f t="shared" si="1"/>
        <v>229462.33576380403</v>
      </c>
      <c r="J41" s="123">
        <f t="shared" si="18"/>
        <v>129837.21999999881</v>
      </c>
      <c r="K41" s="120">
        <f t="shared" si="19"/>
        <v>1437303.4499999899</v>
      </c>
      <c r="L41" s="69">
        <f t="shared" si="3"/>
        <v>0.56583238189314933</v>
      </c>
      <c r="M41" s="121">
        <f t="shared" si="20"/>
        <v>0.6091963000000078</v>
      </c>
      <c r="N41" s="69"/>
      <c r="O41" s="120">
        <v>41795.139072191683</v>
      </c>
      <c r="P41" s="120">
        <v>2922.4661947551722</v>
      </c>
      <c r="Q41" s="36">
        <v>110.247</v>
      </c>
      <c r="R41" s="36">
        <v>16.688216666666648</v>
      </c>
      <c r="S41" s="122">
        <f t="shared" si="5"/>
        <v>419053860.72191685</v>
      </c>
      <c r="T41" s="122">
        <f t="shared" si="6"/>
        <v>29391544.114218388</v>
      </c>
      <c r="V41" s="120">
        <f t="shared" si="21"/>
        <v>85679.651999999769</v>
      </c>
      <c r="W41" s="119">
        <f t="shared" si="22"/>
        <v>645715.83600000106</v>
      </c>
      <c r="X41" s="69">
        <f t="shared" si="8"/>
        <v>2.9151123080516064E-3</v>
      </c>
      <c r="Y41" s="121">
        <f t="shared" si="23"/>
        <v>2.9682458000000467E-3</v>
      </c>
      <c r="AA41" s="120">
        <v>1812546.8648377489</v>
      </c>
      <c r="AB41" s="120">
        <v>206934.50741814263</v>
      </c>
      <c r="AC41" s="36">
        <v>9556257.4577624798</v>
      </c>
      <c r="AD41" s="36">
        <v>971507.93874388188</v>
      </c>
      <c r="AE41" s="120">
        <f t="shared" si="10"/>
        <v>11368804.322600229</v>
      </c>
      <c r="AF41" s="122">
        <f t="shared" si="11"/>
        <v>1178442.4461620245</v>
      </c>
      <c r="AH41" s="120">
        <f t="shared" si="24"/>
        <v>17948.50680000009</v>
      </c>
      <c r="AI41" s="119">
        <f t="shared" si="25"/>
        <v>204091.29300000146</v>
      </c>
      <c r="AJ41" s="69">
        <f t="shared" si="13"/>
        <v>1.5230702915068237E-2</v>
      </c>
      <c r="AK41" s="121">
        <f t="shared" si="26"/>
        <v>1.4620874000000117E-2</v>
      </c>
    </row>
    <row r="42" spans="2:37" x14ac:dyDescent="0.15">
      <c r="B42" s="36">
        <v>2047</v>
      </c>
      <c r="C42" s="120">
        <v>608138.19914364174</v>
      </c>
      <c r="D42" s="120">
        <v>108343.85704510426</v>
      </c>
      <c r="E42" s="125">
        <v>1742574.0000000002</v>
      </c>
      <c r="F42" s="124">
        <v>154311.26186868106</v>
      </c>
      <c r="G42" s="120">
        <f t="shared" si="0"/>
        <v>2350712.1991436421</v>
      </c>
      <c r="H42" s="120">
        <f t="shared" si="1"/>
        <v>262655.11891378532</v>
      </c>
      <c r="J42" s="123">
        <f t="shared" si="18"/>
        <v>134696.78999999911</v>
      </c>
      <c r="K42" s="120">
        <f t="shared" si="19"/>
        <v>1510196.9999999888</v>
      </c>
      <c r="L42" s="69">
        <f t="shared" si="3"/>
        <v>0.51282758377997717</v>
      </c>
      <c r="M42" s="121">
        <f t="shared" si="20"/>
        <v>0.63164535000000654</v>
      </c>
      <c r="N42" s="69"/>
      <c r="O42" s="120">
        <v>41597.328491557528</v>
      </c>
      <c r="P42" s="120">
        <v>2918.4100164884003</v>
      </c>
      <c r="Q42" s="36">
        <v>110.247</v>
      </c>
      <c r="R42" s="36">
        <v>2.9605000000000103</v>
      </c>
      <c r="S42" s="122">
        <f t="shared" si="5"/>
        <v>417075754.91557533</v>
      </c>
      <c r="T42" s="122">
        <f t="shared" si="6"/>
        <v>29213705.164884005</v>
      </c>
      <c r="V42" s="120">
        <f t="shared" si="21"/>
        <v>89163.014000000432</v>
      </c>
      <c r="W42" s="119">
        <f t="shared" si="22"/>
        <v>677066.09400000144</v>
      </c>
      <c r="X42" s="69">
        <f t="shared" si="8"/>
        <v>3.0520953606110119E-3</v>
      </c>
      <c r="Y42" s="121">
        <f t="shared" si="23"/>
        <v>3.0945381000000438E-3</v>
      </c>
      <c r="AA42" s="120">
        <v>1865096.5943667411</v>
      </c>
      <c r="AB42" s="120">
        <v>214864.03329731221</v>
      </c>
      <c r="AC42" s="36">
        <v>9595837.0250913333</v>
      </c>
      <c r="AD42" s="36">
        <v>1011074.9127787594</v>
      </c>
      <c r="AE42" s="120">
        <f t="shared" si="10"/>
        <v>11460933.619458074</v>
      </c>
      <c r="AF42" s="122">
        <f t="shared" si="11"/>
        <v>1225938.9460760716</v>
      </c>
      <c r="AH42" s="120">
        <f t="shared" si="24"/>
        <v>18568.8526000001</v>
      </c>
      <c r="AI42" s="119">
        <f t="shared" si="25"/>
        <v>213396.48000000138</v>
      </c>
      <c r="AJ42" s="69">
        <f t="shared" si="13"/>
        <v>1.5146637325973223E-2</v>
      </c>
      <c r="AK42" s="121">
        <f t="shared" si="26"/>
        <v>1.5044393000000045E-2</v>
      </c>
    </row>
    <row r="43" spans="2:37" x14ac:dyDescent="0.15">
      <c r="B43" s="36">
        <v>2048</v>
      </c>
      <c r="C43" s="120">
        <v>608757.70567987685</v>
      </c>
      <c r="D43" s="120">
        <v>70765.440105021</v>
      </c>
      <c r="E43" s="125">
        <v>1742574.0000000002</v>
      </c>
      <c r="F43" s="124">
        <v>150452.84923141869</v>
      </c>
      <c r="G43" s="120">
        <f t="shared" si="0"/>
        <v>2351331.7056798772</v>
      </c>
      <c r="H43" s="120">
        <f t="shared" si="1"/>
        <v>221218.28933643969</v>
      </c>
      <c r="J43" s="123">
        <f t="shared" si="18"/>
        <v>139556.3599999994</v>
      </c>
      <c r="K43" s="120">
        <f t="shared" si="19"/>
        <v>1583090.5499999896</v>
      </c>
      <c r="L43" s="69">
        <f t="shared" si="3"/>
        <v>0.6308536261563582</v>
      </c>
      <c r="M43" s="121">
        <f t="shared" si="20"/>
        <v>0.65409440000000529</v>
      </c>
      <c r="N43" s="69"/>
      <c r="O43" s="120">
        <v>41391.333318746627</v>
      </c>
      <c r="P43" s="120">
        <v>2913.3891670228477</v>
      </c>
      <c r="Q43" s="36">
        <v>110.247</v>
      </c>
      <c r="R43" s="36">
        <v>17.473816666666664</v>
      </c>
      <c r="S43" s="122">
        <f t="shared" si="5"/>
        <v>415015803.18746632</v>
      </c>
      <c r="T43" s="122">
        <f t="shared" si="6"/>
        <v>29308629.836895142</v>
      </c>
      <c r="V43" s="120">
        <f t="shared" si="21"/>
        <v>92646.376000000164</v>
      </c>
      <c r="W43" s="119">
        <f t="shared" si="22"/>
        <v>708416.35200000182</v>
      </c>
      <c r="X43" s="69">
        <f t="shared" si="8"/>
        <v>3.1610613159190524E-3</v>
      </c>
      <c r="Y43" s="121">
        <f t="shared" si="23"/>
        <v>3.2208304000000409E-3</v>
      </c>
      <c r="AA43" s="120">
        <v>1918295.5332120808</v>
      </c>
      <c r="AB43" s="120">
        <v>222668.81597314565</v>
      </c>
      <c r="AC43" s="36">
        <v>9634937.8989786264</v>
      </c>
      <c r="AD43" s="36">
        <v>1040703.3549582921</v>
      </c>
      <c r="AE43" s="120">
        <f t="shared" si="10"/>
        <v>11553233.432190707</v>
      </c>
      <c r="AF43" s="122">
        <f t="shared" si="11"/>
        <v>1263372.1709314378</v>
      </c>
      <c r="AH43" s="120">
        <f t="shared" si="24"/>
        <v>19189.19840000011</v>
      </c>
      <c r="AI43" s="119">
        <f t="shared" si="25"/>
        <v>222701.6670000013</v>
      </c>
      <c r="AJ43" s="69">
        <f t="shared" si="13"/>
        <v>1.518887216413246E-2</v>
      </c>
      <c r="AK43" s="121">
        <f t="shared" si="26"/>
        <v>1.5467912000000084E-2</v>
      </c>
    </row>
    <row r="44" spans="2:37" x14ac:dyDescent="0.15">
      <c r="B44" s="36">
        <v>2049</v>
      </c>
      <c r="C44" s="120">
        <v>609370.48794224486</v>
      </c>
      <c r="D44" s="120">
        <v>52759.697677171906</v>
      </c>
      <c r="E44" s="125">
        <v>1742574.0000000002</v>
      </c>
      <c r="F44" s="124">
        <v>147846.28955421015</v>
      </c>
      <c r="G44" s="120">
        <f t="shared" si="0"/>
        <v>2351944.4879422449</v>
      </c>
      <c r="H44" s="120">
        <f t="shared" si="1"/>
        <v>200605.98723138205</v>
      </c>
      <c r="J44" s="123">
        <f t="shared" si="18"/>
        <v>144415.9299999997</v>
      </c>
      <c r="K44" s="120">
        <f t="shared" si="19"/>
        <v>1655984.0999999903</v>
      </c>
      <c r="L44" s="69">
        <f t="shared" si="3"/>
        <v>0.71989840379703185</v>
      </c>
      <c r="M44" s="121">
        <f t="shared" si="20"/>
        <v>0.67654345000000404</v>
      </c>
      <c r="N44" s="69"/>
      <c r="O44" s="120">
        <v>41179.093411553287</v>
      </c>
      <c r="P44" s="120">
        <v>2905.3845570411067</v>
      </c>
      <c r="Q44" s="36">
        <v>110.247</v>
      </c>
      <c r="R44" s="36">
        <v>20.79891666666667</v>
      </c>
      <c r="S44" s="122">
        <f t="shared" si="5"/>
        <v>412893404.11553288</v>
      </c>
      <c r="T44" s="122">
        <f t="shared" si="6"/>
        <v>29261834.737077735</v>
      </c>
      <c r="V44" s="120">
        <f t="shared" si="21"/>
        <v>96129.737999999896</v>
      </c>
      <c r="W44" s="119">
        <f t="shared" si="22"/>
        <v>739766.61000000127</v>
      </c>
      <c r="X44" s="69">
        <f t="shared" si="8"/>
        <v>3.2851575734652652E-3</v>
      </c>
      <c r="Y44" s="121">
        <f t="shared" si="23"/>
        <v>3.3471227000000381E-3</v>
      </c>
      <c r="AA44" s="120">
        <v>1972362.9052410582</v>
      </c>
      <c r="AB44" s="120">
        <v>229838.07395118475</v>
      </c>
      <c r="AC44" s="36">
        <v>9673732.4406389594</v>
      </c>
      <c r="AD44" s="36">
        <v>1052885.9926516581</v>
      </c>
      <c r="AE44" s="120">
        <f t="shared" si="10"/>
        <v>11646095.345880017</v>
      </c>
      <c r="AF44" s="122">
        <f t="shared" si="11"/>
        <v>1282724.0666028429</v>
      </c>
      <c r="AH44" s="120">
        <f t="shared" si="24"/>
        <v>19809.54420000012</v>
      </c>
      <c r="AI44" s="119">
        <f t="shared" si="25"/>
        <v>232006.85400000121</v>
      </c>
      <c r="AJ44" s="69">
        <f t="shared" si="13"/>
        <v>1.5443340244222262E-2</v>
      </c>
      <c r="AK44" s="121">
        <f t="shared" si="26"/>
        <v>1.5891431000000122E-2</v>
      </c>
    </row>
    <row r="45" spans="2:37" x14ac:dyDescent="0.15">
      <c r="B45" s="36">
        <v>2050</v>
      </c>
      <c r="C45" s="120">
        <v>609974.2615671216</v>
      </c>
      <c r="D45" s="120">
        <v>47864.91537457658</v>
      </c>
      <c r="E45" s="125">
        <v>1742574.0000000002</v>
      </c>
      <c r="F45" s="124">
        <v>146928.28523925506</v>
      </c>
      <c r="G45" s="120">
        <f t="shared" si="0"/>
        <v>2352548.2615671218</v>
      </c>
      <c r="H45" s="120">
        <f t="shared" si="1"/>
        <v>194793.20061383164</v>
      </c>
      <c r="J45" s="123">
        <f t="shared" si="18"/>
        <v>149275.5</v>
      </c>
      <c r="K45" s="120">
        <f t="shared" si="19"/>
        <v>1728877.6499999911</v>
      </c>
      <c r="L45" s="69">
        <f t="shared" si="3"/>
        <v>0.76632808295979316</v>
      </c>
      <c r="M45" s="121">
        <f t="shared" si="20"/>
        <v>0.69899250000000279</v>
      </c>
      <c r="N45" s="69"/>
      <c r="O45" s="120">
        <v>40962.364003305134</v>
      </c>
      <c r="P45" s="120">
        <v>2893.2151646408092</v>
      </c>
      <c r="Q45" s="36">
        <v>110.247</v>
      </c>
      <c r="R45" s="36">
        <v>18.300216666666671</v>
      </c>
      <c r="S45" s="122">
        <f t="shared" si="5"/>
        <v>410726110.03305137</v>
      </c>
      <c r="T45" s="122">
        <f t="shared" si="6"/>
        <v>29115153.813074756</v>
      </c>
      <c r="V45" s="120">
        <f t="shared" si="21"/>
        <v>99613.100000000559</v>
      </c>
      <c r="W45" s="119">
        <f t="shared" si="22"/>
        <v>771116.86800000165</v>
      </c>
      <c r="X45" s="69">
        <f t="shared" si="8"/>
        <v>3.4213489181454111E-3</v>
      </c>
      <c r="Y45" s="121">
        <f t="shared" si="23"/>
        <v>3.4734150000000352E-3</v>
      </c>
      <c r="AA45" s="120">
        <v>2027081.8328625076</v>
      </c>
      <c r="AB45" s="120">
        <v>235645.33224604675</v>
      </c>
      <c r="AC45" s="36">
        <v>9712071.9704806264</v>
      </c>
      <c r="AD45" s="36">
        <v>1046500.2034245934</v>
      </c>
      <c r="AE45" s="120">
        <f t="shared" si="10"/>
        <v>11739153.803343134</v>
      </c>
      <c r="AF45" s="122">
        <f t="shared" si="11"/>
        <v>1282145.5356706402</v>
      </c>
      <c r="AH45" s="120">
        <f t="shared" si="24"/>
        <v>20429.89000000013</v>
      </c>
      <c r="AI45" s="119">
        <f t="shared" si="25"/>
        <v>241312.04100000113</v>
      </c>
      <c r="AJ45" s="69">
        <f t="shared" si="13"/>
        <v>1.5934142756511688E-2</v>
      </c>
      <c r="AK45" s="121">
        <f t="shared" si="26"/>
        <v>1.631495000000005E-2</v>
      </c>
    </row>
    <row r="46" spans="2:37" x14ac:dyDescent="0.15">
      <c r="B46" s="36">
        <v>2051</v>
      </c>
      <c r="C46" s="120">
        <v>610570.77822968899</v>
      </c>
      <c r="D46" s="120">
        <v>65669.982736751321</v>
      </c>
      <c r="E46" s="125">
        <v>1742574.0000000002</v>
      </c>
      <c r="F46" s="124">
        <v>147677.94547619694</v>
      </c>
      <c r="G46" s="120">
        <f t="shared" si="0"/>
        <v>2353144.7782296892</v>
      </c>
      <c r="H46" s="120">
        <f t="shared" si="1"/>
        <v>213347.92821294826</v>
      </c>
      <c r="J46" s="123">
        <f t="shared" si="18"/>
        <v>154135.0700000003</v>
      </c>
      <c r="K46" s="120">
        <f t="shared" si="19"/>
        <v>1801771.1999999918</v>
      </c>
      <c r="L46" s="69">
        <f t="shared" si="3"/>
        <v>0.72245871469702749</v>
      </c>
      <c r="M46" s="121">
        <f t="shared" si="20"/>
        <v>0.72144155000000865</v>
      </c>
      <c r="N46" s="69"/>
      <c r="O46" s="120">
        <v>40742.8065961592</v>
      </c>
      <c r="P46" s="120">
        <v>2876.8018322685166</v>
      </c>
      <c r="Q46" s="36">
        <v>110.247</v>
      </c>
      <c r="R46" s="36">
        <v>16.941016666666641</v>
      </c>
      <c r="S46" s="122">
        <f t="shared" si="5"/>
        <v>408530535.96159202</v>
      </c>
      <c r="T46" s="122">
        <f t="shared" si="6"/>
        <v>28937428.489351831</v>
      </c>
      <c r="V46" s="120">
        <f t="shared" si="21"/>
        <v>103096.46200000029</v>
      </c>
      <c r="W46" s="119">
        <f t="shared" si="22"/>
        <v>802467.12600000203</v>
      </c>
      <c r="X46" s="69">
        <f t="shared" si="8"/>
        <v>3.5627375126969876E-3</v>
      </c>
      <c r="Y46" s="121">
        <f t="shared" si="23"/>
        <v>3.5997073000000324E-3</v>
      </c>
      <c r="AA46" s="120">
        <v>2082587.8904858895</v>
      </c>
      <c r="AB46" s="120">
        <v>240614.612720676</v>
      </c>
      <c r="AC46" s="36">
        <v>9750063.1653455477</v>
      </c>
      <c r="AD46" s="36">
        <v>1027492.0089370292</v>
      </c>
      <c r="AE46" s="120">
        <f t="shared" si="10"/>
        <v>11832651.055831438</v>
      </c>
      <c r="AF46" s="122">
        <f t="shared" si="11"/>
        <v>1268106.6216577052</v>
      </c>
      <c r="AH46" s="120">
        <f t="shared" si="24"/>
        <v>21050.23580000014</v>
      </c>
      <c r="AI46" s="119">
        <f t="shared" si="25"/>
        <v>250617.22800000105</v>
      </c>
      <c r="AJ46" s="69">
        <f t="shared" si="13"/>
        <v>1.6599736520958048E-2</v>
      </c>
      <c r="AK46" s="121">
        <f t="shared" si="26"/>
        <v>1.6738469000000089E-2</v>
      </c>
    </row>
    <row r="47" spans="2:37" x14ac:dyDescent="0.15">
      <c r="B47" s="36">
        <v>2052</v>
      </c>
      <c r="C47" s="120">
        <v>611160.42064359738</v>
      </c>
      <c r="D47" s="120">
        <v>54577.843944464345</v>
      </c>
      <c r="E47" s="125">
        <v>1742574.0000000002</v>
      </c>
      <c r="F47" s="124">
        <v>149692.89903771854</v>
      </c>
      <c r="G47" s="120">
        <f t="shared" si="0"/>
        <v>2353734.4206435978</v>
      </c>
      <c r="H47" s="120">
        <f t="shared" si="1"/>
        <v>204270.74298218288</v>
      </c>
      <c r="J47" s="123">
        <f t="shared" si="18"/>
        <v>158994.63999999873</v>
      </c>
      <c r="K47" s="120">
        <f t="shared" si="19"/>
        <v>1874664.7499999907</v>
      </c>
      <c r="L47" s="69">
        <f t="shared" si="3"/>
        <v>0.7783524829782732</v>
      </c>
      <c r="M47" s="121">
        <f t="shared" si="20"/>
        <v>0.7438906000000074</v>
      </c>
      <c r="N47" s="69"/>
      <c r="O47" s="120">
        <v>40522.004843950577</v>
      </c>
      <c r="P47" s="120">
        <v>2857.0167704395935</v>
      </c>
      <c r="Q47" s="36">
        <v>110.247</v>
      </c>
      <c r="R47" s="36">
        <v>17.084316666666695</v>
      </c>
      <c r="S47" s="122">
        <f t="shared" si="5"/>
        <v>406322518.43950582</v>
      </c>
      <c r="T47" s="122">
        <f t="shared" si="6"/>
        <v>28741010.871062603</v>
      </c>
      <c r="V47" s="120">
        <f t="shared" si="21"/>
        <v>106579.82400000002</v>
      </c>
      <c r="W47" s="119">
        <f t="shared" si="22"/>
        <v>833817.38400000148</v>
      </c>
      <c r="X47" s="69">
        <f t="shared" si="8"/>
        <v>3.7082837649008407E-3</v>
      </c>
      <c r="Y47" s="121">
        <f t="shared" si="23"/>
        <v>3.7259996000000295E-3</v>
      </c>
      <c r="AA47" s="120">
        <v>2138901.5914552105</v>
      </c>
      <c r="AB47" s="120">
        <v>245142.80255883397</v>
      </c>
      <c r="AC47" s="36">
        <v>9787726.6172208115</v>
      </c>
      <c r="AD47" s="36">
        <v>1005278.2351304758</v>
      </c>
      <c r="AE47" s="120">
        <f t="shared" si="10"/>
        <v>11926628.208676022</v>
      </c>
      <c r="AF47" s="122">
        <f t="shared" si="11"/>
        <v>1250421.0376893098</v>
      </c>
      <c r="AH47" s="120">
        <f t="shared" si="24"/>
        <v>21670.581600000151</v>
      </c>
      <c r="AI47" s="119">
        <f t="shared" si="25"/>
        <v>259922.4150000012</v>
      </c>
      <c r="AJ47" s="69">
        <f t="shared" si="13"/>
        <v>1.7330627802012881E-2</v>
      </c>
      <c r="AK47" s="121">
        <f t="shared" si="26"/>
        <v>1.7161988000000128E-2</v>
      </c>
    </row>
    <row r="48" spans="2:37" x14ac:dyDescent="0.15">
      <c r="B48" s="36">
        <v>2053</v>
      </c>
      <c r="C48" s="120">
        <v>611742.75668190676</v>
      </c>
      <c r="D48" s="120">
        <v>64928.733873243909</v>
      </c>
      <c r="E48" s="125">
        <v>1742574.0000000002</v>
      </c>
      <c r="F48" s="124">
        <v>152328.34916547057</v>
      </c>
      <c r="G48" s="120">
        <f t="shared" si="0"/>
        <v>2354316.756681907</v>
      </c>
      <c r="H48" s="120">
        <f t="shared" si="1"/>
        <v>217257.08303871448</v>
      </c>
      <c r="J48" s="123">
        <f t="shared" si="18"/>
        <v>163854.20999999903</v>
      </c>
      <c r="K48" s="120">
        <f t="shared" si="19"/>
        <v>1947558.2999999896</v>
      </c>
      <c r="L48" s="69">
        <f t="shared" si="3"/>
        <v>0.75419501959713209</v>
      </c>
      <c r="M48" s="121">
        <f t="shared" si="20"/>
        <v>0.76633965000000615</v>
      </c>
      <c r="N48" s="69"/>
      <c r="O48" s="120">
        <v>40301.500788698519</v>
      </c>
      <c r="P48" s="120">
        <v>2835.4067575998197</v>
      </c>
      <c r="Q48" s="36">
        <v>110.247</v>
      </c>
      <c r="R48" s="36">
        <v>16.688216666666648</v>
      </c>
      <c r="S48" s="122">
        <f t="shared" si="5"/>
        <v>404117477.88698524</v>
      </c>
      <c r="T48" s="122">
        <f t="shared" si="6"/>
        <v>28520949.742664862</v>
      </c>
      <c r="V48" s="120">
        <f t="shared" si="21"/>
        <v>110063.18599999975</v>
      </c>
      <c r="W48" s="119">
        <f t="shared" si="22"/>
        <v>865167.64200000092</v>
      </c>
      <c r="X48" s="69">
        <f t="shared" si="8"/>
        <v>3.8590294851000278E-3</v>
      </c>
      <c r="Y48" s="121">
        <f t="shared" si="23"/>
        <v>3.8522919000000266E-3</v>
      </c>
      <c r="AA48" s="120">
        <v>2195966.2576816655</v>
      </c>
      <c r="AB48" s="120">
        <v>249779.6025686122</v>
      </c>
      <c r="AC48" s="36">
        <v>9825031.0351759233</v>
      </c>
      <c r="AD48" s="36">
        <v>989274.59968910925</v>
      </c>
      <c r="AE48" s="120">
        <f t="shared" si="10"/>
        <v>12020997.292857589</v>
      </c>
      <c r="AF48" s="122">
        <f t="shared" si="11"/>
        <v>1239054.2022577215</v>
      </c>
      <c r="AH48" s="120">
        <f t="shared" si="24"/>
        <v>22290.927400000161</v>
      </c>
      <c r="AI48" s="119">
        <f t="shared" si="25"/>
        <v>269227.60200000135</v>
      </c>
      <c r="AJ48" s="69">
        <f t="shared" si="13"/>
        <v>1.7990276260217777E-2</v>
      </c>
      <c r="AK48" s="121">
        <f t="shared" si="26"/>
        <v>1.7585507000000056E-2</v>
      </c>
    </row>
    <row r="49" spans="2:37" x14ac:dyDescent="0.15">
      <c r="B49" s="36">
        <v>2054</v>
      </c>
      <c r="C49" s="120">
        <v>612319.69228073431</v>
      </c>
      <c r="D49" s="120">
        <v>50005.510338433087</v>
      </c>
      <c r="E49" s="125">
        <v>1742574.0000000002</v>
      </c>
      <c r="F49" s="124">
        <v>154871.03866384225</v>
      </c>
      <c r="G49" s="120">
        <f t="shared" si="0"/>
        <v>2354893.6922807344</v>
      </c>
      <c r="H49" s="120">
        <f t="shared" si="1"/>
        <v>204876.54900227534</v>
      </c>
      <c r="J49" s="123">
        <f t="shared" si="18"/>
        <v>168713.77999999933</v>
      </c>
      <c r="K49" s="120">
        <f t="shared" si="19"/>
        <v>2020451.8499999903</v>
      </c>
      <c r="L49" s="69">
        <f t="shared" si="3"/>
        <v>0.82348995442189732</v>
      </c>
      <c r="M49" s="121">
        <f t="shared" si="20"/>
        <v>0.78878870000000489</v>
      </c>
      <c r="N49" s="69"/>
      <c r="O49" s="120">
        <v>40082.819252682013</v>
      </c>
      <c r="P49" s="120">
        <v>2813.7875252840167</v>
      </c>
      <c r="Q49" s="36">
        <v>110.247</v>
      </c>
      <c r="R49" s="36">
        <v>2.9605000000000103</v>
      </c>
      <c r="S49" s="122">
        <f t="shared" si="5"/>
        <v>401930662.52682018</v>
      </c>
      <c r="T49" s="122">
        <f t="shared" si="6"/>
        <v>28167480.252840169</v>
      </c>
      <c r="V49" s="120">
        <f t="shared" si="21"/>
        <v>113546.54800000042</v>
      </c>
      <c r="W49" s="119">
        <f t="shared" si="22"/>
        <v>896517.9000000013</v>
      </c>
      <c r="X49" s="69">
        <f t="shared" si="8"/>
        <v>4.0311219527189111E-3</v>
      </c>
      <c r="Y49" s="121">
        <f t="shared" si="23"/>
        <v>3.9785842000000238E-3</v>
      </c>
      <c r="AA49" s="120">
        <v>2253954.800468937</v>
      </c>
      <c r="AB49" s="120">
        <v>255265.92046626564</v>
      </c>
      <c r="AC49" s="36">
        <v>9862095.046817176</v>
      </c>
      <c r="AD49" s="36">
        <v>985666.76479979604</v>
      </c>
      <c r="AE49" s="120">
        <f t="shared" si="10"/>
        <v>12116049.847286113</v>
      </c>
      <c r="AF49" s="122">
        <f t="shared" si="11"/>
        <v>1240932.6852660617</v>
      </c>
      <c r="AH49" s="120">
        <f t="shared" si="24"/>
        <v>22911.273200000171</v>
      </c>
      <c r="AI49" s="119">
        <f t="shared" si="25"/>
        <v>278532.7890000015</v>
      </c>
      <c r="AJ49" s="69">
        <f t="shared" si="13"/>
        <v>1.8462946034085555E-2</v>
      </c>
      <c r="AK49" s="121">
        <f t="shared" si="26"/>
        <v>1.8009026000000095E-2</v>
      </c>
    </row>
    <row r="50" spans="2:37" x14ac:dyDescent="0.15">
      <c r="B50" s="36">
        <v>2055</v>
      </c>
      <c r="C50" s="120">
        <v>612890.70327432244</v>
      </c>
      <c r="D50" s="120">
        <v>27060.71214976476</v>
      </c>
      <c r="E50" s="125">
        <v>1742574.0000000002</v>
      </c>
      <c r="F50" s="124">
        <v>156714.6862291547</v>
      </c>
      <c r="G50" s="120">
        <f t="shared" si="0"/>
        <v>2355464.7032743227</v>
      </c>
      <c r="H50" s="120">
        <f t="shared" si="1"/>
        <v>183775.39837891946</v>
      </c>
      <c r="J50" s="123">
        <f t="shared" si="18"/>
        <v>173573.34999999963</v>
      </c>
      <c r="K50" s="120">
        <f t="shared" si="19"/>
        <v>2093345.3999999911</v>
      </c>
      <c r="L50" s="69">
        <f t="shared" si="3"/>
        <v>0.94448632151576339</v>
      </c>
      <c r="M50" s="121">
        <f t="shared" si="20"/>
        <v>0.81123775000000364</v>
      </c>
      <c r="N50" s="69"/>
      <c r="O50" s="120">
        <v>39867.481719901334</v>
      </c>
      <c r="P50" s="120">
        <v>2793.8676322927713</v>
      </c>
      <c r="Q50" s="36">
        <v>110.247</v>
      </c>
      <c r="R50" s="36">
        <v>17.473816666666664</v>
      </c>
      <c r="S50" s="122">
        <f t="shared" si="5"/>
        <v>399777287.19901335</v>
      </c>
      <c r="T50" s="122">
        <f t="shared" si="6"/>
        <v>28113414.489594378</v>
      </c>
      <c r="V50" s="120">
        <f t="shared" si="21"/>
        <v>117029.91000000015</v>
      </c>
      <c r="W50" s="119">
        <f t="shared" si="22"/>
        <v>927868.15800000168</v>
      </c>
      <c r="X50" s="69">
        <f t="shared" si="8"/>
        <v>4.1627782368205916E-3</v>
      </c>
      <c r="Y50" s="121">
        <f t="shared" si="23"/>
        <v>4.1048765000000209E-3</v>
      </c>
      <c r="AA50" s="120">
        <v>2312807.918566586</v>
      </c>
      <c r="AB50" s="120">
        <v>261608.10054364847</v>
      </c>
      <c r="AC50" s="36">
        <v>9898882.1354085468</v>
      </c>
      <c r="AD50" s="36">
        <v>995216.61172154173</v>
      </c>
      <c r="AE50" s="120">
        <f t="shared" si="10"/>
        <v>12211690.053975133</v>
      </c>
      <c r="AF50" s="122">
        <f t="shared" si="11"/>
        <v>1256824.7122651902</v>
      </c>
      <c r="AH50" s="120">
        <f t="shared" si="24"/>
        <v>23531.619000000181</v>
      </c>
      <c r="AI50" s="119">
        <f t="shared" si="25"/>
        <v>287837.97600000165</v>
      </c>
      <c r="AJ50" s="69">
        <f t="shared" si="13"/>
        <v>1.8723071539219548E-2</v>
      </c>
      <c r="AK50" s="121">
        <f t="shared" si="26"/>
        <v>1.8432545000000133E-2</v>
      </c>
    </row>
    <row r="51" spans="2:37" x14ac:dyDescent="0.15">
      <c r="B51" s="36">
        <v>2056</v>
      </c>
      <c r="C51" s="120">
        <v>613456.39944801223</v>
      </c>
      <c r="D51" s="120">
        <v>71479.706203481066</v>
      </c>
      <c r="E51" s="125">
        <v>1742574.0000000002</v>
      </c>
      <c r="F51" s="124">
        <v>157496.44872007775</v>
      </c>
      <c r="G51" s="120">
        <f t="shared" si="0"/>
        <v>2356030.3994480125</v>
      </c>
      <c r="H51" s="120">
        <f t="shared" si="1"/>
        <v>228976.15492355882</v>
      </c>
      <c r="J51" s="123">
        <f t="shared" si="18"/>
        <v>178432.91999999993</v>
      </c>
      <c r="K51" s="120">
        <f t="shared" si="19"/>
        <v>2166238.9499999918</v>
      </c>
      <c r="L51" s="69">
        <f t="shared" si="3"/>
        <v>0.77926419918950862</v>
      </c>
      <c r="M51" s="121">
        <f t="shared" si="20"/>
        <v>0.83368680000000239</v>
      </c>
      <c r="N51" s="69"/>
      <c r="O51" s="120">
        <v>39657.020555070863</v>
      </c>
      <c r="P51" s="120">
        <v>2776.9897310154483</v>
      </c>
      <c r="Q51" s="36">
        <v>110.247</v>
      </c>
      <c r="R51" s="36">
        <v>20.79891666666667</v>
      </c>
      <c r="S51" s="122">
        <f t="shared" si="5"/>
        <v>397672675.55070865</v>
      </c>
      <c r="T51" s="122">
        <f t="shared" si="6"/>
        <v>27977886.476821151</v>
      </c>
      <c r="V51" s="120">
        <f t="shared" si="21"/>
        <v>120513.27199999988</v>
      </c>
      <c r="W51" s="119">
        <f t="shared" si="22"/>
        <v>959218.41600000113</v>
      </c>
      <c r="X51" s="69">
        <f t="shared" si="8"/>
        <v>4.3074473155733746E-3</v>
      </c>
      <c r="Y51" s="121">
        <f t="shared" si="23"/>
        <v>4.231168800000018E-3</v>
      </c>
      <c r="AA51" s="120">
        <v>2372579.9208577662</v>
      </c>
      <c r="AB51" s="120">
        <v>268838.97223904403</v>
      </c>
      <c r="AC51" s="36">
        <v>9935428.6825686935</v>
      </c>
      <c r="AD51" s="36">
        <v>1014194.9344631564</v>
      </c>
      <c r="AE51" s="120">
        <f t="shared" si="10"/>
        <v>12308008.60342646</v>
      </c>
      <c r="AF51" s="122">
        <f t="shared" si="11"/>
        <v>1283033.9067022004</v>
      </c>
      <c r="AH51" s="120">
        <f t="shared" si="24"/>
        <v>24151.964800000191</v>
      </c>
      <c r="AI51" s="119">
        <f t="shared" si="25"/>
        <v>297143.1630000018</v>
      </c>
      <c r="AJ51" s="69">
        <f t="shared" si="13"/>
        <v>1.8824104861015184E-2</v>
      </c>
      <c r="AK51" s="121">
        <f t="shared" si="26"/>
        <v>1.8856064000000061E-2</v>
      </c>
    </row>
    <row r="52" spans="2:37" x14ac:dyDescent="0.15">
      <c r="B52" s="36">
        <v>2057</v>
      </c>
      <c r="C52" s="120">
        <v>614017.24936152098</v>
      </c>
      <c r="D52" s="120">
        <v>108904.70695861301</v>
      </c>
      <c r="E52" s="125">
        <v>1742574.0000000002</v>
      </c>
      <c r="F52" s="124">
        <v>157160.48734154599</v>
      </c>
      <c r="G52" s="120">
        <f t="shared" si="0"/>
        <v>2356591.2493615211</v>
      </c>
      <c r="H52" s="120">
        <f t="shared" si="1"/>
        <v>266065.194300159</v>
      </c>
      <c r="J52" s="123">
        <f t="shared" si="18"/>
        <v>183292.49000000022</v>
      </c>
      <c r="K52" s="120">
        <f t="shared" si="19"/>
        <v>2239132.4999999925</v>
      </c>
      <c r="L52" s="69">
        <f t="shared" si="3"/>
        <v>0.68890066768079594</v>
      </c>
      <c r="M52" s="121">
        <f t="shared" si="20"/>
        <v>0.85613585000000825</v>
      </c>
      <c r="N52" s="69"/>
      <c r="O52" s="120">
        <v>39452.986698245171</v>
      </c>
      <c r="P52" s="120">
        <v>2763.9922017967619</v>
      </c>
      <c r="Q52" s="36">
        <v>110.247</v>
      </c>
      <c r="R52" s="36">
        <v>18.300216666666671</v>
      </c>
      <c r="S52" s="122">
        <f t="shared" si="5"/>
        <v>395632336.98245174</v>
      </c>
      <c r="T52" s="122">
        <f t="shared" si="6"/>
        <v>27822924.184634283</v>
      </c>
      <c r="V52" s="120">
        <f t="shared" si="21"/>
        <v>123996.63400000054</v>
      </c>
      <c r="W52" s="119">
        <f t="shared" si="22"/>
        <v>990568.67400000151</v>
      </c>
      <c r="X52" s="69">
        <f t="shared" si="8"/>
        <v>4.4566355850000818E-3</v>
      </c>
      <c r="Y52" s="121">
        <f t="shared" si="23"/>
        <v>4.3574611000000152E-3</v>
      </c>
      <c r="AA52" s="120">
        <v>2433315.3127273247</v>
      </c>
      <c r="AB52" s="120">
        <v>276617.3173005227</v>
      </c>
      <c r="AC52" s="36">
        <v>9971762.376844639</v>
      </c>
      <c r="AD52" s="36">
        <v>1036064.4657620061</v>
      </c>
      <c r="AE52" s="120">
        <f t="shared" si="10"/>
        <v>12405077.689571964</v>
      </c>
      <c r="AF52" s="122">
        <f t="shared" si="11"/>
        <v>1312681.7830625288</v>
      </c>
      <c r="AH52" s="120">
        <f t="shared" si="24"/>
        <v>24772.310600000201</v>
      </c>
      <c r="AI52" s="119">
        <f t="shared" si="25"/>
        <v>306448.35000000196</v>
      </c>
      <c r="AJ52" s="69">
        <f t="shared" si="13"/>
        <v>1.8871527676879621E-2</v>
      </c>
      <c r="AK52" s="121">
        <f t="shared" si="26"/>
        <v>1.92795830000001E-2</v>
      </c>
    </row>
    <row r="53" spans="2:37" x14ac:dyDescent="0.15">
      <c r="B53" s="36">
        <v>2058</v>
      </c>
      <c r="C53" s="120">
        <v>614573.23143120599</v>
      </c>
      <c r="D53" s="120">
        <v>71321.422174706007</v>
      </c>
      <c r="E53" s="125">
        <v>1742574.0000000002</v>
      </c>
      <c r="F53" s="124">
        <v>155936.02384416247</v>
      </c>
      <c r="G53" s="120">
        <f t="shared" si="0"/>
        <v>2357147.2314312062</v>
      </c>
      <c r="H53" s="120">
        <f t="shared" si="1"/>
        <v>227257.44601886848</v>
      </c>
      <c r="J53" s="123">
        <f t="shared" si="18"/>
        <v>188152.05999999866</v>
      </c>
      <c r="K53" s="120">
        <f t="shared" si="19"/>
        <v>2312026.0499999914</v>
      </c>
      <c r="L53" s="69">
        <f t="shared" si="3"/>
        <v>0.82792473160319235</v>
      </c>
      <c r="M53" s="121">
        <f t="shared" si="20"/>
        <v>0.878584900000007</v>
      </c>
      <c r="N53" s="69"/>
      <c r="O53" s="120">
        <v>39256.9555109379</v>
      </c>
      <c r="P53" s="120">
        <v>2755.1843087301968</v>
      </c>
      <c r="Q53" s="36">
        <v>110.247</v>
      </c>
      <c r="R53" s="36">
        <v>16.941016666666641</v>
      </c>
      <c r="S53" s="122">
        <f t="shared" si="5"/>
        <v>393672025.10937905</v>
      </c>
      <c r="T53" s="122">
        <f t="shared" si="6"/>
        <v>27721253.253968634</v>
      </c>
      <c r="V53" s="120">
        <f t="shared" si="21"/>
        <v>127479.99600000028</v>
      </c>
      <c r="W53" s="119">
        <f t="shared" si="22"/>
        <v>1021918.9320000019</v>
      </c>
      <c r="X53" s="69">
        <f t="shared" si="8"/>
        <v>4.5986375447058829E-3</v>
      </c>
      <c r="Y53" s="121">
        <f t="shared" si="23"/>
        <v>4.4837534000000678E-3</v>
      </c>
      <c r="AA53" s="120">
        <v>2495008.4185559447</v>
      </c>
      <c r="AB53" s="120">
        <v>284459.40185788507</v>
      </c>
      <c r="AC53" s="36">
        <v>10007879.414862383</v>
      </c>
      <c r="AD53" s="36">
        <v>1054154.109951213</v>
      </c>
      <c r="AE53" s="120">
        <f t="shared" si="10"/>
        <v>12502887.833418328</v>
      </c>
      <c r="AF53" s="122">
        <f t="shared" si="11"/>
        <v>1338613.5118090981</v>
      </c>
      <c r="AH53" s="120">
        <f t="shared" si="24"/>
        <v>25392.656400000211</v>
      </c>
      <c r="AI53" s="119">
        <f t="shared" si="25"/>
        <v>315753.53700000211</v>
      </c>
      <c r="AJ53" s="69">
        <f t="shared" si="13"/>
        <v>1.8969371051456636E-2</v>
      </c>
      <c r="AK53" s="121">
        <f t="shared" si="26"/>
        <v>1.9703102000000139E-2</v>
      </c>
    </row>
    <row r="54" spans="2:37" x14ac:dyDescent="0.15">
      <c r="B54" s="36">
        <v>2059</v>
      </c>
      <c r="C54" s="120">
        <v>615125.55170775927</v>
      </c>
      <c r="D54" s="120">
        <v>53312.017953725182</v>
      </c>
      <c r="E54" s="125">
        <v>1742574.0000000002</v>
      </c>
      <c r="F54" s="124">
        <v>154243.59100308036</v>
      </c>
      <c r="G54" s="120">
        <f t="shared" si="0"/>
        <v>2357699.5517077595</v>
      </c>
      <c r="H54" s="120">
        <f t="shared" si="1"/>
        <v>207555.60895680555</v>
      </c>
      <c r="J54" s="123">
        <f t="shared" si="18"/>
        <v>193011.62999999896</v>
      </c>
      <c r="K54" s="120">
        <f t="shared" si="19"/>
        <v>2384919.5999999903</v>
      </c>
      <c r="L54" s="69">
        <f t="shared" si="3"/>
        <v>0.92992731427540776</v>
      </c>
      <c r="M54" s="121">
        <f t="shared" si="20"/>
        <v>0.90103395000000575</v>
      </c>
      <c r="N54" s="69"/>
      <c r="O54" s="120">
        <v>39070.530704924771</v>
      </c>
      <c r="P54" s="120">
        <v>2750.3999301541553</v>
      </c>
      <c r="Q54" s="36">
        <v>110.247</v>
      </c>
      <c r="R54" s="36">
        <v>17.084316666666695</v>
      </c>
      <c r="S54" s="122">
        <f t="shared" si="5"/>
        <v>391807777.04924774</v>
      </c>
      <c r="T54" s="122">
        <f t="shared" si="6"/>
        <v>27674842.46820822</v>
      </c>
      <c r="V54" s="120">
        <f t="shared" si="21"/>
        <v>130963.35800000001</v>
      </c>
      <c r="W54" s="119">
        <f t="shared" si="22"/>
        <v>1053269.1900000013</v>
      </c>
      <c r="X54" s="69">
        <f t="shared" si="8"/>
        <v>4.7322169277185808E-3</v>
      </c>
      <c r="Y54" s="121">
        <f t="shared" si="23"/>
        <v>4.610045700000065E-3</v>
      </c>
      <c r="AA54" s="120">
        <v>2557792.1890479573</v>
      </c>
      <c r="AB54" s="120">
        <v>292131.55189745687</v>
      </c>
      <c r="AC54" s="36">
        <v>10043855.955612499</v>
      </c>
      <c r="AD54" s="36">
        <v>1064054.9954514485</v>
      </c>
      <c r="AE54" s="120">
        <f t="shared" si="10"/>
        <v>12601648.144660456</v>
      </c>
      <c r="AF54" s="122">
        <f t="shared" si="11"/>
        <v>1356186.5473489054</v>
      </c>
      <c r="AH54" s="120">
        <f t="shared" si="24"/>
        <v>26013.002200000221</v>
      </c>
      <c r="AI54" s="119">
        <f t="shared" si="25"/>
        <v>325058.72400000226</v>
      </c>
      <c r="AJ54" s="69">
        <f t="shared" si="13"/>
        <v>1.9180991177689267E-2</v>
      </c>
      <c r="AK54" s="121">
        <f t="shared" si="26"/>
        <v>2.0126621000000067E-2</v>
      </c>
    </row>
    <row r="55" spans="2:37" x14ac:dyDescent="0.15">
      <c r="B55" s="36">
        <v>2060</v>
      </c>
      <c r="C55" s="120">
        <v>615673.67917022377</v>
      </c>
      <c r="D55" s="120">
        <v>48413.042837041081</v>
      </c>
      <c r="E55" s="125">
        <v>1742574.0000000002</v>
      </c>
      <c r="F55" s="124">
        <v>152563.31220172485</v>
      </c>
      <c r="G55" s="120">
        <f t="shared" si="0"/>
        <v>2358247.6791702239</v>
      </c>
      <c r="H55" s="120">
        <f t="shared" si="1"/>
        <v>200976.35503876593</v>
      </c>
      <c r="J55" s="123">
        <f t="shared" si="18"/>
        <v>197871.19999999925</v>
      </c>
      <c r="K55" s="120">
        <f t="shared" si="19"/>
        <v>2457813.1499999911</v>
      </c>
      <c r="L55" s="69">
        <f t="shared" si="3"/>
        <v>0.9845496499418166</v>
      </c>
      <c r="M55" s="121">
        <f t="shared" si="20"/>
        <v>0.92348300000000449</v>
      </c>
      <c r="N55" s="69"/>
      <c r="O55" s="120">
        <v>38895.346745635819</v>
      </c>
      <c r="P55" s="120">
        <v>2749.1053638713347</v>
      </c>
      <c r="Q55" s="36">
        <v>110.247</v>
      </c>
      <c r="R55" s="36">
        <v>16.688216666666648</v>
      </c>
      <c r="S55" s="122">
        <f t="shared" si="5"/>
        <v>390055937.45635819</v>
      </c>
      <c r="T55" s="122">
        <f t="shared" si="6"/>
        <v>27657935.805380013</v>
      </c>
      <c r="V55" s="120">
        <f t="shared" si="21"/>
        <v>134446.71999999974</v>
      </c>
      <c r="W55" s="119">
        <f t="shared" si="22"/>
        <v>1084619.4480000008</v>
      </c>
      <c r="X55" s="69">
        <f t="shared" si="8"/>
        <v>4.8610540188558544E-3</v>
      </c>
      <c r="Y55" s="121">
        <f t="shared" si="23"/>
        <v>4.7363380000000621E-3</v>
      </c>
      <c r="AA55" s="120">
        <v>2621609.8793872031</v>
      </c>
      <c r="AB55" s="120">
        <v>299252.05218666932</v>
      </c>
      <c r="AC55" s="36">
        <v>10079655.562785538</v>
      </c>
      <c r="AD55" s="36">
        <v>1064551.7122853398</v>
      </c>
      <c r="AE55" s="120">
        <f t="shared" si="10"/>
        <v>12701265.442172742</v>
      </c>
      <c r="AF55" s="122">
        <f t="shared" si="11"/>
        <v>1363803.7644720091</v>
      </c>
      <c r="AH55" s="120">
        <f t="shared" si="24"/>
        <v>26633.347999999998</v>
      </c>
      <c r="AI55" s="119">
        <f t="shared" si="25"/>
        <v>334363.91100000218</v>
      </c>
      <c r="AJ55" s="69">
        <f t="shared" si="13"/>
        <v>1.952872450847867E-2</v>
      </c>
      <c r="AK55" s="121">
        <f t="shared" si="26"/>
        <v>2.0550140000000106E-2</v>
      </c>
    </row>
  </sheetData>
  <mergeCells count="9">
    <mergeCell ref="AA8:AB8"/>
    <mergeCell ref="AC8:AD8"/>
    <mergeCell ref="AE8:AK8"/>
    <mergeCell ref="C8:D8"/>
    <mergeCell ref="E8:F8"/>
    <mergeCell ref="O8:P8"/>
    <mergeCell ref="Q8:R8"/>
    <mergeCell ref="G8:M8"/>
    <mergeCell ref="S8:Y8"/>
  </mergeCells>
  <phoneticPr fontId="10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6"/>
  <sheetViews>
    <sheetView workbookViewId="0"/>
  </sheetViews>
  <sheetFormatPr defaultRowHeight="12.9" x14ac:dyDescent="0.15"/>
  <sheetData>
    <row r="1" spans="1:36" x14ac:dyDescent="0.15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156</v>
      </c>
    </row>
    <row r="10" spans="1:36" x14ac:dyDescent="0.15">
      <c r="A10" t="s">
        <v>149</v>
      </c>
    </row>
    <row r="11" spans="1:36" x14ac:dyDescent="0.15">
      <c r="A11" t="s">
        <v>150</v>
      </c>
    </row>
    <row r="12" spans="1:36" x14ac:dyDescent="0.15">
      <c r="A12" t="s">
        <v>151</v>
      </c>
    </row>
    <row r="13" spans="1:36" x14ac:dyDescent="0.15">
      <c r="A13" t="s">
        <v>152</v>
      </c>
    </row>
    <row r="14" spans="1:36" x14ac:dyDescent="0.15">
      <c r="B14" t="s">
        <v>153</v>
      </c>
      <c r="C14" t="s">
        <v>154</v>
      </c>
      <c r="D14" t="s">
        <v>155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156</v>
      </c>
    </row>
    <row r="15" spans="1:36" x14ac:dyDescent="0.15">
      <c r="A15" t="s">
        <v>157</v>
      </c>
      <c r="C15" t="s">
        <v>158</v>
      </c>
    </row>
    <row r="16" spans="1:36" x14ac:dyDescent="0.15">
      <c r="A16" t="s">
        <v>159</v>
      </c>
      <c r="C16" t="s">
        <v>160</v>
      </c>
    </row>
    <row r="17" spans="1:36" x14ac:dyDescent="0.15">
      <c r="A17" t="s">
        <v>161</v>
      </c>
      <c r="B17" t="s">
        <v>162</v>
      </c>
      <c r="C17" t="s">
        <v>163</v>
      </c>
      <c r="D17" t="s">
        <v>164</v>
      </c>
      <c r="E17">
        <v>4430.5400390000004</v>
      </c>
      <c r="F17">
        <v>4768.9262699999999</v>
      </c>
      <c r="G17">
        <v>5242.6860349999997</v>
      </c>
      <c r="H17">
        <v>5277.4257809999999</v>
      </c>
      <c r="I17">
        <v>5332.482422</v>
      </c>
      <c r="J17">
        <v>5366.3647460000002</v>
      </c>
      <c r="K17">
        <v>5276.0283200000003</v>
      </c>
      <c r="L17">
        <v>5157.7226559999999</v>
      </c>
      <c r="M17">
        <v>5160.4291990000002</v>
      </c>
      <c r="N17">
        <v>5150.4785160000001</v>
      </c>
      <c r="O17">
        <v>5149.1210940000001</v>
      </c>
      <c r="P17">
        <v>5129.0278319999998</v>
      </c>
      <c r="Q17">
        <v>5123.6499020000001</v>
      </c>
      <c r="R17">
        <v>5107.1650390000004</v>
      </c>
      <c r="S17">
        <v>5106.6157229999999</v>
      </c>
      <c r="T17">
        <v>5067.029297</v>
      </c>
      <c r="U17">
        <v>4988.6606449999999</v>
      </c>
      <c r="V17">
        <v>4915.4423829999996</v>
      </c>
      <c r="W17">
        <v>4879.7421880000002</v>
      </c>
      <c r="X17">
        <v>4824.8183589999999</v>
      </c>
      <c r="Y17">
        <v>4767.015625</v>
      </c>
      <c r="Z17">
        <v>4718.7866210000002</v>
      </c>
      <c r="AA17">
        <v>4672.1494140000004</v>
      </c>
      <c r="AB17">
        <v>4616.1040039999998</v>
      </c>
      <c r="AC17">
        <v>4570.1870120000003</v>
      </c>
      <c r="AD17">
        <v>4571.701172</v>
      </c>
      <c r="AE17">
        <v>4505.4287109999996</v>
      </c>
      <c r="AF17">
        <v>4434.6743159999996</v>
      </c>
      <c r="AG17">
        <v>4405.3608400000003</v>
      </c>
      <c r="AH17">
        <v>4332.6879879999997</v>
      </c>
      <c r="AI17">
        <v>4252.9243159999996</v>
      </c>
      <c r="AJ17" s="32">
        <v>-1E-3</v>
      </c>
    </row>
    <row r="18" spans="1:36" x14ac:dyDescent="0.15">
      <c r="A18" t="s">
        <v>165</v>
      </c>
      <c r="B18" t="s">
        <v>166</v>
      </c>
      <c r="C18" t="s">
        <v>167</v>
      </c>
      <c r="D18" t="s">
        <v>164</v>
      </c>
      <c r="E18">
        <v>9.1703000000000007E-2</v>
      </c>
      <c r="F18">
        <v>9.0031E-2</v>
      </c>
      <c r="G18">
        <v>9.4423999999999994E-2</v>
      </c>
      <c r="H18">
        <v>8.9815000000000006E-2</v>
      </c>
      <c r="I18">
        <v>8.7709999999999996E-2</v>
      </c>
      <c r="J18">
        <v>8.9249999999999996E-2</v>
      </c>
      <c r="K18">
        <v>8.6430999999999994E-2</v>
      </c>
      <c r="L18">
        <v>8.3304000000000003E-2</v>
      </c>
      <c r="M18">
        <v>8.455E-2</v>
      </c>
      <c r="N18">
        <v>8.4074999999999997E-2</v>
      </c>
      <c r="O18">
        <v>8.3117999999999997E-2</v>
      </c>
      <c r="P18">
        <v>8.4137000000000003E-2</v>
      </c>
      <c r="Q18">
        <v>8.3977999999999997E-2</v>
      </c>
      <c r="R18">
        <v>8.3596000000000004E-2</v>
      </c>
      <c r="S18">
        <v>8.4751999999999994E-2</v>
      </c>
      <c r="T18">
        <v>8.4325999999999998E-2</v>
      </c>
      <c r="U18">
        <v>8.3612000000000006E-2</v>
      </c>
      <c r="V18">
        <v>8.1952999999999998E-2</v>
      </c>
      <c r="W18">
        <v>8.1092999999999998E-2</v>
      </c>
      <c r="X18">
        <v>8.1319000000000002E-2</v>
      </c>
      <c r="Y18">
        <v>7.8959000000000001E-2</v>
      </c>
      <c r="Z18">
        <v>7.8243999999999994E-2</v>
      </c>
      <c r="AA18">
        <v>7.7311000000000005E-2</v>
      </c>
      <c r="AB18">
        <v>7.6275999999999997E-2</v>
      </c>
      <c r="AC18">
        <v>7.5326000000000004E-2</v>
      </c>
      <c r="AD18">
        <v>7.5412999999999994E-2</v>
      </c>
      <c r="AE18">
        <v>7.4001999999999998E-2</v>
      </c>
      <c r="AF18">
        <v>7.2724999999999998E-2</v>
      </c>
      <c r="AG18">
        <v>7.1912000000000004E-2</v>
      </c>
      <c r="AH18">
        <v>7.0516999999999996E-2</v>
      </c>
      <c r="AI18">
        <v>6.9125000000000006E-2</v>
      </c>
      <c r="AJ18" s="32">
        <v>-8.9999999999999993E-3</v>
      </c>
    </row>
    <row r="19" spans="1:36" x14ac:dyDescent="0.15">
      <c r="A19" t="s">
        <v>168</v>
      </c>
      <c r="B19" t="s">
        <v>169</v>
      </c>
      <c r="C19" t="s">
        <v>170</v>
      </c>
      <c r="D19" t="s">
        <v>164</v>
      </c>
      <c r="E19">
        <v>4430.6318359999996</v>
      </c>
      <c r="F19">
        <v>4769.0161129999997</v>
      </c>
      <c r="G19">
        <v>5242.7802730000003</v>
      </c>
      <c r="H19">
        <v>5277.515625</v>
      </c>
      <c r="I19">
        <v>5332.5703119999998</v>
      </c>
      <c r="J19">
        <v>5366.4541019999997</v>
      </c>
      <c r="K19">
        <v>5276.1147460000002</v>
      </c>
      <c r="L19">
        <v>5157.8061520000001</v>
      </c>
      <c r="M19">
        <v>5160.513672</v>
      </c>
      <c r="N19">
        <v>5150.5625</v>
      </c>
      <c r="O19">
        <v>5149.2041019999997</v>
      </c>
      <c r="P19">
        <v>5129.1118159999996</v>
      </c>
      <c r="Q19">
        <v>5123.7338870000003</v>
      </c>
      <c r="R19">
        <v>5107.2485349999997</v>
      </c>
      <c r="S19">
        <v>5106.7006840000004</v>
      </c>
      <c r="T19">
        <v>5067.1137699999999</v>
      </c>
      <c r="U19">
        <v>4988.7441410000001</v>
      </c>
      <c r="V19">
        <v>4915.5244140000004</v>
      </c>
      <c r="W19">
        <v>4879.8232420000004</v>
      </c>
      <c r="X19">
        <v>4824.8999020000001</v>
      </c>
      <c r="Y19">
        <v>4767.0947269999997</v>
      </c>
      <c r="Z19">
        <v>4718.8647460000002</v>
      </c>
      <c r="AA19">
        <v>4672.2265619999998</v>
      </c>
      <c r="AB19">
        <v>4616.1801759999998</v>
      </c>
      <c r="AC19">
        <v>4570.2622069999998</v>
      </c>
      <c r="AD19">
        <v>4571.7763670000004</v>
      </c>
      <c r="AE19">
        <v>4505.5029299999997</v>
      </c>
      <c r="AF19">
        <v>4434.7470700000003</v>
      </c>
      <c r="AG19">
        <v>4405.4326170000004</v>
      </c>
      <c r="AH19">
        <v>4332.7583009999998</v>
      </c>
      <c r="AI19">
        <v>4252.9936520000001</v>
      </c>
      <c r="AJ19" s="32">
        <v>-1E-3</v>
      </c>
    </row>
    <row r="20" spans="1:36" x14ac:dyDescent="0.15">
      <c r="A20" t="s">
        <v>171</v>
      </c>
      <c r="C20" t="s">
        <v>172</v>
      </c>
    </row>
    <row r="21" spans="1:36" x14ac:dyDescent="0.15">
      <c r="A21" t="s">
        <v>173</v>
      </c>
      <c r="B21" t="s">
        <v>174</v>
      </c>
      <c r="C21" t="s">
        <v>175</v>
      </c>
      <c r="D21" t="s">
        <v>164</v>
      </c>
      <c r="E21">
        <v>82.865729999999999</v>
      </c>
      <c r="F21">
        <v>88.778244000000001</v>
      </c>
      <c r="G21">
        <v>97.887755999999996</v>
      </c>
      <c r="H21">
        <v>98.749519000000006</v>
      </c>
      <c r="I21">
        <v>99.876137</v>
      </c>
      <c r="J21">
        <v>100.600273</v>
      </c>
      <c r="K21">
        <v>99.069312999999994</v>
      </c>
      <c r="L21">
        <v>97.080337999999998</v>
      </c>
      <c r="M21">
        <v>97.452324000000004</v>
      </c>
      <c r="N21">
        <v>97.519157000000007</v>
      </c>
      <c r="O21">
        <v>97.800719999999998</v>
      </c>
      <c r="P21">
        <v>97.808364999999995</v>
      </c>
      <c r="Q21">
        <v>98.015251000000006</v>
      </c>
      <c r="R21">
        <v>98.066704000000001</v>
      </c>
      <c r="S21">
        <v>98.425704999999994</v>
      </c>
      <c r="T21">
        <v>98.079757999999998</v>
      </c>
      <c r="U21">
        <v>96.899742000000003</v>
      </c>
      <c r="V21">
        <v>95.840691000000007</v>
      </c>
      <c r="W21">
        <v>95.533233999999993</v>
      </c>
      <c r="X21">
        <v>94.846573000000006</v>
      </c>
      <c r="Y21">
        <v>94.080093000000005</v>
      </c>
      <c r="Z21">
        <v>93.468681000000004</v>
      </c>
      <c r="AA21">
        <v>92.857795999999993</v>
      </c>
      <c r="AB21">
        <v>92.050880000000006</v>
      </c>
      <c r="AC21">
        <v>91.469420999999997</v>
      </c>
      <c r="AD21">
        <v>91.848557</v>
      </c>
      <c r="AE21">
        <v>90.884299999999996</v>
      </c>
      <c r="AF21">
        <v>89.801238999999995</v>
      </c>
      <c r="AG21">
        <v>89.570892000000001</v>
      </c>
      <c r="AH21">
        <v>88.466881000000001</v>
      </c>
      <c r="AI21">
        <v>87.250068999999996</v>
      </c>
      <c r="AJ21" s="32">
        <v>2E-3</v>
      </c>
    </row>
    <row r="22" spans="1:36" x14ac:dyDescent="0.15">
      <c r="A22" t="s">
        <v>176</v>
      </c>
      <c r="B22" t="s">
        <v>177</v>
      </c>
      <c r="C22" t="s">
        <v>178</v>
      </c>
      <c r="D22" t="s">
        <v>164</v>
      </c>
      <c r="E22">
        <v>2.0141610000000001</v>
      </c>
      <c r="F22">
        <v>2.1167549999999999</v>
      </c>
      <c r="G22">
        <v>2.187926</v>
      </c>
      <c r="H22">
        <v>2.1156649999999999</v>
      </c>
      <c r="I22">
        <v>2.1331000000000002</v>
      </c>
      <c r="J22">
        <v>2.1878470000000001</v>
      </c>
      <c r="K22">
        <v>2.2507450000000002</v>
      </c>
      <c r="L22">
        <v>2.3191920000000001</v>
      </c>
      <c r="M22">
        <v>2.4630990000000001</v>
      </c>
      <c r="N22">
        <v>2.6162890000000001</v>
      </c>
      <c r="O22">
        <v>2.8022209999999999</v>
      </c>
      <c r="P22">
        <v>2.953589</v>
      </c>
      <c r="Q22">
        <v>3.1204510000000001</v>
      </c>
      <c r="R22">
        <v>3.262651</v>
      </c>
      <c r="S22">
        <v>3.4054700000000002</v>
      </c>
      <c r="T22">
        <v>3.4967199999999998</v>
      </c>
      <c r="U22">
        <v>3.5487950000000001</v>
      </c>
      <c r="V22">
        <v>3.5898059999999998</v>
      </c>
      <c r="W22">
        <v>3.6460110000000001</v>
      </c>
      <c r="X22">
        <v>3.6739130000000002</v>
      </c>
      <c r="Y22">
        <v>3.6936909999999998</v>
      </c>
      <c r="Z22">
        <v>3.701219</v>
      </c>
      <c r="AA22">
        <v>3.7075459999999998</v>
      </c>
      <c r="AB22">
        <v>3.7041620000000002</v>
      </c>
      <c r="AC22">
        <v>3.7067700000000001</v>
      </c>
      <c r="AD22">
        <v>3.748243</v>
      </c>
      <c r="AE22">
        <v>3.7305229999999998</v>
      </c>
      <c r="AF22">
        <v>3.7078289999999998</v>
      </c>
      <c r="AG22">
        <v>3.7189480000000001</v>
      </c>
      <c r="AH22">
        <v>3.697174</v>
      </c>
      <c r="AI22">
        <v>3.6692339999999999</v>
      </c>
      <c r="AJ22" s="32">
        <v>0.02</v>
      </c>
    </row>
    <row r="23" spans="1:36" x14ac:dyDescent="0.15">
      <c r="A23" t="s">
        <v>179</v>
      </c>
      <c r="B23" t="s">
        <v>180</v>
      </c>
      <c r="C23" t="s">
        <v>181</v>
      </c>
      <c r="D23" t="s">
        <v>164</v>
      </c>
      <c r="E23">
        <v>45.098399999999998</v>
      </c>
      <c r="F23">
        <v>43.183132000000001</v>
      </c>
      <c r="G23">
        <v>44.878860000000003</v>
      </c>
      <c r="H23">
        <v>42.311188000000001</v>
      </c>
      <c r="I23">
        <v>41.219119999999997</v>
      </c>
      <c r="J23">
        <v>41.567672999999999</v>
      </c>
      <c r="K23">
        <v>41.456791000000003</v>
      </c>
      <c r="L23">
        <v>43.140450000000001</v>
      </c>
      <c r="M23">
        <v>46.895927</v>
      </c>
      <c r="N23">
        <v>51.488796000000001</v>
      </c>
      <c r="O23">
        <v>58.315021999999999</v>
      </c>
      <c r="P23">
        <v>64.530876000000006</v>
      </c>
      <c r="Q23">
        <v>72.045967000000005</v>
      </c>
      <c r="R23">
        <v>79.581985000000003</v>
      </c>
      <c r="S23">
        <v>87.853249000000005</v>
      </c>
      <c r="T23">
        <v>94.674225000000007</v>
      </c>
      <c r="U23">
        <v>100.86777499999999</v>
      </c>
      <c r="V23">
        <v>107.29220599999999</v>
      </c>
      <c r="W23">
        <v>114.558159</v>
      </c>
      <c r="X23">
        <v>120.887489</v>
      </c>
      <c r="Y23">
        <v>127.426682</v>
      </c>
      <c r="Z23">
        <v>133.08253500000001</v>
      </c>
      <c r="AA23">
        <v>138.54510500000001</v>
      </c>
      <c r="AB23">
        <v>144.04106100000001</v>
      </c>
      <c r="AC23">
        <v>150.035324</v>
      </c>
      <c r="AD23">
        <v>158.088089</v>
      </c>
      <c r="AE23">
        <v>163.426514</v>
      </c>
      <c r="AF23">
        <v>168.74787900000001</v>
      </c>
      <c r="AG23">
        <v>175.613022</v>
      </c>
      <c r="AH23">
        <v>181.703384</v>
      </c>
      <c r="AI23">
        <v>187.48808299999999</v>
      </c>
      <c r="AJ23" s="32">
        <v>4.9000000000000002E-2</v>
      </c>
    </row>
    <row r="24" spans="1:36" x14ac:dyDescent="0.15">
      <c r="A24" t="s">
        <v>182</v>
      </c>
      <c r="B24" t="s">
        <v>183</v>
      </c>
      <c r="C24" t="s">
        <v>184</v>
      </c>
      <c r="D24" t="s">
        <v>164</v>
      </c>
      <c r="E24">
        <v>65.759253999999999</v>
      </c>
      <c r="F24">
        <v>57.491382999999999</v>
      </c>
      <c r="G24">
        <v>66.992439000000005</v>
      </c>
      <c r="H24">
        <v>73.780128000000005</v>
      </c>
      <c r="I24">
        <v>80.019737000000006</v>
      </c>
      <c r="J24">
        <v>83.488006999999996</v>
      </c>
      <c r="K24">
        <v>88.954521</v>
      </c>
      <c r="L24">
        <v>94.401580999999993</v>
      </c>
      <c r="M24">
        <v>105.246628</v>
      </c>
      <c r="N24">
        <v>117.28207399999999</v>
      </c>
      <c r="O24">
        <v>132.60144</v>
      </c>
      <c r="P24">
        <v>153.49262999999999</v>
      </c>
      <c r="Q24">
        <v>173.61665300000001</v>
      </c>
      <c r="R24">
        <v>198.33242799999999</v>
      </c>
      <c r="S24">
        <v>225.30926500000001</v>
      </c>
      <c r="T24">
        <v>254.45285000000001</v>
      </c>
      <c r="U24">
        <v>278.038544</v>
      </c>
      <c r="V24">
        <v>303.48288000000002</v>
      </c>
      <c r="W24">
        <v>332.549622</v>
      </c>
      <c r="X24">
        <v>360.707672</v>
      </c>
      <c r="Y24">
        <v>386.63501000000002</v>
      </c>
      <c r="Z24">
        <v>406.61685199999999</v>
      </c>
      <c r="AA24">
        <v>425.57904100000002</v>
      </c>
      <c r="AB24">
        <v>443.11395299999998</v>
      </c>
      <c r="AC24">
        <v>462.96020499999997</v>
      </c>
      <c r="AD24">
        <v>488.96313500000002</v>
      </c>
      <c r="AE24">
        <v>510.02221700000001</v>
      </c>
      <c r="AF24">
        <v>528.28735400000005</v>
      </c>
      <c r="AG24">
        <v>553.26159700000005</v>
      </c>
      <c r="AH24">
        <v>572.91253700000004</v>
      </c>
      <c r="AI24">
        <v>594.61016800000004</v>
      </c>
      <c r="AJ24" s="32">
        <v>7.5999999999999998E-2</v>
      </c>
    </row>
    <row r="25" spans="1:36" x14ac:dyDescent="0.15">
      <c r="A25" t="s">
        <v>185</v>
      </c>
      <c r="B25" t="s">
        <v>186</v>
      </c>
      <c r="C25" t="s">
        <v>187</v>
      </c>
      <c r="D25" t="s">
        <v>164</v>
      </c>
      <c r="E25">
        <v>20.674416000000001</v>
      </c>
      <c r="F25">
        <v>28.176988999999999</v>
      </c>
      <c r="G25">
        <v>33.950932000000002</v>
      </c>
      <c r="H25">
        <v>36.931286</v>
      </c>
      <c r="I25">
        <v>41.969532000000001</v>
      </c>
      <c r="J25">
        <v>48.640994999999997</v>
      </c>
      <c r="K25">
        <v>55.013874000000001</v>
      </c>
      <c r="L25">
        <v>62.905365000000003</v>
      </c>
      <c r="M25">
        <v>73.882957000000005</v>
      </c>
      <c r="N25">
        <v>77.068755999999993</v>
      </c>
      <c r="O25">
        <v>80.696731999999997</v>
      </c>
      <c r="P25">
        <v>81.135765000000006</v>
      </c>
      <c r="Q25">
        <v>83.302795000000003</v>
      </c>
      <c r="R25">
        <v>84.292327999999998</v>
      </c>
      <c r="S25">
        <v>85.728806000000006</v>
      </c>
      <c r="T25">
        <v>84.681640999999999</v>
      </c>
      <c r="U25">
        <v>83.560676999999998</v>
      </c>
      <c r="V25">
        <v>82.382141000000004</v>
      </c>
      <c r="W25">
        <v>81.626305000000002</v>
      </c>
      <c r="X25">
        <v>79.956458999999995</v>
      </c>
      <c r="Y25">
        <v>78.624977000000001</v>
      </c>
      <c r="Z25">
        <v>76.511696000000001</v>
      </c>
      <c r="AA25">
        <v>74.205223000000004</v>
      </c>
      <c r="AB25">
        <v>72.000122000000005</v>
      </c>
      <c r="AC25">
        <v>69.958206000000004</v>
      </c>
      <c r="AD25">
        <v>68.774047999999993</v>
      </c>
      <c r="AE25">
        <v>66.152739999999994</v>
      </c>
      <c r="AF25">
        <v>63.704295999999999</v>
      </c>
      <c r="AG25">
        <v>61.705100999999999</v>
      </c>
      <c r="AH25">
        <v>59.545723000000002</v>
      </c>
      <c r="AI25">
        <v>57.139907999999998</v>
      </c>
      <c r="AJ25" s="32">
        <v>3.4000000000000002E-2</v>
      </c>
    </row>
    <row r="26" spans="1:36" x14ac:dyDescent="0.15">
      <c r="A26" t="s">
        <v>188</v>
      </c>
      <c r="B26" t="s">
        <v>189</v>
      </c>
      <c r="C26" t="s">
        <v>190</v>
      </c>
      <c r="D26" t="s">
        <v>164</v>
      </c>
      <c r="E26">
        <v>5.3106419999999996</v>
      </c>
      <c r="F26">
        <v>5.6303320000000001</v>
      </c>
      <c r="G26">
        <v>5.2414160000000001</v>
      </c>
      <c r="H26">
        <v>4.6340560000000002</v>
      </c>
      <c r="I26">
        <v>4.4100590000000004</v>
      </c>
      <c r="J26">
        <v>4.3392419999999996</v>
      </c>
      <c r="K26">
        <v>4.3922869999999996</v>
      </c>
      <c r="L26">
        <v>4.544848</v>
      </c>
      <c r="M26">
        <v>4.8866290000000001</v>
      </c>
      <c r="N26">
        <v>5.3271199999999999</v>
      </c>
      <c r="O26">
        <v>5.9793890000000003</v>
      </c>
      <c r="P26">
        <v>6.4114420000000001</v>
      </c>
      <c r="Q26">
        <v>6.8253269999999997</v>
      </c>
      <c r="R26">
        <v>7.1649520000000004</v>
      </c>
      <c r="S26">
        <v>7.5200129999999996</v>
      </c>
      <c r="T26">
        <v>7.7050919999999996</v>
      </c>
      <c r="U26">
        <v>7.8150329999999997</v>
      </c>
      <c r="V26">
        <v>7.9051960000000001</v>
      </c>
      <c r="W26">
        <v>8.0241579999999999</v>
      </c>
      <c r="X26">
        <v>8.0557169999999996</v>
      </c>
      <c r="Y26">
        <v>8.0790989999999994</v>
      </c>
      <c r="Z26">
        <v>8.0360820000000004</v>
      </c>
      <c r="AA26">
        <v>7.9697839999999998</v>
      </c>
      <c r="AB26">
        <v>7.8934300000000004</v>
      </c>
      <c r="AC26">
        <v>7.8318729999999999</v>
      </c>
      <c r="AD26">
        <v>7.8577079999999997</v>
      </c>
      <c r="AE26">
        <v>7.7429709999999998</v>
      </c>
      <c r="AF26">
        <v>7.623875</v>
      </c>
      <c r="AG26">
        <v>7.568454</v>
      </c>
      <c r="AH26">
        <v>7.464639</v>
      </c>
      <c r="AI26">
        <v>7.3430020000000003</v>
      </c>
      <c r="AJ26" s="32">
        <v>1.0999999999999999E-2</v>
      </c>
    </row>
    <row r="27" spans="1:36" x14ac:dyDescent="0.15">
      <c r="A27" t="s">
        <v>191</v>
      </c>
      <c r="B27" t="s">
        <v>192</v>
      </c>
      <c r="C27" t="s">
        <v>193</v>
      </c>
      <c r="D27" t="s">
        <v>164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23</v>
      </c>
    </row>
    <row r="28" spans="1:36" x14ac:dyDescent="0.15">
      <c r="A28" t="s">
        <v>194</v>
      </c>
      <c r="B28" t="s">
        <v>195</v>
      </c>
      <c r="C28" t="s">
        <v>196</v>
      </c>
      <c r="D28" t="s">
        <v>164</v>
      </c>
      <c r="E28">
        <v>121.397232</v>
      </c>
      <c r="F28">
        <v>136.909775</v>
      </c>
      <c r="G28">
        <v>161.620529</v>
      </c>
      <c r="H28">
        <v>172.90016199999999</v>
      </c>
      <c r="I28">
        <v>185.48762500000001</v>
      </c>
      <c r="J28">
        <v>197.378525</v>
      </c>
      <c r="K28">
        <v>206.532532</v>
      </c>
      <c r="L28">
        <v>216.445618</v>
      </c>
      <c r="M28">
        <v>232.97335799999999</v>
      </c>
      <c r="N28">
        <v>246.07936100000001</v>
      </c>
      <c r="O28">
        <v>261.67312600000002</v>
      </c>
      <c r="P28">
        <v>274.52325400000001</v>
      </c>
      <c r="Q28">
        <v>287.88394199999999</v>
      </c>
      <c r="R28">
        <v>300.89297499999998</v>
      </c>
      <c r="S28">
        <v>315.429779</v>
      </c>
      <c r="T28">
        <v>326.46142600000002</v>
      </c>
      <c r="U28">
        <v>334.92172199999999</v>
      </c>
      <c r="V28">
        <v>344.05874599999999</v>
      </c>
      <c r="W28">
        <v>356.154785</v>
      </c>
      <c r="X28">
        <v>366.537689</v>
      </c>
      <c r="Y28">
        <v>377.08914199999998</v>
      </c>
      <c r="Z28">
        <v>390.3526</v>
      </c>
      <c r="AA28">
        <v>401.862122</v>
      </c>
      <c r="AB28">
        <v>413.02459700000003</v>
      </c>
      <c r="AC28">
        <v>425.68554699999999</v>
      </c>
      <c r="AD28">
        <v>443.74679600000002</v>
      </c>
      <c r="AE28">
        <v>455.27056900000002</v>
      </c>
      <c r="AF28">
        <v>466.52200299999998</v>
      </c>
      <c r="AG28">
        <v>482.34301799999997</v>
      </c>
      <c r="AH28">
        <v>494.321167</v>
      </c>
      <c r="AI28">
        <v>505.77969400000001</v>
      </c>
      <c r="AJ28" s="32">
        <v>4.9000000000000002E-2</v>
      </c>
    </row>
    <row r="29" spans="1:36" x14ac:dyDescent="0.15">
      <c r="A29" t="s">
        <v>197</v>
      </c>
      <c r="B29" t="s">
        <v>198</v>
      </c>
      <c r="C29" t="s">
        <v>199</v>
      </c>
      <c r="D29" t="s">
        <v>164</v>
      </c>
      <c r="E29">
        <v>0.43629899999999999</v>
      </c>
      <c r="F29">
        <v>0.44688600000000001</v>
      </c>
      <c r="G29">
        <v>0.54858899999999999</v>
      </c>
      <c r="H29">
        <v>0.60780699999999999</v>
      </c>
      <c r="I29">
        <v>0.65428600000000003</v>
      </c>
      <c r="J29">
        <v>0.68139700000000003</v>
      </c>
      <c r="K29">
        <v>0.67553300000000005</v>
      </c>
      <c r="L29">
        <v>0.66068800000000005</v>
      </c>
      <c r="M29">
        <v>0.66388499999999995</v>
      </c>
      <c r="N29">
        <v>0.65932400000000002</v>
      </c>
      <c r="O29">
        <v>0.65431600000000001</v>
      </c>
      <c r="P29">
        <v>0.66020900000000005</v>
      </c>
      <c r="Q29">
        <v>0.65928699999999996</v>
      </c>
      <c r="R29">
        <v>0.66081100000000004</v>
      </c>
      <c r="S29">
        <v>0.66457699999999997</v>
      </c>
      <c r="T29">
        <v>0.66665700000000006</v>
      </c>
      <c r="U29">
        <v>0.65699399999999997</v>
      </c>
      <c r="V29">
        <v>0.65082700000000004</v>
      </c>
      <c r="W29">
        <v>0.65140600000000004</v>
      </c>
      <c r="X29">
        <v>0.64930500000000002</v>
      </c>
      <c r="Y29">
        <v>0.64486699999999997</v>
      </c>
      <c r="Z29">
        <v>0.64294700000000005</v>
      </c>
      <c r="AA29">
        <v>0.64115999999999995</v>
      </c>
      <c r="AB29">
        <v>0.63736599999999999</v>
      </c>
      <c r="AC29">
        <v>0.635911</v>
      </c>
      <c r="AD29">
        <v>0.64154299999999997</v>
      </c>
      <c r="AE29">
        <v>0.63843099999999997</v>
      </c>
      <c r="AF29">
        <v>0.63314400000000004</v>
      </c>
      <c r="AG29">
        <v>0.63452600000000003</v>
      </c>
      <c r="AH29">
        <v>0.62921300000000002</v>
      </c>
      <c r="AI29">
        <v>0.62481299999999995</v>
      </c>
      <c r="AJ29" s="32">
        <v>1.2E-2</v>
      </c>
    </row>
    <row r="30" spans="1:36" x14ac:dyDescent="0.15">
      <c r="A30" t="s">
        <v>200</v>
      </c>
      <c r="B30" t="s">
        <v>201</v>
      </c>
      <c r="C30" t="s">
        <v>202</v>
      </c>
      <c r="D30" t="s">
        <v>164</v>
      </c>
      <c r="E30">
        <v>2.233771</v>
      </c>
      <c r="F30">
        <v>2.3549190000000002</v>
      </c>
      <c r="G30">
        <v>2.6102080000000001</v>
      </c>
      <c r="H30">
        <v>2.6420149999999998</v>
      </c>
      <c r="I30">
        <v>2.6773419999999999</v>
      </c>
      <c r="J30">
        <v>2.7028590000000001</v>
      </c>
      <c r="K30">
        <v>2.6681970000000002</v>
      </c>
      <c r="L30">
        <v>2.6230820000000001</v>
      </c>
      <c r="M30">
        <v>2.6450670000000001</v>
      </c>
      <c r="N30">
        <v>2.6557900000000001</v>
      </c>
      <c r="O30">
        <v>2.6701060000000001</v>
      </c>
      <c r="P30">
        <v>2.6834129999999998</v>
      </c>
      <c r="Q30">
        <v>2.6993930000000002</v>
      </c>
      <c r="R30">
        <v>2.7136650000000002</v>
      </c>
      <c r="S30">
        <v>2.737803</v>
      </c>
      <c r="T30">
        <v>2.7418469999999999</v>
      </c>
      <c r="U30">
        <v>2.7204739999999998</v>
      </c>
      <c r="V30">
        <v>2.7040519999999999</v>
      </c>
      <c r="W30">
        <v>2.7096710000000002</v>
      </c>
      <c r="X30">
        <v>2.7040820000000001</v>
      </c>
      <c r="Y30">
        <v>2.6957080000000002</v>
      </c>
      <c r="Z30">
        <v>2.6903959999999998</v>
      </c>
      <c r="AA30">
        <v>2.6841889999999999</v>
      </c>
      <c r="AB30">
        <v>2.672501</v>
      </c>
      <c r="AC30">
        <v>2.6680100000000002</v>
      </c>
      <c r="AD30">
        <v>2.6929240000000001</v>
      </c>
      <c r="AE30">
        <v>2.6788340000000002</v>
      </c>
      <c r="AF30">
        <v>2.6605189999999999</v>
      </c>
      <c r="AG30">
        <v>2.6682290000000002</v>
      </c>
      <c r="AH30">
        <v>2.6504690000000002</v>
      </c>
      <c r="AI30">
        <v>2.630525</v>
      </c>
      <c r="AJ30" s="32">
        <v>5.0000000000000001E-3</v>
      </c>
    </row>
    <row r="31" spans="1:36" x14ac:dyDescent="0.15">
      <c r="A31" t="s">
        <v>203</v>
      </c>
      <c r="B31" t="s">
        <v>204</v>
      </c>
      <c r="C31" t="s">
        <v>205</v>
      </c>
      <c r="D31" t="s">
        <v>164</v>
      </c>
      <c r="E31">
        <v>0.41389199999999998</v>
      </c>
      <c r="F31">
        <v>0.373083</v>
      </c>
      <c r="G31">
        <v>0.43224200000000002</v>
      </c>
      <c r="H31">
        <v>0.45028600000000002</v>
      </c>
      <c r="I31">
        <v>0.45489200000000002</v>
      </c>
      <c r="J31">
        <v>0.45953699999999997</v>
      </c>
      <c r="K31">
        <v>0.45393699999999998</v>
      </c>
      <c r="L31">
        <v>0.44735999999999998</v>
      </c>
      <c r="M31">
        <v>0.45521699999999998</v>
      </c>
      <c r="N31">
        <v>0.45961400000000002</v>
      </c>
      <c r="O31">
        <v>0.46068799999999999</v>
      </c>
      <c r="P31">
        <v>0.47550500000000001</v>
      </c>
      <c r="Q31">
        <v>0.47844599999999998</v>
      </c>
      <c r="R31">
        <v>0.485149</v>
      </c>
      <c r="S31">
        <v>0.49132700000000001</v>
      </c>
      <c r="T31">
        <v>0.499504</v>
      </c>
      <c r="U31">
        <v>0.49548599999999998</v>
      </c>
      <c r="V31">
        <v>0.49308000000000002</v>
      </c>
      <c r="W31">
        <v>0.496612</v>
      </c>
      <c r="X31">
        <v>0.499809</v>
      </c>
      <c r="Y31">
        <v>0.499778</v>
      </c>
      <c r="Z31">
        <v>0.50252600000000003</v>
      </c>
      <c r="AA31">
        <v>0.50540099999999999</v>
      </c>
      <c r="AB31">
        <v>0.50678500000000004</v>
      </c>
      <c r="AC31">
        <v>0.50928600000000002</v>
      </c>
      <c r="AD31">
        <v>0.517814</v>
      </c>
      <c r="AE31">
        <v>0.52007300000000001</v>
      </c>
      <c r="AF31">
        <v>0.51906799999999997</v>
      </c>
      <c r="AG31">
        <v>0.52413200000000004</v>
      </c>
      <c r="AH31">
        <v>0.52189600000000003</v>
      </c>
      <c r="AI31">
        <v>0.521648</v>
      </c>
      <c r="AJ31" s="32">
        <v>8.0000000000000002E-3</v>
      </c>
    </row>
    <row r="32" spans="1:36" x14ac:dyDescent="0.15">
      <c r="A32" t="s">
        <v>206</v>
      </c>
      <c r="B32" t="s">
        <v>204</v>
      </c>
      <c r="C32" t="s">
        <v>207</v>
      </c>
      <c r="D32" t="s">
        <v>164</v>
      </c>
      <c r="E32">
        <v>0.55315300000000001</v>
      </c>
      <c r="F32">
        <v>0.58484800000000003</v>
      </c>
      <c r="G32">
        <v>0.64725900000000003</v>
      </c>
      <c r="H32">
        <v>0.65540200000000004</v>
      </c>
      <c r="I32">
        <v>0.66368400000000005</v>
      </c>
      <c r="J32">
        <v>0.66954100000000005</v>
      </c>
      <c r="K32">
        <v>0.66135900000000003</v>
      </c>
      <c r="L32">
        <v>0.65037699999999998</v>
      </c>
      <c r="M32">
        <v>0.655528</v>
      </c>
      <c r="N32">
        <v>0.658057</v>
      </c>
      <c r="O32">
        <v>0.66197300000000003</v>
      </c>
      <c r="P32">
        <v>0.66510400000000003</v>
      </c>
      <c r="Q32">
        <v>0.66882799999999998</v>
      </c>
      <c r="R32">
        <v>0.67204200000000003</v>
      </c>
      <c r="S32">
        <v>0.67763099999999998</v>
      </c>
      <c r="T32">
        <v>0.67803500000000005</v>
      </c>
      <c r="U32">
        <v>0.67215499999999995</v>
      </c>
      <c r="V32">
        <v>0.66730699999999998</v>
      </c>
      <c r="W32">
        <v>0.66812700000000003</v>
      </c>
      <c r="X32">
        <v>0.66622700000000001</v>
      </c>
      <c r="Y32">
        <v>0.66366099999999995</v>
      </c>
      <c r="Z32">
        <v>0.66194799999999998</v>
      </c>
      <c r="AA32">
        <v>0.66001600000000005</v>
      </c>
      <c r="AB32">
        <v>0.65696100000000002</v>
      </c>
      <c r="AC32">
        <v>0.65544199999999997</v>
      </c>
      <c r="AD32">
        <v>0.66126600000000002</v>
      </c>
      <c r="AE32">
        <v>0.65729000000000004</v>
      </c>
      <c r="AF32">
        <v>0.65231099999999997</v>
      </c>
      <c r="AG32">
        <v>0.65364599999999995</v>
      </c>
      <c r="AH32">
        <v>0.64876599999999995</v>
      </c>
      <c r="AI32">
        <v>0.64339400000000002</v>
      </c>
      <c r="AJ32" s="32">
        <v>5.0000000000000001E-3</v>
      </c>
    </row>
    <row r="33" spans="1:36" x14ac:dyDescent="0.15">
      <c r="A33" t="s">
        <v>208</v>
      </c>
      <c r="B33" t="s">
        <v>209</v>
      </c>
      <c r="C33" t="s">
        <v>210</v>
      </c>
      <c r="D33" t="s">
        <v>164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23</v>
      </c>
    </row>
    <row r="34" spans="1:36" x14ac:dyDescent="0.15">
      <c r="A34" t="s">
        <v>211</v>
      </c>
      <c r="B34" t="s">
        <v>212</v>
      </c>
      <c r="C34" t="s">
        <v>213</v>
      </c>
      <c r="D34" t="s">
        <v>164</v>
      </c>
      <c r="E34">
        <v>0.17832799999999999</v>
      </c>
      <c r="F34">
        <v>0.18437400000000001</v>
      </c>
      <c r="G34">
        <v>0.21912999999999999</v>
      </c>
      <c r="H34">
        <v>0.24729699999999999</v>
      </c>
      <c r="I34">
        <v>0.283277</v>
      </c>
      <c r="J34">
        <v>0.33186599999999999</v>
      </c>
      <c r="K34">
        <v>0.37571900000000003</v>
      </c>
      <c r="L34">
        <v>0.42196699999999998</v>
      </c>
      <c r="M34">
        <v>0.48280099999999998</v>
      </c>
      <c r="N34">
        <v>0.54520800000000003</v>
      </c>
      <c r="O34">
        <v>0.61085900000000004</v>
      </c>
      <c r="P34">
        <v>0.67425599999999997</v>
      </c>
      <c r="Q34">
        <v>0.73638300000000001</v>
      </c>
      <c r="R34">
        <v>0.79417099999999996</v>
      </c>
      <c r="S34">
        <v>0.85042899999999999</v>
      </c>
      <c r="T34">
        <v>0.89630500000000002</v>
      </c>
      <c r="U34">
        <v>0.92880200000000002</v>
      </c>
      <c r="V34">
        <v>0.95828199999999997</v>
      </c>
      <c r="W34">
        <v>0.99207900000000004</v>
      </c>
      <c r="X34">
        <v>1.0194589999999999</v>
      </c>
      <c r="Y34">
        <v>1.0433060000000001</v>
      </c>
      <c r="Z34">
        <v>1.0675779999999999</v>
      </c>
      <c r="AA34">
        <v>1.0908180000000001</v>
      </c>
      <c r="AB34">
        <v>1.110843</v>
      </c>
      <c r="AC34">
        <v>1.133713</v>
      </c>
      <c r="AD34">
        <v>1.169284</v>
      </c>
      <c r="AE34">
        <v>1.1889510000000001</v>
      </c>
      <c r="AF34">
        <v>1.2056260000000001</v>
      </c>
      <c r="AG34">
        <v>1.2346550000000001</v>
      </c>
      <c r="AH34">
        <v>1.250848</v>
      </c>
      <c r="AI34">
        <v>1.266985</v>
      </c>
      <c r="AJ34" s="32">
        <v>6.8000000000000005E-2</v>
      </c>
    </row>
    <row r="35" spans="1:36" x14ac:dyDescent="0.15">
      <c r="A35" t="s">
        <v>214</v>
      </c>
      <c r="B35" t="s">
        <v>215</v>
      </c>
      <c r="C35" t="s">
        <v>216</v>
      </c>
      <c r="D35" t="s">
        <v>164</v>
      </c>
      <c r="E35">
        <v>346.935272</v>
      </c>
      <c r="F35">
        <v>366.23074300000002</v>
      </c>
      <c r="G35">
        <v>417.21722399999999</v>
      </c>
      <c r="H35">
        <v>436.024811</v>
      </c>
      <c r="I35">
        <v>459.848816</v>
      </c>
      <c r="J35">
        <v>483.04775999999998</v>
      </c>
      <c r="K35">
        <v>502.50482199999999</v>
      </c>
      <c r="L35">
        <v>525.64086899999995</v>
      </c>
      <c r="M35">
        <v>568.70343000000003</v>
      </c>
      <c r="N35">
        <v>602.35955799999999</v>
      </c>
      <c r="O35">
        <v>644.92663600000003</v>
      </c>
      <c r="P35">
        <v>686.01440400000001</v>
      </c>
      <c r="Q35">
        <v>730.05273399999999</v>
      </c>
      <c r="R35">
        <v>776.91992200000004</v>
      </c>
      <c r="S35">
        <v>829.09399399999995</v>
      </c>
      <c r="T35">
        <v>875.03411900000003</v>
      </c>
      <c r="U35">
        <v>911.12616000000003</v>
      </c>
      <c r="V35">
        <v>950.02514599999995</v>
      </c>
      <c r="W35">
        <v>997.61016800000004</v>
      </c>
      <c r="X35">
        <v>1040.204346</v>
      </c>
      <c r="Y35">
        <v>1081.1759030000001</v>
      </c>
      <c r="Z35">
        <v>1117.3350829999999</v>
      </c>
      <c r="AA35">
        <v>1150.3082280000001</v>
      </c>
      <c r="AB35">
        <v>1181.4125979999999</v>
      </c>
      <c r="AC35">
        <v>1217.249634</v>
      </c>
      <c r="AD35">
        <v>1268.7094729999999</v>
      </c>
      <c r="AE35">
        <v>1302.913452</v>
      </c>
      <c r="AF35">
        <v>1334.0649410000001</v>
      </c>
      <c r="AG35">
        <v>1379.4960940000001</v>
      </c>
      <c r="AH35">
        <v>1413.8126219999999</v>
      </c>
      <c r="AI35">
        <v>1448.9676509999999</v>
      </c>
      <c r="AJ35" s="32">
        <v>4.9000000000000002E-2</v>
      </c>
    </row>
    <row r="36" spans="1:36" x14ac:dyDescent="0.15">
      <c r="A36" t="s">
        <v>114</v>
      </c>
      <c r="B36" t="s">
        <v>217</v>
      </c>
      <c r="C36" t="s">
        <v>218</v>
      </c>
      <c r="D36" t="s">
        <v>219</v>
      </c>
      <c r="E36">
        <v>7.2617570000000002</v>
      </c>
      <c r="F36">
        <v>7.1317060000000003</v>
      </c>
      <c r="G36">
        <v>7.3713329999999999</v>
      </c>
      <c r="H36">
        <v>7.6314289999999998</v>
      </c>
      <c r="I36">
        <v>7.9388050000000003</v>
      </c>
      <c r="J36">
        <v>8.25793</v>
      </c>
      <c r="K36">
        <v>8.6959309999999999</v>
      </c>
      <c r="L36">
        <v>9.2486280000000001</v>
      </c>
      <c r="M36">
        <v>9.9263720000000006</v>
      </c>
      <c r="N36">
        <v>10.470497</v>
      </c>
      <c r="O36">
        <v>11.130689</v>
      </c>
      <c r="P36">
        <v>11.797069</v>
      </c>
      <c r="Q36">
        <v>12.471461</v>
      </c>
      <c r="R36">
        <v>13.203564999999999</v>
      </c>
      <c r="S36">
        <v>13.967699</v>
      </c>
      <c r="T36">
        <v>14.725889</v>
      </c>
      <c r="U36">
        <v>15.443156</v>
      </c>
      <c r="V36">
        <v>16.196693</v>
      </c>
      <c r="W36">
        <v>16.973568</v>
      </c>
      <c r="X36">
        <v>17.735476999999999</v>
      </c>
      <c r="Y36">
        <v>18.487103999999999</v>
      </c>
      <c r="Z36">
        <v>19.144907</v>
      </c>
      <c r="AA36">
        <v>19.756143999999999</v>
      </c>
      <c r="AB36">
        <v>20.37764</v>
      </c>
      <c r="AC36">
        <v>21.032349</v>
      </c>
      <c r="AD36">
        <v>21.722670000000001</v>
      </c>
      <c r="AE36">
        <v>22.431474999999999</v>
      </c>
      <c r="AF36">
        <v>23.125471000000001</v>
      </c>
      <c r="AG36">
        <v>23.84638</v>
      </c>
      <c r="AH36">
        <v>24.602717999999999</v>
      </c>
      <c r="AI36">
        <v>25.411739000000001</v>
      </c>
      <c r="AJ36" s="32">
        <v>4.2999999999999997E-2</v>
      </c>
    </row>
    <row r="37" spans="1:36" x14ac:dyDescent="0.15">
      <c r="A37" t="s">
        <v>115</v>
      </c>
      <c r="B37" t="s">
        <v>220</v>
      </c>
      <c r="C37" t="s">
        <v>221</v>
      </c>
      <c r="D37" t="s">
        <v>164</v>
      </c>
      <c r="E37">
        <v>4777.5668949999999</v>
      </c>
      <c r="F37">
        <v>5135.2470700000003</v>
      </c>
      <c r="G37">
        <v>5659.9975590000004</v>
      </c>
      <c r="H37">
        <v>5713.5405270000001</v>
      </c>
      <c r="I37">
        <v>5792.4189450000003</v>
      </c>
      <c r="J37">
        <v>5849.501953</v>
      </c>
      <c r="K37">
        <v>5778.6196289999998</v>
      </c>
      <c r="L37">
        <v>5683.4472660000001</v>
      </c>
      <c r="M37">
        <v>5729.2172849999997</v>
      </c>
      <c r="N37">
        <v>5752.921875</v>
      </c>
      <c r="O37">
        <v>5794.1308589999999</v>
      </c>
      <c r="P37">
        <v>5815.1259769999997</v>
      </c>
      <c r="Q37">
        <v>5853.7866210000002</v>
      </c>
      <c r="R37">
        <v>5884.1684569999998</v>
      </c>
      <c r="S37">
        <v>5935.794922</v>
      </c>
      <c r="T37">
        <v>5942.1479490000002</v>
      </c>
      <c r="U37">
        <v>5899.8701170000004</v>
      </c>
      <c r="V37">
        <v>5865.5498049999997</v>
      </c>
      <c r="W37">
        <v>5877.4335940000001</v>
      </c>
      <c r="X37">
        <v>5865.1044920000004</v>
      </c>
      <c r="Y37">
        <v>5848.2705079999996</v>
      </c>
      <c r="Z37">
        <v>5836.1997069999998</v>
      </c>
      <c r="AA37">
        <v>5822.5346680000002</v>
      </c>
      <c r="AB37">
        <v>5797.5927730000003</v>
      </c>
      <c r="AC37">
        <v>5787.5117190000001</v>
      </c>
      <c r="AD37">
        <v>5840.4858400000003</v>
      </c>
      <c r="AE37">
        <v>5808.4165039999998</v>
      </c>
      <c r="AF37">
        <v>5768.8120120000003</v>
      </c>
      <c r="AG37">
        <v>5784.9287109999996</v>
      </c>
      <c r="AH37">
        <v>5746.5708009999998</v>
      </c>
      <c r="AI37">
        <v>5701.9614259999998</v>
      </c>
      <c r="AJ37" s="32">
        <v>6.0000000000000001E-3</v>
      </c>
    </row>
    <row r="38" spans="1:36" x14ac:dyDescent="0.15">
      <c r="A38" t="s">
        <v>222</v>
      </c>
      <c r="C38" t="s">
        <v>223</v>
      </c>
    </row>
    <row r="39" spans="1:36" x14ac:dyDescent="0.15">
      <c r="A39" t="s">
        <v>224</v>
      </c>
      <c r="C39" t="s">
        <v>225</v>
      </c>
    </row>
    <row r="40" spans="1:36" x14ac:dyDescent="0.15">
      <c r="A40" t="s">
        <v>161</v>
      </c>
      <c r="B40" t="s">
        <v>226</v>
      </c>
      <c r="C40" t="s">
        <v>227</v>
      </c>
      <c r="D40" t="s">
        <v>164</v>
      </c>
      <c r="E40">
        <v>6511.5112300000001</v>
      </c>
      <c r="F40">
        <v>7292.9345700000003</v>
      </c>
      <c r="G40">
        <v>7525.9262699999999</v>
      </c>
      <c r="H40">
        <v>7716.5991210000002</v>
      </c>
      <c r="I40">
        <v>8010.6342770000001</v>
      </c>
      <c r="J40">
        <v>8217.6806639999995</v>
      </c>
      <c r="K40">
        <v>8112.4086909999996</v>
      </c>
      <c r="L40">
        <v>7927.6225590000004</v>
      </c>
      <c r="M40">
        <v>7939.861328</v>
      </c>
      <c r="N40">
        <v>7908.939453</v>
      </c>
      <c r="O40">
        <v>7718.6572269999997</v>
      </c>
      <c r="P40">
        <v>7683.6752930000002</v>
      </c>
      <c r="Q40">
        <v>7655.0903319999998</v>
      </c>
      <c r="R40">
        <v>7618.3012699999999</v>
      </c>
      <c r="S40">
        <v>7564.6049800000001</v>
      </c>
      <c r="T40">
        <v>7588.0214839999999</v>
      </c>
      <c r="U40">
        <v>7548.6801759999998</v>
      </c>
      <c r="V40">
        <v>7479.4257809999999</v>
      </c>
      <c r="W40">
        <v>7456.2070309999999</v>
      </c>
      <c r="X40">
        <v>7444.9130859999996</v>
      </c>
      <c r="Y40">
        <v>7408.1596680000002</v>
      </c>
      <c r="Z40">
        <v>7379.0336909999996</v>
      </c>
      <c r="AA40">
        <v>7367.5815430000002</v>
      </c>
      <c r="AB40">
        <v>7330.8530270000001</v>
      </c>
      <c r="AC40">
        <v>7297.3505859999996</v>
      </c>
      <c r="AD40">
        <v>7318.8364259999998</v>
      </c>
      <c r="AE40">
        <v>7272.265625</v>
      </c>
      <c r="AF40">
        <v>7213.9648440000001</v>
      </c>
      <c r="AG40">
        <v>7236.2163090000004</v>
      </c>
      <c r="AH40">
        <v>7160.7158200000003</v>
      </c>
      <c r="AI40">
        <v>7073.6337890000004</v>
      </c>
      <c r="AJ40" s="32">
        <v>3.0000000000000001E-3</v>
      </c>
    </row>
    <row r="41" spans="1:36" x14ac:dyDescent="0.15">
      <c r="A41" t="s">
        <v>165</v>
      </c>
      <c r="B41" t="s">
        <v>228</v>
      </c>
      <c r="C41" t="s">
        <v>229</v>
      </c>
      <c r="D41" t="s">
        <v>164</v>
      </c>
      <c r="E41">
        <v>46.653286000000001</v>
      </c>
      <c r="F41">
        <v>86.627808000000002</v>
      </c>
      <c r="G41">
        <v>118.902939</v>
      </c>
      <c r="H41">
        <v>111.870407</v>
      </c>
      <c r="I41">
        <v>112.74366000000001</v>
      </c>
      <c r="J41">
        <v>118.86602000000001</v>
      </c>
      <c r="K41">
        <v>113.95781700000001</v>
      </c>
      <c r="L41">
        <v>110.3395</v>
      </c>
      <c r="M41">
        <v>114.477501</v>
      </c>
      <c r="N41">
        <v>115.45842</v>
      </c>
      <c r="O41">
        <v>113.54399100000001</v>
      </c>
      <c r="P41">
        <v>113.89194500000001</v>
      </c>
      <c r="Q41">
        <v>115.929947</v>
      </c>
      <c r="R41">
        <v>115.80641199999999</v>
      </c>
      <c r="S41">
        <v>118.985512</v>
      </c>
      <c r="T41">
        <v>119.196495</v>
      </c>
      <c r="U41">
        <v>121.283905</v>
      </c>
      <c r="V41">
        <v>120.205467</v>
      </c>
      <c r="W41">
        <v>120.307976</v>
      </c>
      <c r="X41">
        <v>122.686348</v>
      </c>
      <c r="Y41">
        <v>120.37797500000001</v>
      </c>
      <c r="Z41">
        <v>120.40473900000001</v>
      </c>
      <c r="AA41">
        <v>120.17377500000001</v>
      </c>
      <c r="AB41">
        <v>119.908913</v>
      </c>
      <c r="AC41">
        <v>119.431061</v>
      </c>
      <c r="AD41">
        <v>120.896111</v>
      </c>
      <c r="AE41">
        <v>119.21642300000001</v>
      </c>
      <c r="AF41">
        <v>118.31201900000001</v>
      </c>
      <c r="AG41">
        <v>118.43898</v>
      </c>
      <c r="AH41">
        <v>117.401825</v>
      </c>
      <c r="AI41">
        <v>115.73097199999999</v>
      </c>
      <c r="AJ41" s="32">
        <v>3.1E-2</v>
      </c>
    </row>
    <row r="42" spans="1:36" x14ac:dyDescent="0.15">
      <c r="A42" t="s">
        <v>230</v>
      </c>
      <c r="B42" t="s">
        <v>231</v>
      </c>
      <c r="C42" t="s">
        <v>232</v>
      </c>
      <c r="D42" t="s">
        <v>164</v>
      </c>
      <c r="E42">
        <v>6558.1645509999998</v>
      </c>
      <c r="F42">
        <v>7379.5625</v>
      </c>
      <c r="G42">
        <v>7644.8291019999997</v>
      </c>
      <c r="H42">
        <v>7828.4697269999997</v>
      </c>
      <c r="I42">
        <v>8123.3779299999997</v>
      </c>
      <c r="J42">
        <v>8336.546875</v>
      </c>
      <c r="K42">
        <v>8226.3662110000005</v>
      </c>
      <c r="L42">
        <v>8037.9619140000004</v>
      </c>
      <c r="M42">
        <v>8054.3388670000004</v>
      </c>
      <c r="N42">
        <v>8024.3979490000002</v>
      </c>
      <c r="O42">
        <v>7832.201172</v>
      </c>
      <c r="P42">
        <v>7797.5673829999996</v>
      </c>
      <c r="Q42">
        <v>7771.0205079999996</v>
      </c>
      <c r="R42">
        <v>7734.1079099999997</v>
      </c>
      <c r="S42">
        <v>7683.5903319999998</v>
      </c>
      <c r="T42">
        <v>7707.2177730000003</v>
      </c>
      <c r="U42">
        <v>7669.9638670000004</v>
      </c>
      <c r="V42">
        <v>7599.6313479999999</v>
      </c>
      <c r="W42">
        <v>7576.5151370000003</v>
      </c>
      <c r="X42">
        <v>7567.5996089999999</v>
      </c>
      <c r="Y42">
        <v>7528.5375979999999</v>
      </c>
      <c r="Z42">
        <v>7499.4384769999997</v>
      </c>
      <c r="AA42">
        <v>7487.7553710000002</v>
      </c>
      <c r="AB42">
        <v>7450.7617190000001</v>
      </c>
      <c r="AC42">
        <v>7416.7817379999997</v>
      </c>
      <c r="AD42">
        <v>7439.732422</v>
      </c>
      <c r="AE42">
        <v>7391.4819340000004</v>
      </c>
      <c r="AF42">
        <v>7332.2768550000001</v>
      </c>
      <c r="AG42">
        <v>7354.6552730000003</v>
      </c>
      <c r="AH42">
        <v>7278.1176759999998</v>
      </c>
      <c r="AI42">
        <v>7189.3647460000002</v>
      </c>
      <c r="AJ42" s="32">
        <v>3.0000000000000001E-3</v>
      </c>
    </row>
    <row r="43" spans="1:36" x14ac:dyDescent="0.15">
      <c r="A43" t="s">
        <v>233</v>
      </c>
      <c r="C43" t="s">
        <v>234</v>
      </c>
    </row>
    <row r="44" spans="1:36" x14ac:dyDescent="0.15">
      <c r="A44" t="s">
        <v>173</v>
      </c>
      <c r="B44" t="s">
        <v>235</v>
      </c>
      <c r="C44" t="s">
        <v>236</v>
      </c>
      <c r="D44" t="s">
        <v>164</v>
      </c>
      <c r="E44">
        <v>658.66039999999998</v>
      </c>
      <c r="F44">
        <v>672.66931199999999</v>
      </c>
      <c r="G44">
        <v>696.22937000000002</v>
      </c>
      <c r="H44">
        <v>714.13098100000002</v>
      </c>
      <c r="I44">
        <v>741.75299099999995</v>
      </c>
      <c r="J44">
        <v>761.37091099999998</v>
      </c>
      <c r="K44">
        <v>754.853027</v>
      </c>
      <c r="L44">
        <v>739.60461399999997</v>
      </c>
      <c r="M44">
        <v>742.00176999999996</v>
      </c>
      <c r="N44">
        <v>740.44988999999998</v>
      </c>
      <c r="O44">
        <v>724.608521</v>
      </c>
      <c r="P44">
        <v>722.612122</v>
      </c>
      <c r="Q44">
        <v>721.50848399999995</v>
      </c>
      <c r="R44">
        <v>719.58471699999996</v>
      </c>
      <c r="S44">
        <v>716.46832300000005</v>
      </c>
      <c r="T44">
        <v>719.96905500000003</v>
      </c>
      <c r="U44">
        <v>717.42846699999996</v>
      </c>
      <c r="V44">
        <v>712.79492200000004</v>
      </c>
      <c r="W44">
        <v>712.05938700000002</v>
      </c>
      <c r="X44">
        <v>712.29937700000005</v>
      </c>
      <c r="Y44">
        <v>710.03509499999996</v>
      </c>
      <c r="Z44">
        <v>708.38903800000003</v>
      </c>
      <c r="AA44">
        <v>708.26019299999996</v>
      </c>
      <c r="AB44">
        <v>705.70605499999999</v>
      </c>
      <c r="AC44">
        <v>703.53607199999999</v>
      </c>
      <c r="AD44">
        <v>706.82189900000003</v>
      </c>
      <c r="AE44">
        <v>703.31671100000005</v>
      </c>
      <c r="AF44">
        <v>698.72473100000002</v>
      </c>
      <c r="AG44">
        <v>701.90130599999998</v>
      </c>
      <c r="AH44">
        <v>695.80841099999998</v>
      </c>
      <c r="AI44">
        <v>688.55413799999997</v>
      </c>
      <c r="AJ44" s="32">
        <v>1E-3</v>
      </c>
    </row>
    <row r="45" spans="1:36" x14ac:dyDescent="0.15">
      <c r="A45" t="s">
        <v>176</v>
      </c>
      <c r="B45" t="s">
        <v>237</v>
      </c>
      <c r="C45" t="s">
        <v>238</v>
      </c>
      <c r="D45" t="s">
        <v>164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23</v>
      </c>
    </row>
    <row r="46" spans="1:36" x14ac:dyDescent="0.15">
      <c r="A46" t="s">
        <v>179</v>
      </c>
      <c r="B46" t="s">
        <v>239</v>
      </c>
      <c r="C46" t="s">
        <v>240</v>
      </c>
      <c r="D46" t="s">
        <v>164</v>
      </c>
      <c r="E46">
        <v>11.011377</v>
      </c>
      <c r="F46">
        <v>12.580558</v>
      </c>
      <c r="G46">
        <v>13.856382</v>
      </c>
      <c r="H46">
        <v>14.729568</v>
      </c>
      <c r="I46">
        <v>17.766370999999999</v>
      </c>
      <c r="J46">
        <v>20.602139999999999</v>
      </c>
      <c r="K46">
        <v>23.901951</v>
      </c>
      <c r="L46">
        <v>26.800146000000002</v>
      </c>
      <c r="M46">
        <v>30.963303</v>
      </c>
      <c r="N46">
        <v>35.670749999999998</v>
      </c>
      <c r="O46">
        <v>39.973483999999999</v>
      </c>
      <c r="P46">
        <v>45.244709</v>
      </c>
      <c r="Q46">
        <v>51.161358</v>
      </c>
      <c r="R46">
        <v>57.174720999999998</v>
      </c>
      <c r="S46">
        <v>63.200184</v>
      </c>
      <c r="T46">
        <v>69.404929999999993</v>
      </c>
      <c r="U46">
        <v>75.094666000000004</v>
      </c>
      <c r="V46">
        <v>80.330344999999994</v>
      </c>
      <c r="W46">
        <v>85.896759000000003</v>
      </c>
      <c r="X46">
        <v>91.319007999999997</v>
      </c>
      <c r="Y46">
        <v>96.360229000000004</v>
      </c>
      <c r="Z46">
        <v>101.13458300000001</v>
      </c>
      <c r="AA46">
        <v>106.007904</v>
      </c>
      <c r="AB46">
        <v>110.533821</v>
      </c>
      <c r="AC46">
        <v>115.07858299999999</v>
      </c>
      <c r="AD46">
        <v>120.596695</v>
      </c>
      <c r="AE46">
        <v>124.79433400000001</v>
      </c>
      <c r="AF46">
        <v>128.80905200000001</v>
      </c>
      <c r="AG46">
        <v>134.22468599999999</v>
      </c>
      <c r="AH46">
        <v>138.10290499999999</v>
      </c>
      <c r="AI46">
        <v>141.68150299999999</v>
      </c>
      <c r="AJ46" s="32">
        <v>8.8999999999999996E-2</v>
      </c>
    </row>
    <row r="47" spans="1:36" x14ac:dyDescent="0.15">
      <c r="A47" t="s">
        <v>182</v>
      </c>
      <c r="B47" t="s">
        <v>241</v>
      </c>
      <c r="C47" t="s">
        <v>242</v>
      </c>
      <c r="D47" t="s">
        <v>164</v>
      </c>
      <c r="E47">
        <v>25.837799</v>
      </c>
      <c r="F47">
        <v>31.257812000000001</v>
      </c>
      <c r="G47">
        <v>36.313628999999999</v>
      </c>
      <c r="H47">
        <v>41.621760999999999</v>
      </c>
      <c r="I47">
        <v>48.076756000000003</v>
      </c>
      <c r="J47">
        <v>52.635860000000001</v>
      </c>
      <c r="K47">
        <v>55.501873000000003</v>
      </c>
      <c r="L47">
        <v>60.360518999999996</v>
      </c>
      <c r="M47">
        <v>68.817986000000005</v>
      </c>
      <c r="N47">
        <v>78.638526999999996</v>
      </c>
      <c r="O47">
        <v>91.469397999999998</v>
      </c>
      <c r="P47">
        <v>104.873695</v>
      </c>
      <c r="Q47">
        <v>121.007698</v>
      </c>
      <c r="R47">
        <v>137.83313000000001</v>
      </c>
      <c r="S47">
        <v>156.39167800000001</v>
      </c>
      <c r="T47">
        <v>175.18623400000001</v>
      </c>
      <c r="U47">
        <v>193.61909499999999</v>
      </c>
      <c r="V47">
        <v>212.34343000000001</v>
      </c>
      <c r="W47">
        <v>232.899643</v>
      </c>
      <c r="X47">
        <v>252.66897599999999</v>
      </c>
      <c r="Y47">
        <v>272.35217299999999</v>
      </c>
      <c r="Z47">
        <v>286.00414999999998</v>
      </c>
      <c r="AA47">
        <v>298.94357300000001</v>
      </c>
      <c r="AB47">
        <v>311.789062</v>
      </c>
      <c r="AC47">
        <v>325.64083900000003</v>
      </c>
      <c r="AD47">
        <v>343.58065800000003</v>
      </c>
      <c r="AE47">
        <v>357.28460699999999</v>
      </c>
      <c r="AF47">
        <v>370.97598299999999</v>
      </c>
      <c r="AG47">
        <v>388.95461999999998</v>
      </c>
      <c r="AH47">
        <v>404.656677</v>
      </c>
      <c r="AI47">
        <v>419.97311400000001</v>
      </c>
      <c r="AJ47" s="32">
        <v>9.7000000000000003E-2</v>
      </c>
    </row>
    <row r="48" spans="1:36" x14ac:dyDescent="0.15">
      <c r="A48" t="s">
        <v>185</v>
      </c>
      <c r="B48" t="s">
        <v>243</v>
      </c>
      <c r="C48" t="s">
        <v>244</v>
      </c>
      <c r="D48" t="s">
        <v>164</v>
      </c>
      <c r="E48">
        <v>3.735878</v>
      </c>
      <c r="F48">
        <v>4.1541399999999999</v>
      </c>
      <c r="G48">
        <v>4.3199930000000002</v>
      </c>
      <c r="H48">
        <v>4.4896120000000002</v>
      </c>
      <c r="I48">
        <v>4.8460700000000001</v>
      </c>
      <c r="J48">
        <v>5.0184350000000002</v>
      </c>
      <c r="K48">
        <v>5.0880770000000002</v>
      </c>
      <c r="L48">
        <v>5.6110899999999999</v>
      </c>
      <c r="M48">
        <v>6.3576269999999999</v>
      </c>
      <c r="N48">
        <v>7.1380610000000004</v>
      </c>
      <c r="O48">
        <v>7.8375640000000004</v>
      </c>
      <c r="P48">
        <v>8.6499839999999999</v>
      </c>
      <c r="Q48">
        <v>9.5275210000000001</v>
      </c>
      <c r="R48">
        <v>10.36993</v>
      </c>
      <c r="S48">
        <v>11.207824</v>
      </c>
      <c r="T48">
        <v>12.104683</v>
      </c>
      <c r="U48">
        <v>12.992331</v>
      </c>
      <c r="V48">
        <v>13.974368999999999</v>
      </c>
      <c r="W48">
        <v>15.18399</v>
      </c>
      <c r="X48">
        <v>16.544401000000001</v>
      </c>
      <c r="Y48">
        <v>18.060143</v>
      </c>
      <c r="Z48">
        <v>19.723482000000001</v>
      </c>
      <c r="AA48">
        <v>21.642765000000001</v>
      </c>
      <c r="AB48">
        <v>23.778744</v>
      </c>
      <c r="AC48">
        <v>26.269089000000001</v>
      </c>
      <c r="AD48">
        <v>29.479752999999999</v>
      </c>
      <c r="AE48">
        <v>32.905864999999999</v>
      </c>
      <c r="AF48">
        <v>36.874755999999998</v>
      </c>
      <c r="AG48">
        <v>41.898772999999998</v>
      </c>
      <c r="AH48">
        <v>47.256931000000002</v>
      </c>
      <c r="AI48">
        <v>53.308647000000001</v>
      </c>
      <c r="AJ48" s="32">
        <v>9.2999999999999999E-2</v>
      </c>
    </row>
    <row r="49" spans="1:36" x14ac:dyDescent="0.15">
      <c r="A49" t="s">
        <v>188</v>
      </c>
      <c r="B49" t="s">
        <v>245</v>
      </c>
      <c r="C49" t="s">
        <v>246</v>
      </c>
      <c r="D49" t="s">
        <v>164</v>
      </c>
      <c r="E49">
        <v>20.528244000000001</v>
      </c>
      <c r="F49">
        <v>24.639990000000001</v>
      </c>
      <c r="G49">
        <v>24.848987999999999</v>
      </c>
      <c r="H49">
        <v>23.036037</v>
      </c>
      <c r="I49">
        <v>21.596160999999999</v>
      </c>
      <c r="J49">
        <v>39.537579000000001</v>
      </c>
      <c r="K49">
        <v>117.66728999999999</v>
      </c>
      <c r="L49">
        <v>136.57620199999999</v>
      </c>
      <c r="M49">
        <v>138.54098500000001</v>
      </c>
      <c r="N49">
        <v>138.300262</v>
      </c>
      <c r="O49">
        <v>138.926895</v>
      </c>
      <c r="P49">
        <v>141.40266399999999</v>
      </c>
      <c r="Q49">
        <v>145.65278599999999</v>
      </c>
      <c r="R49">
        <v>149.34205600000001</v>
      </c>
      <c r="S49">
        <v>152.88682600000001</v>
      </c>
      <c r="T49">
        <v>156.194107</v>
      </c>
      <c r="U49">
        <v>157.88142400000001</v>
      </c>
      <c r="V49">
        <v>159.08706699999999</v>
      </c>
      <c r="W49">
        <v>161.10990899999999</v>
      </c>
      <c r="X49">
        <v>162.462738</v>
      </c>
      <c r="Y49">
        <v>163.21618699999999</v>
      </c>
      <c r="Z49">
        <v>162.86558500000001</v>
      </c>
      <c r="AA49">
        <v>162.495621</v>
      </c>
      <c r="AB49">
        <v>161.73109400000001</v>
      </c>
      <c r="AC49">
        <v>161.126251</v>
      </c>
      <c r="AD49">
        <v>161.926086</v>
      </c>
      <c r="AE49">
        <v>160.603455</v>
      </c>
      <c r="AF49">
        <v>158.96165500000001</v>
      </c>
      <c r="AG49">
        <v>158.86811800000001</v>
      </c>
      <c r="AH49">
        <v>157.11866800000001</v>
      </c>
      <c r="AI49">
        <v>154.92442299999999</v>
      </c>
      <c r="AJ49" s="32">
        <v>7.0000000000000007E-2</v>
      </c>
    </row>
    <row r="50" spans="1:36" x14ac:dyDescent="0.15">
      <c r="A50" t="s">
        <v>191</v>
      </c>
      <c r="B50" t="s">
        <v>247</v>
      </c>
      <c r="C50" t="s">
        <v>248</v>
      </c>
      <c r="D50" t="s">
        <v>164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23</v>
      </c>
    </row>
    <row r="51" spans="1:36" x14ac:dyDescent="0.15">
      <c r="A51" t="s">
        <v>194</v>
      </c>
      <c r="B51" t="s">
        <v>249</v>
      </c>
      <c r="C51" t="s">
        <v>250</v>
      </c>
      <c r="D51" t="s">
        <v>164</v>
      </c>
      <c r="E51">
        <v>216.35252399999999</v>
      </c>
      <c r="F51">
        <v>258.38601699999998</v>
      </c>
      <c r="G51">
        <v>276.328217</v>
      </c>
      <c r="H51">
        <v>286.79894999999999</v>
      </c>
      <c r="I51">
        <v>303.40158100000002</v>
      </c>
      <c r="J51">
        <v>318.14312699999999</v>
      </c>
      <c r="K51">
        <v>371.40853900000002</v>
      </c>
      <c r="L51">
        <v>393.50906400000002</v>
      </c>
      <c r="M51">
        <v>407.98376500000001</v>
      </c>
      <c r="N51">
        <v>419.665527</v>
      </c>
      <c r="O51">
        <v>430.00949100000003</v>
      </c>
      <c r="P51">
        <v>443.32437099999999</v>
      </c>
      <c r="Q51">
        <v>459.16482500000001</v>
      </c>
      <c r="R51">
        <v>473.461975</v>
      </c>
      <c r="S51">
        <v>488.19302399999998</v>
      </c>
      <c r="T51">
        <v>503.16168199999998</v>
      </c>
      <c r="U51">
        <v>514.92602499999998</v>
      </c>
      <c r="V51">
        <v>525.28985599999999</v>
      </c>
      <c r="W51">
        <v>539.41119400000002</v>
      </c>
      <c r="X51">
        <v>552.56994599999996</v>
      </c>
      <c r="Y51">
        <v>564.76415999999995</v>
      </c>
      <c r="Z51">
        <v>576.14086899999995</v>
      </c>
      <c r="AA51">
        <v>588.35790999999995</v>
      </c>
      <c r="AB51">
        <v>599.37817399999994</v>
      </c>
      <c r="AC51">
        <v>611.18029799999999</v>
      </c>
      <c r="AD51">
        <v>628.86724900000002</v>
      </c>
      <c r="AE51">
        <v>639.23828100000003</v>
      </c>
      <c r="AF51">
        <v>649.35613999999998</v>
      </c>
      <c r="AG51">
        <v>666.44372599999997</v>
      </c>
      <c r="AH51">
        <v>676.73120100000006</v>
      </c>
      <c r="AI51">
        <v>685.68151899999998</v>
      </c>
      <c r="AJ51" s="32">
        <v>3.9E-2</v>
      </c>
    </row>
    <row r="52" spans="1:36" x14ac:dyDescent="0.15">
      <c r="A52" t="s">
        <v>197</v>
      </c>
      <c r="B52" t="s">
        <v>251</v>
      </c>
      <c r="C52" t="s">
        <v>252</v>
      </c>
      <c r="D52" t="s">
        <v>164</v>
      </c>
      <c r="E52">
        <v>0.87621000000000004</v>
      </c>
      <c r="F52">
        <v>0.99395999999999995</v>
      </c>
      <c r="G52">
        <v>1.051358</v>
      </c>
      <c r="H52">
        <v>1.1040430000000001</v>
      </c>
      <c r="I52">
        <v>1.17157</v>
      </c>
      <c r="J52">
        <v>1.2196130000000001</v>
      </c>
      <c r="K52">
        <v>1.2294160000000001</v>
      </c>
      <c r="L52">
        <v>1.212275</v>
      </c>
      <c r="M52">
        <v>1.219368</v>
      </c>
      <c r="N52">
        <v>1.2173890000000001</v>
      </c>
      <c r="O52">
        <v>1.1982729999999999</v>
      </c>
      <c r="P52">
        <v>1.1974880000000001</v>
      </c>
      <c r="Q52">
        <v>1.201549</v>
      </c>
      <c r="R52">
        <v>1.2030479999999999</v>
      </c>
      <c r="S52">
        <v>1.2060599999999999</v>
      </c>
      <c r="T52">
        <v>1.2143790000000001</v>
      </c>
      <c r="U52">
        <v>1.2150339999999999</v>
      </c>
      <c r="V52">
        <v>1.2121649999999999</v>
      </c>
      <c r="W52">
        <v>1.217994</v>
      </c>
      <c r="X52">
        <v>1.2236469999999999</v>
      </c>
      <c r="Y52">
        <v>1.226083</v>
      </c>
      <c r="Z52">
        <v>1.2284310000000001</v>
      </c>
      <c r="AA52">
        <v>1.2325710000000001</v>
      </c>
      <c r="AB52">
        <v>1.233757</v>
      </c>
      <c r="AC52">
        <v>1.236186</v>
      </c>
      <c r="AD52">
        <v>1.249331</v>
      </c>
      <c r="AE52">
        <v>1.248434</v>
      </c>
      <c r="AF52">
        <v>1.2473430000000001</v>
      </c>
      <c r="AG52">
        <v>1.25969</v>
      </c>
      <c r="AH52">
        <v>1.2579670000000001</v>
      </c>
      <c r="AI52">
        <v>1.2542310000000001</v>
      </c>
      <c r="AJ52" s="32">
        <v>1.2E-2</v>
      </c>
    </row>
    <row r="53" spans="1:36" x14ac:dyDescent="0.15">
      <c r="A53" t="s">
        <v>200</v>
      </c>
      <c r="B53" t="s">
        <v>253</v>
      </c>
      <c r="C53" t="s">
        <v>254</v>
      </c>
      <c r="D53" t="s">
        <v>164</v>
      </c>
      <c r="E53">
        <v>4.7817299999999996</v>
      </c>
      <c r="F53">
        <v>5.3511170000000003</v>
      </c>
      <c r="G53">
        <v>5.5524279999999999</v>
      </c>
      <c r="H53">
        <v>5.6912250000000002</v>
      </c>
      <c r="I53">
        <v>5.9136699999999998</v>
      </c>
      <c r="J53">
        <v>6.088209</v>
      </c>
      <c r="K53">
        <v>6.1020089999999998</v>
      </c>
      <c r="L53">
        <v>6.0040950000000004</v>
      </c>
      <c r="M53">
        <v>6.0356569999999996</v>
      </c>
      <c r="N53">
        <v>6.0331970000000004</v>
      </c>
      <c r="O53">
        <v>5.9192840000000002</v>
      </c>
      <c r="P53">
        <v>5.9185179999999997</v>
      </c>
      <c r="Q53">
        <v>5.9289249999999996</v>
      </c>
      <c r="R53">
        <v>5.9312319999999996</v>
      </c>
      <c r="S53">
        <v>5.9259380000000004</v>
      </c>
      <c r="T53">
        <v>5.9714159999999996</v>
      </c>
      <c r="U53">
        <v>5.9710169999999998</v>
      </c>
      <c r="V53">
        <v>5.9470619999999998</v>
      </c>
      <c r="W53">
        <v>5.960375</v>
      </c>
      <c r="X53">
        <v>5.9814780000000001</v>
      </c>
      <c r="Y53">
        <v>5.9808849999999998</v>
      </c>
      <c r="Z53">
        <v>5.9818049999999996</v>
      </c>
      <c r="AA53">
        <v>5.9949300000000001</v>
      </c>
      <c r="AB53">
        <v>5.989414</v>
      </c>
      <c r="AC53">
        <v>5.98766</v>
      </c>
      <c r="AD53">
        <v>6.0344800000000003</v>
      </c>
      <c r="AE53">
        <v>6.021496</v>
      </c>
      <c r="AF53">
        <v>6.0008499999999998</v>
      </c>
      <c r="AG53">
        <v>6.0470119999999996</v>
      </c>
      <c r="AH53">
        <v>6.0168489999999997</v>
      </c>
      <c r="AI53">
        <v>5.9768429999999997</v>
      </c>
      <c r="AJ53" s="32">
        <v>7.0000000000000001E-3</v>
      </c>
    </row>
    <row r="54" spans="1:36" x14ac:dyDescent="0.15">
      <c r="A54" t="s">
        <v>203</v>
      </c>
      <c r="B54" t="s">
        <v>255</v>
      </c>
      <c r="C54" t="s">
        <v>256</v>
      </c>
      <c r="D54" t="s">
        <v>164</v>
      </c>
      <c r="E54">
        <v>0.89677600000000002</v>
      </c>
      <c r="F54">
        <v>1.05261</v>
      </c>
      <c r="G54">
        <v>1.111326</v>
      </c>
      <c r="H54">
        <v>1.1517440000000001</v>
      </c>
      <c r="I54">
        <v>1.2034370000000001</v>
      </c>
      <c r="J54">
        <v>1.2427410000000001</v>
      </c>
      <c r="K54">
        <v>1.266402</v>
      </c>
      <c r="L54">
        <v>1.268268</v>
      </c>
      <c r="M54">
        <v>1.2902039999999999</v>
      </c>
      <c r="N54">
        <v>1.3070280000000001</v>
      </c>
      <c r="O54">
        <v>1.3013950000000001</v>
      </c>
      <c r="P54">
        <v>1.309787</v>
      </c>
      <c r="Q54">
        <v>1.32857</v>
      </c>
      <c r="R54">
        <v>1.3452820000000001</v>
      </c>
      <c r="S54">
        <v>1.3697189999999999</v>
      </c>
      <c r="T54">
        <v>1.390582</v>
      </c>
      <c r="U54">
        <v>1.4033450000000001</v>
      </c>
      <c r="V54">
        <v>1.4135169999999999</v>
      </c>
      <c r="W54">
        <v>1.4373009999999999</v>
      </c>
      <c r="X54">
        <v>1.4608140000000001</v>
      </c>
      <c r="Y54">
        <v>1.48447</v>
      </c>
      <c r="Z54">
        <v>1.5096099999999999</v>
      </c>
      <c r="AA54">
        <v>1.535431</v>
      </c>
      <c r="AB54">
        <v>1.5651459999999999</v>
      </c>
      <c r="AC54">
        <v>1.59473</v>
      </c>
      <c r="AD54">
        <v>1.645246</v>
      </c>
      <c r="AE54">
        <v>1.670202</v>
      </c>
      <c r="AF54">
        <v>1.6961090000000001</v>
      </c>
      <c r="AG54">
        <v>1.738963</v>
      </c>
      <c r="AH54">
        <v>1.7687390000000001</v>
      </c>
      <c r="AI54">
        <v>1.797183</v>
      </c>
      <c r="AJ54" s="32">
        <v>2.3E-2</v>
      </c>
    </row>
    <row r="55" spans="1:36" x14ac:dyDescent="0.15">
      <c r="A55" t="s">
        <v>206</v>
      </c>
      <c r="B55" t="s">
        <v>257</v>
      </c>
      <c r="C55" t="s">
        <v>258</v>
      </c>
      <c r="D55" t="s">
        <v>164</v>
      </c>
      <c r="E55">
        <v>3.090303</v>
      </c>
      <c r="F55">
        <v>3.458326</v>
      </c>
      <c r="G55">
        <v>3.588009</v>
      </c>
      <c r="H55">
        <v>3.677521</v>
      </c>
      <c r="I55">
        <v>3.8209369999999998</v>
      </c>
      <c r="J55">
        <v>3.9335550000000001</v>
      </c>
      <c r="K55">
        <v>3.942421</v>
      </c>
      <c r="L55">
        <v>3.8790100000000001</v>
      </c>
      <c r="M55">
        <v>3.8991449999999999</v>
      </c>
      <c r="N55">
        <v>3.8973360000000001</v>
      </c>
      <c r="O55">
        <v>3.82362</v>
      </c>
      <c r="P55">
        <v>3.8229820000000001</v>
      </c>
      <c r="Q55">
        <v>3.8294739999999998</v>
      </c>
      <c r="R55">
        <v>3.8307389999999999</v>
      </c>
      <c r="S55">
        <v>3.8269099999999998</v>
      </c>
      <c r="T55">
        <v>3.85623</v>
      </c>
      <c r="U55">
        <v>3.855715</v>
      </c>
      <c r="V55">
        <v>3.8398620000000001</v>
      </c>
      <c r="W55">
        <v>3.8480690000000002</v>
      </c>
      <c r="X55">
        <v>3.8614670000000002</v>
      </c>
      <c r="Y55">
        <v>3.8607119999999999</v>
      </c>
      <c r="Z55">
        <v>3.860967</v>
      </c>
      <c r="AA55">
        <v>3.8691749999999998</v>
      </c>
      <c r="AB55">
        <v>3.865335</v>
      </c>
      <c r="AC55">
        <v>3.8637869999999999</v>
      </c>
      <c r="AD55">
        <v>3.8935170000000001</v>
      </c>
      <c r="AE55">
        <v>3.884741</v>
      </c>
      <c r="AF55">
        <v>3.8709609999999999</v>
      </c>
      <c r="AG55">
        <v>3.900309</v>
      </c>
      <c r="AH55">
        <v>3.8801960000000002</v>
      </c>
      <c r="AI55">
        <v>3.8538230000000002</v>
      </c>
      <c r="AJ55" s="32">
        <v>7.0000000000000001E-3</v>
      </c>
    </row>
    <row r="56" spans="1:36" x14ac:dyDescent="0.15">
      <c r="A56" t="s">
        <v>208</v>
      </c>
      <c r="B56" t="s">
        <v>259</v>
      </c>
      <c r="C56" t="s">
        <v>260</v>
      </c>
      <c r="D56" t="s">
        <v>164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23</v>
      </c>
    </row>
    <row r="57" spans="1:36" x14ac:dyDescent="0.15">
      <c r="A57" t="s">
        <v>211</v>
      </c>
      <c r="B57" t="s">
        <v>261</v>
      </c>
      <c r="C57" t="s">
        <v>262</v>
      </c>
      <c r="D57" t="s">
        <v>164</v>
      </c>
      <c r="E57">
        <v>5.2639999999999996E-3</v>
      </c>
      <c r="F57">
        <v>7.7629999999999999E-3</v>
      </c>
      <c r="G57">
        <v>1.0618000000000001E-2</v>
      </c>
      <c r="H57">
        <v>1.4217E-2</v>
      </c>
      <c r="I57">
        <v>1.9189999999999999E-2</v>
      </c>
      <c r="J57">
        <v>2.647E-2</v>
      </c>
      <c r="K57">
        <v>3.3589000000000001E-2</v>
      </c>
      <c r="L57">
        <v>4.1590000000000002E-2</v>
      </c>
      <c r="M57">
        <v>5.2060000000000002E-2</v>
      </c>
      <c r="N57">
        <v>6.3929E-2</v>
      </c>
      <c r="O57">
        <v>7.6158000000000003E-2</v>
      </c>
      <c r="P57">
        <v>9.0309E-2</v>
      </c>
      <c r="Q57">
        <v>0.105613</v>
      </c>
      <c r="R57">
        <v>0.121169</v>
      </c>
      <c r="S57">
        <v>0.13674</v>
      </c>
      <c r="T57">
        <v>0.15282100000000001</v>
      </c>
      <c r="U57">
        <v>0.16733899999999999</v>
      </c>
      <c r="V57">
        <v>0.18047299999999999</v>
      </c>
      <c r="W57">
        <v>0.19391900000000001</v>
      </c>
      <c r="X57">
        <v>0.20663999999999999</v>
      </c>
      <c r="Y57">
        <v>0.218224</v>
      </c>
      <c r="Z57">
        <v>0.229347</v>
      </c>
      <c r="AA57">
        <v>0.24035000000000001</v>
      </c>
      <c r="AB57">
        <v>0.25042500000000001</v>
      </c>
      <c r="AC57">
        <v>0.26060299999999997</v>
      </c>
      <c r="AD57">
        <v>0.27308700000000002</v>
      </c>
      <c r="AE57">
        <v>0.28232000000000002</v>
      </c>
      <c r="AF57">
        <v>0.29107899999999998</v>
      </c>
      <c r="AG57">
        <v>0.302643</v>
      </c>
      <c r="AH57">
        <v>0.310832</v>
      </c>
      <c r="AI57">
        <v>0.31805</v>
      </c>
      <c r="AJ57" s="32">
        <v>0.14599999999999999</v>
      </c>
    </row>
    <row r="58" spans="1:36" x14ac:dyDescent="0.15">
      <c r="A58" t="s">
        <v>263</v>
      </c>
      <c r="B58" t="s">
        <v>264</v>
      </c>
      <c r="C58" t="s">
        <v>265</v>
      </c>
      <c r="D58" t="s">
        <v>164</v>
      </c>
      <c r="E58">
        <v>945.776611</v>
      </c>
      <c r="F58">
        <v>1014.551636</v>
      </c>
      <c r="G58">
        <v>1063.210327</v>
      </c>
      <c r="H58">
        <v>1096.4454350000001</v>
      </c>
      <c r="I58">
        <v>1149.5688479999999</v>
      </c>
      <c r="J58">
        <v>1209.818726</v>
      </c>
      <c r="K58">
        <v>1340.9945070000001</v>
      </c>
      <c r="L58">
        <v>1374.866943</v>
      </c>
      <c r="M58">
        <v>1407.1617429999999</v>
      </c>
      <c r="N58">
        <v>1432.3819579999999</v>
      </c>
      <c r="O58">
        <v>1445.144043</v>
      </c>
      <c r="P58">
        <v>1478.446655</v>
      </c>
      <c r="Q58">
        <v>1520.41687</v>
      </c>
      <c r="R58">
        <v>1560.1979980000001</v>
      </c>
      <c r="S58">
        <v>1600.813232</v>
      </c>
      <c r="T58">
        <v>1648.6062010000001</v>
      </c>
      <c r="U58">
        <v>1684.5545649999999</v>
      </c>
      <c r="V58">
        <v>1716.4129640000001</v>
      </c>
      <c r="W58">
        <v>1759.218384</v>
      </c>
      <c r="X58">
        <v>1800.598389</v>
      </c>
      <c r="Y58">
        <v>1837.55835</v>
      </c>
      <c r="Z58">
        <v>1867.0679929999999</v>
      </c>
      <c r="AA58">
        <v>1898.580322</v>
      </c>
      <c r="AB58">
        <v>1925.8210449999999</v>
      </c>
      <c r="AC58">
        <v>1955.7742920000001</v>
      </c>
      <c r="AD58">
        <v>2004.3680420000001</v>
      </c>
      <c r="AE58">
        <v>2031.250366</v>
      </c>
      <c r="AF58">
        <v>2056.8085940000001</v>
      </c>
      <c r="AG58">
        <v>2105.5397950000001</v>
      </c>
      <c r="AH58">
        <v>2132.9094239999999</v>
      </c>
      <c r="AI58">
        <v>2157.3237300000001</v>
      </c>
      <c r="AJ58" s="32">
        <v>2.8000000000000001E-2</v>
      </c>
    </row>
    <row r="59" spans="1:36" x14ac:dyDescent="0.15">
      <c r="A59" t="s">
        <v>116</v>
      </c>
      <c r="B59" t="s">
        <v>266</v>
      </c>
      <c r="C59" t="s">
        <v>267</v>
      </c>
      <c r="D59" t="s">
        <v>219</v>
      </c>
      <c r="E59">
        <v>12.603731</v>
      </c>
      <c r="F59">
        <v>12.086465</v>
      </c>
      <c r="G59">
        <v>12.209526</v>
      </c>
      <c r="H59">
        <v>12.285220000000001</v>
      </c>
      <c r="I59">
        <v>12.397017</v>
      </c>
      <c r="J59">
        <v>12.673083</v>
      </c>
      <c r="K59">
        <v>14.016348000000001</v>
      </c>
      <c r="L59">
        <v>14.606309</v>
      </c>
      <c r="M59">
        <v>14.8725</v>
      </c>
      <c r="N59">
        <v>15.146613</v>
      </c>
      <c r="O59">
        <v>15.577128</v>
      </c>
      <c r="P59">
        <v>15.938383</v>
      </c>
      <c r="Q59">
        <v>16.363634000000001</v>
      </c>
      <c r="R59">
        <v>16.7866</v>
      </c>
      <c r="S59">
        <v>17.241961</v>
      </c>
      <c r="T59">
        <v>17.621175999999998</v>
      </c>
      <c r="U59">
        <v>18.007923000000002</v>
      </c>
      <c r="V59">
        <v>18.424268999999999</v>
      </c>
      <c r="W59">
        <v>18.843921999999999</v>
      </c>
      <c r="X59">
        <v>19.220327000000001</v>
      </c>
      <c r="Y59">
        <v>19.619257000000001</v>
      </c>
      <c r="Z59">
        <v>19.933451000000002</v>
      </c>
      <c r="AA59">
        <v>20.227066000000001</v>
      </c>
      <c r="AB59">
        <v>20.538623999999999</v>
      </c>
      <c r="AC59">
        <v>20.867032999999999</v>
      </c>
      <c r="AD59">
        <v>21.223493999999999</v>
      </c>
      <c r="AE59">
        <v>21.556913000000002</v>
      </c>
      <c r="AF59">
        <v>21.906378</v>
      </c>
      <c r="AG59">
        <v>22.256831999999999</v>
      </c>
      <c r="AH59">
        <v>22.663937000000001</v>
      </c>
      <c r="AI59">
        <v>23.081156</v>
      </c>
      <c r="AJ59" s="32">
        <v>0.02</v>
      </c>
    </row>
    <row r="60" spans="1:36" x14ac:dyDescent="0.15">
      <c r="A60" t="s">
        <v>117</v>
      </c>
      <c r="B60" t="s">
        <v>268</v>
      </c>
      <c r="C60" t="s">
        <v>269</v>
      </c>
      <c r="D60" t="s">
        <v>164</v>
      </c>
      <c r="E60">
        <v>7503.9414059999999</v>
      </c>
      <c r="F60">
        <v>8394.1142579999996</v>
      </c>
      <c r="G60">
        <v>8708.0390619999998</v>
      </c>
      <c r="H60">
        <v>8924.9150389999995</v>
      </c>
      <c r="I60">
        <v>9272.9472659999992</v>
      </c>
      <c r="J60">
        <v>9546.3652340000008</v>
      </c>
      <c r="K60">
        <v>9567.3603519999997</v>
      </c>
      <c r="L60">
        <v>9412.8291019999997</v>
      </c>
      <c r="M60">
        <v>9461.5009769999997</v>
      </c>
      <c r="N60">
        <v>9456.7802730000003</v>
      </c>
      <c r="O60">
        <v>9277.3457030000009</v>
      </c>
      <c r="P60">
        <v>9276.0136719999991</v>
      </c>
      <c r="Q60">
        <v>9291.4375</v>
      </c>
      <c r="R60">
        <v>9294.3056639999995</v>
      </c>
      <c r="S60">
        <v>9284.4033199999994</v>
      </c>
      <c r="T60">
        <v>9355.8242190000001</v>
      </c>
      <c r="U60">
        <v>9354.5185550000006</v>
      </c>
      <c r="V60">
        <v>9316.0439449999994</v>
      </c>
      <c r="W60">
        <v>9335.7333980000003</v>
      </c>
      <c r="X60">
        <v>9368.1982420000004</v>
      </c>
      <c r="Y60">
        <v>9366.0957030000009</v>
      </c>
      <c r="Z60">
        <v>9366.5068360000005</v>
      </c>
      <c r="AA60">
        <v>9386.3359380000002</v>
      </c>
      <c r="AB60">
        <v>9376.5830079999996</v>
      </c>
      <c r="AC60">
        <v>9372.5556639999995</v>
      </c>
      <c r="AD60">
        <v>9444.1005860000005</v>
      </c>
      <c r="AE60">
        <v>9422.7324219999991</v>
      </c>
      <c r="AF60">
        <v>9389.0859380000002</v>
      </c>
      <c r="AG60">
        <v>9460.1953119999998</v>
      </c>
      <c r="AH60">
        <v>9411.0273440000001</v>
      </c>
      <c r="AI60">
        <v>9346.6884769999997</v>
      </c>
      <c r="AJ60" s="32">
        <v>7.0000000000000001E-3</v>
      </c>
    </row>
    <row r="61" spans="1:36" x14ac:dyDescent="0.15">
      <c r="A61" t="s">
        <v>118</v>
      </c>
      <c r="B61" t="s">
        <v>270</v>
      </c>
      <c r="C61" t="s">
        <v>271</v>
      </c>
      <c r="D61" t="s">
        <v>219</v>
      </c>
      <c r="E61">
        <v>10.525676000000001</v>
      </c>
      <c r="F61">
        <v>10.205821</v>
      </c>
      <c r="G61">
        <v>10.303618</v>
      </c>
      <c r="H61">
        <v>10.468798</v>
      </c>
      <c r="I61">
        <v>10.682898</v>
      </c>
      <c r="J61">
        <v>10.995588</v>
      </c>
      <c r="K61">
        <v>12.012916000000001</v>
      </c>
      <c r="L61">
        <v>12.589248</v>
      </c>
      <c r="M61">
        <v>13.007057</v>
      </c>
      <c r="N61">
        <v>13.377917999999999</v>
      </c>
      <c r="O61">
        <v>13.867725</v>
      </c>
      <c r="P61">
        <v>14.342594</v>
      </c>
      <c r="Q61">
        <v>14.859268999999999</v>
      </c>
      <c r="R61">
        <v>15.397581000000001</v>
      </c>
      <c r="S61">
        <v>15.965017</v>
      </c>
      <c r="T61">
        <v>16.496569000000001</v>
      </c>
      <c r="U61">
        <v>17.015958999999999</v>
      </c>
      <c r="V61">
        <v>17.563627</v>
      </c>
      <c r="W61">
        <v>18.121334000000001</v>
      </c>
      <c r="X61">
        <v>18.648631999999999</v>
      </c>
      <c r="Y61">
        <v>19.184069000000001</v>
      </c>
      <c r="Z61">
        <v>19.630735000000001</v>
      </c>
      <c r="AA61">
        <v>20.046778</v>
      </c>
      <c r="AB61">
        <v>20.477114</v>
      </c>
      <c r="AC61">
        <v>20.930143000000001</v>
      </c>
      <c r="AD61">
        <v>21.414234</v>
      </c>
      <c r="AE61">
        <v>21.890433999999999</v>
      </c>
      <c r="AF61">
        <v>22.370343999999999</v>
      </c>
      <c r="AG61">
        <v>22.860004</v>
      </c>
      <c r="AH61">
        <v>23.398972000000001</v>
      </c>
      <c r="AI61">
        <v>23.964217999999999</v>
      </c>
      <c r="AJ61" s="32">
        <v>2.8000000000000001E-2</v>
      </c>
    </row>
    <row r="62" spans="1:36" x14ac:dyDescent="0.15">
      <c r="A62" t="s">
        <v>119</v>
      </c>
      <c r="B62" t="s">
        <v>272</v>
      </c>
      <c r="C62" t="s">
        <v>273</v>
      </c>
      <c r="D62" t="s">
        <v>164</v>
      </c>
      <c r="E62">
        <v>80.883010999999996</v>
      </c>
      <c r="F62">
        <v>90.649094000000005</v>
      </c>
      <c r="G62">
        <v>97.449027999999998</v>
      </c>
      <c r="H62">
        <v>101.71379899999999</v>
      </c>
      <c r="I62">
        <v>108.75756800000001</v>
      </c>
      <c r="J62">
        <v>115.22839399999999</v>
      </c>
      <c r="K62">
        <v>119.692947</v>
      </c>
      <c r="L62">
        <v>122.76823400000001</v>
      </c>
      <c r="M62">
        <v>129.10581999999999</v>
      </c>
      <c r="N62">
        <v>135.23232999999999</v>
      </c>
      <c r="O62">
        <v>139.99101300000001</v>
      </c>
      <c r="P62">
        <v>146.33976699999999</v>
      </c>
      <c r="Q62">
        <v>152.874832</v>
      </c>
      <c r="R62">
        <v>158.910751</v>
      </c>
      <c r="S62">
        <v>164.60354599999999</v>
      </c>
      <c r="T62">
        <v>170.33883700000001</v>
      </c>
      <c r="U62">
        <v>174.24127200000001</v>
      </c>
      <c r="V62">
        <v>177.27836600000001</v>
      </c>
      <c r="W62">
        <v>181.091599</v>
      </c>
      <c r="X62">
        <v>184.44444300000001</v>
      </c>
      <c r="Y62">
        <v>186.99702500000001</v>
      </c>
      <c r="Z62">
        <v>189.373627</v>
      </c>
      <c r="AA62">
        <v>191.777176</v>
      </c>
      <c r="AB62">
        <v>193.48734999999999</v>
      </c>
      <c r="AC62">
        <v>195.30903599999999</v>
      </c>
      <c r="AD62">
        <v>198.808762</v>
      </c>
      <c r="AE62">
        <v>199.94949299999999</v>
      </c>
      <c r="AF62">
        <v>200.75169399999999</v>
      </c>
      <c r="AG62">
        <v>203.640533</v>
      </c>
      <c r="AH62">
        <v>204.13632200000001</v>
      </c>
      <c r="AI62">
        <v>204.289154</v>
      </c>
      <c r="AJ62" s="32">
        <v>3.1E-2</v>
      </c>
    </row>
    <row r="63" spans="1:36" x14ac:dyDescent="0.15">
      <c r="A63" t="s">
        <v>120</v>
      </c>
      <c r="B63" t="s">
        <v>274</v>
      </c>
      <c r="C63" t="s">
        <v>275</v>
      </c>
      <c r="D63" t="s">
        <v>164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23</v>
      </c>
    </row>
    <row r="64" spans="1:36" x14ac:dyDescent="0.15">
      <c r="A64" t="s">
        <v>276</v>
      </c>
      <c r="B64" t="s">
        <v>277</v>
      </c>
      <c r="D64" t="s">
        <v>278</v>
      </c>
    </row>
    <row r="65" spans="1:36" x14ac:dyDescent="0.15">
      <c r="A65" t="s">
        <v>279</v>
      </c>
      <c r="B65" t="s">
        <v>280</v>
      </c>
      <c r="C65" t="s">
        <v>281</v>
      </c>
      <c r="D65" t="s">
        <v>164</v>
      </c>
      <c r="E65">
        <v>10942.050781</v>
      </c>
      <c r="F65">
        <v>12061.861328000001</v>
      </c>
      <c r="G65">
        <v>12768.612305000001</v>
      </c>
      <c r="H65">
        <v>12994.024414</v>
      </c>
      <c r="I65">
        <v>13343.117188</v>
      </c>
      <c r="J65">
        <v>13584.044921999999</v>
      </c>
      <c r="K65">
        <v>13388.4375</v>
      </c>
      <c r="L65">
        <v>13085.345703000001</v>
      </c>
      <c r="M65">
        <v>13100.290039</v>
      </c>
      <c r="N65">
        <v>13059.417969</v>
      </c>
      <c r="O65">
        <v>12867.778319999999</v>
      </c>
      <c r="P65">
        <v>12812.703125</v>
      </c>
      <c r="Q65">
        <v>12778.740234000001</v>
      </c>
      <c r="R65">
        <v>12725.465819999999</v>
      </c>
      <c r="S65">
        <v>12671.220703000001</v>
      </c>
      <c r="T65">
        <v>12655.049805000001</v>
      </c>
      <c r="U65">
        <v>12537.340819999999</v>
      </c>
      <c r="V65">
        <v>12394.869140999999</v>
      </c>
      <c r="W65">
        <v>12335.949219</v>
      </c>
      <c r="X65">
        <v>12269.731444999999</v>
      </c>
      <c r="Y65">
        <v>12175.174805000001</v>
      </c>
      <c r="Z65">
        <v>12097.820312</v>
      </c>
      <c r="AA65">
        <v>12039.730469</v>
      </c>
      <c r="AB65">
        <v>11946.957031</v>
      </c>
      <c r="AC65">
        <v>11867.537109000001</v>
      </c>
      <c r="AD65">
        <v>11890.537109000001</v>
      </c>
      <c r="AE65">
        <v>11777.694336</v>
      </c>
      <c r="AF65">
        <v>11648.639648</v>
      </c>
      <c r="AG65">
        <v>11641.577148</v>
      </c>
      <c r="AH65">
        <v>11493.403319999999</v>
      </c>
      <c r="AI65">
        <v>11326.558594</v>
      </c>
      <c r="AJ65" s="32">
        <v>1E-3</v>
      </c>
    </row>
    <row r="66" spans="1:36" x14ac:dyDescent="0.15">
      <c r="A66" t="s">
        <v>282</v>
      </c>
      <c r="B66" t="s">
        <v>283</v>
      </c>
      <c r="C66" t="s">
        <v>284</v>
      </c>
      <c r="D66" t="s">
        <v>164</v>
      </c>
      <c r="E66">
        <v>46.744987000000002</v>
      </c>
      <c r="F66">
        <v>86.717842000000005</v>
      </c>
      <c r="G66">
        <v>118.99736</v>
      </c>
      <c r="H66">
        <v>111.960228</v>
      </c>
      <c r="I66">
        <v>112.831367</v>
      </c>
      <c r="J66">
        <v>118.955269</v>
      </c>
      <c r="K66">
        <v>114.04425000000001</v>
      </c>
      <c r="L66">
        <v>110.42280599999999</v>
      </c>
      <c r="M66">
        <v>114.56205</v>
      </c>
      <c r="N66">
        <v>115.542496</v>
      </c>
      <c r="O66">
        <v>113.627106</v>
      </c>
      <c r="P66">
        <v>113.97608200000001</v>
      </c>
      <c r="Q66">
        <v>116.013924</v>
      </c>
      <c r="R66">
        <v>115.890007</v>
      </c>
      <c r="S66">
        <v>119.07025899999999</v>
      </c>
      <c r="T66">
        <v>119.280823</v>
      </c>
      <c r="U66">
        <v>121.36751599999999</v>
      </c>
      <c r="V66">
        <v>120.287415</v>
      </c>
      <c r="W66">
        <v>120.38906900000001</v>
      </c>
      <c r="X66">
        <v>122.767662</v>
      </c>
      <c r="Y66">
        <v>120.45693199999999</v>
      </c>
      <c r="Z66">
        <v>120.482986</v>
      </c>
      <c r="AA66">
        <v>120.251091</v>
      </c>
      <c r="AB66">
        <v>119.985191</v>
      </c>
      <c r="AC66">
        <v>119.50638600000001</v>
      </c>
      <c r="AD66">
        <v>120.971519</v>
      </c>
      <c r="AE66">
        <v>119.29042099999999</v>
      </c>
      <c r="AF66">
        <v>118.384743</v>
      </c>
      <c r="AG66">
        <v>118.510895</v>
      </c>
      <c r="AH66">
        <v>117.472343</v>
      </c>
      <c r="AI66">
        <v>115.800095</v>
      </c>
      <c r="AJ66" s="32">
        <v>3.1E-2</v>
      </c>
    </row>
    <row r="67" spans="1:36" x14ac:dyDescent="0.15">
      <c r="A67" t="s">
        <v>285</v>
      </c>
      <c r="B67" t="s">
        <v>286</v>
      </c>
      <c r="C67" t="s">
        <v>287</v>
      </c>
      <c r="D67" t="s">
        <v>164</v>
      </c>
      <c r="E67">
        <v>741.52612299999998</v>
      </c>
      <c r="F67">
        <v>761.44757100000004</v>
      </c>
      <c r="G67">
        <v>794.11712599999998</v>
      </c>
      <c r="H67">
        <v>812.880493</v>
      </c>
      <c r="I67">
        <v>841.62914999999998</v>
      </c>
      <c r="J67">
        <v>861.97113000000002</v>
      </c>
      <c r="K67">
        <v>853.92230199999995</v>
      </c>
      <c r="L67">
        <v>836.68493699999999</v>
      </c>
      <c r="M67">
        <v>839.45410200000003</v>
      </c>
      <c r="N67">
        <v>837.96905500000003</v>
      </c>
      <c r="O67">
        <v>822.40930200000003</v>
      </c>
      <c r="P67">
        <v>820.42053199999998</v>
      </c>
      <c r="Q67">
        <v>819.52374299999997</v>
      </c>
      <c r="R67">
        <v>817.65136700000005</v>
      </c>
      <c r="S67">
        <v>814.89404300000001</v>
      </c>
      <c r="T67">
        <v>818.048767</v>
      </c>
      <c r="U67">
        <v>814.32818599999996</v>
      </c>
      <c r="V67">
        <v>808.63562000000002</v>
      </c>
      <c r="W67">
        <v>807.59265100000005</v>
      </c>
      <c r="X67">
        <v>807.14593500000001</v>
      </c>
      <c r="Y67">
        <v>804.11517300000003</v>
      </c>
      <c r="Z67">
        <v>801.85772699999995</v>
      </c>
      <c r="AA67">
        <v>801.11798099999999</v>
      </c>
      <c r="AB67">
        <v>797.75689699999998</v>
      </c>
      <c r="AC67">
        <v>795.005493</v>
      </c>
      <c r="AD67">
        <v>798.67047100000002</v>
      </c>
      <c r="AE67">
        <v>794.20098900000005</v>
      </c>
      <c r="AF67">
        <v>788.52600099999995</v>
      </c>
      <c r="AG67">
        <v>791.47216800000001</v>
      </c>
      <c r="AH67">
        <v>784.27526899999998</v>
      </c>
      <c r="AI67">
        <v>775.80413799999997</v>
      </c>
      <c r="AJ67" s="32">
        <v>2E-3</v>
      </c>
    </row>
    <row r="68" spans="1:36" x14ac:dyDescent="0.15">
      <c r="A68" t="s">
        <v>288</v>
      </c>
      <c r="B68" t="s">
        <v>289</v>
      </c>
      <c r="C68" t="s">
        <v>290</v>
      </c>
      <c r="D68" t="s">
        <v>164</v>
      </c>
      <c r="E68">
        <v>149.72099299999999</v>
      </c>
      <c r="F68">
        <v>146.629639</v>
      </c>
      <c r="G68">
        <v>164.22924800000001</v>
      </c>
      <c r="H68">
        <v>174.55831900000001</v>
      </c>
      <c r="I68">
        <v>189.21508800000001</v>
      </c>
      <c r="J68">
        <v>200.481537</v>
      </c>
      <c r="K68">
        <v>212.065887</v>
      </c>
      <c r="L68">
        <v>227.021896</v>
      </c>
      <c r="M68">
        <v>254.38696300000001</v>
      </c>
      <c r="N68">
        <v>285.69641100000001</v>
      </c>
      <c r="O68">
        <v>325.16159099999999</v>
      </c>
      <c r="P68">
        <v>371.09552000000002</v>
      </c>
      <c r="Q68">
        <v>420.95208700000001</v>
      </c>
      <c r="R68">
        <v>476.18490600000001</v>
      </c>
      <c r="S68">
        <v>536.159851</v>
      </c>
      <c r="T68">
        <v>597.214966</v>
      </c>
      <c r="U68">
        <v>651.16888400000005</v>
      </c>
      <c r="V68">
        <v>707.038635</v>
      </c>
      <c r="W68">
        <v>769.55023200000005</v>
      </c>
      <c r="X68">
        <v>829.25707999999997</v>
      </c>
      <c r="Y68">
        <v>886.46777299999997</v>
      </c>
      <c r="Z68">
        <v>930.53936799999997</v>
      </c>
      <c r="AA68">
        <v>972.783142</v>
      </c>
      <c r="AB68">
        <v>1013.182068</v>
      </c>
      <c r="AC68">
        <v>1057.4216309999999</v>
      </c>
      <c r="AD68">
        <v>1114.9769289999999</v>
      </c>
      <c r="AE68">
        <v>1159.2581789999999</v>
      </c>
      <c r="AF68">
        <v>1200.528198</v>
      </c>
      <c r="AG68">
        <v>1255.772827</v>
      </c>
      <c r="AH68">
        <v>1301.0726320000001</v>
      </c>
      <c r="AI68">
        <v>1347.4221190000001</v>
      </c>
      <c r="AJ68" s="32">
        <v>7.5999999999999998E-2</v>
      </c>
    </row>
    <row r="69" spans="1:36" x14ac:dyDescent="0.15">
      <c r="A69" t="s">
        <v>291</v>
      </c>
      <c r="B69" t="s">
        <v>292</v>
      </c>
      <c r="C69" t="s">
        <v>293</v>
      </c>
      <c r="D69" t="s">
        <v>164</v>
      </c>
      <c r="E69">
        <v>50.249180000000003</v>
      </c>
      <c r="F69">
        <v>62.601455999999999</v>
      </c>
      <c r="G69">
        <v>68.361328</v>
      </c>
      <c r="H69">
        <v>69.090996000000004</v>
      </c>
      <c r="I69">
        <v>72.821815000000001</v>
      </c>
      <c r="J69">
        <v>97.536247000000003</v>
      </c>
      <c r="K69">
        <v>182.16153</v>
      </c>
      <c r="L69">
        <v>209.63751199999999</v>
      </c>
      <c r="M69">
        <v>223.668182</v>
      </c>
      <c r="N69">
        <v>227.83419799999999</v>
      </c>
      <c r="O69">
        <v>233.44058200000001</v>
      </c>
      <c r="P69">
        <v>237.59985399999999</v>
      </c>
      <c r="Q69">
        <v>245.308426</v>
      </c>
      <c r="R69">
        <v>251.16926599999999</v>
      </c>
      <c r="S69">
        <v>257.34347500000001</v>
      </c>
      <c r="T69">
        <v>260.68551600000001</v>
      </c>
      <c r="U69">
        <v>262.249481</v>
      </c>
      <c r="V69">
        <v>263.34875499999998</v>
      </c>
      <c r="W69">
        <v>265.944366</v>
      </c>
      <c r="X69">
        <v>267.019318</v>
      </c>
      <c r="Y69">
        <v>267.98040800000001</v>
      </c>
      <c r="Z69">
        <v>267.136841</v>
      </c>
      <c r="AA69">
        <v>266.31341600000002</v>
      </c>
      <c r="AB69">
        <v>265.40338100000002</v>
      </c>
      <c r="AC69">
        <v>265.18542500000001</v>
      </c>
      <c r="AD69">
        <v>268.03762799999998</v>
      </c>
      <c r="AE69">
        <v>267.40502900000001</v>
      </c>
      <c r="AF69">
        <v>267.164581</v>
      </c>
      <c r="AG69">
        <v>270.04046599999998</v>
      </c>
      <c r="AH69">
        <v>271.38595600000002</v>
      </c>
      <c r="AI69">
        <v>272.71597300000002</v>
      </c>
      <c r="AJ69" s="32">
        <v>5.8000000000000003E-2</v>
      </c>
    </row>
    <row r="70" spans="1:36" x14ac:dyDescent="0.15">
      <c r="A70" t="s">
        <v>294</v>
      </c>
      <c r="B70" t="s">
        <v>295</v>
      </c>
      <c r="C70" t="s">
        <v>296</v>
      </c>
      <c r="D70" t="s">
        <v>164</v>
      </c>
      <c r="E70">
        <v>337.74975599999999</v>
      </c>
      <c r="F70">
        <v>395.29580700000002</v>
      </c>
      <c r="G70">
        <v>437.94873000000001</v>
      </c>
      <c r="H70">
        <v>459.69909699999999</v>
      </c>
      <c r="I70">
        <v>488.88922100000002</v>
      </c>
      <c r="J70">
        <v>515.52166699999998</v>
      </c>
      <c r="K70">
        <v>577.94104000000004</v>
      </c>
      <c r="L70">
        <v>609.95471199999997</v>
      </c>
      <c r="M70">
        <v>640.95709199999999</v>
      </c>
      <c r="N70">
        <v>665.74487299999998</v>
      </c>
      <c r="O70">
        <v>691.68255599999998</v>
      </c>
      <c r="P70">
        <v>717.84759499999996</v>
      </c>
      <c r="Q70">
        <v>747.04870600000004</v>
      </c>
      <c r="R70">
        <v>774.354919</v>
      </c>
      <c r="S70">
        <v>803.62286400000005</v>
      </c>
      <c r="T70">
        <v>829.623108</v>
      </c>
      <c r="U70">
        <v>849.84771699999999</v>
      </c>
      <c r="V70">
        <v>869.34857199999999</v>
      </c>
      <c r="W70">
        <v>895.56597899999997</v>
      </c>
      <c r="X70">
        <v>919.10760500000004</v>
      </c>
      <c r="Y70">
        <v>941.85327099999995</v>
      </c>
      <c r="Z70">
        <v>966.493469</v>
      </c>
      <c r="AA70">
        <v>990.22009300000002</v>
      </c>
      <c r="AB70">
        <v>1012.402771</v>
      </c>
      <c r="AC70">
        <v>1036.865845</v>
      </c>
      <c r="AD70">
        <v>1072.614014</v>
      </c>
      <c r="AE70">
        <v>1094.5089109999999</v>
      </c>
      <c r="AF70">
        <v>1115.878052</v>
      </c>
      <c r="AG70">
        <v>1148.7867429999999</v>
      </c>
      <c r="AH70">
        <v>1171.05249</v>
      </c>
      <c r="AI70">
        <v>1191.461182</v>
      </c>
      <c r="AJ70" s="32">
        <v>4.2999999999999997E-2</v>
      </c>
    </row>
    <row r="71" spans="1:36" x14ac:dyDescent="0.15">
      <c r="A71" t="s">
        <v>297</v>
      </c>
      <c r="B71" t="s">
        <v>298</v>
      </c>
      <c r="C71" t="s">
        <v>299</v>
      </c>
      <c r="D71" t="s">
        <v>164</v>
      </c>
      <c r="E71">
        <v>13.282132000000001</v>
      </c>
      <c r="F71">
        <v>14.615747000000001</v>
      </c>
      <c r="G71">
        <v>15.541418</v>
      </c>
      <c r="H71">
        <v>15.980041</v>
      </c>
      <c r="I71">
        <v>16.559818</v>
      </c>
      <c r="J71">
        <v>16.997454000000001</v>
      </c>
      <c r="K71">
        <v>16.999275000000001</v>
      </c>
      <c r="L71">
        <v>16.745152999999998</v>
      </c>
      <c r="M71">
        <v>16.864073000000001</v>
      </c>
      <c r="N71">
        <v>16.887737000000001</v>
      </c>
      <c r="O71">
        <v>16.689654999999998</v>
      </c>
      <c r="P71">
        <v>16.733006</v>
      </c>
      <c r="Q71">
        <v>16.794474000000001</v>
      </c>
      <c r="R71">
        <v>16.841968999999999</v>
      </c>
      <c r="S71">
        <v>16.899963</v>
      </c>
      <c r="T71">
        <v>17.018650000000001</v>
      </c>
      <c r="U71">
        <v>16.990220999999998</v>
      </c>
      <c r="V71">
        <v>16.927872000000001</v>
      </c>
      <c r="W71">
        <v>16.989554999999999</v>
      </c>
      <c r="X71">
        <v>17.046828999999999</v>
      </c>
      <c r="Y71">
        <v>17.056163999999999</v>
      </c>
      <c r="Z71">
        <v>17.07863</v>
      </c>
      <c r="AA71">
        <v>17.122871</v>
      </c>
      <c r="AB71">
        <v>17.127265999999999</v>
      </c>
      <c r="AC71">
        <v>17.151008999999998</v>
      </c>
      <c r="AD71">
        <v>17.336123000000001</v>
      </c>
      <c r="AE71">
        <v>17.319502</v>
      </c>
      <c r="AF71">
        <v>17.280301999999999</v>
      </c>
      <c r="AG71">
        <v>17.426506</v>
      </c>
      <c r="AH71">
        <v>17.374092000000001</v>
      </c>
      <c r="AI71">
        <v>17.30246</v>
      </c>
      <c r="AJ71" s="32">
        <v>8.9999999999999993E-3</v>
      </c>
    </row>
    <row r="72" spans="1:36" x14ac:dyDescent="0.15">
      <c r="A72" t="s">
        <v>300</v>
      </c>
      <c r="B72" t="s">
        <v>301</v>
      </c>
      <c r="C72" t="s">
        <v>302</v>
      </c>
      <c r="D72" t="s">
        <v>164</v>
      </c>
      <c r="E72">
        <v>0.18359200000000001</v>
      </c>
      <c r="F72">
        <v>0.192137</v>
      </c>
      <c r="G72">
        <v>0.22974800000000001</v>
      </c>
      <c r="H72">
        <v>0.26151400000000002</v>
      </c>
      <c r="I72">
        <v>0.30246800000000001</v>
      </c>
      <c r="J72">
        <v>0.35833500000000001</v>
      </c>
      <c r="K72">
        <v>0.40930800000000001</v>
      </c>
      <c r="L72">
        <v>0.46355800000000003</v>
      </c>
      <c r="M72">
        <v>0.53486100000000003</v>
      </c>
      <c r="N72">
        <v>0.60913700000000004</v>
      </c>
      <c r="O72">
        <v>0.68701699999999999</v>
      </c>
      <c r="P72">
        <v>0.76456599999999997</v>
      </c>
      <c r="Q72">
        <v>0.84199599999999997</v>
      </c>
      <c r="R72">
        <v>0.91534000000000004</v>
      </c>
      <c r="S72">
        <v>0.98716899999999996</v>
      </c>
      <c r="T72">
        <v>1.0491250000000001</v>
      </c>
      <c r="U72">
        <v>1.096141</v>
      </c>
      <c r="V72">
        <v>1.138755</v>
      </c>
      <c r="W72">
        <v>1.1859980000000001</v>
      </c>
      <c r="X72">
        <v>1.2260979999999999</v>
      </c>
      <c r="Y72">
        <v>1.26153</v>
      </c>
      <c r="Z72">
        <v>1.2969250000000001</v>
      </c>
      <c r="AA72">
        <v>1.3311679999999999</v>
      </c>
      <c r="AB72">
        <v>1.3612679999999999</v>
      </c>
      <c r="AC72">
        <v>1.3943160000000001</v>
      </c>
      <c r="AD72">
        <v>1.4423710000000001</v>
      </c>
      <c r="AE72">
        <v>1.471271</v>
      </c>
      <c r="AF72">
        <v>1.496705</v>
      </c>
      <c r="AG72">
        <v>1.5372980000000001</v>
      </c>
      <c r="AH72">
        <v>1.56168</v>
      </c>
      <c r="AI72">
        <v>1.5850359999999999</v>
      </c>
      <c r="AJ72" s="32">
        <v>7.3999999999999996E-2</v>
      </c>
    </row>
    <row r="73" spans="1:36" x14ac:dyDescent="0.15">
      <c r="A73" t="s">
        <v>121</v>
      </c>
      <c r="B73" t="s">
        <v>303</v>
      </c>
      <c r="C73" t="s">
        <v>304</v>
      </c>
      <c r="D73" t="s">
        <v>164</v>
      </c>
      <c r="E73">
        <v>12281.507812</v>
      </c>
      <c r="F73">
        <v>13529.361328000001</v>
      </c>
      <c r="G73">
        <v>14368.037109000001</v>
      </c>
      <c r="H73">
        <v>14638.455078000001</v>
      </c>
      <c r="I73">
        <v>15065.366211</v>
      </c>
      <c r="J73">
        <v>15395.867188</v>
      </c>
      <c r="K73">
        <v>15345.980469</v>
      </c>
      <c r="L73">
        <v>15096.276367</v>
      </c>
      <c r="M73">
        <v>15190.71875</v>
      </c>
      <c r="N73">
        <v>15209.702148</v>
      </c>
      <c r="O73">
        <v>15071.476562</v>
      </c>
      <c r="P73">
        <v>15091.139648</v>
      </c>
      <c r="Q73">
        <v>15145.224609000001</v>
      </c>
      <c r="R73">
        <v>15178.474609000001</v>
      </c>
      <c r="S73">
        <v>15220.198242</v>
      </c>
      <c r="T73">
        <v>15297.972656</v>
      </c>
      <c r="U73">
        <v>15254.388671999999</v>
      </c>
      <c r="V73">
        <v>15181.59375</v>
      </c>
      <c r="W73">
        <v>15213.166992</v>
      </c>
      <c r="X73">
        <v>15233.302734000001</v>
      </c>
      <c r="Y73">
        <v>15214.366211</v>
      </c>
      <c r="Z73">
        <v>15202.707031</v>
      </c>
      <c r="AA73">
        <v>15208.871094</v>
      </c>
      <c r="AB73">
        <v>15174.175781</v>
      </c>
      <c r="AC73">
        <v>15160.067383</v>
      </c>
      <c r="AD73">
        <v>15284.585938</v>
      </c>
      <c r="AE73">
        <v>15231.148438</v>
      </c>
      <c r="AF73">
        <v>15157.898438</v>
      </c>
      <c r="AG73">
        <v>15245.124023</v>
      </c>
      <c r="AH73">
        <v>15157.597656</v>
      </c>
      <c r="AI73">
        <v>15048.650390999999</v>
      </c>
      <c r="AJ73" s="32">
        <v>7.0000000000000001E-3</v>
      </c>
    </row>
    <row r="74" spans="1:36" x14ac:dyDescent="0.15">
      <c r="A74" t="s">
        <v>305</v>
      </c>
      <c r="B74" t="s">
        <v>306</v>
      </c>
      <c r="C74" t="s">
        <v>307</v>
      </c>
      <c r="D74" t="s">
        <v>164</v>
      </c>
      <c r="E74">
        <v>4206.5107420000004</v>
      </c>
      <c r="F74">
        <v>5090.7202150000003</v>
      </c>
      <c r="G74">
        <v>5831.4570309999999</v>
      </c>
      <c r="H74">
        <v>6484.8427730000003</v>
      </c>
      <c r="I74">
        <v>7171.3461909999996</v>
      </c>
      <c r="J74">
        <v>7545.5952150000003</v>
      </c>
      <c r="K74">
        <v>7690.34375</v>
      </c>
      <c r="L74">
        <v>7513.6860349999997</v>
      </c>
      <c r="M74">
        <v>7519.2172849999997</v>
      </c>
      <c r="N74">
        <v>7493.8715819999998</v>
      </c>
      <c r="O74">
        <v>7390.234375</v>
      </c>
      <c r="P74">
        <v>7354.2939450000003</v>
      </c>
      <c r="Q74">
        <v>7334.5722660000001</v>
      </c>
      <c r="R74">
        <v>7308.4926759999998</v>
      </c>
      <c r="S74">
        <v>7301.7460940000001</v>
      </c>
      <c r="T74">
        <v>7328.3876950000003</v>
      </c>
      <c r="U74">
        <v>7319.8413090000004</v>
      </c>
      <c r="V74">
        <v>7302.486328</v>
      </c>
      <c r="W74">
        <v>7266.2421880000002</v>
      </c>
      <c r="X74">
        <v>7249.9067379999997</v>
      </c>
      <c r="Y74">
        <v>7218.216797</v>
      </c>
      <c r="Z74">
        <v>7191.5996089999999</v>
      </c>
      <c r="AA74">
        <v>7154.736328</v>
      </c>
      <c r="AB74">
        <v>7123.2690430000002</v>
      </c>
      <c r="AC74">
        <v>7097.7934569999998</v>
      </c>
      <c r="AD74">
        <v>7115.3486329999996</v>
      </c>
      <c r="AE74">
        <v>7052.8403319999998</v>
      </c>
      <c r="AF74">
        <v>7000.5346680000002</v>
      </c>
      <c r="AG74">
        <v>7014.5351559999999</v>
      </c>
      <c r="AH74">
        <v>6932.7929690000001</v>
      </c>
      <c r="AI74">
        <v>6848.6293949999999</v>
      </c>
      <c r="AJ74" s="32">
        <v>1.6E-2</v>
      </c>
    </row>
    <row r="75" spans="1:36" x14ac:dyDescent="0.15">
      <c r="A75" t="s">
        <v>308</v>
      </c>
      <c r="B75" t="s">
        <v>309</v>
      </c>
      <c r="C75" t="s">
        <v>310</v>
      </c>
      <c r="D75" t="s">
        <v>164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23</v>
      </c>
    </row>
    <row r="76" spans="1:36" x14ac:dyDescent="0.15">
      <c r="A76" t="s">
        <v>122</v>
      </c>
      <c r="B76" t="s">
        <v>311</v>
      </c>
      <c r="C76" t="s">
        <v>312</v>
      </c>
      <c r="D76" t="s">
        <v>164</v>
      </c>
      <c r="E76">
        <v>5545.966797</v>
      </c>
      <c r="F76">
        <v>6558.220703</v>
      </c>
      <c r="G76">
        <v>7430.8818359999996</v>
      </c>
      <c r="H76">
        <v>8129.2724609999996</v>
      </c>
      <c r="I76">
        <v>8893.5957030000009</v>
      </c>
      <c r="J76">
        <v>9357.4160159999992</v>
      </c>
      <c r="K76">
        <v>9647.8867190000001</v>
      </c>
      <c r="L76">
        <v>9524.6171880000002</v>
      </c>
      <c r="M76">
        <v>9609.6435550000006</v>
      </c>
      <c r="N76">
        <v>9644.1542969999991</v>
      </c>
      <c r="O76">
        <v>9593.9326170000004</v>
      </c>
      <c r="P76">
        <v>9632.7304690000001</v>
      </c>
      <c r="Q76">
        <v>9701.0566409999992</v>
      </c>
      <c r="R76">
        <v>9761.5009769999997</v>
      </c>
      <c r="S76">
        <v>9850.7246090000008</v>
      </c>
      <c r="T76">
        <v>9971.3095699999994</v>
      </c>
      <c r="U76">
        <v>10036.889648</v>
      </c>
      <c r="V76">
        <v>10089.212890999999</v>
      </c>
      <c r="W76">
        <v>10143.460938</v>
      </c>
      <c r="X76">
        <v>10213.477539</v>
      </c>
      <c r="Y76">
        <v>10257.407227</v>
      </c>
      <c r="Z76">
        <v>10296.484375</v>
      </c>
      <c r="AA76">
        <v>10323.875</v>
      </c>
      <c r="AB76">
        <v>10350.488281</v>
      </c>
      <c r="AC76">
        <v>10390.324219</v>
      </c>
      <c r="AD76">
        <v>10509.398438</v>
      </c>
      <c r="AE76">
        <v>10506.293944999999</v>
      </c>
      <c r="AF76">
        <v>10509.793944999999</v>
      </c>
      <c r="AG76">
        <v>10618.083008</v>
      </c>
      <c r="AH76">
        <v>10596.987305000001</v>
      </c>
      <c r="AI76">
        <v>10570.720703000001</v>
      </c>
      <c r="AJ76" s="32">
        <v>2.1999999999999999E-2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9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E1" sqref="E1:AJ1"/>
    </sheetView>
  </sheetViews>
  <sheetFormatPr defaultRowHeight="14.95" customHeight="1" x14ac:dyDescent="0.15"/>
  <sheetData>
    <row r="1" spans="1:36" ht="14.95" customHeight="1" x14ac:dyDescent="0.15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156</v>
      </c>
    </row>
    <row r="10" spans="1:36" ht="12.9" x14ac:dyDescent="0.15">
      <c r="A10" t="s">
        <v>313</v>
      </c>
    </row>
    <row r="11" spans="1:36" ht="12.9" x14ac:dyDescent="0.15">
      <c r="A11" t="s">
        <v>314</v>
      </c>
    </row>
    <row r="12" spans="1:36" ht="12.9" x14ac:dyDescent="0.15">
      <c r="A12" t="s">
        <v>315</v>
      </c>
    </row>
    <row r="13" spans="1:36" ht="12.9" x14ac:dyDescent="0.15">
      <c r="A13" t="s">
        <v>152</v>
      </c>
    </row>
    <row r="14" spans="1:36" ht="12.9" x14ac:dyDescent="0.15">
      <c r="B14" t="s">
        <v>153</v>
      </c>
      <c r="C14" t="s">
        <v>154</v>
      </c>
      <c r="D14" t="s">
        <v>155</v>
      </c>
      <c r="E14">
        <v>2020</v>
      </c>
      <c r="F14">
        <v>2021</v>
      </c>
      <c r="G14">
        <v>2022</v>
      </c>
      <c r="H14">
        <v>2023</v>
      </c>
      <c r="I14">
        <v>2024</v>
      </c>
      <c r="J14">
        <v>2025</v>
      </c>
      <c r="K14">
        <v>2026</v>
      </c>
      <c r="L14">
        <v>2027</v>
      </c>
      <c r="M14">
        <v>2028</v>
      </c>
      <c r="N14">
        <v>2029</v>
      </c>
      <c r="O14">
        <v>2030</v>
      </c>
      <c r="P14">
        <v>2031</v>
      </c>
      <c r="Q14">
        <v>2032</v>
      </c>
      <c r="R14">
        <v>2033</v>
      </c>
      <c r="S14">
        <v>2034</v>
      </c>
      <c r="T14">
        <v>2035</v>
      </c>
      <c r="U14">
        <v>2036</v>
      </c>
      <c r="V14">
        <v>2037</v>
      </c>
      <c r="W14">
        <v>2038</v>
      </c>
      <c r="X14">
        <v>2039</v>
      </c>
      <c r="Y14">
        <v>2040</v>
      </c>
      <c r="Z14">
        <v>2041</v>
      </c>
      <c r="AA14">
        <v>2042</v>
      </c>
      <c r="AB14">
        <v>2043</v>
      </c>
      <c r="AC14">
        <v>2044</v>
      </c>
      <c r="AD14">
        <v>2045</v>
      </c>
      <c r="AE14">
        <v>2046</v>
      </c>
      <c r="AF14">
        <v>2047</v>
      </c>
      <c r="AG14">
        <v>2048</v>
      </c>
      <c r="AH14">
        <v>2049</v>
      </c>
      <c r="AI14">
        <v>2050</v>
      </c>
      <c r="AJ14" t="s">
        <v>156</v>
      </c>
    </row>
    <row r="15" spans="1:36" ht="12.9" x14ac:dyDescent="0.15">
      <c r="A15" t="s">
        <v>316</v>
      </c>
      <c r="C15" t="s">
        <v>357</v>
      </c>
    </row>
    <row r="16" spans="1:36" ht="12.9" x14ac:dyDescent="0.15">
      <c r="A16" t="s">
        <v>159</v>
      </c>
      <c r="C16" t="s">
        <v>358</v>
      </c>
    </row>
    <row r="17" spans="1:36" ht="12.9" x14ac:dyDescent="0.15">
      <c r="A17" t="s">
        <v>161</v>
      </c>
      <c r="B17" t="s">
        <v>317</v>
      </c>
      <c r="C17" t="s">
        <v>359</v>
      </c>
      <c r="D17" t="s">
        <v>360</v>
      </c>
      <c r="E17">
        <v>119.49128</v>
      </c>
      <c r="F17">
        <v>117.530052</v>
      </c>
      <c r="G17">
        <v>116.094475</v>
      </c>
      <c r="H17">
        <v>114.763931</v>
      </c>
      <c r="I17">
        <v>113.57511100000001</v>
      </c>
      <c r="J17">
        <v>112.50354799999999</v>
      </c>
      <c r="K17">
        <v>111.366257</v>
      </c>
      <c r="L17">
        <v>110.067139</v>
      </c>
      <c r="M17">
        <v>108.6679</v>
      </c>
      <c r="N17">
        <v>107.170715</v>
      </c>
      <c r="O17">
        <v>105.616051</v>
      </c>
      <c r="P17">
        <v>104.037498</v>
      </c>
      <c r="Q17">
        <v>102.47129099999999</v>
      </c>
      <c r="R17">
        <v>100.951714</v>
      </c>
      <c r="S17">
        <v>99.520668000000001</v>
      </c>
      <c r="T17">
        <v>98.219855999999993</v>
      </c>
      <c r="U17">
        <v>97.014999000000003</v>
      </c>
      <c r="V17">
        <v>95.912788000000006</v>
      </c>
      <c r="W17">
        <v>94.916138000000004</v>
      </c>
      <c r="X17">
        <v>93.977226000000002</v>
      </c>
      <c r="Y17">
        <v>93.080298999999997</v>
      </c>
      <c r="Z17">
        <v>92.244904000000005</v>
      </c>
      <c r="AA17">
        <v>91.455658</v>
      </c>
      <c r="AB17">
        <v>90.671829000000002</v>
      </c>
      <c r="AC17">
        <v>89.905533000000005</v>
      </c>
      <c r="AD17">
        <v>89.167786000000007</v>
      </c>
      <c r="AE17">
        <v>88.391334999999998</v>
      </c>
      <c r="AF17">
        <v>87.578125</v>
      </c>
      <c r="AG17">
        <v>86.772827000000007</v>
      </c>
      <c r="AH17">
        <v>85.931777999999994</v>
      </c>
      <c r="AI17">
        <v>85.049469000000002</v>
      </c>
      <c r="AJ17" s="32">
        <v>-1.0999999999999999E-2</v>
      </c>
    </row>
    <row r="18" spans="1:36" ht="12.9" x14ac:dyDescent="0.15">
      <c r="A18" t="s">
        <v>165</v>
      </c>
      <c r="B18" t="s">
        <v>318</v>
      </c>
      <c r="C18" t="s">
        <v>361</v>
      </c>
      <c r="D18" t="s">
        <v>360</v>
      </c>
      <c r="E18">
        <v>0.551319</v>
      </c>
      <c r="F18">
        <v>0.51541400000000004</v>
      </c>
      <c r="G18">
        <v>0.48083199999999998</v>
      </c>
      <c r="H18">
        <v>0.44735000000000003</v>
      </c>
      <c r="I18">
        <v>0.41520800000000002</v>
      </c>
      <c r="J18">
        <v>0.38391599999999998</v>
      </c>
      <c r="K18">
        <v>0.35265200000000002</v>
      </c>
      <c r="L18">
        <v>0.32065500000000002</v>
      </c>
      <c r="M18">
        <v>0.288553</v>
      </c>
      <c r="N18">
        <v>0.25609399999999999</v>
      </c>
      <c r="O18">
        <v>0.22386700000000001</v>
      </c>
      <c r="P18">
        <v>0.19373599999999999</v>
      </c>
      <c r="Q18">
        <v>0.166132</v>
      </c>
      <c r="R18">
        <v>0.14188600000000001</v>
      </c>
      <c r="S18">
        <v>0.120139</v>
      </c>
      <c r="T18">
        <v>0.100964</v>
      </c>
      <c r="U18">
        <v>8.3838999999999997E-2</v>
      </c>
      <c r="V18">
        <v>6.9611000000000006E-2</v>
      </c>
      <c r="W18">
        <v>5.7764000000000003E-2</v>
      </c>
      <c r="X18">
        <v>4.8919999999999998E-2</v>
      </c>
      <c r="Y18">
        <v>4.2733E-2</v>
      </c>
      <c r="Z18">
        <v>3.7966E-2</v>
      </c>
      <c r="AA18">
        <v>3.3834000000000003E-2</v>
      </c>
      <c r="AB18">
        <v>3.0225999999999999E-2</v>
      </c>
      <c r="AC18">
        <v>2.7049E-2</v>
      </c>
      <c r="AD18">
        <v>2.4247999999999999E-2</v>
      </c>
      <c r="AE18">
        <v>2.1749999999999999E-2</v>
      </c>
      <c r="AF18">
        <v>1.9524E-2</v>
      </c>
      <c r="AG18">
        <v>1.7538000000000002E-2</v>
      </c>
      <c r="AH18">
        <v>1.5767E-2</v>
      </c>
      <c r="AI18">
        <v>1.4186000000000001E-2</v>
      </c>
      <c r="AJ18" s="32">
        <v>-0.115</v>
      </c>
    </row>
    <row r="19" spans="1:36" ht="12.9" x14ac:dyDescent="0.15">
      <c r="A19" t="s">
        <v>168</v>
      </c>
      <c r="B19" t="s">
        <v>319</v>
      </c>
      <c r="C19" t="s">
        <v>362</v>
      </c>
      <c r="D19" t="s">
        <v>360</v>
      </c>
      <c r="E19">
        <v>120.04259500000001</v>
      </c>
      <c r="F19">
        <v>118.045464</v>
      </c>
      <c r="G19">
        <v>116.57531</v>
      </c>
      <c r="H19">
        <v>115.211281</v>
      </c>
      <c r="I19">
        <v>113.990318</v>
      </c>
      <c r="J19">
        <v>112.887466</v>
      </c>
      <c r="K19">
        <v>111.71890999999999</v>
      </c>
      <c r="L19">
        <v>110.387794</v>
      </c>
      <c r="M19">
        <v>108.956451</v>
      </c>
      <c r="N19">
        <v>107.426811</v>
      </c>
      <c r="O19">
        <v>105.83992000000001</v>
      </c>
      <c r="P19">
        <v>104.23123200000001</v>
      </c>
      <c r="Q19">
        <v>102.637421</v>
      </c>
      <c r="R19">
        <v>101.093597</v>
      </c>
      <c r="S19">
        <v>99.640808000000007</v>
      </c>
      <c r="T19">
        <v>98.320824000000002</v>
      </c>
      <c r="U19">
        <v>97.098838999999998</v>
      </c>
      <c r="V19">
        <v>95.982399000000001</v>
      </c>
      <c r="W19">
        <v>94.9739</v>
      </c>
      <c r="X19">
        <v>94.026145999999997</v>
      </c>
      <c r="Y19">
        <v>93.123031999999995</v>
      </c>
      <c r="Z19">
        <v>92.282866999999996</v>
      </c>
      <c r="AA19">
        <v>91.489493999999993</v>
      </c>
      <c r="AB19">
        <v>90.702056999999996</v>
      </c>
      <c r="AC19">
        <v>89.932579000000004</v>
      </c>
      <c r="AD19">
        <v>89.192031999999998</v>
      </c>
      <c r="AE19">
        <v>88.413086000000007</v>
      </c>
      <c r="AF19">
        <v>87.597649000000004</v>
      </c>
      <c r="AG19">
        <v>86.790367000000003</v>
      </c>
      <c r="AH19">
        <v>85.947547999999998</v>
      </c>
      <c r="AI19">
        <v>85.063652000000005</v>
      </c>
      <c r="AJ19" s="32">
        <v>-1.0999999999999999E-2</v>
      </c>
    </row>
    <row r="20" spans="1:36" ht="12.9" x14ac:dyDescent="0.15">
      <c r="A20" t="s">
        <v>171</v>
      </c>
      <c r="C20" t="s">
        <v>363</v>
      </c>
    </row>
    <row r="21" spans="1:36" ht="12.9" x14ac:dyDescent="0.15">
      <c r="A21" t="s">
        <v>173</v>
      </c>
      <c r="B21" t="s">
        <v>320</v>
      </c>
      <c r="C21" t="s">
        <v>364</v>
      </c>
      <c r="D21" t="s">
        <v>360</v>
      </c>
      <c r="E21">
        <v>4.8197700000000001</v>
      </c>
      <c r="F21">
        <v>4.7503099999999998</v>
      </c>
      <c r="G21">
        <v>4.667916</v>
      </c>
      <c r="H21">
        <v>4.5610730000000004</v>
      </c>
      <c r="I21">
        <v>4.4324479999999999</v>
      </c>
      <c r="J21">
        <v>4.280411</v>
      </c>
      <c r="K21">
        <v>4.1027449999999996</v>
      </c>
      <c r="L21">
        <v>3.896137</v>
      </c>
      <c r="M21">
        <v>3.6723349999999999</v>
      </c>
      <c r="N21">
        <v>3.4360580000000001</v>
      </c>
      <c r="O21">
        <v>3.2027049999999999</v>
      </c>
      <c r="P21">
        <v>2.9835069999999999</v>
      </c>
      <c r="Q21">
        <v>2.7839209999999999</v>
      </c>
      <c r="R21">
        <v>2.6036329999999999</v>
      </c>
      <c r="S21">
        <v>2.4513889999999998</v>
      </c>
      <c r="T21">
        <v>2.3226619999999998</v>
      </c>
      <c r="U21">
        <v>2.2137099999999998</v>
      </c>
      <c r="V21">
        <v>2.129753</v>
      </c>
      <c r="W21">
        <v>2.064152</v>
      </c>
      <c r="X21">
        <v>2.0120909999999999</v>
      </c>
      <c r="Y21">
        <v>1.970178</v>
      </c>
      <c r="Z21">
        <v>1.9353119999999999</v>
      </c>
      <c r="AA21">
        <v>1.9048430000000001</v>
      </c>
      <c r="AB21">
        <v>1.877278</v>
      </c>
      <c r="AC21">
        <v>1.8520570000000001</v>
      </c>
      <c r="AD21">
        <v>1.829285</v>
      </c>
      <c r="AE21">
        <v>1.807348</v>
      </c>
      <c r="AF21">
        <v>1.7860689999999999</v>
      </c>
      <c r="AG21">
        <v>1.766213</v>
      </c>
      <c r="AH21">
        <v>1.746753</v>
      </c>
      <c r="AI21">
        <v>1.7274799999999999</v>
      </c>
      <c r="AJ21" s="32">
        <v>-3.4000000000000002E-2</v>
      </c>
    </row>
    <row r="22" spans="1:36" ht="12.9" x14ac:dyDescent="0.15">
      <c r="A22" t="s">
        <v>176</v>
      </c>
      <c r="B22" t="s">
        <v>321</v>
      </c>
      <c r="C22" t="s">
        <v>365</v>
      </c>
      <c r="D22" t="s">
        <v>360</v>
      </c>
      <c r="E22">
        <v>0.2087</v>
      </c>
      <c r="F22">
        <v>0.20768200000000001</v>
      </c>
      <c r="G22">
        <v>0.20613000000000001</v>
      </c>
      <c r="H22">
        <v>0.203787</v>
      </c>
      <c r="I22">
        <v>0.200711</v>
      </c>
      <c r="J22">
        <v>0.19672600000000001</v>
      </c>
      <c r="K22">
        <v>0.19148899999999999</v>
      </c>
      <c r="L22">
        <v>0.18455099999999999</v>
      </c>
      <c r="M22">
        <v>0.17594799999999999</v>
      </c>
      <c r="N22">
        <v>0.16594400000000001</v>
      </c>
      <c r="O22">
        <v>0.15429899999999999</v>
      </c>
      <c r="P22">
        <v>0.14205899999999999</v>
      </c>
      <c r="Q22">
        <v>0.129521</v>
      </c>
      <c r="R22">
        <v>0.11765399999999999</v>
      </c>
      <c r="S22">
        <v>0.10667500000000001</v>
      </c>
      <c r="T22">
        <v>9.7340999999999997E-2</v>
      </c>
      <c r="U22">
        <v>8.9383000000000004E-2</v>
      </c>
      <c r="V22">
        <v>8.2893999999999995E-2</v>
      </c>
      <c r="W22">
        <v>7.7835000000000001E-2</v>
      </c>
      <c r="X22">
        <v>7.4071999999999999E-2</v>
      </c>
      <c r="Y22">
        <v>7.1455000000000005E-2</v>
      </c>
      <c r="Z22">
        <v>6.9825999999999999E-2</v>
      </c>
      <c r="AA22">
        <v>6.8859000000000004E-2</v>
      </c>
      <c r="AB22">
        <v>6.8306000000000006E-2</v>
      </c>
      <c r="AC22">
        <v>6.7977999999999997E-2</v>
      </c>
      <c r="AD22">
        <v>6.7784999999999998E-2</v>
      </c>
      <c r="AE22">
        <v>6.7623000000000003E-2</v>
      </c>
      <c r="AF22">
        <v>6.7468E-2</v>
      </c>
      <c r="AG22">
        <v>6.7344000000000001E-2</v>
      </c>
      <c r="AH22">
        <v>6.7206000000000002E-2</v>
      </c>
      <c r="AI22">
        <v>6.7040000000000002E-2</v>
      </c>
      <c r="AJ22" s="32">
        <v>-3.6999999999999998E-2</v>
      </c>
    </row>
    <row r="23" spans="1:36" ht="12.9" x14ac:dyDescent="0.15">
      <c r="A23" t="s">
        <v>179</v>
      </c>
      <c r="B23" t="s">
        <v>322</v>
      </c>
      <c r="C23" t="s">
        <v>366</v>
      </c>
      <c r="D23" t="s">
        <v>360</v>
      </c>
      <c r="E23">
        <v>0.17965500000000001</v>
      </c>
      <c r="F23">
        <v>0.22212899999999999</v>
      </c>
      <c r="G23">
        <v>0.265959</v>
      </c>
      <c r="H23">
        <v>0.30646400000000001</v>
      </c>
      <c r="I23">
        <v>0.34507900000000002</v>
      </c>
      <c r="J23">
        <v>0.38316800000000001</v>
      </c>
      <c r="K23">
        <v>0.42010599999999998</v>
      </c>
      <c r="L23">
        <v>0.45754400000000001</v>
      </c>
      <c r="M23">
        <v>0.49723899999999999</v>
      </c>
      <c r="N23">
        <v>0.53971599999999997</v>
      </c>
      <c r="O23">
        <v>0.58685100000000001</v>
      </c>
      <c r="P23">
        <v>0.63760399999999995</v>
      </c>
      <c r="Q23">
        <v>0.69262599999999996</v>
      </c>
      <c r="R23">
        <v>0.75208399999999997</v>
      </c>
      <c r="S23">
        <v>0.81565500000000002</v>
      </c>
      <c r="T23">
        <v>0.88262399999999996</v>
      </c>
      <c r="U23">
        <v>0.952152</v>
      </c>
      <c r="V23">
        <v>1.025126</v>
      </c>
      <c r="W23">
        <v>1.102357</v>
      </c>
      <c r="X23">
        <v>1.183562</v>
      </c>
      <c r="Y23">
        <v>1.268491</v>
      </c>
      <c r="Z23">
        <v>1.356409</v>
      </c>
      <c r="AA23">
        <v>1.4472419999999999</v>
      </c>
      <c r="AB23">
        <v>1.540664</v>
      </c>
      <c r="AC23">
        <v>1.637078</v>
      </c>
      <c r="AD23">
        <v>1.7379260000000001</v>
      </c>
      <c r="AE23">
        <v>1.839939</v>
      </c>
      <c r="AF23">
        <v>1.9426680000000001</v>
      </c>
      <c r="AG23">
        <v>2.0472679999999999</v>
      </c>
      <c r="AH23">
        <v>2.1525720000000002</v>
      </c>
      <c r="AI23">
        <v>2.2580339999999999</v>
      </c>
      <c r="AJ23" s="32">
        <v>8.7999999999999995E-2</v>
      </c>
    </row>
    <row r="24" spans="1:36" ht="12.9" x14ac:dyDescent="0.15">
      <c r="A24" t="s">
        <v>182</v>
      </c>
      <c r="B24" t="s">
        <v>323</v>
      </c>
      <c r="C24" t="s">
        <v>367</v>
      </c>
      <c r="D24" t="s">
        <v>360</v>
      </c>
      <c r="E24">
        <v>0.39378200000000002</v>
      </c>
      <c r="F24">
        <v>0.450104</v>
      </c>
      <c r="G24">
        <v>0.51450600000000002</v>
      </c>
      <c r="H24">
        <v>0.58398899999999998</v>
      </c>
      <c r="I24">
        <v>0.65822499999999995</v>
      </c>
      <c r="J24">
        <v>0.73449299999999995</v>
      </c>
      <c r="K24">
        <v>0.81456399999999995</v>
      </c>
      <c r="L24">
        <v>0.89784200000000003</v>
      </c>
      <c r="M24">
        <v>0.98907999999999996</v>
      </c>
      <c r="N24">
        <v>1.0886169999999999</v>
      </c>
      <c r="O24">
        <v>1.1990780000000001</v>
      </c>
      <c r="P24">
        <v>1.325061</v>
      </c>
      <c r="Q24">
        <v>1.4654959999999999</v>
      </c>
      <c r="R24">
        <v>1.622568</v>
      </c>
      <c r="S24">
        <v>1.7993159999999999</v>
      </c>
      <c r="T24">
        <v>1.9981549999999999</v>
      </c>
      <c r="U24">
        <v>2.21509</v>
      </c>
      <c r="V24">
        <v>2.4525389999999998</v>
      </c>
      <c r="W24">
        <v>2.714334</v>
      </c>
      <c r="X24">
        <v>2.9972940000000001</v>
      </c>
      <c r="Y24">
        <v>3.2987549999999999</v>
      </c>
      <c r="Z24">
        <v>3.6131519999999999</v>
      </c>
      <c r="AA24">
        <v>3.9389460000000001</v>
      </c>
      <c r="AB24">
        <v>4.2739240000000001</v>
      </c>
      <c r="AC24">
        <v>4.6189939999999998</v>
      </c>
      <c r="AD24">
        <v>4.9779580000000001</v>
      </c>
      <c r="AE24">
        <v>5.3442699999999999</v>
      </c>
      <c r="AF24">
        <v>5.713794</v>
      </c>
      <c r="AG24">
        <v>6.0918049999999999</v>
      </c>
      <c r="AH24">
        <v>6.4715499999999997</v>
      </c>
      <c r="AI24">
        <v>6.8537359999999996</v>
      </c>
      <c r="AJ24" s="32">
        <v>0.1</v>
      </c>
    </row>
    <row r="25" spans="1:36" ht="12.9" x14ac:dyDescent="0.15">
      <c r="A25" t="s">
        <v>185</v>
      </c>
      <c r="B25" t="s">
        <v>324</v>
      </c>
      <c r="C25" t="s">
        <v>368</v>
      </c>
      <c r="D25" t="s">
        <v>360</v>
      </c>
      <c r="E25">
        <v>0.330181</v>
      </c>
      <c r="F25">
        <v>0.35549599999999998</v>
      </c>
      <c r="G25">
        <v>0.38544800000000001</v>
      </c>
      <c r="H25">
        <v>0.41725200000000001</v>
      </c>
      <c r="I25">
        <v>0.45290900000000001</v>
      </c>
      <c r="J25">
        <v>0.49380499999999999</v>
      </c>
      <c r="K25">
        <v>0.53930599999999995</v>
      </c>
      <c r="L25">
        <v>0.59024399999999999</v>
      </c>
      <c r="M25">
        <v>0.64920999999999995</v>
      </c>
      <c r="N25">
        <v>0.70793300000000003</v>
      </c>
      <c r="O25">
        <v>0.76692199999999999</v>
      </c>
      <c r="P25">
        <v>0.82308499999999996</v>
      </c>
      <c r="Q25">
        <v>0.87771999999999994</v>
      </c>
      <c r="R25">
        <v>0.93003000000000002</v>
      </c>
      <c r="S25">
        <v>0.98112500000000002</v>
      </c>
      <c r="T25">
        <v>1.029431</v>
      </c>
      <c r="U25">
        <v>1.075437</v>
      </c>
      <c r="V25">
        <v>1.119067</v>
      </c>
      <c r="W25">
        <v>1.15967</v>
      </c>
      <c r="X25">
        <v>1.1958899999999999</v>
      </c>
      <c r="Y25">
        <v>1.2282040000000001</v>
      </c>
      <c r="Z25">
        <v>1.2556480000000001</v>
      </c>
      <c r="AA25">
        <v>1.277728</v>
      </c>
      <c r="AB25">
        <v>1.294246</v>
      </c>
      <c r="AC25">
        <v>1.3050440000000001</v>
      </c>
      <c r="AD25">
        <v>1.3112349999999999</v>
      </c>
      <c r="AE25">
        <v>1.311623</v>
      </c>
      <c r="AF25">
        <v>1.3068219999999999</v>
      </c>
      <c r="AG25">
        <v>1.29775</v>
      </c>
      <c r="AH25">
        <v>1.2845800000000001</v>
      </c>
      <c r="AI25">
        <v>1.267598</v>
      </c>
      <c r="AJ25" s="32">
        <v>4.5999999999999999E-2</v>
      </c>
    </row>
    <row r="26" spans="1:36" ht="12.9" x14ac:dyDescent="0.15">
      <c r="A26" t="s">
        <v>188</v>
      </c>
      <c r="B26" t="s">
        <v>325</v>
      </c>
      <c r="C26" t="s">
        <v>369</v>
      </c>
      <c r="D26" t="s">
        <v>360</v>
      </c>
      <c r="E26">
        <v>0.17662900000000001</v>
      </c>
      <c r="F26">
        <v>0.18027299999999999</v>
      </c>
      <c r="G26">
        <v>0.183</v>
      </c>
      <c r="H26">
        <v>0.18439700000000001</v>
      </c>
      <c r="I26">
        <v>0.18485599999999999</v>
      </c>
      <c r="J26">
        <v>0.18441099999999999</v>
      </c>
      <c r="K26">
        <v>0.18298600000000001</v>
      </c>
      <c r="L26">
        <v>0.180337</v>
      </c>
      <c r="M26">
        <v>0.176455</v>
      </c>
      <c r="N26">
        <v>0.17153099999999999</v>
      </c>
      <c r="O26">
        <v>0.16623299999999999</v>
      </c>
      <c r="P26">
        <v>0.16072900000000001</v>
      </c>
      <c r="Q26">
        <v>0.15484899999999999</v>
      </c>
      <c r="R26">
        <v>0.149003</v>
      </c>
      <c r="S26">
        <v>0.143009</v>
      </c>
      <c r="T26">
        <v>0.13781099999999999</v>
      </c>
      <c r="U26">
        <v>0.13356899999999999</v>
      </c>
      <c r="V26">
        <v>0.13078400000000001</v>
      </c>
      <c r="W26">
        <v>0.12887999999999999</v>
      </c>
      <c r="X26">
        <v>0.12791</v>
      </c>
      <c r="Y26">
        <v>0.12751899999999999</v>
      </c>
      <c r="Z26">
        <v>0.12773799999999999</v>
      </c>
      <c r="AA26">
        <v>0.12854499999999999</v>
      </c>
      <c r="AB26">
        <v>0.12965099999999999</v>
      </c>
      <c r="AC26">
        <v>0.130829</v>
      </c>
      <c r="AD26">
        <v>0.132134</v>
      </c>
      <c r="AE26">
        <v>0.13322800000000001</v>
      </c>
      <c r="AF26">
        <v>0.134071</v>
      </c>
      <c r="AG26">
        <v>0.134714</v>
      </c>
      <c r="AH26">
        <v>0.1351</v>
      </c>
      <c r="AI26">
        <v>0.135216</v>
      </c>
      <c r="AJ26" s="32">
        <v>-8.9999999999999993E-3</v>
      </c>
    </row>
    <row r="27" spans="1:36" ht="12.9" x14ac:dyDescent="0.15">
      <c r="A27" t="s">
        <v>191</v>
      </c>
      <c r="B27" t="s">
        <v>326</v>
      </c>
      <c r="C27" t="s">
        <v>370</v>
      </c>
      <c r="D27" t="s">
        <v>360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23</v>
      </c>
    </row>
    <row r="28" spans="1:36" ht="12.9" x14ac:dyDescent="0.15">
      <c r="A28" t="s">
        <v>194</v>
      </c>
      <c r="B28" t="s">
        <v>327</v>
      </c>
      <c r="C28" t="s">
        <v>371</v>
      </c>
      <c r="D28" t="s">
        <v>360</v>
      </c>
      <c r="E28">
        <v>3.824201</v>
      </c>
      <c r="F28">
        <v>3.84422</v>
      </c>
      <c r="G28">
        <v>3.8679429999999999</v>
      </c>
      <c r="H28">
        <v>3.884074</v>
      </c>
      <c r="I28">
        <v>3.8955160000000002</v>
      </c>
      <c r="J28">
        <v>3.9005239999999999</v>
      </c>
      <c r="K28">
        <v>3.899959</v>
      </c>
      <c r="L28">
        <v>3.8927960000000001</v>
      </c>
      <c r="M28">
        <v>3.887737</v>
      </c>
      <c r="N28">
        <v>3.8851019999999998</v>
      </c>
      <c r="O28">
        <v>3.8940039999999998</v>
      </c>
      <c r="P28">
        <v>3.9160750000000002</v>
      </c>
      <c r="Q28">
        <v>3.9551189999999998</v>
      </c>
      <c r="R28">
        <v>4.0139620000000003</v>
      </c>
      <c r="S28">
        <v>4.0908259999999999</v>
      </c>
      <c r="T28">
        <v>4.188008</v>
      </c>
      <c r="U28">
        <v>4.300179</v>
      </c>
      <c r="V28">
        <v>4.4290589999999996</v>
      </c>
      <c r="W28">
        <v>4.573664</v>
      </c>
      <c r="X28">
        <v>4.7291319999999999</v>
      </c>
      <c r="Y28">
        <v>4.8929080000000003</v>
      </c>
      <c r="Z28">
        <v>5.0666399999999996</v>
      </c>
      <c r="AA28">
        <v>5.2471620000000003</v>
      </c>
      <c r="AB28">
        <v>5.4318970000000002</v>
      </c>
      <c r="AC28">
        <v>5.6218599999999999</v>
      </c>
      <c r="AD28">
        <v>5.8199339999999999</v>
      </c>
      <c r="AE28">
        <v>6.0191280000000003</v>
      </c>
      <c r="AF28">
        <v>6.2191260000000002</v>
      </c>
      <c r="AG28">
        <v>6.4244620000000001</v>
      </c>
      <c r="AH28">
        <v>6.6310479999999998</v>
      </c>
      <c r="AI28">
        <v>6.8383399999999996</v>
      </c>
      <c r="AJ28" s="32">
        <v>0.02</v>
      </c>
    </row>
    <row r="29" spans="1:36" ht="12.9" x14ac:dyDescent="0.15">
      <c r="A29" t="s">
        <v>197</v>
      </c>
      <c r="B29" t="s">
        <v>328</v>
      </c>
      <c r="C29" t="s">
        <v>372</v>
      </c>
      <c r="D29" t="s">
        <v>360</v>
      </c>
      <c r="E29">
        <v>1.5592999999999999E-2</v>
      </c>
      <c r="F29">
        <v>1.4617E-2</v>
      </c>
      <c r="G29">
        <v>1.3816E-2</v>
      </c>
      <c r="H29">
        <v>1.3115999999999999E-2</v>
      </c>
      <c r="I29">
        <v>1.2489E-2</v>
      </c>
      <c r="J29">
        <v>1.1908999999999999E-2</v>
      </c>
      <c r="K29">
        <v>1.1370999999999999E-2</v>
      </c>
      <c r="L29">
        <v>1.0848E-2</v>
      </c>
      <c r="M29">
        <v>1.0378E-2</v>
      </c>
      <c r="N29">
        <v>9.9430000000000004E-3</v>
      </c>
      <c r="O29">
        <v>9.5729999999999999E-3</v>
      </c>
      <c r="P29">
        <v>9.2770000000000005E-3</v>
      </c>
      <c r="Q29">
        <v>9.0310000000000008E-3</v>
      </c>
      <c r="R29">
        <v>8.8450000000000004E-3</v>
      </c>
      <c r="S29">
        <v>8.7139999999999995E-3</v>
      </c>
      <c r="T29">
        <v>8.6280000000000003E-3</v>
      </c>
      <c r="U29">
        <v>8.5550000000000001E-3</v>
      </c>
      <c r="V29">
        <v>8.4799999999999997E-3</v>
      </c>
      <c r="W29">
        <v>8.4419999999999999E-3</v>
      </c>
      <c r="X29">
        <v>8.3899999999999999E-3</v>
      </c>
      <c r="Y29">
        <v>8.345E-3</v>
      </c>
      <c r="Z29">
        <v>8.3040000000000006E-3</v>
      </c>
      <c r="AA29">
        <v>8.2609999999999992E-3</v>
      </c>
      <c r="AB29">
        <v>8.2500000000000004E-3</v>
      </c>
      <c r="AC29">
        <v>8.2459999999999999E-3</v>
      </c>
      <c r="AD29">
        <v>8.2480000000000001E-3</v>
      </c>
      <c r="AE29">
        <v>8.2410000000000001E-3</v>
      </c>
      <c r="AF29">
        <v>8.2260000000000007E-3</v>
      </c>
      <c r="AG29">
        <v>8.2120000000000005E-3</v>
      </c>
      <c r="AH29">
        <v>8.1919999999999996E-3</v>
      </c>
      <c r="AI29">
        <v>8.1689999999999992E-3</v>
      </c>
      <c r="AJ29" s="32">
        <v>-2.1000000000000001E-2</v>
      </c>
    </row>
    <row r="30" spans="1:36" ht="12.9" x14ac:dyDescent="0.15">
      <c r="A30" t="s">
        <v>200</v>
      </c>
      <c r="B30" t="s">
        <v>329</v>
      </c>
      <c r="C30" t="s">
        <v>373</v>
      </c>
      <c r="D30" t="s">
        <v>360</v>
      </c>
      <c r="E30">
        <v>3.6049999999999999E-2</v>
      </c>
      <c r="F30">
        <v>3.4826000000000003E-2</v>
      </c>
      <c r="G30">
        <v>3.3960999999999998E-2</v>
      </c>
      <c r="H30">
        <v>3.3182999999999997E-2</v>
      </c>
      <c r="I30">
        <v>3.2493000000000001E-2</v>
      </c>
      <c r="J30">
        <v>3.1748999999999999E-2</v>
      </c>
      <c r="K30">
        <v>3.0946000000000001E-2</v>
      </c>
      <c r="L30">
        <v>3.0037000000000001E-2</v>
      </c>
      <c r="M30">
        <v>2.9101999999999999E-2</v>
      </c>
      <c r="N30">
        <v>2.8146000000000001E-2</v>
      </c>
      <c r="O30">
        <v>2.7255999999999999E-2</v>
      </c>
      <c r="P30">
        <v>2.6449E-2</v>
      </c>
      <c r="Q30">
        <v>2.5728999999999998E-2</v>
      </c>
      <c r="R30">
        <v>2.5128000000000001E-2</v>
      </c>
      <c r="S30">
        <v>2.4669E-2</v>
      </c>
      <c r="T30">
        <v>2.4299000000000001E-2</v>
      </c>
      <c r="U30">
        <v>2.3954E-2</v>
      </c>
      <c r="V30">
        <v>2.3628E-2</v>
      </c>
      <c r="W30">
        <v>2.3383999999999999E-2</v>
      </c>
      <c r="X30">
        <v>2.3156E-2</v>
      </c>
      <c r="Y30">
        <v>2.2946000000000001E-2</v>
      </c>
      <c r="Z30">
        <v>2.2762999999999999E-2</v>
      </c>
      <c r="AA30">
        <v>2.2592000000000001E-2</v>
      </c>
      <c r="AB30">
        <v>2.2515E-2</v>
      </c>
      <c r="AC30">
        <v>2.2460000000000001E-2</v>
      </c>
      <c r="AD30">
        <v>2.2461999999999999E-2</v>
      </c>
      <c r="AE30">
        <v>2.2443000000000001E-2</v>
      </c>
      <c r="AF30">
        <v>2.2401999999999998E-2</v>
      </c>
      <c r="AG30">
        <v>2.2373000000000001E-2</v>
      </c>
      <c r="AH30">
        <v>2.2329999999999999E-2</v>
      </c>
      <c r="AI30">
        <v>2.2273000000000001E-2</v>
      </c>
      <c r="AJ30" s="32">
        <v>-1.6E-2</v>
      </c>
    </row>
    <row r="31" spans="1:36" ht="12.9" x14ac:dyDescent="0.15">
      <c r="A31" t="s">
        <v>203</v>
      </c>
      <c r="B31" t="s">
        <v>330</v>
      </c>
      <c r="C31" t="s">
        <v>374</v>
      </c>
      <c r="D31" t="s">
        <v>360</v>
      </c>
      <c r="E31">
        <v>3.385E-3</v>
      </c>
      <c r="F31">
        <v>3.4529999999999999E-3</v>
      </c>
      <c r="G31">
        <v>3.601E-3</v>
      </c>
      <c r="H31">
        <v>3.7780000000000001E-3</v>
      </c>
      <c r="I31">
        <v>3.9509999999999997E-3</v>
      </c>
      <c r="J31">
        <v>4.1229999999999999E-3</v>
      </c>
      <c r="K31">
        <v>4.2890000000000003E-3</v>
      </c>
      <c r="L31">
        <v>4.4470000000000004E-3</v>
      </c>
      <c r="M31">
        <v>4.6090000000000002E-3</v>
      </c>
      <c r="N31">
        <v>4.7710000000000001E-3</v>
      </c>
      <c r="O31">
        <v>4.9240000000000004E-3</v>
      </c>
      <c r="P31">
        <v>5.0829999999999998E-3</v>
      </c>
      <c r="Q31">
        <v>5.2350000000000001E-3</v>
      </c>
      <c r="R31">
        <v>5.3829999999999998E-3</v>
      </c>
      <c r="S31">
        <v>5.5240000000000003E-3</v>
      </c>
      <c r="T31">
        <v>5.659E-3</v>
      </c>
      <c r="U31">
        <v>5.7720000000000002E-3</v>
      </c>
      <c r="V31">
        <v>5.8690000000000001E-3</v>
      </c>
      <c r="W31">
        <v>5.96E-3</v>
      </c>
      <c r="X31">
        <v>6.0460000000000002E-3</v>
      </c>
      <c r="Y31">
        <v>6.1190000000000003E-3</v>
      </c>
      <c r="Z31">
        <v>6.1859999999999997E-3</v>
      </c>
      <c r="AA31">
        <v>6.2519999999999997E-3</v>
      </c>
      <c r="AB31">
        <v>6.2859999999999999E-3</v>
      </c>
      <c r="AC31">
        <v>6.3480000000000003E-3</v>
      </c>
      <c r="AD31">
        <v>6.4200000000000004E-3</v>
      </c>
      <c r="AE31">
        <v>6.4879999999999998E-3</v>
      </c>
      <c r="AF31">
        <v>6.5490000000000001E-3</v>
      </c>
      <c r="AG31">
        <v>6.6100000000000004E-3</v>
      </c>
      <c r="AH31">
        <v>6.6660000000000001E-3</v>
      </c>
      <c r="AI31">
        <v>6.7169999999999999E-3</v>
      </c>
      <c r="AJ31" s="32">
        <v>2.3E-2</v>
      </c>
    </row>
    <row r="32" spans="1:36" ht="12.9" x14ac:dyDescent="0.15">
      <c r="A32" t="s">
        <v>206</v>
      </c>
      <c r="B32" t="s">
        <v>331</v>
      </c>
      <c r="C32" t="s">
        <v>375</v>
      </c>
      <c r="D32" t="s">
        <v>360</v>
      </c>
      <c r="E32">
        <v>6.0749999999999997E-3</v>
      </c>
      <c r="F32">
        <v>6.0419999999999996E-3</v>
      </c>
      <c r="G32">
        <v>6.1110000000000001E-3</v>
      </c>
      <c r="H32">
        <v>6.208E-3</v>
      </c>
      <c r="I32">
        <v>6.3010000000000002E-3</v>
      </c>
      <c r="J32">
        <v>6.3860000000000002E-3</v>
      </c>
      <c r="K32">
        <v>6.4599999999999996E-3</v>
      </c>
      <c r="L32">
        <v>6.5189999999999996E-3</v>
      </c>
      <c r="M32">
        <v>6.5770000000000004E-3</v>
      </c>
      <c r="N32">
        <v>6.6290000000000003E-3</v>
      </c>
      <c r="O32">
        <v>6.6730000000000001E-3</v>
      </c>
      <c r="P32">
        <v>6.7120000000000001E-3</v>
      </c>
      <c r="Q32">
        <v>6.7450000000000001E-3</v>
      </c>
      <c r="R32">
        <v>6.7799999999999996E-3</v>
      </c>
      <c r="S32">
        <v>6.8199999999999997E-3</v>
      </c>
      <c r="T32">
        <v>6.855E-3</v>
      </c>
      <c r="U32">
        <v>6.875E-3</v>
      </c>
      <c r="V32">
        <v>6.8859999999999998E-3</v>
      </c>
      <c r="W32">
        <v>6.894E-3</v>
      </c>
      <c r="X32">
        <v>6.8999999999999999E-3</v>
      </c>
      <c r="Y32">
        <v>6.8960000000000002E-3</v>
      </c>
      <c r="Z32">
        <v>6.8890000000000002E-3</v>
      </c>
      <c r="AA32">
        <v>6.8820000000000001E-3</v>
      </c>
      <c r="AB32">
        <v>6.8199999999999997E-3</v>
      </c>
      <c r="AC32">
        <v>6.8089999999999999E-3</v>
      </c>
      <c r="AD32">
        <v>6.816E-3</v>
      </c>
      <c r="AE32">
        <v>6.816E-3</v>
      </c>
      <c r="AF32">
        <v>6.8060000000000004E-3</v>
      </c>
      <c r="AG32">
        <v>6.7980000000000002E-3</v>
      </c>
      <c r="AH32">
        <v>6.7850000000000002E-3</v>
      </c>
      <c r="AI32">
        <v>6.7669999999999996E-3</v>
      </c>
      <c r="AJ32" s="32">
        <v>4.0000000000000001E-3</v>
      </c>
    </row>
    <row r="33" spans="1:36" ht="12.9" x14ac:dyDescent="0.15">
      <c r="A33" t="s">
        <v>208</v>
      </c>
      <c r="B33" t="s">
        <v>332</v>
      </c>
      <c r="C33" t="s">
        <v>376</v>
      </c>
      <c r="D33" t="s">
        <v>360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23</v>
      </c>
    </row>
    <row r="34" spans="1:36" ht="12.9" x14ac:dyDescent="0.15">
      <c r="A34" t="s">
        <v>211</v>
      </c>
      <c r="B34" t="s">
        <v>333</v>
      </c>
      <c r="C34" t="s">
        <v>377</v>
      </c>
      <c r="D34" t="s">
        <v>360</v>
      </c>
      <c r="E34">
        <v>7.633E-3</v>
      </c>
      <c r="F34">
        <v>7.7730000000000004E-3</v>
      </c>
      <c r="G34">
        <v>7.92E-3</v>
      </c>
      <c r="H34">
        <v>8.064E-3</v>
      </c>
      <c r="I34">
        <v>8.2269999999999999E-3</v>
      </c>
      <c r="J34">
        <v>8.4220000000000007E-3</v>
      </c>
      <c r="K34">
        <v>8.6359999999999996E-3</v>
      </c>
      <c r="L34">
        <v>8.8620000000000001E-3</v>
      </c>
      <c r="M34">
        <v>9.1059999999999995E-3</v>
      </c>
      <c r="N34">
        <v>9.3559999999999997E-3</v>
      </c>
      <c r="O34">
        <v>9.6069999999999992E-3</v>
      </c>
      <c r="P34">
        <v>9.8399999999999998E-3</v>
      </c>
      <c r="Q34">
        <v>1.0005E-2</v>
      </c>
      <c r="R34">
        <v>1.0155000000000001E-2</v>
      </c>
      <c r="S34">
        <v>1.0284E-2</v>
      </c>
      <c r="T34">
        <v>1.0482E-2</v>
      </c>
      <c r="U34">
        <v>1.0742E-2</v>
      </c>
      <c r="V34">
        <v>1.1088000000000001E-2</v>
      </c>
      <c r="W34">
        <v>1.1462999999999999E-2</v>
      </c>
      <c r="X34">
        <v>1.189E-2</v>
      </c>
      <c r="Y34">
        <v>1.2348E-2</v>
      </c>
      <c r="Z34">
        <v>1.2841E-2</v>
      </c>
      <c r="AA34">
        <v>1.3393E-2</v>
      </c>
      <c r="AB34">
        <v>1.3969000000000001E-2</v>
      </c>
      <c r="AC34">
        <v>1.4555E-2</v>
      </c>
      <c r="AD34">
        <v>1.5143E-2</v>
      </c>
      <c r="AE34">
        <v>1.5713999999999999E-2</v>
      </c>
      <c r="AF34">
        <v>1.6263E-2</v>
      </c>
      <c r="AG34">
        <v>1.6802000000000001E-2</v>
      </c>
      <c r="AH34">
        <v>1.7319000000000001E-2</v>
      </c>
      <c r="AI34">
        <v>1.7812999999999999E-2</v>
      </c>
      <c r="AJ34" s="32">
        <v>2.9000000000000001E-2</v>
      </c>
    </row>
    <row r="35" spans="1:36" ht="12.9" x14ac:dyDescent="0.15">
      <c r="A35" t="s">
        <v>214</v>
      </c>
      <c r="B35" t="s">
        <v>334</v>
      </c>
      <c r="C35" t="s">
        <v>378</v>
      </c>
      <c r="D35" t="s">
        <v>360</v>
      </c>
      <c r="E35">
        <v>10.001652999999999</v>
      </c>
      <c r="F35">
        <v>10.076924</v>
      </c>
      <c r="G35">
        <v>10.15631</v>
      </c>
      <c r="H35">
        <v>10.205386000000001</v>
      </c>
      <c r="I35">
        <v>10.233207999999999</v>
      </c>
      <c r="J35">
        <v>10.236128000000001</v>
      </c>
      <c r="K35">
        <v>10.212856</v>
      </c>
      <c r="L35">
        <v>10.160166</v>
      </c>
      <c r="M35">
        <v>10.107775</v>
      </c>
      <c r="N35">
        <v>10.053744</v>
      </c>
      <c r="O35">
        <v>10.028126</v>
      </c>
      <c r="P35">
        <v>10.045481000000001</v>
      </c>
      <c r="Q35">
        <v>10.115997</v>
      </c>
      <c r="R35">
        <v>10.245226000000001</v>
      </c>
      <c r="S35">
        <v>10.444005000000001</v>
      </c>
      <c r="T35">
        <v>10.711954</v>
      </c>
      <c r="U35">
        <v>11.035418999999999</v>
      </c>
      <c r="V35">
        <v>11.425174</v>
      </c>
      <c r="W35">
        <v>11.877036</v>
      </c>
      <c r="X35">
        <v>12.376334</v>
      </c>
      <c r="Y35">
        <v>12.914163</v>
      </c>
      <c r="Z35">
        <v>13.481709</v>
      </c>
      <c r="AA35">
        <v>14.070705999999999</v>
      </c>
      <c r="AB35">
        <v>14.673805</v>
      </c>
      <c r="AC35">
        <v>15.292259</v>
      </c>
      <c r="AD35">
        <v>15.935349</v>
      </c>
      <c r="AE35">
        <v>16.582863</v>
      </c>
      <c r="AF35">
        <v>17.230263000000001</v>
      </c>
      <c r="AG35">
        <v>17.890352</v>
      </c>
      <c r="AH35">
        <v>18.5501</v>
      </c>
      <c r="AI35">
        <v>19.209182999999999</v>
      </c>
      <c r="AJ35" s="32">
        <v>2.1999999999999999E-2</v>
      </c>
    </row>
    <row r="36" spans="1:36" ht="12.9" x14ac:dyDescent="0.15">
      <c r="A36" t="s">
        <v>24</v>
      </c>
      <c r="B36" t="s">
        <v>335</v>
      </c>
      <c r="C36" t="s">
        <v>379</v>
      </c>
      <c r="D36" t="s">
        <v>360</v>
      </c>
      <c r="E36">
        <v>130.04425000000001</v>
      </c>
      <c r="F36">
        <v>128.12239099999999</v>
      </c>
      <c r="G36">
        <v>126.731621</v>
      </c>
      <c r="H36">
        <v>125.416664</v>
      </c>
      <c r="I36">
        <v>124.22352600000001</v>
      </c>
      <c r="J36">
        <v>123.12359600000001</v>
      </c>
      <c r="K36">
        <v>121.931763</v>
      </c>
      <c r="L36">
        <v>120.54795799999999</v>
      </c>
      <c r="M36">
        <v>119.064224</v>
      </c>
      <c r="N36">
        <v>117.480553</v>
      </c>
      <c r="O36">
        <v>115.868042</v>
      </c>
      <c r="P36">
        <v>114.27671100000001</v>
      </c>
      <c r="Q36">
        <v>112.753418</v>
      </c>
      <c r="R36">
        <v>111.338821</v>
      </c>
      <c r="S36">
        <v>110.084816</v>
      </c>
      <c r="T36">
        <v>109.032776</v>
      </c>
      <c r="U36">
        <v>108.13426200000001</v>
      </c>
      <c r="V36">
        <v>107.40757000000001</v>
      </c>
      <c r="W36">
        <v>106.850937</v>
      </c>
      <c r="X36">
        <v>106.40248099999999</v>
      </c>
      <c r="Y36">
        <v>106.037193</v>
      </c>
      <c r="Z36">
        <v>105.76458</v>
      </c>
      <c r="AA36">
        <v>105.560204</v>
      </c>
      <c r="AB36">
        <v>105.375862</v>
      </c>
      <c r="AC36">
        <v>105.22483800000001</v>
      </c>
      <c r="AD36">
        <v>105.12738</v>
      </c>
      <c r="AE36">
        <v>104.995949</v>
      </c>
      <c r="AF36">
        <v>104.827911</v>
      </c>
      <c r="AG36">
        <v>104.680717</v>
      </c>
      <c r="AH36">
        <v>104.49764999999999</v>
      </c>
      <c r="AI36">
        <v>104.272835</v>
      </c>
      <c r="AJ36" s="32">
        <v>-7.0000000000000001E-3</v>
      </c>
    </row>
    <row r="37" spans="1:36" ht="12.9" x14ac:dyDescent="0.15">
      <c r="A37" t="s">
        <v>336</v>
      </c>
      <c r="C37" t="s">
        <v>380</v>
      </c>
    </row>
    <row r="38" spans="1:36" ht="12.9" x14ac:dyDescent="0.15">
      <c r="A38" t="s">
        <v>224</v>
      </c>
      <c r="C38" t="s">
        <v>381</v>
      </c>
    </row>
    <row r="39" spans="1:36" ht="12.9" x14ac:dyDescent="0.15">
      <c r="A39" t="s">
        <v>161</v>
      </c>
      <c r="B39" t="s">
        <v>337</v>
      </c>
      <c r="C39" t="s">
        <v>382</v>
      </c>
      <c r="D39" t="s">
        <v>360</v>
      </c>
      <c r="E39">
        <v>109.775116</v>
      </c>
      <c r="F39">
        <v>110.74385100000001</v>
      </c>
      <c r="G39">
        <v>112.111847</v>
      </c>
      <c r="H39">
        <v>113.83586099999999</v>
      </c>
      <c r="I39">
        <v>115.972031</v>
      </c>
      <c r="J39">
        <v>118.357674</v>
      </c>
      <c r="K39">
        <v>120.65992</v>
      </c>
      <c r="L39">
        <v>122.775352</v>
      </c>
      <c r="M39">
        <v>124.84523799999999</v>
      </c>
      <c r="N39">
        <v>126.789886</v>
      </c>
      <c r="O39">
        <v>128.461319</v>
      </c>
      <c r="P39">
        <v>130.010468</v>
      </c>
      <c r="Q39">
        <v>131.39666700000001</v>
      </c>
      <c r="R39">
        <v>132.62655599999999</v>
      </c>
      <c r="S39">
        <v>133.67858899999999</v>
      </c>
      <c r="T39">
        <v>134.59551999999999</v>
      </c>
      <c r="U39">
        <v>135.30641199999999</v>
      </c>
      <c r="V39">
        <v>135.80033900000001</v>
      </c>
      <c r="W39">
        <v>136.15254200000001</v>
      </c>
      <c r="X39">
        <v>136.389465</v>
      </c>
      <c r="Y39">
        <v>136.512878</v>
      </c>
      <c r="Z39">
        <v>136.56616199999999</v>
      </c>
      <c r="AA39">
        <v>136.56909200000001</v>
      </c>
      <c r="AB39">
        <v>136.49606299999999</v>
      </c>
      <c r="AC39">
        <v>136.38095100000001</v>
      </c>
      <c r="AD39">
        <v>136.26539600000001</v>
      </c>
      <c r="AE39">
        <v>136.08590699999999</v>
      </c>
      <c r="AF39">
        <v>135.841599</v>
      </c>
      <c r="AG39">
        <v>135.621002</v>
      </c>
      <c r="AH39">
        <v>135.329498</v>
      </c>
      <c r="AI39">
        <v>134.95864900000001</v>
      </c>
      <c r="AJ39" s="32">
        <v>7.0000000000000001E-3</v>
      </c>
    </row>
    <row r="40" spans="1:36" ht="12.9" x14ac:dyDescent="0.15">
      <c r="A40" t="s">
        <v>165</v>
      </c>
      <c r="B40" t="s">
        <v>338</v>
      </c>
      <c r="C40" t="s">
        <v>383</v>
      </c>
      <c r="D40" t="s">
        <v>360</v>
      </c>
      <c r="E40">
        <v>0.53340200000000004</v>
      </c>
      <c r="F40">
        <v>0.60581700000000005</v>
      </c>
      <c r="G40">
        <v>0.70908199999999999</v>
      </c>
      <c r="H40">
        <v>0.80349899999999996</v>
      </c>
      <c r="I40">
        <v>0.89642900000000003</v>
      </c>
      <c r="J40">
        <v>0.992479</v>
      </c>
      <c r="K40">
        <v>1.080195</v>
      </c>
      <c r="L40">
        <v>1.161038</v>
      </c>
      <c r="M40">
        <v>1.2424789999999999</v>
      </c>
      <c r="N40">
        <v>1.3210120000000001</v>
      </c>
      <c r="O40">
        <v>1.394312</v>
      </c>
      <c r="P40">
        <v>1.4645820000000001</v>
      </c>
      <c r="Q40">
        <v>1.532173</v>
      </c>
      <c r="R40">
        <v>1.5938810000000001</v>
      </c>
      <c r="S40">
        <v>1.6529430000000001</v>
      </c>
      <c r="T40">
        <v>1.7061230000000001</v>
      </c>
      <c r="U40">
        <v>1.755468</v>
      </c>
      <c r="V40">
        <v>1.7994859999999999</v>
      </c>
      <c r="W40">
        <v>1.8405370000000001</v>
      </c>
      <c r="X40">
        <v>1.8804149999999999</v>
      </c>
      <c r="Y40">
        <v>1.9144000000000001</v>
      </c>
      <c r="Z40">
        <v>1.9452849999999999</v>
      </c>
      <c r="AA40">
        <v>1.9727920000000001</v>
      </c>
      <c r="AB40">
        <v>1.996624</v>
      </c>
      <c r="AC40">
        <v>2.017366</v>
      </c>
      <c r="AD40">
        <v>2.037347</v>
      </c>
      <c r="AE40">
        <v>2.0535649999999999</v>
      </c>
      <c r="AF40">
        <v>2.0672410000000001</v>
      </c>
      <c r="AG40">
        <v>2.0795439999999998</v>
      </c>
      <c r="AH40">
        <v>2.0893350000000002</v>
      </c>
      <c r="AI40">
        <v>2.0961599999999998</v>
      </c>
      <c r="AJ40" s="32">
        <v>4.7E-2</v>
      </c>
    </row>
    <row r="41" spans="1:36" ht="12.9" x14ac:dyDescent="0.15">
      <c r="A41" t="s">
        <v>230</v>
      </c>
      <c r="B41" t="s">
        <v>339</v>
      </c>
      <c r="C41" t="s">
        <v>384</v>
      </c>
      <c r="D41" t="s">
        <v>360</v>
      </c>
      <c r="E41">
        <v>110.30851699999999</v>
      </c>
      <c r="F41">
        <v>111.34967</v>
      </c>
      <c r="G41">
        <v>112.82093</v>
      </c>
      <c r="H41">
        <v>114.639359</v>
      </c>
      <c r="I41">
        <v>116.86846199999999</v>
      </c>
      <c r="J41">
        <v>119.350151</v>
      </c>
      <c r="K41">
        <v>121.740112</v>
      </c>
      <c r="L41">
        <v>123.93639400000001</v>
      </c>
      <c r="M41">
        <v>126.087715</v>
      </c>
      <c r="N41">
        <v>128.11090100000001</v>
      </c>
      <c r="O41">
        <v>129.855637</v>
      </c>
      <c r="P41">
        <v>131.47505200000001</v>
      </c>
      <c r="Q41">
        <v>132.92884799999999</v>
      </c>
      <c r="R41">
        <v>134.22044399999999</v>
      </c>
      <c r="S41">
        <v>135.33152799999999</v>
      </c>
      <c r="T41">
        <v>136.301636</v>
      </c>
      <c r="U41">
        <v>137.06187399999999</v>
      </c>
      <c r="V41">
        <v>137.59982299999999</v>
      </c>
      <c r="W41">
        <v>137.99307300000001</v>
      </c>
      <c r="X41">
        <v>138.269882</v>
      </c>
      <c r="Y41">
        <v>138.427277</v>
      </c>
      <c r="Z41">
        <v>138.51144400000001</v>
      </c>
      <c r="AA41">
        <v>138.54188500000001</v>
      </c>
      <c r="AB41">
        <v>138.49269100000001</v>
      </c>
      <c r="AC41">
        <v>138.398315</v>
      </c>
      <c r="AD41">
        <v>138.30275</v>
      </c>
      <c r="AE41">
        <v>138.139465</v>
      </c>
      <c r="AF41">
        <v>137.90884399999999</v>
      </c>
      <c r="AG41">
        <v>137.700546</v>
      </c>
      <c r="AH41">
        <v>137.41883899999999</v>
      </c>
      <c r="AI41">
        <v>137.05481</v>
      </c>
      <c r="AJ41" s="32">
        <v>7.0000000000000001E-3</v>
      </c>
    </row>
    <row r="42" spans="1:36" ht="12.9" x14ac:dyDescent="0.15">
      <c r="A42" t="s">
        <v>233</v>
      </c>
      <c r="C42" t="s">
        <v>385</v>
      </c>
    </row>
    <row r="43" spans="1:36" ht="12.9" x14ac:dyDescent="0.15">
      <c r="A43" t="s">
        <v>173</v>
      </c>
      <c r="B43" t="s">
        <v>340</v>
      </c>
      <c r="C43" t="s">
        <v>386</v>
      </c>
      <c r="D43" t="s">
        <v>360</v>
      </c>
      <c r="E43">
        <v>15.788600000000001</v>
      </c>
      <c r="F43">
        <v>15.792562</v>
      </c>
      <c r="G43">
        <v>15.765272</v>
      </c>
      <c r="H43">
        <v>15.707791</v>
      </c>
      <c r="I43">
        <v>15.623258</v>
      </c>
      <c r="J43">
        <v>15.520708000000001</v>
      </c>
      <c r="K43">
        <v>15.389112000000001</v>
      </c>
      <c r="L43">
        <v>15.228992</v>
      </c>
      <c r="M43">
        <v>15.067304</v>
      </c>
      <c r="N43">
        <v>14.911758000000001</v>
      </c>
      <c r="O43">
        <v>14.753513</v>
      </c>
      <c r="P43">
        <v>14.592062</v>
      </c>
      <c r="Q43">
        <v>14.430001000000001</v>
      </c>
      <c r="R43">
        <v>14.277225</v>
      </c>
      <c r="S43">
        <v>14.135702</v>
      </c>
      <c r="T43">
        <v>14.00994</v>
      </c>
      <c r="U43">
        <v>13.895649000000001</v>
      </c>
      <c r="V43">
        <v>13.791717999999999</v>
      </c>
      <c r="W43">
        <v>13.695762999999999</v>
      </c>
      <c r="X43">
        <v>13.614037</v>
      </c>
      <c r="Y43">
        <v>13.549742999999999</v>
      </c>
      <c r="Z43">
        <v>13.490777</v>
      </c>
      <c r="AA43">
        <v>13.439021</v>
      </c>
      <c r="AB43">
        <v>13.389459</v>
      </c>
      <c r="AC43">
        <v>13.341989</v>
      </c>
      <c r="AD43">
        <v>13.300770999999999</v>
      </c>
      <c r="AE43">
        <v>13.258034</v>
      </c>
      <c r="AF43">
        <v>13.213305</v>
      </c>
      <c r="AG43">
        <v>13.174664</v>
      </c>
      <c r="AH43">
        <v>13.132721</v>
      </c>
      <c r="AI43">
        <v>13.08629</v>
      </c>
      <c r="AJ43" s="32">
        <v>-6.0000000000000001E-3</v>
      </c>
    </row>
    <row r="44" spans="1:36" ht="12.9" x14ac:dyDescent="0.15">
      <c r="A44" t="s">
        <v>176</v>
      </c>
      <c r="B44" t="s">
        <v>341</v>
      </c>
      <c r="C44" t="s">
        <v>387</v>
      </c>
      <c r="D44" t="s">
        <v>360</v>
      </c>
      <c r="E44">
        <v>6.6799999999999997E-4</v>
      </c>
      <c r="F44">
        <v>6.0099999999999997E-4</v>
      </c>
      <c r="G44">
        <v>5.3300000000000005E-4</v>
      </c>
      <c r="H44">
        <v>4.3199999999999998E-4</v>
      </c>
      <c r="I44">
        <v>3.5399999999999999E-4</v>
      </c>
      <c r="J44">
        <v>2.99E-4</v>
      </c>
      <c r="K44">
        <v>2.5399999999999999E-4</v>
      </c>
      <c r="L44">
        <v>2.2100000000000001E-4</v>
      </c>
      <c r="M44">
        <v>2.0000000000000001E-4</v>
      </c>
      <c r="N44">
        <v>1.8000000000000001E-4</v>
      </c>
      <c r="O44">
        <v>1.6200000000000001E-4</v>
      </c>
      <c r="P44">
        <v>1.44E-4</v>
      </c>
      <c r="Q44">
        <v>1.2899999999999999E-4</v>
      </c>
      <c r="R44">
        <v>1.1400000000000001E-4</v>
      </c>
      <c r="S44">
        <v>1.01E-4</v>
      </c>
      <c r="T44">
        <v>9.0000000000000006E-5</v>
      </c>
      <c r="U44">
        <v>7.3999999999999996E-5</v>
      </c>
      <c r="V44">
        <v>6.0999999999999999E-5</v>
      </c>
      <c r="W44">
        <v>5.5000000000000002E-5</v>
      </c>
      <c r="X44">
        <v>4.8999999999999998E-5</v>
      </c>
      <c r="Y44">
        <v>4.5000000000000003E-5</v>
      </c>
      <c r="Z44">
        <v>4.0000000000000003E-5</v>
      </c>
      <c r="AA44">
        <v>3.6000000000000001E-5</v>
      </c>
      <c r="AB44">
        <v>3.3000000000000003E-5</v>
      </c>
      <c r="AC44">
        <v>3.0000000000000001E-5</v>
      </c>
      <c r="AD44">
        <v>2.6999999999999999E-5</v>
      </c>
      <c r="AE44">
        <v>2.4000000000000001E-5</v>
      </c>
      <c r="AF44">
        <v>2.1999999999999999E-5</v>
      </c>
      <c r="AG44">
        <v>2.0000000000000002E-5</v>
      </c>
      <c r="AH44">
        <v>1.8E-5</v>
      </c>
      <c r="AI44">
        <v>1.5999999999999999E-5</v>
      </c>
      <c r="AJ44" s="32">
        <v>-0.11600000000000001</v>
      </c>
    </row>
    <row r="45" spans="1:36" ht="12.9" x14ac:dyDescent="0.15">
      <c r="A45" t="s">
        <v>179</v>
      </c>
      <c r="B45" t="s">
        <v>342</v>
      </c>
      <c r="C45" t="s">
        <v>388</v>
      </c>
      <c r="D45" t="s">
        <v>360</v>
      </c>
      <c r="E45">
        <v>3.5414000000000001E-2</v>
      </c>
      <c r="F45">
        <v>4.7958000000000001E-2</v>
      </c>
      <c r="G45">
        <v>6.1720999999999998E-2</v>
      </c>
      <c r="H45">
        <v>7.6243000000000005E-2</v>
      </c>
      <c r="I45">
        <v>9.3642000000000003E-2</v>
      </c>
      <c r="J45">
        <v>0.113646</v>
      </c>
      <c r="K45">
        <v>0.13662099999999999</v>
      </c>
      <c r="L45">
        <v>0.16203400000000001</v>
      </c>
      <c r="M45">
        <v>0.191001</v>
      </c>
      <c r="N45">
        <v>0.22387699999999999</v>
      </c>
      <c r="O45">
        <v>0.26006899999999999</v>
      </c>
      <c r="P45">
        <v>0.30036200000000002</v>
      </c>
      <c r="Q45">
        <v>0.34528799999999998</v>
      </c>
      <c r="R45">
        <v>0.39483600000000002</v>
      </c>
      <c r="S45">
        <v>0.44891700000000001</v>
      </c>
      <c r="T45">
        <v>0.50762399999999996</v>
      </c>
      <c r="U45">
        <v>0.57022099999999998</v>
      </c>
      <c r="V45">
        <v>0.63605</v>
      </c>
      <c r="W45">
        <v>0.70518800000000004</v>
      </c>
      <c r="X45">
        <v>0.77725699999999998</v>
      </c>
      <c r="Y45">
        <v>0.85167199999999998</v>
      </c>
      <c r="Z45">
        <v>0.92790700000000004</v>
      </c>
      <c r="AA45">
        <v>1.0058849999999999</v>
      </c>
      <c r="AB45">
        <v>1.0850150000000001</v>
      </c>
      <c r="AC45">
        <v>1.1651640000000001</v>
      </c>
      <c r="AD45">
        <v>1.247044</v>
      </c>
      <c r="AE45">
        <v>1.329116</v>
      </c>
      <c r="AF45">
        <v>1.4110469999999999</v>
      </c>
      <c r="AG45">
        <v>1.4940819999999999</v>
      </c>
      <c r="AH45">
        <v>1.576498</v>
      </c>
      <c r="AI45">
        <v>1.657945</v>
      </c>
      <c r="AJ45" s="32">
        <v>0.13700000000000001</v>
      </c>
    </row>
    <row r="46" spans="1:36" ht="12.9" x14ac:dyDescent="0.15">
      <c r="A46" t="s">
        <v>182</v>
      </c>
      <c r="B46" t="s">
        <v>343</v>
      </c>
      <c r="C46" t="s">
        <v>389</v>
      </c>
      <c r="D46" t="s">
        <v>360</v>
      </c>
      <c r="E46">
        <v>6.0679999999999998E-2</v>
      </c>
      <c r="F46">
        <v>9.1847999999999999E-2</v>
      </c>
      <c r="G46">
        <v>0.128022</v>
      </c>
      <c r="H46">
        <v>0.169351</v>
      </c>
      <c r="I46">
        <v>0.21685399999999999</v>
      </c>
      <c r="J46">
        <v>0.26850800000000002</v>
      </c>
      <c r="K46">
        <v>0.32242500000000002</v>
      </c>
      <c r="L46">
        <v>0.38031500000000001</v>
      </c>
      <c r="M46">
        <v>0.44548300000000002</v>
      </c>
      <c r="N46">
        <v>0.51895100000000005</v>
      </c>
      <c r="O46">
        <v>0.60328999999999999</v>
      </c>
      <c r="P46">
        <v>0.69862500000000005</v>
      </c>
      <c r="Q46">
        <v>0.80738699999999997</v>
      </c>
      <c r="R46">
        <v>0.92993300000000001</v>
      </c>
      <c r="S46">
        <v>1.0675749999999999</v>
      </c>
      <c r="T46">
        <v>1.220337</v>
      </c>
      <c r="U46">
        <v>1.387586</v>
      </c>
      <c r="V46">
        <v>1.5692360000000001</v>
      </c>
      <c r="W46">
        <v>1.766562</v>
      </c>
      <c r="X46">
        <v>1.9782200000000001</v>
      </c>
      <c r="Y46">
        <v>2.203554</v>
      </c>
      <c r="Z46">
        <v>2.4356680000000002</v>
      </c>
      <c r="AA46">
        <v>2.673063</v>
      </c>
      <c r="AB46">
        <v>2.9148179999999999</v>
      </c>
      <c r="AC46">
        <v>3.161079</v>
      </c>
      <c r="AD46">
        <v>3.4151549999999999</v>
      </c>
      <c r="AE46">
        <v>3.6720060000000001</v>
      </c>
      <c r="AF46">
        <v>3.9309029999999998</v>
      </c>
      <c r="AG46">
        <v>4.1954529999999997</v>
      </c>
      <c r="AH46">
        <v>4.4627460000000001</v>
      </c>
      <c r="AI46">
        <v>4.7318870000000004</v>
      </c>
      <c r="AJ46" s="32">
        <v>0.156</v>
      </c>
    </row>
    <row r="47" spans="1:36" ht="12.9" x14ac:dyDescent="0.15">
      <c r="A47" t="s">
        <v>185</v>
      </c>
      <c r="B47" t="s">
        <v>344</v>
      </c>
      <c r="C47" t="s">
        <v>390</v>
      </c>
      <c r="D47" t="s">
        <v>360</v>
      </c>
      <c r="E47">
        <v>5.6167000000000002E-2</v>
      </c>
      <c r="F47">
        <v>6.0158999999999997E-2</v>
      </c>
      <c r="G47">
        <v>6.4102000000000006E-2</v>
      </c>
      <c r="H47">
        <v>6.7984000000000003E-2</v>
      </c>
      <c r="I47">
        <v>7.1941000000000005E-2</v>
      </c>
      <c r="J47">
        <v>7.5711000000000001E-2</v>
      </c>
      <c r="K47">
        <v>7.911E-2</v>
      </c>
      <c r="L47">
        <v>8.2494999999999999E-2</v>
      </c>
      <c r="M47">
        <v>8.5986000000000007E-2</v>
      </c>
      <c r="N47">
        <v>8.9661000000000005E-2</v>
      </c>
      <c r="O47">
        <v>9.3537999999999996E-2</v>
      </c>
      <c r="P47">
        <v>9.7793000000000005E-2</v>
      </c>
      <c r="Q47">
        <v>0.10262499999999999</v>
      </c>
      <c r="R47">
        <v>0.108345</v>
      </c>
      <c r="S47">
        <v>0.11507299999999999</v>
      </c>
      <c r="T47">
        <v>0.122521</v>
      </c>
      <c r="U47">
        <v>0.13054499999999999</v>
      </c>
      <c r="V47">
        <v>0.13921700000000001</v>
      </c>
      <c r="W47">
        <v>0.14882600000000001</v>
      </c>
      <c r="X47">
        <v>0.159552</v>
      </c>
      <c r="Y47">
        <v>0.171571</v>
      </c>
      <c r="Z47">
        <v>0.18510499999999999</v>
      </c>
      <c r="AA47">
        <v>0.20014100000000001</v>
      </c>
      <c r="AB47">
        <v>0.21707499999999999</v>
      </c>
      <c r="AC47">
        <v>0.23607700000000001</v>
      </c>
      <c r="AD47">
        <v>0.25775100000000001</v>
      </c>
      <c r="AE47">
        <v>0.28225600000000001</v>
      </c>
      <c r="AF47">
        <v>0.31008000000000002</v>
      </c>
      <c r="AG47">
        <v>0.34221099999999999</v>
      </c>
      <c r="AH47">
        <v>0.37889800000000001</v>
      </c>
      <c r="AI47">
        <v>0.42074800000000001</v>
      </c>
      <c r="AJ47" s="32">
        <v>6.9000000000000006E-2</v>
      </c>
    </row>
    <row r="48" spans="1:36" ht="12.9" x14ac:dyDescent="0.15">
      <c r="A48" t="s">
        <v>188</v>
      </c>
      <c r="B48" t="s">
        <v>345</v>
      </c>
      <c r="C48" t="s">
        <v>391</v>
      </c>
      <c r="D48" t="s">
        <v>360</v>
      </c>
      <c r="E48">
        <v>4.5997999999999997E-2</v>
      </c>
      <c r="F48">
        <v>7.0582000000000006E-2</v>
      </c>
      <c r="G48">
        <v>9.5418000000000003E-2</v>
      </c>
      <c r="H48">
        <v>0.118328</v>
      </c>
      <c r="I48">
        <v>0.13960500000000001</v>
      </c>
      <c r="J48">
        <v>0.178533</v>
      </c>
      <c r="K48">
        <v>0.29515000000000002</v>
      </c>
      <c r="L48">
        <v>0.43011199999999999</v>
      </c>
      <c r="M48">
        <v>0.56632099999999996</v>
      </c>
      <c r="N48">
        <v>0.70117099999999999</v>
      </c>
      <c r="O48">
        <v>0.83484499999999995</v>
      </c>
      <c r="P48">
        <v>0.96871499999999999</v>
      </c>
      <c r="Q48">
        <v>1.103917</v>
      </c>
      <c r="R48">
        <v>1.239001</v>
      </c>
      <c r="S48">
        <v>1.3733390000000001</v>
      </c>
      <c r="T48">
        <v>1.506232</v>
      </c>
      <c r="U48">
        <v>1.6347259999999999</v>
      </c>
      <c r="V48">
        <v>1.757091</v>
      </c>
      <c r="W48">
        <v>1.873427</v>
      </c>
      <c r="X48">
        <v>1.9823440000000001</v>
      </c>
      <c r="Y48">
        <v>2.0823420000000001</v>
      </c>
      <c r="Z48">
        <v>2.1729539999999998</v>
      </c>
      <c r="AA48">
        <v>2.256005</v>
      </c>
      <c r="AB48">
        <v>2.331604</v>
      </c>
      <c r="AC48">
        <v>2.4000240000000002</v>
      </c>
      <c r="AD48">
        <v>2.4625720000000002</v>
      </c>
      <c r="AE48">
        <v>2.5171670000000002</v>
      </c>
      <c r="AF48">
        <v>2.563599</v>
      </c>
      <c r="AG48">
        <v>2.603974</v>
      </c>
      <c r="AH48">
        <v>2.637731</v>
      </c>
      <c r="AI48">
        <v>2.6648619999999998</v>
      </c>
      <c r="AJ48" s="32">
        <v>0.14499999999999999</v>
      </c>
    </row>
    <row r="49" spans="1:36" ht="12.9" x14ac:dyDescent="0.15">
      <c r="A49" t="s">
        <v>191</v>
      </c>
      <c r="B49" t="s">
        <v>346</v>
      </c>
      <c r="C49" t="s">
        <v>392</v>
      </c>
      <c r="D49" t="s">
        <v>360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t="s">
        <v>23</v>
      </c>
    </row>
    <row r="50" spans="1:36" ht="12.9" x14ac:dyDescent="0.15">
      <c r="A50" t="s">
        <v>194</v>
      </c>
      <c r="B50" t="s">
        <v>347</v>
      </c>
      <c r="C50" t="s">
        <v>393</v>
      </c>
      <c r="D50" t="s">
        <v>360</v>
      </c>
      <c r="E50">
        <v>0.95845199999999997</v>
      </c>
      <c r="F50">
        <v>1.1904840000000001</v>
      </c>
      <c r="G50">
        <v>1.439907</v>
      </c>
      <c r="H50">
        <v>1.698766</v>
      </c>
      <c r="I50">
        <v>1.972269</v>
      </c>
      <c r="J50">
        <v>2.2568920000000001</v>
      </c>
      <c r="K50">
        <v>2.5895109999999999</v>
      </c>
      <c r="L50">
        <v>2.9365540000000001</v>
      </c>
      <c r="M50">
        <v>3.2890290000000002</v>
      </c>
      <c r="N50">
        <v>3.6428790000000002</v>
      </c>
      <c r="O50">
        <v>3.9933879999999999</v>
      </c>
      <c r="P50">
        <v>4.342149</v>
      </c>
      <c r="Q50">
        <v>4.6901970000000004</v>
      </c>
      <c r="R50">
        <v>5.0341310000000004</v>
      </c>
      <c r="S50">
        <v>5.3734599999999997</v>
      </c>
      <c r="T50">
        <v>5.7085650000000001</v>
      </c>
      <c r="U50">
        <v>6.0361909999999996</v>
      </c>
      <c r="V50">
        <v>6.3542930000000002</v>
      </c>
      <c r="W50">
        <v>6.6660579999999996</v>
      </c>
      <c r="X50">
        <v>6.9704079999999999</v>
      </c>
      <c r="Y50">
        <v>7.2658579999999997</v>
      </c>
      <c r="Z50">
        <v>7.552022</v>
      </c>
      <c r="AA50">
        <v>7.8315900000000003</v>
      </c>
      <c r="AB50">
        <v>8.1041070000000008</v>
      </c>
      <c r="AC50">
        <v>8.3715019999999996</v>
      </c>
      <c r="AD50">
        <v>8.6397700000000004</v>
      </c>
      <c r="AE50">
        <v>8.9018979999999992</v>
      </c>
      <c r="AF50">
        <v>9.1579350000000002</v>
      </c>
      <c r="AG50">
        <v>9.4151760000000007</v>
      </c>
      <c r="AH50">
        <v>9.6675170000000001</v>
      </c>
      <c r="AI50">
        <v>9.9138900000000003</v>
      </c>
      <c r="AJ50" s="32">
        <v>8.1000000000000003E-2</v>
      </c>
    </row>
    <row r="51" spans="1:36" ht="12.9" x14ac:dyDescent="0.15">
      <c r="A51" t="s">
        <v>197</v>
      </c>
      <c r="B51" t="s">
        <v>348</v>
      </c>
      <c r="C51" t="s">
        <v>394</v>
      </c>
      <c r="D51" t="s">
        <v>360</v>
      </c>
      <c r="E51">
        <v>1.2926999999999999E-2</v>
      </c>
      <c r="F51">
        <v>1.2425E-2</v>
      </c>
      <c r="G51">
        <v>1.1995E-2</v>
      </c>
      <c r="H51">
        <v>1.1642E-2</v>
      </c>
      <c r="I51">
        <v>1.1374E-2</v>
      </c>
      <c r="J51">
        <v>1.1136999999999999E-2</v>
      </c>
      <c r="K51">
        <v>1.0949E-2</v>
      </c>
      <c r="L51">
        <v>1.0763E-2</v>
      </c>
      <c r="M51">
        <v>1.0626999999999999E-2</v>
      </c>
      <c r="N51">
        <v>1.0482999999999999E-2</v>
      </c>
      <c r="O51">
        <v>1.0403000000000001E-2</v>
      </c>
      <c r="P51">
        <v>1.0338999999999999E-2</v>
      </c>
      <c r="Q51">
        <v>1.0307E-2</v>
      </c>
      <c r="R51">
        <v>1.0286E-2</v>
      </c>
      <c r="S51">
        <v>1.0311000000000001E-2</v>
      </c>
      <c r="T51">
        <v>1.0336E-2</v>
      </c>
      <c r="U51">
        <v>1.0371999999999999E-2</v>
      </c>
      <c r="V51">
        <v>1.0409E-2</v>
      </c>
      <c r="W51">
        <v>1.0458E-2</v>
      </c>
      <c r="X51">
        <v>1.0508E-2</v>
      </c>
      <c r="Y51">
        <v>1.0562999999999999E-2</v>
      </c>
      <c r="Z51">
        <v>1.0612999999999999E-2</v>
      </c>
      <c r="AA51">
        <v>1.0647999999999999E-2</v>
      </c>
      <c r="AB51">
        <v>1.0715000000000001E-2</v>
      </c>
      <c r="AC51">
        <v>1.0779E-2</v>
      </c>
      <c r="AD51">
        <v>1.0853E-2</v>
      </c>
      <c r="AE51">
        <v>1.0917E-2</v>
      </c>
      <c r="AF51">
        <v>1.0973E-2</v>
      </c>
      <c r="AG51">
        <v>1.1037E-2</v>
      </c>
      <c r="AH51">
        <v>1.1093E-2</v>
      </c>
      <c r="AI51">
        <v>1.1143E-2</v>
      </c>
      <c r="AJ51" s="32">
        <v>-5.0000000000000001E-3</v>
      </c>
    </row>
    <row r="52" spans="1:36" ht="12.9" x14ac:dyDescent="0.15">
      <c r="A52" t="s">
        <v>200</v>
      </c>
      <c r="B52" t="s">
        <v>349</v>
      </c>
      <c r="C52" t="s">
        <v>395</v>
      </c>
      <c r="D52" t="s">
        <v>360</v>
      </c>
      <c r="E52">
        <v>3.3397000000000003E-2</v>
      </c>
      <c r="F52">
        <v>3.4570999999999998E-2</v>
      </c>
      <c r="G52">
        <v>3.5624000000000003E-2</v>
      </c>
      <c r="H52">
        <v>3.6540000000000003E-2</v>
      </c>
      <c r="I52">
        <v>3.7402999999999999E-2</v>
      </c>
      <c r="J52">
        <v>3.8196000000000001E-2</v>
      </c>
      <c r="K52">
        <v>3.8857000000000003E-2</v>
      </c>
      <c r="L52">
        <v>3.9291E-2</v>
      </c>
      <c r="M52">
        <v>3.9697999999999997E-2</v>
      </c>
      <c r="N52">
        <v>4.0032999999999999E-2</v>
      </c>
      <c r="O52">
        <v>4.0252999999999997E-2</v>
      </c>
      <c r="P52">
        <v>4.0459000000000002E-2</v>
      </c>
      <c r="Q52">
        <v>4.0672E-2</v>
      </c>
      <c r="R52">
        <v>4.0869999999999997E-2</v>
      </c>
      <c r="S52">
        <v>4.1126000000000003E-2</v>
      </c>
      <c r="T52">
        <v>4.1374000000000001E-2</v>
      </c>
      <c r="U52">
        <v>4.1610000000000001E-2</v>
      </c>
      <c r="V52">
        <v>4.1803E-2</v>
      </c>
      <c r="W52">
        <v>4.1997E-2</v>
      </c>
      <c r="X52">
        <v>4.2181999999999997E-2</v>
      </c>
      <c r="Y52">
        <v>4.2352000000000001E-2</v>
      </c>
      <c r="Z52">
        <v>4.2486999999999997E-2</v>
      </c>
      <c r="AA52">
        <v>4.2583000000000003E-2</v>
      </c>
      <c r="AB52">
        <v>4.2701999999999997E-2</v>
      </c>
      <c r="AC52">
        <v>4.2749000000000002E-2</v>
      </c>
      <c r="AD52">
        <v>4.2855999999999998E-2</v>
      </c>
      <c r="AE52">
        <v>4.2916999999999997E-2</v>
      </c>
      <c r="AF52">
        <v>4.2944000000000003E-2</v>
      </c>
      <c r="AG52">
        <v>4.3011000000000001E-2</v>
      </c>
      <c r="AH52">
        <v>4.3033000000000002E-2</v>
      </c>
      <c r="AI52">
        <v>4.3008999999999999E-2</v>
      </c>
      <c r="AJ52" s="32">
        <v>8.0000000000000002E-3</v>
      </c>
    </row>
    <row r="53" spans="1:36" ht="12.9" x14ac:dyDescent="0.15">
      <c r="A53" t="s">
        <v>203</v>
      </c>
      <c r="B53" t="s">
        <v>350</v>
      </c>
      <c r="C53" t="s">
        <v>396</v>
      </c>
      <c r="D53" t="s">
        <v>360</v>
      </c>
      <c r="E53">
        <v>1.2971E-2</v>
      </c>
      <c r="F53">
        <v>1.2652999999999999E-2</v>
      </c>
      <c r="G53">
        <v>1.2442999999999999E-2</v>
      </c>
      <c r="H53">
        <v>1.2311000000000001E-2</v>
      </c>
      <c r="I53">
        <v>1.2257000000000001E-2</v>
      </c>
      <c r="J53">
        <v>1.2265E-2</v>
      </c>
      <c r="K53">
        <v>1.2331E-2</v>
      </c>
      <c r="L53">
        <v>1.2418999999999999E-2</v>
      </c>
      <c r="M53">
        <v>1.255E-2</v>
      </c>
      <c r="N53">
        <v>1.2714E-2</v>
      </c>
      <c r="O53">
        <v>1.2881E-2</v>
      </c>
      <c r="P53">
        <v>1.3065E-2</v>
      </c>
      <c r="Q53">
        <v>1.3270000000000001E-2</v>
      </c>
      <c r="R53">
        <v>1.3483999999999999E-2</v>
      </c>
      <c r="S53">
        <v>1.3755E-2</v>
      </c>
      <c r="T53">
        <v>1.4024999999999999E-2</v>
      </c>
      <c r="U53">
        <v>1.4305E-2</v>
      </c>
      <c r="V53">
        <v>1.4590000000000001E-2</v>
      </c>
      <c r="W53">
        <v>1.489E-2</v>
      </c>
      <c r="X53">
        <v>1.5195999999999999E-2</v>
      </c>
      <c r="Y53">
        <v>1.5514E-2</v>
      </c>
      <c r="Z53">
        <v>1.5833E-2</v>
      </c>
      <c r="AA53">
        <v>1.6146000000000001E-2</v>
      </c>
      <c r="AB53">
        <v>1.6507999999999998E-2</v>
      </c>
      <c r="AC53">
        <v>1.6891E-2</v>
      </c>
      <c r="AD53">
        <v>1.7308E-2</v>
      </c>
      <c r="AE53">
        <v>1.7727E-2</v>
      </c>
      <c r="AF53">
        <v>1.8151E-2</v>
      </c>
      <c r="AG53">
        <v>1.8599000000000001E-2</v>
      </c>
      <c r="AH53">
        <v>1.9056E-2</v>
      </c>
      <c r="AI53">
        <v>1.9522000000000001E-2</v>
      </c>
      <c r="AJ53" s="32">
        <v>1.4E-2</v>
      </c>
    </row>
    <row r="54" spans="1:36" ht="12.9" x14ac:dyDescent="0.15">
      <c r="A54" t="s">
        <v>206</v>
      </c>
      <c r="B54" t="s">
        <v>351</v>
      </c>
      <c r="C54" t="s">
        <v>397</v>
      </c>
      <c r="D54" t="s">
        <v>360</v>
      </c>
      <c r="E54">
        <v>5.9583999999999998E-2</v>
      </c>
      <c r="F54">
        <v>5.6410000000000002E-2</v>
      </c>
      <c r="G54">
        <v>5.3414000000000003E-2</v>
      </c>
      <c r="H54">
        <v>5.0554000000000002E-2</v>
      </c>
      <c r="I54">
        <v>4.786E-2</v>
      </c>
      <c r="J54">
        <v>4.5331000000000003E-2</v>
      </c>
      <c r="K54">
        <v>4.2976E-2</v>
      </c>
      <c r="L54">
        <v>4.0675000000000003E-2</v>
      </c>
      <c r="M54">
        <v>3.8546999999999998E-2</v>
      </c>
      <c r="N54">
        <v>3.6594000000000002E-2</v>
      </c>
      <c r="O54">
        <v>3.4737999999999998E-2</v>
      </c>
      <c r="P54">
        <v>3.3070000000000002E-2</v>
      </c>
      <c r="Q54">
        <v>3.1593000000000003E-2</v>
      </c>
      <c r="R54">
        <v>3.0280999999999999E-2</v>
      </c>
      <c r="S54">
        <v>2.9326000000000001E-2</v>
      </c>
      <c r="T54">
        <v>2.8469999999999999E-2</v>
      </c>
      <c r="U54">
        <v>2.7789999999999999E-2</v>
      </c>
      <c r="V54">
        <v>2.7237000000000001E-2</v>
      </c>
      <c r="W54">
        <v>2.6825999999999999E-2</v>
      </c>
      <c r="X54">
        <v>2.6491000000000001E-2</v>
      </c>
      <c r="Y54">
        <v>2.6248E-2</v>
      </c>
      <c r="Z54">
        <v>2.6023999999999999E-2</v>
      </c>
      <c r="AA54">
        <v>2.5746999999999999E-2</v>
      </c>
      <c r="AB54">
        <v>2.5836000000000001E-2</v>
      </c>
      <c r="AC54">
        <v>2.5860999999999999E-2</v>
      </c>
      <c r="AD54">
        <v>2.5925E-2</v>
      </c>
      <c r="AE54">
        <v>2.596E-2</v>
      </c>
      <c r="AF54">
        <v>2.5971999999999999E-2</v>
      </c>
      <c r="AG54">
        <v>2.6009999999999998E-2</v>
      </c>
      <c r="AH54">
        <v>2.6019E-2</v>
      </c>
      <c r="AI54">
        <v>2.5996999999999999E-2</v>
      </c>
      <c r="AJ54" s="32">
        <v>-2.7E-2</v>
      </c>
    </row>
    <row r="55" spans="1:36" ht="12.9" x14ac:dyDescent="0.15">
      <c r="A55" t="s">
        <v>208</v>
      </c>
      <c r="B55" t="s">
        <v>352</v>
      </c>
      <c r="C55" t="s">
        <v>398</v>
      </c>
      <c r="D55" t="s">
        <v>360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23</v>
      </c>
    </row>
    <row r="56" spans="1:36" ht="12.9" x14ac:dyDescent="0.15">
      <c r="A56" t="s">
        <v>211</v>
      </c>
      <c r="B56" t="s">
        <v>353</v>
      </c>
      <c r="C56" t="s">
        <v>399</v>
      </c>
      <c r="D56" t="s">
        <v>360</v>
      </c>
      <c r="E56">
        <v>5.0000000000000004E-6</v>
      </c>
      <c r="F56">
        <v>1.2999999999999999E-5</v>
      </c>
      <c r="G56">
        <v>2.4000000000000001E-5</v>
      </c>
      <c r="H56">
        <v>3.8000000000000002E-5</v>
      </c>
      <c r="I56">
        <v>5.7000000000000003E-5</v>
      </c>
      <c r="J56">
        <v>8.2999999999999998E-5</v>
      </c>
      <c r="K56">
        <v>1.17E-4</v>
      </c>
      <c r="L56">
        <v>1.5799999999999999E-4</v>
      </c>
      <c r="M56">
        <v>2.0900000000000001E-4</v>
      </c>
      <c r="N56">
        <v>2.72E-4</v>
      </c>
      <c r="O56">
        <v>3.4600000000000001E-4</v>
      </c>
      <c r="P56">
        <v>4.3399999999999998E-4</v>
      </c>
      <c r="Q56">
        <v>5.3499999999999999E-4</v>
      </c>
      <c r="R56">
        <v>6.5099999999999999E-4</v>
      </c>
      <c r="S56">
        <v>7.7999999999999999E-4</v>
      </c>
      <c r="T56">
        <v>9.2199999999999997E-4</v>
      </c>
      <c r="U56">
        <v>1.0759999999999999E-3</v>
      </c>
      <c r="V56">
        <v>1.2390000000000001E-3</v>
      </c>
      <c r="W56">
        <v>1.4120000000000001E-3</v>
      </c>
      <c r="X56">
        <v>1.5920000000000001E-3</v>
      </c>
      <c r="Y56">
        <v>1.7780000000000001E-3</v>
      </c>
      <c r="Z56">
        <v>1.9680000000000001E-3</v>
      </c>
      <c r="AA56">
        <v>2.1619999999999999E-3</v>
      </c>
      <c r="AB56">
        <v>2.3579999999999999E-3</v>
      </c>
      <c r="AC56">
        <v>2.5560000000000001E-3</v>
      </c>
      <c r="AD56">
        <v>2.7560000000000002E-3</v>
      </c>
      <c r="AE56">
        <v>2.957E-3</v>
      </c>
      <c r="AF56">
        <v>3.1549999999999998E-3</v>
      </c>
      <c r="AG56">
        <v>3.3549999999999999E-3</v>
      </c>
      <c r="AH56">
        <v>3.552E-3</v>
      </c>
      <c r="AI56">
        <v>3.7450000000000001E-3</v>
      </c>
      <c r="AJ56" s="32">
        <v>0.245</v>
      </c>
    </row>
    <row r="57" spans="1:36" ht="12.9" x14ac:dyDescent="0.15">
      <c r="A57" t="s">
        <v>263</v>
      </c>
      <c r="B57" t="s">
        <v>354</v>
      </c>
      <c r="C57" t="s">
        <v>400</v>
      </c>
      <c r="D57" t="s">
        <v>360</v>
      </c>
      <c r="E57">
        <v>17.064865000000001</v>
      </c>
      <c r="F57">
        <v>17.370266000000001</v>
      </c>
      <c r="G57">
        <v>17.668472000000001</v>
      </c>
      <c r="H57">
        <v>17.949978000000002</v>
      </c>
      <c r="I57">
        <v>18.226875</v>
      </c>
      <c r="J57">
        <v>18.521311000000001</v>
      </c>
      <c r="K57">
        <v>18.917408000000002</v>
      </c>
      <c r="L57">
        <v>19.324027999999998</v>
      </c>
      <c r="M57">
        <v>19.746956000000001</v>
      </c>
      <c r="N57">
        <v>20.188576000000001</v>
      </c>
      <c r="O57">
        <v>20.637423999999999</v>
      </c>
      <c r="P57">
        <v>21.097216</v>
      </c>
      <c r="Q57">
        <v>21.575924000000001</v>
      </c>
      <c r="R57">
        <v>22.079156999999999</v>
      </c>
      <c r="S57">
        <v>22.609466999999999</v>
      </c>
      <c r="T57">
        <v>23.170435000000001</v>
      </c>
      <c r="U57">
        <v>23.750145</v>
      </c>
      <c r="V57">
        <v>24.342945</v>
      </c>
      <c r="W57">
        <v>24.951464000000001</v>
      </c>
      <c r="X57">
        <v>25.577835</v>
      </c>
      <c r="Y57">
        <v>26.221239000000001</v>
      </c>
      <c r="Z57">
        <v>26.861395000000002</v>
      </c>
      <c r="AA57">
        <v>27.503029000000002</v>
      </c>
      <c r="AB57">
        <v>28.140229999999999</v>
      </c>
      <c r="AC57">
        <v>28.774699999999999</v>
      </c>
      <c r="AD57">
        <v>29.422791</v>
      </c>
      <c r="AE57">
        <v>30.060976</v>
      </c>
      <c r="AF57">
        <v>30.688084</v>
      </c>
      <c r="AG57">
        <v>31.327591000000002</v>
      </c>
      <c r="AH57">
        <v>31.958881000000002</v>
      </c>
      <c r="AI57">
        <v>32.579056000000001</v>
      </c>
      <c r="AJ57" s="32">
        <v>2.1999999999999999E-2</v>
      </c>
    </row>
    <row r="58" spans="1:36" ht="12.9" x14ac:dyDescent="0.15">
      <c r="A58" t="s">
        <v>22</v>
      </c>
      <c r="B58" t="s">
        <v>355</v>
      </c>
      <c r="C58" t="s">
        <v>401</v>
      </c>
      <c r="D58" t="s">
        <v>360</v>
      </c>
      <c r="E58">
        <v>127.373383</v>
      </c>
      <c r="F58">
        <v>128.71994000000001</v>
      </c>
      <c r="G58">
        <v>130.48940999999999</v>
      </c>
      <c r="H58">
        <v>132.58933999999999</v>
      </c>
      <c r="I58">
        <v>135.095337</v>
      </c>
      <c r="J58">
        <v>137.87146000000001</v>
      </c>
      <c r="K58">
        <v>140.65751599999999</v>
      </c>
      <c r="L58">
        <v>143.26042200000001</v>
      </c>
      <c r="M58">
        <v>145.83467099999999</v>
      </c>
      <c r="N58">
        <v>148.29946899999999</v>
      </c>
      <c r="O58">
        <v>150.49305699999999</v>
      </c>
      <c r="P58">
        <v>152.57226600000001</v>
      </c>
      <c r="Q58">
        <v>154.50477599999999</v>
      </c>
      <c r="R58">
        <v>156.29960600000001</v>
      </c>
      <c r="S58">
        <v>157.94099399999999</v>
      </c>
      <c r="T58">
        <v>159.47207599999999</v>
      </c>
      <c r="U58">
        <v>160.81201200000001</v>
      </c>
      <c r="V58">
        <v>161.94276400000001</v>
      </c>
      <c r="W58">
        <v>162.944534</v>
      </c>
      <c r="X58">
        <v>163.84771699999999</v>
      </c>
      <c r="Y58">
        <v>164.64851400000001</v>
      </c>
      <c r="Z58">
        <v>165.37283300000001</v>
      </c>
      <c r="AA58">
        <v>166.04492200000001</v>
      </c>
      <c r="AB58">
        <v>166.63291899999999</v>
      </c>
      <c r="AC58">
        <v>167.17301900000001</v>
      </c>
      <c r="AD58">
        <v>167.72554</v>
      </c>
      <c r="AE58">
        <v>168.20043899999999</v>
      </c>
      <c r="AF58">
        <v>168.596924</v>
      </c>
      <c r="AG58">
        <v>169.02813699999999</v>
      </c>
      <c r="AH58">
        <v>169.37771599999999</v>
      </c>
      <c r="AI58">
        <v>169.63386499999999</v>
      </c>
      <c r="AJ58" s="32">
        <v>0.01</v>
      </c>
    </row>
    <row r="59" spans="1:36" ht="12.9" x14ac:dyDescent="0.15">
      <c r="A59" t="s">
        <v>21</v>
      </c>
      <c r="B59" t="s">
        <v>356</v>
      </c>
      <c r="C59" t="s">
        <v>402</v>
      </c>
      <c r="D59" t="s">
        <v>360</v>
      </c>
      <c r="E59">
        <v>257.41763300000002</v>
      </c>
      <c r="F59">
        <v>256.84234600000002</v>
      </c>
      <c r="G59">
        <v>257.22103900000002</v>
      </c>
      <c r="H59">
        <v>258.006012</v>
      </c>
      <c r="I59">
        <v>259.318848</v>
      </c>
      <c r="J59">
        <v>260.99505599999998</v>
      </c>
      <c r="K59">
        <v>262.589294</v>
      </c>
      <c r="L59">
        <v>263.80838</v>
      </c>
      <c r="M59">
        <v>264.89889499999998</v>
      </c>
      <c r="N59">
        <v>265.78002900000001</v>
      </c>
      <c r="O59">
        <v>266.36108400000001</v>
      </c>
      <c r="P59">
        <v>266.84896900000001</v>
      </c>
      <c r="Q59">
        <v>267.25817899999998</v>
      </c>
      <c r="R59">
        <v>267.63842799999998</v>
      </c>
      <c r="S59">
        <v>268.02581800000002</v>
      </c>
      <c r="T59">
        <v>268.50485200000003</v>
      </c>
      <c r="U59">
        <v>268.94628899999998</v>
      </c>
      <c r="V59">
        <v>269.35034200000001</v>
      </c>
      <c r="W59">
        <v>269.79547100000002</v>
      </c>
      <c r="X59">
        <v>270.25018299999999</v>
      </c>
      <c r="Y59">
        <v>270.685699</v>
      </c>
      <c r="Z59">
        <v>271.13742100000002</v>
      </c>
      <c r="AA59">
        <v>271.60513300000002</v>
      </c>
      <c r="AB59">
        <v>272.00878899999998</v>
      </c>
      <c r="AC59">
        <v>272.39785799999999</v>
      </c>
      <c r="AD59">
        <v>272.85290500000002</v>
      </c>
      <c r="AE59">
        <v>273.19638099999997</v>
      </c>
      <c r="AF59">
        <v>273.42483499999997</v>
      </c>
      <c r="AG59">
        <v>273.70886200000001</v>
      </c>
      <c r="AH59">
        <v>273.87536599999999</v>
      </c>
      <c r="AI59">
        <v>273.90670799999998</v>
      </c>
      <c r="AJ59" s="32">
        <v>2E-3</v>
      </c>
    </row>
  </sheetData>
  <phoneticPr fontId="10" type="noConversion"/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5E93-490C-4630-BB04-9B57B46A213E}">
  <dimension ref="A1:K37"/>
  <sheetViews>
    <sheetView workbookViewId="0">
      <selection activeCell="F13" sqref="F13"/>
    </sheetView>
  </sheetViews>
  <sheetFormatPr defaultRowHeight="12.9" x14ac:dyDescent="0.15"/>
  <sheetData>
    <row r="1" spans="1:11" x14ac:dyDescent="0.15">
      <c r="A1" t="s">
        <v>928</v>
      </c>
    </row>
    <row r="2" spans="1:11" x14ac:dyDescent="0.15">
      <c r="A2" t="s">
        <v>929</v>
      </c>
    </row>
    <row r="3" spans="1:11" x14ac:dyDescent="0.15">
      <c r="A3" t="s">
        <v>930</v>
      </c>
    </row>
    <row r="4" spans="1:11" x14ac:dyDescent="0.15">
      <c r="A4" t="s">
        <v>152</v>
      </c>
    </row>
    <row r="5" spans="1:11" x14ac:dyDescent="0.15">
      <c r="A5" t="s">
        <v>931</v>
      </c>
      <c r="B5" t="s">
        <v>932</v>
      </c>
      <c r="C5" t="s">
        <v>933</v>
      </c>
      <c r="D5" t="s">
        <v>934</v>
      </c>
      <c r="E5" t="s">
        <v>935</v>
      </c>
      <c r="F5" t="s">
        <v>936</v>
      </c>
      <c r="G5" t="s">
        <v>937</v>
      </c>
      <c r="H5" t="s">
        <v>938</v>
      </c>
      <c r="I5" t="s">
        <v>939</v>
      </c>
      <c r="J5" t="s">
        <v>940</v>
      </c>
      <c r="K5" t="s">
        <v>941</v>
      </c>
    </row>
    <row r="6" spans="1:11" x14ac:dyDescent="0.15">
      <c r="A6">
        <v>2050</v>
      </c>
      <c r="B6">
        <v>41.234305999999997</v>
      </c>
      <c r="C6">
        <v>303.525238</v>
      </c>
      <c r="D6">
        <v>2.627345</v>
      </c>
      <c r="E6">
        <v>0.502718</v>
      </c>
      <c r="F6">
        <v>611.61779799999999</v>
      </c>
      <c r="G6">
        <v>2.8294320000000002</v>
      </c>
      <c r="H6">
        <v>3.0396559999999999</v>
      </c>
      <c r="I6">
        <v>3.2382460000000002</v>
      </c>
      <c r="J6">
        <v>0</v>
      </c>
      <c r="K6">
        <v>968.61480700000004</v>
      </c>
    </row>
    <row r="7" spans="1:11" x14ac:dyDescent="0.15">
      <c r="A7">
        <v>2049</v>
      </c>
      <c r="B7">
        <v>52.488135999999997</v>
      </c>
      <c r="C7">
        <v>312.71551499999998</v>
      </c>
      <c r="D7">
        <v>2.5694270000000001</v>
      </c>
      <c r="E7">
        <v>0.50015699999999996</v>
      </c>
      <c r="F7">
        <v>598.50061000000005</v>
      </c>
      <c r="G7">
        <v>2.7670599999999999</v>
      </c>
      <c r="H7">
        <v>2.9726509999999999</v>
      </c>
      <c r="I7">
        <v>3.1668630000000002</v>
      </c>
      <c r="J7">
        <v>0</v>
      </c>
      <c r="K7">
        <v>975.68035899999995</v>
      </c>
    </row>
    <row r="8" spans="1:11" x14ac:dyDescent="0.15">
      <c r="A8">
        <v>2048</v>
      </c>
      <c r="B8">
        <v>65.500670999999997</v>
      </c>
      <c r="C8">
        <v>319.407623</v>
      </c>
      <c r="D8">
        <v>2.509144</v>
      </c>
      <c r="E8">
        <v>0.49745099999999998</v>
      </c>
      <c r="F8">
        <v>584.76025400000003</v>
      </c>
      <c r="G8">
        <v>2.7021389999999998</v>
      </c>
      <c r="H8">
        <v>2.9029069999999999</v>
      </c>
      <c r="I8">
        <v>3.092562</v>
      </c>
      <c r="J8">
        <v>0</v>
      </c>
      <c r="K8">
        <v>981.37280299999998</v>
      </c>
    </row>
    <row r="9" spans="1:11" x14ac:dyDescent="0.15">
      <c r="A9">
        <v>2047</v>
      </c>
      <c r="B9">
        <v>78.435828999999998</v>
      </c>
      <c r="C9">
        <v>321.22879</v>
      </c>
      <c r="D9">
        <v>2.4222769999999998</v>
      </c>
      <c r="E9">
        <v>0.49229899999999999</v>
      </c>
      <c r="F9">
        <v>564.84399399999995</v>
      </c>
      <c r="G9">
        <v>2.6085910000000001</v>
      </c>
      <c r="H9">
        <v>2.8024079999999998</v>
      </c>
      <c r="I9">
        <v>2.9854980000000002</v>
      </c>
      <c r="J9">
        <v>0</v>
      </c>
      <c r="K9">
        <v>975.81964100000005</v>
      </c>
    </row>
    <row r="10" spans="1:11" x14ac:dyDescent="0.15">
      <c r="A10">
        <v>2046</v>
      </c>
      <c r="B10">
        <v>91.947372000000001</v>
      </c>
      <c r="C10">
        <v>326.26950099999999</v>
      </c>
      <c r="D10">
        <v>2.3632219999999999</v>
      </c>
      <c r="E10">
        <v>0.49283300000000002</v>
      </c>
      <c r="F10">
        <v>551.32525599999997</v>
      </c>
      <c r="G10">
        <v>2.544994</v>
      </c>
      <c r="H10">
        <v>2.734086</v>
      </c>
      <c r="I10">
        <v>2.912712</v>
      </c>
      <c r="J10">
        <v>0</v>
      </c>
      <c r="K10">
        <v>980.589966</v>
      </c>
    </row>
    <row r="11" spans="1:11" x14ac:dyDescent="0.15">
      <c r="A11">
        <v>2045</v>
      </c>
      <c r="B11">
        <v>105.51058999999999</v>
      </c>
      <c r="C11">
        <v>330.60977200000002</v>
      </c>
      <c r="D11">
        <v>2.302584</v>
      </c>
      <c r="E11">
        <v>0.49298900000000001</v>
      </c>
      <c r="F11">
        <v>537.19427499999995</v>
      </c>
      <c r="G11">
        <v>2.479692</v>
      </c>
      <c r="H11">
        <v>2.663932</v>
      </c>
      <c r="I11">
        <v>2.8379750000000001</v>
      </c>
      <c r="J11">
        <v>0</v>
      </c>
      <c r="K11">
        <v>984.091858</v>
      </c>
    </row>
    <row r="12" spans="1:11" x14ac:dyDescent="0.15">
      <c r="A12">
        <v>2044</v>
      </c>
      <c r="B12">
        <v>117.87550400000001</v>
      </c>
      <c r="C12">
        <v>330.536743</v>
      </c>
      <c r="D12">
        <v>2.2174510000000001</v>
      </c>
      <c r="E12">
        <v>0.48947099999999999</v>
      </c>
      <c r="F12">
        <v>517.332581</v>
      </c>
      <c r="G12">
        <v>2.38801</v>
      </c>
      <c r="H12">
        <v>2.5654379999999999</v>
      </c>
      <c r="I12">
        <v>2.7330459999999999</v>
      </c>
      <c r="J12">
        <v>0</v>
      </c>
      <c r="K12">
        <v>976.13824499999998</v>
      </c>
    </row>
    <row r="13" spans="1:11" x14ac:dyDescent="0.15">
      <c r="A13">
        <v>2043</v>
      </c>
      <c r="B13">
        <v>131.30926500000001</v>
      </c>
      <c r="C13">
        <v>332.91735799999998</v>
      </c>
      <c r="D13">
        <v>2.1549939999999999</v>
      </c>
      <c r="E13">
        <v>0.49047299999999999</v>
      </c>
      <c r="F13">
        <v>502.76123000000001</v>
      </c>
      <c r="G13">
        <v>2.3207490000000002</v>
      </c>
      <c r="H13">
        <v>2.493179</v>
      </c>
      <c r="I13">
        <v>2.656066</v>
      </c>
      <c r="J13">
        <v>0</v>
      </c>
      <c r="K13">
        <v>977.10333300000002</v>
      </c>
    </row>
    <row r="14" spans="1:11" x14ac:dyDescent="0.15">
      <c r="A14">
        <v>2042</v>
      </c>
      <c r="B14">
        <v>144.83325199999999</v>
      </c>
      <c r="C14">
        <v>335.44134500000001</v>
      </c>
      <c r="D14">
        <v>2.0971380000000002</v>
      </c>
      <c r="E14">
        <v>0.49220199999999997</v>
      </c>
      <c r="F14">
        <v>489.26348899999999</v>
      </c>
      <c r="G14">
        <v>2.2584430000000002</v>
      </c>
      <c r="H14">
        <v>2.4262440000000001</v>
      </c>
      <c r="I14">
        <v>2.5847579999999999</v>
      </c>
      <c r="J14">
        <v>0</v>
      </c>
      <c r="K14">
        <v>979.39685099999997</v>
      </c>
    </row>
    <row r="15" spans="1:11" x14ac:dyDescent="0.15">
      <c r="A15">
        <v>2041</v>
      </c>
      <c r="B15">
        <v>158.02543600000001</v>
      </c>
      <c r="C15">
        <v>336.600525</v>
      </c>
      <c r="D15">
        <v>2.0353520000000001</v>
      </c>
      <c r="E15">
        <v>0.49284299999999998</v>
      </c>
      <c r="F15">
        <v>474.84887700000002</v>
      </c>
      <c r="G15">
        <v>2.1919050000000002</v>
      </c>
      <c r="H15">
        <v>2.3547630000000002</v>
      </c>
      <c r="I15">
        <v>2.5086059999999999</v>
      </c>
      <c r="J15">
        <v>0</v>
      </c>
      <c r="K15">
        <v>979.05828899999995</v>
      </c>
    </row>
    <row r="16" spans="1:11" x14ac:dyDescent="0.15">
      <c r="A16">
        <v>2040</v>
      </c>
      <c r="B16">
        <v>171.80561800000001</v>
      </c>
      <c r="C16">
        <v>337.33624300000002</v>
      </c>
      <c r="D16">
        <v>1.977708</v>
      </c>
      <c r="E16">
        <v>0.49430800000000003</v>
      </c>
      <c r="F16">
        <v>461.40045199999997</v>
      </c>
      <c r="G16">
        <v>2.1298270000000001</v>
      </c>
      <c r="H16">
        <v>2.2880720000000001</v>
      </c>
      <c r="I16">
        <v>2.4375589999999998</v>
      </c>
      <c r="J16">
        <v>0</v>
      </c>
      <c r="K16">
        <v>979.86975099999995</v>
      </c>
    </row>
    <row r="17" spans="1:11" x14ac:dyDescent="0.15">
      <c r="A17">
        <v>2039</v>
      </c>
      <c r="B17">
        <v>186.04432700000001</v>
      </c>
      <c r="C17">
        <v>337.47348</v>
      </c>
      <c r="D17">
        <v>1.9226080000000001</v>
      </c>
      <c r="E17">
        <v>0.496506</v>
      </c>
      <c r="F17">
        <v>448.545502</v>
      </c>
      <c r="G17">
        <v>2.0704880000000001</v>
      </c>
      <c r="H17">
        <v>2.2243240000000002</v>
      </c>
      <c r="I17">
        <v>2.3696470000000001</v>
      </c>
      <c r="J17">
        <v>0</v>
      </c>
      <c r="K17">
        <v>981.14685099999997</v>
      </c>
    </row>
    <row r="18" spans="1:11" x14ac:dyDescent="0.15">
      <c r="A18">
        <v>2038</v>
      </c>
      <c r="B18">
        <v>199.508972</v>
      </c>
      <c r="C18">
        <v>336.64590500000003</v>
      </c>
      <c r="D18">
        <v>1.86426</v>
      </c>
      <c r="E18">
        <v>0.49760399999999999</v>
      </c>
      <c r="F18">
        <v>434.93289199999998</v>
      </c>
      <c r="G18">
        <v>2.0076529999999999</v>
      </c>
      <c r="H18">
        <v>2.1568200000000002</v>
      </c>
      <c r="I18">
        <v>2.2977319999999999</v>
      </c>
      <c r="J18">
        <v>0</v>
      </c>
      <c r="K18">
        <v>979.91186500000003</v>
      </c>
    </row>
    <row r="19" spans="1:11" x14ac:dyDescent="0.15">
      <c r="A19">
        <v>2037</v>
      </c>
      <c r="B19">
        <v>210.32974200000001</v>
      </c>
      <c r="C19">
        <v>337.62747200000001</v>
      </c>
      <c r="D19">
        <v>1.8063149999999999</v>
      </c>
      <c r="E19">
        <v>0.498529</v>
      </c>
      <c r="F19">
        <v>421.41424599999999</v>
      </c>
      <c r="G19">
        <v>1.9452510000000001</v>
      </c>
      <c r="H19">
        <v>2.089782</v>
      </c>
      <c r="I19">
        <v>2.2263130000000002</v>
      </c>
      <c r="J19">
        <v>0</v>
      </c>
      <c r="K19">
        <v>977.93768299999999</v>
      </c>
    </row>
    <row r="20" spans="1:11" x14ac:dyDescent="0.15">
      <c r="A20">
        <v>2036</v>
      </c>
      <c r="B20">
        <v>218.55239900000001</v>
      </c>
      <c r="C20">
        <v>344.63082900000001</v>
      </c>
      <c r="D20">
        <v>1.7622119999999999</v>
      </c>
      <c r="E20">
        <v>0.50331899999999996</v>
      </c>
      <c r="F20">
        <v>411.125092</v>
      </c>
      <c r="G20">
        <v>1.897756</v>
      </c>
      <c r="H20">
        <v>2.0387580000000001</v>
      </c>
      <c r="I20">
        <v>2.1719560000000002</v>
      </c>
      <c r="J20">
        <v>0</v>
      </c>
      <c r="K20">
        <v>982.68225099999995</v>
      </c>
    </row>
    <row r="21" spans="1:11" x14ac:dyDescent="0.15">
      <c r="A21">
        <v>2035</v>
      </c>
      <c r="B21">
        <v>228.78547699999999</v>
      </c>
      <c r="C21">
        <v>348.27847300000002</v>
      </c>
      <c r="D21">
        <v>1.7158800000000001</v>
      </c>
      <c r="E21">
        <v>0.50743000000000005</v>
      </c>
      <c r="F21">
        <v>400.31573500000002</v>
      </c>
      <c r="G21">
        <v>1.8478600000000001</v>
      </c>
      <c r="H21">
        <v>1.985155</v>
      </c>
      <c r="I21">
        <v>2.1148509999999998</v>
      </c>
      <c r="J21">
        <v>0</v>
      </c>
      <c r="K21">
        <v>985.55090299999995</v>
      </c>
    </row>
    <row r="22" spans="1:11" x14ac:dyDescent="0.15">
      <c r="A22">
        <v>2034</v>
      </c>
      <c r="B22">
        <v>236.77565000000001</v>
      </c>
      <c r="C22">
        <v>349.21078499999999</v>
      </c>
      <c r="D22">
        <v>1.657538</v>
      </c>
      <c r="E22">
        <v>0.50814300000000001</v>
      </c>
      <c r="F22">
        <v>386.70461999999998</v>
      </c>
      <c r="G22">
        <v>1.785031</v>
      </c>
      <c r="H22">
        <v>1.9176569999999999</v>
      </c>
      <c r="I22">
        <v>2.0429439999999999</v>
      </c>
      <c r="J22">
        <v>0</v>
      </c>
      <c r="K22">
        <v>980.60241699999995</v>
      </c>
    </row>
    <row r="23" spans="1:11" x14ac:dyDescent="0.15">
      <c r="A23">
        <v>2033</v>
      </c>
      <c r="B23">
        <v>244.811722</v>
      </c>
      <c r="C23">
        <v>351.04898100000003</v>
      </c>
      <c r="D23">
        <v>1.604949</v>
      </c>
      <c r="E23">
        <v>0.51067099999999999</v>
      </c>
      <c r="F23">
        <v>374.43545499999999</v>
      </c>
      <c r="G23">
        <v>1.728396</v>
      </c>
      <c r="H23">
        <v>1.8568150000000001</v>
      </c>
      <c r="I23">
        <v>1.9781260000000001</v>
      </c>
      <c r="J23">
        <v>0</v>
      </c>
      <c r="K23">
        <v>977.975098</v>
      </c>
    </row>
    <row r="24" spans="1:11" x14ac:dyDescent="0.15">
      <c r="A24">
        <v>2032</v>
      </c>
      <c r="B24">
        <v>250.27235400000001</v>
      </c>
      <c r="C24">
        <v>355.40701300000001</v>
      </c>
      <c r="D24">
        <v>1.5548869999999999</v>
      </c>
      <c r="E24">
        <v>0.51392700000000002</v>
      </c>
      <c r="F24">
        <v>362.756012</v>
      </c>
      <c r="G24">
        <v>1.6744840000000001</v>
      </c>
      <c r="H24">
        <v>1.798897</v>
      </c>
      <c r="I24">
        <v>1.9164239999999999</v>
      </c>
      <c r="J24">
        <v>0</v>
      </c>
      <c r="K24">
        <v>975.89404300000001</v>
      </c>
    </row>
    <row r="25" spans="1:11" x14ac:dyDescent="0.15">
      <c r="A25">
        <v>2031</v>
      </c>
      <c r="B25">
        <v>256.645355</v>
      </c>
      <c r="C25">
        <v>357.63510100000002</v>
      </c>
      <c r="D25">
        <v>1.5043040000000001</v>
      </c>
      <c r="E25">
        <v>0.51693299999999998</v>
      </c>
      <c r="F25">
        <v>350.95504799999998</v>
      </c>
      <c r="G25">
        <v>1.6200110000000001</v>
      </c>
      <c r="H25">
        <v>1.7403770000000001</v>
      </c>
      <c r="I25">
        <v>1.8540810000000001</v>
      </c>
      <c r="J25">
        <v>0</v>
      </c>
      <c r="K25">
        <v>972.47125200000005</v>
      </c>
    </row>
    <row r="26" spans="1:11" x14ac:dyDescent="0.15">
      <c r="A26">
        <v>2030</v>
      </c>
      <c r="B26">
        <v>262.66973899999999</v>
      </c>
      <c r="C26">
        <v>360.65728799999999</v>
      </c>
      <c r="D26">
        <v>1.4582569999999999</v>
      </c>
      <c r="E26">
        <v>0.52147699999999997</v>
      </c>
      <c r="F26">
        <v>340.62298600000003</v>
      </c>
      <c r="G26">
        <v>1.570422</v>
      </c>
      <c r="H26">
        <v>1.687103</v>
      </c>
      <c r="I26">
        <v>1.797326</v>
      </c>
      <c r="J26">
        <v>0</v>
      </c>
      <c r="K26">
        <v>970.98468000000003</v>
      </c>
    </row>
    <row r="27" spans="1:11" x14ac:dyDescent="0.15">
      <c r="A27">
        <v>2029</v>
      </c>
      <c r="B27">
        <v>270.68841600000002</v>
      </c>
      <c r="C27">
        <v>369.00195300000001</v>
      </c>
      <c r="D27">
        <v>1.430736</v>
      </c>
      <c r="E27">
        <v>0.53297399999999995</v>
      </c>
      <c r="F27">
        <v>334.625854</v>
      </c>
      <c r="G27">
        <v>1.5407839999999999</v>
      </c>
      <c r="H27">
        <v>1.6552629999999999</v>
      </c>
      <c r="I27">
        <v>1.763406</v>
      </c>
      <c r="J27">
        <v>0</v>
      </c>
      <c r="K27">
        <v>981.23956299999998</v>
      </c>
    </row>
    <row r="28" spans="1:11" x14ac:dyDescent="0.15">
      <c r="A28">
        <v>2028</v>
      </c>
      <c r="B28">
        <v>271.92001299999998</v>
      </c>
      <c r="C28">
        <v>367.16564899999997</v>
      </c>
      <c r="D28">
        <v>1.367756</v>
      </c>
      <c r="E28">
        <v>0.53148200000000001</v>
      </c>
      <c r="F28">
        <v>320.46148699999998</v>
      </c>
      <c r="G28">
        <v>1.47296</v>
      </c>
      <c r="H28">
        <v>1.5824</v>
      </c>
      <c r="I28">
        <v>1.685783</v>
      </c>
      <c r="J28">
        <v>0</v>
      </c>
      <c r="K28">
        <v>966.18756099999996</v>
      </c>
    </row>
    <row r="29" spans="1:11" x14ac:dyDescent="0.15">
      <c r="A29">
        <v>2027</v>
      </c>
      <c r="B29">
        <v>269.96063199999998</v>
      </c>
      <c r="C29">
        <v>368.80770899999999</v>
      </c>
      <c r="D29">
        <v>1.310783</v>
      </c>
      <c r="E29">
        <v>0.53358700000000003</v>
      </c>
      <c r="F29">
        <v>308.562927</v>
      </c>
      <c r="G29">
        <v>1.4116040000000001</v>
      </c>
      <c r="H29">
        <v>1.5164850000000001</v>
      </c>
      <c r="I29">
        <v>1.6155619999999999</v>
      </c>
      <c r="J29">
        <v>0</v>
      </c>
      <c r="K29">
        <v>953.71936000000005</v>
      </c>
    </row>
    <row r="30" spans="1:11" x14ac:dyDescent="0.15">
      <c r="A30">
        <v>2026</v>
      </c>
      <c r="B30">
        <v>273.16470299999997</v>
      </c>
      <c r="C30">
        <v>377.43167099999999</v>
      </c>
      <c r="D30">
        <v>1.2895080000000001</v>
      </c>
      <c r="E30">
        <v>0.55846799999999996</v>
      </c>
      <c r="F30">
        <v>309.47274800000002</v>
      </c>
      <c r="G30">
        <v>1.388693</v>
      </c>
      <c r="H30">
        <v>1.4918720000000001</v>
      </c>
      <c r="I30">
        <v>1.58934</v>
      </c>
      <c r="J30">
        <v>0</v>
      </c>
      <c r="K30">
        <v>966.38690199999996</v>
      </c>
    </row>
    <row r="31" spans="1:11" x14ac:dyDescent="0.15">
      <c r="A31">
        <v>2025</v>
      </c>
      <c r="B31">
        <v>268.64215100000001</v>
      </c>
      <c r="C31">
        <v>378.94164999999998</v>
      </c>
      <c r="D31">
        <v>1.2498549999999999</v>
      </c>
      <c r="E31">
        <v>0.58546100000000001</v>
      </c>
      <c r="F31">
        <v>311.01882899999998</v>
      </c>
      <c r="G31">
        <v>1.34599</v>
      </c>
      <c r="H31">
        <v>1.4459960000000001</v>
      </c>
      <c r="I31">
        <v>1.5404679999999999</v>
      </c>
      <c r="J31">
        <v>0</v>
      </c>
      <c r="K31">
        <v>964.77038600000003</v>
      </c>
    </row>
    <row r="32" spans="1:11" x14ac:dyDescent="0.15">
      <c r="A32">
        <v>2024</v>
      </c>
      <c r="B32">
        <v>256.30319200000002</v>
      </c>
      <c r="C32">
        <v>370.47814899999997</v>
      </c>
      <c r="D32">
        <v>1.18303</v>
      </c>
      <c r="E32">
        <v>0.60292599999999996</v>
      </c>
      <c r="F32">
        <v>307.91522200000003</v>
      </c>
      <c r="G32">
        <v>1.274025</v>
      </c>
      <c r="H32">
        <v>1.368684</v>
      </c>
      <c r="I32">
        <v>1.458105</v>
      </c>
      <c r="J32">
        <v>0</v>
      </c>
      <c r="K32">
        <v>940.58337400000005</v>
      </c>
    </row>
    <row r="33" spans="1:11" x14ac:dyDescent="0.15">
      <c r="A33">
        <v>2023</v>
      </c>
      <c r="B33">
        <v>241.69340500000001</v>
      </c>
      <c r="C33">
        <v>356.18954500000001</v>
      </c>
      <c r="D33">
        <v>1.107456</v>
      </c>
      <c r="E33">
        <v>0.61705100000000002</v>
      </c>
      <c r="F33">
        <v>303.46545400000002</v>
      </c>
      <c r="G33">
        <v>1.1926380000000001</v>
      </c>
      <c r="H33">
        <v>1.28125</v>
      </c>
      <c r="I33">
        <v>1.3649579999999999</v>
      </c>
      <c r="J33">
        <v>0</v>
      </c>
      <c r="K33">
        <v>906.911743</v>
      </c>
    </row>
    <row r="34" spans="1:11" x14ac:dyDescent="0.15">
      <c r="A34">
        <v>2022</v>
      </c>
      <c r="B34">
        <v>229.101303</v>
      </c>
      <c r="C34">
        <v>341.420502</v>
      </c>
      <c r="D34">
        <v>1.0420659999999999</v>
      </c>
      <c r="E34">
        <v>0.63706600000000002</v>
      </c>
      <c r="F34">
        <v>303.149292</v>
      </c>
      <c r="G34">
        <v>1.124236</v>
      </c>
      <c r="H34">
        <v>1.2055990000000001</v>
      </c>
      <c r="I34">
        <v>1.2843640000000001</v>
      </c>
      <c r="J34">
        <v>0</v>
      </c>
      <c r="K34">
        <v>878.96453899999995</v>
      </c>
    </row>
    <row r="35" spans="1:11" x14ac:dyDescent="0.15">
      <c r="A35">
        <v>2021</v>
      </c>
      <c r="B35">
        <v>209.25556900000001</v>
      </c>
      <c r="C35">
        <v>316.24591099999998</v>
      </c>
      <c r="D35">
        <v>0.94705799999999996</v>
      </c>
      <c r="E35">
        <v>0.63694700000000004</v>
      </c>
      <c r="F35">
        <v>292.40875199999999</v>
      </c>
      <c r="G35">
        <v>1.0340469999999999</v>
      </c>
      <c r="H35">
        <v>1.0956809999999999</v>
      </c>
      <c r="I35">
        <v>1.167265</v>
      </c>
      <c r="J35">
        <v>0</v>
      </c>
      <c r="K35">
        <v>822.79125999999997</v>
      </c>
    </row>
    <row r="36" spans="1:11" x14ac:dyDescent="0.15">
      <c r="A36">
        <v>2020</v>
      </c>
      <c r="B36">
        <v>180.749008</v>
      </c>
      <c r="C36">
        <v>276.82663000000002</v>
      </c>
      <c r="D36">
        <v>0.81437199999999998</v>
      </c>
      <c r="E36">
        <v>0.60410600000000003</v>
      </c>
      <c r="F36">
        <v>266.90481599999998</v>
      </c>
      <c r="G36">
        <v>0.89579500000000001</v>
      </c>
      <c r="H36">
        <v>0.94217200000000001</v>
      </c>
      <c r="I36">
        <v>1.003727</v>
      </c>
      <c r="J36">
        <v>0</v>
      </c>
      <c r="K36">
        <v>728.74066200000004</v>
      </c>
    </row>
    <row r="37" spans="1:11" x14ac:dyDescent="0.15">
      <c r="A37">
        <v>2019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262"/>
  <sheetViews>
    <sheetView workbookViewId="0">
      <pane xSplit="4" ySplit="1" topLeftCell="E197" activePane="bottomRight" state="frozen"/>
      <selection pane="topRight" activeCell="C1" sqref="C1"/>
      <selection pane="bottomLeft" activeCell="A2" sqref="A2"/>
      <selection pane="bottomRight" activeCell="E1" sqref="E1"/>
    </sheetView>
  </sheetViews>
  <sheetFormatPr defaultRowHeight="14.95" customHeight="1" x14ac:dyDescent="0.15"/>
  <sheetData>
    <row r="1" spans="1:36" ht="14.95" customHeight="1" x14ac:dyDescent="0.15"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 t="s">
        <v>156</v>
      </c>
    </row>
    <row r="11" spans="1:36" ht="12.9" x14ac:dyDescent="0.15">
      <c r="A11" t="s">
        <v>403</v>
      </c>
    </row>
    <row r="12" spans="1:36" ht="12.9" x14ac:dyDescent="0.15">
      <c r="A12" t="s">
        <v>404</v>
      </c>
    </row>
    <row r="13" spans="1:36" ht="12.9" x14ac:dyDescent="0.15">
      <c r="A13" t="s">
        <v>405</v>
      </c>
    </row>
    <row r="14" spans="1:36" ht="12.9" x14ac:dyDescent="0.15">
      <c r="A14" t="s">
        <v>152</v>
      </c>
    </row>
    <row r="15" spans="1:36" ht="12.9" x14ac:dyDescent="0.15">
      <c r="B15" t="s">
        <v>153</v>
      </c>
      <c r="C15" t="s">
        <v>154</v>
      </c>
      <c r="D15" t="s">
        <v>155</v>
      </c>
      <c r="E15">
        <v>2020</v>
      </c>
      <c r="F15">
        <v>2021</v>
      </c>
      <c r="G15">
        <v>2022</v>
      </c>
      <c r="H15">
        <v>2023</v>
      </c>
      <c r="I15">
        <v>2024</v>
      </c>
      <c r="J15">
        <v>2025</v>
      </c>
      <c r="K15">
        <v>2026</v>
      </c>
      <c r="L15">
        <v>2027</v>
      </c>
      <c r="M15">
        <v>2028</v>
      </c>
      <c r="N15">
        <v>2029</v>
      </c>
      <c r="O15">
        <v>2030</v>
      </c>
      <c r="P15">
        <v>2031</v>
      </c>
      <c r="Q15">
        <v>2032</v>
      </c>
      <c r="R15">
        <v>2033</v>
      </c>
      <c r="S15">
        <v>2034</v>
      </c>
      <c r="T15">
        <v>2035</v>
      </c>
      <c r="U15">
        <v>2036</v>
      </c>
      <c r="V15">
        <v>2037</v>
      </c>
      <c r="W15">
        <v>2038</v>
      </c>
      <c r="X15">
        <v>2039</v>
      </c>
      <c r="Y15">
        <v>2040</v>
      </c>
      <c r="Z15">
        <v>2041</v>
      </c>
      <c r="AA15">
        <v>2042</v>
      </c>
      <c r="AB15">
        <v>2043</v>
      </c>
      <c r="AC15">
        <v>2044</v>
      </c>
      <c r="AD15">
        <v>2045</v>
      </c>
      <c r="AE15">
        <v>2046</v>
      </c>
      <c r="AF15">
        <v>2047</v>
      </c>
      <c r="AG15">
        <v>2048</v>
      </c>
      <c r="AH15">
        <v>2049</v>
      </c>
      <c r="AI15">
        <v>2050</v>
      </c>
      <c r="AJ15" t="s">
        <v>156</v>
      </c>
    </row>
    <row r="16" spans="1:36" ht="12.9" x14ac:dyDescent="0.15">
      <c r="A16" t="s">
        <v>41</v>
      </c>
      <c r="C16" t="s">
        <v>656</v>
      </c>
    </row>
    <row r="17" spans="1:36" ht="12.9" x14ac:dyDescent="0.15">
      <c r="A17" t="s">
        <v>406</v>
      </c>
      <c r="C17" t="s">
        <v>657</v>
      </c>
    </row>
    <row r="18" spans="1:36" ht="12.9" x14ac:dyDescent="0.15">
      <c r="A18" t="s">
        <v>407</v>
      </c>
      <c r="C18" t="s">
        <v>658</v>
      </c>
    </row>
    <row r="19" spans="1:36" ht="12.9" x14ac:dyDescent="0.15">
      <c r="A19" t="s">
        <v>408</v>
      </c>
      <c r="B19" t="s">
        <v>409</v>
      </c>
      <c r="C19" t="s">
        <v>659</v>
      </c>
      <c r="D19" t="s">
        <v>660</v>
      </c>
      <c r="E19">
        <v>44.303615999999998</v>
      </c>
      <c r="F19">
        <v>46.468510000000002</v>
      </c>
      <c r="G19">
        <v>48.643810000000002</v>
      </c>
      <c r="H19">
        <v>49.786850000000001</v>
      </c>
      <c r="I19">
        <v>50.975181999999997</v>
      </c>
      <c r="J19">
        <v>52.169327000000003</v>
      </c>
      <c r="K19">
        <v>53.003295999999999</v>
      </c>
      <c r="L19">
        <v>53.847748000000003</v>
      </c>
      <c r="M19">
        <v>54.920650000000002</v>
      </c>
      <c r="N19">
        <v>56.083548999999998</v>
      </c>
      <c r="O19">
        <v>57.405665999999997</v>
      </c>
      <c r="P19">
        <v>58.769748999999997</v>
      </c>
      <c r="Q19">
        <v>60.050925999999997</v>
      </c>
      <c r="R19">
        <v>61.100974999999998</v>
      </c>
      <c r="S19">
        <v>62.185032</v>
      </c>
      <c r="T19">
        <v>63.344462999999998</v>
      </c>
      <c r="U19">
        <v>64.250336000000004</v>
      </c>
      <c r="V19">
        <v>64.989425999999995</v>
      </c>
      <c r="W19">
        <v>65.736892999999995</v>
      </c>
      <c r="X19">
        <v>66.457367000000005</v>
      </c>
      <c r="Y19">
        <v>66.942749000000006</v>
      </c>
      <c r="Z19">
        <v>67.447044000000005</v>
      </c>
      <c r="AA19">
        <v>67.93074</v>
      </c>
      <c r="AB19">
        <v>68.498481999999996</v>
      </c>
      <c r="AC19">
        <v>68.873763999999994</v>
      </c>
      <c r="AD19">
        <v>69.274085999999997</v>
      </c>
      <c r="AE19">
        <v>69.495872000000006</v>
      </c>
      <c r="AF19">
        <v>69.753058999999993</v>
      </c>
      <c r="AG19">
        <v>70.158630000000002</v>
      </c>
      <c r="AH19">
        <v>70.541718000000003</v>
      </c>
      <c r="AI19">
        <v>70.972908000000004</v>
      </c>
      <c r="AJ19" s="32">
        <v>1.6E-2</v>
      </c>
    </row>
    <row r="20" spans="1:36" ht="12.9" x14ac:dyDescent="0.15">
      <c r="A20" t="s">
        <v>410</v>
      </c>
      <c r="B20" t="s">
        <v>411</v>
      </c>
      <c r="C20" t="s">
        <v>661</v>
      </c>
      <c r="D20" t="s">
        <v>660</v>
      </c>
      <c r="E20">
        <v>11.670487</v>
      </c>
      <c r="F20">
        <v>12.01163</v>
      </c>
      <c r="G20">
        <v>12.329393</v>
      </c>
      <c r="H20">
        <v>12.398815000000001</v>
      </c>
      <c r="I20">
        <v>12.497584</v>
      </c>
      <c r="J20">
        <v>12.633912</v>
      </c>
      <c r="K20">
        <v>12.742443</v>
      </c>
      <c r="L20">
        <v>12.904199</v>
      </c>
      <c r="M20">
        <v>13.156378</v>
      </c>
      <c r="N20">
        <v>13.473269999999999</v>
      </c>
      <c r="O20">
        <v>13.869823</v>
      </c>
      <c r="P20">
        <v>14.298347</v>
      </c>
      <c r="Q20">
        <v>14.758368000000001</v>
      </c>
      <c r="R20">
        <v>15.217307999999999</v>
      </c>
      <c r="S20">
        <v>15.705617</v>
      </c>
      <c r="T20">
        <v>16.229514999999999</v>
      </c>
      <c r="U20">
        <v>16.727058</v>
      </c>
      <c r="V20">
        <v>17.217386000000001</v>
      </c>
      <c r="W20">
        <v>17.729655999999999</v>
      </c>
      <c r="X20">
        <v>18.240947999999999</v>
      </c>
      <c r="Y20">
        <v>18.703652999999999</v>
      </c>
      <c r="Z20">
        <v>19.203287</v>
      </c>
      <c r="AA20">
        <v>19.709454000000001</v>
      </c>
      <c r="AB20">
        <v>20.256686999999999</v>
      </c>
      <c r="AC20">
        <v>20.762129000000002</v>
      </c>
      <c r="AD20">
        <v>21.284573000000002</v>
      </c>
      <c r="AE20">
        <v>21.763905999999999</v>
      </c>
      <c r="AF20">
        <v>22.258033999999999</v>
      </c>
      <c r="AG20">
        <v>22.800196</v>
      </c>
      <c r="AH20">
        <v>23.335905</v>
      </c>
      <c r="AI20">
        <v>23.896128000000001</v>
      </c>
      <c r="AJ20" s="32">
        <v>2.4E-2</v>
      </c>
    </row>
    <row r="21" spans="1:36" ht="12.9" x14ac:dyDescent="0.15">
      <c r="A21" t="s">
        <v>412</v>
      </c>
      <c r="B21" t="s">
        <v>413</v>
      </c>
      <c r="C21" t="s">
        <v>662</v>
      </c>
      <c r="D21" t="s">
        <v>660</v>
      </c>
      <c r="E21">
        <v>1.2333999999999999E-2</v>
      </c>
      <c r="F21">
        <v>1.8280999999999999E-2</v>
      </c>
      <c r="G21">
        <v>2.4646000000000001E-2</v>
      </c>
      <c r="H21">
        <v>3.0636E-2</v>
      </c>
      <c r="I21">
        <v>3.6720000000000003E-2</v>
      </c>
      <c r="J21">
        <v>4.2852000000000001E-2</v>
      </c>
      <c r="K21">
        <v>4.8634999999999998E-2</v>
      </c>
      <c r="L21">
        <v>5.4350999999999997E-2</v>
      </c>
      <c r="M21">
        <v>6.0353999999999998E-2</v>
      </c>
      <c r="N21">
        <v>6.658E-2</v>
      </c>
      <c r="O21">
        <v>7.3035000000000003E-2</v>
      </c>
      <c r="P21">
        <v>7.9679E-2</v>
      </c>
      <c r="Q21">
        <v>8.6453000000000002E-2</v>
      </c>
      <c r="R21">
        <v>9.3168000000000001E-2</v>
      </c>
      <c r="S21">
        <v>0.10013</v>
      </c>
      <c r="T21">
        <v>0.107483</v>
      </c>
      <c r="U21">
        <v>0.114736</v>
      </c>
      <c r="V21">
        <v>0.122013</v>
      </c>
      <c r="W21">
        <v>0.129664</v>
      </c>
      <c r="X21">
        <v>0.13758400000000001</v>
      </c>
      <c r="Y21">
        <v>0.145181</v>
      </c>
      <c r="Z21">
        <v>0.153057</v>
      </c>
      <c r="AA21">
        <v>0.16120200000000001</v>
      </c>
      <c r="AB21">
        <v>0.16979</v>
      </c>
      <c r="AC21">
        <v>0.17819299999999999</v>
      </c>
      <c r="AD21">
        <v>0.18707599999999999</v>
      </c>
      <c r="AE21">
        <v>0.19586799999999999</v>
      </c>
      <c r="AF21">
        <v>0.20515700000000001</v>
      </c>
      <c r="AG21">
        <v>0.215387</v>
      </c>
      <c r="AH21">
        <v>0.22609299999999999</v>
      </c>
      <c r="AI21">
        <v>0.237484</v>
      </c>
      <c r="AJ21" s="32">
        <v>0.104</v>
      </c>
    </row>
    <row r="22" spans="1:36" ht="12.9" x14ac:dyDescent="0.15">
      <c r="A22" t="s">
        <v>414</v>
      </c>
      <c r="B22" t="s">
        <v>415</v>
      </c>
      <c r="C22" t="s">
        <v>663</v>
      </c>
      <c r="D22" t="s">
        <v>660</v>
      </c>
      <c r="E22">
        <v>6.5100000000000002E-3</v>
      </c>
      <c r="F22">
        <v>9.3749999999999997E-3</v>
      </c>
      <c r="G22">
        <v>1.2326999999999999E-2</v>
      </c>
      <c r="H22">
        <v>1.4945E-2</v>
      </c>
      <c r="I22">
        <v>1.7472000000000001E-2</v>
      </c>
      <c r="J22">
        <v>1.9890999999999999E-2</v>
      </c>
      <c r="K22">
        <v>2.2037999999999999E-2</v>
      </c>
      <c r="L22">
        <v>2.4058E-2</v>
      </c>
      <c r="M22">
        <v>2.6100000000000002E-2</v>
      </c>
      <c r="N22">
        <v>2.8133999999999999E-2</v>
      </c>
      <c r="O22">
        <v>3.0169999999999999E-2</v>
      </c>
      <c r="P22">
        <v>3.2181000000000001E-2</v>
      </c>
      <c r="Q22">
        <v>3.4136E-2</v>
      </c>
      <c r="R22">
        <v>3.5962000000000001E-2</v>
      </c>
      <c r="S22">
        <v>3.7782999999999997E-2</v>
      </c>
      <c r="T22">
        <v>3.9641999999999997E-2</v>
      </c>
      <c r="U22">
        <v>4.1355000000000003E-2</v>
      </c>
      <c r="V22">
        <v>4.2966999999999998E-2</v>
      </c>
      <c r="W22">
        <v>4.4603999999999998E-2</v>
      </c>
      <c r="X22">
        <v>4.6205000000000003E-2</v>
      </c>
      <c r="Y22">
        <v>4.7577000000000001E-2</v>
      </c>
      <c r="Z22">
        <v>4.8953000000000003E-2</v>
      </c>
      <c r="AA22">
        <v>5.033E-2</v>
      </c>
      <c r="AB22">
        <v>5.1773E-2</v>
      </c>
      <c r="AC22">
        <v>5.3101000000000002E-2</v>
      </c>
      <c r="AD22">
        <v>5.4510999999999997E-2</v>
      </c>
      <c r="AE22">
        <v>5.586E-2</v>
      </c>
      <c r="AF22">
        <v>5.7356999999999998E-2</v>
      </c>
      <c r="AG22">
        <v>5.9117999999999997E-2</v>
      </c>
      <c r="AH22">
        <v>6.1026999999999998E-2</v>
      </c>
      <c r="AI22">
        <v>6.3146999999999995E-2</v>
      </c>
      <c r="AJ22" s="32">
        <v>7.9000000000000001E-2</v>
      </c>
    </row>
    <row r="23" spans="1:36" ht="12.9" x14ac:dyDescent="0.15">
      <c r="A23" t="s">
        <v>416</v>
      </c>
      <c r="B23" t="s">
        <v>417</v>
      </c>
      <c r="C23" t="s">
        <v>664</v>
      </c>
      <c r="D23" t="s">
        <v>660</v>
      </c>
      <c r="E23">
        <v>4.1170429999999998</v>
      </c>
      <c r="F23">
        <v>4.5403880000000001</v>
      </c>
      <c r="G23">
        <v>4.9633260000000003</v>
      </c>
      <c r="H23">
        <v>5.2811959999999996</v>
      </c>
      <c r="I23">
        <v>5.608263</v>
      </c>
      <c r="J23">
        <v>5.9431419999999999</v>
      </c>
      <c r="K23">
        <v>6.2620319999999996</v>
      </c>
      <c r="L23">
        <v>6.6127320000000003</v>
      </c>
      <c r="M23">
        <v>7.0103549999999997</v>
      </c>
      <c r="N23">
        <v>7.4512809999999998</v>
      </c>
      <c r="O23">
        <v>7.9248000000000003</v>
      </c>
      <c r="P23">
        <v>8.4236280000000008</v>
      </c>
      <c r="Q23">
        <v>8.9424360000000007</v>
      </c>
      <c r="R23">
        <v>9.4621189999999995</v>
      </c>
      <c r="S23">
        <v>10.000749000000001</v>
      </c>
      <c r="T23">
        <v>10.569487000000001</v>
      </c>
      <c r="U23">
        <v>11.123409000000001</v>
      </c>
      <c r="V23">
        <v>11.685357</v>
      </c>
      <c r="W23">
        <v>12.272736999999999</v>
      </c>
      <c r="X23">
        <v>12.885431000000001</v>
      </c>
      <c r="Y23">
        <v>13.488982999999999</v>
      </c>
      <c r="Z23">
        <v>14.153807</v>
      </c>
      <c r="AA23">
        <v>14.881503</v>
      </c>
      <c r="AB23">
        <v>15.670287</v>
      </c>
      <c r="AC23">
        <v>16.454726999999998</v>
      </c>
      <c r="AD23">
        <v>17.294906999999998</v>
      </c>
      <c r="AE23">
        <v>18.134250999999999</v>
      </c>
      <c r="AF23">
        <v>19.022991000000001</v>
      </c>
      <c r="AG23">
        <v>19.985868</v>
      </c>
      <c r="AH23">
        <v>20.989632</v>
      </c>
      <c r="AI23">
        <v>22.046140999999999</v>
      </c>
      <c r="AJ23" s="32">
        <v>5.8000000000000003E-2</v>
      </c>
    </row>
    <row r="24" spans="1:36" ht="12.9" x14ac:dyDescent="0.15">
      <c r="A24" t="s">
        <v>288</v>
      </c>
      <c r="B24" t="s">
        <v>418</v>
      </c>
      <c r="C24" t="s">
        <v>665</v>
      </c>
      <c r="D24" t="s">
        <v>660</v>
      </c>
      <c r="E24">
        <v>5.3699999999999998E-3</v>
      </c>
      <c r="F24">
        <v>1.0534999999999999E-2</v>
      </c>
      <c r="G24">
        <v>1.6449999999999999E-2</v>
      </c>
      <c r="H24">
        <v>2.2447999999999999E-2</v>
      </c>
      <c r="I24">
        <v>2.8750000000000001E-2</v>
      </c>
      <c r="J24">
        <v>3.5237999999999998E-2</v>
      </c>
      <c r="K24">
        <v>4.1526E-2</v>
      </c>
      <c r="L24">
        <v>4.7812E-2</v>
      </c>
      <c r="M24">
        <v>5.4346999999999999E-2</v>
      </c>
      <c r="N24">
        <v>6.1032999999999997E-2</v>
      </c>
      <c r="O24">
        <v>6.7904000000000006E-2</v>
      </c>
      <c r="P24">
        <v>7.4933E-2</v>
      </c>
      <c r="Q24">
        <v>8.2057000000000005E-2</v>
      </c>
      <c r="R24">
        <v>8.9079000000000005E-2</v>
      </c>
      <c r="S24">
        <v>9.6354999999999996E-2</v>
      </c>
      <c r="T24">
        <v>0.104059</v>
      </c>
      <c r="U24">
        <v>0.111743</v>
      </c>
      <c r="V24">
        <v>0.119563</v>
      </c>
      <c r="W24">
        <v>0.127863</v>
      </c>
      <c r="X24">
        <v>0.13644100000000001</v>
      </c>
      <c r="Y24">
        <v>0.144896</v>
      </c>
      <c r="Z24">
        <v>0.15373899999999999</v>
      </c>
      <c r="AA24">
        <v>0.162937</v>
      </c>
      <c r="AB24">
        <v>0.17247299999999999</v>
      </c>
      <c r="AC24">
        <v>0.18170600000000001</v>
      </c>
      <c r="AD24">
        <v>0.19128800000000001</v>
      </c>
      <c r="AE24">
        <v>0.20072100000000001</v>
      </c>
      <c r="AF24">
        <v>0.21058099999999999</v>
      </c>
      <c r="AG24">
        <v>0.22128300000000001</v>
      </c>
      <c r="AH24">
        <v>0.23241600000000001</v>
      </c>
      <c r="AI24">
        <v>0.24429999999999999</v>
      </c>
      <c r="AJ24" s="32">
        <v>0.13600000000000001</v>
      </c>
    </row>
    <row r="25" spans="1:36" ht="12.9" x14ac:dyDescent="0.15">
      <c r="A25" t="s">
        <v>419</v>
      </c>
      <c r="B25" t="s">
        <v>420</v>
      </c>
      <c r="C25" t="s">
        <v>666</v>
      </c>
      <c r="D25" t="s">
        <v>660</v>
      </c>
      <c r="E25">
        <v>4.6670000000000001E-3</v>
      </c>
      <c r="F25">
        <v>1.022E-2</v>
      </c>
      <c r="G25">
        <v>1.6645E-2</v>
      </c>
      <c r="H25">
        <v>2.3188E-2</v>
      </c>
      <c r="I25">
        <v>3.0054000000000001E-2</v>
      </c>
      <c r="J25">
        <v>3.7111999999999999E-2</v>
      </c>
      <c r="K25">
        <v>4.3949000000000002E-2</v>
      </c>
      <c r="L25">
        <v>5.0771999999999998E-2</v>
      </c>
      <c r="M25">
        <v>5.7853000000000002E-2</v>
      </c>
      <c r="N25">
        <v>6.5107999999999999E-2</v>
      </c>
      <c r="O25">
        <v>7.2574E-2</v>
      </c>
      <c r="P25">
        <v>8.0206E-2</v>
      </c>
      <c r="Q25">
        <v>8.7937000000000001E-2</v>
      </c>
      <c r="R25">
        <v>9.5592999999999997E-2</v>
      </c>
      <c r="S25">
        <v>0.103528</v>
      </c>
      <c r="T25">
        <v>0.11190700000000001</v>
      </c>
      <c r="U25">
        <v>0.12025</v>
      </c>
      <c r="V25">
        <v>0.12872900000000001</v>
      </c>
      <c r="W25">
        <v>0.137715</v>
      </c>
      <c r="X25">
        <v>0.14699599999999999</v>
      </c>
      <c r="Y25">
        <v>0.15613199999999999</v>
      </c>
      <c r="Z25">
        <v>0.16567799999999999</v>
      </c>
      <c r="AA25">
        <v>0.17560600000000001</v>
      </c>
      <c r="AB25">
        <v>0.18590400000000001</v>
      </c>
      <c r="AC25">
        <v>0.19588900000000001</v>
      </c>
      <c r="AD25">
        <v>0.20625199999999999</v>
      </c>
      <c r="AE25">
        <v>0.216448</v>
      </c>
      <c r="AF25">
        <v>0.22709799999999999</v>
      </c>
      <c r="AG25">
        <v>0.238653</v>
      </c>
      <c r="AH25">
        <v>0.25066899999999998</v>
      </c>
      <c r="AI25">
        <v>0.26349099999999998</v>
      </c>
      <c r="AJ25" s="32">
        <v>0.14399999999999999</v>
      </c>
    </row>
    <row r="26" spans="1:36" ht="12.9" x14ac:dyDescent="0.15">
      <c r="A26" t="s">
        <v>421</v>
      </c>
      <c r="B26" t="s">
        <v>422</v>
      </c>
      <c r="C26" t="s">
        <v>667</v>
      </c>
      <c r="D26" t="s">
        <v>660</v>
      </c>
      <c r="E26">
        <v>4.7369999999999999E-3</v>
      </c>
      <c r="F26">
        <v>1.0373E-2</v>
      </c>
      <c r="G26">
        <v>1.6895E-2</v>
      </c>
      <c r="H26">
        <v>2.3536000000000001E-2</v>
      </c>
      <c r="I26">
        <v>3.0505000000000001E-2</v>
      </c>
      <c r="J26">
        <v>3.7669000000000001E-2</v>
      </c>
      <c r="K26">
        <v>4.4608000000000002E-2</v>
      </c>
      <c r="L26">
        <v>5.1534000000000003E-2</v>
      </c>
      <c r="M26">
        <v>5.8721000000000002E-2</v>
      </c>
      <c r="N26">
        <v>6.6085000000000005E-2</v>
      </c>
      <c r="O26">
        <v>7.3662000000000005E-2</v>
      </c>
      <c r="P26">
        <v>8.1408999999999995E-2</v>
      </c>
      <c r="Q26">
        <v>8.9257000000000003E-2</v>
      </c>
      <c r="R26">
        <v>9.7027000000000002E-2</v>
      </c>
      <c r="S26">
        <v>0.10508099999999999</v>
      </c>
      <c r="T26">
        <v>0.11358600000000001</v>
      </c>
      <c r="U26">
        <v>0.122054</v>
      </c>
      <c r="V26">
        <v>0.13066</v>
      </c>
      <c r="W26">
        <v>0.13978099999999999</v>
      </c>
      <c r="X26">
        <v>0.149201</v>
      </c>
      <c r="Y26">
        <v>0.158475</v>
      </c>
      <c r="Z26">
        <v>0.16816300000000001</v>
      </c>
      <c r="AA26">
        <v>0.17824100000000001</v>
      </c>
      <c r="AB26">
        <v>0.188694</v>
      </c>
      <c r="AC26">
        <v>0.198828</v>
      </c>
      <c r="AD26">
        <v>0.20934700000000001</v>
      </c>
      <c r="AE26">
        <v>0.219695</v>
      </c>
      <c r="AF26">
        <v>0.23050499999999999</v>
      </c>
      <c r="AG26">
        <v>0.242233</v>
      </c>
      <c r="AH26">
        <v>0.25442999999999999</v>
      </c>
      <c r="AI26">
        <v>0.26744499999999999</v>
      </c>
      <c r="AJ26" s="32">
        <v>0.14399999999999999</v>
      </c>
    </row>
    <row r="27" spans="1:36" ht="12.9" x14ac:dyDescent="0.15">
      <c r="A27" t="s">
        <v>300</v>
      </c>
      <c r="B27" t="s">
        <v>423</v>
      </c>
      <c r="C27" t="s">
        <v>668</v>
      </c>
      <c r="D27" t="s">
        <v>660</v>
      </c>
      <c r="E27">
        <v>1.9999999999999999E-6</v>
      </c>
      <c r="F27">
        <v>5.0000000000000004E-6</v>
      </c>
      <c r="G27">
        <v>7.9999999999999996E-6</v>
      </c>
      <c r="H27">
        <v>1.1E-5</v>
      </c>
      <c r="I27">
        <v>1.4E-5</v>
      </c>
      <c r="J27">
        <v>1.7E-5</v>
      </c>
      <c r="K27">
        <v>1.9000000000000001E-5</v>
      </c>
      <c r="L27">
        <v>2.1999999999999999E-5</v>
      </c>
      <c r="M27">
        <v>2.4000000000000001E-5</v>
      </c>
      <c r="N27">
        <v>2.6999999999999999E-5</v>
      </c>
      <c r="O27">
        <v>2.9E-5</v>
      </c>
      <c r="P27">
        <v>3.1000000000000001E-5</v>
      </c>
      <c r="Q27">
        <v>3.4E-5</v>
      </c>
      <c r="R27">
        <v>3.4999999999999997E-5</v>
      </c>
      <c r="S27">
        <v>3.6999999999999998E-5</v>
      </c>
      <c r="T27">
        <v>3.8999999999999999E-5</v>
      </c>
      <c r="U27">
        <v>4.0000000000000003E-5</v>
      </c>
      <c r="V27">
        <v>4.1999999999999998E-5</v>
      </c>
      <c r="W27">
        <v>4.3000000000000002E-5</v>
      </c>
      <c r="X27">
        <v>4.3999999999999999E-5</v>
      </c>
      <c r="Y27">
        <v>4.5000000000000003E-5</v>
      </c>
      <c r="Z27">
        <v>4.6E-5</v>
      </c>
      <c r="AA27">
        <v>4.6999999999999997E-5</v>
      </c>
      <c r="AB27">
        <v>4.6999999999999997E-5</v>
      </c>
      <c r="AC27">
        <v>4.8000000000000001E-5</v>
      </c>
      <c r="AD27">
        <v>4.8000000000000001E-5</v>
      </c>
      <c r="AE27">
        <v>4.8000000000000001E-5</v>
      </c>
      <c r="AF27">
        <v>4.8000000000000001E-5</v>
      </c>
      <c r="AG27">
        <v>4.6999999999999997E-5</v>
      </c>
      <c r="AH27">
        <v>4.6999999999999997E-5</v>
      </c>
      <c r="AI27">
        <v>4.6999999999999997E-5</v>
      </c>
      <c r="AJ27" s="32">
        <v>0.106</v>
      </c>
    </row>
    <row r="28" spans="1:36" ht="12.9" x14ac:dyDescent="0.15">
      <c r="A28" t="s">
        <v>424</v>
      </c>
      <c r="B28" t="s">
        <v>425</v>
      </c>
      <c r="C28" t="s">
        <v>669</v>
      </c>
      <c r="D28" t="s">
        <v>660</v>
      </c>
      <c r="E28">
        <v>60.124729000000002</v>
      </c>
      <c r="F28">
        <v>63.079326999999999</v>
      </c>
      <c r="G28">
        <v>66.023560000000003</v>
      </c>
      <c r="H28">
        <v>67.581619000000003</v>
      </c>
      <c r="I28">
        <v>69.224518000000003</v>
      </c>
      <c r="J28">
        <v>70.919121000000004</v>
      </c>
      <c r="K28">
        <v>72.208495999999997</v>
      </c>
      <c r="L28">
        <v>73.593200999999993</v>
      </c>
      <c r="M28">
        <v>75.344855999999993</v>
      </c>
      <c r="N28">
        <v>77.295067000000003</v>
      </c>
      <c r="O28">
        <v>79.517669999999995</v>
      </c>
      <c r="P28">
        <v>81.840125999999998</v>
      </c>
      <c r="Q28">
        <v>84.131516000000005</v>
      </c>
      <c r="R28">
        <v>86.191360000000003</v>
      </c>
      <c r="S28">
        <v>88.334434999999999</v>
      </c>
      <c r="T28">
        <v>90.620223999999993</v>
      </c>
      <c r="U28">
        <v>92.610786000000004</v>
      </c>
      <c r="V28">
        <v>94.436133999999996</v>
      </c>
      <c r="W28">
        <v>96.318832</v>
      </c>
      <c r="X28">
        <v>98.200080999999997</v>
      </c>
      <c r="Y28">
        <v>99.787696999999994</v>
      </c>
      <c r="Z28">
        <v>101.493889</v>
      </c>
      <c r="AA28">
        <v>103.250038</v>
      </c>
      <c r="AB28">
        <v>105.194016</v>
      </c>
      <c r="AC28">
        <v>106.89825399999999</v>
      </c>
      <c r="AD28">
        <v>108.70193500000001</v>
      </c>
      <c r="AE28">
        <v>110.282471</v>
      </c>
      <c r="AF28">
        <v>111.964691</v>
      </c>
      <c r="AG28">
        <v>113.92124200000001</v>
      </c>
      <c r="AH28">
        <v>115.891792</v>
      </c>
      <c r="AI28">
        <v>117.991058</v>
      </c>
      <c r="AJ28" s="32">
        <v>2.3E-2</v>
      </c>
    </row>
    <row r="29" spans="1:36" ht="12.9" x14ac:dyDescent="0.15">
      <c r="A29" t="s">
        <v>426</v>
      </c>
      <c r="C29" t="s">
        <v>670</v>
      </c>
    </row>
    <row r="30" spans="1:36" ht="12.9" x14ac:dyDescent="0.15">
      <c r="A30" t="s">
        <v>408</v>
      </c>
      <c r="B30" t="s">
        <v>427</v>
      </c>
      <c r="C30" t="s">
        <v>671</v>
      </c>
      <c r="D30" t="s">
        <v>660</v>
      </c>
      <c r="E30">
        <v>34.473965</v>
      </c>
      <c r="F30">
        <v>35.473495</v>
      </c>
      <c r="G30">
        <v>36.957549999999998</v>
      </c>
      <c r="H30">
        <v>37.959640999999998</v>
      </c>
      <c r="I30">
        <v>39.124969</v>
      </c>
      <c r="J30">
        <v>40.335887999999997</v>
      </c>
      <c r="K30">
        <v>41.264000000000003</v>
      </c>
      <c r="L30">
        <v>42.068516000000002</v>
      </c>
      <c r="M30">
        <v>42.910355000000003</v>
      </c>
      <c r="N30">
        <v>43.759945000000002</v>
      </c>
      <c r="O30">
        <v>44.713017000000001</v>
      </c>
      <c r="P30">
        <v>45.715141000000003</v>
      </c>
      <c r="Q30">
        <v>46.789397999999998</v>
      </c>
      <c r="R30">
        <v>47.786670999999998</v>
      </c>
      <c r="S30">
        <v>48.873032000000002</v>
      </c>
      <c r="T30">
        <v>50.144362999999998</v>
      </c>
      <c r="U30">
        <v>51.413058999999997</v>
      </c>
      <c r="V30">
        <v>52.670658000000003</v>
      </c>
      <c r="W30">
        <v>54.011184999999998</v>
      </c>
      <c r="X30">
        <v>55.482284999999997</v>
      </c>
      <c r="Y30">
        <v>56.955432999999999</v>
      </c>
      <c r="Z30">
        <v>58.566901999999999</v>
      </c>
      <c r="AA30">
        <v>60.255966000000001</v>
      </c>
      <c r="AB30">
        <v>62.128014</v>
      </c>
      <c r="AC30">
        <v>63.896785999999999</v>
      </c>
      <c r="AD30">
        <v>65.736037999999994</v>
      </c>
      <c r="AE30">
        <v>67.480141000000003</v>
      </c>
      <c r="AF30">
        <v>69.220253</v>
      </c>
      <c r="AG30">
        <v>71.089843999999999</v>
      </c>
      <c r="AH30">
        <v>73.088111999999995</v>
      </c>
      <c r="AI30">
        <v>75.230225000000004</v>
      </c>
      <c r="AJ30" s="32">
        <v>2.5999999999999999E-2</v>
      </c>
    </row>
    <row r="31" spans="1:36" ht="12.9" x14ac:dyDescent="0.15">
      <c r="A31" t="s">
        <v>410</v>
      </c>
      <c r="B31" t="s">
        <v>428</v>
      </c>
      <c r="C31" t="s">
        <v>672</v>
      </c>
      <c r="D31" t="s">
        <v>660</v>
      </c>
      <c r="E31">
        <v>16.394169000000002</v>
      </c>
      <c r="F31">
        <v>16.582535</v>
      </c>
      <c r="G31">
        <v>16.901983000000001</v>
      </c>
      <c r="H31">
        <v>16.961668</v>
      </c>
      <c r="I31">
        <v>17.099653</v>
      </c>
      <c r="J31">
        <v>17.240475</v>
      </c>
      <c r="K31">
        <v>17.329367000000001</v>
      </c>
      <c r="L31">
        <v>17.432796</v>
      </c>
      <c r="M31">
        <v>17.610531000000002</v>
      </c>
      <c r="N31">
        <v>17.829197000000001</v>
      </c>
      <c r="O31">
        <v>18.10059</v>
      </c>
      <c r="P31">
        <v>18.393978000000001</v>
      </c>
      <c r="Q31">
        <v>18.731877999999998</v>
      </c>
      <c r="R31">
        <v>19.043507000000002</v>
      </c>
      <c r="S31">
        <v>19.403744</v>
      </c>
      <c r="T31">
        <v>19.829401000000001</v>
      </c>
      <c r="U31">
        <v>20.229514999999999</v>
      </c>
      <c r="V31">
        <v>20.658173000000001</v>
      </c>
      <c r="W31">
        <v>21.11458</v>
      </c>
      <c r="X31">
        <v>21.643822</v>
      </c>
      <c r="Y31">
        <v>22.157523999999999</v>
      </c>
      <c r="Z31">
        <v>22.724648999999999</v>
      </c>
      <c r="AA31">
        <v>23.321432000000001</v>
      </c>
      <c r="AB31">
        <v>23.983839</v>
      </c>
      <c r="AC31">
        <v>24.599024</v>
      </c>
      <c r="AD31">
        <v>25.222774999999999</v>
      </c>
      <c r="AE31">
        <v>25.802208</v>
      </c>
      <c r="AF31">
        <v>26.379553000000001</v>
      </c>
      <c r="AG31">
        <v>26.998093000000001</v>
      </c>
      <c r="AH31">
        <v>27.652967</v>
      </c>
      <c r="AI31">
        <v>28.344539999999999</v>
      </c>
      <c r="AJ31" s="32">
        <v>1.7999999999999999E-2</v>
      </c>
    </row>
    <row r="32" spans="1:36" ht="12.9" x14ac:dyDescent="0.15">
      <c r="A32" t="s">
        <v>412</v>
      </c>
      <c r="B32" t="s">
        <v>429</v>
      </c>
      <c r="C32" t="s">
        <v>673</v>
      </c>
      <c r="D32" t="s">
        <v>660</v>
      </c>
      <c r="E32">
        <v>4.2376999999999998E-2</v>
      </c>
      <c r="F32">
        <v>4.3694999999999998E-2</v>
      </c>
      <c r="G32">
        <v>4.5803999999999997E-2</v>
      </c>
      <c r="H32">
        <v>4.7490999999999998E-2</v>
      </c>
      <c r="I32">
        <v>4.9514000000000002E-2</v>
      </c>
      <c r="J32">
        <v>5.1737999999999999E-2</v>
      </c>
      <c r="K32">
        <v>5.3755999999999998E-2</v>
      </c>
      <c r="L32">
        <v>5.5728E-2</v>
      </c>
      <c r="M32">
        <v>5.7872E-2</v>
      </c>
      <c r="N32">
        <v>6.0160999999999999E-2</v>
      </c>
      <c r="O32">
        <v>6.2822000000000003E-2</v>
      </c>
      <c r="P32">
        <v>6.5789E-2</v>
      </c>
      <c r="Q32">
        <v>6.9166000000000005E-2</v>
      </c>
      <c r="R32">
        <v>7.2886000000000006E-2</v>
      </c>
      <c r="S32">
        <v>7.7104000000000006E-2</v>
      </c>
      <c r="T32">
        <v>8.1527000000000002E-2</v>
      </c>
      <c r="U32">
        <v>8.6134000000000002E-2</v>
      </c>
      <c r="V32">
        <v>9.0969999999999995E-2</v>
      </c>
      <c r="W32">
        <v>9.6263000000000001E-2</v>
      </c>
      <c r="X32">
        <v>0.10208399999999999</v>
      </c>
      <c r="Y32">
        <v>0.10828500000000001</v>
      </c>
      <c r="Z32">
        <v>0.11512799999999999</v>
      </c>
      <c r="AA32">
        <v>0.12245499999999999</v>
      </c>
      <c r="AB32">
        <v>0.130414</v>
      </c>
      <c r="AC32">
        <v>0.13841500000000001</v>
      </c>
      <c r="AD32">
        <v>0.146872</v>
      </c>
      <c r="AE32">
        <v>0.15545900000000001</v>
      </c>
      <c r="AF32">
        <v>0.16434000000000001</v>
      </c>
      <c r="AG32">
        <v>0.173872</v>
      </c>
      <c r="AH32">
        <v>0.18373600000000001</v>
      </c>
      <c r="AI32">
        <v>0.19453000000000001</v>
      </c>
      <c r="AJ32" s="32">
        <v>5.1999999999999998E-2</v>
      </c>
    </row>
    <row r="33" spans="1:36" ht="12.9" x14ac:dyDescent="0.15">
      <c r="A33" t="s">
        <v>414</v>
      </c>
      <c r="B33" t="s">
        <v>430</v>
      </c>
      <c r="C33" t="s">
        <v>674</v>
      </c>
      <c r="D33" t="s">
        <v>660</v>
      </c>
      <c r="E33">
        <v>5.1877E-2</v>
      </c>
      <c r="F33">
        <v>6.0930999999999999E-2</v>
      </c>
      <c r="G33">
        <v>7.1687000000000001E-2</v>
      </c>
      <c r="H33">
        <v>8.1669000000000005E-2</v>
      </c>
      <c r="I33">
        <v>9.1757000000000005E-2</v>
      </c>
      <c r="J33">
        <v>0.10162599999999999</v>
      </c>
      <c r="K33">
        <v>0.110331</v>
      </c>
      <c r="L33">
        <v>0.118092</v>
      </c>
      <c r="M33">
        <v>0.12551499999999999</v>
      </c>
      <c r="N33">
        <v>0.13251499999999999</v>
      </c>
      <c r="O33">
        <v>0.139316</v>
      </c>
      <c r="P33">
        <v>0.14588799999999999</v>
      </c>
      <c r="Q33">
        <v>0.15228900000000001</v>
      </c>
      <c r="R33">
        <v>0.15817000000000001</v>
      </c>
      <c r="S33">
        <v>0.16405500000000001</v>
      </c>
      <c r="T33">
        <v>0.17025100000000001</v>
      </c>
      <c r="U33">
        <v>0.176231</v>
      </c>
      <c r="V33">
        <v>0.18218400000000001</v>
      </c>
      <c r="W33">
        <v>0.18856400000000001</v>
      </c>
      <c r="X33">
        <v>0.19545000000000001</v>
      </c>
      <c r="Y33">
        <v>0.20253099999999999</v>
      </c>
      <c r="Z33">
        <v>0.21024399999999999</v>
      </c>
      <c r="AA33">
        <v>0.218386</v>
      </c>
      <c r="AB33">
        <v>0.22706699999999999</v>
      </c>
      <c r="AC33">
        <v>0.23535400000000001</v>
      </c>
      <c r="AD33">
        <v>0.24406</v>
      </c>
      <c r="AE33">
        <v>0.25259399999999999</v>
      </c>
      <c r="AF33">
        <v>0.26127600000000001</v>
      </c>
      <c r="AG33">
        <v>0.27061400000000002</v>
      </c>
      <c r="AH33">
        <v>0.28072200000000003</v>
      </c>
      <c r="AI33">
        <v>0.29178999999999999</v>
      </c>
      <c r="AJ33" s="32">
        <v>5.8999999999999997E-2</v>
      </c>
    </row>
    <row r="34" spans="1:36" ht="12.9" x14ac:dyDescent="0.15">
      <c r="A34" t="s">
        <v>416</v>
      </c>
      <c r="B34" t="s">
        <v>431</v>
      </c>
      <c r="C34" t="s">
        <v>675</v>
      </c>
      <c r="D34" t="s">
        <v>660</v>
      </c>
      <c r="E34">
        <v>0.559701</v>
      </c>
      <c r="F34">
        <v>0.63309700000000002</v>
      </c>
      <c r="G34">
        <v>0.71984000000000004</v>
      </c>
      <c r="H34">
        <v>0.79714799999999997</v>
      </c>
      <c r="I34">
        <v>0.87512100000000004</v>
      </c>
      <c r="J34">
        <v>0.95147499999999996</v>
      </c>
      <c r="K34">
        <v>1.0193970000000001</v>
      </c>
      <c r="L34">
        <v>1.082565</v>
      </c>
      <c r="M34">
        <v>1.146466</v>
      </c>
      <c r="N34">
        <v>1.2119850000000001</v>
      </c>
      <c r="O34">
        <v>1.283031</v>
      </c>
      <c r="P34">
        <v>1.3584590000000001</v>
      </c>
      <c r="Q34">
        <v>1.439514</v>
      </c>
      <c r="R34">
        <v>1.5214160000000001</v>
      </c>
      <c r="S34">
        <v>1.612492</v>
      </c>
      <c r="T34">
        <v>1.7139439999999999</v>
      </c>
      <c r="U34">
        <v>1.8170459999999999</v>
      </c>
      <c r="V34">
        <v>1.927241</v>
      </c>
      <c r="W34">
        <v>2.0424229999999999</v>
      </c>
      <c r="X34">
        <v>2.17048</v>
      </c>
      <c r="Y34">
        <v>2.3054549999999998</v>
      </c>
      <c r="Z34">
        <v>2.452369</v>
      </c>
      <c r="AA34">
        <v>2.6084019999999999</v>
      </c>
      <c r="AB34">
        <v>2.7770570000000001</v>
      </c>
      <c r="AC34">
        <v>2.9457680000000002</v>
      </c>
      <c r="AD34">
        <v>3.1239020000000002</v>
      </c>
      <c r="AE34">
        <v>3.3047219999999999</v>
      </c>
      <c r="AF34">
        <v>3.4920789999999999</v>
      </c>
      <c r="AG34">
        <v>3.6928519999999998</v>
      </c>
      <c r="AH34">
        <v>3.9100199999999998</v>
      </c>
      <c r="AI34">
        <v>4.1454469999999999</v>
      </c>
      <c r="AJ34" s="32">
        <v>6.9000000000000006E-2</v>
      </c>
    </row>
    <row r="35" spans="1:36" ht="12.9" x14ac:dyDescent="0.15">
      <c r="A35" t="s">
        <v>288</v>
      </c>
      <c r="B35" t="s">
        <v>432</v>
      </c>
      <c r="C35" t="s">
        <v>676</v>
      </c>
      <c r="D35" t="s">
        <v>660</v>
      </c>
      <c r="E35">
        <v>5.4200000000000003E-3</v>
      </c>
      <c r="F35">
        <v>9.4289999999999999E-3</v>
      </c>
      <c r="G35">
        <v>1.4236E-2</v>
      </c>
      <c r="H35">
        <v>1.9151000000000001E-2</v>
      </c>
      <c r="I35">
        <v>2.4204E-2</v>
      </c>
      <c r="J35">
        <v>2.9276E-2</v>
      </c>
      <c r="K35">
        <v>3.4014000000000003E-2</v>
      </c>
      <c r="L35">
        <v>3.8429999999999999E-2</v>
      </c>
      <c r="M35">
        <v>4.2784999999999997E-2</v>
      </c>
      <c r="N35">
        <v>4.7170999999999998E-2</v>
      </c>
      <c r="O35">
        <v>5.1713000000000002E-2</v>
      </c>
      <c r="P35">
        <v>5.6411000000000003E-2</v>
      </c>
      <c r="Q35">
        <v>6.1312999999999999E-2</v>
      </c>
      <c r="R35">
        <v>6.6289000000000001E-2</v>
      </c>
      <c r="S35">
        <v>7.1549000000000001E-2</v>
      </c>
      <c r="T35">
        <v>7.7276999999999998E-2</v>
      </c>
      <c r="U35">
        <v>8.3154000000000006E-2</v>
      </c>
      <c r="V35">
        <v>8.9199000000000001E-2</v>
      </c>
      <c r="W35">
        <v>9.5702999999999996E-2</v>
      </c>
      <c r="X35">
        <v>0.10258</v>
      </c>
      <c r="Y35">
        <v>0.109815</v>
      </c>
      <c r="Z35">
        <v>0.11763800000000001</v>
      </c>
      <c r="AA35">
        <v>0.12590699999999999</v>
      </c>
      <c r="AB35">
        <v>0.134794</v>
      </c>
      <c r="AC35">
        <v>0.143706</v>
      </c>
      <c r="AD35">
        <v>0.15309500000000001</v>
      </c>
      <c r="AE35">
        <v>0.16265199999999999</v>
      </c>
      <c r="AF35">
        <v>0.17255000000000001</v>
      </c>
      <c r="AG35">
        <v>0.183171</v>
      </c>
      <c r="AH35">
        <v>0.194604</v>
      </c>
      <c r="AI35">
        <v>0.20696000000000001</v>
      </c>
      <c r="AJ35" s="32">
        <v>0.129</v>
      </c>
    </row>
    <row r="36" spans="1:36" ht="12.9" x14ac:dyDescent="0.15">
      <c r="A36" t="s">
        <v>419</v>
      </c>
      <c r="B36" t="s">
        <v>433</v>
      </c>
      <c r="C36" t="s">
        <v>677</v>
      </c>
      <c r="D36" t="s">
        <v>660</v>
      </c>
      <c r="E36">
        <v>3.8600000000000001E-3</v>
      </c>
      <c r="F36">
        <v>8.2190000000000006E-3</v>
      </c>
      <c r="G36">
        <v>1.3495E-2</v>
      </c>
      <c r="H36">
        <v>1.8939999999999999E-2</v>
      </c>
      <c r="I36">
        <v>2.4531000000000001E-2</v>
      </c>
      <c r="J36">
        <v>3.0138000000000002E-2</v>
      </c>
      <c r="K36">
        <v>3.5383999999999999E-2</v>
      </c>
      <c r="L36">
        <v>4.027E-2</v>
      </c>
      <c r="M36">
        <v>4.5076999999999999E-2</v>
      </c>
      <c r="N36">
        <v>4.9907E-2</v>
      </c>
      <c r="O36">
        <v>5.4896E-2</v>
      </c>
      <c r="P36">
        <v>6.0041999999999998E-2</v>
      </c>
      <c r="Q36">
        <v>6.54E-2</v>
      </c>
      <c r="R36">
        <v>7.0827000000000001E-2</v>
      </c>
      <c r="S36">
        <v>7.6567999999999997E-2</v>
      </c>
      <c r="T36">
        <v>8.2784999999999997E-2</v>
      </c>
      <c r="U36">
        <v>8.9194999999999997E-2</v>
      </c>
      <c r="V36">
        <v>9.5802999999999999E-2</v>
      </c>
      <c r="W36">
        <v>0.102856</v>
      </c>
      <c r="X36">
        <v>0.110317</v>
      </c>
      <c r="Y36">
        <v>0.11816400000000001</v>
      </c>
      <c r="Z36">
        <v>0.12664400000000001</v>
      </c>
      <c r="AA36">
        <v>0.13560700000000001</v>
      </c>
      <c r="AB36">
        <v>0.145236</v>
      </c>
      <c r="AC36">
        <v>0.154893</v>
      </c>
      <c r="AD36">
        <v>0.16506599999999999</v>
      </c>
      <c r="AE36">
        <v>0.17541899999999999</v>
      </c>
      <c r="AF36">
        <v>0.18614</v>
      </c>
      <c r="AG36">
        <v>0.19764200000000001</v>
      </c>
      <c r="AH36">
        <v>0.21002999999999999</v>
      </c>
      <c r="AI36">
        <v>0.223412</v>
      </c>
      <c r="AJ36" s="32">
        <v>0.14499999999999999</v>
      </c>
    </row>
    <row r="37" spans="1:36" ht="12.9" x14ac:dyDescent="0.15">
      <c r="A37" t="s">
        <v>421</v>
      </c>
      <c r="B37" t="s">
        <v>434</v>
      </c>
      <c r="C37" t="s">
        <v>678</v>
      </c>
      <c r="D37" t="s">
        <v>660</v>
      </c>
      <c r="E37">
        <v>3.6250000000000002E-3</v>
      </c>
      <c r="F37">
        <v>7.7190000000000002E-3</v>
      </c>
      <c r="G37">
        <v>1.2674E-2</v>
      </c>
      <c r="H37">
        <v>1.7787000000000001E-2</v>
      </c>
      <c r="I37">
        <v>2.3037999999999999E-2</v>
      </c>
      <c r="J37">
        <v>2.8303999999999999E-2</v>
      </c>
      <c r="K37">
        <v>3.3230000000000003E-2</v>
      </c>
      <c r="L37">
        <v>3.7817999999999997E-2</v>
      </c>
      <c r="M37">
        <v>4.2333000000000003E-2</v>
      </c>
      <c r="N37">
        <v>4.6869000000000001E-2</v>
      </c>
      <c r="O37">
        <v>5.1554000000000003E-2</v>
      </c>
      <c r="P37">
        <v>5.6387E-2</v>
      </c>
      <c r="Q37">
        <v>6.1419000000000001E-2</v>
      </c>
      <c r="R37">
        <v>6.6516000000000006E-2</v>
      </c>
      <c r="S37">
        <v>7.1906999999999999E-2</v>
      </c>
      <c r="T37">
        <v>7.7745999999999996E-2</v>
      </c>
      <c r="U37">
        <v>8.3765999999999993E-2</v>
      </c>
      <c r="V37">
        <v>8.9970999999999995E-2</v>
      </c>
      <c r="W37">
        <v>9.6595E-2</v>
      </c>
      <c r="X37">
        <v>0.103602</v>
      </c>
      <c r="Y37">
        <v>0.110972</v>
      </c>
      <c r="Z37">
        <v>0.118936</v>
      </c>
      <c r="AA37">
        <v>0.12735299999999999</v>
      </c>
      <c r="AB37">
        <v>0.13639599999999999</v>
      </c>
      <c r="AC37">
        <v>0.14546500000000001</v>
      </c>
      <c r="AD37">
        <v>0.15501799999999999</v>
      </c>
      <c r="AE37">
        <v>0.164742</v>
      </c>
      <c r="AF37">
        <v>0.17480999999999999</v>
      </c>
      <c r="AG37">
        <v>0.185612</v>
      </c>
      <c r="AH37">
        <v>0.197246</v>
      </c>
      <c r="AI37">
        <v>0.209813</v>
      </c>
      <c r="AJ37" s="32">
        <v>0.14499999999999999</v>
      </c>
    </row>
    <row r="38" spans="1:36" ht="12.9" x14ac:dyDescent="0.15">
      <c r="A38" t="s">
        <v>300</v>
      </c>
      <c r="B38" t="s">
        <v>435</v>
      </c>
      <c r="C38" t="s">
        <v>679</v>
      </c>
      <c r="D38" t="s">
        <v>660</v>
      </c>
      <c r="E38">
        <v>5.9309999999999996E-3</v>
      </c>
      <c r="F38">
        <v>1.2626999999999999E-2</v>
      </c>
      <c r="G38">
        <v>2.0733000000000001E-2</v>
      </c>
      <c r="H38">
        <v>2.9097000000000001E-2</v>
      </c>
      <c r="I38">
        <v>3.7686999999999998E-2</v>
      </c>
      <c r="J38">
        <v>4.6300000000000001E-2</v>
      </c>
      <c r="K38">
        <v>5.4358999999999998E-2</v>
      </c>
      <c r="L38">
        <v>6.1865000000000003E-2</v>
      </c>
      <c r="M38">
        <v>6.9250000000000006E-2</v>
      </c>
      <c r="N38">
        <v>7.6671000000000003E-2</v>
      </c>
      <c r="O38">
        <v>8.4334999999999993E-2</v>
      </c>
      <c r="P38">
        <v>9.2241000000000004E-2</v>
      </c>
      <c r="Q38">
        <v>0.10047200000000001</v>
      </c>
      <c r="R38">
        <v>0.10881</v>
      </c>
      <c r="S38">
        <v>0.117629</v>
      </c>
      <c r="T38">
        <v>0.12717999999999999</v>
      </c>
      <c r="U38">
        <v>0.13702900000000001</v>
      </c>
      <c r="V38">
        <v>0.147179</v>
      </c>
      <c r="W38">
        <v>0.15801499999999999</v>
      </c>
      <c r="X38">
        <v>0.16947699999999999</v>
      </c>
      <c r="Y38">
        <v>0.181532</v>
      </c>
      <c r="Z38">
        <v>0.19456100000000001</v>
      </c>
      <c r="AA38">
        <v>0.20832999999999999</v>
      </c>
      <c r="AB38">
        <v>0.22312299999999999</v>
      </c>
      <c r="AC38">
        <v>0.237958</v>
      </c>
      <c r="AD38">
        <v>0.25358599999999998</v>
      </c>
      <c r="AE38">
        <v>0.26949200000000001</v>
      </c>
      <c r="AF38">
        <v>0.28596199999999999</v>
      </c>
      <c r="AG38">
        <v>0.30363299999999999</v>
      </c>
      <c r="AH38">
        <v>0.32266400000000001</v>
      </c>
      <c r="AI38">
        <v>0.34322200000000003</v>
      </c>
      <c r="AJ38" s="32">
        <v>0.14499999999999999</v>
      </c>
    </row>
    <row r="39" spans="1:36" ht="12.9" x14ac:dyDescent="0.15">
      <c r="A39" t="s">
        <v>436</v>
      </c>
      <c r="B39" t="s">
        <v>437</v>
      </c>
      <c r="C39" t="s">
        <v>680</v>
      </c>
      <c r="D39" t="s">
        <v>660</v>
      </c>
      <c r="E39">
        <v>51.540877999999999</v>
      </c>
      <c r="F39">
        <v>52.831715000000003</v>
      </c>
      <c r="G39">
        <v>54.758040999999999</v>
      </c>
      <c r="H39">
        <v>55.932628999999999</v>
      </c>
      <c r="I39">
        <v>57.350430000000003</v>
      </c>
      <c r="J39">
        <v>58.815109</v>
      </c>
      <c r="K39">
        <v>59.933838000000002</v>
      </c>
      <c r="L39">
        <v>60.935946999999999</v>
      </c>
      <c r="M39">
        <v>62.050060000000002</v>
      </c>
      <c r="N39">
        <v>63.214333000000003</v>
      </c>
      <c r="O39">
        <v>64.541161000000002</v>
      </c>
      <c r="P39">
        <v>65.944243999999998</v>
      </c>
      <c r="Q39">
        <v>67.470680000000002</v>
      </c>
      <c r="R39">
        <v>68.894958000000003</v>
      </c>
      <c r="S39">
        <v>70.468140000000005</v>
      </c>
      <c r="T39">
        <v>72.304412999999997</v>
      </c>
      <c r="U39">
        <v>74.11515</v>
      </c>
      <c r="V39">
        <v>75.951415999999995</v>
      </c>
      <c r="W39">
        <v>77.906181000000004</v>
      </c>
      <c r="X39">
        <v>80.080230999999998</v>
      </c>
      <c r="Y39">
        <v>82.249786</v>
      </c>
      <c r="Z39">
        <v>84.627112999999994</v>
      </c>
      <c r="AA39">
        <v>87.123671999999999</v>
      </c>
      <c r="AB39">
        <v>89.885834000000003</v>
      </c>
      <c r="AC39">
        <v>92.497275999999999</v>
      </c>
      <c r="AD39">
        <v>95.200439000000003</v>
      </c>
      <c r="AE39">
        <v>97.767455999999996</v>
      </c>
      <c r="AF39">
        <v>100.33699799999999</v>
      </c>
      <c r="AG39">
        <v>103.095596</v>
      </c>
      <c r="AH39">
        <v>106.039688</v>
      </c>
      <c r="AI39">
        <v>109.19001799999999</v>
      </c>
      <c r="AJ39" s="32">
        <v>2.5000000000000001E-2</v>
      </c>
    </row>
    <row r="40" spans="1:36" ht="12.9" x14ac:dyDescent="0.15">
      <c r="A40" t="s">
        <v>438</v>
      </c>
      <c r="C40" t="s">
        <v>681</v>
      </c>
    </row>
    <row r="41" spans="1:36" ht="12.9" x14ac:dyDescent="0.15">
      <c r="A41" t="s">
        <v>408</v>
      </c>
      <c r="B41" t="s">
        <v>439</v>
      </c>
      <c r="C41" t="s">
        <v>682</v>
      </c>
      <c r="D41" t="s">
        <v>660</v>
      </c>
      <c r="E41">
        <v>160.74234000000001</v>
      </c>
      <c r="F41">
        <v>164.693558</v>
      </c>
      <c r="G41">
        <v>170.25006099999999</v>
      </c>
      <c r="H41">
        <v>173.45579499999999</v>
      </c>
      <c r="I41">
        <v>177.35992400000001</v>
      </c>
      <c r="J41">
        <v>181.35458399999999</v>
      </c>
      <c r="K41">
        <v>183.780869</v>
      </c>
      <c r="L41">
        <v>185.086884</v>
      </c>
      <c r="M41">
        <v>185.88377399999999</v>
      </c>
      <c r="N41">
        <v>186.217941</v>
      </c>
      <c r="O41">
        <v>186.649078</v>
      </c>
      <c r="P41">
        <v>187.107574</v>
      </c>
      <c r="Q41">
        <v>187.66241500000001</v>
      </c>
      <c r="R41">
        <v>187.99203499999999</v>
      </c>
      <c r="S41">
        <v>188.75500500000001</v>
      </c>
      <c r="T41">
        <v>190.17984000000001</v>
      </c>
      <c r="U41">
        <v>191.44442699999999</v>
      </c>
      <c r="V41">
        <v>192.54530299999999</v>
      </c>
      <c r="W41">
        <v>193.78573600000001</v>
      </c>
      <c r="X41">
        <v>195.14408900000001</v>
      </c>
      <c r="Y41">
        <v>196.307739</v>
      </c>
      <c r="Z41">
        <v>197.77810700000001</v>
      </c>
      <c r="AA41">
        <v>199.45315600000001</v>
      </c>
      <c r="AB41">
        <v>201.47020000000001</v>
      </c>
      <c r="AC41">
        <v>202.907623</v>
      </c>
      <c r="AD41">
        <v>204.33074999999999</v>
      </c>
      <c r="AE41">
        <v>205.217896</v>
      </c>
      <c r="AF41">
        <v>205.86509699999999</v>
      </c>
      <c r="AG41">
        <v>206.63888499999999</v>
      </c>
      <c r="AH41">
        <v>207.51411400000001</v>
      </c>
      <c r="AI41">
        <v>208.57772800000001</v>
      </c>
      <c r="AJ41" s="32">
        <v>8.9999999999999993E-3</v>
      </c>
    </row>
    <row r="42" spans="1:36" ht="12.9" x14ac:dyDescent="0.15">
      <c r="A42" t="s">
        <v>410</v>
      </c>
      <c r="B42" t="s">
        <v>440</v>
      </c>
      <c r="C42" t="s">
        <v>683</v>
      </c>
      <c r="D42" t="s">
        <v>660</v>
      </c>
      <c r="E42">
        <v>0.16367399999999999</v>
      </c>
      <c r="F42">
        <v>0.14941399999999999</v>
      </c>
      <c r="G42">
        <v>0.13748099999999999</v>
      </c>
      <c r="H42">
        <v>0.12559699999999999</v>
      </c>
      <c r="I42">
        <v>0.11618100000000001</v>
      </c>
      <c r="J42">
        <v>0.108125</v>
      </c>
      <c r="K42">
        <v>0.101701</v>
      </c>
      <c r="L42">
        <v>9.7096000000000002E-2</v>
      </c>
      <c r="M42">
        <v>9.3618000000000007E-2</v>
      </c>
      <c r="N42">
        <v>9.0825000000000003E-2</v>
      </c>
      <c r="O42">
        <v>8.9443999999999996E-2</v>
      </c>
      <c r="P42">
        <v>8.8321999999999998E-2</v>
      </c>
      <c r="Q42">
        <v>8.7162000000000003E-2</v>
      </c>
      <c r="R42">
        <v>8.6112999999999995E-2</v>
      </c>
      <c r="S42">
        <v>8.5427000000000003E-2</v>
      </c>
      <c r="T42">
        <v>8.5232000000000002E-2</v>
      </c>
      <c r="U42">
        <v>8.4828000000000001E-2</v>
      </c>
      <c r="V42">
        <v>8.4626999999999994E-2</v>
      </c>
      <c r="W42">
        <v>8.4641999999999995E-2</v>
      </c>
      <c r="X42">
        <v>8.4828000000000001E-2</v>
      </c>
      <c r="Y42">
        <v>8.4857000000000002E-2</v>
      </c>
      <c r="Z42">
        <v>8.5285E-2</v>
      </c>
      <c r="AA42">
        <v>8.5616999999999999E-2</v>
      </c>
      <c r="AB42">
        <v>8.6119000000000001E-2</v>
      </c>
      <c r="AC42">
        <v>8.6636000000000005E-2</v>
      </c>
      <c r="AD42">
        <v>8.7335999999999997E-2</v>
      </c>
      <c r="AE42">
        <v>8.7975999999999999E-2</v>
      </c>
      <c r="AF42">
        <v>8.8678999999999994E-2</v>
      </c>
      <c r="AG42">
        <v>8.9556999999999998E-2</v>
      </c>
      <c r="AH42">
        <v>9.0484999999999996E-2</v>
      </c>
      <c r="AI42">
        <v>9.1512999999999997E-2</v>
      </c>
      <c r="AJ42" s="32">
        <v>-1.9E-2</v>
      </c>
    </row>
    <row r="43" spans="1:36" ht="12.9" x14ac:dyDescent="0.15">
      <c r="A43" t="s">
        <v>412</v>
      </c>
      <c r="B43" t="s">
        <v>441</v>
      </c>
      <c r="C43" t="s">
        <v>684</v>
      </c>
      <c r="D43" t="s">
        <v>660</v>
      </c>
      <c r="E43">
        <v>3.3450000000000001E-2</v>
      </c>
      <c r="F43">
        <v>3.7316000000000002E-2</v>
      </c>
      <c r="G43">
        <v>4.1474999999999998E-2</v>
      </c>
      <c r="H43">
        <v>4.4704000000000001E-2</v>
      </c>
      <c r="I43">
        <v>4.7662999999999997E-2</v>
      </c>
      <c r="J43">
        <v>5.0243000000000003E-2</v>
      </c>
      <c r="K43">
        <v>5.2096999999999997E-2</v>
      </c>
      <c r="L43">
        <v>5.3384000000000001E-2</v>
      </c>
      <c r="M43">
        <v>5.4332999999999999E-2</v>
      </c>
      <c r="N43">
        <v>5.4955999999999998E-2</v>
      </c>
      <c r="O43">
        <v>5.5497999999999999E-2</v>
      </c>
      <c r="P43">
        <v>5.5923E-2</v>
      </c>
      <c r="Q43">
        <v>5.6269E-2</v>
      </c>
      <c r="R43">
        <v>5.6578999999999997E-2</v>
      </c>
      <c r="S43">
        <v>5.7103000000000001E-2</v>
      </c>
      <c r="T43">
        <v>5.7867000000000002E-2</v>
      </c>
      <c r="U43">
        <v>5.8554000000000002E-2</v>
      </c>
      <c r="V43">
        <v>5.9261000000000001E-2</v>
      </c>
      <c r="W43">
        <v>6.012E-2</v>
      </c>
      <c r="X43">
        <v>6.1075999999999998E-2</v>
      </c>
      <c r="Y43">
        <v>6.2068999999999999E-2</v>
      </c>
      <c r="Z43">
        <v>6.3270999999999994E-2</v>
      </c>
      <c r="AA43">
        <v>6.4588999999999994E-2</v>
      </c>
      <c r="AB43">
        <v>6.6087000000000007E-2</v>
      </c>
      <c r="AC43">
        <v>6.7456000000000002E-2</v>
      </c>
      <c r="AD43">
        <v>6.8887000000000004E-2</v>
      </c>
      <c r="AE43">
        <v>7.0239999999999997E-2</v>
      </c>
      <c r="AF43">
        <v>7.1601999999999999E-2</v>
      </c>
      <c r="AG43">
        <v>7.3094000000000006E-2</v>
      </c>
      <c r="AH43">
        <v>7.4689000000000005E-2</v>
      </c>
      <c r="AI43">
        <v>7.6420000000000002E-2</v>
      </c>
      <c r="AJ43" s="32">
        <v>2.8000000000000001E-2</v>
      </c>
    </row>
    <row r="44" spans="1:36" ht="12.9" x14ac:dyDescent="0.15">
      <c r="A44" t="s">
        <v>414</v>
      </c>
      <c r="B44" t="s">
        <v>442</v>
      </c>
      <c r="C44" t="s">
        <v>685</v>
      </c>
      <c r="D44" t="s">
        <v>660</v>
      </c>
      <c r="E44">
        <v>1.935392</v>
      </c>
      <c r="F44">
        <v>2.0080930000000001</v>
      </c>
      <c r="G44">
        <v>2.077585</v>
      </c>
      <c r="H44">
        <v>2.0947990000000001</v>
      </c>
      <c r="I44">
        <v>2.0994199999999998</v>
      </c>
      <c r="J44">
        <v>2.0933250000000001</v>
      </c>
      <c r="K44">
        <v>2.0664760000000002</v>
      </c>
      <c r="L44">
        <v>2.0307599999999999</v>
      </c>
      <c r="M44">
        <v>1.9947900000000001</v>
      </c>
      <c r="N44">
        <v>1.9591369999999999</v>
      </c>
      <c r="O44">
        <v>1.930417</v>
      </c>
      <c r="P44">
        <v>1.9092359999999999</v>
      </c>
      <c r="Q44">
        <v>1.900709</v>
      </c>
      <c r="R44">
        <v>1.904166</v>
      </c>
      <c r="S44">
        <v>1.9262550000000001</v>
      </c>
      <c r="T44">
        <v>1.9688399999999999</v>
      </c>
      <c r="U44">
        <v>2.021522</v>
      </c>
      <c r="V44">
        <v>2.085245</v>
      </c>
      <c r="W44">
        <v>2.161508</v>
      </c>
      <c r="X44">
        <v>2.2523930000000001</v>
      </c>
      <c r="Y44">
        <v>2.3585590000000001</v>
      </c>
      <c r="Z44">
        <v>2.486901</v>
      </c>
      <c r="AA44">
        <v>2.6355900000000001</v>
      </c>
      <c r="AB44">
        <v>2.8080120000000002</v>
      </c>
      <c r="AC44">
        <v>2.9925440000000001</v>
      </c>
      <c r="AD44">
        <v>3.2017600000000002</v>
      </c>
      <c r="AE44">
        <v>3.42943</v>
      </c>
      <c r="AF44">
        <v>3.6783540000000001</v>
      </c>
      <c r="AG44">
        <v>3.954189</v>
      </c>
      <c r="AH44">
        <v>4.2648529999999996</v>
      </c>
      <c r="AI44">
        <v>4.6132759999999999</v>
      </c>
      <c r="AJ44" s="32">
        <v>2.9000000000000001E-2</v>
      </c>
    </row>
    <row r="45" spans="1:36" ht="12.9" x14ac:dyDescent="0.15">
      <c r="A45" t="s">
        <v>416</v>
      </c>
      <c r="B45" t="s">
        <v>443</v>
      </c>
      <c r="C45" t="s">
        <v>686</v>
      </c>
      <c r="D45" t="s">
        <v>660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23</v>
      </c>
    </row>
    <row r="46" spans="1:36" ht="12.9" x14ac:dyDescent="0.15">
      <c r="A46" t="s">
        <v>288</v>
      </c>
      <c r="B46" t="s">
        <v>444</v>
      </c>
      <c r="C46" t="s">
        <v>687</v>
      </c>
      <c r="D46" t="s">
        <v>660</v>
      </c>
      <c r="E46">
        <v>1.15E-3</v>
      </c>
      <c r="F46">
        <v>2.3010000000000001E-3</v>
      </c>
      <c r="G46">
        <v>3.689E-3</v>
      </c>
      <c r="H46">
        <v>5.1339999999999997E-3</v>
      </c>
      <c r="I46">
        <v>6.6420000000000003E-3</v>
      </c>
      <c r="J46">
        <v>8.1779999999999995E-3</v>
      </c>
      <c r="K46">
        <v>9.6419999999999995E-3</v>
      </c>
      <c r="L46">
        <v>1.1039E-2</v>
      </c>
      <c r="M46">
        <v>1.2421E-2</v>
      </c>
      <c r="N46">
        <v>1.379E-2</v>
      </c>
      <c r="O46">
        <v>1.5162999999999999E-2</v>
      </c>
      <c r="P46">
        <v>1.6513E-2</v>
      </c>
      <c r="Q46">
        <v>1.7829000000000001E-2</v>
      </c>
      <c r="R46">
        <v>1.9057999999999999E-2</v>
      </c>
      <c r="S46">
        <v>2.0261999999999999E-2</v>
      </c>
      <c r="T46">
        <v>2.1472000000000002E-2</v>
      </c>
      <c r="U46">
        <v>2.2612E-2</v>
      </c>
      <c r="V46">
        <v>2.3708E-2</v>
      </c>
      <c r="W46">
        <v>2.4840999999999998E-2</v>
      </c>
      <c r="X46">
        <v>2.6009999999999998E-2</v>
      </c>
      <c r="Y46">
        <v>2.7150000000000001E-2</v>
      </c>
      <c r="Z46">
        <v>2.8354000000000001E-2</v>
      </c>
      <c r="AA46">
        <v>2.9631000000000001E-2</v>
      </c>
      <c r="AB46">
        <v>3.0995999999999999E-2</v>
      </c>
      <c r="AC46">
        <v>3.2318E-2</v>
      </c>
      <c r="AD46">
        <v>3.3686000000000001E-2</v>
      </c>
      <c r="AE46">
        <v>3.5028999999999998E-2</v>
      </c>
      <c r="AF46">
        <v>3.6401000000000003E-2</v>
      </c>
      <c r="AG46">
        <v>3.7858999999999997E-2</v>
      </c>
      <c r="AH46">
        <v>3.9392000000000003E-2</v>
      </c>
      <c r="AI46">
        <v>4.1021000000000002E-2</v>
      </c>
      <c r="AJ46" s="32">
        <v>0.127</v>
      </c>
    </row>
    <row r="47" spans="1:36" ht="12.9" x14ac:dyDescent="0.15">
      <c r="A47" t="s">
        <v>419</v>
      </c>
      <c r="B47" t="s">
        <v>445</v>
      </c>
      <c r="C47" t="s">
        <v>688</v>
      </c>
      <c r="D47" t="s">
        <v>660</v>
      </c>
      <c r="E47">
        <v>2.284E-3</v>
      </c>
      <c r="F47">
        <v>3.9769999999999996E-3</v>
      </c>
      <c r="G47">
        <v>6.0419999999999996E-3</v>
      </c>
      <c r="H47">
        <v>8.1840000000000003E-3</v>
      </c>
      <c r="I47">
        <v>1.0418E-2</v>
      </c>
      <c r="J47">
        <v>1.2688E-2</v>
      </c>
      <c r="K47">
        <v>1.4844E-2</v>
      </c>
      <c r="L47">
        <v>1.6896999999999999E-2</v>
      </c>
      <c r="M47">
        <v>1.8922000000000001E-2</v>
      </c>
      <c r="N47">
        <v>2.0923000000000001E-2</v>
      </c>
      <c r="O47">
        <v>2.2925000000000001E-2</v>
      </c>
      <c r="P47">
        <v>2.4889000000000001E-2</v>
      </c>
      <c r="Q47">
        <v>2.6797000000000001E-2</v>
      </c>
      <c r="R47">
        <v>2.8576000000000001E-2</v>
      </c>
      <c r="S47">
        <v>3.0318000000000001E-2</v>
      </c>
      <c r="T47">
        <v>3.2076E-2</v>
      </c>
      <c r="U47">
        <v>3.3746999999999999E-2</v>
      </c>
      <c r="V47">
        <v>3.5371E-2</v>
      </c>
      <c r="W47">
        <v>3.7024000000000001E-2</v>
      </c>
      <c r="X47">
        <v>3.8717000000000001E-2</v>
      </c>
      <c r="Y47">
        <v>4.0389000000000001E-2</v>
      </c>
      <c r="Z47">
        <v>4.2192E-2</v>
      </c>
      <c r="AA47">
        <v>4.4082000000000003E-2</v>
      </c>
      <c r="AB47">
        <v>4.6103999999999999E-2</v>
      </c>
      <c r="AC47">
        <v>4.8059999999999999E-2</v>
      </c>
      <c r="AD47">
        <v>5.0085999999999999E-2</v>
      </c>
      <c r="AE47">
        <v>5.2075000000000003E-2</v>
      </c>
      <c r="AF47">
        <v>5.4107000000000002E-2</v>
      </c>
      <c r="AG47">
        <v>5.6265999999999997E-2</v>
      </c>
      <c r="AH47">
        <v>5.8538E-2</v>
      </c>
      <c r="AI47">
        <v>6.0951999999999999E-2</v>
      </c>
      <c r="AJ47" s="32">
        <v>0.11600000000000001</v>
      </c>
    </row>
    <row r="48" spans="1:36" ht="12.9" x14ac:dyDescent="0.15">
      <c r="A48" t="s">
        <v>421</v>
      </c>
      <c r="B48" t="s">
        <v>446</v>
      </c>
      <c r="C48" t="s">
        <v>689</v>
      </c>
      <c r="D48" t="s">
        <v>660</v>
      </c>
      <c r="E48">
        <v>2.5300000000000001E-3</v>
      </c>
      <c r="F48">
        <v>4.3959999999999997E-3</v>
      </c>
      <c r="G48">
        <v>6.672E-3</v>
      </c>
      <c r="H48">
        <v>9.0340000000000004E-3</v>
      </c>
      <c r="I48">
        <v>1.1495999999999999E-2</v>
      </c>
      <c r="J48">
        <v>1.3998E-2</v>
      </c>
      <c r="K48">
        <v>1.6375000000000001E-2</v>
      </c>
      <c r="L48">
        <v>1.8637000000000001E-2</v>
      </c>
      <c r="M48">
        <v>2.0868999999999999E-2</v>
      </c>
      <c r="N48">
        <v>2.3074000000000001E-2</v>
      </c>
      <c r="O48">
        <v>2.528E-2</v>
      </c>
      <c r="P48">
        <v>2.7442999999999999E-2</v>
      </c>
      <c r="Q48">
        <v>2.9545999999999999E-2</v>
      </c>
      <c r="R48">
        <v>3.1505999999999999E-2</v>
      </c>
      <c r="S48">
        <v>3.3425999999999997E-2</v>
      </c>
      <c r="T48">
        <v>3.5362999999999999E-2</v>
      </c>
      <c r="U48">
        <v>3.7204000000000001E-2</v>
      </c>
      <c r="V48">
        <v>3.8995000000000002E-2</v>
      </c>
      <c r="W48">
        <v>4.0815999999999998E-2</v>
      </c>
      <c r="X48">
        <v>4.2680999999999997E-2</v>
      </c>
      <c r="Y48">
        <v>4.4525000000000002E-2</v>
      </c>
      <c r="Z48">
        <v>4.6511999999999998E-2</v>
      </c>
      <c r="AA48">
        <v>4.8594999999999999E-2</v>
      </c>
      <c r="AB48">
        <v>5.0824000000000001E-2</v>
      </c>
      <c r="AC48">
        <v>5.2979999999999999E-2</v>
      </c>
      <c r="AD48">
        <v>5.5213999999999999E-2</v>
      </c>
      <c r="AE48">
        <v>5.7405999999999999E-2</v>
      </c>
      <c r="AF48">
        <v>5.9645999999999998E-2</v>
      </c>
      <c r="AG48">
        <v>6.2025999999999998E-2</v>
      </c>
      <c r="AH48">
        <v>6.4530000000000004E-2</v>
      </c>
      <c r="AI48">
        <v>6.7191000000000001E-2</v>
      </c>
      <c r="AJ48" s="32">
        <v>0.11600000000000001</v>
      </c>
    </row>
    <row r="49" spans="1:36" ht="12.9" x14ac:dyDescent="0.15">
      <c r="A49" t="s">
        <v>300</v>
      </c>
      <c r="B49" t="s">
        <v>447</v>
      </c>
      <c r="C49" t="s">
        <v>690</v>
      </c>
      <c r="D49" t="s">
        <v>660</v>
      </c>
      <c r="E49">
        <v>2.8630000000000001E-3</v>
      </c>
      <c r="F49">
        <v>5.1510000000000002E-3</v>
      </c>
      <c r="G49">
        <v>7.9419999999999994E-3</v>
      </c>
      <c r="H49">
        <v>1.0843E-2</v>
      </c>
      <c r="I49">
        <v>1.3868999999999999E-2</v>
      </c>
      <c r="J49">
        <v>1.6945999999999999E-2</v>
      </c>
      <c r="K49">
        <v>1.9872999999999998E-2</v>
      </c>
      <c r="L49">
        <v>2.266E-2</v>
      </c>
      <c r="M49">
        <v>2.5413000000000002E-2</v>
      </c>
      <c r="N49">
        <v>2.8133999999999999E-2</v>
      </c>
      <c r="O49">
        <v>3.0856999999999999E-2</v>
      </c>
      <c r="P49">
        <v>3.3530999999999998E-2</v>
      </c>
      <c r="Q49">
        <v>3.6129000000000001E-2</v>
      </c>
      <c r="R49">
        <v>3.8554999999999999E-2</v>
      </c>
      <c r="S49">
        <v>4.0927999999999999E-2</v>
      </c>
      <c r="T49">
        <v>4.3319000000000003E-2</v>
      </c>
      <c r="U49">
        <v>4.5588999999999998E-2</v>
      </c>
      <c r="V49">
        <v>4.7791E-2</v>
      </c>
      <c r="W49">
        <v>5.0037999999999999E-2</v>
      </c>
      <c r="X49">
        <v>5.2339999999999998E-2</v>
      </c>
      <c r="Y49">
        <v>5.4609999999999999E-2</v>
      </c>
      <c r="Z49">
        <v>5.7045999999999999E-2</v>
      </c>
      <c r="AA49">
        <v>5.9604999999999998E-2</v>
      </c>
      <c r="AB49">
        <v>6.2343000000000003E-2</v>
      </c>
      <c r="AC49">
        <v>6.4991999999999994E-2</v>
      </c>
      <c r="AD49">
        <v>6.7735000000000004E-2</v>
      </c>
      <c r="AE49">
        <v>7.0427000000000003E-2</v>
      </c>
      <c r="AF49">
        <v>7.3178999999999994E-2</v>
      </c>
      <c r="AG49">
        <v>7.6103000000000004E-2</v>
      </c>
      <c r="AH49">
        <v>7.9177999999999998E-2</v>
      </c>
      <c r="AI49">
        <v>8.2445000000000004E-2</v>
      </c>
      <c r="AJ49" s="32">
        <v>0.11899999999999999</v>
      </c>
    </row>
    <row r="50" spans="1:36" ht="12.9" x14ac:dyDescent="0.15">
      <c r="A50" t="s">
        <v>448</v>
      </c>
      <c r="B50" t="s">
        <v>449</v>
      </c>
      <c r="C50" t="s">
        <v>691</v>
      </c>
      <c r="D50" t="s">
        <v>660</v>
      </c>
      <c r="E50">
        <v>162.88360599999999</v>
      </c>
      <c r="F50">
        <v>166.903976</v>
      </c>
      <c r="G50">
        <v>172.531082</v>
      </c>
      <c r="H50">
        <v>175.754074</v>
      </c>
      <c r="I50">
        <v>179.66537500000001</v>
      </c>
      <c r="J50">
        <v>183.657791</v>
      </c>
      <c r="K50">
        <v>186.06140099999999</v>
      </c>
      <c r="L50">
        <v>187.337219</v>
      </c>
      <c r="M50">
        <v>188.103577</v>
      </c>
      <c r="N50">
        <v>188.40834000000001</v>
      </c>
      <c r="O50">
        <v>188.81806900000001</v>
      </c>
      <c r="P50">
        <v>189.26286300000001</v>
      </c>
      <c r="Q50">
        <v>189.81662</v>
      </c>
      <c r="R50">
        <v>190.15570099999999</v>
      </c>
      <c r="S50">
        <v>190.94825700000001</v>
      </c>
      <c r="T50">
        <v>192.42334</v>
      </c>
      <c r="U50">
        <v>193.74783300000001</v>
      </c>
      <c r="V50">
        <v>194.91963200000001</v>
      </c>
      <c r="W50">
        <v>196.24423200000001</v>
      </c>
      <c r="X50">
        <v>197.702179</v>
      </c>
      <c r="Y50">
        <v>198.97949199999999</v>
      </c>
      <c r="Z50">
        <v>200.58725000000001</v>
      </c>
      <c r="AA50">
        <v>202.420151</v>
      </c>
      <c r="AB50">
        <v>204.620316</v>
      </c>
      <c r="AC50">
        <v>206.25250199999999</v>
      </c>
      <c r="AD50">
        <v>207.89480599999999</v>
      </c>
      <c r="AE50">
        <v>209.01950099999999</v>
      </c>
      <c r="AF50">
        <v>209.92610199999999</v>
      </c>
      <c r="AG50">
        <v>210.987549</v>
      </c>
      <c r="AH50">
        <v>212.185318</v>
      </c>
      <c r="AI50">
        <v>213.61003099999999</v>
      </c>
      <c r="AJ50" s="32">
        <v>8.9999999999999993E-3</v>
      </c>
    </row>
    <row r="51" spans="1:36" ht="12.9" x14ac:dyDescent="0.15">
      <c r="A51" t="s">
        <v>450</v>
      </c>
      <c r="B51" t="s">
        <v>451</v>
      </c>
      <c r="C51" t="s">
        <v>692</v>
      </c>
      <c r="D51" t="s">
        <v>660</v>
      </c>
      <c r="E51">
        <v>274.54852299999999</v>
      </c>
      <c r="F51">
        <v>282.814301</v>
      </c>
      <c r="G51">
        <v>293.312073</v>
      </c>
      <c r="H51">
        <v>299.26715100000001</v>
      </c>
      <c r="I51">
        <v>306.24047899999999</v>
      </c>
      <c r="J51">
        <v>313.39068600000002</v>
      </c>
      <c r="K51">
        <v>318.203217</v>
      </c>
      <c r="L51">
        <v>321.866241</v>
      </c>
      <c r="M51">
        <v>325.49926799999997</v>
      </c>
      <c r="N51">
        <v>328.91821299999998</v>
      </c>
      <c r="O51">
        <v>332.877411</v>
      </c>
      <c r="P51">
        <v>337.04809599999999</v>
      </c>
      <c r="Q51">
        <v>341.41857900000002</v>
      </c>
      <c r="R51">
        <v>345.24200400000001</v>
      </c>
      <c r="S51">
        <v>349.75079299999999</v>
      </c>
      <c r="T51">
        <v>355.34707600000002</v>
      </c>
      <c r="U51">
        <v>360.47274800000002</v>
      </c>
      <c r="V51">
        <v>365.30658</v>
      </c>
      <c r="W51">
        <v>370.46896400000003</v>
      </c>
      <c r="X51">
        <v>375.98138399999999</v>
      </c>
      <c r="Y51">
        <v>381.016144</v>
      </c>
      <c r="Z51">
        <v>386.70742799999999</v>
      </c>
      <c r="AA51">
        <v>392.79382299999997</v>
      </c>
      <c r="AB51">
        <v>399.70004299999999</v>
      </c>
      <c r="AC51">
        <v>405.647491</v>
      </c>
      <c r="AD51">
        <v>411.79632600000002</v>
      </c>
      <c r="AE51">
        <v>417.06875600000001</v>
      </c>
      <c r="AF51">
        <v>422.227417</v>
      </c>
      <c r="AG51">
        <v>428.00329599999998</v>
      </c>
      <c r="AH51">
        <v>434.116241</v>
      </c>
      <c r="AI51">
        <v>440.78909299999998</v>
      </c>
      <c r="AJ51" s="32">
        <v>1.6E-2</v>
      </c>
    </row>
    <row r="52" spans="1:36" ht="12.9" x14ac:dyDescent="0.15">
      <c r="A52" t="s">
        <v>452</v>
      </c>
      <c r="C52" t="s">
        <v>693</v>
      </c>
    </row>
    <row r="53" spans="1:36" ht="12.9" x14ac:dyDescent="0.15">
      <c r="A53" t="s">
        <v>407</v>
      </c>
      <c r="C53" t="s">
        <v>694</v>
      </c>
    </row>
    <row r="54" spans="1:36" ht="12.9" x14ac:dyDescent="0.15">
      <c r="A54" t="s">
        <v>408</v>
      </c>
      <c r="B54" t="s">
        <v>453</v>
      </c>
      <c r="C54" t="s">
        <v>695</v>
      </c>
      <c r="D54" t="s">
        <v>696</v>
      </c>
      <c r="E54">
        <v>425.514252</v>
      </c>
      <c r="F54">
        <v>440.58371</v>
      </c>
      <c r="G54">
        <v>455.045502</v>
      </c>
      <c r="H54">
        <v>459.36520400000001</v>
      </c>
      <c r="I54">
        <v>463.56277499999999</v>
      </c>
      <c r="J54">
        <v>467.23700000000002</v>
      </c>
      <c r="K54">
        <v>467.36740099999997</v>
      </c>
      <c r="L54">
        <v>467.62799100000001</v>
      </c>
      <c r="M54">
        <v>470.19317599999999</v>
      </c>
      <c r="N54">
        <v>473.72711199999998</v>
      </c>
      <c r="O54">
        <v>479.00006100000002</v>
      </c>
      <c r="P54">
        <v>485.02005000000003</v>
      </c>
      <c r="Q54">
        <v>490.676849</v>
      </c>
      <c r="R54">
        <v>494.77630599999998</v>
      </c>
      <c r="S54">
        <v>499.55972300000002</v>
      </c>
      <c r="T54">
        <v>505.27166699999998</v>
      </c>
      <c r="U54">
        <v>509.22439600000001</v>
      </c>
      <c r="V54">
        <v>512.11676</v>
      </c>
      <c r="W54">
        <v>515.321594</v>
      </c>
      <c r="X54">
        <v>518.63336200000003</v>
      </c>
      <c r="Y54">
        <v>520.38464399999998</v>
      </c>
      <c r="Z54">
        <v>522.54199200000005</v>
      </c>
      <c r="AA54">
        <v>524.75317399999994</v>
      </c>
      <c r="AB54">
        <v>527.86456299999998</v>
      </c>
      <c r="AC54">
        <v>529.69793700000002</v>
      </c>
      <c r="AD54">
        <v>531.86785899999995</v>
      </c>
      <c r="AE54">
        <v>532.77288799999997</v>
      </c>
      <c r="AF54">
        <v>534.08972200000005</v>
      </c>
      <c r="AG54">
        <v>536.65716599999996</v>
      </c>
      <c r="AH54">
        <v>539.11889599999995</v>
      </c>
      <c r="AI54">
        <v>542.01916500000004</v>
      </c>
      <c r="AJ54" s="32">
        <v>8.0000000000000002E-3</v>
      </c>
    </row>
    <row r="55" spans="1:36" ht="12.9" x14ac:dyDescent="0.15">
      <c r="A55" t="s">
        <v>410</v>
      </c>
      <c r="B55" t="s">
        <v>454</v>
      </c>
      <c r="C55" t="s">
        <v>697</v>
      </c>
      <c r="D55" t="s">
        <v>696</v>
      </c>
      <c r="E55">
        <v>147.042542</v>
      </c>
      <c r="F55">
        <v>149.52404799999999</v>
      </c>
      <c r="G55">
        <v>151.48608400000001</v>
      </c>
      <c r="H55">
        <v>150.229477</v>
      </c>
      <c r="I55">
        <v>149.14489699999999</v>
      </c>
      <c r="J55">
        <v>148.344055</v>
      </c>
      <c r="K55">
        <v>147.12764000000001</v>
      </c>
      <c r="L55">
        <v>146.45103499999999</v>
      </c>
      <c r="M55">
        <v>146.826538</v>
      </c>
      <c r="N55">
        <v>147.87545800000001</v>
      </c>
      <c r="O55">
        <v>149.81079099999999</v>
      </c>
      <c r="P55">
        <v>152.039917</v>
      </c>
      <c r="Q55">
        <v>154.64556899999999</v>
      </c>
      <c r="R55">
        <v>157.307999</v>
      </c>
      <c r="S55">
        <v>160.32316599999999</v>
      </c>
      <c r="T55">
        <v>163.718872</v>
      </c>
      <c r="U55">
        <v>166.90434300000001</v>
      </c>
      <c r="V55">
        <v>170.068634</v>
      </c>
      <c r="W55">
        <v>173.46829199999999</v>
      </c>
      <c r="X55">
        <v>176.86972</v>
      </c>
      <c r="Y55">
        <v>179.833527</v>
      </c>
      <c r="Z55">
        <v>183.256058</v>
      </c>
      <c r="AA55">
        <v>186.80432099999999</v>
      </c>
      <c r="AB55">
        <v>190.81556699999999</v>
      </c>
      <c r="AC55">
        <v>194.50808699999999</v>
      </c>
      <c r="AD55">
        <v>198.41192599999999</v>
      </c>
      <c r="AE55">
        <v>201.97335799999999</v>
      </c>
      <c r="AF55">
        <v>205.70529199999999</v>
      </c>
      <c r="AG55">
        <v>209.875427</v>
      </c>
      <c r="AH55">
        <v>213.98112499999999</v>
      </c>
      <c r="AI55">
        <v>218.27652</v>
      </c>
      <c r="AJ55" s="32">
        <v>1.2999999999999999E-2</v>
      </c>
    </row>
    <row r="56" spans="1:36" ht="12.9" x14ac:dyDescent="0.15">
      <c r="A56" t="s">
        <v>412</v>
      </c>
      <c r="B56" t="s">
        <v>455</v>
      </c>
      <c r="C56" t="s">
        <v>698</v>
      </c>
      <c r="D56" t="s">
        <v>696</v>
      </c>
      <c r="E56">
        <v>0.13056999999999999</v>
      </c>
      <c r="F56">
        <v>0.189971</v>
      </c>
      <c r="G56">
        <v>0.25303599999999998</v>
      </c>
      <c r="H56">
        <v>0.311774</v>
      </c>
      <c r="I56">
        <v>0.37073299999999998</v>
      </c>
      <c r="J56">
        <v>0.42914099999999999</v>
      </c>
      <c r="K56">
        <v>0.48283599999999999</v>
      </c>
      <c r="L56">
        <v>0.53454900000000005</v>
      </c>
      <c r="M56">
        <v>0.58898700000000004</v>
      </c>
      <c r="N56">
        <v>0.64524099999999995</v>
      </c>
      <c r="O56">
        <v>0.70328999999999997</v>
      </c>
      <c r="P56">
        <v>0.76344199999999995</v>
      </c>
      <c r="Q56">
        <v>0.82449399999999995</v>
      </c>
      <c r="R56">
        <v>0.88470300000000002</v>
      </c>
      <c r="S56">
        <v>0.94727399999999995</v>
      </c>
      <c r="T56">
        <v>1.013298</v>
      </c>
      <c r="U56">
        <v>1.078138</v>
      </c>
      <c r="V56">
        <v>1.142968</v>
      </c>
      <c r="W56">
        <v>1.211041</v>
      </c>
      <c r="X56">
        <v>1.2814030000000001</v>
      </c>
      <c r="Y56">
        <v>1.348374</v>
      </c>
      <c r="Z56">
        <v>1.4177839999999999</v>
      </c>
      <c r="AA56">
        <v>1.4895160000000001</v>
      </c>
      <c r="AB56">
        <v>1.565205</v>
      </c>
      <c r="AC56">
        <v>1.6390960000000001</v>
      </c>
      <c r="AD56">
        <v>1.7173430000000001</v>
      </c>
      <c r="AE56">
        <v>1.794788</v>
      </c>
      <c r="AF56">
        <v>1.876933</v>
      </c>
      <c r="AG56">
        <v>1.9679009999999999</v>
      </c>
      <c r="AH56">
        <v>2.0634030000000001</v>
      </c>
      <c r="AI56">
        <v>2.16533</v>
      </c>
      <c r="AJ56" s="32">
        <v>9.8000000000000004E-2</v>
      </c>
    </row>
    <row r="57" spans="1:36" ht="12.9" x14ac:dyDescent="0.15">
      <c r="A57" t="s">
        <v>414</v>
      </c>
      <c r="B57" t="s">
        <v>456</v>
      </c>
      <c r="C57" t="s">
        <v>699</v>
      </c>
      <c r="D57" t="s">
        <v>696</v>
      </c>
      <c r="E57">
        <v>7.2439000000000003E-2</v>
      </c>
      <c r="F57">
        <v>0.101301</v>
      </c>
      <c r="G57">
        <v>0.13062799999999999</v>
      </c>
      <c r="H57">
        <v>0.15598200000000001</v>
      </c>
      <c r="I57">
        <v>0.17982699999999999</v>
      </c>
      <c r="J57">
        <v>0.2019</v>
      </c>
      <c r="K57">
        <v>0.22056000000000001</v>
      </c>
      <c r="L57">
        <v>0.23733099999999999</v>
      </c>
      <c r="M57">
        <v>0.25441399999999997</v>
      </c>
      <c r="N57">
        <v>0.27134900000000001</v>
      </c>
      <c r="O57">
        <v>0.28824100000000002</v>
      </c>
      <c r="P57">
        <v>0.30485899999999999</v>
      </c>
      <c r="Q57">
        <v>0.32100000000000001</v>
      </c>
      <c r="R57">
        <v>0.33602700000000002</v>
      </c>
      <c r="S57">
        <v>0.35114099999999998</v>
      </c>
      <c r="T57">
        <v>0.36674299999999999</v>
      </c>
      <c r="U57">
        <v>0.38111800000000001</v>
      </c>
      <c r="V57">
        <v>0.39468300000000001</v>
      </c>
      <c r="W57">
        <v>0.40857300000000002</v>
      </c>
      <c r="X57">
        <v>0.42220400000000002</v>
      </c>
      <c r="Y57">
        <v>0.43360199999999999</v>
      </c>
      <c r="Z57">
        <v>0.44512000000000002</v>
      </c>
      <c r="AA57">
        <v>0.45674199999999998</v>
      </c>
      <c r="AB57">
        <v>0.46905599999999997</v>
      </c>
      <c r="AC57">
        <v>0.48045500000000002</v>
      </c>
      <c r="AD57">
        <v>0.49274600000000002</v>
      </c>
      <c r="AE57">
        <v>0.50465899999999997</v>
      </c>
      <c r="AF57">
        <v>0.51816300000000004</v>
      </c>
      <c r="AG57">
        <v>0.53425400000000001</v>
      </c>
      <c r="AH57">
        <v>0.55186900000000005</v>
      </c>
      <c r="AI57">
        <v>0.57156700000000005</v>
      </c>
      <c r="AJ57" s="32">
        <v>7.0999999999999994E-2</v>
      </c>
    </row>
    <row r="58" spans="1:36" ht="12.9" x14ac:dyDescent="0.15">
      <c r="A58" t="s">
        <v>416</v>
      </c>
      <c r="B58" t="s">
        <v>457</v>
      </c>
      <c r="C58" t="s">
        <v>700</v>
      </c>
      <c r="D58" t="s">
        <v>696</v>
      </c>
      <c r="E58">
        <v>50.220936000000002</v>
      </c>
      <c r="F58">
        <v>54.809902000000001</v>
      </c>
      <c r="G58">
        <v>59.246746000000002</v>
      </c>
      <c r="H58">
        <v>62.290188000000001</v>
      </c>
      <c r="I58">
        <v>65.293396000000001</v>
      </c>
      <c r="J58">
        <v>68.233863999999997</v>
      </c>
      <c r="K58">
        <v>70.857208</v>
      </c>
      <c r="L58">
        <v>73.711028999999996</v>
      </c>
      <c r="M58">
        <v>77.058762000000002</v>
      </c>
      <c r="N58">
        <v>80.782852000000005</v>
      </c>
      <c r="O58">
        <v>84.774192999999997</v>
      </c>
      <c r="P58">
        <v>88.953711999999996</v>
      </c>
      <c r="Q58">
        <v>93.291579999999996</v>
      </c>
      <c r="R58">
        <v>97.603995999999995</v>
      </c>
      <c r="S58">
        <v>102.05886099999999</v>
      </c>
      <c r="T58">
        <v>106.791077</v>
      </c>
      <c r="U58">
        <v>111.35633900000001</v>
      </c>
      <c r="V58">
        <v>116.014099</v>
      </c>
      <c r="W58">
        <v>120.90815000000001</v>
      </c>
      <c r="X58">
        <v>126.061455</v>
      </c>
      <c r="Y58">
        <v>131.14948999999999</v>
      </c>
      <c r="Z58">
        <v>136.878174</v>
      </c>
      <c r="AA58">
        <v>143.241196</v>
      </c>
      <c r="AB58">
        <v>150.219177</v>
      </c>
      <c r="AC58">
        <v>157.17939799999999</v>
      </c>
      <c r="AD58">
        <v>164.68933100000001</v>
      </c>
      <c r="AE58">
        <v>172.22413599999999</v>
      </c>
      <c r="AF58">
        <v>180.238068</v>
      </c>
      <c r="AG58">
        <v>188.953339</v>
      </c>
      <c r="AH58">
        <v>198.01341199999999</v>
      </c>
      <c r="AI58">
        <v>207.539795</v>
      </c>
      <c r="AJ58" s="32">
        <v>4.8000000000000001E-2</v>
      </c>
    </row>
    <row r="59" spans="1:36" ht="12.9" x14ac:dyDescent="0.15">
      <c r="A59" t="s">
        <v>288</v>
      </c>
      <c r="B59" t="s">
        <v>458</v>
      </c>
      <c r="C59" t="s">
        <v>701</v>
      </c>
      <c r="D59" t="s">
        <v>696</v>
      </c>
      <c r="E59">
        <v>2.8212000000000001E-2</v>
      </c>
      <c r="F59">
        <v>5.4613000000000002E-2</v>
      </c>
      <c r="G59">
        <v>8.473E-2</v>
      </c>
      <c r="H59">
        <v>0.11513</v>
      </c>
      <c r="I59">
        <v>0.1469</v>
      </c>
      <c r="J59">
        <v>0.17934700000000001</v>
      </c>
      <c r="K59">
        <v>0.21044399999999999</v>
      </c>
      <c r="L59">
        <v>0.24113999999999999</v>
      </c>
      <c r="M59">
        <v>0.27280900000000002</v>
      </c>
      <c r="N59">
        <v>0.30480800000000002</v>
      </c>
      <c r="O59">
        <v>0.33736699999999997</v>
      </c>
      <c r="P59">
        <v>0.37043199999999998</v>
      </c>
      <c r="Q59">
        <v>0.40381800000000001</v>
      </c>
      <c r="R59">
        <v>0.43660599999999999</v>
      </c>
      <c r="S59">
        <v>0.470582</v>
      </c>
      <c r="T59">
        <v>0.50665099999999996</v>
      </c>
      <c r="U59">
        <v>0.54264699999999999</v>
      </c>
      <c r="V59">
        <v>0.57935899999999996</v>
      </c>
      <c r="W59">
        <v>0.61845000000000006</v>
      </c>
      <c r="X59">
        <v>0.65891100000000002</v>
      </c>
      <c r="Y59">
        <v>0.69881099999999996</v>
      </c>
      <c r="Z59">
        <v>0.74059399999999997</v>
      </c>
      <c r="AA59">
        <v>0.78409099999999998</v>
      </c>
      <c r="AB59">
        <v>0.829372</v>
      </c>
      <c r="AC59">
        <v>0.87310699999999997</v>
      </c>
      <c r="AD59">
        <v>0.91846000000000005</v>
      </c>
      <c r="AE59">
        <v>0.96304000000000001</v>
      </c>
      <c r="AF59">
        <v>1.009612</v>
      </c>
      <c r="AG59">
        <v>1.0601529999999999</v>
      </c>
      <c r="AH59">
        <v>1.1127</v>
      </c>
      <c r="AI59">
        <v>1.168803</v>
      </c>
      <c r="AJ59" s="32">
        <v>0.13200000000000001</v>
      </c>
    </row>
    <row r="60" spans="1:36" ht="12.9" x14ac:dyDescent="0.15">
      <c r="A60" t="s">
        <v>419</v>
      </c>
      <c r="B60" t="s">
        <v>459</v>
      </c>
      <c r="C60" t="s">
        <v>702</v>
      </c>
      <c r="D60" t="s">
        <v>696</v>
      </c>
      <c r="E60">
        <v>2.8601999999999999E-2</v>
      </c>
      <c r="F60">
        <v>6.2156000000000003E-2</v>
      </c>
      <c r="G60">
        <v>0.100355</v>
      </c>
      <c r="H60">
        <v>0.138655</v>
      </c>
      <c r="I60">
        <v>0.17801700000000001</v>
      </c>
      <c r="J60">
        <v>0.21732699999999999</v>
      </c>
      <c r="K60">
        <v>0.25406800000000002</v>
      </c>
      <c r="L60">
        <v>0.28933700000000001</v>
      </c>
      <c r="M60">
        <v>0.32529599999999997</v>
      </c>
      <c r="N60">
        <v>0.36086800000000002</v>
      </c>
      <c r="O60">
        <v>0.39654600000000001</v>
      </c>
      <c r="P60">
        <v>0.43221500000000002</v>
      </c>
      <c r="Q60">
        <v>0.46782000000000001</v>
      </c>
      <c r="R60">
        <v>0.50276799999999999</v>
      </c>
      <c r="S60">
        <v>0.53905700000000001</v>
      </c>
      <c r="T60">
        <v>0.57760900000000004</v>
      </c>
      <c r="U60">
        <v>0.61603699999999995</v>
      </c>
      <c r="V60">
        <v>0.65530200000000005</v>
      </c>
      <c r="W60">
        <v>0.69730800000000004</v>
      </c>
      <c r="X60">
        <v>0.74086200000000002</v>
      </c>
      <c r="Y60">
        <v>0.783721</v>
      </c>
      <c r="Z60">
        <v>0.82865500000000003</v>
      </c>
      <c r="AA60">
        <v>0.87550099999999997</v>
      </c>
      <c r="AB60">
        <v>0.92393800000000004</v>
      </c>
      <c r="AC60">
        <v>0.970611</v>
      </c>
      <c r="AD60">
        <v>1.019007</v>
      </c>
      <c r="AE60">
        <v>1.0665009999999999</v>
      </c>
      <c r="AF60">
        <v>1.1162209999999999</v>
      </c>
      <c r="AG60">
        <v>1.1704129999999999</v>
      </c>
      <c r="AH60">
        <v>1.226974</v>
      </c>
      <c r="AI60">
        <v>1.2877130000000001</v>
      </c>
      <c r="AJ60" s="32">
        <v>0.13500000000000001</v>
      </c>
    </row>
    <row r="61" spans="1:36" ht="12.9" x14ac:dyDescent="0.15">
      <c r="A61" t="s">
        <v>421</v>
      </c>
      <c r="B61" t="s">
        <v>460</v>
      </c>
      <c r="C61" t="s">
        <v>703</v>
      </c>
      <c r="D61" t="s">
        <v>696</v>
      </c>
      <c r="E61">
        <v>3.2344999999999999E-2</v>
      </c>
      <c r="F61">
        <v>7.0181999999999994E-2</v>
      </c>
      <c r="G61">
        <v>0.113773</v>
      </c>
      <c r="H61">
        <v>0.15784000000000001</v>
      </c>
      <c r="I61">
        <v>0.20366799999999999</v>
      </c>
      <c r="J61">
        <v>0.25022499999999998</v>
      </c>
      <c r="K61">
        <v>0.294601</v>
      </c>
      <c r="L61">
        <v>0.338057</v>
      </c>
      <c r="M61">
        <v>0.38284099999999999</v>
      </c>
      <c r="N61">
        <v>0.42812499999999998</v>
      </c>
      <c r="O61">
        <v>0.474302</v>
      </c>
      <c r="P61">
        <v>0.52118500000000001</v>
      </c>
      <c r="Q61">
        <v>0.568519</v>
      </c>
      <c r="R61">
        <v>0.61524400000000001</v>
      </c>
      <c r="S61">
        <v>0.66369400000000001</v>
      </c>
      <c r="T61">
        <v>0.71498099999999998</v>
      </c>
      <c r="U61">
        <v>0.76608799999999999</v>
      </c>
      <c r="V61">
        <v>0.81814200000000004</v>
      </c>
      <c r="W61">
        <v>0.87376600000000004</v>
      </c>
      <c r="X61">
        <v>0.93124600000000002</v>
      </c>
      <c r="Y61">
        <v>0.98777000000000004</v>
      </c>
      <c r="Z61">
        <v>1.046797</v>
      </c>
      <c r="AA61">
        <v>1.1081019999999999</v>
      </c>
      <c r="AB61">
        <v>1.1714260000000001</v>
      </c>
      <c r="AC61">
        <v>1.2325569999999999</v>
      </c>
      <c r="AD61">
        <v>1.295715</v>
      </c>
      <c r="AE61">
        <v>1.3574900000000001</v>
      </c>
      <c r="AF61">
        <v>1.4218090000000001</v>
      </c>
      <c r="AG61">
        <v>1.4914849999999999</v>
      </c>
      <c r="AH61">
        <v>1.5638049999999999</v>
      </c>
      <c r="AI61">
        <v>1.640979</v>
      </c>
      <c r="AJ61" s="32">
        <v>0.14000000000000001</v>
      </c>
    </row>
    <row r="62" spans="1:36" ht="12.9" x14ac:dyDescent="0.15">
      <c r="A62" t="s">
        <v>300</v>
      </c>
      <c r="B62" t="s">
        <v>461</v>
      </c>
      <c r="C62" t="s">
        <v>704</v>
      </c>
      <c r="D62" t="s">
        <v>696</v>
      </c>
      <c r="E62">
        <v>1.7E-5</v>
      </c>
      <c r="F62">
        <v>4.0000000000000003E-5</v>
      </c>
      <c r="G62">
        <v>6.4999999999999994E-5</v>
      </c>
      <c r="H62">
        <v>9.0000000000000006E-5</v>
      </c>
      <c r="I62">
        <v>1.15E-4</v>
      </c>
      <c r="J62">
        <v>1.3999999999999999E-4</v>
      </c>
      <c r="K62">
        <v>1.63E-4</v>
      </c>
      <c r="L62">
        <v>1.85E-4</v>
      </c>
      <c r="M62">
        <v>2.0699999999999999E-4</v>
      </c>
      <c r="N62">
        <v>2.2800000000000001E-4</v>
      </c>
      <c r="O62">
        <v>2.4800000000000001E-4</v>
      </c>
      <c r="P62">
        <v>2.6699999999999998E-4</v>
      </c>
      <c r="Q62">
        <v>2.8499999999999999E-4</v>
      </c>
      <c r="R62">
        <v>3.01E-4</v>
      </c>
      <c r="S62">
        <v>3.1599999999999998E-4</v>
      </c>
      <c r="T62">
        <v>3.3E-4</v>
      </c>
      <c r="U62">
        <v>3.4299999999999999E-4</v>
      </c>
      <c r="V62">
        <v>3.5399999999999999E-4</v>
      </c>
      <c r="W62">
        <v>3.6499999999999998E-4</v>
      </c>
      <c r="X62">
        <v>3.7500000000000001E-4</v>
      </c>
      <c r="Y62">
        <v>3.8299999999999999E-4</v>
      </c>
      <c r="Z62">
        <v>3.8999999999999999E-4</v>
      </c>
      <c r="AA62">
        <v>3.97E-4</v>
      </c>
      <c r="AB62">
        <v>4.0200000000000001E-4</v>
      </c>
      <c r="AC62">
        <v>4.0499999999999998E-4</v>
      </c>
      <c r="AD62">
        <v>4.0700000000000003E-4</v>
      </c>
      <c r="AE62">
        <v>4.0700000000000003E-4</v>
      </c>
      <c r="AF62">
        <v>4.06E-4</v>
      </c>
      <c r="AG62">
        <v>4.0499999999999998E-4</v>
      </c>
      <c r="AH62">
        <v>4.0400000000000001E-4</v>
      </c>
      <c r="AI62">
        <v>4.0200000000000001E-4</v>
      </c>
      <c r="AJ62" s="32">
        <v>0.111</v>
      </c>
    </row>
    <row r="63" spans="1:36" ht="12.9" x14ac:dyDescent="0.15">
      <c r="A63" t="s">
        <v>424</v>
      </c>
      <c r="B63" t="s">
        <v>462</v>
      </c>
      <c r="C63" t="s">
        <v>705</v>
      </c>
      <c r="D63" t="s">
        <v>696</v>
      </c>
      <c r="E63">
        <v>623.06994599999996</v>
      </c>
      <c r="F63">
        <v>645.39587400000005</v>
      </c>
      <c r="G63">
        <v>666.46087599999998</v>
      </c>
      <c r="H63">
        <v>672.76446499999997</v>
      </c>
      <c r="I63">
        <v>679.08032200000002</v>
      </c>
      <c r="J63">
        <v>685.09277299999997</v>
      </c>
      <c r="K63">
        <v>686.81475799999998</v>
      </c>
      <c r="L63">
        <v>689.43060300000002</v>
      </c>
      <c r="M63">
        <v>695.90295400000002</v>
      </c>
      <c r="N63">
        <v>704.39624000000003</v>
      </c>
      <c r="O63">
        <v>715.78527799999995</v>
      </c>
      <c r="P63">
        <v>728.40618900000004</v>
      </c>
      <c r="Q63">
        <v>741.20007299999997</v>
      </c>
      <c r="R63">
        <v>752.46386700000005</v>
      </c>
      <c r="S63">
        <v>764.91394000000003</v>
      </c>
      <c r="T63">
        <v>778.96130400000004</v>
      </c>
      <c r="U63">
        <v>790.869507</v>
      </c>
      <c r="V63">
        <v>801.79022199999997</v>
      </c>
      <c r="W63">
        <v>813.50762899999995</v>
      </c>
      <c r="X63">
        <v>825.59960899999999</v>
      </c>
      <c r="Y63">
        <v>835.62017800000001</v>
      </c>
      <c r="Z63">
        <v>847.15576199999998</v>
      </c>
      <c r="AA63">
        <v>859.51342799999998</v>
      </c>
      <c r="AB63">
        <v>873.85906999999997</v>
      </c>
      <c r="AC63">
        <v>886.58233600000005</v>
      </c>
      <c r="AD63">
        <v>900.41235400000005</v>
      </c>
      <c r="AE63">
        <v>912.65747099999999</v>
      </c>
      <c r="AF63">
        <v>925.97619599999996</v>
      </c>
      <c r="AG63">
        <v>941.71032700000001</v>
      </c>
      <c r="AH63">
        <v>957.63287400000002</v>
      </c>
      <c r="AI63">
        <v>974.67028800000003</v>
      </c>
      <c r="AJ63" s="32">
        <v>1.4999999999999999E-2</v>
      </c>
    </row>
    <row r="64" spans="1:36" ht="12.9" x14ac:dyDescent="0.15">
      <c r="A64" t="s">
        <v>426</v>
      </c>
      <c r="C64" t="s">
        <v>706</v>
      </c>
    </row>
    <row r="65" spans="1:36" ht="12.9" x14ac:dyDescent="0.15">
      <c r="A65" t="s">
        <v>408</v>
      </c>
      <c r="B65" t="s">
        <v>463</v>
      </c>
      <c r="C65" t="s">
        <v>707</v>
      </c>
      <c r="D65" t="s">
        <v>696</v>
      </c>
      <c r="E65">
        <v>534.81951900000001</v>
      </c>
      <c r="F65">
        <v>544.48022500000002</v>
      </c>
      <c r="G65">
        <v>559.88275099999998</v>
      </c>
      <c r="H65">
        <v>566.51361099999997</v>
      </c>
      <c r="I65">
        <v>574.28076199999998</v>
      </c>
      <c r="J65">
        <v>581.424622</v>
      </c>
      <c r="K65">
        <v>583.85455300000001</v>
      </c>
      <c r="L65">
        <v>584.34271200000001</v>
      </c>
      <c r="M65">
        <v>585.68908699999997</v>
      </c>
      <c r="N65">
        <v>586.55584699999997</v>
      </c>
      <c r="O65">
        <v>588.35607900000002</v>
      </c>
      <c r="P65">
        <v>590.327271</v>
      </c>
      <c r="Q65">
        <v>593.19872999999995</v>
      </c>
      <c r="R65">
        <v>595.59387200000003</v>
      </c>
      <c r="S65">
        <v>599.62841800000001</v>
      </c>
      <c r="T65">
        <v>606.46319600000004</v>
      </c>
      <c r="U65">
        <v>613.83325200000002</v>
      </c>
      <c r="V65">
        <v>621.91406199999994</v>
      </c>
      <c r="W65">
        <v>631.43450900000005</v>
      </c>
      <c r="X65">
        <v>642.74420199999997</v>
      </c>
      <c r="Y65">
        <v>654.27716099999998</v>
      </c>
      <c r="Z65">
        <v>667.66039999999998</v>
      </c>
      <c r="AA65">
        <v>682.27301</v>
      </c>
      <c r="AB65">
        <v>699.462402</v>
      </c>
      <c r="AC65">
        <v>715.94714399999998</v>
      </c>
      <c r="AD65">
        <v>733.51348900000005</v>
      </c>
      <c r="AE65">
        <v>750.19097899999997</v>
      </c>
      <c r="AF65">
        <v>767.09625200000005</v>
      </c>
      <c r="AG65">
        <v>785.63812299999995</v>
      </c>
      <c r="AH65">
        <v>805.68536400000005</v>
      </c>
      <c r="AI65">
        <v>827.36419699999999</v>
      </c>
      <c r="AJ65" s="32">
        <v>1.4999999999999999E-2</v>
      </c>
    </row>
    <row r="66" spans="1:36" ht="12.9" x14ac:dyDescent="0.15">
      <c r="A66" t="s">
        <v>410</v>
      </c>
      <c r="B66" t="s">
        <v>464</v>
      </c>
      <c r="C66" t="s">
        <v>708</v>
      </c>
      <c r="D66" t="s">
        <v>696</v>
      </c>
      <c r="E66">
        <v>310.04251099999999</v>
      </c>
      <c r="F66">
        <v>311.56781000000001</v>
      </c>
      <c r="G66">
        <v>314.92770400000001</v>
      </c>
      <c r="H66">
        <v>312.93221999999997</v>
      </c>
      <c r="I66">
        <v>311.96466099999998</v>
      </c>
      <c r="J66">
        <v>310.553314</v>
      </c>
      <c r="K66">
        <v>307.97042800000003</v>
      </c>
      <c r="L66">
        <v>305.52752700000002</v>
      </c>
      <c r="M66">
        <v>304.610748</v>
      </c>
      <c r="N66">
        <v>304.18536399999999</v>
      </c>
      <c r="O66">
        <v>304.41265900000002</v>
      </c>
      <c r="P66">
        <v>304.74188199999998</v>
      </c>
      <c r="Q66">
        <v>305.67434700000001</v>
      </c>
      <c r="R66">
        <v>306.14593500000001</v>
      </c>
      <c r="S66">
        <v>307.52005000000003</v>
      </c>
      <c r="T66">
        <v>310.02749599999999</v>
      </c>
      <c r="U66">
        <v>312.238495</v>
      </c>
      <c r="V66">
        <v>315.15887500000002</v>
      </c>
      <c r="W66">
        <v>318.65432700000002</v>
      </c>
      <c r="X66">
        <v>323.41824300000002</v>
      </c>
      <c r="Y66">
        <v>327.99514799999997</v>
      </c>
      <c r="Z66">
        <v>333.49273699999998</v>
      </c>
      <c r="AA66">
        <v>339.58874500000002</v>
      </c>
      <c r="AB66">
        <v>346.850098</v>
      </c>
      <c r="AC66">
        <v>353.61157200000002</v>
      </c>
      <c r="AD66">
        <v>360.575378</v>
      </c>
      <c r="AE66">
        <v>366.97796599999998</v>
      </c>
      <c r="AF66">
        <v>373.43130500000001</v>
      </c>
      <c r="AG66">
        <v>380.58270299999998</v>
      </c>
      <c r="AH66">
        <v>388.32739299999997</v>
      </c>
      <c r="AI66">
        <v>396.61309799999998</v>
      </c>
      <c r="AJ66" s="32">
        <v>8.0000000000000002E-3</v>
      </c>
    </row>
    <row r="67" spans="1:36" ht="12.9" x14ac:dyDescent="0.15">
      <c r="A67" t="s">
        <v>412</v>
      </c>
      <c r="B67" t="s">
        <v>465</v>
      </c>
      <c r="C67" t="s">
        <v>709</v>
      </c>
      <c r="D67" t="s">
        <v>696</v>
      </c>
      <c r="E67">
        <v>0.79686599999999996</v>
      </c>
      <c r="F67">
        <v>0.81642999999999999</v>
      </c>
      <c r="G67">
        <v>0.84825799999999996</v>
      </c>
      <c r="H67">
        <v>0.86946699999999999</v>
      </c>
      <c r="I67">
        <v>0.89390999999999998</v>
      </c>
      <c r="J67">
        <v>0.91880200000000001</v>
      </c>
      <c r="K67">
        <v>0.937446</v>
      </c>
      <c r="L67">
        <v>0.95346200000000003</v>
      </c>
      <c r="M67">
        <v>0.97265500000000005</v>
      </c>
      <c r="N67">
        <v>0.99309199999999997</v>
      </c>
      <c r="O67">
        <v>1.0188379999999999</v>
      </c>
      <c r="P67">
        <v>1.0487390000000001</v>
      </c>
      <c r="Q67">
        <v>1.085078</v>
      </c>
      <c r="R67">
        <v>1.1279250000000001</v>
      </c>
      <c r="S67">
        <v>1.1825239999999999</v>
      </c>
      <c r="T67">
        <v>1.2398149999999999</v>
      </c>
      <c r="U67">
        <v>1.29982</v>
      </c>
      <c r="V67">
        <v>1.363278</v>
      </c>
      <c r="W67">
        <v>1.4333359999999999</v>
      </c>
      <c r="X67">
        <v>1.5103679999999999</v>
      </c>
      <c r="Y67">
        <v>1.5917840000000001</v>
      </c>
      <c r="Z67">
        <v>1.6815089999999999</v>
      </c>
      <c r="AA67">
        <v>1.7768109999999999</v>
      </c>
      <c r="AB67">
        <v>1.879729</v>
      </c>
      <c r="AC67">
        <v>1.981803</v>
      </c>
      <c r="AD67">
        <v>2.089156</v>
      </c>
      <c r="AE67">
        <v>2.1972740000000002</v>
      </c>
      <c r="AF67">
        <v>2.3089300000000001</v>
      </c>
      <c r="AG67">
        <v>2.4297689999999998</v>
      </c>
      <c r="AH67">
        <v>2.55315</v>
      </c>
      <c r="AI67">
        <v>2.6900400000000002</v>
      </c>
      <c r="AJ67" s="32">
        <v>4.1000000000000002E-2</v>
      </c>
    </row>
    <row r="68" spans="1:36" ht="12.9" x14ac:dyDescent="0.15">
      <c r="A68" t="s">
        <v>414</v>
      </c>
      <c r="B68" t="s">
        <v>466</v>
      </c>
      <c r="C68" t="s">
        <v>710</v>
      </c>
      <c r="D68" t="s">
        <v>696</v>
      </c>
      <c r="E68">
        <v>0.96256699999999995</v>
      </c>
      <c r="F68">
        <v>1.1128640000000001</v>
      </c>
      <c r="G68">
        <v>1.2875220000000001</v>
      </c>
      <c r="H68">
        <v>1.441317</v>
      </c>
      <c r="I68">
        <v>1.589669</v>
      </c>
      <c r="J68">
        <v>1.726599</v>
      </c>
      <c r="K68">
        <v>1.8379810000000001</v>
      </c>
      <c r="L68">
        <v>1.9300649999999999</v>
      </c>
      <c r="M68">
        <v>2.0170919999999999</v>
      </c>
      <c r="N68">
        <v>2.0937209999999999</v>
      </c>
      <c r="O68">
        <v>2.1638510000000002</v>
      </c>
      <c r="P68">
        <v>2.2272699999999999</v>
      </c>
      <c r="Q68">
        <v>2.286187</v>
      </c>
      <c r="R68">
        <v>2.3373840000000001</v>
      </c>
      <c r="S68">
        <v>2.38903</v>
      </c>
      <c r="T68">
        <v>2.4463279999999998</v>
      </c>
      <c r="U68">
        <v>2.502103</v>
      </c>
      <c r="V68">
        <v>2.5600619999999998</v>
      </c>
      <c r="W68">
        <v>2.626703</v>
      </c>
      <c r="X68">
        <v>2.7025139999999999</v>
      </c>
      <c r="Y68">
        <v>2.7830149999999998</v>
      </c>
      <c r="Z68">
        <v>2.873675</v>
      </c>
      <c r="AA68">
        <v>2.9719709999999999</v>
      </c>
      <c r="AB68">
        <v>3.0779489999999998</v>
      </c>
      <c r="AC68">
        <v>3.1791740000000002</v>
      </c>
      <c r="AD68">
        <v>3.287293</v>
      </c>
      <c r="AE68">
        <v>3.3939020000000002</v>
      </c>
      <c r="AF68">
        <v>3.5026920000000001</v>
      </c>
      <c r="AG68">
        <v>3.6202719999999999</v>
      </c>
      <c r="AH68">
        <v>3.7482250000000001</v>
      </c>
      <c r="AI68">
        <v>3.8891830000000001</v>
      </c>
      <c r="AJ68" s="32">
        <v>4.8000000000000001E-2</v>
      </c>
    </row>
    <row r="69" spans="1:36" ht="12.9" x14ac:dyDescent="0.15">
      <c r="A69" t="s">
        <v>416</v>
      </c>
      <c r="B69" t="s">
        <v>467</v>
      </c>
      <c r="C69" t="s">
        <v>711</v>
      </c>
      <c r="D69" t="s">
        <v>696</v>
      </c>
      <c r="E69">
        <v>10.247214</v>
      </c>
      <c r="F69">
        <v>11.489172999999999</v>
      </c>
      <c r="G69">
        <v>12.928862000000001</v>
      </c>
      <c r="H69">
        <v>14.153947000000001</v>
      </c>
      <c r="I69">
        <v>15.344151999999999</v>
      </c>
      <c r="J69">
        <v>16.456365999999999</v>
      </c>
      <c r="K69">
        <v>17.381163000000001</v>
      </c>
      <c r="L69">
        <v>18.192287</v>
      </c>
      <c r="M69">
        <v>19.01568</v>
      </c>
      <c r="N69">
        <v>19.82667</v>
      </c>
      <c r="O69">
        <v>20.694773000000001</v>
      </c>
      <c r="P69">
        <v>21.591989999999999</v>
      </c>
      <c r="Q69">
        <v>22.546734000000001</v>
      </c>
      <c r="R69">
        <v>23.492044</v>
      </c>
      <c r="S69">
        <v>24.582377999999999</v>
      </c>
      <c r="T69">
        <v>25.826678999999999</v>
      </c>
      <c r="U69">
        <v>27.091518000000001</v>
      </c>
      <c r="V69">
        <v>28.472940000000001</v>
      </c>
      <c r="W69">
        <v>29.925798</v>
      </c>
      <c r="X69">
        <v>31.569382000000001</v>
      </c>
      <c r="Y69">
        <v>33.313599000000004</v>
      </c>
      <c r="Z69">
        <v>35.230148</v>
      </c>
      <c r="AA69">
        <v>37.279881000000003</v>
      </c>
      <c r="AB69">
        <v>39.511806</v>
      </c>
      <c r="AC69">
        <v>41.744678</v>
      </c>
      <c r="AD69">
        <v>44.111313000000003</v>
      </c>
      <c r="AE69">
        <v>46.514141000000002</v>
      </c>
      <c r="AF69">
        <v>49.007331999999998</v>
      </c>
      <c r="AG69">
        <v>51.684925</v>
      </c>
      <c r="AH69">
        <v>54.593142999999998</v>
      </c>
      <c r="AI69">
        <v>57.758780999999999</v>
      </c>
      <c r="AJ69" s="32">
        <v>5.8999999999999997E-2</v>
      </c>
    </row>
    <row r="70" spans="1:36" ht="12.9" x14ac:dyDescent="0.15">
      <c r="A70" t="s">
        <v>288</v>
      </c>
      <c r="B70" t="s">
        <v>468</v>
      </c>
      <c r="C70" t="s">
        <v>712</v>
      </c>
      <c r="D70" t="s">
        <v>696</v>
      </c>
      <c r="E70">
        <v>4.3038E-2</v>
      </c>
      <c r="F70">
        <v>7.5169E-2</v>
      </c>
      <c r="G70">
        <v>0.113163</v>
      </c>
      <c r="H70">
        <v>0.15132100000000001</v>
      </c>
      <c r="I70">
        <v>0.18968599999999999</v>
      </c>
      <c r="J70">
        <v>0.227044</v>
      </c>
      <c r="K70">
        <v>0.26055800000000001</v>
      </c>
      <c r="L70">
        <v>0.29042099999999998</v>
      </c>
      <c r="M70">
        <v>0.31950299999999998</v>
      </c>
      <c r="N70">
        <v>0.34800199999999998</v>
      </c>
      <c r="O70">
        <v>0.37692900000000001</v>
      </c>
      <c r="P70">
        <v>0.40629799999999999</v>
      </c>
      <c r="Q70">
        <v>0.436724</v>
      </c>
      <c r="R70">
        <v>0.46770299999999998</v>
      </c>
      <c r="S70">
        <v>0.50097499999999995</v>
      </c>
      <c r="T70">
        <v>0.53747100000000003</v>
      </c>
      <c r="U70">
        <v>0.57498800000000005</v>
      </c>
      <c r="V70">
        <v>0.61386099999999999</v>
      </c>
      <c r="W70">
        <v>0.65617800000000004</v>
      </c>
      <c r="X70">
        <v>0.70096400000000003</v>
      </c>
      <c r="Y70">
        <v>0.74834400000000001</v>
      </c>
      <c r="Z70">
        <v>0.79984599999999995</v>
      </c>
      <c r="AA70">
        <v>0.85451100000000002</v>
      </c>
      <c r="AB70">
        <v>0.91347900000000004</v>
      </c>
      <c r="AC70">
        <v>0.97272400000000003</v>
      </c>
      <c r="AD70">
        <v>1.0353159999999999</v>
      </c>
      <c r="AE70">
        <v>1.0991610000000001</v>
      </c>
      <c r="AF70">
        <v>1.1653800000000001</v>
      </c>
      <c r="AG70">
        <v>1.2365660000000001</v>
      </c>
      <c r="AH70">
        <v>1.3133589999999999</v>
      </c>
      <c r="AI70">
        <v>1.3963829999999999</v>
      </c>
      <c r="AJ70" s="32">
        <v>0.123</v>
      </c>
    </row>
    <row r="71" spans="1:36" ht="12.9" x14ac:dyDescent="0.15">
      <c r="A71" t="s">
        <v>419</v>
      </c>
      <c r="B71" t="s">
        <v>469</v>
      </c>
      <c r="C71" t="s">
        <v>713</v>
      </c>
      <c r="D71" t="s">
        <v>696</v>
      </c>
      <c r="E71">
        <v>3.7948999999999997E-2</v>
      </c>
      <c r="F71">
        <v>7.9555000000000001E-2</v>
      </c>
      <c r="G71">
        <v>0.12901599999999999</v>
      </c>
      <c r="H71">
        <v>0.17892</v>
      </c>
      <c r="I71">
        <v>0.22855600000000001</v>
      </c>
      <c r="J71">
        <v>0.27631299999999998</v>
      </c>
      <c r="K71">
        <v>0.319351</v>
      </c>
      <c r="L71">
        <v>0.358041</v>
      </c>
      <c r="M71">
        <v>0.395708</v>
      </c>
      <c r="N71">
        <v>0.43238500000000002</v>
      </c>
      <c r="O71">
        <v>0.46934799999999999</v>
      </c>
      <c r="P71">
        <v>0.50661800000000001</v>
      </c>
      <c r="Q71">
        <v>0.54489100000000001</v>
      </c>
      <c r="R71">
        <v>0.58338199999999996</v>
      </c>
      <c r="S71">
        <v>0.62435200000000002</v>
      </c>
      <c r="T71">
        <v>0.66913400000000001</v>
      </c>
      <c r="U71">
        <v>0.71548</v>
      </c>
      <c r="V71">
        <v>0.76354900000000003</v>
      </c>
      <c r="W71">
        <v>0.81570600000000004</v>
      </c>
      <c r="X71">
        <v>0.87080000000000002</v>
      </c>
      <c r="Y71">
        <v>0.92896100000000004</v>
      </c>
      <c r="Z71">
        <v>0.99207100000000004</v>
      </c>
      <c r="AA71">
        <v>1.058935</v>
      </c>
      <c r="AB71">
        <v>1.1309610000000001</v>
      </c>
      <c r="AC71">
        <v>1.2031559999999999</v>
      </c>
      <c r="AD71">
        <v>1.2792650000000001</v>
      </c>
      <c r="AE71">
        <v>1.356673</v>
      </c>
      <c r="AF71">
        <v>1.436795</v>
      </c>
      <c r="AG71">
        <v>1.5228159999999999</v>
      </c>
      <c r="AH71">
        <v>1.615499</v>
      </c>
      <c r="AI71">
        <v>1.7156739999999999</v>
      </c>
      <c r="AJ71" s="32">
        <v>0.13500000000000001</v>
      </c>
    </row>
    <row r="72" spans="1:36" ht="12.9" x14ac:dyDescent="0.15">
      <c r="A72" t="s">
        <v>421</v>
      </c>
      <c r="B72" t="s">
        <v>470</v>
      </c>
      <c r="C72" t="s">
        <v>714</v>
      </c>
      <c r="D72" t="s">
        <v>696</v>
      </c>
      <c r="E72">
        <v>4.4144999999999997E-2</v>
      </c>
      <c r="F72">
        <v>9.2665999999999998E-2</v>
      </c>
      <c r="G72">
        <v>0.150697</v>
      </c>
      <c r="H72">
        <v>0.20898</v>
      </c>
      <c r="I72">
        <v>0.26726699999999998</v>
      </c>
      <c r="J72">
        <v>0.32380700000000001</v>
      </c>
      <c r="K72">
        <v>0.37459700000000001</v>
      </c>
      <c r="L72">
        <v>0.41979499999999997</v>
      </c>
      <c r="M72">
        <v>0.463694</v>
      </c>
      <c r="N72">
        <v>0.50634100000000004</v>
      </c>
      <c r="O72">
        <v>0.54926600000000003</v>
      </c>
      <c r="P72">
        <v>0.59249799999999997</v>
      </c>
      <c r="Q72">
        <v>0.636961</v>
      </c>
      <c r="R72">
        <v>0.68198999999999999</v>
      </c>
      <c r="S72">
        <v>0.72997299999999998</v>
      </c>
      <c r="T72">
        <v>0.78246899999999997</v>
      </c>
      <c r="U72">
        <v>0.83685699999999996</v>
      </c>
      <c r="V72">
        <v>0.89333600000000002</v>
      </c>
      <c r="W72">
        <v>0.95426</v>
      </c>
      <c r="X72">
        <v>1.0187409999999999</v>
      </c>
      <c r="Y72">
        <v>1.0869310000000001</v>
      </c>
      <c r="Z72">
        <v>1.1610370000000001</v>
      </c>
      <c r="AA72">
        <v>1.239711</v>
      </c>
      <c r="AB72">
        <v>1.324595</v>
      </c>
      <c r="AC72">
        <v>1.4098470000000001</v>
      </c>
      <c r="AD72">
        <v>1.499898</v>
      </c>
      <c r="AE72">
        <v>1.591707</v>
      </c>
      <c r="AF72">
        <v>1.6868909999999999</v>
      </c>
      <c r="AG72">
        <v>1.789196</v>
      </c>
      <c r="AH72">
        <v>1.8992599999999999</v>
      </c>
      <c r="AI72">
        <v>2.0179390000000001</v>
      </c>
      <c r="AJ72" s="32">
        <v>0.13600000000000001</v>
      </c>
    </row>
    <row r="73" spans="1:36" ht="12.9" x14ac:dyDescent="0.15">
      <c r="A73" t="s">
        <v>300</v>
      </c>
      <c r="B73" t="s">
        <v>471</v>
      </c>
      <c r="C73" t="s">
        <v>715</v>
      </c>
      <c r="D73" t="s">
        <v>696</v>
      </c>
      <c r="E73">
        <v>7.1610999999999994E-2</v>
      </c>
      <c r="F73">
        <v>0.15246999999999999</v>
      </c>
      <c r="G73">
        <v>0.25034000000000001</v>
      </c>
      <c r="H73">
        <v>0.35134199999999999</v>
      </c>
      <c r="I73">
        <v>0.45505699999999999</v>
      </c>
      <c r="J73">
        <v>0.55906699999999998</v>
      </c>
      <c r="K73">
        <v>0.65637800000000002</v>
      </c>
      <c r="L73">
        <v>0.74700599999999995</v>
      </c>
      <c r="M73">
        <v>0.83618199999999998</v>
      </c>
      <c r="N73">
        <v>0.92578199999999999</v>
      </c>
      <c r="O73">
        <v>1.0183249999999999</v>
      </c>
      <c r="P73">
        <v>1.113791</v>
      </c>
      <c r="Q73">
        <v>1.213174</v>
      </c>
      <c r="R73">
        <v>1.3138570000000001</v>
      </c>
      <c r="S73">
        <v>1.420342</v>
      </c>
      <c r="T73">
        <v>1.535668</v>
      </c>
      <c r="U73">
        <v>1.65459</v>
      </c>
      <c r="V73">
        <v>1.777156</v>
      </c>
      <c r="W73">
        <v>1.9079900000000001</v>
      </c>
      <c r="X73">
        <v>2.0463969999999998</v>
      </c>
      <c r="Y73">
        <v>2.1919599999999999</v>
      </c>
      <c r="Z73">
        <v>2.349275</v>
      </c>
      <c r="AA73">
        <v>2.515533</v>
      </c>
      <c r="AB73">
        <v>2.6941570000000001</v>
      </c>
      <c r="AC73">
        <v>2.8732880000000001</v>
      </c>
      <c r="AD73">
        <v>3.061995</v>
      </c>
      <c r="AE73">
        <v>3.2540550000000001</v>
      </c>
      <c r="AF73">
        <v>3.4529269999999999</v>
      </c>
      <c r="AG73">
        <v>3.6662910000000002</v>
      </c>
      <c r="AH73">
        <v>3.896096</v>
      </c>
      <c r="AI73">
        <v>4.144323</v>
      </c>
      <c r="AJ73" s="32">
        <v>0.14499999999999999</v>
      </c>
    </row>
    <row r="74" spans="1:36" ht="12.9" x14ac:dyDescent="0.15">
      <c r="A74" t="s">
        <v>436</v>
      </c>
      <c r="B74" t="s">
        <v>472</v>
      </c>
      <c r="C74" t="s">
        <v>716</v>
      </c>
      <c r="D74" t="s">
        <v>696</v>
      </c>
      <c r="E74">
        <v>857.06536900000003</v>
      </c>
      <c r="F74">
        <v>869.86663799999997</v>
      </c>
      <c r="G74">
        <v>890.51843299999996</v>
      </c>
      <c r="H74">
        <v>896.80108600000005</v>
      </c>
      <c r="I74">
        <v>905.21356200000002</v>
      </c>
      <c r="J74">
        <v>912.46594200000004</v>
      </c>
      <c r="K74">
        <v>913.59240699999998</v>
      </c>
      <c r="L74">
        <v>912.76110800000004</v>
      </c>
      <c r="M74">
        <v>914.32049600000005</v>
      </c>
      <c r="N74">
        <v>915.86737100000005</v>
      </c>
      <c r="O74">
        <v>919.05969200000004</v>
      </c>
      <c r="P74">
        <v>922.55602999999996</v>
      </c>
      <c r="Q74">
        <v>927.62268100000006</v>
      </c>
      <c r="R74">
        <v>931.74401899999998</v>
      </c>
      <c r="S74">
        <v>938.57763699999998</v>
      </c>
      <c r="T74">
        <v>949.52832000000001</v>
      </c>
      <c r="U74">
        <v>960.74700900000005</v>
      </c>
      <c r="V74">
        <v>973.51715100000001</v>
      </c>
      <c r="W74">
        <v>988.40850799999998</v>
      </c>
      <c r="X74">
        <v>1006.581604</v>
      </c>
      <c r="Y74">
        <v>1024.9167480000001</v>
      </c>
      <c r="Z74">
        <v>1046.2407229999999</v>
      </c>
      <c r="AA74">
        <v>1069.5592039999999</v>
      </c>
      <c r="AB74">
        <v>1096.8447269999999</v>
      </c>
      <c r="AC74">
        <v>1122.9233400000001</v>
      </c>
      <c r="AD74">
        <v>1150.453491</v>
      </c>
      <c r="AE74">
        <v>1176.575928</v>
      </c>
      <c r="AF74">
        <v>1203.089111</v>
      </c>
      <c r="AG74">
        <v>1232.1697999999999</v>
      </c>
      <c r="AH74">
        <v>1263.6320800000001</v>
      </c>
      <c r="AI74">
        <v>1297.5893550000001</v>
      </c>
      <c r="AJ74" s="32">
        <v>1.4E-2</v>
      </c>
    </row>
    <row r="75" spans="1:36" ht="12.9" x14ac:dyDescent="0.15">
      <c r="A75" t="s">
        <v>438</v>
      </c>
      <c r="C75" t="s">
        <v>717</v>
      </c>
    </row>
    <row r="76" spans="1:36" ht="12.9" x14ac:dyDescent="0.15">
      <c r="A76" t="s">
        <v>408</v>
      </c>
      <c r="B76" t="s">
        <v>473</v>
      </c>
      <c r="C76" t="s">
        <v>718</v>
      </c>
      <c r="D76" t="s">
        <v>696</v>
      </c>
      <c r="E76">
        <v>3686.044922</v>
      </c>
      <c r="F76">
        <v>3754.2851559999999</v>
      </c>
      <c r="G76">
        <v>3850.6523440000001</v>
      </c>
      <c r="H76">
        <v>3885.5346679999998</v>
      </c>
      <c r="I76">
        <v>3927.741211</v>
      </c>
      <c r="J76">
        <v>3963.483643</v>
      </c>
      <c r="K76">
        <v>3958.7797850000002</v>
      </c>
      <c r="L76">
        <v>3927.21875</v>
      </c>
      <c r="M76">
        <v>3886.9072270000001</v>
      </c>
      <c r="N76">
        <v>3836.3059079999998</v>
      </c>
      <c r="O76">
        <v>3788.368164</v>
      </c>
      <c r="P76">
        <v>3741.97876</v>
      </c>
      <c r="Q76">
        <v>3699.7985840000001</v>
      </c>
      <c r="R76">
        <v>3658.2878420000002</v>
      </c>
      <c r="S76">
        <v>3630.506836</v>
      </c>
      <c r="T76">
        <v>3620.2089839999999</v>
      </c>
      <c r="U76">
        <v>3610.798096</v>
      </c>
      <c r="V76">
        <v>3602.140625</v>
      </c>
      <c r="W76">
        <v>3599.3635250000002</v>
      </c>
      <c r="X76">
        <v>3600.8564449999999</v>
      </c>
      <c r="Y76">
        <v>3600.9140619999998</v>
      </c>
      <c r="Z76">
        <v>3608.6633299999999</v>
      </c>
      <c r="AA76">
        <v>3622.9760740000002</v>
      </c>
      <c r="AB76">
        <v>3645.9614259999998</v>
      </c>
      <c r="AC76">
        <v>3660.633057</v>
      </c>
      <c r="AD76">
        <v>3676.641846</v>
      </c>
      <c r="AE76">
        <v>3684.0141600000002</v>
      </c>
      <c r="AF76">
        <v>3687.944336</v>
      </c>
      <c r="AG76">
        <v>3694.6599120000001</v>
      </c>
      <c r="AH76">
        <v>3703.2067870000001</v>
      </c>
      <c r="AI76">
        <v>3714.9504390000002</v>
      </c>
      <c r="AJ76" s="32">
        <v>0</v>
      </c>
    </row>
    <row r="77" spans="1:36" ht="12.9" x14ac:dyDescent="0.15">
      <c r="A77" t="s">
        <v>410</v>
      </c>
      <c r="B77" t="s">
        <v>474</v>
      </c>
      <c r="C77" t="s">
        <v>719</v>
      </c>
      <c r="D77" t="s">
        <v>696</v>
      </c>
      <c r="E77">
        <v>3.7846829999999998</v>
      </c>
      <c r="F77">
        <v>3.4309630000000002</v>
      </c>
      <c r="G77">
        <v>3.1294300000000002</v>
      </c>
      <c r="H77">
        <v>2.8293089999999999</v>
      </c>
      <c r="I77">
        <v>2.5855939999999999</v>
      </c>
      <c r="J77">
        <v>2.3723079999999999</v>
      </c>
      <c r="K77">
        <v>2.1979739999999999</v>
      </c>
      <c r="L77">
        <v>2.0671650000000001</v>
      </c>
      <c r="M77">
        <v>1.9634830000000001</v>
      </c>
      <c r="N77">
        <v>1.8752949999999999</v>
      </c>
      <c r="O77">
        <v>1.819474</v>
      </c>
      <c r="P77">
        <v>1.769584</v>
      </c>
      <c r="Q77">
        <v>1.7193210000000001</v>
      </c>
      <c r="R77">
        <v>1.673206</v>
      </c>
      <c r="S77">
        <v>1.636182</v>
      </c>
      <c r="T77">
        <v>1.6104959999999999</v>
      </c>
      <c r="U77">
        <v>1.5820590000000001</v>
      </c>
      <c r="V77">
        <v>1.5599959999999999</v>
      </c>
      <c r="W77">
        <v>1.5439369999999999</v>
      </c>
      <c r="X77">
        <v>1.5320579999999999</v>
      </c>
      <c r="Y77">
        <v>1.517973</v>
      </c>
      <c r="Z77">
        <v>1.5129779999999999</v>
      </c>
      <c r="AA77">
        <v>1.5069300000000001</v>
      </c>
      <c r="AB77">
        <v>1.50502</v>
      </c>
      <c r="AC77">
        <v>1.5057020000000001</v>
      </c>
      <c r="AD77">
        <v>1.5113909999999999</v>
      </c>
      <c r="AE77">
        <v>1.517387</v>
      </c>
      <c r="AF77">
        <v>1.5253540000000001</v>
      </c>
      <c r="AG77">
        <v>1.53715</v>
      </c>
      <c r="AH77">
        <v>1.550033</v>
      </c>
      <c r="AI77">
        <v>1.565005</v>
      </c>
      <c r="AJ77" s="32">
        <v>-2.9000000000000001E-2</v>
      </c>
    </row>
    <row r="78" spans="1:36" ht="12.9" x14ac:dyDescent="0.15">
      <c r="A78" t="s">
        <v>412</v>
      </c>
      <c r="B78" t="s">
        <v>475</v>
      </c>
      <c r="C78" t="s">
        <v>720</v>
      </c>
      <c r="D78" t="s">
        <v>696</v>
      </c>
      <c r="E78">
        <v>0.70109999999999995</v>
      </c>
      <c r="F78">
        <v>0.77095499999999995</v>
      </c>
      <c r="G78">
        <v>0.84431400000000001</v>
      </c>
      <c r="H78">
        <v>0.89655899999999999</v>
      </c>
      <c r="I78">
        <v>0.94145599999999996</v>
      </c>
      <c r="J78">
        <v>0.97688200000000003</v>
      </c>
      <c r="K78">
        <v>0.99746900000000005</v>
      </c>
      <c r="L78">
        <v>1.0070760000000001</v>
      </c>
      <c r="M78">
        <v>1.011606</v>
      </c>
      <c r="N78">
        <v>1.010105</v>
      </c>
      <c r="O78">
        <v>1.0073719999999999</v>
      </c>
      <c r="P78">
        <v>1.002602</v>
      </c>
      <c r="Q78">
        <v>0.99697100000000005</v>
      </c>
      <c r="R78">
        <v>0.99357099999999998</v>
      </c>
      <c r="S78">
        <v>0.99572899999999998</v>
      </c>
      <c r="T78">
        <v>1.0032829999999999</v>
      </c>
      <c r="U78">
        <v>1.009781</v>
      </c>
      <c r="V78">
        <v>1.016923</v>
      </c>
      <c r="W78">
        <v>1.026996</v>
      </c>
      <c r="X78">
        <v>1.0387120000000001</v>
      </c>
      <c r="Y78">
        <v>1.0510429999999999</v>
      </c>
      <c r="Z78">
        <v>1.067113</v>
      </c>
      <c r="AA78">
        <v>1.085472</v>
      </c>
      <c r="AB78">
        <v>1.107226</v>
      </c>
      <c r="AC78">
        <v>1.1271580000000001</v>
      </c>
      <c r="AD78">
        <v>1.148466</v>
      </c>
      <c r="AE78">
        <v>1.1688799999999999</v>
      </c>
      <c r="AF78">
        <v>1.189748</v>
      </c>
      <c r="AG78">
        <v>1.2129730000000001</v>
      </c>
      <c r="AH78">
        <v>1.2377990000000001</v>
      </c>
      <c r="AI78">
        <v>1.264594</v>
      </c>
      <c r="AJ78" s="32">
        <v>0.02</v>
      </c>
    </row>
    <row r="79" spans="1:36" ht="12.9" x14ac:dyDescent="0.15">
      <c r="A79" t="s">
        <v>414</v>
      </c>
      <c r="B79" t="s">
        <v>476</v>
      </c>
      <c r="C79" t="s">
        <v>721</v>
      </c>
      <c r="D79" t="s">
        <v>696</v>
      </c>
      <c r="E79">
        <v>46.918025999999998</v>
      </c>
      <c r="F79">
        <v>48.631000999999998</v>
      </c>
      <c r="G79">
        <v>50.114047999999997</v>
      </c>
      <c r="H79">
        <v>50.18074</v>
      </c>
      <c r="I79">
        <v>49.811802</v>
      </c>
      <c r="J79">
        <v>49.076461999999999</v>
      </c>
      <c r="K79">
        <v>47.788176999999997</v>
      </c>
      <c r="L79">
        <v>46.285212999999999</v>
      </c>
      <c r="M79">
        <v>44.824871000000002</v>
      </c>
      <c r="N79">
        <v>43.382506999999997</v>
      </c>
      <c r="O79">
        <v>42.107292000000001</v>
      </c>
      <c r="P79">
        <v>41.004860000000001</v>
      </c>
      <c r="Q79">
        <v>40.186836</v>
      </c>
      <c r="R79">
        <v>39.658009</v>
      </c>
      <c r="S79">
        <v>39.548473000000001</v>
      </c>
      <c r="T79">
        <v>39.889771000000003</v>
      </c>
      <c r="U79">
        <v>40.473433999999997</v>
      </c>
      <c r="V79">
        <v>41.323611999999997</v>
      </c>
      <c r="W79">
        <v>42.461609000000003</v>
      </c>
      <c r="X79">
        <v>43.902400999999998</v>
      </c>
      <c r="Y79">
        <v>45.648006000000002</v>
      </c>
      <c r="Z79">
        <v>47.834502999999998</v>
      </c>
      <c r="AA79">
        <v>50.425888</v>
      </c>
      <c r="AB79">
        <v>53.481574999999999</v>
      </c>
      <c r="AC79">
        <v>56.801704000000001</v>
      </c>
      <c r="AD79">
        <v>60.598796999999998</v>
      </c>
      <c r="AE79">
        <v>64.753578000000005</v>
      </c>
      <c r="AF79">
        <v>69.313461000000004</v>
      </c>
      <c r="AG79">
        <v>74.373581000000001</v>
      </c>
      <c r="AH79">
        <v>80.068932000000004</v>
      </c>
      <c r="AI79">
        <v>86.446922000000001</v>
      </c>
      <c r="AJ79" s="32">
        <v>2.1000000000000001E-2</v>
      </c>
    </row>
    <row r="80" spans="1:36" ht="12.9" x14ac:dyDescent="0.15">
      <c r="A80" t="s">
        <v>416</v>
      </c>
      <c r="B80" t="s">
        <v>477</v>
      </c>
      <c r="C80" t="s">
        <v>722</v>
      </c>
      <c r="D80" t="s">
        <v>696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23</v>
      </c>
    </row>
    <row r="81" spans="1:36" ht="12.9" x14ac:dyDescent="0.15">
      <c r="A81" t="s">
        <v>288</v>
      </c>
      <c r="B81" t="s">
        <v>478</v>
      </c>
      <c r="C81" t="s">
        <v>723</v>
      </c>
      <c r="D81" t="s">
        <v>696</v>
      </c>
      <c r="E81">
        <v>1.8748000000000001E-2</v>
      </c>
      <c r="F81">
        <v>3.3905999999999999E-2</v>
      </c>
      <c r="G81">
        <v>5.2081000000000002E-2</v>
      </c>
      <c r="H81">
        <v>7.0747000000000004E-2</v>
      </c>
      <c r="I81">
        <v>8.9940999999999993E-2</v>
      </c>
      <c r="J81">
        <v>0.109102</v>
      </c>
      <c r="K81">
        <v>0.126887</v>
      </c>
      <c r="L81">
        <v>0.143431</v>
      </c>
      <c r="M81">
        <v>0.15960099999999999</v>
      </c>
      <c r="N81">
        <v>0.17522799999999999</v>
      </c>
      <c r="O81">
        <v>0.19051799999999999</v>
      </c>
      <c r="P81">
        <v>0.205126</v>
      </c>
      <c r="Q81">
        <v>0.218973</v>
      </c>
      <c r="R81">
        <v>0.2316</v>
      </c>
      <c r="S81">
        <v>0.243759</v>
      </c>
      <c r="T81">
        <v>0.25589099999999998</v>
      </c>
      <c r="U81">
        <v>0.267202</v>
      </c>
      <c r="V81">
        <v>0.27808300000000002</v>
      </c>
      <c r="W81">
        <v>0.28950599999999999</v>
      </c>
      <c r="X81">
        <v>0.30115700000000001</v>
      </c>
      <c r="Y81">
        <v>0.31245099999999998</v>
      </c>
      <c r="Z81">
        <v>0.32468799999999998</v>
      </c>
      <c r="AA81">
        <v>0.33812700000000001</v>
      </c>
      <c r="AB81">
        <v>0.352607</v>
      </c>
      <c r="AC81">
        <v>0.36673499999999998</v>
      </c>
      <c r="AD81">
        <v>0.38152999999999998</v>
      </c>
      <c r="AE81">
        <v>0.39616499999999999</v>
      </c>
      <c r="AF81">
        <v>0.41122300000000001</v>
      </c>
      <c r="AG81">
        <v>0.42730400000000002</v>
      </c>
      <c r="AH81">
        <v>0.44427499999999998</v>
      </c>
      <c r="AI81">
        <v>0.46234599999999998</v>
      </c>
      <c r="AJ81" s="32">
        <v>0.113</v>
      </c>
    </row>
    <row r="82" spans="1:36" ht="12.9" x14ac:dyDescent="0.15">
      <c r="A82" t="s">
        <v>419</v>
      </c>
      <c r="B82" t="s">
        <v>479</v>
      </c>
      <c r="C82" t="s">
        <v>724</v>
      </c>
      <c r="D82" t="s">
        <v>696</v>
      </c>
      <c r="E82">
        <v>9.7627000000000005E-2</v>
      </c>
      <c r="F82">
        <v>0.12522</v>
      </c>
      <c r="G82">
        <v>0.15840199999999999</v>
      </c>
      <c r="H82">
        <v>0.19073799999999999</v>
      </c>
      <c r="I82">
        <v>0.22334200000000001</v>
      </c>
      <c r="J82">
        <v>0.255</v>
      </c>
      <c r="K82">
        <v>0.283271</v>
      </c>
      <c r="L82">
        <v>0.30885299999999999</v>
      </c>
      <c r="M82">
        <v>0.33328200000000002</v>
      </c>
      <c r="N82">
        <v>0.356159</v>
      </c>
      <c r="O82">
        <v>0.37806400000000001</v>
      </c>
      <c r="P82">
        <v>0.39840900000000001</v>
      </c>
      <c r="Q82">
        <v>0.41720499999999999</v>
      </c>
      <c r="R82">
        <v>0.43389699999999998</v>
      </c>
      <c r="S82">
        <v>0.45025700000000002</v>
      </c>
      <c r="T82">
        <v>0.46737699999999999</v>
      </c>
      <c r="U82">
        <v>0.48413</v>
      </c>
      <c r="V82">
        <v>0.50158199999999997</v>
      </c>
      <c r="W82">
        <v>0.51802499999999996</v>
      </c>
      <c r="X82">
        <v>0.53434800000000005</v>
      </c>
      <c r="Y82">
        <v>0.55178799999999995</v>
      </c>
      <c r="Z82">
        <v>0.57369199999999998</v>
      </c>
      <c r="AA82">
        <v>0.59588200000000002</v>
      </c>
      <c r="AB82">
        <v>0.620255</v>
      </c>
      <c r="AC82">
        <v>0.64403600000000005</v>
      </c>
      <c r="AD82">
        <v>0.66900099999999996</v>
      </c>
      <c r="AE82">
        <v>0.69367000000000001</v>
      </c>
      <c r="AF82">
        <v>0.71905300000000005</v>
      </c>
      <c r="AG82">
        <v>0.74617599999999995</v>
      </c>
      <c r="AH82">
        <v>0.77477499999999999</v>
      </c>
      <c r="AI82">
        <v>0.80518000000000001</v>
      </c>
      <c r="AJ82" s="32">
        <v>7.2999999999999995E-2</v>
      </c>
    </row>
    <row r="83" spans="1:36" ht="12.9" x14ac:dyDescent="0.15">
      <c r="A83" t="s">
        <v>421</v>
      </c>
      <c r="B83" t="s">
        <v>480</v>
      </c>
      <c r="C83" t="s">
        <v>725</v>
      </c>
      <c r="D83" t="s">
        <v>696</v>
      </c>
      <c r="E83">
        <v>9.6310000000000007E-2</v>
      </c>
      <c r="F83">
        <v>0.122837</v>
      </c>
      <c r="G83">
        <v>0.15489800000000001</v>
      </c>
      <c r="H83">
        <v>0.186227</v>
      </c>
      <c r="I83">
        <v>0.217999</v>
      </c>
      <c r="J83">
        <v>0.249029</v>
      </c>
      <c r="K83">
        <v>0.276841</v>
      </c>
      <c r="L83">
        <v>0.30207499999999998</v>
      </c>
      <c r="M83">
        <v>0.32631700000000002</v>
      </c>
      <c r="N83">
        <v>0.349049</v>
      </c>
      <c r="O83">
        <v>0.37081799999999998</v>
      </c>
      <c r="P83">
        <v>0.39107399999999998</v>
      </c>
      <c r="Q83">
        <v>0.409773</v>
      </c>
      <c r="R83">
        <v>0.42628899999999997</v>
      </c>
      <c r="S83">
        <v>0.44248599999999999</v>
      </c>
      <c r="T83">
        <v>0.45944600000000002</v>
      </c>
      <c r="U83">
        <v>0.476051</v>
      </c>
      <c r="V83">
        <v>0.493336</v>
      </c>
      <c r="W83">
        <v>0.50948000000000004</v>
      </c>
      <c r="X83">
        <v>0.52549000000000001</v>
      </c>
      <c r="Y83">
        <v>0.54265200000000002</v>
      </c>
      <c r="Z83">
        <v>0.564249</v>
      </c>
      <c r="AA83">
        <v>0.58597299999999997</v>
      </c>
      <c r="AB83">
        <v>0.60967700000000002</v>
      </c>
      <c r="AC83">
        <v>0.63281100000000001</v>
      </c>
      <c r="AD83">
        <v>0.657134</v>
      </c>
      <c r="AE83">
        <v>0.68120899999999995</v>
      </c>
      <c r="AF83">
        <v>0.70604299999999998</v>
      </c>
      <c r="AG83">
        <v>0.73265000000000002</v>
      </c>
      <c r="AH83">
        <v>0.76078699999999999</v>
      </c>
      <c r="AI83">
        <v>0.79077299999999995</v>
      </c>
      <c r="AJ83" s="32">
        <v>7.2999999999999995E-2</v>
      </c>
    </row>
    <row r="84" spans="1:36" ht="12.9" x14ac:dyDescent="0.15">
      <c r="A84" t="s">
        <v>300</v>
      </c>
      <c r="B84" t="s">
        <v>481</v>
      </c>
      <c r="C84" t="s">
        <v>726</v>
      </c>
      <c r="D84" t="s">
        <v>696</v>
      </c>
      <c r="E84">
        <v>6.1164000000000003E-2</v>
      </c>
      <c r="F84">
        <v>0.107416</v>
      </c>
      <c r="G84">
        <v>0.16386700000000001</v>
      </c>
      <c r="H84">
        <v>0.22251899999999999</v>
      </c>
      <c r="I84">
        <v>0.283688</v>
      </c>
      <c r="J84">
        <v>0.345864</v>
      </c>
      <c r="K84">
        <v>0.40496100000000002</v>
      </c>
      <c r="L84">
        <v>0.46121600000000001</v>
      </c>
      <c r="M84">
        <v>0.51675800000000005</v>
      </c>
      <c r="N84">
        <v>0.57162299999999999</v>
      </c>
      <c r="O84">
        <v>0.62651100000000004</v>
      </c>
      <c r="P84">
        <v>0.68034099999999997</v>
      </c>
      <c r="Q84">
        <v>0.73262000000000005</v>
      </c>
      <c r="R84">
        <v>0.78134300000000001</v>
      </c>
      <c r="S84">
        <v>0.82896599999999998</v>
      </c>
      <c r="T84">
        <v>0.87690599999999996</v>
      </c>
      <c r="U84">
        <v>0.92229099999999997</v>
      </c>
      <c r="V84">
        <v>0.96618400000000004</v>
      </c>
      <c r="W84">
        <v>1.0108569999999999</v>
      </c>
      <c r="X84">
        <v>1.0563009999999999</v>
      </c>
      <c r="Y84">
        <v>1.1008359999999999</v>
      </c>
      <c r="Z84">
        <v>1.148685</v>
      </c>
      <c r="AA84">
        <v>1.1992160000000001</v>
      </c>
      <c r="AB84">
        <v>1.25335</v>
      </c>
      <c r="AC84">
        <v>1.3058700000000001</v>
      </c>
      <c r="AD84">
        <v>1.3604480000000001</v>
      </c>
      <c r="AE84">
        <v>1.4141509999999999</v>
      </c>
      <c r="AF84">
        <v>1.4691209999999999</v>
      </c>
      <c r="AG84">
        <v>1.5276000000000001</v>
      </c>
      <c r="AH84">
        <v>1.5891660000000001</v>
      </c>
      <c r="AI84">
        <v>1.654533</v>
      </c>
      <c r="AJ84" s="32">
        <v>0.11600000000000001</v>
      </c>
    </row>
    <row r="85" spans="1:36" ht="12.9" x14ac:dyDescent="0.15">
      <c r="A85" t="s">
        <v>448</v>
      </c>
      <c r="B85" t="s">
        <v>482</v>
      </c>
      <c r="C85" t="s">
        <v>727</v>
      </c>
      <c r="D85" t="s">
        <v>696</v>
      </c>
      <c r="E85">
        <v>3737.7229000000002</v>
      </c>
      <c r="F85">
        <v>3807.5063479999999</v>
      </c>
      <c r="G85">
        <v>3905.2692870000001</v>
      </c>
      <c r="H85">
        <v>3940.1110840000001</v>
      </c>
      <c r="I85">
        <v>3981.8940429999998</v>
      </c>
      <c r="J85">
        <v>4016.8698730000001</v>
      </c>
      <c r="K85">
        <v>4010.8562010000001</v>
      </c>
      <c r="L85">
        <v>3977.7946780000002</v>
      </c>
      <c r="M85">
        <v>3936.0427249999998</v>
      </c>
      <c r="N85">
        <v>3884.0266109999998</v>
      </c>
      <c r="O85">
        <v>3834.8679200000001</v>
      </c>
      <c r="P85">
        <v>3787.4301759999998</v>
      </c>
      <c r="Q85">
        <v>3744.4799800000001</v>
      </c>
      <c r="R85">
        <v>3702.4865719999998</v>
      </c>
      <c r="S85">
        <v>3674.6508789999998</v>
      </c>
      <c r="T85">
        <v>3664.7719729999999</v>
      </c>
      <c r="U85">
        <v>3656.0131839999999</v>
      </c>
      <c r="V85">
        <v>3648.280029</v>
      </c>
      <c r="W85">
        <v>3646.7241210000002</v>
      </c>
      <c r="X85">
        <v>3649.7473140000002</v>
      </c>
      <c r="Y85">
        <v>3651.6381839999999</v>
      </c>
      <c r="Z85">
        <v>3661.688721</v>
      </c>
      <c r="AA85">
        <v>3678.7145999999998</v>
      </c>
      <c r="AB85">
        <v>3704.8920899999998</v>
      </c>
      <c r="AC85">
        <v>3723.0173340000001</v>
      </c>
      <c r="AD85">
        <v>3742.9689939999998</v>
      </c>
      <c r="AE85">
        <v>3754.6381839999999</v>
      </c>
      <c r="AF85">
        <v>3763.2790530000002</v>
      </c>
      <c r="AG85">
        <v>3775.2172850000002</v>
      </c>
      <c r="AH85">
        <v>3789.6323240000002</v>
      </c>
      <c r="AI85">
        <v>3807.9389649999998</v>
      </c>
      <c r="AJ85" s="32">
        <v>1E-3</v>
      </c>
    </row>
    <row r="86" spans="1:36" ht="12.9" x14ac:dyDescent="0.15">
      <c r="A86" t="s">
        <v>407</v>
      </c>
      <c r="B86" t="s">
        <v>483</v>
      </c>
      <c r="C86" t="s">
        <v>728</v>
      </c>
    </row>
    <row r="87" spans="1:36" ht="12.9" x14ac:dyDescent="0.15">
      <c r="A87" t="s">
        <v>408</v>
      </c>
      <c r="B87" t="s">
        <v>484</v>
      </c>
      <c r="C87" t="s">
        <v>729</v>
      </c>
      <c r="D87" t="s">
        <v>696</v>
      </c>
      <c r="E87">
        <v>4646.3789059999999</v>
      </c>
      <c r="F87">
        <v>4739.3491210000002</v>
      </c>
      <c r="G87">
        <v>4865.5805659999996</v>
      </c>
      <c r="H87">
        <v>4911.4135740000002</v>
      </c>
      <c r="I87">
        <v>4965.5849609999996</v>
      </c>
      <c r="J87">
        <v>5012.1455079999996</v>
      </c>
      <c r="K87">
        <v>5010.001953</v>
      </c>
      <c r="L87">
        <v>4979.189453</v>
      </c>
      <c r="M87">
        <v>4942.7895509999998</v>
      </c>
      <c r="N87">
        <v>4896.5888670000004</v>
      </c>
      <c r="O87">
        <v>4855.7246089999999</v>
      </c>
      <c r="P87">
        <v>4817.326172</v>
      </c>
      <c r="Q87">
        <v>4783.6743159999996</v>
      </c>
      <c r="R87">
        <v>4748.658203</v>
      </c>
      <c r="S87">
        <v>4729.6948240000002</v>
      </c>
      <c r="T87">
        <v>4731.9438479999999</v>
      </c>
      <c r="U87">
        <v>4733.8554690000001</v>
      </c>
      <c r="V87">
        <v>4736.1713870000003</v>
      </c>
      <c r="W87">
        <v>4746.1196289999998</v>
      </c>
      <c r="X87">
        <v>4762.2338870000003</v>
      </c>
      <c r="Y87">
        <v>4775.576172</v>
      </c>
      <c r="Z87">
        <v>4798.8657229999999</v>
      </c>
      <c r="AA87">
        <v>4830.001953</v>
      </c>
      <c r="AB87">
        <v>4873.2880859999996</v>
      </c>
      <c r="AC87">
        <v>4906.2783200000003</v>
      </c>
      <c r="AD87">
        <v>4942.0234380000002</v>
      </c>
      <c r="AE87">
        <v>4966.9780270000001</v>
      </c>
      <c r="AF87">
        <v>4989.1303710000002</v>
      </c>
      <c r="AG87">
        <v>5016.955078</v>
      </c>
      <c r="AH87">
        <v>5048.0107420000004</v>
      </c>
      <c r="AI87">
        <v>5084.3339839999999</v>
      </c>
      <c r="AJ87" s="32">
        <v>3.0000000000000001E-3</v>
      </c>
    </row>
    <row r="88" spans="1:36" ht="12.9" x14ac:dyDescent="0.15">
      <c r="A88" t="s">
        <v>410</v>
      </c>
      <c r="B88" t="s">
        <v>485</v>
      </c>
      <c r="C88" t="s">
        <v>730</v>
      </c>
      <c r="D88" t="s">
        <v>696</v>
      </c>
      <c r="E88">
        <v>460.86975100000001</v>
      </c>
      <c r="F88">
        <v>464.52282700000001</v>
      </c>
      <c r="G88">
        <v>469.54321299999998</v>
      </c>
      <c r="H88">
        <v>465.99099699999999</v>
      </c>
      <c r="I88">
        <v>463.69515999999999</v>
      </c>
      <c r="J88">
        <v>461.26968399999998</v>
      </c>
      <c r="K88">
        <v>457.29605099999998</v>
      </c>
      <c r="L88">
        <v>454.04574600000001</v>
      </c>
      <c r="M88">
        <v>453.400757</v>
      </c>
      <c r="N88">
        <v>453.936127</v>
      </c>
      <c r="O88">
        <v>456.04293799999999</v>
      </c>
      <c r="P88">
        <v>458.55139200000002</v>
      </c>
      <c r="Q88">
        <v>462.03924599999999</v>
      </c>
      <c r="R88">
        <v>465.12713600000001</v>
      </c>
      <c r="S88">
        <v>469.47937000000002</v>
      </c>
      <c r="T88">
        <v>475.35687300000001</v>
      </c>
      <c r="U88">
        <v>480.72488399999997</v>
      </c>
      <c r="V88">
        <v>486.78750600000001</v>
      </c>
      <c r="W88">
        <v>493.66656499999999</v>
      </c>
      <c r="X88">
        <v>501.82000699999998</v>
      </c>
      <c r="Y88">
        <v>509.34664900000001</v>
      </c>
      <c r="Z88">
        <v>518.26178000000004</v>
      </c>
      <c r="AA88">
        <v>527.90002400000003</v>
      </c>
      <c r="AB88">
        <v>539.17065400000001</v>
      </c>
      <c r="AC88">
        <v>549.62530500000003</v>
      </c>
      <c r="AD88">
        <v>560.49871800000005</v>
      </c>
      <c r="AE88">
        <v>570.46868900000004</v>
      </c>
      <c r="AF88">
        <v>580.66192599999999</v>
      </c>
      <c r="AG88">
        <v>591.99530000000004</v>
      </c>
      <c r="AH88">
        <v>603.85858199999996</v>
      </c>
      <c r="AI88">
        <v>616.45465100000001</v>
      </c>
      <c r="AJ88" s="32">
        <v>0.01</v>
      </c>
    </row>
    <row r="89" spans="1:36" ht="12.9" x14ac:dyDescent="0.15">
      <c r="A89" t="s">
        <v>412</v>
      </c>
      <c r="B89" t="s">
        <v>486</v>
      </c>
      <c r="C89" t="s">
        <v>731</v>
      </c>
      <c r="D89" t="s">
        <v>696</v>
      </c>
      <c r="E89">
        <v>1.628536</v>
      </c>
      <c r="F89">
        <v>1.7773559999999999</v>
      </c>
      <c r="G89">
        <v>1.9456089999999999</v>
      </c>
      <c r="H89">
        <v>2.0777999999999999</v>
      </c>
      <c r="I89">
        <v>2.206099</v>
      </c>
      <c r="J89">
        <v>2.3248259999999998</v>
      </c>
      <c r="K89">
        <v>2.417751</v>
      </c>
      <c r="L89">
        <v>2.4950869999999998</v>
      </c>
      <c r="M89">
        <v>2.573248</v>
      </c>
      <c r="N89">
        <v>2.6484380000000001</v>
      </c>
      <c r="O89">
        <v>2.729501</v>
      </c>
      <c r="P89">
        <v>2.8147829999999998</v>
      </c>
      <c r="Q89">
        <v>2.9065439999999998</v>
      </c>
      <c r="R89">
        <v>3.0061990000000001</v>
      </c>
      <c r="S89">
        <v>3.1255259999999998</v>
      </c>
      <c r="T89">
        <v>3.2563960000000001</v>
      </c>
      <c r="U89">
        <v>3.3877389999999998</v>
      </c>
      <c r="V89">
        <v>3.5231690000000002</v>
      </c>
      <c r="W89">
        <v>3.671373</v>
      </c>
      <c r="X89">
        <v>3.8304819999999999</v>
      </c>
      <c r="Y89">
        <v>3.9912010000000002</v>
      </c>
      <c r="Z89">
        <v>4.1664060000000003</v>
      </c>
      <c r="AA89">
        <v>4.3517989999999998</v>
      </c>
      <c r="AB89">
        <v>4.5521599999999998</v>
      </c>
      <c r="AC89">
        <v>4.7480570000000002</v>
      </c>
      <c r="AD89">
        <v>4.9549649999999996</v>
      </c>
      <c r="AE89">
        <v>5.1609420000000004</v>
      </c>
      <c r="AF89">
        <v>5.3756110000000001</v>
      </c>
      <c r="AG89">
        <v>5.6106429999999996</v>
      </c>
      <c r="AH89">
        <v>5.8543520000000004</v>
      </c>
      <c r="AI89">
        <v>6.1199649999999997</v>
      </c>
      <c r="AJ89" s="32">
        <v>4.4999999999999998E-2</v>
      </c>
    </row>
    <row r="90" spans="1:36" ht="12.9" x14ac:dyDescent="0.15">
      <c r="A90" t="s">
        <v>414</v>
      </c>
      <c r="B90" t="s">
        <v>487</v>
      </c>
      <c r="C90" t="s">
        <v>732</v>
      </c>
      <c r="D90" t="s">
        <v>696</v>
      </c>
      <c r="E90">
        <v>47.953029999999998</v>
      </c>
      <c r="F90">
        <v>49.845165000000001</v>
      </c>
      <c r="G90">
        <v>51.532200000000003</v>
      </c>
      <c r="H90">
        <v>51.778038000000002</v>
      </c>
      <c r="I90">
        <v>51.581299000000001</v>
      </c>
      <c r="J90">
        <v>51.004958999999999</v>
      </c>
      <c r="K90">
        <v>49.846718000000003</v>
      </c>
      <c r="L90">
        <v>48.45261</v>
      </c>
      <c r="M90">
        <v>47.096378000000001</v>
      </c>
      <c r="N90">
        <v>45.747577999999997</v>
      </c>
      <c r="O90">
        <v>44.559382999999997</v>
      </c>
      <c r="P90">
        <v>43.536991</v>
      </c>
      <c r="Q90">
        <v>42.794024999999998</v>
      </c>
      <c r="R90">
        <v>42.331420999999999</v>
      </c>
      <c r="S90">
        <v>42.288643</v>
      </c>
      <c r="T90">
        <v>42.702843000000001</v>
      </c>
      <c r="U90">
        <v>43.356655000000003</v>
      </c>
      <c r="V90">
        <v>44.278357999999997</v>
      </c>
      <c r="W90">
        <v>45.496887000000001</v>
      </c>
      <c r="X90">
        <v>47.027118999999999</v>
      </c>
      <c r="Y90">
        <v>48.864623999999999</v>
      </c>
      <c r="Z90">
        <v>51.153297000000002</v>
      </c>
      <c r="AA90">
        <v>53.854602999999997</v>
      </c>
      <c r="AB90">
        <v>57.028579999999998</v>
      </c>
      <c r="AC90">
        <v>60.461334000000001</v>
      </c>
      <c r="AD90">
        <v>64.378838000000002</v>
      </c>
      <c r="AE90">
        <v>68.652137999999994</v>
      </c>
      <c r="AF90">
        <v>73.334320000000005</v>
      </c>
      <c r="AG90">
        <v>78.528107000000006</v>
      </c>
      <c r="AH90">
        <v>84.369026000000005</v>
      </c>
      <c r="AI90">
        <v>90.907668999999999</v>
      </c>
      <c r="AJ90" s="32">
        <v>2.1999999999999999E-2</v>
      </c>
    </row>
    <row r="91" spans="1:36" ht="12.9" x14ac:dyDescent="0.15">
      <c r="A91" t="s">
        <v>416</v>
      </c>
      <c r="B91" t="s">
        <v>488</v>
      </c>
      <c r="C91" t="s">
        <v>733</v>
      </c>
      <c r="D91" t="s">
        <v>696</v>
      </c>
      <c r="E91">
        <v>60.468150999999999</v>
      </c>
      <c r="F91">
        <v>66.299071999999995</v>
      </c>
      <c r="G91">
        <v>72.175606000000002</v>
      </c>
      <c r="H91">
        <v>76.444137999999995</v>
      </c>
      <c r="I91">
        <v>80.637550000000005</v>
      </c>
      <c r="J91">
        <v>84.690230999999997</v>
      </c>
      <c r="K91">
        <v>88.238372999999996</v>
      </c>
      <c r="L91">
        <v>91.903319999999994</v>
      </c>
      <c r="M91">
        <v>96.074439999999996</v>
      </c>
      <c r="N91">
        <v>100.60952</v>
      </c>
      <c r="O91">
        <v>105.468964</v>
      </c>
      <c r="P91">
        <v>110.5457</v>
      </c>
      <c r="Q91">
        <v>115.838318</v>
      </c>
      <c r="R91">
        <v>121.096039</v>
      </c>
      <c r="S91">
        <v>126.64123499999999</v>
      </c>
      <c r="T91">
        <v>132.617752</v>
      </c>
      <c r="U91">
        <v>138.44786099999999</v>
      </c>
      <c r="V91">
        <v>144.48704499999999</v>
      </c>
      <c r="W91">
        <v>150.83395400000001</v>
      </c>
      <c r="X91">
        <v>157.63082900000001</v>
      </c>
      <c r="Y91">
        <v>164.463089</v>
      </c>
      <c r="Z91">
        <v>172.10832199999999</v>
      </c>
      <c r="AA91">
        <v>180.521072</v>
      </c>
      <c r="AB91">
        <v>189.730988</v>
      </c>
      <c r="AC91">
        <v>198.924072</v>
      </c>
      <c r="AD91">
        <v>208.80064400000001</v>
      </c>
      <c r="AE91">
        <v>218.738281</v>
      </c>
      <c r="AF91">
        <v>229.24539200000001</v>
      </c>
      <c r="AG91">
        <v>240.63826</v>
      </c>
      <c r="AH91">
        <v>252.60655199999999</v>
      </c>
      <c r="AI91">
        <v>265.29858400000001</v>
      </c>
      <c r="AJ91" s="32">
        <v>5.0999999999999997E-2</v>
      </c>
    </row>
    <row r="92" spans="1:36" ht="12.9" x14ac:dyDescent="0.15">
      <c r="A92" t="s">
        <v>288</v>
      </c>
      <c r="B92" t="s">
        <v>489</v>
      </c>
      <c r="C92" t="s">
        <v>734</v>
      </c>
      <c r="D92" t="s">
        <v>696</v>
      </c>
      <c r="E92">
        <v>8.9997999999999995E-2</v>
      </c>
      <c r="F92">
        <v>0.163688</v>
      </c>
      <c r="G92">
        <v>0.249974</v>
      </c>
      <c r="H92">
        <v>0.337198</v>
      </c>
      <c r="I92">
        <v>0.42652699999999999</v>
      </c>
      <c r="J92">
        <v>0.51549299999999998</v>
      </c>
      <c r="K92">
        <v>0.597889</v>
      </c>
      <c r="L92">
        <v>0.67499200000000004</v>
      </c>
      <c r="M92">
        <v>0.75191300000000005</v>
      </c>
      <c r="N92">
        <v>0.82803800000000005</v>
      </c>
      <c r="O92">
        <v>0.90481400000000001</v>
      </c>
      <c r="P92">
        <v>0.98185599999999995</v>
      </c>
      <c r="Q92">
        <v>1.059515</v>
      </c>
      <c r="R92">
        <v>1.1359090000000001</v>
      </c>
      <c r="S92">
        <v>1.215317</v>
      </c>
      <c r="T92">
        <v>1.3000130000000001</v>
      </c>
      <c r="U92">
        <v>1.3848370000000001</v>
      </c>
      <c r="V92">
        <v>1.471303</v>
      </c>
      <c r="W92">
        <v>1.5641339999999999</v>
      </c>
      <c r="X92">
        <v>1.6610320000000001</v>
      </c>
      <c r="Y92">
        <v>1.759606</v>
      </c>
      <c r="Z92">
        <v>1.8651279999999999</v>
      </c>
      <c r="AA92">
        <v>1.976728</v>
      </c>
      <c r="AB92">
        <v>2.0954579999999998</v>
      </c>
      <c r="AC92">
        <v>2.2125650000000001</v>
      </c>
      <c r="AD92">
        <v>2.3353069999999998</v>
      </c>
      <c r="AE92">
        <v>2.4583659999999998</v>
      </c>
      <c r="AF92">
        <v>2.5862150000000002</v>
      </c>
      <c r="AG92">
        <v>2.7240229999999999</v>
      </c>
      <c r="AH92">
        <v>2.8703340000000002</v>
      </c>
      <c r="AI92">
        <v>3.0275319999999999</v>
      </c>
      <c r="AJ92" s="32">
        <v>0.124</v>
      </c>
    </row>
    <row r="93" spans="1:36" ht="12.9" x14ac:dyDescent="0.15">
      <c r="A93" t="s">
        <v>419</v>
      </c>
      <c r="B93" t="s">
        <v>490</v>
      </c>
      <c r="C93" t="s">
        <v>735</v>
      </c>
      <c r="D93" t="s">
        <v>696</v>
      </c>
      <c r="E93">
        <v>0.16417799999999999</v>
      </c>
      <c r="F93">
        <v>0.26693099999999997</v>
      </c>
      <c r="G93">
        <v>0.38777299999999998</v>
      </c>
      <c r="H93">
        <v>0.50831300000000001</v>
      </c>
      <c r="I93">
        <v>0.62991600000000003</v>
      </c>
      <c r="J93">
        <v>0.74863999999999997</v>
      </c>
      <c r="K93">
        <v>0.85668999999999995</v>
      </c>
      <c r="L93">
        <v>0.95623100000000005</v>
      </c>
      <c r="M93">
        <v>1.0542860000000001</v>
      </c>
      <c r="N93">
        <v>1.1494120000000001</v>
      </c>
      <c r="O93">
        <v>1.2439579999999999</v>
      </c>
      <c r="P93">
        <v>1.337242</v>
      </c>
      <c r="Q93">
        <v>1.4299170000000001</v>
      </c>
      <c r="R93">
        <v>1.5200469999999999</v>
      </c>
      <c r="S93">
        <v>1.613666</v>
      </c>
      <c r="T93">
        <v>1.714121</v>
      </c>
      <c r="U93">
        <v>1.815647</v>
      </c>
      <c r="V93">
        <v>1.9204330000000001</v>
      </c>
      <c r="W93">
        <v>2.0310389999999998</v>
      </c>
      <c r="X93">
        <v>2.14601</v>
      </c>
      <c r="Y93">
        <v>2.2644700000000002</v>
      </c>
      <c r="Z93">
        <v>2.3944179999999999</v>
      </c>
      <c r="AA93">
        <v>2.5303179999999998</v>
      </c>
      <c r="AB93">
        <v>2.675154</v>
      </c>
      <c r="AC93">
        <v>2.8178030000000001</v>
      </c>
      <c r="AD93">
        <v>2.9672719999999999</v>
      </c>
      <c r="AE93">
        <v>3.1168439999999999</v>
      </c>
      <c r="AF93">
        <v>3.2720690000000001</v>
      </c>
      <c r="AG93">
        <v>3.4394049999999998</v>
      </c>
      <c r="AH93">
        <v>3.617248</v>
      </c>
      <c r="AI93">
        <v>3.8085680000000002</v>
      </c>
      <c r="AJ93" s="32">
        <v>0.11</v>
      </c>
    </row>
    <row r="94" spans="1:36" ht="12.9" x14ac:dyDescent="0.15">
      <c r="A94" t="s">
        <v>421</v>
      </c>
      <c r="B94" t="s">
        <v>491</v>
      </c>
      <c r="C94" t="s">
        <v>736</v>
      </c>
      <c r="D94" t="s">
        <v>696</v>
      </c>
      <c r="E94">
        <v>0.17280000000000001</v>
      </c>
      <c r="F94">
        <v>0.28568500000000002</v>
      </c>
      <c r="G94">
        <v>0.41936800000000002</v>
      </c>
      <c r="H94">
        <v>0.55304600000000004</v>
      </c>
      <c r="I94">
        <v>0.68893400000000005</v>
      </c>
      <c r="J94">
        <v>0.82306100000000004</v>
      </c>
      <c r="K94">
        <v>0.94603899999999996</v>
      </c>
      <c r="L94">
        <v>1.0599270000000001</v>
      </c>
      <c r="M94">
        <v>1.1728529999999999</v>
      </c>
      <c r="N94">
        <v>1.283515</v>
      </c>
      <c r="O94">
        <v>1.3943859999999999</v>
      </c>
      <c r="P94">
        <v>1.504756</v>
      </c>
      <c r="Q94">
        <v>1.615253</v>
      </c>
      <c r="R94">
        <v>1.7235240000000001</v>
      </c>
      <c r="S94">
        <v>1.8361529999999999</v>
      </c>
      <c r="T94">
        <v>1.956896</v>
      </c>
      <c r="U94">
        <v>2.0789949999999999</v>
      </c>
      <c r="V94">
        <v>2.2048130000000001</v>
      </c>
      <c r="W94">
        <v>2.3375059999999999</v>
      </c>
      <c r="X94">
        <v>2.4754770000000001</v>
      </c>
      <c r="Y94">
        <v>2.617353</v>
      </c>
      <c r="Z94">
        <v>2.7720829999999999</v>
      </c>
      <c r="AA94">
        <v>2.933786</v>
      </c>
      <c r="AB94">
        <v>3.1056979999999998</v>
      </c>
      <c r="AC94">
        <v>3.2752150000000002</v>
      </c>
      <c r="AD94">
        <v>3.4527459999999999</v>
      </c>
      <c r="AE94">
        <v>3.6304059999999998</v>
      </c>
      <c r="AF94">
        <v>3.814743</v>
      </c>
      <c r="AG94">
        <v>4.0133320000000001</v>
      </c>
      <c r="AH94">
        <v>4.2238530000000001</v>
      </c>
      <c r="AI94">
        <v>4.4496909999999996</v>
      </c>
      <c r="AJ94" s="32">
        <v>0.114</v>
      </c>
    </row>
    <row r="95" spans="1:36" ht="12.9" x14ac:dyDescent="0.15">
      <c r="A95" t="s">
        <v>300</v>
      </c>
      <c r="B95" t="s">
        <v>492</v>
      </c>
      <c r="C95" t="s">
        <v>737</v>
      </c>
      <c r="D95" t="s">
        <v>696</v>
      </c>
      <c r="E95">
        <v>0.13279199999999999</v>
      </c>
      <c r="F95">
        <v>0.25992599999999999</v>
      </c>
      <c r="G95">
        <v>0.41427199999999997</v>
      </c>
      <c r="H95">
        <v>0.57395099999999999</v>
      </c>
      <c r="I95">
        <v>0.73885999999999996</v>
      </c>
      <c r="J95">
        <v>0.90507099999999996</v>
      </c>
      <c r="K95">
        <v>1.0615019999999999</v>
      </c>
      <c r="L95">
        <v>1.208407</v>
      </c>
      <c r="M95">
        <v>1.3531470000000001</v>
      </c>
      <c r="N95">
        <v>1.497633</v>
      </c>
      <c r="O95">
        <v>1.645084</v>
      </c>
      <c r="P95">
        <v>1.7943979999999999</v>
      </c>
      <c r="Q95">
        <v>1.9460789999999999</v>
      </c>
      <c r="R95">
        <v>2.0955010000000001</v>
      </c>
      <c r="S95">
        <v>2.2496239999999998</v>
      </c>
      <c r="T95">
        <v>2.4129040000000002</v>
      </c>
      <c r="U95">
        <v>2.577223</v>
      </c>
      <c r="V95">
        <v>2.7436950000000002</v>
      </c>
      <c r="W95">
        <v>2.9192119999999999</v>
      </c>
      <c r="X95">
        <v>3.1030730000000002</v>
      </c>
      <c r="Y95">
        <v>3.2931789999999999</v>
      </c>
      <c r="Z95">
        <v>3.4983499999999998</v>
      </c>
      <c r="AA95">
        <v>3.715147</v>
      </c>
      <c r="AB95">
        <v>3.9479099999999998</v>
      </c>
      <c r="AC95">
        <v>4.1795640000000001</v>
      </c>
      <c r="AD95">
        <v>4.4228500000000004</v>
      </c>
      <c r="AE95">
        <v>4.6686120000000004</v>
      </c>
      <c r="AF95">
        <v>4.9224540000000001</v>
      </c>
      <c r="AG95">
        <v>5.1942959999999996</v>
      </c>
      <c r="AH95">
        <v>5.4856660000000002</v>
      </c>
      <c r="AI95">
        <v>5.799258</v>
      </c>
      <c r="AJ95" s="32">
        <v>0.13400000000000001</v>
      </c>
    </row>
    <row r="96" spans="1:36" ht="12.9" x14ac:dyDescent="0.15">
      <c r="A96" t="s">
        <v>493</v>
      </c>
      <c r="B96" t="s">
        <v>494</v>
      </c>
      <c r="C96" t="s">
        <v>738</v>
      </c>
      <c r="D96" t="s">
        <v>696</v>
      </c>
      <c r="E96">
        <v>5217.8579099999997</v>
      </c>
      <c r="F96">
        <v>5322.7734380000002</v>
      </c>
      <c r="G96">
        <v>5462.2470700000003</v>
      </c>
      <c r="H96">
        <v>5509.6748049999997</v>
      </c>
      <c r="I96">
        <v>5566.1865230000003</v>
      </c>
      <c r="J96">
        <v>5614.4267579999996</v>
      </c>
      <c r="K96">
        <v>5611.2626950000003</v>
      </c>
      <c r="L96">
        <v>5579.9892579999996</v>
      </c>
      <c r="M96">
        <v>5546.2666019999997</v>
      </c>
      <c r="N96">
        <v>5504.2871089999999</v>
      </c>
      <c r="O96">
        <v>5469.7138670000004</v>
      </c>
      <c r="P96">
        <v>5438.3911129999997</v>
      </c>
      <c r="Q96">
        <v>5413.3051759999998</v>
      </c>
      <c r="R96">
        <v>5386.6933589999999</v>
      </c>
      <c r="S96">
        <v>5378.1435549999997</v>
      </c>
      <c r="T96">
        <v>5393.2597660000001</v>
      </c>
      <c r="U96">
        <v>5407.6298829999996</v>
      </c>
      <c r="V96">
        <v>5423.5878910000001</v>
      </c>
      <c r="W96">
        <v>5448.6391599999997</v>
      </c>
      <c r="X96">
        <v>5481.9311520000001</v>
      </c>
      <c r="Y96">
        <v>5512.1757809999999</v>
      </c>
      <c r="Z96">
        <v>5555.0859380000002</v>
      </c>
      <c r="AA96">
        <v>5607.7861329999996</v>
      </c>
      <c r="AB96">
        <v>5675.595703</v>
      </c>
      <c r="AC96">
        <v>5732.5273440000001</v>
      </c>
      <c r="AD96">
        <v>5793.8349609999996</v>
      </c>
      <c r="AE96">
        <v>5843.8691410000001</v>
      </c>
      <c r="AF96">
        <v>5892.3432620000003</v>
      </c>
      <c r="AG96">
        <v>5949.0981449999999</v>
      </c>
      <c r="AH96">
        <v>6010.8969729999999</v>
      </c>
      <c r="AI96">
        <v>6080.1982420000004</v>
      </c>
      <c r="AJ96" s="32">
        <v>5.0000000000000001E-3</v>
      </c>
    </row>
    <row r="97" spans="1:36" ht="12.9" x14ac:dyDescent="0.15">
      <c r="A97" t="s">
        <v>495</v>
      </c>
      <c r="C97" t="s">
        <v>739</v>
      </c>
    </row>
    <row r="98" spans="1:36" ht="12.9" x14ac:dyDescent="0.15">
      <c r="A98" t="s">
        <v>407</v>
      </c>
      <c r="C98" t="s">
        <v>740</v>
      </c>
    </row>
    <row r="99" spans="1:36" ht="12.9" x14ac:dyDescent="0.15">
      <c r="A99" t="s">
        <v>408</v>
      </c>
      <c r="B99" t="s">
        <v>496</v>
      </c>
      <c r="C99" t="s">
        <v>741</v>
      </c>
      <c r="D99" t="s">
        <v>742</v>
      </c>
      <c r="E99">
        <v>14.441151</v>
      </c>
      <c r="F99">
        <v>14.628738</v>
      </c>
      <c r="G99">
        <v>14.826855</v>
      </c>
      <c r="H99">
        <v>15.032551</v>
      </c>
      <c r="I99">
        <v>15.251995000000001</v>
      </c>
      <c r="J99">
        <v>15.486542999999999</v>
      </c>
      <c r="K99">
        <v>15.729711999999999</v>
      </c>
      <c r="L99">
        <v>15.97142</v>
      </c>
      <c r="M99">
        <v>16.200776999999999</v>
      </c>
      <c r="N99">
        <v>16.420397000000001</v>
      </c>
      <c r="O99">
        <v>16.622484</v>
      </c>
      <c r="P99">
        <v>16.806244</v>
      </c>
      <c r="Q99">
        <v>16.974647999999998</v>
      </c>
      <c r="R99">
        <v>17.128364999999999</v>
      </c>
      <c r="S99">
        <v>17.265326999999999</v>
      </c>
      <c r="T99">
        <v>17.388414000000001</v>
      </c>
      <c r="U99">
        <v>17.500191000000001</v>
      </c>
      <c r="V99">
        <v>17.601517000000001</v>
      </c>
      <c r="W99">
        <v>17.693231999999998</v>
      </c>
      <c r="X99">
        <v>17.772932000000001</v>
      </c>
      <c r="Y99">
        <v>17.842500999999999</v>
      </c>
      <c r="Z99">
        <v>17.902698999999998</v>
      </c>
      <c r="AA99">
        <v>17.955086000000001</v>
      </c>
      <c r="AB99">
        <v>17.998446000000001</v>
      </c>
      <c r="AC99">
        <v>18.034400999999999</v>
      </c>
      <c r="AD99">
        <v>18.065225999999999</v>
      </c>
      <c r="AE99">
        <v>18.092281</v>
      </c>
      <c r="AF99">
        <v>18.114474999999999</v>
      </c>
      <c r="AG99">
        <v>18.132636999999999</v>
      </c>
      <c r="AH99">
        <v>18.148385999999999</v>
      </c>
      <c r="AI99">
        <v>18.161615000000001</v>
      </c>
      <c r="AJ99" s="32">
        <v>8.0000000000000002E-3</v>
      </c>
    </row>
    <row r="100" spans="1:36" ht="12.9" x14ac:dyDescent="0.15">
      <c r="A100" t="s">
        <v>410</v>
      </c>
      <c r="B100" t="s">
        <v>497</v>
      </c>
      <c r="C100" t="s">
        <v>743</v>
      </c>
      <c r="D100" t="s">
        <v>744</v>
      </c>
      <c r="E100">
        <v>9.9266389999999998</v>
      </c>
      <c r="F100">
        <v>10.047264999999999</v>
      </c>
      <c r="G100">
        <v>10.179485</v>
      </c>
      <c r="H100">
        <v>10.322433</v>
      </c>
      <c r="I100">
        <v>10.480319</v>
      </c>
      <c r="J100">
        <v>10.651832000000001</v>
      </c>
      <c r="K100">
        <v>10.832162</v>
      </c>
      <c r="L100">
        <v>11.020344</v>
      </c>
      <c r="M100">
        <v>11.206970999999999</v>
      </c>
      <c r="N100">
        <v>11.395505</v>
      </c>
      <c r="O100">
        <v>11.579355</v>
      </c>
      <c r="P100">
        <v>11.762096</v>
      </c>
      <c r="Q100">
        <v>11.935959</v>
      </c>
      <c r="R100">
        <v>12.098836</v>
      </c>
      <c r="S100">
        <v>12.252234</v>
      </c>
      <c r="T100">
        <v>12.398338000000001</v>
      </c>
      <c r="U100">
        <v>12.534537</v>
      </c>
      <c r="V100">
        <v>12.661916</v>
      </c>
      <c r="W100">
        <v>12.78312</v>
      </c>
      <c r="X100">
        <v>12.898834000000001</v>
      </c>
      <c r="Y100">
        <v>13.008051</v>
      </c>
      <c r="Z100">
        <v>13.106111</v>
      </c>
      <c r="AA100">
        <v>13.196059</v>
      </c>
      <c r="AB100">
        <v>13.277345</v>
      </c>
      <c r="AC100">
        <v>13.350287</v>
      </c>
      <c r="AD100">
        <v>13.416955</v>
      </c>
      <c r="AE100">
        <v>13.477194000000001</v>
      </c>
      <c r="AF100">
        <v>13.533129000000001</v>
      </c>
      <c r="AG100">
        <v>13.587325999999999</v>
      </c>
      <c r="AH100">
        <v>13.639747</v>
      </c>
      <c r="AI100">
        <v>13.692322000000001</v>
      </c>
      <c r="AJ100" s="32">
        <v>1.0999999999999999E-2</v>
      </c>
    </row>
    <row r="101" spans="1:36" ht="12.9" x14ac:dyDescent="0.15">
      <c r="A101" t="s">
        <v>412</v>
      </c>
      <c r="B101" t="s">
        <v>498</v>
      </c>
      <c r="C101" t="s">
        <v>745</v>
      </c>
      <c r="D101" t="s">
        <v>744</v>
      </c>
      <c r="E101">
        <v>11.814458999999999</v>
      </c>
      <c r="F101">
        <v>12.035695</v>
      </c>
      <c r="G101">
        <v>12.181948</v>
      </c>
      <c r="H101">
        <v>12.289887</v>
      </c>
      <c r="I101">
        <v>12.388009</v>
      </c>
      <c r="J101">
        <v>12.488956999999999</v>
      </c>
      <c r="K101">
        <v>12.598053999999999</v>
      </c>
      <c r="L101">
        <v>12.716735999999999</v>
      </c>
      <c r="M101">
        <v>12.81616</v>
      </c>
      <c r="N101">
        <v>12.905619</v>
      </c>
      <c r="O101">
        <v>12.988258</v>
      </c>
      <c r="P101">
        <v>13.053436</v>
      </c>
      <c r="Q101">
        <v>13.114386</v>
      </c>
      <c r="R101">
        <v>13.171251</v>
      </c>
      <c r="S101">
        <v>13.220426</v>
      </c>
      <c r="T101">
        <v>13.266594</v>
      </c>
      <c r="U101">
        <v>13.310082</v>
      </c>
      <c r="V101">
        <v>13.351424</v>
      </c>
      <c r="W101">
        <v>13.391095</v>
      </c>
      <c r="X101">
        <v>13.428837</v>
      </c>
      <c r="Y101">
        <v>13.466564999999999</v>
      </c>
      <c r="Z101">
        <v>13.502083000000001</v>
      </c>
      <c r="AA101">
        <v>13.535717999999999</v>
      </c>
      <c r="AB101">
        <v>13.567406</v>
      </c>
      <c r="AC101">
        <v>13.597003000000001</v>
      </c>
      <c r="AD101">
        <v>13.624390999999999</v>
      </c>
      <c r="AE101">
        <v>13.649222</v>
      </c>
      <c r="AF101">
        <v>13.670792</v>
      </c>
      <c r="AG101">
        <v>13.689068000000001</v>
      </c>
      <c r="AH101">
        <v>13.704409</v>
      </c>
      <c r="AI101">
        <v>13.717224</v>
      </c>
      <c r="AJ101" s="32">
        <v>5.0000000000000001E-3</v>
      </c>
    </row>
    <row r="102" spans="1:36" ht="12.9" x14ac:dyDescent="0.15">
      <c r="A102" t="s">
        <v>414</v>
      </c>
      <c r="B102" t="s">
        <v>499</v>
      </c>
      <c r="C102" t="s">
        <v>746</v>
      </c>
      <c r="D102" t="s">
        <v>744</v>
      </c>
      <c r="E102">
        <v>11.239466</v>
      </c>
      <c r="F102">
        <v>11.575377</v>
      </c>
      <c r="G102">
        <v>11.802208</v>
      </c>
      <c r="H102">
        <v>11.983522000000001</v>
      </c>
      <c r="I102">
        <v>12.15204</v>
      </c>
      <c r="J102">
        <v>12.321821</v>
      </c>
      <c r="K102">
        <v>12.496672999999999</v>
      </c>
      <c r="L102">
        <v>12.678108999999999</v>
      </c>
      <c r="M102">
        <v>12.830679999999999</v>
      </c>
      <c r="N102">
        <v>12.967447999999999</v>
      </c>
      <c r="O102">
        <v>13.091060000000001</v>
      </c>
      <c r="P102">
        <v>13.202503999999999</v>
      </c>
      <c r="Q102">
        <v>13.300399000000001</v>
      </c>
      <c r="R102">
        <v>13.385134000000001</v>
      </c>
      <c r="S102">
        <v>13.457652</v>
      </c>
      <c r="T102">
        <v>13.519247999999999</v>
      </c>
      <c r="U102">
        <v>13.571305000000001</v>
      </c>
      <c r="V102">
        <v>13.615952</v>
      </c>
      <c r="W102">
        <v>13.653896</v>
      </c>
      <c r="X102">
        <v>13.687379</v>
      </c>
      <c r="Y102">
        <v>13.723508000000001</v>
      </c>
      <c r="Z102">
        <v>13.755007000000001</v>
      </c>
      <c r="AA102">
        <v>13.782095999999999</v>
      </c>
      <c r="AB102">
        <v>13.804919999999999</v>
      </c>
      <c r="AC102">
        <v>13.823008</v>
      </c>
      <c r="AD102">
        <v>13.836185</v>
      </c>
      <c r="AE102">
        <v>13.843932000000001</v>
      </c>
      <c r="AF102">
        <v>13.844525000000001</v>
      </c>
      <c r="AG102">
        <v>13.839772</v>
      </c>
      <c r="AH102">
        <v>13.830671000000001</v>
      </c>
      <c r="AI102">
        <v>13.817937000000001</v>
      </c>
      <c r="AJ102" s="32">
        <v>7.0000000000000001E-3</v>
      </c>
    </row>
    <row r="103" spans="1:36" ht="12.9" x14ac:dyDescent="0.15">
      <c r="A103" t="s">
        <v>416</v>
      </c>
      <c r="B103" t="s">
        <v>500</v>
      </c>
      <c r="C103" t="s">
        <v>747</v>
      </c>
      <c r="D103" t="s">
        <v>744</v>
      </c>
      <c r="E103">
        <v>10.253147</v>
      </c>
      <c r="F103">
        <v>10.360734000000001</v>
      </c>
      <c r="G103">
        <v>10.477677999999999</v>
      </c>
      <c r="H103">
        <v>10.603992</v>
      </c>
      <c r="I103">
        <v>10.742763999999999</v>
      </c>
      <c r="J103">
        <v>10.893625</v>
      </c>
      <c r="K103">
        <v>11.053193</v>
      </c>
      <c r="L103">
        <v>11.220317</v>
      </c>
      <c r="M103">
        <v>11.378232000000001</v>
      </c>
      <c r="N103">
        <v>11.536349</v>
      </c>
      <c r="O103">
        <v>11.691799</v>
      </c>
      <c r="P103">
        <v>11.843816</v>
      </c>
      <c r="Q103">
        <v>11.98864</v>
      </c>
      <c r="R103">
        <v>12.124869</v>
      </c>
      <c r="S103">
        <v>12.255699</v>
      </c>
      <c r="T103">
        <v>12.378715</v>
      </c>
      <c r="U103">
        <v>12.493363</v>
      </c>
      <c r="V103">
        <v>12.597605</v>
      </c>
      <c r="W103">
        <v>12.695283999999999</v>
      </c>
      <c r="X103">
        <v>12.784198</v>
      </c>
      <c r="Y103">
        <v>12.863796000000001</v>
      </c>
      <c r="Z103">
        <v>12.932888</v>
      </c>
      <c r="AA103">
        <v>12.993784</v>
      </c>
      <c r="AB103">
        <v>13.046919000000001</v>
      </c>
      <c r="AC103">
        <v>13.093370999999999</v>
      </c>
      <c r="AD103">
        <v>13.134365000000001</v>
      </c>
      <c r="AE103">
        <v>13.169283999999999</v>
      </c>
      <c r="AF103">
        <v>13.200457999999999</v>
      </c>
      <c r="AG103">
        <v>13.228944</v>
      </c>
      <c r="AH103">
        <v>13.257667</v>
      </c>
      <c r="AI103">
        <v>13.285807999999999</v>
      </c>
      <c r="AJ103" s="32">
        <v>8.9999999999999993E-3</v>
      </c>
    </row>
    <row r="104" spans="1:36" ht="12.9" x14ac:dyDescent="0.15">
      <c r="A104" t="s">
        <v>288</v>
      </c>
      <c r="B104" t="s">
        <v>501</v>
      </c>
      <c r="C104" t="s">
        <v>748</v>
      </c>
      <c r="D104" t="s">
        <v>742</v>
      </c>
      <c r="E104">
        <v>26.399440999999999</v>
      </c>
      <c r="F104">
        <v>26.755863000000002</v>
      </c>
      <c r="G104">
        <v>26.928557999999999</v>
      </c>
      <c r="H104">
        <v>27.043559999999999</v>
      </c>
      <c r="I104">
        <v>27.145251999999999</v>
      </c>
      <c r="J104">
        <v>27.251470999999999</v>
      </c>
      <c r="K104">
        <v>27.368781999999999</v>
      </c>
      <c r="L104">
        <v>27.500584</v>
      </c>
      <c r="M104">
        <v>27.630794999999999</v>
      </c>
      <c r="N104">
        <v>27.772300999999999</v>
      </c>
      <c r="O104">
        <v>27.917207999999999</v>
      </c>
      <c r="P104">
        <v>28.057013999999999</v>
      </c>
      <c r="Q104">
        <v>28.184104999999999</v>
      </c>
      <c r="R104">
        <v>28.298544</v>
      </c>
      <c r="S104">
        <v>28.399671999999999</v>
      </c>
      <c r="T104">
        <v>28.487069999999999</v>
      </c>
      <c r="U104">
        <v>28.561395999999998</v>
      </c>
      <c r="V104">
        <v>28.62377</v>
      </c>
      <c r="W104">
        <v>28.675871000000001</v>
      </c>
      <c r="X104">
        <v>28.720589</v>
      </c>
      <c r="Y104">
        <v>28.758986</v>
      </c>
      <c r="Z104">
        <v>28.792487999999999</v>
      </c>
      <c r="AA104">
        <v>28.822303999999999</v>
      </c>
      <c r="AB104">
        <v>28.843585999999998</v>
      </c>
      <c r="AC104">
        <v>28.865393000000001</v>
      </c>
      <c r="AD104">
        <v>28.887146000000001</v>
      </c>
      <c r="AE104">
        <v>28.908477999999999</v>
      </c>
      <c r="AF104">
        <v>28.929573000000001</v>
      </c>
      <c r="AG104">
        <v>28.950541000000001</v>
      </c>
      <c r="AH104">
        <v>28.971117</v>
      </c>
      <c r="AI104">
        <v>28.990644</v>
      </c>
      <c r="AJ104" s="32">
        <v>3.0000000000000001E-3</v>
      </c>
    </row>
    <row r="105" spans="1:36" ht="12.9" x14ac:dyDescent="0.15">
      <c r="A105" t="s">
        <v>419</v>
      </c>
      <c r="B105" t="s">
        <v>502</v>
      </c>
      <c r="C105" t="s">
        <v>749</v>
      </c>
      <c r="D105" t="s">
        <v>742</v>
      </c>
      <c r="E105">
        <v>22.632963</v>
      </c>
      <c r="F105">
        <v>22.805019000000001</v>
      </c>
      <c r="G105">
        <v>23.005239</v>
      </c>
      <c r="H105">
        <v>23.195965000000001</v>
      </c>
      <c r="I105">
        <v>23.416011999999998</v>
      </c>
      <c r="J105">
        <v>23.685102000000001</v>
      </c>
      <c r="K105">
        <v>23.992557999999999</v>
      </c>
      <c r="L105">
        <v>24.338844000000002</v>
      </c>
      <c r="M105">
        <v>24.667368</v>
      </c>
      <c r="N105">
        <v>25.024435</v>
      </c>
      <c r="O105">
        <v>25.384039000000001</v>
      </c>
      <c r="P105">
        <v>25.738420000000001</v>
      </c>
      <c r="Q105">
        <v>26.071756000000001</v>
      </c>
      <c r="R105">
        <v>26.371476999999999</v>
      </c>
      <c r="S105">
        <v>26.637753</v>
      </c>
      <c r="T105">
        <v>26.871957999999999</v>
      </c>
      <c r="U105">
        <v>27.074155999999999</v>
      </c>
      <c r="V105">
        <v>27.246549999999999</v>
      </c>
      <c r="W105">
        <v>27.392555000000002</v>
      </c>
      <c r="X105">
        <v>27.519750999999999</v>
      </c>
      <c r="Y105">
        <v>27.631689000000001</v>
      </c>
      <c r="Z105">
        <v>27.731079000000001</v>
      </c>
      <c r="AA105">
        <v>27.820191999999999</v>
      </c>
      <c r="AB105">
        <v>27.907637000000001</v>
      </c>
      <c r="AC105">
        <v>27.992422000000001</v>
      </c>
      <c r="AD105">
        <v>28.073622</v>
      </c>
      <c r="AE105">
        <v>28.149307</v>
      </c>
      <c r="AF105">
        <v>28.218852999999999</v>
      </c>
      <c r="AG105">
        <v>28.281551</v>
      </c>
      <c r="AH105">
        <v>28.336206000000001</v>
      </c>
      <c r="AI105">
        <v>28.380762000000001</v>
      </c>
      <c r="AJ105" s="32">
        <v>8.0000000000000002E-3</v>
      </c>
    </row>
    <row r="106" spans="1:36" ht="12.9" x14ac:dyDescent="0.15">
      <c r="A106" t="s">
        <v>421</v>
      </c>
      <c r="B106" t="s">
        <v>503</v>
      </c>
      <c r="C106" t="s">
        <v>750</v>
      </c>
      <c r="D106" t="s">
        <v>744</v>
      </c>
      <c r="E106">
        <v>18.318317</v>
      </c>
      <c r="F106">
        <v>18.485561000000001</v>
      </c>
      <c r="G106">
        <v>18.572817000000001</v>
      </c>
      <c r="H106">
        <v>18.650091</v>
      </c>
      <c r="I106">
        <v>18.732737</v>
      </c>
      <c r="J106">
        <v>18.828057999999999</v>
      </c>
      <c r="K106">
        <v>18.938272000000001</v>
      </c>
      <c r="L106">
        <v>19.066110999999999</v>
      </c>
      <c r="M106">
        <v>19.183599000000001</v>
      </c>
      <c r="N106">
        <v>19.305886999999998</v>
      </c>
      <c r="O106">
        <v>19.424398</v>
      </c>
      <c r="P106">
        <v>19.536116</v>
      </c>
      <c r="Q106">
        <v>19.635946000000001</v>
      </c>
      <c r="R106">
        <v>19.724335</v>
      </c>
      <c r="S106">
        <v>19.802139</v>
      </c>
      <c r="T106">
        <v>19.869484</v>
      </c>
      <c r="U106">
        <v>19.926494999999999</v>
      </c>
      <c r="V106">
        <v>19.974305999999999</v>
      </c>
      <c r="W106">
        <v>20.008278000000001</v>
      </c>
      <c r="X106">
        <v>20.038494</v>
      </c>
      <c r="Y106">
        <v>20.066004</v>
      </c>
      <c r="Z106">
        <v>20.092134000000001</v>
      </c>
      <c r="AA106">
        <v>20.117989999999999</v>
      </c>
      <c r="AB106">
        <v>20.146463000000001</v>
      </c>
      <c r="AC106">
        <v>20.175598000000001</v>
      </c>
      <c r="AD106">
        <v>20.207552</v>
      </c>
      <c r="AE106">
        <v>20.241367</v>
      </c>
      <c r="AF106">
        <v>20.276648999999999</v>
      </c>
      <c r="AG106">
        <v>20.312859</v>
      </c>
      <c r="AH106">
        <v>20.348948</v>
      </c>
      <c r="AI106">
        <v>20.383913</v>
      </c>
      <c r="AJ106" s="32">
        <v>4.0000000000000001E-3</v>
      </c>
    </row>
    <row r="107" spans="1:36" ht="12.9" x14ac:dyDescent="0.15">
      <c r="A107" t="s">
        <v>300</v>
      </c>
      <c r="B107" t="s">
        <v>504</v>
      </c>
      <c r="C107" t="s">
        <v>751</v>
      </c>
      <c r="D107" t="s">
        <v>742</v>
      </c>
      <c r="E107">
        <v>18.454547999999999</v>
      </c>
      <c r="F107">
        <v>17.221418</v>
      </c>
      <c r="G107">
        <v>16.866793000000001</v>
      </c>
      <c r="H107">
        <v>16.691296000000001</v>
      </c>
      <c r="I107">
        <v>16.584225</v>
      </c>
      <c r="J107">
        <v>16.511846999999999</v>
      </c>
      <c r="K107">
        <v>16.460584999999998</v>
      </c>
      <c r="L107">
        <v>16.422734999999999</v>
      </c>
      <c r="M107">
        <v>16.393345</v>
      </c>
      <c r="N107">
        <v>16.370138000000001</v>
      </c>
      <c r="O107">
        <v>16.351755000000001</v>
      </c>
      <c r="P107">
        <v>16.337005999999999</v>
      </c>
      <c r="Q107">
        <v>16.325168999999999</v>
      </c>
      <c r="R107">
        <v>16.315739000000001</v>
      </c>
      <c r="S107">
        <v>16.308304</v>
      </c>
      <c r="T107">
        <v>16.302492000000001</v>
      </c>
      <c r="U107">
        <v>16.298054</v>
      </c>
      <c r="V107">
        <v>16.294720000000002</v>
      </c>
      <c r="W107">
        <v>16.292207999999999</v>
      </c>
      <c r="X107">
        <v>16.287796</v>
      </c>
      <c r="Y107">
        <v>16.283563999999998</v>
      </c>
      <c r="Z107">
        <v>16.279828999999999</v>
      </c>
      <c r="AA107">
        <v>16.276516000000001</v>
      </c>
      <c r="AB107">
        <v>16.269548</v>
      </c>
      <c r="AC107">
        <v>16.264178999999999</v>
      </c>
      <c r="AD107">
        <v>16.260014000000002</v>
      </c>
      <c r="AE107">
        <v>16.256768999999998</v>
      </c>
      <c r="AF107">
        <v>16.254234</v>
      </c>
      <c r="AG107">
        <v>16.252253</v>
      </c>
      <c r="AH107">
        <v>16.250693999999999</v>
      </c>
      <c r="AI107">
        <v>16.250617999999999</v>
      </c>
      <c r="AJ107" s="32">
        <v>-4.0000000000000001E-3</v>
      </c>
    </row>
    <row r="108" spans="1:36" ht="12.9" x14ac:dyDescent="0.15">
      <c r="A108" t="s">
        <v>505</v>
      </c>
      <c r="B108" t="s">
        <v>506</v>
      </c>
      <c r="C108" t="s">
        <v>752</v>
      </c>
      <c r="E108">
        <v>13.189800999999999</v>
      </c>
      <c r="F108">
        <v>13.375156</v>
      </c>
      <c r="G108">
        <v>13.572721</v>
      </c>
      <c r="H108">
        <v>13.777642</v>
      </c>
      <c r="I108">
        <v>13.995559</v>
      </c>
      <c r="J108">
        <v>14.225581999999999</v>
      </c>
      <c r="K108">
        <v>14.460044999999999</v>
      </c>
      <c r="L108">
        <v>14.692441000000001</v>
      </c>
      <c r="M108">
        <v>14.913171</v>
      </c>
      <c r="N108">
        <v>15.124737</v>
      </c>
      <c r="O108">
        <v>15.319850000000001</v>
      </c>
      <c r="P108">
        <v>15.500711000000001</v>
      </c>
      <c r="Q108">
        <v>15.664879000000001</v>
      </c>
      <c r="R108">
        <v>15.812077</v>
      </c>
      <c r="S108">
        <v>15.943821</v>
      </c>
      <c r="T108">
        <v>16.063237999999998</v>
      </c>
      <c r="U108">
        <v>16.169933</v>
      </c>
      <c r="V108">
        <v>16.265076000000001</v>
      </c>
      <c r="W108">
        <v>16.351177</v>
      </c>
      <c r="X108">
        <v>16.427665999999999</v>
      </c>
      <c r="Y108">
        <v>16.494938000000001</v>
      </c>
      <c r="Z108">
        <v>16.551075000000001</v>
      </c>
      <c r="AA108">
        <v>16.599229999999999</v>
      </c>
      <c r="AB108">
        <v>16.638247</v>
      </c>
      <c r="AC108">
        <v>16.66939</v>
      </c>
      <c r="AD108">
        <v>16.695119999999999</v>
      </c>
      <c r="AE108">
        <v>16.716131000000001</v>
      </c>
      <c r="AF108">
        <v>16.732790000000001</v>
      </c>
      <c r="AG108">
        <v>16.746760999999999</v>
      </c>
      <c r="AH108">
        <v>16.759088999999999</v>
      </c>
      <c r="AI108">
        <v>16.770112999999998</v>
      </c>
      <c r="AJ108" s="32">
        <v>8.0000000000000002E-3</v>
      </c>
    </row>
    <row r="109" spans="1:36" ht="12.9" x14ac:dyDescent="0.15">
      <c r="A109" t="s">
        <v>426</v>
      </c>
      <c r="C109" t="s">
        <v>753</v>
      </c>
    </row>
    <row r="110" spans="1:36" ht="12.9" x14ac:dyDescent="0.15">
      <c r="A110" t="s">
        <v>408</v>
      </c>
      <c r="B110" t="s">
        <v>507</v>
      </c>
      <c r="C110" t="s">
        <v>754</v>
      </c>
      <c r="D110" t="s">
        <v>742</v>
      </c>
      <c r="E110">
        <v>8.9404749999999993</v>
      </c>
      <c r="F110">
        <v>9.0364559999999994</v>
      </c>
      <c r="G110">
        <v>9.1555060000000008</v>
      </c>
      <c r="H110">
        <v>9.2936859999999992</v>
      </c>
      <c r="I110">
        <v>9.4494419999999995</v>
      </c>
      <c r="J110">
        <v>9.6222110000000001</v>
      </c>
      <c r="K110">
        <v>9.8026370000000007</v>
      </c>
      <c r="L110">
        <v>9.9854190000000003</v>
      </c>
      <c r="M110">
        <v>10.161821</v>
      </c>
      <c r="N110">
        <v>10.347707</v>
      </c>
      <c r="O110">
        <v>10.540713999999999</v>
      </c>
      <c r="P110">
        <v>10.740971999999999</v>
      </c>
      <c r="Q110">
        <v>10.940163</v>
      </c>
      <c r="R110">
        <v>11.128415</v>
      </c>
      <c r="S110">
        <v>11.304808</v>
      </c>
      <c r="T110">
        <v>11.468162</v>
      </c>
      <c r="U110">
        <v>11.61716</v>
      </c>
      <c r="V110">
        <v>11.746677999999999</v>
      </c>
      <c r="W110">
        <v>11.864013999999999</v>
      </c>
      <c r="X110">
        <v>11.972716</v>
      </c>
      <c r="Y110">
        <v>12.073969999999999</v>
      </c>
      <c r="Z110">
        <v>12.166705</v>
      </c>
      <c r="AA110">
        <v>12.249510000000001</v>
      </c>
      <c r="AB110">
        <v>12.319685</v>
      </c>
      <c r="AC110">
        <v>12.378683000000001</v>
      </c>
      <c r="AD110">
        <v>12.430021999999999</v>
      </c>
      <c r="AE110">
        <v>12.476145000000001</v>
      </c>
      <c r="AF110">
        <v>12.515844</v>
      </c>
      <c r="AG110">
        <v>12.550516999999999</v>
      </c>
      <c r="AH110">
        <v>12.582235000000001</v>
      </c>
      <c r="AI110">
        <v>12.611659</v>
      </c>
      <c r="AJ110" s="32">
        <v>1.2E-2</v>
      </c>
    </row>
    <row r="111" spans="1:36" ht="12.9" x14ac:dyDescent="0.15">
      <c r="A111" t="s">
        <v>410</v>
      </c>
      <c r="B111" t="s">
        <v>508</v>
      </c>
      <c r="C111" t="s">
        <v>755</v>
      </c>
      <c r="D111" t="s">
        <v>744</v>
      </c>
      <c r="E111">
        <v>6.6134009999999996</v>
      </c>
      <c r="F111">
        <v>6.6566390000000002</v>
      </c>
      <c r="G111">
        <v>6.712491</v>
      </c>
      <c r="H111">
        <v>6.7791420000000002</v>
      </c>
      <c r="I111">
        <v>6.8554909999999998</v>
      </c>
      <c r="J111">
        <v>6.9433540000000002</v>
      </c>
      <c r="K111">
        <v>7.0376919999999998</v>
      </c>
      <c r="L111">
        <v>7.1362949999999996</v>
      </c>
      <c r="M111">
        <v>7.2307509999999997</v>
      </c>
      <c r="N111">
        <v>7.330781</v>
      </c>
      <c r="O111">
        <v>7.4368119999999998</v>
      </c>
      <c r="P111">
        <v>7.5491910000000004</v>
      </c>
      <c r="Q111">
        <v>7.6644170000000003</v>
      </c>
      <c r="R111">
        <v>7.7799250000000004</v>
      </c>
      <c r="S111">
        <v>7.8916630000000003</v>
      </c>
      <c r="T111">
        <v>7.9995589999999996</v>
      </c>
      <c r="U111">
        <v>8.1031770000000005</v>
      </c>
      <c r="V111">
        <v>8.1982119999999998</v>
      </c>
      <c r="W111">
        <v>8.2874210000000001</v>
      </c>
      <c r="X111">
        <v>8.3700119999999991</v>
      </c>
      <c r="Y111">
        <v>8.4491010000000006</v>
      </c>
      <c r="Z111">
        <v>8.5225109999999997</v>
      </c>
      <c r="AA111">
        <v>8.5893110000000004</v>
      </c>
      <c r="AB111">
        <v>8.6483500000000006</v>
      </c>
      <c r="AC111">
        <v>8.7005739999999996</v>
      </c>
      <c r="AD111">
        <v>8.7489000000000008</v>
      </c>
      <c r="AE111">
        <v>8.7937379999999994</v>
      </c>
      <c r="AF111">
        <v>8.835134</v>
      </c>
      <c r="AG111">
        <v>8.8723939999999999</v>
      </c>
      <c r="AH111">
        <v>8.9063630000000007</v>
      </c>
      <c r="AI111">
        <v>8.9383820000000007</v>
      </c>
      <c r="AJ111" s="32">
        <v>0.01</v>
      </c>
    </row>
    <row r="112" spans="1:36" ht="12.9" x14ac:dyDescent="0.15">
      <c r="A112" t="s">
        <v>412</v>
      </c>
      <c r="B112" t="s">
        <v>509</v>
      </c>
      <c r="C112" t="s">
        <v>756</v>
      </c>
      <c r="D112" t="s">
        <v>744</v>
      </c>
      <c r="E112">
        <v>6.6512799999999999</v>
      </c>
      <c r="F112">
        <v>6.6937620000000004</v>
      </c>
      <c r="G112">
        <v>6.7535759999999998</v>
      </c>
      <c r="H112">
        <v>6.8314089999999998</v>
      </c>
      <c r="I112">
        <v>6.9276879999999998</v>
      </c>
      <c r="J112">
        <v>7.0427200000000001</v>
      </c>
      <c r="K112">
        <v>7.1720069999999998</v>
      </c>
      <c r="L112">
        <v>7.3100949999999996</v>
      </c>
      <c r="M112">
        <v>7.4416419999999999</v>
      </c>
      <c r="N112">
        <v>7.5767429999999996</v>
      </c>
      <c r="O112">
        <v>7.7118890000000002</v>
      </c>
      <c r="P112">
        <v>7.845872</v>
      </c>
      <c r="Q112">
        <v>7.9724329999999997</v>
      </c>
      <c r="R112">
        <v>8.0820070000000008</v>
      </c>
      <c r="S112">
        <v>8.1550130000000003</v>
      </c>
      <c r="T112">
        <v>8.2243650000000006</v>
      </c>
      <c r="U112">
        <v>8.28796</v>
      </c>
      <c r="V112">
        <v>8.3458710000000007</v>
      </c>
      <c r="W112">
        <v>8.3997489999999999</v>
      </c>
      <c r="X112">
        <v>8.4534319999999994</v>
      </c>
      <c r="Y112">
        <v>8.5082839999999997</v>
      </c>
      <c r="Z112">
        <v>8.56325</v>
      </c>
      <c r="AA112">
        <v>8.619707</v>
      </c>
      <c r="AB112">
        <v>8.6773220000000002</v>
      </c>
      <c r="AC112">
        <v>8.7353179999999995</v>
      </c>
      <c r="AD112">
        <v>8.7927269999999993</v>
      </c>
      <c r="AE112">
        <v>8.8489020000000007</v>
      </c>
      <c r="AF112">
        <v>8.9020229999999998</v>
      </c>
      <c r="AG112">
        <v>8.9499410000000008</v>
      </c>
      <c r="AH112">
        <v>9.0006409999999999</v>
      </c>
      <c r="AI112">
        <v>9.0444809999999993</v>
      </c>
      <c r="AJ112" s="32">
        <v>0.01</v>
      </c>
    </row>
    <row r="113" spans="1:36" ht="12.9" x14ac:dyDescent="0.15">
      <c r="A113" t="s">
        <v>414</v>
      </c>
      <c r="B113" t="s">
        <v>510</v>
      </c>
      <c r="C113" t="s">
        <v>757</v>
      </c>
      <c r="D113" t="s">
        <v>744</v>
      </c>
      <c r="E113">
        <v>6.7406439999999996</v>
      </c>
      <c r="F113">
        <v>6.847855</v>
      </c>
      <c r="G113">
        <v>6.9637380000000002</v>
      </c>
      <c r="H113">
        <v>7.086875</v>
      </c>
      <c r="I113">
        <v>7.2191640000000001</v>
      </c>
      <c r="J113">
        <v>7.3615320000000004</v>
      </c>
      <c r="K113">
        <v>7.5078300000000002</v>
      </c>
      <c r="L113">
        <v>7.6525270000000001</v>
      </c>
      <c r="M113">
        <v>7.7826120000000003</v>
      </c>
      <c r="N113">
        <v>7.9159319999999997</v>
      </c>
      <c r="O113">
        <v>8.0525169999999999</v>
      </c>
      <c r="P113">
        <v>8.1922230000000003</v>
      </c>
      <c r="Q113">
        <v>8.3312939999999998</v>
      </c>
      <c r="R113">
        <v>8.4635379999999998</v>
      </c>
      <c r="S113">
        <v>8.5886659999999999</v>
      </c>
      <c r="T113">
        <v>8.7042540000000006</v>
      </c>
      <c r="U113">
        <v>8.8091650000000001</v>
      </c>
      <c r="V113">
        <v>8.900525</v>
      </c>
      <c r="W113">
        <v>8.97851</v>
      </c>
      <c r="X113">
        <v>9.0453189999999992</v>
      </c>
      <c r="Y113">
        <v>9.1019159999999992</v>
      </c>
      <c r="Z113">
        <v>9.1504639999999995</v>
      </c>
      <c r="AA113">
        <v>9.1904669999999999</v>
      </c>
      <c r="AB113">
        <v>9.2267810000000008</v>
      </c>
      <c r="AC113">
        <v>9.2589810000000003</v>
      </c>
      <c r="AD113">
        <v>9.2857129999999994</v>
      </c>
      <c r="AE113">
        <v>9.3085310000000003</v>
      </c>
      <c r="AF113">
        <v>9.3294060000000005</v>
      </c>
      <c r="AG113">
        <v>9.3490009999999995</v>
      </c>
      <c r="AH113">
        <v>9.3671500000000005</v>
      </c>
      <c r="AI113">
        <v>9.3835840000000008</v>
      </c>
      <c r="AJ113" s="32">
        <v>1.0999999999999999E-2</v>
      </c>
    </row>
    <row r="114" spans="1:36" ht="12.9" x14ac:dyDescent="0.15">
      <c r="A114" t="s">
        <v>416</v>
      </c>
      <c r="B114" t="s">
        <v>511</v>
      </c>
      <c r="C114" t="s">
        <v>758</v>
      </c>
      <c r="D114" t="s">
        <v>759</v>
      </c>
      <c r="E114">
        <v>6.831359</v>
      </c>
      <c r="F114">
        <v>6.8918850000000003</v>
      </c>
      <c r="G114">
        <v>6.9635809999999996</v>
      </c>
      <c r="H114">
        <v>7.0439829999999999</v>
      </c>
      <c r="I114">
        <v>7.1331569999999997</v>
      </c>
      <c r="J114">
        <v>7.2313689999999999</v>
      </c>
      <c r="K114">
        <v>7.3353590000000004</v>
      </c>
      <c r="L114">
        <v>7.4425730000000003</v>
      </c>
      <c r="M114">
        <v>7.5406019999999998</v>
      </c>
      <c r="N114">
        <v>7.6454740000000001</v>
      </c>
      <c r="O114">
        <v>7.7541359999999999</v>
      </c>
      <c r="P114">
        <v>7.8688320000000003</v>
      </c>
      <c r="Q114">
        <v>7.9852509999999999</v>
      </c>
      <c r="R114">
        <v>8.0999839999999992</v>
      </c>
      <c r="S114">
        <v>8.2040849999999992</v>
      </c>
      <c r="T114">
        <v>8.3001299999999993</v>
      </c>
      <c r="U114">
        <v>8.3885970000000007</v>
      </c>
      <c r="V114">
        <v>8.4656509999999994</v>
      </c>
      <c r="W114">
        <v>8.5360429999999994</v>
      </c>
      <c r="X114">
        <v>8.5989719999999998</v>
      </c>
      <c r="Y114">
        <v>8.6554959999999994</v>
      </c>
      <c r="Z114">
        <v>8.7061810000000008</v>
      </c>
      <c r="AA114">
        <v>8.7509820000000005</v>
      </c>
      <c r="AB114">
        <v>8.7905180000000005</v>
      </c>
      <c r="AC114">
        <v>8.8258039999999998</v>
      </c>
      <c r="AD114">
        <v>8.8573520000000006</v>
      </c>
      <c r="AE114">
        <v>8.8860069999999993</v>
      </c>
      <c r="AF114">
        <v>8.9120880000000007</v>
      </c>
      <c r="AG114">
        <v>8.9362329999999996</v>
      </c>
      <c r="AH114">
        <v>8.9577190000000009</v>
      </c>
      <c r="AI114">
        <v>8.976559</v>
      </c>
      <c r="AJ114" s="32">
        <v>8.9999999999999993E-3</v>
      </c>
    </row>
    <row r="115" spans="1:36" ht="12.9" x14ac:dyDescent="0.15">
      <c r="A115" t="s">
        <v>288</v>
      </c>
      <c r="B115" t="s">
        <v>512</v>
      </c>
      <c r="C115" t="s">
        <v>760</v>
      </c>
      <c r="D115" t="s">
        <v>744</v>
      </c>
      <c r="E115">
        <v>17.467234000000001</v>
      </c>
      <c r="F115">
        <v>17.398665999999999</v>
      </c>
      <c r="G115">
        <v>17.448087999999998</v>
      </c>
      <c r="H115">
        <v>17.553329000000002</v>
      </c>
      <c r="I115">
        <v>17.698399999999999</v>
      </c>
      <c r="J115">
        <v>17.884539</v>
      </c>
      <c r="K115">
        <v>18.106017999999999</v>
      </c>
      <c r="L115">
        <v>18.353366999999999</v>
      </c>
      <c r="M115">
        <v>18.573542</v>
      </c>
      <c r="N115">
        <v>18.800346000000001</v>
      </c>
      <c r="O115">
        <v>19.029126999999999</v>
      </c>
      <c r="P115">
        <v>19.257217000000001</v>
      </c>
      <c r="Q115">
        <v>19.472411999999998</v>
      </c>
      <c r="R115">
        <v>19.658353999999999</v>
      </c>
      <c r="S115">
        <v>19.808928999999999</v>
      </c>
      <c r="T115">
        <v>19.942191999999999</v>
      </c>
      <c r="U115">
        <v>20.058669999999999</v>
      </c>
      <c r="V115">
        <v>20.154160000000001</v>
      </c>
      <c r="W115">
        <v>20.229181000000001</v>
      </c>
      <c r="X115">
        <v>20.297605999999998</v>
      </c>
      <c r="Y115">
        <v>20.353354</v>
      </c>
      <c r="Z115">
        <v>20.399334</v>
      </c>
      <c r="AA115">
        <v>20.436646</v>
      </c>
      <c r="AB115">
        <v>20.46678</v>
      </c>
      <c r="AC115">
        <v>20.490908000000001</v>
      </c>
      <c r="AD115">
        <v>20.509990999999999</v>
      </c>
      <c r="AE115">
        <v>20.524618</v>
      </c>
      <c r="AF115">
        <v>20.536321999999998</v>
      </c>
      <c r="AG115">
        <v>20.545458</v>
      </c>
      <c r="AH115">
        <v>20.551587999999999</v>
      </c>
      <c r="AI115">
        <v>20.556968999999999</v>
      </c>
      <c r="AJ115" s="32">
        <v>5.0000000000000001E-3</v>
      </c>
    </row>
    <row r="116" spans="1:36" ht="12.9" x14ac:dyDescent="0.15">
      <c r="A116" t="s">
        <v>419</v>
      </c>
      <c r="B116" t="s">
        <v>513</v>
      </c>
      <c r="C116" t="s">
        <v>761</v>
      </c>
      <c r="D116" t="s">
        <v>744</v>
      </c>
      <c r="E116">
        <v>14.109496</v>
      </c>
      <c r="F116">
        <v>14.330088999999999</v>
      </c>
      <c r="G116">
        <v>14.508276</v>
      </c>
      <c r="H116">
        <v>14.682504</v>
      </c>
      <c r="I116">
        <v>14.886827</v>
      </c>
      <c r="J116">
        <v>15.128359</v>
      </c>
      <c r="K116">
        <v>15.367908</v>
      </c>
      <c r="L116">
        <v>15.599838999999999</v>
      </c>
      <c r="M116">
        <v>15.799916</v>
      </c>
      <c r="N116">
        <v>16.00909</v>
      </c>
      <c r="O116">
        <v>16.222587999999998</v>
      </c>
      <c r="P116">
        <v>16.438091</v>
      </c>
      <c r="Q116">
        <v>16.647219</v>
      </c>
      <c r="R116">
        <v>16.839275000000001</v>
      </c>
      <c r="S116">
        <v>17.009529000000001</v>
      </c>
      <c r="T116">
        <v>17.159807000000001</v>
      </c>
      <c r="U116">
        <v>17.291052000000001</v>
      </c>
      <c r="V116">
        <v>17.402712000000001</v>
      </c>
      <c r="W116">
        <v>17.489242999999998</v>
      </c>
      <c r="X116">
        <v>17.571144</v>
      </c>
      <c r="Y116">
        <v>17.642652999999999</v>
      </c>
      <c r="Z116">
        <v>17.705969</v>
      </c>
      <c r="AA116">
        <v>17.761896</v>
      </c>
      <c r="AB116">
        <v>17.811634000000002</v>
      </c>
      <c r="AC116">
        <v>17.856054</v>
      </c>
      <c r="AD116">
        <v>17.896674999999998</v>
      </c>
      <c r="AE116">
        <v>17.934042000000002</v>
      </c>
      <c r="AF116">
        <v>17.968886999999999</v>
      </c>
      <c r="AG116">
        <v>18.001474000000002</v>
      </c>
      <c r="AH116">
        <v>18.032316000000002</v>
      </c>
      <c r="AI116">
        <v>18.061218</v>
      </c>
      <c r="AJ116" s="32">
        <v>8.0000000000000002E-3</v>
      </c>
    </row>
    <row r="117" spans="1:36" ht="12.9" x14ac:dyDescent="0.15">
      <c r="A117" t="s">
        <v>421</v>
      </c>
      <c r="B117" t="s">
        <v>514</v>
      </c>
      <c r="C117" t="s">
        <v>762</v>
      </c>
      <c r="D117" t="s">
        <v>744</v>
      </c>
      <c r="E117">
        <v>10.271459999999999</v>
      </c>
      <c r="F117">
        <v>10.418396</v>
      </c>
      <c r="G117">
        <v>10.518701</v>
      </c>
      <c r="H117">
        <v>10.645375</v>
      </c>
      <c r="I117">
        <v>10.780938000000001</v>
      </c>
      <c r="J117">
        <v>10.932351000000001</v>
      </c>
      <c r="K117">
        <v>11.094935</v>
      </c>
      <c r="L117">
        <v>11.267385000000001</v>
      </c>
      <c r="M117">
        <v>11.418396</v>
      </c>
      <c r="N117">
        <v>11.57714</v>
      </c>
      <c r="O117">
        <v>11.739217999999999</v>
      </c>
      <c r="P117">
        <v>11.902889</v>
      </c>
      <c r="Q117">
        <v>12.059965</v>
      </c>
      <c r="R117">
        <v>12.198471</v>
      </c>
      <c r="S117">
        <v>12.320309999999999</v>
      </c>
      <c r="T117">
        <v>12.426983999999999</v>
      </c>
      <c r="U117">
        <v>12.51915</v>
      </c>
      <c r="V117">
        <v>12.596399999999999</v>
      </c>
      <c r="W117">
        <v>12.660333</v>
      </c>
      <c r="X117">
        <v>12.719251</v>
      </c>
      <c r="Y117">
        <v>12.769276</v>
      </c>
      <c r="Z117">
        <v>12.812184</v>
      </c>
      <c r="AA117">
        <v>12.848288999999999</v>
      </c>
      <c r="AB117">
        <v>12.878805</v>
      </c>
      <c r="AC117">
        <v>12.904548999999999</v>
      </c>
      <c r="AD117">
        <v>12.926423</v>
      </c>
      <c r="AE117">
        <v>12.944864000000001</v>
      </c>
      <c r="AF117">
        <v>12.960917999999999</v>
      </c>
      <c r="AG117">
        <v>12.974913000000001</v>
      </c>
      <c r="AH117">
        <v>12.98915</v>
      </c>
      <c r="AI117">
        <v>13.004121</v>
      </c>
      <c r="AJ117" s="32">
        <v>8.0000000000000002E-3</v>
      </c>
    </row>
    <row r="118" spans="1:36" ht="12.9" x14ac:dyDescent="0.15">
      <c r="A118" t="s">
        <v>300</v>
      </c>
      <c r="B118" t="s">
        <v>515</v>
      </c>
      <c r="C118" t="s">
        <v>763</v>
      </c>
      <c r="D118" t="s">
        <v>744</v>
      </c>
      <c r="E118">
        <v>11.486765999999999</v>
      </c>
      <c r="F118">
        <v>11.486765</v>
      </c>
      <c r="G118">
        <v>11.486765</v>
      </c>
      <c r="H118">
        <v>11.486765</v>
      </c>
      <c r="I118">
        <v>11.486765999999999</v>
      </c>
      <c r="J118">
        <v>11.486765</v>
      </c>
      <c r="K118">
        <v>11.486765</v>
      </c>
      <c r="L118">
        <v>11.486764000000001</v>
      </c>
      <c r="M118">
        <v>11.486765</v>
      </c>
      <c r="N118">
        <v>11.486765</v>
      </c>
      <c r="O118">
        <v>11.486764000000001</v>
      </c>
      <c r="P118">
        <v>11.486764000000001</v>
      </c>
      <c r="Q118">
        <v>11.486765</v>
      </c>
      <c r="R118">
        <v>11.486764000000001</v>
      </c>
      <c r="S118">
        <v>11.486764000000001</v>
      </c>
      <c r="T118">
        <v>11.486765</v>
      </c>
      <c r="U118">
        <v>11.486764000000001</v>
      </c>
      <c r="V118">
        <v>11.486764000000001</v>
      </c>
      <c r="W118">
        <v>11.486765</v>
      </c>
      <c r="X118">
        <v>11.486767</v>
      </c>
      <c r="Y118">
        <v>11.486765999999999</v>
      </c>
      <c r="Z118">
        <v>11.486768</v>
      </c>
      <c r="AA118">
        <v>11.486767</v>
      </c>
      <c r="AB118">
        <v>11.486764000000001</v>
      </c>
      <c r="AC118">
        <v>11.486765999999999</v>
      </c>
      <c r="AD118">
        <v>11.486765</v>
      </c>
      <c r="AE118">
        <v>11.486764000000001</v>
      </c>
      <c r="AF118">
        <v>11.486764000000001</v>
      </c>
      <c r="AG118">
        <v>11.486765999999999</v>
      </c>
      <c r="AH118">
        <v>11.486764000000001</v>
      </c>
      <c r="AI118">
        <v>11.486765</v>
      </c>
      <c r="AJ118" s="32">
        <v>0</v>
      </c>
    </row>
    <row r="119" spans="1:36" ht="12.9" x14ac:dyDescent="0.15">
      <c r="A119" t="s">
        <v>516</v>
      </c>
      <c r="B119" t="s">
        <v>517</v>
      </c>
      <c r="C119" t="s">
        <v>764</v>
      </c>
      <c r="E119">
        <v>8.0269100000000009</v>
      </c>
      <c r="F119">
        <v>8.1093650000000004</v>
      </c>
      <c r="G119">
        <v>8.2135390000000008</v>
      </c>
      <c r="H119">
        <v>8.3347049999999996</v>
      </c>
      <c r="I119">
        <v>8.4702009999999994</v>
      </c>
      <c r="J119">
        <v>8.6213639999999998</v>
      </c>
      <c r="K119">
        <v>8.7775839999999992</v>
      </c>
      <c r="L119">
        <v>8.9348960000000002</v>
      </c>
      <c r="M119">
        <v>9.0845920000000007</v>
      </c>
      <c r="N119">
        <v>9.2408459999999994</v>
      </c>
      <c r="O119">
        <v>9.403511</v>
      </c>
      <c r="P119">
        <v>9.5731300000000008</v>
      </c>
      <c r="Q119">
        <v>9.7428299999999997</v>
      </c>
      <c r="R119">
        <v>9.9062400000000004</v>
      </c>
      <c r="S119">
        <v>10.060589</v>
      </c>
      <c r="T119">
        <v>10.206059</v>
      </c>
      <c r="U119">
        <v>10.342311</v>
      </c>
      <c r="V119">
        <v>10.462132</v>
      </c>
      <c r="W119">
        <v>10.572412</v>
      </c>
      <c r="X119">
        <v>10.673792000000001</v>
      </c>
      <c r="Y119">
        <v>10.769824</v>
      </c>
      <c r="Z119">
        <v>10.858295</v>
      </c>
      <c r="AA119">
        <v>10.937979</v>
      </c>
      <c r="AB119">
        <v>11.006994000000001</v>
      </c>
      <c r="AC119">
        <v>11.066654</v>
      </c>
      <c r="AD119">
        <v>11.120628</v>
      </c>
      <c r="AE119">
        <v>11.170114999999999</v>
      </c>
      <c r="AF119">
        <v>11.214213000000001</v>
      </c>
      <c r="AG119">
        <v>11.253644</v>
      </c>
      <c r="AH119">
        <v>11.290132</v>
      </c>
      <c r="AI119">
        <v>11.324723000000001</v>
      </c>
      <c r="AJ119" s="32">
        <v>1.2E-2</v>
      </c>
    </row>
    <row r="120" spans="1:36" ht="12.9" x14ac:dyDescent="0.15">
      <c r="A120" t="s">
        <v>438</v>
      </c>
      <c r="C120" t="s">
        <v>765</v>
      </c>
    </row>
    <row r="121" spans="1:36" ht="12.9" x14ac:dyDescent="0.15">
      <c r="A121" t="s">
        <v>408</v>
      </c>
      <c r="B121" t="s">
        <v>518</v>
      </c>
      <c r="C121" t="s">
        <v>766</v>
      </c>
      <c r="D121" t="s">
        <v>742</v>
      </c>
      <c r="E121">
        <v>6.0484770000000001</v>
      </c>
      <c r="F121">
        <v>6.0845089999999997</v>
      </c>
      <c r="G121">
        <v>6.1323869999999996</v>
      </c>
      <c r="H121">
        <v>6.191764</v>
      </c>
      <c r="I121">
        <v>6.263096</v>
      </c>
      <c r="J121">
        <v>6.34626</v>
      </c>
      <c r="K121">
        <v>6.4386640000000002</v>
      </c>
      <c r="L121">
        <v>6.5364069999999996</v>
      </c>
      <c r="M121">
        <v>6.632511</v>
      </c>
      <c r="N121">
        <v>6.7319620000000002</v>
      </c>
      <c r="O121">
        <v>6.8328150000000001</v>
      </c>
      <c r="P121">
        <v>6.9343729999999999</v>
      </c>
      <c r="Q121">
        <v>7.0340290000000003</v>
      </c>
      <c r="R121">
        <v>7.1260389999999996</v>
      </c>
      <c r="S121">
        <v>7.2092520000000002</v>
      </c>
      <c r="T121">
        <v>7.283601</v>
      </c>
      <c r="U121">
        <v>7.3500199999999998</v>
      </c>
      <c r="V121">
        <v>7.4083870000000003</v>
      </c>
      <c r="W121">
        <v>7.4595419999999999</v>
      </c>
      <c r="X121">
        <v>7.5057330000000002</v>
      </c>
      <c r="Y121">
        <v>7.546926</v>
      </c>
      <c r="Z121">
        <v>7.5836220000000001</v>
      </c>
      <c r="AA121">
        <v>7.6144999999999996</v>
      </c>
      <c r="AB121">
        <v>7.6404909999999999</v>
      </c>
      <c r="AC121">
        <v>7.6622890000000003</v>
      </c>
      <c r="AD121">
        <v>7.6811299999999996</v>
      </c>
      <c r="AE121">
        <v>7.6981590000000004</v>
      </c>
      <c r="AF121">
        <v>7.7136519999999997</v>
      </c>
      <c r="AG121">
        <v>7.7282349999999997</v>
      </c>
      <c r="AH121">
        <v>7.7428239999999997</v>
      </c>
      <c r="AI121">
        <v>7.7575669999999999</v>
      </c>
      <c r="AJ121" s="32">
        <v>8.0000000000000002E-3</v>
      </c>
    </row>
    <row r="122" spans="1:36" ht="12.9" x14ac:dyDescent="0.15">
      <c r="A122" t="s">
        <v>410</v>
      </c>
      <c r="B122" t="s">
        <v>519</v>
      </c>
      <c r="C122" t="s">
        <v>767</v>
      </c>
      <c r="D122" t="s">
        <v>744</v>
      </c>
      <c r="E122">
        <v>5.4088779999999996</v>
      </c>
      <c r="F122">
        <v>5.4466650000000003</v>
      </c>
      <c r="G122">
        <v>5.4945820000000003</v>
      </c>
      <c r="H122">
        <v>5.5520569999999996</v>
      </c>
      <c r="I122">
        <v>5.6199149999999998</v>
      </c>
      <c r="J122">
        <v>5.7004330000000003</v>
      </c>
      <c r="K122">
        <v>5.7869440000000001</v>
      </c>
      <c r="L122">
        <v>5.8744889999999996</v>
      </c>
      <c r="M122">
        <v>5.963082</v>
      </c>
      <c r="N122">
        <v>6.0571650000000004</v>
      </c>
      <c r="O122">
        <v>6.1479540000000004</v>
      </c>
      <c r="P122">
        <v>6.2419269999999996</v>
      </c>
      <c r="Q122">
        <v>6.339861</v>
      </c>
      <c r="R122">
        <v>6.4359570000000001</v>
      </c>
      <c r="S122">
        <v>6.5288300000000001</v>
      </c>
      <c r="T122">
        <v>6.6172370000000003</v>
      </c>
      <c r="U122">
        <v>6.7033589999999998</v>
      </c>
      <c r="V122">
        <v>6.7806920000000002</v>
      </c>
      <c r="W122">
        <v>6.8505719999999997</v>
      </c>
      <c r="X122">
        <v>6.9164320000000004</v>
      </c>
      <c r="Y122">
        <v>6.9800300000000002</v>
      </c>
      <c r="Z122">
        <v>7.0354619999999999</v>
      </c>
      <c r="AA122">
        <v>7.0883260000000003</v>
      </c>
      <c r="AB122">
        <v>7.1365100000000004</v>
      </c>
      <c r="AC122">
        <v>7.1742650000000001</v>
      </c>
      <c r="AD122">
        <v>7.2037800000000001</v>
      </c>
      <c r="AE122">
        <v>7.2270779999999997</v>
      </c>
      <c r="AF122">
        <v>7.2461630000000001</v>
      </c>
      <c r="AG122">
        <v>7.2613890000000003</v>
      </c>
      <c r="AH122">
        <v>7.2754349999999999</v>
      </c>
      <c r="AI122">
        <v>7.2873760000000001</v>
      </c>
      <c r="AJ122" s="32">
        <v>0.01</v>
      </c>
    </row>
    <row r="123" spans="1:36" ht="12.9" x14ac:dyDescent="0.15">
      <c r="A123" t="s">
        <v>412</v>
      </c>
      <c r="B123" t="s">
        <v>520</v>
      </c>
      <c r="C123" t="s">
        <v>768</v>
      </c>
      <c r="D123" t="s">
        <v>744</v>
      </c>
      <c r="E123">
        <v>5.9671700000000003</v>
      </c>
      <c r="F123">
        <v>6.0536709999999996</v>
      </c>
      <c r="G123">
        <v>6.1437920000000004</v>
      </c>
      <c r="H123">
        <v>6.2362010000000003</v>
      </c>
      <c r="I123">
        <v>6.3320040000000004</v>
      </c>
      <c r="J123">
        <v>6.4322759999999999</v>
      </c>
      <c r="K123">
        <v>6.5317449999999999</v>
      </c>
      <c r="L123">
        <v>6.628889</v>
      </c>
      <c r="M123">
        <v>6.7163110000000001</v>
      </c>
      <c r="N123">
        <v>6.8031379999999997</v>
      </c>
      <c r="O123">
        <v>6.8885430000000003</v>
      </c>
      <c r="P123">
        <v>6.9738709999999999</v>
      </c>
      <c r="Q123">
        <v>7.0560749999999999</v>
      </c>
      <c r="R123">
        <v>7.1184430000000001</v>
      </c>
      <c r="S123">
        <v>7.1675409999999999</v>
      </c>
      <c r="T123">
        <v>7.2067750000000004</v>
      </c>
      <c r="U123">
        <v>7.2423390000000003</v>
      </c>
      <c r="V123">
        <v>7.2736179999999999</v>
      </c>
      <c r="W123">
        <v>7.3001589999999998</v>
      </c>
      <c r="X123">
        <v>7.3239830000000001</v>
      </c>
      <c r="Y123">
        <v>7.3455490000000001</v>
      </c>
      <c r="Z123">
        <v>7.3644910000000001</v>
      </c>
      <c r="AA123">
        <v>7.3810039999999999</v>
      </c>
      <c r="AB123">
        <v>7.3955039999999999</v>
      </c>
      <c r="AC123">
        <v>7.4084029999999998</v>
      </c>
      <c r="AD123">
        <v>7.419994</v>
      </c>
      <c r="AE123">
        <v>7.4296300000000004</v>
      </c>
      <c r="AF123">
        <v>7.4376569999999997</v>
      </c>
      <c r="AG123">
        <v>7.4447419999999997</v>
      </c>
      <c r="AH123">
        <v>7.4524559999999997</v>
      </c>
      <c r="AI123">
        <v>7.4610479999999999</v>
      </c>
      <c r="AJ123" s="32">
        <v>7.0000000000000001E-3</v>
      </c>
    </row>
    <row r="124" spans="1:36" ht="12.9" x14ac:dyDescent="0.15">
      <c r="A124" t="s">
        <v>414</v>
      </c>
      <c r="B124" t="s">
        <v>521</v>
      </c>
      <c r="C124" t="s">
        <v>769</v>
      </c>
      <c r="D124" t="s">
        <v>742</v>
      </c>
      <c r="E124">
        <v>5.7214460000000003</v>
      </c>
      <c r="F124">
        <v>5.7272619999999996</v>
      </c>
      <c r="G124">
        <v>5.7501030000000002</v>
      </c>
      <c r="H124">
        <v>5.7900410000000004</v>
      </c>
      <c r="I124">
        <v>5.8457929999999996</v>
      </c>
      <c r="J124">
        <v>5.9160409999999999</v>
      </c>
      <c r="K124">
        <v>5.9974769999999999</v>
      </c>
      <c r="L124">
        <v>6.085083</v>
      </c>
      <c r="M124">
        <v>6.1718999999999999</v>
      </c>
      <c r="N124">
        <v>6.262982</v>
      </c>
      <c r="O124">
        <v>6.3578919999999997</v>
      </c>
      <c r="P124">
        <v>6.4569599999999996</v>
      </c>
      <c r="Q124">
        <v>6.5586539999999998</v>
      </c>
      <c r="R124">
        <v>6.6577159999999997</v>
      </c>
      <c r="S124">
        <v>6.7528180000000004</v>
      </c>
      <c r="T124">
        <v>6.8418029999999996</v>
      </c>
      <c r="U124">
        <v>6.9215540000000004</v>
      </c>
      <c r="V124">
        <v>6.9897390000000001</v>
      </c>
      <c r="W124">
        <v>7.0467129999999996</v>
      </c>
      <c r="X124">
        <v>7.0960530000000004</v>
      </c>
      <c r="Y124">
        <v>7.1392569999999997</v>
      </c>
      <c r="Z124">
        <v>7.1761400000000002</v>
      </c>
      <c r="AA124">
        <v>7.2072880000000001</v>
      </c>
      <c r="AB124">
        <v>7.2340140000000002</v>
      </c>
      <c r="AC124">
        <v>7.2539579999999999</v>
      </c>
      <c r="AD124">
        <v>7.2710179999999998</v>
      </c>
      <c r="AE124">
        <v>7.2854979999999996</v>
      </c>
      <c r="AF124">
        <v>7.2980989999999997</v>
      </c>
      <c r="AG124">
        <v>7.3099090000000002</v>
      </c>
      <c r="AH124">
        <v>7.3219690000000002</v>
      </c>
      <c r="AI124">
        <v>7.3341950000000002</v>
      </c>
      <c r="AJ124" s="32">
        <v>8.0000000000000002E-3</v>
      </c>
    </row>
    <row r="125" spans="1:36" ht="12.9" x14ac:dyDescent="0.15">
      <c r="A125" t="s">
        <v>416</v>
      </c>
      <c r="B125" t="s">
        <v>522</v>
      </c>
      <c r="C125" t="s">
        <v>770</v>
      </c>
      <c r="D125" t="s">
        <v>744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23</v>
      </c>
    </row>
    <row r="126" spans="1:36" ht="12.9" x14ac:dyDescent="0.15">
      <c r="A126" t="s">
        <v>288</v>
      </c>
      <c r="B126" t="s">
        <v>523</v>
      </c>
      <c r="C126" t="s">
        <v>771</v>
      </c>
      <c r="D126" t="s">
        <v>742</v>
      </c>
      <c r="E126">
        <v>8.50718</v>
      </c>
      <c r="F126">
        <v>9.4131250000000009</v>
      </c>
      <c r="G126">
        <v>9.8233010000000007</v>
      </c>
      <c r="H126">
        <v>10.065004</v>
      </c>
      <c r="I126">
        <v>10.242554999999999</v>
      </c>
      <c r="J126">
        <v>10.395757</v>
      </c>
      <c r="K126">
        <v>10.539094</v>
      </c>
      <c r="L126">
        <v>10.673995</v>
      </c>
      <c r="M126">
        <v>10.793347000000001</v>
      </c>
      <c r="N126">
        <v>10.914213999999999</v>
      </c>
      <c r="O126">
        <v>11.037400999999999</v>
      </c>
      <c r="P126">
        <v>11.164014999999999</v>
      </c>
      <c r="Q126">
        <v>11.290566999999999</v>
      </c>
      <c r="R126">
        <v>11.410822</v>
      </c>
      <c r="S126">
        <v>11.525159</v>
      </c>
      <c r="T126">
        <v>11.633119000000001</v>
      </c>
      <c r="U126">
        <v>11.729746</v>
      </c>
      <c r="V126">
        <v>11.813636000000001</v>
      </c>
      <c r="W126">
        <v>11.884930000000001</v>
      </c>
      <c r="X126">
        <v>11.956852</v>
      </c>
      <c r="Y126">
        <v>12.022591</v>
      </c>
      <c r="Z126">
        <v>12.075716</v>
      </c>
      <c r="AA126">
        <v>12.1114</v>
      </c>
      <c r="AB126">
        <v>12.143867</v>
      </c>
      <c r="AC126">
        <v>12.169814000000001</v>
      </c>
      <c r="AD126">
        <v>12.190352000000001</v>
      </c>
      <c r="AE126">
        <v>12.206339</v>
      </c>
      <c r="AF126">
        <v>12.218826999999999</v>
      </c>
      <c r="AG126">
        <v>12.229044</v>
      </c>
      <c r="AH126">
        <v>12.237660999999999</v>
      </c>
      <c r="AI126">
        <v>12.244778</v>
      </c>
      <c r="AJ126" s="32">
        <v>1.2E-2</v>
      </c>
    </row>
    <row r="127" spans="1:36" ht="12.9" x14ac:dyDescent="0.15">
      <c r="A127" t="s">
        <v>419</v>
      </c>
      <c r="B127" t="s">
        <v>524</v>
      </c>
      <c r="C127" t="s">
        <v>772</v>
      </c>
      <c r="D127" t="s">
        <v>742</v>
      </c>
      <c r="E127">
        <v>3.2452800000000002</v>
      </c>
      <c r="F127">
        <v>4.4051179999999999</v>
      </c>
      <c r="G127">
        <v>5.2901389999999999</v>
      </c>
      <c r="H127">
        <v>5.9513210000000001</v>
      </c>
      <c r="I127">
        <v>6.4695809999999998</v>
      </c>
      <c r="J127">
        <v>6.9008019999999997</v>
      </c>
      <c r="K127">
        <v>7.2676530000000001</v>
      </c>
      <c r="L127">
        <v>7.5869419999999996</v>
      </c>
      <c r="M127">
        <v>7.8735359999999996</v>
      </c>
      <c r="N127">
        <v>8.1465890000000005</v>
      </c>
      <c r="O127">
        <v>8.4085239999999999</v>
      </c>
      <c r="P127">
        <v>8.6621469999999992</v>
      </c>
      <c r="Q127">
        <v>8.9053699999999996</v>
      </c>
      <c r="R127">
        <v>9.1305209999999999</v>
      </c>
      <c r="S127">
        <v>9.3337289999999999</v>
      </c>
      <c r="T127">
        <v>9.5109169999999992</v>
      </c>
      <c r="U127">
        <v>9.6564230000000002</v>
      </c>
      <c r="V127">
        <v>9.7637160000000005</v>
      </c>
      <c r="W127">
        <v>9.8880540000000003</v>
      </c>
      <c r="X127">
        <v>10.014220999999999</v>
      </c>
      <c r="Y127">
        <v>10.105171</v>
      </c>
      <c r="Z127">
        <v>10.141617</v>
      </c>
      <c r="AA127">
        <v>10.19082</v>
      </c>
      <c r="AB127">
        <v>10.230651999999999</v>
      </c>
      <c r="AC127">
        <v>10.264436</v>
      </c>
      <c r="AD127">
        <v>10.293386999999999</v>
      </c>
      <c r="AE127">
        <v>10.318455</v>
      </c>
      <c r="AF127">
        <v>10.340541</v>
      </c>
      <c r="AG127">
        <v>10.36084</v>
      </c>
      <c r="AH127">
        <v>10.380164000000001</v>
      </c>
      <c r="AI127">
        <v>10.398583</v>
      </c>
      <c r="AJ127" s="32">
        <v>0.04</v>
      </c>
    </row>
    <row r="128" spans="1:36" ht="12.9" x14ac:dyDescent="0.15">
      <c r="A128" t="s">
        <v>421</v>
      </c>
      <c r="B128" t="s">
        <v>525</v>
      </c>
      <c r="C128" t="s">
        <v>773</v>
      </c>
      <c r="D128" t="s">
        <v>744</v>
      </c>
      <c r="E128">
        <v>3.2856359999999998</v>
      </c>
      <c r="F128">
        <v>4.4761309999999996</v>
      </c>
      <c r="G128">
        <v>5.3873939999999996</v>
      </c>
      <c r="H128">
        <v>6.0672300000000003</v>
      </c>
      <c r="I128">
        <v>6.5954100000000002</v>
      </c>
      <c r="J128">
        <v>7.0298829999999999</v>
      </c>
      <c r="K128">
        <v>7.3970830000000003</v>
      </c>
      <c r="L128">
        <v>7.7152050000000001</v>
      </c>
      <c r="M128">
        <v>7.9973489999999998</v>
      </c>
      <c r="N128">
        <v>8.2661759999999997</v>
      </c>
      <c r="O128">
        <v>8.5244300000000006</v>
      </c>
      <c r="P128">
        <v>8.7742780000000007</v>
      </c>
      <c r="Q128">
        <v>9.0146999999999995</v>
      </c>
      <c r="R128">
        <v>9.2395790000000009</v>
      </c>
      <c r="S128">
        <v>9.4422510000000006</v>
      </c>
      <c r="T128">
        <v>9.6183599999999991</v>
      </c>
      <c r="U128">
        <v>9.7625250000000001</v>
      </c>
      <c r="V128">
        <v>9.8684049999999992</v>
      </c>
      <c r="W128">
        <v>9.9944319999999998</v>
      </c>
      <c r="X128">
        <v>10.122601</v>
      </c>
      <c r="Y128">
        <v>10.214186</v>
      </c>
      <c r="Z128">
        <v>10.250026999999999</v>
      </c>
      <c r="AA128">
        <v>10.301473</v>
      </c>
      <c r="AB128">
        <v>10.346145999999999</v>
      </c>
      <c r="AC128">
        <v>10.384224</v>
      </c>
      <c r="AD128">
        <v>10.416771000000001</v>
      </c>
      <c r="AE128">
        <v>10.444493</v>
      </c>
      <c r="AF128">
        <v>10.468209</v>
      </c>
      <c r="AG128">
        <v>10.489084</v>
      </c>
      <c r="AH128">
        <v>10.507833</v>
      </c>
      <c r="AI128">
        <v>10.524749</v>
      </c>
      <c r="AJ128" s="32">
        <v>0.04</v>
      </c>
    </row>
    <row r="129" spans="1:36" ht="12.9" x14ac:dyDescent="0.15">
      <c r="A129" t="s">
        <v>300</v>
      </c>
      <c r="B129" t="s">
        <v>526</v>
      </c>
      <c r="C129" t="s">
        <v>774</v>
      </c>
      <c r="D129" t="s">
        <v>742</v>
      </c>
      <c r="E129">
        <v>6.4930300000000001</v>
      </c>
      <c r="F129">
        <v>6.6515930000000001</v>
      </c>
      <c r="G129">
        <v>6.7221820000000001</v>
      </c>
      <c r="H129">
        <v>6.758788</v>
      </c>
      <c r="I129">
        <v>6.780729</v>
      </c>
      <c r="J129">
        <v>6.7953440000000001</v>
      </c>
      <c r="K129">
        <v>6.8056999999999999</v>
      </c>
      <c r="L129">
        <v>6.813396</v>
      </c>
      <c r="M129">
        <v>6.8196490000000001</v>
      </c>
      <c r="N129">
        <v>6.8250159999999997</v>
      </c>
      <c r="O129">
        <v>6.8297400000000001</v>
      </c>
      <c r="P129">
        <v>6.833971</v>
      </c>
      <c r="Q129">
        <v>6.8377840000000001</v>
      </c>
      <c r="R129">
        <v>6.8411749999999998</v>
      </c>
      <c r="S129">
        <v>6.8441229999999997</v>
      </c>
      <c r="T129">
        <v>6.8466100000000001</v>
      </c>
      <c r="U129">
        <v>6.8485959999999997</v>
      </c>
      <c r="V129">
        <v>6.8500290000000001</v>
      </c>
      <c r="W129">
        <v>6.8506419999999997</v>
      </c>
      <c r="X129">
        <v>6.8517939999999999</v>
      </c>
      <c r="Y129">
        <v>6.8531750000000002</v>
      </c>
      <c r="Z129">
        <v>6.8540580000000002</v>
      </c>
      <c r="AA129">
        <v>6.8538730000000001</v>
      </c>
      <c r="AB129">
        <v>6.8541569999999998</v>
      </c>
      <c r="AC129">
        <v>6.8544229999999997</v>
      </c>
      <c r="AD129">
        <v>6.8546709999999997</v>
      </c>
      <c r="AE129">
        <v>6.8549030000000002</v>
      </c>
      <c r="AF129">
        <v>6.855111</v>
      </c>
      <c r="AG129">
        <v>6.8553059999999997</v>
      </c>
      <c r="AH129">
        <v>6.855486</v>
      </c>
      <c r="AI129">
        <v>6.8556499999999998</v>
      </c>
      <c r="AJ129" s="32">
        <v>2E-3</v>
      </c>
    </row>
    <row r="130" spans="1:36" ht="12.9" x14ac:dyDescent="0.15">
      <c r="A130" t="s">
        <v>527</v>
      </c>
      <c r="B130" t="s">
        <v>528</v>
      </c>
      <c r="C130" t="s">
        <v>775</v>
      </c>
      <c r="E130">
        <v>6.0436370000000004</v>
      </c>
      <c r="F130">
        <v>6.0793020000000002</v>
      </c>
      <c r="G130">
        <v>6.1269169999999997</v>
      </c>
      <c r="H130">
        <v>6.1861499999999996</v>
      </c>
      <c r="I130">
        <v>6.2574310000000004</v>
      </c>
      <c r="J130">
        <v>6.3406029999999998</v>
      </c>
      <c r="K130">
        <v>6.4330360000000004</v>
      </c>
      <c r="L130">
        <v>6.530799</v>
      </c>
      <c r="M130">
        <v>6.6269179999999999</v>
      </c>
      <c r="N130">
        <v>6.7263809999999999</v>
      </c>
      <c r="O130">
        <v>6.8272550000000001</v>
      </c>
      <c r="P130">
        <v>6.9288540000000003</v>
      </c>
      <c r="Q130">
        <v>7.0285780000000004</v>
      </c>
      <c r="R130">
        <v>7.1206719999999999</v>
      </c>
      <c r="S130">
        <v>7.2039879999999998</v>
      </c>
      <c r="T130">
        <v>7.2784399999999998</v>
      </c>
      <c r="U130">
        <v>7.3449280000000003</v>
      </c>
      <c r="V130">
        <v>7.4032999999999998</v>
      </c>
      <c r="W130">
        <v>7.4543920000000004</v>
      </c>
      <c r="X130">
        <v>7.500464</v>
      </c>
      <c r="Y130">
        <v>7.5414919999999999</v>
      </c>
      <c r="Z130">
        <v>7.57796</v>
      </c>
      <c r="AA130">
        <v>7.608581</v>
      </c>
      <c r="AB130">
        <v>7.6342889999999999</v>
      </c>
      <c r="AC130">
        <v>7.6557250000000003</v>
      </c>
      <c r="AD130">
        <v>7.6741549999999998</v>
      </c>
      <c r="AE130">
        <v>7.6906990000000004</v>
      </c>
      <c r="AF130">
        <v>7.7056480000000001</v>
      </c>
      <c r="AG130">
        <v>7.719633</v>
      </c>
      <c r="AH130">
        <v>7.7335599999999998</v>
      </c>
      <c r="AI130">
        <v>7.7475719999999999</v>
      </c>
      <c r="AJ130" s="32">
        <v>8.0000000000000002E-3</v>
      </c>
    </row>
    <row r="131" spans="1:36" ht="12.9" x14ac:dyDescent="0.15">
      <c r="A131" t="s">
        <v>529</v>
      </c>
      <c r="B131" t="s">
        <v>530</v>
      </c>
      <c r="C131" t="s">
        <v>776</v>
      </c>
      <c r="E131">
        <v>7.238181</v>
      </c>
      <c r="F131">
        <v>7.3106159999999996</v>
      </c>
      <c r="G131">
        <v>7.3899489999999997</v>
      </c>
      <c r="H131">
        <v>7.4766839999999997</v>
      </c>
      <c r="I131">
        <v>7.5747030000000004</v>
      </c>
      <c r="J131">
        <v>7.6863210000000004</v>
      </c>
      <c r="K131">
        <v>7.8097329999999996</v>
      </c>
      <c r="L131">
        <v>7.9445509999999997</v>
      </c>
      <c r="M131">
        <v>8.0834510000000002</v>
      </c>
      <c r="N131">
        <v>8.2308420000000009</v>
      </c>
      <c r="O131">
        <v>8.3825859999999999</v>
      </c>
      <c r="P131">
        <v>8.5364260000000005</v>
      </c>
      <c r="Q131">
        <v>8.6869980000000009</v>
      </c>
      <c r="R131">
        <v>8.8273639999999993</v>
      </c>
      <c r="S131">
        <v>8.9563410000000001</v>
      </c>
      <c r="T131">
        <v>9.0734779999999997</v>
      </c>
      <c r="U131">
        <v>9.1788980000000002</v>
      </c>
      <c r="V131">
        <v>9.2730580000000007</v>
      </c>
      <c r="W131">
        <v>9.3587249999999997</v>
      </c>
      <c r="X131">
        <v>9.4375730000000004</v>
      </c>
      <c r="Y131">
        <v>9.5084780000000002</v>
      </c>
      <c r="Z131">
        <v>9.572991</v>
      </c>
      <c r="AA131">
        <v>9.6297540000000001</v>
      </c>
      <c r="AB131">
        <v>9.6799710000000001</v>
      </c>
      <c r="AC131">
        <v>9.7249739999999996</v>
      </c>
      <c r="AD131">
        <v>9.7670309999999994</v>
      </c>
      <c r="AE131">
        <v>9.8068960000000001</v>
      </c>
      <c r="AF131">
        <v>9.8463209999999997</v>
      </c>
      <c r="AG131">
        <v>9.8857789999999994</v>
      </c>
      <c r="AH131">
        <v>9.9239490000000004</v>
      </c>
      <c r="AI131">
        <v>9.9616600000000002</v>
      </c>
      <c r="AJ131" s="32">
        <v>1.0999999999999999E-2</v>
      </c>
    </row>
    <row r="132" spans="1:36" ht="12.9" x14ac:dyDescent="0.15">
      <c r="A132" t="s">
        <v>531</v>
      </c>
      <c r="C132" t="s">
        <v>777</v>
      </c>
    </row>
    <row r="133" spans="1:36" ht="12.9" x14ac:dyDescent="0.15">
      <c r="A133" t="s">
        <v>407</v>
      </c>
      <c r="C133" t="s">
        <v>778</v>
      </c>
    </row>
    <row r="134" spans="1:36" ht="12.9" x14ac:dyDescent="0.15">
      <c r="A134" t="s">
        <v>408</v>
      </c>
      <c r="B134" t="s">
        <v>532</v>
      </c>
      <c r="C134" t="s">
        <v>779</v>
      </c>
      <c r="D134" t="s">
        <v>360</v>
      </c>
      <c r="E134">
        <v>2.6647099999999999</v>
      </c>
      <c r="F134">
        <v>2.7814009999999998</v>
      </c>
      <c r="G134">
        <v>2.9066510000000001</v>
      </c>
      <c r="H134">
        <v>3.0338509999999999</v>
      </c>
      <c r="I134">
        <v>3.164453</v>
      </c>
      <c r="J134">
        <v>3.2980299999999998</v>
      </c>
      <c r="K134">
        <v>3.4285239999999999</v>
      </c>
      <c r="L134">
        <v>3.552362</v>
      </c>
      <c r="M134">
        <v>3.6737920000000002</v>
      </c>
      <c r="N134">
        <v>3.791614</v>
      </c>
      <c r="O134">
        <v>3.9042479999999999</v>
      </c>
      <c r="P134">
        <v>4.0121520000000004</v>
      </c>
      <c r="Q134">
        <v>4.1180440000000003</v>
      </c>
      <c r="R134">
        <v>4.2119390000000001</v>
      </c>
      <c r="S134">
        <v>4.300122</v>
      </c>
      <c r="T134">
        <v>4.3814979999999997</v>
      </c>
      <c r="U134">
        <v>4.4583180000000002</v>
      </c>
      <c r="V134">
        <v>4.5296260000000004</v>
      </c>
      <c r="W134">
        <v>4.5977399999999999</v>
      </c>
      <c r="X134">
        <v>4.6569029999999998</v>
      </c>
      <c r="Y134">
        <v>4.7040459999999999</v>
      </c>
      <c r="Z134">
        <v>4.7482499999999996</v>
      </c>
      <c r="AA134">
        <v>4.7867300000000004</v>
      </c>
      <c r="AB134">
        <v>4.8331840000000001</v>
      </c>
      <c r="AC134">
        <v>4.8845739999999997</v>
      </c>
      <c r="AD134">
        <v>4.930364</v>
      </c>
      <c r="AE134">
        <v>4.9668000000000001</v>
      </c>
      <c r="AF134">
        <v>5.0027990000000004</v>
      </c>
      <c r="AG134">
        <v>5.0383779999999998</v>
      </c>
      <c r="AH134">
        <v>5.0621349999999996</v>
      </c>
      <c r="AI134">
        <v>5.0781039999999997</v>
      </c>
      <c r="AJ134" s="32">
        <v>2.1999999999999999E-2</v>
      </c>
    </row>
    <row r="135" spans="1:36" ht="12.9" x14ac:dyDescent="0.15">
      <c r="A135" t="s">
        <v>410</v>
      </c>
      <c r="B135" t="s">
        <v>533</v>
      </c>
      <c r="C135" t="s">
        <v>780</v>
      </c>
      <c r="D135" t="s">
        <v>360</v>
      </c>
      <c r="E135">
        <v>1.081769</v>
      </c>
      <c r="F135">
        <v>1.0977410000000001</v>
      </c>
      <c r="G135">
        <v>1.1195999999999999</v>
      </c>
      <c r="H135">
        <v>1.144801</v>
      </c>
      <c r="I135">
        <v>1.1735599999999999</v>
      </c>
      <c r="J135">
        <v>1.206086</v>
      </c>
      <c r="K135">
        <v>1.2402260000000001</v>
      </c>
      <c r="L135">
        <v>1.274222</v>
      </c>
      <c r="M135">
        <v>1.308279</v>
      </c>
      <c r="N135">
        <v>1.3412280000000001</v>
      </c>
      <c r="O135">
        <v>1.374026</v>
      </c>
      <c r="P135">
        <v>1.405753</v>
      </c>
      <c r="Q135">
        <v>1.438642</v>
      </c>
      <c r="R135">
        <v>1.4691289999999999</v>
      </c>
      <c r="S135">
        <v>1.498767</v>
      </c>
      <c r="T135">
        <v>1.5270820000000001</v>
      </c>
      <c r="U135">
        <v>1.556468</v>
      </c>
      <c r="V135">
        <v>1.586519</v>
      </c>
      <c r="W135">
        <v>1.6163289999999999</v>
      </c>
      <c r="X135">
        <v>1.6454169999999999</v>
      </c>
      <c r="Y135">
        <v>1.6740660000000001</v>
      </c>
      <c r="Z135">
        <v>1.7057370000000001</v>
      </c>
      <c r="AA135">
        <v>1.7352609999999999</v>
      </c>
      <c r="AB135">
        <v>1.7680720000000001</v>
      </c>
      <c r="AC135">
        <v>1.805898</v>
      </c>
      <c r="AD135">
        <v>1.845585</v>
      </c>
      <c r="AE135">
        <v>1.884727</v>
      </c>
      <c r="AF135">
        <v>1.9248879999999999</v>
      </c>
      <c r="AG135">
        <v>1.965568</v>
      </c>
      <c r="AH135">
        <v>2.0020380000000002</v>
      </c>
      <c r="AI135">
        <v>2.0353880000000002</v>
      </c>
      <c r="AJ135" s="32">
        <v>2.1000000000000001E-2</v>
      </c>
    </row>
    <row r="136" spans="1:36" ht="12.9" x14ac:dyDescent="0.15">
      <c r="A136" t="s">
        <v>412</v>
      </c>
      <c r="B136" t="s">
        <v>534</v>
      </c>
      <c r="C136" t="s">
        <v>781</v>
      </c>
      <c r="D136" t="s">
        <v>360</v>
      </c>
      <c r="E136">
        <v>5.9100000000000005E-4</v>
      </c>
      <c r="F136">
        <v>8.3699999999999996E-4</v>
      </c>
      <c r="G136">
        <v>1.1119999999999999E-3</v>
      </c>
      <c r="H136">
        <v>1.407E-3</v>
      </c>
      <c r="I136">
        <v>1.725E-3</v>
      </c>
      <c r="J136">
        <v>2.0660000000000001E-3</v>
      </c>
      <c r="K136">
        <v>2.4199999999999998E-3</v>
      </c>
      <c r="L136">
        <v>2.7810000000000001E-3</v>
      </c>
      <c r="M136">
        <v>3.16E-3</v>
      </c>
      <c r="N136">
        <v>3.5539999999999999E-3</v>
      </c>
      <c r="O136">
        <v>3.9589999999999998E-3</v>
      </c>
      <c r="P136">
        <v>4.3800000000000002E-3</v>
      </c>
      <c r="Q136">
        <v>4.8180000000000002E-3</v>
      </c>
      <c r="R136">
        <v>5.2719999999999998E-3</v>
      </c>
      <c r="S136">
        <v>5.7299999999999999E-3</v>
      </c>
      <c r="T136">
        <v>6.2009999999999999E-3</v>
      </c>
      <c r="U136">
        <v>6.6950000000000004E-3</v>
      </c>
      <c r="V136">
        <v>7.208E-3</v>
      </c>
      <c r="W136">
        <v>7.7419999999999998E-3</v>
      </c>
      <c r="X136">
        <v>8.2990000000000008E-3</v>
      </c>
      <c r="Y136">
        <v>8.8749999999999992E-3</v>
      </c>
      <c r="Z136">
        <v>9.4699999999999993E-3</v>
      </c>
      <c r="AA136">
        <v>1.0087E-2</v>
      </c>
      <c r="AB136">
        <v>1.0722000000000001E-2</v>
      </c>
      <c r="AC136">
        <v>1.1377999999999999E-2</v>
      </c>
      <c r="AD136">
        <v>1.2062E-2</v>
      </c>
      <c r="AE136">
        <v>1.2766E-2</v>
      </c>
      <c r="AF136">
        <v>1.3488E-2</v>
      </c>
      <c r="AG136">
        <v>1.4239999999999999E-2</v>
      </c>
      <c r="AH136">
        <v>1.5010000000000001E-2</v>
      </c>
      <c r="AI136">
        <v>1.5798E-2</v>
      </c>
      <c r="AJ136" s="32">
        <v>0.11600000000000001</v>
      </c>
    </row>
    <row r="137" spans="1:36" ht="12.9" x14ac:dyDescent="0.15">
      <c r="A137" t="s">
        <v>414</v>
      </c>
      <c r="B137" t="s">
        <v>535</v>
      </c>
      <c r="C137" t="s">
        <v>782</v>
      </c>
      <c r="D137" t="s">
        <v>360</v>
      </c>
      <c r="E137">
        <v>2.6600000000000001E-4</v>
      </c>
      <c r="F137">
        <v>3.86E-4</v>
      </c>
      <c r="G137">
        <v>5.1400000000000003E-4</v>
      </c>
      <c r="H137">
        <v>6.4599999999999998E-4</v>
      </c>
      <c r="I137">
        <v>7.85E-4</v>
      </c>
      <c r="J137">
        <v>9.2800000000000001E-4</v>
      </c>
      <c r="K137">
        <v>1.072E-3</v>
      </c>
      <c r="L137">
        <v>1.214E-3</v>
      </c>
      <c r="M137">
        <v>1.358E-3</v>
      </c>
      <c r="N137">
        <v>1.503E-3</v>
      </c>
      <c r="O137">
        <v>1.6490000000000001E-3</v>
      </c>
      <c r="P137">
        <v>1.7949999999999999E-3</v>
      </c>
      <c r="Q137">
        <v>1.9419999999999999E-3</v>
      </c>
      <c r="R137">
        <v>2.0899999999999998E-3</v>
      </c>
      <c r="S137">
        <v>2.2390000000000001E-3</v>
      </c>
      <c r="T137">
        <v>2.3900000000000002E-3</v>
      </c>
      <c r="U137">
        <v>2.5400000000000002E-3</v>
      </c>
      <c r="V137">
        <v>2.689E-3</v>
      </c>
      <c r="W137">
        <v>2.8389999999999999E-3</v>
      </c>
      <c r="X137">
        <v>2.9889999999999999E-3</v>
      </c>
      <c r="Y137">
        <v>3.1389999999999999E-3</v>
      </c>
      <c r="Z137">
        <v>3.29E-3</v>
      </c>
      <c r="AA137">
        <v>3.4420000000000002E-3</v>
      </c>
      <c r="AB137">
        <v>3.5950000000000001E-3</v>
      </c>
      <c r="AC137">
        <v>3.7490000000000002E-3</v>
      </c>
      <c r="AD137">
        <v>3.9069999999999999E-3</v>
      </c>
      <c r="AE137">
        <v>4.0670000000000003E-3</v>
      </c>
      <c r="AF137">
        <v>4.2290000000000001E-3</v>
      </c>
      <c r="AG137">
        <v>4.3959999999999997E-3</v>
      </c>
      <c r="AH137">
        <v>4.5659999999999997E-3</v>
      </c>
      <c r="AI137">
        <v>4.738E-3</v>
      </c>
      <c r="AJ137" s="32">
        <v>0.10100000000000001</v>
      </c>
    </row>
    <row r="138" spans="1:36" ht="12.9" x14ac:dyDescent="0.15">
      <c r="A138" t="s">
        <v>416</v>
      </c>
      <c r="B138" t="s">
        <v>536</v>
      </c>
      <c r="C138" t="s">
        <v>783</v>
      </c>
      <c r="D138" t="s">
        <v>360</v>
      </c>
      <c r="E138">
        <v>0.24854999999999999</v>
      </c>
      <c r="F138">
        <v>0.27444000000000002</v>
      </c>
      <c r="G138">
        <v>0.30266599999999999</v>
      </c>
      <c r="H138">
        <v>0.33228400000000002</v>
      </c>
      <c r="I138">
        <v>0.36375200000000002</v>
      </c>
      <c r="J138">
        <v>0.39687899999999998</v>
      </c>
      <c r="K138">
        <v>0.43123099999999998</v>
      </c>
      <c r="L138">
        <v>0.46636100000000003</v>
      </c>
      <c r="M138">
        <v>0.50258800000000003</v>
      </c>
      <c r="N138">
        <v>0.54051000000000005</v>
      </c>
      <c r="O138">
        <v>0.57905399999999996</v>
      </c>
      <c r="P138">
        <v>0.61887599999999998</v>
      </c>
      <c r="Q138">
        <v>0.660443</v>
      </c>
      <c r="R138">
        <v>0.70391400000000004</v>
      </c>
      <c r="S138">
        <v>0.74932299999999996</v>
      </c>
      <c r="T138">
        <v>0.79656099999999996</v>
      </c>
      <c r="U138">
        <v>0.84525399999999995</v>
      </c>
      <c r="V138">
        <v>0.89527800000000002</v>
      </c>
      <c r="W138">
        <v>0.94711100000000004</v>
      </c>
      <c r="X138">
        <v>1.0007839999999999</v>
      </c>
      <c r="Y138">
        <v>1.0561720000000001</v>
      </c>
      <c r="Z138">
        <v>1.114025</v>
      </c>
      <c r="AA138">
        <v>1.1750309999999999</v>
      </c>
      <c r="AB138">
        <v>1.23793</v>
      </c>
      <c r="AC138">
        <v>1.3016700000000001</v>
      </c>
      <c r="AD138">
        <v>1.36564</v>
      </c>
      <c r="AE138">
        <v>1.429543</v>
      </c>
      <c r="AF138">
        <v>1.4939150000000001</v>
      </c>
      <c r="AG138">
        <v>1.560413</v>
      </c>
      <c r="AH138">
        <v>1.625737</v>
      </c>
      <c r="AI138">
        <v>1.6913609999999999</v>
      </c>
      <c r="AJ138" s="32">
        <v>6.6000000000000003E-2</v>
      </c>
    </row>
    <row r="139" spans="1:36" ht="12.9" x14ac:dyDescent="0.15">
      <c r="A139" t="s">
        <v>288</v>
      </c>
      <c r="B139" t="s">
        <v>537</v>
      </c>
      <c r="C139" t="s">
        <v>784</v>
      </c>
      <c r="D139" t="s">
        <v>360</v>
      </c>
      <c r="E139">
        <v>3.28E-4</v>
      </c>
      <c r="F139">
        <v>6.1700000000000004E-4</v>
      </c>
      <c r="G139">
        <v>9.3599999999999998E-4</v>
      </c>
      <c r="H139">
        <v>1.276E-3</v>
      </c>
      <c r="I139">
        <v>1.6440000000000001E-3</v>
      </c>
      <c r="J139">
        <v>2.039E-3</v>
      </c>
      <c r="K139">
        <v>2.4480000000000001E-3</v>
      </c>
      <c r="L139">
        <v>2.8670000000000002E-3</v>
      </c>
      <c r="M139">
        <v>3.3059999999999999E-3</v>
      </c>
      <c r="N139">
        <v>3.7629999999999999E-3</v>
      </c>
      <c r="O139">
        <v>4.2329999999999998E-3</v>
      </c>
      <c r="P139">
        <v>4.7200000000000002E-3</v>
      </c>
      <c r="Q139">
        <v>5.228E-3</v>
      </c>
      <c r="R139">
        <v>5.7549999999999997E-3</v>
      </c>
      <c r="S139">
        <v>6.3020000000000003E-3</v>
      </c>
      <c r="T139">
        <v>6.8719999999999996E-3</v>
      </c>
      <c r="U139">
        <v>7.4599999999999996E-3</v>
      </c>
      <c r="V139">
        <v>8.064E-3</v>
      </c>
      <c r="W139">
        <v>8.6899999999999998E-3</v>
      </c>
      <c r="X139">
        <v>9.3390000000000001E-3</v>
      </c>
      <c r="Y139">
        <v>1.0008E-2</v>
      </c>
      <c r="Z139">
        <v>1.0697999999999999E-2</v>
      </c>
      <c r="AA139">
        <v>1.1412E-2</v>
      </c>
      <c r="AB139">
        <v>1.2147E-2</v>
      </c>
      <c r="AC139">
        <v>1.2897E-2</v>
      </c>
      <c r="AD139">
        <v>1.3677E-2</v>
      </c>
      <c r="AE139">
        <v>1.4484E-2</v>
      </c>
      <c r="AF139">
        <v>1.5313999999999999E-2</v>
      </c>
      <c r="AG139">
        <v>1.6178999999999999E-2</v>
      </c>
      <c r="AH139">
        <v>1.7066999999999999E-2</v>
      </c>
      <c r="AI139">
        <v>1.7975999999999999E-2</v>
      </c>
      <c r="AJ139" s="32">
        <v>0.14299999999999999</v>
      </c>
    </row>
    <row r="140" spans="1:36" ht="12.9" x14ac:dyDescent="0.15">
      <c r="A140" t="s">
        <v>419</v>
      </c>
      <c r="B140" t="s">
        <v>538</v>
      </c>
      <c r="C140" t="s">
        <v>785</v>
      </c>
      <c r="D140" t="s">
        <v>360</v>
      </c>
      <c r="E140">
        <v>2.6899999999999998E-4</v>
      </c>
      <c r="F140">
        <v>5.7700000000000004E-4</v>
      </c>
      <c r="G140">
        <v>9.2000000000000003E-4</v>
      </c>
      <c r="H140">
        <v>1.2880000000000001E-3</v>
      </c>
      <c r="I140">
        <v>1.686E-3</v>
      </c>
      <c r="J140">
        <v>2.1120000000000002E-3</v>
      </c>
      <c r="K140">
        <v>2.555E-3</v>
      </c>
      <c r="L140">
        <v>3.0079999999999998E-3</v>
      </c>
      <c r="M140">
        <v>3.4819999999999999E-3</v>
      </c>
      <c r="N140">
        <v>3.9760000000000004E-3</v>
      </c>
      <c r="O140">
        <v>4.4840000000000001E-3</v>
      </c>
      <c r="P140">
        <v>5.0109999999999998E-3</v>
      </c>
      <c r="Q140">
        <v>5.5599999999999998E-3</v>
      </c>
      <c r="R140">
        <v>6.13E-3</v>
      </c>
      <c r="S140">
        <v>6.7210000000000004E-3</v>
      </c>
      <c r="T140">
        <v>7.3369999999999998E-3</v>
      </c>
      <c r="U140">
        <v>7.9729999999999992E-3</v>
      </c>
      <c r="V140">
        <v>8.626E-3</v>
      </c>
      <c r="W140">
        <v>9.3039999999999998E-3</v>
      </c>
      <c r="X140">
        <v>1.0005E-2</v>
      </c>
      <c r="Y140">
        <v>1.0728E-2</v>
      </c>
      <c r="Z140">
        <v>1.1475000000000001E-2</v>
      </c>
      <c r="AA140">
        <v>1.2246E-2</v>
      </c>
      <c r="AB140">
        <v>1.3041000000000001E-2</v>
      </c>
      <c r="AC140">
        <v>1.3860000000000001E-2</v>
      </c>
      <c r="AD140">
        <v>1.4715000000000001E-2</v>
      </c>
      <c r="AE140">
        <v>1.5594E-2</v>
      </c>
      <c r="AF140">
        <v>1.6494999999999999E-2</v>
      </c>
      <c r="AG140">
        <v>1.7432E-2</v>
      </c>
      <c r="AH140">
        <v>1.8394000000000001E-2</v>
      </c>
      <c r="AI140">
        <v>1.9376000000000001E-2</v>
      </c>
      <c r="AJ140" s="32">
        <v>0.153</v>
      </c>
    </row>
    <row r="141" spans="1:36" ht="12.9" x14ac:dyDescent="0.15">
      <c r="A141" t="s">
        <v>421</v>
      </c>
      <c r="B141" t="s">
        <v>539</v>
      </c>
      <c r="C141" t="s">
        <v>786</v>
      </c>
      <c r="D141" t="s">
        <v>360</v>
      </c>
      <c r="E141">
        <v>2.7300000000000002E-4</v>
      </c>
      <c r="F141">
        <v>5.8600000000000004E-4</v>
      </c>
      <c r="G141">
        <v>9.3400000000000004E-4</v>
      </c>
      <c r="H141">
        <v>1.3079999999999999E-3</v>
      </c>
      <c r="I141">
        <v>1.712E-3</v>
      </c>
      <c r="J141">
        <v>2.1440000000000001E-3</v>
      </c>
      <c r="K141">
        <v>2.594E-3</v>
      </c>
      <c r="L141">
        <v>3.0530000000000002E-3</v>
      </c>
      <c r="M141">
        <v>3.5339999999999998E-3</v>
      </c>
      <c r="N141">
        <v>4.0359999999999997E-3</v>
      </c>
      <c r="O141">
        <v>4.5510000000000004E-3</v>
      </c>
      <c r="P141">
        <v>5.0860000000000002E-3</v>
      </c>
      <c r="Q141">
        <v>5.6429999999999996E-3</v>
      </c>
      <c r="R141">
        <v>6.2220000000000001E-3</v>
      </c>
      <c r="S141">
        <v>6.8219999999999999E-3</v>
      </c>
      <c r="T141">
        <v>7.4469999999999996E-3</v>
      </c>
      <c r="U141">
        <v>8.0929999999999995E-3</v>
      </c>
      <c r="V141">
        <v>8.7559999999999999E-3</v>
      </c>
      <c r="W141">
        <v>9.443E-3</v>
      </c>
      <c r="X141">
        <v>1.0155000000000001E-2</v>
      </c>
      <c r="Y141">
        <v>1.0888999999999999E-2</v>
      </c>
      <c r="Z141">
        <v>1.1646999999999999E-2</v>
      </c>
      <c r="AA141">
        <v>1.243E-2</v>
      </c>
      <c r="AB141">
        <v>1.3236E-2</v>
      </c>
      <c r="AC141">
        <v>1.4068000000000001E-2</v>
      </c>
      <c r="AD141">
        <v>1.4935E-2</v>
      </c>
      <c r="AE141">
        <v>1.5827999999999998E-2</v>
      </c>
      <c r="AF141">
        <v>1.6743000000000001E-2</v>
      </c>
      <c r="AG141">
        <v>1.7694000000000001E-2</v>
      </c>
      <c r="AH141">
        <v>1.8669999999999999E-2</v>
      </c>
      <c r="AI141">
        <v>1.9667E-2</v>
      </c>
      <c r="AJ141" s="32">
        <v>0.153</v>
      </c>
    </row>
    <row r="142" spans="1:36" ht="12.9" x14ac:dyDescent="0.15">
      <c r="A142" t="s">
        <v>300</v>
      </c>
      <c r="B142" t="s">
        <v>540</v>
      </c>
      <c r="C142" t="s">
        <v>787</v>
      </c>
      <c r="D142" t="s">
        <v>360</v>
      </c>
      <c r="E142">
        <v>0</v>
      </c>
      <c r="F142">
        <v>0</v>
      </c>
      <c r="G142">
        <v>0</v>
      </c>
      <c r="H142">
        <v>9.9999999999999995E-7</v>
      </c>
      <c r="I142">
        <v>9.9999999999999995E-7</v>
      </c>
      <c r="J142">
        <v>9.9999999999999995E-7</v>
      </c>
      <c r="K142">
        <v>9.9999999999999995E-7</v>
      </c>
      <c r="L142">
        <v>9.9999999999999995E-7</v>
      </c>
      <c r="M142">
        <v>9.9999999999999995E-7</v>
      </c>
      <c r="N142">
        <v>1.9999999999999999E-6</v>
      </c>
      <c r="O142">
        <v>1.9999999999999999E-6</v>
      </c>
      <c r="P142">
        <v>1.9999999999999999E-6</v>
      </c>
      <c r="Q142">
        <v>1.9999999999999999E-6</v>
      </c>
      <c r="R142">
        <v>1.9999999999999999E-6</v>
      </c>
      <c r="S142">
        <v>1.9999999999999999E-6</v>
      </c>
      <c r="T142">
        <v>3.0000000000000001E-6</v>
      </c>
      <c r="U142">
        <v>3.0000000000000001E-6</v>
      </c>
      <c r="V142">
        <v>3.0000000000000001E-6</v>
      </c>
      <c r="W142">
        <v>3.0000000000000001E-6</v>
      </c>
      <c r="X142">
        <v>3.0000000000000001E-6</v>
      </c>
      <c r="Y142">
        <v>3.0000000000000001E-6</v>
      </c>
      <c r="Z142">
        <v>3.0000000000000001E-6</v>
      </c>
      <c r="AA142">
        <v>3.9999999999999998E-6</v>
      </c>
      <c r="AB142">
        <v>3.9999999999999998E-6</v>
      </c>
      <c r="AC142">
        <v>3.9999999999999998E-6</v>
      </c>
      <c r="AD142">
        <v>3.9999999999999998E-6</v>
      </c>
      <c r="AE142">
        <v>3.9999999999999998E-6</v>
      </c>
      <c r="AF142">
        <v>3.9999999999999998E-6</v>
      </c>
      <c r="AG142">
        <v>3.9999999999999998E-6</v>
      </c>
      <c r="AH142">
        <v>3.9999999999999998E-6</v>
      </c>
      <c r="AI142">
        <v>3.9999999999999998E-6</v>
      </c>
      <c r="AJ142" s="32">
        <v>0.123</v>
      </c>
    </row>
    <row r="143" spans="1:36" ht="12.9" x14ac:dyDescent="0.15">
      <c r="A143" t="s">
        <v>424</v>
      </c>
      <c r="B143" t="s">
        <v>541</v>
      </c>
      <c r="C143" t="s">
        <v>788</v>
      </c>
      <c r="D143" t="s">
        <v>360</v>
      </c>
      <c r="E143">
        <v>3.996756</v>
      </c>
      <c r="F143">
        <v>4.1565849999999998</v>
      </c>
      <c r="G143">
        <v>4.3333339999999998</v>
      </c>
      <c r="H143">
        <v>4.516864</v>
      </c>
      <c r="I143">
        <v>4.7093189999999998</v>
      </c>
      <c r="J143">
        <v>4.9102860000000002</v>
      </c>
      <c r="K143">
        <v>5.1110709999999999</v>
      </c>
      <c r="L143">
        <v>5.3058709999999998</v>
      </c>
      <c r="M143">
        <v>5.4994969999999999</v>
      </c>
      <c r="N143">
        <v>5.6901840000000004</v>
      </c>
      <c r="O143">
        <v>5.8762040000000004</v>
      </c>
      <c r="P143">
        <v>6.0577759999999996</v>
      </c>
      <c r="Q143">
        <v>6.2403209999999998</v>
      </c>
      <c r="R143">
        <v>6.4104520000000003</v>
      </c>
      <c r="S143">
        <v>6.5760269999999998</v>
      </c>
      <c r="T143">
        <v>6.7353880000000004</v>
      </c>
      <c r="U143">
        <v>6.8928010000000004</v>
      </c>
      <c r="V143">
        <v>7.0467659999999999</v>
      </c>
      <c r="W143">
        <v>7.1991969999999998</v>
      </c>
      <c r="X143">
        <v>7.3438910000000002</v>
      </c>
      <c r="Y143">
        <v>7.4779289999999996</v>
      </c>
      <c r="Z143">
        <v>7.6145899999999997</v>
      </c>
      <c r="AA143">
        <v>7.7466369999999998</v>
      </c>
      <c r="AB143">
        <v>7.8919249999999996</v>
      </c>
      <c r="AC143">
        <v>8.0480879999999999</v>
      </c>
      <c r="AD143">
        <v>8.2008910000000004</v>
      </c>
      <c r="AE143">
        <v>8.3438079999999992</v>
      </c>
      <c r="AF143">
        <v>8.4878730000000004</v>
      </c>
      <c r="AG143">
        <v>8.6342979999999994</v>
      </c>
      <c r="AH143">
        <v>8.7636160000000007</v>
      </c>
      <c r="AI143">
        <v>8.8824140000000007</v>
      </c>
      <c r="AJ143" s="32">
        <v>2.7E-2</v>
      </c>
    </row>
    <row r="144" spans="1:36" ht="12.9" x14ac:dyDescent="0.15">
      <c r="A144" t="s">
        <v>426</v>
      </c>
      <c r="C144" t="s">
        <v>789</v>
      </c>
    </row>
    <row r="145" spans="1:36" ht="12.9" x14ac:dyDescent="0.15">
      <c r="A145" t="s">
        <v>408</v>
      </c>
      <c r="B145" t="s">
        <v>542</v>
      </c>
      <c r="C145" t="s">
        <v>790</v>
      </c>
      <c r="D145" t="s">
        <v>360</v>
      </c>
      <c r="E145">
        <v>2.113826</v>
      </c>
      <c r="F145">
        <v>2.1331380000000002</v>
      </c>
      <c r="G145">
        <v>2.1724869999999998</v>
      </c>
      <c r="H145">
        <v>2.2232660000000002</v>
      </c>
      <c r="I145">
        <v>2.282241</v>
      </c>
      <c r="J145">
        <v>2.3470219999999999</v>
      </c>
      <c r="K145">
        <v>2.4114849999999999</v>
      </c>
      <c r="L145">
        <v>2.4684629999999999</v>
      </c>
      <c r="M145">
        <v>2.5212370000000002</v>
      </c>
      <c r="N145">
        <v>2.5701049999999999</v>
      </c>
      <c r="O145">
        <v>2.617991</v>
      </c>
      <c r="P145">
        <v>2.6649159999999998</v>
      </c>
      <c r="Q145">
        <v>2.7149529999999999</v>
      </c>
      <c r="R145">
        <v>2.7632249999999998</v>
      </c>
      <c r="S145">
        <v>2.810711</v>
      </c>
      <c r="T145">
        <v>2.861796</v>
      </c>
      <c r="U145">
        <v>2.917745</v>
      </c>
      <c r="V145">
        <v>2.975346</v>
      </c>
      <c r="W145">
        <v>3.0332560000000002</v>
      </c>
      <c r="X145">
        <v>3.09273</v>
      </c>
      <c r="Y145">
        <v>3.154671</v>
      </c>
      <c r="Z145">
        <v>3.2177359999999999</v>
      </c>
      <c r="AA145">
        <v>3.283099</v>
      </c>
      <c r="AB145">
        <v>3.3554979999999999</v>
      </c>
      <c r="AC145">
        <v>3.4331309999999999</v>
      </c>
      <c r="AD145">
        <v>3.513722</v>
      </c>
      <c r="AE145">
        <v>3.594338</v>
      </c>
      <c r="AF145">
        <v>3.673692</v>
      </c>
      <c r="AG145">
        <v>3.7533599999999998</v>
      </c>
      <c r="AH145">
        <v>3.8341240000000001</v>
      </c>
      <c r="AI145">
        <v>3.9139870000000001</v>
      </c>
      <c r="AJ145" s="32">
        <v>2.1000000000000001E-2</v>
      </c>
    </row>
    <row r="146" spans="1:36" ht="12.9" x14ac:dyDescent="0.15">
      <c r="A146" t="s">
        <v>410</v>
      </c>
      <c r="B146" t="s">
        <v>543</v>
      </c>
      <c r="C146" t="s">
        <v>791</v>
      </c>
      <c r="D146" t="s">
        <v>360</v>
      </c>
      <c r="E146">
        <v>1.4032720000000001</v>
      </c>
      <c r="F146">
        <v>1.3900680000000001</v>
      </c>
      <c r="G146">
        <v>1.3899840000000001</v>
      </c>
      <c r="H146">
        <v>1.398344</v>
      </c>
      <c r="I146">
        <v>1.412763</v>
      </c>
      <c r="J146">
        <v>1.4323399999999999</v>
      </c>
      <c r="K146">
        <v>1.453503</v>
      </c>
      <c r="L146">
        <v>1.472623</v>
      </c>
      <c r="M146">
        <v>1.4898849999999999</v>
      </c>
      <c r="N146">
        <v>1.5060899999999999</v>
      </c>
      <c r="O146">
        <v>1.52278</v>
      </c>
      <c r="P146">
        <v>1.538395</v>
      </c>
      <c r="Q146">
        <v>1.5569230000000001</v>
      </c>
      <c r="R146">
        <v>1.5744849999999999</v>
      </c>
      <c r="S146">
        <v>1.592759</v>
      </c>
      <c r="T146">
        <v>1.614851</v>
      </c>
      <c r="U146">
        <v>1.639389</v>
      </c>
      <c r="V146">
        <v>1.665038</v>
      </c>
      <c r="W146">
        <v>1.691109</v>
      </c>
      <c r="X146">
        <v>1.7199770000000001</v>
      </c>
      <c r="Y146">
        <v>1.749814</v>
      </c>
      <c r="Z146">
        <v>1.7819529999999999</v>
      </c>
      <c r="AA146">
        <v>1.815777</v>
      </c>
      <c r="AB146">
        <v>1.852463</v>
      </c>
      <c r="AC146">
        <v>1.89076</v>
      </c>
      <c r="AD146">
        <v>1.928831</v>
      </c>
      <c r="AE146">
        <v>1.9661459999999999</v>
      </c>
      <c r="AF146">
        <v>2.0015149999999999</v>
      </c>
      <c r="AG146">
        <v>2.036003</v>
      </c>
      <c r="AH146">
        <v>2.0706730000000002</v>
      </c>
      <c r="AI146">
        <v>2.1033520000000001</v>
      </c>
      <c r="AJ146" s="32">
        <v>1.4E-2</v>
      </c>
    </row>
    <row r="147" spans="1:36" ht="12.9" x14ac:dyDescent="0.15">
      <c r="A147" t="s">
        <v>412</v>
      </c>
      <c r="B147" t="s">
        <v>544</v>
      </c>
      <c r="C147" t="s">
        <v>792</v>
      </c>
      <c r="D147" t="s">
        <v>360</v>
      </c>
      <c r="E147">
        <v>3.166E-3</v>
      </c>
      <c r="F147">
        <v>3.0279999999999999E-3</v>
      </c>
      <c r="G147">
        <v>2.99E-3</v>
      </c>
      <c r="H147">
        <v>3.0200000000000001E-3</v>
      </c>
      <c r="I147">
        <v>3.0999999999999999E-3</v>
      </c>
      <c r="J147">
        <v>3.2200000000000002E-3</v>
      </c>
      <c r="K147">
        <v>3.3660000000000001E-3</v>
      </c>
      <c r="L147">
        <v>3.516E-3</v>
      </c>
      <c r="M147">
        <v>3.673E-3</v>
      </c>
      <c r="N147">
        <v>3.826E-3</v>
      </c>
      <c r="O147">
        <v>3.9919999999999999E-3</v>
      </c>
      <c r="P147">
        <v>4.1640000000000002E-3</v>
      </c>
      <c r="Q147">
        <v>4.3540000000000002E-3</v>
      </c>
      <c r="R147">
        <v>4.5700000000000003E-3</v>
      </c>
      <c r="S147">
        <v>4.7879999999999997E-3</v>
      </c>
      <c r="T147">
        <v>5.0179999999999999E-3</v>
      </c>
      <c r="U147">
        <v>5.2789999999999998E-3</v>
      </c>
      <c r="V147">
        <v>5.5630000000000002E-3</v>
      </c>
      <c r="W147">
        <v>5.8659999999999997E-3</v>
      </c>
      <c r="X147">
        <v>6.1960000000000001E-3</v>
      </c>
      <c r="Y147">
        <v>6.5529999999999998E-3</v>
      </c>
      <c r="Z147">
        <v>6.9350000000000002E-3</v>
      </c>
      <c r="AA147">
        <v>7.3350000000000004E-3</v>
      </c>
      <c r="AB147">
        <v>7.7539999999999996E-3</v>
      </c>
      <c r="AC147">
        <v>8.1910000000000004E-3</v>
      </c>
      <c r="AD147">
        <v>8.6470000000000002E-3</v>
      </c>
      <c r="AE147">
        <v>9.1240000000000002E-3</v>
      </c>
      <c r="AF147">
        <v>9.6089999999999995E-3</v>
      </c>
      <c r="AG147">
        <v>1.0113E-2</v>
      </c>
      <c r="AH147">
        <v>1.0579E-2</v>
      </c>
      <c r="AI147">
        <v>1.1084E-2</v>
      </c>
      <c r="AJ147" s="32">
        <v>4.2999999999999997E-2</v>
      </c>
    </row>
    <row r="148" spans="1:36" ht="12.9" x14ac:dyDescent="0.15">
      <c r="A148" t="s">
        <v>414</v>
      </c>
      <c r="B148" t="s">
        <v>545</v>
      </c>
      <c r="C148" t="s">
        <v>793</v>
      </c>
      <c r="D148" t="s">
        <v>360</v>
      </c>
      <c r="E148">
        <v>2.8370000000000001E-3</v>
      </c>
      <c r="F148">
        <v>3.235E-3</v>
      </c>
      <c r="G148">
        <v>3.712E-3</v>
      </c>
      <c r="H148">
        <v>4.2329999999999998E-3</v>
      </c>
      <c r="I148">
        <v>4.7819999999999998E-3</v>
      </c>
      <c r="J148">
        <v>5.3480000000000003E-3</v>
      </c>
      <c r="K148">
        <v>5.9059999999999998E-3</v>
      </c>
      <c r="L148">
        <v>6.4310000000000001E-3</v>
      </c>
      <c r="M148">
        <v>6.9340000000000001E-3</v>
      </c>
      <c r="N148">
        <v>7.4250000000000002E-3</v>
      </c>
      <c r="O148">
        <v>7.9070000000000008E-3</v>
      </c>
      <c r="P148">
        <v>8.3850000000000001E-3</v>
      </c>
      <c r="Q148">
        <v>8.8690000000000001E-3</v>
      </c>
      <c r="R148">
        <v>9.3559999999999997E-3</v>
      </c>
      <c r="S148">
        <v>9.8449999999999996E-3</v>
      </c>
      <c r="T148">
        <v>1.0336E-2</v>
      </c>
      <c r="U148">
        <v>1.0829E-2</v>
      </c>
      <c r="V148">
        <v>1.1320999999999999E-2</v>
      </c>
      <c r="W148">
        <v>1.1809E-2</v>
      </c>
      <c r="X148">
        <v>1.2314E-2</v>
      </c>
      <c r="Y148">
        <v>1.2839E-2</v>
      </c>
      <c r="Z148">
        <v>1.3362000000000001E-2</v>
      </c>
      <c r="AA148">
        <v>1.3893000000000001E-2</v>
      </c>
      <c r="AB148">
        <v>1.4408000000000001E-2</v>
      </c>
      <c r="AC148">
        <v>1.4916E-2</v>
      </c>
      <c r="AD148">
        <v>1.5443999999999999E-2</v>
      </c>
      <c r="AE148">
        <v>1.5986E-2</v>
      </c>
      <c r="AF148">
        <v>1.6514999999999998E-2</v>
      </c>
      <c r="AG148">
        <v>1.7042999999999999E-2</v>
      </c>
      <c r="AH148">
        <v>1.7590999999999999E-2</v>
      </c>
      <c r="AI148">
        <v>1.8157E-2</v>
      </c>
      <c r="AJ148" s="32">
        <v>6.4000000000000001E-2</v>
      </c>
    </row>
    <row r="149" spans="1:36" ht="12.9" x14ac:dyDescent="0.15">
      <c r="A149" t="s">
        <v>416</v>
      </c>
      <c r="B149" t="s">
        <v>546</v>
      </c>
      <c r="C149" t="s">
        <v>794</v>
      </c>
      <c r="D149" t="s">
        <v>360</v>
      </c>
      <c r="E149">
        <v>3.2770000000000001E-2</v>
      </c>
      <c r="F149">
        <v>3.7170000000000002E-2</v>
      </c>
      <c r="G149">
        <v>4.2429000000000001E-2</v>
      </c>
      <c r="H149">
        <v>4.8176999999999998E-2</v>
      </c>
      <c r="I149">
        <v>5.4232000000000002E-2</v>
      </c>
      <c r="J149">
        <v>6.0486999999999999E-2</v>
      </c>
      <c r="K149">
        <v>6.6742999999999997E-2</v>
      </c>
      <c r="L149">
        <v>7.2718000000000005E-2</v>
      </c>
      <c r="M149">
        <v>7.8552999999999998E-2</v>
      </c>
      <c r="N149">
        <v>8.4390000000000007E-2</v>
      </c>
      <c r="O149">
        <v>9.0265999999999999E-2</v>
      </c>
      <c r="P149">
        <v>9.6306000000000003E-2</v>
      </c>
      <c r="Q149">
        <v>0.102632</v>
      </c>
      <c r="R149">
        <v>0.10924200000000001</v>
      </c>
      <c r="S149">
        <v>0.11613999999999999</v>
      </c>
      <c r="T149">
        <v>0.1234</v>
      </c>
      <c r="U149">
        <v>0.13104099999999999</v>
      </c>
      <c r="V149">
        <v>0.13894100000000001</v>
      </c>
      <c r="W149">
        <v>0.14713200000000001</v>
      </c>
      <c r="X149">
        <v>0.15582399999999999</v>
      </c>
      <c r="Y149">
        <v>0.16512199999999999</v>
      </c>
      <c r="Z149">
        <v>0.17493600000000001</v>
      </c>
      <c r="AA149">
        <v>0.185173</v>
      </c>
      <c r="AB149">
        <v>0.19584699999999999</v>
      </c>
      <c r="AC149">
        <v>0.206867</v>
      </c>
      <c r="AD149">
        <v>0.21834899999999999</v>
      </c>
      <c r="AE149">
        <v>0.23022300000000001</v>
      </c>
      <c r="AF149">
        <v>0.242257</v>
      </c>
      <c r="AG149">
        <v>0.25457000000000002</v>
      </c>
      <c r="AH149">
        <v>0.26755400000000001</v>
      </c>
      <c r="AI149">
        <v>0.281084</v>
      </c>
      <c r="AJ149" s="32">
        <v>7.3999999999999996E-2</v>
      </c>
    </row>
    <row r="150" spans="1:36" ht="12.9" x14ac:dyDescent="0.15">
      <c r="A150" t="s">
        <v>288</v>
      </c>
      <c r="B150" t="s">
        <v>547</v>
      </c>
      <c r="C150" t="s">
        <v>795</v>
      </c>
      <c r="D150" t="s">
        <v>360</v>
      </c>
      <c r="E150">
        <v>2.7700000000000001E-4</v>
      </c>
      <c r="F150">
        <v>4.7600000000000002E-4</v>
      </c>
      <c r="G150">
        <v>7.2000000000000005E-4</v>
      </c>
      <c r="H150">
        <v>9.9599999999999992E-4</v>
      </c>
      <c r="I150">
        <v>1.2960000000000001E-3</v>
      </c>
      <c r="J150">
        <v>1.616E-3</v>
      </c>
      <c r="K150">
        <v>1.944E-3</v>
      </c>
      <c r="L150">
        <v>2.2650000000000001E-3</v>
      </c>
      <c r="M150">
        <v>2.5860000000000002E-3</v>
      </c>
      <c r="N150">
        <v>2.9129999999999998E-3</v>
      </c>
      <c r="O150">
        <v>3.2460000000000002E-3</v>
      </c>
      <c r="P150">
        <v>3.5890000000000002E-3</v>
      </c>
      <c r="Q150">
        <v>3.9500000000000004E-3</v>
      </c>
      <c r="R150">
        <v>4.326E-3</v>
      </c>
      <c r="S150">
        <v>4.7190000000000001E-3</v>
      </c>
      <c r="T150">
        <v>5.1320000000000003E-3</v>
      </c>
      <c r="U150">
        <v>5.5649999999999996E-3</v>
      </c>
      <c r="V150">
        <v>6.0109999999999999E-3</v>
      </c>
      <c r="W150">
        <v>6.4739999999999997E-3</v>
      </c>
      <c r="X150">
        <v>6.9610000000000002E-3</v>
      </c>
      <c r="Y150">
        <v>7.4799999999999997E-3</v>
      </c>
      <c r="Z150">
        <v>8.0239999999999999E-3</v>
      </c>
      <c r="AA150">
        <v>8.5900000000000004E-3</v>
      </c>
      <c r="AB150">
        <v>9.1760000000000001E-3</v>
      </c>
      <c r="AC150">
        <v>9.7820000000000008E-3</v>
      </c>
      <c r="AD150">
        <v>1.0411999999999999E-2</v>
      </c>
      <c r="AE150">
        <v>1.1065E-2</v>
      </c>
      <c r="AF150">
        <v>1.1728000000000001E-2</v>
      </c>
      <c r="AG150">
        <v>1.2411999999999999E-2</v>
      </c>
      <c r="AH150">
        <v>1.3127E-2</v>
      </c>
      <c r="AI150">
        <v>1.3868999999999999E-2</v>
      </c>
      <c r="AJ150" s="32">
        <v>0.13900000000000001</v>
      </c>
    </row>
    <row r="151" spans="1:36" ht="12.9" x14ac:dyDescent="0.15">
      <c r="A151" t="s">
        <v>419</v>
      </c>
      <c r="B151" t="s">
        <v>548</v>
      </c>
      <c r="C151" t="s">
        <v>796</v>
      </c>
      <c r="D151" t="s">
        <v>360</v>
      </c>
      <c r="E151">
        <v>1.8599999999999999E-4</v>
      </c>
      <c r="F151">
        <v>4.0000000000000002E-4</v>
      </c>
      <c r="G151">
        <v>6.6299999999999996E-4</v>
      </c>
      <c r="H151">
        <v>9.6199999999999996E-4</v>
      </c>
      <c r="I151">
        <v>1.2880000000000001E-3</v>
      </c>
      <c r="J151">
        <v>1.635E-3</v>
      </c>
      <c r="K151">
        <v>1.9910000000000001E-3</v>
      </c>
      <c r="L151">
        <v>2.3400000000000001E-3</v>
      </c>
      <c r="M151">
        <v>2.689E-3</v>
      </c>
      <c r="N151">
        <v>3.0439999999999998E-3</v>
      </c>
      <c r="O151">
        <v>3.4069999999999999E-3</v>
      </c>
      <c r="P151">
        <v>3.7810000000000001E-3</v>
      </c>
      <c r="Q151">
        <v>4.1729999999999996E-3</v>
      </c>
      <c r="R151">
        <v>4.5840000000000004E-3</v>
      </c>
      <c r="S151">
        <v>5.0109999999999998E-3</v>
      </c>
      <c r="T151">
        <v>5.4609999999999997E-3</v>
      </c>
      <c r="U151">
        <v>5.9319999999999998E-3</v>
      </c>
      <c r="V151">
        <v>6.4180000000000001E-3</v>
      </c>
      <c r="W151">
        <v>6.9210000000000001E-3</v>
      </c>
      <c r="X151">
        <v>7.4520000000000003E-3</v>
      </c>
      <c r="Y151">
        <v>8.0160000000000006E-3</v>
      </c>
      <c r="Z151">
        <v>8.6079999999999993E-3</v>
      </c>
      <c r="AA151">
        <v>9.2230000000000003E-3</v>
      </c>
      <c r="AB151">
        <v>9.861E-3</v>
      </c>
      <c r="AC151">
        <v>1.0519000000000001E-2</v>
      </c>
      <c r="AD151">
        <v>1.1202999999999999E-2</v>
      </c>
      <c r="AE151">
        <v>1.1912000000000001E-2</v>
      </c>
      <c r="AF151">
        <v>1.2632000000000001E-2</v>
      </c>
      <c r="AG151">
        <v>1.3374E-2</v>
      </c>
      <c r="AH151">
        <v>1.4151E-2</v>
      </c>
      <c r="AI151">
        <v>1.4956000000000001E-2</v>
      </c>
      <c r="AJ151" s="32">
        <v>0.157</v>
      </c>
    </row>
    <row r="152" spans="1:36" ht="12.9" x14ac:dyDescent="0.15">
      <c r="A152" t="s">
        <v>421</v>
      </c>
      <c r="B152" t="s">
        <v>549</v>
      </c>
      <c r="C152" t="s">
        <v>797</v>
      </c>
      <c r="D152" t="s">
        <v>360</v>
      </c>
      <c r="E152">
        <v>1.75E-4</v>
      </c>
      <c r="F152">
        <v>3.7500000000000001E-4</v>
      </c>
      <c r="G152">
        <v>6.2299999999999996E-4</v>
      </c>
      <c r="H152">
        <v>9.0399999999999996E-4</v>
      </c>
      <c r="I152">
        <v>1.209E-3</v>
      </c>
      <c r="J152">
        <v>1.5349999999999999E-3</v>
      </c>
      <c r="K152">
        <v>1.869E-3</v>
      </c>
      <c r="L152">
        <v>2.1970000000000002E-3</v>
      </c>
      <c r="M152">
        <v>2.5249999999999999E-3</v>
      </c>
      <c r="N152">
        <v>2.859E-3</v>
      </c>
      <c r="O152">
        <v>3.199E-3</v>
      </c>
      <c r="P152">
        <v>3.5509999999999999E-3</v>
      </c>
      <c r="Q152">
        <v>3.9189999999999997E-3</v>
      </c>
      <c r="R152">
        <v>4.3049999999999998E-3</v>
      </c>
      <c r="S152">
        <v>4.7060000000000001E-3</v>
      </c>
      <c r="T152">
        <v>5.1279999999999997E-3</v>
      </c>
      <c r="U152">
        <v>5.5710000000000004E-3</v>
      </c>
      <c r="V152">
        <v>6.0280000000000004E-3</v>
      </c>
      <c r="W152">
        <v>6.4999999999999997E-3</v>
      </c>
      <c r="X152">
        <v>6.999E-3</v>
      </c>
      <c r="Y152">
        <v>7.528E-3</v>
      </c>
      <c r="Z152">
        <v>8.0839999999999992E-3</v>
      </c>
      <c r="AA152">
        <v>8.6610000000000003E-3</v>
      </c>
      <c r="AB152">
        <v>9.2599999999999991E-3</v>
      </c>
      <c r="AC152">
        <v>9.8790000000000006E-3</v>
      </c>
      <c r="AD152">
        <v>1.0521000000000001E-2</v>
      </c>
      <c r="AE152">
        <v>1.1187000000000001E-2</v>
      </c>
      <c r="AF152">
        <v>1.1863E-2</v>
      </c>
      <c r="AG152">
        <v>1.256E-2</v>
      </c>
      <c r="AH152">
        <v>1.3289E-2</v>
      </c>
      <c r="AI152">
        <v>1.4045999999999999E-2</v>
      </c>
      <c r="AJ152" s="32">
        <v>0.157</v>
      </c>
    </row>
    <row r="153" spans="1:36" ht="12.9" x14ac:dyDescent="0.15">
      <c r="A153" t="s">
        <v>300</v>
      </c>
      <c r="B153" t="s">
        <v>550</v>
      </c>
      <c r="C153" t="s">
        <v>798</v>
      </c>
      <c r="D153" t="s">
        <v>360</v>
      </c>
      <c r="E153">
        <v>2.8600000000000001E-4</v>
      </c>
      <c r="F153">
        <v>6.1399999999999996E-4</v>
      </c>
      <c r="G153">
        <v>1.0189999999999999E-3</v>
      </c>
      <c r="H153">
        <v>1.4779999999999999E-3</v>
      </c>
      <c r="I153">
        <v>1.9780000000000002E-3</v>
      </c>
      <c r="J153">
        <v>2.5119999999999999E-3</v>
      </c>
      <c r="K153">
        <v>3.058E-3</v>
      </c>
      <c r="L153">
        <v>3.594E-3</v>
      </c>
      <c r="M153">
        <v>4.1310000000000001E-3</v>
      </c>
      <c r="N153">
        <v>4.6769999999999997E-3</v>
      </c>
      <c r="O153">
        <v>5.2339999999999999E-3</v>
      </c>
      <c r="P153">
        <v>5.8089999999999999E-3</v>
      </c>
      <c r="Q153">
        <v>6.4120000000000002E-3</v>
      </c>
      <c r="R153">
        <v>7.0419999999999996E-3</v>
      </c>
      <c r="S153">
        <v>7.6990000000000001E-3</v>
      </c>
      <c r="T153">
        <v>8.3890000000000006E-3</v>
      </c>
      <c r="U153">
        <v>9.1129999999999996E-3</v>
      </c>
      <c r="V153">
        <v>9.8600000000000007E-3</v>
      </c>
      <c r="W153">
        <v>1.0633E-2</v>
      </c>
      <c r="X153">
        <v>1.1449000000000001E-2</v>
      </c>
      <c r="Y153">
        <v>1.2315E-2</v>
      </c>
      <c r="Z153">
        <v>1.3225000000000001E-2</v>
      </c>
      <c r="AA153">
        <v>1.4168999999999999E-2</v>
      </c>
      <c r="AB153">
        <v>1.5148999999999999E-2</v>
      </c>
      <c r="AC153">
        <v>1.6160000000000001E-2</v>
      </c>
      <c r="AD153">
        <v>1.7211000000000001E-2</v>
      </c>
      <c r="AE153">
        <v>1.8301000000000001E-2</v>
      </c>
      <c r="AF153">
        <v>1.9407000000000001E-2</v>
      </c>
      <c r="AG153">
        <v>2.0545999999999998E-2</v>
      </c>
      <c r="AH153">
        <v>2.1739999999999999E-2</v>
      </c>
      <c r="AI153">
        <v>2.2977000000000001E-2</v>
      </c>
      <c r="AJ153" s="32">
        <v>0.157</v>
      </c>
    </row>
    <row r="154" spans="1:36" ht="12.9" x14ac:dyDescent="0.15">
      <c r="A154" t="s">
        <v>436</v>
      </c>
      <c r="B154" t="s">
        <v>551</v>
      </c>
      <c r="C154" t="s">
        <v>799</v>
      </c>
      <c r="D154" t="s">
        <v>360</v>
      </c>
      <c r="E154">
        <v>3.5567950000000002</v>
      </c>
      <c r="F154">
        <v>3.568505</v>
      </c>
      <c r="G154">
        <v>3.6146280000000002</v>
      </c>
      <c r="H154">
        <v>3.681378</v>
      </c>
      <c r="I154">
        <v>3.7628889999999999</v>
      </c>
      <c r="J154">
        <v>3.8557139999999999</v>
      </c>
      <c r="K154">
        <v>3.9498660000000001</v>
      </c>
      <c r="L154">
        <v>4.0341459999999998</v>
      </c>
      <c r="M154">
        <v>4.1122139999999998</v>
      </c>
      <c r="N154">
        <v>4.185333</v>
      </c>
      <c r="O154">
        <v>4.2580220000000004</v>
      </c>
      <c r="P154">
        <v>4.3288970000000004</v>
      </c>
      <c r="Q154">
        <v>4.4061830000000004</v>
      </c>
      <c r="R154">
        <v>4.4811350000000001</v>
      </c>
      <c r="S154">
        <v>4.5563799999999999</v>
      </c>
      <c r="T154">
        <v>4.6395140000000001</v>
      </c>
      <c r="U154">
        <v>4.7304620000000002</v>
      </c>
      <c r="V154">
        <v>4.8245269999999998</v>
      </c>
      <c r="W154">
        <v>4.9196999999999997</v>
      </c>
      <c r="X154">
        <v>5.0199020000000001</v>
      </c>
      <c r="Y154">
        <v>5.1243369999999997</v>
      </c>
      <c r="Z154">
        <v>5.2328679999999999</v>
      </c>
      <c r="AA154">
        <v>5.3459240000000001</v>
      </c>
      <c r="AB154">
        <v>5.4694180000000001</v>
      </c>
      <c r="AC154">
        <v>5.6002039999999997</v>
      </c>
      <c r="AD154">
        <v>5.734343</v>
      </c>
      <c r="AE154">
        <v>5.8682850000000002</v>
      </c>
      <c r="AF154">
        <v>5.9992179999999999</v>
      </c>
      <c r="AG154">
        <v>6.1299830000000002</v>
      </c>
      <c r="AH154">
        <v>6.2628250000000003</v>
      </c>
      <c r="AI154">
        <v>6.3935079999999997</v>
      </c>
      <c r="AJ154" s="32">
        <v>0.02</v>
      </c>
    </row>
    <row r="155" spans="1:36" ht="12.9" x14ac:dyDescent="0.15">
      <c r="A155" t="s">
        <v>438</v>
      </c>
      <c r="C155" t="s">
        <v>800</v>
      </c>
    </row>
    <row r="156" spans="1:36" ht="12.9" x14ac:dyDescent="0.15">
      <c r="A156" t="s">
        <v>408</v>
      </c>
      <c r="B156" t="s">
        <v>552</v>
      </c>
      <c r="C156" t="s">
        <v>801</v>
      </c>
      <c r="D156" t="s">
        <v>360</v>
      </c>
      <c r="E156">
        <v>4.9273610000000003</v>
      </c>
      <c r="F156">
        <v>4.9698799999999999</v>
      </c>
      <c r="G156">
        <v>5.0505779999999998</v>
      </c>
      <c r="H156">
        <v>5.1495199999999999</v>
      </c>
      <c r="I156">
        <v>5.2576869999999998</v>
      </c>
      <c r="J156">
        <v>5.3716470000000003</v>
      </c>
      <c r="K156">
        <v>5.4798809999999998</v>
      </c>
      <c r="L156">
        <v>5.567901</v>
      </c>
      <c r="M156">
        <v>5.6404439999999996</v>
      </c>
      <c r="N156">
        <v>5.6997520000000002</v>
      </c>
      <c r="O156">
        <v>5.751614</v>
      </c>
      <c r="P156">
        <v>5.8003400000000003</v>
      </c>
      <c r="Q156">
        <v>5.8473350000000002</v>
      </c>
      <c r="R156">
        <v>5.8893750000000002</v>
      </c>
      <c r="S156">
        <v>5.9240690000000003</v>
      </c>
      <c r="T156">
        <v>5.9613339999999999</v>
      </c>
      <c r="U156">
        <v>6.0039290000000003</v>
      </c>
      <c r="V156">
        <v>6.0440990000000001</v>
      </c>
      <c r="W156">
        <v>6.0810069999999996</v>
      </c>
      <c r="X156">
        <v>6.1126969999999998</v>
      </c>
      <c r="Y156">
        <v>6.1422090000000003</v>
      </c>
      <c r="Z156">
        <v>6.1626839999999996</v>
      </c>
      <c r="AA156">
        <v>6.1901190000000001</v>
      </c>
      <c r="AB156">
        <v>6.2200879999999996</v>
      </c>
      <c r="AC156">
        <v>6.2521190000000004</v>
      </c>
      <c r="AD156">
        <v>6.2839840000000002</v>
      </c>
      <c r="AE156">
        <v>6.3088160000000002</v>
      </c>
      <c r="AF156">
        <v>6.3235460000000003</v>
      </c>
      <c r="AG156">
        <v>6.3322200000000004</v>
      </c>
      <c r="AH156">
        <v>6.3348310000000003</v>
      </c>
      <c r="AI156">
        <v>6.3288529999999996</v>
      </c>
      <c r="AJ156" s="32">
        <v>8.0000000000000002E-3</v>
      </c>
    </row>
    <row r="157" spans="1:36" ht="12.9" x14ac:dyDescent="0.15">
      <c r="A157" t="s">
        <v>410</v>
      </c>
      <c r="B157" t="s">
        <v>553</v>
      </c>
      <c r="C157" t="s">
        <v>802</v>
      </c>
      <c r="D157" t="s">
        <v>360</v>
      </c>
      <c r="E157">
        <v>4.7627999999999997E-2</v>
      </c>
      <c r="F157">
        <v>4.1701000000000002E-2</v>
      </c>
      <c r="G157">
        <v>3.6742999999999998E-2</v>
      </c>
      <c r="H157">
        <v>3.2603E-2</v>
      </c>
      <c r="I157">
        <v>2.9021000000000002E-2</v>
      </c>
      <c r="J157">
        <v>2.5946E-2</v>
      </c>
      <c r="K157">
        <v>2.3460999999999999E-2</v>
      </c>
      <c r="L157">
        <v>2.1447000000000001E-2</v>
      </c>
      <c r="M157">
        <v>1.9778E-2</v>
      </c>
      <c r="N157">
        <v>1.8334E-2</v>
      </c>
      <c r="O157">
        <v>1.7139999999999999E-2</v>
      </c>
      <c r="P157">
        <v>1.6077999999999999E-2</v>
      </c>
      <c r="Q157">
        <v>1.5202E-2</v>
      </c>
      <c r="R157">
        <v>1.4515999999999999E-2</v>
      </c>
      <c r="S157">
        <v>1.3984E-2</v>
      </c>
      <c r="T157">
        <v>1.3618E-2</v>
      </c>
      <c r="U157">
        <v>1.3329000000000001E-2</v>
      </c>
      <c r="V157">
        <v>1.3157E-2</v>
      </c>
      <c r="W157">
        <v>1.3062000000000001E-2</v>
      </c>
      <c r="X157">
        <v>1.2988E-2</v>
      </c>
      <c r="Y157">
        <v>1.2909E-2</v>
      </c>
      <c r="Z157">
        <v>1.2885000000000001E-2</v>
      </c>
      <c r="AA157">
        <v>1.2822999999999999E-2</v>
      </c>
      <c r="AB157">
        <v>1.2766E-2</v>
      </c>
      <c r="AC157">
        <v>1.2781000000000001E-2</v>
      </c>
      <c r="AD157">
        <v>1.2845000000000001E-2</v>
      </c>
      <c r="AE157">
        <v>1.2932000000000001E-2</v>
      </c>
      <c r="AF157">
        <v>1.3018E-2</v>
      </c>
      <c r="AG157">
        <v>1.3110999999999999E-2</v>
      </c>
      <c r="AH157">
        <v>1.3197E-2</v>
      </c>
      <c r="AI157">
        <v>1.3273E-2</v>
      </c>
      <c r="AJ157" s="32">
        <v>-4.2000000000000003E-2</v>
      </c>
    </row>
    <row r="158" spans="1:36" ht="12.9" x14ac:dyDescent="0.15">
      <c r="A158" t="s">
        <v>412</v>
      </c>
      <c r="B158" t="s">
        <v>554</v>
      </c>
      <c r="C158" t="s">
        <v>803</v>
      </c>
      <c r="D158" t="s">
        <v>360</v>
      </c>
      <c r="E158">
        <v>3.7469999999999999E-3</v>
      </c>
      <c r="F158">
        <v>3.7699999999999999E-3</v>
      </c>
      <c r="G158">
        <v>3.8400000000000001E-3</v>
      </c>
      <c r="H158">
        <v>3.9290000000000002E-3</v>
      </c>
      <c r="I158">
        <v>4.0379999999999999E-3</v>
      </c>
      <c r="J158">
        <v>4.163E-3</v>
      </c>
      <c r="K158">
        <v>4.3080000000000002E-3</v>
      </c>
      <c r="L158">
        <v>4.4380000000000001E-3</v>
      </c>
      <c r="M158">
        <v>4.548E-3</v>
      </c>
      <c r="N158">
        <v>4.6249999999999998E-3</v>
      </c>
      <c r="O158">
        <v>4.7039999999999998E-3</v>
      </c>
      <c r="P158">
        <v>4.7809999999999997E-3</v>
      </c>
      <c r="Q158">
        <v>4.8529999999999997E-3</v>
      </c>
      <c r="R158">
        <v>4.9509999999999997E-3</v>
      </c>
      <c r="S158">
        <v>5.0629999999999998E-3</v>
      </c>
      <c r="T158">
        <v>5.1850000000000004E-3</v>
      </c>
      <c r="U158">
        <v>5.3119999999999999E-3</v>
      </c>
      <c r="V158">
        <v>5.4380000000000001E-3</v>
      </c>
      <c r="W158">
        <v>5.5599999999999998E-3</v>
      </c>
      <c r="X158">
        <v>5.6820000000000004E-3</v>
      </c>
      <c r="Y158">
        <v>5.8040000000000001E-3</v>
      </c>
      <c r="Z158">
        <v>5.9249999999999997E-3</v>
      </c>
      <c r="AA158">
        <v>6.0400000000000002E-3</v>
      </c>
      <c r="AB158">
        <v>6.1510000000000002E-3</v>
      </c>
      <c r="AC158">
        <v>6.2560000000000003E-3</v>
      </c>
      <c r="AD158">
        <v>6.3569999999999998E-3</v>
      </c>
      <c r="AE158">
        <v>6.4549999999999998E-3</v>
      </c>
      <c r="AF158">
        <v>6.5449999999999996E-3</v>
      </c>
      <c r="AG158">
        <v>6.6290000000000003E-3</v>
      </c>
      <c r="AH158">
        <v>6.7010000000000004E-3</v>
      </c>
      <c r="AI158">
        <v>6.7549999999999997E-3</v>
      </c>
      <c r="AJ158" s="32">
        <v>0.02</v>
      </c>
    </row>
    <row r="159" spans="1:36" ht="12.9" x14ac:dyDescent="0.15">
      <c r="A159" t="s">
        <v>414</v>
      </c>
      <c r="B159" t="s">
        <v>555</v>
      </c>
      <c r="C159" t="s">
        <v>804</v>
      </c>
      <c r="D159" t="s">
        <v>360</v>
      </c>
      <c r="E159">
        <v>4.4406000000000001E-2</v>
      </c>
      <c r="F159">
        <v>4.7688000000000001E-2</v>
      </c>
      <c r="G159">
        <v>5.1163E-2</v>
      </c>
      <c r="H159">
        <v>5.4503000000000003E-2</v>
      </c>
      <c r="I159">
        <v>5.7575000000000001E-2</v>
      </c>
      <c r="J159">
        <v>6.0374999999999998E-2</v>
      </c>
      <c r="K159">
        <v>6.2839999999999993E-2</v>
      </c>
      <c r="L159">
        <v>6.4871999999999999E-2</v>
      </c>
      <c r="M159">
        <v>6.6600999999999994E-2</v>
      </c>
      <c r="N159">
        <v>6.8108000000000002E-2</v>
      </c>
      <c r="O159">
        <v>6.9438E-2</v>
      </c>
      <c r="P159">
        <v>7.0655999999999997E-2</v>
      </c>
      <c r="Q159">
        <v>7.1865999999999999E-2</v>
      </c>
      <c r="R159">
        <v>7.3091000000000003E-2</v>
      </c>
      <c r="S159">
        <v>7.4352000000000001E-2</v>
      </c>
      <c r="T159">
        <v>7.571E-2</v>
      </c>
      <c r="U159">
        <v>7.7157000000000003E-2</v>
      </c>
      <c r="V159">
        <v>7.8669000000000003E-2</v>
      </c>
      <c r="W159">
        <v>8.0232999999999999E-2</v>
      </c>
      <c r="X159">
        <v>8.1948999999999994E-2</v>
      </c>
      <c r="Y159">
        <v>8.3926000000000001E-2</v>
      </c>
      <c r="Z159">
        <v>8.6150000000000004E-2</v>
      </c>
      <c r="AA159">
        <v>8.8616E-2</v>
      </c>
      <c r="AB159">
        <v>9.1316999999999995E-2</v>
      </c>
      <c r="AC159">
        <v>9.4312000000000007E-2</v>
      </c>
      <c r="AD159">
        <v>9.7685999999999995E-2</v>
      </c>
      <c r="AE159">
        <v>0.101387</v>
      </c>
      <c r="AF159">
        <v>0.105381</v>
      </c>
      <c r="AG159">
        <v>0.109584</v>
      </c>
      <c r="AH159">
        <v>0.114232</v>
      </c>
      <c r="AI159">
        <v>0.119335</v>
      </c>
      <c r="AJ159" s="32">
        <v>3.4000000000000002E-2</v>
      </c>
    </row>
    <row r="160" spans="1:36" ht="12.9" x14ac:dyDescent="0.15">
      <c r="A160" t="s">
        <v>416</v>
      </c>
      <c r="B160" t="s">
        <v>556</v>
      </c>
      <c r="C160" t="s">
        <v>805</v>
      </c>
      <c r="D160" t="s">
        <v>360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23</v>
      </c>
    </row>
    <row r="161" spans="1:36" ht="12.9" x14ac:dyDescent="0.15">
      <c r="A161" t="s">
        <v>288</v>
      </c>
      <c r="B161" t="s">
        <v>557</v>
      </c>
      <c r="C161" t="s">
        <v>806</v>
      </c>
      <c r="D161" t="s">
        <v>360</v>
      </c>
      <c r="E161">
        <v>1.13E-4</v>
      </c>
      <c r="F161">
        <v>2.3000000000000001E-4</v>
      </c>
      <c r="G161">
        <v>3.6900000000000002E-4</v>
      </c>
      <c r="H161">
        <v>5.2300000000000003E-4</v>
      </c>
      <c r="I161">
        <v>6.87E-4</v>
      </c>
      <c r="J161">
        <v>8.5800000000000004E-4</v>
      </c>
      <c r="K161">
        <v>1.029E-3</v>
      </c>
      <c r="L161">
        <v>1.1919999999999999E-3</v>
      </c>
      <c r="M161">
        <v>1.3519999999999999E-3</v>
      </c>
      <c r="N161">
        <v>1.511E-3</v>
      </c>
      <c r="O161">
        <v>1.668E-3</v>
      </c>
      <c r="P161">
        <v>1.8270000000000001E-3</v>
      </c>
      <c r="Q161">
        <v>1.9889999999999999E-3</v>
      </c>
      <c r="R161">
        <v>2.153E-3</v>
      </c>
      <c r="S161">
        <v>2.32E-3</v>
      </c>
      <c r="T161">
        <v>2.4910000000000002E-3</v>
      </c>
      <c r="U161">
        <v>2.6649999999999998E-3</v>
      </c>
      <c r="V161">
        <v>2.8389999999999999E-3</v>
      </c>
      <c r="W161">
        <v>3.0130000000000001E-3</v>
      </c>
      <c r="X161">
        <v>3.192E-3</v>
      </c>
      <c r="Y161">
        <v>3.3769999999999998E-3</v>
      </c>
      <c r="Z161">
        <v>3.5639999999999999E-3</v>
      </c>
      <c r="AA161">
        <v>3.7529999999999998E-3</v>
      </c>
      <c r="AB161">
        <v>3.9430000000000003E-3</v>
      </c>
      <c r="AC161">
        <v>4.1320000000000003E-3</v>
      </c>
      <c r="AD161">
        <v>4.3229999999999996E-3</v>
      </c>
      <c r="AE161">
        <v>4.5139999999999998E-3</v>
      </c>
      <c r="AF161">
        <v>4.7010000000000003E-3</v>
      </c>
      <c r="AG161">
        <v>4.8859999999999997E-3</v>
      </c>
      <c r="AH161">
        <v>5.0740000000000004E-3</v>
      </c>
      <c r="AI161">
        <v>5.2630000000000003E-3</v>
      </c>
      <c r="AJ161" s="32">
        <v>0.13700000000000001</v>
      </c>
    </row>
    <row r="162" spans="1:36" ht="12.9" x14ac:dyDescent="0.15">
      <c r="A162" t="s">
        <v>419</v>
      </c>
      <c r="B162" t="s">
        <v>558</v>
      </c>
      <c r="C162" t="s">
        <v>807</v>
      </c>
      <c r="D162" t="s">
        <v>360</v>
      </c>
      <c r="E162">
        <v>2.3800000000000001E-4</v>
      </c>
      <c r="F162">
        <v>4.0900000000000002E-4</v>
      </c>
      <c r="G162">
        <v>6.1499999999999999E-4</v>
      </c>
      <c r="H162">
        <v>8.4400000000000002E-4</v>
      </c>
      <c r="I162">
        <v>1.0870000000000001E-3</v>
      </c>
      <c r="J162">
        <v>1.3389999999999999E-3</v>
      </c>
      <c r="K162">
        <v>1.593E-3</v>
      </c>
      <c r="L162">
        <v>1.835E-3</v>
      </c>
      <c r="M162">
        <v>2.0709999999999999E-3</v>
      </c>
      <c r="N162">
        <v>2.3050000000000002E-3</v>
      </c>
      <c r="O162">
        <v>2.5379999999999999E-3</v>
      </c>
      <c r="P162">
        <v>2.7720000000000002E-3</v>
      </c>
      <c r="Q162">
        <v>3.0109999999999998E-3</v>
      </c>
      <c r="R162">
        <v>3.2529999999999998E-3</v>
      </c>
      <c r="S162">
        <v>3.5000000000000001E-3</v>
      </c>
      <c r="T162">
        <v>3.751E-3</v>
      </c>
      <c r="U162">
        <v>4.0070000000000001E-3</v>
      </c>
      <c r="V162">
        <v>4.2630000000000003E-3</v>
      </c>
      <c r="W162">
        <v>4.5199999999999997E-3</v>
      </c>
      <c r="X162">
        <v>4.7840000000000001E-3</v>
      </c>
      <c r="Y162">
        <v>5.0549999999999996E-3</v>
      </c>
      <c r="Z162">
        <v>5.3319999999999999E-3</v>
      </c>
      <c r="AA162">
        <v>5.6100000000000004E-3</v>
      </c>
      <c r="AB162">
        <v>5.8900000000000003E-3</v>
      </c>
      <c r="AC162">
        <v>6.169E-3</v>
      </c>
      <c r="AD162">
        <v>6.45E-3</v>
      </c>
      <c r="AE162">
        <v>6.731E-3</v>
      </c>
      <c r="AF162">
        <v>7.0060000000000001E-3</v>
      </c>
      <c r="AG162">
        <v>7.28E-3</v>
      </c>
      <c r="AH162">
        <v>7.5570000000000003E-3</v>
      </c>
      <c r="AI162">
        <v>7.835E-3</v>
      </c>
      <c r="AJ162" s="32">
        <v>0.124</v>
      </c>
    </row>
    <row r="163" spans="1:36" ht="12.9" x14ac:dyDescent="0.15">
      <c r="A163" t="s">
        <v>421</v>
      </c>
      <c r="B163" t="s">
        <v>559</v>
      </c>
      <c r="C163" t="s">
        <v>808</v>
      </c>
      <c r="D163" t="s">
        <v>360</v>
      </c>
      <c r="E163">
        <v>2.63E-4</v>
      </c>
      <c r="F163">
        <v>4.5199999999999998E-4</v>
      </c>
      <c r="G163">
        <v>6.7900000000000002E-4</v>
      </c>
      <c r="H163">
        <v>9.3099999999999997E-4</v>
      </c>
      <c r="I163">
        <v>1.199E-3</v>
      </c>
      <c r="J163">
        <v>1.4779999999999999E-3</v>
      </c>
      <c r="K163">
        <v>1.7570000000000001E-3</v>
      </c>
      <c r="L163">
        <v>2.0240000000000002E-3</v>
      </c>
      <c r="M163">
        <v>2.284E-3</v>
      </c>
      <c r="N163">
        <v>2.542E-3</v>
      </c>
      <c r="O163">
        <v>2.7989999999999998E-3</v>
      </c>
      <c r="P163">
        <v>3.0569999999999998E-3</v>
      </c>
      <c r="Q163">
        <v>3.32E-3</v>
      </c>
      <c r="R163">
        <v>3.5869999999999999E-3</v>
      </c>
      <c r="S163">
        <v>3.859E-3</v>
      </c>
      <c r="T163">
        <v>4.1359999999999999E-3</v>
      </c>
      <c r="U163">
        <v>4.4180000000000001E-3</v>
      </c>
      <c r="V163">
        <v>4.7000000000000002E-3</v>
      </c>
      <c r="W163">
        <v>4.9839999999999997E-3</v>
      </c>
      <c r="X163">
        <v>5.274E-3</v>
      </c>
      <c r="Y163">
        <v>5.574E-3</v>
      </c>
      <c r="Z163">
        <v>5.8789999999999997E-3</v>
      </c>
      <c r="AA163">
        <v>6.1850000000000004E-3</v>
      </c>
      <c r="AB163">
        <v>6.4929999999999996E-3</v>
      </c>
      <c r="AC163">
        <v>6.8009999999999998E-3</v>
      </c>
      <c r="AD163">
        <v>7.11E-3</v>
      </c>
      <c r="AE163">
        <v>7.4200000000000004E-3</v>
      </c>
      <c r="AF163">
        <v>7.724E-3</v>
      </c>
      <c r="AG163">
        <v>8.0260000000000001E-3</v>
      </c>
      <c r="AH163">
        <v>8.3309999999999999E-3</v>
      </c>
      <c r="AI163">
        <v>8.6379999999999998E-3</v>
      </c>
      <c r="AJ163" s="32">
        <v>0.123</v>
      </c>
    </row>
    <row r="164" spans="1:36" ht="12.9" x14ac:dyDescent="0.15">
      <c r="A164" t="s">
        <v>300</v>
      </c>
      <c r="B164" t="s">
        <v>560</v>
      </c>
      <c r="C164" t="s">
        <v>809</v>
      </c>
      <c r="D164" t="s">
        <v>360</v>
      </c>
      <c r="E164">
        <v>2.9700000000000001E-4</v>
      </c>
      <c r="F164">
        <v>5.2899999999999996E-4</v>
      </c>
      <c r="G164">
        <v>8.0800000000000002E-4</v>
      </c>
      <c r="H164">
        <v>1.1169999999999999E-3</v>
      </c>
      <c r="I164">
        <v>1.446E-3</v>
      </c>
      <c r="J164">
        <v>1.789E-3</v>
      </c>
      <c r="K164">
        <v>2.1310000000000001E-3</v>
      </c>
      <c r="L164">
        <v>2.4589999999999998E-3</v>
      </c>
      <c r="M164">
        <v>2.7789999999999998E-3</v>
      </c>
      <c r="N164">
        <v>3.0969999999999999E-3</v>
      </c>
      <c r="O164">
        <v>3.4120000000000001E-3</v>
      </c>
      <c r="P164">
        <v>3.7290000000000001E-3</v>
      </c>
      <c r="Q164">
        <v>4.0530000000000002E-3</v>
      </c>
      <c r="R164">
        <v>4.3819999999999996E-3</v>
      </c>
      <c r="S164">
        <v>4.7159999999999997E-3</v>
      </c>
      <c r="T164">
        <v>5.0559999999999997E-3</v>
      </c>
      <c r="U164">
        <v>5.4029999999999998E-3</v>
      </c>
      <c r="V164">
        <v>5.751E-3</v>
      </c>
      <c r="W164">
        <v>6.0990000000000003E-3</v>
      </c>
      <c r="X164">
        <v>6.4559999999999999E-3</v>
      </c>
      <c r="Y164">
        <v>6.8250000000000003E-3</v>
      </c>
      <c r="Z164">
        <v>7.1999999999999998E-3</v>
      </c>
      <c r="AA164">
        <v>7.5770000000000004E-3</v>
      </c>
      <c r="AB164">
        <v>7.9559999999999995E-3</v>
      </c>
      <c r="AC164">
        <v>8.3350000000000004E-3</v>
      </c>
      <c r="AD164">
        <v>8.7150000000000005E-3</v>
      </c>
      <c r="AE164">
        <v>9.0959999999999999E-3</v>
      </c>
      <c r="AF164">
        <v>9.4699999999999993E-3</v>
      </c>
      <c r="AG164">
        <v>9.8410000000000008E-3</v>
      </c>
      <c r="AH164">
        <v>1.0217E-2</v>
      </c>
      <c r="AI164">
        <v>1.0593E-2</v>
      </c>
      <c r="AJ164" s="32">
        <v>0.126</v>
      </c>
    </row>
    <row r="165" spans="1:36" ht="12.9" x14ac:dyDescent="0.15">
      <c r="A165" t="s">
        <v>448</v>
      </c>
      <c r="B165" t="s">
        <v>561</v>
      </c>
      <c r="C165" t="s">
        <v>810</v>
      </c>
      <c r="D165" t="s">
        <v>360</v>
      </c>
      <c r="E165">
        <v>5.0240520000000002</v>
      </c>
      <c r="F165">
        <v>5.0646599999999999</v>
      </c>
      <c r="G165">
        <v>5.1447960000000004</v>
      </c>
      <c r="H165">
        <v>5.2439720000000003</v>
      </c>
      <c r="I165">
        <v>5.3527430000000003</v>
      </c>
      <c r="J165">
        <v>5.4675940000000001</v>
      </c>
      <c r="K165">
        <v>5.5770020000000002</v>
      </c>
      <c r="L165">
        <v>5.6661669999999997</v>
      </c>
      <c r="M165">
        <v>5.7398559999999996</v>
      </c>
      <c r="N165">
        <v>5.8002760000000002</v>
      </c>
      <c r="O165">
        <v>5.8533140000000001</v>
      </c>
      <c r="P165">
        <v>5.9032429999999998</v>
      </c>
      <c r="Q165">
        <v>5.9516309999999999</v>
      </c>
      <c r="R165">
        <v>5.9953099999999999</v>
      </c>
      <c r="S165">
        <v>6.0318649999999998</v>
      </c>
      <c r="T165">
        <v>6.0712809999999999</v>
      </c>
      <c r="U165">
        <v>6.1162200000000002</v>
      </c>
      <c r="V165">
        <v>6.1589109999999998</v>
      </c>
      <c r="W165">
        <v>6.1984769999999996</v>
      </c>
      <c r="X165">
        <v>6.2330209999999999</v>
      </c>
      <c r="Y165">
        <v>6.2656749999999999</v>
      </c>
      <c r="Z165">
        <v>6.2896179999999999</v>
      </c>
      <c r="AA165">
        <v>6.3207250000000004</v>
      </c>
      <c r="AB165">
        <v>6.3546019999999999</v>
      </c>
      <c r="AC165">
        <v>6.3909070000000003</v>
      </c>
      <c r="AD165">
        <v>6.4274699999999996</v>
      </c>
      <c r="AE165">
        <v>6.4573520000000002</v>
      </c>
      <c r="AF165">
        <v>6.4773899999999998</v>
      </c>
      <c r="AG165">
        <v>6.4915779999999996</v>
      </c>
      <c r="AH165">
        <v>6.5001410000000002</v>
      </c>
      <c r="AI165">
        <v>6.5005449999999998</v>
      </c>
      <c r="AJ165" s="32">
        <v>8.9999999999999993E-3</v>
      </c>
    </row>
    <row r="166" spans="1:36" ht="12.9" x14ac:dyDescent="0.15">
      <c r="A166" t="s">
        <v>21</v>
      </c>
      <c r="B166" t="s">
        <v>562</v>
      </c>
      <c r="C166" t="s">
        <v>811</v>
      </c>
      <c r="D166" t="s">
        <v>360</v>
      </c>
      <c r="E166">
        <v>12.57761</v>
      </c>
      <c r="F166">
        <v>12.789747999999999</v>
      </c>
      <c r="G166">
        <v>13.09276</v>
      </c>
      <c r="H166">
        <v>13.442223</v>
      </c>
      <c r="I166">
        <v>13.824942999999999</v>
      </c>
      <c r="J166">
        <v>14.233603</v>
      </c>
      <c r="K166">
        <v>14.637938999999999</v>
      </c>
      <c r="L166">
        <v>15.006188</v>
      </c>
      <c r="M166">
        <v>15.351565000000001</v>
      </c>
      <c r="N166">
        <v>15.675782999999999</v>
      </c>
      <c r="O166">
        <v>15.987534999999999</v>
      </c>
      <c r="P166">
        <v>16.289905999999998</v>
      </c>
      <c r="Q166">
        <v>16.598139</v>
      </c>
      <c r="R166">
        <v>16.886906</v>
      </c>
      <c r="S166">
        <v>17.164266999999999</v>
      </c>
      <c r="T166">
        <v>17.446192</v>
      </c>
      <c r="U166">
        <v>17.7395</v>
      </c>
      <c r="V166">
        <v>18.030215999999999</v>
      </c>
      <c r="W166">
        <v>18.317392000000002</v>
      </c>
      <c r="X166">
        <v>18.596810999999999</v>
      </c>
      <c r="Y166">
        <v>18.867943</v>
      </c>
      <c r="Z166">
        <v>19.137072</v>
      </c>
      <c r="AA166">
        <v>19.41328</v>
      </c>
      <c r="AB166">
        <v>19.715935000000002</v>
      </c>
      <c r="AC166">
        <v>20.039179000000001</v>
      </c>
      <c r="AD166">
        <v>20.362708999999999</v>
      </c>
      <c r="AE166">
        <v>20.669433999999999</v>
      </c>
      <c r="AF166">
        <v>20.964500000000001</v>
      </c>
      <c r="AG166">
        <v>21.255849999999999</v>
      </c>
      <c r="AH166">
        <v>21.526561999999998</v>
      </c>
      <c r="AI166">
        <v>21.776461000000001</v>
      </c>
      <c r="AJ166" s="32">
        <v>1.7999999999999999E-2</v>
      </c>
    </row>
    <row r="167" spans="1:36" ht="12.9" x14ac:dyDescent="0.15">
      <c r="A167" t="s">
        <v>40</v>
      </c>
      <c r="C167" t="s">
        <v>812</v>
      </c>
    </row>
    <row r="168" spans="1:36" ht="12.9" x14ac:dyDescent="0.15">
      <c r="A168" t="s">
        <v>495</v>
      </c>
      <c r="C168" t="s">
        <v>813</v>
      </c>
    </row>
    <row r="169" spans="1:36" ht="12.9" x14ac:dyDescent="0.15">
      <c r="A169" t="s">
        <v>407</v>
      </c>
      <c r="C169" t="s">
        <v>814</v>
      </c>
    </row>
    <row r="170" spans="1:36" ht="12.9" x14ac:dyDescent="0.15">
      <c r="A170" t="s">
        <v>408</v>
      </c>
      <c r="B170" t="s">
        <v>563</v>
      </c>
      <c r="C170" t="s">
        <v>815</v>
      </c>
      <c r="D170" t="s">
        <v>742</v>
      </c>
      <c r="E170">
        <v>16.018782000000002</v>
      </c>
      <c r="F170">
        <v>16.227394</v>
      </c>
      <c r="G170">
        <v>16.411106</v>
      </c>
      <c r="H170">
        <v>16.651821000000002</v>
      </c>
      <c r="I170">
        <v>16.957197000000001</v>
      </c>
      <c r="J170">
        <v>17.304925999999998</v>
      </c>
      <c r="K170">
        <v>17.656281</v>
      </c>
      <c r="L170">
        <v>17.911149999999999</v>
      </c>
      <c r="M170">
        <v>17.999077</v>
      </c>
      <c r="N170">
        <v>18.125586999999999</v>
      </c>
      <c r="O170">
        <v>18.197655000000001</v>
      </c>
      <c r="P170">
        <v>18.234241000000001</v>
      </c>
      <c r="Q170">
        <v>18.242609000000002</v>
      </c>
      <c r="R170">
        <v>18.239412000000002</v>
      </c>
      <c r="S170">
        <v>18.236767</v>
      </c>
      <c r="T170">
        <v>18.234541</v>
      </c>
      <c r="U170">
        <v>18.232672000000001</v>
      </c>
      <c r="V170">
        <v>18.231100000000001</v>
      </c>
      <c r="W170">
        <v>18.229808999999999</v>
      </c>
      <c r="X170">
        <v>18.228712000000002</v>
      </c>
      <c r="Y170">
        <v>18.227792999999998</v>
      </c>
      <c r="Z170">
        <v>18.227028000000001</v>
      </c>
      <c r="AA170">
        <v>18.226396999999999</v>
      </c>
      <c r="AB170">
        <v>18.225878000000002</v>
      </c>
      <c r="AC170">
        <v>18.225439000000001</v>
      </c>
      <c r="AD170">
        <v>18.225079000000001</v>
      </c>
      <c r="AE170">
        <v>18.224781</v>
      </c>
      <c r="AF170">
        <v>18.224534999999999</v>
      </c>
      <c r="AG170">
        <v>18.224330999999999</v>
      </c>
      <c r="AH170">
        <v>18.224164999999999</v>
      </c>
      <c r="AI170">
        <v>18.224028000000001</v>
      </c>
      <c r="AJ170" s="32">
        <v>4.0000000000000001E-3</v>
      </c>
    </row>
    <row r="171" spans="1:36" ht="12.9" x14ac:dyDescent="0.15">
      <c r="A171" t="s">
        <v>410</v>
      </c>
      <c r="B171" t="s">
        <v>564</v>
      </c>
      <c r="C171" t="s">
        <v>816</v>
      </c>
      <c r="D171" t="s">
        <v>744</v>
      </c>
      <c r="E171">
        <v>11.370641000000001</v>
      </c>
      <c r="F171">
        <v>11.606131</v>
      </c>
      <c r="G171">
        <v>11.71139</v>
      </c>
      <c r="H171">
        <v>11.890855999999999</v>
      </c>
      <c r="I171">
        <v>12.111672</v>
      </c>
      <c r="J171">
        <v>12.367112000000001</v>
      </c>
      <c r="K171">
        <v>12.633247000000001</v>
      </c>
      <c r="L171">
        <v>12.910773000000001</v>
      </c>
      <c r="M171">
        <v>12.961088999999999</v>
      </c>
      <c r="N171">
        <v>13.143221</v>
      </c>
      <c r="O171">
        <v>13.308579</v>
      </c>
      <c r="P171">
        <v>13.465818000000001</v>
      </c>
      <c r="Q171">
        <v>13.554155</v>
      </c>
      <c r="R171">
        <v>13.598435</v>
      </c>
      <c r="S171">
        <v>13.625403</v>
      </c>
      <c r="T171">
        <v>13.650435999999999</v>
      </c>
      <c r="U171">
        <v>13.674825999999999</v>
      </c>
      <c r="V171">
        <v>13.697706</v>
      </c>
      <c r="W171">
        <v>13.721609000000001</v>
      </c>
      <c r="X171">
        <v>13.746699</v>
      </c>
      <c r="Y171">
        <v>13.759384000000001</v>
      </c>
      <c r="Z171">
        <v>13.783364000000001</v>
      </c>
      <c r="AA171">
        <v>13.806806</v>
      </c>
      <c r="AB171">
        <v>13.828362</v>
      </c>
      <c r="AC171">
        <v>13.855192000000001</v>
      </c>
      <c r="AD171">
        <v>13.883777</v>
      </c>
      <c r="AE171">
        <v>13.895625000000001</v>
      </c>
      <c r="AF171">
        <v>13.938321</v>
      </c>
      <c r="AG171">
        <v>13.988401</v>
      </c>
      <c r="AH171">
        <v>14.031283999999999</v>
      </c>
      <c r="AI171">
        <v>14.104604999999999</v>
      </c>
      <c r="AJ171" s="32">
        <v>7.0000000000000001E-3</v>
      </c>
    </row>
    <row r="172" spans="1:36" ht="12.9" x14ac:dyDescent="0.15">
      <c r="A172" t="s">
        <v>412</v>
      </c>
      <c r="B172" t="s">
        <v>565</v>
      </c>
      <c r="C172" t="s">
        <v>817</v>
      </c>
      <c r="D172" t="s">
        <v>744</v>
      </c>
      <c r="E172">
        <v>12.278423999999999</v>
      </c>
      <c r="F172">
        <v>12.390402</v>
      </c>
      <c r="G172">
        <v>12.450333000000001</v>
      </c>
      <c r="H172">
        <v>12.549306</v>
      </c>
      <c r="I172">
        <v>12.683237</v>
      </c>
      <c r="J172">
        <v>12.853743</v>
      </c>
      <c r="K172">
        <v>13.063869</v>
      </c>
      <c r="L172">
        <v>13.300777</v>
      </c>
      <c r="M172">
        <v>13.341989999999999</v>
      </c>
      <c r="N172">
        <v>13.419447</v>
      </c>
      <c r="O172">
        <v>13.491892999999999</v>
      </c>
      <c r="P172">
        <v>13.45842</v>
      </c>
      <c r="Q172">
        <v>13.509962</v>
      </c>
      <c r="R172">
        <v>13.549668</v>
      </c>
      <c r="S172">
        <v>13.538776</v>
      </c>
      <c r="T172">
        <v>13.566477000000001</v>
      </c>
      <c r="U172">
        <v>13.603472</v>
      </c>
      <c r="V172">
        <v>13.6394</v>
      </c>
      <c r="W172">
        <v>13.672767</v>
      </c>
      <c r="X172">
        <v>13.700469</v>
      </c>
      <c r="Y172">
        <v>13.725648</v>
      </c>
      <c r="Z172">
        <v>13.737693</v>
      </c>
      <c r="AA172">
        <v>13.752148</v>
      </c>
      <c r="AB172">
        <v>13.764900000000001</v>
      </c>
      <c r="AC172">
        <v>13.775703</v>
      </c>
      <c r="AD172">
        <v>13.783324</v>
      </c>
      <c r="AE172">
        <v>13.789877000000001</v>
      </c>
      <c r="AF172">
        <v>13.794098</v>
      </c>
      <c r="AG172">
        <v>13.793737</v>
      </c>
      <c r="AH172">
        <v>13.793485</v>
      </c>
      <c r="AI172">
        <v>13.793374999999999</v>
      </c>
      <c r="AJ172" s="32">
        <v>4.0000000000000001E-3</v>
      </c>
    </row>
    <row r="173" spans="1:36" ht="12.9" x14ac:dyDescent="0.15">
      <c r="A173" t="s">
        <v>414</v>
      </c>
      <c r="B173" t="s">
        <v>566</v>
      </c>
      <c r="C173" t="s">
        <v>818</v>
      </c>
      <c r="D173" t="s">
        <v>744</v>
      </c>
      <c r="E173">
        <v>12.111694</v>
      </c>
      <c r="F173">
        <v>12.298238</v>
      </c>
      <c r="G173">
        <v>12.429423</v>
      </c>
      <c r="H173">
        <v>12.610939999999999</v>
      </c>
      <c r="I173">
        <v>12.838417</v>
      </c>
      <c r="J173">
        <v>13.114694999999999</v>
      </c>
      <c r="K173">
        <v>13.436337</v>
      </c>
      <c r="L173">
        <v>13.790594</v>
      </c>
      <c r="M173">
        <v>13.808021</v>
      </c>
      <c r="N173">
        <v>13.901002</v>
      </c>
      <c r="O173">
        <v>13.988258999999999</v>
      </c>
      <c r="P173">
        <v>14.044668</v>
      </c>
      <c r="Q173">
        <v>14.059483</v>
      </c>
      <c r="R173">
        <v>14.056727</v>
      </c>
      <c r="S173">
        <v>14.041627999999999</v>
      </c>
      <c r="T173">
        <v>14.019773000000001</v>
      </c>
      <c r="U173">
        <v>14.000233</v>
      </c>
      <c r="V173">
        <v>13.982875</v>
      </c>
      <c r="W173">
        <v>13.967129</v>
      </c>
      <c r="X173">
        <v>13.952486</v>
      </c>
      <c r="Y173">
        <v>13.938867999999999</v>
      </c>
      <c r="Z173">
        <v>13.918029000000001</v>
      </c>
      <c r="AA173">
        <v>13.898491</v>
      </c>
      <c r="AB173">
        <v>13.878921</v>
      </c>
      <c r="AC173">
        <v>13.856324000000001</v>
      </c>
      <c r="AD173">
        <v>13.830631</v>
      </c>
      <c r="AE173">
        <v>13.804061000000001</v>
      </c>
      <c r="AF173">
        <v>13.77664</v>
      </c>
      <c r="AG173">
        <v>13.750527999999999</v>
      </c>
      <c r="AH173">
        <v>13.723621</v>
      </c>
      <c r="AI173">
        <v>13.695304</v>
      </c>
      <c r="AJ173" s="32">
        <v>4.0000000000000001E-3</v>
      </c>
    </row>
    <row r="174" spans="1:36" ht="12.9" x14ac:dyDescent="0.15">
      <c r="A174" t="s">
        <v>416</v>
      </c>
      <c r="B174" t="s">
        <v>567</v>
      </c>
      <c r="C174" t="s">
        <v>819</v>
      </c>
      <c r="D174" t="s">
        <v>744</v>
      </c>
      <c r="E174">
        <v>11.011964000000001</v>
      </c>
      <c r="F174">
        <v>11.273612999999999</v>
      </c>
      <c r="G174">
        <v>11.436707</v>
      </c>
      <c r="H174">
        <v>11.646693000000001</v>
      </c>
      <c r="I174">
        <v>11.893929</v>
      </c>
      <c r="J174">
        <v>12.168756</v>
      </c>
      <c r="K174">
        <v>12.443467</v>
      </c>
      <c r="L174">
        <v>12.744933</v>
      </c>
      <c r="M174">
        <v>12.819906</v>
      </c>
      <c r="N174">
        <v>12.994184000000001</v>
      </c>
      <c r="O174">
        <v>13.166249000000001</v>
      </c>
      <c r="P174">
        <v>13.293244</v>
      </c>
      <c r="Q174">
        <v>13.347477</v>
      </c>
      <c r="R174">
        <v>13.362519000000001</v>
      </c>
      <c r="S174">
        <v>13.365354999999999</v>
      </c>
      <c r="T174">
        <v>13.35651</v>
      </c>
      <c r="U174">
        <v>13.350239999999999</v>
      </c>
      <c r="V174">
        <v>13.345038000000001</v>
      </c>
      <c r="W174">
        <v>13.340633</v>
      </c>
      <c r="X174">
        <v>13.337204</v>
      </c>
      <c r="Y174">
        <v>13.325291</v>
      </c>
      <c r="Z174">
        <v>13.323834</v>
      </c>
      <c r="AA174">
        <v>13.329791999999999</v>
      </c>
      <c r="AB174">
        <v>13.341301</v>
      </c>
      <c r="AC174">
        <v>13.342673</v>
      </c>
      <c r="AD174">
        <v>13.345359</v>
      </c>
      <c r="AE174">
        <v>13.336224</v>
      </c>
      <c r="AF174">
        <v>13.350509000000001</v>
      </c>
      <c r="AG174">
        <v>13.370837999999999</v>
      </c>
      <c r="AH174">
        <v>13.415255999999999</v>
      </c>
      <c r="AI174">
        <v>13.456979</v>
      </c>
      <c r="AJ174" s="32">
        <v>7.0000000000000001E-3</v>
      </c>
    </row>
    <row r="175" spans="1:36" ht="12.9" x14ac:dyDescent="0.15">
      <c r="A175" t="s">
        <v>288</v>
      </c>
      <c r="B175" t="s">
        <v>568</v>
      </c>
      <c r="C175" t="s">
        <v>820</v>
      </c>
      <c r="D175" t="s">
        <v>742</v>
      </c>
      <c r="E175">
        <v>26.943646999999999</v>
      </c>
      <c r="F175">
        <v>27.103473999999999</v>
      </c>
      <c r="G175">
        <v>27.217606</v>
      </c>
      <c r="H175">
        <v>27.322535999999999</v>
      </c>
      <c r="I175">
        <v>27.467549999999999</v>
      </c>
      <c r="J175">
        <v>27.666823999999998</v>
      </c>
      <c r="K175">
        <v>27.919803999999999</v>
      </c>
      <c r="L175">
        <v>28.221036999999999</v>
      </c>
      <c r="M175">
        <v>28.399674999999998</v>
      </c>
      <c r="N175">
        <v>28.657637000000001</v>
      </c>
      <c r="O175">
        <v>28.874009999999998</v>
      </c>
      <c r="P175">
        <v>29.004460999999999</v>
      </c>
      <c r="Q175">
        <v>29.047508000000001</v>
      </c>
      <c r="R175">
        <v>29.060082999999999</v>
      </c>
      <c r="S175">
        <v>29.067143999999999</v>
      </c>
      <c r="T175">
        <v>29.070913000000001</v>
      </c>
      <c r="U175">
        <v>29.072534999999998</v>
      </c>
      <c r="V175">
        <v>29.071579</v>
      </c>
      <c r="W175">
        <v>29.069876000000001</v>
      </c>
      <c r="X175">
        <v>29.068456999999999</v>
      </c>
      <c r="Y175">
        <v>29.067509000000001</v>
      </c>
      <c r="Z175">
        <v>29.066974999999999</v>
      </c>
      <c r="AA175">
        <v>29.066770999999999</v>
      </c>
      <c r="AB175">
        <v>28.975736999999999</v>
      </c>
      <c r="AC175">
        <v>28.985223999999999</v>
      </c>
      <c r="AD175">
        <v>28.997356</v>
      </c>
      <c r="AE175">
        <v>29.012574999999998</v>
      </c>
      <c r="AF175">
        <v>29.031078000000001</v>
      </c>
      <c r="AG175">
        <v>29.052551000000001</v>
      </c>
      <c r="AH175">
        <v>29.076460000000001</v>
      </c>
      <c r="AI175">
        <v>29.102025999999999</v>
      </c>
      <c r="AJ175" s="32">
        <v>3.0000000000000001E-3</v>
      </c>
    </row>
    <row r="176" spans="1:36" ht="12.9" x14ac:dyDescent="0.15">
      <c r="A176" t="s">
        <v>419</v>
      </c>
      <c r="B176" t="s">
        <v>569</v>
      </c>
      <c r="C176" t="s">
        <v>821</v>
      </c>
      <c r="D176" t="s">
        <v>742</v>
      </c>
      <c r="E176">
        <v>22.632963</v>
      </c>
      <c r="F176">
        <v>22.957096</v>
      </c>
      <c r="G176">
        <v>23.358229000000001</v>
      </c>
      <c r="H176">
        <v>23.698084000000001</v>
      </c>
      <c r="I176">
        <v>24.161072000000001</v>
      </c>
      <c r="J176">
        <v>24.793832999999999</v>
      </c>
      <c r="K176">
        <v>25.502873999999998</v>
      </c>
      <c r="L176">
        <v>26.317246999999998</v>
      </c>
      <c r="M176">
        <v>26.665009999999999</v>
      </c>
      <c r="N176">
        <v>27.362963000000001</v>
      </c>
      <c r="O176">
        <v>27.88796</v>
      </c>
      <c r="P176">
        <v>28.282844999999998</v>
      </c>
      <c r="Q176">
        <v>28.481527</v>
      </c>
      <c r="R176">
        <v>28.522977999999998</v>
      </c>
      <c r="S176">
        <v>28.541474999999998</v>
      </c>
      <c r="T176">
        <v>28.552927</v>
      </c>
      <c r="U176">
        <v>28.558945000000001</v>
      </c>
      <c r="V176">
        <v>28.563472999999998</v>
      </c>
      <c r="W176">
        <v>28.563186999999999</v>
      </c>
      <c r="X176">
        <v>28.561481000000001</v>
      </c>
      <c r="Y176">
        <v>28.560030000000001</v>
      </c>
      <c r="Z176">
        <v>28.558802</v>
      </c>
      <c r="AA176">
        <v>28.557777000000002</v>
      </c>
      <c r="AB176">
        <v>28.556902000000001</v>
      </c>
      <c r="AC176">
        <v>28.556158</v>
      </c>
      <c r="AD176">
        <v>28.555537999999999</v>
      </c>
      <c r="AE176">
        <v>28.555</v>
      </c>
      <c r="AF176">
        <v>28.554538999999998</v>
      </c>
      <c r="AG176">
        <v>28.554144000000001</v>
      </c>
      <c r="AH176">
        <v>28.553792999999999</v>
      </c>
      <c r="AI176">
        <v>28.553501000000001</v>
      </c>
      <c r="AJ176" s="32">
        <v>8.0000000000000002E-3</v>
      </c>
    </row>
    <row r="177" spans="1:36" ht="12.9" x14ac:dyDescent="0.15">
      <c r="A177" t="s">
        <v>421</v>
      </c>
      <c r="B177" t="s">
        <v>570</v>
      </c>
      <c r="C177" t="s">
        <v>822</v>
      </c>
      <c r="D177" t="s">
        <v>744</v>
      </c>
      <c r="E177">
        <v>18.318317</v>
      </c>
      <c r="F177">
        <v>18.633806</v>
      </c>
      <c r="G177">
        <v>18.727025999999999</v>
      </c>
      <c r="H177">
        <v>18.848845000000001</v>
      </c>
      <c r="I177">
        <v>19.004522000000001</v>
      </c>
      <c r="J177">
        <v>19.205853000000001</v>
      </c>
      <c r="K177">
        <v>19.456116000000002</v>
      </c>
      <c r="L177">
        <v>19.762205000000002</v>
      </c>
      <c r="M177">
        <v>19.863871</v>
      </c>
      <c r="N177">
        <v>20.058212000000001</v>
      </c>
      <c r="O177">
        <v>20.193369000000001</v>
      </c>
      <c r="P177">
        <v>20.279036999999999</v>
      </c>
      <c r="Q177">
        <v>20.301539999999999</v>
      </c>
      <c r="R177">
        <v>20.315586</v>
      </c>
      <c r="S177">
        <v>20.327845</v>
      </c>
      <c r="T177">
        <v>20.330742000000001</v>
      </c>
      <c r="U177">
        <v>20.328661</v>
      </c>
      <c r="V177">
        <v>20.327718999999998</v>
      </c>
      <c r="W177">
        <v>20.260746000000001</v>
      </c>
      <c r="X177">
        <v>20.272738</v>
      </c>
      <c r="Y177">
        <v>20.289366000000001</v>
      </c>
      <c r="Z177">
        <v>20.311388000000001</v>
      </c>
      <c r="AA177">
        <v>20.339061999999998</v>
      </c>
      <c r="AB177">
        <v>20.371178</v>
      </c>
      <c r="AC177">
        <v>20.388770999999998</v>
      </c>
      <c r="AD177">
        <v>20.434764999999999</v>
      </c>
      <c r="AE177">
        <v>20.480599999999999</v>
      </c>
      <c r="AF177">
        <v>20.526388000000001</v>
      </c>
      <c r="AG177">
        <v>20.568345999999998</v>
      </c>
      <c r="AH177">
        <v>20.606667999999999</v>
      </c>
      <c r="AI177">
        <v>20.644459000000001</v>
      </c>
      <c r="AJ177" s="32">
        <v>4.0000000000000001E-3</v>
      </c>
    </row>
    <row r="178" spans="1:36" ht="12.9" x14ac:dyDescent="0.15">
      <c r="A178" t="s">
        <v>300</v>
      </c>
      <c r="B178" t="s">
        <v>571</v>
      </c>
      <c r="C178" t="s">
        <v>823</v>
      </c>
      <c r="D178" t="s">
        <v>742</v>
      </c>
      <c r="E178">
        <v>18.454547999999999</v>
      </c>
      <c r="F178">
        <v>16.244858000000001</v>
      </c>
      <c r="G178">
        <v>16.244858000000001</v>
      </c>
      <c r="H178">
        <v>16.244858000000001</v>
      </c>
      <c r="I178">
        <v>16.244858000000001</v>
      </c>
      <c r="J178">
        <v>16.244858000000001</v>
      </c>
      <c r="K178">
        <v>16.244858000000001</v>
      </c>
      <c r="L178">
        <v>16.244858000000001</v>
      </c>
      <c r="M178">
        <v>16.244858000000001</v>
      </c>
      <c r="N178">
        <v>16.244858000000001</v>
      </c>
      <c r="O178">
        <v>16.244858000000001</v>
      </c>
      <c r="P178">
        <v>16.244858000000001</v>
      </c>
      <c r="Q178">
        <v>16.244858000000001</v>
      </c>
      <c r="R178">
        <v>16.244858000000001</v>
      </c>
      <c r="S178">
        <v>16.244858000000001</v>
      </c>
      <c r="T178">
        <v>16.244858000000001</v>
      </c>
      <c r="U178">
        <v>16.244858000000001</v>
      </c>
      <c r="V178">
        <v>16.244858000000001</v>
      </c>
      <c r="W178">
        <v>16.244858000000001</v>
      </c>
      <c r="X178">
        <v>16.244858000000001</v>
      </c>
      <c r="Y178">
        <v>16.244858000000001</v>
      </c>
      <c r="Z178">
        <v>16.244858000000001</v>
      </c>
      <c r="AA178">
        <v>16.244858000000001</v>
      </c>
      <c r="AB178">
        <v>16.244858000000001</v>
      </c>
      <c r="AC178">
        <v>16.244858000000001</v>
      </c>
      <c r="AD178">
        <v>16.244858000000001</v>
      </c>
      <c r="AE178">
        <v>16.244858000000001</v>
      </c>
      <c r="AF178">
        <v>16.244858000000001</v>
      </c>
      <c r="AG178">
        <v>16.244858000000001</v>
      </c>
      <c r="AH178">
        <v>16.244858000000001</v>
      </c>
      <c r="AI178">
        <v>16.244858000000001</v>
      </c>
      <c r="AJ178" s="32">
        <v>-4.0000000000000001E-3</v>
      </c>
    </row>
    <row r="179" spans="1:36" ht="12.9" x14ac:dyDescent="0.15">
      <c r="A179" t="s">
        <v>505</v>
      </c>
      <c r="B179" t="s">
        <v>572</v>
      </c>
      <c r="C179" t="s">
        <v>824</v>
      </c>
      <c r="E179">
        <v>15.235818</v>
      </c>
      <c r="F179">
        <v>15.437810000000001</v>
      </c>
      <c r="G179">
        <v>15.586774</v>
      </c>
      <c r="H179">
        <v>15.798064</v>
      </c>
      <c r="I179">
        <v>16.069137999999999</v>
      </c>
      <c r="J179">
        <v>16.380389999999998</v>
      </c>
      <c r="K179">
        <v>16.699629000000002</v>
      </c>
      <c r="L179">
        <v>16.947147000000001</v>
      </c>
      <c r="M179">
        <v>17.006062</v>
      </c>
      <c r="N179">
        <v>17.130631999999999</v>
      </c>
      <c r="O179">
        <v>17.21246</v>
      </c>
      <c r="P179">
        <v>17.261780000000002</v>
      </c>
      <c r="Q179">
        <v>17.274805000000001</v>
      </c>
      <c r="R179">
        <v>17.267752000000002</v>
      </c>
      <c r="S179">
        <v>17.257522999999999</v>
      </c>
      <c r="T179">
        <v>17.246067</v>
      </c>
      <c r="U179">
        <v>17.234884000000001</v>
      </c>
      <c r="V179">
        <v>17.223185000000001</v>
      </c>
      <c r="W179">
        <v>17.211203000000001</v>
      </c>
      <c r="X179">
        <v>17.202674999999999</v>
      </c>
      <c r="Y179">
        <v>17.190611000000001</v>
      </c>
      <c r="Z179">
        <v>17.182065999999999</v>
      </c>
      <c r="AA179">
        <v>17.177595</v>
      </c>
      <c r="AB179">
        <v>17.170576000000001</v>
      </c>
      <c r="AC179">
        <v>17.165627000000001</v>
      </c>
      <c r="AD179">
        <v>17.162151000000001</v>
      </c>
      <c r="AE179">
        <v>17.153606</v>
      </c>
      <c r="AF179">
        <v>17.155768999999999</v>
      </c>
      <c r="AG179">
        <v>17.156213999999999</v>
      </c>
      <c r="AH179">
        <v>17.158175</v>
      </c>
      <c r="AI179">
        <v>17.166708</v>
      </c>
      <c r="AJ179" s="32">
        <v>4.0000000000000001E-3</v>
      </c>
    </row>
    <row r="180" spans="1:36" ht="12.9" x14ac:dyDescent="0.15">
      <c r="A180" t="s">
        <v>426</v>
      </c>
      <c r="C180" t="s">
        <v>825</v>
      </c>
    </row>
    <row r="181" spans="1:36" ht="12.9" x14ac:dyDescent="0.15">
      <c r="A181" t="s">
        <v>408</v>
      </c>
      <c r="B181" t="s">
        <v>573</v>
      </c>
      <c r="C181" t="s">
        <v>826</v>
      </c>
      <c r="D181" t="s">
        <v>742</v>
      </c>
      <c r="E181">
        <v>9.6559519999999992</v>
      </c>
      <c r="F181">
        <v>9.9479559999999996</v>
      </c>
      <c r="G181">
        <v>10.115087000000001</v>
      </c>
      <c r="H181">
        <v>10.343038999999999</v>
      </c>
      <c r="I181">
        <v>10.617851</v>
      </c>
      <c r="J181">
        <v>10.944061</v>
      </c>
      <c r="K181">
        <v>11.26952</v>
      </c>
      <c r="L181">
        <v>11.616944</v>
      </c>
      <c r="M181">
        <v>11.803136</v>
      </c>
      <c r="N181">
        <v>12.121836</v>
      </c>
      <c r="O181">
        <v>12.410674</v>
      </c>
      <c r="P181">
        <v>12.67562</v>
      </c>
      <c r="Q181">
        <v>12.813822999999999</v>
      </c>
      <c r="R181">
        <v>12.811309</v>
      </c>
      <c r="S181">
        <v>12.809893000000001</v>
      </c>
      <c r="T181">
        <v>12.809163</v>
      </c>
      <c r="U181">
        <v>12.809067000000001</v>
      </c>
      <c r="V181">
        <v>12.763869</v>
      </c>
      <c r="W181">
        <v>12.767473000000001</v>
      </c>
      <c r="X181">
        <v>12.772183999999999</v>
      </c>
      <c r="Y181">
        <v>12.778739</v>
      </c>
      <c r="Z181">
        <v>12.786625000000001</v>
      </c>
      <c r="AA181">
        <v>12.795346</v>
      </c>
      <c r="AB181">
        <v>12.803703000000001</v>
      </c>
      <c r="AC181">
        <v>12.811156</v>
      </c>
      <c r="AD181">
        <v>12.817144000000001</v>
      </c>
      <c r="AE181">
        <v>12.821460999999999</v>
      </c>
      <c r="AF181">
        <v>12.82178</v>
      </c>
      <c r="AG181">
        <v>12.822138000000001</v>
      </c>
      <c r="AH181">
        <v>12.822533</v>
      </c>
      <c r="AI181">
        <v>12.822964000000001</v>
      </c>
      <c r="AJ181" s="32">
        <v>0.01</v>
      </c>
    </row>
    <row r="182" spans="1:36" ht="12.9" x14ac:dyDescent="0.15">
      <c r="A182" t="s">
        <v>410</v>
      </c>
      <c r="B182" t="s">
        <v>574</v>
      </c>
      <c r="C182" t="s">
        <v>827</v>
      </c>
      <c r="D182" t="s">
        <v>744</v>
      </c>
      <c r="E182">
        <v>7.0943259999999997</v>
      </c>
      <c r="F182">
        <v>7.3043719999999999</v>
      </c>
      <c r="G182">
        <v>7.4132439999999997</v>
      </c>
      <c r="H182">
        <v>7.5541330000000002</v>
      </c>
      <c r="I182">
        <v>7.7247649999999997</v>
      </c>
      <c r="J182">
        <v>7.9200489999999997</v>
      </c>
      <c r="K182">
        <v>8.1257470000000005</v>
      </c>
      <c r="L182">
        <v>8.3529280000000004</v>
      </c>
      <c r="M182">
        <v>8.4341369999999998</v>
      </c>
      <c r="N182">
        <v>8.6358910000000009</v>
      </c>
      <c r="O182">
        <v>8.8160050000000005</v>
      </c>
      <c r="P182">
        <v>8.9865399999999998</v>
      </c>
      <c r="Q182">
        <v>9.1030259999999998</v>
      </c>
      <c r="R182">
        <v>9.1474989999999998</v>
      </c>
      <c r="S182">
        <v>9.1893759999999993</v>
      </c>
      <c r="T182">
        <v>9.1900820000000003</v>
      </c>
      <c r="U182">
        <v>9.1879910000000002</v>
      </c>
      <c r="V182">
        <v>9.1862449999999995</v>
      </c>
      <c r="W182">
        <v>9.1846399999999999</v>
      </c>
      <c r="X182">
        <v>9.1834340000000001</v>
      </c>
      <c r="Y182">
        <v>9.1821990000000007</v>
      </c>
      <c r="Z182">
        <v>9.1809259999999995</v>
      </c>
      <c r="AA182">
        <v>9.1796129999999998</v>
      </c>
      <c r="AB182">
        <v>9.1782529999999998</v>
      </c>
      <c r="AC182">
        <v>9.1768520000000002</v>
      </c>
      <c r="AD182">
        <v>9.1754909999999992</v>
      </c>
      <c r="AE182">
        <v>9.1741670000000006</v>
      </c>
      <c r="AF182">
        <v>9.1727919999999994</v>
      </c>
      <c r="AG182">
        <v>9.1713590000000007</v>
      </c>
      <c r="AH182">
        <v>9.1698679999999992</v>
      </c>
      <c r="AI182">
        <v>9.1683129999999995</v>
      </c>
      <c r="AJ182" s="32">
        <v>8.9999999999999993E-3</v>
      </c>
    </row>
    <row r="183" spans="1:36" ht="12.9" x14ac:dyDescent="0.15">
      <c r="A183" t="s">
        <v>412</v>
      </c>
      <c r="B183" t="s">
        <v>575</v>
      </c>
      <c r="C183" t="s">
        <v>828</v>
      </c>
      <c r="D183" t="s">
        <v>744</v>
      </c>
      <c r="E183">
        <v>6.923292</v>
      </c>
      <c r="F183">
        <v>7.1251930000000003</v>
      </c>
      <c r="G183">
        <v>7.2401239999999998</v>
      </c>
      <c r="H183">
        <v>7.4033740000000003</v>
      </c>
      <c r="I183">
        <v>7.6019870000000003</v>
      </c>
      <c r="J183">
        <v>7.8337450000000004</v>
      </c>
      <c r="K183">
        <v>8.0755420000000004</v>
      </c>
      <c r="L183">
        <v>8.320449</v>
      </c>
      <c r="M183">
        <v>8.3743320000000008</v>
      </c>
      <c r="N183">
        <v>8.5141790000000004</v>
      </c>
      <c r="O183">
        <v>8.6376340000000003</v>
      </c>
      <c r="P183">
        <v>8.7451190000000008</v>
      </c>
      <c r="Q183">
        <v>8.8049189999999999</v>
      </c>
      <c r="R183">
        <v>8.8020709999999998</v>
      </c>
      <c r="S183">
        <v>8.5949829999999992</v>
      </c>
      <c r="T183">
        <v>8.5938420000000004</v>
      </c>
      <c r="U183">
        <v>8.6339109999999994</v>
      </c>
      <c r="V183">
        <v>8.6841969999999993</v>
      </c>
      <c r="W183">
        <v>8.7451059999999998</v>
      </c>
      <c r="X183">
        <v>8.8152270000000001</v>
      </c>
      <c r="Y183">
        <v>8.8915279999999992</v>
      </c>
      <c r="Z183">
        <v>8.9581520000000001</v>
      </c>
      <c r="AA183">
        <v>9.0347390000000001</v>
      </c>
      <c r="AB183">
        <v>9.1037929999999996</v>
      </c>
      <c r="AC183">
        <v>9.1640119999999996</v>
      </c>
      <c r="AD183">
        <v>9.2100760000000008</v>
      </c>
      <c r="AE183">
        <v>9.2499730000000007</v>
      </c>
      <c r="AF183">
        <v>9.2786109999999997</v>
      </c>
      <c r="AG183">
        <v>9.2793880000000009</v>
      </c>
      <c r="AH183">
        <v>9.2801910000000003</v>
      </c>
      <c r="AI183">
        <v>9.2809709999999992</v>
      </c>
      <c r="AJ183" s="32">
        <v>0.01</v>
      </c>
    </row>
    <row r="184" spans="1:36" ht="12.9" x14ac:dyDescent="0.15">
      <c r="A184" t="s">
        <v>414</v>
      </c>
      <c r="B184" t="s">
        <v>576</v>
      </c>
      <c r="C184" t="s">
        <v>829</v>
      </c>
      <c r="D184" t="s">
        <v>744</v>
      </c>
      <c r="E184">
        <v>7.0355290000000004</v>
      </c>
      <c r="F184">
        <v>7.2668429999999997</v>
      </c>
      <c r="G184">
        <v>7.4078210000000002</v>
      </c>
      <c r="H184">
        <v>7.6014840000000001</v>
      </c>
      <c r="I184">
        <v>7.8379750000000001</v>
      </c>
      <c r="J184">
        <v>8.1140679999999996</v>
      </c>
      <c r="K184">
        <v>8.3939509999999995</v>
      </c>
      <c r="L184">
        <v>8.6637970000000006</v>
      </c>
      <c r="M184">
        <v>8.7615200000000009</v>
      </c>
      <c r="N184">
        <v>8.9731819999999995</v>
      </c>
      <c r="O184">
        <v>9.1650659999999995</v>
      </c>
      <c r="P184">
        <v>9.3452369999999991</v>
      </c>
      <c r="Q184">
        <v>9.460286</v>
      </c>
      <c r="R184">
        <v>9.4902139999999999</v>
      </c>
      <c r="S184">
        <v>9.5100669999999994</v>
      </c>
      <c r="T184">
        <v>9.5085160000000002</v>
      </c>
      <c r="U184">
        <v>9.5069859999999995</v>
      </c>
      <c r="V184">
        <v>9.506672</v>
      </c>
      <c r="W184">
        <v>9.5067029999999999</v>
      </c>
      <c r="X184">
        <v>9.5070530000000009</v>
      </c>
      <c r="Y184">
        <v>9.5076990000000006</v>
      </c>
      <c r="Z184">
        <v>9.5086200000000005</v>
      </c>
      <c r="AA184">
        <v>9.5098149999999997</v>
      </c>
      <c r="AB184">
        <v>9.5112769999999998</v>
      </c>
      <c r="AC184">
        <v>9.5122479999999996</v>
      </c>
      <c r="AD184">
        <v>9.5139739999999993</v>
      </c>
      <c r="AE184">
        <v>9.5157109999999996</v>
      </c>
      <c r="AF184">
        <v>9.5172650000000001</v>
      </c>
      <c r="AG184">
        <v>9.5194799999999997</v>
      </c>
      <c r="AH184">
        <v>9.5219140000000007</v>
      </c>
      <c r="AI184">
        <v>9.5245759999999997</v>
      </c>
      <c r="AJ184" s="32">
        <v>0.01</v>
      </c>
    </row>
    <row r="185" spans="1:36" ht="12.9" x14ac:dyDescent="0.15">
      <c r="A185" t="s">
        <v>416</v>
      </c>
      <c r="B185" t="s">
        <v>577</v>
      </c>
      <c r="C185" t="s">
        <v>830</v>
      </c>
      <c r="D185" t="s">
        <v>759</v>
      </c>
      <c r="E185">
        <v>7.0242139999999997</v>
      </c>
      <c r="F185">
        <v>7.2316580000000004</v>
      </c>
      <c r="G185">
        <v>7.3381150000000002</v>
      </c>
      <c r="H185">
        <v>7.4764660000000003</v>
      </c>
      <c r="I185">
        <v>7.6437400000000002</v>
      </c>
      <c r="J185">
        <v>7.837053</v>
      </c>
      <c r="K185">
        <v>8.0388769999999994</v>
      </c>
      <c r="L185">
        <v>8.2629889999999993</v>
      </c>
      <c r="M185">
        <v>8.3423090000000002</v>
      </c>
      <c r="N185">
        <v>8.5414060000000003</v>
      </c>
      <c r="O185">
        <v>8.7212759999999996</v>
      </c>
      <c r="P185">
        <v>8.8910889999999991</v>
      </c>
      <c r="Q185">
        <v>9.0088799999999996</v>
      </c>
      <c r="R185">
        <v>9.0554939999999995</v>
      </c>
      <c r="S185">
        <v>9.0996729999999992</v>
      </c>
      <c r="T185">
        <v>9.1024820000000002</v>
      </c>
      <c r="U185">
        <v>9.1023999999999994</v>
      </c>
      <c r="V185">
        <v>9.1023409999999991</v>
      </c>
      <c r="W185">
        <v>9.1022909999999992</v>
      </c>
      <c r="X185">
        <v>9.1022580000000008</v>
      </c>
      <c r="Y185">
        <v>9.1022300000000005</v>
      </c>
      <c r="Z185">
        <v>9.1022099999999995</v>
      </c>
      <c r="AA185">
        <v>9.102195</v>
      </c>
      <c r="AB185">
        <v>9.1021820000000009</v>
      </c>
      <c r="AC185">
        <v>9.1021719999999995</v>
      </c>
      <c r="AD185">
        <v>9.1021649999999994</v>
      </c>
      <c r="AE185">
        <v>9.1021599999999996</v>
      </c>
      <c r="AF185">
        <v>9.1021529999999995</v>
      </c>
      <c r="AG185">
        <v>9.1021490000000007</v>
      </c>
      <c r="AH185">
        <v>9.1021459999999994</v>
      </c>
      <c r="AI185">
        <v>9.1021439999999991</v>
      </c>
      <c r="AJ185" s="32">
        <v>8.9999999999999993E-3</v>
      </c>
    </row>
    <row r="186" spans="1:36" ht="12.9" x14ac:dyDescent="0.15">
      <c r="A186" t="s">
        <v>288</v>
      </c>
      <c r="B186" t="s">
        <v>578</v>
      </c>
      <c r="C186" t="s">
        <v>831</v>
      </c>
      <c r="D186" t="s">
        <v>744</v>
      </c>
      <c r="E186">
        <v>16.770685</v>
      </c>
      <c r="F186">
        <v>17.320070000000001</v>
      </c>
      <c r="G186">
        <v>17.541052000000001</v>
      </c>
      <c r="H186">
        <v>17.805744000000001</v>
      </c>
      <c r="I186">
        <v>18.130358000000001</v>
      </c>
      <c r="J186">
        <v>18.549952000000001</v>
      </c>
      <c r="K186">
        <v>19.054476000000001</v>
      </c>
      <c r="L186">
        <v>19.630157000000001</v>
      </c>
      <c r="M186">
        <v>19.840260000000001</v>
      </c>
      <c r="N186">
        <v>20.210892000000001</v>
      </c>
      <c r="O186">
        <v>20.535640999999998</v>
      </c>
      <c r="P186">
        <v>20.807072000000002</v>
      </c>
      <c r="Q186">
        <v>20.935618999999999</v>
      </c>
      <c r="R186">
        <v>20.907914999999999</v>
      </c>
      <c r="S186">
        <v>20.849777</v>
      </c>
      <c r="T186">
        <v>20.834907999999999</v>
      </c>
      <c r="U186">
        <v>20.819756000000002</v>
      </c>
      <c r="V186">
        <v>20.796427000000001</v>
      </c>
      <c r="W186">
        <v>20.773083</v>
      </c>
      <c r="X186">
        <v>20.751785000000002</v>
      </c>
      <c r="Y186">
        <v>20.732758</v>
      </c>
      <c r="Z186">
        <v>20.715515</v>
      </c>
      <c r="AA186">
        <v>20.699839000000001</v>
      </c>
      <c r="AB186">
        <v>20.685386999999999</v>
      </c>
      <c r="AC186">
        <v>20.672595999999999</v>
      </c>
      <c r="AD186">
        <v>20.660537999999999</v>
      </c>
      <c r="AE186">
        <v>20.649101000000002</v>
      </c>
      <c r="AF186">
        <v>20.638178</v>
      </c>
      <c r="AG186">
        <v>20.627517999999998</v>
      </c>
      <c r="AH186">
        <v>20.617176000000001</v>
      </c>
      <c r="AI186">
        <v>20.607447000000001</v>
      </c>
      <c r="AJ186" s="32">
        <v>7.0000000000000001E-3</v>
      </c>
    </row>
    <row r="187" spans="1:36" ht="12.9" x14ac:dyDescent="0.15">
      <c r="A187" t="s">
        <v>419</v>
      </c>
      <c r="B187" t="s">
        <v>579</v>
      </c>
      <c r="C187" t="s">
        <v>832</v>
      </c>
      <c r="D187" t="s">
        <v>744</v>
      </c>
      <c r="E187">
        <v>14.109496</v>
      </c>
      <c r="F187">
        <v>14.516608</v>
      </c>
      <c r="G187">
        <v>14.763878999999999</v>
      </c>
      <c r="H187">
        <v>15.043048000000001</v>
      </c>
      <c r="I187">
        <v>15.443382</v>
      </c>
      <c r="J187">
        <v>15.947079</v>
      </c>
      <c r="K187">
        <v>16.353034999999998</v>
      </c>
      <c r="L187">
        <v>16.753384</v>
      </c>
      <c r="M187">
        <v>16.915126999999998</v>
      </c>
      <c r="N187">
        <v>17.282017</v>
      </c>
      <c r="O187">
        <v>17.610336</v>
      </c>
      <c r="P187">
        <v>17.8948</v>
      </c>
      <c r="Q187">
        <v>18.074224000000001</v>
      </c>
      <c r="R187">
        <v>18.151167000000001</v>
      </c>
      <c r="S187">
        <v>18.169079</v>
      </c>
      <c r="T187">
        <v>18.176811000000001</v>
      </c>
      <c r="U187">
        <v>18.180804999999999</v>
      </c>
      <c r="V187">
        <v>18.181044</v>
      </c>
      <c r="W187">
        <v>18.115576000000001</v>
      </c>
      <c r="X187">
        <v>18.122423000000001</v>
      </c>
      <c r="Y187">
        <v>18.131395000000001</v>
      </c>
      <c r="Z187">
        <v>18.142761</v>
      </c>
      <c r="AA187">
        <v>18.156797000000001</v>
      </c>
      <c r="AB187">
        <v>18.173211999999999</v>
      </c>
      <c r="AC187">
        <v>18.191783999999998</v>
      </c>
      <c r="AD187">
        <v>18.211639000000002</v>
      </c>
      <c r="AE187">
        <v>18.231736999999999</v>
      </c>
      <c r="AF187">
        <v>18.25104</v>
      </c>
      <c r="AG187">
        <v>18.268332000000001</v>
      </c>
      <c r="AH187">
        <v>18.283669</v>
      </c>
      <c r="AI187">
        <v>18.297160999999999</v>
      </c>
      <c r="AJ187" s="32">
        <v>8.9999999999999993E-3</v>
      </c>
    </row>
    <row r="188" spans="1:36" ht="12.9" x14ac:dyDescent="0.15">
      <c r="A188" t="s">
        <v>421</v>
      </c>
      <c r="B188" t="s">
        <v>580</v>
      </c>
      <c r="C188" t="s">
        <v>833</v>
      </c>
      <c r="D188" t="s">
        <v>744</v>
      </c>
      <c r="E188">
        <v>10.271459</v>
      </c>
      <c r="F188">
        <v>10.542336000000001</v>
      </c>
      <c r="G188">
        <v>10.661651000000001</v>
      </c>
      <c r="H188">
        <v>10.907418</v>
      </c>
      <c r="I188">
        <v>11.148638999999999</v>
      </c>
      <c r="J188">
        <v>11.440856999999999</v>
      </c>
      <c r="K188">
        <v>11.760324000000001</v>
      </c>
      <c r="L188">
        <v>12.128083999999999</v>
      </c>
      <c r="M188">
        <v>12.264867000000001</v>
      </c>
      <c r="N188">
        <v>12.549859</v>
      </c>
      <c r="O188">
        <v>12.800240000000001</v>
      </c>
      <c r="P188">
        <v>13.017029000000001</v>
      </c>
      <c r="Q188">
        <v>13.136854</v>
      </c>
      <c r="R188">
        <v>13.142374999999999</v>
      </c>
      <c r="S188">
        <v>13.146653000000001</v>
      </c>
      <c r="T188">
        <v>13.144742000000001</v>
      </c>
      <c r="U188">
        <v>13.13958</v>
      </c>
      <c r="V188">
        <v>13.130616</v>
      </c>
      <c r="W188">
        <v>13.123008</v>
      </c>
      <c r="X188">
        <v>13.11655</v>
      </c>
      <c r="Y188">
        <v>13.111167999999999</v>
      </c>
      <c r="Z188">
        <v>13.106642000000001</v>
      </c>
      <c r="AA188">
        <v>13.102871</v>
      </c>
      <c r="AB188">
        <v>13.099727</v>
      </c>
      <c r="AC188">
        <v>13.097211</v>
      </c>
      <c r="AD188">
        <v>13.095279</v>
      </c>
      <c r="AE188">
        <v>13.093821</v>
      </c>
      <c r="AF188">
        <v>13.092775</v>
      </c>
      <c r="AG188">
        <v>13.092001</v>
      </c>
      <c r="AH188">
        <v>13.107849999999999</v>
      </c>
      <c r="AI188">
        <v>13.129277</v>
      </c>
      <c r="AJ188" s="32">
        <v>8.0000000000000002E-3</v>
      </c>
    </row>
    <row r="189" spans="1:36" ht="12.9" x14ac:dyDescent="0.15">
      <c r="A189" t="s">
        <v>300</v>
      </c>
      <c r="B189" t="s">
        <v>581</v>
      </c>
      <c r="C189" t="s">
        <v>834</v>
      </c>
      <c r="D189" t="s">
        <v>744</v>
      </c>
      <c r="E189">
        <v>11.486765999999999</v>
      </c>
      <c r="F189">
        <v>11.486765</v>
      </c>
      <c r="G189">
        <v>11.486765</v>
      </c>
      <c r="H189">
        <v>11.486765</v>
      </c>
      <c r="I189">
        <v>11.486765</v>
      </c>
      <c r="J189">
        <v>11.486765</v>
      </c>
      <c r="K189">
        <v>11.486765</v>
      </c>
      <c r="L189">
        <v>11.486765</v>
      </c>
      <c r="M189">
        <v>11.486765</v>
      </c>
      <c r="N189">
        <v>11.486764000000001</v>
      </c>
      <c r="O189">
        <v>11.486765</v>
      </c>
      <c r="P189">
        <v>11.486764000000001</v>
      </c>
      <c r="Q189">
        <v>11.486765</v>
      </c>
      <c r="R189">
        <v>11.486765</v>
      </c>
      <c r="S189">
        <v>11.486765</v>
      </c>
      <c r="T189">
        <v>11.486765</v>
      </c>
      <c r="U189">
        <v>11.486765</v>
      </c>
      <c r="V189">
        <v>11.486765</v>
      </c>
      <c r="W189">
        <v>11.486765</v>
      </c>
      <c r="X189">
        <v>11.486765</v>
      </c>
      <c r="Y189">
        <v>11.486765</v>
      </c>
      <c r="Z189">
        <v>11.486764000000001</v>
      </c>
      <c r="AA189">
        <v>11.486765</v>
      </c>
      <c r="AB189">
        <v>11.486765</v>
      </c>
      <c r="AC189">
        <v>11.486765</v>
      </c>
      <c r="AD189">
        <v>11.486764000000001</v>
      </c>
      <c r="AE189">
        <v>11.486765</v>
      </c>
      <c r="AF189">
        <v>11.486764000000001</v>
      </c>
      <c r="AG189">
        <v>11.486764000000001</v>
      </c>
      <c r="AH189">
        <v>11.486764000000001</v>
      </c>
      <c r="AI189">
        <v>11.486765</v>
      </c>
      <c r="AJ189" s="32">
        <v>0</v>
      </c>
    </row>
    <row r="190" spans="1:36" ht="12.9" x14ac:dyDescent="0.15">
      <c r="A190" t="s">
        <v>516</v>
      </c>
      <c r="B190" t="s">
        <v>582</v>
      </c>
      <c r="C190" t="s">
        <v>835</v>
      </c>
      <c r="E190">
        <v>8.8874870000000001</v>
      </c>
      <c r="F190">
        <v>9.1572150000000008</v>
      </c>
      <c r="G190">
        <v>9.3088650000000008</v>
      </c>
      <c r="H190">
        <v>9.5119530000000001</v>
      </c>
      <c r="I190">
        <v>9.7589020000000009</v>
      </c>
      <c r="J190">
        <v>10.042973999999999</v>
      </c>
      <c r="K190">
        <v>10.326347</v>
      </c>
      <c r="L190">
        <v>10.633217999999999</v>
      </c>
      <c r="M190">
        <v>10.781668</v>
      </c>
      <c r="N190">
        <v>11.06269</v>
      </c>
      <c r="O190">
        <v>11.315617</v>
      </c>
      <c r="P190">
        <v>11.550292000000001</v>
      </c>
      <c r="Q190">
        <v>11.68327</v>
      </c>
      <c r="R190">
        <v>11.698606</v>
      </c>
      <c r="S190">
        <v>11.713203</v>
      </c>
      <c r="T190">
        <v>11.712757999999999</v>
      </c>
      <c r="U190">
        <v>11.712892999999999</v>
      </c>
      <c r="V190">
        <v>11.684872</v>
      </c>
      <c r="W190">
        <v>11.689456</v>
      </c>
      <c r="X190">
        <v>11.694922999999999</v>
      </c>
      <c r="Y190">
        <v>11.701574000000001</v>
      </c>
      <c r="Z190">
        <v>11.709044</v>
      </c>
      <c r="AA190">
        <v>11.717079</v>
      </c>
      <c r="AB190">
        <v>11.724867</v>
      </c>
      <c r="AC190">
        <v>11.732378000000001</v>
      </c>
      <c r="AD190">
        <v>11.739262999999999</v>
      </c>
      <c r="AE190">
        <v>11.745124000000001</v>
      </c>
      <c r="AF190">
        <v>11.748412</v>
      </c>
      <c r="AG190">
        <v>11.751685999999999</v>
      </c>
      <c r="AH190">
        <v>11.755027</v>
      </c>
      <c r="AI190">
        <v>11.758445999999999</v>
      </c>
      <c r="AJ190" s="32">
        <v>8.9999999999999993E-3</v>
      </c>
    </row>
    <row r="191" spans="1:36" ht="12.9" x14ac:dyDescent="0.15">
      <c r="A191" t="s">
        <v>438</v>
      </c>
      <c r="C191" t="s">
        <v>836</v>
      </c>
    </row>
    <row r="192" spans="1:36" ht="12.9" x14ac:dyDescent="0.15">
      <c r="A192" t="s">
        <v>408</v>
      </c>
      <c r="B192" t="s">
        <v>583</v>
      </c>
      <c r="C192" t="s">
        <v>837</v>
      </c>
      <c r="D192" t="s">
        <v>742</v>
      </c>
      <c r="E192">
        <v>6.2664350000000004</v>
      </c>
      <c r="F192">
        <v>6.3500719999999999</v>
      </c>
      <c r="G192">
        <v>6.4488099999999999</v>
      </c>
      <c r="H192">
        <v>6.5709730000000004</v>
      </c>
      <c r="I192">
        <v>6.7225659999999996</v>
      </c>
      <c r="J192">
        <v>6.8980680000000003</v>
      </c>
      <c r="K192">
        <v>7.0878949999999996</v>
      </c>
      <c r="L192">
        <v>7.28423</v>
      </c>
      <c r="M192">
        <v>7.3844440000000002</v>
      </c>
      <c r="N192">
        <v>7.5307510000000004</v>
      </c>
      <c r="O192">
        <v>7.6547980000000004</v>
      </c>
      <c r="P192">
        <v>7.7650480000000002</v>
      </c>
      <c r="Q192">
        <v>7.8306269999999998</v>
      </c>
      <c r="R192">
        <v>7.8389300000000004</v>
      </c>
      <c r="S192">
        <v>7.8453710000000001</v>
      </c>
      <c r="T192">
        <v>7.8463669999999999</v>
      </c>
      <c r="U192">
        <v>7.8498950000000001</v>
      </c>
      <c r="V192">
        <v>7.8529020000000003</v>
      </c>
      <c r="W192">
        <v>7.8539510000000003</v>
      </c>
      <c r="X192">
        <v>7.8533819999999999</v>
      </c>
      <c r="Y192">
        <v>7.8537749999999997</v>
      </c>
      <c r="Z192">
        <v>7.8543649999999996</v>
      </c>
      <c r="AA192">
        <v>7.8550740000000001</v>
      </c>
      <c r="AB192">
        <v>7.855283</v>
      </c>
      <c r="AC192">
        <v>7.8570219999999997</v>
      </c>
      <c r="AD192">
        <v>7.8592599999999999</v>
      </c>
      <c r="AE192">
        <v>7.8603730000000001</v>
      </c>
      <c r="AF192">
        <v>7.8636970000000002</v>
      </c>
      <c r="AG192">
        <v>7.868252</v>
      </c>
      <c r="AH192">
        <v>7.8732090000000001</v>
      </c>
      <c r="AI192">
        <v>7.8787580000000004</v>
      </c>
      <c r="AJ192" s="32">
        <v>8.0000000000000002E-3</v>
      </c>
    </row>
    <row r="193" spans="1:36" ht="12.9" x14ac:dyDescent="0.15">
      <c r="A193" t="s">
        <v>410</v>
      </c>
      <c r="B193" t="s">
        <v>584</v>
      </c>
      <c r="C193" t="s">
        <v>838</v>
      </c>
      <c r="D193" t="s">
        <v>744</v>
      </c>
      <c r="E193">
        <v>6.0031239999999997</v>
      </c>
      <c r="F193">
        <v>6.1428630000000002</v>
      </c>
      <c r="G193">
        <v>6.2136120000000004</v>
      </c>
      <c r="H193">
        <v>6.306432</v>
      </c>
      <c r="I193">
        <v>6.4257289999999996</v>
      </c>
      <c r="J193">
        <v>6.5697559999999999</v>
      </c>
      <c r="K193">
        <v>6.7214070000000001</v>
      </c>
      <c r="L193">
        <v>6.8877560000000004</v>
      </c>
      <c r="M193">
        <v>6.9575529999999999</v>
      </c>
      <c r="N193">
        <v>7.0948460000000004</v>
      </c>
      <c r="O193">
        <v>7.2188509999999999</v>
      </c>
      <c r="P193">
        <v>7.322559</v>
      </c>
      <c r="Q193">
        <v>7.3866690000000004</v>
      </c>
      <c r="R193">
        <v>7.397716</v>
      </c>
      <c r="S193">
        <v>7.4043020000000004</v>
      </c>
      <c r="T193">
        <v>7.4058250000000001</v>
      </c>
      <c r="U193">
        <v>7.4069539999999998</v>
      </c>
      <c r="V193">
        <v>7.4070970000000003</v>
      </c>
      <c r="W193">
        <v>7.4063670000000004</v>
      </c>
      <c r="X193">
        <v>7.4057469999999999</v>
      </c>
      <c r="Y193">
        <v>7.4052239999999996</v>
      </c>
      <c r="Z193">
        <v>7.4047689999999999</v>
      </c>
      <c r="AA193">
        <v>7.4043939999999999</v>
      </c>
      <c r="AB193">
        <v>7.4040840000000001</v>
      </c>
      <c r="AC193">
        <v>7.4038519999999997</v>
      </c>
      <c r="AD193">
        <v>7.4036949999999999</v>
      </c>
      <c r="AE193">
        <v>7.4036099999999996</v>
      </c>
      <c r="AF193">
        <v>7.4035780000000004</v>
      </c>
      <c r="AG193">
        <v>7.4020890000000001</v>
      </c>
      <c r="AH193">
        <v>7.4055390000000001</v>
      </c>
      <c r="AI193">
        <v>7.4100239999999999</v>
      </c>
      <c r="AJ193" s="32">
        <v>7.0000000000000001E-3</v>
      </c>
    </row>
    <row r="194" spans="1:36" ht="12.9" x14ac:dyDescent="0.15">
      <c r="A194" t="s">
        <v>412</v>
      </c>
      <c r="B194" t="s">
        <v>585</v>
      </c>
      <c r="C194" t="s">
        <v>839</v>
      </c>
      <c r="D194" t="s">
        <v>744</v>
      </c>
      <c r="E194">
        <v>6.2969480000000004</v>
      </c>
      <c r="F194">
        <v>6.4553209999999996</v>
      </c>
      <c r="G194">
        <v>6.547517</v>
      </c>
      <c r="H194">
        <v>6.6694560000000003</v>
      </c>
      <c r="I194">
        <v>6.8175850000000002</v>
      </c>
      <c r="J194">
        <v>6.9855929999999997</v>
      </c>
      <c r="K194">
        <v>7.1368499999999999</v>
      </c>
      <c r="L194">
        <v>7.2892270000000003</v>
      </c>
      <c r="M194">
        <v>7.3254159999999997</v>
      </c>
      <c r="N194">
        <v>7.4167230000000002</v>
      </c>
      <c r="O194">
        <v>7.4950469999999996</v>
      </c>
      <c r="P194">
        <v>7.5596410000000001</v>
      </c>
      <c r="Q194">
        <v>7.5861280000000004</v>
      </c>
      <c r="R194">
        <v>7.4815779999999998</v>
      </c>
      <c r="S194">
        <v>7.4810639999999999</v>
      </c>
      <c r="T194">
        <v>7.4843029999999997</v>
      </c>
      <c r="U194">
        <v>7.49085</v>
      </c>
      <c r="V194">
        <v>7.4998100000000001</v>
      </c>
      <c r="W194">
        <v>7.5091450000000002</v>
      </c>
      <c r="X194">
        <v>7.5156910000000003</v>
      </c>
      <c r="Y194">
        <v>7.5252400000000002</v>
      </c>
      <c r="Z194">
        <v>7.5332790000000003</v>
      </c>
      <c r="AA194">
        <v>7.5393489999999996</v>
      </c>
      <c r="AB194">
        <v>7.543577</v>
      </c>
      <c r="AC194">
        <v>7.5468140000000004</v>
      </c>
      <c r="AD194">
        <v>7.5477869999999996</v>
      </c>
      <c r="AE194">
        <v>7.5393439999999998</v>
      </c>
      <c r="AF194">
        <v>7.5347730000000004</v>
      </c>
      <c r="AG194">
        <v>7.5302020000000001</v>
      </c>
      <c r="AH194">
        <v>7.5259919999999996</v>
      </c>
      <c r="AI194">
        <v>7.5209999999999999</v>
      </c>
      <c r="AJ194" s="32">
        <v>6.0000000000000001E-3</v>
      </c>
    </row>
    <row r="195" spans="1:36" ht="12.9" x14ac:dyDescent="0.15">
      <c r="A195" t="s">
        <v>414</v>
      </c>
      <c r="B195" t="s">
        <v>586</v>
      </c>
      <c r="C195" t="s">
        <v>840</v>
      </c>
      <c r="D195" t="s">
        <v>742</v>
      </c>
      <c r="E195">
        <v>5.6628550000000004</v>
      </c>
      <c r="F195">
        <v>5.821453</v>
      </c>
      <c r="G195">
        <v>5.9459470000000003</v>
      </c>
      <c r="H195">
        <v>6.0998049999999999</v>
      </c>
      <c r="I195">
        <v>6.2812190000000001</v>
      </c>
      <c r="J195">
        <v>6.4793310000000002</v>
      </c>
      <c r="K195">
        <v>6.6858760000000004</v>
      </c>
      <c r="L195">
        <v>6.8888360000000004</v>
      </c>
      <c r="M195">
        <v>6.9769750000000004</v>
      </c>
      <c r="N195">
        <v>7.1260250000000003</v>
      </c>
      <c r="O195">
        <v>7.2569549999999996</v>
      </c>
      <c r="P195">
        <v>7.3725449999999997</v>
      </c>
      <c r="Q195">
        <v>7.4401700000000002</v>
      </c>
      <c r="R195">
        <v>7.451918</v>
      </c>
      <c r="S195">
        <v>7.4562359999999996</v>
      </c>
      <c r="T195">
        <v>7.4498439999999997</v>
      </c>
      <c r="U195">
        <v>7.4422439999999996</v>
      </c>
      <c r="V195">
        <v>7.435638</v>
      </c>
      <c r="W195">
        <v>7.4291200000000002</v>
      </c>
      <c r="X195">
        <v>7.4267130000000003</v>
      </c>
      <c r="Y195">
        <v>7.4266199999999998</v>
      </c>
      <c r="Z195">
        <v>7.4239889999999997</v>
      </c>
      <c r="AA195">
        <v>7.4202690000000002</v>
      </c>
      <c r="AB195">
        <v>7.4175060000000004</v>
      </c>
      <c r="AC195">
        <v>7.3938889999999997</v>
      </c>
      <c r="AD195">
        <v>7.3910039999999997</v>
      </c>
      <c r="AE195">
        <v>7.3840209999999997</v>
      </c>
      <c r="AF195">
        <v>7.3824940000000003</v>
      </c>
      <c r="AG195">
        <v>7.3827090000000002</v>
      </c>
      <c r="AH195">
        <v>7.3892049999999996</v>
      </c>
      <c r="AI195">
        <v>7.3951840000000004</v>
      </c>
      <c r="AJ195" s="32">
        <v>8.9999999999999993E-3</v>
      </c>
    </row>
    <row r="196" spans="1:36" ht="12.9" x14ac:dyDescent="0.15">
      <c r="A196" t="s">
        <v>416</v>
      </c>
      <c r="B196" t="s">
        <v>587</v>
      </c>
      <c r="C196" t="s">
        <v>841</v>
      </c>
      <c r="D196" t="s">
        <v>744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23</v>
      </c>
    </row>
    <row r="197" spans="1:36" ht="12.9" x14ac:dyDescent="0.15">
      <c r="A197" t="s">
        <v>288</v>
      </c>
      <c r="B197" t="s">
        <v>588</v>
      </c>
      <c r="C197" t="s">
        <v>842</v>
      </c>
      <c r="D197" t="s">
        <v>742</v>
      </c>
      <c r="E197">
        <v>7.5361419999999999</v>
      </c>
      <c r="F197">
        <v>10.49127</v>
      </c>
      <c r="G197">
        <v>10.591222999999999</v>
      </c>
      <c r="H197">
        <v>10.722814</v>
      </c>
      <c r="I197">
        <v>10.883557</v>
      </c>
      <c r="J197">
        <v>11.083766000000001</v>
      </c>
      <c r="K197">
        <v>11.323812</v>
      </c>
      <c r="L197">
        <v>11.569228000000001</v>
      </c>
      <c r="M197">
        <v>11.679626000000001</v>
      </c>
      <c r="N197">
        <v>11.876716</v>
      </c>
      <c r="O197">
        <v>12.063348</v>
      </c>
      <c r="P197">
        <v>12.23394</v>
      </c>
      <c r="Q197">
        <v>12.331873999999999</v>
      </c>
      <c r="R197">
        <v>12.343351999999999</v>
      </c>
      <c r="S197">
        <v>12.351760000000001</v>
      </c>
      <c r="T197">
        <v>12.352591</v>
      </c>
      <c r="U197">
        <v>12.351801999999999</v>
      </c>
      <c r="V197">
        <v>12.350061999999999</v>
      </c>
      <c r="W197">
        <v>12.347828</v>
      </c>
      <c r="X197">
        <v>12.345435999999999</v>
      </c>
      <c r="Y197">
        <v>12.342902</v>
      </c>
      <c r="Z197">
        <v>12.340039000000001</v>
      </c>
      <c r="AA197">
        <v>12.336753</v>
      </c>
      <c r="AB197">
        <v>12.333594</v>
      </c>
      <c r="AC197">
        <v>12.330715</v>
      </c>
      <c r="AD197">
        <v>12.328015000000001</v>
      </c>
      <c r="AE197">
        <v>12.325491</v>
      </c>
      <c r="AF197">
        <v>12.323079999999999</v>
      </c>
      <c r="AG197">
        <v>12.320777</v>
      </c>
      <c r="AH197">
        <v>12.318592000000001</v>
      </c>
      <c r="AI197">
        <v>12.316513</v>
      </c>
      <c r="AJ197" s="32">
        <v>1.7000000000000001E-2</v>
      </c>
    </row>
    <row r="198" spans="1:36" ht="12.9" x14ac:dyDescent="0.15">
      <c r="A198" t="s">
        <v>419</v>
      </c>
      <c r="B198" t="s">
        <v>589</v>
      </c>
      <c r="C198" t="s">
        <v>843</v>
      </c>
      <c r="D198" t="s">
        <v>742</v>
      </c>
      <c r="E198">
        <v>7.8577649999999997</v>
      </c>
      <c r="F198">
        <v>8.6946449999999995</v>
      </c>
      <c r="G198">
        <v>8.8288469999999997</v>
      </c>
      <c r="H198">
        <v>8.9995770000000004</v>
      </c>
      <c r="I198">
        <v>9.2102260000000005</v>
      </c>
      <c r="J198">
        <v>9.4538180000000001</v>
      </c>
      <c r="K198">
        <v>9.6793060000000004</v>
      </c>
      <c r="L198">
        <v>9.9177680000000006</v>
      </c>
      <c r="M198">
        <v>10.029356999999999</v>
      </c>
      <c r="N198">
        <v>10.21191</v>
      </c>
      <c r="O198">
        <v>10.361886</v>
      </c>
      <c r="P198">
        <v>10.496637</v>
      </c>
      <c r="Q198">
        <v>10.574024</v>
      </c>
      <c r="R198">
        <v>10.577456</v>
      </c>
      <c r="S198">
        <v>10.576369</v>
      </c>
      <c r="T198">
        <v>10.574172000000001</v>
      </c>
      <c r="U198">
        <v>10.57136</v>
      </c>
      <c r="V198">
        <v>10.568838</v>
      </c>
      <c r="W198">
        <v>10.566668999999999</v>
      </c>
      <c r="X198">
        <v>10.56484</v>
      </c>
      <c r="Y198">
        <v>10.563416999999999</v>
      </c>
      <c r="Z198">
        <v>10.562293</v>
      </c>
      <c r="AA198">
        <v>10.561572999999999</v>
      </c>
      <c r="AB198">
        <v>10.52332</v>
      </c>
      <c r="AC198">
        <v>10.527604</v>
      </c>
      <c r="AD198">
        <v>10.533288000000001</v>
      </c>
      <c r="AE198">
        <v>10.540594</v>
      </c>
      <c r="AF198">
        <v>10.549569999999999</v>
      </c>
      <c r="AG198">
        <v>10.560122</v>
      </c>
      <c r="AH198">
        <v>10.572075999999999</v>
      </c>
      <c r="AI198">
        <v>10.584902</v>
      </c>
      <c r="AJ198" s="32">
        <v>0.01</v>
      </c>
    </row>
    <row r="199" spans="1:36" ht="12.9" x14ac:dyDescent="0.15">
      <c r="A199" t="s">
        <v>421</v>
      </c>
      <c r="B199" t="s">
        <v>590</v>
      </c>
      <c r="C199" t="s">
        <v>844</v>
      </c>
      <c r="D199" t="s">
        <v>744</v>
      </c>
      <c r="E199">
        <v>8.6751290000000001</v>
      </c>
      <c r="F199">
        <v>9.0074129999999997</v>
      </c>
      <c r="G199">
        <v>9.0949849999999994</v>
      </c>
      <c r="H199">
        <v>9.2309789999999996</v>
      </c>
      <c r="I199">
        <v>9.3916690000000003</v>
      </c>
      <c r="J199">
        <v>9.5847650000000009</v>
      </c>
      <c r="K199">
        <v>9.7810810000000004</v>
      </c>
      <c r="L199">
        <v>9.9967290000000002</v>
      </c>
      <c r="M199">
        <v>10.062555</v>
      </c>
      <c r="N199">
        <v>10.242454</v>
      </c>
      <c r="O199">
        <v>10.400725</v>
      </c>
      <c r="P199">
        <v>10.540106</v>
      </c>
      <c r="Q199">
        <v>10.641733</v>
      </c>
      <c r="R199">
        <v>10.692719</v>
      </c>
      <c r="S199">
        <v>10.697984999999999</v>
      </c>
      <c r="T199">
        <v>10.695501999999999</v>
      </c>
      <c r="U199">
        <v>10.693368</v>
      </c>
      <c r="V199">
        <v>10.691483</v>
      </c>
      <c r="W199">
        <v>10.689863000000001</v>
      </c>
      <c r="X199">
        <v>10.688476</v>
      </c>
      <c r="Y199">
        <v>10.687289</v>
      </c>
      <c r="Z199">
        <v>10.686258</v>
      </c>
      <c r="AA199">
        <v>10.685371999999999</v>
      </c>
      <c r="AB199">
        <v>10.684616</v>
      </c>
      <c r="AC199">
        <v>10.683986000000001</v>
      </c>
      <c r="AD199">
        <v>10.683475</v>
      </c>
      <c r="AE199">
        <v>10.683066</v>
      </c>
      <c r="AF199">
        <v>10.682739</v>
      </c>
      <c r="AG199">
        <v>10.682478</v>
      </c>
      <c r="AH199">
        <v>10.682299</v>
      </c>
      <c r="AI199">
        <v>10.685420000000001</v>
      </c>
      <c r="AJ199" s="32">
        <v>7.0000000000000001E-3</v>
      </c>
    </row>
    <row r="200" spans="1:36" ht="12.9" x14ac:dyDescent="0.15">
      <c r="A200" t="s">
        <v>300</v>
      </c>
      <c r="B200" t="s">
        <v>591</v>
      </c>
      <c r="C200" t="s">
        <v>845</v>
      </c>
      <c r="D200" t="s">
        <v>742</v>
      </c>
      <c r="E200">
        <v>6.2527379999999999</v>
      </c>
      <c r="F200">
        <v>6.8571939999999998</v>
      </c>
      <c r="G200">
        <v>6.8571949999999999</v>
      </c>
      <c r="H200">
        <v>6.8571939999999998</v>
      </c>
      <c r="I200">
        <v>6.8571939999999998</v>
      </c>
      <c r="J200">
        <v>6.8571939999999998</v>
      </c>
      <c r="K200">
        <v>6.8571939999999998</v>
      </c>
      <c r="L200">
        <v>6.8571939999999998</v>
      </c>
      <c r="M200">
        <v>6.8571939999999998</v>
      </c>
      <c r="N200">
        <v>6.8571939999999998</v>
      </c>
      <c r="O200">
        <v>6.8571949999999999</v>
      </c>
      <c r="P200">
        <v>6.8571939999999998</v>
      </c>
      <c r="Q200">
        <v>6.8571939999999998</v>
      </c>
      <c r="R200">
        <v>6.8571939999999998</v>
      </c>
      <c r="S200">
        <v>6.8571939999999998</v>
      </c>
      <c r="T200">
        <v>6.8571939999999998</v>
      </c>
      <c r="U200">
        <v>6.8571939999999998</v>
      </c>
      <c r="V200">
        <v>6.8571939999999998</v>
      </c>
      <c r="W200">
        <v>6.8571949999999999</v>
      </c>
      <c r="X200">
        <v>6.8571939999999998</v>
      </c>
      <c r="Y200">
        <v>6.8571939999999998</v>
      </c>
      <c r="Z200">
        <v>6.8571939999999998</v>
      </c>
      <c r="AA200">
        <v>6.8571939999999998</v>
      </c>
      <c r="AB200">
        <v>6.8571939999999998</v>
      </c>
      <c r="AC200">
        <v>6.8571929999999996</v>
      </c>
      <c r="AD200">
        <v>6.8571939999999998</v>
      </c>
      <c r="AE200">
        <v>6.8571939999999998</v>
      </c>
      <c r="AF200">
        <v>6.8571949999999999</v>
      </c>
      <c r="AG200">
        <v>6.8571939999999998</v>
      </c>
      <c r="AH200">
        <v>6.8571939999999998</v>
      </c>
      <c r="AI200">
        <v>6.8571939999999998</v>
      </c>
      <c r="AJ200" s="32">
        <v>3.0000000000000001E-3</v>
      </c>
    </row>
    <row r="201" spans="1:36" ht="12.9" x14ac:dyDescent="0.15">
      <c r="A201" t="s">
        <v>527</v>
      </c>
      <c r="B201" t="s">
        <v>592</v>
      </c>
      <c r="C201" t="s">
        <v>846</v>
      </c>
      <c r="E201">
        <v>6.2572460000000003</v>
      </c>
      <c r="F201">
        <v>6.3427699999999998</v>
      </c>
      <c r="G201">
        <v>6.4424039999999998</v>
      </c>
      <c r="H201">
        <v>6.5654269999999997</v>
      </c>
      <c r="I201">
        <v>6.7177360000000004</v>
      </c>
      <c r="J201">
        <v>6.8936919999999997</v>
      </c>
      <c r="K201">
        <v>7.0838029999999996</v>
      </c>
      <c r="L201">
        <v>7.2802819999999997</v>
      </c>
      <c r="M201">
        <v>7.3803789999999996</v>
      </c>
      <c r="N201">
        <v>7.5267030000000004</v>
      </c>
      <c r="O201">
        <v>7.6507740000000002</v>
      </c>
      <c r="P201">
        <v>7.7609940000000002</v>
      </c>
      <c r="Q201">
        <v>7.8264440000000004</v>
      </c>
      <c r="R201">
        <v>7.8345799999999999</v>
      </c>
      <c r="S201">
        <v>7.8407939999999998</v>
      </c>
      <c r="T201">
        <v>7.8414479999999998</v>
      </c>
      <c r="U201">
        <v>7.8445879999999999</v>
      </c>
      <c r="V201">
        <v>7.8471830000000002</v>
      </c>
      <c r="W201">
        <v>7.8478539999999999</v>
      </c>
      <c r="X201">
        <v>7.8469280000000001</v>
      </c>
      <c r="Y201">
        <v>7.8468770000000001</v>
      </c>
      <c r="Z201">
        <v>7.8469309999999997</v>
      </c>
      <c r="AA201">
        <v>7.846997</v>
      </c>
      <c r="AB201">
        <v>7.846527</v>
      </c>
      <c r="AC201">
        <v>7.84701</v>
      </c>
      <c r="AD201">
        <v>7.8482560000000001</v>
      </c>
      <c r="AE201">
        <v>7.8481839999999998</v>
      </c>
      <c r="AF201">
        <v>7.8502999999999998</v>
      </c>
      <c r="AG201">
        <v>7.8536149999999996</v>
      </c>
      <c r="AH201">
        <v>7.8573539999999999</v>
      </c>
      <c r="AI201">
        <v>7.8615880000000002</v>
      </c>
      <c r="AJ201" s="32">
        <v>8.0000000000000002E-3</v>
      </c>
    </row>
    <row r="202" spans="1:36" ht="12.9" x14ac:dyDescent="0.15">
      <c r="A202" t="s">
        <v>529</v>
      </c>
      <c r="B202" t="s">
        <v>593</v>
      </c>
      <c r="C202" t="s">
        <v>847</v>
      </c>
      <c r="E202">
        <v>7.6005520000000004</v>
      </c>
      <c r="F202">
        <v>7.7448100000000002</v>
      </c>
      <c r="G202">
        <v>7.7984179999999999</v>
      </c>
      <c r="H202">
        <v>7.9240930000000001</v>
      </c>
      <c r="I202">
        <v>8.1204750000000008</v>
      </c>
      <c r="J202">
        <v>8.3556380000000008</v>
      </c>
      <c r="K202">
        <v>8.6110620000000004</v>
      </c>
      <c r="L202">
        <v>8.8968889999999998</v>
      </c>
      <c r="M202">
        <v>9.0684109999999993</v>
      </c>
      <c r="N202">
        <v>9.2839899999999993</v>
      </c>
      <c r="O202">
        <v>9.4586810000000003</v>
      </c>
      <c r="P202">
        <v>9.6130429999999993</v>
      </c>
      <c r="Q202">
        <v>9.6999359999999992</v>
      </c>
      <c r="R202">
        <v>9.7199050000000007</v>
      </c>
      <c r="S202">
        <v>9.7401199999999992</v>
      </c>
      <c r="T202">
        <v>9.7502650000000006</v>
      </c>
      <c r="U202">
        <v>9.7553870000000007</v>
      </c>
      <c r="V202">
        <v>9.7669490000000003</v>
      </c>
      <c r="W202">
        <v>9.7875510000000006</v>
      </c>
      <c r="X202">
        <v>9.7904140000000002</v>
      </c>
      <c r="Y202">
        <v>9.7858309999999999</v>
      </c>
      <c r="Z202">
        <v>9.7924319999999998</v>
      </c>
      <c r="AA202">
        <v>9.8092039999999994</v>
      </c>
      <c r="AB202">
        <v>9.8243899999999993</v>
      </c>
      <c r="AC202">
        <v>9.8458670000000001</v>
      </c>
      <c r="AD202">
        <v>9.8725470000000008</v>
      </c>
      <c r="AE202">
        <v>9.8889309999999995</v>
      </c>
      <c r="AF202">
        <v>9.9205079999999999</v>
      </c>
      <c r="AG202">
        <v>9.9537700000000005</v>
      </c>
      <c r="AH202">
        <v>9.964264</v>
      </c>
      <c r="AI202">
        <v>9.9811899999999998</v>
      </c>
      <c r="AJ202" s="32">
        <v>8.9999999999999993E-3</v>
      </c>
    </row>
    <row r="203" spans="1:36" ht="12.9" x14ac:dyDescent="0.15">
      <c r="A203" t="s">
        <v>594</v>
      </c>
      <c r="C203" t="s">
        <v>848</v>
      </c>
    </row>
    <row r="204" spans="1:36" ht="12.9" x14ac:dyDescent="0.15">
      <c r="A204" t="s">
        <v>407</v>
      </c>
      <c r="C204" t="s">
        <v>849</v>
      </c>
    </row>
    <row r="205" spans="1:36" ht="12.9" x14ac:dyDescent="0.15">
      <c r="A205" t="s">
        <v>408</v>
      </c>
      <c r="B205" t="s">
        <v>595</v>
      </c>
      <c r="C205" t="s">
        <v>850</v>
      </c>
      <c r="D205" t="s">
        <v>164</v>
      </c>
      <c r="E205">
        <v>147.36698899999999</v>
      </c>
      <c r="F205">
        <v>162.874405</v>
      </c>
      <c r="G205">
        <v>174.73065199999999</v>
      </c>
      <c r="H205">
        <v>180.52432300000001</v>
      </c>
      <c r="I205">
        <v>187.83528100000001</v>
      </c>
      <c r="J205">
        <v>193.86938499999999</v>
      </c>
      <c r="K205">
        <v>193.94555700000001</v>
      </c>
      <c r="L205">
        <v>191.041031</v>
      </c>
      <c r="M205">
        <v>192.70813000000001</v>
      </c>
      <c r="N205">
        <v>193.46637000000001</v>
      </c>
      <c r="O205">
        <v>192.29011499999999</v>
      </c>
      <c r="P205">
        <v>192.50157200000001</v>
      </c>
      <c r="Q205">
        <v>193.21283</v>
      </c>
      <c r="R205">
        <v>193.40211500000001</v>
      </c>
      <c r="S205">
        <v>193.70794699999999</v>
      </c>
      <c r="T205">
        <v>194.59094200000001</v>
      </c>
      <c r="U205">
        <v>193.81104999999999</v>
      </c>
      <c r="V205">
        <v>192.37344400000001</v>
      </c>
      <c r="W205">
        <v>192.27671799999999</v>
      </c>
      <c r="X205">
        <v>192.19929500000001</v>
      </c>
      <c r="Y205">
        <v>191.45024100000001</v>
      </c>
      <c r="Z205">
        <v>190.30789200000001</v>
      </c>
      <c r="AA205">
        <v>189.15933200000001</v>
      </c>
      <c r="AB205">
        <v>188.110794</v>
      </c>
      <c r="AC205">
        <v>187.20150799999999</v>
      </c>
      <c r="AD205">
        <v>187.95594800000001</v>
      </c>
      <c r="AE205">
        <v>186.52847299999999</v>
      </c>
      <c r="AF205">
        <v>184.698151</v>
      </c>
      <c r="AG205">
        <v>185.01487700000001</v>
      </c>
      <c r="AH205">
        <v>182.92906199999999</v>
      </c>
      <c r="AI205">
        <v>180.58569299999999</v>
      </c>
      <c r="AJ205" s="32">
        <v>7.0000000000000001E-3</v>
      </c>
    </row>
    <row r="206" spans="1:36" ht="12.9" x14ac:dyDescent="0.15">
      <c r="A206" t="s">
        <v>410</v>
      </c>
      <c r="B206" t="s">
        <v>596</v>
      </c>
      <c r="C206" t="s">
        <v>851</v>
      </c>
      <c r="D206" t="s">
        <v>164</v>
      </c>
      <c r="E206">
        <v>36.340527000000002</v>
      </c>
      <c r="F206">
        <v>41.152985000000001</v>
      </c>
      <c r="G206">
        <v>45.466510999999997</v>
      </c>
      <c r="H206">
        <v>48.275089000000001</v>
      </c>
      <c r="I206">
        <v>51.582748000000002</v>
      </c>
      <c r="J206">
        <v>54.672806000000001</v>
      </c>
      <c r="K206">
        <v>55.909843000000002</v>
      </c>
      <c r="L206">
        <v>56.316150999999998</v>
      </c>
      <c r="M206">
        <v>58.327072000000001</v>
      </c>
      <c r="N206">
        <v>59.902965999999999</v>
      </c>
      <c r="O206">
        <v>60.703434000000001</v>
      </c>
      <c r="P206">
        <v>62.242939</v>
      </c>
      <c r="Q206">
        <v>63.795490000000001</v>
      </c>
      <c r="R206">
        <v>65.216812000000004</v>
      </c>
      <c r="S206">
        <v>66.619422999999998</v>
      </c>
      <c r="T206">
        <v>68.357330000000005</v>
      </c>
      <c r="U206">
        <v>69.528632999999999</v>
      </c>
      <c r="V206">
        <v>70.507216999999997</v>
      </c>
      <c r="W206">
        <v>72.067085000000006</v>
      </c>
      <c r="X206">
        <v>73.386893999999998</v>
      </c>
      <c r="Y206">
        <v>74.481773000000004</v>
      </c>
      <c r="Z206">
        <v>75.407905999999997</v>
      </c>
      <c r="AA206">
        <v>75.941940000000002</v>
      </c>
      <c r="AB206">
        <v>76.724884000000003</v>
      </c>
      <c r="AC206">
        <v>77.526398</v>
      </c>
      <c r="AD206">
        <v>78.944419999999994</v>
      </c>
      <c r="AE206">
        <v>79.472167999999996</v>
      </c>
      <c r="AF206">
        <v>79.682343000000003</v>
      </c>
      <c r="AG206">
        <v>81.240600999999998</v>
      </c>
      <c r="AH206">
        <v>81.383301000000003</v>
      </c>
      <c r="AI206">
        <v>81.700012000000001</v>
      </c>
      <c r="AJ206" s="32">
        <v>2.7E-2</v>
      </c>
    </row>
    <row r="207" spans="1:36" ht="12.9" x14ac:dyDescent="0.15">
      <c r="A207" t="s">
        <v>412</v>
      </c>
      <c r="B207" t="s">
        <v>597</v>
      </c>
      <c r="C207" t="s">
        <v>852</v>
      </c>
      <c r="D207" t="s">
        <v>164</v>
      </c>
      <c r="E207">
        <v>0.21667700000000001</v>
      </c>
      <c r="F207">
        <v>0.24865499999999999</v>
      </c>
      <c r="G207">
        <v>0.276916</v>
      </c>
      <c r="H207">
        <v>0.296933</v>
      </c>
      <c r="I207">
        <v>0.32085599999999997</v>
      </c>
      <c r="J207">
        <v>0.34393200000000002</v>
      </c>
      <c r="K207">
        <v>0.35781400000000002</v>
      </c>
      <c r="L207">
        <v>0.36676199999999998</v>
      </c>
      <c r="M207">
        <v>0.38459199999999999</v>
      </c>
      <c r="N207">
        <v>0.40217999999999998</v>
      </c>
      <c r="O207">
        <v>0.415188</v>
      </c>
      <c r="P207">
        <v>0.43269800000000003</v>
      </c>
      <c r="Q207">
        <v>0.45240000000000002</v>
      </c>
      <c r="R207">
        <v>0.47218100000000002</v>
      </c>
      <c r="S207">
        <v>0.49300300000000002</v>
      </c>
      <c r="T207">
        <v>0.51601799999999998</v>
      </c>
      <c r="U207">
        <v>0.53563700000000003</v>
      </c>
      <c r="V207">
        <v>0.55433500000000002</v>
      </c>
      <c r="W207">
        <v>0.57802399999999998</v>
      </c>
      <c r="X207">
        <v>0.60235700000000003</v>
      </c>
      <c r="Y207">
        <v>0.62575700000000001</v>
      </c>
      <c r="Z207">
        <v>0.65046199999999998</v>
      </c>
      <c r="AA207">
        <v>0.67674199999999995</v>
      </c>
      <c r="AB207">
        <v>0.702206</v>
      </c>
      <c r="AC207">
        <v>0.72930200000000001</v>
      </c>
      <c r="AD207">
        <v>0.76510900000000004</v>
      </c>
      <c r="AE207">
        <v>0.79286599999999996</v>
      </c>
      <c r="AF207">
        <v>0.81970200000000004</v>
      </c>
      <c r="AG207">
        <v>0.85739699999999996</v>
      </c>
      <c r="AH207">
        <v>0.88599499999999998</v>
      </c>
      <c r="AI207">
        <v>0.913358</v>
      </c>
      <c r="AJ207" s="32">
        <v>4.9000000000000002E-2</v>
      </c>
    </row>
    <row r="208" spans="1:36" ht="12.9" x14ac:dyDescent="0.15">
      <c r="A208" t="s">
        <v>414</v>
      </c>
      <c r="B208" t="s">
        <v>598</v>
      </c>
      <c r="C208" t="s">
        <v>853</v>
      </c>
      <c r="D208" t="s">
        <v>164</v>
      </c>
      <c r="E208">
        <v>0.10786</v>
      </c>
      <c r="F208">
        <v>0.11931600000000001</v>
      </c>
      <c r="G208">
        <v>0.12817400000000001</v>
      </c>
      <c r="H208">
        <v>0.132655</v>
      </c>
      <c r="I208">
        <v>0.138493</v>
      </c>
      <c r="J208">
        <v>0.14356099999999999</v>
      </c>
      <c r="K208">
        <v>0.14452699999999999</v>
      </c>
      <c r="L208">
        <v>0.14341400000000001</v>
      </c>
      <c r="M208">
        <v>0.146093</v>
      </c>
      <c r="N208">
        <v>0.14843200000000001</v>
      </c>
      <c r="O208">
        <v>0.14888999999999999</v>
      </c>
      <c r="P208">
        <v>0.150783</v>
      </c>
      <c r="Q208">
        <v>0.15320500000000001</v>
      </c>
      <c r="R208">
        <v>0.15541199999999999</v>
      </c>
      <c r="S208">
        <v>0.157724</v>
      </c>
      <c r="T208">
        <v>0.16048499999999999</v>
      </c>
      <c r="U208">
        <v>0.161963</v>
      </c>
      <c r="V208">
        <v>0.16298799999999999</v>
      </c>
      <c r="W208">
        <v>0.16528499999999999</v>
      </c>
      <c r="X208">
        <v>0.16753999999999999</v>
      </c>
      <c r="Y208">
        <v>0.169873</v>
      </c>
      <c r="Z208">
        <v>0.17296700000000001</v>
      </c>
      <c r="AA208">
        <v>0.17641499999999999</v>
      </c>
      <c r="AB208">
        <v>0.17982400000000001</v>
      </c>
      <c r="AC208">
        <v>0.18385199999999999</v>
      </c>
      <c r="AD208">
        <v>0.19009400000000001</v>
      </c>
      <c r="AE208">
        <v>0.19438900000000001</v>
      </c>
      <c r="AF208">
        <v>0.19945099999999999</v>
      </c>
      <c r="AG208">
        <v>0.20738999999999999</v>
      </c>
      <c r="AH208">
        <v>0.21348200000000001</v>
      </c>
      <c r="AI208">
        <v>0.21962999999999999</v>
      </c>
      <c r="AJ208" s="32">
        <v>2.4E-2</v>
      </c>
    </row>
    <row r="209" spans="1:36" ht="12.9" x14ac:dyDescent="0.15">
      <c r="A209" t="s">
        <v>416</v>
      </c>
      <c r="B209" t="s">
        <v>599</v>
      </c>
      <c r="C209" t="s">
        <v>854</v>
      </c>
      <c r="D209" t="s">
        <v>164</v>
      </c>
      <c r="E209">
        <v>23.123978000000001</v>
      </c>
      <c r="F209">
        <v>26.385145000000001</v>
      </c>
      <c r="G209">
        <v>28.895914000000001</v>
      </c>
      <c r="H209">
        <v>30.481784999999999</v>
      </c>
      <c r="I209">
        <v>32.549633</v>
      </c>
      <c r="J209">
        <v>34.448101000000001</v>
      </c>
      <c r="K209">
        <v>35.934238000000001</v>
      </c>
      <c r="L209">
        <v>36.997703999999999</v>
      </c>
      <c r="M209">
        <v>38.406609000000003</v>
      </c>
      <c r="N209">
        <v>40.438293000000002</v>
      </c>
      <c r="O209">
        <v>41.426582000000003</v>
      </c>
      <c r="P209">
        <v>43.097050000000003</v>
      </c>
      <c r="Q209">
        <v>45.263236999999997</v>
      </c>
      <c r="R209">
        <v>47.615958999999997</v>
      </c>
      <c r="S209">
        <v>50.032466999999997</v>
      </c>
      <c r="T209">
        <v>52.368079999999999</v>
      </c>
      <c r="U209">
        <v>54.359116</v>
      </c>
      <c r="V209">
        <v>56.256672000000002</v>
      </c>
      <c r="W209">
        <v>58.660789000000001</v>
      </c>
      <c r="X209">
        <v>61.130257</v>
      </c>
      <c r="Y209">
        <v>63.504947999999999</v>
      </c>
      <c r="Z209">
        <v>66.663818000000006</v>
      </c>
      <c r="AA209">
        <v>70.541595000000001</v>
      </c>
      <c r="AB209">
        <v>73.195992000000004</v>
      </c>
      <c r="AC209">
        <v>76.020347999999998</v>
      </c>
      <c r="AD209">
        <v>80.059334000000007</v>
      </c>
      <c r="AE209">
        <v>82.963829000000004</v>
      </c>
      <c r="AF209">
        <v>85.771857999999995</v>
      </c>
      <c r="AG209">
        <v>89.210350000000005</v>
      </c>
      <c r="AH209">
        <v>92.185958999999997</v>
      </c>
      <c r="AI209">
        <v>94.388938999999993</v>
      </c>
      <c r="AJ209" s="32">
        <v>4.8000000000000001E-2</v>
      </c>
    </row>
    <row r="210" spans="1:36" ht="12.9" x14ac:dyDescent="0.15">
      <c r="A210" t="s">
        <v>288</v>
      </c>
      <c r="B210" t="s">
        <v>600</v>
      </c>
      <c r="C210" t="s">
        <v>855</v>
      </c>
      <c r="D210" t="s">
        <v>164</v>
      </c>
      <c r="E210">
        <v>0.25462099999999999</v>
      </c>
      <c r="F210">
        <v>0.28985699999999998</v>
      </c>
      <c r="G210">
        <v>0.318909</v>
      </c>
      <c r="H210">
        <v>0.34132000000000001</v>
      </c>
      <c r="I210">
        <v>0.36881900000000001</v>
      </c>
      <c r="J210">
        <v>0.395345</v>
      </c>
      <c r="K210">
        <v>0.411302</v>
      </c>
      <c r="L210">
        <v>0.42158699999999999</v>
      </c>
      <c r="M210">
        <v>0.442083</v>
      </c>
      <c r="N210">
        <v>0.46229900000000002</v>
      </c>
      <c r="O210">
        <v>0.47725200000000001</v>
      </c>
      <c r="P210">
        <v>0.49737999999999999</v>
      </c>
      <c r="Q210">
        <v>0.52002700000000002</v>
      </c>
      <c r="R210">
        <v>0.54276400000000002</v>
      </c>
      <c r="S210">
        <v>0.56669999999999998</v>
      </c>
      <c r="T210">
        <v>0.59315399999999996</v>
      </c>
      <c r="U210">
        <v>0.61570599999999998</v>
      </c>
      <c r="V210">
        <v>0.63719899999999996</v>
      </c>
      <c r="W210">
        <v>0.66442999999999997</v>
      </c>
      <c r="X210">
        <v>0.69240000000000002</v>
      </c>
      <c r="Y210">
        <v>0.71929799999999999</v>
      </c>
      <c r="Z210">
        <v>0.74769600000000003</v>
      </c>
      <c r="AA210">
        <v>0.77790400000000004</v>
      </c>
      <c r="AB210">
        <v>0.807176</v>
      </c>
      <c r="AC210">
        <v>0.83832099999999998</v>
      </c>
      <c r="AD210">
        <v>0.87948000000000004</v>
      </c>
      <c r="AE210">
        <v>0.91138799999999998</v>
      </c>
      <c r="AF210">
        <v>0.94223500000000004</v>
      </c>
      <c r="AG210">
        <v>0.985564</v>
      </c>
      <c r="AH210">
        <v>1.018437</v>
      </c>
      <c r="AI210">
        <v>1.0498909999999999</v>
      </c>
      <c r="AJ210" s="32">
        <v>4.8000000000000001E-2</v>
      </c>
    </row>
    <row r="211" spans="1:36" ht="12.9" x14ac:dyDescent="0.15">
      <c r="A211" t="s">
        <v>419</v>
      </c>
      <c r="B211" t="s">
        <v>601</v>
      </c>
      <c r="C211" t="s">
        <v>856</v>
      </c>
      <c r="D211" t="s">
        <v>164</v>
      </c>
      <c r="E211">
        <v>0.26865299999999998</v>
      </c>
      <c r="F211">
        <v>0.30830200000000002</v>
      </c>
      <c r="G211">
        <v>0.34334100000000001</v>
      </c>
      <c r="H211">
        <v>0.36816100000000002</v>
      </c>
      <c r="I211">
        <v>0.39782299999999998</v>
      </c>
      <c r="J211">
        <v>0.42643399999999998</v>
      </c>
      <c r="K211">
        <v>0.44364599999999998</v>
      </c>
      <c r="L211">
        <v>0.45473999999999998</v>
      </c>
      <c r="M211">
        <v>0.47684700000000002</v>
      </c>
      <c r="N211">
        <v>0.49865300000000001</v>
      </c>
      <c r="O211">
        <v>0.51478199999999996</v>
      </c>
      <c r="P211">
        <v>0.536493</v>
      </c>
      <c r="Q211">
        <v>0.560921</v>
      </c>
      <c r="R211">
        <v>0.58544600000000002</v>
      </c>
      <c r="S211">
        <v>0.61126400000000003</v>
      </c>
      <c r="T211">
        <v>0.63979900000000001</v>
      </c>
      <c r="U211">
        <v>0.66412400000000005</v>
      </c>
      <c r="V211">
        <v>0.687307</v>
      </c>
      <c r="W211">
        <v>0.71667899999999995</v>
      </c>
      <c r="X211">
        <v>0.74684899999999999</v>
      </c>
      <c r="Y211">
        <v>0.77586200000000005</v>
      </c>
      <c r="Z211">
        <v>0.80649300000000002</v>
      </c>
      <c r="AA211">
        <v>0.83907699999999996</v>
      </c>
      <c r="AB211">
        <v>0.87065000000000003</v>
      </c>
      <c r="AC211">
        <v>0.90424499999999997</v>
      </c>
      <c r="AD211">
        <v>0.94864099999999996</v>
      </c>
      <c r="AE211">
        <v>0.98305699999999996</v>
      </c>
      <c r="AF211">
        <v>1.01633</v>
      </c>
      <c r="AG211">
        <v>1.0630660000000001</v>
      </c>
      <c r="AH211">
        <v>1.098525</v>
      </c>
      <c r="AI211">
        <v>1.132452</v>
      </c>
      <c r="AJ211" s="32">
        <v>4.9000000000000002E-2</v>
      </c>
    </row>
    <row r="212" spans="1:36" ht="12.9" x14ac:dyDescent="0.15">
      <c r="A212" t="s">
        <v>421</v>
      </c>
      <c r="B212" t="s">
        <v>602</v>
      </c>
      <c r="C212" t="s">
        <v>857</v>
      </c>
      <c r="D212" t="s">
        <v>164</v>
      </c>
      <c r="E212">
        <v>0.27268399999999998</v>
      </c>
      <c r="F212">
        <v>0.31292700000000001</v>
      </c>
      <c r="G212">
        <v>0.348493</v>
      </c>
      <c r="H212">
        <v>0.37368499999999999</v>
      </c>
      <c r="I212">
        <v>0.40379100000000001</v>
      </c>
      <c r="J212">
        <v>0.43283199999999999</v>
      </c>
      <c r="K212">
        <v>0.45030199999999998</v>
      </c>
      <c r="L212">
        <v>0.461563</v>
      </c>
      <c r="M212">
        <v>0.48400199999999999</v>
      </c>
      <c r="N212">
        <v>0.506135</v>
      </c>
      <c r="O212">
        <v>0.52250600000000003</v>
      </c>
      <c r="P212">
        <v>0.54454199999999997</v>
      </c>
      <c r="Q212">
        <v>0.56933699999999998</v>
      </c>
      <c r="R212">
        <v>0.59423000000000004</v>
      </c>
      <c r="S212">
        <v>0.62043499999999996</v>
      </c>
      <c r="T212">
        <v>0.64939800000000003</v>
      </c>
      <c r="U212">
        <v>0.67408800000000002</v>
      </c>
      <c r="V212">
        <v>0.69761899999999999</v>
      </c>
      <c r="W212">
        <v>0.72743199999999997</v>
      </c>
      <c r="X212">
        <v>0.75805400000000001</v>
      </c>
      <c r="Y212">
        <v>0.78750200000000004</v>
      </c>
      <c r="Z212">
        <v>0.81859300000000002</v>
      </c>
      <c r="AA212">
        <v>0.85166600000000003</v>
      </c>
      <c r="AB212">
        <v>0.88371299999999997</v>
      </c>
      <c r="AC212">
        <v>0.91781199999999996</v>
      </c>
      <c r="AD212">
        <v>0.96287400000000001</v>
      </c>
      <c r="AE212">
        <v>0.99780599999999997</v>
      </c>
      <c r="AF212">
        <v>1.0315780000000001</v>
      </c>
      <c r="AG212">
        <v>1.079016</v>
      </c>
      <c r="AH212">
        <v>1.1150070000000001</v>
      </c>
      <c r="AI212">
        <v>1.1494420000000001</v>
      </c>
      <c r="AJ212" s="32">
        <v>4.9000000000000002E-2</v>
      </c>
    </row>
    <row r="213" spans="1:36" ht="12.9" x14ac:dyDescent="0.15">
      <c r="A213" t="s">
        <v>300</v>
      </c>
      <c r="B213" t="s">
        <v>603</v>
      </c>
      <c r="C213" t="s">
        <v>858</v>
      </c>
      <c r="D213" t="s">
        <v>164</v>
      </c>
      <c r="E213">
        <v>1.3200000000000001E-4</v>
      </c>
      <c r="F213">
        <v>1.47E-4</v>
      </c>
      <c r="G213">
        <v>1.5799999999999999E-4</v>
      </c>
      <c r="H213">
        <v>1.64E-4</v>
      </c>
      <c r="I213">
        <v>1.7100000000000001E-4</v>
      </c>
      <c r="J213">
        <v>1.7699999999999999E-4</v>
      </c>
      <c r="K213">
        <v>1.7799999999999999E-4</v>
      </c>
      <c r="L213">
        <v>1.76E-4</v>
      </c>
      <c r="M213">
        <v>1.7699999999999999E-4</v>
      </c>
      <c r="N213">
        <v>1.7699999999999999E-4</v>
      </c>
      <c r="O213">
        <v>1.75E-4</v>
      </c>
      <c r="P213">
        <v>1.74E-4</v>
      </c>
      <c r="Q213">
        <v>1.73E-4</v>
      </c>
      <c r="R213">
        <v>1.7000000000000001E-4</v>
      </c>
      <c r="S213">
        <v>1.6699999999999999E-4</v>
      </c>
      <c r="T213">
        <v>1.65E-4</v>
      </c>
      <c r="U213">
        <v>1.6100000000000001E-4</v>
      </c>
      <c r="V213">
        <v>1.5699999999999999E-4</v>
      </c>
      <c r="W213">
        <v>1.54E-4</v>
      </c>
      <c r="X213">
        <v>1.5100000000000001E-4</v>
      </c>
      <c r="Y213">
        <v>1.4799999999999999E-4</v>
      </c>
      <c r="Z213">
        <v>1.45E-4</v>
      </c>
      <c r="AA213">
        <v>1.4200000000000001E-4</v>
      </c>
      <c r="AB213">
        <v>1.3899999999999999E-4</v>
      </c>
      <c r="AC213">
        <v>1.36E-4</v>
      </c>
      <c r="AD213">
        <v>1.34E-4</v>
      </c>
      <c r="AE213">
        <v>1.3100000000000001E-4</v>
      </c>
      <c r="AF213">
        <v>1.2799999999999999E-4</v>
      </c>
      <c r="AG213">
        <v>1.26E-4</v>
      </c>
      <c r="AH213">
        <v>1.22E-4</v>
      </c>
      <c r="AI213">
        <v>1.1900000000000001E-4</v>
      </c>
      <c r="AJ213" s="32">
        <v>-4.0000000000000001E-3</v>
      </c>
    </row>
    <row r="214" spans="1:36" ht="12.9" x14ac:dyDescent="0.15">
      <c r="A214" t="s">
        <v>424</v>
      </c>
      <c r="B214" t="s">
        <v>604</v>
      </c>
      <c r="C214" t="s">
        <v>859</v>
      </c>
      <c r="D214" t="s">
        <v>164</v>
      </c>
      <c r="E214">
        <v>207.952133</v>
      </c>
      <c r="F214">
        <v>231.69172699999999</v>
      </c>
      <c r="G214">
        <v>250.50907900000001</v>
      </c>
      <c r="H214">
        <v>260.79406699999998</v>
      </c>
      <c r="I214">
        <v>273.59762599999999</v>
      </c>
      <c r="J214">
        <v>284.73254400000002</v>
      </c>
      <c r="K214">
        <v>287.59738199999998</v>
      </c>
      <c r="L214">
        <v>286.20315599999998</v>
      </c>
      <c r="M214">
        <v>291.37560999999999</v>
      </c>
      <c r="N214">
        <v>295.82556199999999</v>
      </c>
      <c r="O214">
        <v>296.49893200000002</v>
      </c>
      <c r="P214">
        <v>300.003601</v>
      </c>
      <c r="Q214">
        <v>304.52761800000002</v>
      </c>
      <c r="R214">
        <v>308.58505200000002</v>
      </c>
      <c r="S214">
        <v>312.80914300000001</v>
      </c>
      <c r="T214">
        <v>317.875427</v>
      </c>
      <c r="U214">
        <v>320.35043300000001</v>
      </c>
      <c r="V214">
        <v>321.876892</v>
      </c>
      <c r="W214">
        <v>325.856628</v>
      </c>
      <c r="X214">
        <v>329.68374599999999</v>
      </c>
      <c r="Y214">
        <v>332.51541099999997</v>
      </c>
      <c r="Z214">
        <v>335.57598899999999</v>
      </c>
      <c r="AA214">
        <v>338.96481299999999</v>
      </c>
      <c r="AB214">
        <v>341.47540300000003</v>
      </c>
      <c r="AC214">
        <v>344.32199100000003</v>
      </c>
      <c r="AD214">
        <v>350.70605499999999</v>
      </c>
      <c r="AE214">
        <v>352.84414700000002</v>
      </c>
      <c r="AF214">
        <v>354.16177399999998</v>
      </c>
      <c r="AG214">
        <v>359.65835600000003</v>
      </c>
      <c r="AH214">
        <v>360.82986499999998</v>
      </c>
      <c r="AI214">
        <v>361.13952599999999</v>
      </c>
      <c r="AJ214" s="32">
        <v>1.9E-2</v>
      </c>
    </row>
    <row r="215" spans="1:36" ht="12.9" x14ac:dyDescent="0.15">
      <c r="A215" t="s">
        <v>426</v>
      </c>
      <c r="C215" t="s">
        <v>860</v>
      </c>
    </row>
    <row r="216" spans="1:36" ht="12.9" x14ac:dyDescent="0.15">
      <c r="A216" t="s">
        <v>408</v>
      </c>
      <c r="B216" t="s">
        <v>605</v>
      </c>
      <c r="C216" t="s">
        <v>861</v>
      </c>
      <c r="D216" t="s">
        <v>164</v>
      </c>
      <c r="E216">
        <v>91.140923000000001</v>
      </c>
      <c r="F216">
        <v>101.57009100000001</v>
      </c>
      <c r="G216">
        <v>122.007324</v>
      </c>
      <c r="H216">
        <v>134.36882</v>
      </c>
      <c r="I216">
        <v>142.74681100000001</v>
      </c>
      <c r="J216">
        <v>148.109756</v>
      </c>
      <c r="K216">
        <v>147.682907</v>
      </c>
      <c r="L216">
        <v>141.33781400000001</v>
      </c>
      <c r="M216">
        <v>138.36944600000001</v>
      </c>
      <c r="N216">
        <v>138.073395</v>
      </c>
      <c r="O216">
        <v>138.25938400000001</v>
      </c>
      <c r="P216">
        <v>140.22210699999999</v>
      </c>
      <c r="Q216">
        <v>144.37342799999999</v>
      </c>
      <c r="R216">
        <v>148.244675</v>
      </c>
      <c r="S216">
        <v>151.96386699999999</v>
      </c>
      <c r="T216">
        <v>156.659775</v>
      </c>
      <c r="U216">
        <v>161.44515999999999</v>
      </c>
      <c r="V216">
        <v>164.008972</v>
      </c>
      <c r="W216">
        <v>166.95872499999999</v>
      </c>
      <c r="X216">
        <v>172.862381</v>
      </c>
      <c r="Y216">
        <v>179.956909</v>
      </c>
      <c r="Z216">
        <v>185.272369</v>
      </c>
      <c r="AA216">
        <v>188.929565</v>
      </c>
      <c r="AB216">
        <v>192.53448499999999</v>
      </c>
      <c r="AC216">
        <v>195.31875600000001</v>
      </c>
      <c r="AD216">
        <v>199.18071</v>
      </c>
      <c r="AE216">
        <v>202.54257200000001</v>
      </c>
      <c r="AF216">
        <v>202.73142999999999</v>
      </c>
      <c r="AG216">
        <v>205.17477400000001</v>
      </c>
      <c r="AH216">
        <v>210.11914100000001</v>
      </c>
      <c r="AI216">
        <v>213.534637</v>
      </c>
      <c r="AJ216" s="32">
        <v>2.9000000000000001E-2</v>
      </c>
    </row>
    <row r="217" spans="1:36" ht="12.9" x14ac:dyDescent="0.15">
      <c r="A217" t="s">
        <v>410</v>
      </c>
      <c r="B217" t="s">
        <v>606</v>
      </c>
      <c r="C217" t="s">
        <v>862</v>
      </c>
      <c r="D217" t="s">
        <v>164</v>
      </c>
      <c r="E217">
        <v>46.458106999999998</v>
      </c>
      <c r="F217">
        <v>51.533301999999999</v>
      </c>
      <c r="G217">
        <v>61.584063999999998</v>
      </c>
      <c r="H217">
        <v>67.480025999999995</v>
      </c>
      <c r="I217">
        <v>71.053955000000002</v>
      </c>
      <c r="J217">
        <v>73.745536999999999</v>
      </c>
      <c r="K217">
        <v>74.008094999999997</v>
      </c>
      <c r="L217">
        <v>71.102187999999998</v>
      </c>
      <c r="M217">
        <v>69.762978000000004</v>
      </c>
      <c r="N217">
        <v>69.592879999999994</v>
      </c>
      <c r="O217">
        <v>69.727844000000005</v>
      </c>
      <c r="P217">
        <v>70.691063</v>
      </c>
      <c r="Q217">
        <v>72.775604000000001</v>
      </c>
      <c r="R217">
        <v>74.734939999999995</v>
      </c>
      <c r="S217">
        <v>76.598495</v>
      </c>
      <c r="T217">
        <v>78.970878999999996</v>
      </c>
      <c r="U217">
        <v>81.265197999999998</v>
      </c>
      <c r="V217">
        <v>82.382980000000003</v>
      </c>
      <c r="W217">
        <v>83.535544999999999</v>
      </c>
      <c r="X217">
        <v>86.150604000000001</v>
      </c>
      <c r="Y217">
        <v>89.336394999999996</v>
      </c>
      <c r="Z217">
        <v>91.616553999999994</v>
      </c>
      <c r="AA217">
        <v>93.060012999999998</v>
      </c>
      <c r="AB217">
        <v>94.461594000000005</v>
      </c>
      <c r="AC217">
        <v>95.405356999999995</v>
      </c>
      <c r="AD217">
        <v>96.820175000000006</v>
      </c>
      <c r="AE217">
        <v>97.969802999999999</v>
      </c>
      <c r="AF217">
        <v>97.567085000000006</v>
      </c>
      <c r="AG217">
        <v>98.234961999999996</v>
      </c>
      <c r="AH217">
        <v>100.072861</v>
      </c>
      <c r="AI217">
        <v>101.15113100000001</v>
      </c>
      <c r="AJ217" s="32">
        <v>2.5999999999999999E-2</v>
      </c>
    </row>
    <row r="218" spans="1:36" ht="12.9" x14ac:dyDescent="0.15">
      <c r="A218" t="s">
        <v>412</v>
      </c>
      <c r="B218" t="s">
        <v>607</v>
      </c>
      <c r="C218" t="s">
        <v>863</v>
      </c>
      <c r="D218" t="s">
        <v>164</v>
      </c>
      <c r="E218">
        <v>0.13500999999999999</v>
      </c>
      <c r="F218">
        <v>0.154755</v>
      </c>
      <c r="G218">
        <v>0.19117899999999999</v>
      </c>
      <c r="H218">
        <v>0.216553</v>
      </c>
      <c r="I218">
        <v>0.23633899999999999</v>
      </c>
      <c r="J218">
        <v>0.25270799999999999</v>
      </c>
      <c r="K218">
        <v>0.26027600000000001</v>
      </c>
      <c r="L218">
        <v>0.25709300000000002</v>
      </c>
      <c r="M218">
        <v>0.25964300000000001</v>
      </c>
      <c r="N218">
        <v>0.26708900000000002</v>
      </c>
      <c r="O218">
        <v>0.27582400000000001</v>
      </c>
      <c r="P218">
        <v>0.28846699999999997</v>
      </c>
      <c r="Q218">
        <v>0.30631199999999997</v>
      </c>
      <c r="R218">
        <v>0.32441700000000001</v>
      </c>
      <c r="S218">
        <v>0.34300000000000003</v>
      </c>
      <c r="T218">
        <v>0.36474600000000001</v>
      </c>
      <c r="U218">
        <v>0.38755899999999999</v>
      </c>
      <c r="V218">
        <v>0.40587000000000001</v>
      </c>
      <c r="W218">
        <v>0.42568800000000001</v>
      </c>
      <c r="X218">
        <v>0.45412000000000002</v>
      </c>
      <c r="Y218">
        <v>0.48713899999999999</v>
      </c>
      <c r="Z218">
        <v>0.51681500000000002</v>
      </c>
      <c r="AA218">
        <v>0.54311200000000004</v>
      </c>
      <c r="AB218">
        <v>0.57040999999999997</v>
      </c>
      <c r="AC218">
        <v>0.59631400000000001</v>
      </c>
      <c r="AD218">
        <v>0.62661</v>
      </c>
      <c r="AE218">
        <v>0.65660499999999999</v>
      </c>
      <c r="AF218">
        <v>0.67727599999999999</v>
      </c>
      <c r="AG218">
        <v>0.70638999999999996</v>
      </c>
      <c r="AH218">
        <v>0.745556</v>
      </c>
      <c r="AI218">
        <v>0.78089799999999998</v>
      </c>
      <c r="AJ218" s="32">
        <v>0.06</v>
      </c>
    </row>
    <row r="219" spans="1:36" ht="12.9" x14ac:dyDescent="0.15">
      <c r="A219" t="s">
        <v>414</v>
      </c>
      <c r="B219" t="s">
        <v>608</v>
      </c>
      <c r="C219" t="s">
        <v>864</v>
      </c>
      <c r="D219" t="s">
        <v>164</v>
      </c>
      <c r="E219">
        <v>0.39564199999999999</v>
      </c>
      <c r="F219">
        <v>0.43498399999999998</v>
      </c>
      <c r="G219">
        <v>0.51820900000000003</v>
      </c>
      <c r="H219">
        <v>0.56697600000000004</v>
      </c>
      <c r="I219">
        <v>0.60075699999999999</v>
      </c>
      <c r="J219">
        <v>0.62365400000000004</v>
      </c>
      <c r="K219">
        <v>0.62362399999999996</v>
      </c>
      <c r="L219">
        <v>0.598055</v>
      </c>
      <c r="M219">
        <v>0.586395</v>
      </c>
      <c r="N219">
        <v>0.585642</v>
      </c>
      <c r="O219">
        <v>0.58718000000000004</v>
      </c>
      <c r="P219">
        <v>0.59699899999999995</v>
      </c>
      <c r="Q219">
        <v>0.61636500000000005</v>
      </c>
      <c r="R219">
        <v>0.63479699999999994</v>
      </c>
      <c r="S219">
        <v>0.65218399999999999</v>
      </c>
      <c r="T219">
        <v>0.67355500000000001</v>
      </c>
      <c r="U219">
        <v>0.69614200000000004</v>
      </c>
      <c r="V219">
        <v>0.70925899999999997</v>
      </c>
      <c r="W219">
        <v>0.723858</v>
      </c>
      <c r="X219">
        <v>0.75157499999999999</v>
      </c>
      <c r="Y219">
        <v>0.78487300000000004</v>
      </c>
      <c r="Z219">
        <v>0.81084999999999996</v>
      </c>
      <c r="AA219">
        <v>0.83000200000000002</v>
      </c>
      <c r="AB219">
        <v>0.85108600000000001</v>
      </c>
      <c r="AC219">
        <v>0.86995900000000004</v>
      </c>
      <c r="AD219">
        <v>0.89408600000000005</v>
      </c>
      <c r="AE219">
        <v>0.91631799999999997</v>
      </c>
      <c r="AF219">
        <v>0.92753300000000005</v>
      </c>
      <c r="AG219">
        <v>0.95025000000000004</v>
      </c>
      <c r="AH219">
        <v>0.98614900000000005</v>
      </c>
      <c r="AI219">
        <v>1.0167109999999999</v>
      </c>
      <c r="AJ219" s="32">
        <v>3.2000000000000001E-2</v>
      </c>
    </row>
    <row r="220" spans="1:36" ht="12.9" x14ac:dyDescent="0.15">
      <c r="A220" t="s">
        <v>416</v>
      </c>
      <c r="B220" t="s">
        <v>609</v>
      </c>
      <c r="C220" t="s">
        <v>865</v>
      </c>
      <c r="D220" t="s">
        <v>164</v>
      </c>
      <c r="E220">
        <v>4.1055859999999997</v>
      </c>
      <c r="F220">
        <v>4.569261</v>
      </c>
      <c r="G220">
        <v>5.4856290000000003</v>
      </c>
      <c r="H220">
        <v>6.0439889999999998</v>
      </c>
      <c r="I220">
        <v>6.4301469999999998</v>
      </c>
      <c r="J220">
        <v>6.7173470000000002</v>
      </c>
      <c r="K220">
        <v>6.8170840000000004</v>
      </c>
      <c r="L220">
        <v>6.6461800000000002</v>
      </c>
      <c r="M220">
        <v>6.6288530000000003</v>
      </c>
      <c r="N220">
        <v>6.7641489999999997</v>
      </c>
      <c r="O220">
        <v>6.9495969999999998</v>
      </c>
      <c r="P220">
        <v>7.268141</v>
      </c>
      <c r="Q220">
        <v>7.7177720000000001</v>
      </c>
      <c r="R220">
        <v>8.1739460000000008</v>
      </c>
      <c r="S220">
        <v>8.6421480000000006</v>
      </c>
      <c r="T220">
        <v>9.1900469999999999</v>
      </c>
      <c r="U220">
        <v>9.7648379999999992</v>
      </c>
      <c r="V220">
        <v>10.226213</v>
      </c>
      <c r="W220">
        <v>10.725541</v>
      </c>
      <c r="X220">
        <v>11.441903</v>
      </c>
      <c r="Y220">
        <v>12.273846000000001</v>
      </c>
      <c r="Z220">
        <v>13.021554999999999</v>
      </c>
      <c r="AA220">
        <v>13.684125999999999</v>
      </c>
      <c r="AB220">
        <v>14.371921</v>
      </c>
      <c r="AC220">
        <v>15.02459</v>
      </c>
      <c r="AD220">
        <v>15.787907000000001</v>
      </c>
      <c r="AE220">
        <v>16.543661</v>
      </c>
      <c r="AF220">
        <v>17.064501</v>
      </c>
      <c r="AG220">
        <v>17.798033</v>
      </c>
      <c r="AH220">
        <v>18.784842000000001</v>
      </c>
      <c r="AI220">
        <v>19.675329000000001</v>
      </c>
      <c r="AJ220" s="32">
        <v>5.3999999999999999E-2</v>
      </c>
    </row>
    <row r="221" spans="1:36" ht="12.9" x14ac:dyDescent="0.15">
      <c r="A221" t="s">
        <v>288</v>
      </c>
      <c r="B221" t="s">
        <v>610</v>
      </c>
      <c r="C221" t="s">
        <v>866</v>
      </c>
      <c r="D221" t="s">
        <v>164</v>
      </c>
      <c r="E221">
        <v>0.175927</v>
      </c>
      <c r="F221">
        <v>0.19970599999999999</v>
      </c>
      <c r="G221">
        <v>0.24444199999999999</v>
      </c>
      <c r="H221">
        <v>0.27639599999999998</v>
      </c>
      <c r="I221">
        <v>0.30164999999999997</v>
      </c>
      <c r="J221">
        <v>0.322542</v>
      </c>
      <c r="K221">
        <v>0.332202</v>
      </c>
      <c r="L221">
        <v>0.32813900000000001</v>
      </c>
      <c r="M221">
        <v>0.33139400000000002</v>
      </c>
      <c r="N221">
        <v>0.34089700000000001</v>
      </c>
      <c r="O221">
        <v>0.35204600000000003</v>
      </c>
      <c r="P221">
        <v>0.36818299999999998</v>
      </c>
      <c r="Q221">
        <v>0.39095999999999997</v>
      </c>
      <c r="R221">
        <v>0.41406799999999999</v>
      </c>
      <c r="S221">
        <v>0.43778600000000001</v>
      </c>
      <c r="T221">
        <v>0.46554099999999998</v>
      </c>
      <c r="U221">
        <v>0.49465799999999999</v>
      </c>
      <c r="V221">
        <v>0.51802999999999999</v>
      </c>
      <c r="W221">
        <v>0.54332400000000003</v>
      </c>
      <c r="X221">
        <v>0.57961300000000004</v>
      </c>
      <c r="Y221">
        <v>0.621757</v>
      </c>
      <c r="Z221">
        <v>0.65963400000000005</v>
      </c>
      <c r="AA221">
        <v>0.69319699999999995</v>
      </c>
      <c r="AB221">
        <v>0.72803899999999999</v>
      </c>
      <c r="AC221">
        <v>0.76110100000000003</v>
      </c>
      <c r="AD221">
        <v>0.79976899999999995</v>
      </c>
      <c r="AE221">
        <v>0.83805300000000005</v>
      </c>
      <c r="AF221">
        <v>0.86443700000000001</v>
      </c>
      <c r="AG221">
        <v>0.90159599999999995</v>
      </c>
      <c r="AH221">
        <v>0.95158500000000001</v>
      </c>
      <c r="AI221">
        <v>0.99669399999999997</v>
      </c>
      <c r="AJ221" s="32">
        <v>0.06</v>
      </c>
    </row>
    <row r="222" spans="1:36" ht="12.9" x14ac:dyDescent="0.15">
      <c r="A222" t="s">
        <v>419</v>
      </c>
      <c r="B222" t="s">
        <v>611</v>
      </c>
      <c r="C222" t="s">
        <v>867</v>
      </c>
      <c r="D222" t="s">
        <v>164</v>
      </c>
      <c r="E222">
        <v>0.18624099999999999</v>
      </c>
      <c r="F222">
        <v>0.213477</v>
      </c>
      <c r="G222">
        <v>0.26372400000000001</v>
      </c>
      <c r="H222">
        <v>0.29872599999999999</v>
      </c>
      <c r="I222">
        <v>0.32602100000000001</v>
      </c>
      <c r="J222">
        <v>0.34860000000000002</v>
      </c>
      <c r="K222">
        <v>0.35904000000000003</v>
      </c>
      <c r="L222">
        <v>0.35464899999999999</v>
      </c>
      <c r="M222">
        <v>0.35816700000000001</v>
      </c>
      <c r="N222">
        <v>0.36843799999999999</v>
      </c>
      <c r="O222">
        <v>0.38048799999999999</v>
      </c>
      <c r="P222">
        <v>0.397928</v>
      </c>
      <c r="Q222">
        <v>0.422545</v>
      </c>
      <c r="R222">
        <v>0.44751999999999997</v>
      </c>
      <c r="S222">
        <v>0.47315400000000002</v>
      </c>
      <c r="T222">
        <v>0.50315200000000004</v>
      </c>
      <c r="U222">
        <v>0.53462100000000001</v>
      </c>
      <c r="V222">
        <v>0.55988099999999996</v>
      </c>
      <c r="W222">
        <v>0.58721900000000005</v>
      </c>
      <c r="X222">
        <v>0.62644</v>
      </c>
      <c r="Y222">
        <v>0.67198800000000003</v>
      </c>
      <c r="Z222">
        <v>0.71292500000000003</v>
      </c>
      <c r="AA222">
        <v>0.74920100000000001</v>
      </c>
      <c r="AB222">
        <v>0.78685700000000003</v>
      </c>
      <c r="AC222">
        <v>0.82259000000000004</v>
      </c>
      <c r="AD222">
        <v>0.86438199999999998</v>
      </c>
      <c r="AE222">
        <v>0.90575899999999998</v>
      </c>
      <c r="AF222">
        <v>0.93427499999999997</v>
      </c>
      <c r="AG222">
        <v>0.97443500000000005</v>
      </c>
      <c r="AH222">
        <v>1.0284629999999999</v>
      </c>
      <c r="AI222">
        <v>1.0772170000000001</v>
      </c>
      <c r="AJ222" s="32">
        <v>0.06</v>
      </c>
    </row>
    <row r="223" spans="1:36" ht="12.9" x14ac:dyDescent="0.15">
      <c r="A223" t="s">
        <v>421</v>
      </c>
      <c r="B223" t="s">
        <v>612</v>
      </c>
      <c r="C223" t="s">
        <v>868</v>
      </c>
      <c r="D223" t="s">
        <v>164</v>
      </c>
      <c r="E223">
        <v>0.174905</v>
      </c>
      <c r="F223">
        <v>0.200484</v>
      </c>
      <c r="G223">
        <v>0.247671</v>
      </c>
      <c r="H223">
        <v>0.28054299999999999</v>
      </c>
      <c r="I223">
        <v>0.306176</v>
      </c>
      <c r="J223">
        <v>0.32738099999999998</v>
      </c>
      <c r="K223">
        <v>0.33718700000000001</v>
      </c>
      <c r="L223">
        <v>0.333063</v>
      </c>
      <c r="M223">
        <v>0.336366</v>
      </c>
      <c r="N223">
        <v>0.34601199999999999</v>
      </c>
      <c r="O223">
        <v>0.35732799999999998</v>
      </c>
      <c r="P223">
        <v>0.37370700000000001</v>
      </c>
      <c r="Q223">
        <v>0.39682600000000001</v>
      </c>
      <c r="R223">
        <v>0.42028100000000002</v>
      </c>
      <c r="S223">
        <v>0.444355</v>
      </c>
      <c r="T223">
        <v>0.472526</v>
      </c>
      <c r="U223">
        <v>0.50207999999999997</v>
      </c>
      <c r="V223">
        <v>0.52580300000000002</v>
      </c>
      <c r="W223">
        <v>0.55147699999999999</v>
      </c>
      <c r="X223">
        <v>0.58831</v>
      </c>
      <c r="Y223">
        <v>0.63108600000000004</v>
      </c>
      <c r="Z223">
        <v>0.66953099999999999</v>
      </c>
      <c r="AA223">
        <v>0.70359899999999997</v>
      </c>
      <c r="AB223">
        <v>0.73896300000000004</v>
      </c>
      <c r="AC223">
        <v>0.77252200000000004</v>
      </c>
      <c r="AD223">
        <v>0.81176899999999996</v>
      </c>
      <c r="AE223">
        <v>0.85062800000000005</v>
      </c>
      <c r="AF223">
        <v>0.87740799999999997</v>
      </c>
      <c r="AG223">
        <v>0.91512400000000005</v>
      </c>
      <c r="AH223">
        <v>0.96586300000000003</v>
      </c>
      <c r="AI223">
        <v>1.011649</v>
      </c>
      <c r="AJ223" s="32">
        <v>0.06</v>
      </c>
    </row>
    <row r="224" spans="1:36" ht="12.9" x14ac:dyDescent="0.15">
      <c r="A224" t="s">
        <v>300</v>
      </c>
      <c r="B224" t="s">
        <v>613</v>
      </c>
      <c r="C224" t="s">
        <v>869</v>
      </c>
      <c r="D224" t="s">
        <v>164</v>
      </c>
      <c r="E224">
        <v>0.28611700000000001</v>
      </c>
      <c r="F224">
        <v>0.32795999999999997</v>
      </c>
      <c r="G224">
        <v>0.40515200000000001</v>
      </c>
      <c r="H224">
        <v>0.458926</v>
      </c>
      <c r="I224">
        <v>0.500857</v>
      </c>
      <c r="J224">
        <v>0.53554500000000005</v>
      </c>
      <c r="K224">
        <v>0.55158499999999999</v>
      </c>
      <c r="L224">
        <v>0.54483899999999996</v>
      </c>
      <c r="M224">
        <v>0.55024300000000004</v>
      </c>
      <c r="N224">
        <v>0.56602200000000003</v>
      </c>
      <c r="O224">
        <v>0.584534</v>
      </c>
      <c r="P224">
        <v>0.61132699999999995</v>
      </c>
      <c r="Q224">
        <v>0.649146</v>
      </c>
      <c r="R224">
        <v>0.68751499999999999</v>
      </c>
      <c r="S224">
        <v>0.72689499999999996</v>
      </c>
      <c r="T224">
        <v>0.77298</v>
      </c>
      <c r="U224">
        <v>0.821326</v>
      </c>
      <c r="V224">
        <v>0.86013200000000001</v>
      </c>
      <c r="W224">
        <v>0.90213100000000002</v>
      </c>
      <c r="X224">
        <v>0.96238400000000002</v>
      </c>
      <c r="Y224">
        <v>1.032359</v>
      </c>
      <c r="Z224">
        <v>1.0952500000000001</v>
      </c>
      <c r="AA224">
        <v>1.150979</v>
      </c>
      <c r="AB224">
        <v>1.2088300000000001</v>
      </c>
      <c r="AC224">
        <v>1.2637259999999999</v>
      </c>
      <c r="AD224">
        <v>1.3279289999999999</v>
      </c>
      <c r="AE224">
        <v>1.3914960000000001</v>
      </c>
      <c r="AF224">
        <v>1.4353039999999999</v>
      </c>
      <c r="AG224">
        <v>1.4970019999999999</v>
      </c>
      <c r="AH224">
        <v>1.580003</v>
      </c>
      <c r="AI224">
        <v>1.6549020000000001</v>
      </c>
      <c r="AJ224" s="32">
        <v>0.06</v>
      </c>
    </row>
    <row r="225" spans="1:36" ht="12.9" x14ac:dyDescent="0.15">
      <c r="A225" t="s">
        <v>436</v>
      </c>
      <c r="B225" t="s">
        <v>614</v>
      </c>
      <c r="C225" t="s">
        <v>870</v>
      </c>
      <c r="D225" t="s">
        <v>164</v>
      </c>
      <c r="E225">
        <v>143.05848700000001</v>
      </c>
      <c r="F225">
        <v>159.204025</v>
      </c>
      <c r="G225">
        <v>190.94740300000001</v>
      </c>
      <c r="H225">
        <v>209.99099699999999</v>
      </c>
      <c r="I225">
        <v>222.50271599999999</v>
      </c>
      <c r="J225">
        <v>230.983047</v>
      </c>
      <c r="K225">
        <v>230.97200000000001</v>
      </c>
      <c r="L225">
        <v>221.50202899999999</v>
      </c>
      <c r="M225">
        <v>217.18345600000001</v>
      </c>
      <c r="N225">
        <v>216.90455600000001</v>
      </c>
      <c r="O225">
        <v>217.47422800000001</v>
      </c>
      <c r="P225">
        <v>220.81791699999999</v>
      </c>
      <c r="Q225">
        <v>227.648956</v>
      </c>
      <c r="R225">
        <v>234.08216899999999</v>
      </c>
      <c r="S225">
        <v>240.281891</v>
      </c>
      <c r="T225">
        <v>248.073227</v>
      </c>
      <c r="U225">
        <v>255.91156000000001</v>
      </c>
      <c r="V225">
        <v>260.19714399999998</v>
      </c>
      <c r="W225">
        <v>264.95352200000002</v>
      </c>
      <c r="X225">
        <v>274.41735799999998</v>
      </c>
      <c r="Y225">
        <v>285.79632600000002</v>
      </c>
      <c r="Z225">
        <v>294.37548800000002</v>
      </c>
      <c r="AA225">
        <v>300.34381100000002</v>
      </c>
      <c r="AB225">
        <v>306.25216699999999</v>
      </c>
      <c r="AC225">
        <v>310.8349</v>
      </c>
      <c r="AD225">
        <v>317.11334199999999</v>
      </c>
      <c r="AE225">
        <v>322.614868</v>
      </c>
      <c r="AF225">
        <v>323.07925399999999</v>
      </c>
      <c r="AG225">
        <v>327.15252700000002</v>
      </c>
      <c r="AH225">
        <v>335.23449699999998</v>
      </c>
      <c r="AI225">
        <v>340.89920000000001</v>
      </c>
      <c r="AJ225" s="32">
        <v>2.9000000000000001E-2</v>
      </c>
    </row>
    <row r="226" spans="1:36" ht="12.9" x14ac:dyDescent="0.15">
      <c r="A226" t="s">
        <v>438</v>
      </c>
      <c r="C226" t="s">
        <v>871</v>
      </c>
    </row>
    <row r="227" spans="1:36" ht="12.9" x14ac:dyDescent="0.15">
      <c r="A227" t="s">
        <v>408</v>
      </c>
      <c r="B227" t="s">
        <v>615</v>
      </c>
      <c r="C227" t="s">
        <v>872</v>
      </c>
      <c r="D227" t="s">
        <v>164</v>
      </c>
      <c r="E227">
        <v>210.45161400000001</v>
      </c>
      <c r="F227">
        <v>229.13398699999999</v>
      </c>
      <c r="G227">
        <v>268.86129799999998</v>
      </c>
      <c r="H227">
        <v>289.24981700000001</v>
      </c>
      <c r="I227">
        <v>299.80813599999999</v>
      </c>
      <c r="J227">
        <v>304.39239500000002</v>
      </c>
      <c r="K227">
        <v>297.63583399999999</v>
      </c>
      <c r="L227">
        <v>279.10485799999998</v>
      </c>
      <c r="M227">
        <v>267.56732199999999</v>
      </c>
      <c r="N227">
        <v>261.26058999999998</v>
      </c>
      <c r="O227">
        <v>256.08114599999999</v>
      </c>
      <c r="P227">
        <v>254.177032</v>
      </c>
      <c r="Q227">
        <v>256.10006700000002</v>
      </c>
      <c r="R227">
        <v>257.35122699999999</v>
      </c>
      <c r="S227">
        <v>258.14550800000001</v>
      </c>
      <c r="T227">
        <v>260.40475500000002</v>
      </c>
      <c r="U227">
        <v>262.48623700000002</v>
      </c>
      <c r="V227">
        <v>260.76153599999998</v>
      </c>
      <c r="W227">
        <v>259.45611600000001</v>
      </c>
      <c r="X227">
        <v>262.55038500000001</v>
      </c>
      <c r="Y227">
        <v>267.080017</v>
      </c>
      <c r="Z227">
        <v>268.668701</v>
      </c>
      <c r="AA227">
        <v>267.65408300000001</v>
      </c>
      <c r="AB227">
        <v>266.44201700000002</v>
      </c>
      <c r="AC227">
        <v>263.96170000000001</v>
      </c>
      <c r="AD227">
        <v>262.74771099999998</v>
      </c>
      <c r="AE227">
        <v>260.76174900000001</v>
      </c>
      <c r="AF227">
        <v>254.69016999999999</v>
      </c>
      <c r="AG227">
        <v>251.534637</v>
      </c>
      <c r="AH227">
        <v>251.28286700000001</v>
      </c>
      <c r="AI227">
        <v>249.08354199999999</v>
      </c>
      <c r="AJ227" s="32">
        <v>6.0000000000000001E-3</v>
      </c>
    </row>
    <row r="228" spans="1:36" ht="12.9" x14ac:dyDescent="0.15">
      <c r="A228" t="s">
        <v>410</v>
      </c>
      <c r="B228" t="s">
        <v>616</v>
      </c>
      <c r="C228" t="s">
        <v>873</v>
      </c>
      <c r="D228" t="s">
        <v>164</v>
      </c>
      <c r="E228">
        <v>0.425543</v>
      </c>
      <c r="F228">
        <v>0.46269300000000002</v>
      </c>
      <c r="G228">
        <v>0.54225900000000005</v>
      </c>
      <c r="H228">
        <v>0.582758</v>
      </c>
      <c r="I228">
        <v>0.60347099999999998</v>
      </c>
      <c r="J228">
        <v>0.61230899999999999</v>
      </c>
      <c r="K228">
        <v>0.59848400000000002</v>
      </c>
      <c r="L228">
        <v>0.561052</v>
      </c>
      <c r="M228">
        <v>0.53778999999999999</v>
      </c>
      <c r="N228">
        <v>0.52509799999999995</v>
      </c>
      <c r="O228">
        <v>0.51473899999999995</v>
      </c>
      <c r="P228">
        <v>0.51102300000000001</v>
      </c>
      <c r="Q228">
        <v>0.51512999999999998</v>
      </c>
      <c r="R228">
        <v>0.51793999999999996</v>
      </c>
      <c r="S228">
        <v>0.51988100000000004</v>
      </c>
      <c r="T228">
        <v>0.52486200000000005</v>
      </c>
      <c r="U228">
        <v>0.529474</v>
      </c>
      <c r="V228">
        <v>0.52644299999999999</v>
      </c>
      <c r="W228">
        <v>0.52422199999999997</v>
      </c>
      <c r="X228">
        <v>0.53095099999999995</v>
      </c>
      <c r="Y228">
        <v>0.54074699999999998</v>
      </c>
      <c r="Z228">
        <v>0.54466499999999995</v>
      </c>
      <c r="AA228">
        <v>0.54341200000000001</v>
      </c>
      <c r="AB228">
        <v>0.54183099999999995</v>
      </c>
      <c r="AC228">
        <v>0.537744</v>
      </c>
      <c r="AD228">
        <v>0.53642299999999998</v>
      </c>
      <c r="AE228">
        <v>0.53358899999999998</v>
      </c>
      <c r="AF228">
        <v>0.52244599999999997</v>
      </c>
      <c r="AG228">
        <v>0.51721499999999998</v>
      </c>
      <c r="AH228">
        <v>0.518123</v>
      </c>
      <c r="AI228">
        <v>0.51504700000000003</v>
      </c>
      <c r="AJ228" s="32">
        <v>6.0000000000000001E-3</v>
      </c>
    </row>
    <row r="229" spans="1:36" ht="12.9" x14ac:dyDescent="0.15">
      <c r="A229" t="s">
        <v>412</v>
      </c>
      <c r="B229" t="s">
        <v>617</v>
      </c>
      <c r="C229" t="s">
        <v>874</v>
      </c>
      <c r="D229" t="s">
        <v>164</v>
      </c>
      <c r="E229">
        <v>0.24471699999999999</v>
      </c>
      <c r="F229">
        <v>0.26134800000000002</v>
      </c>
      <c r="G229">
        <v>0.30102400000000001</v>
      </c>
      <c r="H229">
        <v>0.31814399999999998</v>
      </c>
      <c r="I229">
        <v>0.32419999999999999</v>
      </c>
      <c r="J229">
        <v>0.32391999999999999</v>
      </c>
      <c r="K229">
        <v>0.31198100000000001</v>
      </c>
      <c r="L229">
        <v>0.28839900000000002</v>
      </c>
      <c r="M229">
        <v>0.27279399999999998</v>
      </c>
      <c r="N229">
        <v>0.26317000000000002</v>
      </c>
      <c r="O229">
        <v>0.25515300000000002</v>
      </c>
      <c r="P229">
        <v>0.250971</v>
      </c>
      <c r="Q229">
        <v>0.25085800000000003</v>
      </c>
      <c r="R229">
        <v>0.25073000000000001</v>
      </c>
      <c r="S229">
        <v>0.25039499999999998</v>
      </c>
      <c r="T229">
        <v>0.25173600000000002</v>
      </c>
      <c r="U229">
        <v>0.253714</v>
      </c>
      <c r="V229">
        <v>0.25225700000000001</v>
      </c>
      <c r="W229">
        <v>0.25173299999999998</v>
      </c>
      <c r="X229">
        <v>0.25608700000000001</v>
      </c>
      <c r="Y229">
        <v>0.26236100000000001</v>
      </c>
      <c r="Z229">
        <v>0.26605899999999999</v>
      </c>
      <c r="AA229">
        <v>0.26777899999999999</v>
      </c>
      <c r="AB229">
        <v>0.26987100000000003</v>
      </c>
      <c r="AC229">
        <v>0.27092300000000002</v>
      </c>
      <c r="AD229">
        <v>0.27361799999999997</v>
      </c>
      <c r="AE229">
        <v>0.27672799999999997</v>
      </c>
      <c r="AF229">
        <v>0.27564899999999998</v>
      </c>
      <c r="AG229">
        <v>0.27765899999999999</v>
      </c>
      <c r="AH229">
        <v>0.28270699999999999</v>
      </c>
      <c r="AI229">
        <v>0.28621799999999997</v>
      </c>
      <c r="AJ229" s="32">
        <v>5.0000000000000001E-3</v>
      </c>
    </row>
    <row r="230" spans="1:36" ht="12.9" x14ac:dyDescent="0.15">
      <c r="A230" t="s">
        <v>414</v>
      </c>
      <c r="B230" t="s">
        <v>618</v>
      </c>
      <c r="C230" t="s">
        <v>875</v>
      </c>
      <c r="D230" t="s">
        <v>164</v>
      </c>
      <c r="E230">
        <v>3.620339</v>
      </c>
      <c r="F230">
        <v>3.611478</v>
      </c>
      <c r="G230">
        <v>3.8892959999999999</v>
      </c>
      <c r="H230">
        <v>3.849523</v>
      </c>
      <c r="I230">
        <v>3.6848879999999999</v>
      </c>
      <c r="J230">
        <v>3.519774</v>
      </c>
      <c r="K230">
        <v>3.297739</v>
      </c>
      <c r="L230">
        <v>2.9815299999999998</v>
      </c>
      <c r="M230">
        <v>2.7973970000000001</v>
      </c>
      <c r="N230">
        <v>2.696831</v>
      </c>
      <c r="O230">
        <v>2.6420219999999999</v>
      </c>
      <c r="P230">
        <v>2.650506</v>
      </c>
      <c r="Q230">
        <v>2.7620290000000001</v>
      </c>
      <c r="R230">
        <v>2.8914659999999999</v>
      </c>
      <c r="S230">
        <v>3.0398640000000001</v>
      </c>
      <c r="T230">
        <v>3.2485529999999998</v>
      </c>
      <c r="U230">
        <v>3.4472939999999999</v>
      </c>
      <c r="V230">
        <v>3.6122019999999999</v>
      </c>
      <c r="W230">
        <v>3.763274</v>
      </c>
      <c r="X230">
        <v>4.0063339999999998</v>
      </c>
      <c r="Y230">
        <v>4.3510309999999999</v>
      </c>
      <c r="Z230">
        <v>4.6834049999999996</v>
      </c>
      <c r="AA230">
        <v>5.0219889999999996</v>
      </c>
      <c r="AB230">
        <v>5.3913390000000003</v>
      </c>
      <c r="AC230">
        <v>5.7710540000000004</v>
      </c>
      <c r="AD230">
        <v>6.2704420000000001</v>
      </c>
      <c r="AE230">
        <v>6.7809799999999996</v>
      </c>
      <c r="AF230">
        <v>7.2109909999999999</v>
      </c>
      <c r="AG230">
        <v>7.6881000000000004</v>
      </c>
      <c r="AH230">
        <v>8.3378300000000003</v>
      </c>
      <c r="AI230">
        <v>8.9364159999999995</v>
      </c>
      <c r="AJ230" s="32">
        <v>3.1E-2</v>
      </c>
    </row>
    <row r="231" spans="1:36" ht="12.9" x14ac:dyDescent="0.15">
      <c r="A231" t="s">
        <v>416</v>
      </c>
      <c r="B231" t="s">
        <v>619</v>
      </c>
      <c r="C231" t="s">
        <v>876</v>
      </c>
      <c r="D231" t="s">
        <v>164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23</v>
      </c>
    </row>
    <row r="232" spans="1:36" ht="12.9" x14ac:dyDescent="0.15">
      <c r="A232" t="s">
        <v>288</v>
      </c>
      <c r="B232" t="s">
        <v>620</v>
      </c>
      <c r="C232" t="s">
        <v>877</v>
      </c>
      <c r="D232" t="s">
        <v>164</v>
      </c>
      <c r="E232">
        <v>0.104999</v>
      </c>
      <c r="F232">
        <v>0.11666700000000001</v>
      </c>
      <c r="G232">
        <v>0.13938600000000001</v>
      </c>
      <c r="H232">
        <v>0.15401300000000001</v>
      </c>
      <c r="I232">
        <v>0.164271</v>
      </c>
      <c r="J232">
        <v>0.171677</v>
      </c>
      <c r="K232">
        <v>0.17283499999999999</v>
      </c>
      <c r="L232">
        <v>0.16688600000000001</v>
      </c>
      <c r="M232">
        <v>0.164766</v>
      </c>
      <c r="N232">
        <v>0.16570299999999999</v>
      </c>
      <c r="O232">
        <v>0.16730700000000001</v>
      </c>
      <c r="P232">
        <v>0.17108300000000001</v>
      </c>
      <c r="Q232">
        <v>0.17763200000000001</v>
      </c>
      <c r="R232">
        <v>0.18395900000000001</v>
      </c>
      <c r="S232">
        <v>0.19018699999999999</v>
      </c>
      <c r="T232">
        <v>0.19777</v>
      </c>
      <c r="U232">
        <v>0.20549300000000001</v>
      </c>
      <c r="V232">
        <v>0.21044599999999999</v>
      </c>
      <c r="W232">
        <v>0.21584500000000001</v>
      </c>
      <c r="X232">
        <v>0.22517400000000001</v>
      </c>
      <c r="Y232">
        <v>0.236208</v>
      </c>
      <c r="Z232">
        <v>0.245057</v>
      </c>
      <c r="AA232">
        <v>0.251828</v>
      </c>
      <c r="AB232">
        <v>0.25862800000000002</v>
      </c>
      <c r="AC232">
        <v>0.264378</v>
      </c>
      <c r="AD232">
        <v>0.27163999999999999</v>
      </c>
      <c r="AE232">
        <v>0.27831099999999998</v>
      </c>
      <c r="AF232">
        <v>0.28067500000000001</v>
      </c>
      <c r="AG232">
        <v>0.28620000000000001</v>
      </c>
      <c r="AH232">
        <v>0.29530400000000001</v>
      </c>
      <c r="AI232">
        <v>0.30235699999999999</v>
      </c>
      <c r="AJ232" s="32">
        <v>3.5999999999999997E-2</v>
      </c>
    </row>
    <row r="233" spans="1:36" ht="12.9" x14ac:dyDescent="0.15">
      <c r="A233" t="s">
        <v>419</v>
      </c>
      <c r="B233" t="s">
        <v>621</v>
      </c>
      <c r="C233" t="s">
        <v>878</v>
      </c>
      <c r="D233" t="s">
        <v>164</v>
      </c>
      <c r="E233">
        <v>0.15276799999999999</v>
      </c>
      <c r="F233">
        <v>0.17108799999999999</v>
      </c>
      <c r="G233">
        <v>0.20652400000000001</v>
      </c>
      <c r="H233">
        <v>0.228607</v>
      </c>
      <c r="I233">
        <v>0.243834</v>
      </c>
      <c r="J233">
        <v>0.25482700000000003</v>
      </c>
      <c r="K233">
        <v>0.256546</v>
      </c>
      <c r="L233">
        <v>0.24771599999999999</v>
      </c>
      <c r="M233">
        <v>0.24456800000000001</v>
      </c>
      <c r="N233">
        <v>0.24596000000000001</v>
      </c>
      <c r="O233">
        <v>0.24834100000000001</v>
      </c>
      <c r="P233">
        <v>0.25394499999999998</v>
      </c>
      <c r="Q233">
        <v>0.26366499999999998</v>
      </c>
      <c r="R233">
        <v>0.27305699999999999</v>
      </c>
      <c r="S233">
        <v>0.282302</v>
      </c>
      <c r="T233">
        <v>0.29355700000000001</v>
      </c>
      <c r="U233">
        <v>0.30502099999999999</v>
      </c>
      <c r="V233">
        <v>0.31237300000000001</v>
      </c>
      <c r="W233">
        <v>0.32038699999999998</v>
      </c>
      <c r="X233">
        <v>0.33423399999999998</v>
      </c>
      <c r="Y233">
        <v>0.35061300000000001</v>
      </c>
      <c r="Z233">
        <v>0.36374800000000002</v>
      </c>
      <c r="AA233">
        <v>0.37379800000000002</v>
      </c>
      <c r="AB233">
        <v>0.38389200000000001</v>
      </c>
      <c r="AC233">
        <v>0.392426</v>
      </c>
      <c r="AD233">
        <v>0.40320600000000001</v>
      </c>
      <c r="AE233">
        <v>0.41310799999999998</v>
      </c>
      <c r="AF233">
        <v>0.41661599999999999</v>
      </c>
      <c r="AG233">
        <v>0.424817</v>
      </c>
      <c r="AH233">
        <v>0.43833</v>
      </c>
      <c r="AI233">
        <v>0.448799</v>
      </c>
      <c r="AJ233" s="32">
        <v>3.6999999999999998E-2</v>
      </c>
    </row>
    <row r="234" spans="1:36" ht="12.9" x14ac:dyDescent="0.15">
      <c r="A234" t="s">
        <v>421</v>
      </c>
      <c r="B234" t="s">
        <v>622</v>
      </c>
      <c r="C234" t="s">
        <v>879</v>
      </c>
      <c r="D234" t="s">
        <v>164</v>
      </c>
      <c r="E234">
        <v>0.168402</v>
      </c>
      <c r="F234">
        <v>0.18859699999999999</v>
      </c>
      <c r="G234">
        <v>0.227659</v>
      </c>
      <c r="H234">
        <v>0.252002</v>
      </c>
      <c r="I234">
        <v>0.26878800000000003</v>
      </c>
      <c r="J234">
        <v>0.28090599999999999</v>
      </c>
      <c r="K234">
        <v>0.2828</v>
      </c>
      <c r="L234">
        <v>0.27306599999999998</v>
      </c>
      <c r="M234">
        <v>0.26959699999999998</v>
      </c>
      <c r="N234">
        <v>0.27113100000000001</v>
      </c>
      <c r="O234">
        <v>0.273756</v>
      </c>
      <c r="P234">
        <v>0.27993299999999999</v>
      </c>
      <c r="Q234">
        <v>0.29064899999999999</v>
      </c>
      <c r="R234">
        <v>0.30100100000000002</v>
      </c>
      <c r="S234">
        <v>0.311193</v>
      </c>
      <c r="T234">
        <v>0.32359900000000003</v>
      </c>
      <c r="U234">
        <v>0.33623599999999998</v>
      </c>
      <c r="V234">
        <v>0.34434100000000001</v>
      </c>
      <c r="W234">
        <v>0.35317500000000002</v>
      </c>
      <c r="X234">
        <v>0.36843900000000002</v>
      </c>
      <c r="Y234">
        <v>0.386494</v>
      </c>
      <c r="Z234">
        <v>0.40097300000000002</v>
      </c>
      <c r="AA234">
        <v>0.412053</v>
      </c>
      <c r="AB234">
        <v>0.42317900000000003</v>
      </c>
      <c r="AC234">
        <v>0.432587</v>
      </c>
      <c r="AD234">
        <v>0.444469</v>
      </c>
      <c r="AE234">
        <v>0.45538499999999998</v>
      </c>
      <c r="AF234">
        <v>0.45925199999999999</v>
      </c>
      <c r="AG234">
        <v>0.46829300000000001</v>
      </c>
      <c r="AH234">
        <v>0.48318899999999998</v>
      </c>
      <c r="AI234">
        <v>0.49472899999999997</v>
      </c>
      <c r="AJ234" s="32">
        <v>3.6999999999999998E-2</v>
      </c>
    </row>
    <row r="235" spans="1:36" ht="12.9" x14ac:dyDescent="0.15">
      <c r="A235" t="s">
        <v>300</v>
      </c>
      <c r="B235" t="s">
        <v>623</v>
      </c>
      <c r="C235" t="s">
        <v>880</v>
      </c>
      <c r="D235" t="s">
        <v>164</v>
      </c>
      <c r="E235">
        <v>0.206702</v>
      </c>
      <c r="F235">
        <v>0.231489</v>
      </c>
      <c r="G235">
        <v>0.27943499999999999</v>
      </c>
      <c r="H235">
        <v>0.30931399999999998</v>
      </c>
      <c r="I235">
        <v>0.32991799999999999</v>
      </c>
      <c r="J235">
        <v>0.34479199999999999</v>
      </c>
      <c r="K235">
        <v>0.34711700000000001</v>
      </c>
      <c r="L235">
        <v>0.33516899999999999</v>
      </c>
      <c r="M235">
        <v>0.33091100000000001</v>
      </c>
      <c r="N235">
        <v>0.33279399999999998</v>
      </c>
      <c r="O235">
        <v>0.33601500000000001</v>
      </c>
      <c r="P235">
        <v>0.34359800000000001</v>
      </c>
      <c r="Q235">
        <v>0.35675000000000001</v>
      </c>
      <c r="R235">
        <v>0.36945699999999998</v>
      </c>
      <c r="S235">
        <v>0.381967</v>
      </c>
      <c r="T235">
        <v>0.39719500000000002</v>
      </c>
      <c r="U235">
        <v>0.41270499999999999</v>
      </c>
      <c r="V235">
        <v>0.422653</v>
      </c>
      <c r="W235">
        <v>0.43349599999999999</v>
      </c>
      <c r="X235">
        <v>0.45223200000000002</v>
      </c>
      <c r="Y235">
        <v>0.47439399999999998</v>
      </c>
      <c r="Z235">
        <v>0.49216599999999999</v>
      </c>
      <c r="AA235">
        <v>0.50576500000000002</v>
      </c>
      <c r="AB235">
        <v>0.51942100000000002</v>
      </c>
      <c r="AC235">
        <v>0.53096900000000002</v>
      </c>
      <c r="AD235">
        <v>0.54555399999999998</v>
      </c>
      <c r="AE235">
        <v>0.558952</v>
      </c>
      <c r="AF235">
        <v>0.56369800000000003</v>
      </c>
      <c r="AG235">
        <v>0.57479499999999994</v>
      </c>
      <c r="AH235">
        <v>0.59307900000000002</v>
      </c>
      <c r="AI235">
        <v>0.60724400000000001</v>
      </c>
      <c r="AJ235" s="32">
        <v>3.6999999999999998E-2</v>
      </c>
    </row>
    <row r="236" spans="1:36" ht="12.9" x14ac:dyDescent="0.15">
      <c r="A236" t="s">
        <v>448</v>
      </c>
      <c r="B236" t="s">
        <v>624</v>
      </c>
      <c r="C236" t="s">
        <v>881</v>
      </c>
      <c r="D236" t="s">
        <v>164</v>
      </c>
      <c r="E236">
        <v>215.37506099999999</v>
      </c>
      <c r="F236">
        <v>234.17735300000001</v>
      </c>
      <c r="G236">
        <v>274.44689899999997</v>
      </c>
      <c r="H236">
        <v>294.94412199999999</v>
      </c>
      <c r="I236">
        <v>305.42755099999999</v>
      </c>
      <c r="J236">
        <v>309.90060399999999</v>
      </c>
      <c r="K236">
        <v>302.90332000000001</v>
      </c>
      <c r="L236">
        <v>283.95864899999998</v>
      </c>
      <c r="M236">
        <v>272.18521099999998</v>
      </c>
      <c r="N236">
        <v>265.76129200000003</v>
      </c>
      <c r="O236">
        <v>260.518463</v>
      </c>
      <c r="P236">
        <v>258.63812300000001</v>
      </c>
      <c r="Q236">
        <v>260.716858</v>
      </c>
      <c r="R236">
        <v>262.13888500000002</v>
      </c>
      <c r="S236">
        <v>263.12133799999998</v>
      </c>
      <c r="T236">
        <v>265.64205900000002</v>
      </c>
      <c r="U236">
        <v>267.97619600000002</v>
      </c>
      <c r="V236">
        <v>266.44220000000001</v>
      </c>
      <c r="W236">
        <v>265.31829800000003</v>
      </c>
      <c r="X236">
        <v>268.72378500000002</v>
      </c>
      <c r="Y236">
        <v>273.68182400000001</v>
      </c>
      <c r="Z236">
        <v>275.66473400000001</v>
      </c>
      <c r="AA236">
        <v>275.03070100000002</v>
      </c>
      <c r="AB236">
        <v>274.23019399999998</v>
      </c>
      <c r="AC236">
        <v>272.161743</v>
      </c>
      <c r="AD236">
        <v>271.493042</v>
      </c>
      <c r="AE236">
        <v>270.05877700000002</v>
      </c>
      <c r="AF236">
        <v>264.41949499999998</v>
      </c>
      <c r="AG236">
        <v>261.77172899999999</v>
      </c>
      <c r="AH236">
        <v>262.23144500000001</v>
      </c>
      <c r="AI236">
        <v>260.67434700000001</v>
      </c>
      <c r="AJ236" s="32">
        <v>6.0000000000000001E-3</v>
      </c>
    </row>
    <row r="237" spans="1:36" ht="12.9" x14ac:dyDescent="0.15">
      <c r="A237" t="s">
        <v>276</v>
      </c>
      <c r="B237" t="s">
        <v>625</v>
      </c>
      <c r="C237" t="s">
        <v>882</v>
      </c>
      <c r="D237" t="s">
        <v>164</v>
      </c>
      <c r="E237">
        <v>566.38568099999998</v>
      </c>
      <c r="F237">
        <v>625.07305899999994</v>
      </c>
      <c r="G237">
        <v>715.903503</v>
      </c>
      <c r="H237">
        <v>765.72906499999999</v>
      </c>
      <c r="I237">
        <v>801.52783199999999</v>
      </c>
      <c r="J237">
        <v>825.61621100000002</v>
      </c>
      <c r="K237">
        <v>821.47271699999999</v>
      </c>
      <c r="L237">
        <v>791.66406199999994</v>
      </c>
      <c r="M237">
        <v>780.74432400000001</v>
      </c>
      <c r="N237">
        <v>778.49139400000001</v>
      </c>
      <c r="O237">
        <v>774.49169900000004</v>
      </c>
      <c r="P237">
        <v>779.459656</v>
      </c>
      <c r="Q237">
        <v>792.89331100000004</v>
      </c>
      <c r="R237">
        <v>804.805969</v>
      </c>
      <c r="S237">
        <v>816.21227999999996</v>
      </c>
      <c r="T237">
        <v>831.59051499999998</v>
      </c>
      <c r="U237">
        <v>844.238159</v>
      </c>
      <c r="V237">
        <v>848.51654099999996</v>
      </c>
      <c r="W237">
        <v>856.12835700000005</v>
      </c>
      <c r="X237">
        <v>872.82488999999998</v>
      </c>
      <c r="Y237">
        <v>891.993652</v>
      </c>
      <c r="Z237">
        <v>905.61621100000002</v>
      </c>
      <c r="AA237">
        <v>914.33941700000003</v>
      </c>
      <c r="AB237">
        <v>921.957764</v>
      </c>
      <c r="AC237">
        <v>927.31878700000004</v>
      </c>
      <c r="AD237">
        <v>939.31243900000004</v>
      </c>
      <c r="AE237">
        <v>945.51776099999995</v>
      </c>
      <c r="AF237">
        <v>941.66033900000002</v>
      </c>
      <c r="AG237">
        <v>948.58288600000003</v>
      </c>
      <c r="AH237">
        <v>958.29565400000001</v>
      </c>
      <c r="AI237">
        <v>962.71301300000005</v>
      </c>
      <c r="AJ237" s="32">
        <v>1.7999999999999999E-2</v>
      </c>
    </row>
    <row r="238" spans="1:36" ht="12.9" x14ac:dyDescent="0.15">
      <c r="A238" t="s">
        <v>39</v>
      </c>
      <c r="C238" t="s">
        <v>883</v>
      </c>
    </row>
    <row r="239" spans="1:36" ht="12.9" x14ac:dyDescent="0.15">
      <c r="A239" t="s">
        <v>626</v>
      </c>
      <c r="B239" t="s">
        <v>627</v>
      </c>
      <c r="C239" t="s">
        <v>884</v>
      </c>
      <c r="D239" t="s">
        <v>885</v>
      </c>
      <c r="E239">
        <v>1508.5570070000001</v>
      </c>
      <c r="F239">
        <v>1600.7733149999999</v>
      </c>
      <c r="G239">
        <v>1616.5277100000001</v>
      </c>
      <c r="H239">
        <v>1618.108643</v>
      </c>
      <c r="I239">
        <v>1617.9658199999999</v>
      </c>
      <c r="J239">
        <v>1567.8839109999999</v>
      </c>
      <c r="K239">
        <v>1587.153687</v>
      </c>
      <c r="L239">
        <v>1586.3214109999999</v>
      </c>
      <c r="M239">
        <v>1606.0509030000001</v>
      </c>
      <c r="N239">
        <v>1623.5897219999999</v>
      </c>
      <c r="O239">
        <v>1641.5112300000001</v>
      </c>
      <c r="P239">
        <v>1654.219482</v>
      </c>
      <c r="Q239">
        <v>1664.4609379999999</v>
      </c>
      <c r="R239">
        <v>1678.1671140000001</v>
      </c>
      <c r="S239">
        <v>1686.5092770000001</v>
      </c>
      <c r="T239">
        <v>1700.822754</v>
      </c>
      <c r="U239">
        <v>1714.348389</v>
      </c>
      <c r="V239">
        <v>1725.946533</v>
      </c>
      <c r="W239">
        <v>1730.0469969999999</v>
      </c>
      <c r="X239">
        <v>1747.594971</v>
      </c>
      <c r="Y239">
        <v>1753.466919</v>
      </c>
      <c r="Z239">
        <v>1765.8125</v>
      </c>
      <c r="AA239">
        <v>1783.167725</v>
      </c>
      <c r="AB239">
        <v>1804.6464840000001</v>
      </c>
      <c r="AC239">
        <v>1808.417236</v>
      </c>
      <c r="AD239">
        <v>1822.5867920000001</v>
      </c>
      <c r="AE239">
        <v>1832.412476</v>
      </c>
      <c r="AF239">
        <v>1846.727539</v>
      </c>
      <c r="AG239">
        <v>1860.8991699999999</v>
      </c>
      <c r="AH239">
        <v>1876.013062</v>
      </c>
      <c r="AI239">
        <v>1898.7479249999999</v>
      </c>
      <c r="AJ239" s="32">
        <v>8.0000000000000002E-3</v>
      </c>
    </row>
    <row r="240" spans="1:36" ht="12.9" x14ac:dyDescent="0.15">
      <c r="A240" t="s">
        <v>628</v>
      </c>
      <c r="B240" t="s">
        <v>629</v>
      </c>
      <c r="C240" t="s">
        <v>886</v>
      </c>
      <c r="D240" t="s">
        <v>887</v>
      </c>
      <c r="E240">
        <v>3.4893709999999998</v>
      </c>
      <c r="F240">
        <v>3.512003</v>
      </c>
      <c r="G240">
        <v>3.5347819999999999</v>
      </c>
      <c r="H240">
        <v>3.5577100000000002</v>
      </c>
      <c r="I240">
        <v>3.5807850000000001</v>
      </c>
      <c r="J240">
        <v>3.6040100000000002</v>
      </c>
      <c r="K240">
        <v>3.627386</v>
      </c>
      <c r="L240">
        <v>3.6509140000000002</v>
      </c>
      <c r="M240">
        <v>3.6745939999999999</v>
      </c>
      <c r="N240">
        <v>3.6984279999999998</v>
      </c>
      <c r="O240">
        <v>3.7224159999999999</v>
      </c>
      <c r="P240">
        <v>3.7465600000000001</v>
      </c>
      <c r="Q240">
        <v>3.7708599999999999</v>
      </c>
      <c r="R240">
        <v>3.795318</v>
      </c>
      <c r="S240">
        <v>3.8199350000000001</v>
      </c>
      <c r="T240">
        <v>3.8447119999999999</v>
      </c>
      <c r="U240">
        <v>3.8696489999999999</v>
      </c>
      <c r="V240">
        <v>3.8947479999999999</v>
      </c>
      <c r="W240">
        <v>3.9200089999999999</v>
      </c>
      <c r="X240">
        <v>3.9454349999999998</v>
      </c>
      <c r="Y240">
        <v>3.971025</v>
      </c>
      <c r="Z240">
        <v>3.9967820000000001</v>
      </c>
      <c r="AA240">
        <v>4.0227050000000002</v>
      </c>
      <c r="AB240">
        <v>4.0487970000000004</v>
      </c>
      <c r="AC240">
        <v>4.0750580000000003</v>
      </c>
      <c r="AD240">
        <v>4.1014889999999999</v>
      </c>
      <c r="AE240">
        <v>4.1280910000000004</v>
      </c>
      <c r="AF240">
        <v>4.1548660000000002</v>
      </c>
      <c r="AG240">
        <v>4.1818150000000003</v>
      </c>
      <c r="AH240">
        <v>4.208939</v>
      </c>
      <c r="AI240">
        <v>4.2362380000000002</v>
      </c>
      <c r="AJ240" s="32">
        <v>6.0000000000000001E-3</v>
      </c>
    </row>
    <row r="241" spans="1:36" ht="12.9" x14ac:dyDescent="0.15">
      <c r="A241" t="s">
        <v>630</v>
      </c>
      <c r="C241" t="s">
        <v>888</v>
      </c>
    </row>
    <row r="242" spans="1:36" ht="12.9" x14ac:dyDescent="0.15">
      <c r="A242" t="s">
        <v>631</v>
      </c>
      <c r="B242" t="s">
        <v>632</v>
      </c>
      <c r="C242" t="s">
        <v>889</v>
      </c>
      <c r="D242" t="s">
        <v>696</v>
      </c>
      <c r="E242">
        <v>431.86648600000001</v>
      </c>
      <c r="F242">
        <v>455.31277499999999</v>
      </c>
      <c r="G242">
        <v>455.85299700000002</v>
      </c>
      <c r="H242">
        <v>451.90289300000001</v>
      </c>
      <c r="I242">
        <v>447.02917500000001</v>
      </c>
      <c r="J242">
        <v>428.09738199999998</v>
      </c>
      <c r="K242">
        <v>426.76123000000001</v>
      </c>
      <c r="L242">
        <v>418.56616200000002</v>
      </c>
      <c r="M242">
        <v>414.38458300000002</v>
      </c>
      <c r="N242">
        <v>408.179169</v>
      </c>
      <c r="O242">
        <v>400.68405200000001</v>
      </c>
      <c r="P242">
        <v>392.03097500000001</v>
      </c>
      <c r="Q242">
        <v>382.96151700000001</v>
      </c>
      <c r="R242">
        <v>374.84906000000001</v>
      </c>
      <c r="S242">
        <v>365.70837399999999</v>
      </c>
      <c r="T242">
        <v>358.02682499999997</v>
      </c>
      <c r="U242">
        <v>350.32076999999998</v>
      </c>
      <c r="V242">
        <v>342.37686200000002</v>
      </c>
      <c r="W242">
        <v>333.15429699999999</v>
      </c>
      <c r="X242">
        <v>326.692047</v>
      </c>
      <c r="Y242">
        <v>318.20410199999998</v>
      </c>
      <c r="Z242">
        <v>311.07351699999998</v>
      </c>
      <c r="AA242">
        <v>304.94457999999997</v>
      </c>
      <c r="AB242">
        <v>299.59271200000001</v>
      </c>
      <c r="AC242">
        <v>291.43927000000002</v>
      </c>
      <c r="AD242">
        <v>285.13330100000002</v>
      </c>
      <c r="AE242">
        <v>278.28723100000002</v>
      </c>
      <c r="AF242">
        <v>272.259613</v>
      </c>
      <c r="AG242">
        <v>266.32595800000001</v>
      </c>
      <c r="AH242">
        <v>260.63748199999998</v>
      </c>
      <c r="AI242">
        <v>256.08175699999998</v>
      </c>
      <c r="AJ242" s="32">
        <v>-1.7000000000000001E-2</v>
      </c>
    </row>
    <row r="243" spans="1:36" ht="12.9" x14ac:dyDescent="0.15">
      <c r="A243" t="s">
        <v>633</v>
      </c>
      <c r="B243" t="s">
        <v>634</v>
      </c>
      <c r="C243" t="s">
        <v>890</v>
      </c>
      <c r="D243" t="s">
        <v>696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23</v>
      </c>
    </row>
    <row r="244" spans="1:36" ht="12.9" x14ac:dyDescent="0.15">
      <c r="A244" t="s">
        <v>635</v>
      </c>
      <c r="B244" t="s">
        <v>636</v>
      </c>
      <c r="C244" t="s">
        <v>891</v>
      </c>
      <c r="D244" t="s">
        <v>696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23</v>
      </c>
    </row>
    <row r="245" spans="1:36" ht="12.9" x14ac:dyDescent="0.15">
      <c r="A245" t="s">
        <v>637</v>
      </c>
      <c r="B245" t="s">
        <v>638</v>
      </c>
      <c r="C245" t="s">
        <v>892</v>
      </c>
      <c r="D245" t="s">
        <v>696</v>
      </c>
      <c r="E245">
        <v>0.462669</v>
      </c>
      <c r="F245">
        <v>0.48778700000000003</v>
      </c>
      <c r="G245">
        <v>1.467193</v>
      </c>
      <c r="H245">
        <v>2.9146839999999998</v>
      </c>
      <c r="I245">
        <v>4.8174729999999997</v>
      </c>
      <c r="J245">
        <v>6.9412919999999998</v>
      </c>
      <c r="K245">
        <v>10.786287</v>
      </c>
      <c r="L245">
        <v>15.933652</v>
      </c>
      <c r="M245">
        <v>22.684350999999999</v>
      </c>
      <c r="N245">
        <v>30.815408999999999</v>
      </c>
      <c r="O245">
        <v>40.295997999999997</v>
      </c>
      <c r="P245">
        <v>49.499310000000001</v>
      </c>
      <c r="Q245">
        <v>58.439315999999998</v>
      </c>
      <c r="R245">
        <v>67.318634000000003</v>
      </c>
      <c r="S245">
        <v>75.793678</v>
      </c>
      <c r="T245">
        <v>84.352965999999995</v>
      </c>
      <c r="U245">
        <v>92.703484000000003</v>
      </c>
      <c r="V245">
        <v>100.770264</v>
      </c>
      <c r="W245">
        <v>108.183212</v>
      </c>
      <c r="X245">
        <v>116.248955</v>
      </c>
      <c r="Y245">
        <v>123.361244</v>
      </c>
      <c r="Z245">
        <v>130.73509200000001</v>
      </c>
      <c r="AA245">
        <v>138.33114599999999</v>
      </c>
      <c r="AB245">
        <v>146.13145399999999</v>
      </c>
      <c r="AC245">
        <v>152.33786000000001</v>
      </c>
      <c r="AD245">
        <v>159.238708</v>
      </c>
      <c r="AE245">
        <v>165.60131799999999</v>
      </c>
      <c r="AF245">
        <v>172.21379099999999</v>
      </c>
      <c r="AG245">
        <v>178.67195100000001</v>
      </c>
      <c r="AH245">
        <v>185.08367899999999</v>
      </c>
      <c r="AI245">
        <v>192.133804</v>
      </c>
      <c r="AJ245" s="32">
        <v>0.223</v>
      </c>
    </row>
    <row r="246" spans="1:36" ht="12.9" x14ac:dyDescent="0.15">
      <c r="A246" t="s">
        <v>38</v>
      </c>
      <c r="C246" t="s">
        <v>893</v>
      </c>
    </row>
    <row r="247" spans="1:36" ht="12.9" x14ac:dyDescent="0.15">
      <c r="A247" t="s">
        <v>639</v>
      </c>
      <c r="B247" t="s">
        <v>640</v>
      </c>
      <c r="C247" t="s">
        <v>894</v>
      </c>
      <c r="D247" t="s">
        <v>885</v>
      </c>
      <c r="E247">
        <v>347.68133499999999</v>
      </c>
      <c r="F247">
        <v>359.32345600000002</v>
      </c>
      <c r="G247">
        <v>357.10058600000002</v>
      </c>
      <c r="H247">
        <v>354.906677</v>
      </c>
      <c r="I247">
        <v>352.695404</v>
      </c>
      <c r="J247">
        <v>348.07818600000002</v>
      </c>
      <c r="K247">
        <v>341.28057899999999</v>
      </c>
      <c r="L247">
        <v>333.10046399999999</v>
      </c>
      <c r="M247">
        <v>325.25259399999999</v>
      </c>
      <c r="N247">
        <v>316.86505099999999</v>
      </c>
      <c r="O247">
        <v>308.73144500000001</v>
      </c>
      <c r="P247">
        <v>305.11627199999998</v>
      </c>
      <c r="Q247">
        <v>301.85186800000002</v>
      </c>
      <c r="R247">
        <v>298.30835000000002</v>
      </c>
      <c r="S247">
        <v>295.38018799999998</v>
      </c>
      <c r="T247">
        <v>292.62634300000002</v>
      </c>
      <c r="U247">
        <v>289.63000499999998</v>
      </c>
      <c r="V247">
        <v>286.272583</v>
      </c>
      <c r="W247">
        <v>282.6651</v>
      </c>
      <c r="X247">
        <v>279.71716300000003</v>
      </c>
      <c r="Y247">
        <v>276.01687600000002</v>
      </c>
      <c r="Z247">
        <v>275.42544600000002</v>
      </c>
      <c r="AA247">
        <v>275.00784299999998</v>
      </c>
      <c r="AB247">
        <v>275.36859099999998</v>
      </c>
      <c r="AC247">
        <v>274.91848800000002</v>
      </c>
      <c r="AD247">
        <v>274.56326300000001</v>
      </c>
      <c r="AE247">
        <v>273.54470800000001</v>
      </c>
      <c r="AF247">
        <v>272.61859099999998</v>
      </c>
      <c r="AG247">
        <v>271.43493699999999</v>
      </c>
      <c r="AH247">
        <v>270.55728099999999</v>
      </c>
      <c r="AI247">
        <v>270.13116500000001</v>
      </c>
      <c r="AJ247" s="32">
        <v>-8.0000000000000002E-3</v>
      </c>
    </row>
    <row r="248" spans="1:36" ht="12.9" x14ac:dyDescent="0.15">
      <c r="A248" t="s">
        <v>628</v>
      </c>
      <c r="B248" t="s">
        <v>641</v>
      </c>
      <c r="C248" t="s">
        <v>895</v>
      </c>
      <c r="D248" t="s">
        <v>887</v>
      </c>
      <c r="E248">
        <v>4.8419600000000003</v>
      </c>
      <c r="F248">
        <v>4.8707260000000003</v>
      </c>
      <c r="G248">
        <v>4.8996630000000003</v>
      </c>
      <c r="H248">
        <v>4.9287720000000004</v>
      </c>
      <c r="I248">
        <v>4.9580539999999997</v>
      </c>
      <c r="J248">
        <v>4.9875090000000002</v>
      </c>
      <c r="K248">
        <v>5.0171400000000004</v>
      </c>
      <c r="L248">
        <v>5.0469470000000003</v>
      </c>
      <c r="M248">
        <v>5.0769310000000001</v>
      </c>
      <c r="N248">
        <v>5.1070919999999997</v>
      </c>
      <c r="O248">
        <v>5.1374339999999998</v>
      </c>
      <c r="P248">
        <v>5.1679550000000001</v>
      </c>
      <c r="Q248">
        <v>5.198658</v>
      </c>
      <c r="R248">
        <v>5.2295429999999996</v>
      </c>
      <c r="S248">
        <v>5.2606109999999999</v>
      </c>
      <c r="T248">
        <v>5.2918640000000003</v>
      </c>
      <c r="U248">
        <v>5.3233030000000001</v>
      </c>
      <c r="V248">
        <v>5.3549290000000003</v>
      </c>
      <c r="W248">
        <v>5.3867419999999999</v>
      </c>
      <c r="X248">
        <v>5.4187450000000004</v>
      </c>
      <c r="Y248">
        <v>5.4509379999999998</v>
      </c>
      <c r="Z248">
        <v>5.4833220000000003</v>
      </c>
      <c r="AA248">
        <v>5.515898</v>
      </c>
      <c r="AB248">
        <v>5.548667</v>
      </c>
      <c r="AC248">
        <v>5.5816319999999999</v>
      </c>
      <c r="AD248">
        <v>5.6147919999999996</v>
      </c>
      <c r="AE248">
        <v>5.6481500000000002</v>
      </c>
      <c r="AF248">
        <v>5.681705</v>
      </c>
      <c r="AG248">
        <v>5.7154600000000002</v>
      </c>
      <c r="AH248">
        <v>5.7494160000000001</v>
      </c>
      <c r="AI248">
        <v>5.7835729999999996</v>
      </c>
      <c r="AJ248" s="32">
        <v>6.0000000000000001E-3</v>
      </c>
    </row>
    <row r="249" spans="1:36" ht="12.9" x14ac:dyDescent="0.15">
      <c r="A249" t="s">
        <v>630</v>
      </c>
      <c r="C249" t="s">
        <v>896</v>
      </c>
    </row>
    <row r="250" spans="1:36" ht="12.9" x14ac:dyDescent="0.15">
      <c r="A250" t="s">
        <v>631</v>
      </c>
      <c r="B250" t="s">
        <v>642</v>
      </c>
      <c r="C250" t="s">
        <v>897</v>
      </c>
      <c r="D250" t="s">
        <v>696</v>
      </c>
      <c r="E250">
        <v>75.191635000000005</v>
      </c>
      <c r="F250">
        <v>76.9589</v>
      </c>
      <c r="G250">
        <v>76.098526000000007</v>
      </c>
      <c r="H250">
        <v>75.27037</v>
      </c>
      <c r="I250">
        <v>74.415176000000002</v>
      </c>
      <c r="J250">
        <v>73.084762999999995</v>
      </c>
      <c r="K250">
        <v>71.302963000000005</v>
      </c>
      <c r="L250">
        <v>69.233092999999997</v>
      </c>
      <c r="M250">
        <v>67.242203000000003</v>
      </c>
      <c r="N250">
        <v>65.154494999999997</v>
      </c>
      <c r="O250">
        <v>63.145538000000002</v>
      </c>
      <c r="P250">
        <v>62.077964999999999</v>
      </c>
      <c r="Q250">
        <v>61.089278999999998</v>
      </c>
      <c r="R250">
        <v>60.040740999999997</v>
      </c>
      <c r="S250">
        <v>59.132660000000001</v>
      </c>
      <c r="T250">
        <v>58.274765000000002</v>
      </c>
      <c r="U250">
        <v>57.367573</v>
      </c>
      <c r="V250">
        <v>56.396614</v>
      </c>
      <c r="W250">
        <v>55.386253000000004</v>
      </c>
      <c r="X250">
        <v>54.511924999999998</v>
      </c>
      <c r="Y250">
        <v>53.470908999999999</v>
      </c>
      <c r="Z250">
        <v>52.990333999999997</v>
      </c>
      <c r="AA250">
        <v>52.540813</v>
      </c>
      <c r="AB250">
        <v>52.235802</v>
      </c>
      <c r="AC250">
        <v>51.775986000000003</v>
      </c>
      <c r="AD250">
        <v>51.338679999999997</v>
      </c>
      <c r="AE250">
        <v>50.768425000000001</v>
      </c>
      <c r="AF250">
        <v>50.210804000000003</v>
      </c>
      <c r="AG250">
        <v>49.611865999999999</v>
      </c>
      <c r="AH250">
        <v>49.066448000000001</v>
      </c>
      <c r="AI250">
        <v>48.596412999999998</v>
      </c>
      <c r="AJ250" s="32">
        <v>-1.4E-2</v>
      </c>
    </row>
    <row r="251" spans="1:36" ht="12.9" x14ac:dyDescent="0.15">
      <c r="A251" t="s">
        <v>633</v>
      </c>
      <c r="B251" t="s">
        <v>643</v>
      </c>
      <c r="C251" t="s">
        <v>898</v>
      </c>
      <c r="D251" t="s">
        <v>696</v>
      </c>
      <c r="E251">
        <v>1.7463169999999999</v>
      </c>
      <c r="F251">
        <v>1.7177500000000001</v>
      </c>
      <c r="G251">
        <v>1.622441</v>
      </c>
      <c r="H251">
        <v>1.5316080000000001</v>
      </c>
      <c r="I251">
        <v>1.4458219999999999</v>
      </c>
      <c r="J251">
        <v>1.3535349999999999</v>
      </c>
      <c r="K251">
        <v>1.2628820000000001</v>
      </c>
      <c r="L251">
        <v>1.1675450000000001</v>
      </c>
      <c r="M251">
        <v>1.07799</v>
      </c>
      <c r="N251">
        <v>0.99074499999999999</v>
      </c>
      <c r="O251">
        <v>0.90485899999999997</v>
      </c>
      <c r="P251">
        <v>0.83253600000000005</v>
      </c>
      <c r="Q251">
        <v>0.76458099999999996</v>
      </c>
      <c r="R251">
        <v>0.69626699999999997</v>
      </c>
      <c r="S251">
        <v>0.63292599999999999</v>
      </c>
      <c r="T251">
        <v>0.57323100000000005</v>
      </c>
      <c r="U251">
        <v>0.52168000000000003</v>
      </c>
      <c r="V251">
        <v>0.46667500000000001</v>
      </c>
      <c r="W251">
        <v>0.40619699999999997</v>
      </c>
      <c r="X251">
        <v>0.34445199999999998</v>
      </c>
      <c r="Y251">
        <v>0.289381</v>
      </c>
      <c r="Z251">
        <v>0.28704800000000003</v>
      </c>
      <c r="AA251">
        <v>0.28491499999999997</v>
      </c>
      <c r="AB251">
        <v>0.283605</v>
      </c>
      <c r="AC251">
        <v>0.28147299999999997</v>
      </c>
      <c r="AD251">
        <v>0.27944799999999997</v>
      </c>
      <c r="AE251">
        <v>0.27677400000000002</v>
      </c>
      <c r="AF251">
        <v>0.27421899999999999</v>
      </c>
      <c r="AG251">
        <v>0.27142100000000002</v>
      </c>
      <c r="AH251">
        <v>0.268957</v>
      </c>
      <c r="AI251">
        <v>0.26695799999999997</v>
      </c>
      <c r="AJ251" s="32">
        <v>-6.0999999999999999E-2</v>
      </c>
    </row>
    <row r="252" spans="1:36" ht="12.9" x14ac:dyDescent="0.15">
      <c r="A252" t="s">
        <v>635</v>
      </c>
      <c r="B252" t="s">
        <v>644</v>
      </c>
      <c r="C252" t="s">
        <v>899</v>
      </c>
      <c r="D252" t="s">
        <v>696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23</v>
      </c>
    </row>
    <row r="253" spans="1:36" ht="12.9" x14ac:dyDescent="0.15">
      <c r="A253" t="s">
        <v>637</v>
      </c>
      <c r="B253" t="s">
        <v>645</v>
      </c>
      <c r="C253" t="s">
        <v>900</v>
      </c>
      <c r="D253" t="s">
        <v>696</v>
      </c>
      <c r="E253">
        <v>0.40545300000000001</v>
      </c>
      <c r="F253">
        <v>0.46474900000000002</v>
      </c>
      <c r="G253">
        <v>0.50729500000000005</v>
      </c>
      <c r="H253">
        <v>0.54806900000000003</v>
      </c>
      <c r="I253">
        <v>0.585534</v>
      </c>
      <c r="J253">
        <v>0.617282</v>
      </c>
      <c r="K253">
        <v>0.63884099999999999</v>
      </c>
      <c r="L253">
        <v>0.65778499999999995</v>
      </c>
      <c r="M253">
        <v>0.67478000000000005</v>
      </c>
      <c r="N253">
        <v>0.68839099999999998</v>
      </c>
      <c r="O253">
        <v>0.70272500000000004</v>
      </c>
      <c r="P253">
        <v>0.72755800000000004</v>
      </c>
      <c r="Q253">
        <v>0.75117999999999996</v>
      </c>
      <c r="R253">
        <v>0.77397400000000005</v>
      </c>
      <c r="S253">
        <v>0.79636099999999999</v>
      </c>
      <c r="T253">
        <v>0.81736399999999998</v>
      </c>
      <c r="U253">
        <v>0.83218199999999998</v>
      </c>
      <c r="V253">
        <v>0.84796899999999997</v>
      </c>
      <c r="W253">
        <v>0.86652399999999996</v>
      </c>
      <c r="X253">
        <v>0.88872399999999996</v>
      </c>
      <c r="Y253">
        <v>0.931948</v>
      </c>
      <c r="Z253">
        <v>0.98800500000000002</v>
      </c>
      <c r="AA253">
        <v>1.0480560000000001</v>
      </c>
      <c r="AB253">
        <v>1.114857</v>
      </c>
      <c r="AC253">
        <v>1.182455</v>
      </c>
      <c r="AD253">
        <v>1.254731</v>
      </c>
      <c r="AE253">
        <v>1.3279970000000001</v>
      </c>
      <c r="AF253">
        <v>1.405883</v>
      </c>
      <c r="AG253">
        <v>1.4871030000000001</v>
      </c>
      <c r="AH253">
        <v>1.5747169999999999</v>
      </c>
      <c r="AI253">
        <v>1.67012</v>
      </c>
      <c r="AJ253" s="32">
        <v>4.8000000000000001E-2</v>
      </c>
    </row>
    <row r="254" spans="1:36" ht="12.9" x14ac:dyDescent="0.15">
      <c r="A254" t="s">
        <v>37</v>
      </c>
      <c r="C254" t="s">
        <v>901</v>
      </c>
    </row>
    <row r="255" spans="1:36" ht="12.9" x14ac:dyDescent="0.15">
      <c r="A255" t="s">
        <v>646</v>
      </c>
      <c r="B255" t="s">
        <v>647</v>
      </c>
      <c r="C255" t="s">
        <v>902</v>
      </c>
      <c r="D255" t="s">
        <v>903</v>
      </c>
      <c r="E255">
        <v>4133.4975590000004</v>
      </c>
      <c r="F255">
        <v>4480.1191410000001</v>
      </c>
      <c r="G255">
        <v>4842.9975590000004</v>
      </c>
      <c r="H255">
        <v>5102.3203119999998</v>
      </c>
      <c r="I255">
        <v>5347.5864259999998</v>
      </c>
      <c r="J255">
        <v>5607.7910160000001</v>
      </c>
      <c r="K255">
        <v>5849.7714839999999</v>
      </c>
      <c r="L255">
        <v>6069.5566410000001</v>
      </c>
      <c r="M255">
        <v>6297.9384769999997</v>
      </c>
      <c r="N255">
        <v>6534.3159180000002</v>
      </c>
      <c r="O255">
        <v>6777.189453</v>
      </c>
      <c r="P255">
        <v>7022.310547</v>
      </c>
      <c r="Q255">
        <v>7284.1108400000003</v>
      </c>
      <c r="R255">
        <v>7539.5625</v>
      </c>
      <c r="S255">
        <v>7817.6918949999999</v>
      </c>
      <c r="T255">
        <v>8120.7763670000004</v>
      </c>
      <c r="U255">
        <v>8411.2099610000005</v>
      </c>
      <c r="V255">
        <v>8685.3125</v>
      </c>
      <c r="W255">
        <v>8970.6113280000009</v>
      </c>
      <c r="X255">
        <v>9279.484375</v>
      </c>
      <c r="Y255">
        <v>9597.0019530000009</v>
      </c>
      <c r="Z255">
        <v>9926.3789059999999</v>
      </c>
      <c r="AA255">
        <v>10264.111328000001</v>
      </c>
      <c r="AB255">
        <v>10615.589844</v>
      </c>
      <c r="AC255">
        <v>10958.377930000001</v>
      </c>
      <c r="AD255">
        <v>11328.463867</v>
      </c>
      <c r="AE255">
        <v>11711.177734000001</v>
      </c>
      <c r="AF255">
        <v>12075.369140999999</v>
      </c>
      <c r="AG255">
        <v>12473.224609000001</v>
      </c>
      <c r="AH255">
        <v>12883.205078000001</v>
      </c>
      <c r="AI255">
        <v>13275.191406</v>
      </c>
      <c r="AJ255" s="32">
        <v>0.04</v>
      </c>
    </row>
    <row r="256" spans="1:36" ht="12.9" x14ac:dyDescent="0.15">
      <c r="A256" t="s">
        <v>648</v>
      </c>
      <c r="B256" t="s">
        <v>649</v>
      </c>
      <c r="C256" t="s">
        <v>904</v>
      </c>
      <c r="D256" t="s">
        <v>903</v>
      </c>
      <c r="E256">
        <v>1553.1899410000001</v>
      </c>
      <c r="F256">
        <v>1718.5379640000001</v>
      </c>
      <c r="G256">
        <v>1906.9501949999999</v>
      </c>
      <c r="H256">
        <v>2082.2116700000001</v>
      </c>
      <c r="I256">
        <v>2230.2214359999998</v>
      </c>
      <c r="J256">
        <v>2362.141357</v>
      </c>
      <c r="K256">
        <v>2468.0270999999998</v>
      </c>
      <c r="L256">
        <v>2554.6623540000001</v>
      </c>
      <c r="M256">
        <v>2636.6213379999999</v>
      </c>
      <c r="N256">
        <v>2709.3046880000002</v>
      </c>
      <c r="O256">
        <v>2779.0397950000001</v>
      </c>
      <c r="P256">
        <v>2855.7797850000002</v>
      </c>
      <c r="Q256">
        <v>2942.678711</v>
      </c>
      <c r="R256">
        <v>3027.2678219999998</v>
      </c>
      <c r="S256">
        <v>3126.9262699999999</v>
      </c>
      <c r="T256">
        <v>3235.2683109999998</v>
      </c>
      <c r="U256">
        <v>3346.806885</v>
      </c>
      <c r="V256">
        <v>3459.9541020000001</v>
      </c>
      <c r="W256">
        <v>3568.9562989999999</v>
      </c>
      <c r="X256">
        <v>3693.2529300000001</v>
      </c>
      <c r="Y256">
        <v>3824.2673340000001</v>
      </c>
      <c r="Z256">
        <v>3958.3852539999998</v>
      </c>
      <c r="AA256">
        <v>4098.7045900000003</v>
      </c>
      <c r="AB256">
        <v>4242.7089839999999</v>
      </c>
      <c r="AC256">
        <v>4388.6625979999999</v>
      </c>
      <c r="AD256">
        <v>4552.1650390000004</v>
      </c>
      <c r="AE256">
        <v>4712.7109380000002</v>
      </c>
      <c r="AF256">
        <v>4875.279297</v>
      </c>
      <c r="AG256">
        <v>5043.6132809999999</v>
      </c>
      <c r="AH256">
        <v>5208.5297849999997</v>
      </c>
      <c r="AI256">
        <v>5371.4960940000001</v>
      </c>
      <c r="AJ256" s="32">
        <v>4.2000000000000003E-2</v>
      </c>
    </row>
    <row r="257" spans="1:36" ht="12.9" x14ac:dyDescent="0.15">
      <c r="A257" t="s">
        <v>650</v>
      </c>
      <c r="B257" t="s">
        <v>651</v>
      </c>
      <c r="C257" t="s">
        <v>905</v>
      </c>
      <c r="D257" t="s">
        <v>903</v>
      </c>
      <c r="E257">
        <v>2580.3076169999999</v>
      </c>
      <c r="F257">
        <v>2761.5812989999999</v>
      </c>
      <c r="G257">
        <v>2936.0473630000001</v>
      </c>
      <c r="H257">
        <v>3020.1083979999999</v>
      </c>
      <c r="I257">
        <v>3117.36499</v>
      </c>
      <c r="J257">
        <v>3245.649414</v>
      </c>
      <c r="K257">
        <v>3381.7441410000001</v>
      </c>
      <c r="L257">
        <v>3514.8942870000001</v>
      </c>
      <c r="M257">
        <v>3661.3173830000001</v>
      </c>
      <c r="N257">
        <v>3825.0112300000001</v>
      </c>
      <c r="O257">
        <v>3998.149414</v>
      </c>
      <c r="P257">
        <v>4166.5307620000003</v>
      </c>
      <c r="Q257">
        <v>4341.4321289999998</v>
      </c>
      <c r="R257">
        <v>4512.2944340000004</v>
      </c>
      <c r="S257">
        <v>4690.765625</v>
      </c>
      <c r="T257">
        <v>4885.5083009999998</v>
      </c>
      <c r="U257">
        <v>5064.4033200000003</v>
      </c>
      <c r="V257">
        <v>5225.3579099999997</v>
      </c>
      <c r="W257">
        <v>5401.6547849999997</v>
      </c>
      <c r="X257">
        <v>5586.2319340000004</v>
      </c>
      <c r="Y257">
        <v>5772.7348629999997</v>
      </c>
      <c r="Z257">
        <v>5967.9931640000004</v>
      </c>
      <c r="AA257">
        <v>6165.4072269999997</v>
      </c>
      <c r="AB257">
        <v>6372.8808589999999</v>
      </c>
      <c r="AC257">
        <v>6569.7153319999998</v>
      </c>
      <c r="AD257">
        <v>6776.298828</v>
      </c>
      <c r="AE257">
        <v>6998.466797</v>
      </c>
      <c r="AF257">
        <v>7200.0898440000001</v>
      </c>
      <c r="AG257">
        <v>7429.611328</v>
      </c>
      <c r="AH257">
        <v>7674.6757809999999</v>
      </c>
      <c r="AI257">
        <v>7903.6948240000002</v>
      </c>
      <c r="AJ257" s="32">
        <v>3.7999999999999999E-2</v>
      </c>
    </row>
    <row r="258" spans="1:36" ht="12.9" x14ac:dyDescent="0.15">
      <c r="A258" t="s">
        <v>630</v>
      </c>
      <c r="C258" t="s">
        <v>906</v>
      </c>
    </row>
    <row r="259" spans="1:36" ht="12.9" x14ac:dyDescent="0.15">
      <c r="A259" t="s">
        <v>631</v>
      </c>
      <c r="B259" t="s">
        <v>652</v>
      </c>
      <c r="C259" t="s">
        <v>907</v>
      </c>
      <c r="D259" t="s">
        <v>696</v>
      </c>
      <c r="E259">
        <v>425.03616299999999</v>
      </c>
      <c r="F259">
        <v>370.24560500000001</v>
      </c>
      <c r="G259">
        <v>252.653122</v>
      </c>
      <c r="H259">
        <v>226.24581900000001</v>
      </c>
      <c r="I259">
        <v>293.446594</v>
      </c>
      <c r="J259">
        <v>287.95434599999999</v>
      </c>
      <c r="K259">
        <v>269.74572799999999</v>
      </c>
      <c r="L259">
        <v>298.33557100000002</v>
      </c>
      <c r="M259">
        <v>297.11917099999999</v>
      </c>
      <c r="N259">
        <v>307.34466600000002</v>
      </c>
      <c r="O259">
        <v>308.88790899999998</v>
      </c>
      <c r="P259">
        <v>287.654358</v>
      </c>
      <c r="Q259">
        <v>306.24054000000001</v>
      </c>
      <c r="R259">
        <v>305.51928700000002</v>
      </c>
      <c r="S259">
        <v>308.330963</v>
      </c>
      <c r="T259">
        <v>291.13928199999998</v>
      </c>
      <c r="U259">
        <v>309.98889200000002</v>
      </c>
      <c r="V259">
        <v>310.407532</v>
      </c>
      <c r="W259">
        <v>296.98941000000002</v>
      </c>
      <c r="X259">
        <v>313.76461799999998</v>
      </c>
      <c r="Y259">
        <v>312.93249500000002</v>
      </c>
      <c r="Z259">
        <v>296.40905800000002</v>
      </c>
      <c r="AA259">
        <v>313.66189600000001</v>
      </c>
      <c r="AB259">
        <v>313.04077100000001</v>
      </c>
      <c r="AC259">
        <v>318.13922100000002</v>
      </c>
      <c r="AD259">
        <v>314.39709499999998</v>
      </c>
      <c r="AE259">
        <v>316.72891199999998</v>
      </c>
      <c r="AF259">
        <v>317.82919299999998</v>
      </c>
      <c r="AG259">
        <v>316.59680200000003</v>
      </c>
      <c r="AH259">
        <v>315.79705799999999</v>
      </c>
      <c r="AI259">
        <v>316.30053700000002</v>
      </c>
      <c r="AJ259" s="32">
        <v>-0.01</v>
      </c>
    </row>
    <row r="260" spans="1:36" ht="12.9" x14ac:dyDescent="0.15">
      <c r="A260" t="s">
        <v>633</v>
      </c>
      <c r="B260" t="s">
        <v>653</v>
      </c>
      <c r="C260" t="s">
        <v>908</v>
      </c>
      <c r="D260" t="s">
        <v>696</v>
      </c>
      <c r="E260">
        <v>413.53491200000002</v>
      </c>
      <c r="F260">
        <v>474.50048800000002</v>
      </c>
      <c r="G260">
        <v>704.24414100000001</v>
      </c>
      <c r="H260">
        <v>747.77252199999998</v>
      </c>
      <c r="I260">
        <v>617.69500700000003</v>
      </c>
      <c r="J260">
        <v>623.54443400000002</v>
      </c>
      <c r="K260">
        <v>651.77941899999996</v>
      </c>
      <c r="L260">
        <v>593.12518299999999</v>
      </c>
      <c r="M260">
        <v>594.11492899999996</v>
      </c>
      <c r="N260">
        <v>572.40936299999998</v>
      </c>
      <c r="O260">
        <v>577.09655799999996</v>
      </c>
      <c r="P260">
        <v>618.64599599999997</v>
      </c>
      <c r="Q260">
        <v>579.948486</v>
      </c>
      <c r="R260">
        <v>579.65319799999997</v>
      </c>
      <c r="S260">
        <v>572.24395800000002</v>
      </c>
      <c r="T260">
        <v>607.745361</v>
      </c>
      <c r="U260">
        <v>570.14923099999999</v>
      </c>
      <c r="V260">
        <v>567.50323500000002</v>
      </c>
      <c r="W260">
        <v>591.57428000000004</v>
      </c>
      <c r="X260">
        <v>556.13769500000001</v>
      </c>
      <c r="Y260">
        <v>550.32708700000001</v>
      </c>
      <c r="Z260">
        <v>580.63720699999999</v>
      </c>
      <c r="AA260">
        <v>539.14996299999996</v>
      </c>
      <c r="AB260">
        <v>535.70849599999997</v>
      </c>
      <c r="AC260">
        <v>517.95916699999998</v>
      </c>
      <c r="AD260">
        <v>517.56463599999995</v>
      </c>
      <c r="AE260">
        <v>506.65536500000002</v>
      </c>
      <c r="AF260">
        <v>499.68572999999998</v>
      </c>
      <c r="AG260">
        <v>499.529877</v>
      </c>
      <c r="AH260">
        <v>494.734039</v>
      </c>
      <c r="AI260">
        <v>487.25003099999998</v>
      </c>
      <c r="AJ260" s="32">
        <v>5.0000000000000001E-3</v>
      </c>
    </row>
    <row r="261" spans="1:36" ht="12.9" x14ac:dyDescent="0.15">
      <c r="A261" t="s">
        <v>635</v>
      </c>
      <c r="B261" t="s">
        <v>654</v>
      </c>
      <c r="C261" t="s">
        <v>909</v>
      </c>
      <c r="D261" t="s">
        <v>696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23</v>
      </c>
    </row>
    <row r="262" spans="1:36" ht="12.9" x14ac:dyDescent="0.15">
      <c r="A262" t="s">
        <v>637</v>
      </c>
      <c r="B262" t="s">
        <v>655</v>
      </c>
      <c r="C262" t="s">
        <v>910</v>
      </c>
      <c r="D262" t="s">
        <v>696</v>
      </c>
      <c r="E262">
        <v>17.315902999999999</v>
      </c>
      <c r="F262">
        <v>36.718674</v>
      </c>
      <c r="G262">
        <v>17.100639000000001</v>
      </c>
      <c r="H262">
        <v>18.175018000000001</v>
      </c>
      <c r="I262">
        <v>30.260731</v>
      </c>
      <c r="J262">
        <v>33.053322000000001</v>
      </c>
      <c r="K262">
        <v>34.955939999999998</v>
      </c>
      <c r="L262">
        <v>42.351486000000001</v>
      </c>
      <c r="M262">
        <v>43.570652000000003</v>
      </c>
      <c r="N262">
        <v>47.041564999999999</v>
      </c>
      <c r="O262">
        <v>43.275649999999999</v>
      </c>
      <c r="P262">
        <v>40.027729000000001</v>
      </c>
      <c r="Q262">
        <v>45.376812000000001</v>
      </c>
      <c r="R262">
        <v>46.843704000000002</v>
      </c>
      <c r="S262">
        <v>49.102119000000002</v>
      </c>
      <c r="T262">
        <v>45.52393</v>
      </c>
      <c r="U262">
        <v>49.935234000000001</v>
      </c>
      <c r="V262">
        <v>51.650298999999997</v>
      </c>
      <c r="W262">
        <v>51.096953999999997</v>
      </c>
      <c r="X262">
        <v>56.260711999999998</v>
      </c>
      <c r="Y262">
        <v>61.169593999999996</v>
      </c>
      <c r="Z262">
        <v>59.988880000000002</v>
      </c>
      <c r="AA262">
        <v>68.321358000000004</v>
      </c>
      <c r="AB262">
        <v>71.590667999999994</v>
      </c>
      <c r="AC262">
        <v>77.730148</v>
      </c>
      <c r="AD262">
        <v>82.270934999999994</v>
      </c>
      <c r="AE262">
        <v>87.080887000000004</v>
      </c>
      <c r="AF262">
        <v>90.691199999999995</v>
      </c>
      <c r="AG262">
        <v>92.562622000000005</v>
      </c>
      <c r="AH262">
        <v>96.801299999999998</v>
      </c>
      <c r="AI262">
        <v>101.31399500000001</v>
      </c>
      <c r="AJ262" s="32">
        <v>6.0999999999999999E-2</v>
      </c>
    </row>
  </sheetData>
  <phoneticPr fontId="10" type="noConversion"/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selection activeCell="F23" sqref="F23"/>
    </sheetView>
  </sheetViews>
  <sheetFormatPr defaultRowHeight="12.9" x14ac:dyDescent="0.15"/>
  <cols>
    <col min="1" max="1" width="16.875" customWidth="1"/>
    <col min="2" max="2" width="28.625" customWidth="1"/>
    <col min="3" max="3" width="20.875" customWidth="1"/>
    <col min="4" max="4" width="18.375" customWidth="1"/>
    <col min="5" max="5" width="17.125" customWidth="1"/>
    <col min="6" max="8" width="23.375" customWidth="1"/>
    <col min="10" max="10" width="14.5" bestFit="1" customWidth="1"/>
  </cols>
  <sheetData>
    <row r="1" spans="1:10" ht="25.85" x14ac:dyDescent="0.15">
      <c r="A1" s="25" t="s">
        <v>129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125</v>
      </c>
      <c r="H1" s="4" t="s">
        <v>126</v>
      </c>
    </row>
    <row r="2" spans="1:10" x14ac:dyDescent="0.15">
      <c r="A2" s="1" t="s">
        <v>12</v>
      </c>
      <c r="B2" s="5">
        <v>2828508</v>
      </c>
      <c r="C2" s="5">
        <v>2739356</v>
      </c>
      <c r="D2" s="5">
        <v>219357580</v>
      </c>
      <c r="E2" s="5">
        <v>1500000</v>
      </c>
      <c r="F2" s="5">
        <v>871332</v>
      </c>
      <c r="G2" s="5">
        <v>0</v>
      </c>
      <c r="H2" s="5">
        <v>3224</v>
      </c>
      <c r="J2" s="5"/>
    </row>
    <row r="3" spans="1:10" x14ac:dyDescent="0.15">
      <c r="A3" s="1" t="s">
        <v>13</v>
      </c>
      <c r="B3" s="5">
        <v>377460</v>
      </c>
      <c r="C3" s="5">
        <v>343578</v>
      </c>
      <c r="D3" s="5">
        <v>243422</v>
      </c>
      <c r="E3" s="5">
        <v>1200000</v>
      </c>
      <c r="F3" s="5">
        <v>88540</v>
      </c>
      <c r="G3" s="5">
        <v>0</v>
      </c>
      <c r="H3" s="5">
        <v>0</v>
      </c>
      <c r="I3" s="5"/>
      <c r="J3" s="24"/>
    </row>
    <row r="4" spans="1:10" x14ac:dyDescent="0.15">
      <c r="A4" s="1" t="s">
        <v>14</v>
      </c>
      <c r="B4" s="5">
        <v>0</v>
      </c>
      <c r="C4" s="5">
        <v>0</v>
      </c>
      <c r="D4" s="5">
        <v>0</v>
      </c>
      <c r="E4" s="5">
        <v>3645</v>
      </c>
      <c r="F4" s="5">
        <v>0</v>
      </c>
      <c r="G4" s="5">
        <v>0</v>
      </c>
      <c r="H4" s="5">
        <v>0</v>
      </c>
    </row>
    <row r="5" spans="1:10" x14ac:dyDescent="0.15">
      <c r="A5" s="1" t="s">
        <v>15</v>
      </c>
      <c r="B5" s="5">
        <v>14000</v>
      </c>
      <c r="C5" s="5">
        <v>0</v>
      </c>
      <c r="D5" s="5">
        <v>0</v>
      </c>
      <c r="E5" s="5">
        <v>615.38461540000003</v>
      </c>
      <c r="F5" s="5">
        <v>0</v>
      </c>
      <c r="G5" s="5">
        <v>0</v>
      </c>
      <c r="H5" s="5">
        <v>0</v>
      </c>
    </row>
    <row r="6" spans="1:10" x14ac:dyDescent="0.15">
      <c r="A6" s="1" t="s">
        <v>16</v>
      </c>
      <c r="B6" s="5">
        <v>250</v>
      </c>
      <c r="C6" s="5">
        <v>1</v>
      </c>
      <c r="D6" s="5">
        <v>0</v>
      </c>
      <c r="E6" s="5">
        <v>5551</v>
      </c>
      <c r="F6" s="5">
        <v>0</v>
      </c>
      <c r="G6" s="5">
        <v>0</v>
      </c>
      <c r="H6" s="5">
        <v>0</v>
      </c>
    </row>
    <row r="7" spans="1:10" x14ac:dyDescent="0.15">
      <c r="A7" s="1" t="s">
        <v>17</v>
      </c>
      <c r="B7" s="5">
        <v>0</v>
      </c>
      <c r="C7" s="5">
        <v>0</v>
      </c>
      <c r="D7" s="5">
        <v>68890000</v>
      </c>
      <c r="E7" s="5">
        <v>0</v>
      </c>
      <c r="F7" s="5">
        <v>0</v>
      </c>
      <c r="G7" s="5">
        <v>0</v>
      </c>
      <c r="H7" s="5">
        <v>0</v>
      </c>
    </row>
    <row r="9" spans="1:10" x14ac:dyDescent="0.15">
      <c r="B9" s="5"/>
      <c r="C9" s="5"/>
      <c r="D9" s="5"/>
      <c r="E9" s="5"/>
      <c r="F9" s="5"/>
      <c r="G9" s="5"/>
      <c r="H9" s="5"/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>
      <selection activeCell="D4" sqref="D4"/>
    </sheetView>
  </sheetViews>
  <sheetFormatPr defaultRowHeight="12.9" x14ac:dyDescent="0.15"/>
  <cols>
    <col min="1" max="1" width="16.875" customWidth="1"/>
    <col min="2" max="2" width="24.5" customWidth="1"/>
    <col min="3" max="3" width="20.875" customWidth="1"/>
    <col min="4" max="4" width="18.375" customWidth="1"/>
    <col min="5" max="5" width="17.125" customWidth="1"/>
    <col min="6" max="8" width="23.375" customWidth="1"/>
    <col min="9" max="9" width="13.5" bestFit="1" customWidth="1"/>
    <col min="10" max="10" width="12.5" bestFit="1" customWidth="1"/>
  </cols>
  <sheetData>
    <row r="1" spans="1:10" ht="25.85" x14ac:dyDescent="0.15">
      <c r="A1" s="25" t="s">
        <v>129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125</v>
      </c>
      <c r="H1" s="4" t="s">
        <v>126</v>
      </c>
    </row>
    <row r="2" spans="1:10" x14ac:dyDescent="0.15">
      <c r="A2" s="1" t="s">
        <v>12</v>
      </c>
      <c r="B2" s="5">
        <v>361128</v>
      </c>
      <c r="C2" s="5">
        <v>1122752</v>
      </c>
      <c r="D2" s="5">
        <v>10993754.640000001</v>
      </c>
      <c r="E2" s="5">
        <v>9636264.3629999999</v>
      </c>
      <c r="F2" s="5">
        <v>0</v>
      </c>
      <c r="G2" s="5">
        <v>0</v>
      </c>
      <c r="H2">
        <v>4128</v>
      </c>
      <c r="I2" s="24"/>
      <c r="J2" s="5"/>
    </row>
    <row r="3" spans="1:10" x14ac:dyDescent="0.15">
      <c r="A3" s="1" t="s">
        <v>13</v>
      </c>
      <c r="B3">
        <v>0</v>
      </c>
      <c r="C3">
        <v>582000</v>
      </c>
      <c r="D3">
        <v>0</v>
      </c>
      <c r="E3">
        <v>7726373</v>
      </c>
      <c r="F3">
        <v>0</v>
      </c>
      <c r="G3" s="5">
        <v>0</v>
      </c>
      <c r="H3" s="5">
        <v>0</v>
      </c>
      <c r="J3" s="5"/>
    </row>
    <row r="4" spans="1:10" x14ac:dyDescent="0.15">
      <c r="A4" s="1" t="s">
        <v>14</v>
      </c>
      <c r="B4">
        <v>0</v>
      </c>
      <c r="C4">
        <v>0</v>
      </c>
      <c r="D4">
        <v>0</v>
      </c>
      <c r="E4" s="11">
        <v>173</v>
      </c>
      <c r="F4">
        <v>0</v>
      </c>
      <c r="G4" s="5">
        <v>0</v>
      </c>
      <c r="H4" s="5">
        <v>0</v>
      </c>
    </row>
    <row r="5" spans="1:10" x14ac:dyDescent="0.15">
      <c r="A5" s="1" t="s">
        <v>15</v>
      </c>
      <c r="B5">
        <v>0</v>
      </c>
      <c r="C5">
        <v>0</v>
      </c>
      <c r="D5">
        <v>0</v>
      </c>
      <c r="E5" s="5">
        <v>7384.6153850000001</v>
      </c>
      <c r="F5">
        <v>0</v>
      </c>
      <c r="G5" s="5">
        <v>0</v>
      </c>
      <c r="H5" s="5">
        <v>0</v>
      </c>
    </row>
    <row r="6" spans="1:10" x14ac:dyDescent="0.15">
      <c r="A6" s="1" t="s">
        <v>16</v>
      </c>
      <c r="B6">
        <v>0</v>
      </c>
      <c r="C6">
        <v>399</v>
      </c>
      <c r="D6">
        <v>0</v>
      </c>
      <c r="E6" s="5">
        <v>120599</v>
      </c>
      <c r="F6">
        <v>0</v>
      </c>
      <c r="G6" s="5">
        <v>0</v>
      </c>
      <c r="H6" s="5">
        <v>0</v>
      </c>
    </row>
    <row r="7" spans="1:10" x14ac:dyDescent="0.15">
      <c r="A7" s="1" t="s">
        <v>17</v>
      </c>
      <c r="B7">
        <v>0</v>
      </c>
      <c r="C7">
        <v>0</v>
      </c>
      <c r="D7">
        <v>0</v>
      </c>
      <c r="E7">
        <v>0</v>
      </c>
      <c r="F7">
        <v>0</v>
      </c>
      <c r="G7" s="5">
        <v>0</v>
      </c>
      <c r="H7" s="5">
        <v>0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60"/>
  <sheetViews>
    <sheetView topLeftCell="A34" workbookViewId="0">
      <selection activeCell="F59" sqref="F59"/>
    </sheetView>
  </sheetViews>
  <sheetFormatPr defaultColWidth="9.125" defaultRowHeight="12.9" x14ac:dyDescent="0.15"/>
  <cols>
    <col min="1" max="1" width="28.5" customWidth="1"/>
    <col min="2" max="2" width="14.125" bestFit="1" customWidth="1"/>
  </cols>
  <sheetData>
    <row r="1" spans="1:1" x14ac:dyDescent="0.15">
      <c r="A1" s="1" t="s">
        <v>67</v>
      </c>
    </row>
    <row r="2" spans="1:1" x14ac:dyDescent="0.15">
      <c r="A2" s="15">
        <v>5</v>
      </c>
    </row>
    <row r="4" spans="1:1" x14ac:dyDescent="0.15">
      <c r="A4" t="s">
        <v>62</v>
      </c>
    </row>
    <row r="5" spans="1:1" x14ac:dyDescent="0.15">
      <c r="A5" t="s">
        <v>63</v>
      </c>
    </row>
    <row r="6" spans="1:1" x14ac:dyDescent="0.15">
      <c r="A6" t="s">
        <v>64</v>
      </c>
    </row>
    <row r="7" spans="1:1" x14ac:dyDescent="0.15">
      <c r="A7" t="s">
        <v>65</v>
      </c>
    </row>
    <row r="8" spans="1:1" x14ac:dyDescent="0.15">
      <c r="A8" t="s">
        <v>66</v>
      </c>
    </row>
    <row r="10" spans="1:1" x14ac:dyDescent="0.15">
      <c r="A10" s="1" t="s">
        <v>127</v>
      </c>
    </row>
    <row r="11" spans="1:1" x14ac:dyDescent="0.15">
      <c r="A11" s="15">
        <v>4</v>
      </c>
    </row>
    <row r="13" spans="1:1" x14ac:dyDescent="0.15">
      <c r="A13" t="s">
        <v>88</v>
      </c>
    </row>
    <row r="14" spans="1:1" x14ac:dyDescent="0.15">
      <c r="A14" t="s">
        <v>89</v>
      </c>
    </row>
    <row r="15" spans="1:1" x14ac:dyDescent="0.15">
      <c r="A15" t="s">
        <v>64</v>
      </c>
    </row>
    <row r="16" spans="1:1" x14ac:dyDescent="0.15">
      <c r="A16" t="s">
        <v>90</v>
      </c>
    </row>
    <row r="17" spans="1:1" x14ac:dyDescent="0.15">
      <c r="A17" t="s">
        <v>91</v>
      </c>
    </row>
    <row r="19" spans="1:1" x14ac:dyDescent="0.15">
      <c r="A19" t="s">
        <v>92</v>
      </c>
    </row>
    <row r="20" spans="1:1" x14ac:dyDescent="0.15">
      <c r="A20" t="s">
        <v>93</v>
      </c>
    </row>
    <row r="21" spans="1:1" x14ac:dyDescent="0.15">
      <c r="A21" t="s">
        <v>94</v>
      </c>
    </row>
    <row r="22" spans="1:1" x14ac:dyDescent="0.15">
      <c r="A22" t="s">
        <v>95</v>
      </c>
    </row>
    <row r="23" spans="1:1" x14ac:dyDescent="0.15">
      <c r="A23" t="s">
        <v>96</v>
      </c>
    </row>
    <row r="24" spans="1:1" x14ac:dyDescent="0.15">
      <c r="A24" t="s">
        <v>97</v>
      </c>
    </row>
    <row r="25" spans="1:1" x14ac:dyDescent="0.15">
      <c r="A25" t="s">
        <v>98</v>
      </c>
    </row>
    <row r="27" spans="1:1" x14ac:dyDescent="0.15">
      <c r="A27" s="1" t="s">
        <v>138</v>
      </c>
    </row>
    <row r="28" spans="1:1" x14ac:dyDescent="0.15">
      <c r="A28" s="15" t="s">
        <v>925</v>
      </c>
    </row>
    <row r="29" spans="1:1" x14ac:dyDescent="0.15">
      <c r="A29" s="15" t="s">
        <v>926</v>
      </c>
    </row>
    <row r="31" spans="1:1" x14ac:dyDescent="0.15">
      <c r="A31" s="1" t="s">
        <v>944</v>
      </c>
    </row>
    <row r="33" spans="1:17" x14ac:dyDescent="0.15">
      <c r="A33" s="33" t="s">
        <v>927</v>
      </c>
    </row>
    <row r="35" spans="1:17" x14ac:dyDescent="0.15">
      <c r="E35" s="30"/>
      <c r="F35" s="30"/>
      <c r="G35" s="30"/>
      <c r="H35" s="30"/>
      <c r="I35" s="30"/>
      <c r="J35" s="30"/>
      <c r="K35" s="30" t="s">
        <v>945</v>
      </c>
      <c r="L35" s="30"/>
      <c r="M35" s="30"/>
      <c r="N35" s="30"/>
      <c r="O35" s="30"/>
    </row>
    <row r="36" spans="1:17" s="28" customFormat="1" x14ac:dyDescent="0.15"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7" s="28" customFormat="1" x14ac:dyDescent="0.15"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7" s="28" customFormat="1" x14ac:dyDescent="0.15"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45" spans="1:17" x14ac:dyDescent="0.15">
      <c r="K45" t="s">
        <v>946</v>
      </c>
    </row>
    <row r="56" spans="1:2" x14ac:dyDescent="0.15">
      <c r="A56" t="s">
        <v>943</v>
      </c>
    </row>
    <row r="58" spans="1:2" x14ac:dyDescent="0.15">
      <c r="A58" t="s">
        <v>947</v>
      </c>
      <c r="B58">
        <f>SUM('AEO 49'!E210,'AEO 49'!E221,'AEO 44'!G36)</f>
        <v>1.326343</v>
      </c>
    </row>
    <row r="59" spans="1:2" x14ac:dyDescent="0.15">
      <c r="A59" t="s">
        <v>948</v>
      </c>
      <c r="B59">
        <f>SUM('AEO 49'!E214,'AEO 49'!E225,'AEO 44'!K36)</f>
        <v>1079.7512820000002</v>
      </c>
    </row>
    <row r="60" spans="1:2" x14ac:dyDescent="0.15">
      <c r="A60" t="s">
        <v>942</v>
      </c>
      <c r="B60" s="34">
        <f>B58/B59</f>
        <v>1.228378259059108E-3</v>
      </c>
    </row>
  </sheetData>
  <phoneticPr fontId="10" type="noConversion"/>
  <hyperlinks>
    <hyperlink ref="A33" r:id="rId1" xr:uid="{21E58E80-C89D-48AA-B679-F2359EAD50AA}"/>
  </hyperlinks>
  <pageMargins left="0.7" right="0.7" top="0.75" bottom="0.75" header="0.3" footer="0.3"/>
  <pageSetup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9410-334C-4C3F-BADF-A97D0F0B431F}">
  <sheetPr>
    <tabColor theme="6" tint="0.39997558519241921"/>
  </sheetPr>
  <dimension ref="A1:AQ587"/>
  <sheetViews>
    <sheetView topLeftCell="A186" zoomScale="115" zoomScaleNormal="115" workbookViewId="0">
      <pane xSplit="2" topLeftCell="C1" activePane="topRight" state="frozen"/>
      <selection pane="topRight" activeCell="J193" sqref="J193"/>
    </sheetView>
  </sheetViews>
  <sheetFormatPr defaultRowHeight="12.9" outlineLevelRow="1" x14ac:dyDescent="0.15"/>
  <cols>
    <col min="1" max="1" width="32.375" customWidth="1"/>
    <col min="2" max="2" width="10.75" bestFit="1" customWidth="1"/>
    <col min="4" max="4" width="10.375" customWidth="1"/>
    <col min="5" max="5" width="13.375" customWidth="1"/>
    <col min="6" max="6" width="11" customWidth="1"/>
    <col min="7" max="7" width="8.75" customWidth="1"/>
    <col min="12" max="12" width="10.375" customWidth="1"/>
    <col min="13" max="13" width="11.625" customWidth="1"/>
  </cols>
  <sheetData>
    <row r="1" spans="1:43" s="170" customFormat="1" ht="17.7" customHeight="1" x14ac:dyDescent="0.15">
      <c r="A1" s="169" t="s">
        <v>1061</v>
      </c>
    </row>
    <row r="2" spans="1:43" ht="6.8" customHeight="1" outlineLevel="1" x14ac:dyDescent="0.15">
      <c r="A2" t="s">
        <v>1062</v>
      </c>
    </row>
    <row r="3" spans="1:43" ht="10.199999999999999" customHeight="1" outlineLevel="1" x14ac:dyDescent="0.15">
      <c r="A3" t="s">
        <v>1063</v>
      </c>
    </row>
    <row r="4" spans="1:43" ht="9.5500000000000007" customHeight="1" outlineLevel="1" x14ac:dyDescent="0.15">
      <c r="A4" t="s">
        <v>1064</v>
      </c>
    </row>
    <row r="5" spans="1:43" ht="23.1" hidden="1" customHeight="1" outlineLevel="1" x14ac:dyDescent="0.15">
      <c r="A5" t="s">
        <v>1065</v>
      </c>
    </row>
    <row r="6" spans="1:43" ht="40.75" hidden="1" customHeight="1" outlineLevel="1" x14ac:dyDescent="0.15">
      <c r="A6" t="s">
        <v>1066</v>
      </c>
    </row>
    <row r="7" spans="1:43" hidden="1" x14ac:dyDescent="0.15"/>
    <row r="8" spans="1:43" s="170" customFormat="1" hidden="1" x14ac:dyDescent="0.15">
      <c r="A8" s="169" t="s">
        <v>1067</v>
      </c>
    </row>
    <row r="9" spans="1:43" hidden="1" outlineLevel="1" x14ac:dyDescent="0.15"/>
    <row r="10" spans="1:43" hidden="1" outlineLevel="1" x14ac:dyDescent="0.15">
      <c r="A10" t="s">
        <v>1068</v>
      </c>
      <c r="B10">
        <v>2019</v>
      </c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  <c r="AH10">
        <v>2051</v>
      </c>
      <c r="AI10">
        <v>2052</v>
      </c>
      <c r="AJ10">
        <v>2053</v>
      </c>
      <c r="AK10">
        <v>2054</v>
      </c>
      <c r="AL10">
        <v>2055</v>
      </c>
      <c r="AM10">
        <v>2056</v>
      </c>
      <c r="AN10">
        <v>2057</v>
      </c>
      <c r="AO10">
        <v>2058</v>
      </c>
      <c r="AP10">
        <v>2059</v>
      </c>
      <c r="AQ10">
        <v>2060</v>
      </c>
    </row>
    <row r="11" spans="1:43" hidden="1" outlineLevel="1" x14ac:dyDescent="0.15">
      <c r="A11" t="s">
        <v>1069</v>
      </c>
      <c r="B11">
        <v>-3</v>
      </c>
      <c r="C11">
        <v>-3</v>
      </c>
      <c r="D11">
        <v>-3</v>
      </c>
      <c r="E11">
        <v>-3</v>
      </c>
      <c r="F11">
        <v>-3</v>
      </c>
      <c r="G11">
        <v>-3</v>
      </c>
      <c r="H11">
        <v>-3</v>
      </c>
      <c r="I11">
        <v>-3</v>
      </c>
      <c r="J11">
        <v>-3</v>
      </c>
      <c r="K11">
        <v>-3</v>
      </c>
      <c r="L11">
        <v>-3</v>
      </c>
      <c r="M11">
        <v>-3</v>
      </c>
      <c r="N11">
        <v>-3</v>
      </c>
      <c r="O11">
        <v>-3</v>
      </c>
      <c r="P11">
        <v>-3</v>
      </c>
      <c r="Q11">
        <v>-3</v>
      </c>
      <c r="R11">
        <v>-3</v>
      </c>
      <c r="S11">
        <v>-3</v>
      </c>
      <c r="T11">
        <v>-3</v>
      </c>
      <c r="U11">
        <v>-3</v>
      </c>
      <c r="V11">
        <v>-3</v>
      </c>
      <c r="W11">
        <v>-3</v>
      </c>
      <c r="X11">
        <v>-3</v>
      </c>
      <c r="Y11">
        <v>-3</v>
      </c>
      <c r="Z11">
        <v>-3</v>
      </c>
      <c r="AA11">
        <v>-3</v>
      </c>
      <c r="AB11">
        <v>-3</v>
      </c>
      <c r="AC11">
        <v>-3</v>
      </c>
      <c r="AD11">
        <v>-3</v>
      </c>
      <c r="AE11">
        <v>-3</v>
      </c>
      <c r="AF11">
        <v>-3</v>
      </c>
      <c r="AG11">
        <v>-3</v>
      </c>
      <c r="AH11">
        <v>-3</v>
      </c>
      <c r="AI11">
        <v>-3</v>
      </c>
      <c r="AJ11">
        <v>-3</v>
      </c>
      <c r="AK11">
        <v>-3</v>
      </c>
      <c r="AL11">
        <v>-3</v>
      </c>
      <c r="AM11">
        <v>-3</v>
      </c>
      <c r="AN11">
        <v>-3</v>
      </c>
      <c r="AO11">
        <v>-3</v>
      </c>
      <c r="AP11">
        <v>-3</v>
      </c>
      <c r="AQ11">
        <v>-3</v>
      </c>
    </row>
    <row r="12" spans="1:43" hidden="1" outlineLevel="1" x14ac:dyDescent="0.15">
      <c r="A12" t="s">
        <v>1070</v>
      </c>
      <c r="B12">
        <v>-3</v>
      </c>
      <c r="C12">
        <v>-3</v>
      </c>
      <c r="D12">
        <v>-3</v>
      </c>
      <c r="E12">
        <v>-3</v>
      </c>
      <c r="F12">
        <v>-3</v>
      </c>
      <c r="G12">
        <v>-3</v>
      </c>
      <c r="H12">
        <v>-3</v>
      </c>
      <c r="I12">
        <v>-3</v>
      </c>
      <c r="J12">
        <v>-3</v>
      </c>
      <c r="K12">
        <v>-3</v>
      </c>
      <c r="L12">
        <v>-3</v>
      </c>
      <c r="M12">
        <v>-3</v>
      </c>
      <c r="N12">
        <v>-3</v>
      </c>
      <c r="O12">
        <v>-3</v>
      </c>
      <c r="P12">
        <v>-3</v>
      </c>
      <c r="Q12">
        <v>-3</v>
      </c>
      <c r="R12">
        <v>-3</v>
      </c>
      <c r="S12">
        <v>-3</v>
      </c>
      <c r="T12">
        <v>-3</v>
      </c>
      <c r="U12">
        <v>-3</v>
      </c>
      <c r="V12">
        <v>-3</v>
      </c>
      <c r="W12">
        <v>-3</v>
      </c>
      <c r="X12">
        <v>-3</v>
      </c>
      <c r="Y12">
        <v>-3</v>
      </c>
      <c r="Z12">
        <v>-3</v>
      </c>
      <c r="AA12">
        <v>-3</v>
      </c>
      <c r="AB12">
        <v>-3</v>
      </c>
      <c r="AC12">
        <v>-3</v>
      </c>
      <c r="AD12">
        <v>-3</v>
      </c>
      <c r="AE12">
        <v>-3</v>
      </c>
      <c r="AF12">
        <v>-3</v>
      </c>
      <c r="AG12">
        <v>-3</v>
      </c>
      <c r="AH12">
        <v>-3</v>
      </c>
      <c r="AI12">
        <v>-3</v>
      </c>
      <c r="AJ12">
        <v>-3</v>
      </c>
      <c r="AK12">
        <v>-3</v>
      </c>
      <c r="AL12">
        <v>-3</v>
      </c>
      <c r="AM12">
        <v>-3</v>
      </c>
      <c r="AN12">
        <v>-3</v>
      </c>
      <c r="AO12">
        <v>-3</v>
      </c>
      <c r="AP12">
        <v>-3</v>
      </c>
      <c r="AQ12">
        <v>-3</v>
      </c>
    </row>
    <row r="13" spans="1:43" hidden="1" outlineLevel="1" x14ac:dyDescent="0.15">
      <c r="A13" t="s">
        <v>1071</v>
      </c>
      <c r="B13">
        <v>-3</v>
      </c>
      <c r="C13">
        <v>-3</v>
      </c>
      <c r="D13">
        <v>-3</v>
      </c>
      <c r="E13">
        <v>-3</v>
      </c>
      <c r="F13">
        <v>-3</v>
      </c>
      <c r="G13">
        <v>-3</v>
      </c>
      <c r="H13">
        <v>-3</v>
      </c>
      <c r="I13">
        <v>-3</v>
      </c>
      <c r="J13">
        <v>-3</v>
      </c>
      <c r="K13">
        <v>-3</v>
      </c>
      <c r="L13">
        <v>-3</v>
      </c>
      <c r="M13">
        <v>-3</v>
      </c>
      <c r="N13">
        <v>-3</v>
      </c>
      <c r="O13">
        <v>-3</v>
      </c>
      <c r="P13">
        <v>-3</v>
      </c>
      <c r="Q13">
        <v>-3</v>
      </c>
      <c r="R13">
        <v>-3</v>
      </c>
      <c r="S13">
        <v>-3</v>
      </c>
      <c r="T13">
        <v>-3</v>
      </c>
      <c r="U13">
        <v>-3</v>
      </c>
      <c r="V13">
        <v>-3</v>
      </c>
      <c r="W13">
        <v>-3</v>
      </c>
      <c r="X13">
        <v>-3</v>
      </c>
      <c r="Y13">
        <v>-3</v>
      </c>
      <c r="Z13">
        <v>-3</v>
      </c>
      <c r="AA13">
        <v>-3</v>
      </c>
      <c r="AB13">
        <v>-3</v>
      </c>
      <c r="AC13">
        <v>-3</v>
      </c>
      <c r="AD13">
        <v>-3</v>
      </c>
      <c r="AE13">
        <v>-3</v>
      </c>
      <c r="AF13">
        <v>-3</v>
      </c>
      <c r="AG13">
        <v>-3</v>
      </c>
      <c r="AH13">
        <v>-3</v>
      </c>
      <c r="AI13">
        <v>-3</v>
      </c>
      <c r="AJ13">
        <v>-3</v>
      </c>
      <c r="AK13">
        <v>-3</v>
      </c>
      <c r="AL13">
        <v>-3</v>
      </c>
      <c r="AM13">
        <v>-3</v>
      </c>
      <c r="AN13">
        <v>-3</v>
      </c>
      <c r="AO13">
        <v>-3</v>
      </c>
      <c r="AP13">
        <v>-3</v>
      </c>
      <c r="AQ13">
        <v>-3</v>
      </c>
    </row>
    <row r="14" spans="1:43" hidden="1" outlineLevel="1" x14ac:dyDescent="0.15">
      <c r="A14" t="s">
        <v>1072</v>
      </c>
      <c r="B14">
        <v>-3</v>
      </c>
      <c r="C14">
        <v>-3</v>
      </c>
      <c r="D14">
        <v>-3</v>
      </c>
      <c r="E14">
        <v>-3</v>
      </c>
      <c r="F14">
        <v>-3</v>
      </c>
      <c r="G14">
        <v>-3</v>
      </c>
      <c r="H14">
        <v>-3</v>
      </c>
      <c r="I14">
        <v>-3</v>
      </c>
      <c r="J14">
        <v>-3</v>
      </c>
      <c r="K14">
        <v>-3</v>
      </c>
      <c r="L14">
        <v>-3</v>
      </c>
      <c r="M14">
        <v>-3</v>
      </c>
      <c r="N14">
        <v>-3</v>
      </c>
      <c r="O14">
        <v>-3</v>
      </c>
      <c r="P14">
        <v>-3</v>
      </c>
      <c r="Q14">
        <v>-3</v>
      </c>
      <c r="R14">
        <v>-3</v>
      </c>
      <c r="S14">
        <v>-3</v>
      </c>
      <c r="T14">
        <v>-3</v>
      </c>
      <c r="U14">
        <v>-3</v>
      </c>
      <c r="V14">
        <v>-3</v>
      </c>
      <c r="W14">
        <v>-3</v>
      </c>
      <c r="X14">
        <v>-3</v>
      </c>
      <c r="Y14">
        <v>-3</v>
      </c>
      <c r="Z14">
        <v>-3</v>
      </c>
      <c r="AA14">
        <v>-3</v>
      </c>
      <c r="AB14">
        <v>-3</v>
      </c>
      <c r="AC14">
        <v>-3</v>
      </c>
      <c r="AD14">
        <v>-3</v>
      </c>
      <c r="AE14">
        <v>-3</v>
      </c>
      <c r="AF14">
        <v>-3</v>
      </c>
      <c r="AG14">
        <v>-3</v>
      </c>
      <c r="AH14">
        <v>-3</v>
      </c>
      <c r="AI14">
        <v>-3</v>
      </c>
      <c r="AJ14">
        <v>-3</v>
      </c>
      <c r="AK14">
        <v>-3</v>
      </c>
      <c r="AL14">
        <v>-3</v>
      </c>
      <c r="AM14">
        <v>-3</v>
      </c>
      <c r="AN14">
        <v>-3</v>
      </c>
      <c r="AO14">
        <v>-3</v>
      </c>
      <c r="AP14">
        <v>-3</v>
      </c>
      <c r="AQ14">
        <v>-3</v>
      </c>
    </row>
    <row r="15" spans="1:43" hidden="1" outlineLevel="1" x14ac:dyDescent="0.15">
      <c r="A15" t="s">
        <v>1073</v>
      </c>
      <c r="B15">
        <v>-3</v>
      </c>
      <c r="C15">
        <v>-3</v>
      </c>
      <c r="D15">
        <v>-3</v>
      </c>
      <c r="E15">
        <v>-3</v>
      </c>
      <c r="F15">
        <v>-3</v>
      </c>
      <c r="G15">
        <v>-3</v>
      </c>
      <c r="H15">
        <v>-3</v>
      </c>
      <c r="I15">
        <v>-3</v>
      </c>
      <c r="J15">
        <v>-3</v>
      </c>
      <c r="K15">
        <v>-3</v>
      </c>
      <c r="L15">
        <v>-3</v>
      </c>
      <c r="M15">
        <v>-3</v>
      </c>
      <c r="N15">
        <v>-3</v>
      </c>
      <c r="O15">
        <v>-3</v>
      </c>
      <c r="P15">
        <v>-3</v>
      </c>
      <c r="Q15">
        <v>-3</v>
      </c>
      <c r="R15">
        <v>-3</v>
      </c>
      <c r="S15">
        <v>-3</v>
      </c>
      <c r="T15">
        <v>-3</v>
      </c>
      <c r="U15">
        <v>-3</v>
      </c>
      <c r="V15">
        <v>-3</v>
      </c>
      <c r="W15">
        <v>-3</v>
      </c>
      <c r="X15">
        <v>-3</v>
      </c>
      <c r="Y15">
        <v>-3</v>
      </c>
      <c r="Z15">
        <v>-3</v>
      </c>
      <c r="AA15">
        <v>-3</v>
      </c>
      <c r="AB15">
        <v>-3</v>
      </c>
      <c r="AC15">
        <v>-3</v>
      </c>
      <c r="AD15">
        <v>-3</v>
      </c>
      <c r="AE15">
        <v>-3</v>
      </c>
      <c r="AF15">
        <v>-3</v>
      </c>
      <c r="AG15">
        <v>-3</v>
      </c>
      <c r="AH15">
        <v>-3</v>
      </c>
      <c r="AI15">
        <v>-3</v>
      </c>
      <c r="AJ15">
        <v>-3</v>
      </c>
      <c r="AK15">
        <v>-3</v>
      </c>
      <c r="AL15">
        <v>-3</v>
      </c>
      <c r="AM15">
        <v>-3</v>
      </c>
      <c r="AN15">
        <v>-3</v>
      </c>
      <c r="AO15">
        <v>-3</v>
      </c>
      <c r="AP15">
        <v>-3</v>
      </c>
      <c r="AQ15">
        <v>-3</v>
      </c>
    </row>
    <row r="16" spans="1:43" hidden="1" outlineLevel="1" x14ac:dyDescent="0.15">
      <c r="A16" t="s">
        <v>1074</v>
      </c>
      <c r="B16">
        <v>-3</v>
      </c>
      <c r="C16">
        <v>-3</v>
      </c>
      <c r="D16">
        <v>-3</v>
      </c>
      <c r="E16">
        <v>-3</v>
      </c>
      <c r="F16">
        <v>-3</v>
      </c>
      <c r="G16">
        <v>-3</v>
      </c>
      <c r="H16">
        <v>-3</v>
      </c>
      <c r="I16">
        <v>-3</v>
      </c>
      <c r="J16">
        <v>-3</v>
      </c>
      <c r="K16">
        <v>-3</v>
      </c>
      <c r="L16">
        <v>-3</v>
      </c>
      <c r="M16">
        <v>-3</v>
      </c>
      <c r="N16">
        <v>-3</v>
      </c>
      <c r="O16">
        <v>-3</v>
      </c>
      <c r="P16">
        <v>-3</v>
      </c>
      <c r="Q16">
        <v>-3</v>
      </c>
      <c r="R16">
        <v>-3</v>
      </c>
      <c r="S16">
        <v>-3</v>
      </c>
      <c r="T16">
        <v>-3</v>
      </c>
      <c r="U16">
        <v>-3</v>
      </c>
      <c r="V16">
        <v>-3</v>
      </c>
      <c r="W16">
        <v>-3</v>
      </c>
      <c r="X16">
        <v>-3</v>
      </c>
      <c r="Y16">
        <v>-3</v>
      </c>
      <c r="Z16">
        <v>-3</v>
      </c>
      <c r="AA16">
        <v>-3</v>
      </c>
      <c r="AB16">
        <v>-3</v>
      </c>
      <c r="AC16">
        <v>-3</v>
      </c>
      <c r="AD16">
        <v>-3</v>
      </c>
      <c r="AE16">
        <v>-3</v>
      </c>
      <c r="AF16">
        <v>-3</v>
      </c>
      <c r="AG16">
        <v>-3</v>
      </c>
      <c r="AH16">
        <v>-3</v>
      </c>
      <c r="AI16">
        <v>-3</v>
      </c>
      <c r="AJ16">
        <v>-3</v>
      </c>
      <c r="AK16">
        <v>-3</v>
      </c>
      <c r="AL16">
        <v>-3</v>
      </c>
      <c r="AM16">
        <v>-3</v>
      </c>
      <c r="AN16">
        <v>-3</v>
      </c>
      <c r="AO16">
        <v>-3</v>
      </c>
      <c r="AP16">
        <v>-3</v>
      </c>
      <c r="AQ16">
        <v>-3</v>
      </c>
    </row>
    <row r="17" spans="1:43" hidden="1" outlineLevel="1" x14ac:dyDescent="0.15">
      <c r="A17" t="s">
        <v>1075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</v>
      </c>
      <c r="AB17">
        <v>-3</v>
      </c>
      <c r="AC17">
        <v>-3</v>
      </c>
      <c r="AD17">
        <v>-3</v>
      </c>
      <c r="AE17">
        <v>-3</v>
      </c>
      <c r="AF17">
        <v>-3</v>
      </c>
      <c r="AG17">
        <v>-3</v>
      </c>
      <c r="AH17">
        <v>-3</v>
      </c>
      <c r="AI17">
        <v>-3</v>
      </c>
      <c r="AJ17">
        <v>-3</v>
      </c>
      <c r="AK17">
        <v>-3</v>
      </c>
      <c r="AL17">
        <v>-3</v>
      </c>
      <c r="AM17">
        <v>-3</v>
      </c>
      <c r="AN17">
        <v>-3</v>
      </c>
      <c r="AO17">
        <v>-3</v>
      </c>
      <c r="AP17">
        <v>-3</v>
      </c>
      <c r="AQ17">
        <v>-3</v>
      </c>
    </row>
    <row r="18" spans="1:43" hidden="1" outlineLevel="1" x14ac:dyDescent="0.15">
      <c r="A18" t="s">
        <v>1076</v>
      </c>
      <c r="B18">
        <v>-3</v>
      </c>
      <c r="C18">
        <v>-3</v>
      </c>
      <c r="D18">
        <v>-3</v>
      </c>
      <c r="E18">
        <v>-3</v>
      </c>
      <c r="F18">
        <v>-3</v>
      </c>
      <c r="G18">
        <v>-3</v>
      </c>
      <c r="H18">
        <v>-3</v>
      </c>
      <c r="I18">
        <v>-3</v>
      </c>
      <c r="J18">
        <v>-3</v>
      </c>
      <c r="K18">
        <v>-3</v>
      </c>
      <c r="L18">
        <v>-3</v>
      </c>
      <c r="M18">
        <v>-3</v>
      </c>
      <c r="N18">
        <v>-3</v>
      </c>
      <c r="O18">
        <v>-3</v>
      </c>
      <c r="P18">
        <v>-3</v>
      </c>
      <c r="Q18">
        <v>-3</v>
      </c>
      <c r="R18">
        <v>-3</v>
      </c>
      <c r="S18">
        <v>-3</v>
      </c>
      <c r="T18">
        <v>-3</v>
      </c>
      <c r="U18">
        <v>-3</v>
      </c>
      <c r="V18">
        <v>-3</v>
      </c>
      <c r="W18">
        <v>-3</v>
      </c>
      <c r="X18">
        <v>-3</v>
      </c>
      <c r="Y18">
        <v>-3</v>
      </c>
      <c r="Z18">
        <v>-3</v>
      </c>
      <c r="AA18">
        <v>-3</v>
      </c>
      <c r="AB18">
        <v>-3</v>
      </c>
      <c r="AC18">
        <v>-3</v>
      </c>
      <c r="AD18">
        <v>-3</v>
      </c>
      <c r="AE18">
        <v>-3</v>
      </c>
      <c r="AF18">
        <v>-3</v>
      </c>
      <c r="AG18">
        <v>-3</v>
      </c>
      <c r="AH18">
        <v>-3</v>
      </c>
      <c r="AI18">
        <v>-3</v>
      </c>
      <c r="AJ18">
        <v>-3</v>
      </c>
      <c r="AK18">
        <v>-3</v>
      </c>
      <c r="AL18">
        <v>-3</v>
      </c>
      <c r="AM18">
        <v>-3</v>
      </c>
      <c r="AN18">
        <v>-3</v>
      </c>
      <c r="AO18">
        <v>-3</v>
      </c>
      <c r="AP18">
        <v>-3</v>
      </c>
      <c r="AQ18">
        <v>-3</v>
      </c>
    </row>
    <row r="19" spans="1:43" hidden="1" outlineLevel="1" x14ac:dyDescent="0.15">
      <c r="A19" t="s">
        <v>1077</v>
      </c>
      <c r="B19">
        <v>-3</v>
      </c>
      <c r="C19">
        <v>-3</v>
      </c>
      <c r="D19">
        <v>-3</v>
      </c>
      <c r="E19">
        <v>-3</v>
      </c>
      <c r="F19">
        <v>-3</v>
      </c>
      <c r="G19">
        <v>-3</v>
      </c>
      <c r="H19">
        <v>-3</v>
      </c>
      <c r="I19">
        <v>-3</v>
      </c>
      <c r="J19">
        <v>-3</v>
      </c>
      <c r="K19">
        <v>-3</v>
      </c>
      <c r="L19">
        <v>-3</v>
      </c>
      <c r="M19">
        <v>-3</v>
      </c>
      <c r="N19">
        <v>-3</v>
      </c>
      <c r="O19">
        <v>-3</v>
      </c>
      <c r="P19">
        <v>-3</v>
      </c>
      <c r="Q19">
        <v>-3</v>
      </c>
      <c r="R19">
        <v>-3</v>
      </c>
      <c r="S19">
        <v>-3</v>
      </c>
      <c r="T19">
        <v>-3</v>
      </c>
      <c r="U19">
        <v>-3</v>
      </c>
      <c r="V19">
        <v>-3</v>
      </c>
      <c r="W19">
        <v>-3</v>
      </c>
      <c r="X19">
        <v>-3</v>
      </c>
      <c r="Y19">
        <v>-3</v>
      </c>
      <c r="Z19">
        <v>-3</v>
      </c>
      <c r="AA19">
        <v>-3</v>
      </c>
      <c r="AB19">
        <v>-3</v>
      </c>
      <c r="AC19">
        <v>-3</v>
      </c>
      <c r="AD19">
        <v>-3</v>
      </c>
      <c r="AE19">
        <v>-3</v>
      </c>
      <c r="AF19">
        <v>-3</v>
      </c>
      <c r="AG19">
        <v>-3</v>
      </c>
      <c r="AH19">
        <v>-3</v>
      </c>
      <c r="AI19">
        <v>-3</v>
      </c>
      <c r="AJ19">
        <v>-3</v>
      </c>
      <c r="AK19">
        <v>-3</v>
      </c>
      <c r="AL19">
        <v>-3</v>
      </c>
      <c r="AM19">
        <v>-3</v>
      </c>
      <c r="AN19">
        <v>-3</v>
      </c>
      <c r="AO19">
        <v>-3</v>
      </c>
      <c r="AP19">
        <v>-3</v>
      </c>
      <c r="AQ19">
        <v>-3</v>
      </c>
    </row>
    <row r="20" spans="1:43" hidden="1" outlineLevel="1" x14ac:dyDescent="0.15">
      <c r="A20" t="s">
        <v>1078</v>
      </c>
      <c r="B20">
        <v>-3</v>
      </c>
      <c r="C20">
        <v>-3</v>
      </c>
      <c r="D20">
        <v>-3</v>
      </c>
      <c r="E20">
        <v>-3</v>
      </c>
      <c r="F20">
        <v>-3</v>
      </c>
      <c r="G20">
        <v>-3</v>
      </c>
      <c r="H20">
        <v>-3</v>
      </c>
      <c r="I20">
        <v>-3</v>
      </c>
      <c r="J20">
        <v>-3</v>
      </c>
      <c r="K20">
        <v>-3</v>
      </c>
      <c r="L20">
        <v>-3</v>
      </c>
      <c r="M20">
        <v>-3</v>
      </c>
      <c r="N20">
        <v>-3</v>
      </c>
      <c r="O20">
        <v>-3</v>
      </c>
      <c r="P20">
        <v>-3</v>
      </c>
      <c r="Q20">
        <v>-3</v>
      </c>
      <c r="R20">
        <v>-3</v>
      </c>
      <c r="S20">
        <v>-3</v>
      </c>
      <c r="T20">
        <v>-3</v>
      </c>
      <c r="U20">
        <v>-3</v>
      </c>
      <c r="V20">
        <v>-3</v>
      </c>
      <c r="W20">
        <v>-3</v>
      </c>
      <c r="X20">
        <v>-3</v>
      </c>
      <c r="Y20">
        <v>-3</v>
      </c>
      <c r="Z20">
        <v>-3</v>
      </c>
      <c r="AA20">
        <v>-3</v>
      </c>
      <c r="AB20">
        <v>-3</v>
      </c>
      <c r="AC20">
        <v>-3</v>
      </c>
      <c r="AD20">
        <v>-3</v>
      </c>
      <c r="AE20">
        <v>-3</v>
      </c>
      <c r="AF20">
        <v>-3</v>
      </c>
      <c r="AG20">
        <v>-3</v>
      </c>
      <c r="AH20">
        <v>-3</v>
      </c>
      <c r="AI20">
        <v>-3</v>
      </c>
      <c r="AJ20">
        <v>-3</v>
      </c>
      <c r="AK20">
        <v>-3</v>
      </c>
      <c r="AL20">
        <v>-3</v>
      </c>
      <c r="AM20">
        <v>-3</v>
      </c>
      <c r="AN20">
        <v>-3</v>
      </c>
      <c r="AO20">
        <v>-3</v>
      </c>
      <c r="AP20">
        <v>-3</v>
      </c>
      <c r="AQ20">
        <v>-3</v>
      </c>
    </row>
    <row r="21" spans="1:43" hidden="1" outlineLevel="1" x14ac:dyDescent="0.15">
      <c r="A21" t="s">
        <v>1079</v>
      </c>
      <c r="B21">
        <v>-3</v>
      </c>
      <c r="C21">
        <v>-3</v>
      </c>
      <c r="D21">
        <v>-3</v>
      </c>
      <c r="E21">
        <v>-3</v>
      </c>
      <c r="F21">
        <v>-3</v>
      </c>
      <c r="G21">
        <v>-3</v>
      </c>
      <c r="H21">
        <v>-3</v>
      </c>
      <c r="I21">
        <v>-3</v>
      </c>
      <c r="J21">
        <v>-3</v>
      </c>
      <c r="K21">
        <v>-3</v>
      </c>
      <c r="L21">
        <v>-3</v>
      </c>
      <c r="M21">
        <v>-3</v>
      </c>
      <c r="N21">
        <v>-3</v>
      </c>
      <c r="O21">
        <v>-3</v>
      </c>
      <c r="P21">
        <v>-3</v>
      </c>
      <c r="Q21">
        <v>-3</v>
      </c>
      <c r="R21">
        <v>-3</v>
      </c>
      <c r="S21">
        <v>-3</v>
      </c>
      <c r="T21">
        <v>-3</v>
      </c>
      <c r="U21">
        <v>-3</v>
      </c>
      <c r="V21">
        <v>-3</v>
      </c>
      <c r="W21">
        <v>-3</v>
      </c>
      <c r="X21">
        <v>-3</v>
      </c>
      <c r="Y21">
        <v>-3</v>
      </c>
      <c r="Z21">
        <v>-3</v>
      </c>
      <c r="AA21">
        <v>-3</v>
      </c>
      <c r="AB21">
        <v>-3</v>
      </c>
      <c r="AC21">
        <v>-3</v>
      </c>
      <c r="AD21">
        <v>-3</v>
      </c>
      <c r="AE21">
        <v>-3</v>
      </c>
      <c r="AF21">
        <v>-3</v>
      </c>
      <c r="AG21">
        <v>-3</v>
      </c>
      <c r="AH21">
        <v>-3</v>
      </c>
      <c r="AI21">
        <v>-3</v>
      </c>
      <c r="AJ21">
        <v>-3</v>
      </c>
      <c r="AK21">
        <v>-3</v>
      </c>
      <c r="AL21">
        <v>-3</v>
      </c>
      <c r="AM21">
        <v>-3</v>
      </c>
      <c r="AN21">
        <v>-3</v>
      </c>
      <c r="AO21">
        <v>-3</v>
      </c>
      <c r="AP21">
        <v>-3</v>
      </c>
      <c r="AQ21">
        <v>-3</v>
      </c>
    </row>
    <row r="22" spans="1:43" hidden="1" outlineLevel="1" x14ac:dyDescent="0.15">
      <c r="A22" t="s">
        <v>1080</v>
      </c>
      <c r="B22">
        <v>-3</v>
      </c>
      <c r="C22">
        <v>-3</v>
      </c>
      <c r="D22">
        <v>-3</v>
      </c>
      <c r="E22">
        <v>-3</v>
      </c>
      <c r="F22">
        <v>-3</v>
      </c>
      <c r="G22">
        <v>-3</v>
      </c>
      <c r="H22">
        <v>-3</v>
      </c>
      <c r="I22">
        <v>-3</v>
      </c>
      <c r="J22">
        <v>-3</v>
      </c>
      <c r="K22">
        <v>-3</v>
      </c>
      <c r="L22">
        <v>-3</v>
      </c>
      <c r="M22">
        <v>-3</v>
      </c>
      <c r="N22">
        <v>-3</v>
      </c>
      <c r="O22">
        <v>-3</v>
      </c>
      <c r="P22">
        <v>-3</v>
      </c>
      <c r="Q22">
        <v>-3</v>
      </c>
      <c r="R22">
        <v>-3</v>
      </c>
      <c r="S22">
        <v>-3</v>
      </c>
      <c r="T22">
        <v>-3</v>
      </c>
      <c r="U22">
        <v>-3</v>
      </c>
      <c r="V22">
        <v>-3</v>
      </c>
      <c r="W22">
        <v>-3</v>
      </c>
      <c r="X22">
        <v>-3</v>
      </c>
      <c r="Y22">
        <v>-3</v>
      </c>
      <c r="Z22">
        <v>-3</v>
      </c>
      <c r="AA22">
        <v>-3</v>
      </c>
      <c r="AB22">
        <v>-3</v>
      </c>
      <c r="AC22">
        <v>-3</v>
      </c>
      <c r="AD22">
        <v>-3</v>
      </c>
      <c r="AE22">
        <v>-3</v>
      </c>
      <c r="AF22">
        <v>-3</v>
      </c>
      <c r="AG22">
        <v>-3</v>
      </c>
      <c r="AH22">
        <v>-3</v>
      </c>
      <c r="AI22">
        <v>-3</v>
      </c>
      <c r="AJ22">
        <v>-3</v>
      </c>
      <c r="AK22">
        <v>-3</v>
      </c>
      <c r="AL22">
        <v>-3</v>
      </c>
      <c r="AM22">
        <v>-3</v>
      </c>
      <c r="AN22">
        <v>-3</v>
      </c>
      <c r="AO22">
        <v>-3</v>
      </c>
      <c r="AP22">
        <v>-3</v>
      </c>
      <c r="AQ22">
        <v>-3</v>
      </c>
    </row>
    <row r="23" spans="1:43" hidden="1" collapsed="1" x14ac:dyDescent="0.15"/>
    <row r="24" spans="1:43" s="170" customFormat="1" x14ac:dyDescent="0.15">
      <c r="A24" s="169" t="s">
        <v>1081</v>
      </c>
    </row>
    <row r="25" spans="1:43" outlineLevel="1" x14ac:dyDescent="0.15">
      <c r="A25" s="1"/>
    </row>
    <row r="26" spans="1:43" outlineLevel="1" x14ac:dyDescent="0.15">
      <c r="A26" s="1" t="s">
        <v>1082</v>
      </c>
      <c r="B26" s="1">
        <v>2019</v>
      </c>
      <c r="C26" s="1">
        <v>2020</v>
      </c>
      <c r="D26" s="1">
        <v>2021</v>
      </c>
      <c r="E26" s="1">
        <v>2022</v>
      </c>
      <c r="F26" s="1">
        <v>2023</v>
      </c>
      <c r="G26" s="1">
        <v>2024</v>
      </c>
      <c r="H26" s="1">
        <v>2025</v>
      </c>
      <c r="I26" s="1" t="s">
        <v>1083</v>
      </c>
      <c r="P26">
        <v>2019</v>
      </c>
      <c r="S26">
        <v>2020</v>
      </c>
      <c r="V26">
        <v>2021</v>
      </c>
      <c r="Y26">
        <v>2022</v>
      </c>
      <c r="AB26">
        <v>2023</v>
      </c>
      <c r="AE26">
        <v>2024</v>
      </c>
      <c r="AH26">
        <v>2025</v>
      </c>
    </row>
    <row r="27" spans="1:43" outlineLevel="1" x14ac:dyDescent="0.15">
      <c r="A27" t="s">
        <v>1084</v>
      </c>
      <c r="B27" s="171">
        <f>SUM(P27:R27)/SUM($P$27:$R$33)</f>
        <v>2.8398669344420438E-2</v>
      </c>
      <c r="C27" s="171">
        <f>SUM(S27:U27)/SUM($S$27:$U$33)</f>
        <v>4.9084064304533354E-2</v>
      </c>
      <c r="D27" s="171">
        <f>SUM(V27:X27)/SUM($V$27:$X$33)</f>
        <v>0.11173894602183086</v>
      </c>
      <c r="E27" s="171">
        <f>SUM(Y27:AA27)/SUM($Y$27:$AA$33)</f>
        <v>0.20473196589904938</v>
      </c>
      <c r="F27" s="171">
        <f>SUM(AB27:AD27)/SUM($AB$27:$AD$33)</f>
        <v>0.22711008231198682</v>
      </c>
      <c r="G27" s="171">
        <f>SUM(AE27:AG27)/SUM($AE$27:$AG$33)</f>
        <v>0.28024753748906645</v>
      </c>
      <c r="H27" s="171">
        <f>SUM(AH27:AJ27)/SUM($AH$27:$AJ$33)</f>
        <v>0.3311744710261757</v>
      </c>
      <c r="I27" s="31" t="s">
        <v>1085</v>
      </c>
      <c r="P27" s="190">
        <v>252409.47100517977</v>
      </c>
      <c r="Q27" s="190">
        <v>403462.34471683868</v>
      </c>
      <c r="R27" s="190">
        <v>46.762963267709374</v>
      </c>
      <c r="S27" s="190">
        <v>183215.97705410654</v>
      </c>
      <c r="T27" s="190">
        <v>818910.44843899051</v>
      </c>
      <c r="U27" s="190">
        <v>648</v>
      </c>
      <c r="V27" s="190">
        <v>360457</v>
      </c>
      <c r="W27" s="190">
        <v>2216659.6099312748</v>
      </c>
      <c r="X27" s="190">
        <v>72</v>
      </c>
      <c r="Y27" s="190">
        <v>681965.93771459977</v>
      </c>
      <c r="Z27" s="190">
        <v>3719619.6250338</v>
      </c>
      <c r="AA27" s="190">
        <v>128</v>
      </c>
      <c r="AB27" s="198">
        <v>4802067.5903756963</v>
      </c>
      <c r="AC27" s="198">
        <v>750543</v>
      </c>
      <c r="AD27" s="198">
        <v>477</v>
      </c>
      <c r="AE27" s="198">
        <v>665712</v>
      </c>
      <c r="AF27" s="198">
        <v>6305814.47300262</v>
      </c>
      <c r="AG27" s="198">
        <v>229</v>
      </c>
      <c r="AH27">
        <v>7813240</v>
      </c>
    </row>
    <row r="28" spans="1:43" outlineLevel="1" x14ac:dyDescent="0.15">
      <c r="A28" t="s">
        <v>1086</v>
      </c>
      <c r="B28" s="171">
        <f t="shared" ref="B28:B33" si="0">SUM(P28:R28)/SUM($P$27:$R$33)</f>
        <v>4.9332912144659444E-3</v>
      </c>
      <c r="C28" s="171">
        <f t="shared" ref="C28:C33" si="1">SUM(S28:U28)/SUM($S$27:$U$33)</f>
        <v>2.1886925656920929E-3</v>
      </c>
      <c r="D28" s="171">
        <f t="shared" ref="D28:D33" si="2">SUM(V28:X28)/SUM($V$27:$X$33)</f>
        <v>1.9708669925657483E-3</v>
      </c>
      <c r="E28" s="171">
        <f t="shared" ref="E28:E33" si="3">SUM(Y28:AA28)/SUM($Y$27:$AA$33)</f>
        <v>3.1157265518408951E-3</v>
      </c>
      <c r="F28" s="171">
        <f t="shared" ref="F28:F33" si="4">SUM(AB28:AD28)/SUM($AB$27:$AD$33)</f>
        <v>2.3295546288881978E-3</v>
      </c>
      <c r="G28" s="171">
        <f t="shared" ref="G28:G33" si="5">SUM(AE28:AG28)/SUM($AE$27:$AG$33)</f>
        <v>1.6377150505540062E-3</v>
      </c>
      <c r="H28" s="171">
        <f t="shared" ref="H28:H33" si="6">SUM(AH28:AJ28)/SUM($AH$27:$AJ$33)</f>
        <v>1.2829066705424715E-3</v>
      </c>
      <c r="I28" t="s">
        <v>1087</v>
      </c>
      <c r="P28" s="190">
        <v>101792.34308760613</v>
      </c>
      <c r="Q28" s="190">
        <v>11971.318596533596</v>
      </c>
      <c r="R28" s="190">
        <v>179.61229073279281</v>
      </c>
      <c r="S28" s="190">
        <v>41633.975901577789</v>
      </c>
      <c r="T28" s="190">
        <v>2996.4331686628529</v>
      </c>
      <c r="U28" s="190">
        <v>84</v>
      </c>
      <c r="V28" s="190">
        <v>40954</v>
      </c>
      <c r="W28" s="190">
        <v>4502.8093378793083</v>
      </c>
      <c r="Y28" s="190">
        <v>57404.580698700003</v>
      </c>
      <c r="Z28" s="190">
        <v>9578.1794238000002</v>
      </c>
      <c r="AA28" s="190">
        <v>5</v>
      </c>
      <c r="AB28" s="198">
        <v>19339.1347905396</v>
      </c>
      <c r="AC28" s="198">
        <v>37620</v>
      </c>
      <c r="AD28" s="198">
        <v>1</v>
      </c>
      <c r="AE28" s="198">
        <v>21672</v>
      </c>
      <c r="AF28" s="198">
        <v>19057.656355728399</v>
      </c>
      <c r="AG28" s="198">
        <v>12</v>
      </c>
      <c r="AH28">
        <v>30267</v>
      </c>
    </row>
    <row r="29" spans="1:43" outlineLevel="1" x14ac:dyDescent="0.15">
      <c r="A29" t="s">
        <v>1088</v>
      </c>
      <c r="B29" s="171">
        <f t="shared" si="0"/>
        <v>0.93282467055138807</v>
      </c>
      <c r="C29" s="171">
        <f t="shared" si="1"/>
        <v>0.89978419907007123</v>
      </c>
      <c r="D29" s="171">
        <f t="shared" si="2"/>
        <v>0.82057542267949546</v>
      </c>
      <c r="E29" s="171">
        <f t="shared" si="3"/>
        <v>0.676374417409211</v>
      </c>
      <c r="F29" s="171">
        <f t="shared" si="4"/>
        <v>0.61819670923310865</v>
      </c>
      <c r="G29" s="171">
        <f t="shared" si="5"/>
        <v>0.47152831665633038</v>
      </c>
      <c r="H29" s="171">
        <f t="shared" si="6"/>
        <v>0.42748555167000185</v>
      </c>
      <c r="P29" s="190">
        <v>252202.2260543342</v>
      </c>
      <c r="Q29" s="190">
        <v>21292753.300209127</v>
      </c>
      <c r="R29" s="190">
        <v>315.65000205703831</v>
      </c>
      <c r="S29" s="190">
        <v>144897.72638014751</v>
      </c>
      <c r="T29" s="190">
        <v>18237025</v>
      </c>
      <c r="U29" s="190">
        <v>430</v>
      </c>
      <c r="V29" s="190">
        <v>102998</v>
      </c>
      <c r="W29" s="190">
        <v>18822929.743957162</v>
      </c>
      <c r="X29" s="190">
        <v>129</v>
      </c>
      <c r="Y29" s="190">
        <v>68753.66296050002</v>
      </c>
      <c r="Z29" s="190">
        <v>14473200</v>
      </c>
      <c r="AA29" s="190">
        <v>18</v>
      </c>
      <c r="AB29" s="198">
        <v>15006032.367971901</v>
      </c>
      <c r="AC29" s="198">
        <v>109502</v>
      </c>
      <c r="AD29" s="198">
        <v>45</v>
      </c>
      <c r="AE29" s="198">
        <v>89217</v>
      </c>
      <c r="AF29" s="198">
        <v>11641034</v>
      </c>
      <c r="AG29" s="198">
        <v>22</v>
      </c>
      <c r="AH29">
        <v>10085461</v>
      </c>
    </row>
    <row r="30" spans="1:43" outlineLevel="1" x14ac:dyDescent="0.15">
      <c r="A30" t="s">
        <v>408</v>
      </c>
      <c r="B30" s="171">
        <f t="shared" si="0"/>
        <v>7.2660568020321958E-3</v>
      </c>
      <c r="C30" s="171">
        <f t="shared" si="1"/>
        <v>9.2187865886665665E-3</v>
      </c>
      <c r="D30" s="171">
        <f t="shared" si="2"/>
        <v>8.9127757650459081E-3</v>
      </c>
      <c r="E30" s="171">
        <f t="shared" si="3"/>
        <v>6.8503054951179381E-3</v>
      </c>
      <c r="F30" s="171">
        <f t="shared" si="4"/>
        <v>7.1944290746785572E-3</v>
      </c>
      <c r="G30" s="171">
        <f t="shared" si="5"/>
        <v>8.4500017667600612E-4</v>
      </c>
      <c r="H30" s="171">
        <f t="shared" si="6"/>
        <v>1.325377760636751E-3</v>
      </c>
      <c r="P30" s="190">
        <v>12686.579375605608</v>
      </c>
      <c r="Q30" s="190">
        <v>155130.81666752725</v>
      </c>
      <c r="R30" s="190">
        <v>5.3139730986033378</v>
      </c>
      <c r="S30" s="190">
        <v>14686.366845552466</v>
      </c>
      <c r="T30" s="190">
        <v>173337</v>
      </c>
      <c r="U30" s="190">
        <v>314</v>
      </c>
      <c r="V30" s="190">
        <v>11325</v>
      </c>
      <c r="W30" s="190">
        <v>194226.57515915803</v>
      </c>
      <c r="X30" s="190">
        <v>16</v>
      </c>
      <c r="Y30" s="190">
        <v>8094.7750095000001</v>
      </c>
      <c r="Z30" s="190">
        <v>139157</v>
      </c>
      <c r="AA30" s="190">
        <v>29</v>
      </c>
      <c r="AB30" s="198">
        <v>163258.586168832</v>
      </c>
      <c r="AC30" s="198">
        <v>12645</v>
      </c>
      <c r="AD30" s="198">
        <v>8</v>
      </c>
      <c r="AE30" s="198">
        <v>1194</v>
      </c>
      <c r="AF30" s="198">
        <v>19826.182413276201</v>
      </c>
      <c r="AG30" s="198">
        <v>1</v>
      </c>
      <c r="AH30" s="198">
        <v>31269</v>
      </c>
    </row>
    <row r="31" spans="1:43" outlineLevel="1" x14ac:dyDescent="0.15">
      <c r="A31" t="s">
        <v>1089</v>
      </c>
      <c r="B31" s="171">
        <f t="shared" si="0"/>
        <v>2.6568017100935034E-2</v>
      </c>
      <c r="C31" s="171">
        <f t="shared" si="1"/>
        <v>3.9724257471036896E-2</v>
      </c>
      <c r="D31" s="171">
        <f t="shared" si="2"/>
        <v>5.67660578729254E-2</v>
      </c>
      <c r="E31" s="171">
        <f t="shared" si="3"/>
        <v>0.10891461930870457</v>
      </c>
      <c r="F31" s="171">
        <f t="shared" si="4"/>
        <v>0.14515207843398475</v>
      </c>
      <c r="G31" s="171">
        <f t="shared" si="5"/>
        <v>0.24574023150660915</v>
      </c>
      <c r="H31" s="171">
        <f t="shared" si="6"/>
        <v>0.23873156571369086</v>
      </c>
      <c r="P31" s="190">
        <v>45907.413598834231</v>
      </c>
      <c r="Q31" s="190">
        <v>567728.94393548486</v>
      </c>
      <c r="S31" s="190">
        <v>27650.265159011855</v>
      </c>
      <c r="T31" s="190">
        <v>783905.7872598141</v>
      </c>
      <c r="V31" s="190">
        <v>24893</v>
      </c>
      <c r="W31" s="190">
        <v>1284380.4716883793</v>
      </c>
      <c r="Y31" s="190">
        <v>20432.064780899997</v>
      </c>
      <c r="Z31" s="190">
        <v>2321219.6401076997</v>
      </c>
      <c r="AB31" s="198">
        <v>3495527.59259135</v>
      </c>
      <c r="AC31" s="198">
        <v>53598</v>
      </c>
      <c r="AE31" s="198">
        <v>103167</v>
      </c>
      <c r="AF31" s="198">
        <v>6010145.6067520697</v>
      </c>
      <c r="AH31">
        <v>5632279</v>
      </c>
    </row>
    <row r="32" spans="1:43" outlineLevel="1" x14ac:dyDescent="0.15">
      <c r="A32" t="s">
        <v>1090</v>
      </c>
      <c r="B32" s="171">
        <f t="shared" si="0"/>
        <v>9.2949867580949757E-6</v>
      </c>
      <c r="C32" s="171">
        <f t="shared" si="1"/>
        <v>0</v>
      </c>
      <c r="D32" s="171">
        <f t="shared" si="2"/>
        <v>3.5075743771066782E-5</v>
      </c>
      <c r="E32" s="171">
        <f t="shared" si="3"/>
        <v>0</v>
      </c>
      <c r="F32" s="171">
        <f t="shared" si="4"/>
        <v>0</v>
      </c>
      <c r="G32" s="171">
        <f t="shared" si="5"/>
        <v>0</v>
      </c>
      <c r="H32" s="171">
        <f t="shared" si="6"/>
        <v>0</v>
      </c>
      <c r="P32" s="190">
        <v>214.68451318357486</v>
      </c>
      <c r="Q32" s="190">
        <v>0</v>
      </c>
      <c r="V32" s="190">
        <v>809</v>
      </c>
    </row>
    <row r="33" spans="1:43" outlineLevel="1" x14ac:dyDescent="0.15">
      <c r="A33" t="s">
        <v>1091</v>
      </c>
      <c r="B33" s="171">
        <f t="shared" si="0"/>
        <v>0</v>
      </c>
      <c r="C33" s="171">
        <f t="shared" si="1"/>
        <v>0</v>
      </c>
      <c r="D33" s="171">
        <f t="shared" si="2"/>
        <v>8.5492436543391575E-7</v>
      </c>
      <c r="E33" s="171">
        <f t="shared" si="3"/>
        <v>1.2965336076287102E-5</v>
      </c>
      <c r="F33" s="171">
        <f t="shared" si="4"/>
        <v>1.7146317353128526E-5</v>
      </c>
      <c r="G33" s="171">
        <f t="shared" si="5"/>
        <v>1.1991207641610955E-6</v>
      </c>
      <c r="H33" s="171">
        <f t="shared" si="6"/>
        <v>1.2715895237808223E-7</v>
      </c>
      <c r="P33" s="190">
        <v>0</v>
      </c>
      <c r="V33" s="190">
        <v>10</v>
      </c>
      <c r="W33" s="190">
        <v>9.7182935349913109</v>
      </c>
      <c r="Y33" s="190">
        <v>204.4190313</v>
      </c>
      <c r="Z33" s="190">
        <v>74.334193200000001</v>
      </c>
      <c r="AB33" s="198">
        <v>408.24603762637997</v>
      </c>
      <c r="AC33" s="198">
        <v>1</v>
      </c>
      <c r="AD33" s="198">
        <v>10</v>
      </c>
      <c r="AE33" s="198">
        <v>22</v>
      </c>
      <c r="AF33" s="198">
        <v>7.8306876314920597</v>
      </c>
      <c r="AH33" s="198">
        <v>3</v>
      </c>
    </row>
    <row r="34" spans="1:43" outlineLevel="1" x14ac:dyDescent="0.15">
      <c r="A34" s="173" t="s">
        <v>1092</v>
      </c>
      <c r="B34" s="174">
        <f>SUM(B27:B33)</f>
        <v>0.99999999999999978</v>
      </c>
      <c r="C34" s="174">
        <f t="shared" ref="C34:G34" si="7">SUM(C27:C33)</f>
        <v>1.0000000000000002</v>
      </c>
      <c r="D34" s="174">
        <f t="shared" si="7"/>
        <v>0.99999999999999989</v>
      </c>
      <c r="E34" s="174">
        <f t="shared" si="7"/>
        <v>1</v>
      </c>
      <c r="F34" s="174">
        <f t="shared" si="7"/>
        <v>1</v>
      </c>
      <c r="G34" s="174">
        <f t="shared" si="7"/>
        <v>1.0000000000000002</v>
      </c>
      <c r="H34" s="174">
        <f t="shared" ref="H34" si="8">SUM(H27:H33)</f>
        <v>1.0000000000000002</v>
      </c>
    </row>
    <row r="35" spans="1:43" outlineLevel="1" x14ac:dyDescent="0.15"/>
    <row r="36" spans="1:43" outlineLevel="1" x14ac:dyDescent="0.15">
      <c r="A36" s="1" t="s">
        <v>1093</v>
      </c>
      <c r="B36">
        <f>INDEX($B$11:$AQ$22,MATCH("*"&amp;A24&amp;"*",$A$11:$A$22,0),MATCH(B26,$B$10:$AQ$10,0))</f>
        <v>-3</v>
      </c>
    </row>
    <row r="37" spans="1:43" outlineLevel="1" x14ac:dyDescent="0.15"/>
    <row r="38" spans="1:43" outlineLevel="1" x14ac:dyDescent="0.15">
      <c r="A38" s="1" t="s">
        <v>1094</v>
      </c>
    </row>
    <row r="39" spans="1:43" outlineLevel="1" x14ac:dyDescent="0.15">
      <c r="A39" t="s">
        <v>1068</v>
      </c>
      <c r="B39">
        <v>2019</v>
      </c>
      <c r="C39">
        <v>2020</v>
      </c>
      <c r="D39">
        <v>2021</v>
      </c>
      <c r="E39">
        <v>2022</v>
      </c>
      <c r="F39">
        <v>2023</v>
      </c>
      <c r="G39">
        <v>2024</v>
      </c>
      <c r="H39">
        <v>2025</v>
      </c>
      <c r="I39">
        <v>2026</v>
      </c>
      <c r="J39">
        <v>2027</v>
      </c>
      <c r="K39">
        <v>2028</v>
      </c>
      <c r="L39">
        <v>2029</v>
      </c>
      <c r="M39">
        <v>2030</v>
      </c>
      <c r="N39">
        <v>2031</v>
      </c>
      <c r="O39">
        <v>2032</v>
      </c>
      <c r="P39">
        <v>2033</v>
      </c>
      <c r="Q39">
        <v>2034</v>
      </c>
      <c r="R39">
        <v>2035</v>
      </c>
      <c r="S39">
        <v>2036</v>
      </c>
      <c r="T39">
        <v>2037</v>
      </c>
      <c r="U39">
        <v>2038</v>
      </c>
      <c r="V39">
        <v>2039</v>
      </c>
      <c r="W39">
        <v>2040</v>
      </c>
      <c r="X39">
        <v>2041</v>
      </c>
      <c r="Y39">
        <v>2042</v>
      </c>
      <c r="Z39">
        <v>2043</v>
      </c>
      <c r="AA39">
        <v>2044</v>
      </c>
      <c r="AB39">
        <v>2045</v>
      </c>
      <c r="AC39">
        <v>2046</v>
      </c>
      <c r="AD39">
        <v>2047</v>
      </c>
      <c r="AE39">
        <v>2048</v>
      </c>
      <c r="AF39">
        <v>2049</v>
      </c>
      <c r="AG39">
        <v>2050</v>
      </c>
      <c r="AH39">
        <v>2051</v>
      </c>
      <c r="AI39">
        <v>2052</v>
      </c>
      <c r="AJ39">
        <v>2053</v>
      </c>
      <c r="AK39">
        <v>2054</v>
      </c>
      <c r="AL39">
        <v>2055</v>
      </c>
      <c r="AM39">
        <v>2056</v>
      </c>
      <c r="AN39">
        <v>2057</v>
      </c>
      <c r="AO39">
        <v>2058</v>
      </c>
      <c r="AP39">
        <v>2059</v>
      </c>
      <c r="AQ39">
        <v>2060</v>
      </c>
    </row>
    <row r="40" spans="1:43" outlineLevel="1" x14ac:dyDescent="0.15">
      <c r="A40" t="s">
        <v>1303</v>
      </c>
      <c r="B40">
        <f>INDEX(TCO!$B$2:$AQ$85,MATCH('Historical Shareweights'!$A40,TCO!$A$2:$A$85,0),MATCH('Historical Shareweights'!B$39,TCO!$B$1:$AQ$1,0))</f>
        <v>39238.1</v>
      </c>
      <c r="C40">
        <f>INDEX(TCO!$B$2:$AQ$85,MATCH('Historical Shareweights'!$A40,TCO!$A$2:$A$85,0),MATCH('Historical Shareweights'!C$39,TCO!$B$1:$AQ$1,0))</f>
        <v>39238.1</v>
      </c>
      <c r="D40">
        <f>INDEX(TCO!$B$2:$AQ$85,MATCH('Historical Shareweights'!$A40,TCO!$A$2:$A$85,0),MATCH('Historical Shareweights'!D$39,TCO!$B$1:$AQ$1,0))</f>
        <v>37767.9</v>
      </c>
      <c r="E40">
        <f>INDEX(TCO!$B$2:$AQ$85,MATCH('Historical Shareweights'!$A40,TCO!$A$2:$A$85,0),MATCH('Historical Shareweights'!E$39,TCO!$B$1:$AQ$1,0))</f>
        <v>36755</v>
      </c>
      <c r="F40">
        <f>INDEX(TCO!$B$2:$AQ$85,MATCH('Historical Shareweights'!$A40,TCO!$A$2:$A$85,0),MATCH('Historical Shareweights'!F$39,TCO!$B$1:$AQ$1,0))</f>
        <v>36200.1</v>
      </c>
      <c r="G40">
        <f>INDEX(TCO!$B$2:$AQ$85,MATCH('Historical Shareweights'!$A40,TCO!$A$2:$A$85,0),MATCH('Historical Shareweights'!G$39,TCO!$B$1:$AQ$1,0))</f>
        <v>35791.1</v>
      </c>
      <c r="H40">
        <f>INDEX(TCO!$B$2:$AQ$85,MATCH('Historical Shareweights'!$A40,TCO!$A$2:$A$85,0),MATCH('Historical Shareweights'!H$39,TCO!$B$1:$AQ$1,0))</f>
        <v>35528.1</v>
      </c>
      <c r="I40">
        <f>INDEX(TCO!$B$2:$AQ$85,MATCH('Historical Shareweights'!$A40,TCO!$A$2:$A$85,0),MATCH('Historical Shareweights'!I$39,TCO!$B$1:$AQ$1,0))</f>
        <v>35174.9</v>
      </c>
      <c r="J40">
        <f>INDEX(TCO!$B$2:$AQ$85,MATCH('Historical Shareweights'!$A40,TCO!$A$2:$A$85,0),MATCH('Historical Shareweights'!J$39,TCO!$B$1:$AQ$1,0))</f>
        <v>34865.9</v>
      </c>
      <c r="K40">
        <f>INDEX(TCO!$B$2:$AQ$85,MATCH('Historical Shareweights'!$A40,TCO!$A$2:$A$85,0),MATCH('Historical Shareweights'!K$39,TCO!$B$1:$AQ$1,0))</f>
        <v>34420.1</v>
      </c>
      <c r="L40">
        <f>INDEX(TCO!$B$2:$AQ$85,MATCH('Historical Shareweights'!$A40,TCO!$A$2:$A$85,0),MATCH('Historical Shareweights'!L$39,TCO!$B$1:$AQ$1,0))</f>
        <v>34134.699999999997</v>
      </c>
      <c r="M40">
        <f>INDEX(TCO!$B$2:$AQ$85,MATCH('Historical Shareweights'!$A40,TCO!$A$2:$A$85,0),MATCH('Historical Shareweights'!M$39,TCO!$B$1:$AQ$1,0))</f>
        <v>33621.800000000003</v>
      </c>
      <c r="N40">
        <f>INDEX(TCO!$B$2:$AQ$85,MATCH('Historical Shareweights'!$A40,TCO!$A$2:$A$85,0),MATCH('Historical Shareweights'!N$39,TCO!$B$1:$AQ$1,0))</f>
        <v>33312.400000000001</v>
      </c>
      <c r="O40">
        <f>INDEX(TCO!$B$2:$AQ$85,MATCH('Historical Shareweights'!$A40,TCO!$A$2:$A$85,0),MATCH('Historical Shareweights'!O$39,TCO!$B$1:$AQ$1,0))</f>
        <v>33050.300000000003</v>
      </c>
      <c r="P40">
        <f>INDEX(TCO!$B$2:$AQ$85,MATCH('Historical Shareweights'!$A40,TCO!$A$2:$A$85,0),MATCH('Historical Shareweights'!P$39,TCO!$B$1:$AQ$1,0))</f>
        <v>32805.800000000003</v>
      </c>
      <c r="Q40">
        <f>INDEX(TCO!$B$2:$AQ$85,MATCH('Historical Shareweights'!$A40,TCO!$A$2:$A$85,0),MATCH('Historical Shareweights'!Q$39,TCO!$B$1:$AQ$1,0))</f>
        <v>32599.4</v>
      </c>
      <c r="R40">
        <f>INDEX(TCO!$B$2:$AQ$85,MATCH('Historical Shareweights'!$A40,TCO!$A$2:$A$85,0),MATCH('Historical Shareweights'!R$39,TCO!$B$1:$AQ$1,0))</f>
        <v>32424</v>
      </c>
      <c r="S40">
        <f>INDEX(TCO!$B$2:$AQ$85,MATCH('Historical Shareweights'!$A40,TCO!$A$2:$A$85,0),MATCH('Historical Shareweights'!S$39,TCO!$B$1:$AQ$1,0))</f>
        <v>32267.7</v>
      </c>
      <c r="T40">
        <f>INDEX(TCO!$B$2:$AQ$85,MATCH('Historical Shareweights'!$A40,TCO!$A$2:$A$85,0),MATCH('Historical Shareweights'!T$39,TCO!$B$1:$AQ$1,0))</f>
        <v>32131</v>
      </c>
      <c r="U40">
        <f>INDEX(TCO!$B$2:$AQ$85,MATCH('Historical Shareweights'!$A40,TCO!$A$2:$A$85,0),MATCH('Historical Shareweights'!U$39,TCO!$B$1:$AQ$1,0))</f>
        <v>32014</v>
      </c>
      <c r="V40">
        <f>INDEX(TCO!$B$2:$AQ$85,MATCH('Historical Shareweights'!$A40,TCO!$A$2:$A$85,0),MATCH('Historical Shareweights'!V$39,TCO!$B$1:$AQ$1,0))</f>
        <v>31913.7</v>
      </c>
      <c r="W40">
        <f>INDEX(TCO!$B$2:$AQ$85,MATCH('Historical Shareweights'!$A40,TCO!$A$2:$A$85,0),MATCH('Historical Shareweights'!W$39,TCO!$B$1:$AQ$1,0))</f>
        <v>31818.7</v>
      </c>
      <c r="X40">
        <f>INDEX(TCO!$B$2:$AQ$85,MATCH('Historical Shareweights'!$A40,TCO!$A$2:$A$85,0),MATCH('Historical Shareweights'!X$39,TCO!$B$1:$AQ$1,0))</f>
        <v>31731</v>
      </c>
      <c r="Y40">
        <f>INDEX(TCO!$B$2:$AQ$85,MATCH('Historical Shareweights'!$A40,TCO!$A$2:$A$85,0),MATCH('Historical Shareweights'!Y$39,TCO!$B$1:$AQ$1,0))</f>
        <v>31655.7</v>
      </c>
      <c r="Z40">
        <f>INDEX(TCO!$B$2:$AQ$85,MATCH('Historical Shareweights'!$A40,TCO!$A$2:$A$85,0),MATCH('Historical Shareweights'!Z$39,TCO!$B$1:$AQ$1,0))</f>
        <v>31587.7</v>
      </c>
      <c r="AA40">
        <f>INDEX(TCO!$B$2:$AQ$85,MATCH('Historical Shareweights'!$A40,TCO!$A$2:$A$85,0),MATCH('Historical Shareweights'!AA$39,TCO!$B$1:$AQ$1,0))</f>
        <v>31525.8</v>
      </c>
      <c r="AB40">
        <f>INDEX(TCO!$B$2:$AQ$85,MATCH('Historical Shareweights'!$A40,TCO!$A$2:$A$85,0),MATCH('Historical Shareweights'!AB$39,TCO!$B$1:$AQ$1,0))</f>
        <v>31469.7</v>
      </c>
      <c r="AC40">
        <f>INDEX(TCO!$B$2:$AQ$85,MATCH('Historical Shareweights'!$A40,TCO!$A$2:$A$85,0),MATCH('Historical Shareweights'!AC$39,TCO!$B$1:$AQ$1,0))</f>
        <v>31414.799999999999</v>
      </c>
      <c r="AD40">
        <f>INDEX(TCO!$B$2:$AQ$85,MATCH('Historical Shareweights'!$A40,TCO!$A$2:$A$85,0),MATCH('Historical Shareweights'!AD$39,TCO!$B$1:$AQ$1,0))</f>
        <v>31367.3</v>
      </c>
      <c r="AE40">
        <f>INDEX(TCO!$B$2:$AQ$85,MATCH('Historical Shareweights'!$A40,TCO!$A$2:$A$85,0),MATCH('Historical Shareweights'!AE$39,TCO!$B$1:$AQ$1,0))</f>
        <v>31323.9</v>
      </c>
      <c r="AF40">
        <f>INDEX(TCO!$B$2:$AQ$85,MATCH('Historical Shareweights'!$A40,TCO!$A$2:$A$85,0),MATCH('Historical Shareweights'!AF$39,TCO!$B$1:$AQ$1,0))</f>
        <v>31279.599999999999</v>
      </c>
      <c r="AG40">
        <f>INDEX(TCO!$B$2:$AQ$85,MATCH('Historical Shareweights'!$A40,TCO!$A$2:$A$85,0),MATCH('Historical Shareweights'!AG$39,TCO!$B$1:$AQ$1,0))</f>
        <v>31242.2</v>
      </c>
      <c r="AH40">
        <f>INDEX(TCO!$B$2:$AQ$85,MATCH('Historical Shareweights'!$A40,TCO!$A$2:$A$85,0),MATCH('Historical Shareweights'!AH$39,TCO!$B$1:$AQ$1,0))</f>
        <v>31207.200000000001</v>
      </c>
      <c r="AI40">
        <f>INDEX(TCO!$B$2:$AQ$85,MATCH('Historical Shareweights'!$A40,TCO!$A$2:$A$85,0),MATCH('Historical Shareweights'!AI$39,TCO!$B$1:$AQ$1,0))</f>
        <v>31170.5</v>
      </c>
      <c r="AJ40">
        <f>INDEX(TCO!$B$2:$AQ$85,MATCH('Historical Shareweights'!$A40,TCO!$A$2:$A$85,0),MATCH('Historical Shareweights'!AJ$39,TCO!$B$1:$AQ$1,0))</f>
        <v>31139.9</v>
      </c>
      <c r="AK40">
        <f>INDEX(TCO!$B$2:$AQ$85,MATCH('Historical Shareweights'!$A40,TCO!$A$2:$A$85,0),MATCH('Historical Shareweights'!AK$39,TCO!$B$1:$AQ$1,0))</f>
        <v>31110.799999999999</v>
      </c>
      <c r="AL40">
        <f>INDEX(TCO!$B$2:$AQ$85,MATCH('Historical Shareweights'!$A40,TCO!$A$2:$A$85,0),MATCH('Historical Shareweights'!AL$39,TCO!$B$1:$AQ$1,0))</f>
        <v>31080.1</v>
      </c>
      <c r="AM40">
        <f>INDEX(TCO!$B$2:$AQ$85,MATCH('Historical Shareweights'!$A40,TCO!$A$2:$A$85,0),MATCH('Historical Shareweights'!AM$39,TCO!$B$1:$AQ$1,0))</f>
        <v>31054.400000000001</v>
      </c>
      <c r="AN40">
        <f>INDEX(TCO!$B$2:$AQ$85,MATCH('Historical Shareweights'!$A40,TCO!$A$2:$A$85,0),MATCH('Historical Shareweights'!AN$39,TCO!$B$1:$AQ$1,0))</f>
        <v>31029.8</v>
      </c>
      <c r="AO40">
        <f>INDEX(TCO!$B$2:$AQ$85,MATCH('Historical Shareweights'!$A40,TCO!$A$2:$A$85,0),MATCH('Historical Shareweights'!AO$39,TCO!$B$1:$AQ$1,0))</f>
        <v>31003.200000000001</v>
      </c>
      <c r="AP40">
        <f>INDEX(TCO!$B$2:$AQ$85,MATCH('Historical Shareweights'!$A40,TCO!$A$2:$A$85,0),MATCH('Historical Shareweights'!AP$39,TCO!$B$1:$AQ$1,0))</f>
        <v>30980.9</v>
      </c>
      <c r="AQ40">
        <f>INDEX(TCO!$B$2:$AQ$85,MATCH('Historical Shareweights'!$A40,TCO!$A$2:$A$85,0),MATCH('Historical Shareweights'!AQ$39,TCO!$B$1:$AQ$1,0))</f>
        <v>30959.9</v>
      </c>
    </row>
    <row r="41" spans="1:43" outlineLevel="1" x14ac:dyDescent="0.15">
      <c r="A41" t="s">
        <v>1095</v>
      </c>
      <c r="B41">
        <f>INDEX(TCO!$B$2:$AQ$85,MATCH('Historical Shareweights'!$A41,TCO!$A$2:$A$85,0),MATCH('Historical Shareweights'!B$39,TCO!$B$1:$AQ$1,0))</f>
        <v>50763.3</v>
      </c>
      <c r="C41">
        <f>INDEX(TCO!$B$2:$AQ$85,MATCH('Historical Shareweights'!$A41,TCO!$A$2:$A$85,0),MATCH('Historical Shareweights'!C$39,TCO!$B$1:$AQ$1,0))</f>
        <v>50763.3</v>
      </c>
      <c r="D41">
        <f>INDEX(TCO!$B$2:$AQ$85,MATCH('Historical Shareweights'!$A41,TCO!$A$2:$A$85,0),MATCH('Historical Shareweights'!D$39,TCO!$B$1:$AQ$1,0))</f>
        <v>50853</v>
      </c>
      <c r="E41">
        <f>INDEX(TCO!$B$2:$AQ$85,MATCH('Historical Shareweights'!$A41,TCO!$A$2:$A$85,0),MATCH('Historical Shareweights'!E$39,TCO!$B$1:$AQ$1,0))</f>
        <v>50140.800000000003</v>
      </c>
      <c r="F41">
        <f>INDEX(TCO!$B$2:$AQ$85,MATCH('Historical Shareweights'!$A41,TCO!$A$2:$A$85,0),MATCH('Historical Shareweights'!F$39,TCO!$B$1:$AQ$1,0))</f>
        <v>49940</v>
      </c>
      <c r="G41">
        <f>INDEX(TCO!$B$2:$AQ$85,MATCH('Historical Shareweights'!$A41,TCO!$A$2:$A$85,0),MATCH('Historical Shareweights'!G$39,TCO!$B$1:$AQ$1,0))</f>
        <v>49892.5</v>
      </c>
      <c r="H41">
        <f>INDEX(TCO!$B$2:$AQ$85,MATCH('Historical Shareweights'!$A41,TCO!$A$2:$A$85,0),MATCH('Historical Shareweights'!H$39,TCO!$B$1:$AQ$1,0))</f>
        <v>49908.800000000003</v>
      </c>
      <c r="I41">
        <f>INDEX(TCO!$B$2:$AQ$85,MATCH('Historical Shareweights'!$A41,TCO!$A$2:$A$85,0),MATCH('Historical Shareweights'!I$39,TCO!$B$1:$AQ$1,0))</f>
        <v>49925</v>
      </c>
      <c r="J41">
        <f>INDEX(TCO!$B$2:$AQ$85,MATCH('Historical Shareweights'!$A41,TCO!$A$2:$A$85,0),MATCH('Historical Shareweights'!J$39,TCO!$B$1:$AQ$1,0))</f>
        <v>50158.400000000001</v>
      </c>
      <c r="K41">
        <f>INDEX(TCO!$B$2:$AQ$85,MATCH('Historical Shareweights'!$A41,TCO!$A$2:$A$85,0),MATCH('Historical Shareweights'!K$39,TCO!$B$1:$AQ$1,0))</f>
        <v>50391.7</v>
      </c>
      <c r="L41">
        <f>INDEX(TCO!$B$2:$AQ$85,MATCH('Historical Shareweights'!$A41,TCO!$A$2:$A$85,0),MATCH('Historical Shareweights'!L$39,TCO!$B$1:$AQ$1,0))</f>
        <v>50344.2</v>
      </c>
      <c r="M41">
        <f>INDEX(TCO!$B$2:$AQ$85,MATCH('Historical Shareweights'!$A41,TCO!$A$2:$A$85,0),MATCH('Historical Shareweights'!M$39,TCO!$B$1:$AQ$1,0))</f>
        <v>50299.5</v>
      </c>
      <c r="N41">
        <f>INDEX(TCO!$B$2:$AQ$85,MATCH('Historical Shareweights'!$A41,TCO!$A$2:$A$85,0),MATCH('Historical Shareweights'!N$39,TCO!$B$1:$AQ$1,0))</f>
        <v>50391.7</v>
      </c>
      <c r="O41">
        <f>INDEX(TCO!$B$2:$AQ$85,MATCH('Historical Shareweights'!$A41,TCO!$A$2:$A$85,0),MATCH('Historical Shareweights'!O$39,TCO!$B$1:$AQ$1,0))</f>
        <v>50344.2</v>
      </c>
      <c r="P41">
        <f>INDEX(TCO!$B$2:$AQ$85,MATCH('Historical Shareweights'!$A41,TCO!$A$2:$A$85,0),MATCH('Historical Shareweights'!P$39,TCO!$B$1:$AQ$1,0))</f>
        <v>50314.400000000001</v>
      </c>
      <c r="Q41">
        <f>INDEX(TCO!$B$2:$AQ$85,MATCH('Historical Shareweights'!$A41,TCO!$A$2:$A$85,0),MATCH('Historical Shareweights'!Q$39,TCO!$B$1:$AQ$1,0))</f>
        <v>50283.199999999997</v>
      </c>
      <c r="R41">
        <f>INDEX(TCO!$B$2:$AQ$85,MATCH('Historical Shareweights'!$A41,TCO!$A$2:$A$85,0),MATCH('Historical Shareweights'!R$39,TCO!$B$1:$AQ$1,0))</f>
        <v>50253.3</v>
      </c>
      <c r="S41">
        <f>INDEX(TCO!$B$2:$AQ$85,MATCH('Historical Shareweights'!$A41,TCO!$A$2:$A$85,0),MATCH('Historical Shareweights'!S$39,TCO!$B$1:$AQ$1,0))</f>
        <v>50220.800000000003</v>
      </c>
      <c r="T41">
        <f>INDEX(TCO!$B$2:$AQ$85,MATCH('Historical Shareweights'!$A41,TCO!$A$2:$A$85,0),MATCH('Historical Shareweights'!T$39,TCO!$B$1:$AQ$1,0))</f>
        <v>50189.599999999999</v>
      </c>
      <c r="U41">
        <f>INDEX(TCO!$B$2:$AQ$85,MATCH('Historical Shareweights'!$A41,TCO!$A$2:$A$85,0),MATCH('Historical Shareweights'!U$39,TCO!$B$1:$AQ$1,0))</f>
        <v>50173.3</v>
      </c>
      <c r="V41">
        <f>INDEX(TCO!$B$2:$AQ$85,MATCH('Historical Shareweights'!$A41,TCO!$A$2:$A$85,0),MATCH('Historical Shareweights'!V$39,TCO!$B$1:$AQ$1,0))</f>
        <v>50143.5</v>
      </c>
      <c r="W41">
        <f>INDEX(TCO!$B$2:$AQ$85,MATCH('Historical Shareweights'!$A41,TCO!$A$2:$A$85,0),MATCH('Historical Shareweights'!W$39,TCO!$B$1:$AQ$1,0))</f>
        <v>50127.199999999997</v>
      </c>
      <c r="X41">
        <f>INDEX(TCO!$B$2:$AQ$85,MATCH('Historical Shareweights'!$A41,TCO!$A$2:$A$85,0),MATCH('Historical Shareweights'!X$39,TCO!$B$1:$AQ$1,0))</f>
        <v>50110.9</v>
      </c>
      <c r="Y41">
        <f>INDEX(TCO!$B$2:$AQ$85,MATCH('Historical Shareweights'!$A41,TCO!$A$2:$A$85,0),MATCH('Historical Shareweights'!Y$39,TCO!$B$1:$AQ$1,0))</f>
        <v>50096</v>
      </c>
      <c r="Z41">
        <f>INDEX(TCO!$B$2:$AQ$85,MATCH('Historical Shareweights'!$A41,TCO!$A$2:$A$85,0),MATCH('Historical Shareweights'!Z$39,TCO!$B$1:$AQ$1,0))</f>
        <v>50081.1</v>
      </c>
      <c r="AA41">
        <f>INDEX(TCO!$B$2:$AQ$85,MATCH('Historical Shareweights'!$A41,TCO!$A$2:$A$85,0),MATCH('Historical Shareweights'!AA$39,TCO!$B$1:$AQ$1,0))</f>
        <v>50066.1</v>
      </c>
      <c r="AB41">
        <f>INDEX(TCO!$B$2:$AQ$85,MATCH('Historical Shareweights'!$A41,TCO!$A$2:$A$85,0),MATCH('Historical Shareweights'!AB$39,TCO!$B$1:$AQ$1,0))</f>
        <v>50064.800000000003</v>
      </c>
      <c r="AC41">
        <f>INDEX(TCO!$B$2:$AQ$85,MATCH('Historical Shareweights'!$A41,TCO!$A$2:$A$85,0),MATCH('Historical Shareweights'!AC$39,TCO!$B$1:$AQ$1,0))</f>
        <v>50064.800000000003</v>
      </c>
      <c r="AD41">
        <f>INDEX(TCO!$B$2:$AQ$85,MATCH('Historical Shareweights'!$A41,TCO!$A$2:$A$85,0),MATCH('Historical Shareweights'!AD$39,TCO!$B$1:$AQ$1,0))</f>
        <v>50049.9</v>
      </c>
      <c r="AE41">
        <f>INDEX(TCO!$B$2:$AQ$85,MATCH('Historical Shareweights'!$A41,TCO!$A$2:$A$85,0),MATCH('Historical Shareweights'!AE$39,TCO!$B$1:$AQ$1,0))</f>
        <v>50048.5</v>
      </c>
      <c r="AF41">
        <f>INDEX(TCO!$B$2:$AQ$85,MATCH('Historical Shareweights'!$A41,TCO!$A$2:$A$85,0),MATCH('Historical Shareweights'!AF$39,TCO!$B$1:$AQ$1,0))</f>
        <v>50033.599999999999</v>
      </c>
      <c r="AG41">
        <f>INDEX(TCO!$B$2:$AQ$85,MATCH('Historical Shareweights'!$A41,TCO!$A$2:$A$85,0),MATCH('Historical Shareweights'!AG$39,TCO!$B$1:$AQ$1,0))</f>
        <v>50033.599999999999</v>
      </c>
      <c r="AH41">
        <f>INDEX(TCO!$B$2:$AQ$85,MATCH('Historical Shareweights'!$A41,TCO!$A$2:$A$85,0),MATCH('Historical Shareweights'!AH$39,TCO!$B$1:$AQ$1,0))</f>
        <v>50018.6</v>
      </c>
      <c r="AI41">
        <f>INDEX(TCO!$B$2:$AQ$85,MATCH('Historical Shareweights'!$A41,TCO!$A$2:$A$85,0),MATCH('Historical Shareweights'!AI$39,TCO!$B$1:$AQ$1,0))</f>
        <v>50017.3</v>
      </c>
      <c r="AJ41">
        <f>INDEX(TCO!$B$2:$AQ$85,MATCH('Historical Shareweights'!$A41,TCO!$A$2:$A$85,0),MATCH('Historical Shareweights'!AJ$39,TCO!$B$1:$AQ$1,0))</f>
        <v>50002.400000000001</v>
      </c>
      <c r="AK41">
        <f>INDEX(TCO!$B$2:$AQ$85,MATCH('Historical Shareweights'!$A41,TCO!$A$2:$A$85,0),MATCH('Historical Shareweights'!AK$39,TCO!$B$1:$AQ$1,0))</f>
        <v>50002.400000000001</v>
      </c>
      <c r="AL41">
        <f>INDEX(TCO!$B$2:$AQ$85,MATCH('Historical Shareweights'!$A41,TCO!$A$2:$A$85,0),MATCH('Historical Shareweights'!AL$39,TCO!$B$1:$AQ$1,0))</f>
        <v>49987.4</v>
      </c>
      <c r="AM41">
        <f>INDEX(TCO!$B$2:$AQ$85,MATCH('Historical Shareweights'!$A41,TCO!$A$2:$A$85,0),MATCH('Historical Shareweights'!AM$39,TCO!$B$1:$AQ$1,0))</f>
        <v>49986.1</v>
      </c>
      <c r="AN41">
        <f>INDEX(TCO!$B$2:$AQ$85,MATCH('Historical Shareweights'!$A41,TCO!$A$2:$A$85,0),MATCH('Historical Shareweights'!AN$39,TCO!$B$1:$AQ$1,0))</f>
        <v>49971.199999999997</v>
      </c>
      <c r="AO41">
        <f>INDEX(TCO!$B$2:$AQ$85,MATCH('Historical Shareweights'!$A41,TCO!$A$2:$A$85,0),MATCH('Historical Shareweights'!AO$39,TCO!$B$1:$AQ$1,0))</f>
        <v>49969.8</v>
      </c>
      <c r="AP41">
        <f>INDEX(TCO!$B$2:$AQ$85,MATCH('Historical Shareweights'!$A41,TCO!$A$2:$A$85,0),MATCH('Historical Shareweights'!AP$39,TCO!$B$1:$AQ$1,0))</f>
        <v>49956.2</v>
      </c>
      <c r="AQ41">
        <f>INDEX(TCO!$B$2:$AQ$85,MATCH('Historical Shareweights'!$A41,TCO!$A$2:$A$85,0),MATCH('Historical Shareweights'!AQ$39,TCO!$B$1:$AQ$1,0))</f>
        <v>49954.9</v>
      </c>
    </row>
    <row r="42" spans="1:43" outlineLevel="1" x14ac:dyDescent="0.15">
      <c r="A42" t="s">
        <v>1096</v>
      </c>
      <c r="B42">
        <f>INDEX(TCO!$B$2:$AQ$85,MATCH('Historical Shareweights'!$A42,TCO!$A$2:$A$85,0),MATCH('Historical Shareweights'!B$39,TCO!$B$1:$AQ$1,0))</f>
        <v>48296.1</v>
      </c>
      <c r="C42">
        <f>INDEX(TCO!$B$2:$AQ$85,MATCH('Historical Shareweights'!$A42,TCO!$A$2:$A$85,0),MATCH('Historical Shareweights'!C$39,TCO!$B$1:$AQ$1,0))</f>
        <v>48296.1</v>
      </c>
      <c r="D42">
        <f>INDEX(TCO!$B$2:$AQ$85,MATCH('Historical Shareweights'!$A42,TCO!$A$2:$A$85,0),MATCH('Historical Shareweights'!D$39,TCO!$B$1:$AQ$1,0))</f>
        <v>49750</v>
      </c>
      <c r="E42">
        <f>INDEX(TCO!$B$2:$AQ$85,MATCH('Historical Shareweights'!$A42,TCO!$A$2:$A$85,0),MATCH('Historical Shareweights'!E$39,TCO!$B$1:$AQ$1,0))</f>
        <v>49214.3</v>
      </c>
      <c r="F42">
        <f>INDEX(TCO!$B$2:$AQ$85,MATCH('Historical Shareweights'!$A42,TCO!$A$2:$A$85,0),MATCH('Historical Shareweights'!F$39,TCO!$B$1:$AQ$1,0))</f>
        <v>49224.2</v>
      </c>
      <c r="G42">
        <f>INDEX(TCO!$B$2:$AQ$85,MATCH('Historical Shareweights'!$A42,TCO!$A$2:$A$85,0),MATCH('Historical Shareweights'!G$39,TCO!$B$1:$AQ$1,0))</f>
        <v>49011.6</v>
      </c>
      <c r="H42">
        <f>INDEX(TCO!$B$2:$AQ$85,MATCH('Historical Shareweights'!$A42,TCO!$A$2:$A$85,0),MATCH('Historical Shareweights'!H$39,TCO!$B$1:$AQ$1,0))</f>
        <v>48777.599999999999</v>
      </c>
      <c r="I42">
        <f>INDEX(TCO!$B$2:$AQ$85,MATCH('Historical Shareweights'!$A42,TCO!$A$2:$A$85,0),MATCH('Historical Shareweights'!I$39,TCO!$B$1:$AQ$1,0))</f>
        <v>48609.1</v>
      </c>
      <c r="J42">
        <f>INDEX(TCO!$B$2:$AQ$85,MATCH('Historical Shareweights'!$A42,TCO!$A$2:$A$85,0),MATCH('Historical Shareweights'!J$39,TCO!$B$1:$AQ$1,0))</f>
        <v>48492.3</v>
      </c>
      <c r="K42">
        <f>INDEX(TCO!$B$2:$AQ$85,MATCH('Historical Shareweights'!$A42,TCO!$A$2:$A$85,0),MATCH('Historical Shareweights'!K$39,TCO!$B$1:$AQ$1,0))</f>
        <v>48529.599999999999</v>
      </c>
      <c r="L42">
        <f>INDEX(TCO!$B$2:$AQ$85,MATCH('Historical Shareweights'!$A42,TCO!$A$2:$A$85,0),MATCH('Historical Shareweights'!L$39,TCO!$B$1:$AQ$1,0))</f>
        <v>48478.9</v>
      </c>
      <c r="M42">
        <f>INDEX(TCO!$B$2:$AQ$85,MATCH('Historical Shareweights'!$A42,TCO!$A$2:$A$85,0),MATCH('Historical Shareweights'!M$39,TCO!$B$1:$AQ$1,0))</f>
        <v>48439.7</v>
      </c>
      <c r="N42">
        <f>INDEX(TCO!$B$2:$AQ$85,MATCH('Historical Shareweights'!$A42,TCO!$A$2:$A$85,0),MATCH('Historical Shareweights'!N$39,TCO!$B$1:$AQ$1,0))</f>
        <v>48616.7</v>
      </c>
      <c r="O42">
        <f>INDEX(TCO!$B$2:$AQ$85,MATCH('Historical Shareweights'!$A42,TCO!$A$2:$A$85,0),MATCH('Historical Shareweights'!O$39,TCO!$B$1:$AQ$1,0))</f>
        <v>48442.3</v>
      </c>
      <c r="P42">
        <f>INDEX(TCO!$B$2:$AQ$85,MATCH('Historical Shareweights'!$A42,TCO!$A$2:$A$85,0),MATCH('Historical Shareweights'!P$39,TCO!$B$1:$AQ$1,0))</f>
        <v>48363.4</v>
      </c>
      <c r="Q42">
        <f>INDEX(TCO!$B$2:$AQ$85,MATCH('Historical Shareweights'!$A42,TCO!$A$2:$A$85,0),MATCH('Historical Shareweights'!Q$39,TCO!$B$1:$AQ$1,0))</f>
        <v>48265.2</v>
      </c>
      <c r="R42">
        <f>INDEX(TCO!$B$2:$AQ$85,MATCH('Historical Shareweights'!$A42,TCO!$A$2:$A$85,0),MATCH('Historical Shareweights'!R$39,TCO!$B$1:$AQ$1,0))</f>
        <v>48226.7</v>
      </c>
      <c r="S42">
        <f>INDEX(TCO!$B$2:$AQ$85,MATCH('Historical Shareweights'!$A42,TCO!$A$2:$A$85,0),MATCH('Historical Shareweights'!S$39,TCO!$B$1:$AQ$1,0))</f>
        <v>48163.3</v>
      </c>
      <c r="T42">
        <f>INDEX(TCO!$B$2:$AQ$85,MATCH('Historical Shareweights'!$A42,TCO!$A$2:$A$85,0),MATCH('Historical Shareweights'!T$39,TCO!$B$1:$AQ$1,0))</f>
        <v>48188.7</v>
      </c>
      <c r="U42">
        <f>INDEX(TCO!$B$2:$AQ$85,MATCH('Historical Shareweights'!$A42,TCO!$A$2:$A$85,0),MATCH('Historical Shareweights'!U$39,TCO!$B$1:$AQ$1,0))</f>
        <v>48264.6</v>
      </c>
      <c r="V42">
        <f>INDEX(TCO!$B$2:$AQ$85,MATCH('Historical Shareweights'!$A42,TCO!$A$2:$A$85,0),MATCH('Historical Shareweights'!V$39,TCO!$B$1:$AQ$1,0))</f>
        <v>48328</v>
      </c>
      <c r="W42">
        <f>INDEX(TCO!$B$2:$AQ$85,MATCH('Historical Shareweights'!$A42,TCO!$A$2:$A$85,0),MATCH('Historical Shareweights'!W$39,TCO!$B$1:$AQ$1,0))</f>
        <v>48340.6</v>
      </c>
      <c r="X42">
        <f>INDEX(TCO!$B$2:$AQ$85,MATCH('Historical Shareweights'!$A42,TCO!$A$2:$A$85,0),MATCH('Historical Shareweights'!X$39,TCO!$B$1:$AQ$1,0))</f>
        <v>48378.6</v>
      </c>
      <c r="Y42">
        <f>INDEX(TCO!$B$2:$AQ$85,MATCH('Historical Shareweights'!$A42,TCO!$A$2:$A$85,0),MATCH('Historical Shareweights'!Y$39,TCO!$B$1:$AQ$1,0))</f>
        <v>48441.9</v>
      </c>
      <c r="Z42">
        <f>INDEX(TCO!$B$2:$AQ$85,MATCH('Historical Shareweights'!$A42,TCO!$A$2:$A$85,0),MATCH('Historical Shareweights'!Z$39,TCO!$B$1:$AQ$1,0))</f>
        <v>48441.9</v>
      </c>
      <c r="AA42">
        <f>INDEX(TCO!$B$2:$AQ$85,MATCH('Historical Shareweights'!$A42,TCO!$A$2:$A$85,0),MATCH('Historical Shareweights'!AA$39,TCO!$B$1:$AQ$1,0))</f>
        <v>48479.9</v>
      </c>
      <c r="AB42">
        <f>INDEX(TCO!$B$2:$AQ$85,MATCH('Historical Shareweights'!$A42,TCO!$A$2:$A$85,0),MATCH('Historical Shareweights'!AB$39,TCO!$B$1:$AQ$1,0))</f>
        <v>48517.9</v>
      </c>
      <c r="AC42">
        <f>INDEX(TCO!$B$2:$AQ$85,MATCH('Historical Shareweights'!$A42,TCO!$A$2:$A$85,0),MATCH('Historical Shareweights'!AC$39,TCO!$B$1:$AQ$1,0))</f>
        <v>48593.9</v>
      </c>
      <c r="AD42">
        <f>INDEX(TCO!$B$2:$AQ$85,MATCH('Historical Shareweights'!$A42,TCO!$A$2:$A$85,0),MATCH('Historical Shareweights'!AD$39,TCO!$B$1:$AQ$1,0))</f>
        <v>48631.9</v>
      </c>
      <c r="AE42">
        <f>INDEX(TCO!$B$2:$AQ$85,MATCH('Historical Shareweights'!$A42,TCO!$A$2:$A$85,0),MATCH('Historical Shareweights'!AE$39,TCO!$B$1:$AQ$1,0))</f>
        <v>48657.2</v>
      </c>
      <c r="AF42">
        <f>INDEX(TCO!$B$2:$AQ$85,MATCH('Historical Shareweights'!$A42,TCO!$A$2:$A$85,0),MATCH('Historical Shareweights'!AF$39,TCO!$B$1:$AQ$1,0))</f>
        <v>48682.6</v>
      </c>
      <c r="AG42">
        <f>INDEX(TCO!$B$2:$AQ$85,MATCH('Historical Shareweights'!$A42,TCO!$A$2:$A$85,0),MATCH('Historical Shareweights'!AG$39,TCO!$B$1:$AQ$1,0))</f>
        <v>48745.9</v>
      </c>
      <c r="AH42">
        <f>INDEX(TCO!$B$2:$AQ$85,MATCH('Historical Shareweights'!$A42,TCO!$A$2:$A$85,0),MATCH('Historical Shareweights'!AH$39,TCO!$B$1:$AQ$1,0))</f>
        <v>48771.199999999997</v>
      </c>
      <c r="AI42">
        <f>INDEX(TCO!$B$2:$AQ$85,MATCH('Historical Shareweights'!$A42,TCO!$A$2:$A$85,0),MATCH('Historical Shareweights'!AI$39,TCO!$B$1:$AQ$1,0))</f>
        <v>48809.2</v>
      </c>
      <c r="AJ42">
        <f>INDEX(TCO!$B$2:$AQ$85,MATCH('Historical Shareweights'!$A42,TCO!$A$2:$A$85,0),MATCH('Historical Shareweights'!AJ$39,TCO!$B$1:$AQ$1,0))</f>
        <v>48859.9</v>
      </c>
      <c r="AK42">
        <f>INDEX(TCO!$B$2:$AQ$85,MATCH('Historical Shareweights'!$A42,TCO!$A$2:$A$85,0),MATCH('Historical Shareweights'!AK$39,TCO!$B$1:$AQ$1,0))</f>
        <v>48897.9</v>
      </c>
      <c r="AL42">
        <f>INDEX(TCO!$B$2:$AQ$85,MATCH('Historical Shareweights'!$A42,TCO!$A$2:$A$85,0),MATCH('Historical Shareweights'!AL$39,TCO!$B$1:$AQ$1,0))</f>
        <v>48935.8</v>
      </c>
      <c r="AM42">
        <f>INDEX(TCO!$B$2:$AQ$85,MATCH('Historical Shareweights'!$A42,TCO!$A$2:$A$85,0),MATCH('Historical Shareweights'!AM$39,TCO!$B$1:$AQ$1,0))</f>
        <v>48973.8</v>
      </c>
      <c r="AN42">
        <f>INDEX(TCO!$B$2:$AQ$85,MATCH('Historical Shareweights'!$A42,TCO!$A$2:$A$85,0),MATCH('Historical Shareweights'!AN$39,TCO!$B$1:$AQ$1,0))</f>
        <v>49011.8</v>
      </c>
      <c r="AO42">
        <f>INDEX(TCO!$B$2:$AQ$85,MATCH('Historical Shareweights'!$A42,TCO!$A$2:$A$85,0),MATCH('Historical Shareweights'!AO$39,TCO!$B$1:$AQ$1,0))</f>
        <v>49049.8</v>
      </c>
      <c r="AP42">
        <f>INDEX(TCO!$B$2:$AQ$85,MATCH('Historical Shareweights'!$A42,TCO!$A$2:$A$85,0),MATCH('Historical Shareweights'!AP$39,TCO!$B$1:$AQ$1,0))</f>
        <v>49087.8</v>
      </c>
      <c r="AQ42">
        <f>INDEX(TCO!$B$2:$AQ$85,MATCH('Historical Shareweights'!$A42,TCO!$A$2:$A$85,0),MATCH('Historical Shareweights'!AQ$39,TCO!$B$1:$AQ$1,0))</f>
        <v>49138.5</v>
      </c>
    </row>
    <row r="43" spans="1:43" outlineLevel="1" x14ac:dyDescent="0.15">
      <c r="A43" t="s">
        <v>1097</v>
      </c>
      <c r="B43">
        <f>INDEX(TCO!$B$2:$AQ$85,MATCH('Historical Shareweights'!$A43,TCO!$A$2:$A$85,0),MATCH('Historical Shareweights'!B$39,TCO!$B$1:$AQ$1,0))</f>
        <v>50640</v>
      </c>
      <c r="C43">
        <f>INDEX(TCO!$B$2:$AQ$85,MATCH('Historical Shareweights'!$A43,TCO!$A$2:$A$85,0),MATCH('Historical Shareweights'!C$39,TCO!$B$1:$AQ$1,0))</f>
        <v>50640</v>
      </c>
      <c r="D43">
        <f>INDEX(TCO!$B$2:$AQ$85,MATCH('Historical Shareweights'!$A43,TCO!$A$2:$A$85,0),MATCH('Historical Shareweights'!D$39,TCO!$B$1:$AQ$1,0))</f>
        <v>51386.6</v>
      </c>
      <c r="E43">
        <f>INDEX(TCO!$B$2:$AQ$85,MATCH('Historical Shareweights'!$A43,TCO!$A$2:$A$85,0),MATCH('Historical Shareweights'!E$39,TCO!$B$1:$AQ$1,0))</f>
        <v>50642.7</v>
      </c>
      <c r="F43">
        <f>INDEX(TCO!$B$2:$AQ$85,MATCH('Historical Shareweights'!$A43,TCO!$A$2:$A$85,0),MATCH('Historical Shareweights'!F$39,TCO!$B$1:$AQ$1,0))</f>
        <v>50848.6</v>
      </c>
      <c r="G43">
        <f>INDEX(TCO!$B$2:$AQ$85,MATCH('Historical Shareweights'!$A43,TCO!$A$2:$A$85,0),MATCH('Historical Shareweights'!G$39,TCO!$B$1:$AQ$1,0))</f>
        <v>51078.3</v>
      </c>
      <c r="H43">
        <f>INDEX(TCO!$B$2:$AQ$85,MATCH('Historical Shareweights'!$A43,TCO!$A$2:$A$85,0),MATCH('Historical Shareweights'!H$39,TCO!$B$1:$AQ$1,0))</f>
        <v>51029.599999999999</v>
      </c>
      <c r="I43">
        <f>INDEX(TCO!$B$2:$AQ$85,MATCH('Historical Shareweights'!$A43,TCO!$A$2:$A$85,0),MATCH('Historical Shareweights'!I$39,TCO!$B$1:$AQ$1,0))</f>
        <v>50977.1</v>
      </c>
      <c r="J43">
        <f>INDEX(TCO!$B$2:$AQ$85,MATCH('Historical Shareweights'!$A43,TCO!$A$2:$A$85,0),MATCH('Historical Shareweights'!J$39,TCO!$B$1:$AQ$1,0))</f>
        <v>50900.6</v>
      </c>
      <c r="K43">
        <f>INDEX(TCO!$B$2:$AQ$85,MATCH('Historical Shareweights'!$A43,TCO!$A$2:$A$85,0),MATCH('Historical Shareweights'!K$39,TCO!$B$1:$AQ$1,0))</f>
        <v>50940.6</v>
      </c>
      <c r="L43">
        <f>INDEX(TCO!$B$2:$AQ$85,MATCH('Historical Shareweights'!$A43,TCO!$A$2:$A$85,0),MATCH('Historical Shareweights'!L$39,TCO!$B$1:$AQ$1,0))</f>
        <v>50893.7</v>
      </c>
      <c r="M43">
        <f>INDEX(TCO!$B$2:$AQ$85,MATCH('Historical Shareweights'!$A43,TCO!$A$2:$A$85,0),MATCH('Historical Shareweights'!M$39,TCO!$B$1:$AQ$1,0))</f>
        <v>50826.3</v>
      </c>
      <c r="N43">
        <f>INDEX(TCO!$B$2:$AQ$85,MATCH('Historical Shareweights'!$A43,TCO!$A$2:$A$85,0),MATCH('Historical Shareweights'!N$39,TCO!$B$1:$AQ$1,0))</f>
        <v>50874.3</v>
      </c>
      <c r="O43">
        <f>INDEX(TCO!$B$2:$AQ$85,MATCH('Historical Shareweights'!$A43,TCO!$A$2:$A$85,0),MATCH('Historical Shareweights'!O$39,TCO!$B$1:$AQ$1,0))</f>
        <v>50785.4</v>
      </c>
      <c r="P43">
        <f>INDEX(TCO!$B$2:$AQ$85,MATCH('Historical Shareweights'!$A43,TCO!$A$2:$A$85,0),MATCH('Historical Shareweights'!P$39,TCO!$B$1:$AQ$1,0))</f>
        <v>50712.5</v>
      </c>
      <c r="Q43">
        <f>INDEX(TCO!$B$2:$AQ$85,MATCH('Historical Shareweights'!$A43,TCO!$A$2:$A$85,0),MATCH('Historical Shareweights'!Q$39,TCO!$B$1:$AQ$1,0))</f>
        <v>50602.2</v>
      </c>
      <c r="R43">
        <f>INDEX(TCO!$B$2:$AQ$85,MATCH('Historical Shareweights'!$A43,TCO!$A$2:$A$85,0),MATCH('Historical Shareweights'!R$39,TCO!$B$1:$AQ$1,0))</f>
        <v>50485.7</v>
      </c>
      <c r="S43">
        <f>INDEX(TCO!$B$2:$AQ$85,MATCH('Historical Shareweights'!$A43,TCO!$A$2:$A$85,0),MATCH('Historical Shareweights'!S$39,TCO!$B$1:$AQ$1,0))</f>
        <v>50437.7</v>
      </c>
      <c r="T43">
        <f>INDEX(TCO!$B$2:$AQ$85,MATCH('Historical Shareweights'!$A43,TCO!$A$2:$A$85,0),MATCH('Historical Shareweights'!T$39,TCO!$B$1:$AQ$1,0))</f>
        <v>50425.7</v>
      </c>
      <c r="U43">
        <f>INDEX(TCO!$B$2:$AQ$85,MATCH('Historical Shareweights'!$A43,TCO!$A$2:$A$85,0),MATCH('Historical Shareweights'!U$39,TCO!$B$1:$AQ$1,0))</f>
        <v>50485.7</v>
      </c>
      <c r="V43">
        <f>INDEX(TCO!$B$2:$AQ$85,MATCH('Historical Shareweights'!$A43,TCO!$A$2:$A$85,0),MATCH('Historical Shareweights'!V$39,TCO!$B$1:$AQ$1,0))</f>
        <v>50521.8</v>
      </c>
      <c r="W43">
        <f>INDEX(TCO!$B$2:$AQ$85,MATCH('Historical Shareweights'!$A43,TCO!$A$2:$A$85,0),MATCH('Historical Shareweights'!W$39,TCO!$B$1:$AQ$1,0))</f>
        <v>50497.8</v>
      </c>
      <c r="X43">
        <f>INDEX(TCO!$B$2:$AQ$85,MATCH('Historical Shareweights'!$A43,TCO!$A$2:$A$85,0),MATCH('Historical Shareweights'!X$39,TCO!$B$1:$AQ$1,0))</f>
        <v>50581.9</v>
      </c>
      <c r="Y43">
        <f>INDEX(TCO!$B$2:$AQ$85,MATCH('Historical Shareweights'!$A43,TCO!$A$2:$A$85,0),MATCH('Historical Shareweights'!Y$39,TCO!$B$1:$AQ$1,0))</f>
        <v>50605.9</v>
      </c>
      <c r="Z43">
        <f>INDEX(TCO!$B$2:$AQ$85,MATCH('Historical Shareweights'!$A43,TCO!$A$2:$A$85,0),MATCH('Historical Shareweights'!Z$39,TCO!$B$1:$AQ$1,0))</f>
        <v>50630</v>
      </c>
      <c r="AA43">
        <f>INDEX(TCO!$B$2:$AQ$85,MATCH('Historical Shareweights'!$A43,TCO!$A$2:$A$85,0),MATCH('Historical Shareweights'!AA$39,TCO!$B$1:$AQ$1,0))</f>
        <v>50666</v>
      </c>
      <c r="AB43">
        <f>INDEX(TCO!$B$2:$AQ$85,MATCH('Historical Shareweights'!$A43,TCO!$A$2:$A$85,0),MATCH('Historical Shareweights'!AB$39,TCO!$B$1:$AQ$1,0))</f>
        <v>50702.1</v>
      </c>
      <c r="AC43">
        <f>INDEX(TCO!$B$2:$AQ$85,MATCH('Historical Shareweights'!$A43,TCO!$A$2:$A$85,0),MATCH('Historical Shareweights'!AC$39,TCO!$B$1:$AQ$1,0))</f>
        <v>50762.2</v>
      </c>
      <c r="AD43">
        <f>INDEX(TCO!$B$2:$AQ$85,MATCH('Historical Shareweights'!$A43,TCO!$A$2:$A$85,0),MATCH('Historical Shareweights'!AD$39,TCO!$B$1:$AQ$1,0))</f>
        <v>50798.2</v>
      </c>
      <c r="AE43">
        <f>INDEX(TCO!$B$2:$AQ$85,MATCH('Historical Shareweights'!$A43,TCO!$A$2:$A$85,0),MATCH('Historical Shareweights'!AE$39,TCO!$B$1:$AQ$1,0))</f>
        <v>50834.3</v>
      </c>
      <c r="AF43">
        <f>INDEX(TCO!$B$2:$AQ$85,MATCH('Historical Shareweights'!$A43,TCO!$A$2:$A$85,0),MATCH('Historical Shareweights'!AF$39,TCO!$B$1:$AQ$1,0))</f>
        <v>50846.3</v>
      </c>
      <c r="AG43">
        <f>INDEX(TCO!$B$2:$AQ$85,MATCH('Historical Shareweights'!$A43,TCO!$A$2:$A$85,0),MATCH('Historical Shareweights'!AG$39,TCO!$B$1:$AQ$1,0))</f>
        <v>50882.400000000001</v>
      </c>
      <c r="AH43">
        <f>INDEX(TCO!$B$2:$AQ$85,MATCH('Historical Shareweights'!$A43,TCO!$A$2:$A$85,0),MATCH('Historical Shareweights'!AH$39,TCO!$B$1:$AQ$1,0))</f>
        <v>50942.5</v>
      </c>
      <c r="AI43">
        <f>INDEX(TCO!$B$2:$AQ$85,MATCH('Historical Shareweights'!$A43,TCO!$A$2:$A$85,0),MATCH('Historical Shareweights'!AI$39,TCO!$B$1:$AQ$1,0))</f>
        <v>50966.5</v>
      </c>
      <c r="AJ43">
        <f>INDEX(TCO!$B$2:$AQ$85,MATCH('Historical Shareweights'!$A43,TCO!$A$2:$A$85,0),MATCH('Historical Shareweights'!AJ$39,TCO!$B$1:$AQ$1,0))</f>
        <v>51014.6</v>
      </c>
      <c r="AK43">
        <f>INDEX(TCO!$B$2:$AQ$85,MATCH('Historical Shareweights'!$A43,TCO!$A$2:$A$85,0),MATCH('Historical Shareweights'!AK$39,TCO!$B$1:$AQ$1,0))</f>
        <v>51050.6</v>
      </c>
      <c r="AL43">
        <f>INDEX(TCO!$B$2:$AQ$85,MATCH('Historical Shareweights'!$A43,TCO!$A$2:$A$85,0),MATCH('Historical Shareweights'!AL$39,TCO!$B$1:$AQ$1,0))</f>
        <v>51086.7</v>
      </c>
      <c r="AM43">
        <f>INDEX(TCO!$B$2:$AQ$85,MATCH('Historical Shareweights'!$A43,TCO!$A$2:$A$85,0),MATCH('Historical Shareweights'!AM$39,TCO!$B$1:$AQ$1,0))</f>
        <v>51110.7</v>
      </c>
      <c r="AN43">
        <f>INDEX(TCO!$B$2:$AQ$85,MATCH('Historical Shareweights'!$A43,TCO!$A$2:$A$85,0),MATCH('Historical Shareweights'!AN$39,TCO!$B$1:$AQ$1,0))</f>
        <v>51146.8</v>
      </c>
      <c r="AO43">
        <f>INDEX(TCO!$B$2:$AQ$85,MATCH('Historical Shareweights'!$A43,TCO!$A$2:$A$85,0),MATCH('Historical Shareweights'!AO$39,TCO!$B$1:$AQ$1,0))</f>
        <v>51182.8</v>
      </c>
      <c r="AP43">
        <f>INDEX(TCO!$B$2:$AQ$85,MATCH('Historical Shareweights'!$A43,TCO!$A$2:$A$85,0),MATCH('Historical Shareweights'!AP$39,TCO!$B$1:$AQ$1,0))</f>
        <v>51218.9</v>
      </c>
      <c r="AQ43">
        <f>INDEX(TCO!$B$2:$AQ$85,MATCH('Historical Shareweights'!$A43,TCO!$A$2:$A$85,0),MATCH('Historical Shareweights'!AQ$39,TCO!$B$1:$AQ$1,0))</f>
        <v>51254.9</v>
      </c>
    </row>
    <row r="44" spans="1:43" outlineLevel="1" x14ac:dyDescent="0.15">
      <c r="A44" t="s">
        <v>1098</v>
      </c>
      <c r="B44">
        <f>INDEX(TCO!$B$2:$AQ$85,MATCH('Historical Shareweights'!$A44,TCO!$A$2:$A$85,0),MATCH('Historical Shareweights'!B$39,TCO!$B$1:$AQ$1,0))</f>
        <v>52065.2</v>
      </c>
      <c r="C44">
        <f>INDEX(TCO!$B$2:$AQ$85,MATCH('Historical Shareweights'!$A44,TCO!$A$2:$A$85,0),MATCH('Historical Shareweights'!C$39,TCO!$B$1:$AQ$1,0))</f>
        <v>52065.2</v>
      </c>
      <c r="D44">
        <f>INDEX(TCO!$B$2:$AQ$85,MATCH('Historical Shareweights'!$A44,TCO!$A$2:$A$85,0),MATCH('Historical Shareweights'!D$39,TCO!$B$1:$AQ$1,0))</f>
        <v>52534.400000000001</v>
      </c>
      <c r="E44">
        <f>INDEX(TCO!$B$2:$AQ$85,MATCH('Historical Shareweights'!$A44,TCO!$A$2:$A$85,0),MATCH('Historical Shareweights'!E$39,TCO!$B$1:$AQ$1,0))</f>
        <v>52046</v>
      </c>
      <c r="F44">
        <f>INDEX(TCO!$B$2:$AQ$85,MATCH('Historical Shareweights'!$A44,TCO!$A$2:$A$85,0),MATCH('Historical Shareweights'!F$39,TCO!$B$1:$AQ$1,0))</f>
        <v>52036.9</v>
      </c>
      <c r="G44">
        <f>INDEX(TCO!$B$2:$AQ$85,MATCH('Historical Shareweights'!$A44,TCO!$A$2:$A$85,0),MATCH('Historical Shareweights'!G$39,TCO!$B$1:$AQ$1,0))</f>
        <v>51867.6</v>
      </c>
      <c r="H44">
        <f>INDEX(TCO!$B$2:$AQ$85,MATCH('Historical Shareweights'!$A44,TCO!$A$2:$A$85,0),MATCH('Historical Shareweights'!H$39,TCO!$B$1:$AQ$1,0))</f>
        <v>51729.3</v>
      </c>
      <c r="I44">
        <f>INDEX(TCO!$B$2:$AQ$85,MATCH('Historical Shareweights'!$A44,TCO!$A$2:$A$85,0),MATCH('Historical Shareweights'!I$39,TCO!$B$1:$AQ$1,0))</f>
        <v>51621.5</v>
      </c>
      <c r="J44">
        <f>INDEX(TCO!$B$2:$AQ$85,MATCH('Historical Shareweights'!$A44,TCO!$A$2:$A$85,0),MATCH('Historical Shareweights'!J$39,TCO!$B$1:$AQ$1,0))</f>
        <v>51572.7</v>
      </c>
      <c r="K44">
        <f>INDEX(TCO!$B$2:$AQ$85,MATCH('Historical Shareweights'!$A44,TCO!$A$2:$A$85,0),MATCH('Historical Shareweights'!K$39,TCO!$B$1:$AQ$1,0))</f>
        <v>51580.2</v>
      </c>
      <c r="L44">
        <f>INDEX(TCO!$B$2:$AQ$85,MATCH('Historical Shareweights'!$A44,TCO!$A$2:$A$85,0),MATCH('Historical Shareweights'!L$39,TCO!$B$1:$AQ$1,0))</f>
        <v>51550.1</v>
      </c>
      <c r="M44">
        <f>INDEX(TCO!$B$2:$AQ$85,MATCH('Historical Shareweights'!$A44,TCO!$A$2:$A$85,0),MATCH('Historical Shareweights'!M$39,TCO!$B$1:$AQ$1,0))</f>
        <v>51545.9</v>
      </c>
      <c r="N44">
        <f>INDEX(TCO!$B$2:$AQ$85,MATCH('Historical Shareweights'!$A44,TCO!$A$2:$A$85,0),MATCH('Historical Shareweights'!N$39,TCO!$B$1:$AQ$1,0))</f>
        <v>51633.9</v>
      </c>
      <c r="O44">
        <f>INDEX(TCO!$B$2:$AQ$85,MATCH('Historical Shareweights'!$A44,TCO!$A$2:$A$85,0),MATCH('Historical Shareweights'!O$39,TCO!$B$1:$AQ$1,0))</f>
        <v>51606.6</v>
      </c>
      <c r="P44">
        <f>INDEX(TCO!$B$2:$AQ$85,MATCH('Historical Shareweights'!$A44,TCO!$A$2:$A$85,0),MATCH('Historical Shareweights'!P$39,TCO!$B$1:$AQ$1,0))</f>
        <v>51588.9</v>
      </c>
      <c r="Q44">
        <f>INDEX(TCO!$B$2:$AQ$85,MATCH('Historical Shareweights'!$A44,TCO!$A$2:$A$85,0),MATCH('Historical Shareweights'!Q$39,TCO!$B$1:$AQ$1,0))</f>
        <v>51577.2</v>
      </c>
      <c r="R44">
        <f>INDEX(TCO!$B$2:$AQ$85,MATCH('Historical Shareweights'!$A44,TCO!$A$2:$A$85,0),MATCH('Historical Shareweights'!R$39,TCO!$B$1:$AQ$1,0))</f>
        <v>51603</v>
      </c>
      <c r="S44">
        <f>INDEX(TCO!$B$2:$AQ$85,MATCH('Historical Shareweights'!$A44,TCO!$A$2:$A$85,0),MATCH('Historical Shareweights'!S$39,TCO!$B$1:$AQ$1,0))</f>
        <v>51568</v>
      </c>
      <c r="T44">
        <f>INDEX(TCO!$B$2:$AQ$85,MATCH('Historical Shareweights'!$A44,TCO!$A$2:$A$85,0),MATCH('Historical Shareweights'!T$39,TCO!$B$1:$AQ$1,0))</f>
        <v>51571.5</v>
      </c>
      <c r="U44">
        <f>INDEX(TCO!$B$2:$AQ$85,MATCH('Historical Shareweights'!$A44,TCO!$A$2:$A$85,0),MATCH('Historical Shareweights'!U$39,TCO!$B$1:$AQ$1,0))</f>
        <v>51604</v>
      </c>
      <c r="V44">
        <f>INDEX(TCO!$B$2:$AQ$85,MATCH('Historical Shareweights'!$A44,TCO!$A$2:$A$85,0),MATCH('Historical Shareweights'!V$39,TCO!$B$1:$AQ$1,0))</f>
        <v>51639</v>
      </c>
      <c r="W44">
        <f>INDEX(TCO!$B$2:$AQ$85,MATCH('Historical Shareweights'!$A44,TCO!$A$2:$A$85,0),MATCH('Historical Shareweights'!W$39,TCO!$B$1:$AQ$1,0))</f>
        <v>51643.8</v>
      </c>
      <c r="X44">
        <f>INDEX(TCO!$B$2:$AQ$85,MATCH('Historical Shareweights'!$A44,TCO!$A$2:$A$85,0),MATCH('Historical Shareweights'!X$39,TCO!$B$1:$AQ$1,0))</f>
        <v>51653.4</v>
      </c>
      <c r="Y44">
        <f>INDEX(TCO!$B$2:$AQ$85,MATCH('Historical Shareweights'!$A44,TCO!$A$2:$A$85,0),MATCH('Historical Shareweights'!Y$39,TCO!$B$1:$AQ$1,0))</f>
        <v>51680.5</v>
      </c>
      <c r="Z44">
        <f>INDEX(TCO!$B$2:$AQ$85,MATCH('Historical Shareweights'!$A44,TCO!$A$2:$A$85,0),MATCH('Historical Shareweights'!Z$39,TCO!$B$1:$AQ$1,0))</f>
        <v>51680.5</v>
      </c>
      <c r="AA44">
        <f>INDEX(TCO!$B$2:$AQ$85,MATCH('Historical Shareweights'!$A44,TCO!$A$2:$A$85,0),MATCH('Historical Shareweights'!AA$39,TCO!$B$1:$AQ$1,0))</f>
        <v>51696</v>
      </c>
      <c r="AB44">
        <f>INDEX(TCO!$B$2:$AQ$85,MATCH('Historical Shareweights'!$A44,TCO!$A$2:$A$85,0),MATCH('Historical Shareweights'!AB$39,TCO!$B$1:$AQ$1,0))</f>
        <v>51712.3</v>
      </c>
      <c r="AC44">
        <f>INDEX(TCO!$B$2:$AQ$85,MATCH('Historical Shareweights'!$A44,TCO!$A$2:$A$85,0),MATCH('Historical Shareweights'!AC$39,TCO!$B$1:$AQ$1,0))</f>
        <v>51738.2</v>
      </c>
      <c r="AD44">
        <f>INDEX(TCO!$B$2:$AQ$85,MATCH('Historical Shareweights'!$A44,TCO!$A$2:$A$85,0),MATCH('Historical Shareweights'!AD$39,TCO!$B$1:$AQ$1,0))</f>
        <v>51753.8</v>
      </c>
      <c r="AE44">
        <f>INDEX(TCO!$B$2:$AQ$85,MATCH('Historical Shareweights'!$A44,TCO!$A$2:$A$85,0),MATCH('Historical Shareweights'!AE$39,TCO!$B$1:$AQ$1,0))</f>
        <v>51764.6</v>
      </c>
      <c r="AF44">
        <f>INDEX(TCO!$B$2:$AQ$85,MATCH('Historical Shareweights'!$A44,TCO!$A$2:$A$85,0),MATCH('Historical Shareweights'!AF$39,TCO!$B$1:$AQ$1,0))</f>
        <v>51768.1</v>
      </c>
      <c r="AG44">
        <f>INDEX(TCO!$B$2:$AQ$85,MATCH('Historical Shareweights'!$A44,TCO!$A$2:$A$85,0),MATCH('Historical Shareweights'!AG$39,TCO!$B$1:$AQ$1,0))</f>
        <v>51795.199999999997</v>
      </c>
      <c r="AH44">
        <f>INDEX(TCO!$B$2:$AQ$85,MATCH('Historical Shareweights'!$A44,TCO!$A$2:$A$85,0),MATCH('Historical Shareweights'!AH$39,TCO!$B$1:$AQ$1,0))</f>
        <v>51806</v>
      </c>
      <c r="AI44">
        <f>INDEX(TCO!$B$2:$AQ$85,MATCH('Historical Shareweights'!$A44,TCO!$A$2:$A$85,0),MATCH('Historical Shareweights'!AI$39,TCO!$B$1:$AQ$1,0))</f>
        <v>51815</v>
      </c>
      <c r="AJ44">
        <f>INDEX(TCO!$B$2:$AQ$85,MATCH('Historical Shareweights'!$A44,TCO!$A$2:$A$85,0),MATCH('Historical Shareweights'!AJ$39,TCO!$B$1:$AQ$1,0))</f>
        <v>51836.7</v>
      </c>
      <c r="AK44">
        <f>INDEX(TCO!$B$2:$AQ$85,MATCH('Historical Shareweights'!$A44,TCO!$A$2:$A$85,0),MATCH('Historical Shareweights'!AK$39,TCO!$B$1:$AQ$1,0))</f>
        <v>51852.2</v>
      </c>
      <c r="AL44">
        <f>INDEX(TCO!$B$2:$AQ$85,MATCH('Historical Shareweights'!$A44,TCO!$A$2:$A$85,0),MATCH('Historical Shareweights'!AL$39,TCO!$B$1:$AQ$1,0))</f>
        <v>51861.9</v>
      </c>
      <c r="AM44">
        <f>INDEX(TCO!$B$2:$AQ$85,MATCH('Historical Shareweights'!$A44,TCO!$A$2:$A$85,0),MATCH('Historical Shareweights'!AM$39,TCO!$B$1:$AQ$1,0))</f>
        <v>51878.1</v>
      </c>
      <c r="AN44">
        <f>INDEX(TCO!$B$2:$AQ$85,MATCH('Historical Shareweights'!$A44,TCO!$A$2:$A$85,0),MATCH('Historical Shareweights'!AN$39,TCO!$B$1:$AQ$1,0))</f>
        <v>51893.7</v>
      </c>
      <c r="AO44">
        <f>INDEX(TCO!$B$2:$AQ$85,MATCH('Historical Shareweights'!$A44,TCO!$A$2:$A$85,0),MATCH('Historical Shareweights'!AO$39,TCO!$B$1:$AQ$1,0))</f>
        <v>51903.3</v>
      </c>
      <c r="AP44">
        <f>INDEX(TCO!$B$2:$AQ$85,MATCH('Historical Shareweights'!$A44,TCO!$A$2:$A$85,0),MATCH('Historical Shareweights'!AP$39,TCO!$B$1:$AQ$1,0))</f>
        <v>51918.9</v>
      </c>
      <c r="AQ44">
        <f>INDEX(TCO!$B$2:$AQ$85,MATCH('Historical Shareweights'!$A44,TCO!$A$2:$A$85,0),MATCH('Historical Shareweights'!AQ$39,TCO!$B$1:$AQ$1,0))</f>
        <v>51940.4</v>
      </c>
    </row>
    <row r="45" spans="1:43" outlineLevel="1" x14ac:dyDescent="0.15">
      <c r="A45" t="s">
        <v>1099</v>
      </c>
      <c r="B45">
        <f>INDEX(TCO!$B$2:$AQ$85,MATCH('Historical Shareweights'!$A45,TCO!$A$2:$A$85,0),MATCH('Historical Shareweights'!B$39,TCO!$B$1:$AQ$1,0))</f>
        <v>52306.8</v>
      </c>
      <c r="C45">
        <f>INDEX(TCO!$B$2:$AQ$85,MATCH('Historical Shareweights'!$A45,TCO!$A$2:$A$85,0),MATCH('Historical Shareweights'!C$39,TCO!$B$1:$AQ$1,0))</f>
        <v>52306.8</v>
      </c>
      <c r="D45">
        <f>INDEX(TCO!$B$2:$AQ$85,MATCH('Historical Shareweights'!$A45,TCO!$A$2:$A$85,0),MATCH('Historical Shareweights'!D$39,TCO!$B$1:$AQ$1,0))</f>
        <v>53571.199999999997</v>
      </c>
      <c r="E45">
        <f>INDEX(TCO!$B$2:$AQ$85,MATCH('Historical Shareweights'!$A45,TCO!$A$2:$A$85,0),MATCH('Historical Shareweights'!E$39,TCO!$B$1:$AQ$1,0))</f>
        <v>53353.8</v>
      </c>
      <c r="F45">
        <f>INDEX(TCO!$B$2:$AQ$85,MATCH('Historical Shareweights'!$A45,TCO!$A$2:$A$85,0),MATCH('Historical Shareweights'!F$39,TCO!$B$1:$AQ$1,0))</f>
        <v>53550.3</v>
      </c>
      <c r="G45">
        <f>INDEX(TCO!$B$2:$AQ$85,MATCH('Historical Shareweights'!$A45,TCO!$A$2:$A$85,0),MATCH('Historical Shareweights'!G$39,TCO!$B$1:$AQ$1,0))</f>
        <v>53486.2</v>
      </c>
      <c r="H45">
        <f>INDEX(TCO!$B$2:$AQ$85,MATCH('Historical Shareweights'!$A45,TCO!$A$2:$A$85,0),MATCH('Historical Shareweights'!H$39,TCO!$B$1:$AQ$1,0))</f>
        <v>53518.3</v>
      </c>
      <c r="I45">
        <f>INDEX(TCO!$B$2:$AQ$85,MATCH('Historical Shareweights'!$A45,TCO!$A$2:$A$85,0),MATCH('Historical Shareweights'!I$39,TCO!$B$1:$AQ$1,0))</f>
        <v>53550.3</v>
      </c>
      <c r="J45">
        <f>INDEX(TCO!$B$2:$AQ$85,MATCH('Historical Shareweights'!$A45,TCO!$A$2:$A$85,0),MATCH('Historical Shareweights'!J$39,TCO!$B$1:$AQ$1,0))</f>
        <v>53486.2</v>
      </c>
      <c r="K45">
        <f>INDEX(TCO!$B$2:$AQ$85,MATCH('Historical Shareweights'!$A45,TCO!$A$2:$A$85,0),MATCH('Historical Shareweights'!K$39,TCO!$B$1:$AQ$1,0))</f>
        <v>53486.2</v>
      </c>
      <c r="L45">
        <f>INDEX(TCO!$B$2:$AQ$85,MATCH('Historical Shareweights'!$A45,TCO!$A$2:$A$85,0),MATCH('Historical Shareweights'!L$39,TCO!$B$1:$AQ$1,0))</f>
        <v>53550.3</v>
      </c>
      <c r="M45">
        <f>INDEX(TCO!$B$2:$AQ$85,MATCH('Historical Shareweights'!$A45,TCO!$A$2:$A$85,0),MATCH('Historical Shareweights'!M$39,TCO!$B$1:$AQ$1,0))</f>
        <v>53582.400000000001</v>
      </c>
      <c r="N45">
        <f>INDEX(TCO!$B$2:$AQ$85,MATCH('Historical Shareweights'!$A45,TCO!$A$2:$A$85,0),MATCH('Historical Shareweights'!N$39,TCO!$B$1:$AQ$1,0))</f>
        <v>53864.9</v>
      </c>
      <c r="O45">
        <f>INDEX(TCO!$B$2:$AQ$85,MATCH('Historical Shareweights'!$A45,TCO!$A$2:$A$85,0),MATCH('Historical Shareweights'!O$39,TCO!$B$1:$AQ$1,0))</f>
        <v>53899.9</v>
      </c>
      <c r="P45">
        <f>INDEX(TCO!$B$2:$AQ$85,MATCH('Historical Shareweights'!$A45,TCO!$A$2:$A$85,0),MATCH('Historical Shareweights'!P$39,TCO!$B$1:$AQ$1,0))</f>
        <v>53961</v>
      </c>
      <c r="Q45">
        <f>INDEX(TCO!$B$2:$AQ$85,MATCH('Historical Shareweights'!$A45,TCO!$A$2:$A$85,0),MATCH('Historical Shareweights'!Q$39,TCO!$B$1:$AQ$1,0))</f>
        <v>53993.1</v>
      </c>
      <c r="R45">
        <f>INDEX(TCO!$B$2:$AQ$85,MATCH('Historical Shareweights'!$A45,TCO!$A$2:$A$85,0),MATCH('Historical Shareweights'!R$39,TCO!$B$1:$AQ$1,0))</f>
        <v>54025.1</v>
      </c>
      <c r="S45">
        <f>INDEX(TCO!$B$2:$AQ$85,MATCH('Historical Shareweights'!$A45,TCO!$A$2:$A$85,0),MATCH('Historical Shareweights'!S$39,TCO!$B$1:$AQ$1,0))</f>
        <v>54028</v>
      </c>
      <c r="T45">
        <f>INDEX(TCO!$B$2:$AQ$85,MATCH('Historical Shareweights'!$A45,TCO!$A$2:$A$85,0),MATCH('Historical Shareweights'!T$39,TCO!$B$1:$AQ$1,0))</f>
        <v>54089.2</v>
      </c>
      <c r="U45">
        <f>INDEX(TCO!$B$2:$AQ$85,MATCH('Historical Shareweights'!$A45,TCO!$A$2:$A$85,0),MATCH('Historical Shareweights'!U$39,TCO!$B$1:$AQ$1,0))</f>
        <v>54153.3</v>
      </c>
      <c r="V45">
        <f>INDEX(TCO!$B$2:$AQ$85,MATCH('Historical Shareweights'!$A45,TCO!$A$2:$A$85,0),MATCH('Historical Shareweights'!V$39,TCO!$B$1:$AQ$1,0))</f>
        <v>54214.400000000001</v>
      </c>
      <c r="W45">
        <f>INDEX(TCO!$B$2:$AQ$85,MATCH('Historical Shareweights'!$A45,TCO!$A$2:$A$85,0),MATCH('Historical Shareweights'!W$39,TCO!$B$1:$AQ$1,0))</f>
        <v>54246.5</v>
      </c>
      <c r="X45">
        <f>INDEX(TCO!$B$2:$AQ$85,MATCH('Historical Shareweights'!$A45,TCO!$A$2:$A$85,0),MATCH('Historical Shareweights'!X$39,TCO!$B$1:$AQ$1,0))</f>
        <v>54278.5</v>
      </c>
      <c r="Y45">
        <f>INDEX(TCO!$B$2:$AQ$85,MATCH('Historical Shareweights'!$A45,TCO!$A$2:$A$85,0),MATCH('Historical Shareweights'!Y$39,TCO!$B$1:$AQ$1,0))</f>
        <v>54310.6</v>
      </c>
      <c r="Z45">
        <f>INDEX(TCO!$B$2:$AQ$85,MATCH('Historical Shareweights'!$A45,TCO!$A$2:$A$85,0),MATCH('Historical Shareweights'!Z$39,TCO!$B$1:$AQ$1,0))</f>
        <v>54342.6</v>
      </c>
      <c r="AA45">
        <f>INDEX(TCO!$B$2:$AQ$85,MATCH('Historical Shareweights'!$A45,TCO!$A$2:$A$85,0),MATCH('Historical Shareweights'!AA$39,TCO!$B$1:$AQ$1,0))</f>
        <v>54342.6</v>
      </c>
      <c r="AB45">
        <f>INDEX(TCO!$B$2:$AQ$85,MATCH('Historical Shareweights'!$A45,TCO!$A$2:$A$85,0),MATCH('Historical Shareweights'!AB$39,TCO!$B$1:$AQ$1,0))</f>
        <v>54377.599999999999</v>
      </c>
      <c r="AC45">
        <f>INDEX(TCO!$B$2:$AQ$85,MATCH('Historical Shareweights'!$A45,TCO!$A$2:$A$85,0),MATCH('Historical Shareweights'!AC$39,TCO!$B$1:$AQ$1,0))</f>
        <v>54406.7</v>
      </c>
      <c r="AD45">
        <f>INDEX(TCO!$B$2:$AQ$85,MATCH('Historical Shareweights'!$A45,TCO!$A$2:$A$85,0),MATCH('Historical Shareweights'!AD$39,TCO!$B$1:$AQ$1,0))</f>
        <v>54470.8</v>
      </c>
      <c r="AE45">
        <f>INDEX(TCO!$B$2:$AQ$85,MATCH('Historical Shareweights'!$A45,TCO!$A$2:$A$85,0),MATCH('Historical Shareweights'!AE$39,TCO!$B$1:$AQ$1,0))</f>
        <v>54502.8</v>
      </c>
      <c r="AF45">
        <f>INDEX(TCO!$B$2:$AQ$85,MATCH('Historical Shareweights'!$A45,TCO!$A$2:$A$85,0),MATCH('Historical Shareweights'!AF$39,TCO!$B$1:$AQ$1,0))</f>
        <v>54534.8</v>
      </c>
      <c r="AG45">
        <f>INDEX(TCO!$B$2:$AQ$85,MATCH('Historical Shareweights'!$A45,TCO!$A$2:$A$85,0),MATCH('Historical Shareweights'!AG$39,TCO!$B$1:$AQ$1,0))</f>
        <v>54596</v>
      </c>
      <c r="AH45">
        <f>INDEX(TCO!$B$2:$AQ$85,MATCH('Historical Shareweights'!$A45,TCO!$A$2:$A$85,0),MATCH('Historical Shareweights'!AH$39,TCO!$B$1:$AQ$1,0))</f>
        <v>54598.9</v>
      </c>
      <c r="AI45">
        <f>INDEX(TCO!$B$2:$AQ$85,MATCH('Historical Shareweights'!$A45,TCO!$A$2:$A$85,0),MATCH('Historical Shareweights'!AI$39,TCO!$B$1:$AQ$1,0))</f>
        <v>54631</v>
      </c>
      <c r="AJ45">
        <f>INDEX(TCO!$B$2:$AQ$85,MATCH('Historical Shareweights'!$A45,TCO!$A$2:$A$85,0),MATCH('Historical Shareweights'!AJ$39,TCO!$B$1:$AQ$1,0))</f>
        <v>54692.1</v>
      </c>
      <c r="AK45">
        <f>INDEX(TCO!$B$2:$AQ$85,MATCH('Historical Shareweights'!$A45,TCO!$A$2:$A$85,0),MATCH('Historical Shareweights'!AK$39,TCO!$B$1:$AQ$1,0))</f>
        <v>54724.2</v>
      </c>
      <c r="AL45">
        <f>INDEX(TCO!$B$2:$AQ$85,MATCH('Historical Shareweights'!$A45,TCO!$A$2:$A$85,0),MATCH('Historical Shareweights'!AL$39,TCO!$B$1:$AQ$1,0))</f>
        <v>54756.2</v>
      </c>
      <c r="AM45">
        <f>INDEX(TCO!$B$2:$AQ$85,MATCH('Historical Shareweights'!$A45,TCO!$A$2:$A$85,0),MATCH('Historical Shareweights'!AM$39,TCO!$B$1:$AQ$1,0))</f>
        <v>54788.3</v>
      </c>
      <c r="AN45">
        <f>INDEX(TCO!$B$2:$AQ$85,MATCH('Historical Shareweights'!$A45,TCO!$A$2:$A$85,0),MATCH('Historical Shareweights'!AN$39,TCO!$B$1:$AQ$1,0))</f>
        <v>54820.3</v>
      </c>
      <c r="AO45">
        <f>INDEX(TCO!$B$2:$AQ$85,MATCH('Historical Shareweights'!$A45,TCO!$A$2:$A$85,0),MATCH('Historical Shareweights'!AO$39,TCO!$B$1:$AQ$1,0))</f>
        <v>54852.3</v>
      </c>
      <c r="AP45">
        <f>INDEX(TCO!$B$2:$AQ$85,MATCH('Historical Shareweights'!$A45,TCO!$A$2:$A$85,0),MATCH('Historical Shareweights'!AP$39,TCO!$B$1:$AQ$1,0))</f>
        <v>54913.5</v>
      </c>
      <c r="AQ45">
        <f>INDEX(TCO!$B$2:$AQ$85,MATCH('Historical Shareweights'!$A45,TCO!$A$2:$A$85,0),MATCH('Historical Shareweights'!AQ$39,TCO!$B$1:$AQ$1,0))</f>
        <v>54945.5</v>
      </c>
    </row>
    <row r="46" spans="1:43" outlineLevel="1" x14ac:dyDescent="0.15">
      <c r="A46" t="s">
        <v>1100</v>
      </c>
      <c r="B46">
        <f>INDEX(TCO!$B$2:$AQ$85,MATCH('Historical Shareweights'!$A46,TCO!$A$2:$A$85,0),MATCH('Historical Shareweights'!B$39,TCO!$B$1:$AQ$1,0))</f>
        <v>79555.5</v>
      </c>
      <c r="C46">
        <f>INDEX(TCO!$B$2:$AQ$85,MATCH('Historical Shareweights'!$A46,TCO!$A$2:$A$85,0),MATCH('Historical Shareweights'!C$39,TCO!$B$1:$AQ$1,0))</f>
        <v>79555.5</v>
      </c>
      <c r="D46">
        <f>INDEX(TCO!$B$2:$AQ$85,MATCH('Historical Shareweights'!$A46,TCO!$A$2:$A$85,0),MATCH('Historical Shareweights'!D$39,TCO!$B$1:$AQ$1,0))</f>
        <v>79140</v>
      </c>
      <c r="E46">
        <f>INDEX(TCO!$B$2:$AQ$85,MATCH('Historical Shareweights'!$A46,TCO!$A$2:$A$85,0),MATCH('Historical Shareweights'!E$39,TCO!$B$1:$AQ$1,0))</f>
        <v>77502.8</v>
      </c>
      <c r="F46">
        <f>INDEX(TCO!$B$2:$AQ$85,MATCH('Historical Shareweights'!$A46,TCO!$A$2:$A$85,0),MATCH('Historical Shareweights'!F$39,TCO!$B$1:$AQ$1,0))</f>
        <v>77055.600000000006</v>
      </c>
      <c r="G46">
        <f>INDEX(TCO!$B$2:$AQ$85,MATCH('Historical Shareweights'!$A46,TCO!$A$2:$A$85,0),MATCH('Historical Shareweights'!G$39,TCO!$B$1:$AQ$1,0))</f>
        <v>76518</v>
      </c>
      <c r="H46">
        <f>INDEX(TCO!$B$2:$AQ$85,MATCH('Historical Shareweights'!$A46,TCO!$A$2:$A$85,0),MATCH('Historical Shareweights'!H$39,TCO!$B$1:$AQ$1,0))</f>
        <v>76032.7</v>
      </c>
      <c r="I46">
        <f>INDEX(TCO!$B$2:$AQ$85,MATCH('Historical Shareweights'!$A46,TCO!$A$2:$A$85,0),MATCH('Historical Shareweights'!I$39,TCO!$B$1:$AQ$1,0))</f>
        <v>75579.8</v>
      </c>
      <c r="J46">
        <f>INDEX(TCO!$B$2:$AQ$85,MATCH('Historical Shareweights'!$A46,TCO!$A$2:$A$85,0),MATCH('Historical Shareweights'!J$39,TCO!$B$1:$AQ$1,0))</f>
        <v>75150.399999999994</v>
      </c>
      <c r="K46">
        <f>INDEX(TCO!$B$2:$AQ$85,MATCH('Historical Shareweights'!$A46,TCO!$A$2:$A$85,0),MATCH('Historical Shareweights'!K$39,TCO!$B$1:$AQ$1,0))</f>
        <v>74760.800000000003</v>
      </c>
      <c r="L46">
        <f>INDEX(TCO!$B$2:$AQ$85,MATCH('Historical Shareweights'!$A46,TCO!$A$2:$A$85,0),MATCH('Historical Shareweights'!L$39,TCO!$B$1:$AQ$1,0))</f>
        <v>74397.8</v>
      </c>
      <c r="M46">
        <f>INDEX(TCO!$B$2:$AQ$85,MATCH('Historical Shareweights'!$A46,TCO!$A$2:$A$85,0),MATCH('Historical Shareweights'!M$39,TCO!$B$1:$AQ$1,0))</f>
        <v>74057.5</v>
      </c>
      <c r="N46">
        <f>INDEX(TCO!$B$2:$AQ$85,MATCH('Historical Shareweights'!$A46,TCO!$A$2:$A$85,0),MATCH('Historical Shareweights'!N$39,TCO!$B$1:$AQ$1,0))</f>
        <v>73890.600000000006</v>
      </c>
      <c r="O46">
        <f>INDEX(TCO!$B$2:$AQ$85,MATCH('Historical Shareweights'!$A46,TCO!$A$2:$A$85,0),MATCH('Historical Shareweights'!O$39,TCO!$B$1:$AQ$1,0))</f>
        <v>73746.5</v>
      </c>
      <c r="P46">
        <f>INDEX(TCO!$B$2:$AQ$85,MATCH('Historical Shareweights'!$A46,TCO!$A$2:$A$85,0),MATCH('Historical Shareweights'!P$39,TCO!$B$1:$AQ$1,0))</f>
        <v>73604.7</v>
      </c>
      <c r="Q46">
        <f>INDEX(TCO!$B$2:$AQ$85,MATCH('Historical Shareweights'!$A46,TCO!$A$2:$A$85,0),MATCH('Historical Shareweights'!Q$39,TCO!$B$1:$AQ$1,0))</f>
        <v>73462.899999999994</v>
      </c>
      <c r="R46">
        <f>INDEX(TCO!$B$2:$AQ$85,MATCH('Historical Shareweights'!$A46,TCO!$A$2:$A$85,0),MATCH('Historical Shareweights'!R$39,TCO!$B$1:$AQ$1,0))</f>
        <v>73333.600000000006</v>
      </c>
      <c r="S46">
        <f>INDEX(TCO!$B$2:$AQ$85,MATCH('Historical Shareweights'!$A46,TCO!$A$2:$A$85,0),MATCH('Historical Shareweights'!S$39,TCO!$B$1:$AQ$1,0))</f>
        <v>73205.600000000006</v>
      </c>
      <c r="T46">
        <f>INDEX(TCO!$B$2:$AQ$85,MATCH('Historical Shareweights'!$A46,TCO!$A$2:$A$85,0),MATCH('Historical Shareweights'!T$39,TCO!$B$1:$AQ$1,0))</f>
        <v>73088.899999999994</v>
      </c>
      <c r="U46">
        <f>INDEX(TCO!$B$2:$AQ$85,MATCH('Historical Shareweights'!$A46,TCO!$A$2:$A$85,0),MATCH('Historical Shareweights'!U$39,TCO!$B$1:$AQ$1,0))</f>
        <v>72972.3</v>
      </c>
      <c r="V46">
        <f>INDEX(TCO!$B$2:$AQ$85,MATCH('Historical Shareweights'!$A46,TCO!$A$2:$A$85,0),MATCH('Historical Shareweights'!V$39,TCO!$B$1:$AQ$1,0))</f>
        <v>72869.399999999994</v>
      </c>
      <c r="W46">
        <f>INDEX(TCO!$B$2:$AQ$85,MATCH('Historical Shareweights'!$A46,TCO!$A$2:$A$85,0),MATCH('Historical Shareweights'!W$39,TCO!$B$1:$AQ$1,0))</f>
        <v>72765.3</v>
      </c>
      <c r="X46">
        <f>INDEX(TCO!$B$2:$AQ$85,MATCH('Historical Shareweights'!$A46,TCO!$A$2:$A$85,0),MATCH('Historical Shareweights'!X$39,TCO!$B$1:$AQ$1,0))</f>
        <v>72674.899999999994</v>
      </c>
      <c r="Y46">
        <f>INDEX(TCO!$B$2:$AQ$85,MATCH('Historical Shareweights'!$A46,TCO!$A$2:$A$85,0),MATCH('Historical Shareweights'!Y$39,TCO!$B$1:$AQ$1,0))</f>
        <v>72583.5</v>
      </c>
      <c r="Z46">
        <f>INDEX(TCO!$B$2:$AQ$85,MATCH('Historical Shareweights'!$A46,TCO!$A$2:$A$85,0),MATCH('Historical Shareweights'!Z$39,TCO!$B$1:$AQ$1,0))</f>
        <v>72493.100000000006</v>
      </c>
      <c r="AA46">
        <f>INDEX(TCO!$B$2:$AQ$85,MATCH('Historical Shareweights'!$A46,TCO!$A$2:$A$85,0),MATCH('Historical Shareweights'!AA$39,TCO!$B$1:$AQ$1,0))</f>
        <v>72403.899999999994</v>
      </c>
      <c r="AB46">
        <f>INDEX(TCO!$B$2:$AQ$85,MATCH('Historical Shareweights'!$A46,TCO!$A$2:$A$85,0),MATCH('Historical Shareweights'!AB$39,TCO!$B$1:$AQ$1,0))</f>
        <v>72326.100000000006</v>
      </c>
      <c r="AC46">
        <f>INDEX(TCO!$B$2:$AQ$85,MATCH('Historical Shareweights'!$A46,TCO!$A$2:$A$85,0),MATCH('Historical Shareweights'!AC$39,TCO!$B$1:$AQ$1,0))</f>
        <v>72248.399999999994</v>
      </c>
      <c r="AD46">
        <f>INDEX(TCO!$B$2:$AQ$85,MATCH('Historical Shareweights'!$A46,TCO!$A$2:$A$85,0),MATCH('Historical Shareweights'!AD$39,TCO!$B$1:$AQ$1,0))</f>
        <v>72183.199999999997</v>
      </c>
      <c r="AE46">
        <f>INDEX(TCO!$B$2:$AQ$85,MATCH('Historical Shareweights'!$A46,TCO!$A$2:$A$85,0),MATCH('Historical Shareweights'!AE$39,TCO!$B$1:$AQ$1,0))</f>
        <v>72106.600000000006</v>
      </c>
      <c r="AF46">
        <f>INDEX(TCO!$B$2:$AQ$85,MATCH('Historical Shareweights'!$A46,TCO!$A$2:$A$85,0),MATCH('Historical Shareweights'!AF$39,TCO!$B$1:$AQ$1,0))</f>
        <v>72042.5</v>
      </c>
      <c r="AG46">
        <f>INDEX(TCO!$B$2:$AQ$85,MATCH('Historical Shareweights'!$A46,TCO!$A$2:$A$85,0),MATCH('Historical Shareweights'!AG$39,TCO!$B$1:$AQ$1,0))</f>
        <v>71980.800000000003</v>
      </c>
      <c r="AH46">
        <f>INDEX(TCO!$B$2:$AQ$85,MATCH('Historical Shareweights'!$A46,TCO!$A$2:$A$85,0),MATCH('Historical Shareweights'!AH$39,TCO!$B$1:$AQ$1,0))</f>
        <v>71921.3</v>
      </c>
      <c r="AI46">
        <f>INDEX(TCO!$B$2:$AQ$85,MATCH('Historical Shareweights'!$A46,TCO!$A$2:$A$85,0),MATCH('Historical Shareweights'!AI$39,TCO!$B$1:$AQ$1,0))</f>
        <v>71865.3</v>
      </c>
      <c r="AJ46">
        <f>INDEX(TCO!$B$2:$AQ$85,MATCH('Historical Shareweights'!$A46,TCO!$A$2:$A$85,0),MATCH('Historical Shareweights'!AJ$39,TCO!$B$1:$AQ$1,0))</f>
        <v>71811.5</v>
      </c>
      <c r="AK46">
        <f>INDEX(TCO!$B$2:$AQ$85,MATCH('Historical Shareweights'!$A46,TCO!$A$2:$A$85,0),MATCH('Historical Shareweights'!AK$39,TCO!$B$1:$AQ$1,0))</f>
        <v>71760.100000000006</v>
      </c>
      <c r="AL46">
        <f>INDEX(TCO!$B$2:$AQ$85,MATCH('Historical Shareweights'!$A46,TCO!$A$2:$A$85,0),MATCH('Historical Shareweights'!AL$39,TCO!$B$1:$AQ$1,0))</f>
        <v>71710.899999999994</v>
      </c>
      <c r="AM46">
        <f>INDEX(TCO!$B$2:$AQ$85,MATCH('Historical Shareweights'!$A46,TCO!$A$2:$A$85,0),MATCH('Historical Shareweights'!AM$39,TCO!$B$1:$AQ$1,0))</f>
        <v>71664.399999999994</v>
      </c>
      <c r="AN46">
        <f>INDEX(TCO!$B$2:$AQ$85,MATCH('Historical Shareweights'!$A46,TCO!$A$2:$A$85,0),MATCH('Historical Shareweights'!AN$39,TCO!$B$1:$AQ$1,0))</f>
        <v>71620.399999999994</v>
      </c>
      <c r="AO46">
        <f>INDEX(TCO!$B$2:$AQ$85,MATCH('Historical Shareweights'!$A46,TCO!$A$2:$A$85,0),MATCH('Historical Shareweights'!AO$39,TCO!$B$1:$AQ$1,0))</f>
        <v>71577.8</v>
      </c>
      <c r="AP46">
        <f>INDEX(TCO!$B$2:$AQ$85,MATCH('Historical Shareweights'!$A46,TCO!$A$2:$A$85,0),MATCH('Historical Shareweights'!AP$39,TCO!$B$1:$AQ$1,0))</f>
        <v>71537.8</v>
      </c>
      <c r="AQ46">
        <f>INDEX(TCO!$B$2:$AQ$85,MATCH('Historical Shareweights'!$A46,TCO!$A$2:$A$85,0),MATCH('Historical Shareweights'!AQ$39,TCO!$B$1:$AQ$1,0))</f>
        <v>71499</v>
      </c>
    </row>
    <row r="47" spans="1:43" ht="13.6" outlineLevel="1" thickBot="1" x14ac:dyDescent="0.2"/>
    <row r="48" spans="1:43" ht="13.6" outlineLevel="1" thickBot="1" x14ac:dyDescent="0.2">
      <c r="A48" s="1" t="s">
        <v>1101</v>
      </c>
      <c r="B48" s="175">
        <v>2020</v>
      </c>
      <c r="I48" s="1" t="s">
        <v>1101</v>
      </c>
      <c r="J48" s="175">
        <v>2019</v>
      </c>
    </row>
    <row r="49" spans="1:15" outlineLevel="1" x14ac:dyDescent="0.15"/>
    <row r="50" spans="1:15" outlineLevel="1" x14ac:dyDescent="0.15">
      <c r="A50" s="1" t="s">
        <v>1102</v>
      </c>
      <c r="I50" s="1" t="s">
        <v>1102</v>
      </c>
    </row>
    <row r="51" spans="1:15" outlineLevel="1" x14ac:dyDescent="0.15">
      <c r="B51" t="s">
        <v>1103</v>
      </c>
      <c r="C51" t="s">
        <v>1104</v>
      </c>
      <c r="D51" t="s">
        <v>1105</v>
      </c>
      <c r="E51" t="s">
        <v>1106</v>
      </c>
      <c r="F51" t="s">
        <v>1107</v>
      </c>
      <c r="G51" t="s">
        <v>1108</v>
      </c>
      <c r="J51" t="s">
        <v>1103</v>
      </c>
      <c r="K51" t="s">
        <v>1104</v>
      </c>
      <c r="L51" t="s">
        <v>1105</v>
      </c>
      <c r="M51" t="s">
        <v>1106</v>
      </c>
      <c r="N51" t="s">
        <v>1107</v>
      </c>
      <c r="O51" t="s">
        <v>1108</v>
      </c>
    </row>
    <row r="52" spans="1:15" outlineLevel="1" x14ac:dyDescent="0.15">
      <c r="A52" t="s">
        <v>1084</v>
      </c>
      <c r="B52" s="193">
        <v>5.3999999999999999E-2</v>
      </c>
      <c r="C52" cm="1">
        <f t="array" ref="C52">INDEX($B40:$AQ40,,MATCH($B$48,$B$39:$AQ$39,0))/10^6</f>
        <v>3.9238099999999998E-2</v>
      </c>
      <c r="D52" s="176">
        <f t="shared" ref="D52:D58" si="9">B52*EXP(C52*$B$36)</f>
        <v>4.8003299424899171E-2</v>
      </c>
      <c r="E52" s="194">
        <f>D52/SUM($D$52:$D$58)</f>
        <v>4.9881213749586727E-2</v>
      </c>
      <c r="F52" s="195">
        <f>INDEX($B$27:$G$33,MATCH(A52,$A$27:$A$33,0),MATCH($B$48,$B$26:$G$26,0))</f>
        <v>4.9084064304533354E-2</v>
      </c>
      <c r="G52" s="178">
        <f>ABS(F52-E52)</f>
        <v>7.971494450533731E-4</v>
      </c>
      <c r="I52" t="s">
        <v>1084</v>
      </c>
      <c r="J52">
        <v>2.9000000000000001E-2</v>
      </c>
      <c r="K52" cm="1">
        <f t="array" ref="K52">INDEX($B40:$AQ40,,MATCH($J$48,$B$39:$AQ$39,0))/10^6</f>
        <v>3.9238099999999998E-2</v>
      </c>
      <c r="L52" s="176">
        <f t="shared" ref="L52:L58" si="10">J52*EXP(K52*$B$36)</f>
        <v>2.5779549691149557E-2</v>
      </c>
      <c r="M52" s="194">
        <f>L52/SUM($L$52:$L$58)</f>
        <v>2.7849603554200686E-2</v>
      </c>
      <c r="N52" s="195">
        <f>INDEX($B$27:$G$33,MATCH(I52,$A$27:$A$33,0),MATCH($J$48,$B$26:$G$26,0))</f>
        <v>2.8398669344420438E-2</v>
      </c>
      <c r="O52" s="178">
        <f>ABS(N52-M52)</f>
        <v>5.490657902197521E-4</v>
      </c>
    </row>
    <row r="53" spans="1:15" outlineLevel="1" x14ac:dyDescent="0.15">
      <c r="A53" t="s">
        <v>1086</v>
      </c>
      <c r="B53" s="193">
        <v>2.5000000000000001E-3</v>
      </c>
      <c r="C53" cm="1">
        <f t="array" ref="C53">INDEX($B41:$AQ41,,MATCH($B$48,$B$39:$AQ$39,0))/10^6</f>
        <v>5.0763300000000004E-2</v>
      </c>
      <c r="D53" s="176">
        <f t="shared" si="9"/>
        <v>2.1468482403264994E-3</v>
      </c>
      <c r="E53" s="194">
        <f>D53/SUM($D$52:$D$58)</f>
        <v>2.2308340727950947E-3</v>
      </c>
      <c r="F53" s="195">
        <f t="shared" ref="F53:F58" si="11">INDEX($B$27:$G$33,MATCH(A53,$A$27:$A$33,0),MATCH($B$48,$B$26:$G$26,0))</f>
        <v>2.1886925656920929E-3</v>
      </c>
      <c r="G53" s="178">
        <f t="shared" ref="G53:G58" si="12">ABS(F53-E53)</f>
        <v>4.2141507103001831E-5</v>
      </c>
      <c r="I53" t="s">
        <v>1086</v>
      </c>
      <c r="J53">
        <v>5.1999999999999998E-3</v>
      </c>
      <c r="K53" cm="1">
        <f t="array" ref="K53">INDEX($B41:$AQ41,,MATCH($J$48,$B$39:$AQ$39,0))/10^6</f>
        <v>5.0763300000000004E-2</v>
      </c>
      <c r="L53" s="176">
        <f t="shared" si="10"/>
        <v>4.4654443398791186E-3</v>
      </c>
      <c r="M53" s="194">
        <f t="shared" ref="M53:M58" si="13">L53/SUM($L$52:$L$58)</f>
        <v>4.8240119028020679E-3</v>
      </c>
      <c r="N53" s="195">
        <f t="shared" ref="N53:N58" si="14">INDEX($B$27:$G$33,MATCH(I53,$A$27:$A$33,0),MATCH($J$48,$B$26:$G$26,0))</f>
        <v>4.9332912144659444E-3</v>
      </c>
      <c r="O53" s="178">
        <f t="shared" ref="O53:O58" si="15">ABS(N53-M53)</f>
        <v>1.0927931166387645E-4</v>
      </c>
    </row>
    <row r="54" spans="1:15" outlineLevel="1" x14ac:dyDescent="0.15">
      <c r="A54" t="s">
        <v>1088</v>
      </c>
      <c r="B54" s="193">
        <v>1</v>
      </c>
      <c r="C54" cm="1">
        <f t="array" ref="C54">INDEX($B42:$AQ42,,MATCH($B$48,$B$39:$AQ$39,0))/10^6</f>
        <v>4.8296100000000002E-2</v>
      </c>
      <c r="D54" s="176">
        <f t="shared" si="9"/>
        <v>0.86511892149747671</v>
      </c>
      <c r="E54" s="194">
        <f t="shared" ref="E54:E58" si="16">D54/SUM($D$52:$D$58)</f>
        <v>0.89896282878514278</v>
      </c>
      <c r="F54" s="195">
        <f t="shared" si="11"/>
        <v>0.89978419907007123</v>
      </c>
      <c r="G54" s="178">
        <f t="shared" si="12"/>
        <v>8.2137028492845765E-4</v>
      </c>
      <c r="I54" t="s">
        <v>1088</v>
      </c>
      <c r="J54">
        <v>1</v>
      </c>
      <c r="K54" cm="1">
        <f t="array" ref="K54">INDEX($B42:$AQ42,,MATCH($J$48,$B$39:$AQ$39,0))/10^6</f>
        <v>4.8296100000000002E-2</v>
      </c>
      <c r="L54" s="176">
        <f t="shared" si="10"/>
        <v>0.86511892149747671</v>
      </c>
      <c r="M54" s="194">
        <f t="shared" si="13"/>
        <v>0.9345864950935856</v>
      </c>
      <c r="N54" s="195">
        <f t="shared" si="14"/>
        <v>0.93282467055138807</v>
      </c>
      <c r="O54" s="178">
        <f t="shared" si="15"/>
        <v>1.761824542197532E-3</v>
      </c>
    </row>
    <row r="55" spans="1:15" outlineLevel="1" x14ac:dyDescent="0.15">
      <c r="A55" t="s">
        <v>408</v>
      </c>
      <c r="B55" s="193">
        <v>0.01</v>
      </c>
      <c r="C55" cm="1">
        <f t="array" ref="C55">INDEX($B43:$AQ43,,MATCH($B$48,$B$39:$AQ$39,0))/10^6</f>
        <v>5.0639999999999998E-2</v>
      </c>
      <c r="D55" s="176">
        <f t="shared" si="9"/>
        <v>8.5905700255241857E-3</v>
      </c>
      <c r="E55" s="194">
        <f t="shared" si="16"/>
        <v>8.9266376438220142E-3</v>
      </c>
      <c r="F55" s="195">
        <f t="shared" si="11"/>
        <v>9.2187865886665665E-3</v>
      </c>
      <c r="G55" s="178">
        <f t="shared" si="12"/>
        <v>2.9214894484455231E-4</v>
      </c>
      <c r="I55" t="s">
        <v>408</v>
      </c>
      <c r="J55">
        <v>7.0000000000000001E-3</v>
      </c>
      <c r="K55" cm="1">
        <f t="array" ref="K55">INDEX($B43:$AQ43,,MATCH($J$48,$B$39:$AQ$39,0))/10^6</f>
        <v>5.0639999999999998E-2</v>
      </c>
      <c r="L55" s="176">
        <f t="shared" si="10"/>
        <v>6.0133990178669302E-3</v>
      </c>
      <c r="M55" s="194">
        <f t="shared" si="13"/>
        <v>6.4962647007875624E-3</v>
      </c>
      <c r="N55" s="195">
        <f t="shared" si="14"/>
        <v>7.2660568020321958E-3</v>
      </c>
      <c r="O55" s="178">
        <f t="shared" si="15"/>
        <v>7.6979210124463338E-4</v>
      </c>
    </row>
    <row r="56" spans="1:15" outlineLevel="1" x14ac:dyDescent="0.15">
      <c r="A56" t="s">
        <v>1089</v>
      </c>
      <c r="B56" s="193">
        <v>4.4999999999999998E-2</v>
      </c>
      <c r="C56" cm="1">
        <f t="array" ref="C56">INDEX($B44:$AQ44,,MATCH($B$48,$B$39:$AQ$39,0))/10^6</f>
        <v>5.2065199999999999E-2</v>
      </c>
      <c r="D56" s="176">
        <f t="shared" si="9"/>
        <v>3.8492633671149974E-2</v>
      </c>
      <c r="E56" s="194">
        <f t="shared" si="16"/>
        <v>3.9998485748653397E-2</v>
      </c>
      <c r="F56" s="195">
        <f t="shared" si="11"/>
        <v>3.9724257471036896E-2</v>
      </c>
      <c r="G56" s="178">
        <f t="shared" si="12"/>
        <v>2.7422827761650059E-4</v>
      </c>
      <c r="I56" t="s">
        <v>1089</v>
      </c>
      <c r="J56">
        <v>2.81E-2</v>
      </c>
      <c r="K56" cm="1">
        <f t="array" ref="K56">INDEX($B44:$AQ44,,MATCH($J$48,$B$39:$AQ$39,0))/10^6</f>
        <v>5.2065199999999999E-2</v>
      </c>
      <c r="L56" s="176">
        <f t="shared" si="10"/>
        <v>2.4036511247984765E-2</v>
      </c>
      <c r="M56" s="194">
        <f t="shared" si="13"/>
        <v>2.5966602097486489E-2</v>
      </c>
      <c r="N56" s="195">
        <f t="shared" si="14"/>
        <v>2.6568017100935034E-2</v>
      </c>
      <c r="O56" s="178">
        <f t="shared" si="15"/>
        <v>6.0141500344854451E-4</v>
      </c>
    </row>
    <row r="57" spans="1:15" outlineLevel="1" x14ac:dyDescent="0.15">
      <c r="A57" t="s">
        <v>1090</v>
      </c>
      <c r="B57" s="193">
        <v>0</v>
      </c>
      <c r="C57" cm="1">
        <f t="array" ref="C57">INDEX($B45:$AQ45,,MATCH($B$48,$B$39:$AQ$39,0))/10^6</f>
        <v>5.2306800000000001E-2</v>
      </c>
      <c r="D57" s="176">
        <f t="shared" si="9"/>
        <v>0</v>
      </c>
      <c r="E57" s="194">
        <f t="shared" si="16"/>
        <v>0</v>
      </c>
      <c r="F57" s="195">
        <f t="shared" si="11"/>
        <v>0</v>
      </c>
      <c r="G57" s="178">
        <f t="shared" si="12"/>
        <v>0</v>
      </c>
      <c r="I57" t="s">
        <v>1090</v>
      </c>
      <c r="J57">
        <v>2.9999999999999997E-4</v>
      </c>
      <c r="K57" cm="1">
        <f t="array" ref="K57">INDEX($B45:$AQ45,,MATCH($J$48,$B$39:$AQ$39,0))/10^6</f>
        <v>5.2306800000000001E-2</v>
      </c>
      <c r="L57" s="176">
        <f t="shared" si="10"/>
        <v>2.5643162879058286E-4</v>
      </c>
      <c r="M57" s="194">
        <f t="shared" si="13"/>
        <v>2.7702265113759765E-4</v>
      </c>
      <c r="N57" s="195">
        <f t="shared" si="14"/>
        <v>9.2949867580949757E-6</v>
      </c>
      <c r="O57" s="178">
        <f t="shared" si="15"/>
        <v>2.6772766437950269E-4</v>
      </c>
    </row>
    <row r="58" spans="1:15" outlineLevel="1" x14ac:dyDescent="0.15">
      <c r="A58" t="s">
        <v>1091</v>
      </c>
      <c r="B58" s="193">
        <v>0</v>
      </c>
      <c r="C58" cm="1">
        <f t="array" ref="C58">INDEX($B46:$AQ46,,MATCH($B$48,$B$39:$AQ$39,0))/10^6</f>
        <v>7.9555500000000001E-2</v>
      </c>
      <c r="D58" s="176">
        <f t="shared" si="9"/>
        <v>0</v>
      </c>
      <c r="E58" s="194">
        <f t="shared" si="16"/>
        <v>0</v>
      </c>
      <c r="F58" s="195">
        <f t="shared" si="11"/>
        <v>0</v>
      </c>
      <c r="G58" s="178">
        <f t="shared" si="12"/>
        <v>0</v>
      </c>
      <c r="H58" t="s">
        <v>1388</v>
      </c>
      <c r="I58" t="s">
        <v>1091</v>
      </c>
      <c r="J58">
        <v>0</v>
      </c>
      <c r="K58" cm="1">
        <f t="array" ref="K58">INDEX($B46:$AQ46,,MATCH($J$48,$B$39:$AQ$39,0))/10^6</f>
        <v>7.9555500000000001E-2</v>
      </c>
      <c r="L58" s="176">
        <f t="shared" si="10"/>
        <v>0</v>
      </c>
      <c r="M58" s="194">
        <f t="shared" si="13"/>
        <v>0</v>
      </c>
      <c r="N58" s="195">
        <f t="shared" si="14"/>
        <v>0</v>
      </c>
      <c r="O58" s="178">
        <f t="shared" si="15"/>
        <v>0</v>
      </c>
    </row>
    <row r="59" spans="1:15" outlineLevel="1" x14ac:dyDescent="0.15">
      <c r="G59" s="178"/>
    </row>
    <row r="60" spans="1:15" outlineLevel="1" x14ac:dyDescent="0.15">
      <c r="F60" s="1" t="s">
        <v>1109</v>
      </c>
      <c r="G60" s="179">
        <f>SUM(G52:G58)</f>
        <v>2.2270384595458855E-3</v>
      </c>
    </row>
    <row r="61" spans="1:15" outlineLevel="1" x14ac:dyDescent="0.15"/>
    <row r="62" spans="1:15" outlineLevel="1" x14ac:dyDescent="0.15">
      <c r="A62" s="1" t="s">
        <v>1110</v>
      </c>
      <c r="B62">
        <v>2019</v>
      </c>
      <c r="C62">
        <v>2020</v>
      </c>
      <c r="D62">
        <v>2021</v>
      </c>
      <c r="E62">
        <v>2022</v>
      </c>
      <c r="F62">
        <v>2023</v>
      </c>
      <c r="G62">
        <v>2024</v>
      </c>
    </row>
    <row r="63" spans="1:15" outlineLevel="1" x14ac:dyDescent="0.15">
      <c r="A63" t="s">
        <v>1084</v>
      </c>
      <c r="B63">
        <v>0.16568447039513082</v>
      </c>
      <c r="C63">
        <v>0.23749966755338828</v>
      </c>
      <c r="D63" s="179">
        <v>0.4569428407097248</v>
      </c>
      <c r="E63" s="179">
        <v>0.73115813046797662</v>
      </c>
      <c r="F63">
        <v>0.58811012104563187</v>
      </c>
      <c r="G63">
        <v>0.68268621664709195</v>
      </c>
    </row>
    <row r="64" spans="1:15" outlineLevel="1" x14ac:dyDescent="0.15">
      <c r="A64" t="s">
        <v>1086</v>
      </c>
      <c r="B64">
        <v>0</v>
      </c>
      <c r="C64">
        <v>0</v>
      </c>
      <c r="D64" s="179">
        <v>0</v>
      </c>
      <c r="E64" s="179">
        <v>0</v>
      </c>
      <c r="F64">
        <v>0</v>
      </c>
      <c r="G64">
        <v>0</v>
      </c>
    </row>
    <row r="65" spans="1:16" outlineLevel="1" x14ac:dyDescent="0.15">
      <c r="A65" t="s">
        <v>1088</v>
      </c>
      <c r="B65">
        <v>2.9533260188726298</v>
      </c>
      <c r="C65">
        <v>2.9870407204224865</v>
      </c>
      <c r="D65" s="179">
        <v>2.4397352881613648</v>
      </c>
      <c r="E65" s="179">
        <v>1.2891895197114323</v>
      </c>
      <c r="F65">
        <v>0.90963852777862086</v>
      </c>
      <c r="G65">
        <v>0.75389028730311081</v>
      </c>
    </row>
    <row r="66" spans="1:16" outlineLevel="1" x14ac:dyDescent="0.15">
      <c r="A66" t="s">
        <v>408</v>
      </c>
      <c r="B66">
        <v>0</v>
      </c>
      <c r="C66">
        <v>0</v>
      </c>
      <c r="D66" s="179">
        <v>0</v>
      </c>
      <c r="E66" s="179">
        <v>0</v>
      </c>
      <c r="F66">
        <v>0</v>
      </c>
      <c r="G66">
        <v>0</v>
      </c>
    </row>
    <row r="67" spans="1:16" outlineLevel="1" x14ac:dyDescent="0.15">
      <c r="A67" t="s">
        <v>1089</v>
      </c>
      <c r="B67">
        <v>4.1648372359011053E-2</v>
      </c>
      <c r="C67">
        <v>5.2857734101050297E-2</v>
      </c>
      <c r="D67" s="179">
        <v>9.2751008717799274E-2</v>
      </c>
      <c r="E67" s="179">
        <v>0.1572477039434656</v>
      </c>
      <c r="F67">
        <v>0.19892565438142421</v>
      </c>
      <c r="G67">
        <v>0.18572063079780529</v>
      </c>
    </row>
    <row r="68" spans="1:16" outlineLevel="1" x14ac:dyDescent="0.15">
      <c r="A68" t="s">
        <v>1090</v>
      </c>
      <c r="B68">
        <v>0</v>
      </c>
      <c r="C68">
        <v>0</v>
      </c>
      <c r="D68" s="179">
        <v>0</v>
      </c>
      <c r="E68" s="179">
        <v>0</v>
      </c>
      <c r="F68">
        <v>0</v>
      </c>
      <c r="G68">
        <v>0</v>
      </c>
    </row>
    <row r="69" spans="1:16" outlineLevel="1" x14ac:dyDescent="0.15">
      <c r="A69" t="s">
        <v>1091</v>
      </c>
      <c r="B69">
        <v>0</v>
      </c>
      <c r="C69">
        <v>0</v>
      </c>
      <c r="D69" s="179">
        <v>0</v>
      </c>
      <c r="E69" s="179">
        <v>0</v>
      </c>
      <c r="F69">
        <v>0</v>
      </c>
      <c r="G69">
        <v>0</v>
      </c>
    </row>
    <row r="71" spans="1:16" s="170" customFormat="1" x14ac:dyDescent="0.15">
      <c r="A71" s="169" t="s">
        <v>1111</v>
      </c>
    </row>
    <row r="72" spans="1:16" outlineLevel="1" x14ac:dyDescent="0.15">
      <c r="A72" s="1"/>
      <c r="J72" t="s">
        <v>1389</v>
      </c>
    </row>
    <row r="73" spans="1:16" outlineLevel="1" x14ac:dyDescent="0.15">
      <c r="A73" s="1" t="s">
        <v>1082</v>
      </c>
      <c r="B73" s="1">
        <v>2019</v>
      </c>
      <c r="C73" s="1">
        <v>2020</v>
      </c>
      <c r="D73" s="1">
        <v>2021</v>
      </c>
      <c r="E73" s="1">
        <v>2022</v>
      </c>
      <c r="F73" s="1">
        <v>2023</v>
      </c>
      <c r="G73" s="1">
        <v>2024</v>
      </c>
      <c r="H73" s="1">
        <v>2025</v>
      </c>
      <c r="I73" s="1"/>
      <c r="J73" s="1">
        <v>2019</v>
      </c>
      <c r="K73" s="1">
        <v>2020</v>
      </c>
      <c r="L73" s="1">
        <v>2021</v>
      </c>
      <c r="M73" s="1">
        <v>2022</v>
      </c>
      <c r="N73" s="1">
        <v>2023</v>
      </c>
      <c r="O73" s="1">
        <v>2024</v>
      </c>
      <c r="P73" s="1">
        <v>2025</v>
      </c>
    </row>
    <row r="74" spans="1:16" outlineLevel="1" x14ac:dyDescent="0.15">
      <c r="A74" t="s">
        <v>1084</v>
      </c>
      <c r="B74" s="191">
        <f>J74/SUM(J$74:J$80)</f>
        <v>8.2804976335238232E-3</v>
      </c>
      <c r="C74" s="191">
        <f>K74/SUM(K$74:K$80)</f>
        <v>6.3176239778722125E-3</v>
      </c>
      <c r="D74" s="191">
        <f>L74/SUM(L$74:L$80)</f>
        <v>1.6377487795079904E-2</v>
      </c>
      <c r="E74" s="191">
        <f t="shared" ref="E74:H80" si="17">M74/SUM(M$74:M$80)</f>
        <v>6.922394893029149E-2</v>
      </c>
      <c r="F74" s="191">
        <f t="shared" si="17"/>
        <v>5.7594905336869173E-2</v>
      </c>
      <c r="G74" s="191">
        <f t="shared" si="17"/>
        <v>0.11458345708874983</v>
      </c>
      <c r="H74" s="191">
        <f t="shared" si="17"/>
        <v>0.18203223461284002</v>
      </c>
      <c r="J74" s="190">
        <v>19423.157303781903</v>
      </c>
      <c r="K74" s="190">
        <v>16560.442021443185</v>
      </c>
      <c r="L74" s="190">
        <v>42092.237750814966</v>
      </c>
      <c r="M74" s="190">
        <v>127564.24917516904</v>
      </c>
      <c r="N74" s="190">
        <v>114289.74965968383</v>
      </c>
      <c r="O74" s="190">
        <v>220211.03226028639</v>
      </c>
      <c r="P74" s="189">
        <v>289448</v>
      </c>
    </row>
    <row r="75" spans="1:16" outlineLevel="1" x14ac:dyDescent="0.15">
      <c r="A75" t="s">
        <v>1086</v>
      </c>
      <c r="B75" s="191">
        <f t="shared" ref="B75:C80" si="18">J75/SUM(J$74:J$80)</f>
        <v>1.4985627624185772E-2</v>
      </c>
      <c r="C75" s="191">
        <f t="shared" si="18"/>
        <v>8.901227190400967E-3</v>
      </c>
      <c r="D75" s="191">
        <f>L75/SUM(L$74:L$80)</f>
        <v>9.3264654415219188E-3</v>
      </c>
      <c r="E75" s="191">
        <f t="shared" si="17"/>
        <v>2.2476298616820843E-2</v>
      </c>
      <c r="F75" s="191">
        <f t="shared" si="17"/>
        <v>3.8716916345415103E-2</v>
      </c>
      <c r="G75" s="191">
        <f t="shared" si="17"/>
        <v>4.7934333989930057E-2</v>
      </c>
      <c r="H75" s="191">
        <f t="shared" si="17"/>
        <v>4.7772078596710128E-2</v>
      </c>
      <c r="J75" s="190">
        <v>35151.051968430264</v>
      </c>
      <c r="K75" s="190">
        <v>23332.863323716872</v>
      </c>
      <c r="L75" s="190">
        <v>23970.208718899845</v>
      </c>
      <c r="M75" s="190">
        <v>41418.789329381994</v>
      </c>
      <c r="N75" s="190">
        <v>76828.786345444329</v>
      </c>
      <c r="O75" s="190">
        <v>92122.104157286944</v>
      </c>
      <c r="P75">
        <v>75962</v>
      </c>
    </row>
    <row r="76" spans="1:16" outlineLevel="1" x14ac:dyDescent="0.15">
      <c r="A76" t="s">
        <v>1088</v>
      </c>
      <c r="B76" s="191">
        <f t="shared" si="18"/>
        <v>0.49608372736550599</v>
      </c>
      <c r="C76" s="191">
        <f t="shared" si="18"/>
        <v>0.44167787151369764</v>
      </c>
      <c r="D76" s="191">
        <f>L76/SUM(L$74:L$80)</f>
        <v>0.45817133869419269</v>
      </c>
      <c r="E76" s="191">
        <f t="shared" si="17"/>
        <v>0.44734405438368247</v>
      </c>
      <c r="F76" s="191">
        <f t="shared" si="17"/>
        <v>0.49781394971577408</v>
      </c>
      <c r="G76" s="191">
        <f t="shared" si="17"/>
        <v>0.43116367317164728</v>
      </c>
      <c r="H76" s="191">
        <f t="shared" si="17"/>
        <v>0.37546758300777566</v>
      </c>
      <c r="I76" s="180"/>
      <c r="J76" s="190">
        <v>1163639.2761537712</v>
      </c>
      <c r="K76" s="190">
        <v>1157774</v>
      </c>
      <c r="L76" s="190">
        <v>1177558.9248015701</v>
      </c>
      <c r="M76" s="190">
        <v>824355</v>
      </c>
      <c r="N76" s="190">
        <v>987848.34105271299</v>
      </c>
      <c r="O76" s="190">
        <v>828627.44723022857</v>
      </c>
      <c r="P76" s="189">
        <v>597028</v>
      </c>
    </row>
    <row r="77" spans="1:16" outlineLevel="1" x14ac:dyDescent="0.15">
      <c r="A77" t="s">
        <v>408</v>
      </c>
      <c r="B77" s="191">
        <f t="shared" si="18"/>
        <v>0.48060539780316119</v>
      </c>
      <c r="C77" s="191">
        <f t="shared" si="18"/>
        <v>0.54297238902400591</v>
      </c>
      <c r="D77" s="191">
        <f>L77/SUM(L$74:L$80)</f>
        <v>0.5155880830955899</v>
      </c>
      <c r="E77" s="191">
        <f t="shared" si="17"/>
        <v>0.4596272747127042</v>
      </c>
      <c r="F77" s="191">
        <f t="shared" si="17"/>
        <v>0.40179784470424956</v>
      </c>
      <c r="G77" s="191">
        <f t="shared" si="17"/>
        <v>0.39694539950624558</v>
      </c>
      <c r="H77" s="191">
        <f t="shared" si="17"/>
        <v>0.37991952666889717</v>
      </c>
      <c r="J77" s="190">
        <v>1127332.5174063188</v>
      </c>
      <c r="K77" s="190">
        <v>1423298.1891880529</v>
      </c>
      <c r="L77" s="190">
        <v>1325127.2995401814</v>
      </c>
      <c r="M77" s="190">
        <v>846990.22672338004</v>
      </c>
      <c r="N77" s="190">
        <v>797316.61709413037</v>
      </c>
      <c r="O77" s="190">
        <v>762865.41178922495</v>
      </c>
      <c r="P77" s="189">
        <v>604107</v>
      </c>
    </row>
    <row r="78" spans="1:16" outlineLevel="1" x14ac:dyDescent="0.15">
      <c r="A78" t="s">
        <v>1089</v>
      </c>
      <c r="B78" s="191">
        <f t="shared" si="18"/>
        <v>4.4749573623322746E-5</v>
      </c>
      <c r="C78" s="191">
        <f t="shared" si="18"/>
        <v>1.3088829402328254E-4</v>
      </c>
      <c r="D78" s="191">
        <f t="shared" ref="D78:D80" si="19">L78/SUM(L$74:L$80)</f>
        <v>5.3534830833339012E-4</v>
      </c>
      <c r="E78" s="191">
        <f t="shared" si="17"/>
        <v>8.4257593542990566E-4</v>
      </c>
      <c r="F78" s="191">
        <f t="shared" si="17"/>
        <v>2.8912641352568619E-3</v>
      </c>
      <c r="G78" s="191">
        <f t="shared" si="17"/>
        <v>8.3621039925675447E-3</v>
      </c>
      <c r="H78" s="191">
        <f t="shared" si="17"/>
        <v>1.2789825997489453E-2</v>
      </c>
      <c r="J78" s="190">
        <v>104.96688076379323</v>
      </c>
      <c r="K78" s="190">
        <v>343.09860986506828</v>
      </c>
      <c r="L78" s="190">
        <v>1375.9136050545726</v>
      </c>
      <c r="M78" s="190">
        <v>1552.678924521</v>
      </c>
      <c r="N78" s="190">
        <v>5737.3452093686801</v>
      </c>
      <c r="O78" s="190">
        <v>16070.623097406602</v>
      </c>
      <c r="P78">
        <v>20337</v>
      </c>
    </row>
    <row r="79" spans="1:16" outlineLevel="1" x14ac:dyDescent="0.15">
      <c r="A79" t="s">
        <v>1090</v>
      </c>
      <c r="B79" s="191">
        <f t="shared" si="18"/>
        <v>0</v>
      </c>
      <c r="C79" s="191">
        <f t="shared" si="18"/>
        <v>0</v>
      </c>
      <c r="D79" s="191">
        <f t="shared" si="19"/>
        <v>0</v>
      </c>
      <c r="E79" s="191">
        <f t="shared" si="17"/>
        <v>0</v>
      </c>
      <c r="F79" s="191">
        <f t="shared" si="17"/>
        <v>0</v>
      </c>
      <c r="G79" s="191">
        <f t="shared" si="17"/>
        <v>0</v>
      </c>
      <c r="H79" s="191">
        <f t="shared" si="17"/>
        <v>0</v>
      </c>
      <c r="I79" s="181"/>
      <c r="K79" s="31"/>
    </row>
    <row r="80" spans="1:16" outlineLevel="1" x14ac:dyDescent="0.15">
      <c r="A80" t="s">
        <v>1091</v>
      </c>
      <c r="B80" s="191">
        <f t="shared" si="18"/>
        <v>0</v>
      </c>
      <c r="C80" s="191">
        <f t="shared" si="18"/>
        <v>0</v>
      </c>
      <c r="D80" s="191">
        <f t="shared" si="19"/>
        <v>1.2766652821940938E-6</v>
      </c>
      <c r="E80" s="193">
        <f t="shared" si="17"/>
        <v>4.8584742107112867E-4</v>
      </c>
      <c r="F80" s="193">
        <f t="shared" si="17"/>
        <v>1.1851197624353084E-3</v>
      </c>
      <c r="G80" s="191">
        <f t="shared" si="17"/>
        <v>1.0110322508595556E-3</v>
      </c>
      <c r="H80" s="191">
        <f t="shared" si="17"/>
        <v>2.0187511162876111E-3</v>
      </c>
      <c r="I80" s="181"/>
      <c r="K80" s="31"/>
      <c r="L80" s="190">
        <v>3.2811930168233046</v>
      </c>
      <c r="M80" s="190">
        <v>895.30808976299988</v>
      </c>
      <c r="N80" s="190">
        <v>2351.7191351084562</v>
      </c>
      <c r="O80" s="190">
        <v>1943.0418776576005</v>
      </c>
      <c r="P80" s="189">
        <v>3210</v>
      </c>
    </row>
    <row r="81" spans="1:43" outlineLevel="1" x14ac:dyDescent="0.15">
      <c r="A81" s="173" t="s">
        <v>1092</v>
      </c>
      <c r="B81" s="174">
        <f>SUM(B74:B80)</f>
        <v>1</v>
      </c>
      <c r="C81" s="174">
        <f t="shared" ref="C81:G81" si="20">SUM(C74:C80)</f>
        <v>1</v>
      </c>
      <c r="D81" s="174">
        <f t="shared" si="20"/>
        <v>0.99999999999999989</v>
      </c>
      <c r="E81" s="174">
        <f t="shared" si="20"/>
        <v>1</v>
      </c>
      <c r="F81" s="174">
        <f t="shared" si="20"/>
        <v>1.0000000000000002</v>
      </c>
      <c r="G81" s="174">
        <f t="shared" si="20"/>
        <v>0.99999999999999978</v>
      </c>
      <c r="H81" s="174">
        <f t="shared" ref="H81" si="21">SUM(H74:H80)</f>
        <v>1</v>
      </c>
    </row>
    <row r="82" spans="1:43" outlineLevel="1" x14ac:dyDescent="0.15"/>
    <row r="83" spans="1:43" outlineLevel="1" x14ac:dyDescent="0.15">
      <c r="A83" s="1" t="s">
        <v>1093</v>
      </c>
      <c r="B83">
        <f>INDEX($B$11:$AQ$22,MATCH("*"&amp;A71&amp;"*",$A$11:$A$22,0),MATCH(B73,$B$10:$AQ$10,0))</f>
        <v>-3</v>
      </c>
    </row>
    <row r="84" spans="1:43" outlineLevel="1" x14ac:dyDescent="0.15"/>
    <row r="85" spans="1:43" outlineLevel="1" x14ac:dyDescent="0.15">
      <c r="A85" s="1" t="s">
        <v>1094</v>
      </c>
    </row>
    <row r="86" spans="1:43" outlineLevel="1" x14ac:dyDescent="0.15">
      <c r="A86" t="s">
        <v>1068</v>
      </c>
      <c r="B86">
        <v>2019</v>
      </c>
      <c r="C86">
        <v>2020</v>
      </c>
      <c r="D86">
        <v>2021</v>
      </c>
      <c r="E86">
        <v>2022</v>
      </c>
      <c r="F86">
        <v>2023</v>
      </c>
      <c r="G86">
        <v>2024</v>
      </c>
      <c r="H86">
        <v>2025</v>
      </c>
      <c r="I86">
        <v>2026</v>
      </c>
      <c r="J86">
        <v>2027</v>
      </c>
      <c r="K86">
        <v>2028</v>
      </c>
      <c r="L86">
        <v>2029</v>
      </c>
      <c r="M86">
        <v>2030</v>
      </c>
      <c r="N86">
        <v>2031</v>
      </c>
      <c r="O86">
        <v>2032</v>
      </c>
      <c r="P86">
        <v>2033</v>
      </c>
      <c r="Q86">
        <v>2034</v>
      </c>
      <c r="R86">
        <v>2035</v>
      </c>
      <c r="S86">
        <v>2036</v>
      </c>
      <c r="T86">
        <v>2037</v>
      </c>
      <c r="U86">
        <v>2038</v>
      </c>
      <c r="V86">
        <v>2039</v>
      </c>
      <c r="W86">
        <v>2040</v>
      </c>
      <c r="X86">
        <v>2041</v>
      </c>
      <c r="Y86">
        <v>2042</v>
      </c>
      <c r="Z86">
        <v>2043</v>
      </c>
      <c r="AA86">
        <v>2044</v>
      </c>
      <c r="AB86">
        <v>2045</v>
      </c>
      <c r="AC86">
        <v>2046</v>
      </c>
      <c r="AD86">
        <v>2047</v>
      </c>
      <c r="AE86">
        <v>2048</v>
      </c>
      <c r="AF86">
        <v>2049</v>
      </c>
      <c r="AG86">
        <v>2050</v>
      </c>
      <c r="AH86">
        <v>2051</v>
      </c>
      <c r="AI86">
        <v>2052</v>
      </c>
      <c r="AJ86">
        <v>2053</v>
      </c>
      <c r="AK86">
        <v>2054</v>
      </c>
      <c r="AL86">
        <v>2055</v>
      </c>
      <c r="AM86">
        <v>2056</v>
      </c>
      <c r="AN86">
        <v>2057</v>
      </c>
      <c r="AO86">
        <v>2058</v>
      </c>
      <c r="AP86">
        <v>2059</v>
      </c>
      <c r="AQ86">
        <v>2060</v>
      </c>
    </row>
    <row r="87" spans="1:43" outlineLevel="1" x14ac:dyDescent="0.15">
      <c r="A87" t="s">
        <v>1112</v>
      </c>
      <c r="B87">
        <f>INDEX(TCO!$B$2:$AQ$85,MATCH('Historical Shareweights'!$A87,TCO!$A$2:$A$85,0),MATCH('Historical Shareweights'!B86,TCO!$B$1:$AQ$1,0))</f>
        <v>50001.3</v>
      </c>
      <c r="C87">
        <f>INDEX(TCO!$B$2:$AQ$85,MATCH('Historical Shareweights'!$A87,TCO!$A$2:$A$85,0),MATCH('Historical Shareweights'!C86,TCO!$B$1:$AQ$1,0))</f>
        <v>50001.3</v>
      </c>
      <c r="D87">
        <f>INDEX(TCO!$B$2:$AQ$85,MATCH('Historical Shareweights'!$A87,TCO!$A$2:$A$85,0),MATCH('Historical Shareweights'!D86,TCO!$B$1:$AQ$1,0))</f>
        <v>47872.800000000003</v>
      </c>
      <c r="E87">
        <f>INDEX(TCO!$B$2:$AQ$85,MATCH('Historical Shareweights'!$A87,TCO!$A$2:$A$85,0),MATCH('Historical Shareweights'!E86,TCO!$B$1:$AQ$1,0))</f>
        <v>46428.7</v>
      </c>
      <c r="F87">
        <f>INDEX(TCO!$B$2:$AQ$85,MATCH('Historical Shareweights'!$A87,TCO!$A$2:$A$85,0),MATCH('Historical Shareweights'!F86,TCO!$B$1:$AQ$1,0))</f>
        <v>45461.8</v>
      </c>
      <c r="G87">
        <f>INDEX(TCO!$B$2:$AQ$85,MATCH('Historical Shareweights'!$A87,TCO!$A$2:$A$85,0),MATCH('Historical Shareweights'!G86,TCO!$B$1:$AQ$1,0))</f>
        <v>44532.9</v>
      </c>
      <c r="H87">
        <f>INDEX(TCO!$B$2:$AQ$85,MATCH('Historical Shareweights'!$A87,TCO!$A$2:$A$85,0),MATCH('Historical Shareweights'!H86,TCO!$B$1:$AQ$1,0))</f>
        <v>43843.8</v>
      </c>
      <c r="I87">
        <f>INDEX(TCO!$B$2:$AQ$85,MATCH('Historical Shareweights'!$A87,TCO!$A$2:$A$85,0),MATCH('Historical Shareweights'!I86,TCO!$B$1:$AQ$1,0))</f>
        <v>43141.8</v>
      </c>
      <c r="J87">
        <f>INDEX(TCO!$B$2:$AQ$85,MATCH('Historical Shareweights'!$A87,TCO!$A$2:$A$85,0),MATCH('Historical Shareweights'!J86,TCO!$B$1:$AQ$1,0))</f>
        <v>42619.4</v>
      </c>
      <c r="K87">
        <f>INDEX(TCO!$B$2:$AQ$85,MATCH('Historical Shareweights'!$A87,TCO!$A$2:$A$85,0),MATCH('Historical Shareweights'!K86,TCO!$B$1:$AQ$1,0))</f>
        <v>42147.199999999997</v>
      </c>
      <c r="L87">
        <f>INDEX(TCO!$B$2:$AQ$85,MATCH('Historical Shareweights'!$A87,TCO!$A$2:$A$85,0),MATCH('Historical Shareweights'!L86,TCO!$B$1:$AQ$1,0))</f>
        <v>41694.9</v>
      </c>
      <c r="M87">
        <f>INDEX(TCO!$B$2:$AQ$85,MATCH('Historical Shareweights'!$A87,TCO!$A$2:$A$85,0),MATCH('Historical Shareweights'!M86,TCO!$B$1:$AQ$1,0))</f>
        <v>41359.199999999997</v>
      </c>
      <c r="N87">
        <f>INDEX(TCO!$B$2:$AQ$85,MATCH('Historical Shareweights'!$A87,TCO!$A$2:$A$85,0),MATCH('Historical Shareweights'!N86,TCO!$B$1:$AQ$1,0))</f>
        <v>41030.300000000003</v>
      </c>
      <c r="O87">
        <f>INDEX(TCO!$B$2:$AQ$85,MATCH('Historical Shareweights'!$A87,TCO!$A$2:$A$85,0),MATCH('Historical Shareweights'!O86,TCO!$B$1:$AQ$1,0))</f>
        <v>40778.400000000001</v>
      </c>
      <c r="P87">
        <f>INDEX(TCO!$B$2:$AQ$85,MATCH('Historical Shareweights'!$A87,TCO!$A$2:$A$85,0),MATCH('Historical Shareweights'!P86,TCO!$B$1:$AQ$1,0))</f>
        <v>40460.300000000003</v>
      </c>
      <c r="Q87">
        <f>INDEX(TCO!$B$2:$AQ$85,MATCH('Historical Shareweights'!$A87,TCO!$A$2:$A$85,0),MATCH('Historical Shareweights'!Q86,TCO!$B$1:$AQ$1,0))</f>
        <v>40218.300000000003</v>
      </c>
      <c r="R87">
        <f>INDEX(TCO!$B$2:$AQ$85,MATCH('Historical Shareweights'!$A87,TCO!$A$2:$A$85,0),MATCH('Historical Shareweights'!R86,TCO!$B$1:$AQ$1,0))</f>
        <v>40016.5</v>
      </c>
      <c r="S87">
        <f>INDEX(TCO!$B$2:$AQ$85,MATCH('Historical Shareweights'!$A87,TCO!$A$2:$A$85,0),MATCH('Historical Shareweights'!S86,TCO!$B$1:$AQ$1,0))</f>
        <v>39868.6</v>
      </c>
      <c r="T87">
        <f>INDEX(TCO!$B$2:$AQ$85,MATCH('Historical Shareweights'!$A87,TCO!$A$2:$A$85,0),MATCH('Historical Shareweights'!T86,TCO!$B$1:$AQ$1,0))</f>
        <v>39738.300000000003</v>
      </c>
      <c r="U87">
        <f>INDEX(TCO!$B$2:$AQ$85,MATCH('Historical Shareweights'!$A87,TCO!$A$2:$A$85,0),MATCH('Historical Shareweights'!U86,TCO!$B$1:$AQ$1,0))</f>
        <v>39644</v>
      </c>
      <c r="V87">
        <f>INDEX(TCO!$B$2:$AQ$85,MATCH('Historical Shareweights'!$A87,TCO!$A$2:$A$85,0),MATCH('Historical Shareweights'!V86,TCO!$B$1:$AQ$1,0))</f>
        <v>39585.199999999997</v>
      </c>
      <c r="W87">
        <f>INDEX(TCO!$B$2:$AQ$85,MATCH('Historical Shareweights'!$A87,TCO!$A$2:$A$85,0),MATCH('Historical Shareweights'!W86,TCO!$B$1:$AQ$1,0))</f>
        <v>39506.800000000003</v>
      </c>
      <c r="X87">
        <f>INDEX(TCO!$B$2:$AQ$85,MATCH('Historical Shareweights'!$A87,TCO!$A$2:$A$85,0),MATCH('Historical Shareweights'!X86,TCO!$B$1:$AQ$1,0))</f>
        <v>39417.9</v>
      </c>
      <c r="Y87">
        <f>INDEX(TCO!$B$2:$AQ$85,MATCH('Historical Shareweights'!$A87,TCO!$A$2:$A$85,0),MATCH('Historical Shareweights'!Y86,TCO!$B$1:$AQ$1,0))</f>
        <v>39357.199999999997</v>
      </c>
      <c r="Z87">
        <f>INDEX(TCO!$B$2:$AQ$85,MATCH('Historical Shareweights'!$A87,TCO!$A$2:$A$85,0),MATCH('Historical Shareweights'!Z86,TCO!$B$1:$AQ$1,0))</f>
        <v>39302.400000000001</v>
      </c>
      <c r="AA87">
        <f>INDEX(TCO!$B$2:$AQ$85,MATCH('Historical Shareweights'!$A87,TCO!$A$2:$A$85,0),MATCH('Historical Shareweights'!AA86,TCO!$B$1:$AQ$1,0))</f>
        <v>39250.699999999997</v>
      </c>
      <c r="AB87">
        <f>INDEX(TCO!$B$2:$AQ$85,MATCH('Historical Shareweights'!$A87,TCO!$A$2:$A$85,0),MATCH('Historical Shareweights'!AB86,TCO!$B$1:$AQ$1,0))</f>
        <v>39205.5</v>
      </c>
      <c r="AC87">
        <f>INDEX(TCO!$B$2:$AQ$85,MATCH('Historical Shareweights'!$A87,TCO!$A$2:$A$85,0),MATCH('Historical Shareweights'!AC86,TCO!$B$1:$AQ$1,0))</f>
        <v>39142.9</v>
      </c>
      <c r="AD87">
        <f>INDEX(TCO!$B$2:$AQ$85,MATCH('Historical Shareweights'!$A87,TCO!$A$2:$A$85,0),MATCH('Historical Shareweights'!AD86,TCO!$B$1:$AQ$1,0))</f>
        <v>39102.9</v>
      </c>
      <c r="AE87">
        <f>INDEX(TCO!$B$2:$AQ$85,MATCH('Historical Shareweights'!$A87,TCO!$A$2:$A$85,0),MATCH('Historical Shareweights'!AE86,TCO!$B$1:$AQ$1,0))</f>
        <v>39067.800000000003</v>
      </c>
      <c r="AF87">
        <f>INDEX(TCO!$B$2:$AQ$85,MATCH('Historical Shareweights'!$A87,TCO!$A$2:$A$85,0),MATCH('Historical Shareweights'!AF86,TCO!$B$1:$AQ$1,0))</f>
        <v>39012</v>
      </c>
      <c r="AG87">
        <f>INDEX(TCO!$B$2:$AQ$85,MATCH('Historical Shareweights'!$A87,TCO!$A$2:$A$85,0),MATCH('Historical Shareweights'!AG86,TCO!$B$1:$AQ$1,0))</f>
        <v>38981.9</v>
      </c>
      <c r="AH87">
        <f>INDEX(TCO!$B$2:$AQ$85,MATCH('Historical Shareweights'!$A87,TCO!$A$2:$A$85,0),MATCH('Historical Shareweights'!AH86,TCO!$B$1:$AQ$1,0))</f>
        <v>38953.699999999997</v>
      </c>
      <c r="AI87">
        <f>INDEX(TCO!$B$2:$AQ$85,MATCH('Historical Shareweights'!$A87,TCO!$A$2:$A$85,0),MATCH('Historical Shareweights'!AI86,TCO!$B$1:$AQ$1,0))</f>
        <v>38904</v>
      </c>
      <c r="AJ87">
        <f>INDEX(TCO!$B$2:$AQ$85,MATCH('Historical Shareweights'!$A87,TCO!$A$2:$A$85,0),MATCH('Historical Shareweights'!AJ86,TCO!$B$1:$AQ$1,0))</f>
        <v>38879.4</v>
      </c>
      <c r="AK87">
        <f>INDEX(TCO!$B$2:$AQ$85,MATCH('Historical Shareweights'!$A87,TCO!$A$2:$A$85,0),MATCH('Historical Shareweights'!AK86,TCO!$B$1:$AQ$1,0))</f>
        <v>38854.1</v>
      </c>
      <c r="AL87">
        <f>INDEX(TCO!$B$2:$AQ$85,MATCH('Historical Shareweights'!$A87,TCO!$A$2:$A$85,0),MATCH('Historical Shareweights'!AL86,TCO!$B$1:$AQ$1,0))</f>
        <v>38811</v>
      </c>
      <c r="AM87">
        <f>INDEX(TCO!$B$2:$AQ$85,MATCH('Historical Shareweights'!$A87,TCO!$A$2:$A$85,0),MATCH('Historical Shareweights'!AM86,TCO!$B$1:$AQ$1,0))</f>
        <v>38790.300000000003</v>
      </c>
      <c r="AN87">
        <f>INDEX(TCO!$B$2:$AQ$85,MATCH('Historical Shareweights'!$A87,TCO!$A$2:$A$85,0),MATCH('Historical Shareweights'!AN86,TCO!$B$1:$AQ$1,0))</f>
        <v>38768.699999999997</v>
      </c>
      <c r="AO87">
        <f>INDEX(TCO!$B$2:$AQ$85,MATCH('Historical Shareweights'!$A87,TCO!$A$2:$A$85,0),MATCH('Historical Shareweights'!AO86,TCO!$B$1:$AQ$1,0))</f>
        <v>38728.9</v>
      </c>
      <c r="AP87">
        <f>INDEX(TCO!$B$2:$AQ$85,MATCH('Historical Shareweights'!$A87,TCO!$A$2:$A$85,0),MATCH('Historical Shareweights'!AP86,TCO!$B$1:$AQ$1,0))</f>
        <v>38709.1</v>
      </c>
      <c r="AQ87">
        <f>INDEX(TCO!$B$2:$AQ$85,MATCH('Historical Shareweights'!$A87,TCO!$A$2:$A$85,0),MATCH('Historical Shareweights'!AQ86,TCO!$B$1:$AQ$1,0))</f>
        <v>38691.699999999997</v>
      </c>
    </row>
    <row r="88" spans="1:43" outlineLevel="1" x14ac:dyDescent="0.15">
      <c r="A88" t="s">
        <v>1113</v>
      </c>
      <c r="B88">
        <f>INDEX(TCO!$B$2:$AQ$85,MATCH('Historical Shareweights'!$A88,TCO!$A$2:$A$85,0),MATCH('Historical Shareweights'!B86,TCO!$B$1:$AQ$1,0))</f>
        <v>71181</v>
      </c>
      <c r="C88">
        <f>INDEX(TCO!$B$2:$AQ$85,MATCH('Historical Shareweights'!$A88,TCO!$A$2:$A$85,0),MATCH('Historical Shareweights'!C86,TCO!$B$1:$AQ$1,0))</f>
        <v>71181</v>
      </c>
      <c r="D88">
        <f>INDEX(TCO!$B$2:$AQ$85,MATCH('Historical Shareweights'!$A88,TCO!$A$2:$A$85,0),MATCH('Historical Shareweights'!D86,TCO!$B$1:$AQ$1,0))</f>
        <v>71181</v>
      </c>
      <c r="E88">
        <f>INDEX(TCO!$B$2:$AQ$85,MATCH('Historical Shareweights'!$A88,TCO!$A$2:$A$85,0),MATCH('Historical Shareweights'!E86,TCO!$B$1:$AQ$1,0))</f>
        <v>67936.600000000006</v>
      </c>
      <c r="F88">
        <f>INDEX(TCO!$B$2:$AQ$85,MATCH('Historical Shareweights'!$A88,TCO!$A$2:$A$85,0),MATCH('Historical Shareweights'!F86,TCO!$B$1:$AQ$1,0))</f>
        <v>65999</v>
      </c>
      <c r="G88">
        <f>INDEX(TCO!$B$2:$AQ$85,MATCH('Historical Shareweights'!$A88,TCO!$A$2:$A$85,0),MATCH('Historical Shareweights'!G86,TCO!$B$1:$AQ$1,0))</f>
        <v>65604.7</v>
      </c>
      <c r="H88">
        <f>INDEX(TCO!$B$2:$AQ$85,MATCH('Historical Shareweights'!$A88,TCO!$A$2:$A$85,0),MATCH('Historical Shareweights'!H86,TCO!$B$1:$AQ$1,0))</f>
        <v>65739.899999999994</v>
      </c>
      <c r="I88">
        <f>INDEX(TCO!$B$2:$AQ$85,MATCH('Historical Shareweights'!$A88,TCO!$A$2:$A$85,0),MATCH('Historical Shareweights'!I86,TCO!$B$1:$AQ$1,0))</f>
        <v>65875.100000000006</v>
      </c>
      <c r="J88">
        <f>INDEX(TCO!$B$2:$AQ$85,MATCH('Historical Shareweights'!$A88,TCO!$A$2:$A$85,0),MATCH('Historical Shareweights'!J86,TCO!$B$1:$AQ$1,0))</f>
        <v>67812.7</v>
      </c>
      <c r="K88">
        <f>INDEX(TCO!$B$2:$AQ$85,MATCH('Historical Shareweights'!$A88,TCO!$A$2:$A$85,0),MATCH('Historical Shareweights'!K86,TCO!$B$1:$AQ$1,0))</f>
        <v>69750.3</v>
      </c>
      <c r="L88">
        <f>INDEX(TCO!$B$2:$AQ$85,MATCH('Historical Shareweights'!$A88,TCO!$A$2:$A$85,0),MATCH('Historical Shareweights'!L86,TCO!$B$1:$AQ$1,0))</f>
        <v>69356.100000000006</v>
      </c>
      <c r="M88">
        <f>INDEX(TCO!$B$2:$AQ$85,MATCH('Historical Shareweights'!$A88,TCO!$A$2:$A$85,0),MATCH('Historical Shareweights'!M86,TCO!$B$1:$AQ$1,0))</f>
        <v>68984.3</v>
      </c>
      <c r="N88">
        <f>INDEX(TCO!$B$2:$AQ$85,MATCH('Historical Shareweights'!$A88,TCO!$A$2:$A$85,0),MATCH('Historical Shareweights'!N86,TCO!$B$1:$AQ$1,0))</f>
        <v>69750.3</v>
      </c>
      <c r="O88">
        <f>INDEX(TCO!$B$2:$AQ$85,MATCH('Historical Shareweights'!$A88,TCO!$A$2:$A$85,0),MATCH('Historical Shareweights'!O86,TCO!$B$1:$AQ$1,0))</f>
        <v>69356.100000000006</v>
      </c>
      <c r="P88">
        <f>INDEX(TCO!$B$2:$AQ$85,MATCH('Historical Shareweights'!$A88,TCO!$A$2:$A$85,0),MATCH('Historical Shareweights'!P86,TCO!$B$1:$AQ$1,0))</f>
        <v>69108.2</v>
      </c>
      <c r="Q88">
        <f>INDEX(TCO!$B$2:$AQ$85,MATCH('Historical Shareweights'!$A88,TCO!$A$2:$A$85,0),MATCH('Historical Shareweights'!Q86,TCO!$B$1:$AQ$1,0))</f>
        <v>68849.100000000006</v>
      </c>
      <c r="R88">
        <f>INDEX(TCO!$B$2:$AQ$85,MATCH('Historical Shareweights'!$A88,TCO!$A$2:$A$85,0),MATCH('Historical Shareweights'!R86,TCO!$B$1:$AQ$1,0))</f>
        <v>68601.3</v>
      </c>
      <c r="S88">
        <f>INDEX(TCO!$B$2:$AQ$85,MATCH('Historical Shareweights'!$A88,TCO!$A$2:$A$85,0),MATCH('Historical Shareweights'!S86,TCO!$B$1:$AQ$1,0))</f>
        <v>68330.899999999994</v>
      </c>
      <c r="T88">
        <f>INDEX(TCO!$B$2:$AQ$85,MATCH('Historical Shareweights'!$A88,TCO!$A$2:$A$85,0),MATCH('Historical Shareweights'!T86,TCO!$B$1:$AQ$1,0))</f>
        <v>68071.8</v>
      </c>
      <c r="U88">
        <f>INDEX(TCO!$B$2:$AQ$85,MATCH('Historical Shareweights'!$A88,TCO!$A$2:$A$85,0),MATCH('Historical Shareweights'!U86,TCO!$B$1:$AQ$1,0))</f>
        <v>67936.600000000006</v>
      </c>
      <c r="V88">
        <f>INDEX(TCO!$B$2:$AQ$85,MATCH('Historical Shareweights'!$A88,TCO!$A$2:$A$85,0),MATCH('Historical Shareweights'!V86,TCO!$B$1:$AQ$1,0))</f>
        <v>67688.800000000003</v>
      </c>
      <c r="W88">
        <f>INDEX(TCO!$B$2:$AQ$85,MATCH('Historical Shareweights'!$A88,TCO!$A$2:$A$85,0),MATCH('Historical Shareweights'!W86,TCO!$B$1:$AQ$1,0))</f>
        <v>67553.600000000006</v>
      </c>
      <c r="X88">
        <f>INDEX(TCO!$B$2:$AQ$85,MATCH('Historical Shareweights'!$A88,TCO!$A$2:$A$85,0),MATCH('Historical Shareweights'!X86,TCO!$B$1:$AQ$1,0))</f>
        <v>67418.399999999994</v>
      </c>
      <c r="Y88">
        <f>INDEX(TCO!$B$2:$AQ$85,MATCH('Historical Shareweights'!$A88,TCO!$A$2:$A$85,0),MATCH('Historical Shareweights'!Y86,TCO!$B$1:$AQ$1,0))</f>
        <v>67294.5</v>
      </c>
      <c r="Z88">
        <f>INDEX(TCO!$B$2:$AQ$85,MATCH('Historical Shareweights'!$A88,TCO!$A$2:$A$85,0),MATCH('Historical Shareweights'!Z86,TCO!$B$1:$AQ$1,0))</f>
        <v>67170.600000000006</v>
      </c>
      <c r="AA88">
        <f>INDEX(TCO!$B$2:$AQ$85,MATCH('Historical Shareweights'!$A88,TCO!$A$2:$A$85,0),MATCH('Historical Shareweights'!AA86,TCO!$B$1:$AQ$1,0))</f>
        <v>67046.7</v>
      </c>
      <c r="AB88">
        <f>INDEX(TCO!$B$2:$AQ$85,MATCH('Historical Shareweights'!$A88,TCO!$A$2:$A$85,0),MATCH('Historical Shareweights'!AB86,TCO!$B$1:$AQ$1,0))</f>
        <v>67035.399999999994</v>
      </c>
      <c r="AC88">
        <f>INDEX(TCO!$B$2:$AQ$85,MATCH('Historical Shareweights'!$A88,TCO!$A$2:$A$85,0),MATCH('Historical Shareweights'!AC86,TCO!$B$1:$AQ$1,0))</f>
        <v>67035.399999999994</v>
      </c>
      <c r="AD88">
        <f>INDEX(TCO!$B$2:$AQ$85,MATCH('Historical Shareweights'!$A88,TCO!$A$2:$A$85,0),MATCH('Historical Shareweights'!AD86,TCO!$B$1:$AQ$1,0))</f>
        <v>66911.5</v>
      </c>
      <c r="AE88">
        <f>INDEX(TCO!$B$2:$AQ$85,MATCH('Historical Shareweights'!$A88,TCO!$A$2:$A$85,0),MATCH('Historical Shareweights'!AE86,TCO!$B$1:$AQ$1,0))</f>
        <v>66900.2</v>
      </c>
      <c r="AF88">
        <f>INDEX(TCO!$B$2:$AQ$85,MATCH('Historical Shareweights'!$A88,TCO!$A$2:$A$85,0),MATCH('Historical Shareweights'!AF86,TCO!$B$1:$AQ$1,0))</f>
        <v>66776.3</v>
      </c>
      <c r="AG88">
        <f>INDEX(TCO!$B$2:$AQ$85,MATCH('Historical Shareweights'!$A88,TCO!$A$2:$A$85,0),MATCH('Historical Shareweights'!AG86,TCO!$B$1:$AQ$1,0))</f>
        <v>66776.3</v>
      </c>
      <c r="AH88">
        <f>INDEX(TCO!$B$2:$AQ$85,MATCH('Historical Shareweights'!$A88,TCO!$A$2:$A$85,0),MATCH('Historical Shareweights'!AH86,TCO!$B$1:$AQ$1,0))</f>
        <v>66652.399999999994</v>
      </c>
      <c r="AI88">
        <f>INDEX(TCO!$B$2:$AQ$85,MATCH('Historical Shareweights'!$A88,TCO!$A$2:$A$85,0),MATCH('Historical Shareweights'!AI86,TCO!$B$1:$AQ$1,0))</f>
        <v>66641.100000000006</v>
      </c>
      <c r="AJ88">
        <f>INDEX(TCO!$B$2:$AQ$85,MATCH('Historical Shareweights'!$A88,TCO!$A$2:$A$85,0),MATCH('Historical Shareweights'!AJ86,TCO!$B$1:$AQ$1,0))</f>
        <v>66517.2</v>
      </c>
      <c r="AK88">
        <f>INDEX(TCO!$B$2:$AQ$85,MATCH('Historical Shareweights'!$A88,TCO!$A$2:$A$85,0),MATCH('Historical Shareweights'!AK86,TCO!$B$1:$AQ$1,0))</f>
        <v>66517.2</v>
      </c>
      <c r="AL88">
        <f>INDEX(TCO!$B$2:$AQ$85,MATCH('Historical Shareweights'!$A88,TCO!$A$2:$A$85,0),MATCH('Historical Shareweights'!AL86,TCO!$B$1:$AQ$1,0))</f>
        <v>66393.3</v>
      </c>
      <c r="AM88">
        <f>INDEX(TCO!$B$2:$AQ$85,MATCH('Historical Shareweights'!$A88,TCO!$A$2:$A$85,0),MATCH('Historical Shareweights'!AM86,TCO!$B$1:$AQ$1,0))</f>
        <v>66382</v>
      </c>
      <c r="AN88">
        <f>INDEX(TCO!$B$2:$AQ$85,MATCH('Historical Shareweights'!$A88,TCO!$A$2:$A$85,0),MATCH('Historical Shareweights'!AN86,TCO!$B$1:$AQ$1,0))</f>
        <v>66258.100000000006</v>
      </c>
      <c r="AO88">
        <f>INDEX(TCO!$B$2:$AQ$85,MATCH('Historical Shareweights'!$A88,TCO!$A$2:$A$85,0),MATCH('Historical Shareweights'!AO86,TCO!$B$1:$AQ$1,0))</f>
        <v>66246.899999999994</v>
      </c>
      <c r="AP88">
        <f>INDEX(TCO!$B$2:$AQ$85,MATCH('Historical Shareweights'!$A88,TCO!$A$2:$A$85,0),MATCH('Historical Shareweights'!AP86,TCO!$B$1:$AQ$1,0))</f>
        <v>66134.2</v>
      </c>
      <c r="AQ88">
        <f>INDEX(TCO!$B$2:$AQ$85,MATCH('Historical Shareweights'!$A88,TCO!$A$2:$A$85,0),MATCH('Historical Shareweights'!AQ86,TCO!$B$1:$AQ$1,0))</f>
        <v>66122.899999999994</v>
      </c>
    </row>
    <row r="89" spans="1:43" outlineLevel="1" x14ac:dyDescent="0.15">
      <c r="A89" t="s">
        <v>1114</v>
      </c>
      <c r="B89">
        <f>INDEX(TCO!$B$2:$AQ$85,MATCH('Historical Shareweights'!$A89,TCO!$A$2:$A$85,0),MATCH('Historical Shareweights'!B86,TCO!$B$1:$AQ$1,0))</f>
        <v>62976</v>
      </c>
      <c r="C89">
        <f>INDEX(TCO!$B$2:$AQ$85,MATCH('Historical Shareweights'!$A89,TCO!$A$2:$A$85,0),MATCH('Historical Shareweights'!C86,TCO!$B$1:$AQ$1,0))</f>
        <v>62976</v>
      </c>
      <c r="D89">
        <f>INDEX(TCO!$B$2:$AQ$85,MATCH('Historical Shareweights'!$A89,TCO!$A$2:$A$85,0),MATCH('Historical Shareweights'!D86,TCO!$B$1:$AQ$1,0))</f>
        <v>68236.100000000006</v>
      </c>
      <c r="E89">
        <f>INDEX(TCO!$B$2:$AQ$85,MATCH('Historical Shareweights'!$A89,TCO!$A$2:$A$85,0),MATCH('Historical Shareweights'!E86,TCO!$B$1:$AQ$1,0))</f>
        <v>69476.899999999994</v>
      </c>
      <c r="F89">
        <f>INDEX(TCO!$B$2:$AQ$85,MATCH('Historical Shareweights'!$A89,TCO!$A$2:$A$85,0),MATCH('Historical Shareweights'!F86,TCO!$B$1:$AQ$1,0))</f>
        <v>69443.7</v>
      </c>
      <c r="G89">
        <f>INDEX(TCO!$B$2:$AQ$85,MATCH('Historical Shareweights'!$A89,TCO!$A$2:$A$85,0),MATCH('Historical Shareweights'!G86,TCO!$B$1:$AQ$1,0))</f>
        <v>68822.3</v>
      </c>
      <c r="H89">
        <f>INDEX(TCO!$B$2:$AQ$85,MATCH('Historical Shareweights'!$A89,TCO!$A$2:$A$85,0),MATCH('Historical Shareweights'!H86,TCO!$B$1:$AQ$1,0))</f>
        <v>68141.399999999994</v>
      </c>
      <c r="I89">
        <f>INDEX(TCO!$B$2:$AQ$85,MATCH('Historical Shareweights'!$A89,TCO!$A$2:$A$85,0),MATCH('Historical Shareweights'!I86,TCO!$B$1:$AQ$1,0))</f>
        <v>67769.5</v>
      </c>
      <c r="J89">
        <f>INDEX(TCO!$B$2:$AQ$85,MATCH('Historical Shareweights'!$A89,TCO!$A$2:$A$85,0),MATCH('Historical Shareweights'!J86,TCO!$B$1:$AQ$1,0))</f>
        <v>67647.8</v>
      </c>
      <c r="K89">
        <f>INDEX(TCO!$B$2:$AQ$85,MATCH('Historical Shareweights'!$A89,TCO!$A$2:$A$85,0),MATCH('Historical Shareweights'!K86,TCO!$B$1:$AQ$1,0))</f>
        <v>68435.8</v>
      </c>
      <c r="L89">
        <f>INDEX(TCO!$B$2:$AQ$85,MATCH('Historical Shareweights'!$A89,TCO!$A$2:$A$85,0),MATCH('Historical Shareweights'!L86,TCO!$B$1:$AQ$1,0))</f>
        <v>68709.899999999994</v>
      </c>
      <c r="M89">
        <f>INDEX(TCO!$B$2:$AQ$85,MATCH('Historical Shareweights'!$A89,TCO!$A$2:$A$85,0),MATCH('Historical Shareweights'!M86,TCO!$B$1:$AQ$1,0))</f>
        <v>69058.3</v>
      </c>
      <c r="N89">
        <f>INDEX(TCO!$B$2:$AQ$85,MATCH('Historical Shareweights'!$A89,TCO!$A$2:$A$85,0),MATCH('Historical Shareweights'!N86,TCO!$B$1:$AQ$1,0))</f>
        <v>70469.399999999994</v>
      </c>
      <c r="O89">
        <f>INDEX(TCO!$B$2:$AQ$85,MATCH('Historical Shareweights'!$A89,TCO!$A$2:$A$85,0),MATCH('Historical Shareweights'!O86,TCO!$B$1:$AQ$1,0))</f>
        <v>70174.3</v>
      </c>
      <c r="P89">
        <f>INDEX(TCO!$B$2:$AQ$85,MATCH('Historical Shareweights'!$A89,TCO!$A$2:$A$85,0),MATCH('Historical Shareweights'!P86,TCO!$B$1:$AQ$1,0))</f>
        <v>70315.3</v>
      </c>
      <c r="Q89">
        <f>INDEX(TCO!$B$2:$AQ$85,MATCH('Historical Shareweights'!$A89,TCO!$A$2:$A$85,0),MATCH('Historical Shareweights'!Q86,TCO!$B$1:$AQ$1,0))</f>
        <v>70377.100000000006</v>
      </c>
      <c r="R89">
        <f>INDEX(TCO!$B$2:$AQ$85,MATCH('Historical Shareweights'!$A89,TCO!$A$2:$A$85,0),MATCH('Historical Shareweights'!R86,TCO!$B$1:$AQ$1,0))</f>
        <v>70810.5</v>
      </c>
      <c r="S89">
        <f>INDEX(TCO!$B$2:$AQ$85,MATCH('Historical Shareweights'!$A89,TCO!$A$2:$A$85,0),MATCH('Historical Shareweights'!S86,TCO!$B$1:$AQ$1,0))</f>
        <v>70437.399999999994</v>
      </c>
      <c r="T89">
        <f>INDEX(TCO!$B$2:$AQ$85,MATCH('Historical Shareweights'!$A89,TCO!$A$2:$A$85,0),MATCH('Historical Shareweights'!T86,TCO!$B$1:$AQ$1,0))</f>
        <v>70586.7</v>
      </c>
      <c r="U89">
        <f>INDEX(TCO!$B$2:$AQ$85,MATCH('Historical Shareweights'!$A89,TCO!$A$2:$A$85,0),MATCH('Historical Shareweights'!U86,TCO!$B$1:$AQ$1,0))</f>
        <v>71034.399999999994</v>
      </c>
      <c r="V89">
        <f>INDEX(TCO!$B$2:$AQ$85,MATCH('Historical Shareweights'!$A89,TCO!$A$2:$A$85,0),MATCH('Historical Shareweights'!V86,TCO!$B$1:$AQ$1,0))</f>
        <v>71407.600000000006</v>
      </c>
      <c r="W89">
        <f>INDEX(TCO!$B$2:$AQ$85,MATCH('Historical Shareweights'!$A89,TCO!$A$2:$A$85,0),MATCH('Historical Shareweights'!W86,TCO!$B$1:$AQ$1,0))</f>
        <v>71482.2</v>
      </c>
      <c r="X89">
        <f>INDEX(TCO!$B$2:$AQ$85,MATCH('Historical Shareweights'!$A89,TCO!$A$2:$A$85,0),MATCH('Historical Shareweights'!X86,TCO!$B$1:$AQ$1,0))</f>
        <v>71706.100000000006</v>
      </c>
      <c r="Y89">
        <f>INDEX(TCO!$B$2:$AQ$85,MATCH('Historical Shareweights'!$A89,TCO!$A$2:$A$85,0),MATCH('Historical Shareweights'!Y86,TCO!$B$1:$AQ$1,0))</f>
        <v>72079.199999999997</v>
      </c>
      <c r="Z89">
        <f>INDEX(TCO!$B$2:$AQ$85,MATCH('Historical Shareweights'!$A89,TCO!$A$2:$A$85,0),MATCH('Historical Shareweights'!Z86,TCO!$B$1:$AQ$1,0))</f>
        <v>72079.199999999997</v>
      </c>
      <c r="AA89">
        <f>INDEX(TCO!$B$2:$AQ$85,MATCH('Historical Shareweights'!$A89,TCO!$A$2:$A$85,0),MATCH('Historical Shareweights'!AA86,TCO!$B$1:$AQ$1,0))</f>
        <v>72303.100000000006</v>
      </c>
      <c r="AB89">
        <f>INDEX(TCO!$B$2:$AQ$85,MATCH('Historical Shareweights'!$A89,TCO!$A$2:$A$85,0),MATCH('Historical Shareweights'!AB86,TCO!$B$1:$AQ$1,0))</f>
        <v>72526.899999999994</v>
      </c>
      <c r="AC89">
        <f>INDEX(TCO!$B$2:$AQ$85,MATCH('Historical Shareweights'!$A89,TCO!$A$2:$A$85,0),MATCH('Historical Shareweights'!AC86,TCO!$B$1:$AQ$1,0))</f>
        <v>72974.7</v>
      </c>
      <c r="AD89">
        <f>INDEX(TCO!$B$2:$AQ$85,MATCH('Historical Shareweights'!$A89,TCO!$A$2:$A$85,0),MATCH('Historical Shareweights'!AD86,TCO!$B$1:$AQ$1,0))</f>
        <v>73198.600000000006</v>
      </c>
      <c r="AE89">
        <f>INDEX(TCO!$B$2:$AQ$85,MATCH('Historical Shareweights'!$A89,TCO!$A$2:$A$85,0),MATCH('Historical Shareweights'!AE86,TCO!$B$1:$AQ$1,0))</f>
        <v>73347.8</v>
      </c>
      <c r="AF89">
        <f>INDEX(TCO!$B$2:$AQ$85,MATCH('Historical Shareweights'!$A89,TCO!$A$2:$A$85,0),MATCH('Historical Shareweights'!AF86,TCO!$B$1:$AQ$1,0))</f>
        <v>73497.100000000006</v>
      </c>
      <c r="AG89">
        <f>INDEX(TCO!$B$2:$AQ$85,MATCH('Historical Shareweights'!$A89,TCO!$A$2:$A$85,0),MATCH('Historical Shareweights'!AG86,TCO!$B$1:$AQ$1,0))</f>
        <v>73870.2</v>
      </c>
      <c r="AH89">
        <f>INDEX(TCO!$B$2:$AQ$85,MATCH('Historical Shareweights'!$A89,TCO!$A$2:$A$85,0),MATCH('Historical Shareweights'!AH86,TCO!$B$1:$AQ$1,0))</f>
        <v>74019.5</v>
      </c>
      <c r="AI89">
        <f>INDEX(TCO!$B$2:$AQ$85,MATCH('Historical Shareweights'!$A89,TCO!$A$2:$A$85,0),MATCH('Historical Shareweights'!AI86,TCO!$B$1:$AQ$1,0))</f>
        <v>74243.399999999994</v>
      </c>
      <c r="AJ89">
        <f>INDEX(TCO!$B$2:$AQ$85,MATCH('Historical Shareweights'!$A89,TCO!$A$2:$A$85,0),MATCH('Historical Shareweights'!AJ86,TCO!$B$1:$AQ$1,0))</f>
        <v>74541.899999999994</v>
      </c>
      <c r="AK89">
        <f>INDEX(TCO!$B$2:$AQ$85,MATCH('Historical Shareweights'!$A89,TCO!$A$2:$A$85,0),MATCH('Historical Shareweights'!AK86,TCO!$B$1:$AQ$1,0))</f>
        <v>74765.7</v>
      </c>
      <c r="AL89">
        <f>INDEX(TCO!$B$2:$AQ$85,MATCH('Historical Shareweights'!$A89,TCO!$A$2:$A$85,0),MATCH('Historical Shareweights'!AL86,TCO!$B$1:$AQ$1,0))</f>
        <v>74989.600000000006</v>
      </c>
      <c r="AM89">
        <f>INDEX(TCO!$B$2:$AQ$85,MATCH('Historical Shareweights'!$A89,TCO!$A$2:$A$85,0),MATCH('Historical Shareweights'!AM86,TCO!$B$1:$AQ$1,0))</f>
        <v>75213.5</v>
      </c>
      <c r="AN89">
        <f>INDEX(TCO!$B$2:$AQ$85,MATCH('Historical Shareweights'!$A89,TCO!$A$2:$A$85,0),MATCH('Historical Shareweights'!AN86,TCO!$B$1:$AQ$1,0))</f>
        <v>75437.399999999994</v>
      </c>
      <c r="AO89">
        <f>INDEX(TCO!$B$2:$AQ$85,MATCH('Historical Shareweights'!$A89,TCO!$A$2:$A$85,0),MATCH('Historical Shareweights'!AO86,TCO!$B$1:$AQ$1,0))</f>
        <v>75661.2</v>
      </c>
      <c r="AP89">
        <f>INDEX(TCO!$B$2:$AQ$85,MATCH('Historical Shareweights'!$A89,TCO!$A$2:$A$85,0),MATCH('Historical Shareweights'!AP86,TCO!$B$1:$AQ$1,0))</f>
        <v>75885.100000000006</v>
      </c>
      <c r="AQ89">
        <f>INDEX(TCO!$B$2:$AQ$85,MATCH('Historical Shareweights'!$A89,TCO!$A$2:$A$85,0),MATCH('Historical Shareweights'!AQ86,TCO!$B$1:$AQ$1,0))</f>
        <v>76183.600000000006</v>
      </c>
    </row>
    <row r="90" spans="1:43" outlineLevel="1" x14ac:dyDescent="0.15">
      <c r="A90" t="s">
        <v>1115</v>
      </c>
      <c r="B90">
        <f>INDEX(TCO!$B$2:$AQ$85,MATCH('Historical Shareweights'!$A90,TCO!$A$2:$A$85,0),MATCH('Historical Shareweights'!B86,TCO!$B$1:$AQ$1,0))</f>
        <v>65575.199999999997</v>
      </c>
      <c r="C90">
        <f>INDEX(TCO!$B$2:$AQ$85,MATCH('Historical Shareweights'!$A90,TCO!$A$2:$A$85,0),MATCH('Historical Shareweights'!C86,TCO!$B$1:$AQ$1,0))</f>
        <v>65575.199999999997</v>
      </c>
      <c r="D90">
        <f>INDEX(TCO!$B$2:$AQ$85,MATCH('Historical Shareweights'!$A90,TCO!$A$2:$A$85,0),MATCH('Historical Shareweights'!D86,TCO!$B$1:$AQ$1,0))</f>
        <v>68106.8</v>
      </c>
      <c r="E90">
        <f>INDEX(TCO!$B$2:$AQ$85,MATCH('Historical Shareweights'!$A90,TCO!$A$2:$A$85,0),MATCH('Historical Shareweights'!E86,TCO!$B$1:$AQ$1,0))</f>
        <v>67653.7</v>
      </c>
      <c r="F90">
        <f>INDEX(TCO!$B$2:$AQ$85,MATCH('Historical Shareweights'!$A90,TCO!$A$2:$A$85,0),MATCH('Historical Shareweights'!F86,TCO!$B$1:$AQ$1,0))</f>
        <v>68545.8</v>
      </c>
      <c r="G90">
        <f>INDEX(TCO!$B$2:$AQ$85,MATCH('Historical Shareweights'!$A90,TCO!$A$2:$A$85,0),MATCH('Historical Shareweights'!G86,TCO!$B$1:$AQ$1,0))</f>
        <v>69933.8</v>
      </c>
      <c r="H90">
        <f>INDEX(TCO!$B$2:$AQ$85,MATCH('Historical Shareweights'!$A90,TCO!$A$2:$A$85,0),MATCH('Historical Shareweights'!H86,TCO!$B$1:$AQ$1,0))</f>
        <v>69956.3</v>
      </c>
      <c r="I90">
        <f>INDEX(TCO!$B$2:$AQ$85,MATCH('Historical Shareweights'!$A90,TCO!$A$2:$A$85,0),MATCH('Historical Shareweights'!I86,TCO!$B$1:$AQ$1,0))</f>
        <v>70143.5</v>
      </c>
      <c r="J90">
        <f>INDEX(TCO!$B$2:$AQ$85,MATCH('Historical Shareweights'!$A90,TCO!$A$2:$A$85,0),MATCH('Historical Shareweights'!J86,TCO!$B$1:$AQ$1,0))</f>
        <v>70286</v>
      </c>
      <c r="K90">
        <f>INDEX(TCO!$B$2:$AQ$85,MATCH('Historical Shareweights'!$A90,TCO!$A$2:$A$85,0),MATCH('Historical Shareweights'!K86,TCO!$B$1:$AQ$1,0))</f>
        <v>70927.199999999997</v>
      </c>
      <c r="L90">
        <f>INDEX(TCO!$B$2:$AQ$85,MATCH('Historical Shareweights'!$A90,TCO!$A$2:$A$85,0),MATCH('Historical Shareweights'!L86,TCO!$B$1:$AQ$1,0))</f>
        <v>71193.100000000006</v>
      </c>
      <c r="M90">
        <f>INDEX(TCO!$B$2:$AQ$85,MATCH('Historical Shareweights'!$A90,TCO!$A$2:$A$85,0),MATCH('Historical Shareweights'!M86,TCO!$B$1:$AQ$1,0))</f>
        <v>71364.100000000006</v>
      </c>
      <c r="N90">
        <f>INDEX(TCO!$B$2:$AQ$85,MATCH('Historical Shareweights'!$A90,TCO!$A$2:$A$85,0),MATCH('Historical Shareweights'!N86,TCO!$B$1:$AQ$1,0))</f>
        <v>72094.600000000006</v>
      </c>
      <c r="O90">
        <f>INDEX(TCO!$B$2:$AQ$85,MATCH('Historical Shareweights'!$A90,TCO!$A$2:$A$85,0),MATCH('Historical Shareweights'!O86,TCO!$B$1:$AQ$1,0))</f>
        <v>72203</v>
      </c>
      <c r="P90">
        <f>INDEX(TCO!$B$2:$AQ$85,MATCH('Historical Shareweights'!$A90,TCO!$A$2:$A$85,0),MATCH('Historical Shareweights'!P86,TCO!$B$1:$AQ$1,0))</f>
        <v>72362.2</v>
      </c>
      <c r="Q90">
        <f>INDEX(TCO!$B$2:$AQ$85,MATCH('Historical Shareweights'!$A90,TCO!$A$2:$A$85,0),MATCH('Historical Shareweights'!Q86,TCO!$B$1:$AQ$1,0))</f>
        <v>72301.8</v>
      </c>
      <c r="R90">
        <f>INDEX(TCO!$B$2:$AQ$85,MATCH('Historical Shareweights'!$A90,TCO!$A$2:$A$85,0),MATCH('Historical Shareweights'!R86,TCO!$B$1:$AQ$1,0))</f>
        <v>72242.899999999994</v>
      </c>
      <c r="S90">
        <f>INDEX(TCO!$B$2:$AQ$85,MATCH('Historical Shareweights'!$A90,TCO!$A$2:$A$85,0),MATCH('Historical Shareweights'!S86,TCO!$B$1:$AQ$1,0))</f>
        <v>71958.8</v>
      </c>
      <c r="T90">
        <f>INDEX(TCO!$B$2:$AQ$85,MATCH('Historical Shareweights'!$A90,TCO!$A$2:$A$85,0),MATCH('Historical Shareweights'!T86,TCO!$B$1:$AQ$1,0))</f>
        <v>71887.8</v>
      </c>
      <c r="U90">
        <f>INDEX(TCO!$B$2:$AQ$85,MATCH('Historical Shareweights'!$A90,TCO!$A$2:$A$85,0),MATCH('Historical Shareweights'!U86,TCO!$B$1:$AQ$1,0))</f>
        <v>72242.899999999994</v>
      </c>
      <c r="V90">
        <f>INDEX(TCO!$B$2:$AQ$85,MATCH('Historical Shareweights'!$A90,TCO!$A$2:$A$85,0),MATCH('Historical Shareweights'!V86,TCO!$B$1:$AQ$1,0))</f>
        <v>72456</v>
      </c>
      <c r="W90">
        <f>INDEX(TCO!$B$2:$AQ$85,MATCH('Historical Shareweights'!$A90,TCO!$A$2:$A$85,0),MATCH('Historical Shareweights'!W86,TCO!$B$1:$AQ$1,0))</f>
        <v>72314</v>
      </c>
      <c r="X90">
        <f>INDEX(TCO!$B$2:$AQ$85,MATCH('Historical Shareweights'!$A90,TCO!$A$2:$A$85,0),MATCH('Historical Shareweights'!X86,TCO!$B$1:$AQ$1,0))</f>
        <v>72811.199999999997</v>
      </c>
      <c r="Y90">
        <f>INDEX(TCO!$B$2:$AQ$85,MATCH('Historical Shareweights'!$A90,TCO!$A$2:$A$85,0),MATCH('Historical Shareweights'!Y86,TCO!$B$1:$AQ$1,0))</f>
        <v>72953.2</v>
      </c>
      <c r="Z90">
        <f>INDEX(TCO!$B$2:$AQ$85,MATCH('Historical Shareweights'!$A90,TCO!$A$2:$A$85,0),MATCH('Historical Shareweights'!Z86,TCO!$B$1:$AQ$1,0))</f>
        <v>73095.3</v>
      </c>
      <c r="AA90">
        <f>INDEX(TCO!$B$2:$AQ$85,MATCH('Historical Shareweights'!$A90,TCO!$A$2:$A$85,0),MATCH('Historical Shareweights'!AA86,TCO!$B$1:$AQ$1,0))</f>
        <v>73308.399999999994</v>
      </c>
      <c r="AB90">
        <f>INDEX(TCO!$B$2:$AQ$85,MATCH('Historical Shareweights'!$A90,TCO!$A$2:$A$85,0),MATCH('Historical Shareweights'!AB86,TCO!$B$1:$AQ$1,0))</f>
        <v>73521.5</v>
      </c>
      <c r="AC90">
        <f>INDEX(TCO!$B$2:$AQ$85,MATCH('Historical Shareweights'!$A90,TCO!$A$2:$A$85,0),MATCH('Historical Shareweights'!AC86,TCO!$B$1:$AQ$1,0))</f>
        <v>73876.600000000006</v>
      </c>
      <c r="AD90">
        <f>INDEX(TCO!$B$2:$AQ$85,MATCH('Historical Shareweights'!$A90,TCO!$A$2:$A$85,0),MATCH('Historical Shareweights'!AD86,TCO!$B$1:$AQ$1,0))</f>
        <v>74089.7</v>
      </c>
      <c r="AE90">
        <f>INDEX(TCO!$B$2:$AQ$85,MATCH('Historical Shareweights'!$A90,TCO!$A$2:$A$85,0),MATCH('Historical Shareweights'!AE86,TCO!$B$1:$AQ$1,0))</f>
        <v>74302.8</v>
      </c>
      <c r="AF90">
        <f>INDEX(TCO!$B$2:$AQ$85,MATCH('Historical Shareweights'!$A90,TCO!$A$2:$A$85,0),MATCH('Historical Shareweights'!AF86,TCO!$B$1:$AQ$1,0))</f>
        <v>74373.8</v>
      </c>
      <c r="AG90">
        <f>INDEX(TCO!$B$2:$AQ$85,MATCH('Historical Shareweights'!$A90,TCO!$A$2:$A$85,0),MATCH('Historical Shareweights'!AG86,TCO!$B$1:$AQ$1,0))</f>
        <v>74586.899999999994</v>
      </c>
      <c r="AH90">
        <f>INDEX(TCO!$B$2:$AQ$85,MATCH('Historical Shareweights'!$A90,TCO!$A$2:$A$85,0),MATCH('Historical Shareweights'!AH86,TCO!$B$1:$AQ$1,0))</f>
        <v>74942.100000000006</v>
      </c>
      <c r="AI90">
        <f>INDEX(TCO!$B$2:$AQ$85,MATCH('Historical Shareweights'!$A90,TCO!$A$2:$A$85,0),MATCH('Historical Shareweights'!AI86,TCO!$B$1:$AQ$1,0))</f>
        <v>75084.100000000006</v>
      </c>
      <c r="AJ90">
        <f>INDEX(TCO!$B$2:$AQ$85,MATCH('Historical Shareweights'!$A90,TCO!$A$2:$A$85,0),MATCH('Historical Shareweights'!AJ86,TCO!$B$1:$AQ$1,0))</f>
        <v>75368.3</v>
      </c>
      <c r="AK90">
        <f>INDEX(TCO!$B$2:$AQ$85,MATCH('Historical Shareweights'!$A90,TCO!$A$2:$A$85,0),MATCH('Historical Shareweights'!AK86,TCO!$B$1:$AQ$1,0))</f>
        <v>75581.3</v>
      </c>
      <c r="AL90">
        <f>INDEX(TCO!$B$2:$AQ$85,MATCH('Historical Shareweights'!$A90,TCO!$A$2:$A$85,0),MATCH('Historical Shareweights'!AL86,TCO!$B$1:$AQ$1,0))</f>
        <v>75794.399999999994</v>
      </c>
      <c r="AM90">
        <f>INDEX(TCO!$B$2:$AQ$85,MATCH('Historical Shareweights'!$A90,TCO!$A$2:$A$85,0),MATCH('Historical Shareweights'!AM86,TCO!$B$1:$AQ$1,0))</f>
        <v>75936.5</v>
      </c>
      <c r="AN90">
        <f>INDEX(TCO!$B$2:$AQ$85,MATCH('Historical Shareweights'!$A90,TCO!$A$2:$A$85,0),MATCH('Historical Shareweights'!AN86,TCO!$B$1:$AQ$1,0))</f>
        <v>76149.600000000006</v>
      </c>
      <c r="AO90">
        <f>INDEX(TCO!$B$2:$AQ$85,MATCH('Historical Shareweights'!$A90,TCO!$A$2:$A$85,0),MATCH('Historical Shareweights'!AO86,TCO!$B$1:$AQ$1,0))</f>
        <v>76362.7</v>
      </c>
      <c r="AP90">
        <f>INDEX(TCO!$B$2:$AQ$85,MATCH('Historical Shareweights'!$A90,TCO!$A$2:$A$85,0),MATCH('Historical Shareweights'!AP86,TCO!$B$1:$AQ$1,0))</f>
        <v>76575.8</v>
      </c>
      <c r="AQ90">
        <f>INDEX(TCO!$B$2:$AQ$85,MATCH('Historical Shareweights'!$A90,TCO!$A$2:$A$85,0),MATCH('Historical Shareweights'!AQ86,TCO!$B$1:$AQ$1,0))</f>
        <v>76788.899999999994</v>
      </c>
    </row>
    <row r="91" spans="1:43" outlineLevel="1" x14ac:dyDescent="0.15">
      <c r="A91" t="s">
        <v>1116</v>
      </c>
      <c r="B91">
        <f>INDEX(TCO!$B$2:$AQ$85,MATCH('Historical Shareweights'!$A91,TCO!$A$2:$A$85,0),MATCH('Historical Shareweights'!B86,TCO!$B$1:$AQ$1,0))</f>
        <v>55365.4</v>
      </c>
      <c r="C91">
        <f>INDEX(TCO!$B$2:$AQ$85,MATCH('Historical Shareweights'!$A91,TCO!$A$2:$A$85,0),MATCH('Historical Shareweights'!C86,TCO!$B$1:$AQ$1,0))</f>
        <v>55365.4</v>
      </c>
      <c r="D91">
        <f>INDEX(TCO!$B$2:$AQ$85,MATCH('Historical Shareweights'!$A91,TCO!$A$2:$A$85,0),MATCH('Historical Shareweights'!D86,TCO!$B$1:$AQ$1,0))</f>
        <v>56774.2</v>
      </c>
      <c r="E91">
        <f>INDEX(TCO!$B$2:$AQ$85,MATCH('Historical Shareweights'!$A91,TCO!$A$2:$A$85,0),MATCH('Historical Shareweights'!E86,TCO!$B$1:$AQ$1,0))</f>
        <v>56691.4</v>
      </c>
      <c r="F91">
        <f>INDEX(TCO!$B$2:$AQ$85,MATCH('Historical Shareweights'!$A91,TCO!$A$2:$A$85,0),MATCH('Historical Shareweights'!F86,TCO!$B$1:$AQ$1,0))</f>
        <v>56398.3</v>
      </c>
      <c r="G91">
        <f>INDEX(TCO!$B$2:$AQ$85,MATCH('Historical Shareweights'!$A91,TCO!$A$2:$A$85,0),MATCH('Historical Shareweights'!G86,TCO!$B$1:$AQ$1,0))</f>
        <v>55681.4</v>
      </c>
      <c r="H91">
        <f>INDEX(TCO!$B$2:$AQ$85,MATCH('Historical Shareweights'!$A91,TCO!$A$2:$A$85,0),MATCH('Historical Shareweights'!H86,TCO!$B$1:$AQ$1,0))</f>
        <v>55051.199999999997</v>
      </c>
      <c r="I91">
        <f>INDEX(TCO!$B$2:$AQ$85,MATCH('Historical Shareweights'!$A91,TCO!$A$2:$A$85,0),MATCH('Historical Shareweights'!I86,TCO!$B$1:$AQ$1,0))</f>
        <v>54541.7</v>
      </c>
      <c r="J91">
        <f>INDEX(TCO!$B$2:$AQ$85,MATCH('Historical Shareweights'!$A91,TCO!$A$2:$A$85,0),MATCH('Historical Shareweights'!J86,TCO!$B$1:$AQ$1,0))</f>
        <v>54323.5</v>
      </c>
      <c r="K91">
        <f>INDEX(TCO!$B$2:$AQ$85,MATCH('Historical Shareweights'!$A91,TCO!$A$2:$A$85,0),MATCH('Historical Shareweights'!K86,TCO!$B$1:$AQ$1,0))</f>
        <v>54373.8</v>
      </c>
      <c r="L91">
        <f>INDEX(TCO!$B$2:$AQ$85,MATCH('Historical Shareweights'!$A91,TCO!$A$2:$A$85,0),MATCH('Historical Shareweights'!L86,TCO!$B$1:$AQ$1,0))</f>
        <v>54214</v>
      </c>
      <c r="M91">
        <f>INDEX(TCO!$B$2:$AQ$85,MATCH('Historical Shareweights'!$A91,TCO!$A$2:$A$85,0),MATCH('Historical Shareweights'!M86,TCO!$B$1:$AQ$1,0))</f>
        <v>54227.7</v>
      </c>
      <c r="N91">
        <f>INDEX(TCO!$B$2:$AQ$85,MATCH('Historical Shareweights'!$A91,TCO!$A$2:$A$85,0),MATCH('Historical Shareweights'!N86,TCO!$B$1:$AQ$1,0))</f>
        <v>54629.3</v>
      </c>
      <c r="O91">
        <f>INDEX(TCO!$B$2:$AQ$85,MATCH('Historical Shareweights'!$A91,TCO!$A$2:$A$85,0),MATCH('Historical Shareweights'!O86,TCO!$B$1:$AQ$1,0))</f>
        <v>54474.400000000001</v>
      </c>
      <c r="P91">
        <f>INDEX(TCO!$B$2:$AQ$85,MATCH('Historical Shareweights'!$A91,TCO!$A$2:$A$85,0),MATCH('Historical Shareweights'!P86,TCO!$B$1:$AQ$1,0))</f>
        <v>54403</v>
      </c>
      <c r="Q91">
        <f>INDEX(TCO!$B$2:$AQ$85,MATCH('Historical Shareweights'!$A91,TCO!$A$2:$A$85,0),MATCH('Historical Shareweights'!Q86,TCO!$B$1:$AQ$1,0))</f>
        <v>54374.3</v>
      </c>
      <c r="R91">
        <f>INDEX(TCO!$B$2:$AQ$85,MATCH('Historical Shareweights'!$A91,TCO!$A$2:$A$85,0),MATCH('Historical Shareweights'!R86,TCO!$B$1:$AQ$1,0))</f>
        <v>54457.9</v>
      </c>
      <c r="S91">
        <f>INDEX(TCO!$B$2:$AQ$85,MATCH('Historical Shareweights'!$A91,TCO!$A$2:$A$85,0),MATCH('Historical Shareweights'!S86,TCO!$B$1:$AQ$1,0))</f>
        <v>54301.5</v>
      </c>
      <c r="T91">
        <f>INDEX(TCO!$B$2:$AQ$85,MATCH('Historical Shareweights'!$A91,TCO!$A$2:$A$85,0),MATCH('Historical Shareweights'!T86,TCO!$B$1:$AQ$1,0))</f>
        <v>54317.3</v>
      </c>
      <c r="U91">
        <f>INDEX(TCO!$B$2:$AQ$85,MATCH('Historical Shareweights'!$A91,TCO!$A$2:$A$85,0),MATCH('Historical Shareweights'!U86,TCO!$B$1:$AQ$1,0))</f>
        <v>54462.5</v>
      </c>
      <c r="V91">
        <f>INDEX(TCO!$B$2:$AQ$85,MATCH('Historical Shareweights'!$A91,TCO!$A$2:$A$85,0),MATCH('Historical Shareweights'!V86,TCO!$B$1:$AQ$1,0))</f>
        <v>54618.9</v>
      </c>
      <c r="W91">
        <f>INDEX(TCO!$B$2:$AQ$85,MATCH('Historical Shareweights'!$A91,TCO!$A$2:$A$85,0),MATCH('Historical Shareweights'!W86,TCO!$B$1:$AQ$1,0))</f>
        <v>54640.2</v>
      </c>
      <c r="X91">
        <f>INDEX(TCO!$B$2:$AQ$85,MATCH('Historical Shareweights'!$A91,TCO!$A$2:$A$85,0),MATCH('Historical Shareweights'!X86,TCO!$B$1:$AQ$1,0))</f>
        <v>54683.199999999997</v>
      </c>
      <c r="Y91">
        <f>INDEX(TCO!$B$2:$AQ$85,MATCH('Historical Shareweights'!$A91,TCO!$A$2:$A$85,0),MATCH('Historical Shareweights'!Y86,TCO!$B$1:$AQ$1,0))</f>
        <v>54804.1</v>
      </c>
      <c r="Z91">
        <f>INDEX(TCO!$B$2:$AQ$85,MATCH('Historical Shareweights'!$A91,TCO!$A$2:$A$85,0),MATCH('Historical Shareweights'!Z86,TCO!$B$1:$AQ$1,0))</f>
        <v>54804.1</v>
      </c>
      <c r="AA91">
        <f>INDEX(TCO!$B$2:$AQ$85,MATCH('Historical Shareweights'!$A91,TCO!$A$2:$A$85,0),MATCH('Historical Shareweights'!AA86,TCO!$B$1:$AQ$1,0))</f>
        <v>54873.7</v>
      </c>
      <c r="AB91">
        <f>INDEX(TCO!$B$2:$AQ$85,MATCH('Historical Shareweights'!$A91,TCO!$A$2:$A$85,0),MATCH('Historical Shareweights'!AB86,TCO!$B$1:$AQ$1,0))</f>
        <v>54946.3</v>
      </c>
      <c r="AC91">
        <f>INDEX(TCO!$B$2:$AQ$85,MATCH('Historical Shareweights'!$A91,TCO!$A$2:$A$85,0),MATCH('Historical Shareweights'!AC86,TCO!$B$1:$AQ$1,0))</f>
        <v>55061.9</v>
      </c>
      <c r="AD91">
        <f>INDEX(TCO!$B$2:$AQ$85,MATCH('Historical Shareweights'!$A91,TCO!$A$2:$A$85,0),MATCH('Historical Shareweights'!AD86,TCO!$B$1:$AQ$1,0))</f>
        <v>55131.5</v>
      </c>
      <c r="AE91">
        <f>INDEX(TCO!$B$2:$AQ$85,MATCH('Historical Shareweights'!$A91,TCO!$A$2:$A$85,0),MATCH('Historical Shareweights'!AE86,TCO!$B$1:$AQ$1,0))</f>
        <v>55179.9</v>
      </c>
      <c r="AF91">
        <f>INDEX(TCO!$B$2:$AQ$85,MATCH('Historical Shareweights'!$A91,TCO!$A$2:$A$85,0),MATCH('Historical Shareweights'!AF86,TCO!$B$1:$AQ$1,0))</f>
        <v>55195.8</v>
      </c>
      <c r="AG91">
        <f>INDEX(TCO!$B$2:$AQ$85,MATCH('Historical Shareweights'!$A91,TCO!$A$2:$A$85,0),MATCH('Historical Shareweights'!AG86,TCO!$B$1:$AQ$1,0))</f>
        <v>55316.7</v>
      </c>
      <c r="AH91">
        <f>INDEX(TCO!$B$2:$AQ$85,MATCH('Historical Shareweights'!$A91,TCO!$A$2:$A$85,0),MATCH('Historical Shareweights'!AH86,TCO!$B$1:$AQ$1,0))</f>
        <v>55365.1</v>
      </c>
      <c r="AI91">
        <f>INDEX(TCO!$B$2:$AQ$85,MATCH('Historical Shareweights'!$A91,TCO!$A$2:$A$85,0),MATCH('Historical Shareweights'!AI86,TCO!$B$1:$AQ$1,0))</f>
        <v>55405.1</v>
      </c>
      <c r="AJ91">
        <f>INDEX(TCO!$B$2:$AQ$85,MATCH('Historical Shareweights'!$A91,TCO!$A$2:$A$85,0),MATCH('Historical Shareweights'!AJ86,TCO!$B$1:$AQ$1,0))</f>
        <v>55501.9</v>
      </c>
      <c r="AK91">
        <f>INDEX(TCO!$B$2:$AQ$85,MATCH('Historical Shareweights'!$A91,TCO!$A$2:$A$85,0),MATCH('Historical Shareweights'!AK86,TCO!$B$1:$AQ$1,0))</f>
        <v>55571.5</v>
      </c>
      <c r="AL91">
        <f>INDEX(TCO!$B$2:$AQ$85,MATCH('Historical Shareweights'!$A91,TCO!$A$2:$A$85,0),MATCH('Historical Shareweights'!AL86,TCO!$B$1:$AQ$1,0))</f>
        <v>55614.5</v>
      </c>
      <c r="AM91">
        <f>INDEX(TCO!$B$2:$AQ$85,MATCH('Historical Shareweights'!$A91,TCO!$A$2:$A$85,0),MATCH('Historical Shareweights'!AM86,TCO!$B$1:$AQ$1,0))</f>
        <v>55687.1</v>
      </c>
      <c r="AN91">
        <f>INDEX(TCO!$B$2:$AQ$85,MATCH('Historical Shareweights'!$A91,TCO!$A$2:$A$85,0),MATCH('Historical Shareweights'!AN86,TCO!$B$1:$AQ$1,0))</f>
        <v>55756.7</v>
      </c>
      <c r="AO91">
        <f>INDEX(TCO!$B$2:$AQ$85,MATCH('Historical Shareweights'!$A91,TCO!$A$2:$A$85,0),MATCH('Historical Shareweights'!AO86,TCO!$B$1:$AQ$1,0))</f>
        <v>55799.7</v>
      </c>
      <c r="AP91">
        <f>INDEX(TCO!$B$2:$AQ$85,MATCH('Historical Shareweights'!$A91,TCO!$A$2:$A$85,0),MATCH('Historical Shareweights'!AP86,TCO!$B$1:$AQ$1,0))</f>
        <v>55869.3</v>
      </c>
      <c r="AQ91">
        <f>INDEX(TCO!$B$2:$AQ$85,MATCH('Historical Shareweights'!$A91,TCO!$A$2:$A$85,0),MATCH('Historical Shareweights'!AQ86,TCO!$B$1:$AQ$1,0))</f>
        <v>55965.3</v>
      </c>
    </row>
    <row r="92" spans="1:43" outlineLevel="1" x14ac:dyDescent="0.15">
      <c r="A92" t="s">
        <v>1117</v>
      </c>
      <c r="B92">
        <f>INDEX(TCO!$B$2:$AQ$85,MATCH('Historical Shareweights'!$A92,TCO!$A$2:$A$85,0),MATCH('Historical Shareweights'!B86,TCO!$B$1:$AQ$1,0))</f>
        <v>66327.7</v>
      </c>
      <c r="C92">
        <f>INDEX(TCO!$B$2:$AQ$85,MATCH('Historical Shareweights'!$A92,TCO!$A$2:$A$85,0),MATCH('Historical Shareweights'!C86,TCO!$B$1:$AQ$1,0))</f>
        <v>66327.7</v>
      </c>
      <c r="D92">
        <f>INDEX(TCO!$B$2:$AQ$85,MATCH('Historical Shareweights'!$A92,TCO!$A$2:$A$85,0),MATCH('Historical Shareweights'!D86,TCO!$B$1:$AQ$1,0))</f>
        <v>74538.100000000006</v>
      </c>
      <c r="E92">
        <f>INDEX(TCO!$B$2:$AQ$85,MATCH('Historical Shareweights'!$A92,TCO!$A$2:$A$85,0),MATCH('Historical Shareweights'!E86,TCO!$B$1:$AQ$1,0))</f>
        <v>77064.7</v>
      </c>
      <c r="F92">
        <f>INDEX(TCO!$B$2:$AQ$85,MATCH('Historical Shareweights'!$A92,TCO!$A$2:$A$85,0),MATCH('Historical Shareweights'!F86,TCO!$B$1:$AQ$1,0))</f>
        <v>78084.7</v>
      </c>
      <c r="G92">
        <f>INDEX(TCO!$B$2:$AQ$85,MATCH('Historical Shareweights'!$A92,TCO!$A$2:$A$85,0),MATCH('Historical Shareweights'!G86,TCO!$B$1:$AQ$1,0))</f>
        <v>77574.7</v>
      </c>
      <c r="H92">
        <f>INDEX(TCO!$B$2:$AQ$85,MATCH('Historical Shareweights'!$A92,TCO!$A$2:$A$85,0),MATCH('Historical Shareweights'!H86,TCO!$B$1:$AQ$1,0))</f>
        <v>77829.7</v>
      </c>
      <c r="I92">
        <f>INDEX(TCO!$B$2:$AQ$85,MATCH('Historical Shareweights'!$A92,TCO!$A$2:$A$85,0),MATCH('Historical Shareweights'!I86,TCO!$B$1:$AQ$1,0))</f>
        <v>78084.7</v>
      </c>
      <c r="J92">
        <f>INDEX(TCO!$B$2:$AQ$85,MATCH('Historical Shareweights'!$A92,TCO!$A$2:$A$85,0),MATCH('Historical Shareweights'!J86,TCO!$B$1:$AQ$1,0))</f>
        <v>77574.7</v>
      </c>
      <c r="K92">
        <f>INDEX(TCO!$B$2:$AQ$85,MATCH('Historical Shareweights'!$A92,TCO!$A$2:$A$85,0),MATCH('Historical Shareweights'!K86,TCO!$B$1:$AQ$1,0))</f>
        <v>77574.7</v>
      </c>
      <c r="L92">
        <f>INDEX(TCO!$B$2:$AQ$85,MATCH('Historical Shareweights'!$A92,TCO!$A$2:$A$85,0),MATCH('Historical Shareweights'!L86,TCO!$B$1:$AQ$1,0))</f>
        <v>78084.7</v>
      </c>
      <c r="M92">
        <f>INDEX(TCO!$B$2:$AQ$85,MATCH('Historical Shareweights'!$A92,TCO!$A$2:$A$85,0),MATCH('Historical Shareweights'!M86,TCO!$B$1:$AQ$1,0))</f>
        <v>78339.600000000006</v>
      </c>
      <c r="N92">
        <f>INDEX(TCO!$B$2:$AQ$85,MATCH('Historical Shareweights'!$A92,TCO!$A$2:$A$85,0),MATCH('Historical Shareweights'!N86,TCO!$B$1:$AQ$1,0))</f>
        <v>80588.100000000006</v>
      </c>
      <c r="O92">
        <f>INDEX(TCO!$B$2:$AQ$85,MATCH('Historical Shareweights'!$A92,TCO!$A$2:$A$85,0),MATCH('Historical Shareweights'!O86,TCO!$B$1:$AQ$1,0))</f>
        <v>80866.3</v>
      </c>
      <c r="P92">
        <f>INDEX(TCO!$B$2:$AQ$85,MATCH('Historical Shareweights'!$A92,TCO!$A$2:$A$85,0),MATCH('Historical Shareweights'!P86,TCO!$B$1:$AQ$1,0))</f>
        <v>81353.100000000006</v>
      </c>
      <c r="Q92">
        <f>INDEX(TCO!$B$2:$AQ$85,MATCH('Historical Shareweights'!$A92,TCO!$A$2:$A$85,0),MATCH('Historical Shareweights'!Q86,TCO!$B$1:$AQ$1,0))</f>
        <v>81608</v>
      </c>
      <c r="R92">
        <f>INDEX(TCO!$B$2:$AQ$85,MATCH('Historical Shareweights'!$A92,TCO!$A$2:$A$85,0),MATCH('Historical Shareweights'!R86,TCO!$B$1:$AQ$1,0))</f>
        <v>81863</v>
      </c>
      <c r="S92">
        <f>INDEX(TCO!$B$2:$AQ$85,MATCH('Historical Shareweights'!$A92,TCO!$A$2:$A$85,0),MATCH('Historical Shareweights'!S86,TCO!$B$1:$AQ$1,0))</f>
        <v>81886.2</v>
      </c>
      <c r="T92">
        <f>INDEX(TCO!$B$2:$AQ$85,MATCH('Historical Shareweights'!$A92,TCO!$A$2:$A$85,0),MATCH('Historical Shareweights'!T86,TCO!$B$1:$AQ$1,0))</f>
        <v>82373</v>
      </c>
      <c r="U92">
        <f>INDEX(TCO!$B$2:$AQ$85,MATCH('Historical Shareweights'!$A92,TCO!$A$2:$A$85,0),MATCH('Historical Shareweights'!U86,TCO!$B$1:$AQ$1,0))</f>
        <v>82882.899999999994</v>
      </c>
      <c r="V92">
        <f>INDEX(TCO!$B$2:$AQ$85,MATCH('Historical Shareweights'!$A92,TCO!$A$2:$A$85,0),MATCH('Historical Shareweights'!V86,TCO!$B$1:$AQ$1,0))</f>
        <v>83369.7</v>
      </c>
      <c r="W92">
        <f>INDEX(TCO!$B$2:$AQ$85,MATCH('Historical Shareweights'!$A92,TCO!$A$2:$A$85,0),MATCH('Historical Shareweights'!W86,TCO!$B$1:$AQ$1,0))</f>
        <v>83624.7</v>
      </c>
      <c r="X92">
        <f>INDEX(TCO!$B$2:$AQ$85,MATCH('Historical Shareweights'!$A92,TCO!$A$2:$A$85,0),MATCH('Historical Shareweights'!X86,TCO!$B$1:$AQ$1,0))</f>
        <v>83879.7</v>
      </c>
      <c r="Y92">
        <f>INDEX(TCO!$B$2:$AQ$85,MATCH('Historical Shareweights'!$A92,TCO!$A$2:$A$85,0),MATCH('Historical Shareweights'!Y86,TCO!$B$1:$AQ$1,0))</f>
        <v>84134.7</v>
      </c>
      <c r="Z92">
        <f>INDEX(TCO!$B$2:$AQ$85,MATCH('Historical Shareweights'!$A92,TCO!$A$2:$A$85,0),MATCH('Historical Shareweights'!Z86,TCO!$B$1:$AQ$1,0))</f>
        <v>84389.6</v>
      </c>
      <c r="AA92">
        <f>INDEX(TCO!$B$2:$AQ$85,MATCH('Historical Shareweights'!$A92,TCO!$A$2:$A$85,0),MATCH('Historical Shareweights'!AA86,TCO!$B$1:$AQ$1,0))</f>
        <v>84389.6</v>
      </c>
      <c r="AB92">
        <f>INDEX(TCO!$B$2:$AQ$85,MATCH('Historical Shareweights'!$A92,TCO!$A$2:$A$85,0),MATCH('Historical Shareweights'!AB86,TCO!$B$1:$AQ$1,0))</f>
        <v>84667.8</v>
      </c>
      <c r="AC92">
        <f>INDEX(TCO!$B$2:$AQ$85,MATCH('Historical Shareweights'!$A92,TCO!$A$2:$A$85,0),MATCH('Historical Shareweights'!AC86,TCO!$B$1:$AQ$1,0))</f>
        <v>84899.6</v>
      </c>
      <c r="AD92">
        <f>INDEX(TCO!$B$2:$AQ$85,MATCH('Historical Shareweights'!$A92,TCO!$A$2:$A$85,0),MATCH('Historical Shareweights'!AD86,TCO!$B$1:$AQ$1,0))</f>
        <v>85409.600000000006</v>
      </c>
      <c r="AE92">
        <f>INDEX(TCO!$B$2:$AQ$85,MATCH('Historical Shareweights'!$A92,TCO!$A$2:$A$85,0),MATCH('Historical Shareweights'!AE86,TCO!$B$1:$AQ$1,0))</f>
        <v>85664.6</v>
      </c>
      <c r="AF92">
        <f>INDEX(TCO!$B$2:$AQ$85,MATCH('Historical Shareweights'!$A92,TCO!$A$2:$A$85,0),MATCH('Historical Shareweights'!AF86,TCO!$B$1:$AQ$1,0))</f>
        <v>85919.5</v>
      </c>
      <c r="AG92">
        <f>INDEX(TCO!$B$2:$AQ$85,MATCH('Historical Shareweights'!$A92,TCO!$A$2:$A$85,0),MATCH('Historical Shareweights'!AG86,TCO!$B$1:$AQ$1,0))</f>
        <v>86406.3</v>
      </c>
      <c r="AH92">
        <f>INDEX(TCO!$B$2:$AQ$85,MATCH('Historical Shareweights'!$A92,TCO!$A$2:$A$85,0),MATCH('Historical Shareweights'!AH86,TCO!$B$1:$AQ$1,0))</f>
        <v>86429.5</v>
      </c>
      <c r="AI92">
        <f>INDEX(TCO!$B$2:$AQ$85,MATCH('Historical Shareweights'!$A92,TCO!$A$2:$A$85,0),MATCH('Historical Shareweights'!AI86,TCO!$B$1:$AQ$1,0))</f>
        <v>86684.5</v>
      </c>
      <c r="AJ92">
        <f>INDEX(TCO!$B$2:$AQ$85,MATCH('Historical Shareweights'!$A92,TCO!$A$2:$A$85,0),MATCH('Historical Shareweights'!AJ86,TCO!$B$1:$AQ$1,0))</f>
        <v>87171.3</v>
      </c>
      <c r="AK92">
        <f>INDEX(TCO!$B$2:$AQ$85,MATCH('Historical Shareweights'!$A92,TCO!$A$2:$A$85,0),MATCH('Historical Shareweights'!AK86,TCO!$B$1:$AQ$1,0))</f>
        <v>87426.2</v>
      </c>
      <c r="AL92">
        <f>INDEX(TCO!$B$2:$AQ$85,MATCH('Historical Shareweights'!$A92,TCO!$A$2:$A$85,0),MATCH('Historical Shareweights'!AL86,TCO!$B$1:$AQ$1,0))</f>
        <v>87681.2</v>
      </c>
      <c r="AM92">
        <f>INDEX(TCO!$B$2:$AQ$85,MATCH('Historical Shareweights'!$A92,TCO!$A$2:$A$85,0),MATCH('Historical Shareweights'!AM86,TCO!$B$1:$AQ$1,0))</f>
        <v>87936.2</v>
      </c>
      <c r="AN92">
        <f>INDEX(TCO!$B$2:$AQ$85,MATCH('Historical Shareweights'!$A92,TCO!$A$2:$A$85,0),MATCH('Historical Shareweights'!AN86,TCO!$B$1:$AQ$1,0))</f>
        <v>88191.2</v>
      </c>
      <c r="AO92">
        <f>INDEX(TCO!$B$2:$AQ$85,MATCH('Historical Shareweights'!$A92,TCO!$A$2:$A$85,0),MATCH('Historical Shareweights'!AO86,TCO!$B$1:$AQ$1,0))</f>
        <v>88446.2</v>
      </c>
      <c r="AP92">
        <f>INDEX(TCO!$B$2:$AQ$85,MATCH('Historical Shareweights'!$A92,TCO!$A$2:$A$85,0),MATCH('Historical Shareweights'!AP86,TCO!$B$1:$AQ$1,0))</f>
        <v>88933</v>
      </c>
      <c r="AQ92">
        <f>INDEX(TCO!$B$2:$AQ$85,MATCH('Historical Shareweights'!$A92,TCO!$A$2:$A$85,0),MATCH('Historical Shareweights'!AQ86,TCO!$B$1:$AQ$1,0))</f>
        <v>89187.9</v>
      </c>
    </row>
    <row r="93" spans="1:43" outlineLevel="1" x14ac:dyDescent="0.15">
      <c r="A93" t="s">
        <v>1118</v>
      </c>
      <c r="B93">
        <f>INDEX(TCO!$B$2:$AQ$85,MATCH('Historical Shareweights'!$A93,TCO!$A$2:$A$85,0),MATCH('Historical Shareweights'!B86,TCO!$B$1:$AQ$1,0))</f>
        <v>122045</v>
      </c>
      <c r="C93">
        <f>INDEX(TCO!$B$2:$AQ$85,MATCH('Historical Shareweights'!$A93,TCO!$A$2:$A$85,0),MATCH('Historical Shareweights'!C86,TCO!$B$1:$AQ$1,0))</f>
        <v>122045</v>
      </c>
      <c r="D93">
        <f>INDEX(TCO!$B$2:$AQ$85,MATCH('Historical Shareweights'!$A93,TCO!$A$2:$A$85,0),MATCH('Historical Shareweights'!D86,TCO!$B$1:$AQ$1,0))</f>
        <v>117961</v>
      </c>
      <c r="E93">
        <f>INDEX(TCO!$B$2:$AQ$85,MATCH('Historical Shareweights'!$A93,TCO!$A$2:$A$85,0),MATCH('Historical Shareweights'!E86,TCO!$B$1:$AQ$1,0))</f>
        <v>114262</v>
      </c>
      <c r="F93">
        <f>INDEX(TCO!$B$2:$AQ$85,MATCH('Historical Shareweights'!$A93,TCO!$A$2:$A$85,0),MATCH('Historical Shareweights'!F86,TCO!$B$1:$AQ$1,0))</f>
        <v>110910</v>
      </c>
      <c r="G93">
        <f>INDEX(TCO!$B$2:$AQ$85,MATCH('Historical Shareweights'!$A93,TCO!$A$2:$A$85,0),MATCH('Historical Shareweights'!G86,TCO!$B$1:$AQ$1,0))</f>
        <v>107598</v>
      </c>
      <c r="H93">
        <f>INDEX(TCO!$B$2:$AQ$85,MATCH('Historical Shareweights'!$A93,TCO!$A$2:$A$85,0),MATCH('Historical Shareweights'!H86,TCO!$B$1:$AQ$1,0))</f>
        <v>104534</v>
      </c>
      <c r="I93">
        <f>INDEX(TCO!$B$2:$AQ$85,MATCH('Historical Shareweights'!$A93,TCO!$A$2:$A$85,0),MATCH('Historical Shareweights'!I86,TCO!$B$1:$AQ$1,0))</f>
        <v>102934</v>
      </c>
      <c r="J93">
        <f>INDEX(TCO!$B$2:$AQ$85,MATCH('Historical Shareweights'!$A93,TCO!$A$2:$A$85,0),MATCH('Historical Shareweights'!J86,TCO!$B$1:$AQ$1,0))</f>
        <v>101423</v>
      </c>
      <c r="K93">
        <f>INDEX(TCO!$B$2:$AQ$85,MATCH('Historical Shareweights'!$A93,TCO!$A$2:$A$85,0),MATCH('Historical Shareweights'!K86,TCO!$B$1:$AQ$1,0))</f>
        <v>100019</v>
      </c>
      <c r="L93">
        <f>INDEX(TCO!$B$2:$AQ$85,MATCH('Historical Shareweights'!$A93,TCO!$A$2:$A$85,0),MATCH('Historical Shareweights'!L86,TCO!$B$1:$AQ$1,0))</f>
        <v>98703.3</v>
      </c>
      <c r="M93">
        <f>INDEX(TCO!$B$2:$AQ$85,MATCH('Historical Shareweights'!$A93,TCO!$A$2:$A$85,0),MATCH('Historical Shareweights'!M86,TCO!$B$1:$AQ$1,0))</f>
        <v>97405.7</v>
      </c>
      <c r="N93">
        <f>INDEX(TCO!$B$2:$AQ$85,MATCH('Historical Shareweights'!$A93,TCO!$A$2:$A$85,0),MATCH('Historical Shareweights'!N86,TCO!$B$1:$AQ$1,0))</f>
        <v>96108.1</v>
      </c>
      <c r="O93">
        <f>INDEX(TCO!$B$2:$AQ$85,MATCH('Historical Shareweights'!$A93,TCO!$A$2:$A$85,0),MATCH('Historical Shareweights'!O86,TCO!$B$1:$AQ$1,0))</f>
        <v>94988.3</v>
      </c>
      <c r="P93">
        <f>INDEX(TCO!$B$2:$AQ$85,MATCH('Historical Shareweights'!$A93,TCO!$A$2:$A$85,0),MATCH('Historical Shareweights'!P86,TCO!$B$1:$AQ$1,0))</f>
        <v>93886.2</v>
      </c>
      <c r="Q93">
        <f>INDEX(TCO!$B$2:$AQ$85,MATCH('Historical Shareweights'!$A93,TCO!$A$2:$A$85,0),MATCH('Historical Shareweights'!Q86,TCO!$B$1:$AQ$1,0))</f>
        <v>92784.1</v>
      </c>
      <c r="R93">
        <f>INDEX(TCO!$B$2:$AQ$85,MATCH('Historical Shareweights'!$A93,TCO!$A$2:$A$85,0),MATCH('Historical Shareweights'!R86,TCO!$B$1:$AQ$1,0))</f>
        <v>91779.8</v>
      </c>
      <c r="S93">
        <f>INDEX(TCO!$B$2:$AQ$85,MATCH('Historical Shareweights'!$A93,TCO!$A$2:$A$85,0),MATCH('Historical Shareweights'!S86,TCO!$B$1:$AQ$1,0))</f>
        <v>90784.4</v>
      </c>
      <c r="T93">
        <f>INDEX(TCO!$B$2:$AQ$85,MATCH('Historical Shareweights'!$A93,TCO!$A$2:$A$85,0),MATCH('Historical Shareweights'!T86,TCO!$B$1:$AQ$1,0))</f>
        <v>89877.9</v>
      </c>
      <c r="U93">
        <f>INDEX(TCO!$B$2:$AQ$85,MATCH('Historical Shareweights'!$A93,TCO!$A$2:$A$85,0),MATCH('Historical Shareweights'!U86,TCO!$B$1:$AQ$1,0))</f>
        <v>88971.3</v>
      </c>
      <c r="V93">
        <f>INDEX(TCO!$B$2:$AQ$85,MATCH('Historical Shareweights'!$A93,TCO!$A$2:$A$85,0),MATCH('Historical Shareweights'!V86,TCO!$B$1:$AQ$1,0))</f>
        <v>88171.4</v>
      </c>
      <c r="W93">
        <f>INDEX(TCO!$B$2:$AQ$85,MATCH('Historical Shareweights'!$A93,TCO!$A$2:$A$85,0),MATCH('Historical Shareweights'!W86,TCO!$B$1:$AQ$1,0))</f>
        <v>87362.6</v>
      </c>
      <c r="X93">
        <f>INDEX(TCO!$B$2:$AQ$85,MATCH('Historical Shareweights'!$A93,TCO!$A$2:$A$85,0),MATCH('Historical Shareweights'!X86,TCO!$B$1:$AQ$1,0))</f>
        <v>86660.5</v>
      </c>
      <c r="Y93">
        <f>INDEX(TCO!$B$2:$AQ$85,MATCH('Historical Shareweights'!$A93,TCO!$A$2:$A$85,0),MATCH('Historical Shareweights'!Y86,TCO!$B$1:$AQ$1,0))</f>
        <v>85949.5</v>
      </c>
      <c r="Z93">
        <f>INDEX(TCO!$B$2:$AQ$85,MATCH('Historical Shareweights'!$A93,TCO!$A$2:$A$85,0),MATCH('Historical Shareweights'!Z86,TCO!$B$1:$AQ$1,0))</f>
        <v>85247.4</v>
      </c>
      <c r="AA93">
        <f>INDEX(TCO!$B$2:$AQ$85,MATCH('Historical Shareweights'!$A93,TCO!$A$2:$A$85,0),MATCH('Historical Shareweights'!AA86,TCO!$B$1:$AQ$1,0))</f>
        <v>84554.1</v>
      </c>
      <c r="AB93">
        <f>INDEX(TCO!$B$2:$AQ$85,MATCH('Historical Shareweights'!$A93,TCO!$A$2:$A$85,0),MATCH('Historical Shareweights'!AB86,TCO!$B$1:$AQ$1,0))</f>
        <v>83949.8</v>
      </c>
      <c r="AC93">
        <f>INDEX(TCO!$B$2:$AQ$85,MATCH('Historical Shareweights'!$A93,TCO!$A$2:$A$85,0),MATCH('Historical Shareweights'!AC86,TCO!$B$1:$AQ$1,0))</f>
        <v>83345.399999999994</v>
      </c>
      <c r="AD93">
        <f>INDEX(TCO!$B$2:$AQ$85,MATCH('Historical Shareweights'!$A93,TCO!$A$2:$A$85,0),MATCH('Historical Shareweights'!AD86,TCO!$B$1:$AQ$1,0))</f>
        <v>82838.8</v>
      </c>
      <c r="AE93">
        <f>INDEX(TCO!$B$2:$AQ$85,MATCH('Historical Shareweights'!$A93,TCO!$A$2:$A$85,0),MATCH('Historical Shareweights'!AE86,TCO!$B$1:$AQ$1,0))</f>
        <v>82243.399999999994</v>
      </c>
      <c r="AF93">
        <f>INDEX(TCO!$B$2:$AQ$85,MATCH('Historical Shareweights'!$A93,TCO!$A$2:$A$85,0),MATCH('Historical Shareweights'!AF86,TCO!$B$1:$AQ$1,0))</f>
        <v>81745.600000000006</v>
      </c>
      <c r="AG93">
        <f>INDEX(TCO!$B$2:$AQ$85,MATCH('Historical Shareweights'!$A93,TCO!$A$2:$A$85,0),MATCH('Historical Shareweights'!AG86,TCO!$B$1:$AQ$1,0))</f>
        <v>81265.7</v>
      </c>
      <c r="AH93">
        <f>INDEX(TCO!$B$2:$AQ$85,MATCH('Historical Shareweights'!$A93,TCO!$A$2:$A$85,0),MATCH('Historical Shareweights'!AH86,TCO!$B$1:$AQ$1,0))</f>
        <v>80803.600000000006</v>
      </c>
      <c r="AI93">
        <f>INDEX(TCO!$B$2:$AQ$85,MATCH('Historical Shareweights'!$A93,TCO!$A$2:$A$85,0),MATCH('Historical Shareweights'!AI86,TCO!$B$1:$AQ$1,0))</f>
        <v>80368.100000000006</v>
      </c>
      <c r="AJ93">
        <f>INDEX(TCO!$B$2:$AQ$85,MATCH('Historical Shareweights'!$A93,TCO!$A$2:$A$85,0),MATCH('Historical Shareweights'!AJ86,TCO!$B$1:$AQ$1,0))</f>
        <v>79950.3</v>
      </c>
      <c r="AK93">
        <f>INDEX(TCO!$B$2:$AQ$85,MATCH('Historical Shareweights'!$A93,TCO!$A$2:$A$85,0),MATCH('Historical Shareweights'!AK86,TCO!$B$1:$AQ$1,0))</f>
        <v>79550.399999999994</v>
      </c>
      <c r="AL93">
        <f>INDEX(TCO!$B$2:$AQ$85,MATCH('Historical Shareweights'!$A93,TCO!$A$2:$A$85,0),MATCH('Historical Shareweights'!AL86,TCO!$B$1:$AQ$1,0))</f>
        <v>79168.2</v>
      </c>
      <c r="AM93">
        <f>INDEX(TCO!$B$2:$AQ$85,MATCH('Historical Shareweights'!$A93,TCO!$A$2:$A$85,0),MATCH('Historical Shareweights'!AM86,TCO!$B$1:$AQ$1,0))</f>
        <v>78806.5</v>
      </c>
      <c r="AN93">
        <f>INDEX(TCO!$B$2:$AQ$85,MATCH('Historical Shareweights'!$A93,TCO!$A$2:$A$85,0),MATCH('Historical Shareweights'!AN86,TCO!$B$1:$AQ$1,0))</f>
        <v>78465.2</v>
      </c>
      <c r="AO93">
        <f>INDEX(TCO!$B$2:$AQ$85,MATCH('Historical Shareweights'!$A93,TCO!$A$2:$A$85,0),MATCH('Historical Shareweights'!AO86,TCO!$B$1:$AQ$1,0))</f>
        <v>78133.7</v>
      </c>
      <c r="AP93">
        <f>INDEX(TCO!$B$2:$AQ$85,MATCH('Historical Shareweights'!$A93,TCO!$A$2:$A$85,0),MATCH('Historical Shareweights'!AP86,TCO!$B$1:$AQ$1,0))</f>
        <v>77822.600000000006</v>
      </c>
      <c r="AQ93">
        <f>INDEX(TCO!$B$2:$AQ$85,MATCH('Historical Shareweights'!$A93,TCO!$A$2:$A$85,0),MATCH('Historical Shareweights'!AQ86,TCO!$B$1:$AQ$1,0))</f>
        <v>77521.399999999994</v>
      </c>
    </row>
    <row r="94" spans="1:43" ht="13.6" outlineLevel="1" thickBot="1" x14ac:dyDescent="0.2"/>
    <row r="95" spans="1:43" ht="13.6" outlineLevel="1" thickBot="1" x14ac:dyDescent="0.2">
      <c r="A95" s="1" t="s">
        <v>1101</v>
      </c>
      <c r="B95" s="175">
        <v>2019</v>
      </c>
      <c r="J95" s="1" t="s">
        <v>1101</v>
      </c>
      <c r="K95" s="175">
        <v>2020</v>
      </c>
    </row>
    <row r="96" spans="1:43" outlineLevel="1" x14ac:dyDescent="0.15"/>
    <row r="97" spans="1:16" outlineLevel="1" x14ac:dyDescent="0.15">
      <c r="A97" s="1" t="s">
        <v>1102</v>
      </c>
      <c r="J97" s="1" t="s">
        <v>1102</v>
      </c>
    </row>
    <row r="98" spans="1:16" outlineLevel="1" x14ac:dyDescent="0.15">
      <c r="B98" t="s">
        <v>1103</v>
      </c>
      <c r="C98" t="s">
        <v>1104</v>
      </c>
      <c r="D98" t="s">
        <v>1105</v>
      </c>
      <c r="E98" t="s">
        <v>1106</v>
      </c>
      <c r="F98" t="s">
        <v>1107</v>
      </c>
      <c r="G98" t="s">
        <v>1108</v>
      </c>
      <c r="K98" t="s">
        <v>1103</v>
      </c>
      <c r="L98" t="s">
        <v>1104</v>
      </c>
      <c r="M98" t="s">
        <v>1105</v>
      </c>
      <c r="N98" t="s">
        <v>1106</v>
      </c>
      <c r="O98" t="s">
        <v>1107</v>
      </c>
      <c r="P98" t="s">
        <v>1108</v>
      </c>
    </row>
    <row r="99" spans="1:16" outlineLevel="1" x14ac:dyDescent="0.15">
      <c r="A99" t="s">
        <v>1084</v>
      </c>
      <c r="B99" s="179">
        <v>1.4999999999999999E-2</v>
      </c>
      <c r="C99" cm="1">
        <f t="array" ref="C99">INDEX($B87:$AQ87,,MATCH($B95,$B86:$AQ86,0))/10^6</f>
        <v>5.0001300000000005E-2</v>
      </c>
      <c r="D99" s="176">
        <f>B99*EXP(C99*$B83)</f>
        <v>1.291056929505743E-2</v>
      </c>
      <c r="E99" s="191">
        <f>D99/SUM($D99:$D105)</f>
        <v>7.8894574177592776E-3</v>
      </c>
      <c r="F99" s="192">
        <f>INDEX($B74:$G80,MATCH(A99,$A74:$A80,0),MATCH($B95,$B73:$G73,0))</f>
        <v>8.2804976335238232E-3</v>
      </c>
      <c r="G99" s="178">
        <f>ABS(F99-E99)</f>
        <v>3.910402157645456E-4</v>
      </c>
      <c r="J99" t="s">
        <v>1084</v>
      </c>
      <c r="K99" s="179">
        <v>1.0999999999999999E-2</v>
      </c>
      <c r="L99" cm="1">
        <f t="array" ref="L99">INDEX($B87:$AQ87,,MATCH(K$95,$B$86:$AQ$86,0))/10^6</f>
        <v>5.0001300000000005E-2</v>
      </c>
      <c r="M99" s="176">
        <f>K99*EXP(L99*$B83)</f>
        <v>9.4677508163754486E-3</v>
      </c>
      <c r="N99" s="191">
        <f>M99/SUM($M$99:$M$105)</f>
        <v>6.2400048416100962E-3</v>
      </c>
      <c r="O99" s="192">
        <f>INDEX($B$74:$G$80,MATCH(J99,$A$74:$A$80,0),MATCH($K$95,$B$73:$G$73,0))</f>
        <v>6.3176239778722125E-3</v>
      </c>
      <c r="P99" s="178">
        <f>ABS(O99-N99)</f>
        <v>7.7619136262116299E-5</v>
      </c>
    </row>
    <row r="100" spans="1:16" outlineLevel="1" x14ac:dyDescent="0.15">
      <c r="A100" t="s">
        <v>1086</v>
      </c>
      <c r="B100" s="179">
        <v>0.03</v>
      </c>
      <c r="C100" cm="1">
        <f t="array" ref="C100">INDEX($B88:$AQ88,,MATCH($B95,$B86:$AQ86,0))/10^6</f>
        <v>7.1180999999999994E-2</v>
      </c>
      <c r="D100" s="176">
        <f>B100*EXP(C100*$B83)</f>
        <v>2.4231522826632976E-2</v>
      </c>
      <c r="E100" s="191">
        <f>D100/SUM($D99:$D105)</f>
        <v>1.4807524218267433E-2</v>
      </c>
      <c r="F100" s="192">
        <f>INDEX($B74:$G80,MATCH(A100,$A74:$A80,0),MATCH($B95,$B73:$G73,0))</f>
        <v>1.4985627624185772E-2</v>
      </c>
      <c r="G100" s="178">
        <f t="shared" ref="G100:G105" si="22">ABS(F100-E100)</f>
        <v>1.7810340591833951E-4</v>
      </c>
      <c r="J100" t="s">
        <v>1086</v>
      </c>
      <c r="K100" s="179">
        <v>1.7999999999999999E-2</v>
      </c>
      <c r="L100" cm="1">
        <f t="array" ref="L100">INDEX($B88:$AQ88,,MATCH(K$95,$B$86:$AQ$86,0))/10^6</f>
        <v>7.1180999999999994E-2</v>
      </c>
      <c r="M100" s="176">
        <f>K100*EXP(L100*$B83)</f>
        <v>1.4538913695979785E-2</v>
      </c>
      <c r="N100" s="191">
        <f t="shared" ref="N100:N105" si="23">M100/SUM($M$99:$M$105)</f>
        <v>9.5823066760217877E-3</v>
      </c>
      <c r="O100" s="192">
        <f>INDEX($B$74:$G$80,MATCH(J100,$A$74:$A$80,0),MATCH($K$95,$B$73:$G$73,0))</f>
        <v>8.901227190400967E-3</v>
      </c>
      <c r="P100" s="178">
        <f t="shared" ref="P100:P105" si="24">ABS(O100-N100)</f>
        <v>6.810794856208207E-4</v>
      </c>
    </row>
    <row r="101" spans="1:16" outlineLevel="1" x14ac:dyDescent="0.15">
      <c r="A101" t="s">
        <v>1088</v>
      </c>
      <c r="B101" s="179">
        <v>0.98</v>
      </c>
      <c r="C101" cm="1">
        <f t="array" ref="C101">INDEX($B89:$AQ89,,MATCH($B95,$B86:$AQ86,0))/10^6</f>
        <v>6.2976000000000004E-2</v>
      </c>
      <c r="D101" s="176">
        <f>B101*EXP(C101*$B83)</f>
        <v>0.81128918727951205</v>
      </c>
      <c r="E101" s="191">
        <f>D101/SUM($D99:$D105)</f>
        <v>0.49576679000364487</v>
      </c>
      <c r="F101" s="192">
        <f>INDEX($B74:$G80,MATCH(A101,$A74:$A80,0),MATCH($B95,$B73:$G73,0))</f>
        <v>0.49608372736550599</v>
      </c>
      <c r="G101" s="178">
        <f t="shared" si="22"/>
        <v>3.1693736186111376E-4</v>
      </c>
      <c r="J101" t="s">
        <v>1088</v>
      </c>
      <c r="K101" s="179">
        <v>0.81</v>
      </c>
      <c r="L101" cm="1">
        <f t="array" ref="L101">INDEX($B89:$AQ89,,MATCH(K$95,$B$86:$AQ$86,0))/10^6</f>
        <v>6.2976000000000004E-2</v>
      </c>
      <c r="M101" s="176">
        <f>K101*EXP(L101*$B83)</f>
        <v>0.67055534866980082</v>
      </c>
      <c r="N101" s="191">
        <f t="shared" si="23"/>
        <v>0.441949593247636</v>
      </c>
      <c r="O101" s="192">
        <f t="shared" ref="O101:O105" si="25">INDEX($B$74:$G$80,MATCH(J101,$A$74:$A$80,0),MATCH($K$95,$B$73:$G$73,0))</f>
        <v>0.44167787151369764</v>
      </c>
      <c r="P101" s="178">
        <f t="shared" si="24"/>
        <v>2.7172173393835708E-4</v>
      </c>
    </row>
    <row r="102" spans="1:16" outlineLevel="1" x14ac:dyDescent="0.15">
      <c r="A102" t="s">
        <v>408</v>
      </c>
      <c r="B102" s="179">
        <v>0.95799999999999996</v>
      </c>
      <c r="C102" cm="1">
        <f t="array" ref="C102">INDEX($B90:$AQ90,,MATCH($B95,$B86:$AQ86,0))/10^6</f>
        <v>6.55752E-2</v>
      </c>
      <c r="D102" s="176">
        <f>B102*EXP(C102*$B83)</f>
        <v>0.78691652698565917</v>
      </c>
      <c r="E102" s="191">
        <f>D102/SUM($D99:$D105)</f>
        <v>0.48087301877238875</v>
      </c>
      <c r="F102" s="192">
        <f>INDEX($B74:$G80,MATCH(A102,$A74:$A80,0),MATCH($B95,$B73:$G73,0))</f>
        <v>0.48060539780316119</v>
      </c>
      <c r="G102" s="178">
        <f t="shared" si="22"/>
        <v>2.6762096922755552E-4</v>
      </c>
      <c r="J102" t="s">
        <v>408</v>
      </c>
      <c r="K102" s="179">
        <v>1</v>
      </c>
      <c r="L102" cm="1">
        <f t="array" ref="L102">INDEX($B90:$AQ90,,MATCH(K$95,$B$86:$AQ$86,0))/10^6</f>
        <v>6.55752E-2</v>
      </c>
      <c r="M102" s="176">
        <f>K102*EXP(L102*$B83)</f>
        <v>0.82141599894118911</v>
      </c>
      <c r="N102" s="191">
        <f t="shared" si="23"/>
        <v>0.54137882478948351</v>
      </c>
      <c r="O102" s="192">
        <f t="shared" si="25"/>
        <v>0.54297238902400591</v>
      </c>
      <c r="P102" s="178">
        <f t="shared" si="24"/>
        <v>1.5935642345223933E-3</v>
      </c>
    </row>
    <row r="103" spans="1:16" outlineLevel="1" x14ac:dyDescent="0.15">
      <c r="A103" t="s">
        <v>1089</v>
      </c>
      <c r="B103" s="179">
        <v>0</v>
      </c>
      <c r="C103" cm="1">
        <f t="array" ref="C103">INDEX($B91:$AQ91,,MATCH($B95,$B86:$AQ86,0))/10^6</f>
        <v>5.5365400000000002E-2</v>
      </c>
      <c r="D103" s="176">
        <f>B103*EXP(C103*$B83)</f>
        <v>0</v>
      </c>
      <c r="E103" s="191">
        <f>D103/SUM($D99:$D105)</f>
        <v>0</v>
      </c>
      <c r="F103" s="192">
        <f>INDEX($B74:$G80,MATCH(A103,$A74:$A80,0),MATCH($B95,$B73:$G73,0))</f>
        <v>4.4749573623322746E-5</v>
      </c>
      <c r="G103" s="178">
        <f t="shared" si="22"/>
        <v>4.4749573623322746E-5</v>
      </c>
      <c r="J103" t="s">
        <v>1089</v>
      </c>
      <c r="K103" s="179">
        <v>2.4000000000000001E-4</v>
      </c>
      <c r="L103" cm="1">
        <f t="array" ref="L103">INDEX($B91:$AQ91,,MATCH(K$95,$B$86:$AQ$86,0))/10^6</f>
        <v>5.5365400000000002E-2</v>
      </c>
      <c r="M103" s="176">
        <f>K103*EXP(L103*$B83)</f>
        <v>2.032715405426434E-4</v>
      </c>
      <c r="N103" s="194">
        <f t="shared" si="23"/>
        <v>1.3397219907327755E-4</v>
      </c>
      <c r="O103" s="195">
        <f t="shared" si="25"/>
        <v>1.3088829402328254E-4</v>
      </c>
      <c r="P103" s="178">
        <f t="shared" si="24"/>
        <v>3.0839050499950149E-6</v>
      </c>
    </row>
    <row r="104" spans="1:16" outlineLevel="1" x14ac:dyDescent="0.15">
      <c r="A104" t="s">
        <v>1090</v>
      </c>
      <c r="B104" s="179">
        <v>5.18484573857123E-13</v>
      </c>
      <c r="C104" cm="1">
        <f t="array" ref="C104">INDEX($B92:$AQ92,,MATCH($B95,$B86:$AQ86,0))/10^6</f>
        <v>6.6327700000000003E-2</v>
      </c>
      <c r="D104" s="176">
        <f>B104*EXP(C104*$B83)</f>
        <v>4.2493115847526882E-13</v>
      </c>
      <c r="E104" s="191">
        <f>D104/SUM($D99:$D105)</f>
        <v>2.596691287310766E-13</v>
      </c>
      <c r="F104" s="192">
        <f>INDEX($B74:$G80,MATCH(A104,$A74:$A80,0),MATCH($B95,$B73:$G73,0))</f>
        <v>0</v>
      </c>
      <c r="G104" s="178">
        <f t="shared" si="22"/>
        <v>2.596691287310766E-13</v>
      </c>
      <c r="J104" t="s">
        <v>1090</v>
      </c>
      <c r="K104" s="179">
        <v>5.18484573857123E-13</v>
      </c>
      <c r="L104" cm="1">
        <f t="array" ref="L104">INDEX($B92:$AQ92,,MATCH(K$95,$B$86:$AQ$86,0))/10^6</f>
        <v>6.6327700000000003E-2</v>
      </c>
      <c r="M104" s="176">
        <f>K104*EXP(L104*$B83)</f>
        <v>4.2493115847526882E-13</v>
      </c>
      <c r="N104" s="191">
        <f t="shared" si="23"/>
        <v>2.8006361148103908E-13</v>
      </c>
      <c r="O104" s="192">
        <f t="shared" si="25"/>
        <v>0</v>
      </c>
      <c r="P104" s="178">
        <f t="shared" si="24"/>
        <v>2.8006361148103908E-13</v>
      </c>
    </row>
    <row r="105" spans="1:16" outlineLevel="1" x14ac:dyDescent="0.15">
      <c r="A105" t="s">
        <v>1091</v>
      </c>
      <c r="B105" s="179">
        <v>1.5651626031685502E-3</v>
      </c>
      <c r="C105" cm="1">
        <f t="array" ref="C105">INDEX($B93:$AQ93,,MATCH($B95,$B86:$AQ86,0))/10^6</f>
        <v>0.122045</v>
      </c>
      <c r="D105" s="176">
        <f>B105*EXP(C105*$B83)</f>
        <v>1.08529812450911E-3</v>
      </c>
      <c r="E105" s="191">
        <f>D105/SUM($D99:$D105)</f>
        <v>6.6320958767996307E-4</v>
      </c>
      <c r="F105" s="192">
        <f>INDEX($B74:$G80,MATCH(A105,$A74:$A80,0),MATCH($B95,$B73:$G73,0))</f>
        <v>0</v>
      </c>
      <c r="G105" s="178">
        <f t="shared" si="22"/>
        <v>6.6320958767996307E-4</v>
      </c>
      <c r="J105" t="s">
        <v>1091</v>
      </c>
      <c r="K105" s="179">
        <v>1.5651626031685502E-3</v>
      </c>
      <c r="L105" cm="1">
        <f t="array" ref="L105">INDEX($B93:$AQ93,,MATCH(K$95,$B$86:$AQ$86,0))/10^6</f>
        <v>0.122045</v>
      </c>
      <c r="M105" s="176">
        <f>K105*EXP(L105*$B83)</f>
        <v>1.08529812450911E-3</v>
      </c>
      <c r="N105" s="191">
        <f t="shared" si="23"/>
        <v>7.1529824589530526E-4</v>
      </c>
      <c r="O105" s="192">
        <f t="shared" si="25"/>
        <v>0</v>
      </c>
      <c r="P105" s="178">
        <f t="shared" si="24"/>
        <v>7.1529824589530526E-4</v>
      </c>
    </row>
    <row r="106" spans="1:16" outlineLevel="1" x14ac:dyDescent="0.15">
      <c r="G106" s="178"/>
      <c r="P106" s="178"/>
    </row>
    <row r="107" spans="1:16" outlineLevel="1" x14ac:dyDescent="0.15">
      <c r="F107" s="1" t="s">
        <v>1109</v>
      </c>
      <c r="G107" s="179">
        <f>SUM(G99:G105)</f>
        <v>1.8616611143345094E-3</v>
      </c>
      <c r="O107" s="1" t="s">
        <v>1109</v>
      </c>
      <c r="P107" s="179">
        <f>SUM(P99:P105)</f>
        <v>3.3423667415690512E-3</v>
      </c>
    </row>
    <row r="108" spans="1:16" outlineLevel="1" x14ac:dyDescent="0.15"/>
    <row r="109" spans="1:16" outlineLevel="1" x14ac:dyDescent="0.15">
      <c r="A109" s="1" t="s">
        <v>1110</v>
      </c>
      <c r="B109">
        <v>2019</v>
      </c>
      <c r="C109">
        <v>2020</v>
      </c>
      <c r="D109">
        <v>2021</v>
      </c>
      <c r="E109">
        <v>2022</v>
      </c>
      <c r="F109">
        <v>2023</v>
      </c>
      <c r="G109">
        <v>2024</v>
      </c>
    </row>
    <row r="110" spans="1:16" outlineLevel="1" x14ac:dyDescent="0.15">
      <c r="A110" t="s">
        <v>1084</v>
      </c>
      <c r="B110" s="179">
        <v>2.7420362728503889E-2</v>
      </c>
      <c r="C110" s="179">
        <v>2.5725902429818828E-2</v>
      </c>
      <c r="D110" s="179">
        <v>2.4027677249866299E-2</v>
      </c>
      <c r="E110" s="179">
        <v>6.9153304317505354E-2</v>
      </c>
      <c r="F110" s="179">
        <v>8.0409203969520296E-2</v>
      </c>
      <c r="G110" s="179">
        <v>0.1296513568721045</v>
      </c>
    </row>
    <row r="111" spans="1:16" outlineLevel="1" x14ac:dyDescent="0.15">
      <c r="A111" t="s">
        <v>1086</v>
      </c>
      <c r="B111" s="179">
        <v>0</v>
      </c>
      <c r="C111" s="179">
        <v>0</v>
      </c>
      <c r="D111" s="179">
        <v>0</v>
      </c>
      <c r="E111" s="179">
        <v>0</v>
      </c>
      <c r="F111" s="179">
        <v>0</v>
      </c>
      <c r="G111" s="179">
        <v>0</v>
      </c>
    </row>
    <row r="112" spans="1:16" outlineLevel="1" x14ac:dyDescent="0.15">
      <c r="A112" t="s">
        <v>1088</v>
      </c>
      <c r="B112" s="179">
        <v>1.8829776547866541</v>
      </c>
      <c r="C112" s="179">
        <v>1.7652529318151691</v>
      </c>
      <c r="D112" s="179">
        <v>1.8573110908026407</v>
      </c>
      <c r="E112" s="179">
        <v>1.4228767856324673</v>
      </c>
      <c r="F112" s="179">
        <v>0.8580723650362323</v>
      </c>
      <c r="G112" s="179">
        <v>0.67915620041186886</v>
      </c>
    </row>
    <row r="113" spans="1:16" outlineLevel="1" x14ac:dyDescent="0.15">
      <c r="A113" t="s">
        <v>408</v>
      </c>
      <c r="B113" s="179">
        <v>1.7282819128570768E-13</v>
      </c>
      <c r="C113" s="179">
        <v>1.7282819128570768E-13</v>
      </c>
      <c r="D113" s="179">
        <v>1.7282819128570768E-13</v>
      </c>
      <c r="E113" s="179">
        <v>1.7282819128570768E-13</v>
      </c>
      <c r="F113" s="179">
        <v>1.7282819128570768E-13</v>
      </c>
      <c r="G113" s="179">
        <v>1.7282819128570768E-13</v>
      </c>
    </row>
    <row r="114" spans="1:16" outlineLevel="1" x14ac:dyDescent="0.15">
      <c r="A114" t="s">
        <v>1089</v>
      </c>
      <c r="B114" s="179">
        <v>2.0800101478200372E-3</v>
      </c>
      <c r="C114" s="179">
        <v>1.9507306488962945E-3</v>
      </c>
      <c r="D114" s="179">
        <v>1.9422358758749371E-3</v>
      </c>
      <c r="E114" s="179">
        <v>1.4370817767868876E-3</v>
      </c>
      <c r="F114" s="179">
        <v>1.7399984819468969E-3</v>
      </c>
      <c r="G114" s="179">
        <v>1.4416874432012206E-3</v>
      </c>
    </row>
    <row r="115" spans="1:16" outlineLevel="1" x14ac:dyDescent="0.15">
      <c r="A115" t="s">
        <v>1090</v>
      </c>
      <c r="B115" s="179">
        <v>5.18484573857123E-13</v>
      </c>
      <c r="C115" s="179">
        <v>5.18484573857123E-13</v>
      </c>
      <c r="D115" s="179">
        <v>5.18484573857123E-13</v>
      </c>
      <c r="E115" s="179">
        <v>5.18484573857123E-13</v>
      </c>
      <c r="F115" s="179">
        <v>5.18484573857123E-13</v>
      </c>
      <c r="G115" s="179">
        <v>5.18484573857123E-13</v>
      </c>
    </row>
    <row r="116" spans="1:16" outlineLevel="1" x14ac:dyDescent="0.15">
      <c r="A116" t="s">
        <v>1091</v>
      </c>
      <c r="B116" s="179">
        <v>1.5651626031685502E-3</v>
      </c>
      <c r="C116" s="179">
        <v>1.4545225054329403E-3</v>
      </c>
      <c r="D116" s="179">
        <v>1.4538094891337939E-3</v>
      </c>
      <c r="E116" s="179">
        <v>1.1505271501280777E-3</v>
      </c>
      <c r="F116" s="179">
        <v>1.5510458385561163E-3</v>
      </c>
      <c r="G116" s="179">
        <v>1.3007423974251845E-3</v>
      </c>
    </row>
    <row r="118" spans="1:16" s="170" customFormat="1" x14ac:dyDescent="0.15">
      <c r="A118" s="169" t="s">
        <v>1119</v>
      </c>
    </row>
    <row r="119" spans="1:16" outlineLevel="1" x14ac:dyDescent="0.15">
      <c r="A119" s="1"/>
      <c r="J119" t="s">
        <v>1389</v>
      </c>
    </row>
    <row r="120" spans="1:16" outlineLevel="1" x14ac:dyDescent="0.15">
      <c r="A120" s="1" t="s">
        <v>1082</v>
      </c>
      <c r="B120" s="1">
        <v>2019</v>
      </c>
      <c r="C120" s="1">
        <v>2020</v>
      </c>
      <c r="D120" s="1">
        <v>2021</v>
      </c>
      <c r="E120" s="1">
        <v>2022</v>
      </c>
      <c r="F120" s="1">
        <v>2023</v>
      </c>
      <c r="G120" s="1">
        <v>2024</v>
      </c>
      <c r="H120" s="1">
        <v>2025</v>
      </c>
      <c r="I120" s="1"/>
      <c r="J120" s="1">
        <v>2019</v>
      </c>
      <c r="K120" s="1">
        <v>2020</v>
      </c>
      <c r="L120" s="1">
        <v>2021</v>
      </c>
      <c r="M120" s="1">
        <v>2022</v>
      </c>
      <c r="N120" s="1">
        <v>2023</v>
      </c>
      <c r="O120" s="1">
        <v>2024</v>
      </c>
      <c r="P120" s="1">
        <v>2025</v>
      </c>
    </row>
    <row r="121" spans="1:16" outlineLevel="1" x14ac:dyDescent="0.15">
      <c r="A121" t="s">
        <v>1084</v>
      </c>
      <c r="B121" s="171">
        <f>J121/SUM(J$121:J$127)</f>
        <v>0.43749962150344884</v>
      </c>
      <c r="C121" s="171">
        <f t="shared" ref="C121:H127" si="26">K121/SUM(K$121:K$127)</f>
        <v>0.51950070654733871</v>
      </c>
      <c r="D121" s="171">
        <f t="shared" si="26"/>
        <v>0.16708978648546099</v>
      </c>
      <c r="E121" s="171">
        <f t="shared" si="26"/>
        <v>0.58026627672496134</v>
      </c>
      <c r="F121" s="171">
        <f t="shared" si="26"/>
        <v>0.34786622518186627</v>
      </c>
      <c r="G121" s="171">
        <f t="shared" si="26"/>
        <v>0.95388760585065435</v>
      </c>
      <c r="H121" s="171">
        <f>P121/SUM(P$121:P$127)</f>
        <v>0.56315290759566228</v>
      </c>
      <c r="J121" s="189">
        <v>72243</v>
      </c>
      <c r="K121" s="202">
        <v>55145</v>
      </c>
      <c r="L121" s="189">
        <v>48441</v>
      </c>
      <c r="M121" s="189">
        <v>49206</v>
      </c>
      <c r="N121" s="202">
        <v>28261</v>
      </c>
      <c r="O121">
        <v>37173</v>
      </c>
      <c r="P121" s="189">
        <v>48140</v>
      </c>
    </row>
    <row r="122" spans="1:16" outlineLevel="1" x14ac:dyDescent="0.15">
      <c r="A122" t="s">
        <v>1086</v>
      </c>
      <c r="B122" s="171">
        <f t="shared" ref="B122:B127" si="27">J122/SUM(J$121:J$127)</f>
        <v>1.2608477111556559E-2</v>
      </c>
      <c r="C122" s="171">
        <f t="shared" si="26"/>
        <v>8.6198775317946306E-3</v>
      </c>
      <c r="D122" s="171">
        <f t="shared" si="26"/>
        <v>1.8247042185505847E-3</v>
      </c>
      <c r="E122" s="171">
        <f t="shared" si="26"/>
        <v>4.1038219790327712E-3</v>
      </c>
      <c r="F122" s="171">
        <f t="shared" si="26"/>
        <v>4.5912778030797255E-3</v>
      </c>
      <c r="G122" s="171">
        <f t="shared" si="26"/>
        <v>1.3600205286117527E-3</v>
      </c>
      <c r="H122" s="171">
        <f t="shared" si="26"/>
        <v>1.2821262707204942E-2</v>
      </c>
      <c r="J122" s="189">
        <v>2082</v>
      </c>
      <c r="K122">
        <v>915</v>
      </c>
      <c r="L122">
        <v>529</v>
      </c>
      <c r="M122" s="189">
        <v>348</v>
      </c>
      <c r="N122" s="202">
        <v>373</v>
      </c>
      <c r="O122">
        <v>53</v>
      </c>
      <c r="P122" s="189">
        <v>1096</v>
      </c>
    </row>
    <row r="123" spans="1:16" outlineLevel="1" x14ac:dyDescent="0.15">
      <c r="A123" t="s">
        <v>1088</v>
      </c>
      <c r="B123" s="171">
        <f t="shared" si="27"/>
        <v>9.2686235443022638E-2</v>
      </c>
      <c r="C123" s="171">
        <f t="shared" si="26"/>
        <v>7.4884597268016953E-2</v>
      </c>
      <c r="D123" s="171">
        <f t="shared" si="26"/>
        <v>0.56980787140836808</v>
      </c>
      <c r="E123" s="171">
        <f t="shared" si="26"/>
        <v>7.6203728817556812E-2</v>
      </c>
      <c r="F123" s="171">
        <f t="shared" si="26"/>
        <v>8.056277002991101E-2</v>
      </c>
      <c r="G123" s="171">
        <f t="shared" si="26"/>
        <v>1.539645881447267E-3</v>
      </c>
      <c r="H123" s="171">
        <f t="shared" si="26"/>
        <v>4.8266906870371884E-2</v>
      </c>
      <c r="J123" s="189">
        <v>15305</v>
      </c>
      <c r="K123" s="202">
        <v>7949</v>
      </c>
      <c r="L123" s="189">
        <v>165193</v>
      </c>
      <c r="M123" s="189">
        <v>6462</v>
      </c>
      <c r="N123" s="202">
        <v>6545</v>
      </c>
      <c r="O123">
        <v>60</v>
      </c>
      <c r="P123" s="189">
        <v>4126</v>
      </c>
    </row>
    <row r="124" spans="1:16" outlineLevel="1" x14ac:dyDescent="0.15">
      <c r="A124" t="s">
        <v>408</v>
      </c>
      <c r="B124" s="171">
        <f t="shared" si="27"/>
        <v>0.42403725617252175</v>
      </c>
      <c r="C124" s="171">
        <f t="shared" si="26"/>
        <v>0.33670277908619878</v>
      </c>
      <c r="D124" s="171">
        <f t="shared" si="26"/>
        <v>0.16163636990790245</v>
      </c>
      <c r="E124" s="171">
        <f t="shared" si="26"/>
        <v>0.30523944857840307</v>
      </c>
      <c r="F124" s="171">
        <f t="shared" si="26"/>
        <v>0.53455767408082122</v>
      </c>
      <c r="G124" s="171">
        <f t="shared" si="26"/>
        <v>6.4151911726969468E-3</v>
      </c>
      <c r="H124" s="171">
        <f t="shared" si="26"/>
        <v>0.35864440882982579</v>
      </c>
      <c r="J124" s="189">
        <v>70020</v>
      </c>
      <c r="K124" s="202">
        <v>35741</v>
      </c>
      <c r="L124" s="189">
        <v>46860</v>
      </c>
      <c r="M124" s="189">
        <v>25884</v>
      </c>
      <c r="N124" s="202">
        <v>43428</v>
      </c>
      <c r="O124">
        <v>250</v>
      </c>
      <c r="P124" s="189">
        <v>30658</v>
      </c>
    </row>
    <row r="125" spans="1:16" outlineLevel="1" x14ac:dyDescent="0.15">
      <c r="A125" t="s">
        <v>1089</v>
      </c>
      <c r="B125" s="171">
        <f t="shared" si="27"/>
        <v>2.604661866321074E-2</v>
      </c>
      <c r="C125" s="171">
        <f t="shared" si="26"/>
        <v>4.7564766839378235E-2</v>
      </c>
      <c r="D125" s="171">
        <f t="shared" si="26"/>
        <v>9.6029802352454216E-2</v>
      </c>
      <c r="E125" s="171">
        <f t="shared" si="26"/>
        <v>1.9328058113892852E-2</v>
      </c>
      <c r="F125" s="171">
        <f t="shared" si="26"/>
        <v>1.6100244950209869E-2</v>
      </c>
      <c r="G125" s="171">
        <f t="shared" si="26"/>
        <v>3.058763151141904E-2</v>
      </c>
      <c r="H125" s="171">
        <f t="shared" si="26"/>
        <v>1.4634488728753085E-2</v>
      </c>
      <c r="J125">
        <v>4301</v>
      </c>
      <c r="K125" s="202">
        <v>5049</v>
      </c>
      <c r="L125">
        <v>27840</v>
      </c>
      <c r="M125" s="189">
        <v>1639</v>
      </c>
      <c r="N125">
        <v>1308</v>
      </c>
      <c r="O125">
        <v>1192</v>
      </c>
      <c r="P125">
        <v>1251</v>
      </c>
    </row>
    <row r="126" spans="1:16" outlineLevel="1" x14ac:dyDescent="0.15">
      <c r="A126" t="s">
        <v>1090</v>
      </c>
      <c r="B126" s="171">
        <f t="shared" si="27"/>
        <v>0</v>
      </c>
      <c r="C126" s="171">
        <f t="shared" si="26"/>
        <v>0</v>
      </c>
      <c r="D126" s="171">
        <f t="shared" si="26"/>
        <v>0</v>
      </c>
      <c r="E126" s="171">
        <f t="shared" si="26"/>
        <v>0</v>
      </c>
      <c r="F126" s="171">
        <f t="shared" si="26"/>
        <v>0</v>
      </c>
      <c r="G126" s="171">
        <f t="shared" si="26"/>
        <v>0</v>
      </c>
      <c r="H126" s="171">
        <f t="shared" si="26"/>
        <v>0</v>
      </c>
      <c r="J126" s="189">
        <v>0</v>
      </c>
      <c r="K126" s="202">
        <v>0</v>
      </c>
      <c r="L126" s="189">
        <v>0</v>
      </c>
      <c r="M126" s="189">
        <v>0</v>
      </c>
      <c r="N126" s="189">
        <v>0</v>
      </c>
      <c r="O126">
        <v>0</v>
      </c>
      <c r="P126" s="189">
        <v>0</v>
      </c>
    </row>
    <row r="127" spans="1:16" outlineLevel="1" x14ac:dyDescent="0.15">
      <c r="A127" t="s">
        <v>1091</v>
      </c>
      <c r="B127" s="193">
        <f t="shared" si="27"/>
        <v>7.1217911062394397E-3</v>
      </c>
      <c r="C127" s="193">
        <f t="shared" si="26"/>
        <v>1.2727272727272728E-2</v>
      </c>
      <c r="D127" s="193">
        <f t="shared" si="26"/>
        <v>3.6114656272636337E-3</v>
      </c>
      <c r="E127" s="193">
        <f t="shared" si="26"/>
        <v>1.4858665786153139E-2</v>
      </c>
      <c r="F127" s="171">
        <f t="shared" si="26"/>
        <v>1.6321807954111839E-2</v>
      </c>
      <c r="G127" s="171">
        <f t="shared" si="26"/>
        <v>6.209905055170644E-3</v>
      </c>
      <c r="H127" s="171">
        <f t="shared" si="26"/>
        <v>2.4800252681819778E-3</v>
      </c>
      <c r="J127" s="189">
        <v>1176</v>
      </c>
      <c r="K127" s="202">
        <v>1351</v>
      </c>
      <c r="L127" s="189">
        <v>1047</v>
      </c>
      <c r="M127" s="189">
        <v>1260</v>
      </c>
      <c r="N127" s="202">
        <v>1326</v>
      </c>
      <c r="O127">
        <v>242</v>
      </c>
      <c r="P127" s="189">
        <v>212</v>
      </c>
    </row>
    <row r="128" spans="1:16" outlineLevel="1" x14ac:dyDescent="0.15">
      <c r="A128" s="173" t="s">
        <v>1092</v>
      </c>
      <c r="B128" s="174">
        <f>SUM(B121:B127)</f>
        <v>1</v>
      </c>
      <c r="C128" s="174">
        <f t="shared" ref="C128:H128" si="28">SUM(C121:C127)</f>
        <v>1.0000000000000002</v>
      </c>
      <c r="D128" s="174">
        <f t="shared" si="28"/>
        <v>0.99999999999999989</v>
      </c>
      <c r="E128" s="174">
        <f t="shared" si="28"/>
        <v>1</v>
      </c>
      <c r="F128" s="174">
        <f t="shared" si="28"/>
        <v>1</v>
      </c>
      <c r="G128" s="174">
        <f t="shared" si="28"/>
        <v>1</v>
      </c>
      <c r="H128" s="174">
        <f t="shared" si="28"/>
        <v>1</v>
      </c>
    </row>
    <row r="129" spans="1:43" outlineLevel="1" x14ac:dyDescent="0.15"/>
    <row r="130" spans="1:43" outlineLevel="1" x14ac:dyDescent="0.15">
      <c r="A130" s="1" t="s">
        <v>1093</v>
      </c>
      <c r="B130">
        <f>INDEX($B$11:$AQ$22,MATCH("*"&amp;A118&amp;"*",$A$11:$A$22,0),MATCH(B120,$B$10:$AQ$10,0))</f>
        <v>-3</v>
      </c>
    </row>
    <row r="131" spans="1:43" outlineLevel="1" x14ac:dyDescent="0.15"/>
    <row r="132" spans="1:43" outlineLevel="1" x14ac:dyDescent="0.15">
      <c r="A132" s="1" t="s">
        <v>1094</v>
      </c>
    </row>
    <row r="133" spans="1:43" outlineLevel="1" x14ac:dyDescent="0.15">
      <c r="A133" t="s">
        <v>1068</v>
      </c>
      <c r="B133">
        <v>2019</v>
      </c>
      <c r="C133">
        <v>2020</v>
      </c>
      <c r="D133">
        <v>2021</v>
      </c>
      <c r="E133">
        <v>2022</v>
      </c>
      <c r="F133">
        <v>2023</v>
      </c>
      <c r="G133">
        <v>2024</v>
      </c>
      <c r="H133">
        <v>2025</v>
      </c>
      <c r="I133">
        <v>2026</v>
      </c>
      <c r="J133">
        <v>2027</v>
      </c>
      <c r="K133">
        <v>2028</v>
      </c>
      <c r="L133">
        <v>2029</v>
      </c>
      <c r="M133">
        <v>2030</v>
      </c>
      <c r="N133">
        <v>2031</v>
      </c>
      <c r="O133">
        <v>2032</v>
      </c>
      <c r="P133">
        <v>2033</v>
      </c>
      <c r="Q133">
        <v>2034</v>
      </c>
      <c r="R133">
        <v>2035</v>
      </c>
      <c r="S133">
        <v>2036</v>
      </c>
      <c r="T133">
        <v>2037</v>
      </c>
      <c r="U133">
        <v>2038</v>
      </c>
      <c r="V133">
        <v>2039</v>
      </c>
      <c r="W133">
        <v>2040</v>
      </c>
      <c r="X133">
        <v>2041</v>
      </c>
      <c r="Y133">
        <v>2042</v>
      </c>
      <c r="Z133">
        <v>2043</v>
      </c>
      <c r="AA133">
        <v>2044</v>
      </c>
      <c r="AB133">
        <v>2045</v>
      </c>
      <c r="AC133">
        <v>2046</v>
      </c>
      <c r="AD133">
        <v>2047</v>
      </c>
      <c r="AE133">
        <v>2048</v>
      </c>
      <c r="AF133">
        <v>2049</v>
      </c>
      <c r="AG133">
        <v>2050</v>
      </c>
      <c r="AH133">
        <v>2051</v>
      </c>
      <c r="AI133">
        <v>2052</v>
      </c>
      <c r="AJ133">
        <v>2053</v>
      </c>
      <c r="AK133">
        <v>2054</v>
      </c>
      <c r="AL133">
        <v>2055</v>
      </c>
      <c r="AM133">
        <v>2056</v>
      </c>
      <c r="AN133">
        <v>2057</v>
      </c>
      <c r="AO133">
        <v>2058</v>
      </c>
      <c r="AP133">
        <v>2059</v>
      </c>
      <c r="AQ133">
        <v>2060</v>
      </c>
    </row>
    <row r="134" spans="1:43" outlineLevel="1" x14ac:dyDescent="0.15">
      <c r="A134" t="s">
        <v>1120</v>
      </c>
      <c r="B134">
        <f>INDEX(TCO!$B$2:$AQ$85,MATCH($A134,TCO!$A$2:$A$85,0),MATCH(B133,TCO!$B$1:$AQ$1,0))</f>
        <v>442923</v>
      </c>
      <c r="C134">
        <f>INDEX(TCO!$B$2:$AQ$85,MATCH('Historical Shareweights'!$A134,TCO!$A$2:$A$85,0),MATCH('Historical Shareweights'!C133,TCO!$B$1:$AQ$1,0))</f>
        <v>442923</v>
      </c>
      <c r="D134">
        <f>INDEX(TCO!$B$2:$AQ$85,MATCH('Historical Shareweights'!$A134,TCO!$A$2:$A$85,0),MATCH('Historical Shareweights'!D133,TCO!$B$1:$AQ$1,0))</f>
        <v>417362</v>
      </c>
      <c r="E134">
        <f>INDEX(TCO!$B$2:$AQ$85,MATCH('Historical Shareweights'!$A134,TCO!$A$2:$A$85,0),MATCH('Historical Shareweights'!E133,TCO!$B$1:$AQ$1,0))</f>
        <v>397595</v>
      </c>
      <c r="F134">
        <f>INDEX(TCO!$B$2:$AQ$85,MATCH('Historical Shareweights'!$A134,TCO!$A$2:$A$85,0),MATCH('Historical Shareweights'!F133,TCO!$B$1:$AQ$1,0))</f>
        <v>385779</v>
      </c>
      <c r="G134">
        <f>INDEX(TCO!$B$2:$AQ$85,MATCH('Historical Shareweights'!$A134,TCO!$A$2:$A$85,0),MATCH('Historical Shareweights'!G133,TCO!$B$1:$AQ$1,0))</f>
        <v>375894</v>
      </c>
      <c r="H134">
        <f>INDEX(TCO!$B$2:$AQ$85,MATCH('Historical Shareweights'!$A134,TCO!$A$2:$A$85,0),MATCH('Historical Shareweights'!H133,TCO!$B$1:$AQ$1,0))</f>
        <v>368291</v>
      </c>
      <c r="I134">
        <f>INDEX(TCO!$B$2:$AQ$85,MATCH('Historical Shareweights'!$A134,TCO!$A$2:$A$85,0),MATCH('Historical Shareweights'!I133,TCO!$B$1:$AQ$1,0))</f>
        <v>361300</v>
      </c>
      <c r="J134">
        <f>INDEX(TCO!$B$2:$AQ$85,MATCH('Historical Shareweights'!$A134,TCO!$A$2:$A$85,0),MATCH('Historical Shareweights'!J133,TCO!$B$1:$AQ$1,0))</f>
        <v>355539</v>
      </c>
      <c r="K134">
        <f>INDEX(TCO!$B$2:$AQ$85,MATCH('Historical Shareweights'!$A134,TCO!$A$2:$A$85,0),MATCH('Historical Shareweights'!K133,TCO!$B$1:$AQ$1,0))</f>
        <v>350454</v>
      </c>
      <c r="L134">
        <f>INDEX(TCO!$B$2:$AQ$85,MATCH('Historical Shareweights'!$A134,TCO!$A$2:$A$85,0),MATCH('Historical Shareweights'!L133,TCO!$B$1:$AQ$1,0))</f>
        <v>345865</v>
      </c>
      <c r="M134">
        <f>INDEX(TCO!$B$2:$AQ$85,MATCH('Historical Shareweights'!$A134,TCO!$A$2:$A$85,0),MATCH('Historical Shareweights'!M133,TCO!$B$1:$AQ$1,0))</f>
        <v>342014</v>
      </c>
      <c r="N134">
        <f>INDEX(TCO!$B$2:$AQ$85,MATCH('Historical Shareweights'!$A134,TCO!$A$2:$A$85,0),MATCH('Historical Shareweights'!N133,TCO!$B$1:$AQ$1,0))</f>
        <v>338520</v>
      </c>
      <c r="O134">
        <f>INDEX(TCO!$B$2:$AQ$85,MATCH('Historical Shareweights'!$A134,TCO!$A$2:$A$85,0),MATCH('Historical Shareweights'!O133,TCO!$B$1:$AQ$1,0))</f>
        <v>335600</v>
      </c>
      <c r="P134">
        <f>INDEX(TCO!$B$2:$AQ$85,MATCH('Historical Shareweights'!$A134,TCO!$A$2:$A$85,0),MATCH('Historical Shareweights'!P133,TCO!$B$1:$AQ$1,0))</f>
        <v>332723</v>
      </c>
      <c r="Q134">
        <f>INDEX(TCO!$B$2:$AQ$85,MATCH('Historical Shareweights'!$A134,TCO!$A$2:$A$85,0),MATCH('Historical Shareweights'!Q133,TCO!$B$1:$AQ$1,0))</f>
        <v>330328</v>
      </c>
      <c r="R134">
        <f>INDEX(TCO!$B$2:$AQ$85,MATCH('Historical Shareweights'!$A134,TCO!$A$2:$A$85,0),MATCH('Historical Shareweights'!R133,TCO!$B$1:$AQ$1,0))</f>
        <v>328286</v>
      </c>
      <c r="S134">
        <f>INDEX(TCO!$B$2:$AQ$85,MATCH('Historical Shareweights'!$A134,TCO!$A$2:$A$85,0),MATCH('Historical Shareweights'!S133,TCO!$B$1:$AQ$1,0))</f>
        <v>326577</v>
      </c>
      <c r="T134">
        <f>INDEX(TCO!$B$2:$AQ$85,MATCH('Historical Shareweights'!$A134,TCO!$A$2:$A$85,0),MATCH('Historical Shareweights'!T133,TCO!$B$1:$AQ$1,0))</f>
        <v>325080</v>
      </c>
      <c r="U134">
        <f>INDEX(TCO!$B$2:$AQ$85,MATCH('Historical Shareweights'!$A134,TCO!$A$2:$A$85,0),MATCH('Historical Shareweights'!U133,TCO!$B$1:$AQ$1,0))</f>
        <v>323835</v>
      </c>
      <c r="V134">
        <f>INDEX(TCO!$B$2:$AQ$85,MATCH('Historical Shareweights'!$A134,TCO!$A$2:$A$85,0),MATCH('Historical Shareweights'!V133,TCO!$B$1:$AQ$1,0))</f>
        <v>322813</v>
      </c>
      <c r="W134">
        <f>INDEX(TCO!$B$2:$AQ$85,MATCH('Historical Shareweights'!$A134,TCO!$A$2:$A$85,0),MATCH('Historical Shareweights'!W133,TCO!$B$1:$AQ$1,0))</f>
        <v>321798</v>
      </c>
      <c r="X134">
        <f>INDEX(TCO!$B$2:$AQ$85,MATCH('Historical Shareweights'!$A134,TCO!$A$2:$A$85,0),MATCH('Historical Shareweights'!X133,TCO!$B$1:$AQ$1,0))</f>
        <v>320827</v>
      </c>
      <c r="Y134">
        <f>INDEX(TCO!$B$2:$AQ$85,MATCH('Historical Shareweights'!$A134,TCO!$A$2:$A$85,0),MATCH('Historical Shareweights'!Y133,TCO!$B$1:$AQ$1,0))</f>
        <v>320025</v>
      </c>
      <c r="Z134">
        <f>INDEX(TCO!$B$2:$AQ$85,MATCH('Historical Shareweights'!$A134,TCO!$A$2:$A$85,0),MATCH('Historical Shareweights'!Z133,TCO!$B$1:$AQ$1,0))</f>
        <v>319302</v>
      </c>
      <c r="AA134">
        <f>INDEX(TCO!$B$2:$AQ$85,MATCH('Historical Shareweights'!$A134,TCO!$A$2:$A$85,0),MATCH('Historical Shareweights'!AA133,TCO!$B$1:$AQ$1,0))</f>
        <v>318638</v>
      </c>
      <c r="AB134">
        <f>INDEX(TCO!$B$2:$AQ$85,MATCH('Historical Shareweights'!$A134,TCO!$A$2:$A$85,0),MATCH('Historical Shareweights'!AB133,TCO!$B$1:$AQ$1,0))</f>
        <v>318041</v>
      </c>
      <c r="AC134">
        <f>INDEX(TCO!$B$2:$AQ$85,MATCH('Historical Shareweights'!$A134,TCO!$A$2:$A$85,0),MATCH('Historical Shareweights'!AC133,TCO!$B$1:$AQ$1,0))</f>
        <v>317420</v>
      </c>
      <c r="AD134">
        <f>INDEX(TCO!$B$2:$AQ$85,MATCH('Historical Shareweights'!$A134,TCO!$A$2:$A$85,0),MATCH('Historical Shareweights'!AD133,TCO!$B$1:$AQ$1,0))</f>
        <v>316911</v>
      </c>
      <c r="AE134">
        <f>INDEX(TCO!$B$2:$AQ$85,MATCH('Historical Shareweights'!$A134,TCO!$A$2:$A$85,0),MATCH('Historical Shareweights'!AE133,TCO!$B$1:$AQ$1,0))</f>
        <v>316448</v>
      </c>
      <c r="AF134">
        <f>INDEX(TCO!$B$2:$AQ$85,MATCH('Historical Shareweights'!$A134,TCO!$A$2:$A$85,0),MATCH('Historical Shareweights'!AF133,TCO!$B$1:$AQ$1,0))</f>
        <v>315935</v>
      </c>
      <c r="AG134">
        <f>INDEX(TCO!$B$2:$AQ$85,MATCH('Historical Shareweights'!$A134,TCO!$A$2:$A$85,0),MATCH('Historical Shareweights'!AG133,TCO!$B$1:$AQ$1,0))</f>
        <v>315537</v>
      </c>
      <c r="AH134">
        <f>INDEX(TCO!$B$2:$AQ$85,MATCH('Historical Shareweights'!$A134,TCO!$A$2:$A$85,0),MATCH('Historical Shareweights'!AH133,TCO!$B$1:$AQ$1,0))</f>
        <v>315164</v>
      </c>
      <c r="AI134">
        <f>INDEX(TCO!$B$2:$AQ$85,MATCH('Historical Shareweights'!$A134,TCO!$A$2:$A$85,0),MATCH('Historical Shareweights'!AI133,TCO!$B$1:$AQ$1,0))</f>
        <v>314733</v>
      </c>
      <c r="AJ134">
        <f>INDEX(TCO!$B$2:$AQ$85,MATCH('Historical Shareweights'!$A134,TCO!$A$2:$A$85,0),MATCH('Historical Shareweights'!AJ133,TCO!$B$1:$AQ$1,0))</f>
        <v>314407</v>
      </c>
      <c r="AK134">
        <f>INDEX(TCO!$B$2:$AQ$85,MATCH('Historical Shareweights'!$A134,TCO!$A$2:$A$85,0),MATCH('Historical Shareweights'!AK133,TCO!$B$1:$AQ$1,0))</f>
        <v>314093</v>
      </c>
      <c r="AL134">
        <f>INDEX(TCO!$B$2:$AQ$85,MATCH('Historical Shareweights'!$A134,TCO!$A$2:$A$85,0),MATCH('Historical Shareweights'!AL133,TCO!$B$1:$AQ$1,0))</f>
        <v>313728</v>
      </c>
      <c r="AM134">
        <f>INDEX(TCO!$B$2:$AQ$85,MATCH('Historical Shareweights'!$A134,TCO!$A$2:$A$85,0),MATCH('Historical Shareweights'!AM133,TCO!$B$1:$AQ$1,0))</f>
        <v>313456</v>
      </c>
      <c r="AN134">
        <f>INDEX(TCO!$B$2:$AQ$85,MATCH('Historical Shareweights'!$A134,TCO!$A$2:$A$85,0),MATCH('Historical Shareweights'!AN133,TCO!$B$1:$AQ$1,0))</f>
        <v>313190</v>
      </c>
      <c r="AO134">
        <f>INDEX(TCO!$B$2:$AQ$85,MATCH('Historical Shareweights'!$A134,TCO!$A$2:$A$85,0),MATCH('Historical Shareweights'!AO133,TCO!$B$1:$AQ$1,0))</f>
        <v>312868</v>
      </c>
      <c r="AP134">
        <f>INDEX(TCO!$B$2:$AQ$85,MATCH('Historical Shareweights'!$A134,TCO!$A$2:$A$85,0),MATCH('Historical Shareweights'!AP133,TCO!$B$1:$AQ$1,0))</f>
        <v>312627</v>
      </c>
      <c r="AQ134">
        <f>INDEX(TCO!$B$2:$AQ$85,MATCH('Historical Shareweights'!$A134,TCO!$A$2:$A$85,0),MATCH('Historical Shareweights'!AQ133,TCO!$B$1:$AQ$1,0))</f>
        <v>312403</v>
      </c>
    </row>
    <row r="135" spans="1:43" outlineLevel="1" x14ac:dyDescent="0.15">
      <c r="A135" t="s">
        <v>1121</v>
      </c>
      <c r="B135">
        <f>INDEX(TCO!$B$2:$AQ$85,MATCH('Historical Shareweights'!$A135,TCO!$A$2:$A$85,0),MATCH('Historical Shareweights'!B133,TCO!$B$1:$AQ$1,0))</f>
        <v>524824</v>
      </c>
      <c r="C135">
        <f>INDEX(TCO!$B$2:$AQ$85,MATCH('Historical Shareweights'!$A135,TCO!$A$2:$A$85,0),MATCH('Historical Shareweights'!C133,TCO!$B$1:$AQ$1,0))</f>
        <v>524824</v>
      </c>
      <c r="D135">
        <f>INDEX(TCO!$B$2:$AQ$85,MATCH('Historical Shareweights'!$A135,TCO!$A$2:$A$85,0),MATCH('Historical Shareweights'!D133,TCO!$B$1:$AQ$1,0))</f>
        <v>526825</v>
      </c>
      <c r="E135">
        <f>INDEX(TCO!$B$2:$AQ$85,MATCH('Historical Shareweights'!$A135,TCO!$A$2:$A$85,0),MATCH('Historical Shareweights'!E133,TCO!$B$1:$AQ$1,0))</f>
        <v>510941</v>
      </c>
      <c r="F135">
        <f>INDEX(TCO!$B$2:$AQ$85,MATCH('Historical Shareweights'!$A135,TCO!$A$2:$A$85,0),MATCH('Historical Shareweights'!F133,TCO!$B$1:$AQ$1,0))</f>
        <v>506469</v>
      </c>
      <c r="G135">
        <f>INDEX(TCO!$B$2:$AQ$85,MATCH('Historical Shareweights'!$A135,TCO!$A$2:$A$85,0),MATCH('Historical Shareweights'!G133,TCO!$B$1:$AQ$1,0))</f>
        <v>505411</v>
      </c>
      <c r="H135">
        <f>INDEX(TCO!$B$2:$AQ$85,MATCH('Historical Shareweights'!$A135,TCO!$A$2:$A$85,0),MATCH('Historical Shareweights'!H133,TCO!$B$1:$AQ$1,0))</f>
        <v>505774</v>
      </c>
      <c r="I135">
        <f>INDEX(TCO!$B$2:$AQ$85,MATCH('Historical Shareweights'!$A135,TCO!$A$2:$A$85,0),MATCH('Historical Shareweights'!I133,TCO!$B$1:$AQ$1,0))</f>
        <v>506137</v>
      </c>
      <c r="J135">
        <f>INDEX(TCO!$B$2:$AQ$85,MATCH('Historical Shareweights'!$A135,TCO!$A$2:$A$85,0),MATCH('Historical Shareweights'!J133,TCO!$B$1:$AQ$1,0))</f>
        <v>511340</v>
      </c>
      <c r="K135">
        <f>INDEX(TCO!$B$2:$AQ$85,MATCH('Historical Shareweights'!$A135,TCO!$A$2:$A$85,0),MATCH('Historical Shareweights'!K133,TCO!$B$1:$AQ$1,0))</f>
        <v>516543</v>
      </c>
      <c r="L135">
        <f>INDEX(TCO!$B$2:$AQ$85,MATCH('Historical Shareweights'!$A135,TCO!$A$2:$A$85,0),MATCH('Historical Shareweights'!L133,TCO!$B$1:$AQ$1,0))</f>
        <v>515484</v>
      </c>
      <c r="M135">
        <f>INDEX(TCO!$B$2:$AQ$85,MATCH('Historical Shareweights'!$A135,TCO!$A$2:$A$85,0),MATCH('Historical Shareweights'!M133,TCO!$B$1:$AQ$1,0))</f>
        <v>514486</v>
      </c>
      <c r="N135">
        <f>INDEX(TCO!$B$2:$AQ$85,MATCH('Historical Shareweights'!$A135,TCO!$A$2:$A$85,0),MATCH('Historical Shareweights'!N133,TCO!$B$1:$AQ$1,0))</f>
        <v>516543</v>
      </c>
      <c r="O135">
        <f>INDEX(TCO!$B$2:$AQ$85,MATCH('Historical Shareweights'!$A135,TCO!$A$2:$A$85,0),MATCH('Historical Shareweights'!O133,TCO!$B$1:$AQ$1,0))</f>
        <v>515484</v>
      </c>
      <c r="P135">
        <f>INDEX(TCO!$B$2:$AQ$85,MATCH('Historical Shareweights'!$A135,TCO!$A$2:$A$85,0),MATCH('Historical Shareweights'!P133,TCO!$B$1:$AQ$1,0))</f>
        <v>514819</v>
      </c>
      <c r="Q135">
        <f>INDEX(TCO!$B$2:$AQ$85,MATCH('Historical Shareweights'!$A135,TCO!$A$2:$A$85,0),MATCH('Historical Shareweights'!Q133,TCO!$B$1:$AQ$1,0))</f>
        <v>514123</v>
      </c>
      <c r="R135">
        <f>INDEX(TCO!$B$2:$AQ$85,MATCH('Historical Shareweights'!$A135,TCO!$A$2:$A$85,0),MATCH('Historical Shareweights'!R133,TCO!$B$1:$AQ$1,0))</f>
        <v>513458</v>
      </c>
      <c r="S135">
        <f>INDEX(TCO!$B$2:$AQ$85,MATCH('Historical Shareweights'!$A135,TCO!$A$2:$A$85,0),MATCH('Historical Shareweights'!S133,TCO!$B$1:$AQ$1,0))</f>
        <v>512731</v>
      </c>
      <c r="T135">
        <f>INDEX(TCO!$B$2:$AQ$85,MATCH('Historical Shareweights'!$A135,TCO!$A$2:$A$85,0),MATCH('Historical Shareweights'!T133,TCO!$B$1:$AQ$1,0))</f>
        <v>512036</v>
      </c>
      <c r="U135">
        <f>INDEX(TCO!$B$2:$AQ$85,MATCH('Historical Shareweights'!$A135,TCO!$A$2:$A$85,0),MATCH('Historical Shareweights'!U133,TCO!$B$1:$AQ$1,0))</f>
        <v>511673</v>
      </c>
      <c r="V135">
        <f>INDEX(TCO!$B$2:$AQ$85,MATCH('Historical Shareweights'!$A135,TCO!$A$2:$A$85,0),MATCH('Historical Shareweights'!V133,TCO!$B$1:$AQ$1,0))</f>
        <v>511007</v>
      </c>
      <c r="W135">
        <f>INDEX(TCO!$B$2:$AQ$85,MATCH('Historical Shareweights'!$A135,TCO!$A$2:$A$85,0),MATCH('Historical Shareweights'!W133,TCO!$B$1:$AQ$1,0))</f>
        <v>510644</v>
      </c>
      <c r="X135">
        <f>INDEX(TCO!$B$2:$AQ$85,MATCH('Historical Shareweights'!$A135,TCO!$A$2:$A$85,0),MATCH('Historical Shareweights'!X133,TCO!$B$1:$AQ$1,0))</f>
        <v>510281</v>
      </c>
      <c r="Y135">
        <f>INDEX(TCO!$B$2:$AQ$85,MATCH('Historical Shareweights'!$A135,TCO!$A$2:$A$85,0),MATCH('Historical Shareweights'!Y133,TCO!$B$1:$AQ$1,0))</f>
        <v>509948</v>
      </c>
      <c r="Z135">
        <f>INDEX(TCO!$B$2:$AQ$85,MATCH('Historical Shareweights'!$A135,TCO!$A$2:$A$85,0),MATCH('Historical Shareweights'!Z133,TCO!$B$1:$AQ$1,0))</f>
        <v>509616</v>
      </c>
      <c r="AA135">
        <f>INDEX(TCO!$B$2:$AQ$85,MATCH('Historical Shareweights'!$A135,TCO!$A$2:$A$85,0),MATCH('Historical Shareweights'!AA133,TCO!$B$1:$AQ$1,0))</f>
        <v>509283</v>
      </c>
      <c r="AB135">
        <f>INDEX(TCO!$B$2:$AQ$85,MATCH('Historical Shareweights'!$A135,TCO!$A$2:$A$85,0),MATCH('Historical Shareweights'!AB133,TCO!$B$1:$AQ$1,0))</f>
        <v>509253</v>
      </c>
      <c r="AC135">
        <f>INDEX(TCO!$B$2:$AQ$85,MATCH('Historical Shareweights'!$A135,TCO!$A$2:$A$85,0),MATCH('Historical Shareweights'!AC133,TCO!$B$1:$AQ$1,0))</f>
        <v>509253</v>
      </c>
      <c r="AD135">
        <f>INDEX(TCO!$B$2:$AQ$85,MATCH('Historical Shareweights'!$A135,TCO!$A$2:$A$85,0),MATCH('Historical Shareweights'!AD133,TCO!$B$1:$AQ$1,0))</f>
        <v>508920</v>
      </c>
      <c r="AE135">
        <f>INDEX(TCO!$B$2:$AQ$85,MATCH('Historical Shareweights'!$A135,TCO!$A$2:$A$85,0),MATCH('Historical Shareweights'!AE133,TCO!$B$1:$AQ$1,0))</f>
        <v>508890</v>
      </c>
      <c r="AF135">
        <f>INDEX(TCO!$B$2:$AQ$85,MATCH('Historical Shareweights'!$A135,TCO!$A$2:$A$85,0),MATCH('Historical Shareweights'!AF133,TCO!$B$1:$AQ$1,0))</f>
        <v>508557</v>
      </c>
      <c r="AG135">
        <f>INDEX(TCO!$B$2:$AQ$85,MATCH('Historical Shareweights'!$A135,TCO!$A$2:$A$85,0),MATCH('Historical Shareweights'!AG133,TCO!$B$1:$AQ$1,0))</f>
        <v>508557</v>
      </c>
      <c r="AH135">
        <f>INDEX(TCO!$B$2:$AQ$85,MATCH('Historical Shareweights'!$A135,TCO!$A$2:$A$85,0),MATCH('Historical Shareweights'!AH133,TCO!$B$1:$AQ$1,0))</f>
        <v>508224</v>
      </c>
      <c r="AI135">
        <f>INDEX(TCO!$B$2:$AQ$85,MATCH('Historical Shareweights'!$A135,TCO!$A$2:$A$85,0),MATCH('Historical Shareweights'!AI133,TCO!$B$1:$AQ$1,0))</f>
        <v>508194</v>
      </c>
      <c r="AJ135">
        <f>INDEX(TCO!$B$2:$AQ$85,MATCH('Historical Shareweights'!$A135,TCO!$A$2:$A$85,0),MATCH('Historical Shareweights'!AJ133,TCO!$B$1:$AQ$1,0))</f>
        <v>507861</v>
      </c>
      <c r="AK135">
        <f>INDEX(TCO!$B$2:$AQ$85,MATCH('Historical Shareweights'!$A135,TCO!$A$2:$A$85,0),MATCH('Historical Shareweights'!AK133,TCO!$B$1:$AQ$1,0))</f>
        <v>507861</v>
      </c>
      <c r="AL135">
        <f>INDEX(TCO!$B$2:$AQ$85,MATCH('Historical Shareweights'!$A135,TCO!$A$2:$A$85,0),MATCH('Historical Shareweights'!AL133,TCO!$B$1:$AQ$1,0))</f>
        <v>507528</v>
      </c>
      <c r="AM135">
        <f>INDEX(TCO!$B$2:$AQ$85,MATCH('Historical Shareweights'!$A135,TCO!$A$2:$A$85,0),MATCH('Historical Shareweights'!AM133,TCO!$B$1:$AQ$1,0))</f>
        <v>507498</v>
      </c>
      <c r="AN135">
        <f>INDEX(TCO!$B$2:$AQ$85,MATCH('Historical Shareweights'!$A135,TCO!$A$2:$A$85,0),MATCH('Historical Shareweights'!AN133,TCO!$B$1:$AQ$1,0))</f>
        <v>507165</v>
      </c>
      <c r="AO135">
        <f>INDEX(TCO!$B$2:$AQ$85,MATCH('Historical Shareweights'!$A135,TCO!$A$2:$A$85,0),MATCH('Historical Shareweights'!AO133,TCO!$B$1:$AQ$1,0))</f>
        <v>507135</v>
      </c>
      <c r="AP135">
        <f>INDEX(TCO!$B$2:$AQ$85,MATCH('Historical Shareweights'!$A135,TCO!$A$2:$A$85,0),MATCH('Historical Shareweights'!AP133,TCO!$B$1:$AQ$1,0))</f>
        <v>506832</v>
      </c>
      <c r="AQ135">
        <f>INDEX(TCO!$B$2:$AQ$85,MATCH('Historical Shareweights'!$A135,TCO!$A$2:$A$85,0),MATCH('Historical Shareweights'!AQ133,TCO!$B$1:$AQ$1,0))</f>
        <v>506802</v>
      </c>
    </row>
    <row r="136" spans="1:43" outlineLevel="1" x14ac:dyDescent="0.15">
      <c r="A136" t="s">
        <v>1122</v>
      </c>
      <c r="B136">
        <f>INDEX(TCO!$B$2:$AQ$85,MATCH('Historical Shareweights'!$A136,TCO!$A$2:$A$85,0),MATCH('Historical Shareweights'!B133,TCO!$B$1:$AQ$1,0))</f>
        <v>364129</v>
      </c>
      <c r="C136">
        <f>INDEX(TCO!$B$2:$AQ$85,MATCH('Historical Shareweights'!$A136,TCO!$A$2:$A$85,0),MATCH('Historical Shareweights'!C133,TCO!$B$1:$AQ$1,0))</f>
        <v>364129</v>
      </c>
      <c r="D136">
        <f>INDEX(TCO!$B$2:$AQ$85,MATCH('Historical Shareweights'!$A136,TCO!$A$2:$A$85,0),MATCH('Historical Shareweights'!D133,TCO!$B$1:$AQ$1,0))</f>
        <v>452423</v>
      </c>
      <c r="E136">
        <f>INDEX(TCO!$B$2:$AQ$85,MATCH('Historical Shareweights'!$A136,TCO!$A$2:$A$85,0),MATCH('Historical Shareweights'!E133,TCO!$B$1:$AQ$1,0))</f>
        <v>445456</v>
      </c>
      <c r="F136">
        <f>INDEX(TCO!$B$2:$AQ$85,MATCH('Historical Shareweights'!$A136,TCO!$A$2:$A$85,0),MATCH('Historical Shareweights'!F133,TCO!$B$1:$AQ$1,0))</f>
        <v>446406</v>
      </c>
      <c r="G136">
        <f>INDEX(TCO!$B$2:$AQ$85,MATCH('Historical Shareweights'!$A136,TCO!$A$2:$A$85,0),MATCH('Historical Shareweights'!G133,TCO!$B$1:$AQ$1,0))</f>
        <v>443981</v>
      </c>
      <c r="H136">
        <f>INDEX(TCO!$B$2:$AQ$85,MATCH('Historical Shareweights'!$A136,TCO!$A$2:$A$85,0),MATCH('Historical Shareweights'!H133,TCO!$B$1:$AQ$1,0))</f>
        <v>441088</v>
      </c>
      <c r="I136">
        <f>INDEX(TCO!$B$2:$AQ$85,MATCH('Historical Shareweights'!$A136,TCO!$A$2:$A$85,0),MATCH('Historical Shareweights'!I133,TCO!$B$1:$AQ$1,0))</f>
        <v>439918</v>
      </c>
      <c r="J136">
        <f>INDEX(TCO!$B$2:$AQ$85,MATCH('Historical Shareweights'!$A136,TCO!$A$2:$A$85,0),MATCH('Historical Shareweights'!J133,TCO!$B$1:$AQ$1,0))</f>
        <v>439497</v>
      </c>
      <c r="K136">
        <f>INDEX(TCO!$B$2:$AQ$85,MATCH('Historical Shareweights'!$A136,TCO!$A$2:$A$85,0),MATCH('Historical Shareweights'!K133,TCO!$B$1:$AQ$1,0))</f>
        <v>441144</v>
      </c>
      <c r="L136">
        <f>INDEX(TCO!$B$2:$AQ$85,MATCH('Historical Shareweights'!$A136,TCO!$A$2:$A$85,0),MATCH('Historical Shareweights'!L133,TCO!$B$1:$AQ$1,0))</f>
        <v>441900</v>
      </c>
      <c r="M136">
        <f>INDEX(TCO!$B$2:$AQ$85,MATCH('Historical Shareweights'!$A136,TCO!$A$2:$A$85,0),MATCH('Historical Shareweights'!M133,TCO!$B$1:$AQ$1,0))</f>
        <v>442543</v>
      </c>
      <c r="N136">
        <f>INDEX(TCO!$B$2:$AQ$85,MATCH('Historical Shareweights'!$A136,TCO!$A$2:$A$85,0),MATCH('Historical Shareweights'!N133,TCO!$B$1:$AQ$1,0))</f>
        <v>446950</v>
      </c>
      <c r="O136">
        <f>INDEX(TCO!$B$2:$AQ$85,MATCH('Historical Shareweights'!$A136,TCO!$A$2:$A$85,0),MATCH('Historical Shareweights'!O133,TCO!$B$1:$AQ$1,0))</f>
        <v>445690</v>
      </c>
      <c r="P136">
        <f>INDEX(TCO!$B$2:$AQ$85,MATCH('Historical Shareweights'!$A136,TCO!$A$2:$A$85,0),MATCH('Historical Shareweights'!P133,TCO!$B$1:$AQ$1,0))</f>
        <v>446032</v>
      </c>
      <c r="Q136">
        <f>INDEX(TCO!$B$2:$AQ$85,MATCH('Historical Shareweights'!$A136,TCO!$A$2:$A$85,0),MATCH('Historical Shareweights'!Q133,TCO!$B$1:$AQ$1,0))</f>
        <v>446477</v>
      </c>
      <c r="R136">
        <f>INDEX(TCO!$B$2:$AQ$85,MATCH('Historical Shareweights'!$A136,TCO!$A$2:$A$85,0),MATCH('Historical Shareweights'!R133,TCO!$B$1:$AQ$1,0))</f>
        <v>447675</v>
      </c>
      <c r="S136">
        <f>INDEX(TCO!$B$2:$AQ$85,MATCH('Historical Shareweights'!$A136,TCO!$A$2:$A$85,0),MATCH('Historical Shareweights'!S133,TCO!$B$1:$AQ$1,0))</f>
        <v>446582</v>
      </c>
      <c r="T136">
        <f>INDEX(TCO!$B$2:$AQ$85,MATCH('Historical Shareweights'!$A136,TCO!$A$2:$A$85,0),MATCH('Historical Shareweights'!T133,TCO!$B$1:$AQ$1,0))</f>
        <v>447019</v>
      </c>
      <c r="U136">
        <f>INDEX(TCO!$B$2:$AQ$85,MATCH('Historical Shareweights'!$A136,TCO!$A$2:$A$85,0),MATCH('Historical Shareweights'!U133,TCO!$B$1:$AQ$1,0))</f>
        <v>448331</v>
      </c>
      <c r="V136">
        <f>INDEX(TCO!$B$2:$AQ$85,MATCH('Historical Shareweights'!$A136,TCO!$A$2:$A$85,0),MATCH('Historical Shareweights'!V133,TCO!$B$1:$AQ$1,0))</f>
        <v>449424</v>
      </c>
      <c r="W136">
        <f>INDEX(TCO!$B$2:$AQ$85,MATCH('Historical Shareweights'!$A136,TCO!$A$2:$A$85,0),MATCH('Historical Shareweights'!W133,TCO!$B$1:$AQ$1,0))</f>
        <v>449642</v>
      </c>
      <c r="X136">
        <f>INDEX(TCO!$B$2:$AQ$85,MATCH('Historical Shareweights'!$A136,TCO!$A$2:$A$85,0),MATCH('Historical Shareweights'!X133,TCO!$B$1:$AQ$1,0))</f>
        <v>450298</v>
      </c>
      <c r="Y136">
        <f>INDEX(TCO!$B$2:$AQ$85,MATCH('Historical Shareweights'!$A136,TCO!$A$2:$A$85,0),MATCH('Historical Shareweights'!Y133,TCO!$B$1:$AQ$1,0))</f>
        <v>451392</v>
      </c>
      <c r="Z136">
        <f>INDEX(TCO!$B$2:$AQ$85,MATCH('Historical Shareweights'!$A136,TCO!$A$2:$A$85,0),MATCH('Historical Shareweights'!Z133,TCO!$B$1:$AQ$1,0))</f>
        <v>451392</v>
      </c>
      <c r="AA136">
        <f>INDEX(TCO!$B$2:$AQ$85,MATCH('Historical Shareweights'!$A136,TCO!$A$2:$A$85,0),MATCH('Historical Shareweights'!AA133,TCO!$B$1:$AQ$1,0))</f>
        <v>452047</v>
      </c>
      <c r="AB136">
        <f>INDEX(TCO!$B$2:$AQ$85,MATCH('Historical Shareweights'!$A136,TCO!$A$2:$A$85,0),MATCH('Historical Shareweights'!AB133,TCO!$B$1:$AQ$1,0))</f>
        <v>452703</v>
      </c>
      <c r="AC136">
        <f>INDEX(TCO!$B$2:$AQ$85,MATCH('Historical Shareweights'!$A136,TCO!$A$2:$A$85,0),MATCH('Historical Shareweights'!AC133,TCO!$B$1:$AQ$1,0))</f>
        <v>454015</v>
      </c>
      <c r="AD136">
        <f>INDEX(TCO!$B$2:$AQ$85,MATCH('Historical Shareweights'!$A136,TCO!$A$2:$A$85,0),MATCH('Historical Shareweights'!AD133,TCO!$B$1:$AQ$1,0))</f>
        <v>454671</v>
      </c>
      <c r="AE136">
        <f>INDEX(TCO!$B$2:$AQ$85,MATCH('Historical Shareweights'!$A136,TCO!$A$2:$A$85,0),MATCH('Historical Shareweights'!AE133,TCO!$B$1:$AQ$1,0))</f>
        <v>455108</v>
      </c>
      <c r="AF136">
        <f>INDEX(TCO!$B$2:$AQ$85,MATCH('Historical Shareweights'!$A136,TCO!$A$2:$A$85,0),MATCH('Historical Shareweights'!AF133,TCO!$B$1:$AQ$1,0))</f>
        <v>455546</v>
      </c>
      <c r="AG136">
        <f>INDEX(TCO!$B$2:$AQ$85,MATCH('Historical Shareweights'!$A136,TCO!$A$2:$A$85,0),MATCH('Historical Shareweights'!AG133,TCO!$B$1:$AQ$1,0))</f>
        <v>456639</v>
      </c>
      <c r="AH136">
        <f>INDEX(TCO!$B$2:$AQ$85,MATCH('Historical Shareweights'!$A136,TCO!$A$2:$A$85,0),MATCH('Historical Shareweights'!AH133,TCO!$B$1:$AQ$1,0))</f>
        <v>457076</v>
      </c>
      <c r="AI136">
        <f>INDEX(TCO!$B$2:$AQ$85,MATCH('Historical Shareweights'!$A136,TCO!$A$2:$A$85,0),MATCH('Historical Shareweights'!AI133,TCO!$B$1:$AQ$1,0))</f>
        <v>457732</v>
      </c>
      <c r="AJ136">
        <f>INDEX(TCO!$B$2:$AQ$85,MATCH('Historical Shareweights'!$A136,TCO!$A$2:$A$85,0),MATCH('Historical Shareweights'!AJ133,TCO!$B$1:$AQ$1,0))</f>
        <v>458606</v>
      </c>
      <c r="AK136">
        <f>INDEX(TCO!$B$2:$AQ$85,MATCH('Historical Shareweights'!$A136,TCO!$A$2:$A$85,0),MATCH('Historical Shareweights'!AK133,TCO!$B$1:$AQ$1,0))</f>
        <v>459262</v>
      </c>
      <c r="AL136">
        <f>INDEX(TCO!$B$2:$AQ$85,MATCH('Historical Shareweights'!$A136,TCO!$A$2:$A$85,0),MATCH('Historical Shareweights'!AL133,TCO!$B$1:$AQ$1,0))</f>
        <v>459918</v>
      </c>
      <c r="AM136">
        <f>INDEX(TCO!$B$2:$AQ$85,MATCH('Historical Shareweights'!$A136,TCO!$A$2:$A$85,0),MATCH('Historical Shareweights'!AM133,TCO!$B$1:$AQ$1,0))</f>
        <v>460574</v>
      </c>
      <c r="AN136">
        <f>INDEX(TCO!$B$2:$AQ$85,MATCH('Historical Shareweights'!$A136,TCO!$A$2:$A$85,0),MATCH('Historical Shareweights'!AN133,TCO!$B$1:$AQ$1,0))</f>
        <v>461230</v>
      </c>
      <c r="AO136">
        <f>INDEX(TCO!$B$2:$AQ$85,MATCH('Historical Shareweights'!$A136,TCO!$A$2:$A$85,0),MATCH('Historical Shareweights'!AO133,TCO!$B$1:$AQ$1,0))</f>
        <v>461886</v>
      </c>
      <c r="AP136">
        <f>INDEX(TCO!$B$2:$AQ$85,MATCH('Historical Shareweights'!$A136,TCO!$A$2:$A$85,0),MATCH('Historical Shareweights'!AP133,TCO!$B$1:$AQ$1,0))</f>
        <v>462542</v>
      </c>
      <c r="AQ136">
        <f>INDEX(TCO!$B$2:$AQ$85,MATCH('Historical Shareweights'!$A136,TCO!$A$2:$A$85,0),MATCH('Historical Shareweights'!AQ133,TCO!$B$1:$AQ$1,0))</f>
        <v>463417</v>
      </c>
    </row>
    <row r="137" spans="1:43" outlineLevel="1" x14ac:dyDescent="0.15">
      <c r="A137" t="s">
        <v>1123</v>
      </c>
      <c r="B137">
        <f>INDEX(TCO!$B$2:$AQ$85,MATCH('Historical Shareweights'!$A137,TCO!$A$2:$A$85,0),MATCH('Historical Shareweights'!B133,TCO!$B$1:$AQ$1,0))</f>
        <v>427259</v>
      </c>
      <c r="C137">
        <f>INDEX(TCO!$B$2:$AQ$85,MATCH('Historical Shareweights'!$A137,TCO!$A$2:$A$85,0),MATCH('Historical Shareweights'!C133,TCO!$B$1:$AQ$1,0))</f>
        <v>427259</v>
      </c>
      <c r="D137">
        <f>INDEX(TCO!$B$2:$AQ$85,MATCH('Historical Shareweights'!$A137,TCO!$A$2:$A$85,0),MATCH('Historical Shareweights'!D133,TCO!$B$1:$AQ$1,0))</f>
        <v>437780</v>
      </c>
      <c r="E137">
        <f>INDEX(TCO!$B$2:$AQ$85,MATCH('Historical Shareweights'!$A137,TCO!$A$2:$A$85,0),MATCH('Historical Shareweights'!E133,TCO!$B$1:$AQ$1,0))</f>
        <v>428016</v>
      </c>
      <c r="F137">
        <f>INDEX(TCO!$B$2:$AQ$85,MATCH('Historical Shareweights'!$A137,TCO!$A$2:$A$85,0),MATCH('Historical Shareweights'!F133,TCO!$B$1:$AQ$1,0))</f>
        <v>431243</v>
      </c>
      <c r="G137">
        <f>INDEX(TCO!$B$2:$AQ$85,MATCH('Historical Shareweights'!$A137,TCO!$A$2:$A$85,0),MATCH('Historical Shareweights'!G133,TCO!$B$1:$AQ$1,0))</f>
        <v>434720</v>
      </c>
      <c r="H137">
        <f>INDEX(TCO!$B$2:$AQ$85,MATCH('Historical Shareweights'!$A137,TCO!$A$2:$A$85,0),MATCH('Historical Shareweights'!H133,TCO!$B$1:$AQ$1,0))</f>
        <v>434647</v>
      </c>
      <c r="I137">
        <f>INDEX(TCO!$B$2:$AQ$85,MATCH('Historical Shareweights'!$A137,TCO!$A$2:$A$85,0),MATCH('Historical Shareweights'!I133,TCO!$B$1:$AQ$1,0))</f>
        <v>434859</v>
      </c>
      <c r="J137">
        <f>INDEX(TCO!$B$2:$AQ$85,MATCH('Historical Shareweights'!$A137,TCO!$A$2:$A$85,0),MATCH('Historical Shareweights'!J133,TCO!$B$1:$AQ$1,0))</f>
        <v>434967</v>
      </c>
      <c r="K137">
        <f>INDEX(TCO!$B$2:$AQ$85,MATCH('Historical Shareweights'!$A137,TCO!$A$2:$A$85,0),MATCH('Historical Shareweights'!K133,TCO!$B$1:$AQ$1,0))</f>
        <v>436524</v>
      </c>
      <c r="L137">
        <f>INDEX(TCO!$B$2:$AQ$85,MATCH('Historical Shareweights'!$A137,TCO!$A$2:$A$85,0),MATCH('Historical Shareweights'!L133,TCO!$B$1:$AQ$1,0))</f>
        <v>437262</v>
      </c>
      <c r="M137">
        <f>INDEX(TCO!$B$2:$AQ$85,MATCH('Historical Shareweights'!$A137,TCO!$A$2:$A$85,0),MATCH('Historical Shareweights'!M133,TCO!$B$1:$AQ$1,0))</f>
        <v>437429</v>
      </c>
      <c r="N137">
        <f>INDEX(TCO!$B$2:$AQ$85,MATCH('Historical Shareweights'!$A137,TCO!$A$2:$A$85,0),MATCH('Historical Shareweights'!N133,TCO!$B$1:$AQ$1,0))</f>
        <v>439804</v>
      </c>
      <c r="O137">
        <f>INDEX(TCO!$B$2:$AQ$85,MATCH('Historical Shareweights'!$A137,TCO!$A$2:$A$85,0),MATCH('Historical Shareweights'!O133,TCO!$B$1:$AQ$1,0))</f>
        <v>439781</v>
      </c>
      <c r="P137">
        <f>INDEX(TCO!$B$2:$AQ$85,MATCH('Historical Shareweights'!$A137,TCO!$A$2:$A$85,0),MATCH('Historical Shareweights'!P133,TCO!$B$1:$AQ$1,0))</f>
        <v>440185</v>
      </c>
      <c r="Q137">
        <f>INDEX(TCO!$B$2:$AQ$85,MATCH('Historical Shareweights'!$A137,TCO!$A$2:$A$85,0),MATCH('Historical Shareweights'!Q133,TCO!$B$1:$AQ$1,0))</f>
        <v>439948</v>
      </c>
      <c r="R137">
        <f>INDEX(TCO!$B$2:$AQ$85,MATCH('Historical Shareweights'!$A137,TCO!$A$2:$A$85,0),MATCH('Historical Shareweights'!R133,TCO!$B$1:$AQ$1,0))</f>
        <v>439717</v>
      </c>
      <c r="S137">
        <f>INDEX(TCO!$B$2:$AQ$85,MATCH('Historical Shareweights'!$A137,TCO!$A$2:$A$85,0),MATCH('Historical Shareweights'!S133,TCO!$B$1:$AQ$1,0))</f>
        <v>438888</v>
      </c>
      <c r="T137">
        <f>INDEX(TCO!$B$2:$AQ$85,MATCH('Historical Shareweights'!$A137,TCO!$A$2:$A$85,0),MATCH('Historical Shareweights'!T133,TCO!$B$1:$AQ$1,0))</f>
        <v>438680</v>
      </c>
      <c r="U137">
        <f>INDEX(TCO!$B$2:$AQ$85,MATCH('Historical Shareweights'!$A137,TCO!$A$2:$A$85,0),MATCH('Historical Shareweights'!U133,TCO!$B$1:$AQ$1,0))</f>
        <v>439717</v>
      </c>
      <c r="V137">
        <f>INDEX(TCO!$B$2:$AQ$85,MATCH('Historical Shareweights'!$A137,TCO!$A$2:$A$85,0),MATCH('Historical Shareweights'!V133,TCO!$B$1:$AQ$1,0))</f>
        <v>440339</v>
      </c>
      <c r="W137">
        <f>INDEX(TCO!$B$2:$AQ$85,MATCH('Historical Shareweights'!$A137,TCO!$A$2:$A$85,0),MATCH('Historical Shareweights'!W133,TCO!$B$1:$AQ$1,0))</f>
        <v>439924</v>
      </c>
      <c r="X137">
        <f>INDEX(TCO!$B$2:$AQ$85,MATCH('Historical Shareweights'!$A137,TCO!$A$2:$A$85,0),MATCH('Historical Shareweights'!X133,TCO!$B$1:$AQ$1,0))</f>
        <v>441376</v>
      </c>
      <c r="Y137">
        <f>INDEX(TCO!$B$2:$AQ$85,MATCH('Historical Shareweights'!$A137,TCO!$A$2:$A$85,0),MATCH('Historical Shareweights'!Y133,TCO!$B$1:$AQ$1,0))</f>
        <v>441790</v>
      </c>
      <c r="Z137">
        <f>INDEX(TCO!$B$2:$AQ$85,MATCH('Historical Shareweights'!$A137,TCO!$A$2:$A$85,0),MATCH('Historical Shareweights'!Z133,TCO!$B$1:$AQ$1,0))</f>
        <v>442205</v>
      </c>
      <c r="AA137">
        <f>INDEX(TCO!$B$2:$AQ$85,MATCH('Historical Shareweights'!$A137,TCO!$A$2:$A$85,0),MATCH('Historical Shareweights'!AA133,TCO!$B$1:$AQ$1,0))</f>
        <v>442827</v>
      </c>
      <c r="AB137">
        <f>INDEX(TCO!$B$2:$AQ$85,MATCH('Historical Shareweights'!$A137,TCO!$A$2:$A$85,0),MATCH('Historical Shareweights'!AB133,TCO!$B$1:$AQ$1,0))</f>
        <v>443449</v>
      </c>
      <c r="AC137">
        <f>INDEX(TCO!$B$2:$AQ$85,MATCH('Historical Shareweights'!$A137,TCO!$A$2:$A$85,0),MATCH('Historical Shareweights'!AC133,TCO!$B$1:$AQ$1,0))</f>
        <v>444486</v>
      </c>
      <c r="AD137">
        <f>INDEX(TCO!$B$2:$AQ$85,MATCH('Historical Shareweights'!$A137,TCO!$A$2:$A$85,0),MATCH('Historical Shareweights'!AD133,TCO!$B$1:$AQ$1,0))</f>
        <v>445108</v>
      </c>
      <c r="AE137">
        <f>INDEX(TCO!$B$2:$AQ$85,MATCH('Historical Shareweights'!$A137,TCO!$A$2:$A$85,0),MATCH('Historical Shareweights'!AE133,TCO!$B$1:$AQ$1,0))</f>
        <v>445730</v>
      </c>
      <c r="AF137">
        <f>INDEX(TCO!$B$2:$AQ$85,MATCH('Historical Shareweights'!$A137,TCO!$A$2:$A$85,0),MATCH('Historical Shareweights'!AF133,TCO!$B$1:$AQ$1,0))</f>
        <v>445937</v>
      </c>
      <c r="AG137">
        <f>INDEX(TCO!$B$2:$AQ$85,MATCH('Historical Shareweights'!$A137,TCO!$A$2:$A$85,0),MATCH('Historical Shareweights'!AG133,TCO!$B$1:$AQ$1,0))</f>
        <v>446559</v>
      </c>
      <c r="AH137">
        <f>INDEX(TCO!$B$2:$AQ$85,MATCH('Historical Shareweights'!$A137,TCO!$A$2:$A$85,0),MATCH('Historical Shareweights'!AH133,TCO!$B$1:$AQ$1,0))</f>
        <v>447596</v>
      </c>
      <c r="AI137">
        <f>INDEX(TCO!$B$2:$AQ$85,MATCH('Historical Shareweights'!$A137,TCO!$A$2:$A$85,0),MATCH('Historical Shareweights'!AI133,TCO!$B$1:$AQ$1,0))</f>
        <v>448010</v>
      </c>
      <c r="AJ137">
        <f>INDEX(TCO!$B$2:$AQ$85,MATCH('Historical Shareweights'!$A137,TCO!$A$2:$A$85,0),MATCH('Historical Shareweights'!AJ133,TCO!$B$1:$AQ$1,0))</f>
        <v>448839</v>
      </c>
      <c r="AK137">
        <f>INDEX(TCO!$B$2:$AQ$85,MATCH('Historical Shareweights'!$A137,TCO!$A$2:$A$85,0),MATCH('Historical Shareweights'!AK133,TCO!$B$1:$AQ$1,0))</f>
        <v>449461</v>
      </c>
      <c r="AL137">
        <f>INDEX(TCO!$B$2:$AQ$85,MATCH('Historical Shareweights'!$A137,TCO!$A$2:$A$85,0),MATCH('Historical Shareweights'!AL133,TCO!$B$1:$AQ$1,0))</f>
        <v>450083</v>
      </c>
      <c r="AM137">
        <f>INDEX(TCO!$B$2:$AQ$85,MATCH('Historical Shareweights'!$A137,TCO!$A$2:$A$85,0),MATCH('Historical Shareweights'!AM133,TCO!$B$1:$AQ$1,0))</f>
        <v>450498</v>
      </c>
      <c r="AN137">
        <f>INDEX(TCO!$B$2:$AQ$85,MATCH('Historical Shareweights'!$A137,TCO!$A$2:$A$85,0),MATCH('Historical Shareweights'!AN133,TCO!$B$1:$AQ$1,0))</f>
        <v>451120</v>
      </c>
      <c r="AO137">
        <f>INDEX(TCO!$B$2:$AQ$85,MATCH('Historical Shareweights'!$A137,TCO!$A$2:$A$85,0),MATCH('Historical Shareweights'!AO133,TCO!$B$1:$AQ$1,0))</f>
        <v>451742</v>
      </c>
      <c r="AP137">
        <f>INDEX(TCO!$B$2:$AQ$85,MATCH('Historical Shareweights'!$A137,TCO!$A$2:$A$85,0),MATCH('Historical Shareweights'!AP133,TCO!$B$1:$AQ$1,0))</f>
        <v>452364</v>
      </c>
      <c r="AQ137">
        <f>INDEX(TCO!$B$2:$AQ$85,MATCH('Historical Shareweights'!$A137,TCO!$A$2:$A$85,0),MATCH('Historical Shareweights'!AQ133,TCO!$B$1:$AQ$1,0))</f>
        <v>452986</v>
      </c>
    </row>
    <row r="138" spans="1:43" outlineLevel="1" x14ac:dyDescent="0.15">
      <c r="A138" t="s">
        <v>1124</v>
      </c>
      <c r="B138">
        <f>INDEX(TCO!$B$2:$AQ$85,MATCH('Historical Shareweights'!$A138,TCO!$A$2:$A$85,0),MATCH('Historical Shareweights'!B133,TCO!$B$1:$AQ$1,0))</f>
        <v>576913</v>
      </c>
      <c r="C138">
        <f>INDEX(TCO!$B$2:$AQ$85,MATCH('Historical Shareweights'!$A138,TCO!$A$2:$A$85,0),MATCH('Historical Shareweights'!C133,TCO!$B$1:$AQ$1,0))</f>
        <v>576913</v>
      </c>
      <c r="D138">
        <f>INDEX(TCO!$B$2:$AQ$85,MATCH('Historical Shareweights'!$A138,TCO!$A$2:$A$85,0),MATCH('Historical Shareweights'!D133,TCO!$B$1:$AQ$1,0))</f>
        <v>580751</v>
      </c>
      <c r="E138">
        <f>INDEX(TCO!$B$2:$AQ$85,MATCH('Historical Shareweights'!$A138,TCO!$A$2:$A$85,0),MATCH('Historical Shareweights'!E133,TCO!$B$1:$AQ$1,0))</f>
        <v>571966</v>
      </c>
      <c r="F138">
        <f>INDEX(TCO!$B$2:$AQ$85,MATCH('Historical Shareweights'!$A138,TCO!$A$2:$A$85,0),MATCH('Historical Shareweights'!F133,TCO!$B$1:$AQ$1,0))</f>
        <v>572764</v>
      </c>
      <c r="G138">
        <f>INDEX(TCO!$B$2:$AQ$85,MATCH('Historical Shareweights'!$A138,TCO!$A$2:$A$85,0),MATCH('Historical Shareweights'!G133,TCO!$B$1:$AQ$1,0))</f>
        <v>572597</v>
      </c>
      <c r="H138">
        <f>INDEX(TCO!$B$2:$AQ$85,MATCH('Historical Shareweights'!$A138,TCO!$A$2:$A$85,0),MATCH('Historical Shareweights'!H133,TCO!$B$1:$AQ$1,0))</f>
        <v>571391</v>
      </c>
      <c r="I138">
        <f>INDEX(TCO!$B$2:$AQ$85,MATCH('Historical Shareweights'!$A138,TCO!$A$2:$A$85,0),MATCH('Historical Shareweights'!I133,TCO!$B$1:$AQ$1,0))</f>
        <v>570473</v>
      </c>
      <c r="J138">
        <f>INDEX(TCO!$B$2:$AQ$85,MATCH('Historical Shareweights'!$A138,TCO!$A$2:$A$85,0),MATCH('Historical Shareweights'!J133,TCO!$B$1:$AQ$1,0))</f>
        <v>569947</v>
      </c>
      <c r="K138">
        <f>INDEX(TCO!$B$2:$AQ$85,MATCH('Historical Shareweights'!$A138,TCO!$A$2:$A$85,0),MATCH('Historical Shareweights'!K133,TCO!$B$1:$AQ$1,0))</f>
        <v>569949</v>
      </c>
      <c r="L138">
        <f>INDEX(TCO!$B$2:$AQ$85,MATCH('Historical Shareweights'!$A138,TCO!$A$2:$A$85,0),MATCH('Historical Shareweights'!L133,TCO!$B$1:$AQ$1,0))</f>
        <v>569572</v>
      </c>
      <c r="M138">
        <f>INDEX(TCO!$B$2:$AQ$85,MATCH('Historical Shareweights'!$A138,TCO!$A$2:$A$85,0),MATCH('Historical Shareweights'!M133,TCO!$B$1:$AQ$1,0))</f>
        <v>569281</v>
      </c>
      <c r="N138">
        <f>INDEX(TCO!$B$2:$AQ$85,MATCH('Historical Shareweights'!$A138,TCO!$A$2:$A$85,0),MATCH('Historical Shareweights'!N133,TCO!$B$1:$AQ$1,0))</f>
        <v>569820</v>
      </c>
      <c r="O138">
        <f>INDEX(TCO!$B$2:$AQ$85,MATCH('Historical Shareweights'!$A138,TCO!$A$2:$A$85,0),MATCH('Historical Shareweights'!O133,TCO!$B$1:$AQ$1,0))</f>
        <v>569937</v>
      </c>
      <c r="P138">
        <f>INDEX(TCO!$B$2:$AQ$85,MATCH('Historical Shareweights'!$A138,TCO!$A$2:$A$85,0),MATCH('Historical Shareweights'!P133,TCO!$B$1:$AQ$1,0))</f>
        <v>569596</v>
      </c>
      <c r="Q138">
        <f>INDEX(TCO!$B$2:$AQ$85,MATCH('Historical Shareweights'!$A138,TCO!$A$2:$A$85,0),MATCH('Historical Shareweights'!Q133,TCO!$B$1:$AQ$1,0))</f>
        <v>569403</v>
      </c>
      <c r="R138">
        <f>INDEX(TCO!$B$2:$AQ$85,MATCH('Historical Shareweights'!$A138,TCO!$A$2:$A$85,0),MATCH('Historical Shareweights'!R133,TCO!$B$1:$AQ$1,0))</f>
        <v>569151</v>
      </c>
      <c r="S138">
        <f>INDEX(TCO!$B$2:$AQ$85,MATCH('Historical Shareweights'!$A138,TCO!$A$2:$A$85,0),MATCH('Historical Shareweights'!S133,TCO!$B$1:$AQ$1,0))</f>
        <v>568698</v>
      </c>
      <c r="T138">
        <f>INDEX(TCO!$B$2:$AQ$85,MATCH('Historical Shareweights'!$A138,TCO!$A$2:$A$85,0),MATCH('Historical Shareweights'!T133,TCO!$B$1:$AQ$1,0))</f>
        <v>568503</v>
      </c>
      <c r="U138">
        <f>INDEX(TCO!$B$2:$AQ$85,MATCH('Historical Shareweights'!$A138,TCO!$A$2:$A$85,0),MATCH('Historical Shareweights'!U133,TCO!$B$1:$AQ$1,0))</f>
        <v>568918</v>
      </c>
      <c r="V138">
        <f>INDEX(TCO!$B$2:$AQ$85,MATCH('Historical Shareweights'!$A138,TCO!$A$2:$A$85,0),MATCH('Historical Shareweights'!V133,TCO!$B$1:$AQ$1,0))</f>
        <v>569288</v>
      </c>
      <c r="W138">
        <f>INDEX(TCO!$B$2:$AQ$85,MATCH('Historical Shareweights'!$A138,TCO!$A$2:$A$85,0),MATCH('Historical Shareweights'!W133,TCO!$B$1:$AQ$1,0))</f>
        <v>569112</v>
      </c>
      <c r="X138">
        <f>INDEX(TCO!$B$2:$AQ$85,MATCH('Historical Shareweights'!$A138,TCO!$A$2:$A$85,0),MATCH('Historical Shareweights'!X133,TCO!$B$1:$AQ$1,0))</f>
        <v>569591</v>
      </c>
      <c r="Y138">
        <f>INDEX(TCO!$B$2:$AQ$85,MATCH('Historical Shareweights'!$A138,TCO!$A$2:$A$85,0),MATCH('Historical Shareweights'!Y133,TCO!$B$1:$AQ$1,0))</f>
        <v>569757</v>
      </c>
      <c r="Z138">
        <f>INDEX(TCO!$B$2:$AQ$85,MATCH('Historical Shareweights'!$A138,TCO!$A$2:$A$85,0),MATCH('Historical Shareweights'!Z133,TCO!$B$1:$AQ$1,0))</f>
        <v>569923</v>
      </c>
      <c r="AA138">
        <f>INDEX(TCO!$B$2:$AQ$85,MATCH('Historical Shareweights'!$A138,TCO!$A$2:$A$85,0),MATCH('Historical Shareweights'!AA133,TCO!$B$1:$AQ$1,0))</f>
        <v>570162</v>
      </c>
      <c r="AB138">
        <f>INDEX(TCO!$B$2:$AQ$85,MATCH('Historical Shareweights'!$A138,TCO!$A$2:$A$85,0),MATCH('Historical Shareweights'!AB133,TCO!$B$1:$AQ$1,0))</f>
        <v>570411</v>
      </c>
      <c r="AC138">
        <f>INDEX(TCO!$B$2:$AQ$85,MATCH('Historical Shareweights'!$A138,TCO!$A$2:$A$85,0),MATCH('Historical Shareweights'!AC133,TCO!$B$1:$AQ$1,0))</f>
        <v>570724</v>
      </c>
      <c r="AD138">
        <f>INDEX(TCO!$B$2:$AQ$85,MATCH('Historical Shareweights'!$A138,TCO!$A$2:$A$85,0),MATCH('Historical Shareweights'!AD133,TCO!$B$1:$AQ$1,0))</f>
        <v>570963</v>
      </c>
      <c r="AE138">
        <f>INDEX(TCO!$B$2:$AQ$85,MATCH('Historical Shareweights'!$A138,TCO!$A$2:$A$85,0),MATCH('Historical Shareweights'!AE133,TCO!$B$1:$AQ$1,0))</f>
        <v>571211</v>
      </c>
      <c r="AF138">
        <f>INDEX(TCO!$B$2:$AQ$85,MATCH('Historical Shareweights'!$A138,TCO!$A$2:$A$85,0),MATCH('Historical Shareweights'!AF133,TCO!$B$1:$AQ$1,0))</f>
        <v>571183</v>
      </c>
      <c r="AG138">
        <f>INDEX(TCO!$B$2:$AQ$85,MATCH('Historical Shareweights'!$A138,TCO!$A$2:$A$85,0),MATCH('Historical Shareweights'!AG133,TCO!$B$1:$AQ$1,0))</f>
        <v>571432</v>
      </c>
      <c r="AH138">
        <f>INDEX(TCO!$B$2:$AQ$85,MATCH('Historical Shareweights'!$A138,TCO!$A$2:$A$85,0),MATCH('Historical Shareweights'!AH133,TCO!$B$1:$AQ$1,0))</f>
        <v>571846</v>
      </c>
      <c r="AI138">
        <f>INDEX(TCO!$B$2:$AQ$85,MATCH('Historical Shareweights'!$A138,TCO!$A$2:$A$85,0),MATCH('Historical Shareweights'!AI133,TCO!$B$1:$AQ$1,0))</f>
        <v>571901</v>
      </c>
      <c r="AJ138">
        <f>INDEX(TCO!$B$2:$AQ$85,MATCH('Historical Shareweights'!$A138,TCO!$A$2:$A$85,0),MATCH('Historical Shareweights'!AJ133,TCO!$B$1:$AQ$1,0))</f>
        <v>572232</v>
      </c>
      <c r="AK138">
        <f>INDEX(TCO!$B$2:$AQ$85,MATCH('Historical Shareweights'!$A138,TCO!$A$2:$A$85,0),MATCH('Historical Shareweights'!AK133,TCO!$B$1:$AQ$1,0))</f>
        <v>572471</v>
      </c>
      <c r="AL138">
        <f>INDEX(TCO!$B$2:$AQ$85,MATCH('Historical Shareweights'!$A138,TCO!$A$2:$A$85,0),MATCH('Historical Shareweights'!AL133,TCO!$B$1:$AQ$1,0))</f>
        <v>572618</v>
      </c>
      <c r="AM138">
        <f>INDEX(TCO!$B$2:$AQ$85,MATCH('Historical Shareweights'!$A138,TCO!$A$2:$A$85,0),MATCH('Historical Shareweights'!AM133,TCO!$B$1:$AQ$1,0))</f>
        <v>572784</v>
      </c>
      <c r="AN138">
        <f>INDEX(TCO!$B$2:$AQ$85,MATCH('Historical Shareweights'!$A138,TCO!$A$2:$A$85,0),MATCH('Historical Shareweights'!AN133,TCO!$B$1:$AQ$1,0))</f>
        <v>573023</v>
      </c>
      <c r="AO138">
        <f>INDEX(TCO!$B$2:$AQ$85,MATCH('Historical Shareweights'!$A138,TCO!$A$2:$A$85,0),MATCH('Historical Shareweights'!AO133,TCO!$B$1:$AQ$1,0))</f>
        <v>573170</v>
      </c>
      <c r="AP138">
        <f>INDEX(TCO!$B$2:$AQ$85,MATCH('Historical Shareweights'!$A138,TCO!$A$2:$A$85,0),MATCH('Historical Shareweights'!AP133,TCO!$B$1:$AQ$1,0))</f>
        <v>573409</v>
      </c>
      <c r="AQ138">
        <f>INDEX(TCO!$B$2:$AQ$85,MATCH('Historical Shareweights'!$A138,TCO!$A$2:$A$85,0),MATCH('Historical Shareweights'!AQ133,TCO!$B$1:$AQ$1,0))</f>
        <v>573655</v>
      </c>
    </row>
    <row r="139" spans="1:43" outlineLevel="1" x14ac:dyDescent="0.15">
      <c r="A139" t="s">
        <v>1125</v>
      </c>
      <c r="B139">
        <f>INDEX(TCO!$B$2:$AQ$85,MATCH('Historical Shareweights'!$A139,TCO!$A$2:$A$85,0),MATCH('Historical Shareweights'!B133,TCO!$B$1:$AQ$1,0))</f>
        <v>423587</v>
      </c>
      <c r="C139">
        <f>INDEX(TCO!$B$2:$AQ$85,MATCH('Historical Shareweights'!$A139,TCO!$A$2:$A$85,0),MATCH('Historical Shareweights'!C133,TCO!$B$1:$AQ$1,0))</f>
        <v>423587</v>
      </c>
      <c r="D139">
        <f>INDEX(TCO!$B$2:$AQ$85,MATCH('Historical Shareweights'!$A139,TCO!$A$2:$A$85,0),MATCH('Historical Shareweights'!D133,TCO!$B$1:$AQ$1,0))</f>
        <v>446810</v>
      </c>
      <c r="E139">
        <f>INDEX(TCO!$B$2:$AQ$85,MATCH('Historical Shareweights'!$A139,TCO!$A$2:$A$85,0),MATCH('Historical Shareweights'!E133,TCO!$B$1:$AQ$1,0))</f>
        <v>442813</v>
      </c>
      <c r="F139">
        <f>INDEX(TCO!$B$2:$AQ$85,MATCH('Historical Shareweights'!$A139,TCO!$A$2:$A$85,0),MATCH('Historical Shareweights'!F133,TCO!$B$1:$AQ$1,0))</f>
        <v>446433</v>
      </c>
      <c r="G139">
        <f>INDEX(TCO!$B$2:$AQ$85,MATCH('Historical Shareweights'!$A139,TCO!$A$2:$A$85,0),MATCH('Historical Shareweights'!G133,TCO!$B$1:$AQ$1,0))</f>
        <v>445256</v>
      </c>
      <c r="H139">
        <f>INDEX(TCO!$B$2:$AQ$85,MATCH('Historical Shareweights'!$A139,TCO!$A$2:$A$85,0),MATCH('Historical Shareweights'!H133,TCO!$B$1:$AQ$1,0))</f>
        <v>445844</v>
      </c>
      <c r="I139">
        <f>INDEX(TCO!$B$2:$AQ$85,MATCH('Historical Shareweights'!$A139,TCO!$A$2:$A$85,0),MATCH('Historical Shareweights'!I133,TCO!$B$1:$AQ$1,0))</f>
        <v>446433</v>
      </c>
      <c r="J139">
        <f>INDEX(TCO!$B$2:$AQ$85,MATCH('Historical Shareweights'!$A139,TCO!$A$2:$A$85,0),MATCH('Historical Shareweights'!J133,TCO!$B$1:$AQ$1,0))</f>
        <v>445256</v>
      </c>
      <c r="K139">
        <f>INDEX(TCO!$B$2:$AQ$85,MATCH('Historical Shareweights'!$A139,TCO!$A$2:$A$85,0),MATCH('Historical Shareweights'!K133,TCO!$B$1:$AQ$1,0))</f>
        <v>445256</v>
      </c>
      <c r="L139">
        <f>INDEX(TCO!$B$2:$AQ$85,MATCH('Historical Shareweights'!$A139,TCO!$A$2:$A$85,0),MATCH('Historical Shareweights'!L133,TCO!$B$1:$AQ$1,0))</f>
        <v>446433</v>
      </c>
      <c r="M139">
        <f>INDEX(TCO!$B$2:$AQ$85,MATCH('Historical Shareweights'!$A139,TCO!$A$2:$A$85,0),MATCH('Historical Shareweights'!M133,TCO!$B$1:$AQ$1,0))</f>
        <v>447021</v>
      </c>
      <c r="N139">
        <f>INDEX(TCO!$B$2:$AQ$85,MATCH('Historical Shareweights'!$A139,TCO!$A$2:$A$85,0),MATCH('Historical Shareweights'!N133,TCO!$B$1:$AQ$1,0))</f>
        <v>452211</v>
      </c>
      <c r="O139">
        <f>INDEX(TCO!$B$2:$AQ$85,MATCH('Historical Shareweights'!$A139,TCO!$A$2:$A$85,0),MATCH('Historical Shareweights'!O133,TCO!$B$1:$AQ$1,0))</f>
        <v>452853</v>
      </c>
      <c r="P139">
        <f>INDEX(TCO!$B$2:$AQ$85,MATCH('Historical Shareweights'!$A139,TCO!$A$2:$A$85,0),MATCH('Historical Shareweights'!P133,TCO!$B$1:$AQ$1,0))</f>
        <v>453977</v>
      </c>
      <c r="Q139">
        <f>INDEX(TCO!$B$2:$AQ$85,MATCH('Historical Shareweights'!$A139,TCO!$A$2:$A$85,0),MATCH('Historical Shareweights'!Q133,TCO!$B$1:$AQ$1,0))</f>
        <v>454565</v>
      </c>
      <c r="R139">
        <f>INDEX(TCO!$B$2:$AQ$85,MATCH('Historical Shareweights'!$A139,TCO!$A$2:$A$85,0),MATCH('Historical Shareweights'!R133,TCO!$B$1:$AQ$1,0))</f>
        <v>455154</v>
      </c>
      <c r="S139">
        <f>INDEX(TCO!$B$2:$AQ$85,MATCH('Historical Shareweights'!$A139,TCO!$A$2:$A$85,0),MATCH('Historical Shareweights'!S133,TCO!$B$1:$AQ$1,0))</f>
        <v>455208</v>
      </c>
      <c r="T139">
        <f>INDEX(TCO!$B$2:$AQ$85,MATCH('Historical Shareweights'!$A139,TCO!$A$2:$A$85,0),MATCH('Historical Shareweights'!T133,TCO!$B$1:$AQ$1,0))</f>
        <v>456331</v>
      </c>
      <c r="U139">
        <f>INDEX(TCO!$B$2:$AQ$85,MATCH('Historical Shareweights'!$A139,TCO!$A$2:$A$85,0),MATCH('Historical Shareweights'!U133,TCO!$B$1:$AQ$1,0))</f>
        <v>457508</v>
      </c>
      <c r="V139">
        <f>INDEX(TCO!$B$2:$AQ$85,MATCH('Historical Shareweights'!$A139,TCO!$A$2:$A$85,0),MATCH('Historical Shareweights'!V133,TCO!$B$1:$AQ$1,0))</f>
        <v>458632</v>
      </c>
      <c r="W139">
        <f>INDEX(TCO!$B$2:$AQ$85,MATCH('Historical Shareweights'!$A139,TCO!$A$2:$A$85,0),MATCH('Historical Shareweights'!W133,TCO!$B$1:$AQ$1,0))</f>
        <v>459220</v>
      </c>
      <c r="X139">
        <f>INDEX(TCO!$B$2:$AQ$85,MATCH('Historical Shareweights'!$A139,TCO!$A$2:$A$85,0),MATCH('Historical Shareweights'!X133,TCO!$B$1:$AQ$1,0))</f>
        <v>459809</v>
      </c>
      <c r="Y139">
        <f>INDEX(TCO!$B$2:$AQ$85,MATCH('Historical Shareweights'!$A139,TCO!$A$2:$A$85,0),MATCH('Historical Shareweights'!Y133,TCO!$B$1:$AQ$1,0))</f>
        <v>460397</v>
      </c>
      <c r="Z139">
        <f>INDEX(TCO!$B$2:$AQ$85,MATCH('Historical Shareweights'!$A139,TCO!$A$2:$A$85,0),MATCH('Historical Shareweights'!Z133,TCO!$B$1:$AQ$1,0))</f>
        <v>460986</v>
      </c>
      <c r="AA139">
        <f>INDEX(TCO!$B$2:$AQ$85,MATCH('Historical Shareweights'!$A139,TCO!$A$2:$A$85,0),MATCH('Historical Shareweights'!AA133,TCO!$B$1:$AQ$1,0))</f>
        <v>460986</v>
      </c>
      <c r="AB139">
        <f>INDEX(TCO!$B$2:$AQ$85,MATCH('Historical Shareweights'!$A139,TCO!$A$2:$A$85,0),MATCH('Historical Shareweights'!AB133,TCO!$B$1:$AQ$1,0))</f>
        <v>461628</v>
      </c>
      <c r="AC139">
        <f>INDEX(TCO!$B$2:$AQ$85,MATCH('Historical Shareweights'!$A139,TCO!$A$2:$A$85,0),MATCH('Historical Shareweights'!AC133,TCO!$B$1:$AQ$1,0))</f>
        <v>462163</v>
      </c>
      <c r="AD139">
        <f>INDEX(TCO!$B$2:$AQ$85,MATCH('Historical Shareweights'!$A139,TCO!$A$2:$A$85,0),MATCH('Historical Shareweights'!AD133,TCO!$B$1:$AQ$1,0))</f>
        <v>463340</v>
      </c>
      <c r="AE139">
        <f>INDEX(TCO!$B$2:$AQ$85,MATCH('Historical Shareweights'!$A139,TCO!$A$2:$A$85,0),MATCH('Historical Shareweights'!AE133,TCO!$B$1:$AQ$1,0))</f>
        <v>463929</v>
      </c>
      <c r="AF139">
        <f>INDEX(TCO!$B$2:$AQ$85,MATCH('Historical Shareweights'!$A139,TCO!$A$2:$A$85,0),MATCH('Historical Shareweights'!AF133,TCO!$B$1:$AQ$1,0))</f>
        <v>464517</v>
      </c>
      <c r="AG139">
        <f>INDEX(TCO!$B$2:$AQ$85,MATCH('Historical Shareweights'!$A139,TCO!$A$2:$A$85,0),MATCH('Historical Shareweights'!AG133,TCO!$B$1:$AQ$1,0))</f>
        <v>465641</v>
      </c>
      <c r="AH139">
        <f>INDEX(TCO!$B$2:$AQ$85,MATCH('Historical Shareweights'!$A139,TCO!$A$2:$A$85,0),MATCH('Historical Shareweights'!AH133,TCO!$B$1:$AQ$1,0))</f>
        <v>465694</v>
      </c>
      <c r="AI139">
        <f>INDEX(TCO!$B$2:$AQ$85,MATCH('Historical Shareweights'!$A139,TCO!$A$2:$A$85,0),MATCH('Historical Shareweights'!AI133,TCO!$B$1:$AQ$1,0))</f>
        <v>466283</v>
      </c>
      <c r="AJ139">
        <f>INDEX(TCO!$B$2:$AQ$85,MATCH('Historical Shareweights'!$A139,TCO!$A$2:$A$85,0),MATCH('Historical Shareweights'!AJ133,TCO!$B$1:$AQ$1,0))</f>
        <v>467406</v>
      </c>
      <c r="AK139">
        <f>INDEX(TCO!$B$2:$AQ$85,MATCH('Historical Shareweights'!$A139,TCO!$A$2:$A$85,0),MATCH('Historical Shareweights'!AK133,TCO!$B$1:$AQ$1,0))</f>
        <v>467995</v>
      </c>
      <c r="AL139">
        <f>INDEX(TCO!$B$2:$AQ$85,MATCH('Historical Shareweights'!$A139,TCO!$A$2:$A$85,0),MATCH('Historical Shareweights'!AL133,TCO!$B$1:$AQ$1,0))</f>
        <v>468584</v>
      </c>
      <c r="AM139">
        <f>INDEX(TCO!$B$2:$AQ$85,MATCH('Historical Shareweights'!$A139,TCO!$A$2:$A$85,0),MATCH('Historical Shareweights'!AM133,TCO!$B$1:$AQ$1,0))</f>
        <v>469172</v>
      </c>
      <c r="AN139">
        <f>INDEX(TCO!$B$2:$AQ$85,MATCH('Historical Shareweights'!$A139,TCO!$A$2:$A$85,0),MATCH('Historical Shareweights'!AN133,TCO!$B$1:$AQ$1,0))</f>
        <v>469761</v>
      </c>
      <c r="AO139">
        <f>INDEX(TCO!$B$2:$AQ$85,MATCH('Historical Shareweights'!$A139,TCO!$A$2:$A$85,0),MATCH('Historical Shareweights'!AO133,TCO!$B$1:$AQ$1,0))</f>
        <v>470349</v>
      </c>
      <c r="AP139">
        <f>INDEX(TCO!$B$2:$AQ$85,MATCH('Historical Shareweights'!$A139,TCO!$A$2:$A$85,0),MATCH('Historical Shareweights'!AP133,TCO!$B$1:$AQ$1,0))</f>
        <v>471473</v>
      </c>
      <c r="AQ139">
        <f>INDEX(TCO!$B$2:$AQ$85,MATCH('Historical Shareweights'!$A139,TCO!$A$2:$A$85,0),MATCH('Historical Shareweights'!AQ133,TCO!$B$1:$AQ$1,0))</f>
        <v>472061</v>
      </c>
    </row>
    <row r="140" spans="1:43" outlineLevel="1" x14ac:dyDescent="0.15">
      <c r="A140" t="s">
        <v>1126</v>
      </c>
      <c r="B140">
        <f>INDEX(TCO!$B$2:$AQ$85,MATCH('Historical Shareweights'!$A140,TCO!$A$2:$A$85,0),MATCH('Historical Shareweights'!B133,TCO!$B$1:$AQ$1,0))</f>
        <v>791323</v>
      </c>
      <c r="C140">
        <f>INDEX(TCO!$B$2:$AQ$85,MATCH('Historical Shareweights'!$A140,TCO!$A$2:$A$85,0),MATCH('Historical Shareweights'!C133,TCO!$B$1:$AQ$1,0))</f>
        <v>791323</v>
      </c>
      <c r="D140">
        <f>INDEX(TCO!$B$2:$AQ$85,MATCH('Historical Shareweights'!$A140,TCO!$A$2:$A$85,0),MATCH('Historical Shareweights'!D133,TCO!$B$1:$AQ$1,0))</f>
        <v>786730</v>
      </c>
      <c r="E140">
        <f>INDEX(TCO!$B$2:$AQ$85,MATCH('Historical Shareweights'!$A140,TCO!$A$2:$A$85,0),MATCH('Historical Shareweights'!E133,TCO!$B$1:$AQ$1,0))</f>
        <v>756806</v>
      </c>
      <c r="F140">
        <f>INDEX(TCO!$B$2:$AQ$85,MATCH('Historical Shareweights'!$A140,TCO!$A$2:$A$85,0),MATCH('Historical Shareweights'!F133,TCO!$B$1:$AQ$1,0))</f>
        <v>750955</v>
      </c>
      <c r="G140">
        <f>INDEX(TCO!$B$2:$AQ$85,MATCH('Historical Shareweights'!$A140,TCO!$A$2:$A$85,0),MATCH('Historical Shareweights'!G133,TCO!$B$1:$AQ$1,0))</f>
        <v>742325</v>
      </c>
      <c r="H140">
        <f>INDEX(TCO!$B$2:$AQ$85,MATCH('Historical Shareweights'!$A140,TCO!$A$2:$A$85,0),MATCH('Historical Shareweights'!H133,TCO!$B$1:$AQ$1,0))</f>
        <v>734621</v>
      </c>
      <c r="I140">
        <f>INDEX(TCO!$B$2:$AQ$85,MATCH('Historical Shareweights'!$A140,TCO!$A$2:$A$85,0),MATCH('Historical Shareweights'!I133,TCO!$B$1:$AQ$1,0))</f>
        <v>729209</v>
      </c>
      <c r="J140">
        <f>INDEX(TCO!$B$2:$AQ$85,MATCH('Historical Shareweights'!$A140,TCO!$A$2:$A$85,0),MATCH('Historical Shareweights'!J133,TCO!$B$1:$AQ$1,0))</f>
        <v>724099</v>
      </c>
      <c r="K140">
        <f>INDEX(TCO!$B$2:$AQ$85,MATCH('Historical Shareweights'!$A140,TCO!$A$2:$A$85,0),MATCH('Historical Shareweights'!K133,TCO!$B$1:$AQ$1,0))</f>
        <v>719349</v>
      </c>
      <c r="L140">
        <f>INDEX(TCO!$B$2:$AQ$85,MATCH('Historical Shareweights'!$A140,TCO!$A$2:$A$85,0),MATCH('Historical Shareweights'!L133,TCO!$B$1:$AQ$1,0))</f>
        <v>714900</v>
      </c>
      <c r="M140">
        <f>INDEX(TCO!$B$2:$AQ$85,MATCH('Historical Shareweights'!$A140,TCO!$A$2:$A$85,0),MATCH('Historical Shareweights'!M133,TCO!$B$1:$AQ$1,0))</f>
        <v>710510</v>
      </c>
      <c r="N140">
        <f>INDEX(TCO!$B$2:$AQ$85,MATCH('Historical Shareweights'!$A140,TCO!$A$2:$A$85,0),MATCH('Historical Shareweights'!N133,TCO!$B$1:$AQ$1,0))</f>
        <v>706121</v>
      </c>
      <c r="O140">
        <f>INDEX(TCO!$B$2:$AQ$85,MATCH('Historical Shareweights'!$A140,TCO!$A$2:$A$85,0),MATCH('Historical Shareweights'!O133,TCO!$B$1:$AQ$1,0))</f>
        <v>702333</v>
      </c>
      <c r="P140">
        <f>INDEX(TCO!$B$2:$AQ$85,MATCH('Historical Shareweights'!$A140,TCO!$A$2:$A$85,0),MATCH('Historical Shareweights'!P133,TCO!$B$1:$AQ$1,0))</f>
        <v>698606</v>
      </c>
      <c r="Q140">
        <f>INDEX(TCO!$B$2:$AQ$85,MATCH('Historical Shareweights'!$A140,TCO!$A$2:$A$85,0),MATCH('Historical Shareweights'!Q133,TCO!$B$1:$AQ$1,0))</f>
        <v>694878</v>
      </c>
      <c r="R140">
        <f>INDEX(TCO!$B$2:$AQ$85,MATCH('Historical Shareweights'!$A140,TCO!$A$2:$A$85,0),MATCH('Historical Shareweights'!R133,TCO!$B$1:$AQ$1,0))</f>
        <v>691481</v>
      </c>
      <c r="S140">
        <f>INDEX(TCO!$B$2:$AQ$85,MATCH('Historical Shareweights'!$A140,TCO!$A$2:$A$85,0),MATCH('Historical Shareweights'!S133,TCO!$B$1:$AQ$1,0))</f>
        <v>688114</v>
      </c>
      <c r="T140">
        <f>INDEX(TCO!$B$2:$AQ$85,MATCH('Historical Shareweights'!$A140,TCO!$A$2:$A$85,0),MATCH('Historical Shareweights'!T133,TCO!$B$1:$AQ$1,0))</f>
        <v>685047</v>
      </c>
      <c r="U140">
        <f>INDEX(TCO!$B$2:$AQ$85,MATCH('Historical Shareweights'!$A140,TCO!$A$2:$A$85,0),MATCH('Historical Shareweights'!U133,TCO!$B$1:$AQ$1,0))</f>
        <v>681981</v>
      </c>
      <c r="V140">
        <f>INDEX(TCO!$B$2:$AQ$85,MATCH('Historical Shareweights'!$A140,TCO!$A$2:$A$85,0),MATCH('Historical Shareweights'!V133,TCO!$B$1:$AQ$1,0))</f>
        <v>679275</v>
      </c>
      <c r="W140">
        <f>INDEX(TCO!$B$2:$AQ$85,MATCH('Historical Shareweights'!$A140,TCO!$A$2:$A$85,0),MATCH('Historical Shareweights'!W133,TCO!$B$1:$AQ$1,0))</f>
        <v>676540</v>
      </c>
      <c r="X140">
        <f>INDEX(TCO!$B$2:$AQ$85,MATCH('Historical Shareweights'!$A140,TCO!$A$2:$A$85,0),MATCH('Historical Shareweights'!X133,TCO!$B$1:$AQ$1,0))</f>
        <v>674165</v>
      </c>
      <c r="Y140">
        <f>INDEX(TCO!$B$2:$AQ$85,MATCH('Historical Shareweights'!$A140,TCO!$A$2:$A$85,0),MATCH('Historical Shareweights'!Y133,TCO!$B$1:$AQ$1,0))</f>
        <v>671760</v>
      </c>
      <c r="Z140">
        <f>INDEX(TCO!$B$2:$AQ$85,MATCH('Historical Shareweights'!$A140,TCO!$A$2:$A$85,0),MATCH('Historical Shareweights'!Z133,TCO!$B$1:$AQ$1,0))</f>
        <v>669385</v>
      </c>
      <c r="AA140">
        <f>INDEX(TCO!$B$2:$AQ$85,MATCH('Historical Shareweights'!$A140,TCO!$A$2:$A$85,0),MATCH('Historical Shareweights'!AA133,TCO!$B$1:$AQ$1,0))</f>
        <v>667040</v>
      </c>
      <c r="AB140">
        <f>INDEX(TCO!$B$2:$AQ$85,MATCH('Historical Shareweights'!$A140,TCO!$A$2:$A$85,0),MATCH('Historical Shareweights'!AB133,TCO!$B$1:$AQ$1,0))</f>
        <v>664996</v>
      </c>
      <c r="AC140">
        <f>INDEX(TCO!$B$2:$AQ$85,MATCH('Historical Shareweights'!$A140,TCO!$A$2:$A$85,0),MATCH('Historical Shareweights'!AC133,TCO!$B$1:$AQ$1,0))</f>
        <v>662952</v>
      </c>
      <c r="AD140">
        <f>INDEX(TCO!$B$2:$AQ$85,MATCH('Historical Shareweights'!$A140,TCO!$A$2:$A$85,0),MATCH('Historical Shareweights'!AD133,TCO!$B$1:$AQ$1,0))</f>
        <v>661238</v>
      </c>
      <c r="AE140">
        <f>INDEX(TCO!$B$2:$AQ$85,MATCH('Historical Shareweights'!$A140,TCO!$A$2:$A$85,0),MATCH('Historical Shareweights'!AE133,TCO!$B$1:$AQ$1,0))</f>
        <v>659224</v>
      </c>
      <c r="AF140">
        <f>INDEX(TCO!$B$2:$AQ$85,MATCH('Historical Shareweights'!$A140,TCO!$A$2:$A$85,0),MATCH('Historical Shareweights'!AF133,TCO!$B$1:$AQ$1,0))</f>
        <v>657540</v>
      </c>
      <c r="AG140">
        <f>INDEX(TCO!$B$2:$AQ$85,MATCH('Historical Shareweights'!$A140,TCO!$A$2:$A$85,0),MATCH('Historical Shareweights'!AG133,TCO!$B$1:$AQ$1,0))</f>
        <v>655917</v>
      </c>
      <c r="AH140">
        <f>INDEX(TCO!$B$2:$AQ$85,MATCH('Historical Shareweights'!$A140,TCO!$A$2:$A$85,0),MATCH('Historical Shareweights'!AH133,TCO!$B$1:$AQ$1,0))</f>
        <v>654354</v>
      </c>
      <c r="AI140">
        <f>INDEX(TCO!$B$2:$AQ$85,MATCH('Historical Shareweights'!$A140,TCO!$A$2:$A$85,0),MATCH('Historical Shareweights'!AI133,TCO!$B$1:$AQ$1,0))</f>
        <v>652880</v>
      </c>
      <c r="AJ140">
        <f>INDEX(TCO!$B$2:$AQ$85,MATCH('Historical Shareweights'!$A140,TCO!$A$2:$A$85,0),MATCH('Historical Shareweights'!AJ133,TCO!$B$1:$AQ$1,0))</f>
        <v>651468</v>
      </c>
      <c r="AK140">
        <f>INDEX(TCO!$B$2:$AQ$85,MATCH('Historical Shareweights'!$A140,TCO!$A$2:$A$85,0),MATCH('Historical Shareweights'!AK133,TCO!$B$1:$AQ$1,0))</f>
        <v>650115</v>
      </c>
      <c r="AL140">
        <f>INDEX(TCO!$B$2:$AQ$85,MATCH('Historical Shareweights'!$A140,TCO!$A$2:$A$85,0),MATCH('Historical Shareweights'!AL133,TCO!$B$1:$AQ$1,0))</f>
        <v>648822</v>
      </c>
      <c r="AM140">
        <f>INDEX(TCO!$B$2:$AQ$85,MATCH('Historical Shareweights'!$A140,TCO!$A$2:$A$85,0),MATCH('Historical Shareweights'!AM133,TCO!$B$1:$AQ$1,0))</f>
        <v>647598</v>
      </c>
      <c r="AN140">
        <f>INDEX(TCO!$B$2:$AQ$85,MATCH('Historical Shareweights'!$A140,TCO!$A$2:$A$85,0),MATCH('Historical Shareweights'!AN133,TCO!$B$1:$AQ$1,0))</f>
        <v>646444</v>
      </c>
      <c r="AO140">
        <f>INDEX(TCO!$B$2:$AQ$85,MATCH('Historical Shareweights'!$A140,TCO!$A$2:$A$85,0),MATCH('Historical Shareweights'!AO133,TCO!$B$1:$AQ$1,0))</f>
        <v>645323</v>
      </c>
      <c r="AP140">
        <f>INDEX(TCO!$B$2:$AQ$85,MATCH('Historical Shareweights'!$A140,TCO!$A$2:$A$85,0),MATCH('Historical Shareweights'!AP133,TCO!$B$1:$AQ$1,0))</f>
        <v>644271</v>
      </c>
      <c r="AQ140">
        <f>INDEX(TCO!$B$2:$AQ$85,MATCH('Historical Shareweights'!$A140,TCO!$A$2:$A$85,0),MATCH('Historical Shareweights'!AQ133,TCO!$B$1:$AQ$1,0))</f>
        <v>643252</v>
      </c>
    </row>
    <row r="141" spans="1:43" ht="13.6" outlineLevel="1" thickBot="1" x14ac:dyDescent="0.2"/>
    <row r="142" spans="1:43" ht="13.6" outlineLevel="1" thickBot="1" x14ac:dyDescent="0.2">
      <c r="A142" s="1" t="s">
        <v>1101</v>
      </c>
      <c r="B142" s="175">
        <v>2019</v>
      </c>
      <c r="I142" s="1" t="s">
        <v>1101</v>
      </c>
      <c r="J142" s="175">
        <v>2020</v>
      </c>
    </row>
    <row r="143" spans="1:43" outlineLevel="1" x14ac:dyDescent="0.15"/>
    <row r="144" spans="1:43" outlineLevel="1" x14ac:dyDescent="0.15">
      <c r="A144" s="1" t="s">
        <v>1102</v>
      </c>
      <c r="I144" s="1" t="s">
        <v>1102</v>
      </c>
    </row>
    <row r="145" spans="1:15" outlineLevel="1" x14ac:dyDescent="0.15">
      <c r="B145" t="s">
        <v>1103</v>
      </c>
      <c r="C145" t="s">
        <v>1104</v>
      </c>
      <c r="D145" t="s">
        <v>1105</v>
      </c>
      <c r="E145" t="s">
        <v>1106</v>
      </c>
      <c r="F145" t="s">
        <v>1107</v>
      </c>
      <c r="G145" t="s">
        <v>1108</v>
      </c>
      <c r="J145" t="s">
        <v>1103</v>
      </c>
      <c r="K145" t="s">
        <v>1104</v>
      </c>
      <c r="L145" t="s">
        <v>1105</v>
      </c>
      <c r="M145" t="s">
        <v>1106</v>
      </c>
      <c r="N145" t="s">
        <v>1107</v>
      </c>
      <c r="O145" t="s">
        <v>1108</v>
      </c>
    </row>
    <row r="146" spans="1:15" outlineLevel="1" x14ac:dyDescent="0.15">
      <c r="A146" t="s">
        <v>1084</v>
      </c>
      <c r="B146" s="179">
        <v>0.65449999999999997</v>
      </c>
      <c r="C146" cm="1">
        <f t="array" ref="C146">INDEX($B134:$AQ134,,MATCH($B142,$B133:$AQ133,0))/10^6</f>
        <v>0.44292300000000001</v>
      </c>
      <c r="D146" s="176">
        <f>B146*EXP(C146*$B130)</f>
        <v>0.17331358528175955</v>
      </c>
      <c r="E146" s="193">
        <f>D146/SUM($D146:$D152)</f>
        <v>0.43743568229643093</v>
      </c>
      <c r="F146" s="32">
        <f>INDEX($B121:$G127,MATCH(A146,$A121:$A127,0),MATCH($B142,$B120:$G120,0))</f>
        <v>0.43749962150344884</v>
      </c>
      <c r="G146" s="178">
        <f>ABS(F146-E146)</f>
        <v>6.3939207017915667E-5</v>
      </c>
      <c r="I146" t="s">
        <v>1084</v>
      </c>
      <c r="J146" s="179">
        <v>0.75700000000000001</v>
      </c>
      <c r="K146" cm="1">
        <f t="array" ref="K146">INDEX($B134:$AQ134,,MATCH($J$142,$B$133:$AQ$133,0))/10^6</f>
        <v>0.44292300000000001</v>
      </c>
      <c r="L146" s="176">
        <f>J146*EXP(K146*$B130)</f>
        <v>0.20045589619295948</v>
      </c>
      <c r="M146" s="193">
        <f>L146/SUM($L$146:$L$152)</f>
        <v>0.51972428926749803</v>
      </c>
      <c r="N146" s="32">
        <f>INDEX($B$121:$G$127,MATCH(I146,$A$121:$A$127,0),MATCH($J$142,$B$120:$G$120,0))</f>
        <v>0.51950070654733871</v>
      </c>
      <c r="O146" s="178">
        <f>ABS(N146-M146)</f>
        <v>2.2358272015932101E-4</v>
      </c>
    </row>
    <row r="147" spans="1:15" outlineLevel="1" x14ac:dyDescent="0.15">
      <c r="A147" t="s">
        <v>1086</v>
      </c>
      <c r="B147" s="179">
        <v>2.4199999999999999E-2</v>
      </c>
      <c r="C147" cm="1">
        <f t="array" ref="C147">INDEX($B135:$AQ135,,MATCH($B142,$B133:$AQ133,0))/10^6</f>
        <v>0.52482399999999996</v>
      </c>
      <c r="D147" s="176">
        <f>B147*EXP(C147*$B130)</f>
        <v>5.0122285330077114E-3</v>
      </c>
      <c r="E147" s="193">
        <f>D147/SUM($D146:$D152)</f>
        <v>1.2650639040196582E-2</v>
      </c>
      <c r="F147" s="32">
        <f>INDEX($B121:$G127,MATCH(A147,$A121:$A127,0),MATCH($B142,$B120:$G120,0))</f>
        <v>1.2608477111556559E-2</v>
      </c>
      <c r="G147" s="178">
        <f t="shared" ref="G147:G152" si="29">ABS(F147-E147)</f>
        <v>4.2161928640023147E-5</v>
      </c>
      <c r="I147" t="s">
        <v>1086</v>
      </c>
      <c r="J147" s="179">
        <v>1.6E-2</v>
      </c>
      <c r="K147" cm="1">
        <f t="array" ref="K147">INDEX($B135:$AQ135,,MATCH($J$142,$B$133:$AQ$133,0))/10^6</f>
        <v>0.52482399999999996</v>
      </c>
      <c r="L147" s="176">
        <f>J147*EXP(K147*$B130)</f>
        <v>3.3138701044679083E-3</v>
      </c>
      <c r="M147" s="193">
        <f t="shared" ref="M147:M152" si="30">L147/SUM($L$146:$L$152)</f>
        <v>8.5919088312149377E-3</v>
      </c>
      <c r="N147" s="32">
        <f t="shared" ref="N147:N152" si="31">INDEX($B$121:$G$127,MATCH(I147,$A$121:$A$127,0),MATCH($J$142,$B$120:$G$120,0))</f>
        <v>8.6198775317946306E-3</v>
      </c>
      <c r="O147" s="178">
        <f t="shared" ref="O147:O152" si="32">ABS(N147-M147)</f>
        <v>2.7968700579692959E-5</v>
      </c>
    </row>
    <row r="148" spans="1:15" outlineLevel="1" x14ac:dyDescent="0.15">
      <c r="A148" t="s">
        <v>1088</v>
      </c>
      <c r="B148" s="179">
        <v>0.11</v>
      </c>
      <c r="C148" cm="1">
        <f t="array" ref="C148">INDEX($B136:$AQ136,,MATCH($B142,$B133:$AQ133,0))/10^6</f>
        <v>0.36412899999999998</v>
      </c>
      <c r="D148" s="176">
        <f>B148*EXP(C148*$B130)</f>
        <v>3.6895639221819911E-2</v>
      </c>
      <c r="E148" s="193">
        <f>D148/SUM($D146:$D152)</f>
        <v>9.3122931422377972E-2</v>
      </c>
      <c r="F148" s="32">
        <f>INDEX($B121:$G127,MATCH(A148,$A121:$A127,0),MATCH($B142,$B120:$G120,0))</f>
        <v>9.2686235443022638E-2</v>
      </c>
      <c r="G148" s="178">
        <f t="shared" si="29"/>
        <v>4.3669597935533377E-4</v>
      </c>
      <c r="I148" t="s">
        <v>1088</v>
      </c>
      <c r="J148" s="179">
        <v>8.5999999999999993E-2</v>
      </c>
      <c r="K148" cm="1">
        <f t="array" ref="K148">INDEX($B136:$AQ136,,MATCH($J$142,$B$133:$AQ$133,0))/10^6</f>
        <v>0.36412899999999998</v>
      </c>
      <c r="L148" s="176">
        <f>J148*EXP(K148*$B130)</f>
        <v>2.8845681573422835E-2</v>
      </c>
      <c r="M148" s="193">
        <f t="shared" si="30"/>
        <v>7.478852774553757E-2</v>
      </c>
      <c r="N148" s="32">
        <f t="shared" si="31"/>
        <v>7.4884597268016953E-2</v>
      </c>
      <c r="O148" s="178">
        <f t="shared" si="32"/>
        <v>9.6069522479383385E-5</v>
      </c>
    </row>
    <row r="149" spans="1:15" outlineLevel="1" x14ac:dyDescent="0.15">
      <c r="A149" t="s">
        <v>408</v>
      </c>
      <c r="B149" s="179">
        <v>0.60499999999999998</v>
      </c>
      <c r="C149" cm="1">
        <f t="array" ref="C149">INDEX($B137:$AQ137,,MATCH($B142,$B133:$AQ133,0))/10^6</f>
        <v>0.427259</v>
      </c>
      <c r="D149" s="176">
        <f>B149*EXP(C149*$B130)</f>
        <v>0.16791391847062997</v>
      </c>
      <c r="E149" s="193">
        <f>D149/SUM($D146:$D152)</f>
        <v>0.423807166494511</v>
      </c>
      <c r="F149" s="32">
        <f>INDEX($B121:$G127,MATCH(A149,$A121:$A127,0),MATCH($B142,$B120:$G120,0))</f>
        <v>0.42403725617252175</v>
      </c>
      <c r="G149" s="178">
        <f t="shared" si="29"/>
        <v>2.3008967801074753E-4</v>
      </c>
      <c r="I149" t="s">
        <v>408</v>
      </c>
      <c r="J149" s="179">
        <v>0.46800000000000003</v>
      </c>
      <c r="K149" cm="1">
        <f t="array" ref="K149">INDEX($B137:$AQ137,,MATCH($J$142,$B$133:$AQ$133,0))/10^6</f>
        <v>0.427259</v>
      </c>
      <c r="L149" s="176">
        <f>J149*EXP(K149*$B130)</f>
        <v>0.12989043610620635</v>
      </c>
      <c r="M149" s="193">
        <f t="shared" si="30"/>
        <v>0.33676841574647826</v>
      </c>
      <c r="N149" s="32">
        <f t="shared" si="31"/>
        <v>0.33670277908619878</v>
      </c>
      <c r="O149" s="178">
        <f t="shared" si="32"/>
        <v>6.5636660279477788E-5</v>
      </c>
    </row>
    <row r="150" spans="1:15" outlineLevel="1" x14ac:dyDescent="0.15">
      <c r="A150" t="s">
        <v>1089</v>
      </c>
      <c r="B150" s="179">
        <v>5.8000000000000003E-2</v>
      </c>
      <c r="C150" cm="1">
        <f t="array" ref="C150">INDEX($B138:$AQ138,,MATCH($B142,$B133:$AQ133,0))/10^6</f>
        <v>0.57691300000000001</v>
      </c>
      <c r="D150" s="176">
        <f>B150*EXP(C150*$B130)</f>
        <v>1.0274899820924709E-2</v>
      </c>
      <c r="E150" s="193">
        <f>D150/SUM($D146:$D152)</f>
        <v>2.5933384312526321E-2</v>
      </c>
      <c r="F150" s="32">
        <f>INDEX($B121:$G127,MATCH(A150,$A121:$A127,0),MATCH($B142,$B120:$G120,0))</f>
        <v>2.604661866321074E-2</v>
      </c>
      <c r="G150" s="178">
        <f t="shared" si="29"/>
        <v>1.1323435068441925E-4</v>
      </c>
      <c r="I150" t="s">
        <v>1089</v>
      </c>
      <c r="J150" s="179">
        <v>0.10199999999999999</v>
      </c>
      <c r="K150" cm="1">
        <f t="array" ref="K150">INDEX($B138:$AQ138,,MATCH($J$142,$B$133:$AQ$133,0))/10^6</f>
        <v>0.57691300000000001</v>
      </c>
      <c r="L150" s="176">
        <f>J150*EXP(K150*$B130)</f>
        <v>1.8069651409212416E-2</v>
      </c>
      <c r="M150" s="193">
        <f t="shared" si="30"/>
        <v>4.6849391383949786E-2</v>
      </c>
      <c r="N150" s="32">
        <f t="shared" si="31"/>
        <v>4.7564766839378235E-2</v>
      </c>
      <c r="O150" s="178">
        <f t="shared" si="32"/>
        <v>7.1537545542844916E-4</v>
      </c>
    </row>
    <row r="151" spans="1:15" outlineLevel="1" x14ac:dyDescent="0.15">
      <c r="A151" t="s">
        <v>1090</v>
      </c>
      <c r="B151" s="179">
        <v>0</v>
      </c>
      <c r="C151" cm="1">
        <f t="array" ref="C151">INDEX($B139:$AQ139,,MATCH($B142,$B133:$AQ133,0))/10^6</f>
        <v>0.42358699999999999</v>
      </c>
      <c r="D151" s="176">
        <f>B151*EXP(C151*$B130)</f>
        <v>0</v>
      </c>
      <c r="E151" s="193">
        <f>D151/SUM($D146:$D152)</f>
        <v>0</v>
      </c>
      <c r="F151" s="32">
        <f>INDEX($B121:$G127,MATCH(A151,$A121:$A127,0),MATCH($B142,$B120:$G120,0))</f>
        <v>0</v>
      </c>
      <c r="G151" s="178">
        <f t="shared" si="29"/>
        <v>0</v>
      </c>
      <c r="I151" t="s">
        <v>1090</v>
      </c>
      <c r="J151" s="179">
        <v>0</v>
      </c>
      <c r="K151" cm="1">
        <f t="array" ref="K151">INDEX($B139:$AQ139,,MATCH($J$142,$B$133:$AQ$133,0))/10^6</f>
        <v>0.42358699999999999</v>
      </c>
      <c r="L151" s="176">
        <f>J151*EXP(K151*$B130)</f>
        <v>0</v>
      </c>
      <c r="M151" s="193">
        <f t="shared" si="30"/>
        <v>0</v>
      </c>
      <c r="N151" s="32">
        <f t="shared" si="31"/>
        <v>0</v>
      </c>
      <c r="O151" s="178">
        <f t="shared" si="32"/>
        <v>0</v>
      </c>
    </row>
    <row r="152" spans="1:15" outlineLevel="1" x14ac:dyDescent="0.15">
      <c r="A152" t="s">
        <v>1091</v>
      </c>
      <c r="B152" s="179">
        <v>0.03</v>
      </c>
      <c r="C152" cm="1">
        <f t="array" ref="C152">INDEX($B140:$AQ140,,MATCH($B142,$B133:$AQ133,0))/10^6</f>
        <v>0.791323</v>
      </c>
      <c r="D152" s="176">
        <f>B152*EXP(C152*$B130)</f>
        <v>2.7933130980426183E-3</v>
      </c>
      <c r="E152" s="193">
        <f>D152/SUM($D146:$D152)</f>
        <v>7.0501964339573829E-3</v>
      </c>
      <c r="F152" s="32">
        <f>INDEX($B121:$G127,MATCH(A152,$A121:$A127,0),MATCH($B142,$B120:$G120,0))</f>
        <v>7.1217911062394397E-3</v>
      </c>
      <c r="G152" s="178">
        <f t="shared" si="29"/>
        <v>7.1594672282056758E-5</v>
      </c>
      <c r="I152" t="s">
        <v>1091</v>
      </c>
      <c r="J152" s="179">
        <v>5.5E-2</v>
      </c>
      <c r="K152" cm="1">
        <f t="array" ref="K152">INDEX($B140:$AQ140,,MATCH($J$142,$B$133:$AQ$133,0))/10^6</f>
        <v>0.791323</v>
      </c>
      <c r="L152" s="176">
        <f>J152*EXP(K152*$B130)</f>
        <v>5.1210740130781338E-3</v>
      </c>
      <c r="M152" s="193">
        <f t="shared" si="30"/>
        <v>1.3277467025321491E-2</v>
      </c>
      <c r="N152" s="32">
        <f t="shared" si="31"/>
        <v>1.2727272727272728E-2</v>
      </c>
      <c r="O152" s="178">
        <f t="shared" si="32"/>
        <v>5.5019429804876313E-4</v>
      </c>
    </row>
    <row r="153" spans="1:15" outlineLevel="1" x14ac:dyDescent="0.15">
      <c r="G153" s="178"/>
      <c r="O153" s="178"/>
    </row>
    <row r="154" spans="1:15" outlineLevel="1" x14ac:dyDescent="0.15">
      <c r="F154" s="1" t="s">
        <v>1109</v>
      </c>
      <c r="G154" s="179">
        <f>SUM(G146:G152)</f>
        <v>9.5771581599049613E-4</v>
      </c>
      <c r="N154" s="1" t="s">
        <v>1109</v>
      </c>
      <c r="O154" s="179">
        <f>SUM(O146:O152)</f>
        <v>1.6788273569750874E-3</v>
      </c>
    </row>
    <row r="155" spans="1:15" outlineLevel="1" x14ac:dyDescent="0.15"/>
    <row r="156" spans="1:15" outlineLevel="1" x14ac:dyDescent="0.15">
      <c r="A156" s="1" t="s">
        <v>1110</v>
      </c>
      <c r="B156">
        <v>2019</v>
      </c>
      <c r="C156">
        <v>2020</v>
      </c>
      <c r="D156">
        <v>2021</v>
      </c>
      <c r="E156">
        <v>2022</v>
      </c>
      <c r="F156">
        <v>2023</v>
      </c>
      <c r="G156">
        <v>2024</v>
      </c>
    </row>
    <row r="157" spans="1:15" outlineLevel="1" x14ac:dyDescent="0.15">
      <c r="A157" t="s">
        <v>1084</v>
      </c>
      <c r="B157" s="179">
        <v>0.60079391612072108</v>
      </c>
      <c r="C157" s="179">
        <v>0.44283289403661263</v>
      </c>
      <c r="D157" s="179">
        <v>0.42441769394501561</v>
      </c>
      <c r="E157" s="179">
        <v>0.38679562180743476</v>
      </c>
      <c r="F157" s="179">
        <v>0.40381581488291995</v>
      </c>
      <c r="G157">
        <v>0.42429403724140857</v>
      </c>
    </row>
    <row r="158" spans="1:15" outlineLevel="1" x14ac:dyDescent="0.15">
      <c r="A158" t="s">
        <v>1086</v>
      </c>
      <c r="B158" s="179">
        <v>4.6943255750043815E-2</v>
      </c>
      <c r="C158" s="179">
        <v>7.7539380350500633E-2</v>
      </c>
      <c r="D158" s="179">
        <v>4.1957542030258775E-2</v>
      </c>
      <c r="E158" s="179">
        <v>4.444508460659042E-2</v>
      </c>
      <c r="F158" s="179">
        <v>4.2195825254614551E-2</v>
      </c>
      <c r="G158">
        <v>4.0748546815527205E-2</v>
      </c>
    </row>
    <row r="159" spans="1:15" outlineLevel="1" x14ac:dyDescent="0.15">
      <c r="A159" t="s">
        <v>1088</v>
      </c>
      <c r="B159" s="179">
        <v>0</v>
      </c>
      <c r="C159" s="179">
        <v>0</v>
      </c>
      <c r="D159" s="179">
        <v>0</v>
      </c>
      <c r="E159" s="179">
        <v>0</v>
      </c>
      <c r="F159" s="179">
        <v>0</v>
      </c>
      <c r="G159">
        <v>0</v>
      </c>
    </row>
    <row r="160" spans="1:15" outlineLevel="1" x14ac:dyDescent="0.15">
      <c r="A160" t="s">
        <v>408</v>
      </c>
      <c r="B160" s="179">
        <v>0.78804934105577507</v>
      </c>
      <c r="C160" s="179">
        <v>0.57633788590575719</v>
      </c>
      <c r="D160" s="179">
        <v>0.69783100333403492</v>
      </c>
      <c r="E160" s="179">
        <v>0.71783936692570283</v>
      </c>
      <c r="F160" s="179">
        <v>0.6545029664396449</v>
      </c>
      <c r="G160">
        <v>0.59835166544486351</v>
      </c>
    </row>
    <row r="161" spans="1:16" outlineLevel="1" x14ac:dyDescent="0.15">
      <c r="A161" t="s">
        <v>1089</v>
      </c>
      <c r="B161" s="179">
        <v>0</v>
      </c>
      <c r="C161" s="179">
        <v>0</v>
      </c>
      <c r="D161" s="179">
        <v>0</v>
      </c>
      <c r="E161" s="179">
        <v>0</v>
      </c>
      <c r="F161" s="179">
        <v>0</v>
      </c>
      <c r="G161">
        <v>0</v>
      </c>
    </row>
    <row r="162" spans="1:16" outlineLevel="1" x14ac:dyDescent="0.15">
      <c r="A162" t="s">
        <v>1090</v>
      </c>
      <c r="B162" s="179">
        <v>0</v>
      </c>
      <c r="C162" s="179">
        <v>0</v>
      </c>
      <c r="D162" s="179">
        <v>0</v>
      </c>
      <c r="E162" s="179">
        <v>0</v>
      </c>
      <c r="F162" s="179">
        <v>0</v>
      </c>
      <c r="G162">
        <v>0</v>
      </c>
    </row>
    <row r="163" spans="1:16" outlineLevel="1" x14ac:dyDescent="0.15">
      <c r="A163" t="s">
        <v>1091</v>
      </c>
      <c r="B163" s="179">
        <v>0</v>
      </c>
      <c r="C163" s="179">
        <v>0</v>
      </c>
      <c r="D163" s="179">
        <v>0</v>
      </c>
      <c r="E163" s="179">
        <v>0</v>
      </c>
      <c r="F163" s="179">
        <v>0</v>
      </c>
      <c r="G163">
        <v>0</v>
      </c>
    </row>
    <row r="165" spans="1:16" s="170" customFormat="1" x14ac:dyDescent="0.15">
      <c r="A165" s="169" t="s">
        <v>1127</v>
      </c>
    </row>
    <row r="166" spans="1:16" outlineLevel="1" x14ac:dyDescent="0.15">
      <c r="A166" s="1"/>
      <c r="J166" t="s">
        <v>1389</v>
      </c>
    </row>
    <row r="167" spans="1:16" outlineLevel="1" x14ac:dyDescent="0.15">
      <c r="A167" s="1" t="s">
        <v>1082</v>
      </c>
      <c r="B167" s="1">
        <v>2019</v>
      </c>
      <c r="C167" s="1">
        <v>2020</v>
      </c>
      <c r="D167" s="1">
        <v>2021</v>
      </c>
      <c r="E167" s="1">
        <v>2022</v>
      </c>
      <c r="F167" s="1">
        <v>2023</v>
      </c>
      <c r="G167" s="1">
        <v>2024</v>
      </c>
      <c r="H167" s="1">
        <v>2025</v>
      </c>
      <c r="J167" s="1">
        <v>2019</v>
      </c>
      <c r="K167" s="1">
        <v>2020</v>
      </c>
      <c r="L167" s="1">
        <v>2021</v>
      </c>
      <c r="M167" s="1">
        <v>2022</v>
      </c>
      <c r="N167" s="1">
        <v>2023</v>
      </c>
      <c r="O167" s="1">
        <v>2024</v>
      </c>
      <c r="P167" s="1">
        <v>2025</v>
      </c>
    </row>
    <row r="168" spans="1:16" outlineLevel="1" x14ac:dyDescent="0.15">
      <c r="A168" t="s">
        <v>1084</v>
      </c>
      <c r="B168" s="193">
        <f>J168/SUM(J$168:J$174)</f>
        <v>4.7109431052084292E-3</v>
      </c>
      <c r="C168" s="193">
        <f t="shared" ref="C168:H174" si="33">K168/SUM(K$168:K$174)</f>
        <v>2.4510315378777083E-3</v>
      </c>
      <c r="D168" s="193">
        <f t="shared" si="33"/>
        <v>7.2280957173105056E-3</v>
      </c>
      <c r="E168" s="191">
        <f t="shared" si="33"/>
        <v>4.456292700434196E-2</v>
      </c>
      <c r="F168" s="171">
        <f t="shared" si="33"/>
        <v>4.7858281168706295E-2</v>
      </c>
      <c r="G168" s="171">
        <f t="shared" si="33"/>
        <v>0.12226863833374318</v>
      </c>
      <c r="H168" s="171">
        <f t="shared" si="33"/>
        <v>0.27053198099731895</v>
      </c>
      <c r="J168" s="189">
        <v>5962</v>
      </c>
      <c r="K168" s="202">
        <v>4111</v>
      </c>
      <c r="L168" s="189">
        <v>10982</v>
      </c>
      <c r="M168" s="189">
        <v>24088</v>
      </c>
      <c r="N168" s="202">
        <v>32103</v>
      </c>
      <c r="O168">
        <v>78385.329519999999</v>
      </c>
      <c r="P168" s="189">
        <v>218559</v>
      </c>
    </row>
    <row r="169" spans="1:16" outlineLevel="1" x14ac:dyDescent="0.15">
      <c r="A169" t="s">
        <v>1086</v>
      </c>
      <c r="B169" s="193">
        <f t="shared" ref="B169:B174" si="34">J169/SUM(J$168:J$174)</f>
        <v>9.1818351343748716E-2</v>
      </c>
      <c r="C169" s="193">
        <f t="shared" si="33"/>
        <v>8.5156502924722752E-2</v>
      </c>
      <c r="D169" s="171">
        <f t="shared" si="33"/>
        <v>3.9226668790383251E-2</v>
      </c>
      <c r="E169" s="191">
        <f t="shared" si="33"/>
        <v>6.9534298172749795E-2</v>
      </c>
      <c r="F169" s="171">
        <f t="shared" si="33"/>
        <v>0.22664667043335276</v>
      </c>
      <c r="G169" s="171">
        <f t="shared" si="33"/>
        <v>0.2735594650293276</v>
      </c>
      <c r="H169" s="171">
        <f t="shared" si="33"/>
        <v>0.22747268797825435</v>
      </c>
      <c r="J169" s="189">
        <v>116202</v>
      </c>
      <c r="K169">
        <v>142829</v>
      </c>
      <c r="L169">
        <v>59599</v>
      </c>
      <c r="M169">
        <v>37586</v>
      </c>
      <c r="N169" s="202">
        <v>152033</v>
      </c>
      <c r="O169">
        <v>175376.52420000001</v>
      </c>
      <c r="P169">
        <v>183772</v>
      </c>
    </row>
    <row r="170" spans="1:16" outlineLevel="1" x14ac:dyDescent="0.15">
      <c r="A170" t="s">
        <v>1088</v>
      </c>
      <c r="B170" s="193">
        <f t="shared" si="34"/>
        <v>2.3704846218760963E-5</v>
      </c>
      <c r="C170" s="193">
        <f t="shared" si="33"/>
        <v>2.6233370874876956E-5</v>
      </c>
      <c r="D170" s="171">
        <f t="shared" si="33"/>
        <v>2.6327065078530344E-6</v>
      </c>
      <c r="E170" s="191">
        <f t="shared" si="33"/>
        <v>2.9600084360240427E-5</v>
      </c>
      <c r="F170" s="171">
        <f t="shared" si="33"/>
        <v>7.4538643068726123E-6</v>
      </c>
      <c r="G170" s="171">
        <f t="shared" si="33"/>
        <v>7.8960091981556245E-6</v>
      </c>
      <c r="H170" s="171">
        <f t="shared" si="33"/>
        <v>1.2377984022498224E-6</v>
      </c>
      <c r="J170" s="189">
        <v>30</v>
      </c>
      <c r="K170" s="202">
        <v>44</v>
      </c>
      <c r="L170">
        <v>4</v>
      </c>
      <c r="M170" s="189">
        <v>16</v>
      </c>
      <c r="N170" s="202">
        <v>5</v>
      </c>
      <c r="O170">
        <v>5.0620608139999996</v>
      </c>
      <c r="P170">
        <v>1</v>
      </c>
    </row>
    <row r="171" spans="1:16" outlineLevel="1" x14ac:dyDescent="0.15">
      <c r="A171" t="s">
        <v>408</v>
      </c>
      <c r="B171" s="193">
        <f t="shared" si="34"/>
        <v>0.90185561536200465</v>
      </c>
      <c r="C171" s="193">
        <f t="shared" si="33"/>
        <v>0.91225831761815301</v>
      </c>
      <c r="D171" s="171">
        <f t="shared" si="33"/>
        <v>0.95297130547359432</v>
      </c>
      <c r="E171" s="191">
        <f t="shared" si="33"/>
        <v>0.88073941010731882</v>
      </c>
      <c r="F171" s="171">
        <f t="shared" si="33"/>
        <v>0.71944847367220588</v>
      </c>
      <c r="G171" s="171">
        <f t="shared" si="33"/>
        <v>0.59484125371694097</v>
      </c>
      <c r="H171" s="171">
        <f t="shared" si="33"/>
        <v>0.49094179129233578</v>
      </c>
      <c r="J171" s="189">
        <v>1141356</v>
      </c>
      <c r="K171" s="202">
        <v>1530088</v>
      </c>
      <c r="L171" s="189">
        <v>1447896</v>
      </c>
      <c r="M171" s="189">
        <v>476074</v>
      </c>
      <c r="N171" s="202">
        <v>482601</v>
      </c>
      <c r="O171">
        <v>381347.40289999999</v>
      </c>
      <c r="P171" s="189">
        <v>396625</v>
      </c>
    </row>
    <row r="172" spans="1:16" outlineLevel="1" x14ac:dyDescent="0.15">
      <c r="A172" t="s">
        <v>1089</v>
      </c>
      <c r="B172" s="193">
        <f t="shared" si="34"/>
        <v>0</v>
      </c>
      <c r="C172" s="193">
        <f t="shared" si="33"/>
        <v>2.0867454105015762E-5</v>
      </c>
      <c r="D172" s="171">
        <f t="shared" si="33"/>
        <v>2.8301594959420118E-5</v>
      </c>
      <c r="E172" s="191">
        <f t="shared" si="33"/>
        <v>1.1470032689593165E-4</v>
      </c>
      <c r="F172" s="171">
        <f t="shared" si="33"/>
        <v>4.7257499705572359E-4</v>
      </c>
      <c r="G172" s="171">
        <f t="shared" si="33"/>
        <v>1.2759498080757948E-3</v>
      </c>
      <c r="H172" s="171">
        <f t="shared" si="33"/>
        <v>2.7739062194418519E-3</v>
      </c>
      <c r="J172" s="189">
        <v>0</v>
      </c>
      <c r="K172">
        <v>35</v>
      </c>
      <c r="L172">
        <v>43</v>
      </c>
      <c r="M172">
        <v>62</v>
      </c>
      <c r="N172">
        <v>317</v>
      </c>
      <c r="O172" s="189">
        <v>818</v>
      </c>
      <c r="P172">
        <v>2241</v>
      </c>
    </row>
    <row r="173" spans="1:16" outlineLevel="1" x14ac:dyDescent="0.15">
      <c r="A173" t="s">
        <v>1090</v>
      </c>
      <c r="B173" s="193">
        <f t="shared" si="34"/>
        <v>0</v>
      </c>
      <c r="C173" s="193">
        <f t="shared" si="33"/>
        <v>0</v>
      </c>
      <c r="D173" s="171">
        <f t="shared" si="33"/>
        <v>0</v>
      </c>
      <c r="E173" s="191">
        <f t="shared" si="33"/>
        <v>0</v>
      </c>
      <c r="F173" s="171">
        <f t="shared" si="33"/>
        <v>0</v>
      </c>
      <c r="G173" s="171">
        <f t="shared" si="33"/>
        <v>1.1909355712571362E-3</v>
      </c>
      <c r="H173" s="171">
        <f t="shared" si="33"/>
        <v>0</v>
      </c>
      <c r="J173" s="189">
        <v>0</v>
      </c>
      <c r="K173">
        <v>0</v>
      </c>
      <c r="L173">
        <v>0</v>
      </c>
      <c r="M173" s="189">
        <v>0</v>
      </c>
      <c r="N173" s="189">
        <v>0</v>
      </c>
      <c r="O173">
        <v>763.49813380000001</v>
      </c>
      <c r="P173">
        <v>0</v>
      </c>
    </row>
    <row r="174" spans="1:16" outlineLevel="1" x14ac:dyDescent="0.15">
      <c r="A174" t="s">
        <v>1091</v>
      </c>
      <c r="B174" s="194">
        <f t="shared" si="34"/>
        <v>1.591385342819486E-3</v>
      </c>
      <c r="C174" s="194">
        <f t="shared" si="33"/>
        <v>8.7047094266637175E-5</v>
      </c>
      <c r="D174" s="194">
        <f t="shared" si="33"/>
        <v>5.4299571724468834E-4</v>
      </c>
      <c r="E174" s="191">
        <f t="shared" si="33"/>
        <v>5.0190643043332671E-3</v>
      </c>
      <c r="F174" s="171">
        <f t="shared" si="33"/>
        <v>5.5665458643724668E-3</v>
      </c>
      <c r="G174" s="171">
        <f t="shared" si="33"/>
        <v>6.8558615314570862E-3</v>
      </c>
      <c r="H174" s="171">
        <f t="shared" si="33"/>
        <v>8.2783957142468119E-3</v>
      </c>
      <c r="J174" s="189">
        <v>2014</v>
      </c>
      <c r="K174">
        <v>146</v>
      </c>
      <c r="L174" s="189">
        <v>825</v>
      </c>
      <c r="M174" s="189">
        <v>2713</v>
      </c>
      <c r="N174" s="202">
        <v>3734</v>
      </c>
      <c r="O174">
        <v>4395.2314560000004</v>
      </c>
      <c r="P174" s="189">
        <v>6688</v>
      </c>
    </row>
    <row r="175" spans="1:16" outlineLevel="1" x14ac:dyDescent="0.15">
      <c r="A175" s="173" t="s">
        <v>1092</v>
      </c>
      <c r="B175" s="174">
        <f>SUM(B168:B174)</f>
        <v>1</v>
      </c>
      <c r="C175" s="174">
        <f t="shared" ref="C175:H175" si="35">SUM(C168:C174)</f>
        <v>1</v>
      </c>
      <c r="D175" s="174">
        <f t="shared" si="35"/>
        <v>1</v>
      </c>
      <c r="E175" s="174">
        <f t="shared" si="35"/>
        <v>1</v>
      </c>
      <c r="F175" s="174">
        <f t="shared" si="35"/>
        <v>1.0000000000000002</v>
      </c>
      <c r="G175" s="174">
        <f t="shared" si="35"/>
        <v>0.99999999999999989</v>
      </c>
      <c r="H175" s="174">
        <f t="shared" si="35"/>
        <v>1</v>
      </c>
    </row>
    <row r="176" spans="1:16" outlineLevel="1" x14ac:dyDescent="0.15"/>
    <row r="177" spans="1:43" outlineLevel="1" x14ac:dyDescent="0.15">
      <c r="A177" s="1" t="s">
        <v>1093</v>
      </c>
      <c r="B177">
        <f>INDEX($B$11:$AQ$22,MATCH("*"&amp;A165&amp;"*",$A$11:$A$22,0),MATCH(B167,$B$10:$AQ$10,0))</f>
        <v>-3</v>
      </c>
    </row>
    <row r="178" spans="1:43" outlineLevel="1" x14ac:dyDescent="0.15"/>
    <row r="179" spans="1:43" outlineLevel="1" x14ac:dyDescent="0.15">
      <c r="A179" s="1" t="s">
        <v>1094</v>
      </c>
    </row>
    <row r="180" spans="1:43" outlineLevel="1" x14ac:dyDescent="0.15">
      <c r="A180" t="s">
        <v>1068</v>
      </c>
      <c r="B180">
        <v>2019</v>
      </c>
      <c r="C180">
        <v>2020</v>
      </c>
      <c r="D180">
        <v>2021</v>
      </c>
      <c r="E180">
        <v>2022</v>
      </c>
      <c r="F180">
        <v>2023</v>
      </c>
      <c r="G180">
        <v>2024</v>
      </c>
      <c r="H180">
        <v>2025</v>
      </c>
      <c r="I180">
        <v>2026</v>
      </c>
      <c r="J180">
        <v>2027</v>
      </c>
      <c r="K180">
        <v>2028</v>
      </c>
      <c r="L180">
        <v>2029</v>
      </c>
      <c r="M180">
        <v>2030</v>
      </c>
      <c r="N180">
        <v>2031</v>
      </c>
      <c r="O180">
        <v>2032</v>
      </c>
      <c r="P180">
        <v>2033</v>
      </c>
      <c r="Q180">
        <v>2034</v>
      </c>
      <c r="R180">
        <v>2035</v>
      </c>
      <c r="S180">
        <v>2036</v>
      </c>
      <c r="T180">
        <v>2037</v>
      </c>
      <c r="U180">
        <v>2038</v>
      </c>
      <c r="V180">
        <v>2039</v>
      </c>
      <c r="W180">
        <v>2040</v>
      </c>
      <c r="X180">
        <v>2041</v>
      </c>
      <c r="Y180">
        <v>2042</v>
      </c>
      <c r="Z180">
        <v>2043</v>
      </c>
      <c r="AA180">
        <v>2044</v>
      </c>
      <c r="AB180">
        <v>2045</v>
      </c>
      <c r="AC180">
        <v>2046</v>
      </c>
      <c r="AD180">
        <v>2047</v>
      </c>
      <c r="AE180">
        <v>2048</v>
      </c>
      <c r="AF180">
        <v>2049</v>
      </c>
      <c r="AG180">
        <v>2050</v>
      </c>
      <c r="AH180">
        <v>2051</v>
      </c>
      <c r="AI180">
        <v>2052</v>
      </c>
      <c r="AJ180">
        <v>2053</v>
      </c>
      <c r="AK180">
        <v>2054</v>
      </c>
      <c r="AL180">
        <v>2055</v>
      </c>
      <c r="AM180">
        <v>2056</v>
      </c>
      <c r="AN180">
        <v>2057</v>
      </c>
      <c r="AO180">
        <v>2058</v>
      </c>
      <c r="AP180">
        <v>2059</v>
      </c>
      <c r="AQ180">
        <v>2060</v>
      </c>
    </row>
    <row r="181" spans="1:43" outlineLevel="1" x14ac:dyDescent="0.15">
      <c r="A181" t="s">
        <v>1128</v>
      </c>
      <c r="B181">
        <f>INDEX(TCO!$B$2:$AQ$85,MATCH('Historical Shareweights'!$A181,TCO!$A$2:$A$85,0),MATCH('Historical Shareweights'!B180,TCO!$B$1:$AQ$1,0))</f>
        <v>226418</v>
      </c>
      <c r="C181">
        <f>INDEX(TCO!$B$2:$AQ$85,MATCH('Historical Shareweights'!$A181,TCO!$A$2:$A$85,0),MATCH('Historical Shareweights'!C180,TCO!$B$1:$AQ$1,0))</f>
        <v>226418</v>
      </c>
      <c r="D181">
        <f>INDEX(TCO!$B$2:$AQ$85,MATCH('Historical Shareweights'!$A181,TCO!$A$2:$A$85,0),MATCH('Historical Shareweights'!D180,TCO!$B$1:$AQ$1,0))</f>
        <v>217761</v>
      </c>
      <c r="E181">
        <f>INDEX(TCO!$B$2:$AQ$85,MATCH('Historical Shareweights'!$A181,TCO!$A$2:$A$85,0),MATCH('Historical Shareweights'!E180,TCO!$B$1:$AQ$1,0))</f>
        <v>211796</v>
      </c>
      <c r="F181">
        <f>INDEX(TCO!$B$2:$AQ$85,MATCH('Historical Shareweights'!$A181,TCO!$A$2:$A$85,0),MATCH('Historical Shareweights'!F180,TCO!$B$1:$AQ$1,0))</f>
        <v>208170</v>
      </c>
      <c r="G181">
        <f>INDEX(TCO!$B$2:$AQ$85,MATCH('Historical Shareweights'!$A181,TCO!$A$2:$A$85,0),MATCH('Historical Shareweights'!G180,TCO!$B$1:$AQ$1,0))</f>
        <v>203638</v>
      </c>
      <c r="H181">
        <f>INDEX(TCO!$B$2:$AQ$85,MATCH('Historical Shareweights'!$A181,TCO!$A$2:$A$85,0),MATCH('Historical Shareweights'!H180,TCO!$B$1:$AQ$1,0))</f>
        <v>200505</v>
      </c>
      <c r="I181">
        <f>INDEX(TCO!$B$2:$AQ$85,MATCH('Historical Shareweights'!$A181,TCO!$A$2:$A$85,0),MATCH('Historical Shareweights'!I180,TCO!$B$1:$AQ$1,0))</f>
        <v>196571</v>
      </c>
      <c r="J181">
        <f>INDEX(TCO!$B$2:$AQ$85,MATCH('Historical Shareweights'!$A181,TCO!$A$2:$A$85,0),MATCH('Historical Shareweights'!J180,TCO!$B$1:$AQ$1,0))</f>
        <v>194211</v>
      </c>
      <c r="K181">
        <f>INDEX(TCO!$B$2:$AQ$85,MATCH('Historical Shareweights'!$A181,TCO!$A$2:$A$85,0),MATCH('Historical Shareweights'!K180,TCO!$B$1:$AQ$1,0))</f>
        <v>191824</v>
      </c>
      <c r="L181">
        <f>INDEX(TCO!$B$2:$AQ$85,MATCH('Historical Shareweights'!$A181,TCO!$A$2:$A$85,0),MATCH('Historical Shareweights'!L180,TCO!$B$1:$AQ$1,0))</f>
        <v>189369</v>
      </c>
      <c r="M181">
        <f>INDEX(TCO!$B$2:$AQ$85,MATCH('Historical Shareweights'!$A181,TCO!$A$2:$A$85,0),MATCH('Historical Shareweights'!M180,TCO!$B$1:$AQ$1,0))</f>
        <v>187997</v>
      </c>
      <c r="N181">
        <f>INDEX(TCO!$B$2:$AQ$85,MATCH('Historical Shareweights'!$A181,TCO!$A$2:$A$85,0),MATCH('Historical Shareweights'!N180,TCO!$B$1:$AQ$1,0))</f>
        <v>186332</v>
      </c>
      <c r="O181">
        <f>INDEX(TCO!$B$2:$AQ$85,MATCH('Historical Shareweights'!$A181,TCO!$A$2:$A$85,0),MATCH('Historical Shareweights'!O180,TCO!$B$1:$AQ$1,0))</f>
        <v>185251</v>
      </c>
      <c r="P181">
        <f>INDEX(TCO!$B$2:$AQ$85,MATCH('Historical Shareweights'!$A181,TCO!$A$2:$A$85,0),MATCH('Historical Shareweights'!P180,TCO!$B$1:$AQ$1,0))</f>
        <v>183387</v>
      </c>
      <c r="Q181">
        <f>INDEX(TCO!$B$2:$AQ$85,MATCH('Historical Shareweights'!$A181,TCO!$A$2:$A$85,0),MATCH('Historical Shareweights'!Q180,TCO!$B$1:$AQ$1,0))</f>
        <v>182085</v>
      </c>
      <c r="R181">
        <f>INDEX(TCO!$B$2:$AQ$85,MATCH('Historical Shareweights'!$A181,TCO!$A$2:$A$85,0),MATCH('Historical Shareweights'!R180,TCO!$B$1:$AQ$1,0))</f>
        <v>180902</v>
      </c>
      <c r="S181">
        <f>INDEX(TCO!$B$2:$AQ$85,MATCH('Historical Shareweights'!$A181,TCO!$A$2:$A$85,0),MATCH('Historical Shareweights'!S180,TCO!$B$1:$AQ$1,0))</f>
        <v>180253</v>
      </c>
      <c r="T181">
        <f>INDEX(TCO!$B$2:$AQ$85,MATCH('Historical Shareweights'!$A181,TCO!$A$2:$A$85,0),MATCH('Historical Shareweights'!T180,TCO!$B$1:$AQ$1,0))</f>
        <v>179675</v>
      </c>
      <c r="U181">
        <f>INDEX(TCO!$B$2:$AQ$85,MATCH('Historical Shareweights'!$A181,TCO!$A$2:$A$85,0),MATCH('Historical Shareweights'!U180,TCO!$B$1:$AQ$1,0))</f>
        <v>179355</v>
      </c>
      <c r="V181">
        <f>INDEX(TCO!$B$2:$AQ$85,MATCH('Historical Shareweights'!$A181,TCO!$A$2:$A$85,0),MATCH('Historical Shareweights'!V180,TCO!$B$1:$AQ$1,0))</f>
        <v>179304</v>
      </c>
      <c r="W181">
        <f>INDEX(TCO!$B$2:$AQ$85,MATCH('Historical Shareweights'!$A181,TCO!$A$2:$A$85,0),MATCH('Historical Shareweights'!W180,TCO!$B$1:$AQ$1,0))</f>
        <v>179026</v>
      </c>
      <c r="X181">
        <f>INDEX(TCO!$B$2:$AQ$85,MATCH('Historical Shareweights'!$A181,TCO!$A$2:$A$85,0),MATCH('Historical Shareweights'!X180,TCO!$B$1:$AQ$1,0))</f>
        <v>178601</v>
      </c>
      <c r="Y181">
        <f>INDEX(TCO!$B$2:$AQ$85,MATCH('Historical Shareweights'!$A181,TCO!$A$2:$A$85,0),MATCH('Historical Shareweights'!Y180,TCO!$B$1:$AQ$1,0))</f>
        <v>178395</v>
      </c>
      <c r="Z181">
        <f>INDEX(TCO!$B$2:$AQ$85,MATCH('Historical Shareweights'!$A181,TCO!$A$2:$A$85,0),MATCH('Historical Shareweights'!Z180,TCO!$B$1:$AQ$1,0))</f>
        <v>178209</v>
      </c>
      <c r="AA181">
        <f>INDEX(TCO!$B$2:$AQ$85,MATCH('Historical Shareweights'!$A181,TCO!$A$2:$A$85,0),MATCH('Historical Shareweights'!AA180,TCO!$B$1:$AQ$1,0))</f>
        <v>178022</v>
      </c>
      <c r="AB181">
        <f>INDEX(TCO!$B$2:$AQ$85,MATCH('Historical Shareweights'!$A181,TCO!$A$2:$A$85,0),MATCH('Historical Shareweights'!AB180,TCO!$B$1:$AQ$1,0))</f>
        <v>177868</v>
      </c>
      <c r="AC181">
        <f>INDEX(TCO!$B$2:$AQ$85,MATCH('Historical Shareweights'!$A181,TCO!$A$2:$A$85,0),MATCH('Historical Shareweights'!AC180,TCO!$B$1:$AQ$1,0))</f>
        <v>177533</v>
      </c>
      <c r="AD181">
        <f>INDEX(TCO!$B$2:$AQ$85,MATCH('Historical Shareweights'!$A181,TCO!$A$2:$A$85,0),MATCH('Historical Shareweights'!AD180,TCO!$B$1:$AQ$1,0))</f>
        <v>177385</v>
      </c>
      <c r="AE181">
        <f>INDEX(TCO!$B$2:$AQ$85,MATCH('Historical Shareweights'!$A181,TCO!$A$2:$A$85,0),MATCH('Historical Shareweights'!AE180,TCO!$B$1:$AQ$1,0))</f>
        <v>177266</v>
      </c>
      <c r="AF181">
        <f>INDEX(TCO!$B$2:$AQ$85,MATCH('Historical Shareweights'!$A181,TCO!$A$2:$A$85,0),MATCH('Historical Shareweights'!AF180,TCO!$B$1:$AQ$1,0))</f>
        <v>176941</v>
      </c>
      <c r="AG181">
        <f>INDEX(TCO!$B$2:$AQ$85,MATCH('Historical Shareweights'!$A181,TCO!$A$2:$A$85,0),MATCH('Historical Shareweights'!AG180,TCO!$B$1:$AQ$1,0))</f>
        <v>176838</v>
      </c>
      <c r="AH181">
        <f>INDEX(TCO!$B$2:$AQ$85,MATCH('Historical Shareweights'!$A181,TCO!$A$2:$A$85,0),MATCH('Historical Shareweights'!AH180,TCO!$B$1:$AQ$1,0))</f>
        <v>176743</v>
      </c>
      <c r="AI181">
        <f>INDEX(TCO!$B$2:$AQ$85,MATCH('Historical Shareweights'!$A181,TCO!$A$2:$A$85,0),MATCH('Historical Shareweights'!AI180,TCO!$B$1:$AQ$1,0))</f>
        <v>176439</v>
      </c>
      <c r="AJ181">
        <f>INDEX(TCO!$B$2:$AQ$85,MATCH('Historical Shareweights'!$A181,TCO!$A$2:$A$85,0),MATCH('Historical Shareweights'!AJ180,TCO!$B$1:$AQ$1,0))</f>
        <v>176355</v>
      </c>
      <c r="AK181">
        <f>INDEX(TCO!$B$2:$AQ$85,MATCH('Historical Shareweights'!$A181,TCO!$A$2:$A$85,0),MATCH('Historical Shareweights'!AK180,TCO!$B$1:$AQ$1,0))</f>
        <v>176257</v>
      </c>
      <c r="AL181">
        <f>INDEX(TCO!$B$2:$AQ$85,MATCH('Historical Shareweights'!$A181,TCO!$A$2:$A$85,0),MATCH('Historical Shareweights'!AL180,TCO!$B$1:$AQ$1,0))</f>
        <v>175987</v>
      </c>
      <c r="AM181">
        <f>INDEX(TCO!$B$2:$AQ$85,MATCH('Historical Shareweights'!$A181,TCO!$A$2:$A$85,0),MATCH('Historical Shareweights'!AM180,TCO!$B$1:$AQ$1,0))</f>
        <v>175917</v>
      </c>
      <c r="AN181">
        <f>INDEX(TCO!$B$2:$AQ$85,MATCH('Historical Shareweights'!$A181,TCO!$A$2:$A$85,0),MATCH('Historical Shareweights'!AN180,TCO!$B$1:$AQ$1,0))</f>
        <v>175831</v>
      </c>
      <c r="AO181">
        <f>INDEX(TCO!$B$2:$AQ$85,MATCH('Historical Shareweights'!$A181,TCO!$A$2:$A$85,0),MATCH('Historical Shareweights'!AO180,TCO!$B$1:$AQ$1,0))</f>
        <v>175573</v>
      </c>
      <c r="AP181">
        <f>INDEX(TCO!$B$2:$AQ$85,MATCH('Historical Shareweights'!$A181,TCO!$A$2:$A$85,0),MATCH('Historical Shareweights'!AP180,TCO!$B$1:$AQ$1,0))</f>
        <v>175494</v>
      </c>
      <c r="AQ181">
        <f>INDEX(TCO!$B$2:$AQ$85,MATCH('Historical Shareweights'!$A181,TCO!$A$2:$A$85,0),MATCH('Historical Shareweights'!AQ180,TCO!$B$1:$AQ$1,0))</f>
        <v>175431</v>
      </c>
    </row>
    <row r="182" spans="1:43" outlineLevel="1" x14ac:dyDescent="0.15">
      <c r="A182" t="s">
        <v>1129</v>
      </c>
      <c r="B182">
        <f>INDEX(TCO!$B$2:$AQ$85,MATCH('Historical Shareweights'!$A182,TCO!$A$2:$A$85,0),MATCH('Historical Shareweights'!B180,TCO!$B$1:$AQ$1,0))</f>
        <v>357690</v>
      </c>
      <c r="C182">
        <f>INDEX(TCO!$B$2:$AQ$85,MATCH('Historical Shareweights'!$A182,TCO!$A$2:$A$85,0),MATCH('Historical Shareweights'!C180,TCO!$B$1:$AQ$1,0))</f>
        <v>357690</v>
      </c>
      <c r="D182">
        <f>INDEX(TCO!$B$2:$AQ$85,MATCH('Historical Shareweights'!$A182,TCO!$A$2:$A$85,0),MATCH('Historical Shareweights'!D180,TCO!$B$1:$AQ$1,0))</f>
        <v>357690</v>
      </c>
      <c r="E182">
        <f>INDEX(TCO!$B$2:$AQ$85,MATCH('Historical Shareweights'!$A182,TCO!$A$2:$A$85,0),MATCH('Historical Shareweights'!E180,TCO!$B$1:$AQ$1,0))</f>
        <v>344809</v>
      </c>
      <c r="F182">
        <f>INDEX(TCO!$B$2:$AQ$85,MATCH('Historical Shareweights'!$A182,TCO!$A$2:$A$85,0),MATCH('Historical Shareweights'!F180,TCO!$B$1:$AQ$1,0))</f>
        <v>337117</v>
      </c>
      <c r="G182">
        <f>INDEX(TCO!$B$2:$AQ$85,MATCH('Historical Shareweights'!$A182,TCO!$A$2:$A$85,0),MATCH('Historical Shareweights'!G180,TCO!$B$1:$AQ$1,0))</f>
        <v>335551</v>
      </c>
      <c r="H182">
        <f>INDEX(TCO!$B$2:$AQ$85,MATCH('Historical Shareweights'!$A182,TCO!$A$2:$A$85,0),MATCH('Historical Shareweights'!H180,TCO!$B$1:$AQ$1,0))</f>
        <v>336088</v>
      </c>
      <c r="I182">
        <f>INDEX(TCO!$B$2:$AQ$85,MATCH('Historical Shareweights'!$A182,TCO!$A$2:$A$85,0),MATCH('Historical Shareweights'!I180,TCO!$B$1:$AQ$1,0))</f>
        <v>336625</v>
      </c>
      <c r="J182">
        <f>INDEX(TCO!$B$2:$AQ$85,MATCH('Historical Shareweights'!$A182,TCO!$A$2:$A$85,0),MATCH('Historical Shareweights'!J180,TCO!$B$1:$AQ$1,0))</f>
        <v>344317</v>
      </c>
      <c r="K182">
        <f>INDEX(TCO!$B$2:$AQ$85,MATCH('Historical Shareweights'!$A182,TCO!$A$2:$A$85,0),MATCH('Historical Shareweights'!K180,TCO!$B$1:$AQ$1,0))</f>
        <v>352010</v>
      </c>
      <c r="L182">
        <f>INDEX(TCO!$B$2:$AQ$85,MATCH('Historical Shareweights'!$A182,TCO!$A$2:$A$85,0),MATCH('Historical Shareweights'!L180,TCO!$B$1:$AQ$1,0))</f>
        <v>350445</v>
      </c>
      <c r="M182">
        <f>INDEX(TCO!$B$2:$AQ$85,MATCH('Historical Shareweights'!$A182,TCO!$A$2:$A$85,0),MATCH('Historical Shareweights'!M180,TCO!$B$1:$AQ$1,0))</f>
        <v>348969</v>
      </c>
      <c r="N182">
        <f>INDEX(TCO!$B$2:$AQ$85,MATCH('Historical Shareweights'!$A182,TCO!$A$2:$A$85,0),MATCH('Historical Shareweights'!N180,TCO!$B$1:$AQ$1,0))</f>
        <v>352010</v>
      </c>
      <c r="O182">
        <f>INDEX(TCO!$B$2:$AQ$85,MATCH('Historical Shareweights'!$A182,TCO!$A$2:$A$85,0),MATCH('Historical Shareweights'!O180,TCO!$B$1:$AQ$1,0))</f>
        <v>350445</v>
      </c>
      <c r="P182">
        <f>INDEX(TCO!$B$2:$AQ$85,MATCH('Historical Shareweights'!$A182,TCO!$A$2:$A$85,0),MATCH('Historical Shareweights'!P180,TCO!$B$1:$AQ$1,0))</f>
        <v>349461</v>
      </c>
      <c r="Q182">
        <f>INDEX(TCO!$B$2:$AQ$85,MATCH('Historical Shareweights'!$A182,TCO!$A$2:$A$85,0),MATCH('Historical Shareweights'!Q180,TCO!$B$1:$AQ$1,0))</f>
        <v>348432</v>
      </c>
      <c r="R182">
        <f>INDEX(TCO!$B$2:$AQ$85,MATCH('Historical Shareweights'!$A182,TCO!$A$2:$A$85,0),MATCH('Historical Shareweights'!R180,TCO!$B$1:$AQ$1,0))</f>
        <v>347448</v>
      </c>
      <c r="S182">
        <f>INDEX(TCO!$B$2:$AQ$85,MATCH('Historical Shareweights'!$A182,TCO!$A$2:$A$85,0),MATCH('Historical Shareweights'!S180,TCO!$B$1:$AQ$1,0))</f>
        <v>346375</v>
      </c>
      <c r="T182">
        <f>INDEX(TCO!$B$2:$AQ$85,MATCH('Historical Shareweights'!$A182,TCO!$A$2:$A$85,0),MATCH('Historical Shareweights'!T180,TCO!$B$1:$AQ$1,0))</f>
        <v>345346</v>
      </c>
      <c r="U182">
        <f>INDEX(TCO!$B$2:$AQ$85,MATCH('Historical Shareweights'!$A182,TCO!$A$2:$A$85,0),MATCH('Historical Shareweights'!U180,TCO!$B$1:$AQ$1,0))</f>
        <v>344809</v>
      </c>
      <c r="V182">
        <f>INDEX(TCO!$B$2:$AQ$85,MATCH('Historical Shareweights'!$A182,TCO!$A$2:$A$85,0),MATCH('Historical Shareweights'!V180,TCO!$B$1:$AQ$1,0))</f>
        <v>343825</v>
      </c>
      <c r="W182">
        <f>INDEX(TCO!$B$2:$AQ$85,MATCH('Historical Shareweights'!$A182,TCO!$A$2:$A$85,0),MATCH('Historical Shareweights'!W180,TCO!$B$1:$AQ$1,0))</f>
        <v>343289</v>
      </c>
      <c r="X182">
        <f>INDEX(TCO!$B$2:$AQ$85,MATCH('Historical Shareweights'!$A182,TCO!$A$2:$A$85,0),MATCH('Historical Shareweights'!X180,TCO!$B$1:$AQ$1,0))</f>
        <v>342752</v>
      </c>
      <c r="Y182">
        <f>INDEX(TCO!$B$2:$AQ$85,MATCH('Historical Shareweights'!$A182,TCO!$A$2:$A$85,0),MATCH('Historical Shareweights'!Y180,TCO!$B$1:$AQ$1,0))</f>
        <v>342260</v>
      </c>
      <c r="Z182">
        <f>INDEX(TCO!$B$2:$AQ$85,MATCH('Historical Shareweights'!$A182,TCO!$A$2:$A$85,0),MATCH('Historical Shareweights'!Z180,TCO!$B$1:$AQ$1,0))</f>
        <v>341768</v>
      </c>
      <c r="AA182">
        <f>INDEX(TCO!$B$2:$AQ$85,MATCH('Historical Shareweights'!$A182,TCO!$A$2:$A$85,0),MATCH('Historical Shareweights'!AA180,TCO!$B$1:$AQ$1,0))</f>
        <v>341276</v>
      </c>
      <c r="AB182">
        <f>INDEX(TCO!$B$2:$AQ$85,MATCH('Historical Shareweights'!$A182,TCO!$A$2:$A$85,0),MATCH('Historical Shareweights'!AB180,TCO!$B$1:$AQ$1,0))</f>
        <v>341231</v>
      </c>
      <c r="AC182">
        <f>INDEX(TCO!$B$2:$AQ$85,MATCH('Historical Shareweights'!$A182,TCO!$A$2:$A$85,0),MATCH('Historical Shareweights'!AC180,TCO!$B$1:$AQ$1,0))</f>
        <v>341231</v>
      </c>
      <c r="AD182">
        <f>INDEX(TCO!$B$2:$AQ$85,MATCH('Historical Shareweights'!$A182,TCO!$A$2:$A$85,0),MATCH('Historical Shareweights'!AD180,TCO!$B$1:$AQ$1,0))</f>
        <v>340739</v>
      </c>
      <c r="AE182">
        <f>INDEX(TCO!$B$2:$AQ$85,MATCH('Historical Shareweights'!$A182,TCO!$A$2:$A$85,0),MATCH('Historical Shareweights'!AE180,TCO!$B$1:$AQ$1,0))</f>
        <v>340695</v>
      </c>
      <c r="AF182">
        <f>INDEX(TCO!$B$2:$AQ$85,MATCH('Historical Shareweights'!$A182,TCO!$A$2:$A$85,0),MATCH('Historical Shareweights'!AF180,TCO!$B$1:$AQ$1,0))</f>
        <v>340203</v>
      </c>
      <c r="AG182">
        <f>INDEX(TCO!$B$2:$AQ$85,MATCH('Historical Shareweights'!$A182,TCO!$A$2:$A$85,0),MATCH('Historical Shareweights'!AG180,TCO!$B$1:$AQ$1,0))</f>
        <v>340203</v>
      </c>
      <c r="AH182">
        <f>INDEX(TCO!$B$2:$AQ$85,MATCH('Historical Shareweights'!$A182,TCO!$A$2:$A$85,0),MATCH('Historical Shareweights'!AH180,TCO!$B$1:$AQ$1,0))</f>
        <v>339711</v>
      </c>
      <c r="AI182">
        <f>INDEX(TCO!$B$2:$AQ$85,MATCH('Historical Shareweights'!$A182,TCO!$A$2:$A$85,0),MATCH('Historical Shareweights'!AI180,TCO!$B$1:$AQ$1,0))</f>
        <v>339666</v>
      </c>
      <c r="AJ182">
        <f>INDEX(TCO!$B$2:$AQ$85,MATCH('Historical Shareweights'!$A182,TCO!$A$2:$A$85,0),MATCH('Historical Shareweights'!AJ180,TCO!$B$1:$AQ$1,0))</f>
        <v>339174</v>
      </c>
      <c r="AK182">
        <f>INDEX(TCO!$B$2:$AQ$85,MATCH('Historical Shareweights'!$A182,TCO!$A$2:$A$85,0),MATCH('Historical Shareweights'!AK180,TCO!$B$1:$AQ$1,0))</f>
        <v>339174</v>
      </c>
      <c r="AL182">
        <f>INDEX(TCO!$B$2:$AQ$85,MATCH('Historical Shareweights'!$A182,TCO!$A$2:$A$85,0),MATCH('Historical Shareweights'!AL180,TCO!$B$1:$AQ$1,0))</f>
        <v>338682</v>
      </c>
      <c r="AM182">
        <f>INDEX(TCO!$B$2:$AQ$85,MATCH('Historical Shareweights'!$A182,TCO!$A$2:$A$85,0),MATCH('Historical Shareweights'!AM180,TCO!$B$1:$AQ$1,0))</f>
        <v>338637</v>
      </c>
      <c r="AN182">
        <f>INDEX(TCO!$B$2:$AQ$85,MATCH('Historical Shareweights'!$A182,TCO!$A$2:$A$85,0),MATCH('Historical Shareweights'!AN180,TCO!$B$1:$AQ$1,0))</f>
        <v>338145</v>
      </c>
      <c r="AO182">
        <f>INDEX(TCO!$B$2:$AQ$85,MATCH('Historical Shareweights'!$A182,TCO!$A$2:$A$85,0),MATCH('Historical Shareweights'!AO180,TCO!$B$1:$AQ$1,0))</f>
        <v>338101</v>
      </c>
      <c r="AP182">
        <f>INDEX(TCO!$B$2:$AQ$85,MATCH('Historical Shareweights'!$A182,TCO!$A$2:$A$85,0),MATCH('Historical Shareweights'!AP180,TCO!$B$1:$AQ$1,0))</f>
        <v>337653</v>
      </c>
      <c r="AQ182">
        <f>INDEX(TCO!$B$2:$AQ$85,MATCH('Historical Shareweights'!$A182,TCO!$A$2:$A$85,0),MATCH('Historical Shareweights'!AQ180,TCO!$B$1:$AQ$1,0))</f>
        <v>337609</v>
      </c>
    </row>
    <row r="183" spans="1:43" outlineLevel="1" x14ac:dyDescent="0.15">
      <c r="A183" t="s">
        <v>1130</v>
      </c>
      <c r="B183">
        <f>INDEX(TCO!$B$2:$AQ$85,MATCH('Historical Shareweights'!$A183,TCO!$A$2:$A$85,0),MATCH('Historical Shareweights'!B180,TCO!$B$1:$AQ$1,0))</f>
        <v>299525</v>
      </c>
      <c r="C183">
        <f>INDEX(TCO!$B$2:$AQ$85,MATCH('Historical Shareweights'!$A183,TCO!$A$2:$A$85,0),MATCH('Historical Shareweights'!C180,TCO!$B$1:$AQ$1,0))</f>
        <v>299525</v>
      </c>
      <c r="D183">
        <f>INDEX(TCO!$B$2:$AQ$85,MATCH('Historical Shareweights'!$A183,TCO!$A$2:$A$85,0),MATCH('Historical Shareweights'!D180,TCO!$B$1:$AQ$1,0))</f>
        <v>351455</v>
      </c>
      <c r="E183">
        <f>INDEX(TCO!$B$2:$AQ$85,MATCH('Historical Shareweights'!$A183,TCO!$A$2:$A$85,0),MATCH('Historical Shareweights'!E180,TCO!$B$1:$AQ$1,0))</f>
        <v>359099</v>
      </c>
      <c r="F183">
        <f>INDEX(TCO!$B$2:$AQ$85,MATCH('Historical Shareweights'!$A183,TCO!$A$2:$A$85,0),MATCH('Historical Shareweights'!F180,TCO!$B$1:$AQ$1,0))</f>
        <v>359007</v>
      </c>
      <c r="G183">
        <f>INDEX(TCO!$B$2:$AQ$85,MATCH('Historical Shareweights'!$A183,TCO!$A$2:$A$85,0),MATCH('Historical Shareweights'!G180,TCO!$B$1:$AQ$1,0))</f>
        <v>354873</v>
      </c>
      <c r="H183">
        <f>INDEX(TCO!$B$2:$AQ$85,MATCH('Historical Shareweights'!$A183,TCO!$A$2:$A$85,0),MATCH('Historical Shareweights'!H180,TCO!$B$1:$AQ$1,0))</f>
        <v>350365</v>
      </c>
      <c r="I183">
        <f>INDEX(TCO!$B$2:$AQ$85,MATCH('Historical Shareweights'!$A183,TCO!$A$2:$A$85,0),MATCH('Historical Shareweights'!I180,TCO!$B$1:$AQ$1,0))</f>
        <v>348229</v>
      </c>
      <c r="J183">
        <f>INDEX(TCO!$B$2:$AQ$85,MATCH('Historical Shareweights'!$A183,TCO!$A$2:$A$85,0),MATCH('Historical Shareweights'!J180,TCO!$B$1:$AQ$1,0))</f>
        <v>347703</v>
      </c>
      <c r="K183">
        <f>INDEX(TCO!$B$2:$AQ$85,MATCH('Historical Shareweights'!$A183,TCO!$A$2:$A$85,0),MATCH('Historical Shareweights'!K180,TCO!$B$1:$AQ$1,0))</f>
        <v>352193</v>
      </c>
      <c r="L183">
        <f>INDEX(TCO!$B$2:$AQ$85,MATCH('Historical Shareweights'!$A183,TCO!$A$2:$A$85,0),MATCH('Historical Shareweights'!L180,TCO!$B$1:$AQ$1,0))</f>
        <v>354235</v>
      </c>
      <c r="M183">
        <f>INDEX(TCO!$B$2:$AQ$85,MATCH('Historical Shareweights'!$A183,TCO!$A$2:$A$85,0),MATCH('Historical Shareweights'!M180,TCO!$B$1:$AQ$1,0))</f>
        <v>356763</v>
      </c>
      <c r="N183">
        <f>INDEX(TCO!$B$2:$AQ$85,MATCH('Historical Shareweights'!$A183,TCO!$A$2:$A$85,0),MATCH('Historical Shareweights'!N180,TCO!$B$1:$AQ$1,0))</f>
        <v>365992</v>
      </c>
      <c r="O183">
        <f>INDEX(TCO!$B$2:$AQ$85,MATCH('Historical Shareweights'!$A183,TCO!$A$2:$A$85,0),MATCH('Historical Shareweights'!O180,TCO!$B$1:$AQ$1,0))</f>
        <v>363685</v>
      </c>
      <c r="P183">
        <f>INDEX(TCO!$B$2:$AQ$85,MATCH('Historical Shareweights'!$A183,TCO!$A$2:$A$85,0),MATCH('Historical Shareweights'!P180,TCO!$B$1:$AQ$1,0))</f>
        <v>364903</v>
      </c>
      <c r="Q183">
        <f>INDEX(TCO!$B$2:$AQ$85,MATCH('Historical Shareweights'!$A183,TCO!$A$2:$A$85,0),MATCH('Historical Shareweights'!Q180,TCO!$B$1:$AQ$1,0))</f>
        <v>365384</v>
      </c>
      <c r="R183">
        <f>INDEX(TCO!$B$2:$AQ$85,MATCH('Historical Shareweights'!$A183,TCO!$A$2:$A$85,0),MATCH('Historical Shareweights'!R180,TCO!$B$1:$AQ$1,0))</f>
        <v>368273</v>
      </c>
      <c r="S183">
        <f>INDEX(TCO!$B$2:$AQ$85,MATCH('Historical Shareweights'!$A183,TCO!$A$2:$A$85,0),MATCH('Historical Shareweights'!S180,TCO!$B$1:$AQ$1,0))</f>
        <v>365852</v>
      </c>
      <c r="T183">
        <f>INDEX(TCO!$B$2:$AQ$85,MATCH('Historical Shareweights'!$A183,TCO!$A$2:$A$85,0),MATCH('Historical Shareweights'!T180,TCO!$B$1:$AQ$1,0))</f>
        <v>366821</v>
      </c>
      <c r="U183">
        <f>INDEX(TCO!$B$2:$AQ$85,MATCH('Historical Shareweights'!$A183,TCO!$A$2:$A$85,0),MATCH('Historical Shareweights'!U180,TCO!$B$1:$AQ$1,0))</f>
        <v>369726</v>
      </c>
      <c r="V183">
        <f>INDEX(TCO!$B$2:$AQ$85,MATCH('Historical Shareweights'!$A183,TCO!$A$2:$A$85,0),MATCH('Historical Shareweights'!V180,TCO!$B$1:$AQ$1,0))</f>
        <v>372147</v>
      </c>
      <c r="W183">
        <f>INDEX(TCO!$B$2:$AQ$85,MATCH('Historical Shareweights'!$A183,TCO!$A$2:$A$85,0),MATCH('Historical Shareweights'!W180,TCO!$B$1:$AQ$1,0))</f>
        <v>372631</v>
      </c>
      <c r="X183">
        <f>INDEX(TCO!$B$2:$AQ$85,MATCH('Historical Shareweights'!$A183,TCO!$A$2:$A$85,0),MATCH('Historical Shareweights'!X180,TCO!$B$1:$AQ$1,0))</f>
        <v>374083</v>
      </c>
      <c r="Y183">
        <f>INDEX(TCO!$B$2:$AQ$85,MATCH('Historical Shareweights'!$A183,TCO!$A$2:$A$85,0),MATCH('Historical Shareweights'!Y180,TCO!$B$1:$AQ$1,0))</f>
        <v>376504</v>
      </c>
      <c r="Z183">
        <f>INDEX(TCO!$B$2:$AQ$85,MATCH('Historical Shareweights'!$A183,TCO!$A$2:$A$85,0),MATCH('Historical Shareweights'!Z180,TCO!$B$1:$AQ$1,0))</f>
        <v>376504</v>
      </c>
      <c r="AA183">
        <f>INDEX(TCO!$B$2:$AQ$85,MATCH('Historical Shareweights'!$A183,TCO!$A$2:$A$85,0),MATCH('Historical Shareweights'!AA180,TCO!$B$1:$AQ$1,0))</f>
        <v>377957</v>
      </c>
      <c r="AB183">
        <f>INDEX(TCO!$B$2:$AQ$85,MATCH('Historical Shareweights'!$A183,TCO!$A$2:$A$85,0),MATCH('Historical Shareweights'!AB180,TCO!$B$1:$AQ$1,0))</f>
        <v>379409</v>
      </c>
      <c r="AC183">
        <f>INDEX(TCO!$B$2:$AQ$85,MATCH('Historical Shareweights'!$A183,TCO!$A$2:$A$85,0),MATCH('Historical Shareweights'!AC180,TCO!$B$1:$AQ$1,0))</f>
        <v>382314</v>
      </c>
      <c r="AD183">
        <f>INDEX(TCO!$B$2:$AQ$85,MATCH('Historical Shareweights'!$A183,TCO!$A$2:$A$85,0),MATCH('Historical Shareweights'!AD180,TCO!$B$1:$AQ$1,0))</f>
        <v>383767</v>
      </c>
      <c r="AE183">
        <f>INDEX(TCO!$B$2:$AQ$85,MATCH('Historical Shareweights'!$A183,TCO!$A$2:$A$85,0),MATCH('Historical Shareweights'!AE180,TCO!$B$1:$AQ$1,0))</f>
        <v>384735</v>
      </c>
      <c r="AF183">
        <f>INDEX(TCO!$B$2:$AQ$85,MATCH('Historical Shareweights'!$A183,TCO!$A$2:$A$85,0),MATCH('Historical Shareweights'!AF180,TCO!$B$1:$AQ$1,0))</f>
        <v>385703</v>
      </c>
      <c r="AG183">
        <f>INDEX(TCO!$B$2:$AQ$85,MATCH('Historical Shareweights'!$A183,TCO!$A$2:$A$85,0),MATCH('Historical Shareweights'!AG180,TCO!$B$1:$AQ$1,0))</f>
        <v>388124</v>
      </c>
      <c r="AH183">
        <f>INDEX(TCO!$B$2:$AQ$85,MATCH('Historical Shareweights'!$A183,TCO!$A$2:$A$85,0),MATCH('Historical Shareweights'!AH180,TCO!$B$1:$AQ$1,0))</f>
        <v>389092</v>
      </c>
      <c r="AI183">
        <f>INDEX(TCO!$B$2:$AQ$85,MATCH('Historical Shareweights'!$A183,TCO!$A$2:$A$85,0),MATCH('Historical Shareweights'!AI180,TCO!$B$1:$AQ$1,0))</f>
        <v>390545</v>
      </c>
      <c r="AJ183">
        <f>INDEX(TCO!$B$2:$AQ$85,MATCH('Historical Shareweights'!$A183,TCO!$A$2:$A$85,0),MATCH('Historical Shareweights'!AJ180,TCO!$B$1:$AQ$1,0))</f>
        <v>392482</v>
      </c>
      <c r="AK183">
        <f>INDEX(TCO!$B$2:$AQ$85,MATCH('Historical Shareweights'!$A183,TCO!$A$2:$A$85,0),MATCH('Historical Shareweights'!AK180,TCO!$B$1:$AQ$1,0))</f>
        <v>393934</v>
      </c>
      <c r="AL183">
        <f>INDEX(TCO!$B$2:$AQ$85,MATCH('Historical Shareweights'!$A183,TCO!$A$2:$A$85,0),MATCH('Historical Shareweights'!AL180,TCO!$B$1:$AQ$1,0))</f>
        <v>395386</v>
      </c>
      <c r="AM183">
        <f>INDEX(TCO!$B$2:$AQ$85,MATCH('Historical Shareweights'!$A183,TCO!$A$2:$A$85,0),MATCH('Historical Shareweights'!AM180,TCO!$B$1:$AQ$1,0))</f>
        <v>396839</v>
      </c>
      <c r="AN183">
        <f>INDEX(TCO!$B$2:$AQ$85,MATCH('Historical Shareweights'!$A183,TCO!$A$2:$A$85,0),MATCH('Historical Shareweights'!AN180,TCO!$B$1:$AQ$1,0))</f>
        <v>398291</v>
      </c>
      <c r="AO183">
        <f>INDEX(TCO!$B$2:$AQ$85,MATCH('Historical Shareweights'!$A183,TCO!$A$2:$A$85,0),MATCH('Historical Shareweights'!AO180,TCO!$B$1:$AQ$1,0))</f>
        <v>399744</v>
      </c>
      <c r="AP183">
        <f>INDEX(TCO!$B$2:$AQ$85,MATCH('Historical Shareweights'!$A183,TCO!$A$2:$A$85,0),MATCH('Historical Shareweights'!AP180,TCO!$B$1:$AQ$1,0))</f>
        <v>401196</v>
      </c>
      <c r="AQ183">
        <f>INDEX(TCO!$B$2:$AQ$85,MATCH('Historical Shareweights'!$A183,TCO!$A$2:$A$85,0),MATCH('Historical Shareweights'!AQ180,TCO!$B$1:$AQ$1,0))</f>
        <v>403133</v>
      </c>
    </row>
    <row r="184" spans="1:43" outlineLevel="1" x14ac:dyDescent="0.15">
      <c r="A184" t="s">
        <v>1131</v>
      </c>
      <c r="B184">
        <f>INDEX(TCO!$B$2:$AQ$85,MATCH('Historical Shareweights'!$A184,TCO!$A$2:$A$85,0),MATCH('Historical Shareweights'!B180,TCO!$B$1:$AQ$1,0))</f>
        <v>307489</v>
      </c>
      <c r="C184">
        <f>INDEX(TCO!$B$2:$AQ$85,MATCH('Historical Shareweights'!$A184,TCO!$A$2:$A$85,0),MATCH('Historical Shareweights'!C180,TCO!$B$1:$AQ$1,0))</f>
        <v>307489</v>
      </c>
      <c r="D184">
        <f>INDEX(TCO!$B$2:$AQ$85,MATCH('Historical Shareweights'!$A184,TCO!$A$2:$A$85,0),MATCH('Historical Shareweights'!D180,TCO!$B$1:$AQ$1,0))</f>
        <v>323938</v>
      </c>
      <c r="E184">
        <f>INDEX(TCO!$B$2:$AQ$85,MATCH('Historical Shareweights'!$A184,TCO!$A$2:$A$85,0),MATCH('Historical Shareweights'!E180,TCO!$B$1:$AQ$1,0))</f>
        <v>321099</v>
      </c>
      <c r="F184">
        <f>INDEX(TCO!$B$2:$AQ$85,MATCH('Historical Shareweights'!$A184,TCO!$A$2:$A$85,0),MATCH('Historical Shareweights'!F180,TCO!$B$1:$AQ$1,0))</f>
        <v>326962</v>
      </c>
      <c r="G184">
        <f>INDEX(TCO!$B$2:$AQ$85,MATCH('Historical Shareweights'!$A184,TCO!$A$2:$A$85,0),MATCH('Historical Shareweights'!G180,TCO!$B$1:$AQ$1,0))</f>
        <v>335665</v>
      </c>
      <c r="H184">
        <f>INDEX(TCO!$B$2:$AQ$85,MATCH('Historical Shareweights'!$A184,TCO!$A$2:$A$85,0),MATCH('Historical Shareweights'!H180,TCO!$B$1:$AQ$1,0))</f>
        <v>336302</v>
      </c>
      <c r="I184">
        <f>INDEX(TCO!$B$2:$AQ$85,MATCH('Historical Shareweights'!$A184,TCO!$A$2:$A$85,0),MATCH('Historical Shareweights'!I180,TCO!$B$1:$AQ$1,0))</f>
        <v>337560</v>
      </c>
      <c r="J184">
        <f>INDEX(TCO!$B$2:$AQ$85,MATCH('Historical Shareweights'!$A184,TCO!$A$2:$A$85,0),MATCH('Historical Shareweights'!J180,TCO!$B$1:$AQ$1,0))</f>
        <v>338135</v>
      </c>
      <c r="K184">
        <f>INDEX(TCO!$B$2:$AQ$85,MATCH('Historical Shareweights'!$A184,TCO!$A$2:$A$85,0),MATCH('Historical Shareweights'!K180,TCO!$B$1:$AQ$1,0))</f>
        <v>342332</v>
      </c>
      <c r="L184">
        <f>INDEX(TCO!$B$2:$AQ$85,MATCH('Historical Shareweights'!$A184,TCO!$A$2:$A$85,0),MATCH('Historical Shareweights'!L180,TCO!$B$1:$AQ$1,0))</f>
        <v>344101</v>
      </c>
      <c r="M184">
        <f>INDEX(TCO!$B$2:$AQ$85,MATCH('Historical Shareweights'!$A184,TCO!$A$2:$A$85,0),MATCH('Historical Shareweights'!M180,TCO!$B$1:$AQ$1,0))</f>
        <v>345447</v>
      </c>
      <c r="N184">
        <f>INDEX(TCO!$B$2:$AQ$85,MATCH('Historical Shareweights'!$A184,TCO!$A$2:$A$85,0),MATCH('Historical Shareweights'!N180,TCO!$B$1:$AQ$1,0))</f>
        <v>350254</v>
      </c>
      <c r="O184">
        <f>INDEX(TCO!$B$2:$AQ$85,MATCH('Historical Shareweights'!$A184,TCO!$A$2:$A$85,0),MATCH('Historical Shareweights'!O180,TCO!$B$1:$AQ$1,0))</f>
        <v>350421</v>
      </c>
      <c r="P184">
        <f>INDEX(TCO!$B$2:$AQ$85,MATCH('Historical Shareweights'!$A184,TCO!$A$2:$A$85,0),MATCH('Historical Shareweights'!P180,TCO!$B$1:$AQ$1,0))</f>
        <v>351717</v>
      </c>
      <c r="Q184">
        <f>INDEX(TCO!$B$2:$AQ$85,MATCH('Historical Shareweights'!$A184,TCO!$A$2:$A$85,0),MATCH('Historical Shareweights'!Q180,TCO!$B$1:$AQ$1,0))</f>
        <v>351207</v>
      </c>
      <c r="R184">
        <f>INDEX(TCO!$B$2:$AQ$85,MATCH('Historical Shareweights'!$A184,TCO!$A$2:$A$85,0),MATCH('Historical Shareweights'!R180,TCO!$B$1:$AQ$1,0))</f>
        <v>350896</v>
      </c>
      <c r="S184">
        <f>INDEX(TCO!$B$2:$AQ$85,MATCH('Historical Shareweights'!$A184,TCO!$A$2:$A$85,0),MATCH('Historical Shareweights'!S180,TCO!$B$1:$AQ$1,0))</f>
        <v>349057</v>
      </c>
      <c r="T184">
        <f>INDEX(TCO!$B$2:$AQ$85,MATCH('Historical Shareweights'!$A184,TCO!$A$2:$A$85,0),MATCH('Historical Shareweights'!T180,TCO!$B$1:$AQ$1,0))</f>
        <v>348597</v>
      </c>
      <c r="U184">
        <f>INDEX(TCO!$B$2:$AQ$85,MATCH('Historical Shareweights'!$A184,TCO!$A$2:$A$85,0),MATCH('Historical Shareweights'!U180,TCO!$B$1:$AQ$1,0))</f>
        <v>350896</v>
      </c>
      <c r="V184">
        <f>INDEX(TCO!$B$2:$AQ$85,MATCH('Historical Shareweights'!$A184,TCO!$A$2:$A$85,0),MATCH('Historical Shareweights'!V180,TCO!$B$1:$AQ$1,0))</f>
        <v>352276</v>
      </c>
      <c r="W184">
        <f>INDEX(TCO!$B$2:$AQ$85,MATCH('Historical Shareweights'!$A184,TCO!$A$2:$A$85,0),MATCH('Historical Shareweights'!W180,TCO!$B$1:$AQ$1,0))</f>
        <v>351356</v>
      </c>
      <c r="X184">
        <f>INDEX(TCO!$B$2:$AQ$85,MATCH('Historical Shareweights'!$A184,TCO!$A$2:$A$85,0),MATCH('Historical Shareweights'!X180,TCO!$B$1:$AQ$1,0))</f>
        <v>354576</v>
      </c>
      <c r="Y184">
        <f>INDEX(TCO!$B$2:$AQ$85,MATCH('Historical Shareweights'!$A184,TCO!$A$2:$A$85,0),MATCH('Historical Shareweights'!Y180,TCO!$B$1:$AQ$1,0))</f>
        <v>355495</v>
      </c>
      <c r="Z184">
        <f>INDEX(TCO!$B$2:$AQ$85,MATCH('Historical Shareweights'!$A184,TCO!$A$2:$A$85,0),MATCH('Historical Shareweights'!Z180,TCO!$B$1:$AQ$1,0))</f>
        <v>356415</v>
      </c>
      <c r="AA184">
        <f>INDEX(TCO!$B$2:$AQ$85,MATCH('Historical Shareweights'!$A184,TCO!$A$2:$A$85,0),MATCH('Historical Shareweights'!AA180,TCO!$B$1:$AQ$1,0))</f>
        <v>357795</v>
      </c>
      <c r="AB184">
        <f>INDEX(TCO!$B$2:$AQ$85,MATCH('Historical Shareweights'!$A184,TCO!$A$2:$A$85,0),MATCH('Historical Shareweights'!AB180,TCO!$B$1:$AQ$1,0))</f>
        <v>359174</v>
      </c>
      <c r="AC184">
        <f>INDEX(TCO!$B$2:$AQ$85,MATCH('Historical Shareweights'!$A184,TCO!$A$2:$A$85,0),MATCH('Historical Shareweights'!AC180,TCO!$B$1:$AQ$1,0))</f>
        <v>361474</v>
      </c>
      <c r="AD184">
        <f>INDEX(TCO!$B$2:$AQ$85,MATCH('Historical Shareweights'!$A184,TCO!$A$2:$A$85,0),MATCH('Historical Shareweights'!AD180,TCO!$B$1:$AQ$1,0))</f>
        <v>362854</v>
      </c>
      <c r="AE184">
        <f>INDEX(TCO!$B$2:$AQ$85,MATCH('Historical Shareweights'!$A184,TCO!$A$2:$A$85,0),MATCH('Historical Shareweights'!AE180,TCO!$B$1:$AQ$1,0))</f>
        <v>364233</v>
      </c>
      <c r="AF184">
        <f>INDEX(TCO!$B$2:$AQ$85,MATCH('Historical Shareweights'!$A184,TCO!$A$2:$A$85,0),MATCH('Historical Shareweights'!AF180,TCO!$B$1:$AQ$1,0))</f>
        <v>364693</v>
      </c>
      <c r="AG184">
        <f>INDEX(TCO!$B$2:$AQ$85,MATCH('Historical Shareweights'!$A184,TCO!$A$2:$A$85,0),MATCH('Historical Shareweights'!AG180,TCO!$B$1:$AQ$1,0))</f>
        <v>366073</v>
      </c>
      <c r="AH184">
        <f>INDEX(TCO!$B$2:$AQ$85,MATCH('Historical Shareweights'!$A184,TCO!$A$2:$A$85,0),MATCH('Historical Shareweights'!AH180,TCO!$B$1:$AQ$1,0))</f>
        <v>368372</v>
      </c>
      <c r="AI184">
        <f>INDEX(TCO!$B$2:$AQ$85,MATCH('Historical Shareweights'!$A184,TCO!$A$2:$A$85,0),MATCH('Historical Shareweights'!AI180,TCO!$B$1:$AQ$1,0))</f>
        <v>369292</v>
      </c>
      <c r="AJ184">
        <f>INDEX(TCO!$B$2:$AQ$85,MATCH('Historical Shareweights'!$A184,TCO!$A$2:$A$85,0),MATCH('Historical Shareweights'!AJ180,TCO!$B$1:$AQ$1,0))</f>
        <v>371132</v>
      </c>
      <c r="AK184">
        <f>INDEX(TCO!$B$2:$AQ$85,MATCH('Historical Shareweights'!$A184,TCO!$A$2:$A$85,0),MATCH('Historical Shareweights'!AK180,TCO!$B$1:$AQ$1,0))</f>
        <v>372511</v>
      </c>
      <c r="AL184">
        <f>INDEX(TCO!$B$2:$AQ$85,MATCH('Historical Shareweights'!$A184,TCO!$A$2:$A$85,0),MATCH('Historical Shareweights'!AL180,TCO!$B$1:$AQ$1,0))</f>
        <v>373891</v>
      </c>
      <c r="AM184">
        <f>INDEX(TCO!$B$2:$AQ$85,MATCH('Historical Shareweights'!$A184,TCO!$A$2:$A$85,0),MATCH('Historical Shareweights'!AM180,TCO!$B$1:$AQ$1,0))</f>
        <v>374811</v>
      </c>
      <c r="AN184">
        <f>INDEX(TCO!$B$2:$AQ$85,MATCH('Historical Shareweights'!$A184,TCO!$A$2:$A$85,0),MATCH('Historical Shareweights'!AN180,TCO!$B$1:$AQ$1,0))</f>
        <v>376190</v>
      </c>
      <c r="AO184">
        <f>INDEX(TCO!$B$2:$AQ$85,MATCH('Historical Shareweights'!$A184,TCO!$A$2:$A$85,0),MATCH('Historical Shareweights'!AO180,TCO!$B$1:$AQ$1,0))</f>
        <v>377570</v>
      </c>
      <c r="AP184">
        <f>INDEX(TCO!$B$2:$AQ$85,MATCH('Historical Shareweights'!$A184,TCO!$A$2:$A$85,0),MATCH('Historical Shareweights'!AP180,TCO!$B$1:$AQ$1,0))</f>
        <v>378950</v>
      </c>
      <c r="AQ184">
        <f>INDEX(TCO!$B$2:$AQ$85,MATCH('Historical Shareweights'!$A184,TCO!$A$2:$A$85,0),MATCH('Historical Shareweights'!AQ180,TCO!$B$1:$AQ$1,0))</f>
        <v>380330</v>
      </c>
    </row>
    <row r="185" spans="1:43" outlineLevel="1" x14ac:dyDescent="0.15">
      <c r="A185" t="s">
        <v>1132</v>
      </c>
      <c r="B185">
        <f>INDEX(TCO!$B$2:$AQ$85,MATCH('Historical Shareweights'!$A185,TCO!$A$2:$A$85,0),MATCH('Historical Shareweights'!B180,TCO!$B$1:$AQ$1,0))</f>
        <v>480108</v>
      </c>
      <c r="C185">
        <f>INDEX(TCO!$B$2:$AQ$85,MATCH('Historical Shareweights'!$A185,TCO!$A$2:$A$85,0),MATCH('Historical Shareweights'!C180,TCO!$B$1:$AQ$1,0))</f>
        <v>480108</v>
      </c>
      <c r="D185">
        <f>INDEX(TCO!$B$2:$AQ$85,MATCH('Historical Shareweights'!$A185,TCO!$A$2:$A$85,0),MATCH('Historical Shareweights'!D180,TCO!$B$1:$AQ$1,0))</f>
        <v>482953</v>
      </c>
      <c r="E185">
        <f>INDEX(TCO!$B$2:$AQ$85,MATCH('Historical Shareweights'!$A185,TCO!$A$2:$A$85,0),MATCH('Historical Shareweights'!E180,TCO!$B$1:$AQ$1,0))</f>
        <v>479397</v>
      </c>
      <c r="F185">
        <f>INDEX(TCO!$B$2:$AQ$85,MATCH('Historical Shareweights'!$A185,TCO!$A$2:$A$85,0),MATCH('Historical Shareweights'!F180,TCO!$B$1:$AQ$1,0))</f>
        <v>479637</v>
      </c>
      <c r="G185">
        <f>INDEX(TCO!$B$2:$AQ$85,MATCH('Historical Shareweights'!$A185,TCO!$A$2:$A$85,0),MATCH('Historical Shareweights'!G180,TCO!$B$1:$AQ$1,0))</f>
        <v>479374</v>
      </c>
      <c r="H185">
        <f>INDEX(TCO!$B$2:$AQ$85,MATCH('Historical Shareweights'!$A185,TCO!$A$2:$A$85,0),MATCH('Historical Shareweights'!H180,TCO!$B$1:$AQ$1,0))</f>
        <v>477244</v>
      </c>
      <c r="I185">
        <f>INDEX(TCO!$B$2:$AQ$85,MATCH('Historical Shareweights'!$A185,TCO!$A$2:$A$85,0),MATCH('Historical Shareweights'!I180,TCO!$B$1:$AQ$1,0))</f>
        <v>475889</v>
      </c>
      <c r="J185">
        <f>INDEX(TCO!$B$2:$AQ$85,MATCH('Historical Shareweights'!$A185,TCO!$A$2:$A$85,0),MATCH('Historical Shareweights'!J180,TCO!$B$1:$AQ$1,0))</f>
        <v>474474</v>
      </c>
      <c r="K185">
        <f>INDEX(TCO!$B$2:$AQ$85,MATCH('Historical Shareweights'!$A185,TCO!$A$2:$A$85,0),MATCH('Historical Shareweights'!K180,TCO!$B$1:$AQ$1,0))</f>
        <v>475002</v>
      </c>
      <c r="L185">
        <f>INDEX(TCO!$B$2:$AQ$85,MATCH('Historical Shareweights'!$A185,TCO!$A$2:$A$85,0),MATCH('Historical Shareweights'!L180,TCO!$B$1:$AQ$1,0))</f>
        <v>473861</v>
      </c>
      <c r="M185">
        <f>INDEX(TCO!$B$2:$AQ$85,MATCH('Historical Shareweights'!$A185,TCO!$A$2:$A$85,0),MATCH('Historical Shareweights'!M180,TCO!$B$1:$AQ$1,0))</f>
        <v>473185</v>
      </c>
      <c r="N185">
        <f>INDEX(TCO!$B$2:$AQ$85,MATCH('Historical Shareweights'!$A185,TCO!$A$2:$A$85,0),MATCH('Historical Shareweights'!N180,TCO!$B$1:$AQ$1,0))</f>
        <v>474313</v>
      </c>
      <c r="O185">
        <f>INDEX(TCO!$B$2:$AQ$85,MATCH('Historical Shareweights'!$A185,TCO!$A$2:$A$85,0),MATCH('Historical Shareweights'!O180,TCO!$B$1:$AQ$1,0))</f>
        <v>474424</v>
      </c>
      <c r="P185">
        <f>INDEX(TCO!$B$2:$AQ$85,MATCH('Historical Shareweights'!$A185,TCO!$A$2:$A$85,0),MATCH('Historical Shareweights'!P180,TCO!$B$1:$AQ$1,0))</f>
        <v>474043</v>
      </c>
      <c r="Q185">
        <f>INDEX(TCO!$B$2:$AQ$85,MATCH('Historical Shareweights'!$A185,TCO!$A$2:$A$85,0),MATCH('Historical Shareweights'!Q180,TCO!$B$1:$AQ$1,0))</f>
        <v>473624</v>
      </c>
      <c r="R185">
        <f>INDEX(TCO!$B$2:$AQ$85,MATCH('Historical Shareweights'!$A185,TCO!$A$2:$A$85,0),MATCH('Historical Shareweights'!R180,TCO!$B$1:$AQ$1,0))</f>
        <v>473387</v>
      </c>
      <c r="S185">
        <f>INDEX(TCO!$B$2:$AQ$85,MATCH('Historical Shareweights'!$A185,TCO!$A$2:$A$85,0),MATCH('Historical Shareweights'!S180,TCO!$B$1:$AQ$1,0))</f>
        <v>472608</v>
      </c>
      <c r="T185">
        <f>INDEX(TCO!$B$2:$AQ$85,MATCH('Historical Shareweights'!$A185,TCO!$A$2:$A$85,0),MATCH('Historical Shareweights'!T180,TCO!$B$1:$AQ$1,0))</f>
        <v>472274</v>
      </c>
      <c r="U185">
        <f>INDEX(TCO!$B$2:$AQ$85,MATCH('Historical Shareweights'!$A185,TCO!$A$2:$A$85,0),MATCH('Historical Shareweights'!U180,TCO!$B$1:$AQ$1,0))</f>
        <v>472987</v>
      </c>
      <c r="V185">
        <f>INDEX(TCO!$B$2:$AQ$85,MATCH('Historical Shareweights'!$A185,TCO!$A$2:$A$85,0),MATCH('Historical Shareweights'!V180,TCO!$B$1:$AQ$1,0))</f>
        <v>473623</v>
      </c>
      <c r="W185">
        <f>INDEX(TCO!$B$2:$AQ$85,MATCH('Historical Shareweights'!$A185,TCO!$A$2:$A$85,0),MATCH('Historical Shareweights'!W180,TCO!$B$1:$AQ$1,0))</f>
        <v>473321</v>
      </c>
      <c r="X185">
        <f>INDEX(TCO!$B$2:$AQ$85,MATCH('Historical Shareweights'!$A185,TCO!$A$2:$A$85,0),MATCH('Historical Shareweights'!X180,TCO!$B$1:$AQ$1,0))</f>
        <v>474144</v>
      </c>
      <c r="Y185">
        <f>INDEX(TCO!$B$2:$AQ$85,MATCH('Historical Shareweights'!$A185,TCO!$A$2:$A$85,0),MATCH('Historical Shareweights'!Y180,TCO!$B$1:$AQ$1,0))</f>
        <v>474429</v>
      </c>
      <c r="Z185">
        <f>INDEX(TCO!$B$2:$AQ$85,MATCH('Historical Shareweights'!$A185,TCO!$A$2:$A$85,0),MATCH('Historical Shareweights'!Z180,TCO!$B$1:$AQ$1,0))</f>
        <v>474714</v>
      </c>
      <c r="AA185">
        <f>INDEX(TCO!$B$2:$AQ$85,MATCH('Historical Shareweights'!$A185,TCO!$A$2:$A$85,0),MATCH('Historical Shareweights'!AA180,TCO!$B$1:$AQ$1,0))</f>
        <v>475124</v>
      </c>
      <c r="AB185">
        <f>INDEX(TCO!$B$2:$AQ$85,MATCH('Historical Shareweights'!$A185,TCO!$A$2:$A$85,0),MATCH('Historical Shareweights'!AB180,TCO!$B$1:$AQ$1,0))</f>
        <v>475551</v>
      </c>
      <c r="AC185">
        <f>INDEX(TCO!$B$2:$AQ$85,MATCH('Historical Shareweights'!$A185,TCO!$A$2:$A$85,0),MATCH('Historical Shareweights'!AC180,TCO!$B$1:$AQ$1,0))</f>
        <v>476090</v>
      </c>
      <c r="AD185">
        <f>INDEX(TCO!$B$2:$AQ$85,MATCH('Historical Shareweights'!$A185,TCO!$A$2:$A$85,0),MATCH('Historical Shareweights'!AD180,TCO!$B$1:$AQ$1,0))</f>
        <v>476500</v>
      </c>
      <c r="AE185">
        <f>INDEX(TCO!$B$2:$AQ$85,MATCH('Historical Shareweights'!$A185,TCO!$A$2:$A$85,0),MATCH('Historical Shareweights'!AE180,TCO!$B$1:$AQ$1,0))</f>
        <v>476927</v>
      </c>
      <c r="AF185">
        <f>INDEX(TCO!$B$2:$AQ$85,MATCH('Historical Shareweights'!$A185,TCO!$A$2:$A$85,0),MATCH('Historical Shareweights'!AF180,TCO!$B$1:$AQ$1,0))</f>
        <v>476878</v>
      </c>
      <c r="AG185">
        <f>INDEX(TCO!$B$2:$AQ$85,MATCH('Historical Shareweights'!$A185,TCO!$A$2:$A$85,0),MATCH('Historical Shareweights'!AG180,TCO!$B$1:$AQ$1,0))</f>
        <v>477306</v>
      </c>
      <c r="AH185">
        <f>INDEX(TCO!$B$2:$AQ$85,MATCH('Historical Shareweights'!$A185,TCO!$A$2:$A$85,0),MATCH('Historical Shareweights'!AH180,TCO!$B$1:$AQ$1,0))</f>
        <v>478018</v>
      </c>
      <c r="AI185">
        <f>INDEX(TCO!$B$2:$AQ$85,MATCH('Historical Shareweights'!$A185,TCO!$A$2:$A$85,0),MATCH('Historical Shareweights'!AI180,TCO!$B$1:$AQ$1,0))</f>
        <v>478111</v>
      </c>
      <c r="AJ185">
        <f>INDEX(TCO!$B$2:$AQ$85,MATCH('Historical Shareweights'!$A185,TCO!$A$2:$A$85,0),MATCH('Historical Shareweights'!AJ180,TCO!$B$1:$AQ$1,0))</f>
        <v>478681</v>
      </c>
      <c r="AK185">
        <f>INDEX(TCO!$B$2:$AQ$85,MATCH('Historical Shareweights'!$A185,TCO!$A$2:$A$85,0),MATCH('Historical Shareweights'!AK180,TCO!$B$1:$AQ$1,0))</f>
        <v>479091</v>
      </c>
      <c r="AL185">
        <f>INDEX(TCO!$B$2:$AQ$85,MATCH('Historical Shareweights'!$A185,TCO!$A$2:$A$85,0),MATCH('Historical Shareweights'!AL180,TCO!$B$1:$AQ$1,0))</f>
        <v>479345</v>
      </c>
      <c r="AM185">
        <f>INDEX(TCO!$B$2:$AQ$85,MATCH('Historical Shareweights'!$A185,TCO!$A$2:$A$85,0),MATCH('Historical Shareweights'!AM180,TCO!$B$1:$AQ$1,0))</f>
        <v>479630</v>
      </c>
      <c r="AN185">
        <f>INDEX(TCO!$B$2:$AQ$85,MATCH('Historical Shareweights'!$A185,TCO!$A$2:$A$85,0),MATCH('Historical Shareweights'!AN180,TCO!$B$1:$AQ$1,0))</f>
        <v>480040</v>
      </c>
      <c r="AO185">
        <f>INDEX(TCO!$B$2:$AQ$85,MATCH('Historical Shareweights'!$A185,TCO!$A$2:$A$85,0),MATCH('Historical Shareweights'!AO180,TCO!$B$1:$AQ$1,0))</f>
        <v>480293</v>
      </c>
      <c r="AP185">
        <f>INDEX(TCO!$B$2:$AQ$85,MATCH('Historical Shareweights'!$A185,TCO!$A$2:$A$85,0),MATCH('Historical Shareweights'!AP180,TCO!$B$1:$AQ$1,0))</f>
        <v>480703</v>
      </c>
      <c r="AQ185">
        <f>INDEX(TCO!$B$2:$AQ$85,MATCH('Historical Shareweights'!$A185,TCO!$A$2:$A$85,0),MATCH('Historical Shareweights'!AQ180,TCO!$B$1:$AQ$1,0))</f>
        <v>481126</v>
      </c>
    </row>
    <row r="186" spans="1:43" outlineLevel="1" x14ac:dyDescent="0.15">
      <c r="A186" t="s">
        <v>1133</v>
      </c>
      <c r="B186">
        <f>INDEX(TCO!$B$2:$AQ$85,MATCH('Historical Shareweights'!$A186,TCO!$A$2:$A$85,0),MATCH('Historical Shareweights'!B180,TCO!$B$1:$AQ$1,0))</f>
        <v>320566</v>
      </c>
      <c r="C186">
        <f>INDEX(TCO!$B$2:$AQ$85,MATCH('Historical Shareweights'!$A186,TCO!$A$2:$A$85,0),MATCH('Historical Shareweights'!C180,TCO!$B$1:$AQ$1,0))</f>
        <v>320566</v>
      </c>
      <c r="D186">
        <f>INDEX(TCO!$B$2:$AQ$85,MATCH('Historical Shareweights'!$A186,TCO!$A$2:$A$85,0),MATCH('Historical Shareweights'!D180,TCO!$B$1:$AQ$1,0))</f>
        <v>346117</v>
      </c>
      <c r="E186">
        <f>INDEX(TCO!$B$2:$AQ$85,MATCH('Historical Shareweights'!$A186,TCO!$A$2:$A$85,0),MATCH('Historical Shareweights'!E180,TCO!$B$1:$AQ$1,0))</f>
        <v>353980</v>
      </c>
      <c r="F186">
        <f>INDEX(TCO!$B$2:$AQ$85,MATCH('Historical Shareweights'!$A186,TCO!$A$2:$A$85,0),MATCH('Historical Shareweights'!F180,TCO!$B$1:$AQ$1,0))</f>
        <v>357154</v>
      </c>
      <c r="G186">
        <f>INDEX(TCO!$B$2:$AQ$85,MATCH('Historical Shareweights'!$A186,TCO!$A$2:$A$85,0),MATCH('Historical Shareweights'!G180,TCO!$B$1:$AQ$1,0))</f>
        <v>355567</v>
      </c>
      <c r="H186">
        <f>INDEX(TCO!$B$2:$AQ$85,MATCH('Historical Shareweights'!$A186,TCO!$A$2:$A$85,0),MATCH('Historical Shareweights'!H180,TCO!$B$1:$AQ$1,0))</f>
        <v>356361</v>
      </c>
      <c r="I186">
        <f>INDEX(TCO!$B$2:$AQ$85,MATCH('Historical Shareweights'!$A186,TCO!$A$2:$A$85,0),MATCH('Historical Shareweights'!I180,TCO!$B$1:$AQ$1,0))</f>
        <v>357154</v>
      </c>
      <c r="J186">
        <f>INDEX(TCO!$B$2:$AQ$85,MATCH('Historical Shareweights'!$A186,TCO!$A$2:$A$85,0),MATCH('Historical Shareweights'!J180,TCO!$B$1:$AQ$1,0))</f>
        <v>355567</v>
      </c>
      <c r="K186">
        <f>INDEX(TCO!$B$2:$AQ$85,MATCH('Historical Shareweights'!$A186,TCO!$A$2:$A$85,0),MATCH('Historical Shareweights'!K180,TCO!$B$1:$AQ$1,0))</f>
        <v>355567</v>
      </c>
      <c r="L186">
        <f>INDEX(TCO!$B$2:$AQ$85,MATCH('Historical Shareweights'!$A186,TCO!$A$2:$A$85,0),MATCH('Historical Shareweights'!L180,TCO!$B$1:$AQ$1,0))</f>
        <v>357154</v>
      </c>
      <c r="M186">
        <f>INDEX(TCO!$B$2:$AQ$85,MATCH('Historical Shareweights'!$A186,TCO!$A$2:$A$85,0),MATCH('Historical Shareweights'!M180,TCO!$B$1:$AQ$1,0))</f>
        <v>357948</v>
      </c>
      <c r="N186">
        <f>INDEX(TCO!$B$2:$AQ$85,MATCH('Historical Shareweights'!$A186,TCO!$A$2:$A$85,0),MATCH('Historical Shareweights'!N180,TCO!$B$1:$AQ$1,0))</f>
        <v>364945</v>
      </c>
      <c r="O186">
        <f>INDEX(TCO!$B$2:$AQ$85,MATCH('Historical Shareweights'!$A186,TCO!$A$2:$A$85,0),MATCH('Historical Shareweights'!O180,TCO!$B$1:$AQ$1,0))</f>
        <v>365810</v>
      </c>
      <c r="P186">
        <f>INDEX(TCO!$B$2:$AQ$85,MATCH('Historical Shareweights'!$A186,TCO!$A$2:$A$85,0),MATCH('Historical Shareweights'!P180,TCO!$B$1:$AQ$1,0))</f>
        <v>367325</v>
      </c>
      <c r="Q186">
        <f>INDEX(TCO!$B$2:$AQ$85,MATCH('Historical Shareweights'!$A186,TCO!$A$2:$A$85,0),MATCH('Historical Shareweights'!Q180,TCO!$B$1:$AQ$1,0))</f>
        <v>368119</v>
      </c>
      <c r="R186">
        <f>INDEX(TCO!$B$2:$AQ$85,MATCH('Historical Shareweights'!$A186,TCO!$A$2:$A$85,0),MATCH('Historical Shareweights'!R180,TCO!$B$1:$AQ$1,0))</f>
        <v>368912</v>
      </c>
      <c r="S186">
        <f>INDEX(TCO!$B$2:$AQ$85,MATCH('Historical Shareweights'!$A186,TCO!$A$2:$A$85,0),MATCH('Historical Shareweights'!S180,TCO!$B$1:$AQ$1,0))</f>
        <v>368984</v>
      </c>
      <c r="T186">
        <f>INDEX(TCO!$B$2:$AQ$85,MATCH('Historical Shareweights'!$A186,TCO!$A$2:$A$85,0),MATCH('Historical Shareweights'!T180,TCO!$B$1:$AQ$1,0))</f>
        <v>370499</v>
      </c>
      <c r="U186">
        <f>INDEX(TCO!$B$2:$AQ$85,MATCH('Historical Shareweights'!$A186,TCO!$A$2:$A$85,0),MATCH('Historical Shareweights'!U180,TCO!$B$1:$AQ$1,0))</f>
        <v>372086</v>
      </c>
      <c r="V186">
        <f>INDEX(TCO!$B$2:$AQ$85,MATCH('Historical Shareweights'!$A186,TCO!$A$2:$A$85,0),MATCH('Historical Shareweights'!V180,TCO!$B$1:$AQ$1,0))</f>
        <v>373601</v>
      </c>
      <c r="W186">
        <f>INDEX(TCO!$B$2:$AQ$85,MATCH('Historical Shareweights'!$A186,TCO!$A$2:$A$85,0),MATCH('Historical Shareweights'!W180,TCO!$B$1:$AQ$1,0))</f>
        <v>374395</v>
      </c>
      <c r="X186">
        <f>INDEX(TCO!$B$2:$AQ$85,MATCH('Historical Shareweights'!$A186,TCO!$A$2:$A$85,0),MATCH('Historical Shareweights'!X180,TCO!$B$1:$AQ$1,0))</f>
        <v>375188</v>
      </c>
      <c r="Y186">
        <f>INDEX(TCO!$B$2:$AQ$85,MATCH('Historical Shareweights'!$A186,TCO!$A$2:$A$85,0),MATCH('Historical Shareweights'!Y180,TCO!$B$1:$AQ$1,0))</f>
        <v>375982</v>
      </c>
      <c r="Z186">
        <f>INDEX(TCO!$B$2:$AQ$85,MATCH('Historical Shareweights'!$A186,TCO!$A$2:$A$85,0),MATCH('Historical Shareweights'!Z180,TCO!$B$1:$AQ$1,0))</f>
        <v>376775</v>
      </c>
      <c r="AA186">
        <f>INDEX(TCO!$B$2:$AQ$85,MATCH('Historical Shareweights'!$A186,TCO!$A$2:$A$85,0),MATCH('Historical Shareweights'!AA180,TCO!$B$1:$AQ$1,0))</f>
        <v>376775</v>
      </c>
      <c r="AB186">
        <f>INDEX(TCO!$B$2:$AQ$85,MATCH('Historical Shareweights'!$A186,TCO!$A$2:$A$85,0),MATCH('Historical Shareweights'!AB180,TCO!$B$1:$AQ$1,0))</f>
        <v>377641</v>
      </c>
      <c r="AC186">
        <f>INDEX(TCO!$B$2:$AQ$85,MATCH('Historical Shareweights'!$A186,TCO!$A$2:$A$85,0),MATCH('Historical Shareweights'!AC180,TCO!$B$1:$AQ$1,0))</f>
        <v>378362</v>
      </c>
      <c r="AD186">
        <f>INDEX(TCO!$B$2:$AQ$85,MATCH('Historical Shareweights'!$A186,TCO!$A$2:$A$85,0),MATCH('Historical Shareweights'!AD180,TCO!$B$1:$AQ$1,0))</f>
        <v>379949</v>
      </c>
      <c r="AE186">
        <f>INDEX(TCO!$B$2:$AQ$85,MATCH('Historical Shareweights'!$A186,TCO!$A$2:$A$85,0),MATCH('Historical Shareweights'!AE180,TCO!$B$1:$AQ$1,0))</f>
        <v>380743</v>
      </c>
      <c r="AF186">
        <f>INDEX(TCO!$B$2:$AQ$85,MATCH('Historical Shareweights'!$A186,TCO!$A$2:$A$85,0),MATCH('Historical Shareweights'!AF180,TCO!$B$1:$AQ$1,0))</f>
        <v>381536</v>
      </c>
      <c r="AG186">
        <f>INDEX(TCO!$B$2:$AQ$85,MATCH('Historical Shareweights'!$A186,TCO!$A$2:$A$85,0),MATCH('Historical Shareweights'!AG180,TCO!$B$1:$AQ$1,0))</f>
        <v>383051</v>
      </c>
      <c r="AH186">
        <f>INDEX(TCO!$B$2:$AQ$85,MATCH('Historical Shareweights'!$A186,TCO!$A$2:$A$85,0),MATCH('Historical Shareweights'!AH180,TCO!$B$1:$AQ$1,0))</f>
        <v>383123</v>
      </c>
      <c r="AI186">
        <f>INDEX(TCO!$B$2:$AQ$85,MATCH('Historical Shareweights'!$A186,TCO!$A$2:$A$85,0),MATCH('Historical Shareweights'!AI180,TCO!$B$1:$AQ$1,0))</f>
        <v>383917</v>
      </c>
      <c r="AJ186">
        <f>INDEX(TCO!$B$2:$AQ$85,MATCH('Historical Shareweights'!$A186,TCO!$A$2:$A$85,0),MATCH('Historical Shareweights'!AJ180,TCO!$B$1:$AQ$1,0))</f>
        <v>385432</v>
      </c>
      <c r="AK186">
        <f>INDEX(TCO!$B$2:$AQ$85,MATCH('Historical Shareweights'!$A186,TCO!$A$2:$A$85,0),MATCH('Historical Shareweights'!AK180,TCO!$B$1:$AQ$1,0))</f>
        <v>386225</v>
      </c>
      <c r="AL186">
        <f>INDEX(TCO!$B$2:$AQ$85,MATCH('Historical Shareweights'!$A186,TCO!$A$2:$A$85,0),MATCH('Historical Shareweights'!AL180,TCO!$B$1:$AQ$1,0))</f>
        <v>387019</v>
      </c>
      <c r="AM186">
        <f>INDEX(TCO!$B$2:$AQ$85,MATCH('Historical Shareweights'!$A186,TCO!$A$2:$A$85,0),MATCH('Historical Shareweights'!AM180,TCO!$B$1:$AQ$1,0))</f>
        <v>387812</v>
      </c>
      <c r="AN186">
        <f>INDEX(TCO!$B$2:$AQ$85,MATCH('Historical Shareweights'!$A186,TCO!$A$2:$A$85,0),MATCH('Historical Shareweights'!AN180,TCO!$B$1:$AQ$1,0))</f>
        <v>388606</v>
      </c>
      <c r="AO186">
        <f>INDEX(TCO!$B$2:$AQ$85,MATCH('Historical Shareweights'!$A186,TCO!$A$2:$A$85,0),MATCH('Historical Shareweights'!AO180,TCO!$B$1:$AQ$1,0))</f>
        <v>389399</v>
      </c>
      <c r="AP186">
        <f>INDEX(TCO!$B$2:$AQ$85,MATCH('Historical Shareweights'!$A186,TCO!$A$2:$A$85,0),MATCH('Historical Shareweights'!AP180,TCO!$B$1:$AQ$1,0))</f>
        <v>390914</v>
      </c>
      <c r="AQ186">
        <f>INDEX(TCO!$B$2:$AQ$85,MATCH('Historical Shareweights'!$A186,TCO!$A$2:$A$85,0),MATCH('Historical Shareweights'!AQ180,TCO!$B$1:$AQ$1,0))</f>
        <v>391707</v>
      </c>
    </row>
    <row r="187" spans="1:43" outlineLevel="1" x14ac:dyDescent="0.15">
      <c r="A187" t="s">
        <v>1134</v>
      </c>
      <c r="B187">
        <f>INDEX(TCO!$B$2:$AQ$85,MATCH('Historical Shareweights'!$A187,TCO!$A$2:$A$85,0),MATCH('Historical Shareweights'!B180,TCO!$B$1:$AQ$1,0))</f>
        <v>851442</v>
      </c>
      <c r="C187">
        <f>INDEX(TCO!$B$2:$AQ$85,MATCH('Historical Shareweights'!$A187,TCO!$A$2:$A$85,0),MATCH('Historical Shareweights'!C180,TCO!$B$1:$AQ$1,0))</f>
        <v>851442</v>
      </c>
      <c r="D187">
        <f>INDEX(TCO!$B$2:$AQ$85,MATCH('Historical Shareweights'!$A187,TCO!$A$2:$A$85,0),MATCH('Historical Shareweights'!D180,TCO!$B$1:$AQ$1,0))</f>
        <v>823770</v>
      </c>
      <c r="E187">
        <f>INDEX(TCO!$B$2:$AQ$85,MATCH('Historical Shareweights'!$A187,TCO!$A$2:$A$85,0),MATCH('Historical Shareweights'!E180,TCO!$B$1:$AQ$1,0))</f>
        <v>798013</v>
      </c>
      <c r="F187">
        <f>INDEX(TCO!$B$2:$AQ$85,MATCH('Historical Shareweights'!$A187,TCO!$A$2:$A$85,0),MATCH('Historical Shareweights'!F180,TCO!$B$1:$AQ$1,0))</f>
        <v>774074</v>
      </c>
      <c r="G187">
        <f>INDEX(TCO!$B$2:$AQ$85,MATCH('Historical Shareweights'!$A187,TCO!$A$2:$A$85,0),MATCH('Historical Shareweights'!G180,TCO!$B$1:$AQ$1,0))</f>
        <v>751098</v>
      </c>
      <c r="H187">
        <f>INDEX(TCO!$B$2:$AQ$85,MATCH('Historical Shareweights'!$A187,TCO!$A$2:$A$85,0),MATCH('Historical Shareweights'!H180,TCO!$B$1:$AQ$1,0))</f>
        <v>729821</v>
      </c>
      <c r="I187">
        <f>INDEX(TCO!$B$2:$AQ$85,MATCH('Historical Shareweights'!$A187,TCO!$A$2:$A$85,0),MATCH('Historical Shareweights'!I180,TCO!$B$1:$AQ$1,0))</f>
        <v>712139</v>
      </c>
      <c r="J187">
        <f>INDEX(TCO!$B$2:$AQ$85,MATCH('Historical Shareweights'!$A187,TCO!$A$2:$A$85,0),MATCH('Historical Shareweights'!J180,TCO!$B$1:$AQ$1,0))</f>
        <v>695597</v>
      </c>
      <c r="K187">
        <f>INDEX(TCO!$B$2:$AQ$85,MATCH('Historical Shareweights'!$A187,TCO!$A$2:$A$85,0),MATCH('Historical Shareweights'!K180,TCO!$B$1:$AQ$1,0))</f>
        <v>680326</v>
      </c>
      <c r="L187">
        <f>INDEX(TCO!$B$2:$AQ$85,MATCH('Historical Shareweights'!$A187,TCO!$A$2:$A$85,0),MATCH('Historical Shareweights'!L180,TCO!$B$1:$AQ$1,0))</f>
        <v>666131</v>
      </c>
      <c r="M187">
        <f>INDEX(TCO!$B$2:$AQ$85,MATCH('Historical Shareweights'!$A187,TCO!$A$2:$A$85,0),MATCH('Historical Shareweights'!M180,TCO!$B$1:$AQ$1,0))</f>
        <v>652348</v>
      </c>
      <c r="N187">
        <f>INDEX(TCO!$B$2:$AQ$85,MATCH('Historical Shareweights'!$A187,TCO!$A$2:$A$85,0),MATCH('Historical Shareweights'!N180,TCO!$B$1:$AQ$1,0))</f>
        <v>638330</v>
      </c>
      <c r="O187">
        <f>INDEX(TCO!$B$2:$AQ$85,MATCH('Historical Shareweights'!$A187,TCO!$A$2:$A$85,0),MATCH('Historical Shareweights'!O180,TCO!$B$1:$AQ$1,0))</f>
        <v>626618</v>
      </c>
      <c r="P187">
        <f>INDEX(TCO!$B$2:$AQ$85,MATCH('Historical Shareweights'!$A187,TCO!$A$2:$A$85,0),MATCH('Historical Shareweights'!P180,TCO!$B$1:$AQ$1,0))</f>
        <v>614845</v>
      </c>
      <c r="Q187">
        <f>INDEX(TCO!$B$2:$AQ$85,MATCH('Historical Shareweights'!$A187,TCO!$A$2:$A$85,0),MATCH('Historical Shareweights'!Q180,TCO!$B$1:$AQ$1,0))</f>
        <v>603712</v>
      </c>
      <c r="R187">
        <f>INDEX(TCO!$B$2:$AQ$85,MATCH('Historical Shareweights'!$A187,TCO!$A$2:$A$85,0),MATCH('Historical Shareweights'!R180,TCO!$B$1:$AQ$1,0))</f>
        <v>593238</v>
      </c>
      <c r="S187">
        <f>INDEX(TCO!$B$2:$AQ$85,MATCH('Historical Shareweights'!$A187,TCO!$A$2:$A$85,0),MATCH('Historical Shareweights'!S180,TCO!$B$1:$AQ$1,0))</f>
        <v>584765</v>
      </c>
      <c r="T187">
        <f>INDEX(TCO!$B$2:$AQ$85,MATCH('Historical Shareweights'!$A187,TCO!$A$2:$A$85,0),MATCH('Historical Shareweights'!T180,TCO!$B$1:$AQ$1,0))</f>
        <v>577050</v>
      </c>
      <c r="U187">
        <f>INDEX(TCO!$B$2:$AQ$85,MATCH('Historical Shareweights'!$A187,TCO!$A$2:$A$85,0),MATCH('Historical Shareweights'!U180,TCO!$B$1:$AQ$1,0))</f>
        <v>569334</v>
      </c>
      <c r="V187">
        <f>INDEX(TCO!$B$2:$AQ$85,MATCH('Historical Shareweights'!$A187,TCO!$A$2:$A$85,0),MATCH('Historical Shareweights'!V180,TCO!$B$1:$AQ$1,0))</f>
        <v>562526</v>
      </c>
      <c r="W187">
        <f>INDEX(TCO!$B$2:$AQ$85,MATCH('Historical Shareweights'!$A187,TCO!$A$2:$A$85,0),MATCH('Historical Shareweights'!W180,TCO!$B$1:$AQ$1,0))</f>
        <v>555642</v>
      </c>
      <c r="X187">
        <f>INDEX(TCO!$B$2:$AQ$85,MATCH('Historical Shareweights'!$A187,TCO!$A$2:$A$85,0),MATCH('Historical Shareweights'!X180,TCO!$B$1:$AQ$1,0))</f>
        <v>549666</v>
      </c>
      <c r="Y187">
        <f>INDEX(TCO!$B$2:$AQ$85,MATCH('Historical Shareweights'!$A187,TCO!$A$2:$A$85,0),MATCH('Historical Shareweights'!Y180,TCO!$B$1:$AQ$1,0))</f>
        <v>543615</v>
      </c>
      <c r="Z187">
        <f>INDEX(TCO!$B$2:$AQ$85,MATCH('Historical Shareweights'!$A187,TCO!$A$2:$A$85,0),MATCH('Historical Shareweights'!Z180,TCO!$B$1:$AQ$1,0))</f>
        <v>537639</v>
      </c>
      <c r="AA187">
        <f>INDEX(TCO!$B$2:$AQ$85,MATCH('Historical Shareweights'!$A187,TCO!$A$2:$A$85,0),MATCH('Historical Shareweights'!AA180,TCO!$B$1:$AQ$1,0))</f>
        <v>531739</v>
      </c>
      <c r="AB187">
        <f>INDEX(TCO!$B$2:$AQ$85,MATCH('Historical Shareweights'!$A187,TCO!$A$2:$A$85,0),MATCH('Historical Shareweights'!AB180,TCO!$B$1:$AQ$1,0))</f>
        <v>526595</v>
      </c>
      <c r="AC187">
        <f>INDEX(TCO!$B$2:$AQ$85,MATCH('Historical Shareweights'!$A187,TCO!$A$2:$A$85,0),MATCH('Historical Shareweights'!AC180,TCO!$B$1:$AQ$1,0))</f>
        <v>521451</v>
      </c>
      <c r="AD187">
        <f>INDEX(TCO!$B$2:$AQ$85,MATCH('Historical Shareweights'!$A187,TCO!$A$2:$A$85,0),MATCH('Historical Shareweights'!AD180,TCO!$B$1:$AQ$1,0))</f>
        <v>517139</v>
      </c>
      <c r="AE187">
        <f>INDEX(TCO!$B$2:$AQ$85,MATCH('Historical Shareweights'!$A187,TCO!$A$2:$A$85,0),MATCH('Historical Shareweights'!AE180,TCO!$B$1:$AQ$1,0))</f>
        <v>512071</v>
      </c>
      <c r="AF187">
        <f>INDEX(TCO!$B$2:$AQ$85,MATCH('Historical Shareweights'!$A187,TCO!$A$2:$A$85,0),MATCH('Historical Shareweights'!AF180,TCO!$B$1:$AQ$1,0))</f>
        <v>507835</v>
      </c>
      <c r="AG187">
        <f>INDEX(TCO!$B$2:$AQ$85,MATCH('Historical Shareweights'!$A187,TCO!$A$2:$A$85,0),MATCH('Historical Shareweights'!AG180,TCO!$B$1:$AQ$1,0))</f>
        <v>503750</v>
      </c>
      <c r="AH187">
        <f>INDEX(TCO!$B$2:$AQ$85,MATCH('Historical Shareweights'!$A187,TCO!$A$2:$A$85,0),MATCH('Historical Shareweights'!AH180,TCO!$B$1:$AQ$1,0))</f>
        <v>499817</v>
      </c>
      <c r="AI187">
        <f>INDEX(TCO!$B$2:$AQ$85,MATCH('Historical Shareweights'!$A187,TCO!$A$2:$A$85,0),MATCH('Historical Shareweights'!AI180,TCO!$B$1:$AQ$1,0))</f>
        <v>496110</v>
      </c>
      <c r="AJ187">
        <f>INDEX(TCO!$B$2:$AQ$85,MATCH('Historical Shareweights'!$A187,TCO!$A$2:$A$85,0),MATCH('Historical Shareweights'!AJ180,TCO!$B$1:$AQ$1,0))</f>
        <v>492555</v>
      </c>
      <c r="AK187">
        <f>INDEX(TCO!$B$2:$AQ$85,MATCH('Historical Shareweights'!$A187,TCO!$A$2:$A$85,0),MATCH('Historical Shareweights'!AK180,TCO!$B$1:$AQ$1,0))</f>
        <v>489151</v>
      </c>
      <c r="AL187">
        <f>INDEX(TCO!$B$2:$AQ$85,MATCH('Historical Shareweights'!$A187,TCO!$A$2:$A$85,0),MATCH('Historical Shareweights'!AL180,TCO!$B$1:$AQ$1,0))</f>
        <v>485898</v>
      </c>
      <c r="AM187">
        <f>INDEX(TCO!$B$2:$AQ$85,MATCH('Historical Shareweights'!$A187,TCO!$A$2:$A$85,0),MATCH('Historical Shareweights'!AM180,TCO!$B$1:$AQ$1,0))</f>
        <v>482820</v>
      </c>
      <c r="AN187">
        <f>INDEX(TCO!$B$2:$AQ$85,MATCH('Historical Shareweights'!$A187,TCO!$A$2:$A$85,0),MATCH('Historical Shareweights'!AN180,TCO!$B$1:$AQ$1,0))</f>
        <v>479915</v>
      </c>
      <c r="AO187">
        <f>INDEX(TCO!$B$2:$AQ$85,MATCH('Historical Shareweights'!$A187,TCO!$A$2:$A$85,0),MATCH('Historical Shareweights'!AO180,TCO!$B$1:$AQ$1,0))</f>
        <v>477093</v>
      </c>
      <c r="AP187">
        <f>INDEX(TCO!$B$2:$AQ$85,MATCH('Historical Shareweights'!$A187,TCO!$A$2:$A$85,0),MATCH('Historical Shareweights'!AP180,TCO!$B$1:$AQ$1,0))</f>
        <v>474446</v>
      </c>
      <c r="AQ187">
        <f>INDEX(TCO!$B$2:$AQ$85,MATCH('Historical Shareweights'!$A187,TCO!$A$2:$A$85,0),MATCH('Historical Shareweights'!AQ180,TCO!$B$1:$AQ$1,0))</f>
        <v>471882</v>
      </c>
    </row>
    <row r="188" spans="1:43" ht="13.6" outlineLevel="1" thickBot="1" x14ac:dyDescent="0.2"/>
    <row r="189" spans="1:43" ht="13.6" outlineLevel="1" thickBot="1" x14ac:dyDescent="0.2">
      <c r="A189" s="1" t="s">
        <v>1101</v>
      </c>
      <c r="B189" s="175">
        <v>2019</v>
      </c>
      <c r="I189" s="1" t="s">
        <v>1101</v>
      </c>
      <c r="J189" s="175">
        <v>2020</v>
      </c>
    </row>
    <row r="190" spans="1:43" outlineLevel="1" x14ac:dyDescent="0.15"/>
    <row r="191" spans="1:43" outlineLevel="1" x14ac:dyDescent="0.15">
      <c r="A191" s="1" t="s">
        <v>1102</v>
      </c>
      <c r="I191" s="1" t="s">
        <v>1102</v>
      </c>
    </row>
    <row r="192" spans="1:43" outlineLevel="1" x14ac:dyDescent="0.15">
      <c r="B192" t="s">
        <v>1103</v>
      </c>
      <c r="C192" t="s">
        <v>1104</v>
      </c>
      <c r="D192" t="s">
        <v>1105</v>
      </c>
      <c r="E192" t="s">
        <v>1106</v>
      </c>
      <c r="F192" t="s">
        <v>1107</v>
      </c>
      <c r="G192" t="s">
        <v>1108</v>
      </c>
      <c r="J192" t="s">
        <v>1103</v>
      </c>
      <c r="K192" t="s">
        <v>1104</v>
      </c>
      <c r="L192" t="s">
        <v>1105</v>
      </c>
      <c r="M192" t="s">
        <v>1106</v>
      </c>
      <c r="N192" t="s">
        <v>1107</v>
      </c>
      <c r="O192" t="s">
        <v>1108</v>
      </c>
    </row>
    <row r="193" spans="1:15" outlineLevel="1" x14ac:dyDescent="0.15">
      <c r="A193" t="s">
        <v>1084</v>
      </c>
      <c r="B193" s="179">
        <v>4.1999999999999997E-3</v>
      </c>
      <c r="C193" cm="1">
        <f t="array" ref="C193">INDEX($B181:$AQ181,,MATCH($B189,$B180:$AQ180,0))/10^6</f>
        <v>0.22641800000000001</v>
      </c>
      <c r="D193" s="176">
        <f>B193*EXP(C193*$B177)</f>
        <v>2.1293792925181835E-3</v>
      </c>
      <c r="E193" s="193">
        <f>D193/SUM($D193:$D199)</f>
        <v>4.8350353685124069E-3</v>
      </c>
      <c r="F193" s="32">
        <f>INDEX($B168:$H174,MATCH(A193,$A168:$A174,0),MATCH($B189,$B167:$H167,0))</f>
        <v>4.7109431052084292E-3</v>
      </c>
      <c r="G193" s="178">
        <f>ABS(F193-E193)</f>
        <v>1.2409226330397771E-4</v>
      </c>
      <c r="I193" t="s">
        <v>1084</v>
      </c>
      <c r="J193" s="179">
        <v>2.0999999999999999E-3</v>
      </c>
      <c r="K193" cm="1">
        <f t="array" ref="K193">INDEX($B181:$AQ181,,MATCH($J$189,$B$180:$AQ$180,0))/10^6</f>
        <v>0.22641800000000001</v>
      </c>
      <c r="L193" s="176">
        <f>J193*EXP(K193*$B177)</f>
        <v>1.0646896462590918E-3</v>
      </c>
      <c r="M193" s="32">
        <f>L193/SUM($L$193:$L$199)</f>
        <v>2.4431971762115504E-3</v>
      </c>
      <c r="N193" s="32">
        <f>INDEX($B168:$H174,MATCH(I193,$A168:$A174,0),MATCH($J$189,$B$167:$H$167,0))</f>
        <v>2.4510315378777083E-3</v>
      </c>
      <c r="O193" s="178">
        <f>ABS(N193-M193)</f>
        <v>7.8343616661579255E-6</v>
      </c>
    </row>
    <row r="194" spans="1:15" outlineLevel="1" x14ac:dyDescent="0.15">
      <c r="A194" t="s">
        <v>1086</v>
      </c>
      <c r="B194" s="179">
        <v>0.11799999999999999</v>
      </c>
      <c r="C194" cm="1">
        <f t="array" ref="C194">INDEX($B182:$AQ182,,MATCH($B189,$B180:$AQ180,0))/10^6</f>
        <v>0.35769000000000001</v>
      </c>
      <c r="D194" s="176">
        <f>B194*EXP(C194*$B177)</f>
        <v>4.0350937331287619E-2</v>
      </c>
      <c r="E194" s="193">
        <f>D194/SUM($D193:$D199)</f>
        <v>9.162210313348261E-2</v>
      </c>
      <c r="F194" s="32">
        <f>INDEX($B168:$H174,MATCH(A194,$A168:$A174,0),MATCH($B189,$B167:$H167,0))</f>
        <v>9.1818351343748716E-2</v>
      </c>
      <c r="G194" s="178">
        <f t="shared" ref="G194:G199" si="36">ABS(F194-E194)</f>
        <v>1.9624821026610617E-4</v>
      </c>
      <c r="I194" t="s">
        <v>1086</v>
      </c>
      <c r="J194" s="179">
        <v>0.1086</v>
      </c>
      <c r="K194" cm="1">
        <f t="array" ref="K194">INDEX($B182:$AQ182,,MATCH($J$189,$B$180:$AQ$180,0))/10^6</f>
        <v>0.35769000000000001</v>
      </c>
      <c r="L194" s="176">
        <f>J194*EXP(K194*$B177)</f>
        <v>3.7136540628625724E-2</v>
      </c>
      <c r="M194" s="32">
        <f t="shared" ref="M194:M199" si="37">L194/SUM($L$193:$L$199)</f>
        <v>8.521909790042638E-2</v>
      </c>
      <c r="N194" s="32">
        <f t="shared" ref="N194:N199" si="38">INDEX($B169:$H175,MATCH(I194,$A169:$A175,0),MATCH($J$189,$B$167:$H$167,0))</f>
        <v>8.5156502924722752E-2</v>
      </c>
      <c r="O194" s="178">
        <f t="shared" ref="O194:O199" si="39">ABS(N194-M194)</f>
        <v>6.2594975703628153E-5</v>
      </c>
    </row>
    <row r="195" spans="1:15" outlineLevel="1" x14ac:dyDescent="0.15">
      <c r="A195" t="s">
        <v>1088</v>
      </c>
      <c r="B195" s="179">
        <v>0</v>
      </c>
      <c r="C195" cm="1">
        <f t="array" ref="C195">INDEX($B183:$AQ183,,MATCH($B189,$B180:$AQ180,0))/10^6</f>
        <v>0.29952499999999999</v>
      </c>
      <c r="D195" s="176">
        <f>B195*EXP(C195*$B177)</f>
        <v>0</v>
      </c>
      <c r="E195" s="193">
        <f>D195/SUM($D193:$D199)</f>
        <v>0</v>
      </c>
      <c r="F195" s="32">
        <f>INDEX($B168:$H174,MATCH(A195,$A168:$A174,0),MATCH($B189,$B167:$H167,0))</f>
        <v>2.3704846218760963E-5</v>
      </c>
      <c r="G195" s="178">
        <f t="shared" si="36"/>
        <v>2.3704846218760963E-5</v>
      </c>
      <c r="I195" t="s">
        <v>1088</v>
      </c>
      <c r="J195" s="179">
        <v>0</v>
      </c>
      <c r="K195" cm="1">
        <f t="array" ref="K195">INDEX($B183:$AQ183,,MATCH($J$189,$B$180:$AQ$180,0))/10^6</f>
        <v>0.29952499999999999</v>
      </c>
      <c r="L195" s="176">
        <f>J195*EXP(K195*$B177)</f>
        <v>0</v>
      </c>
      <c r="M195" s="32">
        <f t="shared" si="37"/>
        <v>0</v>
      </c>
      <c r="N195" s="32">
        <f t="shared" si="38"/>
        <v>2.6233370874876956E-5</v>
      </c>
      <c r="O195" s="178">
        <f t="shared" si="39"/>
        <v>2.6233370874876956E-5</v>
      </c>
    </row>
    <row r="196" spans="1:15" outlineLevel="1" x14ac:dyDescent="0.15">
      <c r="A196" t="s">
        <v>408</v>
      </c>
      <c r="B196" s="179">
        <v>1</v>
      </c>
      <c r="C196" cm="1">
        <f t="array" ref="C196">INDEX($B184:$AQ184,,MATCH($B189,$B180:$AQ180,0))/10^6</f>
        <v>0.30748900000000001</v>
      </c>
      <c r="D196" s="176">
        <f>B196*EXP(C196*$B177)</f>
        <v>0.39753710632469669</v>
      </c>
      <c r="E196" s="193">
        <f>D196/SUM($D193:$D199)</f>
        <v>0.90266021470647517</v>
      </c>
      <c r="F196" s="32">
        <f>INDEX($B168:$H174,MATCH(A196,$A168:$A174,0),MATCH($B189,$B167:$H167,0))</f>
        <v>0.90185561536200465</v>
      </c>
      <c r="G196" s="178">
        <f t="shared" si="36"/>
        <v>8.0459934447052461E-4</v>
      </c>
      <c r="I196" t="s">
        <v>408</v>
      </c>
      <c r="J196" s="179">
        <v>1</v>
      </c>
      <c r="K196" cm="1">
        <f t="array" ref="K196">INDEX($B184:$AQ184,,MATCH($J$189,$B$180:$AQ$180,0))/10^6</f>
        <v>0.30748900000000001</v>
      </c>
      <c r="L196" s="176">
        <f>J196*EXP(K196*$B177)</f>
        <v>0.39753710632469669</v>
      </c>
      <c r="M196" s="32">
        <f t="shared" si="37"/>
        <v>0.91224850267347646</v>
      </c>
      <c r="N196" s="32">
        <f t="shared" si="38"/>
        <v>0.91225831761815301</v>
      </c>
      <c r="O196" s="178">
        <f t="shared" si="39"/>
        <v>9.814944676556081E-6</v>
      </c>
    </row>
    <row r="197" spans="1:15" outlineLevel="1" x14ac:dyDescent="0.15">
      <c r="A197" t="s">
        <v>1089</v>
      </c>
      <c r="B197" s="179">
        <v>7.3378418080161815E-13</v>
      </c>
      <c r="C197" cm="1">
        <f t="array" ref="C197">INDEX($B185:$AQ185,,MATCH($B189,$B180:$AQ180,0))/10^6</f>
        <v>0.48010799999999998</v>
      </c>
      <c r="D197" s="176">
        <f>B197*EXP(C197*$B177)</f>
        <v>1.7379752179339352E-13</v>
      </c>
      <c r="E197" s="193">
        <f>D197/SUM($D193:$D199)</f>
        <v>3.9463010079200707E-13</v>
      </c>
      <c r="F197" s="32">
        <f>INDEX($B168:$H174,MATCH(A197,$A168:$A174,0),MATCH($B189,$B167:$H167,0))</f>
        <v>0</v>
      </c>
      <c r="G197" s="178">
        <f t="shared" si="36"/>
        <v>3.9463010079200707E-13</v>
      </c>
      <c r="I197" t="s">
        <v>1089</v>
      </c>
      <c r="J197" s="179">
        <v>7.3378418080161815E-13</v>
      </c>
      <c r="K197" cm="1">
        <f t="array" ref="K197">INDEX($B185:$AQ185,,MATCH($J$189,$B$180:$AQ$180,0))/10^6</f>
        <v>0.48010799999999998</v>
      </c>
      <c r="L197" s="176">
        <f>J197*EXP(K197*$B177)</f>
        <v>1.7379752179339352E-13</v>
      </c>
      <c r="M197" s="32">
        <f t="shared" si="37"/>
        <v>3.9882196278524992E-13</v>
      </c>
      <c r="N197" s="32">
        <f t="shared" si="38"/>
        <v>2.0867454105015762E-5</v>
      </c>
      <c r="O197" s="178">
        <f t="shared" si="39"/>
        <v>2.0867453706193799E-5</v>
      </c>
    </row>
    <row r="198" spans="1:15" outlineLevel="1" x14ac:dyDescent="0.15">
      <c r="A198" t="s">
        <v>1090</v>
      </c>
      <c r="B198" s="179">
        <v>4.4027050848097088E-13</v>
      </c>
      <c r="C198" cm="1">
        <f t="array" ref="C198">INDEX($B186:$AQ186,,MATCH($B189,$B180:$AQ180,0))/10^6</f>
        <v>0.32056600000000002</v>
      </c>
      <c r="D198" s="176">
        <f>B198*EXP(C198*$B177)</f>
        <v>1.6829044568002688E-13</v>
      </c>
      <c r="E198" s="193">
        <f>D198/SUM($D193:$D199)</f>
        <v>3.8212556114574759E-13</v>
      </c>
      <c r="F198" s="32">
        <f>INDEX($B168:$H174,MATCH(A198,$A168:$A174,0),MATCH($B189,$B167:$H167,0))</f>
        <v>0</v>
      </c>
      <c r="G198" s="178">
        <f t="shared" si="36"/>
        <v>3.8212556114574759E-13</v>
      </c>
      <c r="I198" t="s">
        <v>1090</v>
      </c>
      <c r="J198" s="179">
        <v>4.4027050848097088E-13</v>
      </c>
      <c r="K198" cm="1">
        <f t="array" ref="K198">INDEX($B186:$AQ186,,MATCH($J$189,$B$180:$AQ$180,0))/10^6</f>
        <v>0.32056600000000002</v>
      </c>
      <c r="L198" s="176">
        <f>J198*EXP(K198*$B177)</f>
        <v>1.6829044568002688E-13</v>
      </c>
      <c r="M198" s="32">
        <f t="shared" si="37"/>
        <v>3.8618459671652307E-13</v>
      </c>
      <c r="N198" s="32">
        <f t="shared" si="38"/>
        <v>0</v>
      </c>
      <c r="O198" s="178">
        <f t="shared" si="39"/>
        <v>3.8618459671652307E-13</v>
      </c>
    </row>
    <row r="199" spans="1:15" outlineLevel="1" x14ac:dyDescent="0.15">
      <c r="A199" t="s">
        <v>1091</v>
      </c>
      <c r="B199" s="179">
        <v>5.0000000000000001E-3</v>
      </c>
      <c r="C199" cm="1">
        <f t="array" ref="C199">INDEX($B187:$AQ187,,MATCH($B189,$B180:$AQ180,0))/10^6</f>
        <v>0.85144200000000003</v>
      </c>
      <c r="D199" s="176">
        <f>B199*EXP(C199*$B177)</f>
        <v>3.8872307141269628E-4</v>
      </c>
      <c r="E199" s="193">
        <f>D199/SUM($D193:$D199)</f>
        <v>8.8264679075304329E-4</v>
      </c>
      <c r="F199" s="32">
        <f>INDEX($B168:$H174,MATCH(A199,$A168:$A174,0),MATCH($B189,$B167:$H167,0))</f>
        <v>1.591385342819486E-3</v>
      </c>
      <c r="G199" s="178">
        <f t="shared" si="36"/>
        <v>7.0873855206644268E-4</v>
      </c>
      <c r="I199" t="s">
        <v>1091</v>
      </c>
      <c r="J199" s="179">
        <v>5.0000000000000001E-4</v>
      </c>
      <c r="K199" cm="1">
        <f t="array" ref="K199">INDEX($B187:$AQ187,,MATCH($J$189,$B$180:$AQ$180,0))/10^6</f>
        <v>0.85144200000000003</v>
      </c>
      <c r="L199" s="176">
        <f>J199*EXP(K199*$B177)</f>
        <v>3.8872307141269628E-5</v>
      </c>
      <c r="M199" s="32">
        <f t="shared" si="37"/>
        <v>8.920224910054819E-5</v>
      </c>
      <c r="N199" s="32">
        <f t="shared" si="38"/>
        <v>8.7047094266637175E-5</v>
      </c>
      <c r="O199" s="178">
        <f t="shared" si="39"/>
        <v>2.1551548339110145E-6</v>
      </c>
    </row>
    <row r="200" spans="1:15" outlineLevel="1" x14ac:dyDescent="0.15">
      <c r="G200" s="178"/>
      <c r="O200" s="178"/>
    </row>
    <row r="201" spans="1:15" outlineLevel="1" x14ac:dyDescent="0.15">
      <c r="F201" s="1" t="s">
        <v>1109</v>
      </c>
      <c r="G201" s="179">
        <f>SUM(G193:G199)</f>
        <v>1.8573832171025677E-3</v>
      </c>
      <c r="N201" s="1" t="s">
        <v>1109</v>
      </c>
      <c r="O201" s="179">
        <f>SUM(O193:O199)</f>
        <v>1.2950026184750852E-4</v>
      </c>
    </row>
    <row r="202" spans="1:15" outlineLevel="1" x14ac:dyDescent="0.15"/>
    <row r="203" spans="1:15" outlineLevel="1" x14ac:dyDescent="0.15">
      <c r="A203" s="1" t="s">
        <v>1110</v>
      </c>
      <c r="B203">
        <v>2019</v>
      </c>
      <c r="C203">
        <v>2020</v>
      </c>
      <c r="D203">
        <v>2021</v>
      </c>
      <c r="E203">
        <v>2022</v>
      </c>
      <c r="F203">
        <v>2023</v>
      </c>
      <c r="G203">
        <v>2024</v>
      </c>
      <c r="H203">
        <v>2025</v>
      </c>
    </row>
    <row r="204" spans="1:15" outlineLevel="1" x14ac:dyDescent="0.15">
      <c r="A204" t="s">
        <v>1084</v>
      </c>
      <c r="B204" s="179">
        <v>3.701507158062186E-2</v>
      </c>
      <c r="C204" s="179">
        <v>3.6789904670851088E-2</v>
      </c>
      <c r="D204" s="179">
        <v>3.1215020986730336E-2</v>
      </c>
      <c r="E204" s="179">
        <v>8.4277683371050155E-2</v>
      </c>
      <c r="F204" s="179">
        <v>7.8035789805329894E-2</v>
      </c>
      <c r="G204" s="179">
        <v>8.2630698322104734E-2</v>
      </c>
      <c r="H204" s="179">
        <v>0.14080810098419352</v>
      </c>
    </row>
    <row r="205" spans="1:15" outlineLevel="1" x14ac:dyDescent="0.15">
      <c r="A205" t="s">
        <v>1086</v>
      </c>
      <c r="B205" s="179">
        <v>0.25658308945391856</v>
      </c>
      <c r="C205" s="179">
        <v>0.24325206325019186</v>
      </c>
      <c r="D205" s="179">
        <v>0.11862875809888414</v>
      </c>
      <c r="E205" s="179">
        <v>9.4036320724103423E-2</v>
      </c>
      <c r="F205" s="179">
        <v>0.16317237149917566</v>
      </c>
      <c r="G205" s="179">
        <v>0.19838903122583501</v>
      </c>
      <c r="H205" s="179">
        <v>0.14953075922561568</v>
      </c>
    </row>
    <row r="206" spans="1:15" outlineLevel="1" x14ac:dyDescent="0.15">
      <c r="A206" t="s">
        <v>1088</v>
      </c>
      <c r="B206" s="179">
        <v>0</v>
      </c>
      <c r="C206" s="179">
        <v>0</v>
      </c>
      <c r="D206" s="179">
        <v>0</v>
      </c>
      <c r="E206" s="179">
        <v>0</v>
      </c>
      <c r="F206" s="179">
        <v>0</v>
      </c>
      <c r="G206" s="179">
        <v>3.9999999999999998E-6</v>
      </c>
      <c r="H206" s="179">
        <v>0</v>
      </c>
    </row>
    <row r="207" spans="1:15" outlineLevel="1" x14ac:dyDescent="0.15">
      <c r="A207" t="s">
        <v>408</v>
      </c>
      <c r="B207" s="179">
        <v>2.9818660926092169</v>
      </c>
      <c r="C207" s="179">
        <v>2.9921110979046412</v>
      </c>
      <c r="D207" s="179">
        <v>2.9993885693325422</v>
      </c>
      <c r="E207" s="179">
        <v>1.4186878735675734</v>
      </c>
      <c r="F207" s="179">
        <v>0.54878241723597765</v>
      </c>
      <c r="G207" s="179">
        <v>0.49548487121912205</v>
      </c>
      <c r="H207" s="179">
        <v>0.35577741225590553</v>
      </c>
    </row>
    <row r="208" spans="1:15" outlineLevel="1" x14ac:dyDescent="0.15">
      <c r="A208" t="s">
        <v>1089</v>
      </c>
      <c r="B208" s="179">
        <v>7.3378418080161815E-13</v>
      </c>
      <c r="C208" s="179">
        <v>7.3378418080161815E-13</v>
      </c>
      <c r="D208" s="179">
        <v>7.3378418080161815E-13</v>
      </c>
      <c r="E208" s="179">
        <v>7.3378418080161815E-13</v>
      </c>
      <c r="F208" s="179">
        <v>7.3378418080161815E-13</v>
      </c>
      <c r="G208" s="179">
        <v>7.3378418080161815E-13</v>
      </c>
      <c r="H208" s="179">
        <v>7.3378418080161815E-13</v>
      </c>
    </row>
    <row r="209" spans="1:8" outlineLevel="1" x14ac:dyDescent="0.15">
      <c r="A209" t="s">
        <v>1090</v>
      </c>
      <c r="B209" s="179">
        <v>4.4027050848097088E-13</v>
      </c>
      <c r="C209" s="179">
        <v>4.4027050848097088E-13</v>
      </c>
      <c r="D209" s="179">
        <v>4.4027050848097088E-13</v>
      </c>
      <c r="E209" s="179">
        <v>4.4027050848097088E-13</v>
      </c>
      <c r="F209" s="179">
        <v>4.4027050848097088E-13</v>
      </c>
      <c r="G209" s="179">
        <v>4.4027050848097088E-13</v>
      </c>
      <c r="H209" s="179">
        <v>4.4027050848097088E-13</v>
      </c>
    </row>
    <row r="210" spans="1:8" outlineLevel="1" x14ac:dyDescent="0.15">
      <c r="A210" t="s">
        <v>1091</v>
      </c>
      <c r="B210" s="179">
        <v>1.4675683616032363E-13</v>
      </c>
      <c r="C210" s="179">
        <v>1.4675683616032363E-13</v>
      </c>
      <c r="D210" s="179">
        <v>1.4675683616032363E-13</v>
      </c>
      <c r="E210" s="179">
        <v>1.4675683616032363E-13</v>
      </c>
      <c r="F210" s="179">
        <v>1.4675683616032363E-13</v>
      </c>
      <c r="G210" s="179">
        <v>1.4675683616032363E-13</v>
      </c>
      <c r="H210" s="179">
        <v>1.4675683616032363E-13</v>
      </c>
    </row>
    <row r="212" spans="1:8" s="170" customFormat="1" x14ac:dyDescent="0.15">
      <c r="A212" s="169" t="s">
        <v>1135</v>
      </c>
    </row>
    <row r="213" spans="1:8" outlineLevel="1" x14ac:dyDescent="0.15">
      <c r="A213" s="1"/>
    </row>
    <row r="214" spans="1:8" outlineLevel="1" x14ac:dyDescent="0.15">
      <c r="A214" s="1" t="s">
        <v>1082</v>
      </c>
      <c r="B214" s="1">
        <v>2019</v>
      </c>
      <c r="C214" s="1">
        <v>2020</v>
      </c>
      <c r="D214" s="1">
        <v>2021</v>
      </c>
      <c r="E214" s="1">
        <v>2022</v>
      </c>
      <c r="F214" s="1">
        <v>2023</v>
      </c>
      <c r="G214" s="1">
        <v>2024</v>
      </c>
    </row>
    <row r="215" spans="1:8" outlineLevel="1" x14ac:dyDescent="0.15">
      <c r="A215" t="s">
        <v>1084</v>
      </c>
      <c r="B215" s="172">
        <v>0</v>
      </c>
      <c r="C215" s="172">
        <v>0</v>
      </c>
      <c r="D215" s="172">
        <v>0</v>
      </c>
      <c r="E215" s="172">
        <v>0</v>
      </c>
      <c r="F215" s="172">
        <v>0</v>
      </c>
      <c r="G215" s="171"/>
    </row>
    <row r="216" spans="1:8" outlineLevel="1" x14ac:dyDescent="0.15">
      <c r="A216" t="s">
        <v>1086</v>
      </c>
      <c r="B216" s="172">
        <v>0</v>
      </c>
      <c r="C216" s="172">
        <v>0</v>
      </c>
      <c r="D216" s="172">
        <v>0</v>
      </c>
      <c r="E216" s="172">
        <v>0</v>
      </c>
      <c r="F216" s="172">
        <v>0</v>
      </c>
      <c r="G216" s="171"/>
    </row>
    <row r="217" spans="1:8" outlineLevel="1" x14ac:dyDescent="0.15">
      <c r="A217" t="s">
        <v>1088</v>
      </c>
      <c r="B217" s="172">
        <v>0</v>
      </c>
      <c r="C217" s="172">
        <v>0</v>
      </c>
      <c r="D217" s="172">
        <v>0</v>
      </c>
      <c r="E217" s="172">
        <v>0</v>
      </c>
      <c r="F217" s="172">
        <v>0</v>
      </c>
      <c r="G217" s="171"/>
    </row>
    <row r="218" spans="1:8" outlineLevel="1" x14ac:dyDescent="0.15">
      <c r="A218" t="s">
        <v>408</v>
      </c>
      <c r="B218" s="182">
        <v>1</v>
      </c>
      <c r="C218" s="182">
        <v>1</v>
      </c>
      <c r="D218" s="182">
        <v>1</v>
      </c>
      <c r="E218" s="182">
        <v>1</v>
      </c>
      <c r="F218" s="182">
        <v>1</v>
      </c>
      <c r="G218" s="171"/>
    </row>
    <row r="219" spans="1:8" outlineLevel="1" x14ac:dyDescent="0.15">
      <c r="A219" t="s">
        <v>1089</v>
      </c>
      <c r="B219" s="172">
        <v>0</v>
      </c>
      <c r="C219" s="172">
        <v>0</v>
      </c>
      <c r="D219" s="172">
        <v>0</v>
      </c>
      <c r="E219" s="172">
        <v>0</v>
      </c>
      <c r="F219" s="172">
        <v>0</v>
      </c>
      <c r="G219" s="171"/>
    </row>
    <row r="220" spans="1:8" outlineLevel="1" x14ac:dyDescent="0.15">
      <c r="A220" t="s">
        <v>1090</v>
      </c>
      <c r="B220" s="172">
        <v>0</v>
      </c>
      <c r="C220" s="172">
        <v>0</v>
      </c>
      <c r="D220" s="172">
        <v>0</v>
      </c>
      <c r="E220" s="172">
        <v>0</v>
      </c>
      <c r="F220" s="172">
        <v>0</v>
      </c>
      <c r="G220" s="171"/>
    </row>
    <row r="221" spans="1:8" outlineLevel="1" x14ac:dyDescent="0.15">
      <c r="A221" t="s">
        <v>1091</v>
      </c>
      <c r="B221" s="172">
        <v>0</v>
      </c>
      <c r="C221" s="172">
        <v>0</v>
      </c>
      <c r="D221" s="172">
        <v>0</v>
      </c>
      <c r="E221" s="172">
        <v>0</v>
      </c>
      <c r="F221" s="172">
        <v>0</v>
      </c>
      <c r="G221" s="171"/>
    </row>
    <row r="222" spans="1:8" outlineLevel="1" x14ac:dyDescent="0.15">
      <c r="A222" s="173" t="s">
        <v>1092</v>
      </c>
      <c r="B222" s="174">
        <f>SUM(B215:B221)</f>
        <v>1</v>
      </c>
      <c r="C222" s="174">
        <f t="shared" ref="C222:F222" si="40">SUM(C215:C221)</f>
        <v>1</v>
      </c>
      <c r="D222" s="174">
        <f t="shared" si="40"/>
        <v>1</v>
      </c>
      <c r="E222" s="174">
        <f t="shared" si="40"/>
        <v>1</v>
      </c>
      <c r="F222" s="174">
        <f t="shared" si="40"/>
        <v>1</v>
      </c>
      <c r="G222" s="173"/>
    </row>
    <row r="223" spans="1:8" outlineLevel="1" x14ac:dyDescent="0.15"/>
    <row r="224" spans="1:8" outlineLevel="1" x14ac:dyDescent="0.15">
      <c r="A224" s="1" t="s">
        <v>1093</v>
      </c>
      <c r="B224">
        <f>INDEX($B$11:$AQ$22,MATCH("*"&amp;A212&amp;"*",$A$11:$A$22,0),MATCH(B214,$B$10:$AQ$10,0))</f>
        <v>-3</v>
      </c>
    </row>
    <row r="225" spans="1:43" outlineLevel="1" x14ac:dyDescent="0.15"/>
    <row r="226" spans="1:43" outlineLevel="1" x14ac:dyDescent="0.15">
      <c r="A226" s="1" t="s">
        <v>1094</v>
      </c>
    </row>
    <row r="227" spans="1:43" outlineLevel="1" x14ac:dyDescent="0.15">
      <c r="A227" t="s">
        <v>1068</v>
      </c>
      <c r="B227">
        <v>2019</v>
      </c>
      <c r="C227">
        <v>2020</v>
      </c>
      <c r="D227">
        <v>2021</v>
      </c>
      <c r="E227">
        <v>2022</v>
      </c>
      <c r="F227">
        <v>2023</v>
      </c>
      <c r="G227">
        <v>2024</v>
      </c>
      <c r="H227">
        <v>2025</v>
      </c>
      <c r="I227">
        <v>2026</v>
      </c>
      <c r="J227">
        <v>2027</v>
      </c>
      <c r="K227">
        <v>2028</v>
      </c>
      <c r="L227">
        <v>2029</v>
      </c>
      <c r="M227">
        <v>2030</v>
      </c>
      <c r="N227">
        <v>2031</v>
      </c>
      <c r="O227">
        <v>2032</v>
      </c>
      <c r="P227">
        <v>2033</v>
      </c>
      <c r="Q227">
        <v>2034</v>
      </c>
      <c r="R227">
        <v>2035</v>
      </c>
      <c r="S227">
        <v>2036</v>
      </c>
      <c r="T227">
        <v>2037</v>
      </c>
      <c r="U227">
        <v>2038</v>
      </c>
      <c r="V227">
        <v>2039</v>
      </c>
      <c r="W227">
        <v>2040</v>
      </c>
      <c r="X227">
        <v>2041</v>
      </c>
      <c r="Y227">
        <v>2042</v>
      </c>
      <c r="Z227">
        <v>2043</v>
      </c>
      <c r="AA227">
        <v>2044</v>
      </c>
      <c r="AB227">
        <v>2045</v>
      </c>
      <c r="AC227">
        <v>2046</v>
      </c>
      <c r="AD227">
        <v>2047</v>
      </c>
      <c r="AE227">
        <v>2048</v>
      </c>
      <c r="AF227">
        <v>2049</v>
      </c>
      <c r="AG227">
        <v>2050</v>
      </c>
      <c r="AH227">
        <v>2051</v>
      </c>
      <c r="AI227">
        <v>2052</v>
      </c>
      <c r="AJ227">
        <v>2053</v>
      </c>
      <c r="AK227">
        <v>2054</v>
      </c>
      <c r="AL227">
        <v>2055</v>
      </c>
      <c r="AM227">
        <v>2056</v>
      </c>
      <c r="AN227">
        <v>2057</v>
      </c>
      <c r="AO227">
        <v>2058</v>
      </c>
      <c r="AP227">
        <v>2059</v>
      </c>
      <c r="AQ227">
        <v>2060</v>
      </c>
    </row>
    <row r="228" spans="1:43" outlineLevel="1" x14ac:dyDescent="0.15">
      <c r="A228" t="s">
        <v>1136</v>
      </c>
      <c r="B228" t="e">
        <f>INDEX(TCO!$B$2:$AQ$85,MATCH('Historical Shareweights'!$A228,TCO!$A$2:$A$85,0),MATCH('Historical Shareweights'!B227,TCO!$B$1:$AQ$1,0))</f>
        <v>#N/A</v>
      </c>
      <c r="C228" t="e">
        <f>INDEX(TCO!$B$2:$AQ$85,MATCH('Historical Shareweights'!$A228,TCO!$A$2:$A$85,0),MATCH('Historical Shareweights'!C227,TCO!$B$1:$AQ$1,0))</f>
        <v>#N/A</v>
      </c>
      <c r="D228" t="e">
        <f>INDEX(TCO!$B$2:$AQ$85,MATCH('Historical Shareweights'!$A228,TCO!$A$2:$A$85,0),MATCH('Historical Shareweights'!D227,TCO!$B$1:$AQ$1,0))</f>
        <v>#N/A</v>
      </c>
      <c r="E228" t="e">
        <f>INDEX(TCO!$B$2:$AQ$85,MATCH('Historical Shareweights'!$A228,TCO!$A$2:$A$85,0),MATCH('Historical Shareweights'!E227,TCO!$B$1:$AQ$1,0))</f>
        <v>#N/A</v>
      </c>
      <c r="F228" t="e">
        <f>INDEX(TCO!$B$2:$AQ$85,MATCH('Historical Shareweights'!$A228,TCO!$A$2:$A$85,0),MATCH('Historical Shareweights'!F227,TCO!$B$1:$AQ$1,0))</f>
        <v>#N/A</v>
      </c>
      <c r="G228" t="e">
        <f>INDEX(TCO!$B$2:$AQ$85,MATCH('Historical Shareweights'!$A228,TCO!$A$2:$A$85,0),MATCH('Historical Shareweights'!G227,TCO!$B$1:$AQ$1,0))</f>
        <v>#N/A</v>
      </c>
      <c r="H228" t="e">
        <f>INDEX(TCO!$B$2:$AQ$85,MATCH('Historical Shareweights'!$A228,TCO!$A$2:$A$85,0),MATCH('Historical Shareweights'!H227,TCO!$B$1:$AQ$1,0))</f>
        <v>#N/A</v>
      </c>
      <c r="I228" t="e">
        <f>INDEX(TCO!$B$2:$AQ$85,MATCH('Historical Shareweights'!$A228,TCO!$A$2:$A$85,0),MATCH('Historical Shareweights'!I227,TCO!$B$1:$AQ$1,0))</f>
        <v>#N/A</v>
      </c>
      <c r="J228" t="e">
        <f>INDEX(TCO!$B$2:$AQ$85,MATCH('Historical Shareweights'!$A228,TCO!$A$2:$A$85,0),MATCH('Historical Shareweights'!J227,TCO!$B$1:$AQ$1,0))</f>
        <v>#N/A</v>
      </c>
      <c r="K228" t="e">
        <f>INDEX(TCO!$B$2:$AQ$85,MATCH('Historical Shareweights'!$A228,TCO!$A$2:$A$85,0),MATCH('Historical Shareweights'!K227,TCO!$B$1:$AQ$1,0))</f>
        <v>#N/A</v>
      </c>
      <c r="L228" t="e">
        <f>INDEX(TCO!$B$2:$AQ$85,MATCH('Historical Shareweights'!$A228,TCO!$A$2:$A$85,0),MATCH('Historical Shareweights'!L227,TCO!$B$1:$AQ$1,0))</f>
        <v>#N/A</v>
      </c>
      <c r="M228" t="e">
        <f>INDEX(TCO!$B$2:$AQ$85,MATCH('Historical Shareweights'!$A228,TCO!$A$2:$A$85,0),MATCH('Historical Shareweights'!M227,TCO!$B$1:$AQ$1,0))</f>
        <v>#N/A</v>
      </c>
      <c r="N228" t="e">
        <f>INDEX(TCO!$B$2:$AQ$85,MATCH('Historical Shareweights'!$A228,TCO!$A$2:$A$85,0),MATCH('Historical Shareweights'!N227,TCO!$B$1:$AQ$1,0))</f>
        <v>#N/A</v>
      </c>
      <c r="O228" t="e">
        <f>INDEX(TCO!$B$2:$AQ$85,MATCH('Historical Shareweights'!$A228,TCO!$A$2:$A$85,0),MATCH('Historical Shareweights'!O227,TCO!$B$1:$AQ$1,0))</f>
        <v>#N/A</v>
      </c>
      <c r="P228" t="e">
        <f>INDEX(TCO!$B$2:$AQ$85,MATCH('Historical Shareweights'!$A228,TCO!$A$2:$A$85,0),MATCH('Historical Shareweights'!P227,TCO!$B$1:$AQ$1,0))</f>
        <v>#N/A</v>
      </c>
      <c r="Q228" t="e">
        <f>INDEX(TCO!$B$2:$AQ$85,MATCH('Historical Shareweights'!$A228,TCO!$A$2:$A$85,0),MATCH('Historical Shareweights'!Q227,TCO!$B$1:$AQ$1,0))</f>
        <v>#N/A</v>
      </c>
      <c r="R228" t="e">
        <f>INDEX(TCO!$B$2:$AQ$85,MATCH('Historical Shareweights'!$A228,TCO!$A$2:$A$85,0),MATCH('Historical Shareweights'!R227,TCO!$B$1:$AQ$1,0))</f>
        <v>#N/A</v>
      </c>
      <c r="S228" t="e">
        <f>INDEX(TCO!$B$2:$AQ$85,MATCH('Historical Shareweights'!$A228,TCO!$A$2:$A$85,0),MATCH('Historical Shareweights'!S227,TCO!$B$1:$AQ$1,0))</f>
        <v>#N/A</v>
      </c>
      <c r="T228" t="e">
        <f>INDEX(TCO!$B$2:$AQ$85,MATCH('Historical Shareweights'!$A228,TCO!$A$2:$A$85,0),MATCH('Historical Shareweights'!T227,TCO!$B$1:$AQ$1,0))</f>
        <v>#N/A</v>
      </c>
      <c r="U228" t="e">
        <f>INDEX(TCO!$B$2:$AQ$85,MATCH('Historical Shareweights'!$A228,TCO!$A$2:$A$85,0),MATCH('Historical Shareweights'!U227,TCO!$B$1:$AQ$1,0))</f>
        <v>#N/A</v>
      </c>
      <c r="V228" t="e">
        <f>INDEX(TCO!$B$2:$AQ$85,MATCH('Historical Shareweights'!$A228,TCO!$A$2:$A$85,0),MATCH('Historical Shareweights'!V227,TCO!$B$1:$AQ$1,0))</f>
        <v>#N/A</v>
      </c>
      <c r="W228" t="e">
        <f>INDEX(TCO!$B$2:$AQ$85,MATCH('Historical Shareweights'!$A228,TCO!$A$2:$A$85,0),MATCH('Historical Shareweights'!W227,TCO!$B$1:$AQ$1,0))</f>
        <v>#N/A</v>
      </c>
      <c r="X228" t="e">
        <f>INDEX(TCO!$B$2:$AQ$85,MATCH('Historical Shareweights'!$A228,TCO!$A$2:$A$85,0),MATCH('Historical Shareweights'!X227,TCO!$B$1:$AQ$1,0))</f>
        <v>#N/A</v>
      </c>
      <c r="Y228" t="e">
        <f>INDEX(TCO!$B$2:$AQ$85,MATCH('Historical Shareweights'!$A228,TCO!$A$2:$A$85,0),MATCH('Historical Shareweights'!Y227,TCO!$B$1:$AQ$1,0))</f>
        <v>#N/A</v>
      </c>
      <c r="Z228" t="e">
        <f>INDEX(TCO!$B$2:$AQ$85,MATCH('Historical Shareweights'!$A228,TCO!$A$2:$A$85,0),MATCH('Historical Shareweights'!Z227,TCO!$B$1:$AQ$1,0))</f>
        <v>#N/A</v>
      </c>
      <c r="AA228" t="e">
        <f>INDEX(TCO!$B$2:$AQ$85,MATCH('Historical Shareweights'!$A228,TCO!$A$2:$A$85,0),MATCH('Historical Shareweights'!AA227,TCO!$B$1:$AQ$1,0))</f>
        <v>#N/A</v>
      </c>
      <c r="AB228" t="e">
        <f>INDEX(TCO!$B$2:$AQ$85,MATCH('Historical Shareweights'!$A228,TCO!$A$2:$A$85,0),MATCH('Historical Shareweights'!AB227,TCO!$B$1:$AQ$1,0))</f>
        <v>#N/A</v>
      </c>
      <c r="AC228" t="e">
        <f>INDEX(TCO!$B$2:$AQ$85,MATCH('Historical Shareweights'!$A228,TCO!$A$2:$A$85,0),MATCH('Historical Shareweights'!AC227,TCO!$B$1:$AQ$1,0))</f>
        <v>#N/A</v>
      </c>
      <c r="AD228" t="e">
        <f>INDEX(TCO!$B$2:$AQ$85,MATCH('Historical Shareweights'!$A228,TCO!$A$2:$A$85,0),MATCH('Historical Shareweights'!AD227,TCO!$B$1:$AQ$1,0))</f>
        <v>#N/A</v>
      </c>
      <c r="AE228" t="e">
        <f>INDEX(TCO!$B$2:$AQ$85,MATCH('Historical Shareweights'!$A228,TCO!$A$2:$A$85,0),MATCH('Historical Shareweights'!AE227,TCO!$B$1:$AQ$1,0))</f>
        <v>#N/A</v>
      </c>
      <c r="AF228" t="e">
        <f>INDEX(TCO!$B$2:$AQ$85,MATCH('Historical Shareweights'!$A228,TCO!$A$2:$A$85,0),MATCH('Historical Shareweights'!AF227,TCO!$B$1:$AQ$1,0))</f>
        <v>#N/A</v>
      </c>
      <c r="AG228" t="e">
        <f>INDEX(TCO!$B$2:$AQ$85,MATCH('Historical Shareweights'!$A228,TCO!$A$2:$A$85,0),MATCH('Historical Shareweights'!AG227,TCO!$B$1:$AQ$1,0))</f>
        <v>#N/A</v>
      </c>
      <c r="AH228" t="e">
        <f>INDEX(TCO!$B$2:$AQ$85,MATCH('Historical Shareweights'!$A228,TCO!$A$2:$A$85,0),MATCH('Historical Shareweights'!AH227,TCO!$B$1:$AQ$1,0))</f>
        <v>#N/A</v>
      </c>
      <c r="AI228" t="e">
        <f>INDEX(TCO!$B$2:$AQ$85,MATCH('Historical Shareweights'!$A228,TCO!$A$2:$A$85,0),MATCH('Historical Shareweights'!AI227,TCO!$B$1:$AQ$1,0))</f>
        <v>#N/A</v>
      </c>
      <c r="AJ228" t="e">
        <f>INDEX(TCO!$B$2:$AQ$85,MATCH('Historical Shareweights'!$A228,TCO!$A$2:$A$85,0),MATCH('Historical Shareweights'!AJ227,TCO!$B$1:$AQ$1,0))</f>
        <v>#N/A</v>
      </c>
      <c r="AK228" t="e">
        <f>INDEX(TCO!$B$2:$AQ$85,MATCH('Historical Shareweights'!$A228,TCO!$A$2:$A$85,0),MATCH('Historical Shareweights'!AK227,TCO!$B$1:$AQ$1,0))</f>
        <v>#N/A</v>
      </c>
      <c r="AL228" t="e">
        <f>INDEX(TCO!$B$2:$AQ$85,MATCH('Historical Shareweights'!$A228,TCO!$A$2:$A$85,0),MATCH('Historical Shareweights'!AL227,TCO!$B$1:$AQ$1,0))</f>
        <v>#N/A</v>
      </c>
      <c r="AM228" t="e">
        <f>INDEX(TCO!$B$2:$AQ$85,MATCH('Historical Shareweights'!$A228,TCO!$A$2:$A$85,0),MATCH('Historical Shareweights'!AM227,TCO!$B$1:$AQ$1,0))</f>
        <v>#N/A</v>
      </c>
      <c r="AN228" t="e">
        <f>INDEX(TCO!$B$2:$AQ$85,MATCH('Historical Shareweights'!$A228,TCO!$A$2:$A$85,0),MATCH('Historical Shareweights'!AN227,TCO!$B$1:$AQ$1,0))</f>
        <v>#N/A</v>
      </c>
      <c r="AO228" t="e">
        <f>INDEX(TCO!$B$2:$AQ$85,MATCH('Historical Shareweights'!$A228,TCO!$A$2:$A$85,0),MATCH('Historical Shareweights'!AO227,TCO!$B$1:$AQ$1,0))</f>
        <v>#N/A</v>
      </c>
      <c r="AP228" t="e">
        <f>INDEX(TCO!$B$2:$AQ$85,MATCH('Historical Shareweights'!$A228,TCO!$A$2:$A$85,0),MATCH('Historical Shareweights'!AP227,TCO!$B$1:$AQ$1,0))</f>
        <v>#N/A</v>
      </c>
      <c r="AQ228" t="e">
        <f>INDEX(TCO!$B$2:$AQ$85,MATCH('Historical Shareweights'!$A228,TCO!$A$2:$A$85,0),MATCH('Historical Shareweights'!AQ227,TCO!$B$1:$AQ$1,0))</f>
        <v>#N/A</v>
      </c>
    </row>
    <row r="229" spans="1:43" outlineLevel="1" x14ac:dyDescent="0.15">
      <c r="A229" t="s">
        <v>1137</v>
      </c>
      <c r="B229" t="e">
        <f>INDEX(TCO!$B$2:$AQ$85,MATCH('Historical Shareweights'!$A229,TCO!$A$2:$A$85,0),MATCH('Historical Shareweights'!B227,TCO!$B$1:$AQ$1,0))</f>
        <v>#N/A</v>
      </c>
      <c r="C229" t="e">
        <f>INDEX(TCO!$B$2:$AQ$85,MATCH('Historical Shareweights'!$A229,TCO!$A$2:$A$85,0),MATCH('Historical Shareweights'!C227,TCO!$B$1:$AQ$1,0))</f>
        <v>#N/A</v>
      </c>
      <c r="D229" t="e">
        <f>INDEX(TCO!$B$2:$AQ$85,MATCH('Historical Shareweights'!$A229,TCO!$A$2:$A$85,0),MATCH('Historical Shareweights'!D227,TCO!$B$1:$AQ$1,0))</f>
        <v>#N/A</v>
      </c>
      <c r="E229" t="e">
        <f>INDEX(TCO!$B$2:$AQ$85,MATCH('Historical Shareweights'!$A229,TCO!$A$2:$A$85,0),MATCH('Historical Shareweights'!E227,TCO!$B$1:$AQ$1,0))</f>
        <v>#N/A</v>
      </c>
      <c r="F229" t="e">
        <f>INDEX(TCO!$B$2:$AQ$85,MATCH('Historical Shareweights'!$A229,TCO!$A$2:$A$85,0),MATCH('Historical Shareweights'!F227,TCO!$B$1:$AQ$1,0))</f>
        <v>#N/A</v>
      </c>
      <c r="G229" t="e">
        <f>INDEX(TCO!$B$2:$AQ$85,MATCH('Historical Shareweights'!$A229,TCO!$A$2:$A$85,0),MATCH('Historical Shareweights'!G227,TCO!$B$1:$AQ$1,0))</f>
        <v>#N/A</v>
      </c>
      <c r="H229" t="e">
        <f>INDEX(TCO!$B$2:$AQ$85,MATCH('Historical Shareweights'!$A229,TCO!$A$2:$A$85,0),MATCH('Historical Shareweights'!H227,TCO!$B$1:$AQ$1,0))</f>
        <v>#N/A</v>
      </c>
      <c r="I229" t="e">
        <f>INDEX(TCO!$B$2:$AQ$85,MATCH('Historical Shareweights'!$A229,TCO!$A$2:$A$85,0),MATCH('Historical Shareweights'!I227,TCO!$B$1:$AQ$1,0))</f>
        <v>#N/A</v>
      </c>
      <c r="J229" t="e">
        <f>INDEX(TCO!$B$2:$AQ$85,MATCH('Historical Shareweights'!$A229,TCO!$A$2:$A$85,0),MATCH('Historical Shareweights'!J227,TCO!$B$1:$AQ$1,0))</f>
        <v>#N/A</v>
      </c>
      <c r="K229" t="e">
        <f>INDEX(TCO!$B$2:$AQ$85,MATCH('Historical Shareweights'!$A229,TCO!$A$2:$A$85,0),MATCH('Historical Shareweights'!K227,TCO!$B$1:$AQ$1,0))</f>
        <v>#N/A</v>
      </c>
      <c r="L229" t="e">
        <f>INDEX(TCO!$B$2:$AQ$85,MATCH('Historical Shareweights'!$A229,TCO!$A$2:$A$85,0),MATCH('Historical Shareweights'!L227,TCO!$B$1:$AQ$1,0))</f>
        <v>#N/A</v>
      </c>
      <c r="M229" t="e">
        <f>INDEX(TCO!$B$2:$AQ$85,MATCH('Historical Shareweights'!$A229,TCO!$A$2:$A$85,0),MATCH('Historical Shareweights'!M227,TCO!$B$1:$AQ$1,0))</f>
        <v>#N/A</v>
      </c>
      <c r="N229" t="e">
        <f>INDEX(TCO!$B$2:$AQ$85,MATCH('Historical Shareweights'!$A229,TCO!$A$2:$A$85,0),MATCH('Historical Shareweights'!N227,TCO!$B$1:$AQ$1,0))</f>
        <v>#N/A</v>
      </c>
      <c r="O229" t="e">
        <f>INDEX(TCO!$B$2:$AQ$85,MATCH('Historical Shareweights'!$A229,TCO!$A$2:$A$85,0),MATCH('Historical Shareweights'!O227,TCO!$B$1:$AQ$1,0))</f>
        <v>#N/A</v>
      </c>
      <c r="P229" t="e">
        <f>INDEX(TCO!$B$2:$AQ$85,MATCH('Historical Shareweights'!$A229,TCO!$A$2:$A$85,0),MATCH('Historical Shareweights'!P227,TCO!$B$1:$AQ$1,0))</f>
        <v>#N/A</v>
      </c>
      <c r="Q229" t="e">
        <f>INDEX(TCO!$B$2:$AQ$85,MATCH('Historical Shareweights'!$A229,TCO!$A$2:$A$85,0),MATCH('Historical Shareweights'!Q227,TCO!$B$1:$AQ$1,0))</f>
        <v>#N/A</v>
      </c>
      <c r="R229" t="e">
        <f>INDEX(TCO!$B$2:$AQ$85,MATCH('Historical Shareweights'!$A229,TCO!$A$2:$A$85,0),MATCH('Historical Shareweights'!R227,TCO!$B$1:$AQ$1,0))</f>
        <v>#N/A</v>
      </c>
      <c r="S229" t="e">
        <f>INDEX(TCO!$B$2:$AQ$85,MATCH('Historical Shareweights'!$A229,TCO!$A$2:$A$85,0),MATCH('Historical Shareweights'!S227,TCO!$B$1:$AQ$1,0))</f>
        <v>#N/A</v>
      </c>
      <c r="T229" t="e">
        <f>INDEX(TCO!$B$2:$AQ$85,MATCH('Historical Shareweights'!$A229,TCO!$A$2:$A$85,0),MATCH('Historical Shareweights'!T227,TCO!$B$1:$AQ$1,0))</f>
        <v>#N/A</v>
      </c>
      <c r="U229" t="e">
        <f>INDEX(TCO!$B$2:$AQ$85,MATCH('Historical Shareweights'!$A229,TCO!$A$2:$A$85,0),MATCH('Historical Shareweights'!U227,TCO!$B$1:$AQ$1,0))</f>
        <v>#N/A</v>
      </c>
      <c r="V229" t="e">
        <f>INDEX(TCO!$B$2:$AQ$85,MATCH('Historical Shareweights'!$A229,TCO!$A$2:$A$85,0),MATCH('Historical Shareweights'!V227,TCO!$B$1:$AQ$1,0))</f>
        <v>#N/A</v>
      </c>
      <c r="W229" t="e">
        <f>INDEX(TCO!$B$2:$AQ$85,MATCH('Historical Shareweights'!$A229,TCO!$A$2:$A$85,0),MATCH('Historical Shareweights'!W227,TCO!$B$1:$AQ$1,0))</f>
        <v>#N/A</v>
      </c>
      <c r="X229" t="e">
        <f>INDEX(TCO!$B$2:$AQ$85,MATCH('Historical Shareweights'!$A229,TCO!$A$2:$A$85,0),MATCH('Historical Shareweights'!X227,TCO!$B$1:$AQ$1,0))</f>
        <v>#N/A</v>
      </c>
      <c r="Y229" t="e">
        <f>INDEX(TCO!$B$2:$AQ$85,MATCH('Historical Shareweights'!$A229,TCO!$A$2:$A$85,0),MATCH('Historical Shareweights'!Y227,TCO!$B$1:$AQ$1,0))</f>
        <v>#N/A</v>
      </c>
      <c r="Z229" t="e">
        <f>INDEX(TCO!$B$2:$AQ$85,MATCH('Historical Shareweights'!$A229,TCO!$A$2:$A$85,0),MATCH('Historical Shareweights'!Z227,TCO!$B$1:$AQ$1,0))</f>
        <v>#N/A</v>
      </c>
      <c r="AA229" t="e">
        <f>INDEX(TCO!$B$2:$AQ$85,MATCH('Historical Shareweights'!$A229,TCO!$A$2:$A$85,0),MATCH('Historical Shareweights'!AA227,TCO!$B$1:$AQ$1,0))</f>
        <v>#N/A</v>
      </c>
      <c r="AB229" t="e">
        <f>INDEX(TCO!$B$2:$AQ$85,MATCH('Historical Shareweights'!$A229,TCO!$A$2:$A$85,0),MATCH('Historical Shareweights'!AB227,TCO!$B$1:$AQ$1,0))</f>
        <v>#N/A</v>
      </c>
      <c r="AC229" t="e">
        <f>INDEX(TCO!$B$2:$AQ$85,MATCH('Historical Shareweights'!$A229,TCO!$A$2:$A$85,0),MATCH('Historical Shareweights'!AC227,TCO!$B$1:$AQ$1,0))</f>
        <v>#N/A</v>
      </c>
      <c r="AD229" t="e">
        <f>INDEX(TCO!$B$2:$AQ$85,MATCH('Historical Shareweights'!$A229,TCO!$A$2:$A$85,0),MATCH('Historical Shareweights'!AD227,TCO!$B$1:$AQ$1,0))</f>
        <v>#N/A</v>
      </c>
      <c r="AE229" t="e">
        <f>INDEX(TCO!$B$2:$AQ$85,MATCH('Historical Shareweights'!$A229,TCO!$A$2:$A$85,0),MATCH('Historical Shareweights'!AE227,TCO!$B$1:$AQ$1,0))</f>
        <v>#N/A</v>
      </c>
      <c r="AF229" t="e">
        <f>INDEX(TCO!$B$2:$AQ$85,MATCH('Historical Shareweights'!$A229,TCO!$A$2:$A$85,0),MATCH('Historical Shareweights'!AF227,TCO!$B$1:$AQ$1,0))</f>
        <v>#N/A</v>
      </c>
      <c r="AG229" t="e">
        <f>INDEX(TCO!$B$2:$AQ$85,MATCH('Historical Shareweights'!$A229,TCO!$A$2:$A$85,0),MATCH('Historical Shareweights'!AG227,TCO!$B$1:$AQ$1,0))</f>
        <v>#N/A</v>
      </c>
      <c r="AH229" t="e">
        <f>INDEX(TCO!$B$2:$AQ$85,MATCH('Historical Shareweights'!$A229,TCO!$A$2:$A$85,0),MATCH('Historical Shareweights'!AH227,TCO!$B$1:$AQ$1,0))</f>
        <v>#N/A</v>
      </c>
      <c r="AI229" t="e">
        <f>INDEX(TCO!$B$2:$AQ$85,MATCH('Historical Shareweights'!$A229,TCO!$A$2:$A$85,0),MATCH('Historical Shareweights'!AI227,TCO!$B$1:$AQ$1,0))</f>
        <v>#N/A</v>
      </c>
      <c r="AJ229" t="e">
        <f>INDEX(TCO!$B$2:$AQ$85,MATCH('Historical Shareweights'!$A229,TCO!$A$2:$A$85,0),MATCH('Historical Shareweights'!AJ227,TCO!$B$1:$AQ$1,0))</f>
        <v>#N/A</v>
      </c>
      <c r="AK229" t="e">
        <f>INDEX(TCO!$B$2:$AQ$85,MATCH('Historical Shareweights'!$A229,TCO!$A$2:$A$85,0),MATCH('Historical Shareweights'!AK227,TCO!$B$1:$AQ$1,0))</f>
        <v>#N/A</v>
      </c>
      <c r="AL229" t="e">
        <f>INDEX(TCO!$B$2:$AQ$85,MATCH('Historical Shareweights'!$A229,TCO!$A$2:$A$85,0),MATCH('Historical Shareweights'!AL227,TCO!$B$1:$AQ$1,0))</f>
        <v>#N/A</v>
      </c>
      <c r="AM229" t="e">
        <f>INDEX(TCO!$B$2:$AQ$85,MATCH('Historical Shareweights'!$A229,TCO!$A$2:$A$85,0),MATCH('Historical Shareweights'!AM227,TCO!$B$1:$AQ$1,0))</f>
        <v>#N/A</v>
      </c>
      <c r="AN229" t="e">
        <f>INDEX(TCO!$B$2:$AQ$85,MATCH('Historical Shareweights'!$A229,TCO!$A$2:$A$85,0),MATCH('Historical Shareweights'!AN227,TCO!$B$1:$AQ$1,0))</f>
        <v>#N/A</v>
      </c>
      <c r="AO229" t="e">
        <f>INDEX(TCO!$B$2:$AQ$85,MATCH('Historical Shareweights'!$A229,TCO!$A$2:$A$85,0),MATCH('Historical Shareweights'!AO227,TCO!$B$1:$AQ$1,0))</f>
        <v>#N/A</v>
      </c>
      <c r="AP229" t="e">
        <f>INDEX(TCO!$B$2:$AQ$85,MATCH('Historical Shareweights'!$A229,TCO!$A$2:$A$85,0),MATCH('Historical Shareweights'!AP227,TCO!$B$1:$AQ$1,0))</f>
        <v>#N/A</v>
      </c>
      <c r="AQ229" t="e">
        <f>INDEX(TCO!$B$2:$AQ$85,MATCH('Historical Shareweights'!$A229,TCO!$A$2:$A$85,0),MATCH('Historical Shareweights'!AQ227,TCO!$B$1:$AQ$1,0))</f>
        <v>#N/A</v>
      </c>
    </row>
    <row r="230" spans="1:43" outlineLevel="1" x14ac:dyDescent="0.15">
      <c r="A230" t="s">
        <v>1138</v>
      </c>
      <c r="B230" t="e">
        <f>INDEX(TCO!$B$2:$AQ$85,MATCH('Historical Shareweights'!$A230,TCO!$A$2:$A$85,0),MATCH('Historical Shareweights'!B227,TCO!$B$1:$AQ$1,0))</f>
        <v>#N/A</v>
      </c>
      <c r="C230" t="e">
        <f>INDEX(TCO!$B$2:$AQ$85,MATCH('Historical Shareweights'!$A230,TCO!$A$2:$A$85,0),MATCH('Historical Shareweights'!C227,TCO!$B$1:$AQ$1,0))</f>
        <v>#N/A</v>
      </c>
      <c r="D230" t="e">
        <f>INDEX(TCO!$B$2:$AQ$85,MATCH('Historical Shareweights'!$A230,TCO!$A$2:$A$85,0),MATCH('Historical Shareweights'!D227,TCO!$B$1:$AQ$1,0))</f>
        <v>#N/A</v>
      </c>
      <c r="E230" t="e">
        <f>INDEX(TCO!$B$2:$AQ$85,MATCH('Historical Shareweights'!$A230,TCO!$A$2:$A$85,0),MATCH('Historical Shareweights'!E227,TCO!$B$1:$AQ$1,0))</f>
        <v>#N/A</v>
      </c>
      <c r="F230" t="e">
        <f>INDEX(TCO!$B$2:$AQ$85,MATCH('Historical Shareweights'!$A230,TCO!$A$2:$A$85,0),MATCH('Historical Shareweights'!F227,TCO!$B$1:$AQ$1,0))</f>
        <v>#N/A</v>
      </c>
      <c r="G230" t="e">
        <f>INDEX(TCO!$B$2:$AQ$85,MATCH('Historical Shareweights'!$A230,TCO!$A$2:$A$85,0),MATCH('Historical Shareweights'!G227,TCO!$B$1:$AQ$1,0))</f>
        <v>#N/A</v>
      </c>
      <c r="H230" t="e">
        <f>INDEX(TCO!$B$2:$AQ$85,MATCH('Historical Shareweights'!$A230,TCO!$A$2:$A$85,0),MATCH('Historical Shareweights'!H227,TCO!$B$1:$AQ$1,0))</f>
        <v>#N/A</v>
      </c>
      <c r="I230" t="e">
        <f>INDEX(TCO!$B$2:$AQ$85,MATCH('Historical Shareweights'!$A230,TCO!$A$2:$A$85,0),MATCH('Historical Shareweights'!I227,TCO!$B$1:$AQ$1,0))</f>
        <v>#N/A</v>
      </c>
      <c r="J230" t="e">
        <f>INDEX(TCO!$B$2:$AQ$85,MATCH('Historical Shareweights'!$A230,TCO!$A$2:$A$85,0),MATCH('Historical Shareweights'!J227,TCO!$B$1:$AQ$1,0))</f>
        <v>#N/A</v>
      </c>
      <c r="K230" t="e">
        <f>INDEX(TCO!$B$2:$AQ$85,MATCH('Historical Shareweights'!$A230,TCO!$A$2:$A$85,0),MATCH('Historical Shareweights'!K227,TCO!$B$1:$AQ$1,0))</f>
        <v>#N/A</v>
      </c>
      <c r="L230" t="e">
        <f>INDEX(TCO!$B$2:$AQ$85,MATCH('Historical Shareweights'!$A230,TCO!$A$2:$A$85,0),MATCH('Historical Shareweights'!L227,TCO!$B$1:$AQ$1,0))</f>
        <v>#N/A</v>
      </c>
      <c r="M230" t="e">
        <f>INDEX(TCO!$B$2:$AQ$85,MATCH('Historical Shareweights'!$A230,TCO!$A$2:$A$85,0),MATCH('Historical Shareweights'!M227,TCO!$B$1:$AQ$1,0))</f>
        <v>#N/A</v>
      </c>
      <c r="N230" t="e">
        <f>INDEX(TCO!$B$2:$AQ$85,MATCH('Historical Shareweights'!$A230,TCO!$A$2:$A$85,0),MATCH('Historical Shareweights'!N227,TCO!$B$1:$AQ$1,0))</f>
        <v>#N/A</v>
      </c>
      <c r="O230" t="e">
        <f>INDEX(TCO!$B$2:$AQ$85,MATCH('Historical Shareweights'!$A230,TCO!$A$2:$A$85,0),MATCH('Historical Shareweights'!O227,TCO!$B$1:$AQ$1,0))</f>
        <v>#N/A</v>
      </c>
      <c r="P230" t="e">
        <f>INDEX(TCO!$B$2:$AQ$85,MATCH('Historical Shareweights'!$A230,TCO!$A$2:$A$85,0),MATCH('Historical Shareweights'!P227,TCO!$B$1:$AQ$1,0))</f>
        <v>#N/A</v>
      </c>
      <c r="Q230" t="e">
        <f>INDEX(TCO!$B$2:$AQ$85,MATCH('Historical Shareweights'!$A230,TCO!$A$2:$A$85,0),MATCH('Historical Shareweights'!Q227,TCO!$B$1:$AQ$1,0))</f>
        <v>#N/A</v>
      </c>
      <c r="R230" t="e">
        <f>INDEX(TCO!$B$2:$AQ$85,MATCH('Historical Shareweights'!$A230,TCO!$A$2:$A$85,0),MATCH('Historical Shareweights'!R227,TCO!$B$1:$AQ$1,0))</f>
        <v>#N/A</v>
      </c>
      <c r="S230" t="e">
        <f>INDEX(TCO!$B$2:$AQ$85,MATCH('Historical Shareweights'!$A230,TCO!$A$2:$A$85,0),MATCH('Historical Shareweights'!S227,TCO!$B$1:$AQ$1,0))</f>
        <v>#N/A</v>
      </c>
      <c r="T230" t="e">
        <f>INDEX(TCO!$B$2:$AQ$85,MATCH('Historical Shareweights'!$A230,TCO!$A$2:$A$85,0),MATCH('Historical Shareweights'!T227,TCO!$B$1:$AQ$1,0))</f>
        <v>#N/A</v>
      </c>
      <c r="U230" t="e">
        <f>INDEX(TCO!$B$2:$AQ$85,MATCH('Historical Shareweights'!$A230,TCO!$A$2:$A$85,0),MATCH('Historical Shareweights'!U227,TCO!$B$1:$AQ$1,0))</f>
        <v>#N/A</v>
      </c>
      <c r="V230" t="e">
        <f>INDEX(TCO!$B$2:$AQ$85,MATCH('Historical Shareweights'!$A230,TCO!$A$2:$A$85,0),MATCH('Historical Shareweights'!V227,TCO!$B$1:$AQ$1,0))</f>
        <v>#N/A</v>
      </c>
      <c r="W230" t="e">
        <f>INDEX(TCO!$B$2:$AQ$85,MATCH('Historical Shareweights'!$A230,TCO!$A$2:$A$85,0),MATCH('Historical Shareweights'!W227,TCO!$B$1:$AQ$1,0))</f>
        <v>#N/A</v>
      </c>
      <c r="X230" t="e">
        <f>INDEX(TCO!$B$2:$AQ$85,MATCH('Historical Shareweights'!$A230,TCO!$A$2:$A$85,0),MATCH('Historical Shareweights'!X227,TCO!$B$1:$AQ$1,0))</f>
        <v>#N/A</v>
      </c>
      <c r="Y230" t="e">
        <f>INDEX(TCO!$B$2:$AQ$85,MATCH('Historical Shareweights'!$A230,TCO!$A$2:$A$85,0),MATCH('Historical Shareweights'!Y227,TCO!$B$1:$AQ$1,0))</f>
        <v>#N/A</v>
      </c>
      <c r="Z230" t="e">
        <f>INDEX(TCO!$B$2:$AQ$85,MATCH('Historical Shareweights'!$A230,TCO!$A$2:$A$85,0),MATCH('Historical Shareweights'!Z227,TCO!$B$1:$AQ$1,0))</f>
        <v>#N/A</v>
      </c>
      <c r="AA230" t="e">
        <f>INDEX(TCO!$B$2:$AQ$85,MATCH('Historical Shareweights'!$A230,TCO!$A$2:$A$85,0),MATCH('Historical Shareweights'!AA227,TCO!$B$1:$AQ$1,0))</f>
        <v>#N/A</v>
      </c>
      <c r="AB230" t="e">
        <f>INDEX(TCO!$B$2:$AQ$85,MATCH('Historical Shareweights'!$A230,TCO!$A$2:$A$85,0),MATCH('Historical Shareweights'!AB227,TCO!$B$1:$AQ$1,0))</f>
        <v>#N/A</v>
      </c>
      <c r="AC230" t="e">
        <f>INDEX(TCO!$B$2:$AQ$85,MATCH('Historical Shareweights'!$A230,TCO!$A$2:$A$85,0),MATCH('Historical Shareweights'!AC227,TCO!$B$1:$AQ$1,0))</f>
        <v>#N/A</v>
      </c>
      <c r="AD230" t="e">
        <f>INDEX(TCO!$B$2:$AQ$85,MATCH('Historical Shareweights'!$A230,TCO!$A$2:$A$85,0),MATCH('Historical Shareweights'!AD227,TCO!$B$1:$AQ$1,0))</f>
        <v>#N/A</v>
      </c>
      <c r="AE230" t="e">
        <f>INDEX(TCO!$B$2:$AQ$85,MATCH('Historical Shareweights'!$A230,TCO!$A$2:$A$85,0),MATCH('Historical Shareweights'!AE227,TCO!$B$1:$AQ$1,0))</f>
        <v>#N/A</v>
      </c>
      <c r="AF230" t="e">
        <f>INDEX(TCO!$B$2:$AQ$85,MATCH('Historical Shareweights'!$A230,TCO!$A$2:$A$85,0),MATCH('Historical Shareweights'!AF227,TCO!$B$1:$AQ$1,0))</f>
        <v>#N/A</v>
      </c>
      <c r="AG230" t="e">
        <f>INDEX(TCO!$B$2:$AQ$85,MATCH('Historical Shareweights'!$A230,TCO!$A$2:$A$85,0),MATCH('Historical Shareweights'!AG227,TCO!$B$1:$AQ$1,0))</f>
        <v>#N/A</v>
      </c>
      <c r="AH230" t="e">
        <f>INDEX(TCO!$B$2:$AQ$85,MATCH('Historical Shareweights'!$A230,TCO!$A$2:$A$85,0),MATCH('Historical Shareweights'!AH227,TCO!$B$1:$AQ$1,0))</f>
        <v>#N/A</v>
      </c>
      <c r="AI230" t="e">
        <f>INDEX(TCO!$B$2:$AQ$85,MATCH('Historical Shareweights'!$A230,TCO!$A$2:$A$85,0),MATCH('Historical Shareweights'!AI227,TCO!$B$1:$AQ$1,0))</f>
        <v>#N/A</v>
      </c>
      <c r="AJ230" t="e">
        <f>INDEX(TCO!$B$2:$AQ$85,MATCH('Historical Shareweights'!$A230,TCO!$A$2:$A$85,0),MATCH('Historical Shareweights'!AJ227,TCO!$B$1:$AQ$1,0))</f>
        <v>#N/A</v>
      </c>
      <c r="AK230" t="e">
        <f>INDEX(TCO!$B$2:$AQ$85,MATCH('Historical Shareweights'!$A230,TCO!$A$2:$A$85,0),MATCH('Historical Shareweights'!AK227,TCO!$B$1:$AQ$1,0))</f>
        <v>#N/A</v>
      </c>
      <c r="AL230" t="e">
        <f>INDEX(TCO!$B$2:$AQ$85,MATCH('Historical Shareweights'!$A230,TCO!$A$2:$A$85,0),MATCH('Historical Shareweights'!AL227,TCO!$B$1:$AQ$1,0))</f>
        <v>#N/A</v>
      </c>
      <c r="AM230" t="e">
        <f>INDEX(TCO!$B$2:$AQ$85,MATCH('Historical Shareweights'!$A230,TCO!$A$2:$A$85,0),MATCH('Historical Shareweights'!AM227,TCO!$B$1:$AQ$1,0))</f>
        <v>#N/A</v>
      </c>
      <c r="AN230" t="e">
        <f>INDEX(TCO!$B$2:$AQ$85,MATCH('Historical Shareweights'!$A230,TCO!$A$2:$A$85,0),MATCH('Historical Shareweights'!AN227,TCO!$B$1:$AQ$1,0))</f>
        <v>#N/A</v>
      </c>
      <c r="AO230" t="e">
        <f>INDEX(TCO!$B$2:$AQ$85,MATCH('Historical Shareweights'!$A230,TCO!$A$2:$A$85,0),MATCH('Historical Shareweights'!AO227,TCO!$B$1:$AQ$1,0))</f>
        <v>#N/A</v>
      </c>
      <c r="AP230" t="e">
        <f>INDEX(TCO!$B$2:$AQ$85,MATCH('Historical Shareweights'!$A230,TCO!$A$2:$A$85,0),MATCH('Historical Shareweights'!AP227,TCO!$B$1:$AQ$1,0))</f>
        <v>#N/A</v>
      </c>
      <c r="AQ230" t="e">
        <f>INDEX(TCO!$B$2:$AQ$85,MATCH('Historical Shareweights'!$A230,TCO!$A$2:$A$85,0),MATCH('Historical Shareweights'!AQ227,TCO!$B$1:$AQ$1,0))</f>
        <v>#N/A</v>
      </c>
    </row>
    <row r="231" spans="1:43" outlineLevel="1" x14ac:dyDescent="0.15">
      <c r="A231" t="s">
        <v>1139</v>
      </c>
      <c r="B231" t="e">
        <f>INDEX(TCO!$B$2:$AQ$85,MATCH('Historical Shareweights'!$A231,TCO!$A$2:$A$85,0),MATCH('Historical Shareweights'!B227,TCO!$B$1:$AQ$1,0))</f>
        <v>#N/A</v>
      </c>
      <c r="C231" t="e">
        <f>INDEX(TCO!$B$2:$AQ$85,MATCH('Historical Shareweights'!$A231,TCO!$A$2:$A$85,0),MATCH('Historical Shareweights'!C227,TCO!$B$1:$AQ$1,0))</f>
        <v>#N/A</v>
      </c>
      <c r="D231" t="e">
        <f>INDEX(TCO!$B$2:$AQ$85,MATCH('Historical Shareweights'!$A231,TCO!$A$2:$A$85,0),MATCH('Historical Shareweights'!D227,TCO!$B$1:$AQ$1,0))</f>
        <v>#N/A</v>
      </c>
      <c r="E231" t="e">
        <f>INDEX(TCO!$B$2:$AQ$85,MATCH('Historical Shareweights'!$A231,TCO!$A$2:$A$85,0),MATCH('Historical Shareweights'!E227,TCO!$B$1:$AQ$1,0))</f>
        <v>#N/A</v>
      </c>
      <c r="F231" t="e">
        <f>INDEX(TCO!$B$2:$AQ$85,MATCH('Historical Shareweights'!$A231,TCO!$A$2:$A$85,0),MATCH('Historical Shareweights'!F227,TCO!$B$1:$AQ$1,0))</f>
        <v>#N/A</v>
      </c>
      <c r="G231" t="e">
        <f>INDEX(TCO!$B$2:$AQ$85,MATCH('Historical Shareweights'!$A231,TCO!$A$2:$A$85,0),MATCH('Historical Shareweights'!G227,TCO!$B$1:$AQ$1,0))</f>
        <v>#N/A</v>
      </c>
      <c r="H231" t="e">
        <f>INDEX(TCO!$B$2:$AQ$85,MATCH('Historical Shareweights'!$A231,TCO!$A$2:$A$85,0),MATCH('Historical Shareweights'!H227,TCO!$B$1:$AQ$1,0))</f>
        <v>#N/A</v>
      </c>
      <c r="I231" t="e">
        <f>INDEX(TCO!$B$2:$AQ$85,MATCH('Historical Shareweights'!$A231,TCO!$A$2:$A$85,0),MATCH('Historical Shareweights'!I227,TCO!$B$1:$AQ$1,0))</f>
        <v>#N/A</v>
      </c>
      <c r="J231" t="e">
        <f>INDEX(TCO!$B$2:$AQ$85,MATCH('Historical Shareweights'!$A231,TCO!$A$2:$A$85,0),MATCH('Historical Shareweights'!J227,TCO!$B$1:$AQ$1,0))</f>
        <v>#N/A</v>
      </c>
      <c r="K231" t="e">
        <f>INDEX(TCO!$B$2:$AQ$85,MATCH('Historical Shareweights'!$A231,TCO!$A$2:$A$85,0),MATCH('Historical Shareweights'!K227,TCO!$B$1:$AQ$1,0))</f>
        <v>#N/A</v>
      </c>
      <c r="L231" t="e">
        <f>INDEX(TCO!$B$2:$AQ$85,MATCH('Historical Shareweights'!$A231,TCO!$A$2:$A$85,0),MATCH('Historical Shareweights'!L227,TCO!$B$1:$AQ$1,0))</f>
        <v>#N/A</v>
      </c>
      <c r="M231" t="e">
        <f>INDEX(TCO!$B$2:$AQ$85,MATCH('Historical Shareweights'!$A231,TCO!$A$2:$A$85,0),MATCH('Historical Shareweights'!M227,TCO!$B$1:$AQ$1,0))</f>
        <v>#N/A</v>
      </c>
      <c r="N231" t="e">
        <f>INDEX(TCO!$B$2:$AQ$85,MATCH('Historical Shareweights'!$A231,TCO!$A$2:$A$85,0),MATCH('Historical Shareweights'!N227,TCO!$B$1:$AQ$1,0))</f>
        <v>#N/A</v>
      </c>
      <c r="O231" t="e">
        <f>INDEX(TCO!$B$2:$AQ$85,MATCH('Historical Shareweights'!$A231,TCO!$A$2:$A$85,0),MATCH('Historical Shareweights'!O227,TCO!$B$1:$AQ$1,0))</f>
        <v>#N/A</v>
      </c>
      <c r="P231" t="e">
        <f>INDEX(TCO!$B$2:$AQ$85,MATCH('Historical Shareweights'!$A231,TCO!$A$2:$A$85,0),MATCH('Historical Shareweights'!P227,TCO!$B$1:$AQ$1,0))</f>
        <v>#N/A</v>
      </c>
      <c r="Q231" t="e">
        <f>INDEX(TCO!$B$2:$AQ$85,MATCH('Historical Shareweights'!$A231,TCO!$A$2:$A$85,0),MATCH('Historical Shareweights'!Q227,TCO!$B$1:$AQ$1,0))</f>
        <v>#N/A</v>
      </c>
      <c r="R231" t="e">
        <f>INDEX(TCO!$B$2:$AQ$85,MATCH('Historical Shareweights'!$A231,TCO!$A$2:$A$85,0),MATCH('Historical Shareweights'!R227,TCO!$B$1:$AQ$1,0))</f>
        <v>#N/A</v>
      </c>
      <c r="S231" t="e">
        <f>INDEX(TCO!$B$2:$AQ$85,MATCH('Historical Shareweights'!$A231,TCO!$A$2:$A$85,0),MATCH('Historical Shareweights'!S227,TCO!$B$1:$AQ$1,0))</f>
        <v>#N/A</v>
      </c>
      <c r="T231" t="e">
        <f>INDEX(TCO!$B$2:$AQ$85,MATCH('Historical Shareweights'!$A231,TCO!$A$2:$A$85,0),MATCH('Historical Shareweights'!T227,TCO!$B$1:$AQ$1,0))</f>
        <v>#N/A</v>
      </c>
      <c r="U231" t="e">
        <f>INDEX(TCO!$B$2:$AQ$85,MATCH('Historical Shareweights'!$A231,TCO!$A$2:$A$85,0),MATCH('Historical Shareweights'!U227,TCO!$B$1:$AQ$1,0))</f>
        <v>#N/A</v>
      </c>
      <c r="V231" t="e">
        <f>INDEX(TCO!$B$2:$AQ$85,MATCH('Historical Shareweights'!$A231,TCO!$A$2:$A$85,0),MATCH('Historical Shareweights'!V227,TCO!$B$1:$AQ$1,0))</f>
        <v>#N/A</v>
      </c>
      <c r="W231" t="e">
        <f>INDEX(TCO!$B$2:$AQ$85,MATCH('Historical Shareweights'!$A231,TCO!$A$2:$A$85,0),MATCH('Historical Shareweights'!W227,TCO!$B$1:$AQ$1,0))</f>
        <v>#N/A</v>
      </c>
      <c r="X231" t="e">
        <f>INDEX(TCO!$B$2:$AQ$85,MATCH('Historical Shareweights'!$A231,TCO!$A$2:$A$85,0),MATCH('Historical Shareweights'!X227,TCO!$B$1:$AQ$1,0))</f>
        <v>#N/A</v>
      </c>
      <c r="Y231" t="e">
        <f>INDEX(TCO!$B$2:$AQ$85,MATCH('Historical Shareweights'!$A231,TCO!$A$2:$A$85,0),MATCH('Historical Shareweights'!Y227,TCO!$B$1:$AQ$1,0))</f>
        <v>#N/A</v>
      </c>
      <c r="Z231" t="e">
        <f>INDEX(TCO!$B$2:$AQ$85,MATCH('Historical Shareweights'!$A231,TCO!$A$2:$A$85,0),MATCH('Historical Shareweights'!Z227,TCO!$B$1:$AQ$1,0))</f>
        <v>#N/A</v>
      </c>
      <c r="AA231" t="e">
        <f>INDEX(TCO!$B$2:$AQ$85,MATCH('Historical Shareweights'!$A231,TCO!$A$2:$A$85,0),MATCH('Historical Shareweights'!AA227,TCO!$B$1:$AQ$1,0))</f>
        <v>#N/A</v>
      </c>
      <c r="AB231" t="e">
        <f>INDEX(TCO!$B$2:$AQ$85,MATCH('Historical Shareweights'!$A231,TCO!$A$2:$A$85,0),MATCH('Historical Shareweights'!AB227,TCO!$B$1:$AQ$1,0))</f>
        <v>#N/A</v>
      </c>
      <c r="AC231" t="e">
        <f>INDEX(TCO!$B$2:$AQ$85,MATCH('Historical Shareweights'!$A231,TCO!$A$2:$A$85,0),MATCH('Historical Shareweights'!AC227,TCO!$B$1:$AQ$1,0))</f>
        <v>#N/A</v>
      </c>
      <c r="AD231" t="e">
        <f>INDEX(TCO!$B$2:$AQ$85,MATCH('Historical Shareweights'!$A231,TCO!$A$2:$A$85,0),MATCH('Historical Shareweights'!AD227,TCO!$B$1:$AQ$1,0))</f>
        <v>#N/A</v>
      </c>
      <c r="AE231" t="e">
        <f>INDEX(TCO!$B$2:$AQ$85,MATCH('Historical Shareweights'!$A231,TCO!$A$2:$A$85,0),MATCH('Historical Shareweights'!AE227,TCO!$B$1:$AQ$1,0))</f>
        <v>#N/A</v>
      </c>
      <c r="AF231" t="e">
        <f>INDEX(TCO!$B$2:$AQ$85,MATCH('Historical Shareweights'!$A231,TCO!$A$2:$A$85,0),MATCH('Historical Shareweights'!AF227,TCO!$B$1:$AQ$1,0))</f>
        <v>#N/A</v>
      </c>
      <c r="AG231" t="e">
        <f>INDEX(TCO!$B$2:$AQ$85,MATCH('Historical Shareweights'!$A231,TCO!$A$2:$A$85,0),MATCH('Historical Shareweights'!AG227,TCO!$B$1:$AQ$1,0))</f>
        <v>#N/A</v>
      </c>
      <c r="AH231" t="e">
        <f>INDEX(TCO!$B$2:$AQ$85,MATCH('Historical Shareweights'!$A231,TCO!$A$2:$A$85,0),MATCH('Historical Shareweights'!AH227,TCO!$B$1:$AQ$1,0))</f>
        <v>#N/A</v>
      </c>
      <c r="AI231" t="e">
        <f>INDEX(TCO!$B$2:$AQ$85,MATCH('Historical Shareweights'!$A231,TCO!$A$2:$A$85,0),MATCH('Historical Shareweights'!AI227,TCO!$B$1:$AQ$1,0))</f>
        <v>#N/A</v>
      </c>
      <c r="AJ231" t="e">
        <f>INDEX(TCO!$B$2:$AQ$85,MATCH('Historical Shareweights'!$A231,TCO!$A$2:$A$85,0),MATCH('Historical Shareweights'!AJ227,TCO!$B$1:$AQ$1,0))</f>
        <v>#N/A</v>
      </c>
      <c r="AK231" t="e">
        <f>INDEX(TCO!$B$2:$AQ$85,MATCH('Historical Shareweights'!$A231,TCO!$A$2:$A$85,0),MATCH('Historical Shareweights'!AK227,TCO!$B$1:$AQ$1,0))</f>
        <v>#N/A</v>
      </c>
      <c r="AL231" t="e">
        <f>INDEX(TCO!$B$2:$AQ$85,MATCH('Historical Shareweights'!$A231,TCO!$A$2:$A$85,0),MATCH('Historical Shareweights'!AL227,TCO!$B$1:$AQ$1,0))</f>
        <v>#N/A</v>
      </c>
      <c r="AM231" t="e">
        <f>INDEX(TCO!$B$2:$AQ$85,MATCH('Historical Shareweights'!$A231,TCO!$A$2:$A$85,0),MATCH('Historical Shareweights'!AM227,TCO!$B$1:$AQ$1,0))</f>
        <v>#N/A</v>
      </c>
      <c r="AN231" t="e">
        <f>INDEX(TCO!$B$2:$AQ$85,MATCH('Historical Shareweights'!$A231,TCO!$A$2:$A$85,0),MATCH('Historical Shareweights'!AN227,TCO!$B$1:$AQ$1,0))</f>
        <v>#N/A</v>
      </c>
      <c r="AO231" t="e">
        <f>INDEX(TCO!$B$2:$AQ$85,MATCH('Historical Shareweights'!$A231,TCO!$A$2:$A$85,0),MATCH('Historical Shareweights'!AO227,TCO!$B$1:$AQ$1,0))</f>
        <v>#N/A</v>
      </c>
      <c r="AP231" t="e">
        <f>INDEX(TCO!$B$2:$AQ$85,MATCH('Historical Shareweights'!$A231,TCO!$A$2:$A$85,0),MATCH('Historical Shareweights'!AP227,TCO!$B$1:$AQ$1,0))</f>
        <v>#N/A</v>
      </c>
      <c r="AQ231" t="e">
        <f>INDEX(TCO!$B$2:$AQ$85,MATCH('Historical Shareweights'!$A231,TCO!$A$2:$A$85,0),MATCH('Historical Shareweights'!AQ227,TCO!$B$1:$AQ$1,0))</f>
        <v>#N/A</v>
      </c>
    </row>
    <row r="232" spans="1:43" outlineLevel="1" x14ac:dyDescent="0.15">
      <c r="A232" t="s">
        <v>1140</v>
      </c>
      <c r="B232" t="e">
        <f>INDEX(TCO!$B$2:$AQ$85,MATCH('Historical Shareweights'!$A232,TCO!$A$2:$A$85,0),MATCH('Historical Shareweights'!B227,TCO!$B$1:$AQ$1,0))</f>
        <v>#N/A</v>
      </c>
      <c r="C232" t="e">
        <f>INDEX(TCO!$B$2:$AQ$85,MATCH('Historical Shareweights'!$A232,TCO!$A$2:$A$85,0),MATCH('Historical Shareweights'!C227,TCO!$B$1:$AQ$1,0))</f>
        <v>#N/A</v>
      </c>
      <c r="D232" t="e">
        <f>INDEX(TCO!$B$2:$AQ$85,MATCH('Historical Shareweights'!$A232,TCO!$A$2:$A$85,0),MATCH('Historical Shareweights'!D227,TCO!$B$1:$AQ$1,0))</f>
        <v>#N/A</v>
      </c>
      <c r="E232" t="e">
        <f>INDEX(TCO!$B$2:$AQ$85,MATCH('Historical Shareweights'!$A232,TCO!$A$2:$A$85,0),MATCH('Historical Shareweights'!E227,TCO!$B$1:$AQ$1,0))</f>
        <v>#N/A</v>
      </c>
      <c r="F232" t="e">
        <f>INDEX(TCO!$B$2:$AQ$85,MATCH('Historical Shareweights'!$A232,TCO!$A$2:$A$85,0),MATCH('Historical Shareweights'!F227,TCO!$B$1:$AQ$1,0))</f>
        <v>#N/A</v>
      </c>
      <c r="G232" t="e">
        <f>INDEX(TCO!$B$2:$AQ$85,MATCH('Historical Shareweights'!$A232,TCO!$A$2:$A$85,0),MATCH('Historical Shareweights'!G227,TCO!$B$1:$AQ$1,0))</f>
        <v>#N/A</v>
      </c>
      <c r="H232" t="e">
        <f>INDEX(TCO!$B$2:$AQ$85,MATCH('Historical Shareweights'!$A232,TCO!$A$2:$A$85,0),MATCH('Historical Shareweights'!H227,TCO!$B$1:$AQ$1,0))</f>
        <v>#N/A</v>
      </c>
      <c r="I232" t="e">
        <f>INDEX(TCO!$B$2:$AQ$85,MATCH('Historical Shareweights'!$A232,TCO!$A$2:$A$85,0),MATCH('Historical Shareweights'!I227,TCO!$B$1:$AQ$1,0))</f>
        <v>#N/A</v>
      </c>
      <c r="J232" t="e">
        <f>INDEX(TCO!$B$2:$AQ$85,MATCH('Historical Shareweights'!$A232,TCO!$A$2:$A$85,0),MATCH('Historical Shareweights'!J227,TCO!$B$1:$AQ$1,0))</f>
        <v>#N/A</v>
      </c>
      <c r="K232" t="e">
        <f>INDEX(TCO!$B$2:$AQ$85,MATCH('Historical Shareweights'!$A232,TCO!$A$2:$A$85,0),MATCH('Historical Shareweights'!K227,TCO!$B$1:$AQ$1,0))</f>
        <v>#N/A</v>
      </c>
      <c r="L232" t="e">
        <f>INDEX(TCO!$B$2:$AQ$85,MATCH('Historical Shareweights'!$A232,TCO!$A$2:$A$85,0),MATCH('Historical Shareweights'!L227,TCO!$B$1:$AQ$1,0))</f>
        <v>#N/A</v>
      </c>
      <c r="M232" t="e">
        <f>INDEX(TCO!$B$2:$AQ$85,MATCH('Historical Shareweights'!$A232,TCO!$A$2:$A$85,0),MATCH('Historical Shareweights'!M227,TCO!$B$1:$AQ$1,0))</f>
        <v>#N/A</v>
      </c>
      <c r="N232" t="e">
        <f>INDEX(TCO!$B$2:$AQ$85,MATCH('Historical Shareweights'!$A232,TCO!$A$2:$A$85,0),MATCH('Historical Shareweights'!N227,TCO!$B$1:$AQ$1,0))</f>
        <v>#N/A</v>
      </c>
      <c r="O232" t="e">
        <f>INDEX(TCO!$B$2:$AQ$85,MATCH('Historical Shareweights'!$A232,TCO!$A$2:$A$85,0),MATCH('Historical Shareweights'!O227,TCO!$B$1:$AQ$1,0))</f>
        <v>#N/A</v>
      </c>
      <c r="P232" t="e">
        <f>INDEX(TCO!$B$2:$AQ$85,MATCH('Historical Shareweights'!$A232,TCO!$A$2:$A$85,0),MATCH('Historical Shareweights'!P227,TCO!$B$1:$AQ$1,0))</f>
        <v>#N/A</v>
      </c>
      <c r="Q232" t="e">
        <f>INDEX(TCO!$B$2:$AQ$85,MATCH('Historical Shareweights'!$A232,TCO!$A$2:$A$85,0),MATCH('Historical Shareweights'!Q227,TCO!$B$1:$AQ$1,0))</f>
        <v>#N/A</v>
      </c>
      <c r="R232" t="e">
        <f>INDEX(TCO!$B$2:$AQ$85,MATCH('Historical Shareweights'!$A232,TCO!$A$2:$A$85,0),MATCH('Historical Shareweights'!R227,TCO!$B$1:$AQ$1,0))</f>
        <v>#N/A</v>
      </c>
      <c r="S232" t="e">
        <f>INDEX(TCO!$B$2:$AQ$85,MATCH('Historical Shareweights'!$A232,TCO!$A$2:$A$85,0),MATCH('Historical Shareweights'!S227,TCO!$B$1:$AQ$1,0))</f>
        <v>#N/A</v>
      </c>
      <c r="T232" t="e">
        <f>INDEX(TCO!$B$2:$AQ$85,MATCH('Historical Shareweights'!$A232,TCO!$A$2:$A$85,0),MATCH('Historical Shareweights'!T227,TCO!$B$1:$AQ$1,0))</f>
        <v>#N/A</v>
      </c>
      <c r="U232" t="e">
        <f>INDEX(TCO!$B$2:$AQ$85,MATCH('Historical Shareweights'!$A232,TCO!$A$2:$A$85,0),MATCH('Historical Shareweights'!U227,TCO!$B$1:$AQ$1,0))</f>
        <v>#N/A</v>
      </c>
      <c r="V232" t="e">
        <f>INDEX(TCO!$B$2:$AQ$85,MATCH('Historical Shareweights'!$A232,TCO!$A$2:$A$85,0),MATCH('Historical Shareweights'!V227,TCO!$B$1:$AQ$1,0))</f>
        <v>#N/A</v>
      </c>
      <c r="W232" t="e">
        <f>INDEX(TCO!$B$2:$AQ$85,MATCH('Historical Shareweights'!$A232,TCO!$A$2:$A$85,0),MATCH('Historical Shareweights'!W227,TCO!$B$1:$AQ$1,0))</f>
        <v>#N/A</v>
      </c>
      <c r="X232" t="e">
        <f>INDEX(TCO!$B$2:$AQ$85,MATCH('Historical Shareweights'!$A232,TCO!$A$2:$A$85,0),MATCH('Historical Shareweights'!X227,TCO!$B$1:$AQ$1,0))</f>
        <v>#N/A</v>
      </c>
      <c r="Y232" t="e">
        <f>INDEX(TCO!$B$2:$AQ$85,MATCH('Historical Shareweights'!$A232,TCO!$A$2:$A$85,0),MATCH('Historical Shareweights'!Y227,TCO!$B$1:$AQ$1,0))</f>
        <v>#N/A</v>
      </c>
      <c r="Z232" t="e">
        <f>INDEX(TCO!$B$2:$AQ$85,MATCH('Historical Shareweights'!$A232,TCO!$A$2:$A$85,0),MATCH('Historical Shareweights'!Z227,TCO!$B$1:$AQ$1,0))</f>
        <v>#N/A</v>
      </c>
      <c r="AA232" t="e">
        <f>INDEX(TCO!$B$2:$AQ$85,MATCH('Historical Shareweights'!$A232,TCO!$A$2:$A$85,0),MATCH('Historical Shareweights'!AA227,TCO!$B$1:$AQ$1,0))</f>
        <v>#N/A</v>
      </c>
      <c r="AB232" t="e">
        <f>INDEX(TCO!$B$2:$AQ$85,MATCH('Historical Shareweights'!$A232,TCO!$A$2:$A$85,0),MATCH('Historical Shareweights'!AB227,TCO!$B$1:$AQ$1,0))</f>
        <v>#N/A</v>
      </c>
      <c r="AC232" t="e">
        <f>INDEX(TCO!$B$2:$AQ$85,MATCH('Historical Shareweights'!$A232,TCO!$A$2:$A$85,0),MATCH('Historical Shareweights'!AC227,TCO!$B$1:$AQ$1,0))</f>
        <v>#N/A</v>
      </c>
      <c r="AD232" t="e">
        <f>INDEX(TCO!$B$2:$AQ$85,MATCH('Historical Shareweights'!$A232,TCO!$A$2:$A$85,0),MATCH('Historical Shareweights'!AD227,TCO!$B$1:$AQ$1,0))</f>
        <v>#N/A</v>
      </c>
      <c r="AE232" t="e">
        <f>INDEX(TCO!$B$2:$AQ$85,MATCH('Historical Shareweights'!$A232,TCO!$A$2:$A$85,0),MATCH('Historical Shareweights'!AE227,TCO!$B$1:$AQ$1,0))</f>
        <v>#N/A</v>
      </c>
      <c r="AF232" t="e">
        <f>INDEX(TCO!$B$2:$AQ$85,MATCH('Historical Shareweights'!$A232,TCO!$A$2:$A$85,0),MATCH('Historical Shareweights'!AF227,TCO!$B$1:$AQ$1,0))</f>
        <v>#N/A</v>
      </c>
      <c r="AG232" t="e">
        <f>INDEX(TCO!$B$2:$AQ$85,MATCH('Historical Shareweights'!$A232,TCO!$A$2:$A$85,0),MATCH('Historical Shareweights'!AG227,TCO!$B$1:$AQ$1,0))</f>
        <v>#N/A</v>
      </c>
      <c r="AH232" t="e">
        <f>INDEX(TCO!$B$2:$AQ$85,MATCH('Historical Shareweights'!$A232,TCO!$A$2:$A$85,0),MATCH('Historical Shareweights'!AH227,TCO!$B$1:$AQ$1,0))</f>
        <v>#N/A</v>
      </c>
      <c r="AI232" t="e">
        <f>INDEX(TCO!$B$2:$AQ$85,MATCH('Historical Shareweights'!$A232,TCO!$A$2:$A$85,0),MATCH('Historical Shareweights'!AI227,TCO!$B$1:$AQ$1,0))</f>
        <v>#N/A</v>
      </c>
      <c r="AJ232" t="e">
        <f>INDEX(TCO!$B$2:$AQ$85,MATCH('Historical Shareweights'!$A232,TCO!$A$2:$A$85,0),MATCH('Historical Shareweights'!AJ227,TCO!$B$1:$AQ$1,0))</f>
        <v>#N/A</v>
      </c>
      <c r="AK232" t="e">
        <f>INDEX(TCO!$B$2:$AQ$85,MATCH('Historical Shareweights'!$A232,TCO!$A$2:$A$85,0),MATCH('Historical Shareweights'!AK227,TCO!$B$1:$AQ$1,0))</f>
        <v>#N/A</v>
      </c>
      <c r="AL232" t="e">
        <f>INDEX(TCO!$B$2:$AQ$85,MATCH('Historical Shareweights'!$A232,TCO!$A$2:$A$85,0),MATCH('Historical Shareweights'!AL227,TCO!$B$1:$AQ$1,0))</f>
        <v>#N/A</v>
      </c>
      <c r="AM232" t="e">
        <f>INDEX(TCO!$B$2:$AQ$85,MATCH('Historical Shareweights'!$A232,TCO!$A$2:$A$85,0),MATCH('Historical Shareweights'!AM227,TCO!$B$1:$AQ$1,0))</f>
        <v>#N/A</v>
      </c>
      <c r="AN232" t="e">
        <f>INDEX(TCO!$B$2:$AQ$85,MATCH('Historical Shareweights'!$A232,TCO!$A$2:$A$85,0),MATCH('Historical Shareweights'!AN227,TCO!$B$1:$AQ$1,0))</f>
        <v>#N/A</v>
      </c>
      <c r="AO232" t="e">
        <f>INDEX(TCO!$B$2:$AQ$85,MATCH('Historical Shareweights'!$A232,TCO!$A$2:$A$85,0),MATCH('Historical Shareweights'!AO227,TCO!$B$1:$AQ$1,0))</f>
        <v>#N/A</v>
      </c>
      <c r="AP232" t="e">
        <f>INDEX(TCO!$B$2:$AQ$85,MATCH('Historical Shareweights'!$A232,TCO!$A$2:$A$85,0),MATCH('Historical Shareweights'!AP227,TCO!$B$1:$AQ$1,0))</f>
        <v>#N/A</v>
      </c>
      <c r="AQ232" t="e">
        <f>INDEX(TCO!$B$2:$AQ$85,MATCH('Historical Shareweights'!$A232,TCO!$A$2:$A$85,0),MATCH('Historical Shareweights'!AQ227,TCO!$B$1:$AQ$1,0))</f>
        <v>#N/A</v>
      </c>
    </row>
    <row r="233" spans="1:43" outlineLevel="1" x14ac:dyDescent="0.15">
      <c r="A233" t="s">
        <v>1141</v>
      </c>
      <c r="B233" t="e">
        <f>INDEX(TCO!$B$2:$AQ$85,MATCH('Historical Shareweights'!$A233,TCO!$A$2:$A$85,0),MATCH('Historical Shareweights'!B227,TCO!$B$1:$AQ$1,0))</f>
        <v>#N/A</v>
      </c>
      <c r="C233" t="e">
        <f>INDEX(TCO!$B$2:$AQ$85,MATCH('Historical Shareweights'!$A233,TCO!$A$2:$A$85,0),MATCH('Historical Shareweights'!C227,TCO!$B$1:$AQ$1,0))</f>
        <v>#N/A</v>
      </c>
      <c r="D233" t="e">
        <f>INDEX(TCO!$B$2:$AQ$85,MATCH('Historical Shareweights'!$A233,TCO!$A$2:$A$85,0),MATCH('Historical Shareweights'!D227,TCO!$B$1:$AQ$1,0))</f>
        <v>#N/A</v>
      </c>
      <c r="E233" t="e">
        <f>INDEX(TCO!$B$2:$AQ$85,MATCH('Historical Shareweights'!$A233,TCO!$A$2:$A$85,0),MATCH('Historical Shareweights'!E227,TCO!$B$1:$AQ$1,0))</f>
        <v>#N/A</v>
      </c>
      <c r="F233" t="e">
        <f>INDEX(TCO!$B$2:$AQ$85,MATCH('Historical Shareweights'!$A233,TCO!$A$2:$A$85,0),MATCH('Historical Shareweights'!F227,TCO!$B$1:$AQ$1,0))</f>
        <v>#N/A</v>
      </c>
      <c r="G233" t="e">
        <f>INDEX(TCO!$B$2:$AQ$85,MATCH('Historical Shareweights'!$A233,TCO!$A$2:$A$85,0),MATCH('Historical Shareweights'!G227,TCO!$B$1:$AQ$1,0))</f>
        <v>#N/A</v>
      </c>
      <c r="H233" t="e">
        <f>INDEX(TCO!$B$2:$AQ$85,MATCH('Historical Shareweights'!$A233,TCO!$A$2:$A$85,0),MATCH('Historical Shareweights'!H227,TCO!$B$1:$AQ$1,0))</f>
        <v>#N/A</v>
      </c>
      <c r="I233" t="e">
        <f>INDEX(TCO!$B$2:$AQ$85,MATCH('Historical Shareweights'!$A233,TCO!$A$2:$A$85,0),MATCH('Historical Shareweights'!I227,TCO!$B$1:$AQ$1,0))</f>
        <v>#N/A</v>
      </c>
      <c r="J233" t="e">
        <f>INDEX(TCO!$B$2:$AQ$85,MATCH('Historical Shareweights'!$A233,TCO!$A$2:$A$85,0),MATCH('Historical Shareweights'!J227,TCO!$B$1:$AQ$1,0))</f>
        <v>#N/A</v>
      </c>
      <c r="K233" t="e">
        <f>INDEX(TCO!$B$2:$AQ$85,MATCH('Historical Shareweights'!$A233,TCO!$A$2:$A$85,0),MATCH('Historical Shareweights'!K227,TCO!$B$1:$AQ$1,0))</f>
        <v>#N/A</v>
      </c>
      <c r="L233" t="e">
        <f>INDEX(TCO!$B$2:$AQ$85,MATCH('Historical Shareweights'!$A233,TCO!$A$2:$A$85,0),MATCH('Historical Shareweights'!L227,TCO!$B$1:$AQ$1,0))</f>
        <v>#N/A</v>
      </c>
      <c r="M233" t="e">
        <f>INDEX(TCO!$B$2:$AQ$85,MATCH('Historical Shareweights'!$A233,TCO!$A$2:$A$85,0),MATCH('Historical Shareweights'!M227,TCO!$B$1:$AQ$1,0))</f>
        <v>#N/A</v>
      </c>
      <c r="N233" t="e">
        <f>INDEX(TCO!$B$2:$AQ$85,MATCH('Historical Shareweights'!$A233,TCO!$A$2:$A$85,0),MATCH('Historical Shareweights'!N227,TCO!$B$1:$AQ$1,0))</f>
        <v>#N/A</v>
      </c>
      <c r="O233" t="e">
        <f>INDEX(TCO!$B$2:$AQ$85,MATCH('Historical Shareweights'!$A233,TCO!$A$2:$A$85,0),MATCH('Historical Shareweights'!O227,TCO!$B$1:$AQ$1,0))</f>
        <v>#N/A</v>
      </c>
      <c r="P233" t="e">
        <f>INDEX(TCO!$B$2:$AQ$85,MATCH('Historical Shareweights'!$A233,TCO!$A$2:$A$85,0),MATCH('Historical Shareweights'!P227,TCO!$B$1:$AQ$1,0))</f>
        <v>#N/A</v>
      </c>
      <c r="Q233" t="e">
        <f>INDEX(TCO!$B$2:$AQ$85,MATCH('Historical Shareweights'!$A233,TCO!$A$2:$A$85,0),MATCH('Historical Shareweights'!Q227,TCO!$B$1:$AQ$1,0))</f>
        <v>#N/A</v>
      </c>
      <c r="R233" t="e">
        <f>INDEX(TCO!$B$2:$AQ$85,MATCH('Historical Shareweights'!$A233,TCO!$A$2:$A$85,0),MATCH('Historical Shareweights'!R227,TCO!$B$1:$AQ$1,0))</f>
        <v>#N/A</v>
      </c>
      <c r="S233" t="e">
        <f>INDEX(TCO!$B$2:$AQ$85,MATCH('Historical Shareweights'!$A233,TCO!$A$2:$A$85,0),MATCH('Historical Shareweights'!S227,TCO!$B$1:$AQ$1,0))</f>
        <v>#N/A</v>
      </c>
      <c r="T233" t="e">
        <f>INDEX(TCO!$B$2:$AQ$85,MATCH('Historical Shareweights'!$A233,TCO!$A$2:$A$85,0),MATCH('Historical Shareweights'!T227,TCO!$B$1:$AQ$1,0))</f>
        <v>#N/A</v>
      </c>
      <c r="U233" t="e">
        <f>INDEX(TCO!$B$2:$AQ$85,MATCH('Historical Shareweights'!$A233,TCO!$A$2:$A$85,0),MATCH('Historical Shareweights'!U227,TCO!$B$1:$AQ$1,0))</f>
        <v>#N/A</v>
      </c>
      <c r="V233" t="e">
        <f>INDEX(TCO!$B$2:$AQ$85,MATCH('Historical Shareweights'!$A233,TCO!$A$2:$A$85,0),MATCH('Historical Shareweights'!V227,TCO!$B$1:$AQ$1,0))</f>
        <v>#N/A</v>
      </c>
      <c r="W233" t="e">
        <f>INDEX(TCO!$B$2:$AQ$85,MATCH('Historical Shareweights'!$A233,TCO!$A$2:$A$85,0),MATCH('Historical Shareweights'!W227,TCO!$B$1:$AQ$1,0))</f>
        <v>#N/A</v>
      </c>
      <c r="X233" t="e">
        <f>INDEX(TCO!$B$2:$AQ$85,MATCH('Historical Shareweights'!$A233,TCO!$A$2:$A$85,0),MATCH('Historical Shareweights'!X227,TCO!$B$1:$AQ$1,0))</f>
        <v>#N/A</v>
      </c>
      <c r="Y233" t="e">
        <f>INDEX(TCO!$B$2:$AQ$85,MATCH('Historical Shareweights'!$A233,TCO!$A$2:$A$85,0),MATCH('Historical Shareweights'!Y227,TCO!$B$1:$AQ$1,0))</f>
        <v>#N/A</v>
      </c>
      <c r="Z233" t="e">
        <f>INDEX(TCO!$B$2:$AQ$85,MATCH('Historical Shareweights'!$A233,TCO!$A$2:$A$85,0),MATCH('Historical Shareweights'!Z227,TCO!$B$1:$AQ$1,0))</f>
        <v>#N/A</v>
      </c>
      <c r="AA233" t="e">
        <f>INDEX(TCO!$B$2:$AQ$85,MATCH('Historical Shareweights'!$A233,TCO!$A$2:$A$85,0),MATCH('Historical Shareweights'!AA227,TCO!$B$1:$AQ$1,0))</f>
        <v>#N/A</v>
      </c>
      <c r="AB233" t="e">
        <f>INDEX(TCO!$B$2:$AQ$85,MATCH('Historical Shareweights'!$A233,TCO!$A$2:$A$85,0),MATCH('Historical Shareweights'!AB227,TCO!$B$1:$AQ$1,0))</f>
        <v>#N/A</v>
      </c>
      <c r="AC233" t="e">
        <f>INDEX(TCO!$B$2:$AQ$85,MATCH('Historical Shareweights'!$A233,TCO!$A$2:$A$85,0),MATCH('Historical Shareweights'!AC227,TCO!$B$1:$AQ$1,0))</f>
        <v>#N/A</v>
      </c>
      <c r="AD233" t="e">
        <f>INDEX(TCO!$B$2:$AQ$85,MATCH('Historical Shareweights'!$A233,TCO!$A$2:$A$85,0),MATCH('Historical Shareweights'!AD227,TCO!$B$1:$AQ$1,0))</f>
        <v>#N/A</v>
      </c>
      <c r="AE233" t="e">
        <f>INDEX(TCO!$B$2:$AQ$85,MATCH('Historical Shareweights'!$A233,TCO!$A$2:$A$85,0),MATCH('Historical Shareweights'!AE227,TCO!$B$1:$AQ$1,0))</f>
        <v>#N/A</v>
      </c>
      <c r="AF233" t="e">
        <f>INDEX(TCO!$B$2:$AQ$85,MATCH('Historical Shareweights'!$A233,TCO!$A$2:$A$85,0),MATCH('Historical Shareweights'!AF227,TCO!$B$1:$AQ$1,0))</f>
        <v>#N/A</v>
      </c>
      <c r="AG233" t="e">
        <f>INDEX(TCO!$B$2:$AQ$85,MATCH('Historical Shareweights'!$A233,TCO!$A$2:$A$85,0),MATCH('Historical Shareweights'!AG227,TCO!$B$1:$AQ$1,0))</f>
        <v>#N/A</v>
      </c>
      <c r="AH233" t="e">
        <f>INDEX(TCO!$B$2:$AQ$85,MATCH('Historical Shareweights'!$A233,TCO!$A$2:$A$85,0),MATCH('Historical Shareweights'!AH227,TCO!$B$1:$AQ$1,0))</f>
        <v>#N/A</v>
      </c>
      <c r="AI233" t="e">
        <f>INDEX(TCO!$B$2:$AQ$85,MATCH('Historical Shareweights'!$A233,TCO!$A$2:$A$85,0),MATCH('Historical Shareweights'!AI227,TCO!$B$1:$AQ$1,0))</f>
        <v>#N/A</v>
      </c>
      <c r="AJ233" t="e">
        <f>INDEX(TCO!$B$2:$AQ$85,MATCH('Historical Shareweights'!$A233,TCO!$A$2:$A$85,0),MATCH('Historical Shareweights'!AJ227,TCO!$B$1:$AQ$1,0))</f>
        <v>#N/A</v>
      </c>
      <c r="AK233" t="e">
        <f>INDEX(TCO!$B$2:$AQ$85,MATCH('Historical Shareweights'!$A233,TCO!$A$2:$A$85,0),MATCH('Historical Shareweights'!AK227,TCO!$B$1:$AQ$1,0))</f>
        <v>#N/A</v>
      </c>
      <c r="AL233" t="e">
        <f>INDEX(TCO!$B$2:$AQ$85,MATCH('Historical Shareweights'!$A233,TCO!$A$2:$A$85,0),MATCH('Historical Shareweights'!AL227,TCO!$B$1:$AQ$1,0))</f>
        <v>#N/A</v>
      </c>
      <c r="AM233" t="e">
        <f>INDEX(TCO!$B$2:$AQ$85,MATCH('Historical Shareweights'!$A233,TCO!$A$2:$A$85,0),MATCH('Historical Shareweights'!AM227,TCO!$B$1:$AQ$1,0))</f>
        <v>#N/A</v>
      </c>
      <c r="AN233" t="e">
        <f>INDEX(TCO!$B$2:$AQ$85,MATCH('Historical Shareweights'!$A233,TCO!$A$2:$A$85,0),MATCH('Historical Shareweights'!AN227,TCO!$B$1:$AQ$1,0))</f>
        <v>#N/A</v>
      </c>
      <c r="AO233" t="e">
        <f>INDEX(TCO!$B$2:$AQ$85,MATCH('Historical Shareweights'!$A233,TCO!$A$2:$A$85,0),MATCH('Historical Shareweights'!AO227,TCO!$B$1:$AQ$1,0))</f>
        <v>#N/A</v>
      </c>
      <c r="AP233" t="e">
        <f>INDEX(TCO!$B$2:$AQ$85,MATCH('Historical Shareweights'!$A233,TCO!$A$2:$A$85,0),MATCH('Historical Shareweights'!AP227,TCO!$B$1:$AQ$1,0))</f>
        <v>#N/A</v>
      </c>
      <c r="AQ233" t="e">
        <f>INDEX(TCO!$B$2:$AQ$85,MATCH('Historical Shareweights'!$A233,TCO!$A$2:$A$85,0),MATCH('Historical Shareweights'!AQ227,TCO!$B$1:$AQ$1,0))</f>
        <v>#N/A</v>
      </c>
    </row>
    <row r="234" spans="1:43" outlineLevel="1" x14ac:dyDescent="0.15">
      <c r="A234" t="s">
        <v>1142</v>
      </c>
      <c r="B234" t="e">
        <f>INDEX(TCO!$B$2:$AQ$85,MATCH('Historical Shareweights'!$A234,TCO!$A$2:$A$85,0),MATCH('Historical Shareweights'!B227,TCO!$B$1:$AQ$1,0))</f>
        <v>#N/A</v>
      </c>
      <c r="C234" t="e">
        <f>INDEX(TCO!$B$2:$AQ$85,MATCH('Historical Shareweights'!$A234,TCO!$A$2:$A$85,0),MATCH('Historical Shareweights'!C227,TCO!$B$1:$AQ$1,0))</f>
        <v>#N/A</v>
      </c>
      <c r="D234" t="e">
        <f>INDEX(TCO!$B$2:$AQ$85,MATCH('Historical Shareweights'!$A234,TCO!$A$2:$A$85,0),MATCH('Historical Shareweights'!D227,TCO!$B$1:$AQ$1,0))</f>
        <v>#N/A</v>
      </c>
      <c r="E234" t="e">
        <f>INDEX(TCO!$B$2:$AQ$85,MATCH('Historical Shareweights'!$A234,TCO!$A$2:$A$85,0),MATCH('Historical Shareweights'!E227,TCO!$B$1:$AQ$1,0))</f>
        <v>#N/A</v>
      </c>
      <c r="F234" t="e">
        <f>INDEX(TCO!$B$2:$AQ$85,MATCH('Historical Shareweights'!$A234,TCO!$A$2:$A$85,0),MATCH('Historical Shareweights'!F227,TCO!$B$1:$AQ$1,0))</f>
        <v>#N/A</v>
      </c>
      <c r="G234" t="e">
        <f>INDEX(TCO!$B$2:$AQ$85,MATCH('Historical Shareweights'!$A234,TCO!$A$2:$A$85,0),MATCH('Historical Shareweights'!G227,TCO!$B$1:$AQ$1,0))</f>
        <v>#N/A</v>
      </c>
      <c r="H234" t="e">
        <f>INDEX(TCO!$B$2:$AQ$85,MATCH('Historical Shareweights'!$A234,TCO!$A$2:$A$85,0),MATCH('Historical Shareweights'!H227,TCO!$B$1:$AQ$1,0))</f>
        <v>#N/A</v>
      </c>
      <c r="I234" t="e">
        <f>INDEX(TCO!$B$2:$AQ$85,MATCH('Historical Shareweights'!$A234,TCO!$A$2:$A$85,0),MATCH('Historical Shareweights'!I227,TCO!$B$1:$AQ$1,0))</f>
        <v>#N/A</v>
      </c>
      <c r="J234" t="e">
        <f>INDEX(TCO!$B$2:$AQ$85,MATCH('Historical Shareweights'!$A234,TCO!$A$2:$A$85,0),MATCH('Historical Shareweights'!J227,TCO!$B$1:$AQ$1,0))</f>
        <v>#N/A</v>
      </c>
      <c r="K234" t="e">
        <f>INDEX(TCO!$B$2:$AQ$85,MATCH('Historical Shareweights'!$A234,TCO!$A$2:$A$85,0),MATCH('Historical Shareweights'!K227,TCO!$B$1:$AQ$1,0))</f>
        <v>#N/A</v>
      </c>
      <c r="L234" t="e">
        <f>INDEX(TCO!$B$2:$AQ$85,MATCH('Historical Shareweights'!$A234,TCO!$A$2:$A$85,0),MATCH('Historical Shareweights'!L227,TCO!$B$1:$AQ$1,0))</f>
        <v>#N/A</v>
      </c>
      <c r="M234" t="e">
        <f>INDEX(TCO!$B$2:$AQ$85,MATCH('Historical Shareweights'!$A234,TCO!$A$2:$A$85,0),MATCH('Historical Shareweights'!M227,TCO!$B$1:$AQ$1,0))</f>
        <v>#N/A</v>
      </c>
      <c r="N234" t="e">
        <f>INDEX(TCO!$B$2:$AQ$85,MATCH('Historical Shareweights'!$A234,TCO!$A$2:$A$85,0),MATCH('Historical Shareweights'!N227,TCO!$B$1:$AQ$1,0))</f>
        <v>#N/A</v>
      </c>
      <c r="O234" t="e">
        <f>INDEX(TCO!$B$2:$AQ$85,MATCH('Historical Shareweights'!$A234,TCO!$A$2:$A$85,0),MATCH('Historical Shareweights'!O227,TCO!$B$1:$AQ$1,0))</f>
        <v>#N/A</v>
      </c>
      <c r="P234" t="e">
        <f>INDEX(TCO!$B$2:$AQ$85,MATCH('Historical Shareweights'!$A234,TCO!$A$2:$A$85,0),MATCH('Historical Shareweights'!P227,TCO!$B$1:$AQ$1,0))</f>
        <v>#N/A</v>
      </c>
      <c r="Q234" t="e">
        <f>INDEX(TCO!$B$2:$AQ$85,MATCH('Historical Shareweights'!$A234,TCO!$A$2:$A$85,0),MATCH('Historical Shareweights'!Q227,TCO!$B$1:$AQ$1,0))</f>
        <v>#N/A</v>
      </c>
      <c r="R234" t="e">
        <f>INDEX(TCO!$B$2:$AQ$85,MATCH('Historical Shareweights'!$A234,TCO!$A$2:$A$85,0),MATCH('Historical Shareweights'!R227,TCO!$B$1:$AQ$1,0))</f>
        <v>#N/A</v>
      </c>
      <c r="S234" t="e">
        <f>INDEX(TCO!$B$2:$AQ$85,MATCH('Historical Shareweights'!$A234,TCO!$A$2:$A$85,0),MATCH('Historical Shareweights'!S227,TCO!$B$1:$AQ$1,0))</f>
        <v>#N/A</v>
      </c>
      <c r="T234" t="e">
        <f>INDEX(TCO!$B$2:$AQ$85,MATCH('Historical Shareweights'!$A234,TCO!$A$2:$A$85,0),MATCH('Historical Shareweights'!T227,TCO!$B$1:$AQ$1,0))</f>
        <v>#N/A</v>
      </c>
      <c r="U234" t="e">
        <f>INDEX(TCO!$B$2:$AQ$85,MATCH('Historical Shareweights'!$A234,TCO!$A$2:$A$85,0),MATCH('Historical Shareweights'!U227,TCO!$B$1:$AQ$1,0))</f>
        <v>#N/A</v>
      </c>
      <c r="V234" t="e">
        <f>INDEX(TCO!$B$2:$AQ$85,MATCH('Historical Shareweights'!$A234,TCO!$A$2:$A$85,0),MATCH('Historical Shareweights'!V227,TCO!$B$1:$AQ$1,0))</f>
        <v>#N/A</v>
      </c>
      <c r="W234" t="e">
        <f>INDEX(TCO!$B$2:$AQ$85,MATCH('Historical Shareweights'!$A234,TCO!$A$2:$A$85,0),MATCH('Historical Shareweights'!W227,TCO!$B$1:$AQ$1,0))</f>
        <v>#N/A</v>
      </c>
      <c r="X234" t="e">
        <f>INDEX(TCO!$B$2:$AQ$85,MATCH('Historical Shareweights'!$A234,TCO!$A$2:$A$85,0),MATCH('Historical Shareweights'!X227,TCO!$B$1:$AQ$1,0))</f>
        <v>#N/A</v>
      </c>
      <c r="Y234" t="e">
        <f>INDEX(TCO!$B$2:$AQ$85,MATCH('Historical Shareweights'!$A234,TCO!$A$2:$A$85,0),MATCH('Historical Shareweights'!Y227,TCO!$B$1:$AQ$1,0))</f>
        <v>#N/A</v>
      </c>
      <c r="Z234" t="e">
        <f>INDEX(TCO!$B$2:$AQ$85,MATCH('Historical Shareweights'!$A234,TCO!$A$2:$A$85,0),MATCH('Historical Shareweights'!Z227,TCO!$B$1:$AQ$1,0))</f>
        <v>#N/A</v>
      </c>
      <c r="AA234" t="e">
        <f>INDEX(TCO!$B$2:$AQ$85,MATCH('Historical Shareweights'!$A234,TCO!$A$2:$A$85,0),MATCH('Historical Shareweights'!AA227,TCO!$B$1:$AQ$1,0))</f>
        <v>#N/A</v>
      </c>
      <c r="AB234" t="e">
        <f>INDEX(TCO!$B$2:$AQ$85,MATCH('Historical Shareweights'!$A234,TCO!$A$2:$A$85,0),MATCH('Historical Shareweights'!AB227,TCO!$B$1:$AQ$1,0))</f>
        <v>#N/A</v>
      </c>
      <c r="AC234" t="e">
        <f>INDEX(TCO!$B$2:$AQ$85,MATCH('Historical Shareweights'!$A234,TCO!$A$2:$A$85,0),MATCH('Historical Shareweights'!AC227,TCO!$B$1:$AQ$1,0))</f>
        <v>#N/A</v>
      </c>
      <c r="AD234" t="e">
        <f>INDEX(TCO!$B$2:$AQ$85,MATCH('Historical Shareweights'!$A234,TCO!$A$2:$A$85,0),MATCH('Historical Shareweights'!AD227,TCO!$B$1:$AQ$1,0))</f>
        <v>#N/A</v>
      </c>
      <c r="AE234" t="e">
        <f>INDEX(TCO!$B$2:$AQ$85,MATCH('Historical Shareweights'!$A234,TCO!$A$2:$A$85,0),MATCH('Historical Shareweights'!AE227,TCO!$B$1:$AQ$1,0))</f>
        <v>#N/A</v>
      </c>
      <c r="AF234" t="e">
        <f>INDEX(TCO!$B$2:$AQ$85,MATCH('Historical Shareweights'!$A234,TCO!$A$2:$A$85,0),MATCH('Historical Shareweights'!AF227,TCO!$B$1:$AQ$1,0))</f>
        <v>#N/A</v>
      </c>
      <c r="AG234" t="e">
        <f>INDEX(TCO!$B$2:$AQ$85,MATCH('Historical Shareweights'!$A234,TCO!$A$2:$A$85,0),MATCH('Historical Shareweights'!AG227,TCO!$B$1:$AQ$1,0))</f>
        <v>#N/A</v>
      </c>
      <c r="AH234" t="e">
        <f>INDEX(TCO!$B$2:$AQ$85,MATCH('Historical Shareweights'!$A234,TCO!$A$2:$A$85,0),MATCH('Historical Shareweights'!AH227,TCO!$B$1:$AQ$1,0))</f>
        <v>#N/A</v>
      </c>
      <c r="AI234" t="e">
        <f>INDEX(TCO!$B$2:$AQ$85,MATCH('Historical Shareweights'!$A234,TCO!$A$2:$A$85,0),MATCH('Historical Shareweights'!AI227,TCO!$B$1:$AQ$1,0))</f>
        <v>#N/A</v>
      </c>
      <c r="AJ234" t="e">
        <f>INDEX(TCO!$B$2:$AQ$85,MATCH('Historical Shareweights'!$A234,TCO!$A$2:$A$85,0),MATCH('Historical Shareweights'!AJ227,TCO!$B$1:$AQ$1,0))</f>
        <v>#N/A</v>
      </c>
      <c r="AK234" t="e">
        <f>INDEX(TCO!$B$2:$AQ$85,MATCH('Historical Shareweights'!$A234,TCO!$A$2:$A$85,0),MATCH('Historical Shareweights'!AK227,TCO!$B$1:$AQ$1,0))</f>
        <v>#N/A</v>
      </c>
      <c r="AL234" t="e">
        <f>INDEX(TCO!$B$2:$AQ$85,MATCH('Historical Shareweights'!$A234,TCO!$A$2:$A$85,0),MATCH('Historical Shareweights'!AL227,TCO!$B$1:$AQ$1,0))</f>
        <v>#N/A</v>
      </c>
      <c r="AM234" t="e">
        <f>INDEX(TCO!$B$2:$AQ$85,MATCH('Historical Shareweights'!$A234,TCO!$A$2:$A$85,0),MATCH('Historical Shareweights'!AM227,TCO!$B$1:$AQ$1,0))</f>
        <v>#N/A</v>
      </c>
      <c r="AN234" t="e">
        <f>INDEX(TCO!$B$2:$AQ$85,MATCH('Historical Shareweights'!$A234,TCO!$A$2:$A$85,0),MATCH('Historical Shareweights'!AN227,TCO!$B$1:$AQ$1,0))</f>
        <v>#N/A</v>
      </c>
      <c r="AO234" t="e">
        <f>INDEX(TCO!$B$2:$AQ$85,MATCH('Historical Shareweights'!$A234,TCO!$A$2:$A$85,0),MATCH('Historical Shareweights'!AO227,TCO!$B$1:$AQ$1,0))</f>
        <v>#N/A</v>
      </c>
      <c r="AP234" t="e">
        <f>INDEX(TCO!$B$2:$AQ$85,MATCH('Historical Shareweights'!$A234,TCO!$A$2:$A$85,0),MATCH('Historical Shareweights'!AP227,TCO!$B$1:$AQ$1,0))</f>
        <v>#N/A</v>
      </c>
      <c r="AQ234" t="e">
        <f>INDEX(TCO!$B$2:$AQ$85,MATCH('Historical Shareweights'!$A234,TCO!$A$2:$A$85,0),MATCH('Historical Shareweights'!AQ227,TCO!$B$1:$AQ$1,0))</f>
        <v>#N/A</v>
      </c>
    </row>
    <row r="235" spans="1:43" ht="13.6" outlineLevel="1" thickBot="1" x14ac:dyDescent="0.2"/>
    <row r="236" spans="1:43" ht="13.6" outlineLevel="1" thickBot="1" x14ac:dyDescent="0.2">
      <c r="A236" s="1" t="s">
        <v>1101</v>
      </c>
      <c r="B236" s="175">
        <v>2019</v>
      </c>
    </row>
    <row r="237" spans="1:43" outlineLevel="1" x14ac:dyDescent="0.15"/>
    <row r="238" spans="1:43" outlineLevel="1" x14ac:dyDescent="0.15">
      <c r="A238" s="1" t="s">
        <v>1102</v>
      </c>
    </row>
    <row r="239" spans="1:43" outlineLevel="1" x14ac:dyDescent="0.15">
      <c r="B239" t="s">
        <v>1103</v>
      </c>
      <c r="C239" t="s">
        <v>1104</v>
      </c>
      <c r="D239" t="s">
        <v>1105</v>
      </c>
      <c r="E239" t="s">
        <v>1106</v>
      </c>
      <c r="F239" t="s">
        <v>1107</v>
      </c>
      <c r="G239" t="s">
        <v>1108</v>
      </c>
    </row>
    <row r="240" spans="1:43" outlineLevel="1" x14ac:dyDescent="0.15">
      <c r="A240" t="s">
        <v>1084</v>
      </c>
      <c r="B240" s="179">
        <v>0</v>
      </c>
      <c r="C240" t="e" cm="1">
        <f t="array" ref="C240">INDEX($B228:$AQ228,,MATCH($B236,$B227:$AQ227,0))/10^6</f>
        <v>#N/A</v>
      </c>
      <c r="D240" s="176" t="e">
        <f>B240*EXP(C240*$B224)</f>
        <v>#N/A</v>
      </c>
      <c r="E240" s="171" t="e">
        <f>D240/SUM($D240:$D246)</f>
        <v>#N/A</v>
      </c>
      <c r="F240" s="177">
        <f>INDEX($B215:$F221,MATCH(A240,$A215:$A221,0),MATCH($B236,$B214:$F214,0))</f>
        <v>0</v>
      </c>
      <c r="G240" s="178" t="e">
        <f>ABS(F240-E240)</f>
        <v>#N/A</v>
      </c>
    </row>
    <row r="241" spans="1:7" outlineLevel="1" x14ac:dyDescent="0.15">
      <c r="A241" t="s">
        <v>1086</v>
      </c>
      <c r="B241" s="179">
        <v>8.3420557334751508E-12</v>
      </c>
      <c r="C241" t="e" cm="1">
        <f t="array" ref="C241">INDEX($B229:$AQ229,,MATCH($B236,$B227:$AQ227,0))/10^6</f>
        <v>#N/A</v>
      </c>
      <c r="D241" s="176" t="e">
        <f>B241*EXP(C241*$B224)</f>
        <v>#N/A</v>
      </c>
      <c r="E241" s="171" t="e">
        <f>D241/SUM($D240:$D246)</f>
        <v>#N/A</v>
      </c>
      <c r="F241" s="177">
        <f>INDEX($B215:$F221,MATCH(A241,$A215:$A221,0),MATCH($B236,$B214:$F214,0))</f>
        <v>0</v>
      </c>
      <c r="G241" s="178" t="e">
        <f t="shared" ref="G241:G246" si="41">ABS(F241-E241)</f>
        <v>#N/A</v>
      </c>
    </row>
    <row r="242" spans="1:7" outlineLevel="1" x14ac:dyDescent="0.15">
      <c r="A242" t="s">
        <v>1088</v>
      </c>
      <c r="B242" s="179">
        <v>0</v>
      </c>
      <c r="C242" t="e" cm="1">
        <f t="array" ref="C242">INDEX($B230:$AQ230,,MATCH($B236,$B227:$AQ227,0))/10^6</f>
        <v>#N/A</v>
      </c>
      <c r="D242" s="176" t="e">
        <f>B242*EXP(C242*$B224)</f>
        <v>#N/A</v>
      </c>
      <c r="E242" s="171" t="e">
        <f>D242/SUM($D240:$D246)</f>
        <v>#N/A</v>
      </c>
      <c r="F242" s="177">
        <f>INDEX($B215:$F221,MATCH(A242,$A215:$A221,0),MATCH($B236,$B214:$F214,0))</f>
        <v>0</v>
      </c>
      <c r="G242" s="178" t="e">
        <f t="shared" si="41"/>
        <v>#N/A</v>
      </c>
    </row>
    <row r="243" spans="1:7" outlineLevel="1" x14ac:dyDescent="0.15">
      <c r="A243" t="s">
        <v>408</v>
      </c>
      <c r="B243" s="179">
        <v>1</v>
      </c>
      <c r="C243" t="e" cm="1">
        <f t="array" ref="C243">INDEX($B231:$AQ231,,MATCH($B236,$B227:$AQ227,0))/10^6</f>
        <v>#N/A</v>
      </c>
      <c r="D243" s="176" t="e">
        <f>B243*EXP(C243*$B224)</f>
        <v>#N/A</v>
      </c>
      <c r="E243" s="171" t="e">
        <f>D243/SUM($D240:$D246)</f>
        <v>#N/A</v>
      </c>
      <c r="F243" s="177">
        <f>INDEX($B215:$F221,MATCH(A243,$A215:$A221,0),MATCH($B236,$B214:$F214,0))</f>
        <v>1</v>
      </c>
      <c r="G243" s="178" t="e">
        <f t="shared" si="41"/>
        <v>#N/A</v>
      </c>
    </row>
    <row r="244" spans="1:7" outlineLevel="1" x14ac:dyDescent="0.15">
      <c r="A244" t="s">
        <v>1089</v>
      </c>
      <c r="B244" s="179">
        <v>0</v>
      </c>
      <c r="C244" t="e" cm="1">
        <f t="array" ref="C244">INDEX($B232:$AQ232,,MATCH($B236,$B227:$AQ227,0))/10^6</f>
        <v>#N/A</v>
      </c>
      <c r="D244" s="176" t="e">
        <f>B244*EXP(C244*$B224)</f>
        <v>#N/A</v>
      </c>
      <c r="E244" s="171" t="e">
        <f>D244/SUM($D240:$D246)</f>
        <v>#N/A</v>
      </c>
      <c r="F244" s="177">
        <f>INDEX($B215:$F221,MATCH(A244,$A215:$A221,0),MATCH($B236,$B214:$F214,0))</f>
        <v>0</v>
      </c>
      <c r="G244" s="178" t="e">
        <f t="shared" si="41"/>
        <v>#N/A</v>
      </c>
    </row>
    <row r="245" spans="1:7" outlineLevel="1" x14ac:dyDescent="0.15">
      <c r="A245" t="s">
        <v>1090</v>
      </c>
      <c r="B245" s="179">
        <v>8.3420557334751508E-12</v>
      </c>
      <c r="C245" t="e" cm="1">
        <f t="array" ref="C245">INDEX($B233:$AQ233,,MATCH($B236,$B227:$AQ227,0))/10^6</f>
        <v>#N/A</v>
      </c>
      <c r="D245" s="176" t="e">
        <f>B245*EXP(C245*$B224)</f>
        <v>#N/A</v>
      </c>
      <c r="E245" s="171" t="e">
        <f>D245/SUM($D240:$D246)</f>
        <v>#N/A</v>
      </c>
      <c r="F245" s="177">
        <f>INDEX($B215:$F221,MATCH(A245,$A215:$A221,0),MATCH($B236,$B214:$F214,0))</f>
        <v>0</v>
      </c>
      <c r="G245" s="178" t="e">
        <f t="shared" si="41"/>
        <v>#N/A</v>
      </c>
    </row>
    <row r="246" spans="1:7" outlineLevel="1" x14ac:dyDescent="0.15">
      <c r="A246" t="s">
        <v>1091</v>
      </c>
      <c r="B246" s="179">
        <v>0</v>
      </c>
      <c r="C246" t="e" cm="1">
        <f t="array" ref="C246">INDEX($B234:$AQ234,,MATCH($B236,$B227:$AQ227,0))/10^6</f>
        <v>#N/A</v>
      </c>
      <c r="D246" s="176" t="e">
        <f>B246*EXP(C246*$B224)</f>
        <v>#N/A</v>
      </c>
      <c r="E246" s="171" t="e">
        <f>D246/SUM($D240:$D246)</f>
        <v>#N/A</v>
      </c>
      <c r="F246" s="177">
        <f>INDEX($B215:$F221,MATCH(A246,$A215:$A221,0),MATCH($B236,$B214:$F214,0))</f>
        <v>0</v>
      </c>
      <c r="G246" s="178" t="e">
        <f t="shared" si="41"/>
        <v>#N/A</v>
      </c>
    </row>
    <row r="247" spans="1:7" outlineLevel="1" x14ac:dyDescent="0.15">
      <c r="G247" s="178"/>
    </row>
    <row r="248" spans="1:7" outlineLevel="1" x14ac:dyDescent="0.15">
      <c r="F248" s="1" t="s">
        <v>1109</v>
      </c>
      <c r="G248" s="179" t="e">
        <f>SUM(G240:G246)</f>
        <v>#N/A</v>
      </c>
    </row>
    <row r="249" spans="1:7" outlineLevel="1" x14ac:dyDescent="0.15"/>
    <row r="250" spans="1:7" outlineLevel="1" x14ac:dyDescent="0.15">
      <c r="A250" s="1" t="s">
        <v>1110</v>
      </c>
      <c r="B250">
        <v>2019</v>
      </c>
      <c r="C250">
        <v>2020</v>
      </c>
      <c r="D250">
        <v>2021</v>
      </c>
      <c r="E250">
        <v>2022</v>
      </c>
      <c r="F250">
        <v>2023</v>
      </c>
    </row>
    <row r="251" spans="1:7" outlineLevel="1" x14ac:dyDescent="0.15">
      <c r="A251" t="s">
        <v>1084</v>
      </c>
      <c r="B251" s="179">
        <v>0</v>
      </c>
      <c r="C251" s="179">
        <v>0</v>
      </c>
      <c r="D251" s="179">
        <v>0</v>
      </c>
      <c r="E251" s="179">
        <v>0</v>
      </c>
      <c r="F251" s="179">
        <v>0</v>
      </c>
    </row>
    <row r="252" spans="1:7" outlineLevel="1" x14ac:dyDescent="0.15">
      <c r="A252" t="s">
        <v>1086</v>
      </c>
      <c r="B252" s="179">
        <v>8.3420557334751508E-12</v>
      </c>
      <c r="C252" s="179">
        <v>8.3420557334751508E-12</v>
      </c>
      <c r="D252" s="179">
        <v>8.3420557334751508E-12</v>
      </c>
      <c r="E252" s="179">
        <v>8.3420557334751508E-12</v>
      </c>
      <c r="F252" s="179">
        <v>8.3420557334751508E-12</v>
      </c>
    </row>
    <row r="253" spans="1:7" outlineLevel="1" x14ac:dyDescent="0.15">
      <c r="A253" t="s">
        <v>1088</v>
      </c>
      <c r="B253" s="179">
        <v>0</v>
      </c>
      <c r="C253" s="179">
        <v>0</v>
      </c>
      <c r="D253" s="179">
        <v>0</v>
      </c>
      <c r="E253" s="179">
        <v>0</v>
      </c>
      <c r="F253" s="179">
        <v>0</v>
      </c>
    </row>
    <row r="254" spans="1:7" outlineLevel="1" x14ac:dyDescent="0.15">
      <c r="A254" t="s">
        <v>408</v>
      </c>
      <c r="B254" s="179">
        <v>1</v>
      </c>
      <c r="C254" s="179">
        <v>1</v>
      </c>
      <c r="D254" s="179">
        <v>1</v>
      </c>
      <c r="E254" s="179">
        <v>1</v>
      </c>
      <c r="F254" s="179">
        <v>1</v>
      </c>
    </row>
    <row r="255" spans="1:7" outlineLevel="1" x14ac:dyDescent="0.15">
      <c r="A255" t="s">
        <v>1089</v>
      </c>
      <c r="B255" s="179">
        <v>0</v>
      </c>
      <c r="C255" s="179">
        <v>0</v>
      </c>
      <c r="D255" s="179">
        <v>0</v>
      </c>
      <c r="E255" s="179">
        <v>0</v>
      </c>
      <c r="F255" s="179">
        <v>0</v>
      </c>
    </row>
    <row r="256" spans="1:7" outlineLevel="1" x14ac:dyDescent="0.15">
      <c r="A256" t="s">
        <v>1090</v>
      </c>
      <c r="B256" s="179">
        <v>8.3420557334751508E-12</v>
      </c>
      <c r="C256" s="179">
        <v>8.3420557334751508E-12</v>
      </c>
      <c r="D256" s="179">
        <v>8.3420557334751508E-12</v>
      </c>
      <c r="E256" s="179">
        <v>8.3420557334751508E-12</v>
      </c>
      <c r="F256" s="179">
        <v>8.3420557334751508E-12</v>
      </c>
    </row>
    <row r="257" spans="1:7" outlineLevel="1" x14ac:dyDescent="0.15">
      <c r="A257" t="s">
        <v>1091</v>
      </c>
      <c r="B257" s="179">
        <v>0</v>
      </c>
      <c r="C257" s="179">
        <v>0</v>
      </c>
      <c r="D257" s="179">
        <v>0</v>
      </c>
      <c r="E257" s="179">
        <v>0</v>
      </c>
      <c r="F257" s="179">
        <v>0</v>
      </c>
    </row>
    <row r="259" spans="1:7" s="170" customFormat="1" x14ac:dyDescent="0.15">
      <c r="A259" s="169" t="s">
        <v>1143</v>
      </c>
    </row>
    <row r="260" spans="1:7" hidden="1" outlineLevel="1" x14ac:dyDescent="0.15">
      <c r="A260" s="1"/>
    </row>
    <row r="261" spans="1:7" hidden="1" outlineLevel="1" x14ac:dyDescent="0.15">
      <c r="A261" s="1" t="s">
        <v>1082</v>
      </c>
      <c r="B261" s="1">
        <v>2019</v>
      </c>
      <c r="C261" s="1">
        <v>2020</v>
      </c>
      <c r="D261" s="1">
        <v>2021</v>
      </c>
      <c r="E261" s="1">
        <v>2022</v>
      </c>
      <c r="F261" s="1">
        <v>2023</v>
      </c>
      <c r="G261" s="1">
        <v>2024</v>
      </c>
    </row>
    <row r="262" spans="1:7" hidden="1" outlineLevel="1" x14ac:dyDescent="0.15">
      <c r="A262" t="s">
        <v>1084</v>
      </c>
      <c r="B262" s="172">
        <v>0</v>
      </c>
      <c r="C262" s="172">
        <v>0</v>
      </c>
      <c r="D262" s="172">
        <v>0</v>
      </c>
      <c r="E262" s="172">
        <v>0</v>
      </c>
      <c r="F262" s="172">
        <v>0</v>
      </c>
      <c r="G262" s="171"/>
    </row>
    <row r="263" spans="1:7" hidden="1" outlineLevel="1" x14ac:dyDescent="0.15">
      <c r="A263" t="s">
        <v>1086</v>
      </c>
      <c r="B263" s="172">
        <v>0</v>
      </c>
      <c r="C263" s="172">
        <v>0</v>
      </c>
      <c r="D263" s="172">
        <v>0</v>
      </c>
      <c r="E263" s="172">
        <v>0</v>
      </c>
      <c r="F263" s="172">
        <v>0</v>
      </c>
      <c r="G263" s="171"/>
    </row>
    <row r="264" spans="1:7" hidden="1" outlineLevel="1" x14ac:dyDescent="0.15">
      <c r="A264" t="s">
        <v>1088</v>
      </c>
      <c r="B264" s="172">
        <v>0</v>
      </c>
      <c r="C264" s="172">
        <v>0</v>
      </c>
      <c r="D264" s="172">
        <v>0</v>
      </c>
      <c r="E264" s="172">
        <v>0</v>
      </c>
      <c r="F264" s="172">
        <v>0</v>
      </c>
      <c r="G264" s="171"/>
    </row>
    <row r="265" spans="1:7" hidden="1" outlineLevel="1" x14ac:dyDescent="0.15">
      <c r="A265" t="s">
        <v>408</v>
      </c>
      <c r="B265" s="182">
        <v>1</v>
      </c>
      <c r="C265" s="182">
        <v>1</v>
      </c>
      <c r="D265" s="182">
        <v>1</v>
      </c>
      <c r="E265" s="182">
        <v>1</v>
      </c>
      <c r="F265" s="182">
        <v>1</v>
      </c>
      <c r="G265" s="171"/>
    </row>
    <row r="266" spans="1:7" hidden="1" outlineLevel="1" x14ac:dyDescent="0.15">
      <c r="A266" t="s">
        <v>1089</v>
      </c>
      <c r="B266" s="172">
        <v>0</v>
      </c>
      <c r="C266" s="172">
        <v>0</v>
      </c>
      <c r="D266" s="172">
        <v>0</v>
      </c>
      <c r="E266" s="172">
        <v>0</v>
      </c>
      <c r="F266" s="172">
        <v>0</v>
      </c>
      <c r="G266" s="171"/>
    </row>
    <row r="267" spans="1:7" hidden="1" outlineLevel="1" x14ac:dyDescent="0.15">
      <c r="A267" t="s">
        <v>1090</v>
      </c>
      <c r="B267" s="172">
        <v>0</v>
      </c>
      <c r="C267" s="172">
        <v>0</v>
      </c>
      <c r="D267" s="172">
        <v>0</v>
      </c>
      <c r="E267" s="172">
        <v>0</v>
      </c>
      <c r="F267" s="172">
        <v>0</v>
      </c>
      <c r="G267" s="171"/>
    </row>
    <row r="268" spans="1:7" hidden="1" outlineLevel="1" x14ac:dyDescent="0.15">
      <c r="A268" t="s">
        <v>1091</v>
      </c>
      <c r="B268" s="172">
        <v>0</v>
      </c>
      <c r="C268" s="172">
        <v>0</v>
      </c>
      <c r="D268" s="172">
        <v>0</v>
      </c>
      <c r="E268" s="172">
        <v>0</v>
      </c>
      <c r="F268" s="172">
        <v>0</v>
      </c>
      <c r="G268" s="171"/>
    </row>
    <row r="269" spans="1:7" hidden="1" outlineLevel="1" x14ac:dyDescent="0.15">
      <c r="A269" s="173" t="s">
        <v>1092</v>
      </c>
      <c r="B269" s="174">
        <f>SUM(B262:B268)</f>
        <v>1</v>
      </c>
      <c r="C269" s="174">
        <f t="shared" ref="C269:F269" si="42">SUM(C262:C268)</f>
        <v>1</v>
      </c>
      <c r="D269" s="174">
        <f t="shared" si="42"/>
        <v>1</v>
      </c>
      <c r="E269" s="174">
        <f t="shared" si="42"/>
        <v>1</v>
      </c>
      <c r="F269" s="174">
        <f t="shared" si="42"/>
        <v>1</v>
      </c>
      <c r="G269" s="173"/>
    </row>
    <row r="270" spans="1:7" hidden="1" outlineLevel="1" x14ac:dyDescent="0.15"/>
    <row r="271" spans="1:7" hidden="1" outlineLevel="1" x14ac:dyDescent="0.15">
      <c r="A271" s="1" t="s">
        <v>1093</v>
      </c>
      <c r="B271">
        <f>INDEX($B$11:$AQ$22,MATCH("*"&amp;A259&amp;"*",$A$11:$A$22,0),MATCH(B261,$B$10:$AQ$10,0))</f>
        <v>-3</v>
      </c>
    </row>
    <row r="272" spans="1:7" hidden="1" outlineLevel="1" x14ac:dyDescent="0.15"/>
    <row r="273" spans="1:43" hidden="1" outlineLevel="1" x14ac:dyDescent="0.15">
      <c r="A273" s="1" t="s">
        <v>1094</v>
      </c>
    </row>
    <row r="274" spans="1:43" hidden="1" outlineLevel="1" x14ac:dyDescent="0.15">
      <c r="A274" t="s">
        <v>1068</v>
      </c>
      <c r="B274">
        <v>2019</v>
      </c>
      <c r="C274">
        <v>2020</v>
      </c>
      <c r="D274">
        <v>2021</v>
      </c>
      <c r="E274">
        <v>2022</v>
      </c>
      <c r="F274">
        <v>2023</v>
      </c>
      <c r="G274">
        <v>2024</v>
      </c>
      <c r="H274">
        <v>2025</v>
      </c>
      <c r="I274">
        <v>2026</v>
      </c>
      <c r="J274">
        <v>2027</v>
      </c>
      <c r="K274">
        <v>2028</v>
      </c>
      <c r="L274">
        <v>2029</v>
      </c>
      <c r="M274">
        <v>2030</v>
      </c>
      <c r="N274">
        <v>2031</v>
      </c>
      <c r="O274">
        <v>2032</v>
      </c>
      <c r="P274">
        <v>2033</v>
      </c>
      <c r="Q274">
        <v>2034</v>
      </c>
      <c r="R274">
        <v>2035</v>
      </c>
      <c r="S274">
        <v>2036</v>
      </c>
      <c r="T274">
        <v>2037</v>
      </c>
      <c r="U274">
        <v>2038</v>
      </c>
      <c r="V274">
        <v>2039</v>
      </c>
      <c r="W274">
        <v>2040</v>
      </c>
      <c r="X274">
        <v>2041</v>
      </c>
      <c r="Y274">
        <v>2042</v>
      </c>
      <c r="Z274">
        <v>2043</v>
      </c>
      <c r="AA274">
        <v>2044</v>
      </c>
      <c r="AB274">
        <v>2045</v>
      </c>
      <c r="AC274">
        <v>2046</v>
      </c>
      <c r="AD274">
        <v>2047</v>
      </c>
      <c r="AE274">
        <v>2048</v>
      </c>
      <c r="AF274">
        <v>2049</v>
      </c>
      <c r="AG274">
        <v>2050</v>
      </c>
      <c r="AH274">
        <v>2051</v>
      </c>
      <c r="AI274">
        <v>2052</v>
      </c>
      <c r="AJ274">
        <v>2053</v>
      </c>
      <c r="AK274">
        <v>2054</v>
      </c>
      <c r="AL274">
        <v>2055</v>
      </c>
      <c r="AM274">
        <v>2056</v>
      </c>
      <c r="AN274">
        <v>2057</v>
      </c>
      <c r="AO274">
        <v>2058</v>
      </c>
      <c r="AP274">
        <v>2059</v>
      </c>
      <c r="AQ274">
        <v>2060</v>
      </c>
    </row>
    <row r="275" spans="1:43" hidden="1" outlineLevel="1" x14ac:dyDescent="0.15">
      <c r="A275" t="s">
        <v>1144</v>
      </c>
      <c r="B275" t="e">
        <f>INDEX(TCO!$B$2:$AQ$85,MATCH('Historical Shareweights'!$A275,TCO!$A$2:$A$85,0),MATCH('Historical Shareweights'!B274,TCO!$B$1:$AQ$1,0))</f>
        <v>#N/A</v>
      </c>
      <c r="C275" t="e">
        <f>INDEX(TCO!$B$2:$AQ$85,MATCH('Historical Shareweights'!$A275,TCO!$A$2:$A$85,0),MATCH('Historical Shareweights'!C274,TCO!$B$1:$AQ$1,0))</f>
        <v>#N/A</v>
      </c>
      <c r="D275" t="e">
        <f>INDEX(TCO!$B$2:$AQ$85,MATCH('Historical Shareweights'!$A275,TCO!$A$2:$A$85,0),MATCH('Historical Shareweights'!D274,TCO!$B$1:$AQ$1,0))</f>
        <v>#N/A</v>
      </c>
      <c r="E275" t="e">
        <f>INDEX(TCO!$B$2:$AQ$85,MATCH('Historical Shareweights'!$A275,TCO!$A$2:$A$85,0),MATCH('Historical Shareweights'!E274,TCO!$B$1:$AQ$1,0))</f>
        <v>#N/A</v>
      </c>
      <c r="F275" t="e">
        <f>INDEX(TCO!$B$2:$AQ$85,MATCH('Historical Shareweights'!$A275,TCO!$A$2:$A$85,0),MATCH('Historical Shareweights'!F274,TCO!$B$1:$AQ$1,0))</f>
        <v>#N/A</v>
      </c>
      <c r="G275" t="e">
        <f>INDEX(TCO!$B$2:$AQ$85,MATCH('Historical Shareweights'!$A275,TCO!$A$2:$A$85,0),MATCH('Historical Shareweights'!G274,TCO!$B$1:$AQ$1,0))</f>
        <v>#N/A</v>
      </c>
      <c r="H275" t="e">
        <f>INDEX(TCO!$B$2:$AQ$85,MATCH('Historical Shareweights'!$A275,TCO!$A$2:$A$85,0),MATCH('Historical Shareweights'!H274,TCO!$B$1:$AQ$1,0))</f>
        <v>#N/A</v>
      </c>
      <c r="I275" t="e">
        <f>INDEX(TCO!$B$2:$AQ$85,MATCH('Historical Shareweights'!$A275,TCO!$A$2:$A$85,0),MATCH('Historical Shareweights'!I274,TCO!$B$1:$AQ$1,0))</f>
        <v>#N/A</v>
      </c>
      <c r="J275" t="e">
        <f>INDEX(TCO!$B$2:$AQ$85,MATCH('Historical Shareweights'!$A275,TCO!$A$2:$A$85,0),MATCH('Historical Shareweights'!J274,TCO!$B$1:$AQ$1,0))</f>
        <v>#N/A</v>
      </c>
      <c r="K275" t="e">
        <f>INDEX(TCO!$B$2:$AQ$85,MATCH('Historical Shareweights'!$A275,TCO!$A$2:$A$85,0),MATCH('Historical Shareweights'!K274,TCO!$B$1:$AQ$1,0))</f>
        <v>#N/A</v>
      </c>
      <c r="L275" t="e">
        <f>INDEX(TCO!$B$2:$AQ$85,MATCH('Historical Shareweights'!$A275,TCO!$A$2:$A$85,0),MATCH('Historical Shareweights'!L274,TCO!$B$1:$AQ$1,0))</f>
        <v>#N/A</v>
      </c>
      <c r="M275" t="e">
        <f>INDEX(TCO!$B$2:$AQ$85,MATCH('Historical Shareweights'!$A275,TCO!$A$2:$A$85,0),MATCH('Historical Shareweights'!M274,TCO!$B$1:$AQ$1,0))</f>
        <v>#N/A</v>
      </c>
      <c r="N275" t="e">
        <f>INDEX(TCO!$B$2:$AQ$85,MATCH('Historical Shareweights'!$A275,TCO!$A$2:$A$85,0),MATCH('Historical Shareweights'!N274,TCO!$B$1:$AQ$1,0))</f>
        <v>#N/A</v>
      </c>
      <c r="O275" t="e">
        <f>INDEX(TCO!$B$2:$AQ$85,MATCH('Historical Shareweights'!$A275,TCO!$A$2:$A$85,0),MATCH('Historical Shareweights'!O274,TCO!$B$1:$AQ$1,0))</f>
        <v>#N/A</v>
      </c>
      <c r="P275" t="e">
        <f>INDEX(TCO!$B$2:$AQ$85,MATCH('Historical Shareweights'!$A275,TCO!$A$2:$A$85,0),MATCH('Historical Shareweights'!P274,TCO!$B$1:$AQ$1,0))</f>
        <v>#N/A</v>
      </c>
      <c r="Q275" t="e">
        <f>INDEX(TCO!$B$2:$AQ$85,MATCH('Historical Shareweights'!$A275,TCO!$A$2:$A$85,0),MATCH('Historical Shareweights'!Q274,TCO!$B$1:$AQ$1,0))</f>
        <v>#N/A</v>
      </c>
      <c r="R275" t="e">
        <f>INDEX(TCO!$B$2:$AQ$85,MATCH('Historical Shareweights'!$A275,TCO!$A$2:$A$85,0),MATCH('Historical Shareweights'!R274,TCO!$B$1:$AQ$1,0))</f>
        <v>#N/A</v>
      </c>
      <c r="S275" t="e">
        <f>INDEX(TCO!$B$2:$AQ$85,MATCH('Historical Shareweights'!$A275,TCO!$A$2:$A$85,0),MATCH('Historical Shareweights'!S274,TCO!$B$1:$AQ$1,0))</f>
        <v>#N/A</v>
      </c>
      <c r="T275" t="e">
        <f>INDEX(TCO!$B$2:$AQ$85,MATCH('Historical Shareweights'!$A275,TCO!$A$2:$A$85,0),MATCH('Historical Shareweights'!T274,TCO!$B$1:$AQ$1,0))</f>
        <v>#N/A</v>
      </c>
      <c r="U275" t="e">
        <f>INDEX(TCO!$B$2:$AQ$85,MATCH('Historical Shareweights'!$A275,TCO!$A$2:$A$85,0),MATCH('Historical Shareweights'!U274,TCO!$B$1:$AQ$1,0))</f>
        <v>#N/A</v>
      </c>
      <c r="V275" t="e">
        <f>INDEX(TCO!$B$2:$AQ$85,MATCH('Historical Shareweights'!$A275,TCO!$A$2:$A$85,0),MATCH('Historical Shareweights'!V274,TCO!$B$1:$AQ$1,0))</f>
        <v>#N/A</v>
      </c>
      <c r="W275" t="e">
        <f>INDEX(TCO!$B$2:$AQ$85,MATCH('Historical Shareweights'!$A275,TCO!$A$2:$A$85,0),MATCH('Historical Shareweights'!W274,TCO!$B$1:$AQ$1,0))</f>
        <v>#N/A</v>
      </c>
      <c r="X275" t="e">
        <f>INDEX(TCO!$B$2:$AQ$85,MATCH('Historical Shareweights'!$A275,TCO!$A$2:$A$85,0),MATCH('Historical Shareweights'!X274,TCO!$B$1:$AQ$1,0))</f>
        <v>#N/A</v>
      </c>
      <c r="Y275" t="e">
        <f>INDEX(TCO!$B$2:$AQ$85,MATCH('Historical Shareweights'!$A275,TCO!$A$2:$A$85,0),MATCH('Historical Shareweights'!Y274,TCO!$B$1:$AQ$1,0))</f>
        <v>#N/A</v>
      </c>
      <c r="Z275" t="e">
        <f>INDEX(TCO!$B$2:$AQ$85,MATCH('Historical Shareweights'!$A275,TCO!$A$2:$A$85,0),MATCH('Historical Shareweights'!Z274,TCO!$B$1:$AQ$1,0))</f>
        <v>#N/A</v>
      </c>
      <c r="AA275" t="e">
        <f>INDEX(TCO!$B$2:$AQ$85,MATCH('Historical Shareweights'!$A275,TCO!$A$2:$A$85,0),MATCH('Historical Shareweights'!AA274,TCO!$B$1:$AQ$1,0))</f>
        <v>#N/A</v>
      </c>
      <c r="AB275" t="e">
        <f>INDEX(TCO!$B$2:$AQ$85,MATCH('Historical Shareweights'!$A275,TCO!$A$2:$A$85,0),MATCH('Historical Shareweights'!AB274,TCO!$B$1:$AQ$1,0))</f>
        <v>#N/A</v>
      </c>
      <c r="AC275" t="e">
        <f>INDEX(TCO!$B$2:$AQ$85,MATCH('Historical Shareweights'!$A275,TCO!$A$2:$A$85,0),MATCH('Historical Shareweights'!AC274,TCO!$B$1:$AQ$1,0))</f>
        <v>#N/A</v>
      </c>
      <c r="AD275" t="e">
        <f>INDEX(TCO!$B$2:$AQ$85,MATCH('Historical Shareweights'!$A275,TCO!$A$2:$A$85,0),MATCH('Historical Shareweights'!AD274,TCO!$B$1:$AQ$1,0))</f>
        <v>#N/A</v>
      </c>
      <c r="AE275" t="e">
        <f>INDEX(TCO!$B$2:$AQ$85,MATCH('Historical Shareweights'!$A275,TCO!$A$2:$A$85,0),MATCH('Historical Shareweights'!AE274,TCO!$B$1:$AQ$1,0))</f>
        <v>#N/A</v>
      </c>
      <c r="AF275" t="e">
        <f>INDEX(TCO!$B$2:$AQ$85,MATCH('Historical Shareweights'!$A275,TCO!$A$2:$A$85,0),MATCH('Historical Shareweights'!AF274,TCO!$B$1:$AQ$1,0))</f>
        <v>#N/A</v>
      </c>
      <c r="AG275" t="e">
        <f>INDEX(TCO!$B$2:$AQ$85,MATCH('Historical Shareweights'!$A275,TCO!$A$2:$A$85,0),MATCH('Historical Shareweights'!AG274,TCO!$B$1:$AQ$1,0))</f>
        <v>#N/A</v>
      </c>
      <c r="AH275" t="e">
        <f>INDEX(TCO!$B$2:$AQ$85,MATCH('Historical Shareweights'!$A275,TCO!$A$2:$A$85,0),MATCH('Historical Shareweights'!AH274,TCO!$B$1:$AQ$1,0))</f>
        <v>#N/A</v>
      </c>
      <c r="AI275" t="e">
        <f>INDEX(TCO!$B$2:$AQ$85,MATCH('Historical Shareweights'!$A275,TCO!$A$2:$A$85,0),MATCH('Historical Shareweights'!AI274,TCO!$B$1:$AQ$1,0))</f>
        <v>#N/A</v>
      </c>
      <c r="AJ275" t="e">
        <f>INDEX(TCO!$B$2:$AQ$85,MATCH('Historical Shareweights'!$A275,TCO!$A$2:$A$85,0),MATCH('Historical Shareweights'!AJ274,TCO!$B$1:$AQ$1,0))</f>
        <v>#N/A</v>
      </c>
      <c r="AK275" t="e">
        <f>INDEX(TCO!$B$2:$AQ$85,MATCH('Historical Shareweights'!$A275,TCO!$A$2:$A$85,0),MATCH('Historical Shareweights'!AK274,TCO!$B$1:$AQ$1,0))</f>
        <v>#N/A</v>
      </c>
      <c r="AL275" t="e">
        <f>INDEX(TCO!$B$2:$AQ$85,MATCH('Historical Shareweights'!$A275,TCO!$A$2:$A$85,0),MATCH('Historical Shareweights'!AL274,TCO!$B$1:$AQ$1,0))</f>
        <v>#N/A</v>
      </c>
      <c r="AM275" t="e">
        <f>INDEX(TCO!$B$2:$AQ$85,MATCH('Historical Shareweights'!$A275,TCO!$A$2:$A$85,0),MATCH('Historical Shareweights'!AM274,TCO!$B$1:$AQ$1,0))</f>
        <v>#N/A</v>
      </c>
      <c r="AN275" t="e">
        <f>INDEX(TCO!$B$2:$AQ$85,MATCH('Historical Shareweights'!$A275,TCO!$A$2:$A$85,0),MATCH('Historical Shareweights'!AN274,TCO!$B$1:$AQ$1,0))</f>
        <v>#N/A</v>
      </c>
      <c r="AO275" t="e">
        <f>INDEX(TCO!$B$2:$AQ$85,MATCH('Historical Shareweights'!$A275,TCO!$A$2:$A$85,0),MATCH('Historical Shareweights'!AO274,TCO!$B$1:$AQ$1,0))</f>
        <v>#N/A</v>
      </c>
      <c r="AP275" t="e">
        <f>INDEX(TCO!$B$2:$AQ$85,MATCH('Historical Shareweights'!$A275,TCO!$A$2:$A$85,0),MATCH('Historical Shareweights'!AP274,TCO!$B$1:$AQ$1,0))</f>
        <v>#N/A</v>
      </c>
      <c r="AQ275" t="e">
        <f>INDEX(TCO!$B$2:$AQ$85,MATCH('Historical Shareweights'!$A275,TCO!$A$2:$A$85,0),MATCH('Historical Shareweights'!AQ274,TCO!$B$1:$AQ$1,0))</f>
        <v>#N/A</v>
      </c>
    </row>
    <row r="276" spans="1:43" hidden="1" outlineLevel="1" x14ac:dyDescent="0.15">
      <c r="A276" t="s">
        <v>1145</v>
      </c>
      <c r="B276" t="e">
        <f>INDEX(TCO!$B$2:$AQ$85,MATCH('Historical Shareweights'!$A276,TCO!$A$2:$A$85,0),MATCH('Historical Shareweights'!B274,TCO!$B$1:$AQ$1,0))</f>
        <v>#N/A</v>
      </c>
      <c r="C276" t="e">
        <f>INDEX(TCO!$B$2:$AQ$85,MATCH('Historical Shareweights'!$A276,TCO!$A$2:$A$85,0),MATCH('Historical Shareweights'!C274,TCO!$B$1:$AQ$1,0))</f>
        <v>#N/A</v>
      </c>
      <c r="D276" t="e">
        <f>INDEX(TCO!$B$2:$AQ$85,MATCH('Historical Shareweights'!$A276,TCO!$A$2:$A$85,0),MATCH('Historical Shareweights'!D274,TCO!$B$1:$AQ$1,0))</f>
        <v>#N/A</v>
      </c>
      <c r="E276" t="e">
        <f>INDEX(TCO!$B$2:$AQ$85,MATCH('Historical Shareweights'!$A276,TCO!$A$2:$A$85,0),MATCH('Historical Shareweights'!E274,TCO!$B$1:$AQ$1,0))</f>
        <v>#N/A</v>
      </c>
      <c r="F276" t="e">
        <f>INDEX(TCO!$B$2:$AQ$85,MATCH('Historical Shareweights'!$A276,TCO!$A$2:$A$85,0),MATCH('Historical Shareweights'!F274,TCO!$B$1:$AQ$1,0))</f>
        <v>#N/A</v>
      </c>
      <c r="G276" t="e">
        <f>INDEX(TCO!$B$2:$AQ$85,MATCH('Historical Shareweights'!$A276,TCO!$A$2:$A$85,0),MATCH('Historical Shareweights'!G274,TCO!$B$1:$AQ$1,0))</f>
        <v>#N/A</v>
      </c>
      <c r="H276" t="e">
        <f>INDEX(TCO!$B$2:$AQ$85,MATCH('Historical Shareweights'!$A276,TCO!$A$2:$A$85,0),MATCH('Historical Shareweights'!H274,TCO!$B$1:$AQ$1,0))</f>
        <v>#N/A</v>
      </c>
      <c r="I276" t="e">
        <f>INDEX(TCO!$B$2:$AQ$85,MATCH('Historical Shareweights'!$A276,TCO!$A$2:$A$85,0),MATCH('Historical Shareweights'!I274,TCO!$B$1:$AQ$1,0))</f>
        <v>#N/A</v>
      </c>
      <c r="J276" t="e">
        <f>INDEX(TCO!$B$2:$AQ$85,MATCH('Historical Shareweights'!$A276,TCO!$A$2:$A$85,0),MATCH('Historical Shareweights'!J274,TCO!$B$1:$AQ$1,0))</f>
        <v>#N/A</v>
      </c>
      <c r="K276" t="e">
        <f>INDEX(TCO!$B$2:$AQ$85,MATCH('Historical Shareweights'!$A276,TCO!$A$2:$A$85,0),MATCH('Historical Shareweights'!K274,TCO!$B$1:$AQ$1,0))</f>
        <v>#N/A</v>
      </c>
      <c r="L276" t="e">
        <f>INDEX(TCO!$B$2:$AQ$85,MATCH('Historical Shareweights'!$A276,TCO!$A$2:$A$85,0),MATCH('Historical Shareweights'!L274,TCO!$B$1:$AQ$1,0))</f>
        <v>#N/A</v>
      </c>
      <c r="M276" t="e">
        <f>INDEX(TCO!$B$2:$AQ$85,MATCH('Historical Shareweights'!$A276,TCO!$A$2:$A$85,0),MATCH('Historical Shareweights'!M274,TCO!$B$1:$AQ$1,0))</f>
        <v>#N/A</v>
      </c>
      <c r="N276" t="e">
        <f>INDEX(TCO!$B$2:$AQ$85,MATCH('Historical Shareweights'!$A276,TCO!$A$2:$A$85,0),MATCH('Historical Shareweights'!N274,TCO!$B$1:$AQ$1,0))</f>
        <v>#N/A</v>
      </c>
      <c r="O276" t="e">
        <f>INDEX(TCO!$B$2:$AQ$85,MATCH('Historical Shareweights'!$A276,TCO!$A$2:$A$85,0),MATCH('Historical Shareweights'!O274,TCO!$B$1:$AQ$1,0))</f>
        <v>#N/A</v>
      </c>
      <c r="P276" t="e">
        <f>INDEX(TCO!$B$2:$AQ$85,MATCH('Historical Shareweights'!$A276,TCO!$A$2:$A$85,0),MATCH('Historical Shareweights'!P274,TCO!$B$1:$AQ$1,0))</f>
        <v>#N/A</v>
      </c>
      <c r="Q276" t="e">
        <f>INDEX(TCO!$B$2:$AQ$85,MATCH('Historical Shareweights'!$A276,TCO!$A$2:$A$85,0),MATCH('Historical Shareweights'!Q274,TCO!$B$1:$AQ$1,0))</f>
        <v>#N/A</v>
      </c>
      <c r="R276" t="e">
        <f>INDEX(TCO!$B$2:$AQ$85,MATCH('Historical Shareweights'!$A276,TCO!$A$2:$A$85,0),MATCH('Historical Shareweights'!R274,TCO!$B$1:$AQ$1,0))</f>
        <v>#N/A</v>
      </c>
      <c r="S276" t="e">
        <f>INDEX(TCO!$B$2:$AQ$85,MATCH('Historical Shareweights'!$A276,TCO!$A$2:$A$85,0),MATCH('Historical Shareweights'!S274,TCO!$B$1:$AQ$1,0))</f>
        <v>#N/A</v>
      </c>
      <c r="T276" t="e">
        <f>INDEX(TCO!$B$2:$AQ$85,MATCH('Historical Shareweights'!$A276,TCO!$A$2:$A$85,0),MATCH('Historical Shareweights'!T274,TCO!$B$1:$AQ$1,0))</f>
        <v>#N/A</v>
      </c>
      <c r="U276" t="e">
        <f>INDEX(TCO!$B$2:$AQ$85,MATCH('Historical Shareweights'!$A276,TCO!$A$2:$A$85,0),MATCH('Historical Shareweights'!U274,TCO!$B$1:$AQ$1,0))</f>
        <v>#N/A</v>
      </c>
      <c r="V276" t="e">
        <f>INDEX(TCO!$B$2:$AQ$85,MATCH('Historical Shareweights'!$A276,TCO!$A$2:$A$85,0),MATCH('Historical Shareweights'!V274,TCO!$B$1:$AQ$1,0))</f>
        <v>#N/A</v>
      </c>
      <c r="W276" t="e">
        <f>INDEX(TCO!$B$2:$AQ$85,MATCH('Historical Shareweights'!$A276,TCO!$A$2:$A$85,0),MATCH('Historical Shareweights'!W274,TCO!$B$1:$AQ$1,0))</f>
        <v>#N/A</v>
      </c>
      <c r="X276" t="e">
        <f>INDEX(TCO!$B$2:$AQ$85,MATCH('Historical Shareweights'!$A276,TCO!$A$2:$A$85,0),MATCH('Historical Shareweights'!X274,TCO!$B$1:$AQ$1,0))</f>
        <v>#N/A</v>
      </c>
      <c r="Y276" t="e">
        <f>INDEX(TCO!$B$2:$AQ$85,MATCH('Historical Shareweights'!$A276,TCO!$A$2:$A$85,0),MATCH('Historical Shareweights'!Y274,TCO!$B$1:$AQ$1,0))</f>
        <v>#N/A</v>
      </c>
      <c r="Z276" t="e">
        <f>INDEX(TCO!$B$2:$AQ$85,MATCH('Historical Shareweights'!$A276,TCO!$A$2:$A$85,0),MATCH('Historical Shareweights'!Z274,TCO!$B$1:$AQ$1,0))</f>
        <v>#N/A</v>
      </c>
      <c r="AA276" t="e">
        <f>INDEX(TCO!$B$2:$AQ$85,MATCH('Historical Shareweights'!$A276,TCO!$A$2:$A$85,0),MATCH('Historical Shareweights'!AA274,TCO!$B$1:$AQ$1,0))</f>
        <v>#N/A</v>
      </c>
      <c r="AB276" t="e">
        <f>INDEX(TCO!$B$2:$AQ$85,MATCH('Historical Shareweights'!$A276,TCO!$A$2:$A$85,0),MATCH('Historical Shareweights'!AB274,TCO!$B$1:$AQ$1,0))</f>
        <v>#N/A</v>
      </c>
      <c r="AC276" t="e">
        <f>INDEX(TCO!$B$2:$AQ$85,MATCH('Historical Shareweights'!$A276,TCO!$A$2:$A$85,0),MATCH('Historical Shareweights'!AC274,TCO!$B$1:$AQ$1,0))</f>
        <v>#N/A</v>
      </c>
      <c r="AD276" t="e">
        <f>INDEX(TCO!$B$2:$AQ$85,MATCH('Historical Shareweights'!$A276,TCO!$A$2:$A$85,0),MATCH('Historical Shareweights'!AD274,TCO!$B$1:$AQ$1,0))</f>
        <v>#N/A</v>
      </c>
      <c r="AE276" t="e">
        <f>INDEX(TCO!$B$2:$AQ$85,MATCH('Historical Shareweights'!$A276,TCO!$A$2:$A$85,0),MATCH('Historical Shareweights'!AE274,TCO!$B$1:$AQ$1,0))</f>
        <v>#N/A</v>
      </c>
      <c r="AF276" t="e">
        <f>INDEX(TCO!$B$2:$AQ$85,MATCH('Historical Shareweights'!$A276,TCO!$A$2:$A$85,0),MATCH('Historical Shareweights'!AF274,TCO!$B$1:$AQ$1,0))</f>
        <v>#N/A</v>
      </c>
      <c r="AG276" t="e">
        <f>INDEX(TCO!$B$2:$AQ$85,MATCH('Historical Shareweights'!$A276,TCO!$A$2:$A$85,0),MATCH('Historical Shareweights'!AG274,TCO!$B$1:$AQ$1,0))</f>
        <v>#N/A</v>
      </c>
      <c r="AH276" t="e">
        <f>INDEX(TCO!$B$2:$AQ$85,MATCH('Historical Shareweights'!$A276,TCO!$A$2:$A$85,0),MATCH('Historical Shareweights'!AH274,TCO!$B$1:$AQ$1,0))</f>
        <v>#N/A</v>
      </c>
      <c r="AI276" t="e">
        <f>INDEX(TCO!$B$2:$AQ$85,MATCH('Historical Shareweights'!$A276,TCO!$A$2:$A$85,0),MATCH('Historical Shareweights'!AI274,TCO!$B$1:$AQ$1,0))</f>
        <v>#N/A</v>
      </c>
      <c r="AJ276" t="e">
        <f>INDEX(TCO!$B$2:$AQ$85,MATCH('Historical Shareweights'!$A276,TCO!$A$2:$A$85,0),MATCH('Historical Shareweights'!AJ274,TCO!$B$1:$AQ$1,0))</f>
        <v>#N/A</v>
      </c>
      <c r="AK276" t="e">
        <f>INDEX(TCO!$B$2:$AQ$85,MATCH('Historical Shareweights'!$A276,TCO!$A$2:$A$85,0),MATCH('Historical Shareweights'!AK274,TCO!$B$1:$AQ$1,0))</f>
        <v>#N/A</v>
      </c>
      <c r="AL276" t="e">
        <f>INDEX(TCO!$B$2:$AQ$85,MATCH('Historical Shareweights'!$A276,TCO!$A$2:$A$85,0),MATCH('Historical Shareweights'!AL274,TCO!$B$1:$AQ$1,0))</f>
        <v>#N/A</v>
      </c>
      <c r="AM276" t="e">
        <f>INDEX(TCO!$B$2:$AQ$85,MATCH('Historical Shareweights'!$A276,TCO!$A$2:$A$85,0),MATCH('Historical Shareweights'!AM274,TCO!$B$1:$AQ$1,0))</f>
        <v>#N/A</v>
      </c>
      <c r="AN276" t="e">
        <f>INDEX(TCO!$B$2:$AQ$85,MATCH('Historical Shareweights'!$A276,TCO!$A$2:$A$85,0),MATCH('Historical Shareweights'!AN274,TCO!$B$1:$AQ$1,0))</f>
        <v>#N/A</v>
      </c>
      <c r="AO276" t="e">
        <f>INDEX(TCO!$B$2:$AQ$85,MATCH('Historical Shareweights'!$A276,TCO!$A$2:$A$85,0),MATCH('Historical Shareweights'!AO274,TCO!$B$1:$AQ$1,0))</f>
        <v>#N/A</v>
      </c>
      <c r="AP276" t="e">
        <f>INDEX(TCO!$B$2:$AQ$85,MATCH('Historical Shareweights'!$A276,TCO!$A$2:$A$85,0),MATCH('Historical Shareweights'!AP274,TCO!$B$1:$AQ$1,0))</f>
        <v>#N/A</v>
      </c>
      <c r="AQ276" t="e">
        <f>INDEX(TCO!$B$2:$AQ$85,MATCH('Historical Shareweights'!$A276,TCO!$A$2:$A$85,0),MATCH('Historical Shareweights'!AQ274,TCO!$B$1:$AQ$1,0))</f>
        <v>#N/A</v>
      </c>
    </row>
    <row r="277" spans="1:43" hidden="1" outlineLevel="1" x14ac:dyDescent="0.15">
      <c r="A277" t="s">
        <v>1146</v>
      </c>
      <c r="B277" t="e">
        <f>INDEX(TCO!$B$2:$AQ$85,MATCH('Historical Shareweights'!$A277,TCO!$A$2:$A$85,0),MATCH('Historical Shareweights'!B274,TCO!$B$1:$AQ$1,0))</f>
        <v>#N/A</v>
      </c>
      <c r="C277" t="e">
        <f>INDEX(TCO!$B$2:$AQ$85,MATCH('Historical Shareweights'!$A277,TCO!$A$2:$A$85,0),MATCH('Historical Shareweights'!C274,TCO!$B$1:$AQ$1,0))</f>
        <v>#N/A</v>
      </c>
      <c r="D277" t="e">
        <f>INDEX(TCO!$B$2:$AQ$85,MATCH('Historical Shareweights'!$A277,TCO!$A$2:$A$85,0),MATCH('Historical Shareweights'!D274,TCO!$B$1:$AQ$1,0))</f>
        <v>#N/A</v>
      </c>
      <c r="E277" t="e">
        <f>INDEX(TCO!$B$2:$AQ$85,MATCH('Historical Shareweights'!$A277,TCO!$A$2:$A$85,0),MATCH('Historical Shareweights'!E274,TCO!$B$1:$AQ$1,0))</f>
        <v>#N/A</v>
      </c>
      <c r="F277" t="e">
        <f>INDEX(TCO!$B$2:$AQ$85,MATCH('Historical Shareweights'!$A277,TCO!$A$2:$A$85,0),MATCH('Historical Shareweights'!F274,TCO!$B$1:$AQ$1,0))</f>
        <v>#N/A</v>
      </c>
      <c r="G277" t="e">
        <f>INDEX(TCO!$B$2:$AQ$85,MATCH('Historical Shareweights'!$A277,TCO!$A$2:$A$85,0),MATCH('Historical Shareweights'!G274,TCO!$B$1:$AQ$1,0))</f>
        <v>#N/A</v>
      </c>
      <c r="H277" t="e">
        <f>INDEX(TCO!$B$2:$AQ$85,MATCH('Historical Shareweights'!$A277,TCO!$A$2:$A$85,0),MATCH('Historical Shareweights'!H274,TCO!$B$1:$AQ$1,0))</f>
        <v>#N/A</v>
      </c>
      <c r="I277" t="e">
        <f>INDEX(TCO!$B$2:$AQ$85,MATCH('Historical Shareweights'!$A277,TCO!$A$2:$A$85,0),MATCH('Historical Shareweights'!I274,TCO!$B$1:$AQ$1,0))</f>
        <v>#N/A</v>
      </c>
      <c r="J277" t="e">
        <f>INDEX(TCO!$B$2:$AQ$85,MATCH('Historical Shareweights'!$A277,TCO!$A$2:$A$85,0),MATCH('Historical Shareweights'!J274,TCO!$B$1:$AQ$1,0))</f>
        <v>#N/A</v>
      </c>
      <c r="K277" t="e">
        <f>INDEX(TCO!$B$2:$AQ$85,MATCH('Historical Shareweights'!$A277,TCO!$A$2:$A$85,0),MATCH('Historical Shareweights'!K274,TCO!$B$1:$AQ$1,0))</f>
        <v>#N/A</v>
      </c>
      <c r="L277" t="e">
        <f>INDEX(TCO!$B$2:$AQ$85,MATCH('Historical Shareweights'!$A277,TCO!$A$2:$A$85,0),MATCH('Historical Shareweights'!L274,TCO!$B$1:$AQ$1,0))</f>
        <v>#N/A</v>
      </c>
      <c r="M277" t="e">
        <f>INDEX(TCO!$B$2:$AQ$85,MATCH('Historical Shareweights'!$A277,TCO!$A$2:$A$85,0),MATCH('Historical Shareweights'!M274,TCO!$B$1:$AQ$1,0))</f>
        <v>#N/A</v>
      </c>
      <c r="N277" t="e">
        <f>INDEX(TCO!$B$2:$AQ$85,MATCH('Historical Shareweights'!$A277,TCO!$A$2:$A$85,0),MATCH('Historical Shareweights'!N274,TCO!$B$1:$AQ$1,0))</f>
        <v>#N/A</v>
      </c>
      <c r="O277" t="e">
        <f>INDEX(TCO!$B$2:$AQ$85,MATCH('Historical Shareweights'!$A277,TCO!$A$2:$A$85,0),MATCH('Historical Shareweights'!O274,TCO!$B$1:$AQ$1,0))</f>
        <v>#N/A</v>
      </c>
      <c r="P277" t="e">
        <f>INDEX(TCO!$B$2:$AQ$85,MATCH('Historical Shareweights'!$A277,TCO!$A$2:$A$85,0),MATCH('Historical Shareweights'!P274,TCO!$B$1:$AQ$1,0))</f>
        <v>#N/A</v>
      </c>
      <c r="Q277" t="e">
        <f>INDEX(TCO!$B$2:$AQ$85,MATCH('Historical Shareweights'!$A277,TCO!$A$2:$A$85,0),MATCH('Historical Shareweights'!Q274,TCO!$B$1:$AQ$1,0))</f>
        <v>#N/A</v>
      </c>
      <c r="R277" t="e">
        <f>INDEX(TCO!$B$2:$AQ$85,MATCH('Historical Shareweights'!$A277,TCO!$A$2:$A$85,0),MATCH('Historical Shareweights'!R274,TCO!$B$1:$AQ$1,0))</f>
        <v>#N/A</v>
      </c>
      <c r="S277" t="e">
        <f>INDEX(TCO!$B$2:$AQ$85,MATCH('Historical Shareweights'!$A277,TCO!$A$2:$A$85,0),MATCH('Historical Shareweights'!S274,TCO!$B$1:$AQ$1,0))</f>
        <v>#N/A</v>
      </c>
      <c r="T277" t="e">
        <f>INDEX(TCO!$B$2:$AQ$85,MATCH('Historical Shareweights'!$A277,TCO!$A$2:$A$85,0),MATCH('Historical Shareweights'!T274,TCO!$B$1:$AQ$1,0))</f>
        <v>#N/A</v>
      </c>
      <c r="U277" t="e">
        <f>INDEX(TCO!$B$2:$AQ$85,MATCH('Historical Shareweights'!$A277,TCO!$A$2:$A$85,0),MATCH('Historical Shareweights'!U274,TCO!$B$1:$AQ$1,0))</f>
        <v>#N/A</v>
      </c>
      <c r="V277" t="e">
        <f>INDEX(TCO!$B$2:$AQ$85,MATCH('Historical Shareweights'!$A277,TCO!$A$2:$A$85,0),MATCH('Historical Shareweights'!V274,TCO!$B$1:$AQ$1,0))</f>
        <v>#N/A</v>
      </c>
      <c r="W277" t="e">
        <f>INDEX(TCO!$B$2:$AQ$85,MATCH('Historical Shareweights'!$A277,TCO!$A$2:$A$85,0),MATCH('Historical Shareweights'!W274,TCO!$B$1:$AQ$1,0))</f>
        <v>#N/A</v>
      </c>
      <c r="X277" t="e">
        <f>INDEX(TCO!$B$2:$AQ$85,MATCH('Historical Shareweights'!$A277,TCO!$A$2:$A$85,0),MATCH('Historical Shareweights'!X274,TCO!$B$1:$AQ$1,0))</f>
        <v>#N/A</v>
      </c>
      <c r="Y277" t="e">
        <f>INDEX(TCO!$B$2:$AQ$85,MATCH('Historical Shareweights'!$A277,TCO!$A$2:$A$85,0),MATCH('Historical Shareweights'!Y274,TCO!$B$1:$AQ$1,0))</f>
        <v>#N/A</v>
      </c>
      <c r="Z277" t="e">
        <f>INDEX(TCO!$B$2:$AQ$85,MATCH('Historical Shareweights'!$A277,TCO!$A$2:$A$85,0),MATCH('Historical Shareweights'!Z274,TCO!$B$1:$AQ$1,0))</f>
        <v>#N/A</v>
      </c>
      <c r="AA277" t="e">
        <f>INDEX(TCO!$B$2:$AQ$85,MATCH('Historical Shareweights'!$A277,TCO!$A$2:$A$85,0),MATCH('Historical Shareweights'!AA274,TCO!$B$1:$AQ$1,0))</f>
        <v>#N/A</v>
      </c>
      <c r="AB277" t="e">
        <f>INDEX(TCO!$B$2:$AQ$85,MATCH('Historical Shareweights'!$A277,TCO!$A$2:$A$85,0),MATCH('Historical Shareweights'!AB274,TCO!$B$1:$AQ$1,0))</f>
        <v>#N/A</v>
      </c>
      <c r="AC277" t="e">
        <f>INDEX(TCO!$B$2:$AQ$85,MATCH('Historical Shareweights'!$A277,TCO!$A$2:$A$85,0),MATCH('Historical Shareweights'!AC274,TCO!$B$1:$AQ$1,0))</f>
        <v>#N/A</v>
      </c>
      <c r="AD277" t="e">
        <f>INDEX(TCO!$B$2:$AQ$85,MATCH('Historical Shareweights'!$A277,TCO!$A$2:$A$85,0),MATCH('Historical Shareweights'!AD274,TCO!$B$1:$AQ$1,0))</f>
        <v>#N/A</v>
      </c>
      <c r="AE277" t="e">
        <f>INDEX(TCO!$B$2:$AQ$85,MATCH('Historical Shareweights'!$A277,TCO!$A$2:$A$85,0),MATCH('Historical Shareweights'!AE274,TCO!$B$1:$AQ$1,0))</f>
        <v>#N/A</v>
      </c>
      <c r="AF277" t="e">
        <f>INDEX(TCO!$B$2:$AQ$85,MATCH('Historical Shareweights'!$A277,TCO!$A$2:$A$85,0),MATCH('Historical Shareweights'!AF274,TCO!$B$1:$AQ$1,0))</f>
        <v>#N/A</v>
      </c>
      <c r="AG277" t="e">
        <f>INDEX(TCO!$B$2:$AQ$85,MATCH('Historical Shareweights'!$A277,TCO!$A$2:$A$85,0),MATCH('Historical Shareweights'!AG274,TCO!$B$1:$AQ$1,0))</f>
        <v>#N/A</v>
      </c>
      <c r="AH277" t="e">
        <f>INDEX(TCO!$B$2:$AQ$85,MATCH('Historical Shareweights'!$A277,TCO!$A$2:$A$85,0),MATCH('Historical Shareweights'!AH274,TCO!$B$1:$AQ$1,0))</f>
        <v>#N/A</v>
      </c>
      <c r="AI277" t="e">
        <f>INDEX(TCO!$B$2:$AQ$85,MATCH('Historical Shareweights'!$A277,TCO!$A$2:$A$85,0),MATCH('Historical Shareweights'!AI274,TCO!$B$1:$AQ$1,0))</f>
        <v>#N/A</v>
      </c>
      <c r="AJ277" t="e">
        <f>INDEX(TCO!$B$2:$AQ$85,MATCH('Historical Shareweights'!$A277,TCO!$A$2:$A$85,0),MATCH('Historical Shareweights'!AJ274,TCO!$B$1:$AQ$1,0))</f>
        <v>#N/A</v>
      </c>
      <c r="AK277" t="e">
        <f>INDEX(TCO!$B$2:$AQ$85,MATCH('Historical Shareweights'!$A277,TCO!$A$2:$A$85,0),MATCH('Historical Shareweights'!AK274,TCO!$B$1:$AQ$1,0))</f>
        <v>#N/A</v>
      </c>
      <c r="AL277" t="e">
        <f>INDEX(TCO!$B$2:$AQ$85,MATCH('Historical Shareweights'!$A277,TCO!$A$2:$A$85,0),MATCH('Historical Shareweights'!AL274,TCO!$B$1:$AQ$1,0))</f>
        <v>#N/A</v>
      </c>
      <c r="AM277" t="e">
        <f>INDEX(TCO!$B$2:$AQ$85,MATCH('Historical Shareweights'!$A277,TCO!$A$2:$A$85,0),MATCH('Historical Shareweights'!AM274,TCO!$B$1:$AQ$1,0))</f>
        <v>#N/A</v>
      </c>
      <c r="AN277" t="e">
        <f>INDEX(TCO!$B$2:$AQ$85,MATCH('Historical Shareweights'!$A277,TCO!$A$2:$A$85,0),MATCH('Historical Shareweights'!AN274,TCO!$B$1:$AQ$1,0))</f>
        <v>#N/A</v>
      </c>
      <c r="AO277" t="e">
        <f>INDEX(TCO!$B$2:$AQ$85,MATCH('Historical Shareweights'!$A277,TCO!$A$2:$A$85,0),MATCH('Historical Shareweights'!AO274,TCO!$B$1:$AQ$1,0))</f>
        <v>#N/A</v>
      </c>
      <c r="AP277" t="e">
        <f>INDEX(TCO!$B$2:$AQ$85,MATCH('Historical Shareweights'!$A277,TCO!$A$2:$A$85,0),MATCH('Historical Shareweights'!AP274,TCO!$B$1:$AQ$1,0))</f>
        <v>#N/A</v>
      </c>
      <c r="AQ277" t="e">
        <f>INDEX(TCO!$B$2:$AQ$85,MATCH('Historical Shareweights'!$A277,TCO!$A$2:$A$85,0),MATCH('Historical Shareweights'!AQ274,TCO!$B$1:$AQ$1,0))</f>
        <v>#N/A</v>
      </c>
    </row>
    <row r="278" spans="1:43" hidden="1" outlineLevel="1" x14ac:dyDescent="0.15">
      <c r="A278" t="s">
        <v>1147</v>
      </c>
      <c r="B278" t="e">
        <f>INDEX(TCO!$B$2:$AQ$85,MATCH('Historical Shareweights'!$A278,TCO!$A$2:$A$85,0),MATCH('Historical Shareweights'!B274,TCO!$B$1:$AQ$1,0))</f>
        <v>#N/A</v>
      </c>
      <c r="C278" t="e">
        <f>INDEX(TCO!$B$2:$AQ$85,MATCH('Historical Shareweights'!$A278,TCO!$A$2:$A$85,0),MATCH('Historical Shareweights'!C274,TCO!$B$1:$AQ$1,0))</f>
        <v>#N/A</v>
      </c>
      <c r="D278" t="e">
        <f>INDEX(TCO!$B$2:$AQ$85,MATCH('Historical Shareweights'!$A278,TCO!$A$2:$A$85,0),MATCH('Historical Shareweights'!D274,TCO!$B$1:$AQ$1,0))</f>
        <v>#N/A</v>
      </c>
      <c r="E278" t="e">
        <f>INDEX(TCO!$B$2:$AQ$85,MATCH('Historical Shareweights'!$A278,TCO!$A$2:$A$85,0),MATCH('Historical Shareweights'!E274,TCO!$B$1:$AQ$1,0))</f>
        <v>#N/A</v>
      </c>
      <c r="F278" t="e">
        <f>INDEX(TCO!$B$2:$AQ$85,MATCH('Historical Shareweights'!$A278,TCO!$A$2:$A$85,0),MATCH('Historical Shareweights'!F274,TCO!$B$1:$AQ$1,0))</f>
        <v>#N/A</v>
      </c>
      <c r="G278" t="e">
        <f>INDEX(TCO!$B$2:$AQ$85,MATCH('Historical Shareweights'!$A278,TCO!$A$2:$A$85,0),MATCH('Historical Shareweights'!G274,TCO!$B$1:$AQ$1,0))</f>
        <v>#N/A</v>
      </c>
      <c r="H278" t="e">
        <f>INDEX(TCO!$B$2:$AQ$85,MATCH('Historical Shareweights'!$A278,TCO!$A$2:$A$85,0),MATCH('Historical Shareweights'!H274,TCO!$B$1:$AQ$1,0))</f>
        <v>#N/A</v>
      </c>
      <c r="I278" t="e">
        <f>INDEX(TCO!$B$2:$AQ$85,MATCH('Historical Shareweights'!$A278,TCO!$A$2:$A$85,0),MATCH('Historical Shareweights'!I274,TCO!$B$1:$AQ$1,0))</f>
        <v>#N/A</v>
      </c>
      <c r="J278" t="e">
        <f>INDEX(TCO!$B$2:$AQ$85,MATCH('Historical Shareweights'!$A278,TCO!$A$2:$A$85,0),MATCH('Historical Shareweights'!J274,TCO!$B$1:$AQ$1,0))</f>
        <v>#N/A</v>
      </c>
      <c r="K278" t="e">
        <f>INDEX(TCO!$B$2:$AQ$85,MATCH('Historical Shareweights'!$A278,TCO!$A$2:$A$85,0),MATCH('Historical Shareweights'!K274,TCO!$B$1:$AQ$1,0))</f>
        <v>#N/A</v>
      </c>
      <c r="L278" t="e">
        <f>INDEX(TCO!$B$2:$AQ$85,MATCH('Historical Shareweights'!$A278,TCO!$A$2:$A$85,0),MATCH('Historical Shareweights'!L274,TCO!$B$1:$AQ$1,0))</f>
        <v>#N/A</v>
      </c>
      <c r="M278" t="e">
        <f>INDEX(TCO!$B$2:$AQ$85,MATCH('Historical Shareweights'!$A278,TCO!$A$2:$A$85,0),MATCH('Historical Shareweights'!M274,TCO!$B$1:$AQ$1,0))</f>
        <v>#N/A</v>
      </c>
      <c r="N278" t="e">
        <f>INDEX(TCO!$B$2:$AQ$85,MATCH('Historical Shareweights'!$A278,TCO!$A$2:$A$85,0),MATCH('Historical Shareweights'!N274,TCO!$B$1:$AQ$1,0))</f>
        <v>#N/A</v>
      </c>
      <c r="O278" t="e">
        <f>INDEX(TCO!$B$2:$AQ$85,MATCH('Historical Shareweights'!$A278,TCO!$A$2:$A$85,0),MATCH('Historical Shareweights'!O274,TCO!$B$1:$AQ$1,0))</f>
        <v>#N/A</v>
      </c>
      <c r="P278" t="e">
        <f>INDEX(TCO!$B$2:$AQ$85,MATCH('Historical Shareweights'!$A278,TCO!$A$2:$A$85,0),MATCH('Historical Shareweights'!P274,TCO!$B$1:$AQ$1,0))</f>
        <v>#N/A</v>
      </c>
      <c r="Q278" t="e">
        <f>INDEX(TCO!$B$2:$AQ$85,MATCH('Historical Shareweights'!$A278,TCO!$A$2:$A$85,0),MATCH('Historical Shareweights'!Q274,TCO!$B$1:$AQ$1,0))</f>
        <v>#N/A</v>
      </c>
      <c r="R278" t="e">
        <f>INDEX(TCO!$B$2:$AQ$85,MATCH('Historical Shareweights'!$A278,TCO!$A$2:$A$85,0),MATCH('Historical Shareweights'!R274,TCO!$B$1:$AQ$1,0))</f>
        <v>#N/A</v>
      </c>
      <c r="S278" t="e">
        <f>INDEX(TCO!$B$2:$AQ$85,MATCH('Historical Shareweights'!$A278,TCO!$A$2:$A$85,0),MATCH('Historical Shareweights'!S274,TCO!$B$1:$AQ$1,0))</f>
        <v>#N/A</v>
      </c>
      <c r="T278" t="e">
        <f>INDEX(TCO!$B$2:$AQ$85,MATCH('Historical Shareweights'!$A278,TCO!$A$2:$A$85,0),MATCH('Historical Shareweights'!T274,TCO!$B$1:$AQ$1,0))</f>
        <v>#N/A</v>
      </c>
      <c r="U278" t="e">
        <f>INDEX(TCO!$B$2:$AQ$85,MATCH('Historical Shareweights'!$A278,TCO!$A$2:$A$85,0),MATCH('Historical Shareweights'!U274,TCO!$B$1:$AQ$1,0))</f>
        <v>#N/A</v>
      </c>
      <c r="V278" t="e">
        <f>INDEX(TCO!$B$2:$AQ$85,MATCH('Historical Shareweights'!$A278,TCO!$A$2:$A$85,0),MATCH('Historical Shareweights'!V274,TCO!$B$1:$AQ$1,0))</f>
        <v>#N/A</v>
      </c>
      <c r="W278" t="e">
        <f>INDEX(TCO!$B$2:$AQ$85,MATCH('Historical Shareweights'!$A278,TCO!$A$2:$A$85,0),MATCH('Historical Shareweights'!W274,TCO!$B$1:$AQ$1,0))</f>
        <v>#N/A</v>
      </c>
      <c r="X278" t="e">
        <f>INDEX(TCO!$B$2:$AQ$85,MATCH('Historical Shareweights'!$A278,TCO!$A$2:$A$85,0),MATCH('Historical Shareweights'!X274,TCO!$B$1:$AQ$1,0))</f>
        <v>#N/A</v>
      </c>
      <c r="Y278" t="e">
        <f>INDEX(TCO!$B$2:$AQ$85,MATCH('Historical Shareweights'!$A278,TCO!$A$2:$A$85,0),MATCH('Historical Shareweights'!Y274,TCO!$B$1:$AQ$1,0))</f>
        <v>#N/A</v>
      </c>
      <c r="Z278" t="e">
        <f>INDEX(TCO!$B$2:$AQ$85,MATCH('Historical Shareweights'!$A278,TCO!$A$2:$A$85,0),MATCH('Historical Shareweights'!Z274,TCO!$B$1:$AQ$1,0))</f>
        <v>#N/A</v>
      </c>
      <c r="AA278" t="e">
        <f>INDEX(TCO!$B$2:$AQ$85,MATCH('Historical Shareweights'!$A278,TCO!$A$2:$A$85,0),MATCH('Historical Shareweights'!AA274,TCO!$B$1:$AQ$1,0))</f>
        <v>#N/A</v>
      </c>
      <c r="AB278" t="e">
        <f>INDEX(TCO!$B$2:$AQ$85,MATCH('Historical Shareweights'!$A278,TCO!$A$2:$A$85,0),MATCH('Historical Shareweights'!AB274,TCO!$B$1:$AQ$1,0))</f>
        <v>#N/A</v>
      </c>
      <c r="AC278" t="e">
        <f>INDEX(TCO!$B$2:$AQ$85,MATCH('Historical Shareweights'!$A278,TCO!$A$2:$A$85,0),MATCH('Historical Shareweights'!AC274,TCO!$B$1:$AQ$1,0))</f>
        <v>#N/A</v>
      </c>
      <c r="AD278" t="e">
        <f>INDEX(TCO!$B$2:$AQ$85,MATCH('Historical Shareweights'!$A278,TCO!$A$2:$A$85,0),MATCH('Historical Shareweights'!AD274,TCO!$B$1:$AQ$1,0))</f>
        <v>#N/A</v>
      </c>
      <c r="AE278" t="e">
        <f>INDEX(TCO!$B$2:$AQ$85,MATCH('Historical Shareweights'!$A278,TCO!$A$2:$A$85,0),MATCH('Historical Shareweights'!AE274,TCO!$B$1:$AQ$1,0))</f>
        <v>#N/A</v>
      </c>
      <c r="AF278" t="e">
        <f>INDEX(TCO!$B$2:$AQ$85,MATCH('Historical Shareweights'!$A278,TCO!$A$2:$A$85,0),MATCH('Historical Shareweights'!AF274,TCO!$B$1:$AQ$1,0))</f>
        <v>#N/A</v>
      </c>
      <c r="AG278" t="e">
        <f>INDEX(TCO!$B$2:$AQ$85,MATCH('Historical Shareweights'!$A278,TCO!$A$2:$A$85,0),MATCH('Historical Shareweights'!AG274,TCO!$B$1:$AQ$1,0))</f>
        <v>#N/A</v>
      </c>
      <c r="AH278" t="e">
        <f>INDEX(TCO!$B$2:$AQ$85,MATCH('Historical Shareweights'!$A278,TCO!$A$2:$A$85,0),MATCH('Historical Shareweights'!AH274,TCO!$B$1:$AQ$1,0))</f>
        <v>#N/A</v>
      </c>
      <c r="AI278" t="e">
        <f>INDEX(TCO!$B$2:$AQ$85,MATCH('Historical Shareweights'!$A278,TCO!$A$2:$A$85,0),MATCH('Historical Shareweights'!AI274,TCO!$B$1:$AQ$1,0))</f>
        <v>#N/A</v>
      </c>
      <c r="AJ278" t="e">
        <f>INDEX(TCO!$B$2:$AQ$85,MATCH('Historical Shareweights'!$A278,TCO!$A$2:$A$85,0),MATCH('Historical Shareweights'!AJ274,TCO!$B$1:$AQ$1,0))</f>
        <v>#N/A</v>
      </c>
      <c r="AK278" t="e">
        <f>INDEX(TCO!$B$2:$AQ$85,MATCH('Historical Shareweights'!$A278,TCO!$A$2:$A$85,0),MATCH('Historical Shareweights'!AK274,TCO!$B$1:$AQ$1,0))</f>
        <v>#N/A</v>
      </c>
      <c r="AL278" t="e">
        <f>INDEX(TCO!$B$2:$AQ$85,MATCH('Historical Shareweights'!$A278,TCO!$A$2:$A$85,0),MATCH('Historical Shareweights'!AL274,TCO!$B$1:$AQ$1,0))</f>
        <v>#N/A</v>
      </c>
      <c r="AM278" t="e">
        <f>INDEX(TCO!$B$2:$AQ$85,MATCH('Historical Shareweights'!$A278,TCO!$A$2:$A$85,0),MATCH('Historical Shareweights'!AM274,TCO!$B$1:$AQ$1,0))</f>
        <v>#N/A</v>
      </c>
      <c r="AN278" t="e">
        <f>INDEX(TCO!$B$2:$AQ$85,MATCH('Historical Shareweights'!$A278,TCO!$A$2:$A$85,0),MATCH('Historical Shareweights'!AN274,TCO!$B$1:$AQ$1,0))</f>
        <v>#N/A</v>
      </c>
      <c r="AO278" t="e">
        <f>INDEX(TCO!$B$2:$AQ$85,MATCH('Historical Shareweights'!$A278,TCO!$A$2:$A$85,0),MATCH('Historical Shareweights'!AO274,TCO!$B$1:$AQ$1,0))</f>
        <v>#N/A</v>
      </c>
      <c r="AP278" t="e">
        <f>INDEX(TCO!$B$2:$AQ$85,MATCH('Historical Shareweights'!$A278,TCO!$A$2:$A$85,0),MATCH('Historical Shareweights'!AP274,TCO!$B$1:$AQ$1,0))</f>
        <v>#N/A</v>
      </c>
      <c r="AQ278" t="e">
        <f>INDEX(TCO!$B$2:$AQ$85,MATCH('Historical Shareweights'!$A278,TCO!$A$2:$A$85,0),MATCH('Historical Shareweights'!AQ274,TCO!$B$1:$AQ$1,0))</f>
        <v>#N/A</v>
      </c>
    </row>
    <row r="279" spans="1:43" hidden="1" outlineLevel="1" x14ac:dyDescent="0.15">
      <c r="A279" t="s">
        <v>1148</v>
      </c>
      <c r="B279" t="e">
        <f>INDEX(TCO!$B$2:$AQ$85,MATCH('Historical Shareweights'!$A279,TCO!$A$2:$A$85,0),MATCH('Historical Shareweights'!B274,TCO!$B$1:$AQ$1,0))</f>
        <v>#N/A</v>
      </c>
      <c r="C279" t="e">
        <f>INDEX(TCO!$B$2:$AQ$85,MATCH('Historical Shareweights'!$A279,TCO!$A$2:$A$85,0),MATCH('Historical Shareweights'!C274,TCO!$B$1:$AQ$1,0))</f>
        <v>#N/A</v>
      </c>
      <c r="D279" t="e">
        <f>INDEX(TCO!$B$2:$AQ$85,MATCH('Historical Shareweights'!$A279,TCO!$A$2:$A$85,0),MATCH('Historical Shareweights'!D274,TCO!$B$1:$AQ$1,0))</f>
        <v>#N/A</v>
      </c>
      <c r="E279" t="e">
        <f>INDEX(TCO!$B$2:$AQ$85,MATCH('Historical Shareweights'!$A279,TCO!$A$2:$A$85,0),MATCH('Historical Shareweights'!E274,TCO!$B$1:$AQ$1,0))</f>
        <v>#N/A</v>
      </c>
      <c r="F279" t="e">
        <f>INDEX(TCO!$B$2:$AQ$85,MATCH('Historical Shareweights'!$A279,TCO!$A$2:$A$85,0),MATCH('Historical Shareweights'!F274,TCO!$B$1:$AQ$1,0))</f>
        <v>#N/A</v>
      </c>
      <c r="G279" t="e">
        <f>INDEX(TCO!$B$2:$AQ$85,MATCH('Historical Shareweights'!$A279,TCO!$A$2:$A$85,0),MATCH('Historical Shareweights'!G274,TCO!$B$1:$AQ$1,0))</f>
        <v>#N/A</v>
      </c>
      <c r="H279" t="e">
        <f>INDEX(TCO!$B$2:$AQ$85,MATCH('Historical Shareweights'!$A279,TCO!$A$2:$A$85,0),MATCH('Historical Shareweights'!H274,TCO!$B$1:$AQ$1,0))</f>
        <v>#N/A</v>
      </c>
      <c r="I279" t="e">
        <f>INDEX(TCO!$B$2:$AQ$85,MATCH('Historical Shareweights'!$A279,TCO!$A$2:$A$85,0),MATCH('Historical Shareweights'!I274,TCO!$B$1:$AQ$1,0))</f>
        <v>#N/A</v>
      </c>
      <c r="J279" t="e">
        <f>INDEX(TCO!$B$2:$AQ$85,MATCH('Historical Shareweights'!$A279,TCO!$A$2:$A$85,0),MATCH('Historical Shareweights'!J274,TCO!$B$1:$AQ$1,0))</f>
        <v>#N/A</v>
      </c>
      <c r="K279" t="e">
        <f>INDEX(TCO!$B$2:$AQ$85,MATCH('Historical Shareweights'!$A279,TCO!$A$2:$A$85,0),MATCH('Historical Shareweights'!K274,TCO!$B$1:$AQ$1,0))</f>
        <v>#N/A</v>
      </c>
      <c r="L279" t="e">
        <f>INDEX(TCO!$B$2:$AQ$85,MATCH('Historical Shareweights'!$A279,TCO!$A$2:$A$85,0),MATCH('Historical Shareweights'!L274,TCO!$B$1:$AQ$1,0))</f>
        <v>#N/A</v>
      </c>
      <c r="M279" t="e">
        <f>INDEX(TCO!$B$2:$AQ$85,MATCH('Historical Shareweights'!$A279,TCO!$A$2:$A$85,0),MATCH('Historical Shareweights'!M274,TCO!$B$1:$AQ$1,0))</f>
        <v>#N/A</v>
      </c>
      <c r="N279" t="e">
        <f>INDEX(TCO!$B$2:$AQ$85,MATCH('Historical Shareweights'!$A279,TCO!$A$2:$A$85,0),MATCH('Historical Shareweights'!N274,TCO!$B$1:$AQ$1,0))</f>
        <v>#N/A</v>
      </c>
      <c r="O279" t="e">
        <f>INDEX(TCO!$B$2:$AQ$85,MATCH('Historical Shareweights'!$A279,TCO!$A$2:$A$85,0),MATCH('Historical Shareweights'!O274,TCO!$B$1:$AQ$1,0))</f>
        <v>#N/A</v>
      </c>
      <c r="P279" t="e">
        <f>INDEX(TCO!$B$2:$AQ$85,MATCH('Historical Shareweights'!$A279,TCO!$A$2:$A$85,0),MATCH('Historical Shareweights'!P274,TCO!$B$1:$AQ$1,0))</f>
        <v>#N/A</v>
      </c>
      <c r="Q279" t="e">
        <f>INDEX(TCO!$B$2:$AQ$85,MATCH('Historical Shareweights'!$A279,TCO!$A$2:$A$85,0),MATCH('Historical Shareweights'!Q274,TCO!$B$1:$AQ$1,0))</f>
        <v>#N/A</v>
      </c>
      <c r="R279" t="e">
        <f>INDEX(TCO!$B$2:$AQ$85,MATCH('Historical Shareweights'!$A279,TCO!$A$2:$A$85,0),MATCH('Historical Shareweights'!R274,TCO!$B$1:$AQ$1,0))</f>
        <v>#N/A</v>
      </c>
      <c r="S279" t="e">
        <f>INDEX(TCO!$B$2:$AQ$85,MATCH('Historical Shareweights'!$A279,TCO!$A$2:$A$85,0),MATCH('Historical Shareweights'!S274,TCO!$B$1:$AQ$1,0))</f>
        <v>#N/A</v>
      </c>
      <c r="T279" t="e">
        <f>INDEX(TCO!$B$2:$AQ$85,MATCH('Historical Shareweights'!$A279,TCO!$A$2:$A$85,0),MATCH('Historical Shareweights'!T274,TCO!$B$1:$AQ$1,0))</f>
        <v>#N/A</v>
      </c>
      <c r="U279" t="e">
        <f>INDEX(TCO!$B$2:$AQ$85,MATCH('Historical Shareweights'!$A279,TCO!$A$2:$A$85,0),MATCH('Historical Shareweights'!U274,TCO!$B$1:$AQ$1,0))</f>
        <v>#N/A</v>
      </c>
      <c r="V279" t="e">
        <f>INDEX(TCO!$B$2:$AQ$85,MATCH('Historical Shareweights'!$A279,TCO!$A$2:$A$85,0),MATCH('Historical Shareweights'!V274,TCO!$B$1:$AQ$1,0))</f>
        <v>#N/A</v>
      </c>
      <c r="W279" t="e">
        <f>INDEX(TCO!$B$2:$AQ$85,MATCH('Historical Shareweights'!$A279,TCO!$A$2:$A$85,0),MATCH('Historical Shareweights'!W274,TCO!$B$1:$AQ$1,0))</f>
        <v>#N/A</v>
      </c>
      <c r="X279" t="e">
        <f>INDEX(TCO!$B$2:$AQ$85,MATCH('Historical Shareweights'!$A279,TCO!$A$2:$A$85,0),MATCH('Historical Shareweights'!X274,TCO!$B$1:$AQ$1,0))</f>
        <v>#N/A</v>
      </c>
      <c r="Y279" t="e">
        <f>INDEX(TCO!$B$2:$AQ$85,MATCH('Historical Shareweights'!$A279,TCO!$A$2:$A$85,0),MATCH('Historical Shareweights'!Y274,TCO!$B$1:$AQ$1,0))</f>
        <v>#N/A</v>
      </c>
      <c r="Z279" t="e">
        <f>INDEX(TCO!$B$2:$AQ$85,MATCH('Historical Shareweights'!$A279,TCO!$A$2:$A$85,0),MATCH('Historical Shareweights'!Z274,TCO!$B$1:$AQ$1,0))</f>
        <v>#N/A</v>
      </c>
      <c r="AA279" t="e">
        <f>INDEX(TCO!$B$2:$AQ$85,MATCH('Historical Shareweights'!$A279,TCO!$A$2:$A$85,0),MATCH('Historical Shareweights'!AA274,TCO!$B$1:$AQ$1,0))</f>
        <v>#N/A</v>
      </c>
      <c r="AB279" t="e">
        <f>INDEX(TCO!$B$2:$AQ$85,MATCH('Historical Shareweights'!$A279,TCO!$A$2:$A$85,0),MATCH('Historical Shareweights'!AB274,TCO!$B$1:$AQ$1,0))</f>
        <v>#N/A</v>
      </c>
      <c r="AC279" t="e">
        <f>INDEX(TCO!$B$2:$AQ$85,MATCH('Historical Shareweights'!$A279,TCO!$A$2:$A$85,0),MATCH('Historical Shareweights'!AC274,TCO!$B$1:$AQ$1,0))</f>
        <v>#N/A</v>
      </c>
      <c r="AD279" t="e">
        <f>INDEX(TCO!$B$2:$AQ$85,MATCH('Historical Shareweights'!$A279,TCO!$A$2:$A$85,0),MATCH('Historical Shareweights'!AD274,TCO!$B$1:$AQ$1,0))</f>
        <v>#N/A</v>
      </c>
      <c r="AE279" t="e">
        <f>INDEX(TCO!$B$2:$AQ$85,MATCH('Historical Shareweights'!$A279,TCO!$A$2:$A$85,0),MATCH('Historical Shareweights'!AE274,TCO!$B$1:$AQ$1,0))</f>
        <v>#N/A</v>
      </c>
      <c r="AF279" t="e">
        <f>INDEX(TCO!$B$2:$AQ$85,MATCH('Historical Shareweights'!$A279,TCO!$A$2:$A$85,0),MATCH('Historical Shareweights'!AF274,TCO!$B$1:$AQ$1,0))</f>
        <v>#N/A</v>
      </c>
      <c r="AG279" t="e">
        <f>INDEX(TCO!$B$2:$AQ$85,MATCH('Historical Shareweights'!$A279,TCO!$A$2:$A$85,0),MATCH('Historical Shareweights'!AG274,TCO!$B$1:$AQ$1,0))</f>
        <v>#N/A</v>
      </c>
      <c r="AH279" t="e">
        <f>INDEX(TCO!$B$2:$AQ$85,MATCH('Historical Shareweights'!$A279,TCO!$A$2:$A$85,0),MATCH('Historical Shareweights'!AH274,TCO!$B$1:$AQ$1,0))</f>
        <v>#N/A</v>
      </c>
      <c r="AI279" t="e">
        <f>INDEX(TCO!$B$2:$AQ$85,MATCH('Historical Shareweights'!$A279,TCO!$A$2:$A$85,0),MATCH('Historical Shareweights'!AI274,TCO!$B$1:$AQ$1,0))</f>
        <v>#N/A</v>
      </c>
      <c r="AJ279" t="e">
        <f>INDEX(TCO!$B$2:$AQ$85,MATCH('Historical Shareweights'!$A279,TCO!$A$2:$A$85,0),MATCH('Historical Shareweights'!AJ274,TCO!$B$1:$AQ$1,0))</f>
        <v>#N/A</v>
      </c>
      <c r="AK279" t="e">
        <f>INDEX(TCO!$B$2:$AQ$85,MATCH('Historical Shareweights'!$A279,TCO!$A$2:$A$85,0),MATCH('Historical Shareweights'!AK274,TCO!$B$1:$AQ$1,0))</f>
        <v>#N/A</v>
      </c>
      <c r="AL279" t="e">
        <f>INDEX(TCO!$B$2:$AQ$85,MATCH('Historical Shareweights'!$A279,TCO!$A$2:$A$85,0),MATCH('Historical Shareweights'!AL274,TCO!$B$1:$AQ$1,0))</f>
        <v>#N/A</v>
      </c>
      <c r="AM279" t="e">
        <f>INDEX(TCO!$B$2:$AQ$85,MATCH('Historical Shareweights'!$A279,TCO!$A$2:$A$85,0),MATCH('Historical Shareweights'!AM274,TCO!$B$1:$AQ$1,0))</f>
        <v>#N/A</v>
      </c>
      <c r="AN279" t="e">
        <f>INDEX(TCO!$B$2:$AQ$85,MATCH('Historical Shareweights'!$A279,TCO!$A$2:$A$85,0),MATCH('Historical Shareweights'!AN274,TCO!$B$1:$AQ$1,0))</f>
        <v>#N/A</v>
      </c>
      <c r="AO279" t="e">
        <f>INDEX(TCO!$B$2:$AQ$85,MATCH('Historical Shareweights'!$A279,TCO!$A$2:$A$85,0),MATCH('Historical Shareweights'!AO274,TCO!$B$1:$AQ$1,0))</f>
        <v>#N/A</v>
      </c>
      <c r="AP279" t="e">
        <f>INDEX(TCO!$B$2:$AQ$85,MATCH('Historical Shareweights'!$A279,TCO!$A$2:$A$85,0),MATCH('Historical Shareweights'!AP274,TCO!$B$1:$AQ$1,0))</f>
        <v>#N/A</v>
      </c>
      <c r="AQ279" t="e">
        <f>INDEX(TCO!$B$2:$AQ$85,MATCH('Historical Shareweights'!$A279,TCO!$A$2:$A$85,0),MATCH('Historical Shareweights'!AQ274,TCO!$B$1:$AQ$1,0))</f>
        <v>#N/A</v>
      </c>
    </row>
    <row r="280" spans="1:43" hidden="1" outlineLevel="1" x14ac:dyDescent="0.15">
      <c r="A280" t="s">
        <v>1149</v>
      </c>
      <c r="B280" t="e">
        <f>INDEX(TCO!$B$2:$AQ$85,MATCH('Historical Shareweights'!$A280,TCO!$A$2:$A$85,0),MATCH('Historical Shareweights'!B274,TCO!$B$1:$AQ$1,0))</f>
        <v>#N/A</v>
      </c>
      <c r="C280" t="e">
        <f>INDEX(TCO!$B$2:$AQ$85,MATCH('Historical Shareweights'!$A280,TCO!$A$2:$A$85,0),MATCH('Historical Shareweights'!C274,TCO!$B$1:$AQ$1,0))</f>
        <v>#N/A</v>
      </c>
      <c r="D280" t="e">
        <f>INDEX(TCO!$B$2:$AQ$85,MATCH('Historical Shareweights'!$A280,TCO!$A$2:$A$85,0),MATCH('Historical Shareweights'!D274,TCO!$B$1:$AQ$1,0))</f>
        <v>#N/A</v>
      </c>
      <c r="E280" t="e">
        <f>INDEX(TCO!$B$2:$AQ$85,MATCH('Historical Shareweights'!$A280,TCO!$A$2:$A$85,0),MATCH('Historical Shareweights'!E274,TCO!$B$1:$AQ$1,0))</f>
        <v>#N/A</v>
      </c>
      <c r="F280" t="e">
        <f>INDEX(TCO!$B$2:$AQ$85,MATCH('Historical Shareweights'!$A280,TCO!$A$2:$A$85,0),MATCH('Historical Shareweights'!F274,TCO!$B$1:$AQ$1,0))</f>
        <v>#N/A</v>
      </c>
      <c r="G280" t="e">
        <f>INDEX(TCO!$B$2:$AQ$85,MATCH('Historical Shareweights'!$A280,TCO!$A$2:$A$85,0),MATCH('Historical Shareweights'!G274,TCO!$B$1:$AQ$1,0))</f>
        <v>#N/A</v>
      </c>
      <c r="H280" t="e">
        <f>INDEX(TCO!$B$2:$AQ$85,MATCH('Historical Shareweights'!$A280,TCO!$A$2:$A$85,0),MATCH('Historical Shareweights'!H274,TCO!$B$1:$AQ$1,0))</f>
        <v>#N/A</v>
      </c>
      <c r="I280" t="e">
        <f>INDEX(TCO!$B$2:$AQ$85,MATCH('Historical Shareweights'!$A280,TCO!$A$2:$A$85,0),MATCH('Historical Shareweights'!I274,TCO!$B$1:$AQ$1,0))</f>
        <v>#N/A</v>
      </c>
      <c r="J280" t="e">
        <f>INDEX(TCO!$B$2:$AQ$85,MATCH('Historical Shareweights'!$A280,TCO!$A$2:$A$85,0),MATCH('Historical Shareweights'!J274,TCO!$B$1:$AQ$1,0))</f>
        <v>#N/A</v>
      </c>
      <c r="K280" t="e">
        <f>INDEX(TCO!$B$2:$AQ$85,MATCH('Historical Shareweights'!$A280,TCO!$A$2:$A$85,0),MATCH('Historical Shareweights'!K274,TCO!$B$1:$AQ$1,0))</f>
        <v>#N/A</v>
      </c>
      <c r="L280" t="e">
        <f>INDEX(TCO!$B$2:$AQ$85,MATCH('Historical Shareweights'!$A280,TCO!$A$2:$A$85,0),MATCH('Historical Shareweights'!L274,TCO!$B$1:$AQ$1,0))</f>
        <v>#N/A</v>
      </c>
      <c r="M280" t="e">
        <f>INDEX(TCO!$B$2:$AQ$85,MATCH('Historical Shareweights'!$A280,TCO!$A$2:$A$85,0),MATCH('Historical Shareweights'!M274,TCO!$B$1:$AQ$1,0))</f>
        <v>#N/A</v>
      </c>
      <c r="N280" t="e">
        <f>INDEX(TCO!$B$2:$AQ$85,MATCH('Historical Shareweights'!$A280,TCO!$A$2:$A$85,0),MATCH('Historical Shareweights'!N274,TCO!$B$1:$AQ$1,0))</f>
        <v>#N/A</v>
      </c>
      <c r="O280" t="e">
        <f>INDEX(TCO!$B$2:$AQ$85,MATCH('Historical Shareweights'!$A280,TCO!$A$2:$A$85,0),MATCH('Historical Shareweights'!O274,TCO!$B$1:$AQ$1,0))</f>
        <v>#N/A</v>
      </c>
      <c r="P280" t="e">
        <f>INDEX(TCO!$B$2:$AQ$85,MATCH('Historical Shareweights'!$A280,TCO!$A$2:$A$85,0),MATCH('Historical Shareweights'!P274,TCO!$B$1:$AQ$1,0))</f>
        <v>#N/A</v>
      </c>
      <c r="Q280" t="e">
        <f>INDEX(TCO!$B$2:$AQ$85,MATCH('Historical Shareweights'!$A280,TCO!$A$2:$A$85,0),MATCH('Historical Shareweights'!Q274,TCO!$B$1:$AQ$1,0))</f>
        <v>#N/A</v>
      </c>
      <c r="R280" t="e">
        <f>INDEX(TCO!$B$2:$AQ$85,MATCH('Historical Shareweights'!$A280,TCO!$A$2:$A$85,0),MATCH('Historical Shareweights'!R274,TCO!$B$1:$AQ$1,0))</f>
        <v>#N/A</v>
      </c>
      <c r="S280" t="e">
        <f>INDEX(TCO!$B$2:$AQ$85,MATCH('Historical Shareweights'!$A280,TCO!$A$2:$A$85,0),MATCH('Historical Shareweights'!S274,TCO!$B$1:$AQ$1,0))</f>
        <v>#N/A</v>
      </c>
      <c r="T280" t="e">
        <f>INDEX(TCO!$B$2:$AQ$85,MATCH('Historical Shareweights'!$A280,TCO!$A$2:$A$85,0),MATCH('Historical Shareweights'!T274,TCO!$B$1:$AQ$1,0))</f>
        <v>#N/A</v>
      </c>
      <c r="U280" t="e">
        <f>INDEX(TCO!$B$2:$AQ$85,MATCH('Historical Shareweights'!$A280,TCO!$A$2:$A$85,0),MATCH('Historical Shareweights'!U274,TCO!$B$1:$AQ$1,0))</f>
        <v>#N/A</v>
      </c>
      <c r="V280" t="e">
        <f>INDEX(TCO!$B$2:$AQ$85,MATCH('Historical Shareweights'!$A280,TCO!$A$2:$A$85,0),MATCH('Historical Shareweights'!V274,TCO!$B$1:$AQ$1,0))</f>
        <v>#N/A</v>
      </c>
      <c r="W280" t="e">
        <f>INDEX(TCO!$B$2:$AQ$85,MATCH('Historical Shareweights'!$A280,TCO!$A$2:$A$85,0),MATCH('Historical Shareweights'!W274,TCO!$B$1:$AQ$1,0))</f>
        <v>#N/A</v>
      </c>
      <c r="X280" t="e">
        <f>INDEX(TCO!$B$2:$AQ$85,MATCH('Historical Shareweights'!$A280,TCO!$A$2:$A$85,0),MATCH('Historical Shareweights'!X274,TCO!$B$1:$AQ$1,0))</f>
        <v>#N/A</v>
      </c>
      <c r="Y280" t="e">
        <f>INDEX(TCO!$B$2:$AQ$85,MATCH('Historical Shareweights'!$A280,TCO!$A$2:$A$85,0),MATCH('Historical Shareweights'!Y274,TCO!$B$1:$AQ$1,0))</f>
        <v>#N/A</v>
      </c>
      <c r="Z280" t="e">
        <f>INDEX(TCO!$B$2:$AQ$85,MATCH('Historical Shareweights'!$A280,TCO!$A$2:$A$85,0),MATCH('Historical Shareweights'!Z274,TCO!$B$1:$AQ$1,0))</f>
        <v>#N/A</v>
      </c>
      <c r="AA280" t="e">
        <f>INDEX(TCO!$B$2:$AQ$85,MATCH('Historical Shareweights'!$A280,TCO!$A$2:$A$85,0),MATCH('Historical Shareweights'!AA274,TCO!$B$1:$AQ$1,0))</f>
        <v>#N/A</v>
      </c>
      <c r="AB280" t="e">
        <f>INDEX(TCO!$B$2:$AQ$85,MATCH('Historical Shareweights'!$A280,TCO!$A$2:$A$85,0),MATCH('Historical Shareweights'!AB274,TCO!$B$1:$AQ$1,0))</f>
        <v>#N/A</v>
      </c>
      <c r="AC280" t="e">
        <f>INDEX(TCO!$B$2:$AQ$85,MATCH('Historical Shareweights'!$A280,TCO!$A$2:$A$85,0),MATCH('Historical Shareweights'!AC274,TCO!$B$1:$AQ$1,0))</f>
        <v>#N/A</v>
      </c>
      <c r="AD280" t="e">
        <f>INDEX(TCO!$B$2:$AQ$85,MATCH('Historical Shareweights'!$A280,TCO!$A$2:$A$85,0),MATCH('Historical Shareweights'!AD274,TCO!$B$1:$AQ$1,0))</f>
        <v>#N/A</v>
      </c>
      <c r="AE280" t="e">
        <f>INDEX(TCO!$B$2:$AQ$85,MATCH('Historical Shareweights'!$A280,TCO!$A$2:$A$85,0),MATCH('Historical Shareweights'!AE274,TCO!$B$1:$AQ$1,0))</f>
        <v>#N/A</v>
      </c>
      <c r="AF280" t="e">
        <f>INDEX(TCO!$B$2:$AQ$85,MATCH('Historical Shareweights'!$A280,TCO!$A$2:$A$85,0),MATCH('Historical Shareweights'!AF274,TCO!$B$1:$AQ$1,0))</f>
        <v>#N/A</v>
      </c>
      <c r="AG280" t="e">
        <f>INDEX(TCO!$B$2:$AQ$85,MATCH('Historical Shareweights'!$A280,TCO!$A$2:$A$85,0),MATCH('Historical Shareweights'!AG274,TCO!$B$1:$AQ$1,0))</f>
        <v>#N/A</v>
      </c>
      <c r="AH280" t="e">
        <f>INDEX(TCO!$B$2:$AQ$85,MATCH('Historical Shareweights'!$A280,TCO!$A$2:$A$85,0),MATCH('Historical Shareweights'!AH274,TCO!$B$1:$AQ$1,0))</f>
        <v>#N/A</v>
      </c>
      <c r="AI280" t="e">
        <f>INDEX(TCO!$B$2:$AQ$85,MATCH('Historical Shareweights'!$A280,TCO!$A$2:$A$85,0),MATCH('Historical Shareweights'!AI274,TCO!$B$1:$AQ$1,0))</f>
        <v>#N/A</v>
      </c>
      <c r="AJ280" t="e">
        <f>INDEX(TCO!$B$2:$AQ$85,MATCH('Historical Shareweights'!$A280,TCO!$A$2:$A$85,0),MATCH('Historical Shareweights'!AJ274,TCO!$B$1:$AQ$1,0))</f>
        <v>#N/A</v>
      </c>
      <c r="AK280" t="e">
        <f>INDEX(TCO!$B$2:$AQ$85,MATCH('Historical Shareweights'!$A280,TCO!$A$2:$A$85,0),MATCH('Historical Shareweights'!AK274,TCO!$B$1:$AQ$1,0))</f>
        <v>#N/A</v>
      </c>
      <c r="AL280" t="e">
        <f>INDEX(TCO!$B$2:$AQ$85,MATCH('Historical Shareweights'!$A280,TCO!$A$2:$A$85,0),MATCH('Historical Shareweights'!AL274,TCO!$B$1:$AQ$1,0))</f>
        <v>#N/A</v>
      </c>
      <c r="AM280" t="e">
        <f>INDEX(TCO!$B$2:$AQ$85,MATCH('Historical Shareweights'!$A280,TCO!$A$2:$A$85,0),MATCH('Historical Shareweights'!AM274,TCO!$B$1:$AQ$1,0))</f>
        <v>#N/A</v>
      </c>
      <c r="AN280" t="e">
        <f>INDEX(TCO!$B$2:$AQ$85,MATCH('Historical Shareweights'!$A280,TCO!$A$2:$A$85,0),MATCH('Historical Shareweights'!AN274,TCO!$B$1:$AQ$1,0))</f>
        <v>#N/A</v>
      </c>
      <c r="AO280" t="e">
        <f>INDEX(TCO!$B$2:$AQ$85,MATCH('Historical Shareweights'!$A280,TCO!$A$2:$A$85,0),MATCH('Historical Shareweights'!AO274,TCO!$B$1:$AQ$1,0))</f>
        <v>#N/A</v>
      </c>
      <c r="AP280" t="e">
        <f>INDEX(TCO!$B$2:$AQ$85,MATCH('Historical Shareweights'!$A280,TCO!$A$2:$A$85,0),MATCH('Historical Shareweights'!AP274,TCO!$B$1:$AQ$1,0))</f>
        <v>#N/A</v>
      </c>
      <c r="AQ280" t="e">
        <f>INDEX(TCO!$B$2:$AQ$85,MATCH('Historical Shareweights'!$A280,TCO!$A$2:$A$85,0),MATCH('Historical Shareweights'!AQ274,TCO!$B$1:$AQ$1,0))</f>
        <v>#N/A</v>
      </c>
    </row>
    <row r="281" spans="1:43" hidden="1" outlineLevel="1" x14ac:dyDescent="0.15">
      <c r="A281" t="s">
        <v>1150</v>
      </c>
      <c r="B281" t="e">
        <f>INDEX(TCO!$B$2:$AQ$85,MATCH('Historical Shareweights'!$A281,TCO!$A$2:$A$85,0),MATCH('Historical Shareweights'!B274,TCO!$B$1:$AQ$1,0))</f>
        <v>#N/A</v>
      </c>
      <c r="C281" t="e">
        <f>INDEX(TCO!$B$2:$AQ$85,MATCH('Historical Shareweights'!$A281,TCO!$A$2:$A$85,0),MATCH('Historical Shareweights'!C274,TCO!$B$1:$AQ$1,0))</f>
        <v>#N/A</v>
      </c>
      <c r="D281" t="e">
        <f>INDEX(TCO!$B$2:$AQ$85,MATCH('Historical Shareweights'!$A281,TCO!$A$2:$A$85,0),MATCH('Historical Shareweights'!D274,TCO!$B$1:$AQ$1,0))</f>
        <v>#N/A</v>
      </c>
      <c r="E281" t="e">
        <f>INDEX(TCO!$B$2:$AQ$85,MATCH('Historical Shareweights'!$A281,TCO!$A$2:$A$85,0),MATCH('Historical Shareweights'!E274,TCO!$B$1:$AQ$1,0))</f>
        <v>#N/A</v>
      </c>
      <c r="F281" t="e">
        <f>INDEX(TCO!$B$2:$AQ$85,MATCH('Historical Shareweights'!$A281,TCO!$A$2:$A$85,0),MATCH('Historical Shareweights'!F274,TCO!$B$1:$AQ$1,0))</f>
        <v>#N/A</v>
      </c>
      <c r="G281" t="e">
        <f>INDEX(TCO!$B$2:$AQ$85,MATCH('Historical Shareweights'!$A281,TCO!$A$2:$A$85,0),MATCH('Historical Shareweights'!G274,TCO!$B$1:$AQ$1,0))</f>
        <v>#N/A</v>
      </c>
      <c r="H281" t="e">
        <f>INDEX(TCO!$B$2:$AQ$85,MATCH('Historical Shareweights'!$A281,TCO!$A$2:$A$85,0),MATCH('Historical Shareweights'!H274,TCO!$B$1:$AQ$1,0))</f>
        <v>#N/A</v>
      </c>
      <c r="I281" t="e">
        <f>INDEX(TCO!$B$2:$AQ$85,MATCH('Historical Shareweights'!$A281,TCO!$A$2:$A$85,0),MATCH('Historical Shareweights'!I274,TCO!$B$1:$AQ$1,0))</f>
        <v>#N/A</v>
      </c>
      <c r="J281" t="e">
        <f>INDEX(TCO!$B$2:$AQ$85,MATCH('Historical Shareweights'!$A281,TCO!$A$2:$A$85,0),MATCH('Historical Shareweights'!J274,TCO!$B$1:$AQ$1,0))</f>
        <v>#N/A</v>
      </c>
      <c r="K281" t="e">
        <f>INDEX(TCO!$B$2:$AQ$85,MATCH('Historical Shareweights'!$A281,TCO!$A$2:$A$85,0),MATCH('Historical Shareweights'!K274,TCO!$B$1:$AQ$1,0))</f>
        <v>#N/A</v>
      </c>
      <c r="L281" t="e">
        <f>INDEX(TCO!$B$2:$AQ$85,MATCH('Historical Shareweights'!$A281,TCO!$A$2:$A$85,0),MATCH('Historical Shareweights'!L274,TCO!$B$1:$AQ$1,0))</f>
        <v>#N/A</v>
      </c>
      <c r="M281" t="e">
        <f>INDEX(TCO!$B$2:$AQ$85,MATCH('Historical Shareweights'!$A281,TCO!$A$2:$A$85,0),MATCH('Historical Shareweights'!M274,TCO!$B$1:$AQ$1,0))</f>
        <v>#N/A</v>
      </c>
      <c r="N281" t="e">
        <f>INDEX(TCO!$B$2:$AQ$85,MATCH('Historical Shareweights'!$A281,TCO!$A$2:$A$85,0),MATCH('Historical Shareweights'!N274,TCO!$B$1:$AQ$1,0))</f>
        <v>#N/A</v>
      </c>
      <c r="O281" t="e">
        <f>INDEX(TCO!$B$2:$AQ$85,MATCH('Historical Shareweights'!$A281,TCO!$A$2:$A$85,0),MATCH('Historical Shareweights'!O274,TCO!$B$1:$AQ$1,0))</f>
        <v>#N/A</v>
      </c>
      <c r="P281" t="e">
        <f>INDEX(TCO!$B$2:$AQ$85,MATCH('Historical Shareweights'!$A281,TCO!$A$2:$A$85,0),MATCH('Historical Shareweights'!P274,TCO!$B$1:$AQ$1,0))</f>
        <v>#N/A</v>
      </c>
      <c r="Q281" t="e">
        <f>INDEX(TCO!$B$2:$AQ$85,MATCH('Historical Shareweights'!$A281,TCO!$A$2:$A$85,0),MATCH('Historical Shareweights'!Q274,TCO!$B$1:$AQ$1,0))</f>
        <v>#N/A</v>
      </c>
      <c r="R281" t="e">
        <f>INDEX(TCO!$B$2:$AQ$85,MATCH('Historical Shareweights'!$A281,TCO!$A$2:$A$85,0),MATCH('Historical Shareweights'!R274,TCO!$B$1:$AQ$1,0))</f>
        <v>#N/A</v>
      </c>
      <c r="S281" t="e">
        <f>INDEX(TCO!$B$2:$AQ$85,MATCH('Historical Shareweights'!$A281,TCO!$A$2:$A$85,0),MATCH('Historical Shareweights'!S274,TCO!$B$1:$AQ$1,0))</f>
        <v>#N/A</v>
      </c>
      <c r="T281" t="e">
        <f>INDEX(TCO!$B$2:$AQ$85,MATCH('Historical Shareweights'!$A281,TCO!$A$2:$A$85,0),MATCH('Historical Shareweights'!T274,TCO!$B$1:$AQ$1,0))</f>
        <v>#N/A</v>
      </c>
      <c r="U281" t="e">
        <f>INDEX(TCO!$B$2:$AQ$85,MATCH('Historical Shareweights'!$A281,TCO!$A$2:$A$85,0),MATCH('Historical Shareweights'!U274,TCO!$B$1:$AQ$1,0))</f>
        <v>#N/A</v>
      </c>
      <c r="V281" t="e">
        <f>INDEX(TCO!$B$2:$AQ$85,MATCH('Historical Shareweights'!$A281,TCO!$A$2:$A$85,0),MATCH('Historical Shareweights'!V274,TCO!$B$1:$AQ$1,0))</f>
        <v>#N/A</v>
      </c>
      <c r="W281" t="e">
        <f>INDEX(TCO!$B$2:$AQ$85,MATCH('Historical Shareweights'!$A281,TCO!$A$2:$A$85,0),MATCH('Historical Shareweights'!W274,TCO!$B$1:$AQ$1,0))</f>
        <v>#N/A</v>
      </c>
      <c r="X281" t="e">
        <f>INDEX(TCO!$B$2:$AQ$85,MATCH('Historical Shareweights'!$A281,TCO!$A$2:$A$85,0),MATCH('Historical Shareweights'!X274,TCO!$B$1:$AQ$1,0))</f>
        <v>#N/A</v>
      </c>
      <c r="Y281" t="e">
        <f>INDEX(TCO!$B$2:$AQ$85,MATCH('Historical Shareweights'!$A281,TCO!$A$2:$A$85,0),MATCH('Historical Shareweights'!Y274,TCO!$B$1:$AQ$1,0))</f>
        <v>#N/A</v>
      </c>
      <c r="Z281" t="e">
        <f>INDEX(TCO!$B$2:$AQ$85,MATCH('Historical Shareweights'!$A281,TCO!$A$2:$A$85,0),MATCH('Historical Shareweights'!Z274,TCO!$B$1:$AQ$1,0))</f>
        <v>#N/A</v>
      </c>
      <c r="AA281" t="e">
        <f>INDEX(TCO!$B$2:$AQ$85,MATCH('Historical Shareweights'!$A281,TCO!$A$2:$A$85,0),MATCH('Historical Shareweights'!AA274,TCO!$B$1:$AQ$1,0))</f>
        <v>#N/A</v>
      </c>
      <c r="AB281" t="e">
        <f>INDEX(TCO!$B$2:$AQ$85,MATCH('Historical Shareweights'!$A281,TCO!$A$2:$A$85,0),MATCH('Historical Shareweights'!AB274,TCO!$B$1:$AQ$1,0))</f>
        <v>#N/A</v>
      </c>
      <c r="AC281" t="e">
        <f>INDEX(TCO!$B$2:$AQ$85,MATCH('Historical Shareweights'!$A281,TCO!$A$2:$A$85,0),MATCH('Historical Shareweights'!AC274,TCO!$B$1:$AQ$1,0))</f>
        <v>#N/A</v>
      </c>
      <c r="AD281" t="e">
        <f>INDEX(TCO!$B$2:$AQ$85,MATCH('Historical Shareweights'!$A281,TCO!$A$2:$A$85,0),MATCH('Historical Shareweights'!AD274,TCO!$B$1:$AQ$1,0))</f>
        <v>#N/A</v>
      </c>
      <c r="AE281" t="e">
        <f>INDEX(TCO!$B$2:$AQ$85,MATCH('Historical Shareweights'!$A281,TCO!$A$2:$A$85,0),MATCH('Historical Shareweights'!AE274,TCO!$B$1:$AQ$1,0))</f>
        <v>#N/A</v>
      </c>
      <c r="AF281" t="e">
        <f>INDEX(TCO!$B$2:$AQ$85,MATCH('Historical Shareweights'!$A281,TCO!$A$2:$A$85,0),MATCH('Historical Shareweights'!AF274,TCO!$B$1:$AQ$1,0))</f>
        <v>#N/A</v>
      </c>
      <c r="AG281" t="e">
        <f>INDEX(TCO!$B$2:$AQ$85,MATCH('Historical Shareweights'!$A281,TCO!$A$2:$A$85,0),MATCH('Historical Shareweights'!AG274,TCO!$B$1:$AQ$1,0))</f>
        <v>#N/A</v>
      </c>
      <c r="AH281" t="e">
        <f>INDEX(TCO!$B$2:$AQ$85,MATCH('Historical Shareweights'!$A281,TCO!$A$2:$A$85,0),MATCH('Historical Shareweights'!AH274,TCO!$B$1:$AQ$1,0))</f>
        <v>#N/A</v>
      </c>
      <c r="AI281" t="e">
        <f>INDEX(TCO!$B$2:$AQ$85,MATCH('Historical Shareweights'!$A281,TCO!$A$2:$A$85,0),MATCH('Historical Shareweights'!AI274,TCO!$B$1:$AQ$1,0))</f>
        <v>#N/A</v>
      </c>
      <c r="AJ281" t="e">
        <f>INDEX(TCO!$B$2:$AQ$85,MATCH('Historical Shareweights'!$A281,TCO!$A$2:$A$85,0),MATCH('Historical Shareweights'!AJ274,TCO!$B$1:$AQ$1,0))</f>
        <v>#N/A</v>
      </c>
      <c r="AK281" t="e">
        <f>INDEX(TCO!$B$2:$AQ$85,MATCH('Historical Shareweights'!$A281,TCO!$A$2:$A$85,0),MATCH('Historical Shareweights'!AK274,TCO!$B$1:$AQ$1,0))</f>
        <v>#N/A</v>
      </c>
      <c r="AL281" t="e">
        <f>INDEX(TCO!$B$2:$AQ$85,MATCH('Historical Shareweights'!$A281,TCO!$A$2:$A$85,0),MATCH('Historical Shareweights'!AL274,TCO!$B$1:$AQ$1,0))</f>
        <v>#N/A</v>
      </c>
      <c r="AM281" t="e">
        <f>INDEX(TCO!$B$2:$AQ$85,MATCH('Historical Shareweights'!$A281,TCO!$A$2:$A$85,0),MATCH('Historical Shareweights'!AM274,TCO!$B$1:$AQ$1,0))</f>
        <v>#N/A</v>
      </c>
      <c r="AN281" t="e">
        <f>INDEX(TCO!$B$2:$AQ$85,MATCH('Historical Shareweights'!$A281,TCO!$A$2:$A$85,0),MATCH('Historical Shareweights'!AN274,TCO!$B$1:$AQ$1,0))</f>
        <v>#N/A</v>
      </c>
      <c r="AO281" t="e">
        <f>INDEX(TCO!$B$2:$AQ$85,MATCH('Historical Shareweights'!$A281,TCO!$A$2:$A$85,0),MATCH('Historical Shareweights'!AO274,TCO!$B$1:$AQ$1,0))</f>
        <v>#N/A</v>
      </c>
      <c r="AP281" t="e">
        <f>INDEX(TCO!$B$2:$AQ$85,MATCH('Historical Shareweights'!$A281,TCO!$A$2:$A$85,0),MATCH('Historical Shareweights'!AP274,TCO!$B$1:$AQ$1,0))</f>
        <v>#N/A</v>
      </c>
      <c r="AQ281" t="e">
        <f>INDEX(TCO!$B$2:$AQ$85,MATCH('Historical Shareweights'!$A281,TCO!$A$2:$A$85,0),MATCH('Historical Shareweights'!AQ274,TCO!$B$1:$AQ$1,0))</f>
        <v>#N/A</v>
      </c>
    </row>
    <row r="282" spans="1:43" hidden="1" outlineLevel="1" x14ac:dyDescent="0.15"/>
    <row r="283" spans="1:43" ht="13.6" hidden="1" outlineLevel="1" thickBot="1" x14ac:dyDescent="0.2">
      <c r="A283" s="1" t="s">
        <v>1101</v>
      </c>
      <c r="B283" s="175">
        <v>2023</v>
      </c>
    </row>
    <row r="284" spans="1:43" hidden="1" outlineLevel="1" x14ac:dyDescent="0.15"/>
    <row r="285" spans="1:43" hidden="1" outlineLevel="1" x14ac:dyDescent="0.15">
      <c r="A285" s="1" t="s">
        <v>1102</v>
      </c>
    </row>
    <row r="286" spans="1:43" hidden="1" outlineLevel="1" x14ac:dyDescent="0.15">
      <c r="B286" t="s">
        <v>1103</v>
      </c>
      <c r="C286" t="s">
        <v>1104</v>
      </c>
      <c r="D286" t="s">
        <v>1105</v>
      </c>
      <c r="E286" t="s">
        <v>1106</v>
      </c>
      <c r="F286" t="s">
        <v>1107</v>
      </c>
      <c r="G286" t="s">
        <v>1108</v>
      </c>
    </row>
    <row r="287" spans="1:43" hidden="1" outlineLevel="1" x14ac:dyDescent="0.15">
      <c r="A287" t="s">
        <v>1084</v>
      </c>
      <c r="B287" s="179">
        <v>0.21978933829510275</v>
      </c>
      <c r="C287" t="e" cm="1">
        <f t="array" ref="C287">INDEX($B275:$AQ275,,MATCH($B283,$B274:$AQ274,0))/10^6</f>
        <v>#N/A</v>
      </c>
      <c r="D287" s="176" t="e">
        <f>B287*EXP(C287*$B271)</f>
        <v>#N/A</v>
      </c>
      <c r="E287" s="171" t="e">
        <f>D287/SUM($D287:$D293)</f>
        <v>#N/A</v>
      </c>
      <c r="F287" s="177">
        <f>INDEX($B262:$F268,MATCH(A287,$A262:$A268,0),MATCH($B283,$B261:$F261,0))</f>
        <v>0</v>
      </c>
      <c r="G287" s="178" t="e">
        <f>ABS(F287-E287)</f>
        <v>#N/A</v>
      </c>
    </row>
    <row r="288" spans="1:43" hidden="1" outlineLevel="1" x14ac:dyDescent="0.15">
      <c r="A288" t="s">
        <v>1086</v>
      </c>
      <c r="B288" s="179">
        <v>8.3420557334751508E-12</v>
      </c>
      <c r="C288" t="e" cm="1">
        <f t="array" ref="C288">INDEX($B276:$AQ276,,MATCH($B283,$B274:$AQ274,0))/10^6</f>
        <v>#N/A</v>
      </c>
      <c r="D288" s="176" t="e">
        <f>B288*EXP(C288*$B271)</f>
        <v>#N/A</v>
      </c>
      <c r="E288" s="171" t="e">
        <f>D288/SUM($D287:$D293)</f>
        <v>#N/A</v>
      </c>
      <c r="F288" s="177">
        <f>INDEX($B262:$F268,MATCH(A288,$A262:$A268,0),MATCH($B283,$B261:$F261,0))</f>
        <v>0</v>
      </c>
      <c r="G288" s="178" t="e">
        <f t="shared" ref="G288:G293" si="43">ABS(F288-E288)</f>
        <v>#N/A</v>
      </c>
    </row>
    <row r="289" spans="1:7" hidden="1" outlineLevel="1" x14ac:dyDescent="0.15">
      <c r="A289" t="s">
        <v>1088</v>
      </c>
      <c r="B289" s="179">
        <v>0.999999999995829</v>
      </c>
      <c r="C289" t="e" cm="1">
        <f t="array" ref="C289">INDEX($B277:$AQ277,,MATCH($B283,$B274:$AQ274,0))/10^6</f>
        <v>#N/A</v>
      </c>
      <c r="D289" s="176" t="e">
        <f>B289*EXP(C289*$B271)</f>
        <v>#N/A</v>
      </c>
      <c r="E289" s="171" t="e">
        <f>D289/SUM($D287:$D293)</f>
        <v>#N/A</v>
      </c>
      <c r="F289" s="177">
        <f>INDEX($B262:$F268,MATCH(A289,$A262:$A268,0),MATCH($B283,$B261:$F261,0))</f>
        <v>0</v>
      </c>
      <c r="G289" s="178" t="e">
        <f t="shared" si="43"/>
        <v>#N/A</v>
      </c>
    </row>
    <row r="290" spans="1:7" hidden="1" outlineLevel="1" x14ac:dyDescent="0.15">
      <c r="A290" t="s">
        <v>408</v>
      </c>
      <c r="B290" s="179">
        <v>8.3420557334751508E-12</v>
      </c>
      <c r="C290" t="e" cm="1">
        <f t="array" ref="C290">INDEX($B278:$AQ278,,MATCH($B283,$B274:$AQ274,0))/10^6</f>
        <v>#N/A</v>
      </c>
      <c r="D290" s="176" t="e">
        <f>B290*EXP(C290*$B271)</f>
        <v>#N/A</v>
      </c>
      <c r="E290" s="171" t="e">
        <f>D290/SUM($D287:$D293)</f>
        <v>#N/A</v>
      </c>
      <c r="F290" s="177">
        <f>INDEX($B262:$F268,MATCH(A290,$A262:$A268,0),MATCH($B283,$B261:$F261,0))</f>
        <v>1</v>
      </c>
      <c r="G290" s="178" t="e">
        <f t="shared" si="43"/>
        <v>#N/A</v>
      </c>
    </row>
    <row r="291" spans="1:7" hidden="1" outlineLevel="1" x14ac:dyDescent="0.15">
      <c r="A291" t="s">
        <v>1089</v>
      </c>
      <c r="B291" s="179">
        <v>4.9482988986483461E-3</v>
      </c>
      <c r="C291" t="e" cm="1">
        <f t="array" ref="C291">INDEX($B279:$AQ279,,MATCH($B283,$B274:$AQ274,0))/10^6</f>
        <v>#N/A</v>
      </c>
      <c r="D291" s="176" t="e">
        <f>B291*EXP(C291*$B271)</f>
        <v>#N/A</v>
      </c>
      <c r="E291" s="171" t="e">
        <f>D291/SUM($D287:$D293)</f>
        <v>#N/A</v>
      </c>
      <c r="F291" s="177">
        <f>INDEX($B262:$F268,MATCH(A291,$A262:$A268,0),MATCH($B283,$B261:$F261,0))</f>
        <v>0</v>
      </c>
      <c r="G291" s="178" t="e">
        <f t="shared" si="43"/>
        <v>#N/A</v>
      </c>
    </row>
    <row r="292" spans="1:7" hidden="1" outlineLevel="1" x14ac:dyDescent="0.15">
      <c r="A292" t="s">
        <v>1090</v>
      </c>
      <c r="B292" s="179">
        <v>8.3420557334751508E-12</v>
      </c>
      <c r="C292" t="e" cm="1">
        <f t="array" ref="C292">INDEX($B280:$AQ280,,MATCH($B283,$B274:$AQ274,0))/10^6</f>
        <v>#N/A</v>
      </c>
      <c r="D292" s="176" t="e">
        <f>B292*EXP(C292*$B271)</f>
        <v>#N/A</v>
      </c>
      <c r="E292" s="171" t="e">
        <f>D292/SUM($D287:$D293)</f>
        <v>#N/A</v>
      </c>
      <c r="F292" s="177">
        <f>INDEX($B262:$F268,MATCH(A292,$A262:$A268,0),MATCH($B283,$B261:$F261,0))</f>
        <v>0</v>
      </c>
      <c r="G292" s="178" t="e">
        <f t="shared" si="43"/>
        <v>#N/A</v>
      </c>
    </row>
    <row r="293" spans="1:7" hidden="1" outlineLevel="1" x14ac:dyDescent="0.15">
      <c r="A293" t="s">
        <v>1091</v>
      </c>
      <c r="B293" s="179">
        <v>0</v>
      </c>
      <c r="C293" t="e" cm="1">
        <f t="array" ref="C293">INDEX($B281:$AQ281,,MATCH($B283,$B274:$AQ274,0))/10^6</f>
        <v>#N/A</v>
      </c>
      <c r="D293" s="176" t="e">
        <f>B293*EXP(C293*$B271)</f>
        <v>#N/A</v>
      </c>
      <c r="E293" s="171" t="e">
        <f>D293/SUM($D287:$D293)</f>
        <v>#N/A</v>
      </c>
      <c r="F293" s="177">
        <f>INDEX($B262:$F268,MATCH(A293,$A262:$A268,0),MATCH($B283,$B261:$F261,0))</f>
        <v>0</v>
      </c>
      <c r="G293" s="178" t="e">
        <f t="shared" si="43"/>
        <v>#N/A</v>
      </c>
    </row>
    <row r="294" spans="1:7" hidden="1" outlineLevel="1" x14ac:dyDescent="0.15">
      <c r="G294" s="178"/>
    </row>
    <row r="295" spans="1:7" hidden="1" outlineLevel="1" x14ac:dyDescent="0.15">
      <c r="F295" s="1" t="s">
        <v>1109</v>
      </c>
      <c r="G295" s="179" t="e">
        <f>SUM(G287:G293)</f>
        <v>#N/A</v>
      </c>
    </row>
    <row r="296" spans="1:7" hidden="1" outlineLevel="1" x14ac:dyDescent="0.15"/>
    <row r="297" spans="1:7" hidden="1" outlineLevel="1" x14ac:dyDescent="0.15">
      <c r="A297" s="1" t="s">
        <v>1110</v>
      </c>
      <c r="B297">
        <v>2019</v>
      </c>
      <c r="C297">
        <v>2020</v>
      </c>
      <c r="D297">
        <v>2021</v>
      </c>
      <c r="E297">
        <v>2022</v>
      </c>
      <c r="F297">
        <v>2023</v>
      </c>
    </row>
    <row r="298" spans="1:7" hidden="1" outlineLevel="1" x14ac:dyDescent="0.15">
      <c r="A298" t="s">
        <v>1084</v>
      </c>
      <c r="B298" s="179">
        <v>0</v>
      </c>
      <c r="C298" s="179">
        <v>0</v>
      </c>
      <c r="D298" s="179">
        <v>0</v>
      </c>
      <c r="E298" s="179">
        <v>0</v>
      </c>
      <c r="F298" s="179">
        <v>0</v>
      </c>
    </row>
    <row r="299" spans="1:7" hidden="1" outlineLevel="1" x14ac:dyDescent="0.15">
      <c r="A299" t="s">
        <v>1086</v>
      </c>
      <c r="B299" s="179">
        <v>8.3420557334751508E-12</v>
      </c>
      <c r="C299" s="179">
        <v>8.3420557334751508E-12</v>
      </c>
      <c r="D299" s="179">
        <v>8.3420557334751508E-12</v>
      </c>
      <c r="E299" s="179">
        <v>8.3420557334751508E-12</v>
      </c>
      <c r="F299" s="179">
        <v>8.3420557334751508E-12</v>
      </c>
    </row>
    <row r="300" spans="1:7" hidden="1" outlineLevel="1" x14ac:dyDescent="0.15">
      <c r="A300" t="s">
        <v>1088</v>
      </c>
      <c r="B300" s="179">
        <v>0</v>
      </c>
      <c r="C300" s="179">
        <v>0</v>
      </c>
      <c r="D300" s="179">
        <v>0</v>
      </c>
      <c r="E300" s="179">
        <v>0</v>
      </c>
      <c r="F300" s="179">
        <v>0</v>
      </c>
    </row>
    <row r="301" spans="1:7" hidden="1" outlineLevel="1" x14ac:dyDescent="0.15">
      <c r="A301" t="s">
        <v>408</v>
      </c>
      <c r="B301" s="179">
        <v>1</v>
      </c>
      <c r="C301" s="179">
        <v>1</v>
      </c>
      <c r="D301" s="179">
        <v>1</v>
      </c>
      <c r="E301" s="179">
        <v>1</v>
      </c>
      <c r="F301" s="179">
        <v>1</v>
      </c>
    </row>
    <row r="302" spans="1:7" hidden="1" outlineLevel="1" x14ac:dyDescent="0.15">
      <c r="A302" t="s">
        <v>1089</v>
      </c>
      <c r="B302" s="179">
        <v>0</v>
      </c>
      <c r="C302" s="179">
        <v>0</v>
      </c>
      <c r="D302" s="179">
        <v>0</v>
      </c>
      <c r="E302" s="179">
        <v>0</v>
      </c>
      <c r="F302" s="179">
        <v>0</v>
      </c>
    </row>
    <row r="303" spans="1:7" hidden="1" outlineLevel="1" x14ac:dyDescent="0.15">
      <c r="A303" t="s">
        <v>1090</v>
      </c>
      <c r="B303" s="179">
        <v>8.3420557334751508E-12</v>
      </c>
      <c r="C303" s="179">
        <v>8.3420557334751508E-12</v>
      </c>
      <c r="D303" s="179">
        <v>8.3420557334751508E-12</v>
      </c>
      <c r="E303" s="179">
        <v>8.3420557334751508E-12</v>
      </c>
      <c r="F303" s="179">
        <v>8.3420557334751508E-12</v>
      </c>
    </row>
    <row r="304" spans="1:7" hidden="1" outlineLevel="1" x14ac:dyDescent="0.15">
      <c r="A304" t="s">
        <v>1091</v>
      </c>
      <c r="B304" s="179">
        <v>0</v>
      </c>
      <c r="C304" s="179">
        <v>0</v>
      </c>
      <c r="D304" s="179">
        <v>0</v>
      </c>
      <c r="E304" s="179">
        <v>0</v>
      </c>
      <c r="F304" s="179">
        <v>0</v>
      </c>
    </row>
    <row r="305" spans="1:23" collapsed="1" x14ac:dyDescent="0.15"/>
    <row r="306" spans="1:23" s="170" customFormat="1" x14ac:dyDescent="0.15">
      <c r="A306" s="169" t="s">
        <v>1151</v>
      </c>
    </row>
    <row r="307" spans="1:23" hidden="1" outlineLevel="1" x14ac:dyDescent="0.15">
      <c r="A307" s="1"/>
      <c r="M307" t="s">
        <v>1152</v>
      </c>
      <c r="N307" t="s">
        <v>1084</v>
      </c>
      <c r="O307" t="s">
        <v>408</v>
      </c>
      <c r="P307" s="183" t="s">
        <v>1005</v>
      </c>
      <c r="Q307" s="183" t="s">
        <v>1153</v>
      </c>
      <c r="R307" s="183" t="s">
        <v>1154</v>
      </c>
      <c r="U307" t="s">
        <v>1155</v>
      </c>
    </row>
    <row r="308" spans="1:23" hidden="1" outlineLevel="1" x14ac:dyDescent="0.15">
      <c r="A308" s="1" t="s">
        <v>1082</v>
      </c>
      <c r="B308" s="1">
        <v>2019</v>
      </c>
      <c r="C308" s="1">
        <v>2020</v>
      </c>
      <c r="D308" s="1">
        <v>2021</v>
      </c>
      <c r="E308" s="1">
        <v>2022</v>
      </c>
      <c r="F308" s="1">
        <v>2023</v>
      </c>
      <c r="G308" s="1">
        <v>2024</v>
      </c>
      <c r="J308" t="s">
        <v>1156</v>
      </c>
      <c r="K308">
        <v>2018</v>
      </c>
      <c r="L308" t="s">
        <v>1157</v>
      </c>
      <c r="M308">
        <v>21000</v>
      </c>
      <c r="N308">
        <v>13000</v>
      </c>
      <c r="O308">
        <v>8000</v>
      </c>
      <c r="P308" s="183"/>
      <c r="Q308" s="183"/>
      <c r="R308" s="183"/>
      <c r="U308" s="184" t="s">
        <v>1158</v>
      </c>
    </row>
    <row r="309" spans="1:23" hidden="1" outlineLevel="1" x14ac:dyDescent="0.15">
      <c r="A309" t="s">
        <v>1084</v>
      </c>
      <c r="B309" s="171">
        <v>0.9</v>
      </c>
      <c r="C309" s="171">
        <v>0.9</v>
      </c>
      <c r="D309" s="171">
        <v>0.9</v>
      </c>
      <c r="E309" s="171">
        <v>0.9</v>
      </c>
      <c r="F309" s="171">
        <v>0.9</v>
      </c>
      <c r="G309" s="171">
        <v>0.9</v>
      </c>
      <c r="K309">
        <v>2019</v>
      </c>
      <c r="L309" t="s">
        <v>1159</v>
      </c>
      <c r="M309">
        <v>22000</v>
      </c>
      <c r="N309">
        <v>13700</v>
      </c>
      <c r="O309">
        <v>8000</v>
      </c>
      <c r="P309" s="183">
        <f>M309-M308</f>
        <v>1000</v>
      </c>
      <c r="Q309" s="183">
        <f>N309-N308</f>
        <v>700</v>
      </c>
      <c r="R309" s="183">
        <f>O309-O308</f>
        <v>0</v>
      </c>
      <c r="S309">
        <f>MIN(1,Q309/P309)</f>
        <v>0.7</v>
      </c>
      <c r="U309" s="184" t="s">
        <v>1160</v>
      </c>
    </row>
    <row r="310" spans="1:23" hidden="1" outlineLevel="1" x14ac:dyDescent="0.15">
      <c r="A310" t="s">
        <v>1086</v>
      </c>
      <c r="B310" s="172">
        <v>0</v>
      </c>
      <c r="C310" s="172">
        <v>0</v>
      </c>
      <c r="D310" s="172">
        <v>0</v>
      </c>
      <c r="E310" s="172">
        <v>0</v>
      </c>
      <c r="F310" s="172">
        <v>0</v>
      </c>
      <c r="G310" s="177"/>
      <c r="K310">
        <v>2020</v>
      </c>
      <c r="L310" t="s">
        <v>1161</v>
      </c>
      <c r="M310">
        <v>22000</v>
      </c>
      <c r="N310">
        <v>13800</v>
      </c>
      <c r="O310">
        <v>8000</v>
      </c>
      <c r="P310" s="183">
        <f t="shared" ref="P310:R314" si="44">M310-M309</f>
        <v>0</v>
      </c>
      <c r="Q310" s="183">
        <f t="shared" si="44"/>
        <v>100</v>
      </c>
      <c r="R310" s="183">
        <f t="shared" si="44"/>
        <v>0</v>
      </c>
      <c r="S310" t="e">
        <f t="shared" ref="S310:S314" si="45">MIN(1,Q310/P310)</f>
        <v>#DIV/0!</v>
      </c>
      <c r="U310" s="185">
        <v>2019</v>
      </c>
    </row>
    <row r="311" spans="1:23" hidden="1" outlineLevel="1" x14ac:dyDescent="0.15">
      <c r="A311" t="s">
        <v>1088</v>
      </c>
      <c r="B311" s="172">
        <v>0</v>
      </c>
      <c r="C311" s="172">
        <v>0</v>
      </c>
      <c r="D311" s="172">
        <v>0</v>
      </c>
      <c r="E311" s="172">
        <v>0</v>
      </c>
      <c r="F311" s="172">
        <v>0</v>
      </c>
      <c r="G311" s="177"/>
      <c r="K311">
        <v>2021</v>
      </c>
      <c r="L311" t="s">
        <v>1162</v>
      </c>
      <c r="M311">
        <v>21700</v>
      </c>
      <c r="N311">
        <v>13900</v>
      </c>
      <c r="O311">
        <v>7800</v>
      </c>
      <c r="P311" s="183">
        <f t="shared" si="44"/>
        <v>-300</v>
      </c>
      <c r="Q311" s="183">
        <f t="shared" si="44"/>
        <v>100</v>
      </c>
      <c r="R311" s="183">
        <f t="shared" si="44"/>
        <v>-200</v>
      </c>
      <c r="S311">
        <f t="shared" si="45"/>
        <v>-0.33333333333333331</v>
      </c>
      <c r="U311" s="186" t="s">
        <v>1163</v>
      </c>
    </row>
    <row r="312" spans="1:23" hidden="1" outlineLevel="1" x14ac:dyDescent="0.15">
      <c r="A312" t="s">
        <v>408</v>
      </c>
      <c r="B312" s="182">
        <f>1-B309</f>
        <v>9.9999999999999978E-2</v>
      </c>
      <c r="C312" s="182">
        <f t="shared" ref="C312:G312" si="46">1-C309</f>
        <v>9.9999999999999978E-2</v>
      </c>
      <c r="D312" s="182">
        <f t="shared" si="46"/>
        <v>9.9999999999999978E-2</v>
      </c>
      <c r="E312" s="182">
        <f t="shared" si="46"/>
        <v>9.9999999999999978E-2</v>
      </c>
      <c r="F312" s="182">
        <f t="shared" si="46"/>
        <v>9.9999999999999978E-2</v>
      </c>
      <c r="G312" s="182">
        <f t="shared" si="46"/>
        <v>9.9999999999999978E-2</v>
      </c>
      <c r="K312">
        <v>2022</v>
      </c>
      <c r="L312" t="s">
        <v>1164</v>
      </c>
      <c r="M312">
        <v>22100</v>
      </c>
      <c r="N312">
        <v>14200</v>
      </c>
      <c r="O312">
        <v>7800</v>
      </c>
      <c r="P312" s="183">
        <f t="shared" si="44"/>
        <v>400</v>
      </c>
      <c r="Q312" s="183">
        <f t="shared" si="44"/>
        <v>300</v>
      </c>
      <c r="R312" s="183">
        <f t="shared" si="44"/>
        <v>0</v>
      </c>
      <c r="S312">
        <f t="shared" si="45"/>
        <v>0.75</v>
      </c>
    </row>
    <row r="313" spans="1:23" ht="17.350000000000001" hidden="1" customHeight="1" outlineLevel="1" x14ac:dyDescent="0.15">
      <c r="A313" t="s">
        <v>1089</v>
      </c>
      <c r="B313" s="172">
        <v>0</v>
      </c>
      <c r="C313" s="172">
        <v>0</v>
      </c>
      <c r="D313" s="172">
        <v>0</v>
      </c>
      <c r="E313" s="172">
        <v>0</v>
      </c>
      <c r="F313" s="172">
        <v>0</v>
      </c>
      <c r="G313" s="177"/>
      <c r="K313">
        <v>2023</v>
      </c>
      <c r="L313" s="31" t="s">
        <v>1165</v>
      </c>
      <c r="M313">
        <v>22400</v>
      </c>
      <c r="N313">
        <v>14600</v>
      </c>
      <c r="O313">
        <v>7800</v>
      </c>
      <c r="P313" s="183">
        <f t="shared" si="44"/>
        <v>300</v>
      </c>
      <c r="Q313" s="183">
        <f t="shared" si="44"/>
        <v>400</v>
      </c>
      <c r="R313" s="183">
        <f t="shared" si="44"/>
        <v>0</v>
      </c>
      <c r="S313">
        <f t="shared" si="45"/>
        <v>1</v>
      </c>
      <c r="U313" s="235" t="s">
        <v>1166</v>
      </c>
      <c r="V313" s="235"/>
      <c r="W313" s="235"/>
    </row>
    <row r="314" spans="1:23" ht="14.3" hidden="1" customHeight="1" outlineLevel="1" x14ac:dyDescent="0.15">
      <c r="A314" t="s">
        <v>1090</v>
      </c>
      <c r="B314" s="172">
        <v>0</v>
      </c>
      <c r="C314" s="172">
        <v>0</v>
      </c>
      <c r="D314" s="172">
        <v>0</v>
      </c>
      <c r="E314" s="172">
        <v>0</v>
      </c>
      <c r="F314" s="172">
        <v>0</v>
      </c>
      <c r="G314" s="177"/>
      <c r="K314">
        <v>2024</v>
      </c>
      <c r="L314" t="s">
        <v>1167</v>
      </c>
      <c r="M314">
        <v>22500</v>
      </c>
      <c r="N314">
        <v>14700</v>
      </c>
      <c r="O314">
        <v>7800</v>
      </c>
      <c r="P314" s="183">
        <f t="shared" si="44"/>
        <v>100</v>
      </c>
      <c r="Q314" s="183">
        <f t="shared" si="44"/>
        <v>100</v>
      </c>
      <c r="R314" s="183">
        <f t="shared" si="44"/>
        <v>0</v>
      </c>
      <c r="S314">
        <f t="shared" si="45"/>
        <v>1</v>
      </c>
      <c r="U314" s="235"/>
      <c r="V314" s="235"/>
      <c r="W314" s="235"/>
    </row>
    <row r="315" spans="1:23" ht="14.3" hidden="1" customHeight="1" outlineLevel="1" x14ac:dyDescent="0.15">
      <c r="A315" t="s">
        <v>1091</v>
      </c>
      <c r="B315" s="172">
        <v>0</v>
      </c>
      <c r="C315" s="172">
        <v>0</v>
      </c>
      <c r="D315" s="172">
        <v>0</v>
      </c>
      <c r="E315" s="172">
        <v>0</v>
      </c>
      <c r="F315" s="172">
        <v>0</v>
      </c>
      <c r="G315" s="177"/>
      <c r="P315" s="187"/>
      <c r="Q315" s="187"/>
      <c r="S315">
        <f>AVERAGE(S309,S312,S313,S314)</f>
        <v>0.86250000000000004</v>
      </c>
      <c r="U315" s="235"/>
      <c r="V315" s="235"/>
      <c r="W315" s="235"/>
    </row>
    <row r="316" spans="1:23" hidden="1" outlineLevel="1" x14ac:dyDescent="0.15">
      <c r="A316" s="173" t="s">
        <v>1092</v>
      </c>
      <c r="B316" s="174">
        <f>SUM(B309:B315)</f>
        <v>1</v>
      </c>
      <c r="C316" s="174">
        <f t="shared" ref="C316:F316" si="47">SUM(C309:C315)</f>
        <v>1</v>
      </c>
      <c r="D316" s="174">
        <f t="shared" si="47"/>
        <v>1</v>
      </c>
      <c r="E316" s="174">
        <f t="shared" si="47"/>
        <v>1</v>
      </c>
      <c r="F316" s="174">
        <f t="shared" si="47"/>
        <v>1</v>
      </c>
      <c r="G316" s="177"/>
    </row>
    <row r="317" spans="1:23" hidden="1" outlineLevel="1" x14ac:dyDescent="0.15"/>
    <row r="318" spans="1:23" hidden="1" outlineLevel="1" x14ac:dyDescent="0.15">
      <c r="A318" s="1" t="s">
        <v>1093</v>
      </c>
      <c r="B318">
        <f>INDEX($B$11:$AQ$22,MATCH("*"&amp;A306&amp;"*",$A$11:$A$22,0),MATCH(B308,$B$10:$AQ$10,0))</f>
        <v>-3</v>
      </c>
    </row>
    <row r="319" spans="1:23" hidden="1" outlineLevel="1" x14ac:dyDescent="0.15"/>
    <row r="320" spans="1:23" hidden="1" outlineLevel="1" x14ac:dyDescent="0.15">
      <c r="A320" s="1" t="s">
        <v>1094</v>
      </c>
    </row>
    <row r="321" spans="1:43" hidden="1" outlineLevel="1" x14ac:dyDescent="0.15">
      <c r="A321" t="s">
        <v>1068</v>
      </c>
      <c r="B321">
        <v>2019</v>
      </c>
      <c r="C321">
        <v>2020</v>
      </c>
      <c r="D321">
        <v>2021</v>
      </c>
      <c r="E321">
        <v>2022</v>
      </c>
      <c r="F321">
        <v>2023</v>
      </c>
      <c r="G321">
        <v>2024</v>
      </c>
      <c r="H321">
        <v>2025</v>
      </c>
      <c r="I321">
        <v>2026</v>
      </c>
      <c r="J321">
        <v>2027</v>
      </c>
      <c r="K321">
        <v>2028</v>
      </c>
      <c r="L321">
        <v>2029</v>
      </c>
      <c r="M321">
        <v>2030</v>
      </c>
      <c r="N321">
        <v>2031</v>
      </c>
      <c r="O321">
        <v>2032</v>
      </c>
      <c r="P321">
        <v>2033</v>
      </c>
      <c r="Q321">
        <v>2034</v>
      </c>
      <c r="R321">
        <v>2035</v>
      </c>
      <c r="S321">
        <v>2036</v>
      </c>
      <c r="T321">
        <v>2037</v>
      </c>
      <c r="U321">
        <v>2038</v>
      </c>
      <c r="V321">
        <v>2039</v>
      </c>
      <c r="W321">
        <v>2040</v>
      </c>
      <c r="X321">
        <v>2041</v>
      </c>
      <c r="Y321">
        <v>2042</v>
      </c>
      <c r="Z321">
        <v>2043</v>
      </c>
      <c r="AA321">
        <v>2044</v>
      </c>
      <c r="AB321">
        <v>2045</v>
      </c>
      <c r="AC321">
        <v>2046</v>
      </c>
      <c r="AD321">
        <v>2047</v>
      </c>
      <c r="AE321">
        <v>2048</v>
      </c>
      <c r="AF321">
        <v>2049</v>
      </c>
      <c r="AG321">
        <v>2050</v>
      </c>
      <c r="AH321">
        <v>2051</v>
      </c>
      <c r="AI321">
        <v>2052</v>
      </c>
      <c r="AJ321">
        <v>2053</v>
      </c>
      <c r="AK321">
        <v>2054</v>
      </c>
      <c r="AL321">
        <v>2055</v>
      </c>
      <c r="AM321">
        <v>2056</v>
      </c>
      <c r="AN321">
        <v>2057</v>
      </c>
      <c r="AO321">
        <v>2058</v>
      </c>
      <c r="AP321">
        <v>2059</v>
      </c>
      <c r="AQ321">
        <v>2060</v>
      </c>
    </row>
    <row r="322" spans="1:43" hidden="1" outlineLevel="1" x14ac:dyDescent="0.15">
      <c r="A322" t="s">
        <v>1168</v>
      </c>
      <c r="B322">
        <f>INDEX(TCO!$B$2:$AQ$85,MATCH('Historical Shareweights'!$A322,TCO!$A$2:$A$85,0),MATCH('Historical Shareweights'!B321,TCO!$B$1:$AQ$1,0))</f>
        <v>26915000</v>
      </c>
      <c r="C322">
        <f>INDEX(TCO!$B$2:$AQ$85,MATCH('Historical Shareweights'!$A322,TCO!$A$2:$A$85,0),MATCH('Historical Shareweights'!C321,TCO!$B$1:$AQ$1,0))</f>
        <v>26915000</v>
      </c>
      <c r="D322">
        <f>INDEX(TCO!$B$2:$AQ$85,MATCH('Historical Shareweights'!$A322,TCO!$A$2:$A$85,0),MATCH('Historical Shareweights'!D321,TCO!$B$1:$AQ$1,0))</f>
        <v>26872100</v>
      </c>
      <c r="E322">
        <f>INDEX(TCO!$B$2:$AQ$85,MATCH('Historical Shareweights'!$A322,TCO!$A$2:$A$85,0),MATCH('Historical Shareweights'!E321,TCO!$B$1:$AQ$1,0))</f>
        <v>25922300</v>
      </c>
      <c r="F322">
        <f>INDEX(TCO!$B$2:$AQ$85,MATCH('Historical Shareweights'!$A322,TCO!$A$2:$A$85,0),MATCH('Historical Shareweights'!F321,TCO!$B$1:$AQ$1,0))</f>
        <v>27797200</v>
      </c>
      <c r="G322">
        <f>INDEX(TCO!$B$2:$AQ$85,MATCH('Historical Shareweights'!$A322,TCO!$A$2:$A$85,0),MATCH('Historical Shareweights'!G321,TCO!$B$1:$AQ$1,0))</f>
        <v>27684600</v>
      </c>
      <c r="H322">
        <f>INDEX(TCO!$B$2:$AQ$85,MATCH('Historical Shareweights'!$A322,TCO!$A$2:$A$85,0),MATCH('Historical Shareweights'!H321,TCO!$B$1:$AQ$1,0))</f>
        <v>27544000</v>
      </c>
      <c r="I322">
        <f>INDEX(TCO!$B$2:$AQ$85,MATCH('Historical Shareweights'!$A322,TCO!$A$2:$A$85,0),MATCH('Historical Shareweights'!I321,TCO!$B$1:$AQ$1,0))</f>
        <v>27341400</v>
      </c>
      <c r="J322">
        <f>INDEX(TCO!$B$2:$AQ$85,MATCH('Historical Shareweights'!$A322,TCO!$A$2:$A$85,0),MATCH('Historical Shareweights'!J321,TCO!$B$1:$AQ$1,0))</f>
        <v>27240900</v>
      </c>
      <c r="K322">
        <f>INDEX(TCO!$B$2:$AQ$85,MATCH('Historical Shareweights'!$A322,TCO!$A$2:$A$85,0),MATCH('Historical Shareweights'!K321,TCO!$B$1:$AQ$1,0))</f>
        <v>27174600</v>
      </c>
      <c r="L322">
        <f>INDEX(TCO!$B$2:$AQ$85,MATCH('Historical Shareweights'!$A322,TCO!$A$2:$A$85,0),MATCH('Historical Shareweights'!L321,TCO!$B$1:$AQ$1,0))</f>
        <v>27063000</v>
      </c>
      <c r="M322">
        <f>INDEX(TCO!$B$2:$AQ$85,MATCH('Historical Shareweights'!$A322,TCO!$A$2:$A$85,0),MATCH('Historical Shareweights'!M321,TCO!$B$1:$AQ$1,0))</f>
        <v>27022800</v>
      </c>
      <c r="N322">
        <f>INDEX(TCO!$B$2:$AQ$85,MATCH('Historical Shareweights'!$A322,TCO!$A$2:$A$85,0),MATCH('Historical Shareweights'!N321,TCO!$B$1:$AQ$1,0))</f>
        <v>26967100</v>
      </c>
      <c r="O322">
        <f>INDEX(TCO!$B$2:$AQ$85,MATCH('Historical Shareweights'!$A322,TCO!$A$2:$A$85,0),MATCH('Historical Shareweights'!O321,TCO!$B$1:$AQ$1,0))</f>
        <v>26959800</v>
      </c>
      <c r="P322">
        <f>INDEX(TCO!$B$2:$AQ$85,MATCH('Historical Shareweights'!$A322,TCO!$A$2:$A$85,0),MATCH('Historical Shareweights'!P321,TCO!$B$1:$AQ$1,0))</f>
        <v>26867900</v>
      </c>
      <c r="Q322">
        <f>INDEX(TCO!$B$2:$AQ$85,MATCH('Historical Shareweights'!$A322,TCO!$A$2:$A$85,0),MATCH('Historical Shareweights'!Q321,TCO!$B$1:$AQ$1,0))</f>
        <v>26823700</v>
      </c>
      <c r="R322">
        <f>INDEX(TCO!$B$2:$AQ$85,MATCH('Historical Shareweights'!$A322,TCO!$A$2:$A$85,0),MATCH('Historical Shareweights'!R321,TCO!$B$1:$AQ$1,0))</f>
        <v>26802400</v>
      </c>
      <c r="S322">
        <f>INDEX(TCO!$B$2:$AQ$85,MATCH('Historical Shareweights'!$A322,TCO!$A$2:$A$85,0),MATCH('Historical Shareweights'!S321,TCO!$B$1:$AQ$1,0))</f>
        <v>26761100</v>
      </c>
      <c r="T322">
        <f>INDEX(TCO!$B$2:$AQ$85,MATCH('Historical Shareweights'!$A322,TCO!$A$2:$A$85,0),MATCH('Historical Shareweights'!T321,TCO!$B$1:$AQ$1,0))</f>
        <v>26724000</v>
      </c>
      <c r="U322">
        <f>INDEX(TCO!$B$2:$AQ$85,MATCH('Historical Shareweights'!$A322,TCO!$A$2:$A$85,0),MATCH('Historical Shareweights'!U321,TCO!$B$1:$AQ$1,0))</f>
        <v>26710800</v>
      </c>
      <c r="V322">
        <f>INDEX(TCO!$B$2:$AQ$85,MATCH('Historical Shareweights'!$A322,TCO!$A$2:$A$85,0),MATCH('Historical Shareweights'!V321,TCO!$B$1:$AQ$1,0))</f>
        <v>26723200</v>
      </c>
      <c r="W322">
        <f>INDEX(TCO!$B$2:$AQ$85,MATCH('Historical Shareweights'!$A322,TCO!$A$2:$A$85,0),MATCH('Historical Shareweights'!W321,TCO!$B$1:$AQ$1,0))</f>
        <v>26710500</v>
      </c>
      <c r="X322">
        <f>INDEX(TCO!$B$2:$AQ$85,MATCH('Historical Shareweights'!$A322,TCO!$A$2:$A$85,0),MATCH('Historical Shareweights'!X321,TCO!$B$1:$AQ$1,0))</f>
        <v>26680900</v>
      </c>
      <c r="Y322">
        <f>INDEX(TCO!$B$2:$AQ$85,MATCH('Historical Shareweights'!$A322,TCO!$A$2:$A$85,0),MATCH('Historical Shareweights'!Y321,TCO!$B$1:$AQ$1,0))</f>
        <v>26672400</v>
      </c>
      <c r="Z322">
        <f>INDEX(TCO!$B$2:$AQ$85,MATCH('Historical Shareweights'!$A322,TCO!$A$2:$A$85,0),MATCH('Historical Shareweights'!Z321,TCO!$B$1:$AQ$1,0))</f>
        <v>26664800</v>
      </c>
      <c r="AA322">
        <f>INDEX(TCO!$B$2:$AQ$85,MATCH('Historical Shareweights'!$A322,TCO!$A$2:$A$85,0),MATCH('Historical Shareweights'!AA321,TCO!$B$1:$AQ$1,0))</f>
        <v>26655800</v>
      </c>
      <c r="AB322">
        <f>INDEX(TCO!$B$2:$AQ$85,MATCH('Historical Shareweights'!$A322,TCO!$A$2:$A$85,0),MATCH('Historical Shareweights'!AB321,TCO!$B$1:$AQ$1,0))</f>
        <v>26649500</v>
      </c>
      <c r="AC322">
        <f>INDEX(TCO!$B$2:$AQ$85,MATCH('Historical Shareweights'!$A322,TCO!$A$2:$A$85,0),MATCH('Historical Shareweights'!AC321,TCO!$B$1:$AQ$1,0))</f>
        <v>26623600</v>
      </c>
      <c r="AD322">
        <f>INDEX(TCO!$B$2:$AQ$85,MATCH('Historical Shareweights'!$A322,TCO!$A$2:$A$85,0),MATCH('Historical Shareweights'!AD321,TCO!$B$1:$AQ$1,0))</f>
        <v>26616300</v>
      </c>
      <c r="AE322">
        <f>INDEX(TCO!$B$2:$AQ$85,MATCH('Historical Shareweights'!$A322,TCO!$A$2:$A$85,0),MATCH('Historical Shareweights'!AE321,TCO!$B$1:$AQ$1,0))</f>
        <v>26611400</v>
      </c>
      <c r="AF322">
        <f>INDEX(TCO!$B$2:$AQ$85,MATCH('Historical Shareweights'!$A322,TCO!$A$2:$A$85,0),MATCH('Historical Shareweights'!AF321,TCO!$B$1:$AQ$1,0))</f>
        <v>26584700</v>
      </c>
      <c r="AG322">
        <f>INDEX(TCO!$B$2:$AQ$85,MATCH('Historical Shareweights'!$A322,TCO!$A$2:$A$85,0),MATCH('Historical Shareweights'!AG321,TCO!$B$1:$AQ$1,0))</f>
        <v>26580500</v>
      </c>
      <c r="AH322">
        <f>INDEX(TCO!$B$2:$AQ$85,MATCH('Historical Shareweights'!$A322,TCO!$A$2:$A$85,0),MATCH('Historical Shareweights'!AH321,TCO!$B$1:$AQ$1,0))</f>
        <v>26576500</v>
      </c>
      <c r="AI322">
        <f>INDEX(TCO!$B$2:$AQ$85,MATCH('Historical Shareweights'!$A322,TCO!$A$2:$A$85,0),MATCH('Historical Shareweights'!AI321,TCO!$B$1:$AQ$1,0))</f>
        <v>26550700</v>
      </c>
      <c r="AJ322">
        <f>INDEX(TCO!$B$2:$AQ$85,MATCH('Historical Shareweights'!$A322,TCO!$A$2:$A$85,0),MATCH('Historical Shareweights'!AJ321,TCO!$B$1:$AQ$1,0))</f>
        <v>26547200</v>
      </c>
      <c r="AK322">
        <f>INDEX(TCO!$B$2:$AQ$85,MATCH('Historical Shareweights'!$A322,TCO!$A$2:$A$85,0),MATCH('Historical Shareweights'!AK321,TCO!$B$1:$AQ$1,0))</f>
        <v>26542000</v>
      </c>
      <c r="AL322">
        <f>INDEX(TCO!$B$2:$AQ$85,MATCH('Historical Shareweights'!$A322,TCO!$A$2:$A$85,0),MATCH('Historical Shareweights'!AL321,TCO!$B$1:$AQ$1,0))</f>
        <v>26518800</v>
      </c>
      <c r="AM322">
        <f>INDEX(TCO!$B$2:$AQ$85,MATCH('Historical Shareweights'!$A322,TCO!$A$2:$A$85,0),MATCH('Historical Shareweights'!AM321,TCO!$B$1:$AQ$1,0))</f>
        <v>26515900</v>
      </c>
      <c r="AN322">
        <f>INDEX(TCO!$B$2:$AQ$85,MATCH('Historical Shareweights'!$A322,TCO!$A$2:$A$85,0),MATCH('Historical Shareweights'!AN321,TCO!$B$1:$AQ$1,0))</f>
        <v>26511100</v>
      </c>
      <c r="AO322">
        <f>INDEX(TCO!$B$2:$AQ$85,MATCH('Historical Shareweights'!$A322,TCO!$A$2:$A$85,0),MATCH('Historical Shareweights'!AO321,TCO!$B$1:$AQ$1,0))</f>
        <v>26488400</v>
      </c>
      <c r="AP322">
        <f>INDEX(TCO!$B$2:$AQ$85,MATCH('Historical Shareweights'!$A322,TCO!$A$2:$A$85,0),MATCH('Historical Shareweights'!AP321,TCO!$B$1:$AQ$1,0))</f>
        <v>26483900</v>
      </c>
      <c r="AQ322">
        <f>INDEX(TCO!$B$2:$AQ$85,MATCH('Historical Shareweights'!$A322,TCO!$A$2:$A$85,0),MATCH('Historical Shareweights'!AQ321,TCO!$B$1:$AQ$1,0))</f>
        <v>26481000</v>
      </c>
    </row>
    <row r="323" spans="1:43" hidden="1" outlineLevel="1" x14ac:dyDescent="0.15">
      <c r="A323" t="s">
        <v>1169</v>
      </c>
      <c r="B323">
        <f>INDEX(TCO!$B$2:$AQ$85,MATCH('Historical Shareweights'!$A323,TCO!$A$2:$A$85,0),MATCH('Historical Shareweights'!B321,TCO!$B$1:$AQ$1,0))</f>
        <v>28899500</v>
      </c>
      <c r="C323">
        <f>INDEX(TCO!$B$2:$AQ$85,MATCH('Historical Shareweights'!$A323,TCO!$A$2:$A$85,0),MATCH('Historical Shareweights'!C321,TCO!$B$1:$AQ$1,0))</f>
        <v>28899500</v>
      </c>
      <c r="D323">
        <f>INDEX(TCO!$B$2:$AQ$85,MATCH('Historical Shareweights'!$A323,TCO!$A$2:$A$85,0),MATCH('Historical Shareweights'!D321,TCO!$B$1:$AQ$1,0))</f>
        <v>28899500</v>
      </c>
      <c r="E323">
        <f>INDEX(TCO!$B$2:$AQ$85,MATCH('Historical Shareweights'!$A323,TCO!$A$2:$A$85,0),MATCH('Historical Shareweights'!E321,TCO!$B$1:$AQ$1,0))</f>
        <v>28899500</v>
      </c>
      <c r="F323">
        <f>INDEX(TCO!$B$2:$AQ$85,MATCH('Historical Shareweights'!$A323,TCO!$A$2:$A$85,0),MATCH('Historical Shareweights'!F321,TCO!$B$1:$AQ$1,0))</f>
        <v>28899500</v>
      </c>
      <c r="G323">
        <f>INDEX(TCO!$B$2:$AQ$85,MATCH('Historical Shareweights'!$A323,TCO!$A$2:$A$85,0),MATCH('Historical Shareweights'!G321,TCO!$B$1:$AQ$1,0))</f>
        <v>28899500</v>
      </c>
      <c r="H323">
        <f>INDEX(TCO!$B$2:$AQ$85,MATCH('Historical Shareweights'!$A323,TCO!$A$2:$A$85,0),MATCH('Historical Shareweights'!H321,TCO!$B$1:$AQ$1,0))</f>
        <v>28899500</v>
      </c>
      <c r="I323">
        <f>INDEX(TCO!$B$2:$AQ$85,MATCH('Historical Shareweights'!$A323,TCO!$A$2:$A$85,0),MATCH('Historical Shareweights'!I321,TCO!$B$1:$AQ$1,0))</f>
        <v>28899500</v>
      </c>
      <c r="J323">
        <f>INDEX(TCO!$B$2:$AQ$85,MATCH('Historical Shareweights'!$A323,TCO!$A$2:$A$85,0),MATCH('Historical Shareweights'!J321,TCO!$B$1:$AQ$1,0))</f>
        <v>28899500</v>
      </c>
      <c r="K323">
        <f>INDEX(TCO!$B$2:$AQ$85,MATCH('Historical Shareweights'!$A323,TCO!$A$2:$A$85,0),MATCH('Historical Shareweights'!K321,TCO!$B$1:$AQ$1,0))</f>
        <v>28899500</v>
      </c>
      <c r="L323">
        <f>INDEX(TCO!$B$2:$AQ$85,MATCH('Historical Shareweights'!$A323,TCO!$A$2:$A$85,0),MATCH('Historical Shareweights'!L321,TCO!$B$1:$AQ$1,0))</f>
        <v>28899500</v>
      </c>
      <c r="M323">
        <f>INDEX(TCO!$B$2:$AQ$85,MATCH('Historical Shareweights'!$A323,TCO!$A$2:$A$85,0),MATCH('Historical Shareweights'!M321,TCO!$B$1:$AQ$1,0))</f>
        <v>28899500</v>
      </c>
      <c r="N323">
        <f>INDEX(TCO!$B$2:$AQ$85,MATCH('Historical Shareweights'!$A323,TCO!$A$2:$A$85,0),MATCH('Historical Shareweights'!N321,TCO!$B$1:$AQ$1,0))</f>
        <v>28899500</v>
      </c>
      <c r="O323">
        <f>INDEX(TCO!$B$2:$AQ$85,MATCH('Historical Shareweights'!$A323,TCO!$A$2:$A$85,0),MATCH('Historical Shareweights'!O321,TCO!$B$1:$AQ$1,0))</f>
        <v>28899500</v>
      </c>
      <c r="P323">
        <f>INDEX(TCO!$B$2:$AQ$85,MATCH('Historical Shareweights'!$A323,TCO!$A$2:$A$85,0),MATCH('Historical Shareweights'!P321,TCO!$B$1:$AQ$1,0))</f>
        <v>28899500</v>
      </c>
      <c r="Q323">
        <f>INDEX(TCO!$B$2:$AQ$85,MATCH('Historical Shareweights'!$A323,TCO!$A$2:$A$85,0),MATCH('Historical Shareweights'!Q321,TCO!$B$1:$AQ$1,0))</f>
        <v>28899500</v>
      </c>
      <c r="R323">
        <f>INDEX(TCO!$B$2:$AQ$85,MATCH('Historical Shareweights'!$A323,TCO!$A$2:$A$85,0),MATCH('Historical Shareweights'!R321,TCO!$B$1:$AQ$1,0))</f>
        <v>28899500</v>
      </c>
      <c r="S323">
        <f>INDEX(TCO!$B$2:$AQ$85,MATCH('Historical Shareweights'!$A323,TCO!$A$2:$A$85,0),MATCH('Historical Shareweights'!S321,TCO!$B$1:$AQ$1,0))</f>
        <v>28899500</v>
      </c>
      <c r="T323">
        <f>INDEX(TCO!$B$2:$AQ$85,MATCH('Historical Shareweights'!$A323,TCO!$A$2:$A$85,0),MATCH('Historical Shareweights'!T321,TCO!$B$1:$AQ$1,0))</f>
        <v>28899500</v>
      </c>
      <c r="U323">
        <f>INDEX(TCO!$B$2:$AQ$85,MATCH('Historical Shareweights'!$A323,TCO!$A$2:$A$85,0),MATCH('Historical Shareweights'!U321,TCO!$B$1:$AQ$1,0))</f>
        <v>28899500</v>
      </c>
      <c r="V323">
        <f>INDEX(TCO!$B$2:$AQ$85,MATCH('Historical Shareweights'!$A323,TCO!$A$2:$A$85,0),MATCH('Historical Shareweights'!V321,TCO!$B$1:$AQ$1,0))</f>
        <v>28899500</v>
      </c>
      <c r="W323">
        <f>INDEX(TCO!$B$2:$AQ$85,MATCH('Historical Shareweights'!$A323,TCO!$A$2:$A$85,0),MATCH('Historical Shareweights'!W321,TCO!$B$1:$AQ$1,0))</f>
        <v>28899500</v>
      </c>
      <c r="X323">
        <f>INDEX(TCO!$B$2:$AQ$85,MATCH('Historical Shareweights'!$A323,TCO!$A$2:$A$85,0),MATCH('Historical Shareweights'!X321,TCO!$B$1:$AQ$1,0))</f>
        <v>28899500</v>
      </c>
      <c r="Y323">
        <f>INDEX(TCO!$B$2:$AQ$85,MATCH('Historical Shareweights'!$A323,TCO!$A$2:$A$85,0),MATCH('Historical Shareweights'!Y321,TCO!$B$1:$AQ$1,0))</f>
        <v>28899500</v>
      </c>
      <c r="Z323">
        <f>INDEX(TCO!$B$2:$AQ$85,MATCH('Historical Shareweights'!$A323,TCO!$A$2:$A$85,0),MATCH('Historical Shareweights'!Z321,TCO!$B$1:$AQ$1,0))</f>
        <v>28899500</v>
      </c>
      <c r="AA323">
        <f>INDEX(TCO!$B$2:$AQ$85,MATCH('Historical Shareweights'!$A323,TCO!$A$2:$A$85,0),MATCH('Historical Shareweights'!AA321,TCO!$B$1:$AQ$1,0))</f>
        <v>28899500</v>
      </c>
      <c r="AB323">
        <f>INDEX(TCO!$B$2:$AQ$85,MATCH('Historical Shareweights'!$A323,TCO!$A$2:$A$85,0),MATCH('Historical Shareweights'!AB321,TCO!$B$1:$AQ$1,0))</f>
        <v>28899500</v>
      </c>
      <c r="AC323">
        <f>INDEX(TCO!$B$2:$AQ$85,MATCH('Historical Shareweights'!$A323,TCO!$A$2:$A$85,0),MATCH('Historical Shareweights'!AC321,TCO!$B$1:$AQ$1,0))</f>
        <v>28899500</v>
      </c>
      <c r="AD323">
        <f>INDEX(TCO!$B$2:$AQ$85,MATCH('Historical Shareweights'!$A323,TCO!$A$2:$A$85,0),MATCH('Historical Shareweights'!AD321,TCO!$B$1:$AQ$1,0))</f>
        <v>28899500</v>
      </c>
      <c r="AE323">
        <f>INDEX(TCO!$B$2:$AQ$85,MATCH('Historical Shareweights'!$A323,TCO!$A$2:$A$85,0),MATCH('Historical Shareweights'!AE321,TCO!$B$1:$AQ$1,0))</f>
        <v>28899500</v>
      </c>
      <c r="AF323">
        <f>INDEX(TCO!$B$2:$AQ$85,MATCH('Historical Shareweights'!$A323,TCO!$A$2:$A$85,0),MATCH('Historical Shareweights'!AF321,TCO!$B$1:$AQ$1,0))</f>
        <v>28899500</v>
      </c>
      <c r="AG323">
        <f>INDEX(TCO!$B$2:$AQ$85,MATCH('Historical Shareweights'!$A323,TCO!$A$2:$A$85,0),MATCH('Historical Shareweights'!AG321,TCO!$B$1:$AQ$1,0))</f>
        <v>28899500</v>
      </c>
      <c r="AH323">
        <f>INDEX(TCO!$B$2:$AQ$85,MATCH('Historical Shareweights'!$A323,TCO!$A$2:$A$85,0),MATCH('Historical Shareweights'!AH321,TCO!$B$1:$AQ$1,0))</f>
        <v>28899500</v>
      </c>
      <c r="AI323">
        <f>INDEX(TCO!$B$2:$AQ$85,MATCH('Historical Shareweights'!$A323,TCO!$A$2:$A$85,0),MATCH('Historical Shareweights'!AI321,TCO!$B$1:$AQ$1,0))</f>
        <v>28899500</v>
      </c>
      <c r="AJ323">
        <f>INDEX(TCO!$B$2:$AQ$85,MATCH('Historical Shareweights'!$A323,TCO!$A$2:$A$85,0),MATCH('Historical Shareweights'!AJ321,TCO!$B$1:$AQ$1,0))</f>
        <v>28899500</v>
      </c>
      <c r="AK323">
        <f>INDEX(TCO!$B$2:$AQ$85,MATCH('Historical Shareweights'!$A323,TCO!$A$2:$A$85,0),MATCH('Historical Shareweights'!AK321,TCO!$B$1:$AQ$1,0))</f>
        <v>28899500</v>
      </c>
      <c r="AL323">
        <f>INDEX(TCO!$B$2:$AQ$85,MATCH('Historical Shareweights'!$A323,TCO!$A$2:$A$85,0),MATCH('Historical Shareweights'!AL321,TCO!$B$1:$AQ$1,0))</f>
        <v>28899500</v>
      </c>
      <c r="AM323">
        <f>INDEX(TCO!$B$2:$AQ$85,MATCH('Historical Shareweights'!$A323,TCO!$A$2:$A$85,0),MATCH('Historical Shareweights'!AM321,TCO!$B$1:$AQ$1,0))</f>
        <v>28899500</v>
      </c>
      <c r="AN323">
        <f>INDEX(TCO!$B$2:$AQ$85,MATCH('Historical Shareweights'!$A323,TCO!$A$2:$A$85,0),MATCH('Historical Shareweights'!AN321,TCO!$B$1:$AQ$1,0))</f>
        <v>28899500</v>
      </c>
      <c r="AO323">
        <f>INDEX(TCO!$B$2:$AQ$85,MATCH('Historical Shareweights'!$A323,TCO!$A$2:$A$85,0),MATCH('Historical Shareweights'!AO321,TCO!$B$1:$AQ$1,0))</f>
        <v>28899500</v>
      </c>
      <c r="AP323">
        <f>INDEX(TCO!$B$2:$AQ$85,MATCH('Historical Shareweights'!$A323,TCO!$A$2:$A$85,0),MATCH('Historical Shareweights'!AP321,TCO!$B$1:$AQ$1,0))</f>
        <v>28899500</v>
      </c>
      <c r="AQ323">
        <f>INDEX(TCO!$B$2:$AQ$85,MATCH('Historical Shareweights'!$A323,TCO!$A$2:$A$85,0),MATCH('Historical Shareweights'!AQ321,TCO!$B$1:$AQ$1,0))</f>
        <v>28899500</v>
      </c>
    </row>
    <row r="324" spans="1:43" hidden="1" outlineLevel="1" x14ac:dyDescent="0.15">
      <c r="A324" t="s">
        <v>1170</v>
      </c>
      <c r="B324">
        <f>INDEX(TCO!$B$2:$AQ$85,MATCH('Historical Shareweights'!$A324,TCO!$A$2:$A$85,0),MATCH('Historical Shareweights'!B321,TCO!$B$1:$AQ$1,0))</f>
        <v>28899500</v>
      </c>
      <c r="C324">
        <f>INDEX(TCO!$B$2:$AQ$85,MATCH('Historical Shareweights'!$A324,TCO!$A$2:$A$85,0),MATCH('Historical Shareweights'!C321,TCO!$B$1:$AQ$1,0))</f>
        <v>28899500</v>
      </c>
      <c r="D324">
        <f>INDEX(TCO!$B$2:$AQ$85,MATCH('Historical Shareweights'!$A324,TCO!$A$2:$A$85,0),MATCH('Historical Shareweights'!D321,TCO!$B$1:$AQ$1,0))</f>
        <v>28899500</v>
      </c>
      <c r="E324">
        <f>INDEX(TCO!$B$2:$AQ$85,MATCH('Historical Shareweights'!$A324,TCO!$A$2:$A$85,0),MATCH('Historical Shareweights'!E321,TCO!$B$1:$AQ$1,0))</f>
        <v>28899500</v>
      </c>
      <c r="F324">
        <f>INDEX(TCO!$B$2:$AQ$85,MATCH('Historical Shareweights'!$A324,TCO!$A$2:$A$85,0),MATCH('Historical Shareweights'!F321,TCO!$B$1:$AQ$1,0))</f>
        <v>28899500</v>
      </c>
      <c r="G324">
        <f>INDEX(TCO!$B$2:$AQ$85,MATCH('Historical Shareweights'!$A324,TCO!$A$2:$A$85,0),MATCH('Historical Shareweights'!G321,TCO!$B$1:$AQ$1,0))</f>
        <v>28899500</v>
      </c>
      <c r="H324">
        <f>INDEX(TCO!$B$2:$AQ$85,MATCH('Historical Shareweights'!$A324,TCO!$A$2:$A$85,0),MATCH('Historical Shareweights'!H321,TCO!$B$1:$AQ$1,0))</f>
        <v>28899500</v>
      </c>
      <c r="I324">
        <f>INDEX(TCO!$B$2:$AQ$85,MATCH('Historical Shareweights'!$A324,TCO!$A$2:$A$85,0),MATCH('Historical Shareweights'!I321,TCO!$B$1:$AQ$1,0))</f>
        <v>28899500</v>
      </c>
      <c r="J324">
        <f>INDEX(TCO!$B$2:$AQ$85,MATCH('Historical Shareweights'!$A324,TCO!$A$2:$A$85,0),MATCH('Historical Shareweights'!J321,TCO!$B$1:$AQ$1,0))</f>
        <v>28899500</v>
      </c>
      <c r="K324">
        <f>INDEX(TCO!$B$2:$AQ$85,MATCH('Historical Shareweights'!$A324,TCO!$A$2:$A$85,0),MATCH('Historical Shareweights'!K321,TCO!$B$1:$AQ$1,0))</f>
        <v>28899500</v>
      </c>
      <c r="L324">
        <f>INDEX(TCO!$B$2:$AQ$85,MATCH('Historical Shareweights'!$A324,TCO!$A$2:$A$85,0),MATCH('Historical Shareweights'!L321,TCO!$B$1:$AQ$1,0))</f>
        <v>28899500</v>
      </c>
      <c r="M324">
        <f>INDEX(TCO!$B$2:$AQ$85,MATCH('Historical Shareweights'!$A324,TCO!$A$2:$A$85,0),MATCH('Historical Shareweights'!M321,TCO!$B$1:$AQ$1,0))</f>
        <v>28899500</v>
      </c>
      <c r="N324">
        <f>INDEX(TCO!$B$2:$AQ$85,MATCH('Historical Shareweights'!$A324,TCO!$A$2:$A$85,0),MATCH('Historical Shareweights'!N321,TCO!$B$1:$AQ$1,0))</f>
        <v>28899500</v>
      </c>
      <c r="O324">
        <f>INDEX(TCO!$B$2:$AQ$85,MATCH('Historical Shareweights'!$A324,TCO!$A$2:$A$85,0),MATCH('Historical Shareweights'!O321,TCO!$B$1:$AQ$1,0))</f>
        <v>28899500</v>
      </c>
      <c r="P324">
        <f>INDEX(TCO!$B$2:$AQ$85,MATCH('Historical Shareweights'!$A324,TCO!$A$2:$A$85,0),MATCH('Historical Shareweights'!P321,TCO!$B$1:$AQ$1,0))</f>
        <v>28899500</v>
      </c>
      <c r="Q324">
        <f>INDEX(TCO!$B$2:$AQ$85,MATCH('Historical Shareweights'!$A324,TCO!$A$2:$A$85,0),MATCH('Historical Shareweights'!Q321,TCO!$B$1:$AQ$1,0))</f>
        <v>28899500</v>
      </c>
      <c r="R324">
        <f>INDEX(TCO!$B$2:$AQ$85,MATCH('Historical Shareweights'!$A324,TCO!$A$2:$A$85,0),MATCH('Historical Shareweights'!R321,TCO!$B$1:$AQ$1,0))</f>
        <v>28899500</v>
      </c>
      <c r="S324">
        <f>INDEX(TCO!$B$2:$AQ$85,MATCH('Historical Shareweights'!$A324,TCO!$A$2:$A$85,0),MATCH('Historical Shareweights'!S321,TCO!$B$1:$AQ$1,0))</f>
        <v>28899500</v>
      </c>
      <c r="T324">
        <f>INDEX(TCO!$B$2:$AQ$85,MATCH('Historical Shareweights'!$A324,TCO!$A$2:$A$85,0),MATCH('Historical Shareweights'!T321,TCO!$B$1:$AQ$1,0))</f>
        <v>28899500</v>
      </c>
      <c r="U324">
        <f>INDEX(TCO!$B$2:$AQ$85,MATCH('Historical Shareweights'!$A324,TCO!$A$2:$A$85,0),MATCH('Historical Shareweights'!U321,TCO!$B$1:$AQ$1,0))</f>
        <v>28899500</v>
      </c>
      <c r="V324">
        <f>INDEX(TCO!$B$2:$AQ$85,MATCH('Historical Shareweights'!$A324,TCO!$A$2:$A$85,0),MATCH('Historical Shareweights'!V321,TCO!$B$1:$AQ$1,0))</f>
        <v>28899500</v>
      </c>
      <c r="W324">
        <f>INDEX(TCO!$B$2:$AQ$85,MATCH('Historical Shareweights'!$A324,TCO!$A$2:$A$85,0),MATCH('Historical Shareweights'!W321,TCO!$B$1:$AQ$1,0))</f>
        <v>28899500</v>
      </c>
      <c r="X324">
        <f>INDEX(TCO!$B$2:$AQ$85,MATCH('Historical Shareweights'!$A324,TCO!$A$2:$A$85,0),MATCH('Historical Shareweights'!X321,TCO!$B$1:$AQ$1,0))</f>
        <v>28899500</v>
      </c>
      <c r="Y324">
        <f>INDEX(TCO!$B$2:$AQ$85,MATCH('Historical Shareweights'!$A324,TCO!$A$2:$A$85,0),MATCH('Historical Shareweights'!Y321,TCO!$B$1:$AQ$1,0))</f>
        <v>28899500</v>
      </c>
      <c r="Z324">
        <f>INDEX(TCO!$B$2:$AQ$85,MATCH('Historical Shareweights'!$A324,TCO!$A$2:$A$85,0),MATCH('Historical Shareweights'!Z321,TCO!$B$1:$AQ$1,0))</f>
        <v>28899500</v>
      </c>
      <c r="AA324">
        <f>INDEX(TCO!$B$2:$AQ$85,MATCH('Historical Shareweights'!$A324,TCO!$A$2:$A$85,0),MATCH('Historical Shareweights'!AA321,TCO!$B$1:$AQ$1,0))</f>
        <v>28899500</v>
      </c>
      <c r="AB324">
        <f>INDEX(TCO!$B$2:$AQ$85,MATCH('Historical Shareweights'!$A324,TCO!$A$2:$A$85,0),MATCH('Historical Shareweights'!AB321,TCO!$B$1:$AQ$1,0))</f>
        <v>28899500</v>
      </c>
      <c r="AC324">
        <f>INDEX(TCO!$B$2:$AQ$85,MATCH('Historical Shareweights'!$A324,TCO!$A$2:$A$85,0),MATCH('Historical Shareweights'!AC321,TCO!$B$1:$AQ$1,0))</f>
        <v>28899500</v>
      </c>
      <c r="AD324">
        <f>INDEX(TCO!$B$2:$AQ$85,MATCH('Historical Shareweights'!$A324,TCO!$A$2:$A$85,0),MATCH('Historical Shareweights'!AD321,TCO!$B$1:$AQ$1,0))</f>
        <v>28899500</v>
      </c>
      <c r="AE324">
        <f>INDEX(TCO!$B$2:$AQ$85,MATCH('Historical Shareweights'!$A324,TCO!$A$2:$A$85,0),MATCH('Historical Shareweights'!AE321,TCO!$B$1:$AQ$1,0))</f>
        <v>28899500</v>
      </c>
      <c r="AF324">
        <f>INDEX(TCO!$B$2:$AQ$85,MATCH('Historical Shareweights'!$A324,TCO!$A$2:$A$85,0),MATCH('Historical Shareweights'!AF321,TCO!$B$1:$AQ$1,0))</f>
        <v>28899500</v>
      </c>
      <c r="AG324">
        <f>INDEX(TCO!$B$2:$AQ$85,MATCH('Historical Shareweights'!$A324,TCO!$A$2:$A$85,0),MATCH('Historical Shareweights'!AG321,TCO!$B$1:$AQ$1,0))</f>
        <v>28899500</v>
      </c>
      <c r="AH324">
        <f>INDEX(TCO!$B$2:$AQ$85,MATCH('Historical Shareweights'!$A324,TCO!$A$2:$A$85,0),MATCH('Historical Shareweights'!AH321,TCO!$B$1:$AQ$1,0))</f>
        <v>28899500</v>
      </c>
      <c r="AI324">
        <f>INDEX(TCO!$B$2:$AQ$85,MATCH('Historical Shareweights'!$A324,TCO!$A$2:$A$85,0),MATCH('Historical Shareweights'!AI321,TCO!$B$1:$AQ$1,0))</f>
        <v>28899500</v>
      </c>
      <c r="AJ324">
        <f>INDEX(TCO!$B$2:$AQ$85,MATCH('Historical Shareweights'!$A324,TCO!$A$2:$A$85,0),MATCH('Historical Shareweights'!AJ321,TCO!$B$1:$AQ$1,0))</f>
        <v>28899500</v>
      </c>
      <c r="AK324">
        <f>INDEX(TCO!$B$2:$AQ$85,MATCH('Historical Shareweights'!$A324,TCO!$A$2:$A$85,0),MATCH('Historical Shareweights'!AK321,TCO!$B$1:$AQ$1,0))</f>
        <v>28899500</v>
      </c>
      <c r="AL324">
        <f>INDEX(TCO!$B$2:$AQ$85,MATCH('Historical Shareweights'!$A324,TCO!$A$2:$A$85,0),MATCH('Historical Shareweights'!AL321,TCO!$B$1:$AQ$1,0))</f>
        <v>28899500</v>
      </c>
      <c r="AM324">
        <f>INDEX(TCO!$B$2:$AQ$85,MATCH('Historical Shareweights'!$A324,TCO!$A$2:$A$85,0),MATCH('Historical Shareweights'!AM321,TCO!$B$1:$AQ$1,0))</f>
        <v>28899500</v>
      </c>
      <c r="AN324">
        <f>INDEX(TCO!$B$2:$AQ$85,MATCH('Historical Shareweights'!$A324,TCO!$A$2:$A$85,0),MATCH('Historical Shareweights'!AN321,TCO!$B$1:$AQ$1,0))</f>
        <v>28899500</v>
      </c>
      <c r="AO324">
        <f>INDEX(TCO!$B$2:$AQ$85,MATCH('Historical Shareweights'!$A324,TCO!$A$2:$A$85,0),MATCH('Historical Shareweights'!AO321,TCO!$B$1:$AQ$1,0))</f>
        <v>28899500</v>
      </c>
      <c r="AP324">
        <f>INDEX(TCO!$B$2:$AQ$85,MATCH('Historical Shareweights'!$A324,TCO!$A$2:$A$85,0),MATCH('Historical Shareweights'!AP321,TCO!$B$1:$AQ$1,0))</f>
        <v>28899500</v>
      </c>
      <c r="AQ324">
        <f>INDEX(TCO!$B$2:$AQ$85,MATCH('Historical Shareweights'!$A324,TCO!$A$2:$A$85,0),MATCH('Historical Shareweights'!AQ321,TCO!$B$1:$AQ$1,0))</f>
        <v>28899500</v>
      </c>
    </row>
    <row r="325" spans="1:43" hidden="1" outlineLevel="1" x14ac:dyDescent="0.15">
      <c r="A325" t="s">
        <v>1171</v>
      </c>
      <c r="B325">
        <f>INDEX(TCO!$B$2:$AQ$85,MATCH('Historical Shareweights'!$A325,TCO!$A$2:$A$85,0),MATCH('Historical Shareweights'!B321,TCO!$B$1:$AQ$1,0))</f>
        <v>37710400</v>
      </c>
      <c r="C325">
        <f>INDEX(TCO!$B$2:$AQ$85,MATCH('Historical Shareweights'!$A325,TCO!$A$2:$A$85,0),MATCH('Historical Shareweights'!C321,TCO!$B$1:$AQ$1,0))</f>
        <v>37710400</v>
      </c>
      <c r="D325">
        <f>INDEX(TCO!$B$2:$AQ$85,MATCH('Historical Shareweights'!$A325,TCO!$A$2:$A$85,0),MATCH('Historical Shareweights'!D321,TCO!$B$1:$AQ$1,0))</f>
        <v>39930500</v>
      </c>
      <c r="E325">
        <f>INDEX(TCO!$B$2:$AQ$85,MATCH('Historical Shareweights'!$A325,TCO!$A$2:$A$85,0),MATCH('Historical Shareweights'!E321,TCO!$B$1:$AQ$1,0))</f>
        <v>37229400</v>
      </c>
      <c r="F325">
        <f>INDEX(TCO!$B$2:$AQ$85,MATCH('Historical Shareweights'!$A325,TCO!$A$2:$A$85,0),MATCH('Historical Shareweights'!F321,TCO!$B$1:$AQ$1,0))</f>
        <v>45529900</v>
      </c>
      <c r="G325">
        <f>INDEX(TCO!$B$2:$AQ$85,MATCH('Historical Shareweights'!$A325,TCO!$A$2:$A$85,0),MATCH('Historical Shareweights'!G321,TCO!$B$1:$AQ$1,0))</f>
        <v>47396000</v>
      </c>
      <c r="H325">
        <f>INDEX(TCO!$B$2:$AQ$85,MATCH('Historical Shareweights'!$A325,TCO!$A$2:$A$85,0),MATCH('Historical Shareweights'!H321,TCO!$B$1:$AQ$1,0))</f>
        <v>47782200</v>
      </c>
      <c r="I325">
        <f>INDEX(TCO!$B$2:$AQ$85,MATCH('Historical Shareweights'!$A325,TCO!$A$2:$A$85,0),MATCH('Historical Shareweights'!I321,TCO!$B$1:$AQ$1,0))</f>
        <v>48084700</v>
      </c>
      <c r="J325">
        <f>INDEX(TCO!$B$2:$AQ$85,MATCH('Historical Shareweights'!$A325,TCO!$A$2:$A$85,0),MATCH('Historical Shareweights'!J321,TCO!$B$1:$AQ$1,0))</f>
        <v>48322100</v>
      </c>
      <c r="K325">
        <f>INDEX(TCO!$B$2:$AQ$85,MATCH('Historical Shareweights'!$A325,TCO!$A$2:$A$85,0),MATCH('Historical Shareweights'!K321,TCO!$B$1:$AQ$1,0))</f>
        <v>49012500</v>
      </c>
      <c r="L325">
        <f>INDEX(TCO!$B$2:$AQ$85,MATCH('Historical Shareweights'!$A325,TCO!$A$2:$A$85,0),MATCH('Historical Shareweights'!L321,TCO!$B$1:$AQ$1,0))</f>
        <v>49393200</v>
      </c>
      <c r="M325">
        <f>INDEX(TCO!$B$2:$AQ$85,MATCH('Historical Shareweights'!$A325,TCO!$A$2:$A$85,0),MATCH('Historical Shareweights'!M321,TCO!$B$1:$AQ$1,0))</f>
        <v>49696500</v>
      </c>
      <c r="N325">
        <f>INDEX(TCO!$B$2:$AQ$85,MATCH('Historical Shareweights'!$A325,TCO!$A$2:$A$85,0),MATCH('Historical Shareweights'!N321,TCO!$B$1:$AQ$1,0))</f>
        <v>50567700</v>
      </c>
      <c r="O325">
        <f>INDEX(TCO!$B$2:$AQ$85,MATCH('Historical Shareweights'!$A325,TCO!$A$2:$A$85,0),MATCH('Historical Shareweights'!O321,TCO!$B$1:$AQ$1,0))</f>
        <v>50825800</v>
      </c>
      <c r="P325">
        <f>INDEX(TCO!$B$2:$AQ$85,MATCH('Historical Shareweights'!$A325,TCO!$A$2:$A$85,0),MATCH('Historical Shareweights'!P321,TCO!$B$1:$AQ$1,0))</f>
        <v>51212900</v>
      </c>
      <c r="Q325">
        <f>INDEX(TCO!$B$2:$AQ$85,MATCH('Historical Shareweights'!$A325,TCO!$A$2:$A$85,0),MATCH('Historical Shareweights'!Q321,TCO!$B$1:$AQ$1,0))</f>
        <v>51406500</v>
      </c>
      <c r="R325">
        <f>INDEX(TCO!$B$2:$AQ$85,MATCH('Historical Shareweights'!$A325,TCO!$A$2:$A$85,0),MATCH('Historical Shareweights'!R321,TCO!$B$1:$AQ$1,0))</f>
        <v>51600100</v>
      </c>
      <c r="S325">
        <f>INDEX(TCO!$B$2:$AQ$85,MATCH('Historical Shareweights'!$A325,TCO!$A$2:$A$85,0),MATCH('Historical Shareweights'!S321,TCO!$B$1:$AQ$1,0))</f>
        <v>51342000</v>
      </c>
      <c r="T325">
        <f>INDEX(TCO!$B$2:$AQ$85,MATCH('Historical Shareweights'!$A325,TCO!$A$2:$A$85,0),MATCH('Historical Shareweights'!T321,TCO!$B$1:$AQ$1,0))</f>
        <v>51277500</v>
      </c>
      <c r="U325">
        <f>INDEX(TCO!$B$2:$AQ$85,MATCH('Historical Shareweights'!$A325,TCO!$A$2:$A$85,0),MATCH('Historical Shareweights'!U321,TCO!$B$1:$AQ$1,0))</f>
        <v>51600100</v>
      </c>
      <c r="V325">
        <f>INDEX(TCO!$B$2:$AQ$85,MATCH('Historical Shareweights'!$A325,TCO!$A$2:$A$85,0),MATCH('Historical Shareweights'!V321,TCO!$B$1:$AQ$1,0))</f>
        <v>51793700</v>
      </c>
      <c r="W325">
        <f>INDEX(TCO!$B$2:$AQ$85,MATCH('Historical Shareweights'!$A325,TCO!$A$2:$A$85,0),MATCH('Historical Shareweights'!W321,TCO!$B$1:$AQ$1,0))</f>
        <v>51664600</v>
      </c>
      <c r="X325">
        <f>INDEX(TCO!$B$2:$AQ$85,MATCH('Historical Shareweights'!$A325,TCO!$A$2:$A$85,0),MATCH('Historical Shareweights'!X321,TCO!$B$1:$AQ$1,0))</f>
        <v>52116300</v>
      </c>
      <c r="Y325">
        <f>INDEX(TCO!$B$2:$AQ$85,MATCH('Historical Shareweights'!$A325,TCO!$A$2:$A$85,0),MATCH('Historical Shareweights'!Y321,TCO!$B$1:$AQ$1,0))</f>
        <v>52300100</v>
      </c>
      <c r="Z325">
        <f>INDEX(TCO!$B$2:$AQ$85,MATCH('Historical Shareweights'!$A325,TCO!$A$2:$A$85,0),MATCH('Historical Shareweights'!Z321,TCO!$B$1:$AQ$1,0))</f>
        <v>52429500</v>
      </c>
      <c r="AA325">
        <f>INDEX(TCO!$B$2:$AQ$85,MATCH('Historical Shareweights'!$A325,TCO!$A$2:$A$85,0),MATCH('Historical Shareweights'!AA321,TCO!$B$1:$AQ$1,0))</f>
        <v>52623500</v>
      </c>
      <c r="AB325">
        <f>INDEX(TCO!$B$2:$AQ$85,MATCH('Historical Shareweights'!$A325,TCO!$A$2:$A$85,0),MATCH('Historical Shareweights'!AB321,TCO!$B$1:$AQ$1,0))</f>
        <v>52817600</v>
      </c>
      <c r="AC325">
        <f>INDEX(TCO!$B$2:$AQ$85,MATCH('Historical Shareweights'!$A325,TCO!$A$2:$A$85,0),MATCH('Historical Shareweights'!AC321,TCO!$B$1:$AQ$1,0))</f>
        <v>53141100</v>
      </c>
      <c r="AD325">
        <f>INDEX(TCO!$B$2:$AQ$85,MATCH('Historical Shareweights'!$A325,TCO!$A$2:$A$85,0),MATCH('Historical Shareweights'!AD321,TCO!$B$1:$AQ$1,0))</f>
        <v>53335200</v>
      </c>
      <c r="AE325">
        <f>INDEX(TCO!$B$2:$AQ$85,MATCH('Historical Shareweights'!$A325,TCO!$A$2:$A$85,0),MATCH('Historical Shareweights'!AE321,TCO!$B$1:$AQ$1,0))</f>
        <v>53587400</v>
      </c>
      <c r="AF325">
        <f>INDEX(TCO!$B$2:$AQ$85,MATCH('Historical Shareweights'!$A325,TCO!$A$2:$A$85,0),MATCH('Historical Shareweights'!AF321,TCO!$B$1:$AQ$1,0))</f>
        <v>53652300</v>
      </c>
      <c r="AG325">
        <f>INDEX(TCO!$B$2:$AQ$85,MATCH('Historical Shareweights'!$A325,TCO!$A$2:$A$85,0),MATCH('Historical Shareweights'!AG321,TCO!$B$1:$AQ$1,0))</f>
        <v>53846900</v>
      </c>
      <c r="AH325">
        <f>INDEX(TCO!$B$2:$AQ$85,MATCH('Historical Shareweights'!$A325,TCO!$A$2:$A$85,0),MATCH('Historical Shareweights'!AH321,TCO!$B$1:$AQ$1,0))</f>
        <v>54171200</v>
      </c>
      <c r="AI325">
        <f>INDEX(TCO!$B$2:$AQ$85,MATCH('Historical Shareweights'!$A325,TCO!$A$2:$A$85,0),MATCH('Historical Shareweights'!AI321,TCO!$B$1:$AQ$1,0))</f>
        <v>54300900</v>
      </c>
      <c r="AJ325">
        <f>INDEX(TCO!$B$2:$AQ$85,MATCH('Historical Shareweights'!$A325,TCO!$A$2:$A$85,0),MATCH('Historical Shareweights'!AJ321,TCO!$B$1:$AQ$1,0))</f>
        <v>54560400</v>
      </c>
      <c r="AK325">
        <f>INDEX(TCO!$B$2:$AQ$85,MATCH('Historical Shareweights'!$A325,TCO!$A$2:$A$85,0),MATCH('Historical Shareweights'!AK321,TCO!$B$1:$AQ$1,0))</f>
        <v>54755000</v>
      </c>
      <c r="AL325">
        <f>INDEX(TCO!$B$2:$AQ$85,MATCH('Historical Shareweights'!$A325,TCO!$A$2:$A$85,0),MATCH('Historical Shareweights'!AL321,TCO!$B$1:$AQ$1,0))</f>
        <v>54949600</v>
      </c>
      <c r="AM325">
        <f>INDEX(TCO!$B$2:$AQ$85,MATCH('Historical Shareweights'!$A325,TCO!$A$2:$A$85,0),MATCH('Historical Shareweights'!AM321,TCO!$B$1:$AQ$1,0))</f>
        <v>55079300</v>
      </c>
      <c r="AN325">
        <f>INDEX(TCO!$B$2:$AQ$85,MATCH('Historical Shareweights'!$A325,TCO!$A$2:$A$85,0),MATCH('Historical Shareweights'!AN321,TCO!$B$1:$AQ$1,0))</f>
        <v>55273900</v>
      </c>
      <c r="AO325">
        <f>INDEX(TCO!$B$2:$AQ$85,MATCH('Historical Shareweights'!$A325,TCO!$A$2:$A$85,0),MATCH('Historical Shareweights'!AO321,TCO!$B$1:$AQ$1,0))</f>
        <v>55468500</v>
      </c>
      <c r="AP325">
        <f>INDEX(TCO!$B$2:$AQ$85,MATCH('Historical Shareweights'!$A325,TCO!$A$2:$A$85,0),MATCH('Historical Shareweights'!AP321,TCO!$B$1:$AQ$1,0))</f>
        <v>55663100</v>
      </c>
      <c r="AQ325">
        <f>INDEX(TCO!$B$2:$AQ$85,MATCH('Historical Shareweights'!$A325,TCO!$A$2:$A$85,0),MATCH('Historical Shareweights'!AQ321,TCO!$B$1:$AQ$1,0))</f>
        <v>55857700</v>
      </c>
    </row>
    <row r="326" spans="1:43" hidden="1" outlineLevel="1" x14ac:dyDescent="0.15">
      <c r="A326" t="s">
        <v>1172</v>
      </c>
      <c r="B326">
        <f>INDEX(TCO!$B$2:$AQ$85,MATCH('Historical Shareweights'!$A326,TCO!$A$2:$A$85,0),MATCH('Historical Shareweights'!B321,TCO!$B$1:$AQ$1,0))</f>
        <v>28899500</v>
      </c>
      <c r="C326">
        <f>INDEX(TCO!$B$2:$AQ$85,MATCH('Historical Shareweights'!$A326,TCO!$A$2:$A$85,0),MATCH('Historical Shareweights'!C321,TCO!$B$1:$AQ$1,0))</f>
        <v>28899500</v>
      </c>
      <c r="D326">
        <f>INDEX(TCO!$B$2:$AQ$85,MATCH('Historical Shareweights'!$A326,TCO!$A$2:$A$85,0),MATCH('Historical Shareweights'!D321,TCO!$B$1:$AQ$1,0))</f>
        <v>28899500</v>
      </c>
      <c r="E326">
        <f>INDEX(TCO!$B$2:$AQ$85,MATCH('Historical Shareweights'!$A326,TCO!$A$2:$A$85,0),MATCH('Historical Shareweights'!E321,TCO!$B$1:$AQ$1,0))</f>
        <v>28899500</v>
      </c>
      <c r="F326">
        <f>INDEX(TCO!$B$2:$AQ$85,MATCH('Historical Shareweights'!$A326,TCO!$A$2:$A$85,0),MATCH('Historical Shareweights'!F321,TCO!$B$1:$AQ$1,0))</f>
        <v>28899500</v>
      </c>
      <c r="G326">
        <f>INDEX(TCO!$B$2:$AQ$85,MATCH('Historical Shareweights'!$A326,TCO!$A$2:$A$85,0),MATCH('Historical Shareweights'!G321,TCO!$B$1:$AQ$1,0))</f>
        <v>28899500</v>
      </c>
      <c r="H326">
        <f>INDEX(TCO!$B$2:$AQ$85,MATCH('Historical Shareweights'!$A326,TCO!$A$2:$A$85,0),MATCH('Historical Shareweights'!H321,TCO!$B$1:$AQ$1,0))</f>
        <v>28899500</v>
      </c>
      <c r="I326">
        <f>INDEX(TCO!$B$2:$AQ$85,MATCH('Historical Shareweights'!$A326,TCO!$A$2:$A$85,0),MATCH('Historical Shareweights'!I321,TCO!$B$1:$AQ$1,0))</f>
        <v>28899500</v>
      </c>
      <c r="J326">
        <f>INDEX(TCO!$B$2:$AQ$85,MATCH('Historical Shareweights'!$A326,TCO!$A$2:$A$85,0),MATCH('Historical Shareweights'!J321,TCO!$B$1:$AQ$1,0))</f>
        <v>28899500</v>
      </c>
      <c r="K326">
        <f>INDEX(TCO!$B$2:$AQ$85,MATCH('Historical Shareweights'!$A326,TCO!$A$2:$A$85,0),MATCH('Historical Shareweights'!K321,TCO!$B$1:$AQ$1,0))</f>
        <v>28899500</v>
      </c>
      <c r="L326">
        <f>INDEX(TCO!$B$2:$AQ$85,MATCH('Historical Shareweights'!$A326,TCO!$A$2:$A$85,0),MATCH('Historical Shareweights'!L321,TCO!$B$1:$AQ$1,0))</f>
        <v>28899500</v>
      </c>
      <c r="M326">
        <f>INDEX(TCO!$B$2:$AQ$85,MATCH('Historical Shareweights'!$A326,TCO!$A$2:$A$85,0),MATCH('Historical Shareweights'!M321,TCO!$B$1:$AQ$1,0))</f>
        <v>28899500</v>
      </c>
      <c r="N326">
        <f>INDEX(TCO!$B$2:$AQ$85,MATCH('Historical Shareweights'!$A326,TCO!$A$2:$A$85,0),MATCH('Historical Shareweights'!N321,TCO!$B$1:$AQ$1,0))</f>
        <v>28899500</v>
      </c>
      <c r="O326">
        <f>INDEX(TCO!$B$2:$AQ$85,MATCH('Historical Shareweights'!$A326,TCO!$A$2:$A$85,0),MATCH('Historical Shareweights'!O321,TCO!$B$1:$AQ$1,0))</f>
        <v>28899500</v>
      </c>
      <c r="P326">
        <f>INDEX(TCO!$B$2:$AQ$85,MATCH('Historical Shareweights'!$A326,TCO!$A$2:$A$85,0),MATCH('Historical Shareweights'!P321,TCO!$B$1:$AQ$1,0))</f>
        <v>28899500</v>
      </c>
      <c r="Q326">
        <f>INDEX(TCO!$B$2:$AQ$85,MATCH('Historical Shareweights'!$A326,TCO!$A$2:$A$85,0),MATCH('Historical Shareweights'!Q321,TCO!$B$1:$AQ$1,0))</f>
        <v>28899500</v>
      </c>
      <c r="R326">
        <f>INDEX(TCO!$B$2:$AQ$85,MATCH('Historical Shareweights'!$A326,TCO!$A$2:$A$85,0),MATCH('Historical Shareweights'!R321,TCO!$B$1:$AQ$1,0))</f>
        <v>28899500</v>
      </c>
      <c r="S326">
        <f>INDEX(TCO!$B$2:$AQ$85,MATCH('Historical Shareweights'!$A326,TCO!$A$2:$A$85,0),MATCH('Historical Shareweights'!S321,TCO!$B$1:$AQ$1,0))</f>
        <v>28899500</v>
      </c>
      <c r="T326">
        <f>INDEX(TCO!$B$2:$AQ$85,MATCH('Historical Shareweights'!$A326,TCO!$A$2:$A$85,0),MATCH('Historical Shareweights'!T321,TCO!$B$1:$AQ$1,0))</f>
        <v>28899500</v>
      </c>
      <c r="U326">
        <f>INDEX(TCO!$B$2:$AQ$85,MATCH('Historical Shareweights'!$A326,TCO!$A$2:$A$85,0),MATCH('Historical Shareweights'!U321,TCO!$B$1:$AQ$1,0))</f>
        <v>28899500</v>
      </c>
      <c r="V326">
        <f>INDEX(TCO!$B$2:$AQ$85,MATCH('Historical Shareweights'!$A326,TCO!$A$2:$A$85,0),MATCH('Historical Shareweights'!V321,TCO!$B$1:$AQ$1,0))</f>
        <v>28899500</v>
      </c>
      <c r="W326">
        <f>INDEX(TCO!$B$2:$AQ$85,MATCH('Historical Shareweights'!$A326,TCO!$A$2:$A$85,0),MATCH('Historical Shareweights'!W321,TCO!$B$1:$AQ$1,0))</f>
        <v>28899500</v>
      </c>
      <c r="X326">
        <f>INDEX(TCO!$B$2:$AQ$85,MATCH('Historical Shareweights'!$A326,TCO!$A$2:$A$85,0),MATCH('Historical Shareweights'!X321,TCO!$B$1:$AQ$1,0))</f>
        <v>28899500</v>
      </c>
      <c r="Y326">
        <f>INDEX(TCO!$B$2:$AQ$85,MATCH('Historical Shareweights'!$A326,TCO!$A$2:$A$85,0),MATCH('Historical Shareweights'!Y321,TCO!$B$1:$AQ$1,0))</f>
        <v>28899500</v>
      </c>
      <c r="Z326">
        <f>INDEX(TCO!$B$2:$AQ$85,MATCH('Historical Shareweights'!$A326,TCO!$A$2:$A$85,0),MATCH('Historical Shareweights'!Z321,TCO!$B$1:$AQ$1,0))</f>
        <v>28899500</v>
      </c>
      <c r="AA326">
        <f>INDEX(TCO!$B$2:$AQ$85,MATCH('Historical Shareweights'!$A326,TCO!$A$2:$A$85,0),MATCH('Historical Shareweights'!AA321,TCO!$B$1:$AQ$1,0))</f>
        <v>28899500</v>
      </c>
      <c r="AB326">
        <f>INDEX(TCO!$B$2:$AQ$85,MATCH('Historical Shareweights'!$A326,TCO!$A$2:$A$85,0),MATCH('Historical Shareweights'!AB321,TCO!$B$1:$AQ$1,0))</f>
        <v>28899500</v>
      </c>
      <c r="AC326">
        <f>INDEX(TCO!$B$2:$AQ$85,MATCH('Historical Shareweights'!$A326,TCO!$A$2:$A$85,0),MATCH('Historical Shareweights'!AC321,TCO!$B$1:$AQ$1,0))</f>
        <v>28899500</v>
      </c>
      <c r="AD326">
        <f>INDEX(TCO!$B$2:$AQ$85,MATCH('Historical Shareweights'!$A326,TCO!$A$2:$A$85,0),MATCH('Historical Shareweights'!AD321,TCO!$B$1:$AQ$1,0))</f>
        <v>28899500</v>
      </c>
      <c r="AE326">
        <f>INDEX(TCO!$B$2:$AQ$85,MATCH('Historical Shareweights'!$A326,TCO!$A$2:$A$85,0),MATCH('Historical Shareweights'!AE321,TCO!$B$1:$AQ$1,0))</f>
        <v>28899500</v>
      </c>
      <c r="AF326">
        <f>INDEX(TCO!$B$2:$AQ$85,MATCH('Historical Shareweights'!$A326,TCO!$A$2:$A$85,0),MATCH('Historical Shareweights'!AF321,TCO!$B$1:$AQ$1,0))</f>
        <v>28899500</v>
      </c>
      <c r="AG326">
        <f>INDEX(TCO!$B$2:$AQ$85,MATCH('Historical Shareweights'!$A326,TCO!$A$2:$A$85,0),MATCH('Historical Shareweights'!AG321,TCO!$B$1:$AQ$1,0))</f>
        <v>28899500</v>
      </c>
      <c r="AH326">
        <f>INDEX(TCO!$B$2:$AQ$85,MATCH('Historical Shareweights'!$A326,TCO!$A$2:$A$85,0),MATCH('Historical Shareweights'!AH321,TCO!$B$1:$AQ$1,0))</f>
        <v>28899500</v>
      </c>
      <c r="AI326">
        <f>INDEX(TCO!$B$2:$AQ$85,MATCH('Historical Shareweights'!$A326,TCO!$A$2:$A$85,0),MATCH('Historical Shareweights'!AI321,TCO!$B$1:$AQ$1,0))</f>
        <v>28899500</v>
      </c>
      <c r="AJ326">
        <f>INDEX(TCO!$B$2:$AQ$85,MATCH('Historical Shareweights'!$A326,TCO!$A$2:$A$85,0),MATCH('Historical Shareweights'!AJ321,TCO!$B$1:$AQ$1,0))</f>
        <v>28899500</v>
      </c>
      <c r="AK326">
        <f>INDEX(TCO!$B$2:$AQ$85,MATCH('Historical Shareweights'!$A326,TCO!$A$2:$A$85,0),MATCH('Historical Shareweights'!AK321,TCO!$B$1:$AQ$1,0))</f>
        <v>28899500</v>
      </c>
      <c r="AL326">
        <f>INDEX(TCO!$B$2:$AQ$85,MATCH('Historical Shareweights'!$A326,TCO!$A$2:$A$85,0),MATCH('Historical Shareweights'!AL321,TCO!$B$1:$AQ$1,0))</f>
        <v>28899500</v>
      </c>
      <c r="AM326">
        <f>INDEX(TCO!$B$2:$AQ$85,MATCH('Historical Shareweights'!$A326,TCO!$A$2:$A$85,0),MATCH('Historical Shareweights'!AM321,TCO!$B$1:$AQ$1,0))</f>
        <v>28899500</v>
      </c>
      <c r="AN326">
        <f>INDEX(TCO!$B$2:$AQ$85,MATCH('Historical Shareweights'!$A326,TCO!$A$2:$A$85,0),MATCH('Historical Shareweights'!AN321,TCO!$B$1:$AQ$1,0))</f>
        <v>28899500</v>
      </c>
      <c r="AO326">
        <f>INDEX(TCO!$B$2:$AQ$85,MATCH('Historical Shareweights'!$A326,TCO!$A$2:$A$85,0),MATCH('Historical Shareweights'!AO321,TCO!$B$1:$AQ$1,0))</f>
        <v>28899500</v>
      </c>
      <c r="AP326">
        <f>INDEX(TCO!$B$2:$AQ$85,MATCH('Historical Shareweights'!$A326,TCO!$A$2:$A$85,0),MATCH('Historical Shareweights'!AP321,TCO!$B$1:$AQ$1,0))</f>
        <v>28899500</v>
      </c>
      <c r="AQ326">
        <f>INDEX(TCO!$B$2:$AQ$85,MATCH('Historical Shareweights'!$A326,TCO!$A$2:$A$85,0),MATCH('Historical Shareweights'!AQ321,TCO!$B$1:$AQ$1,0))</f>
        <v>28899500</v>
      </c>
    </row>
    <row r="327" spans="1:43" hidden="1" outlineLevel="1" x14ac:dyDescent="0.15">
      <c r="A327" t="s">
        <v>1173</v>
      </c>
      <c r="B327">
        <f>INDEX(TCO!$B$2:$AQ$85,MATCH('Historical Shareweights'!$A327,TCO!$A$2:$A$85,0),MATCH('Historical Shareweights'!B321,TCO!$B$1:$AQ$1,0))</f>
        <v>28899500</v>
      </c>
      <c r="C327">
        <f>INDEX(TCO!$B$2:$AQ$85,MATCH('Historical Shareweights'!$A327,TCO!$A$2:$A$85,0),MATCH('Historical Shareweights'!C321,TCO!$B$1:$AQ$1,0))</f>
        <v>28899500</v>
      </c>
      <c r="D327">
        <f>INDEX(TCO!$B$2:$AQ$85,MATCH('Historical Shareweights'!$A327,TCO!$A$2:$A$85,0),MATCH('Historical Shareweights'!D321,TCO!$B$1:$AQ$1,0))</f>
        <v>28899500</v>
      </c>
      <c r="E327">
        <f>INDEX(TCO!$B$2:$AQ$85,MATCH('Historical Shareweights'!$A327,TCO!$A$2:$A$85,0),MATCH('Historical Shareweights'!E321,TCO!$B$1:$AQ$1,0))</f>
        <v>28899500</v>
      </c>
      <c r="F327">
        <f>INDEX(TCO!$B$2:$AQ$85,MATCH('Historical Shareweights'!$A327,TCO!$A$2:$A$85,0),MATCH('Historical Shareweights'!F321,TCO!$B$1:$AQ$1,0))</f>
        <v>28899500</v>
      </c>
      <c r="G327">
        <f>INDEX(TCO!$B$2:$AQ$85,MATCH('Historical Shareweights'!$A327,TCO!$A$2:$A$85,0),MATCH('Historical Shareweights'!G321,TCO!$B$1:$AQ$1,0))</f>
        <v>28899500</v>
      </c>
      <c r="H327">
        <f>INDEX(TCO!$B$2:$AQ$85,MATCH('Historical Shareweights'!$A327,TCO!$A$2:$A$85,0),MATCH('Historical Shareweights'!H321,TCO!$B$1:$AQ$1,0))</f>
        <v>28899500</v>
      </c>
      <c r="I327">
        <f>INDEX(TCO!$B$2:$AQ$85,MATCH('Historical Shareweights'!$A327,TCO!$A$2:$A$85,0),MATCH('Historical Shareweights'!I321,TCO!$B$1:$AQ$1,0))</f>
        <v>28899500</v>
      </c>
      <c r="J327">
        <f>INDEX(TCO!$B$2:$AQ$85,MATCH('Historical Shareweights'!$A327,TCO!$A$2:$A$85,0),MATCH('Historical Shareweights'!J321,TCO!$B$1:$AQ$1,0))</f>
        <v>28899500</v>
      </c>
      <c r="K327">
        <f>INDEX(TCO!$B$2:$AQ$85,MATCH('Historical Shareweights'!$A327,TCO!$A$2:$A$85,0),MATCH('Historical Shareweights'!K321,TCO!$B$1:$AQ$1,0))</f>
        <v>28899500</v>
      </c>
      <c r="L327">
        <f>INDEX(TCO!$B$2:$AQ$85,MATCH('Historical Shareweights'!$A327,TCO!$A$2:$A$85,0),MATCH('Historical Shareweights'!L321,TCO!$B$1:$AQ$1,0))</f>
        <v>28899500</v>
      </c>
      <c r="M327">
        <f>INDEX(TCO!$B$2:$AQ$85,MATCH('Historical Shareweights'!$A327,TCO!$A$2:$A$85,0),MATCH('Historical Shareweights'!M321,TCO!$B$1:$AQ$1,0))</f>
        <v>28899500</v>
      </c>
      <c r="N327">
        <f>INDEX(TCO!$B$2:$AQ$85,MATCH('Historical Shareweights'!$A327,TCO!$A$2:$A$85,0),MATCH('Historical Shareweights'!N321,TCO!$B$1:$AQ$1,0))</f>
        <v>28899500</v>
      </c>
      <c r="O327">
        <f>INDEX(TCO!$B$2:$AQ$85,MATCH('Historical Shareweights'!$A327,TCO!$A$2:$A$85,0),MATCH('Historical Shareweights'!O321,TCO!$B$1:$AQ$1,0))</f>
        <v>28899500</v>
      </c>
      <c r="P327">
        <f>INDEX(TCO!$B$2:$AQ$85,MATCH('Historical Shareweights'!$A327,TCO!$A$2:$A$85,0),MATCH('Historical Shareweights'!P321,TCO!$B$1:$AQ$1,0))</f>
        <v>28899500</v>
      </c>
      <c r="Q327">
        <f>INDEX(TCO!$B$2:$AQ$85,MATCH('Historical Shareweights'!$A327,TCO!$A$2:$A$85,0),MATCH('Historical Shareweights'!Q321,TCO!$B$1:$AQ$1,0))</f>
        <v>28899500</v>
      </c>
      <c r="R327">
        <f>INDEX(TCO!$B$2:$AQ$85,MATCH('Historical Shareweights'!$A327,TCO!$A$2:$A$85,0),MATCH('Historical Shareweights'!R321,TCO!$B$1:$AQ$1,0))</f>
        <v>28899500</v>
      </c>
      <c r="S327">
        <f>INDEX(TCO!$B$2:$AQ$85,MATCH('Historical Shareweights'!$A327,TCO!$A$2:$A$85,0),MATCH('Historical Shareweights'!S321,TCO!$B$1:$AQ$1,0))</f>
        <v>28899500</v>
      </c>
      <c r="T327">
        <f>INDEX(TCO!$B$2:$AQ$85,MATCH('Historical Shareweights'!$A327,TCO!$A$2:$A$85,0),MATCH('Historical Shareweights'!T321,TCO!$B$1:$AQ$1,0))</f>
        <v>28899500</v>
      </c>
      <c r="U327">
        <f>INDEX(TCO!$B$2:$AQ$85,MATCH('Historical Shareweights'!$A327,TCO!$A$2:$A$85,0),MATCH('Historical Shareweights'!U321,TCO!$B$1:$AQ$1,0))</f>
        <v>28899500</v>
      </c>
      <c r="V327">
        <f>INDEX(TCO!$B$2:$AQ$85,MATCH('Historical Shareweights'!$A327,TCO!$A$2:$A$85,0),MATCH('Historical Shareweights'!V321,TCO!$B$1:$AQ$1,0))</f>
        <v>28899500</v>
      </c>
      <c r="W327">
        <f>INDEX(TCO!$B$2:$AQ$85,MATCH('Historical Shareweights'!$A327,TCO!$A$2:$A$85,0),MATCH('Historical Shareweights'!W321,TCO!$B$1:$AQ$1,0))</f>
        <v>28899500</v>
      </c>
      <c r="X327">
        <f>INDEX(TCO!$B$2:$AQ$85,MATCH('Historical Shareweights'!$A327,TCO!$A$2:$A$85,0),MATCH('Historical Shareweights'!X321,TCO!$B$1:$AQ$1,0))</f>
        <v>28899500</v>
      </c>
      <c r="Y327">
        <f>INDEX(TCO!$B$2:$AQ$85,MATCH('Historical Shareweights'!$A327,TCO!$A$2:$A$85,0),MATCH('Historical Shareweights'!Y321,TCO!$B$1:$AQ$1,0))</f>
        <v>28899500</v>
      </c>
      <c r="Z327">
        <f>INDEX(TCO!$B$2:$AQ$85,MATCH('Historical Shareweights'!$A327,TCO!$A$2:$A$85,0),MATCH('Historical Shareweights'!Z321,TCO!$B$1:$AQ$1,0))</f>
        <v>28899500</v>
      </c>
      <c r="AA327">
        <f>INDEX(TCO!$B$2:$AQ$85,MATCH('Historical Shareweights'!$A327,TCO!$A$2:$A$85,0),MATCH('Historical Shareweights'!AA321,TCO!$B$1:$AQ$1,0))</f>
        <v>28899500</v>
      </c>
      <c r="AB327">
        <f>INDEX(TCO!$B$2:$AQ$85,MATCH('Historical Shareweights'!$A327,TCO!$A$2:$A$85,0),MATCH('Historical Shareweights'!AB321,TCO!$B$1:$AQ$1,0))</f>
        <v>28899500</v>
      </c>
      <c r="AC327">
        <f>INDEX(TCO!$B$2:$AQ$85,MATCH('Historical Shareweights'!$A327,TCO!$A$2:$A$85,0),MATCH('Historical Shareweights'!AC321,TCO!$B$1:$AQ$1,0))</f>
        <v>28899500</v>
      </c>
      <c r="AD327">
        <f>INDEX(TCO!$B$2:$AQ$85,MATCH('Historical Shareweights'!$A327,TCO!$A$2:$A$85,0),MATCH('Historical Shareweights'!AD321,TCO!$B$1:$AQ$1,0))</f>
        <v>28899500</v>
      </c>
      <c r="AE327">
        <f>INDEX(TCO!$B$2:$AQ$85,MATCH('Historical Shareweights'!$A327,TCO!$A$2:$A$85,0),MATCH('Historical Shareweights'!AE321,TCO!$B$1:$AQ$1,0))</f>
        <v>28899500</v>
      </c>
      <c r="AF327">
        <f>INDEX(TCO!$B$2:$AQ$85,MATCH('Historical Shareweights'!$A327,TCO!$A$2:$A$85,0),MATCH('Historical Shareweights'!AF321,TCO!$B$1:$AQ$1,0))</f>
        <v>28899500</v>
      </c>
      <c r="AG327">
        <f>INDEX(TCO!$B$2:$AQ$85,MATCH('Historical Shareweights'!$A327,TCO!$A$2:$A$85,0),MATCH('Historical Shareweights'!AG321,TCO!$B$1:$AQ$1,0))</f>
        <v>28899500</v>
      </c>
      <c r="AH327">
        <f>INDEX(TCO!$B$2:$AQ$85,MATCH('Historical Shareweights'!$A327,TCO!$A$2:$A$85,0),MATCH('Historical Shareweights'!AH321,TCO!$B$1:$AQ$1,0))</f>
        <v>28899500</v>
      </c>
      <c r="AI327">
        <f>INDEX(TCO!$B$2:$AQ$85,MATCH('Historical Shareweights'!$A327,TCO!$A$2:$A$85,0),MATCH('Historical Shareweights'!AI321,TCO!$B$1:$AQ$1,0))</f>
        <v>28899500</v>
      </c>
      <c r="AJ327">
        <f>INDEX(TCO!$B$2:$AQ$85,MATCH('Historical Shareweights'!$A327,TCO!$A$2:$A$85,0),MATCH('Historical Shareweights'!AJ321,TCO!$B$1:$AQ$1,0))</f>
        <v>28899500</v>
      </c>
      <c r="AK327">
        <f>INDEX(TCO!$B$2:$AQ$85,MATCH('Historical Shareweights'!$A327,TCO!$A$2:$A$85,0),MATCH('Historical Shareweights'!AK321,TCO!$B$1:$AQ$1,0))</f>
        <v>28899500</v>
      </c>
      <c r="AL327">
        <f>INDEX(TCO!$B$2:$AQ$85,MATCH('Historical Shareweights'!$A327,TCO!$A$2:$A$85,0),MATCH('Historical Shareweights'!AL321,TCO!$B$1:$AQ$1,0))</f>
        <v>28899500</v>
      </c>
      <c r="AM327">
        <f>INDEX(TCO!$B$2:$AQ$85,MATCH('Historical Shareweights'!$A327,TCO!$A$2:$A$85,0),MATCH('Historical Shareweights'!AM321,TCO!$B$1:$AQ$1,0))</f>
        <v>28899500</v>
      </c>
      <c r="AN327">
        <f>INDEX(TCO!$B$2:$AQ$85,MATCH('Historical Shareweights'!$A327,TCO!$A$2:$A$85,0),MATCH('Historical Shareweights'!AN321,TCO!$B$1:$AQ$1,0))</f>
        <v>28899500</v>
      </c>
      <c r="AO327">
        <f>INDEX(TCO!$B$2:$AQ$85,MATCH('Historical Shareweights'!$A327,TCO!$A$2:$A$85,0),MATCH('Historical Shareweights'!AO321,TCO!$B$1:$AQ$1,0))</f>
        <v>28899500</v>
      </c>
      <c r="AP327">
        <f>INDEX(TCO!$B$2:$AQ$85,MATCH('Historical Shareweights'!$A327,TCO!$A$2:$A$85,0),MATCH('Historical Shareweights'!AP321,TCO!$B$1:$AQ$1,0))</f>
        <v>28899500</v>
      </c>
      <c r="AQ327">
        <f>INDEX(TCO!$B$2:$AQ$85,MATCH('Historical Shareweights'!$A327,TCO!$A$2:$A$85,0),MATCH('Historical Shareweights'!AQ321,TCO!$B$1:$AQ$1,0))</f>
        <v>28899500</v>
      </c>
    </row>
    <row r="328" spans="1:43" hidden="1" outlineLevel="1" x14ac:dyDescent="0.15">
      <c r="A328" t="s">
        <v>1174</v>
      </c>
      <c r="B328">
        <f>INDEX(TCO!$B$2:$AQ$85,MATCH('Historical Shareweights'!$A328,TCO!$A$2:$A$85,0),MATCH('Historical Shareweights'!B321,TCO!$B$1:$AQ$1,0))</f>
        <v>29139700</v>
      </c>
      <c r="C328">
        <f>INDEX(TCO!$B$2:$AQ$85,MATCH('Historical Shareweights'!$A328,TCO!$A$2:$A$85,0),MATCH('Historical Shareweights'!C321,TCO!$B$1:$AQ$1,0))</f>
        <v>29139700</v>
      </c>
      <c r="D328">
        <f>INDEX(TCO!$B$2:$AQ$85,MATCH('Historical Shareweights'!$A328,TCO!$A$2:$A$85,0),MATCH('Historical Shareweights'!D321,TCO!$B$1:$AQ$1,0))</f>
        <v>29496100</v>
      </c>
      <c r="E328">
        <f>INDEX(TCO!$B$2:$AQ$85,MATCH('Historical Shareweights'!$A328,TCO!$A$2:$A$85,0),MATCH('Historical Shareweights'!E321,TCO!$B$1:$AQ$1,0))</f>
        <v>27439100</v>
      </c>
      <c r="F328">
        <f>INDEX(TCO!$B$2:$AQ$85,MATCH('Historical Shareweights'!$A328,TCO!$A$2:$A$85,0),MATCH('Historical Shareweights'!F321,TCO!$B$1:$AQ$1,0))</f>
        <v>31864400</v>
      </c>
      <c r="G328">
        <f>INDEX(TCO!$B$2:$AQ$85,MATCH('Historical Shareweights'!$A328,TCO!$A$2:$A$85,0),MATCH('Historical Shareweights'!G321,TCO!$B$1:$AQ$1,0))</f>
        <v>31655700</v>
      </c>
      <c r="H328">
        <f>INDEX(TCO!$B$2:$AQ$85,MATCH('Historical Shareweights'!$A328,TCO!$A$2:$A$85,0),MATCH('Historical Shareweights'!H321,TCO!$B$1:$AQ$1,0))</f>
        <v>31207700</v>
      </c>
      <c r="I328">
        <f>INDEX(TCO!$B$2:$AQ$85,MATCH('Historical Shareweights'!$A328,TCO!$A$2:$A$85,0),MATCH('Historical Shareweights'!I321,TCO!$B$1:$AQ$1,0))</f>
        <v>30768700</v>
      </c>
      <c r="J328">
        <f>INDEX(TCO!$B$2:$AQ$85,MATCH('Historical Shareweights'!$A328,TCO!$A$2:$A$85,0),MATCH('Historical Shareweights'!J321,TCO!$B$1:$AQ$1,0))</f>
        <v>30357300</v>
      </c>
      <c r="K328">
        <f>INDEX(TCO!$B$2:$AQ$85,MATCH('Historical Shareweights'!$A328,TCO!$A$2:$A$85,0),MATCH('Historical Shareweights'!K321,TCO!$B$1:$AQ$1,0))</f>
        <v>29973700</v>
      </c>
      <c r="L328">
        <f>INDEX(TCO!$B$2:$AQ$85,MATCH('Historical Shareweights'!$A328,TCO!$A$2:$A$85,0),MATCH('Historical Shareweights'!L321,TCO!$B$1:$AQ$1,0))</f>
        <v>29613600</v>
      </c>
      <c r="M328">
        <f>INDEX(TCO!$B$2:$AQ$85,MATCH('Historical Shareweights'!$A328,TCO!$A$2:$A$85,0),MATCH('Historical Shareweights'!M321,TCO!$B$1:$AQ$1,0))</f>
        <v>29260100</v>
      </c>
      <c r="N328">
        <f>INDEX(TCO!$B$2:$AQ$85,MATCH('Historical Shareweights'!$A328,TCO!$A$2:$A$85,0),MATCH('Historical Shareweights'!N321,TCO!$B$1:$AQ$1,0))</f>
        <v>28907700</v>
      </c>
      <c r="O328">
        <f>INDEX(TCO!$B$2:$AQ$85,MATCH('Historical Shareweights'!$A328,TCO!$A$2:$A$85,0),MATCH('Historical Shareweights'!O321,TCO!$B$1:$AQ$1,0))</f>
        <v>28600700</v>
      </c>
      <c r="P328">
        <f>INDEX(TCO!$B$2:$AQ$85,MATCH('Historical Shareweights'!$A328,TCO!$A$2:$A$85,0),MATCH('Historical Shareweights'!P321,TCO!$B$1:$AQ$1,0))</f>
        <v>28299500</v>
      </c>
      <c r="Q328">
        <f>INDEX(TCO!$B$2:$AQ$85,MATCH('Historical Shareweights'!$A328,TCO!$A$2:$A$85,0),MATCH('Historical Shareweights'!Q321,TCO!$B$1:$AQ$1,0))</f>
        <v>27999300</v>
      </c>
      <c r="R328">
        <f>INDEX(TCO!$B$2:$AQ$85,MATCH('Historical Shareweights'!$A328,TCO!$A$2:$A$85,0),MATCH('Historical Shareweights'!R321,TCO!$B$1:$AQ$1,0))</f>
        <v>27723700</v>
      </c>
      <c r="S328">
        <f>INDEX(TCO!$B$2:$AQ$85,MATCH('Historical Shareweights'!$A328,TCO!$A$2:$A$85,0),MATCH('Historical Shareweights'!S321,TCO!$B$1:$AQ$1,0))</f>
        <v>27452100</v>
      </c>
      <c r="T328">
        <f>INDEX(TCO!$B$2:$AQ$85,MATCH('Historical Shareweights'!$A328,TCO!$A$2:$A$85,0),MATCH('Historical Shareweights'!T321,TCO!$B$1:$AQ$1,0))</f>
        <v>27203500</v>
      </c>
      <c r="U328">
        <f>INDEX(TCO!$B$2:$AQ$85,MATCH('Historical Shareweights'!$A328,TCO!$A$2:$A$85,0),MATCH('Historical Shareweights'!U321,TCO!$B$1:$AQ$1,0))</f>
        <v>26956100</v>
      </c>
      <c r="V328">
        <f>INDEX(TCO!$B$2:$AQ$85,MATCH('Historical Shareweights'!$A328,TCO!$A$2:$A$85,0),MATCH('Historical Shareweights'!V321,TCO!$B$1:$AQ$1,0))</f>
        <v>26735800</v>
      </c>
      <c r="W328">
        <f>INDEX(TCO!$B$2:$AQ$85,MATCH('Historical Shareweights'!$A328,TCO!$A$2:$A$85,0),MATCH('Historical Shareweights'!W321,TCO!$B$1:$AQ$1,0))</f>
        <v>26514800</v>
      </c>
      <c r="X328">
        <f>INDEX(TCO!$B$2:$AQ$85,MATCH('Historical Shareweights'!$A328,TCO!$A$2:$A$85,0),MATCH('Historical Shareweights'!X321,TCO!$B$1:$AQ$1,0))</f>
        <v>26320700</v>
      </c>
      <c r="Y328">
        <f>INDEX(TCO!$B$2:$AQ$85,MATCH('Historical Shareweights'!$A328,TCO!$A$2:$A$85,0),MATCH('Historical Shareweights'!Y321,TCO!$B$1:$AQ$1,0))</f>
        <v>26125600</v>
      </c>
      <c r="Z328">
        <f>INDEX(TCO!$B$2:$AQ$85,MATCH('Historical Shareweights'!$A328,TCO!$A$2:$A$85,0),MATCH('Historical Shareweights'!Z321,TCO!$B$1:$AQ$1,0))</f>
        <v>25933800</v>
      </c>
      <c r="AA328">
        <f>INDEX(TCO!$B$2:$AQ$85,MATCH('Historical Shareweights'!$A328,TCO!$A$2:$A$85,0),MATCH('Historical Shareweights'!AA321,TCO!$B$1:$AQ$1,0))</f>
        <v>25745200</v>
      </c>
      <c r="AB328">
        <f>INDEX(TCO!$B$2:$AQ$85,MATCH('Historical Shareweights'!$A328,TCO!$A$2:$A$85,0),MATCH('Historical Shareweights'!AB321,TCO!$B$1:$AQ$1,0))</f>
        <v>25579100</v>
      </c>
      <c r="AC328">
        <f>INDEX(TCO!$B$2:$AQ$85,MATCH('Historical Shareweights'!$A328,TCO!$A$2:$A$85,0),MATCH('Historical Shareweights'!AC321,TCO!$B$1:$AQ$1,0))</f>
        <v>25413700</v>
      </c>
      <c r="AD328">
        <f>INDEX(TCO!$B$2:$AQ$85,MATCH('Historical Shareweights'!$A328,TCO!$A$2:$A$85,0),MATCH('Historical Shareweights'!AD321,TCO!$B$1:$AQ$1,0))</f>
        <v>25273100</v>
      </c>
      <c r="AE328">
        <f>INDEX(TCO!$B$2:$AQ$85,MATCH('Historical Shareweights'!$A328,TCO!$A$2:$A$85,0),MATCH('Historical Shareweights'!AE321,TCO!$B$1:$AQ$1,0))</f>
        <v>25111700</v>
      </c>
      <c r="AF328">
        <f>INDEX(TCO!$B$2:$AQ$85,MATCH('Historical Shareweights'!$A328,TCO!$A$2:$A$85,0),MATCH('Historical Shareweights'!AF321,TCO!$B$1:$AQ$1,0))</f>
        <v>24974900</v>
      </c>
      <c r="AG328">
        <f>INDEX(TCO!$B$2:$AQ$85,MATCH('Historical Shareweights'!$A328,TCO!$A$2:$A$85,0),MATCH('Historical Shareweights'!AG321,TCO!$B$1:$AQ$1,0))</f>
        <v>24862700</v>
      </c>
      <c r="AH328">
        <f>INDEX(TCO!$B$2:$AQ$85,MATCH('Historical Shareweights'!$A328,TCO!$A$2:$A$85,0),MATCH('Historical Shareweights'!AH321,TCO!$B$1:$AQ$1,0))</f>
        <v>24749800</v>
      </c>
      <c r="AI328">
        <f>INDEX(TCO!$B$2:$AQ$85,MATCH('Historical Shareweights'!$A328,TCO!$A$2:$A$85,0),MATCH('Historical Shareweights'!AI321,TCO!$B$1:$AQ$1,0))</f>
        <v>24643300</v>
      </c>
      <c r="AJ328">
        <f>INDEX(TCO!$B$2:$AQ$85,MATCH('Historical Shareweights'!$A328,TCO!$A$2:$A$85,0),MATCH('Historical Shareweights'!AJ321,TCO!$B$1:$AQ$1,0))</f>
        <v>24541300</v>
      </c>
      <c r="AK328">
        <f>INDEX(TCO!$B$2:$AQ$85,MATCH('Historical Shareweights'!$A328,TCO!$A$2:$A$85,0),MATCH('Historical Shareweights'!AK321,TCO!$B$1:$AQ$1,0))</f>
        <v>24443600</v>
      </c>
      <c r="AL328">
        <f>INDEX(TCO!$B$2:$AQ$85,MATCH('Historical Shareweights'!$A328,TCO!$A$2:$A$85,0),MATCH('Historical Shareweights'!AL321,TCO!$B$1:$AQ$1,0))</f>
        <v>24350200</v>
      </c>
      <c r="AM328">
        <f>INDEX(TCO!$B$2:$AQ$85,MATCH('Historical Shareweights'!$A328,TCO!$A$2:$A$85,0),MATCH('Historical Shareweights'!AM321,TCO!$B$1:$AQ$1,0))</f>
        <v>24261800</v>
      </c>
      <c r="AN328">
        <f>INDEX(TCO!$B$2:$AQ$85,MATCH('Historical Shareweights'!$A328,TCO!$A$2:$A$85,0),MATCH('Historical Shareweights'!AN321,TCO!$B$1:$AQ$1,0))</f>
        <v>24178400</v>
      </c>
      <c r="AO328">
        <f>INDEX(TCO!$B$2:$AQ$85,MATCH('Historical Shareweights'!$A328,TCO!$A$2:$A$85,0),MATCH('Historical Shareweights'!AO321,TCO!$B$1:$AQ$1,0))</f>
        <v>24097400</v>
      </c>
      <c r="AP328">
        <f>INDEX(TCO!$B$2:$AQ$85,MATCH('Historical Shareweights'!$A328,TCO!$A$2:$A$85,0),MATCH('Historical Shareweights'!AP321,TCO!$B$1:$AQ$1,0))</f>
        <v>24021400</v>
      </c>
      <c r="AQ328">
        <f>INDEX(TCO!$B$2:$AQ$85,MATCH('Historical Shareweights'!$A328,TCO!$A$2:$A$85,0),MATCH('Historical Shareweights'!AQ321,TCO!$B$1:$AQ$1,0))</f>
        <v>23947800</v>
      </c>
    </row>
    <row r="329" spans="1:43" hidden="1" outlineLevel="1" x14ac:dyDescent="0.15"/>
    <row r="330" spans="1:43" ht="13.6" hidden="1" outlineLevel="1" thickBot="1" x14ac:dyDescent="0.2">
      <c r="A330" s="1" t="s">
        <v>1101</v>
      </c>
      <c r="B330" s="175">
        <v>2020</v>
      </c>
    </row>
    <row r="331" spans="1:43" hidden="1" outlineLevel="1" x14ac:dyDescent="0.15"/>
    <row r="332" spans="1:43" hidden="1" outlineLevel="1" x14ac:dyDescent="0.15">
      <c r="A332" s="1" t="s">
        <v>1102</v>
      </c>
    </row>
    <row r="333" spans="1:43" hidden="1" outlineLevel="1" x14ac:dyDescent="0.15">
      <c r="B333" t="s">
        <v>1103</v>
      </c>
      <c r="C333" t="s">
        <v>1104</v>
      </c>
      <c r="D333" t="s">
        <v>1105</v>
      </c>
      <c r="E333" t="s">
        <v>1106</v>
      </c>
      <c r="F333" t="s">
        <v>1107</v>
      </c>
      <c r="G333" t="s">
        <v>1108</v>
      </c>
    </row>
    <row r="334" spans="1:43" hidden="1" outlineLevel="1" x14ac:dyDescent="0.15">
      <c r="A334" t="s">
        <v>1084</v>
      </c>
      <c r="B334" s="179">
        <v>2.8984233113605349</v>
      </c>
      <c r="C334" cm="1">
        <f t="array" ref="C334">INDEX($B322:$AQ322,,MATCH($B330,$B321:$AQ321,0))/10^6</f>
        <v>26.914999999999999</v>
      </c>
      <c r="D334" s="176">
        <f>B334*EXP(C334*$B318)</f>
        <v>2.4834411482797312E-35</v>
      </c>
      <c r="E334" s="171">
        <f>D334/SUM($D334:$D340)</f>
        <v>0.99999999999999634</v>
      </c>
      <c r="F334" s="177">
        <f>INDEX($B309:$F315,MATCH(A334,$A309:$A315,0),MATCH($B330,$B308:$F308,0))</f>
        <v>0.9</v>
      </c>
      <c r="G334" s="178">
        <f>ABS(F334-E334)</f>
        <v>9.9999999999996314E-2</v>
      </c>
    </row>
    <row r="335" spans="1:43" hidden="1" outlineLevel="1" x14ac:dyDescent="0.15">
      <c r="A335" t="s">
        <v>1086</v>
      </c>
      <c r="B335" s="179">
        <v>0</v>
      </c>
      <c r="C335" cm="1">
        <f t="array" ref="C335">INDEX($B323:$AQ323,,MATCH($B330,$B321:$AQ321,0))/10^6</f>
        <v>28.8995</v>
      </c>
      <c r="D335" s="176">
        <f>B335*EXP(C335*$B318)</f>
        <v>0</v>
      </c>
      <c r="E335" s="171">
        <f>D335/SUM($D334:$D340)</f>
        <v>0</v>
      </c>
      <c r="F335" s="177">
        <f>INDEX($B309:$F315,MATCH(A335,$A309:$A315,0),MATCH($B330,$B308:$F308,0))</f>
        <v>0</v>
      </c>
      <c r="G335" s="178">
        <f t="shared" ref="G335:G340" si="48">ABS(F335-E335)</f>
        <v>0</v>
      </c>
    </row>
    <row r="336" spans="1:43" hidden="1" outlineLevel="1" x14ac:dyDescent="0.15">
      <c r="A336" t="s">
        <v>1088</v>
      </c>
      <c r="B336" s="179">
        <v>0</v>
      </c>
      <c r="C336" cm="1">
        <f t="array" ref="C336">INDEX($B324:$AQ324,,MATCH($B330,$B321:$AQ321,0))/10^6</f>
        <v>28.8995</v>
      </c>
      <c r="D336" s="176">
        <f>B336*EXP(C336*$B318)</f>
        <v>0</v>
      </c>
      <c r="E336" s="171">
        <f>D336/SUM($D334:$D340)</f>
        <v>0</v>
      </c>
      <c r="F336" s="177">
        <f>INDEX($B309:$F315,MATCH(A336,$A309:$A315,0),MATCH($B330,$B308:$F308,0))</f>
        <v>0</v>
      </c>
      <c r="G336" s="178">
        <f t="shared" si="48"/>
        <v>0</v>
      </c>
    </row>
    <row r="337" spans="1:7" hidden="1" outlineLevel="1" x14ac:dyDescent="0.15">
      <c r="A337" t="s">
        <v>408</v>
      </c>
      <c r="B337" s="179">
        <v>1.2563268789034812</v>
      </c>
      <c r="C337" cm="1">
        <f t="array" ref="C337">INDEX($B325:$AQ325,,MATCH($B330,$B321:$AQ321,0))/10^6</f>
        <v>37.7104</v>
      </c>
      <c r="D337" s="176">
        <f>B337*EXP(C337*$B318)</f>
        <v>9.2650285182219291E-50</v>
      </c>
      <c r="E337" s="171">
        <f>D337/SUM($D334:$D340)</f>
        <v>3.7307219962267841E-15</v>
      </c>
      <c r="F337" s="177">
        <f>INDEX($B309:$F315,MATCH(A337,$A309:$A315,0),MATCH($B330,$B308:$F308,0))</f>
        <v>9.9999999999999978E-2</v>
      </c>
      <c r="G337" s="178">
        <f t="shared" si="48"/>
        <v>9.9999999999996245E-2</v>
      </c>
    </row>
    <row r="338" spans="1:7" hidden="1" outlineLevel="1" x14ac:dyDescent="0.15">
      <c r="A338" t="s">
        <v>1089</v>
      </c>
      <c r="B338" s="179">
        <v>0</v>
      </c>
      <c r="C338" cm="1">
        <f t="array" ref="C338">INDEX($B326:$AQ326,,MATCH($B330,$B321:$AQ321,0))/10^6</f>
        <v>28.8995</v>
      </c>
      <c r="D338" s="176">
        <f>B338*EXP(C338*$B318)</f>
        <v>0</v>
      </c>
      <c r="E338" s="171">
        <f>D338/SUM($D334:$D340)</f>
        <v>0</v>
      </c>
      <c r="F338" s="177">
        <f>INDEX($B309:$F315,MATCH(A338,$A309:$A315,0),MATCH($B330,$B308:$F308,0))</f>
        <v>0</v>
      </c>
      <c r="G338" s="178">
        <f t="shared" si="48"/>
        <v>0</v>
      </c>
    </row>
    <row r="339" spans="1:7" hidden="1" outlineLevel="1" x14ac:dyDescent="0.15">
      <c r="A339" t="s">
        <v>1090</v>
      </c>
      <c r="B339" s="179">
        <v>0</v>
      </c>
      <c r="C339" cm="1">
        <f t="array" ref="C339">INDEX($B327:$AQ327,,MATCH($B330,$B321:$AQ321,0))/10^6</f>
        <v>28.8995</v>
      </c>
      <c r="D339" s="176">
        <f>B339*EXP(C339*$B318)</f>
        <v>0</v>
      </c>
      <c r="E339" s="171">
        <f>D339/SUM($D334:$D340)</f>
        <v>0</v>
      </c>
      <c r="F339" s="177">
        <f>INDEX($B309:$F315,MATCH(A339,$A309:$A315,0),MATCH($B330,$B308:$F308,0))</f>
        <v>0</v>
      </c>
      <c r="G339" s="178">
        <f t="shared" si="48"/>
        <v>0</v>
      </c>
    </row>
    <row r="340" spans="1:7" hidden="1" outlineLevel="1" x14ac:dyDescent="0.15">
      <c r="A340" t="s">
        <v>1091</v>
      </c>
      <c r="B340" s="179">
        <v>0</v>
      </c>
      <c r="C340" cm="1">
        <f t="array" ref="C340">INDEX($B328:$AQ328,,MATCH($B330,$B321:$AQ321,0))/10^6</f>
        <v>29.139700000000001</v>
      </c>
      <c r="D340" s="176">
        <f>B340*EXP(C340*$B318)</f>
        <v>0</v>
      </c>
      <c r="E340" s="171">
        <f>D340/SUM($D334:$D340)</f>
        <v>0</v>
      </c>
      <c r="F340" s="177">
        <f>INDEX($B309:$F315,MATCH(A340,$A309:$A315,0),MATCH($B330,$B308:$F308,0))</f>
        <v>0</v>
      </c>
      <c r="G340" s="178">
        <f t="shared" si="48"/>
        <v>0</v>
      </c>
    </row>
    <row r="341" spans="1:7" hidden="1" outlineLevel="1" x14ac:dyDescent="0.15">
      <c r="G341" s="178"/>
    </row>
    <row r="342" spans="1:7" hidden="1" outlineLevel="1" x14ac:dyDescent="0.15">
      <c r="F342" s="1" t="s">
        <v>1109</v>
      </c>
      <c r="G342" s="179">
        <f>SUM(G334:G340)</f>
        <v>0.19999999999999257</v>
      </c>
    </row>
    <row r="343" spans="1:7" hidden="1" outlineLevel="1" x14ac:dyDescent="0.15"/>
    <row r="344" spans="1:7" hidden="1" outlineLevel="1" x14ac:dyDescent="0.15">
      <c r="A344" s="1" t="s">
        <v>1110</v>
      </c>
      <c r="B344">
        <v>2019</v>
      </c>
      <c r="C344">
        <v>2020</v>
      </c>
      <c r="D344">
        <v>2021</v>
      </c>
      <c r="E344">
        <v>2022</v>
      </c>
      <c r="F344">
        <v>2023</v>
      </c>
    </row>
    <row r="345" spans="1:7" hidden="1" outlineLevel="1" x14ac:dyDescent="0.15">
      <c r="A345" t="s">
        <v>1084</v>
      </c>
      <c r="B345" s="179">
        <v>2.9712023580551397</v>
      </c>
      <c r="C345" s="179">
        <v>2.8984233113605349</v>
      </c>
      <c r="D345" s="179">
        <v>2.7705070524344917</v>
      </c>
      <c r="E345" s="179">
        <v>2.8473979725967618</v>
      </c>
      <c r="F345" s="179">
        <v>3</v>
      </c>
    </row>
    <row r="346" spans="1:7" hidden="1" outlineLevel="1" x14ac:dyDescent="0.15">
      <c r="A346" t="s">
        <v>1086</v>
      </c>
      <c r="B346" s="179">
        <v>0</v>
      </c>
      <c r="C346" s="179">
        <v>0</v>
      </c>
      <c r="D346" s="179">
        <v>0</v>
      </c>
      <c r="E346" s="179">
        <v>0</v>
      </c>
      <c r="F346" s="179">
        <v>0</v>
      </c>
    </row>
    <row r="347" spans="1:7" hidden="1" outlineLevel="1" x14ac:dyDescent="0.15">
      <c r="A347" t="s">
        <v>1088</v>
      </c>
      <c r="B347" s="179">
        <v>0</v>
      </c>
      <c r="C347" s="179">
        <v>0</v>
      </c>
      <c r="D347" s="179">
        <v>0</v>
      </c>
      <c r="E347" s="179">
        <v>0</v>
      </c>
      <c r="F347" s="179">
        <v>0</v>
      </c>
    </row>
    <row r="348" spans="1:7" hidden="1" outlineLevel="1" x14ac:dyDescent="0.15">
      <c r="A348" t="s">
        <v>408</v>
      </c>
      <c r="B348" s="179">
        <v>1.2697653649805649</v>
      </c>
      <c r="C348" s="179">
        <v>1.2563268789034812</v>
      </c>
      <c r="D348" s="179">
        <v>1.3075050530946561</v>
      </c>
      <c r="E348" s="179">
        <v>1.2334140933350732</v>
      </c>
      <c r="F348" s="179">
        <v>1.1754753809846075</v>
      </c>
    </row>
    <row r="349" spans="1:7" hidden="1" outlineLevel="1" x14ac:dyDescent="0.15">
      <c r="A349" t="s">
        <v>1089</v>
      </c>
      <c r="B349" s="179">
        <v>0</v>
      </c>
      <c r="C349" s="179">
        <v>0</v>
      </c>
      <c r="D349" s="179">
        <v>0</v>
      </c>
      <c r="E349" s="179">
        <v>0</v>
      </c>
      <c r="F349" s="179">
        <v>0</v>
      </c>
    </row>
    <row r="350" spans="1:7" hidden="1" outlineLevel="1" x14ac:dyDescent="0.15">
      <c r="A350" t="s">
        <v>1090</v>
      </c>
      <c r="B350" s="179">
        <v>0</v>
      </c>
      <c r="C350" s="179">
        <v>0</v>
      </c>
      <c r="D350" s="179">
        <v>0</v>
      </c>
      <c r="E350" s="179">
        <v>0</v>
      </c>
      <c r="F350" s="179">
        <v>0</v>
      </c>
    </row>
    <row r="351" spans="1:7" hidden="1" outlineLevel="1" x14ac:dyDescent="0.15">
      <c r="A351" t="s">
        <v>1091</v>
      </c>
      <c r="B351" s="179">
        <v>0</v>
      </c>
      <c r="C351" s="179">
        <v>0</v>
      </c>
      <c r="D351" s="179">
        <v>0</v>
      </c>
      <c r="E351" s="179">
        <v>0</v>
      </c>
      <c r="F351" s="179">
        <v>0</v>
      </c>
    </row>
    <row r="352" spans="1:7" collapsed="1" x14ac:dyDescent="0.15"/>
    <row r="353" spans="1:43" s="170" customFormat="1" x14ac:dyDescent="0.15">
      <c r="A353" s="169" t="s">
        <v>1175</v>
      </c>
    </row>
    <row r="354" spans="1:43" hidden="1" outlineLevel="1" x14ac:dyDescent="0.15">
      <c r="A354" s="1"/>
    </row>
    <row r="355" spans="1:43" hidden="1" outlineLevel="1" x14ac:dyDescent="0.15">
      <c r="A355" s="1" t="s">
        <v>1082</v>
      </c>
      <c r="B355" s="1">
        <v>2019</v>
      </c>
      <c r="C355" s="1">
        <v>2020</v>
      </c>
      <c r="D355" s="1">
        <v>2021</v>
      </c>
      <c r="E355" s="1">
        <v>2022</v>
      </c>
      <c r="F355" s="1">
        <v>2023</v>
      </c>
      <c r="G355" s="1">
        <v>2024</v>
      </c>
    </row>
    <row r="356" spans="1:43" hidden="1" outlineLevel="1" x14ac:dyDescent="0.15">
      <c r="A356" t="s">
        <v>1084</v>
      </c>
      <c r="B356" s="182">
        <f>B309</f>
        <v>0.9</v>
      </c>
      <c r="C356" s="182">
        <f t="shared" ref="C356:G356" si="49">C309</f>
        <v>0.9</v>
      </c>
      <c r="D356" s="182">
        <f t="shared" si="49"/>
        <v>0.9</v>
      </c>
      <c r="E356" s="182">
        <f t="shared" si="49"/>
        <v>0.9</v>
      </c>
      <c r="F356" s="182">
        <f t="shared" si="49"/>
        <v>0.9</v>
      </c>
      <c r="G356" s="182">
        <f t="shared" si="49"/>
        <v>0.9</v>
      </c>
    </row>
    <row r="357" spans="1:43" hidden="1" outlineLevel="1" x14ac:dyDescent="0.15">
      <c r="A357" t="s">
        <v>1086</v>
      </c>
      <c r="B357" s="172">
        <v>0</v>
      </c>
      <c r="C357" s="172">
        <v>0</v>
      </c>
      <c r="D357" s="172">
        <v>0</v>
      </c>
      <c r="E357" s="172">
        <v>0</v>
      </c>
      <c r="F357" s="172">
        <v>0</v>
      </c>
      <c r="G357" s="171"/>
    </row>
    <row r="358" spans="1:43" hidden="1" outlineLevel="1" x14ac:dyDescent="0.15">
      <c r="A358" t="s">
        <v>1088</v>
      </c>
      <c r="B358" s="172">
        <v>0</v>
      </c>
      <c r="C358" s="172">
        <v>0</v>
      </c>
      <c r="D358" s="172">
        <v>0</v>
      </c>
      <c r="E358" s="172">
        <v>0</v>
      </c>
      <c r="F358" s="172">
        <v>0</v>
      </c>
      <c r="G358" s="171"/>
    </row>
    <row r="359" spans="1:43" hidden="1" outlineLevel="1" x14ac:dyDescent="0.15">
      <c r="A359" t="s">
        <v>408</v>
      </c>
      <c r="B359" s="188">
        <f>B312</f>
        <v>9.9999999999999978E-2</v>
      </c>
      <c r="C359" s="188">
        <f t="shared" ref="C359:G359" si="50">C312</f>
        <v>9.9999999999999978E-2</v>
      </c>
      <c r="D359" s="188">
        <f t="shared" si="50"/>
        <v>9.9999999999999978E-2</v>
      </c>
      <c r="E359" s="188">
        <f t="shared" si="50"/>
        <v>9.9999999999999978E-2</v>
      </c>
      <c r="F359" s="188">
        <f t="shared" si="50"/>
        <v>9.9999999999999978E-2</v>
      </c>
      <c r="G359" s="188">
        <f t="shared" si="50"/>
        <v>9.9999999999999978E-2</v>
      </c>
    </row>
    <row r="360" spans="1:43" hidden="1" outlineLevel="1" x14ac:dyDescent="0.15">
      <c r="A360" t="s">
        <v>1089</v>
      </c>
      <c r="B360" s="172">
        <v>0</v>
      </c>
      <c r="C360" s="172">
        <v>0</v>
      </c>
      <c r="D360" s="172">
        <v>0</v>
      </c>
      <c r="E360" s="172">
        <v>0</v>
      </c>
      <c r="F360" s="172">
        <v>0</v>
      </c>
      <c r="G360" s="171"/>
    </row>
    <row r="361" spans="1:43" hidden="1" outlineLevel="1" x14ac:dyDescent="0.15">
      <c r="A361" t="s">
        <v>1090</v>
      </c>
      <c r="B361" s="172">
        <v>0</v>
      </c>
      <c r="C361" s="172">
        <v>0</v>
      </c>
      <c r="D361" s="172">
        <v>0</v>
      </c>
      <c r="E361" s="172">
        <v>0</v>
      </c>
      <c r="F361" s="172">
        <v>0</v>
      </c>
      <c r="G361" s="171"/>
    </row>
    <row r="362" spans="1:43" hidden="1" outlineLevel="1" x14ac:dyDescent="0.15">
      <c r="A362" t="s">
        <v>1091</v>
      </c>
      <c r="B362" s="172">
        <v>0</v>
      </c>
      <c r="C362" s="172">
        <v>0</v>
      </c>
      <c r="D362" s="172">
        <v>0</v>
      </c>
      <c r="E362" s="172">
        <v>0</v>
      </c>
      <c r="F362" s="172">
        <v>0</v>
      </c>
      <c r="G362" s="171"/>
    </row>
    <row r="363" spans="1:43" hidden="1" outlineLevel="1" x14ac:dyDescent="0.15">
      <c r="A363" s="173" t="s">
        <v>1092</v>
      </c>
      <c r="B363" s="174">
        <f>SUM(B356:B362)</f>
        <v>1</v>
      </c>
      <c r="C363" s="174">
        <f t="shared" ref="C363:F363" si="51">SUM(C356:C362)</f>
        <v>1</v>
      </c>
      <c r="D363" s="174">
        <f t="shared" si="51"/>
        <v>1</v>
      </c>
      <c r="E363" s="174">
        <f t="shared" si="51"/>
        <v>1</v>
      </c>
      <c r="F363" s="174">
        <f t="shared" si="51"/>
        <v>1</v>
      </c>
      <c r="G363" s="173"/>
    </row>
    <row r="364" spans="1:43" hidden="1" outlineLevel="1" x14ac:dyDescent="0.15"/>
    <row r="365" spans="1:43" hidden="1" outlineLevel="1" x14ac:dyDescent="0.15">
      <c r="A365" s="1" t="s">
        <v>1093</v>
      </c>
      <c r="B365">
        <f>INDEX($B$11:$AQ$22,MATCH("*"&amp;A353&amp;"*",$A$11:$A$22,0),MATCH(B355,$B$10:$AQ$10,0))</f>
        <v>-3</v>
      </c>
    </row>
    <row r="366" spans="1:43" hidden="1" outlineLevel="1" x14ac:dyDescent="0.15"/>
    <row r="367" spans="1:43" hidden="1" outlineLevel="1" x14ac:dyDescent="0.15">
      <c r="A367" s="1" t="s">
        <v>1094</v>
      </c>
    </row>
    <row r="368" spans="1:43" hidden="1" outlineLevel="1" x14ac:dyDescent="0.15">
      <c r="A368" t="s">
        <v>1068</v>
      </c>
      <c r="B368">
        <v>2019</v>
      </c>
      <c r="C368">
        <v>2020</v>
      </c>
      <c r="D368">
        <v>2021</v>
      </c>
      <c r="E368">
        <v>2022</v>
      </c>
      <c r="F368">
        <v>2023</v>
      </c>
      <c r="G368">
        <v>2024</v>
      </c>
      <c r="H368">
        <v>2025</v>
      </c>
      <c r="I368">
        <v>2026</v>
      </c>
      <c r="J368">
        <v>2027</v>
      </c>
      <c r="K368">
        <v>2028</v>
      </c>
      <c r="L368">
        <v>2029</v>
      </c>
      <c r="M368">
        <v>2030</v>
      </c>
      <c r="N368">
        <v>2031</v>
      </c>
      <c r="O368">
        <v>2032</v>
      </c>
      <c r="P368">
        <v>2033</v>
      </c>
      <c r="Q368">
        <v>2034</v>
      </c>
      <c r="R368">
        <v>2035</v>
      </c>
      <c r="S368">
        <v>2036</v>
      </c>
      <c r="T368">
        <v>2037</v>
      </c>
      <c r="U368">
        <v>2038</v>
      </c>
      <c r="V368">
        <v>2039</v>
      </c>
      <c r="W368">
        <v>2040</v>
      </c>
      <c r="X368">
        <v>2041</v>
      </c>
      <c r="Y368">
        <v>2042</v>
      </c>
      <c r="Z368">
        <v>2043</v>
      </c>
      <c r="AA368">
        <v>2044</v>
      </c>
      <c r="AB368">
        <v>2045</v>
      </c>
      <c r="AC368">
        <v>2046</v>
      </c>
      <c r="AD368">
        <v>2047</v>
      </c>
      <c r="AE368">
        <v>2048</v>
      </c>
      <c r="AF368">
        <v>2049</v>
      </c>
      <c r="AG368">
        <v>2050</v>
      </c>
      <c r="AH368">
        <v>2051</v>
      </c>
      <c r="AI368">
        <v>2052</v>
      </c>
      <c r="AJ368">
        <v>2053</v>
      </c>
      <c r="AK368">
        <v>2054</v>
      </c>
      <c r="AL368">
        <v>2055</v>
      </c>
      <c r="AM368">
        <v>2056</v>
      </c>
      <c r="AN368">
        <v>2057</v>
      </c>
      <c r="AO368">
        <v>2058</v>
      </c>
      <c r="AP368">
        <v>2059</v>
      </c>
      <c r="AQ368">
        <v>2060</v>
      </c>
    </row>
    <row r="369" spans="1:43" hidden="1" outlineLevel="1" x14ac:dyDescent="0.15">
      <c r="A369" t="s">
        <v>1176</v>
      </c>
      <c r="B369">
        <f>INDEX(TCO!$B$2:$AQ$85,MATCH('Historical Shareweights'!$A369,TCO!$A$2:$A$85,0),MATCH('Historical Shareweights'!B368,TCO!$B$1:$AQ$1,0))</f>
        <v>24628900</v>
      </c>
      <c r="C369">
        <f>INDEX(TCO!$B$2:$AQ$85,MATCH('Historical Shareweights'!$A369,TCO!$A$2:$A$85,0),MATCH('Historical Shareweights'!C368,TCO!$B$1:$AQ$1,0))</f>
        <v>24628900</v>
      </c>
      <c r="D369">
        <f>INDEX(TCO!$B$2:$AQ$85,MATCH('Historical Shareweights'!$A369,TCO!$A$2:$A$85,0),MATCH('Historical Shareweights'!D368,TCO!$B$1:$AQ$1,0))</f>
        <v>24305200</v>
      </c>
      <c r="E369">
        <f>INDEX(TCO!$B$2:$AQ$85,MATCH('Historical Shareweights'!$A369,TCO!$A$2:$A$85,0),MATCH('Historical Shareweights'!E368,TCO!$B$1:$AQ$1,0))</f>
        <v>24096100</v>
      </c>
      <c r="F369">
        <f>INDEX(TCO!$B$2:$AQ$85,MATCH('Historical Shareweights'!$A369,TCO!$A$2:$A$85,0),MATCH('Historical Shareweights'!F368,TCO!$B$1:$AQ$1,0))</f>
        <v>23945700</v>
      </c>
      <c r="G369">
        <f>INDEX(TCO!$B$2:$AQ$85,MATCH('Historical Shareweights'!$A369,TCO!$A$2:$A$85,0),MATCH('Historical Shareweights'!G368,TCO!$B$1:$AQ$1,0))</f>
        <v>23828100</v>
      </c>
      <c r="H369">
        <f>INDEX(TCO!$B$2:$AQ$85,MATCH('Historical Shareweights'!$A369,TCO!$A$2:$A$85,0),MATCH('Historical Shareweights'!H368,TCO!$B$1:$AQ$1,0))</f>
        <v>23737500</v>
      </c>
      <c r="I369">
        <f>INDEX(TCO!$B$2:$AQ$85,MATCH('Historical Shareweights'!$A369,TCO!$A$2:$A$85,0),MATCH('Historical Shareweights'!I368,TCO!$B$1:$AQ$1,0))</f>
        <v>23658000</v>
      </c>
      <c r="J369">
        <f>INDEX(TCO!$B$2:$AQ$85,MATCH('Historical Shareweights'!$A369,TCO!$A$2:$A$85,0),MATCH('Historical Shareweights'!J368,TCO!$B$1:$AQ$1,0))</f>
        <v>23589600</v>
      </c>
      <c r="K369">
        <f>INDEX(TCO!$B$2:$AQ$85,MATCH('Historical Shareweights'!$A369,TCO!$A$2:$A$85,0),MATCH('Historical Shareweights'!K368,TCO!$B$1:$AQ$1,0))</f>
        <v>23529700</v>
      </c>
      <c r="L369">
        <f>INDEX(TCO!$B$2:$AQ$85,MATCH('Historical Shareweights'!$A369,TCO!$A$2:$A$85,0),MATCH('Historical Shareweights'!L368,TCO!$B$1:$AQ$1,0))</f>
        <v>23477000</v>
      </c>
      <c r="M369">
        <f>INDEX(TCO!$B$2:$AQ$85,MATCH('Historical Shareweights'!$A369,TCO!$A$2:$A$85,0),MATCH('Historical Shareweights'!M368,TCO!$B$1:$AQ$1,0))</f>
        <v>23430900</v>
      </c>
      <c r="N369">
        <f>INDEX(TCO!$B$2:$AQ$85,MATCH('Historical Shareweights'!$A369,TCO!$A$2:$A$85,0),MATCH('Historical Shareweights'!N368,TCO!$B$1:$AQ$1,0))</f>
        <v>23390300</v>
      </c>
      <c r="O369">
        <f>INDEX(TCO!$B$2:$AQ$85,MATCH('Historical Shareweights'!$A369,TCO!$A$2:$A$85,0),MATCH('Historical Shareweights'!O368,TCO!$B$1:$AQ$1,0))</f>
        <v>23354900</v>
      </c>
      <c r="P369">
        <f>INDEX(TCO!$B$2:$AQ$85,MATCH('Historical Shareweights'!$A369,TCO!$A$2:$A$85,0),MATCH('Historical Shareweights'!P368,TCO!$B$1:$AQ$1,0))</f>
        <v>23323500</v>
      </c>
      <c r="Q369">
        <f>INDEX(TCO!$B$2:$AQ$85,MATCH('Historical Shareweights'!$A369,TCO!$A$2:$A$85,0),MATCH('Historical Shareweights'!Q368,TCO!$B$1:$AQ$1,0))</f>
        <v>23296500</v>
      </c>
      <c r="R369">
        <f>INDEX(TCO!$B$2:$AQ$85,MATCH('Historical Shareweights'!$A369,TCO!$A$2:$A$85,0),MATCH('Historical Shareweights'!R368,TCO!$B$1:$AQ$1,0))</f>
        <v>23273100</v>
      </c>
      <c r="S369">
        <f>INDEX(TCO!$B$2:$AQ$85,MATCH('Historical Shareweights'!$A369,TCO!$A$2:$A$85,0),MATCH('Historical Shareweights'!S368,TCO!$B$1:$AQ$1,0))</f>
        <v>23252400</v>
      </c>
      <c r="T369">
        <f>INDEX(TCO!$B$2:$AQ$85,MATCH('Historical Shareweights'!$A369,TCO!$A$2:$A$85,0),MATCH('Historical Shareweights'!T368,TCO!$B$1:$AQ$1,0))</f>
        <v>23233900</v>
      </c>
      <c r="U369">
        <f>INDEX(TCO!$B$2:$AQ$85,MATCH('Historical Shareweights'!$A369,TCO!$A$2:$A$85,0),MATCH('Historical Shareweights'!U368,TCO!$B$1:$AQ$1,0))</f>
        <v>23217900</v>
      </c>
      <c r="V369">
        <f>INDEX(TCO!$B$2:$AQ$85,MATCH('Historical Shareweights'!$A369,TCO!$A$2:$A$85,0),MATCH('Historical Shareweights'!V368,TCO!$B$1:$AQ$1,0))</f>
        <v>23203700</v>
      </c>
      <c r="W369">
        <f>INDEX(TCO!$B$2:$AQ$85,MATCH('Historical Shareweights'!$A369,TCO!$A$2:$A$85,0),MATCH('Historical Shareweights'!W368,TCO!$B$1:$AQ$1,0))</f>
        <v>23190700</v>
      </c>
      <c r="X369">
        <f>INDEX(TCO!$B$2:$AQ$85,MATCH('Historical Shareweights'!$A369,TCO!$A$2:$A$85,0),MATCH('Historical Shareweights'!X368,TCO!$B$1:$AQ$1,0))</f>
        <v>23179100</v>
      </c>
      <c r="Y369">
        <f>INDEX(TCO!$B$2:$AQ$85,MATCH('Historical Shareweights'!$A369,TCO!$A$2:$A$85,0),MATCH('Historical Shareweights'!Y368,TCO!$B$1:$AQ$1,0))</f>
        <v>23168700</v>
      </c>
      <c r="Z369">
        <f>INDEX(TCO!$B$2:$AQ$85,MATCH('Historical Shareweights'!$A369,TCO!$A$2:$A$85,0),MATCH('Historical Shareweights'!Z368,TCO!$B$1:$AQ$1,0))</f>
        <v>23159200</v>
      </c>
      <c r="AA369">
        <f>INDEX(TCO!$B$2:$AQ$85,MATCH('Historical Shareweights'!$A369,TCO!$A$2:$A$85,0),MATCH('Historical Shareweights'!AA368,TCO!$B$1:$AQ$1,0))</f>
        <v>23150700</v>
      </c>
      <c r="AB369">
        <f>INDEX(TCO!$B$2:$AQ$85,MATCH('Historical Shareweights'!$A369,TCO!$A$2:$A$85,0),MATCH('Historical Shareweights'!AB368,TCO!$B$1:$AQ$1,0))</f>
        <v>23142900</v>
      </c>
      <c r="AC369">
        <f>INDEX(TCO!$B$2:$AQ$85,MATCH('Historical Shareweights'!$A369,TCO!$A$2:$A$85,0),MATCH('Historical Shareweights'!AC368,TCO!$B$1:$AQ$1,0))</f>
        <v>23135500</v>
      </c>
      <c r="AD369">
        <f>INDEX(TCO!$B$2:$AQ$85,MATCH('Historical Shareweights'!$A369,TCO!$A$2:$A$85,0),MATCH('Historical Shareweights'!AD368,TCO!$B$1:$AQ$1,0))</f>
        <v>23128900</v>
      </c>
      <c r="AE369">
        <f>INDEX(TCO!$B$2:$AQ$85,MATCH('Historical Shareweights'!$A369,TCO!$A$2:$A$85,0),MATCH('Historical Shareweights'!AE368,TCO!$B$1:$AQ$1,0))</f>
        <v>23123000</v>
      </c>
      <c r="AF369">
        <f>INDEX(TCO!$B$2:$AQ$85,MATCH('Historical Shareweights'!$A369,TCO!$A$2:$A$85,0),MATCH('Historical Shareweights'!AF368,TCO!$B$1:$AQ$1,0))</f>
        <v>23117200</v>
      </c>
      <c r="AG369">
        <f>INDEX(TCO!$B$2:$AQ$85,MATCH('Historical Shareweights'!$A369,TCO!$A$2:$A$85,0),MATCH('Historical Shareweights'!AG368,TCO!$B$1:$AQ$1,0))</f>
        <v>23111900</v>
      </c>
      <c r="AH369">
        <f>INDEX(TCO!$B$2:$AQ$85,MATCH('Historical Shareweights'!$A369,TCO!$A$2:$A$85,0),MATCH('Historical Shareweights'!AH368,TCO!$B$1:$AQ$1,0))</f>
        <v>23107200</v>
      </c>
      <c r="AI369">
        <f>INDEX(TCO!$B$2:$AQ$85,MATCH('Historical Shareweights'!$A369,TCO!$A$2:$A$85,0),MATCH('Historical Shareweights'!AI368,TCO!$B$1:$AQ$1,0))</f>
        <v>23102600</v>
      </c>
      <c r="AJ369">
        <f>INDEX(TCO!$B$2:$AQ$85,MATCH('Historical Shareweights'!$A369,TCO!$A$2:$A$85,0),MATCH('Historical Shareweights'!AJ368,TCO!$B$1:$AQ$1,0))</f>
        <v>23098400</v>
      </c>
      <c r="AK369">
        <f>INDEX(TCO!$B$2:$AQ$85,MATCH('Historical Shareweights'!$A369,TCO!$A$2:$A$85,0),MATCH('Historical Shareweights'!AK368,TCO!$B$1:$AQ$1,0))</f>
        <v>23094500</v>
      </c>
      <c r="AL369">
        <f>INDEX(TCO!$B$2:$AQ$85,MATCH('Historical Shareweights'!$A369,TCO!$A$2:$A$85,0),MATCH('Historical Shareweights'!AL368,TCO!$B$1:$AQ$1,0))</f>
        <v>23090700</v>
      </c>
      <c r="AM369">
        <f>INDEX(TCO!$B$2:$AQ$85,MATCH('Historical Shareweights'!$A369,TCO!$A$2:$A$85,0),MATCH('Historical Shareweights'!AM368,TCO!$B$1:$AQ$1,0))</f>
        <v>23087200</v>
      </c>
      <c r="AN369">
        <f>INDEX(TCO!$B$2:$AQ$85,MATCH('Historical Shareweights'!$A369,TCO!$A$2:$A$85,0),MATCH('Historical Shareweights'!AN368,TCO!$B$1:$AQ$1,0))</f>
        <v>23083900</v>
      </c>
      <c r="AO369">
        <f>INDEX(TCO!$B$2:$AQ$85,MATCH('Historical Shareweights'!$A369,TCO!$A$2:$A$85,0),MATCH('Historical Shareweights'!AO368,TCO!$B$1:$AQ$1,0))</f>
        <v>23080600</v>
      </c>
      <c r="AP369">
        <f>INDEX(TCO!$B$2:$AQ$85,MATCH('Historical Shareweights'!$A369,TCO!$A$2:$A$85,0),MATCH('Historical Shareweights'!AP368,TCO!$B$1:$AQ$1,0))</f>
        <v>23077600</v>
      </c>
      <c r="AQ369">
        <f>INDEX(TCO!$B$2:$AQ$85,MATCH('Historical Shareweights'!$A369,TCO!$A$2:$A$85,0),MATCH('Historical Shareweights'!AQ368,TCO!$B$1:$AQ$1,0))</f>
        <v>23074800</v>
      </c>
    </row>
    <row r="370" spans="1:43" hidden="1" outlineLevel="1" x14ac:dyDescent="0.15">
      <c r="A370" t="s">
        <v>1177</v>
      </c>
      <c r="B370">
        <f>INDEX(TCO!$B$2:$AQ$85,MATCH('Historical Shareweights'!$A370,TCO!$A$2:$A$85,0),MATCH('Historical Shareweights'!B368,TCO!$B$1:$AQ$1,0))</f>
        <v>27546600</v>
      </c>
      <c r="C370">
        <f>INDEX(TCO!$B$2:$AQ$85,MATCH('Historical Shareweights'!$A370,TCO!$A$2:$A$85,0),MATCH('Historical Shareweights'!C368,TCO!$B$1:$AQ$1,0))</f>
        <v>27546600</v>
      </c>
      <c r="D370">
        <f>INDEX(TCO!$B$2:$AQ$85,MATCH('Historical Shareweights'!$A370,TCO!$A$2:$A$85,0),MATCH('Historical Shareweights'!D368,TCO!$B$1:$AQ$1,0))</f>
        <v>27546600</v>
      </c>
      <c r="E370">
        <f>INDEX(TCO!$B$2:$AQ$85,MATCH('Historical Shareweights'!$A370,TCO!$A$2:$A$85,0),MATCH('Historical Shareweights'!E368,TCO!$B$1:$AQ$1,0))</f>
        <v>27546600</v>
      </c>
      <c r="F370">
        <f>INDEX(TCO!$B$2:$AQ$85,MATCH('Historical Shareweights'!$A370,TCO!$A$2:$A$85,0),MATCH('Historical Shareweights'!F368,TCO!$B$1:$AQ$1,0))</f>
        <v>27546600</v>
      </c>
      <c r="G370">
        <f>INDEX(TCO!$B$2:$AQ$85,MATCH('Historical Shareweights'!$A370,TCO!$A$2:$A$85,0),MATCH('Historical Shareweights'!G368,TCO!$B$1:$AQ$1,0))</f>
        <v>27546600</v>
      </c>
      <c r="H370">
        <f>INDEX(TCO!$B$2:$AQ$85,MATCH('Historical Shareweights'!$A370,TCO!$A$2:$A$85,0),MATCH('Historical Shareweights'!H368,TCO!$B$1:$AQ$1,0))</f>
        <v>27546600</v>
      </c>
      <c r="I370">
        <f>INDEX(TCO!$B$2:$AQ$85,MATCH('Historical Shareweights'!$A370,TCO!$A$2:$A$85,0),MATCH('Historical Shareweights'!I368,TCO!$B$1:$AQ$1,0))</f>
        <v>27546600</v>
      </c>
      <c r="J370">
        <f>INDEX(TCO!$B$2:$AQ$85,MATCH('Historical Shareweights'!$A370,TCO!$A$2:$A$85,0),MATCH('Historical Shareweights'!J368,TCO!$B$1:$AQ$1,0))</f>
        <v>27546600</v>
      </c>
      <c r="K370">
        <f>INDEX(TCO!$B$2:$AQ$85,MATCH('Historical Shareweights'!$A370,TCO!$A$2:$A$85,0),MATCH('Historical Shareweights'!K368,TCO!$B$1:$AQ$1,0))</f>
        <v>27546600</v>
      </c>
      <c r="L370">
        <f>INDEX(TCO!$B$2:$AQ$85,MATCH('Historical Shareweights'!$A370,TCO!$A$2:$A$85,0),MATCH('Historical Shareweights'!L368,TCO!$B$1:$AQ$1,0))</f>
        <v>27546600</v>
      </c>
      <c r="M370">
        <f>INDEX(TCO!$B$2:$AQ$85,MATCH('Historical Shareweights'!$A370,TCO!$A$2:$A$85,0),MATCH('Historical Shareweights'!M368,TCO!$B$1:$AQ$1,0))</f>
        <v>27546600</v>
      </c>
      <c r="N370">
        <f>INDEX(TCO!$B$2:$AQ$85,MATCH('Historical Shareweights'!$A370,TCO!$A$2:$A$85,0),MATCH('Historical Shareweights'!N368,TCO!$B$1:$AQ$1,0))</f>
        <v>27546600</v>
      </c>
      <c r="O370">
        <f>INDEX(TCO!$B$2:$AQ$85,MATCH('Historical Shareweights'!$A370,TCO!$A$2:$A$85,0),MATCH('Historical Shareweights'!O368,TCO!$B$1:$AQ$1,0))</f>
        <v>27546600</v>
      </c>
      <c r="P370">
        <f>INDEX(TCO!$B$2:$AQ$85,MATCH('Historical Shareweights'!$A370,TCO!$A$2:$A$85,0),MATCH('Historical Shareweights'!P368,TCO!$B$1:$AQ$1,0))</f>
        <v>27546600</v>
      </c>
      <c r="Q370">
        <f>INDEX(TCO!$B$2:$AQ$85,MATCH('Historical Shareweights'!$A370,TCO!$A$2:$A$85,0),MATCH('Historical Shareweights'!Q368,TCO!$B$1:$AQ$1,0))</f>
        <v>27546600</v>
      </c>
      <c r="R370">
        <f>INDEX(TCO!$B$2:$AQ$85,MATCH('Historical Shareweights'!$A370,TCO!$A$2:$A$85,0),MATCH('Historical Shareweights'!R368,TCO!$B$1:$AQ$1,0))</f>
        <v>27546600</v>
      </c>
      <c r="S370">
        <f>INDEX(TCO!$B$2:$AQ$85,MATCH('Historical Shareweights'!$A370,TCO!$A$2:$A$85,0),MATCH('Historical Shareweights'!S368,TCO!$B$1:$AQ$1,0))</f>
        <v>27546600</v>
      </c>
      <c r="T370">
        <f>INDEX(TCO!$B$2:$AQ$85,MATCH('Historical Shareweights'!$A370,TCO!$A$2:$A$85,0),MATCH('Historical Shareweights'!T368,TCO!$B$1:$AQ$1,0))</f>
        <v>27546600</v>
      </c>
      <c r="U370">
        <f>INDEX(TCO!$B$2:$AQ$85,MATCH('Historical Shareweights'!$A370,TCO!$A$2:$A$85,0),MATCH('Historical Shareweights'!U368,TCO!$B$1:$AQ$1,0))</f>
        <v>27546600</v>
      </c>
      <c r="V370">
        <f>INDEX(TCO!$B$2:$AQ$85,MATCH('Historical Shareweights'!$A370,TCO!$A$2:$A$85,0),MATCH('Historical Shareweights'!V368,TCO!$B$1:$AQ$1,0))</f>
        <v>27546600</v>
      </c>
      <c r="W370">
        <f>INDEX(TCO!$B$2:$AQ$85,MATCH('Historical Shareweights'!$A370,TCO!$A$2:$A$85,0),MATCH('Historical Shareweights'!W368,TCO!$B$1:$AQ$1,0))</f>
        <v>27546600</v>
      </c>
      <c r="X370">
        <f>INDEX(TCO!$B$2:$AQ$85,MATCH('Historical Shareweights'!$A370,TCO!$A$2:$A$85,0),MATCH('Historical Shareweights'!X368,TCO!$B$1:$AQ$1,0))</f>
        <v>27546600</v>
      </c>
      <c r="Y370">
        <f>INDEX(TCO!$B$2:$AQ$85,MATCH('Historical Shareweights'!$A370,TCO!$A$2:$A$85,0),MATCH('Historical Shareweights'!Y368,TCO!$B$1:$AQ$1,0))</f>
        <v>27546600</v>
      </c>
      <c r="Z370">
        <f>INDEX(TCO!$B$2:$AQ$85,MATCH('Historical Shareweights'!$A370,TCO!$A$2:$A$85,0),MATCH('Historical Shareweights'!Z368,TCO!$B$1:$AQ$1,0))</f>
        <v>27546600</v>
      </c>
      <c r="AA370">
        <f>INDEX(TCO!$B$2:$AQ$85,MATCH('Historical Shareweights'!$A370,TCO!$A$2:$A$85,0),MATCH('Historical Shareweights'!AA368,TCO!$B$1:$AQ$1,0))</f>
        <v>27546600</v>
      </c>
      <c r="AB370">
        <f>INDEX(TCO!$B$2:$AQ$85,MATCH('Historical Shareweights'!$A370,TCO!$A$2:$A$85,0),MATCH('Historical Shareweights'!AB368,TCO!$B$1:$AQ$1,0))</f>
        <v>27546600</v>
      </c>
      <c r="AC370">
        <f>INDEX(TCO!$B$2:$AQ$85,MATCH('Historical Shareweights'!$A370,TCO!$A$2:$A$85,0),MATCH('Historical Shareweights'!AC368,TCO!$B$1:$AQ$1,0))</f>
        <v>27546600</v>
      </c>
      <c r="AD370">
        <f>INDEX(TCO!$B$2:$AQ$85,MATCH('Historical Shareweights'!$A370,TCO!$A$2:$A$85,0),MATCH('Historical Shareweights'!AD368,TCO!$B$1:$AQ$1,0))</f>
        <v>27546600</v>
      </c>
      <c r="AE370">
        <f>INDEX(TCO!$B$2:$AQ$85,MATCH('Historical Shareweights'!$A370,TCO!$A$2:$A$85,0),MATCH('Historical Shareweights'!AE368,TCO!$B$1:$AQ$1,0))</f>
        <v>27546600</v>
      </c>
      <c r="AF370">
        <f>INDEX(TCO!$B$2:$AQ$85,MATCH('Historical Shareweights'!$A370,TCO!$A$2:$A$85,0),MATCH('Historical Shareweights'!AF368,TCO!$B$1:$AQ$1,0))</f>
        <v>27546600</v>
      </c>
      <c r="AG370">
        <f>INDEX(TCO!$B$2:$AQ$85,MATCH('Historical Shareweights'!$A370,TCO!$A$2:$A$85,0),MATCH('Historical Shareweights'!AG368,TCO!$B$1:$AQ$1,0))</f>
        <v>27546600</v>
      </c>
      <c r="AH370">
        <f>INDEX(TCO!$B$2:$AQ$85,MATCH('Historical Shareweights'!$A370,TCO!$A$2:$A$85,0),MATCH('Historical Shareweights'!AH368,TCO!$B$1:$AQ$1,0))</f>
        <v>27546600</v>
      </c>
      <c r="AI370">
        <f>INDEX(TCO!$B$2:$AQ$85,MATCH('Historical Shareweights'!$A370,TCO!$A$2:$A$85,0),MATCH('Historical Shareweights'!AI368,TCO!$B$1:$AQ$1,0))</f>
        <v>27546600</v>
      </c>
      <c r="AJ370">
        <f>INDEX(TCO!$B$2:$AQ$85,MATCH('Historical Shareweights'!$A370,TCO!$A$2:$A$85,0),MATCH('Historical Shareweights'!AJ368,TCO!$B$1:$AQ$1,0))</f>
        <v>27546600</v>
      </c>
      <c r="AK370">
        <f>INDEX(TCO!$B$2:$AQ$85,MATCH('Historical Shareweights'!$A370,TCO!$A$2:$A$85,0),MATCH('Historical Shareweights'!AK368,TCO!$B$1:$AQ$1,0))</f>
        <v>27546600</v>
      </c>
      <c r="AL370">
        <f>INDEX(TCO!$B$2:$AQ$85,MATCH('Historical Shareweights'!$A370,TCO!$A$2:$A$85,0),MATCH('Historical Shareweights'!AL368,TCO!$B$1:$AQ$1,0))</f>
        <v>27546600</v>
      </c>
      <c r="AM370">
        <f>INDEX(TCO!$B$2:$AQ$85,MATCH('Historical Shareweights'!$A370,TCO!$A$2:$A$85,0),MATCH('Historical Shareweights'!AM368,TCO!$B$1:$AQ$1,0))</f>
        <v>27546600</v>
      </c>
      <c r="AN370">
        <f>INDEX(TCO!$B$2:$AQ$85,MATCH('Historical Shareweights'!$A370,TCO!$A$2:$A$85,0),MATCH('Historical Shareweights'!AN368,TCO!$B$1:$AQ$1,0))</f>
        <v>27546600</v>
      </c>
      <c r="AO370">
        <f>INDEX(TCO!$B$2:$AQ$85,MATCH('Historical Shareweights'!$A370,TCO!$A$2:$A$85,0),MATCH('Historical Shareweights'!AO368,TCO!$B$1:$AQ$1,0))</f>
        <v>27546600</v>
      </c>
      <c r="AP370">
        <f>INDEX(TCO!$B$2:$AQ$85,MATCH('Historical Shareweights'!$A370,TCO!$A$2:$A$85,0),MATCH('Historical Shareweights'!AP368,TCO!$B$1:$AQ$1,0))</f>
        <v>27546600</v>
      </c>
      <c r="AQ370">
        <f>INDEX(TCO!$B$2:$AQ$85,MATCH('Historical Shareweights'!$A370,TCO!$A$2:$A$85,0),MATCH('Historical Shareweights'!AQ368,TCO!$B$1:$AQ$1,0))</f>
        <v>27546600</v>
      </c>
    </row>
    <row r="371" spans="1:43" hidden="1" outlineLevel="1" x14ac:dyDescent="0.15">
      <c r="A371" t="s">
        <v>1178</v>
      </c>
      <c r="B371">
        <f>INDEX(TCO!$B$2:$AQ$85,MATCH('Historical Shareweights'!$A371,TCO!$A$2:$A$85,0),MATCH('Historical Shareweights'!B368,TCO!$B$1:$AQ$1,0))</f>
        <v>27546600</v>
      </c>
      <c r="C371">
        <f>INDEX(TCO!$B$2:$AQ$85,MATCH('Historical Shareweights'!$A371,TCO!$A$2:$A$85,0),MATCH('Historical Shareweights'!C368,TCO!$B$1:$AQ$1,0))</f>
        <v>27546600</v>
      </c>
      <c r="D371">
        <f>INDEX(TCO!$B$2:$AQ$85,MATCH('Historical Shareweights'!$A371,TCO!$A$2:$A$85,0),MATCH('Historical Shareweights'!D368,TCO!$B$1:$AQ$1,0))</f>
        <v>27546600</v>
      </c>
      <c r="E371">
        <f>INDEX(TCO!$B$2:$AQ$85,MATCH('Historical Shareweights'!$A371,TCO!$A$2:$A$85,0),MATCH('Historical Shareweights'!E368,TCO!$B$1:$AQ$1,0))</f>
        <v>27546600</v>
      </c>
      <c r="F371">
        <f>INDEX(TCO!$B$2:$AQ$85,MATCH('Historical Shareweights'!$A371,TCO!$A$2:$A$85,0),MATCH('Historical Shareweights'!F368,TCO!$B$1:$AQ$1,0))</f>
        <v>27546600</v>
      </c>
      <c r="G371">
        <f>INDEX(TCO!$B$2:$AQ$85,MATCH('Historical Shareweights'!$A371,TCO!$A$2:$A$85,0),MATCH('Historical Shareweights'!G368,TCO!$B$1:$AQ$1,0))</f>
        <v>27546600</v>
      </c>
      <c r="H371">
        <f>INDEX(TCO!$B$2:$AQ$85,MATCH('Historical Shareweights'!$A371,TCO!$A$2:$A$85,0),MATCH('Historical Shareweights'!H368,TCO!$B$1:$AQ$1,0))</f>
        <v>27546600</v>
      </c>
      <c r="I371">
        <f>INDEX(TCO!$B$2:$AQ$85,MATCH('Historical Shareweights'!$A371,TCO!$A$2:$A$85,0),MATCH('Historical Shareweights'!I368,TCO!$B$1:$AQ$1,0))</f>
        <v>27546600</v>
      </c>
      <c r="J371">
        <f>INDEX(TCO!$B$2:$AQ$85,MATCH('Historical Shareweights'!$A371,TCO!$A$2:$A$85,0),MATCH('Historical Shareweights'!J368,TCO!$B$1:$AQ$1,0))</f>
        <v>27546600</v>
      </c>
      <c r="K371">
        <f>INDEX(TCO!$B$2:$AQ$85,MATCH('Historical Shareweights'!$A371,TCO!$A$2:$A$85,0),MATCH('Historical Shareweights'!K368,TCO!$B$1:$AQ$1,0))</f>
        <v>27546600</v>
      </c>
      <c r="L371">
        <f>INDEX(TCO!$B$2:$AQ$85,MATCH('Historical Shareweights'!$A371,TCO!$A$2:$A$85,0),MATCH('Historical Shareweights'!L368,TCO!$B$1:$AQ$1,0))</f>
        <v>27546600</v>
      </c>
      <c r="M371">
        <f>INDEX(TCO!$B$2:$AQ$85,MATCH('Historical Shareweights'!$A371,TCO!$A$2:$A$85,0),MATCH('Historical Shareweights'!M368,TCO!$B$1:$AQ$1,0))</f>
        <v>27546600</v>
      </c>
      <c r="N371">
        <f>INDEX(TCO!$B$2:$AQ$85,MATCH('Historical Shareweights'!$A371,TCO!$A$2:$A$85,0),MATCH('Historical Shareweights'!N368,TCO!$B$1:$AQ$1,0))</f>
        <v>27546600</v>
      </c>
      <c r="O371">
        <f>INDEX(TCO!$B$2:$AQ$85,MATCH('Historical Shareweights'!$A371,TCO!$A$2:$A$85,0),MATCH('Historical Shareweights'!O368,TCO!$B$1:$AQ$1,0))</f>
        <v>27546600</v>
      </c>
      <c r="P371">
        <f>INDEX(TCO!$B$2:$AQ$85,MATCH('Historical Shareweights'!$A371,TCO!$A$2:$A$85,0),MATCH('Historical Shareweights'!P368,TCO!$B$1:$AQ$1,0))</f>
        <v>27546600</v>
      </c>
      <c r="Q371">
        <f>INDEX(TCO!$B$2:$AQ$85,MATCH('Historical Shareweights'!$A371,TCO!$A$2:$A$85,0),MATCH('Historical Shareweights'!Q368,TCO!$B$1:$AQ$1,0))</f>
        <v>27546600</v>
      </c>
      <c r="R371">
        <f>INDEX(TCO!$B$2:$AQ$85,MATCH('Historical Shareweights'!$A371,TCO!$A$2:$A$85,0),MATCH('Historical Shareweights'!R368,TCO!$B$1:$AQ$1,0))</f>
        <v>27546600</v>
      </c>
      <c r="S371">
        <f>INDEX(TCO!$B$2:$AQ$85,MATCH('Historical Shareweights'!$A371,TCO!$A$2:$A$85,0),MATCH('Historical Shareweights'!S368,TCO!$B$1:$AQ$1,0))</f>
        <v>27546600</v>
      </c>
      <c r="T371">
        <f>INDEX(TCO!$B$2:$AQ$85,MATCH('Historical Shareweights'!$A371,TCO!$A$2:$A$85,0),MATCH('Historical Shareweights'!T368,TCO!$B$1:$AQ$1,0))</f>
        <v>27546600</v>
      </c>
      <c r="U371">
        <f>INDEX(TCO!$B$2:$AQ$85,MATCH('Historical Shareweights'!$A371,TCO!$A$2:$A$85,0),MATCH('Historical Shareweights'!U368,TCO!$B$1:$AQ$1,0))</f>
        <v>27546600</v>
      </c>
      <c r="V371">
        <f>INDEX(TCO!$B$2:$AQ$85,MATCH('Historical Shareweights'!$A371,TCO!$A$2:$A$85,0),MATCH('Historical Shareweights'!V368,TCO!$B$1:$AQ$1,0))</f>
        <v>27546600</v>
      </c>
      <c r="W371">
        <f>INDEX(TCO!$B$2:$AQ$85,MATCH('Historical Shareweights'!$A371,TCO!$A$2:$A$85,0),MATCH('Historical Shareweights'!W368,TCO!$B$1:$AQ$1,0))</f>
        <v>27546600</v>
      </c>
      <c r="X371">
        <f>INDEX(TCO!$B$2:$AQ$85,MATCH('Historical Shareweights'!$A371,TCO!$A$2:$A$85,0),MATCH('Historical Shareweights'!X368,TCO!$B$1:$AQ$1,0))</f>
        <v>27546600</v>
      </c>
      <c r="Y371">
        <f>INDEX(TCO!$B$2:$AQ$85,MATCH('Historical Shareweights'!$A371,TCO!$A$2:$A$85,0),MATCH('Historical Shareweights'!Y368,TCO!$B$1:$AQ$1,0))</f>
        <v>27546600</v>
      </c>
      <c r="Z371">
        <f>INDEX(TCO!$B$2:$AQ$85,MATCH('Historical Shareweights'!$A371,TCO!$A$2:$A$85,0),MATCH('Historical Shareweights'!Z368,TCO!$B$1:$AQ$1,0))</f>
        <v>27546600</v>
      </c>
      <c r="AA371">
        <f>INDEX(TCO!$B$2:$AQ$85,MATCH('Historical Shareweights'!$A371,TCO!$A$2:$A$85,0),MATCH('Historical Shareweights'!AA368,TCO!$B$1:$AQ$1,0))</f>
        <v>27546600</v>
      </c>
      <c r="AB371">
        <f>INDEX(TCO!$B$2:$AQ$85,MATCH('Historical Shareweights'!$A371,TCO!$A$2:$A$85,0),MATCH('Historical Shareweights'!AB368,TCO!$B$1:$AQ$1,0))</f>
        <v>27546600</v>
      </c>
      <c r="AC371">
        <f>INDEX(TCO!$B$2:$AQ$85,MATCH('Historical Shareweights'!$A371,TCO!$A$2:$A$85,0),MATCH('Historical Shareweights'!AC368,TCO!$B$1:$AQ$1,0))</f>
        <v>27546600</v>
      </c>
      <c r="AD371">
        <f>INDEX(TCO!$B$2:$AQ$85,MATCH('Historical Shareweights'!$A371,TCO!$A$2:$A$85,0),MATCH('Historical Shareweights'!AD368,TCO!$B$1:$AQ$1,0))</f>
        <v>27546600</v>
      </c>
      <c r="AE371">
        <f>INDEX(TCO!$B$2:$AQ$85,MATCH('Historical Shareweights'!$A371,TCO!$A$2:$A$85,0),MATCH('Historical Shareweights'!AE368,TCO!$B$1:$AQ$1,0))</f>
        <v>27546600</v>
      </c>
      <c r="AF371">
        <f>INDEX(TCO!$B$2:$AQ$85,MATCH('Historical Shareweights'!$A371,TCO!$A$2:$A$85,0),MATCH('Historical Shareweights'!AF368,TCO!$B$1:$AQ$1,0))</f>
        <v>27546600</v>
      </c>
      <c r="AG371">
        <f>INDEX(TCO!$B$2:$AQ$85,MATCH('Historical Shareweights'!$A371,TCO!$A$2:$A$85,0),MATCH('Historical Shareweights'!AG368,TCO!$B$1:$AQ$1,0))</f>
        <v>27546600</v>
      </c>
      <c r="AH371">
        <f>INDEX(TCO!$B$2:$AQ$85,MATCH('Historical Shareweights'!$A371,TCO!$A$2:$A$85,0),MATCH('Historical Shareweights'!AH368,TCO!$B$1:$AQ$1,0))</f>
        <v>27546600</v>
      </c>
      <c r="AI371">
        <f>INDEX(TCO!$B$2:$AQ$85,MATCH('Historical Shareweights'!$A371,TCO!$A$2:$A$85,0),MATCH('Historical Shareweights'!AI368,TCO!$B$1:$AQ$1,0))</f>
        <v>27546600</v>
      </c>
      <c r="AJ371">
        <f>INDEX(TCO!$B$2:$AQ$85,MATCH('Historical Shareweights'!$A371,TCO!$A$2:$A$85,0),MATCH('Historical Shareweights'!AJ368,TCO!$B$1:$AQ$1,0))</f>
        <v>27546600</v>
      </c>
      <c r="AK371">
        <f>INDEX(TCO!$B$2:$AQ$85,MATCH('Historical Shareweights'!$A371,TCO!$A$2:$A$85,0),MATCH('Historical Shareweights'!AK368,TCO!$B$1:$AQ$1,0))</f>
        <v>27546600</v>
      </c>
      <c r="AL371">
        <f>INDEX(TCO!$B$2:$AQ$85,MATCH('Historical Shareweights'!$A371,TCO!$A$2:$A$85,0),MATCH('Historical Shareweights'!AL368,TCO!$B$1:$AQ$1,0))</f>
        <v>27546600</v>
      </c>
      <c r="AM371">
        <f>INDEX(TCO!$B$2:$AQ$85,MATCH('Historical Shareweights'!$A371,TCO!$A$2:$A$85,0),MATCH('Historical Shareweights'!AM368,TCO!$B$1:$AQ$1,0))</f>
        <v>27546600</v>
      </c>
      <c r="AN371">
        <f>INDEX(TCO!$B$2:$AQ$85,MATCH('Historical Shareweights'!$A371,TCO!$A$2:$A$85,0),MATCH('Historical Shareweights'!AN368,TCO!$B$1:$AQ$1,0))</f>
        <v>27546600</v>
      </c>
      <c r="AO371">
        <f>INDEX(TCO!$B$2:$AQ$85,MATCH('Historical Shareweights'!$A371,TCO!$A$2:$A$85,0),MATCH('Historical Shareweights'!AO368,TCO!$B$1:$AQ$1,0))</f>
        <v>27546600</v>
      </c>
      <c r="AP371">
        <f>INDEX(TCO!$B$2:$AQ$85,MATCH('Historical Shareweights'!$A371,TCO!$A$2:$A$85,0),MATCH('Historical Shareweights'!AP368,TCO!$B$1:$AQ$1,0))</f>
        <v>27546600</v>
      </c>
      <c r="AQ371">
        <f>INDEX(TCO!$B$2:$AQ$85,MATCH('Historical Shareweights'!$A371,TCO!$A$2:$A$85,0),MATCH('Historical Shareweights'!AQ368,TCO!$B$1:$AQ$1,0))</f>
        <v>27546600</v>
      </c>
    </row>
    <row r="372" spans="1:43" hidden="1" outlineLevel="1" x14ac:dyDescent="0.15">
      <c r="A372" t="s">
        <v>1179</v>
      </c>
      <c r="B372">
        <f>INDEX(TCO!$B$2:$AQ$85,MATCH('Historical Shareweights'!$A372,TCO!$A$2:$A$85,0),MATCH('Historical Shareweights'!B368,TCO!$B$1:$AQ$1,0))</f>
        <v>30364700</v>
      </c>
      <c r="C372">
        <f>INDEX(TCO!$B$2:$AQ$85,MATCH('Historical Shareweights'!$A372,TCO!$A$2:$A$85,0),MATCH('Historical Shareweights'!C368,TCO!$B$1:$AQ$1,0))</f>
        <v>30364700</v>
      </c>
      <c r="D372">
        <f>INDEX(TCO!$B$2:$AQ$85,MATCH('Historical Shareweights'!$A372,TCO!$A$2:$A$85,0),MATCH('Historical Shareweights'!D368,TCO!$B$1:$AQ$1,0))</f>
        <v>30390900</v>
      </c>
      <c r="E372">
        <f>INDEX(TCO!$B$2:$AQ$85,MATCH('Historical Shareweights'!$A372,TCO!$A$2:$A$85,0),MATCH('Historical Shareweights'!E368,TCO!$B$1:$AQ$1,0))</f>
        <v>30396300</v>
      </c>
      <c r="F372">
        <f>INDEX(TCO!$B$2:$AQ$85,MATCH('Historical Shareweights'!$A372,TCO!$A$2:$A$85,0),MATCH('Historical Shareweights'!F368,TCO!$B$1:$AQ$1,0))</f>
        <v>30406300</v>
      </c>
      <c r="G372">
        <f>INDEX(TCO!$B$2:$AQ$85,MATCH('Historical Shareweights'!$A372,TCO!$A$2:$A$85,0),MATCH('Historical Shareweights'!G368,TCO!$B$1:$AQ$1,0))</f>
        <v>30415700</v>
      </c>
      <c r="H372">
        <f>INDEX(TCO!$B$2:$AQ$85,MATCH('Historical Shareweights'!$A372,TCO!$A$2:$A$85,0),MATCH('Historical Shareweights'!H368,TCO!$B$1:$AQ$1,0))</f>
        <v>30418800</v>
      </c>
      <c r="I372">
        <f>INDEX(TCO!$B$2:$AQ$85,MATCH('Historical Shareweights'!$A372,TCO!$A$2:$A$85,0),MATCH('Historical Shareweights'!I368,TCO!$B$1:$AQ$1,0))</f>
        <v>30420600</v>
      </c>
      <c r="J372">
        <f>INDEX(TCO!$B$2:$AQ$85,MATCH('Historical Shareweights'!$A372,TCO!$A$2:$A$85,0),MATCH('Historical Shareweights'!J368,TCO!$B$1:$AQ$1,0))</f>
        <v>30421600</v>
      </c>
      <c r="K372">
        <f>INDEX(TCO!$B$2:$AQ$85,MATCH('Historical Shareweights'!$A372,TCO!$A$2:$A$85,0),MATCH('Historical Shareweights'!K368,TCO!$B$1:$AQ$1,0))</f>
        <v>30427900</v>
      </c>
      <c r="L372">
        <f>INDEX(TCO!$B$2:$AQ$85,MATCH('Historical Shareweights'!$A372,TCO!$A$2:$A$85,0),MATCH('Historical Shareweights'!L368,TCO!$B$1:$AQ$1,0))</f>
        <v>30430300</v>
      </c>
      <c r="M372">
        <f>INDEX(TCO!$B$2:$AQ$85,MATCH('Historical Shareweights'!$A372,TCO!$A$2:$A$85,0),MATCH('Historical Shareweights'!M368,TCO!$B$1:$AQ$1,0))</f>
        <v>30432400</v>
      </c>
      <c r="N372">
        <f>INDEX(TCO!$B$2:$AQ$85,MATCH('Historical Shareweights'!$A372,TCO!$A$2:$A$85,0),MATCH('Historical Shareweights'!N368,TCO!$B$1:$AQ$1,0))</f>
        <v>30439800</v>
      </c>
      <c r="O372">
        <f>INDEX(TCO!$B$2:$AQ$85,MATCH('Historical Shareweights'!$A372,TCO!$A$2:$A$85,0),MATCH('Historical Shareweights'!O368,TCO!$B$1:$AQ$1,0))</f>
        <v>30441400</v>
      </c>
      <c r="P372">
        <f>INDEX(TCO!$B$2:$AQ$85,MATCH('Historical Shareweights'!$A372,TCO!$A$2:$A$85,0),MATCH('Historical Shareweights'!P368,TCO!$B$1:$AQ$1,0))</f>
        <v>30443700</v>
      </c>
      <c r="Q372">
        <f>INDEX(TCO!$B$2:$AQ$85,MATCH('Historical Shareweights'!$A372,TCO!$A$2:$A$85,0),MATCH('Historical Shareweights'!Q368,TCO!$B$1:$AQ$1,0))</f>
        <v>30444600</v>
      </c>
      <c r="R372">
        <f>INDEX(TCO!$B$2:$AQ$85,MATCH('Historical Shareweights'!$A372,TCO!$A$2:$A$85,0),MATCH('Historical Shareweights'!R368,TCO!$B$1:$AQ$1,0))</f>
        <v>30445500</v>
      </c>
      <c r="S372">
        <f>INDEX(TCO!$B$2:$AQ$85,MATCH('Historical Shareweights'!$A372,TCO!$A$2:$A$85,0),MATCH('Historical Shareweights'!S368,TCO!$B$1:$AQ$1,0))</f>
        <v>30441300</v>
      </c>
      <c r="T372">
        <f>INDEX(TCO!$B$2:$AQ$85,MATCH('Historical Shareweights'!$A372,TCO!$A$2:$A$85,0),MATCH('Historical Shareweights'!T368,TCO!$B$1:$AQ$1,0))</f>
        <v>30439700</v>
      </c>
      <c r="U372">
        <f>INDEX(TCO!$B$2:$AQ$85,MATCH('Historical Shareweights'!$A372,TCO!$A$2:$A$85,0),MATCH('Historical Shareweights'!U368,TCO!$B$1:$AQ$1,0))</f>
        <v>30441300</v>
      </c>
      <c r="V372">
        <f>INDEX(TCO!$B$2:$AQ$85,MATCH('Historical Shareweights'!$A372,TCO!$A$2:$A$85,0),MATCH('Historical Shareweights'!V368,TCO!$B$1:$AQ$1,0))</f>
        <v>30441700</v>
      </c>
      <c r="W372">
        <f>INDEX(TCO!$B$2:$AQ$85,MATCH('Historical Shareweights'!$A372,TCO!$A$2:$A$85,0),MATCH('Historical Shareweights'!W368,TCO!$B$1:$AQ$1,0))</f>
        <v>30439400</v>
      </c>
      <c r="X372">
        <f>INDEX(TCO!$B$2:$AQ$85,MATCH('Historical Shareweights'!$A372,TCO!$A$2:$A$85,0),MATCH('Historical Shareweights'!X368,TCO!$B$1:$AQ$1,0))</f>
        <v>30442300</v>
      </c>
      <c r="Y372">
        <f>INDEX(TCO!$B$2:$AQ$85,MATCH('Historical Shareweights'!$A372,TCO!$A$2:$A$85,0),MATCH('Historical Shareweights'!Y368,TCO!$B$1:$AQ$1,0))</f>
        <v>30442500</v>
      </c>
      <c r="Z372">
        <f>INDEX(TCO!$B$2:$AQ$85,MATCH('Historical Shareweights'!$A372,TCO!$A$2:$A$85,0),MATCH('Historical Shareweights'!Z368,TCO!$B$1:$AQ$1,0))</f>
        <v>30442200</v>
      </c>
      <c r="AA372">
        <f>INDEX(TCO!$B$2:$AQ$85,MATCH('Historical Shareweights'!$A372,TCO!$A$2:$A$85,0),MATCH('Historical Shareweights'!AA368,TCO!$B$1:$AQ$1,0))</f>
        <v>30442600</v>
      </c>
      <c r="AB372">
        <f>INDEX(TCO!$B$2:$AQ$85,MATCH('Historical Shareweights'!$A372,TCO!$A$2:$A$85,0),MATCH('Historical Shareweights'!AB368,TCO!$B$1:$AQ$1,0))</f>
        <v>30443400</v>
      </c>
      <c r="AC372">
        <f>INDEX(TCO!$B$2:$AQ$85,MATCH('Historical Shareweights'!$A372,TCO!$A$2:$A$85,0),MATCH('Historical Shareweights'!AC368,TCO!$B$1:$AQ$1,0))</f>
        <v>30444900</v>
      </c>
      <c r="AD372">
        <f>INDEX(TCO!$B$2:$AQ$85,MATCH('Historical Shareweights'!$A372,TCO!$A$2:$A$85,0),MATCH('Historical Shareweights'!AD368,TCO!$B$1:$AQ$1,0))</f>
        <v>30445700</v>
      </c>
      <c r="AE372">
        <f>INDEX(TCO!$B$2:$AQ$85,MATCH('Historical Shareweights'!$A372,TCO!$A$2:$A$85,0),MATCH('Historical Shareweights'!AE368,TCO!$B$1:$AQ$1,0))</f>
        <v>30446000</v>
      </c>
      <c r="AF372">
        <f>INDEX(TCO!$B$2:$AQ$85,MATCH('Historical Shareweights'!$A372,TCO!$A$2:$A$85,0),MATCH('Historical Shareweights'!AF368,TCO!$B$1:$AQ$1,0))</f>
        <v>30445200</v>
      </c>
      <c r="AG372">
        <f>INDEX(TCO!$B$2:$AQ$85,MATCH('Historical Shareweights'!$A372,TCO!$A$2:$A$85,0),MATCH('Historical Shareweights'!AG368,TCO!$B$1:$AQ$1,0))</f>
        <v>30445500</v>
      </c>
      <c r="AH372">
        <f>INDEX(TCO!$B$2:$AQ$85,MATCH('Historical Shareweights'!$A372,TCO!$A$2:$A$85,0),MATCH('Historical Shareweights'!AH368,TCO!$B$1:$AQ$1,0))</f>
        <v>30448400</v>
      </c>
      <c r="AI372">
        <f>INDEX(TCO!$B$2:$AQ$85,MATCH('Historical Shareweights'!$A372,TCO!$A$2:$A$85,0),MATCH('Historical Shareweights'!AI368,TCO!$B$1:$AQ$1,0))</f>
        <v>30449600</v>
      </c>
      <c r="AJ372">
        <f>INDEX(TCO!$B$2:$AQ$85,MATCH('Historical Shareweights'!$A372,TCO!$A$2:$A$85,0),MATCH('Historical Shareweights'!AJ368,TCO!$B$1:$AQ$1,0))</f>
        <v>30451900</v>
      </c>
      <c r="AK372">
        <f>INDEX(TCO!$B$2:$AQ$85,MATCH('Historical Shareweights'!$A372,TCO!$A$2:$A$85,0),MATCH('Historical Shareweights'!AK368,TCO!$B$1:$AQ$1,0))</f>
        <v>30453700</v>
      </c>
      <c r="AL372">
        <f>INDEX(TCO!$B$2:$AQ$85,MATCH('Historical Shareweights'!$A372,TCO!$A$2:$A$85,0),MATCH('Historical Shareweights'!AL368,TCO!$B$1:$AQ$1,0))</f>
        <v>30455400</v>
      </c>
      <c r="AM372">
        <f>INDEX(TCO!$B$2:$AQ$85,MATCH('Historical Shareweights'!$A372,TCO!$A$2:$A$85,0),MATCH('Historical Shareweights'!AM368,TCO!$B$1:$AQ$1,0))</f>
        <v>30456600</v>
      </c>
      <c r="AN372">
        <f>INDEX(TCO!$B$2:$AQ$85,MATCH('Historical Shareweights'!$A372,TCO!$A$2:$A$85,0),MATCH('Historical Shareweights'!AN368,TCO!$B$1:$AQ$1,0))</f>
        <v>30458400</v>
      </c>
      <c r="AO372">
        <f>INDEX(TCO!$B$2:$AQ$85,MATCH('Historical Shareweights'!$A372,TCO!$A$2:$A$85,0),MATCH('Historical Shareweights'!AO368,TCO!$B$1:$AQ$1,0))</f>
        <v>30460100</v>
      </c>
      <c r="AP372">
        <f>INDEX(TCO!$B$2:$AQ$85,MATCH('Historical Shareweights'!$A372,TCO!$A$2:$A$85,0),MATCH('Historical Shareweights'!AP368,TCO!$B$1:$AQ$1,0))</f>
        <v>30461900</v>
      </c>
      <c r="AQ372">
        <f>INDEX(TCO!$B$2:$AQ$85,MATCH('Historical Shareweights'!$A372,TCO!$A$2:$A$85,0),MATCH('Historical Shareweights'!AQ368,TCO!$B$1:$AQ$1,0))</f>
        <v>30463600</v>
      </c>
    </row>
    <row r="373" spans="1:43" hidden="1" outlineLevel="1" x14ac:dyDescent="0.15">
      <c r="A373" t="s">
        <v>1180</v>
      </c>
      <c r="B373">
        <f>INDEX(TCO!$B$2:$AQ$85,MATCH('Historical Shareweights'!$A373,TCO!$A$2:$A$85,0),MATCH('Historical Shareweights'!B368,TCO!$B$1:$AQ$1,0))</f>
        <v>27546600</v>
      </c>
      <c r="C373">
        <f>INDEX(TCO!$B$2:$AQ$85,MATCH('Historical Shareweights'!$A373,TCO!$A$2:$A$85,0),MATCH('Historical Shareweights'!C368,TCO!$B$1:$AQ$1,0))</f>
        <v>27546600</v>
      </c>
      <c r="D373">
        <f>INDEX(TCO!$B$2:$AQ$85,MATCH('Historical Shareweights'!$A373,TCO!$A$2:$A$85,0),MATCH('Historical Shareweights'!D368,TCO!$B$1:$AQ$1,0))</f>
        <v>27546600</v>
      </c>
      <c r="E373">
        <f>INDEX(TCO!$B$2:$AQ$85,MATCH('Historical Shareweights'!$A373,TCO!$A$2:$A$85,0),MATCH('Historical Shareweights'!E368,TCO!$B$1:$AQ$1,0))</f>
        <v>27546600</v>
      </c>
      <c r="F373">
        <f>INDEX(TCO!$B$2:$AQ$85,MATCH('Historical Shareweights'!$A373,TCO!$A$2:$A$85,0),MATCH('Historical Shareweights'!F368,TCO!$B$1:$AQ$1,0))</f>
        <v>27546600</v>
      </c>
      <c r="G373">
        <f>INDEX(TCO!$B$2:$AQ$85,MATCH('Historical Shareweights'!$A373,TCO!$A$2:$A$85,0),MATCH('Historical Shareweights'!G368,TCO!$B$1:$AQ$1,0))</f>
        <v>27546600</v>
      </c>
      <c r="H373">
        <f>INDEX(TCO!$B$2:$AQ$85,MATCH('Historical Shareweights'!$A373,TCO!$A$2:$A$85,0),MATCH('Historical Shareweights'!H368,TCO!$B$1:$AQ$1,0))</f>
        <v>27546600</v>
      </c>
      <c r="I373">
        <f>INDEX(TCO!$B$2:$AQ$85,MATCH('Historical Shareweights'!$A373,TCO!$A$2:$A$85,0),MATCH('Historical Shareweights'!I368,TCO!$B$1:$AQ$1,0))</f>
        <v>27546600</v>
      </c>
      <c r="J373">
        <f>INDEX(TCO!$B$2:$AQ$85,MATCH('Historical Shareweights'!$A373,TCO!$A$2:$A$85,0),MATCH('Historical Shareweights'!J368,TCO!$B$1:$AQ$1,0))</f>
        <v>27546600</v>
      </c>
      <c r="K373">
        <f>INDEX(TCO!$B$2:$AQ$85,MATCH('Historical Shareweights'!$A373,TCO!$A$2:$A$85,0),MATCH('Historical Shareweights'!K368,TCO!$B$1:$AQ$1,0))</f>
        <v>27546600</v>
      </c>
      <c r="L373">
        <f>INDEX(TCO!$B$2:$AQ$85,MATCH('Historical Shareweights'!$A373,TCO!$A$2:$A$85,0),MATCH('Historical Shareweights'!L368,TCO!$B$1:$AQ$1,0))</f>
        <v>27546600</v>
      </c>
      <c r="M373">
        <f>INDEX(TCO!$B$2:$AQ$85,MATCH('Historical Shareweights'!$A373,TCO!$A$2:$A$85,0),MATCH('Historical Shareweights'!M368,TCO!$B$1:$AQ$1,0))</f>
        <v>27546600</v>
      </c>
      <c r="N373">
        <f>INDEX(TCO!$B$2:$AQ$85,MATCH('Historical Shareweights'!$A373,TCO!$A$2:$A$85,0),MATCH('Historical Shareweights'!N368,TCO!$B$1:$AQ$1,0))</f>
        <v>27546600</v>
      </c>
      <c r="O373">
        <f>INDEX(TCO!$B$2:$AQ$85,MATCH('Historical Shareweights'!$A373,TCO!$A$2:$A$85,0),MATCH('Historical Shareweights'!O368,TCO!$B$1:$AQ$1,0))</f>
        <v>27546600</v>
      </c>
      <c r="P373">
        <f>INDEX(TCO!$B$2:$AQ$85,MATCH('Historical Shareweights'!$A373,TCO!$A$2:$A$85,0),MATCH('Historical Shareweights'!P368,TCO!$B$1:$AQ$1,0))</f>
        <v>27546600</v>
      </c>
      <c r="Q373">
        <f>INDEX(TCO!$B$2:$AQ$85,MATCH('Historical Shareweights'!$A373,TCO!$A$2:$A$85,0),MATCH('Historical Shareweights'!Q368,TCO!$B$1:$AQ$1,0))</f>
        <v>27546600</v>
      </c>
      <c r="R373">
        <f>INDEX(TCO!$B$2:$AQ$85,MATCH('Historical Shareweights'!$A373,TCO!$A$2:$A$85,0),MATCH('Historical Shareweights'!R368,TCO!$B$1:$AQ$1,0))</f>
        <v>27546600</v>
      </c>
      <c r="S373">
        <f>INDEX(TCO!$B$2:$AQ$85,MATCH('Historical Shareweights'!$A373,TCO!$A$2:$A$85,0),MATCH('Historical Shareweights'!S368,TCO!$B$1:$AQ$1,0))</f>
        <v>27546600</v>
      </c>
      <c r="T373">
        <f>INDEX(TCO!$B$2:$AQ$85,MATCH('Historical Shareweights'!$A373,TCO!$A$2:$A$85,0),MATCH('Historical Shareweights'!T368,TCO!$B$1:$AQ$1,0))</f>
        <v>27546600</v>
      </c>
      <c r="U373">
        <f>INDEX(TCO!$B$2:$AQ$85,MATCH('Historical Shareweights'!$A373,TCO!$A$2:$A$85,0),MATCH('Historical Shareweights'!U368,TCO!$B$1:$AQ$1,0))</f>
        <v>27546600</v>
      </c>
      <c r="V373">
        <f>INDEX(TCO!$B$2:$AQ$85,MATCH('Historical Shareweights'!$A373,TCO!$A$2:$A$85,0),MATCH('Historical Shareweights'!V368,TCO!$B$1:$AQ$1,0))</f>
        <v>27546600</v>
      </c>
      <c r="W373">
        <f>INDEX(TCO!$B$2:$AQ$85,MATCH('Historical Shareweights'!$A373,TCO!$A$2:$A$85,0),MATCH('Historical Shareweights'!W368,TCO!$B$1:$AQ$1,0))</f>
        <v>27546600</v>
      </c>
      <c r="X373">
        <f>INDEX(TCO!$B$2:$AQ$85,MATCH('Historical Shareweights'!$A373,TCO!$A$2:$A$85,0),MATCH('Historical Shareweights'!X368,TCO!$B$1:$AQ$1,0))</f>
        <v>27546600</v>
      </c>
      <c r="Y373">
        <f>INDEX(TCO!$B$2:$AQ$85,MATCH('Historical Shareweights'!$A373,TCO!$A$2:$A$85,0),MATCH('Historical Shareweights'!Y368,TCO!$B$1:$AQ$1,0))</f>
        <v>27546600</v>
      </c>
      <c r="Z373">
        <f>INDEX(TCO!$B$2:$AQ$85,MATCH('Historical Shareweights'!$A373,TCO!$A$2:$A$85,0),MATCH('Historical Shareweights'!Z368,TCO!$B$1:$AQ$1,0))</f>
        <v>27546600</v>
      </c>
      <c r="AA373">
        <f>INDEX(TCO!$B$2:$AQ$85,MATCH('Historical Shareweights'!$A373,TCO!$A$2:$A$85,0),MATCH('Historical Shareweights'!AA368,TCO!$B$1:$AQ$1,0))</f>
        <v>27546600</v>
      </c>
      <c r="AB373">
        <f>INDEX(TCO!$B$2:$AQ$85,MATCH('Historical Shareweights'!$A373,TCO!$A$2:$A$85,0),MATCH('Historical Shareweights'!AB368,TCO!$B$1:$AQ$1,0))</f>
        <v>27546600</v>
      </c>
      <c r="AC373">
        <f>INDEX(TCO!$B$2:$AQ$85,MATCH('Historical Shareweights'!$A373,TCO!$A$2:$A$85,0),MATCH('Historical Shareweights'!AC368,TCO!$B$1:$AQ$1,0))</f>
        <v>27546600</v>
      </c>
      <c r="AD373">
        <f>INDEX(TCO!$B$2:$AQ$85,MATCH('Historical Shareweights'!$A373,TCO!$A$2:$A$85,0),MATCH('Historical Shareweights'!AD368,TCO!$B$1:$AQ$1,0))</f>
        <v>27546600</v>
      </c>
      <c r="AE373">
        <f>INDEX(TCO!$B$2:$AQ$85,MATCH('Historical Shareweights'!$A373,TCO!$A$2:$A$85,0),MATCH('Historical Shareweights'!AE368,TCO!$B$1:$AQ$1,0))</f>
        <v>27546600</v>
      </c>
      <c r="AF373">
        <f>INDEX(TCO!$B$2:$AQ$85,MATCH('Historical Shareweights'!$A373,TCO!$A$2:$A$85,0),MATCH('Historical Shareweights'!AF368,TCO!$B$1:$AQ$1,0))</f>
        <v>27546600</v>
      </c>
      <c r="AG373">
        <f>INDEX(TCO!$B$2:$AQ$85,MATCH('Historical Shareweights'!$A373,TCO!$A$2:$A$85,0),MATCH('Historical Shareweights'!AG368,TCO!$B$1:$AQ$1,0))</f>
        <v>27546600</v>
      </c>
      <c r="AH373">
        <f>INDEX(TCO!$B$2:$AQ$85,MATCH('Historical Shareweights'!$A373,TCO!$A$2:$A$85,0),MATCH('Historical Shareweights'!AH368,TCO!$B$1:$AQ$1,0))</f>
        <v>27546600</v>
      </c>
      <c r="AI373">
        <f>INDEX(TCO!$B$2:$AQ$85,MATCH('Historical Shareweights'!$A373,TCO!$A$2:$A$85,0),MATCH('Historical Shareweights'!AI368,TCO!$B$1:$AQ$1,0))</f>
        <v>27546600</v>
      </c>
      <c r="AJ373">
        <f>INDEX(TCO!$B$2:$AQ$85,MATCH('Historical Shareweights'!$A373,TCO!$A$2:$A$85,0),MATCH('Historical Shareweights'!AJ368,TCO!$B$1:$AQ$1,0))</f>
        <v>27546600</v>
      </c>
      <c r="AK373">
        <f>INDEX(TCO!$B$2:$AQ$85,MATCH('Historical Shareweights'!$A373,TCO!$A$2:$A$85,0),MATCH('Historical Shareweights'!AK368,TCO!$B$1:$AQ$1,0))</f>
        <v>27546600</v>
      </c>
      <c r="AL373">
        <f>INDEX(TCO!$B$2:$AQ$85,MATCH('Historical Shareweights'!$A373,TCO!$A$2:$A$85,0),MATCH('Historical Shareweights'!AL368,TCO!$B$1:$AQ$1,0))</f>
        <v>27546600</v>
      </c>
      <c r="AM373">
        <f>INDEX(TCO!$B$2:$AQ$85,MATCH('Historical Shareweights'!$A373,TCO!$A$2:$A$85,0),MATCH('Historical Shareweights'!AM368,TCO!$B$1:$AQ$1,0))</f>
        <v>27546600</v>
      </c>
      <c r="AN373">
        <f>INDEX(TCO!$B$2:$AQ$85,MATCH('Historical Shareweights'!$A373,TCO!$A$2:$A$85,0),MATCH('Historical Shareweights'!AN368,TCO!$B$1:$AQ$1,0))</f>
        <v>27546600</v>
      </c>
      <c r="AO373">
        <f>INDEX(TCO!$B$2:$AQ$85,MATCH('Historical Shareweights'!$A373,TCO!$A$2:$A$85,0),MATCH('Historical Shareweights'!AO368,TCO!$B$1:$AQ$1,0))</f>
        <v>27546600</v>
      </c>
      <c r="AP373">
        <f>INDEX(TCO!$B$2:$AQ$85,MATCH('Historical Shareweights'!$A373,TCO!$A$2:$A$85,0),MATCH('Historical Shareweights'!AP368,TCO!$B$1:$AQ$1,0))</f>
        <v>27546600</v>
      </c>
      <c r="AQ373">
        <f>INDEX(TCO!$B$2:$AQ$85,MATCH('Historical Shareweights'!$A373,TCO!$A$2:$A$85,0),MATCH('Historical Shareweights'!AQ368,TCO!$B$1:$AQ$1,0))</f>
        <v>27546600</v>
      </c>
    </row>
    <row r="374" spans="1:43" hidden="1" outlineLevel="1" x14ac:dyDescent="0.15">
      <c r="A374" t="s">
        <v>1181</v>
      </c>
      <c r="B374">
        <f>INDEX(TCO!$B$2:$AQ$85,MATCH('Historical Shareweights'!$A374,TCO!$A$2:$A$85,0),MATCH('Historical Shareweights'!B368,TCO!$B$1:$AQ$1,0))</f>
        <v>27546600</v>
      </c>
      <c r="C374">
        <f>INDEX(TCO!$B$2:$AQ$85,MATCH('Historical Shareweights'!$A374,TCO!$A$2:$A$85,0),MATCH('Historical Shareweights'!C368,TCO!$B$1:$AQ$1,0))</f>
        <v>27546600</v>
      </c>
      <c r="D374">
        <f>INDEX(TCO!$B$2:$AQ$85,MATCH('Historical Shareweights'!$A374,TCO!$A$2:$A$85,0),MATCH('Historical Shareweights'!D368,TCO!$B$1:$AQ$1,0))</f>
        <v>27546600</v>
      </c>
      <c r="E374">
        <f>INDEX(TCO!$B$2:$AQ$85,MATCH('Historical Shareweights'!$A374,TCO!$A$2:$A$85,0),MATCH('Historical Shareweights'!E368,TCO!$B$1:$AQ$1,0))</f>
        <v>27546600</v>
      </c>
      <c r="F374">
        <f>INDEX(TCO!$B$2:$AQ$85,MATCH('Historical Shareweights'!$A374,TCO!$A$2:$A$85,0),MATCH('Historical Shareweights'!F368,TCO!$B$1:$AQ$1,0))</f>
        <v>27546600</v>
      </c>
      <c r="G374">
        <f>INDEX(TCO!$B$2:$AQ$85,MATCH('Historical Shareweights'!$A374,TCO!$A$2:$A$85,0),MATCH('Historical Shareweights'!G368,TCO!$B$1:$AQ$1,0))</f>
        <v>27546600</v>
      </c>
      <c r="H374">
        <f>INDEX(TCO!$B$2:$AQ$85,MATCH('Historical Shareweights'!$A374,TCO!$A$2:$A$85,0),MATCH('Historical Shareweights'!H368,TCO!$B$1:$AQ$1,0))</f>
        <v>27546600</v>
      </c>
      <c r="I374">
        <f>INDEX(TCO!$B$2:$AQ$85,MATCH('Historical Shareweights'!$A374,TCO!$A$2:$A$85,0),MATCH('Historical Shareweights'!I368,TCO!$B$1:$AQ$1,0))</f>
        <v>27546600</v>
      </c>
      <c r="J374">
        <f>INDEX(TCO!$B$2:$AQ$85,MATCH('Historical Shareweights'!$A374,TCO!$A$2:$A$85,0),MATCH('Historical Shareweights'!J368,TCO!$B$1:$AQ$1,0))</f>
        <v>27546600</v>
      </c>
      <c r="K374">
        <f>INDEX(TCO!$B$2:$AQ$85,MATCH('Historical Shareweights'!$A374,TCO!$A$2:$A$85,0),MATCH('Historical Shareweights'!K368,TCO!$B$1:$AQ$1,0))</f>
        <v>27546600</v>
      </c>
      <c r="L374">
        <f>INDEX(TCO!$B$2:$AQ$85,MATCH('Historical Shareweights'!$A374,TCO!$A$2:$A$85,0),MATCH('Historical Shareweights'!L368,TCO!$B$1:$AQ$1,0))</f>
        <v>27546600</v>
      </c>
      <c r="M374">
        <f>INDEX(TCO!$B$2:$AQ$85,MATCH('Historical Shareweights'!$A374,TCO!$A$2:$A$85,0),MATCH('Historical Shareweights'!M368,TCO!$B$1:$AQ$1,0))</f>
        <v>27546600</v>
      </c>
      <c r="N374">
        <f>INDEX(TCO!$B$2:$AQ$85,MATCH('Historical Shareweights'!$A374,TCO!$A$2:$A$85,0),MATCH('Historical Shareweights'!N368,TCO!$B$1:$AQ$1,0))</f>
        <v>27546600</v>
      </c>
      <c r="O374">
        <f>INDEX(TCO!$B$2:$AQ$85,MATCH('Historical Shareweights'!$A374,TCO!$A$2:$A$85,0),MATCH('Historical Shareweights'!O368,TCO!$B$1:$AQ$1,0))</f>
        <v>27546600</v>
      </c>
      <c r="P374">
        <f>INDEX(TCO!$B$2:$AQ$85,MATCH('Historical Shareweights'!$A374,TCO!$A$2:$A$85,0),MATCH('Historical Shareweights'!P368,TCO!$B$1:$AQ$1,0))</f>
        <v>27546600</v>
      </c>
      <c r="Q374">
        <f>INDEX(TCO!$B$2:$AQ$85,MATCH('Historical Shareweights'!$A374,TCO!$A$2:$A$85,0),MATCH('Historical Shareweights'!Q368,TCO!$B$1:$AQ$1,0))</f>
        <v>27546600</v>
      </c>
      <c r="R374">
        <f>INDEX(TCO!$B$2:$AQ$85,MATCH('Historical Shareweights'!$A374,TCO!$A$2:$A$85,0),MATCH('Historical Shareweights'!R368,TCO!$B$1:$AQ$1,0))</f>
        <v>27546600</v>
      </c>
      <c r="S374">
        <f>INDEX(TCO!$B$2:$AQ$85,MATCH('Historical Shareweights'!$A374,TCO!$A$2:$A$85,0),MATCH('Historical Shareweights'!S368,TCO!$B$1:$AQ$1,0))</f>
        <v>27546600</v>
      </c>
      <c r="T374">
        <f>INDEX(TCO!$B$2:$AQ$85,MATCH('Historical Shareweights'!$A374,TCO!$A$2:$A$85,0),MATCH('Historical Shareweights'!T368,TCO!$B$1:$AQ$1,0))</f>
        <v>27546600</v>
      </c>
      <c r="U374">
        <f>INDEX(TCO!$B$2:$AQ$85,MATCH('Historical Shareweights'!$A374,TCO!$A$2:$A$85,0),MATCH('Historical Shareweights'!U368,TCO!$B$1:$AQ$1,0))</f>
        <v>27546600</v>
      </c>
      <c r="V374">
        <f>INDEX(TCO!$B$2:$AQ$85,MATCH('Historical Shareweights'!$A374,TCO!$A$2:$A$85,0),MATCH('Historical Shareweights'!V368,TCO!$B$1:$AQ$1,0))</f>
        <v>27546600</v>
      </c>
      <c r="W374">
        <f>INDEX(TCO!$B$2:$AQ$85,MATCH('Historical Shareweights'!$A374,TCO!$A$2:$A$85,0),MATCH('Historical Shareweights'!W368,TCO!$B$1:$AQ$1,0))</f>
        <v>27546600</v>
      </c>
      <c r="X374">
        <f>INDEX(TCO!$B$2:$AQ$85,MATCH('Historical Shareweights'!$A374,TCO!$A$2:$A$85,0),MATCH('Historical Shareweights'!X368,TCO!$B$1:$AQ$1,0))</f>
        <v>27546600</v>
      </c>
      <c r="Y374">
        <f>INDEX(TCO!$B$2:$AQ$85,MATCH('Historical Shareweights'!$A374,TCO!$A$2:$A$85,0),MATCH('Historical Shareweights'!Y368,TCO!$B$1:$AQ$1,0))</f>
        <v>27546600</v>
      </c>
      <c r="Z374">
        <f>INDEX(TCO!$B$2:$AQ$85,MATCH('Historical Shareweights'!$A374,TCO!$A$2:$A$85,0),MATCH('Historical Shareweights'!Z368,TCO!$B$1:$AQ$1,0))</f>
        <v>27546600</v>
      </c>
      <c r="AA374">
        <f>INDEX(TCO!$B$2:$AQ$85,MATCH('Historical Shareweights'!$A374,TCO!$A$2:$A$85,0),MATCH('Historical Shareweights'!AA368,TCO!$B$1:$AQ$1,0))</f>
        <v>27546600</v>
      </c>
      <c r="AB374">
        <f>INDEX(TCO!$B$2:$AQ$85,MATCH('Historical Shareweights'!$A374,TCO!$A$2:$A$85,0),MATCH('Historical Shareweights'!AB368,TCO!$B$1:$AQ$1,0))</f>
        <v>27546600</v>
      </c>
      <c r="AC374">
        <f>INDEX(TCO!$B$2:$AQ$85,MATCH('Historical Shareweights'!$A374,TCO!$A$2:$A$85,0),MATCH('Historical Shareweights'!AC368,TCO!$B$1:$AQ$1,0))</f>
        <v>27546600</v>
      </c>
      <c r="AD374">
        <f>INDEX(TCO!$B$2:$AQ$85,MATCH('Historical Shareweights'!$A374,TCO!$A$2:$A$85,0),MATCH('Historical Shareweights'!AD368,TCO!$B$1:$AQ$1,0))</f>
        <v>27546600</v>
      </c>
      <c r="AE374">
        <f>INDEX(TCO!$B$2:$AQ$85,MATCH('Historical Shareweights'!$A374,TCO!$A$2:$A$85,0),MATCH('Historical Shareweights'!AE368,TCO!$B$1:$AQ$1,0))</f>
        <v>27546600</v>
      </c>
      <c r="AF374">
        <f>INDEX(TCO!$B$2:$AQ$85,MATCH('Historical Shareweights'!$A374,TCO!$A$2:$A$85,0),MATCH('Historical Shareweights'!AF368,TCO!$B$1:$AQ$1,0))</f>
        <v>27546600</v>
      </c>
      <c r="AG374">
        <f>INDEX(TCO!$B$2:$AQ$85,MATCH('Historical Shareweights'!$A374,TCO!$A$2:$A$85,0),MATCH('Historical Shareweights'!AG368,TCO!$B$1:$AQ$1,0))</f>
        <v>27546600</v>
      </c>
      <c r="AH374">
        <f>INDEX(TCO!$B$2:$AQ$85,MATCH('Historical Shareweights'!$A374,TCO!$A$2:$A$85,0),MATCH('Historical Shareweights'!AH368,TCO!$B$1:$AQ$1,0))</f>
        <v>27546600</v>
      </c>
      <c r="AI374">
        <f>INDEX(TCO!$B$2:$AQ$85,MATCH('Historical Shareweights'!$A374,TCO!$A$2:$A$85,0),MATCH('Historical Shareweights'!AI368,TCO!$B$1:$AQ$1,0))</f>
        <v>27546600</v>
      </c>
      <c r="AJ374">
        <f>INDEX(TCO!$B$2:$AQ$85,MATCH('Historical Shareweights'!$A374,TCO!$A$2:$A$85,0),MATCH('Historical Shareweights'!AJ368,TCO!$B$1:$AQ$1,0))</f>
        <v>27546600</v>
      </c>
      <c r="AK374">
        <f>INDEX(TCO!$B$2:$AQ$85,MATCH('Historical Shareweights'!$A374,TCO!$A$2:$A$85,0),MATCH('Historical Shareweights'!AK368,TCO!$B$1:$AQ$1,0))</f>
        <v>27546600</v>
      </c>
      <c r="AL374">
        <f>INDEX(TCO!$B$2:$AQ$85,MATCH('Historical Shareweights'!$A374,TCO!$A$2:$A$85,0),MATCH('Historical Shareweights'!AL368,TCO!$B$1:$AQ$1,0))</f>
        <v>27546600</v>
      </c>
      <c r="AM374">
        <f>INDEX(TCO!$B$2:$AQ$85,MATCH('Historical Shareweights'!$A374,TCO!$A$2:$A$85,0),MATCH('Historical Shareweights'!AM368,TCO!$B$1:$AQ$1,0))</f>
        <v>27546600</v>
      </c>
      <c r="AN374">
        <f>INDEX(TCO!$B$2:$AQ$85,MATCH('Historical Shareweights'!$A374,TCO!$A$2:$A$85,0),MATCH('Historical Shareweights'!AN368,TCO!$B$1:$AQ$1,0))</f>
        <v>27546600</v>
      </c>
      <c r="AO374">
        <f>INDEX(TCO!$B$2:$AQ$85,MATCH('Historical Shareweights'!$A374,TCO!$A$2:$A$85,0),MATCH('Historical Shareweights'!AO368,TCO!$B$1:$AQ$1,0))</f>
        <v>27546600</v>
      </c>
      <c r="AP374">
        <f>INDEX(TCO!$B$2:$AQ$85,MATCH('Historical Shareweights'!$A374,TCO!$A$2:$A$85,0),MATCH('Historical Shareweights'!AP368,TCO!$B$1:$AQ$1,0))</f>
        <v>27546600</v>
      </c>
      <c r="AQ374">
        <f>INDEX(TCO!$B$2:$AQ$85,MATCH('Historical Shareweights'!$A374,TCO!$A$2:$A$85,0),MATCH('Historical Shareweights'!AQ368,TCO!$B$1:$AQ$1,0))</f>
        <v>27546600</v>
      </c>
    </row>
    <row r="375" spans="1:43" hidden="1" outlineLevel="1" x14ac:dyDescent="0.15">
      <c r="A375" t="s">
        <v>1182</v>
      </c>
      <c r="B375">
        <f>INDEX(TCO!$B$2:$AQ$85,MATCH('Historical Shareweights'!$A375,TCO!$A$2:$A$85,0),MATCH('Historical Shareweights'!B368,TCO!$B$1:$AQ$1,0))</f>
        <v>28045400</v>
      </c>
      <c r="C375">
        <f>INDEX(TCO!$B$2:$AQ$85,MATCH('Historical Shareweights'!$A375,TCO!$A$2:$A$85,0),MATCH('Historical Shareweights'!C368,TCO!$B$1:$AQ$1,0))</f>
        <v>28045400</v>
      </c>
      <c r="D375">
        <f>INDEX(TCO!$B$2:$AQ$85,MATCH('Historical Shareweights'!$A375,TCO!$A$2:$A$85,0),MATCH('Historical Shareweights'!D368,TCO!$B$1:$AQ$1,0))</f>
        <v>27859000</v>
      </c>
      <c r="E375">
        <f>INDEX(TCO!$B$2:$AQ$85,MATCH('Historical Shareweights'!$A375,TCO!$A$2:$A$85,0),MATCH('Historical Shareweights'!E368,TCO!$B$1:$AQ$1,0))</f>
        <v>27699300</v>
      </c>
      <c r="F375">
        <f>INDEX(TCO!$B$2:$AQ$85,MATCH('Historical Shareweights'!$A375,TCO!$A$2:$A$85,0),MATCH('Historical Shareweights'!F368,TCO!$B$1:$AQ$1,0))</f>
        <v>27553600</v>
      </c>
      <c r="G375">
        <f>INDEX(TCO!$B$2:$AQ$85,MATCH('Historical Shareweights'!$A375,TCO!$A$2:$A$85,0),MATCH('Historical Shareweights'!G368,TCO!$B$1:$AQ$1,0))</f>
        <v>27388700</v>
      </c>
      <c r="H375">
        <f>INDEX(TCO!$B$2:$AQ$85,MATCH('Historical Shareweights'!$A375,TCO!$A$2:$A$85,0),MATCH('Historical Shareweights'!H368,TCO!$B$1:$AQ$1,0))</f>
        <v>27225500</v>
      </c>
      <c r="I375">
        <f>INDEX(TCO!$B$2:$AQ$85,MATCH('Historical Shareweights'!$A375,TCO!$A$2:$A$85,0),MATCH('Historical Shareweights'!I368,TCO!$B$1:$AQ$1,0))</f>
        <v>27075400</v>
      </c>
      <c r="J375">
        <f>INDEX(TCO!$B$2:$AQ$85,MATCH('Historical Shareweights'!$A375,TCO!$A$2:$A$85,0),MATCH('Historical Shareweights'!J368,TCO!$B$1:$AQ$1,0))</f>
        <v>26943000</v>
      </c>
      <c r="K375">
        <f>INDEX(TCO!$B$2:$AQ$85,MATCH('Historical Shareweights'!$A375,TCO!$A$2:$A$85,0),MATCH('Historical Shareweights'!K368,TCO!$B$1:$AQ$1,0))</f>
        <v>26816700</v>
      </c>
      <c r="L375">
        <f>INDEX(TCO!$B$2:$AQ$85,MATCH('Historical Shareweights'!$A375,TCO!$A$2:$A$85,0),MATCH('Historical Shareweights'!L368,TCO!$B$1:$AQ$1,0))</f>
        <v>26696000</v>
      </c>
      <c r="M375">
        <f>INDEX(TCO!$B$2:$AQ$85,MATCH('Historical Shareweights'!$A375,TCO!$A$2:$A$85,0),MATCH('Historical Shareweights'!M368,TCO!$B$1:$AQ$1,0))</f>
        <v>26581600</v>
      </c>
      <c r="N375">
        <f>INDEX(TCO!$B$2:$AQ$85,MATCH('Historical Shareweights'!$A375,TCO!$A$2:$A$85,0),MATCH('Historical Shareweights'!N368,TCO!$B$1:$AQ$1,0))</f>
        <v>26471100</v>
      </c>
      <c r="O375">
        <f>INDEX(TCO!$B$2:$AQ$85,MATCH('Historical Shareweights'!$A375,TCO!$A$2:$A$85,0),MATCH('Historical Shareweights'!O368,TCO!$B$1:$AQ$1,0))</f>
        <v>26367100</v>
      </c>
      <c r="P375">
        <f>INDEX(TCO!$B$2:$AQ$85,MATCH('Historical Shareweights'!$A375,TCO!$A$2:$A$85,0),MATCH('Historical Shareweights'!P368,TCO!$B$1:$AQ$1,0))</f>
        <v>26267400</v>
      </c>
      <c r="Q375">
        <f>INDEX(TCO!$B$2:$AQ$85,MATCH('Historical Shareweights'!$A375,TCO!$A$2:$A$85,0),MATCH('Historical Shareweights'!Q368,TCO!$B$1:$AQ$1,0))</f>
        <v>26170400</v>
      </c>
      <c r="R375">
        <f>INDEX(TCO!$B$2:$AQ$85,MATCH('Historical Shareweights'!$A375,TCO!$A$2:$A$85,0),MATCH('Historical Shareweights'!R368,TCO!$B$1:$AQ$1,0))</f>
        <v>26076900</v>
      </c>
      <c r="S375">
        <f>INDEX(TCO!$B$2:$AQ$85,MATCH('Historical Shareweights'!$A375,TCO!$A$2:$A$85,0),MATCH('Historical Shareweights'!S368,TCO!$B$1:$AQ$1,0))</f>
        <v>25988300</v>
      </c>
      <c r="T375">
        <f>INDEX(TCO!$B$2:$AQ$85,MATCH('Historical Shareweights'!$A375,TCO!$A$2:$A$85,0),MATCH('Historical Shareweights'!T368,TCO!$B$1:$AQ$1,0))</f>
        <v>25903800</v>
      </c>
      <c r="U375">
        <f>INDEX(TCO!$B$2:$AQ$85,MATCH('Historical Shareweights'!$A375,TCO!$A$2:$A$85,0),MATCH('Historical Shareweights'!U368,TCO!$B$1:$AQ$1,0))</f>
        <v>25823000</v>
      </c>
      <c r="V375">
        <f>INDEX(TCO!$B$2:$AQ$85,MATCH('Historical Shareweights'!$A375,TCO!$A$2:$A$85,0),MATCH('Historical Shareweights'!V368,TCO!$B$1:$AQ$1,0))</f>
        <v>25746300</v>
      </c>
      <c r="W375">
        <f>INDEX(TCO!$B$2:$AQ$85,MATCH('Historical Shareweights'!$A375,TCO!$A$2:$A$85,0),MATCH('Historical Shareweights'!W368,TCO!$B$1:$AQ$1,0))</f>
        <v>25673300</v>
      </c>
      <c r="X375">
        <f>INDEX(TCO!$B$2:$AQ$85,MATCH('Historical Shareweights'!$A375,TCO!$A$2:$A$85,0),MATCH('Historical Shareweights'!X368,TCO!$B$1:$AQ$1,0))</f>
        <v>25603800</v>
      </c>
      <c r="Y375">
        <f>INDEX(TCO!$B$2:$AQ$85,MATCH('Historical Shareweights'!$A375,TCO!$A$2:$A$85,0),MATCH('Historical Shareweights'!Y368,TCO!$B$1:$AQ$1,0))</f>
        <v>25537400</v>
      </c>
      <c r="Z375">
        <f>INDEX(TCO!$B$2:$AQ$85,MATCH('Historical Shareweights'!$A375,TCO!$A$2:$A$85,0),MATCH('Historical Shareweights'!Z368,TCO!$B$1:$AQ$1,0))</f>
        <v>25474500</v>
      </c>
      <c r="AA375">
        <f>INDEX(TCO!$B$2:$AQ$85,MATCH('Historical Shareweights'!$A375,TCO!$A$2:$A$85,0),MATCH('Historical Shareweights'!AA368,TCO!$B$1:$AQ$1,0))</f>
        <v>25414300</v>
      </c>
      <c r="AB375">
        <f>INDEX(TCO!$B$2:$AQ$85,MATCH('Historical Shareweights'!$A375,TCO!$A$2:$A$85,0),MATCH('Historical Shareweights'!AB368,TCO!$B$1:$AQ$1,0))</f>
        <v>25357000</v>
      </c>
      <c r="AC375">
        <f>INDEX(TCO!$B$2:$AQ$85,MATCH('Historical Shareweights'!$A375,TCO!$A$2:$A$85,0),MATCH('Historical Shareweights'!AC368,TCO!$B$1:$AQ$1,0))</f>
        <v>25302000</v>
      </c>
      <c r="AD375">
        <f>INDEX(TCO!$B$2:$AQ$85,MATCH('Historical Shareweights'!$A375,TCO!$A$2:$A$85,0),MATCH('Historical Shareweights'!AD368,TCO!$B$1:$AQ$1,0))</f>
        <v>25250100</v>
      </c>
      <c r="AE375">
        <f>INDEX(TCO!$B$2:$AQ$85,MATCH('Historical Shareweights'!$A375,TCO!$A$2:$A$85,0),MATCH('Historical Shareweights'!AE368,TCO!$B$1:$AQ$1,0))</f>
        <v>25200400</v>
      </c>
      <c r="AF375">
        <f>INDEX(TCO!$B$2:$AQ$85,MATCH('Historical Shareweights'!$A375,TCO!$A$2:$A$85,0),MATCH('Historical Shareweights'!AF368,TCO!$B$1:$AQ$1,0))</f>
        <v>25153400</v>
      </c>
      <c r="AG375">
        <f>INDEX(TCO!$B$2:$AQ$85,MATCH('Historical Shareweights'!$A375,TCO!$A$2:$A$85,0),MATCH('Historical Shareweights'!AG368,TCO!$B$1:$AQ$1,0))</f>
        <v>25106100</v>
      </c>
      <c r="AH375">
        <f>INDEX(TCO!$B$2:$AQ$85,MATCH('Historical Shareweights'!$A375,TCO!$A$2:$A$85,0),MATCH('Historical Shareweights'!AH368,TCO!$B$1:$AQ$1,0))</f>
        <v>25105100</v>
      </c>
      <c r="AI375">
        <f>INDEX(TCO!$B$2:$AQ$85,MATCH('Historical Shareweights'!$A375,TCO!$A$2:$A$85,0),MATCH('Historical Shareweights'!AI368,TCO!$B$1:$AQ$1,0))</f>
        <v>25104200</v>
      </c>
      <c r="AJ375">
        <f>INDEX(TCO!$B$2:$AQ$85,MATCH('Historical Shareweights'!$A375,TCO!$A$2:$A$85,0),MATCH('Historical Shareweights'!AJ368,TCO!$B$1:$AQ$1,0))</f>
        <v>25103300</v>
      </c>
      <c r="AK375">
        <f>INDEX(TCO!$B$2:$AQ$85,MATCH('Historical Shareweights'!$A375,TCO!$A$2:$A$85,0),MATCH('Historical Shareweights'!AK368,TCO!$B$1:$AQ$1,0))</f>
        <v>25102400</v>
      </c>
      <c r="AL375">
        <f>INDEX(TCO!$B$2:$AQ$85,MATCH('Historical Shareweights'!$A375,TCO!$A$2:$A$85,0),MATCH('Historical Shareweights'!AL368,TCO!$B$1:$AQ$1,0))</f>
        <v>25101500</v>
      </c>
      <c r="AM375">
        <f>INDEX(TCO!$B$2:$AQ$85,MATCH('Historical Shareweights'!$A375,TCO!$A$2:$A$85,0),MATCH('Historical Shareweights'!AM368,TCO!$B$1:$AQ$1,0))</f>
        <v>25100700</v>
      </c>
      <c r="AN375">
        <f>INDEX(TCO!$B$2:$AQ$85,MATCH('Historical Shareweights'!$A375,TCO!$A$2:$A$85,0),MATCH('Historical Shareweights'!AN368,TCO!$B$1:$AQ$1,0))</f>
        <v>25100000</v>
      </c>
      <c r="AO375">
        <f>INDEX(TCO!$B$2:$AQ$85,MATCH('Historical Shareweights'!$A375,TCO!$A$2:$A$85,0),MATCH('Historical Shareweights'!AO368,TCO!$B$1:$AQ$1,0))</f>
        <v>25099300</v>
      </c>
      <c r="AP375">
        <f>INDEX(TCO!$B$2:$AQ$85,MATCH('Historical Shareweights'!$A375,TCO!$A$2:$A$85,0),MATCH('Historical Shareweights'!AP368,TCO!$B$1:$AQ$1,0))</f>
        <v>25098600</v>
      </c>
      <c r="AQ375">
        <f>INDEX(TCO!$B$2:$AQ$85,MATCH('Historical Shareweights'!$A375,TCO!$A$2:$A$85,0),MATCH('Historical Shareweights'!AQ368,TCO!$B$1:$AQ$1,0))</f>
        <v>25097900</v>
      </c>
    </row>
    <row r="376" spans="1:43" hidden="1" outlineLevel="1" x14ac:dyDescent="0.15"/>
    <row r="377" spans="1:43" ht="13.6" hidden="1" outlineLevel="1" thickBot="1" x14ac:dyDescent="0.2">
      <c r="A377" s="1" t="s">
        <v>1101</v>
      </c>
      <c r="B377" s="175">
        <v>2019</v>
      </c>
    </row>
    <row r="378" spans="1:43" hidden="1" outlineLevel="1" x14ac:dyDescent="0.15"/>
    <row r="379" spans="1:43" hidden="1" outlineLevel="1" x14ac:dyDescent="0.15">
      <c r="A379" s="1" t="s">
        <v>1102</v>
      </c>
    </row>
    <row r="380" spans="1:43" hidden="1" outlineLevel="1" x14ac:dyDescent="0.15">
      <c r="B380" t="s">
        <v>1103</v>
      </c>
      <c r="C380" t="s">
        <v>1104</v>
      </c>
      <c r="D380" t="s">
        <v>1105</v>
      </c>
      <c r="E380" t="s">
        <v>1106</v>
      </c>
      <c r="F380" t="s">
        <v>1107</v>
      </c>
      <c r="G380" t="s">
        <v>1108</v>
      </c>
    </row>
    <row r="381" spans="1:43" hidden="1" outlineLevel="1" x14ac:dyDescent="0.15">
      <c r="A381" t="s">
        <v>1084</v>
      </c>
      <c r="B381" s="179">
        <v>3</v>
      </c>
      <c r="C381" cm="1">
        <f t="array" ref="C381">INDEX($B369:$AQ369,,MATCH($B377,$B368:$AQ368,0))/10^6</f>
        <v>24.628900000000002</v>
      </c>
      <c r="D381" s="176">
        <f>B381*EXP(C381*$B365)</f>
        <v>2.4464433219317717E-32</v>
      </c>
      <c r="E381" s="171">
        <f>D381/SUM($D381:$D387)</f>
        <v>0.9999999935746533</v>
      </c>
      <c r="F381" s="177">
        <f>INDEX($B356:$F362,MATCH(A381,$A356:$A362,0),MATCH($B377,$B355:$F355,0))</f>
        <v>0.9</v>
      </c>
      <c r="G381" s="178">
        <f>ABS(F381-E381)</f>
        <v>9.9999993574653279E-2</v>
      </c>
    </row>
    <row r="382" spans="1:43" hidden="1" outlineLevel="1" x14ac:dyDescent="0.15">
      <c r="A382" t="s">
        <v>1086</v>
      </c>
      <c r="B382" s="179">
        <v>0</v>
      </c>
      <c r="C382" cm="1">
        <f t="array" ref="C382">INDEX($B370:$AQ370,,MATCH($B377,$B368:$AQ368,0))/10^6</f>
        <v>27.546600000000002</v>
      </c>
      <c r="D382" s="176">
        <f>B382*EXP(C382*$B365)</f>
        <v>0</v>
      </c>
      <c r="E382" s="171">
        <f>D382/SUM($D381:$D387)</f>
        <v>0</v>
      </c>
      <c r="F382" s="177">
        <f>INDEX($B356:$F362,MATCH(A382,$A356:$A362,0),MATCH($B377,$B355:$F355,0))</f>
        <v>0</v>
      </c>
      <c r="G382" s="178">
        <f t="shared" ref="G382:G387" si="52">ABS(F382-E382)</f>
        <v>0</v>
      </c>
    </row>
    <row r="383" spans="1:43" hidden="1" outlineLevel="1" x14ac:dyDescent="0.15">
      <c r="A383" t="s">
        <v>1088</v>
      </c>
      <c r="B383" s="179">
        <v>0</v>
      </c>
      <c r="C383" cm="1">
        <f t="array" ref="C383">INDEX($B371:$AQ371,,MATCH($B377,$B368:$AQ368,0))/10^6</f>
        <v>27.546600000000002</v>
      </c>
      <c r="D383" s="176">
        <f>B383*EXP(C383*$B365)</f>
        <v>0</v>
      </c>
      <c r="E383" s="171">
        <f>D383/SUM($D381:$D387)</f>
        <v>0</v>
      </c>
      <c r="F383" s="177">
        <f>INDEX($B356:$F362,MATCH(A383,$A356:$A362,0),MATCH($B377,$B355:$F355,0))</f>
        <v>0</v>
      </c>
      <c r="G383" s="178">
        <f t="shared" si="52"/>
        <v>0</v>
      </c>
    </row>
    <row r="384" spans="1:43" hidden="1" outlineLevel="1" x14ac:dyDescent="0.15">
      <c r="A384" t="s">
        <v>408</v>
      </c>
      <c r="B384" s="179">
        <v>0.57292357996145082</v>
      </c>
      <c r="C384" cm="1">
        <f t="array" ref="C384">INDEX($B372:$AQ372,,MATCH($B377,$B368:$AQ368,0))/10^6</f>
        <v>30.364699999999999</v>
      </c>
      <c r="D384" s="176">
        <f>B384*EXP(C384*$B365)</f>
        <v>1.5719246814498554E-40</v>
      </c>
      <c r="E384" s="171">
        <f>D384/SUM($D381:$D387)</f>
        <v>6.425346776922116E-9</v>
      </c>
      <c r="F384" s="177">
        <f>INDEX($B356:$F362,MATCH(A384,$A356:$A362,0),MATCH($B377,$B355:$F355,0))</f>
        <v>9.9999999999999978E-2</v>
      </c>
      <c r="G384" s="178">
        <f t="shared" si="52"/>
        <v>9.9999993574653195E-2</v>
      </c>
    </row>
    <row r="385" spans="1:7" hidden="1" outlineLevel="1" x14ac:dyDescent="0.15">
      <c r="A385" t="s">
        <v>1089</v>
      </c>
      <c r="B385" s="179">
        <v>0</v>
      </c>
      <c r="C385" cm="1">
        <f t="array" ref="C385">INDEX($B373:$AQ373,,MATCH($B377,$B368:$AQ368,0))/10^6</f>
        <v>27.546600000000002</v>
      </c>
      <c r="D385" s="176">
        <f>B385*EXP(C385*$B365)</f>
        <v>0</v>
      </c>
      <c r="E385" s="171">
        <f>D385/SUM($D381:$D387)</f>
        <v>0</v>
      </c>
      <c r="F385" s="177">
        <f>INDEX($B356:$F362,MATCH(A385,$A356:$A362,0),MATCH($B377,$B355:$F355,0))</f>
        <v>0</v>
      </c>
      <c r="G385" s="178">
        <f t="shared" si="52"/>
        <v>0</v>
      </c>
    </row>
    <row r="386" spans="1:7" hidden="1" outlineLevel="1" x14ac:dyDescent="0.15">
      <c r="A386" t="s">
        <v>1090</v>
      </c>
      <c r="B386" s="179">
        <v>0</v>
      </c>
      <c r="C386" cm="1">
        <f t="array" ref="C386">INDEX($B374:$AQ374,,MATCH($B377,$B368:$AQ368,0))/10^6</f>
        <v>27.546600000000002</v>
      </c>
      <c r="D386" s="176">
        <f>B386*EXP(C386*$B365)</f>
        <v>0</v>
      </c>
      <c r="E386" s="171">
        <f>D386/SUM($D381:$D387)</f>
        <v>0</v>
      </c>
      <c r="F386" s="177">
        <f>INDEX($B356:$F362,MATCH(A386,$A356:$A362,0),MATCH($B377,$B355:$F355,0))</f>
        <v>0</v>
      </c>
      <c r="G386" s="178">
        <f t="shared" si="52"/>
        <v>0</v>
      </c>
    </row>
    <row r="387" spans="1:7" hidden="1" outlineLevel="1" x14ac:dyDescent="0.15">
      <c r="A387" t="s">
        <v>1091</v>
      </c>
      <c r="B387" s="179">
        <v>0</v>
      </c>
      <c r="C387" cm="1">
        <f t="array" ref="C387">INDEX($B375:$AQ375,,MATCH($B377,$B368:$AQ368,0))/10^6</f>
        <v>28.045400000000001</v>
      </c>
      <c r="D387" s="176">
        <f>B387*EXP(C387*$B365)</f>
        <v>0</v>
      </c>
      <c r="E387" s="171">
        <f>D387/SUM($D381:$D387)</f>
        <v>0</v>
      </c>
      <c r="F387" s="177">
        <f>INDEX($B356:$F362,MATCH(A387,$A356:$A362,0),MATCH($B377,$B355:$F355,0))</f>
        <v>0</v>
      </c>
      <c r="G387" s="178">
        <f t="shared" si="52"/>
        <v>0</v>
      </c>
    </row>
    <row r="388" spans="1:7" hidden="1" outlineLevel="1" x14ac:dyDescent="0.15">
      <c r="G388" s="178"/>
    </row>
    <row r="389" spans="1:7" hidden="1" outlineLevel="1" x14ac:dyDescent="0.15">
      <c r="F389" s="1" t="s">
        <v>1109</v>
      </c>
      <c r="G389" s="179">
        <f>SUM(G381:G387)</f>
        <v>0.19999998714930647</v>
      </c>
    </row>
    <row r="390" spans="1:7" hidden="1" outlineLevel="1" x14ac:dyDescent="0.15"/>
    <row r="391" spans="1:7" hidden="1" outlineLevel="1" x14ac:dyDescent="0.15">
      <c r="A391" s="1" t="s">
        <v>1110</v>
      </c>
      <c r="B391">
        <v>2019</v>
      </c>
      <c r="C391">
        <v>2020</v>
      </c>
      <c r="D391">
        <v>2021</v>
      </c>
      <c r="E391">
        <v>2022</v>
      </c>
      <c r="F391">
        <v>2023</v>
      </c>
    </row>
    <row r="392" spans="1:7" hidden="1" outlineLevel="1" x14ac:dyDescent="0.15">
      <c r="A392" t="s">
        <v>1084</v>
      </c>
      <c r="B392" s="179">
        <v>3</v>
      </c>
      <c r="C392" s="179">
        <v>3</v>
      </c>
      <c r="D392" s="179">
        <v>2.8456878213652459</v>
      </c>
      <c r="E392" s="179">
        <v>2.815384891362199</v>
      </c>
      <c r="F392" s="179">
        <v>3</v>
      </c>
    </row>
    <row r="393" spans="1:7" hidden="1" outlineLevel="1" x14ac:dyDescent="0.15">
      <c r="A393" t="s">
        <v>1086</v>
      </c>
      <c r="B393" s="179">
        <v>0</v>
      </c>
      <c r="C393" s="179">
        <v>0</v>
      </c>
      <c r="D393" s="179">
        <v>0</v>
      </c>
      <c r="E393" s="179">
        <v>0</v>
      </c>
      <c r="F393" s="179">
        <v>0</v>
      </c>
    </row>
    <row r="394" spans="1:7" hidden="1" outlineLevel="1" x14ac:dyDescent="0.15">
      <c r="A394" t="s">
        <v>1088</v>
      </c>
      <c r="B394" s="179">
        <v>0</v>
      </c>
      <c r="C394" s="179">
        <v>0</v>
      </c>
      <c r="D394" s="179">
        <v>0</v>
      </c>
      <c r="E394" s="179">
        <v>0</v>
      </c>
      <c r="F394" s="179">
        <v>0</v>
      </c>
    </row>
    <row r="395" spans="1:7" hidden="1" outlineLevel="1" x14ac:dyDescent="0.15">
      <c r="A395" t="s">
        <v>408</v>
      </c>
      <c r="B395" s="179">
        <v>0.57292357996145082</v>
      </c>
      <c r="C395" s="179">
        <v>0.57725382675935766</v>
      </c>
      <c r="D395" s="179">
        <v>0.56319476761571863</v>
      </c>
      <c r="E395" s="179">
        <v>0.55053454110605282</v>
      </c>
      <c r="F395" s="179">
        <v>0.578161349367596</v>
      </c>
    </row>
    <row r="396" spans="1:7" hidden="1" outlineLevel="1" x14ac:dyDescent="0.15">
      <c r="A396" t="s">
        <v>1089</v>
      </c>
      <c r="B396" s="179">
        <v>0</v>
      </c>
      <c r="C396" s="179">
        <v>0</v>
      </c>
      <c r="D396" s="179">
        <v>0</v>
      </c>
      <c r="E396" s="179">
        <v>0</v>
      </c>
      <c r="F396" s="179">
        <v>0</v>
      </c>
    </row>
    <row r="397" spans="1:7" hidden="1" outlineLevel="1" x14ac:dyDescent="0.15">
      <c r="A397" t="s">
        <v>1090</v>
      </c>
      <c r="B397" s="179">
        <v>0</v>
      </c>
      <c r="C397" s="179">
        <v>0</v>
      </c>
      <c r="D397" s="179">
        <v>0</v>
      </c>
      <c r="E397" s="179">
        <v>0</v>
      </c>
      <c r="F397" s="179">
        <v>0</v>
      </c>
    </row>
    <row r="398" spans="1:7" hidden="1" outlineLevel="1" x14ac:dyDescent="0.15">
      <c r="A398" t="s">
        <v>1091</v>
      </c>
      <c r="B398" s="179">
        <v>0</v>
      </c>
      <c r="C398" s="179">
        <v>0</v>
      </c>
      <c r="D398" s="179">
        <v>0</v>
      </c>
      <c r="E398" s="179">
        <v>0</v>
      </c>
      <c r="F398" s="179">
        <v>0</v>
      </c>
    </row>
    <row r="399" spans="1:7" collapsed="1" x14ac:dyDescent="0.15"/>
    <row r="400" spans="1:7" s="170" customFormat="1" x14ac:dyDescent="0.15">
      <c r="A400" s="169" t="s">
        <v>1183</v>
      </c>
    </row>
    <row r="401" spans="1:43" hidden="1" outlineLevel="1" x14ac:dyDescent="0.15">
      <c r="A401" s="1"/>
    </row>
    <row r="402" spans="1:43" hidden="1" outlineLevel="1" x14ac:dyDescent="0.15">
      <c r="A402" s="1" t="s">
        <v>1082</v>
      </c>
      <c r="B402" s="1">
        <v>2019</v>
      </c>
      <c r="C402" s="1">
        <v>2020</v>
      </c>
      <c r="D402" s="1">
        <v>2021</v>
      </c>
      <c r="E402" s="1">
        <v>2022</v>
      </c>
      <c r="F402" s="1">
        <v>2023</v>
      </c>
      <c r="G402" s="1">
        <v>2024</v>
      </c>
    </row>
    <row r="403" spans="1:43" hidden="1" outlineLevel="1" x14ac:dyDescent="0.15">
      <c r="A403" t="s">
        <v>1084</v>
      </c>
      <c r="B403" s="172">
        <v>0</v>
      </c>
      <c r="C403" s="172">
        <v>0</v>
      </c>
      <c r="D403" s="172">
        <v>0</v>
      </c>
      <c r="E403" s="172">
        <v>0</v>
      </c>
      <c r="F403" s="172">
        <v>0</v>
      </c>
      <c r="G403" s="171"/>
    </row>
    <row r="404" spans="1:43" hidden="1" outlineLevel="1" x14ac:dyDescent="0.15">
      <c r="A404" t="s">
        <v>1086</v>
      </c>
      <c r="B404" s="172">
        <v>0</v>
      </c>
      <c r="C404" s="172">
        <v>0</v>
      </c>
      <c r="D404" s="172">
        <v>0</v>
      </c>
      <c r="E404" s="172">
        <v>0</v>
      </c>
      <c r="F404" s="172">
        <v>0</v>
      </c>
      <c r="G404" s="171"/>
    </row>
    <row r="405" spans="1:43" hidden="1" outlineLevel="1" x14ac:dyDescent="0.15">
      <c r="A405" t="s">
        <v>1088</v>
      </c>
      <c r="B405" s="172">
        <v>0</v>
      </c>
      <c r="C405" s="172">
        <v>0</v>
      </c>
      <c r="D405" s="172">
        <v>0</v>
      </c>
      <c r="E405" s="172">
        <v>0</v>
      </c>
      <c r="F405" s="172">
        <v>0</v>
      </c>
      <c r="G405" s="171"/>
    </row>
    <row r="406" spans="1:43" hidden="1" outlineLevel="1" x14ac:dyDescent="0.15">
      <c r="A406" t="s">
        <v>408</v>
      </c>
      <c r="B406" s="182">
        <v>1</v>
      </c>
      <c r="C406" s="182">
        <v>1</v>
      </c>
      <c r="D406" s="182">
        <v>1</v>
      </c>
      <c r="E406" s="182">
        <v>1</v>
      </c>
      <c r="F406" s="182">
        <v>1</v>
      </c>
      <c r="G406" s="171"/>
    </row>
    <row r="407" spans="1:43" hidden="1" outlineLevel="1" x14ac:dyDescent="0.15">
      <c r="A407" t="s">
        <v>1089</v>
      </c>
      <c r="B407" s="172">
        <v>0</v>
      </c>
      <c r="C407" s="172">
        <v>0</v>
      </c>
      <c r="D407" s="172">
        <v>0</v>
      </c>
      <c r="E407" s="172">
        <v>0</v>
      </c>
      <c r="F407" s="172">
        <v>0</v>
      </c>
      <c r="G407" s="171"/>
    </row>
    <row r="408" spans="1:43" hidden="1" outlineLevel="1" x14ac:dyDescent="0.15">
      <c r="A408" t="s">
        <v>1090</v>
      </c>
      <c r="B408" s="172">
        <v>0</v>
      </c>
      <c r="C408" s="172">
        <v>0</v>
      </c>
      <c r="D408" s="172">
        <v>0</v>
      </c>
      <c r="E408" s="172">
        <v>0</v>
      </c>
      <c r="F408" s="172">
        <v>0</v>
      </c>
      <c r="G408" s="171"/>
    </row>
    <row r="409" spans="1:43" hidden="1" outlineLevel="1" x14ac:dyDescent="0.15">
      <c r="A409" t="s">
        <v>1091</v>
      </c>
      <c r="B409" s="172">
        <v>0</v>
      </c>
      <c r="C409" s="172">
        <v>0</v>
      </c>
      <c r="D409" s="172">
        <v>0</v>
      </c>
      <c r="E409" s="172">
        <v>0</v>
      </c>
      <c r="F409" s="172">
        <v>0</v>
      </c>
      <c r="G409" s="171"/>
    </row>
    <row r="410" spans="1:43" hidden="1" outlineLevel="1" x14ac:dyDescent="0.15">
      <c r="A410" s="173" t="s">
        <v>1092</v>
      </c>
      <c r="B410" s="174">
        <f>SUM(B403:B409)</f>
        <v>1</v>
      </c>
      <c r="C410" s="174">
        <f t="shared" ref="C410:F410" si="53">SUM(C403:C409)</f>
        <v>1</v>
      </c>
      <c r="D410" s="174">
        <f t="shared" si="53"/>
        <v>1</v>
      </c>
      <c r="E410" s="174">
        <f t="shared" si="53"/>
        <v>1</v>
      </c>
      <c r="F410" s="174">
        <f t="shared" si="53"/>
        <v>1</v>
      </c>
      <c r="G410" s="173"/>
    </row>
    <row r="411" spans="1:43" hidden="1" outlineLevel="1" x14ac:dyDescent="0.15"/>
    <row r="412" spans="1:43" hidden="1" outlineLevel="1" x14ac:dyDescent="0.15">
      <c r="A412" s="1" t="s">
        <v>1093</v>
      </c>
      <c r="B412">
        <f>INDEX($B$11:$AQ$22,MATCH("*"&amp;A400&amp;"*",$A$11:$A$22,0),MATCH(B402,$B$10:$AQ$10,0))</f>
        <v>-3</v>
      </c>
    </row>
    <row r="413" spans="1:43" hidden="1" outlineLevel="1" x14ac:dyDescent="0.15"/>
    <row r="414" spans="1:43" hidden="1" outlineLevel="1" x14ac:dyDescent="0.15">
      <c r="A414" s="1" t="s">
        <v>1094</v>
      </c>
    </row>
    <row r="415" spans="1:43" hidden="1" outlineLevel="1" x14ac:dyDescent="0.15">
      <c r="A415" t="s">
        <v>1068</v>
      </c>
      <c r="B415">
        <v>2019</v>
      </c>
      <c r="C415">
        <v>2020</v>
      </c>
      <c r="D415">
        <v>2021</v>
      </c>
      <c r="E415">
        <v>2022</v>
      </c>
      <c r="F415">
        <v>2023</v>
      </c>
      <c r="G415">
        <v>2024</v>
      </c>
      <c r="H415">
        <v>2025</v>
      </c>
      <c r="I415">
        <v>2026</v>
      </c>
      <c r="J415">
        <v>2027</v>
      </c>
      <c r="K415">
        <v>2028</v>
      </c>
      <c r="L415">
        <v>2029</v>
      </c>
      <c r="M415">
        <v>2030</v>
      </c>
      <c r="N415">
        <v>2031</v>
      </c>
      <c r="O415">
        <v>2032</v>
      </c>
      <c r="P415">
        <v>2033</v>
      </c>
      <c r="Q415">
        <v>2034</v>
      </c>
      <c r="R415">
        <v>2035</v>
      </c>
      <c r="S415">
        <v>2036</v>
      </c>
      <c r="T415">
        <v>2037</v>
      </c>
      <c r="U415">
        <v>2038</v>
      </c>
      <c r="V415">
        <v>2039</v>
      </c>
      <c r="W415">
        <v>2040</v>
      </c>
      <c r="X415">
        <v>2041</v>
      </c>
      <c r="Y415">
        <v>2042</v>
      </c>
      <c r="Z415">
        <v>2043</v>
      </c>
      <c r="AA415">
        <v>2044</v>
      </c>
      <c r="AB415">
        <v>2045</v>
      </c>
      <c r="AC415">
        <v>2046</v>
      </c>
      <c r="AD415">
        <v>2047</v>
      </c>
      <c r="AE415">
        <v>2048</v>
      </c>
      <c r="AF415">
        <v>2049</v>
      </c>
      <c r="AG415">
        <v>2050</v>
      </c>
      <c r="AH415">
        <v>2051</v>
      </c>
      <c r="AI415">
        <v>2052</v>
      </c>
      <c r="AJ415">
        <v>2053</v>
      </c>
      <c r="AK415">
        <v>2054</v>
      </c>
      <c r="AL415">
        <v>2055</v>
      </c>
      <c r="AM415">
        <v>2056</v>
      </c>
      <c r="AN415">
        <v>2057</v>
      </c>
      <c r="AO415">
        <v>2058</v>
      </c>
      <c r="AP415">
        <v>2059</v>
      </c>
      <c r="AQ415">
        <v>2060</v>
      </c>
    </row>
    <row r="416" spans="1:43" hidden="1" outlineLevel="1" x14ac:dyDescent="0.15">
      <c r="A416" t="s">
        <v>1184</v>
      </c>
      <c r="B416" t="e">
        <f>INDEX(TCO!$B$2:$AQ$85,MATCH('Historical Shareweights'!$A416,TCO!$A$2:$A$85,0),MATCH('Historical Shareweights'!B415,TCO!$B$1:$AQ$1,0))</f>
        <v>#N/A</v>
      </c>
      <c r="C416" t="e">
        <f>INDEX(TCO!$B$2:$AQ$85,MATCH('Historical Shareweights'!$A416,TCO!$A$2:$A$85,0),MATCH('Historical Shareweights'!C415,TCO!$B$1:$AQ$1,0))</f>
        <v>#N/A</v>
      </c>
      <c r="D416" t="e">
        <f>INDEX(TCO!$B$2:$AQ$85,MATCH('Historical Shareweights'!$A416,TCO!$A$2:$A$85,0),MATCH('Historical Shareweights'!D415,TCO!$B$1:$AQ$1,0))</f>
        <v>#N/A</v>
      </c>
      <c r="E416" t="e">
        <f>INDEX(TCO!$B$2:$AQ$85,MATCH('Historical Shareweights'!$A416,TCO!$A$2:$A$85,0),MATCH('Historical Shareweights'!E415,TCO!$B$1:$AQ$1,0))</f>
        <v>#N/A</v>
      </c>
      <c r="F416" t="e">
        <f>INDEX(TCO!$B$2:$AQ$85,MATCH('Historical Shareweights'!$A416,TCO!$A$2:$A$85,0),MATCH('Historical Shareweights'!F415,TCO!$B$1:$AQ$1,0))</f>
        <v>#N/A</v>
      </c>
      <c r="G416" t="e">
        <f>INDEX(TCO!$B$2:$AQ$85,MATCH('Historical Shareweights'!$A416,TCO!$A$2:$A$85,0),MATCH('Historical Shareweights'!G415,TCO!$B$1:$AQ$1,0))</f>
        <v>#N/A</v>
      </c>
      <c r="H416" t="e">
        <f>INDEX(TCO!$B$2:$AQ$85,MATCH('Historical Shareweights'!$A416,TCO!$A$2:$A$85,0),MATCH('Historical Shareweights'!H415,TCO!$B$1:$AQ$1,0))</f>
        <v>#N/A</v>
      </c>
      <c r="I416" t="e">
        <f>INDEX(TCO!$B$2:$AQ$85,MATCH('Historical Shareweights'!$A416,TCO!$A$2:$A$85,0),MATCH('Historical Shareweights'!I415,TCO!$B$1:$AQ$1,0))</f>
        <v>#N/A</v>
      </c>
      <c r="J416" t="e">
        <f>INDEX(TCO!$B$2:$AQ$85,MATCH('Historical Shareweights'!$A416,TCO!$A$2:$A$85,0),MATCH('Historical Shareweights'!J415,TCO!$B$1:$AQ$1,0))</f>
        <v>#N/A</v>
      </c>
      <c r="K416" t="e">
        <f>INDEX(TCO!$B$2:$AQ$85,MATCH('Historical Shareweights'!$A416,TCO!$A$2:$A$85,0),MATCH('Historical Shareweights'!K415,TCO!$B$1:$AQ$1,0))</f>
        <v>#N/A</v>
      </c>
      <c r="L416" t="e">
        <f>INDEX(TCO!$B$2:$AQ$85,MATCH('Historical Shareweights'!$A416,TCO!$A$2:$A$85,0),MATCH('Historical Shareweights'!L415,TCO!$B$1:$AQ$1,0))</f>
        <v>#N/A</v>
      </c>
      <c r="M416" t="e">
        <f>INDEX(TCO!$B$2:$AQ$85,MATCH('Historical Shareweights'!$A416,TCO!$A$2:$A$85,0),MATCH('Historical Shareweights'!M415,TCO!$B$1:$AQ$1,0))</f>
        <v>#N/A</v>
      </c>
      <c r="N416" t="e">
        <f>INDEX(TCO!$B$2:$AQ$85,MATCH('Historical Shareweights'!$A416,TCO!$A$2:$A$85,0),MATCH('Historical Shareweights'!N415,TCO!$B$1:$AQ$1,0))</f>
        <v>#N/A</v>
      </c>
      <c r="O416" t="e">
        <f>INDEX(TCO!$B$2:$AQ$85,MATCH('Historical Shareweights'!$A416,TCO!$A$2:$A$85,0),MATCH('Historical Shareweights'!O415,TCO!$B$1:$AQ$1,0))</f>
        <v>#N/A</v>
      </c>
      <c r="P416" t="e">
        <f>INDEX(TCO!$B$2:$AQ$85,MATCH('Historical Shareweights'!$A416,TCO!$A$2:$A$85,0),MATCH('Historical Shareweights'!P415,TCO!$B$1:$AQ$1,0))</f>
        <v>#N/A</v>
      </c>
      <c r="Q416" t="e">
        <f>INDEX(TCO!$B$2:$AQ$85,MATCH('Historical Shareweights'!$A416,TCO!$A$2:$A$85,0),MATCH('Historical Shareweights'!Q415,TCO!$B$1:$AQ$1,0))</f>
        <v>#N/A</v>
      </c>
      <c r="R416" t="e">
        <f>INDEX(TCO!$B$2:$AQ$85,MATCH('Historical Shareweights'!$A416,TCO!$A$2:$A$85,0),MATCH('Historical Shareweights'!R415,TCO!$B$1:$AQ$1,0))</f>
        <v>#N/A</v>
      </c>
      <c r="S416" t="e">
        <f>INDEX(TCO!$B$2:$AQ$85,MATCH('Historical Shareweights'!$A416,TCO!$A$2:$A$85,0),MATCH('Historical Shareweights'!S415,TCO!$B$1:$AQ$1,0))</f>
        <v>#N/A</v>
      </c>
      <c r="T416" t="e">
        <f>INDEX(TCO!$B$2:$AQ$85,MATCH('Historical Shareweights'!$A416,TCO!$A$2:$A$85,0),MATCH('Historical Shareweights'!T415,TCO!$B$1:$AQ$1,0))</f>
        <v>#N/A</v>
      </c>
      <c r="U416" t="e">
        <f>INDEX(TCO!$B$2:$AQ$85,MATCH('Historical Shareweights'!$A416,TCO!$A$2:$A$85,0),MATCH('Historical Shareweights'!U415,TCO!$B$1:$AQ$1,0))</f>
        <v>#N/A</v>
      </c>
      <c r="V416" t="e">
        <f>INDEX(TCO!$B$2:$AQ$85,MATCH('Historical Shareweights'!$A416,TCO!$A$2:$A$85,0),MATCH('Historical Shareweights'!V415,TCO!$B$1:$AQ$1,0))</f>
        <v>#N/A</v>
      </c>
      <c r="W416" t="e">
        <f>INDEX(TCO!$B$2:$AQ$85,MATCH('Historical Shareweights'!$A416,TCO!$A$2:$A$85,0),MATCH('Historical Shareweights'!W415,TCO!$B$1:$AQ$1,0))</f>
        <v>#N/A</v>
      </c>
      <c r="X416" t="e">
        <f>INDEX(TCO!$B$2:$AQ$85,MATCH('Historical Shareweights'!$A416,TCO!$A$2:$A$85,0),MATCH('Historical Shareweights'!X415,TCO!$B$1:$AQ$1,0))</f>
        <v>#N/A</v>
      </c>
      <c r="Y416" t="e">
        <f>INDEX(TCO!$B$2:$AQ$85,MATCH('Historical Shareweights'!$A416,TCO!$A$2:$A$85,0),MATCH('Historical Shareweights'!Y415,TCO!$B$1:$AQ$1,0))</f>
        <v>#N/A</v>
      </c>
      <c r="Z416" t="e">
        <f>INDEX(TCO!$B$2:$AQ$85,MATCH('Historical Shareweights'!$A416,TCO!$A$2:$A$85,0),MATCH('Historical Shareweights'!Z415,TCO!$B$1:$AQ$1,0))</f>
        <v>#N/A</v>
      </c>
      <c r="AA416" t="e">
        <f>INDEX(TCO!$B$2:$AQ$85,MATCH('Historical Shareweights'!$A416,TCO!$A$2:$A$85,0),MATCH('Historical Shareweights'!AA415,TCO!$B$1:$AQ$1,0))</f>
        <v>#N/A</v>
      </c>
      <c r="AB416" t="e">
        <f>INDEX(TCO!$B$2:$AQ$85,MATCH('Historical Shareweights'!$A416,TCO!$A$2:$A$85,0),MATCH('Historical Shareweights'!AB415,TCO!$B$1:$AQ$1,0))</f>
        <v>#N/A</v>
      </c>
      <c r="AC416" t="e">
        <f>INDEX(TCO!$B$2:$AQ$85,MATCH('Historical Shareweights'!$A416,TCO!$A$2:$A$85,0),MATCH('Historical Shareweights'!AC415,TCO!$B$1:$AQ$1,0))</f>
        <v>#N/A</v>
      </c>
      <c r="AD416" t="e">
        <f>INDEX(TCO!$B$2:$AQ$85,MATCH('Historical Shareweights'!$A416,TCO!$A$2:$A$85,0),MATCH('Historical Shareweights'!AD415,TCO!$B$1:$AQ$1,0))</f>
        <v>#N/A</v>
      </c>
      <c r="AE416" t="e">
        <f>INDEX(TCO!$B$2:$AQ$85,MATCH('Historical Shareweights'!$A416,TCO!$A$2:$A$85,0),MATCH('Historical Shareweights'!AE415,TCO!$B$1:$AQ$1,0))</f>
        <v>#N/A</v>
      </c>
      <c r="AF416" t="e">
        <f>INDEX(TCO!$B$2:$AQ$85,MATCH('Historical Shareweights'!$A416,TCO!$A$2:$A$85,0),MATCH('Historical Shareweights'!AF415,TCO!$B$1:$AQ$1,0))</f>
        <v>#N/A</v>
      </c>
      <c r="AG416" t="e">
        <f>INDEX(TCO!$B$2:$AQ$85,MATCH('Historical Shareweights'!$A416,TCO!$A$2:$A$85,0),MATCH('Historical Shareweights'!AG415,TCO!$B$1:$AQ$1,0))</f>
        <v>#N/A</v>
      </c>
      <c r="AH416" t="e">
        <f>INDEX(TCO!$B$2:$AQ$85,MATCH('Historical Shareweights'!$A416,TCO!$A$2:$A$85,0),MATCH('Historical Shareweights'!AH415,TCO!$B$1:$AQ$1,0))</f>
        <v>#N/A</v>
      </c>
      <c r="AI416" t="e">
        <f>INDEX(TCO!$B$2:$AQ$85,MATCH('Historical Shareweights'!$A416,TCO!$A$2:$A$85,0),MATCH('Historical Shareweights'!AI415,TCO!$B$1:$AQ$1,0))</f>
        <v>#N/A</v>
      </c>
      <c r="AJ416" t="e">
        <f>INDEX(TCO!$B$2:$AQ$85,MATCH('Historical Shareweights'!$A416,TCO!$A$2:$A$85,0),MATCH('Historical Shareweights'!AJ415,TCO!$B$1:$AQ$1,0))</f>
        <v>#N/A</v>
      </c>
      <c r="AK416" t="e">
        <f>INDEX(TCO!$B$2:$AQ$85,MATCH('Historical Shareweights'!$A416,TCO!$A$2:$A$85,0),MATCH('Historical Shareweights'!AK415,TCO!$B$1:$AQ$1,0))</f>
        <v>#N/A</v>
      </c>
      <c r="AL416" t="e">
        <f>INDEX(TCO!$B$2:$AQ$85,MATCH('Historical Shareweights'!$A416,TCO!$A$2:$A$85,0),MATCH('Historical Shareweights'!AL415,TCO!$B$1:$AQ$1,0))</f>
        <v>#N/A</v>
      </c>
      <c r="AM416" t="e">
        <f>INDEX(TCO!$B$2:$AQ$85,MATCH('Historical Shareweights'!$A416,TCO!$A$2:$A$85,0),MATCH('Historical Shareweights'!AM415,TCO!$B$1:$AQ$1,0))</f>
        <v>#N/A</v>
      </c>
      <c r="AN416" t="e">
        <f>INDEX(TCO!$B$2:$AQ$85,MATCH('Historical Shareweights'!$A416,TCO!$A$2:$A$85,0),MATCH('Historical Shareweights'!AN415,TCO!$B$1:$AQ$1,0))</f>
        <v>#N/A</v>
      </c>
      <c r="AO416" t="e">
        <f>INDEX(TCO!$B$2:$AQ$85,MATCH('Historical Shareweights'!$A416,TCO!$A$2:$A$85,0),MATCH('Historical Shareweights'!AO415,TCO!$B$1:$AQ$1,0))</f>
        <v>#N/A</v>
      </c>
      <c r="AP416" t="e">
        <f>INDEX(TCO!$B$2:$AQ$85,MATCH('Historical Shareweights'!$A416,TCO!$A$2:$A$85,0),MATCH('Historical Shareweights'!AP415,TCO!$B$1:$AQ$1,0))</f>
        <v>#N/A</v>
      </c>
      <c r="AQ416" t="e">
        <f>INDEX(TCO!$B$2:$AQ$85,MATCH('Historical Shareweights'!$A416,TCO!$A$2:$A$85,0),MATCH('Historical Shareweights'!AQ415,TCO!$B$1:$AQ$1,0))</f>
        <v>#N/A</v>
      </c>
    </row>
    <row r="417" spans="1:43" hidden="1" outlineLevel="1" x14ac:dyDescent="0.15">
      <c r="A417" t="s">
        <v>1185</v>
      </c>
      <c r="B417" t="e">
        <f>INDEX(TCO!$B$2:$AQ$85,MATCH('Historical Shareweights'!$A417,TCO!$A$2:$A$85,0),MATCH('Historical Shareweights'!B415,TCO!$B$1:$AQ$1,0))</f>
        <v>#N/A</v>
      </c>
      <c r="C417" t="e">
        <f>INDEX(TCO!$B$2:$AQ$85,MATCH('Historical Shareweights'!$A417,TCO!$A$2:$A$85,0),MATCH('Historical Shareweights'!C415,TCO!$B$1:$AQ$1,0))</f>
        <v>#N/A</v>
      </c>
      <c r="D417" t="e">
        <f>INDEX(TCO!$B$2:$AQ$85,MATCH('Historical Shareweights'!$A417,TCO!$A$2:$A$85,0),MATCH('Historical Shareweights'!D415,TCO!$B$1:$AQ$1,0))</f>
        <v>#N/A</v>
      </c>
      <c r="E417" t="e">
        <f>INDEX(TCO!$B$2:$AQ$85,MATCH('Historical Shareweights'!$A417,TCO!$A$2:$A$85,0),MATCH('Historical Shareweights'!E415,TCO!$B$1:$AQ$1,0))</f>
        <v>#N/A</v>
      </c>
      <c r="F417" t="e">
        <f>INDEX(TCO!$B$2:$AQ$85,MATCH('Historical Shareweights'!$A417,TCO!$A$2:$A$85,0),MATCH('Historical Shareweights'!F415,TCO!$B$1:$AQ$1,0))</f>
        <v>#N/A</v>
      </c>
      <c r="G417" t="e">
        <f>INDEX(TCO!$B$2:$AQ$85,MATCH('Historical Shareweights'!$A417,TCO!$A$2:$A$85,0),MATCH('Historical Shareweights'!G415,TCO!$B$1:$AQ$1,0))</f>
        <v>#N/A</v>
      </c>
      <c r="H417" t="e">
        <f>INDEX(TCO!$B$2:$AQ$85,MATCH('Historical Shareweights'!$A417,TCO!$A$2:$A$85,0),MATCH('Historical Shareweights'!H415,TCO!$B$1:$AQ$1,0))</f>
        <v>#N/A</v>
      </c>
      <c r="I417" t="e">
        <f>INDEX(TCO!$B$2:$AQ$85,MATCH('Historical Shareweights'!$A417,TCO!$A$2:$A$85,0),MATCH('Historical Shareweights'!I415,TCO!$B$1:$AQ$1,0))</f>
        <v>#N/A</v>
      </c>
      <c r="J417" t="e">
        <f>INDEX(TCO!$B$2:$AQ$85,MATCH('Historical Shareweights'!$A417,TCO!$A$2:$A$85,0),MATCH('Historical Shareweights'!J415,TCO!$B$1:$AQ$1,0))</f>
        <v>#N/A</v>
      </c>
      <c r="K417" t="e">
        <f>INDEX(TCO!$B$2:$AQ$85,MATCH('Historical Shareweights'!$A417,TCO!$A$2:$A$85,0),MATCH('Historical Shareweights'!K415,TCO!$B$1:$AQ$1,0))</f>
        <v>#N/A</v>
      </c>
      <c r="L417" t="e">
        <f>INDEX(TCO!$B$2:$AQ$85,MATCH('Historical Shareweights'!$A417,TCO!$A$2:$A$85,0),MATCH('Historical Shareweights'!L415,TCO!$B$1:$AQ$1,0))</f>
        <v>#N/A</v>
      </c>
      <c r="M417" t="e">
        <f>INDEX(TCO!$B$2:$AQ$85,MATCH('Historical Shareweights'!$A417,TCO!$A$2:$A$85,0),MATCH('Historical Shareweights'!M415,TCO!$B$1:$AQ$1,0))</f>
        <v>#N/A</v>
      </c>
      <c r="N417" t="e">
        <f>INDEX(TCO!$B$2:$AQ$85,MATCH('Historical Shareweights'!$A417,TCO!$A$2:$A$85,0),MATCH('Historical Shareweights'!N415,TCO!$B$1:$AQ$1,0))</f>
        <v>#N/A</v>
      </c>
      <c r="O417" t="e">
        <f>INDEX(TCO!$B$2:$AQ$85,MATCH('Historical Shareweights'!$A417,TCO!$A$2:$A$85,0),MATCH('Historical Shareweights'!O415,TCO!$B$1:$AQ$1,0))</f>
        <v>#N/A</v>
      </c>
      <c r="P417" t="e">
        <f>INDEX(TCO!$B$2:$AQ$85,MATCH('Historical Shareweights'!$A417,TCO!$A$2:$A$85,0),MATCH('Historical Shareweights'!P415,TCO!$B$1:$AQ$1,0))</f>
        <v>#N/A</v>
      </c>
      <c r="Q417" t="e">
        <f>INDEX(TCO!$B$2:$AQ$85,MATCH('Historical Shareweights'!$A417,TCO!$A$2:$A$85,0),MATCH('Historical Shareweights'!Q415,TCO!$B$1:$AQ$1,0))</f>
        <v>#N/A</v>
      </c>
      <c r="R417" t="e">
        <f>INDEX(TCO!$B$2:$AQ$85,MATCH('Historical Shareweights'!$A417,TCO!$A$2:$A$85,0),MATCH('Historical Shareweights'!R415,TCO!$B$1:$AQ$1,0))</f>
        <v>#N/A</v>
      </c>
      <c r="S417" t="e">
        <f>INDEX(TCO!$B$2:$AQ$85,MATCH('Historical Shareweights'!$A417,TCO!$A$2:$A$85,0),MATCH('Historical Shareweights'!S415,TCO!$B$1:$AQ$1,0))</f>
        <v>#N/A</v>
      </c>
      <c r="T417" t="e">
        <f>INDEX(TCO!$B$2:$AQ$85,MATCH('Historical Shareweights'!$A417,TCO!$A$2:$A$85,0),MATCH('Historical Shareweights'!T415,TCO!$B$1:$AQ$1,0))</f>
        <v>#N/A</v>
      </c>
      <c r="U417" t="e">
        <f>INDEX(TCO!$B$2:$AQ$85,MATCH('Historical Shareweights'!$A417,TCO!$A$2:$A$85,0),MATCH('Historical Shareweights'!U415,TCO!$B$1:$AQ$1,0))</f>
        <v>#N/A</v>
      </c>
      <c r="V417" t="e">
        <f>INDEX(TCO!$B$2:$AQ$85,MATCH('Historical Shareweights'!$A417,TCO!$A$2:$A$85,0),MATCH('Historical Shareweights'!V415,TCO!$B$1:$AQ$1,0))</f>
        <v>#N/A</v>
      </c>
      <c r="W417" t="e">
        <f>INDEX(TCO!$B$2:$AQ$85,MATCH('Historical Shareweights'!$A417,TCO!$A$2:$A$85,0),MATCH('Historical Shareweights'!W415,TCO!$B$1:$AQ$1,0))</f>
        <v>#N/A</v>
      </c>
      <c r="X417" t="e">
        <f>INDEX(TCO!$B$2:$AQ$85,MATCH('Historical Shareweights'!$A417,TCO!$A$2:$A$85,0),MATCH('Historical Shareweights'!X415,TCO!$B$1:$AQ$1,0))</f>
        <v>#N/A</v>
      </c>
      <c r="Y417" t="e">
        <f>INDEX(TCO!$B$2:$AQ$85,MATCH('Historical Shareweights'!$A417,TCO!$A$2:$A$85,0),MATCH('Historical Shareweights'!Y415,TCO!$B$1:$AQ$1,0))</f>
        <v>#N/A</v>
      </c>
      <c r="Z417" t="e">
        <f>INDEX(TCO!$B$2:$AQ$85,MATCH('Historical Shareweights'!$A417,TCO!$A$2:$A$85,0),MATCH('Historical Shareweights'!Z415,TCO!$B$1:$AQ$1,0))</f>
        <v>#N/A</v>
      </c>
      <c r="AA417" t="e">
        <f>INDEX(TCO!$B$2:$AQ$85,MATCH('Historical Shareweights'!$A417,TCO!$A$2:$A$85,0),MATCH('Historical Shareweights'!AA415,TCO!$B$1:$AQ$1,0))</f>
        <v>#N/A</v>
      </c>
      <c r="AB417" t="e">
        <f>INDEX(TCO!$B$2:$AQ$85,MATCH('Historical Shareweights'!$A417,TCO!$A$2:$A$85,0),MATCH('Historical Shareweights'!AB415,TCO!$B$1:$AQ$1,0))</f>
        <v>#N/A</v>
      </c>
      <c r="AC417" t="e">
        <f>INDEX(TCO!$B$2:$AQ$85,MATCH('Historical Shareweights'!$A417,TCO!$A$2:$A$85,0),MATCH('Historical Shareweights'!AC415,TCO!$B$1:$AQ$1,0))</f>
        <v>#N/A</v>
      </c>
      <c r="AD417" t="e">
        <f>INDEX(TCO!$B$2:$AQ$85,MATCH('Historical Shareweights'!$A417,TCO!$A$2:$A$85,0),MATCH('Historical Shareweights'!AD415,TCO!$B$1:$AQ$1,0))</f>
        <v>#N/A</v>
      </c>
      <c r="AE417" t="e">
        <f>INDEX(TCO!$B$2:$AQ$85,MATCH('Historical Shareweights'!$A417,TCO!$A$2:$A$85,0),MATCH('Historical Shareweights'!AE415,TCO!$B$1:$AQ$1,0))</f>
        <v>#N/A</v>
      </c>
      <c r="AF417" t="e">
        <f>INDEX(TCO!$B$2:$AQ$85,MATCH('Historical Shareweights'!$A417,TCO!$A$2:$A$85,0),MATCH('Historical Shareweights'!AF415,TCO!$B$1:$AQ$1,0))</f>
        <v>#N/A</v>
      </c>
      <c r="AG417" t="e">
        <f>INDEX(TCO!$B$2:$AQ$85,MATCH('Historical Shareweights'!$A417,TCO!$A$2:$A$85,0),MATCH('Historical Shareweights'!AG415,TCO!$B$1:$AQ$1,0))</f>
        <v>#N/A</v>
      </c>
      <c r="AH417" t="e">
        <f>INDEX(TCO!$B$2:$AQ$85,MATCH('Historical Shareweights'!$A417,TCO!$A$2:$A$85,0),MATCH('Historical Shareweights'!AH415,TCO!$B$1:$AQ$1,0))</f>
        <v>#N/A</v>
      </c>
      <c r="AI417" t="e">
        <f>INDEX(TCO!$B$2:$AQ$85,MATCH('Historical Shareweights'!$A417,TCO!$A$2:$A$85,0),MATCH('Historical Shareweights'!AI415,TCO!$B$1:$AQ$1,0))</f>
        <v>#N/A</v>
      </c>
      <c r="AJ417" t="e">
        <f>INDEX(TCO!$B$2:$AQ$85,MATCH('Historical Shareweights'!$A417,TCO!$A$2:$A$85,0),MATCH('Historical Shareweights'!AJ415,TCO!$B$1:$AQ$1,0))</f>
        <v>#N/A</v>
      </c>
      <c r="AK417" t="e">
        <f>INDEX(TCO!$B$2:$AQ$85,MATCH('Historical Shareweights'!$A417,TCO!$A$2:$A$85,0),MATCH('Historical Shareweights'!AK415,TCO!$B$1:$AQ$1,0))</f>
        <v>#N/A</v>
      </c>
      <c r="AL417" t="e">
        <f>INDEX(TCO!$B$2:$AQ$85,MATCH('Historical Shareweights'!$A417,TCO!$A$2:$A$85,0),MATCH('Historical Shareweights'!AL415,TCO!$B$1:$AQ$1,0))</f>
        <v>#N/A</v>
      </c>
      <c r="AM417" t="e">
        <f>INDEX(TCO!$B$2:$AQ$85,MATCH('Historical Shareweights'!$A417,TCO!$A$2:$A$85,0),MATCH('Historical Shareweights'!AM415,TCO!$B$1:$AQ$1,0))</f>
        <v>#N/A</v>
      </c>
      <c r="AN417" t="e">
        <f>INDEX(TCO!$B$2:$AQ$85,MATCH('Historical Shareweights'!$A417,TCO!$A$2:$A$85,0),MATCH('Historical Shareweights'!AN415,TCO!$B$1:$AQ$1,0))</f>
        <v>#N/A</v>
      </c>
      <c r="AO417" t="e">
        <f>INDEX(TCO!$B$2:$AQ$85,MATCH('Historical Shareweights'!$A417,TCO!$A$2:$A$85,0),MATCH('Historical Shareweights'!AO415,TCO!$B$1:$AQ$1,0))</f>
        <v>#N/A</v>
      </c>
      <c r="AP417" t="e">
        <f>INDEX(TCO!$B$2:$AQ$85,MATCH('Historical Shareweights'!$A417,TCO!$A$2:$A$85,0),MATCH('Historical Shareweights'!AP415,TCO!$B$1:$AQ$1,0))</f>
        <v>#N/A</v>
      </c>
      <c r="AQ417" t="e">
        <f>INDEX(TCO!$B$2:$AQ$85,MATCH('Historical Shareweights'!$A417,TCO!$A$2:$A$85,0),MATCH('Historical Shareweights'!AQ415,TCO!$B$1:$AQ$1,0))</f>
        <v>#N/A</v>
      </c>
    </row>
    <row r="418" spans="1:43" hidden="1" outlineLevel="1" x14ac:dyDescent="0.15">
      <c r="A418" t="s">
        <v>1186</v>
      </c>
      <c r="B418" t="e">
        <f>INDEX(TCO!$B$2:$AQ$85,MATCH('Historical Shareweights'!$A418,TCO!$A$2:$A$85,0),MATCH('Historical Shareweights'!B415,TCO!$B$1:$AQ$1,0))</f>
        <v>#N/A</v>
      </c>
      <c r="C418" t="e">
        <f>INDEX(TCO!$B$2:$AQ$85,MATCH('Historical Shareweights'!$A418,TCO!$A$2:$A$85,0),MATCH('Historical Shareweights'!C415,TCO!$B$1:$AQ$1,0))</f>
        <v>#N/A</v>
      </c>
      <c r="D418" t="e">
        <f>INDEX(TCO!$B$2:$AQ$85,MATCH('Historical Shareweights'!$A418,TCO!$A$2:$A$85,0),MATCH('Historical Shareweights'!D415,TCO!$B$1:$AQ$1,0))</f>
        <v>#N/A</v>
      </c>
      <c r="E418" t="e">
        <f>INDEX(TCO!$B$2:$AQ$85,MATCH('Historical Shareweights'!$A418,TCO!$A$2:$A$85,0),MATCH('Historical Shareweights'!E415,TCO!$B$1:$AQ$1,0))</f>
        <v>#N/A</v>
      </c>
      <c r="F418" t="e">
        <f>INDEX(TCO!$B$2:$AQ$85,MATCH('Historical Shareweights'!$A418,TCO!$A$2:$A$85,0),MATCH('Historical Shareweights'!F415,TCO!$B$1:$AQ$1,0))</f>
        <v>#N/A</v>
      </c>
      <c r="G418" t="e">
        <f>INDEX(TCO!$B$2:$AQ$85,MATCH('Historical Shareweights'!$A418,TCO!$A$2:$A$85,0),MATCH('Historical Shareweights'!G415,TCO!$B$1:$AQ$1,0))</f>
        <v>#N/A</v>
      </c>
      <c r="H418" t="e">
        <f>INDEX(TCO!$B$2:$AQ$85,MATCH('Historical Shareweights'!$A418,TCO!$A$2:$A$85,0),MATCH('Historical Shareweights'!H415,TCO!$B$1:$AQ$1,0))</f>
        <v>#N/A</v>
      </c>
      <c r="I418" t="e">
        <f>INDEX(TCO!$B$2:$AQ$85,MATCH('Historical Shareweights'!$A418,TCO!$A$2:$A$85,0),MATCH('Historical Shareweights'!I415,TCO!$B$1:$AQ$1,0))</f>
        <v>#N/A</v>
      </c>
      <c r="J418" t="e">
        <f>INDEX(TCO!$B$2:$AQ$85,MATCH('Historical Shareweights'!$A418,TCO!$A$2:$A$85,0),MATCH('Historical Shareweights'!J415,TCO!$B$1:$AQ$1,0))</f>
        <v>#N/A</v>
      </c>
      <c r="K418" t="e">
        <f>INDEX(TCO!$B$2:$AQ$85,MATCH('Historical Shareweights'!$A418,TCO!$A$2:$A$85,0),MATCH('Historical Shareweights'!K415,TCO!$B$1:$AQ$1,0))</f>
        <v>#N/A</v>
      </c>
      <c r="L418" t="e">
        <f>INDEX(TCO!$B$2:$AQ$85,MATCH('Historical Shareweights'!$A418,TCO!$A$2:$A$85,0),MATCH('Historical Shareweights'!L415,TCO!$B$1:$AQ$1,0))</f>
        <v>#N/A</v>
      </c>
      <c r="M418" t="e">
        <f>INDEX(TCO!$B$2:$AQ$85,MATCH('Historical Shareweights'!$A418,TCO!$A$2:$A$85,0),MATCH('Historical Shareweights'!M415,TCO!$B$1:$AQ$1,0))</f>
        <v>#N/A</v>
      </c>
      <c r="N418" t="e">
        <f>INDEX(TCO!$B$2:$AQ$85,MATCH('Historical Shareweights'!$A418,TCO!$A$2:$A$85,0),MATCH('Historical Shareweights'!N415,TCO!$B$1:$AQ$1,0))</f>
        <v>#N/A</v>
      </c>
      <c r="O418" t="e">
        <f>INDEX(TCO!$B$2:$AQ$85,MATCH('Historical Shareweights'!$A418,TCO!$A$2:$A$85,0),MATCH('Historical Shareweights'!O415,TCO!$B$1:$AQ$1,0))</f>
        <v>#N/A</v>
      </c>
      <c r="P418" t="e">
        <f>INDEX(TCO!$B$2:$AQ$85,MATCH('Historical Shareweights'!$A418,TCO!$A$2:$A$85,0),MATCH('Historical Shareweights'!P415,TCO!$B$1:$AQ$1,0))</f>
        <v>#N/A</v>
      </c>
      <c r="Q418" t="e">
        <f>INDEX(TCO!$B$2:$AQ$85,MATCH('Historical Shareweights'!$A418,TCO!$A$2:$A$85,0),MATCH('Historical Shareweights'!Q415,TCO!$B$1:$AQ$1,0))</f>
        <v>#N/A</v>
      </c>
      <c r="R418" t="e">
        <f>INDEX(TCO!$B$2:$AQ$85,MATCH('Historical Shareweights'!$A418,TCO!$A$2:$A$85,0),MATCH('Historical Shareweights'!R415,TCO!$B$1:$AQ$1,0))</f>
        <v>#N/A</v>
      </c>
      <c r="S418" t="e">
        <f>INDEX(TCO!$B$2:$AQ$85,MATCH('Historical Shareweights'!$A418,TCO!$A$2:$A$85,0),MATCH('Historical Shareweights'!S415,TCO!$B$1:$AQ$1,0))</f>
        <v>#N/A</v>
      </c>
      <c r="T418" t="e">
        <f>INDEX(TCO!$B$2:$AQ$85,MATCH('Historical Shareweights'!$A418,TCO!$A$2:$A$85,0),MATCH('Historical Shareweights'!T415,TCO!$B$1:$AQ$1,0))</f>
        <v>#N/A</v>
      </c>
      <c r="U418" t="e">
        <f>INDEX(TCO!$B$2:$AQ$85,MATCH('Historical Shareweights'!$A418,TCO!$A$2:$A$85,0),MATCH('Historical Shareweights'!U415,TCO!$B$1:$AQ$1,0))</f>
        <v>#N/A</v>
      </c>
      <c r="V418" t="e">
        <f>INDEX(TCO!$B$2:$AQ$85,MATCH('Historical Shareweights'!$A418,TCO!$A$2:$A$85,0),MATCH('Historical Shareweights'!V415,TCO!$B$1:$AQ$1,0))</f>
        <v>#N/A</v>
      </c>
      <c r="W418" t="e">
        <f>INDEX(TCO!$B$2:$AQ$85,MATCH('Historical Shareweights'!$A418,TCO!$A$2:$A$85,0),MATCH('Historical Shareweights'!W415,TCO!$B$1:$AQ$1,0))</f>
        <v>#N/A</v>
      </c>
      <c r="X418" t="e">
        <f>INDEX(TCO!$B$2:$AQ$85,MATCH('Historical Shareweights'!$A418,TCO!$A$2:$A$85,0),MATCH('Historical Shareweights'!X415,TCO!$B$1:$AQ$1,0))</f>
        <v>#N/A</v>
      </c>
      <c r="Y418" t="e">
        <f>INDEX(TCO!$B$2:$AQ$85,MATCH('Historical Shareweights'!$A418,TCO!$A$2:$A$85,0),MATCH('Historical Shareweights'!Y415,TCO!$B$1:$AQ$1,0))</f>
        <v>#N/A</v>
      </c>
      <c r="Z418" t="e">
        <f>INDEX(TCO!$B$2:$AQ$85,MATCH('Historical Shareweights'!$A418,TCO!$A$2:$A$85,0),MATCH('Historical Shareweights'!Z415,TCO!$B$1:$AQ$1,0))</f>
        <v>#N/A</v>
      </c>
      <c r="AA418" t="e">
        <f>INDEX(TCO!$B$2:$AQ$85,MATCH('Historical Shareweights'!$A418,TCO!$A$2:$A$85,0),MATCH('Historical Shareweights'!AA415,TCO!$B$1:$AQ$1,0))</f>
        <v>#N/A</v>
      </c>
      <c r="AB418" t="e">
        <f>INDEX(TCO!$B$2:$AQ$85,MATCH('Historical Shareweights'!$A418,TCO!$A$2:$A$85,0),MATCH('Historical Shareweights'!AB415,TCO!$B$1:$AQ$1,0))</f>
        <v>#N/A</v>
      </c>
      <c r="AC418" t="e">
        <f>INDEX(TCO!$B$2:$AQ$85,MATCH('Historical Shareweights'!$A418,TCO!$A$2:$A$85,0),MATCH('Historical Shareweights'!AC415,TCO!$B$1:$AQ$1,0))</f>
        <v>#N/A</v>
      </c>
      <c r="AD418" t="e">
        <f>INDEX(TCO!$B$2:$AQ$85,MATCH('Historical Shareweights'!$A418,TCO!$A$2:$A$85,0),MATCH('Historical Shareweights'!AD415,TCO!$B$1:$AQ$1,0))</f>
        <v>#N/A</v>
      </c>
      <c r="AE418" t="e">
        <f>INDEX(TCO!$B$2:$AQ$85,MATCH('Historical Shareweights'!$A418,TCO!$A$2:$A$85,0),MATCH('Historical Shareweights'!AE415,TCO!$B$1:$AQ$1,0))</f>
        <v>#N/A</v>
      </c>
      <c r="AF418" t="e">
        <f>INDEX(TCO!$B$2:$AQ$85,MATCH('Historical Shareweights'!$A418,TCO!$A$2:$A$85,0),MATCH('Historical Shareweights'!AF415,TCO!$B$1:$AQ$1,0))</f>
        <v>#N/A</v>
      </c>
      <c r="AG418" t="e">
        <f>INDEX(TCO!$B$2:$AQ$85,MATCH('Historical Shareweights'!$A418,TCO!$A$2:$A$85,0),MATCH('Historical Shareweights'!AG415,TCO!$B$1:$AQ$1,0))</f>
        <v>#N/A</v>
      </c>
      <c r="AH418" t="e">
        <f>INDEX(TCO!$B$2:$AQ$85,MATCH('Historical Shareweights'!$A418,TCO!$A$2:$A$85,0),MATCH('Historical Shareweights'!AH415,TCO!$B$1:$AQ$1,0))</f>
        <v>#N/A</v>
      </c>
      <c r="AI418" t="e">
        <f>INDEX(TCO!$B$2:$AQ$85,MATCH('Historical Shareweights'!$A418,TCO!$A$2:$A$85,0),MATCH('Historical Shareweights'!AI415,TCO!$B$1:$AQ$1,0))</f>
        <v>#N/A</v>
      </c>
      <c r="AJ418" t="e">
        <f>INDEX(TCO!$B$2:$AQ$85,MATCH('Historical Shareweights'!$A418,TCO!$A$2:$A$85,0),MATCH('Historical Shareweights'!AJ415,TCO!$B$1:$AQ$1,0))</f>
        <v>#N/A</v>
      </c>
      <c r="AK418" t="e">
        <f>INDEX(TCO!$B$2:$AQ$85,MATCH('Historical Shareweights'!$A418,TCO!$A$2:$A$85,0),MATCH('Historical Shareweights'!AK415,TCO!$B$1:$AQ$1,0))</f>
        <v>#N/A</v>
      </c>
      <c r="AL418" t="e">
        <f>INDEX(TCO!$B$2:$AQ$85,MATCH('Historical Shareweights'!$A418,TCO!$A$2:$A$85,0),MATCH('Historical Shareweights'!AL415,TCO!$B$1:$AQ$1,0))</f>
        <v>#N/A</v>
      </c>
      <c r="AM418" t="e">
        <f>INDEX(TCO!$B$2:$AQ$85,MATCH('Historical Shareweights'!$A418,TCO!$A$2:$A$85,0),MATCH('Historical Shareweights'!AM415,TCO!$B$1:$AQ$1,0))</f>
        <v>#N/A</v>
      </c>
      <c r="AN418" t="e">
        <f>INDEX(TCO!$B$2:$AQ$85,MATCH('Historical Shareweights'!$A418,TCO!$A$2:$A$85,0),MATCH('Historical Shareweights'!AN415,TCO!$B$1:$AQ$1,0))</f>
        <v>#N/A</v>
      </c>
      <c r="AO418" t="e">
        <f>INDEX(TCO!$B$2:$AQ$85,MATCH('Historical Shareweights'!$A418,TCO!$A$2:$A$85,0),MATCH('Historical Shareweights'!AO415,TCO!$B$1:$AQ$1,0))</f>
        <v>#N/A</v>
      </c>
      <c r="AP418" t="e">
        <f>INDEX(TCO!$B$2:$AQ$85,MATCH('Historical Shareweights'!$A418,TCO!$A$2:$A$85,0),MATCH('Historical Shareweights'!AP415,TCO!$B$1:$AQ$1,0))</f>
        <v>#N/A</v>
      </c>
      <c r="AQ418" t="e">
        <f>INDEX(TCO!$B$2:$AQ$85,MATCH('Historical Shareweights'!$A418,TCO!$A$2:$A$85,0),MATCH('Historical Shareweights'!AQ415,TCO!$B$1:$AQ$1,0))</f>
        <v>#N/A</v>
      </c>
    </row>
    <row r="419" spans="1:43" hidden="1" outlineLevel="1" x14ac:dyDescent="0.15">
      <c r="A419" t="s">
        <v>1187</v>
      </c>
      <c r="B419" t="e">
        <f>INDEX(TCO!$B$2:$AQ$85,MATCH('Historical Shareweights'!$A419,TCO!$A$2:$A$85,0),MATCH('Historical Shareweights'!B415,TCO!$B$1:$AQ$1,0))</f>
        <v>#N/A</v>
      </c>
      <c r="C419" t="e">
        <f>INDEX(TCO!$B$2:$AQ$85,MATCH('Historical Shareweights'!$A419,TCO!$A$2:$A$85,0),MATCH('Historical Shareweights'!C415,TCO!$B$1:$AQ$1,0))</f>
        <v>#N/A</v>
      </c>
      <c r="D419" t="e">
        <f>INDEX(TCO!$B$2:$AQ$85,MATCH('Historical Shareweights'!$A419,TCO!$A$2:$A$85,0),MATCH('Historical Shareweights'!D415,TCO!$B$1:$AQ$1,0))</f>
        <v>#N/A</v>
      </c>
      <c r="E419" t="e">
        <f>INDEX(TCO!$B$2:$AQ$85,MATCH('Historical Shareweights'!$A419,TCO!$A$2:$A$85,0),MATCH('Historical Shareweights'!E415,TCO!$B$1:$AQ$1,0))</f>
        <v>#N/A</v>
      </c>
      <c r="F419" t="e">
        <f>INDEX(TCO!$B$2:$AQ$85,MATCH('Historical Shareweights'!$A419,TCO!$A$2:$A$85,0),MATCH('Historical Shareweights'!F415,TCO!$B$1:$AQ$1,0))</f>
        <v>#N/A</v>
      </c>
      <c r="G419" t="e">
        <f>INDEX(TCO!$B$2:$AQ$85,MATCH('Historical Shareweights'!$A419,TCO!$A$2:$A$85,0),MATCH('Historical Shareweights'!G415,TCO!$B$1:$AQ$1,0))</f>
        <v>#N/A</v>
      </c>
      <c r="H419" t="e">
        <f>INDEX(TCO!$B$2:$AQ$85,MATCH('Historical Shareweights'!$A419,TCO!$A$2:$A$85,0),MATCH('Historical Shareweights'!H415,TCO!$B$1:$AQ$1,0))</f>
        <v>#N/A</v>
      </c>
      <c r="I419" t="e">
        <f>INDEX(TCO!$B$2:$AQ$85,MATCH('Historical Shareweights'!$A419,TCO!$A$2:$A$85,0),MATCH('Historical Shareweights'!I415,TCO!$B$1:$AQ$1,0))</f>
        <v>#N/A</v>
      </c>
      <c r="J419" t="e">
        <f>INDEX(TCO!$B$2:$AQ$85,MATCH('Historical Shareweights'!$A419,TCO!$A$2:$A$85,0),MATCH('Historical Shareweights'!J415,TCO!$B$1:$AQ$1,0))</f>
        <v>#N/A</v>
      </c>
      <c r="K419" t="e">
        <f>INDEX(TCO!$B$2:$AQ$85,MATCH('Historical Shareweights'!$A419,TCO!$A$2:$A$85,0),MATCH('Historical Shareweights'!K415,TCO!$B$1:$AQ$1,0))</f>
        <v>#N/A</v>
      </c>
      <c r="L419" t="e">
        <f>INDEX(TCO!$B$2:$AQ$85,MATCH('Historical Shareweights'!$A419,TCO!$A$2:$A$85,0),MATCH('Historical Shareweights'!L415,TCO!$B$1:$AQ$1,0))</f>
        <v>#N/A</v>
      </c>
      <c r="M419" t="e">
        <f>INDEX(TCO!$B$2:$AQ$85,MATCH('Historical Shareweights'!$A419,TCO!$A$2:$A$85,0),MATCH('Historical Shareweights'!M415,TCO!$B$1:$AQ$1,0))</f>
        <v>#N/A</v>
      </c>
      <c r="N419" t="e">
        <f>INDEX(TCO!$B$2:$AQ$85,MATCH('Historical Shareweights'!$A419,TCO!$A$2:$A$85,0),MATCH('Historical Shareweights'!N415,TCO!$B$1:$AQ$1,0))</f>
        <v>#N/A</v>
      </c>
      <c r="O419" t="e">
        <f>INDEX(TCO!$B$2:$AQ$85,MATCH('Historical Shareweights'!$A419,TCO!$A$2:$A$85,0),MATCH('Historical Shareweights'!O415,TCO!$B$1:$AQ$1,0))</f>
        <v>#N/A</v>
      </c>
      <c r="P419" t="e">
        <f>INDEX(TCO!$B$2:$AQ$85,MATCH('Historical Shareweights'!$A419,TCO!$A$2:$A$85,0),MATCH('Historical Shareweights'!P415,TCO!$B$1:$AQ$1,0))</f>
        <v>#N/A</v>
      </c>
      <c r="Q419" t="e">
        <f>INDEX(TCO!$B$2:$AQ$85,MATCH('Historical Shareweights'!$A419,TCO!$A$2:$A$85,0),MATCH('Historical Shareweights'!Q415,TCO!$B$1:$AQ$1,0))</f>
        <v>#N/A</v>
      </c>
      <c r="R419" t="e">
        <f>INDEX(TCO!$B$2:$AQ$85,MATCH('Historical Shareweights'!$A419,TCO!$A$2:$A$85,0),MATCH('Historical Shareweights'!R415,TCO!$B$1:$AQ$1,0))</f>
        <v>#N/A</v>
      </c>
      <c r="S419" t="e">
        <f>INDEX(TCO!$B$2:$AQ$85,MATCH('Historical Shareweights'!$A419,TCO!$A$2:$A$85,0),MATCH('Historical Shareweights'!S415,TCO!$B$1:$AQ$1,0))</f>
        <v>#N/A</v>
      </c>
      <c r="T419" t="e">
        <f>INDEX(TCO!$B$2:$AQ$85,MATCH('Historical Shareweights'!$A419,TCO!$A$2:$A$85,0),MATCH('Historical Shareweights'!T415,TCO!$B$1:$AQ$1,0))</f>
        <v>#N/A</v>
      </c>
      <c r="U419" t="e">
        <f>INDEX(TCO!$B$2:$AQ$85,MATCH('Historical Shareweights'!$A419,TCO!$A$2:$A$85,0),MATCH('Historical Shareweights'!U415,TCO!$B$1:$AQ$1,0))</f>
        <v>#N/A</v>
      </c>
      <c r="V419" t="e">
        <f>INDEX(TCO!$B$2:$AQ$85,MATCH('Historical Shareweights'!$A419,TCO!$A$2:$A$85,0),MATCH('Historical Shareweights'!V415,TCO!$B$1:$AQ$1,0))</f>
        <v>#N/A</v>
      </c>
      <c r="W419" t="e">
        <f>INDEX(TCO!$B$2:$AQ$85,MATCH('Historical Shareweights'!$A419,TCO!$A$2:$A$85,0),MATCH('Historical Shareweights'!W415,TCO!$B$1:$AQ$1,0))</f>
        <v>#N/A</v>
      </c>
      <c r="X419" t="e">
        <f>INDEX(TCO!$B$2:$AQ$85,MATCH('Historical Shareweights'!$A419,TCO!$A$2:$A$85,0),MATCH('Historical Shareweights'!X415,TCO!$B$1:$AQ$1,0))</f>
        <v>#N/A</v>
      </c>
      <c r="Y419" t="e">
        <f>INDEX(TCO!$B$2:$AQ$85,MATCH('Historical Shareweights'!$A419,TCO!$A$2:$A$85,0),MATCH('Historical Shareweights'!Y415,TCO!$B$1:$AQ$1,0))</f>
        <v>#N/A</v>
      </c>
      <c r="Z419" t="e">
        <f>INDEX(TCO!$B$2:$AQ$85,MATCH('Historical Shareweights'!$A419,TCO!$A$2:$A$85,0),MATCH('Historical Shareweights'!Z415,TCO!$B$1:$AQ$1,0))</f>
        <v>#N/A</v>
      </c>
      <c r="AA419" t="e">
        <f>INDEX(TCO!$B$2:$AQ$85,MATCH('Historical Shareweights'!$A419,TCO!$A$2:$A$85,0),MATCH('Historical Shareweights'!AA415,TCO!$B$1:$AQ$1,0))</f>
        <v>#N/A</v>
      </c>
      <c r="AB419" t="e">
        <f>INDEX(TCO!$B$2:$AQ$85,MATCH('Historical Shareweights'!$A419,TCO!$A$2:$A$85,0),MATCH('Historical Shareweights'!AB415,TCO!$B$1:$AQ$1,0))</f>
        <v>#N/A</v>
      </c>
      <c r="AC419" t="e">
        <f>INDEX(TCO!$B$2:$AQ$85,MATCH('Historical Shareweights'!$A419,TCO!$A$2:$A$85,0),MATCH('Historical Shareweights'!AC415,TCO!$B$1:$AQ$1,0))</f>
        <v>#N/A</v>
      </c>
      <c r="AD419" t="e">
        <f>INDEX(TCO!$B$2:$AQ$85,MATCH('Historical Shareweights'!$A419,TCO!$A$2:$A$85,0),MATCH('Historical Shareweights'!AD415,TCO!$B$1:$AQ$1,0))</f>
        <v>#N/A</v>
      </c>
      <c r="AE419" t="e">
        <f>INDEX(TCO!$B$2:$AQ$85,MATCH('Historical Shareweights'!$A419,TCO!$A$2:$A$85,0),MATCH('Historical Shareweights'!AE415,TCO!$B$1:$AQ$1,0))</f>
        <v>#N/A</v>
      </c>
      <c r="AF419" t="e">
        <f>INDEX(TCO!$B$2:$AQ$85,MATCH('Historical Shareweights'!$A419,TCO!$A$2:$A$85,0),MATCH('Historical Shareweights'!AF415,TCO!$B$1:$AQ$1,0))</f>
        <v>#N/A</v>
      </c>
      <c r="AG419" t="e">
        <f>INDEX(TCO!$B$2:$AQ$85,MATCH('Historical Shareweights'!$A419,TCO!$A$2:$A$85,0),MATCH('Historical Shareweights'!AG415,TCO!$B$1:$AQ$1,0))</f>
        <v>#N/A</v>
      </c>
      <c r="AH419" t="e">
        <f>INDEX(TCO!$B$2:$AQ$85,MATCH('Historical Shareweights'!$A419,TCO!$A$2:$A$85,0),MATCH('Historical Shareweights'!AH415,TCO!$B$1:$AQ$1,0))</f>
        <v>#N/A</v>
      </c>
      <c r="AI419" t="e">
        <f>INDEX(TCO!$B$2:$AQ$85,MATCH('Historical Shareweights'!$A419,TCO!$A$2:$A$85,0),MATCH('Historical Shareweights'!AI415,TCO!$B$1:$AQ$1,0))</f>
        <v>#N/A</v>
      </c>
      <c r="AJ419" t="e">
        <f>INDEX(TCO!$B$2:$AQ$85,MATCH('Historical Shareweights'!$A419,TCO!$A$2:$A$85,0),MATCH('Historical Shareweights'!AJ415,TCO!$B$1:$AQ$1,0))</f>
        <v>#N/A</v>
      </c>
      <c r="AK419" t="e">
        <f>INDEX(TCO!$B$2:$AQ$85,MATCH('Historical Shareweights'!$A419,TCO!$A$2:$A$85,0),MATCH('Historical Shareweights'!AK415,TCO!$B$1:$AQ$1,0))</f>
        <v>#N/A</v>
      </c>
      <c r="AL419" t="e">
        <f>INDEX(TCO!$B$2:$AQ$85,MATCH('Historical Shareweights'!$A419,TCO!$A$2:$A$85,0),MATCH('Historical Shareweights'!AL415,TCO!$B$1:$AQ$1,0))</f>
        <v>#N/A</v>
      </c>
      <c r="AM419" t="e">
        <f>INDEX(TCO!$B$2:$AQ$85,MATCH('Historical Shareweights'!$A419,TCO!$A$2:$A$85,0),MATCH('Historical Shareweights'!AM415,TCO!$B$1:$AQ$1,0))</f>
        <v>#N/A</v>
      </c>
      <c r="AN419" t="e">
        <f>INDEX(TCO!$B$2:$AQ$85,MATCH('Historical Shareweights'!$A419,TCO!$A$2:$A$85,0),MATCH('Historical Shareweights'!AN415,TCO!$B$1:$AQ$1,0))</f>
        <v>#N/A</v>
      </c>
      <c r="AO419" t="e">
        <f>INDEX(TCO!$B$2:$AQ$85,MATCH('Historical Shareweights'!$A419,TCO!$A$2:$A$85,0),MATCH('Historical Shareweights'!AO415,TCO!$B$1:$AQ$1,0))</f>
        <v>#N/A</v>
      </c>
      <c r="AP419" t="e">
        <f>INDEX(TCO!$B$2:$AQ$85,MATCH('Historical Shareweights'!$A419,TCO!$A$2:$A$85,0),MATCH('Historical Shareweights'!AP415,TCO!$B$1:$AQ$1,0))</f>
        <v>#N/A</v>
      </c>
      <c r="AQ419" t="e">
        <f>INDEX(TCO!$B$2:$AQ$85,MATCH('Historical Shareweights'!$A419,TCO!$A$2:$A$85,0),MATCH('Historical Shareweights'!AQ415,TCO!$B$1:$AQ$1,0))</f>
        <v>#N/A</v>
      </c>
    </row>
    <row r="420" spans="1:43" hidden="1" outlineLevel="1" x14ac:dyDescent="0.15">
      <c r="A420" t="s">
        <v>1188</v>
      </c>
      <c r="B420" t="e">
        <f>INDEX(TCO!$B$2:$AQ$85,MATCH('Historical Shareweights'!$A420,TCO!$A$2:$A$85,0),MATCH('Historical Shareweights'!B415,TCO!$B$1:$AQ$1,0))</f>
        <v>#N/A</v>
      </c>
      <c r="C420" t="e">
        <f>INDEX(TCO!$B$2:$AQ$85,MATCH('Historical Shareweights'!$A420,TCO!$A$2:$A$85,0),MATCH('Historical Shareweights'!C415,TCO!$B$1:$AQ$1,0))</f>
        <v>#N/A</v>
      </c>
      <c r="D420" t="e">
        <f>INDEX(TCO!$B$2:$AQ$85,MATCH('Historical Shareweights'!$A420,TCO!$A$2:$A$85,0),MATCH('Historical Shareweights'!D415,TCO!$B$1:$AQ$1,0))</f>
        <v>#N/A</v>
      </c>
      <c r="E420" t="e">
        <f>INDEX(TCO!$B$2:$AQ$85,MATCH('Historical Shareweights'!$A420,TCO!$A$2:$A$85,0),MATCH('Historical Shareweights'!E415,TCO!$B$1:$AQ$1,0))</f>
        <v>#N/A</v>
      </c>
      <c r="F420" t="e">
        <f>INDEX(TCO!$B$2:$AQ$85,MATCH('Historical Shareweights'!$A420,TCO!$A$2:$A$85,0),MATCH('Historical Shareweights'!F415,TCO!$B$1:$AQ$1,0))</f>
        <v>#N/A</v>
      </c>
      <c r="G420" t="e">
        <f>INDEX(TCO!$B$2:$AQ$85,MATCH('Historical Shareweights'!$A420,TCO!$A$2:$A$85,0),MATCH('Historical Shareweights'!G415,TCO!$B$1:$AQ$1,0))</f>
        <v>#N/A</v>
      </c>
      <c r="H420" t="e">
        <f>INDEX(TCO!$B$2:$AQ$85,MATCH('Historical Shareweights'!$A420,TCO!$A$2:$A$85,0),MATCH('Historical Shareweights'!H415,TCO!$B$1:$AQ$1,0))</f>
        <v>#N/A</v>
      </c>
      <c r="I420" t="e">
        <f>INDEX(TCO!$B$2:$AQ$85,MATCH('Historical Shareweights'!$A420,TCO!$A$2:$A$85,0),MATCH('Historical Shareweights'!I415,TCO!$B$1:$AQ$1,0))</f>
        <v>#N/A</v>
      </c>
      <c r="J420" t="e">
        <f>INDEX(TCO!$B$2:$AQ$85,MATCH('Historical Shareweights'!$A420,TCO!$A$2:$A$85,0),MATCH('Historical Shareweights'!J415,TCO!$B$1:$AQ$1,0))</f>
        <v>#N/A</v>
      </c>
      <c r="K420" t="e">
        <f>INDEX(TCO!$B$2:$AQ$85,MATCH('Historical Shareweights'!$A420,TCO!$A$2:$A$85,0),MATCH('Historical Shareweights'!K415,TCO!$B$1:$AQ$1,0))</f>
        <v>#N/A</v>
      </c>
      <c r="L420" t="e">
        <f>INDEX(TCO!$B$2:$AQ$85,MATCH('Historical Shareweights'!$A420,TCO!$A$2:$A$85,0),MATCH('Historical Shareweights'!L415,TCO!$B$1:$AQ$1,0))</f>
        <v>#N/A</v>
      </c>
      <c r="M420" t="e">
        <f>INDEX(TCO!$B$2:$AQ$85,MATCH('Historical Shareweights'!$A420,TCO!$A$2:$A$85,0),MATCH('Historical Shareweights'!M415,TCO!$B$1:$AQ$1,0))</f>
        <v>#N/A</v>
      </c>
      <c r="N420" t="e">
        <f>INDEX(TCO!$B$2:$AQ$85,MATCH('Historical Shareweights'!$A420,TCO!$A$2:$A$85,0),MATCH('Historical Shareweights'!N415,TCO!$B$1:$AQ$1,0))</f>
        <v>#N/A</v>
      </c>
      <c r="O420" t="e">
        <f>INDEX(TCO!$B$2:$AQ$85,MATCH('Historical Shareweights'!$A420,TCO!$A$2:$A$85,0),MATCH('Historical Shareweights'!O415,TCO!$B$1:$AQ$1,0))</f>
        <v>#N/A</v>
      </c>
      <c r="P420" t="e">
        <f>INDEX(TCO!$B$2:$AQ$85,MATCH('Historical Shareweights'!$A420,TCO!$A$2:$A$85,0),MATCH('Historical Shareweights'!P415,TCO!$B$1:$AQ$1,0))</f>
        <v>#N/A</v>
      </c>
      <c r="Q420" t="e">
        <f>INDEX(TCO!$B$2:$AQ$85,MATCH('Historical Shareweights'!$A420,TCO!$A$2:$A$85,0),MATCH('Historical Shareweights'!Q415,TCO!$B$1:$AQ$1,0))</f>
        <v>#N/A</v>
      </c>
      <c r="R420" t="e">
        <f>INDEX(TCO!$B$2:$AQ$85,MATCH('Historical Shareweights'!$A420,TCO!$A$2:$A$85,0),MATCH('Historical Shareweights'!R415,TCO!$B$1:$AQ$1,0))</f>
        <v>#N/A</v>
      </c>
      <c r="S420" t="e">
        <f>INDEX(TCO!$B$2:$AQ$85,MATCH('Historical Shareweights'!$A420,TCO!$A$2:$A$85,0),MATCH('Historical Shareweights'!S415,TCO!$B$1:$AQ$1,0))</f>
        <v>#N/A</v>
      </c>
      <c r="T420" t="e">
        <f>INDEX(TCO!$B$2:$AQ$85,MATCH('Historical Shareweights'!$A420,TCO!$A$2:$A$85,0),MATCH('Historical Shareweights'!T415,TCO!$B$1:$AQ$1,0))</f>
        <v>#N/A</v>
      </c>
      <c r="U420" t="e">
        <f>INDEX(TCO!$B$2:$AQ$85,MATCH('Historical Shareweights'!$A420,TCO!$A$2:$A$85,0),MATCH('Historical Shareweights'!U415,TCO!$B$1:$AQ$1,0))</f>
        <v>#N/A</v>
      </c>
      <c r="V420" t="e">
        <f>INDEX(TCO!$B$2:$AQ$85,MATCH('Historical Shareweights'!$A420,TCO!$A$2:$A$85,0),MATCH('Historical Shareweights'!V415,TCO!$B$1:$AQ$1,0))</f>
        <v>#N/A</v>
      </c>
      <c r="W420" t="e">
        <f>INDEX(TCO!$B$2:$AQ$85,MATCH('Historical Shareweights'!$A420,TCO!$A$2:$A$85,0),MATCH('Historical Shareweights'!W415,TCO!$B$1:$AQ$1,0))</f>
        <v>#N/A</v>
      </c>
      <c r="X420" t="e">
        <f>INDEX(TCO!$B$2:$AQ$85,MATCH('Historical Shareweights'!$A420,TCO!$A$2:$A$85,0),MATCH('Historical Shareweights'!X415,TCO!$B$1:$AQ$1,0))</f>
        <v>#N/A</v>
      </c>
      <c r="Y420" t="e">
        <f>INDEX(TCO!$B$2:$AQ$85,MATCH('Historical Shareweights'!$A420,TCO!$A$2:$A$85,0),MATCH('Historical Shareweights'!Y415,TCO!$B$1:$AQ$1,0))</f>
        <v>#N/A</v>
      </c>
      <c r="Z420" t="e">
        <f>INDEX(TCO!$B$2:$AQ$85,MATCH('Historical Shareweights'!$A420,TCO!$A$2:$A$85,0),MATCH('Historical Shareweights'!Z415,TCO!$B$1:$AQ$1,0))</f>
        <v>#N/A</v>
      </c>
      <c r="AA420" t="e">
        <f>INDEX(TCO!$B$2:$AQ$85,MATCH('Historical Shareweights'!$A420,TCO!$A$2:$A$85,0),MATCH('Historical Shareweights'!AA415,TCO!$B$1:$AQ$1,0))</f>
        <v>#N/A</v>
      </c>
      <c r="AB420" t="e">
        <f>INDEX(TCO!$B$2:$AQ$85,MATCH('Historical Shareweights'!$A420,TCO!$A$2:$A$85,0),MATCH('Historical Shareweights'!AB415,TCO!$B$1:$AQ$1,0))</f>
        <v>#N/A</v>
      </c>
      <c r="AC420" t="e">
        <f>INDEX(TCO!$B$2:$AQ$85,MATCH('Historical Shareweights'!$A420,TCO!$A$2:$A$85,0),MATCH('Historical Shareweights'!AC415,TCO!$B$1:$AQ$1,0))</f>
        <v>#N/A</v>
      </c>
      <c r="AD420" t="e">
        <f>INDEX(TCO!$B$2:$AQ$85,MATCH('Historical Shareweights'!$A420,TCO!$A$2:$A$85,0),MATCH('Historical Shareweights'!AD415,TCO!$B$1:$AQ$1,0))</f>
        <v>#N/A</v>
      </c>
      <c r="AE420" t="e">
        <f>INDEX(TCO!$B$2:$AQ$85,MATCH('Historical Shareweights'!$A420,TCO!$A$2:$A$85,0),MATCH('Historical Shareweights'!AE415,TCO!$B$1:$AQ$1,0))</f>
        <v>#N/A</v>
      </c>
      <c r="AF420" t="e">
        <f>INDEX(TCO!$B$2:$AQ$85,MATCH('Historical Shareweights'!$A420,TCO!$A$2:$A$85,0),MATCH('Historical Shareweights'!AF415,TCO!$B$1:$AQ$1,0))</f>
        <v>#N/A</v>
      </c>
      <c r="AG420" t="e">
        <f>INDEX(TCO!$B$2:$AQ$85,MATCH('Historical Shareweights'!$A420,TCO!$A$2:$A$85,0),MATCH('Historical Shareweights'!AG415,TCO!$B$1:$AQ$1,0))</f>
        <v>#N/A</v>
      </c>
      <c r="AH420" t="e">
        <f>INDEX(TCO!$B$2:$AQ$85,MATCH('Historical Shareweights'!$A420,TCO!$A$2:$A$85,0),MATCH('Historical Shareweights'!AH415,TCO!$B$1:$AQ$1,0))</f>
        <v>#N/A</v>
      </c>
      <c r="AI420" t="e">
        <f>INDEX(TCO!$B$2:$AQ$85,MATCH('Historical Shareweights'!$A420,TCO!$A$2:$A$85,0),MATCH('Historical Shareweights'!AI415,TCO!$B$1:$AQ$1,0))</f>
        <v>#N/A</v>
      </c>
      <c r="AJ420" t="e">
        <f>INDEX(TCO!$B$2:$AQ$85,MATCH('Historical Shareweights'!$A420,TCO!$A$2:$A$85,0),MATCH('Historical Shareweights'!AJ415,TCO!$B$1:$AQ$1,0))</f>
        <v>#N/A</v>
      </c>
      <c r="AK420" t="e">
        <f>INDEX(TCO!$B$2:$AQ$85,MATCH('Historical Shareweights'!$A420,TCO!$A$2:$A$85,0),MATCH('Historical Shareweights'!AK415,TCO!$B$1:$AQ$1,0))</f>
        <v>#N/A</v>
      </c>
      <c r="AL420" t="e">
        <f>INDEX(TCO!$B$2:$AQ$85,MATCH('Historical Shareweights'!$A420,TCO!$A$2:$A$85,0),MATCH('Historical Shareweights'!AL415,TCO!$B$1:$AQ$1,0))</f>
        <v>#N/A</v>
      </c>
      <c r="AM420" t="e">
        <f>INDEX(TCO!$B$2:$AQ$85,MATCH('Historical Shareweights'!$A420,TCO!$A$2:$A$85,0),MATCH('Historical Shareweights'!AM415,TCO!$B$1:$AQ$1,0))</f>
        <v>#N/A</v>
      </c>
      <c r="AN420" t="e">
        <f>INDEX(TCO!$B$2:$AQ$85,MATCH('Historical Shareweights'!$A420,TCO!$A$2:$A$85,0),MATCH('Historical Shareweights'!AN415,TCO!$B$1:$AQ$1,0))</f>
        <v>#N/A</v>
      </c>
      <c r="AO420" t="e">
        <f>INDEX(TCO!$B$2:$AQ$85,MATCH('Historical Shareweights'!$A420,TCO!$A$2:$A$85,0),MATCH('Historical Shareweights'!AO415,TCO!$B$1:$AQ$1,0))</f>
        <v>#N/A</v>
      </c>
      <c r="AP420" t="e">
        <f>INDEX(TCO!$B$2:$AQ$85,MATCH('Historical Shareweights'!$A420,TCO!$A$2:$A$85,0),MATCH('Historical Shareweights'!AP415,TCO!$B$1:$AQ$1,0))</f>
        <v>#N/A</v>
      </c>
      <c r="AQ420" t="e">
        <f>INDEX(TCO!$B$2:$AQ$85,MATCH('Historical Shareweights'!$A420,TCO!$A$2:$A$85,0),MATCH('Historical Shareweights'!AQ415,TCO!$B$1:$AQ$1,0))</f>
        <v>#N/A</v>
      </c>
    </row>
    <row r="421" spans="1:43" hidden="1" outlineLevel="1" x14ac:dyDescent="0.15">
      <c r="A421" t="s">
        <v>1189</v>
      </c>
      <c r="B421" t="e">
        <f>INDEX(TCO!$B$2:$AQ$85,MATCH('Historical Shareweights'!$A421,TCO!$A$2:$A$85,0),MATCH('Historical Shareweights'!B415,TCO!$B$1:$AQ$1,0))</f>
        <v>#N/A</v>
      </c>
      <c r="C421" t="e">
        <f>INDEX(TCO!$B$2:$AQ$85,MATCH('Historical Shareweights'!$A421,TCO!$A$2:$A$85,0),MATCH('Historical Shareweights'!C415,TCO!$B$1:$AQ$1,0))</f>
        <v>#N/A</v>
      </c>
      <c r="D421" t="e">
        <f>INDEX(TCO!$B$2:$AQ$85,MATCH('Historical Shareweights'!$A421,TCO!$A$2:$A$85,0),MATCH('Historical Shareweights'!D415,TCO!$B$1:$AQ$1,0))</f>
        <v>#N/A</v>
      </c>
      <c r="E421" t="e">
        <f>INDEX(TCO!$B$2:$AQ$85,MATCH('Historical Shareweights'!$A421,TCO!$A$2:$A$85,0),MATCH('Historical Shareweights'!E415,TCO!$B$1:$AQ$1,0))</f>
        <v>#N/A</v>
      </c>
      <c r="F421" t="e">
        <f>INDEX(TCO!$B$2:$AQ$85,MATCH('Historical Shareweights'!$A421,TCO!$A$2:$A$85,0),MATCH('Historical Shareweights'!F415,TCO!$B$1:$AQ$1,0))</f>
        <v>#N/A</v>
      </c>
      <c r="G421" t="e">
        <f>INDEX(TCO!$B$2:$AQ$85,MATCH('Historical Shareweights'!$A421,TCO!$A$2:$A$85,0),MATCH('Historical Shareweights'!G415,TCO!$B$1:$AQ$1,0))</f>
        <v>#N/A</v>
      </c>
      <c r="H421" t="e">
        <f>INDEX(TCO!$B$2:$AQ$85,MATCH('Historical Shareweights'!$A421,TCO!$A$2:$A$85,0),MATCH('Historical Shareweights'!H415,TCO!$B$1:$AQ$1,0))</f>
        <v>#N/A</v>
      </c>
      <c r="I421" t="e">
        <f>INDEX(TCO!$B$2:$AQ$85,MATCH('Historical Shareweights'!$A421,TCO!$A$2:$A$85,0),MATCH('Historical Shareweights'!I415,TCO!$B$1:$AQ$1,0))</f>
        <v>#N/A</v>
      </c>
      <c r="J421" t="e">
        <f>INDEX(TCO!$B$2:$AQ$85,MATCH('Historical Shareweights'!$A421,TCO!$A$2:$A$85,0),MATCH('Historical Shareweights'!J415,TCO!$B$1:$AQ$1,0))</f>
        <v>#N/A</v>
      </c>
      <c r="K421" t="e">
        <f>INDEX(TCO!$B$2:$AQ$85,MATCH('Historical Shareweights'!$A421,TCO!$A$2:$A$85,0),MATCH('Historical Shareweights'!K415,TCO!$B$1:$AQ$1,0))</f>
        <v>#N/A</v>
      </c>
      <c r="L421" t="e">
        <f>INDEX(TCO!$B$2:$AQ$85,MATCH('Historical Shareweights'!$A421,TCO!$A$2:$A$85,0),MATCH('Historical Shareweights'!L415,TCO!$B$1:$AQ$1,0))</f>
        <v>#N/A</v>
      </c>
      <c r="M421" t="e">
        <f>INDEX(TCO!$B$2:$AQ$85,MATCH('Historical Shareweights'!$A421,TCO!$A$2:$A$85,0),MATCH('Historical Shareweights'!M415,TCO!$B$1:$AQ$1,0))</f>
        <v>#N/A</v>
      </c>
      <c r="N421" t="e">
        <f>INDEX(TCO!$B$2:$AQ$85,MATCH('Historical Shareweights'!$A421,TCO!$A$2:$A$85,0),MATCH('Historical Shareweights'!N415,TCO!$B$1:$AQ$1,0))</f>
        <v>#N/A</v>
      </c>
      <c r="O421" t="e">
        <f>INDEX(TCO!$B$2:$AQ$85,MATCH('Historical Shareweights'!$A421,TCO!$A$2:$A$85,0),MATCH('Historical Shareweights'!O415,TCO!$B$1:$AQ$1,0))</f>
        <v>#N/A</v>
      </c>
      <c r="P421" t="e">
        <f>INDEX(TCO!$B$2:$AQ$85,MATCH('Historical Shareweights'!$A421,TCO!$A$2:$A$85,0),MATCH('Historical Shareweights'!P415,TCO!$B$1:$AQ$1,0))</f>
        <v>#N/A</v>
      </c>
      <c r="Q421" t="e">
        <f>INDEX(TCO!$B$2:$AQ$85,MATCH('Historical Shareweights'!$A421,TCO!$A$2:$A$85,0),MATCH('Historical Shareweights'!Q415,TCO!$B$1:$AQ$1,0))</f>
        <v>#N/A</v>
      </c>
      <c r="R421" t="e">
        <f>INDEX(TCO!$B$2:$AQ$85,MATCH('Historical Shareweights'!$A421,TCO!$A$2:$A$85,0),MATCH('Historical Shareweights'!R415,TCO!$B$1:$AQ$1,0))</f>
        <v>#N/A</v>
      </c>
      <c r="S421" t="e">
        <f>INDEX(TCO!$B$2:$AQ$85,MATCH('Historical Shareweights'!$A421,TCO!$A$2:$A$85,0),MATCH('Historical Shareweights'!S415,TCO!$B$1:$AQ$1,0))</f>
        <v>#N/A</v>
      </c>
      <c r="T421" t="e">
        <f>INDEX(TCO!$B$2:$AQ$85,MATCH('Historical Shareweights'!$A421,TCO!$A$2:$A$85,0),MATCH('Historical Shareweights'!T415,TCO!$B$1:$AQ$1,0))</f>
        <v>#N/A</v>
      </c>
      <c r="U421" t="e">
        <f>INDEX(TCO!$B$2:$AQ$85,MATCH('Historical Shareweights'!$A421,TCO!$A$2:$A$85,0),MATCH('Historical Shareweights'!U415,TCO!$B$1:$AQ$1,0))</f>
        <v>#N/A</v>
      </c>
      <c r="V421" t="e">
        <f>INDEX(TCO!$B$2:$AQ$85,MATCH('Historical Shareweights'!$A421,TCO!$A$2:$A$85,0),MATCH('Historical Shareweights'!V415,TCO!$B$1:$AQ$1,0))</f>
        <v>#N/A</v>
      </c>
      <c r="W421" t="e">
        <f>INDEX(TCO!$B$2:$AQ$85,MATCH('Historical Shareweights'!$A421,TCO!$A$2:$A$85,0),MATCH('Historical Shareweights'!W415,TCO!$B$1:$AQ$1,0))</f>
        <v>#N/A</v>
      </c>
      <c r="X421" t="e">
        <f>INDEX(TCO!$B$2:$AQ$85,MATCH('Historical Shareweights'!$A421,TCO!$A$2:$A$85,0),MATCH('Historical Shareweights'!X415,TCO!$B$1:$AQ$1,0))</f>
        <v>#N/A</v>
      </c>
      <c r="Y421" t="e">
        <f>INDEX(TCO!$B$2:$AQ$85,MATCH('Historical Shareweights'!$A421,TCO!$A$2:$A$85,0),MATCH('Historical Shareweights'!Y415,TCO!$B$1:$AQ$1,0))</f>
        <v>#N/A</v>
      </c>
      <c r="Z421" t="e">
        <f>INDEX(TCO!$B$2:$AQ$85,MATCH('Historical Shareweights'!$A421,TCO!$A$2:$A$85,0),MATCH('Historical Shareweights'!Z415,TCO!$B$1:$AQ$1,0))</f>
        <v>#N/A</v>
      </c>
      <c r="AA421" t="e">
        <f>INDEX(TCO!$B$2:$AQ$85,MATCH('Historical Shareweights'!$A421,TCO!$A$2:$A$85,0),MATCH('Historical Shareweights'!AA415,TCO!$B$1:$AQ$1,0))</f>
        <v>#N/A</v>
      </c>
      <c r="AB421" t="e">
        <f>INDEX(TCO!$B$2:$AQ$85,MATCH('Historical Shareweights'!$A421,TCO!$A$2:$A$85,0),MATCH('Historical Shareweights'!AB415,TCO!$B$1:$AQ$1,0))</f>
        <v>#N/A</v>
      </c>
      <c r="AC421" t="e">
        <f>INDEX(TCO!$B$2:$AQ$85,MATCH('Historical Shareweights'!$A421,TCO!$A$2:$A$85,0),MATCH('Historical Shareweights'!AC415,TCO!$B$1:$AQ$1,0))</f>
        <v>#N/A</v>
      </c>
      <c r="AD421" t="e">
        <f>INDEX(TCO!$B$2:$AQ$85,MATCH('Historical Shareweights'!$A421,TCO!$A$2:$A$85,0),MATCH('Historical Shareweights'!AD415,TCO!$B$1:$AQ$1,0))</f>
        <v>#N/A</v>
      </c>
      <c r="AE421" t="e">
        <f>INDEX(TCO!$B$2:$AQ$85,MATCH('Historical Shareweights'!$A421,TCO!$A$2:$A$85,0),MATCH('Historical Shareweights'!AE415,TCO!$B$1:$AQ$1,0))</f>
        <v>#N/A</v>
      </c>
      <c r="AF421" t="e">
        <f>INDEX(TCO!$B$2:$AQ$85,MATCH('Historical Shareweights'!$A421,TCO!$A$2:$A$85,0),MATCH('Historical Shareweights'!AF415,TCO!$B$1:$AQ$1,0))</f>
        <v>#N/A</v>
      </c>
      <c r="AG421" t="e">
        <f>INDEX(TCO!$B$2:$AQ$85,MATCH('Historical Shareweights'!$A421,TCO!$A$2:$A$85,0),MATCH('Historical Shareweights'!AG415,TCO!$B$1:$AQ$1,0))</f>
        <v>#N/A</v>
      </c>
      <c r="AH421" t="e">
        <f>INDEX(TCO!$B$2:$AQ$85,MATCH('Historical Shareweights'!$A421,TCO!$A$2:$A$85,0),MATCH('Historical Shareweights'!AH415,TCO!$B$1:$AQ$1,0))</f>
        <v>#N/A</v>
      </c>
      <c r="AI421" t="e">
        <f>INDEX(TCO!$B$2:$AQ$85,MATCH('Historical Shareweights'!$A421,TCO!$A$2:$A$85,0),MATCH('Historical Shareweights'!AI415,TCO!$B$1:$AQ$1,0))</f>
        <v>#N/A</v>
      </c>
      <c r="AJ421" t="e">
        <f>INDEX(TCO!$B$2:$AQ$85,MATCH('Historical Shareweights'!$A421,TCO!$A$2:$A$85,0),MATCH('Historical Shareweights'!AJ415,TCO!$B$1:$AQ$1,0))</f>
        <v>#N/A</v>
      </c>
      <c r="AK421" t="e">
        <f>INDEX(TCO!$B$2:$AQ$85,MATCH('Historical Shareweights'!$A421,TCO!$A$2:$A$85,0),MATCH('Historical Shareweights'!AK415,TCO!$B$1:$AQ$1,0))</f>
        <v>#N/A</v>
      </c>
      <c r="AL421" t="e">
        <f>INDEX(TCO!$B$2:$AQ$85,MATCH('Historical Shareweights'!$A421,TCO!$A$2:$A$85,0),MATCH('Historical Shareweights'!AL415,TCO!$B$1:$AQ$1,0))</f>
        <v>#N/A</v>
      </c>
      <c r="AM421" t="e">
        <f>INDEX(TCO!$B$2:$AQ$85,MATCH('Historical Shareweights'!$A421,TCO!$A$2:$A$85,0),MATCH('Historical Shareweights'!AM415,TCO!$B$1:$AQ$1,0))</f>
        <v>#N/A</v>
      </c>
      <c r="AN421" t="e">
        <f>INDEX(TCO!$B$2:$AQ$85,MATCH('Historical Shareweights'!$A421,TCO!$A$2:$A$85,0),MATCH('Historical Shareweights'!AN415,TCO!$B$1:$AQ$1,0))</f>
        <v>#N/A</v>
      </c>
      <c r="AO421" t="e">
        <f>INDEX(TCO!$B$2:$AQ$85,MATCH('Historical Shareweights'!$A421,TCO!$A$2:$A$85,0),MATCH('Historical Shareweights'!AO415,TCO!$B$1:$AQ$1,0))</f>
        <v>#N/A</v>
      </c>
      <c r="AP421" t="e">
        <f>INDEX(TCO!$B$2:$AQ$85,MATCH('Historical Shareweights'!$A421,TCO!$A$2:$A$85,0),MATCH('Historical Shareweights'!AP415,TCO!$B$1:$AQ$1,0))</f>
        <v>#N/A</v>
      </c>
      <c r="AQ421" t="e">
        <f>INDEX(TCO!$B$2:$AQ$85,MATCH('Historical Shareweights'!$A421,TCO!$A$2:$A$85,0),MATCH('Historical Shareweights'!AQ415,TCO!$B$1:$AQ$1,0))</f>
        <v>#N/A</v>
      </c>
    </row>
    <row r="422" spans="1:43" hidden="1" outlineLevel="1" x14ac:dyDescent="0.15">
      <c r="A422" t="s">
        <v>1190</v>
      </c>
      <c r="B422" t="e">
        <f>INDEX(TCO!$B$2:$AQ$85,MATCH('Historical Shareweights'!$A422,TCO!$A$2:$A$85,0),MATCH('Historical Shareweights'!B415,TCO!$B$1:$AQ$1,0))</f>
        <v>#N/A</v>
      </c>
      <c r="C422" t="e">
        <f>INDEX(TCO!$B$2:$AQ$85,MATCH('Historical Shareweights'!$A422,TCO!$A$2:$A$85,0),MATCH('Historical Shareweights'!C415,TCO!$B$1:$AQ$1,0))</f>
        <v>#N/A</v>
      </c>
      <c r="D422" t="e">
        <f>INDEX(TCO!$B$2:$AQ$85,MATCH('Historical Shareweights'!$A422,TCO!$A$2:$A$85,0),MATCH('Historical Shareweights'!D415,TCO!$B$1:$AQ$1,0))</f>
        <v>#N/A</v>
      </c>
      <c r="E422" t="e">
        <f>INDEX(TCO!$B$2:$AQ$85,MATCH('Historical Shareweights'!$A422,TCO!$A$2:$A$85,0),MATCH('Historical Shareweights'!E415,TCO!$B$1:$AQ$1,0))</f>
        <v>#N/A</v>
      </c>
      <c r="F422" t="e">
        <f>INDEX(TCO!$B$2:$AQ$85,MATCH('Historical Shareweights'!$A422,TCO!$A$2:$A$85,0),MATCH('Historical Shareweights'!F415,TCO!$B$1:$AQ$1,0))</f>
        <v>#N/A</v>
      </c>
      <c r="G422" t="e">
        <f>INDEX(TCO!$B$2:$AQ$85,MATCH('Historical Shareweights'!$A422,TCO!$A$2:$A$85,0),MATCH('Historical Shareweights'!G415,TCO!$B$1:$AQ$1,0))</f>
        <v>#N/A</v>
      </c>
      <c r="H422" t="e">
        <f>INDEX(TCO!$B$2:$AQ$85,MATCH('Historical Shareweights'!$A422,TCO!$A$2:$A$85,0),MATCH('Historical Shareweights'!H415,TCO!$B$1:$AQ$1,0))</f>
        <v>#N/A</v>
      </c>
      <c r="I422" t="e">
        <f>INDEX(TCO!$B$2:$AQ$85,MATCH('Historical Shareweights'!$A422,TCO!$A$2:$A$85,0),MATCH('Historical Shareweights'!I415,TCO!$B$1:$AQ$1,0))</f>
        <v>#N/A</v>
      </c>
      <c r="J422" t="e">
        <f>INDEX(TCO!$B$2:$AQ$85,MATCH('Historical Shareweights'!$A422,TCO!$A$2:$A$85,0),MATCH('Historical Shareweights'!J415,TCO!$B$1:$AQ$1,0))</f>
        <v>#N/A</v>
      </c>
      <c r="K422" t="e">
        <f>INDEX(TCO!$B$2:$AQ$85,MATCH('Historical Shareweights'!$A422,TCO!$A$2:$A$85,0),MATCH('Historical Shareweights'!K415,TCO!$B$1:$AQ$1,0))</f>
        <v>#N/A</v>
      </c>
      <c r="L422" t="e">
        <f>INDEX(TCO!$B$2:$AQ$85,MATCH('Historical Shareweights'!$A422,TCO!$A$2:$A$85,0),MATCH('Historical Shareweights'!L415,TCO!$B$1:$AQ$1,0))</f>
        <v>#N/A</v>
      </c>
      <c r="M422" t="e">
        <f>INDEX(TCO!$B$2:$AQ$85,MATCH('Historical Shareweights'!$A422,TCO!$A$2:$A$85,0),MATCH('Historical Shareweights'!M415,TCO!$B$1:$AQ$1,0))</f>
        <v>#N/A</v>
      </c>
      <c r="N422" t="e">
        <f>INDEX(TCO!$B$2:$AQ$85,MATCH('Historical Shareweights'!$A422,TCO!$A$2:$A$85,0),MATCH('Historical Shareweights'!N415,TCO!$B$1:$AQ$1,0))</f>
        <v>#N/A</v>
      </c>
      <c r="O422" t="e">
        <f>INDEX(TCO!$B$2:$AQ$85,MATCH('Historical Shareweights'!$A422,TCO!$A$2:$A$85,0),MATCH('Historical Shareweights'!O415,TCO!$B$1:$AQ$1,0))</f>
        <v>#N/A</v>
      </c>
      <c r="P422" t="e">
        <f>INDEX(TCO!$B$2:$AQ$85,MATCH('Historical Shareweights'!$A422,TCO!$A$2:$A$85,0),MATCH('Historical Shareweights'!P415,TCO!$B$1:$AQ$1,0))</f>
        <v>#N/A</v>
      </c>
      <c r="Q422" t="e">
        <f>INDEX(TCO!$B$2:$AQ$85,MATCH('Historical Shareweights'!$A422,TCO!$A$2:$A$85,0),MATCH('Historical Shareweights'!Q415,TCO!$B$1:$AQ$1,0))</f>
        <v>#N/A</v>
      </c>
      <c r="R422" t="e">
        <f>INDEX(TCO!$B$2:$AQ$85,MATCH('Historical Shareweights'!$A422,TCO!$A$2:$A$85,0),MATCH('Historical Shareweights'!R415,TCO!$B$1:$AQ$1,0))</f>
        <v>#N/A</v>
      </c>
      <c r="S422" t="e">
        <f>INDEX(TCO!$B$2:$AQ$85,MATCH('Historical Shareweights'!$A422,TCO!$A$2:$A$85,0),MATCH('Historical Shareweights'!S415,TCO!$B$1:$AQ$1,0))</f>
        <v>#N/A</v>
      </c>
      <c r="T422" t="e">
        <f>INDEX(TCO!$B$2:$AQ$85,MATCH('Historical Shareweights'!$A422,TCO!$A$2:$A$85,0),MATCH('Historical Shareweights'!T415,TCO!$B$1:$AQ$1,0))</f>
        <v>#N/A</v>
      </c>
      <c r="U422" t="e">
        <f>INDEX(TCO!$B$2:$AQ$85,MATCH('Historical Shareweights'!$A422,TCO!$A$2:$A$85,0),MATCH('Historical Shareweights'!U415,TCO!$B$1:$AQ$1,0))</f>
        <v>#N/A</v>
      </c>
      <c r="V422" t="e">
        <f>INDEX(TCO!$B$2:$AQ$85,MATCH('Historical Shareweights'!$A422,TCO!$A$2:$A$85,0),MATCH('Historical Shareweights'!V415,TCO!$B$1:$AQ$1,0))</f>
        <v>#N/A</v>
      </c>
      <c r="W422" t="e">
        <f>INDEX(TCO!$B$2:$AQ$85,MATCH('Historical Shareweights'!$A422,TCO!$A$2:$A$85,0),MATCH('Historical Shareweights'!W415,TCO!$B$1:$AQ$1,0))</f>
        <v>#N/A</v>
      </c>
      <c r="X422" t="e">
        <f>INDEX(TCO!$B$2:$AQ$85,MATCH('Historical Shareweights'!$A422,TCO!$A$2:$A$85,0),MATCH('Historical Shareweights'!X415,TCO!$B$1:$AQ$1,0))</f>
        <v>#N/A</v>
      </c>
      <c r="Y422" t="e">
        <f>INDEX(TCO!$B$2:$AQ$85,MATCH('Historical Shareweights'!$A422,TCO!$A$2:$A$85,0),MATCH('Historical Shareweights'!Y415,TCO!$B$1:$AQ$1,0))</f>
        <v>#N/A</v>
      </c>
      <c r="Z422" t="e">
        <f>INDEX(TCO!$B$2:$AQ$85,MATCH('Historical Shareweights'!$A422,TCO!$A$2:$A$85,0),MATCH('Historical Shareweights'!Z415,TCO!$B$1:$AQ$1,0))</f>
        <v>#N/A</v>
      </c>
      <c r="AA422" t="e">
        <f>INDEX(TCO!$B$2:$AQ$85,MATCH('Historical Shareweights'!$A422,TCO!$A$2:$A$85,0),MATCH('Historical Shareweights'!AA415,TCO!$B$1:$AQ$1,0))</f>
        <v>#N/A</v>
      </c>
      <c r="AB422" t="e">
        <f>INDEX(TCO!$B$2:$AQ$85,MATCH('Historical Shareweights'!$A422,TCO!$A$2:$A$85,0),MATCH('Historical Shareweights'!AB415,TCO!$B$1:$AQ$1,0))</f>
        <v>#N/A</v>
      </c>
      <c r="AC422" t="e">
        <f>INDEX(TCO!$B$2:$AQ$85,MATCH('Historical Shareweights'!$A422,TCO!$A$2:$A$85,0),MATCH('Historical Shareweights'!AC415,TCO!$B$1:$AQ$1,0))</f>
        <v>#N/A</v>
      </c>
      <c r="AD422" t="e">
        <f>INDEX(TCO!$B$2:$AQ$85,MATCH('Historical Shareweights'!$A422,TCO!$A$2:$A$85,0),MATCH('Historical Shareweights'!AD415,TCO!$B$1:$AQ$1,0))</f>
        <v>#N/A</v>
      </c>
      <c r="AE422" t="e">
        <f>INDEX(TCO!$B$2:$AQ$85,MATCH('Historical Shareweights'!$A422,TCO!$A$2:$A$85,0),MATCH('Historical Shareweights'!AE415,TCO!$B$1:$AQ$1,0))</f>
        <v>#N/A</v>
      </c>
      <c r="AF422" t="e">
        <f>INDEX(TCO!$B$2:$AQ$85,MATCH('Historical Shareweights'!$A422,TCO!$A$2:$A$85,0),MATCH('Historical Shareweights'!AF415,TCO!$B$1:$AQ$1,0))</f>
        <v>#N/A</v>
      </c>
      <c r="AG422" t="e">
        <f>INDEX(TCO!$B$2:$AQ$85,MATCH('Historical Shareweights'!$A422,TCO!$A$2:$A$85,0),MATCH('Historical Shareweights'!AG415,TCO!$B$1:$AQ$1,0))</f>
        <v>#N/A</v>
      </c>
      <c r="AH422" t="e">
        <f>INDEX(TCO!$B$2:$AQ$85,MATCH('Historical Shareweights'!$A422,TCO!$A$2:$A$85,0),MATCH('Historical Shareweights'!AH415,TCO!$B$1:$AQ$1,0))</f>
        <v>#N/A</v>
      </c>
      <c r="AI422" t="e">
        <f>INDEX(TCO!$B$2:$AQ$85,MATCH('Historical Shareweights'!$A422,TCO!$A$2:$A$85,0),MATCH('Historical Shareweights'!AI415,TCO!$B$1:$AQ$1,0))</f>
        <v>#N/A</v>
      </c>
      <c r="AJ422" t="e">
        <f>INDEX(TCO!$B$2:$AQ$85,MATCH('Historical Shareweights'!$A422,TCO!$A$2:$A$85,0),MATCH('Historical Shareweights'!AJ415,TCO!$B$1:$AQ$1,0))</f>
        <v>#N/A</v>
      </c>
      <c r="AK422" t="e">
        <f>INDEX(TCO!$B$2:$AQ$85,MATCH('Historical Shareweights'!$A422,TCO!$A$2:$A$85,0),MATCH('Historical Shareweights'!AK415,TCO!$B$1:$AQ$1,0))</f>
        <v>#N/A</v>
      </c>
      <c r="AL422" t="e">
        <f>INDEX(TCO!$B$2:$AQ$85,MATCH('Historical Shareweights'!$A422,TCO!$A$2:$A$85,0),MATCH('Historical Shareweights'!AL415,TCO!$B$1:$AQ$1,0))</f>
        <v>#N/A</v>
      </c>
      <c r="AM422" t="e">
        <f>INDEX(TCO!$B$2:$AQ$85,MATCH('Historical Shareweights'!$A422,TCO!$A$2:$A$85,0),MATCH('Historical Shareweights'!AM415,TCO!$B$1:$AQ$1,0))</f>
        <v>#N/A</v>
      </c>
      <c r="AN422" t="e">
        <f>INDEX(TCO!$B$2:$AQ$85,MATCH('Historical Shareweights'!$A422,TCO!$A$2:$A$85,0),MATCH('Historical Shareweights'!AN415,TCO!$B$1:$AQ$1,0))</f>
        <v>#N/A</v>
      </c>
      <c r="AO422" t="e">
        <f>INDEX(TCO!$B$2:$AQ$85,MATCH('Historical Shareweights'!$A422,TCO!$A$2:$A$85,0),MATCH('Historical Shareweights'!AO415,TCO!$B$1:$AQ$1,0))</f>
        <v>#N/A</v>
      </c>
      <c r="AP422" t="e">
        <f>INDEX(TCO!$B$2:$AQ$85,MATCH('Historical Shareweights'!$A422,TCO!$A$2:$A$85,0),MATCH('Historical Shareweights'!AP415,TCO!$B$1:$AQ$1,0))</f>
        <v>#N/A</v>
      </c>
      <c r="AQ422" t="e">
        <f>INDEX(TCO!$B$2:$AQ$85,MATCH('Historical Shareweights'!$A422,TCO!$A$2:$A$85,0),MATCH('Historical Shareweights'!AQ415,TCO!$B$1:$AQ$1,0))</f>
        <v>#N/A</v>
      </c>
    </row>
    <row r="423" spans="1:43" hidden="1" outlineLevel="1" x14ac:dyDescent="0.15"/>
    <row r="424" spans="1:43" ht="13.6" hidden="1" outlineLevel="1" thickBot="1" x14ac:dyDescent="0.2">
      <c r="A424" s="1" t="s">
        <v>1101</v>
      </c>
      <c r="B424" s="175">
        <v>2023</v>
      </c>
    </row>
    <row r="425" spans="1:43" hidden="1" outlineLevel="1" x14ac:dyDescent="0.15"/>
    <row r="426" spans="1:43" hidden="1" outlineLevel="1" x14ac:dyDescent="0.15">
      <c r="A426" s="1" t="s">
        <v>1102</v>
      </c>
    </row>
    <row r="427" spans="1:43" hidden="1" outlineLevel="1" x14ac:dyDescent="0.15">
      <c r="B427" t="s">
        <v>1103</v>
      </c>
      <c r="C427" t="s">
        <v>1104</v>
      </c>
      <c r="D427" t="s">
        <v>1105</v>
      </c>
      <c r="E427" t="s">
        <v>1106</v>
      </c>
      <c r="F427" t="s">
        <v>1107</v>
      </c>
      <c r="G427" t="s">
        <v>1108</v>
      </c>
    </row>
    <row r="428" spans="1:43" hidden="1" outlineLevel="1" x14ac:dyDescent="0.15">
      <c r="A428" t="s">
        <v>1084</v>
      </c>
      <c r="B428" s="179">
        <v>0.21978933829510275</v>
      </c>
      <c r="C428" t="e" cm="1">
        <f t="array" ref="C428">INDEX($B416:$AQ416,,MATCH($B424,$B415:$AQ415,0))/10^6</f>
        <v>#N/A</v>
      </c>
      <c r="D428" s="176" t="e">
        <f>B428*EXP(C428*$B412)</f>
        <v>#N/A</v>
      </c>
      <c r="E428" s="171" t="e">
        <f>D428/SUM($D428:$D434)</f>
        <v>#N/A</v>
      </c>
      <c r="F428" s="177">
        <f>INDEX($B403:$F409,MATCH(A428,$A403:$A409,0),MATCH($B424,$B402:$F402,0))</f>
        <v>0</v>
      </c>
      <c r="G428" s="178" t="e">
        <f>ABS(F428-E428)</f>
        <v>#N/A</v>
      </c>
    </row>
    <row r="429" spans="1:43" hidden="1" outlineLevel="1" x14ac:dyDescent="0.15">
      <c r="A429" t="s">
        <v>1086</v>
      </c>
      <c r="B429" s="179">
        <v>8.3420557334751508E-12</v>
      </c>
      <c r="C429" t="e" cm="1">
        <f t="array" ref="C429">INDEX($B417:$AQ417,,MATCH($B424,$B415:$AQ415,0))/10^6</f>
        <v>#N/A</v>
      </c>
      <c r="D429" s="176" t="e">
        <f>B429*EXP(C429*$B412)</f>
        <v>#N/A</v>
      </c>
      <c r="E429" s="171" t="e">
        <f>D429/SUM($D428:$D434)</f>
        <v>#N/A</v>
      </c>
      <c r="F429" s="177">
        <f>INDEX($B403:$F409,MATCH(A429,$A403:$A409,0),MATCH($B424,$B402:$F402,0))</f>
        <v>0</v>
      </c>
      <c r="G429" s="178" t="e">
        <f t="shared" ref="G429:G434" si="54">ABS(F429-E429)</f>
        <v>#N/A</v>
      </c>
    </row>
    <row r="430" spans="1:43" hidden="1" outlineLevel="1" x14ac:dyDescent="0.15">
      <c r="A430" t="s">
        <v>1088</v>
      </c>
      <c r="B430" s="179">
        <v>0.999999999995829</v>
      </c>
      <c r="C430" t="e" cm="1">
        <f t="array" ref="C430">INDEX($B418:$AQ418,,MATCH($B424,$B415:$AQ415,0))/10^6</f>
        <v>#N/A</v>
      </c>
      <c r="D430" s="176" t="e">
        <f>B430*EXP(C430*$B412)</f>
        <v>#N/A</v>
      </c>
      <c r="E430" s="171" t="e">
        <f>D430/SUM($D428:$D434)</f>
        <v>#N/A</v>
      </c>
      <c r="F430" s="177">
        <f>INDEX($B403:$F409,MATCH(A430,$A403:$A409,0),MATCH($B424,$B402:$F402,0))</f>
        <v>0</v>
      </c>
      <c r="G430" s="178" t="e">
        <f t="shared" si="54"/>
        <v>#N/A</v>
      </c>
    </row>
    <row r="431" spans="1:43" hidden="1" outlineLevel="1" x14ac:dyDescent="0.15">
      <c r="A431" t="s">
        <v>408</v>
      </c>
      <c r="B431" s="179">
        <v>8.3420557334751508E-12</v>
      </c>
      <c r="C431" t="e" cm="1">
        <f t="array" ref="C431">INDEX($B419:$AQ419,,MATCH($B424,$B415:$AQ415,0))/10^6</f>
        <v>#N/A</v>
      </c>
      <c r="D431" s="176" t="e">
        <f>B431*EXP(C431*$B412)</f>
        <v>#N/A</v>
      </c>
      <c r="E431" s="171" t="e">
        <f>D431/SUM($D428:$D434)</f>
        <v>#N/A</v>
      </c>
      <c r="F431" s="177">
        <f>INDEX($B403:$F409,MATCH(A431,$A403:$A409,0),MATCH($B424,$B402:$F402,0))</f>
        <v>1</v>
      </c>
      <c r="G431" s="178" t="e">
        <f t="shared" si="54"/>
        <v>#N/A</v>
      </c>
    </row>
    <row r="432" spans="1:43" hidden="1" outlineLevel="1" x14ac:dyDescent="0.15">
      <c r="A432" t="s">
        <v>1089</v>
      </c>
      <c r="B432" s="179">
        <v>4.9482988986483461E-3</v>
      </c>
      <c r="C432" t="e" cm="1">
        <f t="array" ref="C432">INDEX($B420:$AQ420,,MATCH($B424,$B415:$AQ415,0))/10^6</f>
        <v>#N/A</v>
      </c>
      <c r="D432" s="176" t="e">
        <f>B432*EXP(C432*$B412)</f>
        <v>#N/A</v>
      </c>
      <c r="E432" s="171" t="e">
        <f>D432/SUM($D428:$D434)</f>
        <v>#N/A</v>
      </c>
      <c r="F432" s="177">
        <f>INDEX($B403:$F409,MATCH(A432,$A403:$A409,0),MATCH($B424,$B402:$F402,0))</f>
        <v>0</v>
      </c>
      <c r="G432" s="178" t="e">
        <f t="shared" si="54"/>
        <v>#N/A</v>
      </c>
    </row>
    <row r="433" spans="1:7" hidden="1" outlineLevel="1" x14ac:dyDescent="0.15">
      <c r="A433" t="s">
        <v>1090</v>
      </c>
      <c r="B433" s="179">
        <v>8.3420557334751508E-12</v>
      </c>
      <c r="C433" t="e" cm="1">
        <f t="array" ref="C433">INDEX($B421:$AQ421,,MATCH($B424,$B415:$AQ415,0))/10^6</f>
        <v>#N/A</v>
      </c>
      <c r="D433" s="176" t="e">
        <f>B433*EXP(C433*$B412)</f>
        <v>#N/A</v>
      </c>
      <c r="E433" s="171" t="e">
        <f>D433/SUM($D428:$D434)</f>
        <v>#N/A</v>
      </c>
      <c r="F433" s="177">
        <f>INDEX($B403:$F409,MATCH(A433,$A403:$A409,0),MATCH($B424,$B402:$F402,0))</f>
        <v>0</v>
      </c>
      <c r="G433" s="178" t="e">
        <f t="shared" si="54"/>
        <v>#N/A</v>
      </c>
    </row>
    <row r="434" spans="1:7" hidden="1" outlineLevel="1" x14ac:dyDescent="0.15">
      <c r="A434" t="s">
        <v>1091</v>
      </c>
      <c r="B434" s="179">
        <v>0</v>
      </c>
      <c r="C434" t="e" cm="1">
        <f t="array" ref="C434">INDEX($B422:$AQ422,,MATCH($B424,$B415:$AQ415,0))/10^6</f>
        <v>#N/A</v>
      </c>
      <c r="D434" s="176" t="e">
        <f>B434*EXP(C434*$B412)</f>
        <v>#N/A</v>
      </c>
      <c r="E434" s="171" t="e">
        <f>D434/SUM($D428:$D434)</f>
        <v>#N/A</v>
      </c>
      <c r="F434" s="177">
        <f>INDEX($B403:$F409,MATCH(A434,$A403:$A409,0),MATCH($B424,$B402:$F402,0))</f>
        <v>0</v>
      </c>
      <c r="G434" s="178" t="e">
        <f t="shared" si="54"/>
        <v>#N/A</v>
      </c>
    </row>
    <row r="435" spans="1:7" hidden="1" outlineLevel="1" x14ac:dyDescent="0.15">
      <c r="G435" s="178"/>
    </row>
    <row r="436" spans="1:7" hidden="1" outlineLevel="1" x14ac:dyDescent="0.15">
      <c r="F436" s="1" t="s">
        <v>1109</v>
      </c>
      <c r="G436" s="179" t="e">
        <f>SUM(G428:G434)</f>
        <v>#N/A</v>
      </c>
    </row>
    <row r="437" spans="1:7" hidden="1" outlineLevel="1" x14ac:dyDescent="0.15"/>
    <row r="438" spans="1:7" hidden="1" outlineLevel="1" x14ac:dyDescent="0.15">
      <c r="A438" s="1" t="s">
        <v>1110</v>
      </c>
      <c r="B438">
        <v>2019</v>
      </c>
      <c r="C438">
        <v>2020</v>
      </c>
      <c r="D438">
        <v>2021</v>
      </c>
      <c r="E438">
        <v>2022</v>
      </c>
      <c r="F438">
        <v>2023</v>
      </c>
    </row>
    <row r="439" spans="1:7" hidden="1" outlineLevel="1" x14ac:dyDescent="0.15">
      <c r="A439" t="s">
        <v>1084</v>
      </c>
      <c r="B439" s="179">
        <v>0</v>
      </c>
      <c r="C439" s="179">
        <v>0</v>
      </c>
      <c r="D439" s="179">
        <v>0</v>
      </c>
      <c r="E439" s="179">
        <v>0</v>
      </c>
      <c r="F439" s="179">
        <v>0</v>
      </c>
    </row>
    <row r="440" spans="1:7" hidden="1" outlineLevel="1" x14ac:dyDescent="0.15">
      <c r="A440" t="s">
        <v>1086</v>
      </c>
      <c r="B440" s="179">
        <v>0</v>
      </c>
      <c r="C440" s="179">
        <v>0</v>
      </c>
      <c r="D440" s="179">
        <v>0</v>
      </c>
      <c r="E440" s="179">
        <v>0</v>
      </c>
      <c r="F440" s="179">
        <v>0</v>
      </c>
    </row>
    <row r="441" spans="1:7" hidden="1" outlineLevel="1" x14ac:dyDescent="0.15">
      <c r="A441" t="s">
        <v>1088</v>
      </c>
      <c r="B441" s="179">
        <v>0</v>
      </c>
      <c r="C441" s="179">
        <v>0</v>
      </c>
      <c r="D441" s="179">
        <v>0</v>
      </c>
      <c r="E441" s="179">
        <v>0</v>
      </c>
      <c r="F441" s="179">
        <v>0</v>
      </c>
    </row>
    <row r="442" spans="1:7" hidden="1" outlineLevel="1" x14ac:dyDescent="0.15">
      <c r="A442" t="s">
        <v>408</v>
      </c>
      <c r="B442" s="179">
        <v>1</v>
      </c>
      <c r="C442" s="179">
        <v>1</v>
      </c>
      <c r="D442" s="179">
        <v>1</v>
      </c>
      <c r="E442" s="179">
        <v>1</v>
      </c>
      <c r="F442" s="179">
        <v>1</v>
      </c>
    </row>
    <row r="443" spans="1:7" hidden="1" outlineLevel="1" x14ac:dyDescent="0.15">
      <c r="A443" t="s">
        <v>1089</v>
      </c>
      <c r="B443" s="179">
        <v>0</v>
      </c>
      <c r="C443" s="179">
        <v>0</v>
      </c>
      <c r="D443" s="179">
        <v>0</v>
      </c>
      <c r="E443" s="179">
        <v>0</v>
      </c>
      <c r="F443" s="179">
        <v>0</v>
      </c>
    </row>
    <row r="444" spans="1:7" hidden="1" outlineLevel="1" x14ac:dyDescent="0.15">
      <c r="A444" t="s">
        <v>1090</v>
      </c>
      <c r="B444" s="179">
        <v>0</v>
      </c>
      <c r="C444" s="179">
        <v>0</v>
      </c>
      <c r="D444" s="179">
        <v>0</v>
      </c>
      <c r="E444" s="179">
        <v>0</v>
      </c>
      <c r="F444" s="179">
        <v>0</v>
      </c>
    </row>
    <row r="445" spans="1:7" hidden="1" outlineLevel="1" x14ac:dyDescent="0.15">
      <c r="A445" t="s">
        <v>1091</v>
      </c>
      <c r="B445" s="179">
        <v>0</v>
      </c>
      <c r="C445" s="179">
        <v>0</v>
      </c>
      <c r="D445" s="179">
        <v>0</v>
      </c>
      <c r="E445" s="179">
        <v>0</v>
      </c>
      <c r="F445" s="179">
        <v>0</v>
      </c>
    </row>
    <row r="446" spans="1:7" collapsed="1" x14ac:dyDescent="0.15"/>
    <row r="447" spans="1:7" s="170" customFormat="1" x14ac:dyDescent="0.15">
      <c r="A447" s="169" t="s">
        <v>1191</v>
      </c>
    </row>
    <row r="448" spans="1:7" hidden="1" outlineLevel="1" x14ac:dyDescent="0.15">
      <c r="A448" s="1"/>
    </row>
    <row r="449" spans="1:43" hidden="1" outlineLevel="1" x14ac:dyDescent="0.15">
      <c r="A449" s="1" t="s">
        <v>1082</v>
      </c>
      <c r="B449" s="1">
        <v>2019</v>
      </c>
      <c r="C449" s="1">
        <v>2020</v>
      </c>
      <c r="D449" s="1">
        <v>2021</v>
      </c>
      <c r="E449" s="1">
        <v>2022</v>
      </c>
      <c r="F449" s="1">
        <v>2023</v>
      </c>
      <c r="G449" s="1">
        <v>2024</v>
      </c>
    </row>
    <row r="450" spans="1:43" hidden="1" outlineLevel="1" x14ac:dyDescent="0.15">
      <c r="A450" t="s">
        <v>1084</v>
      </c>
      <c r="B450" s="172">
        <v>0</v>
      </c>
      <c r="C450" s="172">
        <v>0</v>
      </c>
      <c r="D450" s="172">
        <v>0</v>
      </c>
      <c r="E450" s="172">
        <v>0</v>
      </c>
      <c r="F450" s="172">
        <v>0</v>
      </c>
      <c r="G450" s="171"/>
    </row>
    <row r="451" spans="1:43" hidden="1" outlineLevel="1" x14ac:dyDescent="0.15">
      <c r="A451" t="s">
        <v>1086</v>
      </c>
      <c r="B451" s="172">
        <v>0</v>
      </c>
      <c r="C451" s="172">
        <v>0</v>
      </c>
      <c r="D451" s="172">
        <v>0</v>
      </c>
      <c r="E451" s="172">
        <v>0</v>
      </c>
      <c r="F451" s="172">
        <v>0</v>
      </c>
      <c r="G451" s="171"/>
    </row>
    <row r="452" spans="1:43" hidden="1" outlineLevel="1" x14ac:dyDescent="0.15">
      <c r="A452" t="s">
        <v>1088</v>
      </c>
      <c r="B452" s="172">
        <v>0</v>
      </c>
      <c r="C452" s="172">
        <v>0</v>
      </c>
      <c r="D452" s="172">
        <v>0</v>
      </c>
      <c r="E452" s="172">
        <v>0</v>
      </c>
      <c r="F452" s="172">
        <v>0</v>
      </c>
      <c r="G452" s="171"/>
    </row>
    <row r="453" spans="1:43" hidden="1" outlineLevel="1" x14ac:dyDescent="0.15">
      <c r="A453" t="s">
        <v>408</v>
      </c>
      <c r="B453" s="182">
        <v>1</v>
      </c>
      <c r="C453" s="182">
        <v>1</v>
      </c>
      <c r="D453" s="182">
        <v>1</v>
      </c>
      <c r="E453" s="182">
        <v>1</v>
      </c>
      <c r="F453" s="182">
        <v>1</v>
      </c>
      <c r="G453" s="171"/>
    </row>
    <row r="454" spans="1:43" hidden="1" outlineLevel="1" x14ac:dyDescent="0.15">
      <c r="A454" t="s">
        <v>1089</v>
      </c>
      <c r="B454" s="172">
        <v>0</v>
      </c>
      <c r="C454" s="172">
        <v>0</v>
      </c>
      <c r="D454" s="172">
        <v>0</v>
      </c>
      <c r="E454" s="172">
        <v>0</v>
      </c>
      <c r="F454" s="172">
        <v>0</v>
      </c>
      <c r="G454" s="171"/>
    </row>
    <row r="455" spans="1:43" hidden="1" outlineLevel="1" x14ac:dyDescent="0.15">
      <c r="A455" t="s">
        <v>1090</v>
      </c>
      <c r="B455" s="172">
        <v>0</v>
      </c>
      <c r="C455" s="172">
        <v>0</v>
      </c>
      <c r="D455" s="172">
        <v>0</v>
      </c>
      <c r="E455" s="172">
        <v>0</v>
      </c>
      <c r="F455" s="172">
        <v>0</v>
      </c>
      <c r="G455" s="171"/>
    </row>
    <row r="456" spans="1:43" hidden="1" outlineLevel="1" x14ac:dyDescent="0.15">
      <c r="A456" t="s">
        <v>1091</v>
      </c>
      <c r="B456" s="172">
        <v>0</v>
      </c>
      <c r="C456" s="172">
        <v>0</v>
      </c>
      <c r="D456" s="172">
        <v>0</v>
      </c>
      <c r="E456" s="172">
        <v>0</v>
      </c>
      <c r="F456" s="172">
        <v>0</v>
      </c>
      <c r="G456" s="171"/>
    </row>
    <row r="457" spans="1:43" hidden="1" outlineLevel="1" x14ac:dyDescent="0.15">
      <c r="A457" s="173" t="s">
        <v>1092</v>
      </c>
      <c r="B457" s="174">
        <f>SUM(B450:B456)</f>
        <v>1</v>
      </c>
      <c r="C457" s="174">
        <f t="shared" ref="C457:F457" si="55">SUM(C450:C456)</f>
        <v>1</v>
      </c>
      <c r="D457" s="174">
        <f t="shared" si="55"/>
        <v>1</v>
      </c>
      <c r="E457" s="174">
        <f t="shared" si="55"/>
        <v>1</v>
      </c>
      <c r="F457" s="174">
        <f t="shared" si="55"/>
        <v>1</v>
      </c>
      <c r="G457" s="173"/>
    </row>
    <row r="458" spans="1:43" hidden="1" outlineLevel="1" x14ac:dyDescent="0.15"/>
    <row r="459" spans="1:43" hidden="1" outlineLevel="1" x14ac:dyDescent="0.15">
      <c r="A459" s="1" t="s">
        <v>1093</v>
      </c>
      <c r="B459">
        <f>INDEX($B$11:$AQ$22,MATCH("*"&amp;A447&amp;"*",$A$11:$A$22,0),MATCH(B449,$B$10:$AQ$10,0))</f>
        <v>-3</v>
      </c>
    </row>
    <row r="460" spans="1:43" hidden="1" outlineLevel="1" x14ac:dyDescent="0.15"/>
    <row r="461" spans="1:43" hidden="1" outlineLevel="1" x14ac:dyDescent="0.15">
      <c r="A461" s="1" t="s">
        <v>1094</v>
      </c>
    </row>
    <row r="462" spans="1:43" hidden="1" outlineLevel="1" x14ac:dyDescent="0.15">
      <c r="A462" t="s">
        <v>1068</v>
      </c>
      <c r="B462">
        <v>2019</v>
      </c>
      <c r="C462">
        <v>2020</v>
      </c>
      <c r="D462">
        <v>2021</v>
      </c>
      <c r="E462">
        <v>2022</v>
      </c>
      <c r="F462">
        <v>2023</v>
      </c>
      <c r="G462">
        <v>2024</v>
      </c>
      <c r="H462">
        <v>2025</v>
      </c>
      <c r="I462">
        <v>2026</v>
      </c>
      <c r="J462">
        <v>2027</v>
      </c>
      <c r="K462">
        <v>2028</v>
      </c>
      <c r="L462">
        <v>2029</v>
      </c>
      <c r="M462">
        <v>2030</v>
      </c>
      <c r="N462">
        <v>2031</v>
      </c>
      <c r="O462">
        <v>2032</v>
      </c>
      <c r="P462">
        <v>2033</v>
      </c>
      <c r="Q462">
        <v>2034</v>
      </c>
      <c r="R462">
        <v>2035</v>
      </c>
      <c r="S462">
        <v>2036</v>
      </c>
      <c r="T462">
        <v>2037</v>
      </c>
      <c r="U462">
        <v>2038</v>
      </c>
      <c r="V462">
        <v>2039</v>
      </c>
      <c r="W462">
        <v>2040</v>
      </c>
      <c r="X462">
        <v>2041</v>
      </c>
      <c r="Y462">
        <v>2042</v>
      </c>
      <c r="Z462">
        <v>2043</v>
      </c>
      <c r="AA462">
        <v>2044</v>
      </c>
      <c r="AB462">
        <v>2045</v>
      </c>
      <c r="AC462">
        <v>2046</v>
      </c>
      <c r="AD462">
        <v>2047</v>
      </c>
      <c r="AE462">
        <v>2048</v>
      </c>
      <c r="AF462">
        <v>2049</v>
      </c>
      <c r="AG462">
        <v>2050</v>
      </c>
      <c r="AH462">
        <v>2051</v>
      </c>
      <c r="AI462">
        <v>2052</v>
      </c>
      <c r="AJ462">
        <v>2053</v>
      </c>
      <c r="AK462">
        <v>2054</v>
      </c>
      <c r="AL462">
        <v>2055</v>
      </c>
      <c r="AM462">
        <v>2056</v>
      </c>
      <c r="AN462">
        <v>2057</v>
      </c>
      <c r="AO462">
        <v>2058</v>
      </c>
      <c r="AP462">
        <v>2059</v>
      </c>
      <c r="AQ462">
        <v>2060</v>
      </c>
    </row>
    <row r="463" spans="1:43" hidden="1" outlineLevel="1" x14ac:dyDescent="0.15">
      <c r="A463" t="s">
        <v>1192</v>
      </c>
      <c r="B463" t="e">
        <f>INDEX(TCO!$B$2:$AQ$85,MATCH('Historical Shareweights'!$A463,TCO!$A$2:$A$85,0),MATCH('Historical Shareweights'!B462,TCO!$B$1:$AQ$1,0))</f>
        <v>#N/A</v>
      </c>
      <c r="C463" t="e">
        <f>INDEX(TCO!$B$2:$AQ$85,MATCH('Historical Shareweights'!$A463,TCO!$A$2:$A$85,0),MATCH('Historical Shareweights'!C462,TCO!$B$1:$AQ$1,0))</f>
        <v>#N/A</v>
      </c>
      <c r="D463" t="e">
        <f>INDEX(TCO!$B$2:$AQ$85,MATCH('Historical Shareweights'!$A463,TCO!$A$2:$A$85,0),MATCH('Historical Shareweights'!D462,TCO!$B$1:$AQ$1,0))</f>
        <v>#N/A</v>
      </c>
      <c r="E463" t="e">
        <f>INDEX(TCO!$B$2:$AQ$85,MATCH('Historical Shareweights'!$A463,TCO!$A$2:$A$85,0),MATCH('Historical Shareweights'!E462,TCO!$B$1:$AQ$1,0))</f>
        <v>#N/A</v>
      </c>
      <c r="F463" t="e">
        <f>INDEX(TCO!$B$2:$AQ$85,MATCH('Historical Shareweights'!$A463,TCO!$A$2:$A$85,0),MATCH('Historical Shareweights'!F462,TCO!$B$1:$AQ$1,0))</f>
        <v>#N/A</v>
      </c>
      <c r="G463" t="e">
        <f>INDEX(TCO!$B$2:$AQ$85,MATCH('Historical Shareweights'!$A463,TCO!$A$2:$A$85,0),MATCH('Historical Shareweights'!G462,TCO!$B$1:$AQ$1,0))</f>
        <v>#N/A</v>
      </c>
      <c r="H463" t="e">
        <f>INDEX(TCO!$B$2:$AQ$85,MATCH('Historical Shareweights'!$A463,TCO!$A$2:$A$85,0),MATCH('Historical Shareweights'!H462,TCO!$B$1:$AQ$1,0))</f>
        <v>#N/A</v>
      </c>
      <c r="I463" t="e">
        <f>INDEX(TCO!$B$2:$AQ$85,MATCH('Historical Shareweights'!$A463,TCO!$A$2:$A$85,0),MATCH('Historical Shareweights'!I462,TCO!$B$1:$AQ$1,0))</f>
        <v>#N/A</v>
      </c>
      <c r="J463" t="e">
        <f>INDEX(TCO!$B$2:$AQ$85,MATCH('Historical Shareweights'!$A463,TCO!$A$2:$A$85,0),MATCH('Historical Shareweights'!J462,TCO!$B$1:$AQ$1,0))</f>
        <v>#N/A</v>
      </c>
      <c r="K463" t="e">
        <f>INDEX(TCO!$B$2:$AQ$85,MATCH('Historical Shareweights'!$A463,TCO!$A$2:$A$85,0),MATCH('Historical Shareweights'!K462,TCO!$B$1:$AQ$1,0))</f>
        <v>#N/A</v>
      </c>
      <c r="L463" t="e">
        <f>INDEX(TCO!$B$2:$AQ$85,MATCH('Historical Shareweights'!$A463,TCO!$A$2:$A$85,0),MATCH('Historical Shareweights'!L462,TCO!$B$1:$AQ$1,0))</f>
        <v>#N/A</v>
      </c>
      <c r="M463" t="e">
        <f>INDEX(TCO!$B$2:$AQ$85,MATCH('Historical Shareweights'!$A463,TCO!$A$2:$A$85,0),MATCH('Historical Shareweights'!M462,TCO!$B$1:$AQ$1,0))</f>
        <v>#N/A</v>
      </c>
      <c r="N463" t="e">
        <f>INDEX(TCO!$B$2:$AQ$85,MATCH('Historical Shareweights'!$A463,TCO!$A$2:$A$85,0),MATCH('Historical Shareweights'!N462,TCO!$B$1:$AQ$1,0))</f>
        <v>#N/A</v>
      </c>
      <c r="O463" t="e">
        <f>INDEX(TCO!$B$2:$AQ$85,MATCH('Historical Shareweights'!$A463,TCO!$A$2:$A$85,0),MATCH('Historical Shareweights'!O462,TCO!$B$1:$AQ$1,0))</f>
        <v>#N/A</v>
      </c>
      <c r="P463" t="e">
        <f>INDEX(TCO!$B$2:$AQ$85,MATCH('Historical Shareweights'!$A463,TCO!$A$2:$A$85,0),MATCH('Historical Shareweights'!P462,TCO!$B$1:$AQ$1,0))</f>
        <v>#N/A</v>
      </c>
      <c r="Q463" t="e">
        <f>INDEX(TCO!$B$2:$AQ$85,MATCH('Historical Shareweights'!$A463,TCO!$A$2:$A$85,0),MATCH('Historical Shareweights'!Q462,TCO!$B$1:$AQ$1,0))</f>
        <v>#N/A</v>
      </c>
      <c r="R463" t="e">
        <f>INDEX(TCO!$B$2:$AQ$85,MATCH('Historical Shareweights'!$A463,TCO!$A$2:$A$85,0),MATCH('Historical Shareweights'!R462,TCO!$B$1:$AQ$1,0))</f>
        <v>#N/A</v>
      </c>
      <c r="S463" t="e">
        <f>INDEX(TCO!$B$2:$AQ$85,MATCH('Historical Shareweights'!$A463,TCO!$A$2:$A$85,0),MATCH('Historical Shareweights'!S462,TCO!$B$1:$AQ$1,0))</f>
        <v>#N/A</v>
      </c>
      <c r="T463" t="e">
        <f>INDEX(TCO!$B$2:$AQ$85,MATCH('Historical Shareweights'!$A463,TCO!$A$2:$A$85,0),MATCH('Historical Shareweights'!T462,TCO!$B$1:$AQ$1,0))</f>
        <v>#N/A</v>
      </c>
      <c r="U463" t="e">
        <f>INDEX(TCO!$B$2:$AQ$85,MATCH('Historical Shareweights'!$A463,TCO!$A$2:$A$85,0),MATCH('Historical Shareweights'!U462,TCO!$B$1:$AQ$1,0))</f>
        <v>#N/A</v>
      </c>
      <c r="V463" t="e">
        <f>INDEX(TCO!$B$2:$AQ$85,MATCH('Historical Shareweights'!$A463,TCO!$A$2:$A$85,0),MATCH('Historical Shareweights'!V462,TCO!$B$1:$AQ$1,0))</f>
        <v>#N/A</v>
      </c>
      <c r="W463" t="e">
        <f>INDEX(TCO!$B$2:$AQ$85,MATCH('Historical Shareweights'!$A463,TCO!$A$2:$A$85,0),MATCH('Historical Shareweights'!W462,TCO!$B$1:$AQ$1,0))</f>
        <v>#N/A</v>
      </c>
      <c r="X463" t="e">
        <f>INDEX(TCO!$B$2:$AQ$85,MATCH('Historical Shareweights'!$A463,TCO!$A$2:$A$85,0),MATCH('Historical Shareweights'!X462,TCO!$B$1:$AQ$1,0))</f>
        <v>#N/A</v>
      </c>
      <c r="Y463" t="e">
        <f>INDEX(TCO!$B$2:$AQ$85,MATCH('Historical Shareweights'!$A463,TCO!$A$2:$A$85,0),MATCH('Historical Shareweights'!Y462,TCO!$B$1:$AQ$1,0))</f>
        <v>#N/A</v>
      </c>
      <c r="Z463" t="e">
        <f>INDEX(TCO!$B$2:$AQ$85,MATCH('Historical Shareweights'!$A463,TCO!$A$2:$A$85,0),MATCH('Historical Shareweights'!Z462,TCO!$B$1:$AQ$1,0))</f>
        <v>#N/A</v>
      </c>
      <c r="AA463" t="e">
        <f>INDEX(TCO!$B$2:$AQ$85,MATCH('Historical Shareweights'!$A463,TCO!$A$2:$A$85,0),MATCH('Historical Shareweights'!AA462,TCO!$B$1:$AQ$1,0))</f>
        <v>#N/A</v>
      </c>
      <c r="AB463" t="e">
        <f>INDEX(TCO!$B$2:$AQ$85,MATCH('Historical Shareweights'!$A463,TCO!$A$2:$A$85,0),MATCH('Historical Shareweights'!AB462,TCO!$B$1:$AQ$1,0))</f>
        <v>#N/A</v>
      </c>
      <c r="AC463" t="e">
        <f>INDEX(TCO!$B$2:$AQ$85,MATCH('Historical Shareweights'!$A463,TCO!$A$2:$A$85,0),MATCH('Historical Shareweights'!AC462,TCO!$B$1:$AQ$1,0))</f>
        <v>#N/A</v>
      </c>
      <c r="AD463" t="e">
        <f>INDEX(TCO!$B$2:$AQ$85,MATCH('Historical Shareweights'!$A463,TCO!$A$2:$A$85,0),MATCH('Historical Shareweights'!AD462,TCO!$B$1:$AQ$1,0))</f>
        <v>#N/A</v>
      </c>
      <c r="AE463" t="e">
        <f>INDEX(TCO!$B$2:$AQ$85,MATCH('Historical Shareweights'!$A463,TCO!$A$2:$A$85,0),MATCH('Historical Shareweights'!AE462,TCO!$B$1:$AQ$1,0))</f>
        <v>#N/A</v>
      </c>
      <c r="AF463" t="e">
        <f>INDEX(TCO!$B$2:$AQ$85,MATCH('Historical Shareweights'!$A463,TCO!$A$2:$A$85,0),MATCH('Historical Shareweights'!AF462,TCO!$B$1:$AQ$1,0))</f>
        <v>#N/A</v>
      </c>
      <c r="AG463" t="e">
        <f>INDEX(TCO!$B$2:$AQ$85,MATCH('Historical Shareweights'!$A463,TCO!$A$2:$A$85,0),MATCH('Historical Shareweights'!AG462,TCO!$B$1:$AQ$1,0))</f>
        <v>#N/A</v>
      </c>
      <c r="AH463" t="e">
        <f>INDEX(TCO!$B$2:$AQ$85,MATCH('Historical Shareweights'!$A463,TCO!$A$2:$A$85,0),MATCH('Historical Shareweights'!AH462,TCO!$B$1:$AQ$1,0))</f>
        <v>#N/A</v>
      </c>
      <c r="AI463" t="e">
        <f>INDEX(TCO!$B$2:$AQ$85,MATCH('Historical Shareweights'!$A463,TCO!$A$2:$A$85,0),MATCH('Historical Shareweights'!AI462,TCO!$B$1:$AQ$1,0))</f>
        <v>#N/A</v>
      </c>
      <c r="AJ463" t="e">
        <f>INDEX(TCO!$B$2:$AQ$85,MATCH('Historical Shareweights'!$A463,TCO!$A$2:$A$85,0),MATCH('Historical Shareweights'!AJ462,TCO!$B$1:$AQ$1,0))</f>
        <v>#N/A</v>
      </c>
      <c r="AK463" t="e">
        <f>INDEX(TCO!$B$2:$AQ$85,MATCH('Historical Shareweights'!$A463,TCO!$A$2:$A$85,0),MATCH('Historical Shareweights'!AK462,TCO!$B$1:$AQ$1,0))</f>
        <v>#N/A</v>
      </c>
      <c r="AL463" t="e">
        <f>INDEX(TCO!$B$2:$AQ$85,MATCH('Historical Shareweights'!$A463,TCO!$A$2:$A$85,0),MATCH('Historical Shareweights'!AL462,TCO!$B$1:$AQ$1,0))</f>
        <v>#N/A</v>
      </c>
      <c r="AM463" t="e">
        <f>INDEX(TCO!$B$2:$AQ$85,MATCH('Historical Shareweights'!$A463,TCO!$A$2:$A$85,0),MATCH('Historical Shareweights'!AM462,TCO!$B$1:$AQ$1,0))</f>
        <v>#N/A</v>
      </c>
      <c r="AN463" t="e">
        <f>INDEX(TCO!$B$2:$AQ$85,MATCH('Historical Shareweights'!$A463,TCO!$A$2:$A$85,0),MATCH('Historical Shareweights'!AN462,TCO!$B$1:$AQ$1,0))</f>
        <v>#N/A</v>
      </c>
      <c r="AO463" t="e">
        <f>INDEX(TCO!$B$2:$AQ$85,MATCH('Historical Shareweights'!$A463,TCO!$A$2:$A$85,0),MATCH('Historical Shareweights'!AO462,TCO!$B$1:$AQ$1,0))</f>
        <v>#N/A</v>
      </c>
      <c r="AP463" t="e">
        <f>INDEX(TCO!$B$2:$AQ$85,MATCH('Historical Shareweights'!$A463,TCO!$A$2:$A$85,0),MATCH('Historical Shareweights'!AP462,TCO!$B$1:$AQ$1,0))</f>
        <v>#N/A</v>
      </c>
      <c r="AQ463" t="e">
        <f>INDEX(TCO!$B$2:$AQ$85,MATCH('Historical Shareweights'!$A463,TCO!$A$2:$A$85,0),MATCH('Historical Shareweights'!AQ462,TCO!$B$1:$AQ$1,0))</f>
        <v>#N/A</v>
      </c>
    </row>
    <row r="464" spans="1:43" hidden="1" outlineLevel="1" x14ac:dyDescent="0.15">
      <c r="A464" t="s">
        <v>1193</v>
      </c>
      <c r="B464" t="e">
        <f>INDEX(TCO!$B$2:$AQ$85,MATCH('Historical Shareweights'!$A464,TCO!$A$2:$A$85,0),MATCH('Historical Shareweights'!B462,TCO!$B$1:$AQ$1,0))</f>
        <v>#N/A</v>
      </c>
      <c r="C464" t="e">
        <f>INDEX(TCO!$B$2:$AQ$85,MATCH('Historical Shareweights'!$A464,TCO!$A$2:$A$85,0),MATCH('Historical Shareweights'!C462,TCO!$B$1:$AQ$1,0))</f>
        <v>#N/A</v>
      </c>
      <c r="D464" t="e">
        <f>INDEX(TCO!$B$2:$AQ$85,MATCH('Historical Shareweights'!$A464,TCO!$A$2:$A$85,0),MATCH('Historical Shareweights'!D462,TCO!$B$1:$AQ$1,0))</f>
        <v>#N/A</v>
      </c>
      <c r="E464" t="e">
        <f>INDEX(TCO!$B$2:$AQ$85,MATCH('Historical Shareweights'!$A464,TCO!$A$2:$A$85,0),MATCH('Historical Shareweights'!E462,TCO!$B$1:$AQ$1,0))</f>
        <v>#N/A</v>
      </c>
      <c r="F464" t="e">
        <f>INDEX(TCO!$B$2:$AQ$85,MATCH('Historical Shareweights'!$A464,TCO!$A$2:$A$85,0),MATCH('Historical Shareweights'!F462,TCO!$B$1:$AQ$1,0))</f>
        <v>#N/A</v>
      </c>
      <c r="G464" t="e">
        <f>INDEX(TCO!$B$2:$AQ$85,MATCH('Historical Shareweights'!$A464,TCO!$A$2:$A$85,0),MATCH('Historical Shareweights'!G462,TCO!$B$1:$AQ$1,0))</f>
        <v>#N/A</v>
      </c>
      <c r="H464" t="e">
        <f>INDEX(TCO!$B$2:$AQ$85,MATCH('Historical Shareweights'!$A464,TCO!$A$2:$A$85,0),MATCH('Historical Shareweights'!H462,TCO!$B$1:$AQ$1,0))</f>
        <v>#N/A</v>
      </c>
      <c r="I464" t="e">
        <f>INDEX(TCO!$B$2:$AQ$85,MATCH('Historical Shareweights'!$A464,TCO!$A$2:$A$85,0),MATCH('Historical Shareweights'!I462,TCO!$B$1:$AQ$1,0))</f>
        <v>#N/A</v>
      </c>
      <c r="J464" t="e">
        <f>INDEX(TCO!$B$2:$AQ$85,MATCH('Historical Shareweights'!$A464,TCO!$A$2:$A$85,0),MATCH('Historical Shareweights'!J462,TCO!$B$1:$AQ$1,0))</f>
        <v>#N/A</v>
      </c>
      <c r="K464" t="e">
        <f>INDEX(TCO!$B$2:$AQ$85,MATCH('Historical Shareweights'!$A464,TCO!$A$2:$A$85,0),MATCH('Historical Shareweights'!K462,TCO!$B$1:$AQ$1,0))</f>
        <v>#N/A</v>
      </c>
      <c r="L464" t="e">
        <f>INDEX(TCO!$B$2:$AQ$85,MATCH('Historical Shareweights'!$A464,TCO!$A$2:$A$85,0),MATCH('Historical Shareweights'!L462,TCO!$B$1:$AQ$1,0))</f>
        <v>#N/A</v>
      </c>
      <c r="M464" t="e">
        <f>INDEX(TCO!$B$2:$AQ$85,MATCH('Historical Shareweights'!$A464,TCO!$A$2:$A$85,0),MATCH('Historical Shareweights'!M462,TCO!$B$1:$AQ$1,0))</f>
        <v>#N/A</v>
      </c>
      <c r="N464" t="e">
        <f>INDEX(TCO!$B$2:$AQ$85,MATCH('Historical Shareweights'!$A464,TCO!$A$2:$A$85,0),MATCH('Historical Shareweights'!N462,TCO!$B$1:$AQ$1,0))</f>
        <v>#N/A</v>
      </c>
      <c r="O464" t="e">
        <f>INDEX(TCO!$B$2:$AQ$85,MATCH('Historical Shareweights'!$A464,TCO!$A$2:$A$85,0),MATCH('Historical Shareweights'!O462,TCO!$B$1:$AQ$1,0))</f>
        <v>#N/A</v>
      </c>
      <c r="P464" t="e">
        <f>INDEX(TCO!$B$2:$AQ$85,MATCH('Historical Shareweights'!$A464,TCO!$A$2:$A$85,0),MATCH('Historical Shareweights'!P462,TCO!$B$1:$AQ$1,0))</f>
        <v>#N/A</v>
      </c>
      <c r="Q464" t="e">
        <f>INDEX(TCO!$B$2:$AQ$85,MATCH('Historical Shareweights'!$A464,TCO!$A$2:$A$85,0),MATCH('Historical Shareweights'!Q462,TCO!$B$1:$AQ$1,0))</f>
        <v>#N/A</v>
      </c>
      <c r="R464" t="e">
        <f>INDEX(TCO!$B$2:$AQ$85,MATCH('Historical Shareweights'!$A464,TCO!$A$2:$A$85,0),MATCH('Historical Shareweights'!R462,TCO!$B$1:$AQ$1,0))</f>
        <v>#N/A</v>
      </c>
      <c r="S464" t="e">
        <f>INDEX(TCO!$B$2:$AQ$85,MATCH('Historical Shareweights'!$A464,TCO!$A$2:$A$85,0),MATCH('Historical Shareweights'!S462,TCO!$B$1:$AQ$1,0))</f>
        <v>#N/A</v>
      </c>
      <c r="T464" t="e">
        <f>INDEX(TCO!$B$2:$AQ$85,MATCH('Historical Shareweights'!$A464,TCO!$A$2:$A$85,0),MATCH('Historical Shareweights'!T462,TCO!$B$1:$AQ$1,0))</f>
        <v>#N/A</v>
      </c>
      <c r="U464" t="e">
        <f>INDEX(TCO!$B$2:$AQ$85,MATCH('Historical Shareweights'!$A464,TCO!$A$2:$A$85,0),MATCH('Historical Shareweights'!U462,TCO!$B$1:$AQ$1,0))</f>
        <v>#N/A</v>
      </c>
      <c r="V464" t="e">
        <f>INDEX(TCO!$B$2:$AQ$85,MATCH('Historical Shareweights'!$A464,TCO!$A$2:$A$85,0),MATCH('Historical Shareweights'!V462,TCO!$B$1:$AQ$1,0))</f>
        <v>#N/A</v>
      </c>
      <c r="W464" t="e">
        <f>INDEX(TCO!$B$2:$AQ$85,MATCH('Historical Shareweights'!$A464,TCO!$A$2:$A$85,0),MATCH('Historical Shareweights'!W462,TCO!$B$1:$AQ$1,0))</f>
        <v>#N/A</v>
      </c>
      <c r="X464" t="e">
        <f>INDEX(TCO!$B$2:$AQ$85,MATCH('Historical Shareweights'!$A464,TCO!$A$2:$A$85,0),MATCH('Historical Shareweights'!X462,TCO!$B$1:$AQ$1,0))</f>
        <v>#N/A</v>
      </c>
      <c r="Y464" t="e">
        <f>INDEX(TCO!$B$2:$AQ$85,MATCH('Historical Shareweights'!$A464,TCO!$A$2:$A$85,0),MATCH('Historical Shareweights'!Y462,TCO!$B$1:$AQ$1,0))</f>
        <v>#N/A</v>
      </c>
      <c r="Z464" t="e">
        <f>INDEX(TCO!$B$2:$AQ$85,MATCH('Historical Shareweights'!$A464,TCO!$A$2:$A$85,0),MATCH('Historical Shareweights'!Z462,TCO!$B$1:$AQ$1,0))</f>
        <v>#N/A</v>
      </c>
      <c r="AA464" t="e">
        <f>INDEX(TCO!$B$2:$AQ$85,MATCH('Historical Shareweights'!$A464,TCO!$A$2:$A$85,0),MATCH('Historical Shareweights'!AA462,TCO!$B$1:$AQ$1,0))</f>
        <v>#N/A</v>
      </c>
      <c r="AB464" t="e">
        <f>INDEX(TCO!$B$2:$AQ$85,MATCH('Historical Shareweights'!$A464,TCO!$A$2:$A$85,0),MATCH('Historical Shareweights'!AB462,TCO!$B$1:$AQ$1,0))</f>
        <v>#N/A</v>
      </c>
      <c r="AC464" t="e">
        <f>INDEX(TCO!$B$2:$AQ$85,MATCH('Historical Shareweights'!$A464,TCO!$A$2:$A$85,0),MATCH('Historical Shareweights'!AC462,TCO!$B$1:$AQ$1,0))</f>
        <v>#N/A</v>
      </c>
      <c r="AD464" t="e">
        <f>INDEX(TCO!$B$2:$AQ$85,MATCH('Historical Shareweights'!$A464,TCO!$A$2:$A$85,0),MATCH('Historical Shareweights'!AD462,TCO!$B$1:$AQ$1,0))</f>
        <v>#N/A</v>
      </c>
      <c r="AE464" t="e">
        <f>INDEX(TCO!$B$2:$AQ$85,MATCH('Historical Shareweights'!$A464,TCO!$A$2:$A$85,0),MATCH('Historical Shareweights'!AE462,TCO!$B$1:$AQ$1,0))</f>
        <v>#N/A</v>
      </c>
      <c r="AF464" t="e">
        <f>INDEX(TCO!$B$2:$AQ$85,MATCH('Historical Shareweights'!$A464,TCO!$A$2:$A$85,0),MATCH('Historical Shareweights'!AF462,TCO!$B$1:$AQ$1,0))</f>
        <v>#N/A</v>
      </c>
      <c r="AG464" t="e">
        <f>INDEX(TCO!$B$2:$AQ$85,MATCH('Historical Shareweights'!$A464,TCO!$A$2:$A$85,0),MATCH('Historical Shareweights'!AG462,TCO!$B$1:$AQ$1,0))</f>
        <v>#N/A</v>
      </c>
      <c r="AH464" t="e">
        <f>INDEX(TCO!$B$2:$AQ$85,MATCH('Historical Shareweights'!$A464,TCO!$A$2:$A$85,0),MATCH('Historical Shareweights'!AH462,TCO!$B$1:$AQ$1,0))</f>
        <v>#N/A</v>
      </c>
      <c r="AI464" t="e">
        <f>INDEX(TCO!$B$2:$AQ$85,MATCH('Historical Shareweights'!$A464,TCO!$A$2:$A$85,0),MATCH('Historical Shareweights'!AI462,TCO!$B$1:$AQ$1,0))</f>
        <v>#N/A</v>
      </c>
      <c r="AJ464" t="e">
        <f>INDEX(TCO!$B$2:$AQ$85,MATCH('Historical Shareweights'!$A464,TCO!$A$2:$A$85,0),MATCH('Historical Shareweights'!AJ462,TCO!$B$1:$AQ$1,0))</f>
        <v>#N/A</v>
      </c>
      <c r="AK464" t="e">
        <f>INDEX(TCO!$B$2:$AQ$85,MATCH('Historical Shareweights'!$A464,TCO!$A$2:$A$85,0),MATCH('Historical Shareweights'!AK462,TCO!$B$1:$AQ$1,0))</f>
        <v>#N/A</v>
      </c>
      <c r="AL464" t="e">
        <f>INDEX(TCO!$B$2:$AQ$85,MATCH('Historical Shareweights'!$A464,TCO!$A$2:$A$85,0),MATCH('Historical Shareweights'!AL462,TCO!$B$1:$AQ$1,0))</f>
        <v>#N/A</v>
      </c>
      <c r="AM464" t="e">
        <f>INDEX(TCO!$B$2:$AQ$85,MATCH('Historical Shareweights'!$A464,TCO!$A$2:$A$85,0),MATCH('Historical Shareweights'!AM462,TCO!$B$1:$AQ$1,0))</f>
        <v>#N/A</v>
      </c>
      <c r="AN464" t="e">
        <f>INDEX(TCO!$B$2:$AQ$85,MATCH('Historical Shareweights'!$A464,TCO!$A$2:$A$85,0),MATCH('Historical Shareweights'!AN462,TCO!$B$1:$AQ$1,0))</f>
        <v>#N/A</v>
      </c>
      <c r="AO464" t="e">
        <f>INDEX(TCO!$B$2:$AQ$85,MATCH('Historical Shareweights'!$A464,TCO!$A$2:$A$85,0),MATCH('Historical Shareweights'!AO462,TCO!$B$1:$AQ$1,0))</f>
        <v>#N/A</v>
      </c>
      <c r="AP464" t="e">
        <f>INDEX(TCO!$B$2:$AQ$85,MATCH('Historical Shareweights'!$A464,TCO!$A$2:$A$85,0),MATCH('Historical Shareweights'!AP462,TCO!$B$1:$AQ$1,0))</f>
        <v>#N/A</v>
      </c>
      <c r="AQ464" t="e">
        <f>INDEX(TCO!$B$2:$AQ$85,MATCH('Historical Shareweights'!$A464,TCO!$A$2:$A$85,0),MATCH('Historical Shareweights'!AQ462,TCO!$B$1:$AQ$1,0))</f>
        <v>#N/A</v>
      </c>
    </row>
    <row r="465" spans="1:43" hidden="1" outlineLevel="1" x14ac:dyDescent="0.15">
      <c r="A465" t="s">
        <v>1194</v>
      </c>
      <c r="B465" t="e">
        <f>INDEX(TCO!$B$2:$AQ$85,MATCH('Historical Shareweights'!$A465,TCO!$A$2:$A$85,0),MATCH('Historical Shareweights'!B462,TCO!$B$1:$AQ$1,0))</f>
        <v>#N/A</v>
      </c>
      <c r="C465" t="e">
        <f>INDEX(TCO!$B$2:$AQ$85,MATCH('Historical Shareweights'!$A465,TCO!$A$2:$A$85,0),MATCH('Historical Shareweights'!C462,TCO!$B$1:$AQ$1,0))</f>
        <v>#N/A</v>
      </c>
      <c r="D465" t="e">
        <f>INDEX(TCO!$B$2:$AQ$85,MATCH('Historical Shareweights'!$A465,TCO!$A$2:$A$85,0),MATCH('Historical Shareweights'!D462,TCO!$B$1:$AQ$1,0))</f>
        <v>#N/A</v>
      </c>
      <c r="E465" t="e">
        <f>INDEX(TCO!$B$2:$AQ$85,MATCH('Historical Shareweights'!$A465,TCO!$A$2:$A$85,0),MATCH('Historical Shareweights'!E462,TCO!$B$1:$AQ$1,0))</f>
        <v>#N/A</v>
      </c>
      <c r="F465" t="e">
        <f>INDEX(TCO!$B$2:$AQ$85,MATCH('Historical Shareweights'!$A465,TCO!$A$2:$A$85,0),MATCH('Historical Shareweights'!F462,TCO!$B$1:$AQ$1,0))</f>
        <v>#N/A</v>
      </c>
      <c r="G465" t="e">
        <f>INDEX(TCO!$B$2:$AQ$85,MATCH('Historical Shareweights'!$A465,TCO!$A$2:$A$85,0),MATCH('Historical Shareweights'!G462,TCO!$B$1:$AQ$1,0))</f>
        <v>#N/A</v>
      </c>
      <c r="H465" t="e">
        <f>INDEX(TCO!$B$2:$AQ$85,MATCH('Historical Shareweights'!$A465,TCO!$A$2:$A$85,0),MATCH('Historical Shareweights'!H462,TCO!$B$1:$AQ$1,0))</f>
        <v>#N/A</v>
      </c>
      <c r="I465" t="e">
        <f>INDEX(TCO!$B$2:$AQ$85,MATCH('Historical Shareweights'!$A465,TCO!$A$2:$A$85,0),MATCH('Historical Shareweights'!I462,TCO!$B$1:$AQ$1,0))</f>
        <v>#N/A</v>
      </c>
      <c r="J465" t="e">
        <f>INDEX(TCO!$B$2:$AQ$85,MATCH('Historical Shareweights'!$A465,TCO!$A$2:$A$85,0),MATCH('Historical Shareweights'!J462,TCO!$B$1:$AQ$1,0))</f>
        <v>#N/A</v>
      </c>
      <c r="K465" t="e">
        <f>INDEX(TCO!$B$2:$AQ$85,MATCH('Historical Shareweights'!$A465,TCO!$A$2:$A$85,0),MATCH('Historical Shareweights'!K462,TCO!$B$1:$AQ$1,0))</f>
        <v>#N/A</v>
      </c>
      <c r="L465" t="e">
        <f>INDEX(TCO!$B$2:$AQ$85,MATCH('Historical Shareweights'!$A465,TCO!$A$2:$A$85,0),MATCH('Historical Shareweights'!L462,TCO!$B$1:$AQ$1,0))</f>
        <v>#N/A</v>
      </c>
      <c r="M465" t="e">
        <f>INDEX(TCO!$B$2:$AQ$85,MATCH('Historical Shareweights'!$A465,TCO!$A$2:$A$85,0),MATCH('Historical Shareweights'!M462,TCO!$B$1:$AQ$1,0))</f>
        <v>#N/A</v>
      </c>
      <c r="N465" t="e">
        <f>INDEX(TCO!$B$2:$AQ$85,MATCH('Historical Shareweights'!$A465,TCO!$A$2:$A$85,0),MATCH('Historical Shareweights'!N462,TCO!$B$1:$AQ$1,0))</f>
        <v>#N/A</v>
      </c>
      <c r="O465" t="e">
        <f>INDEX(TCO!$B$2:$AQ$85,MATCH('Historical Shareweights'!$A465,TCO!$A$2:$A$85,0),MATCH('Historical Shareweights'!O462,TCO!$B$1:$AQ$1,0))</f>
        <v>#N/A</v>
      </c>
      <c r="P465" t="e">
        <f>INDEX(TCO!$B$2:$AQ$85,MATCH('Historical Shareweights'!$A465,TCO!$A$2:$A$85,0),MATCH('Historical Shareweights'!P462,TCO!$B$1:$AQ$1,0))</f>
        <v>#N/A</v>
      </c>
      <c r="Q465" t="e">
        <f>INDEX(TCO!$B$2:$AQ$85,MATCH('Historical Shareweights'!$A465,TCO!$A$2:$A$85,0),MATCH('Historical Shareweights'!Q462,TCO!$B$1:$AQ$1,0))</f>
        <v>#N/A</v>
      </c>
      <c r="R465" t="e">
        <f>INDEX(TCO!$B$2:$AQ$85,MATCH('Historical Shareweights'!$A465,TCO!$A$2:$A$85,0),MATCH('Historical Shareweights'!R462,TCO!$B$1:$AQ$1,0))</f>
        <v>#N/A</v>
      </c>
      <c r="S465" t="e">
        <f>INDEX(TCO!$B$2:$AQ$85,MATCH('Historical Shareweights'!$A465,TCO!$A$2:$A$85,0),MATCH('Historical Shareweights'!S462,TCO!$B$1:$AQ$1,0))</f>
        <v>#N/A</v>
      </c>
      <c r="T465" t="e">
        <f>INDEX(TCO!$B$2:$AQ$85,MATCH('Historical Shareweights'!$A465,TCO!$A$2:$A$85,0),MATCH('Historical Shareweights'!T462,TCO!$B$1:$AQ$1,0))</f>
        <v>#N/A</v>
      </c>
      <c r="U465" t="e">
        <f>INDEX(TCO!$B$2:$AQ$85,MATCH('Historical Shareweights'!$A465,TCO!$A$2:$A$85,0),MATCH('Historical Shareweights'!U462,TCO!$B$1:$AQ$1,0))</f>
        <v>#N/A</v>
      </c>
      <c r="V465" t="e">
        <f>INDEX(TCO!$B$2:$AQ$85,MATCH('Historical Shareweights'!$A465,TCO!$A$2:$A$85,0),MATCH('Historical Shareweights'!V462,TCO!$B$1:$AQ$1,0))</f>
        <v>#N/A</v>
      </c>
      <c r="W465" t="e">
        <f>INDEX(TCO!$B$2:$AQ$85,MATCH('Historical Shareweights'!$A465,TCO!$A$2:$A$85,0),MATCH('Historical Shareweights'!W462,TCO!$B$1:$AQ$1,0))</f>
        <v>#N/A</v>
      </c>
      <c r="X465" t="e">
        <f>INDEX(TCO!$B$2:$AQ$85,MATCH('Historical Shareweights'!$A465,TCO!$A$2:$A$85,0),MATCH('Historical Shareweights'!X462,TCO!$B$1:$AQ$1,0))</f>
        <v>#N/A</v>
      </c>
      <c r="Y465" t="e">
        <f>INDEX(TCO!$B$2:$AQ$85,MATCH('Historical Shareweights'!$A465,TCO!$A$2:$A$85,0),MATCH('Historical Shareweights'!Y462,TCO!$B$1:$AQ$1,0))</f>
        <v>#N/A</v>
      </c>
      <c r="Z465" t="e">
        <f>INDEX(TCO!$B$2:$AQ$85,MATCH('Historical Shareweights'!$A465,TCO!$A$2:$A$85,0),MATCH('Historical Shareweights'!Z462,TCO!$B$1:$AQ$1,0))</f>
        <v>#N/A</v>
      </c>
      <c r="AA465" t="e">
        <f>INDEX(TCO!$B$2:$AQ$85,MATCH('Historical Shareweights'!$A465,TCO!$A$2:$A$85,0),MATCH('Historical Shareweights'!AA462,TCO!$B$1:$AQ$1,0))</f>
        <v>#N/A</v>
      </c>
      <c r="AB465" t="e">
        <f>INDEX(TCO!$B$2:$AQ$85,MATCH('Historical Shareweights'!$A465,TCO!$A$2:$A$85,0),MATCH('Historical Shareweights'!AB462,TCO!$B$1:$AQ$1,0))</f>
        <v>#N/A</v>
      </c>
      <c r="AC465" t="e">
        <f>INDEX(TCO!$B$2:$AQ$85,MATCH('Historical Shareweights'!$A465,TCO!$A$2:$A$85,0),MATCH('Historical Shareweights'!AC462,TCO!$B$1:$AQ$1,0))</f>
        <v>#N/A</v>
      </c>
      <c r="AD465" t="e">
        <f>INDEX(TCO!$B$2:$AQ$85,MATCH('Historical Shareweights'!$A465,TCO!$A$2:$A$85,0),MATCH('Historical Shareweights'!AD462,TCO!$B$1:$AQ$1,0))</f>
        <v>#N/A</v>
      </c>
      <c r="AE465" t="e">
        <f>INDEX(TCO!$B$2:$AQ$85,MATCH('Historical Shareweights'!$A465,TCO!$A$2:$A$85,0),MATCH('Historical Shareweights'!AE462,TCO!$B$1:$AQ$1,0))</f>
        <v>#N/A</v>
      </c>
      <c r="AF465" t="e">
        <f>INDEX(TCO!$B$2:$AQ$85,MATCH('Historical Shareweights'!$A465,TCO!$A$2:$A$85,0),MATCH('Historical Shareweights'!AF462,TCO!$B$1:$AQ$1,0))</f>
        <v>#N/A</v>
      </c>
      <c r="AG465" t="e">
        <f>INDEX(TCO!$B$2:$AQ$85,MATCH('Historical Shareweights'!$A465,TCO!$A$2:$A$85,0),MATCH('Historical Shareweights'!AG462,TCO!$B$1:$AQ$1,0))</f>
        <v>#N/A</v>
      </c>
      <c r="AH465" t="e">
        <f>INDEX(TCO!$B$2:$AQ$85,MATCH('Historical Shareweights'!$A465,TCO!$A$2:$A$85,0),MATCH('Historical Shareweights'!AH462,TCO!$B$1:$AQ$1,0))</f>
        <v>#N/A</v>
      </c>
      <c r="AI465" t="e">
        <f>INDEX(TCO!$B$2:$AQ$85,MATCH('Historical Shareweights'!$A465,TCO!$A$2:$A$85,0),MATCH('Historical Shareweights'!AI462,TCO!$B$1:$AQ$1,0))</f>
        <v>#N/A</v>
      </c>
      <c r="AJ465" t="e">
        <f>INDEX(TCO!$B$2:$AQ$85,MATCH('Historical Shareweights'!$A465,TCO!$A$2:$A$85,0),MATCH('Historical Shareweights'!AJ462,TCO!$B$1:$AQ$1,0))</f>
        <v>#N/A</v>
      </c>
      <c r="AK465" t="e">
        <f>INDEX(TCO!$B$2:$AQ$85,MATCH('Historical Shareweights'!$A465,TCO!$A$2:$A$85,0),MATCH('Historical Shareweights'!AK462,TCO!$B$1:$AQ$1,0))</f>
        <v>#N/A</v>
      </c>
      <c r="AL465" t="e">
        <f>INDEX(TCO!$B$2:$AQ$85,MATCH('Historical Shareweights'!$A465,TCO!$A$2:$A$85,0),MATCH('Historical Shareweights'!AL462,TCO!$B$1:$AQ$1,0))</f>
        <v>#N/A</v>
      </c>
      <c r="AM465" t="e">
        <f>INDEX(TCO!$B$2:$AQ$85,MATCH('Historical Shareweights'!$A465,TCO!$A$2:$A$85,0),MATCH('Historical Shareweights'!AM462,TCO!$B$1:$AQ$1,0))</f>
        <v>#N/A</v>
      </c>
      <c r="AN465" t="e">
        <f>INDEX(TCO!$B$2:$AQ$85,MATCH('Historical Shareweights'!$A465,TCO!$A$2:$A$85,0),MATCH('Historical Shareweights'!AN462,TCO!$B$1:$AQ$1,0))</f>
        <v>#N/A</v>
      </c>
      <c r="AO465" t="e">
        <f>INDEX(TCO!$B$2:$AQ$85,MATCH('Historical Shareweights'!$A465,TCO!$A$2:$A$85,0),MATCH('Historical Shareweights'!AO462,TCO!$B$1:$AQ$1,0))</f>
        <v>#N/A</v>
      </c>
      <c r="AP465" t="e">
        <f>INDEX(TCO!$B$2:$AQ$85,MATCH('Historical Shareweights'!$A465,TCO!$A$2:$A$85,0),MATCH('Historical Shareweights'!AP462,TCO!$B$1:$AQ$1,0))</f>
        <v>#N/A</v>
      </c>
      <c r="AQ465" t="e">
        <f>INDEX(TCO!$B$2:$AQ$85,MATCH('Historical Shareweights'!$A465,TCO!$A$2:$A$85,0),MATCH('Historical Shareweights'!AQ462,TCO!$B$1:$AQ$1,0))</f>
        <v>#N/A</v>
      </c>
    </row>
    <row r="466" spans="1:43" hidden="1" outlineLevel="1" x14ac:dyDescent="0.15">
      <c r="A466" t="s">
        <v>1195</v>
      </c>
      <c r="B466" t="e">
        <f>INDEX(TCO!$B$2:$AQ$85,MATCH('Historical Shareweights'!$A466,TCO!$A$2:$A$85,0),MATCH('Historical Shareweights'!B462,TCO!$B$1:$AQ$1,0))</f>
        <v>#N/A</v>
      </c>
      <c r="C466" t="e">
        <f>INDEX(TCO!$B$2:$AQ$85,MATCH('Historical Shareweights'!$A466,TCO!$A$2:$A$85,0),MATCH('Historical Shareweights'!C462,TCO!$B$1:$AQ$1,0))</f>
        <v>#N/A</v>
      </c>
      <c r="D466" t="e">
        <f>INDEX(TCO!$B$2:$AQ$85,MATCH('Historical Shareweights'!$A466,TCO!$A$2:$A$85,0),MATCH('Historical Shareweights'!D462,TCO!$B$1:$AQ$1,0))</f>
        <v>#N/A</v>
      </c>
      <c r="E466" t="e">
        <f>INDEX(TCO!$B$2:$AQ$85,MATCH('Historical Shareweights'!$A466,TCO!$A$2:$A$85,0),MATCH('Historical Shareweights'!E462,TCO!$B$1:$AQ$1,0))</f>
        <v>#N/A</v>
      </c>
      <c r="F466" t="e">
        <f>INDEX(TCO!$B$2:$AQ$85,MATCH('Historical Shareweights'!$A466,TCO!$A$2:$A$85,0),MATCH('Historical Shareweights'!F462,TCO!$B$1:$AQ$1,0))</f>
        <v>#N/A</v>
      </c>
      <c r="G466" t="e">
        <f>INDEX(TCO!$B$2:$AQ$85,MATCH('Historical Shareweights'!$A466,TCO!$A$2:$A$85,0),MATCH('Historical Shareweights'!G462,TCO!$B$1:$AQ$1,0))</f>
        <v>#N/A</v>
      </c>
      <c r="H466" t="e">
        <f>INDEX(TCO!$B$2:$AQ$85,MATCH('Historical Shareweights'!$A466,TCO!$A$2:$A$85,0),MATCH('Historical Shareweights'!H462,TCO!$B$1:$AQ$1,0))</f>
        <v>#N/A</v>
      </c>
      <c r="I466" t="e">
        <f>INDEX(TCO!$B$2:$AQ$85,MATCH('Historical Shareweights'!$A466,TCO!$A$2:$A$85,0),MATCH('Historical Shareweights'!I462,TCO!$B$1:$AQ$1,0))</f>
        <v>#N/A</v>
      </c>
      <c r="J466" t="e">
        <f>INDEX(TCO!$B$2:$AQ$85,MATCH('Historical Shareweights'!$A466,TCO!$A$2:$A$85,0),MATCH('Historical Shareweights'!J462,TCO!$B$1:$AQ$1,0))</f>
        <v>#N/A</v>
      </c>
      <c r="K466" t="e">
        <f>INDEX(TCO!$B$2:$AQ$85,MATCH('Historical Shareweights'!$A466,TCO!$A$2:$A$85,0),MATCH('Historical Shareweights'!K462,TCO!$B$1:$AQ$1,0))</f>
        <v>#N/A</v>
      </c>
      <c r="L466" t="e">
        <f>INDEX(TCO!$B$2:$AQ$85,MATCH('Historical Shareweights'!$A466,TCO!$A$2:$A$85,0),MATCH('Historical Shareweights'!L462,TCO!$B$1:$AQ$1,0))</f>
        <v>#N/A</v>
      </c>
      <c r="M466" t="e">
        <f>INDEX(TCO!$B$2:$AQ$85,MATCH('Historical Shareweights'!$A466,TCO!$A$2:$A$85,0),MATCH('Historical Shareweights'!M462,TCO!$B$1:$AQ$1,0))</f>
        <v>#N/A</v>
      </c>
      <c r="N466" t="e">
        <f>INDEX(TCO!$B$2:$AQ$85,MATCH('Historical Shareweights'!$A466,TCO!$A$2:$A$85,0),MATCH('Historical Shareweights'!N462,TCO!$B$1:$AQ$1,0))</f>
        <v>#N/A</v>
      </c>
      <c r="O466" t="e">
        <f>INDEX(TCO!$B$2:$AQ$85,MATCH('Historical Shareweights'!$A466,TCO!$A$2:$A$85,0),MATCH('Historical Shareweights'!O462,TCO!$B$1:$AQ$1,0))</f>
        <v>#N/A</v>
      </c>
      <c r="P466" t="e">
        <f>INDEX(TCO!$B$2:$AQ$85,MATCH('Historical Shareweights'!$A466,TCO!$A$2:$A$85,0),MATCH('Historical Shareweights'!P462,TCO!$B$1:$AQ$1,0))</f>
        <v>#N/A</v>
      </c>
      <c r="Q466" t="e">
        <f>INDEX(TCO!$B$2:$AQ$85,MATCH('Historical Shareweights'!$A466,TCO!$A$2:$A$85,0),MATCH('Historical Shareweights'!Q462,TCO!$B$1:$AQ$1,0))</f>
        <v>#N/A</v>
      </c>
      <c r="R466" t="e">
        <f>INDEX(TCO!$B$2:$AQ$85,MATCH('Historical Shareweights'!$A466,TCO!$A$2:$A$85,0),MATCH('Historical Shareweights'!R462,TCO!$B$1:$AQ$1,0))</f>
        <v>#N/A</v>
      </c>
      <c r="S466" t="e">
        <f>INDEX(TCO!$B$2:$AQ$85,MATCH('Historical Shareweights'!$A466,TCO!$A$2:$A$85,0),MATCH('Historical Shareweights'!S462,TCO!$B$1:$AQ$1,0))</f>
        <v>#N/A</v>
      </c>
      <c r="T466" t="e">
        <f>INDEX(TCO!$B$2:$AQ$85,MATCH('Historical Shareweights'!$A466,TCO!$A$2:$A$85,0),MATCH('Historical Shareweights'!T462,TCO!$B$1:$AQ$1,0))</f>
        <v>#N/A</v>
      </c>
      <c r="U466" t="e">
        <f>INDEX(TCO!$B$2:$AQ$85,MATCH('Historical Shareweights'!$A466,TCO!$A$2:$A$85,0),MATCH('Historical Shareweights'!U462,TCO!$B$1:$AQ$1,0))</f>
        <v>#N/A</v>
      </c>
      <c r="V466" t="e">
        <f>INDEX(TCO!$B$2:$AQ$85,MATCH('Historical Shareweights'!$A466,TCO!$A$2:$A$85,0),MATCH('Historical Shareweights'!V462,TCO!$B$1:$AQ$1,0))</f>
        <v>#N/A</v>
      </c>
      <c r="W466" t="e">
        <f>INDEX(TCO!$B$2:$AQ$85,MATCH('Historical Shareweights'!$A466,TCO!$A$2:$A$85,0),MATCH('Historical Shareweights'!W462,TCO!$B$1:$AQ$1,0))</f>
        <v>#N/A</v>
      </c>
      <c r="X466" t="e">
        <f>INDEX(TCO!$B$2:$AQ$85,MATCH('Historical Shareweights'!$A466,TCO!$A$2:$A$85,0),MATCH('Historical Shareweights'!X462,TCO!$B$1:$AQ$1,0))</f>
        <v>#N/A</v>
      </c>
      <c r="Y466" t="e">
        <f>INDEX(TCO!$B$2:$AQ$85,MATCH('Historical Shareweights'!$A466,TCO!$A$2:$A$85,0),MATCH('Historical Shareweights'!Y462,TCO!$B$1:$AQ$1,0))</f>
        <v>#N/A</v>
      </c>
      <c r="Z466" t="e">
        <f>INDEX(TCO!$B$2:$AQ$85,MATCH('Historical Shareweights'!$A466,TCO!$A$2:$A$85,0),MATCH('Historical Shareweights'!Z462,TCO!$B$1:$AQ$1,0))</f>
        <v>#N/A</v>
      </c>
      <c r="AA466" t="e">
        <f>INDEX(TCO!$B$2:$AQ$85,MATCH('Historical Shareweights'!$A466,TCO!$A$2:$A$85,0),MATCH('Historical Shareweights'!AA462,TCO!$B$1:$AQ$1,0))</f>
        <v>#N/A</v>
      </c>
      <c r="AB466" t="e">
        <f>INDEX(TCO!$B$2:$AQ$85,MATCH('Historical Shareweights'!$A466,TCO!$A$2:$A$85,0),MATCH('Historical Shareweights'!AB462,TCO!$B$1:$AQ$1,0))</f>
        <v>#N/A</v>
      </c>
      <c r="AC466" t="e">
        <f>INDEX(TCO!$B$2:$AQ$85,MATCH('Historical Shareweights'!$A466,TCO!$A$2:$A$85,0),MATCH('Historical Shareweights'!AC462,TCO!$B$1:$AQ$1,0))</f>
        <v>#N/A</v>
      </c>
      <c r="AD466" t="e">
        <f>INDEX(TCO!$B$2:$AQ$85,MATCH('Historical Shareweights'!$A466,TCO!$A$2:$A$85,0),MATCH('Historical Shareweights'!AD462,TCO!$B$1:$AQ$1,0))</f>
        <v>#N/A</v>
      </c>
      <c r="AE466" t="e">
        <f>INDEX(TCO!$B$2:$AQ$85,MATCH('Historical Shareweights'!$A466,TCO!$A$2:$A$85,0),MATCH('Historical Shareweights'!AE462,TCO!$B$1:$AQ$1,0))</f>
        <v>#N/A</v>
      </c>
      <c r="AF466" t="e">
        <f>INDEX(TCO!$B$2:$AQ$85,MATCH('Historical Shareweights'!$A466,TCO!$A$2:$A$85,0),MATCH('Historical Shareweights'!AF462,TCO!$B$1:$AQ$1,0))</f>
        <v>#N/A</v>
      </c>
      <c r="AG466" t="e">
        <f>INDEX(TCO!$B$2:$AQ$85,MATCH('Historical Shareweights'!$A466,TCO!$A$2:$A$85,0),MATCH('Historical Shareweights'!AG462,TCO!$B$1:$AQ$1,0))</f>
        <v>#N/A</v>
      </c>
      <c r="AH466" t="e">
        <f>INDEX(TCO!$B$2:$AQ$85,MATCH('Historical Shareweights'!$A466,TCO!$A$2:$A$85,0),MATCH('Historical Shareweights'!AH462,TCO!$B$1:$AQ$1,0))</f>
        <v>#N/A</v>
      </c>
      <c r="AI466" t="e">
        <f>INDEX(TCO!$B$2:$AQ$85,MATCH('Historical Shareweights'!$A466,TCO!$A$2:$A$85,0),MATCH('Historical Shareweights'!AI462,TCO!$B$1:$AQ$1,0))</f>
        <v>#N/A</v>
      </c>
      <c r="AJ466" t="e">
        <f>INDEX(TCO!$B$2:$AQ$85,MATCH('Historical Shareweights'!$A466,TCO!$A$2:$A$85,0),MATCH('Historical Shareweights'!AJ462,TCO!$B$1:$AQ$1,0))</f>
        <v>#N/A</v>
      </c>
      <c r="AK466" t="e">
        <f>INDEX(TCO!$B$2:$AQ$85,MATCH('Historical Shareweights'!$A466,TCO!$A$2:$A$85,0),MATCH('Historical Shareweights'!AK462,TCO!$B$1:$AQ$1,0))</f>
        <v>#N/A</v>
      </c>
      <c r="AL466" t="e">
        <f>INDEX(TCO!$B$2:$AQ$85,MATCH('Historical Shareweights'!$A466,TCO!$A$2:$A$85,0),MATCH('Historical Shareweights'!AL462,TCO!$B$1:$AQ$1,0))</f>
        <v>#N/A</v>
      </c>
      <c r="AM466" t="e">
        <f>INDEX(TCO!$B$2:$AQ$85,MATCH('Historical Shareweights'!$A466,TCO!$A$2:$A$85,0),MATCH('Historical Shareweights'!AM462,TCO!$B$1:$AQ$1,0))</f>
        <v>#N/A</v>
      </c>
      <c r="AN466" t="e">
        <f>INDEX(TCO!$B$2:$AQ$85,MATCH('Historical Shareweights'!$A466,TCO!$A$2:$A$85,0),MATCH('Historical Shareweights'!AN462,TCO!$B$1:$AQ$1,0))</f>
        <v>#N/A</v>
      </c>
      <c r="AO466" t="e">
        <f>INDEX(TCO!$B$2:$AQ$85,MATCH('Historical Shareweights'!$A466,TCO!$A$2:$A$85,0),MATCH('Historical Shareweights'!AO462,TCO!$B$1:$AQ$1,0))</f>
        <v>#N/A</v>
      </c>
      <c r="AP466" t="e">
        <f>INDEX(TCO!$B$2:$AQ$85,MATCH('Historical Shareweights'!$A466,TCO!$A$2:$A$85,0),MATCH('Historical Shareweights'!AP462,TCO!$B$1:$AQ$1,0))</f>
        <v>#N/A</v>
      </c>
      <c r="AQ466" t="e">
        <f>INDEX(TCO!$B$2:$AQ$85,MATCH('Historical Shareweights'!$A466,TCO!$A$2:$A$85,0),MATCH('Historical Shareweights'!AQ462,TCO!$B$1:$AQ$1,0))</f>
        <v>#N/A</v>
      </c>
    </row>
    <row r="467" spans="1:43" hidden="1" outlineLevel="1" x14ac:dyDescent="0.15">
      <c r="A467" t="s">
        <v>1196</v>
      </c>
      <c r="B467" t="e">
        <f>INDEX(TCO!$B$2:$AQ$85,MATCH('Historical Shareweights'!$A467,TCO!$A$2:$A$85,0),MATCH('Historical Shareweights'!B462,TCO!$B$1:$AQ$1,0))</f>
        <v>#N/A</v>
      </c>
      <c r="C467" t="e">
        <f>INDEX(TCO!$B$2:$AQ$85,MATCH('Historical Shareweights'!$A467,TCO!$A$2:$A$85,0),MATCH('Historical Shareweights'!C462,TCO!$B$1:$AQ$1,0))</f>
        <v>#N/A</v>
      </c>
      <c r="D467" t="e">
        <f>INDEX(TCO!$B$2:$AQ$85,MATCH('Historical Shareweights'!$A467,TCO!$A$2:$A$85,0),MATCH('Historical Shareweights'!D462,TCO!$B$1:$AQ$1,0))</f>
        <v>#N/A</v>
      </c>
      <c r="E467" t="e">
        <f>INDEX(TCO!$B$2:$AQ$85,MATCH('Historical Shareweights'!$A467,TCO!$A$2:$A$85,0),MATCH('Historical Shareweights'!E462,TCO!$B$1:$AQ$1,0))</f>
        <v>#N/A</v>
      </c>
      <c r="F467" t="e">
        <f>INDEX(TCO!$B$2:$AQ$85,MATCH('Historical Shareweights'!$A467,TCO!$A$2:$A$85,0),MATCH('Historical Shareweights'!F462,TCO!$B$1:$AQ$1,0))</f>
        <v>#N/A</v>
      </c>
      <c r="G467" t="e">
        <f>INDEX(TCO!$B$2:$AQ$85,MATCH('Historical Shareweights'!$A467,TCO!$A$2:$A$85,0),MATCH('Historical Shareweights'!G462,TCO!$B$1:$AQ$1,0))</f>
        <v>#N/A</v>
      </c>
      <c r="H467" t="e">
        <f>INDEX(TCO!$B$2:$AQ$85,MATCH('Historical Shareweights'!$A467,TCO!$A$2:$A$85,0),MATCH('Historical Shareweights'!H462,TCO!$B$1:$AQ$1,0))</f>
        <v>#N/A</v>
      </c>
      <c r="I467" t="e">
        <f>INDEX(TCO!$B$2:$AQ$85,MATCH('Historical Shareweights'!$A467,TCO!$A$2:$A$85,0),MATCH('Historical Shareweights'!I462,TCO!$B$1:$AQ$1,0))</f>
        <v>#N/A</v>
      </c>
      <c r="J467" t="e">
        <f>INDEX(TCO!$B$2:$AQ$85,MATCH('Historical Shareweights'!$A467,TCO!$A$2:$A$85,0),MATCH('Historical Shareweights'!J462,TCO!$B$1:$AQ$1,0))</f>
        <v>#N/A</v>
      </c>
      <c r="K467" t="e">
        <f>INDEX(TCO!$B$2:$AQ$85,MATCH('Historical Shareweights'!$A467,TCO!$A$2:$A$85,0),MATCH('Historical Shareweights'!K462,TCO!$B$1:$AQ$1,0))</f>
        <v>#N/A</v>
      </c>
      <c r="L467" t="e">
        <f>INDEX(TCO!$B$2:$AQ$85,MATCH('Historical Shareweights'!$A467,TCO!$A$2:$A$85,0),MATCH('Historical Shareweights'!L462,TCO!$B$1:$AQ$1,0))</f>
        <v>#N/A</v>
      </c>
      <c r="M467" t="e">
        <f>INDEX(TCO!$B$2:$AQ$85,MATCH('Historical Shareweights'!$A467,TCO!$A$2:$A$85,0),MATCH('Historical Shareweights'!M462,TCO!$B$1:$AQ$1,0))</f>
        <v>#N/A</v>
      </c>
      <c r="N467" t="e">
        <f>INDEX(TCO!$B$2:$AQ$85,MATCH('Historical Shareweights'!$A467,TCO!$A$2:$A$85,0),MATCH('Historical Shareweights'!N462,TCO!$B$1:$AQ$1,0))</f>
        <v>#N/A</v>
      </c>
      <c r="O467" t="e">
        <f>INDEX(TCO!$B$2:$AQ$85,MATCH('Historical Shareweights'!$A467,TCO!$A$2:$A$85,0),MATCH('Historical Shareweights'!O462,TCO!$B$1:$AQ$1,0))</f>
        <v>#N/A</v>
      </c>
      <c r="P467" t="e">
        <f>INDEX(TCO!$B$2:$AQ$85,MATCH('Historical Shareweights'!$A467,TCO!$A$2:$A$85,0),MATCH('Historical Shareweights'!P462,TCO!$B$1:$AQ$1,0))</f>
        <v>#N/A</v>
      </c>
      <c r="Q467" t="e">
        <f>INDEX(TCO!$B$2:$AQ$85,MATCH('Historical Shareweights'!$A467,TCO!$A$2:$A$85,0),MATCH('Historical Shareweights'!Q462,TCO!$B$1:$AQ$1,0))</f>
        <v>#N/A</v>
      </c>
      <c r="R467" t="e">
        <f>INDEX(TCO!$B$2:$AQ$85,MATCH('Historical Shareweights'!$A467,TCO!$A$2:$A$85,0),MATCH('Historical Shareweights'!R462,TCO!$B$1:$AQ$1,0))</f>
        <v>#N/A</v>
      </c>
      <c r="S467" t="e">
        <f>INDEX(TCO!$B$2:$AQ$85,MATCH('Historical Shareweights'!$A467,TCO!$A$2:$A$85,0),MATCH('Historical Shareweights'!S462,TCO!$B$1:$AQ$1,0))</f>
        <v>#N/A</v>
      </c>
      <c r="T467" t="e">
        <f>INDEX(TCO!$B$2:$AQ$85,MATCH('Historical Shareweights'!$A467,TCO!$A$2:$A$85,0),MATCH('Historical Shareweights'!T462,TCO!$B$1:$AQ$1,0))</f>
        <v>#N/A</v>
      </c>
      <c r="U467" t="e">
        <f>INDEX(TCO!$B$2:$AQ$85,MATCH('Historical Shareweights'!$A467,TCO!$A$2:$A$85,0),MATCH('Historical Shareweights'!U462,TCO!$B$1:$AQ$1,0))</f>
        <v>#N/A</v>
      </c>
      <c r="V467" t="e">
        <f>INDEX(TCO!$B$2:$AQ$85,MATCH('Historical Shareweights'!$A467,TCO!$A$2:$A$85,0),MATCH('Historical Shareweights'!V462,TCO!$B$1:$AQ$1,0))</f>
        <v>#N/A</v>
      </c>
      <c r="W467" t="e">
        <f>INDEX(TCO!$B$2:$AQ$85,MATCH('Historical Shareweights'!$A467,TCO!$A$2:$A$85,0),MATCH('Historical Shareweights'!W462,TCO!$B$1:$AQ$1,0))</f>
        <v>#N/A</v>
      </c>
      <c r="X467" t="e">
        <f>INDEX(TCO!$B$2:$AQ$85,MATCH('Historical Shareweights'!$A467,TCO!$A$2:$A$85,0),MATCH('Historical Shareweights'!X462,TCO!$B$1:$AQ$1,0))</f>
        <v>#N/A</v>
      </c>
      <c r="Y467" t="e">
        <f>INDEX(TCO!$B$2:$AQ$85,MATCH('Historical Shareweights'!$A467,TCO!$A$2:$A$85,0),MATCH('Historical Shareweights'!Y462,TCO!$B$1:$AQ$1,0))</f>
        <v>#N/A</v>
      </c>
      <c r="Z467" t="e">
        <f>INDEX(TCO!$B$2:$AQ$85,MATCH('Historical Shareweights'!$A467,TCO!$A$2:$A$85,0),MATCH('Historical Shareweights'!Z462,TCO!$B$1:$AQ$1,0))</f>
        <v>#N/A</v>
      </c>
      <c r="AA467" t="e">
        <f>INDEX(TCO!$B$2:$AQ$85,MATCH('Historical Shareweights'!$A467,TCO!$A$2:$A$85,0),MATCH('Historical Shareweights'!AA462,TCO!$B$1:$AQ$1,0))</f>
        <v>#N/A</v>
      </c>
      <c r="AB467" t="e">
        <f>INDEX(TCO!$B$2:$AQ$85,MATCH('Historical Shareweights'!$A467,TCO!$A$2:$A$85,0),MATCH('Historical Shareweights'!AB462,TCO!$B$1:$AQ$1,0))</f>
        <v>#N/A</v>
      </c>
      <c r="AC467" t="e">
        <f>INDEX(TCO!$B$2:$AQ$85,MATCH('Historical Shareweights'!$A467,TCO!$A$2:$A$85,0),MATCH('Historical Shareweights'!AC462,TCO!$B$1:$AQ$1,0))</f>
        <v>#N/A</v>
      </c>
      <c r="AD467" t="e">
        <f>INDEX(TCO!$B$2:$AQ$85,MATCH('Historical Shareweights'!$A467,TCO!$A$2:$A$85,0),MATCH('Historical Shareweights'!AD462,TCO!$B$1:$AQ$1,0))</f>
        <v>#N/A</v>
      </c>
      <c r="AE467" t="e">
        <f>INDEX(TCO!$B$2:$AQ$85,MATCH('Historical Shareweights'!$A467,TCO!$A$2:$A$85,0),MATCH('Historical Shareweights'!AE462,TCO!$B$1:$AQ$1,0))</f>
        <v>#N/A</v>
      </c>
      <c r="AF467" t="e">
        <f>INDEX(TCO!$B$2:$AQ$85,MATCH('Historical Shareweights'!$A467,TCO!$A$2:$A$85,0),MATCH('Historical Shareweights'!AF462,TCO!$B$1:$AQ$1,0))</f>
        <v>#N/A</v>
      </c>
      <c r="AG467" t="e">
        <f>INDEX(TCO!$B$2:$AQ$85,MATCH('Historical Shareweights'!$A467,TCO!$A$2:$A$85,0),MATCH('Historical Shareweights'!AG462,TCO!$B$1:$AQ$1,0))</f>
        <v>#N/A</v>
      </c>
      <c r="AH467" t="e">
        <f>INDEX(TCO!$B$2:$AQ$85,MATCH('Historical Shareweights'!$A467,TCO!$A$2:$A$85,0),MATCH('Historical Shareweights'!AH462,TCO!$B$1:$AQ$1,0))</f>
        <v>#N/A</v>
      </c>
      <c r="AI467" t="e">
        <f>INDEX(TCO!$B$2:$AQ$85,MATCH('Historical Shareweights'!$A467,TCO!$A$2:$A$85,0),MATCH('Historical Shareweights'!AI462,TCO!$B$1:$AQ$1,0))</f>
        <v>#N/A</v>
      </c>
      <c r="AJ467" t="e">
        <f>INDEX(TCO!$B$2:$AQ$85,MATCH('Historical Shareweights'!$A467,TCO!$A$2:$A$85,0),MATCH('Historical Shareweights'!AJ462,TCO!$B$1:$AQ$1,0))</f>
        <v>#N/A</v>
      </c>
      <c r="AK467" t="e">
        <f>INDEX(TCO!$B$2:$AQ$85,MATCH('Historical Shareweights'!$A467,TCO!$A$2:$A$85,0),MATCH('Historical Shareweights'!AK462,TCO!$B$1:$AQ$1,0))</f>
        <v>#N/A</v>
      </c>
      <c r="AL467" t="e">
        <f>INDEX(TCO!$B$2:$AQ$85,MATCH('Historical Shareweights'!$A467,TCO!$A$2:$A$85,0),MATCH('Historical Shareweights'!AL462,TCO!$B$1:$AQ$1,0))</f>
        <v>#N/A</v>
      </c>
      <c r="AM467" t="e">
        <f>INDEX(TCO!$B$2:$AQ$85,MATCH('Historical Shareweights'!$A467,TCO!$A$2:$A$85,0),MATCH('Historical Shareweights'!AM462,TCO!$B$1:$AQ$1,0))</f>
        <v>#N/A</v>
      </c>
      <c r="AN467" t="e">
        <f>INDEX(TCO!$B$2:$AQ$85,MATCH('Historical Shareweights'!$A467,TCO!$A$2:$A$85,0),MATCH('Historical Shareweights'!AN462,TCO!$B$1:$AQ$1,0))</f>
        <v>#N/A</v>
      </c>
      <c r="AO467" t="e">
        <f>INDEX(TCO!$B$2:$AQ$85,MATCH('Historical Shareweights'!$A467,TCO!$A$2:$A$85,0),MATCH('Historical Shareweights'!AO462,TCO!$B$1:$AQ$1,0))</f>
        <v>#N/A</v>
      </c>
      <c r="AP467" t="e">
        <f>INDEX(TCO!$B$2:$AQ$85,MATCH('Historical Shareweights'!$A467,TCO!$A$2:$A$85,0),MATCH('Historical Shareweights'!AP462,TCO!$B$1:$AQ$1,0))</f>
        <v>#N/A</v>
      </c>
      <c r="AQ467" t="e">
        <f>INDEX(TCO!$B$2:$AQ$85,MATCH('Historical Shareweights'!$A467,TCO!$A$2:$A$85,0),MATCH('Historical Shareweights'!AQ462,TCO!$B$1:$AQ$1,0))</f>
        <v>#N/A</v>
      </c>
    </row>
    <row r="468" spans="1:43" hidden="1" outlineLevel="1" x14ac:dyDescent="0.15">
      <c r="A468" t="s">
        <v>1197</v>
      </c>
      <c r="B468" t="e">
        <f>INDEX(TCO!$B$2:$AQ$85,MATCH('Historical Shareweights'!$A468,TCO!$A$2:$A$85,0),MATCH('Historical Shareweights'!B462,TCO!$B$1:$AQ$1,0))</f>
        <v>#N/A</v>
      </c>
      <c r="C468" t="e">
        <f>INDEX(TCO!$B$2:$AQ$85,MATCH('Historical Shareweights'!$A468,TCO!$A$2:$A$85,0),MATCH('Historical Shareweights'!C462,TCO!$B$1:$AQ$1,0))</f>
        <v>#N/A</v>
      </c>
      <c r="D468" t="e">
        <f>INDEX(TCO!$B$2:$AQ$85,MATCH('Historical Shareweights'!$A468,TCO!$A$2:$A$85,0),MATCH('Historical Shareweights'!D462,TCO!$B$1:$AQ$1,0))</f>
        <v>#N/A</v>
      </c>
      <c r="E468" t="e">
        <f>INDEX(TCO!$B$2:$AQ$85,MATCH('Historical Shareweights'!$A468,TCO!$A$2:$A$85,0),MATCH('Historical Shareweights'!E462,TCO!$B$1:$AQ$1,0))</f>
        <v>#N/A</v>
      </c>
      <c r="F468" t="e">
        <f>INDEX(TCO!$B$2:$AQ$85,MATCH('Historical Shareweights'!$A468,TCO!$A$2:$A$85,0),MATCH('Historical Shareweights'!F462,TCO!$B$1:$AQ$1,0))</f>
        <v>#N/A</v>
      </c>
      <c r="G468" t="e">
        <f>INDEX(TCO!$B$2:$AQ$85,MATCH('Historical Shareweights'!$A468,TCO!$A$2:$A$85,0),MATCH('Historical Shareweights'!G462,TCO!$B$1:$AQ$1,0))</f>
        <v>#N/A</v>
      </c>
      <c r="H468" t="e">
        <f>INDEX(TCO!$B$2:$AQ$85,MATCH('Historical Shareweights'!$A468,TCO!$A$2:$A$85,0),MATCH('Historical Shareweights'!H462,TCO!$B$1:$AQ$1,0))</f>
        <v>#N/A</v>
      </c>
      <c r="I468" t="e">
        <f>INDEX(TCO!$B$2:$AQ$85,MATCH('Historical Shareweights'!$A468,TCO!$A$2:$A$85,0),MATCH('Historical Shareweights'!I462,TCO!$B$1:$AQ$1,0))</f>
        <v>#N/A</v>
      </c>
      <c r="J468" t="e">
        <f>INDEX(TCO!$B$2:$AQ$85,MATCH('Historical Shareweights'!$A468,TCO!$A$2:$A$85,0),MATCH('Historical Shareweights'!J462,TCO!$B$1:$AQ$1,0))</f>
        <v>#N/A</v>
      </c>
      <c r="K468" t="e">
        <f>INDEX(TCO!$B$2:$AQ$85,MATCH('Historical Shareweights'!$A468,TCO!$A$2:$A$85,0),MATCH('Historical Shareweights'!K462,TCO!$B$1:$AQ$1,0))</f>
        <v>#N/A</v>
      </c>
      <c r="L468" t="e">
        <f>INDEX(TCO!$B$2:$AQ$85,MATCH('Historical Shareweights'!$A468,TCO!$A$2:$A$85,0),MATCH('Historical Shareweights'!L462,TCO!$B$1:$AQ$1,0))</f>
        <v>#N/A</v>
      </c>
      <c r="M468" t="e">
        <f>INDEX(TCO!$B$2:$AQ$85,MATCH('Historical Shareweights'!$A468,TCO!$A$2:$A$85,0),MATCH('Historical Shareweights'!M462,TCO!$B$1:$AQ$1,0))</f>
        <v>#N/A</v>
      </c>
      <c r="N468" t="e">
        <f>INDEX(TCO!$B$2:$AQ$85,MATCH('Historical Shareweights'!$A468,TCO!$A$2:$A$85,0),MATCH('Historical Shareweights'!N462,TCO!$B$1:$AQ$1,0))</f>
        <v>#N/A</v>
      </c>
      <c r="O468" t="e">
        <f>INDEX(TCO!$B$2:$AQ$85,MATCH('Historical Shareweights'!$A468,TCO!$A$2:$A$85,0),MATCH('Historical Shareweights'!O462,TCO!$B$1:$AQ$1,0))</f>
        <v>#N/A</v>
      </c>
      <c r="P468" t="e">
        <f>INDEX(TCO!$B$2:$AQ$85,MATCH('Historical Shareweights'!$A468,TCO!$A$2:$A$85,0),MATCH('Historical Shareweights'!P462,TCO!$B$1:$AQ$1,0))</f>
        <v>#N/A</v>
      </c>
      <c r="Q468" t="e">
        <f>INDEX(TCO!$B$2:$AQ$85,MATCH('Historical Shareweights'!$A468,TCO!$A$2:$A$85,0),MATCH('Historical Shareweights'!Q462,TCO!$B$1:$AQ$1,0))</f>
        <v>#N/A</v>
      </c>
      <c r="R468" t="e">
        <f>INDEX(TCO!$B$2:$AQ$85,MATCH('Historical Shareweights'!$A468,TCO!$A$2:$A$85,0),MATCH('Historical Shareweights'!R462,TCO!$B$1:$AQ$1,0))</f>
        <v>#N/A</v>
      </c>
      <c r="S468" t="e">
        <f>INDEX(TCO!$B$2:$AQ$85,MATCH('Historical Shareweights'!$A468,TCO!$A$2:$A$85,0),MATCH('Historical Shareweights'!S462,TCO!$B$1:$AQ$1,0))</f>
        <v>#N/A</v>
      </c>
      <c r="T468" t="e">
        <f>INDEX(TCO!$B$2:$AQ$85,MATCH('Historical Shareweights'!$A468,TCO!$A$2:$A$85,0),MATCH('Historical Shareweights'!T462,TCO!$B$1:$AQ$1,0))</f>
        <v>#N/A</v>
      </c>
      <c r="U468" t="e">
        <f>INDEX(TCO!$B$2:$AQ$85,MATCH('Historical Shareweights'!$A468,TCO!$A$2:$A$85,0),MATCH('Historical Shareweights'!U462,TCO!$B$1:$AQ$1,0))</f>
        <v>#N/A</v>
      </c>
      <c r="V468" t="e">
        <f>INDEX(TCO!$B$2:$AQ$85,MATCH('Historical Shareweights'!$A468,TCO!$A$2:$A$85,0),MATCH('Historical Shareweights'!V462,TCO!$B$1:$AQ$1,0))</f>
        <v>#N/A</v>
      </c>
      <c r="W468" t="e">
        <f>INDEX(TCO!$B$2:$AQ$85,MATCH('Historical Shareweights'!$A468,TCO!$A$2:$A$85,0),MATCH('Historical Shareweights'!W462,TCO!$B$1:$AQ$1,0))</f>
        <v>#N/A</v>
      </c>
      <c r="X468" t="e">
        <f>INDEX(TCO!$B$2:$AQ$85,MATCH('Historical Shareweights'!$A468,TCO!$A$2:$A$85,0),MATCH('Historical Shareweights'!X462,TCO!$B$1:$AQ$1,0))</f>
        <v>#N/A</v>
      </c>
      <c r="Y468" t="e">
        <f>INDEX(TCO!$B$2:$AQ$85,MATCH('Historical Shareweights'!$A468,TCO!$A$2:$A$85,0),MATCH('Historical Shareweights'!Y462,TCO!$B$1:$AQ$1,0))</f>
        <v>#N/A</v>
      </c>
      <c r="Z468" t="e">
        <f>INDEX(TCO!$B$2:$AQ$85,MATCH('Historical Shareweights'!$A468,TCO!$A$2:$A$85,0),MATCH('Historical Shareweights'!Z462,TCO!$B$1:$AQ$1,0))</f>
        <v>#N/A</v>
      </c>
      <c r="AA468" t="e">
        <f>INDEX(TCO!$B$2:$AQ$85,MATCH('Historical Shareweights'!$A468,TCO!$A$2:$A$85,0),MATCH('Historical Shareweights'!AA462,TCO!$B$1:$AQ$1,0))</f>
        <v>#N/A</v>
      </c>
      <c r="AB468" t="e">
        <f>INDEX(TCO!$B$2:$AQ$85,MATCH('Historical Shareweights'!$A468,TCO!$A$2:$A$85,0),MATCH('Historical Shareweights'!AB462,TCO!$B$1:$AQ$1,0))</f>
        <v>#N/A</v>
      </c>
      <c r="AC468" t="e">
        <f>INDEX(TCO!$B$2:$AQ$85,MATCH('Historical Shareweights'!$A468,TCO!$A$2:$A$85,0),MATCH('Historical Shareweights'!AC462,TCO!$B$1:$AQ$1,0))</f>
        <v>#N/A</v>
      </c>
      <c r="AD468" t="e">
        <f>INDEX(TCO!$B$2:$AQ$85,MATCH('Historical Shareweights'!$A468,TCO!$A$2:$A$85,0),MATCH('Historical Shareweights'!AD462,TCO!$B$1:$AQ$1,0))</f>
        <v>#N/A</v>
      </c>
      <c r="AE468" t="e">
        <f>INDEX(TCO!$B$2:$AQ$85,MATCH('Historical Shareweights'!$A468,TCO!$A$2:$A$85,0),MATCH('Historical Shareweights'!AE462,TCO!$B$1:$AQ$1,0))</f>
        <v>#N/A</v>
      </c>
      <c r="AF468" t="e">
        <f>INDEX(TCO!$B$2:$AQ$85,MATCH('Historical Shareweights'!$A468,TCO!$A$2:$A$85,0),MATCH('Historical Shareweights'!AF462,TCO!$B$1:$AQ$1,0))</f>
        <v>#N/A</v>
      </c>
      <c r="AG468" t="e">
        <f>INDEX(TCO!$B$2:$AQ$85,MATCH('Historical Shareweights'!$A468,TCO!$A$2:$A$85,0),MATCH('Historical Shareweights'!AG462,TCO!$B$1:$AQ$1,0))</f>
        <v>#N/A</v>
      </c>
      <c r="AH468" t="e">
        <f>INDEX(TCO!$B$2:$AQ$85,MATCH('Historical Shareweights'!$A468,TCO!$A$2:$A$85,0),MATCH('Historical Shareweights'!AH462,TCO!$B$1:$AQ$1,0))</f>
        <v>#N/A</v>
      </c>
      <c r="AI468" t="e">
        <f>INDEX(TCO!$B$2:$AQ$85,MATCH('Historical Shareweights'!$A468,TCO!$A$2:$A$85,0),MATCH('Historical Shareweights'!AI462,TCO!$B$1:$AQ$1,0))</f>
        <v>#N/A</v>
      </c>
      <c r="AJ468" t="e">
        <f>INDEX(TCO!$B$2:$AQ$85,MATCH('Historical Shareweights'!$A468,TCO!$A$2:$A$85,0),MATCH('Historical Shareweights'!AJ462,TCO!$B$1:$AQ$1,0))</f>
        <v>#N/A</v>
      </c>
      <c r="AK468" t="e">
        <f>INDEX(TCO!$B$2:$AQ$85,MATCH('Historical Shareweights'!$A468,TCO!$A$2:$A$85,0),MATCH('Historical Shareweights'!AK462,TCO!$B$1:$AQ$1,0))</f>
        <v>#N/A</v>
      </c>
      <c r="AL468" t="e">
        <f>INDEX(TCO!$B$2:$AQ$85,MATCH('Historical Shareweights'!$A468,TCO!$A$2:$A$85,0),MATCH('Historical Shareweights'!AL462,TCO!$B$1:$AQ$1,0))</f>
        <v>#N/A</v>
      </c>
      <c r="AM468" t="e">
        <f>INDEX(TCO!$B$2:$AQ$85,MATCH('Historical Shareweights'!$A468,TCO!$A$2:$A$85,0),MATCH('Historical Shareweights'!AM462,TCO!$B$1:$AQ$1,0))</f>
        <v>#N/A</v>
      </c>
      <c r="AN468" t="e">
        <f>INDEX(TCO!$B$2:$AQ$85,MATCH('Historical Shareweights'!$A468,TCO!$A$2:$A$85,0),MATCH('Historical Shareweights'!AN462,TCO!$B$1:$AQ$1,0))</f>
        <v>#N/A</v>
      </c>
      <c r="AO468" t="e">
        <f>INDEX(TCO!$B$2:$AQ$85,MATCH('Historical Shareweights'!$A468,TCO!$A$2:$A$85,0),MATCH('Historical Shareweights'!AO462,TCO!$B$1:$AQ$1,0))</f>
        <v>#N/A</v>
      </c>
      <c r="AP468" t="e">
        <f>INDEX(TCO!$B$2:$AQ$85,MATCH('Historical Shareweights'!$A468,TCO!$A$2:$A$85,0),MATCH('Historical Shareweights'!AP462,TCO!$B$1:$AQ$1,0))</f>
        <v>#N/A</v>
      </c>
      <c r="AQ468" t="e">
        <f>INDEX(TCO!$B$2:$AQ$85,MATCH('Historical Shareweights'!$A468,TCO!$A$2:$A$85,0),MATCH('Historical Shareweights'!AQ462,TCO!$B$1:$AQ$1,0))</f>
        <v>#N/A</v>
      </c>
    </row>
    <row r="469" spans="1:43" hidden="1" outlineLevel="1" x14ac:dyDescent="0.15">
      <c r="A469" t="s">
        <v>1198</v>
      </c>
      <c r="B469" t="e">
        <f>INDEX(TCO!$B$2:$AQ$85,MATCH('Historical Shareweights'!$A469,TCO!$A$2:$A$85,0),MATCH('Historical Shareweights'!B462,TCO!$B$1:$AQ$1,0))</f>
        <v>#N/A</v>
      </c>
      <c r="C469" t="e">
        <f>INDEX(TCO!$B$2:$AQ$85,MATCH('Historical Shareweights'!$A469,TCO!$A$2:$A$85,0),MATCH('Historical Shareweights'!C462,TCO!$B$1:$AQ$1,0))</f>
        <v>#N/A</v>
      </c>
      <c r="D469" t="e">
        <f>INDEX(TCO!$B$2:$AQ$85,MATCH('Historical Shareweights'!$A469,TCO!$A$2:$A$85,0),MATCH('Historical Shareweights'!D462,TCO!$B$1:$AQ$1,0))</f>
        <v>#N/A</v>
      </c>
      <c r="E469" t="e">
        <f>INDEX(TCO!$B$2:$AQ$85,MATCH('Historical Shareweights'!$A469,TCO!$A$2:$A$85,0),MATCH('Historical Shareweights'!E462,TCO!$B$1:$AQ$1,0))</f>
        <v>#N/A</v>
      </c>
      <c r="F469" t="e">
        <f>INDEX(TCO!$B$2:$AQ$85,MATCH('Historical Shareweights'!$A469,TCO!$A$2:$A$85,0),MATCH('Historical Shareweights'!F462,TCO!$B$1:$AQ$1,0))</f>
        <v>#N/A</v>
      </c>
      <c r="G469" t="e">
        <f>INDEX(TCO!$B$2:$AQ$85,MATCH('Historical Shareweights'!$A469,TCO!$A$2:$A$85,0),MATCH('Historical Shareweights'!G462,TCO!$B$1:$AQ$1,0))</f>
        <v>#N/A</v>
      </c>
      <c r="H469" t="e">
        <f>INDEX(TCO!$B$2:$AQ$85,MATCH('Historical Shareweights'!$A469,TCO!$A$2:$A$85,0),MATCH('Historical Shareweights'!H462,TCO!$B$1:$AQ$1,0))</f>
        <v>#N/A</v>
      </c>
      <c r="I469" t="e">
        <f>INDEX(TCO!$B$2:$AQ$85,MATCH('Historical Shareweights'!$A469,TCO!$A$2:$A$85,0),MATCH('Historical Shareweights'!I462,TCO!$B$1:$AQ$1,0))</f>
        <v>#N/A</v>
      </c>
      <c r="J469" t="e">
        <f>INDEX(TCO!$B$2:$AQ$85,MATCH('Historical Shareweights'!$A469,TCO!$A$2:$A$85,0),MATCH('Historical Shareweights'!J462,TCO!$B$1:$AQ$1,0))</f>
        <v>#N/A</v>
      </c>
      <c r="K469" t="e">
        <f>INDEX(TCO!$B$2:$AQ$85,MATCH('Historical Shareweights'!$A469,TCO!$A$2:$A$85,0),MATCH('Historical Shareweights'!K462,TCO!$B$1:$AQ$1,0))</f>
        <v>#N/A</v>
      </c>
      <c r="L469" t="e">
        <f>INDEX(TCO!$B$2:$AQ$85,MATCH('Historical Shareweights'!$A469,TCO!$A$2:$A$85,0),MATCH('Historical Shareweights'!L462,TCO!$B$1:$AQ$1,0))</f>
        <v>#N/A</v>
      </c>
      <c r="M469" t="e">
        <f>INDEX(TCO!$B$2:$AQ$85,MATCH('Historical Shareweights'!$A469,TCO!$A$2:$A$85,0),MATCH('Historical Shareweights'!M462,TCO!$B$1:$AQ$1,0))</f>
        <v>#N/A</v>
      </c>
      <c r="N469" t="e">
        <f>INDEX(TCO!$B$2:$AQ$85,MATCH('Historical Shareweights'!$A469,TCO!$A$2:$A$85,0),MATCH('Historical Shareweights'!N462,TCO!$B$1:$AQ$1,0))</f>
        <v>#N/A</v>
      </c>
      <c r="O469" t="e">
        <f>INDEX(TCO!$B$2:$AQ$85,MATCH('Historical Shareweights'!$A469,TCO!$A$2:$A$85,0),MATCH('Historical Shareweights'!O462,TCO!$B$1:$AQ$1,0))</f>
        <v>#N/A</v>
      </c>
      <c r="P469" t="e">
        <f>INDEX(TCO!$B$2:$AQ$85,MATCH('Historical Shareweights'!$A469,TCO!$A$2:$A$85,0),MATCH('Historical Shareweights'!P462,TCO!$B$1:$AQ$1,0))</f>
        <v>#N/A</v>
      </c>
      <c r="Q469" t="e">
        <f>INDEX(TCO!$B$2:$AQ$85,MATCH('Historical Shareweights'!$A469,TCO!$A$2:$A$85,0),MATCH('Historical Shareweights'!Q462,TCO!$B$1:$AQ$1,0))</f>
        <v>#N/A</v>
      </c>
      <c r="R469" t="e">
        <f>INDEX(TCO!$B$2:$AQ$85,MATCH('Historical Shareweights'!$A469,TCO!$A$2:$A$85,0),MATCH('Historical Shareweights'!R462,TCO!$B$1:$AQ$1,0))</f>
        <v>#N/A</v>
      </c>
      <c r="S469" t="e">
        <f>INDEX(TCO!$B$2:$AQ$85,MATCH('Historical Shareweights'!$A469,TCO!$A$2:$A$85,0),MATCH('Historical Shareweights'!S462,TCO!$B$1:$AQ$1,0))</f>
        <v>#N/A</v>
      </c>
      <c r="T469" t="e">
        <f>INDEX(TCO!$B$2:$AQ$85,MATCH('Historical Shareweights'!$A469,TCO!$A$2:$A$85,0),MATCH('Historical Shareweights'!T462,TCO!$B$1:$AQ$1,0))</f>
        <v>#N/A</v>
      </c>
      <c r="U469" t="e">
        <f>INDEX(TCO!$B$2:$AQ$85,MATCH('Historical Shareweights'!$A469,TCO!$A$2:$A$85,0),MATCH('Historical Shareweights'!U462,TCO!$B$1:$AQ$1,0))</f>
        <v>#N/A</v>
      </c>
      <c r="V469" t="e">
        <f>INDEX(TCO!$B$2:$AQ$85,MATCH('Historical Shareweights'!$A469,TCO!$A$2:$A$85,0),MATCH('Historical Shareweights'!V462,TCO!$B$1:$AQ$1,0))</f>
        <v>#N/A</v>
      </c>
      <c r="W469" t="e">
        <f>INDEX(TCO!$B$2:$AQ$85,MATCH('Historical Shareweights'!$A469,TCO!$A$2:$A$85,0),MATCH('Historical Shareweights'!W462,TCO!$B$1:$AQ$1,0))</f>
        <v>#N/A</v>
      </c>
      <c r="X469" t="e">
        <f>INDEX(TCO!$B$2:$AQ$85,MATCH('Historical Shareweights'!$A469,TCO!$A$2:$A$85,0),MATCH('Historical Shareweights'!X462,TCO!$B$1:$AQ$1,0))</f>
        <v>#N/A</v>
      </c>
      <c r="Y469" t="e">
        <f>INDEX(TCO!$B$2:$AQ$85,MATCH('Historical Shareweights'!$A469,TCO!$A$2:$A$85,0),MATCH('Historical Shareweights'!Y462,TCO!$B$1:$AQ$1,0))</f>
        <v>#N/A</v>
      </c>
      <c r="Z469" t="e">
        <f>INDEX(TCO!$B$2:$AQ$85,MATCH('Historical Shareweights'!$A469,TCO!$A$2:$A$85,0),MATCH('Historical Shareweights'!Z462,TCO!$B$1:$AQ$1,0))</f>
        <v>#N/A</v>
      </c>
      <c r="AA469" t="e">
        <f>INDEX(TCO!$B$2:$AQ$85,MATCH('Historical Shareweights'!$A469,TCO!$A$2:$A$85,0),MATCH('Historical Shareweights'!AA462,TCO!$B$1:$AQ$1,0))</f>
        <v>#N/A</v>
      </c>
      <c r="AB469" t="e">
        <f>INDEX(TCO!$B$2:$AQ$85,MATCH('Historical Shareweights'!$A469,TCO!$A$2:$A$85,0),MATCH('Historical Shareweights'!AB462,TCO!$B$1:$AQ$1,0))</f>
        <v>#N/A</v>
      </c>
      <c r="AC469" t="e">
        <f>INDEX(TCO!$B$2:$AQ$85,MATCH('Historical Shareweights'!$A469,TCO!$A$2:$A$85,0),MATCH('Historical Shareweights'!AC462,TCO!$B$1:$AQ$1,0))</f>
        <v>#N/A</v>
      </c>
      <c r="AD469" t="e">
        <f>INDEX(TCO!$B$2:$AQ$85,MATCH('Historical Shareweights'!$A469,TCO!$A$2:$A$85,0),MATCH('Historical Shareweights'!AD462,TCO!$B$1:$AQ$1,0))</f>
        <v>#N/A</v>
      </c>
      <c r="AE469" t="e">
        <f>INDEX(TCO!$B$2:$AQ$85,MATCH('Historical Shareweights'!$A469,TCO!$A$2:$A$85,0),MATCH('Historical Shareweights'!AE462,TCO!$B$1:$AQ$1,0))</f>
        <v>#N/A</v>
      </c>
      <c r="AF469" t="e">
        <f>INDEX(TCO!$B$2:$AQ$85,MATCH('Historical Shareweights'!$A469,TCO!$A$2:$A$85,0),MATCH('Historical Shareweights'!AF462,TCO!$B$1:$AQ$1,0))</f>
        <v>#N/A</v>
      </c>
      <c r="AG469" t="e">
        <f>INDEX(TCO!$B$2:$AQ$85,MATCH('Historical Shareweights'!$A469,TCO!$A$2:$A$85,0),MATCH('Historical Shareweights'!AG462,TCO!$B$1:$AQ$1,0))</f>
        <v>#N/A</v>
      </c>
      <c r="AH469" t="e">
        <f>INDEX(TCO!$B$2:$AQ$85,MATCH('Historical Shareweights'!$A469,TCO!$A$2:$A$85,0),MATCH('Historical Shareweights'!AH462,TCO!$B$1:$AQ$1,0))</f>
        <v>#N/A</v>
      </c>
      <c r="AI469" t="e">
        <f>INDEX(TCO!$B$2:$AQ$85,MATCH('Historical Shareweights'!$A469,TCO!$A$2:$A$85,0),MATCH('Historical Shareweights'!AI462,TCO!$B$1:$AQ$1,0))</f>
        <v>#N/A</v>
      </c>
      <c r="AJ469" t="e">
        <f>INDEX(TCO!$B$2:$AQ$85,MATCH('Historical Shareweights'!$A469,TCO!$A$2:$A$85,0),MATCH('Historical Shareweights'!AJ462,TCO!$B$1:$AQ$1,0))</f>
        <v>#N/A</v>
      </c>
      <c r="AK469" t="e">
        <f>INDEX(TCO!$B$2:$AQ$85,MATCH('Historical Shareweights'!$A469,TCO!$A$2:$A$85,0),MATCH('Historical Shareweights'!AK462,TCO!$B$1:$AQ$1,0))</f>
        <v>#N/A</v>
      </c>
      <c r="AL469" t="e">
        <f>INDEX(TCO!$B$2:$AQ$85,MATCH('Historical Shareweights'!$A469,TCO!$A$2:$A$85,0),MATCH('Historical Shareweights'!AL462,TCO!$B$1:$AQ$1,0))</f>
        <v>#N/A</v>
      </c>
      <c r="AM469" t="e">
        <f>INDEX(TCO!$B$2:$AQ$85,MATCH('Historical Shareweights'!$A469,TCO!$A$2:$A$85,0),MATCH('Historical Shareweights'!AM462,TCO!$B$1:$AQ$1,0))</f>
        <v>#N/A</v>
      </c>
      <c r="AN469" t="e">
        <f>INDEX(TCO!$B$2:$AQ$85,MATCH('Historical Shareweights'!$A469,TCO!$A$2:$A$85,0),MATCH('Historical Shareweights'!AN462,TCO!$B$1:$AQ$1,0))</f>
        <v>#N/A</v>
      </c>
      <c r="AO469" t="e">
        <f>INDEX(TCO!$B$2:$AQ$85,MATCH('Historical Shareweights'!$A469,TCO!$A$2:$A$85,0),MATCH('Historical Shareweights'!AO462,TCO!$B$1:$AQ$1,0))</f>
        <v>#N/A</v>
      </c>
      <c r="AP469" t="e">
        <f>INDEX(TCO!$B$2:$AQ$85,MATCH('Historical Shareweights'!$A469,TCO!$A$2:$A$85,0),MATCH('Historical Shareweights'!AP462,TCO!$B$1:$AQ$1,0))</f>
        <v>#N/A</v>
      </c>
      <c r="AQ469" t="e">
        <f>INDEX(TCO!$B$2:$AQ$85,MATCH('Historical Shareweights'!$A469,TCO!$A$2:$A$85,0),MATCH('Historical Shareweights'!AQ462,TCO!$B$1:$AQ$1,0))</f>
        <v>#N/A</v>
      </c>
    </row>
    <row r="470" spans="1:43" hidden="1" outlineLevel="1" x14ac:dyDescent="0.15"/>
    <row r="471" spans="1:43" ht="13.6" hidden="1" outlineLevel="1" thickBot="1" x14ac:dyDescent="0.2">
      <c r="A471" s="1" t="s">
        <v>1101</v>
      </c>
      <c r="B471" s="175">
        <v>2023</v>
      </c>
    </row>
    <row r="472" spans="1:43" hidden="1" outlineLevel="1" x14ac:dyDescent="0.15"/>
    <row r="473" spans="1:43" hidden="1" outlineLevel="1" x14ac:dyDescent="0.15">
      <c r="A473" s="1" t="s">
        <v>1102</v>
      </c>
    </row>
    <row r="474" spans="1:43" hidden="1" outlineLevel="1" x14ac:dyDescent="0.15">
      <c r="B474" t="s">
        <v>1103</v>
      </c>
      <c r="C474" t="s">
        <v>1104</v>
      </c>
      <c r="D474" t="s">
        <v>1105</v>
      </c>
      <c r="E474" t="s">
        <v>1106</v>
      </c>
      <c r="F474" t="s">
        <v>1107</v>
      </c>
      <c r="G474" t="s">
        <v>1108</v>
      </c>
    </row>
    <row r="475" spans="1:43" hidden="1" outlineLevel="1" x14ac:dyDescent="0.15">
      <c r="A475" t="s">
        <v>1084</v>
      </c>
      <c r="B475" s="179">
        <v>0.21978933829510275</v>
      </c>
      <c r="C475" t="e" cm="1">
        <f t="array" ref="C475">INDEX($B463:$AQ463,,MATCH($B471,$B462:$AQ462,0))/10^6</f>
        <v>#N/A</v>
      </c>
      <c r="D475" s="176" t="e">
        <f>B475*EXP(C475*$B459)</f>
        <v>#N/A</v>
      </c>
      <c r="E475" s="171" t="e">
        <f>D475/SUM($D475:$D481)</f>
        <v>#N/A</v>
      </c>
      <c r="F475" s="177">
        <f>INDEX($B450:$F456,MATCH(A475,$A450:$A456,0),MATCH($B471,$B449:$F449,0))</f>
        <v>0</v>
      </c>
      <c r="G475" s="178" t="e">
        <f>ABS(F475-E475)</f>
        <v>#N/A</v>
      </c>
    </row>
    <row r="476" spans="1:43" hidden="1" outlineLevel="1" x14ac:dyDescent="0.15">
      <c r="A476" t="s">
        <v>1086</v>
      </c>
      <c r="B476" s="179">
        <v>8.3420557334751508E-12</v>
      </c>
      <c r="C476" t="e" cm="1">
        <f t="array" ref="C476">INDEX($B464:$AQ464,,MATCH($B471,$B462:$AQ462,0))/10^6</f>
        <v>#N/A</v>
      </c>
      <c r="D476" s="176" t="e">
        <f>B476*EXP(C476*$B459)</f>
        <v>#N/A</v>
      </c>
      <c r="E476" s="171" t="e">
        <f>D476/SUM($D475:$D481)</f>
        <v>#N/A</v>
      </c>
      <c r="F476" s="177">
        <f>INDEX($B450:$F456,MATCH(A476,$A450:$A456,0),MATCH($B471,$B449:$F449,0))</f>
        <v>0</v>
      </c>
      <c r="G476" s="178" t="e">
        <f t="shared" ref="G476:G481" si="56">ABS(F476-E476)</f>
        <v>#N/A</v>
      </c>
    </row>
    <row r="477" spans="1:43" hidden="1" outlineLevel="1" x14ac:dyDescent="0.15">
      <c r="A477" t="s">
        <v>1088</v>
      </c>
      <c r="B477" s="179">
        <v>0.999999999995829</v>
      </c>
      <c r="C477" t="e" cm="1">
        <f t="array" ref="C477">INDEX($B465:$AQ465,,MATCH($B471,$B462:$AQ462,0))/10^6</f>
        <v>#N/A</v>
      </c>
      <c r="D477" s="176" t="e">
        <f>B477*EXP(C477*$B459)</f>
        <v>#N/A</v>
      </c>
      <c r="E477" s="171" t="e">
        <f>D477/SUM($D475:$D481)</f>
        <v>#N/A</v>
      </c>
      <c r="F477" s="177">
        <f>INDEX($B450:$F456,MATCH(A477,$A450:$A456,0),MATCH($B471,$B449:$F449,0))</f>
        <v>0</v>
      </c>
      <c r="G477" s="178" t="e">
        <f t="shared" si="56"/>
        <v>#N/A</v>
      </c>
    </row>
    <row r="478" spans="1:43" hidden="1" outlineLevel="1" x14ac:dyDescent="0.15">
      <c r="A478" t="s">
        <v>408</v>
      </c>
      <c r="B478" s="179">
        <v>8.3420557334751508E-12</v>
      </c>
      <c r="C478" t="e" cm="1">
        <f t="array" ref="C478">INDEX($B466:$AQ466,,MATCH($B471,$B462:$AQ462,0))/10^6</f>
        <v>#N/A</v>
      </c>
      <c r="D478" s="176" t="e">
        <f>B478*EXP(C478*$B459)</f>
        <v>#N/A</v>
      </c>
      <c r="E478" s="171" t="e">
        <f>D478/SUM($D475:$D481)</f>
        <v>#N/A</v>
      </c>
      <c r="F478" s="177">
        <f>INDEX($B450:$F456,MATCH(A478,$A450:$A456,0),MATCH($B471,$B449:$F449,0))</f>
        <v>1</v>
      </c>
      <c r="G478" s="178" t="e">
        <f t="shared" si="56"/>
        <v>#N/A</v>
      </c>
    </row>
    <row r="479" spans="1:43" hidden="1" outlineLevel="1" x14ac:dyDescent="0.15">
      <c r="A479" t="s">
        <v>1089</v>
      </c>
      <c r="B479" s="179">
        <v>4.9482988986483461E-3</v>
      </c>
      <c r="C479" t="e" cm="1">
        <f t="array" ref="C479">INDEX($B467:$AQ467,,MATCH($B471,$B462:$AQ462,0))/10^6</f>
        <v>#N/A</v>
      </c>
      <c r="D479" s="176" t="e">
        <f>B479*EXP(C479*$B459)</f>
        <v>#N/A</v>
      </c>
      <c r="E479" s="171" t="e">
        <f>D479/SUM($D475:$D481)</f>
        <v>#N/A</v>
      </c>
      <c r="F479" s="177">
        <f>INDEX($B450:$F456,MATCH(A479,$A450:$A456,0),MATCH($B471,$B449:$F449,0))</f>
        <v>0</v>
      </c>
      <c r="G479" s="178" t="e">
        <f t="shared" si="56"/>
        <v>#N/A</v>
      </c>
    </row>
    <row r="480" spans="1:43" hidden="1" outlineLevel="1" x14ac:dyDescent="0.15">
      <c r="A480" t="s">
        <v>1090</v>
      </c>
      <c r="B480" s="179">
        <v>8.3420557334751508E-12</v>
      </c>
      <c r="C480" t="e" cm="1">
        <f t="array" ref="C480">INDEX($B468:$AQ468,,MATCH($B471,$B462:$AQ462,0))/10^6</f>
        <v>#N/A</v>
      </c>
      <c r="D480" s="176" t="e">
        <f>B480*EXP(C480*$B459)</f>
        <v>#N/A</v>
      </c>
      <c r="E480" s="171" t="e">
        <f>D480/SUM($D475:$D481)</f>
        <v>#N/A</v>
      </c>
      <c r="F480" s="177">
        <f>INDEX($B450:$F456,MATCH(A480,$A450:$A456,0),MATCH($B471,$B449:$F449,0))</f>
        <v>0</v>
      </c>
      <c r="G480" s="178" t="e">
        <f t="shared" si="56"/>
        <v>#N/A</v>
      </c>
    </row>
    <row r="481" spans="1:9" hidden="1" outlineLevel="1" x14ac:dyDescent="0.15">
      <c r="A481" t="s">
        <v>1091</v>
      </c>
      <c r="B481" s="179">
        <v>0</v>
      </c>
      <c r="C481" t="e" cm="1">
        <f t="array" ref="C481">INDEX($B469:$AQ469,,MATCH($B471,$B462:$AQ462,0))/10^6</f>
        <v>#N/A</v>
      </c>
      <c r="D481" s="176" t="e">
        <f>B481*EXP(C481*$B459)</f>
        <v>#N/A</v>
      </c>
      <c r="E481" s="171" t="e">
        <f>D481/SUM($D475:$D481)</f>
        <v>#N/A</v>
      </c>
      <c r="F481" s="177">
        <f>INDEX($B450:$F456,MATCH(A481,$A450:$A456,0),MATCH($B471,$B449:$F449,0))</f>
        <v>0</v>
      </c>
      <c r="G481" s="178" t="e">
        <f t="shared" si="56"/>
        <v>#N/A</v>
      </c>
    </row>
    <row r="482" spans="1:9" hidden="1" outlineLevel="1" x14ac:dyDescent="0.15">
      <c r="G482" s="178"/>
    </row>
    <row r="483" spans="1:9" hidden="1" outlineLevel="1" x14ac:dyDescent="0.15">
      <c r="F483" s="1" t="s">
        <v>1109</v>
      </c>
      <c r="G483" s="179" t="e">
        <f>SUM(G475:G481)</f>
        <v>#N/A</v>
      </c>
    </row>
    <row r="484" spans="1:9" hidden="1" outlineLevel="1" x14ac:dyDescent="0.15"/>
    <row r="485" spans="1:9" hidden="1" outlineLevel="1" x14ac:dyDescent="0.15">
      <c r="A485" s="1" t="s">
        <v>1110</v>
      </c>
      <c r="B485">
        <v>2019</v>
      </c>
      <c r="C485">
        <v>2020</v>
      </c>
      <c r="D485">
        <v>2021</v>
      </c>
      <c r="E485">
        <v>2022</v>
      </c>
      <c r="F485">
        <v>2023</v>
      </c>
    </row>
    <row r="486" spans="1:9" hidden="1" outlineLevel="1" x14ac:dyDescent="0.15">
      <c r="A486" t="s">
        <v>1084</v>
      </c>
      <c r="B486" s="179">
        <v>0</v>
      </c>
      <c r="C486" s="179">
        <v>0</v>
      </c>
      <c r="D486" s="179">
        <v>0</v>
      </c>
      <c r="E486" s="179">
        <v>0</v>
      </c>
      <c r="F486" s="179">
        <v>0</v>
      </c>
    </row>
    <row r="487" spans="1:9" hidden="1" outlineLevel="1" x14ac:dyDescent="0.15">
      <c r="A487" t="s">
        <v>1086</v>
      </c>
      <c r="B487" s="179">
        <v>0</v>
      </c>
      <c r="C487" s="179">
        <v>0</v>
      </c>
      <c r="D487" s="179">
        <v>0</v>
      </c>
      <c r="E487" s="179">
        <v>0</v>
      </c>
      <c r="F487" s="179">
        <v>0</v>
      </c>
    </row>
    <row r="488" spans="1:9" hidden="1" outlineLevel="1" x14ac:dyDescent="0.15">
      <c r="A488" t="s">
        <v>1088</v>
      </c>
      <c r="B488" s="179">
        <v>0</v>
      </c>
      <c r="C488" s="179">
        <v>0</v>
      </c>
      <c r="D488" s="179">
        <v>0</v>
      </c>
      <c r="E488" s="179">
        <v>0</v>
      </c>
      <c r="F488" s="179">
        <v>0</v>
      </c>
    </row>
    <row r="489" spans="1:9" hidden="1" outlineLevel="1" x14ac:dyDescent="0.15">
      <c r="A489" t="s">
        <v>408</v>
      </c>
      <c r="B489" s="179">
        <v>1</v>
      </c>
      <c r="C489" s="179">
        <v>1</v>
      </c>
      <c r="D489" s="179">
        <v>1</v>
      </c>
      <c r="E489" s="179">
        <v>1</v>
      </c>
      <c r="F489" s="179">
        <v>1</v>
      </c>
    </row>
    <row r="490" spans="1:9" hidden="1" outlineLevel="1" x14ac:dyDescent="0.15">
      <c r="A490" t="s">
        <v>1089</v>
      </c>
      <c r="B490" s="179">
        <v>0</v>
      </c>
      <c r="C490" s="179">
        <v>0</v>
      </c>
      <c r="D490" s="179">
        <v>0</v>
      </c>
      <c r="E490" s="179">
        <v>0</v>
      </c>
      <c r="F490" s="179">
        <v>0</v>
      </c>
    </row>
    <row r="491" spans="1:9" hidden="1" outlineLevel="1" x14ac:dyDescent="0.15">
      <c r="A491" t="s">
        <v>1090</v>
      </c>
      <c r="B491" s="179">
        <v>0</v>
      </c>
      <c r="C491" s="179">
        <v>0</v>
      </c>
      <c r="D491" s="179">
        <v>0</v>
      </c>
      <c r="E491" s="179">
        <v>0</v>
      </c>
      <c r="F491" s="179">
        <v>0</v>
      </c>
    </row>
    <row r="492" spans="1:9" hidden="1" outlineLevel="1" x14ac:dyDescent="0.15">
      <c r="A492" t="s">
        <v>1091</v>
      </c>
      <c r="B492" s="179">
        <v>0</v>
      </c>
      <c r="C492" s="179">
        <v>0</v>
      </c>
      <c r="D492" s="179">
        <v>0</v>
      </c>
      <c r="E492" s="179">
        <v>0</v>
      </c>
      <c r="F492" s="179">
        <v>0</v>
      </c>
    </row>
    <row r="493" spans="1:9" collapsed="1" x14ac:dyDescent="0.15"/>
    <row r="494" spans="1:9" s="170" customFormat="1" x14ac:dyDescent="0.15">
      <c r="A494" s="169" t="s">
        <v>1199</v>
      </c>
    </row>
    <row r="495" spans="1:9" hidden="1" outlineLevel="1" x14ac:dyDescent="0.15">
      <c r="A495" s="1"/>
    </row>
    <row r="496" spans="1:9" hidden="1" outlineLevel="1" x14ac:dyDescent="0.15">
      <c r="A496" s="1" t="s">
        <v>1082</v>
      </c>
      <c r="B496" s="1">
        <v>2019</v>
      </c>
      <c r="C496" s="1">
        <v>2020</v>
      </c>
      <c r="D496" s="1">
        <v>2021</v>
      </c>
      <c r="E496" s="1">
        <v>2022</v>
      </c>
      <c r="F496" s="1">
        <v>2023</v>
      </c>
      <c r="G496" s="1">
        <v>2024</v>
      </c>
      <c r="I496" s="1" t="s">
        <v>1083</v>
      </c>
    </row>
    <row r="497" spans="1:43" hidden="1" outlineLevel="1" x14ac:dyDescent="0.15">
      <c r="A497" t="s">
        <v>1084</v>
      </c>
      <c r="B497" s="171">
        <v>0.13435789080466479</v>
      </c>
      <c r="C497" s="171">
        <v>0.13449583106282995</v>
      </c>
      <c r="D497" s="171">
        <v>0.19523837819636736</v>
      </c>
      <c r="E497" s="171">
        <v>0.35633520074696545</v>
      </c>
      <c r="F497" s="171">
        <v>0.25330819822334089</v>
      </c>
      <c r="G497" s="171"/>
      <c r="I497" t="s">
        <v>1200</v>
      </c>
    </row>
    <row r="498" spans="1:43" hidden="1" outlineLevel="1" x14ac:dyDescent="0.15">
      <c r="A498" t="s">
        <v>1086</v>
      </c>
      <c r="B498" s="172">
        <v>0</v>
      </c>
      <c r="C498" s="172">
        <v>0</v>
      </c>
      <c r="D498" s="172">
        <v>0</v>
      </c>
      <c r="E498" s="172">
        <v>0</v>
      </c>
      <c r="F498" s="172">
        <v>0</v>
      </c>
      <c r="G498" s="171"/>
      <c r="I498" s="189" t="s">
        <v>1201</v>
      </c>
    </row>
    <row r="499" spans="1:43" hidden="1" outlineLevel="1" x14ac:dyDescent="0.15">
      <c r="A499" t="s">
        <v>1088</v>
      </c>
      <c r="B499" s="171">
        <v>0.86564210919533524</v>
      </c>
      <c r="C499" s="171">
        <v>0.86550416893717008</v>
      </c>
      <c r="D499" s="171">
        <v>0.8</v>
      </c>
      <c r="E499" s="171">
        <v>0.64366479925303455</v>
      </c>
      <c r="F499" s="171">
        <v>0.74668653604132551</v>
      </c>
      <c r="G499" s="171"/>
      <c r="I499" s="189" t="s">
        <v>1202</v>
      </c>
    </row>
    <row r="500" spans="1:43" hidden="1" outlineLevel="1" x14ac:dyDescent="0.15">
      <c r="A500" t="s">
        <v>408</v>
      </c>
      <c r="B500" s="172">
        <v>0</v>
      </c>
      <c r="C500" s="172">
        <v>0</v>
      </c>
      <c r="D500" s="172">
        <v>0</v>
      </c>
      <c r="E500" s="172">
        <v>0</v>
      </c>
      <c r="F500" s="172">
        <v>0</v>
      </c>
      <c r="G500" s="171"/>
      <c r="I500" s="189" t="s">
        <v>1203</v>
      </c>
    </row>
    <row r="501" spans="1:43" hidden="1" outlineLevel="1" x14ac:dyDescent="0.15">
      <c r="A501" t="s">
        <v>1089</v>
      </c>
      <c r="B501" s="172">
        <v>0</v>
      </c>
      <c r="C501" s="172">
        <v>0</v>
      </c>
      <c r="D501" s="172">
        <v>0</v>
      </c>
      <c r="E501" s="172">
        <v>0</v>
      </c>
      <c r="F501" s="172">
        <v>0</v>
      </c>
      <c r="G501" s="171"/>
    </row>
    <row r="502" spans="1:43" hidden="1" outlineLevel="1" x14ac:dyDescent="0.15">
      <c r="A502" t="s">
        <v>1090</v>
      </c>
      <c r="B502" s="172">
        <v>0</v>
      </c>
      <c r="C502" s="172">
        <v>0</v>
      </c>
      <c r="D502" s="172">
        <v>0</v>
      </c>
      <c r="E502" s="172">
        <v>0</v>
      </c>
      <c r="F502" s="172">
        <v>0</v>
      </c>
      <c r="G502" s="171"/>
    </row>
    <row r="503" spans="1:43" hidden="1" outlineLevel="1" x14ac:dyDescent="0.15">
      <c r="A503" t="s">
        <v>1091</v>
      </c>
      <c r="B503" s="172">
        <v>0</v>
      </c>
      <c r="C503" s="172">
        <v>0</v>
      </c>
      <c r="D503" s="172">
        <v>0</v>
      </c>
      <c r="E503" s="172">
        <v>0</v>
      </c>
      <c r="F503" s="172">
        <v>0</v>
      </c>
      <c r="G503" s="171"/>
    </row>
    <row r="504" spans="1:43" hidden="1" outlineLevel="1" x14ac:dyDescent="0.15">
      <c r="A504" s="173" t="s">
        <v>1092</v>
      </c>
      <c r="B504" s="174">
        <f>SUM(B497:B503)</f>
        <v>1</v>
      </c>
      <c r="C504" s="174">
        <f t="shared" ref="C504:F504" si="57">SUM(C497:C503)</f>
        <v>1</v>
      </c>
      <c r="D504" s="174">
        <f t="shared" si="57"/>
        <v>0.9952383781963674</v>
      </c>
      <c r="E504" s="174">
        <f t="shared" si="57"/>
        <v>1</v>
      </c>
      <c r="F504" s="174">
        <f t="shared" si="57"/>
        <v>0.99999473426466645</v>
      </c>
      <c r="G504" s="173"/>
    </row>
    <row r="505" spans="1:43" hidden="1" outlineLevel="1" x14ac:dyDescent="0.15"/>
    <row r="506" spans="1:43" hidden="1" outlineLevel="1" x14ac:dyDescent="0.15">
      <c r="A506" s="1" t="s">
        <v>1093</v>
      </c>
      <c r="B506">
        <f>INDEX($B$11:$AQ$22,MATCH("*"&amp;A494&amp;"*",$A$11:$A$22,0),MATCH(B496,$B$10:$AQ$10,0))</f>
        <v>-3</v>
      </c>
    </row>
    <row r="507" spans="1:43" hidden="1" outlineLevel="1" x14ac:dyDescent="0.15"/>
    <row r="508" spans="1:43" hidden="1" outlineLevel="1" x14ac:dyDescent="0.15">
      <c r="A508" s="1" t="s">
        <v>1094</v>
      </c>
    </row>
    <row r="509" spans="1:43" hidden="1" outlineLevel="1" x14ac:dyDescent="0.15">
      <c r="A509" t="s">
        <v>1068</v>
      </c>
      <c r="B509">
        <v>2019</v>
      </c>
      <c r="C509">
        <v>2020</v>
      </c>
      <c r="D509">
        <v>2021</v>
      </c>
      <c r="E509">
        <v>2022</v>
      </c>
      <c r="F509">
        <v>2023</v>
      </c>
      <c r="G509">
        <v>2024</v>
      </c>
      <c r="H509">
        <v>2025</v>
      </c>
      <c r="I509">
        <v>2026</v>
      </c>
      <c r="J509">
        <v>2027</v>
      </c>
      <c r="K509">
        <v>2028</v>
      </c>
      <c r="L509">
        <v>2029</v>
      </c>
      <c r="M509">
        <v>2030</v>
      </c>
      <c r="N509">
        <v>2031</v>
      </c>
      <c r="O509">
        <v>2032</v>
      </c>
      <c r="P509">
        <v>2033</v>
      </c>
      <c r="Q509">
        <v>2034</v>
      </c>
      <c r="R509">
        <v>2035</v>
      </c>
      <c r="S509">
        <v>2036</v>
      </c>
      <c r="T509">
        <v>2037</v>
      </c>
      <c r="U509">
        <v>2038</v>
      </c>
      <c r="V509">
        <v>2039</v>
      </c>
      <c r="W509">
        <v>2040</v>
      </c>
      <c r="X509">
        <v>2041</v>
      </c>
      <c r="Y509">
        <v>2042</v>
      </c>
      <c r="Z509">
        <v>2043</v>
      </c>
      <c r="AA509">
        <v>2044</v>
      </c>
      <c r="AB509">
        <v>2045</v>
      </c>
      <c r="AC509">
        <v>2046</v>
      </c>
      <c r="AD509">
        <v>2047</v>
      </c>
      <c r="AE509">
        <v>2048</v>
      </c>
      <c r="AF509">
        <v>2049</v>
      </c>
      <c r="AG509">
        <v>2050</v>
      </c>
      <c r="AH509">
        <v>2051</v>
      </c>
      <c r="AI509">
        <v>2052</v>
      </c>
      <c r="AJ509">
        <v>2053</v>
      </c>
      <c r="AK509">
        <v>2054</v>
      </c>
      <c r="AL509">
        <v>2055</v>
      </c>
      <c r="AM509">
        <v>2056</v>
      </c>
      <c r="AN509">
        <v>2057</v>
      </c>
      <c r="AO509">
        <v>2058</v>
      </c>
      <c r="AP509">
        <v>2059</v>
      </c>
      <c r="AQ509">
        <v>2060</v>
      </c>
    </row>
    <row r="510" spans="1:43" hidden="1" outlineLevel="1" x14ac:dyDescent="0.15">
      <c r="A510" t="s">
        <v>1204</v>
      </c>
      <c r="B510" t="e">
        <f>INDEX(TCO!$B$2:$AQ$85,MATCH('Historical Shareweights'!$A510,TCO!$A$2:$A$85,0),MATCH('Historical Shareweights'!B509,TCO!$B$1:$AQ$1,0))</f>
        <v>#N/A</v>
      </c>
      <c r="C510" t="e">
        <f>INDEX(TCO!$B$2:$AQ$85,MATCH('Historical Shareweights'!$A510,TCO!$A$2:$A$85,0),MATCH('Historical Shareweights'!C509,TCO!$B$1:$AQ$1,0))</f>
        <v>#N/A</v>
      </c>
      <c r="D510" t="e">
        <f>INDEX(TCO!$B$2:$AQ$85,MATCH('Historical Shareweights'!$A510,TCO!$A$2:$A$85,0),MATCH('Historical Shareweights'!D509,TCO!$B$1:$AQ$1,0))</f>
        <v>#N/A</v>
      </c>
      <c r="E510" t="e">
        <f>INDEX(TCO!$B$2:$AQ$85,MATCH('Historical Shareweights'!$A510,TCO!$A$2:$A$85,0),MATCH('Historical Shareweights'!E509,TCO!$B$1:$AQ$1,0))</f>
        <v>#N/A</v>
      </c>
      <c r="F510" t="e">
        <f>INDEX(TCO!$B$2:$AQ$85,MATCH('Historical Shareweights'!$A510,TCO!$A$2:$A$85,0),MATCH('Historical Shareweights'!F509,TCO!$B$1:$AQ$1,0))</f>
        <v>#N/A</v>
      </c>
      <c r="G510" t="e">
        <f>INDEX(TCO!$B$2:$AQ$85,MATCH('Historical Shareweights'!$A510,TCO!$A$2:$A$85,0),MATCH('Historical Shareweights'!G509,TCO!$B$1:$AQ$1,0))</f>
        <v>#N/A</v>
      </c>
      <c r="H510" t="e">
        <f>INDEX(TCO!$B$2:$AQ$85,MATCH('Historical Shareweights'!$A510,TCO!$A$2:$A$85,0),MATCH('Historical Shareweights'!H509,TCO!$B$1:$AQ$1,0))</f>
        <v>#N/A</v>
      </c>
      <c r="I510" t="e">
        <f>INDEX(TCO!$B$2:$AQ$85,MATCH('Historical Shareweights'!$A510,TCO!$A$2:$A$85,0),MATCH('Historical Shareweights'!I509,TCO!$B$1:$AQ$1,0))</f>
        <v>#N/A</v>
      </c>
      <c r="J510" t="e">
        <f>INDEX(TCO!$B$2:$AQ$85,MATCH('Historical Shareweights'!$A510,TCO!$A$2:$A$85,0),MATCH('Historical Shareweights'!J509,TCO!$B$1:$AQ$1,0))</f>
        <v>#N/A</v>
      </c>
      <c r="K510" t="e">
        <f>INDEX(TCO!$B$2:$AQ$85,MATCH('Historical Shareweights'!$A510,TCO!$A$2:$A$85,0),MATCH('Historical Shareweights'!K509,TCO!$B$1:$AQ$1,0))</f>
        <v>#N/A</v>
      </c>
      <c r="L510" t="e">
        <f>INDEX(TCO!$B$2:$AQ$85,MATCH('Historical Shareweights'!$A510,TCO!$A$2:$A$85,0),MATCH('Historical Shareweights'!L509,TCO!$B$1:$AQ$1,0))</f>
        <v>#N/A</v>
      </c>
      <c r="M510" t="e">
        <f>INDEX(TCO!$B$2:$AQ$85,MATCH('Historical Shareweights'!$A510,TCO!$A$2:$A$85,0),MATCH('Historical Shareweights'!M509,TCO!$B$1:$AQ$1,0))</f>
        <v>#N/A</v>
      </c>
      <c r="N510" t="e">
        <f>INDEX(TCO!$B$2:$AQ$85,MATCH('Historical Shareweights'!$A510,TCO!$A$2:$A$85,0),MATCH('Historical Shareweights'!N509,TCO!$B$1:$AQ$1,0))</f>
        <v>#N/A</v>
      </c>
      <c r="O510" t="e">
        <f>INDEX(TCO!$B$2:$AQ$85,MATCH('Historical Shareweights'!$A510,TCO!$A$2:$A$85,0),MATCH('Historical Shareweights'!O509,TCO!$B$1:$AQ$1,0))</f>
        <v>#N/A</v>
      </c>
      <c r="P510" t="e">
        <f>INDEX(TCO!$B$2:$AQ$85,MATCH('Historical Shareweights'!$A510,TCO!$A$2:$A$85,0),MATCH('Historical Shareweights'!P509,TCO!$B$1:$AQ$1,0))</f>
        <v>#N/A</v>
      </c>
      <c r="Q510" t="e">
        <f>INDEX(TCO!$B$2:$AQ$85,MATCH('Historical Shareweights'!$A510,TCO!$A$2:$A$85,0),MATCH('Historical Shareweights'!Q509,TCO!$B$1:$AQ$1,0))</f>
        <v>#N/A</v>
      </c>
      <c r="R510" t="e">
        <f>INDEX(TCO!$B$2:$AQ$85,MATCH('Historical Shareweights'!$A510,TCO!$A$2:$A$85,0),MATCH('Historical Shareweights'!R509,TCO!$B$1:$AQ$1,0))</f>
        <v>#N/A</v>
      </c>
      <c r="S510" t="e">
        <f>INDEX(TCO!$B$2:$AQ$85,MATCH('Historical Shareweights'!$A510,TCO!$A$2:$A$85,0),MATCH('Historical Shareweights'!S509,TCO!$B$1:$AQ$1,0))</f>
        <v>#N/A</v>
      </c>
      <c r="T510" t="e">
        <f>INDEX(TCO!$B$2:$AQ$85,MATCH('Historical Shareweights'!$A510,TCO!$A$2:$A$85,0),MATCH('Historical Shareweights'!T509,TCO!$B$1:$AQ$1,0))</f>
        <v>#N/A</v>
      </c>
      <c r="U510" t="e">
        <f>INDEX(TCO!$B$2:$AQ$85,MATCH('Historical Shareweights'!$A510,TCO!$A$2:$A$85,0),MATCH('Historical Shareweights'!U509,TCO!$B$1:$AQ$1,0))</f>
        <v>#N/A</v>
      </c>
      <c r="V510" t="e">
        <f>INDEX(TCO!$B$2:$AQ$85,MATCH('Historical Shareweights'!$A510,TCO!$A$2:$A$85,0),MATCH('Historical Shareweights'!V509,TCO!$B$1:$AQ$1,0))</f>
        <v>#N/A</v>
      </c>
      <c r="W510" t="e">
        <f>INDEX(TCO!$B$2:$AQ$85,MATCH('Historical Shareweights'!$A510,TCO!$A$2:$A$85,0),MATCH('Historical Shareweights'!W509,TCO!$B$1:$AQ$1,0))</f>
        <v>#N/A</v>
      </c>
      <c r="X510" t="e">
        <f>INDEX(TCO!$B$2:$AQ$85,MATCH('Historical Shareweights'!$A510,TCO!$A$2:$A$85,0),MATCH('Historical Shareweights'!X509,TCO!$B$1:$AQ$1,0))</f>
        <v>#N/A</v>
      </c>
      <c r="Y510" t="e">
        <f>INDEX(TCO!$B$2:$AQ$85,MATCH('Historical Shareweights'!$A510,TCO!$A$2:$A$85,0),MATCH('Historical Shareweights'!Y509,TCO!$B$1:$AQ$1,0))</f>
        <v>#N/A</v>
      </c>
      <c r="Z510" t="e">
        <f>INDEX(TCO!$B$2:$AQ$85,MATCH('Historical Shareweights'!$A510,TCO!$A$2:$A$85,0),MATCH('Historical Shareweights'!Z509,TCO!$B$1:$AQ$1,0))</f>
        <v>#N/A</v>
      </c>
      <c r="AA510" t="e">
        <f>INDEX(TCO!$B$2:$AQ$85,MATCH('Historical Shareweights'!$A510,TCO!$A$2:$A$85,0),MATCH('Historical Shareweights'!AA509,TCO!$B$1:$AQ$1,0))</f>
        <v>#N/A</v>
      </c>
      <c r="AB510" t="e">
        <f>INDEX(TCO!$B$2:$AQ$85,MATCH('Historical Shareweights'!$A510,TCO!$A$2:$A$85,0),MATCH('Historical Shareweights'!AB509,TCO!$B$1:$AQ$1,0))</f>
        <v>#N/A</v>
      </c>
      <c r="AC510" t="e">
        <f>INDEX(TCO!$B$2:$AQ$85,MATCH('Historical Shareweights'!$A510,TCO!$A$2:$A$85,0),MATCH('Historical Shareweights'!AC509,TCO!$B$1:$AQ$1,0))</f>
        <v>#N/A</v>
      </c>
      <c r="AD510" t="e">
        <f>INDEX(TCO!$B$2:$AQ$85,MATCH('Historical Shareweights'!$A510,TCO!$A$2:$A$85,0),MATCH('Historical Shareweights'!AD509,TCO!$B$1:$AQ$1,0))</f>
        <v>#N/A</v>
      </c>
      <c r="AE510" t="e">
        <f>INDEX(TCO!$B$2:$AQ$85,MATCH('Historical Shareweights'!$A510,TCO!$A$2:$A$85,0),MATCH('Historical Shareweights'!AE509,TCO!$B$1:$AQ$1,0))</f>
        <v>#N/A</v>
      </c>
      <c r="AF510" t="e">
        <f>INDEX(TCO!$B$2:$AQ$85,MATCH('Historical Shareweights'!$A510,TCO!$A$2:$A$85,0),MATCH('Historical Shareweights'!AF509,TCO!$B$1:$AQ$1,0))</f>
        <v>#N/A</v>
      </c>
      <c r="AG510" t="e">
        <f>INDEX(TCO!$B$2:$AQ$85,MATCH('Historical Shareweights'!$A510,TCO!$A$2:$A$85,0),MATCH('Historical Shareweights'!AG509,TCO!$B$1:$AQ$1,0))</f>
        <v>#N/A</v>
      </c>
      <c r="AH510" t="e">
        <f>INDEX(TCO!$B$2:$AQ$85,MATCH('Historical Shareweights'!$A510,TCO!$A$2:$A$85,0),MATCH('Historical Shareweights'!AH509,TCO!$B$1:$AQ$1,0))</f>
        <v>#N/A</v>
      </c>
      <c r="AI510" t="e">
        <f>INDEX(TCO!$B$2:$AQ$85,MATCH('Historical Shareweights'!$A510,TCO!$A$2:$A$85,0),MATCH('Historical Shareweights'!AI509,TCO!$B$1:$AQ$1,0))</f>
        <v>#N/A</v>
      </c>
      <c r="AJ510" t="e">
        <f>INDEX(TCO!$B$2:$AQ$85,MATCH('Historical Shareweights'!$A510,TCO!$A$2:$A$85,0),MATCH('Historical Shareweights'!AJ509,TCO!$B$1:$AQ$1,0))</f>
        <v>#N/A</v>
      </c>
      <c r="AK510" t="e">
        <f>INDEX(TCO!$B$2:$AQ$85,MATCH('Historical Shareweights'!$A510,TCO!$A$2:$A$85,0),MATCH('Historical Shareweights'!AK509,TCO!$B$1:$AQ$1,0))</f>
        <v>#N/A</v>
      </c>
      <c r="AL510" t="e">
        <f>INDEX(TCO!$B$2:$AQ$85,MATCH('Historical Shareweights'!$A510,TCO!$A$2:$A$85,0),MATCH('Historical Shareweights'!AL509,TCO!$B$1:$AQ$1,0))</f>
        <v>#N/A</v>
      </c>
      <c r="AM510" t="e">
        <f>INDEX(TCO!$B$2:$AQ$85,MATCH('Historical Shareweights'!$A510,TCO!$A$2:$A$85,0),MATCH('Historical Shareweights'!AM509,TCO!$B$1:$AQ$1,0))</f>
        <v>#N/A</v>
      </c>
      <c r="AN510" t="e">
        <f>INDEX(TCO!$B$2:$AQ$85,MATCH('Historical Shareweights'!$A510,TCO!$A$2:$A$85,0),MATCH('Historical Shareweights'!AN509,TCO!$B$1:$AQ$1,0))</f>
        <v>#N/A</v>
      </c>
      <c r="AO510" t="e">
        <f>INDEX(TCO!$B$2:$AQ$85,MATCH('Historical Shareweights'!$A510,TCO!$A$2:$A$85,0),MATCH('Historical Shareweights'!AO509,TCO!$B$1:$AQ$1,0))</f>
        <v>#N/A</v>
      </c>
      <c r="AP510" t="e">
        <f>INDEX(TCO!$B$2:$AQ$85,MATCH('Historical Shareweights'!$A510,TCO!$A$2:$A$85,0),MATCH('Historical Shareweights'!AP509,TCO!$B$1:$AQ$1,0))</f>
        <v>#N/A</v>
      </c>
      <c r="AQ510" t="e">
        <f>INDEX(TCO!$B$2:$AQ$85,MATCH('Historical Shareweights'!$A510,TCO!$A$2:$A$85,0),MATCH('Historical Shareweights'!AQ509,TCO!$B$1:$AQ$1,0))</f>
        <v>#N/A</v>
      </c>
    </row>
    <row r="511" spans="1:43" hidden="1" outlineLevel="1" x14ac:dyDescent="0.15">
      <c r="A511" t="s">
        <v>1205</v>
      </c>
      <c r="B511" t="e">
        <f>INDEX(TCO!$B$2:$AQ$85,MATCH('Historical Shareweights'!$A511,TCO!$A$2:$A$85,0),MATCH('Historical Shareweights'!B509,TCO!$B$1:$AQ$1,0))</f>
        <v>#N/A</v>
      </c>
      <c r="C511" t="e">
        <f>INDEX(TCO!$B$2:$AQ$85,MATCH('Historical Shareweights'!$A511,TCO!$A$2:$A$85,0),MATCH('Historical Shareweights'!C509,TCO!$B$1:$AQ$1,0))</f>
        <v>#N/A</v>
      </c>
      <c r="D511" t="e">
        <f>INDEX(TCO!$B$2:$AQ$85,MATCH('Historical Shareweights'!$A511,TCO!$A$2:$A$85,0),MATCH('Historical Shareweights'!D509,TCO!$B$1:$AQ$1,0))</f>
        <v>#N/A</v>
      </c>
      <c r="E511" t="e">
        <f>INDEX(TCO!$B$2:$AQ$85,MATCH('Historical Shareweights'!$A511,TCO!$A$2:$A$85,0),MATCH('Historical Shareweights'!E509,TCO!$B$1:$AQ$1,0))</f>
        <v>#N/A</v>
      </c>
      <c r="F511" t="e">
        <f>INDEX(TCO!$B$2:$AQ$85,MATCH('Historical Shareweights'!$A511,TCO!$A$2:$A$85,0),MATCH('Historical Shareweights'!F509,TCO!$B$1:$AQ$1,0))</f>
        <v>#N/A</v>
      </c>
      <c r="G511" t="e">
        <f>INDEX(TCO!$B$2:$AQ$85,MATCH('Historical Shareweights'!$A511,TCO!$A$2:$A$85,0),MATCH('Historical Shareweights'!G509,TCO!$B$1:$AQ$1,0))</f>
        <v>#N/A</v>
      </c>
      <c r="H511" t="e">
        <f>INDEX(TCO!$B$2:$AQ$85,MATCH('Historical Shareweights'!$A511,TCO!$A$2:$A$85,0),MATCH('Historical Shareweights'!H509,TCO!$B$1:$AQ$1,0))</f>
        <v>#N/A</v>
      </c>
      <c r="I511" t="e">
        <f>INDEX(TCO!$B$2:$AQ$85,MATCH('Historical Shareweights'!$A511,TCO!$A$2:$A$85,0),MATCH('Historical Shareweights'!I509,TCO!$B$1:$AQ$1,0))</f>
        <v>#N/A</v>
      </c>
      <c r="J511" t="e">
        <f>INDEX(TCO!$B$2:$AQ$85,MATCH('Historical Shareweights'!$A511,TCO!$A$2:$A$85,0),MATCH('Historical Shareweights'!J509,TCO!$B$1:$AQ$1,0))</f>
        <v>#N/A</v>
      </c>
      <c r="K511" t="e">
        <f>INDEX(TCO!$B$2:$AQ$85,MATCH('Historical Shareweights'!$A511,TCO!$A$2:$A$85,0),MATCH('Historical Shareweights'!K509,TCO!$B$1:$AQ$1,0))</f>
        <v>#N/A</v>
      </c>
      <c r="L511" t="e">
        <f>INDEX(TCO!$B$2:$AQ$85,MATCH('Historical Shareweights'!$A511,TCO!$A$2:$A$85,0),MATCH('Historical Shareweights'!L509,TCO!$B$1:$AQ$1,0))</f>
        <v>#N/A</v>
      </c>
      <c r="M511" t="e">
        <f>INDEX(TCO!$B$2:$AQ$85,MATCH('Historical Shareweights'!$A511,TCO!$A$2:$A$85,0),MATCH('Historical Shareweights'!M509,TCO!$B$1:$AQ$1,0))</f>
        <v>#N/A</v>
      </c>
      <c r="N511" t="e">
        <f>INDEX(TCO!$B$2:$AQ$85,MATCH('Historical Shareweights'!$A511,TCO!$A$2:$A$85,0),MATCH('Historical Shareweights'!N509,TCO!$B$1:$AQ$1,0))</f>
        <v>#N/A</v>
      </c>
      <c r="O511" t="e">
        <f>INDEX(TCO!$B$2:$AQ$85,MATCH('Historical Shareweights'!$A511,TCO!$A$2:$A$85,0),MATCH('Historical Shareweights'!O509,TCO!$B$1:$AQ$1,0))</f>
        <v>#N/A</v>
      </c>
      <c r="P511" t="e">
        <f>INDEX(TCO!$B$2:$AQ$85,MATCH('Historical Shareweights'!$A511,TCO!$A$2:$A$85,0),MATCH('Historical Shareweights'!P509,TCO!$B$1:$AQ$1,0))</f>
        <v>#N/A</v>
      </c>
      <c r="Q511" t="e">
        <f>INDEX(TCO!$B$2:$AQ$85,MATCH('Historical Shareweights'!$A511,TCO!$A$2:$A$85,0),MATCH('Historical Shareweights'!Q509,TCO!$B$1:$AQ$1,0))</f>
        <v>#N/A</v>
      </c>
      <c r="R511" t="e">
        <f>INDEX(TCO!$B$2:$AQ$85,MATCH('Historical Shareweights'!$A511,TCO!$A$2:$A$85,0),MATCH('Historical Shareweights'!R509,TCO!$B$1:$AQ$1,0))</f>
        <v>#N/A</v>
      </c>
      <c r="S511" t="e">
        <f>INDEX(TCO!$B$2:$AQ$85,MATCH('Historical Shareweights'!$A511,TCO!$A$2:$A$85,0),MATCH('Historical Shareweights'!S509,TCO!$B$1:$AQ$1,0))</f>
        <v>#N/A</v>
      </c>
      <c r="T511" t="e">
        <f>INDEX(TCO!$B$2:$AQ$85,MATCH('Historical Shareweights'!$A511,TCO!$A$2:$A$85,0),MATCH('Historical Shareweights'!T509,TCO!$B$1:$AQ$1,0))</f>
        <v>#N/A</v>
      </c>
      <c r="U511" t="e">
        <f>INDEX(TCO!$B$2:$AQ$85,MATCH('Historical Shareweights'!$A511,TCO!$A$2:$A$85,0),MATCH('Historical Shareweights'!U509,TCO!$B$1:$AQ$1,0))</f>
        <v>#N/A</v>
      </c>
      <c r="V511" t="e">
        <f>INDEX(TCO!$B$2:$AQ$85,MATCH('Historical Shareweights'!$A511,TCO!$A$2:$A$85,0),MATCH('Historical Shareweights'!V509,TCO!$B$1:$AQ$1,0))</f>
        <v>#N/A</v>
      </c>
      <c r="W511" t="e">
        <f>INDEX(TCO!$B$2:$AQ$85,MATCH('Historical Shareweights'!$A511,TCO!$A$2:$A$85,0),MATCH('Historical Shareweights'!W509,TCO!$B$1:$AQ$1,0))</f>
        <v>#N/A</v>
      </c>
      <c r="X511" t="e">
        <f>INDEX(TCO!$B$2:$AQ$85,MATCH('Historical Shareweights'!$A511,TCO!$A$2:$A$85,0),MATCH('Historical Shareweights'!X509,TCO!$B$1:$AQ$1,0))</f>
        <v>#N/A</v>
      </c>
      <c r="Y511" t="e">
        <f>INDEX(TCO!$B$2:$AQ$85,MATCH('Historical Shareweights'!$A511,TCO!$A$2:$A$85,0),MATCH('Historical Shareweights'!Y509,TCO!$B$1:$AQ$1,0))</f>
        <v>#N/A</v>
      </c>
      <c r="Z511" t="e">
        <f>INDEX(TCO!$B$2:$AQ$85,MATCH('Historical Shareweights'!$A511,TCO!$A$2:$A$85,0),MATCH('Historical Shareweights'!Z509,TCO!$B$1:$AQ$1,0))</f>
        <v>#N/A</v>
      </c>
      <c r="AA511" t="e">
        <f>INDEX(TCO!$B$2:$AQ$85,MATCH('Historical Shareweights'!$A511,TCO!$A$2:$A$85,0),MATCH('Historical Shareweights'!AA509,TCO!$B$1:$AQ$1,0))</f>
        <v>#N/A</v>
      </c>
      <c r="AB511" t="e">
        <f>INDEX(TCO!$B$2:$AQ$85,MATCH('Historical Shareweights'!$A511,TCO!$A$2:$A$85,0),MATCH('Historical Shareweights'!AB509,TCO!$B$1:$AQ$1,0))</f>
        <v>#N/A</v>
      </c>
      <c r="AC511" t="e">
        <f>INDEX(TCO!$B$2:$AQ$85,MATCH('Historical Shareweights'!$A511,TCO!$A$2:$A$85,0),MATCH('Historical Shareweights'!AC509,TCO!$B$1:$AQ$1,0))</f>
        <v>#N/A</v>
      </c>
      <c r="AD511" t="e">
        <f>INDEX(TCO!$B$2:$AQ$85,MATCH('Historical Shareweights'!$A511,TCO!$A$2:$A$85,0),MATCH('Historical Shareweights'!AD509,TCO!$B$1:$AQ$1,0))</f>
        <v>#N/A</v>
      </c>
      <c r="AE511" t="e">
        <f>INDEX(TCO!$B$2:$AQ$85,MATCH('Historical Shareweights'!$A511,TCO!$A$2:$A$85,0),MATCH('Historical Shareweights'!AE509,TCO!$B$1:$AQ$1,0))</f>
        <v>#N/A</v>
      </c>
      <c r="AF511" t="e">
        <f>INDEX(TCO!$B$2:$AQ$85,MATCH('Historical Shareweights'!$A511,TCO!$A$2:$A$85,0),MATCH('Historical Shareweights'!AF509,TCO!$B$1:$AQ$1,0))</f>
        <v>#N/A</v>
      </c>
      <c r="AG511" t="e">
        <f>INDEX(TCO!$B$2:$AQ$85,MATCH('Historical Shareweights'!$A511,TCO!$A$2:$A$85,0),MATCH('Historical Shareweights'!AG509,TCO!$B$1:$AQ$1,0))</f>
        <v>#N/A</v>
      </c>
      <c r="AH511" t="e">
        <f>INDEX(TCO!$B$2:$AQ$85,MATCH('Historical Shareweights'!$A511,TCO!$A$2:$A$85,0),MATCH('Historical Shareweights'!AH509,TCO!$B$1:$AQ$1,0))</f>
        <v>#N/A</v>
      </c>
      <c r="AI511" t="e">
        <f>INDEX(TCO!$B$2:$AQ$85,MATCH('Historical Shareweights'!$A511,TCO!$A$2:$A$85,0),MATCH('Historical Shareweights'!AI509,TCO!$B$1:$AQ$1,0))</f>
        <v>#N/A</v>
      </c>
      <c r="AJ511" t="e">
        <f>INDEX(TCO!$B$2:$AQ$85,MATCH('Historical Shareweights'!$A511,TCO!$A$2:$A$85,0),MATCH('Historical Shareweights'!AJ509,TCO!$B$1:$AQ$1,0))</f>
        <v>#N/A</v>
      </c>
      <c r="AK511" t="e">
        <f>INDEX(TCO!$B$2:$AQ$85,MATCH('Historical Shareweights'!$A511,TCO!$A$2:$A$85,0),MATCH('Historical Shareweights'!AK509,TCO!$B$1:$AQ$1,0))</f>
        <v>#N/A</v>
      </c>
      <c r="AL511" t="e">
        <f>INDEX(TCO!$B$2:$AQ$85,MATCH('Historical Shareweights'!$A511,TCO!$A$2:$A$85,0),MATCH('Historical Shareweights'!AL509,TCO!$B$1:$AQ$1,0))</f>
        <v>#N/A</v>
      </c>
      <c r="AM511" t="e">
        <f>INDEX(TCO!$B$2:$AQ$85,MATCH('Historical Shareweights'!$A511,TCO!$A$2:$A$85,0),MATCH('Historical Shareweights'!AM509,TCO!$B$1:$AQ$1,0))</f>
        <v>#N/A</v>
      </c>
      <c r="AN511" t="e">
        <f>INDEX(TCO!$B$2:$AQ$85,MATCH('Historical Shareweights'!$A511,TCO!$A$2:$A$85,0),MATCH('Historical Shareweights'!AN509,TCO!$B$1:$AQ$1,0))</f>
        <v>#N/A</v>
      </c>
      <c r="AO511" t="e">
        <f>INDEX(TCO!$B$2:$AQ$85,MATCH('Historical Shareweights'!$A511,TCO!$A$2:$A$85,0),MATCH('Historical Shareweights'!AO509,TCO!$B$1:$AQ$1,0))</f>
        <v>#N/A</v>
      </c>
      <c r="AP511" t="e">
        <f>INDEX(TCO!$B$2:$AQ$85,MATCH('Historical Shareweights'!$A511,TCO!$A$2:$A$85,0),MATCH('Historical Shareweights'!AP509,TCO!$B$1:$AQ$1,0))</f>
        <v>#N/A</v>
      </c>
      <c r="AQ511" t="e">
        <f>INDEX(TCO!$B$2:$AQ$85,MATCH('Historical Shareweights'!$A511,TCO!$A$2:$A$85,0),MATCH('Historical Shareweights'!AQ509,TCO!$B$1:$AQ$1,0))</f>
        <v>#N/A</v>
      </c>
    </row>
    <row r="512" spans="1:43" hidden="1" outlineLevel="1" x14ac:dyDescent="0.15">
      <c r="A512" t="s">
        <v>1206</v>
      </c>
      <c r="B512" t="e">
        <f>INDEX(TCO!$B$2:$AQ$85,MATCH('Historical Shareweights'!$A512,TCO!$A$2:$A$85,0),MATCH('Historical Shareweights'!B509,TCO!$B$1:$AQ$1,0))</f>
        <v>#N/A</v>
      </c>
      <c r="C512" t="e">
        <f>INDEX(TCO!$B$2:$AQ$85,MATCH('Historical Shareweights'!$A512,TCO!$A$2:$A$85,0),MATCH('Historical Shareweights'!C509,TCO!$B$1:$AQ$1,0))</f>
        <v>#N/A</v>
      </c>
      <c r="D512" t="e">
        <f>INDEX(TCO!$B$2:$AQ$85,MATCH('Historical Shareweights'!$A512,TCO!$A$2:$A$85,0),MATCH('Historical Shareweights'!D509,TCO!$B$1:$AQ$1,0))</f>
        <v>#N/A</v>
      </c>
      <c r="E512" t="e">
        <f>INDEX(TCO!$B$2:$AQ$85,MATCH('Historical Shareweights'!$A512,TCO!$A$2:$A$85,0),MATCH('Historical Shareweights'!E509,TCO!$B$1:$AQ$1,0))</f>
        <v>#N/A</v>
      </c>
      <c r="F512" t="e">
        <f>INDEX(TCO!$B$2:$AQ$85,MATCH('Historical Shareweights'!$A512,TCO!$A$2:$A$85,0),MATCH('Historical Shareweights'!F509,TCO!$B$1:$AQ$1,0))</f>
        <v>#N/A</v>
      </c>
      <c r="G512" t="e">
        <f>INDEX(TCO!$B$2:$AQ$85,MATCH('Historical Shareweights'!$A512,TCO!$A$2:$A$85,0),MATCH('Historical Shareweights'!G509,TCO!$B$1:$AQ$1,0))</f>
        <v>#N/A</v>
      </c>
      <c r="H512" t="e">
        <f>INDEX(TCO!$B$2:$AQ$85,MATCH('Historical Shareweights'!$A512,TCO!$A$2:$A$85,0),MATCH('Historical Shareweights'!H509,TCO!$B$1:$AQ$1,0))</f>
        <v>#N/A</v>
      </c>
      <c r="I512" t="e">
        <f>INDEX(TCO!$B$2:$AQ$85,MATCH('Historical Shareweights'!$A512,TCO!$A$2:$A$85,0),MATCH('Historical Shareweights'!I509,TCO!$B$1:$AQ$1,0))</f>
        <v>#N/A</v>
      </c>
      <c r="J512" t="e">
        <f>INDEX(TCO!$B$2:$AQ$85,MATCH('Historical Shareweights'!$A512,TCO!$A$2:$A$85,0),MATCH('Historical Shareweights'!J509,TCO!$B$1:$AQ$1,0))</f>
        <v>#N/A</v>
      </c>
      <c r="K512" t="e">
        <f>INDEX(TCO!$B$2:$AQ$85,MATCH('Historical Shareweights'!$A512,TCO!$A$2:$A$85,0),MATCH('Historical Shareweights'!K509,TCO!$B$1:$AQ$1,0))</f>
        <v>#N/A</v>
      </c>
      <c r="L512" t="e">
        <f>INDEX(TCO!$B$2:$AQ$85,MATCH('Historical Shareweights'!$A512,TCO!$A$2:$A$85,0),MATCH('Historical Shareweights'!L509,TCO!$B$1:$AQ$1,0))</f>
        <v>#N/A</v>
      </c>
      <c r="M512" t="e">
        <f>INDEX(TCO!$B$2:$AQ$85,MATCH('Historical Shareweights'!$A512,TCO!$A$2:$A$85,0),MATCH('Historical Shareweights'!M509,TCO!$B$1:$AQ$1,0))</f>
        <v>#N/A</v>
      </c>
      <c r="N512" t="e">
        <f>INDEX(TCO!$B$2:$AQ$85,MATCH('Historical Shareweights'!$A512,TCO!$A$2:$A$85,0),MATCH('Historical Shareweights'!N509,TCO!$B$1:$AQ$1,0))</f>
        <v>#N/A</v>
      </c>
      <c r="O512" t="e">
        <f>INDEX(TCO!$B$2:$AQ$85,MATCH('Historical Shareweights'!$A512,TCO!$A$2:$A$85,0),MATCH('Historical Shareweights'!O509,TCO!$B$1:$AQ$1,0))</f>
        <v>#N/A</v>
      </c>
      <c r="P512" t="e">
        <f>INDEX(TCO!$B$2:$AQ$85,MATCH('Historical Shareweights'!$A512,TCO!$A$2:$A$85,0),MATCH('Historical Shareweights'!P509,TCO!$B$1:$AQ$1,0))</f>
        <v>#N/A</v>
      </c>
      <c r="Q512" t="e">
        <f>INDEX(TCO!$B$2:$AQ$85,MATCH('Historical Shareweights'!$A512,TCO!$A$2:$A$85,0),MATCH('Historical Shareweights'!Q509,TCO!$B$1:$AQ$1,0))</f>
        <v>#N/A</v>
      </c>
      <c r="R512" t="e">
        <f>INDEX(TCO!$B$2:$AQ$85,MATCH('Historical Shareweights'!$A512,TCO!$A$2:$A$85,0),MATCH('Historical Shareweights'!R509,TCO!$B$1:$AQ$1,0))</f>
        <v>#N/A</v>
      </c>
      <c r="S512" t="e">
        <f>INDEX(TCO!$B$2:$AQ$85,MATCH('Historical Shareweights'!$A512,TCO!$A$2:$A$85,0),MATCH('Historical Shareweights'!S509,TCO!$B$1:$AQ$1,0))</f>
        <v>#N/A</v>
      </c>
      <c r="T512" t="e">
        <f>INDEX(TCO!$B$2:$AQ$85,MATCH('Historical Shareweights'!$A512,TCO!$A$2:$A$85,0),MATCH('Historical Shareweights'!T509,TCO!$B$1:$AQ$1,0))</f>
        <v>#N/A</v>
      </c>
      <c r="U512" t="e">
        <f>INDEX(TCO!$B$2:$AQ$85,MATCH('Historical Shareweights'!$A512,TCO!$A$2:$A$85,0),MATCH('Historical Shareweights'!U509,TCO!$B$1:$AQ$1,0))</f>
        <v>#N/A</v>
      </c>
      <c r="V512" t="e">
        <f>INDEX(TCO!$B$2:$AQ$85,MATCH('Historical Shareweights'!$A512,TCO!$A$2:$A$85,0),MATCH('Historical Shareweights'!V509,TCO!$B$1:$AQ$1,0))</f>
        <v>#N/A</v>
      </c>
      <c r="W512" t="e">
        <f>INDEX(TCO!$B$2:$AQ$85,MATCH('Historical Shareweights'!$A512,TCO!$A$2:$A$85,0),MATCH('Historical Shareweights'!W509,TCO!$B$1:$AQ$1,0))</f>
        <v>#N/A</v>
      </c>
      <c r="X512" t="e">
        <f>INDEX(TCO!$B$2:$AQ$85,MATCH('Historical Shareweights'!$A512,TCO!$A$2:$A$85,0),MATCH('Historical Shareweights'!X509,TCO!$B$1:$AQ$1,0))</f>
        <v>#N/A</v>
      </c>
      <c r="Y512" t="e">
        <f>INDEX(TCO!$B$2:$AQ$85,MATCH('Historical Shareweights'!$A512,TCO!$A$2:$A$85,0),MATCH('Historical Shareweights'!Y509,TCO!$B$1:$AQ$1,0))</f>
        <v>#N/A</v>
      </c>
      <c r="Z512" t="e">
        <f>INDEX(TCO!$B$2:$AQ$85,MATCH('Historical Shareweights'!$A512,TCO!$A$2:$A$85,0),MATCH('Historical Shareweights'!Z509,TCO!$B$1:$AQ$1,0))</f>
        <v>#N/A</v>
      </c>
      <c r="AA512" t="e">
        <f>INDEX(TCO!$B$2:$AQ$85,MATCH('Historical Shareweights'!$A512,TCO!$A$2:$A$85,0),MATCH('Historical Shareweights'!AA509,TCO!$B$1:$AQ$1,0))</f>
        <v>#N/A</v>
      </c>
      <c r="AB512" t="e">
        <f>INDEX(TCO!$B$2:$AQ$85,MATCH('Historical Shareweights'!$A512,TCO!$A$2:$A$85,0),MATCH('Historical Shareweights'!AB509,TCO!$B$1:$AQ$1,0))</f>
        <v>#N/A</v>
      </c>
      <c r="AC512" t="e">
        <f>INDEX(TCO!$B$2:$AQ$85,MATCH('Historical Shareweights'!$A512,TCO!$A$2:$A$85,0),MATCH('Historical Shareweights'!AC509,TCO!$B$1:$AQ$1,0))</f>
        <v>#N/A</v>
      </c>
      <c r="AD512" t="e">
        <f>INDEX(TCO!$B$2:$AQ$85,MATCH('Historical Shareweights'!$A512,TCO!$A$2:$A$85,0),MATCH('Historical Shareweights'!AD509,TCO!$B$1:$AQ$1,0))</f>
        <v>#N/A</v>
      </c>
      <c r="AE512" t="e">
        <f>INDEX(TCO!$B$2:$AQ$85,MATCH('Historical Shareweights'!$A512,TCO!$A$2:$A$85,0),MATCH('Historical Shareweights'!AE509,TCO!$B$1:$AQ$1,0))</f>
        <v>#N/A</v>
      </c>
      <c r="AF512" t="e">
        <f>INDEX(TCO!$B$2:$AQ$85,MATCH('Historical Shareweights'!$A512,TCO!$A$2:$A$85,0),MATCH('Historical Shareweights'!AF509,TCO!$B$1:$AQ$1,0))</f>
        <v>#N/A</v>
      </c>
      <c r="AG512" t="e">
        <f>INDEX(TCO!$B$2:$AQ$85,MATCH('Historical Shareweights'!$A512,TCO!$A$2:$A$85,0),MATCH('Historical Shareweights'!AG509,TCO!$B$1:$AQ$1,0))</f>
        <v>#N/A</v>
      </c>
      <c r="AH512" t="e">
        <f>INDEX(TCO!$B$2:$AQ$85,MATCH('Historical Shareweights'!$A512,TCO!$A$2:$A$85,0),MATCH('Historical Shareweights'!AH509,TCO!$B$1:$AQ$1,0))</f>
        <v>#N/A</v>
      </c>
      <c r="AI512" t="e">
        <f>INDEX(TCO!$B$2:$AQ$85,MATCH('Historical Shareweights'!$A512,TCO!$A$2:$A$85,0),MATCH('Historical Shareweights'!AI509,TCO!$B$1:$AQ$1,0))</f>
        <v>#N/A</v>
      </c>
      <c r="AJ512" t="e">
        <f>INDEX(TCO!$B$2:$AQ$85,MATCH('Historical Shareweights'!$A512,TCO!$A$2:$A$85,0),MATCH('Historical Shareweights'!AJ509,TCO!$B$1:$AQ$1,0))</f>
        <v>#N/A</v>
      </c>
      <c r="AK512" t="e">
        <f>INDEX(TCO!$B$2:$AQ$85,MATCH('Historical Shareweights'!$A512,TCO!$A$2:$A$85,0),MATCH('Historical Shareweights'!AK509,TCO!$B$1:$AQ$1,0))</f>
        <v>#N/A</v>
      </c>
      <c r="AL512" t="e">
        <f>INDEX(TCO!$B$2:$AQ$85,MATCH('Historical Shareweights'!$A512,TCO!$A$2:$A$85,0),MATCH('Historical Shareweights'!AL509,TCO!$B$1:$AQ$1,0))</f>
        <v>#N/A</v>
      </c>
      <c r="AM512" t="e">
        <f>INDEX(TCO!$B$2:$AQ$85,MATCH('Historical Shareweights'!$A512,TCO!$A$2:$A$85,0),MATCH('Historical Shareweights'!AM509,TCO!$B$1:$AQ$1,0))</f>
        <v>#N/A</v>
      </c>
      <c r="AN512" t="e">
        <f>INDEX(TCO!$B$2:$AQ$85,MATCH('Historical Shareweights'!$A512,TCO!$A$2:$A$85,0),MATCH('Historical Shareweights'!AN509,TCO!$B$1:$AQ$1,0))</f>
        <v>#N/A</v>
      </c>
      <c r="AO512" t="e">
        <f>INDEX(TCO!$B$2:$AQ$85,MATCH('Historical Shareweights'!$A512,TCO!$A$2:$A$85,0),MATCH('Historical Shareweights'!AO509,TCO!$B$1:$AQ$1,0))</f>
        <v>#N/A</v>
      </c>
      <c r="AP512" t="e">
        <f>INDEX(TCO!$B$2:$AQ$85,MATCH('Historical Shareweights'!$A512,TCO!$A$2:$A$85,0),MATCH('Historical Shareweights'!AP509,TCO!$B$1:$AQ$1,0))</f>
        <v>#N/A</v>
      </c>
      <c r="AQ512" t="e">
        <f>INDEX(TCO!$B$2:$AQ$85,MATCH('Historical Shareweights'!$A512,TCO!$A$2:$A$85,0),MATCH('Historical Shareweights'!AQ509,TCO!$B$1:$AQ$1,0))</f>
        <v>#N/A</v>
      </c>
    </row>
    <row r="513" spans="1:43" hidden="1" outlineLevel="1" x14ac:dyDescent="0.15">
      <c r="A513" t="s">
        <v>1207</v>
      </c>
      <c r="B513" t="e">
        <f>INDEX(TCO!$B$2:$AQ$85,MATCH('Historical Shareweights'!$A513,TCO!$A$2:$A$85,0),MATCH('Historical Shareweights'!B509,TCO!$B$1:$AQ$1,0))</f>
        <v>#N/A</v>
      </c>
      <c r="C513" t="e">
        <f>INDEX(TCO!$B$2:$AQ$85,MATCH('Historical Shareweights'!$A513,TCO!$A$2:$A$85,0),MATCH('Historical Shareweights'!C509,TCO!$B$1:$AQ$1,0))</f>
        <v>#N/A</v>
      </c>
      <c r="D513" t="e">
        <f>INDEX(TCO!$B$2:$AQ$85,MATCH('Historical Shareweights'!$A513,TCO!$A$2:$A$85,0),MATCH('Historical Shareweights'!D509,TCO!$B$1:$AQ$1,0))</f>
        <v>#N/A</v>
      </c>
      <c r="E513" t="e">
        <f>INDEX(TCO!$B$2:$AQ$85,MATCH('Historical Shareweights'!$A513,TCO!$A$2:$A$85,0),MATCH('Historical Shareweights'!E509,TCO!$B$1:$AQ$1,0))</f>
        <v>#N/A</v>
      </c>
      <c r="F513" t="e">
        <f>INDEX(TCO!$B$2:$AQ$85,MATCH('Historical Shareweights'!$A513,TCO!$A$2:$A$85,0),MATCH('Historical Shareweights'!F509,TCO!$B$1:$AQ$1,0))</f>
        <v>#N/A</v>
      </c>
      <c r="G513" t="e">
        <f>INDEX(TCO!$B$2:$AQ$85,MATCH('Historical Shareweights'!$A513,TCO!$A$2:$A$85,0),MATCH('Historical Shareweights'!G509,TCO!$B$1:$AQ$1,0))</f>
        <v>#N/A</v>
      </c>
      <c r="H513" t="e">
        <f>INDEX(TCO!$B$2:$AQ$85,MATCH('Historical Shareweights'!$A513,TCO!$A$2:$A$85,0),MATCH('Historical Shareweights'!H509,TCO!$B$1:$AQ$1,0))</f>
        <v>#N/A</v>
      </c>
      <c r="I513" t="e">
        <f>INDEX(TCO!$B$2:$AQ$85,MATCH('Historical Shareweights'!$A513,TCO!$A$2:$A$85,0),MATCH('Historical Shareweights'!I509,TCO!$B$1:$AQ$1,0))</f>
        <v>#N/A</v>
      </c>
      <c r="J513" t="e">
        <f>INDEX(TCO!$B$2:$AQ$85,MATCH('Historical Shareweights'!$A513,TCO!$A$2:$A$85,0),MATCH('Historical Shareweights'!J509,TCO!$B$1:$AQ$1,0))</f>
        <v>#N/A</v>
      </c>
      <c r="K513" t="e">
        <f>INDEX(TCO!$B$2:$AQ$85,MATCH('Historical Shareweights'!$A513,TCO!$A$2:$A$85,0),MATCH('Historical Shareweights'!K509,TCO!$B$1:$AQ$1,0))</f>
        <v>#N/A</v>
      </c>
      <c r="L513" t="e">
        <f>INDEX(TCO!$B$2:$AQ$85,MATCH('Historical Shareweights'!$A513,TCO!$A$2:$A$85,0),MATCH('Historical Shareweights'!L509,TCO!$B$1:$AQ$1,0))</f>
        <v>#N/A</v>
      </c>
      <c r="M513" t="e">
        <f>INDEX(TCO!$B$2:$AQ$85,MATCH('Historical Shareweights'!$A513,TCO!$A$2:$A$85,0),MATCH('Historical Shareweights'!M509,TCO!$B$1:$AQ$1,0))</f>
        <v>#N/A</v>
      </c>
      <c r="N513" t="e">
        <f>INDEX(TCO!$B$2:$AQ$85,MATCH('Historical Shareweights'!$A513,TCO!$A$2:$A$85,0),MATCH('Historical Shareweights'!N509,TCO!$B$1:$AQ$1,0))</f>
        <v>#N/A</v>
      </c>
      <c r="O513" t="e">
        <f>INDEX(TCO!$B$2:$AQ$85,MATCH('Historical Shareweights'!$A513,TCO!$A$2:$A$85,0),MATCH('Historical Shareweights'!O509,TCO!$B$1:$AQ$1,0))</f>
        <v>#N/A</v>
      </c>
      <c r="P513" t="e">
        <f>INDEX(TCO!$B$2:$AQ$85,MATCH('Historical Shareweights'!$A513,TCO!$A$2:$A$85,0),MATCH('Historical Shareweights'!P509,TCO!$B$1:$AQ$1,0))</f>
        <v>#N/A</v>
      </c>
      <c r="Q513" t="e">
        <f>INDEX(TCO!$B$2:$AQ$85,MATCH('Historical Shareweights'!$A513,TCO!$A$2:$A$85,0),MATCH('Historical Shareweights'!Q509,TCO!$B$1:$AQ$1,0))</f>
        <v>#N/A</v>
      </c>
      <c r="R513" t="e">
        <f>INDEX(TCO!$B$2:$AQ$85,MATCH('Historical Shareweights'!$A513,TCO!$A$2:$A$85,0),MATCH('Historical Shareweights'!R509,TCO!$B$1:$AQ$1,0))</f>
        <v>#N/A</v>
      </c>
      <c r="S513" t="e">
        <f>INDEX(TCO!$B$2:$AQ$85,MATCH('Historical Shareweights'!$A513,TCO!$A$2:$A$85,0),MATCH('Historical Shareweights'!S509,TCO!$B$1:$AQ$1,0))</f>
        <v>#N/A</v>
      </c>
      <c r="T513" t="e">
        <f>INDEX(TCO!$B$2:$AQ$85,MATCH('Historical Shareweights'!$A513,TCO!$A$2:$A$85,0),MATCH('Historical Shareweights'!T509,TCO!$B$1:$AQ$1,0))</f>
        <v>#N/A</v>
      </c>
      <c r="U513" t="e">
        <f>INDEX(TCO!$B$2:$AQ$85,MATCH('Historical Shareweights'!$A513,TCO!$A$2:$A$85,0),MATCH('Historical Shareweights'!U509,TCO!$B$1:$AQ$1,0))</f>
        <v>#N/A</v>
      </c>
      <c r="V513" t="e">
        <f>INDEX(TCO!$B$2:$AQ$85,MATCH('Historical Shareweights'!$A513,TCO!$A$2:$A$85,0),MATCH('Historical Shareweights'!V509,TCO!$B$1:$AQ$1,0))</f>
        <v>#N/A</v>
      </c>
      <c r="W513" t="e">
        <f>INDEX(TCO!$B$2:$AQ$85,MATCH('Historical Shareweights'!$A513,TCO!$A$2:$A$85,0),MATCH('Historical Shareweights'!W509,TCO!$B$1:$AQ$1,0))</f>
        <v>#N/A</v>
      </c>
      <c r="X513" t="e">
        <f>INDEX(TCO!$B$2:$AQ$85,MATCH('Historical Shareweights'!$A513,TCO!$A$2:$A$85,0),MATCH('Historical Shareweights'!X509,TCO!$B$1:$AQ$1,0))</f>
        <v>#N/A</v>
      </c>
      <c r="Y513" t="e">
        <f>INDEX(TCO!$B$2:$AQ$85,MATCH('Historical Shareweights'!$A513,TCO!$A$2:$A$85,0),MATCH('Historical Shareweights'!Y509,TCO!$B$1:$AQ$1,0))</f>
        <v>#N/A</v>
      </c>
      <c r="Z513" t="e">
        <f>INDEX(TCO!$B$2:$AQ$85,MATCH('Historical Shareweights'!$A513,TCO!$A$2:$A$85,0),MATCH('Historical Shareweights'!Z509,TCO!$B$1:$AQ$1,0))</f>
        <v>#N/A</v>
      </c>
      <c r="AA513" t="e">
        <f>INDEX(TCO!$B$2:$AQ$85,MATCH('Historical Shareweights'!$A513,TCO!$A$2:$A$85,0),MATCH('Historical Shareweights'!AA509,TCO!$B$1:$AQ$1,0))</f>
        <v>#N/A</v>
      </c>
      <c r="AB513" t="e">
        <f>INDEX(TCO!$B$2:$AQ$85,MATCH('Historical Shareweights'!$A513,TCO!$A$2:$A$85,0),MATCH('Historical Shareweights'!AB509,TCO!$B$1:$AQ$1,0))</f>
        <v>#N/A</v>
      </c>
      <c r="AC513" t="e">
        <f>INDEX(TCO!$B$2:$AQ$85,MATCH('Historical Shareweights'!$A513,TCO!$A$2:$A$85,0),MATCH('Historical Shareweights'!AC509,TCO!$B$1:$AQ$1,0))</f>
        <v>#N/A</v>
      </c>
      <c r="AD513" t="e">
        <f>INDEX(TCO!$B$2:$AQ$85,MATCH('Historical Shareweights'!$A513,TCO!$A$2:$A$85,0),MATCH('Historical Shareweights'!AD509,TCO!$B$1:$AQ$1,0))</f>
        <v>#N/A</v>
      </c>
      <c r="AE513" t="e">
        <f>INDEX(TCO!$B$2:$AQ$85,MATCH('Historical Shareweights'!$A513,TCO!$A$2:$A$85,0),MATCH('Historical Shareweights'!AE509,TCO!$B$1:$AQ$1,0))</f>
        <v>#N/A</v>
      </c>
      <c r="AF513" t="e">
        <f>INDEX(TCO!$B$2:$AQ$85,MATCH('Historical Shareweights'!$A513,TCO!$A$2:$A$85,0),MATCH('Historical Shareweights'!AF509,TCO!$B$1:$AQ$1,0))</f>
        <v>#N/A</v>
      </c>
      <c r="AG513" t="e">
        <f>INDEX(TCO!$B$2:$AQ$85,MATCH('Historical Shareweights'!$A513,TCO!$A$2:$A$85,0),MATCH('Historical Shareweights'!AG509,TCO!$B$1:$AQ$1,0))</f>
        <v>#N/A</v>
      </c>
      <c r="AH513" t="e">
        <f>INDEX(TCO!$B$2:$AQ$85,MATCH('Historical Shareweights'!$A513,TCO!$A$2:$A$85,0),MATCH('Historical Shareweights'!AH509,TCO!$B$1:$AQ$1,0))</f>
        <v>#N/A</v>
      </c>
      <c r="AI513" t="e">
        <f>INDEX(TCO!$B$2:$AQ$85,MATCH('Historical Shareweights'!$A513,TCO!$A$2:$A$85,0),MATCH('Historical Shareweights'!AI509,TCO!$B$1:$AQ$1,0))</f>
        <v>#N/A</v>
      </c>
      <c r="AJ513" t="e">
        <f>INDEX(TCO!$B$2:$AQ$85,MATCH('Historical Shareweights'!$A513,TCO!$A$2:$A$85,0),MATCH('Historical Shareweights'!AJ509,TCO!$B$1:$AQ$1,0))</f>
        <v>#N/A</v>
      </c>
      <c r="AK513" t="e">
        <f>INDEX(TCO!$B$2:$AQ$85,MATCH('Historical Shareweights'!$A513,TCO!$A$2:$A$85,0),MATCH('Historical Shareweights'!AK509,TCO!$B$1:$AQ$1,0))</f>
        <v>#N/A</v>
      </c>
      <c r="AL513" t="e">
        <f>INDEX(TCO!$B$2:$AQ$85,MATCH('Historical Shareweights'!$A513,TCO!$A$2:$A$85,0),MATCH('Historical Shareweights'!AL509,TCO!$B$1:$AQ$1,0))</f>
        <v>#N/A</v>
      </c>
      <c r="AM513" t="e">
        <f>INDEX(TCO!$B$2:$AQ$85,MATCH('Historical Shareweights'!$A513,TCO!$A$2:$A$85,0),MATCH('Historical Shareweights'!AM509,TCO!$B$1:$AQ$1,0))</f>
        <v>#N/A</v>
      </c>
      <c r="AN513" t="e">
        <f>INDEX(TCO!$B$2:$AQ$85,MATCH('Historical Shareweights'!$A513,TCO!$A$2:$A$85,0),MATCH('Historical Shareweights'!AN509,TCO!$B$1:$AQ$1,0))</f>
        <v>#N/A</v>
      </c>
      <c r="AO513" t="e">
        <f>INDEX(TCO!$B$2:$AQ$85,MATCH('Historical Shareweights'!$A513,TCO!$A$2:$A$85,0),MATCH('Historical Shareweights'!AO509,TCO!$B$1:$AQ$1,0))</f>
        <v>#N/A</v>
      </c>
      <c r="AP513" t="e">
        <f>INDEX(TCO!$B$2:$AQ$85,MATCH('Historical Shareweights'!$A513,TCO!$A$2:$A$85,0),MATCH('Historical Shareweights'!AP509,TCO!$B$1:$AQ$1,0))</f>
        <v>#N/A</v>
      </c>
      <c r="AQ513" t="e">
        <f>INDEX(TCO!$B$2:$AQ$85,MATCH('Historical Shareweights'!$A513,TCO!$A$2:$A$85,0),MATCH('Historical Shareweights'!AQ509,TCO!$B$1:$AQ$1,0))</f>
        <v>#N/A</v>
      </c>
    </row>
    <row r="514" spans="1:43" hidden="1" outlineLevel="1" x14ac:dyDescent="0.15">
      <c r="A514" t="s">
        <v>1208</v>
      </c>
      <c r="B514" t="e">
        <f>INDEX(TCO!$B$2:$AQ$85,MATCH('Historical Shareweights'!$A514,TCO!$A$2:$A$85,0),MATCH('Historical Shareweights'!B509,TCO!$B$1:$AQ$1,0))</f>
        <v>#N/A</v>
      </c>
      <c r="C514" t="e">
        <f>INDEX(TCO!$B$2:$AQ$85,MATCH('Historical Shareweights'!$A514,TCO!$A$2:$A$85,0),MATCH('Historical Shareweights'!C509,TCO!$B$1:$AQ$1,0))</f>
        <v>#N/A</v>
      </c>
      <c r="D514" t="e">
        <f>INDEX(TCO!$B$2:$AQ$85,MATCH('Historical Shareweights'!$A514,TCO!$A$2:$A$85,0),MATCH('Historical Shareweights'!D509,TCO!$B$1:$AQ$1,0))</f>
        <v>#N/A</v>
      </c>
      <c r="E514" t="e">
        <f>INDEX(TCO!$B$2:$AQ$85,MATCH('Historical Shareweights'!$A514,TCO!$A$2:$A$85,0),MATCH('Historical Shareweights'!E509,TCO!$B$1:$AQ$1,0))</f>
        <v>#N/A</v>
      </c>
      <c r="F514" t="e">
        <f>INDEX(TCO!$B$2:$AQ$85,MATCH('Historical Shareweights'!$A514,TCO!$A$2:$A$85,0),MATCH('Historical Shareweights'!F509,TCO!$B$1:$AQ$1,0))</f>
        <v>#N/A</v>
      </c>
      <c r="G514" t="e">
        <f>INDEX(TCO!$B$2:$AQ$85,MATCH('Historical Shareweights'!$A514,TCO!$A$2:$A$85,0),MATCH('Historical Shareweights'!G509,TCO!$B$1:$AQ$1,0))</f>
        <v>#N/A</v>
      </c>
      <c r="H514" t="e">
        <f>INDEX(TCO!$B$2:$AQ$85,MATCH('Historical Shareweights'!$A514,TCO!$A$2:$A$85,0),MATCH('Historical Shareweights'!H509,TCO!$B$1:$AQ$1,0))</f>
        <v>#N/A</v>
      </c>
      <c r="I514" t="e">
        <f>INDEX(TCO!$B$2:$AQ$85,MATCH('Historical Shareweights'!$A514,TCO!$A$2:$A$85,0),MATCH('Historical Shareweights'!I509,TCO!$B$1:$AQ$1,0))</f>
        <v>#N/A</v>
      </c>
      <c r="J514" t="e">
        <f>INDEX(TCO!$B$2:$AQ$85,MATCH('Historical Shareweights'!$A514,TCO!$A$2:$A$85,0),MATCH('Historical Shareweights'!J509,TCO!$B$1:$AQ$1,0))</f>
        <v>#N/A</v>
      </c>
      <c r="K514" t="e">
        <f>INDEX(TCO!$B$2:$AQ$85,MATCH('Historical Shareweights'!$A514,TCO!$A$2:$A$85,0),MATCH('Historical Shareweights'!K509,TCO!$B$1:$AQ$1,0))</f>
        <v>#N/A</v>
      </c>
      <c r="L514" t="e">
        <f>INDEX(TCO!$B$2:$AQ$85,MATCH('Historical Shareweights'!$A514,TCO!$A$2:$A$85,0),MATCH('Historical Shareweights'!L509,TCO!$B$1:$AQ$1,0))</f>
        <v>#N/A</v>
      </c>
      <c r="M514" t="e">
        <f>INDEX(TCO!$B$2:$AQ$85,MATCH('Historical Shareweights'!$A514,TCO!$A$2:$A$85,0),MATCH('Historical Shareweights'!M509,TCO!$B$1:$AQ$1,0))</f>
        <v>#N/A</v>
      </c>
      <c r="N514" t="e">
        <f>INDEX(TCO!$B$2:$AQ$85,MATCH('Historical Shareweights'!$A514,TCO!$A$2:$A$85,0),MATCH('Historical Shareweights'!N509,TCO!$B$1:$AQ$1,0))</f>
        <v>#N/A</v>
      </c>
      <c r="O514" t="e">
        <f>INDEX(TCO!$B$2:$AQ$85,MATCH('Historical Shareweights'!$A514,TCO!$A$2:$A$85,0),MATCH('Historical Shareweights'!O509,TCO!$B$1:$AQ$1,0))</f>
        <v>#N/A</v>
      </c>
      <c r="P514" t="e">
        <f>INDEX(TCO!$B$2:$AQ$85,MATCH('Historical Shareweights'!$A514,TCO!$A$2:$A$85,0),MATCH('Historical Shareweights'!P509,TCO!$B$1:$AQ$1,0))</f>
        <v>#N/A</v>
      </c>
      <c r="Q514" t="e">
        <f>INDEX(TCO!$B$2:$AQ$85,MATCH('Historical Shareweights'!$A514,TCO!$A$2:$A$85,0),MATCH('Historical Shareweights'!Q509,TCO!$B$1:$AQ$1,0))</f>
        <v>#N/A</v>
      </c>
      <c r="R514" t="e">
        <f>INDEX(TCO!$B$2:$AQ$85,MATCH('Historical Shareweights'!$A514,TCO!$A$2:$A$85,0),MATCH('Historical Shareweights'!R509,TCO!$B$1:$AQ$1,0))</f>
        <v>#N/A</v>
      </c>
      <c r="S514" t="e">
        <f>INDEX(TCO!$B$2:$AQ$85,MATCH('Historical Shareweights'!$A514,TCO!$A$2:$A$85,0),MATCH('Historical Shareweights'!S509,TCO!$B$1:$AQ$1,0))</f>
        <v>#N/A</v>
      </c>
      <c r="T514" t="e">
        <f>INDEX(TCO!$B$2:$AQ$85,MATCH('Historical Shareweights'!$A514,TCO!$A$2:$A$85,0),MATCH('Historical Shareweights'!T509,TCO!$B$1:$AQ$1,0))</f>
        <v>#N/A</v>
      </c>
      <c r="U514" t="e">
        <f>INDEX(TCO!$B$2:$AQ$85,MATCH('Historical Shareweights'!$A514,TCO!$A$2:$A$85,0),MATCH('Historical Shareweights'!U509,TCO!$B$1:$AQ$1,0))</f>
        <v>#N/A</v>
      </c>
      <c r="V514" t="e">
        <f>INDEX(TCO!$B$2:$AQ$85,MATCH('Historical Shareweights'!$A514,TCO!$A$2:$A$85,0),MATCH('Historical Shareweights'!V509,TCO!$B$1:$AQ$1,0))</f>
        <v>#N/A</v>
      </c>
      <c r="W514" t="e">
        <f>INDEX(TCO!$B$2:$AQ$85,MATCH('Historical Shareweights'!$A514,TCO!$A$2:$A$85,0),MATCH('Historical Shareweights'!W509,TCO!$B$1:$AQ$1,0))</f>
        <v>#N/A</v>
      </c>
      <c r="X514" t="e">
        <f>INDEX(TCO!$B$2:$AQ$85,MATCH('Historical Shareweights'!$A514,TCO!$A$2:$A$85,0),MATCH('Historical Shareweights'!X509,TCO!$B$1:$AQ$1,0))</f>
        <v>#N/A</v>
      </c>
      <c r="Y514" t="e">
        <f>INDEX(TCO!$B$2:$AQ$85,MATCH('Historical Shareweights'!$A514,TCO!$A$2:$A$85,0),MATCH('Historical Shareweights'!Y509,TCO!$B$1:$AQ$1,0))</f>
        <v>#N/A</v>
      </c>
      <c r="Z514" t="e">
        <f>INDEX(TCO!$B$2:$AQ$85,MATCH('Historical Shareweights'!$A514,TCO!$A$2:$A$85,0),MATCH('Historical Shareweights'!Z509,TCO!$B$1:$AQ$1,0))</f>
        <v>#N/A</v>
      </c>
      <c r="AA514" t="e">
        <f>INDEX(TCO!$B$2:$AQ$85,MATCH('Historical Shareweights'!$A514,TCO!$A$2:$A$85,0),MATCH('Historical Shareweights'!AA509,TCO!$B$1:$AQ$1,0))</f>
        <v>#N/A</v>
      </c>
      <c r="AB514" t="e">
        <f>INDEX(TCO!$B$2:$AQ$85,MATCH('Historical Shareweights'!$A514,TCO!$A$2:$A$85,0),MATCH('Historical Shareweights'!AB509,TCO!$B$1:$AQ$1,0))</f>
        <v>#N/A</v>
      </c>
      <c r="AC514" t="e">
        <f>INDEX(TCO!$B$2:$AQ$85,MATCH('Historical Shareweights'!$A514,TCO!$A$2:$A$85,0),MATCH('Historical Shareweights'!AC509,TCO!$B$1:$AQ$1,0))</f>
        <v>#N/A</v>
      </c>
      <c r="AD514" t="e">
        <f>INDEX(TCO!$B$2:$AQ$85,MATCH('Historical Shareweights'!$A514,TCO!$A$2:$A$85,0),MATCH('Historical Shareweights'!AD509,TCO!$B$1:$AQ$1,0))</f>
        <v>#N/A</v>
      </c>
      <c r="AE514" t="e">
        <f>INDEX(TCO!$B$2:$AQ$85,MATCH('Historical Shareweights'!$A514,TCO!$A$2:$A$85,0),MATCH('Historical Shareweights'!AE509,TCO!$B$1:$AQ$1,0))</f>
        <v>#N/A</v>
      </c>
      <c r="AF514" t="e">
        <f>INDEX(TCO!$B$2:$AQ$85,MATCH('Historical Shareweights'!$A514,TCO!$A$2:$A$85,0),MATCH('Historical Shareweights'!AF509,TCO!$B$1:$AQ$1,0))</f>
        <v>#N/A</v>
      </c>
      <c r="AG514" t="e">
        <f>INDEX(TCO!$B$2:$AQ$85,MATCH('Historical Shareweights'!$A514,TCO!$A$2:$A$85,0),MATCH('Historical Shareweights'!AG509,TCO!$B$1:$AQ$1,0))</f>
        <v>#N/A</v>
      </c>
      <c r="AH514" t="e">
        <f>INDEX(TCO!$B$2:$AQ$85,MATCH('Historical Shareweights'!$A514,TCO!$A$2:$A$85,0),MATCH('Historical Shareweights'!AH509,TCO!$B$1:$AQ$1,0))</f>
        <v>#N/A</v>
      </c>
      <c r="AI514" t="e">
        <f>INDEX(TCO!$B$2:$AQ$85,MATCH('Historical Shareweights'!$A514,TCO!$A$2:$A$85,0),MATCH('Historical Shareweights'!AI509,TCO!$B$1:$AQ$1,0))</f>
        <v>#N/A</v>
      </c>
      <c r="AJ514" t="e">
        <f>INDEX(TCO!$B$2:$AQ$85,MATCH('Historical Shareweights'!$A514,TCO!$A$2:$A$85,0),MATCH('Historical Shareweights'!AJ509,TCO!$B$1:$AQ$1,0))</f>
        <v>#N/A</v>
      </c>
      <c r="AK514" t="e">
        <f>INDEX(TCO!$B$2:$AQ$85,MATCH('Historical Shareweights'!$A514,TCO!$A$2:$A$85,0),MATCH('Historical Shareweights'!AK509,TCO!$B$1:$AQ$1,0))</f>
        <v>#N/A</v>
      </c>
      <c r="AL514" t="e">
        <f>INDEX(TCO!$B$2:$AQ$85,MATCH('Historical Shareweights'!$A514,TCO!$A$2:$A$85,0),MATCH('Historical Shareweights'!AL509,TCO!$B$1:$AQ$1,0))</f>
        <v>#N/A</v>
      </c>
      <c r="AM514" t="e">
        <f>INDEX(TCO!$B$2:$AQ$85,MATCH('Historical Shareweights'!$A514,TCO!$A$2:$A$85,0),MATCH('Historical Shareweights'!AM509,TCO!$B$1:$AQ$1,0))</f>
        <v>#N/A</v>
      </c>
      <c r="AN514" t="e">
        <f>INDEX(TCO!$B$2:$AQ$85,MATCH('Historical Shareweights'!$A514,TCO!$A$2:$A$85,0),MATCH('Historical Shareweights'!AN509,TCO!$B$1:$AQ$1,0))</f>
        <v>#N/A</v>
      </c>
      <c r="AO514" t="e">
        <f>INDEX(TCO!$B$2:$AQ$85,MATCH('Historical Shareweights'!$A514,TCO!$A$2:$A$85,0),MATCH('Historical Shareweights'!AO509,TCO!$B$1:$AQ$1,0))</f>
        <v>#N/A</v>
      </c>
      <c r="AP514" t="e">
        <f>INDEX(TCO!$B$2:$AQ$85,MATCH('Historical Shareweights'!$A514,TCO!$A$2:$A$85,0),MATCH('Historical Shareweights'!AP509,TCO!$B$1:$AQ$1,0))</f>
        <v>#N/A</v>
      </c>
      <c r="AQ514" t="e">
        <f>INDEX(TCO!$B$2:$AQ$85,MATCH('Historical Shareweights'!$A514,TCO!$A$2:$A$85,0),MATCH('Historical Shareweights'!AQ509,TCO!$B$1:$AQ$1,0))</f>
        <v>#N/A</v>
      </c>
    </row>
    <row r="515" spans="1:43" hidden="1" outlineLevel="1" x14ac:dyDescent="0.15">
      <c r="A515" t="s">
        <v>1209</v>
      </c>
      <c r="B515" t="e">
        <f>INDEX(TCO!$B$2:$AQ$85,MATCH('Historical Shareweights'!$A515,TCO!$A$2:$A$85,0),MATCH('Historical Shareweights'!B509,TCO!$B$1:$AQ$1,0))</f>
        <v>#N/A</v>
      </c>
      <c r="C515" t="e">
        <f>INDEX(TCO!$B$2:$AQ$85,MATCH('Historical Shareweights'!$A515,TCO!$A$2:$A$85,0),MATCH('Historical Shareweights'!C509,TCO!$B$1:$AQ$1,0))</f>
        <v>#N/A</v>
      </c>
      <c r="D515" t="e">
        <f>INDEX(TCO!$B$2:$AQ$85,MATCH('Historical Shareweights'!$A515,TCO!$A$2:$A$85,0),MATCH('Historical Shareweights'!D509,TCO!$B$1:$AQ$1,0))</f>
        <v>#N/A</v>
      </c>
      <c r="E515" t="e">
        <f>INDEX(TCO!$B$2:$AQ$85,MATCH('Historical Shareweights'!$A515,TCO!$A$2:$A$85,0),MATCH('Historical Shareweights'!E509,TCO!$B$1:$AQ$1,0))</f>
        <v>#N/A</v>
      </c>
      <c r="F515" t="e">
        <f>INDEX(TCO!$B$2:$AQ$85,MATCH('Historical Shareweights'!$A515,TCO!$A$2:$A$85,0),MATCH('Historical Shareweights'!F509,TCO!$B$1:$AQ$1,0))</f>
        <v>#N/A</v>
      </c>
      <c r="G515" t="e">
        <f>INDEX(TCO!$B$2:$AQ$85,MATCH('Historical Shareweights'!$A515,TCO!$A$2:$A$85,0),MATCH('Historical Shareweights'!G509,TCO!$B$1:$AQ$1,0))</f>
        <v>#N/A</v>
      </c>
      <c r="H515" t="e">
        <f>INDEX(TCO!$B$2:$AQ$85,MATCH('Historical Shareweights'!$A515,TCO!$A$2:$A$85,0),MATCH('Historical Shareweights'!H509,TCO!$B$1:$AQ$1,0))</f>
        <v>#N/A</v>
      </c>
      <c r="I515" t="e">
        <f>INDEX(TCO!$B$2:$AQ$85,MATCH('Historical Shareweights'!$A515,TCO!$A$2:$A$85,0),MATCH('Historical Shareweights'!I509,TCO!$B$1:$AQ$1,0))</f>
        <v>#N/A</v>
      </c>
      <c r="J515" t="e">
        <f>INDEX(TCO!$B$2:$AQ$85,MATCH('Historical Shareweights'!$A515,TCO!$A$2:$A$85,0),MATCH('Historical Shareweights'!J509,TCO!$B$1:$AQ$1,0))</f>
        <v>#N/A</v>
      </c>
      <c r="K515" t="e">
        <f>INDEX(TCO!$B$2:$AQ$85,MATCH('Historical Shareweights'!$A515,TCO!$A$2:$A$85,0),MATCH('Historical Shareweights'!K509,TCO!$B$1:$AQ$1,0))</f>
        <v>#N/A</v>
      </c>
      <c r="L515" t="e">
        <f>INDEX(TCO!$B$2:$AQ$85,MATCH('Historical Shareweights'!$A515,TCO!$A$2:$A$85,0),MATCH('Historical Shareweights'!L509,TCO!$B$1:$AQ$1,0))</f>
        <v>#N/A</v>
      </c>
      <c r="M515" t="e">
        <f>INDEX(TCO!$B$2:$AQ$85,MATCH('Historical Shareweights'!$A515,TCO!$A$2:$A$85,0),MATCH('Historical Shareweights'!M509,TCO!$B$1:$AQ$1,0))</f>
        <v>#N/A</v>
      </c>
      <c r="N515" t="e">
        <f>INDEX(TCO!$B$2:$AQ$85,MATCH('Historical Shareweights'!$A515,TCO!$A$2:$A$85,0),MATCH('Historical Shareweights'!N509,TCO!$B$1:$AQ$1,0))</f>
        <v>#N/A</v>
      </c>
      <c r="O515" t="e">
        <f>INDEX(TCO!$B$2:$AQ$85,MATCH('Historical Shareweights'!$A515,TCO!$A$2:$A$85,0),MATCH('Historical Shareweights'!O509,TCO!$B$1:$AQ$1,0))</f>
        <v>#N/A</v>
      </c>
      <c r="P515" t="e">
        <f>INDEX(TCO!$B$2:$AQ$85,MATCH('Historical Shareweights'!$A515,TCO!$A$2:$A$85,0),MATCH('Historical Shareweights'!P509,TCO!$B$1:$AQ$1,0))</f>
        <v>#N/A</v>
      </c>
      <c r="Q515" t="e">
        <f>INDEX(TCO!$B$2:$AQ$85,MATCH('Historical Shareweights'!$A515,TCO!$A$2:$A$85,0),MATCH('Historical Shareweights'!Q509,TCO!$B$1:$AQ$1,0))</f>
        <v>#N/A</v>
      </c>
      <c r="R515" t="e">
        <f>INDEX(TCO!$B$2:$AQ$85,MATCH('Historical Shareweights'!$A515,TCO!$A$2:$A$85,0),MATCH('Historical Shareweights'!R509,TCO!$B$1:$AQ$1,0))</f>
        <v>#N/A</v>
      </c>
      <c r="S515" t="e">
        <f>INDEX(TCO!$B$2:$AQ$85,MATCH('Historical Shareweights'!$A515,TCO!$A$2:$A$85,0),MATCH('Historical Shareweights'!S509,TCO!$B$1:$AQ$1,0))</f>
        <v>#N/A</v>
      </c>
      <c r="T515" t="e">
        <f>INDEX(TCO!$B$2:$AQ$85,MATCH('Historical Shareweights'!$A515,TCO!$A$2:$A$85,0),MATCH('Historical Shareweights'!T509,TCO!$B$1:$AQ$1,0))</f>
        <v>#N/A</v>
      </c>
      <c r="U515" t="e">
        <f>INDEX(TCO!$B$2:$AQ$85,MATCH('Historical Shareweights'!$A515,TCO!$A$2:$A$85,0),MATCH('Historical Shareweights'!U509,TCO!$B$1:$AQ$1,0))</f>
        <v>#N/A</v>
      </c>
      <c r="V515" t="e">
        <f>INDEX(TCO!$B$2:$AQ$85,MATCH('Historical Shareweights'!$A515,TCO!$A$2:$A$85,0),MATCH('Historical Shareweights'!V509,TCO!$B$1:$AQ$1,0))</f>
        <v>#N/A</v>
      </c>
      <c r="W515" t="e">
        <f>INDEX(TCO!$B$2:$AQ$85,MATCH('Historical Shareweights'!$A515,TCO!$A$2:$A$85,0),MATCH('Historical Shareweights'!W509,TCO!$B$1:$AQ$1,0))</f>
        <v>#N/A</v>
      </c>
      <c r="X515" t="e">
        <f>INDEX(TCO!$B$2:$AQ$85,MATCH('Historical Shareweights'!$A515,TCO!$A$2:$A$85,0),MATCH('Historical Shareweights'!X509,TCO!$B$1:$AQ$1,0))</f>
        <v>#N/A</v>
      </c>
      <c r="Y515" t="e">
        <f>INDEX(TCO!$B$2:$AQ$85,MATCH('Historical Shareweights'!$A515,TCO!$A$2:$A$85,0),MATCH('Historical Shareweights'!Y509,TCO!$B$1:$AQ$1,0))</f>
        <v>#N/A</v>
      </c>
      <c r="Z515" t="e">
        <f>INDEX(TCO!$B$2:$AQ$85,MATCH('Historical Shareweights'!$A515,TCO!$A$2:$A$85,0),MATCH('Historical Shareweights'!Z509,TCO!$B$1:$AQ$1,0))</f>
        <v>#N/A</v>
      </c>
      <c r="AA515" t="e">
        <f>INDEX(TCO!$B$2:$AQ$85,MATCH('Historical Shareweights'!$A515,TCO!$A$2:$A$85,0),MATCH('Historical Shareweights'!AA509,TCO!$B$1:$AQ$1,0))</f>
        <v>#N/A</v>
      </c>
      <c r="AB515" t="e">
        <f>INDEX(TCO!$B$2:$AQ$85,MATCH('Historical Shareweights'!$A515,TCO!$A$2:$A$85,0),MATCH('Historical Shareweights'!AB509,TCO!$B$1:$AQ$1,0))</f>
        <v>#N/A</v>
      </c>
      <c r="AC515" t="e">
        <f>INDEX(TCO!$B$2:$AQ$85,MATCH('Historical Shareweights'!$A515,TCO!$A$2:$A$85,0),MATCH('Historical Shareweights'!AC509,TCO!$B$1:$AQ$1,0))</f>
        <v>#N/A</v>
      </c>
      <c r="AD515" t="e">
        <f>INDEX(TCO!$B$2:$AQ$85,MATCH('Historical Shareweights'!$A515,TCO!$A$2:$A$85,0),MATCH('Historical Shareweights'!AD509,TCO!$B$1:$AQ$1,0))</f>
        <v>#N/A</v>
      </c>
      <c r="AE515" t="e">
        <f>INDEX(TCO!$B$2:$AQ$85,MATCH('Historical Shareweights'!$A515,TCO!$A$2:$A$85,0),MATCH('Historical Shareweights'!AE509,TCO!$B$1:$AQ$1,0))</f>
        <v>#N/A</v>
      </c>
      <c r="AF515" t="e">
        <f>INDEX(TCO!$B$2:$AQ$85,MATCH('Historical Shareweights'!$A515,TCO!$A$2:$A$85,0),MATCH('Historical Shareweights'!AF509,TCO!$B$1:$AQ$1,0))</f>
        <v>#N/A</v>
      </c>
      <c r="AG515" t="e">
        <f>INDEX(TCO!$B$2:$AQ$85,MATCH('Historical Shareweights'!$A515,TCO!$A$2:$A$85,0),MATCH('Historical Shareweights'!AG509,TCO!$B$1:$AQ$1,0))</f>
        <v>#N/A</v>
      </c>
      <c r="AH515" t="e">
        <f>INDEX(TCO!$B$2:$AQ$85,MATCH('Historical Shareweights'!$A515,TCO!$A$2:$A$85,0),MATCH('Historical Shareweights'!AH509,TCO!$B$1:$AQ$1,0))</f>
        <v>#N/A</v>
      </c>
      <c r="AI515" t="e">
        <f>INDEX(TCO!$B$2:$AQ$85,MATCH('Historical Shareweights'!$A515,TCO!$A$2:$A$85,0),MATCH('Historical Shareweights'!AI509,TCO!$B$1:$AQ$1,0))</f>
        <v>#N/A</v>
      </c>
      <c r="AJ515" t="e">
        <f>INDEX(TCO!$B$2:$AQ$85,MATCH('Historical Shareweights'!$A515,TCO!$A$2:$A$85,0),MATCH('Historical Shareweights'!AJ509,TCO!$B$1:$AQ$1,0))</f>
        <v>#N/A</v>
      </c>
      <c r="AK515" t="e">
        <f>INDEX(TCO!$B$2:$AQ$85,MATCH('Historical Shareweights'!$A515,TCO!$A$2:$A$85,0),MATCH('Historical Shareweights'!AK509,TCO!$B$1:$AQ$1,0))</f>
        <v>#N/A</v>
      </c>
      <c r="AL515" t="e">
        <f>INDEX(TCO!$B$2:$AQ$85,MATCH('Historical Shareweights'!$A515,TCO!$A$2:$A$85,0),MATCH('Historical Shareweights'!AL509,TCO!$B$1:$AQ$1,0))</f>
        <v>#N/A</v>
      </c>
      <c r="AM515" t="e">
        <f>INDEX(TCO!$B$2:$AQ$85,MATCH('Historical Shareweights'!$A515,TCO!$A$2:$A$85,0),MATCH('Historical Shareweights'!AM509,TCO!$B$1:$AQ$1,0))</f>
        <v>#N/A</v>
      </c>
      <c r="AN515" t="e">
        <f>INDEX(TCO!$B$2:$AQ$85,MATCH('Historical Shareweights'!$A515,TCO!$A$2:$A$85,0),MATCH('Historical Shareweights'!AN509,TCO!$B$1:$AQ$1,0))</f>
        <v>#N/A</v>
      </c>
      <c r="AO515" t="e">
        <f>INDEX(TCO!$B$2:$AQ$85,MATCH('Historical Shareweights'!$A515,TCO!$A$2:$A$85,0),MATCH('Historical Shareweights'!AO509,TCO!$B$1:$AQ$1,0))</f>
        <v>#N/A</v>
      </c>
      <c r="AP515" t="e">
        <f>INDEX(TCO!$B$2:$AQ$85,MATCH('Historical Shareweights'!$A515,TCO!$A$2:$A$85,0),MATCH('Historical Shareweights'!AP509,TCO!$B$1:$AQ$1,0))</f>
        <v>#N/A</v>
      </c>
      <c r="AQ515" t="e">
        <f>INDEX(TCO!$B$2:$AQ$85,MATCH('Historical Shareweights'!$A515,TCO!$A$2:$A$85,0),MATCH('Historical Shareweights'!AQ509,TCO!$B$1:$AQ$1,0))</f>
        <v>#N/A</v>
      </c>
    </row>
    <row r="516" spans="1:43" hidden="1" outlineLevel="1" x14ac:dyDescent="0.15">
      <c r="A516" t="s">
        <v>1210</v>
      </c>
      <c r="B516" t="e">
        <f>INDEX(TCO!$B$2:$AQ$85,MATCH('Historical Shareweights'!$A516,TCO!$A$2:$A$85,0),MATCH('Historical Shareweights'!B509,TCO!$B$1:$AQ$1,0))</f>
        <v>#N/A</v>
      </c>
      <c r="C516" t="e">
        <f>INDEX(TCO!$B$2:$AQ$85,MATCH('Historical Shareweights'!$A516,TCO!$A$2:$A$85,0),MATCH('Historical Shareweights'!C509,TCO!$B$1:$AQ$1,0))</f>
        <v>#N/A</v>
      </c>
      <c r="D516" t="e">
        <f>INDEX(TCO!$B$2:$AQ$85,MATCH('Historical Shareweights'!$A516,TCO!$A$2:$A$85,0),MATCH('Historical Shareweights'!D509,TCO!$B$1:$AQ$1,0))</f>
        <v>#N/A</v>
      </c>
      <c r="E516" t="e">
        <f>INDEX(TCO!$B$2:$AQ$85,MATCH('Historical Shareweights'!$A516,TCO!$A$2:$A$85,0),MATCH('Historical Shareweights'!E509,TCO!$B$1:$AQ$1,0))</f>
        <v>#N/A</v>
      </c>
      <c r="F516" t="e">
        <f>INDEX(TCO!$B$2:$AQ$85,MATCH('Historical Shareweights'!$A516,TCO!$A$2:$A$85,0),MATCH('Historical Shareweights'!F509,TCO!$B$1:$AQ$1,0))</f>
        <v>#N/A</v>
      </c>
      <c r="G516" t="e">
        <f>INDEX(TCO!$B$2:$AQ$85,MATCH('Historical Shareweights'!$A516,TCO!$A$2:$A$85,0),MATCH('Historical Shareweights'!G509,TCO!$B$1:$AQ$1,0))</f>
        <v>#N/A</v>
      </c>
      <c r="H516" t="e">
        <f>INDEX(TCO!$B$2:$AQ$85,MATCH('Historical Shareweights'!$A516,TCO!$A$2:$A$85,0),MATCH('Historical Shareweights'!H509,TCO!$B$1:$AQ$1,0))</f>
        <v>#N/A</v>
      </c>
      <c r="I516" t="e">
        <f>INDEX(TCO!$B$2:$AQ$85,MATCH('Historical Shareweights'!$A516,TCO!$A$2:$A$85,0),MATCH('Historical Shareweights'!I509,TCO!$B$1:$AQ$1,0))</f>
        <v>#N/A</v>
      </c>
      <c r="J516" t="e">
        <f>INDEX(TCO!$B$2:$AQ$85,MATCH('Historical Shareweights'!$A516,TCO!$A$2:$A$85,0),MATCH('Historical Shareweights'!J509,TCO!$B$1:$AQ$1,0))</f>
        <v>#N/A</v>
      </c>
      <c r="K516" t="e">
        <f>INDEX(TCO!$B$2:$AQ$85,MATCH('Historical Shareweights'!$A516,TCO!$A$2:$A$85,0),MATCH('Historical Shareweights'!K509,TCO!$B$1:$AQ$1,0))</f>
        <v>#N/A</v>
      </c>
      <c r="L516" t="e">
        <f>INDEX(TCO!$B$2:$AQ$85,MATCH('Historical Shareweights'!$A516,TCO!$A$2:$A$85,0),MATCH('Historical Shareweights'!L509,TCO!$B$1:$AQ$1,0))</f>
        <v>#N/A</v>
      </c>
      <c r="M516" t="e">
        <f>INDEX(TCO!$B$2:$AQ$85,MATCH('Historical Shareweights'!$A516,TCO!$A$2:$A$85,0),MATCH('Historical Shareweights'!M509,TCO!$B$1:$AQ$1,0))</f>
        <v>#N/A</v>
      </c>
      <c r="N516" t="e">
        <f>INDEX(TCO!$B$2:$AQ$85,MATCH('Historical Shareweights'!$A516,TCO!$A$2:$A$85,0),MATCH('Historical Shareweights'!N509,TCO!$B$1:$AQ$1,0))</f>
        <v>#N/A</v>
      </c>
      <c r="O516" t="e">
        <f>INDEX(TCO!$B$2:$AQ$85,MATCH('Historical Shareweights'!$A516,TCO!$A$2:$A$85,0),MATCH('Historical Shareweights'!O509,TCO!$B$1:$AQ$1,0))</f>
        <v>#N/A</v>
      </c>
      <c r="P516" t="e">
        <f>INDEX(TCO!$B$2:$AQ$85,MATCH('Historical Shareweights'!$A516,TCO!$A$2:$A$85,0),MATCH('Historical Shareweights'!P509,TCO!$B$1:$AQ$1,0))</f>
        <v>#N/A</v>
      </c>
      <c r="Q516" t="e">
        <f>INDEX(TCO!$B$2:$AQ$85,MATCH('Historical Shareweights'!$A516,TCO!$A$2:$A$85,0),MATCH('Historical Shareweights'!Q509,TCO!$B$1:$AQ$1,0))</f>
        <v>#N/A</v>
      </c>
      <c r="R516" t="e">
        <f>INDEX(TCO!$B$2:$AQ$85,MATCH('Historical Shareweights'!$A516,TCO!$A$2:$A$85,0),MATCH('Historical Shareweights'!R509,TCO!$B$1:$AQ$1,0))</f>
        <v>#N/A</v>
      </c>
      <c r="S516" t="e">
        <f>INDEX(TCO!$B$2:$AQ$85,MATCH('Historical Shareweights'!$A516,TCO!$A$2:$A$85,0),MATCH('Historical Shareweights'!S509,TCO!$B$1:$AQ$1,0))</f>
        <v>#N/A</v>
      </c>
      <c r="T516" t="e">
        <f>INDEX(TCO!$B$2:$AQ$85,MATCH('Historical Shareweights'!$A516,TCO!$A$2:$A$85,0),MATCH('Historical Shareweights'!T509,TCO!$B$1:$AQ$1,0))</f>
        <v>#N/A</v>
      </c>
      <c r="U516" t="e">
        <f>INDEX(TCO!$B$2:$AQ$85,MATCH('Historical Shareweights'!$A516,TCO!$A$2:$A$85,0),MATCH('Historical Shareweights'!U509,TCO!$B$1:$AQ$1,0))</f>
        <v>#N/A</v>
      </c>
      <c r="V516" t="e">
        <f>INDEX(TCO!$B$2:$AQ$85,MATCH('Historical Shareweights'!$A516,TCO!$A$2:$A$85,0),MATCH('Historical Shareweights'!V509,TCO!$B$1:$AQ$1,0))</f>
        <v>#N/A</v>
      </c>
      <c r="W516" t="e">
        <f>INDEX(TCO!$B$2:$AQ$85,MATCH('Historical Shareweights'!$A516,TCO!$A$2:$A$85,0),MATCH('Historical Shareweights'!W509,TCO!$B$1:$AQ$1,0))</f>
        <v>#N/A</v>
      </c>
      <c r="X516" t="e">
        <f>INDEX(TCO!$B$2:$AQ$85,MATCH('Historical Shareweights'!$A516,TCO!$A$2:$A$85,0),MATCH('Historical Shareweights'!X509,TCO!$B$1:$AQ$1,0))</f>
        <v>#N/A</v>
      </c>
      <c r="Y516" t="e">
        <f>INDEX(TCO!$B$2:$AQ$85,MATCH('Historical Shareweights'!$A516,TCO!$A$2:$A$85,0),MATCH('Historical Shareweights'!Y509,TCO!$B$1:$AQ$1,0))</f>
        <v>#N/A</v>
      </c>
      <c r="Z516" t="e">
        <f>INDEX(TCO!$B$2:$AQ$85,MATCH('Historical Shareweights'!$A516,TCO!$A$2:$A$85,0),MATCH('Historical Shareweights'!Z509,TCO!$B$1:$AQ$1,0))</f>
        <v>#N/A</v>
      </c>
      <c r="AA516" t="e">
        <f>INDEX(TCO!$B$2:$AQ$85,MATCH('Historical Shareweights'!$A516,TCO!$A$2:$A$85,0),MATCH('Historical Shareweights'!AA509,TCO!$B$1:$AQ$1,0))</f>
        <v>#N/A</v>
      </c>
      <c r="AB516" t="e">
        <f>INDEX(TCO!$B$2:$AQ$85,MATCH('Historical Shareweights'!$A516,TCO!$A$2:$A$85,0),MATCH('Historical Shareweights'!AB509,TCO!$B$1:$AQ$1,0))</f>
        <v>#N/A</v>
      </c>
      <c r="AC516" t="e">
        <f>INDEX(TCO!$B$2:$AQ$85,MATCH('Historical Shareweights'!$A516,TCO!$A$2:$A$85,0),MATCH('Historical Shareweights'!AC509,TCO!$B$1:$AQ$1,0))</f>
        <v>#N/A</v>
      </c>
      <c r="AD516" t="e">
        <f>INDEX(TCO!$B$2:$AQ$85,MATCH('Historical Shareweights'!$A516,TCO!$A$2:$A$85,0),MATCH('Historical Shareweights'!AD509,TCO!$B$1:$AQ$1,0))</f>
        <v>#N/A</v>
      </c>
      <c r="AE516" t="e">
        <f>INDEX(TCO!$B$2:$AQ$85,MATCH('Historical Shareweights'!$A516,TCO!$A$2:$A$85,0),MATCH('Historical Shareweights'!AE509,TCO!$B$1:$AQ$1,0))</f>
        <v>#N/A</v>
      </c>
      <c r="AF516" t="e">
        <f>INDEX(TCO!$B$2:$AQ$85,MATCH('Historical Shareweights'!$A516,TCO!$A$2:$A$85,0),MATCH('Historical Shareweights'!AF509,TCO!$B$1:$AQ$1,0))</f>
        <v>#N/A</v>
      </c>
      <c r="AG516" t="e">
        <f>INDEX(TCO!$B$2:$AQ$85,MATCH('Historical Shareweights'!$A516,TCO!$A$2:$A$85,0),MATCH('Historical Shareweights'!AG509,TCO!$B$1:$AQ$1,0))</f>
        <v>#N/A</v>
      </c>
      <c r="AH516" t="e">
        <f>INDEX(TCO!$B$2:$AQ$85,MATCH('Historical Shareweights'!$A516,TCO!$A$2:$A$85,0),MATCH('Historical Shareweights'!AH509,TCO!$B$1:$AQ$1,0))</f>
        <v>#N/A</v>
      </c>
      <c r="AI516" t="e">
        <f>INDEX(TCO!$B$2:$AQ$85,MATCH('Historical Shareweights'!$A516,TCO!$A$2:$A$85,0),MATCH('Historical Shareweights'!AI509,TCO!$B$1:$AQ$1,0))</f>
        <v>#N/A</v>
      </c>
      <c r="AJ516" t="e">
        <f>INDEX(TCO!$B$2:$AQ$85,MATCH('Historical Shareweights'!$A516,TCO!$A$2:$A$85,0),MATCH('Historical Shareweights'!AJ509,TCO!$B$1:$AQ$1,0))</f>
        <v>#N/A</v>
      </c>
      <c r="AK516" t="e">
        <f>INDEX(TCO!$B$2:$AQ$85,MATCH('Historical Shareweights'!$A516,TCO!$A$2:$A$85,0),MATCH('Historical Shareweights'!AK509,TCO!$B$1:$AQ$1,0))</f>
        <v>#N/A</v>
      </c>
      <c r="AL516" t="e">
        <f>INDEX(TCO!$B$2:$AQ$85,MATCH('Historical Shareweights'!$A516,TCO!$A$2:$A$85,0),MATCH('Historical Shareweights'!AL509,TCO!$B$1:$AQ$1,0))</f>
        <v>#N/A</v>
      </c>
      <c r="AM516" t="e">
        <f>INDEX(TCO!$B$2:$AQ$85,MATCH('Historical Shareweights'!$A516,TCO!$A$2:$A$85,0),MATCH('Historical Shareweights'!AM509,TCO!$B$1:$AQ$1,0))</f>
        <v>#N/A</v>
      </c>
      <c r="AN516" t="e">
        <f>INDEX(TCO!$B$2:$AQ$85,MATCH('Historical Shareweights'!$A516,TCO!$A$2:$A$85,0),MATCH('Historical Shareweights'!AN509,TCO!$B$1:$AQ$1,0))</f>
        <v>#N/A</v>
      </c>
      <c r="AO516" t="e">
        <f>INDEX(TCO!$B$2:$AQ$85,MATCH('Historical Shareweights'!$A516,TCO!$A$2:$A$85,0),MATCH('Historical Shareweights'!AO509,TCO!$B$1:$AQ$1,0))</f>
        <v>#N/A</v>
      </c>
      <c r="AP516" t="e">
        <f>INDEX(TCO!$B$2:$AQ$85,MATCH('Historical Shareweights'!$A516,TCO!$A$2:$A$85,0),MATCH('Historical Shareweights'!AP509,TCO!$B$1:$AQ$1,0))</f>
        <v>#N/A</v>
      </c>
      <c r="AQ516" t="e">
        <f>INDEX(TCO!$B$2:$AQ$85,MATCH('Historical Shareweights'!$A516,TCO!$A$2:$A$85,0),MATCH('Historical Shareweights'!AQ509,TCO!$B$1:$AQ$1,0))</f>
        <v>#N/A</v>
      </c>
    </row>
    <row r="517" spans="1:43" hidden="1" outlineLevel="1" x14ac:dyDescent="0.15"/>
    <row r="518" spans="1:43" ht="13.6" hidden="1" outlineLevel="1" thickBot="1" x14ac:dyDescent="0.2">
      <c r="A518" s="1" t="s">
        <v>1101</v>
      </c>
      <c r="B518" s="175">
        <v>2023</v>
      </c>
    </row>
    <row r="519" spans="1:43" hidden="1" outlineLevel="1" x14ac:dyDescent="0.15"/>
    <row r="520" spans="1:43" hidden="1" outlineLevel="1" x14ac:dyDescent="0.15">
      <c r="A520" s="1" t="s">
        <v>1102</v>
      </c>
    </row>
    <row r="521" spans="1:43" hidden="1" outlineLevel="1" x14ac:dyDescent="0.15">
      <c r="B521" t="s">
        <v>1103</v>
      </c>
      <c r="C521" t="s">
        <v>1104</v>
      </c>
      <c r="D521" t="s">
        <v>1105</v>
      </c>
      <c r="E521" t="s">
        <v>1106</v>
      </c>
      <c r="F521" t="s">
        <v>1107</v>
      </c>
      <c r="G521" t="s">
        <v>1108</v>
      </c>
    </row>
    <row r="522" spans="1:43" hidden="1" outlineLevel="1" x14ac:dyDescent="0.15">
      <c r="A522" t="s">
        <v>1084</v>
      </c>
      <c r="B522" s="179">
        <v>0.35204879343893974</v>
      </c>
      <c r="C522" t="e" cm="1">
        <f t="array" ref="C522">INDEX($B510:$AQ510,,MATCH($B518,$B509:$AQ509,0))/10^6</f>
        <v>#N/A</v>
      </c>
      <c r="D522" s="176" t="e">
        <f>B522*EXP(C522*$B506)</f>
        <v>#N/A</v>
      </c>
      <c r="E522" s="171" t="e">
        <f>D522/SUM($D522:$D528)</f>
        <v>#N/A</v>
      </c>
      <c r="F522" s="177">
        <f>INDEX($B497:$F503,MATCH(A522,$A497:$A503,0),MATCH($B518,$B496:$F496,0))</f>
        <v>0.25330819822334089</v>
      </c>
      <c r="G522" s="178" t="e">
        <f>ABS(F522-E522)</f>
        <v>#N/A</v>
      </c>
    </row>
    <row r="523" spans="1:43" hidden="1" outlineLevel="1" x14ac:dyDescent="0.15">
      <c r="A523" t="s">
        <v>1086</v>
      </c>
      <c r="B523" s="179">
        <v>1</v>
      </c>
      <c r="C523" t="e" cm="1">
        <f t="array" ref="C523">INDEX($B511:$AQ511,,MATCH($B518,$B509:$AQ509,0))/10^6</f>
        <v>#N/A</v>
      </c>
      <c r="D523" s="176" t="e">
        <f>B523*EXP(C523*$B506)</f>
        <v>#N/A</v>
      </c>
      <c r="E523" s="171" t="e">
        <f>D523/SUM($D522:$D528)</f>
        <v>#N/A</v>
      </c>
      <c r="F523" s="177">
        <f>INDEX($B497:$F503,MATCH(A523,$A497:$A503,0),MATCH($B518,$B496:$F496,0))</f>
        <v>0</v>
      </c>
      <c r="G523" s="178" t="e">
        <f t="shared" ref="G523:G528" si="58">ABS(F523-E523)</f>
        <v>#N/A</v>
      </c>
    </row>
    <row r="524" spans="1:43" hidden="1" outlineLevel="1" x14ac:dyDescent="0.15">
      <c r="A524" t="s">
        <v>1088</v>
      </c>
      <c r="B524" s="179">
        <v>1</v>
      </c>
      <c r="C524" t="e" cm="1">
        <f t="array" ref="C524">INDEX($B512:$AQ512,,MATCH($B518,$B509:$AQ509,0))/10^6</f>
        <v>#N/A</v>
      </c>
      <c r="D524" s="176" t="e">
        <f>B524*EXP(C524*$B506)</f>
        <v>#N/A</v>
      </c>
      <c r="E524" s="171" t="e">
        <f>D524/SUM($D522:$D528)</f>
        <v>#N/A</v>
      </c>
      <c r="F524" s="177">
        <f>INDEX($B497:$F503,MATCH(A524,$A497:$A503,0),MATCH($B518,$B496:$F496,0))</f>
        <v>0.74668653604132551</v>
      </c>
      <c r="G524" s="178" t="e">
        <f t="shared" si="58"/>
        <v>#N/A</v>
      </c>
    </row>
    <row r="525" spans="1:43" hidden="1" outlineLevel="1" x14ac:dyDescent="0.15">
      <c r="A525" t="s">
        <v>408</v>
      </c>
      <c r="B525" s="179">
        <v>1</v>
      </c>
      <c r="C525" t="e" cm="1">
        <f t="array" ref="C525">INDEX($B513:$AQ513,,MATCH($B518,$B509:$AQ509,0))/10^6</f>
        <v>#N/A</v>
      </c>
      <c r="D525" s="176" t="e">
        <f>B525*EXP(C525*$B506)</f>
        <v>#N/A</v>
      </c>
      <c r="E525" s="171" t="e">
        <f>D525/SUM($D522:$D528)</f>
        <v>#N/A</v>
      </c>
      <c r="F525" s="177">
        <f>INDEX($B497:$F503,MATCH(A525,$A497:$A503,0),MATCH($B518,$B496:$F496,0))</f>
        <v>0</v>
      </c>
      <c r="G525" s="178" t="e">
        <f t="shared" si="58"/>
        <v>#N/A</v>
      </c>
    </row>
    <row r="526" spans="1:43" hidden="1" outlineLevel="1" x14ac:dyDescent="0.15">
      <c r="A526" t="s">
        <v>1089</v>
      </c>
      <c r="B526" s="179">
        <v>1</v>
      </c>
      <c r="C526" t="e" cm="1">
        <f t="array" ref="C526">INDEX($B514:$AQ514,,MATCH($B518,$B509:$AQ509,0))/10^6</f>
        <v>#N/A</v>
      </c>
      <c r="D526" s="176" t="e">
        <f>B526*EXP(C526*$B506)</f>
        <v>#N/A</v>
      </c>
      <c r="E526" s="171" t="e">
        <f>D526/SUM($D522:$D528)</f>
        <v>#N/A</v>
      </c>
      <c r="F526" s="177">
        <f>INDEX($B497:$F503,MATCH(A526,$A497:$A503,0),MATCH($B518,$B496:$F496,0))</f>
        <v>0</v>
      </c>
      <c r="G526" s="178" t="e">
        <f t="shared" si="58"/>
        <v>#N/A</v>
      </c>
    </row>
    <row r="527" spans="1:43" hidden="1" outlineLevel="1" x14ac:dyDescent="0.15">
      <c r="A527" t="s">
        <v>1090</v>
      </c>
      <c r="B527" s="179">
        <v>1</v>
      </c>
      <c r="C527" t="e" cm="1">
        <f t="array" ref="C527">INDEX($B515:$AQ515,,MATCH($B518,$B509:$AQ509,0))/10^6</f>
        <v>#N/A</v>
      </c>
      <c r="D527" s="176" t="e">
        <f>B527*EXP(C527*$B506)</f>
        <v>#N/A</v>
      </c>
      <c r="E527" s="171" t="e">
        <f>D527/SUM($D522:$D528)</f>
        <v>#N/A</v>
      </c>
      <c r="F527" s="177">
        <f>INDEX($B497:$F503,MATCH(A527,$A497:$A503,0),MATCH($B518,$B496:$F496,0))</f>
        <v>0</v>
      </c>
      <c r="G527" s="178" t="e">
        <f t="shared" si="58"/>
        <v>#N/A</v>
      </c>
    </row>
    <row r="528" spans="1:43" hidden="1" outlineLevel="1" x14ac:dyDescent="0.15">
      <c r="A528" t="s">
        <v>1091</v>
      </c>
      <c r="B528" s="179">
        <v>1</v>
      </c>
      <c r="C528" t="e" cm="1">
        <f t="array" ref="C528">INDEX($B516:$AQ516,,MATCH($B518,$B509:$AQ509,0))/10^6</f>
        <v>#N/A</v>
      </c>
      <c r="D528" s="176" t="e">
        <f>B528*EXP(C528*$B506)</f>
        <v>#N/A</v>
      </c>
      <c r="E528" s="171" t="e">
        <f>D528/SUM($D522:$D528)</f>
        <v>#N/A</v>
      </c>
      <c r="F528" s="177">
        <f>INDEX($B497:$F503,MATCH(A528,$A497:$A503,0),MATCH($B518,$B496:$F496,0))</f>
        <v>0</v>
      </c>
      <c r="G528" s="178" t="e">
        <f t="shared" si="58"/>
        <v>#N/A</v>
      </c>
    </row>
    <row r="529" spans="1:7" hidden="1" outlineLevel="1" x14ac:dyDescent="0.15">
      <c r="G529" s="178"/>
    </row>
    <row r="530" spans="1:7" hidden="1" outlineLevel="1" x14ac:dyDescent="0.15">
      <c r="F530" s="1" t="s">
        <v>1109</v>
      </c>
      <c r="G530" s="179" t="e">
        <f>SUM(G522:G528)</f>
        <v>#N/A</v>
      </c>
    </row>
    <row r="531" spans="1:7" hidden="1" outlineLevel="1" x14ac:dyDescent="0.15"/>
    <row r="532" spans="1:7" hidden="1" outlineLevel="1" x14ac:dyDescent="0.15">
      <c r="A532" s="1" t="s">
        <v>1110</v>
      </c>
      <c r="B532">
        <v>2019</v>
      </c>
      <c r="C532">
        <v>2020</v>
      </c>
      <c r="D532">
        <v>2021</v>
      </c>
      <c r="E532">
        <v>2022</v>
      </c>
      <c r="F532">
        <v>2023</v>
      </c>
    </row>
    <row r="533" spans="1:7" hidden="1" outlineLevel="1" x14ac:dyDescent="0.15">
      <c r="A533" t="s">
        <v>1084</v>
      </c>
      <c r="B533" s="179">
        <v>0.16565933447481751</v>
      </c>
      <c r="C533" s="179">
        <v>0.16275000479302212</v>
      </c>
      <c r="D533" s="179">
        <v>0.26049314125375977</v>
      </c>
      <c r="E533" s="179">
        <v>0.57573543772194002</v>
      </c>
      <c r="F533" s="179">
        <v>0.35204879343893974</v>
      </c>
    </row>
    <row r="534" spans="1:7" hidden="1" outlineLevel="1" x14ac:dyDescent="0.15">
      <c r="A534" t="s">
        <v>1086</v>
      </c>
      <c r="B534" s="179">
        <v>1</v>
      </c>
      <c r="C534" s="179">
        <v>1</v>
      </c>
      <c r="D534" s="179">
        <v>1</v>
      </c>
      <c r="E534" s="179">
        <v>1</v>
      </c>
      <c r="F534" s="179">
        <v>1</v>
      </c>
    </row>
    <row r="535" spans="1:7" hidden="1" outlineLevel="1" x14ac:dyDescent="0.15">
      <c r="A535" t="s">
        <v>1088</v>
      </c>
      <c r="B535" s="179">
        <v>1</v>
      </c>
      <c r="C535" s="179">
        <v>1</v>
      </c>
      <c r="D535" s="179">
        <v>1</v>
      </c>
      <c r="E535" s="179">
        <v>1</v>
      </c>
      <c r="F535" s="179">
        <v>1</v>
      </c>
    </row>
    <row r="536" spans="1:7" hidden="1" outlineLevel="1" x14ac:dyDescent="0.15">
      <c r="A536" t="s">
        <v>408</v>
      </c>
      <c r="B536" s="179">
        <v>1</v>
      </c>
      <c r="C536" s="179">
        <v>1</v>
      </c>
      <c r="D536" s="179">
        <v>1</v>
      </c>
      <c r="E536" s="179">
        <v>1</v>
      </c>
      <c r="F536" s="179">
        <v>1</v>
      </c>
    </row>
    <row r="537" spans="1:7" hidden="1" outlineLevel="1" x14ac:dyDescent="0.15">
      <c r="A537" t="s">
        <v>1089</v>
      </c>
      <c r="B537" s="179">
        <v>1</v>
      </c>
      <c r="C537" s="179">
        <v>1</v>
      </c>
      <c r="D537" s="179">
        <v>1</v>
      </c>
      <c r="E537" s="179">
        <v>1</v>
      </c>
      <c r="F537" s="179">
        <v>1</v>
      </c>
    </row>
    <row r="538" spans="1:7" hidden="1" outlineLevel="1" x14ac:dyDescent="0.15">
      <c r="A538" t="s">
        <v>1090</v>
      </c>
      <c r="B538" s="179">
        <v>1</v>
      </c>
      <c r="C538" s="179">
        <v>1</v>
      </c>
      <c r="D538" s="179">
        <v>1</v>
      </c>
      <c r="E538" s="179">
        <v>1</v>
      </c>
      <c r="F538" s="179">
        <v>1</v>
      </c>
    </row>
    <row r="539" spans="1:7" hidden="1" outlineLevel="1" x14ac:dyDescent="0.15">
      <c r="A539" t="s">
        <v>1091</v>
      </c>
      <c r="B539" s="179">
        <v>1</v>
      </c>
      <c r="C539" s="179">
        <v>1</v>
      </c>
      <c r="D539" s="179">
        <v>1</v>
      </c>
      <c r="E539" s="179">
        <v>1</v>
      </c>
      <c r="F539" s="179">
        <v>1</v>
      </c>
    </row>
    <row r="540" spans="1:7" collapsed="1" x14ac:dyDescent="0.15"/>
    <row r="541" spans="1:7" s="170" customFormat="1" x14ac:dyDescent="0.15">
      <c r="A541" s="169" t="s">
        <v>1211</v>
      </c>
    </row>
    <row r="542" spans="1:7" hidden="1" outlineLevel="1" x14ac:dyDescent="0.15">
      <c r="A542" s="1"/>
    </row>
    <row r="543" spans="1:7" hidden="1" outlineLevel="1" x14ac:dyDescent="0.15">
      <c r="A543" s="1" t="s">
        <v>1082</v>
      </c>
      <c r="B543" s="1">
        <v>2019</v>
      </c>
      <c r="C543" s="1">
        <v>2020</v>
      </c>
      <c r="D543" s="1">
        <v>2021</v>
      </c>
      <c r="E543" s="1">
        <v>2022</v>
      </c>
      <c r="F543" s="1">
        <v>2023</v>
      </c>
      <c r="G543" s="1">
        <v>2024</v>
      </c>
    </row>
    <row r="544" spans="1:7" hidden="1" outlineLevel="1" x14ac:dyDescent="0.15">
      <c r="A544" t="s">
        <v>1084</v>
      </c>
      <c r="B544" s="172">
        <v>0</v>
      </c>
      <c r="C544" s="172">
        <v>0</v>
      </c>
      <c r="D544" s="172">
        <v>0</v>
      </c>
      <c r="E544" s="172">
        <v>0</v>
      </c>
      <c r="F544" s="172">
        <v>0</v>
      </c>
      <c r="G544" s="171"/>
    </row>
    <row r="545" spans="1:43" hidden="1" outlineLevel="1" x14ac:dyDescent="0.15">
      <c r="A545" t="s">
        <v>1086</v>
      </c>
      <c r="B545" s="172">
        <v>0</v>
      </c>
      <c r="C545" s="172">
        <v>0</v>
      </c>
      <c r="D545" s="172">
        <v>0</v>
      </c>
      <c r="E545" s="172">
        <v>0</v>
      </c>
      <c r="F545" s="172">
        <v>0</v>
      </c>
      <c r="G545" s="171"/>
    </row>
    <row r="546" spans="1:43" hidden="1" outlineLevel="1" x14ac:dyDescent="0.15">
      <c r="A546" t="s">
        <v>1088</v>
      </c>
      <c r="B546" s="172">
        <v>0</v>
      </c>
      <c r="C546" s="172">
        <v>0</v>
      </c>
      <c r="D546" s="172">
        <v>0</v>
      </c>
      <c r="E546" s="172">
        <v>0</v>
      </c>
      <c r="F546" s="172">
        <v>0</v>
      </c>
      <c r="G546" s="171"/>
    </row>
    <row r="547" spans="1:43" hidden="1" outlineLevel="1" x14ac:dyDescent="0.15">
      <c r="A547" t="s">
        <v>408</v>
      </c>
      <c r="B547" s="172">
        <v>0</v>
      </c>
      <c r="C547" s="172">
        <v>0</v>
      </c>
      <c r="D547" s="172">
        <v>0</v>
      </c>
      <c r="E547" s="172">
        <v>0</v>
      </c>
      <c r="F547" s="172">
        <v>0</v>
      </c>
      <c r="G547" s="171"/>
    </row>
    <row r="548" spans="1:43" hidden="1" outlineLevel="1" x14ac:dyDescent="0.15">
      <c r="A548" t="s">
        <v>1089</v>
      </c>
      <c r="B548" s="172">
        <v>0</v>
      </c>
      <c r="C548" s="172">
        <v>0</v>
      </c>
      <c r="D548" s="172">
        <v>0</v>
      </c>
      <c r="E548" s="172">
        <v>0</v>
      </c>
      <c r="F548" s="172">
        <v>0</v>
      </c>
      <c r="G548" s="171"/>
    </row>
    <row r="549" spans="1:43" hidden="1" outlineLevel="1" x14ac:dyDescent="0.15">
      <c r="A549" t="s">
        <v>1090</v>
      </c>
      <c r="B549" s="172">
        <v>0</v>
      </c>
      <c r="C549" s="172">
        <v>0</v>
      </c>
      <c r="D549" s="172">
        <v>0</v>
      </c>
      <c r="E549" s="172">
        <v>0</v>
      </c>
      <c r="F549" s="172">
        <v>0</v>
      </c>
      <c r="G549" s="171"/>
    </row>
    <row r="550" spans="1:43" hidden="1" outlineLevel="1" x14ac:dyDescent="0.15">
      <c r="A550" t="s">
        <v>1091</v>
      </c>
      <c r="B550" s="172">
        <v>0</v>
      </c>
      <c r="C550" s="172">
        <v>0</v>
      </c>
      <c r="D550" s="172">
        <v>0</v>
      </c>
      <c r="E550" s="172">
        <v>0</v>
      </c>
      <c r="F550" s="172">
        <v>0</v>
      </c>
      <c r="G550" s="171"/>
    </row>
    <row r="551" spans="1:43" hidden="1" outlineLevel="1" x14ac:dyDescent="0.15">
      <c r="A551" s="173" t="s">
        <v>1092</v>
      </c>
      <c r="B551" s="174">
        <f>SUM(B544:B550)</f>
        <v>0</v>
      </c>
      <c r="C551" s="174">
        <f t="shared" ref="C551:F551" si="59">SUM(C544:C550)</f>
        <v>0</v>
      </c>
      <c r="D551" s="174">
        <f t="shared" si="59"/>
        <v>0</v>
      </c>
      <c r="E551" s="174">
        <f t="shared" si="59"/>
        <v>0</v>
      </c>
      <c r="F551" s="174">
        <f t="shared" si="59"/>
        <v>0</v>
      </c>
      <c r="G551" s="173"/>
    </row>
    <row r="552" spans="1:43" hidden="1" outlineLevel="1" x14ac:dyDescent="0.15"/>
    <row r="553" spans="1:43" hidden="1" outlineLevel="1" x14ac:dyDescent="0.15">
      <c r="A553" s="1" t="s">
        <v>1093</v>
      </c>
      <c r="B553">
        <f>INDEX($B$11:$AQ$22,MATCH("*"&amp;A541&amp;"*",$A$11:$A$22,0),MATCH(B543,$B$10:$AQ$10,0))</f>
        <v>-3</v>
      </c>
    </row>
    <row r="554" spans="1:43" hidden="1" outlineLevel="1" x14ac:dyDescent="0.15"/>
    <row r="555" spans="1:43" hidden="1" outlineLevel="1" x14ac:dyDescent="0.15">
      <c r="A555" s="1" t="s">
        <v>1094</v>
      </c>
    </row>
    <row r="556" spans="1:43" hidden="1" outlineLevel="1" x14ac:dyDescent="0.15">
      <c r="A556" t="s">
        <v>1068</v>
      </c>
      <c r="B556">
        <v>2019</v>
      </c>
      <c r="C556">
        <v>2020</v>
      </c>
      <c r="D556">
        <v>2021</v>
      </c>
      <c r="E556">
        <v>2022</v>
      </c>
      <c r="F556">
        <v>2023</v>
      </c>
      <c r="G556">
        <v>2024</v>
      </c>
      <c r="H556">
        <v>2025</v>
      </c>
      <c r="I556">
        <v>2026</v>
      </c>
      <c r="J556">
        <v>2027</v>
      </c>
      <c r="K556">
        <v>2028</v>
      </c>
      <c r="L556">
        <v>2029</v>
      </c>
      <c r="M556">
        <v>2030</v>
      </c>
      <c r="N556">
        <v>2031</v>
      </c>
      <c r="O556">
        <v>2032</v>
      </c>
      <c r="P556">
        <v>2033</v>
      </c>
      <c r="Q556">
        <v>2034</v>
      </c>
      <c r="R556">
        <v>2035</v>
      </c>
      <c r="S556">
        <v>2036</v>
      </c>
      <c r="T556">
        <v>2037</v>
      </c>
      <c r="U556">
        <v>2038</v>
      </c>
      <c r="V556">
        <v>2039</v>
      </c>
      <c r="W556">
        <v>2040</v>
      </c>
      <c r="X556">
        <v>2041</v>
      </c>
      <c r="Y556">
        <v>2042</v>
      </c>
      <c r="Z556">
        <v>2043</v>
      </c>
      <c r="AA556">
        <v>2044</v>
      </c>
      <c r="AB556">
        <v>2045</v>
      </c>
      <c r="AC556">
        <v>2046</v>
      </c>
      <c r="AD556">
        <v>2047</v>
      </c>
      <c r="AE556">
        <v>2048</v>
      </c>
      <c r="AF556">
        <v>2049</v>
      </c>
      <c r="AG556">
        <v>2050</v>
      </c>
      <c r="AH556">
        <v>2051</v>
      </c>
      <c r="AI556">
        <v>2052</v>
      </c>
      <c r="AJ556">
        <v>2053</v>
      </c>
      <c r="AK556">
        <v>2054</v>
      </c>
      <c r="AL556">
        <v>2055</v>
      </c>
      <c r="AM556">
        <v>2056</v>
      </c>
      <c r="AN556">
        <v>2057</v>
      </c>
      <c r="AO556">
        <v>2058</v>
      </c>
      <c r="AP556">
        <v>2059</v>
      </c>
      <c r="AQ556">
        <v>2060</v>
      </c>
    </row>
    <row r="557" spans="1:43" hidden="1" outlineLevel="1" x14ac:dyDescent="0.15">
      <c r="A557" t="s">
        <v>1212</v>
      </c>
      <c r="B557" t="e">
        <f>INDEX(TCO!$B$2:$AQ$85,MATCH('Historical Shareweights'!$A557,TCO!$A$2:$A$85,0),MATCH('Historical Shareweights'!B556,TCO!$B$1:$AQ$1,0))</f>
        <v>#N/A</v>
      </c>
      <c r="C557" t="e">
        <f>INDEX(TCO!$B$2:$AQ$85,MATCH('Historical Shareweights'!$A557,TCO!$A$2:$A$85,0),MATCH('Historical Shareweights'!C556,TCO!$B$1:$AQ$1,0))</f>
        <v>#N/A</v>
      </c>
      <c r="D557" t="e">
        <f>INDEX(TCO!$B$2:$AQ$85,MATCH('Historical Shareweights'!$A557,TCO!$A$2:$A$85,0),MATCH('Historical Shareweights'!D556,TCO!$B$1:$AQ$1,0))</f>
        <v>#N/A</v>
      </c>
      <c r="E557" t="e">
        <f>INDEX(TCO!$B$2:$AQ$85,MATCH('Historical Shareweights'!$A557,TCO!$A$2:$A$85,0),MATCH('Historical Shareweights'!E556,TCO!$B$1:$AQ$1,0))</f>
        <v>#N/A</v>
      </c>
      <c r="F557" t="e">
        <f>INDEX(TCO!$B$2:$AQ$85,MATCH('Historical Shareweights'!$A557,TCO!$A$2:$A$85,0),MATCH('Historical Shareweights'!F556,TCO!$B$1:$AQ$1,0))</f>
        <v>#N/A</v>
      </c>
      <c r="G557" t="e">
        <f>INDEX(TCO!$B$2:$AQ$85,MATCH('Historical Shareweights'!$A557,TCO!$A$2:$A$85,0),MATCH('Historical Shareweights'!G556,TCO!$B$1:$AQ$1,0))</f>
        <v>#N/A</v>
      </c>
      <c r="H557" t="e">
        <f>INDEX(TCO!$B$2:$AQ$85,MATCH('Historical Shareweights'!$A557,TCO!$A$2:$A$85,0),MATCH('Historical Shareweights'!H556,TCO!$B$1:$AQ$1,0))</f>
        <v>#N/A</v>
      </c>
      <c r="I557" t="e">
        <f>INDEX(TCO!$B$2:$AQ$85,MATCH('Historical Shareweights'!$A557,TCO!$A$2:$A$85,0),MATCH('Historical Shareweights'!I556,TCO!$B$1:$AQ$1,0))</f>
        <v>#N/A</v>
      </c>
      <c r="J557" t="e">
        <f>INDEX(TCO!$B$2:$AQ$85,MATCH('Historical Shareweights'!$A557,TCO!$A$2:$A$85,0),MATCH('Historical Shareweights'!J556,TCO!$B$1:$AQ$1,0))</f>
        <v>#N/A</v>
      </c>
      <c r="K557" t="e">
        <f>INDEX(TCO!$B$2:$AQ$85,MATCH('Historical Shareweights'!$A557,TCO!$A$2:$A$85,0),MATCH('Historical Shareweights'!K556,TCO!$B$1:$AQ$1,0))</f>
        <v>#N/A</v>
      </c>
      <c r="L557" t="e">
        <f>INDEX(TCO!$B$2:$AQ$85,MATCH('Historical Shareweights'!$A557,TCO!$A$2:$A$85,0),MATCH('Historical Shareweights'!L556,TCO!$B$1:$AQ$1,0))</f>
        <v>#N/A</v>
      </c>
      <c r="M557" t="e">
        <f>INDEX(TCO!$B$2:$AQ$85,MATCH('Historical Shareweights'!$A557,TCO!$A$2:$A$85,0),MATCH('Historical Shareweights'!M556,TCO!$B$1:$AQ$1,0))</f>
        <v>#N/A</v>
      </c>
      <c r="N557" t="e">
        <f>INDEX(TCO!$B$2:$AQ$85,MATCH('Historical Shareweights'!$A557,TCO!$A$2:$A$85,0),MATCH('Historical Shareweights'!N556,TCO!$B$1:$AQ$1,0))</f>
        <v>#N/A</v>
      </c>
      <c r="O557" t="e">
        <f>INDEX(TCO!$B$2:$AQ$85,MATCH('Historical Shareweights'!$A557,TCO!$A$2:$A$85,0),MATCH('Historical Shareweights'!O556,TCO!$B$1:$AQ$1,0))</f>
        <v>#N/A</v>
      </c>
      <c r="P557" t="e">
        <f>INDEX(TCO!$B$2:$AQ$85,MATCH('Historical Shareweights'!$A557,TCO!$A$2:$A$85,0),MATCH('Historical Shareweights'!P556,TCO!$B$1:$AQ$1,0))</f>
        <v>#N/A</v>
      </c>
      <c r="Q557" t="e">
        <f>INDEX(TCO!$B$2:$AQ$85,MATCH('Historical Shareweights'!$A557,TCO!$A$2:$A$85,0),MATCH('Historical Shareweights'!Q556,TCO!$B$1:$AQ$1,0))</f>
        <v>#N/A</v>
      </c>
      <c r="R557" t="e">
        <f>INDEX(TCO!$B$2:$AQ$85,MATCH('Historical Shareweights'!$A557,TCO!$A$2:$A$85,0),MATCH('Historical Shareweights'!R556,TCO!$B$1:$AQ$1,0))</f>
        <v>#N/A</v>
      </c>
      <c r="S557" t="e">
        <f>INDEX(TCO!$B$2:$AQ$85,MATCH('Historical Shareweights'!$A557,TCO!$A$2:$A$85,0),MATCH('Historical Shareweights'!S556,TCO!$B$1:$AQ$1,0))</f>
        <v>#N/A</v>
      </c>
      <c r="T557" t="e">
        <f>INDEX(TCO!$B$2:$AQ$85,MATCH('Historical Shareweights'!$A557,TCO!$A$2:$A$85,0),MATCH('Historical Shareweights'!T556,TCO!$B$1:$AQ$1,0))</f>
        <v>#N/A</v>
      </c>
      <c r="U557" t="e">
        <f>INDEX(TCO!$B$2:$AQ$85,MATCH('Historical Shareweights'!$A557,TCO!$A$2:$A$85,0),MATCH('Historical Shareweights'!U556,TCO!$B$1:$AQ$1,0))</f>
        <v>#N/A</v>
      </c>
      <c r="V557" t="e">
        <f>INDEX(TCO!$B$2:$AQ$85,MATCH('Historical Shareweights'!$A557,TCO!$A$2:$A$85,0),MATCH('Historical Shareweights'!V556,TCO!$B$1:$AQ$1,0))</f>
        <v>#N/A</v>
      </c>
      <c r="W557" t="e">
        <f>INDEX(TCO!$B$2:$AQ$85,MATCH('Historical Shareweights'!$A557,TCO!$A$2:$A$85,0),MATCH('Historical Shareweights'!W556,TCO!$B$1:$AQ$1,0))</f>
        <v>#N/A</v>
      </c>
      <c r="X557" t="e">
        <f>INDEX(TCO!$B$2:$AQ$85,MATCH('Historical Shareweights'!$A557,TCO!$A$2:$A$85,0),MATCH('Historical Shareweights'!X556,TCO!$B$1:$AQ$1,0))</f>
        <v>#N/A</v>
      </c>
      <c r="Y557" t="e">
        <f>INDEX(TCO!$B$2:$AQ$85,MATCH('Historical Shareweights'!$A557,TCO!$A$2:$A$85,0),MATCH('Historical Shareweights'!Y556,TCO!$B$1:$AQ$1,0))</f>
        <v>#N/A</v>
      </c>
      <c r="Z557" t="e">
        <f>INDEX(TCO!$B$2:$AQ$85,MATCH('Historical Shareweights'!$A557,TCO!$A$2:$A$85,0),MATCH('Historical Shareweights'!Z556,TCO!$B$1:$AQ$1,0))</f>
        <v>#N/A</v>
      </c>
      <c r="AA557" t="e">
        <f>INDEX(TCO!$B$2:$AQ$85,MATCH('Historical Shareweights'!$A557,TCO!$A$2:$A$85,0),MATCH('Historical Shareweights'!AA556,TCO!$B$1:$AQ$1,0))</f>
        <v>#N/A</v>
      </c>
      <c r="AB557" t="e">
        <f>INDEX(TCO!$B$2:$AQ$85,MATCH('Historical Shareweights'!$A557,TCO!$A$2:$A$85,0),MATCH('Historical Shareweights'!AB556,TCO!$B$1:$AQ$1,0))</f>
        <v>#N/A</v>
      </c>
      <c r="AC557" t="e">
        <f>INDEX(TCO!$B$2:$AQ$85,MATCH('Historical Shareweights'!$A557,TCO!$A$2:$A$85,0),MATCH('Historical Shareweights'!AC556,TCO!$B$1:$AQ$1,0))</f>
        <v>#N/A</v>
      </c>
      <c r="AD557" t="e">
        <f>INDEX(TCO!$B$2:$AQ$85,MATCH('Historical Shareweights'!$A557,TCO!$A$2:$A$85,0),MATCH('Historical Shareweights'!AD556,TCO!$B$1:$AQ$1,0))</f>
        <v>#N/A</v>
      </c>
      <c r="AE557" t="e">
        <f>INDEX(TCO!$B$2:$AQ$85,MATCH('Historical Shareweights'!$A557,TCO!$A$2:$A$85,0),MATCH('Historical Shareweights'!AE556,TCO!$B$1:$AQ$1,0))</f>
        <v>#N/A</v>
      </c>
      <c r="AF557" t="e">
        <f>INDEX(TCO!$B$2:$AQ$85,MATCH('Historical Shareweights'!$A557,TCO!$A$2:$A$85,0),MATCH('Historical Shareweights'!AF556,TCO!$B$1:$AQ$1,0))</f>
        <v>#N/A</v>
      </c>
      <c r="AG557" t="e">
        <f>INDEX(TCO!$B$2:$AQ$85,MATCH('Historical Shareweights'!$A557,TCO!$A$2:$A$85,0),MATCH('Historical Shareweights'!AG556,TCO!$B$1:$AQ$1,0))</f>
        <v>#N/A</v>
      </c>
      <c r="AH557" t="e">
        <f>INDEX(TCO!$B$2:$AQ$85,MATCH('Historical Shareweights'!$A557,TCO!$A$2:$A$85,0),MATCH('Historical Shareweights'!AH556,TCO!$B$1:$AQ$1,0))</f>
        <v>#N/A</v>
      </c>
      <c r="AI557" t="e">
        <f>INDEX(TCO!$B$2:$AQ$85,MATCH('Historical Shareweights'!$A557,TCO!$A$2:$A$85,0),MATCH('Historical Shareweights'!AI556,TCO!$B$1:$AQ$1,0))</f>
        <v>#N/A</v>
      </c>
      <c r="AJ557" t="e">
        <f>INDEX(TCO!$B$2:$AQ$85,MATCH('Historical Shareweights'!$A557,TCO!$A$2:$A$85,0),MATCH('Historical Shareweights'!AJ556,TCO!$B$1:$AQ$1,0))</f>
        <v>#N/A</v>
      </c>
      <c r="AK557" t="e">
        <f>INDEX(TCO!$B$2:$AQ$85,MATCH('Historical Shareweights'!$A557,TCO!$A$2:$A$85,0),MATCH('Historical Shareweights'!AK556,TCO!$B$1:$AQ$1,0))</f>
        <v>#N/A</v>
      </c>
      <c r="AL557" t="e">
        <f>INDEX(TCO!$B$2:$AQ$85,MATCH('Historical Shareweights'!$A557,TCO!$A$2:$A$85,0),MATCH('Historical Shareweights'!AL556,TCO!$B$1:$AQ$1,0))</f>
        <v>#N/A</v>
      </c>
      <c r="AM557" t="e">
        <f>INDEX(TCO!$B$2:$AQ$85,MATCH('Historical Shareweights'!$A557,TCO!$A$2:$A$85,0),MATCH('Historical Shareweights'!AM556,TCO!$B$1:$AQ$1,0))</f>
        <v>#N/A</v>
      </c>
      <c r="AN557" t="e">
        <f>INDEX(TCO!$B$2:$AQ$85,MATCH('Historical Shareweights'!$A557,TCO!$A$2:$A$85,0),MATCH('Historical Shareweights'!AN556,TCO!$B$1:$AQ$1,0))</f>
        <v>#N/A</v>
      </c>
      <c r="AO557" t="e">
        <f>INDEX(TCO!$B$2:$AQ$85,MATCH('Historical Shareweights'!$A557,TCO!$A$2:$A$85,0),MATCH('Historical Shareweights'!AO556,TCO!$B$1:$AQ$1,0))</f>
        <v>#N/A</v>
      </c>
      <c r="AP557" t="e">
        <f>INDEX(TCO!$B$2:$AQ$85,MATCH('Historical Shareweights'!$A557,TCO!$A$2:$A$85,0),MATCH('Historical Shareweights'!AP556,TCO!$B$1:$AQ$1,0))</f>
        <v>#N/A</v>
      </c>
      <c r="AQ557" t="e">
        <f>INDEX(TCO!$B$2:$AQ$85,MATCH('Historical Shareweights'!$A557,TCO!$A$2:$A$85,0),MATCH('Historical Shareweights'!AQ556,TCO!$B$1:$AQ$1,0))</f>
        <v>#N/A</v>
      </c>
    </row>
    <row r="558" spans="1:43" hidden="1" outlineLevel="1" x14ac:dyDescent="0.15">
      <c r="A558" t="s">
        <v>1213</v>
      </c>
      <c r="B558" t="e">
        <f>INDEX(TCO!$B$2:$AQ$85,MATCH('Historical Shareweights'!$A558,TCO!$A$2:$A$85,0),MATCH('Historical Shareweights'!B556,TCO!$B$1:$AQ$1,0))</f>
        <v>#N/A</v>
      </c>
      <c r="C558" t="e">
        <f>INDEX(TCO!$B$2:$AQ$85,MATCH('Historical Shareweights'!$A558,TCO!$A$2:$A$85,0),MATCH('Historical Shareweights'!C556,TCO!$B$1:$AQ$1,0))</f>
        <v>#N/A</v>
      </c>
      <c r="D558" t="e">
        <f>INDEX(TCO!$B$2:$AQ$85,MATCH('Historical Shareweights'!$A558,TCO!$A$2:$A$85,0),MATCH('Historical Shareweights'!D556,TCO!$B$1:$AQ$1,0))</f>
        <v>#N/A</v>
      </c>
      <c r="E558" t="e">
        <f>INDEX(TCO!$B$2:$AQ$85,MATCH('Historical Shareweights'!$A558,TCO!$A$2:$A$85,0),MATCH('Historical Shareweights'!E556,TCO!$B$1:$AQ$1,0))</f>
        <v>#N/A</v>
      </c>
      <c r="F558" t="e">
        <f>INDEX(TCO!$B$2:$AQ$85,MATCH('Historical Shareweights'!$A558,TCO!$A$2:$A$85,0),MATCH('Historical Shareweights'!F556,TCO!$B$1:$AQ$1,0))</f>
        <v>#N/A</v>
      </c>
      <c r="G558" t="e">
        <f>INDEX(TCO!$B$2:$AQ$85,MATCH('Historical Shareweights'!$A558,TCO!$A$2:$A$85,0),MATCH('Historical Shareweights'!G556,TCO!$B$1:$AQ$1,0))</f>
        <v>#N/A</v>
      </c>
      <c r="H558" t="e">
        <f>INDEX(TCO!$B$2:$AQ$85,MATCH('Historical Shareweights'!$A558,TCO!$A$2:$A$85,0),MATCH('Historical Shareweights'!H556,TCO!$B$1:$AQ$1,0))</f>
        <v>#N/A</v>
      </c>
      <c r="I558" t="e">
        <f>INDEX(TCO!$B$2:$AQ$85,MATCH('Historical Shareweights'!$A558,TCO!$A$2:$A$85,0),MATCH('Historical Shareweights'!I556,TCO!$B$1:$AQ$1,0))</f>
        <v>#N/A</v>
      </c>
      <c r="J558" t="e">
        <f>INDEX(TCO!$B$2:$AQ$85,MATCH('Historical Shareweights'!$A558,TCO!$A$2:$A$85,0),MATCH('Historical Shareweights'!J556,TCO!$B$1:$AQ$1,0))</f>
        <v>#N/A</v>
      </c>
      <c r="K558" t="e">
        <f>INDEX(TCO!$B$2:$AQ$85,MATCH('Historical Shareweights'!$A558,TCO!$A$2:$A$85,0),MATCH('Historical Shareweights'!K556,TCO!$B$1:$AQ$1,0))</f>
        <v>#N/A</v>
      </c>
      <c r="L558" t="e">
        <f>INDEX(TCO!$B$2:$AQ$85,MATCH('Historical Shareweights'!$A558,TCO!$A$2:$A$85,0),MATCH('Historical Shareweights'!L556,TCO!$B$1:$AQ$1,0))</f>
        <v>#N/A</v>
      </c>
      <c r="M558" t="e">
        <f>INDEX(TCO!$B$2:$AQ$85,MATCH('Historical Shareweights'!$A558,TCO!$A$2:$A$85,0),MATCH('Historical Shareweights'!M556,TCO!$B$1:$AQ$1,0))</f>
        <v>#N/A</v>
      </c>
      <c r="N558" t="e">
        <f>INDEX(TCO!$B$2:$AQ$85,MATCH('Historical Shareweights'!$A558,TCO!$A$2:$A$85,0),MATCH('Historical Shareweights'!N556,TCO!$B$1:$AQ$1,0))</f>
        <v>#N/A</v>
      </c>
      <c r="O558" t="e">
        <f>INDEX(TCO!$B$2:$AQ$85,MATCH('Historical Shareweights'!$A558,TCO!$A$2:$A$85,0),MATCH('Historical Shareweights'!O556,TCO!$B$1:$AQ$1,0))</f>
        <v>#N/A</v>
      </c>
      <c r="P558" t="e">
        <f>INDEX(TCO!$B$2:$AQ$85,MATCH('Historical Shareweights'!$A558,TCO!$A$2:$A$85,0),MATCH('Historical Shareweights'!P556,TCO!$B$1:$AQ$1,0))</f>
        <v>#N/A</v>
      </c>
      <c r="Q558" t="e">
        <f>INDEX(TCO!$B$2:$AQ$85,MATCH('Historical Shareweights'!$A558,TCO!$A$2:$A$85,0),MATCH('Historical Shareweights'!Q556,TCO!$B$1:$AQ$1,0))</f>
        <v>#N/A</v>
      </c>
      <c r="R558" t="e">
        <f>INDEX(TCO!$B$2:$AQ$85,MATCH('Historical Shareweights'!$A558,TCO!$A$2:$A$85,0),MATCH('Historical Shareweights'!R556,TCO!$B$1:$AQ$1,0))</f>
        <v>#N/A</v>
      </c>
      <c r="S558" t="e">
        <f>INDEX(TCO!$B$2:$AQ$85,MATCH('Historical Shareweights'!$A558,TCO!$A$2:$A$85,0),MATCH('Historical Shareweights'!S556,TCO!$B$1:$AQ$1,0))</f>
        <v>#N/A</v>
      </c>
      <c r="T558" t="e">
        <f>INDEX(TCO!$B$2:$AQ$85,MATCH('Historical Shareweights'!$A558,TCO!$A$2:$A$85,0),MATCH('Historical Shareweights'!T556,TCO!$B$1:$AQ$1,0))</f>
        <v>#N/A</v>
      </c>
      <c r="U558" t="e">
        <f>INDEX(TCO!$B$2:$AQ$85,MATCH('Historical Shareweights'!$A558,TCO!$A$2:$A$85,0),MATCH('Historical Shareweights'!U556,TCO!$B$1:$AQ$1,0))</f>
        <v>#N/A</v>
      </c>
      <c r="V558" t="e">
        <f>INDEX(TCO!$B$2:$AQ$85,MATCH('Historical Shareweights'!$A558,TCO!$A$2:$A$85,0),MATCH('Historical Shareweights'!V556,TCO!$B$1:$AQ$1,0))</f>
        <v>#N/A</v>
      </c>
      <c r="W558" t="e">
        <f>INDEX(TCO!$B$2:$AQ$85,MATCH('Historical Shareweights'!$A558,TCO!$A$2:$A$85,0),MATCH('Historical Shareweights'!W556,TCO!$B$1:$AQ$1,0))</f>
        <v>#N/A</v>
      </c>
      <c r="X558" t="e">
        <f>INDEX(TCO!$B$2:$AQ$85,MATCH('Historical Shareweights'!$A558,TCO!$A$2:$A$85,0),MATCH('Historical Shareweights'!X556,TCO!$B$1:$AQ$1,0))</f>
        <v>#N/A</v>
      </c>
      <c r="Y558" t="e">
        <f>INDEX(TCO!$B$2:$AQ$85,MATCH('Historical Shareweights'!$A558,TCO!$A$2:$A$85,0),MATCH('Historical Shareweights'!Y556,TCO!$B$1:$AQ$1,0))</f>
        <v>#N/A</v>
      </c>
      <c r="Z558" t="e">
        <f>INDEX(TCO!$B$2:$AQ$85,MATCH('Historical Shareweights'!$A558,TCO!$A$2:$A$85,0),MATCH('Historical Shareweights'!Z556,TCO!$B$1:$AQ$1,0))</f>
        <v>#N/A</v>
      </c>
      <c r="AA558" t="e">
        <f>INDEX(TCO!$B$2:$AQ$85,MATCH('Historical Shareweights'!$A558,TCO!$A$2:$A$85,0),MATCH('Historical Shareweights'!AA556,TCO!$B$1:$AQ$1,0))</f>
        <v>#N/A</v>
      </c>
      <c r="AB558" t="e">
        <f>INDEX(TCO!$B$2:$AQ$85,MATCH('Historical Shareweights'!$A558,TCO!$A$2:$A$85,0),MATCH('Historical Shareweights'!AB556,TCO!$B$1:$AQ$1,0))</f>
        <v>#N/A</v>
      </c>
      <c r="AC558" t="e">
        <f>INDEX(TCO!$B$2:$AQ$85,MATCH('Historical Shareweights'!$A558,TCO!$A$2:$A$85,0),MATCH('Historical Shareweights'!AC556,TCO!$B$1:$AQ$1,0))</f>
        <v>#N/A</v>
      </c>
      <c r="AD558" t="e">
        <f>INDEX(TCO!$B$2:$AQ$85,MATCH('Historical Shareweights'!$A558,TCO!$A$2:$A$85,0),MATCH('Historical Shareweights'!AD556,TCO!$B$1:$AQ$1,0))</f>
        <v>#N/A</v>
      </c>
      <c r="AE558" t="e">
        <f>INDEX(TCO!$B$2:$AQ$85,MATCH('Historical Shareweights'!$A558,TCO!$A$2:$A$85,0),MATCH('Historical Shareweights'!AE556,TCO!$B$1:$AQ$1,0))</f>
        <v>#N/A</v>
      </c>
      <c r="AF558" t="e">
        <f>INDEX(TCO!$B$2:$AQ$85,MATCH('Historical Shareweights'!$A558,TCO!$A$2:$A$85,0),MATCH('Historical Shareweights'!AF556,TCO!$B$1:$AQ$1,0))</f>
        <v>#N/A</v>
      </c>
      <c r="AG558" t="e">
        <f>INDEX(TCO!$B$2:$AQ$85,MATCH('Historical Shareweights'!$A558,TCO!$A$2:$A$85,0),MATCH('Historical Shareweights'!AG556,TCO!$B$1:$AQ$1,0))</f>
        <v>#N/A</v>
      </c>
      <c r="AH558" t="e">
        <f>INDEX(TCO!$B$2:$AQ$85,MATCH('Historical Shareweights'!$A558,TCO!$A$2:$A$85,0),MATCH('Historical Shareweights'!AH556,TCO!$B$1:$AQ$1,0))</f>
        <v>#N/A</v>
      </c>
      <c r="AI558" t="e">
        <f>INDEX(TCO!$B$2:$AQ$85,MATCH('Historical Shareweights'!$A558,TCO!$A$2:$A$85,0),MATCH('Historical Shareweights'!AI556,TCO!$B$1:$AQ$1,0))</f>
        <v>#N/A</v>
      </c>
      <c r="AJ558" t="e">
        <f>INDEX(TCO!$B$2:$AQ$85,MATCH('Historical Shareweights'!$A558,TCO!$A$2:$A$85,0),MATCH('Historical Shareweights'!AJ556,TCO!$B$1:$AQ$1,0))</f>
        <v>#N/A</v>
      </c>
      <c r="AK558" t="e">
        <f>INDEX(TCO!$B$2:$AQ$85,MATCH('Historical Shareweights'!$A558,TCO!$A$2:$A$85,0),MATCH('Historical Shareweights'!AK556,TCO!$B$1:$AQ$1,0))</f>
        <v>#N/A</v>
      </c>
      <c r="AL558" t="e">
        <f>INDEX(TCO!$B$2:$AQ$85,MATCH('Historical Shareweights'!$A558,TCO!$A$2:$A$85,0),MATCH('Historical Shareweights'!AL556,TCO!$B$1:$AQ$1,0))</f>
        <v>#N/A</v>
      </c>
      <c r="AM558" t="e">
        <f>INDEX(TCO!$B$2:$AQ$85,MATCH('Historical Shareweights'!$A558,TCO!$A$2:$A$85,0),MATCH('Historical Shareweights'!AM556,TCO!$B$1:$AQ$1,0))</f>
        <v>#N/A</v>
      </c>
      <c r="AN558" t="e">
        <f>INDEX(TCO!$B$2:$AQ$85,MATCH('Historical Shareweights'!$A558,TCO!$A$2:$A$85,0),MATCH('Historical Shareweights'!AN556,TCO!$B$1:$AQ$1,0))</f>
        <v>#N/A</v>
      </c>
      <c r="AO558" t="e">
        <f>INDEX(TCO!$B$2:$AQ$85,MATCH('Historical Shareweights'!$A558,TCO!$A$2:$A$85,0),MATCH('Historical Shareweights'!AO556,TCO!$B$1:$AQ$1,0))</f>
        <v>#N/A</v>
      </c>
      <c r="AP558" t="e">
        <f>INDEX(TCO!$B$2:$AQ$85,MATCH('Historical Shareweights'!$A558,TCO!$A$2:$A$85,0),MATCH('Historical Shareweights'!AP556,TCO!$B$1:$AQ$1,0))</f>
        <v>#N/A</v>
      </c>
      <c r="AQ558" t="e">
        <f>INDEX(TCO!$B$2:$AQ$85,MATCH('Historical Shareweights'!$A558,TCO!$A$2:$A$85,0),MATCH('Historical Shareweights'!AQ556,TCO!$B$1:$AQ$1,0))</f>
        <v>#N/A</v>
      </c>
    </row>
    <row r="559" spans="1:43" hidden="1" outlineLevel="1" x14ac:dyDescent="0.15">
      <c r="A559" t="s">
        <v>1214</v>
      </c>
      <c r="B559" t="e">
        <f>INDEX(TCO!$B$2:$AQ$85,MATCH('Historical Shareweights'!$A559,TCO!$A$2:$A$85,0),MATCH('Historical Shareweights'!B556,TCO!$B$1:$AQ$1,0))</f>
        <v>#N/A</v>
      </c>
      <c r="C559" t="e">
        <f>INDEX(TCO!$B$2:$AQ$85,MATCH('Historical Shareweights'!$A559,TCO!$A$2:$A$85,0),MATCH('Historical Shareweights'!C556,TCO!$B$1:$AQ$1,0))</f>
        <v>#N/A</v>
      </c>
      <c r="D559" t="e">
        <f>INDEX(TCO!$B$2:$AQ$85,MATCH('Historical Shareweights'!$A559,TCO!$A$2:$A$85,0),MATCH('Historical Shareweights'!D556,TCO!$B$1:$AQ$1,0))</f>
        <v>#N/A</v>
      </c>
      <c r="E559" t="e">
        <f>INDEX(TCO!$B$2:$AQ$85,MATCH('Historical Shareweights'!$A559,TCO!$A$2:$A$85,0),MATCH('Historical Shareweights'!E556,TCO!$B$1:$AQ$1,0))</f>
        <v>#N/A</v>
      </c>
      <c r="F559" t="e">
        <f>INDEX(TCO!$B$2:$AQ$85,MATCH('Historical Shareweights'!$A559,TCO!$A$2:$A$85,0),MATCH('Historical Shareweights'!F556,TCO!$B$1:$AQ$1,0))</f>
        <v>#N/A</v>
      </c>
      <c r="G559" t="e">
        <f>INDEX(TCO!$B$2:$AQ$85,MATCH('Historical Shareweights'!$A559,TCO!$A$2:$A$85,0),MATCH('Historical Shareweights'!G556,TCO!$B$1:$AQ$1,0))</f>
        <v>#N/A</v>
      </c>
      <c r="H559" t="e">
        <f>INDEX(TCO!$B$2:$AQ$85,MATCH('Historical Shareweights'!$A559,TCO!$A$2:$A$85,0),MATCH('Historical Shareweights'!H556,TCO!$B$1:$AQ$1,0))</f>
        <v>#N/A</v>
      </c>
      <c r="I559" t="e">
        <f>INDEX(TCO!$B$2:$AQ$85,MATCH('Historical Shareweights'!$A559,TCO!$A$2:$A$85,0),MATCH('Historical Shareweights'!I556,TCO!$B$1:$AQ$1,0))</f>
        <v>#N/A</v>
      </c>
      <c r="J559" t="e">
        <f>INDEX(TCO!$B$2:$AQ$85,MATCH('Historical Shareweights'!$A559,TCO!$A$2:$A$85,0),MATCH('Historical Shareweights'!J556,TCO!$B$1:$AQ$1,0))</f>
        <v>#N/A</v>
      </c>
      <c r="K559" t="e">
        <f>INDEX(TCO!$B$2:$AQ$85,MATCH('Historical Shareweights'!$A559,TCO!$A$2:$A$85,0),MATCH('Historical Shareweights'!K556,TCO!$B$1:$AQ$1,0))</f>
        <v>#N/A</v>
      </c>
      <c r="L559" t="e">
        <f>INDEX(TCO!$B$2:$AQ$85,MATCH('Historical Shareweights'!$A559,TCO!$A$2:$A$85,0),MATCH('Historical Shareweights'!L556,TCO!$B$1:$AQ$1,0))</f>
        <v>#N/A</v>
      </c>
      <c r="M559" t="e">
        <f>INDEX(TCO!$B$2:$AQ$85,MATCH('Historical Shareweights'!$A559,TCO!$A$2:$A$85,0),MATCH('Historical Shareweights'!M556,TCO!$B$1:$AQ$1,0))</f>
        <v>#N/A</v>
      </c>
      <c r="N559" t="e">
        <f>INDEX(TCO!$B$2:$AQ$85,MATCH('Historical Shareweights'!$A559,TCO!$A$2:$A$85,0),MATCH('Historical Shareweights'!N556,TCO!$B$1:$AQ$1,0))</f>
        <v>#N/A</v>
      </c>
      <c r="O559" t="e">
        <f>INDEX(TCO!$B$2:$AQ$85,MATCH('Historical Shareweights'!$A559,TCO!$A$2:$A$85,0),MATCH('Historical Shareweights'!O556,TCO!$B$1:$AQ$1,0))</f>
        <v>#N/A</v>
      </c>
      <c r="P559" t="e">
        <f>INDEX(TCO!$B$2:$AQ$85,MATCH('Historical Shareweights'!$A559,TCO!$A$2:$A$85,0),MATCH('Historical Shareweights'!P556,TCO!$B$1:$AQ$1,0))</f>
        <v>#N/A</v>
      </c>
      <c r="Q559" t="e">
        <f>INDEX(TCO!$B$2:$AQ$85,MATCH('Historical Shareweights'!$A559,TCO!$A$2:$A$85,0),MATCH('Historical Shareweights'!Q556,TCO!$B$1:$AQ$1,0))</f>
        <v>#N/A</v>
      </c>
      <c r="R559" t="e">
        <f>INDEX(TCO!$B$2:$AQ$85,MATCH('Historical Shareweights'!$A559,TCO!$A$2:$A$85,0),MATCH('Historical Shareweights'!R556,TCO!$B$1:$AQ$1,0))</f>
        <v>#N/A</v>
      </c>
      <c r="S559" t="e">
        <f>INDEX(TCO!$B$2:$AQ$85,MATCH('Historical Shareweights'!$A559,TCO!$A$2:$A$85,0),MATCH('Historical Shareweights'!S556,TCO!$B$1:$AQ$1,0))</f>
        <v>#N/A</v>
      </c>
      <c r="T559" t="e">
        <f>INDEX(TCO!$B$2:$AQ$85,MATCH('Historical Shareweights'!$A559,TCO!$A$2:$A$85,0),MATCH('Historical Shareweights'!T556,TCO!$B$1:$AQ$1,0))</f>
        <v>#N/A</v>
      </c>
      <c r="U559" t="e">
        <f>INDEX(TCO!$B$2:$AQ$85,MATCH('Historical Shareweights'!$A559,TCO!$A$2:$A$85,0),MATCH('Historical Shareweights'!U556,TCO!$B$1:$AQ$1,0))</f>
        <v>#N/A</v>
      </c>
      <c r="V559" t="e">
        <f>INDEX(TCO!$B$2:$AQ$85,MATCH('Historical Shareweights'!$A559,TCO!$A$2:$A$85,0),MATCH('Historical Shareweights'!V556,TCO!$B$1:$AQ$1,0))</f>
        <v>#N/A</v>
      </c>
      <c r="W559" t="e">
        <f>INDEX(TCO!$B$2:$AQ$85,MATCH('Historical Shareweights'!$A559,TCO!$A$2:$A$85,0),MATCH('Historical Shareweights'!W556,TCO!$B$1:$AQ$1,0))</f>
        <v>#N/A</v>
      </c>
      <c r="X559" t="e">
        <f>INDEX(TCO!$B$2:$AQ$85,MATCH('Historical Shareweights'!$A559,TCO!$A$2:$A$85,0),MATCH('Historical Shareweights'!X556,TCO!$B$1:$AQ$1,0))</f>
        <v>#N/A</v>
      </c>
      <c r="Y559" t="e">
        <f>INDEX(TCO!$B$2:$AQ$85,MATCH('Historical Shareweights'!$A559,TCO!$A$2:$A$85,0),MATCH('Historical Shareweights'!Y556,TCO!$B$1:$AQ$1,0))</f>
        <v>#N/A</v>
      </c>
      <c r="Z559" t="e">
        <f>INDEX(TCO!$B$2:$AQ$85,MATCH('Historical Shareweights'!$A559,TCO!$A$2:$A$85,0),MATCH('Historical Shareweights'!Z556,TCO!$B$1:$AQ$1,0))</f>
        <v>#N/A</v>
      </c>
      <c r="AA559" t="e">
        <f>INDEX(TCO!$B$2:$AQ$85,MATCH('Historical Shareweights'!$A559,TCO!$A$2:$A$85,0),MATCH('Historical Shareweights'!AA556,TCO!$B$1:$AQ$1,0))</f>
        <v>#N/A</v>
      </c>
      <c r="AB559" t="e">
        <f>INDEX(TCO!$B$2:$AQ$85,MATCH('Historical Shareweights'!$A559,TCO!$A$2:$A$85,0),MATCH('Historical Shareweights'!AB556,TCO!$B$1:$AQ$1,0))</f>
        <v>#N/A</v>
      </c>
      <c r="AC559" t="e">
        <f>INDEX(TCO!$B$2:$AQ$85,MATCH('Historical Shareweights'!$A559,TCO!$A$2:$A$85,0),MATCH('Historical Shareweights'!AC556,TCO!$B$1:$AQ$1,0))</f>
        <v>#N/A</v>
      </c>
      <c r="AD559" t="e">
        <f>INDEX(TCO!$B$2:$AQ$85,MATCH('Historical Shareweights'!$A559,TCO!$A$2:$A$85,0),MATCH('Historical Shareweights'!AD556,TCO!$B$1:$AQ$1,0))</f>
        <v>#N/A</v>
      </c>
      <c r="AE559" t="e">
        <f>INDEX(TCO!$B$2:$AQ$85,MATCH('Historical Shareweights'!$A559,TCO!$A$2:$A$85,0),MATCH('Historical Shareweights'!AE556,TCO!$B$1:$AQ$1,0))</f>
        <v>#N/A</v>
      </c>
      <c r="AF559" t="e">
        <f>INDEX(TCO!$B$2:$AQ$85,MATCH('Historical Shareweights'!$A559,TCO!$A$2:$A$85,0),MATCH('Historical Shareweights'!AF556,TCO!$B$1:$AQ$1,0))</f>
        <v>#N/A</v>
      </c>
      <c r="AG559" t="e">
        <f>INDEX(TCO!$B$2:$AQ$85,MATCH('Historical Shareweights'!$A559,TCO!$A$2:$A$85,0),MATCH('Historical Shareweights'!AG556,TCO!$B$1:$AQ$1,0))</f>
        <v>#N/A</v>
      </c>
      <c r="AH559" t="e">
        <f>INDEX(TCO!$B$2:$AQ$85,MATCH('Historical Shareweights'!$A559,TCO!$A$2:$A$85,0),MATCH('Historical Shareweights'!AH556,TCO!$B$1:$AQ$1,0))</f>
        <v>#N/A</v>
      </c>
      <c r="AI559" t="e">
        <f>INDEX(TCO!$B$2:$AQ$85,MATCH('Historical Shareweights'!$A559,TCO!$A$2:$A$85,0),MATCH('Historical Shareweights'!AI556,TCO!$B$1:$AQ$1,0))</f>
        <v>#N/A</v>
      </c>
      <c r="AJ559" t="e">
        <f>INDEX(TCO!$B$2:$AQ$85,MATCH('Historical Shareweights'!$A559,TCO!$A$2:$A$85,0),MATCH('Historical Shareweights'!AJ556,TCO!$B$1:$AQ$1,0))</f>
        <v>#N/A</v>
      </c>
      <c r="AK559" t="e">
        <f>INDEX(TCO!$B$2:$AQ$85,MATCH('Historical Shareweights'!$A559,TCO!$A$2:$A$85,0),MATCH('Historical Shareweights'!AK556,TCO!$B$1:$AQ$1,0))</f>
        <v>#N/A</v>
      </c>
      <c r="AL559" t="e">
        <f>INDEX(TCO!$B$2:$AQ$85,MATCH('Historical Shareweights'!$A559,TCO!$A$2:$A$85,0),MATCH('Historical Shareweights'!AL556,TCO!$B$1:$AQ$1,0))</f>
        <v>#N/A</v>
      </c>
      <c r="AM559" t="e">
        <f>INDEX(TCO!$B$2:$AQ$85,MATCH('Historical Shareweights'!$A559,TCO!$A$2:$A$85,0),MATCH('Historical Shareweights'!AM556,TCO!$B$1:$AQ$1,0))</f>
        <v>#N/A</v>
      </c>
      <c r="AN559" t="e">
        <f>INDEX(TCO!$B$2:$AQ$85,MATCH('Historical Shareweights'!$A559,TCO!$A$2:$A$85,0),MATCH('Historical Shareweights'!AN556,TCO!$B$1:$AQ$1,0))</f>
        <v>#N/A</v>
      </c>
      <c r="AO559" t="e">
        <f>INDEX(TCO!$B$2:$AQ$85,MATCH('Historical Shareweights'!$A559,TCO!$A$2:$A$85,0),MATCH('Historical Shareweights'!AO556,TCO!$B$1:$AQ$1,0))</f>
        <v>#N/A</v>
      </c>
      <c r="AP559" t="e">
        <f>INDEX(TCO!$B$2:$AQ$85,MATCH('Historical Shareweights'!$A559,TCO!$A$2:$A$85,0),MATCH('Historical Shareweights'!AP556,TCO!$B$1:$AQ$1,0))</f>
        <v>#N/A</v>
      </c>
      <c r="AQ559" t="e">
        <f>INDEX(TCO!$B$2:$AQ$85,MATCH('Historical Shareweights'!$A559,TCO!$A$2:$A$85,0),MATCH('Historical Shareweights'!AQ556,TCO!$B$1:$AQ$1,0))</f>
        <v>#N/A</v>
      </c>
    </row>
    <row r="560" spans="1:43" hidden="1" outlineLevel="1" x14ac:dyDescent="0.15">
      <c r="A560" t="s">
        <v>1215</v>
      </c>
      <c r="B560" t="e">
        <f>INDEX(TCO!$B$2:$AQ$85,MATCH('Historical Shareweights'!$A560,TCO!$A$2:$A$85,0),MATCH('Historical Shareweights'!B556,TCO!$B$1:$AQ$1,0))</f>
        <v>#N/A</v>
      </c>
      <c r="C560" t="e">
        <f>INDEX(TCO!$B$2:$AQ$85,MATCH('Historical Shareweights'!$A560,TCO!$A$2:$A$85,0),MATCH('Historical Shareweights'!C556,TCO!$B$1:$AQ$1,0))</f>
        <v>#N/A</v>
      </c>
      <c r="D560" t="e">
        <f>INDEX(TCO!$B$2:$AQ$85,MATCH('Historical Shareweights'!$A560,TCO!$A$2:$A$85,0),MATCH('Historical Shareweights'!D556,TCO!$B$1:$AQ$1,0))</f>
        <v>#N/A</v>
      </c>
      <c r="E560" t="e">
        <f>INDEX(TCO!$B$2:$AQ$85,MATCH('Historical Shareweights'!$A560,TCO!$A$2:$A$85,0),MATCH('Historical Shareweights'!E556,TCO!$B$1:$AQ$1,0))</f>
        <v>#N/A</v>
      </c>
      <c r="F560" t="e">
        <f>INDEX(TCO!$B$2:$AQ$85,MATCH('Historical Shareweights'!$A560,TCO!$A$2:$A$85,0),MATCH('Historical Shareweights'!F556,TCO!$B$1:$AQ$1,0))</f>
        <v>#N/A</v>
      </c>
      <c r="G560" t="e">
        <f>INDEX(TCO!$B$2:$AQ$85,MATCH('Historical Shareweights'!$A560,TCO!$A$2:$A$85,0),MATCH('Historical Shareweights'!G556,TCO!$B$1:$AQ$1,0))</f>
        <v>#N/A</v>
      </c>
      <c r="H560" t="e">
        <f>INDEX(TCO!$B$2:$AQ$85,MATCH('Historical Shareweights'!$A560,TCO!$A$2:$A$85,0),MATCH('Historical Shareweights'!H556,TCO!$B$1:$AQ$1,0))</f>
        <v>#N/A</v>
      </c>
      <c r="I560" t="e">
        <f>INDEX(TCO!$B$2:$AQ$85,MATCH('Historical Shareweights'!$A560,TCO!$A$2:$A$85,0),MATCH('Historical Shareweights'!I556,TCO!$B$1:$AQ$1,0))</f>
        <v>#N/A</v>
      </c>
      <c r="J560" t="e">
        <f>INDEX(TCO!$B$2:$AQ$85,MATCH('Historical Shareweights'!$A560,TCO!$A$2:$A$85,0),MATCH('Historical Shareweights'!J556,TCO!$B$1:$AQ$1,0))</f>
        <v>#N/A</v>
      </c>
      <c r="K560" t="e">
        <f>INDEX(TCO!$B$2:$AQ$85,MATCH('Historical Shareweights'!$A560,TCO!$A$2:$A$85,0),MATCH('Historical Shareweights'!K556,TCO!$B$1:$AQ$1,0))</f>
        <v>#N/A</v>
      </c>
      <c r="L560" t="e">
        <f>INDEX(TCO!$B$2:$AQ$85,MATCH('Historical Shareweights'!$A560,TCO!$A$2:$A$85,0),MATCH('Historical Shareweights'!L556,TCO!$B$1:$AQ$1,0))</f>
        <v>#N/A</v>
      </c>
      <c r="M560" t="e">
        <f>INDEX(TCO!$B$2:$AQ$85,MATCH('Historical Shareweights'!$A560,TCO!$A$2:$A$85,0),MATCH('Historical Shareweights'!M556,TCO!$B$1:$AQ$1,0))</f>
        <v>#N/A</v>
      </c>
      <c r="N560" t="e">
        <f>INDEX(TCO!$B$2:$AQ$85,MATCH('Historical Shareweights'!$A560,TCO!$A$2:$A$85,0),MATCH('Historical Shareweights'!N556,TCO!$B$1:$AQ$1,0))</f>
        <v>#N/A</v>
      </c>
      <c r="O560" t="e">
        <f>INDEX(TCO!$B$2:$AQ$85,MATCH('Historical Shareweights'!$A560,TCO!$A$2:$A$85,0),MATCH('Historical Shareweights'!O556,TCO!$B$1:$AQ$1,0))</f>
        <v>#N/A</v>
      </c>
      <c r="P560" t="e">
        <f>INDEX(TCO!$B$2:$AQ$85,MATCH('Historical Shareweights'!$A560,TCO!$A$2:$A$85,0),MATCH('Historical Shareweights'!P556,TCO!$B$1:$AQ$1,0))</f>
        <v>#N/A</v>
      </c>
      <c r="Q560" t="e">
        <f>INDEX(TCO!$B$2:$AQ$85,MATCH('Historical Shareweights'!$A560,TCO!$A$2:$A$85,0),MATCH('Historical Shareweights'!Q556,TCO!$B$1:$AQ$1,0))</f>
        <v>#N/A</v>
      </c>
      <c r="R560" t="e">
        <f>INDEX(TCO!$B$2:$AQ$85,MATCH('Historical Shareweights'!$A560,TCO!$A$2:$A$85,0),MATCH('Historical Shareweights'!R556,TCO!$B$1:$AQ$1,0))</f>
        <v>#N/A</v>
      </c>
      <c r="S560" t="e">
        <f>INDEX(TCO!$B$2:$AQ$85,MATCH('Historical Shareweights'!$A560,TCO!$A$2:$A$85,0),MATCH('Historical Shareweights'!S556,TCO!$B$1:$AQ$1,0))</f>
        <v>#N/A</v>
      </c>
      <c r="T560" t="e">
        <f>INDEX(TCO!$B$2:$AQ$85,MATCH('Historical Shareweights'!$A560,TCO!$A$2:$A$85,0),MATCH('Historical Shareweights'!T556,TCO!$B$1:$AQ$1,0))</f>
        <v>#N/A</v>
      </c>
      <c r="U560" t="e">
        <f>INDEX(TCO!$B$2:$AQ$85,MATCH('Historical Shareweights'!$A560,TCO!$A$2:$A$85,0),MATCH('Historical Shareweights'!U556,TCO!$B$1:$AQ$1,0))</f>
        <v>#N/A</v>
      </c>
      <c r="V560" t="e">
        <f>INDEX(TCO!$B$2:$AQ$85,MATCH('Historical Shareweights'!$A560,TCO!$A$2:$A$85,0),MATCH('Historical Shareweights'!V556,TCO!$B$1:$AQ$1,0))</f>
        <v>#N/A</v>
      </c>
      <c r="W560" t="e">
        <f>INDEX(TCO!$B$2:$AQ$85,MATCH('Historical Shareweights'!$A560,TCO!$A$2:$A$85,0),MATCH('Historical Shareweights'!W556,TCO!$B$1:$AQ$1,0))</f>
        <v>#N/A</v>
      </c>
      <c r="X560" t="e">
        <f>INDEX(TCO!$B$2:$AQ$85,MATCH('Historical Shareweights'!$A560,TCO!$A$2:$A$85,0),MATCH('Historical Shareweights'!X556,TCO!$B$1:$AQ$1,0))</f>
        <v>#N/A</v>
      </c>
      <c r="Y560" t="e">
        <f>INDEX(TCO!$B$2:$AQ$85,MATCH('Historical Shareweights'!$A560,TCO!$A$2:$A$85,0),MATCH('Historical Shareweights'!Y556,TCO!$B$1:$AQ$1,0))</f>
        <v>#N/A</v>
      </c>
      <c r="Z560" t="e">
        <f>INDEX(TCO!$B$2:$AQ$85,MATCH('Historical Shareweights'!$A560,TCO!$A$2:$A$85,0),MATCH('Historical Shareweights'!Z556,TCO!$B$1:$AQ$1,0))</f>
        <v>#N/A</v>
      </c>
      <c r="AA560" t="e">
        <f>INDEX(TCO!$B$2:$AQ$85,MATCH('Historical Shareweights'!$A560,TCO!$A$2:$A$85,0),MATCH('Historical Shareweights'!AA556,TCO!$B$1:$AQ$1,0))</f>
        <v>#N/A</v>
      </c>
      <c r="AB560" t="e">
        <f>INDEX(TCO!$B$2:$AQ$85,MATCH('Historical Shareweights'!$A560,TCO!$A$2:$A$85,0),MATCH('Historical Shareweights'!AB556,TCO!$B$1:$AQ$1,0))</f>
        <v>#N/A</v>
      </c>
      <c r="AC560" t="e">
        <f>INDEX(TCO!$B$2:$AQ$85,MATCH('Historical Shareweights'!$A560,TCO!$A$2:$A$85,0),MATCH('Historical Shareweights'!AC556,TCO!$B$1:$AQ$1,0))</f>
        <v>#N/A</v>
      </c>
      <c r="AD560" t="e">
        <f>INDEX(TCO!$B$2:$AQ$85,MATCH('Historical Shareweights'!$A560,TCO!$A$2:$A$85,0),MATCH('Historical Shareweights'!AD556,TCO!$B$1:$AQ$1,0))</f>
        <v>#N/A</v>
      </c>
      <c r="AE560" t="e">
        <f>INDEX(TCO!$B$2:$AQ$85,MATCH('Historical Shareweights'!$A560,TCO!$A$2:$A$85,0),MATCH('Historical Shareweights'!AE556,TCO!$B$1:$AQ$1,0))</f>
        <v>#N/A</v>
      </c>
      <c r="AF560" t="e">
        <f>INDEX(TCO!$B$2:$AQ$85,MATCH('Historical Shareweights'!$A560,TCO!$A$2:$A$85,0),MATCH('Historical Shareweights'!AF556,TCO!$B$1:$AQ$1,0))</f>
        <v>#N/A</v>
      </c>
      <c r="AG560" t="e">
        <f>INDEX(TCO!$B$2:$AQ$85,MATCH('Historical Shareweights'!$A560,TCO!$A$2:$A$85,0),MATCH('Historical Shareweights'!AG556,TCO!$B$1:$AQ$1,0))</f>
        <v>#N/A</v>
      </c>
      <c r="AH560" t="e">
        <f>INDEX(TCO!$B$2:$AQ$85,MATCH('Historical Shareweights'!$A560,TCO!$A$2:$A$85,0),MATCH('Historical Shareweights'!AH556,TCO!$B$1:$AQ$1,0))</f>
        <v>#N/A</v>
      </c>
      <c r="AI560" t="e">
        <f>INDEX(TCO!$B$2:$AQ$85,MATCH('Historical Shareweights'!$A560,TCO!$A$2:$A$85,0),MATCH('Historical Shareweights'!AI556,TCO!$B$1:$AQ$1,0))</f>
        <v>#N/A</v>
      </c>
      <c r="AJ560" t="e">
        <f>INDEX(TCO!$B$2:$AQ$85,MATCH('Historical Shareweights'!$A560,TCO!$A$2:$A$85,0),MATCH('Historical Shareweights'!AJ556,TCO!$B$1:$AQ$1,0))</f>
        <v>#N/A</v>
      </c>
      <c r="AK560" t="e">
        <f>INDEX(TCO!$B$2:$AQ$85,MATCH('Historical Shareweights'!$A560,TCO!$A$2:$A$85,0),MATCH('Historical Shareweights'!AK556,TCO!$B$1:$AQ$1,0))</f>
        <v>#N/A</v>
      </c>
      <c r="AL560" t="e">
        <f>INDEX(TCO!$B$2:$AQ$85,MATCH('Historical Shareweights'!$A560,TCO!$A$2:$A$85,0),MATCH('Historical Shareweights'!AL556,TCO!$B$1:$AQ$1,0))</f>
        <v>#N/A</v>
      </c>
      <c r="AM560" t="e">
        <f>INDEX(TCO!$B$2:$AQ$85,MATCH('Historical Shareweights'!$A560,TCO!$A$2:$A$85,0),MATCH('Historical Shareweights'!AM556,TCO!$B$1:$AQ$1,0))</f>
        <v>#N/A</v>
      </c>
      <c r="AN560" t="e">
        <f>INDEX(TCO!$B$2:$AQ$85,MATCH('Historical Shareweights'!$A560,TCO!$A$2:$A$85,0),MATCH('Historical Shareweights'!AN556,TCO!$B$1:$AQ$1,0))</f>
        <v>#N/A</v>
      </c>
      <c r="AO560" t="e">
        <f>INDEX(TCO!$B$2:$AQ$85,MATCH('Historical Shareweights'!$A560,TCO!$A$2:$A$85,0),MATCH('Historical Shareweights'!AO556,TCO!$B$1:$AQ$1,0))</f>
        <v>#N/A</v>
      </c>
      <c r="AP560" t="e">
        <f>INDEX(TCO!$B$2:$AQ$85,MATCH('Historical Shareweights'!$A560,TCO!$A$2:$A$85,0),MATCH('Historical Shareweights'!AP556,TCO!$B$1:$AQ$1,0))</f>
        <v>#N/A</v>
      </c>
      <c r="AQ560" t="e">
        <f>INDEX(TCO!$B$2:$AQ$85,MATCH('Historical Shareweights'!$A560,TCO!$A$2:$A$85,0),MATCH('Historical Shareweights'!AQ556,TCO!$B$1:$AQ$1,0))</f>
        <v>#N/A</v>
      </c>
    </row>
    <row r="561" spans="1:43" hidden="1" outlineLevel="1" x14ac:dyDescent="0.15">
      <c r="A561" t="s">
        <v>1216</v>
      </c>
      <c r="B561" t="e">
        <f>INDEX(TCO!$B$2:$AQ$85,MATCH('Historical Shareweights'!$A561,TCO!$A$2:$A$85,0),MATCH('Historical Shareweights'!B556,TCO!$B$1:$AQ$1,0))</f>
        <v>#N/A</v>
      </c>
      <c r="C561" t="e">
        <f>INDEX(TCO!$B$2:$AQ$85,MATCH('Historical Shareweights'!$A561,TCO!$A$2:$A$85,0),MATCH('Historical Shareweights'!C556,TCO!$B$1:$AQ$1,0))</f>
        <v>#N/A</v>
      </c>
      <c r="D561" t="e">
        <f>INDEX(TCO!$B$2:$AQ$85,MATCH('Historical Shareweights'!$A561,TCO!$A$2:$A$85,0),MATCH('Historical Shareweights'!D556,TCO!$B$1:$AQ$1,0))</f>
        <v>#N/A</v>
      </c>
      <c r="E561" t="e">
        <f>INDEX(TCO!$B$2:$AQ$85,MATCH('Historical Shareweights'!$A561,TCO!$A$2:$A$85,0),MATCH('Historical Shareweights'!E556,TCO!$B$1:$AQ$1,0))</f>
        <v>#N/A</v>
      </c>
      <c r="F561" t="e">
        <f>INDEX(TCO!$B$2:$AQ$85,MATCH('Historical Shareweights'!$A561,TCO!$A$2:$A$85,0),MATCH('Historical Shareweights'!F556,TCO!$B$1:$AQ$1,0))</f>
        <v>#N/A</v>
      </c>
      <c r="G561" t="e">
        <f>INDEX(TCO!$B$2:$AQ$85,MATCH('Historical Shareweights'!$A561,TCO!$A$2:$A$85,0),MATCH('Historical Shareweights'!G556,TCO!$B$1:$AQ$1,0))</f>
        <v>#N/A</v>
      </c>
      <c r="H561" t="e">
        <f>INDEX(TCO!$B$2:$AQ$85,MATCH('Historical Shareweights'!$A561,TCO!$A$2:$A$85,0),MATCH('Historical Shareweights'!H556,TCO!$B$1:$AQ$1,0))</f>
        <v>#N/A</v>
      </c>
      <c r="I561" t="e">
        <f>INDEX(TCO!$B$2:$AQ$85,MATCH('Historical Shareweights'!$A561,TCO!$A$2:$A$85,0),MATCH('Historical Shareweights'!I556,TCO!$B$1:$AQ$1,0))</f>
        <v>#N/A</v>
      </c>
      <c r="J561" t="e">
        <f>INDEX(TCO!$B$2:$AQ$85,MATCH('Historical Shareweights'!$A561,TCO!$A$2:$A$85,0),MATCH('Historical Shareweights'!J556,TCO!$B$1:$AQ$1,0))</f>
        <v>#N/A</v>
      </c>
      <c r="K561" t="e">
        <f>INDEX(TCO!$B$2:$AQ$85,MATCH('Historical Shareweights'!$A561,TCO!$A$2:$A$85,0),MATCH('Historical Shareweights'!K556,TCO!$B$1:$AQ$1,0))</f>
        <v>#N/A</v>
      </c>
      <c r="L561" t="e">
        <f>INDEX(TCO!$B$2:$AQ$85,MATCH('Historical Shareweights'!$A561,TCO!$A$2:$A$85,0),MATCH('Historical Shareweights'!L556,TCO!$B$1:$AQ$1,0))</f>
        <v>#N/A</v>
      </c>
      <c r="M561" t="e">
        <f>INDEX(TCO!$B$2:$AQ$85,MATCH('Historical Shareweights'!$A561,TCO!$A$2:$A$85,0),MATCH('Historical Shareweights'!M556,TCO!$B$1:$AQ$1,0))</f>
        <v>#N/A</v>
      </c>
      <c r="N561" t="e">
        <f>INDEX(TCO!$B$2:$AQ$85,MATCH('Historical Shareweights'!$A561,TCO!$A$2:$A$85,0),MATCH('Historical Shareweights'!N556,TCO!$B$1:$AQ$1,0))</f>
        <v>#N/A</v>
      </c>
      <c r="O561" t="e">
        <f>INDEX(TCO!$B$2:$AQ$85,MATCH('Historical Shareweights'!$A561,TCO!$A$2:$A$85,0),MATCH('Historical Shareweights'!O556,TCO!$B$1:$AQ$1,0))</f>
        <v>#N/A</v>
      </c>
      <c r="P561" t="e">
        <f>INDEX(TCO!$B$2:$AQ$85,MATCH('Historical Shareweights'!$A561,TCO!$A$2:$A$85,0),MATCH('Historical Shareweights'!P556,TCO!$B$1:$AQ$1,0))</f>
        <v>#N/A</v>
      </c>
      <c r="Q561" t="e">
        <f>INDEX(TCO!$B$2:$AQ$85,MATCH('Historical Shareweights'!$A561,TCO!$A$2:$A$85,0),MATCH('Historical Shareweights'!Q556,TCO!$B$1:$AQ$1,0))</f>
        <v>#N/A</v>
      </c>
      <c r="R561" t="e">
        <f>INDEX(TCO!$B$2:$AQ$85,MATCH('Historical Shareweights'!$A561,TCO!$A$2:$A$85,0),MATCH('Historical Shareweights'!R556,TCO!$B$1:$AQ$1,0))</f>
        <v>#N/A</v>
      </c>
      <c r="S561" t="e">
        <f>INDEX(TCO!$B$2:$AQ$85,MATCH('Historical Shareweights'!$A561,TCO!$A$2:$A$85,0),MATCH('Historical Shareweights'!S556,TCO!$B$1:$AQ$1,0))</f>
        <v>#N/A</v>
      </c>
      <c r="T561" t="e">
        <f>INDEX(TCO!$B$2:$AQ$85,MATCH('Historical Shareweights'!$A561,TCO!$A$2:$A$85,0),MATCH('Historical Shareweights'!T556,TCO!$B$1:$AQ$1,0))</f>
        <v>#N/A</v>
      </c>
      <c r="U561" t="e">
        <f>INDEX(TCO!$B$2:$AQ$85,MATCH('Historical Shareweights'!$A561,TCO!$A$2:$A$85,0),MATCH('Historical Shareweights'!U556,TCO!$B$1:$AQ$1,0))</f>
        <v>#N/A</v>
      </c>
      <c r="V561" t="e">
        <f>INDEX(TCO!$B$2:$AQ$85,MATCH('Historical Shareweights'!$A561,TCO!$A$2:$A$85,0),MATCH('Historical Shareweights'!V556,TCO!$B$1:$AQ$1,0))</f>
        <v>#N/A</v>
      </c>
      <c r="W561" t="e">
        <f>INDEX(TCO!$B$2:$AQ$85,MATCH('Historical Shareweights'!$A561,TCO!$A$2:$A$85,0),MATCH('Historical Shareweights'!W556,TCO!$B$1:$AQ$1,0))</f>
        <v>#N/A</v>
      </c>
      <c r="X561" t="e">
        <f>INDEX(TCO!$B$2:$AQ$85,MATCH('Historical Shareweights'!$A561,TCO!$A$2:$A$85,0),MATCH('Historical Shareweights'!X556,TCO!$B$1:$AQ$1,0))</f>
        <v>#N/A</v>
      </c>
      <c r="Y561" t="e">
        <f>INDEX(TCO!$B$2:$AQ$85,MATCH('Historical Shareweights'!$A561,TCO!$A$2:$A$85,0),MATCH('Historical Shareweights'!Y556,TCO!$B$1:$AQ$1,0))</f>
        <v>#N/A</v>
      </c>
      <c r="Z561" t="e">
        <f>INDEX(TCO!$B$2:$AQ$85,MATCH('Historical Shareweights'!$A561,TCO!$A$2:$A$85,0),MATCH('Historical Shareweights'!Z556,TCO!$B$1:$AQ$1,0))</f>
        <v>#N/A</v>
      </c>
      <c r="AA561" t="e">
        <f>INDEX(TCO!$B$2:$AQ$85,MATCH('Historical Shareweights'!$A561,TCO!$A$2:$A$85,0),MATCH('Historical Shareweights'!AA556,TCO!$B$1:$AQ$1,0))</f>
        <v>#N/A</v>
      </c>
      <c r="AB561" t="e">
        <f>INDEX(TCO!$B$2:$AQ$85,MATCH('Historical Shareweights'!$A561,TCO!$A$2:$A$85,0),MATCH('Historical Shareweights'!AB556,TCO!$B$1:$AQ$1,0))</f>
        <v>#N/A</v>
      </c>
      <c r="AC561" t="e">
        <f>INDEX(TCO!$B$2:$AQ$85,MATCH('Historical Shareweights'!$A561,TCO!$A$2:$A$85,0),MATCH('Historical Shareweights'!AC556,TCO!$B$1:$AQ$1,0))</f>
        <v>#N/A</v>
      </c>
      <c r="AD561" t="e">
        <f>INDEX(TCO!$B$2:$AQ$85,MATCH('Historical Shareweights'!$A561,TCO!$A$2:$A$85,0),MATCH('Historical Shareweights'!AD556,TCO!$B$1:$AQ$1,0))</f>
        <v>#N/A</v>
      </c>
      <c r="AE561" t="e">
        <f>INDEX(TCO!$B$2:$AQ$85,MATCH('Historical Shareweights'!$A561,TCO!$A$2:$A$85,0),MATCH('Historical Shareweights'!AE556,TCO!$B$1:$AQ$1,0))</f>
        <v>#N/A</v>
      </c>
      <c r="AF561" t="e">
        <f>INDEX(TCO!$B$2:$AQ$85,MATCH('Historical Shareweights'!$A561,TCO!$A$2:$A$85,0),MATCH('Historical Shareweights'!AF556,TCO!$B$1:$AQ$1,0))</f>
        <v>#N/A</v>
      </c>
      <c r="AG561" t="e">
        <f>INDEX(TCO!$B$2:$AQ$85,MATCH('Historical Shareweights'!$A561,TCO!$A$2:$A$85,0),MATCH('Historical Shareweights'!AG556,TCO!$B$1:$AQ$1,0))</f>
        <v>#N/A</v>
      </c>
      <c r="AH561" t="e">
        <f>INDEX(TCO!$B$2:$AQ$85,MATCH('Historical Shareweights'!$A561,TCO!$A$2:$A$85,0),MATCH('Historical Shareweights'!AH556,TCO!$B$1:$AQ$1,0))</f>
        <v>#N/A</v>
      </c>
      <c r="AI561" t="e">
        <f>INDEX(TCO!$B$2:$AQ$85,MATCH('Historical Shareweights'!$A561,TCO!$A$2:$A$85,0),MATCH('Historical Shareweights'!AI556,TCO!$B$1:$AQ$1,0))</f>
        <v>#N/A</v>
      </c>
      <c r="AJ561" t="e">
        <f>INDEX(TCO!$B$2:$AQ$85,MATCH('Historical Shareweights'!$A561,TCO!$A$2:$A$85,0),MATCH('Historical Shareweights'!AJ556,TCO!$B$1:$AQ$1,0))</f>
        <v>#N/A</v>
      </c>
      <c r="AK561" t="e">
        <f>INDEX(TCO!$B$2:$AQ$85,MATCH('Historical Shareweights'!$A561,TCO!$A$2:$A$85,0),MATCH('Historical Shareweights'!AK556,TCO!$B$1:$AQ$1,0))</f>
        <v>#N/A</v>
      </c>
      <c r="AL561" t="e">
        <f>INDEX(TCO!$B$2:$AQ$85,MATCH('Historical Shareweights'!$A561,TCO!$A$2:$A$85,0),MATCH('Historical Shareweights'!AL556,TCO!$B$1:$AQ$1,0))</f>
        <v>#N/A</v>
      </c>
      <c r="AM561" t="e">
        <f>INDEX(TCO!$B$2:$AQ$85,MATCH('Historical Shareweights'!$A561,TCO!$A$2:$A$85,0),MATCH('Historical Shareweights'!AM556,TCO!$B$1:$AQ$1,0))</f>
        <v>#N/A</v>
      </c>
      <c r="AN561" t="e">
        <f>INDEX(TCO!$B$2:$AQ$85,MATCH('Historical Shareweights'!$A561,TCO!$A$2:$A$85,0),MATCH('Historical Shareweights'!AN556,TCO!$B$1:$AQ$1,0))</f>
        <v>#N/A</v>
      </c>
      <c r="AO561" t="e">
        <f>INDEX(TCO!$B$2:$AQ$85,MATCH('Historical Shareweights'!$A561,TCO!$A$2:$A$85,0),MATCH('Historical Shareweights'!AO556,TCO!$B$1:$AQ$1,0))</f>
        <v>#N/A</v>
      </c>
      <c r="AP561" t="e">
        <f>INDEX(TCO!$B$2:$AQ$85,MATCH('Historical Shareweights'!$A561,TCO!$A$2:$A$85,0),MATCH('Historical Shareweights'!AP556,TCO!$B$1:$AQ$1,0))</f>
        <v>#N/A</v>
      </c>
      <c r="AQ561" t="e">
        <f>INDEX(TCO!$B$2:$AQ$85,MATCH('Historical Shareweights'!$A561,TCO!$A$2:$A$85,0),MATCH('Historical Shareweights'!AQ556,TCO!$B$1:$AQ$1,0))</f>
        <v>#N/A</v>
      </c>
    </row>
    <row r="562" spans="1:43" hidden="1" outlineLevel="1" x14ac:dyDescent="0.15">
      <c r="A562" t="s">
        <v>1217</v>
      </c>
      <c r="B562" t="e">
        <f>INDEX(TCO!$B$2:$AQ$85,MATCH('Historical Shareweights'!$A562,TCO!$A$2:$A$85,0),MATCH('Historical Shareweights'!B556,TCO!$B$1:$AQ$1,0))</f>
        <v>#N/A</v>
      </c>
      <c r="C562" t="e">
        <f>INDEX(TCO!$B$2:$AQ$85,MATCH('Historical Shareweights'!$A562,TCO!$A$2:$A$85,0),MATCH('Historical Shareweights'!C556,TCO!$B$1:$AQ$1,0))</f>
        <v>#N/A</v>
      </c>
      <c r="D562" t="e">
        <f>INDEX(TCO!$B$2:$AQ$85,MATCH('Historical Shareweights'!$A562,TCO!$A$2:$A$85,0),MATCH('Historical Shareweights'!D556,TCO!$B$1:$AQ$1,0))</f>
        <v>#N/A</v>
      </c>
      <c r="E562" t="e">
        <f>INDEX(TCO!$B$2:$AQ$85,MATCH('Historical Shareweights'!$A562,TCO!$A$2:$A$85,0),MATCH('Historical Shareweights'!E556,TCO!$B$1:$AQ$1,0))</f>
        <v>#N/A</v>
      </c>
      <c r="F562" t="e">
        <f>INDEX(TCO!$B$2:$AQ$85,MATCH('Historical Shareweights'!$A562,TCO!$A$2:$A$85,0),MATCH('Historical Shareweights'!F556,TCO!$B$1:$AQ$1,0))</f>
        <v>#N/A</v>
      </c>
      <c r="G562" t="e">
        <f>INDEX(TCO!$B$2:$AQ$85,MATCH('Historical Shareweights'!$A562,TCO!$A$2:$A$85,0),MATCH('Historical Shareweights'!G556,TCO!$B$1:$AQ$1,0))</f>
        <v>#N/A</v>
      </c>
      <c r="H562" t="e">
        <f>INDEX(TCO!$B$2:$AQ$85,MATCH('Historical Shareweights'!$A562,TCO!$A$2:$A$85,0),MATCH('Historical Shareweights'!H556,TCO!$B$1:$AQ$1,0))</f>
        <v>#N/A</v>
      </c>
      <c r="I562" t="e">
        <f>INDEX(TCO!$B$2:$AQ$85,MATCH('Historical Shareweights'!$A562,TCO!$A$2:$A$85,0),MATCH('Historical Shareweights'!I556,TCO!$B$1:$AQ$1,0))</f>
        <v>#N/A</v>
      </c>
      <c r="J562" t="e">
        <f>INDEX(TCO!$B$2:$AQ$85,MATCH('Historical Shareweights'!$A562,TCO!$A$2:$A$85,0),MATCH('Historical Shareweights'!J556,TCO!$B$1:$AQ$1,0))</f>
        <v>#N/A</v>
      </c>
      <c r="K562" t="e">
        <f>INDEX(TCO!$B$2:$AQ$85,MATCH('Historical Shareweights'!$A562,TCO!$A$2:$A$85,0),MATCH('Historical Shareweights'!K556,TCO!$B$1:$AQ$1,0))</f>
        <v>#N/A</v>
      </c>
      <c r="L562" t="e">
        <f>INDEX(TCO!$B$2:$AQ$85,MATCH('Historical Shareweights'!$A562,TCO!$A$2:$A$85,0),MATCH('Historical Shareweights'!L556,TCO!$B$1:$AQ$1,0))</f>
        <v>#N/A</v>
      </c>
      <c r="M562" t="e">
        <f>INDEX(TCO!$B$2:$AQ$85,MATCH('Historical Shareweights'!$A562,TCO!$A$2:$A$85,0),MATCH('Historical Shareweights'!M556,TCO!$B$1:$AQ$1,0))</f>
        <v>#N/A</v>
      </c>
      <c r="N562" t="e">
        <f>INDEX(TCO!$B$2:$AQ$85,MATCH('Historical Shareweights'!$A562,TCO!$A$2:$A$85,0),MATCH('Historical Shareweights'!N556,TCO!$B$1:$AQ$1,0))</f>
        <v>#N/A</v>
      </c>
      <c r="O562" t="e">
        <f>INDEX(TCO!$B$2:$AQ$85,MATCH('Historical Shareweights'!$A562,TCO!$A$2:$A$85,0),MATCH('Historical Shareweights'!O556,TCO!$B$1:$AQ$1,0))</f>
        <v>#N/A</v>
      </c>
      <c r="P562" t="e">
        <f>INDEX(TCO!$B$2:$AQ$85,MATCH('Historical Shareweights'!$A562,TCO!$A$2:$A$85,0),MATCH('Historical Shareweights'!P556,TCO!$B$1:$AQ$1,0))</f>
        <v>#N/A</v>
      </c>
      <c r="Q562" t="e">
        <f>INDEX(TCO!$B$2:$AQ$85,MATCH('Historical Shareweights'!$A562,TCO!$A$2:$A$85,0),MATCH('Historical Shareweights'!Q556,TCO!$B$1:$AQ$1,0))</f>
        <v>#N/A</v>
      </c>
      <c r="R562" t="e">
        <f>INDEX(TCO!$B$2:$AQ$85,MATCH('Historical Shareweights'!$A562,TCO!$A$2:$A$85,0),MATCH('Historical Shareweights'!R556,TCO!$B$1:$AQ$1,0))</f>
        <v>#N/A</v>
      </c>
      <c r="S562" t="e">
        <f>INDEX(TCO!$B$2:$AQ$85,MATCH('Historical Shareweights'!$A562,TCO!$A$2:$A$85,0),MATCH('Historical Shareweights'!S556,TCO!$B$1:$AQ$1,0))</f>
        <v>#N/A</v>
      </c>
      <c r="T562" t="e">
        <f>INDEX(TCO!$B$2:$AQ$85,MATCH('Historical Shareweights'!$A562,TCO!$A$2:$A$85,0),MATCH('Historical Shareweights'!T556,TCO!$B$1:$AQ$1,0))</f>
        <v>#N/A</v>
      </c>
      <c r="U562" t="e">
        <f>INDEX(TCO!$B$2:$AQ$85,MATCH('Historical Shareweights'!$A562,TCO!$A$2:$A$85,0),MATCH('Historical Shareweights'!U556,TCO!$B$1:$AQ$1,0))</f>
        <v>#N/A</v>
      </c>
      <c r="V562" t="e">
        <f>INDEX(TCO!$B$2:$AQ$85,MATCH('Historical Shareweights'!$A562,TCO!$A$2:$A$85,0),MATCH('Historical Shareweights'!V556,TCO!$B$1:$AQ$1,0))</f>
        <v>#N/A</v>
      </c>
      <c r="W562" t="e">
        <f>INDEX(TCO!$B$2:$AQ$85,MATCH('Historical Shareweights'!$A562,TCO!$A$2:$A$85,0),MATCH('Historical Shareweights'!W556,TCO!$B$1:$AQ$1,0))</f>
        <v>#N/A</v>
      </c>
      <c r="X562" t="e">
        <f>INDEX(TCO!$B$2:$AQ$85,MATCH('Historical Shareweights'!$A562,TCO!$A$2:$A$85,0),MATCH('Historical Shareweights'!X556,TCO!$B$1:$AQ$1,0))</f>
        <v>#N/A</v>
      </c>
      <c r="Y562" t="e">
        <f>INDEX(TCO!$B$2:$AQ$85,MATCH('Historical Shareweights'!$A562,TCO!$A$2:$A$85,0),MATCH('Historical Shareweights'!Y556,TCO!$B$1:$AQ$1,0))</f>
        <v>#N/A</v>
      </c>
      <c r="Z562" t="e">
        <f>INDEX(TCO!$B$2:$AQ$85,MATCH('Historical Shareweights'!$A562,TCO!$A$2:$A$85,0),MATCH('Historical Shareweights'!Z556,TCO!$B$1:$AQ$1,0))</f>
        <v>#N/A</v>
      </c>
      <c r="AA562" t="e">
        <f>INDEX(TCO!$B$2:$AQ$85,MATCH('Historical Shareweights'!$A562,TCO!$A$2:$A$85,0),MATCH('Historical Shareweights'!AA556,TCO!$B$1:$AQ$1,0))</f>
        <v>#N/A</v>
      </c>
      <c r="AB562" t="e">
        <f>INDEX(TCO!$B$2:$AQ$85,MATCH('Historical Shareweights'!$A562,TCO!$A$2:$A$85,0),MATCH('Historical Shareweights'!AB556,TCO!$B$1:$AQ$1,0))</f>
        <v>#N/A</v>
      </c>
      <c r="AC562" t="e">
        <f>INDEX(TCO!$B$2:$AQ$85,MATCH('Historical Shareweights'!$A562,TCO!$A$2:$A$85,0),MATCH('Historical Shareweights'!AC556,TCO!$B$1:$AQ$1,0))</f>
        <v>#N/A</v>
      </c>
      <c r="AD562" t="e">
        <f>INDEX(TCO!$B$2:$AQ$85,MATCH('Historical Shareweights'!$A562,TCO!$A$2:$A$85,0),MATCH('Historical Shareweights'!AD556,TCO!$B$1:$AQ$1,0))</f>
        <v>#N/A</v>
      </c>
      <c r="AE562" t="e">
        <f>INDEX(TCO!$B$2:$AQ$85,MATCH('Historical Shareweights'!$A562,TCO!$A$2:$A$85,0),MATCH('Historical Shareweights'!AE556,TCO!$B$1:$AQ$1,0))</f>
        <v>#N/A</v>
      </c>
      <c r="AF562" t="e">
        <f>INDEX(TCO!$B$2:$AQ$85,MATCH('Historical Shareweights'!$A562,TCO!$A$2:$A$85,0),MATCH('Historical Shareweights'!AF556,TCO!$B$1:$AQ$1,0))</f>
        <v>#N/A</v>
      </c>
      <c r="AG562" t="e">
        <f>INDEX(TCO!$B$2:$AQ$85,MATCH('Historical Shareweights'!$A562,TCO!$A$2:$A$85,0),MATCH('Historical Shareweights'!AG556,TCO!$B$1:$AQ$1,0))</f>
        <v>#N/A</v>
      </c>
      <c r="AH562" t="e">
        <f>INDEX(TCO!$B$2:$AQ$85,MATCH('Historical Shareweights'!$A562,TCO!$A$2:$A$85,0),MATCH('Historical Shareweights'!AH556,TCO!$B$1:$AQ$1,0))</f>
        <v>#N/A</v>
      </c>
      <c r="AI562" t="e">
        <f>INDEX(TCO!$B$2:$AQ$85,MATCH('Historical Shareweights'!$A562,TCO!$A$2:$A$85,0),MATCH('Historical Shareweights'!AI556,TCO!$B$1:$AQ$1,0))</f>
        <v>#N/A</v>
      </c>
      <c r="AJ562" t="e">
        <f>INDEX(TCO!$B$2:$AQ$85,MATCH('Historical Shareweights'!$A562,TCO!$A$2:$A$85,0),MATCH('Historical Shareweights'!AJ556,TCO!$B$1:$AQ$1,0))</f>
        <v>#N/A</v>
      </c>
      <c r="AK562" t="e">
        <f>INDEX(TCO!$B$2:$AQ$85,MATCH('Historical Shareweights'!$A562,TCO!$A$2:$A$85,0),MATCH('Historical Shareweights'!AK556,TCO!$B$1:$AQ$1,0))</f>
        <v>#N/A</v>
      </c>
      <c r="AL562" t="e">
        <f>INDEX(TCO!$B$2:$AQ$85,MATCH('Historical Shareweights'!$A562,TCO!$A$2:$A$85,0),MATCH('Historical Shareweights'!AL556,TCO!$B$1:$AQ$1,0))</f>
        <v>#N/A</v>
      </c>
      <c r="AM562" t="e">
        <f>INDEX(TCO!$B$2:$AQ$85,MATCH('Historical Shareweights'!$A562,TCO!$A$2:$A$85,0),MATCH('Historical Shareweights'!AM556,TCO!$B$1:$AQ$1,0))</f>
        <v>#N/A</v>
      </c>
      <c r="AN562" t="e">
        <f>INDEX(TCO!$B$2:$AQ$85,MATCH('Historical Shareweights'!$A562,TCO!$A$2:$A$85,0),MATCH('Historical Shareweights'!AN556,TCO!$B$1:$AQ$1,0))</f>
        <v>#N/A</v>
      </c>
      <c r="AO562" t="e">
        <f>INDEX(TCO!$B$2:$AQ$85,MATCH('Historical Shareweights'!$A562,TCO!$A$2:$A$85,0),MATCH('Historical Shareweights'!AO556,TCO!$B$1:$AQ$1,0))</f>
        <v>#N/A</v>
      </c>
      <c r="AP562" t="e">
        <f>INDEX(TCO!$B$2:$AQ$85,MATCH('Historical Shareweights'!$A562,TCO!$A$2:$A$85,0),MATCH('Historical Shareweights'!AP556,TCO!$B$1:$AQ$1,0))</f>
        <v>#N/A</v>
      </c>
      <c r="AQ562" t="e">
        <f>INDEX(TCO!$B$2:$AQ$85,MATCH('Historical Shareweights'!$A562,TCO!$A$2:$A$85,0),MATCH('Historical Shareweights'!AQ556,TCO!$B$1:$AQ$1,0))</f>
        <v>#N/A</v>
      </c>
    </row>
    <row r="563" spans="1:43" hidden="1" outlineLevel="1" x14ac:dyDescent="0.15">
      <c r="A563" t="s">
        <v>1218</v>
      </c>
      <c r="B563" t="e">
        <f>INDEX(TCO!$B$2:$AQ$85,MATCH('Historical Shareweights'!$A563,TCO!$A$2:$A$85,0),MATCH('Historical Shareweights'!B556,TCO!$B$1:$AQ$1,0))</f>
        <v>#N/A</v>
      </c>
      <c r="C563" t="e">
        <f>INDEX(TCO!$B$2:$AQ$85,MATCH('Historical Shareweights'!$A563,TCO!$A$2:$A$85,0),MATCH('Historical Shareweights'!C556,TCO!$B$1:$AQ$1,0))</f>
        <v>#N/A</v>
      </c>
      <c r="D563" t="e">
        <f>INDEX(TCO!$B$2:$AQ$85,MATCH('Historical Shareweights'!$A563,TCO!$A$2:$A$85,0),MATCH('Historical Shareweights'!D556,TCO!$B$1:$AQ$1,0))</f>
        <v>#N/A</v>
      </c>
      <c r="E563" t="e">
        <f>INDEX(TCO!$B$2:$AQ$85,MATCH('Historical Shareweights'!$A563,TCO!$A$2:$A$85,0),MATCH('Historical Shareweights'!E556,TCO!$B$1:$AQ$1,0))</f>
        <v>#N/A</v>
      </c>
      <c r="F563" t="e">
        <f>INDEX(TCO!$B$2:$AQ$85,MATCH('Historical Shareweights'!$A563,TCO!$A$2:$A$85,0),MATCH('Historical Shareweights'!F556,TCO!$B$1:$AQ$1,0))</f>
        <v>#N/A</v>
      </c>
      <c r="G563" t="e">
        <f>INDEX(TCO!$B$2:$AQ$85,MATCH('Historical Shareweights'!$A563,TCO!$A$2:$A$85,0),MATCH('Historical Shareweights'!G556,TCO!$B$1:$AQ$1,0))</f>
        <v>#N/A</v>
      </c>
      <c r="H563" t="e">
        <f>INDEX(TCO!$B$2:$AQ$85,MATCH('Historical Shareweights'!$A563,TCO!$A$2:$A$85,0),MATCH('Historical Shareweights'!H556,TCO!$B$1:$AQ$1,0))</f>
        <v>#N/A</v>
      </c>
      <c r="I563" t="e">
        <f>INDEX(TCO!$B$2:$AQ$85,MATCH('Historical Shareweights'!$A563,TCO!$A$2:$A$85,0),MATCH('Historical Shareweights'!I556,TCO!$B$1:$AQ$1,0))</f>
        <v>#N/A</v>
      </c>
      <c r="J563" t="e">
        <f>INDEX(TCO!$B$2:$AQ$85,MATCH('Historical Shareweights'!$A563,TCO!$A$2:$A$85,0),MATCH('Historical Shareweights'!J556,TCO!$B$1:$AQ$1,0))</f>
        <v>#N/A</v>
      </c>
      <c r="K563" t="e">
        <f>INDEX(TCO!$B$2:$AQ$85,MATCH('Historical Shareweights'!$A563,TCO!$A$2:$A$85,0),MATCH('Historical Shareweights'!K556,TCO!$B$1:$AQ$1,0))</f>
        <v>#N/A</v>
      </c>
      <c r="L563" t="e">
        <f>INDEX(TCO!$B$2:$AQ$85,MATCH('Historical Shareweights'!$A563,TCO!$A$2:$A$85,0),MATCH('Historical Shareweights'!L556,TCO!$B$1:$AQ$1,0))</f>
        <v>#N/A</v>
      </c>
      <c r="M563" t="e">
        <f>INDEX(TCO!$B$2:$AQ$85,MATCH('Historical Shareweights'!$A563,TCO!$A$2:$A$85,0),MATCH('Historical Shareweights'!M556,TCO!$B$1:$AQ$1,0))</f>
        <v>#N/A</v>
      </c>
      <c r="N563" t="e">
        <f>INDEX(TCO!$B$2:$AQ$85,MATCH('Historical Shareweights'!$A563,TCO!$A$2:$A$85,0),MATCH('Historical Shareweights'!N556,TCO!$B$1:$AQ$1,0))</f>
        <v>#N/A</v>
      </c>
      <c r="O563" t="e">
        <f>INDEX(TCO!$B$2:$AQ$85,MATCH('Historical Shareweights'!$A563,TCO!$A$2:$A$85,0),MATCH('Historical Shareweights'!O556,TCO!$B$1:$AQ$1,0))</f>
        <v>#N/A</v>
      </c>
      <c r="P563" t="e">
        <f>INDEX(TCO!$B$2:$AQ$85,MATCH('Historical Shareweights'!$A563,TCO!$A$2:$A$85,0),MATCH('Historical Shareweights'!P556,TCO!$B$1:$AQ$1,0))</f>
        <v>#N/A</v>
      </c>
      <c r="Q563" t="e">
        <f>INDEX(TCO!$B$2:$AQ$85,MATCH('Historical Shareweights'!$A563,TCO!$A$2:$A$85,0),MATCH('Historical Shareweights'!Q556,TCO!$B$1:$AQ$1,0))</f>
        <v>#N/A</v>
      </c>
      <c r="R563" t="e">
        <f>INDEX(TCO!$B$2:$AQ$85,MATCH('Historical Shareweights'!$A563,TCO!$A$2:$A$85,0),MATCH('Historical Shareweights'!R556,TCO!$B$1:$AQ$1,0))</f>
        <v>#N/A</v>
      </c>
      <c r="S563" t="e">
        <f>INDEX(TCO!$B$2:$AQ$85,MATCH('Historical Shareweights'!$A563,TCO!$A$2:$A$85,0),MATCH('Historical Shareweights'!S556,TCO!$B$1:$AQ$1,0))</f>
        <v>#N/A</v>
      </c>
      <c r="T563" t="e">
        <f>INDEX(TCO!$B$2:$AQ$85,MATCH('Historical Shareweights'!$A563,TCO!$A$2:$A$85,0),MATCH('Historical Shareweights'!T556,TCO!$B$1:$AQ$1,0))</f>
        <v>#N/A</v>
      </c>
      <c r="U563" t="e">
        <f>INDEX(TCO!$B$2:$AQ$85,MATCH('Historical Shareweights'!$A563,TCO!$A$2:$A$85,0),MATCH('Historical Shareweights'!U556,TCO!$B$1:$AQ$1,0))</f>
        <v>#N/A</v>
      </c>
      <c r="V563" t="e">
        <f>INDEX(TCO!$B$2:$AQ$85,MATCH('Historical Shareweights'!$A563,TCO!$A$2:$A$85,0),MATCH('Historical Shareweights'!V556,TCO!$B$1:$AQ$1,0))</f>
        <v>#N/A</v>
      </c>
      <c r="W563" t="e">
        <f>INDEX(TCO!$B$2:$AQ$85,MATCH('Historical Shareweights'!$A563,TCO!$A$2:$A$85,0),MATCH('Historical Shareweights'!W556,TCO!$B$1:$AQ$1,0))</f>
        <v>#N/A</v>
      </c>
      <c r="X563" t="e">
        <f>INDEX(TCO!$B$2:$AQ$85,MATCH('Historical Shareweights'!$A563,TCO!$A$2:$A$85,0),MATCH('Historical Shareweights'!X556,TCO!$B$1:$AQ$1,0))</f>
        <v>#N/A</v>
      </c>
      <c r="Y563" t="e">
        <f>INDEX(TCO!$B$2:$AQ$85,MATCH('Historical Shareweights'!$A563,TCO!$A$2:$A$85,0),MATCH('Historical Shareweights'!Y556,TCO!$B$1:$AQ$1,0))</f>
        <v>#N/A</v>
      </c>
      <c r="Z563" t="e">
        <f>INDEX(TCO!$B$2:$AQ$85,MATCH('Historical Shareweights'!$A563,TCO!$A$2:$A$85,0),MATCH('Historical Shareweights'!Z556,TCO!$B$1:$AQ$1,0))</f>
        <v>#N/A</v>
      </c>
      <c r="AA563" t="e">
        <f>INDEX(TCO!$B$2:$AQ$85,MATCH('Historical Shareweights'!$A563,TCO!$A$2:$A$85,0),MATCH('Historical Shareweights'!AA556,TCO!$B$1:$AQ$1,0))</f>
        <v>#N/A</v>
      </c>
      <c r="AB563" t="e">
        <f>INDEX(TCO!$B$2:$AQ$85,MATCH('Historical Shareweights'!$A563,TCO!$A$2:$A$85,0),MATCH('Historical Shareweights'!AB556,TCO!$B$1:$AQ$1,0))</f>
        <v>#N/A</v>
      </c>
      <c r="AC563" t="e">
        <f>INDEX(TCO!$B$2:$AQ$85,MATCH('Historical Shareweights'!$A563,TCO!$A$2:$A$85,0),MATCH('Historical Shareweights'!AC556,TCO!$B$1:$AQ$1,0))</f>
        <v>#N/A</v>
      </c>
      <c r="AD563" t="e">
        <f>INDEX(TCO!$B$2:$AQ$85,MATCH('Historical Shareweights'!$A563,TCO!$A$2:$A$85,0),MATCH('Historical Shareweights'!AD556,TCO!$B$1:$AQ$1,0))</f>
        <v>#N/A</v>
      </c>
      <c r="AE563" t="e">
        <f>INDEX(TCO!$B$2:$AQ$85,MATCH('Historical Shareweights'!$A563,TCO!$A$2:$A$85,0),MATCH('Historical Shareweights'!AE556,TCO!$B$1:$AQ$1,0))</f>
        <v>#N/A</v>
      </c>
      <c r="AF563" t="e">
        <f>INDEX(TCO!$B$2:$AQ$85,MATCH('Historical Shareweights'!$A563,TCO!$A$2:$A$85,0),MATCH('Historical Shareweights'!AF556,TCO!$B$1:$AQ$1,0))</f>
        <v>#N/A</v>
      </c>
      <c r="AG563" t="e">
        <f>INDEX(TCO!$B$2:$AQ$85,MATCH('Historical Shareweights'!$A563,TCO!$A$2:$A$85,0),MATCH('Historical Shareweights'!AG556,TCO!$B$1:$AQ$1,0))</f>
        <v>#N/A</v>
      </c>
      <c r="AH563" t="e">
        <f>INDEX(TCO!$B$2:$AQ$85,MATCH('Historical Shareweights'!$A563,TCO!$A$2:$A$85,0),MATCH('Historical Shareweights'!AH556,TCO!$B$1:$AQ$1,0))</f>
        <v>#N/A</v>
      </c>
      <c r="AI563" t="e">
        <f>INDEX(TCO!$B$2:$AQ$85,MATCH('Historical Shareweights'!$A563,TCO!$A$2:$A$85,0),MATCH('Historical Shareweights'!AI556,TCO!$B$1:$AQ$1,0))</f>
        <v>#N/A</v>
      </c>
      <c r="AJ563" t="e">
        <f>INDEX(TCO!$B$2:$AQ$85,MATCH('Historical Shareweights'!$A563,TCO!$A$2:$A$85,0),MATCH('Historical Shareweights'!AJ556,TCO!$B$1:$AQ$1,0))</f>
        <v>#N/A</v>
      </c>
      <c r="AK563" t="e">
        <f>INDEX(TCO!$B$2:$AQ$85,MATCH('Historical Shareweights'!$A563,TCO!$A$2:$A$85,0),MATCH('Historical Shareweights'!AK556,TCO!$B$1:$AQ$1,0))</f>
        <v>#N/A</v>
      </c>
      <c r="AL563" t="e">
        <f>INDEX(TCO!$B$2:$AQ$85,MATCH('Historical Shareweights'!$A563,TCO!$A$2:$A$85,0),MATCH('Historical Shareweights'!AL556,TCO!$B$1:$AQ$1,0))</f>
        <v>#N/A</v>
      </c>
      <c r="AM563" t="e">
        <f>INDEX(TCO!$B$2:$AQ$85,MATCH('Historical Shareweights'!$A563,TCO!$A$2:$A$85,0),MATCH('Historical Shareweights'!AM556,TCO!$B$1:$AQ$1,0))</f>
        <v>#N/A</v>
      </c>
      <c r="AN563" t="e">
        <f>INDEX(TCO!$B$2:$AQ$85,MATCH('Historical Shareweights'!$A563,TCO!$A$2:$A$85,0),MATCH('Historical Shareweights'!AN556,TCO!$B$1:$AQ$1,0))</f>
        <v>#N/A</v>
      </c>
      <c r="AO563" t="e">
        <f>INDEX(TCO!$B$2:$AQ$85,MATCH('Historical Shareweights'!$A563,TCO!$A$2:$A$85,0),MATCH('Historical Shareweights'!AO556,TCO!$B$1:$AQ$1,0))</f>
        <v>#N/A</v>
      </c>
      <c r="AP563" t="e">
        <f>INDEX(TCO!$B$2:$AQ$85,MATCH('Historical Shareweights'!$A563,TCO!$A$2:$A$85,0),MATCH('Historical Shareweights'!AP556,TCO!$B$1:$AQ$1,0))</f>
        <v>#N/A</v>
      </c>
      <c r="AQ563" t="e">
        <f>INDEX(TCO!$B$2:$AQ$85,MATCH('Historical Shareweights'!$A563,TCO!$A$2:$A$85,0),MATCH('Historical Shareweights'!AQ556,TCO!$B$1:$AQ$1,0))</f>
        <v>#N/A</v>
      </c>
    </row>
    <row r="564" spans="1:43" hidden="1" outlineLevel="1" x14ac:dyDescent="0.15"/>
    <row r="565" spans="1:43" ht="13.6" hidden="1" outlineLevel="1" thickBot="1" x14ac:dyDescent="0.2">
      <c r="A565" s="1" t="s">
        <v>1101</v>
      </c>
      <c r="B565" s="175">
        <v>2023</v>
      </c>
    </row>
    <row r="566" spans="1:43" hidden="1" outlineLevel="1" x14ac:dyDescent="0.15"/>
    <row r="567" spans="1:43" hidden="1" outlineLevel="1" x14ac:dyDescent="0.15">
      <c r="A567" s="1" t="s">
        <v>1102</v>
      </c>
    </row>
    <row r="568" spans="1:43" hidden="1" outlineLevel="1" x14ac:dyDescent="0.15">
      <c r="B568" t="s">
        <v>1103</v>
      </c>
      <c r="C568" t="s">
        <v>1104</v>
      </c>
      <c r="D568" t="s">
        <v>1105</v>
      </c>
      <c r="E568" t="s">
        <v>1106</v>
      </c>
      <c r="F568" t="s">
        <v>1107</v>
      </c>
      <c r="G568" t="s">
        <v>1108</v>
      </c>
    </row>
    <row r="569" spans="1:43" hidden="1" outlineLevel="1" x14ac:dyDescent="0.15">
      <c r="A569" t="s">
        <v>1084</v>
      </c>
      <c r="B569" s="179">
        <v>0.21978933829510275</v>
      </c>
      <c r="C569" t="e" cm="1">
        <f t="array" ref="C569">INDEX($B557:$AQ557,,MATCH($B565,$B556:$AQ556,0))/10^6</f>
        <v>#N/A</v>
      </c>
      <c r="D569" s="176" t="e">
        <f>B569*EXP(C569*$B553)</f>
        <v>#N/A</v>
      </c>
      <c r="E569" s="171" t="e">
        <f>D569/SUM($D569:$D575)</f>
        <v>#N/A</v>
      </c>
      <c r="F569" s="177">
        <f>INDEX($B544:$F550,MATCH(A569,$A544:$A550,0),MATCH($B565,$B543:$F543,0))</f>
        <v>0</v>
      </c>
      <c r="G569" s="178" t="e">
        <f>ABS(F569-E569)</f>
        <v>#N/A</v>
      </c>
    </row>
    <row r="570" spans="1:43" hidden="1" outlineLevel="1" x14ac:dyDescent="0.15">
      <c r="A570" t="s">
        <v>1086</v>
      </c>
      <c r="B570" s="179">
        <v>8.3420557334751508E-12</v>
      </c>
      <c r="C570" t="e" cm="1">
        <f t="array" ref="C570">INDEX($B558:$AQ558,,MATCH($B565,$B556:$AQ556,0))/10^6</f>
        <v>#N/A</v>
      </c>
      <c r="D570" s="176" t="e">
        <f>B570*EXP(C570*$B553)</f>
        <v>#N/A</v>
      </c>
      <c r="E570" s="171" t="e">
        <f>D570/SUM($D569:$D575)</f>
        <v>#N/A</v>
      </c>
      <c r="F570" s="177">
        <f>INDEX($B544:$F550,MATCH(A570,$A544:$A550,0),MATCH($B565,$B543:$F543,0))</f>
        <v>0</v>
      </c>
      <c r="G570" s="178" t="e">
        <f t="shared" ref="G570:G575" si="60">ABS(F570-E570)</f>
        <v>#N/A</v>
      </c>
    </row>
    <row r="571" spans="1:43" hidden="1" outlineLevel="1" x14ac:dyDescent="0.15">
      <c r="A571" t="s">
        <v>1088</v>
      </c>
      <c r="B571" s="179">
        <v>0.999999999995829</v>
      </c>
      <c r="C571" t="e" cm="1">
        <f t="array" ref="C571">INDEX($B559:$AQ559,,MATCH($B565,$B556:$AQ556,0))/10^6</f>
        <v>#N/A</v>
      </c>
      <c r="D571" s="176" t="e">
        <f>B571*EXP(C571*$B553)</f>
        <v>#N/A</v>
      </c>
      <c r="E571" s="171" t="e">
        <f>D571/SUM($D569:$D575)</f>
        <v>#N/A</v>
      </c>
      <c r="F571" s="177">
        <f>INDEX($B544:$F550,MATCH(A571,$A544:$A550,0),MATCH($B565,$B543:$F543,0))</f>
        <v>0</v>
      </c>
      <c r="G571" s="178" t="e">
        <f t="shared" si="60"/>
        <v>#N/A</v>
      </c>
    </row>
    <row r="572" spans="1:43" hidden="1" outlineLevel="1" x14ac:dyDescent="0.15">
      <c r="A572" t="s">
        <v>408</v>
      </c>
      <c r="B572" s="179">
        <v>8.3420557334751508E-12</v>
      </c>
      <c r="C572" t="e" cm="1">
        <f t="array" ref="C572">INDEX($B560:$AQ560,,MATCH($B565,$B556:$AQ556,0))/10^6</f>
        <v>#N/A</v>
      </c>
      <c r="D572" s="176" t="e">
        <f>B572*EXP(C572*$B553)</f>
        <v>#N/A</v>
      </c>
      <c r="E572" s="171" t="e">
        <f>D572/SUM($D569:$D575)</f>
        <v>#N/A</v>
      </c>
      <c r="F572" s="177">
        <f>INDEX($B544:$F550,MATCH(A572,$A544:$A550,0),MATCH($B565,$B543:$F543,0))</f>
        <v>0</v>
      </c>
      <c r="G572" s="178" t="e">
        <f t="shared" si="60"/>
        <v>#N/A</v>
      </c>
    </row>
    <row r="573" spans="1:43" hidden="1" outlineLevel="1" x14ac:dyDescent="0.15">
      <c r="A573" t="s">
        <v>1089</v>
      </c>
      <c r="B573" s="179">
        <v>4.9482988986483461E-3</v>
      </c>
      <c r="C573" t="e" cm="1">
        <f t="array" ref="C573">INDEX($B561:$AQ561,,MATCH($B565,$B556:$AQ556,0))/10^6</f>
        <v>#N/A</v>
      </c>
      <c r="D573" s="176" t="e">
        <f>B573*EXP(C573*$B553)</f>
        <v>#N/A</v>
      </c>
      <c r="E573" s="171" t="e">
        <f>D573/SUM($D569:$D575)</f>
        <v>#N/A</v>
      </c>
      <c r="F573" s="177">
        <f>INDEX($B544:$F550,MATCH(A573,$A544:$A550,0),MATCH($B565,$B543:$F543,0))</f>
        <v>0</v>
      </c>
      <c r="G573" s="178" t="e">
        <f t="shared" si="60"/>
        <v>#N/A</v>
      </c>
    </row>
    <row r="574" spans="1:43" hidden="1" outlineLevel="1" x14ac:dyDescent="0.15">
      <c r="A574" t="s">
        <v>1090</v>
      </c>
      <c r="B574" s="179">
        <v>8.3420557334751508E-12</v>
      </c>
      <c r="C574" t="e" cm="1">
        <f t="array" ref="C574">INDEX($B562:$AQ562,,MATCH($B565,$B556:$AQ556,0))/10^6</f>
        <v>#N/A</v>
      </c>
      <c r="D574" s="176" t="e">
        <f>B574*EXP(C574*$B553)</f>
        <v>#N/A</v>
      </c>
      <c r="E574" s="171" t="e">
        <f>D574/SUM($D569:$D575)</f>
        <v>#N/A</v>
      </c>
      <c r="F574" s="177">
        <f>INDEX($B544:$F550,MATCH(A574,$A544:$A550,0),MATCH($B565,$B543:$F543,0))</f>
        <v>0</v>
      </c>
      <c r="G574" s="178" t="e">
        <f t="shared" si="60"/>
        <v>#N/A</v>
      </c>
    </row>
    <row r="575" spans="1:43" hidden="1" outlineLevel="1" x14ac:dyDescent="0.15">
      <c r="A575" t="s">
        <v>1091</v>
      </c>
      <c r="B575" s="179">
        <v>0</v>
      </c>
      <c r="C575" t="e" cm="1">
        <f t="array" ref="C575">INDEX($B563:$AQ563,,MATCH($B565,$B556:$AQ556,0))/10^6</f>
        <v>#N/A</v>
      </c>
      <c r="D575" s="176" t="e">
        <f>B575*EXP(C575*$B553)</f>
        <v>#N/A</v>
      </c>
      <c r="E575" s="171" t="e">
        <f>D575/SUM($D569:$D575)</f>
        <v>#N/A</v>
      </c>
      <c r="F575" s="177">
        <f>INDEX($B544:$F550,MATCH(A575,$A544:$A550,0),MATCH($B565,$B543:$F543,0))</f>
        <v>0</v>
      </c>
      <c r="G575" s="178" t="e">
        <f t="shared" si="60"/>
        <v>#N/A</v>
      </c>
    </row>
    <row r="576" spans="1:43" hidden="1" outlineLevel="1" x14ac:dyDescent="0.15">
      <c r="G576" s="178"/>
    </row>
    <row r="577" spans="1:7" hidden="1" outlineLevel="1" x14ac:dyDescent="0.15">
      <c r="F577" s="1" t="s">
        <v>1109</v>
      </c>
      <c r="G577" s="179" t="e">
        <f>SUM(G569:G575)</f>
        <v>#N/A</v>
      </c>
    </row>
    <row r="578" spans="1:7" hidden="1" outlineLevel="1" x14ac:dyDescent="0.15"/>
    <row r="579" spans="1:7" hidden="1" outlineLevel="1" x14ac:dyDescent="0.15">
      <c r="A579" s="1" t="s">
        <v>1110</v>
      </c>
      <c r="B579">
        <v>2019</v>
      </c>
      <c r="C579">
        <v>2020</v>
      </c>
      <c r="D579">
        <v>2021</v>
      </c>
      <c r="E579">
        <v>2022</v>
      </c>
      <c r="F579">
        <v>2023</v>
      </c>
    </row>
    <row r="580" spans="1:7" hidden="1" outlineLevel="1" x14ac:dyDescent="0.15">
      <c r="A580" t="s">
        <v>1084</v>
      </c>
      <c r="B580" s="179">
        <v>1</v>
      </c>
      <c r="C580" s="179">
        <v>1</v>
      </c>
      <c r="D580" s="179">
        <v>1</v>
      </c>
      <c r="E580" s="179">
        <v>1</v>
      </c>
      <c r="F580" s="179">
        <v>1</v>
      </c>
    </row>
    <row r="581" spans="1:7" hidden="1" outlineLevel="1" x14ac:dyDescent="0.15">
      <c r="A581" t="s">
        <v>1086</v>
      </c>
      <c r="B581" s="179">
        <v>1</v>
      </c>
      <c r="C581" s="179">
        <v>1</v>
      </c>
      <c r="D581" s="179">
        <v>1</v>
      </c>
      <c r="E581" s="179">
        <v>1</v>
      </c>
      <c r="F581" s="179">
        <v>1</v>
      </c>
    </row>
    <row r="582" spans="1:7" hidden="1" outlineLevel="1" x14ac:dyDescent="0.15">
      <c r="A582" t="s">
        <v>1088</v>
      </c>
      <c r="B582" s="179">
        <v>1</v>
      </c>
      <c r="C582" s="179">
        <v>1</v>
      </c>
      <c r="D582" s="179">
        <v>1</v>
      </c>
      <c r="E582" s="179">
        <v>1</v>
      </c>
      <c r="F582" s="179">
        <v>1</v>
      </c>
    </row>
    <row r="583" spans="1:7" hidden="1" outlineLevel="1" x14ac:dyDescent="0.15">
      <c r="A583" t="s">
        <v>408</v>
      </c>
      <c r="B583" s="179">
        <v>1</v>
      </c>
      <c r="C583" s="179">
        <v>1</v>
      </c>
      <c r="D583" s="179">
        <v>1</v>
      </c>
      <c r="E583" s="179">
        <v>1</v>
      </c>
      <c r="F583" s="179">
        <v>1</v>
      </c>
    </row>
    <row r="584" spans="1:7" hidden="1" outlineLevel="1" x14ac:dyDescent="0.15">
      <c r="A584" t="s">
        <v>1089</v>
      </c>
      <c r="B584" s="179">
        <v>1</v>
      </c>
      <c r="C584" s="179">
        <v>1</v>
      </c>
      <c r="D584" s="179">
        <v>1</v>
      </c>
      <c r="E584" s="179">
        <v>1</v>
      </c>
      <c r="F584" s="179">
        <v>1</v>
      </c>
    </row>
    <row r="585" spans="1:7" hidden="1" outlineLevel="1" x14ac:dyDescent="0.15">
      <c r="A585" t="s">
        <v>1090</v>
      </c>
      <c r="B585" s="179">
        <v>1</v>
      </c>
      <c r="C585" s="179">
        <v>1</v>
      </c>
      <c r="D585" s="179">
        <v>1</v>
      </c>
      <c r="E585" s="179">
        <v>1</v>
      </c>
      <c r="F585" s="179">
        <v>1</v>
      </c>
    </row>
    <row r="586" spans="1:7" hidden="1" outlineLevel="1" x14ac:dyDescent="0.15">
      <c r="A586" t="s">
        <v>1091</v>
      </c>
      <c r="B586" s="179">
        <v>1</v>
      </c>
      <c r="C586" s="179">
        <v>1</v>
      </c>
      <c r="D586" s="179">
        <v>1</v>
      </c>
      <c r="E586" s="179">
        <v>1</v>
      </c>
      <c r="F586" s="179">
        <v>1</v>
      </c>
    </row>
    <row r="587" spans="1:7" collapsed="1" x14ac:dyDescent="0.15"/>
  </sheetData>
  <mergeCells count="1">
    <mergeCell ref="U313:W315"/>
  </mergeCells>
  <phoneticPr fontId="10" type="noConversion"/>
  <dataValidations count="3">
    <dataValidation type="list" allowBlank="1" showInputMessage="1" showErrorMessage="1" sqref="B142 B95 B48 J48 K95 J142" xr:uid="{E73C20FB-0F2A-477A-AAD2-EEFB7DC62C19}">
      <formula1>$B$26:$G$26</formula1>
    </dataValidation>
    <dataValidation type="list" allowBlank="1" showInputMessage="1" showErrorMessage="1" sqref="B189 J189" xr:uid="{F048F49D-0B63-4EB5-8873-1D1D34C02CD8}">
      <formula1>$B$167:$H$167</formula1>
    </dataValidation>
    <dataValidation type="list" allowBlank="1" showInputMessage="1" showErrorMessage="1" sqref="B518 B565 B471 B424 B377 B330 B283 B236" xr:uid="{3513E35F-AEA6-42D5-9892-77E46213AD59}">
      <formula1>$B$26:$F$26</formula1>
    </dataValidation>
  </dataValidations>
  <hyperlinks>
    <hyperlink ref="L313" r:id="rId1" xr:uid="{E0BF5D9A-B9CD-4140-B4C3-94EA2BA140FE}"/>
    <hyperlink ref="I27" r:id="rId2" xr:uid="{6CED77CF-9886-4791-9226-FC0DD8F77F8B}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C125-EF07-440B-8085-881B7F2F0222}">
  <dimension ref="A1:AQ103"/>
  <sheetViews>
    <sheetView zoomScale="85" zoomScaleNormal="85" workbookViewId="0">
      <selection activeCell="A2" sqref="A2"/>
    </sheetView>
  </sheetViews>
  <sheetFormatPr defaultRowHeight="12.9" x14ac:dyDescent="0.15"/>
  <cols>
    <col min="1" max="1" width="68.375" bestFit="1" customWidth="1"/>
  </cols>
  <sheetData>
    <row r="1" spans="1:43" x14ac:dyDescent="0.15">
      <c r="A1" t="s">
        <v>1068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1304</v>
      </c>
      <c r="B2">
        <v>39238.1</v>
      </c>
      <c r="C2">
        <v>39238.1</v>
      </c>
      <c r="D2">
        <v>37767.9</v>
      </c>
      <c r="E2">
        <v>36755</v>
      </c>
      <c r="F2">
        <v>36200.1</v>
      </c>
      <c r="G2">
        <v>35791.1</v>
      </c>
      <c r="H2">
        <v>35528.1</v>
      </c>
      <c r="I2">
        <v>35174.9</v>
      </c>
      <c r="J2">
        <v>34865.9</v>
      </c>
      <c r="K2">
        <v>34420.1</v>
      </c>
      <c r="L2">
        <v>34134.699999999997</v>
      </c>
      <c r="M2">
        <v>33621.800000000003</v>
      </c>
      <c r="N2">
        <v>33312.400000000001</v>
      </c>
      <c r="O2">
        <v>33050.300000000003</v>
      </c>
      <c r="P2">
        <v>32805.800000000003</v>
      </c>
      <c r="Q2">
        <v>32599.4</v>
      </c>
      <c r="R2">
        <v>32424</v>
      </c>
      <c r="S2">
        <v>32267.7</v>
      </c>
      <c r="T2">
        <v>32131</v>
      </c>
      <c r="U2">
        <v>32014</v>
      </c>
      <c r="V2">
        <v>31913.7</v>
      </c>
      <c r="W2">
        <v>31818.7</v>
      </c>
      <c r="X2">
        <v>31731</v>
      </c>
      <c r="Y2">
        <v>31655.7</v>
      </c>
      <c r="Z2">
        <v>31587.7</v>
      </c>
      <c r="AA2">
        <v>31525.8</v>
      </c>
      <c r="AB2">
        <v>31469.7</v>
      </c>
      <c r="AC2">
        <v>31414.799999999999</v>
      </c>
      <c r="AD2">
        <v>31367.3</v>
      </c>
      <c r="AE2">
        <v>31323.9</v>
      </c>
      <c r="AF2">
        <v>31279.599999999999</v>
      </c>
      <c r="AG2">
        <v>31242.2</v>
      </c>
      <c r="AH2">
        <v>31207.200000000001</v>
      </c>
      <c r="AI2">
        <v>31170.5</v>
      </c>
      <c r="AJ2">
        <v>31139.9</v>
      </c>
      <c r="AK2">
        <v>31110.799999999999</v>
      </c>
      <c r="AL2">
        <v>31080.1</v>
      </c>
      <c r="AM2">
        <v>31054.400000000001</v>
      </c>
      <c r="AN2">
        <v>31029.8</v>
      </c>
      <c r="AO2">
        <v>31003.200000000001</v>
      </c>
      <c r="AP2">
        <v>30980.9</v>
      </c>
      <c r="AQ2">
        <v>30959.9</v>
      </c>
    </row>
    <row r="3" spans="1:43" x14ac:dyDescent="0.15">
      <c r="A3" t="s">
        <v>1305</v>
      </c>
      <c r="B3">
        <v>50763.3</v>
      </c>
      <c r="C3">
        <v>50763.3</v>
      </c>
      <c r="D3">
        <v>50853</v>
      </c>
      <c r="E3">
        <v>50140.800000000003</v>
      </c>
      <c r="F3">
        <v>49940</v>
      </c>
      <c r="G3">
        <v>49892.5</v>
      </c>
      <c r="H3">
        <v>49908.800000000003</v>
      </c>
      <c r="I3">
        <v>49925</v>
      </c>
      <c r="J3">
        <v>50158.400000000001</v>
      </c>
      <c r="K3">
        <v>50391.7</v>
      </c>
      <c r="L3">
        <v>50344.2</v>
      </c>
      <c r="M3">
        <v>50299.5</v>
      </c>
      <c r="N3">
        <v>50391.7</v>
      </c>
      <c r="O3">
        <v>50344.2</v>
      </c>
      <c r="P3">
        <v>50314.400000000001</v>
      </c>
      <c r="Q3">
        <v>50283.199999999997</v>
      </c>
      <c r="R3">
        <v>50253.3</v>
      </c>
      <c r="S3">
        <v>50220.800000000003</v>
      </c>
      <c r="T3">
        <v>50189.599999999999</v>
      </c>
      <c r="U3">
        <v>50173.3</v>
      </c>
      <c r="V3">
        <v>50143.5</v>
      </c>
      <c r="W3">
        <v>50127.199999999997</v>
      </c>
      <c r="X3">
        <v>50110.9</v>
      </c>
      <c r="Y3">
        <v>50096</v>
      </c>
      <c r="Z3">
        <v>50081.1</v>
      </c>
      <c r="AA3">
        <v>50066.1</v>
      </c>
      <c r="AB3">
        <v>50064.800000000003</v>
      </c>
      <c r="AC3">
        <v>50064.800000000003</v>
      </c>
      <c r="AD3">
        <v>50049.9</v>
      </c>
      <c r="AE3">
        <v>50048.5</v>
      </c>
      <c r="AF3">
        <v>50033.599999999999</v>
      </c>
      <c r="AG3">
        <v>50033.599999999999</v>
      </c>
      <c r="AH3">
        <v>50018.6</v>
      </c>
      <c r="AI3">
        <v>50017.3</v>
      </c>
      <c r="AJ3">
        <v>50002.400000000001</v>
      </c>
      <c r="AK3">
        <v>50002.400000000001</v>
      </c>
      <c r="AL3">
        <v>49987.4</v>
      </c>
      <c r="AM3">
        <v>49986.1</v>
      </c>
      <c r="AN3">
        <v>49971.199999999997</v>
      </c>
      <c r="AO3">
        <v>49969.8</v>
      </c>
      <c r="AP3">
        <v>49956.2</v>
      </c>
      <c r="AQ3">
        <v>49954.9</v>
      </c>
    </row>
    <row r="4" spans="1:43" x14ac:dyDescent="0.15">
      <c r="A4" t="s">
        <v>1306</v>
      </c>
      <c r="B4">
        <v>48296.1</v>
      </c>
      <c r="C4">
        <v>48296.1</v>
      </c>
      <c r="D4">
        <v>49750</v>
      </c>
      <c r="E4">
        <v>49214.3</v>
      </c>
      <c r="F4">
        <v>49224.2</v>
      </c>
      <c r="G4">
        <v>49011.6</v>
      </c>
      <c r="H4">
        <v>48777.599999999999</v>
      </c>
      <c r="I4">
        <v>48609.1</v>
      </c>
      <c r="J4">
        <v>48492.3</v>
      </c>
      <c r="K4">
        <v>48529.599999999999</v>
      </c>
      <c r="L4">
        <v>48478.9</v>
      </c>
      <c r="M4">
        <v>48439.7</v>
      </c>
      <c r="N4">
        <v>48616.7</v>
      </c>
      <c r="O4">
        <v>48442.3</v>
      </c>
      <c r="P4">
        <v>48363.4</v>
      </c>
      <c r="Q4">
        <v>48265.2</v>
      </c>
      <c r="R4">
        <v>48226.7</v>
      </c>
      <c r="S4">
        <v>48163.3</v>
      </c>
      <c r="T4">
        <v>48188.7</v>
      </c>
      <c r="U4">
        <v>48264.6</v>
      </c>
      <c r="V4">
        <v>48328</v>
      </c>
      <c r="W4">
        <v>48340.6</v>
      </c>
      <c r="X4">
        <v>48378.6</v>
      </c>
      <c r="Y4">
        <v>48441.9</v>
      </c>
      <c r="Z4">
        <v>48441.9</v>
      </c>
      <c r="AA4">
        <v>48479.9</v>
      </c>
      <c r="AB4">
        <v>48517.9</v>
      </c>
      <c r="AC4">
        <v>48593.9</v>
      </c>
      <c r="AD4">
        <v>48631.9</v>
      </c>
      <c r="AE4">
        <v>48657.2</v>
      </c>
      <c r="AF4">
        <v>48682.6</v>
      </c>
      <c r="AG4">
        <v>48745.9</v>
      </c>
      <c r="AH4">
        <v>48771.199999999997</v>
      </c>
      <c r="AI4">
        <v>48809.2</v>
      </c>
      <c r="AJ4">
        <v>48859.9</v>
      </c>
      <c r="AK4">
        <v>48897.9</v>
      </c>
      <c r="AL4">
        <v>48935.8</v>
      </c>
      <c r="AM4">
        <v>48973.8</v>
      </c>
      <c r="AN4">
        <v>49011.8</v>
      </c>
      <c r="AO4">
        <v>49049.8</v>
      </c>
      <c r="AP4">
        <v>49087.8</v>
      </c>
      <c r="AQ4">
        <v>49138.5</v>
      </c>
    </row>
    <row r="5" spans="1:43" x14ac:dyDescent="0.15">
      <c r="A5" t="s">
        <v>1307</v>
      </c>
      <c r="B5">
        <v>50640</v>
      </c>
      <c r="C5">
        <v>50640</v>
      </c>
      <c r="D5">
        <v>51386.6</v>
      </c>
      <c r="E5">
        <v>50642.7</v>
      </c>
      <c r="F5">
        <v>50848.6</v>
      </c>
      <c r="G5">
        <v>51078.3</v>
      </c>
      <c r="H5">
        <v>51029.599999999999</v>
      </c>
      <c r="I5">
        <v>50977.1</v>
      </c>
      <c r="J5">
        <v>50900.6</v>
      </c>
      <c r="K5">
        <v>50940.6</v>
      </c>
      <c r="L5">
        <v>50893.7</v>
      </c>
      <c r="M5">
        <v>50826.3</v>
      </c>
      <c r="N5">
        <v>50874.3</v>
      </c>
      <c r="O5">
        <v>50785.4</v>
      </c>
      <c r="P5">
        <v>50712.5</v>
      </c>
      <c r="Q5">
        <v>50602.2</v>
      </c>
      <c r="R5">
        <v>50485.7</v>
      </c>
      <c r="S5">
        <v>50437.7</v>
      </c>
      <c r="T5">
        <v>50425.7</v>
      </c>
      <c r="U5">
        <v>50485.7</v>
      </c>
      <c r="V5">
        <v>50521.8</v>
      </c>
      <c r="W5">
        <v>50497.8</v>
      </c>
      <c r="X5">
        <v>50581.9</v>
      </c>
      <c r="Y5">
        <v>50605.9</v>
      </c>
      <c r="Z5">
        <v>50630</v>
      </c>
      <c r="AA5">
        <v>50666</v>
      </c>
      <c r="AB5">
        <v>50702.1</v>
      </c>
      <c r="AC5">
        <v>50762.2</v>
      </c>
      <c r="AD5">
        <v>50798.2</v>
      </c>
      <c r="AE5">
        <v>50834.3</v>
      </c>
      <c r="AF5">
        <v>50846.3</v>
      </c>
      <c r="AG5">
        <v>50882.400000000001</v>
      </c>
      <c r="AH5">
        <v>50942.5</v>
      </c>
      <c r="AI5">
        <v>50966.5</v>
      </c>
      <c r="AJ5">
        <v>51014.6</v>
      </c>
      <c r="AK5">
        <v>51050.6</v>
      </c>
      <c r="AL5">
        <v>51086.7</v>
      </c>
      <c r="AM5">
        <v>51110.7</v>
      </c>
      <c r="AN5">
        <v>51146.8</v>
      </c>
      <c r="AO5">
        <v>51182.8</v>
      </c>
      <c r="AP5">
        <v>51218.9</v>
      </c>
      <c r="AQ5">
        <v>51254.9</v>
      </c>
    </row>
    <row r="6" spans="1:43" x14ac:dyDescent="0.15">
      <c r="A6" t="s">
        <v>1308</v>
      </c>
      <c r="B6">
        <v>52065.2</v>
      </c>
      <c r="C6">
        <v>52065.2</v>
      </c>
      <c r="D6">
        <v>52534.400000000001</v>
      </c>
      <c r="E6">
        <v>52046</v>
      </c>
      <c r="F6">
        <v>52036.9</v>
      </c>
      <c r="G6">
        <v>51867.6</v>
      </c>
      <c r="H6">
        <v>51729.3</v>
      </c>
      <c r="I6">
        <v>51621.5</v>
      </c>
      <c r="J6">
        <v>51572.7</v>
      </c>
      <c r="K6">
        <v>51580.2</v>
      </c>
      <c r="L6">
        <v>51550.1</v>
      </c>
      <c r="M6">
        <v>51545.9</v>
      </c>
      <c r="N6">
        <v>51633.9</v>
      </c>
      <c r="O6">
        <v>51606.6</v>
      </c>
      <c r="P6">
        <v>51588.9</v>
      </c>
      <c r="Q6">
        <v>51577.2</v>
      </c>
      <c r="R6">
        <v>51603</v>
      </c>
      <c r="S6">
        <v>51568</v>
      </c>
      <c r="T6">
        <v>51571.5</v>
      </c>
      <c r="U6">
        <v>51604</v>
      </c>
      <c r="V6">
        <v>51639</v>
      </c>
      <c r="W6">
        <v>51643.8</v>
      </c>
      <c r="X6">
        <v>51653.4</v>
      </c>
      <c r="Y6">
        <v>51680.5</v>
      </c>
      <c r="Z6">
        <v>51680.5</v>
      </c>
      <c r="AA6">
        <v>51696</v>
      </c>
      <c r="AB6">
        <v>51712.3</v>
      </c>
      <c r="AC6">
        <v>51738.2</v>
      </c>
      <c r="AD6">
        <v>51753.8</v>
      </c>
      <c r="AE6">
        <v>51764.6</v>
      </c>
      <c r="AF6">
        <v>51768.1</v>
      </c>
      <c r="AG6">
        <v>51795.199999999997</v>
      </c>
      <c r="AH6">
        <v>51806</v>
      </c>
      <c r="AI6">
        <v>51815</v>
      </c>
      <c r="AJ6">
        <v>51836.7</v>
      </c>
      <c r="AK6">
        <v>51852.2</v>
      </c>
      <c r="AL6">
        <v>51861.9</v>
      </c>
      <c r="AM6">
        <v>51878.1</v>
      </c>
      <c r="AN6">
        <v>51893.7</v>
      </c>
      <c r="AO6">
        <v>51903.3</v>
      </c>
      <c r="AP6">
        <v>51918.9</v>
      </c>
      <c r="AQ6">
        <v>51940.4</v>
      </c>
    </row>
    <row r="7" spans="1:43" x14ac:dyDescent="0.15">
      <c r="A7" t="s">
        <v>1309</v>
      </c>
      <c r="B7">
        <v>52306.8</v>
      </c>
      <c r="C7">
        <v>52306.8</v>
      </c>
      <c r="D7">
        <v>53571.199999999997</v>
      </c>
      <c r="E7">
        <v>53353.8</v>
      </c>
      <c r="F7">
        <v>53550.3</v>
      </c>
      <c r="G7">
        <v>53486.2</v>
      </c>
      <c r="H7">
        <v>53518.3</v>
      </c>
      <c r="I7">
        <v>53550.3</v>
      </c>
      <c r="J7">
        <v>53486.2</v>
      </c>
      <c r="K7">
        <v>53486.2</v>
      </c>
      <c r="L7">
        <v>53550.3</v>
      </c>
      <c r="M7">
        <v>53582.400000000001</v>
      </c>
      <c r="N7">
        <v>53864.9</v>
      </c>
      <c r="O7">
        <v>53899.9</v>
      </c>
      <c r="P7">
        <v>53961</v>
      </c>
      <c r="Q7">
        <v>53993.1</v>
      </c>
      <c r="R7">
        <v>54025.1</v>
      </c>
      <c r="S7">
        <v>54028</v>
      </c>
      <c r="T7">
        <v>54089.2</v>
      </c>
      <c r="U7">
        <v>54153.3</v>
      </c>
      <c r="V7">
        <v>54214.400000000001</v>
      </c>
      <c r="W7">
        <v>54246.5</v>
      </c>
      <c r="X7">
        <v>54278.5</v>
      </c>
      <c r="Y7">
        <v>54310.6</v>
      </c>
      <c r="Z7">
        <v>54342.6</v>
      </c>
      <c r="AA7">
        <v>54342.6</v>
      </c>
      <c r="AB7">
        <v>54377.599999999999</v>
      </c>
      <c r="AC7">
        <v>54406.7</v>
      </c>
      <c r="AD7">
        <v>54470.8</v>
      </c>
      <c r="AE7">
        <v>54502.8</v>
      </c>
      <c r="AF7">
        <v>54534.8</v>
      </c>
      <c r="AG7">
        <v>54596</v>
      </c>
      <c r="AH7">
        <v>54598.9</v>
      </c>
      <c r="AI7">
        <v>54631</v>
      </c>
      <c r="AJ7">
        <v>54692.1</v>
      </c>
      <c r="AK7">
        <v>54724.2</v>
      </c>
      <c r="AL7">
        <v>54756.2</v>
      </c>
      <c r="AM7">
        <v>54788.3</v>
      </c>
      <c r="AN7">
        <v>54820.3</v>
      </c>
      <c r="AO7">
        <v>54852.3</v>
      </c>
      <c r="AP7">
        <v>54913.5</v>
      </c>
      <c r="AQ7">
        <v>54945.5</v>
      </c>
    </row>
    <row r="8" spans="1:43" x14ac:dyDescent="0.15">
      <c r="A8" t="s">
        <v>1310</v>
      </c>
      <c r="B8">
        <v>79555.5</v>
      </c>
      <c r="C8">
        <v>79555.5</v>
      </c>
      <c r="D8">
        <v>79140</v>
      </c>
      <c r="E8">
        <v>77502.8</v>
      </c>
      <c r="F8">
        <v>77055.600000000006</v>
      </c>
      <c r="G8">
        <v>76518</v>
      </c>
      <c r="H8">
        <v>76032.7</v>
      </c>
      <c r="I8">
        <v>75579.8</v>
      </c>
      <c r="J8">
        <v>75150.399999999994</v>
      </c>
      <c r="K8">
        <v>74760.800000000003</v>
      </c>
      <c r="L8">
        <v>74397.8</v>
      </c>
      <c r="M8">
        <v>74057.5</v>
      </c>
      <c r="N8">
        <v>73890.600000000006</v>
      </c>
      <c r="O8">
        <v>73746.5</v>
      </c>
      <c r="P8">
        <v>73604.7</v>
      </c>
      <c r="Q8">
        <v>73462.899999999994</v>
      </c>
      <c r="R8">
        <v>73333.600000000006</v>
      </c>
      <c r="S8">
        <v>73205.600000000006</v>
      </c>
      <c r="T8">
        <v>73088.899999999994</v>
      </c>
      <c r="U8">
        <v>72972.3</v>
      </c>
      <c r="V8">
        <v>72869.399999999994</v>
      </c>
      <c r="W8">
        <v>72765.3</v>
      </c>
      <c r="X8">
        <v>72674.899999999994</v>
      </c>
      <c r="Y8">
        <v>72583.5</v>
      </c>
      <c r="Z8">
        <v>72493.100000000006</v>
      </c>
      <c r="AA8">
        <v>72403.899999999994</v>
      </c>
      <c r="AB8">
        <v>72326.100000000006</v>
      </c>
      <c r="AC8">
        <v>72248.399999999994</v>
      </c>
      <c r="AD8">
        <v>72183.199999999997</v>
      </c>
      <c r="AE8">
        <v>72106.600000000006</v>
      </c>
      <c r="AF8">
        <v>72042.5</v>
      </c>
      <c r="AG8">
        <v>71980.800000000003</v>
      </c>
      <c r="AH8">
        <v>71921.3</v>
      </c>
      <c r="AI8">
        <v>71865.3</v>
      </c>
      <c r="AJ8">
        <v>71811.5</v>
      </c>
      <c r="AK8">
        <v>71760.100000000006</v>
      </c>
      <c r="AL8">
        <v>71710.899999999994</v>
      </c>
      <c r="AM8">
        <v>71664.399999999994</v>
      </c>
      <c r="AN8">
        <v>71620.399999999994</v>
      </c>
      <c r="AO8">
        <v>71577.8</v>
      </c>
      <c r="AP8">
        <v>71537.8</v>
      </c>
      <c r="AQ8">
        <v>71499</v>
      </c>
    </row>
    <row r="9" spans="1:43" x14ac:dyDescent="0.15">
      <c r="A9" t="s">
        <v>1311</v>
      </c>
      <c r="B9">
        <v>50001.3</v>
      </c>
      <c r="C9">
        <v>50001.3</v>
      </c>
      <c r="D9">
        <v>47872.800000000003</v>
      </c>
      <c r="E9">
        <v>46428.7</v>
      </c>
      <c r="F9">
        <v>45461.8</v>
      </c>
      <c r="G9">
        <v>44532.9</v>
      </c>
      <c r="H9">
        <v>43843.8</v>
      </c>
      <c r="I9">
        <v>43141.8</v>
      </c>
      <c r="J9">
        <v>42619.4</v>
      </c>
      <c r="K9">
        <v>42147.199999999997</v>
      </c>
      <c r="L9">
        <v>41694.9</v>
      </c>
      <c r="M9">
        <v>41359.199999999997</v>
      </c>
      <c r="N9">
        <v>41030.300000000003</v>
      </c>
      <c r="O9">
        <v>40778.400000000001</v>
      </c>
      <c r="P9">
        <v>40460.300000000003</v>
      </c>
      <c r="Q9">
        <v>40218.300000000003</v>
      </c>
      <c r="R9">
        <v>40016.5</v>
      </c>
      <c r="S9">
        <v>39868.6</v>
      </c>
      <c r="T9">
        <v>39738.300000000003</v>
      </c>
      <c r="U9">
        <v>39644</v>
      </c>
      <c r="V9">
        <v>39585.199999999997</v>
      </c>
      <c r="W9">
        <v>39506.800000000003</v>
      </c>
      <c r="X9">
        <v>39417.9</v>
      </c>
      <c r="Y9">
        <v>39357.199999999997</v>
      </c>
      <c r="Z9">
        <v>39302.400000000001</v>
      </c>
      <c r="AA9">
        <v>39250.699999999997</v>
      </c>
      <c r="AB9">
        <v>39205.5</v>
      </c>
      <c r="AC9">
        <v>39142.9</v>
      </c>
      <c r="AD9">
        <v>39102.9</v>
      </c>
      <c r="AE9">
        <v>39067.800000000003</v>
      </c>
      <c r="AF9">
        <v>39012</v>
      </c>
      <c r="AG9">
        <v>38981.9</v>
      </c>
      <c r="AH9">
        <v>38953.699999999997</v>
      </c>
      <c r="AI9">
        <v>38904</v>
      </c>
      <c r="AJ9">
        <v>38879.4</v>
      </c>
      <c r="AK9">
        <v>38854.1</v>
      </c>
      <c r="AL9">
        <v>38811</v>
      </c>
      <c r="AM9">
        <v>38790.300000000003</v>
      </c>
      <c r="AN9">
        <v>38768.699999999997</v>
      </c>
      <c r="AO9">
        <v>38728.9</v>
      </c>
      <c r="AP9">
        <v>38709.1</v>
      </c>
      <c r="AQ9">
        <v>38691.699999999997</v>
      </c>
    </row>
    <row r="10" spans="1:43" x14ac:dyDescent="0.15">
      <c r="A10" t="s">
        <v>1312</v>
      </c>
      <c r="B10">
        <v>71181</v>
      </c>
      <c r="C10">
        <v>71181</v>
      </c>
      <c r="D10">
        <v>71181</v>
      </c>
      <c r="E10">
        <v>67936.600000000006</v>
      </c>
      <c r="F10">
        <v>65999</v>
      </c>
      <c r="G10">
        <v>65604.7</v>
      </c>
      <c r="H10">
        <v>65739.899999999994</v>
      </c>
      <c r="I10">
        <v>65875.100000000006</v>
      </c>
      <c r="J10">
        <v>67812.7</v>
      </c>
      <c r="K10">
        <v>69750.3</v>
      </c>
      <c r="L10">
        <v>69356.100000000006</v>
      </c>
      <c r="M10">
        <v>68984.3</v>
      </c>
      <c r="N10">
        <v>69750.3</v>
      </c>
      <c r="O10">
        <v>69356.100000000006</v>
      </c>
      <c r="P10">
        <v>69108.2</v>
      </c>
      <c r="Q10">
        <v>68849.100000000006</v>
      </c>
      <c r="R10">
        <v>68601.3</v>
      </c>
      <c r="S10">
        <v>68330.899999999994</v>
      </c>
      <c r="T10">
        <v>68071.8</v>
      </c>
      <c r="U10">
        <v>67936.600000000006</v>
      </c>
      <c r="V10">
        <v>67688.800000000003</v>
      </c>
      <c r="W10">
        <v>67553.600000000006</v>
      </c>
      <c r="X10">
        <v>67418.399999999994</v>
      </c>
      <c r="Y10">
        <v>67294.5</v>
      </c>
      <c r="Z10">
        <v>67170.600000000006</v>
      </c>
      <c r="AA10">
        <v>67046.7</v>
      </c>
      <c r="AB10">
        <v>67035.399999999994</v>
      </c>
      <c r="AC10">
        <v>67035.399999999994</v>
      </c>
      <c r="AD10">
        <v>66911.5</v>
      </c>
      <c r="AE10">
        <v>66900.2</v>
      </c>
      <c r="AF10">
        <v>66776.3</v>
      </c>
      <c r="AG10">
        <v>66776.3</v>
      </c>
      <c r="AH10">
        <v>66652.399999999994</v>
      </c>
      <c r="AI10">
        <v>66641.100000000006</v>
      </c>
      <c r="AJ10">
        <v>66517.2</v>
      </c>
      <c r="AK10">
        <v>66517.2</v>
      </c>
      <c r="AL10">
        <v>66393.3</v>
      </c>
      <c r="AM10">
        <v>66382</v>
      </c>
      <c r="AN10">
        <v>66258.100000000006</v>
      </c>
      <c r="AO10">
        <v>66246.899999999994</v>
      </c>
      <c r="AP10">
        <v>66134.2</v>
      </c>
      <c r="AQ10">
        <v>66122.899999999994</v>
      </c>
    </row>
    <row r="11" spans="1:43" x14ac:dyDescent="0.15">
      <c r="A11" t="s">
        <v>1313</v>
      </c>
      <c r="B11">
        <v>62976</v>
      </c>
      <c r="C11">
        <v>62976</v>
      </c>
      <c r="D11">
        <v>68236.100000000006</v>
      </c>
      <c r="E11">
        <v>69476.899999999994</v>
      </c>
      <c r="F11">
        <v>69443.7</v>
      </c>
      <c r="G11">
        <v>68822.3</v>
      </c>
      <c r="H11">
        <v>68141.399999999994</v>
      </c>
      <c r="I11">
        <v>67769.5</v>
      </c>
      <c r="J11">
        <v>67647.8</v>
      </c>
      <c r="K11">
        <v>68435.8</v>
      </c>
      <c r="L11">
        <v>68709.899999999994</v>
      </c>
      <c r="M11">
        <v>69058.3</v>
      </c>
      <c r="N11">
        <v>70469.399999999994</v>
      </c>
      <c r="O11">
        <v>70174.3</v>
      </c>
      <c r="P11">
        <v>70315.3</v>
      </c>
      <c r="Q11">
        <v>70377.100000000006</v>
      </c>
      <c r="R11">
        <v>70810.5</v>
      </c>
      <c r="S11">
        <v>70437.399999999994</v>
      </c>
      <c r="T11">
        <v>70586.7</v>
      </c>
      <c r="U11">
        <v>71034.399999999994</v>
      </c>
      <c r="V11">
        <v>71407.600000000006</v>
      </c>
      <c r="W11">
        <v>71482.2</v>
      </c>
      <c r="X11">
        <v>71706.100000000006</v>
      </c>
      <c r="Y11">
        <v>72079.199999999997</v>
      </c>
      <c r="Z11">
        <v>72079.199999999997</v>
      </c>
      <c r="AA11">
        <v>72303.100000000006</v>
      </c>
      <c r="AB11">
        <v>72526.899999999994</v>
      </c>
      <c r="AC11">
        <v>72974.7</v>
      </c>
      <c r="AD11">
        <v>73198.600000000006</v>
      </c>
      <c r="AE11">
        <v>73347.8</v>
      </c>
      <c r="AF11">
        <v>73497.100000000006</v>
      </c>
      <c r="AG11">
        <v>73870.2</v>
      </c>
      <c r="AH11">
        <v>74019.5</v>
      </c>
      <c r="AI11">
        <v>74243.399999999994</v>
      </c>
      <c r="AJ11">
        <v>74541.899999999994</v>
      </c>
      <c r="AK11">
        <v>74765.7</v>
      </c>
      <c r="AL11">
        <v>74989.600000000006</v>
      </c>
      <c r="AM11">
        <v>75213.5</v>
      </c>
      <c r="AN11">
        <v>75437.399999999994</v>
      </c>
      <c r="AO11">
        <v>75661.2</v>
      </c>
      <c r="AP11">
        <v>75885.100000000006</v>
      </c>
      <c r="AQ11">
        <v>76183.600000000006</v>
      </c>
    </row>
    <row r="12" spans="1:43" x14ac:dyDescent="0.15">
      <c r="A12" t="s">
        <v>1314</v>
      </c>
      <c r="B12">
        <v>65575.199999999997</v>
      </c>
      <c r="C12">
        <v>65575.199999999997</v>
      </c>
      <c r="D12">
        <v>68106.8</v>
      </c>
      <c r="E12">
        <v>67653.7</v>
      </c>
      <c r="F12">
        <v>68545.8</v>
      </c>
      <c r="G12">
        <v>69933.8</v>
      </c>
      <c r="H12">
        <v>69956.3</v>
      </c>
      <c r="I12">
        <v>70143.5</v>
      </c>
      <c r="J12">
        <v>70286</v>
      </c>
      <c r="K12">
        <v>70927.199999999997</v>
      </c>
      <c r="L12">
        <v>71193.100000000006</v>
      </c>
      <c r="M12">
        <v>71364.100000000006</v>
      </c>
      <c r="N12">
        <v>72094.600000000006</v>
      </c>
      <c r="O12">
        <v>72203</v>
      </c>
      <c r="P12">
        <v>72362.2</v>
      </c>
      <c r="Q12">
        <v>72301.8</v>
      </c>
      <c r="R12">
        <v>72242.899999999994</v>
      </c>
      <c r="S12">
        <v>71958.8</v>
      </c>
      <c r="T12">
        <v>71887.8</v>
      </c>
      <c r="U12">
        <v>72242.899999999994</v>
      </c>
      <c r="V12">
        <v>72456</v>
      </c>
      <c r="W12">
        <v>72314</v>
      </c>
      <c r="X12">
        <v>72811.199999999997</v>
      </c>
      <c r="Y12">
        <v>72953.2</v>
      </c>
      <c r="Z12">
        <v>73095.3</v>
      </c>
      <c r="AA12">
        <v>73308.399999999994</v>
      </c>
      <c r="AB12">
        <v>73521.5</v>
      </c>
      <c r="AC12">
        <v>73876.600000000006</v>
      </c>
      <c r="AD12">
        <v>74089.7</v>
      </c>
      <c r="AE12">
        <v>74302.8</v>
      </c>
      <c r="AF12">
        <v>74373.8</v>
      </c>
      <c r="AG12">
        <v>74586.899999999994</v>
      </c>
      <c r="AH12">
        <v>74942.100000000006</v>
      </c>
      <c r="AI12">
        <v>75084.100000000006</v>
      </c>
      <c r="AJ12">
        <v>75368.3</v>
      </c>
      <c r="AK12">
        <v>75581.3</v>
      </c>
      <c r="AL12">
        <v>75794.399999999994</v>
      </c>
      <c r="AM12">
        <v>75936.5</v>
      </c>
      <c r="AN12">
        <v>76149.600000000006</v>
      </c>
      <c r="AO12">
        <v>76362.7</v>
      </c>
      <c r="AP12">
        <v>76575.8</v>
      </c>
      <c r="AQ12">
        <v>76788.899999999994</v>
      </c>
    </row>
    <row r="13" spans="1:43" x14ac:dyDescent="0.15">
      <c r="A13" t="s">
        <v>1315</v>
      </c>
      <c r="B13">
        <v>55365.4</v>
      </c>
      <c r="C13">
        <v>55365.4</v>
      </c>
      <c r="D13">
        <v>56774.2</v>
      </c>
      <c r="E13">
        <v>56691.4</v>
      </c>
      <c r="F13">
        <v>56398.3</v>
      </c>
      <c r="G13">
        <v>55681.4</v>
      </c>
      <c r="H13">
        <v>55051.199999999997</v>
      </c>
      <c r="I13">
        <v>54541.7</v>
      </c>
      <c r="J13">
        <v>54323.5</v>
      </c>
      <c r="K13">
        <v>54373.8</v>
      </c>
      <c r="L13">
        <v>54214</v>
      </c>
      <c r="M13">
        <v>54227.7</v>
      </c>
      <c r="N13">
        <v>54629.3</v>
      </c>
      <c r="O13">
        <v>54474.400000000001</v>
      </c>
      <c r="P13">
        <v>54403</v>
      </c>
      <c r="Q13">
        <v>54374.3</v>
      </c>
      <c r="R13">
        <v>54457.9</v>
      </c>
      <c r="S13">
        <v>54301.5</v>
      </c>
      <c r="T13">
        <v>54317.3</v>
      </c>
      <c r="U13">
        <v>54462.5</v>
      </c>
      <c r="V13">
        <v>54618.9</v>
      </c>
      <c r="W13">
        <v>54640.2</v>
      </c>
      <c r="X13">
        <v>54683.199999999997</v>
      </c>
      <c r="Y13">
        <v>54804.1</v>
      </c>
      <c r="Z13">
        <v>54804.1</v>
      </c>
      <c r="AA13">
        <v>54873.7</v>
      </c>
      <c r="AB13">
        <v>54946.3</v>
      </c>
      <c r="AC13">
        <v>55061.9</v>
      </c>
      <c r="AD13">
        <v>55131.5</v>
      </c>
      <c r="AE13">
        <v>55179.9</v>
      </c>
      <c r="AF13">
        <v>55195.8</v>
      </c>
      <c r="AG13">
        <v>55316.7</v>
      </c>
      <c r="AH13">
        <v>55365.1</v>
      </c>
      <c r="AI13">
        <v>55405.1</v>
      </c>
      <c r="AJ13">
        <v>55501.9</v>
      </c>
      <c r="AK13">
        <v>55571.5</v>
      </c>
      <c r="AL13">
        <v>55614.5</v>
      </c>
      <c r="AM13">
        <v>55687.1</v>
      </c>
      <c r="AN13">
        <v>55756.7</v>
      </c>
      <c r="AO13">
        <v>55799.7</v>
      </c>
      <c r="AP13">
        <v>55869.3</v>
      </c>
      <c r="AQ13">
        <v>55965.3</v>
      </c>
    </row>
    <row r="14" spans="1:43" x14ac:dyDescent="0.15">
      <c r="A14" t="s">
        <v>1316</v>
      </c>
      <c r="B14">
        <v>66327.7</v>
      </c>
      <c r="C14">
        <v>66327.7</v>
      </c>
      <c r="D14">
        <v>74538.100000000006</v>
      </c>
      <c r="E14">
        <v>77064.7</v>
      </c>
      <c r="F14">
        <v>78084.7</v>
      </c>
      <c r="G14">
        <v>77574.7</v>
      </c>
      <c r="H14">
        <v>77829.7</v>
      </c>
      <c r="I14">
        <v>78084.7</v>
      </c>
      <c r="J14">
        <v>77574.7</v>
      </c>
      <c r="K14">
        <v>77574.7</v>
      </c>
      <c r="L14">
        <v>78084.7</v>
      </c>
      <c r="M14">
        <v>78339.600000000006</v>
      </c>
      <c r="N14">
        <v>80588.100000000006</v>
      </c>
      <c r="O14">
        <v>80866.3</v>
      </c>
      <c r="P14">
        <v>81353.100000000006</v>
      </c>
      <c r="Q14">
        <v>81608</v>
      </c>
      <c r="R14">
        <v>81863</v>
      </c>
      <c r="S14">
        <v>81886.2</v>
      </c>
      <c r="T14">
        <v>82373</v>
      </c>
      <c r="U14">
        <v>82882.899999999994</v>
      </c>
      <c r="V14">
        <v>83369.7</v>
      </c>
      <c r="W14">
        <v>83624.7</v>
      </c>
      <c r="X14">
        <v>83879.7</v>
      </c>
      <c r="Y14">
        <v>84134.7</v>
      </c>
      <c r="Z14">
        <v>84389.6</v>
      </c>
      <c r="AA14">
        <v>84389.6</v>
      </c>
      <c r="AB14">
        <v>84667.8</v>
      </c>
      <c r="AC14">
        <v>84899.6</v>
      </c>
      <c r="AD14">
        <v>85409.600000000006</v>
      </c>
      <c r="AE14">
        <v>85664.6</v>
      </c>
      <c r="AF14">
        <v>85919.5</v>
      </c>
      <c r="AG14">
        <v>86406.3</v>
      </c>
      <c r="AH14">
        <v>86429.5</v>
      </c>
      <c r="AI14">
        <v>86684.5</v>
      </c>
      <c r="AJ14">
        <v>87171.3</v>
      </c>
      <c r="AK14">
        <v>87426.2</v>
      </c>
      <c r="AL14">
        <v>87681.2</v>
      </c>
      <c r="AM14">
        <v>87936.2</v>
      </c>
      <c r="AN14">
        <v>88191.2</v>
      </c>
      <c r="AO14">
        <v>88446.2</v>
      </c>
      <c r="AP14">
        <v>88933</v>
      </c>
      <c r="AQ14">
        <v>89187.9</v>
      </c>
    </row>
    <row r="15" spans="1:43" x14ac:dyDescent="0.15">
      <c r="A15" t="s">
        <v>1317</v>
      </c>
      <c r="B15">
        <v>122045</v>
      </c>
      <c r="C15">
        <v>122045</v>
      </c>
      <c r="D15">
        <v>117961</v>
      </c>
      <c r="E15">
        <v>114262</v>
      </c>
      <c r="F15">
        <v>110910</v>
      </c>
      <c r="G15">
        <v>107598</v>
      </c>
      <c r="H15">
        <v>104534</v>
      </c>
      <c r="I15">
        <v>102934</v>
      </c>
      <c r="J15">
        <v>101423</v>
      </c>
      <c r="K15">
        <v>100019</v>
      </c>
      <c r="L15">
        <v>98703.3</v>
      </c>
      <c r="M15">
        <v>97405.7</v>
      </c>
      <c r="N15">
        <v>96108.1</v>
      </c>
      <c r="O15">
        <v>94988.3</v>
      </c>
      <c r="P15">
        <v>93886.2</v>
      </c>
      <c r="Q15">
        <v>92784.1</v>
      </c>
      <c r="R15">
        <v>91779.8</v>
      </c>
      <c r="S15">
        <v>90784.4</v>
      </c>
      <c r="T15">
        <v>89877.9</v>
      </c>
      <c r="U15">
        <v>88971.3</v>
      </c>
      <c r="V15">
        <v>88171.4</v>
      </c>
      <c r="W15">
        <v>87362.6</v>
      </c>
      <c r="X15">
        <v>86660.5</v>
      </c>
      <c r="Y15">
        <v>85949.5</v>
      </c>
      <c r="Z15">
        <v>85247.4</v>
      </c>
      <c r="AA15">
        <v>84554.1</v>
      </c>
      <c r="AB15">
        <v>83949.8</v>
      </c>
      <c r="AC15">
        <v>83345.399999999994</v>
      </c>
      <c r="AD15">
        <v>82838.8</v>
      </c>
      <c r="AE15">
        <v>82243.399999999994</v>
      </c>
      <c r="AF15">
        <v>81745.600000000006</v>
      </c>
      <c r="AG15">
        <v>81265.7</v>
      </c>
      <c r="AH15">
        <v>80803.600000000006</v>
      </c>
      <c r="AI15">
        <v>80368.100000000006</v>
      </c>
      <c r="AJ15">
        <v>79950.3</v>
      </c>
      <c r="AK15">
        <v>79550.399999999994</v>
      </c>
      <c r="AL15">
        <v>79168.2</v>
      </c>
      <c r="AM15">
        <v>78806.5</v>
      </c>
      <c r="AN15">
        <v>78465.2</v>
      </c>
      <c r="AO15">
        <v>78133.7</v>
      </c>
      <c r="AP15">
        <v>77822.600000000006</v>
      </c>
      <c r="AQ15">
        <v>77521.399999999994</v>
      </c>
    </row>
    <row r="16" spans="1:43" x14ac:dyDescent="0.15">
      <c r="A16" t="s">
        <v>1318</v>
      </c>
      <c r="B16">
        <v>442923</v>
      </c>
      <c r="C16">
        <v>442923</v>
      </c>
      <c r="D16">
        <v>417362</v>
      </c>
      <c r="E16">
        <v>397595</v>
      </c>
      <c r="F16">
        <v>385779</v>
      </c>
      <c r="G16">
        <v>375894</v>
      </c>
      <c r="H16">
        <v>368291</v>
      </c>
      <c r="I16">
        <v>361300</v>
      </c>
      <c r="J16">
        <v>355539</v>
      </c>
      <c r="K16">
        <v>350454</v>
      </c>
      <c r="L16">
        <v>345865</v>
      </c>
      <c r="M16">
        <v>342014</v>
      </c>
      <c r="N16">
        <v>338520</v>
      </c>
      <c r="O16">
        <v>335600</v>
      </c>
      <c r="P16">
        <v>332723</v>
      </c>
      <c r="Q16">
        <v>330328</v>
      </c>
      <c r="R16">
        <v>328286</v>
      </c>
      <c r="S16">
        <v>326577</v>
      </c>
      <c r="T16">
        <v>325080</v>
      </c>
      <c r="U16">
        <v>323835</v>
      </c>
      <c r="V16">
        <v>322813</v>
      </c>
      <c r="W16">
        <v>321798</v>
      </c>
      <c r="X16">
        <v>320827</v>
      </c>
      <c r="Y16">
        <v>320025</v>
      </c>
      <c r="Z16">
        <v>319302</v>
      </c>
      <c r="AA16">
        <v>318638</v>
      </c>
      <c r="AB16">
        <v>318041</v>
      </c>
      <c r="AC16">
        <v>317420</v>
      </c>
      <c r="AD16">
        <v>316911</v>
      </c>
      <c r="AE16">
        <v>316448</v>
      </c>
      <c r="AF16">
        <v>315935</v>
      </c>
      <c r="AG16">
        <v>315537</v>
      </c>
      <c r="AH16">
        <v>315164</v>
      </c>
      <c r="AI16">
        <v>314733</v>
      </c>
      <c r="AJ16">
        <v>314407</v>
      </c>
      <c r="AK16">
        <v>314093</v>
      </c>
      <c r="AL16">
        <v>313728</v>
      </c>
      <c r="AM16">
        <v>313456</v>
      </c>
      <c r="AN16">
        <v>313190</v>
      </c>
      <c r="AO16">
        <v>312868</v>
      </c>
      <c r="AP16">
        <v>312627</v>
      </c>
      <c r="AQ16">
        <v>312403</v>
      </c>
    </row>
    <row r="17" spans="1:43" x14ac:dyDescent="0.15">
      <c r="A17" t="s">
        <v>1319</v>
      </c>
      <c r="B17">
        <v>524824</v>
      </c>
      <c r="C17">
        <v>524824</v>
      </c>
      <c r="D17">
        <v>526825</v>
      </c>
      <c r="E17">
        <v>510941</v>
      </c>
      <c r="F17">
        <v>506469</v>
      </c>
      <c r="G17">
        <v>505411</v>
      </c>
      <c r="H17">
        <v>505774</v>
      </c>
      <c r="I17">
        <v>506137</v>
      </c>
      <c r="J17">
        <v>511340</v>
      </c>
      <c r="K17">
        <v>516543</v>
      </c>
      <c r="L17">
        <v>515484</v>
      </c>
      <c r="M17">
        <v>514486</v>
      </c>
      <c r="N17">
        <v>516543</v>
      </c>
      <c r="O17">
        <v>515484</v>
      </c>
      <c r="P17">
        <v>514819</v>
      </c>
      <c r="Q17">
        <v>514123</v>
      </c>
      <c r="R17">
        <v>513458</v>
      </c>
      <c r="S17">
        <v>512731</v>
      </c>
      <c r="T17">
        <v>512036</v>
      </c>
      <c r="U17">
        <v>511673</v>
      </c>
      <c r="V17">
        <v>511007</v>
      </c>
      <c r="W17">
        <v>510644</v>
      </c>
      <c r="X17">
        <v>510281</v>
      </c>
      <c r="Y17">
        <v>509948</v>
      </c>
      <c r="Z17">
        <v>509616</v>
      </c>
      <c r="AA17">
        <v>509283</v>
      </c>
      <c r="AB17">
        <v>509253</v>
      </c>
      <c r="AC17">
        <v>509253</v>
      </c>
      <c r="AD17">
        <v>508920</v>
      </c>
      <c r="AE17">
        <v>508890</v>
      </c>
      <c r="AF17">
        <v>508557</v>
      </c>
      <c r="AG17">
        <v>508557</v>
      </c>
      <c r="AH17">
        <v>508224</v>
      </c>
      <c r="AI17">
        <v>508194</v>
      </c>
      <c r="AJ17">
        <v>507861</v>
      </c>
      <c r="AK17">
        <v>507861</v>
      </c>
      <c r="AL17">
        <v>507528</v>
      </c>
      <c r="AM17">
        <v>507498</v>
      </c>
      <c r="AN17">
        <v>507165</v>
      </c>
      <c r="AO17">
        <v>507135</v>
      </c>
      <c r="AP17">
        <v>506832</v>
      </c>
      <c r="AQ17">
        <v>506802</v>
      </c>
    </row>
    <row r="18" spans="1:43" x14ac:dyDescent="0.15">
      <c r="A18" t="s">
        <v>1320</v>
      </c>
      <c r="B18">
        <v>364129</v>
      </c>
      <c r="C18">
        <v>364129</v>
      </c>
      <c r="D18">
        <v>452423</v>
      </c>
      <c r="E18">
        <v>445456</v>
      </c>
      <c r="F18">
        <v>446406</v>
      </c>
      <c r="G18">
        <v>443981</v>
      </c>
      <c r="H18">
        <v>441088</v>
      </c>
      <c r="I18">
        <v>439918</v>
      </c>
      <c r="J18">
        <v>439497</v>
      </c>
      <c r="K18">
        <v>441144</v>
      </c>
      <c r="L18">
        <v>441900</v>
      </c>
      <c r="M18">
        <v>442543</v>
      </c>
      <c r="N18">
        <v>446950</v>
      </c>
      <c r="O18">
        <v>445690</v>
      </c>
      <c r="P18">
        <v>446032</v>
      </c>
      <c r="Q18">
        <v>446477</v>
      </c>
      <c r="R18">
        <v>447675</v>
      </c>
      <c r="S18">
        <v>446582</v>
      </c>
      <c r="T18">
        <v>447019</v>
      </c>
      <c r="U18">
        <v>448331</v>
      </c>
      <c r="V18">
        <v>449424</v>
      </c>
      <c r="W18">
        <v>449642</v>
      </c>
      <c r="X18">
        <v>450298</v>
      </c>
      <c r="Y18">
        <v>451392</v>
      </c>
      <c r="Z18">
        <v>451392</v>
      </c>
      <c r="AA18">
        <v>452047</v>
      </c>
      <c r="AB18">
        <v>452703</v>
      </c>
      <c r="AC18">
        <v>454015</v>
      </c>
      <c r="AD18">
        <v>454671</v>
      </c>
      <c r="AE18">
        <v>455108</v>
      </c>
      <c r="AF18">
        <v>455546</v>
      </c>
      <c r="AG18">
        <v>456639</v>
      </c>
      <c r="AH18">
        <v>457076</v>
      </c>
      <c r="AI18">
        <v>457732</v>
      </c>
      <c r="AJ18">
        <v>458606</v>
      </c>
      <c r="AK18">
        <v>459262</v>
      </c>
      <c r="AL18">
        <v>459918</v>
      </c>
      <c r="AM18">
        <v>460574</v>
      </c>
      <c r="AN18">
        <v>461230</v>
      </c>
      <c r="AO18">
        <v>461886</v>
      </c>
      <c r="AP18">
        <v>462542</v>
      </c>
      <c r="AQ18">
        <v>463417</v>
      </c>
    </row>
    <row r="19" spans="1:43" x14ac:dyDescent="0.15">
      <c r="A19" t="s">
        <v>1321</v>
      </c>
      <c r="B19">
        <v>427259</v>
      </c>
      <c r="C19">
        <v>427259</v>
      </c>
      <c r="D19">
        <v>437780</v>
      </c>
      <c r="E19">
        <v>428016</v>
      </c>
      <c r="F19">
        <v>431243</v>
      </c>
      <c r="G19">
        <v>434720</v>
      </c>
      <c r="H19">
        <v>434647</v>
      </c>
      <c r="I19">
        <v>434859</v>
      </c>
      <c r="J19">
        <v>434967</v>
      </c>
      <c r="K19">
        <v>436524</v>
      </c>
      <c r="L19">
        <v>437262</v>
      </c>
      <c r="M19">
        <v>437429</v>
      </c>
      <c r="N19">
        <v>439804</v>
      </c>
      <c r="O19">
        <v>439781</v>
      </c>
      <c r="P19">
        <v>440185</v>
      </c>
      <c r="Q19">
        <v>439948</v>
      </c>
      <c r="R19">
        <v>439717</v>
      </c>
      <c r="S19">
        <v>438888</v>
      </c>
      <c r="T19">
        <v>438680</v>
      </c>
      <c r="U19">
        <v>439717</v>
      </c>
      <c r="V19">
        <v>440339</v>
      </c>
      <c r="W19">
        <v>439924</v>
      </c>
      <c r="X19">
        <v>441376</v>
      </c>
      <c r="Y19">
        <v>441790</v>
      </c>
      <c r="Z19">
        <v>442205</v>
      </c>
      <c r="AA19">
        <v>442827</v>
      </c>
      <c r="AB19">
        <v>443449</v>
      </c>
      <c r="AC19">
        <v>444486</v>
      </c>
      <c r="AD19">
        <v>445108</v>
      </c>
      <c r="AE19">
        <v>445730</v>
      </c>
      <c r="AF19">
        <v>445937</v>
      </c>
      <c r="AG19">
        <v>446559</v>
      </c>
      <c r="AH19">
        <v>447596</v>
      </c>
      <c r="AI19">
        <v>448010</v>
      </c>
      <c r="AJ19">
        <v>448839</v>
      </c>
      <c r="AK19">
        <v>449461</v>
      </c>
      <c r="AL19">
        <v>450083</v>
      </c>
      <c r="AM19">
        <v>450498</v>
      </c>
      <c r="AN19">
        <v>451120</v>
      </c>
      <c r="AO19">
        <v>451742</v>
      </c>
      <c r="AP19">
        <v>452364</v>
      </c>
      <c r="AQ19">
        <v>452986</v>
      </c>
    </row>
    <row r="20" spans="1:43" x14ac:dyDescent="0.15">
      <c r="A20" t="s">
        <v>1322</v>
      </c>
      <c r="B20">
        <v>576913</v>
      </c>
      <c r="C20">
        <v>576913</v>
      </c>
      <c r="D20">
        <v>580751</v>
      </c>
      <c r="E20">
        <v>571966</v>
      </c>
      <c r="F20">
        <v>572764</v>
      </c>
      <c r="G20">
        <v>572597</v>
      </c>
      <c r="H20">
        <v>571391</v>
      </c>
      <c r="I20">
        <v>570473</v>
      </c>
      <c r="J20">
        <v>569947</v>
      </c>
      <c r="K20">
        <v>569949</v>
      </c>
      <c r="L20">
        <v>569572</v>
      </c>
      <c r="M20">
        <v>569281</v>
      </c>
      <c r="N20">
        <v>569820</v>
      </c>
      <c r="O20">
        <v>569937</v>
      </c>
      <c r="P20">
        <v>569596</v>
      </c>
      <c r="Q20">
        <v>569403</v>
      </c>
      <c r="R20">
        <v>569151</v>
      </c>
      <c r="S20">
        <v>568698</v>
      </c>
      <c r="T20">
        <v>568503</v>
      </c>
      <c r="U20">
        <v>568918</v>
      </c>
      <c r="V20">
        <v>569288</v>
      </c>
      <c r="W20">
        <v>569112</v>
      </c>
      <c r="X20">
        <v>569591</v>
      </c>
      <c r="Y20">
        <v>569757</v>
      </c>
      <c r="Z20">
        <v>569923</v>
      </c>
      <c r="AA20">
        <v>570162</v>
      </c>
      <c r="AB20">
        <v>570411</v>
      </c>
      <c r="AC20">
        <v>570724</v>
      </c>
      <c r="AD20">
        <v>570963</v>
      </c>
      <c r="AE20">
        <v>571211</v>
      </c>
      <c r="AF20">
        <v>571183</v>
      </c>
      <c r="AG20">
        <v>571432</v>
      </c>
      <c r="AH20">
        <v>571846</v>
      </c>
      <c r="AI20">
        <v>571901</v>
      </c>
      <c r="AJ20">
        <v>572232</v>
      </c>
      <c r="AK20">
        <v>572471</v>
      </c>
      <c r="AL20">
        <v>572618</v>
      </c>
      <c r="AM20">
        <v>572784</v>
      </c>
      <c r="AN20">
        <v>573023</v>
      </c>
      <c r="AO20">
        <v>573170</v>
      </c>
      <c r="AP20">
        <v>573409</v>
      </c>
      <c r="AQ20">
        <v>573655</v>
      </c>
    </row>
    <row r="21" spans="1:43" x14ac:dyDescent="0.15">
      <c r="A21" t="s">
        <v>1323</v>
      </c>
      <c r="B21">
        <v>423587</v>
      </c>
      <c r="C21">
        <v>423587</v>
      </c>
      <c r="D21">
        <v>446810</v>
      </c>
      <c r="E21">
        <v>442813</v>
      </c>
      <c r="F21">
        <v>446433</v>
      </c>
      <c r="G21">
        <v>445256</v>
      </c>
      <c r="H21">
        <v>445844</v>
      </c>
      <c r="I21">
        <v>446433</v>
      </c>
      <c r="J21">
        <v>445256</v>
      </c>
      <c r="K21">
        <v>445256</v>
      </c>
      <c r="L21">
        <v>446433</v>
      </c>
      <c r="M21">
        <v>447021</v>
      </c>
      <c r="N21">
        <v>452211</v>
      </c>
      <c r="O21">
        <v>452853</v>
      </c>
      <c r="P21">
        <v>453977</v>
      </c>
      <c r="Q21">
        <v>454565</v>
      </c>
      <c r="R21">
        <v>455154</v>
      </c>
      <c r="S21">
        <v>455208</v>
      </c>
      <c r="T21">
        <v>456331</v>
      </c>
      <c r="U21">
        <v>457508</v>
      </c>
      <c r="V21">
        <v>458632</v>
      </c>
      <c r="W21">
        <v>459220</v>
      </c>
      <c r="X21">
        <v>459809</v>
      </c>
      <c r="Y21">
        <v>460397</v>
      </c>
      <c r="Z21">
        <v>460986</v>
      </c>
      <c r="AA21">
        <v>460986</v>
      </c>
      <c r="AB21">
        <v>461628</v>
      </c>
      <c r="AC21">
        <v>462163</v>
      </c>
      <c r="AD21">
        <v>463340</v>
      </c>
      <c r="AE21">
        <v>463929</v>
      </c>
      <c r="AF21">
        <v>464517</v>
      </c>
      <c r="AG21">
        <v>465641</v>
      </c>
      <c r="AH21">
        <v>465694</v>
      </c>
      <c r="AI21">
        <v>466283</v>
      </c>
      <c r="AJ21">
        <v>467406</v>
      </c>
      <c r="AK21">
        <v>467995</v>
      </c>
      <c r="AL21">
        <v>468584</v>
      </c>
      <c r="AM21">
        <v>469172</v>
      </c>
      <c r="AN21">
        <v>469761</v>
      </c>
      <c r="AO21">
        <v>470349</v>
      </c>
      <c r="AP21">
        <v>471473</v>
      </c>
      <c r="AQ21">
        <v>472061</v>
      </c>
    </row>
    <row r="22" spans="1:43" x14ac:dyDescent="0.15">
      <c r="A22" t="s">
        <v>1324</v>
      </c>
      <c r="B22">
        <v>791323</v>
      </c>
      <c r="C22">
        <v>791323</v>
      </c>
      <c r="D22">
        <v>786730</v>
      </c>
      <c r="E22">
        <v>756806</v>
      </c>
      <c r="F22">
        <v>750955</v>
      </c>
      <c r="G22">
        <v>742325</v>
      </c>
      <c r="H22">
        <v>734621</v>
      </c>
      <c r="I22">
        <v>729209</v>
      </c>
      <c r="J22">
        <v>724099</v>
      </c>
      <c r="K22">
        <v>719349</v>
      </c>
      <c r="L22">
        <v>714900</v>
      </c>
      <c r="M22">
        <v>710510</v>
      </c>
      <c r="N22">
        <v>706121</v>
      </c>
      <c r="O22">
        <v>702333</v>
      </c>
      <c r="P22">
        <v>698606</v>
      </c>
      <c r="Q22">
        <v>694878</v>
      </c>
      <c r="R22">
        <v>691481</v>
      </c>
      <c r="S22">
        <v>688114</v>
      </c>
      <c r="T22">
        <v>685047</v>
      </c>
      <c r="U22">
        <v>681981</v>
      </c>
      <c r="V22">
        <v>679275</v>
      </c>
      <c r="W22">
        <v>676540</v>
      </c>
      <c r="X22">
        <v>674165</v>
      </c>
      <c r="Y22">
        <v>671760</v>
      </c>
      <c r="Z22">
        <v>669385</v>
      </c>
      <c r="AA22">
        <v>667040</v>
      </c>
      <c r="AB22">
        <v>664996</v>
      </c>
      <c r="AC22">
        <v>662952</v>
      </c>
      <c r="AD22">
        <v>661238</v>
      </c>
      <c r="AE22">
        <v>659224</v>
      </c>
      <c r="AF22">
        <v>657540</v>
      </c>
      <c r="AG22">
        <v>655917</v>
      </c>
      <c r="AH22">
        <v>654354</v>
      </c>
      <c r="AI22">
        <v>652880</v>
      </c>
      <c r="AJ22">
        <v>651468</v>
      </c>
      <c r="AK22">
        <v>650115</v>
      </c>
      <c r="AL22">
        <v>648822</v>
      </c>
      <c r="AM22">
        <v>647598</v>
      </c>
      <c r="AN22">
        <v>646444</v>
      </c>
      <c r="AO22">
        <v>645323</v>
      </c>
      <c r="AP22">
        <v>644271</v>
      </c>
      <c r="AQ22">
        <v>643252</v>
      </c>
    </row>
    <row r="23" spans="1:43" x14ac:dyDescent="0.15">
      <c r="A23" t="s">
        <v>1325</v>
      </c>
      <c r="B23">
        <v>226418</v>
      </c>
      <c r="C23">
        <v>226418</v>
      </c>
      <c r="D23">
        <v>217761</v>
      </c>
      <c r="E23">
        <v>211796</v>
      </c>
      <c r="F23">
        <v>208170</v>
      </c>
      <c r="G23">
        <v>203638</v>
      </c>
      <c r="H23">
        <v>200505</v>
      </c>
      <c r="I23">
        <v>196571</v>
      </c>
      <c r="J23">
        <v>194211</v>
      </c>
      <c r="K23">
        <v>191824</v>
      </c>
      <c r="L23">
        <v>189369</v>
      </c>
      <c r="M23">
        <v>187997</v>
      </c>
      <c r="N23">
        <v>186332</v>
      </c>
      <c r="O23">
        <v>185251</v>
      </c>
      <c r="P23">
        <v>183387</v>
      </c>
      <c r="Q23">
        <v>182085</v>
      </c>
      <c r="R23">
        <v>180902</v>
      </c>
      <c r="S23">
        <v>180253</v>
      </c>
      <c r="T23">
        <v>179675</v>
      </c>
      <c r="U23">
        <v>179355</v>
      </c>
      <c r="V23">
        <v>179304</v>
      </c>
      <c r="W23">
        <v>179026</v>
      </c>
      <c r="X23">
        <v>178601</v>
      </c>
      <c r="Y23">
        <v>178395</v>
      </c>
      <c r="Z23">
        <v>178209</v>
      </c>
      <c r="AA23">
        <v>178022</v>
      </c>
      <c r="AB23">
        <v>177868</v>
      </c>
      <c r="AC23">
        <v>177533</v>
      </c>
      <c r="AD23">
        <v>177385</v>
      </c>
      <c r="AE23">
        <v>177266</v>
      </c>
      <c r="AF23">
        <v>176941</v>
      </c>
      <c r="AG23">
        <v>176838</v>
      </c>
      <c r="AH23">
        <v>176743</v>
      </c>
      <c r="AI23">
        <v>176439</v>
      </c>
      <c r="AJ23">
        <v>176355</v>
      </c>
      <c r="AK23">
        <v>176257</v>
      </c>
      <c r="AL23">
        <v>175987</v>
      </c>
      <c r="AM23">
        <v>175917</v>
      </c>
      <c r="AN23">
        <v>175831</v>
      </c>
      <c r="AO23">
        <v>175573</v>
      </c>
      <c r="AP23">
        <v>175494</v>
      </c>
      <c r="AQ23">
        <v>175431</v>
      </c>
    </row>
    <row r="24" spans="1:43" x14ac:dyDescent="0.15">
      <c r="A24" t="s">
        <v>1326</v>
      </c>
      <c r="B24">
        <v>357690</v>
      </c>
      <c r="C24">
        <v>357690</v>
      </c>
      <c r="D24">
        <v>357690</v>
      </c>
      <c r="E24">
        <v>344809</v>
      </c>
      <c r="F24">
        <v>337117</v>
      </c>
      <c r="G24">
        <v>335551</v>
      </c>
      <c r="H24">
        <v>336088</v>
      </c>
      <c r="I24">
        <v>336625</v>
      </c>
      <c r="J24">
        <v>344317</v>
      </c>
      <c r="K24">
        <v>352010</v>
      </c>
      <c r="L24">
        <v>350445</v>
      </c>
      <c r="M24">
        <v>348969</v>
      </c>
      <c r="N24">
        <v>352010</v>
      </c>
      <c r="O24">
        <v>350445</v>
      </c>
      <c r="P24">
        <v>349461</v>
      </c>
      <c r="Q24">
        <v>348432</v>
      </c>
      <c r="R24">
        <v>347448</v>
      </c>
      <c r="S24">
        <v>346375</v>
      </c>
      <c r="T24">
        <v>345346</v>
      </c>
      <c r="U24">
        <v>344809</v>
      </c>
      <c r="V24">
        <v>343825</v>
      </c>
      <c r="W24">
        <v>343289</v>
      </c>
      <c r="X24">
        <v>342752</v>
      </c>
      <c r="Y24">
        <v>342260</v>
      </c>
      <c r="Z24">
        <v>341768</v>
      </c>
      <c r="AA24">
        <v>341276</v>
      </c>
      <c r="AB24">
        <v>341231</v>
      </c>
      <c r="AC24">
        <v>341231</v>
      </c>
      <c r="AD24">
        <v>340739</v>
      </c>
      <c r="AE24">
        <v>340695</v>
      </c>
      <c r="AF24">
        <v>340203</v>
      </c>
      <c r="AG24">
        <v>340203</v>
      </c>
      <c r="AH24">
        <v>339711</v>
      </c>
      <c r="AI24">
        <v>339666</v>
      </c>
      <c r="AJ24">
        <v>339174</v>
      </c>
      <c r="AK24">
        <v>339174</v>
      </c>
      <c r="AL24">
        <v>338682</v>
      </c>
      <c r="AM24">
        <v>338637</v>
      </c>
      <c r="AN24">
        <v>338145</v>
      </c>
      <c r="AO24">
        <v>338101</v>
      </c>
      <c r="AP24">
        <v>337653</v>
      </c>
      <c r="AQ24">
        <v>337609</v>
      </c>
    </row>
    <row r="25" spans="1:43" x14ac:dyDescent="0.15">
      <c r="A25" t="s">
        <v>1327</v>
      </c>
      <c r="B25">
        <v>299525</v>
      </c>
      <c r="C25">
        <v>299525</v>
      </c>
      <c r="D25">
        <v>351455</v>
      </c>
      <c r="E25">
        <v>359099</v>
      </c>
      <c r="F25">
        <v>359007</v>
      </c>
      <c r="G25">
        <v>354873</v>
      </c>
      <c r="H25">
        <v>350365</v>
      </c>
      <c r="I25">
        <v>348229</v>
      </c>
      <c r="J25">
        <v>347703</v>
      </c>
      <c r="K25">
        <v>352193</v>
      </c>
      <c r="L25">
        <v>354235</v>
      </c>
      <c r="M25">
        <v>356763</v>
      </c>
      <c r="N25">
        <v>365992</v>
      </c>
      <c r="O25">
        <v>363685</v>
      </c>
      <c r="P25">
        <v>364903</v>
      </c>
      <c r="Q25">
        <v>365384</v>
      </c>
      <c r="R25">
        <v>368273</v>
      </c>
      <c r="S25">
        <v>365852</v>
      </c>
      <c r="T25">
        <v>366821</v>
      </c>
      <c r="U25">
        <v>369726</v>
      </c>
      <c r="V25">
        <v>372147</v>
      </c>
      <c r="W25">
        <v>372631</v>
      </c>
      <c r="X25">
        <v>374083</v>
      </c>
      <c r="Y25">
        <v>376504</v>
      </c>
      <c r="Z25">
        <v>376504</v>
      </c>
      <c r="AA25">
        <v>377957</v>
      </c>
      <c r="AB25">
        <v>379409</v>
      </c>
      <c r="AC25">
        <v>382314</v>
      </c>
      <c r="AD25">
        <v>383767</v>
      </c>
      <c r="AE25">
        <v>384735</v>
      </c>
      <c r="AF25">
        <v>385703</v>
      </c>
      <c r="AG25">
        <v>388124</v>
      </c>
      <c r="AH25">
        <v>389092</v>
      </c>
      <c r="AI25">
        <v>390545</v>
      </c>
      <c r="AJ25">
        <v>392482</v>
      </c>
      <c r="AK25">
        <v>393934</v>
      </c>
      <c r="AL25">
        <v>395386</v>
      </c>
      <c r="AM25">
        <v>396839</v>
      </c>
      <c r="AN25">
        <v>398291</v>
      </c>
      <c r="AO25">
        <v>399744</v>
      </c>
      <c r="AP25">
        <v>401196</v>
      </c>
      <c r="AQ25">
        <v>403133</v>
      </c>
    </row>
    <row r="26" spans="1:43" x14ac:dyDescent="0.15">
      <c r="A26" t="s">
        <v>1328</v>
      </c>
      <c r="B26">
        <v>307489</v>
      </c>
      <c r="C26">
        <v>307489</v>
      </c>
      <c r="D26">
        <v>323938</v>
      </c>
      <c r="E26">
        <v>321099</v>
      </c>
      <c r="F26">
        <v>326962</v>
      </c>
      <c r="G26">
        <v>335665</v>
      </c>
      <c r="H26">
        <v>336302</v>
      </c>
      <c r="I26">
        <v>337560</v>
      </c>
      <c r="J26">
        <v>338135</v>
      </c>
      <c r="K26">
        <v>342332</v>
      </c>
      <c r="L26">
        <v>344101</v>
      </c>
      <c r="M26">
        <v>345447</v>
      </c>
      <c r="N26">
        <v>350254</v>
      </c>
      <c r="O26">
        <v>350421</v>
      </c>
      <c r="P26">
        <v>351717</v>
      </c>
      <c r="Q26">
        <v>351207</v>
      </c>
      <c r="R26">
        <v>350896</v>
      </c>
      <c r="S26">
        <v>349057</v>
      </c>
      <c r="T26">
        <v>348597</v>
      </c>
      <c r="U26">
        <v>350896</v>
      </c>
      <c r="V26">
        <v>352276</v>
      </c>
      <c r="W26">
        <v>351356</v>
      </c>
      <c r="X26">
        <v>354576</v>
      </c>
      <c r="Y26">
        <v>355495</v>
      </c>
      <c r="Z26">
        <v>356415</v>
      </c>
      <c r="AA26">
        <v>357795</v>
      </c>
      <c r="AB26">
        <v>359174</v>
      </c>
      <c r="AC26">
        <v>361474</v>
      </c>
      <c r="AD26">
        <v>362854</v>
      </c>
      <c r="AE26">
        <v>364233</v>
      </c>
      <c r="AF26">
        <v>364693</v>
      </c>
      <c r="AG26">
        <v>366073</v>
      </c>
      <c r="AH26">
        <v>368372</v>
      </c>
      <c r="AI26">
        <v>369292</v>
      </c>
      <c r="AJ26">
        <v>371132</v>
      </c>
      <c r="AK26">
        <v>372511</v>
      </c>
      <c r="AL26">
        <v>373891</v>
      </c>
      <c r="AM26">
        <v>374811</v>
      </c>
      <c r="AN26">
        <v>376190</v>
      </c>
      <c r="AO26">
        <v>377570</v>
      </c>
      <c r="AP26">
        <v>378950</v>
      </c>
      <c r="AQ26">
        <v>380330</v>
      </c>
    </row>
    <row r="27" spans="1:43" x14ac:dyDescent="0.15">
      <c r="A27" t="s">
        <v>1329</v>
      </c>
      <c r="B27">
        <v>480108</v>
      </c>
      <c r="C27">
        <v>480108</v>
      </c>
      <c r="D27">
        <v>482953</v>
      </c>
      <c r="E27">
        <v>479397</v>
      </c>
      <c r="F27">
        <v>479637</v>
      </c>
      <c r="G27">
        <v>479374</v>
      </c>
      <c r="H27">
        <v>477244</v>
      </c>
      <c r="I27">
        <v>475889</v>
      </c>
      <c r="J27">
        <v>474474</v>
      </c>
      <c r="K27">
        <v>475002</v>
      </c>
      <c r="L27">
        <v>473861</v>
      </c>
      <c r="M27">
        <v>473185</v>
      </c>
      <c r="N27">
        <v>474313</v>
      </c>
      <c r="O27">
        <v>474424</v>
      </c>
      <c r="P27">
        <v>474043</v>
      </c>
      <c r="Q27">
        <v>473624</v>
      </c>
      <c r="R27">
        <v>473387</v>
      </c>
      <c r="S27">
        <v>472608</v>
      </c>
      <c r="T27">
        <v>472274</v>
      </c>
      <c r="U27">
        <v>472987</v>
      </c>
      <c r="V27">
        <v>473623</v>
      </c>
      <c r="W27">
        <v>473321</v>
      </c>
      <c r="X27">
        <v>474144</v>
      </c>
      <c r="Y27">
        <v>474429</v>
      </c>
      <c r="Z27">
        <v>474714</v>
      </c>
      <c r="AA27">
        <v>475124</v>
      </c>
      <c r="AB27">
        <v>475551</v>
      </c>
      <c r="AC27">
        <v>476090</v>
      </c>
      <c r="AD27">
        <v>476500</v>
      </c>
      <c r="AE27">
        <v>476927</v>
      </c>
      <c r="AF27">
        <v>476878</v>
      </c>
      <c r="AG27">
        <v>477306</v>
      </c>
      <c r="AH27">
        <v>478018</v>
      </c>
      <c r="AI27">
        <v>478111</v>
      </c>
      <c r="AJ27">
        <v>478681</v>
      </c>
      <c r="AK27">
        <v>479091</v>
      </c>
      <c r="AL27">
        <v>479345</v>
      </c>
      <c r="AM27">
        <v>479630</v>
      </c>
      <c r="AN27">
        <v>480040</v>
      </c>
      <c r="AO27">
        <v>480293</v>
      </c>
      <c r="AP27">
        <v>480703</v>
      </c>
      <c r="AQ27">
        <v>481126</v>
      </c>
    </row>
    <row r="28" spans="1:43" x14ac:dyDescent="0.15">
      <c r="A28" t="s">
        <v>1330</v>
      </c>
      <c r="B28">
        <v>320566</v>
      </c>
      <c r="C28">
        <v>320566</v>
      </c>
      <c r="D28">
        <v>346117</v>
      </c>
      <c r="E28">
        <v>353980</v>
      </c>
      <c r="F28">
        <v>357154</v>
      </c>
      <c r="G28">
        <v>355567</v>
      </c>
      <c r="H28">
        <v>356361</v>
      </c>
      <c r="I28">
        <v>357154</v>
      </c>
      <c r="J28">
        <v>355567</v>
      </c>
      <c r="K28">
        <v>355567</v>
      </c>
      <c r="L28">
        <v>357154</v>
      </c>
      <c r="M28">
        <v>357948</v>
      </c>
      <c r="N28">
        <v>364945</v>
      </c>
      <c r="O28">
        <v>365810</v>
      </c>
      <c r="P28">
        <v>367325</v>
      </c>
      <c r="Q28">
        <v>368119</v>
      </c>
      <c r="R28">
        <v>368912</v>
      </c>
      <c r="S28">
        <v>368984</v>
      </c>
      <c r="T28">
        <v>370499</v>
      </c>
      <c r="U28">
        <v>372086</v>
      </c>
      <c r="V28">
        <v>373601</v>
      </c>
      <c r="W28">
        <v>374395</v>
      </c>
      <c r="X28">
        <v>375188</v>
      </c>
      <c r="Y28">
        <v>375982</v>
      </c>
      <c r="Z28">
        <v>376775</v>
      </c>
      <c r="AA28">
        <v>376775</v>
      </c>
      <c r="AB28">
        <v>377641</v>
      </c>
      <c r="AC28">
        <v>378362</v>
      </c>
      <c r="AD28">
        <v>379949</v>
      </c>
      <c r="AE28">
        <v>380743</v>
      </c>
      <c r="AF28">
        <v>381536</v>
      </c>
      <c r="AG28">
        <v>383051</v>
      </c>
      <c r="AH28">
        <v>383123</v>
      </c>
      <c r="AI28">
        <v>383917</v>
      </c>
      <c r="AJ28">
        <v>385432</v>
      </c>
      <c r="AK28">
        <v>386225</v>
      </c>
      <c r="AL28">
        <v>387019</v>
      </c>
      <c r="AM28">
        <v>387812</v>
      </c>
      <c r="AN28">
        <v>388606</v>
      </c>
      <c r="AO28">
        <v>389399</v>
      </c>
      <c r="AP28">
        <v>390914</v>
      </c>
      <c r="AQ28">
        <v>391707</v>
      </c>
    </row>
    <row r="29" spans="1:43" x14ac:dyDescent="0.15">
      <c r="A29" t="s">
        <v>1331</v>
      </c>
      <c r="B29">
        <v>851442</v>
      </c>
      <c r="C29">
        <v>851442</v>
      </c>
      <c r="D29">
        <v>823770</v>
      </c>
      <c r="E29">
        <v>798013</v>
      </c>
      <c r="F29">
        <v>774074</v>
      </c>
      <c r="G29">
        <v>751098</v>
      </c>
      <c r="H29">
        <v>729821</v>
      </c>
      <c r="I29">
        <v>712139</v>
      </c>
      <c r="J29">
        <v>695597</v>
      </c>
      <c r="K29">
        <v>680326</v>
      </c>
      <c r="L29">
        <v>666131</v>
      </c>
      <c r="M29">
        <v>652348</v>
      </c>
      <c r="N29">
        <v>638330</v>
      </c>
      <c r="O29">
        <v>626618</v>
      </c>
      <c r="P29">
        <v>614845</v>
      </c>
      <c r="Q29">
        <v>603712</v>
      </c>
      <c r="R29">
        <v>593238</v>
      </c>
      <c r="S29">
        <v>584765</v>
      </c>
      <c r="T29">
        <v>577050</v>
      </c>
      <c r="U29">
        <v>569334</v>
      </c>
      <c r="V29">
        <v>562526</v>
      </c>
      <c r="W29">
        <v>555642</v>
      </c>
      <c r="X29">
        <v>549666</v>
      </c>
      <c r="Y29">
        <v>543615</v>
      </c>
      <c r="Z29">
        <v>537639</v>
      </c>
      <c r="AA29">
        <v>531739</v>
      </c>
      <c r="AB29">
        <v>526595</v>
      </c>
      <c r="AC29">
        <v>521451</v>
      </c>
      <c r="AD29">
        <v>517139</v>
      </c>
      <c r="AE29">
        <v>512071</v>
      </c>
      <c r="AF29">
        <v>507835</v>
      </c>
      <c r="AG29">
        <v>503750</v>
      </c>
      <c r="AH29">
        <v>499817</v>
      </c>
      <c r="AI29">
        <v>496110</v>
      </c>
      <c r="AJ29">
        <v>492555</v>
      </c>
      <c r="AK29">
        <v>489151</v>
      </c>
      <c r="AL29">
        <v>485898</v>
      </c>
      <c r="AM29">
        <v>482820</v>
      </c>
      <c r="AN29">
        <v>479915</v>
      </c>
      <c r="AO29">
        <v>477093</v>
      </c>
      <c r="AP29">
        <v>474446</v>
      </c>
      <c r="AQ29">
        <v>471882</v>
      </c>
    </row>
    <row r="30" spans="1:43" x14ac:dyDescent="0.15">
      <c r="A30" t="s">
        <v>1332</v>
      </c>
      <c r="B30" s="176">
        <v>151373000</v>
      </c>
      <c r="C30" s="176">
        <v>151373000</v>
      </c>
      <c r="D30" s="176">
        <v>142412000</v>
      </c>
      <c r="E30" s="176">
        <v>124314000</v>
      </c>
      <c r="F30" s="176">
        <v>147821000</v>
      </c>
      <c r="G30" s="176">
        <v>128600000</v>
      </c>
      <c r="H30" s="176">
        <v>125771000</v>
      </c>
      <c r="I30" s="176">
        <v>122694000</v>
      </c>
      <c r="J30" s="176">
        <v>120571000</v>
      </c>
      <c r="K30" s="176">
        <v>118664000</v>
      </c>
      <c r="L30" s="176">
        <v>116764000</v>
      </c>
      <c r="M30" s="176">
        <v>115502000</v>
      </c>
      <c r="N30" s="176">
        <v>114226000</v>
      </c>
      <c r="O30" s="176">
        <v>113392000</v>
      </c>
      <c r="P30" s="176">
        <v>111898000</v>
      </c>
      <c r="Q30" s="176">
        <v>110968000</v>
      </c>
      <c r="R30" s="176">
        <v>110264000</v>
      </c>
      <c r="S30" s="176">
        <v>109336000</v>
      </c>
      <c r="T30" s="176">
        <v>108622000</v>
      </c>
      <c r="U30" s="176">
        <v>108115000</v>
      </c>
      <c r="V30" s="176">
        <v>107815000</v>
      </c>
      <c r="W30" s="176">
        <v>107245000</v>
      </c>
      <c r="X30" s="176">
        <v>106714000</v>
      </c>
      <c r="Y30" s="176">
        <v>106349000</v>
      </c>
      <c r="Z30" s="176">
        <v>106010000</v>
      </c>
      <c r="AA30" s="176">
        <v>105562000</v>
      </c>
      <c r="AB30" s="176">
        <v>105265000</v>
      </c>
      <c r="AC30" s="176">
        <v>104853000</v>
      </c>
      <c r="AD30" s="176">
        <v>104576000</v>
      </c>
      <c r="AE30" s="176">
        <v>104324000</v>
      </c>
      <c r="AF30" s="176">
        <v>103942000</v>
      </c>
      <c r="AG30" s="176">
        <v>103606000</v>
      </c>
      <c r="AH30" s="176">
        <v>103493000</v>
      </c>
      <c r="AI30" s="176">
        <v>103246000</v>
      </c>
      <c r="AJ30" s="176">
        <v>103147000</v>
      </c>
      <c r="AK30" s="176">
        <v>103041000</v>
      </c>
      <c r="AL30" s="176">
        <v>102825000</v>
      </c>
      <c r="AM30" s="176">
        <v>102742000</v>
      </c>
      <c r="AN30" s="176">
        <v>102651000</v>
      </c>
      <c r="AO30" s="176">
        <v>102448000</v>
      </c>
      <c r="AP30" s="176">
        <v>102365000</v>
      </c>
      <c r="AQ30" s="176">
        <v>102294000</v>
      </c>
    </row>
    <row r="31" spans="1:43" x14ac:dyDescent="0.15">
      <c r="A31" t="s">
        <v>1333</v>
      </c>
      <c r="B31" s="176">
        <v>12332700</v>
      </c>
      <c r="C31" s="176">
        <v>12332700</v>
      </c>
      <c r="D31" s="176">
        <v>12332700</v>
      </c>
      <c r="E31" s="176">
        <v>12332700</v>
      </c>
      <c r="F31" s="176">
        <v>12332700</v>
      </c>
      <c r="G31" s="176">
        <v>12332700</v>
      </c>
      <c r="H31" s="176">
        <v>12332700</v>
      </c>
      <c r="I31" s="176">
        <v>12332700</v>
      </c>
      <c r="J31" s="176">
        <v>12332700</v>
      </c>
      <c r="K31" s="176">
        <v>12332700</v>
      </c>
      <c r="L31" s="176">
        <v>12332700</v>
      </c>
      <c r="M31" s="176">
        <v>12332700</v>
      </c>
      <c r="N31" s="176">
        <v>12332700</v>
      </c>
      <c r="O31" s="176">
        <v>12332700</v>
      </c>
      <c r="P31" s="176">
        <v>12332700</v>
      </c>
      <c r="Q31" s="176">
        <v>12332700</v>
      </c>
      <c r="R31" s="176">
        <v>12332700</v>
      </c>
      <c r="S31" s="176">
        <v>12332700</v>
      </c>
      <c r="T31" s="176">
        <v>12332700</v>
      </c>
      <c r="U31" s="176">
        <v>12332700</v>
      </c>
      <c r="V31" s="176">
        <v>12332700</v>
      </c>
      <c r="W31" s="176">
        <v>12332700</v>
      </c>
      <c r="X31" s="176">
        <v>12332700</v>
      </c>
      <c r="Y31" s="176">
        <v>12332700</v>
      </c>
      <c r="Z31" s="176">
        <v>12332700</v>
      </c>
      <c r="AA31" s="176">
        <v>12332700</v>
      </c>
      <c r="AB31" s="176">
        <v>12332700</v>
      </c>
      <c r="AC31" s="176">
        <v>12332700</v>
      </c>
      <c r="AD31" s="176">
        <v>12332700</v>
      </c>
      <c r="AE31" s="176">
        <v>12332700</v>
      </c>
      <c r="AF31" s="176">
        <v>12332700</v>
      </c>
      <c r="AG31" s="176">
        <v>12332700</v>
      </c>
      <c r="AH31" s="176">
        <v>12332700</v>
      </c>
      <c r="AI31" s="176">
        <v>12332700</v>
      </c>
      <c r="AJ31" s="176">
        <v>12332700</v>
      </c>
      <c r="AK31" s="176">
        <v>12332700</v>
      </c>
      <c r="AL31" s="176">
        <v>12332700</v>
      </c>
      <c r="AM31" s="176">
        <v>12332700</v>
      </c>
      <c r="AN31" s="176">
        <v>12332700</v>
      </c>
      <c r="AO31" s="176">
        <v>12332700</v>
      </c>
      <c r="AP31" s="176">
        <v>12332700</v>
      </c>
      <c r="AQ31" s="176">
        <v>12332700</v>
      </c>
    </row>
    <row r="32" spans="1:43" x14ac:dyDescent="0.15">
      <c r="A32" t="s">
        <v>1334</v>
      </c>
      <c r="B32" s="176">
        <v>12332700</v>
      </c>
      <c r="C32" s="176">
        <v>12332700</v>
      </c>
      <c r="D32" s="176">
        <v>12332700</v>
      </c>
      <c r="E32" s="176">
        <v>12332700</v>
      </c>
      <c r="F32" s="176">
        <v>12332700</v>
      </c>
      <c r="G32" s="176">
        <v>12332700</v>
      </c>
      <c r="H32" s="176">
        <v>12332700</v>
      </c>
      <c r="I32" s="176">
        <v>12332700</v>
      </c>
      <c r="J32" s="176">
        <v>12332700</v>
      </c>
      <c r="K32" s="176">
        <v>12332700</v>
      </c>
      <c r="L32" s="176">
        <v>12332700</v>
      </c>
      <c r="M32" s="176">
        <v>12332700</v>
      </c>
      <c r="N32" s="176">
        <v>12332700</v>
      </c>
      <c r="O32" s="176">
        <v>12332700</v>
      </c>
      <c r="P32" s="176">
        <v>12332700</v>
      </c>
      <c r="Q32" s="176">
        <v>12332700</v>
      </c>
      <c r="R32" s="176">
        <v>12332700</v>
      </c>
      <c r="S32" s="176">
        <v>12332700</v>
      </c>
      <c r="T32" s="176">
        <v>12332700</v>
      </c>
      <c r="U32" s="176">
        <v>12332700</v>
      </c>
      <c r="V32" s="176">
        <v>12332700</v>
      </c>
      <c r="W32" s="176">
        <v>12332700</v>
      </c>
      <c r="X32" s="176">
        <v>12332700</v>
      </c>
      <c r="Y32" s="176">
        <v>12332700</v>
      </c>
      <c r="Z32" s="176">
        <v>12332700</v>
      </c>
      <c r="AA32" s="176">
        <v>12332700</v>
      </c>
      <c r="AB32" s="176">
        <v>12332700</v>
      </c>
      <c r="AC32" s="176">
        <v>12332700</v>
      </c>
      <c r="AD32" s="176">
        <v>12332700</v>
      </c>
      <c r="AE32" s="176">
        <v>12332700</v>
      </c>
      <c r="AF32" s="176">
        <v>12332700</v>
      </c>
      <c r="AG32" s="176">
        <v>12332700</v>
      </c>
      <c r="AH32" s="176">
        <v>12332700</v>
      </c>
      <c r="AI32" s="176">
        <v>12332700</v>
      </c>
      <c r="AJ32" s="176">
        <v>12332700</v>
      </c>
      <c r="AK32" s="176">
        <v>12332700</v>
      </c>
      <c r="AL32" s="176">
        <v>12332700</v>
      </c>
      <c r="AM32" s="176">
        <v>12332700</v>
      </c>
      <c r="AN32" s="176">
        <v>12332700</v>
      </c>
      <c r="AO32" s="176">
        <v>12332700</v>
      </c>
      <c r="AP32" s="176">
        <v>12332700</v>
      </c>
      <c r="AQ32" s="176">
        <v>12332700</v>
      </c>
    </row>
    <row r="33" spans="1:43" x14ac:dyDescent="0.15">
      <c r="A33" t="s">
        <v>1335</v>
      </c>
      <c r="B33" s="176">
        <v>130752000</v>
      </c>
      <c r="C33" s="176">
        <v>130752000</v>
      </c>
      <c r="D33" s="176">
        <v>148980000</v>
      </c>
      <c r="E33" s="176">
        <v>123062000</v>
      </c>
      <c r="F33" s="176">
        <v>207290000</v>
      </c>
      <c r="G33" s="176">
        <v>169046000</v>
      </c>
      <c r="H33" s="176">
        <v>172647000</v>
      </c>
      <c r="I33" s="176">
        <v>173815000</v>
      </c>
      <c r="J33" s="176">
        <v>176032000</v>
      </c>
      <c r="K33" s="176">
        <v>179183000</v>
      </c>
      <c r="L33" s="176">
        <v>181007000</v>
      </c>
      <c r="M33" s="176">
        <v>182790000</v>
      </c>
      <c r="N33" s="176">
        <v>184991000</v>
      </c>
      <c r="O33" s="176">
        <v>186017000</v>
      </c>
      <c r="P33" s="176">
        <v>187491000</v>
      </c>
      <c r="Q33" s="176">
        <v>188483000</v>
      </c>
      <c r="R33" s="176">
        <v>188546000</v>
      </c>
      <c r="S33" s="176">
        <v>187249000</v>
      </c>
      <c r="T33" s="176">
        <v>185972000</v>
      </c>
      <c r="U33" s="176">
        <v>186945000</v>
      </c>
      <c r="V33" s="176">
        <v>187903000</v>
      </c>
      <c r="W33" s="176">
        <v>186649000</v>
      </c>
      <c r="X33" s="176">
        <v>188906000</v>
      </c>
      <c r="Y33" s="176">
        <v>190034000</v>
      </c>
      <c r="Z33" s="176">
        <v>190082000</v>
      </c>
      <c r="AA33" s="176">
        <v>190558000</v>
      </c>
      <c r="AB33" s="176">
        <v>191452000</v>
      </c>
      <c r="AC33" s="176">
        <v>192536000</v>
      </c>
      <c r="AD33" s="176">
        <v>193405000</v>
      </c>
      <c r="AE33" s="176">
        <v>193632000</v>
      </c>
      <c r="AF33" s="176">
        <v>193239000</v>
      </c>
      <c r="AG33" s="176">
        <v>194086000</v>
      </c>
      <c r="AH33" s="176">
        <v>195733000</v>
      </c>
      <c r="AI33" s="176">
        <v>196968000</v>
      </c>
      <c r="AJ33" s="176">
        <v>198615000</v>
      </c>
      <c r="AK33" s="176">
        <v>199438000</v>
      </c>
      <c r="AL33" s="176">
        <v>201085000</v>
      </c>
      <c r="AM33" s="176">
        <v>202320000</v>
      </c>
      <c r="AN33" s="176">
        <v>203144000</v>
      </c>
      <c r="AO33" s="176">
        <v>204790000</v>
      </c>
      <c r="AP33" s="176">
        <v>206025000</v>
      </c>
      <c r="AQ33" s="176">
        <v>207672000</v>
      </c>
    </row>
    <row r="34" spans="1:43" x14ac:dyDescent="0.15">
      <c r="A34" t="s">
        <v>1336</v>
      </c>
      <c r="B34" s="176">
        <v>12332700</v>
      </c>
      <c r="C34" s="176">
        <v>12332700</v>
      </c>
      <c r="D34" s="176">
        <v>12332700</v>
      </c>
      <c r="E34" s="176">
        <v>12332700</v>
      </c>
      <c r="F34" s="176">
        <v>12332700</v>
      </c>
      <c r="G34" s="176">
        <v>12332700</v>
      </c>
      <c r="H34" s="176">
        <v>12332700</v>
      </c>
      <c r="I34" s="176">
        <v>12332700</v>
      </c>
      <c r="J34" s="176">
        <v>12332700</v>
      </c>
      <c r="K34" s="176">
        <v>12332700</v>
      </c>
      <c r="L34" s="176">
        <v>12332700</v>
      </c>
      <c r="M34" s="176">
        <v>12332700</v>
      </c>
      <c r="N34" s="176">
        <v>12332700</v>
      </c>
      <c r="O34" s="176">
        <v>12332700</v>
      </c>
      <c r="P34" s="176">
        <v>12332700</v>
      </c>
      <c r="Q34" s="176">
        <v>12332700</v>
      </c>
      <c r="R34" s="176">
        <v>12332700</v>
      </c>
      <c r="S34" s="176">
        <v>12332700</v>
      </c>
      <c r="T34" s="176">
        <v>12332700</v>
      </c>
      <c r="U34" s="176">
        <v>12332700</v>
      </c>
      <c r="V34" s="176">
        <v>12332700</v>
      </c>
      <c r="W34" s="176">
        <v>12332700</v>
      </c>
      <c r="X34" s="176">
        <v>12332700</v>
      </c>
      <c r="Y34" s="176">
        <v>12332700</v>
      </c>
      <c r="Z34" s="176">
        <v>12332700</v>
      </c>
      <c r="AA34" s="176">
        <v>12332700</v>
      </c>
      <c r="AB34" s="176">
        <v>12332700</v>
      </c>
      <c r="AC34" s="176">
        <v>12332700</v>
      </c>
      <c r="AD34" s="176">
        <v>12332700</v>
      </c>
      <c r="AE34" s="176">
        <v>12332700</v>
      </c>
      <c r="AF34" s="176">
        <v>12332700</v>
      </c>
      <c r="AG34" s="176">
        <v>12332700</v>
      </c>
      <c r="AH34" s="176">
        <v>12332700</v>
      </c>
      <c r="AI34" s="176">
        <v>12332700</v>
      </c>
      <c r="AJ34" s="176">
        <v>12332700</v>
      </c>
      <c r="AK34" s="176">
        <v>12332700</v>
      </c>
      <c r="AL34" s="176">
        <v>12332700</v>
      </c>
      <c r="AM34" s="176">
        <v>12332700</v>
      </c>
      <c r="AN34" s="176">
        <v>12332700</v>
      </c>
      <c r="AO34" s="176">
        <v>12332700</v>
      </c>
      <c r="AP34" s="176">
        <v>12332700</v>
      </c>
      <c r="AQ34" s="176">
        <v>12332700</v>
      </c>
    </row>
    <row r="35" spans="1:43" x14ac:dyDescent="0.15">
      <c r="A35" t="s">
        <v>1337</v>
      </c>
      <c r="B35" s="176">
        <v>12332700</v>
      </c>
      <c r="C35" s="176">
        <v>12332700</v>
      </c>
      <c r="D35" s="176">
        <v>12332700</v>
      </c>
      <c r="E35" s="176">
        <v>12332700</v>
      </c>
      <c r="F35" s="176">
        <v>12332700</v>
      </c>
      <c r="G35" s="176">
        <v>12332700</v>
      </c>
      <c r="H35" s="176">
        <v>12332700</v>
      </c>
      <c r="I35" s="176">
        <v>12332700</v>
      </c>
      <c r="J35" s="176">
        <v>12332700</v>
      </c>
      <c r="K35" s="176">
        <v>12332700</v>
      </c>
      <c r="L35" s="176">
        <v>12332700</v>
      </c>
      <c r="M35" s="176">
        <v>12332700</v>
      </c>
      <c r="N35" s="176">
        <v>12332700</v>
      </c>
      <c r="O35" s="176">
        <v>12332700</v>
      </c>
      <c r="P35" s="176">
        <v>12332700</v>
      </c>
      <c r="Q35" s="176">
        <v>12332700</v>
      </c>
      <c r="R35" s="176">
        <v>12332700</v>
      </c>
      <c r="S35" s="176">
        <v>12332700</v>
      </c>
      <c r="T35" s="176">
        <v>12332700</v>
      </c>
      <c r="U35" s="176">
        <v>12332700</v>
      </c>
      <c r="V35" s="176">
        <v>12332700</v>
      </c>
      <c r="W35" s="176">
        <v>12332700</v>
      </c>
      <c r="X35" s="176">
        <v>12332700</v>
      </c>
      <c r="Y35" s="176">
        <v>12332700</v>
      </c>
      <c r="Z35" s="176">
        <v>12332700</v>
      </c>
      <c r="AA35" s="176">
        <v>12332700</v>
      </c>
      <c r="AB35" s="176">
        <v>12332700</v>
      </c>
      <c r="AC35" s="176">
        <v>12332700</v>
      </c>
      <c r="AD35" s="176">
        <v>12332700</v>
      </c>
      <c r="AE35" s="176">
        <v>12332700</v>
      </c>
      <c r="AF35" s="176">
        <v>12332700</v>
      </c>
      <c r="AG35" s="176">
        <v>12332700</v>
      </c>
      <c r="AH35" s="176">
        <v>12332700</v>
      </c>
      <c r="AI35" s="176">
        <v>12332700</v>
      </c>
      <c r="AJ35" s="176">
        <v>12332700</v>
      </c>
      <c r="AK35" s="176">
        <v>12332700</v>
      </c>
      <c r="AL35" s="176">
        <v>12332700</v>
      </c>
      <c r="AM35" s="176">
        <v>12332700</v>
      </c>
      <c r="AN35" s="176">
        <v>12332700</v>
      </c>
      <c r="AO35" s="176">
        <v>12332700</v>
      </c>
      <c r="AP35" s="176">
        <v>12332700</v>
      </c>
      <c r="AQ35" s="176">
        <v>12332700</v>
      </c>
    </row>
    <row r="36" spans="1:43" x14ac:dyDescent="0.15">
      <c r="A36" t="s">
        <v>1338</v>
      </c>
      <c r="B36" s="176">
        <v>221084000</v>
      </c>
      <c r="C36" s="176">
        <v>221084000</v>
      </c>
      <c r="D36" s="176">
        <v>212838000</v>
      </c>
      <c r="E36" s="176">
        <v>176429000</v>
      </c>
      <c r="F36" s="176">
        <v>234859000</v>
      </c>
      <c r="G36" s="176">
        <v>193571000</v>
      </c>
      <c r="H36" s="176">
        <v>187082000</v>
      </c>
      <c r="I36" s="176">
        <v>181328000</v>
      </c>
      <c r="J36" s="176">
        <v>176070000</v>
      </c>
      <c r="K36" s="176">
        <v>171474000</v>
      </c>
      <c r="L36" s="176">
        <v>166811000</v>
      </c>
      <c r="M36" s="176">
        <v>162321000</v>
      </c>
      <c r="N36" s="176">
        <v>157920000</v>
      </c>
      <c r="O36" s="176">
        <v>153709000</v>
      </c>
      <c r="P36" s="176">
        <v>149913000</v>
      </c>
      <c r="Q36" s="176">
        <v>146188000</v>
      </c>
      <c r="R36" s="176">
        <v>142705000</v>
      </c>
      <c r="S36" s="176">
        <v>139350000</v>
      </c>
      <c r="T36" s="176">
        <v>136041000</v>
      </c>
      <c r="U36" s="176">
        <v>133021000</v>
      </c>
      <c r="V36" s="176">
        <v>130258000</v>
      </c>
      <c r="W36" s="176">
        <v>127564000</v>
      </c>
      <c r="X36" s="176">
        <v>125120000</v>
      </c>
      <c r="Y36" s="176">
        <v>122728000</v>
      </c>
      <c r="Z36" s="176">
        <v>120289000</v>
      </c>
      <c r="AA36" s="176">
        <v>118066000</v>
      </c>
      <c r="AB36" s="176">
        <v>116048000</v>
      </c>
      <c r="AC36" s="176">
        <v>114078000</v>
      </c>
      <c r="AD36" s="176">
        <v>112323000</v>
      </c>
      <c r="AE36" s="176">
        <v>110477000</v>
      </c>
      <c r="AF36" s="176">
        <v>108839000</v>
      </c>
      <c r="AG36" s="176">
        <v>107233000</v>
      </c>
      <c r="AH36" s="176">
        <v>106519000</v>
      </c>
      <c r="AI36" s="176">
        <v>105845000</v>
      </c>
      <c r="AJ36" s="176">
        <v>105199000</v>
      </c>
      <c r="AK36" s="176">
        <v>104580000</v>
      </c>
      <c r="AL36" s="176">
        <v>103989000</v>
      </c>
      <c r="AM36" s="176">
        <v>103430000</v>
      </c>
      <c r="AN36" s="176">
        <v>102902000</v>
      </c>
      <c r="AO36" s="176">
        <v>102389000</v>
      </c>
      <c r="AP36" s="176">
        <v>101908000</v>
      </c>
      <c r="AQ36" s="176">
        <v>101442000</v>
      </c>
    </row>
    <row r="37" spans="1:43" x14ac:dyDescent="0.15">
      <c r="A37" t="s">
        <v>1339</v>
      </c>
      <c r="B37" s="176">
        <v>177886000</v>
      </c>
      <c r="C37" s="176">
        <v>177886000</v>
      </c>
      <c r="D37" s="176">
        <v>172847000</v>
      </c>
      <c r="E37" s="176">
        <v>154950000</v>
      </c>
      <c r="F37" s="176">
        <v>149508000</v>
      </c>
      <c r="G37" s="176">
        <v>153269000</v>
      </c>
      <c r="H37" s="176">
        <v>148657000</v>
      </c>
      <c r="I37" s="176">
        <v>144506000</v>
      </c>
      <c r="J37" s="176">
        <v>141920000</v>
      </c>
      <c r="K37" s="176">
        <v>139669000</v>
      </c>
      <c r="L37" s="176">
        <v>137168000</v>
      </c>
      <c r="M37" s="176">
        <v>135723000</v>
      </c>
      <c r="N37" s="176">
        <v>134248000</v>
      </c>
      <c r="O37" s="176">
        <v>133383000</v>
      </c>
      <c r="P37" s="176">
        <v>131366000</v>
      </c>
      <c r="Q37" s="176">
        <v>130144000</v>
      </c>
      <c r="R37" s="176">
        <v>129273000</v>
      </c>
      <c r="S37" s="176">
        <v>128088000</v>
      </c>
      <c r="T37" s="176">
        <v>127095000</v>
      </c>
      <c r="U37" s="176">
        <v>126442000</v>
      </c>
      <c r="V37" s="176">
        <v>126048000</v>
      </c>
      <c r="W37" s="176">
        <v>125448000</v>
      </c>
      <c r="X37" s="176">
        <v>124662000</v>
      </c>
      <c r="Y37" s="176">
        <v>124159000</v>
      </c>
      <c r="Z37" s="176">
        <v>123684000</v>
      </c>
      <c r="AA37" s="176">
        <v>123125000</v>
      </c>
      <c r="AB37" s="176">
        <v>122696000</v>
      </c>
      <c r="AC37" s="176">
        <v>122044000</v>
      </c>
      <c r="AD37" s="176">
        <v>121707000</v>
      </c>
      <c r="AE37" s="176">
        <v>121329000</v>
      </c>
      <c r="AF37" s="176">
        <v>120702000</v>
      </c>
      <c r="AG37" s="176">
        <v>120351000</v>
      </c>
      <c r="AH37" s="176">
        <v>120238000</v>
      </c>
      <c r="AI37" s="176">
        <v>119872000</v>
      </c>
      <c r="AJ37" s="176">
        <v>119773000</v>
      </c>
      <c r="AK37" s="176">
        <v>119656000</v>
      </c>
      <c r="AL37" s="176">
        <v>119332000</v>
      </c>
      <c r="AM37" s="176">
        <v>119249000</v>
      </c>
      <c r="AN37" s="176">
        <v>119147000</v>
      </c>
      <c r="AO37" s="176">
        <v>118836000</v>
      </c>
      <c r="AP37" s="176">
        <v>118742000</v>
      </c>
      <c r="AQ37" s="176">
        <v>118668000</v>
      </c>
    </row>
    <row r="38" spans="1:43" x14ac:dyDescent="0.15">
      <c r="A38" t="s">
        <v>1340</v>
      </c>
      <c r="B38" s="176">
        <v>12332700</v>
      </c>
      <c r="C38" s="176">
        <v>12332700</v>
      </c>
      <c r="D38" s="176">
        <v>12332700</v>
      </c>
      <c r="E38" s="176">
        <v>12332700</v>
      </c>
      <c r="F38" s="176">
        <v>12332700</v>
      </c>
      <c r="G38" s="176">
        <v>12332700</v>
      </c>
      <c r="H38" s="176">
        <v>12332700</v>
      </c>
      <c r="I38" s="176">
        <v>12332700</v>
      </c>
      <c r="J38" s="176">
        <v>12332700</v>
      </c>
      <c r="K38" s="176">
        <v>12332700</v>
      </c>
      <c r="L38" s="176">
        <v>12332700</v>
      </c>
      <c r="M38" s="176">
        <v>12332700</v>
      </c>
      <c r="N38" s="176">
        <v>12332700</v>
      </c>
      <c r="O38" s="176">
        <v>12332700</v>
      </c>
      <c r="P38" s="176">
        <v>12332700</v>
      </c>
      <c r="Q38" s="176">
        <v>12332700</v>
      </c>
      <c r="R38" s="176">
        <v>12332700</v>
      </c>
      <c r="S38" s="176">
        <v>12332700</v>
      </c>
      <c r="T38" s="176">
        <v>12332700</v>
      </c>
      <c r="U38" s="176">
        <v>12332700</v>
      </c>
      <c r="V38" s="176">
        <v>12332700</v>
      </c>
      <c r="W38" s="176">
        <v>12332700</v>
      </c>
      <c r="X38" s="176">
        <v>12332700</v>
      </c>
      <c r="Y38" s="176">
        <v>12332700</v>
      </c>
      <c r="Z38" s="176">
        <v>12332700</v>
      </c>
      <c r="AA38" s="176">
        <v>12332700</v>
      </c>
      <c r="AB38" s="176">
        <v>12332700</v>
      </c>
      <c r="AC38" s="176">
        <v>12332700</v>
      </c>
      <c r="AD38" s="176">
        <v>12332700</v>
      </c>
      <c r="AE38" s="176">
        <v>12332700</v>
      </c>
      <c r="AF38" s="176">
        <v>12332700</v>
      </c>
      <c r="AG38" s="176">
        <v>12332700</v>
      </c>
      <c r="AH38" s="176">
        <v>12332700</v>
      </c>
      <c r="AI38" s="176">
        <v>12332700</v>
      </c>
      <c r="AJ38" s="176">
        <v>12332700</v>
      </c>
      <c r="AK38" s="176">
        <v>12332700</v>
      </c>
      <c r="AL38" s="176">
        <v>12332700</v>
      </c>
      <c r="AM38" s="176">
        <v>12332700</v>
      </c>
      <c r="AN38" s="176">
        <v>12332700</v>
      </c>
      <c r="AO38" s="176">
        <v>12332700</v>
      </c>
      <c r="AP38" s="176">
        <v>12332700</v>
      </c>
      <c r="AQ38" s="176">
        <v>12332700</v>
      </c>
    </row>
    <row r="39" spans="1:43" x14ac:dyDescent="0.15">
      <c r="A39" t="s">
        <v>1341</v>
      </c>
      <c r="B39" s="176">
        <v>12332700</v>
      </c>
      <c r="C39" s="176">
        <v>12332700</v>
      </c>
      <c r="D39" s="176">
        <v>12332700</v>
      </c>
      <c r="E39" s="176">
        <v>12332700</v>
      </c>
      <c r="F39" s="176">
        <v>12332700</v>
      </c>
      <c r="G39" s="176">
        <v>12332700</v>
      </c>
      <c r="H39" s="176">
        <v>12332700</v>
      </c>
      <c r="I39" s="176">
        <v>12332700</v>
      </c>
      <c r="J39" s="176">
        <v>12332700</v>
      </c>
      <c r="K39" s="176">
        <v>12332700</v>
      </c>
      <c r="L39" s="176">
        <v>12332700</v>
      </c>
      <c r="M39" s="176">
        <v>12332700</v>
      </c>
      <c r="N39" s="176">
        <v>12332700</v>
      </c>
      <c r="O39" s="176">
        <v>12332700</v>
      </c>
      <c r="P39" s="176">
        <v>12332700</v>
      </c>
      <c r="Q39" s="176">
        <v>12332700</v>
      </c>
      <c r="R39" s="176">
        <v>12332700</v>
      </c>
      <c r="S39" s="176">
        <v>12332700</v>
      </c>
      <c r="T39" s="176">
        <v>12332700</v>
      </c>
      <c r="U39" s="176">
        <v>12332700</v>
      </c>
      <c r="V39" s="176">
        <v>12332700</v>
      </c>
      <c r="W39" s="176">
        <v>12332700</v>
      </c>
      <c r="X39" s="176">
        <v>12332700</v>
      </c>
      <c r="Y39" s="176">
        <v>12332700</v>
      </c>
      <c r="Z39" s="176">
        <v>12332700</v>
      </c>
      <c r="AA39" s="176">
        <v>12332700</v>
      </c>
      <c r="AB39" s="176">
        <v>12332700</v>
      </c>
      <c r="AC39" s="176">
        <v>12332700</v>
      </c>
      <c r="AD39" s="176">
        <v>12332700</v>
      </c>
      <c r="AE39" s="176">
        <v>12332700</v>
      </c>
      <c r="AF39" s="176">
        <v>12332700</v>
      </c>
      <c r="AG39" s="176">
        <v>12332700</v>
      </c>
      <c r="AH39" s="176">
        <v>12332700</v>
      </c>
      <c r="AI39" s="176">
        <v>12332700</v>
      </c>
      <c r="AJ39" s="176">
        <v>12332700</v>
      </c>
      <c r="AK39" s="176">
        <v>12332700</v>
      </c>
      <c r="AL39" s="176">
        <v>12332700</v>
      </c>
      <c r="AM39" s="176">
        <v>12332700</v>
      </c>
      <c r="AN39" s="176">
        <v>12332700</v>
      </c>
      <c r="AO39" s="176">
        <v>12332700</v>
      </c>
      <c r="AP39" s="176">
        <v>12332700</v>
      </c>
      <c r="AQ39" s="176">
        <v>12332700</v>
      </c>
    </row>
    <row r="40" spans="1:43" x14ac:dyDescent="0.15">
      <c r="A40" t="s">
        <v>1342</v>
      </c>
      <c r="B40" s="176">
        <v>175751000</v>
      </c>
      <c r="C40" s="176">
        <v>175751000</v>
      </c>
      <c r="D40" s="176">
        <v>221353000</v>
      </c>
      <c r="E40" s="176">
        <v>204138000</v>
      </c>
      <c r="F40" s="176">
        <v>213051000</v>
      </c>
      <c r="G40" s="176">
        <v>249856000</v>
      </c>
      <c r="H40" s="176">
        <v>252721000</v>
      </c>
      <c r="I40" s="176">
        <v>254550000</v>
      </c>
      <c r="J40" s="176">
        <v>259726000</v>
      </c>
      <c r="K40" s="176">
        <v>265205000</v>
      </c>
      <c r="L40" s="176">
        <v>268227000</v>
      </c>
      <c r="M40" s="176">
        <v>271552000</v>
      </c>
      <c r="N40" s="176">
        <v>275258000</v>
      </c>
      <c r="O40" s="176">
        <v>277191000</v>
      </c>
      <c r="P40" s="176">
        <v>279947000</v>
      </c>
      <c r="Q40" s="176">
        <v>281817000</v>
      </c>
      <c r="R40" s="176">
        <v>281980000</v>
      </c>
      <c r="S40" s="176">
        <v>279640000</v>
      </c>
      <c r="T40" s="176">
        <v>277335000</v>
      </c>
      <c r="U40" s="176">
        <v>279169000</v>
      </c>
      <c r="V40" s="176">
        <v>280977000</v>
      </c>
      <c r="W40" s="176">
        <v>278712000</v>
      </c>
      <c r="X40" s="176">
        <v>282908000</v>
      </c>
      <c r="Y40" s="176">
        <v>284651000</v>
      </c>
      <c r="Z40" s="176">
        <v>284785000</v>
      </c>
      <c r="AA40" s="176">
        <v>285704000</v>
      </c>
      <c r="AB40" s="176">
        <v>287392000</v>
      </c>
      <c r="AC40" s="176">
        <v>289057000</v>
      </c>
      <c r="AD40" s="176">
        <v>290699000</v>
      </c>
      <c r="AE40" s="176">
        <v>290788000</v>
      </c>
      <c r="AF40" s="176">
        <v>290114000</v>
      </c>
      <c r="AG40" s="176">
        <v>293157000</v>
      </c>
      <c r="AH40" s="176">
        <v>296199000</v>
      </c>
      <c r="AI40" s="176">
        <v>298480000</v>
      </c>
      <c r="AJ40" s="176">
        <v>301522000</v>
      </c>
      <c r="AK40" s="176">
        <v>303043000</v>
      </c>
      <c r="AL40" s="176">
        <v>306086000</v>
      </c>
      <c r="AM40" s="176">
        <v>308367000</v>
      </c>
      <c r="AN40" s="176">
        <v>309888000</v>
      </c>
      <c r="AO40" s="176">
        <v>312930000</v>
      </c>
      <c r="AP40" s="176">
        <v>315212000</v>
      </c>
      <c r="AQ40" s="176">
        <v>318254000</v>
      </c>
    </row>
    <row r="41" spans="1:43" x14ac:dyDescent="0.15">
      <c r="A41" t="s">
        <v>1343</v>
      </c>
      <c r="B41" s="176">
        <v>12332700</v>
      </c>
      <c r="C41" s="176">
        <v>12332700</v>
      </c>
      <c r="D41" s="176">
        <v>12332700</v>
      </c>
      <c r="E41" s="176">
        <v>12332700</v>
      </c>
      <c r="F41" s="176">
        <v>12332700</v>
      </c>
      <c r="G41" s="176">
        <v>12332700</v>
      </c>
      <c r="H41" s="176">
        <v>12332700</v>
      </c>
      <c r="I41" s="176">
        <v>12332700</v>
      </c>
      <c r="J41" s="176">
        <v>12332700</v>
      </c>
      <c r="K41" s="176">
        <v>12332700</v>
      </c>
      <c r="L41" s="176">
        <v>12332700</v>
      </c>
      <c r="M41" s="176">
        <v>12332700</v>
      </c>
      <c r="N41" s="176">
        <v>12332700</v>
      </c>
      <c r="O41" s="176">
        <v>12332700</v>
      </c>
      <c r="P41" s="176">
        <v>12332700</v>
      </c>
      <c r="Q41" s="176">
        <v>12332700</v>
      </c>
      <c r="R41" s="176">
        <v>12332700</v>
      </c>
      <c r="S41" s="176">
        <v>12332700</v>
      </c>
      <c r="T41" s="176">
        <v>12332700</v>
      </c>
      <c r="U41" s="176">
        <v>12332700</v>
      </c>
      <c r="V41" s="176">
        <v>12332700</v>
      </c>
      <c r="W41" s="176">
        <v>12332700</v>
      </c>
      <c r="X41" s="176">
        <v>12332700</v>
      </c>
      <c r="Y41" s="176">
        <v>12332700</v>
      </c>
      <c r="Z41" s="176">
        <v>12332700</v>
      </c>
      <c r="AA41" s="176">
        <v>12332700</v>
      </c>
      <c r="AB41" s="176">
        <v>12332700</v>
      </c>
      <c r="AC41" s="176">
        <v>12332700</v>
      </c>
      <c r="AD41" s="176">
        <v>12332700</v>
      </c>
      <c r="AE41" s="176">
        <v>12332700</v>
      </c>
      <c r="AF41" s="176">
        <v>12332700</v>
      </c>
      <c r="AG41" s="176">
        <v>12332700</v>
      </c>
      <c r="AH41" s="176">
        <v>12332700</v>
      </c>
      <c r="AI41" s="176">
        <v>12332700</v>
      </c>
      <c r="AJ41" s="176">
        <v>12332700</v>
      </c>
      <c r="AK41" s="176">
        <v>12332700</v>
      </c>
      <c r="AL41" s="176">
        <v>12332700</v>
      </c>
      <c r="AM41" s="176">
        <v>12332700</v>
      </c>
      <c r="AN41" s="176">
        <v>12332700</v>
      </c>
      <c r="AO41" s="176">
        <v>12332700</v>
      </c>
      <c r="AP41" s="176">
        <v>12332700</v>
      </c>
      <c r="AQ41" s="176">
        <v>12332700</v>
      </c>
    </row>
    <row r="42" spans="1:43" x14ac:dyDescent="0.15">
      <c r="A42" t="s">
        <v>1344</v>
      </c>
      <c r="B42" s="176">
        <v>12332700</v>
      </c>
      <c r="C42" s="176">
        <v>12332700</v>
      </c>
      <c r="D42" s="176">
        <v>12332700</v>
      </c>
      <c r="E42" s="176">
        <v>12332700</v>
      </c>
      <c r="F42" s="176">
        <v>12332700</v>
      </c>
      <c r="G42" s="176">
        <v>12332700</v>
      </c>
      <c r="H42" s="176">
        <v>12332700</v>
      </c>
      <c r="I42" s="176">
        <v>12332700</v>
      </c>
      <c r="J42" s="176">
        <v>12332700</v>
      </c>
      <c r="K42" s="176">
        <v>12332700</v>
      </c>
      <c r="L42" s="176">
        <v>12332700</v>
      </c>
      <c r="M42" s="176">
        <v>12332700</v>
      </c>
      <c r="N42" s="176">
        <v>12332700</v>
      </c>
      <c r="O42" s="176">
        <v>12332700</v>
      </c>
      <c r="P42" s="176">
        <v>12332700</v>
      </c>
      <c r="Q42" s="176">
        <v>12332700</v>
      </c>
      <c r="R42" s="176">
        <v>12332700</v>
      </c>
      <c r="S42" s="176">
        <v>12332700</v>
      </c>
      <c r="T42" s="176">
        <v>12332700</v>
      </c>
      <c r="U42" s="176">
        <v>12332700</v>
      </c>
      <c r="V42" s="176">
        <v>12332700</v>
      </c>
      <c r="W42" s="176">
        <v>12332700</v>
      </c>
      <c r="X42" s="176">
        <v>12332700</v>
      </c>
      <c r="Y42" s="176">
        <v>12332700</v>
      </c>
      <c r="Z42" s="176">
        <v>12332700</v>
      </c>
      <c r="AA42" s="176">
        <v>12332700</v>
      </c>
      <c r="AB42" s="176">
        <v>12332700</v>
      </c>
      <c r="AC42" s="176">
        <v>12332700</v>
      </c>
      <c r="AD42" s="176">
        <v>12332700</v>
      </c>
      <c r="AE42" s="176">
        <v>12332700</v>
      </c>
      <c r="AF42" s="176">
        <v>12332700</v>
      </c>
      <c r="AG42" s="176">
        <v>12332700</v>
      </c>
      <c r="AH42" s="176">
        <v>12332700</v>
      </c>
      <c r="AI42" s="176">
        <v>12332700</v>
      </c>
      <c r="AJ42" s="176">
        <v>12332700</v>
      </c>
      <c r="AK42" s="176">
        <v>12332700</v>
      </c>
      <c r="AL42" s="176">
        <v>12332700</v>
      </c>
      <c r="AM42" s="176">
        <v>12332700</v>
      </c>
      <c r="AN42" s="176">
        <v>12332700</v>
      </c>
      <c r="AO42" s="176">
        <v>12332700</v>
      </c>
      <c r="AP42" s="176">
        <v>12332700</v>
      </c>
      <c r="AQ42" s="176">
        <v>12332700</v>
      </c>
    </row>
    <row r="43" spans="1:43" x14ac:dyDescent="0.15">
      <c r="A43" t="s">
        <v>1345</v>
      </c>
      <c r="B43" s="176">
        <v>289230000</v>
      </c>
      <c r="C43" s="176">
        <v>289230000</v>
      </c>
      <c r="D43" s="176">
        <v>288958000</v>
      </c>
      <c r="E43" s="176">
        <v>251098000</v>
      </c>
      <c r="F43" s="176">
        <v>239119000</v>
      </c>
      <c r="G43" s="176">
        <v>249888000</v>
      </c>
      <c r="H43" s="176">
        <v>238175000</v>
      </c>
      <c r="I43" s="176">
        <v>229490000</v>
      </c>
      <c r="J43" s="176">
        <v>221750000</v>
      </c>
      <c r="K43" s="176">
        <v>214264000</v>
      </c>
      <c r="L43" s="176">
        <v>207484000</v>
      </c>
      <c r="M43" s="176">
        <v>200700000</v>
      </c>
      <c r="N43" s="176">
        <v>194045000</v>
      </c>
      <c r="O43" s="176">
        <v>188337000</v>
      </c>
      <c r="P43" s="176">
        <v>182618000</v>
      </c>
      <c r="Q43" s="176">
        <v>177004000</v>
      </c>
      <c r="R43" s="176">
        <v>171648000</v>
      </c>
      <c r="S43" s="176">
        <v>166630000</v>
      </c>
      <c r="T43" s="176">
        <v>162005000</v>
      </c>
      <c r="U43" s="176">
        <v>157488000</v>
      </c>
      <c r="V43" s="176">
        <v>153402000</v>
      </c>
      <c r="W43" s="176">
        <v>149396000</v>
      </c>
      <c r="X43" s="176">
        <v>145807000</v>
      </c>
      <c r="Y43" s="176">
        <v>142276000</v>
      </c>
      <c r="Z43" s="176">
        <v>138862000</v>
      </c>
      <c r="AA43" s="176">
        <v>135553000</v>
      </c>
      <c r="AB43" s="176">
        <v>132585000</v>
      </c>
      <c r="AC43" s="176">
        <v>129758000</v>
      </c>
      <c r="AD43" s="176">
        <v>127208000</v>
      </c>
      <c r="AE43" s="176">
        <v>124462000</v>
      </c>
      <c r="AF43" s="176">
        <v>122066000</v>
      </c>
      <c r="AG43" s="176">
        <v>119797000</v>
      </c>
      <c r="AH43" s="176">
        <v>118482000</v>
      </c>
      <c r="AI43" s="176">
        <v>117243000</v>
      </c>
      <c r="AJ43" s="176">
        <v>116054000</v>
      </c>
      <c r="AK43" s="176">
        <v>114915000</v>
      </c>
      <c r="AL43" s="176">
        <v>113828000</v>
      </c>
      <c r="AM43" s="176">
        <v>112798000</v>
      </c>
      <c r="AN43" s="176">
        <v>111827000</v>
      </c>
      <c r="AO43" s="176">
        <v>110884000</v>
      </c>
      <c r="AP43" s="176">
        <v>109998000</v>
      </c>
      <c r="AQ43" s="176">
        <v>109141000</v>
      </c>
    </row>
    <row r="44" spans="1:43" x14ac:dyDescent="0.15">
      <c r="A44" t="s">
        <v>1346</v>
      </c>
      <c r="B44" s="176">
        <v>26915000</v>
      </c>
      <c r="C44" s="176">
        <v>26915000</v>
      </c>
      <c r="D44" s="176">
        <v>26872100</v>
      </c>
      <c r="E44" s="176">
        <v>25922300</v>
      </c>
      <c r="F44" s="176">
        <v>27797200</v>
      </c>
      <c r="G44" s="176">
        <v>27684600</v>
      </c>
      <c r="H44" s="176">
        <v>27544000</v>
      </c>
      <c r="I44" s="176">
        <v>27341400</v>
      </c>
      <c r="J44" s="176">
        <v>27240900</v>
      </c>
      <c r="K44" s="176">
        <v>27174600</v>
      </c>
      <c r="L44" s="176">
        <v>27063000</v>
      </c>
      <c r="M44" s="176">
        <v>27022800</v>
      </c>
      <c r="N44" s="176">
        <v>26967100</v>
      </c>
      <c r="O44" s="176">
        <v>26959800</v>
      </c>
      <c r="P44" s="176">
        <v>26867900</v>
      </c>
      <c r="Q44" s="176">
        <v>26823700</v>
      </c>
      <c r="R44" s="176">
        <v>26802400</v>
      </c>
      <c r="S44" s="176">
        <v>26761100</v>
      </c>
      <c r="T44" s="176">
        <v>26724000</v>
      </c>
      <c r="U44" s="176">
        <v>26710800</v>
      </c>
      <c r="V44" s="176">
        <v>26723200</v>
      </c>
      <c r="W44" s="176">
        <v>26710500</v>
      </c>
      <c r="X44" s="176">
        <v>26680900</v>
      </c>
      <c r="Y44" s="176">
        <v>26672400</v>
      </c>
      <c r="Z44" s="176">
        <v>26664800</v>
      </c>
      <c r="AA44" s="176">
        <v>26655800</v>
      </c>
      <c r="AB44" s="176">
        <v>26649500</v>
      </c>
      <c r="AC44" s="176">
        <v>26623600</v>
      </c>
      <c r="AD44" s="176">
        <v>26616300</v>
      </c>
      <c r="AE44" s="176">
        <v>26611400</v>
      </c>
      <c r="AF44" s="176">
        <v>26584700</v>
      </c>
      <c r="AG44" s="176">
        <v>26580500</v>
      </c>
      <c r="AH44" s="176">
        <v>26576500</v>
      </c>
      <c r="AI44" s="176">
        <v>26550700</v>
      </c>
      <c r="AJ44" s="176">
        <v>26547200</v>
      </c>
      <c r="AK44" s="176">
        <v>26542000</v>
      </c>
      <c r="AL44" s="176">
        <v>26518800</v>
      </c>
      <c r="AM44" s="176">
        <v>26515900</v>
      </c>
      <c r="AN44" s="176">
        <v>26511100</v>
      </c>
      <c r="AO44" s="176">
        <v>26488400</v>
      </c>
      <c r="AP44" s="176">
        <v>26483900</v>
      </c>
      <c r="AQ44" s="176">
        <v>26481000</v>
      </c>
    </row>
    <row r="45" spans="1:43" x14ac:dyDescent="0.15">
      <c r="A45" t="s">
        <v>1347</v>
      </c>
      <c r="B45" s="176">
        <v>28899500</v>
      </c>
      <c r="C45" s="176">
        <v>28899500</v>
      </c>
      <c r="D45" s="176">
        <v>28899500</v>
      </c>
      <c r="E45" s="176">
        <v>28899500</v>
      </c>
      <c r="F45" s="176">
        <v>28899500</v>
      </c>
      <c r="G45" s="176">
        <v>28899500</v>
      </c>
      <c r="H45" s="176">
        <v>28899500</v>
      </c>
      <c r="I45" s="176">
        <v>28899500</v>
      </c>
      <c r="J45" s="176">
        <v>28899500</v>
      </c>
      <c r="K45" s="176">
        <v>28899500</v>
      </c>
      <c r="L45" s="176">
        <v>28899500</v>
      </c>
      <c r="M45" s="176">
        <v>28899500</v>
      </c>
      <c r="N45" s="176">
        <v>28899500</v>
      </c>
      <c r="O45" s="176">
        <v>28899500</v>
      </c>
      <c r="P45" s="176">
        <v>28899500</v>
      </c>
      <c r="Q45" s="176">
        <v>28899500</v>
      </c>
      <c r="R45" s="176">
        <v>28899500</v>
      </c>
      <c r="S45" s="176">
        <v>28899500</v>
      </c>
      <c r="T45" s="176">
        <v>28899500</v>
      </c>
      <c r="U45" s="176">
        <v>28899500</v>
      </c>
      <c r="V45" s="176">
        <v>28899500</v>
      </c>
      <c r="W45" s="176">
        <v>28899500</v>
      </c>
      <c r="X45" s="176">
        <v>28899500</v>
      </c>
      <c r="Y45" s="176">
        <v>28899500</v>
      </c>
      <c r="Z45" s="176">
        <v>28899500</v>
      </c>
      <c r="AA45" s="176">
        <v>28899500</v>
      </c>
      <c r="AB45" s="176">
        <v>28899500</v>
      </c>
      <c r="AC45" s="176">
        <v>28899500</v>
      </c>
      <c r="AD45" s="176">
        <v>28899500</v>
      </c>
      <c r="AE45" s="176">
        <v>28899500</v>
      </c>
      <c r="AF45" s="176">
        <v>28899500</v>
      </c>
      <c r="AG45" s="176">
        <v>28899500</v>
      </c>
      <c r="AH45" s="176">
        <v>28899500</v>
      </c>
      <c r="AI45" s="176">
        <v>28899500</v>
      </c>
      <c r="AJ45" s="176">
        <v>28899500</v>
      </c>
      <c r="AK45" s="176">
        <v>28899500</v>
      </c>
      <c r="AL45" s="176">
        <v>28899500</v>
      </c>
      <c r="AM45" s="176">
        <v>28899500</v>
      </c>
      <c r="AN45" s="176">
        <v>28899500</v>
      </c>
      <c r="AO45" s="176">
        <v>28899500</v>
      </c>
      <c r="AP45" s="176">
        <v>28899500</v>
      </c>
      <c r="AQ45" s="176">
        <v>28899500</v>
      </c>
    </row>
    <row r="46" spans="1:43" x14ac:dyDescent="0.15">
      <c r="A46" t="s">
        <v>1348</v>
      </c>
      <c r="B46" s="176">
        <v>28899500</v>
      </c>
      <c r="C46" s="176">
        <v>28899500</v>
      </c>
      <c r="D46" s="176">
        <v>28899500</v>
      </c>
      <c r="E46" s="176">
        <v>28899500</v>
      </c>
      <c r="F46" s="176">
        <v>28899500</v>
      </c>
      <c r="G46" s="176">
        <v>28899500</v>
      </c>
      <c r="H46" s="176">
        <v>28899500</v>
      </c>
      <c r="I46" s="176">
        <v>28899500</v>
      </c>
      <c r="J46" s="176">
        <v>28899500</v>
      </c>
      <c r="K46" s="176">
        <v>28899500</v>
      </c>
      <c r="L46" s="176">
        <v>28899500</v>
      </c>
      <c r="M46" s="176">
        <v>28899500</v>
      </c>
      <c r="N46" s="176">
        <v>28899500</v>
      </c>
      <c r="O46" s="176">
        <v>28899500</v>
      </c>
      <c r="P46" s="176">
        <v>28899500</v>
      </c>
      <c r="Q46" s="176">
        <v>28899500</v>
      </c>
      <c r="R46" s="176">
        <v>28899500</v>
      </c>
      <c r="S46" s="176">
        <v>28899500</v>
      </c>
      <c r="T46" s="176">
        <v>28899500</v>
      </c>
      <c r="U46" s="176">
        <v>28899500</v>
      </c>
      <c r="V46" s="176">
        <v>28899500</v>
      </c>
      <c r="W46" s="176">
        <v>28899500</v>
      </c>
      <c r="X46" s="176">
        <v>28899500</v>
      </c>
      <c r="Y46" s="176">
        <v>28899500</v>
      </c>
      <c r="Z46" s="176">
        <v>28899500</v>
      </c>
      <c r="AA46" s="176">
        <v>28899500</v>
      </c>
      <c r="AB46" s="176">
        <v>28899500</v>
      </c>
      <c r="AC46" s="176">
        <v>28899500</v>
      </c>
      <c r="AD46" s="176">
        <v>28899500</v>
      </c>
      <c r="AE46" s="176">
        <v>28899500</v>
      </c>
      <c r="AF46" s="176">
        <v>28899500</v>
      </c>
      <c r="AG46" s="176">
        <v>28899500</v>
      </c>
      <c r="AH46" s="176">
        <v>28899500</v>
      </c>
      <c r="AI46" s="176">
        <v>28899500</v>
      </c>
      <c r="AJ46" s="176">
        <v>28899500</v>
      </c>
      <c r="AK46" s="176">
        <v>28899500</v>
      </c>
      <c r="AL46" s="176">
        <v>28899500</v>
      </c>
      <c r="AM46" s="176">
        <v>28899500</v>
      </c>
      <c r="AN46" s="176">
        <v>28899500</v>
      </c>
      <c r="AO46" s="176">
        <v>28899500</v>
      </c>
      <c r="AP46" s="176">
        <v>28899500</v>
      </c>
      <c r="AQ46" s="176">
        <v>28899500</v>
      </c>
    </row>
    <row r="47" spans="1:43" x14ac:dyDescent="0.15">
      <c r="A47" t="s">
        <v>1349</v>
      </c>
      <c r="B47" s="176">
        <v>37710400</v>
      </c>
      <c r="C47" s="176">
        <v>37710400</v>
      </c>
      <c r="D47" s="176">
        <v>39930500</v>
      </c>
      <c r="E47" s="176">
        <v>37229400</v>
      </c>
      <c r="F47" s="176">
        <v>45529900</v>
      </c>
      <c r="G47" s="176">
        <v>47396000</v>
      </c>
      <c r="H47" s="176">
        <v>47782200</v>
      </c>
      <c r="I47" s="176">
        <v>48084700</v>
      </c>
      <c r="J47" s="176">
        <v>48322100</v>
      </c>
      <c r="K47" s="176">
        <v>49012500</v>
      </c>
      <c r="L47" s="176">
        <v>49393200</v>
      </c>
      <c r="M47" s="176">
        <v>49696500</v>
      </c>
      <c r="N47" s="176">
        <v>50567700</v>
      </c>
      <c r="O47" s="176">
        <v>50825800</v>
      </c>
      <c r="P47" s="176">
        <v>51212900</v>
      </c>
      <c r="Q47" s="176">
        <v>51406500</v>
      </c>
      <c r="R47" s="176">
        <v>51600100</v>
      </c>
      <c r="S47" s="176">
        <v>51342000</v>
      </c>
      <c r="T47" s="176">
        <v>51277500</v>
      </c>
      <c r="U47" s="176">
        <v>51600100</v>
      </c>
      <c r="V47" s="176">
        <v>51793700</v>
      </c>
      <c r="W47" s="176">
        <v>51664600</v>
      </c>
      <c r="X47" s="176">
        <v>52116300</v>
      </c>
      <c r="Y47" s="176">
        <v>52300100</v>
      </c>
      <c r="Z47" s="176">
        <v>52429500</v>
      </c>
      <c r="AA47" s="176">
        <v>52623500</v>
      </c>
      <c r="AB47" s="176">
        <v>52817600</v>
      </c>
      <c r="AC47" s="176">
        <v>53141100</v>
      </c>
      <c r="AD47" s="176">
        <v>53335200</v>
      </c>
      <c r="AE47" s="176">
        <v>53587400</v>
      </c>
      <c r="AF47" s="176">
        <v>53652300</v>
      </c>
      <c r="AG47" s="176">
        <v>53846900</v>
      </c>
      <c r="AH47" s="176">
        <v>54171200</v>
      </c>
      <c r="AI47" s="176">
        <v>54300900</v>
      </c>
      <c r="AJ47" s="176">
        <v>54560400</v>
      </c>
      <c r="AK47" s="176">
        <v>54755000</v>
      </c>
      <c r="AL47" s="176">
        <v>54949600</v>
      </c>
      <c r="AM47" s="176">
        <v>55079300</v>
      </c>
      <c r="AN47" s="176">
        <v>55273900</v>
      </c>
      <c r="AO47" s="176">
        <v>55468500</v>
      </c>
      <c r="AP47" s="176">
        <v>55663100</v>
      </c>
      <c r="AQ47" s="176">
        <v>55857700</v>
      </c>
    </row>
    <row r="48" spans="1:43" x14ac:dyDescent="0.15">
      <c r="A48" t="s">
        <v>1350</v>
      </c>
      <c r="B48" s="176">
        <v>28899500</v>
      </c>
      <c r="C48" s="176">
        <v>28899500</v>
      </c>
      <c r="D48" s="176">
        <v>28899500</v>
      </c>
      <c r="E48" s="176">
        <v>28899500</v>
      </c>
      <c r="F48" s="176">
        <v>28899500</v>
      </c>
      <c r="G48" s="176">
        <v>28899500</v>
      </c>
      <c r="H48" s="176">
        <v>28899500</v>
      </c>
      <c r="I48" s="176">
        <v>28899500</v>
      </c>
      <c r="J48" s="176">
        <v>28899500</v>
      </c>
      <c r="K48" s="176">
        <v>28899500</v>
      </c>
      <c r="L48" s="176">
        <v>28899500</v>
      </c>
      <c r="M48" s="176">
        <v>28899500</v>
      </c>
      <c r="N48" s="176">
        <v>28899500</v>
      </c>
      <c r="O48" s="176">
        <v>28899500</v>
      </c>
      <c r="P48" s="176">
        <v>28899500</v>
      </c>
      <c r="Q48" s="176">
        <v>28899500</v>
      </c>
      <c r="R48" s="176">
        <v>28899500</v>
      </c>
      <c r="S48" s="176">
        <v>28899500</v>
      </c>
      <c r="T48" s="176">
        <v>28899500</v>
      </c>
      <c r="U48" s="176">
        <v>28899500</v>
      </c>
      <c r="V48" s="176">
        <v>28899500</v>
      </c>
      <c r="W48" s="176">
        <v>28899500</v>
      </c>
      <c r="X48" s="176">
        <v>28899500</v>
      </c>
      <c r="Y48" s="176">
        <v>28899500</v>
      </c>
      <c r="Z48" s="176">
        <v>28899500</v>
      </c>
      <c r="AA48" s="176">
        <v>28899500</v>
      </c>
      <c r="AB48" s="176">
        <v>28899500</v>
      </c>
      <c r="AC48" s="176">
        <v>28899500</v>
      </c>
      <c r="AD48" s="176">
        <v>28899500</v>
      </c>
      <c r="AE48" s="176">
        <v>28899500</v>
      </c>
      <c r="AF48" s="176">
        <v>28899500</v>
      </c>
      <c r="AG48" s="176">
        <v>28899500</v>
      </c>
      <c r="AH48" s="176">
        <v>28899500</v>
      </c>
      <c r="AI48" s="176">
        <v>28899500</v>
      </c>
      <c r="AJ48" s="176">
        <v>28899500</v>
      </c>
      <c r="AK48" s="176">
        <v>28899500</v>
      </c>
      <c r="AL48" s="176">
        <v>28899500</v>
      </c>
      <c r="AM48" s="176">
        <v>28899500</v>
      </c>
      <c r="AN48" s="176">
        <v>28899500</v>
      </c>
      <c r="AO48" s="176">
        <v>28899500</v>
      </c>
      <c r="AP48" s="176">
        <v>28899500</v>
      </c>
      <c r="AQ48" s="176">
        <v>28899500</v>
      </c>
    </row>
    <row r="49" spans="1:43" x14ac:dyDescent="0.15">
      <c r="A49" t="s">
        <v>1351</v>
      </c>
      <c r="B49" s="176">
        <v>28899500</v>
      </c>
      <c r="C49" s="176">
        <v>28899500</v>
      </c>
      <c r="D49" s="176">
        <v>28899500</v>
      </c>
      <c r="E49" s="176">
        <v>28899500</v>
      </c>
      <c r="F49" s="176">
        <v>28899500</v>
      </c>
      <c r="G49" s="176">
        <v>28899500</v>
      </c>
      <c r="H49" s="176">
        <v>28899500</v>
      </c>
      <c r="I49" s="176">
        <v>28899500</v>
      </c>
      <c r="J49" s="176">
        <v>28899500</v>
      </c>
      <c r="K49" s="176">
        <v>28899500</v>
      </c>
      <c r="L49" s="176">
        <v>28899500</v>
      </c>
      <c r="M49" s="176">
        <v>28899500</v>
      </c>
      <c r="N49" s="176">
        <v>28899500</v>
      </c>
      <c r="O49" s="176">
        <v>28899500</v>
      </c>
      <c r="P49" s="176">
        <v>28899500</v>
      </c>
      <c r="Q49" s="176">
        <v>28899500</v>
      </c>
      <c r="R49" s="176">
        <v>28899500</v>
      </c>
      <c r="S49" s="176">
        <v>28899500</v>
      </c>
      <c r="T49" s="176">
        <v>28899500</v>
      </c>
      <c r="U49" s="176">
        <v>28899500</v>
      </c>
      <c r="V49" s="176">
        <v>28899500</v>
      </c>
      <c r="W49" s="176">
        <v>28899500</v>
      </c>
      <c r="X49" s="176">
        <v>28899500</v>
      </c>
      <c r="Y49" s="176">
        <v>28899500</v>
      </c>
      <c r="Z49" s="176">
        <v>28899500</v>
      </c>
      <c r="AA49" s="176">
        <v>28899500</v>
      </c>
      <c r="AB49" s="176">
        <v>28899500</v>
      </c>
      <c r="AC49" s="176">
        <v>28899500</v>
      </c>
      <c r="AD49" s="176">
        <v>28899500</v>
      </c>
      <c r="AE49" s="176">
        <v>28899500</v>
      </c>
      <c r="AF49" s="176">
        <v>28899500</v>
      </c>
      <c r="AG49" s="176">
        <v>28899500</v>
      </c>
      <c r="AH49" s="176">
        <v>28899500</v>
      </c>
      <c r="AI49" s="176">
        <v>28899500</v>
      </c>
      <c r="AJ49" s="176">
        <v>28899500</v>
      </c>
      <c r="AK49" s="176">
        <v>28899500</v>
      </c>
      <c r="AL49" s="176">
        <v>28899500</v>
      </c>
      <c r="AM49" s="176">
        <v>28899500</v>
      </c>
      <c r="AN49" s="176">
        <v>28899500</v>
      </c>
      <c r="AO49" s="176">
        <v>28899500</v>
      </c>
      <c r="AP49" s="176">
        <v>28899500</v>
      </c>
      <c r="AQ49" s="176">
        <v>28899500</v>
      </c>
    </row>
    <row r="50" spans="1:43" x14ac:dyDescent="0.15">
      <c r="A50" t="s">
        <v>1352</v>
      </c>
      <c r="B50" s="176">
        <v>29139700</v>
      </c>
      <c r="C50" s="176">
        <v>29139700</v>
      </c>
      <c r="D50" s="176">
        <v>29496100</v>
      </c>
      <c r="E50" s="176">
        <v>27439100</v>
      </c>
      <c r="F50" s="176">
        <v>31864400</v>
      </c>
      <c r="G50" s="176">
        <v>31655700</v>
      </c>
      <c r="H50" s="176">
        <v>31207700</v>
      </c>
      <c r="I50" s="176">
        <v>30768700</v>
      </c>
      <c r="J50" s="176">
        <v>30357300</v>
      </c>
      <c r="K50" s="176">
        <v>29973700</v>
      </c>
      <c r="L50" s="176">
        <v>29613600</v>
      </c>
      <c r="M50" s="176">
        <v>29260100</v>
      </c>
      <c r="N50" s="176">
        <v>28907700</v>
      </c>
      <c r="O50" s="176">
        <v>28600700</v>
      </c>
      <c r="P50" s="176">
        <v>28299500</v>
      </c>
      <c r="Q50" s="176">
        <v>27999300</v>
      </c>
      <c r="R50" s="176">
        <v>27723700</v>
      </c>
      <c r="S50" s="176">
        <v>27452100</v>
      </c>
      <c r="T50" s="176">
        <v>27203500</v>
      </c>
      <c r="U50" s="176">
        <v>26956100</v>
      </c>
      <c r="V50" s="176">
        <v>26735800</v>
      </c>
      <c r="W50" s="176">
        <v>26514800</v>
      </c>
      <c r="X50" s="176">
        <v>26320700</v>
      </c>
      <c r="Y50" s="176">
        <v>26125600</v>
      </c>
      <c r="Z50" s="176">
        <v>25933800</v>
      </c>
      <c r="AA50" s="176">
        <v>25745200</v>
      </c>
      <c r="AB50" s="176">
        <v>25579100</v>
      </c>
      <c r="AC50" s="176">
        <v>25413700</v>
      </c>
      <c r="AD50" s="176">
        <v>25273100</v>
      </c>
      <c r="AE50" s="176">
        <v>25111700</v>
      </c>
      <c r="AF50" s="176">
        <v>24974900</v>
      </c>
      <c r="AG50" s="176">
        <v>24862700</v>
      </c>
      <c r="AH50" s="176">
        <v>24749800</v>
      </c>
      <c r="AI50" s="176">
        <v>24643300</v>
      </c>
      <c r="AJ50" s="176">
        <v>24541300</v>
      </c>
      <c r="AK50" s="176">
        <v>24443600</v>
      </c>
      <c r="AL50" s="176">
        <v>24350200</v>
      </c>
      <c r="AM50" s="176">
        <v>24261800</v>
      </c>
      <c r="AN50" s="176">
        <v>24178400</v>
      </c>
      <c r="AO50" s="176">
        <v>24097400</v>
      </c>
      <c r="AP50" s="176">
        <v>24021400</v>
      </c>
      <c r="AQ50" s="176">
        <v>23947800</v>
      </c>
    </row>
    <row r="51" spans="1:43" x14ac:dyDescent="0.15">
      <c r="A51" t="s">
        <v>1353</v>
      </c>
      <c r="B51" s="176">
        <v>24628900</v>
      </c>
      <c r="C51" s="176">
        <v>24628900</v>
      </c>
      <c r="D51" s="176">
        <v>24305200</v>
      </c>
      <c r="E51" s="176">
        <v>24096100</v>
      </c>
      <c r="F51" s="176">
        <v>23945700</v>
      </c>
      <c r="G51" s="176">
        <v>23828100</v>
      </c>
      <c r="H51" s="176">
        <v>23737500</v>
      </c>
      <c r="I51" s="176">
        <v>23658000</v>
      </c>
      <c r="J51" s="176">
        <v>23589600</v>
      </c>
      <c r="K51" s="176">
        <v>23529700</v>
      </c>
      <c r="L51" s="176">
        <v>23477000</v>
      </c>
      <c r="M51" s="176">
        <v>23430900</v>
      </c>
      <c r="N51" s="176">
        <v>23390300</v>
      </c>
      <c r="O51" s="176">
        <v>23354900</v>
      </c>
      <c r="P51" s="176">
        <v>23323500</v>
      </c>
      <c r="Q51" s="176">
        <v>23296500</v>
      </c>
      <c r="R51" s="176">
        <v>23273100</v>
      </c>
      <c r="S51" s="176">
        <v>23252400</v>
      </c>
      <c r="T51" s="176">
        <v>23233900</v>
      </c>
      <c r="U51" s="176">
        <v>23217900</v>
      </c>
      <c r="V51" s="176">
        <v>23203700</v>
      </c>
      <c r="W51" s="176">
        <v>23190700</v>
      </c>
      <c r="X51" s="176">
        <v>23179100</v>
      </c>
      <c r="Y51" s="176">
        <v>23168700</v>
      </c>
      <c r="Z51" s="176">
        <v>23159200</v>
      </c>
      <c r="AA51" s="176">
        <v>23150700</v>
      </c>
      <c r="AB51" s="176">
        <v>23142900</v>
      </c>
      <c r="AC51" s="176">
        <v>23135500</v>
      </c>
      <c r="AD51" s="176">
        <v>23128900</v>
      </c>
      <c r="AE51" s="176">
        <v>23123000</v>
      </c>
      <c r="AF51" s="176">
        <v>23117200</v>
      </c>
      <c r="AG51" s="176">
        <v>23111900</v>
      </c>
      <c r="AH51" s="176">
        <v>23107200</v>
      </c>
      <c r="AI51" s="176">
        <v>23102600</v>
      </c>
      <c r="AJ51" s="176">
        <v>23098400</v>
      </c>
      <c r="AK51" s="176">
        <v>23094500</v>
      </c>
      <c r="AL51" s="176">
        <v>23090700</v>
      </c>
      <c r="AM51" s="176">
        <v>23087200</v>
      </c>
      <c r="AN51" s="176">
        <v>23083900</v>
      </c>
      <c r="AO51" s="176">
        <v>23080600</v>
      </c>
      <c r="AP51" s="176">
        <v>23077600</v>
      </c>
      <c r="AQ51" s="176">
        <v>23074800</v>
      </c>
    </row>
    <row r="52" spans="1:43" x14ac:dyDescent="0.15">
      <c r="A52" t="s">
        <v>1354</v>
      </c>
      <c r="B52" s="176">
        <v>27546600</v>
      </c>
      <c r="C52" s="176">
        <v>27546600</v>
      </c>
      <c r="D52" s="176">
        <v>27546600</v>
      </c>
      <c r="E52" s="176">
        <v>27546600</v>
      </c>
      <c r="F52" s="176">
        <v>27546600</v>
      </c>
      <c r="G52" s="176">
        <v>27546600</v>
      </c>
      <c r="H52" s="176">
        <v>27546600</v>
      </c>
      <c r="I52" s="176">
        <v>27546600</v>
      </c>
      <c r="J52" s="176">
        <v>27546600</v>
      </c>
      <c r="K52" s="176">
        <v>27546600</v>
      </c>
      <c r="L52" s="176">
        <v>27546600</v>
      </c>
      <c r="M52" s="176">
        <v>27546600</v>
      </c>
      <c r="N52" s="176">
        <v>27546600</v>
      </c>
      <c r="O52" s="176">
        <v>27546600</v>
      </c>
      <c r="P52" s="176">
        <v>27546600</v>
      </c>
      <c r="Q52" s="176">
        <v>27546600</v>
      </c>
      <c r="R52" s="176">
        <v>27546600</v>
      </c>
      <c r="S52" s="176">
        <v>27546600</v>
      </c>
      <c r="T52" s="176">
        <v>27546600</v>
      </c>
      <c r="U52" s="176">
        <v>27546600</v>
      </c>
      <c r="V52" s="176">
        <v>27546600</v>
      </c>
      <c r="W52" s="176">
        <v>27546600</v>
      </c>
      <c r="X52" s="176">
        <v>27546600</v>
      </c>
      <c r="Y52" s="176">
        <v>27546600</v>
      </c>
      <c r="Z52" s="176">
        <v>27546600</v>
      </c>
      <c r="AA52" s="176">
        <v>27546600</v>
      </c>
      <c r="AB52" s="176">
        <v>27546600</v>
      </c>
      <c r="AC52" s="176">
        <v>27546600</v>
      </c>
      <c r="AD52" s="176">
        <v>27546600</v>
      </c>
      <c r="AE52" s="176">
        <v>27546600</v>
      </c>
      <c r="AF52" s="176">
        <v>27546600</v>
      </c>
      <c r="AG52" s="176">
        <v>27546600</v>
      </c>
      <c r="AH52" s="176">
        <v>27546600</v>
      </c>
      <c r="AI52" s="176">
        <v>27546600</v>
      </c>
      <c r="AJ52" s="176">
        <v>27546600</v>
      </c>
      <c r="AK52" s="176">
        <v>27546600</v>
      </c>
      <c r="AL52" s="176">
        <v>27546600</v>
      </c>
      <c r="AM52" s="176">
        <v>27546600</v>
      </c>
      <c r="AN52" s="176">
        <v>27546600</v>
      </c>
      <c r="AO52" s="176">
        <v>27546600</v>
      </c>
      <c r="AP52" s="176">
        <v>27546600</v>
      </c>
      <c r="AQ52" s="176">
        <v>27546600</v>
      </c>
    </row>
    <row r="53" spans="1:43" x14ac:dyDescent="0.15">
      <c r="A53" t="s">
        <v>1355</v>
      </c>
      <c r="B53" s="176">
        <v>27546600</v>
      </c>
      <c r="C53" s="176">
        <v>27546600</v>
      </c>
      <c r="D53" s="176">
        <v>27546600</v>
      </c>
      <c r="E53" s="176">
        <v>27546600</v>
      </c>
      <c r="F53" s="176">
        <v>27546600</v>
      </c>
      <c r="G53" s="176">
        <v>27546600</v>
      </c>
      <c r="H53" s="176">
        <v>27546600</v>
      </c>
      <c r="I53" s="176">
        <v>27546600</v>
      </c>
      <c r="J53" s="176">
        <v>27546600</v>
      </c>
      <c r="K53" s="176">
        <v>27546600</v>
      </c>
      <c r="L53" s="176">
        <v>27546600</v>
      </c>
      <c r="M53" s="176">
        <v>27546600</v>
      </c>
      <c r="N53" s="176">
        <v>27546600</v>
      </c>
      <c r="O53" s="176">
        <v>27546600</v>
      </c>
      <c r="P53" s="176">
        <v>27546600</v>
      </c>
      <c r="Q53" s="176">
        <v>27546600</v>
      </c>
      <c r="R53" s="176">
        <v>27546600</v>
      </c>
      <c r="S53" s="176">
        <v>27546600</v>
      </c>
      <c r="T53" s="176">
        <v>27546600</v>
      </c>
      <c r="U53" s="176">
        <v>27546600</v>
      </c>
      <c r="V53" s="176">
        <v>27546600</v>
      </c>
      <c r="W53" s="176">
        <v>27546600</v>
      </c>
      <c r="X53" s="176">
        <v>27546600</v>
      </c>
      <c r="Y53" s="176">
        <v>27546600</v>
      </c>
      <c r="Z53" s="176">
        <v>27546600</v>
      </c>
      <c r="AA53" s="176">
        <v>27546600</v>
      </c>
      <c r="AB53" s="176">
        <v>27546600</v>
      </c>
      <c r="AC53" s="176">
        <v>27546600</v>
      </c>
      <c r="AD53" s="176">
        <v>27546600</v>
      </c>
      <c r="AE53" s="176">
        <v>27546600</v>
      </c>
      <c r="AF53" s="176">
        <v>27546600</v>
      </c>
      <c r="AG53" s="176">
        <v>27546600</v>
      </c>
      <c r="AH53" s="176">
        <v>27546600</v>
      </c>
      <c r="AI53" s="176">
        <v>27546600</v>
      </c>
      <c r="AJ53" s="176">
        <v>27546600</v>
      </c>
      <c r="AK53" s="176">
        <v>27546600</v>
      </c>
      <c r="AL53" s="176">
        <v>27546600</v>
      </c>
      <c r="AM53" s="176">
        <v>27546600</v>
      </c>
      <c r="AN53" s="176">
        <v>27546600</v>
      </c>
      <c r="AO53" s="176">
        <v>27546600</v>
      </c>
      <c r="AP53" s="176">
        <v>27546600</v>
      </c>
      <c r="AQ53" s="176">
        <v>27546600</v>
      </c>
    </row>
    <row r="54" spans="1:43" x14ac:dyDescent="0.15">
      <c r="A54" t="s">
        <v>1356</v>
      </c>
      <c r="B54" s="176">
        <v>30364700</v>
      </c>
      <c r="C54" s="176">
        <v>30364700</v>
      </c>
      <c r="D54" s="176">
        <v>30390900</v>
      </c>
      <c r="E54" s="176">
        <v>30396300</v>
      </c>
      <c r="F54" s="176">
        <v>30406300</v>
      </c>
      <c r="G54" s="176">
        <v>30415700</v>
      </c>
      <c r="H54" s="176">
        <v>30418800</v>
      </c>
      <c r="I54" s="176">
        <v>30420600</v>
      </c>
      <c r="J54" s="176">
        <v>30421600</v>
      </c>
      <c r="K54" s="176">
        <v>30427900</v>
      </c>
      <c r="L54" s="176">
        <v>30430300</v>
      </c>
      <c r="M54" s="176">
        <v>30432400</v>
      </c>
      <c r="N54" s="176">
        <v>30439800</v>
      </c>
      <c r="O54" s="176">
        <v>30441400</v>
      </c>
      <c r="P54" s="176">
        <v>30443700</v>
      </c>
      <c r="Q54" s="176">
        <v>30444600</v>
      </c>
      <c r="R54" s="176">
        <v>30445500</v>
      </c>
      <c r="S54" s="176">
        <v>30441300</v>
      </c>
      <c r="T54" s="176">
        <v>30439700</v>
      </c>
      <c r="U54" s="176">
        <v>30441300</v>
      </c>
      <c r="V54" s="176">
        <v>30441700</v>
      </c>
      <c r="W54" s="176">
        <v>30439400</v>
      </c>
      <c r="X54" s="176">
        <v>30442300</v>
      </c>
      <c r="Y54" s="176">
        <v>30442500</v>
      </c>
      <c r="Z54" s="176">
        <v>30442200</v>
      </c>
      <c r="AA54" s="176">
        <v>30442600</v>
      </c>
      <c r="AB54" s="176">
        <v>30443400</v>
      </c>
      <c r="AC54" s="176">
        <v>30444900</v>
      </c>
      <c r="AD54" s="176">
        <v>30445700</v>
      </c>
      <c r="AE54" s="176">
        <v>30446000</v>
      </c>
      <c r="AF54" s="176">
        <v>30445200</v>
      </c>
      <c r="AG54" s="176">
        <v>30445500</v>
      </c>
      <c r="AH54" s="176">
        <v>30448400</v>
      </c>
      <c r="AI54" s="176">
        <v>30449600</v>
      </c>
      <c r="AJ54" s="176">
        <v>30451900</v>
      </c>
      <c r="AK54" s="176">
        <v>30453700</v>
      </c>
      <c r="AL54" s="176">
        <v>30455400</v>
      </c>
      <c r="AM54" s="176">
        <v>30456600</v>
      </c>
      <c r="AN54" s="176">
        <v>30458400</v>
      </c>
      <c r="AO54" s="176">
        <v>30460100</v>
      </c>
      <c r="AP54" s="176">
        <v>30461900</v>
      </c>
      <c r="AQ54" s="176">
        <v>30463600</v>
      </c>
    </row>
    <row r="55" spans="1:43" x14ac:dyDescent="0.15">
      <c r="A55" t="s">
        <v>1357</v>
      </c>
      <c r="B55" s="176">
        <v>27546600</v>
      </c>
      <c r="C55" s="176">
        <v>27546600</v>
      </c>
      <c r="D55" s="176">
        <v>27546600</v>
      </c>
      <c r="E55" s="176">
        <v>27546600</v>
      </c>
      <c r="F55" s="176">
        <v>27546600</v>
      </c>
      <c r="G55" s="176">
        <v>27546600</v>
      </c>
      <c r="H55" s="176">
        <v>27546600</v>
      </c>
      <c r="I55" s="176">
        <v>27546600</v>
      </c>
      <c r="J55" s="176">
        <v>27546600</v>
      </c>
      <c r="K55" s="176">
        <v>27546600</v>
      </c>
      <c r="L55" s="176">
        <v>27546600</v>
      </c>
      <c r="M55" s="176">
        <v>27546600</v>
      </c>
      <c r="N55" s="176">
        <v>27546600</v>
      </c>
      <c r="O55" s="176">
        <v>27546600</v>
      </c>
      <c r="P55" s="176">
        <v>27546600</v>
      </c>
      <c r="Q55" s="176">
        <v>27546600</v>
      </c>
      <c r="R55" s="176">
        <v>27546600</v>
      </c>
      <c r="S55" s="176">
        <v>27546600</v>
      </c>
      <c r="T55" s="176">
        <v>27546600</v>
      </c>
      <c r="U55" s="176">
        <v>27546600</v>
      </c>
      <c r="V55" s="176">
        <v>27546600</v>
      </c>
      <c r="W55" s="176">
        <v>27546600</v>
      </c>
      <c r="X55" s="176">
        <v>27546600</v>
      </c>
      <c r="Y55" s="176">
        <v>27546600</v>
      </c>
      <c r="Z55" s="176">
        <v>27546600</v>
      </c>
      <c r="AA55" s="176">
        <v>27546600</v>
      </c>
      <c r="AB55" s="176">
        <v>27546600</v>
      </c>
      <c r="AC55" s="176">
        <v>27546600</v>
      </c>
      <c r="AD55" s="176">
        <v>27546600</v>
      </c>
      <c r="AE55" s="176">
        <v>27546600</v>
      </c>
      <c r="AF55" s="176">
        <v>27546600</v>
      </c>
      <c r="AG55" s="176">
        <v>27546600</v>
      </c>
      <c r="AH55" s="176">
        <v>27546600</v>
      </c>
      <c r="AI55" s="176">
        <v>27546600</v>
      </c>
      <c r="AJ55" s="176">
        <v>27546600</v>
      </c>
      <c r="AK55" s="176">
        <v>27546600</v>
      </c>
      <c r="AL55" s="176">
        <v>27546600</v>
      </c>
      <c r="AM55" s="176">
        <v>27546600</v>
      </c>
      <c r="AN55" s="176">
        <v>27546600</v>
      </c>
      <c r="AO55" s="176">
        <v>27546600</v>
      </c>
      <c r="AP55" s="176">
        <v>27546600</v>
      </c>
      <c r="AQ55" s="176">
        <v>27546600</v>
      </c>
    </row>
    <row r="56" spans="1:43" x14ac:dyDescent="0.15">
      <c r="A56" t="s">
        <v>1358</v>
      </c>
      <c r="B56" s="176">
        <v>27546600</v>
      </c>
      <c r="C56" s="176">
        <v>27546600</v>
      </c>
      <c r="D56" s="176">
        <v>27546600</v>
      </c>
      <c r="E56" s="176">
        <v>27546600</v>
      </c>
      <c r="F56" s="176">
        <v>27546600</v>
      </c>
      <c r="G56" s="176">
        <v>27546600</v>
      </c>
      <c r="H56" s="176">
        <v>27546600</v>
      </c>
      <c r="I56" s="176">
        <v>27546600</v>
      </c>
      <c r="J56" s="176">
        <v>27546600</v>
      </c>
      <c r="K56" s="176">
        <v>27546600</v>
      </c>
      <c r="L56" s="176">
        <v>27546600</v>
      </c>
      <c r="M56" s="176">
        <v>27546600</v>
      </c>
      <c r="N56" s="176">
        <v>27546600</v>
      </c>
      <c r="O56" s="176">
        <v>27546600</v>
      </c>
      <c r="P56" s="176">
        <v>27546600</v>
      </c>
      <c r="Q56" s="176">
        <v>27546600</v>
      </c>
      <c r="R56" s="176">
        <v>27546600</v>
      </c>
      <c r="S56" s="176">
        <v>27546600</v>
      </c>
      <c r="T56" s="176">
        <v>27546600</v>
      </c>
      <c r="U56" s="176">
        <v>27546600</v>
      </c>
      <c r="V56" s="176">
        <v>27546600</v>
      </c>
      <c r="W56" s="176">
        <v>27546600</v>
      </c>
      <c r="X56" s="176">
        <v>27546600</v>
      </c>
      <c r="Y56" s="176">
        <v>27546600</v>
      </c>
      <c r="Z56" s="176">
        <v>27546600</v>
      </c>
      <c r="AA56" s="176">
        <v>27546600</v>
      </c>
      <c r="AB56" s="176">
        <v>27546600</v>
      </c>
      <c r="AC56" s="176">
        <v>27546600</v>
      </c>
      <c r="AD56" s="176">
        <v>27546600</v>
      </c>
      <c r="AE56" s="176">
        <v>27546600</v>
      </c>
      <c r="AF56" s="176">
        <v>27546600</v>
      </c>
      <c r="AG56" s="176">
        <v>27546600</v>
      </c>
      <c r="AH56" s="176">
        <v>27546600</v>
      </c>
      <c r="AI56" s="176">
        <v>27546600</v>
      </c>
      <c r="AJ56" s="176">
        <v>27546600</v>
      </c>
      <c r="AK56" s="176">
        <v>27546600</v>
      </c>
      <c r="AL56" s="176">
        <v>27546600</v>
      </c>
      <c r="AM56" s="176">
        <v>27546600</v>
      </c>
      <c r="AN56" s="176">
        <v>27546600</v>
      </c>
      <c r="AO56" s="176">
        <v>27546600</v>
      </c>
      <c r="AP56" s="176">
        <v>27546600</v>
      </c>
      <c r="AQ56" s="176">
        <v>27546600</v>
      </c>
    </row>
    <row r="57" spans="1:43" x14ac:dyDescent="0.15">
      <c r="A57" t="s">
        <v>1359</v>
      </c>
      <c r="B57" s="176">
        <v>28045400</v>
      </c>
      <c r="C57" s="176">
        <v>28045400</v>
      </c>
      <c r="D57" s="176">
        <v>27859000</v>
      </c>
      <c r="E57" s="176">
        <v>27699300</v>
      </c>
      <c r="F57" s="176">
        <v>27553600</v>
      </c>
      <c r="G57" s="176">
        <v>27388700</v>
      </c>
      <c r="H57" s="176">
        <v>27225500</v>
      </c>
      <c r="I57" s="176">
        <v>27075400</v>
      </c>
      <c r="J57" s="176">
        <v>26943000</v>
      </c>
      <c r="K57" s="176">
        <v>26816700</v>
      </c>
      <c r="L57" s="176">
        <v>26696000</v>
      </c>
      <c r="M57" s="176">
        <v>26581600</v>
      </c>
      <c r="N57" s="176">
        <v>26471100</v>
      </c>
      <c r="O57" s="176">
        <v>26367100</v>
      </c>
      <c r="P57" s="176">
        <v>26267400</v>
      </c>
      <c r="Q57" s="176">
        <v>26170400</v>
      </c>
      <c r="R57" s="176">
        <v>26076900</v>
      </c>
      <c r="S57" s="176">
        <v>25988300</v>
      </c>
      <c r="T57" s="176">
        <v>25903800</v>
      </c>
      <c r="U57" s="176">
        <v>25823000</v>
      </c>
      <c r="V57" s="176">
        <v>25746300</v>
      </c>
      <c r="W57" s="176">
        <v>25673300</v>
      </c>
      <c r="X57" s="176">
        <v>25603800</v>
      </c>
      <c r="Y57" s="176">
        <v>25537400</v>
      </c>
      <c r="Z57" s="176">
        <v>25474500</v>
      </c>
      <c r="AA57" s="176">
        <v>25414300</v>
      </c>
      <c r="AB57" s="176">
        <v>25357000</v>
      </c>
      <c r="AC57" s="176">
        <v>25302000</v>
      </c>
      <c r="AD57" s="176">
        <v>25250100</v>
      </c>
      <c r="AE57" s="176">
        <v>25200400</v>
      </c>
      <c r="AF57" s="176">
        <v>25153400</v>
      </c>
      <c r="AG57" s="176">
        <v>25106100</v>
      </c>
      <c r="AH57" s="176">
        <v>25105100</v>
      </c>
      <c r="AI57" s="176">
        <v>25104200</v>
      </c>
      <c r="AJ57" s="176">
        <v>25103300</v>
      </c>
      <c r="AK57" s="176">
        <v>25102400</v>
      </c>
      <c r="AL57" s="176">
        <v>25101500</v>
      </c>
      <c r="AM57" s="176">
        <v>25100700</v>
      </c>
      <c r="AN57" s="176">
        <v>25100000</v>
      </c>
      <c r="AO57" s="176">
        <v>25099300</v>
      </c>
      <c r="AP57" s="176">
        <v>25098600</v>
      </c>
      <c r="AQ57" s="176">
        <v>25097900</v>
      </c>
    </row>
    <row r="58" spans="1:43" x14ac:dyDescent="0.15">
      <c r="A58" t="s">
        <v>1360</v>
      </c>
      <c r="B58" s="176">
        <v>6523200</v>
      </c>
      <c r="C58" s="176">
        <v>6523200</v>
      </c>
      <c r="D58" s="176">
        <v>6439820</v>
      </c>
      <c r="E58" s="176">
        <v>4449430</v>
      </c>
      <c r="F58" s="176">
        <v>10850600</v>
      </c>
      <c r="G58" s="176">
        <v>11404900</v>
      </c>
      <c r="H58" s="176">
        <v>11197800</v>
      </c>
      <c r="I58" s="176">
        <v>10766100</v>
      </c>
      <c r="J58" s="176">
        <v>10628000</v>
      </c>
      <c r="K58" s="176">
        <v>10490000</v>
      </c>
      <c r="L58" s="176">
        <v>10277100</v>
      </c>
      <c r="M58" s="176">
        <v>10270300</v>
      </c>
      <c r="N58" s="176">
        <v>10201200</v>
      </c>
      <c r="O58" s="176">
        <v>10269500</v>
      </c>
      <c r="P58" s="176">
        <v>10063100</v>
      </c>
      <c r="Q58" s="176">
        <v>9994110</v>
      </c>
      <c r="R58" s="176">
        <v>9987610</v>
      </c>
      <c r="S58" s="176">
        <v>9912450</v>
      </c>
      <c r="T58" s="176">
        <v>9843570</v>
      </c>
      <c r="U58" s="176">
        <v>9843390</v>
      </c>
      <c r="V58" s="176">
        <v>9918170</v>
      </c>
      <c r="W58" s="176">
        <v>9911780</v>
      </c>
      <c r="X58" s="176">
        <v>9849210</v>
      </c>
      <c r="Y58" s="176">
        <v>9849100</v>
      </c>
      <c r="Z58" s="176">
        <v>9849000</v>
      </c>
      <c r="AA58" s="176">
        <v>9842660</v>
      </c>
      <c r="AB58" s="176">
        <v>9842580</v>
      </c>
      <c r="AC58" s="176">
        <v>9780060</v>
      </c>
      <c r="AD58" s="176">
        <v>9773740</v>
      </c>
      <c r="AE58" s="176">
        <v>9773680</v>
      </c>
      <c r="AF58" s="176">
        <v>9704930</v>
      </c>
      <c r="AG58" s="176">
        <v>9704870</v>
      </c>
      <c r="AH58" s="176">
        <v>9704820</v>
      </c>
      <c r="AI58" s="176">
        <v>9636090</v>
      </c>
      <c r="AJ58" s="176">
        <v>9636040</v>
      </c>
      <c r="AK58" s="176">
        <v>9629750</v>
      </c>
      <c r="AL58" s="176">
        <v>9567270</v>
      </c>
      <c r="AM58" s="176">
        <v>9567230</v>
      </c>
      <c r="AN58" s="176">
        <v>9560950</v>
      </c>
      <c r="AO58" s="176">
        <v>9498470</v>
      </c>
      <c r="AP58" s="176">
        <v>9492200</v>
      </c>
      <c r="AQ58" s="176">
        <v>9490390</v>
      </c>
    </row>
    <row r="59" spans="1:43" x14ac:dyDescent="0.15">
      <c r="A59" t="s">
        <v>1361</v>
      </c>
      <c r="B59">
        <v>37227.1</v>
      </c>
      <c r="C59">
        <v>37227.1</v>
      </c>
      <c r="D59">
        <v>37227.1</v>
      </c>
      <c r="E59">
        <v>37227.1</v>
      </c>
      <c r="F59">
        <v>37227.1</v>
      </c>
      <c r="G59">
        <v>37227.1</v>
      </c>
      <c r="H59">
        <v>37227.1</v>
      </c>
      <c r="I59">
        <v>37227.1</v>
      </c>
      <c r="J59">
        <v>37227.1</v>
      </c>
      <c r="K59">
        <v>37227.1</v>
      </c>
      <c r="L59">
        <v>37227.1</v>
      </c>
      <c r="M59">
        <v>37227.1</v>
      </c>
      <c r="N59">
        <v>37227.1</v>
      </c>
      <c r="O59">
        <v>37227.1</v>
      </c>
      <c r="P59">
        <v>37227.1</v>
      </c>
      <c r="Q59">
        <v>37227.1</v>
      </c>
      <c r="R59">
        <v>37227.1</v>
      </c>
      <c r="S59">
        <v>37227.1</v>
      </c>
      <c r="T59">
        <v>37227.1</v>
      </c>
      <c r="U59">
        <v>37227.1</v>
      </c>
      <c r="V59">
        <v>37227.1</v>
      </c>
      <c r="W59">
        <v>37227.1</v>
      </c>
      <c r="X59">
        <v>37227.1</v>
      </c>
      <c r="Y59">
        <v>37227.1</v>
      </c>
      <c r="Z59">
        <v>37227.1</v>
      </c>
      <c r="AA59">
        <v>37227.1</v>
      </c>
      <c r="AB59">
        <v>37227.1</v>
      </c>
      <c r="AC59">
        <v>37227.1</v>
      </c>
      <c r="AD59">
        <v>37227.1</v>
      </c>
      <c r="AE59">
        <v>37227.1</v>
      </c>
      <c r="AF59">
        <v>37227.1</v>
      </c>
      <c r="AG59">
        <v>37227.1</v>
      </c>
      <c r="AH59">
        <v>37227.1</v>
      </c>
      <c r="AI59">
        <v>37227.1</v>
      </c>
      <c r="AJ59">
        <v>37227.1</v>
      </c>
      <c r="AK59">
        <v>37227.1</v>
      </c>
      <c r="AL59">
        <v>37227.1</v>
      </c>
      <c r="AM59">
        <v>37227.1</v>
      </c>
      <c r="AN59">
        <v>37227.1</v>
      </c>
      <c r="AO59">
        <v>37227.1</v>
      </c>
      <c r="AP59">
        <v>37227.1</v>
      </c>
      <c r="AQ59">
        <v>37227.1</v>
      </c>
    </row>
    <row r="60" spans="1:43" x14ac:dyDescent="0.15">
      <c r="A60" t="s">
        <v>1362</v>
      </c>
      <c r="B60" s="176">
        <v>20239500</v>
      </c>
      <c r="C60" s="176">
        <v>20239500</v>
      </c>
      <c r="D60" s="176">
        <v>27193500</v>
      </c>
      <c r="E60" s="176">
        <v>20552500</v>
      </c>
      <c r="F60" s="176">
        <v>51260400</v>
      </c>
      <c r="G60" s="176">
        <v>55531800</v>
      </c>
      <c r="H60" s="176">
        <v>54926700</v>
      </c>
      <c r="I60" s="176">
        <v>54523300</v>
      </c>
      <c r="J60" s="176">
        <v>54725000</v>
      </c>
      <c r="K60" s="176">
        <v>56943600</v>
      </c>
      <c r="L60" s="176">
        <v>58153700</v>
      </c>
      <c r="M60" s="176">
        <v>59565500</v>
      </c>
      <c r="N60" s="176">
        <v>64002700</v>
      </c>
      <c r="O60" s="176">
        <v>63801000</v>
      </c>
      <c r="P60" s="176">
        <v>65011100</v>
      </c>
      <c r="Q60" s="176">
        <v>66019600</v>
      </c>
      <c r="R60" s="176">
        <v>68036500</v>
      </c>
      <c r="S60" s="176">
        <v>67028000</v>
      </c>
      <c r="T60" s="176">
        <v>67431400</v>
      </c>
      <c r="U60" s="176">
        <v>68641600</v>
      </c>
      <c r="V60" s="176">
        <v>69650000</v>
      </c>
      <c r="W60" s="176">
        <v>69851700</v>
      </c>
      <c r="X60" s="176">
        <v>70456800</v>
      </c>
      <c r="Y60" s="176">
        <v>71465200</v>
      </c>
      <c r="Z60" s="176">
        <v>71465200</v>
      </c>
      <c r="AA60" s="176">
        <v>72070300</v>
      </c>
      <c r="AB60" s="176">
        <v>72675300</v>
      </c>
      <c r="AC60" s="176">
        <v>73885500</v>
      </c>
      <c r="AD60" s="176">
        <v>74490500</v>
      </c>
      <c r="AE60" s="176">
        <v>74893900</v>
      </c>
      <c r="AF60" s="176">
        <v>75297300</v>
      </c>
      <c r="AG60" s="176">
        <v>76305700</v>
      </c>
      <c r="AH60" s="176">
        <v>76709100</v>
      </c>
      <c r="AI60" s="176">
        <v>77314200</v>
      </c>
      <c r="AJ60" s="176">
        <v>78120900</v>
      </c>
      <c r="AK60" s="176">
        <v>78726000</v>
      </c>
      <c r="AL60" s="176">
        <v>79331100</v>
      </c>
      <c r="AM60" s="176">
        <v>79936100</v>
      </c>
      <c r="AN60" s="176">
        <v>80541200</v>
      </c>
      <c r="AO60" s="176">
        <v>81146300</v>
      </c>
      <c r="AP60" s="176">
        <v>81751300</v>
      </c>
      <c r="AQ60" s="176">
        <v>82558100</v>
      </c>
    </row>
    <row r="61" spans="1:43" x14ac:dyDescent="0.15">
      <c r="A61" t="s">
        <v>1363</v>
      </c>
      <c r="B61" s="176">
        <v>19478700</v>
      </c>
      <c r="C61" s="176">
        <v>19478700</v>
      </c>
      <c r="D61" s="176">
        <v>23263400</v>
      </c>
      <c r="E61" s="176">
        <v>16327400</v>
      </c>
      <c r="F61" s="176">
        <v>42740500</v>
      </c>
      <c r="G61" s="176">
        <v>50993700</v>
      </c>
      <c r="H61" s="176">
        <v>52203900</v>
      </c>
      <c r="I61" s="176">
        <v>53151800</v>
      </c>
      <c r="J61" s="176">
        <v>53756900</v>
      </c>
      <c r="K61" s="176">
        <v>55915000</v>
      </c>
      <c r="L61" s="176">
        <v>57104900</v>
      </c>
      <c r="M61" s="176">
        <v>58052900</v>
      </c>
      <c r="N61" s="176">
        <v>60775700</v>
      </c>
      <c r="O61" s="176">
        <v>61582400</v>
      </c>
      <c r="P61" s="176">
        <v>62792600</v>
      </c>
      <c r="Q61" s="176">
        <v>63397600</v>
      </c>
      <c r="R61" s="176">
        <v>64002700</v>
      </c>
      <c r="S61" s="176">
        <v>63195900</v>
      </c>
      <c r="T61" s="176">
        <v>62994300</v>
      </c>
      <c r="U61" s="176">
        <v>64002700</v>
      </c>
      <c r="V61" s="176">
        <v>64607800</v>
      </c>
      <c r="W61" s="176">
        <v>64204400</v>
      </c>
      <c r="X61" s="176">
        <v>65616200</v>
      </c>
      <c r="Y61" s="176">
        <v>66019600</v>
      </c>
      <c r="Z61" s="176">
        <v>66423000</v>
      </c>
      <c r="AA61" s="176">
        <v>67028000</v>
      </c>
      <c r="AB61" s="176">
        <v>67633100</v>
      </c>
      <c r="AC61" s="176">
        <v>68641600</v>
      </c>
      <c r="AD61" s="176">
        <v>69246600</v>
      </c>
      <c r="AE61" s="176">
        <v>69851700</v>
      </c>
      <c r="AF61" s="176">
        <v>70053400</v>
      </c>
      <c r="AG61" s="176">
        <v>70658400</v>
      </c>
      <c r="AH61" s="176">
        <v>71666900</v>
      </c>
      <c r="AI61" s="176">
        <v>72070300</v>
      </c>
      <c r="AJ61" s="176">
        <v>72877000</v>
      </c>
      <c r="AK61" s="176">
        <v>73482100</v>
      </c>
      <c r="AL61" s="176">
        <v>74087200</v>
      </c>
      <c r="AM61" s="176">
        <v>74490500</v>
      </c>
      <c r="AN61" s="176">
        <v>75095600</v>
      </c>
      <c r="AO61" s="176">
        <v>75700700</v>
      </c>
      <c r="AP61" s="176">
        <v>76305700</v>
      </c>
      <c r="AQ61" s="176">
        <v>76910800</v>
      </c>
    </row>
    <row r="62" spans="1:43" x14ac:dyDescent="0.15">
      <c r="A62" t="s">
        <v>1364</v>
      </c>
      <c r="B62">
        <v>37227.1</v>
      </c>
      <c r="C62">
        <v>37227.1</v>
      </c>
      <c r="D62">
        <v>37227.1</v>
      </c>
      <c r="E62">
        <v>37227.1</v>
      </c>
      <c r="F62">
        <v>37227.1</v>
      </c>
      <c r="G62">
        <v>37227.1</v>
      </c>
      <c r="H62">
        <v>37227.1</v>
      </c>
      <c r="I62">
        <v>37227.1</v>
      </c>
      <c r="J62">
        <v>37227.1</v>
      </c>
      <c r="K62">
        <v>37227.1</v>
      </c>
      <c r="L62">
        <v>37227.1</v>
      </c>
      <c r="M62">
        <v>37227.1</v>
      </c>
      <c r="N62">
        <v>37227.1</v>
      </c>
      <c r="O62">
        <v>37227.1</v>
      </c>
      <c r="P62">
        <v>37227.1</v>
      </c>
      <c r="Q62">
        <v>37227.1</v>
      </c>
      <c r="R62">
        <v>37227.1</v>
      </c>
      <c r="S62">
        <v>37227.1</v>
      </c>
      <c r="T62">
        <v>37227.1</v>
      </c>
      <c r="U62">
        <v>37227.1</v>
      </c>
      <c r="V62">
        <v>37227.1</v>
      </c>
      <c r="W62">
        <v>37227.1</v>
      </c>
      <c r="X62">
        <v>37227.1</v>
      </c>
      <c r="Y62">
        <v>37227.1</v>
      </c>
      <c r="Z62">
        <v>37227.1</v>
      </c>
      <c r="AA62">
        <v>37227.1</v>
      </c>
      <c r="AB62">
        <v>37227.1</v>
      </c>
      <c r="AC62">
        <v>37227.1</v>
      </c>
      <c r="AD62">
        <v>37227.1</v>
      </c>
      <c r="AE62">
        <v>37227.1</v>
      </c>
      <c r="AF62">
        <v>37227.1</v>
      </c>
      <c r="AG62">
        <v>37227.1</v>
      </c>
      <c r="AH62">
        <v>37227.1</v>
      </c>
      <c r="AI62">
        <v>37227.1</v>
      </c>
      <c r="AJ62">
        <v>37227.1</v>
      </c>
      <c r="AK62">
        <v>37227.1</v>
      </c>
      <c r="AL62">
        <v>37227.1</v>
      </c>
      <c r="AM62">
        <v>37227.1</v>
      </c>
      <c r="AN62">
        <v>37227.1</v>
      </c>
      <c r="AO62">
        <v>37227.1</v>
      </c>
      <c r="AP62">
        <v>37227.1</v>
      </c>
      <c r="AQ62">
        <v>37227.1</v>
      </c>
    </row>
    <row r="63" spans="1:43" x14ac:dyDescent="0.15">
      <c r="A63" t="s">
        <v>1365</v>
      </c>
      <c r="B63">
        <v>37227.1</v>
      </c>
      <c r="C63">
        <v>37227.1</v>
      </c>
      <c r="D63">
        <v>37227.1</v>
      </c>
      <c r="E63">
        <v>37227.1</v>
      </c>
      <c r="F63">
        <v>37227.1</v>
      </c>
      <c r="G63">
        <v>37227.1</v>
      </c>
      <c r="H63">
        <v>37227.1</v>
      </c>
      <c r="I63">
        <v>37227.1</v>
      </c>
      <c r="J63">
        <v>37227.1</v>
      </c>
      <c r="K63">
        <v>37227.1</v>
      </c>
      <c r="L63">
        <v>37227.1</v>
      </c>
      <c r="M63">
        <v>37227.1</v>
      </c>
      <c r="N63">
        <v>37227.1</v>
      </c>
      <c r="O63">
        <v>37227.1</v>
      </c>
      <c r="P63">
        <v>37227.1</v>
      </c>
      <c r="Q63">
        <v>37227.1</v>
      </c>
      <c r="R63">
        <v>37227.1</v>
      </c>
      <c r="S63">
        <v>37227.1</v>
      </c>
      <c r="T63">
        <v>37227.1</v>
      </c>
      <c r="U63">
        <v>37227.1</v>
      </c>
      <c r="V63">
        <v>37227.1</v>
      </c>
      <c r="W63">
        <v>37227.1</v>
      </c>
      <c r="X63">
        <v>37227.1</v>
      </c>
      <c r="Y63">
        <v>37227.1</v>
      </c>
      <c r="Z63">
        <v>37227.1</v>
      </c>
      <c r="AA63">
        <v>37227.1</v>
      </c>
      <c r="AB63">
        <v>37227.1</v>
      </c>
      <c r="AC63">
        <v>37227.1</v>
      </c>
      <c r="AD63">
        <v>37227.1</v>
      </c>
      <c r="AE63">
        <v>37227.1</v>
      </c>
      <c r="AF63">
        <v>37227.1</v>
      </c>
      <c r="AG63">
        <v>37227.1</v>
      </c>
      <c r="AH63">
        <v>37227.1</v>
      </c>
      <c r="AI63">
        <v>37227.1</v>
      </c>
      <c r="AJ63">
        <v>37227.1</v>
      </c>
      <c r="AK63">
        <v>37227.1</v>
      </c>
      <c r="AL63">
        <v>37227.1</v>
      </c>
      <c r="AM63">
        <v>37227.1</v>
      </c>
      <c r="AN63">
        <v>37227.1</v>
      </c>
      <c r="AO63">
        <v>37227.1</v>
      </c>
      <c r="AP63">
        <v>37227.1</v>
      </c>
      <c r="AQ63">
        <v>37227.1</v>
      </c>
    </row>
    <row r="64" spans="1:43" x14ac:dyDescent="0.15">
      <c r="A64" t="s">
        <v>1366</v>
      </c>
      <c r="B64" s="176">
        <v>16687600</v>
      </c>
      <c r="C64" s="176">
        <v>16687600</v>
      </c>
      <c r="D64" s="176">
        <v>16061600</v>
      </c>
      <c r="E64" s="176">
        <v>10806300</v>
      </c>
      <c r="F64" s="176">
        <v>25173600</v>
      </c>
      <c r="G64" s="176">
        <v>26112000</v>
      </c>
      <c r="H64" s="176">
        <v>24891200</v>
      </c>
      <c r="I64" s="176">
        <v>23684000</v>
      </c>
      <c r="J64" s="176">
        <v>22543900</v>
      </c>
      <c r="K64" s="176">
        <v>21484200</v>
      </c>
      <c r="L64" s="176">
        <v>20491600</v>
      </c>
      <c r="M64" s="176">
        <v>19512500</v>
      </c>
      <c r="N64" s="176">
        <v>18533300</v>
      </c>
      <c r="O64" s="176">
        <v>17688300</v>
      </c>
      <c r="P64" s="176">
        <v>16856700</v>
      </c>
      <c r="Q64" s="176">
        <v>16025100</v>
      </c>
      <c r="R64" s="176">
        <v>15267200</v>
      </c>
      <c r="S64" s="176">
        <v>14516000</v>
      </c>
      <c r="T64" s="176">
        <v>13831900</v>
      </c>
      <c r="U64" s="176">
        <v>13147900</v>
      </c>
      <c r="V64" s="176">
        <v>12544200</v>
      </c>
      <c r="W64" s="176">
        <v>11933900</v>
      </c>
      <c r="X64" s="176">
        <v>11404000</v>
      </c>
      <c r="Y64" s="176">
        <v>10867500</v>
      </c>
      <c r="Z64" s="176">
        <v>10337700</v>
      </c>
      <c r="AA64" s="176">
        <v>9814560</v>
      </c>
      <c r="AB64" s="176">
        <v>9358480</v>
      </c>
      <c r="AC64" s="176">
        <v>8902420</v>
      </c>
      <c r="AD64" s="176">
        <v>8520090</v>
      </c>
      <c r="AE64" s="176">
        <v>8070780</v>
      </c>
      <c r="AF64" s="176">
        <v>7695180</v>
      </c>
      <c r="AG64" s="176">
        <v>7332990</v>
      </c>
      <c r="AH64" s="176">
        <v>6984560</v>
      </c>
      <c r="AI64" s="176">
        <v>6656230</v>
      </c>
      <c r="AJ64" s="176">
        <v>6341300</v>
      </c>
      <c r="AK64" s="176">
        <v>6039770</v>
      </c>
      <c r="AL64" s="176">
        <v>5751640</v>
      </c>
      <c r="AM64" s="176">
        <v>5478930</v>
      </c>
      <c r="AN64" s="176">
        <v>5221620</v>
      </c>
      <c r="AO64" s="176">
        <v>4971690</v>
      </c>
      <c r="AP64" s="176">
        <v>4737170</v>
      </c>
      <c r="AQ64" s="176">
        <v>4510010</v>
      </c>
    </row>
    <row r="65" spans="1:43" x14ac:dyDescent="0.15">
      <c r="A65" t="s">
        <v>1367</v>
      </c>
      <c r="B65" s="176">
        <v>19288800</v>
      </c>
      <c r="C65" s="176">
        <v>19288800</v>
      </c>
      <c r="D65" s="176">
        <v>18153000</v>
      </c>
      <c r="E65" s="176">
        <v>17426100</v>
      </c>
      <c r="F65" s="176">
        <v>16967700</v>
      </c>
      <c r="G65" s="176">
        <v>16670800</v>
      </c>
      <c r="H65" s="176">
        <v>16318800</v>
      </c>
      <c r="I65" s="176">
        <v>15988600</v>
      </c>
      <c r="J65" s="176">
        <v>15723700</v>
      </c>
      <c r="K65" s="176">
        <v>15491200</v>
      </c>
      <c r="L65" s="176">
        <v>15278700</v>
      </c>
      <c r="M65" s="176">
        <v>15108900</v>
      </c>
      <c r="N65" s="176">
        <v>14953000</v>
      </c>
      <c r="O65" s="176">
        <v>14829000</v>
      </c>
      <c r="P65" s="176">
        <v>14695700</v>
      </c>
      <c r="Q65" s="176">
        <v>14590900</v>
      </c>
      <c r="R65" s="176">
        <v>14504900</v>
      </c>
      <c r="S65" s="176">
        <v>14421400</v>
      </c>
      <c r="T65" s="176">
        <v>14348200</v>
      </c>
      <c r="U65" s="176">
        <v>14289700</v>
      </c>
      <c r="V65" s="176">
        <v>14244900</v>
      </c>
      <c r="W65" s="176">
        <v>14197000</v>
      </c>
      <c r="X65" s="176">
        <v>14148700</v>
      </c>
      <c r="Y65" s="176">
        <v>14111000</v>
      </c>
      <c r="Z65" s="176">
        <v>14077100</v>
      </c>
      <c r="AA65" s="176">
        <v>14045600</v>
      </c>
      <c r="AB65" s="176">
        <v>14017600</v>
      </c>
      <c r="AC65" s="176">
        <v>13985700</v>
      </c>
      <c r="AD65" s="176">
        <v>13961600</v>
      </c>
      <c r="AE65" s="176">
        <v>13939800</v>
      </c>
      <c r="AF65" s="176">
        <v>13912800</v>
      </c>
      <c r="AG65" s="176">
        <v>13894100</v>
      </c>
      <c r="AH65" s="176">
        <v>13876600</v>
      </c>
      <c r="AI65" s="176">
        <v>13853400</v>
      </c>
      <c r="AJ65" s="176">
        <v>13838100</v>
      </c>
      <c r="AK65" s="176">
        <v>13823100</v>
      </c>
      <c r="AL65" s="176">
        <v>13803300</v>
      </c>
      <c r="AM65" s="176">
        <v>13790500</v>
      </c>
      <c r="AN65" s="176">
        <v>13777700</v>
      </c>
      <c r="AO65" s="176">
        <v>13760000</v>
      </c>
      <c r="AP65" s="176">
        <v>13748400</v>
      </c>
      <c r="AQ65" s="176">
        <v>13737800</v>
      </c>
    </row>
    <row r="66" spans="1:43" x14ac:dyDescent="0.15">
      <c r="A66" t="s">
        <v>1368</v>
      </c>
      <c r="B66" s="176">
        <v>21447200</v>
      </c>
      <c r="C66" s="176">
        <v>21447200</v>
      </c>
      <c r="D66" s="176">
        <v>21447200</v>
      </c>
      <c r="E66" s="176">
        <v>21447200</v>
      </c>
      <c r="F66" s="176">
        <v>21447200</v>
      </c>
      <c r="G66" s="176">
        <v>21447200</v>
      </c>
      <c r="H66" s="176">
        <v>21447200</v>
      </c>
      <c r="I66" s="176">
        <v>21447200</v>
      </c>
      <c r="J66" s="176">
        <v>21447200</v>
      </c>
      <c r="K66" s="176">
        <v>21447200</v>
      </c>
      <c r="L66" s="176">
        <v>21447200</v>
      </c>
      <c r="M66" s="176">
        <v>21447200</v>
      </c>
      <c r="N66" s="176">
        <v>21447200</v>
      </c>
      <c r="O66" s="176">
        <v>21447200</v>
      </c>
      <c r="P66" s="176">
        <v>21447200</v>
      </c>
      <c r="Q66" s="176">
        <v>21447200</v>
      </c>
      <c r="R66" s="176">
        <v>21447200</v>
      </c>
      <c r="S66" s="176">
        <v>21447200</v>
      </c>
      <c r="T66" s="176">
        <v>21447200</v>
      </c>
      <c r="U66" s="176">
        <v>21447200</v>
      </c>
      <c r="V66" s="176">
        <v>21447200</v>
      </c>
      <c r="W66" s="176">
        <v>21447200</v>
      </c>
      <c r="X66" s="176">
        <v>21447200</v>
      </c>
      <c r="Y66" s="176">
        <v>21447200</v>
      </c>
      <c r="Z66" s="176">
        <v>21447200</v>
      </c>
      <c r="AA66" s="176">
        <v>21447200</v>
      </c>
      <c r="AB66" s="176">
        <v>21447200</v>
      </c>
      <c r="AC66" s="176">
        <v>21447200</v>
      </c>
      <c r="AD66" s="176">
        <v>21447200</v>
      </c>
      <c r="AE66" s="176">
        <v>21447200</v>
      </c>
      <c r="AF66" s="176">
        <v>21447200</v>
      </c>
      <c r="AG66" s="176">
        <v>21447200</v>
      </c>
      <c r="AH66" s="176">
        <v>21447200</v>
      </c>
      <c r="AI66" s="176">
        <v>21447200</v>
      </c>
      <c r="AJ66" s="176">
        <v>21447200</v>
      </c>
      <c r="AK66" s="176">
        <v>21447200</v>
      </c>
      <c r="AL66" s="176">
        <v>21447200</v>
      </c>
      <c r="AM66" s="176">
        <v>21447200</v>
      </c>
      <c r="AN66" s="176">
        <v>21447200</v>
      </c>
      <c r="AO66" s="176">
        <v>21447200</v>
      </c>
      <c r="AP66" s="176">
        <v>21447200</v>
      </c>
      <c r="AQ66" s="176">
        <v>21447200</v>
      </c>
    </row>
    <row r="67" spans="1:43" x14ac:dyDescent="0.15">
      <c r="A67" t="s">
        <v>1369</v>
      </c>
      <c r="B67" s="176">
        <v>21447200</v>
      </c>
      <c r="C67" s="176">
        <v>21447200</v>
      </c>
      <c r="D67" s="176">
        <v>21447200</v>
      </c>
      <c r="E67" s="176">
        <v>21447200</v>
      </c>
      <c r="F67" s="176">
        <v>21447200</v>
      </c>
      <c r="G67" s="176">
        <v>21447200</v>
      </c>
      <c r="H67" s="176">
        <v>21447200</v>
      </c>
      <c r="I67" s="176">
        <v>21447200</v>
      </c>
      <c r="J67" s="176">
        <v>21447200</v>
      </c>
      <c r="K67" s="176">
        <v>21447200</v>
      </c>
      <c r="L67" s="176">
        <v>21447200</v>
      </c>
      <c r="M67" s="176">
        <v>21447200</v>
      </c>
      <c r="N67" s="176">
        <v>21447200</v>
      </c>
      <c r="O67" s="176">
        <v>21447200</v>
      </c>
      <c r="P67" s="176">
        <v>21447200</v>
      </c>
      <c r="Q67" s="176">
        <v>21447200</v>
      </c>
      <c r="R67" s="176">
        <v>21447200</v>
      </c>
      <c r="S67" s="176">
        <v>21447200</v>
      </c>
      <c r="T67" s="176">
        <v>21447200</v>
      </c>
      <c r="U67" s="176">
        <v>21447200</v>
      </c>
      <c r="V67" s="176">
        <v>21447200</v>
      </c>
      <c r="W67" s="176">
        <v>21447200</v>
      </c>
      <c r="X67" s="176">
        <v>21447200</v>
      </c>
      <c r="Y67" s="176">
        <v>21447200</v>
      </c>
      <c r="Z67" s="176">
        <v>21447200</v>
      </c>
      <c r="AA67" s="176">
        <v>21447200</v>
      </c>
      <c r="AB67" s="176">
        <v>21447200</v>
      </c>
      <c r="AC67" s="176">
        <v>21447200</v>
      </c>
      <c r="AD67" s="176">
        <v>21447200</v>
      </c>
      <c r="AE67" s="176">
        <v>21447200</v>
      </c>
      <c r="AF67" s="176">
        <v>21447200</v>
      </c>
      <c r="AG67" s="176">
        <v>21447200</v>
      </c>
      <c r="AH67" s="176">
        <v>21447200</v>
      </c>
      <c r="AI67" s="176">
        <v>21447200</v>
      </c>
      <c r="AJ67" s="176">
        <v>21447200</v>
      </c>
      <c r="AK67" s="176">
        <v>21447200</v>
      </c>
      <c r="AL67" s="176">
        <v>21447200</v>
      </c>
      <c r="AM67" s="176">
        <v>21447200</v>
      </c>
      <c r="AN67" s="176">
        <v>21447200</v>
      </c>
      <c r="AO67" s="176">
        <v>21447200</v>
      </c>
      <c r="AP67" s="176">
        <v>21447200</v>
      </c>
      <c r="AQ67" s="176">
        <v>21447200</v>
      </c>
    </row>
    <row r="68" spans="1:43" x14ac:dyDescent="0.15">
      <c r="A68" t="s">
        <v>1370</v>
      </c>
      <c r="B68" s="176">
        <v>33564500</v>
      </c>
      <c r="C68" s="176">
        <v>33564500</v>
      </c>
      <c r="D68" s="176">
        <v>34347200</v>
      </c>
      <c r="E68" s="176">
        <v>34263200</v>
      </c>
      <c r="F68" s="176">
        <v>34730700</v>
      </c>
      <c r="G68" s="176">
        <v>35708500</v>
      </c>
      <c r="H68" s="176">
        <v>35978700</v>
      </c>
      <c r="I68" s="176">
        <v>36041600</v>
      </c>
      <c r="J68" s="176">
        <v>36121000</v>
      </c>
      <c r="K68" s="176">
        <v>36328200</v>
      </c>
      <c r="L68" s="176">
        <v>36408900</v>
      </c>
      <c r="M68" s="176">
        <v>36595000</v>
      </c>
      <c r="N68" s="176">
        <v>36806000</v>
      </c>
      <c r="O68" s="176">
        <v>36803200</v>
      </c>
      <c r="P68" s="176">
        <v>36916700</v>
      </c>
      <c r="Q68" s="176">
        <v>36977000</v>
      </c>
      <c r="R68" s="176">
        <v>37084500</v>
      </c>
      <c r="S68" s="176">
        <v>36979600</v>
      </c>
      <c r="T68" s="176">
        <v>36985700</v>
      </c>
      <c r="U68" s="176">
        <v>37069100</v>
      </c>
      <c r="V68" s="176">
        <v>37134000</v>
      </c>
      <c r="W68" s="176">
        <v>37140000</v>
      </c>
      <c r="X68" s="176">
        <v>37248300</v>
      </c>
      <c r="Y68" s="176">
        <v>37283100</v>
      </c>
      <c r="Z68" s="176">
        <v>37340500</v>
      </c>
      <c r="AA68" s="176">
        <v>37440800</v>
      </c>
      <c r="AB68" s="176">
        <v>37528300</v>
      </c>
      <c r="AC68" s="176">
        <v>37574600</v>
      </c>
      <c r="AD68" s="176">
        <v>37716500</v>
      </c>
      <c r="AE68" s="176">
        <v>37767800</v>
      </c>
      <c r="AF68" s="176">
        <v>37787900</v>
      </c>
      <c r="AG68" s="176">
        <v>37848300</v>
      </c>
      <c r="AH68" s="176">
        <v>37967100</v>
      </c>
      <c r="AI68" s="176">
        <v>38025400</v>
      </c>
      <c r="AJ68" s="176">
        <v>38105900</v>
      </c>
      <c r="AK68" s="176">
        <v>38175400</v>
      </c>
      <c r="AL68" s="176">
        <v>38244800</v>
      </c>
      <c r="AM68" s="176">
        <v>38303200</v>
      </c>
      <c r="AN68" s="176">
        <v>38381700</v>
      </c>
      <c r="AO68" s="176">
        <v>38442000</v>
      </c>
      <c r="AP68" s="176">
        <v>38520500</v>
      </c>
      <c r="AQ68" s="176">
        <v>38599000</v>
      </c>
    </row>
    <row r="69" spans="1:43" x14ac:dyDescent="0.15">
      <c r="A69" t="s">
        <v>1371</v>
      </c>
      <c r="B69" s="176">
        <v>21447200</v>
      </c>
      <c r="C69" s="176">
        <v>21447200</v>
      </c>
      <c r="D69" s="176">
        <v>21447200</v>
      </c>
      <c r="E69" s="176">
        <v>21447200</v>
      </c>
      <c r="F69" s="176">
        <v>21447200</v>
      </c>
      <c r="G69" s="176">
        <v>21447200</v>
      </c>
      <c r="H69" s="176">
        <v>21447200</v>
      </c>
      <c r="I69" s="176">
        <v>21447200</v>
      </c>
      <c r="J69" s="176">
        <v>21447200</v>
      </c>
      <c r="K69" s="176">
        <v>21447200</v>
      </c>
      <c r="L69" s="176">
        <v>21447200</v>
      </c>
      <c r="M69" s="176">
        <v>21447200</v>
      </c>
      <c r="N69" s="176">
        <v>21447200</v>
      </c>
      <c r="O69" s="176">
        <v>21447200</v>
      </c>
      <c r="P69" s="176">
        <v>21447200</v>
      </c>
      <c r="Q69" s="176">
        <v>21447200</v>
      </c>
      <c r="R69" s="176">
        <v>21447200</v>
      </c>
      <c r="S69" s="176">
        <v>21447200</v>
      </c>
      <c r="T69" s="176">
        <v>21447200</v>
      </c>
      <c r="U69" s="176">
        <v>21447200</v>
      </c>
      <c r="V69" s="176">
        <v>21447200</v>
      </c>
      <c r="W69" s="176">
        <v>21447200</v>
      </c>
      <c r="X69" s="176">
        <v>21447200</v>
      </c>
      <c r="Y69" s="176">
        <v>21447200</v>
      </c>
      <c r="Z69" s="176">
        <v>21447200</v>
      </c>
      <c r="AA69" s="176">
        <v>21447200</v>
      </c>
      <c r="AB69" s="176">
        <v>21447200</v>
      </c>
      <c r="AC69" s="176">
        <v>21447200</v>
      </c>
      <c r="AD69" s="176">
        <v>21447200</v>
      </c>
      <c r="AE69" s="176">
        <v>21447200</v>
      </c>
      <c r="AF69" s="176">
        <v>21447200</v>
      </c>
      <c r="AG69" s="176">
        <v>21447200</v>
      </c>
      <c r="AH69" s="176">
        <v>21447200</v>
      </c>
      <c r="AI69" s="176">
        <v>21447200</v>
      </c>
      <c r="AJ69" s="176">
        <v>21447200</v>
      </c>
      <c r="AK69" s="176">
        <v>21447200</v>
      </c>
      <c r="AL69" s="176">
        <v>21447200</v>
      </c>
      <c r="AM69" s="176">
        <v>21447200</v>
      </c>
      <c r="AN69" s="176">
        <v>21447200</v>
      </c>
      <c r="AO69" s="176">
        <v>21447200</v>
      </c>
      <c r="AP69" s="176">
        <v>21447200</v>
      </c>
      <c r="AQ69" s="176">
        <v>21447200</v>
      </c>
    </row>
    <row r="70" spans="1:43" x14ac:dyDescent="0.15">
      <c r="A70" t="s">
        <v>1372</v>
      </c>
      <c r="B70" s="176">
        <v>21447200</v>
      </c>
      <c r="C70" s="176">
        <v>21447200</v>
      </c>
      <c r="D70" s="176">
        <v>21447200</v>
      </c>
      <c r="E70" s="176">
        <v>21447200</v>
      </c>
      <c r="F70" s="176">
        <v>21447200</v>
      </c>
      <c r="G70" s="176">
        <v>21447200</v>
      </c>
      <c r="H70" s="176">
        <v>21447200</v>
      </c>
      <c r="I70" s="176">
        <v>21447200</v>
      </c>
      <c r="J70" s="176">
        <v>21447200</v>
      </c>
      <c r="K70" s="176">
        <v>21447200</v>
      </c>
      <c r="L70" s="176">
        <v>21447200</v>
      </c>
      <c r="M70" s="176">
        <v>21447200</v>
      </c>
      <c r="N70" s="176">
        <v>21447200</v>
      </c>
      <c r="O70" s="176">
        <v>21447200</v>
      </c>
      <c r="P70" s="176">
        <v>21447200</v>
      </c>
      <c r="Q70" s="176">
        <v>21447200</v>
      </c>
      <c r="R70" s="176">
        <v>21447200</v>
      </c>
      <c r="S70" s="176">
        <v>21447200</v>
      </c>
      <c r="T70" s="176">
        <v>21447200</v>
      </c>
      <c r="U70" s="176">
        <v>21447200</v>
      </c>
      <c r="V70" s="176">
        <v>21447200</v>
      </c>
      <c r="W70" s="176">
        <v>21447200</v>
      </c>
      <c r="X70" s="176">
        <v>21447200</v>
      </c>
      <c r="Y70" s="176">
        <v>21447200</v>
      </c>
      <c r="Z70" s="176">
        <v>21447200</v>
      </c>
      <c r="AA70" s="176">
        <v>21447200</v>
      </c>
      <c r="AB70" s="176">
        <v>21447200</v>
      </c>
      <c r="AC70" s="176">
        <v>21447200</v>
      </c>
      <c r="AD70" s="176">
        <v>21447200</v>
      </c>
      <c r="AE70" s="176">
        <v>21447200</v>
      </c>
      <c r="AF70" s="176">
        <v>21447200</v>
      </c>
      <c r="AG70" s="176">
        <v>21447200</v>
      </c>
      <c r="AH70" s="176">
        <v>21447200</v>
      </c>
      <c r="AI70" s="176">
        <v>21447200</v>
      </c>
      <c r="AJ70" s="176">
        <v>21447200</v>
      </c>
      <c r="AK70" s="176">
        <v>21447200</v>
      </c>
      <c r="AL70" s="176">
        <v>21447200</v>
      </c>
      <c r="AM70" s="176">
        <v>21447200</v>
      </c>
      <c r="AN70" s="176">
        <v>21447200</v>
      </c>
      <c r="AO70" s="176">
        <v>21447200</v>
      </c>
      <c r="AP70" s="176">
        <v>21447200</v>
      </c>
      <c r="AQ70" s="176">
        <v>21447200</v>
      </c>
    </row>
    <row r="71" spans="1:43" x14ac:dyDescent="0.15">
      <c r="A71" t="s">
        <v>1373</v>
      </c>
      <c r="B71" s="176">
        <v>23688700</v>
      </c>
      <c r="C71" s="176">
        <v>23688700</v>
      </c>
      <c r="D71" s="176">
        <v>23310100</v>
      </c>
      <c r="E71" s="176">
        <v>22964100</v>
      </c>
      <c r="F71" s="176">
        <v>22722200</v>
      </c>
      <c r="G71" s="176">
        <v>22574300</v>
      </c>
      <c r="H71" s="176">
        <v>22042600</v>
      </c>
      <c r="I71" s="176">
        <v>21545700</v>
      </c>
      <c r="J71" s="176">
        <v>21100500</v>
      </c>
      <c r="K71" s="176">
        <v>20676800</v>
      </c>
      <c r="L71" s="176">
        <v>20275100</v>
      </c>
      <c r="M71" s="176">
        <v>19891000</v>
      </c>
      <c r="N71" s="176">
        <v>19515200</v>
      </c>
      <c r="O71" s="176">
        <v>19169900</v>
      </c>
      <c r="P71" s="176">
        <v>18836900</v>
      </c>
      <c r="Q71" s="176">
        <v>18510600</v>
      </c>
      <c r="R71" s="176">
        <v>18199000</v>
      </c>
      <c r="S71" s="176">
        <v>17901600</v>
      </c>
      <c r="T71" s="176">
        <v>17621000</v>
      </c>
      <c r="U71" s="176">
        <v>17349900</v>
      </c>
      <c r="V71" s="176">
        <v>17095900</v>
      </c>
      <c r="W71" s="176">
        <v>16851400</v>
      </c>
      <c r="X71" s="176">
        <v>16623500</v>
      </c>
      <c r="Y71" s="176">
        <v>16402800</v>
      </c>
      <c r="Z71" s="176">
        <v>16191400</v>
      </c>
      <c r="AA71" s="176">
        <v>15987700</v>
      </c>
      <c r="AB71" s="176">
        <v>15798100</v>
      </c>
      <c r="AC71" s="176">
        <v>15614000</v>
      </c>
      <c r="AD71" s="176">
        <v>15444900</v>
      </c>
      <c r="AE71" s="176">
        <v>15274800</v>
      </c>
      <c r="AF71" s="176">
        <v>15118800</v>
      </c>
      <c r="AG71" s="176">
        <v>14963300</v>
      </c>
      <c r="AH71" s="176">
        <v>14928400</v>
      </c>
      <c r="AI71" s="176">
        <v>14895500</v>
      </c>
      <c r="AJ71" s="176">
        <v>14864000</v>
      </c>
      <c r="AK71" s="176">
        <v>14833800</v>
      </c>
      <c r="AL71" s="176">
        <v>14804900</v>
      </c>
      <c r="AM71" s="176">
        <v>14777600</v>
      </c>
      <c r="AN71" s="176">
        <v>14751800</v>
      </c>
      <c r="AO71" s="176">
        <v>14726800</v>
      </c>
      <c r="AP71" s="176">
        <v>14703300</v>
      </c>
      <c r="AQ71" s="176">
        <v>14680500</v>
      </c>
    </row>
    <row r="72" spans="1:43" x14ac:dyDescent="0.15">
      <c r="A72" t="s">
        <v>1374</v>
      </c>
      <c r="B72">
        <v>9420.7099999999991</v>
      </c>
      <c r="C72">
        <v>9420.7099999999991</v>
      </c>
      <c r="D72">
        <v>8891.2099999999991</v>
      </c>
      <c r="E72">
        <v>8494.0499999999993</v>
      </c>
      <c r="F72">
        <v>8334.7999999999993</v>
      </c>
      <c r="G72">
        <v>8151.11</v>
      </c>
      <c r="H72">
        <v>7996.67</v>
      </c>
      <c r="I72">
        <v>7858.57</v>
      </c>
      <c r="J72">
        <v>7741.82</v>
      </c>
      <c r="K72">
        <v>7639.84</v>
      </c>
      <c r="L72">
        <v>7549.09</v>
      </c>
      <c r="M72">
        <v>7471.91</v>
      </c>
      <c r="N72">
        <v>7402.85</v>
      </c>
      <c r="O72">
        <v>7344.42</v>
      </c>
      <c r="P72">
        <v>7289.58</v>
      </c>
      <c r="Q72">
        <v>7243.82</v>
      </c>
      <c r="R72">
        <v>7204.81</v>
      </c>
      <c r="S72">
        <v>7168.93</v>
      </c>
      <c r="T72">
        <v>7137.54</v>
      </c>
      <c r="U72">
        <v>7110.89</v>
      </c>
      <c r="V72">
        <v>7088.33</v>
      </c>
      <c r="W72">
        <v>7066.67</v>
      </c>
      <c r="X72">
        <v>7046.48</v>
      </c>
      <c r="Y72">
        <v>7029.32</v>
      </c>
      <c r="Z72">
        <v>7013.84</v>
      </c>
      <c r="AA72">
        <v>6999.71</v>
      </c>
      <c r="AB72">
        <v>6986.93</v>
      </c>
      <c r="AC72">
        <v>6974.2</v>
      </c>
      <c r="AD72">
        <v>6963.37</v>
      </c>
      <c r="AE72">
        <v>6953.46</v>
      </c>
      <c r="AF72">
        <v>6943.12</v>
      </c>
      <c r="AG72">
        <v>6934.6</v>
      </c>
      <c r="AH72">
        <v>6926.62</v>
      </c>
      <c r="AI72">
        <v>6918.02</v>
      </c>
      <c r="AJ72">
        <v>6911.06</v>
      </c>
      <c r="AK72">
        <v>6904.4</v>
      </c>
      <c r="AL72">
        <v>6897.16</v>
      </c>
      <c r="AM72">
        <v>6891.32</v>
      </c>
      <c r="AN72">
        <v>6885.69</v>
      </c>
      <c r="AO72">
        <v>6879.39</v>
      </c>
      <c r="AP72">
        <v>6874.29</v>
      </c>
      <c r="AQ72">
        <v>6869.5</v>
      </c>
    </row>
    <row r="73" spans="1:43" x14ac:dyDescent="0.15">
      <c r="A73" t="s">
        <v>1375</v>
      </c>
      <c r="B73">
        <v>1551.74</v>
      </c>
      <c r="C73">
        <v>1551.74</v>
      </c>
      <c r="D73">
        <v>1603.48</v>
      </c>
      <c r="E73">
        <v>1440.86</v>
      </c>
      <c r="F73">
        <v>1616.21</v>
      </c>
      <c r="G73">
        <v>1639.88</v>
      </c>
      <c r="H73">
        <v>1643.94</v>
      </c>
      <c r="I73">
        <v>1648.01</v>
      </c>
      <c r="J73">
        <v>1706.28</v>
      </c>
      <c r="K73">
        <v>1764.55</v>
      </c>
      <c r="L73">
        <v>1752.69</v>
      </c>
      <c r="M73">
        <v>1741.51</v>
      </c>
      <c r="N73">
        <v>1764.55</v>
      </c>
      <c r="O73">
        <v>1752.69</v>
      </c>
      <c r="P73">
        <v>1745.24</v>
      </c>
      <c r="Q73">
        <v>1737.45</v>
      </c>
      <c r="R73">
        <v>1730</v>
      </c>
      <c r="S73">
        <v>1721.87</v>
      </c>
      <c r="T73">
        <v>1714.07</v>
      </c>
      <c r="U73">
        <v>1710.01</v>
      </c>
      <c r="V73">
        <v>1702.55</v>
      </c>
      <c r="W73">
        <v>1698.49</v>
      </c>
      <c r="X73">
        <v>1694.42</v>
      </c>
      <c r="Y73">
        <v>1690.7</v>
      </c>
      <c r="Z73">
        <v>1686.97</v>
      </c>
      <c r="AA73">
        <v>1683.24</v>
      </c>
      <c r="AB73">
        <v>1682.9</v>
      </c>
      <c r="AC73">
        <v>1682.9</v>
      </c>
      <c r="AD73">
        <v>1679.18</v>
      </c>
      <c r="AE73">
        <v>1678.84</v>
      </c>
      <c r="AF73">
        <v>1675.11</v>
      </c>
      <c r="AG73">
        <v>1675.11</v>
      </c>
      <c r="AH73">
        <v>1671.39</v>
      </c>
      <c r="AI73">
        <v>1671.05</v>
      </c>
      <c r="AJ73">
        <v>1667.32</v>
      </c>
      <c r="AK73">
        <v>1667.32</v>
      </c>
      <c r="AL73">
        <v>1663.59</v>
      </c>
      <c r="AM73">
        <v>1663.26</v>
      </c>
      <c r="AN73">
        <v>1659.53</v>
      </c>
      <c r="AO73">
        <v>1659.19</v>
      </c>
      <c r="AP73">
        <v>1655.8</v>
      </c>
      <c r="AQ73">
        <v>1655.46</v>
      </c>
    </row>
    <row r="74" spans="1:43" x14ac:dyDescent="0.15">
      <c r="A74" t="s">
        <v>1376</v>
      </c>
      <c r="B74">
        <v>8770.7900000000009</v>
      </c>
      <c r="C74">
        <v>8770.7900000000009</v>
      </c>
      <c r="D74">
        <v>8967.15</v>
      </c>
      <c r="E74">
        <v>8819.23</v>
      </c>
      <c r="F74">
        <v>9267.82</v>
      </c>
      <c r="G74">
        <v>9338.83</v>
      </c>
      <c r="H74">
        <v>9328.67</v>
      </c>
      <c r="I74">
        <v>9321.89</v>
      </c>
      <c r="J74">
        <v>9325.2800000000007</v>
      </c>
      <c r="K74">
        <v>9362.5499999999993</v>
      </c>
      <c r="L74">
        <v>9382.8700000000008</v>
      </c>
      <c r="M74">
        <v>9406.59</v>
      </c>
      <c r="N74">
        <v>9481.1200000000008</v>
      </c>
      <c r="O74">
        <v>9477.73</v>
      </c>
      <c r="P74">
        <v>9498.06</v>
      </c>
      <c r="Q74">
        <v>9515</v>
      </c>
      <c r="R74">
        <v>9548.8799999999992</v>
      </c>
      <c r="S74">
        <v>9531.94</v>
      </c>
      <c r="T74">
        <v>9538.7099999999991</v>
      </c>
      <c r="U74">
        <v>9559.0400000000009</v>
      </c>
      <c r="V74">
        <v>9575.98</v>
      </c>
      <c r="W74">
        <v>9579.3700000000008</v>
      </c>
      <c r="X74">
        <v>9589.5300000000007</v>
      </c>
      <c r="Y74">
        <v>9606.4699999999993</v>
      </c>
      <c r="Z74">
        <v>9606.4699999999993</v>
      </c>
      <c r="AA74">
        <v>9616.64</v>
      </c>
      <c r="AB74">
        <v>9626.7999999999993</v>
      </c>
      <c r="AC74">
        <v>9647.1299999999992</v>
      </c>
      <c r="AD74">
        <v>9657.2900000000009</v>
      </c>
      <c r="AE74">
        <v>9664.07</v>
      </c>
      <c r="AF74">
        <v>9670.84</v>
      </c>
      <c r="AG74">
        <v>9687.7800000000007</v>
      </c>
      <c r="AH74">
        <v>9694.56</v>
      </c>
      <c r="AI74">
        <v>9704.7199999999993</v>
      </c>
      <c r="AJ74">
        <v>9718.27</v>
      </c>
      <c r="AK74">
        <v>9728.43</v>
      </c>
      <c r="AL74">
        <v>9738.6</v>
      </c>
      <c r="AM74">
        <v>9748.76</v>
      </c>
      <c r="AN74">
        <v>9758.93</v>
      </c>
      <c r="AO74">
        <v>9769.09</v>
      </c>
      <c r="AP74">
        <v>9779.25</v>
      </c>
      <c r="AQ74">
        <v>9792.7999999999993</v>
      </c>
    </row>
    <row r="75" spans="1:43" x14ac:dyDescent="0.15">
      <c r="A75" t="s">
        <v>1377</v>
      </c>
      <c r="B75">
        <v>1573.08</v>
      </c>
      <c r="C75">
        <v>1573.08</v>
      </c>
      <c r="D75">
        <v>1702.02</v>
      </c>
      <c r="E75">
        <v>1550.24</v>
      </c>
      <c r="F75">
        <v>1940.59</v>
      </c>
      <c r="G75">
        <v>2078.61</v>
      </c>
      <c r="H75">
        <v>2098.9299999999998</v>
      </c>
      <c r="I75">
        <v>2114.86</v>
      </c>
      <c r="J75">
        <v>2125.02</v>
      </c>
      <c r="K75">
        <v>2161.27</v>
      </c>
      <c r="L75">
        <v>2181.2600000000002</v>
      </c>
      <c r="M75">
        <v>2197.1799999999998</v>
      </c>
      <c r="N75">
        <v>2242.92</v>
      </c>
      <c r="O75">
        <v>2256.4699999999998</v>
      </c>
      <c r="P75">
        <v>2276.79</v>
      </c>
      <c r="Q75">
        <v>2286.96</v>
      </c>
      <c r="R75">
        <v>2297.12</v>
      </c>
      <c r="S75">
        <v>2283.5700000000002</v>
      </c>
      <c r="T75">
        <v>2280.1799999999998</v>
      </c>
      <c r="U75">
        <v>2297.12</v>
      </c>
      <c r="V75">
        <v>2307.29</v>
      </c>
      <c r="W75">
        <v>2300.5100000000002</v>
      </c>
      <c r="X75">
        <v>2324.2199999999998</v>
      </c>
      <c r="Y75">
        <v>2331</v>
      </c>
      <c r="Z75">
        <v>2337.7800000000002</v>
      </c>
      <c r="AA75">
        <v>2347.94</v>
      </c>
      <c r="AB75">
        <v>2358.1</v>
      </c>
      <c r="AC75">
        <v>2375.04</v>
      </c>
      <c r="AD75">
        <v>2385.21</v>
      </c>
      <c r="AE75">
        <v>2395.37</v>
      </c>
      <c r="AF75">
        <v>2398.7600000000002</v>
      </c>
      <c r="AG75">
        <v>2408.92</v>
      </c>
      <c r="AH75">
        <v>2425.86</v>
      </c>
      <c r="AI75">
        <v>2432.64</v>
      </c>
      <c r="AJ75">
        <v>2446.19</v>
      </c>
      <c r="AK75">
        <v>2456.35</v>
      </c>
      <c r="AL75">
        <v>2466.5100000000002</v>
      </c>
      <c r="AM75">
        <v>2473.29</v>
      </c>
      <c r="AN75">
        <v>2483.4499999999998</v>
      </c>
      <c r="AO75">
        <v>2493.62</v>
      </c>
      <c r="AP75">
        <v>2503.7800000000002</v>
      </c>
      <c r="AQ75">
        <v>2513.94</v>
      </c>
    </row>
    <row r="76" spans="1:43" x14ac:dyDescent="0.15">
      <c r="A76" t="s">
        <v>1378</v>
      </c>
      <c r="B76">
        <v>1391.14</v>
      </c>
      <c r="C76">
        <v>1391.14</v>
      </c>
      <c r="D76">
        <v>1443.48</v>
      </c>
      <c r="E76">
        <v>1378.41</v>
      </c>
      <c r="F76">
        <v>1544.81</v>
      </c>
      <c r="G76">
        <v>1566.68</v>
      </c>
      <c r="H76">
        <v>1561.82</v>
      </c>
      <c r="I76">
        <v>1554.61</v>
      </c>
      <c r="J76">
        <v>1553.45</v>
      </c>
      <c r="K76">
        <v>1559.19</v>
      </c>
      <c r="L76">
        <v>1560.46</v>
      </c>
      <c r="M76">
        <v>1565.21</v>
      </c>
      <c r="N76">
        <v>1579.48</v>
      </c>
      <c r="O76">
        <v>1579.72</v>
      </c>
      <c r="P76">
        <v>1581.07</v>
      </c>
      <c r="Q76">
        <v>1583.6</v>
      </c>
      <c r="R76">
        <v>1590.42</v>
      </c>
      <c r="S76">
        <v>1585.96</v>
      </c>
      <c r="T76">
        <v>1586.41</v>
      </c>
      <c r="U76">
        <v>1590.55</v>
      </c>
      <c r="V76">
        <v>1595.02</v>
      </c>
      <c r="W76">
        <v>1595.63</v>
      </c>
      <c r="X76">
        <v>1596.85</v>
      </c>
      <c r="Y76">
        <v>1600.31</v>
      </c>
      <c r="Z76">
        <v>1600.31</v>
      </c>
      <c r="AA76">
        <v>1602.29</v>
      </c>
      <c r="AB76">
        <v>1604.37</v>
      </c>
      <c r="AC76">
        <v>1607.67</v>
      </c>
      <c r="AD76">
        <v>1609.65</v>
      </c>
      <c r="AE76">
        <v>1611.04</v>
      </c>
      <c r="AF76">
        <v>1611.49</v>
      </c>
      <c r="AG76">
        <v>1614.94</v>
      </c>
      <c r="AH76">
        <v>1616.32</v>
      </c>
      <c r="AI76">
        <v>1617.47</v>
      </c>
      <c r="AJ76">
        <v>1620.23</v>
      </c>
      <c r="AK76">
        <v>1622.22</v>
      </c>
      <c r="AL76">
        <v>1623.45</v>
      </c>
      <c r="AM76">
        <v>1625.52</v>
      </c>
      <c r="AN76">
        <v>1627.51</v>
      </c>
      <c r="AO76">
        <v>1628.73</v>
      </c>
      <c r="AP76">
        <v>1630.72</v>
      </c>
      <c r="AQ76">
        <v>1633.46</v>
      </c>
    </row>
    <row r="77" spans="1:43" x14ac:dyDescent="0.15">
      <c r="A77" t="s">
        <v>1379</v>
      </c>
      <c r="B77">
        <v>1454.69</v>
      </c>
      <c r="C77">
        <v>1454.69</v>
      </c>
      <c r="D77">
        <v>1591.81</v>
      </c>
      <c r="E77">
        <v>1497.77</v>
      </c>
      <c r="F77">
        <v>1803.98</v>
      </c>
      <c r="G77">
        <v>1846.87</v>
      </c>
      <c r="H77">
        <v>1851.67</v>
      </c>
      <c r="I77">
        <v>1856.48</v>
      </c>
      <c r="J77">
        <v>1846.87</v>
      </c>
      <c r="K77">
        <v>1846.87</v>
      </c>
      <c r="L77">
        <v>1856.48</v>
      </c>
      <c r="M77">
        <v>1861.28</v>
      </c>
      <c r="N77">
        <v>1903.65</v>
      </c>
      <c r="O77">
        <v>1908.89</v>
      </c>
      <c r="P77">
        <v>1918.06</v>
      </c>
      <c r="Q77">
        <v>1922.86</v>
      </c>
      <c r="R77">
        <v>1927.67</v>
      </c>
      <c r="S77">
        <v>1928.11</v>
      </c>
      <c r="T77">
        <v>1937.28</v>
      </c>
      <c r="U77">
        <v>1946.89</v>
      </c>
      <c r="V77">
        <v>1956.06</v>
      </c>
      <c r="W77">
        <v>1960.86</v>
      </c>
      <c r="X77">
        <v>1965.67</v>
      </c>
      <c r="Y77">
        <v>1970.47</v>
      </c>
      <c r="Z77">
        <v>1975.28</v>
      </c>
      <c r="AA77">
        <v>1975.28</v>
      </c>
      <c r="AB77">
        <v>1980.52</v>
      </c>
      <c r="AC77">
        <v>1984.88</v>
      </c>
      <c r="AD77">
        <v>1994.49</v>
      </c>
      <c r="AE77">
        <v>1999.3</v>
      </c>
      <c r="AF77">
        <v>2004.1</v>
      </c>
      <c r="AG77">
        <v>2013.27</v>
      </c>
      <c r="AH77">
        <v>2013.71</v>
      </c>
      <c r="AI77">
        <v>2018.52</v>
      </c>
      <c r="AJ77">
        <v>2027.69</v>
      </c>
      <c r="AK77">
        <v>2032.49</v>
      </c>
      <c r="AL77">
        <v>2037.3</v>
      </c>
      <c r="AM77">
        <v>2042.1</v>
      </c>
      <c r="AN77">
        <v>2046.91</v>
      </c>
      <c r="AO77">
        <v>2051.71</v>
      </c>
      <c r="AP77">
        <v>2060.88</v>
      </c>
      <c r="AQ77">
        <v>2065.69</v>
      </c>
    </row>
    <row r="78" spans="1:43" x14ac:dyDescent="0.15">
      <c r="A78" t="s">
        <v>1380</v>
      </c>
      <c r="B78">
        <v>1182.27</v>
      </c>
      <c r="C78">
        <v>1182.27</v>
      </c>
      <c r="D78">
        <v>1213</v>
      </c>
      <c r="E78">
        <v>1098.47</v>
      </c>
      <c r="F78">
        <v>1305.23</v>
      </c>
      <c r="G78">
        <v>1320.7</v>
      </c>
      <c r="H78">
        <v>1300.1500000000001</v>
      </c>
      <c r="I78">
        <v>1279.82</v>
      </c>
      <c r="J78">
        <v>1260.6300000000001</v>
      </c>
      <c r="K78">
        <v>1242.78</v>
      </c>
      <c r="L78">
        <v>1226.07</v>
      </c>
      <c r="M78">
        <v>1209.58</v>
      </c>
      <c r="N78">
        <v>1193.0899999999999</v>
      </c>
      <c r="O78">
        <v>1178.8699999999999</v>
      </c>
      <c r="P78">
        <v>1164.8599999999999</v>
      </c>
      <c r="Q78">
        <v>1150.8599999999999</v>
      </c>
      <c r="R78">
        <v>1138.0999999999999</v>
      </c>
      <c r="S78">
        <v>1125.45</v>
      </c>
      <c r="T78">
        <v>1113.93</v>
      </c>
      <c r="U78">
        <v>1102.4100000000001</v>
      </c>
      <c r="V78">
        <v>1092.25</v>
      </c>
      <c r="W78">
        <v>1081.97</v>
      </c>
      <c r="X78">
        <v>1073.05</v>
      </c>
      <c r="Y78">
        <v>1064.02</v>
      </c>
      <c r="Z78">
        <v>1055.0999999999999</v>
      </c>
      <c r="AA78">
        <v>1046.29</v>
      </c>
      <c r="AB78">
        <v>1038.6099999999999</v>
      </c>
      <c r="AC78">
        <v>1030.93</v>
      </c>
      <c r="AD78">
        <v>1024.49</v>
      </c>
      <c r="AE78">
        <v>1016.93</v>
      </c>
      <c r="AF78">
        <v>1010.6</v>
      </c>
      <c r="AG78">
        <v>1004.5</v>
      </c>
      <c r="AH78">
        <v>998.63199999999995</v>
      </c>
      <c r="AI78">
        <v>993.09799999999996</v>
      </c>
      <c r="AJ78">
        <v>987.79100000000005</v>
      </c>
      <c r="AK78">
        <v>982.70899999999995</v>
      </c>
      <c r="AL78">
        <v>977.85299999999995</v>
      </c>
      <c r="AM78">
        <v>973.25699999999995</v>
      </c>
      <c r="AN78">
        <v>968.92</v>
      </c>
      <c r="AO78">
        <v>964.70799999999997</v>
      </c>
      <c r="AP78">
        <v>960.75599999999997</v>
      </c>
      <c r="AQ78">
        <v>956.92700000000002</v>
      </c>
    </row>
    <row r="79" spans="1:43" x14ac:dyDescent="0.15">
      <c r="A79" t="s">
        <v>1381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15">
      <c r="A80" t="s">
        <v>1382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15">
      <c r="A81" t="s">
        <v>1383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15">
      <c r="A82" t="s">
        <v>1384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15">
      <c r="A83" t="s">
        <v>1385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15">
      <c r="A84" t="s">
        <v>1386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15">
      <c r="A85" t="s">
        <v>1387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90" spans="1:43" x14ac:dyDescent="0.15"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  <c r="AH90" s="176"/>
      <c r="AI90" s="176"/>
      <c r="AJ90" s="176"/>
      <c r="AK90" s="176"/>
      <c r="AL90" s="176"/>
      <c r="AM90" s="176"/>
      <c r="AN90" s="176"/>
      <c r="AO90" s="176"/>
      <c r="AP90" s="176"/>
      <c r="AQ90" s="176"/>
    </row>
    <row r="91" spans="1:43" x14ac:dyDescent="0.15"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76"/>
      <c r="AM91" s="176"/>
      <c r="AN91" s="176"/>
      <c r="AO91" s="176"/>
      <c r="AP91" s="176"/>
      <c r="AQ91" s="176"/>
    </row>
    <row r="92" spans="1:43" x14ac:dyDescent="0.15"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76"/>
      <c r="AM92" s="176"/>
      <c r="AN92" s="176"/>
      <c r="AO92" s="176"/>
      <c r="AP92" s="176"/>
      <c r="AQ92" s="176"/>
    </row>
    <row r="93" spans="1:43" x14ac:dyDescent="0.15"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76"/>
      <c r="AH93" s="176"/>
      <c r="AI93" s="176"/>
      <c r="AJ93" s="176"/>
      <c r="AK93" s="176"/>
      <c r="AL93" s="176"/>
      <c r="AM93" s="176"/>
      <c r="AN93" s="176"/>
      <c r="AO93" s="176"/>
      <c r="AP93" s="176"/>
      <c r="AQ93" s="176"/>
    </row>
    <row r="94" spans="1:43" x14ac:dyDescent="0.15"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</row>
    <row r="95" spans="1:43" x14ac:dyDescent="0.15"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</row>
    <row r="96" spans="1:43" x14ac:dyDescent="0.15"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</row>
    <row r="97" spans="2:43" x14ac:dyDescent="0.15"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6"/>
    </row>
    <row r="98" spans="2:43" x14ac:dyDescent="0.15"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  <c r="AH98" s="176"/>
      <c r="AI98" s="176"/>
      <c r="AJ98" s="176"/>
      <c r="AK98" s="176"/>
      <c r="AL98" s="176"/>
      <c r="AM98" s="176"/>
      <c r="AN98" s="176"/>
      <c r="AO98" s="176"/>
      <c r="AP98" s="176"/>
      <c r="AQ98" s="176"/>
    </row>
    <row r="99" spans="2:43" x14ac:dyDescent="0.15"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76"/>
      <c r="AH99" s="176"/>
      <c r="AI99" s="176"/>
      <c r="AJ99" s="176"/>
      <c r="AK99" s="176"/>
      <c r="AL99" s="176"/>
      <c r="AM99" s="176"/>
      <c r="AN99" s="176"/>
      <c r="AO99" s="176"/>
      <c r="AP99" s="176"/>
      <c r="AQ99" s="176"/>
    </row>
    <row r="100" spans="2:43" x14ac:dyDescent="0.15"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76"/>
      <c r="AH100" s="176"/>
      <c r="AI100" s="176"/>
      <c r="AJ100" s="176"/>
      <c r="AK100" s="176"/>
      <c r="AL100" s="176"/>
      <c r="AM100" s="176"/>
      <c r="AN100" s="176"/>
      <c r="AO100" s="176"/>
      <c r="AP100" s="176"/>
      <c r="AQ100" s="176"/>
    </row>
    <row r="101" spans="2:43" x14ac:dyDescent="0.15"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76"/>
      <c r="AH101" s="176"/>
      <c r="AI101" s="176"/>
      <c r="AJ101" s="176"/>
      <c r="AK101" s="176"/>
      <c r="AL101" s="176"/>
      <c r="AM101" s="176"/>
      <c r="AN101" s="176"/>
      <c r="AO101" s="176"/>
      <c r="AP101" s="176"/>
      <c r="AQ101" s="176"/>
    </row>
    <row r="102" spans="2:43" x14ac:dyDescent="0.15"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76"/>
      <c r="AH102" s="176"/>
      <c r="AI102" s="176"/>
      <c r="AJ102" s="176"/>
      <c r="AK102" s="176"/>
      <c r="AL102" s="176"/>
      <c r="AM102" s="176"/>
      <c r="AN102" s="176"/>
      <c r="AO102" s="176"/>
      <c r="AP102" s="176"/>
      <c r="AQ102" s="176"/>
    </row>
    <row r="103" spans="2:43" x14ac:dyDescent="0.15"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6"/>
      <c r="AG103" s="176"/>
      <c r="AH103" s="176"/>
      <c r="AI103" s="176"/>
      <c r="AJ103" s="176"/>
      <c r="AK103" s="176"/>
      <c r="AL103" s="176"/>
      <c r="AM103" s="176"/>
      <c r="AN103" s="176"/>
      <c r="AO103" s="176"/>
      <c r="AP103" s="176"/>
      <c r="AQ103" s="176"/>
    </row>
  </sheetData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E28C-2C3F-41B0-B179-7A3BA92B39C5}">
  <dimension ref="A1:AQ85"/>
  <sheetViews>
    <sheetView topLeftCell="S55" workbookViewId="0">
      <selection sqref="A1:AQ85"/>
    </sheetView>
  </sheetViews>
  <sheetFormatPr defaultRowHeight="12.9" x14ac:dyDescent="0.15"/>
  <sheetData>
    <row r="1" spans="1:43" x14ac:dyDescent="0.15">
      <c r="A1" t="s">
        <v>1068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1219</v>
      </c>
      <c r="B2">
        <v>39238.1</v>
      </c>
      <c r="C2">
        <v>39238.1</v>
      </c>
      <c r="D2">
        <v>37767.9</v>
      </c>
      <c r="E2">
        <v>36755</v>
      </c>
      <c r="F2">
        <v>36200.1</v>
      </c>
      <c r="G2">
        <v>35791.1</v>
      </c>
      <c r="H2">
        <v>35528.1</v>
      </c>
      <c r="I2">
        <v>35174.9</v>
      </c>
      <c r="J2">
        <v>34865.9</v>
      </c>
      <c r="K2">
        <v>34420.1</v>
      </c>
      <c r="L2">
        <v>34134.699999999997</v>
      </c>
      <c r="M2">
        <v>33621.800000000003</v>
      </c>
      <c r="N2">
        <v>33312.400000000001</v>
      </c>
      <c r="O2">
        <v>33050.300000000003</v>
      </c>
      <c r="P2">
        <v>32805.800000000003</v>
      </c>
      <c r="Q2">
        <v>32599.4</v>
      </c>
      <c r="R2">
        <v>32424</v>
      </c>
      <c r="S2">
        <v>32267.7</v>
      </c>
      <c r="T2">
        <v>32131</v>
      </c>
      <c r="U2">
        <v>32014</v>
      </c>
      <c r="V2">
        <v>31913.7</v>
      </c>
      <c r="W2">
        <v>31818.7</v>
      </c>
      <c r="X2">
        <v>31731</v>
      </c>
      <c r="Y2">
        <v>31655.7</v>
      </c>
      <c r="Z2">
        <v>31587.7</v>
      </c>
      <c r="AA2">
        <v>31525.8</v>
      </c>
      <c r="AB2">
        <v>31469.7</v>
      </c>
      <c r="AC2">
        <v>31414.799999999999</v>
      </c>
      <c r="AD2">
        <v>31367.3</v>
      </c>
      <c r="AE2">
        <v>31323.9</v>
      </c>
      <c r="AF2">
        <v>31279.599999999999</v>
      </c>
      <c r="AG2">
        <v>31242.2</v>
      </c>
      <c r="AH2">
        <v>31207.200000000001</v>
      </c>
      <c r="AI2">
        <v>31170.5</v>
      </c>
      <c r="AJ2">
        <v>31139.9</v>
      </c>
      <c r="AK2">
        <v>31110.799999999999</v>
      </c>
      <c r="AL2">
        <v>31080.1</v>
      </c>
      <c r="AM2">
        <v>31054.400000000001</v>
      </c>
      <c r="AN2">
        <v>31029.8</v>
      </c>
      <c r="AO2">
        <v>31003.200000000001</v>
      </c>
      <c r="AP2">
        <v>30980.9</v>
      </c>
      <c r="AQ2">
        <v>30959.9</v>
      </c>
    </row>
    <row r="3" spans="1:43" x14ac:dyDescent="0.15">
      <c r="A3" t="s">
        <v>1220</v>
      </c>
      <c r="B3">
        <v>50763.3</v>
      </c>
      <c r="C3">
        <v>50763.3</v>
      </c>
      <c r="D3">
        <v>50853</v>
      </c>
      <c r="E3">
        <v>50140.800000000003</v>
      </c>
      <c r="F3">
        <v>49940</v>
      </c>
      <c r="G3">
        <v>49892.5</v>
      </c>
      <c r="H3">
        <v>49908.800000000003</v>
      </c>
      <c r="I3">
        <v>49925</v>
      </c>
      <c r="J3">
        <v>50158.400000000001</v>
      </c>
      <c r="K3">
        <v>50391.7</v>
      </c>
      <c r="L3">
        <v>50344.2</v>
      </c>
      <c r="M3">
        <v>50299.5</v>
      </c>
      <c r="N3">
        <v>50391.7</v>
      </c>
      <c r="O3">
        <v>50344.2</v>
      </c>
      <c r="P3">
        <v>50314.400000000001</v>
      </c>
      <c r="Q3">
        <v>50283.199999999997</v>
      </c>
      <c r="R3">
        <v>50253.3</v>
      </c>
      <c r="S3">
        <v>50220.800000000003</v>
      </c>
      <c r="T3">
        <v>50189.599999999999</v>
      </c>
      <c r="U3">
        <v>50173.3</v>
      </c>
      <c r="V3">
        <v>50143.5</v>
      </c>
      <c r="W3">
        <v>50127.199999999997</v>
      </c>
      <c r="X3">
        <v>50110.9</v>
      </c>
      <c r="Y3">
        <v>50096</v>
      </c>
      <c r="Z3">
        <v>50081.1</v>
      </c>
      <c r="AA3">
        <v>50066.1</v>
      </c>
      <c r="AB3">
        <v>50064.800000000003</v>
      </c>
      <c r="AC3">
        <v>50064.800000000003</v>
      </c>
      <c r="AD3">
        <v>50049.9</v>
      </c>
      <c r="AE3">
        <v>50048.5</v>
      </c>
      <c r="AF3">
        <v>50033.599999999999</v>
      </c>
      <c r="AG3">
        <v>50033.599999999999</v>
      </c>
      <c r="AH3">
        <v>50018.6</v>
      </c>
      <c r="AI3">
        <v>50017.3</v>
      </c>
      <c r="AJ3">
        <v>50002.400000000001</v>
      </c>
      <c r="AK3">
        <v>50002.400000000001</v>
      </c>
      <c r="AL3">
        <v>49987.4</v>
      </c>
      <c r="AM3">
        <v>49986.1</v>
      </c>
      <c r="AN3">
        <v>49971.199999999997</v>
      </c>
      <c r="AO3">
        <v>49969.8</v>
      </c>
      <c r="AP3">
        <v>49956.2</v>
      </c>
      <c r="AQ3">
        <v>49954.9</v>
      </c>
    </row>
    <row r="4" spans="1:43" x14ac:dyDescent="0.15">
      <c r="A4" t="s">
        <v>1221</v>
      </c>
      <c r="B4">
        <v>48296.1</v>
      </c>
      <c r="C4">
        <v>48296.1</v>
      </c>
      <c r="D4">
        <v>49750</v>
      </c>
      <c r="E4">
        <v>49214.3</v>
      </c>
      <c r="F4">
        <v>49224.2</v>
      </c>
      <c r="G4">
        <v>49011.6</v>
      </c>
      <c r="H4">
        <v>48777.599999999999</v>
      </c>
      <c r="I4">
        <v>48609.1</v>
      </c>
      <c r="J4">
        <v>48492.3</v>
      </c>
      <c r="K4">
        <v>48529.599999999999</v>
      </c>
      <c r="L4">
        <v>48478.9</v>
      </c>
      <c r="M4">
        <v>48439.7</v>
      </c>
      <c r="N4">
        <v>48616.7</v>
      </c>
      <c r="O4">
        <v>48442.3</v>
      </c>
      <c r="P4">
        <v>48363.4</v>
      </c>
      <c r="Q4">
        <v>48265.2</v>
      </c>
      <c r="R4">
        <v>48226.7</v>
      </c>
      <c r="S4">
        <v>48163.3</v>
      </c>
      <c r="T4">
        <v>48188.7</v>
      </c>
      <c r="U4">
        <v>48264.6</v>
      </c>
      <c r="V4">
        <v>48328</v>
      </c>
      <c r="W4">
        <v>48340.6</v>
      </c>
      <c r="X4">
        <v>48378.6</v>
      </c>
      <c r="Y4">
        <v>48441.9</v>
      </c>
      <c r="Z4">
        <v>48441.9</v>
      </c>
      <c r="AA4">
        <v>48479.9</v>
      </c>
      <c r="AB4">
        <v>48517.9</v>
      </c>
      <c r="AC4">
        <v>48593.9</v>
      </c>
      <c r="AD4">
        <v>48631.9</v>
      </c>
      <c r="AE4">
        <v>48657.2</v>
      </c>
      <c r="AF4">
        <v>48682.6</v>
      </c>
      <c r="AG4">
        <v>48745.9</v>
      </c>
      <c r="AH4">
        <v>48771.199999999997</v>
      </c>
      <c r="AI4">
        <v>48809.2</v>
      </c>
      <c r="AJ4">
        <v>48859.9</v>
      </c>
      <c r="AK4">
        <v>48897.9</v>
      </c>
      <c r="AL4">
        <v>48935.8</v>
      </c>
      <c r="AM4">
        <v>48973.8</v>
      </c>
      <c r="AN4">
        <v>49011.8</v>
      </c>
      <c r="AO4">
        <v>49049.8</v>
      </c>
      <c r="AP4">
        <v>49087.8</v>
      </c>
      <c r="AQ4">
        <v>49138.5</v>
      </c>
    </row>
    <row r="5" spans="1:43" x14ac:dyDescent="0.15">
      <c r="A5" t="s">
        <v>1222</v>
      </c>
      <c r="B5">
        <v>50640</v>
      </c>
      <c r="C5">
        <v>50640</v>
      </c>
      <c r="D5">
        <v>51386.6</v>
      </c>
      <c r="E5">
        <v>50642.7</v>
      </c>
      <c r="F5">
        <v>50848.6</v>
      </c>
      <c r="G5">
        <v>51078.3</v>
      </c>
      <c r="H5">
        <v>51029.599999999999</v>
      </c>
      <c r="I5">
        <v>50977.1</v>
      </c>
      <c r="J5">
        <v>50900.6</v>
      </c>
      <c r="K5">
        <v>50940.6</v>
      </c>
      <c r="L5">
        <v>50893.7</v>
      </c>
      <c r="M5">
        <v>50826.3</v>
      </c>
      <c r="N5">
        <v>50874.3</v>
      </c>
      <c r="O5">
        <v>50785.4</v>
      </c>
      <c r="P5">
        <v>50712.5</v>
      </c>
      <c r="Q5">
        <v>50602.2</v>
      </c>
      <c r="R5">
        <v>50485.7</v>
      </c>
      <c r="S5">
        <v>50437.7</v>
      </c>
      <c r="T5">
        <v>50425.7</v>
      </c>
      <c r="U5">
        <v>50485.7</v>
      </c>
      <c r="V5">
        <v>50521.8</v>
      </c>
      <c r="W5">
        <v>50497.8</v>
      </c>
      <c r="X5">
        <v>50581.9</v>
      </c>
      <c r="Y5">
        <v>50605.9</v>
      </c>
      <c r="Z5">
        <v>50630</v>
      </c>
      <c r="AA5">
        <v>50666</v>
      </c>
      <c r="AB5">
        <v>50702.1</v>
      </c>
      <c r="AC5">
        <v>50762.2</v>
      </c>
      <c r="AD5">
        <v>50798.2</v>
      </c>
      <c r="AE5">
        <v>50834.3</v>
      </c>
      <c r="AF5">
        <v>50846.3</v>
      </c>
      <c r="AG5">
        <v>50882.400000000001</v>
      </c>
      <c r="AH5">
        <v>50942.5</v>
      </c>
      <c r="AI5">
        <v>50966.5</v>
      </c>
      <c r="AJ5">
        <v>51014.6</v>
      </c>
      <c r="AK5">
        <v>51050.6</v>
      </c>
      <c r="AL5">
        <v>51086.7</v>
      </c>
      <c r="AM5">
        <v>51110.7</v>
      </c>
      <c r="AN5">
        <v>51146.8</v>
      </c>
      <c r="AO5">
        <v>51182.8</v>
      </c>
      <c r="AP5">
        <v>51218.9</v>
      </c>
      <c r="AQ5">
        <v>51254.9</v>
      </c>
    </row>
    <row r="6" spans="1:43" x14ac:dyDescent="0.15">
      <c r="A6" t="s">
        <v>1223</v>
      </c>
      <c r="B6">
        <v>52065.2</v>
      </c>
      <c r="C6">
        <v>52065.2</v>
      </c>
      <c r="D6">
        <v>52534.400000000001</v>
      </c>
      <c r="E6">
        <v>52046</v>
      </c>
      <c r="F6">
        <v>52036.9</v>
      </c>
      <c r="G6">
        <v>51867.6</v>
      </c>
      <c r="H6">
        <v>51729.3</v>
      </c>
      <c r="I6">
        <v>51621.5</v>
      </c>
      <c r="J6">
        <v>51572.7</v>
      </c>
      <c r="K6">
        <v>51580.2</v>
      </c>
      <c r="L6">
        <v>51550.1</v>
      </c>
      <c r="M6">
        <v>51545.9</v>
      </c>
      <c r="N6">
        <v>51633.9</v>
      </c>
      <c r="O6">
        <v>51606.6</v>
      </c>
      <c r="P6">
        <v>51588.9</v>
      </c>
      <c r="Q6">
        <v>51577.2</v>
      </c>
      <c r="R6">
        <v>51603</v>
      </c>
      <c r="S6">
        <v>51568</v>
      </c>
      <c r="T6">
        <v>51571.5</v>
      </c>
      <c r="U6">
        <v>51604</v>
      </c>
      <c r="V6">
        <v>51639</v>
      </c>
      <c r="W6">
        <v>51643.8</v>
      </c>
      <c r="X6">
        <v>51653.4</v>
      </c>
      <c r="Y6">
        <v>51680.5</v>
      </c>
      <c r="Z6">
        <v>51680.5</v>
      </c>
      <c r="AA6">
        <v>51696</v>
      </c>
      <c r="AB6">
        <v>51712.3</v>
      </c>
      <c r="AC6">
        <v>51738.2</v>
      </c>
      <c r="AD6">
        <v>51753.8</v>
      </c>
      <c r="AE6">
        <v>51764.6</v>
      </c>
      <c r="AF6">
        <v>51768.1</v>
      </c>
      <c r="AG6">
        <v>51795.199999999997</v>
      </c>
      <c r="AH6">
        <v>51806</v>
      </c>
      <c r="AI6">
        <v>51815</v>
      </c>
      <c r="AJ6">
        <v>51836.7</v>
      </c>
      <c r="AK6">
        <v>51852.2</v>
      </c>
      <c r="AL6">
        <v>51861.9</v>
      </c>
      <c r="AM6">
        <v>51878.1</v>
      </c>
      <c r="AN6">
        <v>51893.7</v>
      </c>
      <c r="AO6">
        <v>51903.3</v>
      </c>
      <c r="AP6">
        <v>51918.9</v>
      </c>
      <c r="AQ6">
        <v>51940.4</v>
      </c>
    </row>
    <row r="7" spans="1:43" x14ac:dyDescent="0.15">
      <c r="A7" t="s">
        <v>1224</v>
      </c>
      <c r="B7">
        <v>52306.8</v>
      </c>
      <c r="C7">
        <v>52306.8</v>
      </c>
      <c r="D7">
        <v>53571.199999999997</v>
      </c>
      <c r="E7">
        <v>53353.8</v>
      </c>
      <c r="F7">
        <v>53550.3</v>
      </c>
      <c r="G7">
        <v>53486.2</v>
      </c>
      <c r="H7">
        <v>53518.3</v>
      </c>
      <c r="I7">
        <v>53550.3</v>
      </c>
      <c r="J7">
        <v>53486.2</v>
      </c>
      <c r="K7">
        <v>53486.2</v>
      </c>
      <c r="L7">
        <v>53550.3</v>
      </c>
      <c r="M7">
        <v>53582.400000000001</v>
      </c>
      <c r="N7">
        <v>53864.9</v>
      </c>
      <c r="O7">
        <v>53899.9</v>
      </c>
      <c r="P7">
        <v>53961</v>
      </c>
      <c r="Q7">
        <v>53993.1</v>
      </c>
      <c r="R7">
        <v>54025.1</v>
      </c>
      <c r="S7">
        <v>54028</v>
      </c>
      <c r="T7">
        <v>54089.2</v>
      </c>
      <c r="U7">
        <v>54153.3</v>
      </c>
      <c r="V7">
        <v>54214.400000000001</v>
      </c>
      <c r="W7">
        <v>54246.5</v>
      </c>
      <c r="X7">
        <v>54278.5</v>
      </c>
      <c r="Y7">
        <v>54310.6</v>
      </c>
      <c r="Z7">
        <v>54342.6</v>
      </c>
      <c r="AA7">
        <v>54342.6</v>
      </c>
      <c r="AB7">
        <v>54377.599999999999</v>
      </c>
      <c r="AC7">
        <v>54406.7</v>
      </c>
      <c r="AD7">
        <v>54470.8</v>
      </c>
      <c r="AE7">
        <v>54502.8</v>
      </c>
      <c r="AF7">
        <v>54534.8</v>
      </c>
      <c r="AG7">
        <v>54596</v>
      </c>
      <c r="AH7">
        <v>54598.9</v>
      </c>
      <c r="AI7">
        <v>54631</v>
      </c>
      <c r="AJ7">
        <v>54692.1</v>
      </c>
      <c r="AK7">
        <v>54724.2</v>
      </c>
      <c r="AL7">
        <v>54756.2</v>
      </c>
      <c r="AM7">
        <v>54788.3</v>
      </c>
      <c r="AN7">
        <v>54820.3</v>
      </c>
      <c r="AO7">
        <v>54852.3</v>
      </c>
      <c r="AP7">
        <v>54913.5</v>
      </c>
      <c r="AQ7">
        <v>54945.5</v>
      </c>
    </row>
    <row r="8" spans="1:43" x14ac:dyDescent="0.15">
      <c r="A8" t="s">
        <v>1225</v>
      </c>
      <c r="B8">
        <v>79555.5</v>
      </c>
      <c r="C8">
        <v>79555.5</v>
      </c>
      <c r="D8">
        <v>79140</v>
      </c>
      <c r="E8">
        <v>77502.8</v>
      </c>
      <c r="F8">
        <v>77055.600000000006</v>
      </c>
      <c r="G8">
        <v>76518</v>
      </c>
      <c r="H8">
        <v>76032.7</v>
      </c>
      <c r="I8">
        <v>75579.8</v>
      </c>
      <c r="J8">
        <v>75150.399999999994</v>
      </c>
      <c r="K8">
        <v>74760.800000000003</v>
      </c>
      <c r="L8">
        <v>74397.8</v>
      </c>
      <c r="M8">
        <v>74057.5</v>
      </c>
      <c r="N8">
        <v>73890.600000000006</v>
      </c>
      <c r="O8">
        <v>73746.5</v>
      </c>
      <c r="P8">
        <v>73604.7</v>
      </c>
      <c r="Q8">
        <v>73462.899999999994</v>
      </c>
      <c r="R8">
        <v>73333.600000000006</v>
      </c>
      <c r="S8">
        <v>73205.600000000006</v>
      </c>
      <c r="T8">
        <v>73088.899999999994</v>
      </c>
      <c r="U8">
        <v>72972.3</v>
      </c>
      <c r="V8">
        <v>72869.399999999994</v>
      </c>
      <c r="W8">
        <v>72765.3</v>
      </c>
      <c r="X8">
        <v>72674.899999999994</v>
      </c>
      <c r="Y8">
        <v>72583.5</v>
      </c>
      <c r="Z8">
        <v>72493.100000000006</v>
      </c>
      <c r="AA8">
        <v>72403.899999999994</v>
      </c>
      <c r="AB8">
        <v>72326.100000000006</v>
      </c>
      <c r="AC8">
        <v>72248.399999999994</v>
      </c>
      <c r="AD8">
        <v>72183.199999999997</v>
      </c>
      <c r="AE8">
        <v>72106.600000000006</v>
      </c>
      <c r="AF8">
        <v>72042.5</v>
      </c>
      <c r="AG8">
        <v>71980.800000000003</v>
      </c>
      <c r="AH8">
        <v>71921.3</v>
      </c>
      <c r="AI8">
        <v>71865.3</v>
      </c>
      <c r="AJ8">
        <v>71811.5</v>
      </c>
      <c r="AK8">
        <v>71760.100000000006</v>
      </c>
      <c r="AL8">
        <v>71710.899999999994</v>
      </c>
      <c r="AM8">
        <v>71664.399999999994</v>
      </c>
      <c r="AN8">
        <v>71620.399999999994</v>
      </c>
      <c r="AO8">
        <v>71577.8</v>
      </c>
      <c r="AP8">
        <v>71537.8</v>
      </c>
      <c r="AQ8">
        <v>71499</v>
      </c>
    </row>
    <row r="9" spans="1:43" x14ac:dyDescent="0.15">
      <c r="A9" t="s">
        <v>1226</v>
      </c>
      <c r="B9">
        <v>50001.3</v>
      </c>
      <c r="C9">
        <v>50001.3</v>
      </c>
      <c r="D9">
        <v>47872.800000000003</v>
      </c>
      <c r="E9">
        <v>46428.7</v>
      </c>
      <c r="F9">
        <v>45461.8</v>
      </c>
      <c r="G9">
        <v>44532.9</v>
      </c>
      <c r="H9">
        <v>43843.8</v>
      </c>
      <c r="I9">
        <v>43141.8</v>
      </c>
      <c r="J9">
        <v>42619.4</v>
      </c>
      <c r="K9">
        <v>42147.199999999997</v>
      </c>
      <c r="L9">
        <v>41694.9</v>
      </c>
      <c r="M9">
        <v>41359.199999999997</v>
      </c>
      <c r="N9">
        <v>41030.300000000003</v>
      </c>
      <c r="O9">
        <v>40778.400000000001</v>
      </c>
      <c r="P9">
        <v>40460.300000000003</v>
      </c>
      <c r="Q9">
        <v>40218.300000000003</v>
      </c>
      <c r="R9">
        <v>40016.5</v>
      </c>
      <c r="S9">
        <v>39868.6</v>
      </c>
      <c r="T9">
        <v>39738.300000000003</v>
      </c>
      <c r="U9">
        <v>39644</v>
      </c>
      <c r="V9">
        <v>39585.199999999997</v>
      </c>
      <c r="W9">
        <v>39506.800000000003</v>
      </c>
      <c r="X9">
        <v>39417.9</v>
      </c>
      <c r="Y9">
        <v>39357.199999999997</v>
      </c>
      <c r="Z9">
        <v>39302.400000000001</v>
      </c>
      <c r="AA9">
        <v>39250.699999999997</v>
      </c>
      <c r="AB9">
        <v>39205.5</v>
      </c>
      <c r="AC9">
        <v>39142.9</v>
      </c>
      <c r="AD9">
        <v>39102.9</v>
      </c>
      <c r="AE9">
        <v>39067.800000000003</v>
      </c>
      <c r="AF9">
        <v>39012</v>
      </c>
      <c r="AG9">
        <v>38981.9</v>
      </c>
      <c r="AH9">
        <v>38953.699999999997</v>
      </c>
      <c r="AI9">
        <v>38904</v>
      </c>
      <c r="AJ9">
        <v>38879.4</v>
      </c>
      <c r="AK9">
        <v>38854.1</v>
      </c>
      <c r="AL9">
        <v>38811</v>
      </c>
      <c r="AM9">
        <v>38790.300000000003</v>
      </c>
      <c r="AN9">
        <v>38768.699999999997</v>
      </c>
      <c r="AO9">
        <v>38728.9</v>
      </c>
      <c r="AP9">
        <v>38709.1</v>
      </c>
      <c r="AQ9">
        <v>38691.699999999997</v>
      </c>
    </row>
    <row r="10" spans="1:43" x14ac:dyDescent="0.15">
      <c r="A10" t="s">
        <v>1227</v>
      </c>
      <c r="B10">
        <v>71181</v>
      </c>
      <c r="C10">
        <v>71181</v>
      </c>
      <c r="D10">
        <v>71181</v>
      </c>
      <c r="E10">
        <v>67936.600000000006</v>
      </c>
      <c r="F10">
        <v>65999</v>
      </c>
      <c r="G10">
        <v>65604.7</v>
      </c>
      <c r="H10">
        <v>65739.899999999994</v>
      </c>
      <c r="I10">
        <v>65875.100000000006</v>
      </c>
      <c r="J10">
        <v>67812.7</v>
      </c>
      <c r="K10">
        <v>69750.3</v>
      </c>
      <c r="L10">
        <v>69356.100000000006</v>
      </c>
      <c r="M10">
        <v>68984.3</v>
      </c>
      <c r="N10">
        <v>69750.3</v>
      </c>
      <c r="O10">
        <v>69356.100000000006</v>
      </c>
      <c r="P10">
        <v>69108.2</v>
      </c>
      <c r="Q10">
        <v>68849.100000000006</v>
      </c>
      <c r="R10">
        <v>68601.3</v>
      </c>
      <c r="S10">
        <v>68330.899999999994</v>
      </c>
      <c r="T10">
        <v>68071.8</v>
      </c>
      <c r="U10">
        <v>67936.600000000006</v>
      </c>
      <c r="V10">
        <v>67688.800000000003</v>
      </c>
      <c r="W10">
        <v>67553.600000000006</v>
      </c>
      <c r="X10">
        <v>67418.399999999994</v>
      </c>
      <c r="Y10">
        <v>67294.5</v>
      </c>
      <c r="Z10">
        <v>67170.600000000006</v>
      </c>
      <c r="AA10">
        <v>67046.7</v>
      </c>
      <c r="AB10">
        <v>67035.399999999994</v>
      </c>
      <c r="AC10">
        <v>67035.399999999994</v>
      </c>
      <c r="AD10">
        <v>66911.5</v>
      </c>
      <c r="AE10">
        <v>66900.2</v>
      </c>
      <c r="AF10">
        <v>66776.3</v>
      </c>
      <c r="AG10">
        <v>66776.3</v>
      </c>
      <c r="AH10">
        <v>66652.399999999994</v>
      </c>
      <c r="AI10">
        <v>66641.100000000006</v>
      </c>
      <c r="AJ10">
        <v>66517.2</v>
      </c>
      <c r="AK10">
        <v>66517.2</v>
      </c>
      <c r="AL10">
        <v>66393.3</v>
      </c>
      <c r="AM10">
        <v>66382</v>
      </c>
      <c r="AN10">
        <v>66258.100000000006</v>
      </c>
      <c r="AO10">
        <v>66246.899999999994</v>
      </c>
      <c r="AP10">
        <v>66134.2</v>
      </c>
      <c r="AQ10">
        <v>66122.899999999994</v>
      </c>
    </row>
    <row r="11" spans="1:43" x14ac:dyDescent="0.15">
      <c r="A11" t="s">
        <v>1228</v>
      </c>
      <c r="B11">
        <v>62976</v>
      </c>
      <c r="C11">
        <v>62976</v>
      </c>
      <c r="D11">
        <v>68236.100000000006</v>
      </c>
      <c r="E11">
        <v>69476.899999999994</v>
      </c>
      <c r="F11">
        <v>69443.7</v>
      </c>
      <c r="G11">
        <v>68822.3</v>
      </c>
      <c r="H11">
        <v>68141.399999999994</v>
      </c>
      <c r="I11">
        <v>67769.5</v>
      </c>
      <c r="J11">
        <v>67647.8</v>
      </c>
      <c r="K11">
        <v>68435.8</v>
      </c>
      <c r="L11">
        <v>68709.899999999994</v>
      </c>
      <c r="M11">
        <v>69058.3</v>
      </c>
      <c r="N11">
        <v>70469.399999999994</v>
      </c>
      <c r="O11">
        <v>70174.3</v>
      </c>
      <c r="P11">
        <v>70315.3</v>
      </c>
      <c r="Q11">
        <v>70377.100000000006</v>
      </c>
      <c r="R11">
        <v>70810.5</v>
      </c>
      <c r="S11">
        <v>70437.399999999994</v>
      </c>
      <c r="T11">
        <v>70586.7</v>
      </c>
      <c r="U11">
        <v>71034.399999999994</v>
      </c>
      <c r="V11">
        <v>71407.600000000006</v>
      </c>
      <c r="W11">
        <v>71482.2</v>
      </c>
      <c r="X11">
        <v>71706.100000000006</v>
      </c>
      <c r="Y11">
        <v>72079.199999999997</v>
      </c>
      <c r="Z11">
        <v>72079.199999999997</v>
      </c>
      <c r="AA11">
        <v>72303.100000000006</v>
      </c>
      <c r="AB11">
        <v>72526.899999999994</v>
      </c>
      <c r="AC11">
        <v>72974.7</v>
      </c>
      <c r="AD11">
        <v>73198.600000000006</v>
      </c>
      <c r="AE11">
        <v>73347.8</v>
      </c>
      <c r="AF11">
        <v>73497.100000000006</v>
      </c>
      <c r="AG11">
        <v>73870.2</v>
      </c>
      <c r="AH11">
        <v>74019.5</v>
      </c>
      <c r="AI11">
        <v>74243.399999999994</v>
      </c>
      <c r="AJ11">
        <v>74541.899999999994</v>
      </c>
      <c r="AK11">
        <v>74765.7</v>
      </c>
      <c r="AL11">
        <v>74989.600000000006</v>
      </c>
      <c r="AM11">
        <v>75213.5</v>
      </c>
      <c r="AN11">
        <v>75437.399999999994</v>
      </c>
      <c r="AO11">
        <v>75661.2</v>
      </c>
      <c r="AP11">
        <v>75885.100000000006</v>
      </c>
      <c r="AQ11">
        <v>76183.600000000006</v>
      </c>
    </row>
    <row r="12" spans="1:43" x14ac:dyDescent="0.15">
      <c r="A12" t="s">
        <v>1229</v>
      </c>
      <c r="B12">
        <v>65575.199999999997</v>
      </c>
      <c r="C12">
        <v>65575.199999999997</v>
      </c>
      <c r="D12">
        <v>68106.8</v>
      </c>
      <c r="E12">
        <v>67653.7</v>
      </c>
      <c r="F12">
        <v>68545.8</v>
      </c>
      <c r="G12">
        <v>69933.8</v>
      </c>
      <c r="H12">
        <v>69956.3</v>
      </c>
      <c r="I12">
        <v>70143.5</v>
      </c>
      <c r="J12">
        <v>70286</v>
      </c>
      <c r="K12">
        <v>70927.199999999997</v>
      </c>
      <c r="L12">
        <v>71193.100000000006</v>
      </c>
      <c r="M12">
        <v>71364.100000000006</v>
      </c>
      <c r="N12">
        <v>72094.600000000006</v>
      </c>
      <c r="O12">
        <v>72203</v>
      </c>
      <c r="P12">
        <v>72362.2</v>
      </c>
      <c r="Q12">
        <v>72301.8</v>
      </c>
      <c r="R12">
        <v>72242.899999999994</v>
      </c>
      <c r="S12">
        <v>71958.8</v>
      </c>
      <c r="T12">
        <v>71887.8</v>
      </c>
      <c r="U12">
        <v>72242.899999999994</v>
      </c>
      <c r="V12">
        <v>72456</v>
      </c>
      <c r="W12">
        <v>72314</v>
      </c>
      <c r="X12">
        <v>72811.199999999997</v>
      </c>
      <c r="Y12">
        <v>72953.2</v>
      </c>
      <c r="Z12">
        <v>73095.3</v>
      </c>
      <c r="AA12">
        <v>73308.399999999994</v>
      </c>
      <c r="AB12">
        <v>73521.5</v>
      </c>
      <c r="AC12">
        <v>73876.600000000006</v>
      </c>
      <c r="AD12">
        <v>74089.7</v>
      </c>
      <c r="AE12">
        <v>74302.8</v>
      </c>
      <c r="AF12">
        <v>74373.8</v>
      </c>
      <c r="AG12">
        <v>74586.899999999994</v>
      </c>
      <c r="AH12">
        <v>74942.100000000006</v>
      </c>
      <c r="AI12">
        <v>75084.100000000006</v>
      </c>
      <c r="AJ12">
        <v>75368.3</v>
      </c>
      <c r="AK12">
        <v>75581.3</v>
      </c>
      <c r="AL12">
        <v>75794.399999999994</v>
      </c>
      <c r="AM12">
        <v>75936.5</v>
      </c>
      <c r="AN12">
        <v>76149.600000000006</v>
      </c>
      <c r="AO12">
        <v>76362.7</v>
      </c>
      <c r="AP12">
        <v>76575.8</v>
      </c>
      <c r="AQ12">
        <v>76788.899999999994</v>
      </c>
    </row>
    <row r="13" spans="1:43" x14ac:dyDescent="0.15">
      <c r="A13" t="s">
        <v>1230</v>
      </c>
      <c r="B13">
        <v>55365.4</v>
      </c>
      <c r="C13">
        <v>55365.4</v>
      </c>
      <c r="D13">
        <v>56774.2</v>
      </c>
      <c r="E13">
        <v>56691.4</v>
      </c>
      <c r="F13">
        <v>56398.3</v>
      </c>
      <c r="G13">
        <v>55681.4</v>
      </c>
      <c r="H13">
        <v>55051.199999999997</v>
      </c>
      <c r="I13">
        <v>54541.7</v>
      </c>
      <c r="J13">
        <v>54323.5</v>
      </c>
      <c r="K13">
        <v>54373.8</v>
      </c>
      <c r="L13">
        <v>54214</v>
      </c>
      <c r="M13">
        <v>54227.7</v>
      </c>
      <c r="N13">
        <v>54629.3</v>
      </c>
      <c r="O13">
        <v>54474.400000000001</v>
      </c>
      <c r="P13">
        <v>54403</v>
      </c>
      <c r="Q13">
        <v>54374.3</v>
      </c>
      <c r="R13">
        <v>54457.9</v>
      </c>
      <c r="S13">
        <v>54301.5</v>
      </c>
      <c r="T13">
        <v>54317.3</v>
      </c>
      <c r="U13">
        <v>54462.5</v>
      </c>
      <c r="V13">
        <v>54618.9</v>
      </c>
      <c r="W13">
        <v>54640.2</v>
      </c>
      <c r="X13">
        <v>54683.199999999997</v>
      </c>
      <c r="Y13">
        <v>54804.1</v>
      </c>
      <c r="Z13">
        <v>54804.1</v>
      </c>
      <c r="AA13">
        <v>54873.7</v>
      </c>
      <c r="AB13">
        <v>54946.3</v>
      </c>
      <c r="AC13">
        <v>55061.9</v>
      </c>
      <c r="AD13">
        <v>55131.5</v>
      </c>
      <c r="AE13">
        <v>55179.9</v>
      </c>
      <c r="AF13">
        <v>55195.8</v>
      </c>
      <c r="AG13">
        <v>55316.7</v>
      </c>
      <c r="AH13">
        <v>55365.1</v>
      </c>
      <c r="AI13">
        <v>55405.1</v>
      </c>
      <c r="AJ13">
        <v>55501.9</v>
      </c>
      <c r="AK13">
        <v>55571.5</v>
      </c>
      <c r="AL13">
        <v>55614.5</v>
      </c>
      <c r="AM13">
        <v>55687.1</v>
      </c>
      <c r="AN13">
        <v>55756.7</v>
      </c>
      <c r="AO13">
        <v>55799.7</v>
      </c>
      <c r="AP13">
        <v>55869.3</v>
      </c>
      <c r="AQ13">
        <v>55965.3</v>
      </c>
    </row>
    <row r="14" spans="1:43" x14ac:dyDescent="0.15">
      <c r="A14" t="s">
        <v>1231</v>
      </c>
      <c r="B14">
        <v>66327.7</v>
      </c>
      <c r="C14">
        <v>66327.7</v>
      </c>
      <c r="D14">
        <v>74538.100000000006</v>
      </c>
      <c r="E14">
        <v>77064.7</v>
      </c>
      <c r="F14">
        <v>78084.7</v>
      </c>
      <c r="G14">
        <v>77574.7</v>
      </c>
      <c r="H14">
        <v>77829.7</v>
      </c>
      <c r="I14">
        <v>78084.7</v>
      </c>
      <c r="J14">
        <v>77574.7</v>
      </c>
      <c r="K14">
        <v>77574.7</v>
      </c>
      <c r="L14">
        <v>78084.7</v>
      </c>
      <c r="M14">
        <v>78339.600000000006</v>
      </c>
      <c r="N14">
        <v>80588.100000000006</v>
      </c>
      <c r="O14">
        <v>80866.3</v>
      </c>
      <c r="P14">
        <v>81353.100000000006</v>
      </c>
      <c r="Q14">
        <v>81608</v>
      </c>
      <c r="R14">
        <v>81863</v>
      </c>
      <c r="S14">
        <v>81886.2</v>
      </c>
      <c r="T14">
        <v>82373</v>
      </c>
      <c r="U14">
        <v>82882.899999999994</v>
      </c>
      <c r="V14">
        <v>83369.7</v>
      </c>
      <c r="W14">
        <v>83624.7</v>
      </c>
      <c r="X14">
        <v>83879.7</v>
      </c>
      <c r="Y14">
        <v>84134.7</v>
      </c>
      <c r="Z14">
        <v>84389.6</v>
      </c>
      <c r="AA14">
        <v>84389.6</v>
      </c>
      <c r="AB14">
        <v>84667.8</v>
      </c>
      <c r="AC14">
        <v>84899.6</v>
      </c>
      <c r="AD14">
        <v>85409.600000000006</v>
      </c>
      <c r="AE14">
        <v>85664.6</v>
      </c>
      <c r="AF14">
        <v>85919.5</v>
      </c>
      <c r="AG14">
        <v>86406.3</v>
      </c>
      <c r="AH14">
        <v>86429.5</v>
      </c>
      <c r="AI14">
        <v>86684.5</v>
      </c>
      <c r="AJ14">
        <v>87171.3</v>
      </c>
      <c r="AK14">
        <v>87426.2</v>
      </c>
      <c r="AL14">
        <v>87681.2</v>
      </c>
      <c r="AM14">
        <v>87936.2</v>
      </c>
      <c r="AN14">
        <v>88191.2</v>
      </c>
      <c r="AO14">
        <v>88446.2</v>
      </c>
      <c r="AP14">
        <v>88933</v>
      </c>
      <c r="AQ14">
        <v>89187.9</v>
      </c>
    </row>
    <row r="15" spans="1:43" x14ac:dyDescent="0.15">
      <c r="A15" t="s">
        <v>1232</v>
      </c>
      <c r="B15">
        <v>122045</v>
      </c>
      <c r="C15">
        <v>122045</v>
      </c>
      <c r="D15">
        <v>117961</v>
      </c>
      <c r="E15">
        <v>114262</v>
      </c>
      <c r="F15">
        <v>110910</v>
      </c>
      <c r="G15">
        <v>107598</v>
      </c>
      <c r="H15">
        <v>104534</v>
      </c>
      <c r="I15">
        <v>102934</v>
      </c>
      <c r="J15">
        <v>101423</v>
      </c>
      <c r="K15">
        <v>100019</v>
      </c>
      <c r="L15">
        <v>98703.3</v>
      </c>
      <c r="M15">
        <v>97405.7</v>
      </c>
      <c r="N15">
        <v>96108.1</v>
      </c>
      <c r="O15">
        <v>94988.3</v>
      </c>
      <c r="P15">
        <v>93886.2</v>
      </c>
      <c r="Q15">
        <v>92784.1</v>
      </c>
      <c r="R15">
        <v>91779.8</v>
      </c>
      <c r="S15">
        <v>90784.4</v>
      </c>
      <c r="T15">
        <v>89877.9</v>
      </c>
      <c r="U15">
        <v>88971.3</v>
      </c>
      <c r="V15">
        <v>88171.4</v>
      </c>
      <c r="W15">
        <v>87362.6</v>
      </c>
      <c r="X15">
        <v>86660.5</v>
      </c>
      <c r="Y15">
        <v>85949.5</v>
      </c>
      <c r="Z15">
        <v>85247.4</v>
      </c>
      <c r="AA15">
        <v>84554.1</v>
      </c>
      <c r="AB15">
        <v>83949.8</v>
      </c>
      <c r="AC15">
        <v>83345.399999999994</v>
      </c>
      <c r="AD15">
        <v>82838.8</v>
      </c>
      <c r="AE15">
        <v>82243.399999999994</v>
      </c>
      <c r="AF15">
        <v>81745.600000000006</v>
      </c>
      <c r="AG15">
        <v>81265.7</v>
      </c>
      <c r="AH15">
        <v>80803.600000000006</v>
      </c>
      <c r="AI15">
        <v>80368.100000000006</v>
      </c>
      <c r="AJ15">
        <v>79950.3</v>
      </c>
      <c r="AK15">
        <v>79550.399999999994</v>
      </c>
      <c r="AL15">
        <v>79168.2</v>
      </c>
      <c r="AM15">
        <v>78806.5</v>
      </c>
      <c r="AN15">
        <v>78465.2</v>
      </c>
      <c r="AO15">
        <v>78133.7</v>
      </c>
      <c r="AP15">
        <v>77822.600000000006</v>
      </c>
      <c r="AQ15">
        <v>77521.399999999994</v>
      </c>
    </row>
    <row r="16" spans="1:43" x14ac:dyDescent="0.15">
      <c r="A16" t="s">
        <v>1233</v>
      </c>
      <c r="B16">
        <v>442923</v>
      </c>
      <c r="C16">
        <v>442923</v>
      </c>
      <c r="D16">
        <v>417362</v>
      </c>
      <c r="E16">
        <v>397595</v>
      </c>
      <c r="F16">
        <v>385779</v>
      </c>
      <c r="G16">
        <v>375894</v>
      </c>
      <c r="H16">
        <v>368291</v>
      </c>
      <c r="I16">
        <v>361300</v>
      </c>
      <c r="J16">
        <v>355539</v>
      </c>
      <c r="K16">
        <v>350454</v>
      </c>
      <c r="L16">
        <v>345865</v>
      </c>
      <c r="M16">
        <v>342014</v>
      </c>
      <c r="N16">
        <v>338520</v>
      </c>
      <c r="O16">
        <v>335600</v>
      </c>
      <c r="P16">
        <v>332723</v>
      </c>
      <c r="Q16">
        <v>330328</v>
      </c>
      <c r="R16">
        <v>328286</v>
      </c>
      <c r="S16">
        <v>326577</v>
      </c>
      <c r="T16">
        <v>325080</v>
      </c>
      <c r="U16">
        <v>323835</v>
      </c>
      <c r="V16">
        <v>322813</v>
      </c>
      <c r="W16">
        <v>321798</v>
      </c>
      <c r="X16">
        <v>320827</v>
      </c>
      <c r="Y16">
        <v>320025</v>
      </c>
      <c r="Z16">
        <v>319302</v>
      </c>
      <c r="AA16">
        <v>318638</v>
      </c>
      <c r="AB16">
        <v>318041</v>
      </c>
      <c r="AC16">
        <v>317420</v>
      </c>
      <c r="AD16">
        <v>316911</v>
      </c>
      <c r="AE16">
        <v>316448</v>
      </c>
      <c r="AF16">
        <v>315935</v>
      </c>
      <c r="AG16">
        <v>315537</v>
      </c>
      <c r="AH16">
        <v>315164</v>
      </c>
      <c r="AI16">
        <v>314733</v>
      </c>
      <c r="AJ16">
        <v>314407</v>
      </c>
      <c r="AK16">
        <v>314093</v>
      </c>
      <c r="AL16">
        <v>313728</v>
      </c>
      <c r="AM16">
        <v>313456</v>
      </c>
      <c r="AN16">
        <v>313190</v>
      </c>
      <c r="AO16">
        <v>312868</v>
      </c>
      <c r="AP16">
        <v>312627</v>
      </c>
      <c r="AQ16">
        <v>312403</v>
      </c>
    </row>
    <row r="17" spans="1:43" x14ac:dyDescent="0.15">
      <c r="A17" t="s">
        <v>1234</v>
      </c>
      <c r="B17">
        <v>524824</v>
      </c>
      <c r="C17">
        <v>524824</v>
      </c>
      <c r="D17">
        <v>526825</v>
      </c>
      <c r="E17">
        <v>510941</v>
      </c>
      <c r="F17">
        <v>506469</v>
      </c>
      <c r="G17">
        <v>505411</v>
      </c>
      <c r="H17">
        <v>505774</v>
      </c>
      <c r="I17">
        <v>506137</v>
      </c>
      <c r="J17">
        <v>511340</v>
      </c>
      <c r="K17">
        <v>516543</v>
      </c>
      <c r="L17">
        <v>515484</v>
      </c>
      <c r="M17">
        <v>514486</v>
      </c>
      <c r="N17">
        <v>516543</v>
      </c>
      <c r="O17">
        <v>515484</v>
      </c>
      <c r="P17">
        <v>514819</v>
      </c>
      <c r="Q17">
        <v>514123</v>
      </c>
      <c r="R17">
        <v>513458</v>
      </c>
      <c r="S17">
        <v>512731</v>
      </c>
      <c r="T17">
        <v>512036</v>
      </c>
      <c r="U17">
        <v>511673</v>
      </c>
      <c r="V17">
        <v>511007</v>
      </c>
      <c r="W17">
        <v>510644</v>
      </c>
      <c r="X17">
        <v>510281</v>
      </c>
      <c r="Y17">
        <v>509948</v>
      </c>
      <c r="Z17">
        <v>509616</v>
      </c>
      <c r="AA17">
        <v>509283</v>
      </c>
      <c r="AB17">
        <v>509253</v>
      </c>
      <c r="AC17">
        <v>509253</v>
      </c>
      <c r="AD17">
        <v>508920</v>
      </c>
      <c r="AE17">
        <v>508890</v>
      </c>
      <c r="AF17">
        <v>508557</v>
      </c>
      <c r="AG17">
        <v>508557</v>
      </c>
      <c r="AH17">
        <v>508224</v>
      </c>
      <c r="AI17">
        <v>508194</v>
      </c>
      <c r="AJ17">
        <v>507861</v>
      </c>
      <c r="AK17">
        <v>507861</v>
      </c>
      <c r="AL17">
        <v>507528</v>
      </c>
      <c r="AM17">
        <v>507498</v>
      </c>
      <c r="AN17">
        <v>507165</v>
      </c>
      <c r="AO17">
        <v>507135</v>
      </c>
      <c r="AP17">
        <v>506832</v>
      </c>
      <c r="AQ17">
        <v>506802</v>
      </c>
    </row>
    <row r="18" spans="1:43" x14ac:dyDescent="0.15">
      <c r="A18" t="s">
        <v>1235</v>
      </c>
      <c r="B18">
        <v>364129</v>
      </c>
      <c r="C18">
        <v>364129</v>
      </c>
      <c r="D18">
        <v>452423</v>
      </c>
      <c r="E18">
        <v>445456</v>
      </c>
      <c r="F18">
        <v>446406</v>
      </c>
      <c r="G18">
        <v>443981</v>
      </c>
      <c r="H18">
        <v>441088</v>
      </c>
      <c r="I18">
        <v>439918</v>
      </c>
      <c r="J18">
        <v>439497</v>
      </c>
      <c r="K18">
        <v>441144</v>
      </c>
      <c r="L18">
        <v>441900</v>
      </c>
      <c r="M18">
        <v>442543</v>
      </c>
      <c r="N18">
        <v>446950</v>
      </c>
      <c r="O18">
        <v>445690</v>
      </c>
      <c r="P18">
        <v>446032</v>
      </c>
      <c r="Q18">
        <v>446477</v>
      </c>
      <c r="R18">
        <v>447675</v>
      </c>
      <c r="S18">
        <v>446582</v>
      </c>
      <c r="T18">
        <v>447019</v>
      </c>
      <c r="U18">
        <v>448331</v>
      </c>
      <c r="V18">
        <v>449424</v>
      </c>
      <c r="W18">
        <v>449642</v>
      </c>
      <c r="X18">
        <v>450298</v>
      </c>
      <c r="Y18">
        <v>451392</v>
      </c>
      <c r="Z18">
        <v>451392</v>
      </c>
      <c r="AA18">
        <v>452047</v>
      </c>
      <c r="AB18">
        <v>452703</v>
      </c>
      <c r="AC18">
        <v>454015</v>
      </c>
      <c r="AD18">
        <v>454671</v>
      </c>
      <c r="AE18">
        <v>455108</v>
      </c>
      <c r="AF18">
        <v>455546</v>
      </c>
      <c r="AG18">
        <v>456639</v>
      </c>
      <c r="AH18">
        <v>457076</v>
      </c>
      <c r="AI18">
        <v>457732</v>
      </c>
      <c r="AJ18">
        <v>458606</v>
      </c>
      <c r="AK18">
        <v>459262</v>
      </c>
      <c r="AL18">
        <v>459918</v>
      </c>
      <c r="AM18">
        <v>460574</v>
      </c>
      <c r="AN18">
        <v>461230</v>
      </c>
      <c r="AO18">
        <v>461886</v>
      </c>
      <c r="AP18">
        <v>462542</v>
      </c>
      <c r="AQ18">
        <v>463417</v>
      </c>
    </row>
    <row r="19" spans="1:43" x14ac:dyDescent="0.15">
      <c r="A19" t="s">
        <v>1236</v>
      </c>
      <c r="B19">
        <v>427259</v>
      </c>
      <c r="C19">
        <v>427259</v>
      </c>
      <c r="D19">
        <v>437780</v>
      </c>
      <c r="E19">
        <v>428016</v>
      </c>
      <c r="F19">
        <v>431243</v>
      </c>
      <c r="G19">
        <v>434720</v>
      </c>
      <c r="H19">
        <v>434647</v>
      </c>
      <c r="I19">
        <v>434859</v>
      </c>
      <c r="J19">
        <v>434967</v>
      </c>
      <c r="K19">
        <v>436524</v>
      </c>
      <c r="L19">
        <v>437262</v>
      </c>
      <c r="M19">
        <v>437429</v>
      </c>
      <c r="N19">
        <v>439804</v>
      </c>
      <c r="O19">
        <v>439781</v>
      </c>
      <c r="P19">
        <v>440185</v>
      </c>
      <c r="Q19">
        <v>439948</v>
      </c>
      <c r="R19">
        <v>439717</v>
      </c>
      <c r="S19">
        <v>438888</v>
      </c>
      <c r="T19">
        <v>438680</v>
      </c>
      <c r="U19">
        <v>439717</v>
      </c>
      <c r="V19">
        <v>440339</v>
      </c>
      <c r="W19">
        <v>439924</v>
      </c>
      <c r="X19">
        <v>441376</v>
      </c>
      <c r="Y19">
        <v>441790</v>
      </c>
      <c r="Z19">
        <v>442205</v>
      </c>
      <c r="AA19">
        <v>442827</v>
      </c>
      <c r="AB19">
        <v>443449</v>
      </c>
      <c r="AC19">
        <v>444486</v>
      </c>
      <c r="AD19">
        <v>445108</v>
      </c>
      <c r="AE19">
        <v>445730</v>
      </c>
      <c r="AF19">
        <v>445937</v>
      </c>
      <c r="AG19">
        <v>446559</v>
      </c>
      <c r="AH19">
        <v>447596</v>
      </c>
      <c r="AI19">
        <v>448010</v>
      </c>
      <c r="AJ19">
        <v>448839</v>
      </c>
      <c r="AK19">
        <v>449461</v>
      </c>
      <c r="AL19">
        <v>450083</v>
      </c>
      <c r="AM19">
        <v>450498</v>
      </c>
      <c r="AN19">
        <v>451120</v>
      </c>
      <c r="AO19">
        <v>451742</v>
      </c>
      <c r="AP19">
        <v>452364</v>
      </c>
      <c r="AQ19">
        <v>452986</v>
      </c>
    </row>
    <row r="20" spans="1:43" x14ac:dyDescent="0.15">
      <c r="A20" t="s">
        <v>1237</v>
      </c>
      <c r="B20">
        <v>576913</v>
      </c>
      <c r="C20">
        <v>576913</v>
      </c>
      <c r="D20">
        <v>580751</v>
      </c>
      <c r="E20">
        <v>571966</v>
      </c>
      <c r="F20">
        <v>572764</v>
      </c>
      <c r="G20">
        <v>572597</v>
      </c>
      <c r="H20">
        <v>571391</v>
      </c>
      <c r="I20">
        <v>570473</v>
      </c>
      <c r="J20">
        <v>569947</v>
      </c>
      <c r="K20">
        <v>569949</v>
      </c>
      <c r="L20">
        <v>569572</v>
      </c>
      <c r="M20">
        <v>569281</v>
      </c>
      <c r="N20">
        <v>569820</v>
      </c>
      <c r="O20">
        <v>569937</v>
      </c>
      <c r="P20">
        <v>569596</v>
      </c>
      <c r="Q20">
        <v>569403</v>
      </c>
      <c r="R20">
        <v>569151</v>
      </c>
      <c r="S20">
        <v>568698</v>
      </c>
      <c r="T20">
        <v>568503</v>
      </c>
      <c r="U20">
        <v>568918</v>
      </c>
      <c r="V20">
        <v>569288</v>
      </c>
      <c r="W20">
        <v>569112</v>
      </c>
      <c r="X20">
        <v>569591</v>
      </c>
      <c r="Y20">
        <v>569757</v>
      </c>
      <c r="Z20">
        <v>569923</v>
      </c>
      <c r="AA20">
        <v>570162</v>
      </c>
      <c r="AB20">
        <v>570411</v>
      </c>
      <c r="AC20">
        <v>570724</v>
      </c>
      <c r="AD20">
        <v>570963</v>
      </c>
      <c r="AE20">
        <v>571211</v>
      </c>
      <c r="AF20">
        <v>571183</v>
      </c>
      <c r="AG20">
        <v>571432</v>
      </c>
      <c r="AH20">
        <v>571846</v>
      </c>
      <c r="AI20">
        <v>571901</v>
      </c>
      <c r="AJ20">
        <v>572232</v>
      </c>
      <c r="AK20">
        <v>572471</v>
      </c>
      <c r="AL20">
        <v>572618</v>
      </c>
      <c r="AM20">
        <v>572784</v>
      </c>
      <c r="AN20">
        <v>573023</v>
      </c>
      <c r="AO20">
        <v>573170</v>
      </c>
      <c r="AP20">
        <v>573409</v>
      </c>
      <c r="AQ20">
        <v>573655</v>
      </c>
    </row>
    <row r="21" spans="1:43" x14ac:dyDescent="0.15">
      <c r="A21" t="s">
        <v>1238</v>
      </c>
      <c r="B21">
        <v>423587</v>
      </c>
      <c r="C21">
        <v>423587</v>
      </c>
      <c r="D21">
        <v>446810</v>
      </c>
      <c r="E21">
        <v>442813</v>
      </c>
      <c r="F21">
        <v>446433</v>
      </c>
      <c r="G21">
        <v>445256</v>
      </c>
      <c r="H21">
        <v>445844</v>
      </c>
      <c r="I21">
        <v>446433</v>
      </c>
      <c r="J21">
        <v>445256</v>
      </c>
      <c r="K21">
        <v>445256</v>
      </c>
      <c r="L21">
        <v>446433</v>
      </c>
      <c r="M21">
        <v>447021</v>
      </c>
      <c r="N21">
        <v>452211</v>
      </c>
      <c r="O21">
        <v>452853</v>
      </c>
      <c r="P21">
        <v>453977</v>
      </c>
      <c r="Q21">
        <v>454565</v>
      </c>
      <c r="R21">
        <v>455154</v>
      </c>
      <c r="S21">
        <v>455208</v>
      </c>
      <c r="T21">
        <v>456331</v>
      </c>
      <c r="U21">
        <v>457508</v>
      </c>
      <c r="V21">
        <v>458632</v>
      </c>
      <c r="W21">
        <v>459220</v>
      </c>
      <c r="X21">
        <v>459809</v>
      </c>
      <c r="Y21">
        <v>460397</v>
      </c>
      <c r="Z21">
        <v>460986</v>
      </c>
      <c r="AA21">
        <v>460986</v>
      </c>
      <c r="AB21">
        <v>461628</v>
      </c>
      <c r="AC21">
        <v>462163</v>
      </c>
      <c r="AD21">
        <v>463340</v>
      </c>
      <c r="AE21">
        <v>463929</v>
      </c>
      <c r="AF21">
        <v>464517</v>
      </c>
      <c r="AG21">
        <v>465641</v>
      </c>
      <c r="AH21">
        <v>465694</v>
      </c>
      <c r="AI21">
        <v>466283</v>
      </c>
      <c r="AJ21">
        <v>467406</v>
      </c>
      <c r="AK21">
        <v>467995</v>
      </c>
      <c r="AL21">
        <v>468584</v>
      </c>
      <c r="AM21">
        <v>469172</v>
      </c>
      <c r="AN21">
        <v>469761</v>
      </c>
      <c r="AO21">
        <v>470349</v>
      </c>
      <c r="AP21">
        <v>471473</v>
      </c>
      <c r="AQ21">
        <v>472061</v>
      </c>
    </row>
    <row r="22" spans="1:43" x14ac:dyDescent="0.15">
      <c r="A22" t="s">
        <v>1239</v>
      </c>
      <c r="B22">
        <v>791323</v>
      </c>
      <c r="C22">
        <v>791323</v>
      </c>
      <c r="D22">
        <v>786730</v>
      </c>
      <c r="E22">
        <v>756806</v>
      </c>
      <c r="F22">
        <v>750955</v>
      </c>
      <c r="G22">
        <v>742325</v>
      </c>
      <c r="H22">
        <v>734621</v>
      </c>
      <c r="I22">
        <v>729209</v>
      </c>
      <c r="J22">
        <v>724099</v>
      </c>
      <c r="K22">
        <v>719349</v>
      </c>
      <c r="L22">
        <v>714900</v>
      </c>
      <c r="M22">
        <v>710510</v>
      </c>
      <c r="N22">
        <v>706121</v>
      </c>
      <c r="O22">
        <v>702333</v>
      </c>
      <c r="P22">
        <v>698606</v>
      </c>
      <c r="Q22">
        <v>694878</v>
      </c>
      <c r="R22">
        <v>691481</v>
      </c>
      <c r="S22">
        <v>688114</v>
      </c>
      <c r="T22">
        <v>685047</v>
      </c>
      <c r="U22">
        <v>681981</v>
      </c>
      <c r="V22">
        <v>679275</v>
      </c>
      <c r="W22">
        <v>676540</v>
      </c>
      <c r="X22">
        <v>674165</v>
      </c>
      <c r="Y22">
        <v>671760</v>
      </c>
      <c r="Z22">
        <v>669385</v>
      </c>
      <c r="AA22">
        <v>667040</v>
      </c>
      <c r="AB22">
        <v>664996</v>
      </c>
      <c r="AC22">
        <v>662952</v>
      </c>
      <c r="AD22">
        <v>661238</v>
      </c>
      <c r="AE22">
        <v>659224</v>
      </c>
      <c r="AF22">
        <v>657540</v>
      </c>
      <c r="AG22">
        <v>655917</v>
      </c>
      <c r="AH22">
        <v>654354</v>
      </c>
      <c r="AI22">
        <v>652880</v>
      </c>
      <c r="AJ22">
        <v>651468</v>
      </c>
      <c r="AK22">
        <v>650115</v>
      </c>
      <c r="AL22">
        <v>648822</v>
      </c>
      <c r="AM22">
        <v>647598</v>
      </c>
      <c r="AN22">
        <v>646444</v>
      </c>
      <c r="AO22">
        <v>645323</v>
      </c>
      <c r="AP22">
        <v>644271</v>
      </c>
      <c r="AQ22">
        <v>643252</v>
      </c>
    </row>
    <row r="23" spans="1:43" x14ac:dyDescent="0.15">
      <c r="A23" t="s">
        <v>1240</v>
      </c>
      <c r="B23">
        <v>226418</v>
      </c>
      <c r="C23">
        <v>226418</v>
      </c>
      <c r="D23">
        <v>217761</v>
      </c>
      <c r="E23">
        <v>211796</v>
      </c>
      <c r="F23">
        <v>208170</v>
      </c>
      <c r="G23">
        <v>203638</v>
      </c>
      <c r="H23">
        <v>200505</v>
      </c>
      <c r="I23">
        <v>196571</v>
      </c>
      <c r="J23">
        <v>194211</v>
      </c>
      <c r="K23">
        <v>191824</v>
      </c>
      <c r="L23">
        <v>189369</v>
      </c>
      <c r="M23">
        <v>187997</v>
      </c>
      <c r="N23">
        <v>186332</v>
      </c>
      <c r="O23">
        <v>185251</v>
      </c>
      <c r="P23">
        <v>183387</v>
      </c>
      <c r="Q23">
        <v>182085</v>
      </c>
      <c r="R23">
        <v>180902</v>
      </c>
      <c r="S23">
        <v>180253</v>
      </c>
      <c r="T23">
        <v>179675</v>
      </c>
      <c r="U23">
        <v>179355</v>
      </c>
      <c r="V23">
        <v>179304</v>
      </c>
      <c r="W23">
        <v>179026</v>
      </c>
      <c r="X23">
        <v>178601</v>
      </c>
      <c r="Y23">
        <v>178395</v>
      </c>
      <c r="Z23">
        <v>178209</v>
      </c>
      <c r="AA23">
        <v>178022</v>
      </c>
      <c r="AB23">
        <v>177868</v>
      </c>
      <c r="AC23">
        <v>177533</v>
      </c>
      <c r="AD23">
        <v>177385</v>
      </c>
      <c r="AE23">
        <v>177266</v>
      </c>
      <c r="AF23">
        <v>176941</v>
      </c>
      <c r="AG23">
        <v>176838</v>
      </c>
      <c r="AH23">
        <v>176743</v>
      </c>
      <c r="AI23">
        <v>176439</v>
      </c>
      <c r="AJ23">
        <v>176355</v>
      </c>
      <c r="AK23">
        <v>176257</v>
      </c>
      <c r="AL23">
        <v>175987</v>
      </c>
      <c r="AM23">
        <v>175917</v>
      </c>
      <c r="AN23">
        <v>175831</v>
      </c>
      <c r="AO23">
        <v>175573</v>
      </c>
      <c r="AP23">
        <v>175494</v>
      </c>
      <c r="AQ23">
        <v>175431</v>
      </c>
    </row>
    <row r="24" spans="1:43" x14ac:dyDescent="0.15">
      <c r="A24" t="s">
        <v>1241</v>
      </c>
      <c r="B24">
        <v>357690</v>
      </c>
      <c r="C24">
        <v>357690</v>
      </c>
      <c r="D24">
        <v>357690</v>
      </c>
      <c r="E24">
        <v>344809</v>
      </c>
      <c r="F24">
        <v>337117</v>
      </c>
      <c r="G24">
        <v>335551</v>
      </c>
      <c r="H24">
        <v>336088</v>
      </c>
      <c r="I24">
        <v>336625</v>
      </c>
      <c r="J24">
        <v>344317</v>
      </c>
      <c r="K24">
        <v>352010</v>
      </c>
      <c r="L24">
        <v>350445</v>
      </c>
      <c r="M24">
        <v>348969</v>
      </c>
      <c r="N24">
        <v>352010</v>
      </c>
      <c r="O24">
        <v>350445</v>
      </c>
      <c r="P24">
        <v>349461</v>
      </c>
      <c r="Q24">
        <v>348432</v>
      </c>
      <c r="R24">
        <v>347448</v>
      </c>
      <c r="S24">
        <v>346375</v>
      </c>
      <c r="T24">
        <v>345346</v>
      </c>
      <c r="U24">
        <v>344809</v>
      </c>
      <c r="V24">
        <v>343825</v>
      </c>
      <c r="W24">
        <v>343289</v>
      </c>
      <c r="X24">
        <v>342752</v>
      </c>
      <c r="Y24">
        <v>342260</v>
      </c>
      <c r="Z24">
        <v>341768</v>
      </c>
      <c r="AA24">
        <v>341276</v>
      </c>
      <c r="AB24">
        <v>341231</v>
      </c>
      <c r="AC24">
        <v>341231</v>
      </c>
      <c r="AD24">
        <v>340739</v>
      </c>
      <c r="AE24">
        <v>340695</v>
      </c>
      <c r="AF24">
        <v>340203</v>
      </c>
      <c r="AG24">
        <v>340203</v>
      </c>
      <c r="AH24">
        <v>339711</v>
      </c>
      <c r="AI24">
        <v>339666</v>
      </c>
      <c r="AJ24">
        <v>339174</v>
      </c>
      <c r="AK24">
        <v>339174</v>
      </c>
      <c r="AL24">
        <v>338682</v>
      </c>
      <c r="AM24">
        <v>338637</v>
      </c>
      <c r="AN24">
        <v>338145</v>
      </c>
      <c r="AO24">
        <v>338101</v>
      </c>
      <c r="AP24">
        <v>337653</v>
      </c>
      <c r="AQ24">
        <v>337609</v>
      </c>
    </row>
    <row r="25" spans="1:43" x14ac:dyDescent="0.15">
      <c r="A25" t="s">
        <v>1242</v>
      </c>
      <c r="B25">
        <v>299525</v>
      </c>
      <c r="C25">
        <v>299525</v>
      </c>
      <c r="D25">
        <v>351455</v>
      </c>
      <c r="E25">
        <v>359099</v>
      </c>
      <c r="F25">
        <v>359007</v>
      </c>
      <c r="G25">
        <v>354873</v>
      </c>
      <c r="H25">
        <v>350365</v>
      </c>
      <c r="I25">
        <v>348229</v>
      </c>
      <c r="J25">
        <v>347703</v>
      </c>
      <c r="K25">
        <v>352193</v>
      </c>
      <c r="L25">
        <v>354235</v>
      </c>
      <c r="M25">
        <v>356763</v>
      </c>
      <c r="N25">
        <v>365992</v>
      </c>
      <c r="O25">
        <v>363685</v>
      </c>
      <c r="P25">
        <v>364903</v>
      </c>
      <c r="Q25">
        <v>365384</v>
      </c>
      <c r="R25">
        <v>368273</v>
      </c>
      <c r="S25">
        <v>365852</v>
      </c>
      <c r="T25">
        <v>366821</v>
      </c>
      <c r="U25">
        <v>369726</v>
      </c>
      <c r="V25">
        <v>372147</v>
      </c>
      <c r="W25">
        <v>372631</v>
      </c>
      <c r="X25">
        <v>374083</v>
      </c>
      <c r="Y25">
        <v>376504</v>
      </c>
      <c r="Z25">
        <v>376504</v>
      </c>
      <c r="AA25">
        <v>377957</v>
      </c>
      <c r="AB25">
        <v>379409</v>
      </c>
      <c r="AC25">
        <v>382314</v>
      </c>
      <c r="AD25">
        <v>383767</v>
      </c>
      <c r="AE25">
        <v>384735</v>
      </c>
      <c r="AF25">
        <v>385703</v>
      </c>
      <c r="AG25">
        <v>388124</v>
      </c>
      <c r="AH25">
        <v>389092</v>
      </c>
      <c r="AI25">
        <v>390545</v>
      </c>
      <c r="AJ25">
        <v>392482</v>
      </c>
      <c r="AK25">
        <v>393934</v>
      </c>
      <c r="AL25">
        <v>395386</v>
      </c>
      <c r="AM25">
        <v>396839</v>
      </c>
      <c r="AN25">
        <v>398291</v>
      </c>
      <c r="AO25">
        <v>399744</v>
      </c>
      <c r="AP25">
        <v>401196</v>
      </c>
      <c r="AQ25">
        <v>403133</v>
      </c>
    </row>
    <row r="26" spans="1:43" x14ac:dyDescent="0.15">
      <c r="A26" t="s">
        <v>1243</v>
      </c>
      <c r="B26">
        <v>307489</v>
      </c>
      <c r="C26">
        <v>307489</v>
      </c>
      <c r="D26">
        <v>323938</v>
      </c>
      <c r="E26">
        <v>321099</v>
      </c>
      <c r="F26">
        <v>326962</v>
      </c>
      <c r="G26">
        <v>335665</v>
      </c>
      <c r="H26">
        <v>336302</v>
      </c>
      <c r="I26">
        <v>337560</v>
      </c>
      <c r="J26">
        <v>338135</v>
      </c>
      <c r="K26">
        <v>342332</v>
      </c>
      <c r="L26">
        <v>344101</v>
      </c>
      <c r="M26">
        <v>345447</v>
      </c>
      <c r="N26">
        <v>350254</v>
      </c>
      <c r="O26">
        <v>350421</v>
      </c>
      <c r="P26">
        <v>351717</v>
      </c>
      <c r="Q26">
        <v>351207</v>
      </c>
      <c r="R26">
        <v>350896</v>
      </c>
      <c r="S26">
        <v>349057</v>
      </c>
      <c r="T26">
        <v>348597</v>
      </c>
      <c r="U26">
        <v>350896</v>
      </c>
      <c r="V26">
        <v>352276</v>
      </c>
      <c r="W26">
        <v>351356</v>
      </c>
      <c r="X26">
        <v>354576</v>
      </c>
      <c r="Y26">
        <v>355495</v>
      </c>
      <c r="Z26">
        <v>356415</v>
      </c>
      <c r="AA26">
        <v>357795</v>
      </c>
      <c r="AB26">
        <v>359174</v>
      </c>
      <c r="AC26">
        <v>361474</v>
      </c>
      <c r="AD26">
        <v>362854</v>
      </c>
      <c r="AE26">
        <v>364233</v>
      </c>
      <c r="AF26">
        <v>364693</v>
      </c>
      <c r="AG26">
        <v>366073</v>
      </c>
      <c r="AH26">
        <v>368372</v>
      </c>
      <c r="AI26">
        <v>369292</v>
      </c>
      <c r="AJ26">
        <v>371132</v>
      </c>
      <c r="AK26">
        <v>372511</v>
      </c>
      <c r="AL26">
        <v>373891</v>
      </c>
      <c r="AM26">
        <v>374811</v>
      </c>
      <c r="AN26">
        <v>376190</v>
      </c>
      <c r="AO26">
        <v>377570</v>
      </c>
      <c r="AP26">
        <v>378950</v>
      </c>
      <c r="AQ26">
        <v>380330</v>
      </c>
    </row>
    <row r="27" spans="1:43" x14ac:dyDescent="0.15">
      <c r="A27" t="s">
        <v>1244</v>
      </c>
      <c r="B27">
        <v>480108</v>
      </c>
      <c r="C27">
        <v>480108</v>
      </c>
      <c r="D27">
        <v>482953</v>
      </c>
      <c r="E27">
        <v>479397</v>
      </c>
      <c r="F27">
        <v>479637</v>
      </c>
      <c r="G27">
        <v>479374</v>
      </c>
      <c r="H27">
        <v>477244</v>
      </c>
      <c r="I27">
        <v>475889</v>
      </c>
      <c r="J27">
        <v>474474</v>
      </c>
      <c r="K27">
        <v>475002</v>
      </c>
      <c r="L27">
        <v>473861</v>
      </c>
      <c r="M27">
        <v>473185</v>
      </c>
      <c r="N27">
        <v>474313</v>
      </c>
      <c r="O27">
        <v>474424</v>
      </c>
      <c r="P27">
        <v>474043</v>
      </c>
      <c r="Q27">
        <v>473624</v>
      </c>
      <c r="R27">
        <v>473387</v>
      </c>
      <c r="S27">
        <v>472608</v>
      </c>
      <c r="T27">
        <v>472274</v>
      </c>
      <c r="U27">
        <v>472987</v>
      </c>
      <c r="V27">
        <v>473623</v>
      </c>
      <c r="W27">
        <v>473321</v>
      </c>
      <c r="X27">
        <v>474144</v>
      </c>
      <c r="Y27">
        <v>474429</v>
      </c>
      <c r="Z27">
        <v>474714</v>
      </c>
      <c r="AA27">
        <v>475124</v>
      </c>
      <c r="AB27">
        <v>475551</v>
      </c>
      <c r="AC27">
        <v>476090</v>
      </c>
      <c r="AD27">
        <v>476500</v>
      </c>
      <c r="AE27">
        <v>476927</v>
      </c>
      <c r="AF27">
        <v>476878</v>
      </c>
      <c r="AG27">
        <v>477306</v>
      </c>
      <c r="AH27">
        <v>478018</v>
      </c>
      <c r="AI27">
        <v>478111</v>
      </c>
      <c r="AJ27">
        <v>478681</v>
      </c>
      <c r="AK27">
        <v>479091</v>
      </c>
      <c r="AL27">
        <v>479345</v>
      </c>
      <c r="AM27">
        <v>479630</v>
      </c>
      <c r="AN27">
        <v>480040</v>
      </c>
      <c r="AO27">
        <v>480293</v>
      </c>
      <c r="AP27">
        <v>480703</v>
      </c>
      <c r="AQ27">
        <v>481126</v>
      </c>
    </row>
    <row r="28" spans="1:43" x14ac:dyDescent="0.15">
      <c r="A28" t="s">
        <v>1245</v>
      </c>
      <c r="B28">
        <v>320566</v>
      </c>
      <c r="C28">
        <v>320566</v>
      </c>
      <c r="D28">
        <v>346117</v>
      </c>
      <c r="E28">
        <v>353980</v>
      </c>
      <c r="F28">
        <v>357154</v>
      </c>
      <c r="G28">
        <v>355567</v>
      </c>
      <c r="H28">
        <v>356361</v>
      </c>
      <c r="I28">
        <v>357154</v>
      </c>
      <c r="J28">
        <v>355567</v>
      </c>
      <c r="K28">
        <v>355567</v>
      </c>
      <c r="L28">
        <v>357154</v>
      </c>
      <c r="M28">
        <v>357948</v>
      </c>
      <c r="N28">
        <v>364945</v>
      </c>
      <c r="O28">
        <v>365810</v>
      </c>
      <c r="P28">
        <v>367325</v>
      </c>
      <c r="Q28">
        <v>368119</v>
      </c>
      <c r="R28">
        <v>368912</v>
      </c>
      <c r="S28">
        <v>368984</v>
      </c>
      <c r="T28">
        <v>370499</v>
      </c>
      <c r="U28">
        <v>372086</v>
      </c>
      <c r="V28">
        <v>373601</v>
      </c>
      <c r="W28">
        <v>374395</v>
      </c>
      <c r="X28">
        <v>375188</v>
      </c>
      <c r="Y28">
        <v>375982</v>
      </c>
      <c r="Z28">
        <v>376775</v>
      </c>
      <c r="AA28">
        <v>376775</v>
      </c>
      <c r="AB28">
        <v>377641</v>
      </c>
      <c r="AC28">
        <v>378362</v>
      </c>
      <c r="AD28">
        <v>379949</v>
      </c>
      <c r="AE28">
        <v>380743</v>
      </c>
      <c r="AF28">
        <v>381536</v>
      </c>
      <c r="AG28">
        <v>383051</v>
      </c>
      <c r="AH28">
        <v>383123</v>
      </c>
      <c r="AI28">
        <v>383917</v>
      </c>
      <c r="AJ28">
        <v>385432</v>
      </c>
      <c r="AK28">
        <v>386225</v>
      </c>
      <c r="AL28">
        <v>387019</v>
      </c>
      <c r="AM28">
        <v>387812</v>
      </c>
      <c r="AN28">
        <v>388606</v>
      </c>
      <c r="AO28">
        <v>389399</v>
      </c>
      <c r="AP28">
        <v>390914</v>
      </c>
      <c r="AQ28">
        <v>391707</v>
      </c>
    </row>
    <row r="29" spans="1:43" x14ac:dyDescent="0.15">
      <c r="A29" t="s">
        <v>1246</v>
      </c>
      <c r="B29">
        <v>851442</v>
      </c>
      <c r="C29">
        <v>851442</v>
      </c>
      <c r="D29">
        <v>823770</v>
      </c>
      <c r="E29">
        <v>798013</v>
      </c>
      <c r="F29">
        <v>774074</v>
      </c>
      <c r="G29">
        <v>751098</v>
      </c>
      <c r="H29">
        <v>729821</v>
      </c>
      <c r="I29">
        <v>712139</v>
      </c>
      <c r="J29">
        <v>695597</v>
      </c>
      <c r="K29">
        <v>680326</v>
      </c>
      <c r="L29">
        <v>666131</v>
      </c>
      <c r="M29">
        <v>652348</v>
      </c>
      <c r="N29">
        <v>638330</v>
      </c>
      <c r="O29">
        <v>626618</v>
      </c>
      <c r="P29">
        <v>614845</v>
      </c>
      <c r="Q29">
        <v>603712</v>
      </c>
      <c r="R29">
        <v>593238</v>
      </c>
      <c r="S29">
        <v>584765</v>
      </c>
      <c r="T29">
        <v>577050</v>
      </c>
      <c r="U29">
        <v>569334</v>
      </c>
      <c r="V29">
        <v>562526</v>
      </c>
      <c r="W29">
        <v>555642</v>
      </c>
      <c r="X29">
        <v>549666</v>
      </c>
      <c r="Y29">
        <v>543615</v>
      </c>
      <c r="Z29">
        <v>537639</v>
      </c>
      <c r="AA29">
        <v>531739</v>
      </c>
      <c r="AB29">
        <v>526595</v>
      </c>
      <c r="AC29">
        <v>521451</v>
      </c>
      <c r="AD29">
        <v>517139</v>
      </c>
      <c r="AE29">
        <v>512071</v>
      </c>
      <c r="AF29">
        <v>507835</v>
      </c>
      <c r="AG29">
        <v>503750</v>
      </c>
      <c r="AH29">
        <v>499817</v>
      </c>
      <c r="AI29">
        <v>496110</v>
      </c>
      <c r="AJ29">
        <v>492555</v>
      </c>
      <c r="AK29">
        <v>489151</v>
      </c>
      <c r="AL29">
        <v>485898</v>
      </c>
      <c r="AM29">
        <v>482820</v>
      </c>
      <c r="AN29">
        <v>479915</v>
      </c>
      <c r="AO29">
        <v>477093</v>
      </c>
      <c r="AP29">
        <v>474446</v>
      </c>
      <c r="AQ29">
        <v>471882</v>
      </c>
    </row>
    <row r="30" spans="1:43" x14ac:dyDescent="0.15">
      <c r="A30" t="s">
        <v>1247</v>
      </c>
      <c r="B30" s="176">
        <v>151373000</v>
      </c>
      <c r="C30" s="176">
        <v>151373000</v>
      </c>
      <c r="D30" s="176">
        <v>142412000</v>
      </c>
      <c r="E30" s="176">
        <v>124314000</v>
      </c>
      <c r="F30" s="176">
        <v>147821000</v>
      </c>
      <c r="G30" s="176">
        <v>128600000</v>
      </c>
      <c r="H30" s="176">
        <v>125771000</v>
      </c>
      <c r="I30" s="176">
        <v>122694000</v>
      </c>
      <c r="J30" s="176">
        <v>120571000</v>
      </c>
      <c r="K30" s="176">
        <v>118664000</v>
      </c>
      <c r="L30" s="176">
        <v>116764000</v>
      </c>
      <c r="M30" s="176">
        <v>115502000</v>
      </c>
      <c r="N30" s="176">
        <v>114226000</v>
      </c>
      <c r="O30" s="176">
        <v>113392000</v>
      </c>
      <c r="P30" s="176">
        <v>111898000</v>
      </c>
      <c r="Q30" s="176">
        <v>110968000</v>
      </c>
      <c r="R30" s="176">
        <v>110264000</v>
      </c>
      <c r="S30" s="176">
        <v>109336000</v>
      </c>
      <c r="T30" s="176">
        <v>108622000</v>
      </c>
      <c r="U30" s="176">
        <v>108115000</v>
      </c>
      <c r="V30" s="176">
        <v>107815000</v>
      </c>
      <c r="W30" s="176">
        <v>107245000</v>
      </c>
      <c r="X30" s="176">
        <v>106714000</v>
      </c>
      <c r="Y30" s="176">
        <v>106349000</v>
      </c>
      <c r="Z30" s="176">
        <v>106010000</v>
      </c>
      <c r="AA30" s="176">
        <v>105562000</v>
      </c>
      <c r="AB30" s="176">
        <v>105265000</v>
      </c>
      <c r="AC30" s="176">
        <v>104853000</v>
      </c>
      <c r="AD30" s="176">
        <v>104576000</v>
      </c>
      <c r="AE30" s="176">
        <v>104324000</v>
      </c>
      <c r="AF30" s="176">
        <v>103942000</v>
      </c>
      <c r="AG30" s="176">
        <v>103606000</v>
      </c>
      <c r="AH30" s="176">
        <v>103493000</v>
      </c>
      <c r="AI30" s="176">
        <v>103246000</v>
      </c>
      <c r="AJ30" s="176">
        <v>103147000</v>
      </c>
      <c r="AK30" s="176">
        <v>103041000</v>
      </c>
      <c r="AL30" s="176">
        <v>102825000</v>
      </c>
      <c r="AM30" s="176">
        <v>102742000</v>
      </c>
      <c r="AN30" s="176">
        <v>102651000</v>
      </c>
      <c r="AO30" s="176">
        <v>102448000</v>
      </c>
      <c r="AP30" s="176">
        <v>102365000</v>
      </c>
      <c r="AQ30" s="176">
        <v>102294000</v>
      </c>
    </row>
    <row r="31" spans="1:43" x14ac:dyDescent="0.15">
      <c r="A31" t="s">
        <v>1248</v>
      </c>
      <c r="B31" s="176">
        <v>12332700</v>
      </c>
      <c r="C31" s="176">
        <v>12332700</v>
      </c>
      <c r="D31" s="176">
        <v>12332700</v>
      </c>
      <c r="E31" s="176">
        <v>12332700</v>
      </c>
      <c r="F31" s="176">
        <v>12332700</v>
      </c>
      <c r="G31" s="176">
        <v>12332700</v>
      </c>
      <c r="H31" s="176">
        <v>12332700</v>
      </c>
      <c r="I31" s="176">
        <v>12332700</v>
      </c>
      <c r="J31" s="176">
        <v>12332700</v>
      </c>
      <c r="K31" s="176">
        <v>12332700</v>
      </c>
      <c r="L31" s="176">
        <v>12332700</v>
      </c>
      <c r="M31" s="176">
        <v>12332700</v>
      </c>
      <c r="N31" s="176">
        <v>12332700</v>
      </c>
      <c r="O31" s="176">
        <v>12332700</v>
      </c>
      <c r="P31" s="176">
        <v>12332700</v>
      </c>
      <c r="Q31" s="176">
        <v>12332700</v>
      </c>
      <c r="R31" s="176">
        <v>12332700</v>
      </c>
      <c r="S31" s="176">
        <v>12332700</v>
      </c>
      <c r="T31" s="176">
        <v>12332700</v>
      </c>
      <c r="U31" s="176">
        <v>12332700</v>
      </c>
      <c r="V31" s="176">
        <v>12332700</v>
      </c>
      <c r="W31" s="176">
        <v>12332700</v>
      </c>
      <c r="X31" s="176">
        <v>12332700</v>
      </c>
      <c r="Y31" s="176">
        <v>12332700</v>
      </c>
      <c r="Z31" s="176">
        <v>12332700</v>
      </c>
      <c r="AA31" s="176">
        <v>12332700</v>
      </c>
      <c r="AB31" s="176">
        <v>12332700</v>
      </c>
      <c r="AC31" s="176">
        <v>12332700</v>
      </c>
      <c r="AD31" s="176">
        <v>12332700</v>
      </c>
      <c r="AE31" s="176">
        <v>12332700</v>
      </c>
      <c r="AF31" s="176">
        <v>12332700</v>
      </c>
      <c r="AG31" s="176">
        <v>12332700</v>
      </c>
      <c r="AH31" s="176">
        <v>12332700</v>
      </c>
      <c r="AI31" s="176">
        <v>12332700</v>
      </c>
      <c r="AJ31" s="176">
        <v>12332700</v>
      </c>
      <c r="AK31" s="176">
        <v>12332700</v>
      </c>
      <c r="AL31" s="176">
        <v>12332700</v>
      </c>
      <c r="AM31" s="176">
        <v>12332700</v>
      </c>
      <c r="AN31" s="176">
        <v>12332700</v>
      </c>
      <c r="AO31" s="176">
        <v>12332700</v>
      </c>
      <c r="AP31" s="176">
        <v>12332700</v>
      </c>
      <c r="AQ31" s="176">
        <v>12332700</v>
      </c>
    </row>
    <row r="32" spans="1:43" x14ac:dyDescent="0.15">
      <c r="A32" t="s">
        <v>1249</v>
      </c>
      <c r="B32" s="176">
        <v>12332700</v>
      </c>
      <c r="C32" s="176">
        <v>12332700</v>
      </c>
      <c r="D32" s="176">
        <v>12332700</v>
      </c>
      <c r="E32" s="176">
        <v>12332700</v>
      </c>
      <c r="F32" s="176">
        <v>12332700</v>
      </c>
      <c r="G32" s="176">
        <v>12332700</v>
      </c>
      <c r="H32" s="176">
        <v>12332700</v>
      </c>
      <c r="I32" s="176">
        <v>12332700</v>
      </c>
      <c r="J32" s="176">
        <v>12332700</v>
      </c>
      <c r="K32" s="176">
        <v>12332700</v>
      </c>
      <c r="L32" s="176">
        <v>12332700</v>
      </c>
      <c r="M32" s="176">
        <v>12332700</v>
      </c>
      <c r="N32" s="176">
        <v>12332700</v>
      </c>
      <c r="O32" s="176">
        <v>12332700</v>
      </c>
      <c r="P32" s="176">
        <v>12332700</v>
      </c>
      <c r="Q32" s="176">
        <v>12332700</v>
      </c>
      <c r="R32" s="176">
        <v>12332700</v>
      </c>
      <c r="S32" s="176">
        <v>12332700</v>
      </c>
      <c r="T32" s="176">
        <v>12332700</v>
      </c>
      <c r="U32" s="176">
        <v>12332700</v>
      </c>
      <c r="V32" s="176">
        <v>12332700</v>
      </c>
      <c r="W32" s="176">
        <v>12332700</v>
      </c>
      <c r="X32" s="176">
        <v>12332700</v>
      </c>
      <c r="Y32" s="176">
        <v>12332700</v>
      </c>
      <c r="Z32" s="176">
        <v>12332700</v>
      </c>
      <c r="AA32" s="176">
        <v>12332700</v>
      </c>
      <c r="AB32" s="176">
        <v>12332700</v>
      </c>
      <c r="AC32" s="176">
        <v>12332700</v>
      </c>
      <c r="AD32" s="176">
        <v>12332700</v>
      </c>
      <c r="AE32" s="176">
        <v>12332700</v>
      </c>
      <c r="AF32" s="176">
        <v>12332700</v>
      </c>
      <c r="AG32" s="176">
        <v>12332700</v>
      </c>
      <c r="AH32" s="176">
        <v>12332700</v>
      </c>
      <c r="AI32" s="176">
        <v>12332700</v>
      </c>
      <c r="AJ32" s="176">
        <v>12332700</v>
      </c>
      <c r="AK32" s="176">
        <v>12332700</v>
      </c>
      <c r="AL32" s="176">
        <v>12332700</v>
      </c>
      <c r="AM32" s="176">
        <v>12332700</v>
      </c>
      <c r="AN32" s="176">
        <v>12332700</v>
      </c>
      <c r="AO32" s="176">
        <v>12332700</v>
      </c>
      <c r="AP32" s="176">
        <v>12332700</v>
      </c>
      <c r="AQ32" s="176">
        <v>12332700</v>
      </c>
    </row>
    <row r="33" spans="1:43" x14ac:dyDescent="0.15">
      <c r="A33" t="s">
        <v>1250</v>
      </c>
      <c r="B33" s="176">
        <v>130752000</v>
      </c>
      <c r="C33" s="176">
        <v>130752000</v>
      </c>
      <c r="D33" s="176">
        <v>148980000</v>
      </c>
      <c r="E33" s="176">
        <v>123062000</v>
      </c>
      <c r="F33" s="176">
        <v>207290000</v>
      </c>
      <c r="G33" s="176">
        <v>169046000</v>
      </c>
      <c r="H33" s="176">
        <v>172647000</v>
      </c>
      <c r="I33" s="176">
        <v>173815000</v>
      </c>
      <c r="J33" s="176">
        <v>176032000</v>
      </c>
      <c r="K33" s="176">
        <v>179183000</v>
      </c>
      <c r="L33" s="176">
        <v>181007000</v>
      </c>
      <c r="M33" s="176">
        <v>182790000</v>
      </c>
      <c r="N33" s="176">
        <v>184991000</v>
      </c>
      <c r="O33" s="176">
        <v>186017000</v>
      </c>
      <c r="P33" s="176">
        <v>187491000</v>
      </c>
      <c r="Q33" s="176">
        <v>188483000</v>
      </c>
      <c r="R33" s="176">
        <v>188546000</v>
      </c>
      <c r="S33" s="176">
        <v>187249000</v>
      </c>
      <c r="T33" s="176">
        <v>185972000</v>
      </c>
      <c r="U33" s="176">
        <v>186945000</v>
      </c>
      <c r="V33" s="176">
        <v>187903000</v>
      </c>
      <c r="W33" s="176">
        <v>186649000</v>
      </c>
      <c r="X33" s="176">
        <v>188906000</v>
      </c>
      <c r="Y33" s="176">
        <v>190034000</v>
      </c>
      <c r="Z33" s="176">
        <v>190082000</v>
      </c>
      <c r="AA33" s="176">
        <v>190558000</v>
      </c>
      <c r="AB33" s="176">
        <v>191452000</v>
      </c>
      <c r="AC33" s="176">
        <v>192536000</v>
      </c>
      <c r="AD33" s="176">
        <v>193405000</v>
      </c>
      <c r="AE33" s="176">
        <v>193632000</v>
      </c>
      <c r="AF33" s="176">
        <v>193239000</v>
      </c>
      <c r="AG33" s="176">
        <v>194086000</v>
      </c>
      <c r="AH33" s="176">
        <v>195733000</v>
      </c>
      <c r="AI33" s="176">
        <v>196968000</v>
      </c>
      <c r="AJ33" s="176">
        <v>198615000</v>
      </c>
      <c r="AK33" s="176">
        <v>199438000</v>
      </c>
      <c r="AL33" s="176">
        <v>201085000</v>
      </c>
      <c r="AM33" s="176">
        <v>202320000</v>
      </c>
      <c r="AN33" s="176">
        <v>203144000</v>
      </c>
      <c r="AO33" s="176">
        <v>204790000</v>
      </c>
      <c r="AP33" s="176">
        <v>206025000</v>
      </c>
      <c r="AQ33" s="176">
        <v>207672000</v>
      </c>
    </row>
    <row r="34" spans="1:43" x14ac:dyDescent="0.15">
      <c r="A34" t="s">
        <v>1251</v>
      </c>
      <c r="B34" s="176">
        <v>12332700</v>
      </c>
      <c r="C34" s="176">
        <v>12332700</v>
      </c>
      <c r="D34" s="176">
        <v>12332700</v>
      </c>
      <c r="E34" s="176">
        <v>12332700</v>
      </c>
      <c r="F34" s="176">
        <v>12332700</v>
      </c>
      <c r="G34" s="176">
        <v>12332700</v>
      </c>
      <c r="H34" s="176">
        <v>12332700</v>
      </c>
      <c r="I34" s="176">
        <v>12332700</v>
      </c>
      <c r="J34" s="176">
        <v>12332700</v>
      </c>
      <c r="K34" s="176">
        <v>12332700</v>
      </c>
      <c r="L34" s="176">
        <v>12332700</v>
      </c>
      <c r="M34" s="176">
        <v>12332700</v>
      </c>
      <c r="N34" s="176">
        <v>12332700</v>
      </c>
      <c r="O34" s="176">
        <v>12332700</v>
      </c>
      <c r="P34" s="176">
        <v>12332700</v>
      </c>
      <c r="Q34" s="176">
        <v>12332700</v>
      </c>
      <c r="R34" s="176">
        <v>12332700</v>
      </c>
      <c r="S34" s="176">
        <v>12332700</v>
      </c>
      <c r="T34" s="176">
        <v>12332700</v>
      </c>
      <c r="U34" s="176">
        <v>12332700</v>
      </c>
      <c r="V34" s="176">
        <v>12332700</v>
      </c>
      <c r="W34" s="176">
        <v>12332700</v>
      </c>
      <c r="X34" s="176">
        <v>12332700</v>
      </c>
      <c r="Y34" s="176">
        <v>12332700</v>
      </c>
      <c r="Z34" s="176">
        <v>12332700</v>
      </c>
      <c r="AA34" s="176">
        <v>12332700</v>
      </c>
      <c r="AB34" s="176">
        <v>12332700</v>
      </c>
      <c r="AC34" s="176">
        <v>12332700</v>
      </c>
      <c r="AD34" s="176">
        <v>12332700</v>
      </c>
      <c r="AE34" s="176">
        <v>12332700</v>
      </c>
      <c r="AF34" s="176">
        <v>12332700</v>
      </c>
      <c r="AG34" s="176">
        <v>12332700</v>
      </c>
      <c r="AH34" s="176">
        <v>12332700</v>
      </c>
      <c r="AI34" s="176">
        <v>12332700</v>
      </c>
      <c r="AJ34" s="176">
        <v>12332700</v>
      </c>
      <c r="AK34" s="176">
        <v>12332700</v>
      </c>
      <c r="AL34" s="176">
        <v>12332700</v>
      </c>
      <c r="AM34" s="176">
        <v>12332700</v>
      </c>
      <c r="AN34" s="176">
        <v>12332700</v>
      </c>
      <c r="AO34" s="176">
        <v>12332700</v>
      </c>
      <c r="AP34" s="176">
        <v>12332700</v>
      </c>
      <c r="AQ34" s="176">
        <v>12332700</v>
      </c>
    </row>
    <row r="35" spans="1:43" x14ac:dyDescent="0.15">
      <c r="A35" t="s">
        <v>1252</v>
      </c>
      <c r="B35" s="176">
        <v>12332700</v>
      </c>
      <c r="C35" s="176">
        <v>12332700</v>
      </c>
      <c r="D35" s="176">
        <v>12332700</v>
      </c>
      <c r="E35" s="176">
        <v>12332700</v>
      </c>
      <c r="F35" s="176">
        <v>12332700</v>
      </c>
      <c r="G35" s="176">
        <v>12332700</v>
      </c>
      <c r="H35" s="176">
        <v>12332700</v>
      </c>
      <c r="I35" s="176">
        <v>12332700</v>
      </c>
      <c r="J35" s="176">
        <v>12332700</v>
      </c>
      <c r="K35" s="176">
        <v>12332700</v>
      </c>
      <c r="L35" s="176">
        <v>12332700</v>
      </c>
      <c r="M35" s="176">
        <v>12332700</v>
      </c>
      <c r="N35" s="176">
        <v>12332700</v>
      </c>
      <c r="O35" s="176">
        <v>12332700</v>
      </c>
      <c r="P35" s="176">
        <v>12332700</v>
      </c>
      <c r="Q35" s="176">
        <v>12332700</v>
      </c>
      <c r="R35" s="176">
        <v>12332700</v>
      </c>
      <c r="S35" s="176">
        <v>12332700</v>
      </c>
      <c r="T35" s="176">
        <v>12332700</v>
      </c>
      <c r="U35" s="176">
        <v>12332700</v>
      </c>
      <c r="V35" s="176">
        <v>12332700</v>
      </c>
      <c r="W35" s="176">
        <v>12332700</v>
      </c>
      <c r="X35" s="176">
        <v>12332700</v>
      </c>
      <c r="Y35" s="176">
        <v>12332700</v>
      </c>
      <c r="Z35" s="176">
        <v>12332700</v>
      </c>
      <c r="AA35" s="176">
        <v>12332700</v>
      </c>
      <c r="AB35" s="176">
        <v>12332700</v>
      </c>
      <c r="AC35" s="176">
        <v>12332700</v>
      </c>
      <c r="AD35" s="176">
        <v>12332700</v>
      </c>
      <c r="AE35" s="176">
        <v>12332700</v>
      </c>
      <c r="AF35" s="176">
        <v>12332700</v>
      </c>
      <c r="AG35" s="176">
        <v>12332700</v>
      </c>
      <c r="AH35" s="176">
        <v>12332700</v>
      </c>
      <c r="AI35" s="176">
        <v>12332700</v>
      </c>
      <c r="AJ35" s="176">
        <v>12332700</v>
      </c>
      <c r="AK35" s="176">
        <v>12332700</v>
      </c>
      <c r="AL35" s="176">
        <v>12332700</v>
      </c>
      <c r="AM35" s="176">
        <v>12332700</v>
      </c>
      <c r="AN35" s="176">
        <v>12332700</v>
      </c>
      <c r="AO35" s="176">
        <v>12332700</v>
      </c>
      <c r="AP35" s="176">
        <v>12332700</v>
      </c>
      <c r="AQ35" s="176">
        <v>12332700</v>
      </c>
    </row>
    <row r="36" spans="1:43" x14ac:dyDescent="0.15">
      <c r="A36" t="s">
        <v>1253</v>
      </c>
      <c r="B36" s="176">
        <v>221084000</v>
      </c>
      <c r="C36" s="176">
        <v>221084000</v>
      </c>
      <c r="D36" s="176">
        <v>212838000</v>
      </c>
      <c r="E36" s="176">
        <v>176429000</v>
      </c>
      <c r="F36" s="176">
        <v>234859000</v>
      </c>
      <c r="G36" s="176">
        <v>193571000</v>
      </c>
      <c r="H36" s="176">
        <v>187082000</v>
      </c>
      <c r="I36" s="176">
        <v>181328000</v>
      </c>
      <c r="J36" s="176">
        <v>176070000</v>
      </c>
      <c r="K36" s="176">
        <v>171474000</v>
      </c>
      <c r="L36" s="176">
        <v>166811000</v>
      </c>
      <c r="M36" s="176">
        <v>162321000</v>
      </c>
      <c r="N36" s="176">
        <v>157920000</v>
      </c>
      <c r="O36" s="176">
        <v>153709000</v>
      </c>
      <c r="P36" s="176">
        <v>149913000</v>
      </c>
      <c r="Q36" s="176">
        <v>146188000</v>
      </c>
      <c r="R36" s="176">
        <v>142705000</v>
      </c>
      <c r="S36" s="176">
        <v>139350000</v>
      </c>
      <c r="T36" s="176">
        <v>136041000</v>
      </c>
      <c r="U36" s="176">
        <v>133021000</v>
      </c>
      <c r="V36" s="176">
        <v>130258000</v>
      </c>
      <c r="W36" s="176">
        <v>127564000</v>
      </c>
      <c r="X36" s="176">
        <v>125120000</v>
      </c>
      <c r="Y36" s="176">
        <v>122728000</v>
      </c>
      <c r="Z36" s="176">
        <v>120289000</v>
      </c>
      <c r="AA36" s="176">
        <v>118066000</v>
      </c>
      <c r="AB36" s="176">
        <v>116048000</v>
      </c>
      <c r="AC36" s="176">
        <v>114078000</v>
      </c>
      <c r="AD36" s="176">
        <v>112323000</v>
      </c>
      <c r="AE36" s="176">
        <v>110477000</v>
      </c>
      <c r="AF36" s="176">
        <v>108839000</v>
      </c>
      <c r="AG36" s="176">
        <v>107233000</v>
      </c>
      <c r="AH36" s="176">
        <v>106519000</v>
      </c>
      <c r="AI36" s="176">
        <v>105845000</v>
      </c>
      <c r="AJ36" s="176">
        <v>105199000</v>
      </c>
      <c r="AK36" s="176">
        <v>104580000</v>
      </c>
      <c r="AL36" s="176">
        <v>103989000</v>
      </c>
      <c r="AM36" s="176">
        <v>103430000</v>
      </c>
      <c r="AN36" s="176">
        <v>102902000</v>
      </c>
      <c r="AO36" s="176">
        <v>102389000</v>
      </c>
      <c r="AP36" s="176">
        <v>101908000</v>
      </c>
      <c r="AQ36" s="176">
        <v>101442000</v>
      </c>
    </row>
    <row r="37" spans="1:43" x14ac:dyDescent="0.15">
      <c r="A37" t="s">
        <v>1254</v>
      </c>
      <c r="B37" s="176">
        <v>177886000</v>
      </c>
      <c r="C37" s="176">
        <v>177886000</v>
      </c>
      <c r="D37" s="176">
        <v>172847000</v>
      </c>
      <c r="E37" s="176">
        <v>154950000</v>
      </c>
      <c r="F37" s="176">
        <v>149508000</v>
      </c>
      <c r="G37" s="176">
        <v>153269000</v>
      </c>
      <c r="H37" s="176">
        <v>148657000</v>
      </c>
      <c r="I37" s="176">
        <v>144506000</v>
      </c>
      <c r="J37" s="176">
        <v>141920000</v>
      </c>
      <c r="K37" s="176">
        <v>139669000</v>
      </c>
      <c r="L37" s="176">
        <v>137168000</v>
      </c>
      <c r="M37" s="176">
        <v>135723000</v>
      </c>
      <c r="N37" s="176">
        <v>134248000</v>
      </c>
      <c r="O37" s="176">
        <v>133383000</v>
      </c>
      <c r="P37" s="176">
        <v>131366000</v>
      </c>
      <c r="Q37" s="176">
        <v>130144000</v>
      </c>
      <c r="R37" s="176">
        <v>129273000</v>
      </c>
      <c r="S37" s="176">
        <v>128088000</v>
      </c>
      <c r="T37" s="176">
        <v>127095000</v>
      </c>
      <c r="U37" s="176">
        <v>126442000</v>
      </c>
      <c r="V37" s="176">
        <v>126048000</v>
      </c>
      <c r="W37" s="176">
        <v>125448000</v>
      </c>
      <c r="X37" s="176">
        <v>124662000</v>
      </c>
      <c r="Y37" s="176">
        <v>124159000</v>
      </c>
      <c r="Z37" s="176">
        <v>123684000</v>
      </c>
      <c r="AA37" s="176">
        <v>123125000</v>
      </c>
      <c r="AB37" s="176">
        <v>122696000</v>
      </c>
      <c r="AC37" s="176">
        <v>122044000</v>
      </c>
      <c r="AD37" s="176">
        <v>121707000</v>
      </c>
      <c r="AE37" s="176">
        <v>121329000</v>
      </c>
      <c r="AF37" s="176">
        <v>120702000</v>
      </c>
      <c r="AG37" s="176">
        <v>120351000</v>
      </c>
      <c r="AH37" s="176">
        <v>120238000</v>
      </c>
      <c r="AI37" s="176">
        <v>119872000</v>
      </c>
      <c r="AJ37" s="176">
        <v>119773000</v>
      </c>
      <c r="AK37" s="176">
        <v>119656000</v>
      </c>
      <c r="AL37" s="176">
        <v>119332000</v>
      </c>
      <c r="AM37" s="176">
        <v>119249000</v>
      </c>
      <c r="AN37" s="176">
        <v>119147000</v>
      </c>
      <c r="AO37" s="176">
        <v>118836000</v>
      </c>
      <c r="AP37" s="176">
        <v>118742000</v>
      </c>
      <c r="AQ37" s="176">
        <v>118668000</v>
      </c>
    </row>
    <row r="38" spans="1:43" x14ac:dyDescent="0.15">
      <c r="A38" t="s">
        <v>1255</v>
      </c>
      <c r="B38" s="176">
        <v>12332700</v>
      </c>
      <c r="C38" s="176">
        <v>12332700</v>
      </c>
      <c r="D38" s="176">
        <v>12332700</v>
      </c>
      <c r="E38" s="176">
        <v>12332700</v>
      </c>
      <c r="F38" s="176">
        <v>12332700</v>
      </c>
      <c r="G38" s="176">
        <v>12332700</v>
      </c>
      <c r="H38" s="176">
        <v>12332700</v>
      </c>
      <c r="I38" s="176">
        <v>12332700</v>
      </c>
      <c r="J38" s="176">
        <v>12332700</v>
      </c>
      <c r="K38" s="176">
        <v>12332700</v>
      </c>
      <c r="L38" s="176">
        <v>12332700</v>
      </c>
      <c r="M38" s="176">
        <v>12332700</v>
      </c>
      <c r="N38" s="176">
        <v>12332700</v>
      </c>
      <c r="O38" s="176">
        <v>12332700</v>
      </c>
      <c r="P38" s="176">
        <v>12332700</v>
      </c>
      <c r="Q38" s="176">
        <v>12332700</v>
      </c>
      <c r="R38" s="176">
        <v>12332700</v>
      </c>
      <c r="S38" s="176">
        <v>12332700</v>
      </c>
      <c r="T38" s="176">
        <v>12332700</v>
      </c>
      <c r="U38" s="176">
        <v>12332700</v>
      </c>
      <c r="V38" s="176">
        <v>12332700</v>
      </c>
      <c r="W38" s="176">
        <v>12332700</v>
      </c>
      <c r="X38" s="176">
        <v>12332700</v>
      </c>
      <c r="Y38" s="176">
        <v>12332700</v>
      </c>
      <c r="Z38" s="176">
        <v>12332700</v>
      </c>
      <c r="AA38" s="176">
        <v>12332700</v>
      </c>
      <c r="AB38" s="176">
        <v>12332700</v>
      </c>
      <c r="AC38" s="176">
        <v>12332700</v>
      </c>
      <c r="AD38" s="176">
        <v>12332700</v>
      </c>
      <c r="AE38" s="176">
        <v>12332700</v>
      </c>
      <c r="AF38" s="176">
        <v>12332700</v>
      </c>
      <c r="AG38" s="176">
        <v>12332700</v>
      </c>
      <c r="AH38" s="176">
        <v>12332700</v>
      </c>
      <c r="AI38" s="176">
        <v>12332700</v>
      </c>
      <c r="AJ38" s="176">
        <v>12332700</v>
      </c>
      <c r="AK38" s="176">
        <v>12332700</v>
      </c>
      <c r="AL38" s="176">
        <v>12332700</v>
      </c>
      <c r="AM38" s="176">
        <v>12332700</v>
      </c>
      <c r="AN38" s="176">
        <v>12332700</v>
      </c>
      <c r="AO38" s="176">
        <v>12332700</v>
      </c>
      <c r="AP38" s="176">
        <v>12332700</v>
      </c>
      <c r="AQ38" s="176">
        <v>12332700</v>
      </c>
    </row>
    <row r="39" spans="1:43" x14ac:dyDescent="0.15">
      <c r="A39" t="s">
        <v>1256</v>
      </c>
      <c r="B39" s="176">
        <v>12332700</v>
      </c>
      <c r="C39" s="176">
        <v>12332700</v>
      </c>
      <c r="D39" s="176">
        <v>12332700</v>
      </c>
      <c r="E39" s="176">
        <v>12332700</v>
      </c>
      <c r="F39" s="176">
        <v>12332700</v>
      </c>
      <c r="G39" s="176">
        <v>12332700</v>
      </c>
      <c r="H39" s="176">
        <v>12332700</v>
      </c>
      <c r="I39" s="176">
        <v>12332700</v>
      </c>
      <c r="J39" s="176">
        <v>12332700</v>
      </c>
      <c r="K39" s="176">
        <v>12332700</v>
      </c>
      <c r="L39" s="176">
        <v>12332700</v>
      </c>
      <c r="M39" s="176">
        <v>12332700</v>
      </c>
      <c r="N39" s="176">
        <v>12332700</v>
      </c>
      <c r="O39" s="176">
        <v>12332700</v>
      </c>
      <c r="P39" s="176">
        <v>12332700</v>
      </c>
      <c r="Q39" s="176">
        <v>12332700</v>
      </c>
      <c r="R39" s="176">
        <v>12332700</v>
      </c>
      <c r="S39" s="176">
        <v>12332700</v>
      </c>
      <c r="T39" s="176">
        <v>12332700</v>
      </c>
      <c r="U39" s="176">
        <v>12332700</v>
      </c>
      <c r="V39" s="176">
        <v>12332700</v>
      </c>
      <c r="W39" s="176">
        <v>12332700</v>
      </c>
      <c r="X39" s="176">
        <v>12332700</v>
      </c>
      <c r="Y39" s="176">
        <v>12332700</v>
      </c>
      <c r="Z39" s="176">
        <v>12332700</v>
      </c>
      <c r="AA39" s="176">
        <v>12332700</v>
      </c>
      <c r="AB39" s="176">
        <v>12332700</v>
      </c>
      <c r="AC39" s="176">
        <v>12332700</v>
      </c>
      <c r="AD39" s="176">
        <v>12332700</v>
      </c>
      <c r="AE39" s="176">
        <v>12332700</v>
      </c>
      <c r="AF39" s="176">
        <v>12332700</v>
      </c>
      <c r="AG39" s="176">
        <v>12332700</v>
      </c>
      <c r="AH39" s="176">
        <v>12332700</v>
      </c>
      <c r="AI39" s="176">
        <v>12332700</v>
      </c>
      <c r="AJ39" s="176">
        <v>12332700</v>
      </c>
      <c r="AK39" s="176">
        <v>12332700</v>
      </c>
      <c r="AL39" s="176">
        <v>12332700</v>
      </c>
      <c r="AM39" s="176">
        <v>12332700</v>
      </c>
      <c r="AN39" s="176">
        <v>12332700</v>
      </c>
      <c r="AO39" s="176">
        <v>12332700</v>
      </c>
      <c r="AP39" s="176">
        <v>12332700</v>
      </c>
      <c r="AQ39" s="176">
        <v>12332700</v>
      </c>
    </row>
    <row r="40" spans="1:43" x14ac:dyDescent="0.15">
      <c r="A40" t="s">
        <v>1257</v>
      </c>
      <c r="B40" s="176">
        <v>175751000</v>
      </c>
      <c r="C40" s="176">
        <v>175751000</v>
      </c>
      <c r="D40" s="176">
        <v>221353000</v>
      </c>
      <c r="E40" s="176">
        <v>204138000</v>
      </c>
      <c r="F40" s="176">
        <v>213051000</v>
      </c>
      <c r="G40" s="176">
        <v>249856000</v>
      </c>
      <c r="H40" s="176">
        <v>252721000</v>
      </c>
      <c r="I40" s="176">
        <v>254550000</v>
      </c>
      <c r="J40" s="176">
        <v>259726000</v>
      </c>
      <c r="K40" s="176">
        <v>265205000</v>
      </c>
      <c r="L40" s="176">
        <v>268227000</v>
      </c>
      <c r="M40" s="176">
        <v>271552000</v>
      </c>
      <c r="N40" s="176">
        <v>275258000</v>
      </c>
      <c r="O40" s="176">
        <v>277191000</v>
      </c>
      <c r="P40" s="176">
        <v>279947000</v>
      </c>
      <c r="Q40" s="176">
        <v>281817000</v>
      </c>
      <c r="R40" s="176">
        <v>281980000</v>
      </c>
      <c r="S40" s="176">
        <v>279640000</v>
      </c>
      <c r="T40" s="176">
        <v>277335000</v>
      </c>
      <c r="U40" s="176">
        <v>279169000</v>
      </c>
      <c r="V40" s="176">
        <v>280977000</v>
      </c>
      <c r="W40" s="176">
        <v>278712000</v>
      </c>
      <c r="X40" s="176">
        <v>282908000</v>
      </c>
      <c r="Y40" s="176">
        <v>284651000</v>
      </c>
      <c r="Z40" s="176">
        <v>284785000</v>
      </c>
      <c r="AA40" s="176">
        <v>285704000</v>
      </c>
      <c r="AB40" s="176">
        <v>287392000</v>
      </c>
      <c r="AC40" s="176">
        <v>289057000</v>
      </c>
      <c r="AD40" s="176">
        <v>290699000</v>
      </c>
      <c r="AE40" s="176">
        <v>290788000</v>
      </c>
      <c r="AF40" s="176">
        <v>290114000</v>
      </c>
      <c r="AG40" s="176">
        <v>293157000</v>
      </c>
      <c r="AH40" s="176">
        <v>296199000</v>
      </c>
      <c r="AI40" s="176">
        <v>298480000</v>
      </c>
      <c r="AJ40" s="176">
        <v>301522000</v>
      </c>
      <c r="AK40" s="176">
        <v>303043000</v>
      </c>
      <c r="AL40" s="176">
        <v>306086000</v>
      </c>
      <c r="AM40" s="176">
        <v>308367000</v>
      </c>
      <c r="AN40" s="176">
        <v>309888000</v>
      </c>
      <c r="AO40" s="176">
        <v>312930000</v>
      </c>
      <c r="AP40" s="176">
        <v>315212000</v>
      </c>
      <c r="AQ40" s="176">
        <v>318254000</v>
      </c>
    </row>
    <row r="41" spans="1:43" x14ac:dyDescent="0.15">
      <c r="A41" t="s">
        <v>1258</v>
      </c>
      <c r="B41" s="176">
        <v>12332700</v>
      </c>
      <c r="C41" s="176">
        <v>12332700</v>
      </c>
      <c r="D41" s="176">
        <v>12332700</v>
      </c>
      <c r="E41" s="176">
        <v>12332700</v>
      </c>
      <c r="F41" s="176">
        <v>12332700</v>
      </c>
      <c r="G41" s="176">
        <v>12332700</v>
      </c>
      <c r="H41" s="176">
        <v>12332700</v>
      </c>
      <c r="I41" s="176">
        <v>12332700</v>
      </c>
      <c r="J41" s="176">
        <v>12332700</v>
      </c>
      <c r="K41" s="176">
        <v>12332700</v>
      </c>
      <c r="L41" s="176">
        <v>12332700</v>
      </c>
      <c r="M41" s="176">
        <v>12332700</v>
      </c>
      <c r="N41" s="176">
        <v>12332700</v>
      </c>
      <c r="O41" s="176">
        <v>12332700</v>
      </c>
      <c r="P41" s="176">
        <v>12332700</v>
      </c>
      <c r="Q41" s="176">
        <v>12332700</v>
      </c>
      <c r="R41" s="176">
        <v>12332700</v>
      </c>
      <c r="S41" s="176">
        <v>12332700</v>
      </c>
      <c r="T41" s="176">
        <v>12332700</v>
      </c>
      <c r="U41" s="176">
        <v>12332700</v>
      </c>
      <c r="V41" s="176">
        <v>12332700</v>
      </c>
      <c r="W41" s="176">
        <v>12332700</v>
      </c>
      <c r="X41" s="176">
        <v>12332700</v>
      </c>
      <c r="Y41" s="176">
        <v>12332700</v>
      </c>
      <c r="Z41" s="176">
        <v>12332700</v>
      </c>
      <c r="AA41" s="176">
        <v>12332700</v>
      </c>
      <c r="AB41" s="176">
        <v>12332700</v>
      </c>
      <c r="AC41" s="176">
        <v>12332700</v>
      </c>
      <c r="AD41" s="176">
        <v>12332700</v>
      </c>
      <c r="AE41" s="176">
        <v>12332700</v>
      </c>
      <c r="AF41" s="176">
        <v>12332700</v>
      </c>
      <c r="AG41" s="176">
        <v>12332700</v>
      </c>
      <c r="AH41" s="176">
        <v>12332700</v>
      </c>
      <c r="AI41" s="176">
        <v>12332700</v>
      </c>
      <c r="AJ41" s="176">
        <v>12332700</v>
      </c>
      <c r="AK41" s="176">
        <v>12332700</v>
      </c>
      <c r="AL41" s="176">
        <v>12332700</v>
      </c>
      <c r="AM41" s="176">
        <v>12332700</v>
      </c>
      <c r="AN41" s="176">
        <v>12332700</v>
      </c>
      <c r="AO41" s="176">
        <v>12332700</v>
      </c>
      <c r="AP41" s="176">
        <v>12332700</v>
      </c>
      <c r="AQ41" s="176">
        <v>12332700</v>
      </c>
    </row>
    <row r="42" spans="1:43" x14ac:dyDescent="0.15">
      <c r="A42" t="s">
        <v>1259</v>
      </c>
      <c r="B42" s="176">
        <v>12332700</v>
      </c>
      <c r="C42" s="176">
        <v>12332700</v>
      </c>
      <c r="D42" s="176">
        <v>12332700</v>
      </c>
      <c r="E42" s="176">
        <v>12332700</v>
      </c>
      <c r="F42" s="176">
        <v>12332700</v>
      </c>
      <c r="G42" s="176">
        <v>12332700</v>
      </c>
      <c r="H42" s="176">
        <v>12332700</v>
      </c>
      <c r="I42" s="176">
        <v>12332700</v>
      </c>
      <c r="J42" s="176">
        <v>12332700</v>
      </c>
      <c r="K42" s="176">
        <v>12332700</v>
      </c>
      <c r="L42" s="176">
        <v>12332700</v>
      </c>
      <c r="M42" s="176">
        <v>12332700</v>
      </c>
      <c r="N42" s="176">
        <v>12332700</v>
      </c>
      <c r="O42" s="176">
        <v>12332700</v>
      </c>
      <c r="P42" s="176">
        <v>12332700</v>
      </c>
      <c r="Q42" s="176">
        <v>12332700</v>
      </c>
      <c r="R42" s="176">
        <v>12332700</v>
      </c>
      <c r="S42" s="176">
        <v>12332700</v>
      </c>
      <c r="T42" s="176">
        <v>12332700</v>
      </c>
      <c r="U42" s="176">
        <v>12332700</v>
      </c>
      <c r="V42" s="176">
        <v>12332700</v>
      </c>
      <c r="W42" s="176">
        <v>12332700</v>
      </c>
      <c r="X42" s="176">
        <v>12332700</v>
      </c>
      <c r="Y42" s="176">
        <v>12332700</v>
      </c>
      <c r="Z42" s="176">
        <v>12332700</v>
      </c>
      <c r="AA42" s="176">
        <v>12332700</v>
      </c>
      <c r="AB42" s="176">
        <v>12332700</v>
      </c>
      <c r="AC42" s="176">
        <v>12332700</v>
      </c>
      <c r="AD42" s="176">
        <v>12332700</v>
      </c>
      <c r="AE42" s="176">
        <v>12332700</v>
      </c>
      <c r="AF42" s="176">
        <v>12332700</v>
      </c>
      <c r="AG42" s="176">
        <v>12332700</v>
      </c>
      <c r="AH42" s="176">
        <v>12332700</v>
      </c>
      <c r="AI42" s="176">
        <v>12332700</v>
      </c>
      <c r="AJ42" s="176">
        <v>12332700</v>
      </c>
      <c r="AK42" s="176">
        <v>12332700</v>
      </c>
      <c r="AL42" s="176">
        <v>12332700</v>
      </c>
      <c r="AM42" s="176">
        <v>12332700</v>
      </c>
      <c r="AN42" s="176">
        <v>12332700</v>
      </c>
      <c r="AO42" s="176">
        <v>12332700</v>
      </c>
      <c r="AP42" s="176">
        <v>12332700</v>
      </c>
      <c r="AQ42" s="176">
        <v>12332700</v>
      </c>
    </row>
    <row r="43" spans="1:43" x14ac:dyDescent="0.15">
      <c r="A43" t="s">
        <v>1260</v>
      </c>
      <c r="B43" s="176">
        <v>289230000</v>
      </c>
      <c r="C43" s="176">
        <v>289230000</v>
      </c>
      <c r="D43" s="176">
        <v>288958000</v>
      </c>
      <c r="E43" s="176">
        <v>251098000</v>
      </c>
      <c r="F43" s="176">
        <v>239119000</v>
      </c>
      <c r="G43" s="176">
        <v>249888000</v>
      </c>
      <c r="H43" s="176">
        <v>238175000</v>
      </c>
      <c r="I43" s="176">
        <v>229490000</v>
      </c>
      <c r="J43" s="176">
        <v>221750000</v>
      </c>
      <c r="K43" s="176">
        <v>214264000</v>
      </c>
      <c r="L43" s="176">
        <v>207484000</v>
      </c>
      <c r="M43" s="176">
        <v>200700000</v>
      </c>
      <c r="N43" s="176">
        <v>194045000</v>
      </c>
      <c r="O43" s="176">
        <v>188337000</v>
      </c>
      <c r="P43" s="176">
        <v>182618000</v>
      </c>
      <c r="Q43" s="176">
        <v>177004000</v>
      </c>
      <c r="R43" s="176">
        <v>171648000</v>
      </c>
      <c r="S43" s="176">
        <v>166630000</v>
      </c>
      <c r="T43" s="176">
        <v>162005000</v>
      </c>
      <c r="U43" s="176">
        <v>157488000</v>
      </c>
      <c r="V43" s="176">
        <v>153402000</v>
      </c>
      <c r="W43" s="176">
        <v>149396000</v>
      </c>
      <c r="X43" s="176">
        <v>145807000</v>
      </c>
      <c r="Y43" s="176">
        <v>142276000</v>
      </c>
      <c r="Z43" s="176">
        <v>138862000</v>
      </c>
      <c r="AA43" s="176">
        <v>135553000</v>
      </c>
      <c r="AB43" s="176">
        <v>132585000</v>
      </c>
      <c r="AC43" s="176">
        <v>129758000</v>
      </c>
      <c r="AD43" s="176">
        <v>127208000</v>
      </c>
      <c r="AE43" s="176">
        <v>124462000</v>
      </c>
      <c r="AF43" s="176">
        <v>122066000</v>
      </c>
      <c r="AG43" s="176">
        <v>119797000</v>
      </c>
      <c r="AH43" s="176">
        <v>118482000</v>
      </c>
      <c r="AI43" s="176">
        <v>117243000</v>
      </c>
      <c r="AJ43" s="176">
        <v>116054000</v>
      </c>
      <c r="AK43" s="176">
        <v>114915000</v>
      </c>
      <c r="AL43" s="176">
        <v>113828000</v>
      </c>
      <c r="AM43" s="176">
        <v>112798000</v>
      </c>
      <c r="AN43" s="176">
        <v>111827000</v>
      </c>
      <c r="AO43" s="176">
        <v>110884000</v>
      </c>
      <c r="AP43" s="176">
        <v>109998000</v>
      </c>
      <c r="AQ43" s="176">
        <v>109141000</v>
      </c>
    </row>
    <row r="44" spans="1:43" x14ac:dyDescent="0.15">
      <c r="A44" t="s">
        <v>1261</v>
      </c>
      <c r="B44" s="176">
        <v>26915000</v>
      </c>
      <c r="C44" s="176">
        <v>26915000</v>
      </c>
      <c r="D44" s="176">
        <v>26872100</v>
      </c>
      <c r="E44" s="176">
        <v>25922300</v>
      </c>
      <c r="F44" s="176">
        <v>27797200</v>
      </c>
      <c r="G44" s="176">
        <v>27684600</v>
      </c>
      <c r="H44" s="176">
        <v>27544000</v>
      </c>
      <c r="I44" s="176">
        <v>27341400</v>
      </c>
      <c r="J44" s="176">
        <v>27240900</v>
      </c>
      <c r="K44" s="176">
        <v>27174600</v>
      </c>
      <c r="L44" s="176">
        <v>27063000</v>
      </c>
      <c r="M44" s="176">
        <v>27022800</v>
      </c>
      <c r="N44" s="176">
        <v>26967100</v>
      </c>
      <c r="O44" s="176">
        <v>26959800</v>
      </c>
      <c r="P44" s="176">
        <v>26867900</v>
      </c>
      <c r="Q44" s="176">
        <v>26823700</v>
      </c>
      <c r="R44" s="176">
        <v>26802400</v>
      </c>
      <c r="S44" s="176">
        <v>26761100</v>
      </c>
      <c r="T44" s="176">
        <v>26724000</v>
      </c>
      <c r="U44" s="176">
        <v>26710800</v>
      </c>
      <c r="V44" s="176">
        <v>26723200</v>
      </c>
      <c r="W44" s="176">
        <v>26710500</v>
      </c>
      <c r="X44" s="176">
        <v>26680900</v>
      </c>
      <c r="Y44" s="176">
        <v>26672400</v>
      </c>
      <c r="Z44" s="176">
        <v>26664800</v>
      </c>
      <c r="AA44" s="176">
        <v>26655800</v>
      </c>
      <c r="AB44" s="176">
        <v>26649500</v>
      </c>
      <c r="AC44" s="176">
        <v>26623600</v>
      </c>
      <c r="AD44" s="176">
        <v>26616300</v>
      </c>
      <c r="AE44" s="176">
        <v>26611400</v>
      </c>
      <c r="AF44" s="176">
        <v>26584700</v>
      </c>
      <c r="AG44" s="176">
        <v>26580500</v>
      </c>
      <c r="AH44" s="176">
        <v>26576500</v>
      </c>
      <c r="AI44" s="176">
        <v>26550700</v>
      </c>
      <c r="AJ44" s="176">
        <v>26547200</v>
      </c>
      <c r="AK44" s="176">
        <v>26542000</v>
      </c>
      <c r="AL44" s="176">
        <v>26518800</v>
      </c>
      <c r="AM44" s="176">
        <v>26515900</v>
      </c>
      <c r="AN44" s="176">
        <v>26511100</v>
      </c>
      <c r="AO44" s="176">
        <v>26488400</v>
      </c>
      <c r="AP44" s="176">
        <v>26483900</v>
      </c>
      <c r="AQ44" s="176">
        <v>26481000</v>
      </c>
    </row>
    <row r="45" spans="1:43" x14ac:dyDescent="0.15">
      <c r="A45" t="s">
        <v>1262</v>
      </c>
      <c r="B45" s="176">
        <v>28899500</v>
      </c>
      <c r="C45" s="176">
        <v>28899500</v>
      </c>
      <c r="D45" s="176">
        <v>28899500</v>
      </c>
      <c r="E45" s="176">
        <v>28899500</v>
      </c>
      <c r="F45" s="176">
        <v>28899500</v>
      </c>
      <c r="G45" s="176">
        <v>28899500</v>
      </c>
      <c r="H45" s="176">
        <v>28899500</v>
      </c>
      <c r="I45" s="176">
        <v>28899500</v>
      </c>
      <c r="J45" s="176">
        <v>28899500</v>
      </c>
      <c r="K45" s="176">
        <v>28899500</v>
      </c>
      <c r="L45" s="176">
        <v>28899500</v>
      </c>
      <c r="M45" s="176">
        <v>28899500</v>
      </c>
      <c r="N45" s="176">
        <v>28899500</v>
      </c>
      <c r="O45" s="176">
        <v>28899500</v>
      </c>
      <c r="P45" s="176">
        <v>28899500</v>
      </c>
      <c r="Q45" s="176">
        <v>28899500</v>
      </c>
      <c r="R45" s="176">
        <v>28899500</v>
      </c>
      <c r="S45" s="176">
        <v>28899500</v>
      </c>
      <c r="T45" s="176">
        <v>28899500</v>
      </c>
      <c r="U45" s="176">
        <v>28899500</v>
      </c>
      <c r="V45" s="176">
        <v>28899500</v>
      </c>
      <c r="W45" s="176">
        <v>28899500</v>
      </c>
      <c r="X45" s="176">
        <v>28899500</v>
      </c>
      <c r="Y45" s="176">
        <v>28899500</v>
      </c>
      <c r="Z45" s="176">
        <v>28899500</v>
      </c>
      <c r="AA45" s="176">
        <v>28899500</v>
      </c>
      <c r="AB45" s="176">
        <v>28899500</v>
      </c>
      <c r="AC45" s="176">
        <v>28899500</v>
      </c>
      <c r="AD45" s="176">
        <v>28899500</v>
      </c>
      <c r="AE45" s="176">
        <v>28899500</v>
      </c>
      <c r="AF45" s="176">
        <v>28899500</v>
      </c>
      <c r="AG45" s="176">
        <v>28899500</v>
      </c>
      <c r="AH45" s="176">
        <v>28899500</v>
      </c>
      <c r="AI45" s="176">
        <v>28899500</v>
      </c>
      <c r="AJ45" s="176">
        <v>28899500</v>
      </c>
      <c r="AK45" s="176">
        <v>28899500</v>
      </c>
      <c r="AL45" s="176">
        <v>28899500</v>
      </c>
      <c r="AM45" s="176">
        <v>28899500</v>
      </c>
      <c r="AN45" s="176">
        <v>28899500</v>
      </c>
      <c r="AO45" s="176">
        <v>28899500</v>
      </c>
      <c r="AP45" s="176">
        <v>28899500</v>
      </c>
      <c r="AQ45" s="176">
        <v>28899500</v>
      </c>
    </row>
    <row r="46" spans="1:43" x14ac:dyDescent="0.15">
      <c r="A46" t="s">
        <v>1263</v>
      </c>
      <c r="B46" s="176">
        <v>28899500</v>
      </c>
      <c r="C46" s="176">
        <v>28899500</v>
      </c>
      <c r="D46" s="176">
        <v>28899500</v>
      </c>
      <c r="E46" s="176">
        <v>28899500</v>
      </c>
      <c r="F46" s="176">
        <v>28899500</v>
      </c>
      <c r="G46" s="176">
        <v>28899500</v>
      </c>
      <c r="H46" s="176">
        <v>28899500</v>
      </c>
      <c r="I46" s="176">
        <v>28899500</v>
      </c>
      <c r="J46" s="176">
        <v>28899500</v>
      </c>
      <c r="K46" s="176">
        <v>28899500</v>
      </c>
      <c r="L46" s="176">
        <v>28899500</v>
      </c>
      <c r="M46" s="176">
        <v>28899500</v>
      </c>
      <c r="N46" s="176">
        <v>28899500</v>
      </c>
      <c r="O46" s="176">
        <v>28899500</v>
      </c>
      <c r="P46" s="176">
        <v>28899500</v>
      </c>
      <c r="Q46" s="176">
        <v>28899500</v>
      </c>
      <c r="R46" s="176">
        <v>28899500</v>
      </c>
      <c r="S46" s="176">
        <v>28899500</v>
      </c>
      <c r="T46" s="176">
        <v>28899500</v>
      </c>
      <c r="U46" s="176">
        <v>28899500</v>
      </c>
      <c r="V46" s="176">
        <v>28899500</v>
      </c>
      <c r="W46" s="176">
        <v>28899500</v>
      </c>
      <c r="X46" s="176">
        <v>28899500</v>
      </c>
      <c r="Y46" s="176">
        <v>28899500</v>
      </c>
      <c r="Z46" s="176">
        <v>28899500</v>
      </c>
      <c r="AA46" s="176">
        <v>28899500</v>
      </c>
      <c r="AB46" s="176">
        <v>28899500</v>
      </c>
      <c r="AC46" s="176">
        <v>28899500</v>
      </c>
      <c r="AD46" s="176">
        <v>28899500</v>
      </c>
      <c r="AE46" s="176">
        <v>28899500</v>
      </c>
      <c r="AF46" s="176">
        <v>28899500</v>
      </c>
      <c r="AG46" s="176">
        <v>28899500</v>
      </c>
      <c r="AH46" s="176">
        <v>28899500</v>
      </c>
      <c r="AI46" s="176">
        <v>28899500</v>
      </c>
      <c r="AJ46" s="176">
        <v>28899500</v>
      </c>
      <c r="AK46" s="176">
        <v>28899500</v>
      </c>
      <c r="AL46" s="176">
        <v>28899500</v>
      </c>
      <c r="AM46" s="176">
        <v>28899500</v>
      </c>
      <c r="AN46" s="176">
        <v>28899500</v>
      </c>
      <c r="AO46" s="176">
        <v>28899500</v>
      </c>
      <c r="AP46" s="176">
        <v>28899500</v>
      </c>
      <c r="AQ46" s="176">
        <v>28899500</v>
      </c>
    </row>
    <row r="47" spans="1:43" x14ac:dyDescent="0.15">
      <c r="A47" t="s">
        <v>1264</v>
      </c>
      <c r="B47" s="176">
        <v>37710400</v>
      </c>
      <c r="C47" s="176">
        <v>37710400</v>
      </c>
      <c r="D47" s="176">
        <v>39930500</v>
      </c>
      <c r="E47" s="176">
        <v>37229400</v>
      </c>
      <c r="F47" s="176">
        <v>45529900</v>
      </c>
      <c r="G47" s="176">
        <v>47396000</v>
      </c>
      <c r="H47" s="176">
        <v>47782200</v>
      </c>
      <c r="I47" s="176">
        <v>48084700</v>
      </c>
      <c r="J47" s="176">
        <v>48322100</v>
      </c>
      <c r="K47" s="176">
        <v>49012500</v>
      </c>
      <c r="L47" s="176">
        <v>49393200</v>
      </c>
      <c r="M47" s="176">
        <v>49696500</v>
      </c>
      <c r="N47" s="176">
        <v>50567700</v>
      </c>
      <c r="O47" s="176">
        <v>50825800</v>
      </c>
      <c r="P47" s="176">
        <v>51212900</v>
      </c>
      <c r="Q47" s="176">
        <v>51406500</v>
      </c>
      <c r="R47" s="176">
        <v>51600100</v>
      </c>
      <c r="S47" s="176">
        <v>51342000</v>
      </c>
      <c r="T47" s="176">
        <v>51277500</v>
      </c>
      <c r="U47" s="176">
        <v>51600100</v>
      </c>
      <c r="V47" s="176">
        <v>51793700</v>
      </c>
      <c r="W47" s="176">
        <v>51664600</v>
      </c>
      <c r="X47" s="176">
        <v>52116300</v>
      </c>
      <c r="Y47" s="176">
        <v>52300100</v>
      </c>
      <c r="Z47" s="176">
        <v>52429500</v>
      </c>
      <c r="AA47" s="176">
        <v>52623500</v>
      </c>
      <c r="AB47" s="176">
        <v>52817600</v>
      </c>
      <c r="AC47" s="176">
        <v>53141100</v>
      </c>
      <c r="AD47" s="176">
        <v>53335200</v>
      </c>
      <c r="AE47" s="176">
        <v>53587400</v>
      </c>
      <c r="AF47" s="176">
        <v>53652300</v>
      </c>
      <c r="AG47" s="176">
        <v>53846900</v>
      </c>
      <c r="AH47" s="176">
        <v>54171200</v>
      </c>
      <c r="AI47" s="176">
        <v>54300900</v>
      </c>
      <c r="AJ47" s="176">
        <v>54560400</v>
      </c>
      <c r="AK47" s="176">
        <v>54755000</v>
      </c>
      <c r="AL47" s="176">
        <v>54949600</v>
      </c>
      <c r="AM47" s="176">
        <v>55079300</v>
      </c>
      <c r="AN47" s="176">
        <v>55273900</v>
      </c>
      <c r="AO47" s="176">
        <v>55468500</v>
      </c>
      <c r="AP47" s="176">
        <v>55663100</v>
      </c>
      <c r="AQ47" s="176">
        <v>55857700</v>
      </c>
    </row>
    <row r="48" spans="1:43" x14ac:dyDescent="0.15">
      <c r="A48" t="s">
        <v>1265</v>
      </c>
      <c r="B48" s="176">
        <v>28899500</v>
      </c>
      <c r="C48" s="176">
        <v>28899500</v>
      </c>
      <c r="D48" s="176">
        <v>28899500</v>
      </c>
      <c r="E48" s="176">
        <v>28899500</v>
      </c>
      <c r="F48" s="176">
        <v>28899500</v>
      </c>
      <c r="G48" s="176">
        <v>28899500</v>
      </c>
      <c r="H48" s="176">
        <v>28899500</v>
      </c>
      <c r="I48" s="176">
        <v>28899500</v>
      </c>
      <c r="J48" s="176">
        <v>28899500</v>
      </c>
      <c r="K48" s="176">
        <v>28899500</v>
      </c>
      <c r="L48" s="176">
        <v>28899500</v>
      </c>
      <c r="M48" s="176">
        <v>28899500</v>
      </c>
      <c r="N48" s="176">
        <v>28899500</v>
      </c>
      <c r="O48" s="176">
        <v>28899500</v>
      </c>
      <c r="P48" s="176">
        <v>28899500</v>
      </c>
      <c r="Q48" s="176">
        <v>28899500</v>
      </c>
      <c r="R48" s="176">
        <v>28899500</v>
      </c>
      <c r="S48" s="176">
        <v>28899500</v>
      </c>
      <c r="T48" s="176">
        <v>28899500</v>
      </c>
      <c r="U48" s="176">
        <v>28899500</v>
      </c>
      <c r="V48" s="176">
        <v>28899500</v>
      </c>
      <c r="W48" s="176">
        <v>28899500</v>
      </c>
      <c r="X48" s="176">
        <v>28899500</v>
      </c>
      <c r="Y48" s="176">
        <v>28899500</v>
      </c>
      <c r="Z48" s="176">
        <v>28899500</v>
      </c>
      <c r="AA48" s="176">
        <v>28899500</v>
      </c>
      <c r="AB48" s="176">
        <v>28899500</v>
      </c>
      <c r="AC48" s="176">
        <v>28899500</v>
      </c>
      <c r="AD48" s="176">
        <v>28899500</v>
      </c>
      <c r="AE48" s="176">
        <v>28899500</v>
      </c>
      <c r="AF48" s="176">
        <v>28899500</v>
      </c>
      <c r="AG48" s="176">
        <v>28899500</v>
      </c>
      <c r="AH48" s="176">
        <v>28899500</v>
      </c>
      <c r="AI48" s="176">
        <v>28899500</v>
      </c>
      <c r="AJ48" s="176">
        <v>28899500</v>
      </c>
      <c r="AK48" s="176">
        <v>28899500</v>
      </c>
      <c r="AL48" s="176">
        <v>28899500</v>
      </c>
      <c r="AM48" s="176">
        <v>28899500</v>
      </c>
      <c r="AN48" s="176">
        <v>28899500</v>
      </c>
      <c r="AO48" s="176">
        <v>28899500</v>
      </c>
      <c r="AP48" s="176">
        <v>28899500</v>
      </c>
      <c r="AQ48" s="176">
        <v>28899500</v>
      </c>
    </row>
    <row r="49" spans="1:43" x14ac:dyDescent="0.15">
      <c r="A49" t="s">
        <v>1266</v>
      </c>
      <c r="B49" s="176">
        <v>28899500</v>
      </c>
      <c r="C49" s="176">
        <v>28899500</v>
      </c>
      <c r="D49" s="176">
        <v>28899500</v>
      </c>
      <c r="E49" s="176">
        <v>28899500</v>
      </c>
      <c r="F49" s="176">
        <v>28899500</v>
      </c>
      <c r="G49" s="176">
        <v>28899500</v>
      </c>
      <c r="H49" s="176">
        <v>28899500</v>
      </c>
      <c r="I49" s="176">
        <v>28899500</v>
      </c>
      <c r="J49" s="176">
        <v>28899500</v>
      </c>
      <c r="K49" s="176">
        <v>28899500</v>
      </c>
      <c r="L49" s="176">
        <v>28899500</v>
      </c>
      <c r="M49" s="176">
        <v>28899500</v>
      </c>
      <c r="N49" s="176">
        <v>28899500</v>
      </c>
      <c r="O49" s="176">
        <v>28899500</v>
      </c>
      <c r="P49" s="176">
        <v>28899500</v>
      </c>
      <c r="Q49" s="176">
        <v>28899500</v>
      </c>
      <c r="R49" s="176">
        <v>28899500</v>
      </c>
      <c r="S49" s="176">
        <v>28899500</v>
      </c>
      <c r="T49" s="176">
        <v>28899500</v>
      </c>
      <c r="U49" s="176">
        <v>28899500</v>
      </c>
      <c r="V49" s="176">
        <v>28899500</v>
      </c>
      <c r="W49" s="176">
        <v>28899500</v>
      </c>
      <c r="X49" s="176">
        <v>28899500</v>
      </c>
      <c r="Y49" s="176">
        <v>28899500</v>
      </c>
      <c r="Z49" s="176">
        <v>28899500</v>
      </c>
      <c r="AA49" s="176">
        <v>28899500</v>
      </c>
      <c r="AB49" s="176">
        <v>28899500</v>
      </c>
      <c r="AC49" s="176">
        <v>28899500</v>
      </c>
      <c r="AD49" s="176">
        <v>28899500</v>
      </c>
      <c r="AE49" s="176">
        <v>28899500</v>
      </c>
      <c r="AF49" s="176">
        <v>28899500</v>
      </c>
      <c r="AG49" s="176">
        <v>28899500</v>
      </c>
      <c r="AH49" s="176">
        <v>28899500</v>
      </c>
      <c r="AI49" s="176">
        <v>28899500</v>
      </c>
      <c r="AJ49" s="176">
        <v>28899500</v>
      </c>
      <c r="AK49" s="176">
        <v>28899500</v>
      </c>
      <c r="AL49" s="176">
        <v>28899500</v>
      </c>
      <c r="AM49" s="176">
        <v>28899500</v>
      </c>
      <c r="AN49" s="176">
        <v>28899500</v>
      </c>
      <c r="AO49" s="176">
        <v>28899500</v>
      </c>
      <c r="AP49" s="176">
        <v>28899500</v>
      </c>
      <c r="AQ49" s="176">
        <v>28899500</v>
      </c>
    </row>
    <row r="50" spans="1:43" x14ac:dyDescent="0.15">
      <c r="A50" t="s">
        <v>1267</v>
      </c>
      <c r="B50" s="176">
        <v>29139700</v>
      </c>
      <c r="C50" s="176">
        <v>29139700</v>
      </c>
      <c r="D50" s="176">
        <v>29496100</v>
      </c>
      <c r="E50" s="176">
        <v>27439100</v>
      </c>
      <c r="F50" s="176">
        <v>31864400</v>
      </c>
      <c r="G50" s="176">
        <v>31655700</v>
      </c>
      <c r="H50" s="176">
        <v>31207700</v>
      </c>
      <c r="I50" s="176">
        <v>30768700</v>
      </c>
      <c r="J50" s="176">
        <v>30357300</v>
      </c>
      <c r="K50" s="176">
        <v>29973700</v>
      </c>
      <c r="L50" s="176">
        <v>29613600</v>
      </c>
      <c r="M50" s="176">
        <v>29260100</v>
      </c>
      <c r="N50" s="176">
        <v>28907700</v>
      </c>
      <c r="O50" s="176">
        <v>28600700</v>
      </c>
      <c r="P50" s="176">
        <v>28299500</v>
      </c>
      <c r="Q50" s="176">
        <v>27999300</v>
      </c>
      <c r="R50" s="176">
        <v>27723700</v>
      </c>
      <c r="S50" s="176">
        <v>27452100</v>
      </c>
      <c r="T50" s="176">
        <v>27203500</v>
      </c>
      <c r="U50" s="176">
        <v>26956100</v>
      </c>
      <c r="V50" s="176">
        <v>26735800</v>
      </c>
      <c r="W50" s="176">
        <v>26514800</v>
      </c>
      <c r="X50" s="176">
        <v>26320700</v>
      </c>
      <c r="Y50" s="176">
        <v>26125600</v>
      </c>
      <c r="Z50" s="176">
        <v>25933800</v>
      </c>
      <c r="AA50" s="176">
        <v>25745200</v>
      </c>
      <c r="AB50" s="176">
        <v>25579100</v>
      </c>
      <c r="AC50" s="176">
        <v>25413700</v>
      </c>
      <c r="AD50" s="176">
        <v>25273100</v>
      </c>
      <c r="AE50" s="176">
        <v>25111700</v>
      </c>
      <c r="AF50" s="176">
        <v>24974900</v>
      </c>
      <c r="AG50" s="176">
        <v>24862700</v>
      </c>
      <c r="AH50" s="176">
        <v>24749800</v>
      </c>
      <c r="AI50" s="176">
        <v>24643300</v>
      </c>
      <c r="AJ50" s="176">
        <v>24541300</v>
      </c>
      <c r="AK50" s="176">
        <v>24443600</v>
      </c>
      <c r="AL50" s="176">
        <v>24350200</v>
      </c>
      <c r="AM50" s="176">
        <v>24261800</v>
      </c>
      <c r="AN50" s="176">
        <v>24178400</v>
      </c>
      <c r="AO50" s="176">
        <v>24097400</v>
      </c>
      <c r="AP50" s="176">
        <v>24021400</v>
      </c>
      <c r="AQ50" s="176">
        <v>23947800</v>
      </c>
    </row>
    <row r="51" spans="1:43" x14ac:dyDescent="0.15">
      <c r="A51" t="s">
        <v>1268</v>
      </c>
      <c r="B51" s="176">
        <v>24628900</v>
      </c>
      <c r="C51" s="176">
        <v>24628900</v>
      </c>
      <c r="D51" s="176">
        <v>24305200</v>
      </c>
      <c r="E51" s="176">
        <v>24096100</v>
      </c>
      <c r="F51" s="176">
        <v>23945700</v>
      </c>
      <c r="G51" s="176">
        <v>23828100</v>
      </c>
      <c r="H51" s="176">
        <v>23737500</v>
      </c>
      <c r="I51" s="176">
        <v>23658000</v>
      </c>
      <c r="J51" s="176">
        <v>23589600</v>
      </c>
      <c r="K51" s="176">
        <v>23529700</v>
      </c>
      <c r="L51" s="176">
        <v>23477000</v>
      </c>
      <c r="M51" s="176">
        <v>23430900</v>
      </c>
      <c r="N51" s="176">
        <v>23390300</v>
      </c>
      <c r="O51" s="176">
        <v>23354900</v>
      </c>
      <c r="P51" s="176">
        <v>23323500</v>
      </c>
      <c r="Q51" s="176">
        <v>23296500</v>
      </c>
      <c r="R51" s="176">
        <v>23273100</v>
      </c>
      <c r="S51" s="176">
        <v>23252400</v>
      </c>
      <c r="T51" s="176">
        <v>23233900</v>
      </c>
      <c r="U51" s="176">
        <v>23217900</v>
      </c>
      <c r="V51" s="176">
        <v>23203700</v>
      </c>
      <c r="W51" s="176">
        <v>23190700</v>
      </c>
      <c r="X51" s="176">
        <v>23179100</v>
      </c>
      <c r="Y51" s="176">
        <v>23168700</v>
      </c>
      <c r="Z51" s="176">
        <v>23159200</v>
      </c>
      <c r="AA51" s="176">
        <v>23150700</v>
      </c>
      <c r="AB51" s="176">
        <v>23142900</v>
      </c>
      <c r="AC51" s="176">
        <v>23135500</v>
      </c>
      <c r="AD51" s="176">
        <v>23128900</v>
      </c>
      <c r="AE51" s="176">
        <v>23123000</v>
      </c>
      <c r="AF51" s="176">
        <v>23117200</v>
      </c>
      <c r="AG51" s="176">
        <v>23111900</v>
      </c>
      <c r="AH51" s="176">
        <v>23107200</v>
      </c>
      <c r="AI51" s="176">
        <v>23102600</v>
      </c>
      <c r="AJ51" s="176">
        <v>23098400</v>
      </c>
      <c r="AK51" s="176">
        <v>23094500</v>
      </c>
      <c r="AL51" s="176">
        <v>23090700</v>
      </c>
      <c r="AM51" s="176">
        <v>23087200</v>
      </c>
      <c r="AN51" s="176">
        <v>23083900</v>
      </c>
      <c r="AO51" s="176">
        <v>23080600</v>
      </c>
      <c r="AP51" s="176">
        <v>23077600</v>
      </c>
      <c r="AQ51" s="176">
        <v>23074800</v>
      </c>
    </row>
    <row r="52" spans="1:43" x14ac:dyDescent="0.15">
      <c r="A52" t="s">
        <v>1269</v>
      </c>
      <c r="B52" s="176">
        <v>27546600</v>
      </c>
      <c r="C52" s="176">
        <v>27546600</v>
      </c>
      <c r="D52" s="176">
        <v>27546600</v>
      </c>
      <c r="E52" s="176">
        <v>27546600</v>
      </c>
      <c r="F52" s="176">
        <v>27546600</v>
      </c>
      <c r="G52" s="176">
        <v>27546600</v>
      </c>
      <c r="H52" s="176">
        <v>27546600</v>
      </c>
      <c r="I52" s="176">
        <v>27546600</v>
      </c>
      <c r="J52" s="176">
        <v>27546600</v>
      </c>
      <c r="K52" s="176">
        <v>27546600</v>
      </c>
      <c r="L52" s="176">
        <v>27546600</v>
      </c>
      <c r="M52" s="176">
        <v>27546600</v>
      </c>
      <c r="N52" s="176">
        <v>27546600</v>
      </c>
      <c r="O52" s="176">
        <v>27546600</v>
      </c>
      <c r="P52" s="176">
        <v>27546600</v>
      </c>
      <c r="Q52" s="176">
        <v>27546600</v>
      </c>
      <c r="R52" s="176">
        <v>27546600</v>
      </c>
      <c r="S52" s="176">
        <v>27546600</v>
      </c>
      <c r="T52" s="176">
        <v>27546600</v>
      </c>
      <c r="U52" s="176">
        <v>27546600</v>
      </c>
      <c r="V52" s="176">
        <v>27546600</v>
      </c>
      <c r="W52" s="176">
        <v>27546600</v>
      </c>
      <c r="X52" s="176">
        <v>27546600</v>
      </c>
      <c r="Y52" s="176">
        <v>27546600</v>
      </c>
      <c r="Z52" s="176">
        <v>27546600</v>
      </c>
      <c r="AA52" s="176">
        <v>27546600</v>
      </c>
      <c r="AB52" s="176">
        <v>27546600</v>
      </c>
      <c r="AC52" s="176">
        <v>27546600</v>
      </c>
      <c r="AD52" s="176">
        <v>27546600</v>
      </c>
      <c r="AE52" s="176">
        <v>27546600</v>
      </c>
      <c r="AF52" s="176">
        <v>27546600</v>
      </c>
      <c r="AG52" s="176">
        <v>27546600</v>
      </c>
      <c r="AH52" s="176">
        <v>27546600</v>
      </c>
      <c r="AI52" s="176">
        <v>27546600</v>
      </c>
      <c r="AJ52" s="176">
        <v>27546600</v>
      </c>
      <c r="AK52" s="176">
        <v>27546600</v>
      </c>
      <c r="AL52" s="176">
        <v>27546600</v>
      </c>
      <c r="AM52" s="176">
        <v>27546600</v>
      </c>
      <c r="AN52" s="176">
        <v>27546600</v>
      </c>
      <c r="AO52" s="176">
        <v>27546600</v>
      </c>
      <c r="AP52" s="176">
        <v>27546600</v>
      </c>
      <c r="AQ52" s="176">
        <v>27546600</v>
      </c>
    </row>
    <row r="53" spans="1:43" x14ac:dyDescent="0.15">
      <c r="A53" t="s">
        <v>1270</v>
      </c>
      <c r="B53" s="176">
        <v>27546600</v>
      </c>
      <c r="C53" s="176">
        <v>27546600</v>
      </c>
      <c r="D53" s="176">
        <v>27546600</v>
      </c>
      <c r="E53" s="176">
        <v>27546600</v>
      </c>
      <c r="F53" s="176">
        <v>27546600</v>
      </c>
      <c r="G53" s="176">
        <v>27546600</v>
      </c>
      <c r="H53" s="176">
        <v>27546600</v>
      </c>
      <c r="I53" s="176">
        <v>27546600</v>
      </c>
      <c r="J53" s="176">
        <v>27546600</v>
      </c>
      <c r="K53" s="176">
        <v>27546600</v>
      </c>
      <c r="L53" s="176">
        <v>27546600</v>
      </c>
      <c r="M53" s="176">
        <v>27546600</v>
      </c>
      <c r="N53" s="176">
        <v>27546600</v>
      </c>
      <c r="O53" s="176">
        <v>27546600</v>
      </c>
      <c r="P53" s="176">
        <v>27546600</v>
      </c>
      <c r="Q53" s="176">
        <v>27546600</v>
      </c>
      <c r="R53" s="176">
        <v>27546600</v>
      </c>
      <c r="S53" s="176">
        <v>27546600</v>
      </c>
      <c r="T53" s="176">
        <v>27546600</v>
      </c>
      <c r="U53" s="176">
        <v>27546600</v>
      </c>
      <c r="V53" s="176">
        <v>27546600</v>
      </c>
      <c r="W53" s="176">
        <v>27546600</v>
      </c>
      <c r="X53" s="176">
        <v>27546600</v>
      </c>
      <c r="Y53" s="176">
        <v>27546600</v>
      </c>
      <c r="Z53" s="176">
        <v>27546600</v>
      </c>
      <c r="AA53" s="176">
        <v>27546600</v>
      </c>
      <c r="AB53" s="176">
        <v>27546600</v>
      </c>
      <c r="AC53" s="176">
        <v>27546600</v>
      </c>
      <c r="AD53" s="176">
        <v>27546600</v>
      </c>
      <c r="AE53" s="176">
        <v>27546600</v>
      </c>
      <c r="AF53" s="176">
        <v>27546600</v>
      </c>
      <c r="AG53" s="176">
        <v>27546600</v>
      </c>
      <c r="AH53" s="176">
        <v>27546600</v>
      </c>
      <c r="AI53" s="176">
        <v>27546600</v>
      </c>
      <c r="AJ53" s="176">
        <v>27546600</v>
      </c>
      <c r="AK53" s="176">
        <v>27546600</v>
      </c>
      <c r="AL53" s="176">
        <v>27546600</v>
      </c>
      <c r="AM53" s="176">
        <v>27546600</v>
      </c>
      <c r="AN53" s="176">
        <v>27546600</v>
      </c>
      <c r="AO53" s="176">
        <v>27546600</v>
      </c>
      <c r="AP53" s="176">
        <v>27546600</v>
      </c>
      <c r="AQ53" s="176">
        <v>27546600</v>
      </c>
    </row>
    <row r="54" spans="1:43" x14ac:dyDescent="0.15">
      <c r="A54" t="s">
        <v>1271</v>
      </c>
      <c r="B54" s="176">
        <v>30364700</v>
      </c>
      <c r="C54" s="176">
        <v>30364700</v>
      </c>
      <c r="D54" s="176">
        <v>30390900</v>
      </c>
      <c r="E54" s="176">
        <v>30396300</v>
      </c>
      <c r="F54" s="176">
        <v>30406300</v>
      </c>
      <c r="G54" s="176">
        <v>30415700</v>
      </c>
      <c r="H54" s="176">
        <v>30418800</v>
      </c>
      <c r="I54" s="176">
        <v>30420600</v>
      </c>
      <c r="J54" s="176">
        <v>30421600</v>
      </c>
      <c r="K54" s="176">
        <v>30427900</v>
      </c>
      <c r="L54" s="176">
        <v>30430300</v>
      </c>
      <c r="M54" s="176">
        <v>30432400</v>
      </c>
      <c r="N54" s="176">
        <v>30439800</v>
      </c>
      <c r="O54" s="176">
        <v>30441400</v>
      </c>
      <c r="P54" s="176">
        <v>30443700</v>
      </c>
      <c r="Q54" s="176">
        <v>30444600</v>
      </c>
      <c r="R54" s="176">
        <v>30445500</v>
      </c>
      <c r="S54" s="176">
        <v>30441300</v>
      </c>
      <c r="T54" s="176">
        <v>30439700</v>
      </c>
      <c r="U54" s="176">
        <v>30441300</v>
      </c>
      <c r="V54" s="176">
        <v>30441700</v>
      </c>
      <c r="W54" s="176">
        <v>30439400</v>
      </c>
      <c r="X54" s="176">
        <v>30442300</v>
      </c>
      <c r="Y54" s="176">
        <v>30442500</v>
      </c>
      <c r="Z54" s="176">
        <v>30442200</v>
      </c>
      <c r="AA54" s="176">
        <v>30442600</v>
      </c>
      <c r="AB54" s="176">
        <v>30443400</v>
      </c>
      <c r="AC54" s="176">
        <v>30444900</v>
      </c>
      <c r="AD54" s="176">
        <v>30445700</v>
      </c>
      <c r="AE54" s="176">
        <v>30446000</v>
      </c>
      <c r="AF54" s="176">
        <v>30445200</v>
      </c>
      <c r="AG54" s="176">
        <v>30445500</v>
      </c>
      <c r="AH54" s="176">
        <v>30448400</v>
      </c>
      <c r="AI54" s="176">
        <v>30449600</v>
      </c>
      <c r="AJ54" s="176">
        <v>30451900</v>
      </c>
      <c r="AK54" s="176">
        <v>30453700</v>
      </c>
      <c r="AL54" s="176">
        <v>30455400</v>
      </c>
      <c r="AM54" s="176">
        <v>30456600</v>
      </c>
      <c r="AN54" s="176">
        <v>30458400</v>
      </c>
      <c r="AO54" s="176">
        <v>30460100</v>
      </c>
      <c r="AP54" s="176">
        <v>30461900</v>
      </c>
      <c r="AQ54" s="176">
        <v>30463600</v>
      </c>
    </row>
    <row r="55" spans="1:43" x14ac:dyDescent="0.15">
      <c r="A55" t="s">
        <v>1272</v>
      </c>
      <c r="B55" s="176">
        <v>27546600</v>
      </c>
      <c r="C55" s="176">
        <v>27546600</v>
      </c>
      <c r="D55" s="176">
        <v>27546600</v>
      </c>
      <c r="E55" s="176">
        <v>27546600</v>
      </c>
      <c r="F55" s="176">
        <v>27546600</v>
      </c>
      <c r="G55" s="176">
        <v>27546600</v>
      </c>
      <c r="H55" s="176">
        <v>27546600</v>
      </c>
      <c r="I55" s="176">
        <v>27546600</v>
      </c>
      <c r="J55" s="176">
        <v>27546600</v>
      </c>
      <c r="K55" s="176">
        <v>27546600</v>
      </c>
      <c r="L55" s="176">
        <v>27546600</v>
      </c>
      <c r="M55" s="176">
        <v>27546600</v>
      </c>
      <c r="N55" s="176">
        <v>27546600</v>
      </c>
      <c r="O55" s="176">
        <v>27546600</v>
      </c>
      <c r="P55" s="176">
        <v>27546600</v>
      </c>
      <c r="Q55" s="176">
        <v>27546600</v>
      </c>
      <c r="R55" s="176">
        <v>27546600</v>
      </c>
      <c r="S55" s="176">
        <v>27546600</v>
      </c>
      <c r="T55" s="176">
        <v>27546600</v>
      </c>
      <c r="U55" s="176">
        <v>27546600</v>
      </c>
      <c r="V55" s="176">
        <v>27546600</v>
      </c>
      <c r="W55" s="176">
        <v>27546600</v>
      </c>
      <c r="X55" s="176">
        <v>27546600</v>
      </c>
      <c r="Y55" s="176">
        <v>27546600</v>
      </c>
      <c r="Z55" s="176">
        <v>27546600</v>
      </c>
      <c r="AA55" s="176">
        <v>27546600</v>
      </c>
      <c r="AB55" s="176">
        <v>27546600</v>
      </c>
      <c r="AC55" s="176">
        <v>27546600</v>
      </c>
      <c r="AD55" s="176">
        <v>27546600</v>
      </c>
      <c r="AE55" s="176">
        <v>27546600</v>
      </c>
      <c r="AF55" s="176">
        <v>27546600</v>
      </c>
      <c r="AG55" s="176">
        <v>27546600</v>
      </c>
      <c r="AH55" s="176">
        <v>27546600</v>
      </c>
      <c r="AI55" s="176">
        <v>27546600</v>
      </c>
      <c r="AJ55" s="176">
        <v>27546600</v>
      </c>
      <c r="AK55" s="176">
        <v>27546600</v>
      </c>
      <c r="AL55" s="176">
        <v>27546600</v>
      </c>
      <c r="AM55" s="176">
        <v>27546600</v>
      </c>
      <c r="AN55" s="176">
        <v>27546600</v>
      </c>
      <c r="AO55" s="176">
        <v>27546600</v>
      </c>
      <c r="AP55" s="176">
        <v>27546600</v>
      </c>
      <c r="AQ55" s="176">
        <v>27546600</v>
      </c>
    </row>
    <row r="56" spans="1:43" x14ac:dyDescent="0.15">
      <c r="A56" t="s">
        <v>1273</v>
      </c>
      <c r="B56" s="176">
        <v>27546600</v>
      </c>
      <c r="C56" s="176">
        <v>27546600</v>
      </c>
      <c r="D56" s="176">
        <v>27546600</v>
      </c>
      <c r="E56" s="176">
        <v>27546600</v>
      </c>
      <c r="F56" s="176">
        <v>27546600</v>
      </c>
      <c r="G56" s="176">
        <v>27546600</v>
      </c>
      <c r="H56" s="176">
        <v>27546600</v>
      </c>
      <c r="I56" s="176">
        <v>27546600</v>
      </c>
      <c r="J56" s="176">
        <v>27546600</v>
      </c>
      <c r="K56" s="176">
        <v>27546600</v>
      </c>
      <c r="L56" s="176">
        <v>27546600</v>
      </c>
      <c r="M56" s="176">
        <v>27546600</v>
      </c>
      <c r="N56" s="176">
        <v>27546600</v>
      </c>
      <c r="O56" s="176">
        <v>27546600</v>
      </c>
      <c r="P56" s="176">
        <v>27546600</v>
      </c>
      <c r="Q56" s="176">
        <v>27546600</v>
      </c>
      <c r="R56" s="176">
        <v>27546600</v>
      </c>
      <c r="S56" s="176">
        <v>27546600</v>
      </c>
      <c r="T56" s="176">
        <v>27546600</v>
      </c>
      <c r="U56" s="176">
        <v>27546600</v>
      </c>
      <c r="V56" s="176">
        <v>27546600</v>
      </c>
      <c r="W56" s="176">
        <v>27546600</v>
      </c>
      <c r="X56" s="176">
        <v>27546600</v>
      </c>
      <c r="Y56" s="176">
        <v>27546600</v>
      </c>
      <c r="Z56" s="176">
        <v>27546600</v>
      </c>
      <c r="AA56" s="176">
        <v>27546600</v>
      </c>
      <c r="AB56" s="176">
        <v>27546600</v>
      </c>
      <c r="AC56" s="176">
        <v>27546600</v>
      </c>
      <c r="AD56" s="176">
        <v>27546600</v>
      </c>
      <c r="AE56" s="176">
        <v>27546600</v>
      </c>
      <c r="AF56" s="176">
        <v>27546600</v>
      </c>
      <c r="AG56" s="176">
        <v>27546600</v>
      </c>
      <c r="AH56" s="176">
        <v>27546600</v>
      </c>
      <c r="AI56" s="176">
        <v>27546600</v>
      </c>
      <c r="AJ56" s="176">
        <v>27546600</v>
      </c>
      <c r="AK56" s="176">
        <v>27546600</v>
      </c>
      <c r="AL56" s="176">
        <v>27546600</v>
      </c>
      <c r="AM56" s="176">
        <v>27546600</v>
      </c>
      <c r="AN56" s="176">
        <v>27546600</v>
      </c>
      <c r="AO56" s="176">
        <v>27546600</v>
      </c>
      <c r="AP56" s="176">
        <v>27546600</v>
      </c>
      <c r="AQ56" s="176">
        <v>27546600</v>
      </c>
    </row>
    <row r="57" spans="1:43" x14ac:dyDescent="0.15">
      <c r="A57" t="s">
        <v>1274</v>
      </c>
      <c r="B57" s="176">
        <v>28045400</v>
      </c>
      <c r="C57" s="176">
        <v>28045400</v>
      </c>
      <c r="D57" s="176">
        <v>27859000</v>
      </c>
      <c r="E57" s="176">
        <v>27699300</v>
      </c>
      <c r="F57" s="176">
        <v>27553600</v>
      </c>
      <c r="G57" s="176">
        <v>27388700</v>
      </c>
      <c r="H57" s="176">
        <v>27225500</v>
      </c>
      <c r="I57" s="176">
        <v>27075400</v>
      </c>
      <c r="J57" s="176">
        <v>26943000</v>
      </c>
      <c r="K57" s="176">
        <v>26816700</v>
      </c>
      <c r="L57" s="176">
        <v>26696000</v>
      </c>
      <c r="M57" s="176">
        <v>26581600</v>
      </c>
      <c r="N57" s="176">
        <v>26471100</v>
      </c>
      <c r="O57" s="176">
        <v>26367100</v>
      </c>
      <c r="P57" s="176">
        <v>26267400</v>
      </c>
      <c r="Q57" s="176">
        <v>26170400</v>
      </c>
      <c r="R57" s="176">
        <v>26076900</v>
      </c>
      <c r="S57" s="176">
        <v>25988300</v>
      </c>
      <c r="T57" s="176">
        <v>25903800</v>
      </c>
      <c r="U57" s="176">
        <v>25823000</v>
      </c>
      <c r="V57" s="176">
        <v>25746300</v>
      </c>
      <c r="W57" s="176">
        <v>25673300</v>
      </c>
      <c r="X57" s="176">
        <v>25603800</v>
      </c>
      <c r="Y57" s="176">
        <v>25537400</v>
      </c>
      <c r="Z57" s="176">
        <v>25474500</v>
      </c>
      <c r="AA57" s="176">
        <v>25414300</v>
      </c>
      <c r="AB57" s="176">
        <v>25357000</v>
      </c>
      <c r="AC57" s="176">
        <v>25302000</v>
      </c>
      <c r="AD57" s="176">
        <v>25250100</v>
      </c>
      <c r="AE57" s="176">
        <v>25200400</v>
      </c>
      <c r="AF57" s="176">
        <v>25153400</v>
      </c>
      <c r="AG57" s="176">
        <v>25106100</v>
      </c>
      <c r="AH57" s="176">
        <v>25105100</v>
      </c>
      <c r="AI57" s="176">
        <v>25104200</v>
      </c>
      <c r="AJ57" s="176">
        <v>25103300</v>
      </c>
      <c r="AK57" s="176">
        <v>25102400</v>
      </c>
      <c r="AL57" s="176">
        <v>25101500</v>
      </c>
      <c r="AM57" s="176">
        <v>25100700</v>
      </c>
      <c r="AN57" s="176">
        <v>25100000</v>
      </c>
      <c r="AO57" s="176">
        <v>25099300</v>
      </c>
      <c r="AP57" s="176">
        <v>25098600</v>
      </c>
      <c r="AQ57" s="176">
        <v>25097900</v>
      </c>
    </row>
    <row r="58" spans="1:43" x14ac:dyDescent="0.15">
      <c r="A58" t="s">
        <v>1275</v>
      </c>
      <c r="B58" s="176">
        <v>6523200</v>
      </c>
      <c r="C58" s="176">
        <v>6523200</v>
      </c>
      <c r="D58" s="176">
        <v>6439820</v>
      </c>
      <c r="E58" s="176">
        <v>4449430</v>
      </c>
      <c r="F58" s="176">
        <v>10850600</v>
      </c>
      <c r="G58" s="176">
        <v>11404900</v>
      </c>
      <c r="H58" s="176">
        <v>11197800</v>
      </c>
      <c r="I58" s="176">
        <v>10766100</v>
      </c>
      <c r="J58" s="176">
        <v>10628000</v>
      </c>
      <c r="K58" s="176">
        <v>10490000</v>
      </c>
      <c r="L58" s="176">
        <v>10277100</v>
      </c>
      <c r="M58" s="176">
        <v>10270300</v>
      </c>
      <c r="N58" s="176">
        <v>10201200</v>
      </c>
      <c r="O58" s="176">
        <v>10269500</v>
      </c>
      <c r="P58" s="176">
        <v>10063100</v>
      </c>
      <c r="Q58" s="176">
        <v>9994110</v>
      </c>
      <c r="R58" s="176">
        <v>9987610</v>
      </c>
      <c r="S58" s="176">
        <v>9912450</v>
      </c>
      <c r="T58" s="176">
        <v>9843570</v>
      </c>
      <c r="U58" s="176">
        <v>9843390</v>
      </c>
      <c r="V58" s="176">
        <v>9918170</v>
      </c>
      <c r="W58" s="176">
        <v>9911780</v>
      </c>
      <c r="X58" s="176">
        <v>9849210</v>
      </c>
      <c r="Y58" s="176">
        <v>9849100</v>
      </c>
      <c r="Z58" s="176">
        <v>9849000</v>
      </c>
      <c r="AA58" s="176">
        <v>9842660</v>
      </c>
      <c r="AB58" s="176">
        <v>9842580</v>
      </c>
      <c r="AC58" s="176">
        <v>9780060</v>
      </c>
      <c r="AD58" s="176">
        <v>9773740</v>
      </c>
      <c r="AE58" s="176">
        <v>9773680</v>
      </c>
      <c r="AF58" s="176">
        <v>9704930</v>
      </c>
      <c r="AG58" s="176">
        <v>9704870</v>
      </c>
      <c r="AH58" s="176">
        <v>9704820</v>
      </c>
      <c r="AI58" s="176">
        <v>9636090</v>
      </c>
      <c r="AJ58" s="176">
        <v>9636040</v>
      </c>
      <c r="AK58" s="176">
        <v>9629750</v>
      </c>
      <c r="AL58" s="176">
        <v>9567270</v>
      </c>
      <c r="AM58" s="176">
        <v>9567230</v>
      </c>
      <c r="AN58" s="176">
        <v>9560950</v>
      </c>
      <c r="AO58" s="176">
        <v>9498470</v>
      </c>
      <c r="AP58" s="176">
        <v>9492200</v>
      </c>
      <c r="AQ58" s="176">
        <v>9490390</v>
      </c>
    </row>
    <row r="59" spans="1:43" x14ac:dyDescent="0.15">
      <c r="A59" t="s">
        <v>1276</v>
      </c>
      <c r="B59">
        <v>37227.1</v>
      </c>
      <c r="C59">
        <v>37227.1</v>
      </c>
      <c r="D59">
        <v>37227.1</v>
      </c>
      <c r="E59">
        <v>37227.1</v>
      </c>
      <c r="F59">
        <v>37227.1</v>
      </c>
      <c r="G59">
        <v>37227.1</v>
      </c>
      <c r="H59">
        <v>37227.1</v>
      </c>
      <c r="I59">
        <v>37227.1</v>
      </c>
      <c r="J59">
        <v>37227.1</v>
      </c>
      <c r="K59">
        <v>37227.1</v>
      </c>
      <c r="L59">
        <v>37227.1</v>
      </c>
      <c r="M59">
        <v>37227.1</v>
      </c>
      <c r="N59">
        <v>37227.1</v>
      </c>
      <c r="O59">
        <v>37227.1</v>
      </c>
      <c r="P59">
        <v>37227.1</v>
      </c>
      <c r="Q59">
        <v>37227.1</v>
      </c>
      <c r="R59">
        <v>37227.1</v>
      </c>
      <c r="S59">
        <v>37227.1</v>
      </c>
      <c r="T59">
        <v>37227.1</v>
      </c>
      <c r="U59">
        <v>37227.1</v>
      </c>
      <c r="V59">
        <v>37227.1</v>
      </c>
      <c r="W59">
        <v>37227.1</v>
      </c>
      <c r="X59">
        <v>37227.1</v>
      </c>
      <c r="Y59">
        <v>37227.1</v>
      </c>
      <c r="Z59">
        <v>37227.1</v>
      </c>
      <c r="AA59">
        <v>37227.1</v>
      </c>
      <c r="AB59">
        <v>37227.1</v>
      </c>
      <c r="AC59">
        <v>37227.1</v>
      </c>
      <c r="AD59">
        <v>37227.1</v>
      </c>
      <c r="AE59">
        <v>37227.1</v>
      </c>
      <c r="AF59">
        <v>37227.1</v>
      </c>
      <c r="AG59">
        <v>37227.1</v>
      </c>
      <c r="AH59">
        <v>37227.1</v>
      </c>
      <c r="AI59">
        <v>37227.1</v>
      </c>
      <c r="AJ59">
        <v>37227.1</v>
      </c>
      <c r="AK59">
        <v>37227.1</v>
      </c>
      <c r="AL59">
        <v>37227.1</v>
      </c>
      <c r="AM59">
        <v>37227.1</v>
      </c>
      <c r="AN59">
        <v>37227.1</v>
      </c>
      <c r="AO59">
        <v>37227.1</v>
      </c>
      <c r="AP59">
        <v>37227.1</v>
      </c>
      <c r="AQ59">
        <v>37227.1</v>
      </c>
    </row>
    <row r="60" spans="1:43" x14ac:dyDescent="0.15">
      <c r="A60" t="s">
        <v>1277</v>
      </c>
      <c r="B60" s="176">
        <v>20239500</v>
      </c>
      <c r="C60" s="176">
        <v>20239500</v>
      </c>
      <c r="D60" s="176">
        <v>27193500</v>
      </c>
      <c r="E60" s="176">
        <v>20552500</v>
      </c>
      <c r="F60" s="176">
        <v>51260400</v>
      </c>
      <c r="G60" s="176">
        <v>55531800</v>
      </c>
      <c r="H60" s="176">
        <v>54926700</v>
      </c>
      <c r="I60" s="176">
        <v>54523300</v>
      </c>
      <c r="J60" s="176">
        <v>54725000</v>
      </c>
      <c r="K60" s="176">
        <v>56943600</v>
      </c>
      <c r="L60" s="176">
        <v>58153700</v>
      </c>
      <c r="M60" s="176">
        <v>59565500</v>
      </c>
      <c r="N60" s="176">
        <v>64002700</v>
      </c>
      <c r="O60" s="176">
        <v>63801000</v>
      </c>
      <c r="P60" s="176">
        <v>65011100</v>
      </c>
      <c r="Q60" s="176">
        <v>66019600</v>
      </c>
      <c r="R60" s="176">
        <v>68036500</v>
      </c>
      <c r="S60" s="176">
        <v>67028000</v>
      </c>
      <c r="T60" s="176">
        <v>67431400</v>
      </c>
      <c r="U60" s="176">
        <v>68641600</v>
      </c>
      <c r="V60" s="176">
        <v>69650000</v>
      </c>
      <c r="W60" s="176">
        <v>69851700</v>
      </c>
      <c r="X60" s="176">
        <v>70456800</v>
      </c>
      <c r="Y60" s="176">
        <v>71465200</v>
      </c>
      <c r="Z60" s="176">
        <v>71465200</v>
      </c>
      <c r="AA60" s="176">
        <v>72070300</v>
      </c>
      <c r="AB60" s="176">
        <v>72675300</v>
      </c>
      <c r="AC60" s="176">
        <v>73885500</v>
      </c>
      <c r="AD60" s="176">
        <v>74490500</v>
      </c>
      <c r="AE60" s="176">
        <v>74893900</v>
      </c>
      <c r="AF60" s="176">
        <v>75297300</v>
      </c>
      <c r="AG60" s="176">
        <v>76305700</v>
      </c>
      <c r="AH60" s="176">
        <v>76709100</v>
      </c>
      <c r="AI60" s="176">
        <v>77314200</v>
      </c>
      <c r="AJ60" s="176">
        <v>78120900</v>
      </c>
      <c r="AK60" s="176">
        <v>78726000</v>
      </c>
      <c r="AL60" s="176">
        <v>79331100</v>
      </c>
      <c r="AM60" s="176">
        <v>79936100</v>
      </c>
      <c r="AN60" s="176">
        <v>80541200</v>
      </c>
      <c r="AO60" s="176">
        <v>81146300</v>
      </c>
      <c r="AP60" s="176">
        <v>81751300</v>
      </c>
      <c r="AQ60" s="176">
        <v>82558100</v>
      </c>
    </row>
    <row r="61" spans="1:43" x14ac:dyDescent="0.15">
      <c r="A61" t="s">
        <v>1278</v>
      </c>
      <c r="B61" s="176">
        <v>19478700</v>
      </c>
      <c r="C61" s="176">
        <v>19478700</v>
      </c>
      <c r="D61" s="176">
        <v>23263400</v>
      </c>
      <c r="E61" s="176">
        <v>16327400</v>
      </c>
      <c r="F61" s="176">
        <v>42740500</v>
      </c>
      <c r="G61" s="176">
        <v>50993700</v>
      </c>
      <c r="H61" s="176">
        <v>52203900</v>
      </c>
      <c r="I61" s="176">
        <v>53151800</v>
      </c>
      <c r="J61" s="176">
        <v>53756900</v>
      </c>
      <c r="K61" s="176">
        <v>55915000</v>
      </c>
      <c r="L61" s="176">
        <v>57104900</v>
      </c>
      <c r="M61" s="176">
        <v>58052900</v>
      </c>
      <c r="N61" s="176">
        <v>60775700</v>
      </c>
      <c r="O61" s="176">
        <v>61582400</v>
      </c>
      <c r="P61" s="176">
        <v>62792600</v>
      </c>
      <c r="Q61" s="176">
        <v>63397600</v>
      </c>
      <c r="R61" s="176">
        <v>64002700</v>
      </c>
      <c r="S61" s="176">
        <v>63195900</v>
      </c>
      <c r="T61" s="176">
        <v>62994300</v>
      </c>
      <c r="U61" s="176">
        <v>64002700</v>
      </c>
      <c r="V61" s="176">
        <v>64607800</v>
      </c>
      <c r="W61" s="176">
        <v>64204400</v>
      </c>
      <c r="X61" s="176">
        <v>65616200</v>
      </c>
      <c r="Y61" s="176">
        <v>66019600</v>
      </c>
      <c r="Z61" s="176">
        <v>66423000</v>
      </c>
      <c r="AA61" s="176">
        <v>67028000</v>
      </c>
      <c r="AB61" s="176">
        <v>67633100</v>
      </c>
      <c r="AC61" s="176">
        <v>68641600</v>
      </c>
      <c r="AD61" s="176">
        <v>69246600</v>
      </c>
      <c r="AE61" s="176">
        <v>69851700</v>
      </c>
      <c r="AF61" s="176">
        <v>70053400</v>
      </c>
      <c r="AG61" s="176">
        <v>70658400</v>
      </c>
      <c r="AH61" s="176">
        <v>71666900</v>
      </c>
      <c r="AI61" s="176">
        <v>72070300</v>
      </c>
      <c r="AJ61" s="176">
        <v>72877000</v>
      </c>
      <c r="AK61" s="176">
        <v>73482100</v>
      </c>
      <c r="AL61" s="176">
        <v>74087200</v>
      </c>
      <c r="AM61" s="176">
        <v>74490500</v>
      </c>
      <c r="AN61" s="176">
        <v>75095600</v>
      </c>
      <c r="AO61" s="176">
        <v>75700700</v>
      </c>
      <c r="AP61" s="176">
        <v>76305700</v>
      </c>
      <c r="AQ61" s="176">
        <v>76910800</v>
      </c>
    </row>
    <row r="62" spans="1:43" x14ac:dyDescent="0.15">
      <c r="A62" t="s">
        <v>1279</v>
      </c>
      <c r="B62">
        <v>37227.1</v>
      </c>
      <c r="C62">
        <v>37227.1</v>
      </c>
      <c r="D62">
        <v>37227.1</v>
      </c>
      <c r="E62">
        <v>37227.1</v>
      </c>
      <c r="F62">
        <v>37227.1</v>
      </c>
      <c r="G62">
        <v>37227.1</v>
      </c>
      <c r="H62">
        <v>37227.1</v>
      </c>
      <c r="I62">
        <v>37227.1</v>
      </c>
      <c r="J62">
        <v>37227.1</v>
      </c>
      <c r="K62">
        <v>37227.1</v>
      </c>
      <c r="L62">
        <v>37227.1</v>
      </c>
      <c r="M62">
        <v>37227.1</v>
      </c>
      <c r="N62">
        <v>37227.1</v>
      </c>
      <c r="O62">
        <v>37227.1</v>
      </c>
      <c r="P62">
        <v>37227.1</v>
      </c>
      <c r="Q62">
        <v>37227.1</v>
      </c>
      <c r="R62">
        <v>37227.1</v>
      </c>
      <c r="S62">
        <v>37227.1</v>
      </c>
      <c r="T62">
        <v>37227.1</v>
      </c>
      <c r="U62">
        <v>37227.1</v>
      </c>
      <c r="V62">
        <v>37227.1</v>
      </c>
      <c r="W62">
        <v>37227.1</v>
      </c>
      <c r="X62">
        <v>37227.1</v>
      </c>
      <c r="Y62">
        <v>37227.1</v>
      </c>
      <c r="Z62">
        <v>37227.1</v>
      </c>
      <c r="AA62">
        <v>37227.1</v>
      </c>
      <c r="AB62">
        <v>37227.1</v>
      </c>
      <c r="AC62">
        <v>37227.1</v>
      </c>
      <c r="AD62">
        <v>37227.1</v>
      </c>
      <c r="AE62">
        <v>37227.1</v>
      </c>
      <c r="AF62">
        <v>37227.1</v>
      </c>
      <c r="AG62">
        <v>37227.1</v>
      </c>
      <c r="AH62">
        <v>37227.1</v>
      </c>
      <c r="AI62">
        <v>37227.1</v>
      </c>
      <c r="AJ62">
        <v>37227.1</v>
      </c>
      <c r="AK62">
        <v>37227.1</v>
      </c>
      <c r="AL62">
        <v>37227.1</v>
      </c>
      <c r="AM62">
        <v>37227.1</v>
      </c>
      <c r="AN62">
        <v>37227.1</v>
      </c>
      <c r="AO62">
        <v>37227.1</v>
      </c>
      <c r="AP62">
        <v>37227.1</v>
      </c>
      <c r="AQ62">
        <v>37227.1</v>
      </c>
    </row>
    <row r="63" spans="1:43" x14ac:dyDescent="0.15">
      <c r="A63" t="s">
        <v>1280</v>
      </c>
      <c r="B63">
        <v>37227.1</v>
      </c>
      <c r="C63">
        <v>37227.1</v>
      </c>
      <c r="D63">
        <v>37227.1</v>
      </c>
      <c r="E63">
        <v>37227.1</v>
      </c>
      <c r="F63">
        <v>37227.1</v>
      </c>
      <c r="G63">
        <v>37227.1</v>
      </c>
      <c r="H63">
        <v>37227.1</v>
      </c>
      <c r="I63">
        <v>37227.1</v>
      </c>
      <c r="J63">
        <v>37227.1</v>
      </c>
      <c r="K63">
        <v>37227.1</v>
      </c>
      <c r="L63">
        <v>37227.1</v>
      </c>
      <c r="M63">
        <v>37227.1</v>
      </c>
      <c r="N63">
        <v>37227.1</v>
      </c>
      <c r="O63">
        <v>37227.1</v>
      </c>
      <c r="P63">
        <v>37227.1</v>
      </c>
      <c r="Q63">
        <v>37227.1</v>
      </c>
      <c r="R63">
        <v>37227.1</v>
      </c>
      <c r="S63">
        <v>37227.1</v>
      </c>
      <c r="T63">
        <v>37227.1</v>
      </c>
      <c r="U63">
        <v>37227.1</v>
      </c>
      <c r="V63">
        <v>37227.1</v>
      </c>
      <c r="W63">
        <v>37227.1</v>
      </c>
      <c r="X63">
        <v>37227.1</v>
      </c>
      <c r="Y63">
        <v>37227.1</v>
      </c>
      <c r="Z63">
        <v>37227.1</v>
      </c>
      <c r="AA63">
        <v>37227.1</v>
      </c>
      <c r="AB63">
        <v>37227.1</v>
      </c>
      <c r="AC63">
        <v>37227.1</v>
      </c>
      <c r="AD63">
        <v>37227.1</v>
      </c>
      <c r="AE63">
        <v>37227.1</v>
      </c>
      <c r="AF63">
        <v>37227.1</v>
      </c>
      <c r="AG63">
        <v>37227.1</v>
      </c>
      <c r="AH63">
        <v>37227.1</v>
      </c>
      <c r="AI63">
        <v>37227.1</v>
      </c>
      <c r="AJ63">
        <v>37227.1</v>
      </c>
      <c r="AK63">
        <v>37227.1</v>
      </c>
      <c r="AL63">
        <v>37227.1</v>
      </c>
      <c r="AM63">
        <v>37227.1</v>
      </c>
      <c r="AN63">
        <v>37227.1</v>
      </c>
      <c r="AO63">
        <v>37227.1</v>
      </c>
      <c r="AP63">
        <v>37227.1</v>
      </c>
      <c r="AQ63">
        <v>37227.1</v>
      </c>
    </row>
    <row r="64" spans="1:43" x14ac:dyDescent="0.15">
      <c r="A64" t="s">
        <v>1281</v>
      </c>
      <c r="B64" s="176">
        <v>16687600</v>
      </c>
      <c r="C64" s="176">
        <v>16687600</v>
      </c>
      <c r="D64" s="176">
        <v>16061600</v>
      </c>
      <c r="E64" s="176">
        <v>10806300</v>
      </c>
      <c r="F64" s="176">
        <v>25173600</v>
      </c>
      <c r="G64" s="176">
        <v>26112000</v>
      </c>
      <c r="H64" s="176">
        <v>24891200</v>
      </c>
      <c r="I64" s="176">
        <v>23684000</v>
      </c>
      <c r="J64" s="176">
        <v>22543900</v>
      </c>
      <c r="K64" s="176">
        <v>21484200</v>
      </c>
      <c r="L64" s="176">
        <v>20491600</v>
      </c>
      <c r="M64" s="176">
        <v>19512500</v>
      </c>
      <c r="N64" s="176">
        <v>18533300</v>
      </c>
      <c r="O64" s="176">
        <v>17688300</v>
      </c>
      <c r="P64" s="176">
        <v>16856700</v>
      </c>
      <c r="Q64" s="176">
        <v>16025100</v>
      </c>
      <c r="R64" s="176">
        <v>15267200</v>
      </c>
      <c r="S64" s="176">
        <v>14516000</v>
      </c>
      <c r="T64" s="176">
        <v>13831900</v>
      </c>
      <c r="U64" s="176">
        <v>13147900</v>
      </c>
      <c r="V64" s="176">
        <v>12544200</v>
      </c>
      <c r="W64" s="176">
        <v>11933900</v>
      </c>
      <c r="X64" s="176">
        <v>11404000</v>
      </c>
      <c r="Y64" s="176">
        <v>10867500</v>
      </c>
      <c r="Z64" s="176">
        <v>10337700</v>
      </c>
      <c r="AA64" s="176">
        <v>9814560</v>
      </c>
      <c r="AB64" s="176">
        <v>9358480</v>
      </c>
      <c r="AC64" s="176">
        <v>8902420</v>
      </c>
      <c r="AD64" s="176">
        <v>8520090</v>
      </c>
      <c r="AE64" s="176">
        <v>8070780</v>
      </c>
      <c r="AF64" s="176">
        <v>7695180</v>
      </c>
      <c r="AG64" s="176">
        <v>7332990</v>
      </c>
      <c r="AH64" s="176">
        <v>6984560</v>
      </c>
      <c r="AI64" s="176">
        <v>6656230</v>
      </c>
      <c r="AJ64" s="176">
        <v>6341300</v>
      </c>
      <c r="AK64" s="176">
        <v>6039770</v>
      </c>
      <c r="AL64" s="176">
        <v>5751640</v>
      </c>
      <c r="AM64" s="176">
        <v>5478930</v>
      </c>
      <c r="AN64" s="176">
        <v>5221620</v>
      </c>
      <c r="AO64" s="176">
        <v>4971690</v>
      </c>
      <c r="AP64" s="176">
        <v>4737170</v>
      </c>
      <c r="AQ64" s="176">
        <v>4510010</v>
      </c>
    </row>
    <row r="65" spans="1:43" x14ac:dyDescent="0.15">
      <c r="A65" t="s">
        <v>1282</v>
      </c>
      <c r="B65" s="176">
        <v>19288800</v>
      </c>
      <c r="C65" s="176">
        <v>19288800</v>
      </c>
      <c r="D65" s="176">
        <v>18153000</v>
      </c>
      <c r="E65" s="176">
        <v>17426100</v>
      </c>
      <c r="F65" s="176">
        <v>16967700</v>
      </c>
      <c r="G65" s="176">
        <v>16670800</v>
      </c>
      <c r="H65" s="176">
        <v>16318800</v>
      </c>
      <c r="I65" s="176">
        <v>15988600</v>
      </c>
      <c r="J65" s="176">
        <v>15723700</v>
      </c>
      <c r="K65" s="176">
        <v>15491200</v>
      </c>
      <c r="L65" s="176">
        <v>15278700</v>
      </c>
      <c r="M65" s="176">
        <v>15108900</v>
      </c>
      <c r="N65" s="176">
        <v>14953000</v>
      </c>
      <c r="O65" s="176">
        <v>14829000</v>
      </c>
      <c r="P65" s="176">
        <v>14695700</v>
      </c>
      <c r="Q65" s="176">
        <v>14590900</v>
      </c>
      <c r="R65" s="176">
        <v>14504900</v>
      </c>
      <c r="S65" s="176">
        <v>14421400</v>
      </c>
      <c r="T65" s="176">
        <v>14348200</v>
      </c>
      <c r="U65" s="176">
        <v>14289700</v>
      </c>
      <c r="V65" s="176">
        <v>14244900</v>
      </c>
      <c r="W65" s="176">
        <v>14197000</v>
      </c>
      <c r="X65" s="176">
        <v>14148700</v>
      </c>
      <c r="Y65" s="176">
        <v>14111000</v>
      </c>
      <c r="Z65" s="176">
        <v>14077100</v>
      </c>
      <c r="AA65" s="176">
        <v>14045600</v>
      </c>
      <c r="AB65" s="176">
        <v>14017600</v>
      </c>
      <c r="AC65" s="176">
        <v>13985700</v>
      </c>
      <c r="AD65" s="176">
        <v>13961600</v>
      </c>
      <c r="AE65" s="176">
        <v>13939800</v>
      </c>
      <c r="AF65" s="176">
        <v>13912800</v>
      </c>
      <c r="AG65" s="176">
        <v>13894100</v>
      </c>
      <c r="AH65" s="176">
        <v>13876600</v>
      </c>
      <c r="AI65" s="176">
        <v>13853400</v>
      </c>
      <c r="AJ65" s="176">
        <v>13838100</v>
      </c>
      <c r="AK65" s="176">
        <v>13823100</v>
      </c>
      <c r="AL65" s="176">
        <v>13803300</v>
      </c>
      <c r="AM65" s="176">
        <v>13790500</v>
      </c>
      <c r="AN65" s="176">
        <v>13777700</v>
      </c>
      <c r="AO65" s="176">
        <v>13760000</v>
      </c>
      <c r="AP65" s="176">
        <v>13748400</v>
      </c>
      <c r="AQ65" s="176">
        <v>13737800</v>
      </c>
    </row>
    <row r="66" spans="1:43" x14ac:dyDescent="0.15">
      <c r="A66" t="s">
        <v>1283</v>
      </c>
      <c r="B66" s="176">
        <v>21447200</v>
      </c>
      <c r="C66" s="176">
        <v>21447200</v>
      </c>
      <c r="D66" s="176">
        <v>21447200</v>
      </c>
      <c r="E66" s="176">
        <v>21447200</v>
      </c>
      <c r="F66" s="176">
        <v>21447200</v>
      </c>
      <c r="G66" s="176">
        <v>21447200</v>
      </c>
      <c r="H66" s="176">
        <v>21447200</v>
      </c>
      <c r="I66" s="176">
        <v>21447200</v>
      </c>
      <c r="J66" s="176">
        <v>21447200</v>
      </c>
      <c r="K66" s="176">
        <v>21447200</v>
      </c>
      <c r="L66" s="176">
        <v>21447200</v>
      </c>
      <c r="M66" s="176">
        <v>21447200</v>
      </c>
      <c r="N66" s="176">
        <v>21447200</v>
      </c>
      <c r="O66" s="176">
        <v>21447200</v>
      </c>
      <c r="P66" s="176">
        <v>21447200</v>
      </c>
      <c r="Q66" s="176">
        <v>21447200</v>
      </c>
      <c r="R66" s="176">
        <v>21447200</v>
      </c>
      <c r="S66" s="176">
        <v>21447200</v>
      </c>
      <c r="T66" s="176">
        <v>21447200</v>
      </c>
      <c r="U66" s="176">
        <v>21447200</v>
      </c>
      <c r="V66" s="176">
        <v>21447200</v>
      </c>
      <c r="W66" s="176">
        <v>21447200</v>
      </c>
      <c r="X66" s="176">
        <v>21447200</v>
      </c>
      <c r="Y66" s="176">
        <v>21447200</v>
      </c>
      <c r="Z66" s="176">
        <v>21447200</v>
      </c>
      <c r="AA66" s="176">
        <v>21447200</v>
      </c>
      <c r="AB66" s="176">
        <v>21447200</v>
      </c>
      <c r="AC66" s="176">
        <v>21447200</v>
      </c>
      <c r="AD66" s="176">
        <v>21447200</v>
      </c>
      <c r="AE66" s="176">
        <v>21447200</v>
      </c>
      <c r="AF66" s="176">
        <v>21447200</v>
      </c>
      <c r="AG66" s="176">
        <v>21447200</v>
      </c>
      <c r="AH66" s="176">
        <v>21447200</v>
      </c>
      <c r="AI66" s="176">
        <v>21447200</v>
      </c>
      <c r="AJ66" s="176">
        <v>21447200</v>
      </c>
      <c r="AK66" s="176">
        <v>21447200</v>
      </c>
      <c r="AL66" s="176">
        <v>21447200</v>
      </c>
      <c r="AM66" s="176">
        <v>21447200</v>
      </c>
      <c r="AN66" s="176">
        <v>21447200</v>
      </c>
      <c r="AO66" s="176">
        <v>21447200</v>
      </c>
      <c r="AP66" s="176">
        <v>21447200</v>
      </c>
      <c r="AQ66" s="176">
        <v>21447200</v>
      </c>
    </row>
    <row r="67" spans="1:43" x14ac:dyDescent="0.15">
      <c r="A67" t="s">
        <v>1284</v>
      </c>
      <c r="B67" s="176">
        <v>21447200</v>
      </c>
      <c r="C67" s="176">
        <v>21447200</v>
      </c>
      <c r="D67" s="176">
        <v>21447200</v>
      </c>
      <c r="E67" s="176">
        <v>21447200</v>
      </c>
      <c r="F67" s="176">
        <v>21447200</v>
      </c>
      <c r="G67" s="176">
        <v>21447200</v>
      </c>
      <c r="H67" s="176">
        <v>21447200</v>
      </c>
      <c r="I67" s="176">
        <v>21447200</v>
      </c>
      <c r="J67" s="176">
        <v>21447200</v>
      </c>
      <c r="K67" s="176">
        <v>21447200</v>
      </c>
      <c r="L67" s="176">
        <v>21447200</v>
      </c>
      <c r="M67" s="176">
        <v>21447200</v>
      </c>
      <c r="N67" s="176">
        <v>21447200</v>
      </c>
      <c r="O67" s="176">
        <v>21447200</v>
      </c>
      <c r="P67" s="176">
        <v>21447200</v>
      </c>
      <c r="Q67" s="176">
        <v>21447200</v>
      </c>
      <c r="R67" s="176">
        <v>21447200</v>
      </c>
      <c r="S67" s="176">
        <v>21447200</v>
      </c>
      <c r="T67" s="176">
        <v>21447200</v>
      </c>
      <c r="U67" s="176">
        <v>21447200</v>
      </c>
      <c r="V67" s="176">
        <v>21447200</v>
      </c>
      <c r="W67" s="176">
        <v>21447200</v>
      </c>
      <c r="X67" s="176">
        <v>21447200</v>
      </c>
      <c r="Y67" s="176">
        <v>21447200</v>
      </c>
      <c r="Z67" s="176">
        <v>21447200</v>
      </c>
      <c r="AA67" s="176">
        <v>21447200</v>
      </c>
      <c r="AB67" s="176">
        <v>21447200</v>
      </c>
      <c r="AC67" s="176">
        <v>21447200</v>
      </c>
      <c r="AD67" s="176">
        <v>21447200</v>
      </c>
      <c r="AE67" s="176">
        <v>21447200</v>
      </c>
      <c r="AF67" s="176">
        <v>21447200</v>
      </c>
      <c r="AG67" s="176">
        <v>21447200</v>
      </c>
      <c r="AH67" s="176">
        <v>21447200</v>
      </c>
      <c r="AI67" s="176">
        <v>21447200</v>
      </c>
      <c r="AJ67" s="176">
        <v>21447200</v>
      </c>
      <c r="AK67" s="176">
        <v>21447200</v>
      </c>
      <c r="AL67" s="176">
        <v>21447200</v>
      </c>
      <c r="AM67" s="176">
        <v>21447200</v>
      </c>
      <c r="AN67" s="176">
        <v>21447200</v>
      </c>
      <c r="AO67" s="176">
        <v>21447200</v>
      </c>
      <c r="AP67" s="176">
        <v>21447200</v>
      </c>
      <c r="AQ67" s="176">
        <v>21447200</v>
      </c>
    </row>
    <row r="68" spans="1:43" x14ac:dyDescent="0.15">
      <c r="A68" t="s">
        <v>1285</v>
      </c>
      <c r="B68" s="176">
        <v>33564500</v>
      </c>
      <c r="C68" s="176">
        <v>33564500</v>
      </c>
      <c r="D68" s="176">
        <v>34347200</v>
      </c>
      <c r="E68" s="176">
        <v>34263200</v>
      </c>
      <c r="F68" s="176">
        <v>34730700</v>
      </c>
      <c r="G68" s="176">
        <v>35708500</v>
      </c>
      <c r="H68" s="176">
        <v>35978700</v>
      </c>
      <c r="I68" s="176">
        <v>36041600</v>
      </c>
      <c r="J68" s="176">
        <v>36121000</v>
      </c>
      <c r="K68" s="176">
        <v>36328200</v>
      </c>
      <c r="L68" s="176">
        <v>36408900</v>
      </c>
      <c r="M68" s="176">
        <v>36595000</v>
      </c>
      <c r="N68" s="176">
        <v>36806000</v>
      </c>
      <c r="O68" s="176">
        <v>36803200</v>
      </c>
      <c r="P68" s="176">
        <v>36916700</v>
      </c>
      <c r="Q68" s="176">
        <v>36977000</v>
      </c>
      <c r="R68" s="176">
        <v>37084500</v>
      </c>
      <c r="S68" s="176">
        <v>36979600</v>
      </c>
      <c r="T68" s="176">
        <v>36985700</v>
      </c>
      <c r="U68" s="176">
        <v>37069100</v>
      </c>
      <c r="V68" s="176">
        <v>37134000</v>
      </c>
      <c r="W68" s="176">
        <v>37140000</v>
      </c>
      <c r="X68" s="176">
        <v>37248300</v>
      </c>
      <c r="Y68" s="176">
        <v>37283100</v>
      </c>
      <c r="Z68" s="176">
        <v>37340500</v>
      </c>
      <c r="AA68" s="176">
        <v>37440800</v>
      </c>
      <c r="AB68" s="176">
        <v>37528300</v>
      </c>
      <c r="AC68" s="176">
        <v>37574600</v>
      </c>
      <c r="AD68" s="176">
        <v>37716500</v>
      </c>
      <c r="AE68" s="176">
        <v>37767800</v>
      </c>
      <c r="AF68" s="176">
        <v>37787900</v>
      </c>
      <c r="AG68" s="176">
        <v>37848300</v>
      </c>
      <c r="AH68" s="176">
        <v>37967100</v>
      </c>
      <c r="AI68" s="176">
        <v>38025400</v>
      </c>
      <c r="AJ68" s="176">
        <v>38105900</v>
      </c>
      <c r="AK68" s="176">
        <v>38175400</v>
      </c>
      <c r="AL68" s="176">
        <v>38244800</v>
      </c>
      <c r="AM68" s="176">
        <v>38303200</v>
      </c>
      <c r="AN68" s="176">
        <v>38381700</v>
      </c>
      <c r="AO68" s="176">
        <v>38442000</v>
      </c>
      <c r="AP68" s="176">
        <v>38520500</v>
      </c>
      <c r="AQ68" s="176">
        <v>38599000</v>
      </c>
    </row>
    <row r="69" spans="1:43" x14ac:dyDescent="0.15">
      <c r="A69" t="s">
        <v>1286</v>
      </c>
      <c r="B69" s="176">
        <v>21447200</v>
      </c>
      <c r="C69" s="176">
        <v>21447200</v>
      </c>
      <c r="D69" s="176">
        <v>21447200</v>
      </c>
      <c r="E69" s="176">
        <v>21447200</v>
      </c>
      <c r="F69" s="176">
        <v>21447200</v>
      </c>
      <c r="G69" s="176">
        <v>21447200</v>
      </c>
      <c r="H69" s="176">
        <v>21447200</v>
      </c>
      <c r="I69" s="176">
        <v>21447200</v>
      </c>
      <c r="J69" s="176">
        <v>21447200</v>
      </c>
      <c r="K69" s="176">
        <v>21447200</v>
      </c>
      <c r="L69" s="176">
        <v>21447200</v>
      </c>
      <c r="M69" s="176">
        <v>21447200</v>
      </c>
      <c r="N69" s="176">
        <v>21447200</v>
      </c>
      <c r="O69" s="176">
        <v>21447200</v>
      </c>
      <c r="P69" s="176">
        <v>21447200</v>
      </c>
      <c r="Q69" s="176">
        <v>21447200</v>
      </c>
      <c r="R69" s="176">
        <v>21447200</v>
      </c>
      <c r="S69" s="176">
        <v>21447200</v>
      </c>
      <c r="T69" s="176">
        <v>21447200</v>
      </c>
      <c r="U69" s="176">
        <v>21447200</v>
      </c>
      <c r="V69" s="176">
        <v>21447200</v>
      </c>
      <c r="W69" s="176">
        <v>21447200</v>
      </c>
      <c r="X69" s="176">
        <v>21447200</v>
      </c>
      <c r="Y69" s="176">
        <v>21447200</v>
      </c>
      <c r="Z69" s="176">
        <v>21447200</v>
      </c>
      <c r="AA69" s="176">
        <v>21447200</v>
      </c>
      <c r="AB69" s="176">
        <v>21447200</v>
      </c>
      <c r="AC69" s="176">
        <v>21447200</v>
      </c>
      <c r="AD69" s="176">
        <v>21447200</v>
      </c>
      <c r="AE69" s="176">
        <v>21447200</v>
      </c>
      <c r="AF69" s="176">
        <v>21447200</v>
      </c>
      <c r="AG69" s="176">
        <v>21447200</v>
      </c>
      <c r="AH69" s="176">
        <v>21447200</v>
      </c>
      <c r="AI69" s="176">
        <v>21447200</v>
      </c>
      <c r="AJ69" s="176">
        <v>21447200</v>
      </c>
      <c r="AK69" s="176">
        <v>21447200</v>
      </c>
      <c r="AL69" s="176">
        <v>21447200</v>
      </c>
      <c r="AM69" s="176">
        <v>21447200</v>
      </c>
      <c r="AN69" s="176">
        <v>21447200</v>
      </c>
      <c r="AO69" s="176">
        <v>21447200</v>
      </c>
      <c r="AP69" s="176">
        <v>21447200</v>
      </c>
      <c r="AQ69" s="176">
        <v>21447200</v>
      </c>
    </row>
    <row r="70" spans="1:43" x14ac:dyDescent="0.15">
      <c r="A70" t="s">
        <v>1287</v>
      </c>
      <c r="B70" s="176">
        <v>21447200</v>
      </c>
      <c r="C70" s="176">
        <v>21447200</v>
      </c>
      <c r="D70" s="176">
        <v>21447200</v>
      </c>
      <c r="E70" s="176">
        <v>21447200</v>
      </c>
      <c r="F70" s="176">
        <v>21447200</v>
      </c>
      <c r="G70" s="176">
        <v>21447200</v>
      </c>
      <c r="H70" s="176">
        <v>21447200</v>
      </c>
      <c r="I70" s="176">
        <v>21447200</v>
      </c>
      <c r="J70" s="176">
        <v>21447200</v>
      </c>
      <c r="K70" s="176">
        <v>21447200</v>
      </c>
      <c r="L70" s="176">
        <v>21447200</v>
      </c>
      <c r="M70" s="176">
        <v>21447200</v>
      </c>
      <c r="N70" s="176">
        <v>21447200</v>
      </c>
      <c r="O70" s="176">
        <v>21447200</v>
      </c>
      <c r="P70" s="176">
        <v>21447200</v>
      </c>
      <c r="Q70" s="176">
        <v>21447200</v>
      </c>
      <c r="R70" s="176">
        <v>21447200</v>
      </c>
      <c r="S70" s="176">
        <v>21447200</v>
      </c>
      <c r="T70" s="176">
        <v>21447200</v>
      </c>
      <c r="U70" s="176">
        <v>21447200</v>
      </c>
      <c r="V70" s="176">
        <v>21447200</v>
      </c>
      <c r="W70" s="176">
        <v>21447200</v>
      </c>
      <c r="X70" s="176">
        <v>21447200</v>
      </c>
      <c r="Y70" s="176">
        <v>21447200</v>
      </c>
      <c r="Z70" s="176">
        <v>21447200</v>
      </c>
      <c r="AA70" s="176">
        <v>21447200</v>
      </c>
      <c r="AB70" s="176">
        <v>21447200</v>
      </c>
      <c r="AC70" s="176">
        <v>21447200</v>
      </c>
      <c r="AD70" s="176">
        <v>21447200</v>
      </c>
      <c r="AE70" s="176">
        <v>21447200</v>
      </c>
      <c r="AF70" s="176">
        <v>21447200</v>
      </c>
      <c r="AG70" s="176">
        <v>21447200</v>
      </c>
      <c r="AH70" s="176">
        <v>21447200</v>
      </c>
      <c r="AI70" s="176">
        <v>21447200</v>
      </c>
      <c r="AJ70" s="176">
        <v>21447200</v>
      </c>
      <c r="AK70" s="176">
        <v>21447200</v>
      </c>
      <c r="AL70" s="176">
        <v>21447200</v>
      </c>
      <c r="AM70" s="176">
        <v>21447200</v>
      </c>
      <c r="AN70" s="176">
        <v>21447200</v>
      </c>
      <c r="AO70" s="176">
        <v>21447200</v>
      </c>
      <c r="AP70" s="176">
        <v>21447200</v>
      </c>
      <c r="AQ70" s="176">
        <v>21447200</v>
      </c>
    </row>
    <row r="71" spans="1:43" x14ac:dyDescent="0.15">
      <c r="A71" t="s">
        <v>1288</v>
      </c>
      <c r="B71" s="176">
        <v>23688700</v>
      </c>
      <c r="C71" s="176">
        <v>23688700</v>
      </c>
      <c r="D71" s="176">
        <v>23310100</v>
      </c>
      <c r="E71" s="176">
        <v>22964100</v>
      </c>
      <c r="F71" s="176">
        <v>22722200</v>
      </c>
      <c r="G71" s="176">
        <v>22574300</v>
      </c>
      <c r="H71" s="176">
        <v>22042600</v>
      </c>
      <c r="I71" s="176">
        <v>21545700</v>
      </c>
      <c r="J71" s="176">
        <v>21100500</v>
      </c>
      <c r="K71" s="176">
        <v>20676800</v>
      </c>
      <c r="L71" s="176">
        <v>20275100</v>
      </c>
      <c r="M71" s="176">
        <v>19891000</v>
      </c>
      <c r="N71" s="176">
        <v>19515200</v>
      </c>
      <c r="O71" s="176">
        <v>19169900</v>
      </c>
      <c r="P71" s="176">
        <v>18836900</v>
      </c>
      <c r="Q71" s="176">
        <v>18510600</v>
      </c>
      <c r="R71" s="176">
        <v>18199000</v>
      </c>
      <c r="S71" s="176">
        <v>17901600</v>
      </c>
      <c r="T71" s="176">
        <v>17621000</v>
      </c>
      <c r="U71" s="176">
        <v>17349900</v>
      </c>
      <c r="V71" s="176">
        <v>17095900</v>
      </c>
      <c r="W71" s="176">
        <v>16851400</v>
      </c>
      <c r="X71" s="176">
        <v>16623500</v>
      </c>
      <c r="Y71" s="176">
        <v>16402800</v>
      </c>
      <c r="Z71" s="176">
        <v>16191400</v>
      </c>
      <c r="AA71" s="176">
        <v>15987700</v>
      </c>
      <c r="AB71" s="176">
        <v>15798100</v>
      </c>
      <c r="AC71" s="176">
        <v>15614000</v>
      </c>
      <c r="AD71" s="176">
        <v>15444900</v>
      </c>
      <c r="AE71" s="176">
        <v>15274800</v>
      </c>
      <c r="AF71" s="176">
        <v>15118800</v>
      </c>
      <c r="AG71" s="176">
        <v>14963300</v>
      </c>
      <c r="AH71" s="176">
        <v>14928400</v>
      </c>
      <c r="AI71" s="176">
        <v>14895500</v>
      </c>
      <c r="AJ71" s="176">
        <v>14864000</v>
      </c>
      <c r="AK71" s="176">
        <v>14833800</v>
      </c>
      <c r="AL71" s="176">
        <v>14804900</v>
      </c>
      <c r="AM71" s="176">
        <v>14777600</v>
      </c>
      <c r="AN71" s="176">
        <v>14751800</v>
      </c>
      <c r="AO71" s="176">
        <v>14726800</v>
      </c>
      <c r="AP71" s="176">
        <v>14703300</v>
      </c>
      <c r="AQ71" s="176">
        <v>14680500</v>
      </c>
    </row>
    <row r="72" spans="1:43" x14ac:dyDescent="0.15">
      <c r="A72" t="s">
        <v>1289</v>
      </c>
      <c r="B72">
        <v>9420.7099999999991</v>
      </c>
      <c r="C72">
        <v>9420.7099999999991</v>
      </c>
      <c r="D72">
        <v>8891.2099999999991</v>
      </c>
      <c r="E72">
        <v>8494.0499999999993</v>
      </c>
      <c r="F72">
        <v>8334.7999999999993</v>
      </c>
      <c r="G72">
        <v>8151.11</v>
      </c>
      <c r="H72">
        <v>7996.67</v>
      </c>
      <c r="I72">
        <v>7858.57</v>
      </c>
      <c r="J72">
        <v>7741.82</v>
      </c>
      <c r="K72">
        <v>7639.84</v>
      </c>
      <c r="L72">
        <v>7549.09</v>
      </c>
      <c r="M72">
        <v>7471.91</v>
      </c>
      <c r="N72">
        <v>7402.85</v>
      </c>
      <c r="O72">
        <v>7344.42</v>
      </c>
      <c r="P72">
        <v>7289.58</v>
      </c>
      <c r="Q72">
        <v>7243.82</v>
      </c>
      <c r="R72">
        <v>7204.81</v>
      </c>
      <c r="S72">
        <v>7168.93</v>
      </c>
      <c r="T72">
        <v>7137.54</v>
      </c>
      <c r="U72">
        <v>7110.89</v>
      </c>
      <c r="V72">
        <v>7088.33</v>
      </c>
      <c r="W72">
        <v>7066.67</v>
      </c>
      <c r="X72">
        <v>7046.48</v>
      </c>
      <c r="Y72">
        <v>7029.32</v>
      </c>
      <c r="Z72">
        <v>7013.84</v>
      </c>
      <c r="AA72">
        <v>6999.71</v>
      </c>
      <c r="AB72">
        <v>6986.93</v>
      </c>
      <c r="AC72">
        <v>6974.2</v>
      </c>
      <c r="AD72">
        <v>6963.37</v>
      </c>
      <c r="AE72">
        <v>6953.46</v>
      </c>
      <c r="AF72">
        <v>6943.12</v>
      </c>
      <c r="AG72">
        <v>6934.6</v>
      </c>
      <c r="AH72">
        <v>6926.62</v>
      </c>
      <c r="AI72">
        <v>6918.02</v>
      </c>
      <c r="AJ72">
        <v>6911.06</v>
      </c>
      <c r="AK72">
        <v>6904.4</v>
      </c>
      <c r="AL72">
        <v>6897.16</v>
      </c>
      <c r="AM72">
        <v>6891.32</v>
      </c>
      <c r="AN72">
        <v>6885.69</v>
      </c>
      <c r="AO72">
        <v>6879.39</v>
      </c>
      <c r="AP72">
        <v>6874.29</v>
      </c>
      <c r="AQ72">
        <v>6869.5</v>
      </c>
    </row>
    <row r="73" spans="1:43" x14ac:dyDescent="0.15">
      <c r="A73" t="s">
        <v>1290</v>
      </c>
      <c r="B73">
        <v>1551.74</v>
      </c>
      <c r="C73">
        <v>1551.74</v>
      </c>
      <c r="D73">
        <v>1603.48</v>
      </c>
      <c r="E73">
        <v>1440.86</v>
      </c>
      <c r="F73">
        <v>1616.21</v>
      </c>
      <c r="G73">
        <v>1639.88</v>
      </c>
      <c r="H73">
        <v>1643.94</v>
      </c>
      <c r="I73">
        <v>1648.01</v>
      </c>
      <c r="J73">
        <v>1706.28</v>
      </c>
      <c r="K73">
        <v>1764.55</v>
      </c>
      <c r="L73">
        <v>1752.69</v>
      </c>
      <c r="M73">
        <v>1741.51</v>
      </c>
      <c r="N73">
        <v>1764.55</v>
      </c>
      <c r="O73">
        <v>1752.69</v>
      </c>
      <c r="P73">
        <v>1745.24</v>
      </c>
      <c r="Q73">
        <v>1737.45</v>
      </c>
      <c r="R73">
        <v>1730</v>
      </c>
      <c r="S73">
        <v>1721.87</v>
      </c>
      <c r="T73">
        <v>1714.07</v>
      </c>
      <c r="U73">
        <v>1710.01</v>
      </c>
      <c r="V73">
        <v>1702.55</v>
      </c>
      <c r="W73">
        <v>1698.49</v>
      </c>
      <c r="X73">
        <v>1694.42</v>
      </c>
      <c r="Y73">
        <v>1690.7</v>
      </c>
      <c r="Z73">
        <v>1686.97</v>
      </c>
      <c r="AA73">
        <v>1683.24</v>
      </c>
      <c r="AB73">
        <v>1682.9</v>
      </c>
      <c r="AC73">
        <v>1682.9</v>
      </c>
      <c r="AD73">
        <v>1679.18</v>
      </c>
      <c r="AE73">
        <v>1678.84</v>
      </c>
      <c r="AF73">
        <v>1675.11</v>
      </c>
      <c r="AG73">
        <v>1675.11</v>
      </c>
      <c r="AH73">
        <v>1671.39</v>
      </c>
      <c r="AI73">
        <v>1671.05</v>
      </c>
      <c r="AJ73">
        <v>1667.32</v>
      </c>
      <c r="AK73">
        <v>1667.32</v>
      </c>
      <c r="AL73">
        <v>1663.59</v>
      </c>
      <c r="AM73">
        <v>1663.26</v>
      </c>
      <c r="AN73">
        <v>1659.53</v>
      </c>
      <c r="AO73">
        <v>1659.19</v>
      </c>
      <c r="AP73">
        <v>1655.8</v>
      </c>
      <c r="AQ73">
        <v>1655.46</v>
      </c>
    </row>
    <row r="74" spans="1:43" x14ac:dyDescent="0.15">
      <c r="A74" t="s">
        <v>1291</v>
      </c>
      <c r="B74">
        <v>8770.7900000000009</v>
      </c>
      <c r="C74">
        <v>8770.7900000000009</v>
      </c>
      <c r="D74">
        <v>8967.15</v>
      </c>
      <c r="E74">
        <v>8819.23</v>
      </c>
      <c r="F74">
        <v>9267.82</v>
      </c>
      <c r="G74">
        <v>9338.83</v>
      </c>
      <c r="H74">
        <v>9328.67</v>
      </c>
      <c r="I74">
        <v>9321.89</v>
      </c>
      <c r="J74">
        <v>9325.2800000000007</v>
      </c>
      <c r="K74">
        <v>9362.5499999999993</v>
      </c>
      <c r="L74">
        <v>9382.8700000000008</v>
      </c>
      <c r="M74">
        <v>9406.59</v>
      </c>
      <c r="N74">
        <v>9481.1200000000008</v>
      </c>
      <c r="O74">
        <v>9477.73</v>
      </c>
      <c r="P74">
        <v>9498.06</v>
      </c>
      <c r="Q74">
        <v>9515</v>
      </c>
      <c r="R74">
        <v>9548.8799999999992</v>
      </c>
      <c r="S74">
        <v>9531.94</v>
      </c>
      <c r="T74">
        <v>9538.7099999999991</v>
      </c>
      <c r="U74">
        <v>9559.0400000000009</v>
      </c>
      <c r="V74">
        <v>9575.98</v>
      </c>
      <c r="W74">
        <v>9579.3700000000008</v>
      </c>
      <c r="X74">
        <v>9589.5300000000007</v>
      </c>
      <c r="Y74">
        <v>9606.4699999999993</v>
      </c>
      <c r="Z74">
        <v>9606.4699999999993</v>
      </c>
      <c r="AA74">
        <v>9616.64</v>
      </c>
      <c r="AB74">
        <v>9626.7999999999993</v>
      </c>
      <c r="AC74">
        <v>9647.1299999999992</v>
      </c>
      <c r="AD74">
        <v>9657.2900000000009</v>
      </c>
      <c r="AE74">
        <v>9664.07</v>
      </c>
      <c r="AF74">
        <v>9670.84</v>
      </c>
      <c r="AG74">
        <v>9687.7800000000007</v>
      </c>
      <c r="AH74">
        <v>9694.56</v>
      </c>
      <c r="AI74">
        <v>9704.7199999999993</v>
      </c>
      <c r="AJ74">
        <v>9718.27</v>
      </c>
      <c r="AK74">
        <v>9728.43</v>
      </c>
      <c r="AL74">
        <v>9738.6</v>
      </c>
      <c r="AM74">
        <v>9748.76</v>
      </c>
      <c r="AN74">
        <v>9758.93</v>
      </c>
      <c r="AO74">
        <v>9769.09</v>
      </c>
      <c r="AP74">
        <v>9779.25</v>
      </c>
      <c r="AQ74">
        <v>9792.7999999999993</v>
      </c>
    </row>
    <row r="75" spans="1:43" x14ac:dyDescent="0.15">
      <c r="A75" t="s">
        <v>1292</v>
      </c>
      <c r="B75">
        <v>1573.08</v>
      </c>
      <c r="C75">
        <v>1573.08</v>
      </c>
      <c r="D75">
        <v>1702.02</v>
      </c>
      <c r="E75">
        <v>1550.24</v>
      </c>
      <c r="F75">
        <v>1940.59</v>
      </c>
      <c r="G75">
        <v>2078.61</v>
      </c>
      <c r="H75">
        <v>2098.9299999999998</v>
      </c>
      <c r="I75">
        <v>2114.86</v>
      </c>
      <c r="J75">
        <v>2125.02</v>
      </c>
      <c r="K75">
        <v>2161.27</v>
      </c>
      <c r="L75">
        <v>2181.2600000000002</v>
      </c>
      <c r="M75">
        <v>2197.1799999999998</v>
      </c>
      <c r="N75">
        <v>2242.92</v>
      </c>
      <c r="O75">
        <v>2256.4699999999998</v>
      </c>
      <c r="P75">
        <v>2276.79</v>
      </c>
      <c r="Q75">
        <v>2286.96</v>
      </c>
      <c r="R75">
        <v>2297.12</v>
      </c>
      <c r="S75">
        <v>2283.5700000000002</v>
      </c>
      <c r="T75">
        <v>2280.1799999999998</v>
      </c>
      <c r="U75">
        <v>2297.12</v>
      </c>
      <c r="V75">
        <v>2307.29</v>
      </c>
      <c r="W75">
        <v>2300.5100000000002</v>
      </c>
      <c r="X75">
        <v>2324.2199999999998</v>
      </c>
      <c r="Y75">
        <v>2331</v>
      </c>
      <c r="Z75">
        <v>2337.7800000000002</v>
      </c>
      <c r="AA75">
        <v>2347.94</v>
      </c>
      <c r="AB75">
        <v>2358.1</v>
      </c>
      <c r="AC75">
        <v>2375.04</v>
      </c>
      <c r="AD75">
        <v>2385.21</v>
      </c>
      <c r="AE75">
        <v>2395.37</v>
      </c>
      <c r="AF75">
        <v>2398.7600000000002</v>
      </c>
      <c r="AG75">
        <v>2408.92</v>
      </c>
      <c r="AH75">
        <v>2425.86</v>
      </c>
      <c r="AI75">
        <v>2432.64</v>
      </c>
      <c r="AJ75">
        <v>2446.19</v>
      </c>
      <c r="AK75">
        <v>2456.35</v>
      </c>
      <c r="AL75">
        <v>2466.5100000000002</v>
      </c>
      <c r="AM75">
        <v>2473.29</v>
      </c>
      <c r="AN75">
        <v>2483.4499999999998</v>
      </c>
      <c r="AO75">
        <v>2493.62</v>
      </c>
      <c r="AP75">
        <v>2503.7800000000002</v>
      </c>
      <c r="AQ75">
        <v>2513.94</v>
      </c>
    </row>
    <row r="76" spans="1:43" x14ac:dyDescent="0.15">
      <c r="A76" t="s">
        <v>1293</v>
      </c>
      <c r="B76">
        <v>1391.14</v>
      </c>
      <c r="C76">
        <v>1391.14</v>
      </c>
      <c r="D76">
        <v>1443.48</v>
      </c>
      <c r="E76">
        <v>1378.41</v>
      </c>
      <c r="F76">
        <v>1544.81</v>
      </c>
      <c r="G76">
        <v>1566.68</v>
      </c>
      <c r="H76">
        <v>1561.82</v>
      </c>
      <c r="I76">
        <v>1554.61</v>
      </c>
      <c r="J76">
        <v>1553.45</v>
      </c>
      <c r="K76">
        <v>1559.19</v>
      </c>
      <c r="L76">
        <v>1560.46</v>
      </c>
      <c r="M76">
        <v>1565.21</v>
      </c>
      <c r="N76">
        <v>1579.48</v>
      </c>
      <c r="O76">
        <v>1579.72</v>
      </c>
      <c r="P76">
        <v>1581.07</v>
      </c>
      <c r="Q76">
        <v>1583.6</v>
      </c>
      <c r="R76">
        <v>1590.42</v>
      </c>
      <c r="S76">
        <v>1585.96</v>
      </c>
      <c r="T76">
        <v>1586.41</v>
      </c>
      <c r="U76">
        <v>1590.55</v>
      </c>
      <c r="V76">
        <v>1595.02</v>
      </c>
      <c r="W76">
        <v>1595.63</v>
      </c>
      <c r="X76">
        <v>1596.85</v>
      </c>
      <c r="Y76">
        <v>1600.31</v>
      </c>
      <c r="Z76">
        <v>1600.31</v>
      </c>
      <c r="AA76">
        <v>1602.29</v>
      </c>
      <c r="AB76">
        <v>1604.37</v>
      </c>
      <c r="AC76">
        <v>1607.67</v>
      </c>
      <c r="AD76">
        <v>1609.65</v>
      </c>
      <c r="AE76">
        <v>1611.04</v>
      </c>
      <c r="AF76">
        <v>1611.49</v>
      </c>
      <c r="AG76">
        <v>1614.94</v>
      </c>
      <c r="AH76">
        <v>1616.32</v>
      </c>
      <c r="AI76">
        <v>1617.47</v>
      </c>
      <c r="AJ76">
        <v>1620.23</v>
      </c>
      <c r="AK76">
        <v>1622.22</v>
      </c>
      <c r="AL76">
        <v>1623.45</v>
      </c>
      <c r="AM76">
        <v>1625.52</v>
      </c>
      <c r="AN76">
        <v>1627.51</v>
      </c>
      <c r="AO76">
        <v>1628.73</v>
      </c>
      <c r="AP76">
        <v>1630.72</v>
      </c>
      <c r="AQ76">
        <v>1633.46</v>
      </c>
    </row>
    <row r="77" spans="1:43" x14ac:dyDescent="0.15">
      <c r="A77" t="s">
        <v>1294</v>
      </c>
      <c r="B77">
        <v>1454.69</v>
      </c>
      <c r="C77">
        <v>1454.69</v>
      </c>
      <c r="D77">
        <v>1591.81</v>
      </c>
      <c r="E77">
        <v>1497.77</v>
      </c>
      <c r="F77">
        <v>1803.98</v>
      </c>
      <c r="G77">
        <v>1846.87</v>
      </c>
      <c r="H77">
        <v>1851.67</v>
      </c>
      <c r="I77">
        <v>1856.48</v>
      </c>
      <c r="J77">
        <v>1846.87</v>
      </c>
      <c r="K77">
        <v>1846.87</v>
      </c>
      <c r="L77">
        <v>1856.48</v>
      </c>
      <c r="M77">
        <v>1861.28</v>
      </c>
      <c r="N77">
        <v>1903.65</v>
      </c>
      <c r="O77">
        <v>1908.89</v>
      </c>
      <c r="P77">
        <v>1918.06</v>
      </c>
      <c r="Q77">
        <v>1922.86</v>
      </c>
      <c r="R77">
        <v>1927.67</v>
      </c>
      <c r="S77">
        <v>1928.11</v>
      </c>
      <c r="T77">
        <v>1937.28</v>
      </c>
      <c r="U77">
        <v>1946.89</v>
      </c>
      <c r="V77">
        <v>1956.06</v>
      </c>
      <c r="W77">
        <v>1960.86</v>
      </c>
      <c r="X77">
        <v>1965.67</v>
      </c>
      <c r="Y77">
        <v>1970.47</v>
      </c>
      <c r="Z77">
        <v>1975.28</v>
      </c>
      <c r="AA77">
        <v>1975.28</v>
      </c>
      <c r="AB77">
        <v>1980.52</v>
      </c>
      <c r="AC77">
        <v>1984.88</v>
      </c>
      <c r="AD77">
        <v>1994.49</v>
      </c>
      <c r="AE77">
        <v>1999.3</v>
      </c>
      <c r="AF77">
        <v>2004.1</v>
      </c>
      <c r="AG77">
        <v>2013.27</v>
      </c>
      <c r="AH77">
        <v>2013.71</v>
      </c>
      <c r="AI77">
        <v>2018.52</v>
      </c>
      <c r="AJ77">
        <v>2027.69</v>
      </c>
      <c r="AK77">
        <v>2032.49</v>
      </c>
      <c r="AL77">
        <v>2037.3</v>
      </c>
      <c r="AM77">
        <v>2042.1</v>
      </c>
      <c r="AN77">
        <v>2046.91</v>
      </c>
      <c r="AO77">
        <v>2051.71</v>
      </c>
      <c r="AP77">
        <v>2060.88</v>
      </c>
      <c r="AQ77">
        <v>2065.69</v>
      </c>
    </row>
    <row r="78" spans="1:43" x14ac:dyDescent="0.15">
      <c r="A78" t="s">
        <v>1295</v>
      </c>
      <c r="B78">
        <v>1182.27</v>
      </c>
      <c r="C78">
        <v>1182.27</v>
      </c>
      <c r="D78">
        <v>1213</v>
      </c>
      <c r="E78">
        <v>1098.47</v>
      </c>
      <c r="F78">
        <v>1305.23</v>
      </c>
      <c r="G78">
        <v>1320.7</v>
      </c>
      <c r="H78">
        <v>1300.1500000000001</v>
      </c>
      <c r="I78">
        <v>1279.82</v>
      </c>
      <c r="J78">
        <v>1260.6300000000001</v>
      </c>
      <c r="K78">
        <v>1242.78</v>
      </c>
      <c r="L78">
        <v>1226.07</v>
      </c>
      <c r="M78">
        <v>1209.58</v>
      </c>
      <c r="N78">
        <v>1193.0899999999999</v>
      </c>
      <c r="O78">
        <v>1178.8699999999999</v>
      </c>
      <c r="P78">
        <v>1164.8599999999999</v>
      </c>
      <c r="Q78">
        <v>1150.8599999999999</v>
      </c>
      <c r="R78">
        <v>1138.0999999999999</v>
      </c>
      <c r="S78">
        <v>1125.45</v>
      </c>
      <c r="T78">
        <v>1113.93</v>
      </c>
      <c r="U78">
        <v>1102.4100000000001</v>
      </c>
      <c r="V78">
        <v>1092.25</v>
      </c>
      <c r="W78">
        <v>1081.97</v>
      </c>
      <c r="X78">
        <v>1073.05</v>
      </c>
      <c r="Y78">
        <v>1064.02</v>
      </c>
      <c r="Z78">
        <v>1055.0999999999999</v>
      </c>
      <c r="AA78">
        <v>1046.29</v>
      </c>
      <c r="AB78">
        <v>1038.6099999999999</v>
      </c>
      <c r="AC78">
        <v>1030.93</v>
      </c>
      <c r="AD78">
        <v>1024.49</v>
      </c>
      <c r="AE78">
        <v>1016.93</v>
      </c>
      <c r="AF78">
        <v>1010.6</v>
      </c>
      <c r="AG78">
        <v>1004.5</v>
      </c>
      <c r="AH78">
        <v>998.63199999999995</v>
      </c>
      <c r="AI78">
        <v>993.09799999999996</v>
      </c>
      <c r="AJ78">
        <v>987.79100000000005</v>
      </c>
      <c r="AK78">
        <v>982.70899999999995</v>
      </c>
      <c r="AL78">
        <v>977.85299999999995</v>
      </c>
      <c r="AM78">
        <v>973.25699999999995</v>
      </c>
      <c r="AN78">
        <v>968.92</v>
      </c>
      <c r="AO78">
        <v>964.70799999999997</v>
      </c>
      <c r="AP78">
        <v>960.75599999999997</v>
      </c>
      <c r="AQ78">
        <v>956.92700000000002</v>
      </c>
    </row>
    <row r="79" spans="1:43" x14ac:dyDescent="0.15">
      <c r="A79" t="s">
        <v>1296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15">
      <c r="A80" t="s">
        <v>1297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15">
      <c r="A81" t="s">
        <v>1298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15">
      <c r="A82" t="s">
        <v>1299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15">
      <c r="A83" t="s">
        <v>1300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15">
      <c r="A84" t="s">
        <v>1301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15">
      <c r="A85" t="s">
        <v>1302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</sheetData>
  <phoneticPr fontId="10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BC93"/>
  <sheetViews>
    <sheetView topLeftCell="G1" zoomScale="115" zoomScaleNormal="115" workbookViewId="0">
      <selection activeCell="I5" sqref="I5"/>
    </sheetView>
  </sheetViews>
  <sheetFormatPr defaultColWidth="9.125" defaultRowHeight="12.9" x14ac:dyDescent="0.15"/>
  <cols>
    <col min="1" max="1" width="23.375" customWidth="1"/>
    <col min="2" max="2" width="18.875" customWidth="1"/>
    <col min="3" max="3" width="24.125" customWidth="1"/>
    <col min="4" max="4" width="14.625" customWidth="1"/>
    <col min="5" max="5" width="16.375" customWidth="1"/>
    <col min="6" max="6" width="18" style="7" customWidth="1"/>
    <col min="8" max="9" width="9.125" customWidth="1"/>
  </cols>
  <sheetData>
    <row r="1" spans="1:55" x14ac:dyDescent="0.15">
      <c r="A1" t="s">
        <v>103</v>
      </c>
      <c r="H1" s="16" t="s">
        <v>140</v>
      </c>
      <c r="I1" s="17"/>
      <c r="J1" s="18"/>
      <c r="K1" s="18"/>
      <c r="L1" s="18"/>
      <c r="N1" s="16" t="s">
        <v>139</v>
      </c>
      <c r="O1" s="17"/>
      <c r="P1" s="18"/>
      <c r="Q1" s="18"/>
      <c r="R1" s="18"/>
    </row>
    <row r="2" spans="1:55" x14ac:dyDescent="0.15">
      <c r="A2" t="s">
        <v>104</v>
      </c>
      <c r="H2" s="9" t="s">
        <v>99</v>
      </c>
      <c r="I2" s="19">
        <v>1</v>
      </c>
      <c r="J2">
        <v>1</v>
      </c>
      <c r="K2">
        <v>1</v>
      </c>
      <c r="L2">
        <v>1</v>
      </c>
      <c r="N2" s="9" t="s">
        <v>99</v>
      </c>
      <c r="O2" s="19">
        <v>1</v>
      </c>
      <c r="P2">
        <v>1</v>
      </c>
      <c r="Q2">
        <v>1</v>
      </c>
    </row>
    <row r="3" spans="1:55" x14ac:dyDescent="0.15">
      <c r="A3" t="s">
        <v>105</v>
      </c>
      <c r="H3" s="9" t="s">
        <v>100</v>
      </c>
      <c r="I3" s="19">
        <v>-0.3</v>
      </c>
      <c r="J3">
        <v>-0.18</v>
      </c>
      <c r="K3">
        <v>-0.2</v>
      </c>
      <c r="L3">
        <v>-0.2</v>
      </c>
      <c r="N3" s="9" t="s">
        <v>100</v>
      </c>
      <c r="O3" s="19">
        <v>-0.3</v>
      </c>
      <c r="P3">
        <v>-0.25</v>
      </c>
      <c r="Q3">
        <v>-0.22</v>
      </c>
    </row>
    <row r="4" spans="1:55" ht="13.6" thickBot="1" x14ac:dyDescent="0.2">
      <c r="A4" t="s">
        <v>106</v>
      </c>
      <c r="H4" s="10" t="s">
        <v>101</v>
      </c>
      <c r="I4" s="20">
        <v>-15</v>
      </c>
      <c r="J4">
        <v>-18</v>
      </c>
      <c r="K4">
        <v>-20</v>
      </c>
      <c r="L4">
        <v>-22</v>
      </c>
      <c r="N4" s="10" t="s">
        <v>101</v>
      </c>
      <c r="O4" s="20">
        <v>-15</v>
      </c>
      <c r="P4">
        <v>-18</v>
      </c>
      <c r="Q4">
        <v>-22</v>
      </c>
    </row>
    <row r="5" spans="1:55" x14ac:dyDescent="0.15">
      <c r="A5" t="s">
        <v>107</v>
      </c>
    </row>
    <row r="6" spans="1:55" ht="38.75" x14ac:dyDescent="0.15">
      <c r="A6" s="12"/>
      <c r="B6" s="12"/>
      <c r="C6" s="12"/>
      <c r="D6" s="2" t="s">
        <v>20</v>
      </c>
      <c r="E6" s="2" t="s">
        <v>20</v>
      </c>
      <c r="F6" s="2" t="s">
        <v>102</v>
      </c>
    </row>
    <row r="7" spans="1:55" x14ac:dyDescent="0.15">
      <c r="A7" s="12"/>
      <c r="B7" s="12"/>
      <c r="C7" s="12" t="s">
        <v>924</v>
      </c>
      <c r="D7" s="2">
        <v>2020</v>
      </c>
      <c r="E7" s="2">
        <v>2050</v>
      </c>
      <c r="F7" s="2"/>
    </row>
    <row r="8" spans="1:55" ht="51.65" x14ac:dyDescent="0.15">
      <c r="A8" s="12"/>
      <c r="B8" s="12"/>
      <c r="C8" s="12"/>
      <c r="D8" s="27">
        <v>2020</v>
      </c>
      <c r="E8" s="27">
        <v>2060</v>
      </c>
      <c r="F8" s="27" t="s">
        <v>137</v>
      </c>
    </row>
    <row r="9" spans="1:55" x14ac:dyDescent="0.15">
      <c r="A9" s="12" t="s">
        <v>9</v>
      </c>
      <c r="B9" s="12" t="s">
        <v>10</v>
      </c>
      <c r="C9" s="12" t="s">
        <v>11</v>
      </c>
      <c r="D9" s="12">
        <v>2020</v>
      </c>
      <c r="E9" s="12">
        <v>2050</v>
      </c>
      <c r="F9" s="6"/>
      <c r="O9" s="21">
        <f>D9</f>
        <v>2020</v>
      </c>
      <c r="P9" s="21">
        <f>O9+1</f>
        <v>2021</v>
      </c>
      <c r="Q9" s="21">
        <f t="shared" ref="Q9:AS9" si="0">P9+1</f>
        <v>2022</v>
      </c>
      <c r="R9" s="21">
        <f t="shared" si="0"/>
        <v>2023</v>
      </c>
      <c r="S9" s="21">
        <f t="shared" si="0"/>
        <v>2024</v>
      </c>
      <c r="T9" s="21">
        <f t="shared" si="0"/>
        <v>2025</v>
      </c>
      <c r="U9" s="21">
        <f t="shared" si="0"/>
        <v>2026</v>
      </c>
      <c r="V9" s="21">
        <f t="shared" si="0"/>
        <v>2027</v>
      </c>
      <c r="W9" s="21">
        <f t="shared" si="0"/>
        <v>2028</v>
      </c>
      <c r="X9" s="21">
        <f t="shared" si="0"/>
        <v>2029</v>
      </c>
      <c r="Y9" s="21">
        <f t="shared" si="0"/>
        <v>2030</v>
      </c>
      <c r="Z9" s="21">
        <f t="shared" si="0"/>
        <v>2031</v>
      </c>
      <c r="AA9" s="21">
        <f t="shared" si="0"/>
        <v>2032</v>
      </c>
      <c r="AB9" s="21">
        <f t="shared" si="0"/>
        <v>2033</v>
      </c>
      <c r="AC9" s="21">
        <f t="shared" si="0"/>
        <v>2034</v>
      </c>
      <c r="AD9" s="21">
        <f t="shared" si="0"/>
        <v>2035</v>
      </c>
      <c r="AE9" s="21">
        <f t="shared" si="0"/>
        <v>2036</v>
      </c>
      <c r="AF9" s="21">
        <f t="shared" si="0"/>
        <v>2037</v>
      </c>
      <c r="AG9" s="21">
        <f t="shared" si="0"/>
        <v>2038</v>
      </c>
      <c r="AH9" s="21">
        <f t="shared" si="0"/>
        <v>2039</v>
      </c>
      <c r="AI9" s="21">
        <f t="shared" si="0"/>
        <v>2040</v>
      </c>
      <c r="AJ9" s="21">
        <f t="shared" si="0"/>
        <v>2041</v>
      </c>
      <c r="AK9" s="21">
        <f t="shared" si="0"/>
        <v>2042</v>
      </c>
      <c r="AL9" s="21">
        <f t="shared" si="0"/>
        <v>2043</v>
      </c>
      <c r="AM9" s="21">
        <f t="shared" si="0"/>
        <v>2044</v>
      </c>
      <c r="AN9" s="21">
        <f t="shared" si="0"/>
        <v>2045</v>
      </c>
      <c r="AO9" s="21">
        <f t="shared" si="0"/>
        <v>2046</v>
      </c>
      <c r="AP9" s="21">
        <f t="shared" si="0"/>
        <v>2047</v>
      </c>
      <c r="AQ9" s="21">
        <f t="shared" si="0"/>
        <v>2048</v>
      </c>
      <c r="AR9" s="21">
        <f t="shared" si="0"/>
        <v>2049</v>
      </c>
      <c r="AS9" s="21">
        <f t="shared" si="0"/>
        <v>2050</v>
      </c>
      <c r="AT9" s="21">
        <f t="shared" ref="AT9" si="1">AS9+1</f>
        <v>2051</v>
      </c>
      <c r="AU9" s="21">
        <f t="shared" ref="AU9" si="2">AT9+1</f>
        <v>2052</v>
      </c>
      <c r="AV9" s="21">
        <f t="shared" ref="AV9" si="3">AU9+1</f>
        <v>2053</v>
      </c>
      <c r="AW9" s="21">
        <f t="shared" ref="AW9" si="4">AV9+1</f>
        <v>2054</v>
      </c>
      <c r="AX9" s="21">
        <f t="shared" ref="AX9" si="5">AW9+1</f>
        <v>2055</v>
      </c>
      <c r="AY9" s="21">
        <f t="shared" ref="AY9" si="6">AX9+1</f>
        <v>2056</v>
      </c>
      <c r="AZ9" s="21">
        <f t="shared" ref="AZ9" si="7">AY9+1</f>
        <v>2057</v>
      </c>
      <c r="BA9" s="21">
        <f t="shared" ref="BA9" si="8">AZ9+1</f>
        <v>2058</v>
      </c>
      <c r="BB9" s="21">
        <f t="shared" ref="BB9:BC9" si="9">BA9+1</f>
        <v>2059</v>
      </c>
      <c r="BC9" s="21">
        <f t="shared" si="9"/>
        <v>2060</v>
      </c>
    </row>
    <row r="10" spans="1:55" s="206" customFormat="1" x14ac:dyDescent="0.15">
      <c r="A10" s="206" t="s">
        <v>12</v>
      </c>
      <c r="B10" s="206" t="s">
        <v>19</v>
      </c>
      <c r="C10" s="206" t="s">
        <v>1</v>
      </c>
      <c r="D10" s="207">
        <v>5.3999999999999999E-2</v>
      </c>
      <c r="E10" s="206">
        <v>1</v>
      </c>
      <c r="F10" s="208" t="str">
        <f>IF(D10=E10,"n/a",IF(OR(C10="battery electric vehicle",C10="natural gas vehicle",C10="plugin hybrid vehicle"),"s-curve","linear"))</f>
        <v>s-curve</v>
      </c>
      <c r="O10" s="206">
        <f>IF($F10="s-curve",$D10+($E10-$D10)*$O$2/(1+EXP($O$3*(COUNT($O$9:O$9)+$O$4))),TREND($D10:$E10,$D$8:$E$8,O$9))</f>
        <v>6.7976233981836304E-2</v>
      </c>
      <c r="P10" s="206">
        <f>IF($F10="s-curve",$D10+($E10-$D10)*$O$2/(1+EXP($O$3*(COUNT($O$9:P$9)+$O$4))),TREND($D10:$E10,$D$8:$E$8,P$9))</f>
        <v>7.2768929224437326E-2</v>
      </c>
      <c r="Q10" s="206">
        <f>IF($F10="s-curve",$D10+($E10-$D10)*$O$2/(1+EXP($O$3*(COUNT($O$9:Q$9)+$O$4))),TREND($D10:$E10,$D$8:$E$8,Q$9))</f>
        <v>7.9160755923715104E-2</v>
      </c>
      <c r="R10" s="206">
        <f>IF($F10="s-curve",$D10+($E10-$D10)*$O$2/(1+EXP($O$3*(COUNT($O$9:R$9)+$O$4))),TREND($D10:$E10,$D$8:$E$8,R$9))</f>
        <v>8.7650345051913825E-2</v>
      </c>
      <c r="S10" s="206">
        <f>IF($F10="s-curve",$D10+($E10-$D10)*$O$2/(1+EXP($O$3*(COUNT($O$9:S$9)+$O$4))),TREND($D10:$E10,$D$8:$E$8,S$9))</f>
        <v>9.8864876025978168E-2</v>
      </c>
      <c r="T10" s="206">
        <f>IF($F10="s-curve",$D10+($E10-$D10)*$O$2/(1+EXP($O$3*(COUNT($O$9:T$9)+$O$4))),TREND($D10:$E10,$D$8:$E$8,T$9))</f>
        <v>0.11357279482991869</v>
      </c>
      <c r="U10" s="206">
        <f>IF($F10="s-curve",$D10+($E10-$D10)*$O$2/(1+EXP($O$3*(COUNT($O$9:U$9)+$O$4))),TREND($D10:$E10,$D$8:$E$8,U$9))</f>
        <v>0.13268137088325055</v>
      </c>
      <c r="V10" s="206">
        <f>IF($F10="s-curve",$D10+($E10-$D10)*$O$2/(1+EXP($O$3*(COUNT($O$9:V$9)+$O$4))),TREND($D10:$E10,$D$8:$E$8,V$9))</f>
        <v>0.15720559285104982</v>
      </c>
      <c r="W10" s="206">
        <f>IF($F10="s-curve",$D10+($E10-$D10)*$O$2/(1+EXP($O$3*(COUNT($O$9:W$9)+$O$4))),TREND($D10:$E10,$D$8:$E$8,W$9))</f>
        <v>0.18819110739586145</v>
      </c>
      <c r="X10" s="206">
        <f>IF($F10="s-curve",$D10+($E10-$D10)*$O$2/(1+EXP($O$3*(COUNT($O$9:X$9)+$O$4))),TREND($D10:$E10,$D$8:$E$8,X$9))</f>
        <v>0.2265745455208131</v>
      </c>
      <c r="Y10" s="206">
        <f>IF($F10="s-curve",$D10+($E10-$D10)*$O$2/(1+EXP($O$3*(COUNT($O$9:Y$9)+$O$4))),TREND($D10:$E10,$D$8:$E$8,Y$9))</f>
        <v>0.2729755548099293</v>
      </c>
      <c r="Z10" s="206">
        <f>IF($F10="s-curve",$D10+($E10-$D10)*$O$2/(1+EXP($O$3*(COUNT($O$9:Z$9)+$O$4))),TREND($D10:$E10,$D$8:$E$8,Z$9))</f>
        <v>0.32744177051674622</v>
      </c>
      <c r="AA10" s="206">
        <f>IF($F10="s-curve",$D10+($E10-$D10)*$O$2/(1+EXP($O$3*(COUNT($O$9:AA$9)+$O$4))),TREND($D10:$E10,$D$8:$E$8,AA$9))</f>
        <v>0.38920913431039744</v>
      </c>
      <c r="AB10" s="206">
        <f>IF($F10="s-curve",$D10+($E10-$D10)*$O$2/(1+EXP($O$3*(COUNT($O$9:AB$9)+$O$4))),TREND($D10:$E10,$D$8:$E$8,AB$9))</f>
        <v>0.45657737909617058</v>
      </c>
      <c r="AC10" s="206">
        <f>IF($F10="s-curve",$D10+($E10-$D10)*$O$2/(1+EXP($O$3*(COUNT($O$9:AC$9)+$O$4))),TREND($D10:$E10,$D$8:$E$8,AC$9))</f>
        <v>0.52700000000000002</v>
      </c>
      <c r="AD10" s="206">
        <f>IF($F10="s-curve",$D10+($E10-$D10)*$O$2/(1+EXP($O$3*(COUNT($O$9:AD$9)+$O$4))),TREND($D10:$E10,$D$8:$E$8,AD$9))</f>
        <v>0.59742262090382947</v>
      </c>
      <c r="AE10" s="206">
        <f>IF($F10="s-curve",$D10+($E10-$D10)*$O$2/(1+EXP($O$3*(COUNT($O$9:AE$9)+$O$4))),TREND($D10:$E10,$D$8:$E$8,AE$9))</f>
        <v>0.66479086568960244</v>
      </c>
      <c r="AF10" s="206">
        <f>IF($F10="s-curve",$D10+($E10-$D10)*$O$2/(1+EXP($O$3*(COUNT($O$9:AF$9)+$O$4))),TREND($D10:$E10,$D$8:$E$8,AF$9))</f>
        <v>0.72655822948325366</v>
      </c>
      <c r="AG10" s="206">
        <f>IF($F10="s-curve",$D10+($E10-$D10)*$O$2/(1+EXP($O$3*(COUNT($O$9:AG$9)+$O$4))),TREND($D10:$E10,$D$8:$E$8,AG$9))</f>
        <v>0.78102444519007064</v>
      </c>
      <c r="AH10" s="206">
        <f>IF($F10="s-curve",$D10+($E10-$D10)*$O$2/(1+EXP($O$3*(COUNT($O$9:AH$9)+$O$4))),TREND($D10:$E10,$D$8:$E$8,AH$9))</f>
        <v>0.82742545447918692</v>
      </c>
      <c r="AI10" s="206">
        <f>IF($F10="s-curve",$D10+($E10-$D10)*$O$2/(1+EXP($O$3*(COUNT($O$9:AI$9)+$O$4))),TREND($D10:$E10,$D$8:$E$8,AI$9))</f>
        <v>0.86580889260413862</v>
      </c>
      <c r="AJ10" s="206">
        <f>IF($F10="s-curve",$D10+($E10-$D10)*$O$2/(1+EXP($O$3*(COUNT($O$9:AJ$9)+$O$4))),TREND($D10:$E10,$D$8:$E$8,AJ$9))</f>
        <v>0.8967944071489502</v>
      </c>
      <c r="AK10" s="206">
        <f>IF($F10="s-curve",$D10+($E10-$D10)*$O$2/(1+EXP($O$3*(COUNT($O$9:AK$9)+$O$4))),TREND($D10:$E10,$D$8:$E$8,AK$9))</f>
        <v>0.92131862911674944</v>
      </c>
      <c r="AL10" s="206">
        <f>IF($F10="s-curve",$D10+($E10-$D10)*$O$2/(1+EXP($O$3*(COUNT($O$9:AL$9)+$O$4))),TREND($D10:$E10,$D$8:$E$8,AL$9))</f>
        <v>0.94042720517008138</v>
      </c>
      <c r="AM10" s="206">
        <f>IF($F10="s-curve",$D10+($E10-$D10)*$O$2/(1+EXP($O$3*(COUNT($O$9:AM$9)+$O$4))),TREND($D10:$E10,$D$8:$E$8,AM$9))</f>
        <v>0.95513512397402189</v>
      </c>
      <c r="AN10" s="206">
        <f>IF($F10="s-curve",$D10+($E10-$D10)*$O$2/(1+EXP($O$3*(COUNT($O$9:AN$9)+$O$4))),TREND($D10:$E10,$D$8:$E$8,AN$9))</f>
        <v>0.96634965494808622</v>
      </c>
      <c r="AO10" s="206">
        <f>IF($F10="s-curve",$D10+($E10-$D10)*$O$2/(1+EXP($O$3*(COUNT($O$9:AO$9)+$O$4))),TREND($D10:$E10,$D$8:$E$8,AO$9))</f>
        <v>0.97483924407628486</v>
      </c>
      <c r="AP10" s="206">
        <f>IF($F10="s-curve",$D10+($E10-$D10)*$O$2/(1+EXP($O$3*(COUNT($O$9:AP$9)+$O$4))),TREND($D10:$E10,$D$8:$E$8,AP$9))</f>
        <v>0.98123107077556271</v>
      </c>
      <c r="AQ10" s="206">
        <f>IF($F10="s-curve",$D10+($E10-$D10)*$O$2/(1+EXP($O$3*(COUNT($O$9:AQ$9)+$O$4))),TREND($D10:$E10,$D$8:$E$8,AQ$9))</f>
        <v>0.98602376601816366</v>
      </c>
      <c r="AR10" s="206">
        <f>IF($F10="s-curve",$D10+($E10-$D10)*$O$2/(1+EXP($O$3*(COUNT($O$9:AR$9)+$O$4))),TREND($D10:$E10,$D$8:$E$8,AR$9))</f>
        <v>0.98960635227145888</v>
      </c>
      <c r="AS10" s="206">
        <f>IF($F10="s-curve",$D10+($E10-$D10)*$O$2/(1+EXP($O$3*(COUNT($O$9:AS$9)+$O$4))),TREND($D10:$E10,$D$8:$E$8,AS$9))</f>
        <v>0.99227820768911079</v>
      </c>
      <c r="AT10" s="206">
        <f>IF($F10="s-curve",$D10+($E10-$D10)*$O$2/(1+EXP($O$3*(COUNT($O$9:AT$9)+$O$4))),TREND($D10:$E10,$D$8:$E$8,AT$9))</f>
        <v>0.99426742778896138</v>
      </c>
      <c r="AU10" s="206">
        <f>IF($F10="s-curve",$D10+($E10-$D10)*$O$2/(1+EXP($O$3*(COUNT($O$9:AU$9)+$O$4))),TREND($D10:$E10,$D$8:$E$8,AU$9))</f>
        <v>0.99574652558974963</v>
      </c>
      <c r="AV10" s="206">
        <f>IF($F10="s-curve",$D10+($E10-$D10)*$O$2/(1+EXP($O$3*(COUNT($O$9:AV$9)+$O$4))),TREND($D10:$E10,$D$8:$E$8,AV$9))</f>
        <v>0.996845272287187</v>
      </c>
      <c r="AW10" s="206">
        <f>IF($F10="s-curve",$D10+($E10-$D10)*$O$2/(1+EXP($O$3*(COUNT($O$9:AW$9)+$O$4))),TREND($D10:$E10,$D$8:$E$8,AW$9))</f>
        <v>0.99766089849382356</v>
      </c>
      <c r="AX10" s="206">
        <f>IF($F10="s-curve",$D10+($E10-$D10)*$O$2/(1+EXP($O$3*(COUNT($O$9:AX$9)+$O$4))),TREND($D10:$E10,$D$8:$E$8,AX$9))</f>
        <v>0.99826603976040185</v>
      </c>
      <c r="AY10" s="206">
        <f>IF($F10="s-curve",$D10+($E10-$D10)*$O$2/(1+EXP($O$3*(COUNT($O$9:AY$9)+$O$4))),TREND($D10:$E10,$D$8:$E$8,AY$9))</f>
        <v>0.99871484012689427</v>
      </c>
      <c r="AZ10" s="206">
        <f>IF($F10="s-curve",$D10+($E10-$D10)*$O$2/(1+EXP($O$3*(COUNT($O$9:AZ$9)+$O$4))),TREND($D10:$E10,$D$8:$E$8,AZ$9))</f>
        <v>0.99904759480419902</v>
      </c>
      <c r="BA10" s="206">
        <f>IF($F10="s-curve",$D10+($E10-$D10)*$O$2/(1+EXP($O$3*(COUNT($O$9:BA$9)+$O$4))),TREND($D10:$E10,$D$8:$E$8,BA$9))</f>
        <v>0.9992942567231905</v>
      </c>
      <c r="BB10" s="206">
        <f>IF($F10="s-curve",$D10+($E10-$D10)*$O$2/(1+EXP($O$3*(COUNT($O$9:BB$9)+$O$4))),TREND($D10:$E10,$D$8:$E$8,BB$9))</f>
        <v>0.99947707140947029</v>
      </c>
      <c r="BC10" s="206">
        <f>IF($F10="s-curve",$D10+($E10-$D10)*$O$2/(1+EXP($O$3*(COUNT($O$9:BC$9)+$O$4))),TREND($D10:$E10,$D$8:$E$8,BC$9))</f>
        <v>0.99961254946192324</v>
      </c>
    </row>
    <row r="11" spans="1:55" x14ac:dyDescent="0.15">
      <c r="C11" t="s">
        <v>2</v>
      </c>
      <c r="D11" s="22">
        <v>2.5000000000000001E-3</v>
      </c>
      <c r="E11" s="22">
        <f>SUM(SUM(INDEX('AEO 39'!$29:$30,0,MATCH($E$9,'AEO 39'!$1:$1,0))),SUM(INDEX('AEO 39'!$51:$52,0,MATCH($E$9,'AEO 39'!$1:$1,0))))/INDEX('AEO 39'!$59:$59,MATCH($E$9,'AEO 39'!$1:$1,0))*Assumptions!$A$11</f>
        <v>1.235369525889815E-3</v>
      </c>
      <c r="F11" s="7" t="str">
        <f>IF(D11=E11,"n/a",IF(OR(C11="battery electric vehicle",C11="natural gas vehicle",C11="plugin hybrid vehicle"),"s-curve","linear"))</f>
        <v>s-curve</v>
      </c>
      <c r="O11" s="22">
        <f t="shared" ref="O11:O42" si="10">D11</f>
        <v>2.5000000000000001E-3</v>
      </c>
      <c r="P11">
        <f>IF($F11="s-curve",$D11+($E11-$D11)*$I$2/(1+EXP($I$3*(COUNT($O$9:P$9)+$I$4))),TREND($D11:$E11,$D$9:$E$9,P$9))</f>
        <v>2.4749093447530225E-3</v>
      </c>
      <c r="Q11">
        <f>IF($F11="s-curve",$D11+($E11-$D11)*$I$2/(1+EXP($I$3*(COUNT($O$9:Q$9)+$I$4))),TREND($D11:$E11,$D$9:$E$9,Q$9))</f>
        <v>2.4663646314029828E-3</v>
      </c>
      <c r="R11">
        <f>IF($F11="s-curve",$D11+($E11-$D11)*$I$2/(1+EXP($I$3*(COUNT($O$9:R$9)+$I$4))),TREND($D11:$E11,$D$9:$E$9,R$9))</f>
        <v>2.455015590045483E-3</v>
      </c>
      <c r="S11">
        <f>IF($F11="s-curve",$D11+($E11-$D11)*$I$2/(1+EXP($I$3*(COUNT($O$9:S$9)+$I$4))),TREND($D11:$E11,$D$9:$E$9,S$9))</f>
        <v>2.4400237955183642E-3</v>
      </c>
      <c r="T11">
        <f>IF($F11="s-curve",$D11+($E11-$D11)*$I$2/(1+EXP($I$3*(COUNT($O$9:T$9)+$I$4))),TREND($D11:$E11,$D$9:$E$9,T$9))</f>
        <v>2.4203619748733311E-3</v>
      </c>
      <c r="U11">
        <f>IF($F11="s-curve",$D11+($E11-$D11)*$I$2/(1+EXP($I$3*(COUNT($O$9:U$9)+$I$4))),TREND($D11:$E11,$D$9:$E$9,U$9))</f>
        <v>2.3948172733998683E-3</v>
      </c>
      <c r="V11">
        <f>IF($F11="s-curve",$D11+($E11-$D11)*$I$2/(1+EXP($I$3*(COUNT($O$9:V$9)+$I$4))),TREND($D11:$E11,$D$9:$E$9,V$9))</f>
        <v>2.3620328352874781E-3</v>
      </c>
      <c r="W11">
        <f>IF($F11="s-curve",$D11+($E11-$D11)*$I$2/(1+EXP($I$3*(COUNT($O$9:W$9)+$I$4))),TREND($D11:$E11,$D$9:$E$9,W$9))</f>
        <v>2.3206108205418617E-3</v>
      </c>
      <c r="X11">
        <f>IF($F11="s-curve",$D11+($E11-$D11)*$I$2/(1+EXP($I$3*(COUNT($O$9:X$9)+$I$4))),TREND($D11:$E11,$D$9:$E$9,X$9))</f>
        <v>2.2692991233389686E-3</v>
      </c>
      <c r="Y11">
        <f>IF($F11="s-curve",$D11+($E11-$D11)*$I$2/(1+EXP($I$3*(COUNT($O$9:Y$9)+$I$4))),TREND($D11:$E11,$D$9:$E$9,Y$9))</f>
        <v>2.2072693872116052E-3</v>
      </c>
      <c r="Z11">
        <f>IF($F11="s-curve",$D11+($E11-$D11)*$I$2/(1+EXP($I$3*(COUNT($O$9:Z$9)+$I$4))),TREND($D11:$E11,$D$9:$E$9,Z$9))</f>
        <v>2.134457932462874E-3</v>
      </c>
      <c r="AA11">
        <f>IF($F11="s-curve",$D11+($E11-$D11)*$I$2/(1+EXP($I$3*(COUNT($O$9:AA$9)+$I$4))),TREND($D11:$E11,$D$9:$E$9,AA$9))</f>
        <v>2.0518861665443735E-3</v>
      </c>
      <c r="AB11">
        <f>IF($F11="s-curve",$D11+($E11-$D11)*$I$2/(1+EXP($I$3*(COUNT($O$9:AB$9)+$I$4))),TREND($D11:$E11,$D$9:$E$9,AB$9))</f>
        <v>1.9618270382743912E-3</v>
      </c>
      <c r="AC11">
        <f>IF($F11="s-curve",$D11+($E11-$D11)*$I$2/(1+EXP($I$3*(COUNT($O$9:AC$9)+$I$4))),TREND($D11:$E11,$D$9:$E$9,AC$9))</f>
        <v>1.8676847629449074E-3</v>
      </c>
      <c r="AD11">
        <f>IF($F11="s-curve",$D11+($E11-$D11)*$I$2/(1+EXP($I$3*(COUNT($O$9:AD$9)+$I$4))),TREND($D11:$E11,$D$9:$E$9,AD$9))</f>
        <v>1.7735424876154236E-3</v>
      </c>
      <c r="AE11">
        <f>IF($F11="s-curve",$D11+($E11-$D11)*$I$2/(1+EXP($I$3*(COUNT($O$9:AE$9)+$I$4))),TREND($D11:$E11,$D$9:$E$9,AE$9))</f>
        <v>1.6834833593454416E-3</v>
      </c>
      <c r="AF11">
        <f>IF($F11="s-curve",$D11+($E11-$D11)*$I$2/(1+EXP($I$3*(COUNT($O$9:AF$9)+$I$4))),TREND($D11:$E11,$D$9:$E$9,AF$9))</f>
        <v>1.6009115934269413E-3</v>
      </c>
      <c r="AG11">
        <f>IF($F11="s-curve",$D11+($E11-$D11)*$I$2/(1+EXP($I$3*(COUNT($O$9:AG$9)+$I$4))),TREND($D11:$E11,$D$9:$E$9,AG$9))</f>
        <v>1.5281001386782101E-3</v>
      </c>
      <c r="AH11">
        <f>IF($F11="s-curve",$D11+($E11-$D11)*$I$2/(1+EXP($I$3*(COUNT($O$9:AH$9)+$I$4))),TREND($D11:$E11,$D$9:$E$9,AH$9))</f>
        <v>1.4660704025508463E-3</v>
      </c>
      <c r="AI11">
        <f>IF($F11="s-curve",$D11+($E11-$D11)*$I$2/(1+EXP($I$3*(COUNT($O$9:AI$9)+$I$4))),TREND($D11:$E11,$D$9:$E$9,AI$9))</f>
        <v>1.4147587053479536E-3</v>
      </c>
      <c r="AJ11">
        <f>IF($F11="s-curve",$D11+($E11-$D11)*$I$2/(1+EXP($I$3*(COUNT($O$9:AJ$9)+$I$4))),TREND($D11:$E11,$D$9:$E$9,AJ$9))</f>
        <v>1.373336690602337E-3</v>
      </c>
      <c r="AK11">
        <f>IF($F11="s-curve",$D11+($E11-$D11)*$I$2/(1+EXP($I$3*(COUNT($O$9:AK$9)+$I$4))),TREND($D11:$E11,$D$9:$E$9,AK$9))</f>
        <v>1.3405522524899465E-3</v>
      </c>
      <c r="AL11">
        <f>IF($F11="s-curve",$D11+($E11-$D11)*$I$2/(1+EXP($I$3*(COUNT($O$9:AL$9)+$I$4))),TREND($D11:$E11,$D$9:$E$9,AL$9))</f>
        <v>1.3150075510164839E-3</v>
      </c>
      <c r="AM11">
        <f>IF($F11="s-curve",$D11+($E11-$D11)*$I$2/(1+EXP($I$3*(COUNT($O$9:AM$9)+$I$4))),TREND($D11:$E11,$D$9:$E$9,AM$9))</f>
        <v>1.2953457303714506E-3</v>
      </c>
      <c r="AN11">
        <f>IF($F11="s-curve",$D11+($E11-$D11)*$I$2/(1+EXP($I$3*(COUNT($O$9:AN$9)+$I$4))),TREND($D11:$E11,$D$9:$E$9,AN$9))</f>
        <v>1.2803539358443321E-3</v>
      </c>
      <c r="AO11">
        <f>IF($F11="s-curve",$D11+($E11-$D11)*$I$2/(1+EXP($I$3*(COUNT($O$9:AO$9)+$I$4))),TREND($D11:$E11,$D$9:$E$9,AO$9))</f>
        <v>1.2690048944868325E-3</v>
      </c>
      <c r="AP11">
        <f>IF($F11="s-curve",$D11+($E11-$D11)*$I$2/(1+EXP($I$3*(COUNT($O$9:AP$9)+$I$4))),TREND($D11:$E11,$D$9:$E$9,AP$9))</f>
        <v>1.2604601811367923E-3</v>
      </c>
      <c r="AQ11">
        <f>IF($F11="s-curve",$D11+($E11-$D11)*$I$2/(1+EXP($I$3*(COUNT($O$9:AQ$9)+$I$4))),TREND($D11:$E11,$D$9:$E$9,AQ$9))</f>
        <v>1.2540532165945979E-3</v>
      </c>
      <c r="AR11">
        <f>IF($F11="s-curve",$D11+($E11-$D11)*$I$2/(1+EXP($I$3*(COUNT($O$9:AR$9)+$I$4))),TREND($D11:$E11,$D$9:$E$9,AR$9))</f>
        <v>1.2492639483577634E-3</v>
      </c>
      <c r="AS11">
        <f>IF($F11="s-curve",$D11+($E11-$D11)*$I$2/(1+EXP($I$3*(COUNT($O$9:AS$9)+$I$4))),TREND($D11:$E11,$D$9:$E$9,AS$9))</f>
        <v>1.2456921621171937E-3</v>
      </c>
      <c r="AT11">
        <f t="shared" ref="AT11:BC74" si="11">AS11</f>
        <v>1.2456921621171937E-3</v>
      </c>
      <c r="AU11">
        <f t="shared" si="11"/>
        <v>1.2456921621171937E-3</v>
      </c>
      <c r="AV11">
        <f t="shared" si="11"/>
        <v>1.2456921621171937E-3</v>
      </c>
      <c r="AW11">
        <f t="shared" si="11"/>
        <v>1.2456921621171937E-3</v>
      </c>
      <c r="AX11">
        <f t="shared" si="11"/>
        <v>1.2456921621171937E-3</v>
      </c>
      <c r="AY11">
        <f t="shared" si="11"/>
        <v>1.2456921621171937E-3</v>
      </c>
      <c r="AZ11">
        <f t="shared" si="11"/>
        <v>1.2456921621171937E-3</v>
      </c>
      <c r="BA11">
        <f t="shared" si="11"/>
        <v>1.2456921621171937E-3</v>
      </c>
      <c r="BB11">
        <f t="shared" si="11"/>
        <v>1.2456921621171937E-3</v>
      </c>
      <c r="BC11">
        <f t="shared" si="11"/>
        <v>1.2456921621171937E-3</v>
      </c>
    </row>
    <row r="12" spans="1:55" x14ac:dyDescent="0.15">
      <c r="C12" t="s">
        <v>3</v>
      </c>
      <c r="D12">
        <v>1</v>
      </c>
      <c r="E12">
        <v>1</v>
      </c>
      <c r="F12" s="7" t="str">
        <f>IF(D12=E12,"n/a",IF(OR(C12="battery electric vehicle",C12="natural gas vehicle",C12="plugin hybrid vehicle"),"s-curve","linear"))</f>
        <v>n/a</v>
      </c>
      <c r="O12" s="22">
        <f t="shared" si="10"/>
        <v>1</v>
      </c>
      <c r="P12">
        <f>IF($F12="s-curve",$D12+($E12-$D12)*$I$2/(1+EXP($I$3*(COUNT($O$9:P$9)+$I$4))),TREND($D12:$E12,$D$9:$E$9,P$9))</f>
        <v>1</v>
      </c>
      <c r="Q12">
        <f>IF($F12="s-curve",$D12+($E12-$D12)*$I$2/(1+EXP($I$3*(COUNT($O$9:Q$9)+$I$4))),TREND($D12:$E12,$D$9:$E$9,Q$9))</f>
        <v>1</v>
      </c>
      <c r="R12">
        <f>IF($F12="s-curve",$D12+($E12-$D12)*$I$2/(1+EXP($I$3*(COUNT($O$9:R$9)+$I$4))),TREND($D12:$E12,$D$9:$E$9,R$9))</f>
        <v>1</v>
      </c>
      <c r="S12">
        <f>IF($F12="s-curve",$D12+($E12-$D12)*$I$2/(1+EXP($I$3*(COUNT($O$9:S$9)+$I$4))),TREND($D12:$E12,$D$9:$E$9,S$9))</f>
        <v>1</v>
      </c>
      <c r="T12">
        <f>IF($F12="s-curve",$D12+($E12-$D12)*$I$2/(1+EXP($I$3*(COUNT($O$9:T$9)+$I$4))),TREND($D12:$E12,$D$9:$E$9,T$9))</f>
        <v>1</v>
      </c>
      <c r="U12">
        <f>IF($F12="s-curve",$D12+($E12-$D12)*$I$2/(1+EXP($I$3*(COUNT($O$9:U$9)+$I$4))),TREND($D12:$E12,$D$9:$E$9,U$9))</f>
        <v>1</v>
      </c>
      <c r="V12">
        <f>IF($F12="s-curve",$D12+($E12-$D12)*$I$2/(1+EXP($I$3*(COUNT($O$9:V$9)+$I$4))),TREND($D12:$E12,$D$9:$E$9,V$9))</f>
        <v>1</v>
      </c>
      <c r="W12">
        <f>IF($F12="s-curve",$D12+($E12-$D12)*$I$2/(1+EXP($I$3*(COUNT($O$9:W$9)+$I$4))),TREND($D12:$E12,$D$9:$E$9,W$9))</f>
        <v>1</v>
      </c>
      <c r="X12">
        <f>IF($F12="s-curve",$D12+($E12-$D12)*$I$2/(1+EXP($I$3*(COUNT($O$9:X$9)+$I$4))),TREND($D12:$E12,$D$9:$E$9,X$9))</f>
        <v>1</v>
      </c>
      <c r="Y12">
        <f>IF($F12="s-curve",$D12+($E12-$D12)*$I$2/(1+EXP($I$3*(COUNT($O$9:Y$9)+$I$4))),TREND($D12:$E12,$D$9:$E$9,Y$9))</f>
        <v>1</v>
      </c>
      <c r="Z12">
        <f>IF($F12="s-curve",$D12+($E12-$D12)*$I$2/(1+EXP($I$3*(COUNT($O$9:Z$9)+$I$4))),TREND($D12:$E12,$D$9:$E$9,Z$9))</f>
        <v>1</v>
      </c>
      <c r="AA12">
        <f>IF($F12="s-curve",$D12+($E12-$D12)*$I$2/(1+EXP($I$3*(COUNT($O$9:AA$9)+$I$4))),TREND($D12:$E12,$D$9:$E$9,AA$9))</f>
        <v>1</v>
      </c>
      <c r="AB12">
        <f>IF($F12="s-curve",$D12+($E12-$D12)*$I$2/(1+EXP($I$3*(COUNT($O$9:AB$9)+$I$4))),TREND($D12:$E12,$D$9:$E$9,AB$9))</f>
        <v>1</v>
      </c>
      <c r="AC12">
        <f>IF($F12="s-curve",$D12+($E12-$D12)*$I$2/(1+EXP($I$3*(COUNT($O$9:AC$9)+$I$4))),TREND($D12:$E12,$D$9:$E$9,AC$9))</f>
        <v>1</v>
      </c>
      <c r="AD12">
        <f>IF($F12="s-curve",$D12+($E12-$D12)*$I$2/(1+EXP($I$3*(COUNT($O$9:AD$9)+$I$4))),TREND($D12:$E12,$D$9:$E$9,AD$9))</f>
        <v>1</v>
      </c>
      <c r="AE12">
        <f>IF($F12="s-curve",$D12+($E12-$D12)*$I$2/(1+EXP($I$3*(COUNT($O$9:AE$9)+$I$4))),TREND($D12:$E12,$D$9:$E$9,AE$9))</f>
        <v>1</v>
      </c>
      <c r="AF12">
        <f>IF($F12="s-curve",$D12+($E12-$D12)*$I$2/(1+EXP($I$3*(COUNT($O$9:AF$9)+$I$4))),TREND($D12:$E12,$D$9:$E$9,AF$9))</f>
        <v>1</v>
      </c>
      <c r="AG12">
        <f>IF($F12="s-curve",$D12+($E12-$D12)*$I$2/(1+EXP($I$3*(COUNT($O$9:AG$9)+$I$4))),TREND($D12:$E12,$D$9:$E$9,AG$9))</f>
        <v>1</v>
      </c>
      <c r="AH12">
        <f>IF($F12="s-curve",$D12+($E12-$D12)*$I$2/(1+EXP($I$3*(COUNT($O$9:AH$9)+$I$4))),TREND($D12:$E12,$D$9:$E$9,AH$9))</f>
        <v>1</v>
      </c>
      <c r="AI12">
        <f>IF($F12="s-curve",$D12+($E12-$D12)*$I$2/(1+EXP($I$3*(COUNT($O$9:AI$9)+$I$4))),TREND($D12:$E12,$D$9:$E$9,AI$9))</f>
        <v>1</v>
      </c>
      <c r="AJ12">
        <f>IF($F12="s-curve",$D12+($E12-$D12)*$I$2/(1+EXP($I$3*(COUNT($O$9:AJ$9)+$I$4))),TREND($D12:$E12,$D$9:$E$9,AJ$9))</f>
        <v>1</v>
      </c>
      <c r="AK12">
        <f>IF($F12="s-curve",$D12+($E12-$D12)*$I$2/(1+EXP($I$3*(COUNT($O$9:AK$9)+$I$4))),TREND($D12:$E12,$D$9:$E$9,AK$9))</f>
        <v>1</v>
      </c>
      <c r="AL12">
        <f>IF($F12="s-curve",$D12+($E12-$D12)*$I$2/(1+EXP($I$3*(COUNT($O$9:AL$9)+$I$4))),TREND($D12:$E12,$D$9:$E$9,AL$9))</f>
        <v>1</v>
      </c>
      <c r="AM12">
        <f>IF($F12="s-curve",$D12+($E12-$D12)*$I$2/(1+EXP($I$3*(COUNT($O$9:AM$9)+$I$4))),TREND($D12:$E12,$D$9:$E$9,AM$9))</f>
        <v>1</v>
      </c>
      <c r="AN12">
        <f>IF($F12="s-curve",$D12+($E12-$D12)*$I$2/(1+EXP($I$3*(COUNT($O$9:AN$9)+$I$4))),TREND($D12:$E12,$D$9:$E$9,AN$9))</f>
        <v>1</v>
      </c>
      <c r="AO12">
        <f>IF($F12="s-curve",$D12+($E12-$D12)*$I$2/(1+EXP($I$3*(COUNT($O$9:AO$9)+$I$4))),TREND($D12:$E12,$D$9:$E$9,AO$9))</f>
        <v>1</v>
      </c>
      <c r="AP12">
        <f>IF($F12="s-curve",$D12+($E12-$D12)*$I$2/(1+EXP($I$3*(COUNT($O$9:AP$9)+$I$4))),TREND($D12:$E12,$D$9:$E$9,AP$9))</f>
        <v>1</v>
      </c>
      <c r="AQ12">
        <f>IF($F12="s-curve",$D12+($E12-$D12)*$I$2/(1+EXP($I$3*(COUNT($O$9:AQ$9)+$I$4))),TREND($D12:$E12,$D$9:$E$9,AQ$9))</f>
        <v>1</v>
      </c>
      <c r="AR12">
        <f>IF($F12="s-curve",$D12+($E12-$D12)*$I$2/(1+EXP($I$3*(COUNT($O$9:AR$9)+$I$4))),TREND($D12:$E12,$D$9:$E$9,AR$9))</f>
        <v>1</v>
      </c>
      <c r="AS12">
        <f>IF($F12="s-curve",$D12+($E12-$D12)*$I$2/(1+EXP($I$3*(COUNT($O$9:AS$9)+$I$4))),TREND($D12:$E12,$D$9:$E$9,AS$9))</f>
        <v>1</v>
      </c>
      <c r="AT12">
        <f t="shared" si="11"/>
        <v>1</v>
      </c>
      <c r="AU12">
        <f t="shared" si="11"/>
        <v>1</v>
      </c>
      <c r="AV12">
        <f t="shared" si="11"/>
        <v>1</v>
      </c>
      <c r="AW12">
        <f t="shared" si="11"/>
        <v>1</v>
      </c>
      <c r="AX12">
        <f t="shared" si="11"/>
        <v>1</v>
      </c>
      <c r="AY12">
        <f t="shared" si="11"/>
        <v>1</v>
      </c>
      <c r="AZ12">
        <f t="shared" si="11"/>
        <v>1</v>
      </c>
      <c r="BA12">
        <f t="shared" si="11"/>
        <v>1</v>
      </c>
      <c r="BB12">
        <f t="shared" si="11"/>
        <v>1</v>
      </c>
      <c r="BC12">
        <f t="shared" si="11"/>
        <v>1</v>
      </c>
    </row>
    <row r="13" spans="1:55" x14ac:dyDescent="0.15">
      <c r="C13" t="s">
        <v>4</v>
      </c>
      <c r="D13" s="22">
        <v>0.01</v>
      </c>
      <c r="E13" s="22">
        <f>SUM(INDEX('AEO 39'!$18:$18,MATCH(E$9,'AEO 39'!$1:$1,0)),INDEX('AEO 39'!$27:$27,MATCH(E$9,'AEO 39'!$1:$1,0)),INDEX('AEO 39'!$40:$40,MATCH(E$9,'AEO 39'!$1:$1,0)),INDEX('AEO 39'!$49:$49,MATCH(E$9,'AEO 39'!$1:$1,0)))/INDEX('AEO 39'!$59:$59,MATCH(E$9,'AEO 39'!$1:$1,0))*Assumptions!A11</f>
        <v>3.0818463927506295E-2</v>
      </c>
      <c r="F13" s="7" t="str">
        <f>IF(D13=E13,"n/a",IF(OR(C13="battery electric vehicle",C13="natural gas vehicle",C13="plugin hybrid vehicle"),"s-curve","linear"))</f>
        <v>linear</v>
      </c>
      <c r="O13" s="22">
        <f t="shared" si="10"/>
        <v>0.01</v>
      </c>
      <c r="P13">
        <f>IF($F13="s-curve",$D13+($E13-$D13)*$I$2/(1+EXP($I$3*(COUNT($O$9:P$9)+$I$4))),TREND($D13:$E13,$D$9:$E$9,P$9))</f>
        <v>1.0693948797583674E-2</v>
      </c>
      <c r="Q13">
        <f>IF($F13="s-curve",$D13+($E13-$D13)*$I$2/(1+EXP($I$3*(COUNT($O$9:Q$9)+$I$4))),TREND($D13:$E13,$D$9:$E$9,Q$9))</f>
        <v>1.1387897595167118E-2</v>
      </c>
      <c r="R13">
        <f>IF($F13="s-curve",$D13+($E13-$D13)*$I$2/(1+EXP($I$3*(COUNT($O$9:R$9)+$I$4))),TREND($D13:$E13,$D$9:$E$9,R$9))</f>
        <v>1.2081846392750784E-2</v>
      </c>
      <c r="S13">
        <f>IF($F13="s-curve",$D13+($E13-$D13)*$I$2/(1+EXP($I$3*(COUNT($O$9:S$9)+$I$4))),TREND($D13:$E13,$D$9:$E$9,S$9))</f>
        <v>1.2775795190334227E-2</v>
      </c>
      <c r="T13">
        <f>IF($F13="s-curve",$D13+($E13-$D13)*$I$2/(1+EXP($I$3*(COUNT($O$9:T$9)+$I$4))),TREND($D13:$E13,$D$9:$E$9,T$9))</f>
        <v>1.3469743987917893E-2</v>
      </c>
      <c r="U13">
        <f>IF($F13="s-curve",$D13+($E13-$D13)*$I$2/(1+EXP($I$3*(COUNT($O$9:U$9)+$I$4))),TREND($D13:$E13,$D$9:$E$9,U$9))</f>
        <v>1.4163692785501336E-2</v>
      </c>
      <c r="V13">
        <f>IF($F13="s-curve",$D13+($E13-$D13)*$I$2/(1+EXP($I$3*(COUNT($O$9:V$9)+$I$4))),TREND($D13:$E13,$D$9:$E$9,V$9))</f>
        <v>1.4857641583085002E-2</v>
      </c>
      <c r="W13">
        <f>IF($F13="s-curve",$D13+($E13-$D13)*$I$2/(1+EXP($I$3*(COUNT($O$9:W$9)+$I$4))),TREND($D13:$E13,$D$9:$E$9,W$9))</f>
        <v>1.5551590380668445E-2</v>
      </c>
      <c r="X13">
        <f>IF($F13="s-curve",$D13+($E13-$D13)*$I$2/(1+EXP($I$3*(COUNT($O$9:X$9)+$I$4))),TREND($D13:$E13,$D$9:$E$9,X$9))</f>
        <v>1.6245539178251889E-2</v>
      </c>
      <c r="Y13">
        <f>IF($F13="s-curve",$D13+($E13-$D13)*$I$2/(1+EXP($I$3*(COUNT($O$9:Y$9)+$I$4))),TREND($D13:$E13,$D$9:$E$9,Y$9))</f>
        <v>1.6939487975835554E-2</v>
      </c>
      <c r="Z13">
        <f>IF($F13="s-curve",$D13+($E13-$D13)*$I$2/(1+EXP($I$3*(COUNT($O$9:Z$9)+$I$4))),TREND($D13:$E13,$D$9:$E$9,Z$9))</f>
        <v>1.7633436773418998E-2</v>
      </c>
      <c r="AA13">
        <f>IF($F13="s-curve",$D13+($E13-$D13)*$I$2/(1+EXP($I$3*(COUNT($O$9:AA$9)+$I$4))),TREND($D13:$E13,$D$9:$E$9,AA$9))</f>
        <v>1.8327385571002663E-2</v>
      </c>
      <c r="AB13">
        <f>IF($F13="s-curve",$D13+($E13-$D13)*$I$2/(1+EXP($I$3*(COUNT($O$9:AB$9)+$I$4))),TREND($D13:$E13,$D$9:$E$9,AB$9))</f>
        <v>1.9021334368586107E-2</v>
      </c>
      <c r="AC13">
        <f>IF($F13="s-curve",$D13+($E13-$D13)*$I$2/(1+EXP($I$3*(COUNT($O$9:AC$9)+$I$4))),TREND($D13:$E13,$D$9:$E$9,AC$9))</f>
        <v>1.9715283166169772E-2</v>
      </c>
      <c r="AD13">
        <f>IF($F13="s-curve",$D13+($E13-$D13)*$I$2/(1+EXP($I$3*(COUNT($O$9:AD$9)+$I$4))),TREND($D13:$E13,$D$9:$E$9,AD$9))</f>
        <v>2.0409231963753216E-2</v>
      </c>
      <c r="AE13">
        <f>IF($F13="s-curve",$D13+($E13-$D13)*$I$2/(1+EXP($I$3*(COUNT($O$9:AE$9)+$I$4))),TREND($D13:$E13,$D$9:$E$9,AE$9))</f>
        <v>2.1103180761336882E-2</v>
      </c>
      <c r="AF13">
        <f>IF($F13="s-curve",$D13+($E13-$D13)*$I$2/(1+EXP($I$3*(COUNT($O$9:AF$9)+$I$4))),TREND($D13:$E13,$D$9:$E$9,AF$9))</f>
        <v>2.1797129558920325E-2</v>
      </c>
      <c r="AG13">
        <f>IF($F13="s-curve",$D13+($E13-$D13)*$I$2/(1+EXP($I$3*(COUNT($O$9:AG$9)+$I$4))),TREND($D13:$E13,$D$9:$E$9,AG$9))</f>
        <v>2.2491078356503991E-2</v>
      </c>
      <c r="AH13">
        <f>IF($F13="s-curve",$D13+($E13-$D13)*$I$2/(1+EXP($I$3*(COUNT($O$9:AH$9)+$I$4))),TREND($D13:$E13,$D$9:$E$9,AH$9))</f>
        <v>2.3185027154087434E-2</v>
      </c>
      <c r="AI13">
        <f>IF($F13="s-curve",$D13+($E13-$D13)*$I$2/(1+EXP($I$3*(COUNT($O$9:AI$9)+$I$4))),TREND($D13:$E13,$D$9:$E$9,AI$9))</f>
        <v>2.3878975951670878E-2</v>
      </c>
      <c r="AJ13">
        <f>IF($F13="s-curve",$D13+($E13-$D13)*$I$2/(1+EXP($I$3*(COUNT($O$9:AJ$9)+$I$4))),TREND($D13:$E13,$D$9:$E$9,AJ$9))</f>
        <v>2.4572924749254543E-2</v>
      </c>
      <c r="AK13">
        <f>IF($F13="s-curve",$D13+($E13-$D13)*$I$2/(1+EXP($I$3*(COUNT($O$9:AK$9)+$I$4))),TREND($D13:$E13,$D$9:$E$9,AK$9))</f>
        <v>2.5266873546837987E-2</v>
      </c>
      <c r="AL13">
        <f>IF($F13="s-curve",$D13+($E13-$D13)*$I$2/(1+EXP($I$3*(COUNT($O$9:AL$9)+$I$4))),TREND($D13:$E13,$D$9:$E$9,AL$9))</f>
        <v>2.5960822344421652E-2</v>
      </c>
      <c r="AM13">
        <f>IF($F13="s-curve",$D13+($E13-$D13)*$I$2/(1+EXP($I$3*(COUNT($O$9:AM$9)+$I$4))),TREND($D13:$E13,$D$9:$E$9,AM$9))</f>
        <v>2.6654771142005096E-2</v>
      </c>
      <c r="AN13">
        <f>IF($F13="s-curve",$D13+($E13-$D13)*$I$2/(1+EXP($I$3*(COUNT($O$9:AN$9)+$I$4))),TREND($D13:$E13,$D$9:$E$9,AN$9))</f>
        <v>2.7348719939588761E-2</v>
      </c>
      <c r="AO13">
        <f>IF($F13="s-curve",$D13+($E13-$D13)*$I$2/(1+EXP($I$3*(COUNT($O$9:AO$9)+$I$4))),TREND($D13:$E13,$D$9:$E$9,AO$9))</f>
        <v>2.8042668737172205E-2</v>
      </c>
      <c r="AP13">
        <f>IF($F13="s-curve",$D13+($E13-$D13)*$I$2/(1+EXP($I$3*(COUNT($O$9:AP$9)+$I$4))),TREND($D13:$E13,$D$9:$E$9,AP$9))</f>
        <v>2.8736617534755871E-2</v>
      </c>
      <c r="AQ13">
        <f>IF($F13="s-curve",$D13+($E13-$D13)*$I$2/(1+EXP($I$3*(COUNT($O$9:AQ$9)+$I$4))),TREND($D13:$E13,$D$9:$E$9,AQ$9))</f>
        <v>2.9430566332339314E-2</v>
      </c>
      <c r="AR13">
        <f>IF($F13="s-curve",$D13+($E13-$D13)*$I$2/(1+EXP($I$3*(COUNT($O$9:AR$9)+$I$4))),TREND($D13:$E13,$D$9:$E$9,AR$9))</f>
        <v>3.0124515129922758E-2</v>
      </c>
      <c r="AS13">
        <f>IF($F13="s-curve",$D13+($E13-$D13)*$I$2/(1+EXP($I$3*(COUNT($O$9:AS$9)+$I$4))),TREND($D13:$E13,$D$9:$E$9,AS$9))</f>
        <v>3.0818463927506423E-2</v>
      </c>
      <c r="AT13">
        <f t="shared" si="11"/>
        <v>3.0818463927506423E-2</v>
      </c>
      <c r="AU13">
        <f t="shared" si="11"/>
        <v>3.0818463927506423E-2</v>
      </c>
      <c r="AV13">
        <f t="shared" si="11"/>
        <v>3.0818463927506423E-2</v>
      </c>
      <c r="AW13">
        <f t="shared" si="11"/>
        <v>3.0818463927506423E-2</v>
      </c>
      <c r="AX13">
        <f t="shared" si="11"/>
        <v>3.0818463927506423E-2</v>
      </c>
      <c r="AY13">
        <f t="shared" si="11"/>
        <v>3.0818463927506423E-2</v>
      </c>
      <c r="AZ13">
        <f t="shared" si="11"/>
        <v>3.0818463927506423E-2</v>
      </c>
      <c r="BA13">
        <f t="shared" si="11"/>
        <v>3.0818463927506423E-2</v>
      </c>
      <c r="BB13">
        <f t="shared" si="11"/>
        <v>3.0818463927506423E-2</v>
      </c>
      <c r="BC13">
        <f t="shared" si="11"/>
        <v>3.0818463927506423E-2</v>
      </c>
    </row>
    <row r="14" spans="1:55" x14ac:dyDescent="0.15">
      <c r="C14" t="s">
        <v>5</v>
      </c>
      <c r="D14" s="22">
        <v>4.4999999999999998E-2</v>
      </c>
      <c r="E14" s="22">
        <f>SUM(SUM(INDEX('AEO 39'!25:26,0,MATCH(E$9,'AEO 39'!$1:$1,0))),SUM(INDEX('AEO 39'!47:48,0,MATCH(E$9,'AEO 39'!$1:$1,0))))/INDEX('AEO 39'!$59:$59,MATCH(E$9,'AEO 39'!$1:$1,0))*Assumptions!A11*2</f>
        <v>0.13109351086063947</v>
      </c>
      <c r="F14" s="7" t="str">
        <f>IF(D14=E14,"n/a",IF(OR(C14="battery electric vehicle",C14="natural gas vehicle",C14="plugin hybrid vehicle",C14="hydrogen vehicle"),"s-curve","linear"))</f>
        <v>s-curve</v>
      </c>
      <c r="O14" s="22">
        <f t="shared" si="10"/>
        <v>4.4999999999999998E-2</v>
      </c>
      <c r="P14">
        <f>IF($F14="s-curve",$D14+($E14-$D14)*$I$2/(1+EXP($I$3*(COUNT($O$9:P$9)+$I$4))),TREND($D14:$E14,$D$9:$E$9,P$9))</f>
        <v>4.6708121577195207E-2</v>
      </c>
      <c r="Q14">
        <f>IF($F14="s-curve",$D14+($E14-$D14)*$I$2/(1+EXP($I$3*(COUNT($O$9:Q$9)+$I$4))),TREND($D14:$E14,$D$9:$E$9,Q$9))</f>
        <v>4.7289828555370256E-2</v>
      </c>
      <c r="R14">
        <f>IF($F14="s-curve",$D14+($E14-$D14)*$I$2/(1+EXP($I$3*(COUNT($O$9:R$9)+$I$4))),TREND($D14:$E14,$D$9:$E$9,R$9))</f>
        <v>4.8062448569969565E-2</v>
      </c>
      <c r="S14">
        <f>IF($F14="s-curve",$D14+($E14-$D14)*$I$2/(1+EXP($I$3*(COUNT($O$9:S$9)+$I$4))),TREND($D14:$E14,$D$9:$E$9,S$9))</f>
        <v>4.9083059927488154E-2</v>
      </c>
      <c r="T14">
        <f>IF($F14="s-curve",$D14+($E14-$D14)*$I$2/(1+EXP($I$3*(COUNT($O$9:T$9)+$I$4))),TREND($D14:$E14,$D$9:$E$9,T$9))</f>
        <v>5.0421597313623945E-2</v>
      </c>
      <c r="U14">
        <f>IF($F14="s-curve",$D14+($E14-$D14)*$I$2/(1+EXP($I$3*(COUNT($O$9:U$9)+$I$4))),TREND($D14:$E14,$D$9:$E$9,U$9))</f>
        <v>5.2160629448908175E-2</v>
      </c>
      <c r="V14">
        <f>IF($F14="s-curve",$D14+($E14-$D14)*$I$2/(1+EXP($I$3*(COUNT($O$9:V$9)+$I$4))),TREND($D14:$E14,$D$9:$E$9,V$9))</f>
        <v>5.4392528360465743E-2</v>
      </c>
      <c r="W14">
        <f>IF($F14="s-curve",$D14+($E14-$D14)*$I$2/(1+EXP($I$3*(COUNT($O$9:W$9)+$I$4))),TREND($D14:$E14,$D$9:$E$9,W$9))</f>
        <v>5.7212456196603423E-2</v>
      </c>
      <c r="X14">
        <f>IF($F14="s-curve",$D14+($E14-$D14)*$I$2/(1+EXP($I$3*(COUNT($O$9:X$9)+$I$4))),TREND($D14:$E14,$D$9:$E$9,X$9))</f>
        <v>6.0705653815080383E-2</v>
      </c>
      <c r="Y14">
        <f>IF($F14="s-curve",$D14+($E14-$D14)*$I$2/(1+EXP($I$3*(COUNT($O$9:Y$9)+$I$4))),TREND($D14:$E14,$D$9:$E$9,Y$9))</f>
        <v>6.4928514065796195E-2</v>
      </c>
      <c r="Z14">
        <f>IF($F14="s-curve",$D14+($E14-$D14)*$I$2/(1+EXP($I$3*(COUNT($O$9:Z$9)+$I$4))),TREND($D14:$E14,$D$9:$E$9,Z$9))</f>
        <v>6.9885372135027463E-2</v>
      </c>
      <c r="AA14">
        <f>IF($F14="s-curve",$D14+($E14-$D14)*$I$2/(1+EXP($I$3*(COUNT($O$9:AA$9)+$I$4))),TREND($D14:$E14,$D$9:$E$9,AA$9))</f>
        <v>7.5506692648348583E-2</v>
      </c>
      <c r="AB14">
        <f>IF($F14="s-curve",$D14+($E14-$D14)*$I$2/(1+EXP($I$3*(COUNT($O$9:AB$9)+$I$4))),TREND($D14:$E14,$D$9:$E$9,AB$9))</f>
        <v>8.1637737800701826E-2</v>
      </c>
      <c r="AC14">
        <f>IF($F14="s-curve",$D14+($E14-$D14)*$I$2/(1+EXP($I$3*(COUNT($O$9:AC$9)+$I$4))),TREND($D14:$E14,$D$9:$E$9,AC$9))</f>
        <v>8.8046755430319729E-2</v>
      </c>
      <c r="AD14">
        <f>IF($F14="s-curve",$D14+($E14-$D14)*$I$2/(1+EXP($I$3*(COUNT($O$9:AD$9)+$I$4))),TREND($D14:$E14,$D$9:$E$9,AD$9))</f>
        <v>9.4455773059937631E-2</v>
      </c>
      <c r="AE14">
        <f>IF($F14="s-curve",$D14+($E14-$D14)*$I$2/(1+EXP($I$3*(COUNT($O$9:AE$9)+$I$4))),TREND($D14:$E14,$D$9:$E$9,AE$9))</f>
        <v>0.10058681821229087</v>
      </c>
      <c r="AF14">
        <f>IF($F14="s-curve",$D14+($E14-$D14)*$I$2/(1+EXP($I$3*(COUNT($O$9:AF$9)+$I$4))),TREND($D14:$E14,$D$9:$E$9,AF$9))</f>
        <v>0.10620813872561199</v>
      </c>
      <c r="AG14">
        <f>IF($F14="s-curve",$D14+($E14-$D14)*$I$2/(1+EXP($I$3*(COUNT($O$9:AG$9)+$I$4))),TREND($D14:$E14,$D$9:$E$9,AG$9))</f>
        <v>0.11116499679484328</v>
      </c>
      <c r="AH14">
        <f>IF($F14="s-curve",$D14+($E14-$D14)*$I$2/(1+EXP($I$3*(COUNT($O$9:AH$9)+$I$4))),TREND($D14:$E14,$D$9:$E$9,AH$9))</f>
        <v>0.11538785704555908</v>
      </c>
      <c r="AI14">
        <f>IF($F14="s-curve",$D14+($E14-$D14)*$I$2/(1+EXP($I$3*(COUNT($O$9:AI$9)+$I$4))),TREND($D14:$E14,$D$9:$E$9,AI$9))</f>
        <v>0.11888105466403606</v>
      </c>
      <c r="AJ14">
        <f>IF($F14="s-curve",$D14+($E14-$D14)*$I$2/(1+EXP($I$3*(COUNT($O$9:AJ$9)+$I$4))),TREND($D14:$E14,$D$9:$E$9,AJ$9))</f>
        <v>0.12170098250017373</v>
      </c>
      <c r="AK14">
        <f>IF($F14="s-curve",$D14+($E14-$D14)*$I$2/(1+EXP($I$3*(COUNT($O$9:AK$9)+$I$4))),TREND($D14:$E14,$D$9:$E$9,AK$9))</f>
        <v>0.1239328814117313</v>
      </c>
      <c r="AL14">
        <f>IF($F14="s-curve",$D14+($E14-$D14)*$I$2/(1+EXP($I$3*(COUNT($O$9:AL$9)+$I$4))),TREND($D14:$E14,$D$9:$E$9,AL$9))</f>
        <v>0.12567191354701551</v>
      </c>
      <c r="AM14">
        <f>IF($F14="s-curve",$D14+($E14-$D14)*$I$2/(1+EXP($I$3*(COUNT($O$9:AM$9)+$I$4))),TREND($D14:$E14,$D$9:$E$9,AM$9))</f>
        <v>0.12701045093315133</v>
      </c>
      <c r="AN14">
        <f>IF($F14="s-curve",$D14+($E14-$D14)*$I$2/(1+EXP($I$3*(COUNT($O$9:AN$9)+$I$4))),TREND($D14:$E14,$D$9:$E$9,AN$9))</f>
        <v>0.12803106229066991</v>
      </c>
      <c r="AO14">
        <f>IF($F14="s-curve",$D14+($E14-$D14)*$I$2/(1+EXP($I$3*(COUNT($O$9:AO$9)+$I$4))),TREND($D14:$E14,$D$9:$E$9,AO$9))</f>
        <v>0.1288036823052692</v>
      </c>
      <c r="AP14">
        <f>IF($F14="s-curve",$D14+($E14-$D14)*$I$2/(1+EXP($I$3*(COUNT($O$9:AP$9)+$I$4))),TREND($D14:$E14,$D$9:$E$9,AP$9))</f>
        <v>0.12938538928344429</v>
      </c>
      <c r="AQ14">
        <f>IF($F14="s-curve",$D14+($E14-$D14)*$I$2/(1+EXP($I$3*(COUNT($O$9:AQ$9)+$I$4))),TREND($D14:$E14,$D$9:$E$9,AQ$9))</f>
        <v>0.12982156260259925</v>
      </c>
      <c r="AR14">
        <f>IF($F14="s-curve",$D14+($E14-$D14)*$I$2/(1+EXP($I$3*(COUNT($O$9:AR$9)+$I$4))),TREND($D14:$E14,$D$9:$E$9,AR$9))</f>
        <v>0.13014760639594727</v>
      </c>
      <c r="AS14">
        <f>IF($F14="s-curve",$D14+($E14-$D14)*$I$2/(1+EXP($I$3*(COUNT($O$9:AS$9)+$I$4))),TREND($D14:$E14,$D$9:$E$9,AS$9))</f>
        <v>0.13039076645241415</v>
      </c>
      <c r="AT14">
        <f t="shared" si="11"/>
        <v>0.13039076645241415</v>
      </c>
      <c r="AU14">
        <f t="shared" si="11"/>
        <v>0.13039076645241415</v>
      </c>
      <c r="AV14">
        <f t="shared" si="11"/>
        <v>0.13039076645241415</v>
      </c>
      <c r="AW14">
        <f t="shared" si="11"/>
        <v>0.13039076645241415</v>
      </c>
      <c r="AX14">
        <f t="shared" si="11"/>
        <v>0.13039076645241415</v>
      </c>
      <c r="AY14">
        <f t="shared" si="11"/>
        <v>0.13039076645241415</v>
      </c>
      <c r="AZ14">
        <f t="shared" si="11"/>
        <v>0.13039076645241415</v>
      </c>
      <c r="BA14">
        <f t="shared" si="11"/>
        <v>0.13039076645241415</v>
      </c>
      <c r="BB14">
        <f t="shared" si="11"/>
        <v>0.13039076645241415</v>
      </c>
      <c r="BC14">
        <f t="shared" si="11"/>
        <v>0.13039076645241415</v>
      </c>
    </row>
    <row r="15" spans="1:55" x14ac:dyDescent="0.15">
      <c r="C15" t="s">
        <v>125</v>
      </c>
      <c r="D15" s="22">
        <v>0</v>
      </c>
      <c r="E15" s="22">
        <v>0</v>
      </c>
      <c r="F15" s="7" t="str">
        <f>IF(D15=E15,"n/a",IF(OR(C15="battery electric vehicle",C15="natural gas vehicle",C15="plugin hybrid vehicle",C15="hydrogen vehicle"),"s-curve","linear"))</f>
        <v>n/a</v>
      </c>
      <c r="O15" s="22">
        <f t="shared" si="10"/>
        <v>0</v>
      </c>
      <c r="P15">
        <f>IF($F15="s-curve",$D15+($E15-$D15)*$I$2/(1+EXP($I$3*(COUNT($O$9:P$9)+$I$4))),TREND($D15:$E15,$D$9:$E$9,P$9))</f>
        <v>0</v>
      </c>
      <c r="Q15">
        <f>IF($F15="s-curve",$D15+($E15-$D15)*$I$2/(1+EXP($I$3*(COUNT($O$9:Q$9)+$I$4))),TREND($D15:$E15,$D$9:$E$9,Q$9))</f>
        <v>0</v>
      </c>
      <c r="R15">
        <f>IF($F15="s-curve",$D15+($E15-$D15)*$I$2/(1+EXP($I$3*(COUNT($O$9:R$9)+$I$4))),TREND($D15:$E15,$D$9:$E$9,R$9))</f>
        <v>0</v>
      </c>
      <c r="S15">
        <f>IF($F15="s-curve",$D15+($E15-$D15)*$I$2/(1+EXP($I$3*(COUNT($O$9:S$9)+$I$4))),TREND($D15:$E15,$D$9:$E$9,S$9))</f>
        <v>0</v>
      </c>
      <c r="T15">
        <f>IF($F15="s-curve",$D15+($E15-$D15)*$I$2/(1+EXP($I$3*(COUNT($O$9:T$9)+$I$4))),TREND($D15:$E15,$D$9:$E$9,T$9))</f>
        <v>0</v>
      </c>
      <c r="U15">
        <f>IF($F15="s-curve",$D15+($E15-$D15)*$I$2/(1+EXP($I$3*(COUNT($O$9:U$9)+$I$4))),TREND($D15:$E15,$D$9:$E$9,U$9))</f>
        <v>0</v>
      </c>
      <c r="V15">
        <f>IF($F15="s-curve",$D15+($E15-$D15)*$I$2/(1+EXP($I$3*(COUNT($O$9:V$9)+$I$4))),TREND($D15:$E15,$D$9:$E$9,V$9))</f>
        <v>0</v>
      </c>
      <c r="W15">
        <f>IF($F15="s-curve",$D15+($E15-$D15)*$I$2/(1+EXP($I$3*(COUNT($O$9:W$9)+$I$4))),TREND($D15:$E15,$D$9:$E$9,W$9))</f>
        <v>0</v>
      </c>
      <c r="X15">
        <f>IF($F15="s-curve",$D15+($E15-$D15)*$I$2/(1+EXP($I$3*(COUNT($O$9:X$9)+$I$4))),TREND($D15:$E15,$D$9:$E$9,X$9))</f>
        <v>0</v>
      </c>
      <c r="Y15">
        <f>IF($F15="s-curve",$D15+($E15-$D15)*$I$2/(1+EXP($I$3*(COUNT($O$9:Y$9)+$I$4))),TREND($D15:$E15,$D$9:$E$9,Y$9))</f>
        <v>0</v>
      </c>
      <c r="Z15">
        <f>IF($F15="s-curve",$D15+($E15-$D15)*$I$2/(1+EXP($I$3*(COUNT($O$9:Z$9)+$I$4))),TREND($D15:$E15,$D$9:$E$9,Z$9))</f>
        <v>0</v>
      </c>
      <c r="AA15">
        <f>IF($F15="s-curve",$D15+($E15-$D15)*$I$2/(1+EXP($I$3*(COUNT($O$9:AA$9)+$I$4))),TREND($D15:$E15,$D$9:$E$9,AA$9))</f>
        <v>0</v>
      </c>
      <c r="AB15">
        <f>IF($F15="s-curve",$D15+($E15-$D15)*$I$2/(1+EXP($I$3*(COUNT($O$9:AB$9)+$I$4))),TREND($D15:$E15,$D$9:$E$9,AB$9))</f>
        <v>0</v>
      </c>
      <c r="AC15">
        <f>IF($F15="s-curve",$D15+($E15-$D15)*$I$2/(1+EXP($I$3*(COUNT($O$9:AC$9)+$I$4))),TREND($D15:$E15,$D$9:$E$9,AC$9))</f>
        <v>0</v>
      </c>
      <c r="AD15">
        <f>IF($F15="s-curve",$D15+($E15-$D15)*$I$2/(1+EXP($I$3*(COUNT($O$9:AD$9)+$I$4))),TREND($D15:$E15,$D$9:$E$9,AD$9))</f>
        <v>0</v>
      </c>
      <c r="AE15">
        <f>IF($F15="s-curve",$D15+($E15-$D15)*$I$2/(1+EXP($I$3*(COUNT($O$9:AE$9)+$I$4))),TREND($D15:$E15,$D$9:$E$9,AE$9))</f>
        <v>0</v>
      </c>
      <c r="AF15">
        <f>IF($F15="s-curve",$D15+($E15-$D15)*$I$2/(1+EXP($I$3*(COUNT($O$9:AF$9)+$I$4))),TREND($D15:$E15,$D$9:$E$9,AF$9))</f>
        <v>0</v>
      </c>
      <c r="AG15">
        <f>IF($F15="s-curve",$D15+($E15-$D15)*$I$2/(1+EXP($I$3*(COUNT($O$9:AG$9)+$I$4))),TREND($D15:$E15,$D$9:$E$9,AG$9))</f>
        <v>0</v>
      </c>
      <c r="AH15">
        <f>IF($F15="s-curve",$D15+($E15-$D15)*$I$2/(1+EXP($I$3*(COUNT($O$9:AH$9)+$I$4))),TREND($D15:$E15,$D$9:$E$9,AH$9))</f>
        <v>0</v>
      </c>
      <c r="AI15">
        <f>IF($F15="s-curve",$D15+($E15-$D15)*$I$2/(1+EXP($I$3*(COUNT($O$9:AI$9)+$I$4))),TREND($D15:$E15,$D$9:$E$9,AI$9))</f>
        <v>0</v>
      </c>
      <c r="AJ15">
        <f>IF($F15="s-curve",$D15+($E15-$D15)*$I$2/(1+EXP($I$3*(COUNT($O$9:AJ$9)+$I$4))),TREND($D15:$E15,$D$9:$E$9,AJ$9))</f>
        <v>0</v>
      </c>
      <c r="AK15">
        <f>IF($F15="s-curve",$D15+($E15-$D15)*$I$2/(1+EXP($I$3*(COUNT($O$9:AK$9)+$I$4))),TREND($D15:$E15,$D$9:$E$9,AK$9))</f>
        <v>0</v>
      </c>
      <c r="AL15">
        <f>IF($F15="s-curve",$D15+($E15-$D15)*$I$2/(1+EXP($I$3*(COUNT($O$9:AL$9)+$I$4))),TREND($D15:$E15,$D$9:$E$9,AL$9))</f>
        <v>0</v>
      </c>
      <c r="AM15">
        <f>IF($F15="s-curve",$D15+($E15-$D15)*$I$2/(1+EXP($I$3*(COUNT($O$9:AM$9)+$I$4))),TREND($D15:$E15,$D$9:$E$9,AM$9))</f>
        <v>0</v>
      </c>
      <c r="AN15">
        <f>IF($F15="s-curve",$D15+($E15-$D15)*$I$2/(1+EXP($I$3*(COUNT($O$9:AN$9)+$I$4))),TREND($D15:$E15,$D$9:$E$9,AN$9))</f>
        <v>0</v>
      </c>
      <c r="AO15">
        <f>IF($F15="s-curve",$D15+($E15-$D15)*$I$2/(1+EXP($I$3*(COUNT($O$9:AO$9)+$I$4))),TREND($D15:$E15,$D$9:$E$9,AO$9))</f>
        <v>0</v>
      </c>
      <c r="AP15">
        <f>IF($F15="s-curve",$D15+($E15-$D15)*$I$2/(1+EXP($I$3*(COUNT($O$9:AP$9)+$I$4))),TREND($D15:$E15,$D$9:$E$9,AP$9))</f>
        <v>0</v>
      </c>
      <c r="AQ15">
        <f>IF($F15="s-curve",$D15+($E15-$D15)*$I$2/(1+EXP($I$3*(COUNT($O$9:AQ$9)+$I$4))),TREND($D15:$E15,$D$9:$E$9,AQ$9))</f>
        <v>0</v>
      </c>
      <c r="AR15">
        <f>IF($F15="s-curve",$D15+($E15-$D15)*$I$2/(1+EXP($I$3*(COUNT($O$9:AR$9)+$I$4))),TREND($D15:$E15,$D$9:$E$9,AR$9))</f>
        <v>0</v>
      </c>
      <c r="AS15">
        <f>IF($F15="s-curve",$D15+($E15-$D15)*$I$2/(1+EXP($I$3*(COUNT($O$9:AS$9)+$I$4))),TREND($D15:$E15,$D$9:$E$9,AS$9))</f>
        <v>0</v>
      </c>
      <c r="AT15">
        <f t="shared" si="11"/>
        <v>0</v>
      </c>
      <c r="AU15">
        <f t="shared" si="11"/>
        <v>0</v>
      </c>
      <c r="AV15">
        <f t="shared" si="11"/>
        <v>0</v>
      </c>
      <c r="AW15">
        <f t="shared" si="11"/>
        <v>0</v>
      </c>
      <c r="AX15">
        <f t="shared" si="11"/>
        <v>0</v>
      </c>
      <c r="AY15">
        <f t="shared" si="11"/>
        <v>0</v>
      </c>
      <c r="AZ15">
        <f t="shared" si="11"/>
        <v>0</v>
      </c>
      <c r="BA15">
        <f t="shared" si="11"/>
        <v>0</v>
      </c>
      <c r="BB15">
        <f t="shared" si="11"/>
        <v>0</v>
      </c>
      <c r="BC15">
        <f t="shared" si="11"/>
        <v>0</v>
      </c>
    </row>
    <row r="16" spans="1:55" s="214" customFormat="1" ht="13.6" thickBot="1" x14ac:dyDescent="0.2">
      <c r="A16" s="210"/>
      <c r="B16" s="210"/>
      <c r="C16" s="210" t="s">
        <v>126</v>
      </c>
      <c r="D16" s="212">
        <v>0</v>
      </c>
      <c r="E16" s="212">
        <v>0.6</v>
      </c>
      <c r="F16" s="213" t="str">
        <f>IF(D16=E16,"n/a",IF(OR(C16="battery electric vehicle",C16="natural gas vehicle",C16="plugin hybrid vehicle",C16="hydrogen vehicle"),"s-curve","linear"))</f>
        <v>s-curve</v>
      </c>
      <c r="O16" s="211">
        <f t="shared" si="10"/>
        <v>0</v>
      </c>
      <c r="P16" s="214">
        <f>IF($F16="s-curve",$D16+($E16-$D16)*$I$2/(1+EXP($I$3*(COUNT($O$9:P$9)+$I$4))),TREND($D16:$E16,$D$9:$E$9,P$9))</f>
        <v>1.1904183440446504E-2</v>
      </c>
      <c r="Q16" s="214">
        <f>IF($F16="s-curve",$D16+($E16-$D16)*$I$2/(1+EXP($I$3*(COUNT($O$9:Q$9)+$I$4))),TREND($D16:$E16,$D$9:$E$9,Q$9))</f>
        <v>1.5958196146119517E-2</v>
      </c>
      <c r="R16" s="214">
        <f>IF($F16="s-curve",$D16+($E16-$D16)*$I$2/(1+EXP($I$3*(COUNT($O$9:R$9)+$I$4))),TREND($D16:$E16,$D$9:$E$9,R$9))</f>
        <v>2.1342713563581705E-2</v>
      </c>
      <c r="S16" s="214">
        <f>IF($F16="s-curve",$D16+($E16-$D16)*$I$2/(1+EXP($I$3*(COUNT($O$9:S$9)+$I$4))),TREND($D16:$E16,$D$9:$E$9,S$9))</f>
        <v>2.8455523906540069E-2</v>
      </c>
      <c r="T16" s="214">
        <f>IF($F16="s-curve",$D16+($E16-$D16)*$I$2/(1+EXP($I$3*(COUNT($O$9:T$9)+$I$4))),TREND($D16:$E16,$D$9:$E$9,T$9))</f>
        <v>3.7784013634197901E-2</v>
      </c>
      <c r="U16" s="214">
        <f>IF($F16="s-curve",$D16+($E16-$D16)*$I$2/(1+EXP($I$3*(COUNT($O$9:U$9)+$I$4))),TREND($D16:$E16,$D$9:$E$9,U$9))</f>
        <v>4.9903617896353419E-2</v>
      </c>
      <c r="V16" s="214">
        <f>IF($F16="s-curve",$D16+($E16-$D16)*$I$2/(1+EXP($I$3*(COUNT($O$9:V$9)+$I$4))),TREND($D16:$E16,$D$9:$E$9,V$9))</f>
        <v>6.5458092717367744E-2</v>
      </c>
      <c r="W16" s="214">
        <f>IF($F16="s-curve",$D16+($E16-$D16)*$I$2/(1+EXP($I$3*(COUNT($O$9:W$9)+$I$4))),TREND($D16:$E16,$D$9:$E$9,W$9))</f>
        <v>8.5110638940292693E-2</v>
      </c>
      <c r="X16" s="214">
        <f>IF($F16="s-curve",$D16+($E16-$D16)*$I$2/(1+EXP($I$3*(COUNT($O$9:X$9)+$I$4))),TREND($D16:$E16,$D$9:$E$9,X$9))</f>
        <v>0.1094553142838138</v>
      </c>
      <c r="Y16" s="214">
        <f>IF($F16="s-curve",$D16+($E16-$D16)*$I$2/(1+EXP($I$3*(COUNT($O$9:Y$9)+$I$4))),TREND($D16:$E16,$D$9:$E$9,Y$9))</f>
        <v>0.1388851299005894</v>
      </c>
      <c r="Z16" s="214">
        <f>IF($F16="s-curve",$D16+($E16-$D16)*$I$2/(1+EXP($I$3*(COUNT($O$9:Z$9)+$I$4))),TREND($D16:$E16,$D$9:$E$9,Z$9))</f>
        <v>0.17343029842499763</v>
      </c>
      <c r="AA16" s="214">
        <f>IF($F16="s-curve",$D16+($E16-$D16)*$I$2/(1+EXP($I$3*(COUNT($O$9:AA$9)+$I$4))),TREND($D16:$E16,$D$9:$E$9,AA$9))</f>
        <v>0.21260621626452272</v>
      </c>
      <c r="AB16" s="214">
        <f>IF($F16="s-curve",$D16+($E16-$D16)*$I$2/(1+EXP($I$3*(COUNT($O$9:AB$9)+$I$4))),TREND($D16:$E16,$D$9:$E$9,AB$9))</f>
        <v>0.25533448991300461</v>
      </c>
      <c r="AC16" s="214">
        <f>IF($F16="s-curve",$D16+($E16-$D16)*$I$2/(1+EXP($I$3*(COUNT($O$9:AC$9)+$I$4))),TREND($D16:$E16,$D$9:$E$9,AC$9))</f>
        <v>0.3</v>
      </c>
      <c r="AD16" s="214">
        <f>IF($F16="s-curve",$D16+($E16-$D16)*$I$2/(1+EXP($I$3*(COUNT($O$9:AD$9)+$I$4))),TREND($D16:$E16,$D$9:$E$9,AD$9))</f>
        <v>0.34466551008699542</v>
      </c>
      <c r="AE16" s="214">
        <f>IF($F16="s-curve",$D16+($E16-$D16)*$I$2/(1+EXP($I$3*(COUNT($O$9:AE$9)+$I$4))),TREND($D16:$E16,$D$9:$E$9,AE$9))</f>
        <v>0.38739378373547723</v>
      </c>
      <c r="AF16" s="214">
        <f>IF($F16="s-curve",$D16+($E16-$D16)*$I$2/(1+EXP($I$3*(COUNT($O$9:AF$9)+$I$4))),TREND($D16:$E16,$D$9:$E$9,AF$9))</f>
        <v>0.42656970157500235</v>
      </c>
      <c r="AG16" s="214">
        <f>IF($F16="s-curve",$D16+($E16-$D16)*$I$2/(1+EXP($I$3*(COUNT($O$9:AG$9)+$I$4))),TREND($D16:$E16,$D$9:$E$9,AG$9))</f>
        <v>0.46111487009941055</v>
      </c>
      <c r="AH16" s="214">
        <f>IF($F16="s-curve",$D16+($E16-$D16)*$I$2/(1+EXP($I$3*(COUNT($O$9:AH$9)+$I$4))),TREND($D16:$E16,$D$9:$E$9,AH$9))</f>
        <v>0.49054468571618615</v>
      </c>
      <c r="AI16" s="214">
        <f>IF($F16="s-curve",$D16+($E16-$D16)*$I$2/(1+EXP($I$3*(COUNT($O$9:AI$9)+$I$4))),TREND($D16:$E16,$D$9:$E$9,AI$9))</f>
        <v>0.5148893610597074</v>
      </c>
      <c r="AJ16" s="214">
        <f>IF($F16="s-curve",$D16+($E16-$D16)*$I$2/(1+EXP($I$3*(COUNT($O$9:AJ$9)+$I$4))),TREND($D16:$E16,$D$9:$E$9,AJ$9))</f>
        <v>0.53454190728263229</v>
      </c>
      <c r="AK16" s="214">
        <f>IF($F16="s-curve",$D16+($E16-$D16)*$I$2/(1+EXP($I$3*(COUNT($O$9:AK$9)+$I$4))),TREND($D16:$E16,$D$9:$E$9,AK$9))</f>
        <v>0.55009638210364653</v>
      </c>
      <c r="AL16" s="214">
        <f>IF($F16="s-curve",$D16+($E16-$D16)*$I$2/(1+EXP($I$3*(COUNT($O$9:AL$9)+$I$4))),TREND($D16:$E16,$D$9:$E$9,AL$9))</f>
        <v>0.56221598636580206</v>
      </c>
      <c r="AM16" s="214">
        <f>IF($F16="s-curve",$D16+($E16-$D16)*$I$2/(1+EXP($I$3*(COUNT($O$9:AM$9)+$I$4))),TREND($D16:$E16,$D$9:$E$9,AM$9))</f>
        <v>0.57154447609345993</v>
      </c>
      <c r="AN16" s="214">
        <f>IF($F16="s-curve",$D16+($E16-$D16)*$I$2/(1+EXP($I$3*(COUNT($O$9:AN$9)+$I$4))),TREND($D16:$E16,$D$9:$E$9,AN$9))</f>
        <v>0.57865728643641834</v>
      </c>
      <c r="AO16" s="214">
        <f>IF($F16="s-curve",$D16+($E16-$D16)*$I$2/(1+EXP($I$3*(COUNT($O$9:AO$9)+$I$4))),TREND($D16:$E16,$D$9:$E$9,AO$9))</f>
        <v>0.58404180385388038</v>
      </c>
      <c r="AP16" s="214">
        <f>IF($F16="s-curve",$D16+($E16-$D16)*$I$2/(1+EXP($I$3*(COUNT($O$9:AP$9)+$I$4))),TREND($D16:$E16,$D$9:$E$9,AP$9))</f>
        <v>0.58809581655955345</v>
      </c>
      <c r="AQ16" s="214">
        <f>IF($F16="s-curve",$D16+($E16-$D16)*$I$2/(1+EXP($I$3*(COUNT($O$9:AQ$9)+$I$4))),TREND($D16:$E16,$D$9:$E$9,AQ$9))</f>
        <v>0.59113558098403618</v>
      </c>
      <c r="AR16" s="214">
        <f>IF($F16="s-curve",$D16+($E16-$D16)*$I$2/(1+EXP($I$3*(COUNT($O$9:AR$9)+$I$4))),TREND($D16:$E16,$D$9:$E$9,AR$9))</f>
        <v>0.59340783442164413</v>
      </c>
      <c r="AS16" s="214">
        <f>IF($F16="s-curve",$D16+($E16-$D16)*$I$2/(1+EXP($I$3*(COUNT($O$9:AS$9)+$I$4))),TREND($D16:$E16,$D$9:$E$9,AS$9))</f>
        <v>0.59510245730810407</v>
      </c>
      <c r="AT16" s="214">
        <f t="shared" si="11"/>
        <v>0.59510245730810407</v>
      </c>
      <c r="AU16" s="214">
        <f t="shared" si="11"/>
        <v>0.59510245730810407</v>
      </c>
      <c r="AV16" s="214">
        <f t="shared" si="11"/>
        <v>0.59510245730810407</v>
      </c>
      <c r="AW16" s="214">
        <f t="shared" si="11"/>
        <v>0.59510245730810407</v>
      </c>
      <c r="AX16" s="214">
        <f t="shared" si="11"/>
        <v>0.59510245730810407</v>
      </c>
      <c r="AY16" s="214">
        <f t="shared" si="11"/>
        <v>0.59510245730810407</v>
      </c>
      <c r="AZ16" s="214">
        <f t="shared" si="11"/>
        <v>0.59510245730810407</v>
      </c>
      <c r="BA16" s="214">
        <f t="shared" si="11"/>
        <v>0.59510245730810407</v>
      </c>
      <c r="BB16" s="214">
        <f t="shared" si="11"/>
        <v>0.59510245730810407</v>
      </c>
      <c r="BC16" s="214">
        <f t="shared" si="11"/>
        <v>0.59510245730810407</v>
      </c>
    </row>
    <row r="17" spans="1:55" s="206" customFormat="1" x14ac:dyDescent="0.15">
      <c r="A17" s="206" t="s">
        <v>12</v>
      </c>
      <c r="B17" s="206" t="s">
        <v>18</v>
      </c>
      <c r="C17" s="206" t="s">
        <v>1</v>
      </c>
      <c r="D17" s="207">
        <v>1.0999999999999999E-2</v>
      </c>
      <c r="E17" s="206">
        <f>E10</f>
        <v>1</v>
      </c>
      <c r="F17" s="208" t="str">
        <f>IF(D17=E17,"n/a",IF(OR(C17="battery electric vehicle",C17="natural gas vehicle",C17="plugin hybrid vehicle"),"s-curve","linear"))</f>
        <v>s-curve</v>
      </c>
      <c r="O17" s="207">
        <f t="shared" si="10"/>
        <v>1.0999999999999999E-2</v>
      </c>
      <c r="P17" s="206">
        <f>IF($F17="s-curve",$D17+($E17-$D17)*$P$2/(1+EXP($P$3*(COUNT($O$9:P$9)+$P$4))),TREND($D17:$E17,$D$9:$E$9,P$9))</f>
        <v>2.8788361652508553E-2</v>
      </c>
      <c r="Q17" s="206">
        <f>IF($F17="s-curve",$D17+($E17-$D17)*$P$2/(1+EXP($P$3*(COUNT($O$9:Q$9)+$P$4))),TREND($D17:$E17,$D$9:$E$9,Q$9))</f>
        <v>3.3724618841015332E-2</v>
      </c>
      <c r="R17" s="206">
        <f>IF($F17="s-curve",$D17+($E17-$D17)*$P$2/(1+EXP($P$3*(COUNT($O$9:R$9)+$P$4))),TREND($D17:$E17,$D$9:$E$9,R$9))</f>
        <v>3.99897962130914E-2</v>
      </c>
      <c r="S17" s="206">
        <f>IF($F17="s-curve",$D17+($E17-$D17)*$P$2/(1+EXP($P$3*(COUNT($O$9:S$9)+$P$4))),TREND($D17:$E17,$D$9:$E$9,S$9))</f>
        <v>4.7916291583344039E-2</v>
      </c>
      <c r="T17" s="206">
        <f>IF($F17="s-curve",$D17+($E17-$D17)*$P$2/(1+EXP($P$3*(COUNT($O$9:T$9)+$P$4))),TREND($D17:$E17,$D$9:$E$9,T$9))</f>
        <v>5.7904188572613549E-2</v>
      </c>
      <c r="U17" s="206">
        <f>IF($F17="s-curve",$D17+($E17-$D17)*$P$2/(1+EXP($P$3*(COUNT($O$9:U$9)+$P$4))),TREND($D17:$E17,$D$9:$E$9,U$9))</f>
        <v>7.0425697022093545E-2</v>
      </c>
      <c r="V17" s="206">
        <f>IF($F17="s-curve",$D17+($E17-$D17)*$P$2/(1+EXP($P$3*(COUNT($O$9:V$9)+$P$4))),TREND($D17:$E17,$D$9:$E$9,V$9))</f>
        <v>8.6023740041009863E-2</v>
      </c>
      <c r="W17" s="206">
        <f>IF($F17="s-curve",$D17+($E17-$D17)*$P$2/(1+EXP($P$3*(COUNT($O$9:W$9)+$P$4))),TREND($D17:$E17,$D$9:$E$9,W$9))</f>
        <v>0.10530062078521928</v>
      </c>
      <c r="X17" s="206">
        <f>IF($F17="s-curve",$D17+($E17-$D17)*$P$2/(1+EXP($P$3*(COUNT($O$9:X$9)+$P$4))),TREND($D17:$E17,$D$9:$E$9,X$9))</f>
        <v>0.12889168987987426</v>
      </c>
      <c r="Y17" s="206">
        <f>IF($F17="s-curve",$D17+($E17-$D17)*$P$2/(1+EXP($P$3*(COUNT($O$9:Y$9)+$P$4))),TREND($D17:$E17,$D$9:$E$9,Y$9))</f>
        <v>0.15741867885334088</v>
      </c>
      <c r="Z17" s="206">
        <f>IF($F17="s-curve",$D17+($E17-$D17)*$P$2/(1+EXP($P$3*(COUNT($O$9:Z$9)+$P$4))),TREND($D17:$E17,$D$9:$E$9,Z$9))</f>
        <v>0.19141884304448645</v>
      </c>
      <c r="AA17" s="206">
        <f>IF($F17="s-curve",$D17+($E17-$D17)*$P$2/(1+EXP($P$3*(COUNT($O$9:AA$9)+$P$4))),TREND($D17:$E17,$D$9:$E$9,AA$9))</f>
        <v>0.23125043729823047</v>
      </c>
      <c r="AB17" s="206">
        <f>IF($F17="s-curve",$D17+($E17-$D17)*$P$2/(1+EXP($P$3*(COUNT($O$9:AB$9)+$P$4))),TREND($D17:$E17,$D$9:$E$9,AB$9))</f>
        <v>0.2769830657349252</v>
      </c>
      <c r="AC17" s="206">
        <f>IF($F17="s-curve",$D17+($E17-$D17)*$P$2/(1+EXP($P$3*(COUNT($O$9:AC$9)+$P$4))),TREND($D17:$E17,$D$9:$E$9,AC$9))</f>
        <v>0.32829226651553634</v>
      </c>
      <c r="AD17" s="206">
        <f>IF($F17="s-curve",$D17+($E17-$D17)*$P$2/(1+EXP($P$3*(COUNT($O$9:AD$9)+$P$4))),TREND($D17:$E17,$D$9:$E$9,AD$9))</f>
        <v>0.38438772144136585</v>
      </c>
      <c r="AE17" s="206">
        <f>IF($F17="s-curve",$D17+($E17-$D17)*$P$2/(1+EXP($P$3*(COUNT($O$9:AE$9)+$P$4))),TREND($D17:$E17,$D$9:$E$9,AE$9))</f>
        <v>0.4440074406239457</v>
      </c>
      <c r="AF17" s="206">
        <f>IF($F17="s-curve",$D17+($E17-$D17)*$P$2/(1+EXP($P$3*(COUNT($O$9:AF$9)+$P$4))),TREND($D17:$E17,$D$9:$E$9,AF$9))</f>
        <v>0.50549999999999995</v>
      </c>
      <c r="AG17" s="206">
        <f>IF($F17="s-curve",$D17+($E17-$D17)*$P$2/(1+EXP($P$3*(COUNT($O$9:AG$9)+$P$4))),TREND($D17:$E17,$D$9:$E$9,AG$9))</f>
        <v>0.56699255937605431</v>
      </c>
      <c r="AH17" s="206">
        <f>IF($F17="s-curve",$D17+($E17-$D17)*$P$2/(1+EXP($P$3*(COUNT($O$9:AH$9)+$P$4))),TREND($D17:$E17,$D$9:$E$9,AH$9))</f>
        <v>0.62661227855863422</v>
      </c>
      <c r="AI17" s="206">
        <f>IF($F17="s-curve",$D17+($E17-$D17)*$P$2/(1+EXP($P$3*(COUNT($O$9:AI$9)+$P$4))),TREND($D17:$E17,$D$9:$E$9,AI$9))</f>
        <v>0.68270773348446356</v>
      </c>
      <c r="AJ17" s="206">
        <f>IF($F17="s-curve",$D17+($E17-$D17)*$P$2/(1+EXP($P$3*(COUNT($O$9:AJ$9)+$P$4))),TREND($D17:$E17,$D$9:$E$9,AJ$9))</f>
        <v>0.73401693426507486</v>
      </c>
      <c r="AK17" s="206">
        <f>IF($F17="s-curve",$D17+($E17-$D17)*$P$2/(1+EXP($P$3*(COUNT($O$9:AK$9)+$P$4))),TREND($D17:$E17,$D$9:$E$9,AK$9))</f>
        <v>0.77974956270176954</v>
      </c>
      <c r="AL17" s="206">
        <f>IF($F17="s-curve",$D17+($E17-$D17)*$P$2/(1+EXP($P$3*(COUNT($O$9:AL$9)+$P$4))),TREND($D17:$E17,$D$9:$E$9,AL$9))</f>
        <v>0.81958115695551348</v>
      </c>
      <c r="AM17" s="206">
        <f>IF($F17="s-curve",$D17+($E17-$D17)*$P$2/(1+EXP($P$3*(COUNT($O$9:AM$9)+$P$4))),TREND($D17:$E17,$D$9:$E$9,AM$9))</f>
        <v>0.85358132114665919</v>
      </c>
      <c r="AN17" s="206">
        <f>IF($F17="s-curve",$D17+($E17-$D17)*$P$2/(1+EXP($P$3*(COUNT($O$9:AN$9)+$P$4))),TREND($D17:$E17,$D$9:$E$9,AN$9))</f>
        <v>0.88210831012012569</v>
      </c>
      <c r="AO17" s="206">
        <f>IF($F17="s-curve",$D17+($E17-$D17)*$P$2/(1+EXP($P$3*(COUNT($O$9:AO$9)+$P$4))),TREND($D17:$E17,$D$9:$E$9,AO$9))</f>
        <v>0.90569937921478083</v>
      </c>
      <c r="AP17" s="206">
        <f>IF($F17="s-curve",$D17+($E17-$D17)*$P$2/(1+EXP($P$3*(COUNT($O$9:AP$9)+$P$4))),TREND($D17:$E17,$D$9:$E$9,AP$9))</f>
        <v>0.92497625995899013</v>
      </c>
      <c r="AQ17" s="206">
        <f>IF($F17="s-curve",$D17+($E17-$D17)*$P$2/(1+EXP($P$3*(COUNT($O$9:AQ$9)+$P$4))),TREND($D17:$E17,$D$9:$E$9,AQ$9))</f>
        <v>0.94057430297790645</v>
      </c>
      <c r="AR17" s="206">
        <f>IF($F17="s-curve",$D17+($E17-$D17)*$P$2/(1+EXP($P$3*(COUNT($O$9:AR$9)+$P$4))),TREND($D17:$E17,$D$9:$E$9,AR$9))</f>
        <v>0.95309581142738653</v>
      </c>
      <c r="AS17" s="206">
        <f>IF($F17="s-curve",$D17+($E17-$D17)*$P$2/(1+EXP($P$3*(COUNT($O$9:AS$9)+$P$4))),TREND($D17:$E17,$D$9:$E$9,AS$9))</f>
        <v>0.96308370841665603</v>
      </c>
      <c r="AT17" s="206">
        <f>IF($F17="s-curve",$D17+($E17-$D17)*$P$2/(1+EXP($P$3*(COUNT($O$9:AT$9)+$P$4))),TREND($D17:$E17,$D$9:$E$9,AT$9))</f>
        <v>0.9710102037869085</v>
      </c>
      <c r="AU17" s="206">
        <f>IF($F17="s-curve",$D17+($E17-$D17)*$P$2/(1+EXP($P$3*(COUNT($O$9:AU$9)+$P$4))),TREND($D17:$E17,$D$9:$E$9,AU$9))</f>
        <v>0.9772753811589846</v>
      </c>
      <c r="AV17" s="206">
        <f>IF($F17="s-curve",$D17+($E17-$D17)*$P$2/(1+EXP($P$3*(COUNT($O$9:AV$9)+$P$4))),TREND($D17:$E17,$D$9:$E$9,AV$9))</f>
        <v>0.98221163834749137</v>
      </c>
      <c r="AW17" s="206">
        <f>IF($F17="s-curve",$D17+($E17-$D17)*$P$2/(1+EXP($P$3*(COUNT($O$9:AW$9)+$P$4))),TREND($D17:$E17,$D$9:$E$9,AW$9))</f>
        <v>0.98609107285423014</v>
      </c>
      <c r="AX17" s="206">
        <f>IF($F17="s-curve",$D17+($E17-$D17)*$P$2/(1+EXP($P$3*(COUNT($O$9:AX$9)+$P$4))),TREND($D17:$E17,$D$9:$E$9,AX$9))</f>
        <v>0.98913391373834336</v>
      </c>
      <c r="AY17" s="206">
        <f>IF($F17="s-curve",$D17+($E17-$D17)*$P$2/(1+EXP($P$3*(COUNT($O$9:AY$9)+$P$4))),TREND($D17:$E17,$D$9:$E$9,AY$9))</f>
        <v>0.99151686692583885</v>
      </c>
      <c r="AZ17" s="206">
        <f>IF($F17="s-curve",$D17+($E17-$D17)*$P$2/(1+EXP($P$3*(COUNT($O$9:AZ$9)+$P$4))),TREND($D17:$E17,$D$9:$E$9,AZ$9))</f>
        <v>0.99338077043588235</v>
      </c>
      <c r="BA17" s="206">
        <f>IF($F17="s-curve",$D17+($E17-$D17)*$P$2/(1+EXP($P$3*(COUNT($O$9:BA$9)+$P$4))),TREND($D17:$E17,$D$9:$E$9,BA$9))</f>
        <v>0.99483729568907076</v>
      </c>
      <c r="BB17" s="206">
        <f>IF($F17="s-curve",$D17+($E17-$D17)*$P$2/(1+EXP($P$3*(COUNT($O$9:BB$9)+$P$4))),TREND($D17:$E17,$D$9:$E$9,BB$9))</f>
        <v>0.99597463379897877</v>
      </c>
      <c r="BC17" s="206">
        <f>IF($F17="s-curve",$D17+($E17-$D17)*$P$2/(1+EXP($P$3*(COUNT($O$9:BC$9)+$P$4))),TREND($D17:$E17,$D$9:$E$9,BC$9))</f>
        <v>0.99686221666878216</v>
      </c>
    </row>
    <row r="18" spans="1:55" x14ac:dyDescent="0.15">
      <c r="C18" t="s">
        <v>2</v>
      </c>
      <c r="D18" s="22">
        <v>1.7999999999999999E-2</v>
      </c>
      <c r="E18" s="22">
        <f>E11</f>
        <v>1.235369525889815E-3</v>
      </c>
      <c r="F18" s="7" t="s">
        <v>123</v>
      </c>
      <c r="O18" s="22">
        <f t="shared" si="10"/>
        <v>1.7999999999999999E-2</v>
      </c>
      <c r="P18">
        <f>IF($F18="s-curve",$D18+($E18-$D18)*$I$2/(1+EXP($I$3*(COUNT($O$9:P$9)+$I$4))),TREND($D18:$E18,$D$9:$E$9,P$9))</f>
        <v>1.7441178984196393E-2</v>
      </c>
      <c r="Q18">
        <f>IF($F18="s-curve",$D18+($E18-$D18)*$I$2/(1+EXP($I$3*(COUNT($O$9:Q$9)+$I$4))),TREND($D18:$E18,$D$9:$E$9,Q$9))</f>
        <v>1.6882357968392769E-2</v>
      </c>
      <c r="R18">
        <f>IF($F18="s-curve",$D18+($E18-$D18)*$I$2/(1+EXP($I$3*(COUNT($O$9:R$9)+$I$4))),TREND($D18:$E18,$D$9:$E$9,R$9))</f>
        <v>1.6323536952589146E-2</v>
      </c>
      <c r="S18">
        <f>IF($F18="s-curve",$D18+($E18-$D18)*$I$2/(1+EXP($I$3*(COUNT($O$9:S$9)+$I$4))),TREND($D18:$E18,$D$9:$E$9,S$9))</f>
        <v>1.5764715936785301E-2</v>
      </c>
      <c r="T18">
        <f>IF($F18="s-curve",$D18+($E18-$D18)*$I$2/(1+EXP($I$3*(COUNT($O$9:T$9)+$I$4))),TREND($D18:$E18,$D$9:$E$9,T$9))</f>
        <v>1.5205894920981677E-2</v>
      </c>
      <c r="U18">
        <f>IF($F18="s-curve",$D18+($E18-$D18)*$I$2/(1+EXP($I$3*(COUNT($O$9:U$9)+$I$4))),TREND($D18:$E18,$D$9:$E$9,U$9))</f>
        <v>1.4647073905178054E-2</v>
      </c>
      <c r="V18">
        <f>IF($F18="s-curve",$D18+($E18-$D18)*$I$2/(1+EXP($I$3*(COUNT($O$9:V$9)+$I$4))),TREND($D18:$E18,$D$9:$E$9,V$9))</f>
        <v>1.4088252889374431E-2</v>
      </c>
      <c r="W18">
        <f>IF($F18="s-curve",$D18+($E18-$D18)*$I$2/(1+EXP($I$3*(COUNT($O$9:W$9)+$I$4))),TREND($D18:$E18,$D$9:$E$9,W$9))</f>
        <v>1.3529431873570585E-2</v>
      </c>
      <c r="X18">
        <f>IF($F18="s-curve",$D18+($E18-$D18)*$I$2/(1+EXP($I$3*(COUNT($O$9:X$9)+$I$4))),TREND($D18:$E18,$D$9:$E$9,X$9))</f>
        <v>1.2970610857766962E-2</v>
      </c>
      <c r="Y18">
        <f>IF($F18="s-curve",$D18+($E18-$D18)*$I$2/(1+EXP($I$3*(COUNT($O$9:Y$9)+$I$4))),TREND($D18:$E18,$D$9:$E$9,Y$9))</f>
        <v>1.2411789841963339E-2</v>
      </c>
      <c r="Z18">
        <f>IF($F18="s-curve",$D18+($E18-$D18)*$I$2/(1+EXP($I$3*(COUNT($O$9:Z$9)+$I$4))),TREND($D18:$E18,$D$9:$E$9,Z$9))</f>
        <v>1.1852968826159715E-2</v>
      </c>
      <c r="AA18">
        <f>IF($F18="s-curve",$D18+($E18-$D18)*$I$2/(1+EXP($I$3*(COUNT($O$9:AA$9)+$I$4))),TREND($D18:$E18,$D$9:$E$9,AA$9))</f>
        <v>1.1294147810356092E-2</v>
      </c>
      <c r="AB18">
        <f>IF($F18="s-curve",$D18+($E18-$D18)*$I$2/(1+EXP($I$3*(COUNT($O$9:AB$9)+$I$4))),TREND($D18:$E18,$D$9:$E$9,AB$9))</f>
        <v>1.0735326794552247E-2</v>
      </c>
      <c r="AC18">
        <f>IF($F18="s-curve",$D18+($E18-$D18)*$I$2/(1+EXP($I$3*(COUNT($O$9:AC$9)+$I$4))),TREND($D18:$E18,$D$9:$E$9,AC$9))</f>
        <v>1.0176505778748623E-2</v>
      </c>
      <c r="AD18">
        <f>IF($F18="s-curve",$D18+($E18-$D18)*$I$2/(1+EXP($I$3*(COUNT($O$9:AD$9)+$I$4))),TREND($D18:$E18,$D$9:$E$9,AD$9))</f>
        <v>9.6176847629450002E-3</v>
      </c>
      <c r="AE18">
        <f>IF($F18="s-curve",$D18+($E18-$D18)*$I$2/(1+EXP($I$3*(COUNT($O$9:AE$9)+$I$4))),TREND($D18:$E18,$D$9:$E$9,AE$9))</f>
        <v>9.0588637471413769E-3</v>
      </c>
      <c r="AF18">
        <f>IF($F18="s-curve",$D18+($E18-$D18)*$I$2/(1+EXP($I$3*(COUNT($O$9:AF$9)+$I$4))),TREND($D18:$E18,$D$9:$E$9,AF$9))</f>
        <v>8.5000427313375315E-3</v>
      </c>
      <c r="AG18">
        <f>IF($F18="s-curve",$D18+($E18-$D18)*$I$2/(1+EXP($I$3*(COUNT($O$9:AG$9)+$I$4))),TREND($D18:$E18,$D$9:$E$9,AG$9))</f>
        <v>7.9412217155339082E-3</v>
      </c>
      <c r="AH18">
        <f>IF($F18="s-curve",$D18+($E18-$D18)*$I$2/(1+EXP($I$3*(COUNT($O$9:AH$9)+$I$4))),TREND($D18:$E18,$D$9:$E$9,AH$9))</f>
        <v>7.3824006997302849E-3</v>
      </c>
      <c r="AI18">
        <f>IF($F18="s-curve",$D18+($E18-$D18)*$I$2/(1+EXP($I$3*(COUNT($O$9:AI$9)+$I$4))),TREND($D18:$E18,$D$9:$E$9,AI$9))</f>
        <v>6.8235796839266616E-3</v>
      </c>
      <c r="AJ18">
        <f>IF($F18="s-curve",$D18+($E18-$D18)*$I$2/(1+EXP($I$3*(COUNT($O$9:AJ$9)+$I$4))),TREND($D18:$E18,$D$9:$E$9,AJ$9))</f>
        <v>6.2647586681230383E-3</v>
      </c>
      <c r="AK18">
        <f>IF($F18="s-curve",$D18+($E18-$D18)*$I$2/(1+EXP($I$3*(COUNT($O$9:AK$9)+$I$4))),TREND($D18:$E18,$D$9:$E$9,AK$9))</f>
        <v>5.7059376523191929E-3</v>
      </c>
      <c r="AL18">
        <f>IF($F18="s-curve",$D18+($E18-$D18)*$I$2/(1+EXP($I$3*(COUNT($O$9:AL$9)+$I$4))),TREND($D18:$E18,$D$9:$E$9,AL$9))</f>
        <v>5.1471166365155696E-3</v>
      </c>
      <c r="AM18">
        <f>IF($F18="s-curve",$D18+($E18-$D18)*$I$2/(1+EXP($I$3*(COUNT($O$9:AM$9)+$I$4))),TREND($D18:$E18,$D$9:$E$9,AM$9))</f>
        <v>4.5882956207119463E-3</v>
      </c>
      <c r="AN18">
        <f>IF($F18="s-curve",$D18+($E18-$D18)*$I$2/(1+EXP($I$3*(COUNT($O$9:AN$9)+$I$4))),TREND($D18:$E18,$D$9:$E$9,AN$9))</f>
        <v>4.029474604908323E-3</v>
      </c>
      <c r="AO18">
        <f>IF($F18="s-curve",$D18+($E18-$D18)*$I$2/(1+EXP($I$3*(COUNT($O$9:AO$9)+$I$4))),TREND($D18:$E18,$D$9:$E$9,AO$9))</f>
        <v>3.4706535891044776E-3</v>
      </c>
      <c r="AP18">
        <f>IF($F18="s-curve",$D18+($E18-$D18)*$I$2/(1+EXP($I$3*(COUNT($O$9:AP$9)+$I$4))),TREND($D18:$E18,$D$9:$E$9,AP$9))</f>
        <v>2.9118325733008543E-3</v>
      </c>
      <c r="AQ18">
        <f>IF($F18="s-curve",$D18+($E18-$D18)*$I$2/(1+EXP($I$3*(COUNT($O$9:AQ$9)+$I$4))),TREND($D18:$E18,$D$9:$E$9,AQ$9))</f>
        <v>2.353011557497231E-3</v>
      </c>
      <c r="AR18">
        <f>IF($F18="s-curve",$D18+($E18-$D18)*$I$2/(1+EXP($I$3*(COUNT($O$9:AR$9)+$I$4))),TREND($D18:$E18,$D$9:$E$9,AR$9))</f>
        <v>1.7941905416936077E-3</v>
      </c>
      <c r="AS18">
        <f>IF($F18="s-curve",$D18+($E18-$D18)*$I$2/(1+EXP($I$3*(COUNT($O$9:AS$9)+$I$4))),TREND($D18:$E18,$D$9:$E$9,AS$9))</f>
        <v>1.2353695258899844E-3</v>
      </c>
      <c r="AT18">
        <f t="shared" si="11"/>
        <v>1.2353695258899844E-3</v>
      </c>
      <c r="AU18">
        <f t="shared" si="11"/>
        <v>1.2353695258899844E-3</v>
      </c>
      <c r="AV18">
        <f t="shared" si="11"/>
        <v>1.2353695258899844E-3</v>
      </c>
      <c r="AW18">
        <f t="shared" si="11"/>
        <v>1.2353695258899844E-3</v>
      </c>
      <c r="AX18">
        <f t="shared" si="11"/>
        <v>1.2353695258899844E-3</v>
      </c>
      <c r="AY18">
        <f t="shared" si="11"/>
        <v>1.2353695258899844E-3</v>
      </c>
      <c r="AZ18">
        <f t="shared" si="11"/>
        <v>1.2353695258899844E-3</v>
      </c>
      <c r="BA18">
        <f t="shared" si="11"/>
        <v>1.2353695258899844E-3</v>
      </c>
      <c r="BB18">
        <f t="shared" si="11"/>
        <v>1.2353695258899844E-3</v>
      </c>
      <c r="BC18">
        <f t="shared" si="11"/>
        <v>1.2353695258899844E-3</v>
      </c>
    </row>
    <row r="19" spans="1:55" x14ac:dyDescent="0.15">
      <c r="C19" t="s">
        <v>3</v>
      </c>
      <c r="D19" s="22">
        <v>0.81</v>
      </c>
      <c r="E19">
        <v>1</v>
      </c>
      <c r="F19" s="7" t="str">
        <f>IF(D19=E19,"n/a",IF(OR(C19="battery electric vehicle",C19="natural gas vehicle",C19="plugin hybrid vehicle"),"s-curve","linear"))</f>
        <v>linear</v>
      </c>
      <c r="O19" s="22">
        <f t="shared" si="10"/>
        <v>0.81</v>
      </c>
      <c r="P19">
        <f>IF($F19="s-curve",$D19+($E19-$D19)*$I$2/(1+EXP($I$3*(COUNT($O$9:P$9)+$I$4))),TREND($D19:$E19,$D$9:$E$9,P$9))</f>
        <v>0.81633333333333269</v>
      </c>
      <c r="Q19">
        <f>IF($F19="s-curve",$D19+($E19-$D19)*$I$2/(1+EXP($I$3*(COUNT($O$9:Q$9)+$I$4))),TREND($D19:$E19,$D$9:$E$9,Q$9))</f>
        <v>0.82266666666666488</v>
      </c>
      <c r="R19">
        <f>IF($F19="s-curve",$D19+($E19-$D19)*$I$2/(1+EXP($I$3*(COUNT($O$9:R$9)+$I$4))),TREND($D19:$E19,$D$9:$E$9,R$9))</f>
        <v>0.82899999999999885</v>
      </c>
      <c r="S19">
        <f>IF($F19="s-curve",$D19+($E19-$D19)*$I$2/(1+EXP($I$3*(COUNT($O$9:S$9)+$I$4))),TREND($D19:$E19,$D$9:$E$9,S$9))</f>
        <v>0.83533333333333282</v>
      </c>
      <c r="T19">
        <f>IF($F19="s-curve",$D19+($E19-$D19)*$I$2/(1+EXP($I$3*(COUNT($O$9:T$9)+$I$4))),TREND($D19:$E19,$D$9:$E$9,T$9))</f>
        <v>0.84166666666666501</v>
      </c>
      <c r="U19">
        <f>IF($F19="s-curve",$D19+($E19-$D19)*$I$2/(1+EXP($I$3*(COUNT($O$9:U$9)+$I$4))),TREND($D19:$E19,$D$9:$E$9,U$9))</f>
        <v>0.84799999999999898</v>
      </c>
      <c r="V19">
        <f>IF($F19="s-curve",$D19+($E19-$D19)*$I$2/(1+EXP($I$3*(COUNT($O$9:V$9)+$I$4))),TREND($D19:$E19,$D$9:$E$9,V$9))</f>
        <v>0.85433333333333294</v>
      </c>
      <c r="W19">
        <f>IF($F19="s-curve",$D19+($E19-$D19)*$I$2/(1+EXP($I$3*(COUNT($O$9:W$9)+$I$4))),TREND($D19:$E19,$D$9:$E$9,W$9))</f>
        <v>0.86066666666666514</v>
      </c>
      <c r="X19">
        <f>IF($F19="s-curve",$D19+($E19-$D19)*$I$2/(1+EXP($I$3*(COUNT($O$9:X$9)+$I$4))),TREND($D19:$E19,$D$9:$E$9,X$9))</f>
        <v>0.8669999999999991</v>
      </c>
      <c r="Y19">
        <f>IF($F19="s-curve",$D19+($E19-$D19)*$I$2/(1+EXP($I$3*(COUNT($O$9:Y$9)+$I$4))),TREND($D19:$E19,$D$9:$E$9,Y$9))</f>
        <v>0.8733333333333313</v>
      </c>
      <c r="Z19">
        <f>IF($F19="s-curve",$D19+($E19-$D19)*$I$2/(1+EXP($I$3*(COUNT($O$9:Z$9)+$I$4))),TREND($D19:$E19,$D$9:$E$9,Z$9))</f>
        <v>0.87966666666666526</v>
      </c>
      <c r="AA19">
        <f>IF($F19="s-curve",$D19+($E19-$D19)*$I$2/(1+EXP($I$3*(COUNT($O$9:AA$9)+$I$4))),TREND($D19:$E19,$D$9:$E$9,AA$9))</f>
        <v>0.88599999999999923</v>
      </c>
      <c r="AB19">
        <f>IF($F19="s-curve",$D19+($E19-$D19)*$I$2/(1+EXP($I$3*(COUNT($O$9:AB$9)+$I$4))),TREND($D19:$E19,$D$9:$E$9,AB$9))</f>
        <v>0.89233333333333142</v>
      </c>
      <c r="AC19">
        <f>IF($F19="s-curve",$D19+($E19-$D19)*$I$2/(1+EXP($I$3*(COUNT($O$9:AC$9)+$I$4))),TREND($D19:$E19,$D$9:$E$9,AC$9))</f>
        <v>0.89866666666666539</v>
      </c>
      <c r="AD19">
        <f>IF($F19="s-curve",$D19+($E19-$D19)*$I$2/(1+EXP($I$3*(COUNT($O$9:AD$9)+$I$4))),TREND($D19:$E19,$D$9:$E$9,AD$9))</f>
        <v>0.90499999999999936</v>
      </c>
      <c r="AE19">
        <f>IF($F19="s-curve",$D19+($E19-$D19)*$I$2/(1+EXP($I$3*(COUNT($O$9:AE$9)+$I$4))),TREND($D19:$E19,$D$9:$E$9,AE$9))</f>
        <v>0.91133333333333155</v>
      </c>
      <c r="AF19">
        <f>IF($F19="s-curve",$D19+($E19-$D19)*$I$2/(1+EXP($I$3*(COUNT($O$9:AF$9)+$I$4))),TREND($D19:$E19,$D$9:$E$9,AF$9))</f>
        <v>0.91766666666666552</v>
      </c>
      <c r="AG19">
        <f>IF($F19="s-curve",$D19+($E19-$D19)*$I$2/(1+EXP($I$3*(COUNT($O$9:AG$9)+$I$4))),TREND($D19:$E19,$D$9:$E$9,AG$9))</f>
        <v>0.92399999999999949</v>
      </c>
      <c r="AH19">
        <f>IF($F19="s-curve",$D19+($E19-$D19)*$I$2/(1+EXP($I$3*(COUNT($O$9:AH$9)+$I$4))),TREND($D19:$E19,$D$9:$E$9,AH$9))</f>
        <v>0.93033333333333168</v>
      </c>
      <c r="AI19">
        <f>IF($F19="s-curve",$D19+($E19-$D19)*$I$2/(1+EXP($I$3*(COUNT($O$9:AI$9)+$I$4))),TREND($D19:$E19,$D$9:$E$9,AI$9))</f>
        <v>0.93666666666666565</v>
      </c>
      <c r="AJ19">
        <f>IF($F19="s-curve",$D19+($E19-$D19)*$I$2/(1+EXP($I$3*(COUNT($O$9:AJ$9)+$I$4))),TREND($D19:$E19,$D$9:$E$9,AJ$9))</f>
        <v>0.94299999999999962</v>
      </c>
      <c r="AK19">
        <f>IF($F19="s-curve",$D19+($E19-$D19)*$I$2/(1+EXP($I$3*(COUNT($O$9:AK$9)+$I$4))),TREND($D19:$E19,$D$9:$E$9,AK$9))</f>
        <v>0.94933333333333181</v>
      </c>
      <c r="AL19">
        <f>IF($F19="s-curve",$D19+($E19-$D19)*$I$2/(1+EXP($I$3*(COUNT($O$9:AL$9)+$I$4))),TREND($D19:$E19,$D$9:$E$9,AL$9))</f>
        <v>0.95566666666666578</v>
      </c>
      <c r="AM19">
        <f>IF($F19="s-curve",$D19+($E19-$D19)*$I$2/(1+EXP($I$3*(COUNT($O$9:AM$9)+$I$4))),TREND($D19:$E19,$D$9:$E$9,AM$9))</f>
        <v>0.96199999999999797</v>
      </c>
      <c r="AN19">
        <f>IF($F19="s-curve",$D19+($E19-$D19)*$I$2/(1+EXP($I$3*(COUNT($O$9:AN$9)+$I$4))),TREND($D19:$E19,$D$9:$E$9,AN$9))</f>
        <v>0.96833333333333194</v>
      </c>
      <c r="AO19">
        <f>IF($F19="s-curve",$D19+($E19-$D19)*$I$2/(1+EXP($I$3*(COUNT($O$9:AO$9)+$I$4))),TREND($D19:$E19,$D$9:$E$9,AO$9))</f>
        <v>0.9746666666666659</v>
      </c>
      <c r="AP19">
        <f>IF($F19="s-curve",$D19+($E19-$D19)*$I$2/(1+EXP($I$3*(COUNT($O$9:AP$9)+$I$4))),TREND($D19:$E19,$D$9:$E$9,AP$9))</f>
        <v>0.9809999999999981</v>
      </c>
      <c r="AQ19">
        <f>IF($F19="s-curve",$D19+($E19-$D19)*$I$2/(1+EXP($I$3*(COUNT($O$9:AQ$9)+$I$4))),TREND($D19:$E19,$D$9:$E$9,AQ$9))</f>
        <v>0.98733333333333206</v>
      </c>
      <c r="AR19">
        <f>IF($F19="s-curve",$D19+($E19-$D19)*$I$2/(1+EXP($I$3*(COUNT($O$9:AR$9)+$I$4))),TREND($D19:$E19,$D$9:$E$9,AR$9))</f>
        <v>0.99366666666666603</v>
      </c>
      <c r="AS19">
        <f>IF($F19="s-curve",$D19+($E19-$D19)*$I$2/(1+EXP($I$3*(COUNT($O$9:AS$9)+$I$4))),TREND($D19:$E19,$D$9:$E$9,AS$9))</f>
        <v>0.99999999999999822</v>
      </c>
      <c r="AT19">
        <f t="shared" si="11"/>
        <v>0.99999999999999822</v>
      </c>
      <c r="AU19">
        <f t="shared" si="11"/>
        <v>0.99999999999999822</v>
      </c>
      <c r="AV19">
        <f t="shared" si="11"/>
        <v>0.99999999999999822</v>
      </c>
      <c r="AW19">
        <f t="shared" si="11"/>
        <v>0.99999999999999822</v>
      </c>
      <c r="AX19">
        <f t="shared" si="11"/>
        <v>0.99999999999999822</v>
      </c>
      <c r="AY19">
        <f t="shared" si="11"/>
        <v>0.99999999999999822</v>
      </c>
      <c r="AZ19">
        <f t="shared" si="11"/>
        <v>0.99999999999999822</v>
      </c>
      <c r="BA19">
        <f t="shared" si="11"/>
        <v>0.99999999999999822</v>
      </c>
      <c r="BB19">
        <f t="shared" si="11"/>
        <v>0.99999999999999822</v>
      </c>
      <c r="BC19">
        <f t="shared" si="11"/>
        <v>0.99999999999999822</v>
      </c>
    </row>
    <row r="20" spans="1:55" x14ac:dyDescent="0.15">
      <c r="C20" t="s">
        <v>4</v>
      </c>
      <c r="D20" s="22">
        <v>1</v>
      </c>
      <c r="E20" s="5">
        <v>1</v>
      </c>
      <c r="F20" s="7" t="str">
        <f>IF(D20=E20,"n/a",IF(OR(C20="battery electric vehicle",C20="natural gas vehicle",C20="plugin hybrid vehicle"),"s-curve","linear"))</f>
        <v>n/a</v>
      </c>
      <c r="O20" s="22">
        <f t="shared" si="10"/>
        <v>1</v>
      </c>
      <c r="P20">
        <f>IF($F20="s-curve",$D20+($E20-$D20)*$I$2/(1+EXP($I$3*(COUNT($O$9:P$9)+$I$4))),TREND($D20:$E20,$D$9:$E$9,P$9))</f>
        <v>1</v>
      </c>
      <c r="Q20">
        <f>IF($F20="s-curve",$D20+($E20-$D20)*$I$2/(1+EXP($I$3*(COUNT($O$9:Q$9)+$I$4))),TREND($D20:$E20,$D$9:$E$9,Q$9))</f>
        <v>1</v>
      </c>
      <c r="R20">
        <f>IF($F20="s-curve",$D20+($E20-$D20)*$I$2/(1+EXP($I$3*(COUNT($O$9:R$9)+$I$4))),TREND($D20:$E20,$D$9:$E$9,R$9))</f>
        <v>1</v>
      </c>
      <c r="S20">
        <f>IF($F20="s-curve",$D20+($E20-$D20)*$I$2/(1+EXP($I$3*(COUNT($O$9:S$9)+$I$4))),TREND($D20:$E20,$D$9:$E$9,S$9))</f>
        <v>1</v>
      </c>
      <c r="T20">
        <f>IF($F20="s-curve",$D20+($E20-$D20)*$I$2/(1+EXP($I$3*(COUNT($O$9:T$9)+$I$4))),TREND($D20:$E20,$D$9:$E$9,T$9))</f>
        <v>1</v>
      </c>
      <c r="U20">
        <f>IF($F20="s-curve",$D20+($E20-$D20)*$I$2/(1+EXP($I$3*(COUNT($O$9:U$9)+$I$4))),TREND($D20:$E20,$D$9:$E$9,U$9))</f>
        <v>1</v>
      </c>
      <c r="V20">
        <f>IF($F20="s-curve",$D20+($E20-$D20)*$I$2/(1+EXP($I$3*(COUNT($O$9:V$9)+$I$4))),TREND($D20:$E20,$D$9:$E$9,V$9))</f>
        <v>1</v>
      </c>
      <c r="W20">
        <f>IF($F20="s-curve",$D20+($E20-$D20)*$I$2/(1+EXP($I$3*(COUNT($O$9:W$9)+$I$4))),TREND($D20:$E20,$D$9:$E$9,W$9))</f>
        <v>1</v>
      </c>
      <c r="X20">
        <f>IF($F20="s-curve",$D20+($E20-$D20)*$I$2/(1+EXP($I$3*(COUNT($O$9:X$9)+$I$4))),TREND($D20:$E20,$D$9:$E$9,X$9))</f>
        <v>1</v>
      </c>
      <c r="Y20">
        <f>IF($F20="s-curve",$D20+($E20-$D20)*$I$2/(1+EXP($I$3*(COUNT($O$9:Y$9)+$I$4))),TREND($D20:$E20,$D$9:$E$9,Y$9))</f>
        <v>1</v>
      </c>
      <c r="Z20">
        <f>IF($F20="s-curve",$D20+($E20-$D20)*$I$2/(1+EXP($I$3*(COUNT($O$9:Z$9)+$I$4))),TREND($D20:$E20,$D$9:$E$9,Z$9))</f>
        <v>1</v>
      </c>
      <c r="AA20">
        <f>IF($F20="s-curve",$D20+($E20-$D20)*$I$2/(1+EXP($I$3*(COUNT($O$9:AA$9)+$I$4))),TREND($D20:$E20,$D$9:$E$9,AA$9))</f>
        <v>1</v>
      </c>
      <c r="AB20">
        <f>IF($F20="s-curve",$D20+($E20-$D20)*$I$2/(1+EXP($I$3*(COUNT($O$9:AB$9)+$I$4))),TREND($D20:$E20,$D$9:$E$9,AB$9))</f>
        <v>1</v>
      </c>
      <c r="AC20">
        <f>IF($F20="s-curve",$D20+($E20-$D20)*$I$2/(1+EXP($I$3*(COUNT($O$9:AC$9)+$I$4))),TREND($D20:$E20,$D$9:$E$9,AC$9))</f>
        <v>1</v>
      </c>
      <c r="AD20">
        <f>IF($F20="s-curve",$D20+($E20-$D20)*$I$2/(1+EXP($I$3*(COUNT($O$9:AD$9)+$I$4))),TREND($D20:$E20,$D$9:$E$9,AD$9))</f>
        <v>1</v>
      </c>
      <c r="AE20">
        <f>IF($F20="s-curve",$D20+($E20-$D20)*$I$2/(1+EXP($I$3*(COUNT($O$9:AE$9)+$I$4))),TREND($D20:$E20,$D$9:$E$9,AE$9))</f>
        <v>1</v>
      </c>
      <c r="AF20">
        <f>IF($F20="s-curve",$D20+($E20-$D20)*$I$2/(1+EXP($I$3*(COUNT($O$9:AF$9)+$I$4))),TREND($D20:$E20,$D$9:$E$9,AF$9))</f>
        <v>1</v>
      </c>
      <c r="AG20">
        <f>IF($F20="s-curve",$D20+($E20-$D20)*$I$2/(1+EXP($I$3*(COUNT($O$9:AG$9)+$I$4))),TREND($D20:$E20,$D$9:$E$9,AG$9))</f>
        <v>1</v>
      </c>
      <c r="AH20">
        <f>IF($F20="s-curve",$D20+($E20-$D20)*$I$2/(1+EXP($I$3*(COUNT($O$9:AH$9)+$I$4))),TREND($D20:$E20,$D$9:$E$9,AH$9))</f>
        <v>1</v>
      </c>
      <c r="AI20">
        <f>IF($F20="s-curve",$D20+($E20-$D20)*$I$2/(1+EXP($I$3*(COUNT($O$9:AI$9)+$I$4))),TREND($D20:$E20,$D$9:$E$9,AI$9))</f>
        <v>1</v>
      </c>
      <c r="AJ20">
        <f>IF($F20="s-curve",$D20+($E20-$D20)*$I$2/(1+EXP($I$3*(COUNT($O$9:AJ$9)+$I$4))),TREND($D20:$E20,$D$9:$E$9,AJ$9))</f>
        <v>1</v>
      </c>
      <c r="AK20">
        <f>IF($F20="s-curve",$D20+($E20-$D20)*$I$2/(1+EXP($I$3*(COUNT($O$9:AK$9)+$I$4))),TREND($D20:$E20,$D$9:$E$9,AK$9))</f>
        <v>1</v>
      </c>
      <c r="AL20">
        <f>IF($F20="s-curve",$D20+($E20-$D20)*$I$2/(1+EXP($I$3*(COUNT($O$9:AL$9)+$I$4))),TREND($D20:$E20,$D$9:$E$9,AL$9))</f>
        <v>1</v>
      </c>
      <c r="AM20">
        <f>IF($F20="s-curve",$D20+($E20-$D20)*$I$2/(1+EXP($I$3*(COUNT($O$9:AM$9)+$I$4))),TREND($D20:$E20,$D$9:$E$9,AM$9))</f>
        <v>1</v>
      </c>
      <c r="AN20">
        <f>IF($F20="s-curve",$D20+($E20-$D20)*$I$2/(1+EXP($I$3*(COUNT($O$9:AN$9)+$I$4))),TREND($D20:$E20,$D$9:$E$9,AN$9))</f>
        <v>1</v>
      </c>
      <c r="AO20">
        <f>IF($F20="s-curve",$D20+($E20-$D20)*$I$2/(1+EXP($I$3*(COUNT($O$9:AO$9)+$I$4))),TREND($D20:$E20,$D$9:$E$9,AO$9))</f>
        <v>1</v>
      </c>
      <c r="AP20">
        <f>IF($F20="s-curve",$D20+($E20-$D20)*$I$2/(1+EXP($I$3*(COUNT($O$9:AP$9)+$I$4))),TREND($D20:$E20,$D$9:$E$9,AP$9))</f>
        <v>1</v>
      </c>
      <c r="AQ20">
        <f>IF($F20="s-curve",$D20+($E20-$D20)*$I$2/(1+EXP($I$3*(COUNT($O$9:AQ$9)+$I$4))),TREND($D20:$E20,$D$9:$E$9,AQ$9))</f>
        <v>1</v>
      </c>
      <c r="AR20">
        <f>IF($F20="s-curve",$D20+($E20-$D20)*$I$2/(1+EXP($I$3*(COUNT($O$9:AR$9)+$I$4))),TREND($D20:$E20,$D$9:$E$9,AR$9))</f>
        <v>1</v>
      </c>
      <c r="AS20">
        <f>IF($F20="s-curve",$D20+($E20-$D20)*$I$2/(1+EXP($I$3*(COUNT($O$9:AS$9)+$I$4))),TREND($D20:$E20,$D$9:$E$9,AS$9))</f>
        <v>1</v>
      </c>
      <c r="AT20">
        <f t="shared" si="11"/>
        <v>1</v>
      </c>
      <c r="AU20">
        <f t="shared" si="11"/>
        <v>1</v>
      </c>
      <c r="AV20">
        <f t="shared" si="11"/>
        <v>1</v>
      </c>
      <c r="AW20">
        <f t="shared" si="11"/>
        <v>1</v>
      </c>
      <c r="AX20">
        <f t="shared" si="11"/>
        <v>1</v>
      </c>
      <c r="AY20">
        <f t="shared" si="11"/>
        <v>1</v>
      </c>
      <c r="AZ20">
        <f t="shared" si="11"/>
        <v>1</v>
      </c>
      <c r="BA20">
        <f t="shared" si="11"/>
        <v>1</v>
      </c>
      <c r="BB20">
        <f t="shared" si="11"/>
        <v>1</v>
      </c>
      <c r="BC20">
        <f t="shared" si="11"/>
        <v>1</v>
      </c>
    </row>
    <row r="21" spans="1:55" x14ac:dyDescent="0.15">
      <c r="C21" t="s">
        <v>5</v>
      </c>
      <c r="D21" s="22">
        <v>2.4000000000000001E-4</v>
      </c>
      <c r="E21" s="22">
        <f>E14</f>
        <v>0.13109351086063947</v>
      </c>
      <c r="F21" s="7" t="str">
        <f>IF(D21=E21,"n/a",IF(OR(C21="battery electric vehicle",C21="natural gas vehicle",C21="plugin hybrid vehicle"),"s-curve","linear"))</f>
        <v>s-curve</v>
      </c>
      <c r="O21" s="22">
        <f t="shared" si="10"/>
        <v>2.4000000000000001E-4</v>
      </c>
      <c r="P21">
        <f>IF($F21="s-curve",$D21+($E21-$D21)*$I$2/(1+EXP($I$3*(COUNT($O$9:P$9)+$I$4))),TREND($D21:$E21,$D$9:$E$9,P$9))</f>
        <v>2.8361736618525194E-3</v>
      </c>
      <c r="Q21">
        <f>IF($F21="s-curve",$D21+($E21-$D21)*$I$2/(1+EXP($I$3*(COUNT($O$9:Q$9)+$I$4))),TREND($D21:$E21,$D$9:$E$9,Q$9))</f>
        <v>3.7203099878707763E-3</v>
      </c>
      <c r="R21">
        <f>IF($F21="s-curve",$D21+($E21-$D21)*$I$2/(1+EXP($I$3*(COUNT($O$9:R$9)+$I$4))),TREND($D21:$E21,$D$9:$E$9,R$9))</f>
        <v>4.8946150018127606E-3</v>
      </c>
      <c r="S21">
        <f>IF($F21="s-curve",$D21+($E21-$D21)*$I$2/(1+EXP($I$3*(COUNT($O$9:S$9)+$I$4))),TREND($D21:$E21,$D$9:$E$9,S$9))</f>
        <v>6.4458420109160452E-3</v>
      </c>
      <c r="T21">
        <f>IF($F21="s-curve",$D21+($E21-$D21)*$I$2/(1+EXP($I$3*(COUNT($O$9:T$9)+$I$4))),TREND($D21:$E21,$D$9:$E$9,T$9))</f>
        <v>8.4802847307351107E-3</v>
      </c>
      <c r="U21">
        <f>IF($F21="s-curve",$D21+($E21-$D21)*$I$2/(1+EXP($I$3*(COUNT($O$9:U$9)+$I$4))),TREND($D21:$E21,$D$9:$E$9,U$9))</f>
        <v>1.1123439343976143E-2</v>
      </c>
      <c r="V21">
        <f>IF($F21="s-curve",$D21+($E21-$D21)*$I$2/(1+EXP($I$3*(COUNT($O$9:V$9)+$I$4))),TREND($D21:$E21,$D$9:$E$9,V$9))</f>
        <v>1.4515702077181379E-2</v>
      </c>
      <c r="W21">
        <f>IF($F21="s-curve",$D21+($E21-$D21)*$I$2/(1+EXP($I$3*(COUNT($O$9:W$9)+$I$4))),TREND($D21:$E21,$D$9:$E$9,W$9))</f>
        <v>1.8801709861549259E-2</v>
      </c>
      <c r="X21">
        <f>IF($F21="s-curve",$D21+($E21-$D21)*$I$2/(1+EXP($I$3*(COUNT($O$9:X$9)+$I$4))),TREND($D21:$E21,$D$9:$E$9,X$9))</f>
        <v>2.4111020260652899E-2</v>
      </c>
      <c r="Y21">
        <f>IF($F21="s-curve",$D21+($E21-$D21)*$I$2/(1+EXP($I$3*(COUNT($O$9:Y$9)+$I$4))),TREND($D21:$E21,$D$9:$E$9,Y$9))</f>
        <v>3.0529344756380174E-2</v>
      </c>
      <c r="Z21">
        <f>IF($F21="s-curve",$D21+($E21-$D21)*$I$2/(1+EXP($I$3*(COUNT($O$9:Z$9)+$I$4))),TREND($D21:$E21,$D$9:$E$9,Z$9))</f>
        <v>3.8063272397532287E-2</v>
      </c>
      <c r="AA21">
        <f>IF($F21="s-curve",$D21+($E21-$D21)*$I$2/(1+EXP($I$3*(COUNT($O$9:AA$9)+$I$4))),TREND($D21:$E21,$D$9:$E$9,AA$9))</f>
        <v>4.6607116381681982E-2</v>
      </c>
      <c r="AB21">
        <f>IF($F21="s-curve",$D21+($E21-$D21)*$I$2/(1+EXP($I$3*(COUNT($O$9:AB$9)+$I$4))),TREND($D21:$E21,$D$9:$E$9,AB$9))</f>
        <v>5.5925690748211979E-2</v>
      </c>
      <c r="AC21">
        <f>IF($F21="s-curve",$D21+($E21-$D21)*$I$2/(1+EXP($I$3*(COUNT($O$9:AC$9)+$I$4))),TREND($D21:$E21,$D$9:$E$9,AC$9))</f>
        <v>6.5666755430319745E-2</v>
      </c>
      <c r="AD21">
        <f>IF($F21="s-curve",$D21+($E21-$D21)*$I$2/(1+EXP($I$3*(COUNT($O$9:AD$9)+$I$4))),TREND($D21:$E21,$D$9:$E$9,AD$9))</f>
        <v>7.5407820112427512E-2</v>
      </c>
      <c r="AE21">
        <f>IF($F21="s-curve",$D21+($E21-$D21)*$I$2/(1+EXP($I$3*(COUNT($O$9:AE$9)+$I$4))),TREND($D21:$E21,$D$9:$E$9,AE$9))</f>
        <v>8.4726394478957495E-2</v>
      </c>
      <c r="AF21">
        <f>IF($F21="s-curve",$D21+($E21-$D21)*$I$2/(1+EXP($I$3*(COUNT($O$9:AF$9)+$I$4))),TREND($D21:$E21,$D$9:$E$9,AF$9))</f>
        <v>9.3270238463107197E-2</v>
      </c>
      <c r="AG21">
        <f>IF($F21="s-curve",$D21+($E21-$D21)*$I$2/(1+EXP($I$3*(COUNT($O$9:AG$9)+$I$4))),TREND($D21:$E21,$D$9:$E$9,AG$9))</f>
        <v>0.10080416610425931</v>
      </c>
      <c r="AH21">
        <f>IF($F21="s-curve",$D21+($E21-$D21)*$I$2/(1+EXP($I$3*(COUNT($O$9:AH$9)+$I$4))),TREND($D21:$E21,$D$9:$E$9,AH$9))</f>
        <v>0.10722249059998658</v>
      </c>
      <c r="AI21">
        <f>IF($F21="s-curve",$D21+($E21-$D21)*$I$2/(1+EXP($I$3*(COUNT($O$9:AI$9)+$I$4))),TREND($D21:$E21,$D$9:$E$9,AI$9))</f>
        <v>0.11253180099909024</v>
      </c>
      <c r="AJ21">
        <f>IF($F21="s-curve",$D21+($E21-$D21)*$I$2/(1+EXP($I$3*(COUNT($O$9:AJ$9)+$I$4))),TREND($D21:$E21,$D$9:$E$9,AJ$9))</f>
        <v>0.11681780878345811</v>
      </c>
      <c r="AK21">
        <f>IF($F21="s-curve",$D21+($E21-$D21)*$I$2/(1+EXP($I$3*(COUNT($O$9:AK$9)+$I$4))),TREND($D21:$E21,$D$9:$E$9,AK$9))</f>
        <v>0.12021007151666335</v>
      </c>
      <c r="AL21">
        <f>IF($F21="s-curve",$D21+($E21-$D21)*$I$2/(1+EXP($I$3*(COUNT($O$9:AL$9)+$I$4))),TREND($D21:$E21,$D$9:$E$9,AL$9))</f>
        <v>0.12285322612990439</v>
      </c>
      <c r="AM21">
        <f>IF($F21="s-curve",$D21+($E21-$D21)*$I$2/(1+EXP($I$3*(COUNT($O$9:AM$9)+$I$4))),TREND($D21:$E21,$D$9:$E$9,AM$9))</f>
        <v>0.12488766884972345</v>
      </c>
      <c r="AN21">
        <f>IF($F21="s-curve",$D21+($E21-$D21)*$I$2/(1+EXP($I$3*(COUNT($O$9:AN$9)+$I$4))),TREND($D21:$E21,$D$9:$E$9,AN$9))</f>
        <v>0.12643889585882673</v>
      </c>
      <c r="AO21">
        <f>IF($F21="s-curve",$D21+($E21-$D21)*$I$2/(1+EXP($I$3*(COUNT($O$9:AO$9)+$I$4))),TREND($D21:$E21,$D$9:$E$9,AO$9))</f>
        <v>0.1276132008727687</v>
      </c>
      <c r="AP21">
        <f>IF($F21="s-curve",$D21+($E21-$D21)*$I$2/(1+EXP($I$3*(COUNT($O$9:AP$9)+$I$4))),TREND($D21:$E21,$D$9:$E$9,AP$9))</f>
        <v>0.12849733719878695</v>
      </c>
      <c r="AQ21">
        <f>IF($F21="s-curve",$D21+($E21-$D21)*$I$2/(1+EXP($I$3*(COUNT($O$9:AQ$9)+$I$4))),TREND($D21:$E21,$D$9:$E$9,AQ$9))</f>
        <v>0.12916027694400833</v>
      </c>
      <c r="AR21">
        <f>IF($F21="s-curve",$D21+($E21-$D21)*$I$2/(1+EXP($I$3*(COUNT($O$9:AR$9)+$I$4))),TREND($D21:$E21,$D$9:$E$9,AR$9))</f>
        <v>0.12965583084380192</v>
      </c>
      <c r="AS21">
        <f>IF($F21="s-curve",$D21+($E21-$D21)*$I$2/(1+EXP($I$3*(COUNT($O$9:AS$9)+$I$4))),TREND($D21:$E21,$D$9:$E$9,AS$9))</f>
        <v>0.13002540976759872</v>
      </c>
      <c r="AT21">
        <f t="shared" si="11"/>
        <v>0.13002540976759872</v>
      </c>
      <c r="AU21">
        <f t="shared" si="11"/>
        <v>0.13002540976759872</v>
      </c>
      <c r="AV21">
        <f t="shared" si="11"/>
        <v>0.13002540976759872</v>
      </c>
      <c r="AW21">
        <f t="shared" si="11"/>
        <v>0.13002540976759872</v>
      </c>
      <c r="AX21">
        <f t="shared" si="11"/>
        <v>0.13002540976759872</v>
      </c>
      <c r="AY21">
        <f t="shared" si="11"/>
        <v>0.13002540976759872</v>
      </c>
      <c r="AZ21">
        <f t="shared" si="11"/>
        <v>0.13002540976759872</v>
      </c>
      <c r="BA21">
        <f t="shared" si="11"/>
        <v>0.13002540976759872</v>
      </c>
      <c r="BB21">
        <f t="shared" si="11"/>
        <v>0.13002540976759872</v>
      </c>
      <c r="BC21">
        <f t="shared" si="11"/>
        <v>0.13002540976759872</v>
      </c>
    </row>
    <row r="22" spans="1:55" x14ac:dyDescent="0.15">
      <c r="C22" t="s">
        <v>125</v>
      </c>
      <c r="D22" s="22">
        <v>0</v>
      </c>
      <c r="E22" s="22">
        <v>0</v>
      </c>
      <c r="F22" s="7" t="str">
        <f>IF(D22=E22,"n/a",IF(OR(C22="battery electric vehicle",C22="natural gas vehicle",C22="plugin hybrid vehicle",C22="hydrogen vehicle"),"s-curve","linear"))</f>
        <v>n/a</v>
      </c>
      <c r="O22" s="22">
        <f t="shared" si="10"/>
        <v>0</v>
      </c>
      <c r="P22">
        <f>IF($F22="s-curve",$D22+($E22-$D22)*$I$2/(1+EXP($I$3*(COUNT($O$9:P$9)+$I$4))),TREND($D22:$E22,$D$9:$E$9,P$9))</f>
        <v>0</v>
      </c>
      <c r="Q22">
        <f>IF($F22="s-curve",$D22+($E22-$D22)*$I$2/(1+EXP($I$3*(COUNT($O$9:Q$9)+$I$4))),TREND($D22:$E22,$D$9:$E$9,Q$9))</f>
        <v>0</v>
      </c>
      <c r="R22">
        <f>IF($F22="s-curve",$D22+($E22-$D22)*$I$2/(1+EXP($I$3*(COUNT($O$9:R$9)+$I$4))),TREND($D22:$E22,$D$9:$E$9,R$9))</f>
        <v>0</v>
      </c>
      <c r="S22">
        <f>IF($F22="s-curve",$D22+($E22-$D22)*$I$2/(1+EXP($I$3*(COUNT($O$9:S$9)+$I$4))),TREND($D22:$E22,$D$9:$E$9,S$9))</f>
        <v>0</v>
      </c>
      <c r="T22">
        <f>IF($F22="s-curve",$D22+($E22-$D22)*$I$2/(1+EXP($I$3*(COUNT($O$9:T$9)+$I$4))),TREND($D22:$E22,$D$9:$E$9,T$9))</f>
        <v>0</v>
      </c>
      <c r="U22">
        <f>IF($F22="s-curve",$D22+($E22-$D22)*$I$2/(1+EXP($I$3*(COUNT($O$9:U$9)+$I$4))),TREND($D22:$E22,$D$9:$E$9,U$9))</f>
        <v>0</v>
      </c>
      <c r="V22">
        <f>IF($F22="s-curve",$D22+($E22-$D22)*$I$2/(1+EXP($I$3*(COUNT($O$9:V$9)+$I$4))),TREND($D22:$E22,$D$9:$E$9,V$9))</f>
        <v>0</v>
      </c>
      <c r="W22">
        <f>IF($F22="s-curve",$D22+($E22-$D22)*$I$2/(1+EXP($I$3*(COUNT($O$9:W$9)+$I$4))),TREND($D22:$E22,$D$9:$E$9,W$9))</f>
        <v>0</v>
      </c>
      <c r="X22">
        <f>IF($F22="s-curve",$D22+($E22-$D22)*$I$2/(1+EXP($I$3*(COUNT($O$9:X$9)+$I$4))),TREND($D22:$E22,$D$9:$E$9,X$9))</f>
        <v>0</v>
      </c>
      <c r="Y22">
        <f>IF($F22="s-curve",$D22+($E22-$D22)*$I$2/(1+EXP($I$3*(COUNT($O$9:Y$9)+$I$4))),TREND($D22:$E22,$D$9:$E$9,Y$9))</f>
        <v>0</v>
      </c>
      <c r="Z22">
        <f>IF($F22="s-curve",$D22+($E22-$D22)*$I$2/(1+EXP($I$3*(COUNT($O$9:Z$9)+$I$4))),TREND($D22:$E22,$D$9:$E$9,Z$9))</f>
        <v>0</v>
      </c>
      <c r="AA22">
        <f>IF($F22="s-curve",$D22+($E22-$D22)*$I$2/(1+EXP($I$3*(COUNT($O$9:AA$9)+$I$4))),TREND($D22:$E22,$D$9:$E$9,AA$9))</f>
        <v>0</v>
      </c>
      <c r="AB22">
        <f>IF($F22="s-curve",$D22+($E22-$D22)*$I$2/(1+EXP($I$3*(COUNT($O$9:AB$9)+$I$4))),TREND($D22:$E22,$D$9:$E$9,AB$9))</f>
        <v>0</v>
      </c>
      <c r="AC22">
        <f>IF($F22="s-curve",$D22+($E22-$D22)*$I$2/(1+EXP($I$3*(COUNT($O$9:AC$9)+$I$4))),TREND($D22:$E22,$D$9:$E$9,AC$9))</f>
        <v>0</v>
      </c>
      <c r="AD22">
        <f>IF($F22="s-curve",$D22+($E22-$D22)*$I$2/(1+EXP($I$3*(COUNT($O$9:AD$9)+$I$4))),TREND($D22:$E22,$D$9:$E$9,AD$9))</f>
        <v>0</v>
      </c>
      <c r="AE22">
        <f>IF($F22="s-curve",$D22+($E22-$D22)*$I$2/(1+EXP($I$3*(COUNT($O$9:AE$9)+$I$4))),TREND($D22:$E22,$D$9:$E$9,AE$9))</f>
        <v>0</v>
      </c>
      <c r="AF22">
        <f>IF($F22="s-curve",$D22+($E22-$D22)*$I$2/(1+EXP($I$3*(COUNT($O$9:AF$9)+$I$4))),TREND($D22:$E22,$D$9:$E$9,AF$9))</f>
        <v>0</v>
      </c>
      <c r="AG22">
        <f>IF($F22="s-curve",$D22+($E22-$D22)*$I$2/(1+EXP($I$3*(COUNT($O$9:AG$9)+$I$4))),TREND($D22:$E22,$D$9:$E$9,AG$9))</f>
        <v>0</v>
      </c>
      <c r="AH22">
        <f>IF($F22="s-curve",$D22+($E22-$D22)*$I$2/(1+EXP($I$3*(COUNT($O$9:AH$9)+$I$4))),TREND($D22:$E22,$D$9:$E$9,AH$9))</f>
        <v>0</v>
      </c>
      <c r="AI22">
        <f>IF($F22="s-curve",$D22+($E22-$D22)*$I$2/(1+EXP($I$3*(COUNT($O$9:AI$9)+$I$4))),TREND($D22:$E22,$D$9:$E$9,AI$9))</f>
        <v>0</v>
      </c>
      <c r="AJ22">
        <f>IF($F22="s-curve",$D22+($E22-$D22)*$I$2/(1+EXP($I$3*(COUNT($O$9:AJ$9)+$I$4))),TREND($D22:$E22,$D$9:$E$9,AJ$9))</f>
        <v>0</v>
      </c>
      <c r="AK22">
        <f>IF($F22="s-curve",$D22+($E22-$D22)*$I$2/(1+EXP($I$3*(COUNT($O$9:AK$9)+$I$4))),TREND($D22:$E22,$D$9:$E$9,AK$9))</f>
        <v>0</v>
      </c>
      <c r="AL22">
        <f>IF($F22="s-curve",$D22+($E22-$D22)*$I$2/(1+EXP($I$3*(COUNT($O$9:AL$9)+$I$4))),TREND($D22:$E22,$D$9:$E$9,AL$9))</f>
        <v>0</v>
      </c>
      <c r="AM22">
        <f>IF($F22="s-curve",$D22+($E22-$D22)*$I$2/(1+EXP($I$3*(COUNT($O$9:AM$9)+$I$4))),TREND($D22:$E22,$D$9:$E$9,AM$9))</f>
        <v>0</v>
      </c>
      <c r="AN22">
        <f>IF($F22="s-curve",$D22+($E22-$D22)*$I$2/(1+EXP($I$3*(COUNT($O$9:AN$9)+$I$4))),TREND($D22:$E22,$D$9:$E$9,AN$9))</f>
        <v>0</v>
      </c>
      <c r="AO22">
        <f>IF($F22="s-curve",$D22+($E22-$D22)*$I$2/(1+EXP($I$3*(COUNT($O$9:AO$9)+$I$4))),TREND($D22:$E22,$D$9:$E$9,AO$9))</f>
        <v>0</v>
      </c>
      <c r="AP22">
        <f>IF($F22="s-curve",$D22+($E22-$D22)*$I$2/(1+EXP($I$3*(COUNT($O$9:AP$9)+$I$4))),TREND($D22:$E22,$D$9:$E$9,AP$9))</f>
        <v>0</v>
      </c>
      <c r="AQ22">
        <f>IF($F22="s-curve",$D22+($E22-$D22)*$I$2/(1+EXP($I$3*(COUNT($O$9:AQ$9)+$I$4))),TREND($D22:$E22,$D$9:$E$9,AQ$9))</f>
        <v>0</v>
      </c>
      <c r="AR22">
        <f>IF($F22="s-curve",$D22+($E22-$D22)*$I$2/(1+EXP($I$3*(COUNT($O$9:AR$9)+$I$4))),TREND($D22:$E22,$D$9:$E$9,AR$9))</f>
        <v>0</v>
      </c>
      <c r="AS22">
        <f>IF($F22="s-curve",$D22+($E22-$D22)*$I$2/(1+EXP($I$3*(COUNT($O$9:AS$9)+$I$4))),TREND($D22:$E22,$D$9:$E$9,AS$9))</f>
        <v>0</v>
      </c>
      <c r="AT22">
        <f t="shared" si="11"/>
        <v>0</v>
      </c>
      <c r="AU22">
        <f t="shared" si="11"/>
        <v>0</v>
      </c>
      <c r="AV22">
        <f t="shared" si="11"/>
        <v>0</v>
      </c>
      <c r="AW22">
        <f t="shared" si="11"/>
        <v>0</v>
      </c>
      <c r="AX22">
        <f t="shared" si="11"/>
        <v>0</v>
      </c>
      <c r="AY22">
        <f t="shared" si="11"/>
        <v>0</v>
      </c>
      <c r="AZ22">
        <f t="shared" si="11"/>
        <v>0</v>
      </c>
      <c r="BA22">
        <f t="shared" si="11"/>
        <v>0</v>
      </c>
      <c r="BB22">
        <f t="shared" si="11"/>
        <v>0</v>
      </c>
      <c r="BC22">
        <f t="shared" si="11"/>
        <v>0</v>
      </c>
    </row>
    <row r="23" spans="1:55" s="214" customFormat="1" ht="13.6" thickBot="1" x14ac:dyDescent="0.2">
      <c r="A23" s="210"/>
      <c r="B23" s="210"/>
      <c r="C23" s="210" t="s">
        <v>126</v>
      </c>
      <c r="D23" s="212">
        <v>1.5651626031685502E-3</v>
      </c>
      <c r="E23" s="212">
        <f>E16</f>
        <v>0.6</v>
      </c>
      <c r="F23" s="213" t="str">
        <f>IF(D23=E23,"n/a",IF(OR(C23="battery electric vehicle",C23="natural gas vehicle",C23="plugin hybrid vehicle",C23="hydrogen vehicle"),"s-curve","linear"))</f>
        <v>s-curve</v>
      </c>
      <c r="O23" s="211">
        <f t="shared" si="10"/>
        <v>1.5651626031685502E-3</v>
      </c>
      <c r="P23" s="214">
        <f>IF($F23="s-curve",$D23+($E23-$D23)*$J$2/(1+EXP($J$3*(COUNT($O$9:P$9)+$J$4))),TREND($D23:$E23,$D$9:$E$9,P$9))</f>
        <v>3.3372654271000626E-2</v>
      </c>
      <c r="Q23" s="214">
        <f>IF($F23="s-curve",$D23+($E23-$D23)*$J$2/(1+EXP($J$3*(COUNT($O$9:Q$9)+$J$4))),TREND($D23:$E23,$D$9:$E$9,Q$9))</f>
        <v>3.9250612695470026E-2</v>
      </c>
      <c r="R23" s="214">
        <f>IF($F23="s-curve",$D23+($E23-$D23)*$J$2/(1+EXP($J$3*(COUNT($O$9:R$9)+$J$4))),TREND($D23:$E23,$D$9:$E$9,R$9))</f>
        <v>4.6129375259876718E-2</v>
      </c>
      <c r="S23" s="214">
        <f>IF($F23="s-curve",$D23+($E23-$D23)*$J$2/(1+EXP($J$3*(COUNT($O$9:S$9)+$J$4))),TREND($D23:$E23,$D$9:$E$9,S$9))</f>
        <v>5.4145990187090494E-2</v>
      </c>
      <c r="T23" s="214">
        <f>IF($F23="s-curve",$D23+($E23-$D23)*$J$2/(1+EXP($J$3*(COUNT($O$9:T$9)+$J$4))),TREND($D23:$E23,$D$9:$E$9,T$9))</f>
        <v>6.344359495834509E-2</v>
      </c>
      <c r="U23" s="214">
        <f>IF($F23="s-curve",$D23+($E23-$D23)*$J$2/(1+EXP($J$3*(COUNT($O$9:U$9)+$J$4))),TREND($D23:$E23,$D$9:$E$9,U$9))</f>
        <v>7.4166581630082648E-2</v>
      </c>
      <c r="V23" s="214">
        <f>IF($F23="s-curve",$D23+($E23-$D23)*$J$2/(1+EXP($J$3*(COUNT($O$9:V$9)+$J$4))),TREND($D23:$E23,$D$9:$E$9,V$9))</f>
        <v>8.6453781561459359E-2</v>
      </c>
      <c r="W23" s="214">
        <f>IF($F23="s-curve",$D23+($E23-$D23)*$J$2/(1+EXP($J$3*(COUNT($O$9:W$9)+$J$4))),TREND($D23:$E23,$D$9:$E$9,W$9))</f>
        <v>0.10042951223285367</v>
      </c>
      <c r="X23" s="214">
        <f>IF($F23="s-curve",$D23+($E23-$D23)*$J$2/(1+EXP($J$3*(COUNT($O$9:X$9)+$J$4))),TREND($D23:$E23,$D$9:$E$9,X$9))</f>
        <v>0.11619257212366976</v>
      </c>
      <c r="Y23" s="214">
        <f>IF($F23="s-curve",$D23+($E23-$D23)*$J$2/(1+EXP($J$3*(COUNT($O$9:Y$9)+$J$4))),TREND($D23:$E23,$D$9:$E$9,Y$9))</f>
        <v>0.13380363786290159</v>
      </c>
      <c r="Z23" s="214">
        <f>IF($F23="s-curve",$D23+($E23-$D23)*$J$2/(1+EXP($J$3*(COUNT($O$9:Z$9)+$J$4))),TREND($D23:$E23,$D$9:$E$9,Z$9))</f>
        <v>0.15327199446361311</v>
      </c>
      <c r="AA23" s="214">
        <f>IF($F23="s-curve",$D23+($E23-$D23)*$J$2/(1+EXP($J$3*(COUNT($O$9:AA$9)+$J$4))),TREND($D23:$E23,$D$9:$E$9,AA$9))</f>
        <v>0.17454304999924758</v>
      </c>
      <c r="AB23" s="214">
        <f>IF($F23="s-curve",$D23+($E23-$D23)*$J$2/(1+EXP($J$3*(COUNT($O$9:AB$9)+$J$4))),TREND($D23:$E23,$D$9:$E$9,AB$9))</f>
        <v>0.19748852910908696</v>
      </c>
      <c r="AC23" s="214">
        <f>IF($F23="s-curve",$D23+($E23-$D23)*$J$2/(1+EXP($J$3*(COUNT($O$9:AC$9)+$J$4))),TREND($D23:$E23,$D$9:$E$9,AC$9))</f>
        <v>0.22190143852679703</v>
      </c>
      <c r="AD23" s="214">
        <f>IF($F23="s-curve",$D23+($E23-$D23)*$J$2/(1+EXP($J$3*(COUNT($O$9:AD$9)+$J$4))),TREND($D23:$E23,$D$9:$E$9,AD$9))</f>
        <v>0.24749768362394373</v>
      </c>
      <c r="AE23" s="214">
        <f>IF($F23="s-curve",$D23+($E23-$D23)*$J$2/(1+EXP($J$3*(COUNT($O$9:AE$9)+$J$4))),TREND($D23:$E23,$D$9:$E$9,AE$9))</f>
        <v>0.273925488641451</v>
      </c>
      <c r="AF23" s="214">
        <f>IF($F23="s-curve",$D23+($E23-$D23)*$J$2/(1+EXP($J$3*(COUNT($O$9:AF$9)+$J$4))),TREND($D23:$E23,$D$9:$E$9,AF$9))</f>
        <v>0.30078258130158425</v>
      </c>
      <c r="AG23" s="214">
        <f>IF($F23="s-curve",$D23+($E23-$D23)*$J$2/(1+EXP($J$3*(COUNT($O$9:AG$9)+$J$4))),TREND($D23:$E23,$D$9:$E$9,AG$9))</f>
        <v>0.32763967396171756</v>
      </c>
      <c r="AH23" s="214">
        <f>IF($F23="s-curve",$D23+($E23-$D23)*$J$2/(1+EXP($J$3*(COUNT($O$9:AH$9)+$J$4))),TREND($D23:$E23,$D$9:$E$9,AH$9))</f>
        <v>0.3540674789792248</v>
      </c>
      <c r="AI23" s="214">
        <f>IF($F23="s-curve",$D23+($E23-$D23)*$J$2/(1+EXP($J$3*(COUNT($O$9:AI$9)+$J$4))),TREND($D23:$E23,$D$9:$E$9,AI$9))</f>
        <v>0.37966372407637144</v>
      </c>
      <c r="AJ23" s="214">
        <f>IF($F23="s-curve",$D23+($E23-$D23)*$J$2/(1+EXP($J$3*(COUNT($O$9:AJ$9)+$J$4))),TREND($D23:$E23,$D$9:$E$9,AJ$9))</f>
        <v>0.40407663349408157</v>
      </c>
      <c r="AK23" s="214">
        <f>IF($F23="s-curve",$D23+($E23-$D23)*$J$2/(1+EXP($J$3*(COUNT($O$9:AK$9)+$J$4))),TREND($D23:$E23,$D$9:$E$9,AK$9))</f>
        <v>0.42702211260392092</v>
      </c>
      <c r="AL23" s="214">
        <f>IF($F23="s-curve",$D23+($E23-$D23)*$J$2/(1+EXP($J$3*(COUNT($O$9:AL$9)+$J$4))),TREND($D23:$E23,$D$9:$E$9,AL$9))</f>
        <v>0.44829316813955539</v>
      </c>
      <c r="AM23" s="214">
        <f>IF($F23="s-curve",$D23+($E23-$D23)*$J$2/(1+EXP($J$3*(COUNT($O$9:AM$9)+$J$4))),TREND($D23:$E23,$D$9:$E$9,AM$9))</f>
        <v>0.46776152474026689</v>
      </c>
      <c r="AN23" s="214">
        <f>IF($F23="s-curve",$D23+($E23-$D23)*$J$2/(1+EXP($J$3*(COUNT($O$9:AN$9)+$J$4))),TREND($D23:$E23,$D$9:$E$9,AN$9))</f>
        <v>0.48537259047949882</v>
      </c>
      <c r="AO23" s="214">
        <f>IF($F23="s-curve",$D23+($E23-$D23)*$J$2/(1+EXP($J$3*(COUNT($O$9:AO$9)+$J$4))),TREND($D23:$E23,$D$9:$E$9,AO$9))</f>
        <v>0.50113565037031493</v>
      </c>
      <c r="AP23" s="214">
        <f>IF($F23="s-curve",$D23+($E23-$D23)*$J$2/(1+EXP($J$3*(COUNT($O$9:AP$9)+$J$4))),TREND($D23:$E23,$D$9:$E$9,AP$9))</f>
        <v>0.51511138104170917</v>
      </c>
      <c r="AQ23" s="214">
        <f>IF($F23="s-curve",$D23+($E23-$D23)*$J$2/(1+EXP($J$3*(COUNT($O$9:AQ$9)+$J$4))),TREND($D23:$E23,$D$9:$E$9,AQ$9))</f>
        <v>0.52739858097308578</v>
      </c>
      <c r="AR23" s="214">
        <f>IF($F23="s-curve",$D23+($E23-$D23)*$J$2/(1+EXP($J$3*(COUNT($O$9:AR$9)+$J$4))),TREND($D23:$E23,$D$9:$E$9,AR$9))</f>
        <v>0.53812156764482344</v>
      </c>
      <c r="AS23" s="214">
        <f>IF($F23="s-curve",$D23+($E23-$D23)*$J$2/(1+EXP($J$3*(COUNT($O$9:AS$9)+$J$4))),TREND($D23:$E23,$D$9:$E$9,AS$9))</f>
        <v>0.54741917241607807</v>
      </c>
      <c r="AT23" s="214">
        <f>IF($F23="s-curve",$D23+($E23-$D23)*$J$2/(1+EXP($J$3*(COUNT($O$9:AT$9)+$J$4))),TREND($D23:$E23,$D$9:$E$9,AT$9))</f>
        <v>0.5554357873432918</v>
      </c>
      <c r="AU23" s="214">
        <f>IF($F23="s-curve",$D23+($E23-$D23)*$J$2/(1+EXP($J$3*(COUNT($O$9:AU$9)+$J$4))),TREND($D23:$E23,$D$9:$E$9,AU$9))</f>
        <v>0.56231454990769858</v>
      </c>
      <c r="AV23" s="214">
        <f>IF($F23="s-curve",$D23+($E23-$D23)*$J$2/(1+EXP($J$3*(COUNT($O$9:AV$9)+$J$4))),TREND($D23:$E23,$D$9:$E$9,AV$9))</f>
        <v>0.56819250833216783</v>
      </c>
      <c r="AW23" s="214">
        <f>IF($F23="s-curve",$D23+($E23-$D23)*$J$2/(1+EXP($J$3*(COUNT($O$9:AW$9)+$J$4))),TREND($D23:$E23,$D$9:$E$9,AW$9))</f>
        <v>0.57319747820802325</v>
      </c>
      <c r="AX23" s="214">
        <f>IF($F23="s-curve",$D23+($E23-$D23)*$J$2/(1+EXP($J$3*(COUNT($O$9:AX$9)+$J$4))),TREND($D23:$E23,$D$9:$E$9,AX$9))</f>
        <v>0.5774462533716529</v>
      </c>
      <c r="AY23" s="214">
        <f>IF($F23="s-curve",$D23+($E23-$D23)*$J$2/(1+EXP($J$3*(COUNT($O$9:AY$9)+$J$4))),TREND($D23:$E23,$D$9:$E$9,AY$9))</f>
        <v>0.58104384142063448</v>
      </c>
      <c r="AZ23" s="214">
        <f>IF($F23="s-curve",$D23+($E23-$D23)*$J$2/(1+EXP($J$3*(COUNT($O$9:AZ$9)+$J$4))),TREND($D23:$E23,$D$9:$E$9,AZ$9))</f>
        <v>0.58408343247358363</v>
      </c>
      <c r="BA23" s="214">
        <f>IF($F23="s-curve",$D23+($E23-$D23)*$J$2/(1+EXP($J$3*(COUNT($O$9:BA$9)+$J$4))),TREND($D23:$E23,$D$9:$E$9,BA$9))</f>
        <v>0.58664686094038043</v>
      </c>
      <c r="BB23" s="214">
        <f>IF($F23="s-curve",$D23+($E23-$D23)*$J$2/(1+EXP($J$3*(COUNT($O$9:BB$9)+$J$4))),TREND($D23:$E23,$D$9:$E$9,BB$9))</f>
        <v>0.58880537275720357</v>
      </c>
      <c r="BC23" s="214">
        <f>IF($F23="s-curve",$D23+($E23-$D23)*$J$2/(1+EXP($J$3*(COUNT($O$9:BC$9)+$J$4))),TREND($D23:$E23,$D$9:$E$9,BC$9))</f>
        <v>0.5906205584047205</v>
      </c>
    </row>
    <row r="24" spans="1:55" s="206" customFormat="1" x14ac:dyDescent="0.15">
      <c r="A24" s="206" t="s">
        <v>13</v>
      </c>
      <c r="B24" s="206" t="s">
        <v>19</v>
      </c>
      <c r="C24" s="206" t="s">
        <v>1</v>
      </c>
      <c r="D24" s="207">
        <f>'Historical Shareweights'!J146</f>
        <v>0.75700000000000001</v>
      </c>
      <c r="E24" s="209">
        <v>1</v>
      </c>
      <c r="F24" s="208" t="str">
        <f>IF(D24=E24,"n/a",IF(OR(C24="battery electric vehicle",C24="natural gas vehicle",C24="plugin hybrid vehicle"),"s-curve","linear"))</f>
        <v>s-curve</v>
      </c>
      <c r="O24" s="207">
        <f>D24</f>
        <v>0.75700000000000001</v>
      </c>
      <c r="P24" s="206">
        <f>IF($F24="s-curve",$D24+($E24-$D24)*$O$2/(1+EXP($O$3*(COUNT($O$9:P$9)+$O$4))),TREND($D24:$E24,$D$9:$E$9,P$9))</f>
        <v>0.7618211942933808</v>
      </c>
      <c r="Q24" s="206">
        <f>IF($F24="s-curve",$D24+($E24-$D24)*$O$2/(1+EXP($O$3*(COUNT($O$9:Q$9)+$O$4))),TREND($D24:$E24,$D$9:$E$9,Q$9))</f>
        <v>0.76346306943917841</v>
      </c>
      <c r="R24" s="206">
        <f>IF($F24="s-curve",$D24+($E24-$D24)*$O$2/(1+EXP($O$3*(COUNT($O$9:R$9)+$O$4))),TREND($D24:$E24,$D$9:$E$9,R$9))</f>
        <v>0.76564379899325063</v>
      </c>
      <c r="S24" s="206">
        <f>IF($F24="s-curve",$D24+($E24-$D24)*$O$2/(1+EXP($O$3*(COUNT($O$9:S$9)+$O$4))),TREND($D24:$E24,$D$9:$E$9,S$9))</f>
        <v>0.76852448718214872</v>
      </c>
      <c r="T24" s="206">
        <f>IF($F24="s-curve",$D24+($E24-$D24)*$O$2/(1+EXP($O$3*(COUNT($O$9:T$9)+$O$4))),TREND($D24:$E24,$D$9:$E$9,T$9))</f>
        <v>0.77230252552185019</v>
      </c>
      <c r="U24" s="206">
        <f>IF($F24="s-curve",$D24+($E24-$D24)*$O$2/(1+EXP($O$3*(COUNT($O$9:U$9)+$O$4))),TREND($D24:$E24,$D$9:$E$9,U$9))</f>
        <v>0.77721096524802313</v>
      </c>
      <c r="V24" s="206">
        <f>IF($F24="s-curve",$D24+($E24-$D24)*$O$2/(1+EXP($O$3*(COUNT($O$9:V$9)+$O$4))),TREND($D24:$E24,$D$9:$E$9,V$9))</f>
        <v>0.78351052755053396</v>
      </c>
      <c r="W24" s="206">
        <f>IF($F24="s-curve",$D24+($E24-$D24)*$O$2/(1+EXP($O$3*(COUNT($O$9:W$9)+$O$4))),TREND($D24:$E24,$D$9:$E$9,W$9))</f>
        <v>0.79146980877081852</v>
      </c>
      <c r="X24" s="206">
        <f>IF($F24="s-curve",$D24+($E24-$D24)*$O$2/(1+EXP($O$3*(COUNT($O$9:X$9)+$O$4))),TREND($D24:$E24,$D$9:$E$9,X$9))</f>
        <v>0.80132940228494465</v>
      </c>
      <c r="Y24" s="206">
        <f>IF($F24="s-curve",$D24+($E24-$D24)*$O$2/(1+EXP($O$3*(COUNT($O$9:Y$9)+$O$4))),TREND($D24:$E24,$D$9:$E$9,Y$9))</f>
        <v>0.81324847760973873</v>
      </c>
      <c r="Z24" s="206">
        <f>IF($F24="s-curve",$D24+($E24-$D24)*$O$2/(1+EXP($O$3*(COUNT($O$9:Z$9)+$O$4))),TREND($D24:$E24,$D$9:$E$9,Z$9))</f>
        <v>0.82723927086212401</v>
      </c>
      <c r="AA24" s="206">
        <f>IF($F24="s-curve",$D24+($E24-$D24)*$O$2/(1+EXP($O$3*(COUNT($O$9:AA$9)+$O$4))),TREND($D24:$E24,$D$9:$E$9,AA$9))</f>
        <v>0.8431055175871317</v>
      </c>
      <c r="AB24" s="206">
        <f>IF($F24="s-curve",$D24+($E24-$D24)*$O$2/(1+EXP($O$3*(COUNT($O$9:AB$9)+$O$4))),TREND($D24:$E24,$D$9:$E$9,AB$9))</f>
        <v>0.86041046841476687</v>
      </c>
      <c r="AC24" s="206">
        <f>IF($F24="s-curve",$D24+($E24-$D24)*$O$2/(1+EXP($O$3*(COUNT($O$9:AC$9)+$O$4))),TREND($D24:$E24,$D$9:$E$9,AC$9))</f>
        <v>0.87850000000000006</v>
      </c>
      <c r="AD24" s="206">
        <f>IF($F24="s-curve",$D24+($E24-$D24)*$O$2/(1+EXP($O$3*(COUNT($O$9:AD$9)+$O$4))),TREND($D24:$E24,$D$9:$E$9,AD$9))</f>
        <v>0.89658953158523313</v>
      </c>
      <c r="AE24" s="206">
        <f>IF($F24="s-curve",$D24+($E24-$D24)*$O$2/(1+EXP($O$3*(COUNT($O$9:AE$9)+$O$4))),TREND($D24:$E24,$D$9:$E$9,AE$9))</f>
        <v>0.9138944824128683</v>
      </c>
      <c r="AF24" s="206">
        <f>IF($F24="s-curve",$D24+($E24-$D24)*$O$2/(1+EXP($O$3*(COUNT($O$9:AF$9)+$O$4))),TREND($D24:$E24,$D$9:$E$9,AF$9))</f>
        <v>0.929760729137876</v>
      </c>
      <c r="AG24" s="206">
        <f>IF($F24="s-curve",$D24+($E24-$D24)*$O$2/(1+EXP($O$3*(COUNT($O$9:AG$9)+$O$4))),TREND($D24:$E24,$D$9:$E$9,AG$9))</f>
        <v>0.94375152239026128</v>
      </c>
      <c r="AH24" s="206">
        <f>IF($F24="s-curve",$D24+($E24-$D24)*$O$2/(1+EXP($O$3*(COUNT($O$9:AH$9)+$O$4))),TREND($D24:$E24,$D$9:$E$9,AH$9))</f>
        <v>0.95567059771505536</v>
      </c>
      <c r="AI24" s="206">
        <f>IF($F24="s-curve",$D24+($E24-$D24)*$O$2/(1+EXP($O$3*(COUNT($O$9:AI$9)+$O$4))),TREND($D24:$E24,$D$9:$E$9,AI$9))</f>
        <v>0.96553019122918149</v>
      </c>
      <c r="AJ24" s="206">
        <f>IF($F24="s-curve",$D24+($E24-$D24)*$O$2/(1+EXP($O$3*(COUNT($O$9:AJ$9)+$O$4))),TREND($D24:$E24,$D$9:$E$9,AJ$9))</f>
        <v>0.97348947244946604</v>
      </c>
      <c r="AK24" s="206">
        <f>IF($F24="s-curve",$D24+($E24-$D24)*$O$2/(1+EXP($O$3*(COUNT($O$9:AK$9)+$O$4))),TREND($D24:$E24,$D$9:$E$9,AK$9))</f>
        <v>0.97978903475197687</v>
      </c>
      <c r="AL24" s="206">
        <f>IF($F24="s-curve",$D24+($E24-$D24)*$O$2/(1+EXP($O$3*(COUNT($O$9:AL$9)+$O$4))),TREND($D24:$E24,$D$9:$E$9,AL$9))</f>
        <v>0.98469747447814981</v>
      </c>
      <c r="AM24" s="206">
        <f>IF($F24="s-curve",$D24+($E24-$D24)*$O$2/(1+EXP($O$3*(COUNT($O$9:AM$9)+$O$4))),TREND($D24:$E24,$D$9:$E$9,AM$9))</f>
        <v>0.98847551281785129</v>
      </c>
      <c r="AN24" s="206">
        <f>IF($F24="s-curve",$D24+($E24-$D24)*$O$2/(1+EXP($O$3*(COUNT($O$9:AN$9)+$O$4))),TREND($D24:$E24,$D$9:$E$9,AN$9))</f>
        <v>0.99135620100674937</v>
      </c>
      <c r="AO24" s="206">
        <f>IF($F24="s-curve",$D24+($E24-$D24)*$O$2/(1+EXP($O$3*(COUNT($O$9:AO$9)+$O$4))),TREND($D24:$E24,$D$9:$E$9,AO$9))</f>
        <v>0.9935369305608216</v>
      </c>
      <c r="AP24" s="206">
        <f>IF($F24="s-curve",$D24+($E24-$D24)*$O$2/(1+EXP($O$3*(COUNT($O$9:AP$9)+$O$4))),TREND($D24:$E24,$D$9:$E$9,AP$9))</f>
        <v>0.99517880570661921</v>
      </c>
      <c r="AQ24" s="206">
        <f>IF($F24="s-curve",$D24+($E24-$D24)*$O$2/(1+EXP($O$3*(COUNT($O$9:AQ$9)+$O$4))),TREND($D24:$E24,$D$9:$E$9,AQ$9))</f>
        <v>0.99640991029853465</v>
      </c>
      <c r="AR24" s="206">
        <f>IF($F24="s-curve",$D24+($E24-$D24)*$O$2/(1+EXP($O$3*(COUNT($O$9:AR$9)+$O$4))),TREND($D24:$E24,$D$9:$E$9,AR$9))</f>
        <v>0.99733017294076587</v>
      </c>
      <c r="AS24" s="206">
        <f>IF($F24="s-curve",$D24+($E24-$D24)*$O$2/(1+EXP($O$3*(COUNT($O$9:AS$9)+$O$4))),TREND($D24:$E24,$D$9:$E$9,AS$9))</f>
        <v>0.99801649520978208</v>
      </c>
      <c r="AT24" s="206">
        <f t="shared" si="11"/>
        <v>0.99801649520978208</v>
      </c>
      <c r="AU24" s="206">
        <f t="shared" si="11"/>
        <v>0.99801649520978208</v>
      </c>
      <c r="AV24" s="206">
        <f t="shared" si="11"/>
        <v>0.99801649520978208</v>
      </c>
      <c r="AW24" s="206">
        <f t="shared" si="11"/>
        <v>0.99801649520978208</v>
      </c>
      <c r="AX24" s="206">
        <f t="shared" si="11"/>
        <v>0.99801649520978208</v>
      </c>
      <c r="AY24" s="206">
        <f t="shared" si="11"/>
        <v>0.99801649520978208</v>
      </c>
      <c r="AZ24" s="206">
        <f t="shared" si="11"/>
        <v>0.99801649520978208</v>
      </c>
      <c r="BA24" s="206">
        <f t="shared" si="11"/>
        <v>0.99801649520978208</v>
      </c>
      <c r="BB24" s="206">
        <f t="shared" si="11"/>
        <v>0.99801649520978208</v>
      </c>
      <c r="BC24" s="206">
        <f t="shared" si="11"/>
        <v>0.99801649520978208</v>
      </c>
    </row>
    <row r="25" spans="1:55" x14ac:dyDescent="0.15">
      <c r="C25" t="s">
        <v>2</v>
      </c>
      <c r="D25" s="22">
        <f>'Historical Shareweights'!J147</f>
        <v>1.6E-2</v>
      </c>
      <c r="E25" s="22">
        <f>E32*3</f>
        <v>0.15850139443373243</v>
      </c>
      <c r="F25" s="7" t="str">
        <f>IF(D25=E25,"n/a",IF(OR(C25="battery electric vehicle",C25="natural gas vehicle",C25="plugin hybrid vehicle"),"s-curve","linear"))</f>
        <v>s-curve</v>
      </c>
      <c r="O25" s="22">
        <f t="shared" si="10"/>
        <v>1.6E-2</v>
      </c>
      <c r="P25">
        <f>IF($F25="s-curve",$D25+($E25-$D25)*$I$2/(1+EXP($I$3*(COUNT($O$9:P$9)+$I$4))),TREND($D25:$E25,$D$9:$E$9,P$9))</f>
        <v>1.8827271233097624E-2</v>
      </c>
      <c r="Q25">
        <f>IF($F25="s-curve",$D25+($E25-$D25)*$I$2/(1+EXP($I$3*(COUNT($O$9:Q$9)+$I$4))),TREND($D25:$E25,$D$9:$E$9,Q$9))</f>
        <v>1.979010867244841E-2</v>
      </c>
      <c r="R25">
        <f>IF($F25="s-curve",$D25+($E25-$D25)*$I$2/(1+EXP($I$3*(COUNT($O$9:R$9)+$I$4))),TREND($D25:$E25,$D$9:$E$9,R$9))</f>
        <v>2.106894407301688E-2</v>
      </c>
      <c r="S25">
        <f>IF($F25="s-curve",$D25+($E25-$D25)*$I$2/(1+EXP($I$3*(COUNT($O$9:S$9)+$I$4))),TREND($D25:$E25,$D$9:$E$9,S$9))</f>
        <v>2.2758253060040617E-2</v>
      </c>
      <c r="T25">
        <f>IF($F25="s-curve",$D25+($E25-$D25)*$I$2/(1+EXP($I$3*(COUNT($O$9:T$9)+$I$4))),TREND($D25:$E25,$D$9:$E$9,T$9))</f>
        <v>2.4973791050293934E-2</v>
      </c>
      <c r="U25">
        <f>IF($F25="s-curve",$D25+($E25-$D25)*$I$2/(1+EXP($I$3*(COUNT($O$9:U$9)+$I$4))),TREND($D25:$E25,$D$9:$E$9,U$9))</f>
        <v>2.7852225229197548E-2</v>
      </c>
      <c r="V25">
        <f>IF($F25="s-curve",$D25+($E25-$D25)*$I$2/(1+EXP($I$3*(COUNT($O$9:V$9)+$I$4))),TREND($D25:$E25,$D$9:$E$9,V$9))</f>
        <v>3.154644914866242E-2</v>
      </c>
      <c r="W25">
        <f>IF($F25="s-curve",$D25+($E25-$D25)*$I$2/(1+EXP($I$3*(COUNT($O$9:W$9)+$I$4))),TREND($D25:$E25,$D$9:$E$9,W$9))</f>
        <v>3.6213974550229393E-2</v>
      </c>
      <c r="X25">
        <f>IF($F25="s-curve",$D25+($E25-$D25)*$I$2/(1+EXP($I$3*(COUNT($O$9:X$9)+$I$4))),TREND($D25:$E25,$D$9:$E$9,X$9))</f>
        <v>4.1995891522709834E-2</v>
      </c>
      <c r="Y25">
        <f>IF($F25="s-curve",$D25+($E25-$D25)*$I$2/(1+EXP($I$3*(COUNT($O$9:Y$9)+$I$4))),TREND($D25:$E25,$D$9:$E$9,Y$9))</f>
        <v>4.89855411282401E-2</v>
      </c>
      <c r="Z25">
        <f>IF($F25="s-curve",$D25+($E25-$D25)*$I$2/(1+EXP($I$3*(COUNT($O$9:Z$9)+$I$4))),TREND($D25:$E25,$D$9:$E$9,Z$9))</f>
        <v>5.7190098937700856E-2</v>
      </c>
      <c r="AA25">
        <f>IF($F25="s-curve",$D25+($E25-$D25)*$I$2/(1+EXP($I$3*(COUNT($O$9:AA$9)+$I$4))),TREND($D25:$E25,$D$9:$E$9,AA$9))</f>
        <v>6.6494470471623629E-2</v>
      </c>
      <c r="AB25">
        <f>IF($F25="s-curve",$D25+($E25-$D25)*$I$2/(1+EXP($I$3*(COUNT($O$9:AB$9)+$I$4))),TREND($D25:$E25,$D$9:$E$9,AB$9))</f>
        <v>7.6642534766048237E-2</v>
      </c>
      <c r="AC25">
        <f>IF($F25="s-curve",$D25+($E25-$D25)*$I$2/(1+EXP($I$3*(COUNT($O$9:AC$9)+$I$4))),TREND($D25:$E25,$D$9:$E$9,AC$9))</f>
        <v>8.7250697216866221E-2</v>
      </c>
      <c r="AD25">
        <f>IF($F25="s-curve",$D25+($E25-$D25)*$I$2/(1+EXP($I$3*(COUNT($O$9:AD$9)+$I$4))),TREND($D25:$E25,$D$9:$E$9,AD$9))</f>
        <v>9.7858859667684206E-2</v>
      </c>
      <c r="AE25">
        <f>IF($F25="s-curve",$D25+($E25-$D25)*$I$2/(1+EXP($I$3*(COUNT($O$9:AE$9)+$I$4))),TREND($D25:$E25,$D$9:$E$9,AE$9))</f>
        <v>0.10800692396210881</v>
      </c>
      <c r="AF25">
        <f>IF($F25="s-curve",$D25+($E25-$D25)*$I$2/(1+EXP($I$3*(COUNT($O$9:AF$9)+$I$4))),TREND($D25:$E25,$D$9:$E$9,AF$9))</f>
        <v>0.11731129549603159</v>
      </c>
      <c r="AG25">
        <f>IF($F25="s-curve",$D25+($E25-$D25)*$I$2/(1+EXP($I$3*(COUNT($O$9:AG$9)+$I$4))),TREND($D25:$E25,$D$9:$E$9,AG$9))</f>
        <v>0.12551585330549234</v>
      </c>
      <c r="AH25">
        <f>IF($F25="s-curve",$D25+($E25-$D25)*$I$2/(1+EXP($I$3*(COUNT($O$9:AH$9)+$I$4))),TREND($D25:$E25,$D$9:$E$9,AH$9))</f>
        <v>0.13250550291102259</v>
      </c>
      <c r="AI25">
        <f>IF($F25="s-curve",$D25+($E25-$D25)*$I$2/(1+EXP($I$3*(COUNT($O$9:AI$9)+$I$4))),TREND($D25:$E25,$D$9:$E$9,AI$9))</f>
        <v>0.13828741988350307</v>
      </c>
      <c r="AJ25">
        <f>IF($F25="s-curve",$D25+($E25-$D25)*$I$2/(1+EXP($I$3*(COUNT($O$9:AJ$9)+$I$4))),TREND($D25:$E25,$D$9:$E$9,AJ$9))</f>
        <v>0.14295494528507002</v>
      </c>
      <c r="AK25">
        <f>IF($F25="s-curve",$D25+($E25-$D25)*$I$2/(1+EXP($I$3*(COUNT($O$9:AK$9)+$I$4))),TREND($D25:$E25,$D$9:$E$9,AK$9))</f>
        <v>0.14664916920453491</v>
      </c>
      <c r="AL25">
        <f>IF($F25="s-curve",$D25+($E25-$D25)*$I$2/(1+EXP($I$3*(COUNT($O$9:AL$9)+$I$4))),TREND($D25:$E25,$D$9:$E$9,AL$9))</f>
        <v>0.14952760338343851</v>
      </c>
      <c r="AM25">
        <f>IF($F25="s-curve",$D25+($E25-$D25)*$I$2/(1+EXP($I$3*(COUNT($O$9:AM$9)+$I$4))),TREND($D25:$E25,$D$9:$E$9,AM$9))</f>
        <v>0.15174314137369183</v>
      </c>
      <c r="AN25">
        <f>IF($F25="s-curve",$D25+($E25-$D25)*$I$2/(1+EXP($I$3*(COUNT($O$9:AN$9)+$I$4))),TREND($D25:$E25,$D$9:$E$9,AN$9))</f>
        <v>0.15343245036071557</v>
      </c>
      <c r="AO25">
        <f>IF($F25="s-curve",$D25+($E25-$D25)*$I$2/(1+EXP($I$3*(COUNT($O$9:AO$9)+$I$4))),TREND($D25:$E25,$D$9:$E$9,AO$9))</f>
        <v>0.15471128576128401</v>
      </c>
      <c r="AP25">
        <f>IF($F25="s-curve",$D25+($E25-$D25)*$I$2/(1+EXP($I$3*(COUNT($O$9:AP$9)+$I$4))),TREND($D25:$E25,$D$9:$E$9,AP$9))</f>
        <v>0.15567412320063484</v>
      </c>
      <c r="AQ25">
        <f>IF($F25="s-curve",$D25+($E25-$D25)*$I$2/(1+EXP($I$3*(COUNT($O$9:AQ$9)+$I$4))),TREND($D25:$E25,$D$9:$E$9,AQ$9))</f>
        <v>0.15639607431603286</v>
      </c>
      <c r="AR25">
        <f>IF($F25="s-curve",$D25+($E25-$D25)*$I$2/(1+EXP($I$3*(COUNT($O$9:AR$9)+$I$4))),TREND($D25:$E25,$D$9:$E$9,AR$9))</f>
        <v>0.15693573978830949</v>
      </c>
      <c r="AS25">
        <f>IF($F25="s-curve",$D25+($E25-$D25)*$I$2/(1+EXP($I$3*(COUNT($O$9:AS$9)+$I$4))),TREND($D25:$E25,$D$9:$E$9,AS$9))</f>
        <v>0.15733821666224262</v>
      </c>
      <c r="AT25">
        <f t="shared" si="11"/>
        <v>0.15733821666224262</v>
      </c>
      <c r="AU25">
        <f t="shared" si="11"/>
        <v>0.15733821666224262</v>
      </c>
      <c r="AV25">
        <f t="shared" si="11"/>
        <v>0.15733821666224262</v>
      </c>
      <c r="AW25">
        <f t="shared" si="11"/>
        <v>0.15733821666224262</v>
      </c>
      <c r="AX25">
        <f t="shared" si="11"/>
        <v>0.15733821666224262</v>
      </c>
      <c r="AY25">
        <f t="shared" si="11"/>
        <v>0.15733821666224262</v>
      </c>
      <c r="AZ25">
        <f t="shared" si="11"/>
        <v>0.15733821666224262</v>
      </c>
      <c r="BA25">
        <f t="shared" si="11"/>
        <v>0.15733821666224262</v>
      </c>
      <c r="BB25">
        <f t="shared" si="11"/>
        <v>0.15733821666224262</v>
      </c>
      <c r="BC25">
        <f t="shared" si="11"/>
        <v>0.15733821666224262</v>
      </c>
    </row>
    <row r="26" spans="1:55" x14ac:dyDescent="0.15">
      <c r="C26" t="s">
        <v>3</v>
      </c>
      <c r="D26" s="22">
        <f>'Historical Shareweights'!J148</f>
        <v>8.5999999999999993E-2</v>
      </c>
      <c r="E26" s="22">
        <v>0</v>
      </c>
      <c r="F26" s="7" t="str">
        <f>IF(D26=E26,"n/a",IF(OR(C26="battery electric vehicle",C26="natural gas vehicle",C26="plugin hybrid vehicle"),"s-curve","linear"))</f>
        <v>linear</v>
      </c>
      <c r="O26" s="22">
        <f t="shared" si="10"/>
        <v>8.5999999999999993E-2</v>
      </c>
      <c r="P26">
        <f>IF($F26="s-curve",$D26+($E26-$D26)*$I$2/(1+EXP($I$3*(COUNT($O$9:P$9)+$I$4))),TREND($D26:$E26,$D$9:$E$9,P$9))</f>
        <v>8.3133333333333503E-2</v>
      </c>
      <c r="Q26">
        <f>IF($F26="s-curve",$D26+($E26-$D26)*$I$2/(1+EXP($I$3*(COUNT($O$9:Q$9)+$I$4))),TREND($D26:$E26,$D$9:$E$9,Q$9))</f>
        <v>8.0266666666666708E-2</v>
      </c>
      <c r="R26">
        <f>IF($F26="s-curve",$D26+($E26-$D26)*$I$2/(1+EXP($I$3*(COUNT($O$9:R$9)+$I$4))),TREND($D26:$E26,$D$9:$E$9,R$9))</f>
        <v>7.7399999999999913E-2</v>
      </c>
      <c r="S26">
        <f>IF($F26="s-curve",$D26+($E26-$D26)*$I$2/(1+EXP($I$3*(COUNT($O$9:S$9)+$I$4))),TREND($D26:$E26,$D$9:$E$9,S$9))</f>
        <v>7.4533333333333118E-2</v>
      </c>
      <c r="T26">
        <f>IF($F26="s-curve",$D26+($E26-$D26)*$I$2/(1+EXP($I$3*(COUNT($O$9:T$9)+$I$4))),TREND($D26:$E26,$D$9:$E$9,T$9))</f>
        <v>7.1666666666667211E-2</v>
      </c>
      <c r="U26">
        <f>IF($F26="s-curve",$D26+($E26-$D26)*$I$2/(1+EXP($I$3*(COUNT($O$9:U$9)+$I$4))),TREND($D26:$E26,$D$9:$E$9,U$9))</f>
        <v>6.8800000000000416E-2</v>
      </c>
      <c r="V26">
        <f>IF($F26="s-curve",$D26+($E26-$D26)*$I$2/(1+EXP($I$3*(COUNT($O$9:V$9)+$I$4))),TREND($D26:$E26,$D$9:$E$9,V$9))</f>
        <v>6.5933333333333621E-2</v>
      </c>
      <c r="W26">
        <f>IF($F26="s-curve",$D26+($E26-$D26)*$I$2/(1+EXP($I$3*(COUNT($O$9:W$9)+$I$4))),TREND($D26:$E26,$D$9:$E$9,W$9))</f>
        <v>6.3066666666666826E-2</v>
      </c>
      <c r="X26">
        <f>IF($F26="s-curve",$D26+($E26-$D26)*$I$2/(1+EXP($I$3*(COUNT($O$9:X$9)+$I$4))),TREND($D26:$E26,$D$9:$E$9,X$9))</f>
        <v>6.0200000000000031E-2</v>
      </c>
      <c r="Y26">
        <f>IF($F26="s-curve",$D26+($E26-$D26)*$I$2/(1+EXP($I$3*(COUNT($O$9:Y$9)+$I$4))),TREND($D26:$E26,$D$9:$E$9,Y$9))</f>
        <v>5.7333333333333236E-2</v>
      </c>
      <c r="Z26">
        <f>IF($F26="s-curve",$D26+($E26-$D26)*$I$2/(1+EXP($I$3*(COUNT($O$9:Z$9)+$I$4))),TREND($D26:$E26,$D$9:$E$9,Z$9))</f>
        <v>5.4466666666667329E-2</v>
      </c>
      <c r="AA26">
        <f>IF($F26="s-curve",$D26+($E26-$D26)*$I$2/(1+EXP($I$3*(COUNT($O$9:AA$9)+$I$4))),TREND($D26:$E26,$D$9:$E$9,AA$9))</f>
        <v>5.1600000000000534E-2</v>
      </c>
      <c r="AB26">
        <f>IF($F26="s-curve",$D26+($E26-$D26)*$I$2/(1+EXP($I$3*(COUNT($O$9:AB$9)+$I$4))),TREND($D26:$E26,$D$9:$E$9,AB$9))</f>
        <v>4.8733333333333739E-2</v>
      </c>
      <c r="AC26">
        <f>IF($F26="s-curve",$D26+($E26-$D26)*$I$2/(1+EXP($I$3*(COUNT($O$9:AC$9)+$I$4))),TREND($D26:$E26,$D$9:$E$9,AC$9))</f>
        <v>4.5866666666666944E-2</v>
      </c>
      <c r="AD26">
        <f>IF($F26="s-curve",$D26+($E26-$D26)*$I$2/(1+EXP($I$3*(COUNT($O$9:AD$9)+$I$4))),TREND($D26:$E26,$D$9:$E$9,AD$9))</f>
        <v>4.3000000000000149E-2</v>
      </c>
      <c r="AE26">
        <f>IF($F26="s-curve",$D26+($E26-$D26)*$I$2/(1+EXP($I$3*(COUNT($O$9:AE$9)+$I$4))),TREND($D26:$E26,$D$9:$E$9,AE$9))</f>
        <v>4.0133333333333354E-2</v>
      </c>
      <c r="AF26">
        <f>IF($F26="s-curve",$D26+($E26-$D26)*$I$2/(1+EXP($I$3*(COUNT($O$9:AF$9)+$I$4))),TREND($D26:$E26,$D$9:$E$9,AF$9))</f>
        <v>3.7266666666666559E-2</v>
      </c>
      <c r="AG26">
        <f>IF($F26="s-curve",$D26+($E26-$D26)*$I$2/(1+EXP($I$3*(COUNT($O$9:AG$9)+$I$4))),TREND($D26:$E26,$D$9:$E$9,AG$9))</f>
        <v>3.4400000000000652E-2</v>
      </c>
      <c r="AH26">
        <f>IF($F26="s-curve",$D26+($E26-$D26)*$I$2/(1+EXP($I$3*(COUNT($O$9:AH$9)+$I$4))),TREND($D26:$E26,$D$9:$E$9,AH$9))</f>
        <v>3.1533333333333857E-2</v>
      </c>
      <c r="AI26">
        <f>IF($F26="s-curve",$D26+($E26-$D26)*$I$2/(1+EXP($I$3*(COUNT($O$9:AI$9)+$I$4))),TREND($D26:$E26,$D$9:$E$9,AI$9))</f>
        <v>2.8666666666667062E-2</v>
      </c>
      <c r="AJ26">
        <f>IF($F26="s-curve",$D26+($E26-$D26)*$I$2/(1+EXP($I$3*(COUNT($O$9:AJ$9)+$I$4))),TREND($D26:$E26,$D$9:$E$9,AJ$9))</f>
        <v>2.5800000000000267E-2</v>
      </c>
      <c r="AK26">
        <f>IF($F26="s-curve",$D26+($E26-$D26)*$I$2/(1+EXP($I$3*(COUNT($O$9:AK$9)+$I$4))),TREND($D26:$E26,$D$9:$E$9,AK$9))</f>
        <v>2.2933333333333472E-2</v>
      </c>
      <c r="AL26">
        <f>IF($F26="s-curve",$D26+($E26-$D26)*$I$2/(1+EXP($I$3*(COUNT($O$9:AL$9)+$I$4))),TREND($D26:$E26,$D$9:$E$9,AL$9))</f>
        <v>2.0066666666666677E-2</v>
      </c>
      <c r="AM26">
        <f>IF($F26="s-curve",$D26+($E26-$D26)*$I$2/(1+EXP($I$3*(COUNT($O$9:AM$9)+$I$4))),TREND($D26:$E26,$D$9:$E$9,AM$9))</f>
        <v>1.7199999999999882E-2</v>
      </c>
      <c r="AN26">
        <f>IF($F26="s-curve",$D26+($E26-$D26)*$I$2/(1+EXP($I$3*(COUNT($O$9:AN$9)+$I$4))),TREND($D26:$E26,$D$9:$E$9,AN$9))</f>
        <v>1.4333333333333975E-2</v>
      </c>
      <c r="AO26">
        <f>IF($F26="s-curve",$D26+($E26-$D26)*$I$2/(1+EXP($I$3*(COUNT($O$9:AO$9)+$I$4))),TREND($D26:$E26,$D$9:$E$9,AO$9))</f>
        <v>1.146666666666718E-2</v>
      </c>
      <c r="AP26">
        <f>IF($F26="s-curve",$D26+($E26-$D26)*$I$2/(1+EXP($I$3*(COUNT($O$9:AP$9)+$I$4))),TREND($D26:$E26,$D$9:$E$9,AP$9))</f>
        <v>8.6000000000003851E-3</v>
      </c>
      <c r="AQ26">
        <f>IF($F26="s-curve",$D26+($E26-$D26)*$I$2/(1+EXP($I$3*(COUNT($O$9:AQ$9)+$I$4))),TREND($D26:$E26,$D$9:$E$9,AQ$9))</f>
        <v>5.7333333333335901E-3</v>
      </c>
      <c r="AR26">
        <f>IF($F26="s-curve",$D26+($E26-$D26)*$I$2/(1+EXP($I$3*(COUNT($O$9:AR$9)+$I$4))),TREND($D26:$E26,$D$9:$E$9,AR$9))</f>
        <v>2.866666666666795E-3</v>
      </c>
      <c r="AS26">
        <f>IF($F26="s-curve",$D26+($E26-$D26)*$I$2/(1+EXP($I$3*(COUNT($O$9:AS$9)+$I$4))),TREND($D26:$E26,$D$9:$E$9,AS$9))</f>
        <v>0</v>
      </c>
      <c r="AT26">
        <f t="shared" si="11"/>
        <v>0</v>
      </c>
      <c r="AU26">
        <f t="shared" si="11"/>
        <v>0</v>
      </c>
      <c r="AV26">
        <f t="shared" si="11"/>
        <v>0</v>
      </c>
      <c r="AW26">
        <f t="shared" si="11"/>
        <v>0</v>
      </c>
      <c r="AX26">
        <f t="shared" si="11"/>
        <v>0</v>
      </c>
      <c r="AY26">
        <f t="shared" si="11"/>
        <v>0</v>
      </c>
      <c r="AZ26">
        <f t="shared" si="11"/>
        <v>0</v>
      </c>
      <c r="BA26">
        <f t="shared" si="11"/>
        <v>0</v>
      </c>
      <c r="BB26">
        <f t="shared" si="11"/>
        <v>0</v>
      </c>
      <c r="BC26">
        <f t="shared" si="11"/>
        <v>0</v>
      </c>
    </row>
    <row r="27" spans="1:55" x14ac:dyDescent="0.15">
      <c r="C27" t="s">
        <v>4</v>
      </c>
      <c r="D27" s="22">
        <f>'Historical Shareweights'!J149</f>
        <v>0.46800000000000003</v>
      </c>
      <c r="E27">
        <v>1</v>
      </c>
      <c r="F27" s="7" t="str">
        <f>IF(D27=E27,"n/a",IF(OR(C27="battery electric vehicle",C27="natural gas vehicle",C27="plugin hybrid vehicle"),"s-curve","linear"))</f>
        <v>linear</v>
      </c>
      <c r="O27" s="22">
        <f t="shared" si="10"/>
        <v>0.46800000000000003</v>
      </c>
      <c r="P27">
        <f>IF($F27="s-curve",$D27+($E27-$D27)*$I$2/(1+EXP($I$3*(COUNT($O$9:P$9)+$I$4))),TREND($D27:$E27,$D$9:$E$9,P$9))</f>
        <v>0.48573333333333579</v>
      </c>
      <c r="Q27">
        <f>IF($F27="s-curve",$D27+($E27-$D27)*$I$2/(1+EXP($I$3*(COUNT($O$9:Q$9)+$I$4))),TREND($D27:$E27,$D$9:$E$9,Q$9))</f>
        <v>0.50346666666666806</v>
      </c>
      <c r="R27">
        <f>IF($F27="s-curve",$D27+($E27-$D27)*$I$2/(1+EXP($I$3*(COUNT($O$9:R$9)+$I$4))),TREND($D27:$E27,$D$9:$E$9,R$9))</f>
        <v>0.52120000000000033</v>
      </c>
      <c r="S27">
        <f>IF($F27="s-curve",$D27+($E27-$D27)*$I$2/(1+EXP($I$3*(COUNT($O$9:S$9)+$I$4))),TREND($D27:$E27,$D$9:$E$9,S$9))</f>
        <v>0.5389333333333326</v>
      </c>
      <c r="T27">
        <f>IF($F27="s-curve",$D27+($E27-$D27)*$I$2/(1+EXP($I$3*(COUNT($O$9:T$9)+$I$4))),TREND($D27:$E27,$D$9:$E$9,T$9))</f>
        <v>0.55666666666667197</v>
      </c>
      <c r="U27">
        <f>IF($F27="s-curve",$D27+($E27-$D27)*$I$2/(1+EXP($I$3*(COUNT($O$9:U$9)+$I$4))),TREND($D27:$E27,$D$9:$E$9,U$9))</f>
        <v>0.57440000000000424</v>
      </c>
      <c r="V27">
        <f>IF($F27="s-curve",$D27+($E27-$D27)*$I$2/(1+EXP($I$3*(COUNT($O$9:V$9)+$I$4))),TREND($D27:$E27,$D$9:$E$9,V$9))</f>
        <v>0.59213333333333651</v>
      </c>
      <c r="W27">
        <f>IF($F27="s-curve",$D27+($E27-$D27)*$I$2/(1+EXP($I$3*(COUNT($O$9:W$9)+$I$4))),TREND($D27:$E27,$D$9:$E$9,W$9))</f>
        <v>0.60986666666666878</v>
      </c>
      <c r="X27">
        <f>IF($F27="s-curve",$D27+($E27-$D27)*$I$2/(1+EXP($I$3*(COUNT($O$9:X$9)+$I$4))),TREND($D27:$E27,$D$9:$E$9,X$9))</f>
        <v>0.62760000000000105</v>
      </c>
      <c r="Y27">
        <f>IF($F27="s-curve",$D27+($E27-$D27)*$I$2/(1+EXP($I$3*(COUNT($O$9:Y$9)+$I$4))),TREND($D27:$E27,$D$9:$E$9,Y$9))</f>
        <v>0.64533333333333331</v>
      </c>
      <c r="Z27">
        <f>IF($F27="s-curve",$D27+($E27-$D27)*$I$2/(1+EXP($I$3*(COUNT($O$9:Z$9)+$I$4))),TREND($D27:$E27,$D$9:$E$9,Z$9))</f>
        <v>0.66306666666666558</v>
      </c>
      <c r="AA27">
        <f>IF($F27="s-curve",$D27+($E27-$D27)*$I$2/(1+EXP($I$3*(COUNT($O$9:AA$9)+$I$4))),TREND($D27:$E27,$D$9:$E$9,AA$9))</f>
        <v>0.68080000000000496</v>
      </c>
      <c r="AB27">
        <f>IF($F27="s-curve",$D27+($E27-$D27)*$I$2/(1+EXP($I$3*(COUNT($O$9:AB$9)+$I$4))),TREND($D27:$E27,$D$9:$E$9,AB$9))</f>
        <v>0.69853333333333723</v>
      </c>
      <c r="AC27">
        <f>IF($F27="s-curve",$D27+($E27-$D27)*$I$2/(1+EXP($I$3*(COUNT($O$9:AC$9)+$I$4))),TREND($D27:$E27,$D$9:$E$9,AC$9))</f>
        <v>0.71626666666666949</v>
      </c>
      <c r="AD27">
        <f>IF($F27="s-curve",$D27+($E27-$D27)*$I$2/(1+EXP($I$3*(COUNT($O$9:AD$9)+$I$4))),TREND($D27:$E27,$D$9:$E$9,AD$9))</f>
        <v>0.73400000000000176</v>
      </c>
      <c r="AE27">
        <f>IF($F27="s-curve",$D27+($E27-$D27)*$I$2/(1+EXP($I$3*(COUNT($O$9:AE$9)+$I$4))),TREND($D27:$E27,$D$9:$E$9,AE$9))</f>
        <v>0.75173333333333403</v>
      </c>
      <c r="AF27">
        <f>IF($F27="s-curve",$D27+($E27-$D27)*$I$2/(1+EXP($I$3*(COUNT($O$9:AF$9)+$I$4))),TREND($D27:$E27,$D$9:$E$9,AF$9))</f>
        <v>0.7694666666666663</v>
      </c>
      <c r="AG27">
        <f>IF($F27="s-curve",$D27+($E27-$D27)*$I$2/(1+EXP($I$3*(COUNT($O$9:AG$9)+$I$4))),TREND($D27:$E27,$D$9:$E$9,AG$9))</f>
        <v>0.78720000000000567</v>
      </c>
      <c r="AH27">
        <f>IF($F27="s-curve",$D27+($E27-$D27)*$I$2/(1+EXP($I$3*(COUNT($O$9:AH$9)+$I$4))),TREND($D27:$E27,$D$9:$E$9,AH$9))</f>
        <v>0.80493333333333794</v>
      </c>
      <c r="AI27">
        <f>IF($F27="s-curve",$D27+($E27-$D27)*$I$2/(1+EXP($I$3*(COUNT($O$9:AI$9)+$I$4))),TREND($D27:$E27,$D$9:$E$9,AI$9))</f>
        <v>0.82266666666667021</v>
      </c>
      <c r="AJ27">
        <f>IF($F27="s-curve",$D27+($E27-$D27)*$I$2/(1+EXP($I$3*(COUNT($O$9:AJ$9)+$I$4))),TREND($D27:$E27,$D$9:$E$9,AJ$9))</f>
        <v>0.84040000000000248</v>
      </c>
      <c r="AK27">
        <f>IF($F27="s-curve",$D27+($E27-$D27)*$I$2/(1+EXP($I$3*(COUNT($O$9:AK$9)+$I$4))),TREND($D27:$E27,$D$9:$E$9,AK$9))</f>
        <v>0.85813333333333475</v>
      </c>
      <c r="AL27">
        <f>IF($F27="s-curve",$D27+($E27-$D27)*$I$2/(1+EXP($I$3*(COUNT($O$9:AL$9)+$I$4))),TREND($D27:$E27,$D$9:$E$9,AL$9))</f>
        <v>0.87586666666666702</v>
      </c>
      <c r="AM27">
        <f>IF($F27="s-curve",$D27+($E27-$D27)*$I$2/(1+EXP($I$3*(COUNT($O$9:AM$9)+$I$4))),TREND($D27:$E27,$D$9:$E$9,AM$9))</f>
        <v>0.89359999999999928</v>
      </c>
      <c r="AN27">
        <f>IF($F27="s-curve",$D27+($E27-$D27)*$I$2/(1+EXP($I$3*(COUNT($O$9:AN$9)+$I$4))),TREND($D27:$E27,$D$9:$E$9,AN$9))</f>
        <v>0.91133333333333866</v>
      </c>
      <c r="AO27">
        <f>IF($F27="s-curve",$D27+($E27-$D27)*$I$2/(1+EXP($I$3*(COUNT($O$9:AO$9)+$I$4))),TREND($D27:$E27,$D$9:$E$9,AO$9))</f>
        <v>0.92906666666667093</v>
      </c>
      <c r="AP27">
        <f>IF($F27="s-curve",$D27+($E27-$D27)*$I$2/(1+EXP($I$3*(COUNT($O$9:AP$9)+$I$4))),TREND($D27:$E27,$D$9:$E$9,AP$9))</f>
        <v>0.94680000000000319</v>
      </c>
      <c r="AQ27">
        <f>IF($F27="s-curve",$D27+($E27-$D27)*$I$2/(1+EXP($I$3*(COUNT($O$9:AQ$9)+$I$4))),TREND($D27:$E27,$D$9:$E$9,AQ$9))</f>
        <v>0.96453333333333546</v>
      </c>
      <c r="AR27">
        <f>IF($F27="s-curve",$D27+($E27-$D27)*$I$2/(1+EXP($I$3*(COUNT($O$9:AR$9)+$I$4))),TREND($D27:$E27,$D$9:$E$9,AR$9))</f>
        <v>0.98226666666666773</v>
      </c>
      <c r="AS27">
        <f>IF($F27="s-curve",$D27+($E27-$D27)*$I$2/(1+EXP($I$3*(COUNT($O$9:AS$9)+$I$4))),TREND($D27:$E27,$D$9:$E$9,AS$9))</f>
        <v>1</v>
      </c>
      <c r="AT27">
        <f t="shared" si="11"/>
        <v>1</v>
      </c>
      <c r="AU27">
        <f t="shared" ref="AU27:BC41" si="12">AT27</f>
        <v>1</v>
      </c>
      <c r="AV27">
        <f t="shared" si="12"/>
        <v>1</v>
      </c>
      <c r="AW27">
        <f t="shared" si="12"/>
        <v>1</v>
      </c>
      <c r="AX27">
        <f t="shared" si="12"/>
        <v>1</v>
      </c>
      <c r="AY27">
        <f t="shared" si="12"/>
        <v>1</v>
      </c>
      <c r="AZ27">
        <f t="shared" si="12"/>
        <v>1</v>
      </c>
      <c r="BA27">
        <f t="shared" si="12"/>
        <v>1</v>
      </c>
      <c r="BB27">
        <f t="shared" si="12"/>
        <v>1</v>
      </c>
      <c r="BC27">
        <f t="shared" si="12"/>
        <v>1</v>
      </c>
    </row>
    <row r="28" spans="1:55" x14ac:dyDescent="0.15">
      <c r="C28" t="s">
        <v>5</v>
      </c>
      <c r="D28" s="22">
        <f>'Historical Shareweights'!J150</f>
        <v>0.10199999999999999</v>
      </c>
      <c r="E28" s="22">
        <f>E35*3</f>
        <v>8.2801747689682487E-2</v>
      </c>
      <c r="F28" s="7" t="str">
        <f>IF(D28=E28,"n/a",IF(OR(C28="battery electric vehicle",C28="natural gas vehicle",C28="plugin hybrid vehicle"),"s-curve","linear"))</f>
        <v>s-curve</v>
      </c>
      <c r="O28" s="22">
        <f t="shared" si="10"/>
        <v>0.10199999999999999</v>
      </c>
      <c r="P28">
        <f>IF($F28="s-curve",$D28+($E28-$D28)*$I$2/(1+EXP($I$3*(COUNT($O$9:P$9)+$I$4))),TREND($D28:$E28,$D$9:$E$9,P$9))</f>
        <v>0.10161910080460333</v>
      </c>
      <c r="Q28">
        <f>IF($F28="s-curve",$D28+($E28-$D28)*$I$2/(1+EXP($I$3*(COUNT($O$9:Q$9)+$I$4))),TREND($D28:$E28,$D$9:$E$9,Q$9))</f>
        <v>0.10148938420661544</v>
      </c>
      <c r="R28">
        <f>IF($F28="s-curve",$D28+($E28-$D28)*$I$2/(1+EXP($I$3*(COUNT($O$9:R$9)+$I$4))),TREND($D28:$E28,$D$9:$E$9,R$9))</f>
        <v>0.10131709533336586</v>
      </c>
      <c r="S28">
        <f>IF($F28="s-curve",$D28+($E28-$D28)*$I$2/(1+EXP($I$3*(COUNT($O$9:S$9)+$I$4))),TREND($D28:$E28,$D$9:$E$9,S$9))</f>
        <v>0.10108950612069995</v>
      </c>
      <c r="T28">
        <f>IF($F28="s-curve",$D28+($E28-$D28)*$I$2/(1+EXP($I$3*(COUNT($O$9:T$9)+$I$4))),TREND($D28:$E28,$D$9:$E$9,T$9))</f>
        <v>0.10079102162159032</v>
      </c>
      <c r="U28">
        <f>IF($F28="s-curve",$D28+($E28-$D28)*$I$2/(1+EXP($I$3*(COUNT($O$9:U$9)+$I$4))),TREND($D28:$E28,$D$9:$E$9,U$9))</f>
        <v>0.10040322958738021</v>
      </c>
      <c r="V28">
        <f>IF($F28="s-curve",$D28+($E28-$D28)*$I$2/(1+EXP($I$3*(COUNT($O$9:V$9)+$I$4))),TREND($D28:$E28,$D$9:$E$9,V$9))</f>
        <v>9.9905531700433023E-2</v>
      </c>
      <c r="W28">
        <f>IF($F28="s-curve",$D28+($E28-$D28)*$I$2/(1+EXP($I$3*(COUNT($O$9:W$9)+$I$4))),TREND($D28:$E28,$D$9:$E$9,W$9))</f>
        <v>9.9276707465553199E-2</v>
      </c>
      <c r="X28">
        <f>IF($F28="s-curve",$D28+($E28-$D28)*$I$2/(1+EXP($I$3*(COUNT($O$9:X$9)+$I$4))),TREND($D28:$E28,$D$9:$E$9,X$9))</f>
        <v>9.849774876612373E-2</v>
      </c>
      <c r="Y28">
        <f>IF($F28="s-curve",$D28+($E28-$D28)*$I$2/(1+EXP($I$3*(COUNT($O$9:Y$9)+$I$4))),TREND($D28:$E28,$D$9:$E$9,Y$9))</f>
        <v>9.7556080390028763E-2</v>
      </c>
      <c r="Z28">
        <f>IF($F28="s-curve",$D28+($E28-$D28)*$I$2/(1+EXP($I$3*(COUNT($O$9:Z$9)+$I$4))),TREND($D28:$E28,$D$9:$E$9,Z$9))</f>
        <v>9.6450735620972047E-2</v>
      </c>
      <c r="AA28">
        <f>IF($F28="s-curve",$D28+($E28-$D28)*$I$2/(1+EXP($I$3*(COUNT($O$9:AA$9)+$I$4))),TREND($D28:$E28,$D$9:$E$9,AA$9))</f>
        <v>9.5197220362352938E-2</v>
      </c>
      <c r="AB28">
        <f>IF($F28="s-curve",$D28+($E28-$D28)*$I$2/(1+EXP($I$3*(COUNT($O$9:AB$9)+$I$4))),TREND($D28:$E28,$D$9:$E$9,AB$9))</f>
        <v>9.3830040065206524E-2</v>
      </c>
      <c r="AC28">
        <f>IF($F28="s-curve",$D28+($E28-$D28)*$I$2/(1+EXP($I$3*(COUNT($O$9:AC$9)+$I$4))),TREND($D28:$E28,$D$9:$E$9,AC$9))</f>
        <v>9.2400873844841247E-2</v>
      </c>
      <c r="AD28">
        <f>IF($F28="s-curve",$D28+($E28-$D28)*$I$2/(1+EXP($I$3*(COUNT($O$9:AD$9)+$I$4))),TREND($D28:$E28,$D$9:$E$9,AD$9))</f>
        <v>9.0971707624475956E-2</v>
      </c>
      <c r="AE28">
        <f>IF($F28="s-curve",$D28+($E28-$D28)*$I$2/(1+EXP($I$3*(COUNT($O$9:AE$9)+$I$4))),TREND($D28:$E28,$D$9:$E$9,AE$9))</f>
        <v>8.9604527327329542E-2</v>
      </c>
      <c r="AF28">
        <f>IF($F28="s-curve",$D28+($E28-$D28)*$I$2/(1+EXP($I$3*(COUNT($O$9:AF$9)+$I$4))),TREND($D28:$E28,$D$9:$E$9,AF$9))</f>
        <v>8.8351012068710433E-2</v>
      </c>
      <c r="AG28">
        <f>IF($F28="s-curve",$D28+($E28-$D28)*$I$2/(1+EXP($I$3*(COUNT($O$9:AG$9)+$I$4))),TREND($D28:$E28,$D$9:$E$9,AG$9))</f>
        <v>8.7245667299653717E-2</v>
      </c>
      <c r="AH28">
        <f>IF($F28="s-curve",$D28+($E28-$D28)*$I$2/(1+EXP($I$3*(COUNT($O$9:AH$9)+$I$4))),TREND($D28:$E28,$D$9:$E$9,AH$9))</f>
        <v>8.630399892355875E-2</v>
      </c>
      <c r="AI28">
        <f>IF($F28="s-curve",$D28+($E28-$D28)*$I$2/(1+EXP($I$3*(COUNT($O$9:AI$9)+$I$4))),TREND($D28:$E28,$D$9:$E$9,AI$9))</f>
        <v>8.5525040224129267E-2</v>
      </c>
      <c r="AJ28">
        <f>IF($F28="s-curve",$D28+($E28-$D28)*$I$2/(1+EXP($I$3*(COUNT($O$9:AJ$9)+$I$4))),TREND($D28:$E28,$D$9:$E$9,AJ$9))</f>
        <v>8.4896215989249457E-2</v>
      </c>
      <c r="AK28">
        <f>IF($F28="s-curve",$D28+($E28-$D28)*$I$2/(1+EXP($I$3*(COUNT($O$9:AK$9)+$I$4))),TREND($D28:$E28,$D$9:$E$9,AK$9))</f>
        <v>8.439851810230227E-2</v>
      </c>
      <c r="AL28">
        <f>IF($F28="s-curve",$D28+($E28-$D28)*$I$2/(1+EXP($I$3*(COUNT($O$9:AL$9)+$I$4))),TREND($D28:$E28,$D$9:$E$9,AL$9))</f>
        <v>8.4010726068092165E-2</v>
      </c>
      <c r="AM28">
        <f>IF($F28="s-curve",$D28+($E28-$D28)*$I$2/(1+EXP($I$3*(COUNT($O$9:AM$9)+$I$4))),TREND($D28:$E28,$D$9:$E$9,AM$9))</f>
        <v>8.3712241568982534E-2</v>
      </c>
      <c r="AN28">
        <f>IF($F28="s-curve",$D28+($E28-$D28)*$I$2/(1+EXP($I$3*(COUNT($O$9:AN$9)+$I$4))),TREND($D28:$E28,$D$9:$E$9,AN$9))</f>
        <v>8.3484652356316608E-2</v>
      </c>
      <c r="AO28">
        <f>IF($F28="s-curve",$D28+($E28-$D28)*$I$2/(1+EXP($I$3*(COUNT($O$9:AO$9)+$I$4))),TREND($D28:$E28,$D$9:$E$9,AO$9))</f>
        <v>8.3312363483067059E-2</v>
      </c>
      <c r="AP28">
        <f>IF($F28="s-curve",$D28+($E28-$D28)*$I$2/(1+EXP($I$3*(COUNT($O$9:AP$9)+$I$4))),TREND($D28:$E28,$D$9:$E$9,AP$9))</f>
        <v>8.3182646885079148E-2</v>
      </c>
      <c r="AQ28">
        <f>IF($F28="s-curve",$D28+($E28-$D28)*$I$2/(1+EXP($I$3*(COUNT($O$9:AQ$9)+$I$4))),TREND($D28:$E28,$D$9:$E$9,AQ$9))</f>
        <v>8.3085383277770569E-2</v>
      </c>
      <c r="AR28">
        <f>IF($F28="s-curve",$D28+($E28-$D28)*$I$2/(1+EXP($I$3*(COUNT($O$9:AR$9)+$I$4))),TREND($D28:$E28,$D$9:$E$9,AR$9))</f>
        <v>8.30126777864236E-2</v>
      </c>
      <c r="AS28">
        <f>IF($F28="s-curve",$D28+($E28-$D28)*$I$2/(1+EXP($I$3*(COUNT($O$9:AS$9)+$I$4))),TREND($D28:$E28,$D$9:$E$9,AS$9))</f>
        <v>8.2958454790181768E-2</v>
      </c>
      <c r="AT28">
        <f t="shared" si="11"/>
        <v>8.2958454790181768E-2</v>
      </c>
      <c r="AU28">
        <f t="shared" si="12"/>
        <v>8.2958454790181768E-2</v>
      </c>
      <c r="AV28">
        <f t="shared" si="12"/>
        <v>8.2958454790181768E-2</v>
      </c>
      <c r="AW28">
        <f t="shared" si="12"/>
        <v>8.2958454790181768E-2</v>
      </c>
      <c r="AX28">
        <f t="shared" si="12"/>
        <v>8.2958454790181768E-2</v>
      </c>
      <c r="AY28">
        <f t="shared" si="12"/>
        <v>8.2958454790181768E-2</v>
      </c>
      <c r="AZ28">
        <f t="shared" si="12"/>
        <v>8.2958454790181768E-2</v>
      </c>
      <c r="BA28">
        <f t="shared" si="12"/>
        <v>8.2958454790181768E-2</v>
      </c>
      <c r="BB28">
        <f t="shared" si="12"/>
        <v>8.2958454790181768E-2</v>
      </c>
      <c r="BC28">
        <f t="shared" si="12"/>
        <v>8.2958454790181768E-2</v>
      </c>
    </row>
    <row r="29" spans="1:55" x14ac:dyDescent="0.15">
      <c r="C29" t="s">
        <v>125</v>
      </c>
      <c r="D29" s="22">
        <f>'Historical Shareweights'!J151</f>
        <v>0</v>
      </c>
      <c r="E29" s="22">
        <v>0</v>
      </c>
      <c r="F29" s="7" t="str">
        <f>IF(D29=E29,"n/a",IF(OR(C29="battery electric vehicle",C29="natural gas vehicle",C29="plugin hybrid vehicle",C29="hydrogen vehicle"),"s-curve","linear"))</f>
        <v>n/a</v>
      </c>
      <c r="O29" s="22">
        <f t="shared" si="10"/>
        <v>0</v>
      </c>
      <c r="P29">
        <f>IF($F29="s-curve",$D29+($E29-$D29)*$I$2/(1+EXP($I$3*(COUNT($O$9:P$9)+$I$4))),TREND($D29:$E29,$D$9:$E$9,P$9))</f>
        <v>0</v>
      </c>
      <c r="Q29">
        <f>IF($F29="s-curve",$D29+($E29-$D29)*$I$2/(1+EXP($I$3*(COUNT($O$9:Q$9)+$I$4))),TREND($D29:$E29,$D$9:$E$9,Q$9))</f>
        <v>0</v>
      </c>
      <c r="R29">
        <f>IF($F29="s-curve",$D29+($E29-$D29)*$I$2/(1+EXP($I$3*(COUNT($O$9:R$9)+$I$4))),TREND($D29:$E29,$D$9:$E$9,R$9))</f>
        <v>0</v>
      </c>
      <c r="S29">
        <f>IF($F29="s-curve",$D29+($E29-$D29)*$I$2/(1+EXP($I$3*(COUNT($O$9:S$9)+$I$4))),TREND($D29:$E29,$D$9:$E$9,S$9))</f>
        <v>0</v>
      </c>
      <c r="T29">
        <f>IF($F29="s-curve",$D29+($E29-$D29)*$I$2/(1+EXP($I$3*(COUNT($O$9:T$9)+$I$4))),TREND($D29:$E29,$D$9:$E$9,T$9))</f>
        <v>0</v>
      </c>
      <c r="U29">
        <f>IF($F29="s-curve",$D29+($E29-$D29)*$I$2/(1+EXP($I$3*(COUNT($O$9:U$9)+$I$4))),TREND($D29:$E29,$D$9:$E$9,U$9))</f>
        <v>0</v>
      </c>
      <c r="V29">
        <f>IF($F29="s-curve",$D29+($E29-$D29)*$I$2/(1+EXP($I$3*(COUNT($O$9:V$9)+$I$4))),TREND($D29:$E29,$D$9:$E$9,V$9))</f>
        <v>0</v>
      </c>
      <c r="W29">
        <f>IF($F29="s-curve",$D29+($E29-$D29)*$I$2/(1+EXP($I$3*(COUNT($O$9:W$9)+$I$4))),TREND($D29:$E29,$D$9:$E$9,W$9))</f>
        <v>0</v>
      </c>
      <c r="X29">
        <f>IF($F29="s-curve",$D29+($E29-$D29)*$I$2/(1+EXP($I$3*(COUNT($O$9:X$9)+$I$4))),TREND($D29:$E29,$D$9:$E$9,X$9))</f>
        <v>0</v>
      </c>
      <c r="Y29">
        <f>IF($F29="s-curve",$D29+($E29-$D29)*$I$2/(1+EXP($I$3*(COUNT($O$9:Y$9)+$I$4))),TREND($D29:$E29,$D$9:$E$9,Y$9))</f>
        <v>0</v>
      </c>
      <c r="Z29">
        <f>IF($F29="s-curve",$D29+($E29-$D29)*$I$2/(1+EXP($I$3*(COUNT($O$9:Z$9)+$I$4))),TREND($D29:$E29,$D$9:$E$9,Z$9))</f>
        <v>0</v>
      </c>
      <c r="AA29">
        <f>IF($F29="s-curve",$D29+($E29-$D29)*$I$2/(1+EXP($I$3*(COUNT($O$9:AA$9)+$I$4))),TREND($D29:$E29,$D$9:$E$9,AA$9))</f>
        <v>0</v>
      </c>
      <c r="AB29">
        <f>IF($F29="s-curve",$D29+($E29-$D29)*$I$2/(1+EXP($I$3*(COUNT($O$9:AB$9)+$I$4))),TREND($D29:$E29,$D$9:$E$9,AB$9))</f>
        <v>0</v>
      </c>
      <c r="AC29">
        <f>IF($F29="s-curve",$D29+($E29-$D29)*$I$2/(1+EXP($I$3*(COUNT($O$9:AC$9)+$I$4))),TREND($D29:$E29,$D$9:$E$9,AC$9))</f>
        <v>0</v>
      </c>
      <c r="AD29">
        <f>IF($F29="s-curve",$D29+($E29-$D29)*$I$2/(1+EXP($I$3*(COUNT($O$9:AD$9)+$I$4))),TREND($D29:$E29,$D$9:$E$9,AD$9))</f>
        <v>0</v>
      </c>
      <c r="AE29">
        <f>IF($F29="s-curve",$D29+($E29-$D29)*$I$2/(1+EXP($I$3*(COUNT($O$9:AE$9)+$I$4))),TREND($D29:$E29,$D$9:$E$9,AE$9))</f>
        <v>0</v>
      </c>
      <c r="AF29">
        <f>IF($F29="s-curve",$D29+($E29-$D29)*$I$2/(1+EXP($I$3*(COUNT($O$9:AF$9)+$I$4))),TREND($D29:$E29,$D$9:$E$9,AF$9))</f>
        <v>0</v>
      </c>
      <c r="AG29">
        <f>IF($F29="s-curve",$D29+($E29-$D29)*$I$2/(1+EXP($I$3*(COUNT($O$9:AG$9)+$I$4))),TREND($D29:$E29,$D$9:$E$9,AG$9))</f>
        <v>0</v>
      </c>
      <c r="AH29">
        <f>IF($F29="s-curve",$D29+($E29-$D29)*$I$2/(1+EXP($I$3*(COUNT($O$9:AH$9)+$I$4))),TREND($D29:$E29,$D$9:$E$9,AH$9))</f>
        <v>0</v>
      </c>
      <c r="AI29">
        <f>IF($F29="s-curve",$D29+($E29-$D29)*$I$2/(1+EXP($I$3*(COUNT($O$9:AI$9)+$I$4))),TREND($D29:$E29,$D$9:$E$9,AI$9))</f>
        <v>0</v>
      </c>
      <c r="AJ29">
        <f>IF($F29="s-curve",$D29+($E29-$D29)*$I$2/(1+EXP($I$3*(COUNT($O$9:AJ$9)+$I$4))),TREND($D29:$E29,$D$9:$E$9,AJ$9))</f>
        <v>0</v>
      </c>
      <c r="AK29">
        <f>IF($F29="s-curve",$D29+($E29-$D29)*$I$2/(1+EXP($I$3*(COUNT($O$9:AK$9)+$I$4))),TREND($D29:$E29,$D$9:$E$9,AK$9))</f>
        <v>0</v>
      </c>
      <c r="AL29">
        <f>IF($F29="s-curve",$D29+($E29-$D29)*$I$2/(1+EXP($I$3*(COUNT($O$9:AL$9)+$I$4))),TREND($D29:$E29,$D$9:$E$9,AL$9))</f>
        <v>0</v>
      </c>
      <c r="AM29">
        <f>IF($F29="s-curve",$D29+($E29-$D29)*$I$2/(1+EXP($I$3*(COUNT($O$9:AM$9)+$I$4))),TREND($D29:$E29,$D$9:$E$9,AM$9))</f>
        <v>0</v>
      </c>
      <c r="AN29">
        <f>IF($F29="s-curve",$D29+($E29-$D29)*$I$2/(1+EXP($I$3*(COUNT($O$9:AN$9)+$I$4))),TREND($D29:$E29,$D$9:$E$9,AN$9))</f>
        <v>0</v>
      </c>
      <c r="AO29">
        <f>IF($F29="s-curve",$D29+($E29-$D29)*$I$2/(1+EXP($I$3*(COUNT($O$9:AO$9)+$I$4))),TREND($D29:$E29,$D$9:$E$9,AO$9))</f>
        <v>0</v>
      </c>
      <c r="AP29">
        <f>IF($F29="s-curve",$D29+($E29-$D29)*$I$2/(1+EXP($I$3*(COUNT($O$9:AP$9)+$I$4))),TREND($D29:$E29,$D$9:$E$9,AP$9))</f>
        <v>0</v>
      </c>
      <c r="AQ29">
        <f>IF($F29="s-curve",$D29+($E29-$D29)*$I$2/(1+EXP($I$3*(COUNT($O$9:AQ$9)+$I$4))),TREND($D29:$E29,$D$9:$E$9,AQ$9))</f>
        <v>0</v>
      </c>
      <c r="AR29">
        <f>IF($F29="s-curve",$D29+($E29-$D29)*$I$2/(1+EXP($I$3*(COUNT($O$9:AR$9)+$I$4))),TREND($D29:$E29,$D$9:$E$9,AR$9))</f>
        <v>0</v>
      </c>
      <c r="AS29">
        <f>IF($F29="s-curve",$D29+($E29-$D29)*$I$2/(1+EXP($I$3*(COUNT($O$9:AS$9)+$I$4))),TREND($D29:$E29,$D$9:$E$9,AS$9))</f>
        <v>0</v>
      </c>
      <c r="AT29">
        <f t="shared" si="11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</row>
    <row r="30" spans="1:55" s="214" customFormat="1" ht="13.6" thickBot="1" x14ac:dyDescent="0.2">
      <c r="A30" s="210"/>
      <c r="B30" s="210"/>
      <c r="C30" s="210" t="s">
        <v>126</v>
      </c>
      <c r="D30" s="211">
        <f>'Historical Shareweights'!J152</f>
        <v>5.5E-2</v>
      </c>
      <c r="E30" s="212">
        <v>0.3</v>
      </c>
      <c r="F30" s="213" t="str">
        <f>IF(D30=E30,"n/a",IF(OR(C30="battery electric vehicle",C30="natural gas vehicle",C30="plugin hybrid vehicle",C30="hydrogen vehicle"),"s-curve","linear"))</f>
        <v>s-curve</v>
      </c>
      <c r="O30" s="211">
        <f t="shared" si="10"/>
        <v>5.5E-2</v>
      </c>
      <c r="P30" s="214">
        <f>IF($F30="s-curve",$D30+($E30-$D30)*$K$2/(1+EXP($K$3*(COUNT($O$9:P$9)+$K$4))),TREND($D30:$E30,$D$9:$E$9,P$9))</f>
        <v>6.1516263426332138E-2</v>
      </c>
      <c r="Q30" s="214">
        <f>IF($F30="s-curve",$D30+($E30-$D30)*$K$2/(1+EXP($K$3*(COUNT($O$9:Q$9)+$K$4))),TREND($D30:$E30,$D$9:$E$9,Q$9))</f>
        <v>6.2912388851120368E-2</v>
      </c>
      <c r="R30" s="214">
        <f>IF($F30="s-curve",$D30+($E30-$D30)*$K$2/(1+EXP($K$3*(COUNT($O$9:R$9)+$K$4))),TREND($D30:$E30,$D$9:$E$9,R$9))</f>
        <v>6.459560208520726E-2</v>
      </c>
      <c r="S30" s="214">
        <f>IF($F30="s-curve",$D30+($E30-$D30)*$K$2/(1+EXP($K$3*(COUNT($O$9:S$9)+$K$4))),TREND($D30:$E30,$D$9:$E$9,S$9))</f>
        <v>6.6619338928503857E-2</v>
      </c>
      <c r="T30" s="214">
        <f>IF($F30="s-curve",$D30+($E30-$D30)*$K$2/(1+EXP($K$3*(COUNT($O$9:T$9)+$K$4))),TREND($D30:$E30,$D$9:$E$9,T$9))</f>
        <v>6.9044423095222837E-2</v>
      </c>
      <c r="U30" s="214">
        <f>IF($F30="s-curve",$D30+($E30-$D30)*$K$2/(1+EXP($K$3*(COUNT($O$9:U$9)+$K$4))),TREND($D30:$E30,$D$9:$E$9,U$9))</f>
        <v>7.1938912984119974E-2</v>
      </c>
      <c r="V30" s="214">
        <f>IF($F30="s-curve",$D30+($E30-$D30)*$K$2/(1+EXP($K$3*(COUNT($O$9:V$9)+$K$4))),TREND($D30:$E30,$D$9:$E$9,V$9))</f>
        <v>7.5377310641010969E-2</v>
      </c>
      <c r="W30" s="214">
        <f>IF($F30="s-curve",$D30+($E30-$D30)*$K$2/(1+EXP($K$3*(COUNT($O$9:W$9)+$K$4))),TREND($D30:$E30,$D$9:$E$9,W$9))</f>
        <v>7.9438869834322856E-2</v>
      </c>
      <c r="X30" s="214">
        <f>IF($F30="s-curve",$D30+($E30-$D30)*$K$2/(1+EXP($K$3*(COUNT($O$9:X$9)+$K$4))),TREND($D30:$E30,$D$9:$E$9,X$9))</f>
        <v>8.4204715895418808E-2</v>
      </c>
      <c r="Y30" s="214">
        <f>IF($F30="s-curve",$D30+($E30-$D30)*$K$2/(1+EXP($K$3*(COUNT($O$9:Y$9)+$K$4))),TREND($D30:$E30,$D$9:$E$9,Y$9))</f>
        <v>8.9753510900619504E-2</v>
      </c>
      <c r="Z30" s="214">
        <f>IF($F30="s-curve",$D30+($E30-$D30)*$K$2/(1+EXP($K$3*(COUNT($O$9:Z$9)+$K$4))),TREND($D30:$E30,$D$9:$E$9,Z$9))</f>
        <v>9.6155495642188504E-2</v>
      </c>
      <c r="AA30" s="214">
        <f>IF($F30="s-curve",$D30+($E30-$D30)*$K$2/(1+EXP($K$3*(COUNT($O$9:AA$9)+$K$4))),TREND($D30:$E30,$D$9:$E$9,AA$9))</f>
        <v>0.10346494730314745</v>
      </c>
      <c r="AB30" s="214">
        <f>IF($F30="s-curve",$D30+($E30-$D30)*$K$2/(1+EXP($K$3*(COUNT($O$9:AB$9)+$K$4))),TREND($D30:$E30,$D$9:$E$9,AB$9))</f>
        <v>0.11171142804274067</v>
      </c>
      <c r="AC30" s="214">
        <f>IF($F30="s-curve",$D30+($E30-$D30)*$K$2/(1+EXP($K$3*(COUNT($O$9:AC$9)+$K$4))),TREND($D30:$E30,$D$9:$E$9,AC$9))</f>
        <v>0.1208906482356488</v>
      </c>
      <c r="AD30" s="214">
        <f>IF($F30="s-curve",$D30+($E30-$D30)*$K$2/(1+EXP($K$3*(COUNT($O$9:AD$9)+$K$4))),TREND($D30:$E30,$D$9:$E$9,AD$9))</f>
        <v>0.13095625212373493</v>
      </c>
      <c r="AE30" s="214">
        <f>IF($F30="s-curve",$D30+($E30-$D30)*$K$2/(1+EXP($K$3*(COUNT($O$9:AE$9)+$K$4))),TREND($D30:$E30,$D$9:$E$9,AE$9))</f>
        <v>0.14181420497468011</v>
      </c>
      <c r="AF30" s="214">
        <f>IF($F30="s-curve",$D30+($E30-$D30)*$K$2/(1+EXP($K$3*(COUNT($O$9:AF$9)+$K$4))),TREND($D30:$E30,$D$9:$E$9,AF$9))</f>
        <v>0.15332152327244924</v>
      </c>
      <c r="AG30" s="214">
        <f>IF($F30="s-curve",$D30+($E30-$D30)*$K$2/(1+EXP($K$3*(COUNT($O$9:AG$9)+$K$4))),TREND($D30:$E30,$D$9:$E$9,AG$9))</f>
        <v>0.16529067065844291</v>
      </c>
      <c r="AH30" s="214">
        <f>IF($F30="s-curve",$D30+($E30-$D30)*$K$2/(1+EXP($K$3*(COUNT($O$9:AH$9)+$K$4))),TREND($D30:$E30,$D$9:$E$9,AH$9))</f>
        <v>0.17749999999999999</v>
      </c>
      <c r="AI30" s="214">
        <f>IF($F30="s-curve",$D30+($E30-$D30)*$K$2/(1+EXP($K$3*(COUNT($O$9:AI$9)+$K$4))),TREND($D30:$E30,$D$9:$E$9,AI$9))</f>
        <v>0.1897093293415571</v>
      </c>
      <c r="AJ30" s="214">
        <f>IF($F30="s-curve",$D30+($E30-$D30)*$K$2/(1+EXP($K$3*(COUNT($O$9:AJ$9)+$K$4))),TREND($D30:$E30,$D$9:$E$9,AJ$9))</f>
        <v>0.20167847672755074</v>
      </c>
      <c r="AK30" s="214">
        <f>IF($F30="s-curve",$D30+($E30-$D30)*$K$2/(1+EXP($K$3*(COUNT($O$9:AK$9)+$K$4))),TREND($D30:$E30,$D$9:$E$9,AK$9))</f>
        <v>0.21318579502531987</v>
      </c>
      <c r="AL30" s="214">
        <f>IF($F30="s-curve",$D30+($E30-$D30)*$K$2/(1+EXP($K$3*(COUNT($O$9:AL$9)+$K$4))),TREND($D30:$E30,$D$9:$E$9,AL$9))</f>
        <v>0.22404374787626505</v>
      </c>
      <c r="AM30" s="214">
        <f>IF($F30="s-curve",$D30+($E30-$D30)*$K$2/(1+EXP($K$3*(COUNT($O$9:AM$9)+$K$4))),TREND($D30:$E30,$D$9:$E$9,AM$9))</f>
        <v>0.23410935176435119</v>
      </c>
      <c r="AN30" s="214">
        <f>IF($F30="s-curve",$D30+($E30-$D30)*$K$2/(1+EXP($K$3*(COUNT($O$9:AN$9)+$K$4))),TREND($D30:$E30,$D$9:$E$9,AN$9))</f>
        <v>0.24328857195725934</v>
      </c>
      <c r="AO30" s="214">
        <f>IF($F30="s-curve",$D30+($E30-$D30)*$K$2/(1+EXP($K$3*(COUNT($O$9:AO$9)+$K$4))),TREND($D30:$E30,$D$9:$E$9,AO$9))</f>
        <v>0.25153505269685256</v>
      </c>
      <c r="AP30" s="214">
        <f>IF($F30="s-curve",$D30+($E30-$D30)*$K$2/(1+EXP($K$3*(COUNT($O$9:AP$9)+$K$4))),TREND($D30:$E30,$D$9:$E$9,AP$9))</f>
        <v>0.25884450435781148</v>
      </c>
      <c r="AQ30" s="214">
        <f>IF($F30="s-curve",$D30+($E30-$D30)*$K$2/(1+EXP($K$3*(COUNT($O$9:AQ$9)+$K$4))),TREND($D30:$E30,$D$9:$E$9,AQ$9))</f>
        <v>0.26524648909938053</v>
      </c>
      <c r="AR30" s="214">
        <f>IF($F30="s-curve",$D30+($E30-$D30)*$K$2/(1+EXP($K$3*(COUNT($O$9:AR$9)+$K$4))),TREND($D30:$E30,$D$9:$E$9,AR$9))</f>
        <v>0.2707952841045812</v>
      </c>
      <c r="AS30" s="214">
        <f>IF($F30="s-curve",$D30+($E30-$D30)*$K$2/(1+EXP($K$3*(COUNT($O$9:AS$9)+$K$4))),TREND($D30:$E30,$D$9:$E$9,AS$9))</f>
        <v>0.27556113016567713</v>
      </c>
      <c r="AT30" s="214">
        <f>IF($F30="s-curve",$D30+($E30-$D30)*$K$2/(1+EXP($K$3*(COUNT($O$9:AT$9)+$K$4))),TREND($D30:$E30,$D$9:$E$9,AT$9))</f>
        <v>0.27962268935898904</v>
      </c>
      <c r="AU30" s="214">
        <f>IF($F30="s-curve",$D30+($E30-$D30)*$K$2/(1+EXP($K$3*(COUNT($O$9:AU$9)+$K$4))),TREND($D30:$E30,$D$9:$E$9,AU$9))</f>
        <v>0.28306108701588006</v>
      </c>
      <c r="AV30" s="214">
        <f>IF($F30="s-curve",$D30+($E30-$D30)*$K$2/(1+EXP($K$3*(COUNT($O$9:AV$9)+$K$4))),TREND($D30:$E30,$D$9:$E$9,AV$9))</f>
        <v>0.28595557690477719</v>
      </c>
      <c r="AW30" s="214">
        <f>IF($F30="s-curve",$D30+($E30-$D30)*$K$2/(1+EXP($K$3*(COUNT($O$9:AW$9)+$K$4))),TREND($D30:$E30,$D$9:$E$9,AW$9))</f>
        <v>0.28838066107149618</v>
      </c>
      <c r="AX30" s="214">
        <f>IF($F30="s-curve",$D30+($E30-$D30)*$K$2/(1+EXP($K$3*(COUNT($O$9:AX$9)+$K$4))),TREND($D30:$E30,$D$9:$E$9,AX$9))</f>
        <v>0.29040439791479272</v>
      </c>
      <c r="AY30" s="214">
        <f>IF($F30="s-curve",$D30+($E30-$D30)*$K$2/(1+EXP($K$3*(COUNT($O$9:AY$9)+$K$4))),TREND($D30:$E30,$D$9:$E$9,AY$9))</f>
        <v>0.29208761114887966</v>
      </c>
      <c r="AZ30" s="214">
        <f>IF($F30="s-curve",$D30+($E30-$D30)*$K$2/(1+EXP($K$3*(COUNT($O$9:AZ$9)+$K$4))),TREND($D30:$E30,$D$9:$E$9,AZ$9))</f>
        <v>0.29348373657366783</v>
      </c>
      <c r="BA30" s="214">
        <f>IF($F30="s-curve",$D30+($E30-$D30)*$K$2/(1+EXP($K$3*(COUNT($O$9:BA$9)+$K$4))),TREND($D30:$E30,$D$9:$E$9,BA$9))</f>
        <v>0.29463908862064803</v>
      </c>
      <c r="BB30" s="214">
        <f>IF($F30="s-curve",$D30+($E30-$D30)*$K$2/(1+EXP($K$3*(COUNT($O$9:BB$9)+$K$4))),TREND($D30:$E30,$D$9:$E$9,BB$9))</f>
        <v>0.29559337855928758</v>
      </c>
      <c r="BC30" s="214">
        <f>IF($F30="s-curve",$D30+($E30-$D30)*$K$2/(1+EXP($K$3*(COUNT($O$9:BC$9)+$K$4))),TREND($D30:$E30,$D$9:$E$9,BC$9))</f>
        <v>0.29638036223514813</v>
      </c>
    </row>
    <row r="31" spans="1:55" s="206" customFormat="1" x14ac:dyDescent="0.15">
      <c r="A31" s="206" t="s">
        <v>13</v>
      </c>
      <c r="B31" s="206" t="s">
        <v>18</v>
      </c>
      <c r="C31" s="206" t="s">
        <v>1</v>
      </c>
      <c r="D31" s="207">
        <f>'Historical Shareweights'!J193</f>
        <v>2.0999999999999999E-3</v>
      </c>
      <c r="E31" s="207">
        <v>1</v>
      </c>
      <c r="F31" s="208" t="str">
        <f>IF(D31=E31,"n/a",IF(OR(C31="battery electric vehicle",C31="natural gas vehicle",C31="plugin hybrid vehicle"),"s-curve","linear"))</f>
        <v>s-curve</v>
      </c>
      <c r="O31" s="207">
        <f t="shared" si="10"/>
        <v>2.0999999999999999E-3</v>
      </c>
      <c r="P31" s="206">
        <f>IF($F31="s-curve",$D31+($E31-$D31)*$Q$2/(1+EXP($Q$3*(COUNT($O$9:P$9)+$Q$4))),TREND($D31:$E31,$D$9:$E$9,P$9))</f>
        <v>1.420296527080726E-2</v>
      </c>
      <c r="Q31" s="206">
        <f>IF($F31="s-curve",$D31+($E31-$D31)*$Q$2/(1+EXP($Q$3*(COUNT($O$9:Q$9)+$Q$4))),TREND($D31:$E31,$D$9:$E$9,Q$9))</f>
        <v>1.7136347031990577E-2</v>
      </c>
      <c r="R31" s="206">
        <f>IF($F31="s-curve",$D31+($E31-$D31)*$Q$2/(1+EXP($Q$3*(COUNT($O$9:R$9)+$Q$4))),TREND($D31:$E31,$D$9:$E$9,R$9))</f>
        <v>2.0767226283450461E-2</v>
      </c>
      <c r="S31" s="206">
        <f>IF($F31="s-curve",$D31+($E31-$D31)*$Q$2/(1+EXP($Q$3*(COUNT($O$9:S$9)+$Q$4))),TREND($D31:$E31,$D$9:$E$9,S$9))</f>
        <v>2.5254211975538225E-2</v>
      </c>
      <c r="T31" s="206">
        <f>IF($F31="s-curve",$D31+($E31-$D31)*$Q$2/(1+EXP($Q$3*(COUNT($O$9:T$9)+$Q$4))),TREND($D31:$E31,$D$9:$E$9,T$9))</f>
        <v>3.0788124085094237E-2</v>
      </c>
      <c r="U31" s="206">
        <f>IF($F31="s-curve",$D31+($E31-$D31)*$Q$2/(1+EXP($Q$3*(COUNT($O$9:U$9)+$Q$4))),TREND($D31:$E31,$D$9:$E$9,U$9))</f>
        <v>3.7596489775163638E-2</v>
      </c>
      <c r="V31" s="206">
        <f>IF($F31="s-curve",$D31+($E31-$D31)*$Q$2/(1+EXP($Q$3*(COUNT($O$9:V$9)+$Q$4))),TREND($D31:$E31,$D$9:$E$9,V$9))</f>
        <v>4.5947541783809422E-2</v>
      </c>
      <c r="W31" s="206">
        <f>IF($F31="s-curve",$D31+($E31-$D31)*$Q$2/(1+EXP($Q$3*(COUNT($O$9:W$9)+$Q$4))),TREND($D31:$E31,$D$9:$E$9,W$9))</f>
        <v>5.6152950410225472E-2</v>
      </c>
      <c r="X31" s="206">
        <f>IF($F31="s-curve",$D31+($E31-$D31)*$Q$2/(1+EXP($Q$3*(COUNT($O$9:X$9)+$Q$4))),TREND($D31:$E31,$D$9:$E$9,X$9))</f>
        <v>6.8568158700382964E-2</v>
      </c>
      <c r="Y31" s="206">
        <f>IF($F31="s-curve",$D31+($E31-$D31)*$Q$2/(1+EXP($Q$3*(COUNT($O$9:Y$9)+$Q$4))),TREND($D31:$E31,$D$9:$E$9,Y$9))</f>
        <v>8.3588768925125317E-2</v>
      </c>
      <c r="Z31" s="206">
        <f>IF($F31="s-curve",$D31+($E31-$D31)*$Q$2/(1+EXP($Q$3*(COUNT($O$9:Z$9)+$Q$4))),TREND($D31:$E31,$D$9:$E$9,Z$9))</f>
        <v>0.1016410130925338</v>
      </c>
      <c r="AA31" s="206">
        <f>IF($F31="s-curve",$D31+($E31-$D31)*$Q$2/(1+EXP($Q$3*(COUNT($O$9:AA$9)+$Q$4))),TREND($D31:$E31,$D$9:$E$9,AA$9))</f>
        <v>0.12316406833216421</v>
      </c>
      <c r="AB31" s="206">
        <f>IF($F31="s-curve",$D31+($E31-$D31)*$Q$2/(1+EXP($Q$3*(COUNT($O$9:AB$9)+$Q$4))),TREND($D31:$E31,$D$9:$E$9,AB$9))</f>
        <v>0.14858208008779947</v>
      </c>
      <c r="AC31" s="206">
        <f>IF($F31="s-curve",$D31+($E31-$D31)*$Q$2/(1+EXP($Q$3*(COUNT($O$9:AC$9)+$Q$4))),TREND($D31:$E31,$D$9:$E$9,AC$9))</f>
        <v>0.17826455070208055</v>
      </c>
      <c r="AD31" s="206">
        <f>IF($F31="s-curve",$D31+($E31-$D31)*$Q$2/(1+EXP($Q$3*(COUNT($O$9:AD$9)+$Q$4))),TREND($D31:$E31,$D$9:$E$9,AD$9))</f>
        <v>0.21247557506144388</v>
      </c>
      <c r="AE31" s="206">
        <f>IF($F31="s-curve",$D31+($E31-$D31)*$Q$2/(1+EXP($Q$3*(COUNT($O$9:AE$9)+$Q$4))),TREND($D31:$E31,$D$9:$E$9,AE$9))</f>
        <v>0.25131544062663208</v>
      </c>
      <c r="AF31" s="206">
        <f>IF($F31="s-curve",$D31+($E31-$D31)*$Q$2/(1+EXP($Q$3*(COUNT($O$9:AF$9)+$Q$4))),TREND($D31:$E31,$D$9:$E$9,AF$9))</f>
        <v>0.29466210557072892</v>
      </c>
      <c r="AG31" s="206">
        <f>IF($F31="s-curve",$D31+($E31-$D31)*$Q$2/(1+EXP($Q$3*(COUNT($O$9:AG$9)+$Q$4))),TREND($D31:$E31,$D$9:$E$9,AG$9))</f>
        <v>0.34212405836436244</v>
      </c>
      <c r="AH31" s="206">
        <f>IF($F31="s-curve",$D31+($E31-$D31)*$Q$2/(1+EXP($Q$3*(COUNT($O$9:AH$9)+$Q$4))),TREND($D31:$E31,$D$9:$E$9,AH$9))</f>
        <v>0.39301831321805325</v>
      </c>
      <c r="AI31" s="206">
        <f>IF($F31="s-curve",$D31+($E31-$D31)*$Q$2/(1+EXP($Q$3*(COUNT($O$9:AI$9)+$Q$4))),TREND($D31:$E31,$D$9:$E$9,AI$9))</f>
        <v>0.4463858012865104</v>
      </c>
      <c r="AJ31" s="206">
        <f>IF($F31="s-curve",$D31+($E31-$D31)*$Q$2/(1+EXP($Q$3*(COUNT($O$9:AJ$9)+$Q$4))),TREND($D31:$E31,$D$9:$E$9,AJ$9))</f>
        <v>0.50105</v>
      </c>
      <c r="AK31" s="206">
        <f>IF($F31="s-curve",$D31+($E31-$D31)*$Q$2/(1+EXP($Q$3*(COUNT($O$9:AK$9)+$Q$4))),TREND($D31:$E31,$D$9:$E$9,AK$9))</f>
        <v>0.55571419871348959</v>
      </c>
      <c r="AL31" s="206">
        <f>IF($F31="s-curve",$D31+($E31-$D31)*$Q$2/(1+EXP($Q$3*(COUNT($O$9:AL$9)+$Q$4))),TREND($D31:$E31,$D$9:$E$9,AL$9))</f>
        <v>0.60908168678194663</v>
      </c>
      <c r="AM31" s="206">
        <f>IF($F31="s-curve",$D31+($E31-$D31)*$Q$2/(1+EXP($Q$3*(COUNT($O$9:AM$9)+$Q$4))),TREND($D31:$E31,$D$9:$E$9,AM$9))</f>
        <v>0.65997594163563755</v>
      </c>
      <c r="AN31" s="206">
        <f>IF($F31="s-curve",$D31+($E31-$D31)*$Q$2/(1+EXP($Q$3*(COUNT($O$9:AN$9)+$Q$4))),TREND($D31:$E31,$D$9:$E$9,AN$9))</f>
        <v>0.70743789442927107</v>
      </c>
      <c r="AO31" s="206">
        <f>IF($F31="s-curve",$D31+($E31-$D31)*$Q$2/(1+EXP($Q$3*(COUNT($O$9:AO$9)+$Q$4))),TREND($D31:$E31,$D$9:$E$9,AO$9))</f>
        <v>0.75078455937336785</v>
      </c>
      <c r="AP31" s="206">
        <f>IF($F31="s-curve",$D31+($E31-$D31)*$Q$2/(1+EXP($Q$3*(COUNT($O$9:AP$9)+$Q$4))),TREND($D31:$E31,$D$9:$E$9,AP$9))</f>
        <v>0.78962442493855622</v>
      </c>
      <c r="AQ31" s="206">
        <f>IF($F31="s-curve",$D31+($E31-$D31)*$Q$2/(1+EXP($Q$3*(COUNT($O$9:AQ$9)+$Q$4))),TREND($D31:$E31,$D$9:$E$9,AQ$9))</f>
        <v>0.82383544929791952</v>
      </c>
      <c r="AR31" s="206">
        <f>IF($F31="s-curve",$D31+($E31-$D31)*$Q$2/(1+EXP($Q$3*(COUNT($O$9:AR$9)+$Q$4))),TREND($D31:$E31,$D$9:$E$9,AR$9))</f>
        <v>0.8535179199122005</v>
      </c>
      <c r="AS31" s="206">
        <f>IF($F31="s-curve",$D31+($E31-$D31)*$Q$2/(1+EXP($Q$3*(COUNT($O$9:AS$9)+$Q$4))),TREND($D31:$E31,$D$9:$E$9,AS$9))</f>
        <v>0.87893593166783568</v>
      </c>
      <c r="AT31" s="206">
        <f>IF($F31="s-curve",$D31+($E31-$D31)*$Q$2/(1+EXP($Q$3*(COUNT($O$9:AT$9)+$Q$4))),TREND($D31:$E31,$D$9:$E$9,AT$9))</f>
        <v>0.90045898690746617</v>
      </c>
      <c r="AU31" s="206">
        <f>IF($F31="s-curve",$D31+($E31-$D31)*$Q$2/(1+EXP($Q$3*(COUNT($O$9:AU$9)+$Q$4))),TREND($D31:$E31,$D$9:$E$9,AU$9))</f>
        <v>0.91851123107487476</v>
      </c>
      <c r="AV31" s="206">
        <f>IF($F31="s-curve",$D31+($E31-$D31)*$Q$2/(1+EXP($Q$3*(COUNT($O$9:AV$9)+$Q$4))),TREND($D31:$E31,$D$9:$E$9,AV$9))</f>
        <v>0.93353184129961697</v>
      </c>
      <c r="AW31" s="206">
        <f>IF($F31="s-curve",$D31+($E31-$D31)*$Q$2/(1+EXP($Q$3*(COUNT($O$9:AW$9)+$Q$4))),TREND($D31:$E31,$D$9:$E$9,AW$9))</f>
        <v>0.94594704958977449</v>
      </c>
      <c r="AX31" s="206">
        <f>IF($F31="s-curve",$D31+($E31-$D31)*$Q$2/(1+EXP($Q$3*(COUNT($O$9:AX$9)+$Q$4))),TREND($D31:$E31,$D$9:$E$9,AX$9))</f>
        <v>0.95615245821619066</v>
      </c>
      <c r="AY31" s="206">
        <f>IF($F31="s-curve",$D31+($E31-$D31)*$Q$2/(1+EXP($Q$3*(COUNT($O$9:AY$9)+$Q$4))),TREND($D31:$E31,$D$9:$E$9,AY$9))</f>
        <v>0.96450351022483638</v>
      </c>
      <c r="AZ31" s="206">
        <f>IF($F31="s-curve",$D31+($E31-$D31)*$Q$2/(1+EXP($Q$3*(COUNT($O$9:AZ$9)+$Q$4))),TREND($D31:$E31,$D$9:$E$9,AZ$9))</f>
        <v>0.97131187591490564</v>
      </c>
      <c r="BA31" s="206">
        <f>IF($F31="s-curve",$D31+($E31-$D31)*$Q$2/(1+EXP($Q$3*(COUNT($O$9:BA$9)+$Q$4))),TREND($D31:$E31,$D$9:$E$9,BA$9))</f>
        <v>0.97684578802446165</v>
      </c>
      <c r="BB31" s="206">
        <f>IF($F31="s-curve",$D31+($E31-$D31)*$Q$2/(1+EXP($Q$3*(COUNT($O$9:BB$9)+$Q$4))),TREND($D31:$E31,$D$9:$E$9,BB$9))</f>
        <v>0.98133277371654959</v>
      </c>
      <c r="BC31" s="206">
        <f>IF($F31="s-curve",$D31+($E31-$D31)*$Q$2/(1+EXP($Q$3*(COUNT($O$9:BC$9)+$Q$4))),TREND($D31:$E31,$D$9:$E$9,BC$9))</f>
        <v>0.98496365296800936</v>
      </c>
    </row>
    <row r="32" spans="1:55" x14ac:dyDescent="0.15">
      <c r="C32" t="s">
        <v>2</v>
      </c>
      <c r="D32" s="22">
        <f>'Historical Shareweights'!J194</f>
        <v>0.1086</v>
      </c>
      <c r="E32" s="22">
        <f>SUM(INDEX('AEO 49'!$208:$208,MATCH(E$9,'AEO 49'!$1:$1,0)),INDEX('AEO 49'!$219:$219,MATCH(E$9,'AEO 49'!$1:$1,0)),INDEX('AEO 49'!$230:$230,MATCH(E$9,'AEO 49'!$1:$1,0)))*Assumptions!A2/INDEX('AEO 49'!$237:$237,MATCH(E$9,'AEO 49'!$1:$1,0))</f>
        <v>5.2833798144577476E-2</v>
      </c>
      <c r="F32" s="7" t="str">
        <f>IF(D32=E32,"n/a",IF(OR(C32="battery electric vehicle",C32="natural gas vehicle",C32="plugin hybrid vehicle"),"s-curve","linear"))</f>
        <v>s-curve</v>
      </c>
      <c r="O32" s="22">
        <f t="shared" si="10"/>
        <v>0.1086</v>
      </c>
      <c r="P32">
        <f>IF($F32="s-curve",$D32+($E32-$D32)*$I$2/(1+EXP($I$3*(COUNT($O$9:P$9)+$I$4))),TREND($D32:$E32,$D$9:$E$9,P$9))</f>
        <v>0.10749358150556014</v>
      </c>
      <c r="Q32">
        <f>IF($F32="s-curve",$D32+($E32-$D32)*$I$2/(1+EXP($I$3*(COUNT($O$9:Q$9)+$I$4))),TREND($D32:$E32,$D$9:$E$9,Q$9))</f>
        <v>0.10711678668744512</v>
      </c>
      <c r="R32">
        <f>IF($F32="s-curve",$D32+($E32-$D32)*$I$2/(1+EXP($I$3*(COUNT($O$9:R$9)+$I$4))),TREND($D32:$E32,$D$9:$E$9,R$9))</f>
        <v>0.10661632987878474</v>
      </c>
      <c r="S32">
        <f>IF($F32="s-curve",$D32+($E32-$D32)*$I$2/(1+EXP($I$3*(COUNT($O$9:S$9)+$I$4))),TREND($D32:$E32,$D$9:$E$9,S$9))</f>
        <v>0.10595523918321015</v>
      </c>
      <c r="T32">
        <f>IF($F32="s-curve",$D32+($E32-$D32)*$I$2/(1+EXP($I$3*(COUNT($O$9:T$9)+$I$4))),TREND($D32:$E32,$D$9:$E$9,T$9))</f>
        <v>0.10508821511461214</v>
      </c>
      <c r="U32">
        <f>IF($F32="s-curve",$D32+($E32-$D32)*$I$2/(1+EXP($I$3*(COUNT($O$9:U$9)+$I$4))),TREND($D32:$E32,$D$9:$E$9,U$9))</f>
        <v>0.10396177461846014</v>
      </c>
      <c r="V32">
        <f>IF($F32="s-curve",$D32+($E32-$D32)*$I$2/(1+EXP($I$3*(COUNT($O$9:V$9)+$I$4))),TREND($D32:$E32,$D$9:$E$9,V$9))</f>
        <v>0.10251608464742051</v>
      </c>
      <c r="W32">
        <f>IF($F32="s-curve",$D32+($E32-$D32)*$I$2/(1+EXP($I$3*(COUNT($O$9:W$9)+$I$4))),TREND($D32:$E32,$D$9:$E$9,W$9))</f>
        <v>0.10068950488135275</v>
      </c>
      <c r="X32">
        <f>IF($F32="s-curve",$D32+($E32-$D32)*$I$2/(1+EXP($I$3*(COUNT($O$9:X$9)+$I$4))),TREND($D32:$E32,$D$9:$E$9,X$9))</f>
        <v>9.8426821415833546E-2</v>
      </c>
      <c r="Y32">
        <f>IF($F32="s-curve",$D32+($E32-$D32)*$I$2/(1+EXP($I$3*(COUNT($O$9:Y$9)+$I$4))),TREND($D32:$E32,$D$9:$E$9,Y$9))</f>
        <v>9.5691506352078584E-2</v>
      </c>
      <c r="Z32">
        <f>IF($F32="s-curve",$D32+($E32-$D32)*$I$2/(1+EXP($I$3*(COUNT($O$9:Z$9)+$I$4))),TREND($D32:$E32,$D$9:$E$9,Z$9))</f>
        <v>9.2480751616975693E-2</v>
      </c>
      <c r="AA32">
        <f>IF($F32="s-curve",$D32+($E32-$D32)*$I$2/(1+EXP($I$3*(COUNT($O$9:AA$9)+$I$4))),TREND($D32:$E32,$D$9:$E$9,AA$9))</f>
        <v>8.8839598046791687E-2</v>
      </c>
      <c r="AB32">
        <f>IF($F32="s-curve",$D32+($E32-$D32)*$I$2/(1+EXP($I$3*(COUNT($O$9:AB$9)+$I$4))),TREND($D32:$E32,$D$9:$E$9,AB$9))</f>
        <v>8.4868275491433401E-2</v>
      </c>
      <c r="AC32">
        <f>IF($F32="s-curve",$D32+($E32-$D32)*$I$2/(1+EXP($I$3*(COUNT($O$9:AC$9)+$I$4))),TREND($D32:$E32,$D$9:$E$9,AC$9))</f>
        <v>8.0716899072288739E-2</v>
      </c>
      <c r="AD32">
        <f>IF($F32="s-curve",$D32+($E32-$D32)*$I$2/(1+EXP($I$3*(COUNT($O$9:AD$9)+$I$4))),TREND($D32:$E32,$D$9:$E$9,AD$9))</f>
        <v>7.6565522653144077E-2</v>
      </c>
      <c r="AE32">
        <f>IF($F32="s-curve",$D32+($E32-$D32)*$I$2/(1+EXP($I$3*(COUNT($O$9:AE$9)+$I$4))),TREND($D32:$E32,$D$9:$E$9,AE$9))</f>
        <v>7.2594200097785805E-2</v>
      </c>
      <c r="AF32">
        <f>IF($F32="s-curve",$D32+($E32-$D32)*$I$2/(1+EXP($I$3*(COUNT($O$9:AF$9)+$I$4))),TREND($D32:$E32,$D$9:$E$9,AF$9))</f>
        <v>6.8953046527601786E-2</v>
      </c>
      <c r="AG32">
        <f>IF($F32="s-curve",$D32+($E32-$D32)*$I$2/(1+EXP($I$3*(COUNT($O$9:AG$9)+$I$4))),TREND($D32:$E32,$D$9:$E$9,AG$9))</f>
        <v>6.5742291792498894E-2</v>
      </c>
      <c r="AH32">
        <f>IF($F32="s-curve",$D32+($E32-$D32)*$I$2/(1+EXP($I$3*(COUNT($O$9:AH$9)+$I$4))),TREND($D32:$E32,$D$9:$E$9,AH$9))</f>
        <v>6.3006976728743933E-2</v>
      </c>
      <c r="AI32">
        <f>IF($F32="s-curve",$D32+($E32-$D32)*$I$2/(1+EXP($I$3*(COUNT($O$9:AI$9)+$I$4))),TREND($D32:$E32,$D$9:$E$9,AI$9))</f>
        <v>6.0744293263224718E-2</v>
      </c>
      <c r="AJ32">
        <f>IF($F32="s-curve",$D32+($E32-$D32)*$I$2/(1+EXP($I$3*(COUNT($O$9:AJ$9)+$I$4))),TREND($D32:$E32,$D$9:$E$9,AJ$9))</f>
        <v>5.8917713497156965E-2</v>
      </c>
      <c r="AK32">
        <f>IF($F32="s-curve",$D32+($E32-$D32)*$I$2/(1+EXP($I$3*(COUNT($O$9:AK$9)+$I$4))),TREND($D32:$E32,$D$9:$E$9,AK$9))</f>
        <v>5.7472023526117341E-2</v>
      </c>
      <c r="AL32">
        <f>IF($F32="s-curve",$D32+($E32-$D32)*$I$2/(1+EXP($I$3*(COUNT($O$9:AL$9)+$I$4))),TREND($D32:$E32,$D$9:$E$9,AL$9))</f>
        <v>5.6345583029965333E-2</v>
      </c>
      <c r="AM32">
        <f>IF($F32="s-curve",$D32+($E32-$D32)*$I$2/(1+EXP($I$3*(COUNT($O$9:AM$9)+$I$4))),TREND($D32:$E32,$D$9:$E$9,AM$9))</f>
        <v>5.547855896136733E-2</v>
      </c>
      <c r="AN32">
        <f>IF($F32="s-curve",$D32+($E32-$D32)*$I$2/(1+EXP($I$3*(COUNT($O$9:AN$9)+$I$4))),TREND($D32:$E32,$D$9:$E$9,AN$9))</f>
        <v>5.4817468265792743E-2</v>
      </c>
      <c r="AO32">
        <f>IF($F32="s-curve",$D32+($E32-$D32)*$I$2/(1+EXP($I$3*(COUNT($O$9:AO$9)+$I$4))),TREND($D32:$E32,$D$9:$E$9,AO$9))</f>
        <v>5.4317011457132358E-2</v>
      </c>
      <c r="AP32">
        <f>IF($F32="s-curve",$D32+($E32-$D32)*$I$2/(1+EXP($I$3*(COUNT($O$9:AP$9)+$I$4))),TREND($D32:$E32,$D$9:$E$9,AP$9))</f>
        <v>5.3940216639017338E-2</v>
      </c>
      <c r="AQ32">
        <f>IF($F32="s-curve",$D32+($E32-$D32)*$I$2/(1+EXP($I$3*(COUNT($O$9:AQ$9)+$I$4))),TREND($D32:$E32,$D$9:$E$9,AQ$9))</f>
        <v>5.3657689778202948E-2</v>
      </c>
      <c r="AR32">
        <f>IF($F32="s-curve",$D32+($E32-$D32)*$I$2/(1+EXP($I$3*(COUNT($O$9:AR$9)+$I$4))),TREND($D32:$E32,$D$9:$E$9,AR$9))</f>
        <v>5.344649820508908E-2</v>
      </c>
      <c r="AS32">
        <f>IF($F32="s-curve",$D32+($E32-$D32)*$I$2/(1+EXP($I$3*(COUNT($O$9:AS$9)+$I$4))),TREND($D32:$E32,$D$9:$E$9,AS$9))</f>
        <v>5.3288993735163839E-2</v>
      </c>
      <c r="AT32">
        <f t="shared" si="11"/>
        <v>5.3288993735163839E-2</v>
      </c>
      <c r="AU32">
        <f t="shared" si="12"/>
        <v>5.3288993735163839E-2</v>
      </c>
      <c r="AV32">
        <f t="shared" si="12"/>
        <v>5.3288993735163839E-2</v>
      </c>
      <c r="AW32">
        <f t="shared" si="12"/>
        <v>5.3288993735163839E-2</v>
      </c>
      <c r="AX32">
        <f t="shared" si="12"/>
        <v>5.3288993735163839E-2</v>
      </c>
      <c r="AY32">
        <f t="shared" si="12"/>
        <v>5.3288993735163839E-2</v>
      </c>
      <c r="AZ32">
        <f t="shared" si="12"/>
        <v>5.3288993735163839E-2</v>
      </c>
      <c r="BA32">
        <f t="shared" si="12"/>
        <v>5.3288993735163839E-2</v>
      </c>
      <c r="BB32">
        <f t="shared" si="12"/>
        <v>5.3288993735163839E-2</v>
      </c>
      <c r="BC32">
        <f t="shared" si="12"/>
        <v>5.3288993735163839E-2</v>
      </c>
    </row>
    <row r="33" spans="1:55" x14ac:dyDescent="0.15">
      <c r="C33" t="s">
        <v>3</v>
      </c>
      <c r="D33" s="22">
        <f>'Historical Shareweights'!J195</f>
        <v>0</v>
      </c>
      <c r="E33" s="22">
        <v>0</v>
      </c>
      <c r="F33" s="7" t="str">
        <f>IF(D33=E33,"n/a",IF(OR(C33="battery electric vehicle",C33="natural gas vehicle",C33="plugin hybrid vehicle"),"s-curve","linear"))</f>
        <v>n/a</v>
      </c>
      <c r="O33" s="22">
        <f t="shared" si="10"/>
        <v>0</v>
      </c>
      <c r="P33">
        <f>IF($F33="s-curve",$D33+($E33-$D33)*$I$2/(1+EXP($I$3*(COUNT($O$9:P$9)+$I$4))),TREND($D33:$E33,$D$9:$E$9,P$9))</f>
        <v>0</v>
      </c>
      <c r="Q33">
        <f>IF($F33="s-curve",$D33+($E33-$D33)*$I$2/(1+EXP($I$3*(COUNT($O$9:Q$9)+$I$4))),TREND($D33:$E33,$D$9:$E$9,Q$9))</f>
        <v>0</v>
      </c>
      <c r="R33">
        <f>IF($F33="s-curve",$D33+($E33-$D33)*$I$2/(1+EXP($I$3*(COUNT($O$9:R$9)+$I$4))),TREND($D33:$E33,$D$9:$E$9,R$9))</f>
        <v>0</v>
      </c>
      <c r="S33">
        <f>IF($F33="s-curve",$D33+($E33-$D33)*$I$2/(1+EXP($I$3*(COUNT($O$9:S$9)+$I$4))),TREND($D33:$E33,$D$9:$E$9,S$9))</f>
        <v>0</v>
      </c>
      <c r="T33">
        <f>IF($F33="s-curve",$D33+($E33-$D33)*$I$2/(1+EXP($I$3*(COUNT($O$9:T$9)+$I$4))),TREND($D33:$E33,$D$9:$E$9,T$9))</f>
        <v>0</v>
      </c>
      <c r="U33">
        <f>IF($F33="s-curve",$D33+($E33-$D33)*$I$2/(1+EXP($I$3*(COUNT($O$9:U$9)+$I$4))),TREND($D33:$E33,$D$9:$E$9,U$9))</f>
        <v>0</v>
      </c>
      <c r="V33">
        <f>IF($F33="s-curve",$D33+($E33-$D33)*$I$2/(1+EXP($I$3*(COUNT($O$9:V$9)+$I$4))),TREND($D33:$E33,$D$9:$E$9,V$9))</f>
        <v>0</v>
      </c>
      <c r="W33">
        <f>IF($F33="s-curve",$D33+($E33-$D33)*$I$2/(1+EXP($I$3*(COUNT($O$9:W$9)+$I$4))),TREND($D33:$E33,$D$9:$E$9,W$9))</f>
        <v>0</v>
      </c>
      <c r="X33">
        <f>IF($F33="s-curve",$D33+($E33-$D33)*$I$2/(1+EXP($I$3*(COUNT($O$9:X$9)+$I$4))),TREND($D33:$E33,$D$9:$E$9,X$9))</f>
        <v>0</v>
      </c>
      <c r="Y33">
        <f>IF($F33="s-curve",$D33+($E33-$D33)*$I$2/(1+EXP($I$3*(COUNT($O$9:Y$9)+$I$4))),TREND($D33:$E33,$D$9:$E$9,Y$9))</f>
        <v>0</v>
      </c>
      <c r="Z33">
        <f>IF($F33="s-curve",$D33+($E33-$D33)*$I$2/(1+EXP($I$3*(COUNT($O$9:Z$9)+$I$4))),TREND($D33:$E33,$D$9:$E$9,Z$9))</f>
        <v>0</v>
      </c>
      <c r="AA33">
        <f>IF($F33="s-curve",$D33+($E33-$D33)*$I$2/(1+EXP($I$3*(COUNT($O$9:AA$9)+$I$4))),TREND($D33:$E33,$D$9:$E$9,AA$9))</f>
        <v>0</v>
      </c>
      <c r="AB33">
        <f>IF($F33="s-curve",$D33+($E33-$D33)*$I$2/(1+EXP($I$3*(COUNT($O$9:AB$9)+$I$4))),TREND($D33:$E33,$D$9:$E$9,AB$9))</f>
        <v>0</v>
      </c>
      <c r="AC33">
        <f>IF($F33="s-curve",$D33+($E33-$D33)*$I$2/(1+EXP($I$3*(COUNT($O$9:AC$9)+$I$4))),TREND($D33:$E33,$D$9:$E$9,AC$9))</f>
        <v>0</v>
      </c>
      <c r="AD33">
        <f>IF($F33="s-curve",$D33+($E33-$D33)*$I$2/(1+EXP($I$3*(COUNT($O$9:AD$9)+$I$4))),TREND($D33:$E33,$D$9:$E$9,AD$9))</f>
        <v>0</v>
      </c>
      <c r="AE33">
        <f>IF($F33="s-curve",$D33+($E33-$D33)*$I$2/(1+EXP($I$3*(COUNT($O$9:AE$9)+$I$4))),TREND($D33:$E33,$D$9:$E$9,AE$9))</f>
        <v>0</v>
      </c>
      <c r="AF33">
        <f>IF($F33="s-curve",$D33+($E33-$D33)*$I$2/(1+EXP($I$3*(COUNT($O$9:AF$9)+$I$4))),TREND($D33:$E33,$D$9:$E$9,AF$9))</f>
        <v>0</v>
      </c>
      <c r="AG33">
        <f>IF($F33="s-curve",$D33+($E33-$D33)*$I$2/(1+EXP($I$3*(COUNT($O$9:AG$9)+$I$4))),TREND($D33:$E33,$D$9:$E$9,AG$9))</f>
        <v>0</v>
      </c>
      <c r="AH33">
        <f>IF($F33="s-curve",$D33+($E33-$D33)*$I$2/(1+EXP($I$3*(COUNT($O$9:AH$9)+$I$4))),TREND($D33:$E33,$D$9:$E$9,AH$9))</f>
        <v>0</v>
      </c>
      <c r="AI33">
        <f>IF($F33="s-curve",$D33+($E33-$D33)*$I$2/(1+EXP($I$3*(COUNT($O$9:AI$9)+$I$4))),TREND($D33:$E33,$D$9:$E$9,AI$9))</f>
        <v>0</v>
      </c>
      <c r="AJ33">
        <f>IF($F33="s-curve",$D33+($E33-$D33)*$I$2/(1+EXP($I$3*(COUNT($O$9:AJ$9)+$I$4))),TREND($D33:$E33,$D$9:$E$9,AJ$9))</f>
        <v>0</v>
      </c>
      <c r="AK33">
        <f>IF($F33="s-curve",$D33+($E33-$D33)*$I$2/(1+EXP($I$3*(COUNT($O$9:AK$9)+$I$4))),TREND($D33:$E33,$D$9:$E$9,AK$9))</f>
        <v>0</v>
      </c>
      <c r="AL33">
        <f>IF($F33="s-curve",$D33+($E33-$D33)*$I$2/(1+EXP($I$3*(COUNT($O$9:AL$9)+$I$4))),TREND($D33:$E33,$D$9:$E$9,AL$9))</f>
        <v>0</v>
      </c>
      <c r="AM33">
        <f>IF($F33="s-curve",$D33+($E33-$D33)*$I$2/(1+EXP($I$3*(COUNT($O$9:AM$9)+$I$4))),TREND($D33:$E33,$D$9:$E$9,AM$9))</f>
        <v>0</v>
      </c>
      <c r="AN33">
        <f>IF($F33="s-curve",$D33+($E33-$D33)*$I$2/(1+EXP($I$3*(COUNT($O$9:AN$9)+$I$4))),TREND($D33:$E33,$D$9:$E$9,AN$9))</f>
        <v>0</v>
      </c>
      <c r="AO33">
        <f>IF($F33="s-curve",$D33+($E33-$D33)*$I$2/(1+EXP($I$3*(COUNT($O$9:AO$9)+$I$4))),TREND($D33:$E33,$D$9:$E$9,AO$9))</f>
        <v>0</v>
      </c>
      <c r="AP33">
        <f>IF($F33="s-curve",$D33+($E33-$D33)*$I$2/(1+EXP($I$3*(COUNT($O$9:AP$9)+$I$4))),TREND($D33:$E33,$D$9:$E$9,AP$9))</f>
        <v>0</v>
      </c>
      <c r="AQ33">
        <f>IF($F33="s-curve",$D33+($E33-$D33)*$I$2/(1+EXP($I$3*(COUNT($O$9:AQ$9)+$I$4))),TREND($D33:$E33,$D$9:$E$9,AQ$9))</f>
        <v>0</v>
      </c>
      <c r="AR33">
        <f>IF($F33="s-curve",$D33+($E33-$D33)*$I$2/(1+EXP($I$3*(COUNT($O$9:AR$9)+$I$4))),TREND($D33:$E33,$D$9:$E$9,AR$9))</f>
        <v>0</v>
      </c>
      <c r="AS33">
        <f>IF($F33="s-curve",$D33+($E33-$D33)*$I$2/(1+EXP($I$3*(COUNT($O$9:AS$9)+$I$4))),TREND($D33:$E33,$D$9:$E$9,AS$9))</f>
        <v>0</v>
      </c>
      <c r="AT33">
        <f t="shared" si="11"/>
        <v>0</v>
      </c>
      <c r="AU33">
        <f t="shared" si="12"/>
        <v>0</v>
      </c>
      <c r="AV33">
        <f t="shared" si="12"/>
        <v>0</v>
      </c>
      <c r="AW33">
        <f t="shared" si="12"/>
        <v>0</v>
      </c>
      <c r="AX33">
        <f t="shared" si="12"/>
        <v>0</v>
      </c>
      <c r="AY33">
        <f t="shared" si="12"/>
        <v>0</v>
      </c>
      <c r="AZ33">
        <f t="shared" si="12"/>
        <v>0</v>
      </c>
      <c r="BA33">
        <f t="shared" si="12"/>
        <v>0</v>
      </c>
      <c r="BB33">
        <f t="shared" si="12"/>
        <v>0</v>
      </c>
      <c r="BC33">
        <f t="shared" si="12"/>
        <v>0</v>
      </c>
    </row>
    <row r="34" spans="1:55" x14ac:dyDescent="0.15">
      <c r="C34" t="s">
        <v>4</v>
      </c>
      <c r="D34" s="22">
        <f>'Historical Shareweights'!J196</f>
        <v>1</v>
      </c>
      <c r="E34">
        <v>1</v>
      </c>
      <c r="F34" s="7" t="str">
        <f>IF(D34=E34,"n/a",IF(OR(C34="battery electric vehicle",C34="natural gas vehicle",C34="plugin hybrid vehicle"),"s-curve","linear"))</f>
        <v>n/a</v>
      </c>
      <c r="O34" s="22">
        <f t="shared" si="10"/>
        <v>1</v>
      </c>
      <c r="P34">
        <f>IF($F34="s-curve",$D34+($E34-$D34)*$I$2/(1+EXP($I$3*(COUNT($O$9:P$9)+$I$4))),TREND($D34:$E34,$D$9:$E$9,P$9))</f>
        <v>1</v>
      </c>
      <c r="Q34">
        <f>IF($F34="s-curve",$D34+($E34-$D34)*$I$2/(1+EXP($I$3*(COUNT($O$9:Q$9)+$I$4))),TREND($D34:$E34,$D$9:$E$9,Q$9))</f>
        <v>1</v>
      </c>
      <c r="R34">
        <f>IF($F34="s-curve",$D34+($E34-$D34)*$I$2/(1+EXP($I$3*(COUNT($O$9:R$9)+$I$4))),TREND($D34:$E34,$D$9:$E$9,R$9))</f>
        <v>1</v>
      </c>
      <c r="S34">
        <f>IF($F34="s-curve",$D34+($E34-$D34)*$I$2/(1+EXP($I$3*(COUNT($O$9:S$9)+$I$4))),TREND($D34:$E34,$D$9:$E$9,S$9))</f>
        <v>1</v>
      </c>
      <c r="T34">
        <f>IF($F34="s-curve",$D34+($E34-$D34)*$I$2/(1+EXP($I$3*(COUNT($O$9:T$9)+$I$4))),TREND($D34:$E34,$D$9:$E$9,T$9))</f>
        <v>1</v>
      </c>
      <c r="U34">
        <f>IF($F34="s-curve",$D34+($E34-$D34)*$I$2/(1+EXP($I$3*(COUNT($O$9:U$9)+$I$4))),TREND($D34:$E34,$D$9:$E$9,U$9))</f>
        <v>1</v>
      </c>
      <c r="V34">
        <f>IF($F34="s-curve",$D34+($E34-$D34)*$I$2/(1+EXP($I$3*(COUNT($O$9:V$9)+$I$4))),TREND($D34:$E34,$D$9:$E$9,V$9))</f>
        <v>1</v>
      </c>
      <c r="W34">
        <f>IF($F34="s-curve",$D34+($E34-$D34)*$I$2/(1+EXP($I$3*(COUNT($O$9:W$9)+$I$4))),TREND($D34:$E34,$D$9:$E$9,W$9))</f>
        <v>1</v>
      </c>
      <c r="X34">
        <f>IF($F34="s-curve",$D34+($E34-$D34)*$I$2/(1+EXP($I$3*(COUNT($O$9:X$9)+$I$4))),TREND($D34:$E34,$D$9:$E$9,X$9))</f>
        <v>1</v>
      </c>
      <c r="Y34">
        <f>IF($F34="s-curve",$D34+($E34-$D34)*$I$2/(1+EXP($I$3*(COUNT($O$9:Y$9)+$I$4))),TREND($D34:$E34,$D$9:$E$9,Y$9))</f>
        <v>1</v>
      </c>
      <c r="Z34">
        <f>IF($F34="s-curve",$D34+($E34-$D34)*$I$2/(1+EXP($I$3*(COUNT($O$9:Z$9)+$I$4))),TREND($D34:$E34,$D$9:$E$9,Z$9))</f>
        <v>1</v>
      </c>
      <c r="AA34">
        <f>IF($F34="s-curve",$D34+($E34-$D34)*$I$2/(1+EXP($I$3*(COUNT($O$9:AA$9)+$I$4))),TREND($D34:$E34,$D$9:$E$9,AA$9))</f>
        <v>1</v>
      </c>
      <c r="AB34">
        <f>IF($F34="s-curve",$D34+($E34-$D34)*$I$2/(1+EXP($I$3*(COUNT($O$9:AB$9)+$I$4))),TREND($D34:$E34,$D$9:$E$9,AB$9))</f>
        <v>1</v>
      </c>
      <c r="AC34">
        <f>IF($F34="s-curve",$D34+($E34-$D34)*$I$2/(1+EXP($I$3*(COUNT($O$9:AC$9)+$I$4))),TREND($D34:$E34,$D$9:$E$9,AC$9))</f>
        <v>1</v>
      </c>
      <c r="AD34">
        <f>IF($F34="s-curve",$D34+($E34-$D34)*$I$2/(1+EXP($I$3*(COUNT($O$9:AD$9)+$I$4))),TREND($D34:$E34,$D$9:$E$9,AD$9))</f>
        <v>1</v>
      </c>
      <c r="AE34">
        <f>IF($F34="s-curve",$D34+($E34-$D34)*$I$2/(1+EXP($I$3*(COUNT($O$9:AE$9)+$I$4))),TREND($D34:$E34,$D$9:$E$9,AE$9))</f>
        <v>1</v>
      </c>
      <c r="AF34">
        <f>IF($F34="s-curve",$D34+($E34-$D34)*$I$2/(1+EXP($I$3*(COUNT($O$9:AF$9)+$I$4))),TREND($D34:$E34,$D$9:$E$9,AF$9))</f>
        <v>1</v>
      </c>
      <c r="AG34">
        <f>IF($F34="s-curve",$D34+($E34-$D34)*$I$2/(1+EXP($I$3*(COUNT($O$9:AG$9)+$I$4))),TREND($D34:$E34,$D$9:$E$9,AG$9))</f>
        <v>1</v>
      </c>
      <c r="AH34">
        <f>IF($F34="s-curve",$D34+($E34-$D34)*$I$2/(1+EXP($I$3*(COUNT($O$9:AH$9)+$I$4))),TREND($D34:$E34,$D$9:$E$9,AH$9))</f>
        <v>1</v>
      </c>
      <c r="AI34">
        <f>IF($F34="s-curve",$D34+($E34-$D34)*$I$2/(1+EXP($I$3*(COUNT($O$9:AI$9)+$I$4))),TREND($D34:$E34,$D$9:$E$9,AI$9))</f>
        <v>1</v>
      </c>
      <c r="AJ34">
        <f>IF($F34="s-curve",$D34+($E34-$D34)*$I$2/(1+EXP($I$3*(COUNT($O$9:AJ$9)+$I$4))),TREND($D34:$E34,$D$9:$E$9,AJ$9))</f>
        <v>1</v>
      </c>
      <c r="AK34">
        <f>IF($F34="s-curve",$D34+($E34-$D34)*$I$2/(1+EXP($I$3*(COUNT($O$9:AK$9)+$I$4))),TREND($D34:$E34,$D$9:$E$9,AK$9))</f>
        <v>1</v>
      </c>
      <c r="AL34">
        <f>IF($F34="s-curve",$D34+($E34-$D34)*$I$2/(1+EXP($I$3*(COUNT($O$9:AL$9)+$I$4))),TREND($D34:$E34,$D$9:$E$9,AL$9))</f>
        <v>1</v>
      </c>
      <c r="AM34">
        <f>IF($F34="s-curve",$D34+($E34-$D34)*$I$2/(1+EXP($I$3*(COUNT($O$9:AM$9)+$I$4))),TREND($D34:$E34,$D$9:$E$9,AM$9))</f>
        <v>1</v>
      </c>
      <c r="AN34">
        <f>IF($F34="s-curve",$D34+($E34-$D34)*$I$2/(1+EXP($I$3*(COUNT($O$9:AN$9)+$I$4))),TREND($D34:$E34,$D$9:$E$9,AN$9))</f>
        <v>1</v>
      </c>
      <c r="AO34">
        <f>IF($F34="s-curve",$D34+($E34-$D34)*$I$2/(1+EXP($I$3*(COUNT($O$9:AO$9)+$I$4))),TREND($D34:$E34,$D$9:$E$9,AO$9))</f>
        <v>1</v>
      </c>
      <c r="AP34">
        <f>IF($F34="s-curve",$D34+($E34-$D34)*$I$2/(1+EXP($I$3*(COUNT($O$9:AP$9)+$I$4))),TREND($D34:$E34,$D$9:$E$9,AP$9))</f>
        <v>1</v>
      </c>
      <c r="AQ34">
        <f>IF($F34="s-curve",$D34+($E34-$D34)*$I$2/(1+EXP($I$3*(COUNT($O$9:AQ$9)+$I$4))),TREND($D34:$E34,$D$9:$E$9,AQ$9))</f>
        <v>1</v>
      </c>
      <c r="AR34">
        <f>IF($F34="s-curve",$D34+($E34-$D34)*$I$2/(1+EXP($I$3*(COUNT($O$9:AR$9)+$I$4))),TREND($D34:$E34,$D$9:$E$9,AR$9))</f>
        <v>1</v>
      </c>
      <c r="AS34">
        <f>IF($F34="s-curve",$D34+($E34-$D34)*$I$2/(1+EXP($I$3*(COUNT($O$9:AS$9)+$I$4))),TREND($D34:$E34,$D$9:$E$9,AS$9))</f>
        <v>1</v>
      </c>
      <c r="AT34">
        <f t="shared" si="11"/>
        <v>1</v>
      </c>
      <c r="AU34">
        <f t="shared" si="12"/>
        <v>1</v>
      </c>
      <c r="AV34">
        <f t="shared" si="12"/>
        <v>1</v>
      </c>
      <c r="AW34">
        <f t="shared" si="12"/>
        <v>1</v>
      </c>
      <c r="AX34">
        <f t="shared" si="12"/>
        <v>1</v>
      </c>
      <c r="AY34">
        <f t="shared" si="12"/>
        <v>1</v>
      </c>
      <c r="AZ34">
        <f t="shared" si="12"/>
        <v>1</v>
      </c>
      <c r="BA34">
        <f t="shared" si="12"/>
        <v>1</v>
      </c>
      <c r="BB34">
        <f t="shared" si="12"/>
        <v>1</v>
      </c>
      <c r="BC34">
        <f t="shared" si="12"/>
        <v>1</v>
      </c>
    </row>
    <row r="35" spans="1:55" x14ac:dyDescent="0.15">
      <c r="C35" t="s">
        <v>5</v>
      </c>
      <c r="D35" s="22">
        <f>'Historical Shareweights'!J197</f>
        <v>7.3378418080161815E-13</v>
      </c>
      <c r="E35" s="22">
        <f>SUM(INDEX('AEO 49'!$211:$212,0,MATCH(E$9,'AEO 49'!$1:$1,0)),INDEX('AEO 49'!$222:$223,0,MATCH(E$9,'AEO 49'!$1:$1,0)),INDEX('AEO 49'!$233:$234,0,MATCH(E$9,'AEO 49'!$1:$1,0)))*Assumptions!A2/INDEX('AEO 49'!$237:$237,MATCH(E$9,'AEO 49'!$1:$1,0))</f>
        <v>2.7600582563227494E-2</v>
      </c>
      <c r="F35" s="7" t="str">
        <f>IF(D35=E35,"n/a",IF(OR(C35="battery electric vehicle",C35="natural gas vehicle",C35="plugin hybrid vehicle"),"s-curve","linear"))</f>
        <v>s-curve</v>
      </c>
      <c r="O35" s="22">
        <f t="shared" si="10"/>
        <v>7.3378418080161815E-13</v>
      </c>
      <c r="P35">
        <f>IF($F35="s-curve",$D35+($E35-$D35)*$I$2/(1+EXP($I$3*(COUNT($O$9:P$9)+$I$4))),TREND($D35:$E35,$D$9:$E$9,P$9))</f>
        <v>5.4760399721230776E-4</v>
      </c>
      <c r="Q35">
        <f>IF($F35="s-curve",$D35+($E35-$D35)*$I$2/(1+EXP($I$3*(COUNT($O$9:Q$9)+$I$4))),TREND($D35:$E35,$D$9:$E$9,Q$9))</f>
        <v>7.3409251786618536E-4</v>
      </c>
      <c r="R35">
        <f>IF($F35="s-curve",$D35+($E35-$D35)*$I$2/(1+EXP($I$3*(COUNT($O$9:R$9)+$I$4))),TREND($D35:$E35,$D$9:$E$9,R$9))</f>
        <v>9.8178554709926953E-4</v>
      </c>
      <c r="S35">
        <f>IF($F35="s-curve",$D35+($E35-$D35)*$I$2/(1+EXP($I$3*(COUNT($O$9:S$9)+$I$4))),TREND($D35:$E35,$D$9:$E$9,S$9))</f>
        <v>1.3089817289695721E-3</v>
      </c>
      <c r="T35">
        <f>IF($F35="s-curve",$D35+($E35-$D35)*$I$2/(1+EXP($I$3*(COUNT($O$9:T$9)+$I$4))),TREND($D35:$E35,$D$9:$E$9,T$9))</f>
        <v>1.7381013138222296E-3</v>
      </c>
      <c r="U35">
        <f>IF($F35="s-curve",$D35+($E35-$D35)*$I$2/(1+EXP($I$3*(COUNT($O$9:U$9)+$I$4))),TREND($D35:$E35,$D$9:$E$9,U$9))</f>
        <v>2.2956148772595199E-3</v>
      </c>
      <c r="V35">
        <f>IF($F35="s-curve",$D35+($E35-$D35)*$I$2/(1+EXP($I$3*(COUNT($O$9:V$9)+$I$4))),TREND($D35:$E35,$D$9:$E$9,V$9))</f>
        <v>3.0111358214489122E-3</v>
      </c>
      <c r="W35">
        <f>IF($F35="s-curve",$D35+($E35-$D35)*$I$2/(1+EXP($I$3*(COUNT($O$9:W$9)+$I$4))),TREND($D35:$E35,$D$9:$E$9,W$9))</f>
        <v>3.9151720290973519E-3</v>
      </c>
      <c r="X35">
        <f>IF($F35="s-curve",$D35+($E35-$D35)*$I$2/(1+EXP($I$3*(COUNT($O$9:X$9)+$I$4))),TREND($D35:$E35,$D$9:$E$9,X$9))</f>
        <v>5.0350507320572847E-3</v>
      </c>
      <c r="Y35">
        <f>IF($F35="s-curve",$D35+($E35-$D35)*$I$2/(1+EXP($I$3*(COUNT($O$9:Y$9)+$I$4))),TREND($D35:$E35,$D$9:$E$9,Y$9))</f>
        <v>6.3888508249402547E-3</v>
      </c>
      <c r="Z35">
        <f>IF($F35="s-curve",$D35+($E35-$D35)*$I$2/(1+EXP($I$3*(COUNT($O$9:Z$9)+$I$4))),TREND($D35:$E35,$D$9:$E$9,Z$9))</f>
        <v>7.977962118262235E-3</v>
      </c>
      <c r="AA35">
        <f>IF($F35="s-curve",$D35+($E35-$D35)*$I$2/(1+EXP($I$3*(COUNT($O$9:AA$9)+$I$4))),TREND($D35:$E35,$D$9:$E$9,AA$9))</f>
        <v>9.7800923762477055E-3</v>
      </c>
      <c r="AB35">
        <f>IF($F35="s-curve",$D35+($E35-$D35)*$I$2/(1+EXP($I$3*(COUNT($O$9:AB$9)+$I$4))),TREND($D35:$E35,$D$9:$E$9,AB$9))</f>
        <v>1.174563445056062E-2</v>
      </c>
      <c r="AC35">
        <f>IF($F35="s-curve",$D35+($E35-$D35)*$I$2/(1+EXP($I$3*(COUNT($O$9:AC$9)+$I$4))),TREND($D35:$E35,$D$9:$E$9,AC$9))</f>
        <v>1.3800291281980639E-2</v>
      </c>
      <c r="AD35">
        <f>IF($F35="s-curve",$D35+($E35-$D35)*$I$2/(1+EXP($I$3*(COUNT($O$9:AD$9)+$I$4))),TREND($D35:$E35,$D$9:$E$9,AD$9))</f>
        <v>1.5854948113400661E-2</v>
      </c>
      <c r="AE35">
        <f>IF($F35="s-curve",$D35+($E35-$D35)*$I$2/(1+EXP($I$3*(COUNT($O$9:AE$9)+$I$4))),TREND($D35:$E35,$D$9:$E$9,AE$9))</f>
        <v>1.7820490187713572E-2</v>
      </c>
      <c r="AF35">
        <f>IF($F35="s-curve",$D35+($E35-$D35)*$I$2/(1+EXP($I$3*(COUNT($O$9:AF$9)+$I$4))),TREND($D35:$E35,$D$9:$E$9,AF$9))</f>
        <v>1.9622620445699044E-2</v>
      </c>
      <c r="AG35">
        <f>IF($F35="s-curve",$D35+($E35-$D35)*$I$2/(1+EXP($I$3*(COUNT($O$9:AG$9)+$I$4))),TREND($D35:$E35,$D$9:$E$9,AG$9))</f>
        <v>2.1211731739021022E-2</v>
      </c>
      <c r="AH35">
        <f>IF($F35="s-curve",$D35+($E35-$D35)*$I$2/(1+EXP($I$3*(COUNT($O$9:AH$9)+$I$4))),TREND($D35:$E35,$D$9:$E$9,AH$9))</f>
        <v>2.2565531831903993E-2</v>
      </c>
      <c r="AI35">
        <f>IF($F35="s-curve",$D35+($E35-$D35)*$I$2/(1+EXP($I$3*(COUNT($O$9:AI$9)+$I$4))),TREND($D35:$E35,$D$9:$E$9,AI$9))</f>
        <v>2.3685410534863928E-2</v>
      </c>
      <c r="AJ35">
        <f>IF($F35="s-curve",$D35+($E35-$D35)*$I$2/(1+EXP($I$3*(COUNT($O$9:AJ$9)+$I$4))),TREND($D35:$E35,$D$9:$E$9,AJ$9))</f>
        <v>2.4589446742512368E-2</v>
      </c>
      <c r="AK35">
        <f>IF($F35="s-curve",$D35+($E35-$D35)*$I$2/(1+EXP($I$3*(COUNT($O$9:AK$9)+$I$4))),TREND($D35:$E35,$D$9:$E$9,AK$9))</f>
        <v>2.5304967686701759E-2</v>
      </c>
      <c r="AL35">
        <f>IF($F35="s-curve",$D35+($E35-$D35)*$I$2/(1+EXP($I$3*(COUNT($O$9:AL$9)+$I$4))),TREND($D35:$E35,$D$9:$E$9,AL$9))</f>
        <v>2.5862481250139051E-2</v>
      </c>
      <c r="AM35">
        <f>IF($F35="s-curve",$D35+($E35-$D35)*$I$2/(1+EXP($I$3*(COUNT($O$9:AM$9)+$I$4))),TREND($D35:$E35,$D$9:$E$9,AM$9))</f>
        <v>2.6291600834991709E-2</v>
      </c>
      <c r="AN35">
        <f>IF($F35="s-curve",$D35+($E35-$D35)*$I$2/(1+EXP($I$3*(COUNT($O$9:AN$9)+$I$4))),TREND($D35:$E35,$D$9:$E$9,AN$9))</f>
        <v>2.6618797016862011E-2</v>
      </c>
      <c r="AO35">
        <f>IF($F35="s-curve",$D35+($E35-$D35)*$I$2/(1+EXP($I$3*(COUNT($O$9:AO$9)+$I$4))),TREND($D35:$E35,$D$9:$E$9,AO$9))</f>
        <v>2.6866490046095093E-2</v>
      </c>
      <c r="AP35">
        <f>IF($F35="s-curve",$D35+($E35-$D35)*$I$2/(1+EXP($I$3*(COUNT($O$9:AP$9)+$I$4))),TREND($D35:$E35,$D$9:$E$9,AP$9))</f>
        <v>2.7052978566748972E-2</v>
      </c>
      <c r="AQ35">
        <f>IF($F35="s-curve",$D35+($E35-$D35)*$I$2/(1+EXP($I$3*(COUNT($O$9:AQ$9)+$I$4))),TREND($D35:$E35,$D$9:$E$9,AQ$9))</f>
        <v>2.7192810681696412E-2</v>
      </c>
      <c r="AR35">
        <f>IF($F35="s-curve",$D35+($E35-$D35)*$I$2/(1+EXP($I$3*(COUNT($O$9:AR$9)+$I$4))),TREND($D35:$E35,$D$9:$E$9,AR$9))</f>
        <v>2.7297336546042425E-2</v>
      </c>
      <c r="AS35">
        <f>IF($F35="s-curve",$D35+($E35-$D35)*$I$2/(1+EXP($I$3*(COUNT($O$9:AS$9)+$I$4))),TREND($D35:$E35,$D$9:$E$9,AS$9))</f>
        <v>2.7375290844192476E-2</v>
      </c>
      <c r="AT35">
        <f t="shared" si="11"/>
        <v>2.7375290844192476E-2</v>
      </c>
      <c r="AU35">
        <f t="shared" si="12"/>
        <v>2.7375290844192476E-2</v>
      </c>
      <c r="AV35">
        <f t="shared" si="12"/>
        <v>2.7375290844192476E-2</v>
      </c>
      <c r="AW35">
        <f t="shared" si="12"/>
        <v>2.7375290844192476E-2</v>
      </c>
      <c r="AX35">
        <f t="shared" si="12"/>
        <v>2.7375290844192476E-2</v>
      </c>
      <c r="AY35">
        <f t="shared" si="12"/>
        <v>2.7375290844192476E-2</v>
      </c>
      <c r="AZ35">
        <f t="shared" si="12"/>
        <v>2.7375290844192476E-2</v>
      </c>
      <c r="BA35">
        <f t="shared" si="12"/>
        <v>2.7375290844192476E-2</v>
      </c>
      <c r="BB35">
        <f t="shared" si="12"/>
        <v>2.7375290844192476E-2</v>
      </c>
      <c r="BC35">
        <f t="shared" si="12"/>
        <v>2.7375290844192476E-2</v>
      </c>
    </row>
    <row r="36" spans="1:55" x14ac:dyDescent="0.15">
      <c r="C36" t="s">
        <v>125</v>
      </c>
      <c r="D36" s="22">
        <f>'Historical Shareweights'!J198</f>
        <v>4.4027050848097088E-13</v>
      </c>
      <c r="E36" s="22">
        <v>0</v>
      </c>
      <c r="F36" s="7" t="str">
        <f>IF(D36=E36,"n/a",IF(OR(C36="battery electric vehicle",C36="natural gas vehicle",C36="plugin hybrid vehicle",C36="hydrogen vehicle"),"s-curve","linear"))</f>
        <v>linear</v>
      </c>
      <c r="O36" s="22">
        <f t="shared" si="10"/>
        <v>4.4027050848097088E-13</v>
      </c>
      <c r="P36">
        <f>IF($F36="s-curve",$D36+($E36-$D36)*$I$2/(1+EXP($I$3*(COUNT($O$9:P$9)+$I$4))),TREND($D36:$E36,$D$9:$E$9,P$9))</f>
        <v>4.2559482486493486E-13</v>
      </c>
      <c r="Q36">
        <f>IF($F36="s-curve",$D36+($E36-$D36)*$I$2/(1+EXP($I$3*(COUNT($O$9:Q$9)+$I$4))),TREND($D36:$E36,$D$9:$E$9,Q$9))</f>
        <v>4.1091914124889839E-13</v>
      </c>
      <c r="R36">
        <f>IF($F36="s-curve",$D36+($E36-$D36)*$I$2/(1+EXP($I$3*(COUNT($O$9:R$9)+$I$4))),TREND($D36:$E36,$D$9:$E$9,R$9))</f>
        <v>3.9624345763286838E-13</v>
      </c>
      <c r="S36">
        <f>IF($F36="s-curve",$D36+($E36-$D36)*$I$2/(1+EXP($I$3*(COUNT($O$9:S$9)+$I$4))),TREND($D36:$E36,$D$9:$E$9,S$9))</f>
        <v>3.8156777401683837E-13</v>
      </c>
      <c r="T36">
        <f>IF($F36="s-curve",$D36+($E36-$D36)*$I$2/(1+EXP($I$3*(COUNT($O$9:T$9)+$I$4))),TREND($D36:$E36,$D$9:$E$9,T$9))</f>
        <v>3.668920904008019E-13</v>
      </c>
      <c r="U36">
        <f>IF($F36="s-curve",$D36+($E36-$D36)*$I$2/(1+EXP($I$3*(COUNT($O$9:U$9)+$I$4))),TREND($D36:$E36,$D$9:$E$9,U$9))</f>
        <v>3.522164067847719E-13</v>
      </c>
      <c r="V36">
        <f>IF($F36="s-curve",$D36+($E36-$D36)*$I$2/(1+EXP($I$3*(COUNT($O$9:V$9)+$I$4))),TREND($D36:$E36,$D$9:$E$9,V$9))</f>
        <v>3.3754072316874189E-13</v>
      </c>
      <c r="W36">
        <f>IF($F36="s-curve",$D36+($E36-$D36)*$I$2/(1+EXP($I$3*(COUNT($O$9:W$9)+$I$4))),TREND($D36:$E36,$D$9:$E$9,W$9))</f>
        <v>3.2286503955270542E-13</v>
      </c>
      <c r="X36">
        <f>IF($F36="s-curve",$D36+($E36-$D36)*$I$2/(1+EXP($I$3*(COUNT($O$9:X$9)+$I$4))),TREND($D36:$E36,$D$9:$E$9,X$9))</f>
        <v>3.0818935593667541E-13</v>
      </c>
      <c r="Y36">
        <f>IF($F36="s-curve",$D36+($E36-$D36)*$I$2/(1+EXP($I$3*(COUNT($O$9:Y$9)+$I$4))),TREND($D36:$E36,$D$9:$E$9,Y$9))</f>
        <v>2.935136723206454E-13</v>
      </c>
      <c r="Z36">
        <f>IF($F36="s-curve",$D36+($E36-$D36)*$I$2/(1+EXP($I$3*(COUNT($O$9:Z$9)+$I$4))),TREND($D36:$E36,$D$9:$E$9,Z$9))</f>
        <v>2.7883798870460893E-13</v>
      </c>
      <c r="AA36">
        <f>IF($F36="s-curve",$D36+($E36-$D36)*$I$2/(1+EXP($I$3*(COUNT($O$9:AA$9)+$I$4))),TREND($D36:$E36,$D$9:$E$9,AA$9))</f>
        <v>2.6416230508857892E-13</v>
      </c>
      <c r="AB36">
        <f>IF($F36="s-curve",$D36+($E36-$D36)*$I$2/(1+EXP($I$3*(COUNT($O$9:AB$9)+$I$4))),TREND($D36:$E36,$D$9:$E$9,AB$9))</f>
        <v>2.4948662147254245E-13</v>
      </c>
      <c r="AC36">
        <f>IF($F36="s-curve",$D36+($E36-$D36)*$I$2/(1+EXP($I$3*(COUNT($O$9:AC$9)+$I$4))),TREND($D36:$E36,$D$9:$E$9,AC$9))</f>
        <v>2.3481093785651244E-13</v>
      </c>
      <c r="AD36">
        <f>IF($F36="s-curve",$D36+($E36-$D36)*$I$2/(1+EXP($I$3*(COUNT($O$9:AD$9)+$I$4))),TREND($D36:$E36,$D$9:$E$9,AD$9))</f>
        <v>2.2013525424048243E-13</v>
      </c>
      <c r="AE36">
        <f>IF($F36="s-curve",$D36+($E36-$D36)*$I$2/(1+EXP($I$3*(COUNT($O$9:AE$9)+$I$4))),TREND($D36:$E36,$D$9:$E$9,AE$9))</f>
        <v>2.0545957062444596E-13</v>
      </c>
      <c r="AF36">
        <f>IF($F36="s-curve",$D36+($E36-$D36)*$I$2/(1+EXP($I$3*(COUNT($O$9:AF$9)+$I$4))),TREND($D36:$E36,$D$9:$E$9,AF$9))</f>
        <v>1.9078388700841596E-13</v>
      </c>
      <c r="AG36">
        <f>IF($F36="s-curve",$D36+($E36-$D36)*$I$2/(1+EXP($I$3*(COUNT($O$9:AG$9)+$I$4))),TREND($D36:$E36,$D$9:$E$9,AG$9))</f>
        <v>1.7610820339238595E-13</v>
      </c>
      <c r="AH36">
        <f>IF($F36="s-curve",$D36+($E36-$D36)*$I$2/(1+EXP($I$3*(COUNT($O$9:AH$9)+$I$4))),TREND($D36:$E36,$D$9:$E$9,AH$9))</f>
        <v>1.6143251977634948E-13</v>
      </c>
      <c r="AI36">
        <f>IF($F36="s-curve",$D36+($E36-$D36)*$I$2/(1+EXP($I$3*(COUNT($O$9:AI$9)+$I$4))),TREND($D36:$E36,$D$9:$E$9,AI$9))</f>
        <v>1.4675683616031947E-13</v>
      </c>
      <c r="AJ36">
        <f>IF($F36="s-curve",$D36+($E36-$D36)*$I$2/(1+EXP($I$3*(COUNT($O$9:AJ$9)+$I$4))),TREND($D36:$E36,$D$9:$E$9,AJ$9))</f>
        <v>1.3208115254428946E-13</v>
      </c>
      <c r="AK36">
        <f>IF($F36="s-curve",$D36+($E36-$D36)*$I$2/(1+EXP($I$3*(COUNT($O$9:AK$9)+$I$4))),TREND($D36:$E36,$D$9:$E$9,AK$9))</f>
        <v>1.1740546892825299E-13</v>
      </c>
      <c r="AL36">
        <f>IF($F36="s-curve",$D36+($E36-$D36)*$I$2/(1+EXP($I$3*(COUNT($O$9:AL$9)+$I$4))),TREND($D36:$E36,$D$9:$E$9,AL$9))</f>
        <v>1.0272978531222298E-13</v>
      </c>
      <c r="AM36">
        <f>IF($F36="s-curve",$D36+($E36-$D36)*$I$2/(1+EXP($I$3*(COUNT($O$9:AM$9)+$I$4))),TREND($D36:$E36,$D$9:$E$9,AM$9))</f>
        <v>8.8054101696186512E-14</v>
      </c>
      <c r="AN36">
        <f>IF($F36="s-curve",$D36+($E36-$D36)*$I$2/(1+EXP($I$3*(COUNT($O$9:AN$9)+$I$4))),TREND($D36:$E36,$D$9:$E$9,AN$9))</f>
        <v>7.3378418080156503E-14</v>
      </c>
      <c r="AO36">
        <f>IF($F36="s-curve",$D36+($E36-$D36)*$I$2/(1+EXP($I$3*(COUNT($O$9:AO$9)+$I$4))),TREND($D36:$E36,$D$9:$E$9,AO$9))</f>
        <v>5.8702734464126495E-14</v>
      </c>
      <c r="AP36">
        <f>IF($F36="s-curve",$D36+($E36-$D36)*$I$2/(1+EXP($I$3*(COUNT($O$9:AP$9)+$I$4))),TREND($D36:$E36,$D$9:$E$9,AP$9))</f>
        <v>4.4027050848090025E-14</v>
      </c>
      <c r="AQ36">
        <f>IF($F36="s-curve",$D36+($E36-$D36)*$I$2/(1+EXP($I$3*(COUNT($O$9:AQ$9)+$I$4))),TREND($D36:$E36,$D$9:$E$9,AQ$9))</f>
        <v>2.9351367232060016E-14</v>
      </c>
      <c r="AR36">
        <f>IF($F36="s-curve",$D36+($E36-$D36)*$I$2/(1+EXP($I$3*(COUNT($O$9:AR$9)+$I$4))),TREND($D36:$E36,$D$9:$E$9,AR$9))</f>
        <v>1.4675683616030008E-14</v>
      </c>
      <c r="AS36">
        <f>IF($F36="s-curve",$D36+($E36-$D36)*$I$2/(1+EXP($I$3*(COUNT($O$9:AS$9)+$I$4))),TREND($D36:$E36,$D$9:$E$9,AS$9))</f>
        <v>-6.4623485355705287E-27</v>
      </c>
      <c r="AT36">
        <f t="shared" si="11"/>
        <v>-6.4623485355705287E-27</v>
      </c>
      <c r="AU36">
        <f t="shared" si="12"/>
        <v>-6.4623485355705287E-27</v>
      </c>
      <c r="AV36">
        <f t="shared" si="12"/>
        <v>-6.4623485355705287E-27</v>
      </c>
      <c r="AW36">
        <f t="shared" si="12"/>
        <v>-6.4623485355705287E-27</v>
      </c>
      <c r="AX36">
        <f t="shared" si="12"/>
        <v>-6.4623485355705287E-27</v>
      </c>
      <c r="AY36">
        <f t="shared" si="12"/>
        <v>-6.4623485355705287E-27</v>
      </c>
      <c r="AZ36">
        <f t="shared" si="12"/>
        <v>-6.4623485355705287E-27</v>
      </c>
      <c r="BA36">
        <f t="shared" si="12"/>
        <v>-6.4623485355705287E-27</v>
      </c>
      <c r="BB36">
        <f t="shared" si="12"/>
        <v>-6.4623485355705287E-27</v>
      </c>
      <c r="BC36">
        <f t="shared" si="12"/>
        <v>-6.4623485355705287E-27</v>
      </c>
    </row>
    <row r="37" spans="1:55" s="214" customFormat="1" ht="13.6" thickBot="1" x14ac:dyDescent="0.2">
      <c r="A37" s="210"/>
      <c r="B37" s="210"/>
      <c r="C37" s="210" t="s">
        <v>126</v>
      </c>
      <c r="D37" s="211">
        <f>'Historical Shareweights'!J199</f>
        <v>5.0000000000000001E-4</v>
      </c>
      <c r="E37" s="212">
        <v>0.3</v>
      </c>
      <c r="F37" s="213" t="str">
        <f>IF(D37=E37,"n/a",IF(OR(C37="battery electric vehicle",C37="natural gas vehicle",C37="plugin hybrid vehicle",C37="hydrogen vehicle"),"s-curve","linear"))</f>
        <v>s-curve</v>
      </c>
      <c r="O37" s="211">
        <f t="shared" si="10"/>
        <v>5.0000000000000001E-4</v>
      </c>
      <c r="P37" s="214">
        <f>IF($F37="s-curve",$D37+($E37-$D37)*$L$2/(1+EXP($L$3*(COUNT($O$9:P$9)+$L$4))),TREND($D37:$E37,$D$9:$E$9,P$9))</f>
        <v>5.8868698836464211E-3</v>
      </c>
      <c r="Q37" s="214">
        <f>IF($F37="s-curve",$D37+($E37-$D37)*$L$2/(1+EXP($L$3*(COUNT($O$9:Q$9)+$L$4))),TREND($D37:$E37,$D$9:$E$9,Q$9))</f>
        <v>7.0534406453710754E-3</v>
      </c>
      <c r="R37" s="214">
        <f>IF($F37="s-curve",$D37+($E37-$D37)*$L$2/(1+EXP($L$3*(COUNT($O$9:R$9)+$L$4))),TREND($D37:$E37,$D$9:$E$9,R$9))</f>
        <v>8.4657995762713236E-3</v>
      </c>
      <c r="S37" s="214">
        <f>IF($F37="s-curve",$D37+($E37-$D37)*$L$2/(1+EXP($L$3*(COUNT($O$9:S$9)+$L$4))),TREND($D37:$E37,$D$9:$E$9,S$9))</f>
        <v>1.0172491677185924E-2</v>
      </c>
      <c r="T37" s="214">
        <f>IF($F37="s-curve",$D37+($E37-$D37)*$L$2/(1+EXP($L$3*(COUNT($O$9:T$9)+$L$4))),TREND($D37:$E37,$D$9:$E$9,T$9))</f>
        <v>1.2230133977630923E-2</v>
      </c>
      <c r="U37" s="214">
        <f>IF($F37="s-curve",$D37+($E37-$D37)*$L$2/(1+EXP($L$3*(COUNT($O$9:U$9)+$L$4))),TREND($D37:$E37,$D$9:$E$9,U$9))</f>
        <v>1.470404901668125E-2</v>
      </c>
      <c r="V37" s="214">
        <f>IF($F37="s-curve",$D37+($E37-$D37)*$L$2/(1+EXP($L$3*(COUNT($O$9:V$9)+$L$4))),TREND($D37:$E37,$D$9:$E$9,V$9))</f>
        <v>1.7668590681711185E-2</v>
      </c>
      <c r="W37" s="214">
        <f>IF($F37="s-curve",$D37+($E37-$D37)*$L$2/(1+EXP($L$3*(COUNT($O$9:W$9)+$L$4))),TREND($D37:$E37,$D$9:$E$9,W$9))</f>
        <v>2.120695689283237E-2</v>
      </c>
      <c r="X37" s="214">
        <f>IF($F37="s-curve",$D37+($E37-$D37)*$L$2/(1+EXP($L$3*(COUNT($O$9:X$9)+$L$4))),TREND($D37:$E37,$D$9:$E$9,X$9))</f>
        <v>2.5410222599929744E-2</v>
      </c>
      <c r="Y37" s="214">
        <f>IF($F37="s-curve",$D37+($E37-$D37)*$L$2/(1+EXP($L$3*(COUNT($O$9:Y$9)+$L$4))),TREND($D37:$E37,$D$9:$E$9,Y$9))</f>
        <v>3.0375271491345699E-2</v>
      </c>
      <c r="Z37" s="214">
        <f>IF($F37="s-curve",$D37+($E37-$D37)*$L$2/(1+EXP($L$3*(COUNT($O$9:Z$9)+$L$4))),TREND($D37:$E37,$D$9:$E$9,Z$9))</f>
        <v>3.6201275145624205E-2</v>
      </c>
      <c r="AA37" s="214">
        <f>IF($F37="s-curve",$D37+($E37-$D37)*$L$2/(1+EXP($L$3*(COUNT($O$9:AA$9)+$L$4))),TREND($D37:$E37,$D$9:$E$9,AA$9))</f>
        <v>4.298439393769609E-2</v>
      </c>
      <c r="AB37" s="214">
        <f>IF($F37="s-curve",$D37+($E37-$D37)*$L$2/(1+EXP($L$3*(COUNT($O$9:AB$9)+$L$4))),TREND($D37:$E37,$D$9:$E$9,AB$9))</f>
        <v>5.0810493652389613E-2</v>
      </c>
      <c r="AC37" s="214">
        <f>IF($F37="s-curve",$D37+($E37-$D37)*$L$2/(1+EXP($L$3*(COUNT($O$9:AC$9)+$L$4))),TREND($D37:$E37,$D$9:$E$9,AC$9))</f>
        <v>5.9745925376704756E-2</v>
      </c>
      <c r="AD37" s="214">
        <f>IF($F37="s-curve",$D37+($E37-$D37)*$L$2/(1+EXP($L$3*(COUNT($O$9:AD$9)+$L$4))),TREND($D37:$E37,$D$9:$E$9,AD$9))</f>
        <v>6.9826827342044206E-2</v>
      </c>
      <c r="AE37" s="214">
        <f>IF($F37="s-curve",$D37+($E37-$D37)*$L$2/(1+EXP($L$3*(COUNT($O$9:AE$9)+$L$4))),TREND($D37:$E37,$D$9:$E$9,AE$9))</f>
        <v>8.1047955700313534E-2</v>
      </c>
      <c r="AF37" s="214">
        <f>IF($F37="s-curve",$D37+($E37-$D37)*$L$2/(1+EXP($L$3*(COUNT($O$9:AF$9)+$L$4))),TREND($D37:$E37,$D$9:$E$9,AF$9))</f>
        <v>9.3352642902280056E-2</v>
      </c>
      <c r="AG37" s="214">
        <f>IF($F37="s-curve",$D37+($E37-$D37)*$L$2/(1+EXP($L$3*(COUNT($O$9:AG$9)+$L$4))),TREND($D37:$E37,$D$9:$E$9,AG$9))</f>
        <v>0.10662593628537426</v>
      </c>
      <c r="AH37" s="214">
        <f>IF($F37="s-curve",$D37+($E37-$D37)*$L$2/(1+EXP($L$3*(COUNT($O$9:AH$9)+$L$4))),TREND($D37:$E37,$D$9:$E$9,AH$9))</f>
        <v>0.12069304579632062</v>
      </c>
      <c r="AI37" s="214">
        <f>IF($F37="s-curve",$D37+($E37-$D37)*$L$2/(1+EXP($L$3*(COUNT($O$9:AI$9)+$L$4))),TREND($D37:$E37,$D$9:$E$9,AI$9))</f>
        <v>0.13532471780491287</v>
      </c>
      <c r="AJ37" s="214">
        <f>IF($F37="s-curve",$D37+($E37-$D37)*$L$2/(1+EXP($L$3*(COUNT($O$9:AJ$9)+$L$4))),TREND($D37:$E37,$D$9:$E$9,AJ$9))</f>
        <v>0.15024999999999999</v>
      </c>
      <c r="AK37" s="214">
        <f>IF($F37="s-curve",$D37+($E37-$D37)*$L$2/(1+EXP($L$3*(COUNT($O$9:AK$9)+$L$4))),TREND($D37:$E37,$D$9:$E$9,AK$9))</f>
        <v>0.16517528219508715</v>
      </c>
      <c r="AL37" s="214">
        <f>IF($F37="s-curve",$D37+($E37-$D37)*$L$2/(1+EXP($L$3*(COUNT($O$9:AL$9)+$L$4))),TREND($D37:$E37,$D$9:$E$9,AL$9))</f>
        <v>0.17980695420367937</v>
      </c>
      <c r="AM37" s="214">
        <f>IF($F37="s-curve",$D37+($E37-$D37)*$L$2/(1+EXP($L$3*(COUNT($O$9:AM$9)+$L$4))),TREND($D37:$E37,$D$9:$E$9,AM$9))</f>
        <v>0.19387406371462573</v>
      </c>
      <c r="AN37" s="214">
        <f>IF($F37="s-curve",$D37+($E37-$D37)*$L$2/(1+EXP($L$3*(COUNT($O$9:AN$9)+$L$4))),TREND($D37:$E37,$D$9:$E$9,AN$9))</f>
        <v>0.20714735709771992</v>
      </c>
      <c r="AO37" s="214">
        <f>IF($F37="s-curve",$D37+($E37-$D37)*$L$2/(1+EXP($L$3*(COUNT($O$9:AO$9)+$L$4))),TREND($D37:$E37,$D$9:$E$9,AO$9))</f>
        <v>0.21945204429968646</v>
      </c>
      <c r="AP37" s="214">
        <f>IF($F37="s-curve",$D37+($E37-$D37)*$L$2/(1+EXP($L$3*(COUNT($O$9:AP$9)+$L$4))),TREND($D37:$E37,$D$9:$E$9,AP$9))</f>
        <v>0.23067317265795581</v>
      </c>
      <c r="AQ37" s="214">
        <f>IF($F37="s-curve",$D37+($E37-$D37)*$L$2/(1+EXP($L$3*(COUNT($O$9:AQ$9)+$L$4))),TREND($D37:$E37,$D$9:$E$9,AQ$9))</f>
        <v>0.24075407462329526</v>
      </c>
      <c r="AR37" s="214">
        <f>IF($F37="s-curve",$D37+($E37-$D37)*$L$2/(1+EXP($L$3*(COUNT($O$9:AR$9)+$L$4))),TREND($D37:$E37,$D$9:$E$9,AR$9))</f>
        <v>0.24968950634761036</v>
      </c>
      <c r="AS37" s="214">
        <f>IF($F37="s-curve",$D37+($E37-$D37)*$L$2/(1+EXP($L$3*(COUNT($O$9:AS$9)+$L$4))),TREND($D37:$E37,$D$9:$E$9,AS$9))</f>
        <v>0.25751560606230389</v>
      </c>
      <c r="AT37" s="214">
        <f>IF($F37="s-curve",$D37+($E37-$D37)*$L$2/(1+EXP($L$3*(COUNT($O$9:AT$9)+$L$4))),TREND($D37:$E37,$D$9:$E$9,AT$9))</f>
        <v>0.26429872485437578</v>
      </c>
      <c r="AU37" s="214">
        <f>IF($F37="s-curve",$D37+($E37-$D37)*$L$2/(1+EXP($L$3*(COUNT($O$9:AU$9)+$L$4))),TREND($D37:$E37,$D$9:$E$9,AU$9))</f>
        <v>0.27012472850865427</v>
      </c>
      <c r="AV37" s="214">
        <f>IF($F37="s-curve",$D37+($E37-$D37)*$L$2/(1+EXP($L$3*(COUNT($O$9:AV$9)+$L$4))),TREND($D37:$E37,$D$9:$E$9,AV$9))</f>
        <v>0.27508977740007023</v>
      </c>
      <c r="AW37" s="214">
        <f>IF($F37="s-curve",$D37+($E37-$D37)*$L$2/(1+EXP($L$3*(COUNT($O$9:AW$9)+$L$4))),TREND($D37:$E37,$D$9:$E$9,AW$9))</f>
        <v>0.27929304310716763</v>
      </c>
      <c r="AX37" s="214">
        <f>IF($F37="s-curve",$D37+($E37-$D37)*$L$2/(1+EXP($L$3*(COUNT($O$9:AX$9)+$L$4))),TREND($D37:$E37,$D$9:$E$9,AX$9))</f>
        <v>0.28283140931828882</v>
      </c>
      <c r="AY37" s="214">
        <f>IF($F37="s-curve",$D37+($E37-$D37)*$L$2/(1+EXP($L$3*(COUNT($O$9:AY$9)+$L$4))),TREND($D37:$E37,$D$9:$E$9,AY$9))</f>
        <v>0.28579595098331878</v>
      </c>
      <c r="AZ37" s="214">
        <f>IF($F37="s-curve",$D37+($E37-$D37)*$L$2/(1+EXP($L$3*(COUNT($O$9:AZ$9)+$L$4))),TREND($D37:$E37,$D$9:$E$9,AZ$9))</f>
        <v>0.28826986602236909</v>
      </c>
      <c r="BA37" s="214">
        <f>IF($F37="s-curve",$D37+($E37-$D37)*$L$2/(1+EXP($L$3*(COUNT($O$9:BA$9)+$L$4))),TREND($D37:$E37,$D$9:$E$9,BA$9))</f>
        <v>0.29032750832281407</v>
      </c>
      <c r="BB37" s="214">
        <f>IF($F37="s-curve",$D37+($E37-$D37)*$L$2/(1+EXP($L$3*(COUNT($O$9:BB$9)+$L$4))),TREND($D37:$E37,$D$9:$E$9,BB$9))</f>
        <v>0.29203420042372863</v>
      </c>
      <c r="BC37" s="214">
        <f>IF($F37="s-curve",$D37+($E37-$D37)*$L$2/(1+EXP($L$3*(COUNT($O$9:BC$9)+$L$4))),TREND($D37:$E37,$D$9:$E$9,BC$9))</f>
        <v>0.29344655935462888</v>
      </c>
    </row>
    <row r="38" spans="1:55" x14ac:dyDescent="0.15">
      <c r="A38" t="s">
        <v>14</v>
      </c>
      <c r="B38" t="s">
        <v>19</v>
      </c>
      <c r="C38" t="s">
        <v>1</v>
      </c>
      <c r="D38">
        <v>0</v>
      </c>
      <c r="E38">
        <v>0</v>
      </c>
      <c r="F38" s="7" t="str">
        <f>IF(D38=E38,"n/a",IF(OR(C38="battery electric vehicle",C38="natural gas vehicle",C38="plugin hybrid vehicle"),"s-curve","linear"))</f>
        <v>n/a</v>
      </c>
      <c r="O38" s="22">
        <f t="shared" si="10"/>
        <v>0</v>
      </c>
      <c r="P38">
        <f>IF($F38="s-curve",$D38+($E38-$D38)*$I$2/(1+EXP($I$3*(COUNT($O$9:P$9)+$I$4))),TREND($D38:$E38,$D$9:$E$9,P$9))</f>
        <v>0</v>
      </c>
      <c r="Q38">
        <f>IF($F38="s-curve",$D38+($E38-$D38)*$I$2/(1+EXP($I$3*(COUNT($O$9:Q$9)+$I$4))),TREND($D38:$E38,$D$9:$E$9,Q$9))</f>
        <v>0</v>
      </c>
      <c r="R38">
        <f>IF($F38="s-curve",$D38+($E38-$D38)*$I$2/(1+EXP($I$3*(COUNT($O$9:R$9)+$I$4))),TREND($D38:$E38,$D$9:$E$9,R$9))</f>
        <v>0</v>
      </c>
      <c r="S38">
        <f>IF($F38="s-curve",$D38+($E38-$D38)*$I$2/(1+EXP($I$3*(COUNT($O$9:S$9)+$I$4))),TREND($D38:$E38,$D$9:$E$9,S$9))</f>
        <v>0</v>
      </c>
      <c r="T38">
        <f>IF($F38="s-curve",$D38+($E38-$D38)*$I$2/(1+EXP($I$3*(COUNT($O$9:T$9)+$I$4))),TREND($D38:$E38,$D$9:$E$9,T$9))</f>
        <v>0</v>
      </c>
      <c r="U38">
        <f>IF($F38="s-curve",$D38+($E38-$D38)*$I$2/(1+EXP($I$3*(COUNT($O$9:U$9)+$I$4))),TREND($D38:$E38,$D$9:$E$9,U$9))</f>
        <v>0</v>
      </c>
      <c r="V38">
        <f>IF($F38="s-curve",$D38+($E38-$D38)*$I$2/(1+EXP($I$3*(COUNT($O$9:V$9)+$I$4))),TREND($D38:$E38,$D$9:$E$9,V$9))</f>
        <v>0</v>
      </c>
      <c r="W38">
        <f>IF($F38="s-curve",$D38+($E38-$D38)*$I$2/(1+EXP($I$3*(COUNT($O$9:W$9)+$I$4))),TREND($D38:$E38,$D$9:$E$9,W$9))</f>
        <v>0</v>
      </c>
      <c r="X38">
        <f>IF($F38="s-curve",$D38+($E38-$D38)*$I$2/(1+EXP($I$3*(COUNT($O$9:X$9)+$I$4))),TREND($D38:$E38,$D$9:$E$9,X$9))</f>
        <v>0</v>
      </c>
      <c r="Y38">
        <f>IF($F38="s-curve",$D38+($E38-$D38)*$I$2/(1+EXP($I$3*(COUNT($O$9:Y$9)+$I$4))),TREND($D38:$E38,$D$9:$E$9,Y$9))</f>
        <v>0</v>
      </c>
      <c r="Z38">
        <f>IF($F38="s-curve",$D38+($E38-$D38)*$I$2/(1+EXP($I$3*(COUNT($O$9:Z$9)+$I$4))),TREND($D38:$E38,$D$9:$E$9,Z$9))</f>
        <v>0</v>
      </c>
      <c r="AA38">
        <f>IF($F38="s-curve",$D38+($E38-$D38)*$I$2/(1+EXP($I$3*(COUNT($O$9:AA$9)+$I$4))),TREND($D38:$E38,$D$9:$E$9,AA$9))</f>
        <v>0</v>
      </c>
      <c r="AB38">
        <f>IF($F38="s-curve",$D38+($E38-$D38)*$I$2/(1+EXP($I$3*(COUNT($O$9:AB$9)+$I$4))),TREND($D38:$E38,$D$9:$E$9,AB$9))</f>
        <v>0</v>
      </c>
      <c r="AC38">
        <f>IF($F38="s-curve",$D38+($E38-$D38)*$I$2/(1+EXP($I$3*(COUNT($O$9:AC$9)+$I$4))),TREND($D38:$E38,$D$9:$E$9,AC$9))</f>
        <v>0</v>
      </c>
      <c r="AD38">
        <f>IF($F38="s-curve",$D38+($E38-$D38)*$I$2/(1+EXP($I$3*(COUNT($O$9:AD$9)+$I$4))),TREND($D38:$E38,$D$9:$E$9,AD$9))</f>
        <v>0</v>
      </c>
      <c r="AE38">
        <f>IF($F38="s-curve",$D38+($E38-$D38)*$I$2/(1+EXP($I$3*(COUNT($O$9:AE$9)+$I$4))),TREND($D38:$E38,$D$9:$E$9,AE$9))</f>
        <v>0</v>
      </c>
      <c r="AF38">
        <f>IF($F38="s-curve",$D38+($E38-$D38)*$I$2/(1+EXP($I$3*(COUNT($O$9:AF$9)+$I$4))),TREND($D38:$E38,$D$9:$E$9,AF$9))</f>
        <v>0</v>
      </c>
      <c r="AG38">
        <f>IF($F38="s-curve",$D38+($E38-$D38)*$I$2/(1+EXP($I$3*(COUNT($O$9:AG$9)+$I$4))),TREND($D38:$E38,$D$9:$E$9,AG$9))</f>
        <v>0</v>
      </c>
      <c r="AH38">
        <f>IF($F38="s-curve",$D38+($E38-$D38)*$I$2/(1+EXP($I$3*(COUNT($O$9:AH$9)+$I$4))),TREND($D38:$E38,$D$9:$E$9,AH$9))</f>
        <v>0</v>
      </c>
      <c r="AI38">
        <f>IF($F38="s-curve",$D38+($E38-$D38)*$I$2/(1+EXP($I$3*(COUNT($O$9:AI$9)+$I$4))),TREND($D38:$E38,$D$9:$E$9,AI$9))</f>
        <v>0</v>
      </c>
      <c r="AJ38">
        <f>IF($F38="s-curve",$D38+($E38-$D38)*$I$2/(1+EXP($I$3*(COUNT($O$9:AJ$9)+$I$4))),TREND($D38:$E38,$D$9:$E$9,AJ$9))</f>
        <v>0</v>
      </c>
      <c r="AK38">
        <f>IF($F38="s-curve",$D38+($E38-$D38)*$I$2/(1+EXP($I$3*(COUNT($O$9:AK$9)+$I$4))),TREND($D38:$E38,$D$9:$E$9,AK$9))</f>
        <v>0</v>
      </c>
      <c r="AL38">
        <f>IF($F38="s-curve",$D38+($E38-$D38)*$I$2/(1+EXP($I$3*(COUNT($O$9:AL$9)+$I$4))),TREND($D38:$E38,$D$9:$E$9,AL$9))</f>
        <v>0</v>
      </c>
      <c r="AM38">
        <f>IF($F38="s-curve",$D38+($E38-$D38)*$I$2/(1+EXP($I$3*(COUNT($O$9:AM$9)+$I$4))),TREND($D38:$E38,$D$9:$E$9,AM$9))</f>
        <v>0</v>
      </c>
      <c r="AN38">
        <f>IF($F38="s-curve",$D38+($E38-$D38)*$I$2/(1+EXP($I$3*(COUNT($O$9:AN$9)+$I$4))),TREND($D38:$E38,$D$9:$E$9,AN$9))</f>
        <v>0</v>
      </c>
      <c r="AO38">
        <f>IF($F38="s-curve",$D38+($E38-$D38)*$I$2/(1+EXP($I$3*(COUNT($O$9:AO$9)+$I$4))),TREND($D38:$E38,$D$9:$E$9,AO$9))</f>
        <v>0</v>
      </c>
      <c r="AP38">
        <f>IF($F38="s-curve",$D38+($E38-$D38)*$I$2/(1+EXP($I$3*(COUNT($O$9:AP$9)+$I$4))),TREND($D38:$E38,$D$9:$E$9,AP$9))</f>
        <v>0</v>
      </c>
      <c r="AQ38">
        <f>IF($F38="s-curve",$D38+($E38-$D38)*$I$2/(1+EXP($I$3*(COUNT($O$9:AQ$9)+$I$4))),TREND($D38:$E38,$D$9:$E$9,AQ$9))</f>
        <v>0</v>
      </c>
      <c r="AR38">
        <f>IF($F38="s-curve",$D38+($E38-$D38)*$I$2/(1+EXP($I$3*(COUNT($O$9:AR$9)+$I$4))),TREND($D38:$E38,$D$9:$E$9,AR$9))</f>
        <v>0</v>
      </c>
      <c r="AS38">
        <f>IF($F38="s-curve",$D38+($E38-$D38)*$I$2/(1+EXP($I$3*(COUNT($O$9:AS$9)+$I$4))),TREND($D38:$E38,$D$9:$E$9,AS$9))</f>
        <v>0</v>
      </c>
      <c r="AT38">
        <f t="shared" si="11"/>
        <v>0</v>
      </c>
      <c r="AU38">
        <f t="shared" si="12"/>
        <v>0</v>
      </c>
      <c r="AV38">
        <f t="shared" si="12"/>
        <v>0</v>
      </c>
      <c r="AW38">
        <f t="shared" si="12"/>
        <v>0</v>
      </c>
      <c r="AX38">
        <f t="shared" si="12"/>
        <v>0</v>
      </c>
      <c r="AY38">
        <f t="shared" si="12"/>
        <v>0</v>
      </c>
      <c r="AZ38">
        <f t="shared" si="12"/>
        <v>0</v>
      </c>
      <c r="BA38">
        <f t="shared" si="12"/>
        <v>0</v>
      </c>
      <c r="BB38">
        <f t="shared" si="12"/>
        <v>0</v>
      </c>
      <c r="BC38">
        <f t="shared" si="12"/>
        <v>0</v>
      </c>
    </row>
    <row r="39" spans="1:55" x14ac:dyDescent="0.15">
      <c r="C39" t="s">
        <v>2</v>
      </c>
      <c r="D39">
        <v>0</v>
      </c>
      <c r="E39">
        <v>0</v>
      </c>
      <c r="F39" s="7" t="str">
        <f>IF(D39=E39,"n/a",IF(OR(C39="battery electric vehicle",C39="natural gas vehicle",C39="plugin hybrid vehicle"),"s-curve","linear"))</f>
        <v>n/a</v>
      </c>
      <c r="O39" s="22">
        <f t="shared" si="10"/>
        <v>0</v>
      </c>
      <c r="P39">
        <f>IF($F39="s-curve",$D39+($E39-$D39)*$I$2/(1+EXP($I$3*(COUNT($O$9:P$9)+$I$4))),TREND($D39:$E39,$D$9:$E$9,P$9))</f>
        <v>0</v>
      </c>
      <c r="Q39">
        <f>IF($F39="s-curve",$D39+($E39-$D39)*$I$2/(1+EXP($I$3*(COUNT($O$9:Q$9)+$I$4))),TREND($D39:$E39,$D$9:$E$9,Q$9))</f>
        <v>0</v>
      </c>
      <c r="R39">
        <f>IF($F39="s-curve",$D39+($E39-$D39)*$I$2/(1+EXP($I$3*(COUNT($O$9:R$9)+$I$4))),TREND($D39:$E39,$D$9:$E$9,R$9))</f>
        <v>0</v>
      </c>
      <c r="S39">
        <f>IF($F39="s-curve",$D39+($E39-$D39)*$I$2/(1+EXP($I$3*(COUNT($O$9:S$9)+$I$4))),TREND($D39:$E39,$D$9:$E$9,S$9))</f>
        <v>0</v>
      </c>
      <c r="T39">
        <f>IF($F39="s-curve",$D39+($E39-$D39)*$I$2/(1+EXP($I$3*(COUNT($O$9:T$9)+$I$4))),TREND($D39:$E39,$D$9:$E$9,T$9))</f>
        <v>0</v>
      </c>
      <c r="U39">
        <f>IF($F39="s-curve",$D39+($E39-$D39)*$I$2/(1+EXP($I$3*(COUNT($O$9:U$9)+$I$4))),TREND($D39:$E39,$D$9:$E$9,U$9))</f>
        <v>0</v>
      </c>
      <c r="V39">
        <f>IF($F39="s-curve",$D39+($E39-$D39)*$I$2/(1+EXP($I$3*(COUNT($O$9:V$9)+$I$4))),TREND($D39:$E39,$D$9:$E$9,V$9))</f>
        <v>0</v>
      </c>
      <c r="W39">
        <f>IF($F39="s-curve",$D39+($E39-$D39)*$I$2/(1+EXP($I$3*(COUNT($O$9:W$9)+$I$4))),TREND($D39:$E39,$D$9:$E$9,W$9))</f>
        <v>0</v>
      </c>
      <c r="X39">
        <f>IF($F39="s-curve",$D39+($E39-$D39)*$I$2/(1+EXP($I$3*(COUNT($O$9:X$9)+$I$4))),TREND($D39:$E39,$D$9:$E$9,X$9))</f>
        <v>0</v>
      </c>
      <c r="Y39">
        <f>IF($F39="s-curve",$D39+($E39-$D39)*$I$2/(1+EXP($I$3*(COUNT($O$9:Y$9)+$I$4))),TREND($D39:$E39,$D$9:$E$9,Y$9))</f>
        <v>0</v>
      </c>
      <c r="Z39">
        <f>IF($F39="s-curve",$D39+($E39-$D39)*$I$2/(1+EXP($I$3*(COUNT($O$9:Z$9)+$I$4))),TREND($D39:$E39,$D$9:$E$9,Z$9))</f>
        <v>0</v>
      </c>
      <c r="AA39">
        <f>IF($F39="s-curve",$D39+($E39-$D39)*$I$2/(1+EXP($I$3*(COUNT($O$9:AA$9)+$I$4))),TREND($D39:$E39,$D$9:$E$9,AA$9))</f>
        <v>0</v>
      </c>
      <c r="AB39">
        <f>IF($F39="s-curve",$D39+($E39-$D39)*$I$2/(1+EXP($I$3*(COUNT($O$9:AB$9)+$I$4))),TREND($D39:$E39,$D$9:$E$9,AB$9))</f>
        <v>0</v>
      </c>
      <c r="AC39">
        <f>IF($F39="s-curve",$D39+($E39-$D39)*$I$2/(1+EXP($I$3*(COUNT($O$9:AC$9)+$I$4))),TREND($D39:$E39,$D$9:$E$9,AC$9))</f>
        <v>0</v>
      </c>
      <c r="AD39">
        <f>IF($F39="s-curve",$D39+($E39-$D39)*$I$2/(1+EXP($I$3*(COUNT($O$9:AD$9)+$I$4))),TREND($D39:$E39,$D$9:$E$9,AD$9))</f>
        <v>0</v>
      </c>
      <c r="AE39">
        <f>IF($F39="s-curve",$D39+($E39-$D39)*$I$2/(1+EXP($I$3*(COUNT($O$9:AE$9)+$I$4))),TREND($D39:$E39,$D$9:$E$9,AE$9))</f>
        <v>0</v>
      </c>
      <c r="AF39">
        <f>IF($F39="s-curve",$D39+($E39-$D39)*$I$2/(1+EXP($I$3*(COUNT($O$9:AF$9)+$I$4))),TREND($D39:$E39,$D$9:$E$9,AF$9))</f>
        <v>0</v>
      </c>
      <c r="AG39">
        <f>IF($F39="s-curve",$D39+($E39-$D39)*$I$2/(1+EXP($I$3*(COUNT($O$9:AG$9)+$I$4))),TREND($D39:$E39,$D$9:$E$9,AG$9))</f>
        <v>0</v>
      </c>
      <c r="AH39">
        <f>IF($F39="s-curve",$D39+($E39-$D39)*$I$2/(1+EXP($I$3*(COUNT($O$9:AH$9)+$I$4))),TREND($D39:$E39,$D$9:$E$9,AH$9))</f>
        <v>0</v>
      </c>
      <c r="AI39">
        <f>IF($F39="s-curve",$D39+($E39-$D39)*$I$2/(1+EXP($I$3*(COUNT($O$9:AI$9)+$I$4))),TREND($D39:$E39,$D$9:$E$9,AI$9))</f>
        <v>0</v>
      </c>
      <c r="AJ39">
        <f>IF($F39="s-curve",$D39+($E39-$D39)*$I$2/(1+EXP($I$3*(COUNT($O$9:AJ$9)+$I$4))),TREND($D39:$E39,$D$9:$E$9,AJ$9))</f>
        <v>0</v>
      </c>
      <c r="AK39">
        <f>IF($F39="s-curve",$D39+($E39-$D39)*$I$2/(1+EXP($I$3*(COUNT($O$9:AK$9)+$I$4))),TREND($D39:$E39,$D$9:$E$9,AK$9))</f>
        <v>0</v>
      </c>
      <c r="AL39">
        <f>IF($F39="s-curve",$D39+($E39-$D39)*$I$2/(1+EXP($I$3*(COUNT($O$9:AL$9)+$I$4))),TREND($D39:$E39,$D$9:$E$9,AL$9))</f>
        <v>0</v>
      </c>
      <c r="AM39">
        <f>IF($F39="s-curve",$D39+($E39-$D39)*$I$2/(1+EXP($I$3*(COUNT($O$9:AM$9)+$I$4))),TREND($D39:$E39,$D$9:$E$9,AM$9))</f>
        <v>0</v>
      </c>
      <c r="AN39">
        <f>IF($F39="s-curve",$D39+($E39-$D39)*$I$2/(1+EXP($I$3*(COUNT($O$9:AN$9)+$I$4))),TREND($D39:$E39,$D$9:$E$9,AN$9))</f>
        <v>0</v>
      </c>
      <c r="AO39">
        <f>IF($F39="s-curve",$D39+($E39-$D39)*$I$2/(1+EXP($I$3*(COUNT($O$9:AO$9)+$I$4))),TREND($D39:$E39,$D$9:$E$9,AO$9))</f>
        <v>0</v>
      </c>
      <c r="AP39">
        <f>IF($F39="s-curve",$D39+($E39-$D39)*$I$2/(1+EXP($I$3*(COUNT($O$9:AP$9)+$I$4))),TREND($D39:$E39,$D$9:$E$9,AP$9))</f>
        <v>0</v>
      </c>
      <c r="AQ39">
        <f>IF($F39="s-curve",$D39+($E39-$D39)*$I$2/(1+EXP($I$3*(COUNT($O$9:AQ$9)+$I$4))),TREND($D39:$E39,$D$9:$E$9,AQ$9))</f>
        <v>0</v>
      </c>
      <c r="AR39">
        <f>IF($F39="s-curve",$D39+($E39-$D39)*$I$2/(1+EXP($I$3*(COUNT($O$9:AR$9)+$I$4))),TREND($D39:$E39,$D$9:$E$9,AR$9))</f>
        <v>0</v>
      </c>
      <c r="AS39">
        <f>IF($F39="s-curve",$D39+($E39-$D39)*$I$2/(1+EXP($I$3*(COUNT($O$9:AS$9)+$I$4))),TREND($D39:$E39,$D$9:$E$9,AS$9))</f>
        <v>0</v>
      </c>
      <c r="AT39">
        <f t="shared" si="11"/>
        <v>0</v>
      </c>
      <c r="AU39">
        <f t="shared" si="12"/>
        <v>0</v>
      </c>
      <c r="AV39">
        <f t="shared" si="12"/>
        <v>0</v>
      </c>
      <c r="AW39">
        <f t="shared" si="12"/>
        <v>0</v>
      </c>
      <c r="AX39">
        <f t="shared" si="12"/>
        <v>0</v>
      </c>
      <c r="AY39">
        <f t="shared" si="12"/>
        <v>0</v>
      </c>
      <c r="AZ39">
        <f t="shared" si="12"/>
        <v>0</v>
      </c>
      <c r="BA39">
        <f t="shared" si="12"/>
        <v>0</v>
      </c>
      <c r="BB39">
        <f t="shared" si="12"/>
        <v>0</v>
      </c>
      <c r="BC39">
        <f t="shared" si="12"/>
        <v>0</v>
      </c>
    </row>
    <row r="40" spans="1:55" x14ac:dyDescent="0.15">
      <c r="C40" t="s">
        <v>3</v>
      </c>
      <c r="D40">
        <v>0</v>
      </c>
      <c r="E40">
        <v>0</v>
      </c>
      <c r="F40" s="7" t="str">
        <f>IF(D40=E40,"n/a",IF(OR(C40="battery electric vehicle",C40="natural gas vehicle",C40="plugin hybrid vehicle"),"s-curve","linear"))</f>
        <v>n/a</v>
      </c>
      <c r="O40" s="22">
        <f t="shared" si="10"/>
        <v>0</v>
      </c>
      <c r="P40">
        <f>IF($F40="s-curve",$D40+($E40-$D40)*$I$2/(1+EXP($I$3*(COUNT($O$9:P$9)+$I$4))),TREND($D40:$E40,$D$9:$E$9,P$9))</f>
        <v>0</v>
      </c>
      <c r="Q40">
        <f>IF($F40="s-curve",$D40+($E40-$D40)*$I$2/(1+EXP($I$3*(COUNT($O$9:Q$9)+$I$4))),TREND($D40:$E40,$D$9:$E$9,Q$9))</f>
        <v>0</v>
      </c>
      <c r="R40">
        <f>IF($F40="s-curve",$D40+($E40-$D40)*$I$2/(1+EXP($I$3*(COUNT($O$9:R$9)+$I$4))),TREND($D40:$E40,$D$9:$E$9,R$9))</f>
        <v>0</v>
      </c>
      <c r="S40">
        <f>IF($F40="s-curve",$D40+($E40-$D40)*$I$2/(1+EXP($I$3*(COUNT($O$9:S$9)+$I$4))),TREND($D40:$E40,$D$9:$E$9,S$9))</f>
        <v>0</v>
      </c>
      <c r="T40">
        <f>IF($F40="s-curve",$D40+($E40-$D40)*$I$2/(1+EXP($I$3*(COUNT($O$9:T$9)+$I$4))),TREND($D40:$E40,$D$9:$E$9,T$9))</f>
        <v>0</v>
      </c>
      <c r="U40">
        <f>IF($F40="s-curve",$D40+($E40-$D40)*$I$2/(1+EXP($I$3*(COUNT($O$9:U$9)+$I$4))),TREND($D40:$E40,$D$9:$E$9,U$9))</f>
        <v>0</v>
      </c>
      <c r="V40">
        <f>IF($F40="s-curve",$D40+($E40-$D40)*$I$2/(1+EXP($I$3*(COUNT($O$9:V$9)+$I$4))),TREND($D40:$E40,$D$9:$E$9,V$9))</f>
        <v>0</v>
      </c>
      <c r="W40">
        <f>IF($F40="s-curve",$D40+($E40-$D40)*$I$2/(1+EXP($I$3*(COUNT($O$9:W$9)+$I$4))),TREND($D40:$E40,$D$9:$E$9,W$9))</f>
        <v>0</v>
      </c>
      <c r="X40">
        <f>IF($F40="s-curve",$D40+($E40-$D40)*$I$2/(1+EXP($I$3*(COUNT($O$9:X$9)+$I$4))),TREND($D40:$E40,$D$9:$E$9,X$9))</f>
        <v>0</v>
      </c>
      <c r="Y40">
        <f>IF($F40="s-curve",$D40+($E40-$D40)*$I$2/(1+EXP($I$3*(COUNT($O$9:Y$9)+$I$4))),TREND($D40:$E40,$D$9:$E$9,Y$9))</f>
        <v>0</v>
      </c>
      <c r="Z40">
        <f>IF($F40="s-curve",$D40+($E40-$D40)*$I$2/(1+EXP($I$3*(COUNT($O$9:Z$9)+$I$4))),TREND($D40:$E40,$D$9:$E$9,Z$9))</f>
        <v>0</v>
      </c>
      <c r="AA40">
        <f>IF($F40="s-curve",$D40+($E40-$D40)*$I$2/(1+EXP($I$3*(COUNT($O$9:AA$9)+$I$4))),TREND($D40:$E40,$D$9:$E$9,AA$9))</f>
        <v>0</v>
      </c>
      <c r="AB40">
        <f>IF($F40="s-curve",$D40+($E40-$D40)*$I$2/(1+EXP($I$3*(COUNT($O$9:AB$9)+$I$4))),TREND($D40:$E40,$D$9:$E$9,AB$9))</f>
        <v>0</v>
      </c>
      <c r="AC40">
        <f>IF($F40="s-curve",$D40+($E40-$D40)*$I$2/(1+EXP($I$3*(COUNT($O$9:AC$9)+$I$4))),TREND($D40:$E40,$D$9:$E$9,AC$9))</f>
        <v>0</v>
      </c>
      <c r="AD40">
        <f>IF($F40="s-curve",$D40+($E40-$D40)*$I$2/(1+EXP($I$3*(COUNT($O$9:AD$9)+$I$4))),TREND($D40:$E40,$D$9:$E$9,AD$9))</f>
        <v>0</v>
      </c>
      <c r="AE40">
        <f>IF($F40="s-curve",$D40+($E40-$D40)*$I$2/(1+EXP($I$3*(COUNT($O$9:AE$9)+$I$4))),TREND($D40:$E40,$D$9:$E$9,AE$9))</f>
        <v>0</v>
      </c>
      <c r="AF40">
        <f>IF($F40="s-curve",$D40+($E40-$D40)*$I$2/(1+EXP($I$3*(COUNT($O$9:AF$9)+$I$4))),TREND($D40:$E40,$D$9:$E$9,AF$9))</f>
        <v>0</v>
      </c>
      <c r="AG40">
        <f>IF($F40="s-curve",$D40+($E40-$D40)*$I$2/(1+EXP($I$3*(COUNT($O$9:AG$9)+$I$4))),TREND($D40:$E40,$D$9:$E$9,AG$9))</f>
        <v>0</v>
      </c>
      <c r="AH40">
        <f>IF($F40="s-curve",$D40+($E40-$D40)*$I$2/(1+EXP($I$3*(COUNT($O$9:AH$9)+$I$4))),TREND($D40:$E40,$D$9:$E$9,AH$9))</f>
        <v>0</v>
      </c>
      <c r="AI40">
        <f>IF($F40="s-curve",$D40+($E40-$D40)*$I$2/(1+EXP($I$3*(COUNT($O$9:AI$9)+$I$4))),TREND($D40:$E40,$D$9:$E$9,AI$9))</f>
        <v>0</v>
      </c>
      <c r="AJ40">
        <f>IF($F40="s-curve",$D40+($E40-$D40)*$I$2/(1+EXP($I$3*(COUNT($O$9:AJ$9)+$I$4))),TREND($D40:$E40,$D$9:$E$9,AJ$9))</f>
        <v>0</v>
      </c>
      <c r="AK40">
        <f>IF($F40="s-curve",$D40+($E40-$D40)*$I$2/(1+EXP($I$3*(COUNT($O$9:AK$9)+$I$4))),TREND($D40:$E40,$D$9:$E$9,AK$9))</f>
        <v>0</v>
      </c>
      <c r="AL40">
        <f>IF($F40="s-curve",$D40+($E40-$D40)*$I$2/(1+EXP($I$3*(COUNT($O$9:AL$9)+$I$4))),TREND($D40:$E40,$D$9:$E$9,AL$9))</f>
        <v>0</v>
      </c>
      <c r="AM40">
        <f>IF($F40="s-curve",$D40+($E40-$D40)*$I$2/(1+EXP($I$3*(COUNT($O$9:AM$9)+$I$4))),TREND($D40:$E40,$D$9:$E$9,AM$9))</f>
        <v>0</v>
      </c>
      <c r="AN40">
        <f>IF($F40="s-curve",$D40+($E40-$D40)*$I$2/(1+EXP($I$3*(COUNT($O$9:AN$9)+$I$4))),TREND($D40:$E40,$D$9:$E$9,AN$9))</f>
        <v>0</v>
      </c>
      <c r="AO40">
        <f>IF($F40="s-curve",$D40+($E40-$D40)*$I$2/(1+EXP($I$3*(COUNT($O$9:AO$9)+$I$4))),TREND($D40:$E40,$D$9:$E$9,AO$9))</f>
        <v>0</v>
      </c>
      <c r="AP40">
        <f>IF($F40="s-curve",$D40+($E40-$D40)*$I$2/(1+EXP($I$3*(COUNT($O$9:AP$9)+$I$4))),TREND($D40:$E40,$D$9:$E$9,AP$9))</f>
        <v>0</v>
      </c>
      <c r="AQ40">
        <f>IF($F40="s-curve",$D40+($E40-$D40)*$I$2/(1+EXP($I$3*(COUNT($O$9:AQ$9)+$I$4))),TREND($D40:$E40,$D$9:$E$9,AQ$9))</f>
        <v>0</v>
      </c>
      <c r="AR40">
        <f>IF($F40="s-curve",$D40+($E40-$D40)*$I$2/(1+EXP($I$3*(COUNT($O$9:AR$9)+$I$4))),TREND($D40:$E40,$D$9:$E$9,AR$9))</f>
        <v>0</v>
      </c>
      <c r="AS40">
        <f>IF($F40="s-curve",$D40+($E40-$D40)*$I$2/(1+EXP($I$3*(COUNT($O$9:AS$9)+$I$4))),TREND($D40:$E40,$D$9:$E$9,AS$9))</f>
        <v>0</v>
      </c>
      <c r="AT40">
        <f t="shared" si="11"/>
        <v>0</v>
      </c>
      <c r="AU40">
        <f t="shared" si="12"/>
        <v>0</v>
      </c>
      <c r="AV40">
        <f t="shared" si="12"/>
        <v>0</v>
      </c>
      <c r="AW40">
        <f t="shared" si="12"/>
        <v>0</v>
      </c>
      <c r="AX40">
        <f t="shared" si="12"/>
        <v>0</v>
      </c>
      <c r="AY40">
        <f t="shared" si="12"/>
        <v>0</v>
      </c>
      <c r="AZ40">
        <f t="shared" si="12"/>
        <v>0</v>
      </c>
      <c r="BA40">
        <f t="shared" si="12"/>
        <v>0</v>
      </c>
      <c r="BB40">
        <f t="shared" si="12"/>
        <v>0</v>
      </c>
      <c r="BC40">
        <f t="shared" si="12"/>
        <v>0</v>
      </c>
    </row>
    <row r="41" spans="1:55" x14ac:dyDescent="0.15">
      <c r="C41" t="s">
        <v>4</v>
      </c>
      <c r="D41">
        <v>1</v>
      </c>
      <c r="E41">
        <v>1</v>
      </c>
      <c r="F41" s="7" t="str">
        <f>IF(D41=E41,"n/a",IF(OR(C41="battery electric vehicle",C41="natural gas vehicle",C41="plugin hybrid vehicle"),"s-curve","linear"))</f>
        <v>n/a</v>
      </c>
      <c r="O41" s="22">
        <f t="shared" si="10"/>
        <v>1</v>
      </c>
      <c r="P41">
        <f>IF($F41="s-curve",$D41+($E41-$D41)*$I$2/(1+EXP($I$3*(COUNT($O$9:P$9)+$I$4))),TREND($D41:$E41,$D$9:$E$9,P$9))</f>
        <v>1</v>
      </c>
      <c r="Q41">
        <f>IF($F41="s-curve",$D41+($E41-$D41)*$I$2/(1+EXP($I$3*(COUNT($O$9:Q$9)+$I$4))),TREND($D41:$E41,$D$9:$E$9,Q$9))</f>
        <v>1</v>
      </c>
      <c r="R41">
        <f>IF($F41="s-curve",$D41+($E41-$D41)*$I$2/(1+EXP($I$3*(COUNT($O$9:R$9)+$I$4))),TREND($D41:$E41,$D$9:$E$9,R$9))</f>
        <v>1</v>
      </c>
      <c r="S41">
        <f>IF($F41="s-curve",$D41+($E41-$D41)*$I$2/(1+EXP($I$3*(COUNT($O$9:S$9)+$I$4))),TREND($D41:$E41,$D$9:$E$9,S$9))</f>
        <v>1</v>
      </c>
      <c r="T41">
        <f>IF($F41="s-curve",$D41+($E41-$D41)*$I$2/(1+EXP($I$3*(COUNT($O$9:T$9)+$I$4))),TREND($D41:$E41,$D$9:$E$9,T$9))</f>
        <v>1</v>
      </c>
      <c r="U41">
        <f>IF($F41="s-curve",$D41+($E41-$D41)*$I$2/(1+EXP($I$3*(COUNT($O$9:U$9)+$I$4))),TREND($D41:$E41,$D$9:$E$9,U$9))</f>
        <v>1</v>
      </c>
      <c r="V41">
        <f>IF($F41="s-curve",$D41+($E41-$D41)*$I$2/(1+EXP($I$3*(COUNT($O$9:V$9)+$I$4))),TREND($D41:$E41,$D$9:$E$9,V$9))</f>
        <v>1</v>
      </c>
      <c r="W41">
        <f>IF($F41="s-curve",$D41+($E41-$D41)*$I$2/(1+EXP($I$3*(COUNT($O$9:W$9)+$I$4))),TREND($D41:$E41,$D$9:$E$9,W$9))</f>
        <v>1</v>
      </c>
      <c r="X41">
        <f>IF($F41="s-curve",$D41+($E41-$D41)*$I$2/(1+EXP($I$3*(COUNT($O$9:X$9)+$I$4))),TREND($D41:$E41,$D$9:$E$9,X$9))</f>
        <v>1</v>
      </c>
      <c r="Y41">
        <f>IF($F41="s-curve",$D41+($E41-$D41)*$I$2/(1+EXP($I$3*(COUNT($O$9:Y$9)+$I$4))),TREND($D41:$E41,$D$9:$E$9,Y$9))</f>
        <v>1</v>
      </c>
      <c r="Z41">
        <f>IF($F41="s-curve",$D41+($E41-$D41)*$I$2/(1+EXP($I$3*(COUNT($O$9:Z$9)+$I$4))),TREND($D41:$E41,$D$9:$E$9,Z$9))</f>
        <v>1</v>
      </c>
      <c r="AA41">
        <f>IF($F41="s-curve",$D41+($E41-$D41)*$I$2/(1+EXP($I$3*(COUNT($O$9:AA$9)+$I$4))),TREND($D41:$E41,$D$9:$E$9,AA$9))</f>
        <v>1</v>
      </c>
      <c r="AB41">
        <f>IF($F41="s-curve",$D41+($E41-$D41)*$I$2/(1+EXP($I$3*(COUNT($O$9:AB$9)+$I$4))),TREND($D41:$E41,$D$9:$E$9,AB$9))</f>
        <v>1</v>
      </c>
      <c r="AC41">
        <f>IF($F41="s-curve",$D41+($E41-$D41)*$I$2/(1+EXP($I$3*(COUNT($O$9:AC$9)+$I$4))),TREND($D41:$E41,$D$9:$E$9,AC$9))</f>
        <v>1</v>
      </c>
      <c r="AD41">
        <f>IF($F41="s-curve",$D41+($E41-$D41)*$I$2/(1+EXP($I$3*(COUNT($O$9:AD$9)+$I$4))),TREND($D41:$E41,$D$9:$E$9,AD$9))</f>
        <v>1</v>
      </c>
      <c r="AE41">
        <f>IF($F41="s-curve",$D41+($E41-$D41)*$I$2/(1+EXP($I$3*(COUNT($O$9:AE$9)+$I$4))),TREND($D41:$E41,$D$9:$E$9,AE$9))</f>
        <v>1</v>
      </c>
      <c r="AF41">
        <f>IF($F41="s-curve",$D41+($E41-$D41)*$I$2/(1+EXP($I$3*(COUNT($O$9:AF$9)+$I$4))),TREND($D41:$E41,$D$9:$E$9,AF$9))</f>
        <v>1</v>
      </c>
      <c r="AG41">
        <f>IF($F41="s-curve",$D41+($E41-$D41)*$I$2/(1+EXP($I$3*(COUNT($O$9:AG$9)+$I$4))),TREND($D41:$E41,$D$9:$E$9,AG$9))</f>
        <v>1</v>
      </c>
      <c r="AH41">
        <f>IF($F41="s-curve",$D41+($E41-$D41)*$I$2/(1+EXP($I$3*(COUNT($O$9:AH$9)+$I$4))),TREND($D41:$E41,$D$9:$E$9,AH$9))</f>
        <v>1</v>
      </c>
      <c r="AI41">
        <f>IF($F41="s-curve",$D41+($E41-$D41)*$I$2/(1+EXP($I$3*(COUNT($O$9:AI$9)+$I$4))),TREND($D41:$E41,$D$9:$E$9,AI$9))</f>
        <v>1</v>
      </c>
      <c r="AJ41">
        <f>IF($F41="s-curve",$D41+($E41-$D41)*$I$2/(1+EXP($I$3*(COUNT($O$9:AJ$9)+$I$4))),TREND($D41:$E41,$D$9:$E$9,AJ$9))</f>
        <v>1</v>
      </c>
      <c r="AK41">
        <f>IF($F41="s-curve",$D41+($E41-$D41)*$I$2/(1+EXP($I$3*(COUNT($O$9:AK$9)+$I$4))),TREND($D41:$E41,$D$9:$E$9,AK$9))</f>
        <v>1</v>
      </c>
      <c r="AL41">
        <f>IF($F41="s-curve",$D41+($E41-$D41)*$I$2/(1+EXP($I$3*(COUNT($O$9:AL$9)+$I$4))),TREND($D41:$E41,$D$9:$E$9,AL$9))</f>
        <v>1</v>
      </c>
      <c r="AM41">
        <f>IF($F41="s-curve",$D41+($E41-$D41)*$I$2/(1+EXP($I$3*(COUNT($O$9:AM$9)+$I$4))),TREND($D41:$E41,$D$9:$E$9,AM$9))</f>
        <v>1</v>
      </c>
      <c r="AN41">
        <f>IF($F41="s-curve",$D41+($E41-$D41)*$I$2/(1+EXP($I$3*(COUNT($O$9:AN$9)+$I$4))),TREND($D41:$E41,$D$9:$E$9,AN$9))</f>
        <v>1</v>
      </c>
      <c r="AO41">
        <f>IF($F41="s-curve",$D41+($E41-$D41)*$I$2/(1+EXP($I$3*(COUNT($O$9:AO$9)+$I$4))),TREND($D41:$E41,$D$9:$E$9,AO$9))</f>
        <v>1</v>
      </c>
      <c r="AP41">
        <f>IF($F41="s-curve",$D41+($E41-$D41)*$I$2/(1+EXP($I$3*(COUNT($O$9:AP$9)+$I$4))),TREND($D41:$E41,$D$9:$E$9,AP$9))</f>
        <v>1</v>
      </c>
      <c r="AQ41">
        <f>IF($F41="s-curve",$D41+($E41-$D41)*$I$2/(1+EXP($I$3*(COUNT($O$9:AQ$9)+$I$4))),TREND($D41:$E41,$D$9:$E$9,AQ$9))</f>
        <v>1</v>
      </c>
      <c r="AR41">
        <f>IF($F41="s-curve",$D41+($E41-$D41)*$I$2/(1+EXP($I$3*(COUNT($O$9:AR$9)+$I$4))),TREND($D41:$E41,$D$9:$E$9,AR$9))</f>
        <v>1</v>
      </c>
      <c r="AS41">
        <f>IF($F41="s-curve",$D41+($E41-$D41)*$I$2/(1+EXP($I$3*(COUNT($O$9:AS$9)+$I$4))),TREND($D41:$E41,$D$9:$E$9,AS$9))</f>
        <v>1</v>
      </c>
      <c r="AT41">
        <f t="shared" si="11"/>
        <v>1</v>
      </c>
      <c r="AU41">
        <f t="shared" si="12"/>
        <v>1</v>
      </c>
      <c r="AV41">
        <f t="shared" si="12"/>
        <v>1</v>
      </c>
      <c r="AW41">
        <f t="shared" si="12"/>
        <v>1</v>
      </c>
      <c r="AX41">
        <f t="shared" si="12"/>
        <v>1</v>
      </c>
      <c r="AY41">
        <f t="shared" si="12"/>
        <v>1</v>
      </c>
      <c r="AZ41">
        <f t="shared" si="12"/>
        <v>1</v>
      </c>
      <c r="BA41">
        <f t="shared" si="12"/>
        <v>1</v>
      </c>
      <c r="BB41">
        <f t="shared" si="12"/>
        <v>1</v>
      </c>
      <c r="BC41">
        <f t="shared" si="12"/>
        <v>1</v>
      </c>
    </row>
    <row r="42" spans="1:55" x14ac:dyDescent="0.15">
      <c r="C42" t="s">
        <v>5</v>
      </c>
      <c r="D42">
        <v>0</v>
      </c>
      <c r="E42">
        <v>0</v>
      </c>
      <c r="F42" s="7" t="str">
        <f>IF(D42=E42,"n/a",IF(OR(C42="battery electric vehicle",C42="natural gas vehicle",C42="plugin hybrid vehicle"),"s-curve","linear"))</f>
        <v>n/a</v>
      </c>
      <c r="O42" s="22">
        <f t="shared" si="10"/>
        <v>0</v>
      </c>
      <c r="P42">
        <f>IF($F42="s-curve",$D42+($E42-$D42)*$I$2/(1+EXP($I$3*(COUNT($O$9:P$9)+$I$4))),TREND($D42:$E42,$D$9:$E$9,P$9))</f>
        <v>0</v>
      </c>
      <c r="Q42">
        <f>IF($F42="s-curve",$D42+($E42-$D42)*$I$2/(1+EXP($I$3*(COUNT($O$9:Q$9)+$I$4))),TREND($D42:$E42,$D$9:$E$9,Q$9))</f>
        <v>0</v>
      </c>
      <c r="R42">
        <f>IF($F42="s-curve",$D42+($E42-$D42)*$I$2/(1+EXP($I$3*(COUNT($O$9:R$9)+$I$4))),TREND($D42:$E42,$D$9:$E$9,R$9))</f>
        <v>0</v>
      </c>
      <c r="S42">
        <f>IF($F42="s-curve",$D42+($E42-$D42)*$I$2/(1+EXP($I$3*(COUNT($O$9:S$9)+$I$4))),TREND($D42:$E42,$D$9:$E$9,S$9))</f>
        <v>0</v>
      </c>
      <c r="T42">
        <f>IF($F42="s-curve",$D42+($E42-$D42)*$I$2/(1+EXP($I$3*(COUNT($O$9:T$9)+$I$4))),TREND($D42:$E42,$D$9:$E$9,T$9))</f>
        <v>0</v>
      </c>
      <c r="U42">
        <f>IF($F42="s-curve",$D42+($E42-$D42)*$I$2/(1+EXP($I$3*(COUNT($O$9:U$9)+$I$4))),TREND($D42:$E42,$D$9:$E$9,U$9))</f>
        <v>0</v>
      </c>
      <c r="V42">
        <f>IF($F42="s-curve",$D42+($E42-$D42)*$I$2/(1+EXP($I$3*(COUNT($O$9:V$9)+$I$4))),TREND($D42:$E42,$D$9:$E$9,V$9))</f>
        <v>0</v>
      </c>
      <c r="W42">
        <f>IF($F42="s-curve",$D42+($E42-$D42)*$I$2/(1+EXP($I$3*(COUNT($O$9:W$9)+$I$4))),TREND($D42:$E42,$D$9:$E$9,W$9))</f>
        <v>0</v>
      </c>
      <c r="X42">
        <f>IF($F42="s-curve",$D42+($E42-$D42)*$I$2/(1+EXP($I$3*(COUNT($O$9:X$9)+$I$4))),TREND($D42:$E42,$D$9:$E$9,X$9))</f>
        <v>0</v>
      </c>
      <c r="Y42">
        <f>IF($F42="s-curve",$D42+($E42-$D42)*$I$2/(1+EXP($I$3*(COUNT($O$9:Y$9)+$I$4))),TREND($D42:$E42,$D$9:$E$9,Y$9))</f>
        <v>0</v>
      </c>
      <c r="Z42">
        <f>IF($F42="s-curve",$D42+($E42-$D42)*$I$2/(1+EXP($I$3*(COUNT($O$9:Z$9)+$I$4))),TREND($D42:$E42,$D$9:$E$9,Z$9))</f>
        <v>0</v>
      </c>
      <c r="AA42">
        <f>IF($F42="s-curve",$D42+($E42-$D42)*$I$2/(1+EXP($I$3*(COUNT($O$9:AA$9)+$I$4))),TREND($D42:$E42,$D$9:$E$9,AA$9))</f>
        <v>0</v>
      </c>
      <c r="AB42">
        <f>IF($F42="s-curve",$D42+($E42-$D42)*$I$2/(1+EXP($I$3*(COUNT($O$9:AB$9)+$I$4))),TREND($D42:$E42,$D$9:$E$9,AB$9))</f>
        <v>0</v>
      </c>
      <c r="AC42">
        <f>IF($F42="s-curve",$D42+($E42-$D42)*$I$2/(1+EXP($I$3*(COUNT($O$9:AC$9)+$I$4))),TREND($D42:$E42,$D$9:$E$9,AC$9))</f>
        <v>0</v>
      </c>
      <c r="AD42">
        <f>IF($F42="s-curve",$D42+($E42-$D42)*$I$2/(1+EXP($I$3*(COUNT($O$9:AD$9)+$I$4))),TREND($D42:$E42,$D$9:$E$9,AD$9))</f>
        <v>0</v>
      </c>
      <c r="AE42">
        <f>IF($F42="s-curve",$D42+($E42-$D42)*$I$2/(1+EXP($I$3*(COUNT($O$9:AE$9)+$I$4))),TREND($D42:$E42,$D$9:$E$9,AE$9))</f>
        <v>0</v>
      </c>
      <c r="AF42">
        <f>IF($F42="s-curve",$D42+($E42-$D42)*$I$2/(1+EXP($I$3*(COUNT($O$9:AF$9)+$I$4))),TREND($D42:$E42,$D$9:$E$9,AF$9))</f>
        <v>0</v>
      </c>
      <c r="AG42">
        <f>IF($F42="s-curve",$D42+($E42-$D42)*$I$2/(1+EXP($I$3*(COUNT($O$9:AG$9)+$I$4))),TREND($D42:$E42,$D$9:$E$9,AG$9))</f>
        <v>0</v>
      </c>
      <c r="AH42">
        <f>IF($F42="s-curve",$D42+($E42-$D42)*$I$2/(1+EXP($I$3*(COUNT($O$9:AH$9)+$I$4))),TREND($D42:$E42,$D$9:$E$9,AH$9))</f>
        <v>0</v>
      </c>
      <c r="AI42">
        <f>IF($F42="s-curve",$D42+($E42-$D42)*$I$2/(1+EXP($I$3*(COUNT($O$9:AI$9)+$I$4))),TREND($D42:$E42,$D$9:$E$9,AI$9))</f>
        <v>0</v>
      </c>
      <c r="AJ42">
        <f>IF($F42="s-curve",$D42+($E42-$D42)*$I$2/(1+EXP($I$3*(COUNT($O$9:AJ$9)+$I$4))),TREND($D42:$E42,$D$9:$E$9,AJ$9))</f>
        <v>0</v>
      </c>
      <c r="AK42">
        <f>IF($F42="s-curve",$D42+($E42-$D42)*$I$2/(1+EXP($I$3*(COUNT($O$9:AK$9)+$I$4))),TREND($D42:$E42,$D$9:$E$9,AK$9))</f>
        <v>0</v>
      </c>
      <c r="AL42">
        <f>IF($F42="s-curve",$D42+($E42-$D42)*$I$2/(1+EXP($I$3*(COUNT($O$9:AL$9)+$I$4))),TREND($D42:$E42,$D$9:$E$9,AL$9))</f>
        <v>0</v>
      </c>
      <c r="AM42">
        <f>IF($F42="s-curve",$D42+($E42-$D42)*$I$2/(1+EXP($I$3*(COUNT($O$9:AM$9)+$I$4))),TREND($D42:$E42,$D$9:$E$9,AM$9))</f>
        <v>0</v>
      </c>
      <c r="AN42">
        <f>IF($F42="s-curve",$D42+($E42-$D42)*$I$2/(1+EXP($I$3*(COUNT($O$9:AN$9)+$I$4))),TREND($D42:$E42,$D$9:$E$9,AN$9))</f>
        <v>0</v>
      </c>
      <c r="AO42">
        <f>IF($F42="s-curve",$D42+($E42-$D42)*$I$2/(1+EXP($I$3*(COUNT($O$9:AO$9)+$I$4))),TREND($D42:$E42,$D$9:$E$9,AO$9))</f>
        <v>0</v>
      </c>
      <c r="AP42">
        <f>IF($F42="s-curve",$D42+($E42-$D42)*$I$2/(1+EXP($I$3*(COUNT($O$9:AP$9)+$I$4))),TREND($D42:$E42,$D$9:$E$9,AP$9))</f>
        <v>0</v>
      </c>
      <c r="AQ42">
        <f>IF($F42="s-curve",$D42+($E42-$D42)*$I$2/(1+EXP($I$3*(COUNT($O$9:AQ$9)+$I$4))),TREND($D42:$E42,$D$9:$E$9,AQ$9))</f>
        <v>0</v>
      </c>
      <c r="AR42">
        <f>IF($F42="s-curve",$D42+($E42-$D42)*$I$2/(1+EXP($I$3*(COUNT($O$9:AR$9)+$I$4))),TREND($D42:$E42,$D$9:$E$9,AR$9))</f>
        <v>0</v>
      </c>
      <c r="AS42">
        <f>IF($F42="s-curve",$D42+($E42-$D42)*$I$2/(1+EXP($I$3*(COUNT($O$9:AS$9)+$I$4))),TREND($D42:$E42,$D$9:$E$9,AS$9))</f>
        <v>0</v>
      </c>
      <c r="AT42">
        <f t="shared" si="11"/>
        <v>0</v>
      </c>
      <c r="AU42">
        <f t="shared" ref="AU42:BC57" si="13">AT42</f>
        <v>0</v>
      </c>
      <c r="AV42">
        <f t="shared" si="13"/>
        <v>0</v>
      </c>
      <c r="AW42">
        <f t="shared" si="13"/>
        <v>0</v>
      </c>
      <c r="AX42">
        <f t="shared" si="13"/>
        <v>0</v>
      </c>
      <c r="AY42">
        <f t="shared" si="13"/>
        <v>0</v>
      </c>
      <c r="AZ42">
        <f t="shared" si="13"/>
        <v>0</v>
      </c>
      <c r="BA42">
        <f t="shared" si="13"/>
        <v>0</v>
      </c>
      <c r="BB42">
        <f t="shared" si="13"/>
        <v>0</v>
      </c>
      <c r="BC42">
        <f t="shared" si="13"/>
        <v>0</v>
      </c>
    </row>
    <row r="43" spans="1:55" x14ac:dyDescent="0.15">
      <c r="C43" t="s">
        <v>125</v>
      </c>
      <c r="D43">
        <v>0</v>
      </c>
      <c r="E43">
        <v>0</v>
      </c>
      <c r="F43" s="7" t="str">
        <f>IF(D43=E43,"n/a",IF(OR(C43="battery electric vehicle",C43="natural gas vehicle",C43="plugin hybrid vehicle",C43="hydrogen vehicle"),"s-curve","linear"))</f>
        <v>n/a</v>
      </c>
      <c r="O43" s="22">
        <f t="shared" ref="O43:O74" si="14">D43</f>
        <v>0</v>
      </c>
      <c r="P43">
        <f>IF($F43="s-curve",$D43+($E43-$D43)*$I$2/(1+EXP($I$3*(COUNT($O$9:P$9)+$I$4))),TREND($D43:$E43,$D$9:$E$9,P$9))</f>
        <v>0</v>
      </c>
      <c r="Q43">
        <f>IF($F43="s-curve",$D43+($E43-$D43)*$I$2/(1+EXP($I$3*(COUNT($O$9:Q$9)+$I$4))),TREND($D43:$E43,$D$9:$E$9,Q$9))</f>
        <v>0</v>
      </c>
      <c r="R43">
        <f>IF($F43="s-curve",$D43+($E43-$D43)*$I$2/(1+EXP($I$3*(COUNT($O$9:R$9)+$I$4))),TREND($D43:$E43,$D$9:$E$9,R$9))</f>
        <v>0</v>
      </c>
      <c r="S43">
        <f>IF($F43="s-curve",$D43+($E43-$D43)*$I$2/(1+EXP($I$3*(COUNT($O$9:S$9)+$I$4))),TREND($D43:$E43,$D$9:$E$9,S$9))</f>
        <v>0</v>
      </c>
      <c r="T43">
        <f>IF($F43="s-curve",$D43+($E43-$D43)*$I$2/(1+EXP($I$3*(COUNT($O$9:T$9)+$I$4))),TREND($D43:$E43,$D$9:$E$9,T$9))</f>
        <v>0</v>
      </c>
      <c r="U43">
        <f>IF($F43="s-curve",$D43+($E43-$D43)*$I$2/(1+EXP($I$3*(COUNT($O$9:U$9)+$I$4))),TREND($D43:$E43,$D$9:$E$9,U$9))</f>
        <v>0</v>
      </c>
      <c r="V43">
        <f>IF($F43="s-curve",$D43+($E43-$D43)*$I$2/(1+EXP($I$3*(COUNT($O$9:V$9)+$I$4))),TREND($D43:$E43,$D$9:$E$9,V$9))</f>
        <v>0</v>
      </c>
      <c r="W43">
        <f>IF($F43="s-curve",$D43+($E43-$D43)*$I$2/(1+EXP($I$3*(COUNT($O$9:W$9)+$I$4))),TREND($D43:$E43,$D$9:$E$9,W$9))</f>
        <v>0</v>
      </c>
      <c r="X43">
        <f>IF($F43="s-curve",$D43+($E43-$D43)*$I$2/(1+EXP($I$3*(COUNT($O$9:X$9)+$I$4))),TREND($D43:$E43,$D$9:$E$9,X$9))</f>
        <v>0</v>
      </c>
      <c r="Y43">
        <f>IF($F43="s-curve",$D43+($E43-$D43)*$I$2/(1+EXP($I$3*(COUNT($O$9:Y$9)+$I$4))),TREND($D43:$E43,$D$9:$E$9,Y$9))</f>
        <v>0</v>
      </c>
      <c r="Z43">
        <f>IF($F43="s-curve",$D43+($E43-$D43)*$I$2/(1+EXP($I$3*(COUNT($O$9:Z$9)+$I$4))),TREND($D43:$E43,$D$9:$E$9,Z$9))</f>
        <v>0</v>
      </c>
      <c r="AA43">
        <f>IF($F43="s-curve",$D43+($E43-$D43)*$I$2/(1+EXP($I$3*(COUNT($O$9:AA$9)+$I$4))),TREND($D43:$E43,$D$9:$E$9,AA$9))</f>
        <v>0</v>
      </c>
      <c r="AB43">
        <f>IF($F43="s-curve",$D43+($E43-$D43)*$I$2/(1+EXP($I$3*(COUNT($O$9:AB$9)+$I$4))),TREND($D43:$E43,$D$9:$E$9,AB$9))</f>
        <v>0</v>
      </c>
      <c r="AC43">
        <f>IF($F43="s-curve",$D43+($E43-$D43)*$I$2/(1+EXP($I$3*(COUNT($O$9:AC$9)+$I$4))),TREND($D43:$E43,$D$9:$E$9,AC$9))</f>
        <v>0</v>
      </c>
      <c r="AD43">
        <f>IF($F43="s-curve",$D43+($E43-$D43)*$I$2/(1+EXP($I$3*(COUNT($O$9:AD$9)+$I$4))),TREND($D43:$E43,$D$9:$E$9,AD$9))</f>
        <v>0</v>
      </c>
      <c r="AE43">
        <f>IF($F43="s-curve",$D43+($E43-$D43)*$I$2/(1+EXP($I$3*(COUNT($O$9:AE$9)+$I$4))),TREND($D43:$E43,$D$9:$E$9,AE$9))</f>
        <v>0</v>
      </c>
      <c r="AF43">
        <f>IF($F43="s-curve",$D43+($E43-$D43)*$I$2/(1+EXP($I$3*(COUNT($O$9:AF$9)+$I$4))),TREND($D43:$E43,$D$9:$E$9,AF$9))</f>
        <v>0</v>
      </c>
      <c r="AG43">
        <f>IF($F43="s-curve",$D43+($E43-$D43)*$I$2/(1+EXP($I$3*(COUNT($O$9:AG$9)+$I$4))),TREND($D43:$E43,$D$9:$E$9,AG$9))</f>
        <v>0</v>
      </c>
      <c r="AH43">
        <f>IF($F43="s-curve",$D43+($E43-$D43)*$I$2/(1+EXP($I$3*(COUNT($O$9:AH$9)+$I$4))),TREND($D43:$E43,$D$9:$E$9,AH$9))</f>
        <v>0</v>
      </c>
      <c r="AI43">
        <f>IF($F43="s-curve",$D43+($E43-$D43)*$I$2/(1+EXP($I$3*(COUNT($O$9:AI$9)+$I$4))),TREND($D43:$E43,$D$9:$E$9,AI$9))</f>
        <v>0</v>
      </c>
      <c r="AJ43">
        <f>IF($F43="s-curve",$D43+($E43-$D43)*$I$2/(1+EXP($I$3*(COUNT($O$9:AJ$9)+$I$4))),TREND($D43:$E43,$D$9:$E$9,AJ$9))</f>
        <v>0</v>
      </c>
      <c r="AK43">
        <f>IF($F43="s-curve",$D43+($E43-$D43)*$I$2/(1+EXP($I$3*(COUNT($O$9:AK$9)+$I$4))),TREND($D43:$E43,$D$9:$E$9,AK$9))</f>
        <v>0</v>
      </c>
      <c r="AL43">
        <f>IF($F43="s-curve",$D43+($E43-$D43)*$I$2/(1+EXP($I$3*(COUNT($O$9:AL$9)+$I$4))),TREND($D43:$E43,$D$9:$E$9,AL$9))</f>
        <v>0</v>
      </c>
      <c r="AM43">
        <f>IF($F43="s-curve",$D43+($E43-$D43)*$I$2/(1+EXP($I$3*(COUNT($O$9:AM$9)+$I$4))),TREND($D43:$E43,$D$9:$E$9,AM$9))</f>
        <v>0</v>
      </c>
      <c r="AN43">
        <f>IF($F43="s-curve",$D43+($E43-$D43)*$I$2/(1+EXP($I$3*(COUNT($O$9:AN$9)+$I$4))),TREND($D43:$E43,$D$9:$E$9,AN$9))</f>
        <v>0</v>
      </c>
      <c r="AO43">
        <f>IF($F43="s-curve",$D43+($E43-$D43)*$I$2/(1+EXP($I$3*(COUNT($O$9:AO$9)+$I$4))),TREND($D43:$E43,$D$9:$E$9,AO$9))</f>
        <v>0</v>
      </c>
      <c r="AP43">
        <f>IF($F43="s-curve",$D43+($E43-$D43)*$I$2/(1+EXP($I$3*(COUNT($O$9:AP$9)+$I$4))),TREND($D43:$E43,$D$9:$E$9,AP$9))</f>
        <v>0</v>
      </c>
      <c r="AQ43">
        <f>IF($F43="s-curve",$D43+($E43-$D43)*$I$2/(1+EXP($I$3*(COUNT($O$9:AQ$9)+$I$4))),TREND($D43:$E43,$D$9:$E$9,AQ$9))</f>
        <v>0</v>
      </c>
      <c r="AR43">
        <f>IF($F43="s-curve",$D43+($E43-$D43)*$I$2/(1+EXP($I$3*(COUNT($O$9:AR$9)+$I$4))),TREND($D43:$E43,$D$9:$E$9,AR$9))</f>
        <v>0</v>
      </c>
      <c r="AS43">
        <f>IF($F43="s-curve",$D43+($E43-$D43)*$I$2/(1+EXP($I$3*(COUNT($O$9:AS$9)+$I$4))),TREND($D43:$E43,$D$9:$E$9,AS$9))</f>
        <v>0</v>
      </c>
      <c r="AT43">
        <f t="shared" si="11"/>
        <v>0</v>
      </c>
      <c r="AU43">
        <f t="shared" si="13"/>
        <v>0</v>
      </c>
      <c r="AV43">
        <f t="shared" si="13"/>
        <v>0</v>
      </c>
      <c r="AW43">
        <f t="shared" si="13"/>
        <v>0</v>
      </c>
      <c r="AX43">
        <f t="shared" si="13"/>
        <v>0</v>
      </c>
      <c r="AY43">
        <f t="shared" si="13"/>
        <v>0</v>
      </c>
      <c r="AZ43">
        <f t="shared" si="13"/>
        <v>0</v>
      </c>
      <c r="BA43">
        <f t="shared" si="13"/>
        <v>0</v>
      </c>
      <c r="BB43">
        <f t="shared" si="13"/>
        <v>0</v>
      </c>
      <c r="BC43">
        <f t="shared" si="13"/>
        <v>0</v>
      </c>
    </row>
    <row r="44" spans="1:55" ht="13.6" thickBot="1" x14ac:dyDescent="0.2">
      <c r="A44" s="23"/>
      <c r="B44" s="23"/>
      <c r="C44" s="23" t="s">
        <v>126</v>
      </c>
      <c r="D44" s="23">
        <v>0</v>
      </c>
      <c r="E44" s="23">
        <v>0</v>
      </c>
      <c r="F44" s="8" t="str">
        <f>IF(D44=E44,"n/a",IF(OR(C44="battery electric vehicle",C44="natural gas vehicle",C44="plugin hybrid vehicle",C44="hydrogen vehicle"),"s-curve","linear"))</f>
        <v>n/a</v>
      </c>
      <c r="O44" s="22">
        <f t="shared" si="14"/>
        <v>0</v>
      </c>
      <c r="P44">
        <f>IF($F44="s-curve",$D44+($E44-$D44)*$I$2/(1+EXP($I$3*(COUNT($O$9:P$9)+$I$4))),TREND($D44:$E44,$D$9:$E$9,P$9))</f>
        <v>0</v>
      </c>
      <c r="Q44">
        <f>IF($F44="s-curve",$D44+($E44-$D44)*$I$2/(1+EXP($I$3*(COUNT($O$9:Q$9)+$I$4))),TREND($D44:$E44,$D$9:$E$9,Q$9))</f>
        <v>0</v>
      </c>
      <c r="R44">
        <f>IF($F44="s-curve",$D44+($E44-$D44)*$I$2/(1+EXP($I$3*(COUNT($O$9:R$9)+$I$4))),TREND($D44:$E44,$D$9:$E$9,R$9))</f>
        <v>0</v>
      </c>
      <c r="S44">
        <f>IF($F44="s-curve",$D44+($E44-$D44)*$I$2/(1+EXP($I$3*(COUNT($O$9:S$9)+$I$4))),TREND($D44:$E44,$D$9:$E$9,S$9))</f>
        <v>0</v>
      </c>
      <c r="T44">
        <f>IF($F44="s-curve",$D44+($E44-$D44)*$I$2/(1+EXP($I$3*(COUNT($O$9:T$9)+$I$4))),TREND($D44:$E44,$D$9:$E$9,T$9))</f>
        <v>0</v>
      </c>
      <c r="U44">
        <f>IF($F44="s-curve",$D44+($E44-$D44)*$I$2/(1+EXP($I$3*(COUNT($O$9:U$9)+$I$4))),TREND($D44:$E44,$D$9:$E$9,U$9))</f>
        <v>0</v>
      </c>
      <c r="V44">
        <f>IF($F44="s-curve",$D44+($E44-$D44)*$I$2/(1+EXP($I$3*(COUNT($O$9:V$9)+$I$4))),TREND($D44:$E44,$D$9:$E$9,V$9))</f>
        <v>0</v>
      </c>
      <c r="W44">
        <f>IF($F44="s-curve",$D44+($E44-$D44)*$I$2/(1+EXP($I$3*(COUNT($O$9:W$9)+$I$4))),TREND($D44:$E44,$D$9:$E$9,W$9))</f>
        <v>0</v>
      </c>
      <c r="X44">
        <f>IF($F44="s-curve",$D44+($E44-$D44)*$I$2/(1+EXP($I$3*(COUNT($O$9:X$9)+$I$4))),TREND($D44:$E44,$D$9:$E$9,X$9))</f>
        <v>0</v>
      </c>
      <c r="Y44">
        <f>IF($F44="s-curve",$D44+($E44-$D44)*$I$2/(1+EXP($I$3*(COUNT($O$9:Y$9)+$I$4))),TREND($D44:$E44,$D$9:$E$9,Y$9))</f>
        <v>0</v>
      </c>
      <c r="Z44">
        <f>IF($F44="s-curve",$D44+($E44-$D44)*$I$2/(1+EXP($I$3*(COUNT($O$9:Z$9)+$I$4))),TREND($D44:$E44,$D$9:$E$9,Z$9))</f>
        <v>0</v>
      </c>
      <c r="AA44">
        <f>IF($F44="s-curve",$D44+($E44-$D44)*$I$2/(1+EXP($I$3*(COUNT($O$9:AA$9)+$I$4))),TREND($D44:$E44,$D$9:$E$9,AA$9))</f>
        <v>0</v>
      </c>
      <c r="AB44">
        <f>IF($F44="s-curve",$D44+($E44-$D44)*$I$2/(1+EXP($I$3*(COUNT($O$9:AB$9)+$I$4))),TREND($D44:$E44,$D$9:$E$9,AB$9))</f>
        <v>0</v>
      </c>
      <c r="AC44">
        <f>IF($F44="s-curve",$D44+($E44-$D44)*$I$2/(1+EXP($I$3*(COUNT($O$9:AC$9)+$I$4))),TREND($D44:$E44,$D$9:$E$9,AC$9))</f>
        <v>0</v>
      </c>
      <c r="AD44">
        <f>IF($F44="s-curve",$D44+($E44-$D44)*$I$2/(1+EXP($I$3*(COUNT($O$9:AD$9)+$I$4))),TREND($D44:$E44,$D$9:$E$9,AD$9))</f>
        <v>0</v>
      </c>
      <c r="AE44">
        <f>IF($F44="s-curve",$D44+($E44-$D44)*$I$2/(1+EXP($I$3*(COUNT($O$9:AE$9)+$I$4))),TREND($D44:$E44,$D$9:$E$9,AE$9))</f>
        <v>0</v>
      </c>
      <c r="AF44">
        <f>IF($F44="s-curve",$D44+($E44-$D44)*$I$2/(1+EXP($I$3*(COUNT($O$9:AF$9)+$I$4))),TREND($D44:$E44,$D$9:$E$9,AF$9))</f>
        <v>0</v>
      </c>
      <c r="AG44">
        <f>IF($F44="s-curve",$D44+($E44-$D44)*$I$2/(1+EXP($I$3*(COUNT($O$9:AG$9)+$I$4))),TREND($D44:$E44,$D$9:$E$9,AG$9))</f>
        <v>0</v>
      </c>
      <c r="AH44">
        <f>IF($F44="s-curve",$D44+($E44-$D44)*$I$2/(1+EXP($I$3*(COUNT($O$9:AH$9)+$I$4))),TREND($D44:$E44,$D$9:$E$9,AH$9))</f>
        <v>0</v>
      </c>
      <c r="AI44">
        <f>IF($F44="s-curve",$D44+($E44-$D44)*$I$2/(1+EXP($I$3*(COUNT($O$9:AI$9)+$I$4))),TREND($D44:$E44,$D$9:$E$9,AI$9))</f>
        <v>0</v>
      </c>
      <c r="AJ44">
        <f>IF($F44="s-curve",$D44+($E44-$D44)*$I$2/(1+EXP($I$3*(COUNT($O$9:AJ$9)+$I$4))),TREND($D44:$E44,$D$9:$E$9,AJ$9))</f>
        <v>0</v>
      </c>
      <c r="AK44">
        <f>IF($F44="s-curve",$D44+($E44-$D44)*$I$2/(1+EXP($I$3*(COUNT($O$9:AK$9)+$I$4))),TREND($D44:$E44,$D$9:$E$9,AK$9))</f>
        <v>0</v>
      </c>
      <c r="AL44">
        <f>IF($F44="s-curve",$D44+($E44-$D44)*$I$2/(1+EXP($I$3*(COUNT($O$9:AL$9)+$I$4))),TREND($D44:$E44,$D$9:$E$9,AL$9))</f>
        <v>0</v>
      </c>
      <c r="AM44">
        <f>IF($F44="s-curve",$D44+($E44-$D44)*$I$2/(1+EXP($I$3*(COUNT($O$9:AM$9)+$I$4))),TREND($D44:$E44,$D$9:$E$9,AM$9))</f>
        <v>0</v>
      </c>
      <c r="AN44">
        <f>IF($F44="s-curve",$D44+($E44-$D44)*$I$2/(1+EXP($I$3*(COUNT($O$9:AN$9)+$I$4))),TREND($D44:$E44,$D$9:$E$9,AN$9))</f>
        <v>0</v>
      </c>
      <c r="AO44">
        <f>IF($F44="s-curve",$D44+($E44-$D44)*$I$2/(1+EXP($I$3*(COUNT($O$9:AO$9)+$I$4))),TREND($D44:$E44,$D$9:$E$9,AO$9))</f>
        <v>0</v>
      </c>
      <c r="AP44">
        <f>IF($F44="s-curve",$D44+($E44-$D44)*$I$2/(1+EXP($I$3*(COUNT($O$9:AP$9)+$I$4))),TREND($D44:$E44,$D$9:$E$9,AP$9))</f>
        <v>0</v>
      </c>
      <c r="AQ44">
        <f>IF($F44="s-curve",$D44+($E44-$D44)*$I$2/(1+EXP($I$3*(COUNT($O$9:AQ$9)+$I$4))),TREND($D44:$E44,$D$9:$E$9,AQ$9))</f>
        <v>0</v>
      </c>
      <c r="AR44">
        <f>IF($F44="s-curve",$D44+($E44-$D44)*$I$2/(1+EXP($I$3*(COUNT($O$9:AR$9)+$I$4))),TREND($D44:$E44,$D$9:$E$9,AR$9))</f>
        <v>0</v>
      </c>
      <c r="AS44">
        <f>IF($F44="s-curve",$D44+($E44-$D44)*$I$2/(1+EXP($I$3*(COUNT($O$9:AS$9)+$I$4))),TREND($D44:$E44,$D$9:$E$9,AS$9))</f>
        <v>0</v>
      </c>
      <c r="AT44">
        <f t="shared" si="11"/>
        <v>0</v>
      </c>
      <c r="AU44">
        <f t="shared" si="13"/>
        <v>0</v>
      </c>
      <c r="AV44">
        <f t="shared" si="13"/>
        <v>0</v>
      </c>
      <c r="AW44">
        <f t="shared" si="13"/>
        <v>0</v>
      </c>
      <c r="AX44">
        <f t="shared" si="13"/>
        <v>0</v>
      </c>
      <c r="AY44">
        <f t="shared" si="13"/>
        <v>0</v>
      </c>
      <c r="AZ44">
        <f t="shared" si="13"/>
        <v>0</v>
      </c>
      <c r="BA44">
        <f t="shared" si="13"/>
        <v>0</v>
      </c>
      <c r="BB44">
        <f t="shared" si="13"/>
        <v>0</v>
      </c>
      <c r="BC44">
        <f t="shared" si="13"/>
        <v>0</v>
      </c>
    </row>
    <row r="45" spans="1:55" x14ac:dyDescent="0.15">
      <c r="A45" t="s">
        <v>14</v>
      </c>
      <c r="B45" t="s">
        <v>18</v>
      </c>
      <c r="C45" t="s">
        <v>1</v>
      </c>
      <c r="D45">
        <v>0</v>
      </c>
      <c r="E45">
        <v>0</v>
      </c>
      <c r="F45" s="7" t="str">
        <f>IF(D45=E45,"n/a",IF(OR(C45="battery electric vehicle",C45="natural gas vehicle",C45="plugin hybrid vehicle"),"s-curve","linear"))</f>
        <v>n/a</v>
      </c>
      <c r="O45" s="22">
        <f t="shared" si="14"/>
        <v>0</v>
      </c>
      <c r="P45">
        <f>IF($F45="s-curve",$D45+($E45-$D45)*$I$2/(1+EXP($I$3*(COUNT($O$9:P$9)+$I$4))),TREND($D45:$E45,$D$9:$E$9,P$9))</f>
        <v>0</v>
      </c>
      <c r="Q45">
        <f>IF($F45="s-curve",$D45+($E45-$D45)*$I$2/(1+EXP($I$3*(COUNT($O$9:Q$9)+$I$4))),TREND($D45:$E45,$D$9:$E$9,Q$9))</f>
        <v>0</v>
      </c>
      <c r="R45">
        <f>IF($F45="s-curve",$D45+($E45-$D45)*$I$2/(1+EXP($I$3*(COUNT($O$9:R$9)+$I$4))),TREND($D45:$E45,$D$9:$E$9,R$9))</f>
        <v>0</v>
      </c>
      <c r="S45">
        <f>IF($F45="s-curve",$D45+($E45-$D45)*$I$2/(1+EXP($I$3*(COUNT($O$9:S$9)+$I$4))),TREND($D45:$E45,$D$9:$E$9,S$9))</f>
        <v>0</v>
      </c>
      <c r="T45">
        <f>IF($F45="s-curve",$D45+($E45-$D45)*$I$2/(1+EXP($I$3*(COUNT($O$9:T$9)+$I$4))),TREND($D45:$E45,$D$9:$E$9,T$9))</f>
        <v>0</v>
      </c>
      <c r="U45">
        <f>IF($F45="s-curve",$D45+($E45-$D45)*$I$2/(1+EXP($I$3*(COUNT($O$9:U$9)+$I$4))),TREND($D45:$E45,$D$9:$E$9,U$9))</f>
        <v>0</v>
      </c>
      <c r="V45">
        <f>IF($F45="s-curve",$D45+($E45-$D45)*$I$2/(1+EXP($I$3*(COUNT($O$9:V$9)+$I$4))),TREND($D45:$E45,$D$9:$E$9,V$9))</f>
        <v>0</v>
      </c>
      <c r="W45">
        <f>IF($F45="s-curve",$D45+($E45-$D45)*$I$2/(1+EXP($I$3*(COUNT($O$9:W$9)+$I$4))),TREND($D45:$E45,$D$9:$E$9,W$9))</f>
        <v>0</v>
      </c>
      <c r="X45">
        <f>IF($F45="s-curve",$D45+($E45-$D45)*$I$2/(1+EXP($I$3*(COUNT($O$9:X$9)+$I$4))),TREND($D45:$E45,$D$9:$E$9,X$9))</f>
        <v>0</v>
      </c>
      <c r="Y45">
        <f>IF($F45="s-curve",$D45+($E45-$D45)*$I$2/(1+EXP($I$3*(COUNT($O$9:Y$9)+$I$4))),TREND($D45:$E45,$D$9:$E$9,Y$9))</f>
        <v>0</v>
      </c>
      <c r="Z45">
        <f>IF($F45="s-curve",$D45+($E45-$D45)*$I$2/(1+EXP($I$3*(COUNT($O$9:Z$9)+$I$4))),TREND($D45:$E45,$D$9:$E$9,Z$9))</f>
        <v>0</v>
      </c>
      <c r="AA45">
        <f>IF($F45="s-curve",$D45+($E45-$D45)*$I$2/(1+EXP($I$3*(COUNT($O$9:AA$9)+$I$4))),TREND($D45:$E45,$D$9:$E$9,AA$9))</f>
        <v>0</v>
      </c>
      <c r="AB45">
        <f>IF($F45="s-curve",$D45+($E45-$D45)*$I$2/(1+EXP($I$3*(COUNT($O$9:AB$9)+$I$4))),TREND($D45:$E45,$D$9:$E$9,AB$9))</f>
        <v>0</v>
      </c>
      <c r="AC45">
        <f>IF($F45="s-curve",$D45+($E45-$D45)*$I$2/(1+EXP($I$3*(COUNT($O$9:AC$9)+$I$4))),TREND($D45:$E45,$D$9:$E$9,AC$9))</f>
        <v>0</v>
      </c>
      <c r="AD45">
        <f>IF($F45="s-curve",$D45+($E45-$D45)*$I$2/(1+EXP($I$3*(COUNT($O$9:AD$9)+$I$4))),TREND($D45:$E45,$D$9:$E$9,AD$9))</f>
        <v>0</v>
      </c>
      <c r="AE45">
        <f>IF($F45="s-curve",$D45+($E45-$D45)*$I$2/(1+EXP($I$3*(COUNT($O$9:AE$9)+$I$4))),TREND($D45:$E45,$D$9:$E$9,AE$9))</f>
        <v>0</v>
      </c>
      <c r="AF45">
        <f>IF($F45="s-curve",$D45+($E45-$D45)*$I$2/(1+EXP($I$3*(COUNT($O$9:AF$9)+$I$4))),TREND($D45:$E45,$D$9:$E$9,AF$9))</f>
        <v>0</v>
      </c>
      <c r="AG45">
        <f>IF($F45="s-curve",$D45+($E45-$D45)*$I$2/(1+EXP($I$3*(COUNT($O$9:AG$9)+$I$4))),TREND($D45:$E45,$D$9:$E$9,AG$9))</f>
        <v>0</v>
      </c>
      <c r="AH45">
        <f>IF($F45="s-curve",$D45+($E45-$D45)*$I$2/(1+EXP($I$3*(COUNT($O$9:AH$9)+$I$4))),TREND($D45:$E45,$D$9:$E$9,AH$9))</f>
        <v>0</v>
      </c>
      <c r="AI45">
        <f>IF($F45="s-curve",$D45+($E45-$D45)*$I$2/(1+EXP($I$3*(COUNT($O$9:AI$9)+$I$4))),TREND($D45:$E45,$D$9:$E$9,AI$9))</f>
        <v>0</v>
      </c>
      <c r="AJ45">
        <f>IF($F45="s-curve",$D45+($E45-$D45)*$I$2/(1+EXP($I$3*(COUNT($O$9:AJ$9)+$I$4))),TREND($D45:$E45,$D$9:$E$9,AJ$9))</f>
        <v>0</v>
      </c>
      <c r="AK45">
        <f>IF($F45="s-curve",$D45+($E45-$D45)*$I$2/(1+EXP($I$3*(COUNT($O$9:AK$9)+$I$4))),TREND($D45:$E45,$D$9:$E$9,AK$9))</f>
        <v>0</v>
      </c>
      <c r="AL45">
        <f>IF($F45="s-curve",$D45+($E45-$D45)*$I$2/(1+EXP($I$3*(COUNT($O$9:AL$9)+$I$4))),TREND($D45:$E45,$D$9:$E$9,AL$9))</f>
        <v>0</v>
      </c>
      <c r="AM45">
        <f>IF($F45="s-curve",$D45+($E45-$D45)*$I$2/(1+EXP($I$3*(COUNT($O$9:AM$9)+$I$4))),TREND($D45:$E45,$D$9:$E$9,AM$9))</f>
        <v>0</v>
      </c>
      <c r="AN45">
        <f>IF($F45="s-curve",$D45+($E45-$D45)*$I$2/(1+EXP($I$3*(COUNT($O$9:AN$9)+$I$4))),TREND($D45:$E45,$D$9:$E$9,AN$9))</f>
        <v>0</v>
      </c>
      <c r="AO45">
        <f>IF($F45="s-curve",$D45+($E45-$D45)*$I$2/(1+EXP($I$3*(COUNT($O$9:AO$9)+$I$4))),TREND($D45:$E45,$D$9:$E$9,AO$9))</f>
        <v>0</v>
      </c>
      <c r="AP45">
        <f>IF($F45="s-curve",$D45+($E45-$D45)*$I$2/(1+EXP($I$3*(COUNT($O$9:AP$9)+$I$4))),TREND($D45:$E45,$D$9:$E$9,AP$9))</f>
        <v>0</v>
      </c>
      <c r="AQ45">
        <f>IF($F45="s-curve",$D45+($E45-$D45)*$I$2/(1+EXP($I$3*(COUNT($O$9:AQ$9)+$I$4))),TREND($D45:$E45,$D$9:$E$9,AQ$9))</f>
        <v>0</v>
      </c>
      <c r="AR45">
        <f>IF($F45="s-curve",$D45+($E45-$D45)*$I$2/(1+EXP($I$3*(COUNT($O$9:AR$9)+$I$4))),TREND($D45:$E45,$D$9:$E$9,AR$9))</f>
        <v>0</v>
      </c>
      <c r="AS45">
        <f>IF($F45="s-curve",$D45+($E45-$D45)*$I$2/(1+EXP($I$3*(COUNT($O$9:AS$9)+$I$4))),TREND($D45:$E45,$D$9:$E$9,AS$9))</f>
        <v>0</v>
      </c>
      <c r="AT45">
        <f t="shared" si="11"/>
        <v>0</v>
      </c>
      <c r="AU45">
        <f t="shared" si="13"/>
        <v>0</v>
      </c>
      <c r="AV45">
        <f t="shared" si="13"/>
        <v>0</v>
      </c>
      <c r="AW45">
        <f t="shared" si="13"/>
        <v>0</v>
      </c>
      <c r="AX45">
        <f t="shared" si="13"/>
        <v>0</v>
      </c>
      <c r="AY45">
        <f t="shared" si="13"/>
        <v>0</v>
      </c>
      <c r="AZ45">
        <f t="shared" si="13"/>
        <v>0</v>
      </c>
      <c r="BA45">
        <f t="shared" si="13"/>
        <v>0</v>
      </c>
      <c r="BB45">
        <f t="shared" si="13"/>
        <v>0</v>
      </c>
      <c r="BC45">
        <f t="shared" si="13"/>
        <v>0</v>
      </c>
    </row>
    <row r="46" spans="1:55" x14ac:dyDescent="0.15">
      <c r="C46" t="s">
        <v>2</v>
      </c>
      <c r="D46">
        <v>0</v>
      </c>
      <c r="E46">
        <v>0</v>
      </c>
      <c r="F46" s="7" t="str">
        <f>IF(D46=E46,"n/a",IF(OR(C46="battery electric vehicle",C46="natural gas vehicle",C46="plugin hybrid vehicle"),"s-curve","linear"))</f>
        <v>n/a</v>
      </c>
      <c r="O46" s="22">
        <f t="shared" si="14"/>
        <v>0</v>
      </c>
      <c r="P46">
        <f>IF($F46="s-curve",$D46+($E46-$D46)*$I$2/(1+EXP($I$3*(COUNT($O$9:P$9)+$I$4))),TREND($D46:$E46,$D$9:$E$9,P$9))</f>
        <v>0</v>
      </c>
      <c r="Q46">
        <f>IF($F46="s-curve",$D46+($E46-$D46)*$I$2/(1+EXP($I$3*(COUNT($O$9:Q$9)+$I$4))),TREND($D46:$E46,$D$9:$E$9,Q$9))</f>
        <v>0</v>
      </c>
      <c r="R46">
        <f>IF($F46="s-curve",$D46+($E46-$D46)*$I$2/(1+EXP($I$3*(COUNT($O$9:R$9)+$I$4))),TREND($D46:$E46,$D$9:$E$9,R$9))</f>
        <v>0</v>
      </c>
      <c r="S46">
        <f>IF($F46="s-curve",$D46+($E46-$D46)*$I$2/(1+EXP($I$3*(COUNT($O$9:S$9)+$I$4))),TREND($D46:$E46,$D$9:$E$9,S$9))</f>
        <v>0</v>
      </c>
      <c r="T46">
        <f>IF($F46="s-curve",$D46+($E46-$D46)*$I$2/(1+EXP($I$3*(COUNT($O$9:T$9)+$I$4))),TREND($D46:$E46,$D$9:$E$9,T$9))</f>
        <v>0</v>
      </c>
      <c r="U46">
        <f>IF($F46="s-curve",$D46+($E46-$D46)*$I$2/(1+EXP($I$3*(COUNT($O$9:U$9)+$I$4))),TREND($D46:$E46,$D$9:$E$9,U$9))</f>
        <v>0</v>
      </c>
      <c r="V46">
        <f>IF($F46="s-curve",$D46+($E46-$D46)*$I$2/(1+EXP($I$3*(COUNT($O$9:V$9)+$I$4))),TREND($D46:$E46,$D$9:$E$9,V$9))</f>
        <v>0</v>
      </c>
      <c r="W46">
        <f>IF($F46="s-curve",$D46+($E46-$D46)*$I$2/(1+EXP($I$3*(COUNT($O$9:W$9)+$I$4))),TREND($D46:$E46,$D$9:$E$9,W$9))</f>
        <v>0</v>
      </c>
      <c r="X46">
        <f>IF($F46="s-curve",$D46+($E46-$D46)*$I$2/(1+EXP($I$3*(COUNT($O$9:X$9)+$I$4))),TREND($D46:$E46,$D$9:$E$9,X$9))</f>
        <v>0</v>
      </c>
      <c r="Y46">
        <f>IF($F46="s-curve",$D46+($E46-$D46)*$I$2/(1+EXP($I$3*(COUNT($O$9:Y$9)+$I$4))),TREND($D46:$E46,$D$9:$E$9,Y$9))</f>
        <v>0</v>
      </c>
      <c r="Z46">
        <f>IF($F46="s-curve",$D46+($E46-$D46)*$I$2/(1+EXP($I$3*(COUNT($O$9:Z$9)+$I$4))),TREND($D46:$E46,$D$9:$E$9,Z$9))</f>
        <v>0</v>
      </c>
      <c r="AA46">
        <f>IF($F46="s-curve",$D46+($E46-$D46)*$I$2/(1+EXP($I$3*(COUNT($O$9:AA$9)+$I$4))),TREND($D46:$E46,$D$9:$E$9,AA$9))</f>
        <v>0</v>
      </c>
      <c r="AB46">
        <f>IF($F46="s-curve",$D46+($E46-$D46)*$I$2/(1+EXP($I$3*(COUNT($O$9:AB$9)+$I$4))),TREND($D46:$E46,$D$9:$E$9,AB$9))</f>
        <v>0</v>
      </c>
      <c r="AC46">
        <f>IF($F46="s-curve",$D46+($E46-$D46)*$I$2/(1+EXP($I$3*(COUNT($O$9:AC$9)+$I$4))),TREND($D46:$E46,$D$9:$E$9,AC$9))</f>
        <v>0</v>
      </c>
      <c r="AD46">
        <f>IF($F46="s-curve",$D46+($E46-$D46)*$I$2/(1+EXP($I$3*(COUNT($O$9:AD$9)+$I$4))),TREND($D46:$E46,$D$9:$E$9,AD$9))</f>
        <v>0</v>
      </c>
      <c r="AE46">
        <f>IF($F46="s-curve",$D46+($E46-$D46)*$I$2/(1+EXP($I$3*(COUNT($O$9:AE$9)+$I$4))),TREND($D46:$E46,$D$9:$E$9,AE$9))</f>
        <v>0</v>
      </c>
      <c r="AF46">
        <f>IF($F46="s-curve",$D46+($E46-$D46)*$I$2/(1+EXP($I$3*(COUNT($O$9:AF$9)+$I$4))),TREND($D46:$E46,$D$9:$E$9,AF$9))</f>
        <v>0</v>
      </c>
      <c r="AG46">
        <f>IF($F46="s-curve",$D46+($E46-$D46)*$I$2/(1+EXP($I$3*(COUNT($O$9:AG$9)+$I$4))),TREND($D46:$E46,$D$9:$E$9,AG$9))</f>
        <v>0</v>
      </c>
      <c r="AH46">
        <f>IF($F46="s-curve",$D46+($E46-$D46)*$I$2/(1+EXP($I$3*(COUNT($O$9:AH$9)+$I$4))),TREND($D46:$E46,$D$9:$E$9,AH$9))</f>
        <v>0</v>
      </c>
      <c r="AI46">
        <f>IF($F46="s-curve",$D46+($E46-$D46)*$I$2/(1+EXP($I$3*(COUNT($O$9:AI$9)+$I$4))),TREND($D46:$E46,$D$9:$E$9,AI$9))</f>
        <v>0</v>
      </c>
      <c r="AJ46">
        <f>IF($F46="s-curve",$D46+($E46-$D46)*$I$2/(1+EXP($I$3*(COUNT($O$9:AJ$9)+$I$4))),TREND($D46:$E46,$D$9:$E$9,AJ$9))</f>
        <v>0</v>
      </c>
      <c r="AK46">
        <f>IF($F46="s-curve",$D46+($E46-$D46)*$I$2/(1+EXP($I$3*(COUNT($O$9:AK$9)+$I$4))),TREND($D46:$E46,$D$9:$E$9,AK$9))</f>
        <v>0</v>
      </c>
      <c r="AL46">
        <f>IF($F46="s-curve",$D46+($E46-$D46)*$I$2/(1+EXP($I$3*(COUNT($O$9:AL$9)+$I$4))),TREND($D46:$E46,$D$9:$E$9,AL$9))</f>
        <v>0</v>
      </c>
      <c r="AM46">
        <f>IF($F46="s-curve",$D46+($E46-$D46)*$I$2/(1+EXP($I$3*(COUNT($O$9:AM$9)+$I$4))),TREND($D46:$E46,$D$9:$E$9,AM$9))</f>
        <v>0</v>
      </c>
      <c r="AN46">
        <f>IF($F46="s-curve",$D46+($E46-$D46)*$I$2/(1+EXP($I$3*(COUNT($O$9:AN$9)+$I$4))),TREND($D46:$E46,$D$9:$E$9,AN$9))</f>
        <v>0</v>
      </c>
      <c r="AO46">
        <f>IF($F46="s-curve",$D46+($E46-$D46)*$I$2/(1+EXP($I$3*(COUNT($O$9:AO$9)+$I$4))),TREND($D46:$E46,$D$9:$E$9,AO$9))</f>
        <v>0</v>
      </c>
      <c r="AP46">
        <f>IF($F46="s-curve",$D46+($E46-$D46)*$I$2/(1+EXP($I$3*(COUNT($O$9:AP$9)+$I$4))),TREND($D46:$E46,$D$9:$E$9,AP$9))</f>
        <v>0</v>
      </c>
      <c r="AQ46">
        <f>IF($F46="s-curve",$D46+($E46-$D46)*$I$2/(1+EXP($I$3*(COUNT($O$9:AQ$9)+$I$4))),TREND($D46:$E46,$D$9:$E$9,AQ$9))</f>
        <v>0</v>
      </c>
      <c r="AR46">
        <f>IF($F46="s-curve",$D46+($E46-$D46)*$I$2/(1+EXP($I$3*(COUNT($O$9:AR$9)+$I$4))),TREND($D46:$E46,$D$9:$E$9,AR$9))</f>
        <v>0</v>
      </c>
      <c r="AS46">
        <f>IF($F46="s-curve",$D46+($E46-$D46)*$I$2/(1+EXP($I$3*(COUNT($O$9:AS$9)+$I$4))),TREND($D46:$E46,$D$9:$E$9,AS$9))</f>
        <v>0</v>
      </c>
      <c r="AT46">
        <f t="shared" si="11"/>
        <v>0</v>
      </c>
      <c r="AU46">
        <f t="shared" si="13"/>
        <v>0</v>
      </c>
      <c r="AV46">
        <f t="shared" si="13"/>
        <v>0</v>
      </c>
      <c r="AW46">
        <f t="shared" si="13"/>
        <v>0</v>
      </c>
      <c r="AX46">
        <f t="shared" si="13"/>
        <v>0</v>
      </c>
      <c r="AY46">
        <f t="shared" si="13"/>
        <v>0</v>
      </c>
      <c r="AZ46">
        <f t="shared" si="13"/>
        <v>0</v>
      </c>
      <c r="BA46">
        <f t="shared" si="13"/>
        <v>0</v>
      </c>
      <c r="BB46">
        <f t="shared" si="13"/>
        <v>0</v>
      </c>
      <c r="BC46">
        <f t="shared" si="13"/>
        <v>0</v>
      </c>
    </row>
    <row r="47" spans="1:55" x14ac:dyDescent="0.15">
      <c r="C47" t="s">
        <v>3</v>
      </c>
      <c r="D47">
        <v>0</v>
      </c>
      <c r="E47">
        <v>0</v>
      </c>
      <c r="F47" s="7" t="str">
        <f>IF(D47=E47,"n/a",IF(OR(C47="battery electric vehicle",C47="natural gas vehicle",C47="plugin hybrid vehicle"),"s-curve","linear"))</f>
        <v>n/a</v>
      </c>
      <c r="O47" s="22">
        <f t="shared" si="14"/>
        <v>0</v>
      </c>
      <c r="P47">
        <f>IF($F47="s-curve",$D47+($E47-$D47)*$I$2/(1+EXP($I$3*(COUNT($O$9:P$9)+$I$4))),TREND($D47:$E47,$D$9:$E$9,P$9))</f>
        <v>0</v>
      </c>
      <c r="Q47">
        <f>IF($F47="s-curve",$D47+($E47-$D47)*$I$2/(1+EXP($I$3*(COUNT($O$9:Q$9)+$I$4))),TREND($D47:$E47,$D$9:$E$9,Q$9))</f>
        <v>0</v>
      </c>
      <c r="R47">
        <f>IF($F47="s-curve",$D47+($E47-$D47)*$I$2/(1+EXP($I$3*(COUNT($O$9:R$9)+$I$4))),TREND($D47:$E47,$D$9:$E$9,R$9))</f>
        <v>0</v>
      </c>
      <c r="S47">
        <f>IF($F47="s-curve",$D47+($E47-$D47)*$I$2/(1+EXP($I$3*(COUNT($O$9:S$9)+$I$4))),TREND($D47:$E47,$D$9:$E$9,S$9))</f>
        <v>0</v>
      </c>
      <c r="T47">
        <f>IF($F47="s-curve",$D47+($E47-$D47)*$I$2/(1+EXP($I$3*(COUNT($O$9:T$9)+$I$4))),TREND($D47:$E47,$D$9:$E$9,T$9))</f>
        <v>0</v>
      </c>
      <c r="U47">
        <f>IF($F47="s-curve",$D47+($E47-$D47)*$I$2/(1+EXP($I$3*(COUNT($O$9:U$9)+$I$4))),TREND($D47:$E47,$D$9:$E$9,U$9))</f>
        <v>0</v>
      </c>
      <c r="V47">
        <f>IF($F47="s-curve",$D47+($E47-$D47)*$I$2/(1+EXP($I$3*(COUNT($O$9:V$9)+$I$4))),TREND($D47:$E47,$D$9:$E$9,V$9))</f>
        <v>0</v>
      </c>
      <c r="W47">
        <f>IF($F47="s-curve",$D47+($E47-$D47)*$I$2/(1+EXP($I$3*(COUNT($O$9:W$9)+$I$4))),TREND($D47:$E47,$D$9:$E$9,W$9))</f>
        <v>0</v>
      </c>
      <c r="X47">
        <f>IF($F47="s-curve",$D47+($E47-$D47)*$I$2/(1+EXP($I$3*(COUNT($O$9:X$9)+$I$4))),TREND($D47:$E47,$D$9:$E$9,X$9))</f>
        <v>0</v>
      </c>
      <c r="Y47">
        <f>IF($F47="s-curve",$D47+($E47-$D47)*$I$2/(1+EXP($I$3*(COUNT($O$9:Y$9)+$I$4))),TREND($D47:$E47,$D$9:$E$9,Y$9))</f>
        <v>0</v>
      </c>
      <c r="Z47">
        <f>IF($F47="s-curve",$D47+($E47-$D47)*$I$2/(1+EXP($I$3*(COUNT($O$9:Z$9)+$I$4))),TREND($D47:$E47,$D$9:$E$9,Z$9))</f>
        <v>0</v>
      </c>
      <c r="AA47">
        <f>IF($F47="s-curve",$D47+($E47-$D47)*$I$2/(1+EXP($I$3*(COUNT($O$9:AA$9)+$I$4))),TREND($D47:$E47,$D$9:$E$9,AA$9))</f>
        <v>0</v>
      </c>
      <c r="AB47">
        <f>IF($F47="s-curve",$D47+($E47-$D47)*$I$2/(1+EXP($I$3*(COUNT($O$9:AB$9)+$I$4))),TREND($D47:$E47,$D$9:$E$9,AB$9))</f>
        <v>0</v>
      </c>
      <c r="AC47">
        <f>IF($F47="s-curve",$D47+($E47-$D47)*$I$2/(1+EXP($I$3*(COUNT($O$9:AC$9)+$I$4))),TREND($D47:$E47,$D$9:$E$9,AC$9))</f>
        <v>0</v>
      </c>
      <c r="AD47">
        <f>IF($F47="s-curve",$D47+($E47-$D47)*$I$2/(1+EXP($I$3*(COUNT($O$9:AD$9)+$I$4))),TREND($D47:$E47,$D$9:$E$9,AD$9))</f>
        <v>0</v>
      </c>
      <c r="AE47">
        <f>IF($F47="s-curve",$D47+($E47-$D47)*$I$2/(1+EXP($I$3*(COUNT($O$9:AE$9)+$I$4))),TREND($D47:$E47,$D$9:$E$9,AE$9))</f>
        <v>0</v>
      </c>
      <c r="AF47">
        <f>IF($F47="s-curve",$D47+($E47-$D47)*$I$2/(1+EXP($I$3*(COUNT($O$9:AF$9)+$I$4))),TREND($D47:$E47,$D$9:$E$9,AF$9))</f>
        <v>0</v>
      </c>
      <c r="AG47">
        <f>IF($F47="s-curve",$D47+($E47-$D47)*$I$2/(1+EXP($I$3*(COUNT($O$9:AG$9)+$I$4))),TREND($D47:$E47,$D$9:$E$9,AG$9))</f>
        <v>0</v>
      </c>
      <c r="AH47">
        <f>IF($F47="s-curve",$D47+($E47-$D47)*$I$2/(1+EXP($I$3*(COUNT($O$9:AH$9)+$I$4))),TREND($D47:$E47,$D$9:$E$9,AH$9))</f>
        <v>0</v>
      </c>
      <c r="AI47">
        <f>IF($F47="s-curve",$D47+($E47-$D47)*$I$2/(1+EXP($I$3*(COUNT($O$9:AI$9)+$I$4))),TREND($D47:$E47,$D$9:$E$9,AI$9))</f>
        <v>0</v>
      </c>
      <c r="AJ47">
        <f>IF($F47="s-curve",$D47+($E47-$D47)*$I$2/(1+EXP($I$3*(COUNT($O$9:AJ$9)+$I$4))),TREND($D47:$E47,$D$9:$E$9,AJ$9))</f>
        <v>0</v>
      </c>
      <c r="AK47">
        <f>IF($F47="s-curve",$D47+($E47-$D47)*$I$2/(1+EXP($I$3*(COUNT($O$9:AK$9)+$I$4))),TREND($D47:$E47,$D$9:$E$9,AK$9))</f>
        <v>0</v>
      </c>
      <c r="AL47">
        <f>IF($F47="s-curve",$D47+($E47-$D47)*$I$2/(1+EXP($I$3*(COUNT($O$9:AL$9)+$I$4))),TREND($D47:$E47,$D$9:$E$9,AL$9))</f>
        <v>0</v>
      </c>
      <c r="AM47">
        <f>IF($F47="s-curve",$D47+($E47-$D47)*$I$2/(1+EXP($I$3*(COUNT($O$9:AM$9)+$I$4))),TREND($D47:$E47,$D$9:$E$9,AM$9))</f>
        <v>0</v>
      </c>
      <c r="AN47">
        <f>IF($F47="s-curve",$D47+($E47-$D47)*$I$2/(1+EXP($I$3*(COUNT($O$9:AN$9)+$I$4))),TREND($D47:$E47,$D$9:$E$9,AN$9))</f>
        <v>0</v>
      </c>
      <c r="AO47">
        <f>IF($F47="s-curve",$D47+($E47-$D47)*$I$2/(1+EXP($I$3*(COUNT($O$9:AO$9)+$I$4))),TREND($D47:$E47,$D$9:$E$9,AO$9))</f>
        <v>0</v>
      </c>
      <c r="AP47">
        <f>IF($F47="s-curve",$D47+($E47-$D47)*$I$2/(1+EXP($I$3*(COUNT($O$9:AP$9)+$I$4))),TREND($D47:$E47,$D$9:$E$9,AP$9))</f>
        <v>0</v>
      </c>
      <c r="AQ47">
        <f>IF($F47="s-curve",$D47+($E47-$D47)*$I$2/(1+EXP($I$3*(COUNT($O$9:AQ$9)+$I$4))),TREND($D47:$E47,$D$9:$E$9,AQ$9))</f>
        <v>0</v>
      </c>
      <c r="AR47">
        <f>IF($F47="s-curve",$D47+($E47-$D47)*$I$2/(1+EXP($I$3*(COUNT($O$9:AR$9)+$I$4))),TREND($D47:$E47,$D$9:$E$9,AR$9))</f>
        <v>0</v>
      </c>
      <c r="AS47">
        <f>IF($F47="s-curve",$D47+($E47-$D47)*$I$2/(1+EXP($I$3*(COUNT($O$9:AS$9)+$I$4))),TREND($D47:$E47,$D$9:$E$9,AS$9))</f>
        <v>0</v>
      </c>
      <c r="AT47">
        <f t="shared" si="11"/>
        <v>0</v>
      </c>
      <c r="AU47">
        <f t="shared" si="13"/>
        <v>0</v>
      </c>
      <c r="AV47">
        <f t="shared" si="13"/>
        <v>0</v>
      </c>
      <c r="AW47">
        <f t="shared" si="13"/>
        <v>0</v>
      </c>
      <c r="AX47">
        <f t="shared" si="13"/>
        <v>0</v>
      </c>
      <c r="AY47">
        <f t="shared" si="13"/>
        <v>0</v>
      </c>
      <c r="AZ47">
        <f t="shared" si="13"/>
        <v>0</v>
      </c>
      <c r="BA47">
        <f t="shared" si="13"/>
        <v>0</v>
      </c>
      <c r="BB47">
        <f t="shared" si="13"/>
        <v>0</v>
      </c>
      <c r="BC47">
        <f t="shared" si="13"/>
        <v>0</v>
      </c>
    </row>
    <row r="48" spans="1:55" x14ac:dyDescent="0.15">
      <c r="C48" t="s">
        <v>4</v>
      </c>
      <c r="D48">
        <v>1</v>
      </c>
      <c r="E48">
        <v>1</v>
      </c>
      <c r="F48" s="7" t="str">
        <f>IF(D48=E48,"n/a",IF(OR(C48="battery electric vehicle",C48="natural gas vehicle",C48="plugin hybrid vehicle"),"s-curve","linear"))</f>
        <v>n/a</v>
      </c>
      <c r="O48" s="22">
        <f t="shared" si="14"/>
        <v>1</v>
      </c>
      <c r="P48">
        <f>IF($F48="s-curve",$D48+($E48-$D48)*$I$2/(1+EXP($I$3*(COUNT($O$9:P$9)+$I$4))),TREND($D48:$E48,$D$9:$E$9,P$9))</f>
        <v>1</v>
      </c>
      <c r="Q48">
        <f>IF($F48="s-curve",$D48+($E48-$D48)*$I$2/(1+EXP($I$3*(COUNT($O$9:Q$9)+$I$4))),TREND($D48:$E48,$D$9:$E$9,Q$9))</f>
        <v>1</v>
      </c>
      <c r="R48">
        <f>IF($F48="s-curve",$D48+($E48-$D48)*$I$2/(1+EXP($I$3*(COUNT($O$9:R$9)+$I$4))),TREND($D48:$E48,$D$9:$E$9,R$9))</f>
        <v>1</v>
      </c>
      <c r="S48">
        <f>IF($F48="s-curve",$D48+($E48-$D48)*$I$2/(1+EXP($I$3*(COUNT($O$9:S$9)+$I$4))),TREND($D48:$E48,$D$9:$E$9,S$9))</f>
        <v>1</v>
      </c>
      <c r="T48">
        <f>IF($F48="s-curve",$D48+($E48-$D48)*$I$2/(1+EXP($I$3*(COUNT($O$9:T$9)+$I$4))),TREND($D48:$E48,$D$9:$E$9,T$9))</f>
        <v>1</v>
      </c>
      <c r="U48">
        <f>IF($F48="s-curve",$D48+($E48-$D48)*$I$2/(1+EXP($I$3*(COUNT($O$9:U$9)+$I$4))),TREND($D48:$E48,$D$9:$E$9,U$9))</f>
        <v>1</v>
      </c>
      <c r="V48">
        <f>IF($F48="s-curve",$D48+($E48-$D48)*$I$2/(1+EXP($I$3*(COUNT($O$9:V$9)+$I$4))),TREND($D48:$E48,$D$9:$E$9,V$9))</f>
        <v>1</v>
      </c>
      <c r="W48">
        <f>IF($F48="s-curve",$D48+($E48-$D48)*$I$2/(1+EXP($I$3*(COUNT($O$9:W$9)+$I$4))),TREND($D48:$E48,$D$9:$E$9,W$9))</f>
        <v>1</v>
      </c>
      <c r="X48">
        <f>IF($F48="s-curve",$D48+($E48-$D48)*$I$2/(1+EXP($I$3*(COUNT($O$9:X$9)+$I$4))),TREND($D48:$E48,$D$9:$E$9,X$9))</f>
        <v>1</v>
      </c>
      <c r="Y48">
        <f>IF($F48="s-curve",$D48+($E48-$D48)*$I$2/(1+EXP($I$3*(COUNT($O$9:Y$9)+$I$4))),TREND($D48:$E48,$D$9:$E$9,Y$9))</f>
        <v>1</v>
      </c>
      <c r="Z48">
        <f>IF($F48="s-curve",$D48+($E48-$D48)*$I$2/(1+EXP($I$3*(COUNT($O$9:Z$9)+$I$4))),TREND($D48:$E48,$D$9:$E$9,Z$9))</f>
        <v>1</v>
      </c>
      <c r="AA48">
        <f>IF($F48="s-curve",$D48+($E48-$D48)*$I$2/(1+EXP($I$3*(COUNT($O$9:AA$9)+$I$4))),TREND($D48:$E48,$D$9:$E$9,AA$9))</f>
        <v>1</v>
      </c>
      <c r="AB48">
        <f>IF($F48="s-curve",$D48+($E48-$D48)*$I$2/(1+EXP($I$3*(COUNT($O$9:AB$9)+$I$4))),TREND($D48:$E48,$D$9:$E$9,AB$9))</f>
        <v>1</v>
      </c>
      <c r="AC48">
        <f>IF($F48="s-curve",$D48+($E48-$D48)*$I$2/(1+EXP($I$3*(COUNT($O$9:AC$9)+$I$4))),TREND($D48:$E48,$D$9:$E$9,AC$9))</f>
        <v>1</v>
      </c>
      <c r="AD48">
        <f>IF($F48="s-curve",$D48+($E48-$D48)*$I$2/(1+EXP($I$3*(COUNT($O$9:AD$9)+$I$4))),TREND($D48:$E48,$D$9:$E$9,AD$9))</f>
        <v>1</v>
      </c>
      <c r="AE48">
        <f>IF($F48="s-curve",$D48+($E48-$D48)*$I$2/(1+EXP($I$3*(COUNT($O$9:AE$9)+$I$4))),TREND($D48:$E48,$D$9:$E$9,AE$9))</f>
        <v>1</v>
      </c>
      <c r="AF48">
        <f>IF($F48="s-curve",$D48+($E48-$D48)*$I$2/(1+EXP($I$3*(COUNT($O$9:AF$9)+$I$4))),TREND($D48:$E48,$D$9:$E$9,AF$9))</f>
        <v>1</v>
      </c>
      <c r="AG48">
        <f>IF($F48="s-curve",$D48+($E48-$D48)*$I$2/(1+EXP($I$3*(COUNT($O$9:AG$9)+$I$4))),TREND($D48:$E48,$D$9:$E$9,AG$9))</f>
        <v>1</v>
      </c>
      <c r="AH48">
        <f>IF($F48="s-curve",$D48+($E48-$D48)*$I$2/(1+EXP($I$3*(COUNT($O$9:AH$9)+$I$4))),TREND($D48:$E48,$D$9:$E$9,AH$9))</f>
        <v>1</v>
      </c>
      <c r="AI48">
        <f>IF($F48="s-curve",$D48+($E48-$D48)*$I$2/(1+EXP($I$3*(COUNT($O$9:AI$9)+$I$4))),TREND($D48:$E48,$D$9:$E$9,AI$9))</f>
        <v>1</v>
      </c>
      <c r="AJ48">
        <f>IF($F48="s-curve",$D48+($E48-$D48)*$I$2/(1+EXP($I$3*(COUNT($O$9:AJ$9)+$I$4))),TREND($D48:$E48,$D$9:$E$9,AJ$9))</f>
        <v>1</v>
      </c>
      <c r="AK48">
        <f>IF($F48="s-curve",$D48+($E48-$D48)*$I$2/(1+EXP($I$3*(COUNT($O$9:AK$9)+$I$4))),TREND($D48:$E48,$D$9:$E$9,AK$9))</f>
        <v>1</v>
      </c>
      <c r="AL48">
        <f>IF($F48="s-curve",$D48+($E48-$D48)*$I$2/(1+EXP($I$3*(COUNT($O$9:AL$9)+$I$4))),TREND($D48:$E48,$D$9:$E$9,AL$9))</f>
        <v>1</v>
      </c>
      <c r="AM48">
        <f>IF($F48="s-curve",$D48+($E48-$D48)*$I$2/(1+EXP($I$3*(COUNT($O$9:AM$9)+$I$4))),TREND($D48:$E48,$D$9:$E$9,AM$9))</f>
        <v>1</v>
      </c>
      <c r="AN48">
        <f>IF($F48="s-curve",$D48+($E48-$D48)*$I$2/(1+EXP($I$3*(COUNT($O$9:AN$9)+$I$4))),TREND($D48:$E48,$D$9:$E$9,AN$9))</f>
        <v>1</v>
      </c>
      <c r="AO48">
        <f>IF($F48="s-curve",$D48+($E48-$D48)*$I$2/(1+EXP($I$3*(COUNT($O$9:AO$9)+$I$4))),TREND($D48:$E48,$D$9:$E$9,AO$9))</f>
        <v>1</v>
      </c>
      <c r="AP48">
        <f>IF($F48="s-curve",$D48+($E48-$D48)*$I$2/(1+EXP($I$3*(COUNT($O$9:AP$9)+$I$4))),TREND($D48:$E48,$D$9:$E$9,AP$9))</f>
        <v>1</v>
      </c>
      <c r="AQ48">
        <f>IF($F48="s-curve",$D48+($E48-$D48)*$I$2/(1+EXP($I$3*(COUNT($O$9:AQ$9)+$I$4))),TREND($D48:$E48,$D$9:$E$9,AQ$9))</f>
        <v>1</v>
      </c>
      <c r="AR48">
        <f>IF($F48="s-curve",$D48+($E48-$D48)*$I$2/(1+EXP($I$3*(COUNT($O$9:AR$9)+$I$4))),TREND($D48:$E48,$D$9:$E$9,AR$9))</f>
        <v>1</v>
      </c>
      <c r="AS48">
        <f>IF($F48="s-curve",$D48+($E48-$D48)*$I$2/(1+EXP($I$3*(COUNT($O$9:AS$9)+$I$4))),TREND($D48:$E48,$D$9:$E$9,AS$9))</f>
        <v>1</v>
      </c>
      <c r="AT48">
        <f t="shared" si="11"/>
        <v>1</v>
      </c>
      <c r="AU48">
        <f t="shared" si="13"/>
        <v>1</v>
      </c>
      <c r="AV48">
        <f t="shared" si="13"/>
        <v>1</v>
      </c>
      <c r="AW48">
        <f t="shared" si="13"/>
        <v>1</v>
      </c>
      <c r="AX48">
        <f t="shared" si="13"/>
        <v>1</v>
      </c>
      <c r="AY48">
        <f t="shared" si="13"/>
        <v>1</v>
      </c>
      <c r="AZ48">
        <f t="shared" si="13"/>
        <v>1</v>
      </c>
      <c r="BA48">
        <f t="shared" si="13"/>
        <v>1</v>
      </c>
      <c r="BB48">
        <f t="shared" si="13"/>
        <v>1</v>
      </c>
      <c r="BC48">
        <f t="shared" si="13"/>
        <v>1</v>
      </c>
    </row>
    <row r="49" spans="1:55" x14ac:dyDescent="0.15">
      <c r="C49" t="s">
        <v>5</v>
      </c>
      <c r="D49">
        <v>0</v>
      </c>
      <c r="E49">
        <v>0</v>
      </c>
      <c r="F49" s="7" t="str">
        <f>IF(D49=E49,"n/a",IF(OR(C49="battery electric vehicle",C49="natural gas vehicle",C49="plugin hybrid vehicle"),"s-curve","linear"))</f>
        <v>n/a</v>
      </c>
      <c r="O49" s="22">
        <f t="shared" si="14"/>
        <v>0</v>
      </c>
      <c r="P49">
        <f>IF($F49="s-curve",$D49+($E49-$D49)*$I$2/(1+EXP($I$3*(COUNT($O$9:P$9)+$I$4))),TREND($D49:$E49,$D$9:$E$9,P$9))</f>
        <v>0</v>
      </c>
      <c r="Q49">
        <f>IF($F49="s-curve",$D49+($E49-$D49)*$I$2/(1+EXP($I$3*(COUNT($O$9:Q$9)+$I$4))),TREND($D49:$E49,$D$9:$E$9,Q$9))</f>
        <v>0</v>
      </c>
      <c r="R49">
        <f>IF($F49="s-curve",$D49+($E49-$D49)*$I$2/(1+EXP($I$3*(COUNT($O$9:R$9)+$I$4))),TREND($D49:$E49,$D$9:$E$9,R$9))</f>
        <v>0</v>
      </c>
      <c r="S49">
        <f>IF($F49="s-curve",$D49+($E49-$D49)*$I$2/(1+EXP($I$3*(COUNT($O$9:S$9)+$I$4))),TREND($D49:$E49,$D$9:$E$9,S$9))</f>
        <v>0</v>
      </c>
      <c r="T49">
        <f>IF($F49="s-curve",$D49+($E49-$D49)*$I$2/(1+EXP($I$3*(COUNT($O$9:T$9)+$I$4))),TREND($D49:$E49,$D$9:$E$9,T$9))</f>
        <v>0</v>
      </c>
      <c r="U49">
        <f>IF($F49="s-curve",$D49+($E49-$D49)*$I$2/(1+EXP($I$3*(COUNT($O$9:U$9)+$I$4))),TREND($D49:$E49,$D$9:$E$9,U$9))</f>
        <v>0</v>
      </c>
      <c r="V49">
        <f>IF($F49="s-curve",$D49+($E49-$D49)*$I$2/(1+EXP($I$3*(COUNT($O$9:V$9)+$I$4))),TREND($D49:$E49,$D$9:$E$9,V$9))</f>
        <v>0</v>
      </c>
      <c r="W49">
        <f>IF($F49="s-curve",$D49+($E49-$D49)*$I$2/(1+EXP($I$3*(COUNT($O$9:W$9)+$I$4))),TREND($D49:$E49,$D$9:$E$9,W$9))</f>
        <v>0</v>
      </c>
      <c r="X49">
        <f>IF($F49="s-curve",$D49+($E49-$D49)*$I$2/(1+EXP($I$3*(COUNT($O$9:X$9)+$I$4))),TREND($D49:$E49,$D$9:$E$9,X$9))</f>
        <v>0</v>
      </c>
      <c r="Y49">
        <f>IF($F49="s-curve",$D49+($E49-$D49)*$I$2/(1+EXP($I$3*(COUNT($O$9:Y$9)+$I$4))),TREND($D49:$E49,$D$9:$E$9,Y$9))</f>
        <v>0</v>
      </c>
      <c r="Z49">
        <f>IF($F49="s-curve",$D49+($E49-$D49)*$I$2/(1+EXP($I$3*(COUNT($O$9:Z$9)+$I$4))),TREND($D49:$E49,$D$9:$E$9,Z$9))</f>
        <v>0</v>
      </c>
      <c r="AA49">
        <f>IF($F49="s-curve",$D49+($E49-$D49)*$I$2/(1+EXP($I$3*(COUNT($O$9:AA$9)+$I$4))),TREND($D49:$E49,$D$9:$E$9,AA$9))</f>
        <v>0</v>
      </c>
      <c r="AB49">
        <f>IF($F49="s-curve",$D49+($E49-$D49)*$I$2/(1+EXP($I$3*(COUNT($O$9:AB$9)+$I$4))),TREND($D49:$E49,$D$9:$E$9,AB$9))</f>
        <v>0</v>
      </c>
      <c r="AC49">
        <f>IF($F49="s-curve",$D49+($E49-$D49)*$I$2/(1+EXP($I$3*(COUNT($O$9:AC$9)+$I$4))),TREND($D49:$E49,$D$9:$E$9,AC$9))</f>
        <v>0</v>
      </c>
      <c r="AD49">
        <f>IF($F49="s-curve",$D49+($E49-$D49)*$I$2/(1+EXP($I$3*(COUNT($O$9:AD$9)+$I$4))),TREND($D49:$E49,$D$9:$E$9,AD$9))</f>
        <v>0</v>
      </c>
      <c r="AE49">
        <f>IF($F49="s-curve",$D49+($E49-$D49)*$I$2/(1+EXP($I$3*(COUNT($O$9:AE$9)+$I$4))),TREND($D49:$E49,$D$9:$E$9,AE$9))</f>
        <v>0</v>
      </c>
      <c r="AF49">
        <f>IF($F49="s-curve",$D49+($E49-$D49)*$I$2/(1+EXP($I$3*(COUNT($O$9:AF$9)+$I$4))),TREND($D49:$E49,$D$9:$E$9,AF$9))</f>
        <v>0</v>
      </c>
      <c r="AG49">
        <f>IF($F49="s-curve",$D49+($E49-$D49)*$I$2/(1+EXP($I$3*(COUNT($O$9:AG$9)+$I$4))),TREND($D49:$E49,$D$9:$E$9,AG$9))</f>
        <v>0</v>
      </c>
      <c r="AH49">
        <f>IF($F49="s-curve",$D49+($E49-$D49)*$I$2/(1+EXP($I$3*(COUNT($O$9:AH$9)+$I$4))),TREND($D49:$E49,$D$9:$E$9,AH$9))</f>
        <v>0</v>
      </c>
      <c r="AI49">
        <f>IF($F49="s-curve",$D49+($E49-$D49)*$I$2/(1+EXP($I$3*(COUNT($O$9:AI$9)+$I$4))),TREND($D49:$E49,$D$9:$E$9,AI$9))</f>
        <v>0</v>
      </c>
      <c r="AJ49">
        <f>IF($F49="s-curve",$D49+($E49-$D49)*$I$2/(1+EXP($I$3*(COUNT($O$9:AJ$9)+$I$4))),TREND($D49:$E49,$D$9:$E$9,AJ$9))</f>
        <v>0</v>
      </c>
      <c r="AK49">
        <f>IF($F49="s-curve",$D49+($E49-$D49)*$I$2/(1+EXP($I$3*(COUNT($O$9:AK$9)+$I$4))),TREND($D49:$E49,$D$9:$E$9,AK$9))</f>
        <v>0</v>
      </c>
      <c r="AL49">
        <f>IF($F49="s-curve",$D49+($E49-$D49)*$I$2/(1+EXP($I$3*(COUNT($O$9:AL$9)+$I$4))),TREND($D49:$E49,$D$9:$E$9,AL$9))</f>
        <v>0</v>
      </c>
      <c r="AM49">
        <f>IF($F49="s-curve",$D49+($E49-$D49)*$I$2/(1+EXP($I$3*(COUNT($O$9:AM$9)+$I$4))),TREND($D49:$E49,$D$9:$E$9,AM$9))</f>
        <v>0</v>
      </c>
      <c r="AN49">
        <f>IF($F49="s-curve",$D49+($E49-$D49)*$I$2/(1+EXP($I$3*(COUNT($O$9:AN$9)+$I$4))),TREND($D49:$E49,$D$9:$E$9,AN$9))</f>
        <v>0</v>
      </c>
      <c r="AO49">
        <f>IF($F49="s-curve",$D49+($E49-$D49)*$I$2/(1+EXP($I$3*(COUNT($O$9:AO$9)+$I$4))),TREND($D49:$E49,$D$9:$E$9,AO$9))</f>
        <v>0</v>
      </c>
      <c r="AP49">
        <f>IF($F49="s-curve",$D49+($E49-$D49)*$I$2/(1+EXP($I$3*(COUNT($O$9:AP$9)+$I$4))),TREND($D49:$E49,$D$9:$E$9,AP$9))</f>
        <v>0</v>
      </c>
      <c r="AQ49">
        <f>IF($F49="s-curve",$D49+($E49-$D49)*$I$2/(1+EXP($I$3*(COUNT($O$9:AQ$9)+$I$4))),TREND($D49:$E49,$D$9:$E$9,AQ$9))</f>
        <v>0</v>
      </c>
      <c r="AR49">
        <f>IF($F49="s-curve",$D49+($E49-$D49)*$I$2/(1+EXP($I$3*(COUNT($O$9:AR$9)+$I$4))),TREND($D49:$E49,$D$9:$E$9,AR$9))</f>
        <v>0</v>
      </c>
      <c r="AS49">
        <f>IF($F49="s-curve",$D49+($E49-$D49)*$I$2/(1+EXP($I$3*(COUNT($O$9:AS$9)+$I$4))),TREND($D49:$E49,$D$9:$E$9,AS$9))</f>
        <v>0</v>
      </c>
      <c r="AT49">
        <f t="shared" si="11"/>
        <v>0</v>
      </c>
      <c r="AU49">
        <f t="shared" si="13"/>
        <v>0</v>
      </c>
      <c r="AV49">
        <f t="shared" si="13"/>
        <v>0</v>
      </c>
      <c r="AW49">
        <f t="shared" si="13"/>
        <v>0</v>
      </c>
      <c r="AX49">
        <f t="shared" si="13"/>
        <v>0</v>
      </c>
      <c r="AY49">
        <f t="shared" si="13"/>
        <v>0</v>
      </c>
      <c r="AZ49">
        <f t="shared" si="13"/>
        <v>0</v>
      </c>
      <c r="BA49">
        <f t="shared" si="13"/>
        <v>0</v>
      </c>
      <c r="BB49">
        <f t="shared" si="13"/>
        <v>0</v>
      </c>
      <c r="BC49">
        <f t="shared" si="13"/>
        <v>0</v>
      </c>
    </row>
    <row r="50" spans="1:55" x14ac:dyDescent="0.15">
      <c r="C50" t="s">
        <v>125</v>
      </c>
      <c r="D50">
        <v>0</v>
      </c>
      <c r="E50">
        <v>0</v>
      </c>
      <c r="F50" s="7" t="str">
        <f>IF(D50=E50,"n/a",IF(OR(C50="battery electric vehicle",C50="natural gas vehicle",C50="plugin hybrid vehicle",C50="hydrogen vehicle"),"s-curve","linear"))</f>
        <v>n/a</v>
      </c>
      <c r="O50" s="22">
        <f t="shared" si="14"/>
        <v>0</v>
      </c>
      <c r="P50">
        <f>IF($F50="s-curve",$D50+($E50-$D50)*$I$2/(1+EXP($I$3*(COUNT($O$9:P$9)+$I$4))),TREND($D50:$E50,$D$9:$E$9,P$9))</f>
        <v>0</v>
      </c>
      <c r="Q50">
        <f>IF($F50="s-curve",$D50+($E50-$D50)*$I$2/(1+EXP($I$3*(COUNT($O$9:Q$9)+$I$4))),TREND($D50:$E50,$D$9:$E$9,Q$9))</f>
        <v>0</v>
      </c>
      <c r="R50">
        <f>IF($F50="s-curve",$D50+($E50-$D50)*$I$2/(1+EXP($I$3*(COUNT($O$9:R$9)+$I$4))),TREND($D50:$E50,$D$9:$E$9,R$9))</f>
        <v>0</v>
      </c>
      <c r="S50">
        <f>IF($F50="s-curve",$D50+($E50-$D50)*$I$2/(1+EXP($I$3*(COUNT($O$9:S$9)+$I$4))),TREND($D50:$E50,$D$9:$E$9,S$9))</f>
        <v>0</v>
      </c>
      <c r="T50">
        <f>IF($F50="s-curve",$D50+($E50-$D50)*$I$2/(1+EXP($I$3*(COUNT($O$9:T$9)+$I$4))),TREND($D50:$E50,$D$9:$E$9,T$9))</f>
        <v>0</v>
      </c>
      <c r="U50">
        <f>IF($F50="s-curve",$D50+($E50-$D50)*$I$2/(1+EXP($I$3*(COUNT($O$9:U$9)+$I$4))),TREND($D50:$E50,$D$9:$E$9,U$9))</f>
        <v>0</v>
      </c>
      <c r="V50">
        <f>IF($F50="s-curve",$D50+($E50-$D50)*$I$2/(1+EXP($I$3*(COUNT($O$9:V$9)+$I$4))),TREND($D50:$E50,$D$9:$E$9,V$9))</f>
        <v>0</v>
      </c>
      <c r="W50">
        <f>IF($F50="s-curve",$D50+($E50-$D50)*$I$2/(1+EXP($I$3*(COUNT($O$9:W$9)+$I$4))),TREND($D50:$E50,$D$9:$E$9,W$9))</f>
        <v>0</v>
      </c>
      <c r="X50">
        <f>IF($F50="s-curve",$D50+($E50-$D50)*$I$2/(1+EXP($I$3*(COUNT($O$9:X$9)+$I$4))),TREND($D50:$E50,$D$9:$E$9,X$9))</f>
        <v>0</v>
      </c>
      <c r="Y50">
        <f>IF($F50="s-curve",$D50+($E50-$D50)*$I$2/(1+EXP($I$3*(COUNT($O$9:Y$9)+$I$4))),TREND($D50:$E50,$D$9:$E$9,Y$9))</f>
        <v>0</v>
      </c>
      <c r="Z50">
        <f>IF($F50="s-curve",$D50+($E50-$D50)*$I$2/(1+EXP($I$3*(COUNT($O$9:Z$9)+$I$4))),TREND($D50:$E50,$D$9:$E$9,Z$9))</f>
        <v>0</v>
      </c>
      <c r="AA50">
        <f>IF($F50="s-curve",$D50+($E50-$D50)*$I$2/(1+EXP($I$3*(COUNT($O$9:AA$9)+$I$4))),TREND($D50:$E50,$D$9:$E$9,AA$9))</f>
        <v>0</v>
      </c>
      <c r="AB50">
        <f>IF($F50="s-curve",$D50+($E50-$D50)*$I$2/(1+EXP($I$3*(COUNT($O$9:AB$9)+$I$4))),TREND($D50:$E50,$D$9:$E$9,AB$9))</f>
        <v>0</v>
      </c>
      <c r="AC50">
        <f>IF($F50="s-curve",$D50+($E50-$D50)*$I$2/(1+EXP($I$3*(COUNT($O$9:AC$9)+$I$4))),TREND($D50:$E50,$D$9:$E$9,AC$9))</f>
        <v>0</v>
      </c>
      <c r="AD50">
        <f>IF($F50="s-curve",$D50+($E50-$D50)*$I$2/(1+EXP($I$3*(COUNT($O$9:AD$9)+$I$4))),TREND($D50:$E50,$D$9:$E$9,AD$9))</f>
        <v>0</v>
      </c>
      <c r="AE50">
        <f>IF($F50="s-curve",$D50+($E50-$D50)*$I$2/(1+EXP($I$3*(COUNT($O$9:AE$9)+$I$4))),TREND($D50:$E50,$D$9:$E$9,AE$9))</f>
        <v>0</v>
      </c>
      <c r="AF50">
        <f>IF($F50="s-curve",$D50+($E50-$D50)*$I$2/(1+EXP($I$3*(COUNT($O$9:AF$9)+$I$4))),TREND($D50:$E50,$D$9:$E$9,AF$9))</f>
        <v>0</v>
      </c>
      <c r="AG50">
        <f>IF($F50="s-curve",$D50+($E50-$D50)*$I$2/(1+EXP($I$3*(COUNT($O$9:AG$9)+$I$4))),TREND($D50:$E50,$D$9:$E$9,AG$9))</f>
        <v>0</v>
      </c>
      <c r="AH50">
        <f>IF($F50="s-curve",$D50+($E50-$D50)*$I$2/(1+EXP($I$3*(COUNT($O$9:AH$9)+$I$4))),TREND($D50:$E50,$D$9:$E$9,AH$9))</f>
        <v>0</v>
      </c>
      <c r="AI50">
        <f>IF($F50="s-curve",$D50+($E50-$D50)*$I$2/(1+EXP($I$3*(COUNT($O$9:AI$9)+$I$4))),TREND($D50:$E50,$D$9:$E$9,AI$9))</f>
        <v>0</v>
      </c>
      <c r="AJ50">
        <f>IF($F50="s-curve",$D50+($E50-$D50)*$I$2/(1+EXP($I$3*(COUNT($O$9:AJ$9)+$I$4))),TREND($D50:$E50,$D$9:$E$9,AJ$9))</f>
        <v>0</v>
      </c>
      <c r="AK50">
        <f>IF($F50="s-curve",$D50+($E50-$D50)*$I$2/(1+EXP($I$3*(COUNT($O$9:AK$9)+$I$4))),TREND($D50:$E50,$D$9:$E$9,AK$9))</f>
        <v>0</v>
      </c>
      <c r="AL50">
        <f>IF($F50="s-curve",$D50+($E50-$D50)*$I$2/(1+EXP($I$3*(COUNT($O$9:AL$9)+$I$4))),TREND($D50:$E50,$D$9:$E$9,AL$9))</f>
        <v>0</v>
      </c>
      <c r="AM50">
        <f>IF($F50="s-curve",$D50+($E50-$D50)*$I$2/(1+EXP($I$3*(COUNT($O$9:AM$9)+$I$4))),TREND($D50:$E50,$D$9:$E$9,AM$9))</f>
        <v>0</v>
      </c>
      <c r="AN50">
        <f>IF($F50="s-curve",$D50+($E50-$D50)*$I$2/(1+EXP($I$3*(COUNT($O$9:AN$9)+$I$4))),TREND($D50:$E50,$D$9:$E$9,AN$9))</f>
        <v>0</v>
      </c>
      <c r="AO50">
        <f>IF($F50="s-curve",$D50+($E50-$D50)*$I$2/(1+EXP($I$3*(COUNT($O$9:AO$9)+$I$4))),TREND($D50:$E50,$D$9:$E$9,AO$9))</f>
        <v>0</v>
      </c>
      <c r="AP50">
        <f>IF($F50="s-curve",$D50+($E50-$D50)*$I$2/(1+EXP($I$3*(COUNT($O$9:AP$9)+$I$4))),TREND($D50:$E50,$D$9:$E$9,AP$9))</f>
        <v>0</v>
      </c>
      <c r="AQ50">
        <f>IF($F50="s-curve",$D50+($E50-$D50)*$I$2/(1+EXP($I$3*(COUNT($O$9:AQ$9)+$I$4))),TREND($D50:$E50,$D$9:$E$9,AQ$9))</f>
        <v>0</v>
      </c>
      <c r="AR50">
        <f>IF($F50="s-curve",$D50+($E50-$D50)*$I$2/(1+EXP($I$3*(COUNT($O$9:AR$9)+$I$4))),TREND($D50:$E50,$D$9:$E$9,AR$9))</f>
        <v>0</v>
      </c>
      <c r="AS50">
        <f>IF($F50="s-curve",$D50+($E50-$D50)*$I$2/(1+EXP($I$3*(COUNT($O$9:AS$9)+$I$4))),TREND($D50:$E50,$D$9:$E$9,AS$9))</f>
        <v>0</v>
      </c>
      <c r="AT50">
        <f t="shared" si="11"/>
        <v>0</v>
      </c>
      <c r="AU50">
        <f t="shared" si="13"/>
        <v>0</v>
      </c>
      <c r="AV50">
        <f t="shared" si="13"/>
        <v>0</v>
      </c>
      <c r="AW50">
        <f t="shared" si="13"/>
        <v>0</v>
      </c>
      <c r="AX50">
        <f t="shared" si="13"/>
        <v>0</v>
      </c>
      <c r="AY50">
        <f t="shared" si="13"/>
        <v>0</v>
      </c>
      <c r="AZ50">
        <f t="shared" si="13"/>
        <v>0</v>
      </c>
      <c r="BA50">
        <f t="shared" si="13"/>
        <v>0</v>
      </c>
      <c r="BB50">
        <f t="shared" si="13"/>
        <v>0</v>
      </c>
      <c r="BC50">
        <f t="shared" si="13"/>
        <v>0</v>
      </c>
    </row>
    <row r="51" spans="1:55" ht="13.6" thickBot="1" x14ac:dyDescent="0.2">
      <c r="A51" s="23"/>
      <c r="B51" s="23"/>
      <c r="C51" s="23" t="s">
        <v>126</v>
      </c>
      <c r="D51" s="23">
        <v>0</v>
      </c>
      <c r="E51" s="23">
        <v>0</v>
      </c>
      <c r="F51" s="8" t="str">
        <f>IF(D51=E51,"n/a",IF(OR(C51="battery electric vehicle",C51="natural gas vehicle",C51="plugin hybrid vehicle",C51="hydrogen vehicle"),"s-curve","linear"))</f>
        <v>n/a</v>
      </c>
      <c r="O51" s="22">
        <f t="shared" si="14"/>
        <v>0</v>
      </c>
      <c r="P51">
        <f>IF($F51="s-curve",$D51+($E51-$D51)*$I$2/(1+EXP($I$3*(COUNT($O$9:P$9)+$I$4))),TREND($D51:$E51,$D$9:$E$9,P$9))</f>
        <v>0</v>
      </c>
      <c r="Q51">
        <f>IF($F51="s-curve",$D51+($E51-$D51)*$I$2/(1+EXP($I$3*(COUNT($O$9:Q$9)+$I$4))),TREND($D51:$E51,$D$9:$E$9,Q$9))</f>
        <v>0</v>
      </c>
      <c r="R51">
        <f>IF($F51="s-curve",$D51+($E51-$D51)*$I$2/(1+EXP($I$3*(COUNT($O$9:R$9)+$I$4))),TREND($D51:$E51,$D$9:$E$9,R$9))</f>
        <v>0</v>
      </c>
      <c r="S51">
        <f>IF($F51="s-curve",$D51+($E51-$D51)*$I$2/(1+EXP($I$3*(COUNT($O$9:S$9)+$I$4))),TREND($D51:$E51,$D$9:$E$9,S$9))</f>
        <v>0</v>
      </c>
      <c r="T51">
        <f>IF($F51="s-curve",$D51+($E51-$D51)*$I$2/(1+EXP($I$3*(COUNT($O$9:T$9)+$I$4))),TREND($D51:$E51,$D$9:$E$9,T$9))</f>
        <v>0</v>
      </c>
      <c r="U51">
        <f>IF($F51="s-curve",$D51+($E51-$D51)*$I$2/(1+EXP($I$3*(COUNT($O$9:U$9)+$I$4))),TREND($D51:$E51,$D$9:$E$9,U$9))</f>
        <v>0</v>
      </c>
      <c r="V51">
        <f>IF($F51="s-curve",$D51+($E51-$D51)*$I$2/(1+EXP($I$3*(COUNT($O$9:V$9)+$I$4))),TREND($D51:$E51,$D$9:$E$9,V$9))</f>
        <v>0</v>
      </c>
      <c r="W51">
        <f>IF($F51="s-curve",$D51+($E51-$D51)*$I$2/(1+EXP($I$3*(COUNT($O$9:W$9)+$I$4))),TREND($D51:$E51,$D$9:$E$9,W$9))</f>
        <v>0</v>
      </c>
      <c r="X51">
        <f>IF($F51="s-curve",$D51+($E51-$D51)*$I$2/(1+EXP($I$3*(COUNT($O$9:X$9)+$I$4))),TREND($D51:$E51,$D$9:$E$9,X$9))</f>
        <v>0</v>
      </c>
      <c r="Y51">
        <f>IF($F51="s-curve",$D51+($E51-$D51)*$I$2/(1+EXP($I$3*(COUNT($O$9:Y$9)+$I$4))),TREND($D51:$E51,$D$9:$E$9,Y$9))</f>
        <v>0</v>
      </c>
      <c r="Z51">
        <f>IF($F51="s-curve",$D51+($E51-$D51)*$I$2/(1+EXP($I$3*(COUNT($O$9:Z$9)+$I$4))),TREND($D51:$E51,$D$9:$E$9,Z$9))</f>
        <v>0</v>
      </c>
      <c r="AA51">
        <f>IF($F51="s-curve",$D51+($E51-$D51)*$I$2/(1+EXP($I$3*(COUNT($O$9:AA$9)+$I$4))),TREND($D51:$E51,$D$9:$E$9,AA$9))</f>
        <v>0</v>
      </c>
      <c r="AB51">
        <f>IF($F51="s-curve",$D51+($E51-$D51)*$I$2/(1+EXP($I$3*(COUNT($O$9:AB$9)+$I$4))),TREND($D51:$E51,$D$9:$E$9,AB$9))</f>
        <v>0</v>
      </c>
      <c r="AC51">
        <f>IF($F51="s-curve",$D51+($E51-$D51)*$I$2/(1+EXP($I$3*(COUNT($O$9:AC$9)+$I$4))),TREND($D51:$E51,$D$9:$E$9,AC$9))</f>
        <v>0</v>
      </c>
      <c r="AD51">
        <f>IF($F51="s-curve",$D51+($E51-$D51)*$I$2/(1+EXP($I$3*(COUNT($O$9:AD$9)+$I$4))),TREND($D51:$E51,$D$9:$E$9,AD$9))</f>
        <v>0</v>
      </c>
      <c r="AE51">
        <f>IF($F51="s-curve",$D51+($E51-$D51)*$I$2/(1+EXP($I$3*(COUNT($O$9:AE$9)+$I$4))),TREND($D51:$E51,$D$9:$E$9,AE$9))</f>
        <v>0</v>
      </c>
      <c r="AF51">
        <f>IF($F51="s-curve",$D51+($E51-$D51)*$I$2/(1+EXP($I$3*(COUNT($O$9:AF$9)+$I$4))),TREND($D51:$E51,$D$9:$E$9,AF$9))</f>
        <v>0</v>
      </c>
      <c r="AG51">
        <f>IF($F51="s-curve",$D51+($E51-$D51)*$I$2/(1+EXP($I$3*(COUNT($O$9:AG$9)+$I$4))),TREND($D51:$E51,$D$9:$E$9,AG$9))</f>
        <v>0</v>
      </c>
      <c r="AH51">
        <f>IF($F51="s-curve",$D51+($E51-$D51)*$I$2/(1+EXP($I$3*(COUNT($O$9:AH$9)+$I$4))),TREND($D51:$E51,$D$9:$E$9,AH$9))</f>
        <v>0</v>
      </c>
      <c r="AI51">
        <f>IF($F51="s-curve",$D51+($E51-$D51)*$I$2/(1+EXP($I$3*(COUNT($O$9:AI$9)+$I$4))),TREND($D51:$E51,$D$9:$E$9,AI$9))</f>
        <v>0</v>
      </c>
      <c r="AJ51">
        <f>IF($F51="s-curve",$D51+($E51-$D51)*$I$2/(1+EXP($I$3*(COUNT($O$9:AJ$9)+$I$4))),TREND($D51:$E51,$D$9:$E$9,AJ$9))</f>
        <v>0</v>
      </c>
      <c r="AK51">
        <f>IF($F51="s-curve",$D51+($E51-$D51)*$I$2/(1+EXP($I$3*(COUNT($O$9:AK$9)+$I$4))),TREND($D51:$E51,$D$9:$E$9,AK$9))</f>
        <v>0</v>
      </c>
      <c r="AL51">
        <f>IF($F51="s-curve",$D51+($E51-$D51)*$I$2/(1+EXP($I$3*(COUNT($O$9:AL$9)+$I$4))),TREND($D51:$E51,$D$9:$E$9,AL$9))</f>
        <v>0</v>
      </c>
      <c r="AM51">
        <f>IF($F51="s-curve",$D51+($E51-$D51)*$I$2/(1+EXP($I$3*(COUNT($O$9:AM$9)+$I$4))),TREND($D51:$E51,$D$9:$E$9,AM$9))</f>
        <v>0</v>
      </c>
      <c r="AN51">
        <f>IF($F51="s-curve",$D51+($E51-$D51)*$I$2/(1+EXP($I$3*(COUNT($O$9:AN$9)+$I$4))),TREND($D51:$E51,$D$9:$E$9,AN$9))</f>
        <v>0</v>
      </c>
      <c r="AO51">
        <f>IF($F51="s-curve",$D51+($E51-$D51)*$I$2/(1+EXP($I$3*(COUNT($O$9:AO$9)+$I$4))),TREND($D51:$E51,$D$9:$E$9,AO$9))</f>
        <v>0</v>
      </c>
      <c r="AP51">
        <f>IF($F51="s-curve",$D51+($E51-$D51)*$I$2/(1+EXP($I$3*(COUNT($O$9:AP$9)+$I$4))),TREND($D51:$E51,$D$9:$E$9,AP$9))</f>
        <v>0</v>
      </c>
      <c r="AQ51">
        <f>IF($F51="s-curve",$D51+($E51-$D51)*$I$2/(1+EXP($I$3*(COUNT($O$9:AQ$9)+$I$4))),TREND($D51:$E51,$D$9:$E$9,AQ$9))</f>
        <v>0</v>
      </c>
      <c r="AR51">
        <f>IF($F51="s-curve",$D51+($E51-$D51)*$I$2/(1+EXP($I$3*(COUNT($O$9:AR$9)+$I$4))),TREND($D51:$E51,$D$9:$E$9,AR$9))</f>
        <v>0</v>
      </c>
      <c r="AS51">
        <f>IF($F51="s-curve",$D51+($E51-$D51)*$I$2/(1+EXP($I$3*(COUNT($O$9:AS$9)+$I$4))),TREND($D51:$E51,$D$9:$E$9,AS$9))</f>
        <v>0</v>
      </c>
      <c r="AT51">
        <f t="shared" si="11"/>
        <v>0</v>
      </c>
      <c r="AU51">
        <f t="shared" si="13"/>
        <v>0</v>
      </c>
      <c r="AV51">
        <f t="shared" si="13"/>
        <v>0</v>
      </c>
      <c r="AW51">
        <f t="shared" si="13"/>
        <v>0</v>
      </c>
      <c r="AX51">
        <f t="shared" si="13"/>
        <v>0</v>
      </c>
      <c r="AY51">
        <f t="shared" si="13"/>
        <v>0</v>
      </c>
      <c r="AZ51">
        <f t="shared" si="13"/>
        <v>0</v>
      </c>
      <c r="BA51">
        <f t="shared" si="13"/>
        <v>0</v>
      </c>
      <c r="BB51">
        <f t="shared" si="13"/>
        <v>0</v>
      </c>
      <c r="BC51">
        <f t="shared" si="13"/>
        <v>0</v>
      </c>
    </row>
    <row r="52" spans="1:55" x14ac:dyDescent="0.15">
      <c r="A52" t="s">
        <v>15</v>
      </c>
      <c r="B52" t="s">
        <v>19</v>
      </c>
      <c r="C52" t="s">
        <v>1</v>
      </c>
      <c r="D52" s="22">
        <f>'SYVbT-passenger'!B5/SUM('SYVbT-passenger'!B5:H5)</f>
        <v>0.95789473684109694</v>
      </c>
      <c r="E52">
        <v>1</v>
      </c>
      <c r="F52" s="7" t="str">
        <f>IF(D52=E52,"n/a",IF(OR(C52="battery electric vehicle",C52="natural gas vehicle",C52="plugin hybrid vehicle"),"s-curve","linear"))</f>
        <v>s-curve</v>
      </c>
      <c r="O52" s="22">
        <f t="shared" si="14"/>
        <v>0.95789473684109694</v>
      </c>
      <c r="P52">
        <f>IF($F52="s-curve",$D52+($E52-$D52)*$I$2/(1+EXP($I$3*(COUNT($O$9:P$9)+$I$4))),TREND($D52:$E52,$D$9:$E$9,P$9))</f>
        <v>0.95873011813518338</v>
      </c>
      <c r="Q52">
        <f>IF($F52="s-curve",$D52+($E52-$D52)*$I$2/(1+EXP($I$3*(COUNT($O$9:Q$9)+$I$4))),TREND($D52:$E52,$D$9:$E$9,Q$9))</f>
        <v>0.95901461025488655</v>
      </c>
      <c r="R52">
        <f>IF($F52="s-curve",$D52+($E52-$D52)*$I$2/(1+EXP($I$3*(COUNT($O$9:R$9)+$I$4))),TREND($D52:$E52,$D$9:$E$9,R$9))</f>
        <v>0.95939247112629644</v>
      </c>
      <c r="S52">
        <f>IF($F52="s-curve",$D52+($E52-$D52)*$I$2/(1+EXP($I$3*(COUNT($O$9:S$9)+$I$4))),TREND($D52:$E52,$D$9:$E$9,S$9))</f>
        <v>0.95989161571177917</v>
      </c>
      <c r="T52">
        <f>IF($F52="s-curve",$D52+($E52-$D52)*$I$2/(1+EXP($I$3*(COUNT($O$9:T$9)+$I$4))),TREND($D52:$E52,$D$9:$E$9,T$9))</f>
        <v>0.96054624656987608</v>
      </c>
      <c r="U52">
        <f>IF($F52="s-curve",$D52+($E52-$D52)*$I$2/(1+EXP($I$3*(COUNT($O$9:U$9)+$I$4))),TREND($D52:$E52,$D$9:$E$9,U$9))</f>
        <v>0.96139674511460915</v>
      </c>
      <c r="V52">
        <f>IF($F52="s-curve",$D52+($E52-$D52)*$I$2/(1+EXP($I$3*(COUNT($O$9:V$9)+$I$4))),TREND($D52:$E52,$D$9:$E$9,V$9))</f>
        <v>0.96248828720733803</v>
      </c>
      <c r="W52">
        <f>IF($F52="s-curve",$D52+($E52-$D52)*$I$2/(1+EXP($I$3*(COUNT($O$9:W$9)+$I$4))),TREND($D52:$E52,$D$9:$E$9,W$9))</f>
        <v>0.96386741325810266</v>
      </c>
      <c r="X52">
        <f>IF($F52="s-curve",$D52+($E52-$D52)*$I$2/(1+EXP($I$3*(COUNT($O$9:X$9)+$I$4))),TREND($D52:$E52,$D$9:$E$9,X$9))</f>
        <v>0.96557581152786431</v>
      </c>
      <c r="Y52">
        <f>IF($F52="s-curve",$D52+($E52-$D52)*$I$2/(1+EXP($I$3*(COUNT($O$9:Y$9)+$I$4))),TREND($D52:$E52,$D$9:$E$9,Y$9))</f>
        <v>0.96764106174663489</v>
      </c>
      <c r="Z52">
        <f>IF($F52="s-curve",$D52+($E52-$D52)*$I$2/(1+EXP($I$3*(COUNT($O$9:Z$9)+$I$4))),TREND($D52:$E52,$D$9:$E$9,Z$9))</f>
        <v>0.97006528409928294</v>
      </c>
      <c r="AA52">
        <f>IF($F52="s-curve",$D52+($E52-$D52)*$I$2/(1+EXP($I$3*(COUNT($O$9:AA$9)+$I$4))),TREND($D52:$E52,$D$9:$E$9,AA$9))</f>
        <v>0.97281447131615761</v>
      </c>
      <c r="AB52">
        <f>IF($F52="s-curve",$D52+($E52-$D52)*$I$2/(1+EXP($I$3*(COUNT($O$9:AB$9)+$I$4))),TREND($D52:$E52,$D$9:$E$9,AB$9))</f>
        <v>0.97581294665998253</v>
      </c>
      <c r="AC52">
        <f>IF($F52="s-curve",$D52+($E52-$D52)*$I$2/(1+EXP($I$3*(COUNT($O$9:AC$9)+$I$4))),TREND($D52:$E52,$D$9:$E$9,AC$9))</f>
        <v>0.97894736842054852</v>
      </c>
      <c r="AD52">
        <f>IF($F52="s-curve",$D52+($E52-$D52)*$I$2/(1+EXP($I$3*(COUNT($O$9:AD$9)+$I$4))),TREND($D52:$E52,$D$9:$E$9,AD$9))</f>
        <v>0.98208179018111441</v>
      </c>
      <c r="AE52">
        <f>IF($F52="s-curve",$D52+($E52-$D52)*$I$2/(1+EXP($I$3*(COUNT($O$9:AE$9)+$I$4))),TREND($D52:$E52,$D$9:$E$9,AE$9))</f>
        <v>0.98508026552493932</v>
      </c>
      <c r="AF52">
        <f>IF($F52="s-curve",$D52+($E52-$D52)*$I$2/(1+EXP($I$3*(COUNT($O$9:AF$9)+$I$4))),TREND($D52:$E52,$D$9:$E$9,AF$9))</f>
        <v>0.987829452741814</v>
      </c>
      <c r="AG52">
        <f>IF($F52="s-curve",$D52+($E52-$D52)*$I$2/(1+EXP($I$3*(COUNT($O$9:AG$9)+$I$4))),TREND($D52:$E52,$D$9:$E$9,AG$9))</f>
        <v>0.99025367509446205</v>
      </c>
      <c r="AH52">
        <f>IF($F52="s-curve",$D52+($E52-$D52)*$I$2/(1+EXP($I$3*(COUNT($O$9:AH$9)+$I$4))),TREND($D52:$E52,$D$9:$E$9,AH$9))</f>
        <v>0.99231892531323262</v>
      </c>
      <c r="AI52">
        <f>IF($F52="s-curve",$D52+($E52-$D52)*$I$2/(1+EXP($I$3*(COUNT($O$9:AI$9)+$I$4))),TREND($D52:$E52,$D$9:$E$9,AI$9))</f>
        <v>0.99402732358299428</v>
      </c>
      <c r="AJ52">
        <f>IF($F52="s-curve",$D52+($E52-$D52)*$I$2/(1+EXP($I$3*(COUNT($O$9:AJ$9)+$I$4))),TREND($D52:$E52,$D$9:$E$9,AJ$9))</f>
        <v>0.99540644963375891</v>
      </c>
      <c r="AK52">
        <f>IF($F52="s-curve",$D52+($E52-$D52)*$I$2/(1+EXP($I$3*(COUNT($O$9:AK$9)+$I$4))),TREND($D52:$E52,$D$9:$E$9,AK$9))</f>
        <v>0.99649799172648779</v>
      </c>
      <c r="AL52">
        <f>IF($F52="s-curve",$D52+($E52-$D52)*$I$2/(1+EXP($I$3*(COUNT($O$9:AL$9)+$I$4))),TREND($D52:$E52,$D$9:$E$9,AL$9))</f>
        <v>0.99734849027122086</v>
      </c>
      <c r="AM52">
        <f>IF($F52="s-curve",$D52+($E52-$D52)*$I$2/(1+EXP($I$3*(COUNT($O$9:AM$9)+$I$4))),TREND($D52:$E52,$D$9:$E$9,AM$9))</f>
        <v>0.99800312112931777</v>
      </c>
      <c r="AN52">
        <f>IF($F52="s-curve",$D52+($E52-$D52)*$I$2/(1+EXP($I$3*(COUNT($O$9:AN$9)+$I$4))),TREND($D52:$E52,$D$9:$E$9,AN$9))</f>
        <v>0.9985022657148005</v>
      </c>
      <c r="AO52">
        <f>IF($F52="s-curve",$D52+($E52-$D52)*$I$2/(1+EXP($I$3*(COUNT($O$9:AO$9)+$I$4))),TREND($D52:$E52,$D$9:$E$9,AO$9))</f>
        <v>0.99888012658621039</v>
      </c>
      <c r="AP52">
        <f>IF($F52="s-curve",$D52+($E52-$D52)*$I$2/(1+EXP($I$3*(COUNT($O$9:AP$9)+$I$4))),TREND($D52:$E52,$D$9:$E$9,AP$9))</f>
        <v>0.99916461870591355</v>
      </c>
      <c r="AQ52">
        <f>IF($F52="s-curve",$D52+($E52-$D52)*$I$2/(1+EXP($I$3*(COUNT($O$9:AQ$9)+$I$4))),TREND($D52:$E52,$D$9:$E$9,AQ$9))</f>
        <v>0.99937793550763676</v>
      </c>
      <c r="AR52">
        <f>IF($F52="s-curve",$D52+($E52-$D52)*$I$2/(1+EXP($I$3*(COUNT($O$9:AR$9)+$I$4))),TREND($D52:$E52,$D$9:$E$9,AR$9))</f>
        <v>0.99953739188922708</v>
      </c>
      <c r="AS52">
        <f>IF($F52="s-curve",$D52+($E52-$D52)*$I$2/(1+EXP($I$3*(COUNT($O$9:AS$9)+$I$4))),TREND($D52:$E52,$D$9:$E$9,AS$9))</f>
        <v>0.99965631279354294</v>
      </c>
      <c r="AT52">
        <f t="shared" si="11"/>
        <v>0.99965631279354294</v>
      </c>
      <c r="AU52">
        <f t="shared" si="13"/>
        <v>0.99965631279354294</v>
      </c>
      <c r="AV52">
        <f t="shared" si="13"/>
        <v>0.99965631279354294</v>
      </c>
      <c r="AW52">
        <f t="shared" si="13"/>
        <v>0.99965631279354294</v>
      </c>
      <c r="AX52">
        <f t="shared" si="13"/>
        <v>0.99965631279354294</v>
      </c>
      <c r="AY52">
        <f t="shared" si="13"/>
        <v>0.99965631279354294</v>
      </c>
      <c r="AZ52">
        <f t="shared" si="13"/>
        <v>0.99965631279354294</v>
      </c>
      <c r="BA52">
        <f t="shared" si="13"/>
        <v>0.99965631279354294</v>
      </c>
      <c r="BB52">
        <f t="shared" si="13"/>
        <v>0.99965631279354294</v>
      </c>
      <c r="BC52">
        <f t="shared" si="13"/>
        <v>0.99965631279354294</v>
      </c>
    </row>
    <row r="53" spans="1:55" x14ac:dyDescent="0.15">
      <c r="C53" t="s">
        <v>2</v>
      </c>
      <c r="D53">
        <v>0</v>
      </c>
      <c r="E53">
        <v>0</v>
      </c>
      <c r="F53" s="7" t="str">
        <f>IF(D53=E53,"n/a",IF(OR(C53="battery electric vehicle",C53="natural gas vehicle",C53="plugin hybrid vehicle"),"s-curve","linear"))</f>
        <v>n/a</v>
      </c>
      <c r="O53" s="22">
        <f t="shared" si="14"/>
        <v>0</v>
      </c>
      <c r="P53">
        <f>IF($F53="s-curve",$D53+($E53-$D53)*$I$2/(1+EXP($I$3*(COUNT($O$9:P$9)+$I$4))),TREND($D53:$E53,$D$9:$E$9,P$9))</f>
        <v>0</v>
      </c>
      <c r="Q53">
        <f>IF($F53="s-curve",$D53+($E53-$D53)*$I$2/(1+EXP($I$3*(COUNT($O$9:Q$9)+$I$4))),TREND($D53:$E53,$D$9:$E$9,Q$9))</f>
        <v>0</v>
      </c>
      <c r="R53">
        <f>IF($F53="s-curve",$D53+($E53-$D53)*$I$2/(1+EXP($I$3*(COUNT($O$9:R$9)+$I$4))),TREND($D53:$E53,$D$9:$E$9,R$9))</f>
        <v>0</v>
      </c>
      <c r="S53">
        <f>IF($F53="s-curve",$D53+($E53-$D53)*$I$2/(1+EXP($I$3*(COUNT($O$9:S$9)+$I$4))),TREND($D53:$E53,$D$9:$E$9,S$9))</f>
        <v>0</v>
      </c>
      <c r="T53">
        <f>IF($F53="s-curve",$D53+($E53-$D53)*$I$2/(1+EXP($I$3*(COUNT($O$9:T$9)+$I$4))),TREND($D53:$E53,$D$9:$E$9,T$9))</f>
        <v>0</v>
      </c>
      <c r="U53">
        <f>IF($F53="s-curve",$D53+($E53-$D53)*$I$2/(1+EXP($I$3*(COUNT($O$9:U$9)+$I$4))),TREND($D53:$E53,$D$9:$E$9,U$9))</f>
        <v>0</v>
      </c>
      <c r="V53">
        <f>IF($F53="s-curve",$D53+($E53-$D53)*$I$2/(1+EXP($I$3*(COUNT($O$9:V$9)+$I$4))),TREND($D53:$E53,$D$9:$E$9,V$9))</f>
        <v>0</v>
      </c>
      <c r="W53">
        <f>IF($F53="s-curve",$D53+($E53-$D53)*$I$2/(1+EXP($I$3*(COUNT($O$9:W$9)+$I$4))),TREND($D53:$E53,$D$9:$E$9,W$9))</f>
        <v>0</v>
      </c>
      <c r="X53">
        <f>IF($F53="s-curve",$D53+($E53-$D53)*$I$2/(1+EXP($I$3*(COUNT($O$9:X$9)+$I$4))),TREND($D53:$E53,$D$9:$E$9,X$9))</f>
        <v>0</v>
      </c>
      <c r="Y53">
        <f>IF($F53="s-curve",$D53+($E53-$D53)*$I$2/(1+EXP($I$3*(COUNT($O$9:Y$9)+$I$4))),TREND($D53:$E53,$D$9:$E$9,Y$9))</f>
        <v>0</v>
      </c>
      <c r="Z53">
        <f>IF($F53="s-curve",$D53+($E53-$D53)*$I$2/(1+EXP($I$3*(COUNT($O$9:Z$9)+$I$4))),TREND($D53:$E53,$D$9:$E$9,Z$9))</f>
        <v>0</v>
      </c>
      <c r="AA53">
        <f>IF($F53="s-curve",$D53+($E53-$D53)*$I$2/(1+EXP($I$3*(COUNT($O$9:AA$9)+$I$4))),TREND($D53:$E53,$D$9:$E$9,AA$9))</f>
        <v>0</v>
      </c>
      <c r="AB53">
        <f>IF($F53="s-curve",$D53+($E53-$D53)*$I$2/(1+EXP($I$3*(COUNT($O$9:AB$9)+$I$4))),TREND($D53:$E53,$D$9:$E$9,AB$9))</f>
        <v>0</v>
      </c>
      <c r="AC53">
        <f>IF($F53="s-curve",$D53+($E53-$D53)*$I$2/(1+EXP($I$3*(COUNT($O$9:AC$9)+$I$4))),TREND($D53:$E53,$D$9:$E$9,AC$9))</f>
        <v>0</v>
      </c>
      <c r="AD53">
        <f>IF($F53="s-curve",$D53+($E53-$D53)*$I$2/(1+EXP($I$3*(COUNT($O$9:AD$9)+$I$4))),TREND($D53:$E53,$D$9:$E$9,AD$9))</f>
        <v>0</v>
      </c>
      <c r="AE53">
        <f>IF($F53="s-curve",$D53+($E53-$D53)*$I$2/(1+EXP($I$3*(COUNT($O$9:AE$9)+$I$4))),TREND($D53:$E53,$D$9:$E$9,AE$9))</f>
        <v>0</v>
      </c>
      <c r="AF53">
        <f>IF($F53="s-curve",$D53+($E53-$D53)*$I$2/(1+EXP($I$3*(COUNT($O$9:AF$9)+$I$4))),TREND($D53:$E53,$D$9:$E$9,AF$9))</f>
        <v>0</v>
      </c>
      <c r="AG53">
        <f>IF($F53="s-curve",$D53+($E53-$D53)*$I$2/(1+EXP($I$3*(COUNT($O$9:AG$9)+$I$4))),TREND($D53:$E53,$D$9:$E$9,AG$9))</f>
        <v>0</v>
      </c>
      <c r="AH53">
        <f>IF($F53="s-curve",$D53+($E53-$D53)*$I$2/(1+EXP($I$3*(COUNT($O$9:AH$9)+$I$4))),TREND($D53:$E53,$D$9:$E$9,AH$9))</f>
        <v>0</v>
      </c>
      <c r="AI53">
        <f>IF($F53="s-curve",$D53+($E53-$D53)*$I$2/(1+EXP($I$3*(COUNT($O$9:AI$9)+$I$4))),TREND($D53:$E53,$D$9:$E$9,AI$9))</f>
        <v>0</v>
      </c>
      <c r="AJ53">
        <f>IF($F53="s-curve",$D53+($E53-$D53)*$I$2/(1+EXP($I$3*(COUNT($O$9:AJ$9)+$I$4))),TREND($D53:$E53,$D$9:$E$9,AJ$9))</f>
        <v>0</v>
      </c>
      <c r="AK53">
        <f>IF($F53="s-curve",$D53+($E53-$D53)*$I$2/(1+EXP($I$3*(COUNT($O$9:AK$9)+$I$4))),TREND($D53:$E53,$D$9:$E$9,AK$9))</f>
        <v>0</v>
      </c>
      <c r="AL53">
        <f>IF($F53="s-curve",$D53+($E53-$D53)*$I$2/(1+EXP($I$3*(COUNT($O$9:AL$9)+$I$4))),TREND($D53:$E53,$D$9:$E$9,AL$9))</f>
        <v>0</v>
      </c>
      <c r="AM53">
        <f>IF($F53="s-curve",$D53+($E53-$D53)*$I$2/(1+EXP($I$3*(COUNT($O$9:AM$9)+$I$4))),TREND($D53:$E53,$D$9:$E$9,AM$9))</f>
        <v>0</v>
      </c>
      <c r="AN53">
        <f>IF($F53="s-curve",$D53+($E53-$D53)*$I$2/(1+EXP($I$3*(COUNT($O$9:AN$9)+$I$4))),TREND($D53:$E53,$D$9:$E$9,AN$9))</f>
        <v>0</v>
      </c>
      <c r="AO53">
        <f>IF($F53="s-curve",$D53+($E53-$D53)*$I$2/(1+EXP($I$3*(COUNT($O$9:AO$9)+$I$4))),TREND($D53:$E53,$D$9:$E$9,AO$9))</f>
        <v>0</v>
      </c>
      <c r="AP53">
        <f>IF($F53="s-curve",$D53+($E53-$D53)*$I$2/(1+EXP($I$3*(COUNT($O$9:AP$9)+$I$4))),TREND($D53:$E53,$D$9:$E$9,AP$9))</f>
        <v>0</v>
      </c>
      <c r="AQ53">
        <f>IF($F53="s-curve",$D53+($E53-$D53)*$I$2/(1+EXP($I$3*(COUNT($O$9:AQ$9)+$I$4))),TREND($D53:$E53,$D$9:$E$9,AQ$9))</f>
        <v>0</v>
      </c>
      <c r="AR53">
        <f>IF($F53="s-curve",$D53+($E53-$D53)*$I$2/(1+EXP($I$3*(COUNT($O$9:AR$9)+$I$4))),TREND($D53:$E53,$D$9:$E$9,AR$9))</f>
        <v>0</v>
      </c>
      <c r="AS53">
        <f>IF($F53="s-curve",$D53+($E53-$D53)*$I$2/(1+EXP($I$3*(COUNT($O$9:AS$9)+$I$4))),TREND($D53:$E53,$D$9:$E$9,AS$9))</f>
        <v>0</v>
      </c>
      <c r="AT53">
        <f t="shared" si="11"/>
        <v>0</v>
      </c>
      <c r="AU53">
        <f t="shared" si="13"/>
        <v>0</v>
      </c>
      <c r="AV53">
        <f t="shared" si="13"/>
        <v>0</v>
      </c>
      <c r="AW53">
        <f t="shared" si="13"/>
        <v>0</v>
      </c>
      <c r="AX53">
        <f t="shared" si="13"/>
        <v>0</v>
      </c>
      <c r="AY53">
        <f t="shared" si="13"/>
        <v>0</v>
      </c>
      <c r="AZ53">
        <f t="shared" si="13"/>
        <v>0</v>
      </c>
      <c r="BA53">
        <f t="shared" si="13"/>
        <v>0</v>
      </c>
      <c r="BB53">
        <f t="shared" si="13"/>
        <v>0</v>
      </c>
      <c r="BC53">
        <f t="shared" si="13"/>
        <v>0</v>
      </c>
    </row>
    <row r="54" spans="1:55" x14ac:dyDescent="0.15">
      <c r="C54" t="s">
        <v>3</v>
      </c>
      <c r="D54">
        <v>0</v>
      </c>
      <c r="E54">
        <v>0</v>
      </c>
      <c r="F54" s="7" t="str">
        <f>IF(D54=E54,"n/a",IF(OR(C54="battery electric vehicle",C54="natural gas vehicle",C54="plugin hybrid vehicle"),"s-curve","linear"))</f>
        <v>n/a</v>
      </c>
      <c r="O54" s="22">
        <f t="shared" si="14"/>
        <v>0</v>
      </c>
      <c r="P54">
        <f>IF($F54="s-curve",$D54+($E54-$D54)*$I$2/(1+EXP($I$3*(COUNT($O$9:P$9)+$I$4))),TREND($D54:$E54,$D$9:$E$9,P$9))</f>
        <v>0</v>
      </c>
      <c r="Q54">
        <f>IF($F54="s-curve",$D54+($E54-$D54)*$I$2/(1+EXP($I$3*(COUNT($O$9:Q$9)+$I$4))),TREND($D54:$E54,$D$9:$E$9,Q$9))</f>
        <v>0</v>
      </c>
      <c r="R54">
        <f>IF($F54="s-curve",$D54+($E54-$D54)*$I$2/(1+EXP($I$3*(COUNT($O$9:R$9)+$I$4))),TREND($D54:$E54,$D$9:$E$9,R$9))</f>
        <v>0</v>
      </c>
      <c r="S54">
        <f>IF($F54="s-curve",$D54+($E54-$D54)*$I$2/(1+EXP($I$3*(COUNT($O$9:S$9)+$I$4))),TREND($D54:$E54,$D$9:$E$9,S$9))</f>
        <v>0</v>
      </c>
      <c r="T54">
        <f>IF($F54="s-curve",$D54+($E54-$D54)*$I$2/(1+EXP($I$3*(COUNT($O$9:T$9)+$I$4))),TREND($D54:$E54,$D$9:$E$9,T$9))</f>
        <v>0</v>
      </c>
      <c r="U54">
        <f>IF($F54="s-curve",$D54+($E54-$D54)*$I$2/(1+EXP($I$3*(COUNT($O$9:U$9)+$I$4))),TREND($D54:$E54,$D$9:$E$9,U$9))</f>
        <v>0</v>
      </c>
      <c r="V54">
        <f>IF($F54="s-curve",$D54+($E54-$D54)*$I$2/(1+EXP($I$3*(COUNT($O$9:V$9)+$I$4))),TREND($D54:$E54,$D$9:$E$9,V$9))</f>
        <v>0</v>
      </c>
      <c r="W54">
        <f>IF($F54="s-curve",$D54+($E54-$D54)*$I$2/(1+EXP($I$3*(COUNT($O$9:W$9)+$I$4))),TREND($D54:$E54,$D$9:$E$9,W$9))</f>
        <v>0</v>
      </c>
      <c r="X54">
        <f>IF($F54="s-curve",$D54+($E54-$D54)*$I$2/(1+EXP($I$3*(COUNT($O$9:X$9)+$I$4))),TREND($D54:$E54,$D$9:$E$9,X$9))</f>
        <v>0</v>
      </c>
      <c r="Y54">
        <f>IF($F54="s-curve",$D54+($E54-$D54)*$I$2/(1+EXP($I$3*(COUNT($O$9:Y$9)+$I$4))),TREND($D54:$E54,$D$9:$E$9,Y$9))</f>
        <v>0</v>
      </c>
      <c r="Z54">
        <f>IF($F54="s-curve",$D54+($E54-$D54)*$I$2/(1+EXP($I$3*(COUNT($O$9:Z$9)+$I$4))),TREND($D54:$E54,$D$9:$E$9,Z$9))</f>
        <v>0</v>
      </c>
      <c r="AA54">
        <f>IF($F54="s-curve",$D54+($E54-$D54)*$I$2/(1+EXP($I$3*(COUNT($O$9:AA$9)+$I$4))),TREND($D54:$E54,$D$9:$E$9,AA$9))</f>
        <v>0</v>
      </c>
      <c r="AB54">
        <f>IF($F54="s-curve",$D54+($E54-$D54)*$I$2/(1+EXP($I$3*(COUNT($O$9:AB$9)+$I$4))),TREND($D54:$E54,$D$9:$E$9,AB$9))</f>
        <v>0</v>
      </c>
      <c r="AC54">
        <f>IF($F54="s-curve",$D54+($E54-$D54)*$I$2/(1+EXP($I$3*(COUNT($O$9:AC$9)+$I$4))),TREND($D54:$E54,$D$9:$E$9,AC$9))</f>
        <v>0</v>
      </c>
      <c r="AD54">
        <f>IF($F54="s-curve",$D54+($E54-$D54)*$I$2/(1+EXP($I$3*(COUNT($O$9:AD$9)+$I$4))),TREND($D54:$E54,$D$9:$E$9,AD$9))</f>
        <v>0</v>
      </c>
      <c r="AE54">
        <f>IF($F54="s-curve",$D54+($E54-$D54)*$I$2/(1+EXP($I$3*(COUNT($O$9:AE$9)+$I$4))),TREND($D54:$E54,$D$9:$E$9,AE$9))</f>
        <v>0</v>
      </c>
      <c r="AF54">
        <f>IF($F54="s-curve",$D54+($E54-$D54)*$I$2/(1+EXP($I$3*(COUNT($O$9:AF$9)+$I$4))),TREND($D54:$E54,$D$9:$E$9,AF$9))</f>
        <v>0</v>
      </c>
      <c r="AG54">
        <f>IF($F54="s-curve",$D54+($E54-$D54)*$I$2/(1+EXP($I$3*(COUNT($O$9:AG$9)+$I$4))),TREND($D54:$E54,$D$9:$E$9,AG$9))</f>
        <v>0</v>
      </c>
      <c r="AH54">
        <f>IF($F54="s-curve",$D54+($E54-$D54)*$I$2/(1+EXP($I$3*(COUNT($O$9:AH$9)+$I$4))),TREND($D54:$E54,$D$9:$E$9,AH$9))</f>
        <v>0</v>
      </c>
      <c r="AI54">
        <f>IF($F54="s-curve",$D54+($E54-$D54)*$I$2/(1+EXP($I$3*(COUNT($O$9:AI$9)+$I$4))),TREND($D54:$E54,$D$9:$E$9,AI$9))</f>
        <v>0</v>
      </c>
      <c r="AJ54">
        <f>IF($F54="s-curve",$D54+($E54-$D54)*$I$2/(1+EXP($I$3*(COUNT($O$9:AJ$9)+$I$4))),TREND($D54:$E54,$D$9:$E$9,AJ$9))</f>
        <v>0</v>
      </c>
      <c r="AK54">
        <f>IF($F54="s-curve",$D54+($E54-$D54)*$I$2/(1+EXP($I$3*(COUNT($O$9:AK$9)+$I$4))),TREND($D54:$E54,$D$9:$E$9,AK$9))</f>
        <v>0</v>
      </c>
      <c r="AL54">
        <f>IF($F54="s-curve",$D54+($E54-$D54)*$I$2/(1+EXP($I$3*(COUNT($O$9:AL$9)+$I$4))),TREND($D54:$E54,$D$9:$E$9,AL$9))</f>
        <v>0</v>
      </c>
      <c r="AM54">
        <f>IF($F54="s-curve",$D54+($E54-$D54)*$I$2/(1+EXP($I$3*(COUNT($O$9:AM$9)+$I$4))),TREND($D54:$E54,$D$9:$E$9,AM$9))</f>
        <v>0</v>
      </c>
      <c r="AN54">
        <f>IF($F54="s-curve",$D54+($E54-$D54)*$I$2/(1+EXP($I$3*(COUNT($O$9:AN$9)+$I$4))),TREND($D54:$E54,$D$9:$E$9,AN$9))</f>
        <v>0</v>
      </c>
      <c r="AO54">
        <f>IF($F54="s-curve",$D54+($E54-$D54)*$I$2/(1+EXP($I$3*(COUNT($O$9:AO$9)+$I$4))),TREND($D54:$E54,$D$9:$E$9,AO$9))</f>
        <v>0</v>
      </c>
      <c r="AP54">
        <f>IF($F54="s-curve",$D54+($E54-$D54)*$I$2/(1+EXP($I$3*(COUNT($O$9:AP$9)+$I$4))),TREND($D54:$E54,$D$9:$E$9,AP$9))</f>
        <v>0</v>
      </c>
      <c r="AQ54">
        <f>IF($F54="s-curve",$D54+($E54-$D54)*$I$2/(1+EXP($I$3*(COUNT($O$9:AQ$9)+$I$4))),TREND($D54:$E54,$D$9:$E$9,AQ$9))</f>
        <v>0</v>
      </c>
      <c r="AR54">
        <f>IF($F54="s-curve",$D54+($E54-$D54)*$I$2/(1+EXP($I$3*(COUNT($O$9:AR$9)+$I$4))),TREND($D54:$E54,$D$9:$E$9,AR$9))</f>
        <v>0</v>
      </c>
      <c r="AS54">
        <f>IF($F54="s-curve",$D54+($E54-$D54)*$I$2/(1+EXP($I$3*(COUNT($O$9:AS$9)+$I$4))),TREND($D54:$E54,$D$9:$E$9,AS$9))</f>
        <v>0</v>
      </c>
      <c r="AT54">
        <f t="shared" si="11"/>
        <v>0</v>
      </c>
      <c r="AU54">
        <f t="shared" si="13"/>
        <v>0</v>
      </c>
      <c r="AV54">
        <f t="shared" si="13"/>
        <v>0</v>
      </c>
      <c r="AW54">
        <f t="shared" si="13"/>
        <v>0</v>
      </c>
      <c r="AX54">
        <f t="shared" si="13"/>
        <v>0</v>
      </c>
      <c r="AY54">
        <f t="shared" si="13"/>
        <v>0</v>
      </c>
      <c r="AZ54">
        <f t="shared" si="13"/>
        <v>0</v>
      </c>
      <c r="BA54">
        <f t="shared" si="13"/>
        <v>0</v>
      </c>
      <c r="BB54">
        <f t="shared" si="13"/>
        <v>0</v>
      </c>
      <c r="BC54">
        <f t="shared" si="13"/>
        <v>0</v>
      </c>
    </row>
    <row r="55" spans="1:55" x14ac:dyDescent="0.15">
      <c r="C55" t="s">
        <v>4</v>
      </c>
      <c r="D55" s="22">
        <f>1-D52</f>
        <v>4.2105263158903061E-2</v>
      </c>
      <c r="E55">
        <v>1</v>
      </c>
      <c r="F55" s="7" t="str">
        <f>IF(D55=E55,"n/a",IF(OR(C55="battery electric vehicle",C55="natural gas vehicle",C55="plugin hybrid vehicle"),"s-curve","linear"))</f>
        <v>linear</v>
      </c>
      <c r="O55" s="22">
        <f t="shared" si="14"/>
        <v>4.2105263158903061E-2</v>
      </c>
      <c r="P55">
        <f>IF($F55="s-curve",$D55+($E55-$D55)*$I$2/(1+EXP($I$3*(COUNT($O$9:P$9)+$I$4))),TREND($D55:$E55,$D$9:$E$9,P$9))</f>
        <v>7.4035087720275783E-2</v>
      </c>
      <c r="Q55">
        <f>IF($F55="s-curve",$D55+($E55-$D55)*$I$2/(1+EXP($I$3*(COUNT($O$9:Q$9)+$I$4))),TREND($D55:$E55,$D$9:$E$9,Q$9))</f>
        <v>0.1059649122816495</v>
      </c>
      <c r="R55">
        <f>IF($F55="s-curve",$D55+($E55-$D55)*$I$2/(1+EXP($I$3*(COUNT($O$9:R$9)+$I$4))),TREND($D55:$E55,$D$9:$E$9,R$9))</f>
        <v>0.13789473684302322</v>
      </c>
      <c r="S55">
        <f>IF($F55="s-curve",$D55+($E55-$D55)*$I$2/(1+EXP($I$3*(COUNT($O$9:S$9)+$I$4))),TREND($D55:$E55,$D$9:$E$9,S$9))</f>
        <v>0.16982456140438273</v>
      </c>
      <c r="T55">
        <f>IF($F55="s-curve",$D55+($E55-$D55)*$I$2/(1+EXP($I$3*(COUNT($O$9:T$9)+$I$4))),TREND($D55:$E55,$D$9:$E$9,T$9))</f>
        <v>0.20175438596575646</v>
      </c>
      <c r="U55">
        <f>IF($F55="s-curve",$D55+($E55-$D55)*$I$2/(1+EXP($I$3*(COUNT($O$9:U$9)+$I$4))),TREND($D55:$E55,$D$9:$E$9,U$9))</f>
        <v>0.23368421052713018</v>
      </c>
      <c r="V55">
        <f>IF($F55="s-curve",$D55+($E55-$D55)*$I$2/(1+EXP($I$3*(COUNT($O$9:V$9)+$I$4))),TREND($D55:$E55,$D$9:$E$9,V$9))</f>
        <v>0.2656140350885039</v>
      </c>
      <c r="W55">
        <f>IF($F55="s-curve",$D55+($E55-$D55)*$I$2/(1+EXP($I$3*(COUNT($O$9:W$9)+$I$4))),TREND($D55:$E55,$D$9:$E$9,W$9))</f>
        <v>0.29754385964986341</v>
      </c>
      <c r="X55">
        <f>IF($F55="s-curve",$D55+($E55-$D55)*$I$2/(1+EXP($I$3*(COUNT($O$9:X$9)+$I$4))),TREND($D55:$E55,$D$9:$E$9,X$9))</f>
        <v>0.32947368421123713</v>
      </c>
      <c r="Y55">
        <f>IF($F55="s-curve",$D55+($E55-$D55)*$I$2/(1+EXP($I$3*(COUNT($O$9:Y$9)+$I$4))),TREND($D55:$E55,$D$9:$E$9,Y$9))</f>
        <v>0.36140350877261085</v>
      </c>
      <c r="Z55">
        <f>IF($F55="s-curve",$D55+($E55-$D55)*$I$2/(1+EXP($I$3*(COUNT($O$9:Z$9)+$I$4))),TREND($D55:$E55,$D$9:$E$9,Z$9))</f>
        <v>0.39333333333398457</v>
      </c>
      <c r="AA55">
        <f>IF($F55="s-curve",$D55+($E55-$D55)*$I$2/(1+EXP($I$3*(COUNT($O$9:AA$9)+$I$4))),TREND($D55:$E55,$D$9:$E$9,AA$9))</f>
        <v>0.42526315789534408</v>
      </c>
      <c r="AB55">
        <f>IF($F55="s-curve",$D55+($E55-$D55)*$I$2/(1+EXP($I$3*(COUNT($O$9:AB$9)+$I$4))),TREND($D55:$E55,$D$9:$E$9,AB$9))</f>
        <v>0.4571929824567178</v>
      </c>
      <c r="AC55">
        <f>IF($F55="s-curve",$D55+($E55-$D55)*$I$2/(1+EXP($I$3*(COUNT($O$9:AC$9)+$I$4))),TREND($D55:$E55,$D$9:$E$9,AC$9))</f>
        <v>0.48912280701809152</v>
      </c>
      <c r="AD55">
        <f>IF($F55="s-curve",$D55+($E55-$D55)*$I$2/(1+EXP($I$3*(COUNT($O$9:AD$9)+$I$4))),TREND($D55:$E55,$D$9:$E$9,AD$9))</f>
        <v>0.52105263157945103</v>
      </c>
      <c r="AE55">
        <f>IF($F55="s-curve",$D55+($E55-$D55)*$I$2/(1+EXP($I$3*(COUNT($O$9:AE$9)+$I$4))),TREND($D55:$E55,$D$9:$E$9,AE$9))</f>
        <v>0.55298245614082475</v>
      </c>
      <c r="AF55">
        <f>IF($F55="s-curve",$D55+($E55-$D55)*$I$2/(1+EXP($I$3*(COUNT($O$9:AF$9)+$I$4))),TREND($D55:$E55,$D$9:$E$9,AF$9))</f>
        <v>0.58491228070219847</v>
      </c>
      <c r="AG55">
        <f>IF($F55="s-curve",$D55+($E55-$D55)*$I$2/(1+EXP($I$3*(COUNT($O$9:AG$9)+$I$4))),TREND($D55:$E55,$D$9:$E$9,AG$9))</f>
        <v>0.61684210526357219</v>
      </c>
      <c r="AH55">
        <f>IF($F55="s-curve",$D55+($E55-$D55)*$I$2/(1+EXP($I$3*(COUNT($O$9:AH$9)+$I$4))),TREND($D55:$E55,$D$9:$E$9,AH$9))</f>
        <v>0.6487719298249317</v>
      </c>
      <c r="AI55">
        <f>IF($F55="s-curve",$D55+($E55-$D55)*$I$2/(1+EXP($I$3*(COUNT($O$9:AI$9)+$I$4))),TREND($D55:$E55,$D$9:$E$9,AI$9))</f>
        <v>0.68070175438630542</v>
      </c>
      <c r="AJ55">
        <f>IF($F55="s-curve",$D55+($E55-$D55)*$I$2/(1+EXP($I$3*(COUNT($O$9:AJ$9)+$I$4))),TREND($D55:$E55,$D$9:$E$9,AJ$9))</f>
        <v>0.71263157894767915</v>
      </c>
      <c r="AK55">
        <f>IF($F55="s-curve",$D55+($E55-$D55)*$I$2/(1+EXP($I$3*(COUNT($O$9:AK$9)+$I$4))),TREND($D55:$E55,$D$9:$E$9,AK$9))</f>
        <v>0.74456140350905287</v>
      </c>
      <c r="AL55">
        <f>IF($F55="s-curve",$D55+($E55-$D55)*$I$2/(1+EXP($I$3*(COUNT($O$9:AL$9)+$I$4))),TREND($D55:$E55,$D$9:$E$9,AL$9))</f>
        <v>0.77649122807041238</v>
      </c>
      <c r="AM55">
        <f>IF($F55="s-curve",$D55+($E55-$D55)*$I$2/(1+EXP($I$3*(COUNT($O$9:AM$9)+$I$4))),TREND($D55:$E55,$D$9:$E$9,AM$9))</f>
        <v>0.8084210526317861</v>
      </c>
      <c r="AN55">
        <f>IF($F55="s-curve",$D55+($E55-$D55)*$I$2/(1+EXP($I$3*(COUNT($O$9:AN$9)+$I$4))),TREND($D55:$E55,$D$9:$E$9,AN$9))</f>
        <v>0.84035087719315982</v>
      </c>
      <c r="AO55">
        <f>IF($F55="s-curve",$D55+($E55-$D55)*$I$2/(1+EXP($I$3*(COUNT($O$9:AO$9)+$I$4))),TREND($D55:$E55,$D$9:$E$9,AO$9))</f>
        <v>0.87228070175453354</v>
      </c>
      <c r="AP55">
        <f>IF($F55="s-curve",$D55+($E55-$D55)*$I$2/(1+EXP($I$3*(COUNT($O$9:AP$9)+$I$4))),TREND($D55:$E55,$D$9:$E$9,AP$9))</f>
        <v>0.90421052631589305</v>
      </c>
      <c r="AQ55">
        <f>IF($F55="s-curve",$D55+($E55-$D55)*$I$2/(1+EXP($I$3*(COUNT($O$9:AQ$9)+$I$4))),TREND($D55:$E55,$D$9:$E$9,AQ$9))</f>
        <v>0.93614035087726677</v>
      </c>
      <c r="AR55">
        <f>IF($F55="s-curve",$D55+($E55-$D55)*$I$2/(1+EXP($I$3*(COUNT($O$9:AR$9)+$I$4))),TREND($D55:$E55,$D$9:$E$9,AR$9))</f>
        <v>0.96807017543864049</v>
      </c>
      <c r="AS55">
        <f>IF($F55="s-curve",$D55+($E55-$D55)*$I$2/(1+EXP($I$3*(COUNT($O$9:AS$9)+$I$4))),TREND($D55:$E55,$D$9:$E$9,AS$9))</f>
        <v>1</v>
      </c>
      <c r="AT55">
        <f t="shared" si="11"/>
        <v>1</v>
      </c>
      <c r="AU55">
        <f t="shared" si="13"/>
        <v>1</v>
      </c>
      <c r="AV55">
        <f t="shared" si="13"/>
        <v>1</v>
      </c>
      <c r="AW55">
        <f t="shared" si="13"/>
        <v>1</v>
      </c>
      <c r="AX55">
        <f t="shared" si="13"/>
        <v>1</v>
      </c>
      <c r="AY55">
        <f t="shared" si="13"/>
        <v>1</v>
      </c>
      <c r="AZ55">
        <f t="shared" si="13"/>
        <v>1</v>
      </c>
      <c r="BA55">
        <f t="shared" si="13"/>
        <v>1</v>
      </c>
      <c r="BB55">
        <f t="shared" si="13"/>
        <v>1</v>
      </c>
      <c r="BC55">
        <f t="shared" si="13"/>
        <v>1</v>
      </c>
    </row>
    <row r="56" spans="1:55" x14ac:dyDescent="0.15">
      <c r="C56" t="s">
        <v>5</v>
      </c>
      <c r="D56">
        <v>0</v>
      </c>
      <c r="E56">
        <v>0</v>
      </c>
      <c r="F56" s="7" t="str">
        <f>IF(D56=E56,"n/a",IF(OR(C56="battery electric vehicle",C56="natural gas vehicle",C56="plugin hybrid vehicle"),"s-curve","linear"))</f>
        <v>n/a</v>
      </c>
      <c r="O56" s="22">
        <f t="shared" si="14"/>
        <v>0</v>
      </c>
      <c r="P56">
        <f>IF($F56="s-curve",$D56+($E56-$D56)*$I$2/(1+EXP($I$3*(COUNT($O$9:P$9)+$I$4))),TREND($D56:$E56,$D$9:$E$9,P$9))</f>
        <v>0</v>
      </c>
      <c r="Q56">
        <f>IF($F56="s-curve",$D56+($E56-$D56)*$I$2/(1+EXP($I$3*(COUNT($O$9:Q$9)+$I$4))),TREND($D56:$E56,$D$9:$E$9,Q$9))</f>
        <v>0</v>
      </c>
      <c r="R56">
        <f>IF($F56="s-curve",$D56+($E56-$D56)*$I$2/(1+EXP($I$3*(COUNT($O$9:R$9)+$I$4))),TREND($D56:$E56,$D$9:$E$9,R$9))</f>
        <v>0</v>
      </c>
      <c r="S56">
        <f>IF($F56="s-curve",$D56+($E56-$D56)*$I$2/(1+EXP($I$3*(COUNT($O$9:S$9)+$I$4))),TREND($D56:$E56,$D$9:$E$9,S$9))</f>
        <v>0</v>
      </c>
      <c r="T56">
        <f>IF($F56="s-curve",$D56+($E56-$D56)*$I$2/(1+EXP($I$3*(COUNT($O$9:T$9)+$I$4))),TREND($D56:$E56,$D$9:$E$9,T$9))</f>
        <v>0</v>
      </c>
      <c r="U56">
        <f>IF($F56="s-curve",$D56+($E56-$D56)*$I$2/(1+EXP($I$3*(COUNT($O$9:U$9)+$I$4))),TREND($D56:$E56,$D$9:$E$9,U$9))</f>
        <v>0</v>
      </c>
      <c r="V56">
        <f>IF($F56="s-curve",$D56+($E56-$D56)*$I$2/(1+EXP($I$3*(COUNT($O$9:V$9)+$I$4))),TREND($D56:$E56,$D$9:$E$9,V$9))</f>
        <v>0</v>
      </c>
      <c r="W56">
        <f>IF($F56="s-curve",$D56+($E56-$D56)*$I$2/(1+EXP($I$3*(COUNT($O$9:W$9)+$I$4))),TREND($D56:$E56,$D$9:$E$9,W$9))</f>
        <v>0</v>
      </c>
      <c r="X56">
        <f>IF($F56="s-curve",$D56+($E56-$D56)*$I$2/(1+EXP($I$3*(COUNT($O$9:X$9)+$I$4))),TREND($D56:$E56,$D$9:$E$9,X$9))</f>
        <v>0</v>
      </c>
      <c r="Y56">
        <f>IF($F56="s-curve",$D56+($E56-$D56)*$I$2/(1+EXP($I$3*(COUNT($O$9:Y$9)+$I$4))),TREND($D56:$E56,$D$9:$E$9,Y$9))</f>
        <v>0</v>
      </c>
      <c r="Z56">
        <f>IF($F56="s-curve",$D56+($E56-$D56)*$I$2/(1+EXP($I$3*(COUNT($O$9:Z$9)+$I$4))),TREND($D56:$E56,$D$9:$E$9,Z$9))</f>
        <v>0</v>
      </c>
      <c r="AA56">
        <f>IF($F56="s-curve",$D56+($E56-$D56)*$I$2/(1+EXP($I$3*(COUNT($O$9:AA$9)+$I$4))),TREND($D56:$E56,$D$9:$E$9,AA$9))</f>
        <v>0</v>
      </c>
      <c r="AB56">
        <f>IF($F56="s-curve",$D56+($E56-$D56)*$I$2/(1+EXP($I$3*(COUNT($O$9:AB$9)+$I$4))),TREND($D56:$E56,$D$9:$E$9,AB$9))</f>
        <v>0</v>
      </c>
      <c r="AC56">
        <f>IF($F56="s-curve",$D56+($E56-$D56)*$I$2/(1+EXP($I$3*(COUNT($O$9:AC$9)+$I$4))),TREND($D56:$E56,$D$9:$E$9,AC$9))</f>
        <v>0</v>
      </c>
      <c r="AD56">
        <f>IF($F56="s-curve",$D56+($E56-$D56)*$I$2/(1+EXP($I$3*(COUNT($O$9:AD$9)+$I$4))),TREND($D56:$E56,$D$9:$E$9,AD$9))</f>
        <v>0</v>
      </c>
      <c r="AE56">
        <f>IF($F56="s-curve",$D56+($E56-$D56)*$I$2/(1+EXP($I$3*(COUNT($O$9:AE$9)+$I$4))),TREND($D56:$E56,$D$9:$E$9,AE$9))</f>
        <v>0</v>
      </c>
      <c r="AF56">
        <f>IF($F56="s-curve",$D56+($E56-$D56)*$I$2/(1+EXP($I$3*(COUNT($O$9:AF$9)+$I$4))),TREND($D56:$E56,$D$9:$E$9,AF$9))</f>
        <v>0</v>
      </c>
      <c r="AG56">
        <f>IF($F56="s-curve",$D56+($E56-$D56)*$I$2/(1+EXP($I$3*(COUNT($O$9:AG$9)+$I$4))),TREND($D56:$E56,$D$9:$E$9,AG$9))</f>
        <v>0</v>
      </c>
      <c r="AH56">
        <f>IF($F56="s-curve",$D56+($E56-$D56)*$I$2/(1+EXP($I$3*(COUNT($O$9:AH$9)+$I$4))),TREND($D56:$E56,$D$9:$E$9,AH$9))</f>
        <v>0</v>
      </c>
      <c r="AI56">
        <f>IF($F56="s-curve",$D56+($E56-$D56)*$I$2/(1+EXP($I$3*(COUNT($O$9:AI$9)+$I$4))),TREND($D56:$E56,$D$9:$E$9,AI$9))</f>
        <v>0</v>
      </c>
      <c r="AJ56">
        <f>IF($F56="s-curve",$D56+($E56-$D56)*$I$2/(1+EXP($I$3*(COUNT($O$9:AJ$9)+$I$4))),TREND($D56:$E56,$D$9:$E$9,AJ$9))</f>
        <v>0</v>
      </c>
      <c r="AK56">
        <f>IF($F56="s-curve",$D56+($E56-$D56)*$I$2/(1+EXP($I$3*(COUNT($O$9:AK$9)+$I$4))),TREND($D56:$E56,$D$9:$E$9,AK$9))</f>
        <v>0</v>
      </c>
      <c r="AL56">
        <f>IF($F56="s-curve",$D56+($E56-$D56)*$I$2/(1+EXP($I$3*(COUNT($O$9:AL$9)+$I$4))),TREND($D56:$E56,$D$9:$E$9,AL$9))</f>
        <v>0</v>
      </c>
      <c r="AM56">
        <f>IF($F56="s-curve",$D56+($E56-$D56)*$I$2/(1+EXP($I$3*(COUNT($O$9:AM$9)+$I$4))),TREND($D56:$E56,$D$9:$E$9,AM$9))</f>
        <v>0</v>
      </c>
      <c r="AN56">
        <f>IF($F56="s-curve",$D56+($E56-$D56)*$I$2/(1+EXP($I$3*(COUNT($O$9:AN$9)+$I$4))),TREND($D56:$E56,$D$9:$E$9,AN$9))</f>
        <v>0</v>
      </c>
      <c r="AO56">
        <f>IF($F56="s-curve",$D56+($E56-$D56)*$I$2/(1+EXP($I$3*(COUNT($O$9:AO$9)+$I$4))),TREND($D56:$E56,$D$9:$E$9,AO$9))</f>
        <v>0</v>
      </c>
      <c r="AP56">
        <f>IF($F56="s-curve",$D56+($E56-$D56)*$I$2/(1+EXP($I$3*(COUNT($O$9:AP$9)+$I$4))),TREND($D56:$E56,$D$9:$E$9,AP$9))</f>
        <v>0</v>
      </c>
      <c r="AQ56">
        <f>IF($F56="s-curve",$D56+($E56-$D56)*$I$2/(1+EXP($I$3*(COUNT($O$9:AQ$9)+$I$4))),TREND($D56:$E56,$D$9:$E$9,AQ$9))</f>
        <v>0</v>
      </c>
      <c r="AR56">
        <f>IF($F56="s-curve",$D56+($E56-$D56)*$I$2/(1+EXP($I$3*(COUNT($O$9:AR$9)+$I$4))),TREND($D56:$E56,$D$9:$E$9,AR$9))</f>
        <v>0</v>
      </c>
      <c r="AS56">
        <f>IF($F56="s-curve",$D56+($E56-$D56)*$I$2/(1+EXP($I$3*(COUNT($O$9:AS$9)+$I$4))),TREND($D56:$E56,$D$9:$E$9,AS$9))</f>
        <v>0</v>
      </c>
      <c r="AT56">
        <f t="shared" si="11"/>
        <v>0</v>
      </c>
      <c r="AU56">
        <f t="shared" si="13"/>
        <v>0</v>
      </c>
      <c r="AV56">
        <f t="shared" si="13"/>
        <v>0</v>
      </c>
      <c r="AW56">
        <f t="shared" si="13"/>
        <v>0</v>
      </c>
      <c r="AX56">
        <f t="shared" si="13"/>
        <v>0</v>
      </c>
      <c r="AY56">
        <f t="shared" si="13"/>
        <v>0</v>
      </c>
      <c r="AZ56">
        <f t="shared" si="13"/>
        <v>0</v>
      </c>
      <c r="BA56">
        <f t="shared" si="13"/>
        <v>0</v>
      </c>
      <c r="BB56">
        <f t="shared" si="13"/>
        <v>0</v>
      </c>
      <c r="BC56">
        <f t="shared" si="13"/>
        <v>0</v>
      </c>
    </row>
    <row r="57" spans="1:55" x14ac:dyDescent="0.15">
      <c r="C57" t="s">
        <v>125</v>
      </c>
      <c r="D57">
        <v>0</v>
      </c>
      <c r="E57">
        <v>0</v>
      </c>
      <c r="F57" s="7" t="str">
        <f>IF(D57=E57,"n/a",IF(OR(C57="battery electric vehicle",C57="natural gas vehicle",C57="plugin hybrid vehicle",C57="hydrogen vehicle"),"s-curve","linear"))</f>
        <v>n/a</v>
      </c>
      <c r="O57" s="22">
        <f t="shared" si="14"/>
        <v>0</v>
      </c>
      <c r="P57">
        <f>IF($F57="s-curve",$D57+($E57-$D57)*$I$2/(1+EXP($I$3*(COUNT($O$9:P$9)+$I$4))),TREND($D57:$E57,$D$9:$E$9,P$9))</f>
        <v>0</v>
      </c>
      <c r="Q57">
        <f>IF($F57="s-curve",$D57+($E57-$D57)*$I$2/(1+EXP($I$3*(COUNT($O$9:Q$9)+$I$4))),TREND($D57:$E57,$D$9:$E$9,Q$9))</f>
        <v>0</v>
      </c>
      <c r="R57">
        <f>IF($F57="s-curve",$D57+($E57-$D57)*$I$2/(1+EXP($I$3*(COUNT($O$9:R$9)+$I$4))),TREND($D57:$E57,$D$9:$E$9,R$9))</f>
        <v>0</v>
      </c>
      <c r="S57">
        <f>IF($F57="s-curve",$D57+($E57-$D57)*$I$2/(1+EXP($I$3*(COUNT($O$9:S$9)+$I$4))),TREND($D57:$E57,$D$9:$E$9,S$9))</f>
        <v>0</v>
      </c>
      <c r="T57">
        <f>IF($F57="s-curve",$D57+($E57-$D57)*$I$2/(1+EXP($I$3*(COUNT($O$9:T$9)+$I$4))),TREND($D57:$E57,$D$9:$E$9,T$9))</f>
        <v>0</v>
      </c>
      <c r="U57">
        <f>IF($F57="s-curve",$D57+($E57-$D57)*$I$2/(1+EXP($I$3*(COUNT($O$9:U$9)+$I$4))),TREND($D57:$E57,$D$9:$E$9,U$9))</f>
        <v>0</v>
      </c>
      <c r="V57">
        <f>IF($F57="s-curve",$D57+($E57-$D57)*$I$2/(1+EXP($I$3*(COUNT($O$9:V$9)+$I$4))),TREND($D57:$E57,$D$9:$E$9,V$9))</f>
        <v>0</v>
      </c>
      <c r="W57">
        <f>IF($F57="s-curve",$D57+($E57-$D57)*$I$2/(1+EXP($I$3*(COUNT($O$9:W$9)+$I$4))),TREND($D57:$E57,$D$9:$E$9,W$9))</f>
        <v>0</v>
      </c>
      <c r="X57">
        <f>IF($F57="s-curve",$D57+($E57-$D57)*$I$2/(1+EXP($I$3*(COUNT($O$9:X$9)+$I$4))),TREND($D57:$E57,$D$9:$E$9,X$9))</f>
        <v>0</v>
      </c>
      <c r="Y57">
        <f>IF($F57="s-curve",$D57+($E57-$D57)*$I$2/(1+EXP($I$3*(COUNT($O$9:Y$9)+$I$4))),TREND($D57:$E57,$D$9:$E$9,Y$9))</f>
        <v>0</v>
      </c>
      <c r="Z57">
        <f>IF($F57="s-curve",$D57+($E57-$D57)*$I$2/(1+EXP($I$3*(COUNT($O$9:Z$9)+$I$4))),TREND($D57:$E57,$D$9:$E$9,Z$9))</f>
        <v>0</v>
      </c>
      <c r="AA57">
        <f>IF($F57="s-curve",$D57+($E57-$D57)*$I$2/(1+EXP($I$3*(COUNT($O$9:AA$9)+$I$4))),TREND($D57:$E57,$D$9:$E$9,AA$9))</f>
        <v>0</v>
      </c>
      <c r="AB57">
        <f>IF($F57="s-curve",$D57+($E57-$D57)*$I$2/(1+EXP($I$3*(COUNT($O$9:AB$9)+$I$4))),TREND($D57:$E57,$D$9:$E$9,AB$9))</f>
        <v>0</v>
      </c>
      <c r="AC57">
        <f>IF($F57="s-curve",$D57+($E57-$D57)*$I$2/(1+EXP($I$3*(COUNT($O$9:AC$9)+$I$4))),TREND($D57:$E57,$D$9:$E$9,AC$9))</f>
        <v>0</v>
      </c>
      <c r="AD57">
        <f>IF($F57="s-curve",$D57+($E57-$D57)*$I$2/(1+EXP($I$3*(COUNT($O$9:AD$9)+$I$4))),TREND($D57:$E57,$D$9:$E$9,AD$9))</f>
        <v>0</v>
      </c>
      <c r="AE57">
        <f>IF($F57="s-curve",$D57+($E57-$D57)*$I$2/(1+EXP($I$3*(COUNT($O$9:AE$9)+$I$4))),TREND($D57:$E57,$D$9:$E$9,AE$9))</f>
        <v>0</v>
      </c>
      <c r="AF57">
        <f>IF($F57="s-curve",$D57+($E57-$D57)*$I$2/(1+EXP($I$3*(COUNT($O$9:AF$9)+$I$4))),TREND($D57:$E57,$D$9:$E$9,AF$9))</f>
        <v>0</v>
      </c>
      <c r="AG57">
        <f>IF($F57="s-curve",$D57+($E57-$D57)*$I$2/(1+EXP($I$3*(COUNT($O$9:AG$9)+$I$4))),TREND($D57:$E57,$D$9:$E$9,AG$9))</f>
        <v>0</v>
      </c>
      <c r="AH57">
        <f>IF($F57="s-curve",$D57+($E57-$D57)*$I$2/(1+EXP($I$3*(COUNT($O$9:AH$9)+$I$4))),TREND($D57:$E57,$D$9:$E$9,AH$9))</f>
        <v>0</v>
      </c>
      <c r="AI57">
        <f>IF($F57="s-curve",$D57+($E57-$D57)*$I$2/(1+EXP($I$3*(COUNT($O$9:AI$9)+$I$4))),TREND($D57:$E57,$D$9:$E$9,AI$9))</f>
        <v>0</v>
      </c>
      <c r="AJ57">
        <f>IF($F57="s-curve",$D57+($E57-$D57)*$I$2/(1+EXP($I$3*(COUNT($O$9:AJ$9)+$I$4))),TREND($D57:$E57,$D$9:$E$9,AJ$9))</f>
        <v>0</v>
      </c>
      <c r="AK57">
        <f>IF($F57="s-curve",$D57+($E57-$D57)*$I$2/(1+EXP($I$3*(COUNT($O$9:AK$9)+$I$4))),TREND($D57:$E57,$D$9:$E$9,AK$9))</f>
        <v>0</v>
      </c>
      <c r="AL57">
        <f>IF($F57="s-curve",$D57+($E57-$D57)*$I$2/(1+EXP($I$3*(COUNT($O$9:AL$9)+$I$4))),TREND($D57:$E57,$D$9:$E$9,AL$9))</f>
        <v>0</v>
      </c>
      <c r="AM57">
        <f>IF($F57="s-curve",$D57+($E57-$D57)*$I$2/(1+EXP($I$3*(COUNT($O$9:AM$9)+$I$4))),TREND($D57:$E57,$D$9:$E$9,AM$9))</f>
        <v>0</v>
      </c>
      <c r="AN57">
        <f>IF($F57="s-curve",$D57+($E57-$D57)*$I$2/(1+EXP($I$3*(COUNT($O$9:AN$9)+$I$4))),TREND($D57:$E57,$D$9:$E$9,AN$9))</f>
        <v>0</v>
      </c>
      <c r="AO57">
        <f>IF($F57="s-curve",$D57+($E57-$D57)*$I$2/(1+EXP($I$3*(COUNT($O$9:AO$9)+$I$4))),TREND($D57:$E57,$D$9:$E$9,AO$9))</f>
        <v>0</v>
      </c>
      <c r="AP57">
        <f>IF($F57="s-curve",$D57+($E57-$D57)*$I$2/(1+EXP($I$3*(COUNT($O$9:AP$9)+$I$4))),TREND($D57:$E57,$D$9:$E$9,AP$9))</f>
        <v>0</v>
      </c>
      <c r="AQ57">
        <f>IF($F57="s-curve",$D57+($E57-$D57)*$I$2/(1+EXP($I$3*(COUNT($O$9:AQ$9)+$I$4))),TREND($D57:$E57,$D$9:$E$9,AQ$9))</f>
        <v>0</v>
      </c>
      <c r="AR57">
        <f>IF($F57="s-curve",$D57+($E57-$D57)*$I$2/(1+EXP($I$3*(COUNT($O$9:AR$9)+$I$4))),TREND($D57:$E57,$D$9:$E$9,AR$9))</f>
        <v>0</v>
      </c>
      <c r="AS57">
        <f>IF($F57="s-curve",$D57+($E57-$D57)*$I$2/(1+EXP($I$3*(COUNT($O$9:AS$9)+$I$4))),TREND($D57:$E57,$D$9:$E$9,AS$9))</f>
        <v>0</v>
      </c>
      <c r="AT57">
        <f t="shared" si="11"/>
        <v>0</v>
      </c>
      <c r="AU57">
        <f t="shared" si="13"/>
        <v>0</v>
      </c>
      <c r="AV57">
        <f t="shared" si="13"/>
        <v>0</v>
      </c>
      <c r="AW57">
        <f t="shared" si="13"/>
        <v>0</v>
      </c>
      <c r="AX57">
        <f t="shared" si="13"/>
        <v>0</v>
      </c>
      <c r="AY57">
        <f t="shared" si="13"/>
        <v>0</v>
      </c>
      <c r="AZ57">
        <f t="shared" si="13"/>
        <v>0</v>
      </c>
      <c r="BA57">
        <f t="shared" si="13"/>
        <v>0</v>
      </c>
      <c r="BB57">
        <f t="shared" si="13"/>
        <v>0</v>
      </c>
      <c r="BC57">
        <f t="shared" si="13"/>
        <v>0</v>
      </c>
    </row>
    <row r="58" spans="1:55" ht="13.6" thickBot="1" x14ac:dyDescent="0.2">
      <c r="A58" s="23"/>
      <c r="B58" s="23"/>
      <c r="C58" s="23" t="s">
        <v>126</v>
      </c>
      <c r="D58" s="23">
        <v>0</v>
      </c>
      <c r="E58" s="23">
        <v>0</v>
      </c>
      <c r="F58" s="8" t="str">
        <f>IF(D58=E58,"n/a",IF(OR(C58="battery electric vehicle",C58="natural gas vehicle",C58="plugin hybrid vehicle",C58="hydrogen vehicle"),"s-curve","linear"))</f>
        <v>n/a</v>
      </c>
      <c r="O58" s="22">
        <f t="shared" si="14"/>
        <v>0</v>
      </c>
      <c r="P58">
        <f>IF($F58="s-curve",$D58+($E58-$D58)*$I$2/(1+EXP($I$3*(COUNT($O$9:P$9)+$I$4))),TREND($D58:$E58,$D$9:$E$9,P$9))</f>
        <v>0</v>
      </c>
      <c r="Q58">
        <f>IF($F58="s-curve",$D58+($E58-$D58)*$I$2/(1+EXP($I$3*(COUNT($O$9:Q$9)+$I$4))),TREND($D58:$E58,$D$9:$E$9,Q$9))</f>
        <v>0</v>
      </c>
      <c r="R58">
        <f>IF($F58="s-curve",$D58+($E58-$D58)*$I$2/(1+EXP($I$3*(COUNT($O$9:R$9)+$I$4))),TREND($D58:$E58,$D$9:$E$9,R$9))</f>
        <v>0</v>
      </c>
      <c r="S58">
        <f>IF($F58="s-curve",$D58+($E58-$D58)*$I$2/(1+EXP($I$3*(COUNT($O$9:S$9)+$I$4))),TREND($D58:$E58,$D$9:$E$9,S$9))</f>
        <v>0</v>
      </c>
      <c r="T58">
        <f>IF($F58="s-curve",$D58+($E58-$D58)*$I$2/(1+EXP($I$3*(COUNT($O$9:T$9)+$I$4))),TREND($D58:$E58,$D$9:$E$9,T$9))</f>
        <v>0</v>
      </c>
      <c r="U58">
        <f>IF($F58="s-curve",$D58+($E58-$D58)*$I$2/(1+EXP($I$3*(COUNT($O$9:U$9)+$I$4))),TREND($D58:$E58,$D$9:$E$9,U$9))</f>
        <v>0</v>
      </c>
      <c r="V58">
        <f>IF($F58="s-curve",$D58+($E58-$D58)*$I$2/(1+EXP($I$3*(COUNT($O$9:V$9)+$I$4))),TREND($D58:$E58,$D$9:$E$9,V$9))</f>
        <v>0</v>
      </c>
      <c r="W58">
        <f>IF($F58="s-curve",$D58+($E58-$D58)*$I$2/(1+EXP($I$3*(COUNT($O$9:W$9)+$I$4))),TREND($D58:$E58,$D$9:$E$9,W$9))</f>
        <v>0</v>
      </c>
      <c r="X58">
        <f>IF($F58="s-curve",$D58+($E58-$D58)*$I$2/(1+EXP($I$3*(COUNT($O$9:X$9)+$I$4))),TREND($D58:$E58,$D$9:$E$9,X$9))</f>
        <v>0</v>
      </c>
      <c r="Y58">
        <f>IF($F58="s-curve",$D58+($E58-$D58)*$I$2/(1+EXP($I$3*(COUNT($O$9:Y$9)+$I$4))),TREND($D58:$E58,$D$9:$E$9,Y$9))</f>
        <v>0</v>
      </c>
      <c r="Z58">
        <f>IF($F58="s-curve",$D58+($E58-$D58)*$I$2/(1+EXP($I$3*(COUNT($O$9:Z$9)+$I$4))),TREND($D58:$E58,$D$9:$E$9,Z$9))</f>
        <v>0</v>
      </c>
      <c r="AA58">
        <f>IF($F58="s-curve",$D58+($E58-$D58)*$I$2/(1+EXP($I$3*(COUNT($O$9:AA$9)+$I$4))),TREND($D58:$E58,$D$9:$E$9,AA$9))</f>
        <v>0</v>
      </c>
      <c r="AB58">
        <f>IF($F58="s-curve",$D58+($E58-$D58)*$I$2/(1+EXP($I$3*(COUNT($O$9:AB$9)+$I$4))),TREND($D58:$E58,$D$9:$E$9,AB$9))</f>
        <v>0</v>
      </c>
      <c r="AC58">
        <f>IF($F58="s-curve",$D58+($E58-$D58)*$I$2/(1+EXP($I$3*(COUNT($O$9:AC$9)+$I$4))),TREND($D58:$E58,$D$9:$E$9,AC$9))</f>
        <v>0</v>
      </c>
      <c r="AD58">
        <f>IF($F58="s-curve",$D58+($E58-$D58)*$I$2/(1+EXP($I$3*(COUNT($O$9:AD$9)+$I$4))),TREND($D58:$E58,$D$9:$E$9,AD$9))</f>
        <v>0</v>
      </c>
      <c r="AE58">
        <f>IF($F58="s-curve",$D58+($E58-$D58)*$I$2/(1+EXP($I$3*(COUNT($O$9:AE$9)+$I$4))),TREND($D58:$E58,$D$9:$E$9,AE$9))</f>
        <v>0</v>
      </c>
      <c r="AF58">
        <f>IF($F58="s-curve",$D58+($E58-$D58)*$I$2/(1+EXP($I$3*(COUNT($O$9:AF$9)+$I$4))),TREND($D58:$E58,$D$9:$E$9,AF$9))</f>
        <v>0</v>
      </c>
      <c r="AG58">
        <f>IF($F58="s-curve",$D58+($E58-$D58)*$I$2/(1+EXP($I$3*(COUNT($O$9:AG$9)+$I$4))),TREND($D58:$E58,$D$9:$E$9,AG$9))</f>
        <v>0</v>
      </c>
      <c r="AH58">
        <f>IF($F58="s-curve",$D58+($E58-$D58)*$I$2/(1+EXP($I$3*(COUNT($O$9:AH$9)+$I$4))),TREND($D58:$E58,$D$9:$E$9,AH$9))</f>
        <v>0</v>
      </c>
      <c r="AI58">
        <f>IF($F58="s-curve",$D58+($E58-$D58)*$I$2/(1+EXP($I$3*(COUNT($O$9:AI$9)+$I$4))),TREND($D58:$E58,$D$9:$E$9,AI$9))</f>
        <v>0</v>
      </c>
      <c r="AJ58">
        <f>IF($F58="s-curve",$D58+($E58-$D58)*$I$2/(1+EXP($I$3*(COUNT($O$9:AJ$9)+$I$4))),TREND($D58:$E58,$D$9:$E$9,AJ$9))</f>
        <v>0</v>
      </c>
      <c r="AK58">
        <f>IF($F58="s-curve",$D58+($E58-$D58)*$I$2/(1+EXP($I$3*(COUNT($O$9:AK$9)+$I$4))),TREND($D58:$E58,$D$9:$E$9,AK$9))</f>
        <v>0</v>
      </c>
      <c r="AL58">
        <f>IF($F58="s-curve",$D58+($E58-$D58)*$I$2/(1+EXP($I$3*(COUNT($O$9:AL$9)+$I$4))),TREND($D58:$E58,$D$9:$E$9,AL$9))</f>
        <v>0</v>
      </c>
      <c r="AM58">
        <f>IF($F58="s-curve",$D58+($E58-$D58)*$I$2/(1+EXP($I$3*(COUNT($O$9:AM$9)+$I$4))),TREND($D58:$E58,$D$9:$E$9,AM$9))</f>
        <v>0</v>
      </c>
      <c r="AN58">
        <f>IF($F58="s-curve",$D58+($E58-$D58)*$I$2/(1+EXP($I$3*(COUNT($O$9:AN$9)+$I$4))),TREND($D58:$E58,$D$9:$E$9,AN$9))</f>
        <v>0</v>
      </c>
      <c r="AO58">
        <f>IF($F58="s-curve",$D58+($E58-$D58)*$I$2/(1+EXP($I$3*(COUNT($O$9:AO$9)+$I$4))),TREND($D58:$E58,$D$9:$E$9,AO$9))</f>
        <v>0</v>
      </c>
      <c r="AP58">
        <f>IF($F58="s-curve",$D58+($E58-$D58)*$I$2/(1+EXP($I$3*(COUNT($O$9:AP$9)+$I$4))),TREND($D58:$E58,$D$9:$E$9,AP$9))</f>
        <v>0</v>
      </c>
      <c r="AQ58">
        <f>IF($F58="s-curve",$D58+($E58-$D58)*$I$2/(1+EXP($I$3*(COUNT($O$9:AQ$9)+$I$4))),TREND($D58:$E58,$D$9:$E$9,AQ$9))</f>
        <v>0</v>
      </c>
      <c r="AR58">
        <f>IF($F58="s-curve",$D58+($E58-$D58)*$I$2/(1+EXP($I$3*(COUNT($O$9:AR$9)+$I$4))),TREND($D58:$E58,$D$9:$E$9,AR$9))</f>
        <v>0</v>
      </c>
      <c r="AS58">
        <f>IF($F58="s-curve",$D58+($E58-$D58)*$I$2/(1+EXP($I$3*(COUNT($O$9:AS$9)+$I$4))),TREND($D58:$E58,$D$9:$E$9,AS$9))</f>
        <v>0</v>
      </c>
      <c r="AT58">
        <f t="shared" si="11"/>
        <v>0</v>
      </c>
      <c r="AU58">
        <f t="shared" ref="AU58:BC73" si="15">AT58</f>
        <v>0</v>
      </c>
      <c r="AV58">
        <f t="shared" si="15"/>
        <v>0</v>
      </c>
      <c r="AW58">
        <f t="shared" si="15"/>
        <v>0</v>
      </c>
      <c r="AX58">
        <f t="shared" si="15"/>
        <v>0</v>
      </c>
      <c r="AY58">
        <f t="shared" si="15"/>
        <v>0</v>
      </c>
      <c r="AZ58">
        <f t="shared" si="15"/>
        <v>0</v>
      </c>
      <c r="BA58">
        <f t="shared" si="15"/>
        <v>0</v>
      </c>
      <c r="BB58">
        <f t="shared" si="15"/>
        <v>0</v>
      </c>
      <c r="BC58">
        <f t="shared" si="15"/>
        <v>0</v>
      </c>
    </row>
    <row r="59" spans="1:55" x14ac:dyDescent="0.15">
      <c r="A59" t="s">
        <v>15</v>
      </c>
      <c r="B59" t="s">
        <v>18</v>
      </c>
      <c r="C59" t="s">
        <v>1</v>
      </c>
      <c r="D59">
        <v>0</v>
      </c>
      <c r="E59">
        <v>0</v>
      </c>
      <c r="F59" s="7" t="str">
        <f>IF(D59=E59,"n/a",IF(OR(C59="battery electric vehicle",C59="natural gas vehicle",C59="plugin hybrid vehicle"),"s-curve","linear"))</f>
        <v>n/a</v>
      </c>
      <c r="O59" s="22">
        <f t="shared" si="14"/>
        <v>0</v>
      </c>
      <c r="P59">
        <f>IF($F59="s-curve",$D59+($E59-$D59)*$I$2/(1+EXP($I$3*(COUNT($O$9:P$9)+$I$4))),TREND($D59:$E59,$D$9:$E$9,P$9))</f>
        <v>0</v>
      </c>
      <c r="Q59">
        <f>IF($F59="s-curve",$D59+($E59-$D59)*$I$2/(1+EXP($I$3*(COUNT($O$9:Q$9)+$I$4))),TREND($D59:$E59,$D$9:$E$9,Q$9))</f>
        <v>0</v>
      </c>
      <c r="R59">
        <f>IF($F59="s-curve",$D59+($E59-$D59)*$I$2/(1+EXP($I$3*(COUNT($O$9:R$9)+$I$4))),TREND($D59:$E59,$D$9:$E$9,R$9))</f>
        <v>0</v>
      </c>
      <c r="S59">
        <f>IF($F59="s-curve",$D59+($E59-$D59)*$I$2/(1+EXP($I$3*(COUNT($O$9:S$9)+$I$4))),TREND($D59:$E59,$D$9:$E$9,S$9))</f>
        <v>0</v>
      </c>
      <c r="T59">
        <f>IF($F59="s-curve",$D59+($E59-$D59)*$I$2/(1+EXP($I$3*(COUNT($O$9:T$9)+$I$4))),TREND($D59:$E59,$D$9:$E$9,T$9))</f>
        <v>0</v>
      </c>
      <c r="U59">
        <f>IF($F59="s-curve",$D59+($E59-$D59)*$I$2/(1+EXP($I$3*(COUNT($O$9:U$9)+$I$4))),TREND($D59:$E59,$D$9:$E$9,U$9))</f>
        <v>0</v>
      </c>
      <c r="V59">
        <f>IF($F59="s-curve",$D59+($E59-$D59)*$I$2/(1+EXP($I$3*(COUNT($O$9:V$9)+$I$4))),TREND($D59:$E59,$D$9:$E$9,V$9))</f>
        <v>0</v>
      </c>
      <c r="W59">
        <f>IF($F59="s-curve",$D59+($E59-$D59)*$I$2/(1+EXP($I$3*(COUNT($O$9:W$9)+$I$4))),TREND($D59:$E59,$D$9:$E$9,W$9))</f>
        <v>0</v>
      </c>
      <c r="X59">
        <f>IF($F59="s-curve",$D59+($E59-$D59)*$I$2/(1+EXP($I$3*(COUNT($O$9:X$9)+$I$4))),TREND($D59:$E59,$D$9:$E$9,X$9))</f>
        <v>0</v>
      </c>
      <c r="Y59">
        <f>IF($F59="s-curve",$D59+($E59-$D59)*$I$2/(1+EXP($I$3*(COUNT($O$9:Y$9)+$I$4))),TREND($D59:$E59,$D$9:$E$9,Y$9))</f>
        <v>0</v>
      </c>
      <c r="Z59">
        <f>IF($F59="s-curve",$D59+($E59-$D59)*$I$2/(1+EXP($I$3*(COUNT($O$9:Z$9)+$I$4))),TREND($D59:$E59,$D$9:$E$9,Z$9))</f>
        <v>0</v>
      </c>
      <c r="AA59">
        <f>IF($F59="s-curve",$D59+($E59-$D59)*$I$2/(1+EXP($I$3*(COUNT($O$9:AA$9)+$I$4))),TREND($D59:$E59,$D$9:$E$9,AA$9))</f>
        <v>0</v>
      </c>
      <c r="AB59">
        <f>IF($F59="s-curve",$D59+($E59-$D59)*$I$2/(1+EXP($I$3*(COUNT($O$9:AB$9)+$I$4))),TREND($D59:$E59,$D$9:$E$9,AB$9))</f>
        <v>0</v>
      </c>
      <c r="AC59">
        <f>IF($F59="s-curve",$D59+($E59-$D59)*$I$2/(1+EXP($I$3*(COUNT($O$9:AC$9)+$I$4))),TREND($D59:$E59,$D$9:$E$9,AC$9))</f>
        <v>0</v>
      </c>
      <c r="AD59">
        <f>IF($F59="s-curve",$D59+($E59-$D59)*$I$2/(1+EXP($I$3*(COUNT($O$9:AD$9)+$I$4))),TREND($D59:$E59,$D$9:$E$9,AD$9))</f>
        <v>0</v>
      </c>
      <c r="AE59">
        <f>IF($F59="s-curve",$D59+($E59-$D59)*$I$2/(1+EXP($I$3*(COUNT($O$9:AE$9)+$I$4))),TREND($D59:$E59,$D$9:$E$9,AE$9))</f>
        <v>0</v>
      </c>
      <c r="AF59">
        <f>IF($F59="s-curve",$D59+($E59-$D59)*$I$2/(1+EXP($I$3*(COUNT($O$9:AF$9)+$I$4))),TREND($D59:$E59,$D$9:$E$9,AF$9))</f>
        <v>0</v>
      </c>
      <c r="AG59">
        <f>IF($F59="s-curve",$D59+($E59-$D59)*$I$2/(1+EXP($I$3*(COUNT($O$9:AG$9)+$I$4))),TREND($D59:$E59,$D$9:$E$9,AG$9))</f>
        <v>0</v>
      </c>
      <c r="AH59">
        <f>IF($F59="s-curve",$D59+($E59-$D59)*$I$2/(1+EXP($I$3*(COUNT($O$9:AH$9)+$I$4))),TREND($D59:$E59,$D$9:$E$9,AH$9))</f>
        <v>0</v>
      </c>
      <c r="AI59">
        <f>IF($F59="s-curve",$D59+($E59-$D59)*$I$2/(1+EXP($I$3*(COUNT($O$9:AI$9)+$I$4))),TREND($D59:$E59,$D$9:$E$9,AI$9))</f>
        <v>0</v>
      </c>
      <c r="AJ59">
        <f>IF($F59="s-curve",$D59+($E59-$D59)*$I$2/(1+EXP($I$3*(COUNT($O$9:AJ$9)+$I$4))),TREND($D59:$E59,$D$9:$E$9,AJ$9))</f>
        <v>0</v>
      </c>
      <c r="AK59">
        <f>IF($F59="s-curve",$D59+($E59-$D59)*$I$2/(1+EXP($I$3*(COUNT($O$9:AK$9)+$I$4))),TREND($D59:$E59,$D$9:$E$9,AK$9))</f>
        <v>0</v>
      </c>
      <c r="AL59">
        <f>IF($F59="s-curve",$D59+($E59-$D59)*$I$2/(1+EXP($I$3*(COUNT($O$9:AL$9)+$I$4))),TREND($D59:$E59,$D$9:$E$9,AL$9))</f>
        <v>0</v>
      </c>
      <c r="AM59">
        <f>IF($F59="s-curve",$D59+($E59-$D59)*$I$2/(1+EXP($I$3*(COUNT($O$9:AM$9)+$I$4))),TREND($D59:$E59,$D$9:$E$9,AM$9))</f>
        <v>0</v>
      </c>
      <c r="AN59">
        <f>IF($F59="s-curve",$D59+($E59-$D59)*$I$2/(1+EXP($I$3*(COUNT($O$9:AN$9)+$I$4))),TREND($D59:$E59,$D$9:$E$9,AN$9))</f>
        <v>0</v>
      </c>
      <c r="AO59">
        <f>IF($F59="s-curve",$D59+($E59-$D59)*$I$2/(1+EXP($I$3*(COUNT($O$9:AO$9)+$I$4))),TREND($D59:$E59,$D$9:$E$9,AO$9))</f>
        <v>0</v>
      </c>
      <c r="AP59">
        <f>IF($F59="s-curve",$D59+($E59-$D59)*$I$2/(1+EXP($I$3*(COUNT($O$9:AP$9)+$I$4))),TREND($D59:$E59,$D$9:$E$9,AP$9))</f>
        <v>0</v>
      </c>
      <c r="AQ59">
        <f>IF($F59="s-curve",$D59+($E59-$D59)*$I$2/(1+EXP($I$3*(COUNT($O$9:AQ$9)+$I$4))),TREND($D59:$E59,$D$9:$E$9,AQ$9))</f>
        <v>0</v>
      </c>
      <c r="AR59">
        <f>IF($F59="s-curve",$D59+($E59-$D59)*$I$2/(1+EXP($I$3*(COUNT($O$9:AR$9)+$I$4))),TREND($D59:$E59,$D$9:$E$9,AR$9))</f>
        <v>0</v>
      </c>
      <c r="AS59">
        <f>IF($F59="s-curve",$D59+($E59-$D59)*$I$2/(1+EXP($I$3*(COUNT($O$9:AS$9)+$I$4))),TREND($D59:$E59,$D$9:$E$9,AS$9))</f>
        <v>0</v>
      </c>
      <c r="AT59">
        <f t="shared" si="11"/>
        <v>0</v>
      </c>
      <c r="AU59">
        <f t="shared" si="15"/>
        <v>0</v>
      </c>
      <c r="AV59">
        <f t="shared" si="15"/>
        <v>0</v>
      </c>
      <c r="AW59">
        <f t="shared" si="15"/>
        <v>0</v>
      </c>
      <c r="AX59">
        <f t="shared" si="15"/>
        <v>0</v>
      </c>
      <c r="AY59">
        <f t="shared" si="15"/>
        <v>0</v>
      </c>
      <c r="AZ59">
        <f t="shared" si="15"/>
        <v>0</v>
      </c>
      <c r="BA59">
        <f t="shared" si="15"/>
        <v>0</v>
      </c>
      <c r="BB59">
        <f t="shared" si="15"/>
        <v>0</v>
      </c>
      <c r="BC59">
        <f t="shared" si="15"/>
        <v>0</v>
      </c>
    </row>
    <row r="60" spans="1:55" x14ac:dyDescent="0.15">
      <c r="C60" t="s">
        <v>2</v>
      </c>
      <c r="D60">
        <v>0</v>
      </c>
      <c r="E60">
        <v>0</v>
      </c>
      <c r="F60" s="7" t="str">
        <f>IF(D60=E60,"n/a",IF(OR(C60="battery electric vehicle",C60="natural gas vehicle",C60="plugin hybrid vehicle"),"s-curve","linear"))</f>
        <v>n/a</v>
      </c>
      <c r="O60" s="22">
        <f t="shared" si="14"/>
        <v>0</v>
      </c>
      <c r="P60">
        <f>IF($F60="s-curve",$D60+($E60-$D60)*$I$2/(1+EXP($I$3*(COUNT($O$9:P$9)+$I$4))),TREND($D60:$E60,$D$9:$E$9,P$9))</f>
        <v>0</v>
      </c>
      <c r="Q60">
        <f>IF($F60="s-curve",$D60+($E60-$D60)*$I$2/(1+EXP($I$3*(COUNT($O$9:Q$9)+$I$4))),TREND($D60:$E60,$D$9:$E$9,Q$9))</f>
        <v>0</v>
      </c>
      <c r="R60">
        <f>IF($F60="s-curve",$D60+($E60-$D60)*$I$2/(1+EXP($I$3*(COUNT($O$9:R$9)+$I$4))),TREND($D60:$E60,$D$9:$E$9,R$9))</f>
        <v>0</v>
      </c>
      <c r="S60">
        <f>IF($F60="s-curve",$D60+($E60-$D60)*$I$2/(1+EXP($I$3*(COUNT($O$9:S$9)+$I$4))),TREND($D60:$E60,$D$9:$E$9,S$9))</f>
        <v>0</v>
      </c>
      <c r="T60">
        <f>IF($F60="s-curve",$D60+($E60-$D60)*$I$2/(1+EXP($I$3*(COUNT($O$9:T$9)+$I$4))),TREND($D60:$E60,$D$9:$E$9,T$9))</f>
        <v>0</v>
      </c>
      <c r="U60">
        <f>IF($F60="s-curve",$D60+($E60-$D60)*$I$2/(1+EXP($I$3*(COUNT($O$9:U$9)+$I$4))),TREND($D60:$E60,$D$9:$E$9,U$9))</f>
        <v>0</v>
      </c>
      <c r="V60">
        <f>IF($F60="s-curve",$D60+($E60-$D60)*$I$2/(1+EXP($I$3*(COUNT($O$9:V$9)+$I$4))),TREND($D60:$E60,$D$9:$E$9,V$9))</f>
        <v>0</v>
      </c>
      <c r="W60">
        <f>IF($F60="s-curve",$D60+($E60-$D60)*$I$2/(1+EXP($I$3*(COUNT($O$9:W$9)+$I$4))),TREND($D60:$E60,$D$9:$E$9,W$9))</f>
        <v>0</v>
      </c>
      <c r="X60">
        <f>IF($F60="s-curve",$D60+($E60-$D60)*$I$2/(1+EXP($I$3*(COUNT($O$9:X$9)+$I$4))),TREND($D60:$E60,$D$9:$E$9,X$9))</f>
        <v>0</v>
      </c>
      <c r="Y60">
        <f>IF($F60="s-curve",$D60+($E60-$D60)*$I$2/(1+EXP($I$3*(COUNT($O$9:Y$9)+$I$4))),TREND($D60:$E60,$D$9:$E$9,Y$9))</f>
        <v>0</v>
      </c>
      <c r="Z60">
        <f>IF($F60="s-curve",$D60+($E60-$D60)*$I$2/(1+EXP($I$3*(COUNT($O$9:Z$9)+$I$4))),TREND($D60:$E60,$D$9:$E$9,Z$9))</f>
        <v>0</v>
      </c>
      <c r="AA60">
        <f>IF($F60="s-curve",$D60+($E60-$D60)*$I$2/(1+EXP($I$3*(COUNT($O$9:AA$9)+$I$4))),TREND($D60:$E60,$D$9:$E$9,AA$9))</f>
        <v>0</v>
      </c>
      <c r="AB60">
        <f>IF($F60="s-curve",$D60+($E60-$D60)*$I$2/(1+EXP($I$3*(COUNT($O$9:AB$9)+$I$4))),TREND($D60:$E60,$D$9:$E$9,AB$9))</f>
        <v>0</v>
      </c>
      <c r="AC60">
        <f>IF($F60="s-curve",$D60+($E60-$D60)*$I$2/(1+EXP($I$3*(COUNT($O$9:AC$9)+$I$4))),TREND($D60:$E60,$D$9:$E$9,AC$9))</f>
        <v>0</v>
      </c>
      <c r="AD60">
        <f>IF($F60="s-curve",$D60+($E60-$D60)*$I$2/(1+EXP($I$3*(COUNT($O$9:AD$9)+$I$4))),TREND($D60:$E60,$D$9:$E$9,AD$9))</f>
        <v>0</v>
      </c>
      <c r="AE60">
        <f>IF($F60="s-curve",$D60+($E60-$D60)*$I$2/(1+EXP($I$3*(COUNT($O$9:AE$9)+$I$4))),TREND($D60:$E60,$D$9:$E$9,AE$9))</f>
        <v>0</v>
      </c>
      <c r="AF60">
        <f>IF($F60="s-curve",$D60+($E60-$D60)*$I$2/(1+EXP($I$3*(COUNT($O$9:AF$9)+$I$4))),TREND($D60:$E60,$D$9:$E$9,AF$9))</f>
        <v>0</v>
      </c>
      <c r="AG60">
        <f>IF($F60="s-curve",$D60+($E60-$D60)*$I$2/(1+EXP($I$3*(COUNT($O$9:AG$9)+$I$4))),TREND($D60:$E60,$D$9:$E$9,AG$9))</f>
        <v>0</v>
      </c>
      <c r="AH60">
        <f>IF($F60="s-curve",$D60+($E60-$D60)*$I$2/(1+EXP($I$3*(COUNT($O$9:AH$9)+$I$4))),TREND($D60:$E60,$D$9:$E$9,AH$9))</f>
        <v>0</v>
      </c>
      <c r="AI60">
        <f>IF($F60="s-curve",$D60+($E60-$D60)*$I$2/(1+EXP($I$3*(COUNT($O$9:AI$9)+$I$4))),TREND($D60:$E60,$D$9:$E$9,AI$9))</f>
        <v>0</v>
      </c>
      <c r="AJ60">
        <f>IF($F60="s-curve",$D60+($E60-$D60)*$I$2/(1+EXP($I$3*(COUNT($O$9:AJ$9)+$I$4))),TREND($D60:$E60,$D$9:$E$9,AJ$9))</f>
        <v>0</v>
      </c>
      <c r="AK60">
        <f>IF($F60="s-curve",$D60+($E60-$D60)*$I$2/(1+EXP($I$3*(COUNT($O$9:AK$9)+$I$4))),TREND($D60:$E60,$D$9:$E$9,AK$9))</f>
        <v>0</v>
      </c>
      <c r="AL60">
        <f>IF($F60="s-curve",$D60+($E60-$D60)*$I$2/(1+EXP($I$3*(COUNT($O$9:AL$9)+$I$4))),TREND($D60:$E60,$D$9:$E$9,AL$9))</f>
        <v>0</v>
      </c>
      <c r="AM60">
        <f>IF($F60="s-curve",$D60+($E60-$D60)*$I$2/(1+EXP($I$3*(COUNT($O$9:AM$9)+$I$4))),TREND($D60:$E60,$D$9:$E$9,AM$9))</f>
        <v>0</v>
      </c>
      <c r="AN60">
        <f>IF($F60="s-curve",$D60+($E60-$D60)*$I$2/(1+EXP($I$3*(COUNT($O$9:AN$9)+$I$4))),TREND($D60:$E60,$D$9:$E$9,AN$9))</f>
        <v>0</v>
      </c>
      <c r="AO60">
        <f>IF($F60="s-curve",$D60+($E60-$D60)*$I$2/(1+EXP($I$3*(COUNT($O$9:AO$9)+$I$4))),TREND($D60:$E60,$D$9:$E$9,AO$9))</f>
        <v>0</v>
      </c>
      <c r="AP60">
        <f>IF($F60="s-curve",$D60+($E60-$D60)*$I$2/(1+EXP($I$3*(COUNT($O$9:AP$9)+$I$4))),TREND($D60:$E60,$D$9:$E$9,AP$9))</f>
        <v>0</v>
      </c>
      <c r="AQ60">
        <f>IF($F60="s-curve",$D60+($E60-$D60)*$I$2/(1+EXP($I$3*(COUNT($O$9:AQ$9)+$I$4))),TREND($D60:$E60,$D$9:$E$9,AQ$9))</f>
        <v>0</v>
      </c>
      <c r="AR60">
        <f>IF($F60="s-curve",$D60+($E60-$D60)*$I$2/(1+EXP($I$3*(COUNT($O$9:AR$9)+$I$4))),TREND($D60:$E60,$D$9:$E$9,AR$9))</f>
        <v>0</v>
      </c>
      <c r="AS60">
        <f>IF($F60="s-curve",$D60+($E60-$D60)*$I$2/(1+EXP($I$3*(COUNT($O$9:AS$9)+$I$4))),TREND($D60:$E60,$D$9:$E$9,AS$9))</f>
        <v>0</v>
      </c>
      <c r="AT60">
        <f t="shared" si="11"/>
        <v>0</v>
      </c>
      <c r="AU60">
        <f t="shared" si="15"/>
        <v>0</v>
      </c>
      <c r="AV60">
        <f t="shared" si="15"/>
        <v>0</v>
      </c>
      <c r="AW60">
        <f t="shared" si="15"/>
        <v>0</v>
      </c>
      <c r="AX60">
        <f t="shared" si="15"/>
        <v>0</v>
      </c>
      <c r="AY60">
        <f t="shared" si="15"/>
        <v>0</v>
      </c>
      <c r="AZ60">
        <f t="shared" si="15"/>
        <v>0</v>
      </c>
      <c r="BA60">
        <f t="shared" si="15"/>
        <v>0</v>
      </c>
      <c r="BB60">
        <f t="shared" si="15"/>
        <v>0</v>
      </c>
      <c r="BC60">
        <f t="shared" si="15"/>
        <v>0</v>
      </c>
    </row>
    <row r="61" spans="1:55" x14ac:dyDescent="0.15">
      <c r="C61" t="s">
        <v>3</v>
      </c>
      <c r="D61">
        <v>0</v>
      </c>
      <c r="E61">
        <v>0</v>
      </c>
      <c r="F61" s="7" t="str">
        <f>IF(D61=E61,"n/a",IF(OR(C61="battery electric vehicle",C61="natural gas vehicle",C61="plugin hybrid vehicle"),"s-curve","linear"))</f>
        <v>n/a</v>
      </c>
      <c r="O61" s="22">
        <f t="shared" si="14"/>
        <v>0</v>
      </c>
      <c r="P61">
        <f>IF($F61="s-curve",$D61+($E61-$D61)*$I$2/(1+EXP($I$3*(COUNT($O$9:P$9)+$I$4))),TREND($D61:$E61,$D$9:$E$9,P$9))</f>
        <v>0</v>
      </c>
      <c r="Q61">
        <f>IF($F61="s-curve",$D61+($E61-$D61)*$I$2/(1+EXP($I$3*(COUNT($O$9:Q$9)+$I$4))),TREND($D61:$E61,$D$9:$E$9,Q$9))</f>
        <v>0</v>
      </c>
      <c r="R61">
        <f>IF($F61="s-curve",$D61+($E61-$D61)*$I$2/(1+EXP($I$3*(COUNT($O$9:R$9)+$I$4))),TREND($D61:$E61,$D$9:$E$9,R$9))</f>
        <v>0</v>
      </c>
      <c r="S61">
        <f>IF($F61="s-curve",$D61+($E61-$D61)*$I$2/(1+EXP($I$3*(COUNT($O$9:S$9)+$I$4))),TREND($D61:$E61,$D$9:$E$9,S$9))</f>
        <v>0</v>
      </c>
      <c r="T61">
        <f>IF($F61="s-curve",$D61+($E61-$D61)*$I$2/(1+EXP($I$3*(COUNT($O$9:T$9)+$I$4))),TREND($D61:$E61,$D$9:$E$9,T$9))</f>
        <v>0</v>
      </c>
      <c r="U61">
        <f>IF($F61="s-curve",$D61+($E61-$D61)*$I$2/(1+EXP($I$3*(COUNT($O$9:U$9)+$I$4))),TREND($D61:$E61,$D$9:$E$9,U$9))</f>
        <v>0</v>
      </c>
      <c r="V61">
        <f>IF($F61="s-curve",$D61+($E61-$D61)*$I$2/(1+EXP($I$3*(COUNT($O$9:V$9)+$I$4))),TREND($D61:$E61,$D$9:$E$9,V$9))</f>
        <v>0</v>
      </c>
      <c r="W61">
        <f>IF($F61="s-curve",$D61+($E61-$D61)*$I$2/(1+EXP($I$3*(COUNT($O$9:W$9)+$I$4))),TREND($D61:$E61,$D$9:$E$9,W$9))</f>
        <v>0</v>
      </c>
      <c r="X61">
        <f>IF($F61="s-curve",$D61+($E61-$D61)*$I$2/(1+EXP($I$3*(COUNT($O$9:X$9)+$I$4))),TREND($D61:$E61,$D$9:$E$9,X$9))</f>
        <v>0</v>
      </c>
      <c r="Y61">
        <f>IF($F61="s-curve",$D61+($E61-$D61)*$I$2/(1+EXP($I$3*(COUNT($O$9:Y$9)+$I$4))),TREND($D61:$E61,$D$9:$E$9,Y$9))</f>
        <v>0</v>
      </c>
      <c r="Z61">
        <f>IF($F61="s-curve",$D61+($E61-$D61)*$I$2/(1+EXP($I$3*(COUNT($O$9:Z$9)+$I$4))),TREND($D61:$E61,$D$9:$E$9,Z$9))</f>
        <v>0</v>
      </c>
      <c r="AA61">
        <f>IF($F61="s-curve",$D61+($E61-$D61)*$I$2/(1+EXP($I$3*(COUNT($O$9:AA$9)+$I$4))),TREND($D61:$E61,$D$9:$E$9,AA$9))</f>
        <v>0</v>
      </c>
      <c r="AB61">
        <f>IF($F61="s-curve",$D61+($E61-$D61)*$I$2/(1+EXP($I$3*(COUNT($O$9:AB$9)+$I$4))),TREND($D61:$E61,$D$9:$E$9,AB$9))</f>
        <v>0</v>
      </c>
      <c r="AC61">
        <f>IF($F61="s-curve",$D61+($E61-$D61)*$I$2/(1+EXP($I$3*(COUNT($O$9:AC$9)+$I$4))),TREND($D61:$E61,$D$9:$E$9,AC$9))</f>
        <v>0</v>
      </c>
      <c r="AD61">
        <f>IF($F61="s-curve",$D61+($E61-$D61)*$I$2/(1+EXP($I$3*(COUNT($O$9:AD$9)+$I$4))),TREND($D61:$E61,$D$9:$E$9,AD$9))</f>
        <v>0</v>
      </c>
      <c r="AE61">
        <f>IF($F61="s-curve",$D61+($E61-$D61)*$I$2/(1+EXP($I$3*(COUNT($O$9:AE$9)+$I$4))),TREND($D61:$E61,$D$9:$E$9,AE$9))</f>
        <v>0</v>
      </c>
      <c r="AF61">
        <f>IF($F61="s-curve",$D61+($E61-$D61)*$I$2/(1+EXP($I$3*(COUNT($O$9:AF$9)+$I$4))),TREND($D61:$E61,$D$9:$E$9,AF$9))</f>
        <v>0</v>
      </c>
      <c r="AG61">
        <f>IF($F61="s-curve",$D61+($E61-$D61)*$I$2/(1+EXP($I$3*(COUNT($O$9:AG$9)+$I$4))),TREND($D61:$E61,$D$9:$E$9,AG$9))</f>
        <v>0</v>
      </c>
      <c r="AH61">
        <f>IF($F61="s-curve",$D61+($E61-$D61)*$I$2/(1+EXP($I$3*(COUNT($O$9:AH$9)+$I$4))),TREND($D61:$E61,$D$9:$E$9,AH$9))</f>
        <v>0</v>
      </c>
      <c r="AI61">
        <f>IF($F61="s-curve",$D61+($E61-$D61)*$I$2/(1+EXP($I$3*(COUNT($O$9:AI$9)+$I$4))),TREND($D61:$E61,$D$9:$E$9,AI$9))</f>
        <v>0</v>
      </c>
      <c r="AJ61">
        <f>IF($F61="s-curve",$D61+($E61-$D61)*$I$2/(1+EXP($I$3*(COUNT($O$9:AJ$9)+$I$4))),TREND($D61:$E61,$D$9:$E$9,AJ$9))</f>
        <v>0</v>
      </c>
      <c r="AK61">
        <f>IF($F61="s-curve",$D61+($E61-$D61)*$I$2/(1+EXP($I$3*(COUNT($O$9:AK$9)+$I$4))),TREND($D61:$E61,$D$9:$E$9,AK$9))</f>
        <v>0</v>
      </c>
      <c r="AL61">
        <f>IF($F61="s-curve",$D61+($E61-$D61)*$I$2/(1+EXP($I$3*(COUNT($O$9:AL$9)+$I$4))),TREND($D61:$E61,$D$9:$E$9,AL$9))</f>
        <v>0</v>
      </c>
      <c r="AM61">
        <f>IF($F61="s-curve",$D61+($E61-$D61)*$I$2/(1+EXP($I$3*(COUNT($O$9:AM$9)+$I$4))),TREND($D61:$E61,$D$9:$E$9,AM$9))</f>
        <v>0</v>
      </c>
      <c r="AN61">
        <f>IF($F61="s-curve",$D61+($E61-$D61)*$I$2/(1+EXP($I$3*(COUNT($O$9:AN$9)+$I$4))),TREND($D61:$E61,$D$9:$E$9,AN$9))</f>
        <v>0</v>
      </c>
      <c r="AO61">
        <f>IF($F61="s-curve",$D61+($E61-$D61)*$I$2/(1+EXP($I$3*(COUNT($O$9:AO$9)+$I$4))),TREND($D61:$E61,$D$9:$E$9,AO$9))</f>
        <v>0</v>
      </c>
      <c r="AP61">
        <f>IF($F61="s-curve",$D61+($E61-$D61)*$I$2/(1+EXP($I$3*(COUNT($O$9:AP$9)+$I$4))),TREND($D61:$E61,$D$9:$E$9,AP$9))</f>
        <v>0</v>
      </c>
      <c r="AQ61">
        <f>IF($F61="s-curve",$D61+($E61-$D61)*$I$2/(1+EXP($I$3*(COUNT($O$9:AQ$9)+$I$4))),TREND($D61:$E61,$D$9:$E$9,AQ$9))</f>
        <v>0</v>
      </c>
      <c r="AR61">
        <f>IF($F61="s-curve",$D61+($E61-$D61)*$I$2/(1+EXP($I$3*(COUNT($O$9:AR$9)+$I$4))),TREND($D61:$E61,$D$9:$E$9,AR$9))</f>
        <v>0</v>
      </c>
      <c r="AS61">
        <f>IF($F61="s-curve",$D61+($E61-$D61)*$I$2/(1+EXP($I$3*(COUNT($O$9:AS$9)+$I$4))),TREND($D61:$E61,$D$9:$E$9,AS$9))</f>
        <v>0</v>
      </c>
      <c r="AT61">
        <f t="shared" si="11"/>
        <v>0</v>
      </c>
      <c r="AU61">
        <f t="shared" si="15"/>
        <v>0</v>
      </c>
      <c r="AV61">
        <f t="shared" si="15"/>
        <v>0</v>
      </c>
      <c r="AW61">
        <f t="shared" si="15"/>
        <v>0</v>
      </c>
      <c r="AX61">
        <f t="shared" si="15"/>
        <v>0</v>
      </c>
      <c r="AY61">
        <f t="shared" si="15"/>
        <v>0</v>
      </c>
      <c r="AZ61">
        <f t="shared" si="15"/>
        <v>0</v>
      </c>
      <c r="BA61">
        <f t="shared" si="15"/>
        <v>0</v>
      </c>
      <c r="BB61">
        <f t="shared" si="15"/>
        <v>0</v>
      </c>
      <c r="BC61">
        <f t="shared" si="15"/>
        <v>0</v>
      </c>
    </row>
    <row r="62" spans="1:55" x14ac:dyDescent="0.15">
      <c r="C62" t="s">
        <v>4</v>
      </c>
      <c r="D62">
        <v>1</v>
      </c>
      <c r="E62">
        <v>1</v>
      </c>
      <c r="F62" s="7" t="str">
        <f>IF(D62=E62,"n/a",IF(OR(C62="battery electric vehicle",C62="natural gas vehicle",C62="plugin hybrid vehicle"),"s-curve","linear"))</f>
        <v>n/a</v>
      </c>
      <c r="O62" s="22">
        <f t="shared" si="14"/>
        <v>1</v>
      </c>
      <c r="P62">
        <f>IF($F62="s-curve",$D62+($E62-$D62)*$I$2/(1+EXP($I$3*(COUNT($O$9:P$9)+$I$4))),TREND($D62:$E62,$D$9:$E$9,P$9))</f>
        <v>1</v>
      </c>
      <c r="Q62">
        <f>IF($F62="s-curve",$D62+($E62-$D62)*$I$2/(1+EXP($I$3*(COUNT($O$9:Q$9)+$I$4))),TREND($D62:$E62,$D$9:$E$9,Q$9))</f>
        <v>1</v>
      </c>
      <c r="R62">
        <f>IF($F62="s-curve",$D62+($E62-$D62)*$I$2/(1+EXP($I$3*(COUNT($O$9:R$9)+$I$4))),TREND($D62:$E62,$D$9:$E$9,R$9))</f>
        <v>1</v>
      </c>
      <c r="S62">
        <f>IF($F62="s-curve",$D62+($E62-$D62)*$I$2/(1+EXP($I$3*(COUNT($O$9:S$9)+$I$4))),TREND($D62:$E62,$D$9:$E$9,S$9))</f>
        <v>1</v>
      </c>
      <c r="T62">
        <f>IF($F62="s-curve",$D62+($E62-$D62)*$I$2/(1+EXP($I$3*(COUNT($O$9:T$9)+$I$4))),TREND($D62:$E62,$D$9:$E$9,T$9))</f>
        <v>1</v>
      </c>
      <c r="U62">
        <f>IF($F62="s-curve",$D62+($E62-$D62)*$I$2/(1+EXP($I$3*(COUNT($O$9:U$9)+$I$4))),TREND($D62:$E62,$D$9:$E$9,U$9))</f>
        <v>1</v>
      </c>
      <c r="V62">
        <f>IF($F62="s-curve",$D62+($E62-$D62)*$I$2/(1+EXP($I$3*(COUNT($O$9:V$9)+$I$4))),TREND($D62:$E62,$D$9:$E$9,V$9))</f>
        <v>1</v>
      </c>
      <c r="W62">
        <f>IF($F62="s-curve",$D62+($E62-$D62)*$I$2/(1+EXP($I$3*(COUNT($O$9:W$9)+$I$4))),TREND($D62:$E62,$D$9:$E$9,W$9))</f>
        <v>1</v>
      </c>
      <c r="X62">
        <f>IF($F62="s-curve",$D62+($E62-$D62)*$I$2/(1+EXP($I$3*(COUNT($O$9:X$9)+$I$4))),TREND($D62:$E62,$D$9:$E$9,X$9))</f>
        <v>1</v>
      </c>
      <c r="Y62">
        <f>IF($F62="s-curve",$D62+($E62-$D62)*$I$2/(1+EXP($I$3*(COUNT($O$9:Y$9)+$I$4))),TREND($D62:$E62,$D$9:$E$9,Y$9))</f>
        <v>1</v>
      </c>
      <c r="Z62">
        <f>IF($F62="s-curve",$D62+($E62-$D62)*$I$2/(1+EXP($I$3*(COUNT($O$9:Z$9)+$I$4))),TREND($D62:$E62,$D$9:$E$9,Z$9))</f>
        <v>1</v>
      </c>
      <c r="AA62">
        <f>IF($F62="s-curve",$D62+($E62-$D62)*$I$2/(1+EXP($I$3*(COUNT($O$9:AA$9)+$I$4))),TREND($D62:$E62,$D$9:$E$9,AA$9))</f>
        <v>1</v>
      </c>
      <c r="AB62">
        <f>IF($F62="s-curve",$D62+($E62-$D62)*$I$2/(1+EXP($I$3*(COUNT($O$9:AB$9)+$I$4))),TREND($D62:$E62,$D$9:$E$9,AB$9))</f>
        <v>1</v>
      </c>
      <c r="AC62">
        <f>IF($F62="s-curve",$D62+($E62-$D62)*$I$2/(1+EXP($I$3*(COUNT($O$9:AC$9)+$I$4))),TREND($D62:$E62,$D$9:$E$9,AC$9))</f>
        <v>1</v>
      </c>
      <c r="AD62">
        <f>IF($F62="s-curve",$D62+($E62-$D62)*$I$2/(1+EXP($I$3*(COUNT($O$9:AD$9)+$I$4))),TREND($D62:$E62,$D$9:$E$9,AD$9))</f>
        <v>1</v>
      </c>
      <c r="AE62">
        <f>IF($F62="s-curve",$D62+($E62-$D62)*$I$2/(1+EXP($I$3*(COUNT($O$9:AE$9)+$I$4))),TREND($D62:$E62,$D$9:$E$9,AE$9))</f>
        <v>1</v>
      </c>
      <c r="AF62">
        <f>IF($F62="s-curve",$D62+($E62-$D62)*$I$2/(1+EXP($I$3*(COUNT($O$9:AF$9)+$I$4))),TREND($D62:$E62,$D$9:$E$9,AF$9))</f>
        <v>1</v>
      </c>
      <c r="AG62">
        <f>IF($F62="s-curve",$D62+($E62-$D62)*$I$2/(1+EXP($I$3*(COUNT($O$9:AG$9)+$I$4))),TREND($D62:$E62,$D$9:$E$9,AG$9))</f>
        <v>1</v>
      </c>
      <c r="AH62">
        <f>IF($F62="s-curve",$D62+($E62-$D62)*$I$2/(1+EXP($I$3*(COUNT($O$9:AH$9)+$I$4))),TREND($D62:$E62,$D$9:$E$9,AH$9))</f>
        <v>1</v>
      </c>
      <c r="AI62">
        <f>IF($F62="s-curve",$D62+($E62-$D62)*$I$2/(1+EXP($I$3*(COUNT($O$9:AI$9)+$I$4))),TREND($D62:$E62,$D$9:$E$9,AI$9))</f>
        <v>1</v>
      </c>
      <c r="AJ62">
        <f>IF($F62="s-curve",$D62+($E62-$D62)*$I$2/(1+EXP($I$3*(COUNT($O$9:AJ$9)+$I$4))),TREND($D62:$E62,$D$9:$E$9,AJ$9))</f>
        <v>1</v>
      </c>
      <c r="AK62">
        <f>IF($F62="s-curve",$D62+($E62-$D62)*$I$2/(1+EXP($I$3*(COUNT($O$9:AK$9)+$I$4))),TREND($D62:$E62,$D$9:$E$9,AK$9))</f>
        <v>1</v>
      </c>
      <c r="AL62">
        <f>IF($F62="s-curve",$D62+($E62-$D62)*$I$2/(1+EXP($I$3*(COUNT($O$9:AL$9)+$I$4))),TREND($D62:$E62,$D$9:$E$9,AL$9))</f>
        <v>1</v>
      </c>
      <c r="AM62">
        <f>IF($F62="s-curve",$D62+($E62-$D62)*$I$2/(1+EXP($I$3*(COUNT($O$9:AM$9)+$I$4))),TREND($D62:$E62,$D$9:$E$9,AM$9))</f>
        <v>1</v>
      </c>
      <c r="AN62">
        <f>IF($F62="s-curve",$D62+($E62-$D62)*$I$2/(1+EXP($I$3*(COUNT($O$9:AN$9)+$I$4))),TREND($D62:$E62,$D$9:$E$9,AN$9))</f>
        <v>1</v>
      </c>
      <c r="AO62">
        <f>IF($F62="s-curve",$D62+($E62-$D62)*$I$2/(1+EXP($I$3*(COUNT($O$9:AO$9)+$I$4))),TREND($D62:$E62,$D$9:$E$9,AO$9))</f>
        <v>1</v>
      </c>
      <c r="AP62">
        <f>IF($F62="s-curve",$D62+($E62-$D62)*$I$2/(1+EXP($I$3*(COUNT($O$9:AP$9)+$I$4))),TREND($D62:$E62,$D$9:$E$9,AP$9))</f>
        <v>1</v>
      </c>
      <c r="AQ62">
        <f>IF($F62="s-curve",$D62+($E62-$D62)*$I$2/(1+EXP($I$3*(COUNT($O$9:AQ$9)+$I$4))),TREND($D62:$E62,$D$9:$E$9,AQ$9))</f>
        <v>1</v>
      </c>
      <c r="AR62">
        <f>IF($F62="s-curve",$D62+($E62-$D62)*$I$2/(1+EXP($I$3*(COUNT($O$9:AR$9)+$I$4))),TREND($D62:$E62,$D$9:$E$9,AR$9))</f>
        <v>1</v>
      </c>
      <c r="AS62">
        <f>IF($F62="s-curve",$D62+($E62-$D62)*$I$2/(1+EXP($I$3*(COUNT($O$9:AS$9)+$I$4))),TREND($D62:$E62,$D$9:$E$9,AS$9))</f>
        <v>1</v>
      </c>
      <c r="AT62">
        <f t="shared" si="11"/>
        <v>1</v>
      </c>
      <c r="AU62">
        <f t="shared" si="15"/>
        <v>1</v>
      </c>
      <c r="AV62">
        <f t="shared" si="15"/>
        <v>1</v>
      </c>
      <c r="AW62">
        <f t="shared" si="15"/>
        <v>1</v>
      </c>
      <c r="AX62">
        <f t="shared" si="15"/>
        <v>1</v>
      </c>
      <c r="AY62">
        <f t="shared" si="15"/>
        <v>1</v>
      </c>
      <c r="AZ62">
        <f t="shared" si="15"/>
        <v>1</v>
      </c>
      <c r="BA62">
        <f t="shared" si="15"/>
        <v>1</v>
      </c>
      <c r="BB62">
        <f t="shared" si="15"/>
        <v>1</v>
      </c>
      <c r="BC62">
        <f t="shared" si="15"/>
        <v>1</v>
      </c>
    </row>
    <row r="63" spans="1:55" x14ac:dyDescent="0.15">
      <c r="C63" t="s">
        <v>5</v>
      </c>
      <c r="D63">
        <v>0</v>
      </c>
      <c r="E63">
        <v>0</v>
      </c>
      <c r="F63" s="7" t="str">
        <f>IF(D63=E63,"n/a",IF(OR(C63="battery electric vehicle",C63="natural gas vehicle",C63="plugin hybrid vehicle"),"s-curve","linear"))</f>
        <v>n/a</v>
      </c>
      <c r="O63" s="22">
        <f t="shared" si="14"/>
        <v>0</v>
      </c>
      <c r="P63">
        <f>IF($F63="s-curve",$D63+($E63-$D63)*$I$2/(1+EXP($I$3*(COUNT($O$9:P$9)+$I$4))),TREND($D63:$E63,$D$9:$E$9,P$9))</f>
        <v>0</v>
      </c>
      <c r="Q63">
        <f>IF($F63="s-curve",$D63+($E63-$D63)*$I$2/(1+EXP($I$3*(COUNT($O$9:Q$9)+$I$4))),TREND($D63:$E63,$D$9:$E$9,Q$9))</f>
        <v>0</v>
      </c>
      <c r="R63">
        <f>IF($F63="s-curve",$D63+($E63-$D63)*$I$2/(1+EXP($I$3*(COUNT($O$9:R$9)+$I$4))),TREND($D63:$E63,$D$9:$E$9,R$9))</f>
        <v>0</v>
      </c>
      <c r="S63">
        <f>IF($F63="s-curve",$D63+($E63-$D63)*$I$2/(1+EXP($I$3*(COUNT($O$9:S$9)+$I$4))),TREND($D63:$E63,$D$9:$E$9,S$9))</f>
        <v>0</v>
      </c>
      <c r="T63">
        <f>IF($F63="s-curve",$D63+($E63-$D63)*$I$2/(1+EXP($I$3*(COUNT($O$9:T$9)+$I$4))),TREND($D63:$E63,$D$9:$E$9,T$9))</f>
        <v>0</v>
      </c>
      <c r="U63">
        <f>IF($F63="s-curve",$D63+($E63-$D63)*$I$2/(1+EXP($I$3*(COUNT($O$9:U$9)+$I$4))),TREND($D63:$E63,$D$9:$E$9,U$9))</f>
        <v>0</v>
      </c>
      <c r="V63">
        <f>IF($F63="s-curve",$D63+($E63-$D63)*$I$2/(1+EXP($I$3*(COUNT($O$9:V$9)+$I$4))),TREND($D63:$E63,$D$9:$E$9,V$9))</f>
        <v>0</v>
      </c>
      <c r="W63">
        <f>IF($F63="s-curve",$D63+($E63-$D63)*$I$2/(1+EXP($I$3*(COUNT($O$9:W$9)+$I$4))),TREND($D63:$E63,$D$9:$E$9,W$9))</f>
        <v>0</v>
      </c>
      <c r="X63">
        <f>IF($F63="s-curve",$D63+($E63-$D63)*$I$2/(1+EXP($I$3*(COUNT($O$9:X$9)+$I$4))),TREND($D63:$E63,$D$9:$E$9,X$9))</f>
        <v>0</v>
      </c>
      <c r="Y63">
        <f>IF($F63="s-curve",$D63+($E63-$D63)*$I$2/(1+EXP($I$3*(COUNT($O$9:Y$9)+$I$4))),TREND($D63:$E63,$D$9:$E$9,Y$9))</f>
        <v>0</v>
      </c>
      <c r="Z63">
        <f>IF($F63="s-curve",$D63+($E63-$D63)*$I$2/(1+EXP($I$3*(COUNT($O$9:Z$9)+$I$4))),TREND($D63:$E63,$D$9:$E$9,Z$9))</f>
        <v>0</v>
      </c>
      <c r="AA63">
        <f>IF($F63="s-curve",$D63+($E63-$D63)*$I$2/(1+EXP($I$3*(COUNT($O$9:AA$9)+$I$4))),TREND($D63:$E63,$D$9:$E$9,AA$9))</f>
        <v>0</v>
      </c>
      <c r="AB63">
        <f>IF($F63="s-curve",$D63+($E63-$D63)*$I$2/(1+EXP($I$3*(COUNT($O$9:AB$9)+$I$4))),TREND($D63:$E63,$D$9:$E$9,AB$9))</f>
        <v>0</v>
      </c>
      <c r="AC63">
        <f>IF($F63="s-curve",$D63+($E63-$D63)*$I$2/(1+EXP($I$3*(COUNT($O$9:AC$9)+$I$4))),TREND($D63:$E63,$D$9:$E$9,AC$9))</f>
        <v>0</v>
      </c>
      <c r="AD63">
        <f>IF($F63="s-curve",$D63+($E63-$D63)*$I$2/(1+EXP($I$3*(COUNT($O$9:AD$9)+$I$4))),TREND($D63:$E63,$D$9:$E$9,AD$9))</f>
        <v>0</v>
      </c>
      <c r="AE63">
        <f>IF($F63="s-curve",$D63+($E63-$D63)*$I$2/(1+EXP($I$3*(COUNT($O$9:AE$9)+$I$4))),TREND($D63:$E63,$D$9:$E$9,AE$9))</f>
        <v>0</v>
      </c>
      <c r="AF63">
        <f>IF($F63="s-curve",$D63+($E63-$D63)*$I$2/(1+EXP($I$3*(COUNT($O$9:AF$9)+$I$4))),TREND($D63:$E63,$D$9:$E$9,AF$9))</f>
        <v>0</v>
      </c>
      <c r="AG63">
        <f>IF($F63="s-curve",$D63+($E63-$D63)*$I$2/(1+EXP($I$3*(COUNT($O$9:AG$9)+$I$4))),TREND($D63:$E63,$D$9:$E$9,AG$9))</f>
        <v>0</v>
      </c>
      <c r="AH63">
        <f>IF($F63="s-curve",$D63+($E63-$D63)*$I$2/(1+EXP($I$3*(COUNT($O$9:AH$9)+$I$4))),TREND($D63:$E63,$D$9:$E$9,AH$9))</f>
        <v>0</v>
      </c>
      <c r="AI63">
        <f>IF($F63="s-curve",$D63+($E63-$D63)*$I$2/(1+EXP($I$3*(COUNT($O$9:AI$9)+$I$4))),TREND($D63:$E63,$D$9:$E$9,AI$9))</f>
        <v>0</v>
      </c>
      <c r="AJ63">
        <f>IF($F63="s-curve",$D63+($E63-$D63)*$I$2/(1+EXP($I$3*(COUNT($O$9:AJ$9)+$I$4))),TREND($D63:$E63,$D$9:$E$9,AJ$9))</f>
        <v>0</v>
      </c>
      <c r="AK63">
        <f>IF($F63="s-curve",$D63+($E63-$D63)*$I$2/(1+EXP($I$3*(COUNT($O$9:AK$9)+$I$4))),TREND($D63:$E63,$D$9:$E$9,AK$9))</f>
        <v>0</v>
      </c>
      <c r="AL63">
        <f>IF($F63="s-curve",$D63+($E63-$D63)*$I$2/(1+EXP($I$3*(COUNT($O$9:AL$9)+$I$4))),TREND($D63:$E63,$D$9:$E$9,AL$9))</f>
        <v>0</v>
      </c>
      <c r="AM63">
        <f>IF($F63="s-curve",$D63+($E63-$D63)*$I$2/(1+EXP($I$3*(COUNT($O$9:AM$9)+$I$4))),TREND($D63:$E63,$D$9:$E$9,AM$9))</f>
        <v>0</v>
      </c>
      <c r="AN63">
        <f>IF($F63="s-curve",$D63+($E63-$D63)*$I$2/(1+EXP($I$3*(COUNT($O$9:AN$9)+$I$4))),TREND($D63:$E63,$D$9:$E$9,AN$9))</f>
        <v>0</v>
      </c>
      <c r="AO63">
        <f>IF($F63="s-curve",$D63+($E63-$D63)*$I$2/(1+EXP($I$3*(COUNT($O$9:AO$9)+$I$4))),TREND($D63:$E63,$D$9:$E$9,AO$9))</f>
        <v>0</v>
      </c>
      <c r="AP63">
        <f>IF($F63="s-curve",$D63+($E63-$D63)*$I$2/(1+EXP($I$3*(COUNT($O$9:AP$9)+$I$4))),TREND($D63:$E63,$D$9:$E$9,AP$9))</f>
        <v>0</v>
      </c>
      <c r="AQ63">
        <f>IF($F63="s-curve",$D63+($E63-$D63)*$I$2/(1+EXP($I$3*(COUNT($O$9:AQ$9)+$I$4))),TREND($D63:$E63,$D$9:$E$9,AQ$9))</f>
        <v>0</v>
      </c>
      <c r="AR63">
        <f>IF($F63="s-curve",$D63+($E63-$D63)*$I$2/(1+EXP($I$3*(COUNT($O$9:AR$9)+$I$4))),TREND($D63:$E63,$D$9:$E$9,AR$9))</f>
        <v>0</v>
      </c>
      <c r="AS63">
        <f>IF($F63="s-curve",$D63+($E63-$D63)*$I$2/(1+EXP($I$3*(COUNT($O$9:AS$9)+$I$4))),TREND($D63:$E63,$D$9:$E$9,AS$9))</f>
        <v>0</v>
      </c>
      <c r="AT63">
        <f t="shared" si="11"/>
        <v>0</v>
      </c>
      <c r="AU63">
        <f t="shared" si="15"/>
        <v>0</v>
      </c>
      <c r="AV63">
        <f t="shared" si="15"/>
        <v>0</v>
      </c>
      <c r="AW63">
        <f t="shared" si="15"/>
        <v>0</v>
      </c>
      <c r="AX63">
        <f t="shared" si="15"/>
        <v>0</v>
      </c>
      <c r="AY63">
        <f t="shared" si="15"/>
        <v>0</v>
      </c>
      <c r="AZ63">
        <f t="shared" si="15"/>
        <v>0</v>
      </c>
      <c r="BA63">
        <f t="shared" si="15"/>
        <v>0</v>
      </c>
      <c r="BB63">
        <f t="shared" si="15"/>
        <v>0</v>
      </c>
      <c r="BC63">
        <f t="shared" si="15"/>
        <v>0</v>
      </c>
    </row>
    <row r="64" spans="1:55" x14ac:dyDescent="0.15">
      <c r="C64" t="s">
        <v>125</v>
      </c>
      <c r="D64">
        <v>0</v>
      </c>
      <c r="E64">
        <v>0</v>
      </c>
      <c r="F64" s="7" t="str">
        <f>IF(D64=E64,"n/a",IF(OR(C64="battery electric vehicle",C64="natural gas vehicle",C64="plugin hybrid vehicle",C64="hydrogen vehicle"),"s-curve","linear"))</f>
        <v>n/a</v>
      </c>
      <c r="O64" s="22">
        <f t="shared" si="14"/>
        <v>0</v>
      </c>
      <c r="P64">
        <f>IF($F64="s-curve",$D64+($E64-$D64)*$I$2/(1+EXP($I$3*(COUNT($O$9:P$9)+$I$4))),TREND($D64:$E64,$D$9:$E$9,P$9))</f>
        <v>0</v>
      </c>
      <c r="Q64">
        <f>IF($F64="s-curve",$D64+($E64-$D64)*$I$2/(1+EXP($I$3*(COUNT($O$9:Q$9)+$I$4))),TREND($D64:$E64,$D$9:$E$9,Q$9))</f>
        <v>0</v>
      </c>
      <c r="R64">
        <f>IF($F64="s-curve",$D64+($E64-$D64)*$I$2/(1+EXP($I$3*(COUNT($O$9:R$9)+$I$4))),TREND($D64:$E64,$D$9:$E$9,R$9))</f>
        <v>0</v>
      </c>
      <c r="S64">
        <f>IF($F64="s-curve",$D64+($E64-$D64)*$I$2/(1+EXP($I$3*(COUNT($O$9:S$9)+$I$4))),TREND($D64:$E64,$D$9:$E$9,S$9))</f>
        <v>0</v>
      </c>
      <c r="T64">
        <f>IF($F64="s-curve",$D64+($E64-$D64)*$I$2/(1+EXP($I$3*(COUNT($O$9:T$9)+$I$4))),TREND($D64:$E64,$D$9:$E$9,T$9))</f>
        <v>0</v>
      </c>
      <c r="U64">
        <f>IF($F64="s-curve",$D64+($E64-$D64)*$I$2/(1+EXP($I$3*(COUNT($O$9:U$9)+$I$4))),TREND($D64:$E64,$D$9:$E$9,U$9))</f>
        <v>0</v>
      </c>
      <c r="V64">
        <f>IF($F64="s-curve",$D64+($E64-$D64)*$I$2/(1+EXP($I$3*(COUNT($O$9:V$9)+$I$4))),TREND($D64:$E64,$D$9:$E$9,V$9))</f>
        <v>0</v>
      </c>
      <c r="W64">
        <f>IF($F64="s-curve",$D64+($E64-$D64)*$I$2/(1+EXP($I$3*(COUNT($O$9:W$9)+$I$4))),TREND($D64:$E64,$D$9:$E$9,W$9))</f>
        <v>0</v>
      </c>
      <c r="X64">
        <f>IF($F64="s-curve",$D64+($E64-$D64)*$I$2/(1+EXP($I$3*(COUNT($O$9:X$9)+$I$4))),TREND($D64:$E64,$D$9:$E$9,X$9))</f>
        <v>0</v>
      </c>
      <c r="Y64">
        <f>IF($F64="s-curve",$D64+($E64-$D64)*$I$2/(1+EXP($I$3*(COUNT($O$9:Y$9)+$I$4))),TREND($D64:$E64,$D$9:$E$9,Y$9))</f>
        <v>0</v>
      </c>
      <c r="Z64">
        <f>IF($F64="s-curve",$D64+($E64-$D64)*$I$2/(1+EXP($I$3*(COUNT($O$9:Z$9)+$I$4))),TREND($D64:$E64,$D$9:$E$9,Z$9))</f>
        <v>0</v>
      </c>
      <c r="AA64">
        <f>IF($F64="s-curve",$D64+($E64-$D64)*$I$2/(1+EXP($I$3*(COUNT($O$9:AA$9)+$I$4))),TREND($D64:$E64,$D$9:$E$9,AA$9))</f>
        <v>0</v>
      </c>
      <c r="AB64">
        <f>IF($F64="s-curve",$D64+($E64-$D64)*$I$2/(1+EXP($I$3*(COUNT($O$9:AB$9)+$I$4))),TREND($D64:$E64,$D$9:$E$9,AB$9))</f>
        <v>0</v>
      </c>
      <c r="AC64">
        <f>IF($F64="s-curve",$D64+($E64-$D64)*$I$2/(1+EXP($I$3*(COUNT($O$9:AC$9)+$I$4))),TREND($D64:$E64,$D$9:$E$9,AC$9))</f>
        <v>0</v>
      </c>
      <c r="AD64">
        <f>IF($F64="s-curve",$D64+($E64-$D64)*$I$2/(1+EXP($I$3*(COUNT($O$9:AD$9)+$I$4))),TREND($D64:$E64,$D$9:$E$9,AD$9))</f>
        <v>0</v>
      </c>
      <c r="AE64">
        <f>IF($F64="s-curve",$D64+($E64-$D64)*$I$2/(1+EXP($I$3*(COUNT($O$9:AE$9)+$I$4))),TREND($D64:$E64,$D$9:$E$9,AE$9))</f>
        <v>0</v>
      </c>
      <c r="AF64">
        <f>IF($F64="s-curve",$D64+($E64-$D64)*$I$2/(1+EXP($I$3*(COUNT($O$9:AF$9)+$I$4))),TREND($D64:$E64,$D$9:$E$9,AF$9))</f>
        <v>0</v>
      </c>
      <c r="AG64">
        <f>IF($F64="s-curve",$D64+($E64-$D64)*$I$2/(1+EXP($I$3*(COUNT($O$9:AG$9)+$I$4))),TREND($D64:$E64,$D$9:$E$9,AG$9))</f>
        <v>0</v>
      </c>
      <c r="AH64">
        <f>IF($F64="s-curve",$D64+($E64-$D64)*$I$2/(1+EXP($I$3*(COUNT($O$9:AH$9)+$I$4))),TREND($D64:$E64,$D$9:$E$9,AH$9))</f>
        <v>0</v>
      </c>
      <c r="AI64">
        <f>IF($F64="s-curve",$D64+($E64-$D64)*$I$2/(1+EXP($I$3*(COUNT($O$9:AI$9)+$I$4))),TREND($D64:$E64,$D$9:$E$9,AI$9))</f>
        <v>0</v>
      </c>
      <c r="AJ64">
        <f>IF($F64="s-curve",$D64+($E64-$D64)*$I$2/(1+EXP($I$3*(COUNT($O$9:AJ$9)+$I$4))),TREND($D64:$E64,$D$9:$E$9,AJ$9))</f>
        <v>0</v>
      </c>
      <c r="AK64">
        <f>IF($F64="s-curve",$D64+($E64-$D64)*$I$2/(1+EXP($I$3*(COUNT($O$9:AK$9)+$I$4))),TREND($D64:$E64,$D$9:$E$9,AK$9))</f>
        <v>0</v>
      </c>
      <c r="AL64">
        <f>IF($F64="s-curve",$D64+($E64-$D64)*$I$2/(1+EXP($I$3*(COUNT($O$9:AL$9)+$I$4))),TREND($D64:$E64,$D$9:$E$9,AL$9))</f>
        <v>0</v>
      </c>
      <c r="AM64">
        <f>IF($F64="s-curve",$D64+($E64-$D64)*$I$2/(1+EXP($I$3*(COUNT($O$9:AM$9)+$I$4))),TREND($D64:$E64,$D$9:$E$9,AM$9))</f>
        <v>0</v>
      </c>
      <c r="AN64">
        <f>IF($F64="s-curve",$D64+($E64-$D64)*$I$2/(1+EXP($I$3*(COUNT($O$9:AN$9)+$I$4))),TREND($D64:$E64,$D$9:$E$9,AN$9))</f>
        <v>0</v>
      </c>
      <c r="AO64">
        <f>IF($F64="s-curve",$D64+($E64-$D64)*$I$2/(1+EXP($I$3*(COUNT($O$9:AO$9)+$I$4))),TREND($D64:$E64,$D$9:$E$9,AO$9))</f>
        <v>0</v>
      </c>
      <c r="AP64">
        <f>IF($F64="s-curve",$D64+($E64-$D64)*$I$2/(1+EXP($I$3*(COUNT($O$9:AP$9)+$I$4))),TREND($D64:$E64,$D$9:$E$9,AP$9))</f>
        <v>0</v>
      </c>
      <c r="AQ64">
        <f>IF($F64="s-curve",$D64+($E64-$D64)*$I$2/(1+EXP($I$3*(COUNT($O$9:AQ$9)+$I$4))),TREND($D64:$E64,$D$9:$E$9,AQ$9))</f>
        <v>0</v>
      </c>
      <c r="AR64">
        <f>IF($F64="s-curve",$D64+($E64-$D64)*$I$2/(1+EXP($I$3*(COUNT($O$9:AR$9)+$I$4))),TREND($D64:$E64,$D$9:$E$9,AR$9))</f>
        <v>0</v>
      </c>
      <c r="AS64">
        <f>IF($F64="s-curve",$D64+($E64-$D64)*$I$2/(1+EXP($I$3*(COUNT($O$9:AS$9)+$I$4))),TREND($D64:$E64,$D$9:$E$9,AS$9))</f>
        <v>0</v>
      </c>
      <c r="AT64">
        <f t="shared" si="11"/>
        <v>0</v>
      </c>
      <c r="AU64">
        <f t="shared" si="15"/>
        <v>0</v>
      </c>
      <c r="AV64">
        <f t="shared" si="15"/>
        <v>0</v>
      </c>
      <c r="AW64">
        <f t="shared" si="15"/>
        <v>0</v>
      </c>
      <c r="AX64">
        <f t="shared" si="15"/>
        <v>0</v>
      </c>
      <c r="AY64">
        <f t="shared" si="15"/>
        <v>0</v>
      </c>
      <c r="AZ64">
        <f t="shared" si="15"/>
        <v>0</v>
      </c>
      <c r="BA64">
        <f t="shared" si="15"/>
        <v>0</v>
      </c>
      <c r="BB64">
        <f t="shared" si="15"/>
        <v>0</v>
      </c>
      <c r="BC64">
        <f t="shared" si="15"/>
        <v>0</v>
      </c>
    </row>
    <row r="65" spans="1:55" ht="13.6" thickBot="1" x14ac:dyDescent="0.2">
      <c r="A65" s="23"/>
      <c r="B65" s="23"/>
      <c r="C65" s="23" t="s">
        <v>126</v>
      </c>
      <c r="D65" s="23">
        <v>0</v>
      </c>
      <c r="E65" s="23">
        <v>0</v>
      </c>
      <c r="F65" s="8" t="str">
        <f>IF(D65=E65,"n/a",IF(OR(C65="battery electric vehicle",C65="natural gas vehicle",C65="plugin hybrid vehicle",C65="hydrogen vehicle"),"s-curve","linear"))</f>
        <v>n/a</v>
      </c>
      <c r="O65" s="22">
        <f t="shared" si="14"/>
        <v>0</v>
      </c>
      <c r="P65">
        <f>IF($F65="s-curve",$D65+($E65-$D65)*$I$2/(1+EXP($I$3*(COUNT($O$9:P$9)+$I$4))),TREND($D65:$E65,$D$9:$E$9,P$9))</f>
        <v>0</v>
      </c>
      <c r="Q65">
        <f>IF($F65="s-curve",$D65+($E65-$D65)*$I$2/(1+EXP($I$3*(COUNT($O$9:Q$9)+$I$4))),TREND($D65:$E65,$D$9:$E$9,Q$9))</f>
        <v>0</v>
      </c>
      <c r="R65">
        <f>IF($F65="s-curve",$D65+($E65-$D65)*$I$2/(1+EXP($I$3*(COUNT($O$9:R$9)+$I$4))),TREND($D65:$E65,$D$9:$E$9,R$9))</f>
        <v>0</v>
      </c>
      <c r="S65">
        <f>IF($F65="s-curve",$D65+($E65-$D65)*$I$2/(1+EXP($I$3*(COUNT($O$9:S$9)+$I$4))),TREND($D65:$E65,$D$9:$E$9,S$9))</f>
        <v>0</v>
      </c>
      <c r="T65">
        <f>IF($F65="s-curve",$D65+($E65-$D65)*$I$2/(1+EXP($I$3*(COUNT($O$9:T$9)+$I$4))),TREND($D65:$E65,$D$9:$E$9,T$9))</f>
        <v>0</v>
      </c>
      <c r="U65">
        <f>IF($F65="s-curve",$D65+($E65-$D65)*$I$2/(1+EXP($I$3*(COUNT($O$9:U$9)+$I$4))),TREND($D65:$E65,$D$9:$E$9,U$9))</f>
        <v>0</v>
      </c>
      <c r="V65">
        <f>IF($F65="s-curve",$D65+($E65-$D65)*$I$2/(1+EXP($I$3*(COUNT($O$9:V$9)+$I$4))),TREND($D65:$E65,$D$9:$E$9,V$9))</f>
        <v>0</v>
      </c>
      <c r="W65">
        <f>IF($F65="s-curve",$D65+($E65-$D65)*$I$2/(1+EXP($I$3*(COUNT($O$9:W$9)+$I$4))),TREND($D65:$E65,$D$9:$E$9,W$9))</f>
        <v>0</v>
      </c>
      <c r="X65">
        <f>IF($F65="s-curve",$D65+($E65-$D65)*$I$2/(1+EXP($I$3*(COUNT($O$9:X$9)+$I$4))),TREND($D65:$E65,$D$9:$E$9,X$9))</f>
        <v>0</v>
      </c>
      <c r="Y65">
        <f>IF($F65="s-curve",$D65+($E65-$D65)*$I$2/(1+EXP($I$3*(COUNT($O$9:Y$9)+$I$4))),TREND($D65:$E65,$D$9:$E$9,Y$9))</f>
        <v>0</v>
      </c>
      <c r="Z65">
        <f>IF($F65="s-curve",$D65+($E65-$D65)*$I$2/(1+EXP($I$3*(COUNT($O$9:Z$9)+$I$4))),TREND($D65:$E65,$D$9:$E$9,Z$9))</f>
        <v>0</v>
      </c>
      <c r="AA65">
        <f>IF($F65="s-curve",$D65+($E65-$D65)*$I$2/(1+EXP($I$3*(COUNT($O$9:AA$9)+$I$4))),TREND($D65:$E65,$D$9:$E$9,AA$9))</f>
        <v>0</v>
      </c>
      <c r="AB65">
        <f>IF($F65="s-curve",$D65+($E65-$D65)*$I$2/(1+EXP($I$3*(COUNT($O$9:AB$9)+$I$4))),TREND($D65:$E65,$D$9:$E$9,AB$9))</f>
        <v>0</v>
      </c>
      <c r="AC65">
        <f>IF($F65="s-curve",$D65+($E65-$D65)*$I$2/(1+EXP($I$3*(COUNT($O$9:AC$9)+$I$4))),TREND($D65:$E65,$D$9:$E$9,AC$9))</f>
        <v>0</v>
      </c>
      <c r="AD65">
        <f>IF($F65="s-curve",$D65+($E65-$D65)*$I$2/(1+EXP($I$3*(COUNT($O$9:AD$9)+$I$4))),TREND($D65:$E65,$D$9:$E$9,AD$9))</f>
        <v>0</v>
      </c>
      <c r="AE65">
        <f>IF($F65="s-curve",$D65+($E65-$D65)*$I$2/(1+EXP($I$3*(COUNT($O$9:AE$9)+$I$4))),TREND($D65:$E65,$D$9:$E$9,AE$9))</f>
        <v>0</v>
      </c>
      <c r="AF65">
        <f>IF($F65="s-curve",$D65+($E65-$D65)*$I$2/(1+EXP($I$3*(COUNT($O$9:AF$9)+$I$4))),TREND($D65:$E65,$D$9:$E$9,AF$9))</f>
        <v>0</v>
      </c>
      <c r="AG65">
        <f>IF($F65="s-curve",$D65+($E65-$D65)*$I$2/(1+EXP($I$3*(COUNT($O$9:AG$9)+$I$4))),TREND($D65:$E65,$D$9:$E$9,AG$9))</f>
        <v>0</v>
      </c>
      <c r="AH65">
        <f>IF($F65="s-curve",$D65+($E65-$D65)*$I$2/(1+EXP($I$3*(COUNT($O$9:AH$9)+$I$4))),TREND($D65:$E65,$D$9:$E$9,AH$9))</f>
        <v>0</v>
      </c>
      <c r="AI65">
        <f>IF($F65="s-curve",$D65+($E65-$D65)*$I$2/(1+EXP($I$3*(COUNT($O$9:AI$9)+$I$4))),TREND($D65:$E65,$D$9:$E$9,AI$9))</f>
        <v>0</v>
      </c>
      <c r="AJ65">
        <f>IF($F65="s-curve",$D65+($E65-$D65)*$I$2/(1+EXP($I$3*(COUNT($O$9:AJ$9)+$I$4))),TREND($D65:$E65,$D$9:$E$9,AJ$9))</f>
        <v>0</v>
      </c>
      <c r="AK65">
        <f>IF($F65="s-curve",$D65+($E65-$D65)*$I$2/(1+EXP($I$3*(COUNT($O$9:AK$9)+$I$4))),TREND($D65:$E65,$D$9:$E$9,AK$9))</f>
        <v>0</v>
      </c>
      <c r="AL65">
        <f>IF($F65="s-curve",$D65+($E65-$D65)*$I$2/(1+EXP($I$3*(COUNT($O$9:AL$9)+$I$4))),TREND($D65:$E65,$D$9:$E$9,AL$9))</f>
        <v>0</v>
      </c>
      <c r="AM65">
        <f>IF($F65="s-curve",$D65+($E65-$D65)*$I$2/(1+EXP($I$3*(COUNT($O$9:AM$9)+$I$4))),TREND($D65:$E65,$D$9:$E$9,AM$9))</f>
        <v>0</v>
      </c>
      <c r="AN65">
        <f>IF($F65="s-curve",$D65+($E65-$D65)*$I$2/(1+EXP($I$3*(COUNT($O$9:AN$9)+$I$4))),TREND($D65:$E65,$D$9:$E$9,AN$9))</f>
        <v>0</v>
      </c>
      <c r="AO65">
        <f>IF($F65="s-curve",$D65+($E65-$D65)*$I$2/(1+EXP($I$3*(COUNT($O$9:AO$9)+$I$4))),TREND($D65:$E65,$D$9:$E$9,AO$9))</f>
        <v>0</v>
      </c>
      <c r="AP65">
        <f>IF($F65="s-curve",$D65+($E65-$D65)*$I$2/(1+EXP($I$3*(COUNT($O$9:AP$9)+$I$4))),TREND($D65:$E65,$D$9:$E$9,AP$9))</f>
        <v>0</v>
      </c>
      <c r="AQ65">
        <f>IF($F65="s-curve",$D65+($E65-$D65)*$I$2/(1+EXP($I$3*(COUNT($O$9:AQ$9)+$I$4))),TREND($D65:$E65,$D$9:$E$9,AQ$9))</f>
        <v>0</v>
      </c>
      <c r="AR65">
        <f>IF($F65="s-curve",$D65+($E65-$D65)*$I$2/(1+EXP($I$3*(COUNT($O$9:AR$9)+$I$4))),TREND($D65:$E65,$D$9:$E$9,AR$9))</f>
        <v>0</v>
      </c>
      <c r="AS65">
        <f>IF($F65="s-curve",$D65+($E65-$D65)*$I$2/(1+EXP($I$3*(COUNT($O$9:AS$9)+$I$4))),TREND($D65:$E65,$D$9:$E$9,AS$9))</f>
        <v>0</v>
      </c>
      <c r="AT65">
        <f t="shared" si="11"/>
        <v>0</v>
      </c>
      <c r="AU65">
        <f t="shared" si="15"/>
        <v>0</v>
      </c>
      <c r="AV65">
        <f t="shared" si="15"/>
        <v>0</v>
      </c>
      <c r="AW65">
        <f t="shared" si="15"/>
        <v>0</v>
      </c>
      <c r="AX65">
        <f t="shared" si="15"/>
        <v>0</v>
      </c>
      <c r="AY65">
        <f t="shared" si="15"/>
        <v>0</v>
      </c>
      <c r="AZ65">
        <f t="shared" si="15"/>
        <v>0</v>
      </c>
      <c r="BA65">
        <f t="shared" si="15"/>
        <v>0</v>
      </c>
      <c r="BB65">
        <f t="shared" si="15"/>
        <v>0</v>
      </c>
      <c r="BC65">
        <f t="shared" si="15"/>
        <v>0</v>
      </c>
    </row>
    <row r="66" spans="1:55" x14ac:dyDescent="0.15">
      <c r="A66" t="s">
        <v>16</v>
      </c>
      <c r="B66" t="s">
        <v>19</v>
      </c>
      <c r="C66" t="s">
        <v>1</v>
      </c>
      <c r="D66">
        <v>0</v>
      </c>
      <c r="E66">
        <v>0</v>
      </c>
      <c r="F66" s="7" t="str">
        <f>IF(D66=E66,"n/a",IF(OR(C66="battery electric vehicle",C66="natural gas vehicle",C66="plugin hybrid vehicle"),"s-curve","linear"))</f>
        <v>n/a</v>
      </c>
      <c r="O66" s="22">
        <f t="shared" si="14"/>
        <v>0</v>
      </c>
      <c r="P66">
        <f>IF($F66="s-curve",$D66+($E66-$D66)*$I$2/(1+EXP($I$3*(COUNT($O$9:P$9)+$I$4))),TREND($D66:$E66,$D$9:$E$9,P$9))</f>
        <v>0</v>
      </c>
      <c r="Q66">
        <f>IF($F66="s-curve",$D66+($E66-$D66)*$I$2/(1+EXP($I$3*(COUNT($O$9:Q$9)+$I$4))),TREND($D66:$E66,$D$9:$E$9,Q$9))</f>
        <v>0</v>
      </c>
      <c r="R66">
        <f>IF($F66="s-curve",$D66+($E66-$D66)*$I$2/(1+EXP($I$3*(COUNT($O$9:R$9)+$I$4))),TREND($D66:$E66,$D$9:$E$9,R$9))</f>
        <v>0</v>
      </c>
      <c r="S66">
        <f>IF($F66="s-curve",$D66+($E66-$D66)*$I$2/(1+EXP($I$3*(COUNT($O$9:S$9)+$I$4))),TREND($D66:$E66,$D$9:$E$9,S$9))</f>
        <v>0</v>
      </c>
      <c r="T66">
        <f>IF($F66="s-curve",$D66+($E66-$D66)*$I$2/(1+EXP($I$3*(COUNT($O$9:T$9)+$I$4))),TREND($D66:$E66,$D$9:$E$9,T$9))</f>
        <v>0</v>
      </c>
      <c r="U66">
        <f>IF($F66="s-curve",$D66+($E66-$D66)*$I$2/(1+EXP($I$3*(COUNT($O$9:U$9)+$I$4))),TREND($D66:$E66,$D$9:$E$9,U$9))</f>
        <v>0</v>
      </c>
      <c r="V66">
        <f>IF($F66="s-curve",$D66+($E66-$D66)*$I$2/(1+EXP($I$3*(COUNT($O$9:V$9)+$I$4))),TREND($D66:$E66,$D$9:$E$9,V$9))</f>
        <v>0</v>
      </c>
      <c r="W66">
        <f>IF($F66="s-curve",$D66+($E66-$D66)*$I$2/(1+EXP($I$3*(COUNT($O$9:W$9)+$I$4))),TREND($D66:$E66,$D$9:$E$9,W$9))</f>
        <v>0</v>
      </c>
      <c r="X66">
        <f>IF($F66="s-curve",$D66+($E66-$D66)*$I$2/(1+EXP($I$3*(COUNT($O$9:X$9)+$I$4))),TREND($D66:$E66,$D$9:$E$9,X$9))</f>
        <v>0</v>
      </c>
      <c r="Y66">
        <f>IF($F66="s-curve",$D66+($E66-$D66)*$I$2/(1+EXP($I$3*(COUNT($O$9:Y$9)+$I$4))),TREND($D66:$E66,$D$9:$E$9,Y$9))</f>
        <v>0</v>
      </c>
      <c r="Z66">
        <f>IF($F66="s-curve",$D66+($E66-$D66)*$I$2/(1+EXP($I$3*(COUNT($O$9:Z$9)+$I$4))),TREND($D66:$E66,$D$9:$E$9,Z$9))</f>
        <v>0</v>
      </c>
      <c r="AA66">
        <f>IF($F66="s-curve",$D66+($E66-$D66)*$I$2/(1+EXP($I$3*(COUNT($O$9:AA$9)+$I$4))),TREND($D66:$E66,$D$9:$E$9,AA$9))</f>
        <v>0</v>
      </c>
      <c r="AB66">
        <f>IF($F66="s-curve",$D66+($E66-$D66)*$I$2/(1+EXP($I$3*(COUNT($O$9:AB$9)+$I$4))),TREND($D66:$E66,$D$9:$E$9,AB$9))</f>
        <v>0</v>
      </c>
      <c r="AC66">
        <f>IF($F66="s-curve",$D66+($E66-$D66)*$I$2/(1+EXP($I$3*(COUNT($O$9:AC$9)+$I$4))),TREND($D66:$E66,$D$9:$E$9,AC$9))</f>
        <v>0</v>
      </c>
      <c r="AD66">
        <f>IF($F66="s-curve",$D66+($E66-$D66)*$I$2/(1+EXP($I$3*(COUNT($O$9:AD$9)+$I$4))),TREND($D66:$E66,$D$9:$E$9,AD$9))</f>
        <v>0</v>
      </c>
      <c r="AE66">
        <f>IF($F66="s-curve",$D66+($E66-$D66)*$I$2/(1+EXP($I$3*(COUNT($O$9:AE$9)+$I$4))),TREND($D66:$E66,$D$9:$E$9,AE$9))</f>
        <v>0</v>
      </c>
      <c r="AF66">
        <f>IF($F66="s-curve",$D66+($E66-$D66)*$I$2/(1+EXP($I$3*(COUNT($O$9:AF$9)+$I$4))),TREND($D66:$E66,$D$9:$E$9,AF$9))</f>
        <v>0</v>
      </c>
      <c r="AG66">
        <f>IF($F66="s-curve",$D66+($E66-$D66)*$I$2/(1+EXP($I$3*(COUNT($O$9:AG$9)+$I$4))),TREND($D66:$E66,$D$9:$E$9,AG$9))</f>
        <v>0</v>
      </c>
      <c r="AH66">
        <f>IF($F66="s-curve",$D66+($E66-$D66)*$I$2/(1+EXP($I$3*(COUNT($O$9:AH$9)+$I$4))),TREND($D66:$E66,$D$9:$E$9,AH$9))</f>
        <v>0</v>
      </c>
      <c r="AI66">
        <f>IF($F66="s-curve",$D66+($E66-$D66)*$I$2/(1+EXP($I$3*(COUNT($O$9:AI$9)+$I$4))),TREND($D66:$E66,$D$9:$E$9,AI$9))</f>
        <v>0</v>
      </c>
      <c r="AJ66">
        <f>IF($F66="s-curve",$D66+($E66-$D66)*$I$2/(1+EXP($I$3*(COUNT($O$9:AJ$9)+$I$4))),TREND($D66:$E66,$D$9:$E$9,AJ$9))</f>
        <v>0</v>
      </c>
      <c r="AK66">
        <f>IF($F66="s-curve",$D66+($E66-$D66)*$I$2/(1+EXP($I$3*(COUNT($O$9:AK$9)+$I$4))),TREND($D66:$E66,$D$9:$E$9,AK$9))</f>
        <v>0</v>
      </c>
      <c r="AL66">
        <f>IF($F66="s-curve",$D66+($E66-$D66)*$I$2/(1+EXP($I$3*(COUNT($O$9:AL$9)+$I$4))),TREND($D66:$E66,$D$9:$E$9,AL$9))</f>
        <v>0</v>
      </c>
      <c r="AM66">
        <f>IF($F66="s-curve",$D66+($E66-$D66)*$I$2/(1+EXP($I$3*(COUNT($O$9:AM$9)+$I$4))),TREND($D66:$E66,$D$9:$E$9,AM$9))</f>
        <v>0</v>
      </c>
      <c r="AN66">
        <f>IF($F66="s-curve",$D66+($E66-$D66)*$I$2/(1+EXP($I$3*(COUNT($O$9:AN$9)+$I$4))),TREND($D66:$E66,$D$9:$E$9,AN$9))</f>
        <v>0</v>
      </c>
      <c r="AO66">
        <f>IF($F66="s-curve",$D66+($E66-$D66)*$I$2/(1+EXP($I$3*(COUNT($O$9:AO$9)+$I$4))),TREND($D66:$E66,$D$9:$E$9,AO$9))</f>
        <v>0</v>
      </c>
      <c r="AP66">
        <f>IF($F66="s-curve",$D66+($E66-$D66)*$I$2/(1+EXP($I$3*(COUNT($O$9:AP$9)+$I$4))),TREND($D66:$E66,$D$9:$E$9,AP$9))</f>
        <v>0</v>
      </c>
      <c r="AQ66">
        <f>IF($F66="s-curve",$D66+($E66-$D66)*$I$2/(1+EXP($I$3*(COUNT($O$9:AQ$9)+$I$4))),TREND($D66:$E66,$D$9:$E$9,AQ$9))</f>
        <v>0</v>
      </c>
      <c r="AR66">
        <f>IF($F66="s-curve",$D66+($E66-$D66)*$I$2/(1+EXP($I$3*(COUNT($O$9:AR$9)+$I$4))),TREND($D66:$E66,$D$9:$E$9,AR$9))</f>
        <v>0</v>
      </c>
      <c r="AS66">
        <f>IF($F66="s-curve",$D66+($E66-$D66)*$I$2/(1+EXP($I$3*(COUNT($O$9:AS$9)+$I$4))),TREND($D66:$E66,$D$9:$E$9,AS$9))</f>
        <v>0</v>
      </c>
      <c r="AT66">
        <f t="shared" si="11"/>
        <v>0</v>
      </c>
      <c r="AU66">
        <f t="shared" si="15"/>
        <v>0</v>
      </c>
      <c r="AV66">
        <f t="shared" si="15"/>
        <v>0</v>
      </c>
      <c r="AW66">
        <f t="shared" si="15"/>
        <v>0</v>
      </c>
      <c r="AX66">
        <f t="shared" si="15"/>
        <v>0</v>
      </c>
      <c r="AY66">
        <f t="shared" si="15"/>
        <v>0</v>
      </c>
      <c r="AZ66">
        <f t="shared" si="15"/>
        <v>0</v>
      </c>
      <c r="BA66">
        <f t="shared" si="15"/>
        <v>0</v>
      </c>
      <c r="BB66">
        <f t="shared" si="15"/>
        <v>0</v>
      </c>
      <c r="BC66">
        <f t="shared" si="15"/>
        <v>0</v>
      </c>
    </row>
    <row r="67" spans="1:55" x14ac:dyDescent="0.15">
      <c r="C67" t="s">
        <v>2</v>
      </c>
      <c r="D67">
        <v>0</v>
      </c>
      <c r="E67">
        <v>0</v>
      </c>
      <c r="F67" s="7" t="str">
        <f>IF(D67=E67,"n/a",IF(OR(C67="battery electric vehicle",C67="natural gas vehicle",C67="plugin hybrid vehicle"),"s-curve","linear"))</f>
        <v>n/a</v>
      </c>
      <c r="O67" s="22">
        <f t="shared" si="14"/>
        <v>0</v>
      </c>
      <c r="P67">
        <f>IF($F67="s-curve",$D67+($E67-$D67)*$I$2/(1+EXP($I$3*(COUNT($O$9:P$9)+$I$4))),TREND($D67:$E67,$D$9:$E$9,P$9))</f>
        <v>0</v>
      </c>
      <c r="Q67">
        <f>IF($F67="s-curve",$D67+($E67-$D67)*$I$2/(1+EXP($I$3*(COUNT($O$9:Q$9)+$I$4))),TREND($D67:$E67,$D$9:$E$9,Q$9))</f>
        <v>0</v>
      </c>
      <c r="R67">
        <f>IF($F67="s-curve",$D67+($E67-$D67)*$I$2/(1+EXP($I$3*(COUNT($O$9:R$9)+$I$4))),TREND($D67:$E67,$D$9:$E$9,R$9))</f>
        <v>0</v>
      </c>
      <c r="S67">
        <f>IF($F67="s-curve",$D67+($E67-$D67)*$I$2/(1+EXP($I$3*(COUNT($O$9:S$9)+$I$4))),TREND($D67:$E67,$D$9:$E$9,S$9))</f>
        <v>0</v>
      </c>
      <c r="T67">
        <f>IF($F67="s-curve",$D67+($E67-$D67)*$I$2/(1+EXP($I$3*(COUNT($O$9:T$9)+$I$4))),TREND($D67:$E67,$D$9:$E$9,T$9))</f>
        <v>0</v>
      </c>
      <c r="U67">
        <f>IF($F67="s-curve",$D67+($E67-$D67)*$I$2/(1+EXP($I$3*(COUNT($O$9:U$9)+$I$4))),TREND($D67:$E67,$D$9:$E$9,U$9))</f>
        <v>0</v>
      </c>
      <c r="V67">
        <f>IF($F67="s-curve",$D67+($E67-$D67)*$I$2/(1+EXP($I$3*(COUNT($O$9:V$9)+$I$4))),TREND($D67:$E67,$D$9:$E$9,V$9))</f>
        <v>0</v>
      </c>
      <c r="W67">
        <f>IF($F67="s-curve",$D67+($E67-$D67)*$I$2/(1+EXP($I$3*(COUNT($O$9:W$9)+$I$4))),TREND($D67:$E67,$D$9:$E$9,W$9))</f>
        <v>0</v>
      </c>
      <c r="X67">
        <f>IF($F67="s-curve",$D67+($E67-$D67)*$I$2/(1+EXP($I$3*(COUNT($O$9:X$9)+$I$4))),TREND($D67:$E67,$D$9:$E$9,X$9))</f>
        <v>0</v>
      </c>
      <c r="Y67">
        <f>IF($F67="s-curve",$D67+($E67-$D67)*$I$2/(1+EXP($I$3*(COUNT($O$9:Y$9)+$I$4))),TREND($D67:$E67,$D$9:$E$9,Y$9))</f>
        <v>0</v>
      </c>
      <c r="Z67">
        <f>IF($F67="s-curve",$D67+($E67-$D67)*$I$2/(1+EXP($I$3*(COUNT($O$9:Z$9)+$I$4))),TREND($D67:$E67,$D$9:$E$9,Z$9))</f>
        <v>0</v>
      </c>
      <c r="AA67">
        <f>IF($F67="s-curve",$D67+($E67-$D67)*$I$2/(1+EXP($I$3*(COUNT($O$9:AA$9)+$I$4))),TREND($D67:$E67,$D$9:$E$9,AA$9))</f>
        <v>0</v>
      </c>
      <c r="AB67">
        <f>IF($F67="s-curve",$D67+($E67-$D67)*$I$2/(1+EXP($I$3*(COUNT($O$9:AB$9)+$I$4))),TREND($D67:$E67,$D$9:$E$9,AB$9))</f>
        <v>0</v>
      </c>
      <c r="AC67">
        <f>IF($F67="s-curve",$D67+($E67-$D67)*$I$2/(1+EXP($I$3*(COUNT($O$9:AC$9)+$I$4))),TREND($D67:$E67,$D$9:$E$9,AC$9))</f>
        <v>0</v>
      </c>
      <c r="AD67">
        <f>IF($F67="s-curve",$D67+($E67-$D67)*$I$2/(1+EXP($I$3*(COUNT($O$9:AD$9)+$I$4))),TREND($D67:$E67,$D$9:$E$9,AD$9))</f>
        <v>0</v>
      </c>
      <c r="AE67">
        <f>IF($F67="s-curve",$D67+($E67-$D67)*$I$2/(1+EXP($I$3*(COUNT($O$9:AE$9)+$I$4))),TREND($D67:$E67,$D$9:$E$9,AE$9))</f>
        <v>0</v>
      </c>
      <c r="AF67">
        <f>IF($F67="s-curve",$D67+($E67-$D67)*$I$2/(1+EXP($I$3*(COUNT($O$9:AF$9)+$I$4))),TREND($D67:$E67,$D$9:$E$9,AF$9))</f>
        <v>0</v>
      </c>
      <c r="AG67">
        <f>IF($F67="s-curve",$D67+($E67-$D67)*$I$2/(1+EXP($I$3*(COUNT($O$9:AG$9)+$I$4))),TREND($D67:$E67,$D$9:$E$9,AG$9))</f>
        <v>0</v>
      </c>
      <c r="AH67">
        <f>IF($F67="s-curve",$D67+($E67-$D67)*$I$2/(1+EXP($I$3*(COUNT($O$9:AH$9)+$I$4))),TREND($D67:$E67,$D$9:$E$9,AH$9))</f>
        <v>0</v>
      </c>
      <c r="AI67">
        <f>IF($F67="s-curve",$D67+($E67-$D67)*$I$2/(1+EXP($I$3*(COUNT($O$9:AI$9)+$I$4))),TREND($D67:$E67,$D$9:$E$9,AI$9))</f>
        <v>0</v>
      </c>
      <c r="AJ67">
        <f>IF($F67="s-curve",$D67+($E67-$D67)*$I$2/(1+EXP($I$3*(COUNT($O$9:AJ$9)+$I$4))),TREND($D67:$E67,$D$9:$E$9,AJ$9))</f>
        <v>0</v>
      </c>
      <c r="AK67">
        <f>IF($F67="s-curve",$D67+($E67-$D67)*$I$2/(1+EXP($I$3*(COUNT($O$9:AK$9)+$I$4))),TREND($D67:$E67,$D$9:$E$9,AK$9))</f>
        <v>0</v>
      </c>
      <c r="AL67">
        <f>IF($F67="s-curve",$D67+($E67-$D67)*$I$2/(1+EXP($I$3*(COUNT($O$9:AL$9)+$I$4))),TREND($D67:$E67,$D$9:$E$9,AL$9))</f>
        <v>0</v>
      </c>
      <c r="AM67">
        <f>IF($F67="s-curve",$D67+($E67-$D67)*$I$2/(1+EXP($I$3*(COUNT($O$9:AM$9)+$I$4))),TREND($D67:$E67,$D$9:$E$9,AM$9))</f>
        <v>0</v>
      </c>
      <c r="AN67">
        <f>IF($F67="s-curve",$D67+($E67-$D67)*$I$2/(1+EXP($I$3*(COUNT($O$9:AN$9)+$I$4))),TREND($D67:$E67,$D$9:$E$9,AN$9))</f>
        <v>0</v>
      </c>
      <c r="AO67">
        <f>IF($F67="s-curve",$D67+($E67-$D67)*$I$2/(1+EXP($I$3*(COUNT($O$9:AO$9)+$I$4))),TREND($D67:$E67,$D$9:$E$9,AO$9))</f>
        <v>0</v>
      </c>
      <c r="AP67">
        <f>IF($F67="s-curve",$D67+($E67-$D67)*$I$2/(1+EXP($I$3*(COUNT($O$9:AP$9)+$I$4))),TREND($D67:$E67,$D$9:$E$9,AP$9))</f>
        <v>0</v>
      </c>
      <c r="AQ67">
        <f>IF($F67="s-curve",$D67+($E67-$D67)*$I$2/(1+EXP($I$3*(COUNT($O$9:AQ$9)+$I$4))),TREND($D67:$E67,$D$9:$E$9,AQ$9))</f>
        <v>0</v>
      </c>
      <c r="AR67">
        <f>IF($F67="s-curve",$D67+($E67-$D67)*$I$2/(1+EXP($I$3*(COUNT($O$9:AR$9)+$I$4))),TREND($D67:$E67,$D$9:$E$9,AR$9))</f>
        <v>0</v>
      </c>
      <c r="AS67">
        <f>IF($F67="s-curve",$D67+($E67-$D67)*$I$2/(1+EXP($I$3*(COUNT($O$9:AS$9)+$I$4))),TREND($D67:$E67,$D$9:$E$9,AS$9))</f>
        <v>0</v>
      </c>
      <c r="AT67">
        <f t="shared" si="11"/>
        <v>0</v>
      </c>
      <c r="AU67">
        <f t="shared" si="15"/>
        <v>0</v>
      </c>
      <c r="AV67">
        <f t="shared" si="15"/>
        <v>0</v>
      </c>
      <c r="AW67">
        <f t="shared" si="15"/>
        <v>0</v>
      </c>
      <c r="AX67">
        <f t="shared" si="15"/>
        <v>0</v>
      </c>
      <c r="AY67">
        <f t="shared" si="15"/>
        <v>0</v>
      </c>
      <c r="AZ67">
        <f t="shared" si="15"/>
        <v>0</v>
      </c>
      <c r="BA67">
        <f t="shared" si="15"/>
        <v>0</v>
      </c>
      <c r="BB67">
        <f t="shared" si="15"/>
        <v>0</v>
      </c>
      <c r="BC67">
        <f t="shared" si="15"/>
        <v>0</v>
      </c>
    </row>
    <row r="68" spans="1:55" x14ac:dyDescent="0.15">
      <c r="C68" t="s">
        <v>3</v>
      </c>
      <c r="D68">
        <v>0</v>
      </c>
      <c r="E68">
        <v>0</v>
      </c>
      <c r="F68" s="7" t="str">
        <f>IF(D68=E68,"n/a",IF(OR(C68="battery electric vehicle",C68="natural gas vehicle",C68="plugin hybrid vehicle"),"s-curve","linear"))</f>
        <v>n/a</v>
      </c>
      <c r="O68" s="22">
        <f t="shared" si="14"/>
        <v>0</v>
      </c>
      <c r="P68">
        <f>IF($F68="s-curve",$D68+($E68-$D68)*$I$2/(1+EXP($I$3*(COUNT($O$9:P$9)+$I$4))),TREND($D68:$E68,$D$9:$E$9,P$9))</f>
        <v>0</v>
      </c>
      <c r="Q68">
        <f>IF($F68="s-curve",$D68+($E68-$D68)*$I$2/(1+EXP($I$3*(COUNT($O$9:Q$9)+$I$4))),TREND($D68:$E68,$D$9:$E$9,Q$9))</f>
        <v>0</v>
      </c>
      <c r="R68">
        <f>IF($F68="s-curve",$D68+($E68-$D68)*$I$2/(1+EXP($I$3*(COUNT($O$9:R$9)+$I$4))),TREND($D68:$E68,$D$9:$E$9,R$9))</f>
        <v>0</v>
      </c>
      <c r="S68">
        <f>IF($F68="s-curve",$D68+($E68-$D68)*$I$2/(1+EXP($I$3*(COUNT($O$9:S$9)+$I$4))),TREND($D68:$E68,$D$9:$E$9,S$9))</f>
        <v>0</v>
      </c>
      <c r="T68">
        <f>IF($F68="s-curve",$D68+($E68-$D68)*$I$2/(1+EXP($I$3*(COUNT($O$9:T$9)+$I$4))),TREND($D68:$E68,$D$9:$E$9,T$9))</f>
        <v>0</v>
      </c>
      <c r="U68">
        <f>IF($F68="s-curve",$D68+($E68-$D68)*$I$2/(1+EXP($I$3*(COUNT($O$9:U$9)+$I$4))),TREND($D68:$E68,$D$9:$E$9,U$9))</f>
        <v>0</v>
      </c>
      <c r="V68">
        <f>IF($F68="s-curve",$D68+($E68-$D68)*$I$2/(1+EXP($I$3*(COUNT($O$9:V$9)+$I$4))),TREND($D68:$E68,$D$9:$E$9,V$9))</f>
        <v>0</v>
      </c>
      <c r="W68">
        <f>IF($F68="s-curve",$D68+($E68-$D68)*$I$2/(1+EXP($I$3*(COUNT($O$9:W$9)+$I$4))),TREND($D68:$E68,$D$9:$E$9,W$9))</f>
        <v>0</v>
      </c>
      <c r="X68">
        <f>IF($F68="s-curve",$D68+($E68-$D68)*$I$2/(1+EXP($I$3*(COUNT($O$9:X$9)+$I$4))),TREND($D68:$E68,$D$9:$E$9,X$9))</f>
        <v>0</v>
      </c>
      <c r="Y68">
        <f>IF($F68="s-curve",$D68+($E68-$D68)*$I$2/(1+EXP($I$3*(COUNT($O$9:Y$9)+$I$4))),TREND($D68:$E68,$D$9:$E$9,Y$9))</f>
        <v>0</v>
      </c>
      <c r="Z68">
        <f>IF($F68="s-curve",$D68+($E68-$D68)*$I$2/(1+EXP($I$3*(COUNT($O$9:Z$9)+$I$4))),TREND($D68:$E68,$D$9:$E$9,Z$9))</f>
        <v>0</v>
      </c>
      <c r="AA68">
        <f>IF($F68="s-curve",$D68+($E68-$D68)*$I$2/(1+EXP($I$3*(COUNT($O$9:AA$9)+$I$4))),TREND($D68:$E68,$D$9:$E$9,AA$9))</f>
        <v>0</v>
      </c>
      <c r="AB68">
        <f>IF($F68="s-curve",$D68+($E68-$D68)*$I$2/(1+EXP($I$3*(COUNT($O$9:AB$9)+$I$4))),TREND($D68:$E68,$D$9:$E$9,AB$9))</f>
        <v>0</v>
      </c>
      <c r="AC68">
        <f>IF($F68="s-curve",$D68+($E68-$D68)*$I$2/(1+EXP($I$3*(COUNT($O$9:AC$9)+$I$4))),TREND($D68:$E68,$D$9:$E$9,AC$9))</f>
        <v>0</v>
      </c>
      <c r="AD68">
        <f>IF($F68="s-curve",$D68+($E68-$D68)*$I$2/(1+EXP($I$3*(COUNT($O$9:AD$9)+$I$4))),TREND($D68:$E68,$D$9:$E$9,AD$9))</f>
        <v>0</v>
      </c>
      <c r="AE68">
        <f>IF($F68="s-curve",$D68+($E68-$D68)*$I$2/(1+EXP($I$3*(COUNT($O$9:AE$9)+$I$4))),TREND($D68:$E68,$D$9:$E$9,AE$9))</f>
        <v>0</v>
      </c>
      <c r="AF68">
        <f>IF($F68="s-curve",$D68+($E68-$D68)*$I$2/(1+EXP($I$3*(COUNT($O$9:AF$9)+$I$4))),TREND($D68:$E68,$D$9:$E$9,AF$9))</f>
        <v>0</v>
      </c>
      <c r="AG68">
        <f>IF($F68="s-curve",$D68+($E68-$D68)*$I$2/(1+EXP($I$3*(COUNT($O$9:AG$9)+$I$4))),TREND($D68:$E68,$D$9:$E$9,AG$9))</f>
        <v>0</v>
      </c>
      <c r="AH68">
        <f>IF($F68="s-curve",$D68+($E68-$D68)*$I$2/(1+EXP($I$3*(COUNT($O$9:AH$9)+$I$4))),TREND($D68:$E68,$D$9:$E$9,AH$9))</f>
        <v>0</v>
      </c>
      <c r="AI68">
        <f>IF($F68="s-curve",$D68+($E68-$D68)*$I$2/(1+EXP($I$3*(COUNT($O$9:AI$9)+$I$4))),TREND($D68:$E68,$D$9:$E$9,AI$9))</f>
        <v>0</v>
      </c>
      <c r="AJ68">
        <f>IF($F68="s-curve",$D68+($E68-$D68)*$I$2/(1+EXP($I$3*(COUNT($O$9:AJ$9)+$I$4))),TREND($D68:$E68,$D$9:$E$9,AJ$9))</f>
        <v>0</v>
      </c>
      <c r="AK68">
        <f>IF($F68="s-curve",$D68+($E68-$D68)*$I$2/(1+EXP($I$3*(COUNT($O$9:AK$9)+$I$4))),TREND($D68:$E68,$D$9:$E$9,AK$9))</f>
        <v>0</v>
      </c>
      <c r="AL68">
        <f>IF($F68="s-curve",$D68+($E68-$D68)*$I$2/(1+EXP($I$3*(COUNT($O$9:AL$9)+$I$4))),TREND($D68:$E68,$D$9:$E$9,AL$9))</f>
        <v>0</v>
      </c>
      <c r="AM68">
        <f>IF($F68="s-curve",$D68+($E68-$D68)*$I$2/(1+EXP($I$3*(COUNT($O$9:AM$9)+$I$4))),TREND($D68:$E68,$D$9:$E$9,AM$9))</f>
        <v>0</v>
      </c>
      <c r="AN68">
        <f>IF($F68="s-curve",$D68+($E68-$D68)*$I$2/(1+EXP($I$3*(COUNT($O$9:AN$9)+$I$4))),TREND($D68:$E68,$D$9:$E$9,AN$9))</f>
        <v>0</v>
      </c>
      <c r="AO68">
        <f>IF($F68="s-curve",$D68+($E68-$D68)*$I$2/(1+EXP($I$3*(COUNT($O$9:AO$9)+$I$4))),TREND($D68:$E68,$D$9:$E$9,AO$9))</f>
        <v>0</v>
      </c>
      <c r="AP68">
        <f>IF($F68="s-curve",$D68+($E68-$D68)*$I$2/(1+EXP($I$3*(COUNT($O$9:AP$9)+$I$4))),TREND($D68:$E68,$D$9:$E$9,AP$9))</f>
        <v>0</v>
      </c>
      <c r="AQ68">
        <f>IF($F68="s-curve",$D68+($E68-$D68)*$I$2/(1+EXP($I$3*(COUNT($O$9:AQ$9)+$I$4))),TREND($D68:$E68,$D$9:$E$9,AQ$9))</f>
        <v>0</v>
      </c>
      <c r="AR68">
        <f>IF($F68="s-curve",$D68+($E68-$D68)*$I$2/(1+EXP($I$3*(COUNT($O$9:AR$9)+$I$4))),TREND($D68:$E68,$D$9:$E$9,AR$9))</f>
        <v>0</v>
      </c>
      <c r="AS68">
        <f>IF($F68="s-curve",$D68+($E68-$D68)*$I$2/(1+EXP($I$3*(COUNT($O$9:AS$9)+$I$4))),TREND($D68:$E68,$D$9:$E$9,AS$9))</f>
        <v>0</v>
      </c>
      <c r="AT68">
        <f t="shared" si="11"/>
        <v>0</v>
      </c>
      <c r="AU68">
        <f t="shared" si="15"/>
        <v>0</v>
      </c>
      <c r="AV68">
        <f t="shared" si="15"/>
        <v>0</v>
      </c>
      <c r="AW68">
        <f t="shared" si="15"/>
        <v>0</v>
      </c>
      <c r="AX68">
        <f t="shared" si="15"/>
        <v>0</v>
      </c>
      <c r="AY68">
        <f t="shared" si="15"/>
        <v>0</v>
      </c>
      <c r="AZ68">
        <f t="shared" si="15"/>
        <v>0</v>
      </c>
      <c r="BA68">
        <f t="shared" si="15"/>
        <v>0</v>
      </c>
      <c r="BB68">
        <f t="shared" si="15"/>
        <v>0</v>
      </c>
      <c r="BC68">
        <f t="shared" si="15"/>
        <v>0</v>
      </c>
    </row>
    <row r="69" spans="1:55" x14ac:dyDescent="0.15">
      <c r="C69" t="s">
        <v>4</v>
      </c>
      <c r="D69">
        <v>1</v>
      </c>
      <c r="E69">
        <v>1</v>
      </c>
      <c r="F69" s="7" t="str">
        <f>IF(D69=E69,"n/a",IF(OR(C69="battery electric vehicle",C69="natural gas vehicle",C69="plugin hybrid vehicle"),"s-curve","linear"))</f>
        <v>n/a</v>
      </c>
      <c r="O69" s="22">
        <f t="shared" si="14"/>
        <v>1</v>
      </c>
      <c r="P69">
        <f>IF($F69="s-curve",$D69+($E69-$D69)*$I$2/(1+EXP($I$3*(COUNT($O$9:P$9)+$I$4))),TREND($D69:$E69,$D$9:$E$9,P$9))</f>
        <v>1</v>
      </c>
      <c r="Q69">
        <f>IF($F69="s-curve",$D69+($E69-$D69)*$I$2/(1+EXP($I$3*(COUNT($O$9:Q$9)+$I$4))),TREND($D69:$E69,$D$9:$E$9,Q$9))</f>
        <v>1</v>
      </c>
      <c r="R69">
        <f>IF($F69="s-curve",$D69+($E69-$D69)*$I$2/(1+EXP($I$3*(COUNT($O$9:R$9)+$I$4))),TREND($D69:$E69,$D$9:$E$9,R$9))</f>
        <v>1</v>
      </c>
      <c r="S69">
        <f>IF($F69="s-curve",$D69+($E69-$D69)*$I$2/(1+EXP($I$3*(COUNT($O$9:S$9)+$I$4))),TREND($D69:$E69,$D$9:$E$9,S$9))</f>
        <v>1</v>
      </c>
      <c r="T69">
        <f>IF($F69="s-curve",$D69+($E69-$D69)*$I$2/(1+EXP($I$3*(COUNT($O$9:T$9)+$I$4))),TREND($D69:$E69,$D$9:$E$9,T$9))</f>
        <v>1</v>
      </c>
      <c r="U69">
        <f>IF($F69="s-curve",$D69+($E69-$D69)*$I$2/(1+EXP($I$3*(COUNT($O$9:U$9)+$I$4))),TREND($D69:$E69,$D$9:$E$9,U$9))</f>
        <v>1</v>
      </c>
      <c r="V69">
        <f>IF($F69="s-curve",$D69+($E69-$D69)*$I$2/(1+EXP($I$3*(COUNT($O$9:V$9)+$I$4))),TREND($D69:$E69,$D$9:$E$9,V$9))</f>
        <v>1</v>
      </c>
      <c r="W69">
        <f>IF($F69="s-curve",$D69+($E69-$D69)*$I$2/(1+EXP($I$3*(COUNT($O$9:W$9)+$I$4))),TREND($D69:$E69,$D$9:$E$9,W$9))</f>
        <v>1</v>
      </c>
      <c r="X69">
        <f>IF($F69="s-curve",$D69+($E69-$D69)*$I$2/(1+EXP($I$3*(COUNT($O$9:X$9)+$I$4))),TREND($D69:$E69,$D$9:$E$9,X$9))</f>
        <v>1</v>
      </c>
      <c r="Y69">
        <f>IF($F69="s-curve",$D69+($E69-$D69)*$I$2/(1+EXP($I$3*(COUNT($O$9:Y$9)+$I$4))),TREND($D69:$E69,$D$9:$E$9,Y$9))</f>
        <v>1</v>
      </c>
      <c r="Z69">
        <f>IF($F69="s-curve",$D69+($E69-$D69)*$I$2/(1+EXP($I$3*(COUNT($O$9:Z$9)+$I$4))),TREND($D69:$E69,$D$9:$E$9,Z$9))</f>
        <v>1</v>
      </c>
      <c r="AA69">
        <f>IF($F69="s-curve",$D69+($E69-$D69)*$I$2/(1+EXP($I$3*(COUNT($O$9:AA$9)+$I$4))),TREND($D69:$E69,$D$9:$E$9,AA$9))</f>
        <v>1</v>
      </c>
      <c r="AB69">
        <f>IF($F69="s-curve",$D69+($E69-$D69)*$I$2/(1+EXP($I$3*(COUNT($O$9:AB$9)+$I$4))),TREND($D69:$E69,$D$9:$E$9,AB$9))</f>
        <v>1</v>
      </c>
      <c r="AC69">
        <f>IF($F69="s-curve",$D69+($E69-$D69)*$I$2/(1+EXP($I$3*(COUNT($O$9:AC$9)+$I$4))),TREND($D69:$E69,$D$9:$E$9,AC$9))</f>
        <v>1</v>
      </c>
      <c r="AD69">
        <f>IF($F69="s-curve",$D69+($E69-$D69)*$I$2/(1+EXP($I$3*(COUNT($O$9:AD$9)+$I$4))),TREND($D69:$E69,$D$9:$E$9,AD$9))</f>
        <v>1</v>
      </c>
      <c r="AE69">
        <f>IF($F69="s-curve",$D69+($E69-$D69)*$I$2/(1+EXP($I$3*(COUNT($O$9:AE$9)+$I$4))),TREND($D69:$E69,$D$9:$E$9,AE$9))</f>
        <v>1</v>
      </c>
      <c r="AF69">
        <f>IF($F69="s-curve",$D69+($E69-$D69)*$I$2/(1+EXP($I$3*(COUNT($O$9:AF$9)+$I$4))),TREND($D69:$E69,$D$9:$E$9,AF$9))</f>
        <v>1</v>
      </c>
      <c r="AG69">
        <f>IF($F69="s-curve",$D69+($E69-$D69)*$I$2/(1+EXP($I$3*(COUNT($O$9:AG$9)+$I$4))),TREND($D69:$E69,$D$9:$E$9,AG$9))</f>
        <v>1</v>
      </c>
      <c r="AH69">
        <f>IF($F69="s-curve",$D69+($E69-$D69)*$I$2/(1+EXP($I$3*(COUNT($O$9:AH$9)+$I$4))),TREND($D69:$E69,$D$9:$E$9,AH$9))</f>
        <v>1</v>
      </c>
      <c r="AI69">
        <f>IF($F69="s-curve",$D69+($E69-$D69)*$I$2/(1+EXP($I$3*(COUNT($O$9:AI$9)+$I$4))),TREND($D69:$E69,$D$9:$E$9,AI$9))</f>
        <v>1</v>
      </c>
      <c r="AJ69">
        <f>IF($F69="s-curve",$D69+($E69-$D69)*$I$2/(1+EXP($I$3*(COUNT($O$9:AJ$9)+$I$4))),TREND($D69:$E69,$D$9:$E$9,AJ$9))</f>
        <v>1</v>
      </c>
      <c r="AK69">
        <f>IF($F69="s-curve",$D69+($E69-$D69)*$I$2/(1+EXP($I$3*(COUNT($O$9:AK$9)+$I$4))),TREND($D69:$E69,$D$9:$E$9,AK$9))</f>
        <v>1</v>
      </c>
      <c r="AL69">
        <f>IF($F69="s-curve",$D69+($E69-$D69)*$I$2/(1+EXP($I$3*(COUNT($O$9:AL$9)+$I$4))),TREND($D69:$E69,$D$9:$E$9,AL$9))</f>
        <v>1</v>
      </c>
      <c r="AM69">
        <f>IF($F69="s-curve",$D69+($E69-$D69)*$I$2/(1+EXP($I$3*(COUNT($O$9:AM$9)+$I$4))),TREND($D69:$E69,$D$9:$E$9,AM$9))</f>
        <v>1</v>
      </c>
      <c r="AN69">
        <f>IF($F69="s-curve",$D69+($E69-$D69)*$I$2/(1+EXP($I$3*(COUNT($O$9:AN$9)+$I$4))),TREND($D69:$E69,$D$9:$E$9,AN$9))</f>
        <v>1</v>
      </c>
      <c r="AO69">
        <f>IF($F69="s-curve",$D69+($E69-$D69)*$I$2/(1+EXP($I$3*(COUNT($O$9:AO$9)+$I$4))),TREND($D69:$E69,$D$9:$E$9,AO$9))</f>
        <v>1</v>
      </c>
      <c r="AP69">
        <f>IF($F69="s-curve",$D69+($E69-$D69)*$I$2/(1+EXP($I$3*(COUNT($O$9:AP$9)+$I$4))),TREND($D69:$E69,$D$9:$E$9,AP$9))</f>
        <v>1</v>
      </c>
      <c r="AQ69">
        <f>IF($F69="s-curve",$D69+($E69-$D69)*$I$2/(1+EXP($I$3*(COUNT($O$9:AQ$9)+$I$4))),TREND($D69:$E69,$D$9:$E$9,AQ$9))</f>
        <v>1</v>
      </c>
      <c r="AR69">
        <f>IF($F69="s-curve",$D69+($E69-$D69)*$I$2/(1+EXP($I$3*(COUNT($O$9:AR$9)+$I$4))),TREND($D69:$E69,$D$9:$E$9,AR$9))</f>
        <v>1</v>
      </c>
      <c r="AS69">
        <f>IF($F69="s-curve",$D69+($E69-$D69)*$I$2/(1+EXP($I$3*(COUNT($O$9:AS$9)+$I$4))),TREND($D69:$E69,$D$9:$E$9,AS$9))</f>
        <v>1</v>
      </c>
      <c r="AT69">
        <f t="shared" si="11"/>
        <v>1</v>
      </c>
      <c r="AU69">
        <f t="shared" si="15"/>
        <v>1</v>
      </c>
      <c r="AV69">
        <f t="shared" si="15"/>
        <v>1</v>
      </c>
      <c r="AW69">
        <f t="shared" si="15"/>
        <v>1</v>
      </c>
      <c r="AX69">
        <f t="shared" si="15"/>
        <v>1</v>
      </c>
      <c r="AY69">
        <f t="shared" si="15"/>
        <v>1</v>
      </c>
      <c r="AZ69">
        <f t="shared" si="15"/>
        <v>1</v>
      </c>
      <c r="BA69">
        <f t="shared" si="15"/>
        <v>1</v>
      </c>
      <c r="BB69">
        <f t="shared" si="15"/>
        <v>1</v>
      </c>
      <c r="BC69">
        <f t="shared" si="15"/>
        <v>1</v>
      </c>
    </row>
    <row r="70" spans="1:55" x14ac:dyDescent="0.15">
      <c r="C70" t="s">
        <v>5</v>
      </c>
      <c r="D70">
        <v>0</v>
      </c>
      <c r="E70">
        <v>0</v>
      </c>
      <c r="F70" s="7" t="str">
        <f>IF(D70=E70,"n/a",IF(OR(C70="battery electric vehicle",C70="natural gas vehicle",C70="plugin hybrid vehicle"),"s-curve","linear"))</f>
        <v>n/a</v>
      </c>
      <c r="O70" s="22">
        <f t="shared" si="14"/>
        <v>0</v>
      </c>
      <c r="P70">
        <f>IF($F70="s-curve",$D70+($E70-$D70)*$I$2/(1+EXP($I$3*(COUNT($O$9:P$9)+$I$4))),TREND($D70:$E70,$D$9:$E$9,P$9))</f>
        <v>0</v>
      </c>
      <c r="Q70">
        <f>IF($F70="s-curve",$D70+($E70-$D70)*$I$2/(1+EXP($I$3*(COUNT($O$9:Q$9)+$I$4))),TREND($D70:$E70,$D$9:$E$9,Q$9))</f>
        <v>0</v>
      </c>
      <c r="R70">
        <f>IF($F70="s-curve",$D70+($E70-$D70)*$I$2/(1+EXP($I$3*(COUNT($O$9:R$9)+$I$4))),TREND($D70:$E70,$D$9:$E$9,R$9))</f>
        <v>0</v>
      </c>
      <c r="S70">
        <f>IF($F70="s-curve",$D70+($E70-$D70)*$I$2/(1+EXP($I$3*(COUNT($O$9:S$9)+$I$4))),TREND($D70:$E70,$D$9:$E$9,S$9))</f>
        <v>0</v>
      </c>
      <c r="T70">
        <f>IF($F70="s-curve",$D70+($E70-$D70)*$I$2/(1+EXP($I$3*(COUNT($O$9:T$9)+$I$4))),TREND($D70:$E70,$D$9:$E$9,T$9))</f>
        <v>0</v>
      </c>
      <c r="U70">
        <f>IF($F70="s-curve",$D70+($E70-$D70)*$I$2/(1+EXP($I$3*(COUNT($O$9:U$9)+$I$4))),TREND($D70:$E70,$D$9:$E$9,U$9))</f>
        <v>0</v>
      </c>
      <c r="V70">
        <f>IF($F70="s-curve",$D70+($E70-$D70)*$I$2/(1+EXP($I$3*(COUNT($O$9:V$9)+$I$4))),TREND($D70:$E70,$D$9:$E$9,V$9))</f>
        <v>0</v>
      </c>
      <c r="W70">
        <f>IF($F70="s-curve",$D70+($E70-$D70)*$I$2/(1+EXP($I$3*(COUNT($O$9:W$9)+$I$4))),TREND($D70:$E70,$D$9:$E$9,W$9))</f>
        <v>0</v>
      </c>
      <c r="X70">
        <f>IF($F70="s-curve",$D70+($E70-$D70)*$I$2/(1+EXP($I$3*(COUNT($O$9:X$9)+$I$4))),TREND($D70:$E70,$D$9:$E$9,X$9))</f>
        <v>0</v>
      </c>
      <c r="Y70">
        <f>IF($F70="s-curve",$D70+($E70-$D70)*$I$2/(1+EXP($I$3*(COUNT($O$9:Y$9)+$I$4))),TREND($D70:$E70,$D$9:$E$9,Y$9))</f>
        <v>0</v>
      </c>
      <c r="Z70">
        <f>IF($F70="s-curve",$D70+($E70-$D70)*$I$2/(1+EXP($I$3*(COUNT($O$9:Z$9)+$I$4))),TREND($D70:$E70,$D$9:$E$9,Z$9))</f>
        <v>0</v>
      </c>
      <c r="AA70">
        <f>IF($F70="s-curve",$D70+($E70-$D70)*$I$2/(1+EXP($I$3*(COUNT($O$9:AA$9)+$I$4))),TREND($D70:$E70,$D$9:$E$9,AA$9))</f>
        <v>0</v>
      </c>
      <c r="AB70">
        <f>IF($F70="s-curve",$D70+($E70-$D70)*$I$2/(1+EXP($I$3*(COUNT($O$9:AB$9)+$I$4))),TREND($D70:$E70,$D$9:$E$9,AB$9))</f>
        <v>0</v>
      </c>
      <c r="AC70">
        <f>IF($F70="s-curve",$D70+($E70-$D70)*$I$2/(1+EXP($I$3*(COUNT($O$9:AC$9)+$I$4))),TREND($D70:$E70,$D$9:$E$9,AC$9))</f>
        <v>0</v>
      </c>
      <c r="AD70">
        <f>IF($F70="s-curve",$D70+($E70-$D70)*$I$2/(1+EXP($I$3*(COUNT($O$9:AD$9)+$I$4))),TREND($D70:$E70,$D$9:$E$9,AD$9))</f>
        <v>0</v>
      </c>
      <c r="AE70">
        <f>IF($F70="s-curve",$D70+($E70-$D70)*$I$2/(1+EXP($I$3*(COUNT($O$9:AE$9)+$I$4))),TREND($D70:$E70,$D$9:$E$9,AE$9))</f>
        <v>0</v>
      </c>
      <c r="AF70">
        <f>IF($F70="s-curve",$D70+($E70-$D70)*$I$2/(1+EXP($I$3*(COUNT($O$9:AF$9)+$I$4))),TREND($D70:$E70,$D$9:$E$9,AF$9))</f>
        <v>0</v>
      </c>
      <c r="AG70">
        <f>IF($F70="s-curve",$D70+($E70-$D70)*$I$2/(1+EXP($I$3*(COUNT($O$9:AG$9)+$I$4))),TREND($D70:$E70,$D$9:$E$9,AG$9))</f>
        <v>0</v>
      </c>
      <c r="AH70">
        <f>IF($F70="s-curve",$D70+($E70-$D70)*$I$2/(1+EXP($I$3*(COUNT($O$9:AH$9)+$I$4))),TREND($D70:$E70,$D$9:$E$9,AH$9))</f>
        <v>0</v>
      </c>
      <c r="AI70">
        <f>IF($F70="s-curve",$D70+($E70-$D70)*$I$2/(1+EXP($I$3*(COUNT($O$9:AI$9)+$I$4))),TREND($D70:$E70,$D$9:$E$9,AI$9))</f>
        <v>0</v>
      </c>
      <c r="AJ70">
        <f>IF($F70="s-curve",$D70+($E70-$D70)*$I$2/(1+EXP($I$3*(COUNT($O$9:AJ$9)+$I$4))),TREND($D70:$E70,$D$9:$E$9,AJ$9))</f>
        <v>0</v>
      </c>
      <c r="AK70">
        <f>IF($F70="s-curve",$D70+($E70-$D70)*$I$2/(1+EXP($I$3*(COUNT($O$9:AK$9)+$I$4))),TREND($D70:$E70,$D$9:$E$9,AK$9))</f>
        <v>0</v>
      </c>
      <c r="AL70">
        <f>IF($F70="s-curve",$D70+($E70-$D70)*$I$2/(1+EXP($I$3*(COUNT($O$9:AL$9)+$I$4))),TREND($D70:$E70,$D$9:$E$9,AL$9))</f>
        <v>0</v>
      </c>
      <c r="AM70">
        <f>IF($F70="s-curve",$D70+($E70-$D70)*$I$2/(1+EXP($I$3*(COUNT($O$9:AM$9)+$I$4))),TREND($D70:$E70,$D$9:$E$9,AM$9))</f>
        <v>0</v>
      </c>
      <c r="AN70">
        <f>IF($F70="s-curve",$D70+($E70-$D70)*$I$2/(1+EXP($I$3*(COUNT($O$9:AN$9)+$I$4))),TREND($D70:$E70,$D$9:$E$9,AN$9))</f>
        <v>0</v>
      </c>
      <c r="AO70">
        <f>IF($F70="s-curve",$D70+($E70-$D70)*$I$2/(1+EXP($I$3*(COUNT($O$9:AO$9)+$I$4))),TREND($D70:$E70,$D$9:$E$9,AO$9))</f>
        <v>0</v>
      </c>
      <c r="AP70">
        <f>IF($F70="s-curve",$D70+($E70-$D70)*$I$2/(1+EXP($I$3*(COUNT($O$9:AP$9)+$I$4))),TREND($D70:$E70,$D$9:$E$9,AP$9))</f>
        <v>0</v>
      </c>
      <c r="AQ70">
        <f>IF($F70="s-curve",$D70+($E70-$D70)*$I$2/(1+EXP($I$3*(COUNT($O$9:AQ$9)+$I$4))),TREND($D70:$E70,$D$9:$E$9,AQ$9))</f>
        <v>0</v>
      </c>
      <c r="AR70">
        <f>IF($F70="s-curve",$D70+($E70-$D70)*$I$2/(1+EXP($I$3*(COUNT($O$9:AR$9)+$I$4))),TREND($D70:$E70,$D$9:$E$9,AR$9))</f>
        <v>0</v>
      </c>
      <c r="AS70">
        <f>IF($F70="s-curve",$D70+($E70-$D70)*$I$2/(1+EXP($I$3*(COUNT($O$9:AS$9)+$I$4))),TREND($D70:$E70,$D$9:$E$9,AS$9))</f>
        <v>0</v>
      </c>
      <c r="AT70">
        <f t="shared" si="11"/>
        <v>0</v>
      </c>
      <c r="AU70">
        <f t="shared" si="15"/>
        <v>0</v>
      </c>
      <c r="AV70">
        <f t="shared" si="15"/>
        <v>0</v>
      </c>
      <c r="AW70">
        <f t="shared" si="15"/>
        <v>0</v>
      </c>
      <c r="AX70">
        <f t="shared" si="15"/>
        <v>0</v>
      </c>
      <c r="AY70">
        <f t="shared" si="15"/>
        <v>0</v>
      </c>
      <c r="AZ70">
        <f t="shared" si="15"/>
        <v>0</v>
      </c>
      <c r="BA70">
        <f t="shared" si="15"/>
        <v>0</v>
      </c>
      <c r="BB70">
        <f t="shared" si="15"/>
        <v>0</v>
      </c>
      <c r="BC70">
        <f t="shared" si="15"/>
        <v>0</v>
      </c>
    </row>
    <row r="71" spans="1:55" x14ac:dyDescent="0.15">
      <c r="C71" t="s">
        <v>125</v>
      </c>
      <c r="D71">
        <v>0</v>
      </c>
      <c r="E71">
        <v>0</v>
      </c>
      <c r="F71" s="7" t="str">
        <f>IF(D71=E71,"n/a",IF(OR(C71="battery electric vehicle",C71="natural gas vehicle",C71="plugin hybrid vehicle",C71="hydrogen vehicle"),"s-curve","linear"))</f>
        <v>n/a</v>
      </c>
      <c r="O71" s="22">
        <f t="shared" si="14"/>
        <v>0</v>
      </c>
      <c r="P71">
        <f>IF($F71="s-curve",$D71+($E71-$D71)*$I$2/(1+EXP($I$3*(COUNT($O$9:P$9)+$I$4))),TREND($D71:$E71,$D$9:$E$9,P$9))</f>
        <v>0</v>
      </c>
      <c r="Q71">
        <f>IF($F71="s-curve",$D71+($E71-$D71)*$I$2/(1+EXP($I$3*(COUNT($O$9:Q$9)+$I$4))),TREND($D71:$E71,$D$9:$E$9,Q$9))</f>
        <v>0</v>
      </c>
      <c r="R71">
        <f>IF($F71="s-curve",$D71+($E71-$D71)*$I$2/(1+EXP($I$3*(COUNT($O$9:R$9)+$I$4))),TREND($D71:$E71,$D$9:$E$9,R$9))</f>
        <v>0</v>
      </c>
      <c r="S71">
        <f>IF($F71="s-curve",$D71+($E71-$D71)*$I$2/(1+EXP($I$3*(COUNT($O$9:S$9)+$I$4))),TREND($D71:$E71,$D$9:$E$9,S$9))</f>
        <v>0</v>
      </c>
      <c r="T71">
        <f>IF($F71="s-curve",$D71+($E71-$D71)*$I$2/(1+EXP($I$3*(COUNT($O$9:T$9)+$I$4))),TREND($D71:$E71,$D$9:$E$9,T$9))</f>
        <v>0</v>
      </c>
      <c r="U71">
        <f>IF($F71="s-curve",$D71+($E71-$D71)*$I$2/(1+EXP($I$3*(COUNT($O$9:U$9)+$I$4))),TREND($D71:$E71,$D$9:$E$9,U$9))</f>
        <v>0</v>
      </c>
      <c r="V71">
        <f>IF($F71="s-curve",$D71+($E71-$D71)*$I$2/(1+EXP($I$3*(COUNT($O$9:V$9)+$I$4))),TREND($D71:$E71,$D$9:$E$9,V$9))</f>
        <v>0</v>
      </c>
      <c r="W71">
        <f>IF($F71="s-curve",$D71+($E71-$D71)*$I$2/(1+EXP($I$3*(COUNT($O$9:W$9)+$I$4))),TREND($D71:$E71,$D$9:$E$9,W$9))</f>
        <v>0</v>
      </c>
      <c r="X71">
        <f>IF($F71="s-curve",$D71+($E71-$D71)*$I$2/(1+EXP($I$3*(COUNT($O$9:X$9)+$I$4))),TREND($D71:$E71,$D$9:$E$9,X$9))</f>
        <v>0</v>
      </c>
      <c r="Y71">
        <f>IF($F71="s-curve",$D71+($E71-$D71)*$I$2/(1+EXP($I$3*(COUNT($O$9:Y$9)+$I$4))),TREND($D71:$E71,$D$9:$E$9,Y$9))</f>
        <v>0</v>
      </c>
      <c r="Z71">
        <f>IF($F71="s-curve",$D71+($E71-$D71)*$I$2/(1+EXP($I$3*(COUNT($O$9:Z$9)+$I$4))),TREND($D71:$E71,$D$9:$E$9,Z$9))</f>
        <v>0</v>
      </c>
      <c r="AA71">
        <f>IF($F71="s-curve",$D71+($E71-$D71)*$I$2/(1+EXP($I$3*(COUNT($O$9:AA$9)+$I$4))),TREND($D71:$E71,$D$9:$E$9,AA$9))</f>
        <v>0</v>
      </c>
      <c r="AB71">
        <f>IF($F71="s-curve",$D71+($E71-$D71)*$I$2/(1+EXP($I$3*(COUNT($O$9:AB$9)+$I$4))),TREND($D71:$E71,$D$9:$E$9,AB$9))</f>
        <v>0</v>
      </c>
      <c r="AC71">
        <f>IF($F71="s-curve",$D71+($E71-$D71)*$I$2/(1+EXP($I$3*(COUNT($O$9:AC$9)+$I$4))),TREND($D71:$E71,$D$9:$E$9,AC$9))</f>
        <v>0</v>
      </c>
      <c r="AD71">
        <f>IF($F71="s-curve",$D71+($E71-$D71)*$I$2/(1+EXP($I$3*(COUNT($O$9:AD$9)+$I$4))),TREND($D71:$E71,$D$9:$E$9,AD$9))</f>
        <v>0</v>
      </c>
      <c r="AE71">
        <f>IF($F71="s-curve",$D71+($E71-$D71)*$I$2/(1+EXP($I$3*(COUNT($O$9:AE$9)+$I$4))),TREND($D71:$E71,$D$9:$E$9,AE$9))</f>
        <v>0</v>
      </c>
      <c r="AF71">
        <f>IF($F71="s-curve",$D71+($E71-$D71)*$I$2/(1+EXP($I$3*(COUNT($O$9:AF$9)+$I$4))),TREND($D71:$E71,$D$9:$E$9,AF$9))</f>
        <v>0</v>
      </c>
      <c r="AG71">
        <f>IF($F71="s-curve",$D71+($E71-$D71)*$I$2/(1+EXP($I$3*(COUNT($O$9:AG$9)+$I$4))),TREND($D71:$E71,$D$9:$E$9,AG$9))</f>
        <v>0</v>
      </c>
      <c r="AH71">
        <f>IF($F71="s-curve",$D71+($E71-$D71)*$I$2/(1+EXP($I$3*(COUNT($O$9:AH$9)+$I$4))),TREND($D71:$E71,$D$9:$E$9,AH$9))</f>
        <v>0</v>
      </c>
      <c r="AI71">
        <f>IF($F71="s-curve",$D71+($E71-$D71)*$I$2/(1+EXP($I$3*(COUNT($O$9:AI$9)+$I$4))),TREND($D71:$E71,$D$9:$E$9,AI$9))</f>
        <v>0</v>
      </c>
      <c r="AJ71">
        <f>IF($F71="s-curve",$D71+($E71-$D71)*$I$2/(1+EXP($I$3*(COUNT($O$9:AJ$9)+$I$4))),TREND($D71:$E71,$D$9:$E$9,AJ$9))</f>
        <v>0</v>
      </c>
      <c r="AK71">
        <f>IF($F71="s-curve",$D71+($E71-$D71)*$I$2/(1+EXP($I$3*(COUNT($O$9:AK$9)+$I$4))),TREND($D71:$E71,$D$9:$E$9,AK$9))</f>
        <v>0</v>
      </c>
      <c r="AL71">
        <f>IF($F71="s-curve",$D71+($E71-$D71)*$I$2/(1+EXP($I$3*(COUNT($O$9:AL$9)+$I$4))),TREND($D71:$E71,$D$9:$E$9,AL$9))</f>
        <v>0</v>
      </c>
      <c r="AM71">
        <f>IF($F71="s-curve",$D71+($E71-$D71)*$I$2/(1+EXP($I$3*(COUNT($O$9:AM$9)+$I$4))),TREND($D71:$E71,$D$9:$E$9,AM$9))</f>
        <v>0</v>
      </c>
      <c r="AN71">
        <f>IF($F71="s-curve",$D71+($E71-$D71)*$I$2/(1+EXP($I$3*(COUNT($O$9:AN$9)+$I$4))),TREND($D71:$E71,$D$9:$E$9,AN$9))</f>
        <v>0</v>
      </c>
      <c r="AO71">
        <f>IF($F71="s-curve",$D71+($E71-$D71)*$I$2/(1+EXP($I$3*(COUNT($O$9:AO$9)+$I$4))),TREND($D71:$E71,$D$9:$E$9,AO$9))</f>
        <v>0</v>
      </c>
      <c r="AP71">
        <f>IF($F71="s-curve",$D71+($E71-$D71)*$I$2/(1+EXP($I$3*(COUNT($O$9:AP$9)+$I$4))),TREND($D71:$E71,$D$9:$E$9,AP$9))</f>
        <v>0</v>
      </c>
      <c r="AQ71">
        <f>IF($F71="s-curve",$D71+($E71-$D71)*$I$2/(1+EXP($I$3*(COUNT($O$9:AQ$9)+$I$4))),TREND($D71:$E71,$D$9:$E$9,AQ$9))</f>
        <v>0</v>
      </c>
      <c r="AR71">
        <f>IF($F71="s-curve",$D71+($E71-$D71)*$I$2/(1+EXP($I$3*(COUNT($O$9:AR$9)+$I$4))),TREND($D71:$E71,$D$9:$E$9,AR$9))</f>
        <v>0</v>
      </c>
      <c r="AS71">
        <f>IF($F71="s-curve",$D71+($E71-$D71)*$I$2/(1+EXP($I$3*(COUNT($O$9:AS$9)+$I$4))),TREND($D71:$E71,$D$9:$E$9,AS$9))</f>
        <v>0</v>
      </c>
      <c r="AT71">
        <f t="shared" si="11"/>
        <v>0</v>
      </c>
      <c r="AU71">
        <f t="shared" si="15"/>
        <v>0</v>
      </c>
      <c r="AV71">
        <f t="shared" si="15"/>
        <v>0</v>
      </c>
      <c r="AW71">
        <f t="shared" si="15"/>
        <v>0</v>
      </c>
      <c r="AX71">
        <f t="shared" si="15"/>
        <v>0</v>
      </c>
      <c r="AY71">
        <f t="shared" si="15"/>
        <v>0</v>
      </c>
      <c r="AZ71">
        <f t="shared" si="15"/>
        <v>0</v>
      </c>
      <c r="BA71">
        <f t="shared" si="15"/>
        <v>0</v>
      </c>
      <c r="BB71">
        <f t="shared" si="15"/>
        <v>0</v>
      </c>
      <c r="BC71">
        <f t="shared" si="15"/>
        <v>0</v>
      </c>
    </row>
    <row r="72" spans="1:55" ht="13.6" thickBot="1" x14ac:dyDescent="0.2">
      <c r="A72" s="23"/>
      <c r="B72" s="23"/>
      <c r="C72" s="23" t="s">
        <v>126</v>
      </c>
      <c r="D72" s="23">
        <v>0</v>
      </c>
      <c r="E72" s="23">
        <v>0</v>
      </c>
      <c r="F72" s="8" t="str">
        <f>IF(D72=E72,"n/a",IF(OR(C72="battery electric vehicle",C72="natural gas vehicle",C72="plugin hybrid vehicle",C72="hydrogen vehicle"),"s-curve","linear"))</f>
        <v>n/a</v>
      </c>
      <c r="O72" s="22">
        <f t="shared" si="14"/>
        <v>0</v>
      </c>
      <c r="P72">
        <f>IF($F72="s-curve",$D72+($E72-$D72)*$I$2/(1+EXP($I$3*(COUNT($O$9:P$9)+$I$4))),TREND($D72:$E72,$D$9:$E$9,P$9))</f>
        <v>0</v>
      </c>
      <c r="Q72">
        <f>IF($F72="s-curve",$D72+($E72-$D72)*$I$2/(1+EXP($I$3*(COUNT($O$9:Q$9)+$I$4))),TREND($D72:$E72,$D$9:$E$9,Q$9))</f>
        <v>0</v>
      </c>
      <c r="R72">
        <f>IF($F72="s-curve",$D72+($E72-$D72)*$I$2/(1+EXP($I$3*(COUNT($O$9:R$9)+$I$4))),TREND($D72:$E72,$D$9:$E$9,R$9))</f>
        <v>0</v>
      </c>
      <c r="S72">
        <f>IF($F72="s-curve",$D72+($E72-$D72)*$I$2/(1+EXP($I$3*(COUNT($O$9:S$9)+$I$4))),TREND($D72:$E72,$D$9:$E$9,S$9))</f>
        <v>0</v>
      </c>
      <c r="T72">
        <f>IF($F72="s-curve",$D72+($E72-$D72)*$I$2/(1+EXP($I$3*(COUNT($O$9:T$9)+$I$4))),TREND($D72:$E72,$D$9:$E$9,T$9))</f>
        <v>0</v>
      </c>
      <c r="U72">
        <f>IF($F72="s-curve",$D72+($E72-$D72)*$I$2/(1+EXP($I$3*(COUNT($O$9:U$9)+$I$4))),TREND($D72:$E72,$D$9:$E$9,U$9))</f>
        <v>0</v>
      </c>
      <c r="V72">
        <f>IF($F72="s-curve",$D72+($E72-$D72)*$I$2/(1+EXP($I$3*(COUNT($O$9:V$9)+$I$4))),TREND($D72:$E72,$D$9:$E$9,V$9))</f>
        <v>0</v>
      </c>
      <c r="W72">
        <f>IF($F72="s-curve",$D72+($E72-$D72)*$I$2/(1+EXP($I$3*(COUNT($O$9:W$9)+$I$4))),TREND($D72:$E72,$D$9:$E$9,W$9))</f>
        <v>0</v>
      </c>
      <c r="X72">
        <f>IF($F72="s-curve",$D72+($E72-$D72)*$I$2/(1+EXP($I$3*(COUNT($O$9:X$9)+$I$4))),TREND($D72:$E72,$D$9:$E$9,X$9))</f>
        <v>0</v>
      </c>
      <c r="Y72">
        <f>IF($F72="s-curve",$D72+($E72-$D72)*$I$2/(1+EXP($I$3*(COUNT($O$9:Y$9)+$I$4))),TREND($D72:$E72,$D$9:$E$9,Y$9))</f>
        <v>0</v>
      </c>
      <c r="Z72">
        <f>IF($F72="s-curve",$D72+($E72-$D72)*$I$2/(1+EXP($I$3*(COUNT($O$9:Z$9)+$I$4))),TREND($D72:$E72,$D$9:$E$9,Z$9))</f>
        <v>0</v>
      </c>
      <c r="AA72">
        <f>IF($F72="s-curve",$D72+($E72-$D72)*$I$2/(1+EXP($I$3*(COUNT($O$9:AA$9)+$I$4))),TREND($D72:$E72,$D$9:$E$9,AA$9))</f>
        <v>0</v>
      </c>
      <c r="AB72">
        <f>IF($F72="s-curve",$D72+($E72-$D72)*$I$2/(1+EXP($I$3*(COUNT($O$9:AB$9)+$I$4))),TREND($D72:$E72,$D$9:$E$9,AB$9))</f>
        <v>0</v>
      </c>
      <c r="AC72">
        <f>IF($F72="s-curve",$D72+($E72-$D72)*$I$2/(1+EXP($I$3*(COUNT($O$9:AC$9)+$I$4))),TREND($D72:$E72,$D$9:$E$9,AC$9))</f>
        <v>0</v>
      </c>
      <c r="AD72">
        <f>IF($F72="s-curve",$D72+($E72-$D72)*$I$2/(1+EXP($I$3*(COUNT($O$9:AD$9)+$I$4))),TREND($D72:$E72,$D$9:$E$9,AD$9))</f>
        <v>0</v>
      </c>
      <c r="AE72">
        <f>IF($F72="s-curve",$D72+($E72-$D72)*$I$2/(1+EXP($I$3*(COUNT($O$9:AE$9)+$I$4))),TREND($D72:$E72,$D$9:$E$9,AE$9))</f>
        <v>0</v>
      </c>
      <c r="AF72">
        <f>IF($F72="s-curve",$D72+($E72-$D72)*$I$2/(1+EXP($I$3*(COUNT($O$9:AF$9)+$I$4))),TREND($D72:$E72,$D$9:$E$9,AF$9))</f>
        <v>0</v>
      </c>
      <c r="AG72">
        <f>IF($F72="s-curve",$D72+($E72-$D72)*$I$2/(1+EXP($I$3*(COUNT($O$9:AG$9)+$I$4))),TREND($D72:$E72,$D$9:$E$9,AG$9))</f>
        <v>0</v>
      </c>
      <c r="AH72">
        <f>IF($F72="s-curve",$D72+($E72-$D72)*$I$2/(1+EXP($I$3*(COUNT($O$9:AH$9)+$I$4))),TREND($D72:$E72,$D$9:$E$9,AH$9))</f>
        <v>0</v>
      </c>
      <c r="AI72">
        <f>IF($F72="s-curve",$D72+($E72-$D72)*$I$2/(1+EXP($I$3*(COUNT($O$9:AI$9)+$I$4))),TREND($D72:$E72,$D$9:$E$9,AI$9))</f>
        <v>0</v>
      </c>
      <c r="AJ72">
        <f>IF($F72="s-curve",$D72+($E72-$D72)*$I$2/(1+EXP($I$3*(COUNT($O$9:AJ$9)+$I$4))),TREND($D72:$E72,$D$9:$E$9,AJ$9))</f>
        <v>0</v>
      </c>
      <c r="AK72">
        <f>IF($F72="s-curve",$D72+($E72-$D72)*$I$2/(1+EXP($I$3*(COUNT($O$9:AK$9)+$I$4))),TREND($D72:$E72,$D$9:$E$9,AK$9))</f>
        <v>0</v>
      </c>
      <c r="AL72">
        <f>IF($F72="s-curve",$D72+($E72-$D72)*$I$2/(1+EXP($I$3*(COUNT($O$9:AL$9)+$I$4))),TREND($D72:$E72,$D$9:$E$9,AL$9))</f>
        <v>0</v>
      </c>
      <c r="AM72">
        <f>IF($F72="s-curve",$D72+($E72-$D72)*$I$2/(1+EXP($I$3*(COUNT($O$9:AM$9)+$I$4))),TREND($D72:$E72,$D$9:$E$9,AM$9))</f>
        <v>0</v>
      </c>
      <c r="AN72">
        <f>IF($F72="s-curve",$D72+($E72-$D72)*$I$2/(1+EXP($I$3*(COUNT($O$9:AN$9)+$I$4))),TREND($D72:$E72,$D$9:$E$9,AN$9))</f>
        <v>0</v>
      </c>
      <c r="AO72">
        <f>IF($F72="s-curve",$D72+($E72-$D72)*$I$2/(1+EXP($I$3*(COUNT($O$9:AO$9)+$I$4))),TREND($D72:$E72,$D$9:$E$9,AO$9))</f>
        <v>0</v>
      </c>
      <c r="AP72">
        <f>IF($F72="s-curve",$D72+($E72-$D72)*$I$2/(1+EXP($I$3*(COUNT($O$9:AP$9)+$I$4))),TREND($D72:$E72,$D$9:$E$9,AP$9))</f>
        <v>0</v>
      </c>
      <c r="AQ72">
        <f>IF($F72="s-curve",$D72+($E72-$D72)*$I$2/(1+EXP($I$3*(COUNT($O$9:AQ$9)+$I$4))),TREND($D72:$E72,$D$9:$E$9,AQ$9))</f>
        <v>0</v>
      </c>
      <c r="AR72">
        <f>IF($F72="s-curve",$D72+($E72-$D72)*$I$2/(1+EXP($I$3*(COUNT($O$9:AR$9)+$I$4))),TREND($D72:$E72,$D$9:$E$9,AR$9))</f>
        <v>0</v>
      </c>
      <c r="AS72">
        <f>IF($F72="s-curve",$D72+($E72-$D72)*$I$2/(1+EXP($I$3*(COUNT($O$9:AS$9)+$I$4))),TREND($D72:$E72,$D$9:$E$9,AS$9))</f>
        <v>0</v>
      </c>
      <c r="AT72">
        <f t="shared" si="11"/>
        <v>0</v>
      </c>
      <c r="AU72">
        <f t="shared" si="15"/>
        <v>0</v>
      </c>
      <c r="AV72">
        <f t="shared" si="15"/>
        <v>0</v>
      </c>
      <c r="AW72">
        <f t="shared" si="15"/>
        <v>0</v>
      </c>
      <c r="AX72">
        <f t="shared" si="15"/>
        <v>0</v>
      </c>
      <c r="AY72">
        <f t="shared" si="15"/>
        <v>0</v>
      </c>
      <c r="AZ72">
        <f t="shared" si="15"/>
        <v>0</v>
      </c>
      <c r="BA72">
        <f t="shared" si="15"/>
        <v>0</v>
      </c>
      <c r="BB72">
        <f t="shared" si="15"/>
        <v>0</v>
      </c>
      <c r="BC72">
        <f t="shared" si="15"/>
        <v>0</v>
      </c>
    </row>
    <row r="73" spans="1:55" x14ac:dyDescent="0.15">
      <c r="A73" t="s">
        <v>16</v>
      </c>
      <c r="B73" t="s">
        <v>18</v>
      </c>
      <c r="C73" t="s">
        <v>1</v>
      </c>
      <c r="D73">
        <v>0</v>
      </c>
      <c r="E73">
        <v>0</v>
      </c>
      <c r="F73" s="7" t="str">
        <f>IF(D73=E73,"n/a",IF(OR(C73="battery electric vehicle",C73="natural gas vehicle",C73="plugin hybrid vehicle"),"s-curve","linear"))</f>
        <v>n/a</v>
      </c>
      <c r="O73" s="22">
        <f t="shared" si="14"/>
        <v>0</v>
      </c>
      <c r="P73">
        <f>IF($F73="s-curve",$D73+($E73-$D73)*$I$2/(1+EXP($I$3*(COUNT($O$9:P$9)+$I$4))),TREND($D73:$E73,$D$9:$E$9,P$9))</f>
        <v>0</v>
      </c>
      <c r="Q73">
        <f>IF($F73="s-curve",$D73+($E73-$D73)*$I$2/(1+EXP($I$3*(COUNT($O$9:Q$9)+$I$4))),TREND($D73:$E73,$D$9:$E$9,Q$9))</f>
        <v>0</v>
      </c>
      <c r="R73">
        <f>IF($F73="s-curve",$D73+($E73-$D73)*$I$2/(1+EXP($I$3*(COUNT($O$9:R$9)+$I$4))),TREND($D73:$E73,$D$9:$E$9,R$9))</f>
        <v>0</v>
      </c>
      <c r="S73">
        <f>IF($F73="s-curve",$D73+($E73-$D73)*$I$2/(1+EXP($I$3*(COUNT($O$9:S$9)+$I$4))),TREND($D73:$E73,$D$9:$E$9,S$9))</f>
        <v>0</v>
      </c>
      <c r="T73">
        <f>IF($F73="s-curve",$D73+($E73-$D73)*$I$2/(1+EXP($I$3*(COUNT($O$9:T$9)+$I$4))),TREND($D73:$E73,$D$9:$E$9,T$9))</f>
        <v>0</v>
      </c>
      <c r="U73">
        <f>IF($F73="s-curve",$D73+($E73-$D73)*$I$2/(1+EXP($I$3*(COUNT($O$9:U$9)+$I$4))),TREND($D73:$E73,$D$9:$E$9,U$9))</f>
        <v>0</v>
      </c>
      <c r="V73">
        <f>IF($F73="s-curve",$D73+($E73-$D73)*$I$2/(1+EXP($I$3*(COUNT($O$9:V$9)+$I$4))),TREND($D73:$E73,$D$9:$E$9,V$9))</f>
        <v>0</v>
      </c>
      <c r="W73">
        <f>IF($F73="s-curve",$D73+($E73-$D73)*$I$2/(1+EXP($I$3*(COUNT($O$9:W$9)+$I$4))),TREND($D73:$E73,$D$9:$E$9,W$9))</f>
        <v>0</v>
      </c>
      <c r="X73">
        <f>IF($F73="s-curve",$D73+($E73-$D73)*$I$2/(1+EXP($I$3*(COUNT($O$9:X$9)+$I$4))),TREND($D73:$E73,$D$9:$E$9,X$9))</f>
        <v>0</v>
      </c>
      <c r="Y73">
        <f>IF($F73="s-curve",$D73+($E73-$D73)*$I$2/(1+EXP($I$3*(COUNT($O$9:Y$9)+$I$4))),TREND($D73:$E73,$D$9:$E$9,Y$9))</f>
        <v>0</v>
      </c>
      <c r="Z73">
        <f>IF($F73="s-curve",$D73+($E73-$D73)*$I$2/(1+EXP($I$3*(COUNT($O$9:Z$9)+$I$4))),TREND($D73:$E73,$D$9:$E$9,Z$9))</f>
        <v>0</v>
      </c>
      <c r="AA73">
        <f>IF($F73="s-curve",$D73+($E73-$D73)*$I$2/(1+EXP($I$3*(COUNT($O$9:AA$9)+$I$4))),TREND($D73:$E73,$D$9:$E$9,AA$9))</f>
        <v>0</v>
      </c>
      <c r="AB73">
        <f>IF($F73="s-curve",$D73+($E73-$D73)*$I$2/(1+EXP($I$3*(COUNT($O$9:AB$9)+$I$4))),TREND($D73:$E73,$D$9:$E$9,AB$9))</f>
        <v>0</v>
      </c>
      <c r="AC73">
        <f>IF($F73="s-curve",$D73+($E73-$D73)*$I$2/(1+EXP($I$3*(COUNT($O$9:AC$9)+$I$4))),TREND($D73:$E73,$D$9:$E$9,AC$9))</f>
        <v>0</v>
      </c>
      <c r="AD73">
        <f>IF($F73="s-curve",$D73+($E73-$D73)*$I$2/(1+EXP($I$3*(COUNT($O$9:AD$9)+$I$4))),TREND($D73:$E73,$D$9:$E$9,AD$9))</f>
        <v>0</v>
      </c>
      <c r="AE73">
        <f>IF($F73="s-curve",$D73+($E73-$D73)*$I$2/(1+EXP($I$3*(COUNT($O$9:AE$9)+$I$4))),TREND($D73:$E73,$D$9:$E$9,AE$9))</f>
        <v>0</v>
      </c>
      <c r="AF73">
        <f>IF($F73="s-curve",$D73+($E73-$D73)*$I$2/(1+EXP($I$3*(COUNT($O$9:AF$9)+$I$4))),TREND($D73:$E73,$D$9:$E$9,AF$9))</f>
        <v>0</v>
      </c>
      <c r="AG73">
        <f>IF($F73="s-curve",$D73+($E73-$D73)*$I$2/(1+EXP($I$3*(COUNT($O$9:AG$9)+$I$4))),TREND($D73:$E73,$D$9:$E$9,AG$9))</f>
        <v>0</v>
      </c>
      <c r="AH73">
        <f>IF($F73="s-curve",$D73+($E73-$D73)*$I$2/(1+EXP($I$3*(COUNT($O$9:AH$9)+$I$4))),TREND($D73:$E73,$D$9:$E$9,AH$9))</f>
        <v>0</v>
      </c>
      <c r="AI73">
        <f>IF($F73="s-curve",$D73+($E73-$D73)*$I$2/(1+EXP($I$3*(COUNT($O$9:AI$9)+$I$4))),TREND($D73:$E73,$D$9:$E$9,AI$9))</f>
        <v>0</v>
      </c>
      <c r="AJ73">
        <f>IF($F73="s-curve",$D73+($E73-$D73)*$I$2/(1+EXP($I$3*(COUNT($O$9:AJ$9)+$I$4))),TREND($D73:$E73,$D$9:$E$9,AJ$9))</f>
        <v>0</v>
      </c>
      <c r="AK73">
        <f>IF($F73="s-curve",$D73+($E73-$D73)*$I$2/(1+EXP($I$3*(COUNT($O$9:AK$9)+$I$4))),TREND($D73:$E73,$D$9:$E$9,AK$9))</f>
        <v>0</v>
      </c>
      <c r="AL73">
        <f>IF($F73="s-curve",$D73+($E73-$D73)*$I$2/(1+EXP($I$3*(COUNT($O$9:AL$9)+$I$4))),TREND($D73:$E73,$D$9:$E$9,AL$9))</f>
        <v>0</v>
      </c>
      <c r="AM73">
        <f>IF($F73="s-curve",$D73+($E73-$D73)*$I$2/(1+EXP($I$3*(COUNT($O$9:AM$9)+$I$4))),TREND($D73:$E73,$D$9:$E$9,AM$9))</f>
        <v>0</v>
      </c>
      <c r="AN73">
        <f>IF($F73="s-curve",$D73+($E73-$D73)*$I$2/(1+EXP($I$3*(COUNT($O$9:AN$9)+$I$4))),TREND($D73:$E73,$D$9:$E$9,AN$9))</f>
        <v>0</v>
      </c>
      <c r="AO73">
        <f>IF($F73="s-curve",$D73+($E73-$D73)*$I$2/(1+EXP($I$3*(COUNT($O$9:AO$9)+$I$4))),TREND($D73:$E73,$D$9:$E$9,AO$9))</f>
        <v>0</v>
      </c>
      <c r="AP73">
        <f>IF($F73="s-curve",$D73+($E73-$D73)*$I$2/(1+EXP($I$3*(COUNT($O$9:AP$9)+$I$4))),TREND($D73:$E73,$D$9:$E$9,AP$9))</f>
        <v>0</v>
      </c>
      <c r="AQ73">
        <f>IF($F73="s-curve",$D73+($E73-$D73)*$I$2/(1+EXP($I$3*(COUNT($O$9:AQ$9)+$I$4))),TREND($D73:$E73,$D$9:$E$9,AQ$9))</f>
        <v>0</v>
      </c>
      <c r="AR73">
        <f>IF($F73="s-curve",$D73+($E73-$D73)*$I$2/(1+EXP($I$3*(COUNT($O$9:AR$9)+$I$4))),TREND($D73:$E73,$D$9:$E$9,AR$9))</f>
        <v>0</v>
      </c>
      <c r="AS73">
        <f>IF($F73="s-curve",$D73+($E73-$D73)*$I$2/(1+EXP($I$3*(COUNT($O$9:AS$9)+$I$4))),TREND($D73:$E73,$D$9:$E$9,AS$9))</f>
        <v>0</v>
      </c>
      <c r="AT73">
        <f t="shared" si="11"/>
        <v>0</v>
      </c>
      <c r="AU73">
        <f t="shared" si="15"/>
        <v>0</v>
      </c>
      <c r="AV73">
        <f t="shared" si="15"/>
        <v>0</v>
      </c>
      <c r="AW73">
        <f t="shared" si="15"/>
        <v>0</v>
      </c>
      <c r="AX73">
        <f t="shared" si="15"/>
        <v>0</v>
      </c>
      <c r="AY73">
        <f t="shared" si="15"/>
        <v>0</v>
      </c>
      <c r="AZ73">
        <f t="shared" si="15"/>
        <v>0</v>
      </c>
      <c r="BA73">
        <f t="shared" si="15"/>
        <v>0</v>
      </c>
      <c r="BB73">
        <f t="shared" si="15"/>
        <v>0</v>
      </c>
      <c r="BC73">
        <f t="shared" si="15"/>
        <v>0</v>
      </c>
    </row>
    <row r="74" spans="1:55" x14ac:dyDescent="0.15">
      <c r="C74" t="s">
        <v>2</v>
      </c>
      <c r="D74">
        <v>0</v>
      </c>
      <c r="E74">
        <v>0</v>
      </c>
      <c r="F74" s="7" t="str">
        <f>IF(D74=E74,"n/a",IF(OR(C74="battery electric vehicle",C74="natural gas vehicle",C74="plugin hybrid vehicle"),"s-curve","linear"))</f>
        <v>n/a</v>
      </c>
      <c r="O74" s="22">
        <f t="shared" si="14"/>
        <v>0</v>
      </c>
      <c r="P74">
        <f>IF($F74="s-curve",$D74+($E74-$D74)*$I$2/(1+EXP($I$3*(COUNT($O$9:P$9)+$I$4))),TREND($D74:$E74,$D$9:$E$9,P$9))</f>
        <v>0</v>
      </c>
      <c r="Q74">
        <f>IF($F74="s-curve",$D74+($E74-$D74)*$I$2/(1+EXP($I$3*(COUNT($O$9:Q$9)+$I$4))),TREND($D74:$E74,$D$9:$E$9,Q$9))</f>
        <v>0</v>
      </c>
      <c r="R74">
        <f>IF($F74="s-curve",$D74+($E74-$D74)*$I$2/(1+EXP($I$3*(COUNT($O$9:R$9)+$I$4))),TREND($D74:$E74,$D$9:$E$9,R$9))</f>
        <v>0</v>
      </c>
      <c r="S74">
        <f>IF($F74="s-curve",$D74+($E74-$D74)*$I$2/(1+EXP($I$3*(COUNT($O$9:S$9)+$I$4))),TREND($D74:$E74,$D$9:$E$9,S$9))</f>
        <v>0</v>
      </c>
      <c r="T74">
        <f>IF($F74="s-curve",$D74+($E74-$D74)*$I$2/(1+EXP($I$3*(COUNT($O$9:T$9)+$I$4))),TREND($D74:$E74,$D$9:$E$9,T$9))</f>
        <v>0</v>
      </c>
      <c r="U74">
        <f>IF($F74="s-curve",$D74+($E74-$D74)*$I$2/(1+EXP($I$3*(COUNT($O$9:U$9)+$I$4))),TREND($D74:$E74,$D$9:$E$9,U$9))</f>
        <v>0</v>
      </c>
      <c r="V74">
        <f>IF($F74="s-curve",$D74+($E74-$D74)*$I$2/(1+EXP($I$3*(COUNT($O$9:V$9)+$I$4))),TREND($D74:$E74,$D$9:$E$9,V$9))</f>
        <v>0</v>
      </c>
      <c r="W74">
        <f>IF($F74="s-curve",$D74+($E74-$D74)*$I$2/(1+EXP($I$3*(COUNT($O$9:W$9)+$I$4))),TREND($D74:$E74,$D$9:$E$9,W$9))</f>
        <v>0</v>
      </c>
      <c r="X74">
        <f>IF($F74="s-curve",$D74+($E74-$D74)*$I$2/(1+EXP($I$3*(COUNT($O$9:X$9)+$I$4))),TREND($D74:$E74,$D$9:$E$9,X$9))</f>
        <v>0</v>
      </c>
      <c r="Y74">
        <f>IF($F74="s-curve",$D74+($E74-$D74)*$I$2/(1+EXP($I$3*(COUNT($O$9:Y$9)+$I$4))),TREND($D74:$E74,$D$9:$E$9,Y$9))</f>
        <v>0</v>
      </c>
      <c r="Z74">
        <f>IF($F74="s-curve",$D74+($E74-$D74)*$I$2/(1+EXP($I$3*(COUNT($O$9:Z$9)+$I$4))),TREND($D74:$E74,$D$9:$E$9,Z$9))</f>
        <v>0</v>
      </c>
      <c r="AA74">
        <f>IF($F74="s-curve",$D74+($E74-$D74)*$I$2/(1+EXP($I$3*(COUNT($O$9:AA$9)+$I$4))),TREND($D74:$E74,$D$9:$E$9,AA$9))</f>
        <v>0</v>
      </c>
      <c r="AB74">
        <f>IF($F74="s-curve",$D74+($E74-$D74)*$I$2/(1+EXP($I$3*(COUNT($O$9:AB$9)+$I$4))),TREND($D74:$E74,$D$9:$E$9,AB$9))</f>
        <v>0</v>
      </c>
      <c r="AC74">
        <f>IF($F74="s-curve",$D74+($E74-$D74)*$I$2/(1+EXP($I$3*(COUNT($O$9:AC$9)+$I$4))),TREND($D74:$E74,$D$9:$E$9,AC$9))</f>
        <v>0</v>
      </c>
      <c r="AD74">
        <f>IF($F74="s-curve",$D74+($E74-$D74)*$I$2/(1+EXP($I$3*(COUNT($O$9:AD$9)+$I$4))),TREND($D74:$E74,$D$9:$E$9,AD$9))</f>
        <v>0</v>
      </c>
      <c r="AE74">
        <f>IF($F74="s-curve",$D74+($E74-$D74)*$I$2/(1+EXP($I$3*(COUNT($O$9:AE$9)+$I$4))),TREND($D74:$E74,$D$9:$E$9,AE$9))</f>
        <v>0</v>
      </c>
      <c r="AF74">
        <f>IF($F74="s-curve",$D74+($E74-$D74)*$I$2/(1+EXP($I$3*(COUNT($O$9:AF$9)+$I$4))),TREND($D74:$E74,$D$9:$E$9,AF$9))</f>
        <v>0</v>
      </c>
      <c r="AG74">
        <f>IF($F74="s-curve",$D74+($E74-$D74)*$I$2/(1+EXP($I$3*(COUNT($O$9:AG$9)+$I$4))),TREND($D74:$E74,$D$9:$E$9,AG$9))</f>
        <v>0</v>
      </c>
      <c r="AH74">
        <f>IF($F74="s-curve",$D74+($E74-$D74)*$I$2/(1+EXP($I$3*(COUNT($O$9:AH$9)+$I$4))),TREND($D74:$E74,$D$9:$E$9,AH$9))</f>
        <v>0</v>
      </c>
      <c r="AI74">
        <f>IF($F74="s-curve",$D74+($E74-$D74)*$I$2/(1+EXP($I$3*(COUNT($O$9:AI$9)+$I$4))),TREND($D74:$E74,$D$9:$E$9,AI$9))</f>
        <v>0</v>
      </c>
      <c r="AJ74">
        <f>IF($F74="s-curve",$D74+($E74-$D74)*$I$2/(1+EXP($I$3*(COUNT($O$9:AJ$9)+$I$4))),TREND($D74:$E74,$D$9:$E$9,AJ$9))</f>
        <v>0</v>
      </c>
      <c r="AK74">
        <f>IF($F74="s-curve",$D74+($E74-$D74)*$I$2/(1+EXP($I$3*(COUNT($O$9:AK$9)+$I$4))),TREND($D74:$E74,$D$9:$E$9,AK$9))</f>
        <v>0</v>
      </c>
      <c r="AL74">
        <f>IF($F74="s-curve",$D74+($E74-$D74)*$I$2/(1+EXP($I$3*(COUNT($O$9:AL$9)+$I$4))),TREND($D74:$E74,$D$9:$E$9,AL$9))</f>
        <v>0</v>
      </c>
      <c r="AM74">
        <f>IF($F74="s-curve",$D74+($E74-$D74)*$I$2/(1+EXP($I$3*(COUNT($O$9:AM$9)+$I$4))),TREND($D74:$E74,$D$9:$E$9,AM$9))</f>
        <v>0</v>
      </c>
      <c r="AN74">
        <f>IF($F74="s-curve",$D74+($E74-$D74)*$I$2/(1+EXP($I$3*(COUNT($O$9:AN$9)+$I$4))),TREND($D74:$E74,$D$9:$E$9,AN$9))</f>
        <v>0</v>
      </c>
      <c r="AO74">
        <f>IF($F74="s-curve",$D74+($E74-$D74)*$I$2/(1+EXP($I$3*(COUNT($O$9:AO$9)+$I$4))),TREND($D74:$E74,$D$9:$E$9,AO$9))</f>
        <v>0</v>
      </c>
      <c r="AP74">
        <f>IF($F74="s-curve",$D74+($E74-$D74)*$I$2/(1+EXP($I$3*(COUNT($O$9:AP$9)+$I$4))),TREND($D74:$E74,$D$9:$E$9,AP$9))</f>
        <v>0</v>
      </c>
      <c r="AQ74">
        <f>IF($F74="s-curve",$D74+($E74-$D74)*$I$2/(1+EXP($I$3*(COUNT($O$9:AQ$9)+$I$4))),TREND($D74:$E74,$D$9:$E$9,AQ$9))</f>
        <v>0</v>
      </c>
      <c r="AR74">
        <f>IF($F74="s-curve",$D74+($E74-$D74)*$I$2/(1+EXP($I$3*(COUNT($O$9:AR$9)+$I$4))),TREND($D74:$E74,$D$9:$E$9,AR$9))</f>
        <v>0</v>
      </c>
      <c r="AS74">
        <f>IF($F74="s-curve",$D74+($E74-$D74)*$I$2/(1+EXP($I$3*(COUNT($O$9:AS$9)+$I$4))),TREND($D74:$E74,$D$9:$E$9,AS$9))</f>
        <v>0</v>
      </c>
      <c r="AT74">
        <f t="shared" si="11"/>
        <v>0</v>
      </c>
      <c r="AU74">
        <f t="shared" ref="AU74:BC74" si="16">AT74</f>
        <v>0</v>
      </c>
      <c r="AV74">
        <f t="shared" si="16"/>
        <v>0</v>
      </c>
      <c r="AW74">
        <f t="shared" si="16"/>
        <v>0</v>
      </c>
      <c r="AX74">
        <f t="shared" si="16"/>
        <v>0</v>
      </c>
      <c r="AY74">
        <f t="shared" si="16"/>
        <v>0</v>
      </c>
      <c r="AZ74">
        <f t="shared" si="16"/>
        <v>0</v>
      </c>
      <c r="BA74">
        <f t="shared" si="16"/>
        <v>0</v>
      </c>
      <c r="BB74">
        <f t="shared" si="16"/>
        <v>0</v>
      </c>
      <c r="BC74">
        <f t="shared" si="16"/>
        <v>0</v>
      </c>
    </row>
    <row r="75" spans="1:55" x14ac:dyDescent="0.15">
      <c r="C75" t="s">
        <v>3</v>
      </c>
      <c r="D75">
        <v>0</v>
      </c>
      <c r="E75">
        <v>0</v>
      </c>
      <c r="F75" s="7" t="str">
        <f>IF(D75=E75,"n/a",IF(OR(C75="battery electric vehicle",C75="natural gas vehicle",C75="plugin hybrid vehicle"),"s-curve","linear"))</f>
        <v>n/a</v>
      </c>
      <c r="O75" s="22">
        <f t="shared" ref="O75:O93" si="17">D75</f>
        <v>0</v>
      </c>
      <c r="P75">
        <f>IF($F75="s-curve",$D75+($E75-$D75)*$I$2/(1+EXP($I$3*(COUNT($O$9:P$9)+$I$4))),TREND($D75:$E75,$D$9:$E$9,P$9))</f>
        <v>0</v>
      </c>
      <c r="Q75">
        <f>IF($F75="s-curve",$D75+($E75-$D75)*$I$2/(1+EXP($I$3*(COUNT($O$9:Q$9)+$I$4))),TREND($D75:$E75,$D$9:$E$9,Q$9))</f>
        <v>0</v>
      </c>
      <c r="R75">
        <f>IF($F75="s-curve",$D75+($E75-$D75)*$I$2/(1+EXP($I$3*(COUNT($O$9:R$9)+$I$4))),TREND($D75:$E75,$D$9:$E$9,R$9))</f>
        <v>0</v>
      </c>
      <c r="S75">
        <f>IF($F75="s-curve",$D75+($E75-$D75)*$I$2/(1+EXP($I$3*(COUNT($O$9:S$9)+$I$4))),TREND($D75:$E75,$D$9:$E$9,S$9))</f>
        <v>0</v>
      </c>
      <c r="T75">
        <f>IF($F75="s-curve",$D75+($E75-$D75)*$I$2/(1+EXP($I$3*(COUNT($O$9:T$9)+$I$4))),TREND($D75:$E75,$D$9:$E$9,T$9))</f>
        <v>0</v>
      </c>
      <c r="U75">
        <f>IF($F75="s-curve",$D75+($E75-$D75)*$I$2/(1+EXP($I$3*(COUNT($O$9:U$9)+$I$4))),TREND($D75:$E75,$D$9:$E$9,U$9))</f>
        <v>0</v>
      </c>
      <c r="V75">
        <f>IF($F75="s-curve",$D75+($E75-$D75)*$I$2/(1+EXP($I$3*(COUNT($O$9:V$9)+$I$4))),TREND($D75:$E75,$D$9:$E$9,V$9))</f>
        <v>0</v>
      </c>
      <c r="W75">
        <f>IF($F75="s-curve",$D75+($E75-$D75)*$I$2/(1+EXP($I$3*(COUNT($O$9:W$9)+$I$4))),TREND($D75:$E75,$D$9:$E$9,W$9))</f>
        <v>0</v>
      </c>
      <c r="X75">
        <f>IF($F75="s-curve",$D75+($E75-$D75)*$I$2/(1+EXP($I$3*(COUNT($O$9:X$9)+$I$4))),TREND($D75:$E75,$D$9:$E$9,X$9))</f>
        <v>0</v>
      </c>
      <c r="Y75">
        <f>IF($F75="s-curve",$D75+($E75-$D75)*$I$2/(1+EXP($I$3*(COUNT($O$9:Y$9)+$I$4))),TREND($D75:$E75,$D$9:$E$9,Y$9))</f>
        <v>0</v>
      </c>
      <c r="Z75">
        <f>IF($F75="s-curve",$D75+($E75-$D75)*$I$2/(1+EXP($I$3*(COUNT($O$9:Z$9)+$I$4))),TREND($D75:$E75,$D$9:$E$9,Z$9))</f>
        <v>0</v>
      </c>
      <c r="AA75">
        <f>IF($F75="s-curve",$D75+($E75-$D75)*$I$2/(1+EXP($I$3*(COUNT($O$9:AA$9)+$I$4))),TREND($D75:$E75,$D$9:$E$9,AA$9))</f>
        <v>0</v>
      </c>
      <c r="AB75">
        <f>IF($F75="s-curve",$D75+($E75-$D75)*$I$2/(1+EXP($I$3*(COUNT($O$9:AB$9)+$I$4))),TREND($D75:$E75,$D$9:$E$9,AB$9))</f>
        <v>0</v>
      </c>
      <c r="AC75">
        <f>IF($F75="s-curve",$D75+($E75-$D75)*$I$2/(1+EXP($I$3*(COUNT($O$9:AC$9)+$I$4))),TREND($D75:$E75,$D$9:$E$9,AC$9))</f>
        <v>0</v>
      </c>
      <c r="AD75">
        <f>IF($F75="s-curve",$D75+($E75-$D75)*$I$2/(1+EXP($I$3*(COUNT($O$9:AD$9)+$I$4))),TREND($D75:$E75,$D$9:$E$9,AD$9))</f>
        <v>0</v>
      </c>
      <c r="AE75">
        <f>IF($F75="s-curve",$D75+($E75-$D75)*$I$2/(1+EXP($I$3*(COUNT($O$9:AE$9)+$I$4))),TREND($D75:$E75,$D$9:$E$9,AE$9))</f>
        <v>0</v>
      </c>
      <c r="AF75">
        <f>IF($F75="s-curve",$D75+($E75-$D75)*$I$2/(1+EXP($I$3*(COUNT($O$9:AF$9)+$I$4))),TREND($D75:$E75,$D$9:$E$9,AF$9))</f>
        <v>0</v>
      </c>
      <c r="AG75">
        <f>IF($F75="s-curve",$D75+($E75-$D75)*$I$2/(1+EXP($I$3*(COUNT($O$9:AG$9)+$I$4))),TREND($D75:$E75,$D$9:$E$9,AG$9))</f>
        <v>0</v>
      </c>
      <c r="AH75">
        <f>IF($F75="s-curve",$D75+($E75-$D75)*$I$2/(1+EXP($I$3*(COUNT($O$9:AH$9)+$I$4))),TREND($D75:$E75,$D$9:$E$9,AH$9))</f>
        <v>0</v>
      </c>
      <c r="AI75">
        <f>IF($F75="s-curve",$D75+($E75-$D75)*$I$2/(1+EXP($I$3*(COUNT($O$9:AI$9)+$I$4))),TREND($D75:$E75,$D$9:$E$9,AI$9))</f>
        <v>0</v>
      </c>
      <c r="AJ75">
        <f>IF($F75="s-curve",$D75+($E75-$D75)*$I$2/(1+EXP($I$3*(COUNT($O$9:AJ$9)+$I$4))),TREND($D75:$E75,$D$9:$E$9,AJ$9))</f>
        <v>0</v>
      </c>
      <c r="AK75">
        <f>IF($F75="s-curve",$D75+($E75-$D75)*$I$2/(1+EXP($I$3*(COUNT($O$9:AK$9)+$I$4))),TREND($D75:$E75,$D$9:$E$9,AK$9))</f>
        <v>0</v>
      </c>
      <c r="AL75">
        <f>IF($F75="s-curve",$D75+($E75-$D75)*$I$2/(1+EXP($I$3*(COUNT($O$9:AL$9)+$I$4))),TREND($D75:$E75,$D$9:$E$9,AL$9))</f>
        <v>0</v>
      </c>
      <c r="AM75">
        <f>IF($F75="s-curve",$D75+($E75-$D75)*$I$2/(1+EXP($I$3*(COUNT($O$9:AM$9)+$I$4))),TREND($D75:$E75,$D$9:$E$9,AM$9))</f>
        <v>0</v>
      </c>
      <c r="AN75">
        <f>IF($F75="s-curve",$D75+($E75-$D75)*$I$2/(1+EXP($I$3*(COUNT($O$9:AN$9)+$I$4))),TREND($D75:$E75,$D$9:$E$9,AN$9))</f>
        <v>0</v>
      </c>
      <c r="AO75">
        <f>IF($F75="s-curve",$D75+($E75-$D75)*$I$2/(1+EXP($I$3*(COUNT($O$9:AO$9)+$I$4))),TREND($D75:$E75,$D$9:$E$9,AO$9))</f>
        <v>0</v>
      </c>
      <c r="AP75">
        <f>IF($F75="s-curve",$D75+($E75-$D75)*$I$2/(1+EXP($I$3*(COUNT($O$9:AP$9)+$I$4))),TREND($D75:$E75,$D$9:$E$9,AP$9))</f>
        <v>0</v>
      </c>
      <c r="AQ75">
        <f>IF($F75="s-curve",$D75+($E75-$D75)*$I$2/(1+EXP($I$3*(COUNT($O$9:AQ$9)+$I$4))),TREND($D75:$E75,$D$9:$E$9,AQ$9))</f>
        <v>0</v>
      </c>
      <c r="AR75">
        <f>IF($F75="s-curve",$D75+($E75-$D75)*$I$2/(1+EXP($I$3*(COUNT($O$9:AR$9)+$I$4))),TREND($D75:$E75,$D$9:$E$9,AR$9))</f>
        <v>0</v>
      </c>
      <c r="AS75">
        <f>IF($F75="s-curve",$D75+($E75-$D75)*$I$2/(1+EXP($I$3*(COUNT($O$9:AS$9)+$I$4))),TREND($D75:$E75,$D$9:$E$9,AS$9))</f>
        <v>0</v>
      </c>
      <c r="AT75">
        <f t="shared" ref="AT75:BC93" si="18">AS75</f>
        <v>0</v>
      </c>
      <c r="AU75">
        <f t="shared" si="18"/>
        <v>0</v>
      </c>
      <c r="AV75">
        <f t="shared" si="18"/>
        <v>0</v>
      </c>
      <c r="AW75">
        <f t="shared" si="18"/>
        <v>0</v>
      </c>
      <c r="AX75">
        <f t="shared" si="18"/>
        <v>0</v>
      </c>
      <c r="AY75">
        <f t="shared" si="18"/>
        <v>0</v>
      </c>
      <c r="AZ75">
        <f t="shared" si="18"/>
        <v>0</v>
      </c>
      <c r="BA75">
        <f t="shared" si="18"/>
        <v>0</v>
      </c>
      <c r="BB75">
        <f t="shared" si="18"/>
        <v>0</v>
      </c>
      <c r="BC75">
        <f t="shared" si="18"/>
        <v>0</v>
      </c>
    </row>
    <row r="76" spans="1:55" x14ac:dyDescent="0.15">
      <c r="C76" t="s">
        <v>4</v>
      </c>
      <c r="D76">
        <v>1</v>
      </c>
      <c r="E76">
        <v>1</v>
      </c>
      <c r="F76" s="7" t="str">
        <f>IF(D76=E76,"n/a",IF(OR(C76="battery electric vehicle",C76="natural gas vehicle",C76="plugin hybrid vehicle"),"s-curve","linear"))</f>
        <v>n/a</v>
      </c>
      <c r="O76" s="22">
        <f t="shared" si="17"/>
        <v>1</v>
      </c>
      <c r="P76">
        <f>IF($F76="s-curve",$D76+($E76-$D76)*$I$2/(1+EXP($I$3*(COUNT($O$9:P$9)+$I$4))),TREND($D76:$E76,$D$9:$E$9,P$9))</f>
        <v>1</v>
      </c>
      <c r="Q76">
        <f>IF($F76="s-curve",$D76+($E76-$D76)*$I$2/(1+EXP($I$3*(COUNT($O$9:Q$9)+$I$4))),TREND($D76:$E76,$D$9:$E$9,Q$9))</f>
        <v>1</v>
      </c>
      <c r="R76">
        <f>IF($F76="s-curve",$D76+($E76-$D76)*$I$2/(1+EXP($I$3*(COUNT($O$9:R$9)+$I$4))),TREND($D76:$E76,$D$9:$E$9,R$9))</f>
        <v>1</v>
      </c>
      <c r="S76">
        <f>IF($F76="s-curve",$D76+($E76-$D76)*$I$2/(1+EXP($I$3*(COUNT($O$9:S$9)+$I$4))),TREND($D76:$E76,$D$9:$E$9,S$9))</f>
        <v>1</v>
      </c>
      <c r="T76">
        <f>IF($F76="s-curve",$D76+($E76-$D76)*$I$2/(1+EXP($I$3*(COUNT($O$9:T$9)+$I$4))),TREND($D76:$E76,$D$9:$E$9,T$9))</f>
        <v>1</v>
      </c>
      <c r="U76">
        <f>IF($F76="s-curve",$D76+($E76-$D76)*$I$2/(1+EXP($I$3*(COUNT($O$9:U$9)+$I$4))),TREND($D76:$E76,$D$9:$E$9,U$9))</f>
        <v>1</v>
      </c>
      <c r="V76">
        <f>IF($F76="s-curve",$D76+($E76-$D76)*$I$2/(1+EXP($I$3*(COUNT($O$9:V$9)+$I$4))),TREND($D76:$E76,$D$9:$E$9,V$9))</f>
        <v>1</v>
      </c>
      <c r="W76">
        <f>IF($F76="s-curve",$D76+($E76-$D76)*$I$2/(1+EXP($I$3*(COUNT($O$9:W$9)+$I$4))),TREND($D76:$E76,$D$9:$E$9,W$9))</f>
        <v>1</v>
      </c>
      <c r="X76">
        <f>IF($F76="s-curve",$D76+($E76-$D76)*$I$2/(1+EXP($I$3*(COUNT($O$9:X$9)+$I$4))),TREND($D76:$E76,$D$9:$E$9,X$9))</f>
        <v>1</v>
      </c>
      <c r="Y76">
        <f>IF($F76="s-curve",$D76+($E76-$D76)*$I$2/(1+EXP($I$3*(COUNT($O$9:Y$9)+$I$4))),TREND($D76:$E76,$D$9:$E$9,Y$9))</f>
        <v>1</v>
      </c>
      <c r="Z76">
        <f>IF($F76="s-curve",$D76+($E76-$D76)*$I$2/(1+EXP($I$3*(COUNT($O$9:Z$9)+$I$4))),TREND($D76:$E76,$D$9:$E$9,Z$9))</f>
        <v>1</v>
      </c>
      <c r="AA76">
        <f>IF($F76="s-curve",$D76+($E76-$D76)*$I$2/(1+EXP($I$3*(COUNT($O$9:AA$9)+$I$4))),TREND($D76:$E76,$D$9:$E$9,AA$9))</f>
        <v>1</v>
      </c>
      <c r="AB76">
        <f>IF($F76="s-curve",$D76+($E76-$D76)*$I$2/(1+EXP($I$3*(COUNT($O$9:AB$9)+$I$4))),TREND($D76:$E76,$D$9:$E$9,AB$9))</f>
        <v>1</v>
      </c>
      <c r="AC76">
        <f>IF($F76="s-curve",$D76+($E76-$D76)*$I$2/(1+EXP($I$3*(COUNT($O$9:AC$9)+$I$4))),TREND($D76:$E76,$D$9:$E$9,AC$9))</f>
        <v>1</v>
      </c>
      <c r="AD76">
        <f>IF($F76="s-curve",$D76+($E76-$D76)*$I$2/(1+EXP($I$3*(COUNT($O$9:AD$9)+$I$4))),TREND($D76:$E76,$D$9:$E$9,AD$9))</f>
        <v>1</v>
      </c>
      <c r="AE76">
        <f>IF($F76="s-curve",$D76+($E76-$D76)*$I$2/(1+EXP($I$3*(COUNT($O$9:AE$9)+$I$4))),TREND($D76:$E76,$D$9:$E$9,AE$9))</f>
        <v>1</v>
      </c>
      <c r="AF76">
        <f>IF($F76="s-curve",$D76+($E76-$D76)*$I$2/(1+EXP($I$3*(COUNT($O$9:AF$9)+$I$4))),TREND($D76:$E76,$D$9:$E$9,AF$9))</f>
        <v>1</v>
      </c>
      <c r="AG76">
        <f>IF($F76="s-curve",$D76+($E76-$D76)*$I$2/(1+EXP($I$3*(COUNT($O$9:AG$9)+$I$4))),TREND($D76:$E76,$D$9:$E$9,AG$9))</f>
        <v>1</v>
      </c>
      <c r="AH76">
        <f>IF($F76="s-curve",$D76+($E76-$D76)*$I$2/(1+EXP($I$3*(COUNT($O$9:AH$9)+$I$4))),TREND($D76:$E76,$D$9:$E$9,AH$9))</f>
        <v>1</v>
      </c>
      <c r="AI76">
        <f>IF($F76="s-curve",$D76+($E76-$D76)*$I$2/(1+EXP($I$3*(COUNT($O$9:AI$9)+$I$4))),TREND($D76:$E76,$D$9:$E$9,AI$9))</f>
        <v>1</v>
      </c>
      <c r="AJ76">
        <f>IF($F76="s-curve",$D76+($E76-$D76)*$I$2/(1+EXP($I$3*(COUNT($O$9:AJ$9)+$I$4))),TREND($D76:$E76,$D$9:$E$9,AJ$9))</f>
        <v>1</v>
      </c>
      <c r="AK76">
        <f>IF($F76="s-curve",$D76+($E76-$D76)*$I$2/(1+EXP($I$3*(COUNT($O$9:AK$9)+$I$4))),TREND($D76:$E76,$D$9:$E$9,AK$9))</f>
        <v>1</v>
      </c>
      <c r="AL76">
        <f>IF($F76="s-curve",$D76+($E76-$D76)*$I$2/(1+EXP($I$3*(COUNT($O$9:AL$9)+$I$4))),TREND($D76:$E76,$D$9:$E$9,AL$9))</f>
        <v>1</v>
      </c>
      <c r="AM76">
        <f>IF($F76="s-curve",$D76+($E76-$D76)*$I$2/(1+EXP($I$3*(COUNT($O$9:AM$9)+$I$4))),TREND($D76:$E76,$D$9:$E$9,AM$9))</f>
        <v>1</v>
      </c>
      <c r="AN76">
        <f>IF($F76="s-curve",$D76+($E76-$D76)*$I$2/(1+EXP($I$3*(COUNT($O$9:AN$9)+$I$4))),TREND($D76:$E76,$D$9:$E$9,AN$9))</f>
        <v>1</v>
      </c>
      <c r="AO76">
        <f>IF($F76="s-curve",$D76+($E76-$D76)*$I$2/(1+EXP($I$3*(COUNT($O$9:AO$9)+$I$4))),TREND($D76:$E76,$D$9:$E$9,AO$9))</f>
        <v>1</v>
      </c>
      <c r="AP76">
        <f>IF($F76="s-curve",$D76+($E76-$D76)*$I$2/(1+EXP($I$3*(COUNT($O$9:AP$9)+$I$4))),TREND($D76:$E76,$D$9:$E$9,AP$9))</f>
        <v>1</v>
      </c>
      <c r="AQ76">
        <f>IF($F76="s-curve",$D76+($E76-$D76)*$I$2/(1+EXP($I$3*(COUNT($O$9:AQ$9)+$I$4))),TREND($D76:$E76,$D$9:$E$9,AQ$9))</f>
        <v>1</v>
      </c>
      <c r="AR76">
        <f>IF($F76="s-curve",$D76+($E76-$D76)*$I$2/(1+EXP($I$3*(COUNT($O$9:AR$9)+$I$4))),TREND($D76:$E76,$D$9:$E$9,AR$9))</f>
        <v>1</v>
      </c>
      <c r="AS76">
        <f>IF($F76="s-curve",$D76+($E76-$D76)*$I$2/(1+EXP($I$3*(COUNT($O$9:AS$9)+$I$4))),TREND($D76:$E76,$D$9:$E$9,AS$9))</f>
        <v>1</v>
      </c>
      <c r="AT76">
        <f t="shared" si="18"/>
        <v>1</v>
      </c>
      <c r="AU76">
        <f t="shared" si="18"/>
        <v>1</v>
      </c>
      <c r="AV76">
        <f t="shared" si="18"/>
        <v>1</v>
      </c>
      <c r="AW76">
        <f t="shared" si="18"/>
        <v>1</v>
      </c>
      <c r="AX76">
        <f t="shared" si="18"/>
        <v>1</v>
      </c>
      <c r="AY76">
        <f t="shared" si="18"/>
        <v>1</v>
      </c>
      <c r="AZ76">
        <f t="shared" si="18"/>
        <v>1</v>
      </c>
      <c r="BA76">
        <f t="shared" si="18"/>
        <v>1</v>
      </c>
      <c r="BB76">
        <f t="shared" si="18"/>
        <v>1</v>
      </c>
      <c r="BC76">
        <f t="shared" si="18"/>
        <v>1</v>
      </c>
    </row>
    <row r="77" spans="1:55" x14ac:dyDescent="0.15">
      <c r="C77" t="s">
        <v>5</v>
      </c>
      <c r="D77">
        <v>0</v>
      </c>
      <c r="E77">
        <v>0</v>
      </c>
      <c r="F77" s="7" t="str">
        <f>IF(D77=E77,"n/a",IF(OR(C77="battery electric vehicle",C77="natural gas vehicle",C77="plugin hybrid vehicle"),"s-curve","linear"))</f>
        <v>n/a</v>
      </c>
      <c r="O77" s="22">
        <f t="shared" si="17"/>
        <v>0</v>
      </c>
      <c r="P77">
        <f>IF($F77="s-curve",$D77+($E77-$D77)*$I$2/(1+EXP($I$3*(COUNT($O$9:P$9)+$I$4))),TREND($D77:$E77,$D$9:$E$9,P$9))</f>
        <v>0</v>
      </c>
      <c r="Q77">
        <f>IF($F77="s-curve",$D77+($E77-$D77)*$I$2/(1+EXP($I$3*(COUNT($O$9:Q$9)+$I$4))),TREND($D77:$E77,$D$9:$E$9,Q$9))</f>
        <v>0</v>
      </c>
      <c r="R77">
        <f>IF($F77="s-curve",$D77+($E77-$D77)*$I$2/(1+EXP($I$3*(COUNT($O$9:R$9)+$I$4))),TREND($D77:$E77,$D$9:$E$9,R$9))</f>
        <v>0</v>
      </c>
      <c r="S77">
        <f>IF($F77="s-curve",$D77+($E77-$D77)*$I$2/(1+EXP($I$3*(COUNT($O$9:S$9)+$I$4))),TREND($D77:$E77,$D$9:$E$9,S$9))</f>
        <v>0</v>
      </c>
      <c r="T77">
        <f>IF($F77="s-curve",$D77+($E77-$D77)*$I$2/(1+EXP($I$3*(COUNT($O$9:T$9)+$I$4))),TREND($D77:$E77,$D$9:$E$9,T$9))</f>
        <v>0</v>
      </c>
      <c r="U77">
        <f>IF($F77="s-curve",$D77+($E77-$D77)*$I$2/(1+EXP($I$3*(COUNT($O$9:U$9)+$I$4))),TREND($D77:$E77,$D$9:$E$9,U$9))</f>
        <v>0</v>
      </c>
      <c r="V77">
        <f>IF($F77="s-curve",$D77+($E77-$D77)*$I$2/(1+EXP($I$3*(COUNT($O$9:V$9)+$I$4))),TREND($D77:$E77,$D$9:$E$9,V$9))</f>
        <v>0</v>
      </c>
      <c r="W77">
        <f>IF($F77="s-curve",$D77+($E77-$D77)*$I$2/(1+EXP($I$3*(COUNT($O$9:W$9)+$I$4))),TREND($D77:$E77,$D$9:$E$9,W$9))</f>
        <v>0</v>
      </c>
      <c r="X77">
        <f>IF($F77="s-curve",$D77+($E77-$D77)*$I$2/(1+EXP($I$3*(COUNT($O$9:X$9)+$I$4))),TREND($D77:$E77,$D$9:$E$9,X$9))</f>
        <v>0</v>
      </c>
      <c r="Y77">
        <f>IF($F77="s-curve",$D77+($E77-$D77)*$I$2/(1+EXP($I$3*(COUNT($O$9:Y$9)+$I$4))),TREND($D77:$E77,$D$9:$E$9,Y$9))</f>
        <v>0</v>
      </c>
      <c r="Z77">
        <f>IF($F77="s-curve",$D77+($E77-$D77)*$I$2/(1+EXP($I$3*(COUNT($O$9:Z$9)+$I$4))),TREND($D77:$E77,$D$9:$E$9,Z$9))</f>
        <v>0</v>
      </c>
      <c r="AA77">
        <f>IF($F77="s-curve",$D77+($E77-$D77)*$I$2/(1+EXP($I$3*(COUNT($O$9:AA$9)+$I$4))),TREND($D77:$E77,$D$9:$E$9,AA$9))</f>
        <v>0</v>
      </c>
      <c r="AB77">
        <f>IF($F77="s-curve",$D77+($E77-$D77)*$I$2/(1+EXP($I$3*(COUNT($O$9:AB$9)+$I$4))),TREND($D77:$E77,$D$9:$E$9,AB$9))</f>
        <v>0</v>
      </c>
      <c r="AC77">
        <f>IF($F77="s-curve",$D77+($E77-$D77)*$I$2/(1+EXP($I$3*(COUNT($O$9:AC$9)+$I$4))),TREND($D77:$E77,$D$9:$E$9,AC$9))</f>
        <v>0</v>
      </c>
      <c r="AD77">
        <f>IF($F77="s-curve",$D77+($E77-$D77)*$I$2/(1+EXP($I$3*(COUNT($O$9:AD$9)+$I$4))),TREND($D77:$E77,$D$9:$E$9,AD$9))</f>
        <v>0</v>
      </c>
      <c r="AE77">
        <f>IF($F77="s-curve",$D77+($E77-$D77)*$I$2/(1+EXP($I$3*(COUNT($O$9:AE$9)+$I$4))),TREND($D77:$E77,$D$9:$E$9,AE$9))</f>
        <v>0</v>
      </c>
      <c r="AF77">
        <f>IF($F77="s-curve",$D77+($E77-$D77)*$I$2/(1+EXP($I$3*(COUNT($O$9:AF$9)+$I$4))),TREND($D77:$E77,$D$9:$E$9,AF$9))</f>
        <v>0</v>
      </c>
      <c r="AG77">
        <f>IF($F77="s-curve",$D77+($E77-$D77)*$I$2/(1+EXP($I$3*(COUNT($O$9:AG$9)+$I$4))),TREND($D77:$E77,$D$9:$E$9,AG$9))</f>
        <v>0</v>
      </c>
      <c r="AH77">
        <f>IF($F77="s-curve",$D77+($E77-$D77)*$I$2/(1+EXP($I$3*(COUNT($O$9:AH$9)+$I$4))),TREND($D77:$E77,$D$9:$E$9,AH$9))</f>
        <v>0</v>
      </c>
      <c r="AI77">
        <f>IF($F77="s-curve",$D77+($E77-$D77)*$I$2/(1+EXP($I$3*(COUNT($O$9:AI$9)+$I$4))),TREND($D77:$E77,$D$9:$E$9,AI$9))</f>
        <v>0</v>
      </c>
      <c r="AJ77">
        <f>IF($F77="s-curve",$D77+($E77-$D77)*$I$2/(1+EXP($I$3*(COUNT($O$9:AJ$9)+$I$4))),TREND($D77:$E77,$D$9:$E$9,AJ$9))</f>
        <v>0</v>
      </c>
      <c r="AK77">
        <f>IF($F77="s-curve",$D77+($E77-$D77)*$I$2/(1+EXP($I$3*(COUNT($O$9:AK$9)+$I$4))),TREND($D77:$E77,$D$9:$E$9,AK$9))</f>
        <v>0</v>
      </c>
      <c r="AL77">
        <f>IF($F77="s-curve",$D77+($E77-$D77)*$I$2/(1+EXP($I$3*(COUNT($O$9:AL$9)+$I$4))),TREND($D77:$E77,$D$9:$E$9,AL$9))</f>
        <v>0</v>
      </c>
      <c r="AM77">
        <f>IF($F77="s-curve",$D77+($E77-$D77)*$I$2/(1+EXP($I$3*(COUNT($O$9:AM$9)+$I$4))),TREND($D77:$E77,$D$9:$E$9,AM$9))</f>
        <v>0</v>
      </c>
      <c r="AN77">
        <f>IF($F77="s-curve",$D77+($E77-$D77)*$I$2/(1+EXP($I$3*(COUNT($O$9:AN$9)+$I$4))),TREND($D77:$E77,$D$9:$E$9,AN$9))</f>
        <v>0</v>
      </c>
      <c r="AO77">
        <f>IF($F77="s-curve",$D77+($E77-$D77)*$I$2/(1+EXP($I$3*(COUNT($O$9:AO$9)+$I$4))),TREND($D77:$E77,$D$9:$E$9,AO$9))</f>
        <v>0</v>
      </c>
      <c r="AP77">
        <f>IF($F77="s-curve",$D77+($E77-$D77)*$I$2/(1+EXP($I$3*(COUNT($O$9:AP$9)+$I$4))),TREND($D77:$E77,$D$9:$E$9,AP$9))</f>
        <v>0</v>
      </c>
      <c r="AQ77">
        <f>IF($F77="s-curve",$D77+($E77-$D77)*$I$2/(1+EXP($I$3*(COUNT($O$9:AQ$9)+$I$4))),TREND($D77:$E77,$D$9:$E$9,AQ$9))</f>
        <v>0</v>
      </c>
      <c r="AR77">
        <f>IF($F77="s-curve",$D77+($E77-$D77)*$I$2/(1+EXP($I$3*(COUNT($O$9:AR$9)+$I$4))),TREND($D77:$E77,$D$9:$E$9,AR$9))</f>
        <v>0</v>
      </c>
      <c r="AS77">
        <f>IF($F77="s-curve",$D77+($E77-$D77)*$I$2/(1+EXP($I$3*(COUNT($O$9:AS$9)+$I$4))),TREND($D77:$E77,$D$9:$E$9,AS$9))</f>
        <v>0</v>
      </c>
      <c r="AT77">
        <f t="shared" si="18"/>
        <v>0</v>
      </c>
      <c r="AU77">
        <f t="shared" si="18"/>
        <v>0</v>
      </c>
      <c r="AV77">
        <f t="shared" si="18"/>
        <v>0</v>
      </c>
      <c r="AW77">
        <f t="shared" si="18"/>
        <v>0</v>
      </c>
      <c r="AX77">
        <f t="shared" si="18"/>
        <v>0</v>
      </c>
      <c r="AY77">
        <f t="shared" si="18"/>
        <v>0</v>
      </c>
      <c r="AZ77">
        <f t="shared" si="18"/>
        <v>0</v>
      </c>
      <c r="BA77">
        <f t="shared" si="18"/>
        <v>0</v>
      </c>
      <c r="BB77">
        <f t="shared" si="18"/>
        <v>0</v>
      </c>
      <c r="BC77">
        <f t="shared" si="18"/>
        <v>0</v>
      </c>
    </row>
    <row r="78" spans="1:55" x14ac:dyDescent="0.15">
      <c r="C78" t="s">
        <v>125</v>
      </c>
      <c r="D78">
        <v>0</v>
      </c>
      <c r="E78">
        <v>0</v>
      </c>
      <c r="F78" s="7" t="str">
        <f>IF(D78=E78,"n/a",IF(OR(C78="battery electric vehicle",C78="natural gas vehicle",C78="plugin hybrid vehicle",C78="hydrogen vehicle"),"s-curve","linear"))</f>
        <v>n/a</v>
      </c>
      <c r="O78" s="22">
        <f t="shared" si="17"/>
        <v>0</v>
      </c>
      <c r="P78">
        <f>IF($F78="s-curve",$D78+($E78-$D78)*$I$2/(1+EXP($I$3*(COUNT($O$9:P$9)+$I$4))),TREND($D78:$E78,$D$9:$E$9,P$9))</f>
        <v>0</v>
      </c>
      <c r="Q78">
        <f>IF($F78="s-curve",$D78+($E78-$D78)*$I$2/(1+EXP($I$3*(COUNT($O$9:Q$9)+$I$4))),TREND($D78:$E78,$D$9:$E$9,Q$9))</f>
        <v>0</v>
      </c>
      <c r="R78">
        <f>IF($F78="s-curve",$D78+($E78-$D78)*$I$2/(1+EXP($I$3*(COUNT($O$9:R$9)+$I$4))),TREND($D78:$E78,$D$9:$E$9,R$9))</f>
        <v>0</v>
      </c>
      <c r="S78">
        <f>IF($F78="s-curve",$D78+($E78-$D78)*$I$2/(1+EXP($I$3*(COUNT($O$9:S$9)+$I$4))),TREND($D78:$E78,$D$9:$E$9,S$9))</f>
        <v>0</v>
      </c>
      <c r="T78">
        <f>IF($F78="s-curve",$D78+($E78-$D78)*$I$2/(1+EXP($I$3*(COUNT($O$9:T$9)+$I$4))),TREND($D78:$E78,$D$9:$E$9,T$9))</f>
        <v>0</v>
      </c>
      <c r="U78">
        <f>IF($F78="s-curve",$D78+($E78-$D78)*$I$2/(1+EXP($I$3*(COUNT($O$9:U$9)+$I$4))),TREND($D78:$E78,$D$9:$E$9,U$9))</f>
        <v>0</v>
      </c>
      <c r="V78">
        <f>IF($F78="s-curve",$D78+($E78-$D78)*$I$2/(1+EXP($I$3*(COUNT($O$9:V$9)+$I$4))),TREND($D78:$E78,$D$9:$E$9,V$9))</f>
        <v>0</v>
      </c>
      <c r="W78">
        <f>IF($F78="s-curve",$D78+($E78-$D78)*$I$2/(1+EXP($I$3*(COUNT($O$9:W$9)+$I$4))),TREND($D78:$E78,$D$9:$E$9,W$9))</f>
        <v>0</v>
      </c>
      <c r="X78">
        <f>IF($F78="s-curve",$D78+($E78-$D78)*$I$2/(1+EXP($I$3*(COUNT($O$9:X$9)+$I$4))),TREND($D78:$E78,$D$9:$E$9,X$9))</f>
        <v>0</v>
      </c>
      <c r="Y78">
        <f>IF($F78="s-curve",$D78+($E78-$D78)*$I$2/(1+EXP($I$3*(COUNT($O$9:Y$9)+$I$4))),TREND($D78:$E78,$D$9:$E$9,Y$9))</f>
        <v>0</v>
      </c>
      <c r="Z78">
        <f>IF($F78="s-curve",$D78+($E78-$D78)*$I$2/(1+EXP($I$3*(COUNT($O$9:Z$9)+$I$4))),TREND($D78:$E78,$D$9:$E$9,Z$9))</f>
        <v>0</v>
      </c>
      <c r="AA78">
        <f>IF($F78="s-curve",$D78+($E78-$D78)*$I$2/(1+EXP($I$3*(COUNT($O$9:AA$9)+$I$4))),TREND($D78:$E78,$D$9:$E$9,AA$9))</f>
        <v>0</v>
      </c>
      <c r="AB78">
        <f>IF($F78="s-curve",$D78+($E78-$D78)*$I$2/(1+EXP($I$3*(COUNT($O$9:AB$9)+$I$4))),TREND($D78:$E78,$D$9:$E$9,AB$9))</f>
        <v>0</v>
      </c>
      <c r="AC78">
        <f>IF($F78="s-curve",$D78+($E78-$D78)*$I$2/(1+EXP($I$3*(COUNT($O$9:AC$9)+$I$4))),TREND($D78:$E78,$D$9:$E$9,AC$9))</f>
        <v>0</v>
      </c>
      <c r="AD78">
        <f>IF($F78="s-curve",$D78+($E78-$D78)*$I$2/(1+EXP($I$3*(COUNT($O$9:AD$9)+$I$4))),TREND($D78:$E78,$D$9:$E$9,AD$9))</f>
        <v>0</v>
      </c>
      <c r="AE78">
        <f>IF($F78="s-curve",$D78+($E78-$D78)*$I$2/(1+EXP($I$3*(COUNT($O$9:AE$9)+$I$4))),TREND($D78:$E78,$D$9:$E$9,AE$9))</f>
        <v>0</v>
      </c>
      <c r="AF78">
        <f>IF($F78="s-curve",$D78+($E78-$D78)*$I$2/(1+EXP($I$3*(COUNT($O$9:AF$9)+$I$4))),TREND($D78:$E78,$D$9:$E$9,AF$9))</f>
        <v>0</v>
      </c>
      <c r="AG78">
        <f>IF($F78="s-curve",$D78+($E78-$D78)*$I$2/(1+EXP($I$3*(COUNT($O$9:AG$9)+$I$4))),TREND($D78:$E78,$D$9:$E$9,AG$9))</f>
        <v>0</v>
      </c>
      <c r="AH78">
        <f>IF($F78="s-curve",$D78+($E78-$D78)*$I$2/(1+EXP($I$3*(COUNT($O$9:AH$9)+$I$4))),TREND($D78:$E78,$D$9:$E$9,AH$9))</f>
        <v>0</v>
      </c>
      <c r="AI78">
        <f>IF($F78="s-curve",$D78+($E78-$D78)*$I$2/(1+EXP($I$3*(COUNT($O$9:AI$9)+$I$4))),TREND($D78:$E78,$D$9:$E$9,AI$9))</f>
        <v>0</v>
      </c>
      <c r="AJ78">
        <f>IF($F78="s-curve",$D78+($E78-$D78)*$I$2/(1+EXP($I$3*(COUNT($O$9:AJ$9)+$I$4))),TREND($D78:$E78,$D$9:$E$9,AJ$9))</f>
        <v>0</v>
      </c>
      <c r="AK78">
        <f>IF($F78="s-curve",$D78+($E78-$D78)*$I$2/(1+EXP($I$3*(COUNT($O$9:AK$9)+$I$4))),TREND($D78:$E78,$D$9:$E$9,AK$9))</f>
        <v>0</v>
      </c>
      <c r="AL78">
        <f>IF($F78="s-curve",$D78+($E78-$D78)*$I$2/(1+EXP($I$3*(COUNT($O$9:AL$9)+$I$4))),TREND($D78:$E78,$D$9:$E$9,AL$9))</f>
        <v>0</v>
      </c>
      <c r="AM78">
        <f>IF($F78="s-curve",$D78+($E78-$D78)*$I$2/(1+EXP($I$3*(COUNT($O$9:AM$9)+$I$4))),TREND($D78:$E78,$D$9:$E$9,AM$9))</f>
        <v>0</v>
      </c>
      <c r="AN78">
        <f>IF($F78="s-curve",$D78+($E78-$D78)*$I$2/(1+EXP($I$3*(COUNT($O$9:AN$9)+$I$4))),TREND($D78:$E78,$D$9:$E$9,AN$9))</f>
        <v>0</v>
      </c>
      <c r="AO78">
        <f>IF($F78="s-curve",$D78+($E78-$D78)*$I$2/(1+EXP($I$3*(COUNT($O$9:AO$9)+$I$4))),TREND($D78:$E78,$D$9:$E$9,AO$9))</f>
        <v>0</v>
      </c>
      <c r="AP78">
        <f>IF($F78="s-curve",$D78+($E78-$D78)*$I$2/(1+EXP($I$3*(COUNT($O$9:AP$9)+$I$4))),TREND($D78:$E78,$D$9:$E$9,AP$9))</f>
        <v>0</v>
      </c>
      <c r="AQ78">
        <f>IF($F78="s-curve",$D78+($E78-$D78)*$I$2/(1+EXP($I$3*(COUNT($O$9:AQ$9)+$I$4))),TREND($D78:$E78,$D$9:$E$9,AQ$9))</f>
        <v>0</v>
      </c>
      <c r="AR78">
        <f>IF($F78="s-curve",$D78+($E78-$D78)*$I$2/(1+EXP($I$3*(COUNT($O$9:AR$9)+$I$4))),TREND($D78:$E78,$D$9:$E$9,AR$9))</f>
        <v>0</v>
      </c>
      <c r="AS78">
        <f>IF($F78="s-curve",$D78+($E78-$D78)*$I$2/(1+EXP($I$3*(COUNT($O$9:AS$9)+$I$4))),TREND($D78:$E78,$D$9:$E$9,AS$9))</f>
        <v>0</v>
      </c>
      <c r="AT78">
        <f t="shared" si="18"/>
        <v>0</v>
      </c>
      <c r="AU78">
        <f t="shared" si="18"/>
        <v>0</v>
      </c>
      <c r="AV78">
        <f t="shared" si="18"/>
        <v>0</v>
      </c>
      <c r="AW78">
        <f t="shared" si="18"/>
        <v>0</v>
      </c>
      <c r="AX78">
        <f t="shared" si="18"/>
        <v>0</v>
      </c>
      <c r="AY78">
        <f t="shared" si="18"/>
        <v>0</v>
      </c>
      <c r="AZ78">
        <f t="shared" si="18"/>
        <v>0</v>
      </c>
      <c r="BA78">
        <f t="shared" si="18"/>
        <v>0</v>
      </c>
      <c r="BB78">
        <f t="shared" si="18"/>
        <v>0</v>
      </c>
      <c r="BC78">
        <f t="shared" si="18"/>
        <v>0</v>
      </c>
    </row>
    <row r="79" spans="1:55" ht="13.6" thickBot="1" x14ac:dyDescent="0.2">
      <c r="A79" s="23"/>
      <c r="B79" s="23"/>
      <c r="C79" s="23" t="s">
        <v>126</v>
      </c>
      <c r="D79" s="23">
        <v>0</v>
      </c>
      <c r="E79" s="23">
        <v>0</v>
      </c>
      <c r="F79" s="8" t="str">
        <f>IF(D79=E79,"n/a",IF(OR(C79="battery electric vehicle",C79="natural gas vehicle",C79="plugin hybrid vehicle",C79="hydrogen vehicle"),"s-curve","linear"))</f>
        <v>n/a</v>
      </c>
      <c r="O79" s="22">
        <f t="shared" si="17"/>
        <v>0</v>
      </c>
      <c r="P79">
        <f>IF($F79="s-curve",$D79+($E79-$D79)*$I$2/(1+EXP($I$3*(COUNT($O$9:P$9)+$I$4))),TREND($D79:$E79,$D$9:$E$9,P$9))</f>
        <v>0</v>
      </c>
      <c r="Q79">
        <f>IF($F79="s-curve",$D79+($E79-$D79)*$I$2/(1+EXP($I$3*(COUNT($O$9:Q$9)+$I$4))),TREND($D79:$E79,$D$9:$E$9,Q$9))</f>
        <v>0</v>
      </c>
      <c r="R79">
        <f>IF($F79="s-curve",$D79+($E79-$D79)*$I$2/(1+EXP($I$3*(COUNT($O$9:R$9)+$I$4))),TREND($D79:$E79,$D$9:$E$9,R$9))</f>
        <v>0</v>
      </c>
      <c r="S79">
        <f>IF($F79="s-curve",$D79+($E79-$D79)*$I$2/(1+EXP($I$3*(COUNT($O$9:S$9)+$I$4))),TREND($D79:$E79,$D$9:$E$9,S$9))</f>
        <v>0</v>
      </c>
      <c r="T79">
        <f>IF($F79="s-curve",$D79+($E79-$D79)*$I$2/(1+EXP($I$3*(COUNT($O$9:T$9)+$I$4))),TREND($D79:$E79,$D$9:$E$9,T$9))</f>
        <v>0</v>
      </c>
      <c r="U79">
        <f>IF($F79="s-curve",$D79+($E79-$D79)*$I$2/(1+EXP($I$3*(COUNT($O$9:U$9)+$I$4))),TREND($D79:$E79,$D$9:$E$9,U$9))</f>
        <v>0</v>
      </c>
      <c r="V79">
        <f>IF($F79="s-curve",$D79+($E79-$D79)*$I$2/(1+EXP($I$3*(COUNT($O$9:V$9)+$I$4))),TREND($D79:$E79,$D$9:$E$9,V$9))</f>
        <v>0</v>
      </c>
      <c r="W79">
        <f>IF($F79="s-curve",$D79+($E79-$D79)*$I$2/(1+EXP($I$3*(COUNT($O$9:W$9)+$I$4))),TREND($D79:$E79,$D$9:$E$9,W$9))</f>
        <v>0</v>
      </c>
      <c r="X79">
        <f>IF($F79="s-curve",$D79+($E79-$D79)*$I$2/(1+EXP($I$3*(COUNT($O$9:X$9)+$I$4))),TREND($D79:$E79,$D$9:$E$9,X$9))</f>
        <v>0</v>
      </c>
      <c r="Y79">
        <f>IF($F79="s-curve",$D79+($E79-$D79)*$I$2/(1+EXP($I$3*(COUNT($O$9:Y$9)+$I$4))),TREND($D79:$E79,$D$9:$E$9,Y$9))</f>
        <v>0</v>
      </c>
      <c r="Z79">
        <f>IF($F79="s-curve",$D79+($E79-$D79)*$I$2/(1+EXP($I$3*(COUNT($O$9:Z$9)+$I$4))),TREND($D79:$E79,$D$9:$E$9,Z$9))</f>
        <v>0</v>
      </c>
      <c r="AA79">
        <f>IF($F79="s-curve",$D79+($E79-$D79)*$I$2/(1+EXP($I$3*(COUNT($O$9:AA$9)+$I$4))),TREND($D79:$E79,$D$9:$E$9,AA$9))</f>
        <v>0</v>
      </c>
      <c r="AB79">
        <f>IF($F79="s-curve",$D79+($E79-$D79)*$I$2/(1+EXP($I$3*(COUNT($O$9:AB$9)+$I$4))),TREND($D79:$E79,$D$9:$E$9,AB$9))</f>
        <v>0</v>
      </c>
      <c r="AC79">
        <f>IF($F79="s-curve",$D79+($E79-$D79)*$I$2/(1+EXP($I$3*(COUNT($O$9:AC$9)+$I$4))),TREND($D79:$E79,$D$9:$E$9,AC$9))</f>
        <v>0</v>
      </c>
      <c r="AD79">
        <f>IF($F79="s-curve",$D79+($E79-$D79)*$I$2/(1+EXP($I$3*(COUNT($O$9:AD$9)+$I$4))),TREND($D79:$E79,$D$9:$E$9,AD$9))</f>
        <v>0</v>
      </c>
      <c r="AE79">
        <f>IF($F79="s-curve",$D79+($E79-$D79)*$I$2/(1+EXP($I$3*(COUNT($O$9:AE$9)+$I$4))),TREND($D79:$E79,$D$9:$E$9,AE$9))</f>
        <v>0</v>
      </c>
      <c r="AF79">
        <f>IF($F79="s-curve",$D79+($E79-$D79)*$I$2/(1+EXP($I$3*(COUNT($O$9:AF$9)+$I$4))),TREND($D79:$E79,$D$9:$E$9,AF$9))</f>
        <v>0</v>
      </c>
      <c r="AG79">
        <f>IF($F79="s-curve",$D79+($E79-$D79)*$I$2/(1+EXP($I$3*(COUNT($O$9:AG$9)+$I$4))),TREND($D79:$E79,$D$9:$E$9,AG$9))</f>
        <v>0</v>
      </c>
      <c r="AH79">
        <f>IF($F79="s-curve",$D79+($E79-$D79)*$I$2/(1+EXP($I$3*(COUNT($O$9:AH$9)+$I$4))),TREND($D79:$E79,$D$9:$E$9,AH$9))</f>
        <v>0</v>
      </c>
      <c r="AI79">
        <f>IF($F79="s-curve",$D79+($E79-$D79)*$I$2/(1+EXP($I$3*(COUNT($O$9:AI$9)+$I$4))),TREND($D79:$E79,$D$9:$E$9,AI$9))</f>
        <v>0</v>
      </c>
      <c r="AJ79">
        <f>IF($F79="s-curve",$D79+($E79-$D79)*$I$2/(1+EXP($I$3*(COUNT($O$9:AJ$9)+$I$4))),TREND($D79:$E79,$D$9:$E$9,AJ$9))</f>
        <v>0</v>
      </c>
      <c r="AK79">
        <f>IF($F79="s-curve",$D79+($E79-$D79)*$I$2/(1+EXP($I$3*(COUNT($O$9:AK$9)+$I$4))),TREND($D79:$E79,$D$9:$E$9,AK$9))</f>
        <v>0</v>
      </c>
      <c r="AL79">
        <f>IF($F79="s-curve",$D79+($E79-$D79)*$I$2/(1+EXP($I$3*(COUNT($O$9:AL$9)+$I$4))),TREND($D79:$E79,$D$9:$E$9,AL$9))</f>
        <v>0</v>
      </c>
      <c r="AM79">
        <f>IF($F79="s-curve",$D79+($E79-$D79)*$I$2/(1+EXP($I$3*(COUNT($O$9:AM$9)+$I$4))),TREND($D79:$E79,$D$9:$E$9,AM$9))</f>
        <v>0</v>
      </c>
      <c r="AN79">
        <f>IF($F79="s-curve",$D79+($E79-$D79)*$I$2/(1+EXP($I$3*(COUNT($O$9:AN$9)+$I$4))),TREND($D79:$E79,$D$9:$E$9,AN$9))</f>
        <v>0</v>
      </c>
      <c r="AO79">
        <f>IF($F79="s-curve",$D79+($E79-$D79)*$I$2/(1+EXP($I$3*(COUNT($O$9:AO$9)+$I$4))),TREND($D79:$E79,$D$9:$E$9,AO$9))</f>
        <v>0</v>
      </c>
      <c r="AP79">
        <f>IF($F79="s-curve",$D79+($E79-$D79)*$I$2/(1+EXP($I$3*(COUNT($O$9:AP$9)+$I$4))),TREND($D79:$E79,$D$9:$E$9,AP$9))</f>
        <v>0</v>
      </c>
      <c r="AQ79">
        <f>IF($F79="s-curve",$D79+($E79-$D79)*$I$2/(1+EXP($I$3*(COUNT($O$9:AQ$9)+$I$4))),TREND($D79:$E79,$D$9:$E$9,AQ$9))</f>
        <v>0</v>
      </c>
      <c r="AR79">
        <f>IF($F79="s-curve",$D79+($E79-$D79)*$I$2/(1+EXP($I$3*(COUNT($O$9:AR$9)+$I$4))),TREND($D79:$E79,$D$9:$E$9,AR$9))</f>
        <v>0</v>
      </c>
      <c r="AS79">
        <f>IF($F79="s-curve",$D79+($E79-$D79)*$I$2/(1+EXP($I$3*(COUNT($O$9:AS$9)+$I$4))),TREND($D79:$E79,$D$9:$E$9,AS$9))</f>
        <v>0</v>
      </c>
      <c r="AT79">
        <f t="shared" si="18"/>
        <v>0</v>
      </c>
      <c r="AU79">
        <f t="shared" si="18"/>
        <v>0</v>
      </c>
      <c r="AV79">
        <f t="shared" si="18"/>
        <v>0</v>
      </c>
      <c r="AW79">
        <f t="shared" si="18"/>
        <v>0</v>
      </c>
      <c r="AX79">
        <f t="shared" si="18"/>
        <v>0</v>
      </c>
      <c r="AY79">
        <f t="shared" si="18"/>
        <v>0</v>
      </c>
      <c r="AZ79">
        <f t="shared" si="18"/>
        <v>0</v>
      </c>
      <c r="BA79">
        <f t="shared" si="18"/>
        <v>0</v>
      </c>
      <c r="BB79">
        <f t="shared" si="18"/>
        <v>0</v>
      </c>
      <c r="BC79">
        <f t="shared" si="18"/>
        <v>0</v>
      </c>
    </row>
    <row r="80" spans="1:55" x14ac:dyDescent="0.15">
      <c r="A80" t="s">
        <v>17</v>
      </c>
      <c r="B80" t="s">
        <v>19</v>
      </c>
      <c r="C80" t="s">
        <v>1</v>
      </c>
      <c r="D80" s="22">
        <f>'SYVbT-passenger'!C6/SUM('SYVbT-passenger'!6:6)</f>
        <v>1.7235436056532231E-4</v>
      </c>
      <c r="E80">
        <v>1</v>
      </c>
      <c r="F80" s="7" t="str">
        <f>IF(D80=E80,"n/a",IF(OR(C80="battery electric vehicle",C80="natural gas vehicle",C80="plugin hybrid vehicle"),"s-curve","linear"))</f>
        <v>s-curve</v>
      </c>
      <c r="O80" s="22">
        <f t="shared" si="17"/>
        <v>1.7235436056532231E-4</v>
      </c>
      <c r="P80">
        <f>IF($F80="s-curve",$D80+($E80-$D80)*$O$2/(1+EXP($O$3*(COUNT($O$9:P$9)+$O$4))),TREND($D80:$E80,$D$9:$E$9,P$9))</f>
        <v>2.0009240531434616E-2</v>
      </c>
      <c r="Q80">
        <f>IF($F80="s-curve",$D80+($E80-$D80)*$O$2/(1+EXP($O$3*(COUNT($O$9:Q$9)+$O$4))),TREND($D80:$E80,$D$9:$E$9,Q$9))</f>
        <v>2.6764763829610287E-2</v>
      </c>
      <c r="R80">
        <f>IF($F80="s-curve",$D80+($E80-$D80)*$O$2/(1+EXP($O$3*(COUNT($O$9:R$9)+$O$4))),TREND($D80:$E80,$D$9:$E$9,R$9))</f>
        <v>3.5737412783619867E-2</v>
      </c>
      <c r="S80">
        <f>IF($F80="s-curve",$D80+($E80-$D80)*$O$2/(1+EXP($O$3*(COUNT($O$9:S$9)+$O$4))),TREND($D80:$E80,$D$9:$E$9,S$9))</f>
        <v>4.7590053482086329E-2</v>
      </c>
      <c r="T80">
        <f>IF($F80="s-curve",$D80+($E80-$D80)*$O$2/(1+EXP($O$3*(COUNT($O$9:T$9)+$O$4))),TREND($D80:$E80,$D$9:$E$9,T$9))</f>
        <v>6.3134856685045981E-2</v>
      </c>
      <c r="U80">
        <f>IF($F80="s-curve",$D80+($E80-$D80)*$O$2/(1+EXP($O$3*(COUNT($O$9:U$9)+$O$4))),TREND($D80:$E80,$D$9:$E$9,U$9))</f>
        <v>8.3330715677567002E-2</v>
      </c>
      <c r="V80">
        <f>IF($F80="s-curve",$D80+($E80-$D80)*$O$2/(1+EXP($O$3*(COUNT($O$9:V$9)+$O$4))),TREND($D80:$E80,$D$9:$E$9,V$9))</f>
        <v>0.10925037224332138</v>
      </c>
      <c r="W80">
        <f>IF($F80="s-curve",$D80+($E80-$D80)*$O$2/(1+EXP($O$3*(COUNT($O$9:W$9)+$O$4))),TREND($D80:$E80,$D$9:$E$9,W$9))</f>
        <v>0.14199897061146671</v>
      </c>
      <c r="X80">
        <f>IF($F80="s-curve",$D80+($E80-$D80)*$O$2/(1+EXP($O$3*(COUNT($O$9:X$9)+$O$4))),TREND($D80:$E80,$D$9:$E$9,X$9))</f>
        <v>0.18256643633241523</v>
      </c>
      <c r="Y80">
        <f>IF($F80="s-curve",$D80+($E80-$D80)*$O$2/(1+EXP($O$3*(COUNT($O$9:Y$9)+$O$4))),TREND($D80:$E80,$D$9:$E$9,Y$9))</f>
        <v>0.23160767509862096</v>
      </c>
      <c r="Z80">
        <f>IF($F80="s-curve",$D80+($E80-$D80)*$O$2/(1+EXP($O$3*(COUNT($O$9:Z$9)+$O$4))),TREND($D80:$E80,$D$9:$E$9,Z$9))</f>
        <v>0.28917303262191524</v>
      </c>
      <c r="AA80">
        <f>IF($F80="s-curve",$D80+($E80-$D80)*$O$2/(1+EXP($O$3*(COUNT($O$9:AA$9)+$O$4))),TREND($D80:$E80,$D$9:$E$9,AA$9))</f>
        <v>0.35445497545400906</v>
      </c>
      <c r="AB80">
        <f>IF($F80="s-curve",$D80+($E80-$D80)*$O$2/(1+EXP($O$3*(COUNT($O$9:AB$9)+$O$4))),TREND($D80:$E80,$D$9:$E$9,AB$9))</f>
        <v>0.42565649086100765</v>
      </c>
      <c r="AC80">
        <f>IF($F80="s-curve",$D80+($E80-$D80)*$O$2/(1+EXP($O$3*(COUNT($O$9:AC$9)+$O$4))),TREND($D80:$E80,$D$9:$E$9,AC$9))</f>
        <v>0.5000861771802827</v>
      </c>
      <c r="AD80">
        <f>IF($F80="s-curve",$D80+($E80-$D80)*$O$2/(1+EXP($O$3*(COUNT($O$9:AD$9)+$O$4))),TREND($D80:$E80,$D$9:$E$9,AD$9))</f>
        <v>0.57451586349955774</v>
      </c>
      <c r="AE80">
        <f>IF($F80="s-curve",$D80+($E80-$D80)*$O$2/(1+EXP($O$3*(COUNT($O$9:AE$9)+$O$4))),TREND($D80:$E80,$D$9:$E$9,AE$9))</f>
        <v>0.64571737890655623</v>
      </c>
      <c r="AF80">
        <f>IF($F80="s-curve",$D80+($E80-$D80)*$O$2/(1+EXP($O$3*(COUNT($O$9:AF$9)+$O$4))),TREND($D80:$E80,$D$9:$E$9,AF$9))</f>
        <v>0.7109993217386501</v>
      </c>
      <c r="AG80">
        <f>IF($F80="s-curve",$D80+($E80-$D80)*$O$2/(1+EXP($O$3*(COUNT($O$9:AG$9)+$O$4))),TREND($D80:$E80,$D$9:$E$9,AG$9))</f>
        <v>0.76856467926194427</v>
      </c>
      <c r="AH80">
        <f>IF($F80="s-curve",$D80+($E80-$D80)*$O$2/(1+EXP($O$3*(COUNT($O$9:AH$9)+$O$4))),TREND($D80:$E80,$D$9:$E$9,AH$9))</f>
        <v>0.81760591802815008</v>
      </c>
      <c r="AI80">
        <f>IF($F80="s-curve",$D80+($E80-$D80)*$O$2/(1+EXP($O$3*(COUNT($O$9:AI$9)+$O$4))),TREND($D80:$E80,$D$9:$E$9,AI$9))</f>
        <v>0.85817338374909868</v>
      </c>
      <c r="AJ80">
        <f>IF($F80="s-curve",$D80+($E80-$D80)*$O$2/(1+EXP($O$3*(COUNT($O$9:AJ$9)+$O$4))),TREND($D80:$E80,$D$9:$E$9,AJ$9))</f>
        <v>0.89092198211724394</v>
      </c>
      <c r="AK80">
        <f>IF($F80="s-curve",$D80+($E80-$D80)*$O$2/(1+EXP($O$3*(COUNT($O$9:AK$9)+$O$4))),TREND($D80:$E80,$D$9:$E$9,AK$9))</f>
        <v>0.91684163868299839</v>
      </c>
      <c r="AL80">
        <f>IF($F80="s-curve",$D80+($E80-$D80)*$O$2/(1+EXP($O$3*(COUNT($O$9:AL$9)+$O$4))),TREND($D80:$E80,$D$9:$E$9,AL$9))</f>
        <v>0.93703749767551936</v>
      </c>
      <c r="AM80">
        <f>IF($F80="s-curve",$D80+($E80-$D80)*$O$2/(1+EXP($O$3*(COUNT($O$9:AM$9)+$O$4))),TREND($D80:$E80,$D$9:$E$9,AM$9))</f>
        <v>0.95258230087847906</v>
      </c>
      <c r="AN80">
        <f>IF($F80="s-curve",$D80+($E80-$D80)*$O$2/(1+EXP($O$3*(COUNT($O$9:AN$9)+$O$4))),TREND($D80:$E80,$D$9:$E$9,AN$9))</f>
        <v>0.96443494157694554</v>
      </c>
      <c r="AO80">
        <f>IF($F80="s-curve",$D80+($E80-$D80)*$O$2/(1+EXP($O$3*(COUNT($O$9:AO$9)+$O$4))),TREND($D80:$E80,$D$9:$E$9,AO$9))</f>
        <v>0.97340759053095494</v>
      </c>
      <c r="AP80">
        <f>IF($F80="s-curve",$D80+($E80-$D80)*$O$2/(1+EXP($O$3*(COUNT($O$9:AP$9)+$O$4))),TREND($D80:$E80,$D$9:$E$9,AP$9))</f>
        <v>0.98016311382913079</v>
      </c>
      <c r="AQ80">
        <f>IF($F80="s-curve",$D80+($E80-$D80)*$O$2/(1+EXP($O$3*(COUNT($O$9:AQ$9)+$O$4))),TREND($D80:$E80,$D$9:$E$9,AQ$9))</f>
        <v>0.98522851467551242</v>
      </c>
      <c r="AR80">
        <f>IF($F80="s-curve",$D80+($E80-$D80)*$O$2/(1+EXP($O$3*(COUNT($O$9:AR$9)+$O$4))),TREND($D80:$E80,$D$9:$E$9,AR$9))</f>
        <v>0.98901495101687853</v>
      </c>
      <c r="AS80">
        <f>IF($F80="s-curve",$D80+($E80-$D80)*$O$2/(1+EXP($O$3*(COUNT($O$9:AS$9)+$O$4))),TREND($D80:$E80,$D$9:$E$9,AS$9))</f>
        <v>0.99183883570157183</v>
      </c>
      <c r="AT80">
        <f t="shared" si="18"/>
        <v>0.99183883570157183</v>
      </c>
      <c r="AU80">
        <f t="shared" si="18"/>
        <v>0.99183883570157183</v>
      </c>
      <c r="AV80">
        <f t="shared" si="18"/>
        <v>0.99183883570157183</v>
      </c>
      <c r="AW80">
        <f t="shared" si="18"/>
        <v>0.99183883570157183</v>
      </c>
      <c r="AX80">
        <f t="shared" si="18"/>
        <v>0.99183883570157183</v>
      </c>
      <c r="AY80">
        <f t="shared" si="18"/>
        <v>0.99183883570157183</v>
      </c>
      <c r="AZ80">
        <f t="shared" si="18"/>
        <v>0.99183883570157183</v>
      </c>
      <c r="BA80">
        <f t="shared" si="18"/>
        <v>0.99183883570157183</v>
      </c>
      <c r="BB80">
        <f t="shared" si="18"/>
        <v>0.99183883570157183</v>
      </c>
      <c r="BC80">
        <f t="shared" si="18"/>
        <v>0.99183883570157183</v>
      </c>
    </row>
    <row r="81" spans="1:55" x14ac:dyDescent="0.15">
      <c r="C81" t="s">
        <v>2</v>
      </c>
      <c r="D81" s="22">
        <f>'SYVbT-passenger'!C7/SUM('SYVbT-passenger'!7:7)</f>
        <v>0</v>
      </c>
      <c r="E81">
        <v>0</v>
      </c>
      <c r="F81" s="7" t="str">
        <f>IF(D81=E81,"n/a",IF(OR(C81="battery electric vehicle",C81="natural gas vehicle",C81="plugin hybrid vehicle"),"s-curve","linear"))</f>
        <v>n/a</v>
      </c>
      <c r="O81" s="22">
        <f t="shared" si="17"/>
        <v>0</v>
      </c>
      <c r="P81">
        <f>IF($F81="s-curve",$D81+($E81-$D81)*$I$2/(1+EXP($I$3*(COUNT($O$9:P$9)+$I$4))),TREND($D81:$E81,$D$9:$E$9,P$9))</f>
        <v>0</v>
      </c>
      <c r="Q81">
        <f>IF($F81="s-curve",$D81+($E81-$D81)*$I$2/(1+EXP($I$3*(COUNT($O$9:Q$9)+$I$4))),TREND($D81:$E81,$D$9:$E$9,Q$9))</f>
        <v>0</v>
      </c>
      <c r="R81">
        <f>IF($F81="s-curve",$D81+($E81-$D81)*$I$2/(1+EXP($I$3*(COUNT($O$9:R$9)+$I$4))),TREND($D81:$E81,$D$9:$E$9,R$9))</f>
        <v>0</v>
      </c>
      <c r="S81">
        <f>IF($F81="s-curve",$D81+($E81-$D81)*$I$2/(1+EXP($I$3*(COUNT($O$9:S$9)+$I$4))),TREND($D81:$E81,$D$9:$E$9,S$9))</f>
        <v>0</v>
      </c>
      <c r="T81">
        <f>IF($F81="s-curve",$D81+($E81-$D81)*$I$2/(1+EXP($I$3*(COUNT($O$9:T$9)+$I$4))),TREND($D81:$E81,$D$9:$E$9,T$9))</f>
        <v>0</v>
      </c>
      <c r="U81">
        <f>IF($F81="s-curve",$D81+($E81-$D81)*$I$2/(1+EXP($I$3*(COUNT($O$9:U$9)+$I$4))),TREND($D81:$E81,$D$9:$E$9,U$9))</f>
        <v>0</v>
      </c>
      <c r="V81">
        <f>IF($F81="s-curve",$D81+($E81-$D81)*$I$2/(1+EXP($I$3*(COUNT($O$9:V$9)+$I$4))),TREND($D81:$E81,$D$9:$E$9,V$9))</f>
        <v>0</v>
      </c>
      <c r="W81">
        <f>IF($F81="s-curve",$D81+($E81-$D81)*$I$2/(1+EXP($I$3*(COUNT($O$9:W$9)+$I$4))),TREND($D81:$E81,$D$9:$E$9,W$9))</f>
        <v>0</v>
      </c>
      <c r="X81">
        <f>IF($F81="s-curve",$D81+($E81-$D81)*$I$2/(1+EXP($I$3*(COUNT($O$9:X$9)+$I$4))),TREND($D81:$E81,$D$9:$E$9,X$9))</f>
        <v>0</v>
      </c>
      <c r="Y81">
        <f>IF($F81="s-curve",$D81+($E81-$D81)*$I$2/(1+EXP($I$3*(COUNT($O$9:Y$9)+$I$4))),TREND($D81:$E81,$D$9:$E$9,Y$9))</f>
        <v>0</v>
      </c>
      <c r="Z81">
        <f>IF($F81="s-curve",$D81+($E81-$D81)*$I$2/(1+EXP($I$3*(COUNT($O$9:Z$9)+$I$4))),TREND($D81:$E81,$D$9:$E$9,Z$9))</f>
        <v>0</v>
      </c>
      <c r="AA81">
        <f>IF($F81="s-curve",$D81+($E81-$D81)*$I$2/(1+EXP($I$3*(COUNT($O$9:AA$9)+$I$4))),TREND($D81:$E81,$D$9:$E$9,AA$9))</f>
        <v>0</v>
      </c>
      <c r="AB81">
        <f>IF($F81="s-curve",$D81+($E81-$D81)*$I$2/(1+EXP($I$3*(COUNT($O$9:AB$9)+$I$4))),TREND($D81:$E81,$D$9:$E$9,AB$9))</f>
        <v>0</v>
      </c>
      <c r="AC81">
        <f>IF($F81="s-curve",$D81+($E81-$D81)*$I$2/(1+EXP($I$3*(COUNT($O$9:AC$9)+$I$4))),TREND($D81:$E81,$D$9:$E$9,AC$9))</f>
        <v>0</v>
      </c>
      <c r="AD81">
        <f>IF($F81="s-curve",$D81+($E81-$D81)*$I$2/(1+EXP($I$3*(COUNT($O$9:AD$9)+$I$4))),TREND($D81:$E81,$D$9:$E$9,AD$9))</f>
        <v>0</v>
      </c>
      <c r="AE81">
        <f>IF($F81="s-curve",$D81+($E81-$D81)*$I$2/(1+EXP($I$3*(COUNT($O$9:AE$9)+$I$4))),TREND($D81:$E81,$D$9:$E$9,AE$9))</f>
        <v>0</v>
      </c>
      <c r="AF81">
        <f>IF($F81="s-curve",$D81+($E81-$D81)*$I$2/(1+EXP($I$3*(COUNT($O$9:AF$9)+$I$4))),TREND($D81:$E81,$D$9:$E$9,AF$9))</f>
        <v>0</v>
      </c>
      <c r="AG81">
        <f>IF($F81="s-curve",$D81+($E81-$D81)*$I$2/(1+EXP($I$3*(COUNT($O$9:AG$9)+$I$4))),TREND($D81:$E81,$D$9:$E$9,AG$9))</f>
        <v>0</v>
      </c>
      <c r="AH81">
        <f>IF($F81="s-curve",$D81+($E81-$D81)*$I$2/(1+EXP($I$3*(COUNT($O$9:AH$9)+$I$4))),TREND($D81:$E81,$D$9:$E$9,AH$9))</f>
        <v>0</v>
      </c>
      <c r="AI81">
        <f>IF($F81="s-curve",$D81+($E81-$D81)*$I$2/(1+EXP($I$3*(COUNT($O$9:AI$9)+$I$4))),TREND($D81:$E81,$D$9:$E$9,AI$9))</f>
        <v>0</v>
      </c>
      <c r="AJ81">
        <f>IF($F81="s-curve",$D81+($E81-$D81)*$I$2/(1+EXP($I$3*(COUNT($O$9:AJ$9)+$I$4))),TREND($D81:$E81,$D$9:$E$9,AJ$9))</f>
        <v>0</v>
      </c>
      <c r="AK81">
        <f>IF($F81="s-curve",$D81+($E81-$D81)*$I$2/(1+EXP($I$3*(COUNT($O$9:AK$9)+$I$4))),TREND($D81:$E81,$D$9:$E$9,AK$9))</f>
        <v>0</v>
      </c>
      <c r="AL81">
        <f>IF($F81="s-curve",$D81+($E81-$D81)*$I$2/(1+EXP($I$3*(COUNT($O$9:AL$9)+$I$4))),TREND($D81:$E81,$D$9:$E$9,AL$9))</f>
        <v>0</v>
      </c>
      <c r="AM81">
        <f>IF($F81="s-curve",$D81+($E81-$D81)*$I$2/(1+EXP($I$3*(COUNT($O$9:AM$9)+$I$4))),TREND($D81:$E81,$D$9:$E$9,AM$9))</f>
        <v>0</v>
      </c>
      <c r="AN81">
        <f>IF($F81="s-curve",$D81+($E81-$D81)*$I$2/(1+EXP($I$3*(COUNT($O$9:AN$9)+$I$4))),TREND($D81:$E81,$D$9:$E$9,AN$9))</f>
        <v>0</v>
      </c>
      <c r="AO81">
        <f>IF($F81="s-curve",$D81+($E81-$D81)*$I$2/(1+EXP($I$3*(COUNT($O$9:AO$9)+$I$4))),TREND($D81:$E81,$D$9:$E$9,AO$9))</f>
        <v>0</v>
      </c>
      <c r="AP81">
        <f>IF($F81="s-curve",$D81+($E81-$D81)*$I$2/(1+EXP($I$3*(COUNT($O$9:AP$9)+$I$4))),TREND($D81:$E81,$D$9:$E$9,AP$9))</f>
        <v>0</v>
      </c>
      <c r="AQ81">
        <f>IF($F81="s-curve",$D81+($E81-$D81)*$I$2/(1+EXP($I$3*(COUNT($O$9:AQ$9)+$I$4))),TREND($D81:$E81,$D$9:$E$9,AQ$9))</f>
        <v>0</v>
      </c>
      <c r="AR81">
        <f>IF($F81="s-curve",$D81+($E81-$D81)*$I$2/(1+EXP($I$3*(COUNT($O$9:AR$9)+$I$4))),TREND($D81:$E81,$D$9:$E$9,AR$9))</f>
        <v>0</v>
      </c>
      <c r="AS81">
        <f>IF($F81="s-curve",$D81+($E81-$D81)*$I$2/(1+EXP($I$3*(COUNT($O$9:AS$9)+$I$4))),TREND($D81:$E81,$D$9:$E$9,AS$9))</f>
        <v>0</v>
      </c>
      <c r="AT81">
        <f t="shared" si="18"/>
        <v>0</v>
      </c>
      <c r="AU81">
        <f t="shared" si="18"/>
        <v>0</v>
      </c>
      <c r="AV81">
        <f t="shared" si="18"/>
        <v>0</v>
      </c>
      <c r="AW81">
        <f t="shared" si="18"/>
        <v>0</v>
      </c>
      <c r="AX81">
        <f t="shared" si="18"/>
        <v>0</v>
      </c>
      <c r="AY81">
        <f t="shared" si="18"/>
        <v>0</v>
      </c>
      <c r="AZ81">
        <f t="shared" si="18"/>
        <v>0</v>
      </c>
      <c r="BA81">
        <f t="shared" si="18"/>
        <v>0</v>
      </c>
      <c r="BB81">
        <f t="shared" si="18"/>
        <v>0</v>
      </c>
      <c r="BC81">
        <f t="shared" si="18"/>
        <v>0</v>
      </c>
    </row>
    <row r="82" spans="1:55" x14ac:dyDescent="0.15">
      <c r="C82" t="s">
        <v>3</v>
      </c>
      <c r="D82">
        <v>3</v>
      </c>
      <c r="E82">
        <v>3</v>
      </c>
      <c r="F82" s="7" t="str">
        <f>IF(D82=E82,"n/a",IF(OR(C82="battery electric vehicle",C82="natural gas vehicle",C82="plugin hybrid vehicle"),"s-curve","linear"))</f>
        <v>n/a</v>
      </c>
      <c r="O82" s="22">
        <f t="shared" si="17"/>
        <v>3</v>
      </c>
      <c r="P82">
        <f>IF($F82="s-curve",$D82+($E82-$D82)*$I$2/(1+EXP($I$3*(COUNT($O$9:P$9)+$I$4))),TREND($D82:$E82,$D$9:$E$9,P$9))</f>
        <v>3</v>
      </c>
      <c r="Q82">
        <f>IF($F82="s-curve",$D82+($E82-$D82)*$I$2/(1+EXP($I$3*(COUNT($O$9:Q$9)+$I$4))),TREND($D82:$E82,$D$9:$E$9,Q$9))</f>
        <v>3</v>
      </c>
      <c r="R82">
        <f>IF($F82="s-curve",$D82+($E82-$D82)*$I$2/(1+EXP($I$3*(COUNT($O$9:R$9)+$I$4))),TREND($D82:$E82,$D$9:$E$9,R$9))</f>
        <v>3</v>
      </c>
      <c r="S82">
        <f>IF($F82="s-curve",$D82+($E82-$D82)*$I$2/(1+EXP($I$3*(COUNT($O$9:S$9)+$I$4))),TREND($D82:$E82,$D$9:$E$9,S$9))</f>
        <v>3</v>
      </c>
      <c r="T82">
        <f>IF($F82="s-curve",$D82+($E82-$D82)*$I$2/(1+EXP($I$3*(COUNT($O$9:T$9)+$I$4))),TREND($D82:$E82,$D$9:$E$9,T$9))</f>
        <v>3</v>
      </c>
      <c r="U82">
        <f>IF($F82="s-curve",$D82+($E82-$D82)*$I$2/(1+EXP($I$3*(COUNT($O$9:U$9)+$I$4))),TREND($D82:$E82,$D$9:$E$9,U$9))</f>
        <v>3</v>
      </c>
      <c r="V82">
        <f>IF($F82="s-curve",$D82+($E82-$D82)*$I$2/(1+EXP($I$3*(COUNT($O$9:V$9)+$I$4))),TREND($D82:$E82,$D$9:$E$9,V$9))</f>
        <v>3</v>
      </c>
      <c r="W82">
        <f>IF($F82="s-curve",$D82+($E82-$D82)*$I$2/(1+EXP($I$3*(COUNT($O$9:W$9)+$I$4))),TREND($D82:$E82,$D$9:$E$9,W$9))</f>
        <v>3</v>
      </c>
      <c r="X82">
        <f>IF($F82="s-curve",$D82+($E82-$D82)*$I$2/(1+EXP($I$3*(COUNT($O$9:X$9)+$I$4))),TREND($D82:$E82,$D$9:$E$9,X$9))</f>
        <v>3</v>
      </c>
      <c r="Y82">
        <f>IF($F82="s-curve",$D82+($E82-$D82)*$I$2/(1+EXP($I$3*(COUNT($O$9:Y$9)+$I$4))),TREND($D82:$E82,$D$9:$E$9,Y$9))</f>
        <v>3</v>
      </c>
      <c r="Z82">
        <f>IF($F82="s-curve",$D82+($E82-$D82)*$I$2/(1+EXP($I$3*(COUNT($O$9:Z$9)+$I$4))),TREND($D82:$E82,$D$9:$E$9,Z$9))</f>
        <v>3</v>
      </c>
      <c r="AA82">
        <f>IF($F82="s-curve",$D82+($E82-$D82)*$I$2/(1+EXP($I$3*(COUNT($O$9:AA$9)+$I$4))),TREND($D82:$E82,$D$9:$E$9,AA$9))</f>
        <v>3</v>
      </c>
      <c r="AB82">
        <f>IF($F82="s-curve",$D82+($E82-$D82)*$I$2/(1+EXP($I$3*(COUNT($O$9:AB$9)+$I$4))),TREND($D82:$E82,$D$9:$E$9,AB$9))</f>
        <v>3</v>
      </c>
      <c r="AC82">
        <f>IF($F82="s-curve",$D82+($E82-$D82)*$I$2/(1+EXP($I$3*(COUNT($O$9:AC$9)+$I$4))),TREND($D82:$E82,$D$9:$E$9,AC$9))</f>
        <v>3</v>
      </c>
      <c r="AD82">
        <f>IF($F82="s-curve",$D82+($E82-$D82)*$I$2/(1+EXP($I$3*(COUNT($O$9:AD$9)+$I$4))),TREND($D82:$E82,$D$9:$E$9,AD$9))</f>
        <v>3</v>
      </c>
      <c r="AE82">
        <f>IF($F82="s-curve",$D82+($E82-$D82)*$I$2/(1+EXP($I$3*(COUNT($O$9:AE$9)+$I$4))),TREND($D82:$E82,$D$9:$E$9,AE$9))</f>
        <v>3</v>
      </c>
      <c r="AF82">
        <f>IF($F82="s-curve",$D82+($E82-$D82)*$I$2/(1+EXP($I$3*(COUNT($O$9:AF$9)+$I$4))),TREND($D82:$E82,$D$9:$E$9,AF$9))</f>
        <v>3</v>
      </c>
      <c r="AG82">
        <f>IF($F82="s-curve",$D82+($E82-$D82)*$I$2/(1+EXP($I$3*(COUNT($O$9:AG$9)+$I$4))),TREND($D82:$E82,$D$9:$E$9,AG$9))</f>
        <v>3</v>
      </c>
      <c r="AH82">
        <f>IF($F82="s-curve",$D82+($E82-$D82)*$I$2/(1+EXP($I$3*(COUNT($O$9:AH$9)+$I$4))),TREND($D82:$E82,$D$9:$E$9,AH$9))</f>
        <v>3</v>
      </c>
      <c r="AI82">
        <f>IF($F82="s-curve",$D82+($E82-$D82)*$I$2/(1+EXP($I$3*(COUNT($O$9:AI$9)+$I$4))),TREND($D82:$E82,$D$9:$E$9,AI$9))</f>
        <v>3</v>
      </c>
      <c r="AJ82">
        <f>IF($F82="s-curve",$D82+($E82-$D82)*$I$2/(1+EXP($I$3*(COUNT($O$9:AJ$9)+$I$4))),TREND($D82:$E82,$D$9:$E$9,AJ$9))</f>
        <v>3</v>
      </c>
      <c r="AK82">
        <f>IF($F82="s-curve",$D82+($E82-$D82)*$I$2/(1+EXP($I$3*(COUNT($O$9:AK$9)+$I$4))),TREND($D82:$E82,$D$9:$E$9,AK$9))</f>
        <v>3</v>
      </c>
      <c r="AL82">
        <f>IF($F82="s-curve",$D82+($E82-$D82)*$I$2/(1+EXP($I$3*(COUNT($O$9:AL$9)+$I$4))),TREND($D82:$E82,$D$9:$E$9,AL$9))</f>
        <v>3</v>
      </c>
      <c r="AM82">
        <f>IF($F82="s-curve",$D82+($E82-$D82)*$I$2/(1+EXP($I$3*(COUNT($O$9:AM$9)+$I$4))),TREND($D82:$E82,$D$9:$E$9,AM$9))</f>
        <v>3</v>
      </c>
      <c r="AN82">
        <f>IF($F82="s-curve",$D82+($E82-$D82)*$I$2/(1+EXP($I$3*(COUNT($O$9:AN$9)+$I$4))),TREND($D82:$E82,$D$9:$E$9,AN$9))</f>
        <v>3</v>
      </c>
      <c r="AO82">
        <f>IF($F82="s-curve",$D82+($E82-$D82)*$I$2/(1+EXP($I$3*(COUNT($O$9:AO$9)+$I$4))),TREND($D82:$E82,$D$9:$E$9,AO$9))</f>
        <v>3</v>
      </c>
      <c r="AP82">
        <f>IF($F82="s-curve",$D82+($E82-$D82)*$I$2/(1+EXP($I$3*(COUNT($O$9:AP$9)+$I$4))),TREND($D82:$E82,$D$9:$E$9,AP$9))</f>
        <v>3</v>
      </c>
      <c r="AQ82">
        <f>IF($F82="s-curve",$D82+($E82-$D82)*$I$2/(1+EXP($I$3*(COUNT($O$9:AQ$9)+$I$4))),TREND($D82:$E82,$D$9:$E$9,AQ$9))</f>
        <v>3</v>
      </c>
      <c r="AR82">
        <f>IF($F82="s-curve",$D82+($E82-$D82)*$I$2/(1+EXP($I$3*(COUNT($O$9:AR$9)+$I$4))),TREND($D82:$E82,$D$9:$E$9,AR$9))</f>
        <v>3</v>
      </c>
      <c r="AS82">
        <f>IF($F82="s-curve",$D82+($E82-$D82)*$I$2/(1+EXP($I$3*(COUNT($O$9:AS$9)+$I$4))),TREND($D82:$E82,$D$9:$E$9,AS$9))</f>
        <v>3</v>
      </c>
      <c r="AT82">
        <f t="shared" si="18"/>
        <v>3</v>
      </c>
      <c r="AU82">
        <f t="shared" si="18"/>
        <v>3</v>
      </c>
      <c r="AV82">
        <f t="shared" si="18"/>
        <v>3</v>
      </c>
      <c r="AW82">
        <f t="shared" si="18"/>
        <v>3</v>
      </c>
      <c r="AX82">
        <f t="shared" si="18"/>
        <v>3</v>
      </c>
      <c r="AY82">
        <f t="shared" si="18"/>
        <v>3</v>
      </c>
      <c r="AZ82">
        <f t="shared" si="18"/>
        <v>3</v>
      </c>
      <c r="BA82">
        <f t="shared" si="18"/>
        <v>3</v>
      </c>
      <c r="BB82">
        <f t="shared" si="18"/>
        <v>3</v>
      </c>
      <c r="BC82">
        <f t="shared" si="18"/>
        <v>3</v>
      </c>
    </row>
    <row r="83" spans="1:55" x14ac:dyDescent="0.15">
      <c r="C83" t="s">
        <v>4</v>
      </c>
      <c r="D83" s="22">
        <f>'SYVbT-passenger'!E7/SUM('SYVbT-passenger'!7:7)</f>
        <v>0</v>
      </c>
      <c r="E83">
        <v>0</v>
      </c>
      <c r="F83" s="7" t="str">
        <f>IF(D83=E83,"n/a",IF(OR(C83="battery electric vehicle",C83="natural gas vehicle",C83="plugin hybrid vehicle"),"s-curve","linear"))</f>
        <v>n/a</v>
      </c>
      <c r="O83" s="22">
        <f t="shared" si="17"/>
        <v>0</v>
      </c>
      <c r="P83">
        <f>IF($F83="s-curve",$D83+($E83-$D83)*$I$2/(1+EXP($I$3*(COUNT($O$9:P$9)+$I$4))),TREND($D83:$E83,$D$9:$E$9,P$9))</f>
        <v>0</v>
      </c>
      <c r="Q83">
        <f>IF($F83="s-curve",$D83+($E83-$D83)*$I$2/(1+EXP($I$3*(COUNT($O$9:Q$9)+$I$4))),TREND($D83:$E83,$D$9:$E$9,Q$9))</f>
        <v>0</v>
      </c>
      <c r="R83">
        <f>IF($F83="s-curve",$D83+($E83-$D83)*$I$2/(1+EXP($I$3*(COUNT($O$9:R$9)+$I$4))),TREND($D83:$E83,$D$9:$E$9,R$9))</f>
        <v>0</v>
      </c>
      <c r="S83">
        <f>IF($F83="s-curve",$D83+($E83-$D83)*$I$2/(1+EXP($I$3*(COUNT($O$9:S$9)+$I$4))),TREND($D83:$E83,$D$9:$E$9,S$9))</f>
        <v>0</v>
      </c>
      <c r="T83">
        <f>IF($F83="s-curve",$D83+($E83-$D83)*$I$2/(1+EXP($I$3*(COUNT($O$9:T$9)+$I$4))),TREND($D83:$E83,$D$9:$E$9,T$9))</f>
        <v>0</v>
      </c>
      <c r="U83">
        <f>IF($F83="s-curve",$D83+($E83-$D83)*$I$2/(1+EXP($I$3*(COUNT($O$9:U$9)+$I$4))),TREND($D83:$E83,$D$9:$E$9,U$9))</f>
        <v>0</v>
      </c>
      <c r="V83">
        <f>IF($F83="s-curve",$D83+($E83-$D83)*$I$2/(1+EXP($I$3*(COUNT($O$9:V$9)+$I$4))),TREND($D83:$E83,$D$9:$E$9,V$9))</f>
        <v>0</v>
      </c>
      <c r="W83">
        <f>IF($F83="s-curve",$D83+($E83-$D83)*$I$2/(1+EXP($I$3*(COUNT($O$9:W$9)+$I$4))),TREND($D83:$E83,$D$9:$E$9,W$9))</f>
        <v>0</v>
      </c>
      <c r="X83">
        <f>IF($F83="s-curve",$D83+($E83-$D83)*$I$2/(1+EXP($I$3*(COUNT($O$9:X$9)+$I$4))),TREND($D83:$E83,$D$9:$E$9,X$9))</f>
        <v>0</v>
      </c>
      <c r="Y83">
        <f>IF($F83="s-curve",$D83+($E83-$D83)*$I$2/(1+EXP($I$3*(COUNT($O$9:Y$9)+$I$4))),TREND($D83:$E83,$D$9:$E$9,Y$9))</f>
        <v>0</v>
      </c>
      <c r="Z83">
        <f>IF($F83="s-curve",$D83+($E83-$D83)*$I$2/(1+EXP($I$3*(COUNT($O$9:Z$9)+$I$4))),TREND($D83:$E83,$D$9:$E$9,Z$9))</f>
        <v>0</v>
      </c>
      <c r="AA83">
        <f>IF($F83="s-curve",$D83+($E83-$D83)*$I$2/(1+EXP($I$3*(COUNT($O$9:AA$9)+$I$4))),TREND($D83:$E83,$D$9:$E$9,AA$9))</f>
        <v>0</v>
      </c>
      <c r="AB83">
        <f>IF($F83="s-curve",$D83+($E83-$D83)*$I$2/(1+EXP($I$3*(COUNT($O$9:AB$9)+$I$4))),TREND($D83:$E83,$D$9:$E$9,AB$9))</f>
        <v>0</v>
      </c>
      <c r="AC83">
        <f>IF($F83="s-curve",$D83+($E83-$D83)*$I$2/(1+EXP($I$3*(COUNT($O$9:AC$9)+$I$4))),TREND($D83:$E83,$D$9:$E$9,AC$9))</f>
        <v>0</v>
      </c>
      <c r="AD83">
        <f>IF($F83="s-curve",$D83+($E83-$D83)*$I$2/(1+EXP($I$3*(COUNT($O$9:AD$9)+$I$4))),TREND($D83:$E83,$D$9:$E$9,AD$9))</f>
        <v>0</v>
      </c>
      <c r="AE83">
        <f>IF($F83="s-curve",$D83+($E83-$D83)*$I$2/(1+EXP($I$3*(COUNT($O$9:AE$9)+$I$4))),TREND($D83:$E83,$D$9:$E$9,AE$9))</f>
        <v>0</v>
      </c>
      <c r="AF83">
        <f>IF($F83="s-curve",$D83+($E83-$D83)*$I$2/(1+EXP($I$3*(COUNT($O$9:AF$9)+$I$4))),TREND($D83:$E83,$D$9:$E$9,AF$9))</f>
        <v>0</v>
      </c>
      <c r="AG83">
        <f>IF($F83="s-curve",$D83+($E83-$D83)*$I$2/(1+EXP($I$3*(COUNT($O$9:AG$9)+$I$4))),TREND($D83:$E83,$D$9:$E$9,AG$9))</f>
        <v>0</v>
      </c>
      <c r="AH83">
        <f>IF($F83="s-curve",$D83+($E83-$D83)*$I$2/(1+EXP($I$3*(COUNT($O$9:AH$9)+$I$4))),TREND($D83:$E83,$D$9:$E$9,AH$9))</f>
        <v>0</v>
      </c>
      <c r="AI83">
        <f>IF($F83="s-curve",$D83+($E83-$D83)*$I$2/(1+EXP($I$3*(COUNT($O$9:AI$9)+$I$4))),TREND($D83:$E83,$D$9:$E$9,AI$9))</f>
        <v>0</v>
      </c>
      <c r="AJ83">
        <f>IF($F83="s-curve",$D83+($E83-$D83)*$I$2/(1+EXP($I$3*(COUNT($O$9:AJ$9)+$I$4))),TREND($D83:$E83,$D$9:$E$9,AJ$9))</f>
        <v>0</v>
      </c>
      <c r="AK83">
        <f>IF($F83="s-curve",$D83+($E83-$D83)*$I$2/(1+EXP($I$3*(COUNT($O$9:AK$9)+$I$4))),TREND($D83:$E83,$D$9:$E$9,AK$9))</f>
        <v>0</v>
      </c>
      <c r="AL83">
        <f>IF($F83="s-curve",$D83+($E83-$D83)*$I$2/(1+EXP($I$3*(COUNT($O$9:AL$9)+$I$4))),TREND($D83:$E83,$D$9:$E$9,AL$9))</f>
        <v>0</v>
      </c>
      <c r="AM83">
        <f>IF($F83="s-curve",$D83+($E83-$D83)*$I$2/(1+EXP($I$3*(COUNT($O$9:AM$9)+$I$4))),TREND($D83:$E83,$D$9:$E$9,AM$9))</f>
        <v>0</v>
      </c>
      <c r="AN83">
        <f>IF($F83="s-curve",$D83+($E83-$D83)*$I$2/(1+EXP($I$3*(COUNT($O$9:AN$9)+$I$4))),TREND($D83:$E83,$D$9:$E$9,AN$9))</f>
        <v>0</v>
      </c>
      <c r="AO83">
        <f>IF($F83="s-curve",$D83+($E83-$D83)*$I$2/(1+EXP($I$3*(COUNT($O$9:AO$9)+$I$4))),TREND($D83:$E83,$D$9:$E$9,AO$9))</f>
        <v>0</v>
      </c>
      <c r="AP83">
        <f>IF($F83="s-curve",$D83+($E83-$D83)*$I$2/(1+EXP($I$3*(COUNT($O$9:AP$9)+$I$4))),TREND($D83:$E83,$D$9:$E$9,AP$9))</f>
        <v>0</v>
      </c>
      <c r="AQ83">
        <f>IF($F83="s-curve",$D83+($E83-$D83)*$I$2/(1+EXP($I$3*(COUNT($O$9:AQ$9)+$I$4))),TREND($D83:$E83,$D$9:$E$9,AQ$9))</f>
        <v>0</v>
      </c>
      <c r="AR83">
        <f>IF($F83="s-curve",$D83+($E83-$D83)*$I$2/(1+EXP($I$3*(COUNT($O$9:AR$9)+$I$4))),TREND($D83:$E83,$D$9:$E$9,AR$9))</f>
        <v>0</v>
      </c>
      <c r="AS83">
        <f>IF($F83="s-curve",$D83+($E83-$D83)*$I$2/(1+EXP($I$3*(COUNT($O$9:AS$9)+$I$4))),TREND($D83:$E83,$D$9:$E$9,AS$9))</f>
        <v>0</v>
      </c>
      <c r="AT83">
        <f t="shared" si="18"/>
        <v>0</v>
      </c>
      <c r="AU83">
        <f t="shared" si="18"/>
        <v>0</v>
      </c>
      <c r="AV83">
        <f t="shared" si="18"/>
        <v>0</v>
      </c>
      <c r="AW83">
        <f t="shared" si="18"/>
        <v>0</v>
      </c>
      <c r="AX83">
        <f t="shared" si="18"/>
        <v>0</v>
      </c>
      <c r="AY83">
        <f t="shared" si="18"/>
        <v>0</v>
      </c>
      <c r="AZ83">
        <f t="shared" si="18"/>
        <v>0</v>
      </c>
      <c r="BA83">
        <f t="shared" si="18"/>
        <v>0</v>
      </c>
      <c r="BB83">
        <f t="shared" si="18"/>
        <v>0</v>
      </c>
      <c r="BC83">
        <f t="shared" si="18"/>
        <v>0</v>
      </c>
    </row>
    <row r="84" spans="1:55" x14ac:dyDescent="0.15">
      <c r="C84" t="s">
        <v>5</v>
      </c>
      <c r="D84" s="22">
        <f>'SYVbT-passenger'!F7/SUM('SYVbT-passenger'!7:7)</f>
        <v>0</v>
      </c>
      <c r="E84">
        <v>0</v>
      </c>
      <c r="F84" s="7" t="str">
        <f>IF(D84=E84,"n/a",IF(OR(C84="battery electric vehicle",C84="natural gas vehicle",C84="plugin hybrid vehicle"),"s-curve","linear"))</f>
        <v>n/a</v>
      </c>
      <c r="O84" s="22">
        <f t="shared" si="17"/>
        <v>0</v>
      </c>
      <c r="P84">
        <f>IF($F84="s-curve",$D84+($E84-$D84)*$I$2/(1+EXP($I$3*(COUNT($O$9:P$9)+$I$4))),TREND($D84:$E84,$D$9:$E$9,P$9))</f>
        <v>0</v>
      </c>
      <c r="Q84">
        <f>IF($F84="s-curve",$D84+($E84-$D84)*$I$2/(1+EXP($I$3*(COUNT($O$9:Q$9)+$I$4))),TREND($D84:$E84,$D$9:$E$9,Q$9))</f>
        <v>0</v>
      </c>
      <c r="R84">
        <f>IF($F84="s-curve",$D84+($E84-$D84)*$I$2/(1+EXP($I$3*(COUNT($O$9:R$9)+$I$4))),TREND($D84:$E84,$D$9:$E$9,R$9))</f>
        <v>0</v>
      </c>
      <c r="S84">
        <f>IF($F84="s-curve",$D84+($E84-$D84)*$I$2/(1+EXP($I$3*(COUNT($O$9:S$9)+$I$4))),TREND($D84:$E84,$D$9:$E$9,S$9))</f>
        <v>0</v>
      </c>
      <c r="T84">
        <f>IF($F84="s-curve",$D84+($E84-$D84)*$I$2/(1+EXP($I$3*(COUNT($O$9:T$9)+$I$4))),TREND($D84:$E84,$D$9:$E$9,T$9))</f>
        <v>0</v>
      </c>
      <c r="U84">
        <f>IF($F84="s-curve",$D84+($E84-$D84)*$I$2/(1+EXP($I$3*(COUNT($O$9:U$9)+$I$4))),TREND($D84:$E84,$D$9:$E$9,U$9))</f>
        <v>0</v>
      </c>
      <c r="V84">
        <f>IF($F84="s-curve",$D84+($E84-$D84)*$I$2/(1+EXP($I$3*(COUNT($O$9:V$9)+$I$4))),TREND($D84:$E84,$D$9:$E$9,V$9))</f>
        <v>0</v>
      </c>
      <c r="W84">
        <f>IF($F84="s-curve",$D84+($E84-$D84)*$I$2/(1+EXP($I$3*(COUNT($O$9:W$9)+$I$4))),TREND($D84:$E84,$D$9:$E$9,W$9))</f>
        <v>0</v>
      </c>
      <c r="X84">
        <f>IF($F84="s-curve",$D84+($E84-$D84)*$I$2/(1+EXP($I$3*(COUNT($O$9:X$9)+$I$4))),TREND($D84:$E84,$D$9:$E$9,X$9))</f>
        <v>0</v>
      </c>
      <c r="Y84">
        <f>IF($F84="s-curve",$D84+($E84-$D84)*$I$2/(1+EXP($I$3*(COUNT($O$9:Y$9)+$I$4))),TREND($D84:$E84,$D$9:$E$9,Y$9))</f>
        <v>0</v>
      </c>
      <c r="Z84">
        <f>IF($F84="s-curve",$D84+($E84-$D84)*$I$2/(1+EXP($I$3*(COUNT($O$9:Z$9)+$I$4))),TREND($D84:$E84,$D$9:$E$9,Z$9))</f>
        <v>0</v>
      </c>
      <c r="AA84">
        <f>IF($F84="s-curve",$D84+($E84-$D84)*$I$2/(1+EXP($I$3*(COUNT($O$9:AA$9)+$I$4))),TREND($D84:$E84,$D$9:$E$9,AA$9))</f>
        <v>0</v>
      </c>
      <c r="AB84">
        <f>IF($F84="s-curve",$D84+($E84-$D84)*$I$2/(1+EXP($I$3*(COUNT($O$9:AB$9)+$I$4))),TREND($D84:$E84,$D$9:$E$9,AB$9))</f>
        <v>0</v>
      </c>
      <c r="AC84">
        <f>IF($F84="s-curve",$D84+($E84-$D84)*$I$2/(1+EXP($I$3*(COUNT($O$9:AC$9)+$I$4))),TREND($D84:$E84,$D$9:$E$9,AC$9))</f>
        <v>0</v>
      </c>
      <c r="AD84">
        <f>IF($F84="s-curve",$D84+($E84-$D84)*$I$2/(1+EXP($I$3*(COUNT($O$9:AD$9)+$I$4))),TREND($D84:$E84,$D$9:$E$9,AD$9))</f>
        <v>0</v>
      </c>
      <c r="AE84">
        <f>IF($F84="s-curve",$D84+($E84-$D84)*$I$2/(1+EXP($I$3*(COUNT($O$9:AE$9)+$I$4))),TREND($D84:$E84,$D$9:$E$9,AE$9))</f>
        <v>0</v>
      </c>
      <c r="AF84">
        <f>IF($F84="s-curve",$D84+($E84-$D84)*$I$2/(1+EXP($I$3*(COUNT($O$9:AF$9)+$I$4))),TREND($D84:$E84,$D$9:$E$9,AF$9))</f>
        <v>0</v>
      </c>
      <c r="AG84">
        <f>IF($F84="s-curve",$D84+($E84-$D84)*$I$2/(1+EXP($I$3*(COUNT($O$9:AG$9)+$I$4))),TREND($D84:$E84,$D$9:$E$9,AG$9))</f>
        <v>0</v>
      </c>
      <c r="AH84">
        <f>IF($F84="s-curve",$D84+($E84-$D84)*$I$2/(1+EXP($I$3*(COUNT($O$9:AH$9)+$I$4))),TREND($D84:$E84,$D$9:$E$9,AH$9))</f>
        <v>0</v>
      </c>
      <c r="AI84">
        <f>IF($F84="s-curve",$D84+($E84-$D84)*$I$2/(1+EXP($I$3*(COUNT($O$9:AI$9)+$I$4))),TREND($D84:$E84,$D$9:$E$9,AI$9))</f>
        <v>0</v>
      </c>
      <c r="AJ84">
        <f>IF($F84="s-curve",$D84+($E84-$D84)*$I$2/(1+EXP($I$3*(COUNT($O$9:AJ$9)+$I$4))),TREND($D84:$E84,$D$9:$E$9,AJ$9))</f>
        <v>0</v>
      </c>
      <c r="AK84">
        <f>IF($F84="s-curve",$D84+($E84-$D84)*$I$2/(1+EXP($I$3*(COUNT($O$9:AK$9)+$I$4))),TREND($D84:$E84,$D$9:$E$9,AK$9))</f>
        <v>0</v>
      </c>
      <c r="AL84">
        <f>IF($F84="s-curve",$D84+($E84-$D84)*$I$2/(1+EXP($I$3*(COUNT($O$9:AL$9)+$I$4))),TREND($D84:$E84,$D$9:$E$9,AL$9))</f>
        <v>0</v>
      </c>
      <c r="AM84">
        <f>IF($F84="s-curve",$D84+($E84-$D84)*$I$2/(1+EXP($I$3*(COUNT($O$9:AM$9)+$I$4))),TREND($D84:$E84,$D$9:$E$9,AM$9))</f>
        <v>0</v>
      </c>
      <c r="AN84">
        <f>IF($F84="s-curve",$D84+($E84-$D84)*$I$2/(1+EXP($I$3*(COUNT($O$9:AN$9)+$I$4))),TREND($D84:$E84,$D$9:$E$9,AN$9))</f>
        <v>0</v>
      </c>
      <c r="AO84">
        <f>IF($F84="s-curve",$D84+($E84-$D84)*$I$2/(1+EXP($I$3*(COUNT($O$9:AO$9)+$I$4))),TREND($D84:$E84,$D$9:$E$9,AO$9))</f>
        <v>0</v>
      </c>
      <c r="AP84">
        <f>IF($F84="s-curve",$D84+($E84-$D84)*$I$2/(1+EXP($I$3*(COUNT($O$9:AP$9)+$I$4))),TREND($D84:$E84,$D$9:$E$9,AP$9))</f>
        <v>0</v>
      </c>
      <c r="AQ84">
        <f>IF($F84="s-curve",$D84+($E84-$D84)*$I$2/(1+EXP($I$3*(COUNT($O$9:AQ$9)+$I$4))),TREND($D84:$E84,$D$9:$E$9,AQ$9))</f>
        <v>0</v>
      </c>
      <c r="AR84">
        <f>IF($F84="s-curve",$D84+($E84-$D84)*$I$2/(1+EXP($I$3*(COUNT($O$9:AR$9)+$I$4))),TREND($D84:$E84,$D$9:$E$9,AR$9))</f>
        <v>0</v>
      </c>
      <c r="AS84">
        <f>IF($F84="s-curve",$D84+($E84-$D84)*$I$2/(1+EXP($I$3*(COUNT($O$9:AS$9)+$I$4))),TREND($D84:$E84,$D$9:$E$9,AS$9))</f>
        <v>0</v>
      </c>
      <c r="AT84">
        <f t="shared" si="18"/>
        <v>0</v>
      </c>
      <c r="AU84">
        <f t="shared" si="18"/>
        <v>0</v>
      </c>
      <c r="AV84">
        <f t="shared" si="18"/>
        <v>0</v>
      </c>
      <c r="AW84">
        <f t="shared" si="18"/>
        <v>0</v>
      </c>
      <c r="AX84">
        <f t="shared" si="18"/>
        <v>0</v>
      </c>
      <c r="AY84">
        <f t="shared" si="18"/>
        <v>0</v>
      </c>
      <c r="AZ84">
        <f t="shared" si="18"/>
        <v>0</v>
      </c>
      <c r="BA84">
        <f t="shared" si="18"/>
        <v>0</v>
      </c>
      <c r="BB84">
        <f t="shared" si="18"/>
        <v>0</v>
      </c>
      <c r="BC84">
        <f t="shared" si="18"/>
        <v>0</v>
      </c>
    </row>
    <row r="85" spans="1:55" x14ac:dyDescent="0.15">
      <c r="C85" t="s">
        <v>125</v>
      </c>
      <c r="D85" s="22">
        <f>'SYVbT-passenger'!G7/SUM('SYVbT-passenger'!7:7)</f>
        <v>0</v>
      </c>
      <c r="E85">
        <v>0</v>
      </c>
      <c r="F85" s="7" t="str">
        <f>IF(D85=E85,"n/a",IF(OR(C85="battery electric vehicle",C85="natural gas vehicle",C85="plugin hybrid vehicle",C85="hydrogen vehicle"),"s-curve","linear"))</f>
        <v>n/a</v>
      </c>
      <c r="O85" s="22">
        <f t="shared" si="17"/>
        <v>0</v>
      </c>
      <c r="P85">
        <f>IF($F85="s-curve",$D85+($E85-$D85)*$I$2/(1+EXP($I$3*(COUNT($O$9:P$9)+$I$4))),TREND($D85:$E85,$D$9:$E$9,P$9))</f>
        <v>0</v>
      </c>
      <c r="Q85">
        <f>IF($F85="s-curve",$D85+($E85-$D85)*$I$2/(1+EXP($I$3*(COUNT($O$9:Q$9)+$I$4))),TREND($D85:$E85,$D$9:$E$9,Q$9))</f>
        <v>0</v>
      </c>
      <c r="R85">
        <f>IF($F85="s-curve",$D85+($E85-$D85)*$I$2/(1+EXP($I$3*(COUNT($O$9:R$9)+$I$4))),TREND($D85:$E85,$D$9:$E$9,R$9))</f>
        <v>0</v>
      </c>
      <c r="S85">
        <f>IF($F85="s-curve",$D85+($E85-$D85)*$I$2/(1+EXP($I$3*(COUNT($O$9:S$9)+$I$4))),TREND($D85:$E85,$D$9:$E$9,S$9))</f>
        <v>0</v>
      </c>
      <c r="T85">
        <f>IF($F85="s-curve",$D85+($E85-$D85)*$I$2/(1+EXP($I$3*(COUNT($O$9:T$9)+$I$4))),TREND($D85:$E85,$D$9:$E$9,T$9))</f>
        <v>0</v>
      </c>
      <c r="U85">
        <f>IF($F85="s-curve",$D85+($E85-$D85)*$I$2/(1+EXP($I$3*(COUNT($O$9:U$9)+$I$4))),TREND($D85:$E85,$D$9:$E$9,U$9))</f>
        <v>0</v>
      </c>
      <c r="V85">
        <f>IF($F85="s-curve",$D85+($E85-$D85)*$I$2/(1+EXP($I$3*(COUNT($O$9:V$9)+$I$4))),TREND($D85:$E85,$D$9:$E$9,V$9))</f>
        <v>0</v>
      </c>
      <c r="W85">
        <f>IF($F85="s-curve",$D85+($E85-$D85)*$I$2/(1+EXP($I$3*(COUNT($O$9:W$9)+$I$4))),TREND($D85:$E85,$D$9:$E$9,W$9))</f>
        <v>0</v>
      </c>
      <c r="X85">
        <f>IF($F85="s-curve",$D85+($E85-$D85)*$I$2/(1+EXP($I$3*(COUNT($O$9:X$9)+$I$4))),TREND($D85:$E85,$D$9:$E$9,X$9))</f>
        <v>0</v>
      </c>
      <c r="Y85">
        <f>IF($F85="s-curve",$D85+($E85-$D85)*$I$2/(1+EXP($I$3*(COUNT($O$9:Y$9)+$I$4))),TREND($D85:$E85,$D$9:$E$9,Y$9))</f>
        <v>0</v>
      </c>
      <c r="Z85">
        <f>IF($F85="s-curve",$D85+($E85-$D85)*$I$2/(1+EXP($I$3*(COUNT($O$9:Z$9)+$I$4))),TREND($D85:$E85,$D$9:$E$9,Z$9))</f>
        <v>0</v>
      </c>
      <c r="AA85">
        <f>IF($F85="s-curve",$D85+($E85-$D85)*$I$2/(1+EXP($I$3*(COUNT($O$9:AA$9)+$I$4))),TREND($D85:$E85,$D$9:$E$9,AA$9))</f>
        <v>0</v>
      </c>
      <c r="AB85">
        <f>IF($F85="s-curve",$D85+($E85-$D85)*$I$2/(1+EXP($I$3*(COUNT($O$9:AB$9)+$I$4))),TREND($D85:$E85,$D$9:$E$9,AB$9))</f>
        <v>0</v>
      </c>
      <c r="AC85">
        <f>IF($F85="s-curve",$D85+($E85-$D85)*$I$2/(1+EXP($I$3*(COUNT($O$9:AC$9)+$I$4))),TREND($D85:$E85,$D$9:$E$9,AC$9))</f>
        <v>0</v>
      </c>
      <c r="AD85">
        <f>IF($F85="s-curve",$D85+($E85-$D85)*$I$2/(1+EXP($I$3*(COUNT($O$9:AD$9)+$I$4))),TREND($D85:$E85,$D$9:$E$9,AD$9))</f>
        <v>0</v>
      </c>
      <c r="AE85">
        <f>IF($F85="s-curve",$D85+($E85-$D85)*$I$2/(1+EXP($I$3*(COUNT($O$9:AE$9)+$I$4))),TREND($D85:$E85,$D$9:$E$9,AE$9))</f>
        <v>0</v>
      </c>
      <c r="AF85">
        <f>IF($F85="s-curve",$D85+($E85-$D85)*$I$2/(1+EXP($I$3*(COUNT($O$9:AF$9)+$I$4))),TREND($D85:$E85,$D$9:$E$9,AF$9))</f>
        <v>0</v>
      </c>
      <c r="AG85">
        <f>IF($F85="s-curve",$D85+($E85-$D85)*$I$2/(1+EXP($I$3*(COUNT($O$9:AG$9)+$I$4))),TREND($D85:$E85,$D$9:$E$9,AG$9))</f>
        <v>0</v>
      </c>
      <c r="AH85">
        <f>IF($F85="s-curve",$D85+($E85-$D85)*$I$2/(1+EXP($I$3*(COUNT($O$9:AH$9)+$I$4))),TREND($D85:$E85,$D$9:$E$9,AH$9))</f>
        <v>0</v>
      </c>
      <c r="AI85">
        <f>IF($F85="s-curve",$D85+($E85-$D85)*$I$2/(1+EXP($I$3*(COUNT($O$9:AI$9)+$I$4))),TREND($D85:$E85,$D$9:$E$9,AI$9))</f>
        <v>0</v>
      </c>
      <c r="AJ85">
        <f>IF($F85="s-curve",$D85+($E85-$D85)*$I$2/(1+EXP($I$3*(COUNT($O$9:AJ$9)+$I$4))),TREND($D85:$E85,$D$9:$E$9,AJ$9))</f>
        <v>0</v>
      </c>
      <c r="AK85">
        <f>IF($F85="s-curve",$D85+($E85-$D85)*$I$2/(1+EXP($I$3*(COUNT($O$9:AK$9)+$I$4))),TREND($D85:$E85,$D$9:$E$9,AK$9))</f>
        <v>0</v>
      </c>
      <c r="AL85">
        <f>IF($F85="s-curve",$D85+($E85-$D85)*$I$2/(1+EXP($I$3*(COUNT($O$9:AL$9)+$I$4))),TREND($D85:$E85,$D$9:$E$9,AL$9))</f>
        <v>0</v>
      </c>
      <c r="AM85">
        <f>IF($F85="s-curve",$D85+($E85-$D85)*$I$2/(1+EXP($I$3*(COUNT($O$9:AM$9)+$I$4))),TREND($D85:$E85,$D$9:$E$9,AM$9))</f>
        <v>0</v>
      </c>
      <c r="AN85">
        <f>IF($F85="s-curve",$D85+($E85-$D85)*$I$2/(1+EXP($I$3*(COUNT($O$9:AN$9)+$I$4))),TREND($D85:$E85,$D$9:$E$9,AN$9))</f>
        <v>0</v>
      </c>
      <c r="AO85">
        <f>IF($F85="s-curve",$D85+($E85-$D85)*$I$2/(1+EXP($I$3*(COUNT($O$9:AO$9)+$I$4))),TREND($D85:$E85,$D$9:$E$9,AO$9))</f>
        <v>0</v>
      </c>
      <c r="AP85">
        <f>IF($F85="s-curve",$D85+($E85-$D85)*$I$2/(1+EXP($I$3*(COUNT($O$9:AP$9)+$I$4))),TREND($D85:$E85,$D$9:$E$9,AP$9))</f>
        <v>0</v>
      </c>
      <c r="AQ85">
        <f>IF($F85="s-curve",$D85+($E85-$D85)*$I$2/(1+EXP($I$3*(COUNT($O$9:AQ$9)+$I$4))),TREND($D85:$E85,$D$9:$E$9,AQ$9))</f>
        <v>0</v>
      </c>
      <c r="AR85">
        <f>IF($F85="s-curve",$D85+($E85-$D85)*$I$2/(1+EXP($I$3*(COUNT($O$9:AR$9)+$I$4))),TREND($D85:$E85,$D$9:$E$9,AR$9))</f>
        <v>0</v>
      </c>
      <c r="AS85">
        <f>IF($F85="s-curve",$D85+($E85-$D85)*$I$2/(1+EXP($I$3*(COUNT($O$9:AS$9)+$I$4))),TREND($D85:$E85,$D$9:$E$9,AS$9))</f>
        <v>0</v>
      </c>
      <c r="AT85">
        <f t="shared" si="18"/>
        <v>0</v>
      </c>
      <c r="AU85">
        <f t="shared" si="18"/>
        <v>0</v>
      </c>
      <c r="AV85">
        <f t="shared" si="18"/>
        <v>0</v>
      </c>
      <c r="AW85">
        <f t="shared" si="18"/>
        <v>0</v>
      </c>
      <c r="AX85">
        <f t="shared" si="18"/>
        <v>0</v>
      </c>
      <c r="AY85">
        <f t="shared" si="18"/>
        <v>0</v>
      </c>
      <c r="AZ85">
        <f t="shared" si="18"/>
        <v>0</v>
      </c>
      <c r="BA85">
        <f t="shared" si="18"/>
        <v>0</v>
      </c>
      <c r="BB85">
        <f t="shared" si="18"/>
        <v>0</v>
      </c>
      <c r="BC85">
        <f t="shared" si="18"/>
        <v>0</v>
      </c>
    </row>
    <row r="86" spans="1:55" ht="13.6" thickBot="1" x14ac:dyDescent="0.2">
      <c r="A86" s="23"/>
      <c r="B86" s="23"/>
      <c r="C86" s="23" t="s">
        <v>126</v>
      </c>
      <c r="D86" s="26">
        <f>'SYVbT-passenger'!H7/SUM('SYVbT-passenger'!7:7)</f>
        <v>0</v>
      </c>
      <c r="E86" s="23">
        <v>0</v>
      </c>
      <c r="F86" s="8" t="str">
        <f>IF(D86=E86,"n/a",IF(OR(C86="battery electric vehicle",C86="natural gas vehicle",C86="plugin hybrid vehicle",C86="hydrogen vehicle"),"s-curve","linear"))</f>
        <v>n/a</v>
      </c>
      <c r="O86" s="22">
        <f t="shared" si="17"/>
        <v>0</v>
      </c>
      <c r="P86">
        <f>IF($F86="s-curve",$D86+($E86-$D86)*$I$2/(1+EXP($I$3*(COUNT($O$9:P$9)+$I$4))),TREND($D86:$E86,$D$9:$E$9,P$9))</f>
        <v>0</v>
      </c>
      <c r="Q86">
        <f>IF($F86="s-curve",$D86+($E86-$D86)*$I$2/(1+EXP($I$3*(COUNT($O$9:Q$9)+$I$4))),TREND($D86:$E86,$D$9:$E$9,Q$9))</f>
        <v>0</v>
      </c>
      <c r="R86">
        <f>IF($F86="s-curve",$D86+($E86-$D86)*$I$2/(1+EXP($I$3*(COUNT($O$9:R$9)+$I$4))),TREND($D86:$E86,$D$9:$E$9,R$9))</f>
        <v>0</v>
      </c>
      <c r="S86">
        <f>IF($F86="s-curve",$D86+($E86-$D86)*$I$2/(1+EXP($I$3*(COUNT($O$9:S$9)+$I$4))),TREND($D86:$E86,$D$9:$E$9,S$9))</f>
        <v>0</v>
      </c>
      <c r="T86">
        <f>IF($F86="s-curve",$D86+($E86-$D86)*$I$2/(1+EXP($I$3*(COUNT($O$9:T$9)+$I$4))),TREND($D86:$E86,$D$9:$E$9,T$9))</f>
        <v>0</v>
      </c>
      <c r="U86">
        <f>IF($F86="s-curve",$D86+($E86-$D86)*$I$2/(1+EXP($I$3*(COUNT($O$9:U$9)+$I$4))),TREND($D86:$E86,$D$9:$E$9,U$9))</f>
        <v>0</v>
      </c>
      <c r="V86">
        <f>IF($F86="s-curve",$D86+($E86-$D86)*$I$2/(1+EXP($I$3*(COUNT($O$9:V$9)+$I$4))),TREND($D86:$E86,$D$9:$E$9,V$9))</f>
        <v>0</v>
      </c>
      <c r="W86">
        <f>IF($F86="s-curve",$D86+($E86-$D86)*$I$2/(1+EXP($I$3*(COUNT($O$9:W$9)+$I$4))),TREND($D86:$E86,$D$9:$E$9,W$9))</f>
        <v>0</v>
      </c>
      <c r="X86">
        <f>IF($F86="s-curve",$D86+($E86-$D86)*$I$2/(1+EXP($I$3*(COUNT($O$9:X$9)+$I$4))),TREND($D86:$E86,$D$9:$E$9,X$9))</f>
        <v>0</v>
      </c>
      <c r="Y86">
        <f>IF($F86="s-curve",$D86+($E86-$D86)*$I$2/(1+EXP($I$3*(COUNT($O$9:Y$9)+$I$4))),TREND($D86:$E86,$D$9:$E$9,Y$9))</f>
        <v>0</v>
      </c>
      <c r="Z86">
        <f>IF($F86="s-curve",$D86+($E86-$D86)*$I$2/(1+EXP($I$3*(COUNT($O$9:Z$9)+$I$4))),TREND($D86:$E86,$D$9:$E$9,Z$9))</f>
        <v>0</v>
      </c>
      <c r="AA86">
        <f>IF($F86="s-curve",$D86+($E86-$D86)*$I$2/(1+EXP($I$3*(COUNT($O$9:AA$9)+$I$4))),TREND($D86:$E86,$D$9:$E$9,AA$9))</f>
        <v>0</v>
      </c>
      <c r="AB86">
        <f>IF($F86="s-curve",$D86+($E86-$D86)*$I$2/(1+EXP($I$3*(COUNT($O$9:AB$9)+$I$4))),TREND($D86:$E86,$D$9:$E$9,AB$9))</f>
        <v>0</v>
      </c>
      <c r="AC86">
        <f>IF($F86="s-curve",$D86+($E86-$D86)*$I$2/(1+EXP($I$3*(COUNT($O$9:AC$9)+$I$4))),TREND($D86:$E86,$D$9:$E$9,AC$9))</f>
        <v>0</v>
      </c>
      <c r="AD86">
        <f>IF($F86="s-curve",$D86+($E86-$D86)*$I$2/(1+EXP($I$3*(COUNT($O$9:AD$9)+$I$4))),TREND($D86:$E86,$D$9:$E$9,AD$9))</f>
        <v>0</v>
      </c>
      <c r="AE86">
        <f>IF($F86="s-curve",$D86+($E86-$D86)*$I$2/(1+EXP($I$3*(COUNT($O$9:AE$9)+$I$4))),TREND($D86:$E86,$D$9:$E$9,AE$9))</f>
        <v>0</v>
      </c>
      <c r="AF86">
        <f>IF($F86="s-curve",$D86+($E86-$D86)*$I$2/(1+EXP($I$3*(COUNT($O$9:AF$9)+$I$4))),TREND($D86:$E86,$D$9:$E$9,AF$9))</f>
        <v>0</v>
      </c>
      <c r="AG86">
        <f>IF($F86="s-curve",$D86+($E86-$D86)*$I$2/(1+EXP($I$3*(COUNT($O$9:AG$9)+$I$4))),TREND($D86:$E86,$D$9:$E$9,AG$9))</f>
        <v>0</v>
      </c>
      <c r="AH86">
        <f>IF($F86="s-curve",$D86+($E86-$D86)*$I$2/(1+EXP($I$3*(COUNT($O$9:AH$9)+$I$4))),TREND($D86:$E86,$D$9:$E$9,AH$9))</f>
        <v>0</v>
      </c>
      <c r="AI86">
        <f>IF($F86="s-curve",$D86+($E86-$D86)*$I$2/(1+EXP($I$3*(COUNT($O$9:AI$9)+$I$4))),TREND($D86:$E86,$D$9:$E$9,AI$9))</f>
        <v>0</v>
      </c>
      <c r="AJ86">
        <f>IF($F86="s-curve",$D86+($E86-$D86)*$I$2/(1+EXP($I$3*(COUNT($O$9:AJ$9)+$I$4))),TREND($D86:$E86,$D$9:$E$9,AJ$9))</f>
        <v>0</v>
      </c>
      <c r="AK86">
        <f>IF($F86="s-curve",$D86+($E86-$D86)*$I$2/(1+EXP($I$3*(COUNT($O$9:AK$9)+$I$4))),TREND($D86:$E86,$D$9:$E$9,AK$9))</f>
        <v>0</v>
      </c>
      <c r="AL86">
        <f>IF($F86="s-curve",$D86+($E86-$D86)*$I$2/(1+EXP($I$3*(COUNT($O$9:AL$9)+$I$4))),TREND($D86:$E86,$D$9:$E$9,AL$9))</f>
        <v>0</v>
      </c>
      <c r="AM86">
        <f>IF($F86="s-curve",$D86+($E86-$D86)*$I$2/(1+EXP($I$3*(COUNT($O$9:AM$9)+$I$4))),TREND($D86:$E86,$D$9:$E$9,AM$9))</f>
        <v>0</v>
      </c>
      <c r="AN86">
        <f>IF($F86="s-curve",$D86+($E86-$D86)*$I$2/(1+EXP($I$3*(COUNT($O$9:AN$9)+$I$4))),TREND($D86:$E86,$D$9:$E$9,AN$9))</f>
        <v>0</v>
      </c>
      <c r="AO86">
        <f>IF($F86="s-curve",$D86+($E86-$D86)*$I$2/(1+EXP($I$3*(COUNT($O$9:AO$9)+$I$4))),TREND($D86:$E86,$D$9:$E$9,AO$9))</f>
        <v>0</v>
      </c>
      <c r="AP86">
        <f>IF($F86="s-curve",$D86+($E86-$D86)*$I$2/(1+EXP($I$3*(COUNT($O$9:AP$9)+$I$4))),TREND($D86:$E86,$D$9:$E$9,AP$9))</f>
        <v>0</v>
      </c>
      <c r="AQ86">
        <f>IF($F86="s-curve",$D86+($E86-$D86)*$I$2/(1+EXP($I$3*(COUNT($O$9:AQ$9)+$I$4))),TREND($D86:$E86,$D$9:$E$9,AQ$9))</f>
        <v>0</v>
      </c>
      <c r="AR86">
        <f>IF($F86="s-curve",$D86+($E86-$D86)*$I$2/(1+EXP($I$3*(COUNT($O$9:AR$9)+$I$4))),TREND($D86:$E86,$D$9:$E$9,AR$9))</f>
        <v>0</v>
      </c>
      <c r="AS86">
        <f>IF($F86="s-curve",$D86+($E86-$D86)*$I$2/(1+EXP($I$3*(COUNT($O$9:AS$9)+$I$4))),TREND($D86:$E86,$D$9:$E$9,AS$9))</f>
        <v>0</v>
      </c>
      <c r="AT86">
        <f t="shared" si="18"/>
        <v>0</v>
      </c>
      <c r="AU86">
        <f t="shared" si="18"/>
        <v>0</v>
      </c>
      <c r="AV86">
        <f t="shared" si="18"/>
        <v>0</v>
      </c>
      <c r="AW86">
        <f t="shared" si="18"/>
        <v>0</v>
      </c>
      <c r="AX86">
        <f t="shared" si="18"/>
        <v>0</v>
      </c>
      <c r="AY86">
        <f t="shared" si="18"/>
        <v>0</v>
      </c>
      <c r="AZ86">
        <f t="shared" si="18"/>
        <v>0</v>
      </c>
      <c r="BA86">
        <f t="shared" si="18"/>
        <v>0</v>
      </c>
      <c r="BB86">
        <f t="shared" si="18"/>
        <v>0</v>
      </c>
      <c r="BC86">
        <f t="shared" si="18"/>
        <v>0</v>
      </c>
    </row>
    <row r="87" spans="1:55" x14ac:dyDescent="0.15">
      <c r="A87" t="s">
        <v>17</v>
      </c>
      <c r="B87" t="s">
        <v>18</v>
      </c>
      <c r="C87" t="s">
        <v>1</v>
      </c>
      <c r="D87">
        <v>0</v>
      </c>
      <c r="E87">
        <v>0</v>
      </c>
      <c r="F87" s="7" t="str">
        <f>IF(D87=E87,"n/a",IF(OR(C87="battery electric vehicle",C87="natural gas vehicle",C87="plugin hybrid vehicle"),"s-curve","linear"))</f>
        <v>n/a</v>
      </c>
      <c r="O87" s="22">
        <f t="shared" si="17"/>
        <v>0</v>
      </c>
      <c r="P87">
        <f>IF($F87="s-curve",$D87+($E87-$D87)*$I$2/(1+EXP($I$3*(COUNT($O$9:P$9)+$I$4))),TREND($D87:$E87,$D$9:$E$9,P$9))</f>
        <v>0</v>
      </c>
      <c r="Q87">
        <f>IF($F87="s-curve",$D87+($E87-$D87)*$I$2/(1+EXP($I$3*(COUNT($O$9:Q$9)+$I$4))),TREND($D87:$E87,$D$9:$E$9,Q$9))</f>
        <v>0</v>
      </c>
      <c r="R87">
        <f>IF($F87="s-curve",$D87+($E87-$D87)*$I$2/(1+EXP($I$3*(COUNT($O$9:R$9)+$I$4))),TREND($D87:$E87,$D$9:$E$9,R$9))</f>
        <v>0</v>
      </c>
      <c r="S87">
        <f>IF($F87="s-curve",$D87+($E87-$D87)*$I$2/(1+EXP($I$3*(COUNT($O$9:S$9)+$I$4))),TREND($D87:$E87,$D$9:$E$9,S$9))</f>
        <v>0</v>
      </c>
      <c r="T87">
        <f>IF($F87="s-curve",$D87+($E87-$D87)*$I$2/(1+EXP($I$3*(COUNT($O$9:T$9)+$I$4))),TREND($D87:$E87,$D$9:$E$9,T$9))</f>
        <v>0</v>
      </c>
      <c r="U87">
        <f>IF($F87="s-curve",$D87+($E87-$D87)*$I$2/(1+EXP($I$3*(COUNT($O$9:U$9)+$I$4))),TREND($D87:$E87,$D$9:$E$9,U$9))</f>
        <v>0</v>
      </c>
      <c r="V87">
        <f>IF($F87="s-curve",$D87+($E87-$D87)*$I$2/(1+EXP($I$3*(COUNT($O$9:V$9)+$I$4))),TREND($D87:$E87,$D$9:$E$9,V$9))</f>
        <v>0</v>
      </c>
      <c r="W87">
        <f>IF($F87="s-curve",$D87+($E87-$D87)*$I$2/(1+EXP($I$3*(COUNT($O$9:W$9)+$I$4))),TREND($D87:$E87,$D$9:$E$9,W$9))</f>
        <v>0</v>
      </c>
      <c r="X87">
        <f>IF($F87="s-curve",$D87+($E87-$D87)*$I$2/(1+EXP($I$3*(COUNT($O$9:X$9)+$I$4))),TREND($D87:$E87,$D$9:$E$9,X$9))</f>
        <v>0</v>
      </c>
      <c r="Y87">
        <f>IF($F87="s-curve",$D87+($E87-$D87)*$I$2/(1+EXP($I$3*(COUNT($O$9:Y$9)+$I$4))),TREND($D87:$E87,$D$9:$E$9,Y$9))</f>
        <v>0</v>
      </c>
      <c r="Z87">
        <f>IF($F87="s-curve",$D87+($E87-$D87)*$I$2/(1+EXP($I$3*(COUNT($O$9:Z$9)+$I$4))),TREND($D87:$E87,$D$9:$E$9,Z$9))</f>
        <v>0</v>
      </c>
      <c r="AA87">
        <f>IF($F87="s-curve",$D87+($E87-$D87)*$I$2/(1+EXP($I$3*(COUNT($O$9:AA$9)+$I$4))),TREND($D87:$E87,$D$9:$E$9,AA$9))</f>
        <v>0</v>
      </c>
      <c r="AB87">
        <f>IF($F87="s-curve",$D87+($E87-$D87)*$I$2/(1+EXP($I$3*(COUNT($O$9:AB$9)+$I$4))),TREND($D87:$E87,$D$9:$E$9,AB$9))</f>
        <v>0</v>
      </c>
      <c r="AC87">
        <f>IF($F87="s-curve",$D87+($E87-$D87)*$I$2/(1+EXP($I$3*(COUNT($O$9:AC$9)+$I$4))),TREND($D87:$E87,$D$9:$E$9,AC$9))</f>
        <v>0</v>
      </c>
      <c r="AD87">
        <f>IF($F87="s-curve",$D87+($E87-$D87)*$I$2/(1+EXP($I$3*(COUNT($O$9:AD$9)+$I$4))),TREND($D87:$E87,$D$9:$E$9,AD$9))</f>
        <v>0</v>
      </c>
      <c r="AE87">
        <f>IF($F87="s-curve",$D87+($E87-$D87)*$I$2/(1+EXP($I$3*(COUNT($O$9:AE$9)+$I$4))),TREND($D87:$E87,$D$9:$E$9,AE$9))</f>
        <v>0</v>
      </c>
      <c r="AF87">
        <f>IF($F87="s-curve",$D87+($E87-$D87)*$I$2/(1+EXP($I$3*(COUNT($O$9:AF$9)+$I$4))),TREND($D87:$E87,$D$9:$E$9,AF$9))</f>
        <v>0</v>
      </c>
      <c r="AG87">
        <f>IF($F87="s-curve",$D87+($E87-$D87)*$I$2/(1+EXP($I$3*(COUNT($O$9:AG$9)+$I$4))),TREND($D87:$E87,$D$9:$E$9,AG$9))</f>
        <v>0</v>
      </c>
      <c r="AH87">
        <f>IF($F87="s-curve",$D87+($E87-$D87)*$I$2/(1+EXP($I$3*(COUNT($O$9:AH$9)+$I$4))),TREND($D87:$E87,$D$9:$E$9,AH$9))</f>
        <v>0</v>
      </c>
      <c r="AI87">
        <f>IF($F87="s-curve",$D87+($E87-$D87)*$I$2/(1+EXP($I$3*(COUNT($O$9:AI$9)+$I$4))),TREND($D87:$E87,$D$9:$E$9,AI$9))</f>
        <v>0</v>
      </c>
      <c r="AJ87">
        <f>IF($F87="s-curve",$D87+($E87-$D87)*$I$2/(1+EXP($I$3*(COUNT($O$9:AJ$9)+$I$4))),TREND($D87:$E87,$D$9:$E$9,AJ$9))</f>
        <v>0</v>
      </c>
      <c r="AK87">
        <f>IF($F87="s-curve",$D87+($E87-$D87)*$I$2/(1+EXP($I$3*(COUNT($O$9:AK$9)+$I$4))),TREND($D87:$E87,$D$9:$E$9,AK$9))</f>
        <v>0</v>
      </c>
      <c r="AL87">
        <f>IF($F87="s-curve",$D87+($E87-$D87)*$I$2/(1+EXP($I$3*(COUNT($O$9:AL$9)+$I$4))),TREND($D87:$E87,$D$9:$E$9,AL$9))</f>
        <v>0</v>
      </c>
      <c r="AM87">
        <f>IF($F87="s-curve",$D87+($E87-$D87)*$I$2/(1+EXP($I$3*(COUNT($O$9:AM$9)+$I$4))),TREND($D87:$E87,$D$9:$E$9,AM$9))</f>
        <v>0</v>
      </c>
      <c r="AN87">
        <f>IF($F87="s-curve",$D87+($E87-$D87)*$I$2/(1+EXP($I$3*(COUNT($O$9:AN$9)+$I$4))),TREND($D87:$E87,$D$9:$E$9,AN$9))</f>
        <v>0</v>
      </c>
      <c r="AO87">
        <f>IF($F87="s-curve",$D87+($E87-$D87)*$I$2/(1+EXP($I$3*(COUNT($O$9:AO$9)+$I$4))),TREND($D87:$E87,$D$9:$E$9,AO$9))</f>
        <v>0</v>
      </c>
      <c r="AP87">
        <f>IF($F87="s-curve",$D87+($E87-$D87)*$I$2/(1+EXP($I$3*(COUNT($O$9:AP$9)+$I$4))),TREND($D87:$E87,$D$9:$E$9,AP$9))</f>
        <v>0</v>
      </c>
      <c r="AQ87">
        <f>IF($F87="s-curve",$D87+($E87-$D87)*$I$2/(1+EXP($I$3*(COUNT($O$9:AQ$9)+$I$4))),TREND($D87:$E87,$D$9:$E$9,AQ$9))</f>
        <v>0</v>
      </c>
      <c r="AR87">
        <f>IF($F87="s-curve",$D87+($E87-$D87)*$I$2/(1+EXP($I$3*(COUNT($O$9:AR$9)+$I$4))),TREND($D87:$E87,$D$9:$E$9,AR$9))</f>
        <v>0</v>
      </c>
      <c r="AS87">
        <f>IF($F87="s-curve",$D87+($E87-$D87)*$I$2/(1+EXP($I$3*(COUNT($O$9:AS$9)+$I$4))),TREND($D87:$E87,$D$9:$E$9,AS$9))</f>
        <v>0</v>
      </c>
      <c r="AT87">
        <f t="shared" si="18"/>
        <v>0</v>
      </c>
      <c r="AU87">
        <f t="shared" si="18"/>
        <v>0</v>
      </c>
      <c r="AV87">
        <f t="shared" si="18"/>
        <v>0</v>
      </c>
      <c r="AW87">
        <f t="shared" si="18"/>
        <v>0</v>
      </c>
      <c r="AX87">
        <f t="shared" si="18"/>
        <v>0</v>
      </c>
      <c r="AY87">
        <f t="shared" si="18"/>
        <v>0</v>
      </c>
      <c r="AZ87">
        <f t="shared" si="18"/>
        <v>0</v>
      </c>
      <c r="BA87">
        <f t="shared" si="18"/>
        <v>0</v>
      </c>
      <c r="BB87">
        <f t="shared" si="18"/>
        <v>0</v>
      </c>
      <c r="BC87">
        <f t="shared" si="18"/>
        <v>0</v>
      </c>
    </row>
    <row r="88" spans="1:55" x14ac:dyDescent="0.15">
      <c r="C88" t="s">
        <v>2</v>
      </c>
      <c r="D88">
        <v>0</v>
      </c>
      <c r="E88">
        <v>0</v>
      </c>
      <c r="F88" s="7" t="str">
        <f>IF(D88=E88,"n/a",IF(OR(C88="battery electric vehicle",C88="natural gas vehicle",C88="plugin hybrid vehicle"),"s-curve","linear"))</f>
        <v>n/a</v>
      </c>
      <c r="O88" s="22">
        <f t="shared" si="17"/>
        <v>0</v>
      </c>
      <c r="P88">
        <f>IF($F88="s-curve",$D88+($E88-$D88)*$I$2/(1+EXP($I$3*(COUNT($O$9:P$9)+$I$4))),TREND($D88:$E88,$D$9:$E$9,P$9))</f>
        <v>0</v>
      </c>
      <c r="Q88">
        <f>IF($F88="s-curve",$D88+($E88-$D88)*$I$2/(1+EXP($I$3*(COUNT($O$9:Q$9)+$I$4))),TREND($D88:$E88,$D$9:$E$9,Q$9))</f>
        <v>0</v>
      </c>
      <c r="R88">
        <f>IF($F88="s-curve",$D88+($E88-$D88)*$I$2/(1+EXP($I$3*(COUNT($O$9:R$9)+$I$4))),TREND($D88:$E88,$D$9:$E$9,R$9))</f>
        <v>0</v>
      </c>
      <c r="S88">
        <f>IF($F88="s-curve",$D88+($E88-$D88)*$I$2/(1+EXP($I$3*(COUNT($O$9:S$9)+$I$4))),TREND($D88:$E88,$D$9:$E$9,S$9))</f>
        <v>0</v>
      </c>
      <c r="T88">
        <f>IF($F88="s-curve",$D88+($E88-$D88)*$I$2/(1+EXP($I$3*(COUNT($O$9:T$9)+$I$4))),TREND($D88:$E88,$D$9:$E$9,T$9))</f>
        <v>0</v>
      </c>
      <c r="U88">
        <f>IF($F88="s-curve",$D88+($E88-$D88)*$I$2/(1+EXP($I$3*(COUNT($O$9:U$9)+$I$4))),TREND($D88:$E88,$D$9:$E$9,U$9))</f>
        <v>0</v>
      </c>
      <c r="V88">
        <f>IF($F88="s-curve",$D88+($E88-$D88)*$I$2/(1+EXP($I$3*(COUNT($O$9:V$9)+$I$4))),TREND($D88:$E88,$D$9:$E$9,V$9))</f>
        <v>0</v>
      </c>
      <c r="W88">
        <f>IF($F88="s-curve",$D88+($E88-$D88)*$I$2/(1+EXP($I$3*(COUNT($O$9:W$9)+$I$4))),TREND($D88:$E88,$D$9:$E$9,W$9))</f>
        <v>0</v>
      </c>
      <c r="X88">
        <f>IF($F88="s-curve",$D88+($E88-$D88)*$I$2/(1+EXP($I$3*(COUNT($O$9:X$9)+$I$4))),TREND($D88:$E88,$D$9:$E$9,X$9))</f>
        <v>0</v>
      </c>
      <c r="Y88">
        <f>IF($F88="s-curve",$D88+($E88-$D88)*$I$2/(1+EXP($I$3*(COUNT($O$9:Y$9)+$I$4))),TREND($D88:$E88,$D$9:$E$9,Y$9))</f>
        <v>0</v>
      </c>
      <c r="Z88">
        <f>IF($F88="s-curve",$D88+($E88-$D88)*$I$2/(1+EXP($I$3*(COUNT($O$9:Z$9)+$I$4))),TREND($D88:$E88,$D$9:$E$9,Z$9))</f>
        <v>0</v>
      </c>
      <c r="AA88">
        <f>IF($F88="s-curve",$D88+($E88-$D88)*$I$2/(1+EXP($I$3*(COUNT($O$9:AA$9)+$I$4))),TREND($D88:$E88,$D$9:$E$9,AA$9))</f>
        <v>0</v>
      </c>
      <c r="AB88">
        <f>IF($F88="s-curve",$D88+($E88-$D88)*$I$2/(1+EXP($I$3*(COUNT($O$9:AB$9)+$I$4))),TREND($D88:$E88,$D$9:$E$9,AB$9))</f>
        <v>0</v>
      </c>
      <c r="AC88">
        <f>IF($F88="s-curve",$D88+($E88-$D88)*$I$2/(1+EXP($I$3*(COUNT($O$9:AC$9)+$I$4))),TREND($D88:$E88,$D$9:$E$9,AC$9))</f>
        <v>0</v>
      </c>
      <c r="AD88">
        <f>IF($F88="s-curve",$D88+($E88-$D88)*$I$2/(1+EXP($I$3*(COUNT($O$9:AD$9)+$I$4))),TREND($D88:$E88,$D$9:$E$9,AD$9))</f>
        <v>0</v>
      </c>
      <c r="AE88">
        <f>IF($F88="s-curve",$D88+($E88-$D88)*$I$2/(1+EXP($I$3*(COUNT($O$9:AE$9)+$I$4))),TREND($D88:$E88,$D$9:$E$9,AE$9))</f>
        <v>0</v>
      </c>
      <c r="AF88">
        <f>IF($F88="s-curve",$D88+($E88-$D88)*$I$2/(1+EXP($I$3*(COUNT($O$9:AF$9)+$I$4))),TREND($D88:$E88,$D$9:$E$9,AF$9))</f>
        <v>0</v>
      </c>
      <c r="AG88">
        <f>IF($F88="s-curve",$D88+($E88-$D88)*$I$2/(1+EXP($I$3*(COUNT($O$9:AG$9)+$I$4))),TREND($D88:$E88,$D$9:$E$9,AG$9))</f>
        <v>0</v>
      </c>
      <c r="AH88">
        <f>IF($F88="s-curve",$D88+($E88-$D88)*$I$2/(1+EXP($I$3*(COUNT($O$9:AH$9)+$I$4))),TREND($D88:$E88,$D$9:$E$9,AH$9))</f>
        <v>0</v>
      </c>
      <c r="AI88">
        <f>IF($F88="s-curve",$D88+($E88-$D88)*$I$2/(1+EXP($I$3*(COUNT($O$9:AI$9)+$I$4))),TREND($D88:$E88,$D$9:$E$9,AI$9))</f>
        <v>0</v>
      </c>
      <c r="AJ88">
        <f>IF($F88="s-curve",$D88+($E88-$D88)*$I$2/(1+EXP($I$3*(COUNT($O$9:AJ$9)+$I$4))),TREND($D88:$E88,$D$9:$E$9,AJ$9))</f>
        <v>0</v>
      </c>
      <c r="AK88">
        <f>IF($F88="s-curve",$D88+($E88-$D88)*$I$2/(1+EXP($I$3*(COUNT($O$9:AK$9)+$I$4))),TREND($D88:$E88,$D$9:$E$9,AK$9))</f>
        <v>0</v>
      </c>
      <c r="AL88">
        <f>IF($F88="s-curve",$D88+($E88-$D88)*$I$2/(1+EXP($I$3*(COUNT($O$9:AL$9)+$I$4))),TREND($D88:$E88,$D$9:$E$9,AL$9))</f>
        <v>0</v>
      </c>
      <c r="AM88">
        <f>IF($F88="s-curve",$D88+($E88-$D88)*$I$2/(1+EXP($I$3*(COUNT($O$9:AM$9)+$I$4))),TREND($D88:$E88,$D$9:$E$9,AM$9))</f>
        <v>0</v>
      </c>
      <c r="AN88">
        <f>IF($F88="s-curve",$D88+($E88-$D88)*$I$2/(1+EXP($I$3*(COUNT($O$9:AN$9)+$I$4))),TREND($D88:$E88,$D$9:$E$9,AN$9))</f>
        <v>0</v>
      </c>
      <c r="AO88">
        <f>IF($F88="s-curve",$D88+($E88-$D88)*$I$2/(1+EXP($I$3*(COUNT($O$9:AO$9)+$I$4))),TREND($D88:$E88,$D$9:$E$9,AO$9))</f>
        <v>0</v>
      </c>
      <c r="AP88">
        <f>IF($F88="s-curve",$D88+($E88-$D88)*$I$2/(1+EXP($I$3*(COUNT($O$9:AP$9)+$I$4))),TREND($D88:$E88,$D$9:$E$9,AP$9))</f>
        <v>0</v>
      </c>
      <c r="AQ88">
        <f>IF($F88="s-curve",$D88+($E88-$D88)*$I$2/(1+EXP($I$3*(COUNT($O$9:AQ$9)+$I$4))),TREND($D88:$E88,$D$9:$E$9,AQ$9))</f>
        <v>0</v>
      </c>
      <c r="AR88">
        <f>IF($F88="s-curve",$D88+($E88-$D88)*$I$2/(1+EXP($I$3*(COUNT($O$9:AR$9)+$I$4))),TREND($D88:$E88,$D$9:$E$9,AR$9))</f>
        <v>0</v>
      </c>
      <c r="AS88">
        <f>IF($F88="s-curve",$D88+($E88-$D88)*$I$2/(1+EXP($I$3*(COUNT($O$9:AS$9)+$I$4))),TREND($D88:$E88,$D$9:$E$9,AS$9))</f>
        <v>0</v>
      </c>
      <c r="AT88">
        <f t="shared" si="18"/>
        <v>0</v>
      </c>
      <c r="AU88">
        <f t="shared" si="18"/>
        <v>0</v>
      </c>
      <c r="AV88">
        <f t="shared" si="18"/>
        <v>0</v>
      </c>
      <c r="AW88">
        <f t="shared" si="18"/>
        <v>0</v>
      </c>
      <c r="AX88">
        <f t="shared" si="18"/>
        <v>0</v>
      </c>
      <c r="AY88">
        <f t="shared" si="18"/>
        <v>0</v>
      </c>
      <c r="AZ88">
        <f t="shared" si="18"/>
        <v>0</v>
      </c>
      <c r="BA88">
        <f t="shared" si="18"/>
        <v>0</v>
      </c>
      <c r="BB88">
        <f t="shared" si="18"/>
        <v>0</v>
      </c>
      <c r="BC88">
        <f t="shared" si="18"/>
        <v>0</v>
      </c>
    </row>
    <row r="89" spans="1:55" x14ac:dyDescent="0.15">
      <c r="C89" t="s">
        <v>3</v>
      </c>
      <c r="D89">
        <v>0</v>
      </c>
      <c r="E89">
        <v>0</v>
      </c>
      <c r="F89" s="7" t="str">
        <f>IF(D89=E89,"n/a",IF(OR(C89="battery electric vehicle",C89="natural gas vehicle",C89="plugin hybrid vehicle"),"s-curve","linear"))</f>
        <v>n/a</v>
      </c>
      <c r="O89" s="22">
        <f t="shared" si="17"/>
        <v>0</v>
      </c>
      <c r="P89">
        <f>IF($F89="s-curve",$D89+($E89-$D89)*$I$2/(1+EXP($I$3*(COUNT($O$9:P$9)+$I$4))),TREND($D89:$E89,$D$9:$E$9,P$9))</f>
        <v>0</v>
      </c>
      <c r="Q89">
        <f>IF($F89="s-curve",$D89+($E89-$D89)*$I$2/(1+EXP($I$3*(COUNT($O$9:Q$9)+$I$4))),TREND($D89:$E89,$D$9:$E$9,Q$9))</f>
        <v>0</v>
      </c>
      <c r="R89">
        <f>IF($F89="s-curve",$D89+($E89-$D89)*$I$2/(1+EXP($I$3*(COUNT($O$9:R$9)+$I$4))),TREND($D89:$E89,$D$9:$E$9,R$9))</f>
        <v>0</v>
      </c>
      <c r="S89">
        <f>IF($F89="s-curve",$D89+($E89-$D89)*$I$2/(1+EXP($I$3*(COUNT($O$9:S$9)+$I$4))),TREND($D89:$E89,$D$9:$E$9,S$9))</f>
        <v>0</v>
      </c>
      <c r="T89">
        <f>IF($F89="s-curve",$D89+($E89-$D89)*$I$2/(1+EXP($I$3*(COUNT($O$9:T$9)+$I$4))),TREND($D89:$E89,$D$9:$E$9,T$9))</f>
        <v>0</v>
      </c>
      <c r="U89">
        <f>IF($F89="s-curve",$D89+($E89-$D89)*$I$2/(1+EXP($I$3*(COUNT($O$9:U$9)+$I$4))),TREND($D89:$E89,$D$9:$E$9,U$9))</f>
        <v>0</v>
      </c>
      <c r="V89">
        <f>IF($F89="s-curve",$D89+($E89-$D89)*$I$2/(1+EXP($I$3*(COUNT($O$9:V$9)+$I$4))),TREND($D89:$E89,$D$9:$E$9,V$9))</f>
        <v>0</v>
      </c>
      <c r="W89">
        <f>IF($F89="s-curve",$D89+($E89-$D89)*$I$2/(1+EXP($I$3*(COUNT($O$9:W$9)+$I$4))),TREND($D89:$E89,$D$9:$E$9,W$9))</f>
        <v>0</v>
      </c>
      <c r="X89">
        <f>IF($F89="s-curve",$D89+($E89-$D89)*$I$2/(1+EXP($I$3*(COUNT($O$9:X$9)+$I$4))),TREND($D89:$E89,$D$9:$E$9,X$9))</f>
        <v>0</v>
      </c>
      <c r="Y89">
        <f>IF($F89="s-curve",$D89+($E89-$D89)*$I$2/(1+EXP($I$3*(COUNT($O$9:Y$9)+$I$4))),TREND($D89:$E89,$D$9:$E$9,Y$9))</f>
        <v>0</v>
      </c>
      <c r="Z89">
        <f>IF($F89="s-curve",$D89+($E89-$D89)*$I$2/(1+EXP($I$3*(COUNT($O$9:Z$9)+$I$4))),TREND($D89:$E89,$D$9:$E$9,Z$9))</f>
        <v>0</v>
      </c>
      <c r="AA89">
        <f>IF($F89="s-curve",$D89+($E89-$D89)*$I$2/(1+EXP($I$3*(COUNT($O$9:AA$9)+$I$4))),TREND($D89:$E89,$D$9:$E$9,AA$9))</f>
        <v>0</v>
      </c>
      <c r="AB89">
        <f>IF($F89="s-curve",$D89+($E89-$D89)*$I$2/(1+EXP($I$3*(COUNT($O$9:AB$9)+$I$4))),TREND($D89:$E89,$D$9:$E$9,AB$9))</f>
        <v>0</v>
      </c>
      <c r="AC89">
        <f>IF($F89="s-curve",$D89+($E89-$D89)*$I$2/(1+EXP($I$3*(COUNT($O$9:AC$9)+$I$4))),TREND($D89:$E89,$D$9:$E$9,AC$9))</f>
        <v>0</v>
      </c>
      <c r="AD89">
        <f>IF($F89="s-curve",$D89+($E89-$D89)*$I$2/(1+EXP($I$3*(COUNT($O$9:AD$9)+$I$4))),TREND($D89:$E89,$D$9:$E$9,AD$9))</f>
        <v>0</v>
      </c>
      <c r="AE89">
        <f>IF($F89="s-curve",$D89+($E89-$D89)*$I$2/(1+EXP($I$3*(COUNT($O$9:AE$9)+$I$4))),TREND($D89:$E89,$D$9:$E$9,AE$9))</f>
        <v>0</v>
      </c>
      <c r="AF89">
        <f>IF($F89="s-curve",$D89+($E89-$D89)*$I$2/(1+EXP($I$3*(COUNT($O$9:AF$9)+$I$4))),TREND($D89:$E89,$D$9:$E$9,AF$9))</f>
        <v>0</v>
      </c>
      <c r="AG89">
        <f>IF($F89="s-curve",$D89+($E89-$D89)*$I$2/(1+EXP($I$3*(COUNT($O$9:AG$9)+$I$4))),TREND($D89:$E89,$D$9:$E$9,AG$9))</f>
        <v>0</v>
      </c>
      <c r="AH89">
        <f>IF($F89="s-curve",$D89+($E89-$D89)*$I$2/(1+EXP($I$3*(COUNT($O$9:AH$9)+$I$4))),TREND($D89:$E89,$D$9:$E$9,AH$9))</f>
        <v>0</v>
      </c>
      <c r="AI89">
        <f>IF($F89="s-curve",$D89+($E89-$D89)*$I$2/(1+EXP($I$3*(COUNT($O$9:AI$9)+$I$4))),TREND($D89:$E89,$D$9:$E$9,AI$9))</f>
        <v>0</v>
      </c>
      <c r="AJ89">
        <f>IF($F89="s-curve",$D89+($E89-$D89)*$I$2/(1+EXP($I$3*(COUNT($O$9:AJ$9)+$I$4))),TREND($D89:$E89,$D$9:$E$9,AJ$9))</f>
        <v>0</v>
      </c>
      <c r="AK89">
        <f>IF($F89="s-curve",$D89+($E89-$D89)*$I$2/(1+EXP($I$3*(COUNT($O$9:AK$9)+$I$4))),TREND($D89:$E89,$D$9:$E$9,AK$9))</f>
        <v>0</v>
      </c>
      <c r="AL89">
        <f>IF($F89="s-curve",$D89+($E89-$D89)*$I$2/(1+EXP($I$3*(COUNT($O$9:AL$9)+$I$4))),TREND($D89:$E89,$D$9:$E$9,AL$9))</f>
        <v>0</v>
      </c>
      <c r="AM89">
        <f>IF($F89="s-curve",$D89+($E89-$D89)*$I$2/(1+EXP($I$3*(COUNT($O$9:AM$9)+$I$4))),TREND($D89:$E89,$D$9:$E$9,AM$9))</f>
        <v>0</v>
      </c>
      <c r="AN89">
        <f>IF($F89="s-curve",$D89+($E89-$D89)*$I$2/(1+EXP($I$3*(COUNT($O$9:AN$9)+$I$4))),TREND($D89:$E89,$D$9:$E$9,AN$9))</f>
        <v>0</v>
      </c>
      <c r="AO89">
        <f>IF($F89="s-curve",$D89+($E89-$D89)*$I$2/(1+EXP($I$3*(COUNT($O$9:AO$9)+$I$4))),TREND($D89:$E89,$D$9:$E$9,AO$9))</f>
        <v>0</v>
      </c>
      <c r="AP89">
        <f>IF($F89="s-curve",$D89+($E89-$D89)*$I$2/(1+EXP($I$3*(COUNT($O$9:AP$9)+$I$4))),TREND($D89:$E89,$D$9:$E$9,AP$9))</f>
        <v>0</v>
      </c>
      <c r="AQ89">
        <f>IF($F89="s-curve",$D89+($E89-$D89)*$I$2/(1+EXP($I$3*(COUNT($O$9:AQ$9)+$I$4))),TREND($D89:$E89,$D$9:$E$9,AQ$9))</f>
        <v>0</v>
      </c>
      <c r="AR89">
        <f>IF($F89="s-curve",$D89+($E89-$D89)*$I$2/(1+EXP($I$3*(COUNT($O$9:AR$9)+$I$4))),TREND($D89:$E89,$D$9:$E$9,AR$9))</f>
        <v>0</v>
      </c>
      <c r="AS89">
        <f>IF($F89="s-curve",$D89+($E89-$D89)*$I$2/(1+EXP($I$3*(COUNT($O$9:AS$9)+$I$4))),TREND($D89:$E89,$D$9:$E$9,AS$9))</f>
        <v>0</v>
      </c>
      <c r="AT89">
        <f t="shared" si="18"/>
        <v>0</v>
      </c>
      <c r="AU89">
        <f t="shared" si="18"/>
        <v>0</v>
      </c>
      <c r="AV89">
        <f t="shared" si="18"/>
        <v>0</v>
      </c>
      <c r="AW89">
        <f t="shared" si="18"/>
        <v>0</v>
      </c>
      <c r="AX89">
        <f t="shared" si="18"/>
        <v>0</v>
      </c>
      <c r="AY89">
        <f t="shared" si="18"/>
        <v>0</v>
      </c>
      <c r="AZ89">
        <f t="shared" si="18"/>
        <v>0</v>
      </c>
      <c r="BA89">
        <f t="shared" si="18"/>
        <v>0</v>
      </c>
      <c r="BB89">
        <f t="shared" si="18"/>
        <v>0</v>
      </c>
      <c r="BC89">
        <f t="shared" si="18"/>
        <v>0</v>
      </c>
    </row>
    <row r="90" spans="1:55" x14ac:dyDescent="0.15">
      <c r="C90" t="s">
        <v>4</v>
      </c>
      <c r="D90">
        <v>0</v>
      </c>
      <c r="E90">
        <v>0</v>
      </c>
      <c r="F90" s="7" t="str">
        <f>IF(D90=E90,"n/a",IF(OR(C90="battery electric vehicle",C90="natural gas vehicle",C90="plugin hybrid vehicle"),"s-curve","linear"))</f>
        <v>n/a</v>
      </c>
      <c r="O90" s="22">
        <f t="shared" si="17"/>
        <v>0</v>
      </c>
      <c r="P90">
        <f>IF($F90="s-curve",$D90+($E90-$D90)*$I$2/(1+EXP($I$3*(COUNT($O$9:P$9)+$I$4))),TREND($D90:$E90,$D$9:$E$9,P$9))</f>
        <v>0</v>
      </c>
      <c r="Q90">
        <f>IF($F90="s-curve",$D90+($E90-$D90)*$I$2/(1+EXP($I$3*(COUNT($O$9:Q$9)+$I$4))),TREND($D90:$E90,$D$9:$E$9,Q$9))</f>
        <v>0</v>
      </c>
      <c r="R90">
        <f>IF($F90="s-curve",$D90+($E90-$D90)*$I$2/(1+EXP($I$3*(COUNT($O$9:R$9)+$I$4))),TREND($D90:$E90,$D$9:$E$9,R$9))</f>
        <v>0</v>
      </c>
      <c r="S90">
        <f>IF($F90="s-curve",$D90+($E90-$D90)*$I$2/(1+EXP($I$3*(COUNT($O$9:S$9)+$I$4))),TREND($D90:$E90,$D$9:$E$9,S$9))</f>
        <v>0</v>
      </c>
      <c r="T90">
        <f>IF($F90="s-curve",$D90+($E90-$D90)*$I$2/(1+EXP($I$3*(COUNT($O$9:T$9)+$I$4))),TREND($D90:$E90,$D$9:$E$9,T$9))</f>
        <v>0</v>
      </c>
      <c r="U90">
        <f>IF($F90="s-curve",$D90+($E90-$D90)*$I$2/(1+EXP($I$3*(COUNT($O$9:U$9)+$I$4))),TREND($D90:$E90,$D$9:$E$9,U$9))</f>
        <v>0</v>
      </c>
      <c r="V90">
        <f>IF($F90="s-curve",$D90+($E90-$D90)*$I$2/(1+EXP($I$3*(COUNT($O$9:V$9)+$I$4))),TREND($D90:$E90,$D$9:$E$9,V$9))</f>
        <v>0</v>
      </c>
      <c r="W90">
        <f>IF($F90="s-curve",$D90+($E90-$D90)*$I$2/(1+EXP($I$3*(COUNT($O$9:W$9)+$I$4))),TREND($D90:$E90,$D$9:$E$9,W$9))</f>
        <v>0</v>
      </c>
      <c r="X90">
        <f>IF($F90="s-curve",$D90+($E90-$D90)*$I$2/(1+EXP($I$3*(COUNT($O$9:X$9)+$I$4))),TREND($D90:$E90,$D$9:$E$9,X$9))</f>
        <v>0</v>
      </c>
      <c r="Y90">
        <f>IF($F90="s-curve",$D90+($E90-$D90)*$I$2/(1+EXP($I$3*(COUNT($O$9:Y$9)+$I$4))),TREND($D90:$E90,$D$9:$E$9,Y$9))</f>
        <v>0</v>
      </c>
      <c r="Z90">
        <f>IF($F90="s-curve",$D90+($E90-$D90)*$I$2/(1+EXP($I$3*(COUNT($O$9:Z$9)+$I$4))),TREND($D90:$E90,$D$9:$E$9,Z$9))</f>
        <v>0</v>
      </c>
      <c r="AA90">
        <f>IF($F90="s-curve",$D90+($E90-$D90)*$I$2/(1+EXP($I$3*(COUNT($O$9:AA$9)+$I$4))),TREND($D90:$E90,$D$9:$E$9,AA$9))</f>
        <v>0</v>
      </c>
      <c r="AB90">
        <f>IF($F90="s-curve",$D90+($E90-$D90)*$I$2/(1+EXP($I$3*(COUNT($O$9:AB$9)+$I$4))),TREND($D90:$E90,$D$9:$E$9,AB$9))</f>
        <v>0</v>
      </c>
      <c r="AC90">
        <f>IF($F90="s-curve",$D90+($E90-$D90)*$I$2/(1+EXP($I$3*(COUNT($O$9:AC$9)+$I$4))),TREND($D90:$E90,$D$9:$E$9,AC$9))</f>
        <v>0</v>
      </c>
      <c r="AD90">
        <f>IF($F90="s-curve",$D90+($E90-$D90)*$I$2/(1+EXP($I$3*(COUNT($O$9:AD$9)+$I$4))),TREND($D90:$E90,$D$9:$E$9,AD$9))</f>
        <v>0</v>
      </c>
      <c r="AE90">
        <f>IF($F90="s-curve",$D90+($E90-$D90)*$I$2/(1+EXP($I$3*(COUNT($O$9:AE$9)+$I$4))),TREND($D90:$E90,$D$9:$E$9,AE$9))</f>
        <v>0</v>
      </c>
      <c r="AF90">
        <f>IF($F90="s-curve",$D90+($E90-$D90)*$I$2/(1+EXP($I$3*(COUNT($O$9:AF$9)+$I$4))),TREND($D90:$E90,$D$9:$E$9,AF$9))</f>
        <v>0</v>
      </c>
      <c r="AG90">
        <f>IF($F90="s-curve",$D90+($E90-$D90)*$I$2/(1+EXP($I$3*(COUNT($O$9:AG$9)+$I$4))),TREND($D90:$E90,$D$9:$E$9,AG$9))</f>
        <v>0</v>
      </c>
      <c r="AH90">
        <f>IF($F90="s-curve",$D90+($E90-$D90)*$I$2/(1+EXP($I$3*(COUNT($O$9:AH$9)+$I$4))),TREND($D90:$E90,$D$9:$E$9,AH$9))</f>
        <v>0</v>
      </c>
      <c r="AI90">
        <f>IF($F90="s-curve",$D90+($E90-$D90)*$I$2/(1+EXP($I$3*(COUNT($O$9:AI$9)+$I$4))),TREND($D90:$E90,$D$9:$E$9,AI$9))</f>
        <v>0</v>
      </c>
      <c r="AJ90">
        <f>IF($F90="s-curve",$D90+($E90-$D90)*$I$2/(1+EXP($I$3*(COUNT($O$9:AJ$9)+$I$4))),TREND($D90:$E90,$D$9:$E$9,AJ$9))</f>
        <v>0</v>
      </c>
      <c r="AK90">
        <f>IF($F90="s-curve",$D90+($E90-$D90)*$I$2/(1+EXP($I$3*(COUNT($O$9:AK$9)+$I$4))),TREND($D90:$E90,$D$9:$E$9,AK$9))</f>
        <v>0</v>
      </c>
      <c r="AL90">
        <f>IF($F90="s-curve",$D90+($E90-$D90)*$I$2/(1+EXP($I$3*(COUNT($O$9:AL$9)+$I$4))),TREND($D90:$E90,$D$9:$E$9,AL$9))</f>
        <v>0</v>
      </c>
      <c r="AM90">
        <f>IF($F90="s-curve",$D90+($E90-$D90)*$I$2/(1+EXP($I$3*(COUNT($O$9:AM$9)+$I$4))),TREND($D90:$E90,$D$9:$E$9,AM$9))</f>
        <v>0</v>
      </c>
      <c r="AN90">
        <f>IF($F90="s-curve",$D90+($E90-$D90)*$I$2/(1+EXP($I$3*(COUNT($O$9:AN$9)+$I$4))),TREND($D90:$E90,$D$9:$E$9,AN$9))</f>
        <v>0</v>
      </c>
      <c r="AO90">
        <f>IF($F90="s-curve",$D90+($E90-$D90)*$I$2/(1+EXP($I$3*(COUNT($O$9:AO$9)+$I$4))),TREND($D90:$E90,$D$9:$E$9,AO$9))</f>
        <v>0</v>
      </c>
      <c r="AP90">
        <f>IF($F90="s-curve",$D90+($E90-$D90)*$I$2/(1+EXP($I$3*(COUNT($O$9:AP$9)+$I$4))),TREND($D90:$E90,$D$9:$E$9,AP$9))</f>
        <v>0</v>
      </c>
      <c r="AQ90">
        <f>IF($F90="s-curve",$D90+($E90-$D90)*$I$2/(1+EXP($I$3*(COUNT($O$9:AQ$9)+$I$4))),TREND($D90:$E90,$D$9:$E$9,AQ$9))</f>
        <v>0</v>
      </c>
      <c r="AR90">
        <f>IF($F90="s-curve",$D90+($E90-$D90)*$I$2/(1+EXP($I$3*(COUNT($O$9:AR$9)+$I$4))),TREND($D90:$E90,$D$9:$E$9,AR$9))</f>
        <v>0</v>
      </c>
      <c r="AS90">
        <f>IF($F90="s-curve",$D90+($E90-$D90)*$I$2/(1+EXP($I$3*(COUNT($O$9:AS$9)+$I$4))),TREND($D90:$E90,$D$9:$E$9,AS$9))</f>
        <v>0</v>
      </c>
      <c r="AT90">
        <f t="shared" si="18"/>
        <v>0</v>
      </c>
      <c r="AU90">
        <f t="shared" si="18"/>
        <v>0</v>
      </c>
      <c r="AV90">
        <f t="shared" si="18"/>
        <v>0</v>
      </c>
      <c r="AW90">
        <f t="shared" si="18"/>
        <v>0</v>
      </c>
      <c r="AX90">
        <f t="shared" si="18"/>
        <v>0</v>
      </c>
      <c r="AY90">
        <f t="shared" si="18"/>
        <v>0</v>
      </c>
      <c r="AZ90">
        <f t="shared" si="18"/>
        <v>0</v>
      </c>
      <c r="BA90">
        <f t="shared" si="18"/>
        <v>0</v>
      </c>
      <c r="BB90">
        <f t="shared" si="18"/>
        <v>0</v>
      </c>
      <c r="BC90">
        <f t="shared" si="18"/>
        <v>0</v>
      </c>
    </row>
    <row r="91" spans="1:55" x14ac:dyDescent="0.15">
      <c r="C91" t="s">
        <v>5</v>
      </c>
      <c r="D91">
        <v>0</v>
      </c>
      <c r="E91">
        <v>0</v>
      </c>
      <c r="F91" s="7" t="str">
        <f>IF(D91=E91,"n/a",IF(OR(C91="battery electric vehicle",C91="natural gas vehicle",C91="plugin hybrid vehicle"),"s-curve","linear"))</f>
        <v>n/a</v>
      </c>
      <c r="O91" s="22">
        <f t="shared" si="17"/>
        <v>0</v>
      </c>
      <c r="P91">
        <f>IF($F91="s-curve",$D91+($E91-$D91)*$I$2/(1+EXP($I$3*(COUNT($O$9:P$9)+$I$4))),TREND($D91:$E91,$D$9:$E$9,P$9))</f>
        <v>0</v>
      </c>
      <c r="Q91">
        <f>IF($F91="s-curve",$D91+($E91-$D91)*$I$2/(1+EXP($I$3*(COUNT($O$9:Q$9)+$I$4))),TREND($D91:$E91,$D$9:$E$9,Q$9))</f>
        <v>0</v>
      </c>
      <c r="R91">
        <f>IF($F91="s-curve",$D91+($E91-$D91)*$I$2/(1+EXP($I$3*(COUNT($O$9:R$9)+$I$4))),TREND($D91:$E91,$D$9:$E$9,R$9))</f>
        <v>0</v>
      </c>
      <c r="S91">
        <f>IF($F91="s-curve",$D91+($E91-$D91)*$I$2/(1+EXP($I$3*(COUNT($O$9:S$9)+$I$4))),TREND($D91:$E91,$D$9:$E$9,S$9))</f>
        <v>0</v>
      </c>
      <c r="T91">
        <f>IF($F91="s-curve",$D91+($E91-$D91)*$I$2/(1+EXP($I$3*(COUNT($O$9:T$9)+$I$4))),TREND($D91:$E91,$D$9:$E$9,T$9))</f>
        <v>0</v>
      </c>
      <c r="U91">
        <f>IF($F91="s-curve",$D91+($E91-$D91)*$I$2/(1+EXP($I$3*(COUNT($O$9:U$9)+$I$4))),TREND($D91:$E91,$D$9:$E$9,U$9))</f>
        <v>0</v>
      </c>
      <c r="V91">
        <f>IF($F91="s-curve",$D91+($E91-$D91)*$I$2/(1+EXP($I$3*(COUNT($O$9:V$9)+$I$4))),TREND($D91:$E91,$D$9:$E$9,V$9))</f>
        <v>0</v>
      </c>
      <c r="W91">
        <f>IF($F91="s-curve",$D91+($E91-$D91)*$I$2/(1+EXP($I$3*(COUNT($O$9:W$9)+$I$4))),TREND($D91:$E91,$D$9:$E$9,W$9))</f>
        <v>0</v>
      </c>
      <c r="X91">
        <f>IF($F91="s-curve",$D91+($E91-$D91)*$I$2/(1+EXP($I$3*(COUNT($O$9:X$9)+$I$4))),TREND($D91:$E91,$D$9:$E$9,X$9))</f>
        <v>0</v>
      </c>
      <c r="Y91">
        <f>IF($F91="s-curve",$D91+($E91-$D91)*$I$2/(1+EXP($I$3*(COUNT($O$9:Y$9)+$I$4))),TREND($D91:$E91,$D$9:$E$9,Y$9))</f>
        <v>0</v>
      </c>
      <c r="Z91">
        <f>IF($F91="s-curve",$D91+($E91-$D91)*$I$2/(1+EXP($I$3*(COUNT($O$9:Z$9)+$I$4))),TREND($D91:$E91,$D$9:$E$9,Z$9))</f>
        <v>0</v>
      </c>
      <c r="AA91">
        <f>IF($F91="s-curve",$D91+($E91-$D91)*$I$2/(1+EXP($I$3*(COUNT($O$9:AA$9)+$I$4))),TREND($D91:$E91,$D$9:$E$9,AA$9))</f>
        <v>0</v>
      </c>
      <c r="AB91">
        <f>IF($F91="s-curve",$D91+($E91-$D91)*$I$2/(1+EXP($I$3*(COUNT($O$9:AB$9)+$I$4))),TREND($D91:$E91,$D$9:$E$9,AB$9))</f>
        <v>0</v>
      </c>
      <c r="AC91">
        <f>IF($F91="s-curve",$D91+($E91-$D91)*$I$2/(1+EXP($I$3*(COUNT($O$9:AC$9)+$I$4))),TREND($D91:$E91,$D$9:$E$9,AC$9))</f>
        <v>0</v>
      </c>
      <c r="AD91">
        <f>IF($F91="s-curve",$D91+($E91-$D91)*$I$2/(1+EXP($I$3*(COUNT($O$9:AD$9)+$I$4))),TREND($D91:$E91,$D$9:$E$9,AD$9))</f>
        <v>0</v>
      </c>
      <c r="AE91">
        <f>IF($F91="s-curve",$D91+($E91-$D91)*$I$2/(1+EXP($I$3*(COUNT($O$9:AE$9)+$I$4))),TREND($D91:$E91,$D$9:$E$9,AE$9))</f>
        <v>0</v>
      </c>
      <c r="AF91">
        <f>IF($F91="s-curve",$D91+($E91-$D91)*$I$2/(1+EXP($I$3*(COUNT($O$9:AF$9)+$I$4))),TREND($D91:$E91,$D$9:$E$9,AF$9))</f>
        <v>0</v>
      </c>
      <c r="AG91">
        <f>IF($F91="s-curve",$D91+($E91-$D91)*$I$2/(1+EXP($I$3*(COUNT($O$9:AG$9)+$I$4))),TREND($D91:$E91,$D$9:$E$9,AG$9))</f>
        <v>0</v>
      </c>
      <c r="AH91">
        <f>IF($F91="s-curve",$D91+($E91-$D91)*$I$2/(1+EXP($I$3*(COUNT($O$9:AH$9)+$I$4))),TREND($D91:$E91,$D$9:$E$9,AH$9))</f>
        <v>0</v>
      </c>
      <c r="AI91">
        <f>IF($F91="s-curve",$D91+($E91-$D91)*$I$2/(1+EXP($I$3*(COUNT($O$9:AI$9)+$I$4))),TREND($D91:$E91,$D$9:$E$9,AI$9))</f>
        <v>0</v>
      </c>
      <c r="AJ91">
        <f>IF($F91="s-curve",$D91+($E91-$D91)*$I$2/(1+EXP($I$3*(COUNT($O$9:AJ$9)+$I$4))),TREND($D91:$E91,$D$9:$E$9,AJ$9))</f>
        <v>0</v>
      </c>
      <c r="AK91">
        <f>IF($F91="s-curve",$D91+($E91-$D91)*$I$2/(1+EXP($I$3*(COUNT($O$9:AK$9)+$I$4))),TREND($D91:$E91,$D$9:$E$9,AK$9))</f>
        <v>0</v>
      </c>
      <c r="AL91">
        <f>IF($F91="s-curve",$D91+($E91-$D91)*$I$2/(1+EXP($I$3*(COUNT($O$9:AL$9)+$I$4))),TREND($D91:$E91,$D$9:$E$9,AL$9))</f>
        <v>0</v>
      </c>
      <c r="AM91">
        <f>IF($F91="s-curve",$D91+($E91-$D91)*$I$2/(1+EXP($I$3*(COUNT($O$9:AM$9)+$I$4))),TREND($D91:$E91,$D$9:$E$9,AM$9))</f>
        <v>0</v>
      </c>
      <c r="AN91">
        <f>IF($F91="s-curve",$D91+($E91-$D91)*$I$2/(1+EXP($I$3*(COUNT($O$9:AN$9)+$I$4))),TREND($D91:$E91,$D$9:$E$9,AN$9))</f>
        <v>0</v>
      </c>
      <c r="AO91">
        <f>IF($F91="s-curve",$D91+($E91-$D91)*$I$2/(1+EXP($I$3*(COUNT($O$9:AO$9)+$I$4))),TREND($D91:$E91,$D$9:$E$9,AO$9))</f>
        <v>0</v>
      </c>
      <c r="AP91">
        <f>IF($F91="s-curve",$D91+($E91-$D91)*$I$2/(1+EXP($I$3*(COUNT($O$9:AP$9)+$I$4))),TREND($D91:$E91,$D$9:$E$9,AP$9))</f>
        <v>0</v>
      </c>
      <c r="AQ91">
        <f>IF($F91="s-curve",$D91+($E91-$D91)*$I$2/(1+EXP($I$3*(COUNT($O$9:AQ$9)+$I$4))),TREND($D91:$E91,$D$9:$E$9,AQ$9))</f>
        <v>0</v>
      </c>
      <c r="AR91">
        <f>IF($F91="s-curve",$D91+($E91-$D91)*$I$2/(1+EXP($I$3*(COUNT($O$9:AR$9)+$I$4))),TREND($D91:$E91,$D$9:$E$9,AR$9))</f>
        <v>0</v>
      </c>
      <c r="AS91">
        <f>IF($F91="s-curve",$D91+($E91-$D91)*$I$2/(1+EXP($I$3*(COUNT($O$9:AS$9)+$I$4))),TREND($D91:$E91,$D$9:$E$9,AS$9))</f>
        <v>0</v>
      </c>
      <c r="AT91">
        <f t="shared" si="18"/>
        <v>0</v>
      </c>
      <c r="AU91">
        <f t="shared" si="18"/>
        <v>0</v>
      </c>
      <c r="AV91">
        <f t="shared" si="18"/>
        <v>0</v>
      </c>
      <c r="AW91">
        <f t="shared" si="18"/>
        <v>0</v>
      </c>
      <c r="AX91">
        <f t="shared" si="18"/>
        <v>0</v>
      </c>
      <c r="AY91">
        <f t="shared" si="18"/>
        <v>0</v>
      </c>
      <c r="AZ91">
        <f t="shared" si="18"/>
        <v>0</v>
      </c>
      <c r="BA91">
        <f t="shared" si="18"/>
        <v>0</v>
      </c>
      <c r="BB91">
        <f t="shared" si="18"/>
        <v>0</v>
      </c>
      <c r="BC91">
        <f t="shared" si="18"/>
        <v>0</v>
      </c>
    </row>
    <row r="92" spans="1:55" x14ac:dyDescent="0.15">
      <c r="C92" t="s">
        <v>125</v>
      </c>
      <c r="D92">
        <v>0</v>
      </c>
      <c r="E92">
        <v>0</v>
      </c>
      <c r="F92" s="7" t="str">
        <f>IF(D92=E92,"n/a",IF(OR(C92="battery electric vehicle",C92="natural gas vehicle",C92="plugin hybrid vehicle",C92="hydrogen vehicle"),"s-curve","linear"))</f>
        <v>n/a</v>
      </c>
      <c r="O92" s="22">
        <f t="shared" si="17"/>
        <v>0</v>
      </c>
      <c r="P92">
        <f>IF($F92="s-curve",$D92+($E92-$D92)*$I$2/(1+EXP($I$3*(COUNT($O$9:P$9)+$I$4))),TREND($D92:$E92,$D$9:$E$9,P$9))</f>
        <v>0</v>
      </c>
      <c r="Q92">
        <f>IF($F92="s-curve",$D92+($E92-$D92)*$I$2/(1+EXP($I$3*(COUNT($O$9:Q$9)+$I$4))),TREND($D92:$E92,$D$9:$E$9,Q$9))</f>
        <v>0</v>
      </c>
      <c r="R92">
        <f>IF($F92="s-curve",$D92+($E92-$D92)*$I$2/(1+EXP($I$3*(COUNT($O$9:R$9)+$I$4))),TREND($D92:$E92,$D$9:$E$9,R$9))</f>
        <v>0</v>
      </c>
      <c r="S92">
        <f>IF($F92="s-curve",$D92+($E92-$D92)*$I$2/(1+EXP($I$3*(COUNT($O$9:S$9)+$I$4))),TREND($D92:$E92,$D$9:$E$9,S$9))</f>
        <v>0</v>
      </c>
      <c r="T92">
        <f>IF($F92="s-curve",$D92+($E92-$D92)*$I$2/(1+EXP($I$3*(COUNT($O$9:T$9)+$I$4))),TREND($D92:$E92,$D$9:$E$9,T$9))</f>
        <v>0</v>
      </c>
      <c r="U92">
        <f>IF($F92="s-curve",$D92+($E92-$D92)*$I$2/(1+EXP($I$3*(COUNT($O$9:U$9)+$I$4))),TREND($D92:$E92,$D$9:$E$9,U$9))</f>
        <v>0</v>
      </c>
      <c r="V92">
        <f>IF($F92="s-curve",$D92+($E92-$D92)*$I$2/(1+EXP($I$3*(COUNT($O$9:V$9)+$I$4))),TREND($D92:$E92,$D$9:$E$9,V$9))</f>
        <v>0</v>
      </c>
      <c r="W92">
        <f>IF($F92="s-curve",$D92+($E92-$D92)*$I$2/(1+EXP($I$3*(COUNT($O$9:W$9)+$I$4))),TREND($D92:$E92,$D$9:$E$9,W$9))</f>
        <v>0</v>
      </c>
      <c r="X92">
        <f>IF($F92="s-curve",$D92+($E92-$D92)*$I$2/(1+EXP($I$3*(COUNT($O$9:X$9)+$I$4))),TREND($D92:$E92,$D$9:$E$9,X$9))</f>
        <v>0</v>
      </c>
      <c r="Y92">
        <f>IF($F92="s-curve",$D92+($E92-$D92)*$I$2/(1+EXP($I$3*(COUNT($O$9:Y$9)+$I$4))),TREND($D92:$E92,$D$9:$E$9,Y$9))</f>
        <v>0</v>
      </c>
      <c r="Z92">
        <f>IF($F92="s-curve",$D92+($E92-$D92)*$I$2/(1+EXP($I$3*(COUNT($O$9:Z$9)+$I$4))),TREND($D92:$E92,$D$9:$E$9,Z$9))</f>
        <v>0</v>
      </c>
      <c r="AA92">
        <f>IF($F92="s-curve",$D92+($E92-$D92)*$I$2/(1+EXP($I$3*(COUNT($O$9:AA$9)+$I$4))),TREND($D92:$E92,$D$9:$E$9,AA$9))</f>
        <v>0</v>
      </c>
      <c r="AB92">
        <f>IF($F92="s-curve",$D92+($E92-$D92)*$I$2/(1+EXP($I$3*(COUNT($O$9:AB$9)+$I$4))),TREND($D92:$E92,$D$9:$E$9,AB$9))</f>
        <v>0</v>
      </c>
      <c r="AC92">
        <f>IF($F92="s-curve",$D92+($E92-$D92)*$I$2/(1+EXP($I$3*(COUNT($O$9:AC$9)+$I$4))),TREND($D92:$E92,$D$9:$E$9,AC$9))</f>
        <v>0</v>
      </c>
      <c r="AD92">
        <f>IF($F92="s-curve",$D92+($E92-$D92)*$I$2/(1+EXP($I$3*(COUNT($O$9:AD$9)+$I$4))),TREND($D92:$E92,$D$9:$E$9,AD$9))</f>
        <v>0</v>
      </c>
      <c r="AE92">
        <f>IF($F92="s-curve",$D92+($E92-$D92)*$I$2/(1+EXP($I$3*(COUNT($O$9:AE$9)+$I$4))),TREND($D92:$E92,$D$9:$E$9,AE$9))</f>
        <v>0</v>
      </c>
      <c r="AF92">
        <f>IF($F92="s-curve",$D92+($E92-$D92)*$I$2/(1+EXP($I$3*(COUNT($O$9:AF$9)+$I$4))),TREND($D92:$E92,$D$9:$E$9,AF$9))</f>
        <v>0</v>
      </c>
      <c r="AG92">
        <f>IF($F92="s-curve",$D92+($E92-$D92)*$I$2/(1+EXP($I$3*(COUNT($O$9:AG$9)+$I$4))),TREND($D92:$E92,$D$9:$E$9,AG$9))</f>
        <v>0</v>
      </c>
      <c r="AH92">
        <f>IF($F92="s-curve",$D92+($E92-$D92)*$I$2/(1+EXP($I$3*(COUNT($O$9:AH$9)+$I$4))),TREND($D92:$E92,$D$9:$E$9,AH$9))</f>
        <v>0</v>
      </c>
      <c r="AI92">
        <f>IF($F92="s-curve",$D92+($E92-$D92)*$I$2/(1+EXP($I$3*(COUNT($O$9:AI$9)+$I$4))),TREND($D92:$E92,$D$9:$E$9,AI$9))</f>
        <v>0</v>
      </c>
      <c r="AJ92">
        <f>IF($F92="s-curve",$D92+($E92-$D92)*$I$2/(1+EXP($I$3*(COUNT($O$9:AJ$9)+$I$4))),TREND($D92:$E92,$D$9:$E$9,AJ$9))</f>
        <v>0</v>
      </c>
      <c r="AK92">
        <f>IF($F92="s-curve",$D92+($E92-$D92)*$I$2/(1+EXP($I$3*(COUNT($O$9:AK$9)+$I$4))),TREND($D92:$E92,$D$9:$E$9,AK$9))</f>
        <v>0</v>
      </c>
      <c r="AL92">
        <f>IF($F92="s-curve",$D92+($E92-$D92)*$I$2/(1+EXP($I$3*(COUNT($O$9:AL$9)+$I$4))),TREND($D92:$E92,$D$9:$E$9,AL$9))</f>
        <v>0</v>
      </c>
      <c r="AM92">
        <f>IF($F92="s-curve",$D92+($E92-$D92)*$I$2/(1+EXP($I$3*(COUNT($O$9:AM$9)+$I$4))),TREND($D92:$E92,$D$9:$E$9,AM$9))</f>
        <v>0</v>
      </c>
      <c r="AN92">
        <f>IF($F92="s-curve",$D92+($E92-$D92)*$I$2/(1+EXP($I$3*(COUNT($O$9:AN$9)+$I$4))),TREND($D92:$E92,$D$9:$E$9,AN$9))</f>
        <v>0</v>
      </c>
      <c r="AO92">
        <f>IF($F92="s-curve",$D92+($E92-$D92)*$I$2/(1+EXP($I$3*(COUNT($O$9:AO$9)+$I$4))),TREND($D92:$E92,$D$9:$E$9,AO$9))</f>
        <v>0</v>
      </c>
      <c r="AP92">
        <f>IF($F92="s-curve",$D92+($E92-$D92)*$I$2/(1+EXP($I$3*(COUNT($O$9:AP$9)+$I$4))),TREND($D92:$E92,$D$9:$E$9,AP$9))</f>
        <v>0</v>
      </c>
      <c r="AQ92">
        <f>IF($F92="s-curve",$D92+($E92-$D92)*$I$2/(1+EXP($I$3*(COUNT($O$9:AQ$9)+$I$4))),TREND($D92:$E92,$D$9:$E$9,AQ$9))</f>
        <v>0</v>
      </c>
      <c r="AR92">
        <f>IF($F92="s-curve",$D92+($E92-$D92)*$I$2/(1+EXP($I$3*(COUNT($O$9:AR$9)+$I$4))),TREND($D92:$E92,$D$9:$E$9,AR$9))</f>
        <v>0</v>
      </c>
      <c r="AS92">
        <f>IF($F92="s-curve",$D92+($E92-$D92)*$I$2/(1+EXP($I$3*(COUNT($O$9:AS$9)+$I$4))),TREND($D92:$E92,$D$9:$E$9,AS$9))</f>
        <v>0</v>
      </c>
      <c r="AT92">
        <f t="shared" si="18"/>
        <v>0</v>
      </c>
      <c r="AU92">
        <f t="shared" si="18"/>
        <v>0</v>
      </c>
      <c r="AV92">
        <f t="shared" si="18"/>
        <v>0</v>
      </c>
      <c r="AW92">
        <f t="shared" si="18"/>
        <v>0</v>
      </c>
      <c r="AX92">
        <f t="shared" si="18"/>
        <v>0</v>
      </c>
      <c r="AY92">
        <f t="shared" si="18"/>
        <v>0</v>
      </c>
      <c r="AZ92">
        <f t="shared" si="18"/>
        <v>0</v>
      </c>
      <c r="BA92">
        <f t="shared" si="18"/>
        <v>0</v>
      </c>
      <c r="BB92">
        <f t="shared" si="18"/>
        <v>0</v>
      </c>
      <c r="BC92">
        <f t="shared" si="18"/>
        <v>0</v>
      </c>
    </row>
    <row r="93" spans="1:55" ht="13.6" thickBot="1" x14ac:dyDescent="0.2">
      <c r="A93" s="23"/>
      <c r="B93" s="23"/>
      <c r="C93" s="23" t="s">
        <v>126</v>
      </c>
      <c r="D93" s="23">
        <v>0</v>
      </c>
      <c r="E93" s="23">
        <v>0</v>
      </c>
      <c r="F93" s="8" t="str">
        <f>IF(D93=E93,"n/a",IF(OR(C93="battery electric vehicle",C93="natural gas vehicle",C93="plugin hybrid vehicle",C93="hydrogen vehicle"),"s-curve","linear"))</f>
        <v>n/a</v>
      </c>
      <c r="O93" s="22">
        <f t="shared" si="17"/>
        <v>0</v>
      </c>
      <c r="P93">
        <f>IF($F93="s-curve",$D93+($E93-$D93)*$I$2/(1+EXP($I$3*(COUNT($O$9:P$9)+$I$4))),TREND($D93:$E93,$D$9:$E$9,P$9))</f>
        <v>0</v>
      </c>
      <c r="Q93">
        <f>IF($F93="s-curve",$D93+($E93-$D93)*$I$2/(1+EXP($I$3*(COUNT($O$9:Q$9)+$I$4))),TREND($D93:$E93,$D$9:$E$9,Q$9))</f>
        <v>0</v>
      </c>
      <c r="R93">
        <f>IF($F93="s-curve",$D93+($E93-$D93)*$I$2/(1+EXP($I$3*(COUNT($O$9:R$9)+$I$4))),TREND($D93:$E93,$D$9:$E$9,R$9))</f>
        <v>0</v>
      </c>
      <c r="S93">
        <f>IF($F93="s-curve",$D93+($E93-$D93)*$I$2/(1+EXP($I$3*(COUNT($O$9:S$9)+$I$4))),TREND($D93:$E93,$D$9:$E$9,S$9))</f>
        <v>0</v>
      </c>
      <c r="T93">
        <f>IF($F93="s-curve",$D93+($E93-$D93)*$I$2/(1+EXP($I$3*(COUNT($O$9:T$9)+$I$4))),TREND($D93:$E93,$D$9:$E$9,T$9))</f>
        <v>0</v>
      </c>
      <c r="U93">
        <f>IF($F93="s-curve",$D93+($E93-$D93)*$I$2/(1+EXP($I$3*(COUNT($O$9:U$9)+$I$4))),TREND($D93:$E93,$D$9:$E$9,U$9))</f>
        <v>0</v>
      </c>
      <c r="V93">
        <f>IF($F93="s-curve",$D93+($E93-$D93)*$I$2/(1+EXP($I$3*(COUNT($O$9:V$9)+$I$4))),TREND($D93:$E93,$D$9:$E$9,V$9))</f>
        <v>0</v>
      </c>
      <c r="W93">
        <f>IF($F93="s-curve",$D93+($E93-$D93)*$I$2/(1+EXP($I$3*(COUNT($O$9:W$9)+$I$4))),TREND($D93:$E93,$D$9:$E$9,W$9))</f>
        <v>0</v>
      </c>
      <c r="X93">
        <f>IF($F93="s-curve",$D93+($E93-$D93)*$I$2/(1+EXP($I$3*(COUNT($O$9:X$9)+$I$4))),TREND($D93:$E93,$D$9:$E$9,X$9))</f>
        <v>0</v>
      </c>
      <c r="Y93">
        <f>IF($F93="s-curve",$D93+($E93-$D93)*$I$2/(1+EXP($I$3*(COUNT($O$9:Y$9)+$I$4))),TREND($D93:$E93,$D$9:$E$9,Y$9))</f>
        <v>0</v>
      </c>
      <c r="Z93">
        <f>IF($F93="s-curve",$D93+($E93-$D93)*$I$2/(1+EXP($I$3*(COUNT($O$9:Z$9)+$I$4))),TREND($D93:$E93,$D$9:$E$9,Z$9))</f>
        <v>0</v>
      </c>
      <c r="AA93">
        <f>IF($F93="s-curve",$D93+($E93-$D93)*$I$2/(1+EXP($I$3*(COUNT($O$9:AA$9)+$I$4))),TREND($D93:$E93,$D$9:$E$9,AA$9))</f>
        <v>0</v>
      </c>
      <c r="AB93">
        <f>IF($F93="s-curve",$D93+($E93-$D93)*$I$2/(1+EXP($I$3*(COUNT($O$9:AB$9)+$I$4))),TREND($D93:$E93,$D$9:$E$9,AB$9))</f>
        <v>0</v>
      </c>
      <c r="AC93">
        <f>IF($F93="s-curve",$D93+($E93-$D93)*$I$2/(1+EXP($I$3*(COUNT($O$9:AC$9)+$I$4))),TREND($D93:$E93,$D$9:$E$9,AC$9))</f>
        <v>0</v>
      </c>
      <c r="AD93">
        <f>IF($F93="s-curve",$D93+($E93-$D93)*$I$2/(1+EXP($I$3*(COUNT($O$9:AD$9)+$I$4))),TREND($D93:$E93,$D$9:$E$9,AD$9))</f>
        <v>0</v>
      </c>
      <c r="AE93">
        <f>IF($F93="s-curve",$D93+($E93-$D93)*$I$2/(1+EXP($I$3*(COUNT($O$9:AE$9)+$I$4))),TREND($D93:$E93,$D$9:$E$9,AE$9))</f>
        <v>0</v>
      </c>
      <c r="AF93">
        <f>IF($F93="s-curve",$D93+($E93-$D93)*$I$2/(1+EXP($I$3*(COUNT($O$9:AF$9)+$I$4))),TREND($D93:$E93,$D$9:$E$9,AF$9))</f>
        <v>0</v>
      </c>
      <c r="AG93">
        <f>IF($F93="s-curve",$D93+($E93-$D93)*$I$2/(1+EXP($I$3*(COUNT($O$9:AG$9)+$I$4))),TREND($D93:$E93,$D$9:$E$9,AG$9))</f>
        <v>0</v>
      </c>
      <c r="AH93">
        <f>IF($F93="s-curve",$D93+($E93-$D93)*$I$2/(1+EXP($I$3*(COUNT($O$9:AH$9)+$I$4))),TREND($D93:$E93,$D$9:$E$9,AH$9))</f>
        <v>0</v>
      </c>
      <c r="AI93">
        <f>IF($F93="s-curve",$D93+($E93-$D93)*$I$2/(1+EXP($I$3*(COUNT($O$9:AI$9)+$I$4))),TREND($D93:$E93,$D$9:$E$9,AI$9))</f>
        <v>0</v>
      </c>
      <c r="AJ93">
        <f>IF($F93="s-curve",$D93+($E93-$D93)*$I$2/(1+EXP($I$3*(COUNT($O$9:AJ$9)+$I$4))),TREND($D93:$E93,$D$9:$E$9,AJ$9))</f>
        <v>0</v>
      </c>
      <c r="AK93">
        <f>IF($F93="s-curve",$D93+($E93-$D93)*$I$2/(1+EXP($I$3*(COUNT($O$9:AK$9)+$I$4))),TREND($D93:$E93,$D$9:$E$9,AK$9))</f>
        <v>0</v>
      </c>
      <c r="AL93">
        <f>IF($F93="s-curve",$D93+($E93-$D93)*$I$2/(1+EXP($I$3*(COUNT($O$9:AL$9)+$I$4))),TREND($D93:$E93,$D$9:$E$9,AL$9))</f>
        <v>0</v>
      </c>
      <c r="AM93">
        <f>IF($F93="s-curve",$D93+($E93-$D93)*$I$2/(1+EXP($I$3*(COUNT($O$9:AM$9)+$I$4))),TREND($D93:$E93,$D$9:$E$9,AM$9))</f>
        <v>0</v>
      </c>
      <c r="AN93">
        <f>IF($F93="s-curve",$D93+($E93-$D93)*$I$2/(1+EXP($I$3*(COUNT($O$9:AN$9)+$I$4))),TREND($D93:$E93,$D$9:$E$9,AN$9))</f>
        <v>0</v>
      </c>
      <c r="AO93">
        <f>IF($F93="s-curve",$D93+($E93-$D93)*$I$2/(1+EXP($I$3*(COUNT($O$9:AO$9)+$I$4))),TREND($D93:$E93,$D$9:$E$9,AO$9))</f>
        <v>0</v>
      </c>
      <c r="AP93">
        <f>IF($F93="s-curve",$D93+($E93-$D93)*$I$2/(1+EXP($I$3*(COUNT($O$9:AP$9)+$I$4))),TREND($D93:$E93,$D$9:$E$9,AP$9))</f>
        <v>0</v>
      </c>
      <c r="AQ93">
        <f>IF($F93="s-curve",$D93+($E93-$D93)*$I$2/(1+EXP($I$3*(COUNT($O$9:AQ$9)+$I$4))),TREND($D93:$E93,$D$9:$E$9,AQ$9))</f>
        <v>0</v>
      </c>
      <c r="AR93">
        <f>IF($F93="s-curve",$D93+($E93-$D93)*$I$2/(1+EXP($I$3*(COUNT($O$9:AR$9)+$I$4))),TREND($D93:$E93,$D$9:$E$9,AR$9))</f>
        <v>0</v>
      </c>
      <c r="AS93">
        <f>IF($F93="s-curve",$D93+($E93-$D93)*$I$2/(1+EXP($I$3*(COUNT($O$9:AS$9)+$I$4))),TREND($D93:$E93,$D$9:$E$9,AS$9))</f>
        <v>0</v>
      </c>
      <c r="AT93">
        <f t="shared" si="18"/>
        <v>0</v>
      </c>
      <c r="AU93">
        <f t="shared" si="18"/>
        <v>0</v>
      </c>
      <c r="AV93">
        <f t="shared" si="18"/>
        <v>0</v>
      </c>
      <c r="AW93">
        <f t="shared" si="18"/>
        <v>0</v>
      </c>
      <c r="AX93">
        <f t="shared" si="18"/>
        <v>0</v>
      </c>
      <c r="AY93">
        <f t="shared" si="18"/>
        <v>0</v>
      </c>
      <c r="AZ93">
        <f t="shared" si="18"/>
        <v>0</v>
      </c>
      <c r="BA93">
        <f t="shared" si="18"/>
        <v>0</v>
      </c>
      <c r="BB93">
        <f t="shared" si="18"/>
        <v>0</v>
      </c>
      <c r="BC93">
        <f t="shared" si="18"/>
        <v>0</v>
      </c>
    </row>
  </sheetData>
  <phoneticPr fontId="10" type="noConversion"/>
  <pageMargins left="0.7" right="0.7" top="0.75" bottom="0.75" header="0.3" footer="0.3"/>
  <pageSetup orientation="portrait" horizontalDpi="4294967293" vertic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3462-A8EA-4F4A-ACD9-085A4A841FF4}">
  <dimension ref="A1:AV3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RowHeight="12.9" x14ac:dyDescent="0.15"/>
  <cols>
    <col min="1" max="1" width="20.625" style="36" bestFit="1" customWidth="1"/>
    <col min="2" max="2" width="14.25" style="36" bestFit="1" customWidth="1"/>
    <col min="3" max="16384" width="9" style="36"/>
  </cols>
  <sheetData>
    <row r="1" spans="1:48" x14ac:dyDescent="0.15">
      <c r="A1" s="49" t="s">
        <v>1060</v>
      </c>
      <c r="B1" s="36">
        <v>1</v>
      </c>
      <c r="C1" s="168">
        <v>2015</v>
      </c>
      <c r="D1" s="167">
        <v>2016</v>
      </c>
      <c r="E1" s="167">
        <v>2017</v>
      </c>
      <c r="F1" s="167">
        <v>2018</v>
      </c>
      <c r="G1" s="167">
        <v>2019</v>
      </c>
      <c r="H1" s="166">
        <v>2020</v>
      </c>
      <c r="I1" s="168">
        <v>2021</v>
      </c>
      <c r="J1" s="167">
        <v>2022</v>
      </c>
      <c r="K1" s="167">
        <v>2023</v>
      </c>
      <c r="L1" s="167">
        <v>2024</v>
      </c>
      <c r="M1" s="167">
        <v>2025</v>
      </c>
      <c r="N1" s="168">
        <v>2026</v>
      </c>
      <c r="O1" s="167">
        <v>2027</v>
      </c>
      <c r="P1" s="167">
        <v>2028</v>
      </c>
      <c r="Q1" s="167">
        <v>2029</v>
      </c>
      <c r="R1" s="166">
        <v>2030</v>
      </c>
      <c r="S1" s="168">
        <v>2031</v>
      </c>
      <c r="T1" s="167">
        <v>2032</v>
      </c>
      <c r="U1" s="167">
        <v>2033</v>
      </c>
      <c r="V1" s="167">
        <v>2034</v>
      </c>
      <c r="W1" s="166">
        <v>2035</v>
      </c>
      <c r="X1" s="168">
        <v>2036</v>
      </c>
      <c r="Y1" s="167">
        <v>2037</v>
      </c>
      <c r="Z1" s="167">
        <v>2038</v>
      </c>
      <c r="AA1" s="167">
        <v>2039</v>
      </c>
      <c r="AB1" s="166">
        <v>2040</v>
      </c>
      <c r="AC1" s="168">
        <v>2041</v>
      </c>
      <c r="AD1" s="167">
        <v>2042</v>
      </c>
      <c r="AE1" s="167">
        <v>2043</v>
      </c>
      <c r="AF1" s="167">
        <v>2044</v>
      </c>
      <c r="AG1" s="166">
        <v>2045</v>
      </c>
      <c r="AH1" s="168">
        <v>2046</v>
      </c>
      <c r="AI1" s="167">
        <v>2047</v>
      </c>
      <c r="AJ1" s="167">
        <v>2048</v>
      </c>
      <c r="AK1" s="167">
        <v>2049</v>
      </c>
      <c r="AL1" s="166">
        <v>2050</v>
      </c>
      <c r="AM1" s="168">
        <v>2051</v>
      </c>
      <c r="AN1" s="167">
        <v>2052</v>
      </c>
      <c r="AO1" s="167">
        <v>2053</v>
      </c>
      <c r="AP1" s="167">
        <v>2054</v>
      </c>
      <c r="AQ1" s="166">
        <v>2055</v>
      </c>
      <c r="AR1" s="168">
        <v>2056</v>
      </c>
      <c r="AS1" s="167">
        <v>2057</v>
      </c>
      <c r="AT1" s="167">
        <v>2058</v>
      </c>
      <c r="AU1" s="167">
        <v>2059</v>
      </c>
      <c r="AV1" s="166">
        <v>2060</v>
      </c>
    </row>
    <row r="2" spans="1:48" x14ac:dyDescent="0.15">
      <c r="A2" s="156" t="s">
        <v>1</v>
      </c>
      <c r="B2" s="165" t="s">
        <v>987</v>
      </c>
      <c r="C2" s="145" cm="1">
        <f t="array" ref="C2:I8">TRANSPOSE('Pivot Table'!O4:U10)</f>
        <v>1.0156176506608969E-2</v>
      </c>
      <c r="D2" s="147">
        <v>5.7931602590997004E-3</v>
      </c>
      <c r="E2" s="147">
        <v>1.4704566986844653E-2</v>
      </c>
      <c r="F2" s="147">
        <v>1.4480286864323754E-3</v>
      </c>
      <c r="G2" s="147">
        <v>4.7108947144267003E-3</v>
      </c>
      <c r="H2" s="146">
        <v>2.4510110793332248E-3</v>
      </c>
      <c r="I2" s="153">
        <v>7.2276675799423339E-3</v>
      </c>
      <c r="J2" s="151">
        <f>(($M2/$H2)^0.2)^2*H2</f>
        <v>6.286385686578036E-3</v>
      </c>
      <c r="K2" s="151">
        <f>($M2/$H2)^0.2*J2</f>
        <v>1.0067668261764189E-2</v>
      </c>
      <c r="L2" s="151">
        <f>($M2/$H2)^0.2*K2</f>
        <v>1.612340528920167E-2</v>
      </c>
      <c r="M2" s="151">
        <f>'Electric Ratio'!P13*'Electric Ratio'!R13*$B$1</f>
        <v>2.5821688931405261E-2</v>
      </c>
      <c r="N2" s="152">
        <f>($R2/$M2)^0.2*M2</f>
        <v>3.0366560046652918E-2</v>
      </c>
      <c r="O2" s="151">
        <f>($R2/$M2)^0.2*N2</f>
        <v>3.5711373160624373E-2</v>
      </c>
      <c r="P2" s="151">
        <f>($R2/$M2)^0.2*O2</f>
        <v>4.1996925929643783E-2</v>
      </c>
      <c r="Q2" s="151">
        <f>($R2/$M2)^0.2*P2</f>
        <v>4.9388797781786259E-2</v>
      </c>
      <c r="R2" s="150">
        <f>'Electric Ratio'!P14*'Electric Ratio'!R14*$B$1</f>
        <v>5.8081711752345513E-2</v>
      </c>
      <c r="S2" s="152">
        <f>($W2/$R2)^0.2*R2</f>
        <v>6.5012882583576154E-2</v>
      </c>
      <c r="T2" s="151">
        <f>($W2/$R2)^0.2*S2</f>
        <v>7.2771183463875344E-2</v>
      </c>
      <c r="U2" s="151">
        <f>($W2/$R2)^0.2*T2</f>
        <v>8.1455319811812407E-2</v>
      </c>
      <c r="V2" s="151">
        <f>($W2/$R2)^0.2*U2</f>
        <v>9.1175776039678288E-2</v>
      </c>
      <c r="W2" s="150">
        <f>'Electric Ratio'!P15*'Electric Ratio'!R15*$B$1</f>
        <v>0.10205622119762449</v>
      </c>
      <c r="X2" s="152">
        <f>($AB2/$W2)^0.2*W2</f>
        <v>0.11352155223293002</v>
      </c>
      <c r="Y2" s="151">
        <f>($AB2/$W2)^0.2*X2</f>
        <v>0.12627493620814001</v>
      </c>
      <c r="Z2" s="151">
        <f>($AB2/$W2)^0.2*Y2</f>
        <v>0.14046107722040507</v>
      </c>
      <c r="AA2" s="151">
        <f>($AB2/$W2)^0.2*Z2</f>
        <v>0.15624093590034846</v>
      </c>
      <c r="AB2" s="150">
        <f>'Electric Ratio'!P16*'Electric Ratio'!R16*$B$1</f>
        <v>0.17379355572442187</v>
      </c>
      <c r="AC2" s="152">
        <f>($AG2/$AB2)^0.2*AB2</f>
        <v>0.18940699033425981</v>
      </c>
      <c r="AD2" s="151">
        <f>($AG2/$AB2)^0.2*AC2</f>
        <v>0.20642311987889866</v>
      </c>
      <c r="AE2" s="151">
        <f>($AG2/$AB2)^0.2*AD2</f>
        <v>0.22496796103111305</v>
      </c>
      <c r="AF2" s="151">
        <f>($AG2/$AB2)^0.2*AE2</f>
        <v>0.24517885167217648</v>
      </c>
      <c r="AG2" s="150">
        <f>'Electric Ratio'!P17*'Electric Ratio'!R17*$B$1</f>
        <v>0.26720546797760908</v>
      </c>
      <c r="AH2" s="152">
        <f>($AL2/$AG2)^0.2*AG2</f>
        <v>0.28539294398928688</v>
      </c>
      <c r="AI2" s="151">
        <f>($AL2/$AG2)^0.2*AH2</f>
        <v>0.30481835980129496</v>
      </c>
      <c r="AJ2" s="151">
        <f>($AL2/$AG2)^0.2*AI2</f>
        <v>0.32556597641544893</v>
      </c>
      <c r="AK2" s="151">
        <f>($AL2/$AG2)^0.2*AJ2</f>
        <v>0.34772579010148708</v>
      </c>
      <c r="AL2" s="150">
        <f>'Electric Ratio'!P18*'Electric Ratio'!R18*$B$1</f>
        <v>0.37139392277099698</v>
      </c>
      <c r="AM2" s="152">
        <f>($AQ2/$AK2)^0.2*AL2</f>
        <v>0.39482931282683048</v>
      </c>
      <c r="AN2" s="151">
        <f>($AQ2/$AK2)^0.2*AM2</f>
        <v>0.419743503351372</v>
      </c>
      <c r="AO2" s="151">
        <f>($AQ2/$AK2)^0.2*AN2</f>
        <v>0.44622980838040421</v>
      </c>
      <c r="AP2" s="151">
        <f>($AQ2/$AK2)^0.2*AO2</f>
        <v>0.47438743017429336</v>
      </c>
      <c r="AQ2" s="150">
        <f>'Electric Ratio'!P19*'Electric Ratio'!R19*$B$1</f>
        <v>0.47218248958450432</v>
      </c>
      <c r="AR2" s="152">
        <f>($AV2/$AQ2)^0.2*AQ2</f>
        <v>0.48992017449360092</v>
      </c>
      <c r="AS2" s="151">
        <f>($AV2/$AQ2)^0.2*AR2</f>
        <v>0.5083241811593795</v>
      </c>
      <c r="AT2" s="151">
        <f>($AV2/$AQ2)^0.2*AS2</f>
        <v>0.52741954016986214</v>
      </c>
      <c r="AU2" s="151">
        <f>($AV2/$AQ2)^0.2*AT2</f>
        <v>0.54723222239504532</v>
      </c>
      <c r="AV2" s="150">
        <f>'Electric Ratio'!P20*'Electric Ratio'!R20*$B$1</f>
        <v>0.56778917430888953</v>
      </c>
    </row>
    <row r="3" spans="1:48" x14ac:dyDescent="0.15">
      <c r="A3" s="149" t="s">
        <v>2</v>
      </c>
      <c r="B3" s="164" t="s">
        <v>987</v>
      </c>
      <c r="C3" s="145">
        <v>2.4989306018271179E-2</v>
      </c>
      <c r="D3" s="147">
        <v>1.9626904618155399E-2</v>
      </c>
      <c r="E3" s="147">
        <v>6.1228069718387526E-2</v>
      </c>
      <c r="F3" s="147">
        <v>5.7736629238756908E-2</v>
      </c>
      <c r="G3" s="147">
        <v>9.1817408186147503E-2</v>
      </c>
      <c r="H3" s="146">
        <v>8.5155792130889113E-2</v>
      </c>
      <c r="I3" s="145">
        <v>3.9224345301127589E-2</v>
      </c>
      <c r="J3" s="143"/>
      <c r="K3" s="143"/>
      <c r="L3" s="143"/>
      <c r="M3" s="143"/>
      <c r="N3" s="144"/>
      <c r="O3" s="143"/>
      <c r="P3" s="143"/>
      <c r="Q3" s="143"/>
      <c r="R3" s="142"/>
      <c r="S3" s="144"/>
      <c r="T3" s="143"/>
      <c r="U3" s="143"/>
      <c r="V3" s="143"/>
      <c r="W3" s="142"/>
      <c r="X3" s="144"/>
      <c r="Y3" s="143"/>
      <c r="Z3" s="143"/>
      <c r="AA3" s="143"/>
      <c r="AB3" s="142"/>
      <c r="AC3" s="144"/>
      <c r="AD3" s="143"/>
      <c r="AE3" s="143"/>
      <c r="AF3" s="143"/>
      <c r="AG3" s="142"/>
      <c r="AH3" s="144"/>
      <c r="AI3" s="143"/>
      <c r="AJ3" s="143"/>
      <c r="AK3" s="143"/>
      <c r="AL3" s="142"/>
      <c r="AM3" s="144"/>
      <c r="AN3" s="143"/>
      <c r="AO3" s="143"/>
      <c r="AP3" s="143"/>
      <c r="AQ3" s="142"/>
      <c r="AR3" s="144"/>
      <c r="AS3" s="143"/>
      <c r="AT3" s="143"/>
      <c r="AU3" s="143"/>
      <c r="AV3" s="142"/>
    </row>
    <row r="4" spans="1:48" x14ac:dyDescent="0.15">
      <c r="A4" s="149" t="s">
        <v>3</v>
      </c>
      <c r="B4" s="164" t="s">
        <v>987</v>
      </c>
      <c r="C4" s="145">
        <v>3.7806109680316505E-4</v>
      </c>
      <c r="D4" s="147">
        <v>3.1978142300174985E-5</v>
      </c>
      <c r="E4" s="147">
        <v>3.9946263591499085E-5</v>
      </c>
      <c r="F4" s="147">
        <v>3.5146327340591636E-5</v>
      </c>
      <c r="G4" s="147">
        <v>2.3704602722710668E-5</v>
      </c>
      <c r="H4" s="146">
        <v>2.6233151907239576E-5</v>
      </c>
      <c r="I4" s="145">
        <v>2.6325505663603473E-6</v>
      </c>
      <c r="J4" s="143"/>
      <c r="K4" s="143"/>
      <c r="L4" s="143"/>
      <c r="M4" s="143"/>
      <c r="N4" s="144"/>
      <c r="O4" s="143"/>
      <c r="P4" s="143"/>
      <c r="Q4" s="143"/>
      <c r="R4" s="142"/>
      <c r="S4" s="144"/>
      <c r="T4" s="143"/>
      <c r="U4" s="143"/>
      <c r="V4" s="143"/>
      <c r="W4" s="142"/>
      <c r="X4" s="144"/>
      <c r="Y4" s="143"/>
      <c r="Z4" s="143"/>
      <c r="AA4" s="143"/>
      <c r="AB4" s="142"/>
      <c r="AC4" s="144"/>
      <c r="AD4" s="143"/>
      <c r="AE4" s="143"/>
      <c r="AF4" s="143"/>
      <c r="AG4" s="142"/>
      <c r="AH4" s="144"/>
      <c r="AI4" s="143"/>
      <c r="AJ4" s="143"/>
      <c r="AK4" s="143"/>
      <c r="AL4" s="142"/>
      <c r="AM4" s="144"/>
      <c r="AN4" s="143"/>
      <c r="AO4" s="143"/>
      <c r="AP4" s="143"/>
      <c r="AQ4" s="142"/>
      <c r="AR4" s="144"/>
      <c r="AS4" s="143"/>
      <c r="AT4" s="143"/>
      <c r="AU4" s="143"/>
      <c r="AV4" s="142"/>
    </row>
    <row r="5" spans="1:48" x14ac:dyDescent="0.15">
      <c r="A5" s="149" t="s">
        <v>4</v>
      </c>
      <c r="B5" s="164" t="s">
        <v>987</v>
      </c>
      <c r="C5" s="145">
        <v>0.96447645637831669</v>
      </c>
      <c r="D5" s="147">
        <v>0.97454028222629263</v>
      </c>
      <c r="E5" s="147">
        <v>0.92219596768520951</v>
      </c>
      <c r="F5" s="147">
        <v>0.94042346052496317</v>
      </c>
      <c r="G5" s="147">
        <v>0.90184635150607195</v>
      </c>
      <c r="H5" s="146">
        <v>0.91225070307828149</v>
      </c>
      <c r="I5" s="145">
        <v>0.95291485870772041</v>
      </c>
      <c r="J5" s="143">
        <v>1</v>
      </c>
      <c r="K5" s="143">
        <v>1</v>
      </c>
      <c r="L5" s="143">
        <v>1</v>
      </c>
      <c r="M5" s="143">
        <v>1</v>
      </c>
      <c r="N5" s="144">
        <f t="shared" ref="N5:Q6" si="0">($R5/$M5)^0.2*M5</f>
        <v>1</v>
      </c>
      <c r="O5" s="143">
        <f t="shared" si="0"/>
        <v>1</v>
      </c>
      <c r="P5" s="143">
        <f t="shared" si="0"/>
        <v>1</v>
      </c>
      <c r="Q5" s="143">
        <f t="shared" si="0"/>
        <v>1</v>
      </c>
      <c r="R5" s="142">
        <v>1</v>
      </c>
      <c r="S5" s="144">
        <f t="shared" ref="S5:V6" si="1">($W5/$R5)^0.2*R5</f>
        <v>1</v>
      </c>
      <c r="T5" s="143">
        <f t="shared" si="1"/>
        <v>1</v>
      </c>
      <c r="U5" s="143">
        <f t="shared" si="1"/>
        <v>1</v>
      </c>
      <c r="V5" s="143">
        <f t="shared" si="1"/>
        <v>1</v>
      </c>
      <c r="W5" s="142">
        <v>1</v>
      </c>
      <c r="X5" s="144">
        <f t="shared" ref="X5:AA6" si="2">($AB5/$W5)^0.2*W5</f>
        <v>1</v>
      </c>
      <c r="Y5" s="143">
        <f t="shared" si="2"/>
        <v>1</v>
      </c>
      <c r="Z5" s="143">
        <f t="shared" si="2"/>
        <v>1</v>
      </c>
      <c r="AA5" s="143">
        <f t="shared" si="2"/>
        <v>1</v>
      </c>
      <c r="AB5" s="142">
        <v>1</v>
      </c>
      <c r="AC5" s="144">
        <f t="shared" ref="AC5:AF6" si="3">($AG5/$AB5)^0.2*AB5</f>
        <v>1</v>
      </c>
      <c r="AD5" s="143">
        <f t="shared" si="3"/>
        <v>1</v>
      </c>
      <c r="AE5" s="143">
        <f t="shared" si="3"/>
        <v>1</v>
      </c>
      <c r="AF5" s="143">
        <f t="shared" si="3"/>
        <v>1</v>
      </c>
      <c r="AG5" s="142">
        <v>1</v>
      </c>
      <c r="AH5" s="144">
        <f t="shared" ref="AH5:AK6" si="4">($AL5/$AG5)^0.2*AG5</f>
        <v>1</v>
      </c>
      <c r="AI5" s="143">
        <f t="shared" si="4"/>
        <v>1</v>
      </c>
      <c r="AJ5" s="143">
        <f t="shared" si="4"/>
        <v>1</v>
      </c>
      <c r="AK5" s="143">
        <f t="shared" si="4"/>
        <v>1</v>
      </c>
      <c r="AL5" s="142">
        <v>1</v>
      </c>
      <c r="AM5" s="144">
        <f t="shared" ref="AM5:AP6" si="5">($AQ5/$AK5)^0.2*AL5</f>
        <v>1</v>
      </c>
      <c r="AN5" s="143">
        <f t="shared" si="5"/>
        <v>1</v>
      </c>
      <c r="AO5" s="143">
        <f t="shared" si="5"/>
        <v>1</v>
      </c>
      <c r="AP5" s="143">
        <f t="shared" si="5"/>
        <v>1</v>
      </c>
      <c r="AQ5" s="142">
        <v>1</v>
      </c>
      <c r="AR5" s="144">
        <f t="shared" ref="AR5:AU6" si="6">($AV5/$AQ5)^0.2*AQ5</f>
        <v>1</v>
      </c>
      <c r="AS5" s="143">
        <f t="shared" si="6"/>
        <v>1</v>
      </c>
      <c r="AT5" s="143">
        <f t="shared" si="6"/>
        <v>1</v>
      </c>
      <c r="AU5" s="143">
        <f t="shared" si="6"/>
        <v>1</v>
      </c>
      <c r="AV5" s="142">
        <v>1</v>
      </c>
    </row>
    <row r="6" spans="1:48" x14ac:dyDescent="0.15">
      <c r="A6" s="149" t="s">
        <v>5</v>
      </c>
      <c r="B6" s="164" t="s">
        <v>987</v>
      </c>
      <c r="C6" s="145">
        <v>0</v>
      </c>
      <c r="D6" s="147">
        <v>0</v>
      </c>
      <c r="E6" s="147">
        <v>9.7260467874954297E-4</v>
      </c>
      <c r="F6" s="147">
        <v>0</v>
      </c>
      <c r="G6" s="147">
        <v>0</v>
      </c>
      <c r="H6" s="146">
        <v>6.5582879768098939E-6</v>
      </c>
      <c r="I6" s="145">
        <v>1.6453441039752171E-5</v>
      </c>
      <c r="J6" s="143">
        <f>(($M6/$H6)^0.2)^2*H6</f>
        <v>3.9889291820295376E-5</v>
      </c>
      <c r="K6" s="143">
        <f>($M6/$H6)^0.2*J6</f>
        <v>9.8376019864379423E-5</v>
      </c>
      <c r="L6" s="143">
        <f>($M6/$H6)^0.2*K6</f>
        <v>2.4261752572485532E-4</v>
      </c>
      <c r="M6" s="143">
        <f>'Electric Ratio'!P13*'Electric Ratio'!Q13*$B$1</f>
        <v>5.9834971845780429E-4</v>
      </c>
      <c r="N6" s="144">
        <f t="shared" si="0"/>
        <v>7.036651515210531E-4</v>
      </c>
      <c r="O6" s="143">
        <f t="shared" si="0"/>
        <v>8.2751713620145089E-4</v>
      </c>
      <c r="P6" s="143">
        <f t="shared" si="0"/>
        <v>9.731682878238463E-4</v>
      </c>
      <c r="Q6" s="143">
        <f t="shared" si="0"/>
        <v>1.1444554740863335E-3</v>
      </c>
      <c r="R6" s="142">
        <f>'Electric Ratio'!P14*'Electric Ratio'!Q14*$B$1</f>
        <v>1.3458908891236479E-3</v>
      </c>
      <c r="S6" s="144">
        <f t="shared" si="1"/>
        <v>1.5065025410751108E-3</v>
      </c>
      <c r="T6" s="143">
        <f t="shared" si="1"/>
        <v>1.6862807561937962E-3</v>
      </c>
      <c r="U6" s="143">
        <f t="shared" si="1"/>
        <v>1.887512772915893E-3</v>
      </c>
      <c r="V6" s="143">
        <f t="shared" si="1"/>
        <v>2.1127587768730955E-3</v>
      </c>
      <c r="W6" s="142">
        <f>'Electric Ratio'!P15*'Electric Ratio'!Q15*$B$1</f>
        <v>2.3648844729980542E-3</v>
      </c>
      <c r="X6" s="144">
        <f t="shared" si="2"/>
        <v>2.6305633608207975E-3</v>
      </c>
      <c r="Y6" s="143">
        <f t="shared" si="2"/>
        <v>2.9260894873736625E-3</v>
      </c>
      <c r="Z6" s="143">
        <f t="shared" si="2"/>
        <v>3.2548159894719726E-3</v>
      </c>
      <c r="AA6" s="143">
        <f t="shared" si="2"/>
        <v>3.6204727063323685E-3</v>
      </c>
      <c r="AB6" s="142">
        <f>'Electric Ratio'!P16*'Electric Ratio'!Q16*$B$1</f>
        <v>4.0272084995576348E-3</v>
      </c>
      <c r="AC6" s="144">
        <f t="shared" si="3"/>
        <v>4.3890087763626667E-3</v>
      </c>
      <c r="AD6" s="143">
        <f t="shared" si="3"/>
        <v>4.7833128185701046E-3</v>
      </c>
      <c r="AE6" s="143">
        <f t="shared" si="3"/>
        <v>5.2130407310915982E-3</v>
      </c>
      <c r="AF6" s="143">
        <f t="shared" si="3"/>
        <v>5.6813749580659455E-3</v>
      </c>
      <c r="AG6" s="142">
        <f>'Electric Ratio'!P17*'Electric Ratio'!Q17*$B$1</f>
        <v>6.1917838511459126E-3</v>
      </c>
      <c r="AH6" s="144">
        <f t="shared" si="4"/>
        <v>6.6132307665647504E-3</v>
      </c>
      <c r="AI6" s="143">
        <f t="shared" si="4"/>
        <v>7.063363680523925E-3</v>
      </c>
      <c r="AJ6" s="143">
        <f t="shared" si="4"/>
        <v>7.5441351200965989E-3</v>
      </c>
      <c r="AK6" s="143">
        <f t="shared" si="4"/>
        <v>8.0576305121037358E-3</v>
      </c>
      <c r="AL6" s="142">
        <f>'Electric Ratio'!P18*'Electric Ratio'!Q18*$B$1</f>
        <v>8.6060772290029973E-3</v>
      </c>
      <c r="AM6" s="144">
        <f t="shared" si="5"/>
        <v>9.1491307480469092E-3</v>
      </c>
      <c r="AN6" s="143">
        <f t="shared" si="5"/>
        <v>9.7264515780501187E-3</v>
      </c>
      <c r="AO6" s="143">
        <f t="shared" si="5"/>
        <v>1.0340202026334469E-2</v>
      </c>
      <c r="AP6" s="143">
        <f t="shared" si="5"/>
        <v>1.0992680844337877E-2</v>
      </c>
      <c r="AQ6" s="142">
        <f>'Electric Ratio'!P19*'Electric Ratio'!Q19*$B$1</f>
        <v>1.0941587146144027E-2</v>
      </c>
      <c r="AR6" s="144">
        <f t="shared" si="6"/>
        <v>1.1352611335911214E-2</v>
      </c>
      <c r="AS6" s="143">
        <f t="shared" si="6"/>
        <v>1.1779075779666902E-2</v>
      </c>
      <c r="AT6" s="143">
        <f t="shared" si="6"/>
        <v>1.2221560495446924E-2</v>
      </c>
      <c r="AU6" s="143">
        <f t="shared" si="6"/>
        <v>1.2680667289848506E-2</v>
      </c>
      <c r="AV6" s="142">
        <f>'Electric Ratio'!P20*'Electric Ratio'!Q20*$B$1</f>
        <v>1.3157020576524472E-2</v>
      </c>
    </row>
    <row r="7" spans="1:48" x14ac:dyDescent="0.15">
      <c r="A7" s="149" t="s">
        <v>125</v>
      </c>
      <c r="B7" s="164" t="s">
        <v>987</v>
      </c>
      <c r="C7" s="145">
        <v>0</v>
      </c>
      <c r="D7" s="147">
        <v>0</v>
      </c>
      <c r="E7" s="147">
        <v>0</v>
      </c>
      <c r="F7" s="147">
        <v>0</v>
      </c>
      <c r="G7" s="147">
        <v>0</v>
      </c>
      <c r="H7" s="146">
        <v>0</v>
      </c>
      <c r="I7" s="145">
        <v>0</v>
      </c>
      <c r="J7" s="143"/>
      <c r="K7" s="143"/>
      <c r="L7" s="143"/>
      <c r="M7" s="143"/>
      <c r="N7" s="144"/>
      <c r="O7" s="143"/>
      <c r="P7" s="143"/>
      <c r="Q7" s="143"/>
      <c r="R7" s="142"/>
      <c r="S7" s="144"/>
      <c r="T7" s="143"/>
      <c r="U7" s="143"/>
      <c r="V7" s="143"/>
      <c r="W7" s="142"/>
      <c r="X7" s="144"/>
      <c r="Y7" s="143"/>
      <c r="Z7" s="143"/>
      <c r="AA7" s="143"/>
      <c r="AB7" s="142"/>
      <c r="AC7" s="144"/>
      <c r="AD7" s="143"/>
      <c r="AE7" s="143"/>
      <c r="AF7" s="143"/>
      <c r="AG7" s="142"/>
      <c r="AH7" s="144"/>
      <c r="AI7" s="143"/>
      <c r="AJ7" s="143"/>
      <c r="AK7" s="143"/>
      <c r="AL7" s="142"/>
      <c r="AM7" s="144"/>
      <c r="AN7" s="143"/>
      <c r="AO7" s="143"/>
      <c r="AP7" s="143"/>
      <c r="AQ7" s="142"/>
      <c r="AR7" s="144"/>
      <c r="AS7" s="143"/>
      <c r="AT7" s="143"/>
      <c r="AU7" s="143"/>
      <c r="AV7" s="142"/>
    </row>
    <row r="8" spans="1:48" x14ac:dyDescent="0.15">
      <c r="A8" s="141" t="s">
        <v>126</v>
      </c>
      <c r="B8" s="163" t="s">
        <v>987</v>
      </c>
      <c r="C8" s="137">
        <v>0</v>
      </c>
      <c r="D8" s="139">
        <v>0</v>
      </c>
      <c r="E8" s="139">
        <v>8.1021443327975319E-4</v>
      </c>
      <c r="F8" s="139">
        <v>3.5497790613997553E-4</v>
      </c>
      <c r="G8" s="139">
        <v>1.5913689961179762E-3</v>
      </c>
      <c r="H8" s="138">
        <v>8.7046367692204042E-5</v>
      </c>
      <c r="I8" s="137">
        <v>5.4296355431182163E-4</v>
      </c>
      <c r="J8" s="135" cm="1">
        <f t="array" ref="J8:AV8">TRANSPOSE(Hydrogen!AK17:'Hydrogen'!AK55)</f>
        <v>4.456418000000073E-3</v>
      </c>
      <c r="K8" s="135">
        <v>4.8799370000001119E-3</v>
      </c>
      <c r="L8" s="135">
        <v>5.3034560000000397E-3</v>
      </c>
      <c r="M8" s="135">
        <v>5.7269750000000785E-3</v>
      </c>
      <c r="N8" s="136">
        <v>6.1504940000001174E-3</v>
      </c>
      <c r="O8" s="135">
        <v>6.5740130000000452E-3</v>
      </c>
      <c r="P8" s="135">
        <v>6.997532000000084E-3</v>
      </c>
      <c r="Q8" s="135">
        <v>7.4210510000001229E-3</v>
      </c>
      <c r="R8" s="134">
        <v>7.8445700000000507E-3</v>
      </c>
      <c r="S8" s="136">
        <v>8.2680890000000895E-3</v>
      </c>
      <c r="T8" s="135">
        <v>8.6916080000001283E-3</v>
      </c>
      <c r="U8" s="135">
        <v>9.1151270000000562E-3</v>
      </c>
      <c r="V8" s="135">
        <v>9.538646000000095E-3</v>
      </c>
      <c r="W8" s="134">
        <v>9.9621650000001338E-3</v>
      </c>
      <c r="X8" s="136">
        <v>1.0385684000000062E-2</v>
      </c>
      <c r="Y8" s="135">
        <v>1.08092030000001E-2</v>
      </c>
      <c r="Z8" s="135">
        <v>1.1232722000000028E-2</v>
      </c>
      <c r="AA8" s="135">
        <v>1.1656241000000067E-2</v>
      </c>
      <c r="AB8" s="134">
        <v>1.2079760000000106E-2</v>
      </c>
      <c r="AC8" s="136">
        <v>1.2503279000000034E-2</v>
      </c>
      <c r="AD8" s="135">
        <v>1.2926798000000073E-2</v>
      </c>
      <c r="AE8" s="135">
        <v>1.3350317000000111E-2</v>
      </c>
      <c r="AF8" s="135">
        <v>1.3773836000000039E-2</v>
      </c>
      <c r="AG8" s="134">
        <v>1.4197355000000078E-2</v>
      </c>
      <c r="AH8" s="136">
        <v>1.4620874000000117E-2</v>
      </c>
      <c r="AI8" s="135">
        <v>1.5044393000000045E-2</v>
      </c>
      <c r="AJ8" s="135">
        <v>1.5467912000000084E-2</v>
      </c>
      <c r="AK8" s="135">
        <v>1.5891431000000122E-2</v>
      </c>
      <c r="AL8" s="134">
        <v>1.631495000000005E-2</v>
      </c>
      <c r="AM8" s="136">
        <v>1.6738469000000089E-2</v>
      </c>
      <c r="AN8" s="135">
        <v>1.7161988000000128E-2</v>
      </c>
      <c r="AO8" s="135">
        <v>1.7585507000000056E-2</v>
      </c>
      <c r="AP8" s="135">
        <v>1.8009026000000095E-2</v>
      </c>
      <c r="AQ8" s="134">
        <v>1.8432545000000133E-2</v>
      </c>
      <c r="AR8" s="136">
        <v>1.8856064000000061E-2</v>
      </c>
      <c r="AS8" s="135">
        <v>1.92795830000001E-2</v>
      </c>
      <c r="AT8" s="135">
        <v>1.9703102000000139E-2</v>
      </c>
      <c r="AU8" s="135">
        <v>2.0126621000000067E-2</v>
      </c>
      <c r="AV8" s="134">
        <v>2.0550140000000106E-2</v>
      </c>
    </row>
    <row r="9" spans="1:48" x14ac:dyDescent="0.15">
      <c r="A9" s="156" t="s">
        <v>1</v>
      </c>
      <c r="B9" s="162" t="s">
        <v>986</v>
      </c>
      <c r="C9" s="153" cm="1">
        <f t="array" ref="C9:I15">TRANSPOSE('Pivot Table'!O12:U18)</f>
        <v>1.6196795145339851E-2</v>
      </c>
      <c r="D9" s="155">
        <v>1.0646226870465011E-2</v>
      </c>
      <c r="E9" s="155">
        <v>3.1765911361251509E-2</v>
      </c>
      <c r="F9" s="155">
        <v>1.9954350363406721E-2</v>
      </c>
      <c r="G9" s="155">
        <v>8.2804976335238232E-3</v>
      </c>
      <c r="H9" s="154">
        <v>6.1048099092889446E-3</v>
      </c>
      <c r="I9" s="153">
        <v>1.6377494764606228E-2</v>
      </c>
      <c r="J9" s="151">
        <f>(($M9/$H9)^0.2)^2*H9</f>
        <v>1.7792069968407646E-2</v>
      </c>
      <c r="K9" s="151">
        <f>($M9/$H9)^0.2*J9</f>
        <v>3.0374115772353785E-2</v>
      </c>
      <c r="L9" s="151">
        <f>($M9/$H9)^0.2*K9</f>
        <v>5.185382648508776E-2</v>
      </c>
      <c r="M9" s="151">
        <f>'Electric Ratio'!T13*'Electric Ratio'!V13*Projection!$B$1</f>
        <v>8.8523377644886894E-2</v>
      </c>
      <c r="N9" s="152">
        <f>($R9/$M9)^0.2*M9</f>
        <v>0.10196580454494283</v>
      </c>
      <c r="O9" s="151">
        <f>($R9/$M9)^0.2*N9</f>
        <v>0.11744948705194393</v>
      </c>
      <c r="P9" s="151">
        <f>($R9/$M9)^0.2*O9</f>
        <v>0.13528439333487219</v>
      </c>
      <c r="Q9" s="151">
        <f>($R9/$M9)^0.2*P9</f>
        <v>0.15582756076142004</v>
      </c>
      <c r="R9" s="150">
        <f>'Electric Ratio'!T14*'Electric Ratio'!V14*Projection!$B$1</f>
        <v>0.17949024343663758</v>
      </c>
      <c r="S9" s="152">
        <f>($W9/$R9)^0.2*R9</f>
        <v>0.19850360840922185</v>
      </c>
      <c r="T9" s="151">
        <f>($W9/$R9)^0.2*S9</f>
        <v>0.2195310552653616</v>
      </c>
      <c r="U9" s="151">
        <f>($W9/$R9)^0.2*T9</f>
        <v>0.24278593528924641</v>
      </c>
      <c r="V9" s="151">
        <f>($W9/$R9)^0.2*U9</f>
        <v>0.26850420002319692</v>
      </c>
      <c r="W9" s="150">
        <f>'Electric Ratio'!T15*'Electric Ratio'!V15*Projection!$B$1</f>
        <v>0.29694679530841084</v>
      </c>
      <c r="X9" s="152">
        <f>($AB9/$W9)^0.2*W9</f>
        <v>0.32222352741419563</v>
      </c>
      <c r="Y9" s="151">
        <f>($AB9/$W9)^0.2*X9</f>
        <v>0.34965186780820606</v>
      </c>
      <c r="Z9" s="151">
        <f>($AB9/$W9)^0.2*Y9</f>
        <v>0.37941496588675594</v>
      </c>
      <c r="AA9" s="151">
        <f>($AB9/$W9)^0.2*Z9</f>
        <v>0.41171156110572232</v>
      </c>
      <c r="AB9" s="150">
        <f>'Electric Ratio'!T16*'Electric Ratio'!V16*Projection!$B$1</f>
        <v>0.44675731003901265</v>
      </c>
      <c r="AC9" s="152">
        <f>($AG9/$AB9)^0.2*AB9</f>
        <v>0.47489097494484778</v>
      </c>
      <c r="AD9" s="151">
        <f>($AG9/$AB9)^0.2*AC9</f>
        <v>0.50479630219005167</v>
      </c>
      <c r="AE9" s="151">
        <f>($AG9/$AB9)^0.2*AD9</f>
        <v>0.53658485873382589</v>
      </c>
      <c r="AF9" s="151">
        <f>($AG9/$AB9)^0.2*AE9</f>
        <v>0.57037523724569417</v>
      </c>
      <c r="AG9" s="150">
        <f>'Electric Ratio'!T17*'Electric Ratio'!V17*Projection!$B$1</f>
        <v>0.60629349853582337</v>
      </c>
      <c r="AH9" s="152">
        <f>($AL9/$AG9)^0.2*AG9</f>
        <v>0.6392433508691916</v>
      </c>
      <c r="AI9" s="151">
        <f>($AL9/$AG9)^0.2*AH9</f>
        <v>0.67398390815224618</v>
      </c>
      <c r="AJ9" s="151">
        <f>($AL9/$AG9)^0.2*AI9</f>
        <v>0.71061248870327243</v>
      </c>
      <c r="AK9" s="151">
        <f>($AL9/$AG9)^0.2*AJ9</f>
        <v>0.74923169973813508</v>
      </c>
      <c r="AL9" s="150">
        <f>'Electric Ratio'!T18*'Electric Ratio'!V18*Projection!$B$1</f>
        <v>0.78994972480267611</v>
      </c>
      <c r="AM9" s="152">
        <f>($AQ9/$AK9)^0.2*AL9</f>
        <v>0.81820152568513649</v>
      </c>
      <c r="AN9" s="151">
        <f>($AQ9/$AK9)^0.2*AM9</f>
        <v>0.84746372536645909</v>
      </c>
      <c r="AO9" s="151">
        <f>($AQ9/$AK9)^0.2*AN9</f>
        <v>0.8777724597990737</v>
      </c>
      <c r="AP9" s="151">
        <f>($AQ9/$AK9)^0.2*AO9</f>
        <v>0.9091651573033932</v>
      </c>
      <c r="AQ9" s="150">
        <f>'Electric Ratio'!T19*'Electric Ratio'!V19*Projection!$B$1</f>
        <v>0.89314157977262021</v>
      </c>
      <c r="AR9" s="152">
        <f>($AV9/$AQ9)^0.2*AQ9</f>
        <v>0.91216164383814913</v>
      </c>
      <c r="AS9" s="151">
        <f>($AV9/$AQ9)^0.2*AR9</f>
        <v>0.93158675324615203</v>
      </c>
      <c r="AT9" s="151">
        <f>($AV9/$AQ9)^0.2*AS9</f>
        <v>0.95142553371570626</v>
      </c>
      <c r="AU9" s="151">
        <f>($AV9/$AQ9)^0.2*AT9</f>
        <v>0.97168679465650776</v>
      </c>
      <c r="AV9" s="150">
        <f>'Electric Ratio'!T20*'Electric Ratio'!V20*Projection!$B$1</f>
        <v>0.99237953308068916</v>
      </c>
    </row>
    <row r="10" spans="1:48" x14ac:dyDescent="0.15">
      <c r="A10" s="149" t="s">
        <v>2</v>
      </c>
      <c r="B10" s="162" t="s">
        <v>986</v>
      </c>
      <c r="C10" s="145">
        <v>2.3551845755015059E-2</v>
      </c>
      <c r="D10" s="147">
        <v>1.0011230854930093E-2</v>
      </c>
      <c r="E10" s="159">
        <v>1.042548717482048E-2</v>
      </c>
      <c r="F10" s="147">
        <v>1.3300617434326062E-2</v>
      </c>
      <c r="G10" s="147">
        <v>1.4985627624185774E-2</v>
      </c>
      <c r="H10" s="146">
        <v>8.6013824417410061E-3</v>
      </c>
      <c r="I10" s="145">
        <v>9.3264694104484881E-3</v>
      </c>
      <c r="J10" s="143"/>
      <c r="K10" s="143"/>
      <c r="L10" s="143"/>
      <c r="M10" s="143"/>
      <c r="N10" s="144"/>
      <c r="O10" s="143"/>
      <c r="P10" s="143"/>
      <c r="Q10" s="143"/>
      <c r="R10" s="142"/>
      <c r="S10" s="144"/>
      <c r="T10" s="143"/>
      <c r="U10" s="143"/>
      <c r="V10" s="143"/>
      <c r="W10" s="142"/>
      <c r="X10" s="144"/>
      <c r="Y10" s="143"/>
      <c r="Z10" s="143"/>
      <c r="AA10" s="143"/>
      <c r="AB10" s="142"/>
      <c r="AC10" s="144"/>
      <c r="AD10" s="143"/>
      <c r="AE10" s="143"/>
      <c r="AF10" s="143"/>
      <c r="AG10" s="142"/>
      <c r="AH10" s="144"/>
      <c r="AI10" s="143"/>
      <c r="AJ10" s="143"/>
      <c r="AK10" s="143"/>
      <c r="AL10" s="142"/>
      <c r="AM10" s="144"/>
      <c r="AN10" s="143"/>
      <c r="AO10" s="143"/>
      <c r="AP10" s="143"/>
      <c r="AQ10" s="142"/>
      <c r="AR10" s="144"/>
      <c r="AS10" s="143"/>
      <c r="AT10" s="143"/>
      <c r="AU10" s="143"/>
      <c r="AV10" s="142"/>
    </row>
    <row r="11" spans="1:48" x14ac:dyDescent="0.15">
      <c r="A11" s="149" t="s">
        <v>3</v>
      </c>
      <c r="B11" s="162" t="s">
        <v>986</v>
      </c>
      <c r="C11" s="145">
        <v>0.46163055361867839</v>
      </c>
      <c r="D11" s="147">
        <v>0.45371874413498131</v>
      </c>
      <c r="E11" s="159">
        <v>0.43102638967507628</v>
      </c>
      <c r="F11" s="147">
        <v>0.45988975994317766</v>
      </c>
      <c r="G11" s="147">
        <v>0.49608372736550582</v>
      </c>
      <c r="H11" s="146">
        <v>0.46048538588293036</v>
      </c>
      <c r="I11" s="145">
        <v>0.45817153367142283</v>
      </c>
      <c r="J11" s="143">
        <v>1</v>
      </c>
      <c r="K11" s="143">
        <v>1</v>
      </c>
      <c r="L11" s="143">
        <v>1</v>
      </c>
      <c r="M11" s="143">
        <v>1</v>
      </c>
      <c r="N11" s="144">
        <f t="shared" ref="N11:Q13" si="7">($R11/$M11)^0.2*M11</f>
        <v>1</v>
      </c>
      <c r="O11" s="143">
        <f t="shared" si="7"/>
        <v>1</v>
      </c>
      <c r="P11" s="143">
        <f t="shared" si="7"/>
        <v>1</v>
      </c>
      <c r="Q11" s="143">
        <f t="shared" si="7"/>
        <v>1</v>
      </c>
      <c r="R11" s="142">
        <v>1</v>
      </c>
      <c r="S11" s="144">
        <f t="shared" ref="S11:V13" si="8">($W11/$R11)^0.2*R11</f>
        <v>1</v>
      </c>
      <c r="T11" s="143">
        <f t="shared" si="8"/>
        <v>1</v>
      </c>
      <c r="U11" s="143">
        <f t="shared" si="8"/>
        <v>1</v>
      </c>
      <c r="V11" s="143">
        <f t="shared" si="8"/>
        <v>1</v>
      </c>
      <c r="W11" s="142">
        <v>1</v>
      </c>
      <c r="X11" s="144">
        <f t="shared" ref="X11:AA13" si="9">($AB11/$W11)^0.2*W11</f>
        <v>1</v>
      </c>
      <c r="Y11" s="143">
        <f t="shared" si="9"/>
        <v>1</v>
      </c>
      <c r="Z11" s="143">
        <f t="shared" si="9"/>
        <v>1</v>
      </c>
      <c r="AA11" s="143">
        <f t="shared" si="9"/>
        <v>1</v>
      </c>
      <c r="AB11" s="142">
        <v>1</v>
      </c>
      <c r="AC11" s="144">
        <f t="shared" ref="AC11:AF13" si="10">($AG11/$AB11)^0.2*AB11</f>
        <v>1</v>
      </c>
      <c r="AD11" s="143">
        <f t="shared" si="10"/>
        <v>1</v>
      </c>
      <c r="AE11" s="143">
        <f t="shared" si="10"/>
        <v>1</v>
      </c>
      <c r="AF11" s="143">
        <f t="shared" si="10"/>
        <v>1</v>
      </c>
      <c r="AG11" s="142">
        <v>1</v>
      </c>
      <c r="AH11" s="144">
        <f t="shared" ref="AH11:AK13" si="11">($AL11/$AG11)^0.2*AG11</f>
        <v>1</v>
      </c>
      <c r="AI11" s="143">
        <f t="shared" si="11"/>
        <v>1</v>
      </c>
      <c r="AJ11" s="143">
        <f t="shared" si="11"/>
        <v>1</v>
      </c>
      <c r="AK11" s="143">
        <f t="shared" si="11"/>
        <v>1</v>
      </c>
      <c r="AL11" s="142">
        <v>1</v>
      </c>
      <c r="AM11" s="144">
        <f t="shared" ref="AM11:AP13" si="12">($AQ11/$AK11)^0.2*AL11</f>
        <v>1</v>
      </c>
      <c r="AN11" s="143">
        <f t="shared" si="12"/>
        <v>1</v>
      </c>
      <c r="AO11" s="143">
        <f t="shared" si="12"/>
        <v>1</v>
      </c>
      <c r="AP11" s="143">
        <f t="shared" si="12"/>
        <v>1</v>
      </c>
      <c r="AQ11" s="142">
        <v>1</v>
      </c>
      <c r="AR11" s="144">
        <f t="shared" ref="AR11:AU13" si="13">($AV11/$AQ11)^0.2*AQ11</f>
        <v>1</v>
      </c>
      <c r="AS11" s="143">
        <f t="shared" si="13"/>
        <v>1</v>
      </c>
      <c r="AT11" s="143">
        <f t="shared" si="13"/>
        <v>1</v>
      </c>
      <c r="AU11" s="143">
        <f t="shared" si="13"/>
        <v>1</v>
      </c>
      <c r="AV11" s="142">
        <v>1</v>
      </c>
    </row>
    <row r="12" spans="1:48" x14ac:dyDescent="0.15">
      <c r="A12" s="149" t="s">
        <v>4</v>
      </c>
      <c r="B12" s="162" t="s">
        <v>986</v>
      </c>
      <c r="C12" s="145">
        <v>0.4986181915136243</v>
      </c>
      <c r="D12" s="147">
        <v>0.52562379813962357</v>
      </c>
      <c r="E12" s="159">
        <v>0.52678221178885176</v>
      </c>
      <c r="F12" s="147">
        <v>0.50685478308595844</v>
      </c>
      <c r="G12" s="147">
        <v>0.48060539780316125</v>
      </c>
      <c r="H12" s="146">
        <v>0.5246819425458199</v>
      </c>
      <c r="I12" s="145">
        <v>0.51558787695154329</v>
      </c>
      <c r="J12" s="143">
        <v>1</v>
      </c>
      <c r="K12" s="143">
        <v>1</v>
      </c>
      <c r="L12" s="143">
        <v>1</v>
      </c>
      <c r="M12" s="143">
        <v>1</v>
      </c>
      <c r="N12" s="144">
        <f t="shared" si="7"/>
        <v>1</v>
      </c>
      <c r="O12" s="143">
        <f t="shared" si="7"/>
        <v>1</v>
      </c>
      <c r="P12" s="143">
        <f t="shared" si="7"/>
        <v>1</v>
      </c>
      <c r="Q12" s="143">
        <f t="shared" si="7"/>
        <v>1</v>
      </c>
      <c r="R12" s="142">
        <v>1</v>
      </c>
      <c r="S12" s="144">
        <f t="shared" si="8"/>
        <v>1</v>
      </c>
      <c r="T12" s="143">
        <f t="shared" si="8"/>
        <v>1</v>
      </c>
      <c r="U12" s="143">
        <f t="shared" si="8"/>
        <v>1</v>
      </c>
      <c r="V12" s="143">
        <f t="shared" si="8"/>
        <v>1</v>
      </c>
      <c r="W12" s="142">
        <v>1</v>
      </c>
      <c r="X12" s="144">
        <f t="shared" si="9"/>
        <v>1</v>
      </c>
      <c r="Y12" s="143">
        <f t="shared" si="9"/>
        <v>1</v>
      </c>
      <c r="Z12" s="143">
        <f t="shared" si="9"/>
        <v>1</v>
      </c>
      <c r="AA12" s="143">
        <f t="shared" si="9"/>
        <v>1</v>
      </c>
      <c r="AB12" s="142">
        <v>1</v>
      </c>
      <c r="AC12" s="144">
        <f t="shared" si="10"/>
        <v>1</v>
      </c>
      <c r="AD12" s="143">
        <f t="shared" si="10"/>
        <v>1</v>
      </c>
      <c r="AE12" s="143">
        <f t="shared" si="10"/>
        <v>1</v>
      </c>
      <c r="AF12" s="143">
        <f t="shared" si="10"/>
        <v>1</v>
      </c>
      <c r="AG12" s="142">
        <v>1</v>
      </c>
      <c r="AH12" s="144">
        <f t="shared" si="11"/>
        <v>1</v>
      </c>
      <c r="AI12" s="143">
        <f t="shared" si="11"/>
        <v>1</v>
      </c>
      <c r="AJ12" s="143">
        <f t="shared" si="11"/>
        <v>1</v>
      </c>
      <c r="AK12" s="143">
        <f t="shared" si="11"/>
        <v>1</v>
      </c>
      <c r="AL12" s="142">
        <v>1</v>
      </c>
      <c r="AM12" s="144">
        <f t="shared" si="12"/>
        <v>1</v>
      </c>
      <c r="AN12" s="143">
        <f t="shared" si="12"/>
        <v>1</v>
      </c>
      <c r="AO12" s="143">
        <f t="shared" si="12"/>
        <v>1</v>
      </c>
      <c r="AP12" s="143">
        <f t="shared" si="12"/>
        <v>1</v>
      </c>
      <c r="AQ12" s="142">
        <v>1</v>
      </c>
      <c r="AR12" s="144">
        <f t="shared" si="13"/>
        <v>1</v>
      </c>
      <c r="AS12" s="143">
        <f t="shared" si="13"/>
        <v>1</v>
      </c>
      <c r="AT12" s="143">
        <f t="shared" si="13"/>
        <v>1</v>
      </c>
      <c r="AU12" s="143">
        <f t="shared" si="13"/>
        <v>1</v>
      </c>
      <c r="AV12" s="142">
        <v>1</v>
      </c>
    </row>
    <row r="13" spans="1:48" x14ac:dyDescent="0.15">
      <c r="A13" s="149" t="s">
        <v>5</v>
      </c>
      <c r="B13" s="162" t="s">
        <v>986</v>
      </c>
      <c r="C13" s="145">
        <v>0</v>
      </c>
      <c r="D13" s="147">
        <v>0</v>
      </c>
      <c r="E13" s="159">
        <v>0</v>
      </c>
      <c r="F13" s="147">
        <v>4.8917313108959402E-7</v>
      </c>
      <c r="G13" s="147">
        <v>4.4749573623322746E-5</v>
      </c>
      <c r="H13" s="146">
        <v>1.2647922021981133E-4</v>
      </c>
      <c r="I13" s="145">
        <v>5.3194409395239145E-4</v>
      </c>
      <c r="J13" s="143">
        <f>(($M13/$H13)^0.2)^2*H13</f>
        <v>2.4783133224031296E-4</v>
      </c>
      <c r="K13" s="143">
        <f>($M13/$H13)^0.2*J13</f>
        <v>3.4691631733876075E-4</v>
      </c>
      <c r="L13" s="143">
        <f>($M13/$H13)^0.2*K13</f>
        <v>4.8561628647982193E-4</v>
      </c>
      <c r="M13" s="143">
        <f>'Electric Ratio'!T13*'Electric Ratio'!U13*Projection!$B$1</f>
        <v>6.7976963292900726E-4</v>
      </c>
      <c r="N13" s="144">
        <f t="shared" si="7"/>
        <v>7.8299381893083705E-4</v>
      </c>
      <c r="O13" s="143">
        <f t="shared" si="7"/>
        <v>9.0189277482467995E-4</v>
      </c>
      <c r="P13" s="143">
        <f t="shared" si="7"/>
        <v>1.0388467413339959E-3</v>
      </c>
      <c r="Q13" s="143">
        <f t="shared" si="7"/>
        <v>1.1965974028232454E-3</v>
      </c>
      <c r="R13" s="142">
        <f>'Electric Ratio'!T14*'Electric Ratio'!U14*Projection!$B$1</f>
        <v>1.3783027731354158E-3</v>
      </c>
      <c r="S13" s="144">
        <f t="shared" si="8"/>
        <v>1.5243061054981567E-3</v>
      </c>
      <c r="T13" s="143">
        <f t="shared" si="8"/>
        <v>1.6857755411558452E-3</v>
      </c>
      <c r="U13" s="143">
        <f t="shared" si="8"/>
        <v>1.864349401284163E-3</v>
      </c>
      <c r="V13" s="143">
        <f t="shared" si="8"/>
        <v>2.0618395540876397E-3</v>
      </c>
      <c r="W13" s="142">
        <f>'Electric Ratio'!T15*'Electric Ratio'!U15*Projection!$B$1</f>
        <v>2.2802497986011117E-3</v>
      </c>
      <c r="X13" s="144">
        <f t="shared" si="9"/>
        <v>2.4743494292559821E-3</v>
      </c>
      <c r="Y13" s="143">
        <f t="shared" si="9"/>
        <v>2.6849712263171247E-3</v>
      </c>
      <c r="Z13" s="143">
        <f t="shared" si="9"/>
        <v>2.9135215911354111E-3</v>
      </c>
      <c r="AA13" s="143">
        <f t="shared" si="9"/>
        <v>3.1615266408853569E-3</v>
      </c>
      <c r="AB13" s="142">
        <f>'Electric Ratio'!T16*'Electric Ratio'!U16*Projection!$B$1</f>
        <v>3.4306423990263495E-3</v>
      </c>
      <c r="AC13" s="144">
        <f t="shared" si="10"/>
        <v>3.6466803719864996E-3</v>
      </c>
      <c r="AD13" s="143">
        <f t="shared" si="10"/>
        <v>3.8763229123518613E-3</v>
      </c>
      <c r="AE13" s="143">
        <f t="shared" si="10"/>
        <v>4.1204267410578652E-3</v>
      </c>
      <c r="AF13" s="143">
        <f t="shared" si="10"/>
        <v>4.3799025293596652E-3</v>
      </c>
      <c r="AG13" s="142">
        <f>'Electric Ratio'!T17*'Electric Ratio'!U17*Projection!$B$1</f>
        <v>4.6557182962476511E-3</v>
      </c>
      <c r="AH13" s="144">
        <f t="shared" si="11"/>
        <v>4.9087396971658351E-3</v>
      </c>
      <c r="AI13" s="143">
        <f t="shared" si="11"/>
        <v>5.1755118933961407E-3</v>
      </c>
      <c r="AJ13" s="143">
        <f t="shared" si="11"/>
        <v>5.4567821907831708E-3</v>
      </c>
      <c r="AK13" s="143">
        <f t="shared" si="11"/>
        <v>5.7533385085333528E-3</v>
      </c>
      <c r="AL13" s="142">
        <f>'Electric Ratio'!T18*'Electric Ratio'!U18*Projection!$B$1</f>
        <v>6.066011586403827E-3</v>
      </c>
      <c r="AM13" s="144">
        <f t="shared" si="12"/>
        <v>6.282956723681502E-3</v>
      </c>
      <c r="AN13" s="143">
        <f t="shared" si="12"/>
        <v>6.5076606975387049E-3</v>
      </c>
      <c r="AO13" s="143">
        <f t="shared" si="12"/>
        <v>6.7404009953891814E-3</v>
      </c>
      <c r="AP13" s="143">
        <f t="shared" si="12"/>
        <v>6.9814650287202146E-3</v>
      </c>
      <c r="AQ13" s="142">
        <f>'Electric Ratio'!T19*'Electric Ratio'!U19*Projection!$B$1</f>
        <v>6.8584202273797397E-3</v>
      </c>
      <c r="AR13" s="144">
        <f t="shared" si="13"/>
        <v>7.0044750019724661E-3</v>
      </c>
      <c r="AS13" s="143">
        <f t="shared" si="13"/>
        <v>7.1536401134174275E-3</v>
      </c>
      <c r="AT13" s="143">
        <f t="shared" si="13"/>
        <v>7.3059817984765605E-3</v>
      </c>
      <c r="AU13" s="143">
        <f t="shared" si="13"/>
        <v>7.461567704469191E-3</v>
      </c>
      <c r="AV13" s="142">
        <f>'Electric Ratio'!T20*'Electric Ratio'!U20*Projection!$B$1</f>
        <v>7.6204669193108213E-3</v>
      </c>
    </row>
    <row r="14" spans="1:48" x14ac:dyDescent="0.15">
      <c r="A14" s="149" t="s">
        <v>125</v>
      </c>
      <c r="B14" s="162" t="s">
        <v>986</v>
      </c>
      <c r="C14" s="145">
        <v>0</v>
      </c>
      <c r="D14" s="147">
        <v>0</v>
      </c>
      <c r="E14" s="159">
        <v>0</v>
      </c>
      <c r="F14" s="147">
        <v>0</v>
      </c>
      <c r="G14" s="147">
        <v>0</v>
      </c>
      <c r="H14" s="146">
        <v>0</v>
      </c>
      <c r="I14" s="145">
        <v>0</v>
      </c>
      <c r="J14" s="143"/>
      <c r="K14" s="143"/>
      <c r="L14" s="143"/>
      <c r="M14" s="143"/>
      <c r="N14" s="144"/>
      <c r="O14" s="143"/>
      <c r="P14" s="143"/>
      <c r="Q14" s="143"/>
      <c r="R14" s="142"/>
      <c r="S14" s="144"/>
      <c r="T14" s="143"/>
      <c r="U14" s="143"/>
      <c r="V14" s="143"/>
      <c r="W14" s="142"/>
      <c r="X14" s="144"/>
      <c r="Y14" s="143"/>
      <c r="Z14" s="143"/>
      <c r="AA14" s="143"/>
      <c r="AB14" s="142"/>
      <c r="AC14" s="144"/>
      <c r="AD14" s="143"/>
      <c r="AE14" s="143"/>
      <c r="AF14" s="143"/>
      <c r="AG14" s="142"/>
      <c r="AH14" s="144"/>
      <c r="AI14" s="143"/>
      <c r="AJ14" s="143"/>
      <c r="AK14" s="143"/>
      <c r="AL14" s="142"/>
      <c r="AM14" s="144"/>
      <c r="AN14" s="143"/>
      <c r="AO14" s="143"/>
      <c r="AP14" s="143"/>
      <c r="AQ14" s="142"/>
      <c r="AR14" s="144"/>
      <c r="AS14" s="143"/>
      <c r="AT14" s="143"/>
      <c r="AU14" s="143"/>
      <c r="AV14" s="142"/>
    </row>
    <row r="15" spans="1:48" x14ac:dyDescent="0.15">
      <c r="A15" s="141" t="s">
        <v>126</v>
      </c>
      <c r="B15" s="162" t="s">
        <v>986</v>
      </c>
      <c r="C15" s="137">
        <v>0</v>
      </c>
      <c r="D15" s="139">
        <v>0</v>
      </c>
      <c r="E15" s="161">
        <v>0</v>
      </c>
      <c r="F15" s="139">
        <v>0</v>
      </c>
      <c r="G15" s="139">
        <v>0</v>
      </c>
      <c r="H15" s="138">
        <v>0</v>
      </c>
      <c r="I15" s="137">
        <v>1.2766658254857395E-6</v>
      </c>
      <c r="J15" s="135">
        <f t="shared" ref="J15:AV15" si="14">J29</f>
        <v>2.0174360542372349E-6</v>
      </c>
      <c r="K15" s="135">
        <f t="shared" si="14"/>
        <v>2.0174360542372349E-6</v>
      </c>
      <c r="L15" s="135">
        <f t="shared" si="14"/>
        <v>2.0174360542372349E-6</v>
      </c>
      <c r="M15" s="135">
        <f t="shared" si="14"/>
        <v>3.1610750000005128E-4</v>
      </c>
      <c r="N15" s="136">
        <f t="shared" si="14"/>
        <v>4.4239980000004842E-4</v>
      </c>
      <c r="O15" s="135">
        <f t="shared" si="14"/>
        <v>5.6869210000004555E-4</v>
      </c>
      <c r="P15" s="135">
        <f t="shared" si="14"/>
        <v>6.9498440000004269E-4</v>
      </c>
      <c r="Q15" s="135">
        <f t="shared" si="14"/>
        <v>8.2127670000003983E-4</v>
      </c>
      <c r="R15" s="134">
        <f t="shared" si="14"/>
        <v>9.4756900000003697E-4</v>
      </c>
      <c r="S15" s="136">
        <f t="shared" si="14"/>
        <v>1.0738613000000341E-3</v>
      </c>
      <c r="T15" s="135">
        <f t="shared" si="14"/>
        <v>1.2001536000000312E-3</v>
      </c>
      <c r="U15" s="135">
        <f t="shared" si="14"/>
        <v>1.3264459000000284E-3</v>
      </c>
      <c r="V15" s="135">
        <f t="shared" si="14"/>
        <v>1.4527382000000255E-3</v>
      </c>
      <c r="W15" s="134">
        <f t="shared" si="14"/>
        <v>1.5790305000000227E-3</v>
      </c>
      <c r="X15" s="136">
        <f t="shared" si="14"/>
        <v>1.7053228000000198E-3</v>
      </c>
      <c r="Y15" s="135">
        <f t="shared" si="14"/>
        <v>1.8316151000000169E-3</v>
      </c>
      <c r="Z15" s="135">
        <f t="shared" si="14"/>
        <v>1.9579074000000141E-3</v>
      </c>
      <c r="AA15" s="135">
        <f t="shared" si="14"/>
        <v>2.0841997000000667E-3</v>
      </c>
      <c r="AB15" s="134">
        <f t="shared" si="14"/>
        <v>2.2104920000000639E-3</v>
      </c>
      <c r="AC15" s="136">
        <f t="shared" si="14"/>
        <v>2.336784300000061E-3</v>
      </c>
      <c r="AD15" s="135">
        <f t="shared" si="14"/>
        <v>2.4630766000000581E-3</v>
      </c>
      <c r="AE15" s="135">
        <f t="shared" si="14"/>
        <v>2.5893689000000553E-3</v>
      </c>
      <c r="AF15" s="135">
        <f t="shared" si="14"/>
        <v>2.7156612000000524E-3</v>
      </c>
      <c r="AG15" s="134">
        <f t="shared" si="14"/>
        <v>2.8419535000000495E-3</v>
      </c>
      <c r="AH15" s="136">
        <f t="shared" si="14"/>
        <v>2.9682458000000467E-3</v>
      </c>
      <c r="AI15" s="135">
        <f t="shared" si="14"/>
        <v>3.0945381000000438E-3</v>
      </c>
      <c r="AJ15" s="135">
        <f t="shared" si="14"/>
        <v>3.2208304000000409E-3</v>
      </c>
      <c r="AK15" s="135">
        <f t="shared" si="14"/>
        <v>3.3471227000000381E-3</v>
      </c>
      <c r="AL15" s="134">
        <f t="shared" si="14"/>
        <v>3.4734150000000352E-3</v>
      </c>
      <c r="AM15" s="136">
        <f t="shared" si="14"/>
        <v>3.5997073000000324E-3</v>
      </c>
      <c r="AN15" s="135">
        <f t="shared" si="14"/>
        <v>3.7259996000000295E-3</v>
      </c>
      <c r="AO15" s="135">
        <f t="shared" si="14"/>
        <v>3.8522919000000266E-3</v>
      </c>
      <c r="AP15" s="135">
        <f t="shared" si="14"/>
        <v>3.9785842000000238E-3</v>
      </c>
      <c r="AQ15" s="134">
        <f t="shared" si="14"/>
        <v>4.1048765000000209E-3</v>
      </c>
      <c r="AR15" s="136">
        <f t="shared" si="14"/>
        <v>4.231168800000018E-3</v>
      </c>
      <c r="AS15" s="135">
        <f t="shared" si="14"/>
        <v>4.3574611000000152E-3</v>
      </c>
      <c r="AT15" s="135">
        <f t="shared" si="14"/>
        <v>4.4837534000000678E-3</v>
      </c>
      <c r="AU15" s="135">
        <f t="shared" si="14"/>
        <v>4.610045700000065E-3</v>
      </c>
      <c r="AV15" s="134">
        <f t="shared" si="14"/>
        <v>4.7363380000000621E-3</v>
      </c>
    </row>
    <row r="16" spans="1:48" x14ac:dyDescent="0.15">
      <c r="A16" s="156" t="s">
        <v>1</v>
      </c>
      <c r="B16" s="158" t="s">
        <v>983</v>
      </c>
      <c r="C16" s="153" cm="1">
        <f t="array" ref="C16:I22">TRANSPOSE('Pivot Table'!O20:U26)</f>
        <v>0.30889060618586345</v>
      </c>
      <c r="D16" s="155">
        <v>0.35811116398516557</v>
      </c>
      <c r="E16" s="160">
        <v>0.37823071451153967</v>
      </c>
      <c r="F16" s="155">
        <v>0.47349221655875467</v>
      </c>
      <c r="G16" s="155">
        <v>0.43749962150344884</v>
      </c>
      <c r="H16" s="154">
        <v>0.51950070654733871</v>
      </c>
      <c r="I16" s="153">
        <v>0.42638832289852924</v>
      </c>
      <c r="J16" s="151">
        <f>(($M16/$H16)^0.2)^2*H16</f>
        <v>0.55031605819483764</v>
      </c>
      <c r="K16" s="151">
        <f>($M16/$H16)^0.2*J16</f>
        <v>0.56640255955977692</v>
      </c>
      <c r="L16" s="151">
        <f>($M16/$H16)^0.2*K16</f>
        <v>0.58295929166269078</v>
      </c>
      <c r="M16" s="151">
        <f>0.6*$B$1</f>
        <v>0.6</v>
      </c>
      <c r="N16" s="152">
        <f>($R16/$M16)^0.2*M16</f>
        <v>0.61878618388652706</v>
      </c>
      <c r="O16" s="151">
        <f>($R16/$M16)^0.2*N16</f>
        <v>0.63816056894808482</v>
      </c>
      <c r="P16" s="151">
        <f>($R16/$M16)^0.2*O16</f>
        <v>0.65814157194373391</v>
      </c>
      <c r="Q16" s="151">
        <f>($R16/$M16)^0.2*P16</f>
        <v>0.67874818626690547</v>
      </c>
      <c r="R16" s="150">
        <f>0.7*$B$1</f>
        <v>0.7</v>
      </c>
      <c r="S16" s="152">
        <f>($W16/$R16)^0.2*R16</f>
        <v>0.71160853846783911</v>
      </c>
      <c r="T16" s="151">
        <f>($W16/$R16)^0.2*S16</f>
        <v>0.72340958860047722</v>
      </c>
      <c r="U16" s="151">
        <f>($W16/$R16)^0.2*T16</f>
        <v>0.73540634293943763</v>
      </c>
      <c r="V16" s="151">
        <f>($W16/$R16)^0.2*U16</f>
        <v>0.74760204697015953</v>
      </c>
      <c r="W16" s="150">
        <f>0.76*$B$1</f>
        <v>0.76</v>
      </c>
      <c r="X16" s="152">
        <f>($AB16/$W16)^0.2*W16</f>
        <v>0.77720334120388512</v>
      </c>
      <c r="Y16" s="151">
        <f>($AB16/$W16)^0.2*X16</f>
        <v>0.79479609681379293</v>
      </c>
      <c r="Z16" s="151">
        <f>($AB16/$W16)^0.2*Y16</f>
        <v>0.81278708160458735</v>
      </c>
      <c r="AA16" s="151">
        <f>($AB16/$W16)^0.2*Z16</f>
        <v>0.831185309882158</v>
      </c>
      <c r="AB16" s="150">
        <f>0.85*$B$1</f>
        <v>0.85</v>
      </c>
      <c r="AC16" s="152">
        <f>($AG16/$AB16)^0.2*AB16</f>
        <v>0.87808213349684239</v>
      </c>
      <c r="AD16" s="151">
        <f>($AG16/$AB16)^0.2*AC16</f>
        <v>0.90709203901925484</v>
      </c>
      <c r="AE16" s="151">
        <f>($AG16/$AB16)^0.2*AD16</f>
        <v>0.93706036811768045</v>
      </c>
      <c r="AF16" s="151">
        <f>($AG16/$AB16)^0.2*AE16</f>
        <v>0.96801878500248173</v>
      </c>
      <c r="AG16" s="150">
        <f>1*$B$1</f>
        <v>1</v>
      </c>
      <c r="AH16" s="152">
        <f>($AL16/$AG16)^0.2*AG16</f>
        <v>1</v>
      </c>
      <c r="AI16" s="151">
        <f>($AL16/$AG16)^0.2*AH16</f>
        <v>1</v>
      </c>
      <c r="AJ16" s="151">
        <f>($AL16/$AG16)^0.2*AI16</f>
        <v>1</v>
      </c>
      <c r="AK16" s="151">
        <f>($AL16/$AG16)^0.2*AJ16</f>
        <v>1</v>
      </c>
      <c r="AL16" s="150">
        <f>1*$B$1</f>
        <v>1</v>
      </c>
      <c r="AM16" s="152">
        <f>($AQ16/$AK16)^0.2*AL16</f>
        <v>1</v>
      </c>
      <c r="AN16" s="151">
        <f>($AQ16/$AK16)^0.2*AM16</f>
        <v>1</v>
      </c>
      <c r="AO16" s="151">
        <f>($AQ16/$AK16)^0.2*AN16</f>
        <v>1</v>
      </c>
      <c r="AP16" s="151">
        <f>($AQ16/$AK16)^0.2*AO16</f>
        <v>1</v>
      </c>
      <c r="AQ16" s="150">
        <v>1</v>
      </c>
      <c r="AR16" s="152">
        <f>($AV16/$AQ16)^0.2*AQ16</f>
        <v>1</v>
      </c>
      <c r="AS16" s="151">
        <f>($AV16/$AQ16)^0.2*AR16</f>
        <v>1</v>
      </c>
      <c r="AT16" s="151">
        <f>($AV16/$AQ16)^0.2*AS16</f>
        <v>1</v>
      </c>
      <c r="AU16" s="151">
        <f>($AV16/$AQ16)^0.2*AT16</f>
        <v>1</v>
      </c>
      <c r="AV16" s="150">
        <f>1*$B$1</f>
        <v>1</v>
      </c>
    </row>
    <row r="17" spans="1:48" x14ac:dyDescent="0.15">
      <c r="A17" s="149" t="s">
        <v>2</v>
      </c>
      <c r="B17" s="158" t="s">
        <v>983</v>
      </c>
      <c r="C17" s="145">
        <v>9.2004385097855981E-2</v>
      </c>
      <c r="D17" s="147">
        <v>4.5612392979199522E-2</v>
      </c>
      <c r="E17" s="159">
        <v>4.3377529244388237E-2</v>
      </c>
      <c r="F17" s="147">
        <v>2.111585617853699E-2</v>
      </c>
      <c r="G17" s="147">
        <v>1.2608477111556559E-2</v>
      </c>
      <c r="H17" s="146">
        <v>8.6198775317946306E-3</v>
      </c>
      <c r="I17" s="145">
        <v>4.8994183677249659E-3</v>
      </c>
      <c r="J17" s="143"/>
      <c r="K17" s="143"/>
      <c r="L17" s="143"/>
      <c r="M17" s="143"/>
      <c r="N17" s="144"/>
      <c r="O17" s="143"/>
      <c r="P17" s="143"/>
      <c r="Q17" s="143"/>
      <c r="R17" s="142"/>
      <c r="S17" s="144"/>
      <c r="T17" s="143"/>
      <c r="U17" s="143"/>
      <c r="V17" s="143"/>
      <c r="W17" s="142"/>
      <c r="X17" s="144"/>
      <c r="Y17" s="143"/>
      <c r="Z17" s="143"/>
      <c r="AA17" s="143"/>
      <c r="AB17" s="142"/>
      <c r="AC17" s="144"/>
      <c r="AD17" s="143"/>
      <c r="AE17" s="143"/>
      <c r="AF17" s="143"/>
      <c r="AG17" s="142"/>
      <c r="AH17" s="144"/>
      <c r="AI17" s="143"/>
      <c r="AJ17" s="143"/>
      <c r="AK17" s="143"/>
      <c r="AL17" s="142"/>
      <c r="AM17" s="144"/>
      <c r="AN17" s="143"/>
      <c r="AO17" s="143"/>
      <c r="AP17" s="143"/>
      <c r="AQ17" s="142"/>
      <c r="AR17" s="144"/>
      <c r="AS17" s="143"/>
      <c r="AT17" s="143"/>
      <c r="AU17" s="143"/>
      <c r="AV17" s="142"/>
    </row>
    <row r="18" spans="1:48" x14ac:dyDescent="0.15">
      <c r="A18" s="149" t="s">
        <v>3</v>
      </c>
      <c r="B18" s="158" t="s">
        <v>983</v>
      </c>
      <c r="C18" s="145">
        <v>6.5593156371870673E-2</v>
      </c>
      <c r="D18" s="147">
        <v>7.5434670609934987E-2</v>
      </c>
      <c r="E18" s="147">
        <v>8.3025411002213084E-2</v>
      </c>
      <c r="F18" s="147">
        <v>7.0279652844744453E-2</v>
      </c>
      <c r="G18" s="147">
        <v>9.2686235443022638E-2</v>
      </c>
      <c r="H18" s="146">
        <v>7.4884597268016953E-2</v>
      </c>
      <c r="I18" s="145">
        <v>0.11429815137257808</v>
      </c>
      <c r="J18" s="143"/>
      <c r="K18" s="143"/>
      <c r="L18" s="143"/>
      <c r="M18" s="143"/>
      <c r="N18" s="144"/>
      <c r="O18" s="143"/>
      <c r="P18" s="143"/>
      <c r="Q18" s="143"/>
      <c r="R18" s="142"/>
      <c r="S18" s="144"/>
      <c r="T18" s="143"/>
      <c r="U18" s="143"/>
      <c r="V18" s="143"/>
      <c r="W18" s="142"/>
      <c r="X18" s="144"/>
      <c r="Y18" s="143"/>
      <c r="Z18" s="143"/>
      <c r="AA18" s="143"/>
      <c r="AB18" s="142"/>
      <c r="AC18" s="144"/>
      <c r="AD18" s="143"/>
      <c r="AE18" s="143"/>
      <c r="AF18" s="143"/>
      <c r="AG18" s="142"/>
      <c r="AH18" s="144"/>
      <c r="AI18" s="143"/>
      <c r="AJ18" s="143"/>
      <c r="AK18" s="143"/>
      <c r="AL18" s="142"/>
      <c r="AM18" s="144"/>
      <c r="AN18" s="143"/>
      <c r="AO18" s="143"/>
      <c r="AP18" s="143"/>
      <c r="AQ18" s="142"/>
      <c r="AR18" s="144"/>
      <c r="AS18" s="143"/>
      <c r="AT18" s="143"/>
      <c r="AU18" s="143"/>
      <c r="AV18" s="142"/>
    </row>
    <row r="19" spans="1:48" x14ac:dyDescent="0.15">
      <c r="A19" s="149" t="s">
        <v>4</v>
      </c>
      <c r="B19" s="158" t="s">
        <v>983</v>
      </c>
      <c r="C19" s="145">
        <v>0.4427367323832288</v>
      </c>
      <c r="D19" s="147">
        <v>0.44752293794465003</v>
      </c>
      <c r="E19" s="147">
        <v>0.42141064653809673</v>
      </c>
      <c r="F19" s="147">
        <v>0.39918446066951369</v>
      </c>
      <c r="G19" s="147">
        <v>0.42403725617252175</v>
      </c>
      <c r="H19" s="146">
        <v>0.33670277908619878</v>
      </c>
      <c r="I19" s="145">
        <v>0.43334382988182119</v>
      </c>
      <c r="J19" s="143">
        <v>1</v>
      </c>
      <c r="K19" s="143">
        <v>1</v>
      </c>
      <c r="L19" s="143">
        <v>1</v>
      </c>
      <c r="M19" s="143">
        <v>1</v>
      </c>
      <c r="N19" s="144">
        <f t="shared" ref="N19:Q20" si="15">($R19/$M19)^0.2*M19</f>
        <v>1</v>
      </c>
      <c r="O19" s="143">
        <f t="shared" si="15"/>
        <v>1</v>
      </c>
      <c r="P19" s="143">
        <f t="shared" si="15"/>
        <v>1</v>
      </c>
      <c r="Q19" s="143">
        <f t="shared" si="15"/>
        <v>1</v>
      </c>
      <c r="R19" s="142">
        <v>1</v>
      </c>
      <c r="S19" s="144">
        <f t="shared" ref="S19:V20" si="16">($W19/$R19)^0.2*R19</f>
        <v>1</v>
      </c>
      <c r="T19" s="143">
        <f t="shared" si="16"/>
        <v>1</v>
      </c>
      <c r="U19" s="143">
        <f t="shared" si="16"/>
        <v>1</v>
      </c>
      <c r="V19" s="143">
        <f t="shared" si="16"/>
        <v>1</v>
      </c>
      <c r="W19" s="142">
        <v>1</v>
      </c>
      <c r="X19" s="144">
        <f t="shared" ref="X19:AA20" si="17">($AB19/$W19)^0.2*W19</f>
        <v>1</v>
      </c>
      <c r="Y19" s="143">
        <f t="shared" si="17"/>
        <v>1</v>
      </c>
      <c r="Z19" s="143">
        <f t="shared" si="17"/>
        <v>1</v>
      </c>
      <c r="AA19" s="143">
        <f t="shared" si="17"/>
        <v>1</v>
      </c>
      <c r="AB19" s="142">
        <v>1</v>
      </c>
      <c r="AC19" s="144">
        <f t="shared" ref="AC19:AF20" si="18">($AG19/$AB19)^0.2*AB19</f>
        <v>1</v>
      </c>
      <c r="AD19" s="143">
        <f t="shared" si="18"/>
        <v>1</v>
      </c>
      <c r="AE19" s="143">
        <f t="shared" si="18"/>
        <v>1</v>
      </c>
      <c r="AF19" s="143">
        <f t="shared" si="18"/>
        <v>1</v>
      </c>
      <c r="AG19" s="142">
        <v>1</v>
      </c>
      <c r="AH19" s="144">
        <f t="shared" ref="AH19:AK20" si="19">($AL19/$AG19)^0.2*AG19</f>
        <v>1</v>
      </c>
      <c r="AI19" s="143">
        <f t="shared" si="19"/>
        <v>1</v>
      </c>
      <c r="AJ19" s="143">
        <f t="shared" si="19"/>
        <v>1</v>
      </c>
      <c r="AK19" s="143">
        <f t="shared" si="19"/>
        <v>1</v>
      </c>
      <c r="AL19" s="142">
        <v>1</v>
      </c>
      <c r="AM19" s="144">
        <f t="shared" ref="AM19:AP20" si="20">($AQ19/$AK19)^0.2*AL19</f>
        <v>1</v>
      </c>
      <c r="AN19" s="143">
        <f t="shared" si="20"/>
        <v>1</v>
      </c>
      <c r="AO19" s="143">
        <f t="shared" si="20"/>
        <v>1</v>
      </c>
      <c r="AP19" s="143">
        <f t="shared" si="20"/>
        <v>1</v>
      </c>
      <c r="AQ19" s="142">
        <v>1</v>
      </c>
      <c r="AR19" s="144">
        <f t="shared" ref="AR19:AU20" si="21">($AV19/$AQ19)^0.2*AQ19</f>
        <v>1</v>
      </c>
      <c r="AS19" s="143">
        <f t="shared" si="21"/>
        <v>1</v>
      </c>
      <c r="AT19" s="143">
        <f t="shared" si="21"/>
        <v>1</v>
      </c>
      <c r="AU19" s="143">
        <f t="shared" si="21"/>
        <v>1</v>
      </c>
      <c r="AV19" s="142">
        <v>1</v>
      </c>
    </row>
    <row r="20" spans="1:48" x14ac:dyDescent="0.15">
      <c r="A20" s="149" t="s">
        <v>5</v>
      </c>
      <c r="B20" s="158" t="s">
        <v>983</v>
      </c>
      <c r="C20" s="145">
        <v>6.0747982675269124E-2</v>
      </c>
      <c r="D20" s="147">
        <v>2.1016781176137457E-2</v>
      </c>
      <c r="E20" s="147">
        <v>6.2050466329434083E-2</v>
      </c>
      <c r="F20" s="147">
        <v>3.2175230748036916E-2</v>
      </c>
      <c r="G20" s="147">
        <v>2.6028450828756048E-2</v>
      </c>
      <c r="H20" s="146">
        <v>4.7564766839378235E-2</v>
      </c>
      <c r="I20" s="145">
        <v>1.1354795687770904E-2</v>
      </c>
      <c r="J20" s="143">
        <f>(($M20/$H20)^0.2)^2*H20</f>
        <v>2.3984766950613964E-2</v>
      </c>
      <c r="K20" s="143">
        <f>($M20/$H20)^0.2*J20</f>
        <v>1.7031800773065292E-2</v>
      </c>
      <c r="L20" s="143">
        <f>($M20/$H20)^0.2*K20</f>
        <v>1.2094436363325262E-2</v>
      </c>
      <c r="M20" s="143">
        <f>M16*('Electric Ratio'!$Y13/'Electric Ratio'!$Z13)</f>
        <v>8.588369068868491E-3</v>
      </c>
      <c r="N20" s="144">
        <f t="shared" si="15"/>
        <v>8.9074883778926407E-3</v>
      </c>
      <c r="O20" s="143">
        <f t="shared" si="15"/>
        <v>9.2384652506259692E-3</v>
      </c>
      <c r="P20" s="143">
        <f t="shared" si="15"/>
        <v>9.5817402803298098E-3</v>
      </c>
      <c r="Q20" s="143">
        <f t="shared" si="15"/>
        <v>9.9377704314549467E-3</v>
      </c>
      <c r="R20" s="142">
        <f>R16*('Electric Ratio'!$Y14/'Electric Ratio'!$Z14)</f>
        <v>1.0307029647948343E-2</v>
      </c>
      <c r="S20" s="144">
        <f t="shared" si="16"/>
        <v>1.0694678681186773E-2</v>
      </c>
      <c r="T20" s="143">
        <f t="shared" si="16"/>
        <v>1.109690725655358E-2</v>
      </c>
      <c r="U20" s="143">
        <f t="shared" si="16"/>
        <v>1.1514263712959601E-2</v>
      </c>
      <c r="V20" s="143">
        <f t="shared" si="16"/>
        <v>1.1947317012429794E-2</v>
      </c>
      <c r="W20" s="142">
        <f>W16*('Electric Ratio'!$Y15/'Electric Ratio'!$Z15)</f>
        <v>1.2396657515741857E-2</v>
      </c>
      <c r="X20" s="144">
        <f t="shared" si="17"/>
        <v>1.2626208168150356E-2</v>
      </c>
      <c r="Y20" s="143">
        <f t="shared" si="17"/>
        <v>1.2860009442305424E-2</v>
      </c>
      <c r="Z20" s="143">
        <f t="shared" si="17"/>
        <v>1.3098140047568338E-2</v>
      </c>
      <c r="AA20" s="143">
        <f t="shared" si="17"/>
        <v>1.3340680150772702E-2</v>
      </c>
      <c r="AB20" s="142">
        <f>AB16*('Electric Ratio'!$Y16/'Electric Ratio'!$Z16)</f>
        <v>1.358771140321266E-2</v>
      </c>
      <c r="AC20" s="144">
        <f t="shared" si="18"/>
        <v>1.4211008069236215E-2</v>
      </c>
      <c r="AD20" s="143">
        <f t="shared" si="18"/>
        <v>1.4862896653526757E-2</v>
      </c>
      <c r="AE20" s="143">
        <f t="shared" si="18"/>
        <v>1.5544688727017921E-2</v>
      </c>
      <c r="AF20" s="143">
        <f t="shared" si="18"/>
        <v>1.6257756025137998E-2</v>
      </c>
      <c r="AG20" s="142">
        <f>AG16*('Electric Ratio'!$Y17/'Electric Ratio'!$Z17)</f>
        <v>1.7003533207680822E-2</v>
      </c>
      <c r="AH20" s="144">
        <f t="shared" si="19"/>
        <v>1.6964739527302704E-2</v>
      </c>
      <c r="AI20" s="143">
        <f t="shared" si="19"/>
        <v>1.6926034354978702E-2</v>
      </c>
      <c r="AJ20" s="143">
        <f t="shared" si="19"/>
        <v>1.6887417488777066E-2</v>
      </c>
      <c r="AK20" s="143">
        <f t="shared" si="19"/>
        <v>1.6848888727226761E-2</v>
      </c>
      <c r="AL20" s="142">
        <f>AL16*('Electric Ratio'!$Y18/'Electric Ratio'!$Z18)</f>
        <v>1.6810447869316406E-2</v>
      </c>
      <c r="AM20" s="144">
        <f t="shared" si="20"/>
        <v>1.6884467076475385E-2</v>
      </c>
      <c r="AN20" s="143">
        <f t="shared" si="20"/>
        <v>1.6958812202555205E-2</v>
      </c>
      <c r="AO20" s="143">
        <f t="shared" si="20"/>
        <v>1.7033484682631266E-2</v>
      </c>
      <c r="AP20" s="143">
        <f t="shared" si="20"/>
        <v>1.7108485958097833E-2</v>
      </c>
      <c r="AQ20" s="142">
        <f>AQ16*('Electric Ratio'!$Y19/'Electric Ratio'!$Z19)</f>
        <v>1.7223112127921974E-2</v>
      </c>
      <c r="AR20" s="144">
        <f t="shared" si="21"/>
        <v>1.7145012437614481E-2</v>
      </c>
      <c r="AS20" s="143">
        <f t="shared" si="21"/>
        <v>1.70672668971018E-2</v>
      </c>
      <c r="AT20" s="143">
        <f t="shared" si="21"/>
        <v>1.6989873900461083E-2</v>
      </c>
      <c r="AU20" s="143">
        <f t="shared" si="21"/>
        <v>1.6912831849051676E-2</v>
      </c>
      <c r="AV20" s="142">
        <f>AV16*('Electric Ratio'!$Y20/'Electric Ratio'!$Z20)</f>
        <v>1.6836139151482105E-2</v>
      </c>
    </row>
    <row r="21" spans="1:48" x14ac:dyDescent="0.15">
      <c r="A21" s="149" t="s">
        <v>125</v>
      </c>
      <c r="B21" s="158" t="s">
        <v>983</v>
      </c>
      <c r="C21" s="145">
        <v>0</v>
      </c>
      <c r="D21" s="147">
        <v>0</v>
      </c>
      <c r="E21" s="147">
        <v>0</v>
      </c>
      <c r="F21" s="147">
        <v>0</v>
      </c>
      <c r="G21" s="147">
        <v>0</v>
      </c>
      <c r="H21" s="146">
        <v>0</v>
      </c>
      <c r="I21" s="145">
        <v>0</v>
      </c>
      <c r="J21" s="143"/>
      <c r="K21" s="143"/>
      <c r="L21" s="143"/>
      <c r="M21" s="143"/>
      <c r="N21" s="144"/>
      <c r="O21" s="143"/>
      <c r="P21" s="143"/>
      <c r="Q21" s="143"/>
      <c r="R21" s="142"/>
      <c r="S21" s="144"/>
      <c r="T21" s="143"/>
      <c r="U21" s="143"/>
      <c r="V21" s="143"/>
      <c r="W21" s="142"/>
      <c r="X21" s="144"/>
      <c r="Y21" s="143"/>
      <c r="Z21" s="143"/>
      <c r="AA21" s="143"/>
      <c r="AB21" s="142"/>
      <c r="AC21" s="144"/>
      <c r="AD21" s="143"/>
      <c r="AE21" s="143"/>
      <c r="AF21" s="143"/>
      <c r="AG21" s="142"/>
      <c r="AH21" s="144"/>
      <c r="AI21" s="143"/>
      <c r="AJ21" s="143"/>
      <c r="AK21" s="143"/>
      <c r="AL21" s="142"/>
      <c r="AM21" s="144"/>
      <c r="AN21" s="143"/>
      <c r="AO21" s="143"/>
      <c r="AP21" s="143"/>
      <c r="AQ21" s="142"/>
      <c r="AR21" s="144"/>
      <c r="AS21" s="143"/>
      <c r="AT21" s="143"/>
      <c r="AU21" s="143"/>
      <c r="AV21" s="142"/>
    </row>
    <row r="22" spans="1:48" x14ac:dyDescent="0.15">
      <c r="A22" s="141" t="s">
        <v>126</v>
      </c>
      <c r="B22" s="157" t="s">
        <v>983</v>
      </c>
      <c r="C22" s="145">
        <v>0</v>
      </c>
      <c r="D22" s="147">
        <v>1.1405064635254235E-4</v>
      </c>
      <c r="E22" s="147">
        <v>5.6809200126462216E-4</v>
      </c>
      <c r="F22" s="147">
        <v>2.4080451852872297E-3</v>
      </c>
      <c r="G22" s="147">
        <v>7.1217911062394397E-3</v>
      </c>
      <c r="H22" s="146">
        <v>1.2727272727272728E-2</v>
      </c>
      <c r="I22" s="137">
        <v>9.696958470714629E-3</v>
      </c>
      <c r="J22" s="135" cm="1">
        <f t="array" ref="J22:AV22">TRANSPOSE(Hydrogen!M17:M55)</f>
        <v>7.0419100000002288E-2</v>
      </c>
      <c r="K22" s="135">
        <v>9.2868150000008143E-2</v>
      </c>
      <c r="L22" s="135">
        <v>0.11531720000000689</v>
      </c>
      <c r="M22" s="135">
        <v>0.13776625000000564</v>
      </c>
      <c r="N22" s="136">
        <v>0.16021530000000439</v>
      </c>
      <c r="O22" s="135">
        <v>0.18266435000000314</v>
      </c>
      <c r="P22" s="135">
        <v>0.20511340000000189</v>
      </c>
      <c r="Q22" s="135">
        <v>0.22756245000000774</v>
      </c>
      <c r="R22" s="134">
        <v>0.25001150000000649</v>
      </c>
      <c r="S22" s="136">
        <v>0.27246055000000524</v>
      </c>
      <c r="T22" s="135">
        <v>0.29490960000000399</v>
      </c>
      <c r="U22" s="135">
        <v>0.31735865000000274</v>
      </c>
      <c r="V22" s="135">
        <v>0.33980770000000859</v>
      </c>
      <c r="W22" s="134">
        <v>0.36225675000000734</v>
      </c>
      <c r="X22" s="136">
        <v>0.38470580000000609</v>
      </c>
      <c r="Y22" s="135">
        <v>0.40715485000000484</v>
      </c>
      <c r="Z22" s="135">
        <v>0.42960390000000359</v>
      </c>
      <c r="AA22" s="135">
        <v>0.45205295000000234</v>
      </c>
      <c r="AB22" s="134">
        <v>0.4745020000000082</v>
      </c>
      <c r="AC22" s="136">
        <v>0.49695105000000694</v>
      </c>
      <c r="AD22" s="135">
        <v>0.51940010000000569</v>
      </c>
      <c r="AE22" s="135">
        <v>0.54184915000000444</v>
      </c>
      <c r="AF22" s="135">
        <v>0.56429820000000319</v>
      </c>
      <c r="AG22" s="134">
        <v>0.58674725000000194</v>
      </c>
      <c r="AH22" s="136">
        <v>0.6091963000000078</v>
      </c>
      <c r="AI22" s="135">
        <v>0.63164535000000654</v>
      </c>
      <c r="AJ22" s="135">
        <v>0.65409440000000529</v>
      </c>
      <c r="AK22" s="135">
        <v>0.67654345000000404</v>
      </c>
      <c r="AL22" s="134">
        <v>0.69899250000000279</v>
      </c>
      <c r="AM22" s="136">
        <v>0.72144155000000865</v>
      </c>
      <c r="AN22" s="135">
        <v>0.7438906000000074</v>
      </c>
      <c r="AO22" s="135">
        <v>0.76633965000000615</v>
      </c>
      <c r="AP22" s="135">
        <v>0.78878870000000489</v>
      </c>
      <c r="AQ22" s="134">
        <v>0.81123775000000364</v>
      </c>
      <c r="AR22" s="136">
        <v>0.83368680000000239</v>
      </c>
      <c r="AS22" s="135">
        <v>0.85613585000000825</v>
      </c>
      <c r="AT22" s="135">
        <v>0.878584900000007</v>
      </c>
      <c r="AU22" s="135">
        <v>0.90103395000000575</v>
      </c>
      <c r="AV22" s="134">
        <v>0.92348300000000449</v>
      </c>
    </row>
    <row r="23" spans="1:48" x14ac:dyDescent="0.15">
      <c r="A23" s="156" t="s">
        <v>1</v>
      </c>
      <c r="B23" s="148" t="s">
        <v>981</v>
      </c>
      <c r="C23" s="153" cm="1">
        <f t="array" ref="C23:I29">TRANSPOSE('Pivot Table'!O28:U34)</f>
        <v>6.4143129756928608E-3</v>
      </c>
      <c r="D23" s="155">
        <v>9.943212402146049E-3</v>
      </c>
      <c r="E23" s="155">
        <v>2.0527331154421697E-2</v>
      </c>
      <c r="F23" s="155">
        <v>3.2757885160855017E-2</v>
      </c>
      <c r="G23" s="155">
        <v>3.3156802345693251E-2</v>
      </c>
      <c r="H23" s="154">
        <v>4.6244040100301476E-2</v>
      </c>
      <c r="I23" s="153">
        <v>0.11284507495161911</v>
      </c>
      <c r="J23" s="151">
        <f>(($M23/$H23)^0.2)^2*H23</f>
        <v>5.9755013331632391E-2</v>
      </c>
      <c r="K23" s="151">
        <f>($M23/$H23)^0.2*J23</f>
        <v>6.7925624019229816E-2</v>
      </c>
      <c r="L23" s="151">
        <f>($M23/$H23)^0.2*K23</f>
        <v>7.7213444381566632E-2</v>
      </c>
      <c r="M23" s="151">
        <f>'Electric Ratio'!$AJ$13*'Electric Ratio'!$AL$13*$B$1</f>
        <v>8.7771236250659357E-2</v>
      </c>
      <c r="N23" s="152">
        <f>($R23/$M23)^0.2*M23</f>
        <v>9.4802090246916604E-2</v>
      </c>
      <c r="O23" s="151">
        <f>($R23/$M23)^0.2*N23</f>
        <v>0.10239614592550535</v>
      </c>
      <c r="P23" s="151">
        <f>($R23/$M23)^0.2*O23</f>
        <v>0.11059851816651695</v>
      </c>
      <c r="Q23" s="151">
        <f>($R23/$M23)^0.2*P23</f>
        <v>0.11945793574621801</v>
      </c>
      <c r="R23" s="150">
        <f>'Electric Ratio'!$AJ$14*'Electric Ratio'!$AL$14*$B$1</f>
        <v>0.12902703082569661</v>
      </c>
      <c r="S23" s="152">
        <f>($W23/$R23)^0.2*R23</f>
        <v>0.13633301990991792</v>
      </c>
      <c r="T23" s="151">
        <f>($W23/$R23)^0.2*S23</f>
        <v>0.14405270119613112</v>
      </c>
      <c r="U23" s="151">
        <f>($W23/$R23)^0.2*T23</f>
        <v>0.15220949947131798</v>
      </c>
      <c r="V23" s="151">
        <f>($W23/$R23)^0.2*U23</f>
        <v>0.16082816592078855</v>
      </c>
      <c r="W23" s="150">
        <f>'Electric Ratio'!$AJ$15*'Electric Ratio'!$AL$15*$B$1</f>
        <v>0.16993485323377441</v>
      </c>
      <c r="X23" s="152">
        <f>($AB23/$W23)^0.2*W23</f>
        <v>0.18137462328449994</v>
      </c>
      <c r="Y23" s="151">
        <f>($AB23/$W23)^0.2*X23</f>
        <v>0.19358450221120421</v>
      </c>
      <c r="Z23" s="151">
        <f>($AB23/$W23)^0.2*Y23</f>
        <v>0.20661633263644272</v>
      </c>
      <c r="AA23" s="151">
        <f>($AB23/$W23)^0.2*Z23</f>
        <v>0.22052544715360139</v>
      </c>
      <c r="AB23" s="150">
        <f>'Electric Ratio'!$AJ$16*'Electric Ratio'!$AL$16*$B$1</f>
        <v>0.23537090326671634</v>
      </c>
      <c r="AC23" s="152">
        <f>($AG23/$AB23)^0.2*AB23</f>
        <v>0.25241701775852654</v>
      </c>
      <c r="AD23" s="151">
        <f>($AG23/$AB23)^0.2*AC23</f>
        <v>0.27069765196044138</v>
      </c>
      <c r="AE23" s="151">
        <f>($AG23/$AB23)^0.2*AD23</f>
        <v>0.29030221269390216</v>
      </c>
      <c r="AF23" s="151">
        <f>($AG23/$AB23)^0.2*AE23</f>
        <v>0.31132658183267609</v>
      </c>
      <c r="AG23" s="150">
        <f>'Electric Ratio'!$AJ$17*'Electric Ratio'!$AL$17*$B$1</f>
        <v>0.33387358524137734</v>
      </c>
      <c r="AH23" s="152">
        <f>($AL23/$AG23)^0.2*AG23</f>
        <v>0.34876438122551101</v>
      </c>
      <c r="AI23" s="151">
        <f>($AL23/$AG23)^0.2*AH23</f>
        <v>0.36431930823061415</v>
      </c>
      <c r="AJ23" s="151">
        <f>($AL23/$AG23)^0.2*AI23</f>
        <v>0.3805679865680176</v>
      </c>
      <c r="AK23" s="151">
        <f>($AL23/$AG23)^0.2*AJ23</f>
        <v>0.39754135761796122</v>
      </c>
      <c r="AL23" s="150">
        <f>'Electric Ratio'!$AJ$18*'Electric Ratio'!$AL$18*$B$1</f>
        <v>0.41527174274940226</v>
      </c>
      <c r="AM23" s="152">
        <f>($AQ23/$AK23)^0.2*AL23</f>
        <v>0.44082606253049444</v>
      </c>
      <c r="AN23" s="151">
        <f>($AQ23/$AK23)^0.2*AM23</f>
        <v>0.46795290264526218</v>
      </c>
      <c r="AO23" s="151">
        <f>($AQ23/$AK23)^0.2*AN23</f>
        <v>0.49674903030257689</v>
      </c>
      <c r="AP23" s="151">
        <f>($AQ23/$AK23)^0.2*AO23</f>
        <v>0.5273171674150503</v>
      </c>
      <c r="AQ23" s="150">
        <f>'Electric Ratio'!$AJ$19*'Electric Ratio'!$AL$19*$B$1</f>
        <v>0.53586664974898723</v>
      </c>
      <c r="AR23" s="152">
        <f>($AV23/$AQ23)^0.2*AQ23</f>
        <v>0.55825505214391635</v>
      </c>
      <c r="AS23" s="151">
        <f>($AV23/$AQ23)^0.2*AR23</f>
        <v>0.58157883755257112</v>
      </c>
      <c r="AT23" s="151">
        <f>($AV23/$AQ23)^0.2*AS23</f>
        <v>0.60587708609183222</v>
      </c>
      <c r="AU23" s="151">
        <f>($AV23/$AQ23)^0.2*AT23</f>
        <v>0.63119051063811626</v>
      </c>
      <c r="AV23" s="150">
        <f>'Electric Ratio'!$AJ$20*'Electric Ratio'!$AL$20*$B$1</f>
        <v>0.65756152504374565</v>
      </c>
    </row>
    <row r="24" spans="1:48" x14ac:dyDescent="0.15">
      <c r="A24" s="149" t="s">
        <v>2</v>
      </c>
      <c r="B24" s="148" t="s">
        <v>981</v>
      </c>
      <c r="C24" s="145">
        <v>7.0656032171429795E-2</v>
      </c>
      <c r="D24" s="147">
        <v>4.4769763953987733E-3</v>
      </c>
      <c r="E24" s="147">
        <v>4.0297478208967076E-3</v>
      </c>
      <c r="F24" s="147">
        <v>5.606661225604887E-3</v>
      </c>
      <c r="G24" s="147">
        <v>4.9056671114259204E-3</v>
      </c>
      <c r="H24" s="146">
        <v>2.0622263683202869E-3</v>
      </c>
      <c r="I24" s="145">
        <v>2.1102817214874278E-3</v>
      </c>
      <c r="J24" s="143"/>
      <c r="K24" s="143"/>
      <c r="L24" s="143"/>
      <c r="M24" s="143"/>
      <c r="N24" s="144"/>
      <c r="O24" s="143"/>
      <c r="P24" s="143"/>
      <c r="Q24" s="143"/>
      <c r="R24" s="142"/>
      <c r="S24" s="144"/>
      <c r="T24" s="143"/>
      <c r="U24" s="143"/>
      <c r="V24" s="143"/>
      <c r="W24" s="142"/>
      <c r="X24" s="144"/>
      <c r="Y24" s="143"/>
      <c r="Z24" s="143"/>
      <c r="AA24" s="143"/>
      <c r="AB24" s="142"/>
      <c r="AC24" s="144"/>
      <c r="AD24" s="143"/>
      <c r="AE24" s="143"/>
      <c r="AF24" s="143"/>
      <c r="AG24" s="142"/>
      <c r="AH24" s="144"/>
      <c r="AI24" s="143"/>
      <c r="AJ24" s="143"/>
      <c r="AK24" s="143"/>
      <c r="AL24" s="142"/>
      <c r="AM24" s="144"/>
      <c r="AN24" s="143"/>
      <c r="AO24" s="143"/>
      <c r="AP24" s="143"/>
      <c r="AQ24" s="142"/>
      <c r="AR24" s="144"/>
      <c r="AS24" s="143"/>
      <c r="AT24" s="143"/>
      <c r="AU24" s="143"/>
      <c r="AV24" s="142"/>
    </row>
    <row r="25" spans="1:48" x14ac:dyDescent="0.15">
      <c r="A25" s="149" t="s">
        <v>3</v>
      </c>
      <c r="B25" s="148" t="s">
        <v>981</v>
      </c>
      <c r="C25" s="145">
        <v>0.91130625762804485</v>
      </c>
      <c r="D25" s="147">
        <v>0.97188097521147043</v>
      </c>
      <c r="E25" s="147">
        <v>0.9572988274298514</v>
      </c>
      <c r="F25" s="147">
        <v>0.9312705530563814</v>
      </c>
      <c r="G25" s="147">
        <v>0.92761735329808204</v>
      </c>
      <c r="H25" s="146">
        <v>0.90476102072080022</v>
      </c>
      <c r="I25" s="145">
        <v>0.81938249146152908</v>
      </c>
      <c r="J25" s="143">
        <v>1</v>
      </c>
      <c r="K25" s="143">
        <v>1</v>
      </c>
      <c r="L25" s="143">
        <v>1</v>
      </c>
      <c r="M25" s="143">
        <v>1</v>
      </c>
      <c r="N25" s="144">
        <f>($R25/$M25)^0.2*M25</f>
        <v>1</v>
      </c>
      <c r="O25" s="143">
        <f>($R25/$M25)^0.2*N25</f>
        <v>1</v>
      </c>
      <c r="P25" s="143">
        <f>($R25/$M25)^0.2*O25</f>
        <v>1</v>
      </c>
      <c r="Q25" s="143">
        <f>($R25/$M25)^0.2*P25</f>
        <v>1</v>
      </c>
      <c r="R25" s="142">
        <v>1</v>
      </c>
      <c r="S25" s="144">
        <f>($W25/$R25)^0.2*R25</f>
        <v>1</v>
      </c>
      <c r="T25" s="143">
        <f>($W25/$R25)^0.2*S25</f>
        <v>1</v>
      </c>
      <c r="U25" s="143">
        <f>($W25/$R25)^0.2*T25</f>
        <v>1</v>
      </c>
      <c r="V25" s="143">
        <f>($W25/$R25)^0.2*U25</f>
        <v>1</v>
      </c>
      <c r="W25" s="142">
        <v>1</v>
      </c>
      <c r="X25" s="144">
        <f>($AB25/$W25)^0.2*W25</f>
        <v>1</v>
      </c>
      <c r="Y25" s="143">
        <f>($AB25/$W25)^0.2*X25</f>
        <v>1</v>
      </c>
      <c r="Z25" s="143">
        <f>($AB25/$W25)^0.2*Y25</f>
        <v>1</v>
      </c>
      <c r="AA25" s="143">
        <f>($AB25/$W25)^0.2*Z25</f>
        <v>1</v>
      </c>
      <c r="AB25" s="142">
        <v>1</v>
      </c>
      <c r="AC25" s="144">
        <f>($AG25/$AB25)^0.2*AB25</f>
        <v>1</v>
      </c>
      <c r="AD25" s="143">
        <f>($AG25/$AB25)^0.2*AC25</f>
        <v>1</v>
      </c>
      <c r="AE25" s="143">
        <f>($AG25/$AB25)^0.2*AD25</f>
        <v>1</v>
      </c>
      <c r="AF25" s="143">
        <f>($AG25/$AB25)^0.2*AE25</f>
        <v>1</v>
      </c>
      <c r="AG25" s="142">
        <v>1</v>
      </c>
      <c r="AH25" s="144">
        <f>($AL25/$AG25)^0.2*AG25</f>
        <v>1</v>
      </c>
      <c r="AI25" s="143">
        <f>($AL25/$AG25)^0.2*AH25</f>
        <v>1</v>
      </c>
      <c r="AJ25" s="143">
        <f>($AL25/$AG25)^0.2*AI25</f>
        <v>1</v>
      </c>
      <c r="AK25" s="143">
        <f>($AL25/$AG25)^0.2*AJ25</f>
        <v>1</v>
      </c>
      <c r="AL25" s="142">
        <v>1</v>
      </c>
      <c r="AM25" s="144">
        <f>($AQ25/$AK25)^0.2*AL25</f>
        <v>1</v>
      </c>
      <c r="AN25" s="143">
        <f>($AQ25/$AK25)^0.2*AM25</f>
        <v>1</v>
      </c>
      <c r="AO25" s="143">
        <f>($AQ25/$AK25)^0.2*AN25</f>
        <v>1</v>
      </c>
      <c r="AP25" s="143">
        <f>($AQ25/$AK25)^0.2*AO25</f>
        <v>1</v>
      </c>
      <c r="AQ25" s="142">
        <v>1</v>
      </c>
      <c r="AR25" s="144">
        <f>($AV25/$AQ25)^0.2*AQ25</f>
        <v>1</v>
      </c>
      <c r="AS25" s="143">
        <f>($AV25/$AQ25)^0.2*AR25</f>
        <v>1</v>
      </c>
      <c r="AT25" s="143">
        <f>($AV25/$AQ25)^0.2*AS25</f>
        <v>1</v>
      </c>
      <c r="AU25" s="143">
        <f>($AV25/$AQ25)^0.2*AT25</f>
        <v>1</v>
      </c>
      <c r="AV25" s="142">
        <v>1</v>
      </c>
    </row>
    <row r="26" spans="1:48" x14ac:dyDescent="0.15">
      <c r="A26" s="149" t="s">
        <v>4</v>
      </c>
      <c r="B26" s="148" t="s">
        <v>981</v>
      </c>
      <c r="C26" s="145">
        <v>7.717422544225418E-3</v>
      </c>
      <c r="D26" s="147">
        <v>6.2493140240607939E-3</v>
      </c>
      <c r="E26" s="147">
        <v>6.4897689967125076E-3</v>
      </c>
      <c r="F26" s="147">
        <v>8.2949787766025181E-3</v>
      </c>
      <c r="G26" s="147">
        <v>7.225370312411346E-3</v>
      </c>
      <c r="H26" s="146">
        <v>9.2284605360498373E-3</v>
      </c>
      <c r="I26" s="145">
        <v>8.9422743668348126E-3</v>
      </c>
      <c r="J26" s="143"/>
      <c r="K26" s="143"/>
      <c r="L26" s="143"/>
      <c r="M26" s="143"/>
      <c r="N26" s="144"/>
      <c r="O26" s="143"/>
      <c r="P26" s="143"/>
      <c r="Q26" s="143"/>
      <c r="R26" s="142"/>
      <c r="S26" s="144"/>
      <c r="T26" s="143"/>
      <c r="U26" s="143"/>
      <c r="V26" s="143"/>
      <c r="W26" s="142"/>
      <c r="X26" s="144"/>
      <c r="Y26" s="143"/>
      <c r="Z26" s="143"/>
      <c r="AA26" s="143"/>
      <c r="AB26" s="142"/>
      <c r="AC26" s="144"/>
      <c r="AD26" s="143"/>
      <c r="AE26" s="143"/>
      <c r="AF26" s="143"/>
      <c r="AG26" s="142"/>
      <c r="AH26" s="144"/>
      <c r="AI26" s="143"/>
      <c r="AJ26" s="143"/>
      <c r="AK26" s="143"/>
      <c r="AL26" s="142"/>
      <c r="AM26" s="144"/>
      <c r="AN26" s="143"/>
      <c r="AO26" s="143"/>
      <c r="AP26" s="143"/>
      <c r="AQ26" s="142"/>
      <c r="AR26" s="144"/>
      <c r="AS26" s="143"/>
      <c r="AT26" s="143"/>
      <c r="AU26" s="143"/>
      <c r="AV26" s="142"/>
    </row>
    <row r="27" spans="1:48" x14ac:dyDescent="0.15">
      <c r="A27" s="149" t="s">
        <v>5</v>
      </c>
      <c r="B27" s="148" t="s">
        <v>981</v>
      </c>
      <c r="C27" s="145">
        <v>5.9815020325391444E-4</v>
      </c>
      <c r="D27" s="147">
        <v>9.9798516470108096E-4</v>
      </c>
      <c r="E27" s="147">
        <v>2.3761361846806155E-3</v>
      </c>
      <c r="F27" s="147">
        <v>8.2646137440234788E-3</v>
      </c>
      <c r="G27" s="147">
        <v>9.1731596026817328E-3</v>
      </c>
      <c r="H27" s="146">
        <v>1.0232341971280206E-2</v>
      </c>
      <c r="I27" s="145">
        <v>1.9372745368302479E-2</v>
      </c>
      <c r="J27" s="143">
        <f>(($M27/$H27)^0.2)^2*H27</f>
        <v>1.2953207961002992E-2</v>
      </c>
      <c r="K27" s="143">
        <f>($M27/$H27)^0.2*J27</f>
        <v>1.4573990566515906E-2</v>
      </c>
      <c r="L27" s="143">
        <f>($M27/$H27)^0.2*K27</f>
        <v>1.6397575154537082E-2</v>
      </c>
      <c r="M27" s="143">
        <f>'Electric Ratio'!$AJ$13*'Electric Ratio'!$AK$13*$B$1</f>
        <v>1.8449337518198432E-2</v>
      </c>
      <c r="N27" s="144">
        <f>($R27/$M27)^0.2*M27</f>
        <v>1.9986150234958273E-2</v>
      </c>
      <c r="O27" s="143">
        <f>($R27/$M27)^0.2*N27</f>
        <v>2.1650978026734498E-2</v>
      </c>
      <c r="P27" s="143">
        <f>($R27/$M27)^0.2*O27</f>
        <v>2.3454484430633957E-2</v>
      </c>
      <c r="Q27" s="143">
        <f>($R27/$M27)^0.2*P27</f>
        <v>2.5408221246521735E-2</v>
      </c>
      <c r="R27" s="142">
        <f>'Electric Ratio'!$AJ$14*'Electric Ratio'!$AK$14*$B$1</f>
        <v>2.7524702528485677E-2</v>
      </c>
      <c r="S27" s="144">
        <f>($W27/$R27)^0.2*R27</f>
        <v>2.9141446071148183E-2</v>
      </c>
      <c r="T27" s="143">
        <f>($W27/$R27)^0.2*S27</f>
        <v>3.0853153753024755E-2</v>
      </c>
      <c r="U27" s="143">
        <f>($W27/$R27)^0.2*T27</f>
        <v>3.2665403569325333E-2</v>
      </c>
      <c r="V27" s="143">
        <f>($W27/$R27)^0.2*U27</f>
        <v>3.4584101155049139E-2</v>
      </c>
      <c r="W27" s="142">
        <f>'Electric Ratio'!$AJ$15*'Electric Ratio'!$AK$15*$B$1</f>
        <v>3.6615499029861678E-2</v>
      </c>
      <c r="X27" s="144">
        <f>($AB27/$W27)^0.2*W27</f>
        <v>3.9149312691686068E-2</v>
      </c>
      <c r="Y27" s="143">
        <f>($AB27/$W27)^0.2*X27</f>
        <v>4.185846772104479E-2</v>
      </c>
      <c r="Z27" s="143">
        <f>($AB27/$W27)^0.2*Y27</f>
        <v>4.4755097841751884E-2</v>
      </c>
      <c r="AA27" s="143">
        <f>($AB27/$W27)^0.2*Z27</f>
        <v>4.7852176438311071E-2</v>
      </c>
      <c r="AB27" s="142">
        <f>'Electric Ratio'!$AJ$16*'Electric Ratio'!$AK$16*$B$1</f>
        <v>5.116357466092003E-2</v>
      </c>
      <c r="AC27" s="144">
        <f>($AG27/$AB27)^0.2*AB27</f>
        <v>5.49230333560966E-2</v>
      </c>
      <c r="AD27" s="143">
        <f>($AG27/$AB27)^0.2*AC27</f>
        <v>5.8958734080380923E-2</v>
      </c>
      <c r="AE27" s="143">
        <f>($AG27/$AB27)^0.2*AD27</f>
        <v>6.329097487794183E-2</v>
      </c>
      <c r="AF27" s="143">
        <f>($AG27/$AB27)^0.2*AE27</f>
        <v>6.7941545277058688E-2</v>
      </c>
      <c r="AG27" s="142">
        <f>'Electric Ratio'!$AJ$17*'Electric Ratio'!$AK$17*$B$1</f>
        <v>7.2933835883185333E-2</v>
      </c>
      <c r="AH27" s="144">
        <f>($AL27/$AG27)^0.2*AG27</f>
        <v>7.6247020270795246E-2</v>
      </c>
      <c r="AI27" s="143">
        <f>($AL27/$AG27)^0.2*AH27</f>
        <v>7.9710713549832224E-2</v>
      </c>
      <c r="AJ27" s="143">
        <f>($AL27/$AG27)^0.2*AI27</f>
        <v>8.3331752926967692E-2</v>
      </c>
      <c r="AK27" s="143">
        <f>($AL27/$AG27)^0.2*AJ27</f>
        <v>8.7117286204444019E-2</v>
      </c>
      <c r="AL27" s="142">
        <f>'Electric Ratio'!$AJ$18*'Electric Ratio'!$AK$18*$B$1</f>
        <v>9.1074785889580553E-2</v>
      </c>
      <c r="AM27" s="144">
        <f>($AQ27/$AK27)^0.2*AL27</f>
        <v>9.6832673558027466E-2</v>
      </c>
      <c r="AN27" s="143">
        <f>($AQ27/$AK27)^0.2*AM27</f>
        <v>0.10295458371720687</v>
      </c>
      <c r="AO27" s="143">
        <f>($AQ27/$AK27)^0.2*AN27</f>
        <v>0.10946353042737653</v>
      </c>
      <c r="AP27" s="143">
        <f>($AQ27/$AK27)^0.2*AO27</f>
        <v>0.1163839827329862</v>
      </c>
      <c r="AQ27" s="142">
        <f>'Electric Ratio'!$AJ$19*'Electric Ratio'!$AK$19*$B$1</f>
        <v>0.11836496070338853</v>
      </c>
      <c r="AR27" s="144">
        <f>($AV27/$AQ27)^0.2*AQ27</f>
        <v>0.12332579782047819</v>
      </c>
      <c r="AS27" s="143">
        <f>($AV27/$AQ27)^0.2*AR27</f>
        <v>0.12849455039460891</v>
      </c>
      <c r="AT27" s="143">
        <f>($AV27/$AQ27)^0.2*AS27</f>
        <v>0.13387993244647042</v>
      </c>
      <c r="AU27" s="143">
        <f>($AV27/$AQ27)^0.2*AT27</f>
        <v>0.13949102321325757</v>
      </c>
      <c r="AV27" s="142">
        <f>'Electric Ratio'!$AJ$20*'Electric Ratio'!$AK$20*$B$1</f>
        <v>0.14533728245539274</v>
      </c>
    </row>
    <row r="28" spans="1:48" x14ac:dyDescent="0.15">
      <c r="A28" s="149" t="s">
        <v>125</v>
      </c>
      <c r="B28" s="148" t="s">
        <v>981</v>
      </c>
      <c r="C28" s="145">
        <v>0</v>
      </c>
      <c r="D28" s="147">
        <v>6.9562050338606001E-5</v>
      </c>
      <c r="E28" s="147">
        <v>2.1332368837504524E-4</v>
      </c>
      <c r="F28" s="147">
        <v>1.3827091646861185E-4</v>
      </c>
      <c r="G28" s="147">
        <v>9.2886963429075536E-6</v>
      </c>
      <c r="H28" s="146">
        <v>0</v>
      </c>
      <c r="I28" s="145">
        <v>0</v>
      </c>
      <c r="J28" s="143"/>
      <c r="K28" s="143"/>
      <c r="L28" s="143"/>
      <c r="M28" s="143"/>
      <c r="N28" s="144"/>
      <c r="O28" s="143"/>
      <c r="P28" s="143"/>
      <c r="Q28" s="143"/>
      <c r="R28" s="142"/>
      <c r="S28" s="144"/>
      <c r="T28" s="143"/>
      <c r="U28" s="143"/>
      <c r="V28" s="143"/>
      <c r="W28" s="142"/>
      <c r="X28" s="144"/>
      <c r="Y28" s="143"/>
      <c r="Z28" s="143"/>
      <c r="AA28" s="143"/>
      <c r="AB28" s="142"/>
      <c r="AC28" s="144"/>
      <c r="AD28" s="143"/>
      <c r="AE28" s="143"/>
      <c r="AF28" s="143"/>
      <c r="AG28" s="142"/>
      <c r="AH28" s="144"/>
      <c r="AI28" s="143"/>
      <c r="AJ28" s="143"/>
      <c r="AK28" s="143"/>
      <c r="AL28" s="142"/>
      <c r="AM28" s="144"/>
      <c r="AN28" s="143"/>
      <c r="AO28" s="143"/>
      <c r="AP28" s="143"/>
      <c r="AQ28" s="142"/>
      <c r="AR28" s="144"/>
      <c r="AS28" s="143"/>
      <c r="AT28" s="143"/>
      <c r="AU28" s="143"/>
      <c r="AV28" s="142"/>
    </row>
    <row r="29" spans="1:48" x14ac:dyDescent="0.15">
      <c r="A29" s="141" t="s">
        <v>126</v>
      </c>
      <c r="B29" s="140" t="s">
        <v>981</v>
      </c>
      <c r="C29" s="137">
        <v>0</v>
      </c>
      <c r="D29" s="139">
        <v>3.2316864268806508E-7</v>
      </c>
      <c r="E29" s="139">
        <v>2.0174360542372349E-6</v>
      </c>
      <c r="F29" s="139">
        <v>0</v>
      </c>
      <c r="G29" s="139">
        <v>0</v>
      </c>
      <c r="H29" s="138">
        <v>0</v>
      </c>
      <c r="I29" s="137">
        <v>8.8855936327145482E-7</v>
      </c>
      <c r="J29" s="135">
        <f>MAX(C29:I29)</f>
        <v>2.0174360542372349E-6</v>
      </c>
      <c r="K29" s="135">
        <f>MAX(D29:J29)</f>
        <v>2.0174360542372349E-6</v>
      </c>
      <c r="L29" s="135">
        <f>MAX(E29:K29)</f>
        <v>2.0174360542372349E-6</v>
      </c>
      <c r="M29" s="135" cm="1">
        <f t="array" ref="M29:AV29">TRANSPOSE(Hydrogen!Y20:Y55)</f>
        <v>3.1610750000005128E-4</v>
      </c>
      <c r="N29" s="136">
        <v>4.4239980000004842E-4</v>
      </c>
      <c r="O29" s="135">
        <v>5.6869210000004555E-4</v>
      </c>
      <c r="P29" s="135">
        <v>6.9498440000004269E-4</v>
      </c>
      <c r="Q29" s="135">
        <v>8.2127670000003983E-4</v>
      </c>
      <c r="R29" s="134">
        <v>9.4756900000003697E-4</v>
      </c>
      <c r="S29" s="136">
        <v>1.0738613000000341E-3</v>
      </c>
      <c r="T29" s="135">
        <v>1.2001536000000312E-3</v>
      </c>
      <c r="U29" s="135">
        <v>1.3264459000000284E-3</v>
      </c>
      <c r="V29" s="135">
        <v>1.4527382000000255E-3</v>
      </c>
      <c r="W29" s="134">
        <v>1.5790305000000227E-3</v>
      </c>
      <c r="X29" s="136">
        <v>1.7053228000000198E-3</v>
      </c>
      <c r="Y29" s="135">
        <v>1.8316151000000169E-3</v>
      </c>
      <c r="Z29" s="135">
        <v>1.9579074000000141E-3</v>
      </c>
      <c r="AA29" s="135">
        <v>2.0841997000000667E-3</v>
      </c>
      <c r="AB29" s="134">
        <v>2.2104920000000639E-3</v>
      </c>
      <c r="AC29" s="136">
        <v>2.336784300000061E-3</v>
      </c>
      <c r="AD29" s="135">
        <v>2.4630766000000581E-3</v>
      </c>
      <c r="AE29" s="135">
        <v>2.5893689000000553E-3</v>
      </c>
      <c r="AF29" s="135">
        <v>2.7156612000000524E-3</v>
      </c>
      <c r="AG29" s="134">
        <v>2.8419535000000495E-3</v>
      </c>
      <c r="AH29" s="136">
        <v>2.9682458000000467E-3</v>
      </c>
      <c r="AI29" s="135">
        <v>3.0945381000000438E-3</v>
      </c>
      <c r="AJ29" s="135">
        <v>3.2208304000000409E-3</v>
      </c>
      <c r="AK29" s="135">
        <v>3.3471227000000381E-3</v>
      </c>
      <c r="AL29" s="134">
        <v>3.4734150000000352E-3</v>
      </c>
      <c r="AM29" s="136">
        <v>3.5997073000000324E-3</v>
      </c>
      <c r="AN29" s="135">
        <v>3.7259996000000295E-3</v>
      </c>
      <c r="AO29" s="135">
        <v>3.8522919000000266E-3</v>
      </c>
      <c r="AP29" s="135">
        <v>3.9785842000000238E-3</v>
      </c>
      <c r="AQ29" s="134">
        <v>4.1048765000000209E-3</v>
      </c>
      <c r="AR29" s="136">
        <v>4.231168800000018E-3</v>
      </c>
      <c r="AS29" s="135">
        <v>4.3574611000000152E-3</v>
      </c>
      <c r="AT29" s="135">
        <v>4.4837534000000678E-3</v>
      </c>
      <c r="AU29" s="135">
        <v>4.610045700000065E-3</v>
      </c>
      <c r="AV29" s="134">
        <v>4.7363380000000621E-3</v>
      </c>
    </row>
    <row r="30" spans="1:48" x14ac:dyDescent="0.15">
      <c r="A30" s="49"/>
    </row>
  </sheetData>
  <phoneticPr fontId="10" type="noConversion"/>
  <conditionalFormatting sqref="C2:I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Q8"/>
  <sheetViews>
    <sheetView workbookViewId="0">
      <selection activeCell="K8" sqref="K8"/>
    </sheetView>
  </sheetViews>
  <sheetFormatPr defaultColWidth="9.125" defaultRowHeight="12.9" x14ac:dyDescent="0.15"/>
  <cols>
    <col min="1" max="1" width="24.5" customWidth="1"/>
    <col min="2" max="2" width="10.125" customWidth="1"/>
  </cols>
  <sheetData>
    <row r="1" spans="1:43" ht="38.75" x14ac:dyDescent="0.15">
      <c r="A1" s="25" t="s">
        <v>128</v>
      </c>
      <c r="B1" s="196">
        <v>2019</v>
      </c>
      <c r="C1" s="197">
        <f>Data!O9</f>
        <v>2020</v>
      </c>
      <c r="D1">
        <f>Data!P9</f>
        <v>2021</v>
      </c>
      <c r="E1">
        <f>Data!Q9</f>
        <v>2022</v>
      </c>
      <c r="F1">
        <f>Data!R9</f>
        <v>2023</v>
      </c>
      <c r="G1">
        <f>Data!S9</f>
        <v>2024</v>
      </c>
      <c r="H1">
        <f>Data!T9</f>
        <v>2025</v>
      </c>
      <c r="I1">
        <f>Data!U9</f>
        <v>2026</v>
      </c>
      <c r="J1">
        <f>Data!V9</f>
        <v>2027</v>
      </c>
      <c r="K1">
        <f>Data!W9</f>
        <v>2028</v>
      </c>
      <c r="L1">
        <f>Data!X9</f>
        <v>2029</v>
      </c>
      <c r="M1">
        <f>Data!Y9</f>
        <v>2030</v>
      </c>
      <c r="N1">
        <f>Data!Z9</f>
        <v>2031</v>
      </c>
      <c r="O1">
        <f>Data!AA9</f>
        <v>2032</v>
      </c>
      <c r="P1">
        <f>Data!AB9</f>
        <v>2033</v>
      </c>
      <c r="Q1">
        <f>Data!AC9</f>
        <v>2034</v>
      </c>
      <c r="R1">
        <f>Data!AD9</f>
        <v>2035</v>
      </c>
      <c r="S1">
        <f>Data!AE9</f>
        <v>2036</v>
      </c>
      <c r="T1">
        <f>Data!AF9</f>
        <v>2037</v>
      </c>
      <c r="U1">
        <f>Data!AG9</f>
        <v>2038</v>
      </c>
      <c r="V1">
        <f>Data!AH9</f>
        <v>2039</v>
      </c>
      <c r="W1">
        <f>Data!AI9</f>
        <v>2040</v>
      </c>
      <c r="X1">
        <f>Data!AJ9</f>
        <v>2041</v>
      </c>
      <c r="Y1">
        <f>Data!AK9</f>
        <v>2042</v>
      </c>
      <c r="Z1">
        <f>Data!AL9</f>
        <v>2043</v>
      </c>
      <c r="AA1">
        <f>Data!AM9</f>
        <v>2044</v>
      </c>
      <c r="AB1">
        <f>Data!AN9</f>
        <v>2045</v>
      </c>
      <c r="AC1">
        <f>Data!AO9</f>
        <v>2046</v>
      </c>
      <c r="AD1">
        <f>Data!AP9</f>
        <v>2047</v>
      </c>
      <c r="AE1">
        <f>Data!AQ9</f>
        <v>2048</v>
      </c>
      <c r="AF1">
        <f>Data!AR9</f>
        <v>2049</v>
      </c>
      <c r="AG1">
        <f>Data!AS9</f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</v>
      </c>
      <c r="B2" s="197">
        <v>2.9000000000000001E-2</v>
      </c>
      <c r="C2" s="197">
        <v>3.6999999999999998E-2</v>
      </c>
      <c r="D2">
        <f>Data!P10</f>
        <v>7.2768929224437326E-2</v>
      </c>
      <c r="E2">
        <f>Data!Q10</f>
        <v>7.9160755923715104E-2</v>
      </c>
      <c r="F2">
        <f>Data!R10</f>
        <v>8.7650345051913825E-2</v>
      </c>
      <c r="G2">
        <f>Data!S10</f>
        <v>9.8864876025978168E-2</v>
      </c>
      <c r="H2">
        <f>Data!T10</f>
        <v>0.11357279482991869</v>
      </c>
      <c r="I2">
        <f>Data!U10</f>
        <v>0.13268137088325055</v>
      </c>
      <c r="J2">
        <f>Data!V10</f>
        <v>0.15720559285104982</v>
      </c>
      <c r="K2">
        <f>Data!W10</f>
        <v>0.18819110739586145</v>
      </c>
      <c r="L2">
        <f>Data!X10</f>
        <v>0.2265745455208131</v>
      </c>
      <c r="M2">
        <f>Data!Y10</f>
        <v>0.2729755548099293</v>
      </c>
      <c r="N2">
        <f>Data!Z10</f>
        <v>0.32744177051674622</v>
      </c>
      <c r="O2">
        <f>Data!AA10</f>
        <v>0.38920913431039744</v>
      </c>
      <c r="P2">
        <f>Data!AB10</f>
        <v>0.45657737909617058</v>
      </c>
      <c r="Q2">
        <f>Data!AC10</f>
        <v>0.52700000000000002</v>
      </c>
      <c r="R2">
        <f>Data!AD10</f>
        <v>0.59742262090382947</v>
      </c>
      <c r="S2">
        <f>Data!AE10</f>
        <v>0.66479086568960244</v>
      </c>
      <c r="T2">
        <f>Data!AF10</f>
        <v>0.72655822948325366</v>
      </c>
      <c r="U2">
        <f>Data!AG10</f>
        <v>0.78102444519007064</v>
      </c>
      <c r="V2">
        <f>Data!AH10</f>
        <v>0.82742545447918692</v>
      </c>
      <c r="W2">
        <f>Data!AI10</f>
        <v>0.86580889260413862</v>
      </c>
      <c r="X2">
        <f>Data!AJ10</f>
        <v>0.8967944071489502</v>
      </c>
      <c r="Y2">
        <f>Data!AK10</f>
        <v>0.92131862911674944</v>
      </c>
      <c r="Z2">
        <f>Data!AL10</f>
        <v>0.94042720517008138</v>
      </c>
      <c r="AA2">
        <f>Data!AM10</f>
        <v>0.95513512397402189</v>
      </c>
      <c r="AB2">
        <f>Data!AN10</f>
        <v>0.96634965494808622</v>
      </c>
      <c r="AC2">
        <f>Data!AO10</f>
        <v>0.97483924407628486</v>
      </c>
      <c r="AD2">
        <f>Data!AP10</f>
        <v>0.98123107077556271</v>
      </c>
      <c r="AE2">
        <f>Data!AQ10</f>
        <v>0.98602376601816366</v>
      </c>
      <c r="AF2">
        <f>Data!AR10</f>
        <v>0.98960635227145888</v>
      </c>
      <c r="AG2">
        <f>Data!AS10</f>
        <v>0.99227820768911079</v>
      </c>
      <c r="AH2">
        <f>Data!AT10</f>
        <v>0.99426742778896138</v>
      </c>
      <c r="AI2">
        <f>Data!AU10</f>
        <v>0.99574652558974963</v>
      </c>
      <c r="AJ2">
        <f>Data!AV10</f>
        <v>0.996845272287187</v>
      </c>
      <c r="AK2">
        <f>Data!AW10</f>
        <v>0.99766089849382356</v>
      </c>
      <c r="AL2">
        <f>Data!AX10</f>
        <v>0.99826603976040185</v>
      </c>
      <c r="AM2">
        <f>Data!AY10</f>
        <v>0.99871484012689427</v>
      </c>
      <c r="AN2">
        <f>Data!AZ10</f>
        <v>0.99904759480419902</v>
      </c>
      <c r="AO2">
        <f>Data!BA10</f>
        <v>0.9992942567231905</v>
      </c>
      <c r="AP2">
        <f>Data!BB10</f>
        <v>0.99947707140947029</v>
      </c>
      <c r="AQ2">
        <f>Data!BC10</f>
        <v>0.99961254946192324</v>
      </c>
    </row>
    <row r="3" spans="1:43" x14ac:dyDescent="0.15">
      <c r="A3" t="s">
        <v>2</v>
      </c>
      <c r="B3" s="197">
        <v>5.1999999999999998E-3</v>
      </c>
      <c r="C3" s="197">
        <v>2.5000000000000001E-3</v>
      </c>
      <c r="D3">
        <f>Data!P11</f>
        <v>2.4749093447530225E-3</v>
      </c>
      <c r="E3">
        <f>Data!Q11</f>
        <v>2.4663646314029828E-3</v>
      </c>
      <c r="F3">
        <f>Data!R11</f>
        <v>2.455015590045483E-3</v>
      </c>
      <c r="G3">
        <f>Data!S11</f>
        <v>2.4400237955183642E-3</v>
      </c>
      <c r="H3">
        <f>Data!T11</f>
        <v>2.4203619748733311E-3</v>
      </c>
      <c r="I3">
        <f>Data!U11</f>
        <v>2.3948172733998683E-3</v>
      </c>
      <c r="J3">
        <f>Data!V11</f>
        <v>2.3620328352874781E-3</v>
      </c>
      <c r="K3">
        <f>Data!W11</f>
        <v>2.3206108205418617E-3</v>
      </c>
      <c r="L3">
        <f>Data!X11</f>
        <v>2.2692991233389686E-3</v>
      </c>
      <c r="M3">
        <f>Data!Y11</f>
        <v>2.2072693872116052E-3</v>
      </c>
      <c r="N3">
        <f>Data!Z11</f>
        <v>2.134457932462874E-3</v>
      </c>
      <c r="O3">
        <f>Data!AA11</f>
        <v>2.0518861665443735E-3</v>
      </c>
      <c r="P3">
        <f>Data!AB11</f>
        <v>1.9618270382743912E-3</v>
      </c>
      <c r="Q3">
        <f>Data!AC11</f>
        <v>1.8676847629449074E-3</v>
      </c>
      <c r="R3">
        <f>Data!AD11</f>
        <v>1.7735424876154236E-3</v>
      </c>
      <c r="S3">
        <f>Data!AE11</f>
        <v>1.6834833593454416E-3</v>
      </c>
      <c r="T3">
        <f>Data!AF11</f>
        <v>1.6009115934269413E-3</v>
      </c>
      <c r="U3">
        <f>Data!AG11</f>
        <v>1.5281001386782101E-3</v>
      </c>
      <c r="V3">
        <f>Data!AH11</f>
        <v>1.4660704025508463E-3</v>
      </c>
      <c r="W3">
        <f>Data!AI11</f>
        <v>1.4147587053479536E-3</v>
      </c>
      <c r="X3">
        <f>Data!AJ11</f>
        <v>1.373336690602337E-3</v>
      </c>
      <c r="Y3">
        <f>Data!AK11</f>
        <v>1.3405522524899465E-3</v>
      </c>
      <c r="Z3">
        <f>Data!AL11</f>
        <v>1.3150075510164839E-3</v>
      </c>
      <c r="AA3">
        <f>Data!AM11</f>
        <v>1.2953457303714506E-3</v>
      </c>
      <c r="AB3">
        <f>Data!AN11</f>
        <v>1.2803539358443321E-3</v>
      </c>
      <c r="AC3">
        <f>Data!AO11</f>
        <v>1.2690048944868325E-3</v>
      </c>
      <c r="AD3">
        <f>Data!AP11</f>
        <v>1.2604601811367923E-3</v>
      </c>
      <c r="AE3">
        <f>Data!AQ11</f>
        <v>1.2540532165945979E-3</v>
      </c>
      <c r="AF3">
        <f>Data!AR11</f>
        <v>1.2492639483577634E-3</v>
      </c>
      <c r="AG3">
        <f>Data!AS11</f>
        <v>1.2456921621171937E-3</v>
      </c>
      <c r="AH3">
        <f>Data!AT11</f>
        <v>1.2456921621171937E-3</v>
      </c>
      <c r="AI3">
        <f>Data!AU11</f>
        <v>1.2456921621171937E-3</v>
      </c>
      <c r="AJ3">
        <f>Data!AV11</f>
        <v>1.2456921621171937E-3</v>
      </c>
      <c r="AK3">
        <f>Data!AW11</f>
        <v>1.2456921621171937E-3</v>
      </c>
      <c r="AL3">
        <f>Data!AX11</f>
        <v>1.2456921621171937E-3</v>
      </c>
      <c r="AM3">
        <f>Data!AY11</f>
        <v>1.2456921621171937E-3</v>
      </c>
      <c r="AN3">
        <f>Data!AZ11</f>
        <v>1.2456921621171937E-3</v>
      </c>
      <c r="AO3">
        <f>Data!BA11</f>
        <v>1.2456921621171937E-3</v>
      </c>
      <c r="AP3">
        <f>Data!BB11</f>
        <v>1.2456921621171937E-3</v>
      </c>
      <c r="AQ3">
        <f>Data!BC11</f>
        <v>1.2456921621171937E-3</v>
      </c>
    </row>
    <row r="4" spans="1:43" x14ac:dyDescent="0.15">
      <c r="A4" t="s">
        <v>3</v>
      </c>
      <c r="B4" s="197">
        <v>1</v>
      </c>
      <c r="C4" s="197">
        <v>1</v>
      </c>
      <c r="D4">
        <f>Data!P12</f>
        <v>1</v>
      </c>
      <c r="E4">
        <f>Data!Q12</f>
        <v>1</v>
      </c>
      <c r="F4">
        <f>Data!R12</f>
        <v>1</v>
      </c>
      <c r="G4">
        <f>Data!S12</f>
        <v>1</v>
      </c>
      <c r="H4">
        <f>Data!T12</f>
        <v>1</v>
      </c>
      <c r="I4">
        <f>Data!U12</f>
        <v>1</v>
      </c>
      <c r="J4">
        <f>Data!V12</f>
        <v>1</v>
      </c>
      <c r="K4">
        <f>Data!W12</f>
        <v>1</v>
      </c>
      <c r="L4">
        <f>Data!X12</f>
        <v>1</v>
      </c>
      <c r="M4">
        <f>Data!Y12</f>
        <v>1</v>
      </c>
      <c r="N4">
        <f>Data!Z12</f>
        <v>1</v>
      </c>
      <c r="O4">
        <f>Data!AA12</f>
        <v>1</v>
      </c>
      <c r="P4">
        <f>Data!AB12</f>
        <v>1</v>
      </c>
      <c r="Q4">
        <f>Data!AC12</f>
        <v>1</v>
      </c>
      <c r="R4">
        <f>Data!AD12</f>
        <v>1</v>
      </c>
      <c r="S4">
        <f>Data!AE12</f>
        <v>1</v>
      </c>
      <c r="T4">
        <f>Data!AF12</f>
        <v>1</v>
      </c>
      <c r="U4">
        <f>Data!AG12</f>
        <v>1</v>
      </c>
      <c r="V4">
        <f>Data!AH12</f>
        <v>1</v>
      </c>
      <c r="W4">
        <f>Data!AI12</f>
        <v>1</v>
      </c>
      <c r="X4">
        <f>Data!AJ12</f>
        <v>1</v>
      </c>
      <c r="Y4">
        <f>Data!AK12</f>
        <v>1</v>
      </c>
      <c r="Z4">
        <f>Data!AL12</f>
        <v>1</v>
      </c>
      <c r="AA4">
        <f>Data!AM12</f>
        <v>1</v>
      </c>
      <c r="AB4">
        <f>Data!AN12</f>
        <v>1</v>
      </c>
      <c r="AC4">
        <f>Data!AO12</f>
        <v>1</v>
      </c>
      <c r="AD4">
        <f>Data!AP12</f>
        <v>1</v>
      </c>
      <c r="AE4">
        <f>Data!AQ12</f>
        <v>1</v>
      </c>
      <c r="AF4">
        <f>Data!AR12</f>
        <v>1</v>
      </c>
      <c r="AG4">
        <f>Data!AS12</f>
        <v>1</v>
      </c>
      <c r="AH4">
        <f>Data!AT12</f>
        <v>1</v>
      </c>
      <c r="AI4">
        <f>Data!AU12</f>
        <v>1</v>
      </c>
      <c r="AJ4">
        <f>Data!AV12</f>
        <v>1</v>
      </c>
      <c r="AK4">
        <f>Data!AW12</f>
        <v>1</v>
      </c>
      <c r="AL4">
        <f>Data!AX12</f>
        <v>1</v>
      </c>
      <c r="AM4">
        <f>Data!AY12</f>
        <v>1</v>
      </c>
      <c r="AN4">
        <f>Data!AZ12</f>
        <v>1</v>
      </c>
      <c r="AO4">
        <f>Data!BA12</f>
        <v>1</v>
      </c>
      <c r="AP4">
        <f>Data!BB12</f>
        <v>1</v>
      </c>
      <c r="AQ4">
        <f>Data!BC12</f>
        <v>1</v>
      </c>
    </row>
    <row r="5" spans="1:43" x14ac:dyDescent="0.15">
      <c r="A5" t="s">
        <v>4</v>
      </c>
      <c r="B5" s="197">
        <v>7.0000000000000001E-3</v>
      </c>
      <c r="C5" s="197">
        <v>0.01</v>
      </c>
      <c r="D5">
        <f>Data!P13</f>
        <v>1.0693948797583674E-2</v>
      </c>
      <c r="E5">
        <f>Data!Q13</f>
        <v>1.1387897595167118E-2</v>
      </c>
      <c r="F5">
        <f>Data!R13</f>
        <v>1.2081846392750784E-2</v>
      </c>
      <c r="G5">
        <f>Data!S13</f>
        <v>1.2775795190334227E-2</v>
      </c>
      <c r="H5">
        <f>Data!T13</f>
        <v>1.3469743987917893E-2</v>
      </c>
      <c r="I5">
        <f>Data!U13</f>
        <v>1.4163692785501336E-2</v>
      </c>
      <c r="J5">
        <f>Data!V13</f>
        <v>1.4857641583085002E-2</v>
      </c>
      <c r="K5">
        <f>Data!W13</f>
        <v>1.5551590380668445E-2</v>
      </c>
      <c r="L5">
        <f>Data!X13</f>
        <v>1.6245539178251889E-2</v>
      </c>
      <c r="M5">
        <f>Data!Y13</f>
        <v>1.6939487975835554E-2</v>
      </c>
      <c r="N5">
        <f>Data!Z13</f>
        <v>1.7633436773418998E-2</v>
      </c>
      <c r="O5">
        <f>Data!AA13</f>
        <v>1.8327385571002663E-2</v>
      </c>
      <c r="P5">
        <f>Data!AB13</f>
        <v>1.9021334368586107E-2</v>
      </c>
      <c r="Q5">
        <f>Data!AC13</f>
        <v>1.9715283166169772E-2</v>
      </c>
      <c r="R5">
        <f>Data!AD13</f>
        <v>2.0409231963753216E-2</v>
      </c>
      <c r="S5">
        <f>Data!AE13</f>
        <v>2.1103180761336882E-2</v>
      </c>
      <c r="T5">
        <f>Data!AF13</f>
        <v>2.1797129558920325E-2</v>
      </c>
      <c r="U5">
        <f>Data!AG13</f>
        <v>2.2491078356503991E-2</v>
      </c>
      <c r="V5">
        <f>Data!AH13</f>
        <v>2.3185027154087434E-2</v>
      </c>
      <c r="W5">
        <f>Data!AI13</f>
        <v>2.3878975951670878E-2</v>
      </c>
      <c r="X5">
        <f>Data!AJ13</f>
        <v>2.4572924749254543E-2</v>
      </c>
      <c r="Y5">
        <f>Data!AK13</f>
        <v>2.5266873546837987E-2</v>
      </c>
      <c r="Z5">
        <f>Data!AL13</f>
        <v>2.5960822344421652E-2</v>
      </c>
      <c r="AA5">
        <f>Data!AM13</f>
        <v>2.6654771142005096E-2</v>
      </c>
      <c r="AB5">
        <f>Data!AN13</f>
        <v>2.7348719939588761E-2</v>
      </c>
      <c r="AC5">
        <f>Data!AO13</f>
        <v>2.8042668737172205E-2</v>
      </c>
      <c r="AD5">
        <f>Data!AP13</f>
        <v>2.8736617534755871E-2</v>
      </c>
      <c r="AE5">
        <f>Data!AQ13</f>
        <v>2.9430566332339314E-2</v>
      </c>
      <c r="AF5">
        <f>Data!AR13</f>
        <v>3.0124515129922758E-2</v>
      </c>
      <c r="AG5">
        <f>Data!AS13</f>
        <v>3.0818463927506423E-2</v>
      </c>
      <c r="AH5">
        <f>Data!AT13</f>
        <v>3.0818463927506423E-2</v>
      </c>
      <c r="AI5">
        <f>Data!AU13</f>
        <v>3.0818463927506423E-2</v>
      </c>
      <c r="AJ5">
        <f>Data!AV13</f>
        <v>3.0818463927506423E-2</v>
      </c>
      <c r="AK5">
        <f>Data!AW13</f>
        <v>3.0818463927506423E-2</v>
      </c>
      <c r="AL5">
        <f>Data!AX13</f>
        <v>3.0818463927506423E-2</v>
      </c>
      <c r="AM5">
        <f>Data!AY13</f>
        <v>3.0818463927506423E-2</v>
      </c>
      <c r="AN5">
        <f>Data!AZ13</f>
        <v>3.0818463927506423E-2</v>
      </c>
      <c r="AO5">
        <f>Data!BA13</f>
        <v>3.0818463927506423E-2</v>
      </c>
      <c r="AP5">
        <f>Data!BB13</f>
        <v>3.0818463927506423E-2</v>
      </c>
      <c r="AQ5">
        <f>Data!BC13</f>
        <v>3.0818463927506423E-2</v>
      </c>
    </row>
    <row r="6" spans="1:43" x14ac:dyDescent="0.15">
      <c r="A6" t="s">
        <v>5</v>
      </c>
      <c r="B6" s="197">
        <v>2.81E-2</v>
      </c>
      <c r="C6" s="197">
        <v>4.4999999999999998E-2</v>
      </c>
      <c r="D6">
        <f>Data!P14</f>
        <v>4.6708121577195207E-2</v>
      </c>
      <c r="E6">
        <f>Data!Q14</f>
        <v>4.7289828555370256E-2</v>
      </c>
      <c r="F6">
        <f>Data!R14</f>
        <v>4.8062448569969565E-2</v>
      </c>
      <c r="G6">
        <f>Data!S14</f>
        <v>4.9083059927488154E-2</v>
      </c>
      <c r="H6">
        <f>Data!T14</f>
        <v>5.0421597313623945E-2</v>
      </c>
      <c r="I6">
        <f>Data!U14</f>
        <v>5.2160629448908175E-2</v>
      </c>
      <c r="J6">
        <f>Data!V14</f>
        <v>5.4392528360465743E-2</v>
      </c>
      <c r="K6">
        <f>Data!W14</f>
        <v>5.7212456196603423E-2</v>
      </c>
      <c r="L6">
        <f>Data!X14</f>
        <v>6.0705653815080383E-2</v>
      </c>
      <c r="M6">
        <f>Data!Y14</f>
        <v>6.4928514065796195E-2</v>
      </c>
      <c r="N6">
        <f>Data!Z14</f>
        <v>6.9885372135027463E-2</v>
      </c>
      <c r="O6">
        <f>Data!AA14</f>
        <v>7.5506692648348583E-2</v>
      </c>
      <c r="P6">
        <f>Data!AB14</f>
        <v>8.1637737800701826E-2</v>
      </c>
      <c r="Q6">
        <f>Data!AC14</f>
        <v>8.8046755430319729E-2</v>
      </c>
      <c r="R6">
        <f>Data!AD14</f>
        <v>9.4455773059937631E-2</v>
      </c>
      <c r="S6">
        <f>Data!AE14</f>
        <v>0.10058681821229087</v>
      </c>
      <c r="T6">
        <f>Data!AF14</f>
        <v>0.10620813872561199</v>
      </c>
      <c r="U6">
        <f>Data!AG14</f>
        <v>0.11116499679484328</v>
      </c>
      <c r="V6">
        <f>Data!AH14</f>
        <v>0.11538785704555908</v>
      </c>
      <c r="W6">
        <f>Data!AI14</f>
        <v>0.11888105466403606</v>
      </c>
      <c r="X6">
        <f>Data!AJ14</f>
        <v>0.12170098250017373</v>
      </c>
      <c r="Y6">
        <f>Data!AK14</f>
        <v>0.1239328814117313</v>
      </c>
      <c r="Z6">
        <f>Data!AL14</f>
        <v>0.12567191354701551</v>
      </c>
      <c r="AA6">
        <f>Data!AM14</f>
        <v>0.12701045093315133</v>
      </c>
      <c r="AB6">
        <f>Data!AN14</f>
        <v>0.12803106229066991</v>
      </c>
      <c r="AC6">
        <f>Data!AO14</f>
        <v>0.1288036823052692</v>
      </c>
      <c r="AD6">
        <f>Data!AP14</f>
        <v>0.12938538928344429</v>
      </c>
      <c r="AE6">
        <f>Data!AQ14</f>
        <v>0.12982156260259925</v>
      </c>
      <c r="AF6">
        <f>Data!AR14</f>
        <v>0.13014760639594727</v>
      </c>
      <c r="AG6">
        <f>Data!AS14</f>
        <v>0.13039076645241415</v>
      </c>
      <c r="AH6">
        <f>Data!AT14</f>
        <v>0.13039076645241415</v>
      </c>
      <c r="AI6">
        <f>Data!AU14</f>
        <v>0.13039076645241415</v>
      </c>
      <c r="AJ6">
        <f>Data!AV14</f>
        <v>0.13039076645241415</v>
      </c>
      <c r="AK6">
        <f>Data!AW14</f>
        <v>0.13039076645241415</v>
      </c>
      <c r="AL6">
        <f>Data!AX14</f>
        <v>0.13039076645241415</v>
      </c>
      <c r="AM6">
        <f>Data!AY14</f>
        <v>0.13039076645241415</v>
      </c>
      <c r="AN6">
        <f>Data!AZ14</f>
        <v>0.13039076645241415</v>
      </c>
      <c r="AO6">
        <f>Data!BA14</f>
        <v>0.13039076645241415</v>
      </c>
      <c r="AP6">
        <f>Data!BB14</f>
        <v>0.13039076645241415</v>
      </c>
      <c r="AQ6">
        <f>Data!BC14</f>
        <v>0.13039076645241415</v>
      </c>
    </row>
    <row r="7" spans="1:43" x14ac:dyDescent="0.15">
      <c r="A7" t="s">
        <v>125</v>
      </c>
      <c r="B7" s="197">
        <v>2.9999999999999997E-4</v>
      </c>
      <c r="C7" s="197">
        <v>0</v>
      </c>
      <c r="D7">
        <f>Data!P15</f>
        <v>0</v>
      </c>
      <c r="E7">
        <f>Data!Q15</f>
        <v>0</v>
      </c>
      <c r="F7">
        <f>Data!R15</f>
        <v>0</v>
      </c>
      <c r="G7">
        <f>Data!S15</f>
        <v>0</v>
      </c>
      <c r="H7">
        <f>Data!T15</f>
        <v>0</v>
      </c>
      <c r="I7">
        <f>Data!U15</f>
        <v>0</v>
      </c>
      <c r="J7">
        <f>Data!V15</f>
        <v>0</v>
      </c>
      <c r="K7">
        <f>Data!W15</f>
        <v>0</v>
      </c>
      <c r="L7">
        <f>Data!X15</f>
        <v>0</v>
      </c>
      <c r="M7">
        <f>Data!Y15</f>
        <v>0</v>
      </c>
      <c r="N7">
        <f>Data!Z15</f>
        <v>0</v>
      </c>
      <c r="O7">
        <f>Data!AA15</f>
        <v>0</v>
      </c>
      <c r="P7">
        <f>Data!AB15</f>
        <v>0</v>
      </c>
      <c r="Q7">
        <f>Data!AC15</f>
        <v>0</v>
      </c>
      <c r="R7">
        <f>Data!AD15</f>
        <v>0</v>
      </c>
      <c r="S7">
        <f>Data!AE15</f>
        <v>0</v>
      </c>
      <c r="T7">
        <f>Data!AF15</f>
        <v>0</v>
      </c>
      <c r="U7">
        <f>Data!AG15</f>
        <v>0</v>
      </c>
      <c r="V7">
        <f>Data!AH15</f>
        <v>0</v>
      </c>
      <c r="W7">
        <f>Data!AI15</f>
        <v>0</v>
      </c>
      <c r="X7">
        <f>Data!AJ15</f>
        <v>0</v>
      </c>
      <c r="Y7">
        <f>Data!AK15</f>
        <v>0</v>
      </c>
      <c r="Z7">
        <f>Data!AL15</f>
        <v>0</v>
      </c>
      <c r="AA7">
        <f>Data!AM15</f>
        <v>0</v>
      </c>
      <c r="AB7">
        <f>Data!AN15</f>
        <v>0</v>
      </c>
      <c r="AC7">
        <f>Data!AO15</f>
        <v>0</v>
      </c>
      <c r="AD7">
        <f>Data!AP15</f>
        <v>0</v>
      </c>
      <c r="AE7">
        <f>Data!AQ15</f>
        <v>0</v>
      </c>
      <c r="AF7">
        <f>Data!AR15</f>
        <v>0</v>
      </c>
      <c r="AG7">
        <f>Data!AS15</f>
        <v>0</v>
      </c>
      <c r="AH7">
        <f>Data!AT15</f>
        <v>0</v>
      </c>
      <c r="AI7">
        <f>Data!AU15</f>
        <v>0</v>
      </c>
      <c r="AJ7">
        <f>Data!AV15</f>
        <v>0</v>
      </c>
      <c r="AK7">
        <f>Data!AW15</f>
        <v>0</v>
      </c>
      <c r="AL7">
        <f>Data!AX15</f>
        <v>0</v>
      </c>
      <c r="AM7">
        <f>Data!AY15</f>
        <v>0</v>
      </c>
      <c r="AN7">
        <f>Data!AZ15</f>
        <v>0</v>
      </c>
      <c r="AO7">
        <f>Data!BA15</f>
        <v>0</v>
      </c>
      <c r="AP7">
        <f>Data!BB15</f>
        <v>0</v>
      </c>
      <c r="AQ7">
        <f>Data!BC15</f>
        <v>0</v>
      </c>
    </row>
    <row r="8" spans="1:43" x14ac:dyDescent="0.15">
      <c r="A8" t="s">
        <v>126</v>
      </c>
      <c r="B8" s="197">
        <v>0</v>
      </c>
      <c r="C8" s="197">
        <v>0</v>
      </c>
      <c r="D8">
        <f>Data!P16</f>
        <v>1.1904183440446504E-2</v>
      </c>
      <c r="E8">
        <f>Data!Q16</f>
        <v>1.5958196146119517E-2</v>
      </c>
      <c r="F8">
        <f>Data!R16</f>
        <v>2.1342713563581705E-2</v>
      </c>
      <c r="G8">
        <f>Data!S16</f>
        <v>2.8455523906540069E-2</v>
      </c>
      <c r="H8">
        <f>Data!T16</f>
        <v>3.7784013634197901E-2</v>
      </c>
      <c r="I8">
        <f>Data!U16</f>
        <v>4.9903617896353419E-2</v>
      </c>
      <c r="J8">
        <f>Data!V16</f>
        <v>6.5458092717367744E-2</v>
      </c>
      <c r="K8">
        <f>Data!W16</f>
        <v>8.5110638940292693E-2</v>
      </c>
      <c r="L8">
        <f>Data!X16</f>
        <v>0.1094553142838138</v>
      </c>
      <c r="M8">
        <f>Data!Y16</f>
        <v>0.1388851299005894</v>
      </c>
      <c r="N8">
        <f>Data!Z16</f>
        <v>0.17343029842499763</v>
      </c>
      <c r="O8">
        <f>Data!AA16</f>
        <v>0.21260621626452272</v>
      </c>
      <c r="P8">
        <f>Data!AB16</f>
        <v>0.25533448991300461</v>
      </c>
      <c r="Q8">
        <f>Data!AC16</f>
        <v>0.3</v>
      </c>
      <c r="R8">
        <f>Data!AD16</f>
        <v>0.34466551008699542</v>
      </c>
      <c r="S8">
        <f>Data!AE16</f>
        <v>0.38739378373547723</v>
      </c>
      <c r="T8">
        <f>Data!AF16</f>
        <v>0.42656970157500235</v>
      </c>
      <c r="U8">
        <f>Data!AG16</f>
        <v>0.46111487009941055</v>
      </c>
      <c r="V8">
        <f>Data!AH16</f>
        <v>0.49054468571618615</v>
      </c>
      <c r="W8">
        <f>Data!AI16</f>
        <v>0.5148893610597074</v>
      </c>
      <c r="X8">
        <f>Data!AJ16</f>
        <v>0.53454190728263229</v>
      </c>
      <c r="Y8">
        <f>Data!AK16</f>
        <v>0.55009638210364653</v>
      </c>
      <c r="Z8">
        <f>Data!AL16</f>
        <v>0.56221598636580206</v>
      </c>
      <c r="AA8">
        <f>Data!AM16</f>
        <v>0.57154447609345993</v>
      </c>
      <c r="AB8">
        <f>Data!AN16</f>
        <v>0.57865728643641834</v>
      </c>
      <c r="AC8">
        <f>Data!AO16</f>
        <v>0.58404180385388038</v>
      </c>
      <c r="AD8">
        <f>Data!AP16</f>
        <v>0.58809581655955345</v>
      </c>
      <c r="AE8">
        <f>Data!AQ16</f>
        <v>0.59113558098403618</v>
      </c>
      <c r="AF8">
        <f>Data!AR16</f>
        <v>0.59340783442164413</v>
      </c>
      <c r="AG8">
        <f>Data!AS16</f>
        <v>0.59510245730810407</v>
      </c>
      <c r="AH8">
        <f>Data!AT16</f>
        <v>0.59510245730810407</v>
      </c>
      <c r="AI8">
        <f>Data!AU16</f>
        <v>0.59510245730810407</v>
      </c>
      <c r="AJ8">
        <f>Data!AV16</f>
        <v>0.59510245730810407</v>
      </c>
      <c r="AK8">
        <f>Data!AW16</f>
        <v>0.59510245730810407</v>
      </c>
      <c r="AL8">
        <f>Data!AX16</f>
        <v>0.59510245730810407</v>
      </c>
      <c r="AM8">
        <f>Data!AY16</f>
        <v>0.59510245730810407</v>
      </c>
      <c r="AN8">
        <f>Data!AZ16</f>
        <v>0.59510245730810407</v>
      </c>
      <c r="AO8">
        <f>Data!BA16</f>
        <v>0.59510245730810407</v>
      </c>
      <c r="AP8">
        <f>Data!BB16</f>
        <v>0.59510245730810407</v>
      </c>
      <c r="AQ8">
        <f>Data!BC16</f>
        <v>0.59510245730810407</v>
      </c>
    </row>
  </sheetData>
  <phoneticPr fontId="10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Q8"/>
  <sheetViews>
    <sheetView workbookViewId="0">
      <selection activeCell="C2" sqref="C2"/>
    </sheetView>
  </sheetViews>
  <sheetFormatPr defaultColWidth="9.125" defaultRowHeight="12.9" x14ac:dyDescent="0.15"/>
  <cols>
    <col min="1" max="1" width="24.5" customWidth="1"/>
    <col min="2" max="2" width="11.125" customWidth="1"/>
  </cols>
  <sheetData>
    <row r="1" spans="1:43" ht="38.75" x14ac:dyDescent="0.15">
      <c r="A1" s="25" t="s">
        <v>128</v>
      </c>
      <c r="B1" s="199">
        <v>2019</v>
      </c>
      <c r="C1" s="200">
        <f>Data!O9</f>
        <v>2020</v>
      </c>
      <c r="D1">
        <f>Data!P9</f>
        <v>2021</v>
      </c>
      <c r="E1">
        <f>Data!Q9</f>
        <v>2022</v>
      </c>
      <c r="F1">
        <f>Data!R9</f>
        <v>2023</v>
      </c>
      <c r="G1">
        <f>Data!S9</f>
        <v>2024</v>
      </c>
      <c r="H1">
        <f>Data!T9</f>
        <v>2025</v>
      </c>
      <c r="I1">
        <f>Data!U9</f>
        <v>2026</v>
      </c>
      <c r="J1">
        <f>Data!V9</f>
        <v>2027</v>
      </c>
      <c r="K1">
        <f>Data!W9</f>
        <v>2028</v>
      </c>
      <c r="L1">
        <f>Data!X9</f>
        <v>2029</v>
      </c>
      <c r="M1">
        <f>Data!Y9</f>
        <v>2030</v>
      </c>
      <c r="N1">
        <f>Data!Z9</f>
        <v>2031</v>
      </c>
      <c r="O1">
        <f>Data!AA9</f>
        <v>2032</v>
      </c>
      <c r="P1">
        <f>Data!AB9</f>
        <v>2033</v>
      </c>
      <c r="Q1">
        <f>Data!AC9</f>
        <v>2034</v>
      </c>
      <c r="R1">
        <f>Data!AD9</f>
        <v>2035</v>
      </c>
      <c r="S1">
        <f>Data!AE9</f>
        <v>2036</v>
      </c>
      <c r="T1">
        <f>Data!AF9</f>
        <v>2037</v>
      </c>
      <c r="U1">
        <f>Data!AG9</f>
        <v>2038</v>
      </c>
      <c r="V1">
        <f>Data!AH9</f>
        <v>2039</v>
      </c>
      <c r="W1">
        <f>Data!AI9</f>
        <v>2040</v>
      </c>
      <c r="X1">
        <f>Data!AJ9</f>
        <v>2041</v>
      </c>
      <c r="Y1">
        <f>Data!AK9</f>
        <v>2042</v>
      </c>
      <c r="Z1">
        <f>Data!AL9</f>
        <v>2043</v>
      </c>
      <c r="AA1">
        <f>Data!AM9</f>
        <v>2044</v>
      </c>
      <c r="AB1">
        <f>Data!AN9</f>
        <v>2045</v>
      </c>
      <c r="AC1">
        <f>Data!AO9</f>
        <v>2046</v>
      </c>
      <c r="AD1">
        <f>Data!AP9</f>
        <v>2047</v>
      </c>
      <c r="AE1">
        <f>Data!AQ9</f>
        <v>2048</v>
      </c>
      <c r="AF1">
        <f>Data!AR9</f>
        <v>2049</v>
      </c>
      <c r="AG1">
        <f>Data!AS9</f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</v>
      </c>
      <c r="B2" s="201">
        <v>1.4999999999999999E-2</v>
      </c>
      <c r="C2" s="200">
        <v>1.0999999999999999E-2</v>
      </c>
      <c r="D2">
        <f>Data!P17</f>
        <v>2.8788361652508553E-2</v>
      </c>
      <c r="E2">
        <f>Data!Q17</f>
        <v>3.3724618841015332E-2</v>
      </c>
      <c r="F2">
        <f>Data!R17</f>
        <v>3.99897962130914E-2</v>
      </c>
      <c r="G2">
        <f>Data!S17</f>
        <v>4.7916291583344039E-2</v>
      </c>
      <c r="H2">
        <f>Data!T17</f>
        <v>5.7904188572613549E-2</v>
      </c>
      <c r="I2">
        <f>Data!U17</f>
        <v>7.0425697022093545E-2</v>
      </c>
      <c r="J2">
        <f>Data!V17</f>
        <v>8.6023740041009863E-2</v>
      </c>
      <c r="K2">
        <f>Data!W17</f>
        <v>0.10530062078521928</v>
      </c>
      <c r="L2">
        <f>Data!X17</f>
        <v>0.12889168987987426</v>
      </c>
      <c r="M2">
        <f>Data!Y17</f>
        <v>0.15741867885334088</v>
      </c>
      <c r="N2">
        <f>Data!Z17</f>
        <v>0.19141884304448645</v>
      </c>
      <c r="O2">
        <f>Data!AA17</f>
        <v>0.23125043729823047</v>
      </c>
      <c r="P2">
        <f>Data!AB17</f>
        <v>0.2769830657349252</v>
      </c>
      <c r="Q2">
        <f>Data!AC17</f>
        <v>0.32829226651553634</v>
      </c>
      <c r="R2">
        <f>Data!AD17</f>
        <v>0.38438772144136585</v>
      </c>
      <c r="S2">
        <f>Data!AE17</f>
        <v>0.4440074406239457</v>
      </c>
      <c r="T2">
        <f>Data!AF17</f>
        <v>0.50549999999999995</v>
      </c>
      <c r="U2">
        <f>Data!AG17</f>
        <v>0.56699255937605431</v>
      </c>
      <c r="V2">
        <f>Data!AH17</f>
        <v>0.62661227855863422</v>
      </c>
      <c r="W2">
        <f>Data!AI17</f>
        <v>0.68270773348446356</v>
      </c>
      <c r="X2">
        <f>Data!AJ17</f>
        <v>0.73401693426507486</v>
      </c>
      <c r="Y2">
        <f>Data!AK17</f>
        <v>0.77974956270176954</v>
      </c>
      <c r="Z2">
        <f>Data!AL17</f>
        <v>0.81958115695551348</v>
      </c>
      <c r="AA2">
        <f>Data!AM17</f>
        <v>0.85358132114665919</v>
      </c>
      <c r="AB2">
        <f>Data!AN17</f>
        <v>0.88210831012012569</v>
      </c>
      <c r="AC2">
        <f>Data!AO17</f>
        <v>0.90569937921478083</v>
      </c>
      <c r="AD2">
        <f>Data!AP17</f>
        <v>0.92497625995899013</v>
      </c>
      <c r="AE2">
        <f>Data!AQ17</f>
        <v>0.94057430297790645</v>
      </c>
      <c r="AF2">
        <f>Data!AR17</f>
        <v>0.95309581142738653</v>
      </c>
      <c r="AG2">
        <f>Data!AS17</f>
        <v>0.96308370841665603</v>
      </c>
      <c r="AH2">
        <f>Data!AT17</f>
        <v>0.9710102037869085</v>
      </c>
      <c r="AI2">
        <f>Data!AU17</f>
        <v>0.9772753811589846</v>
      </c>
      <c r="AJ2">
        <f>Data!AV17</f>
        <v>0.98221163834749137</v>
      </c>
      <c r="AK2">
        <f>Data!AW17</f>
        <v>0.98609107285423014</v>
      </c>
      <c r="AL2">
        <f>Data!AX17</f>
        <v>0.98913391373834336</v>
      </c>
      <c r="AM2">
        <f>Data!AY17</f>
        <v>0.99151686692583885</v>
      </c>
      <c r="AN2">
        <f>Data!AZ17</f>
        <v>0.99338077043588235</v>
      </c>
      <c r="AO2">
        <f>Data!BA17</f>
        <v>0.99483729568907076</v>
      </c>
      <c r="AP2">
        <f>Data!BB17</f>
        <v>0.99597463379897877</v>
      </c>
      <c r="AQ2">
        <f>Data!BC17</f>
        <v>0.99686221666878216</v>
      </c>
    </row>
    <row r="3" spans="1:43" x14ac:dyDescent="0.15">
      <c r="A3" t="s">
        <v>2</v>
      </c>
      <c r="B3" s="201">
        <v>0.03</v>
      </c>
      <c r="C3" s="200">
        <v>1.7999999999999999E-2</v>
      </c>
      <c r="D3">
        <f>Data!P18</f>
        <v>1.7441178984196393E-2</v>
      </c>
      <c r="E3">
        <f>Data!Q18</f>
        <v>1.6882357968392769E-2</v>
      </c>
      <c r="F3">
        <f>Data!R18</f>
        <v>1.6323536952589146E-2</v>
      </c>
      <c r="G3">
        <f>Data!S18</f>
        <v>1.5764715936785301E-2</v>
      </c>
      <c r="H3">
        <f>Data!T18</f>
        <v>1.5205894920981677E-2</v>
      </c>
      <c r="I3">
        <f>Data!U18</f>
        <v>1.4647073905178054E-2</v>
      </c>
      <c r="J3">
        <f>Data!V18</f>
        <v>1.4088252889374431E-2</v>
      </c>
      <c r="K3">
        <f>Data!W18</f>
        <v>1.3529431873570585E-2</v>
      </c>
      <c r="L3">
        <f>Data!X18</f>
        <v>1.2970610857766962E-2</v>
      </c>
      <c r="M3">
        <f>Data!Y18</f>
        <v>1.2411789841963339E-2</v>
      </c>
      <c r="N3">
        <f>Data!Z18</f>
        <v>1.1852968826159715E-2</v>
      </c>
      <c r="O3">
        <f>Data!AA18</f>
        <v>1.1294147810356092E-2</v>
      </c>
      <c r="P3">
        <f>Data!AB18</f>
        <v>1.0735326794552247E-2</v>
      </c>
      <c r="Q3">
        <f>Data!AC18</f>
        <v>1.0176505778748623E-2</v>
      </c>
      <c r="R3">
        <f>Data!AD18</f>
        <v>9.6176847629450002E-3</v>
      </c>
      <c r="S3">
        <f>Data!AE18</f>
        <v>9.0588637471413769E-3</v>
      </c>
      <c r="T3">
        <f>Data!AF18</f>
        <v>8.5000427313375315E-3</v>
      </c>
      <c r="U3">
        <f>Data!AG18</f>
        <v>7.9412217155339082E-3</v>
      </c>
      <c r="V3">
        <f>Data!AH18</f>
        <v>7.3824006997302849E-3</v>
      </c>
      <c r="W3">
        <f>Data!AI18</f>
        <v>6.8235796839266616E-3</v>
      </c>
      <c r="X3">
        <f>Data!AJ18</f>
        <v>6.2647586681230383E-3</v>
      </c>
      <c r="Y3">
        <f>Data!AK18</f>
        <v>5.7059376523191929E-3</v>
      </c>
      <c r="Z3">
        <f>Data!AL18</f>
        <v>5.1471166365155696E-3</v>
      </c>
      <c r="AA3">
        <f>Data!AM18</f>
        <v>4.5882956207119463E-3</v>
      </c>
      <c r="AB3">
        <f>Data!AN18</f>
        <v>4.029474604908323E-3</v>
      </c>
      <c r="AC3">
        <f>Data!AO18</f>
        <v>3.4706535891044776E-3</v>
      </c>
      <c r="AD3">
        <f>Data!AP18</f>
        <v>2.9118325733008543E-3</v>
      </c>
      <c r="AE3">
        <f>Data!AQ18</f>
        <v>2.353011557497231E-3</v>
      </c>
      <c r="AF3">
        <f>Data!AR18</f>
        <v>1.7941905416936077E-3</v>
      </c>
      <c r="AG3">
        <f>Data!AS18</f>
        <v>1.2353695258899844E-3</v>
      </c>
      <c r="AH3">
        <f>Data!AT18</f>
        <v>1.2353695258899844E-3</v>
      </c>
      <c r="AI3">
        <f>Data!AU18</f>
        <v>1.2353695258899844E-3</v>
      </c>
      <c r="AJ3">
        <f>Data!AV18</f>
        <v>1.2353695258899844E-3</v>
      </c>
      <c r="AK3">
        <f>Data!AW18</f>
        <v>1.2353695258899844E-3</v>
      </c>
      <c r="AL3">
        <f>Data!AX18</f>
        <v>1.2353695258899844E-3</v>
      </c>
      <c r="AM3">
        <f>Data!AY18</f>
        <v>1.2353695258899844E-3</v>
      </c>
      <c r="AN3">
        <f>Data!AZ18</f>
        <v>1.2353695258899844E-3</v>
      </c>
      <c r="AO3">
        <f>Data!BA18</f>
        <v>1.2353695258899844E-3</v>
      </c>
      <c r="AP3">
        <f>Data!BB18</f>
        <v>1.2353695258899844E-3</v>
      </c>
      <c r="AQ3">
        <f>Data!BC18</f>
        <v>1.2353695258899844E-3</v>
      </c>
    </row>
    <row r="4" spans="1:43" x14ac:dyDescent="0.15">
      <c r="A4" t="s">
        <v>3</v>
      </c>
      <c r="B4" s="201">
        <v>0.98</v>
      </c>
      <c r="C4" s="200">
        <v>0.81</v>
      </c>
      <c r="D4">
        <f>Data!P19</f>
        <v>0.81633333333333269</v>
      </c>
      <c r="E4">
        <f>Data!Q19</f>
        <v>0.82266666666666488</v>
      </c>
      <c r="F4">
        <f>Data!R19</f>
        <v>0.82899999999999885</v>
      </c>
      <c r="G4">
        <f>Data!S19</f>
        <v>0.83533333333333282</v>
      </c>
      <c r="H4">
        <f>Data!T19</f>
        <v>0.84166666666666501</v>
      </c>
      <c r="I4">
        <f>Data!U19</f>
        <v>0.84799999999999898</v>
      </c>
      <c r="J4">
        <f>Data!V19</f>
        <v>0.85433333333333294</v>
      </c>
      <c r="K4">
        <f>Data!W19</f>
        <v>0.86066666666666514</v>
      </c>
      <c r="L4">
        <f>Data!X19</f>
        <v>0.8669999999999991</v>
      </c>
      <c r="M4">
        <f>Data!Y19</f>
        <v>0.8733333333333313</v>
      </c>
      <c r="N4">
        <f>Data!Z19</f>
        <v>0.87966666666666526</v>
      </c>
      <c r="O4">
        <f>Data!AA19</f>
        <v>0.88599999999999923</v>
      </c>
      <c r="P4">
        <f>Data!AB19</f>
        <v>0.89233333333333142</v>
      </c>
      <c r="Q4">
        <f>Data!AC19</f>
        <v>0.89866666666666539</v>
      </c>
      <c r="R4">
        <f>Data!AD19</f>
        <v>0.90499999999999936</v>
      </c>
      <c r="S4">
        <f>Data!AE19</f>
        <v>0.91133333333333155</v>
      </c>
      <c r="T4">
        <f>Data!AF19</f>
        <v>0.91766666666666552</v>
      </c>
      <c r="U4">
        <f>Data!AG19</f>
        <v>0.92399999999999949</v>
      </c>
      <c r="V4">
        <f>Data!AH19</f>
        <v>0.93033333333333168</v>
      </c>
      <c r="W4">
        <f>Data!AI19</f>
        <v>0.93666666666666565</v>
      </c>
      <c r="X4">
        <f>Data!AJ19</f>
        <v>0.94299999999999962</v>
      </c>
      <c r="Y4">
        <f>Data!AK19</f>
        <v>0.94933333333333181</v>
      </c>
      <c r="Z4">
        <f>Data!AL19</f>
        <v>0.95566666666666578</v>
      </c>
      <c r="AA4">
        <f>Data!AM19</f>
        <v>0.96199999999999797</v>
      </c>
      <c r="AB4">
        <f>Data!AN19</f>
        <v>0.96833333333333194</v>
      </c>
      <c r="AC4">
        <f>Data!AO19</f>
        <v>0.9746666666666659</v>
      </c>
      <c r="AD4">
        <f>Data!AP19</f>
        <v>0.9809999999999981</v>
      </c>
      <c r="AE4">
        <f>Data!AQ19</f>
        <v>0.98733333333333206</v>
      </c>
      <c r="AF4">
        <f>Data!AR19</f>
        <v>0.99366666666666603</v>
      </c>
      <c r="AG4">
        <f>Data!AS19</f>
        <v>0.99999999999999822</v>
      </c>
      <c r="AH4">
        <f>Data!AT19</f>
        <v>0.99999999999999822</v>
      </c>
      <c r="AI4">
        <f>Data!AU19</f>
        <v>0.99999999999999822</v>
      </c>
      <c r="AJ4">
        <f>Data!AV19</f>
        <v>0.99999999999999822</v>
      </c>
      <c r="AK4">
        <f>Data!AW19</f>
        <v>0.99999999999999822</v>
      </c>
      <c r="AL4">
        <f>Data!AX19</f>
        <v>0.99999999999999822</v>
      </c>
      <c r="AM4">
        <f>Data!AY19</f>
        <v>0.99999999999999822</v>
      </c>
      <c r="AN4">
        <f>Data!AZ19</f>
        <v>0.99999999999999822</v>
      </c>
      <c r="AO4">
        <f>Data!BA19</f>
        <v>0.99999999999999822</v>
      </c>
      <c r="AP4">
        <f>Data!BB19</f>
        <v>0.99999999999999822</v>
      </c>
      <c r="AQ4">
        <f>Data!BC19</f>
        <v>0.99999999999999822</v>
      </c>
    </row>
    <row r="5" spans="1:43" x14ac:dyDescent="0.15">
      <c r="A5" t="s">
        <v>4</v>
      </c>
      <c r="B5" s="201">
        <v>0.95799999999999996</v>
      </c>
      <c r="C5" s="200">
        <v>1</v>
      </c>
      <c r="D5">
        <f>Data!P20</f>
        <v>1</v>
      </c>
      <c r="E5">
        <f>Data!Q20</f>
        <v>1</v>
      </c>
      <c r="F5">
        <f>Data!R20</f>
        <v>1</v>
      </c>
      <c r="G5">
        <f>Data!S20</f>
        <v>1</v>
      </c>
      <c r="H5">
        <f>Data!T20</f>
        <v>1</v>
      </c>
      <c r="I5">
        <f>Data!U20</f>
        <v>1</v>
      </c>
      <c r="J5">
        <f>Data!V20</f>
        <v>1</v>
      </c>
      <c r="K5">
        <f>Data!W20</f>
        <v>1</v>
      </c>
      <c r="L5">
        <f>Data!X20</f>
        <v>1</v>
      </c>
      <c r="M5">
        <f>Data!Y20</f>
        <v>1</v>
      </c>
      <c r="N5">
        <f>Data!Z20</f>
        <v>1</v>
      </c>
      <c r="O5">
        <f>Data!AA20</f>
        <v>1</v>
      </c>
      <c r="P5">
        <f>Data!AB20</f>
        <v>1</v>
      </c>
      <c r="Q5">
        <f>Data!AC20</f>
        <v>1</v>
      </c>
      <c r="R5">
        <f>Data!AD20</f>
        <v>1</v>
      </c>
      <c r="S5">
        <f>Data!AE20</f>
        <v>1</v>
      </c>
      <c r="T5">
        <f>Data!AF20</f>
        <v>1</v>
      </c>
      <c r="U5">
        <f>Data!AG20</f>
        <v>1</v>
      </c>
      <c r="V5">
        <f>Data!AH20</f>
        <v>1</v>
      </c>
      <c r="W5">
        <f>Data!AI20</f>
        <v>1</v>
      </c>
      <c r="X5">
        <f>Data!AJ20</f>
        <v>1</v>
      </c>
      <c r="Y5">
        <f>Data!AK20</f>
        <v>1</v>
      </c>
      <c r="Z5">
        <f>Data!AL20</f>
        <v>1</v>
      </c>
      <c r="AA5">
        <f>Data!AM20</f>
        <v>1</v>
      </c>
      <c r="AB5">
        <f>Data!AN20</f>
        <v>1</v>
      </c>
      <c r="AC5">
        <f>Data!AO20</f>
        <v>1</v>
      </c>
      <c r="AD5">
        <f>Data!AP20</f>
        <v>1</v>
      </c>
      <c r="AE5">
        <f>Data!AQ20</f>
        <v>1</v>
      </c>
      <c r="AF5">
        <f>Data!AR20</f>
        <v>1</v>
      </c>
      <c r="AG5">
        <f>Data!AS20</f>
        <v>1</v>
      </c>
      <c r="AH5">
        <f>Data!AT20</f>
        <v>1</v>
      </c>
      <c r="AI5">
        <f>Data!AU20</f>
        <v>1</v>
      </c>
      <c r="AJ5">
        <f>Data!AV20</f>
        <v>1</v>
      </c>
      <c r="AK5">
        <f>Data!AW20</f>
        <v>1</v>
      </c>
      <c r="AL5">
        <f>Data!AX20</f>
        <v>1</v>
      </c>
      <c r="AM5">
        <f>Data!AY20</f>
        <v>1</v>
      </c>
      <c r="AN5">
        <f>Data!AZ20</f>
        <v>1</v>
      </c>
      <c r="AO5">
        <f>Data!BA20</f>
        <v>1</v>
      </c>
      <c r="AP5">
        <f>Data!BB20</f>
        <v>1</v>
      </c>
      <c r="AQ5">
        <f>Data!BC20</f>
        <v>1</v>
      </c>
    </row>
    <row r="6" spans="1:43" x14ac:dyDescent="0.15">
      <c r="A6" t="s">
        <v>5</v>
      </c>
      <c r="B6" s="201">
        <v>0</v>
      </c>
      <c r="C6" s="200">
        <v>2.4000000000000001E-4</v>
      </c>
      <c r="D6">
        <f>Data!P21</f>
        <v>2.8361736618525194E-3</v>
      </c>
      <c r="E6">
        <f>Data!Q21</f>
        <v>3.7203099878707763E-3</v>
      </c>
      <c r="F6">
        <f>Data!R21</f>
        <v>4.8946150018127606E-3</v>
      </c>
      <c r="G6">
        <f>Data!S21</f>
        <v>6.4458420109160452E-3</v>
      </c>
      <c r="H6">
        <f>Data!T21</f>
        <v>8.4802847307351107E-3</v>
      </c>
      <c r="I6">
        <f>Data!U21</f>
        <v>1.1123439343976143E-2</v>
      </c>
      <c r="J6">
        <f>Data!V21</f>
        <v>1.4515702077181379E-2</v>
      </c>
      <c r="K6">
        <f>Data!W21</f>
        <v>1.8801709861549259E-2</v>
      </c>
      <c r="L6">
        <f>Data!X21</f>
        <v>2.4111020260652899E-2</v>
      </c>
      <c r="M6">
        <f>Data!Y21</f>
        <v>3.0529344756380174E-2</v>
      </c>
      <c r="N6">
        <f>Data!Z21</f>
        <v>3.8063272397532287E-2</v>
      </c>
      <c r="O6">
        <f>Data!AA21</f>
        <v>4.6607116381681982E-2</v>
      </c>
      <c r="P6">
        <f>Data!AB21</f>
        <v>5.5925690748211979E-2</v>
      </c>
      <c r="Q6">
        <f>Data!AC21</f>
        <v>6.5666755430319745E-2</v>
      </c>
      <c r="R6">
        <f>Data!AD21</f>
        <v>7.5407820112427512E-2</v>
      </c>
      <c r="S6">
        <f>Data!AE21</f>
        <v>8.4726394478957495E-2</v>
      </c>
      <c r="T6">
        <f>Data!AF21</f>
        <v>9.3270238463107197E-2</v>
      </c>
      <c r="U6">
        <f>Data!AG21</f>
        <v>0.10080416610425931</v>
      </c>
      <c r="V6">
        <f>Data!AH21</f>
        <v>0.10722249059998658</v>
      </c>
      <c r="W6">
        <f>Data!AI21</f>
        <v>0.11253180099909024</v>
      </c>
      <c r="X6">
        <f>Data!AJ21</f>
        <v>0.11681780878345811</v>
      </c>
      <c r="Y6">
        <f>Data!AK21</f>
        <v>0.12021007151666335</v>
      </c>
      <c r="Z6">
        <f>Data!AL21</f>
        <v>0.12285322612990439</v>
      </c>
      <c r="AA6">
        <f>Data!AM21</f>
        <v>0.12488766884972345</v>
      </c>
      <c r="AB6">
        <f>Data!AN21</f>
        <v>0.12643889585882673</v>
      </c>
      <c r="AC6">
        <f>Data!AO21</f>
        <v>0.1276132008727687</v>
      </c>
      <c r="AD6">
        <f>Data!AP21</f>
        <v>0.12849733719878695</v>
      </c>
      <c r="AE6">
        <f>Data!AQ21</f>
        <v>0.12916027694400833</v>
      </c>
      <c r="AF6">
        <f>Data!AR21</f>
        <v>0.12965583084380192</v>
      </c>
      <c r="AG6">
        <f>Data!AS21</f>
        <v>0.13002540976759872</v>
      </c>
      <c r="AH6">
        <f>Data!AT21</f>
        <v>0.13002540976759872</v>
      </c>
      <c r="AI6">
        <f>Data!AU21</f>
        <v>0.13002540976759872</v>
      </c>
      <c r="AJ6">
        <f>Data!AV21</f>
        <v>0.13002540976759872</v>
      </c>
      <c r="AK6">
        <f>Data!AW21</f>
        <v>0.13002540976759872</v>
      </c>
      <c r="AL6">
        <f>Data!AX21</f>
        <v>0.13002540976759872</v>
      </c>
      <c r="AM6">
        <f>Data!AY21</f>
        <v>0.13002540976759872</v>
      </c>
      <c r="AN6">
        <f>Data!AZ21</f>
        <v>0.13002540976759872</v>
      </c>
      <c r="AO6">
        <f>Data!BA21</f>
        <v>0.13002540976759872</v>
      </c>
      <c r="AP6">
        <f>Data!BB21</f>
        <v>0.13002540976759872</v>
      </c>
      <c r="AQ6">
        <f>Data!BC21</f>
        <v>0.13002540976759872</v>
      </c>
    </row>
    <row r="7" spans="1:43" x14ac:dyDescent="0.15">
      <c r="A7" t="s">
        <v>125</v>
      </c>
      <c r="B7" s="201">
        <v>5.18484573857123E-13</v>
      </c>
      <c r="C7" s="200">
        <v>0</v>
      </c>
      <c r="D7">
        <f>Data!P22</f>
        <v>0</v>
      </c>
      <c r="E7">
        <f>Data!Q22</f>
        <v>0</v>
      </c>
      <c r="F7">
        <f>Data!R22</f>
        <v>0</v>
      </c>
      <c r="G7">
        <f>Data!S22</f>
        <v>0</v>
      </c>
      <c r="H7">
        <f>Data!T22</f>
        <v>0</v>
      </c>
      <c r="I7">
        <f>Data!U22</f>
        <v>0</v>
      </c>
      <c r="J7">
        <f>Data!V22</f>
        <v>0</v>
      </c>
      <c r="K7">
        <f>Data!W22</f>
        <v>0</v>
      </c>
      <c r="L7">
        <f>Data!X22</f>
        <v>0</v>
      </c>
      <c r="M7">
        <f>Data!Y22</f>
        <v>0</v>
      </c>
      <c r="N7">
        <f>Data!Z22</f>
        <v>0</v>
      </c>
      <c r="O7">
        <f>Data!AA22</f>
        <v>0</v>
      </c>
      <c r="P7">
        <f>Data!AB22</f>
        <v>0</v>
      </c>
      <c r="Q7">
        <f>Data!AC22</f>
        <v>0</v>
      </c>
      <c r="R7">
        <f>Data!AD22</f>
        <v>0</v>
      </c>
      <c r="S7">
        <f>Data!AE22</f>
        <v>0</v>
      </c>
      <c r="T7">
        <f>Data!AF22</f>
        <v>0</v>
      </c>
      <c r="U7">
        <f>Data!AG22</f>
        <v>0</v>
      </c>
      <c r="V7">
        <f>Data!AH22</f>
        <v>0</v>
      </c>
      <c r="W7">
        <f>Data!AI22</f>
        <v>0</v>
      </c>
      <c r="X7">
        <f>Data!AJ22</f>
        <v>0</v>
      </c>
      <c r="Y7">
        <f>Data!AK22</f>
        <v>0</v>
      </c>
      <c r="Z7">
        <f>Data!AL22</f>
        <v>0</v>
      </c>
      <c r="AA7">
        <f>Data!AM22</f>
        <v>0</v>
      </c>
      <c r="AB7">
        <f>Data!AN22</f>
        <v>0</v>
      </c>
      <c r="AC7">
        <f>Data!AO22</f>
        <v>0</v>
      </c>
      <c r="AD7">
        <f>Data!AP22</f>
        <v>0</v>
      </c>
      <c r="AE7">
        <f>Data!AQ22</f>
        <v>0</v>
      </c>
      <c r="AF7">
        <f>Data!AR22</f>
        <v>0</v>
      </c>
      <c r="AG7">
        <f>Data!AS22</f>
        <v>0</v>
      </c>
      <c r="AH7">
        <f>Data!AT22</f>
        <v>0</v>
      </c>
      <c r="AI7">
        <f>Data!AU22</f>
        <v>0</v>
      </c>
      <c r="AJ7">
        <f>Data!AV22</f>
        <v>0</v>
      </c>
      <c r="AK7">
        <f>Data!AW22</f>
        <v>0</v>
      </c>
      <c r="AL7">
        <f>Data!AX22</f>
        <v>0</v>
      </c>
      <c r="AM7">
        <f>Data!AY22</f>
        <v>0</v>
      </c>
      <c r="AN7">
        <f>Data!AZ22</f>
        <v>0</v>
      </c>
      <c r="AO7">
        <f>Data!BA22</f>
        <v>0</v>
      </c>
      <c r="AP7">
        <f>Data!BB22</f>
        <v>0</v>
      </c>
      <c r="AQ7">
        <f>Data!BC22</f>
        <v>0</v>
      </c>
    </row>
    <row r="8" spans="1:43" x14ac:dyDescent="0.15">
      <c r="A8" t="s">
        <v>126</v>
      </c>
      <c r="B8" s="201">
        <v>1.5651626031685502E-3</v>
      </c>
      <c r="C8" s="200">
        <v>1.5651626031685502E-3</v>
      </c>
      <c r="D8">
        <f>Data!P23</f>
        <v>3.3372654271000626E-2</v>
      </c>
      <c r="E8">
        <f>Data!Q23</f>
        <v>3.9250612695470026E-2</v>
      </c>
      <c r="F8">
        <f>Data!R23</f>
        <v>4.6129375259876718E-2</v>
      </c>
      <c r="G8">
        <f>Data!S23</f>
        <v>5.4145990187090494E-2</v>
      </c>
      <c r="H8">
        <f>Data!T23</f>
        <v>6.344359495834509E-2</v>
      </c>
      <c r="I8">
        <f>Data!U23</f>
        <v>7.4166581630082648E-2</v>
      </c>
      <c r="J8">
        <f>Data!V23</f>
        <v>8.6453781561459359E-2</v>
      </c>
      <c r="K8">
        <f>Data!W23</f>
        <v>0.10042951223285367</v>
      </c>
      <c r="L8">
        <f>Data!X23</f>
        <v>0.11619257212366976</v>
      </c>
      <c r="M8">
        <f>Data!Y23</f>
        <v>0.13380363786290159</v>
      </c>
      <c r="N8">
        <f>Data!Z23</f>
        <v>0.15327199446361311</v>
      </c>
      <c r="O8">
        <f>Data!AA23</f>
        <v>0.17454304999924758</v>
      </c>
      <c r="P8">
        <f>Data!AB23</f>
        <v>0.19748852910908696</v>
      </c>
      <c r="Q8">
        <f>Data!AC23</f>
        <v>0.22190143852679703</v>
      </c>
      <c r="R8">
        <f>Data!AD23</f>
        <v>0.24749768362394373</v>
      </c>
      <c r="S8">
        <f>Data!AE23</f>
        <v>0.273925488641451</v>
      </c>
      <c r="T8">
        <f>Data!AF23</f>
        <v>0.30078258130158425</v>
      </c>
      <c r="U8">
        <f>Data!AG23</f>
        <v>0.32763967396171756</v>
      </c>
      <c r="V8">
        <f>Data!AH23</f>
        <v>0.3540674789792248</v>
      </c>
      <c r="W8">
        <f>Data!AI23</f>
        <v>0.37966372407637144</v>
      </c>
      <c r="X8">
        <f>Data!AJ23</f>
        <v>0.40407663349408157</v>
      </c>
      <c r="Y8">
        <f>Data!AK23</f>
        <v>0.42702211260392092</v>
      </c>
      <c r="Z8">
        <f>Data!AL23</f>
        <v>0.44829316813955539</v>
      </c>
      <c r="AA8">
        <f>Data!AM23</f>
        <v>0.46776152474026689</v>
      </c>
      <c r="AB8">
        <f>Data!AN23</f>
        <v>0.48537259047949882</v>
      </c>
      <c r="AC8">
        <f>Data!AO23</f>
        <v>0.50113565037031493</v>
      </c>
      <c r="AD8">
        <f>Data!AP23</f>
        <v>0.51511138104170917</v>
      </c>
      <c r="AE8">
        <f>Data!AQ23</f>
        <v>0.52739858097308578</v>
      </c>
      <c r="AF8">
        <f>Data!AR23</f>
        <v>0.53812156764482344</v>
      </c>
      <c r="AG8">
        <f>Data!AS23</f>
        <v>0.54741917241607807</v>
      </c>
      <c r="AH8">
        <f>Data!AT23</f>
        <v>0.5554357873432918</v>
      </c>
      <c r="AI8">
        <f>Data!AU23</f>
        <v>0.56231454990769858</v>
      </c>
      <c r="AJ8">
        <f>Data!AV23</f>
        <v>0.56819250833216783</v>
      </c>
      <c r="AK8">
        <f>Data!AW23</f>
        <v>0.57319747820802325</v>
      </c>
      <c r="AL8">
        <f>Data!AX23</f>
        <v>0.5774462533716529</v>
      </c>
      <c r="AM8">
        <f>Data!AY23</f>
        <v>0.58104384142063448</v>
      </c>
      <c r="AN8">
        <f>Data!AZ23</f>
        <v>0.58408343247358363</v>
      </c>
      <c r="AO8">
        <f>Data!BA23</f>
        <v>0.58664686094038043</v>
      </c>
      <c r="AP8">
        <f>Data!BB23</f>
        <v>0.58880537275720357</v>
      </c>
      <c r="AQ8">
        <f>Data!BC23</f>
        <v>0.5906205584047205</v>
      </c>
    </row>
  </sheetData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Q8"/>
  <sheetViews>
    <sheetView workbookViewId="0">
      <selection activeCell="L8" sqref="L8"/>
    </sheetView>
  </sheetViews>
  <sheetFormatPr defaultColWidth="9.125" defaultRowHeight="12.9" x14ac:dyDescent="0.15"/>
  <cols>
    <col min="1" max="1" width="24.5" customWidth="1"/>
    <col min="2" max="2" width="12.125" customWidth="1"/>
  </cols>
  <sheetData>
    <row r="1" spans="1:43" ht="38.75" x14ac:dyDescent="0.15">
      <c r="A1" s="25" t="s">
        <v>128</v>
      </c>
      <c r="B1" s="196">
        <v>2019</v>
      </c>
      <c r="C1" s="197">
        <f>Data!O9</f>
        <v>2020</v>
      </c>
      <c r="D1">
        <f>Data!P9</f>
        <v>2021</v>
      </c>
      <c r="E1">
        <f>Data!Q9</f>
        <v>2022</v>
      </c>
      <c r="F1">
        <f>Data!R9</f>
        <v>2023</v>
      </c>
      <c r="G1">
        <f>Data!S9</f>
        <v>2024</v>
      </c>
      <c r="H1">
        <f>Data!T9</f>
        <v>2025</v>
      </c>
      <c r="I1">
        <f>Data!U9</f>
        <v>2026</v>
      </c>
      <c r="J1">
        <f>Data!V9</f>
        <v>2027</v>
      </c>
      <c r="K1">
        <f>Data!W9</f>
        <v>2028</v>
      </c>
      <c r="L1">
        <f>Data!X9</f>
        <v>2029</v>
      </c>
      <c r="M1">
        <f>Data!Y9</f>
        <v>2030</v>
      </c>
      <c r="N1">
        <f>Data!Z9</f>
        <v>2031</v>
      </c>
      <c r="O1">
        <f>Data!AA9</f>
        <v>2032</v>
      </c>
      <c r="P1">
        <f>Data!AB9</f>
        <v>2033</v>
      </c>
      <c r="Q1">
        <f>Data!AC9</f>
        <v>2034</v>
      </c>
      <c r="R1">
        <f>Data!AD9</f>
        <v>2035</v>
      </c>
      <c r="S1">
        <f>Data!AE9</f>
        <v>2036</v>
      </c>
      <c r="T1">
        <f>Data!AF9</f>
        <v>2037</v>
      </c>
      <c r="U1">
        <f>Data!AG9</f>
        <v>2038</v>
      </c>
      <c r="V1">
        <f>Data!AH9</f>
        <v>2039</v>
      </c>
      <c r="W1">
        <f>Data!AI9</f>
        <v>2040</v>
      </c>
      <c r="X1">
        <f>Data!AJ9</f>
        <v>2041</v>
      </c>
      <c r="Y1">
        <f>Data!AK9</f>
        <v>2042</v>
      </c>
      <c r="Z1">
        <f>Data!AL9</f>
        <v>2043</v>
      </c>
      <c r="AA1">
        <f>Data!AM9</f>
        <v>2044</v>
      </c>
      <c r="AB1">
        <f>Data!AN9</f>
        <v>2045</v>
      </c>
      <c r="AC1">
        <f>Data!AO9</f>
        <v>2046</v>
      </c>
      <c r="AD1">
        <f>Data!AP9</f>
        <v>2047</v>
      </c>
      <c r="AE1">
        <f>Data!AQ9</f>
        <v>2048</v>
      </c>
      <c r="AF1">
        <f>Data!AR9</f>
        <v>2049</v>
      </c>
      <c r="AG1">
        <f>Data!AS9</f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</v>
      </c>
      <c r="B2" s="203">
        <f>'Historical Shareweights'!B146</f>
        <v>0.65449999999999997</v>
      </c>
      <c r="C2" s="205">
        <v>0.7</v>
      </c>
      <c r="D2">
        <f>Data!P24</f>
        <v>0.7618211942933808</v>
      </c>
      <c r="E2">
        <f>Data!Q24</f>
        <v>0.76346306943917841</v>
      </c>
      <c r="F2">
        <f>Data!R24</f>
        <v>0.76564379899325063</v>
      </c>
      <c r="G2">
        <f>Data!S24</f>
        <v>0.76852448718214872</v>
      </c>
      <c r="H2">
        <f>Data!T24</f>
        <v>0.77230252552185019</v>
      </c>
      <c r="I2">
        <f>Data!U24</f>
        <v>0.77721096524802313</v>
      </c>
      <c r="J2">
        <f>Data!V24</f>
        <v>0.78351052755053396</v>
      </c>
      <c r="K2">
        <f>Data!W24</f>
        <v>0.79146980877081852</v>
      </c>
      <c r="L2">
        <f>Data!X24</f>
        <v>0.80132940228494465</v>
      </c>
      <c r="M2">
        <f>Data!Y24</f>
        <v>0.81324847760973873</v>
      </c>
      <c r="N2">
        <f>Data!Z24</f>
        <v>0.82723927086212401</v>
      </c>
      <c r="O2">
        <f>Data!AA24</f>
        <v>0.8431055175871317</v>
      </c>
      <c r="P2">
        <f>Data!AB24</f>
        <v>0.86041046841476687</v>
      </c>
      <c r="Q2">
        <f>Data!AC24</f>
        <v>0.87850000000000006</v>
      </c>
      <c r="R2">
        <f>Data!AD24</f>
        <v>0.89658953158523313</v>
      </c>
      <c r="S2">
        <f>Data!AE24</f>
        <v>0.9138944824128683</v>
      </c>
      <c r="T2">
        <f>Data!AF24</f>
        <v>0.929760729137876</v>
      </c>
      <c r="U2">
        <f>Data!AG24</f>
        <v>0.94375152239026128</v>
      </c>
      <c r="V2">
        <f>Data!AH24</f>
        <v>0.95567059771505536</v>
      </c>
      <c r="W2">
        <f>Data!AI24</f>
        <v>0.96553019122918149</v>
      </c>
      <c r="X2">
        <f>Data!AJ24</f>
        <v>0.97348947244946604</v>
      </c>
      <c r="Y2">
        <f>Data!AK24</f>
        <v>0.97978903475197687</v>
      </c>
      <c r="Z2">
        <f>Data!AL24</f>
        <v>0.98469747447814981</v>
      </c>
      <c r="AA2">
        <f>Data!AM24</f>
        <v>0.98847551281785129</v>
      </c>
      <c r="AB2">
        <f>Data!AN24</f>
        <v>0.99135620100674937</v>
      </c>
      <c r="AC2">
        <f>Data!AO24</f>
        <v>0.9935369305608216</v>
      </c>
      <c r="AD2">
        <f>Data!AP24</f>
        <v>0.99517880570661921</v>
      </c>
      <c r="AE2">
        <f>Data!AQ24</f>
        <v>0.99640991029853465</v>
      </c>
      <c r="AF2">
        <f>Data!AR24</f>
        <v>0.99733017294076587</v>
      </c>
      <c r="AG2">
        <f>Data!AS24</f>
        <v>0.99801649520978208</v>
      </c>
      <c r="AH2">
        <f>Data!AT24</f>
        <v>0.99801649520978208</v>
      </c>
      <c r="AI2">
        <f>Data!AU24</f>
        <v>0.99801649520978208</v>
      </c>
      <c r="AJ2">
        <f>Data!AV24</f>
        <v>0.99801649520978208</v>
      </c>
      <c r="AK2">
        <f>Data!AW24</f>
        <v>0.99801649520978208</v>
      </c>
      <c r="AL2">
        <f>Data!AX24</f>
        <v>0.99801649520978208</v>
      </c>
      <c r="AM2">
        <f>Data!AY24</f>
        <v>0.99801649520978208</v>
      </c>
      <c r="AN2">
        <f>Data!AZ24</f>
        <v>0.99801649520978208</v>
      </c>
      <c r="AO2">
        <f>Data!BA24</f>
        <v>0.99801649520978208</v>
      </c>
      <c r="AP2">
        <f>Data!BB24</f>
        <v>0.99801649520978208</v>
      </c>
      <c r="AQ2">
        <f>Data!BC24</f>
        <v>0.99801649520978208</v>
      </c>
    </row>
    <row r="3" spans="1:43" x14ac:dyDescent="0.15">
      <c r="A3" t="s">
        <v>2</v>
      </c>
      <c r="B3" s="203">
        <f>'Historical Shareweights'!B147</f>
        <v>2.4199999999999999E-2</v>
      </c>
      <c r="C3" s="205">
        <f>'Historical Shareweights'!J147</f>
        <v>1.6E-2</v>
      </c>
      <c r="D3">
        <f>Data!P25</f>
        <v>1.8827271233097624E-2</v>
      </c>
      <c r="E3">
        <f>Data!Q25</f>
        <v>1.979010867244841E-2</v>
      </c>
      <c r="F3">
        <f>Data!R25</f>
        <v>2.106894407301688E-2</v>
      </c>
      <c r="G3">
        <f>Data!S25</f>
        <v>2.2758253060040617E-2</v>
      </c>
      <c r="H3">
        <f>Data!T25</f>
        <v>2.4973791050293934E-2</v>
      </c>
      <c r="I3">
        <f>Data!U25</f>
        <v>2.7852225229197548E-2</v>
      </c>
      <c r="J3">
        <f>Data!V25</f>
        <v>3.154644914866242E-2</v>
      </c>
      <c r="K3">
        <f>Data!W25</f>
        <v>3.6213974550229393E-2</v>
      </c>
      <c r="L3">
        <f>Data!X25</f>
        <v>4.1995891522709834E-2</v>
      </c>
      <c r="M3">
        <f>Data!Y25</f>
        <v>4.89855411282401E-2</v>
      </c>
      <c r="N3">
        <f>Data!Z25</f>
        <v>5.7190098937700856E-2</v>
      </c>
      <c r="O3">
        <f>Data!AA25</f>
        <v>6.6494470471623629E-2</v>
      </c>
      <c r="P3">
        <f>Data!AB25</f>
        <v>7.6642534766048237E-2</v>
      </c>
      <c r="Q3">
        <f>Data!AC25</f>
        <v>8.7250697216866221E-2</v>
      </c>
      <c r="R3">
        <f>Data!AD25</f>
        <v>9.7858859667684206E-2</v>
      </c>
      <c r="S3">
        <f>Data!AE25</f>
        <v>0.10800692396210881</v>
      </c>
      <c r="T3">
        <f>Data!AF25</f>
        <v>0.11731129549603159</v>
      </c>
      <c r="U3">
        <f>Data!AG25</f>
        <v>0.12551585330549234</v>
      </c>
      <c r="V3">
        <f>Data!AH25</f>
        <v>0.13250550291102259</v>
      </c>
      <c r="W3">
        <f>Data!AI25</f>
        <v>0.13828741988350307</v>
      </c>
      <c r="X3">
        <f>Data!AJ25</f>
        <v>0.14295494528507002</v>
      </c>
      <c r="Y3">
        <f>Data!AK25</f>
        <v>0.14664916920453491</v>
      </c>
      <c r="Z3">
        <f>Data!AL25</f>
        <v>0.14952760338343851</v>
      </c>
      <c r="AA3">
        <f>Data!AM25</f>
        <v>0.15174314137369183</v>
      </c>
      <c r="AB3">
        <f>Data!AN25</f>
        <v>0.15343245036071557</v>
      </c>
      <c r="AC3">
        <f>Data!AO25</f>
        <v>0.15471128576128401</v>
      </c>
      <c r="AD3">
        <f>Data!AP25</f>
        <v>0.15567412320063484</v>
      </c>
      <c r="AE3">
        <f>Data!AQ25</f>
        <v>0.15639607431603286</v>
      </c>
      <c r="AF3">
        <f>Data!AR25</f>
        <v>0.15693573978830949</v>
      </c>
      <c r="AG3">
        <f>Data!AS25</f>
        <v>0.15733821666224262</v>
      </c>
      <c r="AH3">
        <f>Data!AT25</f>
        <v>0.15733821666224262</v>
      </c>
      <c r="AI3">
        <f>Data!AU25</f>
        <v>0.15733821666224262</v>
      </c>
      <c r="AJ3">
        <f>Data!AV25</f>
        <v>0.15733821666224262</v>
      </c>
      <c r="AK3">
        <f>Data!AW25</f>
        <v>0.15733821666224262</v>
      </c>
      <c r="AL3">
        <f>Data!AX25</f>
        <v>0.15733821666224262</v>
      </c>
      <c r="AM3">
        <f>Data!AY25</f>
        <v>0.15733821666224262</v>
      </c>
      <c r="AN3">
        <f>Data!AZ25</f>
        <v>0.15733821666224262</v>
      </c>
      <c r="AO3">
        <f>Data!BA25</f>
        <v>0.15733821666224262</v>
      </c>
      <c r="AP3">
        <f>Data!BB25</f>
        <v>0.15733821666224262</v>
      </c>
      <c r="AQ3">
        <f>Data!BC25</f>
        <v>0.15733821666224262</v>
      </c>
    </row>
    <row r="4" spans="1:43" x14ac:dyDescent="0.15">
      <c r="A4" t="s">
        <v>3</v>
      </c>
      <c r="B4" s="203">
        <f>'Historical Shareweights'!B148</f>
        <v>0.11</v>
      </c>
      <c r="C4" s="205">
        <f>'Historical Shareweights'!J148</f>
        <v>8.5999999999999993E-2</v>
      </c>
      <c r="D4">
        <f>Data!P26</f>
        <v>8.3133333333333503E-2</v>
      </c>
      <c r="E4">
        <f>Data!Q26</f>
        <v>8.0266666666666708E-2</v>
      </c>
      <c r="F4">
        <f>Data!R26</f>
        <v>7.7399999999999913E-2</v>
      </c>
      <c r="G4">
        <f>Data!S26</f>
        <v>7.4533333333333118E-2</v>
      </c>
      <c r="H4">
        <f>Data!T26</f>
        <v>7.1666666666667211E-2</v>
      </c>
      <c r="I4">
        <f>Data!U26</f>
        <v>6.8800000000000416E-2</v>
      </c>
      <c r="J4">
        <f>Data!V26</f>
        <v>6.5933333333333621E-2</v>
      </c>
      <c r="K4">
        <f>Data!W26</f>
        <v>6.3066666666666826E-2</v>
      </c>
      <c r="L4">
        <f>Data!X26</f>
        <v>6.0200000000000031E-2</v>
      </c>
      <c r="M4">
        <f>Data!Y26</f>
        <v>5.7333333333333236E-2</v>
      </c>
      <c r="N4">
        <f>Data!Z26</f>
        <v>5.4466666666667329E-2</v>
      </c>
      <c r="O4">
        <f>Data!AA26</f>
        <v>5.1600000000000534E-2</v>
      </c>
      <c r="P4">
        <f>Data!AB26</f>
        <v>4.8733333333333739E-2</v>
      </c>
      <c r="Q4">
        <f>Data!AC26</f>
        <v>4.5866666666666944E-2</v>
      </c>
      <c r="R4">
        <f>Data!AD26</f>
        <v>4.3000000000000149E-2</v>
      </c>
      <c r="S4">
        <f>Data!AE26</f>
        <v>4.0133333333333354E-2</v>
      </c>
      <c r="T4">
        <f>Data!AF26</f>
        <v>3.7266666666666559E-2</v>
      </c>
      <c r="U4">
        <f>Data!AG26</f>
        <v>3.4400000000000652E-2</v>
      </c>
      <c r="V4">
        <f>Data!AH26</f>
        <v>3.1533333333333857E-2</v>
      </c>
      <c r="W4">
        <f>Data!AI26</f>
        <v>2.8666666666667062E-2</v>
      </c>
      <c r="X4">
        <f>Data!AJ26</f>
        <v>2.5800000000000267E-2</v>
      </c>
      <c r="Y4">
        <f>Data!AK26</f>
        <v>2.2933333333333472E-2</v>
      </c>
      <c r="Z4">
        <f>Data!AL26</f>
        <v>2.0066666666666677E-2</v>
      </c>
      <c r="AA4">
        <f>Data!AM26</f>
        <v>1.7199999999999882E-2</v>
      </c>
      <c r="AB4">
        <f>Data!AN26</f>
        <v>1.4333333333333975E-2</v>
      </c>
      <c r="AC4">
        <f>Data!AO26</f>
        <v>1.146666666666718E-2</v>
      </c>
      <c r="AD4">
        <f>Data!AP26</f>
        <v>8.6000000000003851E-3</v>
      </c>
      <c r="AE4">
        <f>Data!AQ26</f>
        <v>5.7333333333335901E-3</v>
      </c>
      <c r="AF4">
        <f>Data!AR26</f>
        <v>2.866666666666795E-3</v>
      </c>
      <c r="AG4">
        <f>Data!AS26</f>
        <v>0</v>
      </c>
      <c r="AH4">
        <f>Data!AT26</f>
        <v>0</v>
      </c>
      <c r="AI4">
        <f>Data!AU26</f>
        <v>0</v>
      </c>
      <c r="AJ4">
        <f>Data!AV26</f>
        <v>0</v>
      </c>
      <c r="AK4">
        <f>Data!AW26</f>
        <v>0</v>
      </c>
      <c r="AL4">
        <f>Data!AX26</f>
        <v>0</v>
      </c>
      <c r="AM4">
        <f>Data!AY26</f>
        <v>0</v>
      </c>
      <c r="AN4">
        <f>Data!AZ26</f>
        <v>0</v>
      </c>
      <c r="AO4">
        <f>Data!BA26</f>
        <v>0</v>
      </c>
      <c r="AP4">
        <f>Data!BB26</f>
        <v>0</v>
      </c>
      <c r="AQ4">
        <f>Data!BC26</f>
        <v>0</v>
      </c>
    </row>
    <row r="5" spans="1:43" x14ac:dyDescent="0.15">
      <c r="A5" t="s">
        <v>4</v>
      </c>
      <c r="B5" s="203">
        <f>'Historical Shareweights'!B149</f>
        <v>0.60499999999999998</v>
      </c>
      <c r="C5" s="205">
        <f>'Historical Shareweights'!J149</f>
        <v>0.46800000000000003</v>
      </c>
      <c r="D5">
        <f>Data!P27</f>
        <v>0.48573333333333579</v>
      </c>
      <c r="E5">
        <f>Data!Q27</f>
        <v>0.50346666666666806</v>
      </c>
      <c r="F5">
        <f>Data!R27</f>
        <v>0.52120000000000033</v>
      </c>
      <c r="G5">
        <f>Data!S27</f>
        <v>0.5389333333333326</v>
      </c>
      <c r="H5">
        <f>Data!T27</f>
        <v>0.55666666666667197</v>
      </c>
      <c r="I5">
        <f>Data!U27</f>
        <v>0.57440000000000424</v>
      </c>
      <c r="J5">
        <f>Data!V27</f>
        <v>0.59213333333333651</v>
      </c>
      <c r="K5">
        <f>Data!W27</f>
        <v>0.60986666666666878</v>
      </c>
      <c r="L5">
        <f>Data!X27</f>
        <v>0.62760000000000105</v>
      </c>
      <c r="M5">
        <f>Data!Y27</f>
        <v>0.64533333333333331</v>
      </c>
      <c r="N5">
        <f>Data!Z27</f>
        <v>0.66306666666666558</v>
      </c>
      <c r="O5">
        <f>Data!AA27</f>
        <v>0.68080000000000496</v>
      </c>
      <c r="P5">
        <f>Data!AB27</f>
        <v>0.69853333333333723</v>
      </c>
      <c r="Q5">
        <f>Data!AC27</f>
        <v>0.71626666666666949</v>
      </c>
      <c r="R5">
        <f>Data!AD27</f>
        <v>0.73400000000000176</v>
      </c>
      <c r="S5">
        <f>Data!AE27</f>
        <v>0.75173333333333403</v>
      </c>
      <c r="T5">
        <f>Data!AF27</f>
        <v>0.7694666666666663</v>
      </c>
      <c r="U5">
        <f>Data!AG27</f>
        <v>0.78720000000000567</v>
      </c>
      <c r="V5">
        <f>Data!AH27</f>
        <v>0.80493333333333794</v>
      </c>
      <c r="W5">
        <f>Data!AI27</f>
        <v>0.82266666666667021</v>
      </c>
      <c r="X5">
        <f>Data!AJ27</f>
        <v>0.84040000000000248</v>
      </c>
      <c r="Y5">
        <f>Data!AK27</f>
        <v>0.85813333333333475</v>
      </c>
      <c r="Z5">
        <f>Data!AL27</f>
        <v>0.87586666666666702</v>
      </c>
      <c r="AA5">
        <f>Data!AM27</f>
        <v>0.89359999999999928</v>
      </c>
      <c r="AB5">
        <f>Data!AN27</f>
        <v>0.91133333333333866</v>
      </c>
      <c r="AC5">
        <f>Data!AO27</f>
        <v>0.92906666666667093</v>
      </c>
      <c r="AD5">
        <f>Data!AP27</f>
        <v>0.94680000000000319</v>
      </c>
      <c r="AE5">
        <f>Data!AQ27</f>
        <v>0.96453333333333546</v>
      </c>
      <c r="AF5">
        <f>Data!AR27</f>
        <v>0.98226666666666773</v>
      </c>
      <c r="AG5">
        <f>Data!AS27</f>
        <v>1</v>
      </c>
      <c r="AH5">
        <f>Data!AT27</f>
        <v>1</v>
      </c>
      <c r="AI5">
        <f>Data!AU27</f>
        <v>1</v>
      </c>
      <c r="AJ5">
        <f>Data!AV27</f>
        <v>1</v>
      </c>
      <c r="AK5">
        <f>Data!AW27</f>
        <v>1</v>
      </c>
      <c r="AL5">
        <f>Data!AX27</f>
        <v>1</v>
      </c>
      <c r="AM5">
        <f>Data!AY27</f>
        <v>1</v>
      </c>
      <c r="AN5">
        <f>Data!AZ27</f>
        <v>1</v>
      </c>
      <c r="AO5">
        <f>Data!BA27</f>
        <v>1</v>
      </c>
      <c r="AP5">
        <f>Data!BB27</f>
        <v>1</v>
      </c>
      <c r="AQ5">
        <f>Data!BC27</f>
        <v>1</v>
      </c>
    </row>
    <row r="6" spans="1:43" x14ac:dyDescent="0.15">
      <c r="A6" t="s">
        <v>5</v>
      </c>
      <c r="B6" s="203">
        <f>'Historical Shareweights'!B150</f>
        <v>5.8000000000000003E-2</v>
      </c>
      <c r="C6" s="205">
        <v>0.08</v>
      </c>
      <c r="D6">
        <f>Data!P28</f>
        <v>0.10161910080460333</v>
      </c>
      <c r="E6">
        <f>Data!Q28</f>
        <v>0.10148938420661544</v>
      </c>
      <c r="F6">
        <f>Data!R28</f>
        <v>0.10131709533336586</v>
      </c>
      <c r="G6">
        <f>Data!S28</f>
        <v>0.10108950612069995</v>
      </c>
      <c r="H6">
        <f>Data!T28</f>
        <v>0.10079102162159032</v>
      </c>
      <c r="I6">
        <f>Data!U28</f>
        <v>0.10040322958738021</v>
      </c>
      <c r="J6">
        <f>Data!V28</f>
        <v>9.9905531700433023E-2</v>
      </c>
      <c r="K6">
        <f>Data!W28</f>
        <v>9.9276707465553199E-2</v>
      </c>
      <c r="L6">
        <f>Data!X28</f>
        <v>9.849774876612373E-2</v>
      </c>
      <c r="M6">
        <f>Data!Y28</f>
        <v>9.7556080390028763E-2</v>
      </c>
      <c r="N6">
        <f>Data!Z28</f>
        <v>9.6450735620972047E-2</v>
      </c>
      <c r="O6">
        <f>Data!AA28</f>
        <v>9.5197220362352938E-2</v>
      </c>
      <c r="P6">
        <f>Data!AB28</f>
        <v>9.3830040065206524E-2</v>
      </c>
      <c r="Q6">
        <f>Data!AC28</f>
        <v>9.2400873844841247E-2</v>
      </c>
      <c r="R6">
        <f>Data!AD28</f>
        <v>9.0971707624475956E-2</v>
      </c>
      <c r="S6">
        <f>Data!AE28</f>
        <v>8.9604527327329542E-2</v>
      </c>
      <c r="T6">
        <f>Data!AF28</f>
        <v>8.8351012068710433E-2</v>
      </c>
      <c r="U6">
        <f>Data!AG28</f>
        <v>8.7245667299653717E-2</v>
      </c>
      <c r="V6">
        <f>Data!AH28</f>
        <v>8.630399892355875E-2</v>
      </c>
      <c r="W6">
        <f>Data!AI28</f>
        <v>8.5525040224129267E-2</v>
      </c>
      <c r="X6">
        <f>Data!AJ28</f>
        <v>8.4896215989249457E-2</v>
      </c>
      <c r="Y6">
        <f>Data!AK28</f>
        <v>8.439851810230227E-2</v>
      </c>
      <c r="Z6">
        <f>Data!AL28</f>
        <v>8.4010726068092165E-2</v>
      </c>
      <c r="AA6">
        <f>Data!AM28</f>
        <v>8.3712241568982534E-2</v>
      </c>
      <c r="AB6">
        <f>Data!AN28</f>
        <v>8.3484652356316608E-2</v>
      </c>
      <c r="AC6">
        <f>Data!AO28</f>
        <v>8.3312363483067059E-2</v>
      </c>
      <c r="AD6">
        <f>Data!AP28</f>
        <v>8.3182646885079148E-2</v>
      </c>
      <c r="AE6">
        <f>Data!AQ28</f>
        <v>8.3085383277770569E-2</v>
      </c>
      <c r="AF6">
        <f>Data!AR28</f>
        <v>8.30126777864236E-2</v>
      </c>
      <c r="AG6">
        <f>Data!AS28</f>
        <v>8.2958454790181768E-2</v>
      </c>
      <c r="AH6">
        <f>Data!AT28</f>
        <v>8.2958454790181768E-2</v>
      </c>
      <c r="AI6">
        <f>Data!AU28</f>
        <v>8.2958454790181768E-2</v>
      </c>
      <c r="AJ6">
        <f>Data!AV28</f>
        <v>8.2958454790181768E-2</v>
      </c>
      <c r="AK6">
        <f>Data!AW28</f>
        <v>8.2958454790181768E-2</v>
      </c>
      <c r="AL6">
        <f>Data!AX28</f>
        <v>8.2958454790181768E-2</v>
      </c>
      <c r="AM6">
        <f>Data!AY28</f>
        <v>8.2958454790181768E-2</v>
      </c>
      <c r="AN6">
        <f>Data!AZ28</f>
        <v>8.2958454790181768E-2</v>
      </c>
      <c r="AO6">
        <f>Data!BA28</f>
        <v>8.2958454790181768E-2</v>
      </c>
      <c r="AP6">
        <f>Data!BB28</f>
        <v>8.2958454790181768E-2</v>
      </c>
      <c r="AQ6">
        <f>Data!BC28</f>
        <v>8.2958454790181768E-2</v>
      </c>
    </row>
    <row r="7" spans="1:43" x14ac:dyDescent="0.15">
      <c r="A7" t="s">
        <v>125</v>
      </c>
      <c r="B7" s="203">
        <f>'Historical Shareweights'!B151</f>
        <v>0</v>
      </c>
      <c r="C7" s="205">
        <f>'Historical Shareweights'!J151</f>
        <v>0</v>
      </c>
      <c r="D7">
        <f>Data!P29</f>
        <v>0</v>
      </c>
      <c r="E7">
        <f>Data!Q29</f>
        <v>0</v>
      </c>
      <c r="F7">
        <f>Data!R29</f>
        <v>0</v>
      </c>
      <c r="G7">
        <f>Data!S29</f>
        <v>0</v>
      </c>
      <c r="H7">
        <f>Data!T29</f>
        <v>0</v>
      </c>
      <c r="I7">
        <f>Data!U29</f>
        <v>0</v>
      </c>
      <c r="J7">
        <f>Data!V29</f>
        <v>0</v>
      </c>
      <c r="K7">
        <f>Data!W29</f>
        <v>0</v>
      </c>
      <c r="L7">
        <f>Data!X29</f>
        <v>0</v>
      </c>
      <c r="M7">
        <f>Data!Y29</f>
        <v>0</v>
      </c>
      <c r="N7">
        <f>Data!Z29</f>
        <v>0</v>
      </c>
      <c r="O7">
        <f>Data!AA29</f>
        <v>0</v>
      </c>
      <c r="P7">
        <f>Data!AB29</f>
        <v>0</v>
      </c>
      <c r="Q7">
        <f>Data!AC29</f>
        <v>0</v>
      </c>
      <c r="R7">
        <f>Data!AD29</f>
        <v>0</v>
      </c>
      <c r="S7">
        <f>Data!AE29</f>
        <v>0</v>
      </c>
      <c r="T7">
        <f>Data!AF29</f>
        <v>0</v>
      </c>
      <c r="U7">
        <f>Data!AG29</f>
        <v>0</v>
      </c>
      <c r="V7">
        <f>Data!AH29</f>
        <v>0</v>
      </c>
      <c r="W7">
        <f>Data!AI29</f>
        <v>0</v>
      </c>
      <c r="X7">
        <f>Data!AJ29</f>
        <v>0</v>
      </c>
      <c r="Y7">
        <f>Data!AK29</f>
        <v>0</v>
      </c>
      <c r="Z7">
        <f>Data!AL29</f>
        <v>0</v>
      </c>
      <c r="AA7">
        <f>Data!AM29</f>
        <v>0</v>
      </c>
      <c r="AB7">
        <f>Data!AN29</f>
        <v>0</v>
      </c>
      <c r="AC7">
        <f>Data!AO29</f>
        <v>0</v>
      </c>
      <c r="AD7">
        <f>Data!AP29</f>
        <v>0</v>
      </c>
      <c r="AE7">
        <f>Data!AQ29</f>
        <v>0</v>
      </c>
      <c r="AF7">
        <f>Data!AR29</f>
        <v>0</v>
      </c>
      <c r="AG7">
        <f>Data!AS29</f>
        <v>0</v>
      </c>
      <c r="AH7">
        <f>Data!AT29</f>
        <v>0</v>
      </c>
      <c r="AI7">
        <f>Data!AU29</f>
        <v>0</v>
      </c>
      <c r="AJ7">
        <f>Data!AV29</f>
        <v>0</v>
      </c>
      <c r="AK7">
        <f>Data!AW29</f>
        <v>0</v>
      </c>
      <c r="AL7">
        <f>Data!AX29</f>
        <v>0</v>
      </c>
      <c r="AM7">
        <f>Data!AY29</f>
        <v>0</v>
      </c>
      <c r="AN7">
        <f>Data!AZ29</f>
        <v>0</v>
      </c>
      <c r="AO7">
        <f>Data!BA29</f>
        <v>0</v>
      </c>
      <c r="AP7">
        <f>Data!BB29</f>
        <v>0</v>
      </c>
      <c r="AQ7">
        <f>Data!BC29</f>
        <v>0</v>
      </c>
    </row>
    <row r="8" spans="1:43" x14ac:dyDescent="0.15">
      <c r="A8" t="s">
        <v>126</v>
      </c>
      <c r="B8" s="203">
        <f>'Historical Shareweights'!B152</f>
        <v>0.03</v>
      </c>
      <c r="C8" s="205">
        <f>'Historical Shareweights'!J152</f>
        <v>5.5E-2</v>
      </c>
      <c r="D8">
        <f>Data!P30</f>
        <v>6.1516263426332138E-2</v>
      </c>
      <c r="E8">
        <f>Data!Q30</f>
        <v>6.2912388851120368E-2</v>
      </c>
      <c r="F8">
        <f>Data!R30</f>
        <v>6.459560208520726E-2</v>
      </c>
      <c r="G8">
        <f>Data!S30</f>
        <v>6.6619338928503857E-2</v>
      </c>
      <c r="H8">
        <f>Data!T30</f>
        <v>6.9044423095222837E-2</v>
      </c>
      <c r="I8">
        <f>Data!U30</f>
        <v>7.1938912984119974E-2</v>
      </c>
      <c r="J8">
        <f>Data!V30</f>
        <v>7.5377310641010969E-2</v>
      </c>
      <c r="K8">
        <f>Data!W30</f>
        <v>7.9438869834322856E-2</v>
      </c>
      <c r="L8">
        <f>Data!X30</f>
        <v>8.4204715895418808E-2</v>
      </c>
      <c r="M8">
        <f>Data!Y30</f>
        <v>8.9753510900619504E-2</v>
      </c>
      <c r="N8">
        <f>Data!Z30</f>
        <v>9.6155495642188504E-2</v>
      </c>
      <c r="O8">
        <f>Data!AA30</f>
        <v>0.10346494730314745</v>
      </c>
      <c r="P8">
        <f>Data!AB30</f>
        <v>0.11171142804274067</v>
      </c>
      <c r="Q8">
        <f>Data!AC30</f>
        <v>0.1208906482356488</v>
      </c>
      <c r="R8">
        <f>Data!AD30</f>
        <v>0.13095625212373493</v>
      </c>
      <c r="S8">
        <f>Data!AE30</f>
        <v>0.14181420497468011</v>
      </c>
      <c r="T8">
        <f>Data!AF30</f>
        <v>0.15332152327244924</v>
      </c>
      <c r="U8">
        <f>Data!AG30</f>
        <v>0.16529067065844291</v>
      </c>
      <c r="V8">
        <f>Data!AH30</f>
        <v>0.17749999999999999</v>
      </c>
      <c r="W8">
        <f>Data!AI30</f>
        <v>0.1897093293415571</v>
      </c>
      <c r="X8">
        <f>Data!AJ30</f>
        <v>0.20167847672755074</v>
      </c>
      <c r="Y8">
        <f>Data!AK30</f>
        <v>0.21318579502531987</v>
      </c>
      <c r="Z8">
        <f>Data!AL30</f>
        <v>0.22404374787626505</v>
      </c>
      <c r="AA8">
        <f>Data!AM30</f>
        <v>0.23410935176435119</v>
      </c>
      <c r="AB8">
        <f>Data!AN30</f>
        <v>0.24328857195725934</v>
      </c>
      <c r="AC8">
        <f>Data!AO30</f>
        <v>0.25153505269685256</v>
      </c>
      <c r="AD8">
        <f>Data!AP30</f>
        <v>0.25884450435781148</v>
      </c>
      <c r="AE8">
        <f>Data!AQ30</f>
        <v>0.26524648909938053</v>
      </c>
      <c r="AF8">
        <f>Data!AR30</f>
        <v>0.2707952841045812</v>
      </c>
      <c r="AG8">
        <f>Data!AS30</f>
        <v>0.27556113016567713</v>
      </c>
      <c r="AH8">
        <f>Data!AT30</f>
        <v>0.27962268935898904</v>
      </c>
      <c r="AI8">
        <f>Data!AU30</f>
        <v>0.28306108701588006</v>
      </c>
      <c r="AJ8">
        <f>Data!AV30</f>
        <v>0.28595557690477719</v>
      </c>
      <c r="AK8">
        <f>Data!AW30</f>
        <v>0.28838066107149618</v>
      </c>
      <c r="AL8">
        <f>Data!AX30</f>
        <v>0.29040439791479272</v>
      </c>
      <c r="AM8">
        <f>Data!AY30</f>
        <v>0.29208761114887966</v>
      </c>
      <c r="AN8">
        <f>Data!AZ30</f>
        <v>0.29348373657366783</v>
      </c>
      <c r="AO8">
        <f>Data!BA30</f>
        <v>0.29463908862064803</v>
      </c>
      <c r="AP8">
        <f>Data!BB30</f>
        <v>0.29559337855928758</v>
      </c>
      <c r="AQ8">
        <f>Data!BC30</f>
        <v>0.29638036223514813</v>
      </c>
    </row>
  </sheetData>
  <phoneticPr fontId="10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Q8"/>
  <sheetViews>
    <sheetView workbookViewId="0">
      <selection activeCell="D7" sqref="D7"/>
    </sheetView>
  </sheetViews>
  <sheetFormatPr defaultColWidth="9.125" defaultRowHeight="12.9" x14ac:dyDescent="0.15"/>
  <cols>
    <col min="1" max="1" width="24.5" customWidth="1"/>
    <col min="2" max="2" width="12.125" customWidth="1"/>
  </cols>
  <sheetData>
    <row r="1" spans="1:43" ht="38.75" x14ac:dyDescent="0.15">
      <c r="A1" s="25" t="s">
        <v>128</v>
      </c>
      <c r="B1" s="196">
        <v>2019</v>
      </c>
      <c r="C1" s="197">
        <f>Data!O9</f>
        <v>2020</v>
      </c>
      <c r="D1">
        <f>Data!P9</f>
        <v>2021</v>
      </c>
      <c r="E1">
        <f>Data!Q9</f>
        <v>2022</v>
      </c>
      <c r="F1">
        <f>Data!R9</f>
        <v>2023</v>
      </c>
      <c r="G1">
        <f>Data!S9</f>
        <v>2024</v>
      </c>
      <c r="H1">
        <f>Data!T9</f>
        <v>2025</v>
      </c>
      <c r="I1">
        <f>Data!U9</f>
        <v>2026</v>
      </c>
      <c r="J1">
        <f>Data!V9</f>
        <v>2027</v>
      </c>
      <c r="K1">
        <f>Data!W9</f>
        <v>2028</v>
      </c>
      <c r="L1">
        <f>Data!X9</f>
        <v>2029</v>
      </c>
      <c r="M1">
        <f>Data!Y9</f>
        <v>2030</v>
      </c>
      <c r="N1">
        <f>Data!Z9</f>
        <v>2031</v>
      </c>
      <c r="O1">
        <f>Data!AA9</f>
        <v>2032</v>
      </c>
      <c r="P1">
        <f>Data!AB9</f>
        <v>2033</v>
      </c>
      <c r="Q1">
        <f>Data!AC9</f>
        <v>2034</v>
      </c>
      <c r="R1">
        <f>Data!AD9</f>
        <v>2035</v>
      </c>
      <c r="S1">
        <f>Data!AE9</f>
        <v>2036</v>
      </c>
      <c r="T1">
        <f>Data!AF9</f>
        <v>2037</v>
      </c>
      <c r="U1">
        <f>Data!AG9</f>
        <v>2038</v>
      </c>
      <c r="V1">
        <f>Data!AH9</f>
        <v>2039</v>
      </c>
      <c r="W1">
        <f>Data!AI9</f>
        <v>2040</v>
      </c>
      <c r="X1">
        <f>Data!AJ9</f>
        <v>2041</v>
      </c>
      <c r="Y1">
        <f>Data!AK9</f>
        <v>2042</v>
      </c>
      <c r="Z1">
        <f>Data!AL9</f>
        <v>2043</v>
      </c>
      <c r="AA1">
        <f>Data!AM9</f>
        <v>2044</v>
      </c>
      <c r="AB1">
        <f>Data!AN9</f>
        <v>2045</v>
      </c>
      <c r="AC1">
        <f>Data!AO9</f>
        <v>2046</v>
      </c>
      <c r="AD1">
        <f>Data!AP9</f>
        <v>2047</v>
      </c>
      <c r="AE1">
        <f>Data!AQ9</f>
        <v>2048</v>
      </c>
      <c r="AF1">
        <f>Data!AR9</f>
        <v>2049</v>
      </c>
      <c r="AG1">
        <f>Data!AS9</f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</v>
      </c>
      <c r="B2" s="204">
        <f>'Historical Shareweights'!B193</f>
        <v>4.1999999999999997E-3</v>
      </c>
      <c r="C2" s="205">
        <f>'Historical Shareweights'!J193</f>
        <v>2.0999999999999999E-3</v>
      </c>
      <c r="D2">
        <f>Data!P31</f>
        <v>1.420296527080726E-2</v>
      </c>
      <c r="E2">
        <f>Data!Q31</f>
        <v>1.7136347031990577E-2</v>
      </c>
      <c r="F2">
        <f>Data!R31</f>
        <v>2.0767226283450461E-2</v>
      </c>
      <c r="G2">
        <f>Data!S31</f>
        <v>2.5254211975538225E-2</v>
      </c>
      <c r="H2">
        <f>Data!T31</f>
        <v>3.0788124085094237E-2</v>
      </c>
      <c r="I2">
        <f>Data!U31</f>
        <v>3.7596489775163638E-2</v>
      </c>
      <c r="J2">
        <f>Data!V31</f>
        <v>4.5947541783809422E-2</v>
      </c>
      <c r="K2">
        <f>Data!W31</f>
        <v>5.6152950410225472E-2</v>
      </c>
      <c r="L2">
        <f>Data!X31</f>
        <v>6.8568158700382964E-2</v>
      </c>
      <c r="M2">
        <f>Data!Y31</f>
        <v>8.3588768925125317E-2</v>
      </c>
      <c r="N2">
        <f>Data!Z31</f>
        <v>0.1016410130925338</v>
      </c>
      <c r="O2">
        <f>Data!AA31</f>
        <v>0.12316406833216421</v>
      </c>
      <c r="P2">
        <f>Data!AB31</f>
        <v>0.14858208008779947</v>
      </c>
      <c r="Q2">
        <f>Data!AC31</f>
        <v>0.17826455070208055</v>
      </c>
      <c r="R2">
        <f>Data!AD31</f>
        <v>0.21247557506144388</v>
      </c>
      <c r="S2">
        <f>Data!AE31</f>
        <v>0.25131544062663208</v>
      </c>
      <c r="T2">
        <f>Data!AF31</f>
        <v>0.29466210557072892</v>
      </c>
      <c r="U2">
        <f>Data!AG31</f>
        <v>0.34212405836436244</v>
      </c>
      <c r="V2">
        <f>Data!AH31</f>
        <v>0.39301831321805325</v>
      </c>
      <c r="W2">
        <f>Data!AI31</f>
        <v>0.4463858012865104</v>
      </c>
      <c r="X2">
        <f>Data!AJ31</f>
        <v>0.50105</v>
      </c>
      <c r="Y2">
        <f>Data!AK31</f>
        <v>0.55571419871348959</v>
      </c>
      <c r="Z2">
        <f>Data!AL31</f>
        <v>0.60908168678194663</v>
      </c>
      <c r="AA2">
        <f>Data!AM31</f>
        <v>0.65997594163563755</v>
      </c>
      <c r="AB2">
        <f>Data!AN31</f>
        <v>0.70743789442927107</v>
      </c>
      <c r="AC2">
        <f>Data!AO31</f>
        <v>0.75078455937336785</v>
      </c>
      <c r="AD2">
        <f>Data!AP31</f>
        <v>0.78962442493855622</v>
      </c>
      <c r="AE2">
        <f>Data!AQ31</f>
        <v>0.82383544929791952</v>
      </c>
      <c r="AF2">
        <f>Data!AR31</f>
        <v>0.8535179199122005</v>
      </c>
      <c r="AG2">
        <f>Data!AS31</f>
        <v>0.87893593166783568</v>
      </c>
      <c r="AH2">
        <f>Data!AT31</f>
        <v>0.90045898690746617</v>
      </c>
      <c r="AI2">
        <f>Data!AU31</f>
        <v>0.91851123107487476</v>
      </c>
      <c r="AJ2">
        <f>Data!AV31</f>
        <v>0.93353184129961697</v>
      </c>
      <c r="AK2">
        <f>Data!AW31</f>
        <v>0.94594704958977449</v>
      </c>
      <c r="AL2">
        <f>Data!AX31</f>
        <v>0.95615245821619066</v>
      </c>
      <c r="AM2">
        <f>Data!AY31</f>
        <v>0.96450351022483638</v>
      </c>
      <c r="AN2">
        <f>Data!AZ31</f>
        <v>0.97131187591490564</v>
      </c>
      <c r="AO2">
        <f>Data!BA31</f>
        <v>0.97684578802446165</v>
      </c>
      <c r="AP2">
        <f>Data!BB31</f>
        <v>0.98133277371654959</v>
      </c>
      <c r="AQ2">
        <f>Data!BC31</f>
        <v>0.98496365296800936</v>
      </c>
    </row>
    <row r="3" spans="1:43" x14ac:dyDescent="0.15">
      <c r="A3" t="s">
        <v>2</v>
      </c>
      <c r="B3" s="204">
        <f>'Historical Shareweights'!B194</f>
        <v>0.11799999999999999</v>
      </c>
      <c r="C3" s="205">
        <f>'Historical Shareweights'!J194</f>
        <v>0.1086</v>
      </c>
      <c r="D3">
        <f>Data!P32</f>
        <v>0.10749358150556014</v>
      </c>
      <c r="E3">
        <f>Data!Q32</f>
        <v>0.10711678668744512</v>
      </c>
      <c r="F3">
        <f>Data!R32</f>
        <v>0.10661632987878474</v>
      </c>
      <c r="G3">
        <f>Data!S32</f>
        <v>0.10595523918321015</v>
      </c>
      <c r="H3">
        <f>Data!T32</f>
        <v>0.10508821511461214</v>
      </c>
      <c r="I3">
        <f>Data!U32</f>
        <v>0.10396177461846014</v>
      </c>
      <c r="J3">
        <f>Data!V32</f>
        <v>0.10251608464742051</v>
      </c>
      <c r="K3">
        <f>Data!W32</f>
        <v>0.10068950488135275</v>
      </c>
      <c r="L3">
        <f>Data!X32</f>
        <v>9.8426821415833546E-2</v>
      </c>
      <c r="M3">
        <f>Data!Y32</f>
        <v>9.5691506352078584E-2</v>
      </c>
      <c r="N3">
        <f>Data!Z32</f>
        <v>9.2480751616975693E-2</v>
      </c>
      <c r="O3">
        <f>Data!AA32</f>
        <v>8.8839598046791687E-2</v>
      </c>
      <c r="P3">
        <f>Data!AB32</f>
        <v>8.4868275491433401E-2</v>
      </c>
      <c r="Q3">
        <f>Data!AC32</f>
        <v>8.0716899072288739E-2</v>
      </c>
      <c r="R3">
        <f>Data!AD32</f>
        <v>7.6565522653144077E-2</v>
      </c>
      <c r="S3">
        <f>Data!AE32</f>
        <v>7.2594200097785805E-2</v>
      </c>
      <c r="T3">
        <f>Data!AF32</f>
        <v>6.8953046527601786E-2</v>
      </c>
      <c r="U3">
        <f>Data!AG32</f>
        <v>6.5742291792498894E-2</v>
      </c>
      <c r="V3">
        <f>Data!AH32</f>
        <v>6.3006976728743933E-2</v>
      </c>
      <c r="W3">
        <f>Data!AI32</f>
        <v>6.0744293263224718E-2</v>
      </c>
      <c r="X3">
        <f>Data!AJ32</f>
        <v>5.8917713497156965E-2</v>
      </c>
      <c r="Y3">
        <f>Data!AK32</f>
        <v>5.7472023526117341E-2</v>
      </c>
      <c r="Z3">
        <f>Data!AL32</f>
        <v>5.6345583029965333E-2</v>
      </c>
      <c r="AA3">
        <f>Data!AM32</f>
        <v>5.547855896136733E-2</v>
      </c>
      <c r="AB3">
        <f>Data!AN32</f>
        <v>5.4817468265792743E-2</v>
      </c>
      <c r="AC3">
        <f>Data!AO32</f>
        <v>5.4317011457132358E-2</v>
      </c>
      <c r="AD3">
        <f>Data!AP32</f>
        <v>5.3940216639017338E-2</v>
      </c>
      <c r="AE3">
        <f>Data!AQ32</f>
        <v>5.3657689778202948E-2</v>
      </c>
      <c r="AF3">
        <f>Data!AR32</f>
        <v>5.344649820508908E-2</v>
      </c>
      <c r="AG3">
        <f>Data!AS32</f>
        <v>5.3288993735163839E-2</v>
      </c>
      <c r="AH3">
        <f>Data!AT32</f>
        <v>5.3288993735163839E-2</v>
      </c>
      <c r="AI3">
        <f>Data!AU32</f>
        <v>5.3288993735163839E-2</v>
      </c>
      <c r="AJ3">
        <f>Data!AV32</f>
        <v>5.3288993735163839E-2</v>
      </c>
      <c r="AK3">
        <f>Data!AW32</f>
        <v>5.3288993735163839E-2</v>
      </c>
      <c r="AL3">
        <f>Data!AX32</f>
        <v>5.3288993735163839E-2</v>
      </c>
      <c r="AM3">
        <f>Data!AY32</f>
        <v>5.3288993735163839E-2</v>
      </c>
      <c r="AN3">
        <f>Data!AZ32</f>
        <v>5.3288993735163839E-2</v>
      </c>
      <c r="AO3">
        <f>Data!BA32</f>
        <v>5.3288993735163839E-2</v>
      </c>
      <c r="AP3">
        <f>Data!BB32</f>
        <v>5.3288993735163839E-2</v>
      </c>
      <c r="AQ3">
        <f>Data!BC32</f>
        <v>5.3288993735163839E-2</v>
      </c>
    </row>
    <row r="4" spans="1:43" x14ac:dyDescent="0.15">
      <c r="A4" t="s">
        <v>3</v>
      </c>
      <c r="B4" s="204">
        <f>'Historical Shareweights'!B195</f>
        <v>0</v>
      </c>
      <c r="C4" s="205">
        <f>'Historical Shareweights'!J195</f>
        <v>0</v>
      </c>
      <c r="D4">
        <f>Data!P33</f>
        <v>0</v>
      </c>
      <c r="E4">
        <f>Data!Q33</f>
        <v>0</v>
      </c>
      <c r="F4">
        <f>Data!R33</f>
        <v>0</v>
      </c>
      <c r="G4">
        <f>Data!S33</f>
        <v>0</v>
      </c>
      <c r="H4">
        <f>Data!T33</f>
        <v>0</v>
      </c>
      <c r="I4">
        <f>Data!U33</f>
        <v>0</v>
      </c>
      <c r="J4">
        <f>Data!V33</f>
        <v>0</v>
      </c>
      <c r="K4">
        <f>Data!W33</f>
        <v>0</v>
      </c>
      <c r="L4">
        <f>Data!X33</f>
        <v>0</v>
      </c>
      <c r="M4">
        <f>Data!Y33</f>
        <v>0</v>
      </c>
      <c r="N4">
        <f>Data!Z33</f>
        <v>0</v>
      </c>
      <c r="O4">
        <f>Data!AA33</f>
        <v>0</v>
      </c>
      <c r="P4">
        <f>Data!AB33</f>
        <v>0</v>
      </c>
      <c r="Q4">
        <f>Data!AC33</f>
        <v>0</v>
      </c>
      <c r="R4">
        <f>Data!AD33</f>
        <v>0</v>
      </c>
      <c r="S4">
        <f>Data!AE33</f>
        <v>0</v>
      </c>
      <c r="T4">
        <f>Data!AF33</f>
        <v>0</v>
      </c>
      <c r="U4">
        <f>Data!AG33</f>
        <v>0</v>
      </c>
      <c r="V4">
        <f>Data!AH33</f>
        <v>0</v>
      </c>
      <c r="W4">
        <f>Data!AI33</f>
        <v>0</v>
      </c>
      <c r="X4">
        <f>Data!AJ33</f>
        <v>0</v>
      </c>
      <c r="Y4">
        <f>Data!AK33</f>
        <v>0</v>
      </c>
      <c r="Z4">
        <f>Data!AL33</f>
        <v>0</v>
      </c>
      <c r="AA4">
        <f>Data!AM33</f>
        <v>0</v>
      </c>
      <c r="AB4">
        <f>Data!AN33</f>
        <v>0</v>
      </c>
      <c r="AC4">
        <f>Data!AO33</f>
        <v>0</v>
      </c>
      <c r="AD4">
        <f>Data!AP33</f>
        <v>0</v>
      </c>
      <c r="AE4">
        <f>Data!AQ33</f>
        <v>0</v>
      </c>
      <c r="AF4">
        <f>Data!AR33</f>
        <v>0</v>
      </c>
      <c r="AG4">
        <f>Data!AS33</f>
        <v>0</v>
      </c>
      <c r="AH4">
        <f>Data!AT33</f>
        <v>0</v>
      </c>
      <c r="AI4">
        <f>Data!AU33</f>
        <v>0</v>
      </c>
      <c r="AJ4">
        <f>Data!AV33</f>
        <v>0</v>
      </c>
      <c r="AK4">
        <f>Data!AW33</f>
        <v>0</v>
      </c>
      <c r="AL4">
        <f>Data!AX33</f>
        <v>0</v>
      </c>
      <c r="AM4">
        <f>Data!AY33</f>
        <v>0</v>
      </c>
      <c r="AN4">
        <f>Data!AZ33</f>
        <v>0</v>
      </c>
      <c r="AO4">
        <f>Data!BA33</f>
        <v>0</v>
      </c>
      <c r="AP4">
        <f>Data!BB33</f>
        <v>0</v>
      </c>
      <c r="AQ4">
        <f>Data!BC33</f>
        <v>0</v>
      </c>
    </row>
    <row r="5" spans="1:43" x14ac:dyDescent="0.15">
      <c r="A5" t="s">
        <v>4</v>
      </c>
      <c r="B5" s="204">
        <f>'Historical Shareweights'!B196</f>
        <v>1</v>
      </c>
      <c r="C5" s="205">
        <f>'Historical Shareweights'!J196</f>
        <v>1</v>
      </c>
      <c r="D5">
        <f>Data!P34</f>
        <v>1</v>
      </c>
      <c r="E5">
        <f>Data!Q34</f>
        <v>1</v>
      </c>
      <c r="F5">
        <f>Data!R34</f>
        <v>1</v>
      </c>
      <c r="G5">
        <f>Data!S34</f>
        <v>1</v>
      </c>
      <c r="H5">
        <f>Data!T34</f>
        <v>1</v>
      </c>
      <c r="I5">
        <f>Data!U34</f>
        <v>1</v>
      </c>
      <c r="J5">
        <f>Data!V34</f>
        <v>1</v>
      </c>
      <c r="K5">
        <f>Data!W34</f>
        <v>1</v>
      </c>
      <c r="L5">
        <f>Data!X34</f>
        <v>1</v>
      </c>
      <c r="M5">
        <f>Data!Y34</f>
        <v>1</v>
      </c>
      <c r="N5">
        <f>Data!Z34</f>
        <v>1</v>
      </c>
      <c r="O5">
        <f>Data!AA34</f>
        <v>1</v>
      </c>
      <c r="P5">
        <f>Data!AB34</f>
        <v>1</v>
      </c>
      <c r="Q5">
        <f>Data!AC34</f>
        <v>1</v>
      </c>
      <c r="R5">
        <f>Data!AD34</f>
        <v>1</v>
      </c>
      <c r="S5">
        <f>Data!AE34</f>
        <v>1</v>
      </c>
      <c r="T5">
        <f>Data!AF34</f>
        <v>1</v>
      </c>
      <c r="U5">
        <f>Data!AG34</f>
        <v>1</v>
      </c>
      <c r="V5">
        <f>Data!AH34</f>
        <v>1</v>
      </c>
      <c r="W5">
        <f>Data!AI34</f>
        <v>1</v>
      </c>
      <c r="X5">
        <f>Data!AJ34</f>
        <v>1</v>
      </c>
      <c r="Y5">
        <f>Data!AK34</f>
        <v>1</v>
      </c>
      <c r="Z5">
        <f>Data!AL34</f>
        <v>1</v>
      </c>
      <c r="AA5">
        <f>Data!AM34</f>
        <v>1</v>
      </c>
      <c r="AB5">
        <f>Data!AN34</f>
        <v>1</v>
      </c>
      <c r="AC5">
        <f>Data!AO34</f>
        <v>1</v>
      </c>
      <c r="AD5">
        <f>Data!AP34</f>
        <v>1</v>
      </c>
      <c r="AE5">
        <f>Data!AQ34</f>
        <v>1</v>
      </c>
      <c r="AF5">
        <f>Data!AR34</f>
        <v>1</v>
      </c>
      <c r="AG5">
        <f>Data!AS34</f>
        <v>1</v>
      </c>
      <c r="AH5">
        <f>Data!AT34</f>
        <v>1</v>
      </c>
      <c r="AI5">
        <f>Data!AU34</f>
        <v>1</v>
      </c>
      <c r="AJ5">
        <f>Data!AV34</f>
        <v>1</v>
      </c>
      <c r="AK5">
        <f>Data!AW34</f>
        <v>1</v>
      </c>
      <c r="AL5">
        <f>Data!AX34</f>
        <v>1</v>
      </c>
      <c r="AM5">
        <f>Data!AY34</f>
        <v>1</v>
      </c>
      <c r="AN5">
        <f>Data!AZ34</f>
        <v>1</v>
      </c>
      <c r="AO5">
        <f>Data!BA34</f>
        <v>1</v>
      </c>
      <c r="AP5">
        <f>Data!BB34</f>
        <v>1</v>
      </c>
      <c r="AQ5">
        <f>Data!BC34</f>
        <v>1</v>
      </c>
    </row>
    <row r="6" spans="1:43" x14ac:dyDescent="0.15">
      <c r="A6" t="s">
        <v>5</v>
      </c>
      <c r="B6" s="204">
        <f>'Historical Shareweights'!B197</f>
        <v>7.3378418080161815E-13</v>
      </c>
      <c r="C6" s="205">
        <f>'Historical Shareweights'!J197</f>
        <v>7.3378418080161815E-13</v>
      </c>
      <c r="D6">
        <f>Data!P35</f>
        <v>5.4760399721230776E-4</v>
      </c>
      <c r="E6">
        <f>Data!Q35</f>
        <v>7.3409251786618536E-4</v>
      </c>
      <c r="F6">
        <f>Data!R35</f>
        <v>9.8178554709926953E-4</v>
      </c>
      <c r="G6">
        <f>Data!S35</f>
        <v>1.3089817289695721E-3</v>
      </c>
      <c r="H6">
        <f>Data!T35</f>
        <v>1.7381013138222296E-3</v>
      </c>
      <c r="I6">
        <f>Data!U35</f>
        <v>2.2956148772595199E-3</v>
      </c>
      <c r="J6">
        <f>Data!V35</f>
        <v>3.0111358214489122E-3</v>
      </c>
      <c r="K6">
        <f>Data!W35</f>
        <v>3.9151720290973519E-3</v>
      </c>
      <c r="L6">
        <f>Data!X35</f>
        <v>5.0350507320572847E-3</v>
      </c>
      <c r="M6">
        <f>Data!Y35</f>
        <v>6.3888508249402547E-3</v>
      </c>
      <c r="N6">
        <f>Data!Z35</f>
        <v>7.977962118262235E-3</v>
      </c>
      <c r="O6">
        <f>Data!AA35</f>
        <v>9.7800923762477055E-3</v>
      </c>
      <c r="P6">
        <f>Data!AB35</f>
        <v>1.174563445056062E-2</v>
      </c>
      <c r="Q6">
        <f>Data!AC35</f>
        <v>1.3800291281980639E-2</v>
      </c>
      <c r="R6">
        <f>Data!AD35</f>
        <v>1.5854948113400661E-2</v>
      </c>
      <c r="S6">
        <f>Data!AE35</f>
        <v>1.7820490187713572E-2</v>
      </c>
      <c r="T6">
        <f>Data!AF35</f>
        <v>1.9622620445699044E-2</v>
      </c>
      <c r="U6">
        <f>Data!AG35</f>
        <v>2.1211731739021022E-2</v>
      </c>
      <c r="V6">
        <f>Data!AH35</f>
        <v>2.2565531831903993E-2</v>
      </c>
      <c r="W6">
        <f>Data!AI35</f>
        <v>2.3685410534863928E-2</v>
      </c>
      <c r="X6">
        <f>Data!AJ35</f>
        <v>2.4589446742512368E-2</v>
      </c>
      <c r="Y6">
        <f>Data!AK35</f>
        <v>2.5304967686701759E-2</v>
      </c>
      <c r="Z6">
        <f>Data!AL35</f>
        <v>2.5862481250139051E-2</v>
      </c>
      <c r="AA6">
        <f>Data!AM35</f>
        <v>2.6291600834991709E-2</v>
      </c>
      <c r="AB6">
        <f>Data!AN35</f>
        <v>2.6618797016862011E-2</v>
      </c>
      <c r="AC6">
        <f>Data!AO35</f>
        <v>2.6866490046095093E-2</v>
      </c>
      <c r="AD6">
        <f>Data!AP35</f>
        <v>2.7052978566748972E-2</v>
      </c>
      <c r="AE6">
        <f>Data!AQ35</f>
        <v>2.7192810681696412E-2</v>
      </c>
      <c r="AF6">
        <f>Data!AR35</f>
        <v>2.7297336546042425E-2</v>
      </c>
      <c r="AG6">
        <f>Data!AS35</f>
        <v>2.7375290844192476E-2</v>
      </c>
      <c r="AH6">
        <f>Data!AT35</f>
        <v>2.7375290844192476E-2</v>
      </c>
      <c r="AI6">
        <f>Data!AU35</f>
        <v>2.7375290844192476E-2</v>
      </c>
      <c r="AJ6">
        <f>Data!AV35</f>
        <v>2.7375290844192476E-2</v>
      </c>
      <c r="AK6">
        <f>Data!AW35</f>
        <v>2.7375290844192476E-2</v>
      </c>
      <c r="AL6">
        <f>Data!AX35</f>
        <v>2.7375290844192476E-2</v>
      </c>
      <c r="AM6">
        <f>Data!AY35</f>
        <v>2.7375290844192476E-2</v>
      </c>
      <c r="AN6">
        <f>Data!AZ35</f>
        <v>2.7375290844192476E-2</v>
      </c>
      <c r="AO6">
        <f>Data!BA35</f>
        <v>2.7375290844192476E-2</v>
      </c>
      <c r="AP6">
        <f>Data!BB35</f>
        <v>2.7375290844192476E-2</v>
      </c>
      <c r="AQ6">
        <f>Data!BC35</f>
        <v>2.7375290844192476E-2</v>
      </c>
    </row>
    <row r="7" spans="1:43" x14ac:dyDescent="0.15">
      <c r="A7" t="s">
        <v>125</v>
      </c>
      <c r="B7" s="204">
        <f>'Historical Shareweights'!B198</f>
        <v>4.4027050848097088E-13</v>
      </c>
      <c r="C7" s="205">
        <f>'Historical Shareweights'!J198</f>
        <v>4.4027050848097088E-13</v>
      </c>
      <c r="D7">
        <f>Data!P36</f>
        <v>4.2559482486493486E-13</v>
      </c>
      <c r="E7">
        <f>Data!Q36</f>
        <v>4.1091914124889839E-13</v>
      </c>
      <c r="F7">
        <f>Data!R36</f>
        <v>3.9624345763286838E-13</v>
      </c>
      <c r="G7">
        <f>Data!S36</f>
        <v>3.8156777401683837E-13</v>
      </c>
      <c r="H7">
        <f>Data!T36</f>
        <v>3.668920904008019E-13</v>
      </c>
      <c r="I7">
        <f>Data!U36</f>
        <v>3.522164067847719E-13</v>
      </c>
      <c r="J7">
        <f>Data!V36</f>
        <v>3.3754072316874189E-13</v>
      </c>
      <c r="K7">
        <f>Data!W36</f>
        <v>3.2286503955270542E-13</v>
      </c>
      <c r="L7">
        <f>Data!X36</f>
        <v>3.0818935593667541E-13</v>
      </c>
      <c r="M7">
        <f>Data!Y36</f>
        <v>2.935136723206454E-13</v>
      </c>
      <c r="N7">
        <f>Data!Z36</f>
        <v>2.7883798870460893E-13</v>
      </c>
      <c r="O7">
        <f>Data!AA36</f>
        <v>2.6416230508857892E-13</v>
      </c>
      <c r="P7">
        <f>Data!AB36</f>
        <v>2.4948662147254245E-13</v>
      </c>
      <c r="Q7">
        <f>Data!AC36</f>
        <v>2.3481093785651244E-13</v>
      </c>
      <c r="R7">
        <f>Data!AD36</f>
        <v>2.2013525424048243E-13</v>
      </c>
      <c r="S7">
        <f>Data!AE36</f>
        <v>2.0545957062444596E-13</v>
      </c>
      <c r="T7">
        <f>Data!AF36</f>
        <v>1.9078388700841596E-13</v>
      </c>
      <c r="U7">
        <f>Data!AG36</f>
        <v>1.7610820339238595E-13</v>
      </c>
      <c r="V7">
        <f>Data!AH36</f>
        <v>1.6143251977634948E-13</v>
      </c>
      <c r="W7">
        <f>Data!AI36</f>
        <v>1.4675683616031947E-13</v>
      </c>
      <c r="X7">
        <f>Data!AJ36</f>
        <v>1.3208115254428946E-13</v>
      </c>
      <c r="Y7">
        <f>Data!AK36</f>
        <v>1.1740546892825299E-13</v>
      </c>
      <c r="Z7">
        <f>Data!AL36</f>
        <v>1.0272978531222298E-13</v>
      </c>
      <c r="AA7">
        <f>Data!AM36</f>
        <v>8.8054101696186512E-14</v>
      </c>
      <c r="AB7">
        <f>Data!AN36</f>
        <v>7.3378418080156503E-14</v>
      </c>
      <c r="AC7">
        <f>Data!AO36</f>
        <v>5.8702734464126495E-14</v>
      </c>
      <c r="AD7">
        <f>Data!AP36</f>
        <v>4.4027050848090025E-14</v>
      </c>
      <c r="AE7">
        <f>Data!AQ36</f>
        <v>2.9351367232060016E-14</v>
      </c>
      <c r="AF7">
        <f>Data!AR36</f>
        <v>1.4675683616030008E-14</v>
      </c>
      <c r="AG7">
        <f>Data!AS36</f>
        <v>-6.4623485355705287E-27</v>
      </c>
      <c r="AH7">
        <f>Data!AT36</f>
        <v>-6.4623485355705287E-27</v>
      </c>
      <c r="AI7">
        <f>Data!AU36</f>
        <v>-6.4623485355705287E-27</v>
      </c>
      <c r="AJ7">
        <f>Data!AV36</f>
        <v>-6.4623485355705287E-27</v>
      </c>
      <c r="AK7">
        <f>Data!AW36</f>
        <v>-6.4623485355705287E-27</v>
      </c>
      <c r="AL7">
        <f>Data!AX36</f>
        <v>-6.4623485355705287E-27</v>
      </c>
      <c r="AM7">
        <f>Data!AY36</f>
        <v>-6.4623485355705287E-27</v>
      </c>
      <c r="AN7">
        <f>Data!AZ36</f>
        <v>-6.4623485355705287E-27</v>
      </c>
      <c r="AO7">
        <f>Data!BA36</f>
        <v>-6.4623485355705287E-27</v>
      </c>
      <c r="AP7">
        <f>Data!BB36</f>
        <v>-6.4623485355705287E-27</v>
      </c>
      <c r="AQ7">
        <f>Data!BC36</f>
        <v>-6.4623485355705287E-27</v>
      </c>
    </row>
    <row r="8" spans="1:43" x14ac:dyDescent="0.15">
      <c r="A8" t="s">
        <v>126</v>
      </c>
      <c r="B8" s="204">
        <f>'Historical Shareweights'!B199</f>
        <v>5.0000000000000001E-3</v>
      </c>
      <c r="C8" s="205">
        <f>'Historical Shareweights'!J199</f>
        <v>5.0000000000000001E-4</v>
      </c>
      <c r="D8">
        <f>Data!P37</f>
        <v>5.8868698836464211E-3</v>
      </c>
      <c r="E8">
        <f>Data!Q37</f>
        <v>7.0534406453710754E-3</v>
      </c>
      <c r="F8">
        <f>Data!R37</f>
        <v>8.4657995762713236E-3</v>
      </c>
      <c r="G8">
        <f>Data!S37</f>
        <v>1.0172491677185924E-2</v>
      </c>
      <c r="H8">
        <f>Data!T37</f>
        <v>1.2230133977630923E-2</v>
      </c>
      <c r="I8">
        <f>Data!U37</f>
        <v>1.470404901668125E-2</v>
      </c>
      <c r="J8">
        <f>Data!V37</f>
        <v>1.7668590681711185E-2</v>
      </c>
      <c r="K8">
        <f>Data!W37</f>
        <v>2.120695689283237E-2</v>
      </c>
      <c r="L8">
        <f>Data!X37</f>
        <v>2.5410222599929744E-2</v>
      </c>
      <c r="M8">
        <f>Data!Y37</f>
        <v>3.0375271491345699E-2</v>
      </c>
      <c r="N8">
        <f>Data!Z37</f>
        <v>3.6201275145624205E-2</v>
      </c>
      <c r="O8">
        <f>Data!AA37</f>
        <v>4.298439393769609E-2</v>
      </c>
      <c r="P8">
        <f>Data!AB37</f>
        <v>5.0810493652389613E-2</v>
      </c>
      <c r="Q8">
        <f>Data!AC37</f>
        <v>5.9745925376704756E-2</v>
      </c>
      <c r="R8">
        <f>Data!AD37</f>
        <v>6.9826827342044206E-2</v>
      </c>
      <c r="S8">
        <f>Data!AE37</f>
        <v>8.1047955700313534E-2</v>
      </c>
      <c r="T8">
        <f>Data!AF37</f>
        <v>9.3352642902280056E-2</v>
      </c>
      <c r="U8">
        <f>Data!AG37</f>
        <v>0.10662593628537426</v>
      </c>
      <c r="V8">
        <f>Data!AH37</f>
        <v>0.12069304579632062</v>
      </c>
      <c r="W8">
        <f>Data!AI37</f>
        <v>0.13532471780491287</v>
      </c>
      <c r="X8">
        <f>Data!AJ37</f>
        <v>0.15024999999999999</v>
      </c>
      <c r="Y8">
        <f>Data!AK37</f>
        <v>0.16517528219508715</v>
      </c>
      <c r="Z8">
        <f>Data!AL37</f>
        <v>0.17980695420367937</v>
      </c>
      <c r="AA8">
        <f>Data!AM37</f>
        <v>0.19387406371462573</v>
      </c>
      <c r="AB8">
        <f>Data!AN37</f>
        <v>0.20714735709771992</v>
      </c>
      <c r="AC8">
        <f>Data!AO37</f>
        <v>0.21945204429968646</v>
      </c>
      <c r="AD8">
        <f>Data!AP37</f>
        <v>0.23067317265795581</v>
      </c>
      <c r="AE8">
        <f>Data!AQ37</f>
        <v>0.24075407462329526</v>
      </c>
      <c r="AF8">
        <f>Data!AR37</f>
        <v>0.24968950634761036</v>
      </c>
      <c r="AG8">
        <f>Data!AS37</f>
        <v>0.25751560606230389</v>
      </c>
      <c r="AH8">
        <f>Data!AT37</f>
        <v>0.26429872485437578</v>
      </c>
      <c r="AI8">
        <f>Data!AU37</f>
        <v>0.27012472850865427</v>
      </c>
      <c r="AJ8">
        <f>Data!AV37</f>
        <v>0.27508977740007023</v>
      </c>
      <c r="AK8">
        <f>Data!AW37</f>
        <v>0.27929304310716763</v>
      </c>
      <c r="AL8">
        <f>Data!AX37</f>
        <v>0.28283140931828882</v>
      </c>
      <c r="AM8">
        <f>Data!AY37</f>
        <v>0.28579595098331878</v>
      </c>
      <c r="AN8">
        <f>Data!AZ37</f>
        <v>0.28826986602236909</v>
      </c>
      <c r="AO8">
        <f>Data!BA37</f>
        <v>0.29032750832281407</v>
      </c>
      <c r="AP8">
        <f>Data!BB37</f>
        <v>0.29203420042372863</v>
      </c>
      <c r="AQ8">
        <f>Data!BC37</f>
        <v>0.29344655935462888</v>
      </c>
    </row>
  </sheetData>
  <phoneticPr fontId="10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Q8"/>
  <sheetViews>
    <sheetView workbookViewId="0">
      <selection activeCell="C6" sqref="C6"/>
    </sheetView>
  </sheetViews>
  <sheetFormatPr defaultColWidth="9.125" defaultRowHeight="12.9" x14ac:dyDescent="0.15"/>
  <cols>
    <col min="1" max="1" width="24.5" customWidth="1"/>
    <col min="2" max="2" width="12.125" customWidth="1"/>
  </cols>
  <sheetData>
    <row r="1" spans="1:43" ht="38.75" x14ac:dyDescent="0.15">
      <c r="A1" s="25" t="s">
        <v>128</v>
      </c>
      <c r="B1" s="35">
        <v>2019</v>
      </c>
      <c r="C1">
        <f>Data!O9</f>
        <v>2020</v>
      </c>
      <c r="D1">
        <f>Data!P9</f>
        <v>2021</v>
      </c>
      <c r="E1">
        <f>Data!Q9</f>
        <v>2022</v>
      </c>
      <c r="F1">
        <f>Data!R9</f>
        <v>2023</v>
      </c>
      <c r="G1">
        <f>Data!S9</f>
        <v>2024</v>
      </c>
      <c r="H1">
        <f>Data!T9</f>
        <v>2025</v>
      </c>
      <c r="I1">
        <f>Data!U9</f>
        <v>2026</v>
      </c>
      <c r="J1">
        <f>Data!V9</f>
        <v>2027</v>
      </c>
      <c r="K1">
        <f>Data!W9</f>
        <v>2028</v>
      </c>
      <c r="L1">
        <f>Data!X9</f>
        <v>2029</v>
      </c>
      <c r="M1">
        <f>Data!Y9</f>
        <v>2030</v>
      </c>
      <c r="N1">
        <f>Data!Z9</f>
        <v>2031</v>
      </c>
      <c r="O1">
        <f>Data!AA9</f>
        <v>2032</v>
      </c>
      <c r="P1">
        <f>Data!AB9</f>
        <v>2033</v>
      </c>
      <c r="Q1">
        <f>Data!AC9</f>
        <v>2034</v>
      </c>
      <c r="R1">
        <f>Data!AD9</f>
        <v>2035</v>
      </c>
      <c r="S1">
        <f>Data!AE9</f>
        <v>2036</v>
      </c>
      <c r="T1">
        <f>Data!AF9</f>
        <v>2037</v>
      </c>
      <c r="U1">
        <f>Data!AG9</f>
        <v>2038</v>
      </c>
      <c r="V1">
        <f>Data!AH9</f>
        <v>2039</v>
      </c>
      <c r="W1">
        <f>Data!AI9</f>
        <v>2040</v>
      </c>
      <c r="X1">
        <f>Data!AJ9</f>
        <v>2041</v>
      </c>
      <c r="Y1">
        <f>Data!AK9</f>
        <v>2042</v>
      </c>
      <c r="Z1">
        <f>Data!AL9</f>
        <v>2043</v>
      </c>
      <c r="AA1">
        <f>Data!AM9</f>
        <v>2044</v>
      </c>
      <c r="AB1">
        <f>Data!AN9</f>
        <v>2045</v>
      </c>
      <c r="AC1">
        <f>Data!AO9</f>
        <v>2046</v>
      </c>
      <c r="AD1">
        <f>Data!AP9</f>
        <v>2047</v>
      </c>
      <c r="AE1">
        <f>Data!AQ9</f>
        <v>2048</v>
      </c>
      <c r="AF1">
        <f>Data!AR9</f>
        <v>2049</v>
      </c>
      <c r="AG1">
        <f>Data!AS9</f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</v>
      </c>
      <c r="B2" s="15">
        <f>MAX(0,TREND(C2:E2,C$1:E$1,B$1))</f>
        <v>0</v>
      </c>
      <c r="C2">
        <f>Data!O38</f>
        <v>0</v>
      </c>
      <c r="D2">
        <f>Data!P38</f>
        <v>0</v>
      </c>
      <c r="E2">
        <f>Data!Q38</f>
        <v>0</v>
      </c>
      <c r="F2">
        <f>Data!R38</f>
        <v>0</v>
      </c>
      <c r="G2">
        <f>Data!S38</f>
        <v>0</v>
      </c>
      <c r="H2">
        <f>Data!T38</f>
        <v>0</v>
      </c>
      <c r="I2">
        <f>Data!U38</f>
        <v>0</v>
      </c>
      <c r="J2">
        <f>Data!V38</f>
        <v>0</v>
      </c>
      <c r="K2">
        <f>Data!W38</f>
        <v>0</v>
      </c>
      <c r="L2">
        <f>Data!X38</f>
        <v>0</v>
      </c>
      <c r="M2">
        <f>Data!Y38</f>
        <v>0</v>
      </c>
      <c r="N2">
        <f>Data!Z38</f>
        <v>0</v>
      </c>
      <c r="O2">
        <f>Data!AA38</f>
        <v>0</v>
      </c>
      <c r="P2">
        <f>Data!AB38</f>
        <v>0</v>
      </c>
      <c r="Q2">
        <f>Data!AC38</f>
        <v>0</v>
      </c>
      <c r="R2">
        <f>Data!AD38</f>
        <v>0</v>
      </c>
      <c r="S2">
        <f>Data!AE38</f>
        <v>0</v>
      </c>
      <c r="T2">
        <f>Data!AF38</f>
        <v>0</v>
      </c>
      <c r="U2">
        <f>Data!AG38</f>
        <v>0</v>
      </c>
      <c r="V2">
        <f>Data!AH38</f>
        <v>0</v>
      </c>
      <c r="W2">
        <f>Data!AI38</f>
        <v>0</v>
      </c>
      <c r="X2">
        <f>Data!AJ38</f>
        <v>0</v>
      </c>
      <c r="Y2">
        <f>Data!AK38</f>
        <v>0</v>
      </c>
      <c r="Z2">
        <f>Data!AL38</f>
        <v>0</v>
      </c>
      <c r="AA2">
        <f>Data!AM38</f>
        <v>0</v>
      </c>
      <c r="AB2">
        <f>Data!AN38</f>
        <v>0</v>
      </c>
      <c r="AC2">
        <f>Data!AO38</f>
        <v>0</v>
      </c>
      <c r="AD2">
        <f>Data!AP38</f>
        <v>0</v>
      </c>
      <c r="AE2">
        <f>Data!AQ38</f>
        <v>0</v>
      </c>
      <c r="AF2">
        <f>Data!AR38</f>
        <v>0</v>
      </c>
      <c r="AG2">
        <f>Data!AS38</f>
        <v>0</v>
      </c>
      <c r="AH2">
        <f>Data!AT38</f>
        <v>0</v>
      </c>
      <c r="AI2">
        <f>Data!AU38</f>
        <v>0</v>
      </c>
      <c r="AJ2">
        <f>Data!AV38</f>
        <v>0</v>
      </c>
      <c r="AK2">
        <f>Data!AW38</f>
        <v>0</v>
      </c>
      <c r="AL2">
        <f>Data!AX38</f>
        <v>0</v>
      </c>
      <c r="AM2">
        <f>Data!AY38</f>
        <v>0</v>
      </c>
      <c r="AN2">
        <f>Data!AZ38</f>
        <v>0</v>
      </c>
      <c r="AO2">
        <f>Data!BA38</f>
        <v>0</v>
      </c>
      <c r="AP2">
        <f>Data!BB38</f>
        <v>0</v>
      </c>
      <c r="AQ2">
        <f>Data!BC38</f>
        <v>0</v>
      </c>
    </row>
    <row r="3" spans="1:43" x14ac:dyDescent="0.15">
      <c r="A3" t="s">
        <v>2</v>
      </c>
      <c r="B3" s="15">
        <f t="shared" ref="B3:B8" si="0">MAX(0,TREND(C3:E3,C$1:E$1,B$1))</f>
        <v>0</v>
      </c>
      <c r="C3">
        <f>Data!O39</f>
        <v>0</v>
      </c>
      <c r="D3">
        <f>Data!P39</f>
        <v>0</v>
      </c>
      <c r="E3">
        <f>Data!Q39</f>
        <v>0</v>
      </c>
      <c r="F3">
        <f>Data!R39</f>
        <v>0</v>
      </c>
      <c r="G3">
        <f>Data!S39</f>
        <v>0</v>
      </c>
      <c r="H3">
        <f>Data!T39</f>
        <v>0</v>
      </c>
      <c r="I3">
        <f>Data!U39</f>
        <v>0</v>
      </c>
      <c r="J3">
        <f>Data!V39</f>
        <v>0</v>
      </c>
      <c r="K3">
        <f>Data!W39</f>
        <v>0</v>
      </c>
      <c r="L3">
        <f>Data!X39</f>
        <v>0</v>
      </c>
      <c r="M3">
        <f>Data!Y39</f>
        <v>0</v>
      </c>
      <c r="N3">
        <f>Data!Z39</f>
        <v>0</v>
      </c>
      <c r="O3">
        <f>Data!AA39</f>
        <v>0</v>
      </c>
      <c r="P3">
        <f>Data!AB39</f>
        <v>0</v>
      </c>
      <c r="Q3">
        <f>Data!AC39</f>
        <v>0</v>
      </c>
      <c r="R3">
        <f>Data!AD39</f>
        <v>0</v>
      </c>
      <c r="S3">
        <f>Data!AE39</f>
        <v>0</v>
      </c>
      <c r="T3">
        <f>Data!AF39</f>
        <v>0</v>
      </c>
      <c r="U3">
        <f>Data!AG39</f>
        <v>0</v>
      </c>
      <c r="V3">
        <f>Data!AH39</f>
        <v>0</v>
      </c>
      <c r="W3">
        <f>Data!AI39</f>
        <v>0</v>
      </c>
      <c r="X3">
        <f>Data!AJ39</f>
        <v>0</v>
      </c>
      <c r="Y3">
        <f>Data!AK39</f>
        <v>0</v>
      </c>
      <c r="Z3">
        <f>Data!AL39</f>
        <v>0</v>
      </c>
      <c r="AA3">
        <f>Data!AM39</f>
        <v>0</v>
      </c>
      <c r="AB3">
        <f>Data!AN39</f>
        <v>0</v>
      </c>
      <c r="AC3">
        <f>Data!AO39</f>
        <v>0</v>
      </c>
      <c r="AD3">
        <f>Data!AP39</f>
        <v>0</v>
      </c>
      <c r="AE3">
        <f>Data!AQ39</f>
        <v>0</v>
      </c>
      <c r="AF3">
        <f>Data!AR39</f>
        <v>0</v>
      </c>
      <c r="AG3">
        <f>Data!AS39</f>
        <v>0</v>
      </c>
      <c r="AH3">
        <f>Data!AT39</f>
        <v>0</v>
      </c>
      <c r="AI3">
        <f>Data!AU39</f>
        <v>0</v>
      </c>
      <c r="AJ3">
        <f>Data!AV39</f>
        <v>0</v>
      </c>
      <c r="AK3">
        <f>Data!AW39</f>
        <v>0</v>
      </c>
      <c r="AL3">
        <f>Data!AX39</f>
        <v>0</v>
      </c>
      <c r="AM3">
        <f>Data!AY39</f>
        <v>0</v>
      </c>
      <c r="AN3">
        <f>Data!AZ39</f>
        <v>0</v>
      </c>
      <c r="AO3">
        <f>Data!BA39</f>
        <v>0</v>
      </c>
      <c r="AP3">
        <f>Data!BB39</f>
        <v>0</v>
      </c>
      <c r="AQ3">
        <f>Data!BC39</f>
        <v>0</v>
      </c>
    </row>
    <row r="4" spans="1:43" x14ac:dyDescent="0.15">
      <c r="A4" t="s">
        <v>3</v>
      </c>
      <c r="B4" s="15">
        <f t="shared" si="0"/>
        <v>0</v>
      </c>
      <c r="C4">
        <f>Data!O40</f>
        <v>0</v>
      </c>
      <c r="D4">
        <f>Data!P40</f>
        <v>0</v>
      </c>
      <c r="E4">
        <f>Data!Q40</f>
        <v>0</v>
      </c>
      <c r="F4">
        <f>Data!R40</f>
        <v>0</v>
      </c>
      <c r="G4">
        <f>Data!S40</f>
        <v>0</v>
      </c>
      <c r="H4">
        <f>Data!T40</f>
        <v>0</v>
      </c>
      <c r="I4">
        <f>Data!U40</f>
        <v>0</v>
      </c>
      <c r="J4">
        <f>Data!V40</f>
        <v>0</v>
      </c>
      <c r="K4">
        <f>Data!W40</f>
        <v>0</v>
      </c>
      <c r="L4">
        <f>Data!X40</f>
        <v>0</v>
      </c>
      <c r="M4">
        <f>Data!Y40</f>
        <v>0</v>
      </c>
      <c r="N4">
        <f>Data!Z40</f>
        <v>0</v>
      </c>
      <c r="O4">
        <f>Data!AA40</f>
        <v>0</v>
      </c>
      <c r="P4">
        <f>Data!AB40</f>
        <v>0</v>
      </c>
      <c r="Q4">
        <f>Data!AC40</f>
        <v>0</v>
      </c>
      <c r="R4">
        <f>Data!AD40</f>
        <v>0</v>
      </c>
      <c r="S4">
        <f>Data!AE40</f>
        <v>0</v>
      </c>
      <c r="T4">
        <f>Data!AF40</f>
        <v>0</v>
      </c>
      <c r="U4">
        <f>Data!AG40</f>
        <v>0</v>
      </c>
      <c r="V4">
        <f>Data!AH40</f>
        <v>0</v>
      </c>
      <c r="W4">
        <f>Data!AI40</f>
        <v>0</v>
      </c>
      <c r="X4">
        <f>Data!AJ40</f>
        <v>0</v>
      </c>
      <c r="Y4">
        <f>Data!AK40</f>
        <v>0</v>
      </c>
      <c r="Z4">
        <f>Data!AL40</f>
        <v>0</v>
      </c>
      <c r="AA4">
        <f>Data!AM40</f>
        <v>0</v>
      </c>
      <c r="AB4">
        <f>Data!AN40</f>
        <v>0</v>
      </c>
      <c r="AC4">
        <f>Data!AO40</f>
        <v>0</v>
      </c>
      <c r="AD4">
        <f>Data!AP40</f>
        <v>0</v>
      </c>
      <c r="AE4">
        <f>Data!AQ40</f>
        <v>0</v>
      </c>
      <c r="AF4">
        <f>Data!AR40</f>
        <v>0</v>
      </c>
      <c r="AG4">
        <f>Data!AS40</f>
        <v>0</v>
      </c>
      <c r="AH4">
        <f>Data!AT40</f>
        <v>0</v>
      </c>
      <c r="AI4">
        <f>Data!AU40</f>
        <v>0</v>
      </c>
      <c r="AJ4">
        <f>Data!AV40</f>
        <v>0</v>
      </c>
      <c r="AK4">
        <f>Data!AW40</f>
        <v>0</v>
      </c>
      <c r="AL4">
        <f>Data!AX40</f>
        <v>0</v>
      </c>
      <c r="AM4">
        <f>Data!AY40</f>
        <v>0</v>
      </c>
      <c r="AN4">
        <f>Data!AZ40</f>
        <v>0</v>
      </c>
      <c r="AO4">
        <f>Data!BA40</f>
        <v>0</v>
      </c>
      <c r="AP4">
        <f>Data!BB40</f>
        <v>0</v>
      </c>
      <c r="AQ4">
        <f>Data!BC40</f>
        <v>0</v>
      </c>
    </row>
    <row r="5" spans="1:43" x14ac:dyDescent="0.15">
      <c r="A5" t="s">
        <v>4</v>
      </c>
      <c r="B5" s="15">
        <f t="shared" si="0"/>
        <v>1</v>
      </c>
      <c r="C5">
        <f>Data!O41</f>
        <v>1</v>
      </c>
      <c r="D5">
        <f>Data!P41</f>
        <v>1</v>
      </c>
      <c r="E5">
        <f>Data!Q41</f>
        <v>1</v>
      </c>
      <c r="F5">
        <f>Data!R41</f>
        <v>1</v>
      </c>
      <c r="G5">
        <f>Data!S41</f>
        <v>1</v>
      </c>
      <c r="H5">
        <f>Data!T41</f>
        <v>1</v>
      </c>
      <c r="I5">
        <f>Data!U41</f>
        <v>1</v>
      </c>
      <c r="J5">
        <f>Data!V41</f>
        <v>1</v>
      </c>
      <c r="K5">
        <f>Data!W41</f>
        <v>1</v>
      </c>
      <c r="L5">
        <f>Data!X41</f>
        <v>1</v>
      </c>
      <c r="M5">
        <f>Data!Y41</f>
        <v>1</v>
      </c>
      <c r="N5">
        <f>Data!Z41</f>
        <v>1</v>
      </c>
      <c r="O5">
        <f>Data!AA41</f>
        <v>1</v>
      </c>
      <c r="P5">
        <f>Data!AB41</f>
        <v>1</v>
      </c>
      <c r="Q5">
        <f>Data!AC41</f>
        <v>1</v>
      </c>
      <c r="R5">
        <f>Data!AD41</f>
        <v>1</v>
      </c>
      <c r="S5">
        <f>Data!AE41</f>
        <v>1</v>
      </c>
      <c r="T5">
        <f>Data!AF41</f>
        <v>1</v>
      </c>
      <c r="U5">
        <f>Data!AG41</f>
        <v>1</v>
      </c>
      <c r="V5">
        <f>Data!AH41</f>
        <v>1</v>
      </c>
      <c r="W5">
        <f>Data!AI41</f>
        <v>1</v>
      </c>
      <c r="X5">
        <f>Data!AJ41</f>
        <v>1</v>
      </c>
      <c r="Y5">
        <f>Data!AK41</f>
        <v>1</v>
      </c>
      <c r="Z5">
        <f>Data!AL41</f>
        <v>1</v>
      </c>
      <c r="AA5">
        <f>Data!AM41</f>
        <v>1</v>
      </c>
      <c r="AB5">
        <f>Data!AN41</f>
        <v>1</v>
      </c>
      <c r="AC5">
        <f>Data!AO41</f>
        <v>1</v>
      </c>
      <c r="AD5">
        <f>Data!AP41</f>
        <v>1</v>
      </c>
      <c r="AE5">
        <f>Data!AQ41</f>
        <v>1</v>
      </c>
      <c r="AF5">
        <f>Data!AR41</f>
        <v>1</v>
      </c>
      <c r="AG5">
        <f>Data!AS41</f>
        <v>1</v>
      </c>
      <c r="AH5">
        <f>Data!AT41</f>
        <v>1</v>
      </c>
      <c r="AI5">
        <f>Data!AU41</f>
        <v>1</v>
      </c>
      <c r="AJ5">
        <f>Data!AV41</f>
        <v>1</v>
      </c>
      <c r="AK5">
        <f>Data!AW41</f>
        <v>1</v>
      </c>
      <c r="AL5">
        <f>Data!AX41</f>
        <v>1</v>
      </c>
      <c r="AM5">
        <f>Data!AY41</f>
        <v>1</v>
      </c>
      <c r="AN5">
        <f>Data!AZ41</f>
        <v>1</v>
      </c>
      <c r="AO5">
        <f>Data!BA41</f>
        <v>1</v>
      </c>
      <c r="AP5">
        <f>Data!BB41</f>
        <v>1</v>
      </c>
      <c r="AQ5">
        <f>Data!BC41</f>
        <v>1</v>
      </c>
    </row>
    <row r="6" spans="1:43" x14ac:dyDescent="0.15">
      <c r="A6" t="s">
        <v>5</v>
      </c>
      <c r="B6" s="15">
        <f t="shared" si="0"/>
        <v>0</v>
      </c>
      <c r="C6">
        <f>Data!O42</f>
        <v>0</v>
      </c>
      <c r="D6">
        <f>Data!P42</f>
        <v>0</v>
      </c>
      <c r="E6">
        <f>Data!Q42</f>
        <v>0</v>
      </c>
      <c r="F6">
        <f>Data!R42</f>
        <v>0</v>
      </c>
      <c r="G6">
        <f>Data!S42</f>
        <v>0</v>
      </c>
      <c r="H6">
        <f>Data!T42</f>
        <v>0</v>
      </c>
      <c r="I6">
        <f>Data!U42</f>
        <v>0</v>
      </c>
      <c r="J6">
        <f>Data!V42</f>
        <v>0</v>
      </c>
      <c r="K6">
        <f>Data!W42</f>
        <v>0</v>
      </c>
      <c r="L6">
        <f>Data!X42</f>
        <v>0</v>
      </c>
      <c r="M6">
        <f>Data!Y42</f>
        <v>0</v>
      </c>
      <c r="N6">
        <f>Data!Z42</f>
        <v>0</v>
      </c>
      <c r="O6">
        <f>Data!AA42</f>
        <v>0</v>
      </c>
      <c r="P6">
        <f>Data!AB42</f>
        <v>0</v>
      </c>
      <c r="Q6">
        <f>Data!AC42</f>
        <v>0</v>
      </c>
      <c r="R6">
        <f>Data!AD42</f>
        <v>0</v>
      </c>
      <c r="S6">
        <f>Data!AE42</f>
        <v>0</v>
      </c>
      <c r="T6">
        <f>Data!AF42</f>
        <v>0</v>
      </c>
      <c r="U6">
        <f>Data!AG42</f>
        <v>0</v>
      </c>
      <c r="V6">
        <f>Data!AH42</f>
        <v>0</v>
      </c>
      <c r="W6">
        <f>Data!AI42</f>
        <v>0</v>
      </c>
      <c r="X6">
        <f>Data!AJ42</f>
        <v>0</v>
      </c>
      <c r="Y6">
        <f>Data!AK42</f>
        <v>0</v>
      </c>
      <c r="Z6">
        <f>Data!AL42</f>
        <v>0</v>
      </c>
      <c r="AA6">
        <f>Data!AM42</f>
        <v>0</v>
      </c>
      <c r="AB6">
        <f>Data!AN42</f>
        <v>0</v>
      </c>
      <c r="AC6">
        <f>Data!AO42</f>
        <v>0</v>
      </c>
      <c r="AD6">
        <f>Data!AP42</f>
        <v>0</v>
      </c>
      <c r="AE6">
        <f>Data!AQ42</f>
        <v>0</v>
      </c>
      <c r="AF6">
        <f>Data!AR42</f>
        <v>0</v>
      </c>
      <c r="AG6">
        <f>Data!AS42</f>
        <v>0</v>
      </c>
      <c r="AH6">
        <f>Data!AT42</f>
        <v>0</v>
      </c>
      <c r="AI6">
        <f>Data!AU42</f>
        <v>0</v>
      </c>
      <c r="AJ6">
        <f>Data!AV42</f>
        <v>0</v>
      </c>
      <c r="AK6">
        <f>Data!AW42</f>
        <v>0</v>
      </c>
      <c r="AL6">
        <f>Data!AX42</f>
        <v>0</v>
      </c>
      <c r="AM6">
        <f>Data!AY42</f>
        <v>0</v>
      </c>
      <c r="AN6">
        <f>Data!AZ42</f>
        <v>0</v>
      </c>
      <c r="AO6">
        <f>Data!BA42</f>
        <v>0</v>
      </c>
      <c r="AP6">
        <f>Data!BB42</f>
        <v>0</v>
      </c>
      <c r="AQ6">
        <f>Data!BC42</f>
        <v>0</v>
      </c>
    </row>
    <row r="7" spans="1:43" x14ac:dyDescent="0.15">
      <c r="A7" t="s">
        <v>125</v>
      </c>
      <c r="B7" s="15">
        <f t="shared" si="0"/>
        <v>0</v>
      </c>
      <c r="C7">
        <f>Data!O43</f>
        <v>0</v>
      </c>
      <c r="D7">
        <f>Data!P43</f>
        <v>0</v>
      </c>
      <c r="E7">
        <f>Data!Q43</f>
        <v>0</v>
      </c>
      <c r="F7">
        <f>Data!R43</f>
        <v>0</v>
      </c>
      <c r="G7">
        <f>Data!S43</f>
        <v>0</v>
      </c>
      <c r="H7">
        <f>Data!T43</f>
        <v>0</v>
      </c>
      <c r="I7">
        <f>Data!U43</f>
        <v>0</v>
      </c>
      <c r="J7">
        <f>Data!V43</f>
        <v>0</v>
      </c>
      <c r="K7">
        <f>Data!W43</f>
        <v>0</v>
      </c>
      <c r="L7">
        <f>Data!X43</f>
        <v>0</v>
      </c>
      <c r="M7">
        <f>Data!Y43</f>
        <v>0</v>
      </c>
      <c r="N7">
        <f>Data!Z43</f>
        <v>0</v>
      </c>
      <c r="O7">
        <f>Data!AA43</f>
        <v>0</v>
      </c>
      <c r="P7">
        <f>Data!AB43</f>
        <v>0</v>
      </c>
      <c r="Q7">
        <f>Data!AC43</f>
        <v>0</v>
      </c>
      <c r="R7">
        <f>Data!AD43</f>
        <v>0</v>
      </c>
      <c r="S7">
        <f>Data!AE43</f>
        <v>0</v>
      </c>
      <c r="T7">
        <f>Data!AF43</f>
        <v>0</v>
      </c>
      <c r="U7">
        <f>Data!AG43</f>
        <v>0</v>
      </c>
      <c r="V7">
        <f>Data!AH43</f>
        <v>0</v>
      </c>
      <c r="W7">
        <f>Data!AI43</f>
        <v>0</v>
      </c>
      <c r="X7">
        <f>Data!AJ43</f>
        <v>0</v>
      </c>
      <c r="Y7">
        <f>Data!AK43</f>
        <v>0</v>
      </c>
      <c r="Z7">
        <f>Data!AL43</f>
        <v>0</v>
      </c>
      <c r="AA7">
        <f>Data!AM43</f>
        <v>0</v>
      </c>
      <c r="AB7">
        <f>Data!AN43</f>
        <v>0</v>
      </c>
      <c r="AC7">
        <f>Data!AO43</f>
        <v>0</v>
      </c>
      <c r="AD7">
        <f>Data!AP43</f>
        <v>0</v>
      </c>
      <c r="AE7">
        <f>Data!AQ43</f>
        <v>0</v>
      </c>
      <c r="AF7">
        <f>Data!AR43</f>
        <v>0</v>
      </c>
      <c r="AG7">
        <f>Data!AS43</f>
        <v>0</v>
      </c>
      <c r="AH7">
        <f>Data!AT43</f>
        <v>0</v>
      </c>
      <c r="AI7">
        <f>Data!AU43</f>
        <v>0</v>
      </c>
      <c r="AJ7">
        <f>Data!AV43</f>
        <v>0</v>
      </c>
      <c r="AK7">
        <f>Data!AW43</f>
        <v>0</v>
      </c>
      <c r="AL7">
        <f>Data!AX43</f>
        <v>0</v>
      </c>
      <c r="AM7">
        <f>Data!AY43</f>
        <v>0</v>
      </c>
      <c r="AN7">
        <f>Data!AZ43</f>
        <v>0</v>
      </c>
      <c r="AO7">
        <f>Data!BA43</f>
        <v>0</v>
      </c>
      <c r="AP7">
        <f>Data!BB43</f>
        <v>0</v>
      </c>
      <c r="AQ7">
        <f>Data!BC43</f>
        <v>0</v>
      </c>
    </row>
    <row r="8" spans="1:43" x14ac:dyDescent="0.15">
      <c r="A8" t="s">
        <v>126</v>
      </c>
      <c r="B8" s="15">
        <f t="shared" si="0"/>
        <v>0</v>
      </c>
      <c r="C8">
        <f>Data!O44</f>
        <v>0</v>
      </c>
      <c r="D8">
        <f>Data!P44</f>
        <v>0</v>
      </c>
      <c r="E8">
        <f>Data!Q44</f>
        <v>0</v>
      </c>
      <c r="F8">
        <f>Data!R44</f>
        <v>0</v>
      </c>
      <c r="G8">
        <f>Data!S44</f>
        <v>0</v>
      </c>
      <c r="H8">
        <f>Data!T44</f>
        <v>0</v>
      </c>
      <c r="I8">
        <f>Data!U44</f>
        <v>0</v>
      </c>
      <c r="J8">
        <f>Data!V44</f>
        <v>0</v>
      </c>
      <c r="K8">
        <f>Data!W44</f>
        <v>0</v>
      </c>
      <c r="L8">
        <f>Data!X44</f>
        <v>0</v>
      </c>
      <c r="M8">
        <f>Data!Y44</f>
        <v>0</v>
      </c>
      <c r="N8">
        <f>Data!Z44</f>
        <v>0</v>
      </c>
      <c r="O8">
        <f>Data!AA44</f>
        <v>0</v>
      </c>
      <c r="P8">
        <f>Data!AB44</f>
        <v>0</v>
      </c>
      <c r="Q8">
        <f>Data!AC44</f>
        <v>0</v>
      </c>
      <c r="R8">
        <f>Data!AD44</f>
        <v>0</v>
      </c>
      <c r="S8">
        <f>Data!AE44</f>
        <v>0</v>
      </c>
      <c r="T8">
        <f>Data!AF44</f>
        <v>0</v>
      </c>
      <c r="U8">
        <f>Data!AG44</f>
        <v>0</v>
      </c>
      <c r="V8">
        <f>Data!AH44</f>
        <v>0</v>
      </c>
      <c r="W8">
        <f>Data!AI44</f>
        <v>0</v>
      </c>
      <c r="X8">
        <f>Data!AJ44</f>
        <v>0</v>
      </c>
      <c r="Y8">
        <f>Data!AK44</f>
        <v>0</v>
      </c>
      <c r="Z8">
        <f>Data!AL44</f>
        <v>0</v>
      </c>
      <c r="AA8">
        <f>Data!AM44</f>
        <v>0</v>
      </c>
      <c r="AB8">
        <f>Data!AN44</f>
        <v>0</v>
      </c>
      <c r="AC8">
        <f>Data!AO44</f>
        <v>0</v>
      </c>
      <c r="AD8">
        <f>Data!AP44</f>
        <v>0</v>
      </c>
      <c r="AE8">
        <f>Data!AQ44</f>
        <v>0</v>
      </c>
      <c r="AF8">
        <f>Data!AR44</f>
        <v>0</v>
      </c>
      <c r="AG8">
        <f>Data!AS44</f>
        <v>0</v>
      </c>
      <c r="AH8">
        <f>Data!AT44</f>
        <v>0</v>
      </c>
      <c r="AI8">
        <f>Data!AU44</f>
        <v>0</v>
      </c>
      <c r="AJ8">
        <f>Data!AV44</f>
        <v>0</v>
      </c>
      <c r="AK8">
        <f>Data!AW44</f>
        <v>0</v>
      </c>
      <c r="AL8">
        <f>Data!AX44</f>
        <v>0</v>
      </c>
      <c r="AM8">
        <f>Data!AY44</f>
        <v>0</v>
      </c>
      <c r="AN8">
        <f>Data!AZ44</f>
        <v>0</v>
      </c>
      <c r="AO8">
        <f>Data!BA44</f>
        <v>0</v>
      </c>
      <c r="AP8">
        <f>Data!BB44</f>
        <v>0</v>
      </c>
      <c r="AQ8">
        <f>Data!BC44</f>
        <v>0</v>
      </c>
    </row>
  </sheetData>
  <phoneticPr fontId="10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Q8"/>
  <sheetViews>
    <sheetView workbookViewId="0">
      <selection activeCell="B2" sqref="B2:AQ8"/>
    </sheetView>
  </sheetViews>
  <sheetFormatPr defaultColWidth="9.125" defaultRowHeight="12.9" x14ac:dyDescent="0.15"/>
  <cols>
    <col min="1" max="1" width="24.5" customWidth="1"/>
    <col min="2" max="2" width="12.125" customWidth="1"/>
  </cols>
  <sheetData>
    <row r="1" spans="1:43" ht="38.75" x14ac:dyDescent="0.15">
      <c r="A1" s="25" t="s">
        <v>128</v>
      </c>
      <c r="B1" s="35">
        <v>2019</v>
      </c>
      <c r="C1">
        <f>Data!O9</f>
        <v>2020</v>
      </c>
      <c r="D1">
        <f>Data!P9</f>
        <v>2021</v>
      </c>
      <c r="E1">
        <f>Data!Q9</f>
        <v>2022</v>
      </c>
      <c r="F1">
        <f>Data!R9</f>
        <v>2023</v>
      </c>
      <c r="G1">
        <f>Data!S9</f>
        <v>2024</v>
      </c>
      <c r="H1">
        <f>Data!T9</f>
        <v>2025</v>
      </c>
      <c r="I1">
        <f>Data!U9</f>
        <v>2026</v>
      </c>
      <c r="J1">
        <f>Data!V9</f>
        <v>2027</v>
      </c>
      <c r="K1">
        <f>Data!W9</f>
        <v>2028</v>
      </c>
      <c r="L1">
        <f>Data!X9</f>
        <v>2029</v>
      </c>
      <c r="M1">
        <f>Data!Y9</f>
        <v>2030</v>
      </c>
      <c r="N1">
        <f>Data!Z9</f>
        <v>2031</v>
      </c>
      <c r="O1">
        <f>Data!AA9</f>
        <v>2032</v>
      </c>
      <c r="P1">
        <f>Data!AB9</f>
        <v>2033</v>
      </c>
      <c r="Q1">
        <f>Data!AC9</f>
        <v>2034</v>
      </c>
      <c r="R1">
        <f>Data!AD9</f>
        <v>2035</v>
      </c>
      <c r="S1">
        <f>Data!AE9</f>
        <v>2036</v>
      </c>
      <c r="T1">
        <f>Data!AF9</f>
        <v>2037</v>
      </c>
      <c r="U1">
        <f>Data!AG9</f>
        <v>2038</v>
      </c>
      <c r="V1">
        <f>Data!AH9</f>
        <v>2039</v>
      </c>
      <c r="W1">
        <f>Data!AI9</f>
        <v>2040</v>
      </c>
      <c r="X1">
        <f>Data!AJ9</f>
        <v>2041</v>
      </c>
      <c r="Y1">
        <f>Data!AK9</f>
        <v>2042</v>
      </c>
      <c r="Z1">
        <f>Data!AL9</f>
        <v>2043</v>
      </c>
      <c r="AA1">
        <f>Data!AM9</f>
        <v>2044</v>
      </c>
      <c r="AB1">
        <f>Data!AN9</f>
        <v>2045</v>
      </c>
      <c r="AC1">
        <f>Data!AO9</f>
        <v>2046</v>
      </c>
      <c r="AD1">
        <f>Data!AP9</f>
        <v>2047</v>
      </c>
      <c r="AE1">
        <f>Data!AQ9</f>
        <v>2048</v>
      </c>
      <c r="AF1">
        <f>Data!AR9</f>
        <v>2049</v>
      </c>
      <c r="AG1">
        <f>Data!AS9</f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</v>
      </c>
      <c r="B2" s="15">
        <f>MAX(0,TREND(C2:E2,C$1:E$1,B$1))</f>
        <v>0</v>
      </c>
      <c r="C2">
        <f>Data!O45</f>
        <v>0</v>
      </c>
      <c r="D2">
        <f>Data!P45</f>
        <v>0</v>
      </c>
      <c r="E2">
        <f>Data!Q45</f>
        <v>0</v>
      </c>
      <c r="F2">
        <f>Data!R45</f>
        <v>0</v>
      </c>
      <c r="G2">
        <f>Data!S45</f>
        <v>0</v>
      </c>
      <c r="H2">
        <f>Data!T45</f>
        <v>0</v>
      </c>
      <c r="I2">
        <f>Data!U45</f>
        <v>0</v>
      </c>
      <c r="J2">
        <f>Data!V45</f>
        <v>0</v>
      </c>
      <c r="K2">
        <f>Data!W45</f>
        <v>0</v>
      </c>
      <c r="L2">
        <f>Data!X45</f>
        <v>0</v>
      </c>
      <c r="M2">
        <f>Data!Y45</f>
        <v>0</v>
      </c>
      <c r="N2">
        <f>Data!Z45</f>
        <v>0</v>
      </c>
      <c r="O2">
        <f>Data!AA45</f>
        <v>0</v>
      </c>
      <c r="P2">
        <f>Data!AB45</f>
        <v>0</v>
      </c>
      <c r="Q2">
        <f>Data!AC45</f>
        <v>0</v>
      </c>
      <c r="R2">
        <f>Data!AD45</f>
        <v>0</v>
      </c>
      <c r="S2">
        <f>Data!AE45</f>
        <v>0</v>
      </c>
      <c r="T2">
        <f>Data!AF45</f>
        <v>0</v>
      </c>
      <c r="U2">
        <f>Data!AG45</f>
        <v>0</v>
      </c>
      <c r="V2">
        <f>Data!AH45</f>
        <v>0</v>
      </c>
      <c r="W2">
        <f>Data!AI45</f>
        <v>0</v>
      </c>
      <c r="X2">
        <f>Data!AJ45</f>
        <v>0</v>
      </c>
      <c r="Y2">
        <f>Data!AK45</f>
        <v>0</v>
      </c>
      <c r="Z2">
        <f>Data!AL45</f>
        <v>0</v>
      </c>
      <c r="AA2">
        <f>Data!AM45</f>
        <v>0</v>
      </c>
      <c r="AB2">
        <f>Data!AN45</f>
        <v>0</v>
      </c>
      <c r="AC2">
        <f>Data!AO45</f>
        <v>0</v>
      </c>
      <c r="AD2">
        <f>Data!AP45</f>
        <v>0</v>
      </c>
      <c r="AE2">
        <f>Data!AQ45</f>
        <v>0</v>
      </c>
      <c r="AF2">
        <f>Data!AR45</f>
        <v>0</v>
      </c>
      <c r="AG2">
        <f>Data!AS45</f>
        <v>0</v>
      </c>
      <c r="AH2">
        <f>Data!AT45</f>
        <v>0</v>
      </c>
      <c r="AI2">
        <f>Data!AU45</f>
        <v>0</v>
      </c>
      <c r="AJ2">
        <f>Data!AV45</f>
        <v>0</v>
      </c>
      <c r="AK2">
        <f>Data!AW45</f>
        <v>0</v>
      </c>
      <c r="AL2">
        <f>Data!AX45</f>
        <v>0</v>
      </c>
      <c r="AM2">
        <f>Data!AY45</f>
        <v>0</v>
      </c>
      <c r="AN2">
        <f>Data!AZ45</f>
        <v>0</v>
      </c>
      <c r="AO2">
        <f>Data!BA45</f>
        <v>0</v>
      </c>
      <c r="AP2">
        <f>Data!BB45</f>
        <v>0</v>
      </c>
      <c r="AQ2">
        <f>Data!BC45</f>
        <v>0</v>
      </c>
    </row>
    <row r="3" spans="1:43" x14ac:dyDescent="0.15">
      <c r="A3" t="s">
        <v>2</v>
      </c>
      <c r="B3" s="15">
        <f t="shared" ref="B3:B8" si="0">MAX(0,TREND(C3:E3,C$1:E$1,B$1))</f>
        <v>0</v>
      </c>
      <c r="C3">
        <f>Data!O46</f>
        <v>0</v>
      </c>
      <c r="D3">
        <f>Data!P46</f>
        <v>0</v>
      </c>
      <c r="E3">
        <f>Data!Q46</f>
        <v>0</v>
      </c>
      <c r="F3">
        <f>Data!R46</f>
        <v>0</v>
      </c>
      <c r="G3">
        <f>Data!S46</f>
        <v>0</v>
      </c>
      <c r="H3">
        <f>Data!T46</f>
        <v>0</v>
      </c>
      <c r="I3">
        <f>Data!U46</f>
        <v>0</v>
      </c>
      <c r="J3">
        <f>Data!V46</f>
        <v>0</v>
      </c>
      <c r="K3">
        <f>Data!W46</f>
        <v>0</v>
      </c>
      <c r="L3">
        <f>Data!X46</f>
        <v>0</v>
      </c>
      <c r="M3">
        <f>Data!Y46</f>
        <v>0</v>
      </c>
      <c r="N3">
        <f>Data!Z46</f>
        <v>0</v>
      </c>
      <c r="O3">
        <f>Data!AA46</f>
        <v>0</v>
      </c>
      <c r="P3">
        <f>Data!AB46</f>
        <v>0</v>
      </c>
      <c r="Q3">
        <f>Data!AC46</f>
        <v>0</v>
      </c>
      <c r="R3">
        <f>Data!AD46</f>
        <v>0</v>
      </c>
      <c r="S3">
        <f>Data!AE46</f>
        <v>0</v>
      </c>
      <c r="T3">
        <f>Data!AF46</f>
        <v>0</v>
      </c>
      <c r="U3">
        <f>Data!AG46</f>
        <v>0</v>
      </c>
      <c r="V3">
        <f>Data!AH46</f>
        <v>0</v>
      </c>
      <c r="W3">
        <f>Data!AI46</f>
        <v>0</v>
      </c>
      <c r="X3">
        <f>Data!AJ46</f>
        <v>0</v>
      </c>
      <c r="Y3">
        <f>Data!AK46</f>
        <v>0</v>
      </c>
      <c r="Z3">
        <f>Data!AL46</f>
        <v>0</v>
      </c>
      <c r="AA3">
        <f>Data!AM46</f>
        <v>0</v>
      </c>
      <c r="AB3">
        <f>Data!AN46</f>
        <v>0</v>
      </c>
      <c r="AC3">
        <f>Data!AO46</f>
        <v>0</v>
      </c>
      <c r="AD3">
        <f>Data!AP46</f>
        <v>0</v>
      </c>
      <c r="AE3">
        <f>Data!AQ46</f>
        <v>0</v>
      </c>
      <c r="AF3">
        <f>Data!AR46</f>
        <v>0</v>
      </c>
      <c r="AG3">
        <f>Data!AS46</f>
        <v>0</v>
      </c>
      <c r="AH3">
        <f>Data!AT46</f>
        <v>0</v>
      </c>
      <c r="AI3">
        <f>Data!AU46</f>
        <v>0</v>
      </c>
      <c r="AJ3">
        <f>Data!AV46</f>
        <v>0</v>
      </c>
      <c r="AK3">
        <f>Data!AW46</f>
        <v>0</v>
      </c>
      <c r="AL3">
        <f>Data!AX46</f>
        <v>0</v>
      </c>
      <c r="AM3">
        <f>Data!AY46</f>
        <v>0</v>
      </c>
      <c r="AN3">
        <f>Data!AZ46</f>
        <v>0</v>
      </c>
      <c r="AO3">
        <f>Data!BA46</f>
        <v>0</v>
      </c>
      <c r="AP3">
        <f>Data!BB46</f>
        <v>0</v>
      </c>
      <c r="AQ3">
        <f>Data!BC46</f>
        <v>0</v>
      </c>
    </row>
    <row r="4" spans="1:43" x14ac:dyDescent="0.15">
      <c r="A4" t="s">
        <v>3</v>
      </c>
      <c r="B4" s="15">
        <f t="shared" si="0"/>
        <v>0</v>
      </c>
      <c r="C4">
        <f>Data!O47</f>
        <v>0</v>
      </c>
      <c r="D4">
        <f>Data!P47</f>
        <v>0</v>
      </c>
      <c r="E4">
        <f>Data!Q47</f>
        <v>0</v>
      </c>
      <c r="F4">
        <f>Data!R47</f>
        <v>0</v>
      </c>
      <c r="G4">
        <f>Data!S47</f>
        <v>0</v>
      </c>
      <c r="H4">
        <f>Data!T47</f>
        <v>0</v>
      </c>
      <c r="I4">
        <f>Data!U47</f>
        <v>0</v>
      </c>
      <c r="J4">
        <f>Data!V47</f>
        <v>0</v>
      </c>
      <c r="K4">
        <f>Data!W47</f>
        <v>0</v>
      </c>
      <c r="L4">
        <f>Data!X47</f>
        <v>0</v>
      </c>
      <c r="M4">
        <f>Data!Y47</f>
        <v>0</v>
      </c>
      <c r="N4">
        <f>Data!Z47</f>
        <v>0</v>
      </c>
      <c r="O4">
        <f>Data!AA47</f>
        <v>0</v>
      </c>
      <c r="P4">
        <f>Data!AB47</f>
        <v>0</v>
      </c>
      <c r="Q4">
        <f>Data!AC47</f>
        <v>0</v>
      </c>
      <c r="R4">
        <f>Data!AD47</f>
        <v>0</v>
      </c>
      <c r="S4">
        <f>Data!AE47</f>
        <v>0</v>
      </c>
      <c r="T4">
        <f>Data!AF47</f>
        <v>0</v>
      </c>
      <c r="U4">
        <f>Data!AG47</f>
        <v>0</v>
      </c>
      <c r="V4">
        <f>Data!AH47</f>
        <v>0</v>
      </c>
      <c r="W4">
        <f>Data!AI47</f>
        <v>0</v>
      </c>
      <c r="X4">
        <f>Data!AJ47</f>
        <v>0</v>
      </c>
      <c r="Y4">
        <f>Data!AK47</f>
        <v>0</v>
      </c>
      <c r="Z4">
        <f>Data!AL47</f>
        <v>0</v>
      </c>
      <c r="AA4">
        <f>Data!AM47</f>
        <v>0</v>
      </c>
      <c r="AB4">
        <f>Data!AN47</f>
        <v>0</v>
      </c>
      <c r="AC4">
        <f>Data!AO47</f>
        <v>0</v>
      </c>
      <c r="AD4">
        <f>Data!AP47</f>
        <v>0</v>
      </c>
      <c r="AE4">
        <f>Data!AQ47</f>
        <v>0</v>
      </c>
      <c r="AF4">
        <f>Data!AR47</f>
        <v>0</v>
      </c>
      <c r="AG4">
        <f>Data!AS47</f>
        <v>0</v>
      </c>
      <c r="AH4">
        <f>Data!AT47</f>
        <v>0</v>
      </c>
      <c r="AI4">
        <f>Data!AU47</f>
        <v>0</v>
      </c>
      <c r="AJ4">
        <f>Data!AV47</f>
        <v>0</v>
      </c>
      <c r="AK4">
        <f>Data!AW47</f>
        <v>0</v>
      </c>
      <c r="AL4">
        <f>Data!AX47</f>
        <v>0</v>
      </c>
      <c r="AM4">
        <f>Data!AY47</f>
        <v>0</v>
      </c>
      <c r="AN4">
        <f>Data!AZ47</f>
        <v>0</v>
      </c>
      <c r="AO4">
        <f>Data!BA47</f>
        <v>0</v>
      </c>
      <c r="AP4">
        <f>Data!BB47</f>
        <v>0</v>
      </c>
      <c r="AQ4">
        <f>Data!BC47</f>
        <v>0</v>
      </c>
    </row>
    <row r="5" spans="1:43" x14ac:dyDescent="0.15">
      <c r="A5" t="s">
        <v>4</v>
      </c>
      <c r="B5" s="15">
        <f t="shared" si="0"/>
        <v>1</v>
      </c>
      <c r="C5">
        <f>Data!O48</f>
        <v>1</v>
      </c>
      <c r="D5">
        <f>Data!P48</f>
        <v>1</v>
      </c>
      <c r="E5">
        <f>Data!Q48</f>
        <v>1</v>
      </c>
      <c r="F5">
        <f>Data!R48</f>
        <v>1</v>
      </c>
      <c r="G5">
        <f>Data!S48</f>
        <v>1</v>
      </c>
      <c r="H5">
        <f>Data!T48</f>
        <v>1</v>
      </c>
      <c r="I5">
        <f>Data!U48</f>
        <v>1</v>
      </c>
      <c r="J5">
        <f>Data!V48</f>
        <v>1</v>
      </c>
      <c r="K5">
        <f>Data!W48</f>
        <v>1</v>
      </c>
      <c r="L5">
        <f>Data!X48</f>
        <v>1</v>
      </c>
      <c r="M5">
        <f>Data!Y48</f>
        <v>1</v>
      </c>
      <c r="N5">
        <f>Data!Z48</f>
        <v>1</v>
      </c>
      <c r="O5">
        <f>Data!AA48</f>
        <v>1</v>
      </c>
      <c r="P5">
        <f>Data!AB48</f>
        <v>1</v>
      </c>
      <c r="Q5">
        <f>Data!AC48</f>
        <v>1</v>
      </c>
      <c r="R5">
        <f>Data!AD48</f>
        <v>1</v>
      </c>
      <c r="S5">
        <f>Data!AE48</f>
        <v>1</v>
      </c>
      <c r="T5">
        <f>Data!AF48</f>
        <v>1</v>
      </c>
      <c r="U5">
        <f>Data!AG48</f>
        <v>1</v>
      </c>
      <c r="V5">
        <f>Data!AH48</f>
        <v>1</v>
      </c>
      <c r="W5">
        <f>Data!AI48</f>
        <v>1</v>
      </c>
      <c r="X5">
        <f>Data!AJ48</f>
        <v>1</v>
      </c>
      <c r="Y5">
        <f>Data!AK48</f>
        <v>1</v>
      </c>
      <c r="Z5">
        <f>Data!AL48</f>
        <v>1</v>
      </c>
      <c r="AA5">
        <f>Data!AM48</f>
        <v>1</v>
      </c>
      <c r="AB5">
        <f>Data!AN48</f>
        <v>1</v>
      </c>
      <c r="AC5">
        <f>Data!AO48</f>
        <v>1</v>
      </c>
      <c r="AD5">
        <f>Data!AP48</f>
        <v>1</v>
      </c>
      <c r="AE5">
        <f>Data!AQ48</f>
        <v>1</v>
      </c>
      <c r="AF5">
        <f>Data!AR48</f>
        <v>1</v>
      </c>
      <c r="AG5">
        <f>Data!AS48</f>
        <v>1</v>
      </c>
      <c r="AH5">
        <f>Data!AT48</f>
        <v>1</v>
      </c>
      <c r="AI5">
        <f>Data!AU48</f>
        <v>1</v>
      </c>
      <c r="AJ5">
        <f>Data!AV48</f>
        <v>1</v>
      </c>
      <c r="AK5">
        <f>Data!AW48</f>
        <v>1</v>
      </c>
      <c r="AL5">
        <f>Data!AX48</f>
        <v>1</v>
      </c>
      <c r="AM5">
        <f>Data!AY48</f>
        <v>1</v>
      </c>
      <c r="AN5">
        <f>Data!AZ48</f>
        <v>1</v>
      </c>
      <c r="AO5">
        <f>Data!BA48</f>
        <v>1</v>
      </c>
      <c r="AP5">
        <f>Data!BB48</f>
        <v>1</v>
      </c>
      <c r="AQ5">
        <f>Data!BC48</f>
        <v>1</v>
      </c>
    </row>
    <row r="6" spans="1:43" x14ac:dyDescent="0.15">
      <c r="A6" t="s">
        <v>5</v>
      </c>
      <c r="B6" s="15">
        <f t="shared" si="0"/>
        <v>0</v>
      </c>
      <c r="C6">
        <f>Data!O49</f>
        <v>0</v>
      </c>
      <c r="D6">
        <f>Data!P49</f>
        <v>0</v>
      </c>
      <c r="E6">
        <f>Data!Q49</f>
        <v>0</v>
      </c>
      <c r="F6">
        <f>Data!R49</f>
        <v>0</v>
      </c>
      <c r="G6">
        <f>Data!S49</f>
        <v>0</v>
      </c>
      <c r="H6">
        <f>Data!T49</f>
        <v>0</v>
      </c>
      <c r="I6">
        <f>Data!U49</f>
        <v>0</v>
      </c>
      <c r="J6">
        <f>Data!V49</f>
        <v>0</v>
      </c>
      <c r="K6">
        <f>Data!W49</f>
        <v>0</v>
      </c>
      <c r="L6">
        <f>Data!X49</f>
        <v>0</v>
      </c>
      <c r="M6">
        <f>Data!Y49</f>
        <v>0</v>
      </c>
      <c r="N6">
        <f>Data!Z49</f>
        <v>0</v>
      </c>
      <c r="O6">
        <f>Data!AA49</f>
        <v>0</v>
      </c>
      <c r="P6">
        <f>Data!AB49</f>
        <v>0</v>
      </c>
      <c r="Q6">
        <f>Data!AC49</f>
        <v>0</v>
      </c>
      <c r="R6">
        <f>Data!AD49</f>
        <v>0</v>
      </c>
      <c r="S6">
        <f>Data!AE49</f>
        <v>0</v>
      </c>
      <c r="T6">
        <f>Data!AF49</f>
        <v>0</v>
      </c>
      <c r="U6">
        <f>Data!AG49</f>
        <v>0</v>
      </c>
      <c r="V6">
        <f>Data!AH49</f>
        <v>0</v>
      </c>
      <c r="W6">
        <f>Data!AI49</f>
        <v>0</v>
      </c>
      <c r="X6">
        <f>Data!AJ49</f>
        <v>0</v>
      </c>
      <c r="Y6">
        <f>Data!AK49</f>
        <v>0</v>
      </c>
      <c r="Z6">
        <f>Data!AL49</f>
        <v>0</v>
      </c>
      <c r="AA6">
        <f>Data!AM49</f>
        <v>0</v>
      </c>
      <c r="AB6">
        <f>Data!AN49</f>
        <v>0</v>
      </c>
      <c r="AC6">
        <f>Data!AO49</f>
        <v>0</v>
      </c>
      <c r="AD6">
        <f>Data!AP49</f>
        <v>0</v>
      </c>
      <c r="AE6">
        <f>Data!AQ49</f>
        <v>0</v>
      </c>
      <c r="AF6">
        <f>Data!AR49</f>
        <v>0</v>
      </c>
      <c r="AG6">
        <f>Data!AS49</f>
        <v>0</v>
      </c>
      <c r="AH6">
        <f>Data!AT49</f>
        <v>0</v>
      </c>
      <c r="AI6">
        <f>Data!AU49</f>
        <v>0</v>
      </c>
      <c r="AJ6">
        <f>Data!AV49</f>
        <v>0</v>
      </c>
      <c r="AK6">
        <f>Data!AW49</f>
        <v>0</v>
      </c>
      <c r="AL6">
        <f>Data!AX49</f>
        <v>0</v>
      </c>
      <c r="AM6">
        <f>Data!AY49</f>
        <v>0</v>
      </c>
      <c r="AN6">
        <f>Data!AZ49</f>
        <v>0</v>
      </c>
      <c r="AO6">
        <f>Data!BA49</f>
        <v>0</v>
      </c>
      <c r="AP6">
        <f>Data!BB49</f>
        <v>0</v>
      </c>
      <c r="AQ6">
        <f>Data!BC49</f>
        <v>0</v>
      </c>
    </row>
    <row r="7" spans="1:43" x14ac:dyDescent="0.15">
      <c r="A7" t="s">
        <v>125</v>
      </c>
      <c r="B7" s="15">
        <f t="shared" si="0"/>
        <v>0</v>
      </c>
      <c r="C7">
        <f>Data!O50</f>
        <v>0</v>
      </c>
      <c r="D7">
        <f>Data!P50</f>
        <v>0</v>
      </c>
      <c r="E7">
        <f>Data!Q50</f>
        <v>0</v>
      </c>
      <c r="F7">
        <f>Data!R50</f>
        <v>0</v>
      </c>
      <c r="G7">
        <f>Data!S50</f>
        <v>0</v>
      </c>
      <c r="H7">
        <f>Data!T50</f>
        <v>0</v>
      </c>
      <c r="I7">
        <f>Data!U50</f>
        <v>0</v>
      </c>
      <c r="J7">
        <f>Data!V50</f>
        <v>0</v>
      </c>
      <c r="K7">
        <f>Data!W50</f>
        <v>0</v>
      </c>
      <c r="L7">
        <f>Data!X50</f>
        <v>0</v>
      </c>
      <c r="M7">
        <f>Data!Y50</f>
        <v>0</v>
      </c>
      <c r="N7">
        <f>Data!Z50</f>
        <v>0</v>
      </c>
      <c r="O7">
        <f>Data!AA50</f>
        <v>0</v>
      </c>
      <c r="P7">
        <f>Data!AB50</f>
        <v>0</v>
      </c>
      <c r="Q7">
        <f>Data!AC50</f>
        <v>0</v>
      </c>
      <c r="R7">
        <f>Data!AD50</f>
        <v>0</v>
      </c>
      <c r="S7">
        <f>Data!AE50</f>
        <v>0</v>
      </c>
      <c r="T7">
        <f>Data!AF50</f>
        <v>0</v>
      </c>
      <c r="U7">
        <f>Data!AG50</f>
        <v>0</v>
      </c>
      <c r="V7">
        <f>Data!AH50</f>
        <v>0</v>
      </c>
      <c r="W7">
        <f>Data!AI50</f>
        <v>0</v>
      </c>
      <c r="X7">
        <f>Data!AJ50</f>
        <v>0</v>
      </c>
      <c r="Y7">
        <f>Data!AK50</f>
        <v>0</v>
      </c>
      <c r="Z7">
        <f>Data!AL50</f>
        <v>0</v>
      </c>
      <c r="AA7">
        <f>Data!AM50</f>
        <v>0</v>
      </c>
      <c r="AB7">
        <f>Data!AN50</f>
        <v>0</v>
      </c>
      <c r="AC7">
        <f>Data!AO50</f>
        <v>0</v>
      </c>
      <c r="AD7">
        <f>Data!AP50</f>
        <v>0</v>
      </c>
      <c r="AE7">
        <f>Data!AQ50</f>
        <v>0</v>
      </c>
      <c r="AF7">
        <f>Data!AR50</f>
        <v>0</v>
      </c>
      <c r="AG7">
        <f>Data!AS50</f>
        <v>0</v>
      </c>
      <c r="AH7">
        <f>Data!AT50</f>
        <v>0</v>
      </c>
      <c r="AI7">
        <f>Data!AU50</f>
        <v>0</v>
      </c>
      <c r="AJ7">
        <f>Data!AV50</f>
        <v>0</v>
      </c>
      <c r="AK7">
        <f>Data!AW50</f>
        <v>0</v>
      </c>
      <c r="AL7">
        <f>Data!AX50</f>
        <v>0</v>
      </c>
      <c r="AM7">
        <f>Data!AY50</f>
        <v>0</v>
      </c>
      <c r="AN7">
        <f>Data!AZ50</f>
        <v>0</v>
      </c>
      <c r="AO7">
        <f>Data!BA50</f>
        <v>0</v>
      </c>
      <c r="AP7">
        <f>Data!BB50</f>
        <v>0</v>
      </c>
      <c r="AQ7">
        <f>Data!BC50</f>
        <v>0</v>
      </c>
    </row>
    <row r="8" spans="1:43" x14ac:dyDescent="0.15">
      <c r="A8" t="s">
        <v>126</v>
      </c>
      <c r="B8" s="15">
        <f t="shared" si="0"/>
        <v>0</v>
      </c>
      <c r="C8">
        <f>Data!O51</f>
        <v>0</v>
      </c>
      <c r="D8">
        <f>Data!P51</f>
        <v>0</v>
      </c>
      <c r="E8">
        <f>Data!Q51</f>
        <v>0</v>
      </c>
      <c r="F8">
        <f>Data!R51</f>
        <v>0</v>
      </c>
      <c r="G8">
        <f>Data!S51</f>
        <v>0</v>
      </c>
      <c r="H8">
        <f>Data!T51</f>
        <v>0</v>
      </c>
      <c r="I8">
        <f>Data!U51</f>
        <v>0</v>
      </c>
      <c r="J8">
        <f>Data!V51</f>
        <v>0</v>
      </c>
      <c r="K8">
        <f>Data!W51</f>
        <v>0</v>
      </c>
      <c r="L8">
        <f>Data!X51</f>
        <v>0</v>
      </c>
      <c r="M8">
        <f>Data!Y51</f>
        <v>0</v>
      </c>
      <c r="N8">
        <f>Data!Z51</f>
        <v>0</v>
      </c>
      <c r="O8">
        <f>Data!AA51</f>
        <v>0</v>
      </c>
      <c r="P8">
        <f>Data!AB51</f>
        <v>0</v>
      </c>
      <c r="Q8">
        <f>Data!AC51</f>
        <v>0</v>
      </c>
      <c r="R8">
        <f>Data!AD51</f>
        <v>0</v>
      </c>
      <c r="S8">
        <f>Data!AE51</f>
        <v>0</v>
      </c>
      <c r="T8">
        <f>Data!AF51</f>
        <v>0</v>
      </c>
      <c r="U8">
        <f>Data!AG51</f>
        <v>0</v>
      </c>
      <c r="V8">
        <f>Data!AH51</f>
        <v>0</v>
      </c>
      <c r="W8">
        <f>Data!AI51</f>
        <v>0</v>
      </c>
      <c r="X8">
        <f>Data!AJ51</f>
        <v>0</v>
      </c>
      <c r="Y8">
        <f>Data!AK51</f>
        <v>0</v>
      </c>
      <c r="Z8">
        <f>Data!AL51</f>
        <v>0</v>
      </c>
      <c r="AA8">
        <f>Data!AM51</f>
        <v>0</v>
      </c>
      <c r="AB8">
        <f>Data!AN51</f>
        <v>0</v>
      </c>
      <c r="AC8">
        <f>Data!AO51</f>
        <v>0</v>
      </c>
      <c r="AD8">
        <f>Data!AP51</f>
        <v>0</v>
      </c>
      <c r="AE8">
        <f>Data!AQ51</f>
        <v>0</v>
      </c>
      <c r="AF8">
        <f>Data!AR51</f>
        <v>0</v>
      </c>
      <c r="AG8">
        <f>Data!AS51</f>
        <v>0</v>
      </c>
      <c r="AH8">
        <f>Data!AT51</f>
        <v>0</v>
      </c>
      <c r="AI8">
        <f>Data!AU51</f>
        <v>0</v>
      </c>
      <c r="AJ8">
        <f>Data!AV51</f>
        <v>0</v>
      </c>
      <c r="AK8">
        <f>Data!AW51</f>
        <v>0</v>
      </c>
      <c r="AL8">
        <f>Data!AX51</f>
        <v>0</v>
      </c>
      <c r="AM8">
        <f>Data!AY51</f>
        <v>0</v>
      </c>
      <c r="AN8">
        <f>Data!AZ51</f>
        <v>0</v>
      </c>
      <c r="AO8">
        <f>Data!BA51</f>
        <v>0</v>
      </c>
      <c r="AP8">
        <f>Data!BB51</f>
        <v>0</v>
      </c>
      <c r="AQ8">
        <f>Data!BC51</f>
        <v>0</v>
      </c>
    </row>
  </sheetData>
  <phoneticPr fontId="10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Q8"/>
  <sheetViews>
    <sheetView workbookViewId="0">
      <selection activeCell="B2" sqref="B2:AQ8"/>
    </sheetView>
  </sheetViews>
  <sheetFormatPr defaultColWidth="9.125" defaultRowHeight="12.9" x14ac:dyDescent="0.15"/>
  <cols>
    <col min="1" max="1" width="24.5" customWidth="1"/>
    <col min="2" max="2" width="12.125" customWidth="1"/>
  </cols>
  <sheetData>
    <row r="1" spans="1:43" ht="38.75" x14ac:dyDescent="0.15">
      <c r="A1" s="25" t="s">
        <v>128</v>
      </c>
      <c r="B1" s="35">
        <v>2019</v>
      </c>
      <c r="C1">
        <f>Data!O9</f>
        <v>2020</v>
      </c>
      <c r="D1">
        <f>Data!P9</f>
        <v>2021</v>
      </c>
      <c r="E1">
        <f>Data!Q9</f>
        <v>2022</v>
      </c>
      <c r="F1">
        <f>Data!R9</f>
        <v>2023</v>
      </c>
      <c r="G1">
        <f>Data!S9</f>
        <v>2024</v>
      </c>
      <c r="H1">
        <f>Data!T9</f>
        <v>2025</v>
      </c>
      <c r="I1">
        <f>Data!U9</f>
        <v>2026</v>
      </c>
      <c r="J1">
        <f>Data!V9</f>
        <v>2027</v>
      </c>
      <c r="K1">
        <f>Data!W9</f>
        <v>2028</v>
      </c>
      <c r="L1">
        <f>Data!X9</f>
        <v>2029</v>
      </c>
      <c r="M1">
        <f>Data!Y9</f>
        <v>2030</v>
      </c>
      <c r="N1">
        <f>Data!Z9</f>
        <v>2031</v>
      </c>
      <c r="O1">
        <f>Data!AA9</f>
        <v>2032</v>
      </c>
      <c r="P1">
        <f>Data!AB9</f>
        <v>2033</v>
      </c>
      <c r="Q1">
        <f>Data!AC9</f>
        <v>2034</v>
      </c>
      <c r="R1">
        <f>Data!AD9</f>
        <v>2035</v>
      </c>
      <c r="S1">
        <f>Data!AE9</f>
        <v>2036</v>
      </c>
      <c r="T1">
        <f>Data!AF9</f>
        <v>2037</v>
      </c>
      <c r="U1">
        <f>Data!AG9</f>
        <v>2038</v>
      </c>
      <c r="V1">
        <f>Data!AH9</f>
        <v>2039</v>
      </c>
      <c r="W1">
        <f>Data!AI9</f>
        <v>2040</v>
      </c>
      <c r="X1">
        <f>Data!AJ9</f>
        <v>2041</v>
      </c>
      <c r="Y1">
        <f>Data!AK9</f>
        <v>2042</v>
      </c>
      <c r="Z1">
        <f>Data!AL9</f>
        <v>2043</v>
      </c>
      <c r="AA1">
        <f>Data!AM9</f>
        <v>2044</v>
      </c>
      <c r="AB1">
        <f>Data!AN9</f>
        <v>2045</v>
      </c>
      <c r="AC1">
        <f>Data!AO9</f>
        <v>2046</v>
      </c>
      <c r="AD1">
        <f>Data!AP9</f>
        <v>2047</v>
      </c>
      <c r="AE1">
        <f>Data!AQ9</f>
        <v>2048</v>
      </c>
      <c r="AF1">
        <f>Data!AR9</f>
        <v>2049</v>
      </c>
      <c r="AG1">
        <f>Data!AS9</f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</v>
      </c>
      <c r="B2" s="15">
        <f>MAX(0,TREND(C2:E2,C$1:E$1,B$1))</f>
        <v>0.95742661499659965</v>
      </c>
      <c r="C2">
        <f>Data!O52</f>
        <v>0.95789473684109694</v>
      </c>
      <c r="D2">
        <f>Data!P52</f>
        <v>0.95873011813518338</v>
      </c>
      <c r="E2">
        <f>Data!Q52</f>
        <v>0.95901461025488655</v>
      </c>
      <c r="F2">
        <f>Data!R52</f>
        <v>0.95939247112629644</v>
      </c>
      <c r="G2">
        <f>Data!S52</f>
        <v>0.95989161571177917</v>
      </c>
      <c r="H2">
        <f>Data!T52</f>
        <v>0.96054624656987608</v>
      </c>
      <c r="I2">
        <f>Data!U52</f>
        <v>0.96139674511460915</v>
      </c>
      <c r="J2">
        <f>Data!V52</f>
        <v>0.96248828720733803</v>
      </c>
      <c r="K2">
        <f>Data!W52</f>
        <v>0.96386741325810266</v>
      </c>
      <c r="L2">
        <f>Data!X52</f>
        <v>0.96557581152786431</v>
      </c>
      <c r="M2">
        <f>Data!Y52</f>
        <v>0.96764106174663489</v>
      </c>
      <c r="N2">
        <f>Data!Z52</f>
        <v>0.97006528409928294</v>
      </c>
      <c r="O2">
        <f>Data!AA52</f>
        <v>0.97281447131615761</v>
      </c>
      <c r="P2">
        <f>Data!AB52</f>
        <v>0.97581294665998253</v>
      </c>
      <c r="Q2">
        <f>Data!AC52</f>
        <v>0.97894736842054852</v>
      </c>
      <c r="R2">
        <f>Data!AD52</f>
        <v>0.98208179018111441</v>
      </c>
      <c r="S2">
        <f>Data!AE52</f>
        <v>0.98508026552493932</v>
      </c>
      <c r="T2">
        <f>Data!AF52</f>
        <v>0.987829452741814</v>
      </c>
      <c r="U2">
        <f>Data!AG52</f>
        <v>0.99025367509446205</v>
      </c>
      <c r="V2">
        <f>Data!AH52</f>
        <v>0.99231892531323262</v>
      </c>
      <c r="W2">
        <f>Data!AI52</f>
        <v>0.99402732358299428</v>
      </c>
      <c r="X2">
        <f>Data!AJ52</f>
        <v>0.99540644963375891</v>
      </c>
      <c r="Y2">
        <f>Data!AK52</f>
        <v>0.99649799172648779</v>
      </c>
      <c r="Z2">
        <f>Data!AL52</f>
        <v>0.99734849027122086</v>
      </c>
      <c r="AA2">
        <f>Data!AM52</f>
        <v>0.99800312112931777</v>
      </c>
      <c r="AB2">
        <f>Data!AN52</f>
        <v>0.9985022657148005</v>
      </c>
      <c r="AC2">
        <f>Data!AO52</f>
        <v>0.99888012658621039</v>
      </c>
      <c r="AD2">
        <f>Data!AP52</f>
        <v>0.99916461870591355</v>
      </c>
      <c r="AE2">
        <f>Data!AQ52</f>
        <v>0.99937793550763676</v>
      </c>
      <c r="AF2">
        <f>Data!AR52</f>
        <v>0.99953739188922708</v>
      </c>
      <c r="AG2">
        <f>Data!AS52</f>
        <v>0.99965631279354294</v>
      </c>
      <c r="AH2">
        <f>Data!AT52</f>
        <v>0.99965631279354294</v>
      </c>
      <c r="AI2">
        <f>Data!AU52</f>
        <v>0.99965631279354294</v>
      </c>
      <c r="AJ2">
        <f>Data!AV52</f>
        <v>0.99965631279354294</v>
      </c>
      <c r="AK2">
        <f>Data!AW52</f>
        <v>0.99965631279354294</v>
      </c>
      <c r="AL2">
        <f>Data!AX52</f>
        <v>0.99965631279354294</v>
      </c>
      <c r="AM2">
        <f>Data!AY52</f>
        <v>0.99965631279354294</v>
      </c>
      <c r="AN2">
        <f>Data!AZ52</f>
        <v>0.99965631279354294</v>
      </c>
      <c r="AO2">
        <f>Data!BA52</f>
        <v>0.99965631279354294</v>
      </c>
      <c r="AP2">
        <f>Data!BB52</f>
        <v>0.99965631279354294</v>
      </c>
      <c r="AQ2">
        <f>Data!BC52</f>
        <v>0.99965631279354294</v>
      </c>
    </row>
    <row r="3" spans="1:43" x14ac:dyDescent="0.15">
      <c r="A3" t="s">
        <v>2</v>
      </c>
      <c r="B3" s="15">
        <f t="shared" ref="B3:B8" si="0">MAX(0,TREND(C3:E3,C$1:E$1,B$1))</f>
        <v>0</v>
      </c>
      <c r="C3">
        <f>Data!O53</f>
        <v>0</v>
      </c>
      <c r="D3">
        <f>Data!P53</f>
        <v>0</v>
      </c>
      <c r="E3">
        <f>Data!Q53</f>
        <v>0</v>
      </c>
      <c r="F3">
        <f>Data!R53</f>
        <v>0</v>
      </c>
      <c r="G3">
        <f>Data!S53</f>
        <v>0</v>
      </c>
      <c r="H3">
        <f>Data!T53</f>
        <v>0</v>
      </c>
      <c r="I3">
        <f>Data!U53</f>
        <v>0</v>
      </c>
      <c r="J3">
        <f>Data!V53</f>
        <v>0</v>
      </c>
      <c r="K3">
        <f>Data!W53</f>
        <v>0</v>
      </c>
      <c r="L3">
        <f>Data!X53</f>
        <v>0</v>
      </c>
      <c r="M3">
        <f>Data!Y53</f>
        <v>0</v>
      </c>
      <c r="N3">
        <f>Data!Z53</f>
        <v>0</v>
      </c>
      <c r="O3">
        <f>Data!AA53</f>
        <v>0</v>
      </c>
      <c r="P3">
        <f>Data!AB53</f>
        <v>0</v>
      </c>
      <c r="Q3">
        <f>Data!AC53</f>
        <v>0</v>
      </c>
      <c r="R3">
        <f>Data!AD53</f>
        <v>0</v>
      </c>
      <c r="S3">
        <f>Data!AE53</f>
        <v>0</v>
      </c>
      <c r="T3">
        <f>Data!AF53</f>
        <v>0</v>
      </c>
      <c r="U3">
        <f>Data!AG53</f>
        <v>0</v>
      </c>
      <c r="V3">
        <f>Data!AH53</f>
        <v>0</v>
      </c>
      <c r="W3">
        <f>Data!AI53</f>
        <v>0</v>
      </c>
      <c r="X3">
        <f>Data!AJ53</f>
        <v>0</v>
      </c>
      <c r="Y3">
        <f>Data!AK53</f>
        <v>0</v>
      </c>
      <c r="Z3">
        <f>Data!AL53</f>
        <v>0</v>
      </c>
      <c r="AA3">
        <f>Data!AM53</f>
        <v>0</v>
      </c>
      <c r="AB3">
        <f>Data!AN53</f>
        <v>0</v>
      </c>
      <c r="AC3">
        <f>Data!AO53</f>
        <v>0</v>
      </c>
      <c r="AD3">
        <f>Data!AP53</f>
        <v>0</v>
      </c>
      <c r="AE3">
        <f>Data!AQ53</f>
        <v>0</v>
      </c>
      <c r="AF3">
        <f>Data!AR53</f>
        <v>0</v>
      </c>
      <c r="AG3">
        <f>Data!AS53</f>
        <v>0</v>
      </c>
      <c r="AH3">
        <f>Data!AT53</f>
        <v>0</v>
      </c>
      <c r="AI3">
        <f>Data!AU53</f>
        <v>0</v>
      </c>
      <c r="AJ3">
        <f>Data!AV53</f>
        <v>0</v>
      </c>
      <c r="AK3">
        <f>Data!AW53</f>
        <v>0</v>
      </c>
      <c r="AL3">
        <f>Data!AX53</f>
        <v>0</v>
      </c>
      <c r="AM3">
        <f>Data!AY53</f>
        <v>0</v>
      </c>
      <c r="AN3">
        <f>Data!AZ53</f>
        <v>0</v>
      </c>
      <c r="AO3">
        <f>Data!BA53</f>
        <v>0</v>
      </c>
      <c r="AP3">
        <f>Data!BB53</f>
        <v>0</v>
      </c>
      <c r="AQ3">
        <f>Data!BC53</f>
        <v>0</v>
      </c>
    </row>
    <row r="4" spans="1:43" x14ac:dyDescent="0.15">
      <c r="A4" t="s">
        <v>3</v>
      </c>
      <c r="B4" s="15">
        <f t="shared" si="0"/>
        <v>0</v>
      </c>
      <c r="C4">
        <f>Data!O54</f>
        <v>0</v>
      </c>
      <c r="D4">
        <f>Data!P54</f>
        <v>0</v>
      </c>
      <c r="E4">
        <f>Data!Q54</f>
        <v>0</v>
      </c>
      <c r="F4">
        <f>Data!R54</f>
        <v>0</v>
      </c>
      <c r="G4">
        <f>Data!S54</f>
        <v>0</v>
      </c>
      <c r="H4">
        <f>Data!T54</f>
        <v>0</v>
      </c>
      <c r="I4">
        <f>Data!U54</f>
        <v>0</v>
      </c>
      <c r="J4">
        <f>Data!V54</f>
        <v>0</v>
      </c>
      <c r="K4">
        <f>Data!W54</f>
        <v>0</v>
      </c>
      <c r="L4">
        <f>Data!X54</f>
        <v>0</v>
      </c>
      <c r="M4">
        <f>Data!Y54</f>
        <v>0</v>
      </c>
      <c r="N4">
        <f>Data!Z54</f>
        <v>0</v>
      </c>
      <c r="O4">
        <f>Data!AA54</f>
        <v>0</v>
      </c>
      <c r="P4">
        <f>Data!AB54</f>
        <v>0</v>
      </c>
      <c r="Q4">
        <f>Data!AC54</f>
        <v>0</v>
      </c>
      <c r="R4">
        <f>Data!AD54</f>
        <v>0</v>
      </c>
      <c r="S4">
        <f>Data!AE54</f>
        <v>0</v>
      </c>
      <c r="T4">
        <f>Data!AF54</f>
        <v>0</v>
      </c>
      <c r="U4">
        <f>Data!AG54</f>
        <v>0</v>
      </c>
      <c r="V4">
        <f>Data!AH54</f>
        <v>0</v>
      </c>
      <c r="W4">
        <f>Data!AI54</f>
        <v>0</v>
      </c>
      <c r="X4">
        <f>Data!AJ54</f>
        <v>0</v>
      </c>
      <c r="Y4">
        <f>Data!AK54</f>
        <v>0</v>
      </c>
      <c r="Z4">
        <f>Data!AL54</f>
        <v>0</v>
      </c>
      <c r="AA4">
        <f>Data!AM54</f>
        <v>0</v>
      </c>
      <c r="AB4">
        <f>Data!AN54</f>
        <v>0</v>
      </c>
      <c r="AC4">
        <f>Data!AO54</f>
        <v>0</v>
      </c>
      <c r="AD4">
        <f>Data!AP54</f>
        <v>0</v>
      </c>
      <c r="AE4">
        <f>Data!AQ54</f>
        <v>0</v>
      </c>
      <c r="AF4">
        <f>Data!AR54</f>
        <v>0</v>
      </c>
      <c r="AG4">
        <f>Data!AS54</f>
        <v>0</v>
      </c>
      <c r="AH4">
        <f>Data!AT54</f>
        <v>0</v>
      </c>
      <c r="AI4">
        <f>Data!AU54</f>
        <v>0</v>
      </c>
      <c r="AJ4">
        <f>Data!AV54</f>
        <v>0</v>
      </c>
      <c r="AK4">
        <f>Data!AW54</f>
        <v>0</v>
      </c>
      <c r="AL4">
        <f>Data!AX54</f>
        <v>0</v>
      </c>
      <c r="AM4">
        <f>Data!AY54</f>
        <v>0</v>
      </c>
      <c r="AN4">
        <f>Data!AZ54</f>
        <v>0</v>
      </c>
      <c r="AO4">
        <f>Data!BA54</f>
        <v>0</v>
      </c>
      <c r="AP4">
        <f>Data!BB54</f>
        <v>0</v>
      </c>
      <c r="AQ4">
        <f>Data!BC54</f>
        <v>0</v>
      </c>
    </row>
    <row r="5" spans="1:43" x14ac:dyDescent="0.15">
      <c r="A5" t="s">
        <v>4</v>
      </c>
      <c r="B5" s="15">
        <f t="shared" si="0"/>
        <v>1.0175438597528341E-2</v>
      </c>
      <c r="C5">
        <f>Data!O55</f>
        <v>4.2105263158903061E-2</v>
      </c>
      <c r="D5">
        <f>Data!P55</f>
        <v>7.4035087720275783E-2</v>
      </c>
      <c r="E5">
        <f>Data!Q55</f>
        <v>0.1059649122816495</v>
      </c>
      <c r="F5">
        <f>Data!R55</f>
        <v>0.13789473684302322</v>
      </c>
      <c r="G5">
        <f>Data!S55</f>
        <v>0.16982456140438273</v>
      </c>
      <c r="H5">
        <f>Data!T55</f>
        <v>0.20175438596575646</v>
      </c>
      <c r="I5">
        <f>Data!U55</f>
        <v>0.23368421052713018</v>
      </c>
      <c r="J5">
        <f>Data!V55</f>
        <v>0.2656140350885039</v>
      </c>
      <c r="K5">
        <f>Data!W55</f>
        <v>0.29754385964986341</v>
      </c>
      <c r="L5">
        <f>Data!X55</f>
        <v>0.32947368421123713</v>
      </c>
      <c r="M5">
        <f>Data!Y55</f>
        <v>0.36140350877261085</v>
      </c>
      <c r="N5">
        <f>Data!Z55</f>
        <v>0.39333333333398457</v>
      </c>
      <c r="O5">
        <f>Data!AA55</f>
        <v>0.42526315789534408</v>
      </c>
      <c r="P5">
        <f>Data!AB55</f>
        <v>0.4571929824567178</v>
      </c>
      <c r="Q5">
        <f>Data!AC55</f>
        <v>0.48912280701809152</v>
      </c>
      <c r="R5">
        <f>Data!AD55</f>
        <v>0.52105263157945103</v>
      </c>
      <c r="S5">
        <f>Data!AE55</f>
        <v>0.55298245614082475</v>
      </c>
      <c r="T5">
        <f>Data!AF55</f>
        <v>0.58491228070219847</v>
      </c>
      <c r="U5">
        <f>Data!AG55</f>
        <v>0.61684210526357219</v>
      </c>
      <c r="V5">
        <f>Data!AH55</f>
        <v>0.6487719298249317</v>
      </c>
      <c r="W5">
        <f>Data!AI55</f>
        <v>0.68070175438630542</v>
      </c>
      <c r="X5">
        <f>Data!AJ55</f>
        <v>0.71263157894767915</v>
      </c>
      <c r="Y5">
        <f>Data!AK55</f>
        <v>0.74456140350905287</v>
      </c>
      <c r="Z5">
        <f>Data!AL55</f>
        <v>0.77649122807041238</v>
      </c>
      <c r="AA5">
        <f>Data!AM55</f>
        <v>0.8084210526317861</v>
      </c>
      <c r="AB5">
        <f>Data!AN55</f>
        <v>0.84035087719315982</v>
      </c>
      <c r="AC5">
        <f>Data!AO55</f>
        <v>0.87228070175453354</v>
      </c>
      <c r="AD5">
        <f>Data!AP55</f>
        <v>0.90421052631589305</v>
      </c>
      <c r="AE5">
        <f>Data!AQ55</f>
        <v>0.93614035087726677</v>
      </c>
      <c r="AF5">
        <f>Data!AR55</f>
        <v>0.96807017543864049</v>
      </c>
      <c r="AG5">
        <f>Data!AS55</f>
        <v>1</v>
      </c>
      <c r="AH5">
        <f>Data!AT55</f>
        <v>1</v>
      </c>
      <c r="AI5">
        <f>Data!AU55</f>
        <v>1</v>
      </c>
      <c r="AJ5">
        <f>Data!AV55</f>
        <v>1</v>
      </c>
      <c r="AK5">
        <f>Data!AW55</f>
        <v>1</v>
      </c>
      <c r="AL5">
        <f>Data!AX55</f>
        <v>1</v>
      </c>
      <c r="AM5">
        <f>Data!AY55</f>
        <v>1</v>
      </c>
      <c r="AN5">
        <f>Data!AZ55</f>
        <v>1</v>
      </c>
      <c r="AO5">
        <f>Data!BA55</f>
        <v>1</v>
      </c>
      <c r="AP5">
        <f>Data!BB55</f>
        <v>1</v>
      </c>
      <c r="AQ5">
        <f>Data!BC55</f>
        <v>1</v>
      </c>
    </row>
    <row r="6" spans="1:43" x14ac:dyDescent="0.15">
      <c r="A6" t="s">
        <v>5</v>
      </c>
      <c r="B6" s="15">
        <f t="shared" si="0"/>
        <v>0</v>
      </c>
      <c r="C6">
        <f>Data!O56</f>
        <v>0</v>
      </c>
      <c r="D6">
        <f>Data!P56</f>
        <v>0</v>
      </c>
      <c r="E6">
        <f>Data!Q56</f>
        <v>0</v>
      </c>
      <c r="F6">
        <f>Data!R56</f>
        <v>0</v>
      </c>
      <c r="G6">
        <f>Data!S56</f>
        <v>0</v>
      </c>
      <c r="H6">
        <f>Data!T56</f>
        <v>0</v>
      </c>
      <c r="I6">
        <f>Data!U56</f>
        <v>0</v>
      </c>
      <c r="J6">
        <f>Data!V56</f>
        <v>0</v>
      </c>
      <c r="K6">
        <f>Data!W56</f>
        <v>0</v>
      </c>
      <c r="L6">
        <f>Data!X56</f>
        <v>0</v>
      </c>
      <c r="M6">
        <f>Data!Y56</f>
        <v>0</v>
      </c>
      <c r="N6">
        <f>Data!Z56</f>
        <v>0</v>
      </c>
      <c r="O6">
        <f>Data!AA56</f>
        <v>0</v>
      </c>
      <c r="P6">
        <f>Data!AB56</f>
        <v>0</v>
      </c>
      <c r="Q6">
        <f>Data!AC56</f>
        <v>0</v>
      </c>
      <c r="R6">
        <f>Data!AD56</f>
        <v>0</v>
      </c>
      <c r="S6">
        <f>Data!AE56</f>
        <v>0</v>
      </c>
      <c r="T6">
        <f>Data!AF56</f>
        <v>0</v>
      </c>
      <c r="U6">
        <f>Data!AG56</f>
        <v>0</v>
      </c>
      <c r="V6">
        <f>Data!AH56</f>
        <v>0</v>
      </c>
      <c r="W6">
        <f>Data!AI56</f>
        <v>0</v>
      </c>
      <c r="X6">
        <f>Data!AJ56</f>
        <v>0</v>
      </c>
      <c r="Y6">
        <f>Data!AK56</f>
        <v>0</v>
      </c>
      <c r="Z6">
        <f>Data!AL56</f>
        <v>0</v>
      </c>
      <c r="AA6">
        <f>Data!AM56</f>
        <v>0</v>
      </c>
      <c r="AB6">
        <f>Data!AN56</f>
        <v>0</v>
      </c>
      <c r="AC6">
        <f>Data!AO56</f>
        <v>0</v>
      </c>
      <c r="AD6">
        <f>Data!AP56</f>
        <v>0</v>
      </c>
      <c r="AE6">
        <f>Data!AQ56</f>
        <v>0</v>
      </c>
      <c r="AF6">
        <f>Data!AR56</f>
        <v>0</v>
      </c>
      <c r="AG6">
        <f>Data!AS56</f>
        <v>0</v>
      </c>
      <c r="AH6">
        <f>Data!AT56</f>
        <v>0</v>
      </c>
      <c r="AI6">
        <f>Data!AU56</f>
        <v>0</v>
      </c>
      <c r="AJ6">
        <f>Data!AV56</f>
        <v>0</v>
      </c>
      <c r="AK6">
        <f>Data!AW56</f>
        <v>0</v>
      </c>
      <c r="AL6">
        <f>Data!AX56</f>
        <v>0</v>
      </c>
      <c r="AM6">
        <f>Data!AY56</f>
        <v>0</v>
      </c>
      <c r="AN6">
        <f>Data!AZ56</f>
        <v>0</v>
      </c>
      <c r="AO6">
        <f>Data!BA56</f>
        <v>0</v>
      </c>
      <c r="AP6">
        <f>Data!BB56</f>
        <v>0</v>
      </c>
      <c r="AQ6">
        <f>Data!BC56</f>
        <v>0</v>
      </c>
    </row>
    <row r="7" spans="1:43" x14ac:dyDescent="0.15">
      <c r="A7" t="s">
        <v>125</v>
      </c>
      <c r="B7" s="15">
        <f t="shared" si="0"/>
        <v>0</v>
      </c>
      <c r="C7">
        <f>Data!O57</f>
        <v>0</v>
      </c>
      <c r="D7">
        <f>Data!P57</f>
        <v>0</v>
      </c>
      <c r="E7">
        <f>Data!Q57</f>
        <v>0</v>
      </c>
      <c r="F7">
        <f>Data!R57</f>
        <v>0</v>
      </c>
      <c r="G7">
        <f>Data!S57</f>
        <v>0</v>
      </c>
      <c r="H7">
        <f>Data!T57</f>
        <v>0</v>
      </c>
      <c r="I7">
        <f>Data!U57</f>
        <v>0</v>
      </c>
      <c r="J7">
        <f>Data!V57</f>
        <v>0</v>
      </c>
      <c r="K7">
        <f>Data!W57</f>
        <v>0</v>
      </c>
      <c r="L7">
        <f>Data!X57</f>
        <v>0</v>
      </c>
      <c r="M7">
        <f>Data!Y57</f>
        <v>0</v>
      </c>
      <c r="N7">
        <f>Data!Z57</f>
        <v>0</v>
      </c>
      <c r="O7">
        <f>Data!AA57</f>
        <v>0</v>
      </c>
      <c r="P7">
        <f>Data!AB57</f>
        <v>0</v>
      </c>
      <c r="Q7">
        <f>Data!AC57</f>
        <v>0</v>
      </c>
      <c r="R7">
        <f>Data!AD57</f>
        <v>0</v>
      </c>
      <c r="S7">
        <f>Data!AE57</f>
        <v>0</v>
      </c>
      <c r="T7">
        <f>Data!AF57</f>
        <v>0</v>
      </c>
      <c r="U7">
        <f>Data!AG57</f>
        <v>0</v>
      </c>
      <c r="V7">
        <f>Data!AH57</f>
        <v>0</v>
      </c>
      <c r="W7">
        <f>Data!AI57</f>
        <v>0</v>
      </c>
      <c r="X7">
        <f>Data!AJ57</f>
        <v>0</v>
      </c>
      <c r="Y7">
        <f>Data!AK57</f>
        <v>0</v>
      </c>
      <c r="Z7">
        <f>Data!AL57</f>
        <v>0</v>
      </c>
      <c r="AA7">
        <f>Data!AM57</f>
        <v>0</v>
      </c>
      <c r="AB7">
        <f>Data!AN57</f>
        <v>0</v>
      </c>
      <c r="AC7">
        <f>Data!AO57</f>
        <v>0</v>
      </c>
      <c r="AD7">
        <f>Data!AP57</f>
        <v>0</v>
      </c>
      <c r="AE7">
        <f>Data!AQ57</f>
        <v>0</v>
      </c>
      <c r="AF7">
        <f>Data!AR57</f>
        <v>0</v>
      </c>
      <c r="AG7">
        <f>Data!AS57</f>
        <v>0</v>
      </c>
      <c r="AH7">
        <f>Data!AT57</f>
        <v>0</v>
      </c>
      <c r="AI7">
        <f>Data!AU57</f>
        <v>0</v>
      </c>
      <c r="AJ7">
        <f>Data!AV57</f>
        <v>0</v>
      </c>
      <c r="AK7">
        <f>Data!AW57</f>
        <v>0</v>
      </c>
      <c r="AL7">
        <f>Data!AX57</f>
        <v>0</v>
      </c>
      <c r="AM7">
        <f>Data!AY57</f>
        <v>0</v>
      </c>
      <c r="AN7">
        <f>Data!AZ57</f>
        <v>0</v>
      </c>
      <c r="AO7">
        <f>Data!BA57</f>
        <v>0</v>
      </c>
      <c r="AP7">
        <f>Data!BB57</f>
        <v>0</v>
      </c>
      <c r="AQ7">
        <f>Data!BC57</f>
        <v>0</v>
      </c>
    </row>
    <row r="8" spans="1:43" x14ac:dyDescent="0.15">
      <c r="A8" t="s">
        <v>126</v>
      </c>
      <c r="B8" s="15">
        <f t="shared" si="0"/>
        <v>0</v>
      </c>
      <c r="C8">
        <f>Data!O58</f>
        <v>0</v>
      </c>
      <c r="D8">
        <f>Data!P58</f>
        <v>0</v>
      </c>
      <c r="E8">
        <f>Data!Q58</f>
        <v>0</v>
      </c>
      <c r="F8">
        <f>Data!R58</f>
        <v>0</v>
      </c>
      <c r="G8">
        <f>Data!S58</f>
        <v>0</v>
      </c>
      <c r="H8">
        <f>Data!T58</f>
        <v>0</v>
      </c>
      <c r="I8">
        <f>Data!U58</f>
        <v>0</v>
      </c>
      <c r="J8">
        <f>Data!V58</f>
        <v>0</v>
      </c>
      <c r="K8">
        <f>Data!W58</f>
        <v>0</v>
      </c>
      <c r="L8">
        <f>Data!X58</f>
        <v>0</v>
      </c>
      <c r="M8">
        <f>Data!Y58</f>
        <v>0</v>
      </c>
      <c r="N8">
        <f>Data!Z58</f>
        <v>0</v>
      </c>
      <c r="O8">
        <f>Data!AA58</f>
        <v>0</v>
      </c>
      <c r="P8">
        <f>Data!AB58</f>
        <v>0</v>
      </c>
      <c r="Q8">
        <f>Data!AC58</f>
        <v>0</v>
      </c>
      <c r="R8">
        <f>Data!AD58</f>
        <v>0</v>
      </c>
      <c r="S8">
        <f>Data!AE58</f>
        <v>0</v>
      </c>
      <c r="T8">
        <f>Data!AF58</f>
        <v>0</v>
      </c>
      <c r="U8">
        <f>Data!AG58</f>
        <v>0</v>
      </c>
      <c r="V8">
        <f>Data!AH58</f>
        <v>0</v>
      </c>
      <c r="W8">
        <f>Data!AI58</f>
        <v>0</v>
      </c>
      <c r="X8">
        <f>Data!AJ58</f>
        <v>0</v>
      </c>
      <c r="Y8">
        <f>Data!AK58</f>
        <v>0</v>
      </c>
      <c r="Z8">
        <f>Data!AL58</f>
        <v>0</v>
      </c>
      <c r="AA8">
        <f>Data!AM58</f>
        <v>0</v>
      </c>
      <c r="AB8">
        <f>Data!AN58</f>
        <v>0</v>
      </c>
      <c r="AC8">
        <f>Data!AO58</f>
        <v>0</v>
      </c>
      <c r="AD8">
        <f>Data!AP58</f>
        <v>0</v>
      </c>
      <c r="AE8">
        <f>Data!AQ58</f>
        <v>0</v>
      </c>
      <c r="AF8">
        <f>Data!AR58</f>
        <v>0</v>
      </c>
      <c r="AG8">
        <f>Data!AS58</f>
        <v>0</v>
      </c>
      <c r="AH8">
        <f>Data!AT58</f>
        <v>0</v>
      </c>
      <c r="AI8">
        <f>Data!AU58</f>
        <v>0</v>
      </c>
      <c r="AJ8">
        <f>Data!AV58</f>
        <v>0</v>
      </c>
      <c r="AK8">
        <f>Data!AW58</f>
        <v>0</v>
      </c>
      <c r="AL8">
        <f>Data!AX58</f>
        <v>0</v>
      </c>
      <c r="AM8">
        <f>Data!AY58</f>
        <v>0</v>
      </c>
      <c r="AN8">
        <f>Data!AZ58</f>
        <v>0</v>
      </c>
      <c r="AO8">
        <f>Data!BA58</f>
        <v>0</v>
      </c>
      <c r="AP8">
        <f>Data!BB58</f>
        <v>0</v>
      </c>
      <c r="AQ8">
        <f>Data!BC58</f>
        <v>0</v>
      </c>
    </row>
  </sheetData>
  <phoneticPr fontId="10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Q8"/>
  <sheetViews>
    <sheetView topLeftCell="Q1" workbookViewId="0">
      <selection activeCell="B2" sqref="B2:AQ8"/>
    </sheetView>
  </sheetViews>
  <sheetFormatPr defaultColWidth="9.125" defaultRowHeight="12.9" x14ac:dyDescent="0.15"/>
  <cols>
    <col min="1" max="1" width="24.5" customWidth="1"/>
    <col min="2" max="2" width="12.125" customWidth="1"/>
  </cols>
  <sheetData>
    <row r="1" spans="1:43" ht="38.75" x14ac:dyDescent="0.15">
      <c r="A1" s="25" t="s">
        <v>128</v>
      </c>
      <c r="B1" s="35">
        <v>2019</v>
      </c>
      <c r="C1">
        <f>Data!O9</f>
        <v>2020</v>
      </c>
      <c r="D1">
        <f>Data!P9</f>
        <v>2021</v>
      </c>
      <c r="E1">
        <f>Data!Q9</f>
        <v>2022</v>
      </c>
      <c r="F1">
        <f>Data!R9</f>
        <v>2023</v>
      </c>
      <c r="G1">
        <f>Data!S9</f>
        <v>2024</v>
      </c>
      <c r="H1">
        <f>Data!T9</f>
        <v>2025</v>
      </c>
      <c r="I1">
        <f>Data!U9</f>
        <v>2026</v>
      </c>
      <c r="J1">
        <f>Data!V9</f>
        <v>2027</v>
      </c>
      <c r="K1">
        <f>Data!W9</f>
        <v>2028</v>
      </c>
      <c r="L1">
        <f>Data!X9</f>
        <v>2029</v>
      </c>
      <c r="M1">
        <f>Data!Y9</f>
        <v>2030</v>
      </c>
      <c r="N1">
        <f>Data!Z9</f>
        <v>2031</v>
      </c>
      <c r="O1">
        <f>Data!AA9</f>
        <v>2032</v>
      </c>
      <c r="P1">
        <f>Data!AB9</f>
        <v>2033</v>
      </c>
      <c r="Q1">
        <f>Data!AC9</f>
        <v>2034</v>
      </c>
      <c r="R1">
        <f>Data!AD9</f>
        <v>2035</v>
      </c>
      <c r="S1">
        <f>Data!AE9</f>
        <v>2036</v>
      </c>
      <c r="T1">
        <f>Data!AF9</f>
        <v>2037</v>
      </c>
      <c r="U1">
        <f>Data!AG9</f>
        <v>2038</v>
      </c>
      <c r="V1">
        <f>Data!AH9</f>
        <v>2039</v>
      </c>
      <c r="W1">
        <f>Data!AI9</f>
        <v>2040</v>
      </c>
      <c r="X1">
        <f>Data!AJ9</f>
        <v>2041</v>
      </c>
      <c r="Y1">
        <f>Data!AK9</f>
        <v>2042</v>
      </c>
      <c r="Z1">
        <f>Data!AL9</f>
        <v>2043</v>
      </c>
      <c r="AA1">
        <f>Data!AM9</f>
        <v>2044</v>
      </c>
      <c r="AB1">
        <f>Data!AN9</f>
        <v>2045</v>
      </c>
      <c r="AC1">
        <f>Data!AO9</f>
        <v>2046</v>
      </c>
      <c r="AD1">
        <f>Data!AP9</f>
        <v>2047</v>
      </c>
      <c r="AE1">
        <f>Data!AQ9</f>
        <v>2048</v>
      </c>
      <c r="AF1">
        <f>Data!AR9</f>
        <v>2049</v>
      </c>
      <c r="AG1">
        <f>Data!AS9</f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</v>
      </c>
      <c r="B2" s="15">
        <f>MAX(0,TREND(C2:E2,C$1:E$1,B$1))</f>
        <v>0</v>
      </c>
      <c r="C2">
        <f>Data!O59</f>
        <v>0</v>
      </c>
      <c r="D2">
        <f>Data!P59</f>
        <v>0</v>
      </c>
      <c r="E2">
        <f>Data!Q59</f>
        <v>0</v>
      </c>
      <c r="F2">
        <f>Data!R59</f>
        <v>0</v>
      </c>
      <c r="G2">
        <f>Data!S59</f>
        <v>0</v>
      </c>
      <c r="H2">
        <f>Data!T59</f>
        <v>0</v>
      </c>
      <c r="I2">
        <f>Data!U59</f>
        <v>0</v>
      </c>
      <c r="J2">
        <f>Data!V59</f>
        <v>0</v>
      </c>
      <c r="K2">
        <f>Data!W59</f>
        <v>0</v>
      </c>
      <c r="L2">
        <f>Data!X59</f>
        <v>0</v>
      </c>
      <c r="M2">
        <f>Data!Y59</f>
        <v>0</v>
      </c>
      <c r="N2">
        <f>Data!Z59</f>
        <v>0</v>
      </c>
      <c r="O2">
        <f>Data!AA59</f>
        <v>0</v>
      </c>
      <c r="P2">
        <f>Data!AB59</f>
        <v>0</v>
      </c>
      <c r="Q2">
        <f>Data!AC59</f>
        <v>0</v>
      </c>
      <c r="R2">
        <f>Data!AD59</f>
        <v>0</v>
      </c>
      <c r="S2">
        <f>Data!AE59</f>
        <v>0</v>
      </c>
      <c r="T2">
        <f>Data!AF59</f>
        <v>0</v>
      </c>
      <c r="U2">
        <f>Data!AG59</f>
        <v>0</v>
      </c>
      <c r="V2">
        <f>Data!AH59</f>
        <v>0</v>
      </c>
      <c r="W2">
        <f>Data!AI59</f>
        <v>0</v>
      </c>
      <c r="X2">
        <f>Data!AJ59</f>
        <v>0</v>
      </c>
      <c r="Y2">
        <f>Data!AK59</f>
        <v>0</v>
      </c>
      <c r="Z2">
        <f>Data!AL59</f>
        <v>0</v>
      </c>
      <c r="AA2">
        <f>Data!AM59</f>
        <v>0</v>
      </c>
      <c r="AB2">
        <f>Data!AN59</f>
        <v>0</v>
      </c>
      <c r="AC2">
        <f>Data!AO59</f>
        <v>0</v>
      </c>
      <c r="AD2">
        <f>Data!AP59</f>
        <v>0</v>
      </c>
      <c r="AE2">
        <f>Data!AQ59</f>
        <v>0</v>
      </c>
      <c r="AF2">
        <f>Data!AR59</f>
        <v>0</v>
      </c>
      <c r="AG2">
        <f>Data!AS59</f>
        <v>0</v>
      </c>
      <c r="AH2">
        <f>Data!AT59</f>
        <v>0</v>
      </c>
      <c r="AI2">
        <f>Data!AU59</f>
        <v>0</v>
      </c>
      <c r="AJ2">
        <f>Data!AV59</f>
        <v>0</v>
      </c>
      <c r="AK2">
        <f>Data!AW59</f>
        <v>0</v>
      </c>
      <c r="AL2">
        <f>Data!AX59</f>
        <v>0</v>
      </c>
      <c r="AM2">
        <f>Data!AY59</f>
        <v>0</v>
      </c>
      <c r="AN2">
        <f>Data!AZ59</f>
        <v>0</v>
      </c>
      <c r="AO2">
        <f>Data!BA59</f>
        <v>0</v>
      </c>
      <c r="AP2">
        <f>Data!BB59</f>
        <v>0</v>
      </c>
      <c r="AQ2">
        <f>Data!BC59</f>
        <v>0</v>
      </c>
    </row>
    <row r="3" spans="1:43" x14ac:dyDescent="0.15">
      <c r="A3" t="s">
        <v>2</v>
      </c>
      <c r="B3" s="15">
        <f t="shared" ref="B3:B8" si="0">MAX(0,TREND(C3:E3,C$1:E$1,B$1))</f>
        <v>0</v>
      </c>
      <c r="C3">
        <f>Data!O60</f>
        <v>0</v>
      </c>
      <c r="D3">
        <f>Data!P60</f>
        <v>0</v>
      </c>
      <c r="E3">
        <f>Data!Q60</f>
        <v>0</v>
      </c>
      <c r="F3">
        <f>Data!R60</f>
        <v>0</v>
      </c>
      <c r="G3">
        <f>Data!S60</f>
        <v>0</v>
      </c>
      <c r="H3">
        <f>Data!T60</f>
        <v>0</v>
      </c>
      <c r="I3">
        <f>Data!U60</f>
        <v>0</v>
      </c>
      <c r="J3">
        <f>Data!V60</f>
        <v>0</v>
      </c>
      <c r="K3">
        <f>Data!W60</f>
        <v>0</v>
      </c>
      <c r="L3">
        <f>Data!X60</f>
        <v>0</v>
      </c>
      <c r="M3">
        <f>Data!Y60</f>
        <v>0</v>
      </c>
      <c r="N3">
        <f>Data!Z60</f>
        <v>0</v>
      </c>
      <c r="O3">
        <f>Data!AA60</f>
        <v>0</v>
      </c>
      <c r="P3">
        <f>Data!AB60</f>
        <v>0</v>
      </c>
      <c r="Q3">
        <f>Data!AC60</f>
        <v>0</v>
      </c>
      <c r="R3">
        <f>Data!AD60</f>
        <v>0</v>
      </c>
      <c r="S3">
        <f>Data!AE60</f>
        <v>0</v>
      </c>
      <c r="T3">
        <f>Data!AF60</f>
        <v>0</v>
      </c>
      <c r="U3">
        <f>Data!AG60</f>
        <v>0</v>
      </c>
      <c r="V3">
        <f>Data!AH60</f>
        <v>0</v>
      </c>
      <c r="W3">
        <f>Data!AI60</f>
        <v>0</v>
      </c>
      <c r="X3">
        <f>Data!AJ60</f>
        <v>0</v>
      </c>
      <c r="Y3">
        <f>Data!AK60</f>
        <v>0</v>
      </c>
      <c r="Z3">
        <f>Data!AL60</f>
        <v>0</v>
      </c>
      <c r="AA3">
        <f>Data!AM60</f>
        <v>0</v>
      </c>
      <c r="AB3">
        <f>Data!AN60</f>
        <v>0</v>
      </c>
      <c r="AC3">
        <f>Data!AO60</f>
        <v>0</v>
      </c>
      <c r="AD3">
        <f>Data!AP60</f>
        <v>0</v>
      </c>
      <c r="AE3">
        <f>Data!AQ60</f>
        <v>0</v>
      </c>
      <c r="AF3">
        <f>Data!AR60</f>
        <v>0</v>
      </c>
      <c r="AG3">
        <f>Data!AS60</f>
        <v>0</v>
      </c>
      <c r="AH3">
        <f>Data!AT60</f>
        <v>0</v>
      </c>
      <c r="AI3">
        <f>Data!AU60</f>
        <v>0</v>
      </c>
      <c r="AJ3">
        <f>Data!AV60</f>
        <v>0</v>
      </c>
      <c r="AK3">
        <f>Data!AW60</f>
        <v>0</v>
      </c>
      <c r="AL3">
        <f>Data!AX60</f>
        <v>0</v>
      </c>
      <c r="AM3">
        <f>Data!AY60</f>
        <v>0</v>
      </c>
      <c r="AN3">
        <f>Data!AZ60</f>
        <v>0</v>
      </c>
      <c r="AO3">
        <f>Data!BA60</f>
        <v>0</v>
      </c>
      <c r="AP3">
        <f>Data!BB60</f>
        <v>0</v>
      </c>
      <c r="AQ3">
        <f>Data!BC60</f>
        <v>0</v>
      </c>
    </row>
    <row r="4" spans="1:43" x14ac:dyDescent="0.15">
      <c r="A4" t="s">
        <v>3</v>
      </c>
      <c r="B4" s="15">
        <f t="shared" si="0"/>
        <v>0</v>
      </c>
      <c r="C4">
        <f>Data!O61</f>
        <v>0</v>
      </c>
      <c r="D4">
        <f>Data!P61</f>
        <v>0</v>
      </c>
      <c r="E4">
        <f>Data!Q61</f>
        <v>0</v>
      </c>
      <c r="F4">
        <f>Data!R61</f>
        <v>0</v>
      </c>
      <c r="G4">
        <f>Data!S61</f>
        <v>0</v>
      </c>
      <c r="H4">
        <f>Data!T61</f>
        <v>0</v>
      </c>
      <c r="I4">
        <f>Data!U61</f>
        <v>0</v>
      </c>
      <c r="J4">
        <f>Data!V61</f>
        <v>0</v>
      </c>
      <c r="K4">
        <f>Data!W61</f>
        <v>0</v>
      </c>
      <c r="L4">
        <f>Data!X61</f>
        <v>0</v>
      </c>
      <c r="M4">
        <f>Data!Y61</f>
        <v>0</v>
      </c>
      <c r="N4">
        <f>Data!Z61</f>
        <v>0</v>
      </c>
      <c r="O4">
        <f>Data!AA61</f>
        <v>0</v>
      </c>
      <c r="P4">
        <f>Data!AB61</f>
        <v>0</v>
      </c>
      <c r="Q4">
        <f>Data!AC61</f>
        <v>0</v>
      </c>
      <c r="R4">
        <f>Data!AD61</f>
        <v>0</v>
      </c>
      <c r="S4">
        <f>Data!AE61</f>
        <v>0</v>
      </c>
      <c r="T4">
        <f>Data!AF61</f>
        <v>0</v>
      </c>
      <c r="U4">
        <f>Data!AG61</f>
        <v>0</v>
      </c>
      <c r="V4">
        <f>Data!AH61</f>
        <v>0</v>
      </c>
      <c r="W4">
        <f>Data!AI61</f>
        <v>0</v>
      </c>
      <c r="X4">
        <f>Data!AJ61</f>
        <v>0</v>
      </c>
      <c r="Y4">
        <f>Data!AK61</f>
        <v>0</v>
      </c>
      <c r="Z4">
        <f>Data!AL61</f>
        <v>0</v>
      </c>
      <c r="AA4">
        <f>Data!AM61</f>
        <v>0</v>
      </c>
      <c r="AB4">
        <f>Data!AN61</f>
        <v>0</v>
      </c>
      <c r="AC4">
        <f>Data!AO61</f>
        <v>0</v>
      </c>
      <c r="AD4">
        <f>Data!AP61</f>
        <v>0</v>
      </c>
      <c r="AE4">
        <f>Data!AQ61</f>
        <v>0</v>
      </c>
      <c r="AF4">
        <f>Data!AR61</f>
        <v>0</v>
      </c>
      <c r="AG4">
        <f>Data!AS61</f>
        <v>0</v>
      </c>
      <c r="AH4">
        <f>Data!AT61</f>
        <v>0</v>
      </c>
      <c r="AI4">
        <f>Data!AU61</f>
        <v>0</v>
      </c>
      <c r="AJ4">
        <f>Data!AV61</f>
        <v>0</v>
      </c>
      <c r="AK4">
        <f>Data!AW61</f>
        <v>0</v>
      </c>
      <c r="AL4">
        <f>Data!AX61</f>
        <v>0</v>
      </c>
      <c r="AM4">
        <f>Data!AY61</f>
        <v>0</v>
      </c>
      <c r="AN4">
        <f>Data!AZ61</f>
        <v>0</v>
      </c>
      <c r="AO4">
        <f>Data!BA61</f>
        <v>0</v>
      </c>
      <c r="AP4">
        <f>Data!BB61</f>
        <v>0</v>
      </c>
      <c r="AQ4">
        <f>Data!BC61</f>
        <v>0</v>
      </c>
    </row>
    <row r="5" spans="1:43" x14ac:dyDescent="0.15">
      <c r="A5" t="s">
        <v>4</v>
      </c>
      <c r="B5" s="15">
        <f t="shared" si="0"/>
        <v>1</v>
      </c>
      <c r="C5">
        <f>Data!O62</f>
        <v>1</v>
      </c>
      <c r="D5">
        <f>Data!P62</f>
        <v>1</v>
      </c>
      <c r="E5">
        <f>Data!Q62</f>
        <v>1</v>
      </c>
      <c r="F5">
        <f>Data!R62</f>
        <v>1</v>
      </c>
      <c r="G5">
        <f>Data!S62</f>
        <v>1</v>
      </c>
      <c r="H5">
        <f>Data!T62</f>
        <v>1</v>
      </c>
      <c r="I5">
        <f>Data!U62</f>
        <v>1</v>
      </c>
      <c r="J5">
        <f>Data!V62</f>
        <v>1</v>
      </c>
      <c r="K5">
        <f>Data!W62</f>
        <v>1</v>
      </c>
      <c r="L5">
        <f>Data!X62</f>
        <v>1</v>
      </c>
      <c r="M5">
        <f>Data!Y62</f>
        <v>1</v>
      </c>
      <c r="N5">
        <f>Data!Z62</f>
        <v>1</v>
      </c>
      <c r="O5">
        <f>Data!AA62</f>
        <v>1</v>
      </c>
      <c r="P5">
        <f>Data!AB62</f>
        <v>1</v>
      </c>
      <c r="Q5">
        <f>Data!AC62</f>
        <v>1</v>
      </c>
      <c r="R5">
        <f>Data!AD62</f>
        <v>1</v>
      </c>
      <c r="S5">
        <f>Data!AE62</f>
        <v>1</v>
      </c>
      <c r="T5">
        <f>Data!AF62</f>
        <v>1</v>
      </c>
      <c r="U5">
        <f>Data!AG62</f>
        <v>1</v>
      </c>
      <c r="V5">
        <f>Data!AH62</f>
        <v>1</v>
      </c>
      <c r="W5">
        <f>Data!AI62</f>
        <v>1</v>
      </c>
      <c r="X5">
        <f>Data!AJ62</f>
        <v>1</v>
      </c>
      <c r="Y5">
        <f>Data!AK62</f>
        <v>1</v>
      </c>
      <c r="Z5">
        <f>Data!AL62</f>
        <v>1</v>
      </c>
      <c r="AA5">
        <f>Data!AM62</f>
        <v>1</v>
      </c>
      <c r="AB5">
        <f>Data!AN62</f>
        <v>1</v>
      </c>
      <c r="AC5">
        <f>Data!AO62</f>
        <v>1</v>
      </c>
      <c r="AD5">
        <f>Data!AP62</f>
        <v>1</v>
      </c>
      <c r="AE5">
        <f>Data!AQ62</f>
        <v>1</v>
      </c>
      <c r="AF5">
        <f>Data!AR62</f>
        <v>1</v>
      </c>
      <c r="AG5">
        <f>Data!AS62</f>
        <v>1</v>
      </c>
      <c r="AH5">
        <f>Data!AT62</f>
        <v>1</v>
      </c>
      <c r="AI5">
        <f>Data!AU62</f>
        <v>1</v>
      </c>
      <c r="AJ5">
        <f>Data!AV62</f>
        <v>1</v>
      </c>
      <c r="AK5">
        <f>Data!AW62</f>
        <v>1</v>
      </c>
      <c r="AL5">
        <f>Data!AX62</f>
        <v>1</v>
      </c>
      <c r="AM5">
        <f>Data!AY62</f>
        <v>1</v>
      </c>
      <c r="AN5">
        <f>Data!AZ62</f>
        <v>1</v>
      </c>
      <c r="AO5">
        <f>Data!BA62</f>
        <v>1</v>
      </c>
      <c r="AP5">
        <f>Data!BB62</f>
        <v>1</v>
      </c>
      <c r="AQ5">
        <f>Data!BC62</f>
        <v>1</v>
      </c>
    </row>
    <row r="6" spans="1:43" x14ac:dyDescent="0.15">
      <c r="A6" t="s">
        <v>5</v>
      </c>
      <c r="B6" s="15">
        <f t="shared" si="0"/>
        <v>0</v>
      </c>
      <c r="C6">
        <f>Data!O63</f>
        <v>0</v>
      </c>
      <c r="D6">
        <f>Data!P63</f>
        <v>0</v>
      </c>
      <c r="E6">
        <f>Data!Q63</f>
        <v>0</v>
      </c>
      <c r="F6">
        <f>Data!R63</f>
        <v>0</v>
      </c>
      <c r="G6">
        <f>Data!S63</f>
        <v>0</v>
      </c>
      <c r="H6">
        <f>Data!T63</f>
        <v>0</v>
      </c>
      <c r="I6">
        <f>Data!U63</f>
        <v>0</v>
      </c>
      <c r="J6">
        <f>Data!V63</f>
        <v>0</v>
      </c>
      <c r="K6">
        <f>Data!W63</f>
        <v>0</v>
      </c>
      <c r="L6">
        <f>Data!X63</f>
        <v>0</v>
      </c>
      <c r="M6">
        <f>Data!Y63</f>
        <v>0</v>
      </c>
      <c r="N6">
        <f>Data!Z63</f>
        <v>0</v>
      </c>
      <c r="O6">
        <f>Data!AA63</f>
        <v>0</v>
      </c>
      <c r="P6">
        <f>Data!AB63</f>
        <v>0</v>
      </c>
      <c r="Q6">
        <f>Data!AC63</f>
        <v>0</v>
      </c>
      <c r="R6">
        <f>Data!AD63</f>
        <v>0</v>
      </c>
      <c r="S6">
        <f>Data!AE63</f>
        <v>0</v>
      </c>
      <c r="T6">
        <f>Data!AF63</f>
        <v>0</v>
      </c>
      <c r="U6">
        <f>Data!AG63</f>
        <v>0</v>
      </c>
      <c r="V6">
        <f>Data!AH63</f>
        <v>0</v>
      </c>
      <c r="W6">
        <f>Data!AI63</f>
        <v>0</v>
      </c>
      <c r="X6">
        <f>Data!AJ63</f>
        <v>0</v>
      </c>
      <c r="Y6">
        <f>Data!AK63</f>
        <v>0</v>
      </c>
      <c r="Z6">
        <f>Data!AL63</f>
        <v>0</v>
      </c>
      <c r="AA6">
        <f>Data!AM63</f>
        <v>0</v>
      </c>
      <c r="AB6">
        <f>Data!AN63</f>
        <v>0</v>
      </c>
      <c r="AC6">
        <f>Data!AO63</f>
        <v>0</v>
      </c>
      <c r="AD6">
        <f>Data!AP63</f>
        <v>0</v>
      </c>
      <c r="AE6">
        <f>Data!AQ63</f>
        <v>0</v>
      </c>
      <c r="AF6">
        <f>Data!AR63</f>
        <v>0</v>
      </c>
      <c r="AG6">
        <f>Data!AS63</f>
        <v>0</v>
      </c>
      <c r="AH6">
        <f>Data!AT63</f>
        <v>0</v>
      </c>
      <c r="AI6">
        <f>Data!AU63</f>
        <v>0</v>
      </c>
      <c r="AJ6">
        <f>Data!AV63</f>
        <v>0</v>
      </c>
      <c r="AK6">
        <f>Data!AW63</f>
        <v>0</v>
      </c>
      <c r="AL6">
        <f>Data!AX63</f>
        <v>0</v>
      </c>
      <c r="AM6">
        <f>Data!AY63</f>
        <v>0</v>
      </c>
      <c r="AN6">
        <f>Data!AZ63</f>
        <v>0</v>
      </c>
      <c r="AO6">
        <f>Data!BA63</f>
        <v>0</v>
      </c>
      <c r="AP6">
        <f>Data!BB63</f>
        <v>0</v>
      </c>
      <c r="AQ6">
        <f>Data!BC63</f>
        <v>0</v>
      </c>
    </row>
    <row r="7" spans="1:43" x14ac:dyDescent="0.15">
      <c r="A7" t="s">
        <v>125</v>
      </c>
      <c r="B7" s="15">
        <f t="shared" si="0"/>
        <v>0</v>
      </c>
      <c r="C7">
        <f>Data!O64</f>
        <v>0</v>
      </c>
      <c r="D7">
        <f>Data!P64</f>
        <v>0</v>
      </c>
      <c r="E7">
        <f>Data!Q64</f>
        <v>0</v>
      </c>
      <c r="F7">
        <f>Data!R64</f>
        <v>0</v>
      </c>
      <c r="G7">
        <f>Data!S64</f>
        <v>0</v>
      </c>
      <c r="H7">
        <f>Data!T64</f>
        <v>0</v>
      </c>
      <c r="I7">
        <f>Data!U64</f>
        <v>0</v>
      </c>
      <c r="J7">
        <f>Data!V64</f>
        <v>0</v>
      </c>
      <c r="K7">
        <f>Data!W64</f>
        <v>0</v>
      </c>
      <c r="L7">
        <f>Data!X64</f>
        <v>0</v>
      </c>
      <c r="M7">
        <f>Data!Y64</f>
        <v>0</v>
      </c>
      <c r="N7">
        <f>Data!Z64</f>
        <v>0</v>
      </c>
      <c r="O7">
        <f>Data!AA64</f>
        <v>0</v>
      </c>
      <c r="P7">
        <f>Data!AB64</f>
        <v>0</v>
      </c>
      <c r="Q7">
        <f>Data!AC64</f>
        <v>0</v>
      </c>
      <c r="R7">
        <f>Data!AD64</f>
        <v>0</v>
      </c>
      <c r="S7">
        <f>Data!AE64</f>
        <v>0</v>
      </c>
      <c r="T7">
        <f>Data!AF64</f>
        <v>0</v>
      </c>
      <c r="U7">
        <f>Data!AG64</f>
        <v>0</v>
      </c>
      <c r="V7">
        <f>Data!AH64</f>
        <v>0</v>
      </c>
      <c r="W7">
        <f>Data!AI64</f>
        <v>0</v>
      </c>
      <c r="X7">
        <f>Data!AJ64</f>
        <v>0</v>
      </c>
      <c r="Y7">
        <f>Data!AK64</f>
        <v>0</v>
      </c>
      <c r="Z7">
        <f>Data!AL64</f>
        <v>0</v>
      </c>
      <c r="AA7">
        <f>Data!AM64</f>
        <v>0</v>
      </c>
      <c r="AB7">
        <f>Data!AN64</f>
        <v>0</v>
      </c>
      <c r="AC7">
        <f>Data!AO64</f>
        <v>0</v>
      </c>
      <c r="AD7">
        <f>Data!AP64</f>
        <v>0</v>
      </c>
      <c r="AE7">
        <f>Data!AQ64</f>
        <v>0</v>
      </c>
      <c r="AF7">
        <f>Data!AR64</f>
        <v>0</v>
      </c>
      <c r="AG7">
        <f>Data!AS64</f>
        <v>0</v>
      </c>
      <c r="AH7">
        <f>Data!AT64</f>
        <v>0</v>
      </c>
      <c r="AI7">
        <f>Data!AU64</f>
        <v>0</v>
      </c>
      <c r="AJ7">
        <f>Data!AV64</f>
        <v>0</v>
      </c>
      <c r="AK7">
        <f>Data!AW64</f>
        <v>0</v>
      </c>
      <c r="AL7">
        <f>Data!AX64</f>
        <v>0</v>
      </c>
      <c r="AM7">
        <f>Data!AY64</f>
        <v>0</v>
      </c>
      <c r="AN7">
        <f>Data!AZ64</f>
        <v>0</v>
      </c>
      <c r="AO7">
        <f>Data!BA64</f>
        <v>0</v>
      </c>
      <c r="AP7">
        <f>Data!BB64</f>
        <v>0</v>
      </c>
      <c r="AQ7">
        <f>Data!BC64</f>
        <v>0</v>
      </c>
    </row>
    <row r="8" spans="1:43" x14ac:dyDescent="0.15">
      <c r="A8" t="s">
        <v>126</v>
      </c>
      <c r="B8" s="15">
        <f t="shared" si="0"/>
        <v>0</v>
      </c>
      <c r="C8">
        <f>Data!O65</f>
        <v>0</v>
      </c>
      <c r="D8">
        <f>Data!P65</f>
        <v>0</v>
      </c>
      <c r="E8">
        <f>Data!Q65</f>
        <v>0</v>
      </c>
      <c r="F8">
        <f>Data!R65</f>
        <v>0</v>
      </c>
      <c r="G8">
        <f>Data!S65</f>
        <v>0</v>
      </c>
      <c r="H8">
        <f>Data!T65</f>
        <v>0</v>
      </c>
      <c r="I8">
        <f>Data!U65</f>
        <v>0</v>
      </c>
      <c r="J8">
        <f>Data!V65</f>
        <v>0</v>
      </c>
      <c r="K8">
        <f>Data!W65</f>
        <v>0</v>
      </c>
      <c r="L8">
        <f>Data!X65</f>
        <v>0</v>
      </c>
      <c r="M8">
        <f>Data!Y65</f>
        <v>0</v>
      </c>
      <c r="N8">
        <f>Data!Z65</f>
        <v>0</v>
      </c>
      <c r="O8">
        <f>Data!AA65</f>
        <v>0</v>
      </c>
      <c r="P8">
        <f>Data!AB65</f>
        <v>0</v>
      </c>
      <c r="Q8">
        <f>Data!AC65</f>
        <v>0</v>
      </c>
      <c r="R8">
        <f>Data!AD65</f>
        <v>0</v>
      </c>
      <c r="S8">
        <f>Data!AE65</f>
        <v>0</v>
      </c>
      <c r="T8">
        <f>Data!AF65</f>
        <v>0</v>
      </c>
      <c r="U8">
        <f>Data!AG65</f>
        <v>0</v>
      </c>
      <c r="V8">
        <f>Data!AH65</f>
        <v>0</v>
      </c>
      <c r="W8">
        <f>Data!AI65</f>
        <v>0</v>
      </c>
      <c r="X8">
        <f>Data!AJ65</f>
        <v>0</v>
      </c>
      <c r="Y8">
        <f>Data!AK65</f>
        <v>0</v>
      </c>
      <c r="Z8">
        <f>Data!AL65</f>
        <v>0</v>
      </c>
      <c r="AA8">
        <f>Data!AM65</f>
        <v>0</v>
      </c>
      <c r="AB8">
        <f>Data!AN65</f>
        <v>0</v>
      </c>
      <c r="AC8">
        <f>Data!AO65</f>
        <v>0</v>
      </c>
      <c r="AD8">
        <f>Data!AP65</f>
        <v>0</v>
      </c>
      <c r="AE8">
        <f>Data!AQ65</f>
        <v>0</v>
      </c>
      <c r="AF8">
        <f>Data!AR65</f>
        <v>0</v>
      </c>
      <c r="AG8">
        <f>Data!AS65</f>
        <v>0</v>
      </c>
      <c r="AH8">
        <f>Data!AT65</f>
        <v>0</v>
      </c>
      <c r="AI8">
        <f>Data!AU65</f>
        <v>0</v>
      </c>
      <c r="AJ8">
        <f>Data!AV65</f>
        <v>0</v>
      </c>
      <c r="AK8">
        <f>Data!AW65</f>
        <v>0</v>
      </c>
      <c r="AL8">
        <f>Data!AX65</f>
        <v>0</v>
      </c>
      <c r="AM8">
        <f>Data!AY65</f>
        <v>0</v>
      </c>
      <c r="AN8">
        <f>Data!AZ65</f>
        <v>0</v>
      </c>
      <c r="AO8">
        <f>Data!BA65</f>
        <v>0</v>
      </c>
      <c r="AP8">
        <f>Data!BB65</f>
        <v>0</v>
      </c>
      <c r="AQ8">
        <f>Data!BC65</f>
        <v>0</v>
      </c>
    </row>
  </sheetData>
  <phoneticPr fontId="10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Q8"/>
  <sheetViews>
    <sheetView workbookViewId="0">
      <selection activeCell="H29" sqref="H29"/>
    </sheetView>
  </sheetViews>
  <sheetFormatPr defaultColWidth="9.125" defaultRowHeight="12.9" x14ac:dyDescent="0.15"/>
  <cols>
    <col min="1" max="1" width="24.5" customWidth="1"/>
    <col min="2" max="2" width="12.125" customWidth="1"/>
  </cols>
  <sheetData>
    <row r="1" spans="1:43" ht="38.75" x14ac:dyDescent="0.15">
      <c r="A1" s="25" t="s">
        <v>128</v>
      </c>
      <c r="B1" s="35">
        <v>2019</v>
      </c>
      <c r="C1">
        <f>Data!O9</f>
        <v>2020</v>
      </c>
      <c r="D1">
        <f>Data!P9</f>
        <v>2021</v>
      </c>
      <c r="E1">
        <f>Data!Q9</f>
        <v>2022</v>
      </c>
      <c r="F1">
        <f>Data!R9</f>
        <v>2023</v>
      </c>
      <c r="G1">
        <f>Data!S9</f>
        <v>2024</v>
      </c>
      <c r="H1">
        <f>Data!T9</f>
        <v>2025</v>
      </c>
      <c r="I1">
        <f>Data!U9</f>
        <v>2026</v>
      </c>
      <c r="J1">
        <f>Data!V9</f>
        <v>2027</v>
      </c>
      <c r="K1">
        <f>Data!W9</f>
        <v>2028</v>
      </c>
      <c r="L1">
        <f>Data!X9</f>
        <v>2029</v>
      </c>
      <c r="M1">
        <f>Data!Y9</f>
        <v>2030</v>
      </c>
      <c r="N1">
        <f>Data!Z9</f>
        <v>2031</v>
      </c>
      <c r="O1">
        <f>Data!AA9</f>
        <v>2032</v>
      </c>
      <c r="P1">
        <f>Data!AB9</f>
        <v>2033</v>
      </c>
      <c r="Q1">
        <f>Data!AC9</f>
        <v>2034</v>
      </c>
      <c r="R1">
        <f>Data!AD9</f>
        <v>2035</v>
      </c>
      <c r="S1">
        <f>Data!AE9</f>
        <v>2036</v>
      </c>
      <c r="T1">
        <f>Data!AF9</f>
        <v>2037</v>
      </c>
      <c r="U1">
        <f>Data!AG9</f>
        <v>2038</v>
      </c>
      <c r="V1">
        <f>Data!AH9</f>
        <v>2039</v>
      </c>
      <c r="W1">
        <f>Data!AI9</f>
        <v>2040</v>
      </c>
      <c r="X1">
        <f>Data!AJ9</f>
        <v>2041</v>
      </c>
      <c r="Y1">
        <f>Data!AK9</f>
        <v>2042</v>
      </c>
      <c r="Z1">
        <f>Data!AL9</f>
        <v>2043</v>
      </c>
      <c r="AA1">
        <f>Data!AM9</f>
        <v>2044</v>
      </c>
      <c r="AB1">
        <f>Data!AN9</f>
        <v>2045</v>
      </c>
      <c r="AC1">
        <f>Data!AO9</f>
        <v>2046</v>
      </c>
      <c r="AD1">
        <f>Data!AP9</f>
        <v>2047</v>
      </c>
      <c r="AE1">
        <f>Data!AQ9</f>
        <v>2048</v>
      </c>
      <c r="AF1">
        <f>Data!AR9</f>
        <v>2049</v>
      </c>
      <c r="AG1">
        <f>Data!AS9</f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</v>
      </c>
      <c r="B2" s="15">
        <f>MAX(0,TREND(C2:E2,C$1:E$1,B$1))</f>
        <v>0</v>
      </c>
      <c r="C2">
        <f>Data!O66</f>
        <v>0</v>
      </c>
      <c r="D2">
        <f>Data!P66</f>
        <v>0</v>
      </c>
      <c r="E2">
        <f>Data!Q66</f>
        <v>0</v>
      </c>
      <c r="F2">
        <f>Data!R66</f>
        <v>0</v>
      </c>
      <c r="G2">
        <f>Data!S66</f>
        <v>0</v>
      </c>
      <c r="H2">
        <f>Data!T66</f>
        <v>0</v>
      </c>
      <c r="I2">
        <f>Data!U66</f>
        <v>0</v>
      </c>
      <c r="J2">
        <f>Data!V66</f>
        <v>0</v>
      </c>
      <c r="K2">
        <f>Data!W66</f>
        <v>0</v>
      </c>
      <c r="L2">
        <f>Data!X66</f>
        <v>0</v>
      </c>
      <c r="M2">
        <f>Data!Y66</f>
        <v>0</v>
      </c>
      <c r="N2">
        <f>Data!Z66</f>
        <v>0</v>
      </c>
      <c r="O2">
        <f>Data!AA66</f>
        <v>0</v>
      </c>
      <c r="P2">
        <f>Data!AB66</f>
        <v>0</v>
      </c>
      <c r="Q2">
        <f>Data!AC66</f>
        <v>0</v>
      </c>
      <c r="R2">
        <f>Data!AD66</f>
        <v>0</v>
      </c>
      <c r="S2">
        <f>Data!AE66</f>
        <v>0</v>
      </c>
      <c r="T2">
        <f>Data!AF66</f>
        <v>0</v>
      </c>
      <c r="U2">
        <f>Data!AG66</f>
        <v>0</v>
      </c>
      <c r="V2">
        <f>Data!AH66</f>
        <v>0</v>
      </c>
      <c r="W2">
        <f>Data!AI66</f>
        <v>0</v>
      </c>
      <c r="X2">
        <f>Data!AJ66</f>
        <v>0</v>
      </c>
      <c r="Y2">
        <f>Data!AK66</f>
        <v>0</v>
      </c>
      <c r="Z2">
        <f>Data!AL66</f>
        <v>0</v>
      </c>
      <c r="AA2">
        <f>Data!AM66</f>
        <v>0</v>
      </c>
      <c r="AB2">
        <f>Data!AN66</f>
        <v>0</v>
      </c>
      <c r="AC2">
        <f>Data!AO66</f>
        <v>0</v>
      </c>
      <c r="AD2">
        <f>Data!AP66</f>
        <v>0</v>
      </c>
      <c r="AE2">
        <f>Data!AQ66</f>
        <v>0</v>
      </c>
      <c r="AF2">
        <f>Data!AR66</f>
        <v>0</v>
      </c>
      <c r="AG2">
        <f>Data!AS66</f>
        <v>0</v>
      </c>
      <c r="AH2">
        <f>Data!AT66</f>
        <v>0</v>
      </c>
      <c r="AI2">
        <f>Data!AU66</f>
        <v>0</v>
      </c>
      <c r="AJ2">
        <f>Data!AV66</f>
        <v>0</v>
      </c>
      <c r="AK2">
        <f>Data!AW66</f>
        <v>0</v>
      </c>
      <c r="AL2">
        <f>Data!AX66</f>
        <v>0</v>
      </c>
      <c r="AM2">
        <f>Data!AY66</f>
        <v>0</v>
      </c>
      <c r="AN2">
        <f>Data!AZ66</f>
        <v>0</v>
      </c>
      <c r="AO2">
        <f>Data!BA66</f>
        <v>0</v>
      </c>
      <c r="AP2">
        <f>Data!BB66</f>
        <v>0</v>
      </c>
      <c r="AQ2">
        <f>Data!BC66</f>
        <v>0</v>
      </c>
    </row>
    <row r="3" spans="1:43" x14ac:dyDescent="0.15">
      <c r="A3" t="s">
        <v>2</v>
      </c>
      <c r="B3" s="15">
        <f t="shared" ref="B3:B8" si="0">MAX(0,TREND(C3:E3,C$1:E$1,B$1))</f>
        <v>0</v>
      </c>
      <c r="C3">
        <f>Data!O67</f>
        <v>0</v>
      </c>
      <c r="D3">
        <f>Data!P67</f>
        <v>0</v>
      </c>
      <c r="E3">
        <f>Data!Q67</f>
        <v>0</v>
      </c>
      <c r="F3">
        <f>Data!R67</f>
        <v>0</v>
      </c>
      <c r="G3">
        <f>Data!S67</f>
        <v>0</v>
      </c>
      <c r="H3">
        <f>Data!T67</f>
        <v>0</v>
      </c>
      <c r="I3">
        <f>Data!U67</f>
        <v>0</v>
      </c>
      <c r="J3">
        <f>Data!V67</f>
        <v>0</v>
      </c>
      <c r="K3">
        <f>Data!W67</f>
        <v>0</v>
      </c>
      <c r="L3">
        <f>Data!X67</f>
        <v>0</v>
      </c>
      <c r="M3">
        <f>Data!Y67</f>
        <v>0</v>
      </c>
      <c r="N3">
        <f>Data!Z67</f>
        <v>0</v>
      </c>
      <c r="O3">
        <f>Data!AA67</f>
        <v>0</v>
      </c>
      <c r="P3">
        <f>Data!AB67</f>
        <v>0</v>
      </c>
      <c r="Q3">
        <f>Data!AC67</f>
        <v>0</v>
      </c>
      <c r="R3">
        <f>Data!AD67</f>
        <v>0</v>
      </c>
      <c r="S3">
        <f>Data!AE67</f>
        <v>0</v>
      </c>
      <c r="T3">
        <f>Data!AF67</f>
        <v>0</v>
      </c>
      <c r="U3">
        <f>Data!AG67</f>
        <v>0</v>
      </c>
      <c r="V3">
        <f>Data!AH67</f>
        <v>0</v>
      </c>
      <c r="W3">
        <f>Data!AI67</f>
        <v>0</v>
      </c>
      <c r="X3">
        <f>Data!AJ67</f>
        <v>0</v>
      </c>
      <c r="Y3">
        <f>Data!AK67</f>
        <v>0</v>
      </c>
      <c r="Z3">
        <f>Data!AL67</f>
        <v>0</v>
      </c>
      <c r="AA3">
        <f>Data!AM67</f>
        <v>0</v>
      </c>
      <c r="AB3">
        <f>Data!AN67</f>
        <v>0</v>
      </c>
      <c r="AC3">
        <f>Data!AO67</f>
        <v>0</v>
      </c>
      <c r="AD3">
        <f>Data!AP67</f>
        <v>0</v>
      </c>
      <c r="AE3">
        <f>Data!AQ67</f>
        <v>0</v>
      </c>
      <c r="AF3">
        <f>Data!AR67</f>
        <v>0</v>
      </c>
      <c r="AG3">
        <f>Data!AS67</f>
        <v>0</v>
      </c>
      <c r="AH3">
        <f>Data!AT67</f>
        <v>0</v>
      </c>
      <c r="AI3">
        <f>Data!AU67</f>
        <v>0</v>
      </c>
      <c r="AJ3">
        <f>Data!AV67</f>
        <v>0</v>
      </c>
      <c r="AK3">
        <f>Data!AW67</f>
        <v>0</v>
      </c>
      <c r="AL3">
        <f>Data!AX67</f>
        <v>0</v>
      </c>
      <c r="AM3">
        <f>Data!AY67</f>
        <v>0</v>
      </c>
      <c r="AN3">
        <f>Data!AZ67</f>
        <v>0</v>
      </c>
      <c r="AO3">
        <f>Data!BA67</f>
        <v>0</v>
      </c>
      <c r="AP3">
        <f>Data!BB67</f>
        <v>0</v>
      </c>
      <c r="AQ3">
        <f>Data!BC67</f>
        <v>0</v>
      </c>
    </row>
    <row r="4" spans="1:43" x14ac:dyDescent="0.15">
      <c r="A4" t="s">
        <v>3</v>
      </c>
      <c r="B4" s="15">
        <f t="shared" si="0"/>
        <v>0</v>
      </c>
      <c r="C4">
        <f>Data!O68</f>
        <v>0</v>
      </c>
      <c r="D4">
        <f>Data!P68</f>
        <v>0</v>
      </c>
      <c r="E4">
        <f>Data!Q68</f>
        <v>0</v>
      </c>
      <c r="F4">
        <f>Data!R68</f>
        <v>0</v>
      </c>
      <c r="G4">
        <f>Data!S68</f>
        <v>0</v>
      </c>
      <c r="H4">
        <f>Data!T68</f>
        <v>0</v>
      </c>
      <c r="I4">
        <f>Data!U68</f>
        <v>0</v>
      </c>
      <c r="J4">
        <f>Data!V68</f>
        <v>0</v>
      </c>
      <c r="K4">
        <f>Data!W68</f>
        <v>0</v>
      </c>
      <c r="L4">
        <f>Data!X68</f>
        <v>0</v>
      </c>
      <c r="M4">
        <f>Data!Y68</f>
        <v>0</v>
      </c>
      <c r="N4">
        <f>Data!Z68</f>
        <v>0</v>
      </c>
      <c r="O4">
        <f>Data!AA68</f>
        <v>0</v>
      </c>
      <c r="P4">
        <f>Data!AB68</f>
        <v>0</v>
      </c>
      <c r="Q4">
        <f>Data!AC68</f>
        <v>0</v>
      </c>
      <c r="R4">
        <f>Data!AD68</f>
        <v>0</v>
      </c>
      <c r="S4">
        <f>Data!AE68</f>
        <v>0</v>
      </c>
      <c r="T4">
        <f>Data!AF68</f>
        <v>0</v>
      </c>
      <c r="U4">
        <f>Data!AG68</f>
        <v>0</v>
      </c>
      <c r="V4">
        <f>Data!AH68</f>
        <v>0</v>
      </c>
      <c r="W4">
        <f>Data!AI68</f>
        <v>0</v>
      </c>
      <c r="X4">
        <f>Data!AJ68</f>
        <v>0</v>
      </c>
      <c r="Y4">
        <f>Data!AK68</f>
        <v>0</v>
      </c>
      <c r="Z4">
        <f>Data!AL68</f>
        <v>0</v>
      </c>
      <c r="AA4">
        <f>Data!AM68</f>
        <v>0</v>
      </c>
      <c r="AB4">
        <f>Data!AN68</f>
        <v>0</v>
      </c>
      <c r="AC4">
        <f>Data!AO68</f>
        <v>0</v>
      </c>
      <c r="AD4">
        <f>Data!AP68</f>
        <v>0</v>
      </c>
      <c r="AE4">
        <f>Data!AQ68</f>
        <v>0</v>
      </c>
      <c r="AF4">
        <f>Data!AR68</f>
        <v>0</v>
      </c>
      <c r="AG4">
        <f>Data!AS68</f>
        <v>0</v>
      </c>
      <c r="AH4">
        <f>Data!AT68</f>
        <v>0</v>
      </c>
      <c r="AI4">
        <f>Data!AU68</f>
        <v>0</v>
      </c>
      <c r="AJ4">
        <f>Data!AV68</f>
        <v>0</v>
      </c>
      <c r="AK4">
        <f>Data!AW68</f>
        <v>0</v>
      </c>
      <c r="AL4">
        <f>Data!AX68</f>
        <v>0</v>
      </c>
      <c r="AM4">
        <f>Data!AY68</f>
        <v>0</v>
      </c>
      <c r="AN4">
        <f>Data!AZ68</f>
        <v>0</v>
      </c>
      <c r="AO4">
        <f>Data!BA68</f>
        <v>0</v>
      </c>
      <c r="AP4">
        <f>Data!BB68</f>
        <v>0</v>
      </c>
      <c r="AQ4">
        <f>Data!BC68</f>
        <v>0</v>
      </c>
    </row>
    <row r="5" spans="1:43" x14ac:dyDescent="0.15">
      <c r="A5" t="s">
        <v>4</v>
      </c>
      <c r="B5" s="15">
        <f t="shared" si="0"/>
        <v>1</v>
      </c>
      <c r="C5">
        <f>Data!O69</f>
        <v>1</v>
      </c>
      <c r="D5">
        <f>Data!P69</f>
        <v>1</v>
      </c>
      <c r="E5">
        <f>Data!Q69</f>
        <v>1</v>
      </c>
      <c r="F5">
        <f>Data!R69</f>
        <v>1</v>
      </c>
      <c r="G5">
        <f>Data!S69</f>
        <v>1</v>
      </c>
      <c r="H5">
        <f>Data!T69</f>
        <v>1</v>
      </c>
      <c r="I5">
        <f>Data!U69</f>
        <v>1</v>
      </c>
      <c r="J5">
        <f>Data!V69</f>
        <v>1</v>
      </c>
      <c r="K5">
        <f>Data!W69</f>
        <v>1</v>
      </c>
      <c r="L5">
        <f>Data!X69</f>
        <v>1</v>
      </c>
      <c r="M5">
        <f>Data!Y69</f>
        <v>1</v>
      </c>
      <c r="N5">
        <f>Data!Z69</f>
        <v>1</v>
      </c>
      <c r="O5">
        <f>Data!AA69</f>
        <v>1</v>
      </c>
      <c r="P5">
        <f>Data!AB69</f>
        <v>1</v>
      </c>
      <c r="Q5">
        <f>Data!AC69</f>
        <v>1</v>
      </c>
      <c r="R5">
        <f>Data!AD69</f>
        <v>1</v>
      </c>
      <c r="S5">
        <f>Data!AE69</f>
        <v>1</v>
      </c>
      <c r="T5">
        <f>Data!AF69</f>
        <v>1</v>
      </c>
      <c r="U5">
        <f>Data!AG69</f>
        <v>1</v>
      </c>
      <c r="V5">
        <f>Data!AH69</f>
        <v>1</v>
      </c>
      <c r="W5">
        <f>Data!AI69</f>
        <v>1</v>
      </c>
      <c r="X5">
        <f>Data!AJ69</f>
        <v>1</v>
      </c>
      <c r="Y5">
        <f>Data!AK69</f>
        <v>1</v>
      </c>
      <c r="Z5">
        <f>Data!AL69</f>
        <v>1</v>
      </c>
      <c r="AA5">
        <f>Data!AM69</f>
        <v>1</v>
      </c>
      <c r="AB5">
        <f>Data!AN69</f>
        <v>1</v>
      </c>
      <c r="AC5">
        <f>Data!AO69</f>
        <v>1</v>
      </c>
      <c r="AD5">
        <f>Data!AP69</f>
        <v>1</v>
      </c>
      <c r="AE5">
        <f>Data!AQ69</f>
        <v>1</v>
      </c>
      <c r="AF5">
        <f>Data!AR69</f>
        <v>1</v>
      </c>
      <c r="AG5">
        <f>Data!AS69</f>
        <v>1</v>
      </c>
      <c r="AH5">
        <f>Data!AT69</f>
        <v>1</v>
      </c>
      <c r="AI5">
        <f>Data!AU69</f>
        <v>1</v>
      </c>
      <c r="AJ5">
        <f>Data!AV69</f>
        <v>1</v>
      </c>
      <c r="AK5">
        <f>Data!AW69</f>
        <v>1</v>
      </c>
      <c r="AL5">
        <f>Data!AX69</f>
        <v>1</v>
      </c>
      <c r="AM5">
        <f>Data!AY69</f>
        <v>1</v>
      </c>
      <c r="AN5">
        <f>Data!AZ69</f>
        <v>1</v>
      </c>
      <c r="AO5">
        <f>Data!BA69</f>
        <v>1</v>
      </c>
      <c r="AP5">
        <f>Data!BB69</f>
        <v>1</v>
      </c>
      <c r="AQ5">
        <f>Data!BC69</f>
        <v>1</v>
      </c>
    </row>
    <row r="6" spans="1:43" x14ac:dyDescent="0.15">
      <c r="A6" t="s">
        <v>5</v>
      </c>
      <c r="B6" s="15">
        <f t="shared" si="0"/>
        <v>0</v>
      </c>
      <c r="C6">
        <f>Data!O70</f>
        <v>0</v>
      </c>
      <c r="D6">
        <f>Data!P70</f>
        <v>0</v>
      </c>
      <c r="E6">
        <f>Data!Q70</f>
        <v>0</v>
      </c>
      <c r="F6">
        <f>Data!R70</f>
        <v>0</v>
      </c>
      <c r="G6">
        <f>Data!S70</f>
        <v>0</v>
      </c>
      <c r="H6">
        <f>Data!T70</f>
        <v>0</v>
      </c>
      <c r="I6">
        <f>Data!U70</f>
        <v>0</v>
      </c>
      <c r="J6">
        <f>Data!V70</f>
        <v>0</v>
      </c>
      <c r="K6">
        <f>Data!W70</f>
        <v>0</v>
      </c>
      <c r="L6">
        <f>Data!X70</f>
        <v>0</v>
      </c>
      <c r="M6">
        <f>Data!Y70</f>
        <v>0</v>
      </c>
      <c r="N6">
        <f>Data!Z70</f>
        <v>0</v>
      </c>
      <c r="O6">
        <f>Data!AA70</f>
        <v>0</v>
      </c>
      <c r="P6">
        <f>Data!AB70</f>
        <v>0</v>
      </c>
      <c r="Q6">
        <f>Data!AC70</f>
        <v>0</v>
      </c>
      <c r="R6">
        <f>Data!AD70</f>
        <v>0</v>
      </c>
      <c r="S6">
        <f>Data!AE70</f>
        <v>0</v>
      </c>
      <c r="T6">
        <f>Data!AF70</f>
        <v>0</v>
      </c>
      <c r="U6">
        <f>Data!AG70</f>
        <v>0</v>
      </c>
      <c r="V6">
        <f>Data!AH70</f>
        <v>0</v>
      </c>
      <c r="W6">
        <f>Data!AI70</f>
        <v>0</v>
      </c>
      <c r="X6">
        <f>Data!AJ70</f>
        <v>0</v>
      </c>
      <c r="Y6">
        <f>Data!AK70</f>
        <v>0</v>
      </c>
      <c r="Z6">
        <f>Data!AL70</f>
        <v>0</v>
      </c>
      <c r="AA6">
        <f>Data!AM70</f>
        <v>0</v>
      </c>
      <c r="AB6">
        <f>Data!AN70</f>
        <v>0</v>
      </c>
      <c r="AC6">
        <f>Data!AO70</f>
        <v>0</v>
      </c>
      <c r="AD6">
        <f>Data!AP70</f>
        <v>0</v>
      </c>
      <c r="AE6">
        <f>Data!AQ70</f>
        <v>0</v>
      </c>
      <c r="AF6">
        <f>Data!AR70</f>
        <v>0</v>
      </c>
      <c r="AG6">
        <f>Data!AS70</f>
        <v>0</v>
      </c>
      <c r="AH6">
        <f>Data!AT70</f>
        <v>0</v>
      </c>
      <c r="AI6">
        <f>Data!AU70</f>
        <v>0</v>
      </c>
      <c r="AJ6">
        <f>Data!AV70</f>
        <v>0</v>
      </c>
      <c r="AK6">
        <f>Data!AW70</f>
        <v>0</v>
      </c>
      <c r="AL6">
        <f>Data!AX70</f>
        <v>0</v>
      </c>
      <c r="AM6">
        <f>Data!AY70</f>
        <v>0</v>
      </c>
      <c r="AN6">
        <f>Data!AZ70</f>
        <v>0</v>
      </c>
      <c r="AO6">
        <f>Data!BA70</f>
        <v>0</v>
      </c>
      <c r="AP6">
        <f>Data!BB70</f>
        <v>0</v>
      </c>
      <c r="AQ6">
        <f>Data!BC70</f>
        <v>0</v>
      </c>
    </row>
    <row r="7" spans="1:43" x14ac:dyDescent="0.15">
      <c r="A7" t="s">
        <v>125</v>
      </c>
      <c r="B7" s="15">
        <f t="shared" si="0"/>
        <v>0</v>
      </c>
      <c r="C7">
        <f>Data!O71</f>
        <v>0</v>
      </c>
      <c r="D7">
        <f>Data!P71</f>
        <v>0</v>
      </c>
      <c r="E7">
        <f>Data!Q71</f>
        <v>0</v>
      </c>
      <c r="F7">
        <f>Data!R71</f>
        <v>0</v>
      </c>
      <c r="G7">
        <f>Data!S71</f>
        <v>0</v>
      </c>
      <c r="H7">
        <f>Data!T71</f>
        <v>0</v>
      </c>
      <c r="I7">
        <f>Data!U71</f>
        <v>0</v>
      </c>
      <c r="J7">
        <f>Data!V71</f>
        <v>0</v>
      </c>
      <c r="K7">
        <f>Data!W71</f>
        <v>0</v>
      </c>
      <c r="L7">
        <f>Data!X71</f>
        <v>0</v>
      </c>
      <c r="M7">
        <f>Data!Y71</f>
        <v>0</v>
      </c>
      <c r="N7">
        <f>Data!Z71</f>
        <v>0</v>
      </c>
      <c r="O7">
        <f>Data!AA71</f>
        <v>0</v>
      </c>
      <c r="P7">
        <f>Data!AB71</f>
        <v>0</v>
      </c>
      <c r="Q7">
        <f>Data!AC71</f>
        <v>0</v>
      </c>
      <c r="R7">
        <f>Data!AD71</f>
        <v>0</v>
      </c>
      <c r="S7">
        <f>Data!AE71</f>
        <v>0</v>
      </c>
      <c r="T7">
        <f>Data!AF71</f>
        <v>0</v>
      </c>
      <c r="U7">
        <f>Data!AG71</f>
        <v>0</v>
      </c>
      <c r="V7">
        <f>Data!AH71</f>
        <v>0</v>
      </c>
      <c r="W7">
        <f>Data!AI71</f>
        <v>0</v>
      </c>
      <c r="X7">
        <f>Data!AJ71</f>
        <v>0</v>
      </c>
      <c r="Y7">
        <f>Data!AK71</f>
        <v>0</v>
      </c>
      <c r="Z7">
        <f>Data!AL71</f>
        <v>0</v>
      </c>
      <c r="AA7">
        <f>Data!AM71</f>
        <v>0</v>
      </c>
      <c r="AB7">
        <f>Data!AN71</f>
        <v>0</v>
      </c>
      <c r="AC7">
        <f>Data!AO71</f>
        <v>0</v>
      </c>
      <c r="AD7">
        <f>Data!AP71</f>
        <v>0</v>
      </c>
      <c r="AE7">
        <f>Data!AQ71</f>
        <v>0</v>
      </c>
      <c r="AF7">
        <f>Data!AR71</f>
        <v>0</v>
      </c>
      <c r="AG7">
        <f>Data!AS71</f>
        <v>0</v>
      </c>
      <c r="AH7">
        <f>Data!AT71</f>
        <v>0</v>
      </c>
      <c r="AI7">
        <f>Data!AU71</f>
        <v>0</v>
      </c>
      <c r="AJ7">
        <f>Data!AV71</f>
        <v>0</v>
      </c>
      <c r="AK7">
        <f>Data!AW71</f>
        <v>0</v>
      </c>
      <c r="AL7">
        <f>Data!AX71</f>
        <v>0</v>
      </c>
      <c r="AM7">
        <f>Data!AY71</f>
        <v>0</v>
      </c>
      <c r="AN7">
        <f>Data!AZ71</f>
        <v>0</v>
      </c>
      <c r="AO7">
        <f>Data!BA71</f>
        <v>0</v>
      </c>
      <c r="AP7">
        <f>Data!BB71</f>
        <v>0</v>
      </c>
      <c r="AQ7">
        <f>Data!BC71</f>
        <v>0</v>
      </c>
    </row>
    <row r="8" spans="1:43" x14ac:dyDescent="0.15">
      <c r="A8" t="s">
        <v>126</v>
      </c>
      <c r="B8" s="15">
        <f t="shared" si="0"/>
        <v>0</v>
      </c>
      <c r="C8">
        <f>Data!O72</f>
        <v>0</v>
      </c>
      <c r="D8">
        <f>Data!P72</f>
        <v>0</v>
      </c>
      <c r="E8">
        <f>Data!Q72</f>
        <v>0</v>
      </c>
      <c r="F8">
        <f>Data!R72</f>
        <v>0</v>
      </c>
      <c r="G8">
        <f>Data!S72</f>
        <v>0</v>
      </c>
      <c r="H8">
        <f>Data!T72</f>
        <v>0</v>
      </c>
      <c r="I8">
        <f>Data!U72</f>
        <v>0</v>
      </c>
      <c r="J8">
        <f>Data!V72</f>
        <v>0</v>
      </c>
      <c r="K8">
        <f>Data!W72</f>
        <v>0</v>
      </c>
      <c r="L8">
        <f>Data!X72</f>
        <v>0</v>
      </c>
      <c r="M8">
        <f>Data!Y72</f>
        <v>0</v>
      </c>
      <c r="N8">
        <f>Data!Z72</f>
        <v>0</v>
      </c>
      <c r="O8">
        <f>Data!AA72</f>
        <v>0</v>
      </c>
      <c r="P8">
        <f>Data!AB72</f>
        <v>0</v>
      </c>
      <c r="Q8">
        <f>Data!AC72</f>
        <v>0</v>
      </c>
      <c r="R8">
        <f>Data!AD72</f>
        <v>0</v>
      </c>
      <c r="S8">
        <f>Data!AE72</f>
        <v>0</v>
      </c>
      <c r="T8">
        <f>Data!AF72</f>
        <v>0</v>
      </c>
      <c r="U8">
        <f>Data!AG72</f>
        <v>0</v>
      </c>
      <c r="V8">
        <f>Data!AH72</f>
        <v>0</v>
      </c>
      <c r="W8">
        <f>Data!AI72</f>
        <v>0</v>
      </c>
      <c r="X8">
        <f>Data!AJ72</f>
        <v>0</v>
      </c>
      <c r="Y8">
        <f>Data!AK72</f>
        <v>0</v>
      </c>
      <c r="Z8">
        <f>Data!AL72</f>
        <v>0</v>
      </c>
      <c r="AA8">
        <f>Data!AM72</f>
        <v>0</v>
      </c>
      <c r="AB8">
        <f>Data!AN72</f>
        <v>0</v>
      </c>
      <c r="AC8">
        <f>Data!AO72</f>
        <v>0</v>
      </c>
      <c r="AD8">
        <f>Data!AP72</f>
        <v>0</v>
      </c>
      <c r="AE8">
        <f>Data!AQ72</f>
        <v>0</v>
      </c>
      <c r="AF8">
        <f>Data!AR72</f>
        <v>0</v>
      </c>
      <c r="AG8">
        <f>Data!AS72</f>
        <v>0</v>
      </c>
      <c r="AH8">
        <f>Data!AT72</f>
        <v>0</v>
      </c>
      <c r="AI8">
        <f>Data!AU72</f>
        <v>0</v>
      </c>
      <c r="AJ8">
        <f>Data!AV72</f>
        <v>0</v>
      </c>
      <c r="AK8">
        <f>Data!AW72</f>
        <v>0</v>
      </c>
      <c r="AL8">
        <f>Data!AX72</f>
        <v>0</v>
      </c>
      <c r="AM8">
        <f>Data!AY72</f>
        <v>0</v>
      </c>
      <c r="AN8">
        <f>Data!AZ72</f>
        <v>0</v>
      </c>
      <c r="AO8">
        <f>Data!BA72</f>
        <v>0</v>
      </c>
      <c r="AP8">
        <f>Data!BB72</f>
        <v>0</v>
      </c>
      <c r="AQ8">
        <f>Data!BC72</f>
        <v>0</v>
      </c>
    </row>
  </sheetData>
  <phoneticPr fontId="10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Q8"/>
  <sheetViews>
    <sheetView tabSelected="1" workbookViewId="0">
      <selection activeCell="B2" sqref="B2:AQ8"/>
    </sheetView>
  </sheetViews>
  <sheetFormatPr defaultColWidth="9.125" defaultRowHeight="12.9" x14ac:dyDescent="0.15"/>
  <cols>
    <col min="1" max="1" width="24.5" customWidth="1"/>
    <col min="2" max="2" width="12.125" customWidth="1"/>
  </cols>
  <sheetData>
    <row r="1" spans="1:43" ht="38.75" x14ac:dyDescent="0.15">
      <c r="A1" s="25" t="s">
        <v>128</v>
      </c>
      <c r="B1" s="35">
        <v>2019</v>
      </c>
      <c r="C1">
        <f>Data!O9</f>
        <v>2020</v>
      </c>
      <c r="D1">
        <f>Data!P9</f>
        <v>2021</v>
      </c>
      <c r="E1">
        <f>Data!Q9</f>
        <v>2022</v>
      </c>
      <c r="F1">
        <f>Data!R9</f>
        <v>2023</v>
      </c>
      <c r="G1">
        <f>Data!S9</f>
        <v>2024</v>
      </c>
      <c r="H1">
        <f>Data!T9</f>
        <v>2025</v>
      </c>
      <c r="I1">
        <f>Data!U9</f>
        <v>2026</v>
      </c>
      <c r="J1">
        <f>Data!V9</f>
        <v>2027</v>
      </c>
      <c r="K1">
        <f>Data!W9</f>
        <v>2028</v>
      </c>
      <c r="L1">
        <f>Data!X9</f>
        <v>2029</v>
      </c>
      <c r="M1">
        <f>Data!Y9</f>
        <v>2030</v>
      </c>
      <c r="N1">
        <f>Data!Z9</f>
        <v>2031</v>
      </c>
      <c r="O1">
        <f>Data!AA9</f>
        <v>2032</v>
      </c>
      <c r="P1">
        <f>Data!AB9</f>
        <v>2033</v>
      </c>
      <c r="Q1">
        <f>Data!AC9</f>
        <v>2034</v>
      </c>
      <c r="R1">
        <f>Data!AD9</f>
        <v>2035</v>
      </c>
      <c r="S1">
        <f>Data!AE9</f>
        <v>2036</v>
      </c>
      <c r="T1">
        <f>Data!AF9</f>
        <v>2037</v>
      </c>
      <c r="U1">
        <f>Data!AG9</f>
        <v>2038</v>
      </c>
      <c r="V1">
        <f>Data!AH9</f>
        <v>2039</v>
      </c>
      <c r="W1">
        <f>Data!AI9</f>
        <v>2040</v>
      </c>
      <c r="X1">
        <f>Data!AJ9</f>
        <v>2041</v>
      </c>
      <c r="Y1">
        <f>Data!AK9</f>
        <v>2042</v>
      </c>
      <c r="Z1">
        <f>Data!AL9</f>
        <v>2043</v>
      </c>
      <c r="AA1">
        <f>Data!AM9</f>
        <v>2044</v>
      </c>
      <c r="AB1">
        <f>Data!AN9</f>
        <v>2045</v>
      </c>
      <c r="AC1">
        <f>Data!AO9</f>
        <v>2046</v>
      </c>
      <c r="AD1">
        <f>Data!AP9</f>
        <v>2047</v>
      </c>
      <c r="AE1">
        <f>Data!AQ9</f>
        <v>2048</v>
      </c>
      <c r="AF1">
        <f>Data!AR9</f>
        <v>2049</v>
      </c>
      <c r="AG1">
        <f>Data!AS9</f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</v>
      </c>
      <c r="B2" s="15">
        <f>MAX(0,TREND(C2:E2,C$1:E$1,B$1))</f>
        <v>0</v>
      </c>
      <c r="C2">
        <f>Data!O73</f>
        <v>0</v>
      </c>
      <c r="D2">
        <f>Data!P73</f>
        <v>0</v>
      </c>
      <c r="E2">
        <f>Data!Q73</f>
        <v>0</v>
      </c>
      <c r="F2">
        <f>Data!R73</f>
        <v>0</v>
      </c>
      <c r="G2">
        <f>Data!S73</f>
        <v>0</v>
      </c>
      <c r="H2">
        <f>Data!T73</f>
        <v>0</v>
      </c>
      <c r="I2">
        <f>Data!U73</f>
        <v>0</v>
      </c>
      <c r="J2">
        <f>Data!V73</f>
        <v>0</v>
      </c>
      <c r="K2">
        <f>Data!W73</f>
        <v>0</v>
      </c>
      <c r="L2">
        <f>Data!X73</f>
        <v>0</v>
      </c>
      <c r="M2">
        <f>Data!Y73</f>
        <v>0</v>
      </c>
      <c r="N2">
        <f>Data!Z73</f>
        <v>0</v>
      </c>
      <c r="O2">
        <f>Data!AA73</f>
        <v>0</v>
      </c>
      <c r="P2">
        <f>Data!AB73</f>
        <v>0</v>
      </c>
      <c r="Q2">
        <f>Data!AC73</f>
        <v>0</v>
      </c>
      <c r="R2">
        <f>Data!AD73</f>
        <v>0</v>
      </c>
      <c r="S2">
        <f>Data!AE73</f>
        <v>0</v>
      </c>
      <c r="T2">
        <f>Data!AF73</f>
        <v>0</v>
      </c>
      <c r="U2">
        <f>Data!AG73</f>
        <v>0</v>
      </c>
      <c r="V2">
        <f>Data!AH73</f>
        <v>0</v>
      </c>
      <c r="W2">
        <f>Data!AI73</f>
        <v>0</v>
      </c>
      <c r="X2">
        <f>Data!AJ73</f>
        <v>0</v>
      </c>
      <c r="Y2">
        <f>Data!AK73</f>
        <v>0</v>
      </c>
      <c r="Z2">
        <f>Data!AL73</f>
        <v>0</v>
      </c>
      <c r="AA2">
        <f>Data!AM73</f>
        <v>0</v>
      </c>
      <c r="AB2">
        <f>Data!AN73</f>
        <v>0</v>
      </c>
      <c r="AC2">
        <f>Data!AO73</f>
        <v>0</v>
      </c>
      <c r="AD2">
        <f>Data!AP73</f>
        <v>0</v>
      </c>
      <c r="AE2">
        <f>Data!AQ73</f>
        <v>0</v>
      </c>
      <c r="AF2">
        <f>Data!AR73</f>
        <v>0</v>
      </c>
      <c r="AG2">
        <f>Data!AS73</f>
        <v>0</v>
      </c>
      <c r="AH2">
        <f>Data!AT73</f>
        <v>0</v>
      </c>
      <c r="AI2">
        <f>Data!AU73</f>
        <v>0</v>
      </c>
      <c r="AJ2">
        <f>Data!AV73</f>
        <v>0</v>
      </c>
      <c r="AK2">
        <f>Data!AW73</f>
        <v>0</v>
      </c>
      <c r="AL2">
        <f>Data!AX73</f>
        <v>0</v>
      </c>
      <c r="AM2">
        <f>Data!AY73</f>
        <v>0</v>
      </c>
      <c r="AN2">
        <f>Data!AZ73</f>
        <v>0</v>
      </c>
      <c r="AO2">
        <f>Data!BA73</f>
        <v>0</v>
      </c>
      <c r="AP2">
        <f>Data!BB73</f>
        <v>0</v>
      </c>
      <c r="AQ2">
        <f>Data!BC73</f>
        <v>0</v>
      </c>
    </row>
    <row r="3" spans="1:43" x14ac:dyDescent="0.15">
      <c r="A3" t="s">
        <v>2</v>
      </c>
      <c r="B3" s="15">
        <f t="shared" ref="B3:B8" si="0">MAX(0,TREND(C3:E3,C$1:E$1,B$1))</f>
        <v>0</v>
      </c>
      <c r="C3">
        <f>Data!O74</f>
        <v>0</v>
      </c>
      <c r="D3">
        <f>Data!P74</f>
        <v>0</v>
      </c>
      <c r="E3">
        <f>Data!Q74</f>
        <v>0</v>
      </c>
      <c r="F3">
        <f>Data!R74</f>
        <v>0</v>
      </c>
      <c r="G3">
        <f>Data!S74</f>
        <v>0</v>
      </c>
      <c r="H3">
        <f>Data!T74</f>
        <v>0</v>
      </c>
      <c r="I3">
        <f>Data!U74</f>
        <v>0</v>
      </c>
      <c r="J3">
        <f>Data!V74</f>
        <v>0</v>
      </c>
      <c r="K3">
        <f>Data!W74</f>
        <v>0</v>
      </c>
      <c r="L3">
        <f>Data!X74</f>
        <v>0</v>
      </c>
      <c r="M3">
        <f>Data!Y74</f>
        <v>0</v>
      </c>
      <c r="N3">
        <f>Data!Z74</f>
        <v>0</v>
      </c>
      <c r="O3">
        <f>Data!AA74</f>
        <v>0</v>
      </c>
      <c r="P3">
        <f>Data!AB74</f>
        <v>0</v>
      </c>
      <c r="Q3">
        <f>Data!AC74</f>
        <v>0</v>
      </c>
      <c r="R3">
        <f>Data!AD74</f>
        <v>0</v>
      </c>
      <c r="S3">
        <f>Data!AE74</f>
        <v>0</v>
      </c>
      <c r="T3">
        <f>Data!AF74</f>
        <v>0</v>
      </c>
      <c r="U3">
        <f>Data!AG74</f>
        <v>0</v>
      </c>
      <c r="V3">
        <f>Data!AH74</f>
        <v>0</v>
      </c>
      <c r="W3">
        <f>Data!AI74</f>
        <v>0</v>
      </c>
      <c r="X3">
        <f>Data!AJ74</f>
        <v>0</v>
      </c>
      <c r="Y3">
        <f>Data!AK74</f>
        <v>0</v>
      </c>
      <c r="Z3">
        <f>Data!AL74</f>
        <v>0</v>
      </c>
      <c r="AA3">
        <f>Data!AM74</f>
        <v>0</v>
      </c>
      <c r="AB3">
        <f>Data!AN74</f>
        <v>0</v>
      </c>
      <c r="AC3">
        <f>Data!AO74</f>
        <v>0</v>
      </c>
      <c r="AD3">
        <f>Data!AP74</f>
        <v>0</v>
      </c>
      <c r="AE3">
        <f>Data!AQ74</f>
        <v>0</v>
      </c>
      <c r="AF3">
        <f>Data!AR74</f>
        <v>0</v>
      </c>
      <c r="AG3">
        <f>Data!AS74</f>
        <v>0</v>
      </c>
      <c r="AH3">
        <f>Data!AT74</f>
        <v>0</v>
      </c>
      <c r="AI3">
        <f>Data!AU74</f>
        <v>0</v>
      </c>
      <c r="AJ3">
        <f>Data!AV74</f>
        <v>0</v>
      </c>
      <c r="AK3">
        <f>Data!AW74</f>
        <v>0</v>
      </c>
      <c r="AL3">
        <f>Data!AX74</f>
        <v>0</v>
      </c>
      <c r="AM3">
        <f>Data!AY74</f>
        <v>0</v>
      </c>
      <c r="AN3">
        <f>Data!AZ74</f>
        <v>0</v>
      </c>
      <c r="AO3">
        <f>Data!BA74</f>
        <v>0</v>
      </c>
      <c r="AP3">
        <f>Data!BB74</f>
        <v>0</v>
      </c>
      <c r="AQ3">
        <f>Data!BC74</f>
        <v>0</v>
      </c>
    </row>
    <row r="4" spans="1:43" x14ac:dyDescent="0.15">
      <c r="A4" t="s">
        <v>3</v>
      </c>
      <c r="B4" s="15">
        <f t="shared" si="0"/>
        <v>0</v>
      </c>
      <c r="C4">
        <f>Data!O75</f>
        <v>0</v>
      </c>
      <c r="D4">
        <f>Data!P75</f>
        <v>0</v>
      </c>
      <c r="E4">
        <f>Data!Q75</f>
        <v>0</v>
      </c>
      <c r="F4">
        <f>Data!R75</f>
        <v>0</v>
      </c>
      <c r="G4">
        <f>Data!S75</f>
        <v>0</v>
      </c>
      <c r="H4">
        <f>Data!T75</f>
        <v>0</v>
      </c>
      <c r="I4">
        <f>Data!U75</f>
        <v>0</v>
      </c>
      <c r="J4">
        <f>Data!V75</f>
        <v>0</v>
      </c>
      <c r="K4">
        <f>Data!W75</f>
        <v>0</v>
      </c>
      <c r="L4">
        <f>Data!X75</f>
        <v>0</v>
      </c>
      <c r="M4">
        <f>Data!Y75</f>
        <v>0</v>
      </c>
      <c r="N4">
        <f>Data!Z75</f>
        <v>0</v>
      </c>
      <c r="O4">
        <f>Data!AA75</f>
        <v>0</v>
      </c>
      <c r="P4">
        <f>Data!AB75</f>
        <v>0</v>
      </c>
      <c r="Q4">
        <f>Data!AC75</f>
        <v>0</v>
      </c>
      <c r="R4">
        <f>Data!AD75</f>
        <v>0</v>
      </c>
      <c r="S4">
        <f>Data!AE75</f>
        <v>0</v>
      </c>
      <c r="T4">
        <f>Data!AF75</f>
        <v>0</v>
      </c>
      <c r="U4">
        <f>Data!AG75</f>
        <v>0</v>
      </c>
      <c r="V4">
        <f>Data!AH75</f>
        <v>0</v>
      </c>
      <c r="W4">
        <f>Data!AI75</f>
        <v>0</v>
      </c>
      <c r="X4">
        <f>Data!AJ75</f>
        <v>0</v>
      </c>
      <c r="Y4">
        <f>Data!AK75</f>
        <v>0</v>
      </c>
      <c r="Z4">
        <f>Data!AL75</f>
        <v>0</v>
      </c>
      <c r="AA4">
        <f>Data!AM75</f>
        <v>0</v>
      </c>
      <c r="AB4">
        <f>Data!AN75</f>
        <v>0</v>
      </c>
      <c r="AC4">
        <f>Data!AO75</f>
        <v>0</v>
      </c>
      <c r="AD4">
        <f>Data!AP75</f>
        <v>0</v>
      </c>
      <c r="AE4">
        <f>Data!AQ75</f>
        <v>0</v>
      </c>
      <c r="AF4">
        <f>Data!AR75</f>
        <v>0</v>
      </c>
      <c r="AG4">
        <f>Data!AS75</f>
        <v>0</v>
      </c>
      <c r="AH4">
        <f>Data!AT75</f>
        <v>0</v>
      </c>
      <c r="AI4">
        <f>Data!AU75</f>
        <v>0</v>
      </c>
      <c r="AJ4">
        <f>Data!AV75</f>
        <v>0</v>
      </c>
      <c r="AK4">
        <f>Data!AW75</f>
        <v>0</v>
      </c>
      <c r="AL4">
        <f>Data!AX75</f>
        <v>0</v>
      </c>
      <c r="AM4">
        <f>Data!AY75</f>
        <v>0</v>
      </c>
      <c r="AN4">
        <f>Data!AZ75</f>
        <v>0</v>
      </c>
      <c r="AO4">
        <f>Data!BA75</f>
        <v>0</v>
      </c>
      <c r="AP4">
        <f>Data!BB75</f>
        <v>0</v>
      </c>
      <c r="AQ4">
        <f>Data!BC75</f>
        <v>0</v>
      </c>
    </row>
    <row r="5" spans="1:43" x14ac:dyDescent="0.15">
      <c r="A5" t="s">
        <v>4</v>
      </c>
      <c r="B5" s="15">
        <f t="shared" si="0"/>
        <v>1</v>
      </c>
      <c r="C5">
        <f>Data!O76</f>
        <v>1</v>
      </c>
      <c r="D5">
        <f>Data!P76</f>
        <v>1</v>
      </c>
      <c r="E5">
        <f>Data!Q76</f>
        <v>1</v>
      </c>
      <c r="F5">
        <f>Data!R76</f>
        <v>1</v>
      </c>
      <c r="G5">
        <f>Data!S76</f>
        <v>1</v>
      </c>
      <c r="H5">
        <f>Data!T76</f>
        <v>1</v>
      </c>
      <c r="I5">
        <f>Data!U76</f>
        <v>1</v>
      </c>
      <c r="J5">
        <f>Data!V76</f>
        <v>1</v>
      </c>
      <c r="K5">
        <f>Data!W76</f>
        <v>1</v>
      </c>
      <c r="L5">
        <f>Data!X76</f>
        <v>1</v>
      </c>
      <c r="M5">
        <f>Data!Y76</f>
        <v>1</v>
      </c>
      <c r="N5">
        <f>Data!Z76</f>
        <v>1</v>
      </c>
      <c r="O5">
        <f>Data!AA76</f>
        <v>1</v>
      </c>
      <c r="P5">
        <f>Data!AB76</f>
        <v>1</v>
      </c>
      <c r="Q5">
        <f>Data!AC76</f>
        <v>1</v>
      </c>
      <c r="R5">
        <f>Data!AD76</f>
        <v>1</v>
      </c>
      <c r="S5">
        <f>Data!AE76</f>
        <v>1</v>
      </c>
      <c r="T5">
        <f>Data!AF76</f>
        <v>1</v>
      </c>
      <c r="U5">
        <f>Data!AG76</f>
        <v>1</v>
      </c>
      <c r="V5">
        <f>Data!AH76</f>
        <v>1</v>
      </c>
      <c r="W5">
        <f>Data!AI76</f>
        <v>1</v>
      </c>
      <c r="X5">
        <f>Data!AJ76</f>
        <v>1</v>
      </c>
      <c r="Y5">
        <f>Data!AK76</f>
        <v>1</v>
      </c>
      <c r="Z5">
        <f>Data!AL76</f>
        <v>1</v>
      </c>
      <c r="AA5">
        <f>Data!AM76</f>
        <v>1</v>
      </c>
      <c r="AB5">
        <f>Data!AN76</f>
        <v>1</v>
      </c>
      <c r="AC5">
        <f>Data!AO76</f>
        <v>1</v>
      </c>
      <c r="AD5">
        <f>Data!AP76</f>
        <v>1</v>
      </c>
      <c r="AE5">
        <f>Data!AQ76</f>
        <v>1</v>
      </c>
      <c r="AF5">
        <f>Data!AR76</f>
        <v>1</v>
      </c>
      <c r="AG5">
        <f>Data!AS76</f>
        <v>1</v>
      </c>
      <c r="AH5">
        <f>Data!AT76</f>
        <v>1</v>
      </c>
      <c r="AI5">
        <f>Data!AU76</f>
        <v>1</v>
      </c>
      <c r="AJ5">
        <f>Data!AV76</f>
        <v>1</v>
      </c>
      <c r="AK5">
        <f>Data!AW76</f>
        <v>1</v>
      </c>
      <c r="AL5">
        <f>Data!AX76</f>
        <v>1</v>
      </c>
      <c r="AM5">
        <f>Data!AY76</f>
        <v>1</v>
      </c>
      <c r="AN5">
        <f>Data!AZ76</f>
        <v>1</v>
      </c>
      <c r="AO5">
        <f>Data!BA76</f>
        <v>1</v>
      </c>
      <c r="AP5">
        <f>Data!BB76</f>
        <v>1</v>
      </c>
      <c r="AQ5">
        <f>Data!BC76</f>
        <v>1</v>
      </c>
    </row>
    <row r="6" spans="1:43" x14ac:dyDescent="0.15">
      <c r="A6" t="s">
        <v>5</v>
      </c>
      <c r="B6" s="15">
        <f t="shared" si="0"/>
        <v>0</v>
      </c>
      <c r="C6">
        <f>Data!O77</f>
        <v>0</v>
      </c>
      <c r="D6">
        <f>Data!P77</f>
        <v>0</v>
      </c>
      <c r="E6">
        <f>Data!Q77</f>
        <v>0</v>
      </c>
      <c r="F6">
        <f>Data!R77</f>
        <v>0</v>
      </c>
      <c r="G6">
        <f>Data!S77</f>
        <v>0</v>
      </c>
      <c r="H6">
        <f>Data!T77</f>
        <v>0</v>
      </c>
      <c r="I6">
        <f>Data!U77</f>
        <v>0</v>
      </c>
      <c r="J6">
        <f>Data!V77</f>
        <v>0</v>
      </c>
      <c r="K6">
        <f>Data!W77</f>
        <v>0</v>
      </c>
      <c r="L6">
        <f>Data!X77</f>
        <v>0</v>
      </c>
      <c r="M6">
        <f>Data!Y77</f>
        <v>0</v>
      </c>
      <c r="N6">
        <f>Data!Z77</f>
        <v>0</v>
      </c>
      <c r="O6">
        <f>Data!AA77</f>
        <v>0</v>
      </c>
      <c r="P6">
        <f>Data!AB77</f>
        <v>0</v>
      </c>
      <c r="Q6">
        <f>Data!AC77</f>
        <v>0</v>
      </c>
      <c r="R6">
        <f>Data!AD77</f>
        <v>0</v>
      </c>
      <c r="S6">
        <f>Data!AE77</f>
        <v>0</v>
      </c>
      <c r="T6">
        <f>Data!AF77</f>
        <v>0</v>
      </c>
      <c r="U6">
        <f>Data!AG77</f>
        <v>0</v>
      </c>
      <c r="V6">
        <f>Data!AH77</f>
        <v>0</v>
      </c>
      <c r="W6">
        <f>Data!AI77</f>
        <v>0</v>
      </c>
      <c r="X6">
        <f>Data!AJ77</f>
        <v>0</v>
      </c>
      <c r="Y6">
        <f>Data!AK77</f>
        <v>0</v>
      </c>
      <c r="Z6">
        <f>Data!AL77</f>
        <v>0</v>
      </c>
      <c r="AA6">
        <f>Data!AM77</f>
        <v>0</v>
      </c>
      <c r="AB6">
        <f>Data!AN77</f>
        <v>0</v>
      </c>
      <c r="AC6">
        <f>Data!AO77</f>
        <v>0</v>
      </c>
      <c r="AD6">
        <f>Data!AP77</f>
        <v>0</v>
      </c>
      <c r="AE6">
        <f>Data!AQ77</f>
        <v>0</v>
      </c>
      <c r="AF6">
        <f>Data!AR77</f>
        <v>0</v>
      </c>
      <c r="AG6">
        <f>Data!AS77</f>
        <v>0</v>
      </c>
      <c r="AH6">
        <f>Data!AT77</f>
        <v>0</v>
      </c>
      <c r="AI6">
        <f>Data!AU77</f>
        <v>0</v>
      </c>
      <c r="AJ6">
        <f>Data!AV77</f>
        <v>0</v>
      </c>
      <c r="AK6">
        <f>Data!AW77</f>
        <v>0</v>
      </c>
      <c r="AL6">
        <f>Data!AX77</f>
        <v>0</v>
      </c>
      <c r="AM6">
        <f>Data!AY77</f>
        <v>0</v>
      </c>
      <c r="AN6">
        <f>Data!AZ77</f>
        <v>0</v>
      </c>
      <c r="AO6">
        <f>Data!BA77</f>
        <v>0</v>
      </c>
      <c r="AP6">
        <f>Data!BB77</f>
        <v>0</v>
      </c>
      <c r="AQ6">
        <f>Data!BC77</f>
        <v>0</v>
      </c>
    </row>
    <row r="7" spans="1:43" x14ac:dyDescent="0.15">
      <c r="A7" t="s">
        <v>125</v>
      </c>
      <c r="B7" s="15">
        <f t="shared" si="0"/>
        <v>0</v>
      </c>
      <c r="C7">
        <f>Data!O78</f>
        <v>0</v>
      </c>
      <c r="D7">
        <f>Data!P78</f>
        <v>0</v>
      </c>
      <c r="E7">
        <f>Data!Q78</f>
        <v>0</v>
      </c>
      <c r="F7">
        <f>Data!R78</f>
        <v>0</v>
      </c>
      <c r="G7">
        <f>Data!S78</f>
        <v>0</v>
      </c>
      <c r="H7">
        <f>Data!T78</f>
        <v>0</v>
      </c>
      <c r="I7">
        <f>Data!U78</f>
        <v>0</v>
      </c>
      <c r="J7">
        <f>Data!V78</f>
        <v>0</v>
      </c>
      <c r="K7">
        <f>Data!W78</f>
        <v>0</v>
      </c>
      <c r="L7">
        <f>Data!X78</f>
        <v>0</v>
      </c>
      <c r="M7">
        <f>Data!Y78</f>
        <v>0</v>
      </c>
      <c r="N7">
        <f>Data!Z78</f>
        <v>0</v>
      </c>
      <c r="O7">
        <f>Data!AA78</f>
        <v>0</v>
      </c>
      <c r="P7">
        <f>Data!AB78</f>
        <v>0</v>
      </c>
      <c r="Q7">
        <f>Data!AC78</f>
        <v>0</v>
      </c>
      <c r="R7">
        <f>Data!AD78</f>
        <v>0</v>
      </c>
      <c r="S7">
        <f>Data!AE78</f>
        <v>0</v>
      </c>
      <c r="T7">
        <f>Data!AF78</f>
        <v>0</v>
      </c>
      <c r="U7">
        <f>Data!AG78</f>
        <v>0</v>
      </c>
      <c r="V7">
        <f>Data!AH78</f>
        <v>0</v>
      </c>
      <c r="W7">
        <f>Data!AI78</f>
        <v>0</v>
      </c>
      <c r="X7">
        <f>Data!AJ78</f>
        <v>0</v>
      </c>
      <c r="Y7">
        <f>Data!AK78</f>
        <v>0</v>
      </c>
      <c r="Z7">
        <f>Data!AL78</f>
        <v>0</v>
      </c>
      <c r="AA7">
        <f>Data!AM78</f>
        <v>0</v>
      </c>
      <c r="AB7">
        <f>Data!AN78</f>
        <v>0</v>
      </c>
      <c r="AC7">
        <f>Data!AO78</f>
        <v>0</v>
      </c>
      <c r="AD7">
        <f>Data!AP78</f>
        <v>0</v>
      </c>
      <c r="AE7">
        <f>Data!AQ78</f>
        <v>0</v>
      </c>
      <c r="AF7">
        <f>Data!AR78</f>
        <v>0</v>
      </c>
      <c r="AG7">
        <f>Data!AS78</f>
        <v>0</v>
      </c>
      <c r="AH7">
        <f>Data!AT78</f>
        <v>0</v>
      </c>
      <c r="AI7">
        <f>Data!AU78</f>
        <v>0</v>
      </c>
      <c r="AJ7">
        <f>Data!AV78</f>
        <v>0</v>
      </c>
      <c r="AK7">
        <f>Data!AW78</f>
        <v>0</v>
      </c>
      <c r="AL7">
        <f>Data!AX78</f>
        <v>0</v>
      </c>
      <c r="AM7">
        <f>Data!AY78</f>
        <v>0</v>
      </c>
      <c r="AN7">
        <f>Data!AZ78</f>
        <v>0</v>
      </c>
      <c r="AO7">
        <f>Data!BA78</f>
        <v>0</v>
      </c>
      <c r="AP7">
        <f>Data!BB78</f>
        <v>0</v>
      </c>
      <c r="AQ7">
        <f>Data!BC78</f>
        <v>0</v>
      </c>
    </row>
    <row r="8" spans="1:43" x14ac:dyDescent="0.15">
      <c r="A8" t="s">
        <v>126</v>
      </c>
      <c r="B8" s="15">
        <f t="shared" si="0"/>
        <v>0</v>
      </c>
      <c r="C8">
        <f>Data!O79</f>
        <v>0</v>
      </c>
      <c r="D8">
        <f>Data!P79</f>
        <v>0</v>
      </c>
      <c r="E8">
        <f>Data!Q79</f>
        <v>0</v>
      </c>
      <c r="F8">
        <f>Data!R79</f>
        <v>0</v>
      </c>
      <c r="G8">
        <f>Data!S79</f>
        <v>0</v>
      </c>
      <c r="H8">
        <f>Data!T79</f>
        <v>0</v>
      </c>
      <c r="I8">
        <f>Data!U79</f>
        <v>0</v>
      </c>
      <c r="J8">
        <f>Data!V79</f>
        <v>0</v>
      </c>
      <c r="K8">
        <f>Data!W79</f>
        <v>0</v>
      </c>
      <c r="L8">
        <f>Data!X79</f>
        <v>0</v>
      </c>
      <c r="M8">
        <f>Data!Y79</f>
        <v>0</v>
      </c>
      <c r="N8">
        <f>Data!Z79</f>
        <v>0</v>
      </c>
      <c r="O8">
        <f>Data!AA79</f>
        <v>0</v>
      </c>
      <c r="P8">
        <f>Data!AB79</f>
        <v>0</v>
      </c>
      <c r="Q8">
        <f>Data!AC79</f>
        <v>0</v>
      </c>
      <c r="R8">
        <f>Data!AD79</f>
        <v>0</v>
      </c>
      <c r="S8">
        <f>Data!AE79</f>
        <v>0</v>
      </c>
      <c r="T8">
        <f>Data!AF79</f>
        <v>0</v>
      </c>
      <c r="U8">
        <f>Data!AG79</f>
        <v>0</v>
      </c>
      <c r="V8">
        <f>Data!AH79</f>
        <v>0</v>
      </c>
      <c r="W8">
        <f>Data!AI79</f>
        <v>0</v>
      </c>
      <c r="X8">
        <f>Data!AJ79</f>
        <v>0</v>
      </c>
      <c r="Y8">
        <f>Data!AK79</f>
        <v>0</v>
      </c>
      <c r="Z8">
        <f>Data!AL79</f>
        <v>0</v>
      </c>
      <c r="AA8">
        <f>Data!AM79</f>
        <v>0</v>
      </c>
      <c r="AB8">
        <f>Data!AN79</f>
        <v>0</v>
      </c>
      <c r="AC8">
        <f>Data!AO79</f>
        <v>0</v>
      </c>
      <c r="AD8">
        <f>Data!AP79</f>
        <v>0</v>
      </c>
      <c r="AE8">
        <f>Data!AQ79</f>
        <v>0</v>
      </c>
      <c r="AF8">
        <f>Data!AR79</f>
        <v>0</v>
      </c>
      <c r="AG8">
        <f>Data!AS79</f>
        <v>0</v>
      </c>
      <c r="AH8">
        <f>Data!AT79</f>
        <v>0</v>
      </c>
      <c r="AI8">
        <f>Data!AU79</f>
        <v>0</v>
      </c>
      <c r="AJ8">
        <f>Data!AV79</f>
        <v>0</v>
      </c>
      <c r="AK8">
        <f>Data!AW79</f>
        <v>0</v>
      </c>
      <c r="AL8">
        <f>Data!AX79</f>
        <v>0</v>
      </c>
      <c r="AM8">
        <f>Data!AY79</f>
        <v>0</v>
      </c>
      <c r="AN8">
        <f>Data!AZ79</f>
        <v>0</v>
      </c>
      <c r="AO8">
        <f>Data!BA79</f>
        <v>0</v>
      </c>
      <c r="AP8">
        <f>Data!BB79</f>
        <v>0</v>
      </c>
      <c r="AQ8">
        <f>Data!BC79</f>
        <v>0</v>
      </c>
    </row>
  </sheetData>
  <phoneticPr fontId="10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Q8"/>
  <sheetViews>
    <sheetView workbookViewId="0">
      <selection activeCell="B2" sqref="B2:AQ8"/>
    </sheetView>
  </sheetViews>
  <sheetFormatPr defaultColWidth="9.125" defaultRowHeight="12.9" x14ac:dyDescent="0.15"/>
  <cols>
    <col min="1" max="1" width="24.5" customWidth="1"/>
    <col min="2" max="2" width="12.125" customWidth="1"/>
  </cols>
  <sheetData>
    <row r="1" spans="1:43" ht="38.75" x14ac:dyDescent="0.15">
      <c r="A1" s="25" t="s">
        <v>128</v>
      </c>
      <c r="B1" s="35">
        <v>2019</v>
      </c>
      <c r="C1">
        <f>Data!O9</f>
        <v>2020</v>
      </c>
      <c r="D1">
        <f>Data!P9</f>
        <v>2021</v>
      </c>
      <c r="E1">
        <f>Data!Q9</f>
        <v>2022</v>
      </c>
      <c r="F1">
        <f>Data!R9</f>
        <v>2023</v>
      </c>
      <c r="G1">
        <f>Data!S9</f>
        <v>2024</v>
      </c>
      <c r="H1">
        <f>Data!T9</f>
        <v>2025</v>
      </c>
      <c r="I1">
        <f>Data!U9</f>
        <v>2026</v>
      </c>
      <c r="J1">
        <f>Data!V9</f>
        <v>2027</v>
      </c>
      <c r="K1">
        <f>Data!W9</f>
        <v>2028</v>
      </c>
      <c r="L1">
        <f>Data!X9</f>
        <v>2029</v>
      </c>
      <c r="M1">
        <f>Data!Y9</f>
        <v>2030</v>
      </c>
      <c r="N1">
        <f>Data!Z9</f>
        <v>2031</v>
      </c>
      <c r="O1">
        <f>Data!AA9</f>
        <v>2032</v>
      </c>
      <c r="P1">
        <f>Data!AB9</f>
        <v>2033</v>
      </c>
      <c r="Q1">
        <f>Data!AC9</f>
        <v>2034</v>
      </c>
      <c r="R1">
        <f>Data!AD9</f>
        <v>2035</v>
      </c>
      <c r="S1">
        <f>Data!AE9</f>
        <v>2036</v>
      </c>
      <c r="T1">
        <f>Data!AF9</f>
        <v>2037</v>
      </c>
      <c r="U1">
        <f>Data!AG9</f>
        <v>2038</v>
      </c>
      <c r="V1">
        <f>Data!AH9</f>
        <v>2039</v>
      </c>
      <c r="W1">
        <f>Data!AI9</f>
        <v>2040</v>
      </c>
      <c r="X1">
        <f>Data!AJ9</f>
        <v>2041</v>
      </c>
      <c r="Y1">
        <f>Data!AK9</f>
        <v>2042</v>
      </c>
      <c r="Z1">
        <f>Data!AL9</f>
        <v>2043</v>
      </c>
      <c r="AA1">
        <f>Data!AM9</f>
        <v>2044</v>
      </c>
      <c r="AB1">
        <f>Data!AN9</f>
        <v>2045</v>
      </c>
      <c r="AC1">
        <f>Data!AO9</f>
        <v>2046</v>
      </c>
      <c r="AD1">
        <f>Data!AP9</f>
        <v>2047</v>
      </c>
      <c r="AE1">
        <f>Data!AQ9</f>
        <v>2048</v>
      </c>
      <c r="AF1">
        <f>Data!AR9</f>
        <v>2049</v>
      </c>
      <c r="AG1">
        <f>Data!AS9</f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</v>
      </c>
      <c r="B2" s="15">
        <f>MAX(0,TREND(C2:E2,C$1:E$1,B$1))</f>
        <v>0</v>
      </c>
      <c r="C2">
        <f>Data!O80</f>
        <v>1.7235436056532231E-4</v>
      </c>
      <c r="D2">
        <f>Data!P80</f>
        <v>2.0009240531434616E-2</v>
      </c>
      <c r="E2">
        <f>Data!Q80</f>
        <v>2.6764763829610287E-2</v>
      </c>
      <c r="F2">
        <f>Data!R80</f>
        <v>3.5737412783619867E-2</v>
      </c>
      <c r="G2">
        <f>Data!S80</f>
        <v>4.7590053482086329E-2</v>
      </c>
      <c r="H2">
        <f>Data!T80</f>
        <v>6.3134856685045981E-2</v>
      </c>
      <c r="I2">
        <f>Data!U80</f>
        <v>8.3330715677567002E-2</v>
      </c>
      <c r="J2">
        <f>Data!V80</f>
        <v>0.10925037224332138</v>
      </c>
      <c r="K2">
        <f>Data!W80</f>
        <v>0.14199897061146671</v>
      </c>
      <c r="L2">
        <f>Data!X80</f>
        <v>0.18256643633241523</v>
      </c>
      <c r="M2">
        <f>Data!Y80</f>
        <v>0.23160767509862096</v>
      </c>
      <c r="N2">
        <f>Data!Z80</f>
        <v>0.28917303262191524</v>
      </c>
      <c r="O2">
        <f>Data!AA80</f>
        <v>0.35445497545400906</v>
      </c>
      <c r="P2">
        <f>Data!AB80</f>
        <v>0.42565649086100765</v>
      </c>
      <c r="Q2">
        <f>Data!AC80</f>
        <v>0.5000861771802827</v>
      </c>
      <c r="R2">
        <f>Data!AD80</f>
        <v>0.57451586349955774</v>
      </c>
      <c r="S2">
        <f>Data!AE80</f>
        <v>0.64571737890655623</v>
      </c>
      <c r="T2">
        <f>Data!AF80</f>
        <v>0.7109993217386501</v>
      </c>
      <c r="U2">
        <f>Data!AG80</f>
        <v>0.76856467926194427</v>
      </c>
      <c r="V2">
        <f>Data!AH80</f>
        <v>0.81760591802815008</v>
      </c>
      <c r="W2">
        <f>Data!AI80</f>
        <v>0.85817338374909868</v>
      </c>
      <c r="X2">
        <f>Data!AJ80</f>
        <v>0.89092198211724394</v>
      </c>
      <c r="Y2">
        <f>Data!AK80</f>
        <v>0.91684163868299839</v>
      </c>
      <c r="Z2">
        <f>Data!AL80</f>
        <v>0.93703749767551936</v>
      </c>
      <c r="AA2">
        <f>Data!AM80</f>
        <v>0.95258230087847906</v>
      </c>
      <c r="AB2">
        <f>Data!AN80</f>
        <v>0.96443494157694554</v>
      </c>
      <c r="AC2">
        <f>Data!AO80</f>
        <v>0.97340759053095494</v>
      </c>
      <c r="AD2">
        <f>Data!AP80</f>
        <v>0.98016311382913079</v>
      </c>
      <c r="AE2">
        <f>Data!AQ80</f>
        <v>0.98522851467551242</v>
      </c>
      <c r="AF2">
        <f>Data!AR80</f>
        <v>0.98901495101687853</v>
      </c>
      <c r="AG2">
        <f>Data!AS80</f>
        <v>0.99183883570157183</v>
      </c>
      <c r="AH2">
        <f>Data!AT80</f>
        <v>0.99183883570157183</v>
      </c>
      <c r="AI2">
        <f>Data!AU80</f>
        <v>0.99183883570157183</v>
      </c>
      <c r="AJ2">
        <f>Data!AV80</f>
        <v>0.99183883570157183</v>
      </c>
      <c r="AK2">
        <f>Data!AW80</f>
        <v>0.99183883570157183</v>
      </c>
      <c r="AL2">
        <f>Data!AX80</f>
        <v>0.99183883570157183</v>
      </c>
      <c r="AM2">
        <f>Data!AY80</f>
        <v>0.99183883570157183</v>
      </c>
      <c r="AN2">
        <f>Data!AZ80</f>
        <v>0.99183883570157183</v>
      </c>
      <c r="AO2">
        <f>Data!BA80</f>
        <v>0.99183883570157183</v>
      </c>
      <c r="AP2">
        <f>Data!BB80</f>
        <v>0.99183883570157183</v>
      </c>
      <c r="AQ2">
        <f>Data!BC80</f>
        <v>0.99183883570157183</v>
      </c>
    </row>
    <row r="3" spans="1:43" x14ac:dyDescent="0.15">
      <c r="A3" t="s">
        <v>2</v>
      </c>
      <c r="B3" s="15">
        <f t="shared" ref="B3:B8" si="0">MAX(0,TREND(C3:E3,C$1:E$1,B$1))</f>
        <v>0</v>
      </c>
      <c r="C3">
        <f>Data!O81</f>
        <v>0</v>
      </c>
      <c r="D3">
        <f>Data!P81</f>
        <v>0</v>
      </c>
      <c r="E3">
        <f>Data!Q81</f>
        <v>0</v>
      </c>
      <c r="F3">
        <f>Data!R81</f>
        <v>0</v>
      </c>
      <c r="G3">
        <f>Data!S81</f>
        <v>0</v>
      </c>
      <c r="H3">
        <f>Data!T81</f>
        <v>0</v>
      </c>
      <c r="I3">
        <f>Data!U81</f>
        <v>0</v>
      </c>
      <c r="J3">
        <f>Data!V81</f>
        <v>0</v>
      </c>
      <c r="K3">
        <f>Data!W81</f>
        <v>0</v>
      </c>
      <c r="L3">
        <f>Data!X81</f>
        <v>0</v>
      </c>
      <c r="M3">
        <f>Data!Y81</f>
        <v>0</v>
      </c>
      <c r="N3">
        <f>Data!Z81</f>
        <v>0</v>
      </c>
      <c r="O3">
        <f>Data!AA81</f>
        <v>0</v>
      </c>
      <c r="P3">
        <f>Data!AB81</f>
        <v>0</v>
      </c>
      <c r="Q3">
        <f>Data!AC81</f>
        <v>0</v>
      </c>
      <c r="R3">
        <f>Data!AD81</f>
        <v>0</v>
      </c>
      <c r="S3">
        <f>Data!AE81</f>
        <v>0</v>
      </c>
      <c r="T3">
        <f>Data!AF81</f>
        <v>0</v>
      </c>
      <c r="U3">
        <f>Data!AG81</f>
        <v>0</v>
      </c>
      <c r="V3">
        <f>Data!AH81</f>
        <v>0</v>
      </c>
      <c r="W3">
        <f>Data!AI81</f>
        <v>0</v>
      </c>
      <c r="X3">
        <f>Data!AJ81</f>
        <v>0</v>
      </c>
      <c r="Y3">
        <f>Data!AK81</f>
        <v>0</v>
      </c>
      <c r="Z3">
        <f>Data!AL81</f>
        <v>0</v>
      </c>
      <c r="AA3">
        <f>Data!AM81</f>
        <v>0</v>
      </c>
      <c r="AB3">
        <f>Data!AN81</f>
        <v>0</v>
      </c>
      <c r="AC3">
        <f>Data!AO81</f>
        <v>0</v>
      </c>
      <c r="AD3">
        <f>Data!AP81</f>
        <v>0</v>
      </c>
      <c r="AE3">
        <f>Data!AQ81</f>
        <v>0</v>
      </c>
      <c r="AF3">
        <f>Data!AR81</f>
        <v>0</v>
      </c>
      <c r="AG3">
        <f>Data!AS81</f>
        <v>0</v>
      </c>
      <c r="AH3">
        <f>Data!AT81</f>
        <v>0</v>
      </c>
      <c r="AI3">
        <f>Data!AU81</f>
        <v>0</v>
      </c>
      <c r="AJ3">
        <f>Data!AV81</f>
        <v>0</v>
      </c>
      <c r="AK3">
        <f>Data!AW81</f>
        <v>0</v>
      </c>
      <c r="AL3">
        <f>Data!AX81</f>
        <v>0</v>
      </c>
      <c r="AM3">
        <f>Data!AY81</f>
        <v>0</v>
      </c>
      <c r="AN3">
        <f>Data!AZ81</f>
        <v>0</v>
      </c>
      <c r="AO3">
        <f>Data!BA81</f>
        <v>0</v>
      </c>
      <c r="AP3">
        <f>Data!BB81</f>
        <v>0</v>
      </c>
      <c r="AQ3">
        <f>Data!BC81</f>
        <v>0</v>
      </c>
    </row>
    <row r="4" spans="1:43" x14ac:dyDescent="0.15">
      <c r="A4" t="s">
        <v>3</v>
      </c>
      <c r="B4" s="15">
        <f t="shared" si="0"/>
        <v>3</v>
      </c>
      <c r="C4">
        <f>Data!O82</f>
        <v>3</v>
      </c>
      <c r="D4">
        <f>Data!P82</f>
        <v>3</v>
      </c>
      <c r="E4">
        <f>Data!Q82</f>
        <v>3</v>
      </c>
      <c r="F4">
        <f>Data!R82</f>
        <v>3</v>
      </c>
      <c r="G4">
        <f>Data!S82</f>
        <v>3</v>
      </c>
      <c r="H4">
        <f>Data!T82</f>
        <v>3</v>
      </c>
      <c r="I4">
        <f>Data!U82</f>
        <v>3</v>
      </c>
      <c r="J4">
        <f>Data!V82</f>
        <v>3</v>
      </c>
      <c r="K4">
        <f>Data!W82</f>
        <v>3</v>
      </c>
      <c r="L4">
        <f>Data!X82</f>
        <v>3</v>
      </c>
      <c r="M4">
        <f>Data!Y82</f>
        <v>3</v>
      </c>
      <c r="N4">
        <f>Data!Z82</f>
        <v>3</v>
      </c>
      <c r="O4">
        <f>Data!AA82</f>
        <v>3</v>
      </c>
      <c r="P4">
        <f>Data!AB82</f>
        <v>3</v>
      </c>
      <c r="Q4">
        <f>Data!AC82</f>
        <v>3</v>
      </c>
      <c r="R4">
        <f>Data!AD82</f>
        <v>3</v>
      </c>
      <c r="S4">
        <f>Data!AE82</f>
        <v>3</v>
      </c>
      <c r="T4">
        <f>Data!AF82</f>
        <v>3</v>
      </c>
      <c r="U4">
        <f>Data!AG82</f>
        <v>3</v>
      </c>
      <c r="V4">
        <f>Data!AH82</f>
        <v>3</v>
      </c>
      <c r="W4">
        <f>Data!AI82</f>
        <v>3</v>
      </c>
      <c r="X4">
        <f>Data!AJ82</f>
        <v>3</v>
      </c>
      <c r="Y4">
        <f>Data!AK82</f>
        <v>3</v>
      </c>
      <c r="Z4">
        <f>Data!AL82</f>
        <v>3</v>
      </c>
      <c r="AA4">
        <f>Data!AM82</f>
        <v>3</v>
      </c>
      <c r="AB4">
        <f>Data!AN82</f>
        <v>3</v>
      </c>
      <c r="AC4">
        <f>Data!AO82</f>
        <v>3</v>
      </c>
      <c r="AD4">
        <f>Data!AP82</f>
        <v>3</v>
      </c>
      <c r="AE4">
        <f>Data!AQ82</f>
        <v>3</v>
      </c>
      <c r="AF4">
        <f>Data!AR82</f>
        <v>3</v>
      </c>
      <c r="AG4">
        <f>Data!AS82</f>
        <v>3</v>
      </c>
      <c r="AH4">
        <f>Data!AT82</f>
        <v>3</v>
      </c>
      <c r="AI4">
        <f>Data!AU82</f>
        <v>3</v>
      </c>
      <c r="AJ4">
        <f>Data!AV82</f>
        <v>3</v>
      </c>
      <c r="AK4">
        <f>Data!AW82</f>
        <v>3</v>
      </c>
      <c r="AL4">
        <f>Data!AX82</f>
        <v>3</v>
      </c>
      <c r="AM4">
        <f>Data!AY82</f>
        <v>3</v>
      </c>
      <c r="AN4">
        <f>Data!AZ82</f>
        <v>3</v>
      </c>
      <c r="AO4">
        <f>Data!BA82</f>
        <v>3</v>
      </c>
      <c r="AP4">
        <f>Data!BB82</f>
        <v>3</v>
      </c>
      <c r="AQ4">
        <f>Data!BC82</f>
        <v>3</v>
      </c>
    </row>
    <row r="5" spans="1:43" x14ac:dyDescent="0.15">
      <c r="A5" t="s">
        <v>4</v>
      </c>
      <c r="B5" s="15">
        <f t="shared" si="0"/>
        <v>0</v>
      </c>
      <c r="C5">
        <f>Data!O83</f>
        <v>0</v>
      </c>
      <c r="D5">
        <f>Data!P83</f>
        <v>0</v>
      </c>
      <c r="E5">
        <f>Data!Q83</f>
        <v>0</v>
      </c>
      <c r="F5">
        <f>Data!R83</f>
        <v>0</v>
      </c>
      <c r="G5">
        <f>Data!S83</f>
        <v>0</v>
      </c>
      <c r="H5">
        <f>Data!T83</f>
        <v>0</v>
      </c>
      <c r="I5">
        <f>Data!U83</f>
        <v>0</v>
      </c>
      <c r="J5">
        <f>Data!V83</f>
        <v>0</v>
      </c>
      <c r="K5">
        <f>Data!W83</f>
        <v>0</v>
      </c>
      <c r="L5">
        <f>Data!X83</f>
        <v>0</v>
      </c>
      <c r="M5">
        <f>Data!Y83</f>
        <v>0</v>
      </c>
      <c r="N5">
        <f>Data!Z83</f>
        <v>0</v>
      </c>
      <c r="O5">
        <f>Data!AA83</f>
        <v>0</v>
      </c>
      <c r="P5">
        <f>Data!AB83</f>
        <v>0</v>
      </c>
      <c r="Q5">
        <f>Data!AC83</f>
        <v>0</v>
      </c>
      <c r="R5">
        <f>Data!AD83</f>
        <v>0</v>
      </c>
      <c r="S5">
        <f>Data!AE83</f>
        <v>0</v>
      </c>
      <c r="T5">
        <f>Data!AF83</f>
        <v>0</v>
      </c>
      <c r="U5">
        <f>Data!AG83</f>
        <v>0</v>
      </c>
      <c r="V5">
        <f>Data!AH83</f>
        <v>0</v>
      </c>
      <c r="W5">
        <f>Data!AI83</f>
        <v>0</v>
      </c>
      <c r="X5">
        <f>Data!AJ83</f>
        <v>0</v>
      </c>
      <c r="Y5">
        <f>Data!AK83</f>
        <v>0</v>
      </c>
      <c r="Z5">
        <f>Data!AL83</f>
        <v>0</v>
      </c>
      <c r="AA5">
        <f>Data!AM83</f>
        <v>0</v>
      </c>
      <c r="AB5">
        <f>Data!AN83</f>
        <v>0</v>
      </c>
      <c r="AC5">
        <f>Data!AO83</f>
        <v>0</v>
      </c>
      <c r="AD5">
        <f>Data!AP83</f>
        <v>0</v>
      </c>
      <c r="AE5">
        <f>Data!AQ83</f>
        <v>0</v>
      </c>
      <c r="AF5">
        <f>Data!AR83</f>
        <v>0</v>
      </c>
      <c r="AG5">
        <f>Data!AS83</f>
        <v>0</v>
      </c>
      <c r="AH5">
        <f>Data!AT83</f>
        <v>0</v>
      </c>
      <c r="AI5">
        <f>Data!AU83</f>
        <v>0</v>
      </c>
      <c r="AJ5">
        <f>Data!AV83</f>
        <v>0</v>
      </c>
      <c r="AK5">
        <f>Data!AW83</f>
        <v>0</v>
      </c>
      <c r="AL5">
        <f>Data!AX83</f>
        <v>0</v>
      </c>
      <c r="AM5">
        <f>Data!AY83</f>
        <v>0</v>
      </c>
      <c r="AN5">
        <f>Data!AZ83</f>
        <v>0</v>
      </c>
      <c r="AO5">
        <f>Data!BA83</f>
        <v>0</v>
      </c>
      <c r="AP5">
        <f>Data!BB83</f>
        <v>0</v>
      </c>
      <c r="AQ5">
        <f>Data!BC83</f>
        <v>0</v>
      </c>
    </row>
    <row r="6" spans="1:43" x14ac:dyDescent="0.15">
      <c r="A6" t="s">
        <v>5</v>
      </c>
      <c r="B6" s="15">
        <f t="shared" si="0"/>
        <v>0</v>
      </c>
      <c r="C6">
        <f>Data!O84</f>
        <v>0</v>
      </c>
      <c r="D6">
        <f>Data!P84</f>
        <v>0</v>
      </c>
      <c r="E6">
        <f>Data!Q84</f>
        <v>0</v>
      </c>
      <c r="F6">
        <f>Data!R84</f>
        <v>0</v>
      </c>
      <c r="G6">
        <f>Data!S84</f>
        <v>0</v>
      </c>
      <c r="H6">
        <f>Data!T84</f>
        <v>0</v>
      </c>
      <c r="I6">
        <f>Data!U84</f>
        <v>0</v>
      </c>
      <c r="J6">
        <f>Data!V84</f>
        <v>0</v>
      </c>
      <c r="K6">
        <f>Data!W84</f>
        <v>0</v>
      </c>
      <c r="L6">
        <f>Data!X84</f>
        <v>0</v>
      </c>
      <c r="M6">
        <f>Data!Y84</f>
        <v>0</v>
      </c>
      <c r="N6">
        <f>Data!Z84</f>
        <v>0</v>
      </c>
      <c r="O6">
        <f>Data!AA84</f>
        <v>0</v>
      </c>
      <c r="P6">
        <f>Data!AB84</f>
        <v>0</v>
      </c>
      <c r="Q6">
        <f>Data!AC84</f>
        <v>0</v>
      </c>
      <c r="R6">
        <f>Data!AD84</f>
        <v>0</v>
      </c>
      <c r="S6">
        <f>Data!AE84</f>
        <v>0</v>
      </c>
      <c r="T6">
        <f>Data!AF84</f>
        <v>0</v>
      </c>
      <c r="U6">
        <f>Data!AG84</f>
        <v>0</v>
      </c>
      <c r="V6">
        <f>Data!AH84</f>
        <v>0</v>
      </c>
      <c r="W6">
        <f>Data!AI84</f>
        <v>0</v>
      </c>
      <c r="X6">
        <f>Data!AJ84</f>
        <v>0</v>
      </c>
      <c r="Y6">
        <f>Data!AK84</f>
        <v>0</v>
      </c>
      <c r="Z6">
        <f>Data!AL84</f>
        <v>0</v>
      </c>
      <c r="AA6">
        <f>Data!AM84</f>
        <v>0</v>
      </c>
      <c r="AB6">
        <f>Data!AN84</f>
        <v>0</v>
      </c>
      <c r="AC6">
        <f>Data!AO84</f>
        <v>0</v>
      </c>
      <c r="AD6">
        <f>Data!AP84</f>
        <v>0</v>
      </c>
      <c r="AE6">
        <f>Data!AQ84</f>
        <v>0</v>
      </c>
      <c r="AF6">
        <f>Data!AR84</f>
        <v>0</v>
      </c>
      <c r="AG6">
        <f>Data!AS84</f>
        <v>0</v>
      </c>
      <c r="AH6">
        <f>Data!AT84</f>
        <v>0</v>
      </c>
      <c r="AI6">
        <f>Data!AU84</f>
        <v>0</v>
      </c>
      <c r="AJ6">
        <f>Data!AV84</f>
        <v>0</v>
      </c>
      <c r="AK6">
        <f>Data!AW84</f>
        <v>0</v>
      </c>
      <c r="AL6">
        <f>Data!AX84</f>
        <v>0</v>
      </c>
      <c r="AM6">
        <f>Data!AY84</f>
        <v>0</v>
      </c>
      <c r="AN6">
        <f>Data!AZ84</f>
        <v>0</v>
      </c>
      <c r="AO6">
        <f>Data!BA84</f>
        <v>0</v>
      </c>
      <c r="AP6">
        <f>Data!BB84</f>
        <v>0</v>
      </c>
      <c r="AQ6">
        <f>Data!BC84</f>
        <v>0</v>
      </c>
    </row>
    <row r="7" spans="1:43" x14ac:dyDescent="0.15">
      <c r="A7" t="s">
        <v>125</v>
      </c>
      <c r="B7" s="15">
        <f t="shared" si="0"/>
        <v>0</v>
      </c>
      <c r="C7">
        <f>Data!O85</f>
        <v>0</v>
      </c>
      <c r="D7">
        <f>Data!P85</f>
        <v>0</v>
      </c>
      <c r="E7">
        <f>Data!Q85</f>
        <v>0</v>
      </c>
      <c r="F7">
        <f>Data!R85</f>
        <v>0</v>
      </c>
      <c r="G7">
        <f>Data!S85</f>
        <v>0</v>
      </c>
      <c r="H7">
        <f>Data!T85</f>
        <v>0</v>
      </c>
      <c r="I7">
        <f>Data!U85</f>
        <v>0</v>
      </c>
      <c r="J7">
        <f>Data!V85</f>
        <v>0</v>
      </c>
      <c r="K7">
        <f>Data!W85</f>
        <v>0</v>
      </c>
      <c r="L7">
        <f>Data!X85</f>
        <v>0</v>
      </c>
      <c r="M7">
        <f>Data!Y85</f>
        <v>0</v>
      </c>
      <c r="N7">
        <f>Data!Z85</f>
        <v>0</v>
      </c>
      <c r="O7">
        <f>Data!AA85</f>
        <v>0</v>
      </c>
      <c r="P7">
        <f>Data!AB85</f>
        <v>0</v>
      </c>
      <c r="Q7">
        <f>Data!AC85</f>
        <v>0</v>
      </c>
      <c r="R7">
        <f>Data!AD85</f>
        <v>0</v>
      </c>
      <c r="S7">
        <f>Data!AE85</f>
        <v>0</v>
      </c>
      <c r="T7">
        <f>Data!AF85</f>
        <v>0</v>
      </c>
      <c r="U7">
        <f>Data!AG85</f>
        <v>0</v>
      </c>
      <c r="V7">
        <f>Data!AH85</f>
        <v>0</v>
      </c>
      <c r="W7">
        <f>Data!AI85</f>
        <v>0</v>
      </c>
      <c r="X7">
        <f>Data!AJ85</f>
        <v>0</v>
      </c>
      <c r="Y7">
        <f>Data!AK85</f>
        <v>0</v>
      </c>
      <c r="Z7">
        <f>Data!AL85</f>
        <v>0</v>
      </c>
      <c r="AA7">
        <f>Data!AM85</f>
        <v>0</v>
      </c>
      <c r="AB7">
        <f>Data!AN85</f>
        <v>0</v>
      </c>
      <c r="AC7">
        <f>Data!AO85</f>
        <v>0</v>
      </c>
      <c r="AD7">
        <f>Data!AP85</f>
        <v>0</v>
      </c>
      <c r="AE7">
        <f>Data!AQ85</f>
        <v>0</v>
      </c>
      <c r="AF7">
        <f>Data!AR85</f>
        <v>0</v>
      </c>
      <c r="AG7">
        <f>Data!AS85</f>
        <v>0</v>
      </c>
      <c r="AH7">
        <f>Data!AT85</f>
        <v>0</v>
      </c>
      <c r="AI7">
        <f>Data!AU85</f>
        <v>0</v>
      </c>
      <c r="AJ7">
        <f>Data!AV85</f>
        <v>0</v>
      </c>
      <c r="AK7">
        <f>Data!AW85</f>
        <v>0</v>
      </c>
      <c r="AL7">
        <f>Data!AX85</f>
        <v>0</v>
      </c>
      <c r="AM7">
        <f>Data!AY85</f>
        <v>0</v>
      </c>
      <c r="AN7">
        <f>Data!AZ85</f>
        <v>0</v>
      </c>
      <c r="AO7">
        <f>Data!BA85</f>
        <v>0</v>
      </c>
      <c r="AP7">
        <f>Data!BB85</f>
        <v>0</v>
      </c>
      <c r="AQ7">
        <f>Data!BC85</f>
        <v>0</v>
      </c>
    </row>
    <row r="8" spans="1:43" x14ac:dyDescent="0.15">
      <c r="A8" t="s">
        <v>126</v>
      </c>
      <c r="B8" s="15">
        <f t="shared" si="0"/>
        <v>0</v>
      </c>
      <c r="C8">
        <f>Data!O86</f>
        <v>0</v>
      </c>
      <c r="D8">
        <f>Data!P86</f>
        <v>0</v>
      </c>
      <c r="E8">
        <f>Data!Q86</f>
        <v>0</v>
      </c>
      <c r="F8">
        <f>Data!R86</f>
        <v>0</v>
      </c>
      <c r="G8">
        <f>Data!S86</f>
        <v>0</v>
      </c>
      <c r="H8">
        <f>Data!T86</f>
        <v>0</v>
      </c>
      <c r="I8">
        <f>Data!U86</f>
        <v>0</v>
      </c>
      <c r="J8">
        <f>Data!V86</f>
        <v>0</v>
      </c>
      <c r="K8">
        <f>Data!W86</f>
        <v>0</v>
      </c>
      <c r="L8">
        <f>Data!X86</f>
        <v>0</v>
      </c>
      <c r="M8">
        <f>Data!Y86</f>
        <v>0</v>
      </c>
      <c r="N8">
        <f>Data!Z86</f>
        <v>0</v>
      </c>
      <c r="O8">
        <f>Data!AA86</f>
        <v>0</v>
      </c>
      <c r="P8">
        <f>Data!AB86</f>
        <v>0</v>
      </c>
      <c r="Q8">
        <f>Data!AC86</f>
        <v>0</v>
      </c>
      <c r="R8">
        <f>Data!AD86</f>
        <v>0</v>
      </c>
      <c r="S8">
        <f>Data!AE86</f>
        <v>0</v>
      </c>
      <c r="T8">
        <f>Data!AF86</f>
        <v>0</v>
      </c>
      <c r="U8">
        <f>Data!AG86</f>
        <v>0</v>
      </c>
      <c r="V8">
        <f>Data!AH86</f>
        <v>0</v>
      </c>
      <c r="W8">
        <f>Data!AI86</f>
        <v>0</v>
      </c>
      <c r="X8">
        <f>Data!AJ86</f>
        <v>0</v>
      </c>
      <c r="Y8">
        <f>Data!AK86</f>
        <v>0</v>
      </c>
      <c r="Z8">
        <f>Data!AL86</f>
        <v>0</v>
      </c>
      <c r="AA8">
        <f>Data!AM86</f>
        <v>0</v>
      </c>
      <c r="AB8">
        <f>Data!AN86</f>
        <v>0</v>
      </c>
      <c r="AC8">
        <f>Data!AO86</f>
        <v>0</v>
      </c>
      <c r="AD8">
        <f>Data!AP86</f>
        <v>0</v>
      </c>
      <c r="AE8">
        <f>Data!AQ86</f>
        <v>0</v>
      </c>
      <c r="AF8">
        <f>Data!AR86</f>
        <v>0</v>
      </c>
      <c r="AG8">
        <f>Data!AS86</f>
        <v>0</v>
      </c>
      <c r="AH8">
        <f>Data!AT86</f>
        <v>0</v>
      </c>
      <c r="AI8">
        <f>Data!AU86</f>
        <v>0</v>
      </c>
      <c r="AJ8">
        <f>Data!AV86</f>
        <v>0</v>
      </c>
      <c r="AK8">
        <f>Data!AW86</f>
        <v>0</v>
      </c>
      <c r="AL8">
        <f>Data!AX86</f>
        <v>0</v>
      </c>
      <c r="AM8">
        <f>Data!AY86</f>
        <v>0</v>
      </c>
      <c r="AN8">
        <f>Data!AZ86</f>
        <v>0</v>
      </c>
      <c r="AO8">
        <f>Data!BA86</f>
        <v>0</v>
      </c>
      <c r="AP8">
        <f>Data!BB86</f>
        <v>0</v>
      </c>
      <c r="AQ8">
        <f>Data!BC86</f>
        <v>0</v>
      </c>
    </row>
  </sheetData>
  <phoneticPr fontId="10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Q8"/>
  <sheetViews>
    <sheetView topLeftCell="R1" workbookViewId="0">
      <selection activeCell="Y16" sqref="Y16"/>
    </sheetView>
  </sheetViews>
  <sheetFormatPr defaultColWidth="9.125" defaultRowHeight="12.9" x14ac:dyDescent="0.15"/>
  <cols>
    <col min="1" max="1" width="24.5" customWidth="1"/>
    <col min="2" max="2" width="12.125" customWidth="1"/>
  </cols>
  <sheetData>
    <row r="1" spans="1:43" ht="38.75" x14ac:dyDescent="0.15">
      <c r="A1" s="25" t="s">
        <v>128</v>
      </c>
      <c r="B1" s="35">
        <v>2019</v>
      </c>
      <c r="C1">
        <f>Data!O9</f>
        <v>2020</v>
      </c>
      <c r="D1">
        <f>Data!P9</f>
        <v>2021</v>
      </c>
      <c r="E1">
        <f>Data!Q9</f>
        <v>2022</v>
      </c>
      <c r="F1">
        <f>Data!R9</f>
        <v>2023</v>
      </c>
      <c r="G1">
        <f>Data!S9</f>
        <v>2024</v>
      </c>
      <c r="H1">
        <f>Data!T9</f>
        <v>2025</v>
      </c>
      <c r="I1">
        <f>Data!U9</f>
        <v>2026</v>
      </c>
      <c r="J1">
        <f>Data!V9</f>
        <v>2027</v>
      </c>
      <c r="K1">
        <f>Data!W9</f>
        <v>2028</v>
      </c>
      <c r="L1">
        <f>Data!X9</f>
        <v>2029</v>
      </c>
      <c r="M1">
        <f>Data!Y9</f>
        <v>2030</v>
      </c>
      <c r="N1">
        <f>Data!Z9</f>
        <v>2031</v>
      </c>
      <c r="O1">
        <f>Data!AA9</f>
        <v>2032</v>
      </c>
      <c r="P1">
        <f>Data!AB9</f>
        <v>2033</v>
      </c>
      <c r="Q1">
        <f>Data!AC9</f>
        <v>2034</v>
      </c>
      <c r="R1">
        <f>Data!AD9</f>
        <v>2035</v>
      </c>
      <c r="S1">
        <f>Data!AE9</f>
        <v>2036</v>
      </c>
      <c r="T1">
        <f>Data!AF9</f>
        <v>2037</v>
      </c>
      <c r="U1">
        <f>Data!AG9</f>
        <v>2038</v>
      </c>
      <c r="V1">
        <f>Data!AH9</f>
        <v>2039</v>
      </c>
      <c r="W1">
        <f>Data!AI9</f>
        <v>2040</v>
      </c>
      <c r="X1">
        <f>Data!AJ9</f>
        <v>2041</v>
      </c>
      <c r="Y1">
        <f>Data!AK9</f>
        <v>2042</v>
      </c>
      <c r="Z1">
        <f>Data!AL9</f>
        <v>2043</v>
      </c>
      <c r="AA1">
        <f>Data!AM9</f>
        <v>2044</v>
      </c>
      <c r="AB1">
        <f>Data!AN9</f>
        <v>2045</v>
      </c>
      <c r="AC1">
        <f>Data!AO9</f>
        <v>2046</v>
      </c>
      <c r="AD1">
        <f>Data!AP9</f>
        <v>2047</v>
      </c>
      <c r="AE1">
        <f>Data!AQ9</f>
        <v>2048</v>
      </c>
      <c r="AF1">
        <f>Data!AR9</f>
        <v>2049</v>
      </c>
      <c r="AG1">
        <f>Data!AS9</f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15">
      <c r="A2" t="s">
        <v>1</v>
      </c>
      <c r="B2" s="15">
        <f>MAX(0,TREND(C2:E2,C$1:E$1,B$1))</f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</row>
    <row r="3" spans="1:43" x14ac:dyDescent="0.15">
      <c r="A3" t="s">
        <v>2</v>
      </c>
      <c r="B3" s="15">
        <f t="shared" ref="B3:B8" si="0">MAX(0,TREND(C3:E3,C$1:E$1,B$1))</f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</row>
    <row r="4" spans="1:43" x14ac:dyDescent="0.15">
      <c r="A4" t="s">
        <v>3</v>
      </c>
      <c r="B4" s="15">
        <f t="shared" si="0"/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</row>
    <row r="5" spans="1:43" x14ac:dyDescent="0.15">
      <c r="A5" t="s">
        <v>4</v>
      </c>
      <c r="B5" s="15">
        <f t="shared" si="0"/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</row>
    <row r="6" spans="1:43" x14ac:dyDescent="0.15">
      <c r="A6" t="s">
        <v>5</v>
      </c>
      <c r="B6" s="15">
        <f t="shared" si="0"/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</row>
    <row r="7" spans="1:43" x14ac:dyDescent="0.15">
      <c r="A7" t="s">
        <v>125</v>
      </c>
      <c r="B7" s="15">
        <f t="shared" si="0"/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</row>
    <row r="8" spans="1:43" x14ac:dyDescent="0.15">
      <c r="A8" t="s">
        <v>126</v>
      </c>
      <c r="B8" s="15">
        <f t="shared" si="0"/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About</vt:lpstr>
      <vt:lpstr>Vehicle Sales Database</vt:lpstr>
      <vt:lpstr>Pivot Table</vt:lpstr>
      <vt:lpstr>Electric Ratio</vt:lpstr>
      <vt:lpstr>Hydrogen</vt:lpstr>
      <vt:lpstr>AEO 38</vt:lpstr>
      <vt:lpstr>AEO 39</vt:lpstr>
      <vt:lpstr>AEO 44</vt:lpstr>
      <vt:lpstr>AEO 49</vt:lpstr>
      <vt:lpstr>SYVbT-passenger</vt:lpstr>
      <vt:lpstr>SYVbT-freight</vt:lpstr>
      <vt:lpstr>Assumptions</vt:lpstr>
      <vt:lpstr>Historical Shareweights</vt:lpstr>
      <vt:lpstr>TCO</vt:lpstr>
      <vt:lpstr>Sheet1</vt:lpstr>
      <vt:lpstr>Data</vt:lpstr>
      <vt:lpstr>Projection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wcy3015@126.com</cp:lastModifiedBy>
  <dcterms:created xsi:type="dcterms:W3CDTF">2017-07-01T03:43:09Z</dcterms:created>
  <dcterms:modified xsi:type="dcterms:W3CDTF">2026-10-20T08:16:38Z</dcterms:modified>
</cp:coreProperties>
</file>